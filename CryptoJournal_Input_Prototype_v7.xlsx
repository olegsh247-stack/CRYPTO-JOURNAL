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_xlnm.Print_Area" localSheetId="0">'Ввод'!$A$1:$K$25</definedName>
    <definedName name="_xlnm._FilterDatabase" localSheetId="1" hidden="1">'Торговля'!$B$4:$N$300</definedName>
    <definedName name="_xlnm.Print_Area" localSheetId="1">'Торговля'!$A$1:$N$17</definedName>
    <definedName name="_xlnm._FilterDatabase" localSheetId="2" hidden="1">'ИТОГО Торговля'!$B$4:$M$300</definedName>
    <definedName name="_xlnm.Print_Area" localSheetId="2">'ИТОГО Торговля'!$A$1:$N$13</definedName>
    <definedName name="_xlnm._FilterDatabase" localSheetId="3" hidden="1">'Лэндинг'!$B$4:$N$300</definedName>
    <definedName name="_xlnm.Print_Area" localSheetId="3">'Лэндинг'!$A$1:$N$17</definedName>
    <definedName name="_xlnm._FilterDatabase" localSheetId="4" hidden="1">'ИТОГО Лэндинг'!$B$4:$M$300</definedName>
    <definedName name="_xlnm.Print_Area" localSheetId="4">'ИТОГО Лэндинг'!$A$1:$N$13</definedName>
    <definedName name="_xlnm._FilterDatabase" localSheetId="5" hidden="1">'Пул'!$B$4:$K$12</definedName>
    <definedName name="_xlnm.Print_Area" localSheetId="5">'Пул'!$A$1:$K$13</definedName>
    <definedName name="_xlnm._FilterDatabase" localSheetId="6" hidden="1">'ИТОГО ПУЛ'!$B$4:$L$12</definedName>
    <definedName name="_xlnm.Print_Area" localSheetId="6">'ИТОГО ПУЛ'!$A$1:$M$13</definedName>
    <definedName name="_xlnm._FilterDatabase" localSheetId="7" hidden="1">'Закрытые'!$B$4:$O$300</definedName>
    <definedName name="_xlnm.Print_Area" localSheetId="7">'Закрытые'!$A$1:$P$13</definedName>
    <definedName name="_xlnm._FilterDatabase" localSheetId="8" hidden="1">'ИТОГО'!$B$4:$M$300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</fonts>
  <fills count="19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  <fill>
      <patternFill patternType="solid">
        <fgColor rgb="FFFFF2CC"/>
        <bgColor rgb="FFFFF2CC"/>
      </patternFill>
    </fill>
  </fills>
  <borders count="51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  <border>
      <left style="thick">
        <color rgb="FFFFFFFF"/>
      </left>
      <right style="medium">
        <color rgb="FFFFFFFF"/>
      </right>
    </border>
    <border>
      <left style="medium">
        <color rgb="00FFFFFF"/>
      </left>
      <right style="thick">
        <color rgb="FFFFFFFF"/>
      </right>
    </border>
  </borders>
  <cellStyleXfs count="1">
    <xf numFmtId="0" fontId="0" fillId="0" borderId="0"/>
  </cellStyleXfs>
  <cellXfs count="27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  <xf numFmtId="165" fontId="4" fillId="18" borderId="20" applyAlignment="1" pivotButton="0" quotePrefix="0" xfId="0">
      <alignment horizontal="center" vertical="center"/>
    </xf>
    <xf numFmtId="0" fontId="8" fillId="6" borderId="50" applyAlignment="1" pivotButton="0" quotePrefix="0" xfId="0">
      <alignment horizontal="center" vertical="center"/>
    </xf>
    <xf numFmtId="0" fontId="8" fillId="17" borderId="49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ill>
        <patternFill patternType="solid">
          <fgColor rgb="00FDE9D9"/>
          <bgColor rgb="00FDE9D9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FFFDF3"/>
          <bgColor rgb="FFFFFDF3"/>
        </patternFill>
      </fill>
    </dxf>
    <dxf>
      <fill>
        <patternFill patternType="solid">
          <fgColor rgb="FFFFFFFF"/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L24"/>
  <sheetViews>
    <sheetView showGridLines="0" zoomScale="100" zoomScaleNormal="100" workbookViewId="0">
      <selection activeCell="A1" sqref="A1"/>
    </sheetView>
  </sheetViews>
  <sheetFormatPr baseColWidth="8" defaultRowHeight="15"/>
  <cols>
    <col width="2.5" customWidth="1" min="1" max="1"/>
    <col width="11" customWidth="1" min="2" max="2"/>
    <col width="11" customWidth="1" min="3" max="3"/>
    <col width="11" customWidth="1" min="4" max="4"/>
    <col width="11" customWidth="1" min="5" max="5"/>
    <col width="3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1" customHeight="1">
      <c r="B1" s="1" t="inlineStr">
        <is>
          <t>CRYPTO JOURNAL • ВВОД</t>
        </is>
      </c>
      <c r="K1" s="207" t="n"/>
      <c r="L1" s="207" t="n"/>
    </row>
    <row r="2" ht="21" customHeight="1">
      <c r="K2" s="207" t="n"/>
      <c r="L2" s="207" t="n"/>
    </row>
    <row r="3" ht="22" customHeight="1">
      <c r="B3" s="2" t="inlineStr">
        <is>
          <t>ОСНОВНЫЕ ДАННЫЕ</t>
        </is>
      </c>
      <c r="G3" s="2" t="inlineStr">
        <is>
          <t>РАЗДЕЛЫ</t>
        </is>
      </c>
      <c r="K3" s="207" t="n"/>
      <c r="L3" s="207" t="n"/>
    </row>
    <row r="4" ht="22" customHeight="1">
      <c r="G4" s="207" t="n"/>
      <c r="H4" s="207" t="n"/>
      <c r="I4" s="207" t="n"/>
      <c r="J4" s="207" t="n"/>
      <c r="K4" s="207" t="n"/>
      <c r="L4" s="207" t="n"/>
    </row>
    <row r="5" ht="22" customHeight="1">
      <c r="B5" s="3" t="inlineStr">
        <is>
          <t>Дата</t>
        </is>
      </c>
      <c r="G5" s="100" t="inlineStr">
        <is>
          <t>ТОРГОВЛЯ</t>
        </is>
      </c>
      <c r="H5" s="55" t="n"/>
      <c r="I5" s="101" t="inlineStr">
        <is>
          <t>ЛЭНДИНГ</t>
        </is>
      </c>
      <c r="J5" s="55" t="n"/>
      <c r="K5" s="207" t="n"/>
      <c r="L5" s="207" t="n"/>
    </row>
    <row r="6" ht="22" customHeight="1">
      <c r="B6" s="208" t="n">
        <v>46299</v>
      </c>
      <c r="C6" s="189" t="n"/>
      <c r="D6" s="189" t="n"/>
      <c r="E6" s="190" t="n"/>
      <c r="G6" s="3" t="inlineStr">
        <is>
          <t>Действие</t>
        </is>
      </c>
      <c r="H6" s="191" t="inlineStr">
        <is>
          <t>Buy</t>
        </is>
      </c>
      <c r="I6" s="9" t="inlineStr">
        <is>
          <t>Действие</t>
        </is>
      </c>
      <c r="J6" s="191" t="inlineStr">
        <is>
          <t>Buy</t>
        </is>
      </c>
      <c r="K6" s="207" t="n"/>
      <c r="L6" s="207" t="n"/>
    </row>
    <row r="7" ht="22" customHeight="1">
      <c r="G7" s="3" t="inlineStr">
        <is>
          <t>Кол-во</t>
        </is>
      </c>
      <c r="H7" s="225" t="n">
        <v>0.5</v>
      </c>
      <c r="I7" s="9" t="inlineStr">
        <is>
          <t>Кол-во</t>
        </is>
      </c>
      <c r="J7" s="193" t="n">
        <v>1000</v>
      </c>
      <c r="K7" s="207" t="n"/>
      <c r="L7" s="207" t="n"/>
    </row>
    <row r="8" ht="22" customHeight="1">
      <c r="B8" s="3" t="inlineStr">
        <is>
          <t>Актив 1</t>
        </is>
      </c>
      <c r="C8" s="14" t="inlineStr">
        <is>
          <t>Актив 2</t>
        </is>
      </c>
      <c r="D8" s="61" t="inlineStr">
        <is>
          <t>Пара (авто)</t>
        </is>
      </c>
      <c r="G8" s="3" t="inlineStr">
        <is>
          <t>Курс</t>
        </is>
      </c>
      <c r="H8" s="225" t="n">
        <v>62000</v>
      </c>
      <c r="I8" s="9" t="inlineStr">
        <is>
          <t>Курс (авто)</t>
        </is>
      </c>
      <c r="J8" s="211">
        <f>IF(AND(ISNUMBER(J7),ISNUMBER(J9),J7&lt;&gt;0),IF(J6="Buy",J9/(J7*(1+N(J19)/100)),IF(AND(J6="Sell",1-N(J19)/100&lt;&gt;0),J9/(J7*(1-N(J19)/100)),"")),"")</f>
        <v>0.998003992015968</v>
      </c>
      <c r="K8" s="207" t="n"/>
      <c r="L8" s="207" t="n"/>
    </row>
    <row r="9" ht="22" customHeight="1">
      <c r="B9" s="191" t="inlineStr">
        <is>
          <t>ETH</t>
        </is>
      </c>
      <c r="C9" s="191" t="inlineStr">
        <is>
          <t>BTC</t>
        </is>
      </c>
      <c r="D9" s="195" t="str">
        <f>IF(AND(TRIM(B9)&lt;&gt;"",TRIM(C9)&lt;&gt;""),UPPER(TRIM(B9))&amp;"/"&amp;UPPER(TRIM(C9)),"")</f>
        <v>ETH/BTC</v>
      </c>
      <c r="E9" s="57" t="n"/>
      <c r="G9" s="3" t="inlineStr">
        <is>
          <t>Сумма (авто)</t>
        </is>
      </c>
      <c r="H9" s="211">
        <f>IF(AND(ISNUMBER(H7),ISNUMBER(H8),OR(H6="Buy",H6="Sell")),H7*H8*(1+IF(H6="Buy",1,-1)*N(J19)/100),"")</f>
        <v>31062</v>
      </c>
      <c r="I9" s="9" t="inlineStr">
        <is>
          <t>Сумма</t>
        </is>
      </c>
      <c r="J9" s="193" t="n">
        <v>1000</v>
      </c>
      <c r="K9" s="207" t="n"/>
      <c r="L9" s="207" t="n"/>
    </row>
    <row r="10" ht="22" customHeight="1">
      <c r="B10" s="207" t="n"/>
      <c r="C10" s="207" t="n"/>
      <c r="D10" s="207" t="n"/>
      <c r="E10" s="207" t="n"/>
      <c r="G10" s="3" t="inlineStr">
        <is>
          <t>ID позиции</t>
        </is>
      </c>
      <c r="H10" s="194" t="inlineStr">
        <is>
          <t>T-0001</t>
        </is>
      </c>
      <c r="I10" s="9" t="inlineStr">
        <is>
          <t>ID позиции</t>
        </is>
      </c>
      <c r="J10" s="194" t="inlineStr">
        <is>
          <t>L-0001</t>
        </is>
      </c>
      <c r="K10" s="207" t="n"/>
      <c r="L10" s="207" t="n"/>
    </row>
    <row r="11" ht="22" customHeight="1">
      <c r="B11" s="3" t="inlineStr">
        <is>
          <t>Протокол</t>
        </is>
      </c>
      <c r="G11" s="3" t="inlineStr">
        <is>
          <t>Кол-во закрыть</t>
        </is>
      </c>
      <c r="H11" s="225" t="n">
        <v>0.1</v>
      </c>
      <c r="I11" s="9" t="inlineStr">
        <is>
          <t>Кол-во закрыть</t>
        </is>
      </c>
      <c r="J11" s="225" t="n">
        <v>0.1</v>
      </c>
      <c r="K11" s="207" t="n"/>
      <c r="L11" s="207" t="n"/>
    </row>
    <row r="12" ht="22" customHeight="1">
      <c r="B12" s="191" t="inlineStr">
        <is>
          <t>Binance</t>
        </is>
      </c>
      <c r="C12" s="189" t="n"/>
      <c r="D12" s="189" t="n"/>
      <c r="E12" s="190" t="n"/>
      <c r="G12" s="207" t="n"/>
      <c r="H12" s="207" t="n"/>
      <c r="I12" s="207" t="n"/>
      <c r="J12" s="207" t="n"/>
      <c r="K12" s="207" t="n"/>
      <c r="L12" s="207" t="n"/>
    </row>
    <row r="13" ht="22" customHeight="1">
      <c r="B13" s="207" t="n"/>
      <c r="C13" s="207" t="n"/>
      <c r="D13" s="207" t="n"/>
      <c r="E13" s="207" t="n"/>
      <c r="G13" s="102" t="inlineStr">
        <is>
          <t>ПУЛЫ</t>
        </is>
      </c>
      <c r="H13" s="63" t="n"/>
      <c r="I13" s="63" t="n"/>
      <c r="J13" s="63" t="n"/>
      <c r="K13" s="207" t="n"/>
      <c r="L13" s="207" t="n"/>
    </row>
    <row r="14" ht="22" customHeight="1">
      <c r="B14" s="3" t="inlineStr">
        <is>
          <t>Комментарий</t>
        </is>
      </c>
      <c r="G14" s="3" t="inlineStr">
        <is>
          <t>Действие</t>
        </is>
      </c>
      <c r="H14" s="191" t="inlineStr">
        <is>
          <t>Добавить</t>
        </is>
      </c>
      <c r="I14" s="14" t="inlineStr">
        <is>
          <t>Кол-во 1</t>
        </is>
      </c>
      <c r="J14" s="192" t="n">
        <v>0.1</v>
      </c>
      <c r="K14" s="207" t="n"/>
      <c r="L14" s="207" t="n"/>
    </row>
    <row r="15" ht="22" customHeight="1">
      <c r="B15" s="197" t="inlineStr">
        <is>
          <t>Пробная операция</t>
        </is>
      </c>
      <c r="C15" s="198" t="n"/>
      <c r="D15" s="198" t="n"/>
      <c r="E15" s="199" t="n"/>
      <c r="G15" s="3" t="inlineStr">
        <is>
          <t>ID позиции</t>
        </is>
      </c>
      <c r="H15" s="194" t="inlineStr">
        <is>
          <t>P-0001</t>
        </is>
      </c>
      <c r="I15" s="14" t="inlineStr">
        <is>
          <t>Кол-во 2</t>
        </is>
      </c>
      <c r="J15" s="193" t="n">
        <v>6200</v>
      </c>
      <c r="K15" s="207" t="n"/>
      <c r="L15" s="207" t="n"/>
    </row>
    <row r="16" ht="22" customHeight="1">
      <c r="B16" s="221" t="n"/>
      <c r="C16" s="222" t="n"/>
      <c r="D16" s="222" t="n"/>
      <c r="E16" s="223" t="n"/>
      <c r="G16" s="207" t="n"/>
      <c r="H16" s="207" t="n"/>
      <c r="I16" s="207" t="n"/>
      <c r="J16" s="207" t="n"/>
      <c r="K16" s="207" t="n"/>
      <c r="L16" s="207" t="n"/>
    </row>
    <row r="17" ht="22" customHeight="1">
      <c r="B17" s="221" t="n"/>
      <c r="C17" s="222" t="n"/>
      <c r="D17" s="222" t="n"/>
      <c r="E17" s="223" t="n"/>
      <c r="G17" s="103" t="inlineStr">
        <is>
          <t>Обратный расчёт</t>
        </is>
      </c>
      <c r="H17" s="64" t="n"/>
      <c r="I17" s="64" t="n"/>
      <c r="J17" s="64" t="n"/>
      <c r="K17" s="207" t="n"/>
      <c r="L17" s="207" t="n"/>
    </row>
    <row r="18" ht="22" customHeight="1">
      <c r="B18" s="221" t="n"/>
      <c r="C18" s="222" t="n"/>
      <c r="D18" s="222" t="n"/>
      <c r="E18" s="223" t="n"/>
      <c r="G18" s="264" t="inlineStr">
        <is>
          <t>Сумма</t>
        </is>
      </c>
      <c r="H18" s="265" t="inlineStr">
        <is>
          <t>Курс</t>
        </is>
      </c>
      <c r="I18" s="265" t="inlineStr">
        <is>
          <t>Кол-во (авто)</t>
        </is>
      </c>
      <c r="J18" s="265" t="inlineStr">
        <is>
          <t>Комиссия</t>
        </is>
      </c>
      <c r="K18" s="207" t="n"/>
      <c r="L18" s="207" t="n"/>
    </row>
    <row r="19" ht="22" customHeight="1">
      <c r="B19" s="200" t="n"/>
      <c r="C19" s="201" t="n"/>
      <c r="D19" s="201" t="n"/>
      <c r="E19" s="202" t="n"/>
      <c r="G19" s="266" t="n">
        <v>31000</v>
      </c>
      <c r="H19" s="266" t="n">
        <v>62000</v>
      </c>
      <c r="I19" s="269">
        <f>IF(AND(ISNUMBER(G19),ISNUMBER(H19),H19&lt;&gt;0,1-N(J19)/100&lt;&gt;0),G19/(H19*(1-N(J19)/100)),"")</f>
        <v>0.501002004008016</v>
      </c>
      <c r="J19" s="266" t="n">
        <v>0.2</v>
      </c>
      <c r="K19" s="207" t="n"/>
      <c r="L19" s="207" t="n"/>
    </row>
    <row r="20" ht="22" customHeight="1">
      <c r="G20" s="207" t="n"/>
      <c r="H20" s="207" t="n"/>
      <c r="I20" s="207" t="n"/>
      <c r="J20" s="207" t="n"/>
      <c r="K20" s="207" t="n"/>
      <c r="L20" s="207" t="n"/>
    </row>
    <row r="21" ht="26" customHeight="1">
      <c r="B21" s="3" t="inlineStr">
        <is>
          <t>СТАТУС</t>
        </is>
      </c>
      <c r="G21" s="26" t="inlineStr">
        <is>
          <t>ЗАПИСАТЬ</t>
        </is>
      </c>
      <c r="I21" s="71" t="inlineStr">
        <is>
          <t>ОЧИСТИТЬ</t>
        </is>
      </c>
      <c r="K21" s="207" t="n"/>
      <c r="L21" s="207" t="n"/>
    </row>
    <row r="22" ht="26" customHeight="1">
      <c r="B22" s="15" t="inlineStr">
        <is>
          <t>Готово к вводу</t>
        </is>
      </c>
      <c r="C22" s="56" t="n"/>
      <c r="D22" s="56" t="n"/>
      <c r="E22" s="57" t="n"/>
      <c r="I22" s="72" t="n"/>
      <c r="K22" s="207" t="n"/>
      <c r="L22" s="207" t="n"/>
    </row>
    <row r="23" ht="22" customHeight="1"/>
    <row r="24" ht="22" customHeight="1">
      <c r="B24" s="29" t="inlineStr">
        <is>
          <t>Прототип v7: Обратный расчёт — Сумма и Курс вручную, Кол-во (авто) с учётом комиссии. Макросов и рабочих кнопок нет.</t>
        </is>
      </c>
    </row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9">
    <mergeCell ref="I21:J22"/>
    <mergeCell ref="B6:E6"/>
    <mergeCell ref="B5:E5"/>
    <mergeCell ref="B15:E19"/>
    <mergeCell ref="B3:E3"/>
    <mergeCell ref="B22:E22"/>
    <mergeCell ref="G21:H22"/>
    <mergeCell ref="G17:J17"/>
    <mergeCell ref="B12:E12"/>
    <mergeCell ref="B21:E21"/>
    <mergeCell ref="G5:H5"/>
    <mergeCell ref="I5:J5"/>
    <mergeCell ref="B11:E11"/>
    <mergeCell ref="D9:E9"/>
    <mergeCell ref="B14:E14"/>
    <mergeCell ref="D8:E8"/>
    <mergeCell ref="G13:J13"/>
    <mergeCell ref="B1:J2"/>
    <mergeCell ref="G3:J3"/>
  </mergeCells>
  <dataValidations count="12">
    <dataValidation sqref="H14" showDropDown="0" showInputMessage="0" showErrorMessage="0" allowBlank="1" type="list">
      <formula1>"Добавить,Закрыть"</formula1>
    </dataValidation>
    <dataValidation sqref="B6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B12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H6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J6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B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=AND(ISERROR(FIND("/",B9)),UPPER(TRIM(B9))&lt;&gt;UPPER(TRIM(C9)))</formula1>
    </dataValidation>
    <dataValidation sqref="C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=AND(ISERROR(FIND("/",C9)),UPPER(TRIM(C9))&lt;&gt;UPPER(TRIM(B9)))</formula1>
    </dataValidation>
    <dataValidation sqref="J19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H7 H8" showDropDown="0" showInputMessage="0" showErrorMessage="1" allowBlank="1" errorTitle="Число" error="Введите число больше нуля." type="decimal" operator="greaterThan">
      <formula1>0</formula1>
    </dataValidation>
    <dataValidation sqref="H10" showDropDown="0" showInputMessage="0" showErrorMessage="1" allowBlank="1" errorTitle="ID закрыть" error="Формат ID: T-0001 (буква T, дефис и номер минимум из четырёх цифр)." type="custom">
      <formula1>=IFERROR(AND(EXACT(LEFT(H10,2),"T-"),ISNUMBER(--MID(H10,3,20)),MID(H10,3,20)=TEXT(--MID(H10,3,20),"0000")),FALSE)</formula1>
    </dataValidation>
    <dataValidation sqref="J10" showDropDown="0" showInputMessage="0" showErrorMessage="1" allowBlank="1" errorTitle="ID закрыть" error="Формат ID: L-0001 (буква L, дефис и номер минимум из четырёх цифр)." type="custom">
      <formula1>=IFERROR(AND(EXACT(LEFT(J10,2),"L-"),ISNUMBER(--MID(J10,3,20)),MID(J10,3,20)=TEXT(--MID(J10,3,20),"0000")),FALSE)</formula1>
    </dataValidation>
    <dataValidation sqref="H15" showDropDown="0" showInputMessage="0" showErrorMessage="1" allowBlank="1" errorTitle="ID позиции" error="Формат ID: P-0001 (буква P, дефис и номер минимум из четырёх цифр)." type="custom">
      <formula1>=IFERROR(AND(EXACT(LEFT(H15,2),"P-"),ISNUMBER(--MID(H15,3,20)),MID(H15,3,20)=TEXT(--MID(H15,3,20),"0000")),FALSE)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238" t="inlineStr">
        <is>
          <t>T-0005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/>
      <c r="G5" s="177" t="n"/>
      <c r="H5" s="271" t="str">
        <f>IF(AND(ISNUMBER(F5),ISNUMBER(G5)),F5*G5,"")</f>
        <v/>
      </c>
      <c r="I5" s="240" t="n">
        <v>3</v>
      </c>
      <c r="J5" s="177" t="n">
        <v>598.8</v>
      </c>
      <c r="K5" s="271">
        <f>IF(AND(ISNUMBER(I5),ISNUMBER(J5)),I5*J5,"")</f>
        <v>1796.4</v>
      </c>
      <c r="L5" s="240">
        <f>IF(COUNT(F5,I5)=0,"",N(F5)-N(I5))</f>
        <v>-3</v>
      </c>
      <c r="M5" s="241">
        <f>IF(COUNT(H5,K5)=0,"",N(K5)-N(H5))</f>
        <v>1796.4</v>
      </c>
      <c r="N5" s="240">
        <f>IF(AND(ISNUMBER(F5),ISNUMBER(G5),F5&gt;0,1-N(Ввод!$J$19)/100&gt;0),G5/(1-N(Ввод!$J$19)/100),IF(AND(ISNUMBER(I5),ISNUMBER(J5),I5&gt;0),J5/(1+N(Ввод!$J$19)/100),""))</f>
        <v>597.604790419162</v>
      </c>
    </row>
    <row r="6" ht="22" customHeight="1">
      <c r="B6" s="244" t="inlineStr">
        <is>
          <t>T-0001</t>
        </is>
      </c>
      <c r="C6" s="243" t="n">
        <v>46296</v>
      </c>
      <c r="D6" s="244" t="inlineStr">
        <is>
          <t>Binance</t>
        </is>
      </c>
      <c r="E6" s="245" t="inlineStr">
        <is>
          <t>BTC/USDT</t>
        </is>
      </c>
      <c r="F6" s="246" t="n">
        <v>0.1</v>
      </c>
      <c r="G6" s="183" t="n">
        <v>62124</v>
      </c>
      <c r="H6" s="271">
        <f>IF(AND(ISNUMBER(F6),ISNUMBER(G6)),F6*G6,"")</f>
        <v>6212.4</v>
      </c>
      <c r="I6" s="246" t="n"/>
      <c r="J6" s="183" t="n"/>
      <c r="K6" s="271" t="str">
        <f>IF(AND(ISNUMBER(I6),ISNUMBER(J6)),I6*J6,"")</f>
        <v/>
      </c>
      <c r="L6" s="246">
        <f>IF(COUNT(F6,I6)=0,"",N(F6)-N(I6))</f>
        <v>0.1</v>
      </c>
      <c r="M6" s="247">
        <f>IF(COUNT(H6,K6)=0,"",N(K6)-N(H6))</f>
        <v>-6212.4</v>
      </c>
      <c r="N6" s="246">
        <f>IF(AND(ISNUMBER(F6),ISNUMBER(G6),F6&gt;0,1-N(Ввод!$J$19)/100&gt;0),G6/(1-N(Ввод!$J$19)/100),IF(AND(ISNUMBER(I6),ISNUMBER(J6),I6&gt;0),J6/(1+N(Ввод!$J$19)/100),""))</f>
        <v>62248.496993988</v>
      </c>
    </row>
    <row r="7" ht="22" customHeight="1">
      <c r="B7" s="238" t="inlineStr">
        <is>
          <t>T-0004</t>
        </is>
      </c>
      <c r="C7" s="237" t="n">
        <v>46298</v>
      </c>
      <c r="D7" s="238" t="inlineStr">
        <is>
          <t>Binance</t>
        </is>
      </c>
      <c r="E7" s="239" t="inlineStr">
        <is>
          <t>ETH/BTC</t>
        </is>
      </c>
      <c r="F7" s="240" t="n"/>
      <c r="G7" s="177" t="n"/>
      <c r="H7" s="271" t="str">
        <f>IF(AND(ISNUMBER(F7),ISNUMBER(G7)),F7*G7,"")</f>
        <v/>
      </c>
      <c r="I7" s="240" t="n">
        <v>1.5</v>
      </c>
      <c r="J7" s="177" t="n">
        <v>0.052395</v>
      </c>
      <c r="K7" s="271">
        <f>IF(AND(ISNUMBER(I7),ISNUMBER(J7)),I7*J7,"")</f>
        <v>0.0785925</v>
      </c>
      <c r="L7" s="240">
        <f>IF(COUNT(F7,I7)=0,"",N(F7)-N(I7))</f>
        <v>-1.5</v>
      </c>
      <c r="M7" s="241">
        <f>IF(COUNT(H7,K7)=0,"",N(K7)-N(H7))</f>
        <v>0.0785925</v>
      </c>
      <c r="N7" s="240">
        <f>IF(AND(ISNUMBER(F7),ISNUMBER(G7),F7&gt;0,1-N(Ввод!$J$19)/100&gt;0),G7/(1-N(Ввод!$J$19)/100),IF(AND(ISNUMBER(I7),ISNUMBER(J7),I7&gt;0),J7/(1+N(Ввод!$J$19)/100),""))</f>
        <v>0.0522904191616766</v>
      </c>
    </row>
    <row r="8" ht="22" customHeight="1">
      <c r="B8" s="244" t="inlineStr">
        <is>
          <t>T-0002</t>
        </is>
      </c>
      <c r="C8" s="243" t="n">
        <v>46297</v>
      </c>
      <c r="D8" s="244" t="inlineStr">
        <is>
          <t>Bybit</t>
        </is>
      </c>
      <c r="E8" s="245" t="inlineStr">
        <is>
          <t>ETH/USDT</t>
        </is>
      </c>
      <c r="F8" s="246" t="n">
        <v>1</v>
      </c>
      <c r="G8" s="183" t="n">
        <v>3206.4</v>
      </c>
      <c r="H8" s="271">
        <f>IF(AND(ISNUMBER(F8),ISNUMBER(G8)),F8*G8,"")</f>
        <v>3206.4</v>
      </c>
      <c r="I8" s="246" t="n"/>
      <c r="J8" s="183" t="n"/>
      <c r="K8" s="271" t="str">
        <f>IF(AND(ISNUMBER(I8),ISNUMBER(J8)),I8*J8,"")</f>
        <v/>
      </c>
      <c r="L8" s="246">
        <f>IF(COUNT(F8,I8)=0,"",N(F8)-N(I8))</f>
        <v>1</v>
      </c>
      <c r="M8" s="247">
        <f>IF(COUNT(H8,K8)=0,"",N(K8)-N(H8))</f>
        <v>-3206.4</v>
      </c>
      <c r="N8" s="246">
        <f>IF(AND(ISNUMBER(F8),ISNUMBER(G8),F8&gt;0,1-N(Ввод!$J$19)/100&gt;0),G8/(1-N(Ввод!$J$19)/100),IF(AND(ISNUMBER(I8),ISNUMBER(J8),I8&gt;0),J8/(1+N(Ввод!$J$19)/100),""))</f>
        <v>3212.82565130261</v>
      </c>
    </row>
    <row r="9" ht="22" customHeight="1">
      <c r="B9" s="238" t="inlineStr">
        <is>
          <t>T-0007</t>
        </is>
      </c>
      <c r="C9" s="237" t="n">
        <v>46300</v>
      </c>
      <c r="D9" s="238" t="inlineStr">
        <is>
          <t>Binance</t>
        </is>
      </c>
      <c r="E9" s="239" t="inlineStr">
        <is>
          <t>ETH/USDT</t>
        </is>
      </c>
      <c r="F9" s="240" t="n">
        <v>1.2</v>
      </c>
      <c r="G9" s="177" t="n">
        <v>3186.36</v>
      </c>
      <c r="H9" s="271">
        <f>IF(AND(ISNUMBER(F9),ISNUMBER(G9)),F9*G9,"")</f>
        <v>3823.632</v>
      </c>
      <c r="I9" s="240" t="n"/>
      <c r="J9" s="177" t="n"/>
      <c r="K9" s="271" t="str">
        <f>IF(AND(ISNUMBER(I9),ISNUMBER(J9)),I9*J9,"")</f>
        <v/>
      </c>
      <c r="L9" s="240">
        <f>IF(COUNT(F9,I9)=0,"",N(F9)-N(I9))</f>
        <v>1.2</v>
      </c>
      <c r="M9" s="241">
        <f>IF(COUNT(H9,K9)=0,"",N(K9)-N(H9))</f>
        <v>-3823.632</v>
      </c>
      <c r="N9" s="240">
        <f>IF(AND(ISNUMBER(F9),ISNUMBER(G9),F9&gt;0,1-N(Ввод!$J$19)/100&gt;0),G9/(1-N(Ввод!$J$19)/100),IF(AND(ISNUMBER(I9),ISNUMBER(J9),I9&gt;0),J9/(1+N(Ввод!$J$19)/100),""))</f>
        <v>3192.74549098196</v>
      </c>
    </row>
    <row r="10" ht="22" customHeight="1">
      <c r="B10" s="244" t="inlineStr">
        <is>
          <t>T-0008</t>
        </is>
      </c>
      <c r="C10" s="243" t="n">
        <v>46300</v>
      </c>
      <c r="D10" s="244" t="inlineStr">
        <is>
          <t>Bybit</t>
        </is>
      </c>
      <c r="E10" s="245" t="inlineStr">
        <is>
          <t>ETH/USDT</t>
        </is>
      </c>
      <c r="F10" s="246" t="n">
        <v>0.8</v>
      </c>
      <c r="G10" s="183" t="n">
        <v>3256.5</v>
      </c>
      <c r="H10" s="271">
        <f>IF(AND(ISNUMBER(F10),ISNUMBER(G10)),F10*G10,"")</f>
        <v>2605.2</v>
      </c>
      <c r="I10" s="246" t="n"/>
      <c r="J10" s="183" t="n"/>
      <c r="K10" s="271" t="str">
        <f>IF(AND(ISNUMBER(I10),ISNUMBER(J10)),I10*J10,"")</f>
        <v/>
      </c>
      <c r="L10" s="246">
        <f>IF(COUNT(F10,I10)=0,"",N(F10)-N(I10))</f>
        <v>0.8</v>
      </c>
      <c r="M10" s="247">
        <f>IF(COUNT(H10,K10)=0,"",N(K10)-N(H10))</f>
        <v>-2605.2</v>
      </c>
      <c r="N10" s="246">
        <f>IF(AND(ISNUMBER(F10),ISNUMBER(G10),F10&gt;0,1-N(Ввод!$J$19)/100&gt;0),G10/(1-N(Ввод!$J$19)/100),IF(AND(ISNUMBER(I10),ISNUMBER(J10),I10&gt;0),J10/(1+N(Ввод!$J$19)/100),""))</f>
        <v>3263.02605210421</v>
      </c>
    </row>
    <row r="11" ht="22" customHeight="1">
      <c r="B11" s="238" t="inlineStr">
        <is>
          <t>T-0009</t>
        </is>
      </c>
      <c r="C11" s="237" t="n">
        <v>46301</v>
      </c>
      <c r="D11" s="238" t="inlineStr">
        <is>
          <t>OKX</t>
        </is>
      </c>
      <c r="E11" s="239" t="inlineStr">
        <is>
          <t>ETH/USDT</t>
        </is>
      </c>
      <c r="F11" s="240" t="n"/>
      <c r="G11" s="177" t="n"/>
      <c r="H11" s="271" t="str">
        <f>IF(AND(ISNUMBER(F11),ISNUMBER(G11)),F11*G11,"")</f>
        <v/>
      </c>
      <c r="I11" s="240" t="n">
        <v>1.5</v>
      </c>
      <c r="J11" s="177" t="n">
        <v>3393.2</v>
      </c>
      <c r="K11" s="271">
        <f>IF(AND(ISNUMBER(I11),ISNUMBER(J11)),I11*J11,"")</f>
        <v>5089.8</v>
      </c>
      <c r="L11" s="240">
        <f>IF(COUNT(F11,I11)=0,"",N(F11)-N(I11))</f>
        <v>-1.5</v>
      </c>
      <c r="M11" s="241">
        <f>IF(COUNT(H11,K11)=0,"",N(K11)-N(H11))</f>
        <v>5089.8</v>
      </c>
      <c r="N11" s="240">
        <f>IF(AND(ISNUMBER(F11),ISNUMBER(G11),F11&gt;0,1-N(Ввод!$J$19)/100&gt;0),G11/(1-N(Ввод!$J$19)/100),IF(AND(ISNUMBER(I11),ISNUMBER(J11),I11&gt;0),J11/(1+N(Ввод!$J$19)/100),""))</f>
        <v>3386.42714570858</v>
      </c>
    </row>
    <row r="12" ht="22" customHeight="1">
      <c r="B12" s="244" t="inlineStr">
        <is>
          <t>T-0010</t>
        </is>
      </c>
      <c r="C12" s="243" t="n">
        <v>46300</v>
      </c>
      <c r="D12" s="244" t="inlineStr">
        <is>
          <t>Binance</t>
        </is>
      </c>
      <c r="E12" s="245" t="inlineStr">
        <is>
          <t>SOL/USDT</t>
        </is>
      </c>
      <c r="F12" s="246" t="n"/>
      <c r="G12" s="183" t="n"/>
      <c r="H12" s="271" t="str">
        <f>IF(AND(ISNUMBER(F12),ISNUMBER(G12)),F12*G12,"")</f>
        <v/>
      </c>
      <c r="I12" s="246" t="n">
        <v>30</v>
      </c>
      <c r="J12" s="183" t="n">
        <v>149.7</v>
      </c>
      <c r="K12" s="271">
        <f>IF(AND(ISNUMBER(I12),ISNUMBER(J12)),I12*J12,"")</f>
        <v>4491</v>
      </c>
      <c r="L12" s="246">
        <f>IF(COUNT(F12,I12)=0,"",N(F12)-N(I12))</f>
        <v>-30</v>
      </c>
      <c r="M12" s="247">
        <f>IF(COUNT(H12,K12)=0,"",N(K12)-N(H12))</f>
        <v>4491</v>
      </c>
      <c r="N12" s="246">
        <f>IF(AND(ISNUMBER(F12),ISNUMBER(G12),F12&gt;0,1-N(Ввод!$J$19)/100&gt;0),G12/(1-N(Ввод!$J$19)/100),IF(AND(ISNUMBER(I12),ISNUMBER(J12),I12&gt;0),J12/(1+N(Ввод!$J$19)/100),""))</f>
        <v>149.40119760479</v>
      </c>
    </row>
    <row r="13" ht="22" customHeight="1">
      <c r="B13" s="238" t="inlineStr">
        <is>
          <t>T-0011</t>
        </is>
      </c>
      <c r="C13" s="237" t="n">
        <v>46301</v>
      </c>
      <c r="D13" s="238" t="inlineStr">
        <is>
          <t>Bybit</t>
        </is>
      </c>
      <c r="E13" s="239" t="inlineStr">
        <is>
          <t>SOL/USDT</t>
        </is>
      </c>
      <c r="F13" s="240" t="n"/>
      <c r="G13" s="177" t="n"/>
      <c r="H13" s="271" t="str">
        <f>IF(AND(ISNUMBER(F13),ISNUMBER(G13)),F13*G13,"")</f>
        <v/>
      </c>
      <c r="I13" s="240" t="n">
        <v>10</v>
      </c>
      <c r="J13" s="177" t="n">
        <v>151.696</v>
      </c>
      <c r="K13" s="271">
        <f>IF(AND(ISNUMBER(I13),ISNUMBER(J13)),I13*J13,"")</f>
        <v>1516.96</v>
      </c>
      <c r="L13" s="240">
        <f>IF(COUNT(F13,I13)=0,"",N(F13)-N(I13))</f>
        <v>-10</v>
      </c>
      <c r="M13" s="241">
        <f>IF(COUNT(H13,K13)=0,"",N(K13)-N(H13))</f>
        <v>1516.96</v>
      </c>
      <c r="N13" s="240">
        <f>IF(AND(ISNUMBER(F13),ISNUMBER(G13),F13&gt;0,1-N(Ввод!$J$19)/100&gt;0),G13/(1-N(Ввод!$J$19)/100),IF(AND(ISNUMBER(I13),ISNUMBER(J13),I13&gt;0),J13/(1+N(Ввод!$J$19)/100),""))</f>
        <v>151.393213572854</v>
      </c>
    </row>
    <row r="14" ht="22" customHeight="1">
      <c r="B14" s="244" t="inlineStr">
        <is>
          <t>T-0012</t>
        </is>
      </c>
      <c r="C14" s="243" t="n">
        <v>46301</v>
      </c>
      <c r="D14" s="244" t="inlineStr">
        <is>
          <t>OKX</t>
        </is>
      </c>
      <c r="E14" s="245" t="inlineStr">
        <is>
          <t>SOL/USDT</t>
        </is>
      </c>
      <c r="F14" s="246" t="n">
        <v>25</v>
      </c>
      <c r="G14" s="183" t="n">
        <v>146.292</v>
      </c>
      <c r="H14" s="271">
        <f>IF(AND(ISNUMBER(F14),ISNUMBER(G14)),F14*G14,"")</f>
        <v>3657.3</v>
      </c>
      <c r="I14" s="246" t="n"/>
      <c r="J14" s="183" t="n"/>
      <c r="K14" s="271" t="str">
        <f>IF(AND(ISNUMBER(I14),ISNUMBER(J14)),I14*J14,"")</f>
        <v/>
      </c>
      <c r="L14" s="246">
        <f>IF(COUNT(F14,I14)=0,"",N(F14)-N(I14))</f>
        <v>25</v>
      </c>
      <c r="M14" s="247">
        <f>IF(COUNT(H14,K14)=0,"",N(K14)-N(H14))</f>
        <v>-3657.3</v>
      </c>
      <c r="N14" s="246">
        <f>IF(AND(ISNUMBER(F14),ISNUMBER(G14),F14&gt;0,1-N(Ввод!$J$19)/100&gt;0),G14/(1-N(Ввод!$J$19)/100),IF(AND(ISNUMBER(I14),ISNUMBER(J14),I14&gt;0),J14/(1+N(Ввод!$J$19)/100),""))</f>
        <v>146.585170340681</v>
      </c>
    </row>
    <row r="15" ht="22" customHeight="1">
      <c r="B15" s="238" t="n"/>
      <c r="C15" s="237" t="n"/>
      <c r="D15" s="238" t="n"/>
      <c r="E15" s="239" t="n"/>
      <c r="F15" s="240" t="n"/>
      <c r="G15" s="177" t="n"/>
      <c r="H15" s="271" t="str">
        <f>IF(AND(ISNUMBER(F15),ISNUMBER(G15)),F15*G15,"")</f>
        <v/>
      </c>
      <c r="I15" s="240" t="n"/>
      <c r="J15" s="177" t="n"/>
      <c r="K15" s="271" t="str">
        <f>IF(AND(ISNUMBER(I15),ISNUMBER(J15)),I15*J15,"")</f>
        <v/>
      </c>
      <c r="L15" s="240" t="str">
        <f>IF(COUNT(F15,I15)=0,"",N(F15)-N(I15))</f>
        <v/>
      </c>
      <c r="M15" s="241" t="str">
        <f>IF(COUNT(H15,K15)=0,"",N(K15)-N(H15))</f>
        <v/>
      </c>
      <c r="N15" s="240" t="str">
        <f>IF(AND(ISNUMBER(F15),ISNUMBER(G15),F15&gt;0,1-N(Ввод!$J$19)/100&gt;0),G15/(1-N(Ввод!$J$19)/100),IF(AND(ISNUMBER(I15),ISNUMBER(J15),I15&gt;0),J15/(1+N(Ввод!$J$19)/100),""))</f>
        <v/>
      </c>
    </row>
    <row r="16" ht="22" customHeight="1">
      <c r="B16" s="244" t="n"/>
      <c r="C16" s="243" t="n"/>
      <c r="D16" s="244" t="n"/>
      <c r="E16" s="245" t="n"/>
      <c r="F16" s="246" t="n"/>
      <c r="G16" s="183" t="n"/>
      <c r="H16" s="271" t="str">
        <f>IF(AND(ISNUMBER(F16),ISNUMBER(G16)),F16*G16,"")</f>
        <v/>
      </c>
      <c r="I16" s="246" t="n"/>
      <c r="J16" s="183" t="n"/>
      <c r="K16" s="271" t="str">
        <f>IF(AND(ISNUMBER(I16),ISNUMBER(J16)),I16*J16,"")</f>
        <v/>
      </c>
      <c r="L16" s="246" t="str">
        <f>IF(COUNT(F16,I16)=0,"",N(F16)-N(I16))</f>
        <v/>
      </c>
      <c r="M16" s="247" t="str">
        <f>IF(COUNT(H16,K16)=0,"",N(K16)-N(H16))</f>
        <v/>
      </c>
      <c r="N16" s="246" t="str">
        <f>IF(AND(ISNUMBER(F16),ISNUMBER(G16),F16&gt;0,1-N(Ввод!$J$19)/100&gt;0),G16/(1-N(Ввод!$J$19)/100),IF(AND(ISNUMBER(I16),ISNUMBER(J16),I16&gt;0),J16/(1+N(Ввод!$J$19)/100),""))</f>
        <v/>
      </c>
    </row>
    <row r="17" ht="22" customHeight="1">
      <c r="B17" s="238" t="n"/>
      <c r="C17" s="237" t="n"/>
      <c r="D17" s="238" t="n"/>
      <c r="E17" s="239" t="n"/>
      <c r="F17" s="240" t="n"/>
      <c r="G17" s="177" t="n"/>
      <c r="H17" s="271" t="str">
        <f>IF(AND(ISNUMBER(F17),ISNUMBER(G17)),F17*G17,"")</f>
        <v/>
      </c>
      <c r="I17" s="240" t="n"/>
      <c r="J17" s="177" t="n"/>
      <c r="K17" s="271" t="str">
        <f>IF(AND(ISNUMBER(I17),ISNUMBER(J17)),I17*J17,"")</f>
        <v/>
      </c>
      <c r="L17" s="240" t="str">
        <f>IF(COUNT(F17,I17)=0,"",N(F17)-N(I17))</f>
        <v/>
      </c>
      <c r="M17" s="241" t="str">
        <f>IF(COUNT(H17,K17)=0,"",N(K17)-N(H17))</f>
        <v/>
      </c>
      <c r="N17" s="240" t="str">
        <f>IF(AND(ISNUMBER(F17),ISNUMBER(G17),F17&gt;0,1-N(Ввод!$J$19)/100&gt;0),G17/(1-N(Ввод!$J$19)/100),IF(AND(ISNUMBER(I17),ISNUMBER(J17),I17&gt;0),J17/(1+N(Ввод!$J$19)/100),""))</f>
        <v/>
      </c>
    </row>
    <row r="18" ht="22" customHeight="1">
      <c r="B18" s="244" t="n"/>
      <c r="C18" s="243" t="n"/>
      <c r="D18" s="244" t="n"/>
      <c r="E18" s="245" t="n"/>
      <c r="F18" s="246" t="n"/>
      <c r="G18" s="183" t="n"/>
      <c r="H18" s="271" t="str">
        <f>IF(AND(ISNUMBER(F18),ISNUMBER(G18)),F18*G18,"")</f>
        <v/>
      </c>
      <c r="I18" s="246" t="n"/>
      <c r="J18" s="183" t="n"/>
      <c r="K18" s="271" t="str">
        <f>IF(AND(ISNUMBER(I18),ISNUMBER(J18)),I18*J18,"")</f>
        <v/>
      </c>
      <c r="L18" s="246" t="str">
        <f>IF(COUNT(F18,I18)=0,"",N(F18)-N(I18))</f>
        <v/>
      </c>
      <c r="M18" s="247" t="str">
        <f>IF(COUNT(H18,K18)=0,"",N(K18)-N(H18))</f>
        <v/>
      </c>
      <c r="N18" s="246" t="str">
        <f>IF(AND(ISNUMBER(F18),ISNUMBER(G18),F18&gt;0,1-N(Ввод!$J$19)/100&gt;0),G18/(1-N(Ввод!$J$19)/100),IF(AND(ISNUMBER(I18),ISNUMBER(J18),I18&gt;0),J18/(1+N(Ввод!$J$19)/100),""))</f>
        <v/>
      </c>
    </row>
    <row r="19" ht="22" customHeight="1">
      <c r="B19" s="238" t="n"/>
      <c r="C19" s="237" t="n"/>
      <c r="D19" s="238" t="n"/>
      <c r="E19" s="239" t="n"/>
      <c r="F19" s="240" t="n"/>
      <c r="G19" s="177" t="n"/>
      <c r="H19" s="271" t="str">
        <f>IF(AND(ISNUMBER(F19),ISNUMBER(G19)),F19*G19,"")</f>
        <v/>
      </c>
      <c r="I19" s="240" t="n"/>
      <c r="J19" s="177" t="n"/>
      <c r="K19" s="271" t="str">
        <f>IF(AND(ISNUMBER(I19),ISNUMBER(J19)),I19*J19,"")</f>
        <v/>
      </c>
      <c r="L19" s="240" t="str">
        <f>IF(COUNT(F19,I19)=0,"",N(F19)-N(I19))</f>
        <v/>
      </c>
      <c r="M19" s="241" t="str">
        <f>IF(COUNT(H19,K19)=0,"",N(K19)-N(H19))</f>
        <v/>
      </c>
      <c r="N19" s="240" t="str">
        <f>IF(AND(ISNUMBER(F19),ISNUMBER(G19),F19&gt;0,1-N(Ввод!$J$19)/100&gt;0),G19/(1-N(Ввод!$J$19)/100),IF(AND(ISNUMBER(I19),ISNUMBER(J19),I19&gt;0),J19/(1+N(Ввод!$J$19)/100),""))</f>
        <v/>
      </c>
    </row>
    <row r="20" ht="22" customHeight="1">
      <c r="B20" s="244" t="n"/>
      <c r="C20" s="243" t="n"/>
      <c r="D20" s="244" t="n"/>
      <c r="E20" s="245" t="n"/>
      <c r="F20" s="246" t="n"/>
      <c r="G20" s="183" t="n"/>
      <c r="H20" s="271" t="str">
        <f>IF(AND(ISNUMBER(F20),ISNUMBER(G20)),F20*G20,"")</f>
        <v/>
      </c>
      <c r="I20" s="246" t="n"/>
      <c r="J20" s="183" t="n"/>
      <c r="K20" s="271" t="str">
        <f>IF(AND(ISNUMBER(I20),ISNUMBER(J20)),I20*J20,"")</f>
        <v/>
      </c>
      <c r="L20" s="246" t="str">
        <f>IF(COUNT(F20,I20)=0,"",N(F20)-N(I20))</f>
        <v/>
      </c>
      <c r="M20" s="247" t="str">
        <f>IF(COUNT(H20,K20)=0,"",N(K20)-N(H20))</f>
        <v/>
      </c>
      <c r="N20" s="246" t="str">
        <f>IF(AND(ISNUMBER(F20),ISNUMBER(G20),F20&gt;0,1-N(Ввод!$J$19)/100&gt;0),G20/(1-N(Ввод!$J$19)/100),IF(AND(ISNUMBER(I20),ISNUMBER(J20),I20&gt;0),J20/(1+N(Ввод!$J$19)/100),""))</f>
        <v/>
      </c>
    </row>
    <row r="21" ht="22" customHeight="1">
      <c r="B21" s="238" t="n"/>
      <c r="C21" s="237" t="n"/>
      <c r="D21" s="238" t="n"/>
      <c r="E21" s="239" t="n"/>
      <c r="F21" s="240" t="n"/>
      <c r="G21" s="177" t="n"/>
      <c r="H21" s="271" t="str">
        <f>IF(AND(ISNUMBER(F21),ISNUMBER(G21)),F21*G21,"")</f>
        <v/>
      </c>
      <c r="I21" s="240" t="n"/>
      <c r="J21" s="177" t="n"/>
      <c r="K21" s="271" t="str">
        <f>IF(AND(ISNUMBER(I21),ISNUMBER(J21)),I21*J21,"")</f>
        <v/>
      </c>
      <c r="L21" s="240" t="str">
        <f>IF(COUNT(F21,I21)=0,"",N(F21)-N(I21))</f>
        <v/>
      </c>
      <c r="M21" s="241" t="str">
        <f>IF(COUNT(H21,K21)=0,"",N(K21)-N(H21))</f>
        <v/>
      </c>
      <c r="N21" s="240" t="str">
        <f>IF(AND(ISNUMBER(F21),ISNUMBER(G21),F21&gt;0,1-N(Ввод!$J$19)/100&gt;0),G21/(1-N(Ввод!$J$19)/100),IF(AND(ISNUMBER(I21),ISNUMBER(J21),I21&gt;0),J21/(1+N(Ввод!$J$19)/100),""))</f>
        <v/>
      </c>
    </row>
    <row r="22" ht="22" customHeight="1">
      <c r="B22" s="244" t="n"/>
      <c r="C22" s="243" t="n"/>
      <c r="D22" s="244" t="n"/>
      <c r="E22" s="245" t="n"/>
      <c r="F22" s="246" t="n"/>
      <c r="G22" s="183" t="n"/>
      <c r="H22" s="271" t="str">
        <f>IF(AND(ISNUMBER(F22),ISNUMBER(G22)),F22*G22,"")</f>
        <v/>
      </c>
      <c r="I22" s="246" t="n"/>
      <c r="J22" s="183" t="n"/>
      <c r="K22" s="271" t="str">
        <f>IF(AND(ISNUMBER(I22),ISNUMBER(J22)),I22*J22,"")</f>
        <v/>
      </c>
      <c r="L22" s="246" t="str">
        <f>IF(COUNT(F22,I22)=0,"",N(F22)-N(I22))</f>
        <v/>
      </c>
      <c r="M22" s="247" t="str">
        <f>IF(COUNT(H22,K22)=0,"",N(K22)-N(H22))</f>
        <v/>
      </c>
      <c r="N22" s="246" t="str">
        <f>IF(AND(ISNUMBER(F22),ISNUMBER(G22),F22&gt;0,1-N(Ввод!$J$19)/100&gt;0),G22/(1-N(Ввод!$J$19)/100),IF(AND(ISNUMBER(I22),ISNUMBER(J22),I22&gt;0),J22/(1+N(Ввод!$J$19)/100),""))</f>
        <v/>
      </c>
    </row>
    <row r="23" ht="22" customHeight="1">
      <c r="B23" s="238" t="n"/>
      <c r="C23" s="237" t="n"/>
      <c r="D23" s="238" t="n"/>
      <c r="E23" s="239" t="n"/>
      <c r="F23" s="240" t="n"/>
      <c r="G23" s="177" t="n"/>
      <c r="H23" s="271" t="str">
        <f>IF(AND(ISNUMBER(F23),ISNUMBER(G23)),F23*G23,"")</f>
        <v/>
      </c>
      <c r="I23" s="240" t="n"/>
      <c r="J23" s="177" t="n"/>
      <c r="K23" s="271" t="str">
        <f>IF(AND(ISNUMBER(I23),ISNUMBER(J23)),I23*J23,"")</f>
        <v/>
      </c>
      <c r="L23" s="240" t="str">
        <f>IF(COUNT(F23,I23)=0,"",N(F23)-N(I23))</f>
        <v/>
      </c>
      <c r="M23" s="241" t="str">
        <f>IF(COUNT(H23,K23)=0,"",N(K23)-N(H23))</f>
        <v/>
      </c>
      <c r="N23" s="240" t="str">
        <f>IF(AND(ISNUMBER(F23),ISNUMBER(G23),F23&gt;0,1-N(Ввод!$J$19)/100&gt;0),G23/(1-N(Ввод!$J$19)/100),IF(AND(ISNUMBER(I23),ISNUMBER(J23),I23&gt;0),J23/(1+N(Ввод!$J$19)/100),""))</f>
        <v/>
      </c>
    </row>
    <row r="24" ht="22" customHeight="1">
      <c r="B24" s="244" t="n"/>
      <c r="C24" s="243" t="n"/>
      <c r="D24" s="244" t="n"/>
      <c r="E24" s="245" t="n"/>
      <c r="F24" s="246" t="n"/>
      <c r="G24" s="183" t="n"/>
      <c r="H24" s="271" t="str">
        <f>IF(AND(ISNUMBER(F24),ISNUMBER(G24)),F24*G24,"")</f>
        <v/>
      </c>
      <c r="I24" s="246" t="n"/>
      <c r="J24" s="183" t="n"/>
      <c r="K24" s="271" t="str">
        <f>IF(AND(ISNUMBER(I24),ISNUMBER(J24)),I24*J24,"")</f>
        <v/>
      </c>
      <c r="L24" s="246" t="str">
        <f>IF(COUNT(F24,I24)=0,"",N(F24)-N(I24))</f>
        <v/>
      </c>
      <c r="M24" s="247" t="str">
        <f>IF(COUNT(H24,K24)=0,"",N(K24)-N(H24))</f>
        <v/>
      </c>
      <c r="N24" s="246" t="str">
        <f>IF(AND(ISNUMBER(F24),ISNUMBER(G24),F24&gt;0,1-N(Ввод!$J$19)/100&gt;0),G24/(1-N(Ввод!$J$19)/100),IF(AND(ISNUMBER(I24),ISNUMBER(J24),I24&gt;0),J24/(1+N(Ввод!$J$19)/100),""))</f>
        <v/>
      </c>
    </row>
    <row r="25" ht="22" customHeight="1">
      <c r="B25" s="238" t="n"/>
      <c r="C25" s="237" t="n"/>
      <c r="D25" s="238" t="n"/>
      <c r="E25" s="239" t="n"/>
      <c r="F25" s="240" t="n"/>
      <c r="G25" s="177" t="n"/>
      <c r="H25" s="271" t="str">
        <f>IF(AND(ISNUMBER(F25),ISNUMBER(G25)),F25*G25,"")</f>
        <v/>
      </c>
      <c r="I25" s="240" t="n"/>
      <c r="J25" s="177" t="n"/>
      <c r="K25" s="271" t="str">
        <f>IF(AND(ISNUMBER(I25),ISNUMBER(J25)),I25*J25,"")</f>
        <v/>
      </c>
      <c r="L25" s="240" t="str">
        <f>IF(COUNT(F25,I25)=0,"",N(F25)-N(I25))</f>
        <v/>
      </c>
      <c r="M25" s="241" t="str">
        <f>IF(COUNT(H25,K25)=0,"",N(K25)-N(H25))</f>
        <v/>
      </c>
      <c r="N25" s="240" t="str">
        <f>IF(AND(ISNUMBER(F25),ISNUMBER(G25),F25&gt;0,1-N(Ввод!$J$19)/100&gt;0),G25/(1-N(Ввод!$J$19)/100),IF(AND(ISNUMBER(I25),ISNUMBER(J25),I25&gt;0),J25/(1+N(Ввод!$J$19)/100),""))</f>
        <v/>
      </c>
    </row>
    <row r="26" ht="22" customHeight="1">
      <c r="B26" s="244" t="n"/>
      <c r="C26" s="243" t="n"/>
      <c r="D26" s="244" t="n"/>
      <c r="E26" s="245" t="n"/>
      <c r="F26" s="246" t="n"/>
      <c r="G26" s="183" t="n"/>
      <c r="H26" s="271" t="str">
        <f>IF(AND(ISNUMBER(F26),ISNUMBER(G26)),F26*G26,"")</f>
        <v/>
      </c>
      <c r="I26" s="246" t="n"/>
      <c r="J26" s="183" t="n"/>
      <c r="K26" s="271" t="str">
        <f>IF(AND(ISNUMBER(I26),ISNUMBER(J26)),I26*J26,"")</f>
        <v/>
      </c>
      <c r="L26" s="246" t="str">
        <f>IF(COUNT(F26,I26)=0,"",N(F26)-N(I26))</f>
        <v/>
      </c>
      <c r="M26" s="247" t="str">
        <f>IF(COUNT(H26,K26)=0,"",N(K26)-N(H26))</f>
        <v/>
      </c>
      <c r="N26" s="246" t="str">
        <f>IF(AND(ISNUMBER(F26),ISNUMBER(G26),F26&gt;0,1-N(Ввод!$J$19)/100&gt;0),G26/(1-N(Ввод!$J$19)/100),IF(AND(ISNUMBER(I26),ISNUMBER(J26),I26&gt;0),J26/(1+N(Ввод!$J$19)/100),""))</f>
        <v/>
      </c>
    </row>
    <row r="27" ht="22" customHeight="1">
      <c r="B27" s="238" t="n"/>
      <c r="C27" s="237" t="n"/>
      <c r="D27" s="238" t="n"/>
      <c r="E27" s="239" t="n"/>
      <c r="F27" s="240" t="n"/>
      <c r="G27" s="177" t="n"/>
      <c r="H27" s="271" t="str">
        <f>IF(AND(ISNUMBER(F27),ISNUMBER(G27)),F27*G27,"")</f>
        <v/>
      </c>
      <c r="I27" s="240" t="n"/>
      <c r="J27" s="177" t="n"/>
      <c r="K27" s="271" t="str">
        <f>IF(AND(ISNUMBER(I27),ISNUMBER(J27)),I27*J27,"")</f>
        <v/>
      </c>
      <c r="L27" s="240" t="str">
        <f>IF(COUNT(F27,I27)=0,"",N(F27)-N(I27))</f>
        <v/>
      </c>
      <c r="M27" s="241" t="str">
        <f>IF(COUNT(H27,K27)=0,"",N(K27)-N(H27))</f>
        <v/>
      </c>
      <c r="N27" s="240" t="str">
        <f>IF(AND(ISNUMBER(F27),ISNUMBER(G27),F27&gt;0,1-N(Ввод!$J$19)/100&gt;0),G27/(1-N(Ввод!$J$19)/100),IF(AND(ISNUMBER(I27),ISNUMBER(J27),I27&gt;0),J27/(1+N(Ввод!$J$19)/100),""))</f>
        <v/>
      </c>
    </row>
    <row r="28" ht="22" customHeight="1">
      <c r="B28" s="244" t="n"/>
      <c r="C28" s="243" t="n"/>
      <c r="D28" s="244" t="n"/>
      <c r="E28" s="245" t="n"/>
      <c r="F28" s="246" t="n"/>
      <c r="G28" s="183" t="n"/>
      <c r="H28" s="271" t="str">
        <f>IF(AND(ISNUMBER(F28),ISNUMBER(G28)),F28*G28,"")</f>
        <v/>
      </c>
      <c r="I28" s="246" t="n"/>
      <c r="J28" s="183" t="n"/>
      <c r="K28" s="271" t="str">
        <f>IF(AND(ISNUMBER(I28),ISNUMBER(J28)),I28*J28,"")</f>
        <v/>
      </c>
      <c r="L28" s="246" t="str">
        <f>IF(COUNT(F28,I28)=0,"",N(F28)-N(I28))</f>
        <v/>
      </c>
      <c r="M28" s="247" t="str">
        <f>IF(COUNT(H28,K28)=0,"",N(K28)-N(H28))</f>
        <v/>
      </c>
      <c r="N28" s="246" t="str">
        <f>IF(AND(ISNUMBER(F28),ISNUMBER(G28),F28&gt;0,1-N(Ввод!$J$19)/100&gt;0),G28/(1-N(Ввод!$J$19)/100),IF(AND(ISNUMBER(I28),ISNUMBER(J28),I28&gt;0),J28/(1+N(Ввод!$J$19)/100),""))</f>
        <v/>
      </c>
    </row>
    <row r="29" ht="22" customHeight="1">
      <c r="B29" s="238" t="n"/>
      <c r="C29" s="237" t="n"/>
      <c r="D29" s="238" t="n"/>
      <c r="E29" s="239" t="n"/>
      <c r="F29" s="240" t="n"/>
      <c r="G29" s="177" t="n"/>
      <c r="H29" s="271" t="str">
        <f>IF(AND(ISNUMBER(F29),ISNUMBER(G29)),F29*G29,"")</f>
        <v/>
      </c>
      <c r="I29" s="240" t="n"/>
      <c r="J29" s="177" t="n"/>
      <c r="K29" s="271" t="str">
        <f>IF(AND(ISNUMBER(I29),ISNUMBER(J29)),I29*J29,"")</f>
        <v/>
      </c>
      <c r="L29" s="240" t="str">
        <f>IF(COUNT(F29,I29)=0,"",N(F29)-N(I29))</f>
        <v/>
      </c>
      <c r="M29" s="241" t="str">
        <f>IF(COUNT(H29,K29)=0,"",N(K29)-N(H29))</f>
        <v/>
      </c>
      <c r="N29" s="240" t="str">
        <f>IF(AND(ISNUMBER(F29),ISNUMBER(G29),F29&gt;0,1-N(Ввод!$J$19)/100&gt;0),G29/(1-N(Ввод!$J$19)/100),IF(AND(ISNUMBER(I29),ISNUMBER(J29),I29&gt;0),J29/(1+N(Ввод!$J$19)/100),""))</f>
        <v/>
      </c>
    </row>
    <row r="30" ht="22" customHeight="1">
      <c r="B30" s="244" t="n"/>
      <c r="C30" s="243" t="n"/>
      <c r="D30" s="244" t="n"/>
      <c r="E30" s="245" t="n"/>
      <c r="F30" s="246" t="n"/>
      <c r="G30" s="183" t="n"/>
      <c r="H30" s="271" t="str">
        <f>IF(AND(ISNUMBER(F30),ISNUMBER(G30)),F30*G30,"")</f>
        <v/>
      </c>
      <c r="I30" s="246" t="n"/>
      <c r="J30" s="183" t="n"/>
      <c r="K30" s="271" t="str">
        <f>IF(AND(ISNUMBER(I30),ISNUMBER(J30)),I30*J30,"")</f>
        <v/>
      </c>
      <c r="L30" s="246" t="str">
        <f>IF(COUNT(F30,I30)=0,"",N(F30)-N(I30))</f>
        <v/>
      </c>
      <c r="M30" s="247" t="str">
        <f>IF(COUNT(H30,K30)=0,"",N(K30)-N(H30))</f>
        <v/>
      </c>
      <c r="N30" s="246" t="str">
        <f>IF(AND(ISNUMBER(F30),ISNUMBER(G30),F30&gt;0,1-N(Ввод!$J$19)/100&gt;0),G30/(1-N(Ввод!$J$19)/100),IF(AND(ISNUMBER(I30),ISNUMBER(J30),I30&gt;0),J30/(1+N(Ввод!$J$19)/100),""))</f>
        <v/>
      </c>
    </row>
    <row r="31" ht="22" customHeight="1">
      <c r="B31" s="238" t="n"/>
      <c r="C31" s="237" t="n"/>
      <c r="D31" s="238" t="n"/>
      <c r="E31" s="239" t="n"/>
      <c r="F31" s="240" t="n"/>
      <c r="G31" s="177" t="n"/>
      <c r="H31" s="271" t="str">
        <f>IF(AND(ISNUMBER(F31),ISNUMBER(G31)),F31*G31,"")</f>
        <v/>
      </c>
      <c r="I31" s="240" t="n"/>
      <c r="J31" s="177" t="n"/>
      <c r="K31" s="271" t="str">
        <f>IF(AND(ISNUMBER(I31),ISNUMBER(J31)),I31*J31,"")</f>
        <v/>
      </c>
      <c r="L31" s="240" t="str">
        <f>IF(COUNT(F31,I31)=0,"",N(F31)-N(I31))</f>
        <v/>
      </c>
      <c r="M31" s="241" t="str">
        <f>IF(COUNT(H31,K31)=0,"",N(K31)-N(H31))</f>
        <v/>
      </c>
      <c r="N31" s="240" t="str">
        <f>IF(AND(ISNUMBER(F31),ISNUMBER(G31),F31&gt;0,1-N(Ввод!$J$19)/100&gt;0),G31/(1-N(Ввод!$J$19)/100),IF(AND(ISNUMBER(I31),ISNUMBER(J31),I31&gt;0),J31/(1+N(Ввод!$J$19)/100),""))</f>
        <v/>
      </c>
    </row>
    <row r="32" ht="22" customHeight="1">
      <c r="B32" s="244" t="n"/>
      <c r="C32" s="243" t="n"/>
      <c r="D32" s="244" t="n"/>
      <c r="E32" s="245" t="n"/>
      <c r="F32" s="246" t="n"/>
      <c r="G32" s="183" t="n"/>
      <c r="H32" s="271" t="str">
        <f>IF(AND(ISNUMBER(F32),ISNUMBER(G32)),F32*G32,"")</f>
        <v/>
      </c>
      <c r="I32" s="246" t="n"/>
      <c r="J32" s="183" t="n"/>
      <c r="K32" s="271" t="str">
        <f>IF(AND(ISNUMBER(I32),ISNUMBER(J32)),I32*J32,"")</f>
        <v/>
      </c>
      <c r="L32" s="246" t="str">
        <f>IF(COUNT(F32,I32)=0,"",N(F32)-N(I32))</f>
        <v/>
      </c>
      <c r="M32" s="247" t="str">
        <f>IF(COUNT(H32,K32)=0,"",N(K32)-N(H32))</f>
        <v/>
      </c>
      <c r="N32" s="246" t="str">
        <f>IF(AND(ISNUMBER(F32),ISNUMBER(G32),F32&gt;0,1-N(Ввод!$J$19)/100&gt;0),G32/(1-N(Ввод!$J$19)/100),IF(AND(ISNUMBER(I32),ISNUMBER(J32),I32&gt;0),J32/(1+N(Ввод!$J$19)/100),""))</f>
        <v/>
      </c>
    </row>
    <row r="33" ht="22" customHeight="1">
      <c r="B33" s="238" t="n"/>
      <c r="C33" s="237" t="n"/>
      <c r="D33" s="238" t="n"/>
      <c r="E33" s="239" t="n"/>
      <c r="F33" s="240" t="n"/>
      <c r="G33" s="177" t="n"/>
      <c r="H33" s="271" t="str">
        <f>IF(AND(ISNUMBER(F33),ISNUMBER(G33)),F33*G33,"")</f>
        <v/>
      </c>
      <c r="I33" s="240" t="n"/>
      <c r="J33" s="177" t="n"/>
      <c r="K33" s="271" t="str">
        <f>IF(AND(ISNUMBER(I33),ISNUMBER(J33)),I33*J33,"")</f>
        <v/>
      </c>
      <c r="L33" s="240" t="str">
        <f>IF(COUNT(F33,I33)=0,"",N(F33)-N(I33))</f>
        <v/>
      </c>
      <c r="M33" s="241" t="str">
        <f>IF(COUNT(H33,K33)=0,"",N(K33)-N(H33))</f>
        <v/>
      </c>
      <c r="N33" s="240" t="str">
        <f>IF(AND(ISNUMBER(F33),ISNUMBER(G33),F33&gt;0,1-N(Ввод!$J$19)/100&gt;0),G33/(1-N(Ввод!$J$19)/100),IF(AND(ISNUMBER(I33),ISNUMBER(J33),I33&gt;0),J33/(1+N(Ввод!$J$19)/100),""))</f>
        <v/>
      </c>
    </row>
    <row r="34" ht="22" customHeight="1">
      <c r="B34" s="244" t="n"/>
      <c r="C34" s="243" t="n"/>
      <c r="D34" s="244" t="n"/>
      <c r="E34" s="245" t="n"/>
      <c r="F34" s="246" t="n"/>
      <c r="G34" s="183" t="n"/>
      <c r="H34" s="271" t="str">
        <f>IF(AND(ISNUMBER(F34),ISNUMBER(G34)),F34*G34,"")</f>
        <v/>
      </c>
      <c r="I34" s="246" t="n"/>
      <c r="J34" s="183" t="n"/>
      <c r="K34" s="271" t="str">
        <f>IF(AND(ISNUMBER(I34),ISNUMBER(J34)),I34*J34,"")</f>
        <v/>
      </c>
      <c r="L34" s="246" t="str">
        <f>IF(COUNT(F34,I34)=0,"",N(F34)-N(I34))</f>
        <v/>
      </c>
      <c r="M34" s="247" t="str">
        <f>IF(COUNT(H34,K34)=0,"",N(K34)-N(H34))</f>
        <v/>
      </c>
      <c r="N34" s="246" t="str">
        <f>IF(AND(ISNUMBER(F34),ISNUMBER(G34),F34&gt;0,1-N(Ввод!$J$19)/100&gt;0),G34/(1-N(Ввод!$J$19)/100),IF(AND(ISNUMBER(I34),ISNUMBER(J34),I34&gt;0),J34/(1+N(Ввод!$J$19)/100),""))</f>
        <v/>
      </c>
    </row>
    <row r="35" ht="22" customHeight="1">
      <c r="B35" s="238" t="n"/>
      <c r="C35" s="237" t="n"/>
      <c r="D35" s="238" t="n"/>
      <c r="E35" s="239" t="n"/>
      <c r="F35" s="240" t="n"/>
      <c r="G35" s="177" t="n"/>
      <c r="H35" s="271" t="str">
        <f>IF(AND(ISNUMBER(F35),ISNUMBER(G35)),F35*G35,"")</f>
        <v/>
      </c>
      <c r="I35" s="240" t="n"/>
      <c r="J35" s="177" t="n"/>
      <c r="K35" s="271" t="str">
        <f>IF(AND(ISNUMBER(I35),ISNUMBER(J35)),I35*J35,"")</f>
        <v/>
      </c>
      <c r="L35" s="240" t="str">
        <f>IF(COUNT(F35,I35)=0,"",N(F35)-N(I35))</f>
        <v/>
      </c>
      <c r="M35" s="241" t="str">
        <f>IF(COUNT(H35,K35)=0,"",N(K35)-N(H35))</f>
        <v/>
      </c>
      <c r="N35" s="240" t="str">
        <f>IF(AND(ISNUMBER(F35),ISNUMBER(G35),F35&gt;0,1-N(Ввод!$J$19)/100&gt;0),G35/(1-N(Ввод!$J$19)/100),IF(AND(ISNUMBER(I35),ISNUMBER(J35),I35&gt;0),J35/(1+N(Ввод!$J$19)/100),""))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71" t="str">
        <f>IF(AND(ISNUMBER(F36),ISNUMBER(G36)),F36*G36,"")</f>
        <v/>
      </c>
      <c r="I36" s="246" t="n"/>
      <c r="J36" s="183" t="n"/>
      <c r="K36" s="271" t="str">
        <f>IF(AND(ISNUMBER(I36),ISNUMBER(J36)),I36*J36,"")</f>
        <v/>
      </c>
      <c r="L36" s="246" t="str">
        <f>IF(COUNT(F36,I36)=0,"",N(F36)-N(I36))</f>
        <v/>
      </c>
      <c r="M36" s="247" t="str">
        <f>IF(COUNT(H36,K36)=0,"",N(K36)-N(H36))</f>
        <v/>
      </c>
      <c r="N36" s="246" t="str">
        <f>IF(AND(ISNUMBER(F36),ISNUMBER(G36),F36&gt;0,1-N(Ввод!$J$19)/100&gt;0),G36/(1-N(Ввод!$J$19)/100),IF(AND(ISNUMBER(I36),ISNUMBER(J36),I36&gt;0),J36/(1+N(Ввод!$J$19)/100),""))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71" t="str">
        <f>IF(AND(ISNUMBER(F37),ISNUMBER(G37)),F37*G37,"")</f>
        <v/>
      </c>
      <c r="I37" s="240" t="n"/>
      <c r="J37" s="177" t="n"/>
      <c r="K37" s="271" t="str">
        <f>IF(AND(ISNUMBER(I37),ISNUMBER(J37)),I37*J37,"")</f>
        <v/>
      </c>
      <c r="L37" s="240" t="str">
        <f>IF(COUNT(F37,I37)=0,"",N(F37)-N(I37))</f>
        <v/>
      </c>
      <c r="M37" s="241" t="str">
        <f>IF(COUNT(H37,K37)=0,"",N(K37)-N(H37))</f>
        <v/>
      </c>
      <c r="N37" s="240" t="str">
        <f>IF(AND(ISNUMBER(F37),ISNUMBER(G37),F37&gt;0,1-N(Ввод!$J$19)/100&gt;0),G37/(1-N(Ввод!$J$19)/100),IF(AND(ISNUMBER(I37),ISNUMBER(J37),I37&gt;0),J37/(1+N(Ввод!$J$19)/100),""))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71" t="str">
        <f>IF(AND(ISNUMBER(F38),ISNUMBER(G38)),F38*G38,"")</f>
        <v/>
      </c>
      <c r="I38" s="246" t="n"/>
      <c r="J38" s="183" t="n"/>
      <c r="K38" s="271" t="str">
        <f>IF(AND(ISNUMBER(I38),ISNUMBER(J38)),I38*J38,"")</f>
        <v/>
      </c>
      <c r="L38" s="246" t="str">
        <f>IF(COUNT(F38,I38)=0,"",N(F38)-N(I38))</f>
        <v/>
      </c>
      <c r="M38" s="247" t="str">
        <f>IF(COUNT(H38,K38)=0,"",N(K38)-N(H38))</f>
        <v/>
      </c>
      <c r="N38" s="246" t="str">
        <f>IF(AND(ISNUMBER(F38),ISNUMBER(G38),F38&gt;0,1-N(Ввод!$J$19)/100&gt;0),G38/(1-N(Ввод!$J$19)/100),IF(AND(ISNUMBER(I38),ISNUMBER(J38),I38&gt;0),J38/(1+N(Ввод!$J$19)/100),""))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71" t="str">
        <f>IF(AND(ISNUMBER(F39),ISNUMBER(G39)),F39*G39,"")</f>
        <v/>
      </c>
      <c r="I39" s="240" t="n"/>
      <c r="J39" s="177" t="n"/>
      <c r="K39" s="271" t="str">
        <f>IF(AND(ISNUMBER(I39),ISNUMBER(J39)),I39*J39,"")</f>
        <v/>
      </c>
      <c r="L39" s="240" t="str">
        <f>IF(COUNT(F39,I39)=0,"",N(F39)-N(I39))</f>
        <v/>
      </c>
      <c r="M39" s="241" t="str">
        <f>IF(COUNT(H39,K39)=0,"",N(K39)-N(H39))</f>
        <v/>
      </c>
      <c r="N39" s="240" t="str">
        <f>IF(AND(ISNUMBER(F39),ISNUMBER(G39),F39&gt;0,1-N(Ввод!$J$19)/100&gt;0),G39/(1-N(Ввод!$J$19)/100),IF(AND(ISNUMBER(I39),ISNUMBER(J39),I39&gt;0),J39/(1+N(Ввод!$J$19)/100),""))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71" t="str">
        <f>IF(AND(ISNUMBER(F40),ISNUMBER(G40)),F40*G40,"")</f>
        <v/>
      </c>
      <c r="I40" s="246" t="n"/>
      <c r="J40" s="183" t="n"/>
      <c r="K40" s="271" t="str">
        <f>IF(AND(ISNUMBER(I40),ISNUMBER(J40)),I40*J40,"")</f>
        <v/>
      </c>
      <c r="L40" s="246" t="str">
        <f>IF(COUNT(F40,I40)=0,"",N(F40)-N(I40))</f>
        <v/>
      </c>
      <c r="M40" s="247" t="str">
        <f>IF(COUNT(H40,K40)=0,"",N(K40)-N(H40))</f>
        <v/>
      </c>
      <c r="N40" s="246" t="str">
        <f>IF(AND(ISNUMBER(F40),ISNUMBER(G40),F40&gt;0,1-N(Ввод!$J$19)/100&gt;0),G40/(1-N(Ввод!$J$19)/100),IF(AND(ISNUMBER(I40),ISNUMBER(J40),I40&gt;0),J40/(1+N(Ввод!$J$19)/100),""))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71" t="str">
        <f>IF(AND(ISNUMBER(F41),ISNUMBER(G41)),F41*G41,"")</f>
        <v/>
      </c>
      <c r="I41" s="240" t="n"/>
      <c r="J41" s="177" t="n"/>
      <c r="K41" s="271" t="str">
        <f>IF(AND(ISNUMBER(I41),ISNUMBER(J41)),I41*J41,"")</f>
        <v/>
      </c>
      <c r="L41" s="240" t="str">
        <f>IF(COUNT(F41,I41)=0,"",N(F41)-N(I41))</f>
        <v/>
      </c>
      <c r="M41" s="241" t="str">
        <f>IF(COUNT(H41,K41)=0,"",N(K41)-N(H41))</f>
        <v/>
      </c>
      <c r="N41" s="240" t="str">
        <f>IF(AND(ISNUMBER(F41),ISNUMBER(G41),F41&gt;0,1-N(Ввод!$J$19)/100&gt;0),G41/(1-N(Ввод!$J$19)/100),IF(AND(ISNUMBER(I41),ISNUMBER(J41),I41&gt;0),J41/(1+N(Ввод!$J$19)/100),""))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71" t="str">
        <f>IF(AND(ISNUMBER(F42),ISNUMBER(G42)),F42*G42,"")</f>
        <v/>
      </c>
      <c r="I42" s="246" t="n"/>
      <c r="J42" s="183" t="n"/>
      <c r="K42" s="271" t="str">
        <f>IF(AND(ISNUMBER(I42),ISNUMBER(J42)),I42*J42,"")</f>
        <v/>
      </c>
      <c r="L42" s="246" t="str">
        <f>IF(COUNT(F42,I42)=0,"",N(F42)-N(I42))</f>
        <v/>
      </c>
      <c r="M42" s="247" t="str">
        <f>IF(COUNT(H42,K42)=0,"",N(K42)-N(H42))</f>
        <v/>
      </c>
      <c r="N42" s="246" t="str">
        <f>IF(AND(ISNUMBER(F42),ISNUMBER(G42),F42&gt;0,1-N(Ввод!$J$19)/100&gt;0),G42/(1-N(Ввод!$J$19)/100),IF(AND(ISNUMBER(I42),ISNUMBER(J42),I42&gt;0),J42/(1+N(Ввод!$J$19)/100),""))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71" t="str">
        <f>IF(AND(ISNUMBER(F43),ISNUMBER(G43)),F43*G43,"")</f>
        <v/>
      </c>
      <c r="I43" s="240" t="n"/>
      <c r="J43" s="177" t="n"/>
      <c r="K43" s="271" t="str">
        <f>IF(AND(ISNUMBER(I43),ISNUMBER(J43)),I43*J43,"")</f>
        <v/>
      </c>
      <c r="L43" s="240" t="str">
        <f>IF(COUNT(F43,I43)=0,"",N(F43)-N(I43))</f>
        <v/>
      </c>
      <c r="M43" s="241" t="str">
        <f>IF(COUNT(H43,K43)=0,"",N(K43)-N(H43))</f>
        <v/>
      </c>
      <c r="N43" s="240" t="str">
        <f>IF(AND(ISNUMBER(F43),ISNUMBER(G43),F43&gt;0,1-N(Ввод!$J$19)/100&gt;0),G43/(1-N(Ввод!$J$19)/100),IF(AND(ISNUMBER(I43),ISNUMBER(J43),I43&gt;0),J43/(1+N(Ввод!$J$19)/100),""))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71" t="str">
        <f>IF(AND(ISNUMBER(F44),ISNUMBER(G44)),F44*G44,"")</f>
        <v/>
      </c>
      <c r="I44" s="246" t="n"/>
      <c r="J44" s="183" t="n"/>
      <c r="K44" s="271" t="str">
        <f>IF(AND(ISNUMBER(I44),ISNUMBER(J44)),I44*J44,"")</f>
        <v/>
      </c>
      <c r="L44" s="246" t="str">
        <f>IF(COUNT(F44,I44)=0,"",N(F44)-N(I44))</f>
        <v/>
      </c>
      <c r="M44" s="247" t="str">
        <f>IF(COUNT(H44,K44)=0,"",N(K44)-N(H44))</f>
        <v/>
      </c>
      <c r="N44" s="246" t="str">
        <f>IF(AND(ISNUMBER(F44),ISNUMBER(G44),F44&gt;0,1-N(Ввод!$J$19)/100&gt;0),G44/(1-N(Ввод!$J$19)/100),IF(AND(ISNUMBER(I44),ISNUMBER(J44),I44&gt;0),J44/(1+N(Ввод!$J$19)/100),""))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71" t="str">
        <f>IF(AND(ISNUMBER(F45),ISNUMBER(G45)),F45*G45,"")</f>
        <v/>
      </c>
      <c r="I45" s="240" t="n"/>
      <c r="J45" s="177" t="n"/>
      <c r="K45" s="271" t="str">
        <f>IF(AND(ISNUMBER(I45),ISNUMBER(J45)),I45*J45,"")</f>
        <v/>
      </c>
      <c r="L45" s="240" t="str">
        <f>IF(COUNT(F45,I45)=0,"",N(F45)-N(I45))</f>
        <v/>
      </c>
      <c r="M45" s="241" t="str">
        <f>IF(COUNT(H45,K45)=0,"",N(K45)-N(H45))</f>
        <v/>
      </c>
      <c r="N45" s="240" t="str">
        <f>IF(AND(ISNUMBER(F45),ISNUMBER(G45),F45&gt;0,1-N(Ввод!$J$19)/100&gt;0),G45/(1-N(Ввод!$J$19)/100),IF(AND(ISNUMBER(I45),ISNUMBER(J45),I45&gt;0),J45/(1+N(Ввод!$J$19)/100),""))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71" t="str">
        <f>IF(AND(ISNUMBER(F46),ISNUMBER(G46)),F46*G46,"")</f>
        <v/>
      </c>
      <c r="I46" s="246" t="n"/>
      <c r="J46" s="183" t="n"/>
      <c r="K46" s="271" t="str">
        <f>IF(AND(ISNUMBER(I46),ISNUMBER(J46)),I46*J46,"")</f>
        <v/>
      </c>
      <c r="L46" s="246" t="str">
        <f>IF(COUNT(F46,I46)=0,"",N(F46)-N(I46))</f>
        <v/>
      </c>
      <c r="M46" s="247" t="str">
        <f>IF(COUNT(H46,K46)=0,"",N(K46)-N(H46))</f>
        <v/>
      </c>
      <c r="N46" s="246" t="str">
        <f>IF(AND(ISNUMBER(F46),ISNUMBER(G46),F46&gt;0,1-N(Ввод!$J$19)/100&gt;0),G46/(1-N(Ввод!$J$19)/100),IF(AND(ISNUMBER(I46),ISNUMBER(J46),I46&gt;0),J46/(1+N(Ввод!$J$19)/100),""))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71" t="str">
        <f>IF(AND(ISNUMBER(F47),ISNUMBER(G47)),F47*G47,"")</f>
        <v/>
      </c>
      <c r="I47" s="240" t="n"/>
      <c r="J47" s="177" t="n"/>
      <c r="K47" s="271" t="str">
        <f>IF(AND(ISNUMBER(I47),ISNUMBER(J47)),I47*J47,"")</f>
        <v/>
      </c>
      <c r="L47" s="240" t="str">
        <f>IF(COUNT(F47,I47)=0,"",N(F47)-N(I47))</f>
        <v/>
      </c>
      <c r="M47" s="241" t="str">
        <f>IF(COUNT(H47,K47)=0,"",N(K47)-N(H47))</f>
        <v/>
      </c>
      <c r="N47" s="240" t="str">
        <f>IF(AND(ISNUMBER(F47),ISNUMBER(G47),F47&gt;0,1-N(Ввод!$J$19)/100&gt;0),G47/(1-N(Ввод!$J$19)/100),IF(AND(ISNUMBER(I47),ISNUMBER(J47),I47&gt;0),J47/(1+N(Ввод!$J$19)/100),""))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71" t="str">
        <f>IF(AND(ISNUMBER(F48),ISNUMBER(G48)),F48*G48,"")</f>
        <v/>
      </c>
      <c r="I48" s="246" t="n"/>
      <c r="J48" s="183" t="n"/>
      <c r="K48" s="271" t="str">
        <f>IF(AND(ISNUMBER(I48),ISNUMBER(J48)),I48*J48,"")</f>
        <v/>
      </c>
      <c r="L48" s="246" t="str">
        <f>IF(COUNT(F48,I48)=0,"",N(F48)-N(I48))</f>
        <v/>
      </c>
      <c r="M48" s="247" t="str">
        <f>IF(COUNT(H48,K48)=0,"",N(K48)-N(H48))</f>
        <v/>
      </c>
      <c r="N48" s="246" t="str">
        <f>IF(AND(ISNUMBER(F48),ISNUMBER(G48),F48&gt;0,1-N(Ввод!$J$19)/100&gt;0),G48/(1-N(Ввод!$J$19)/100),IF(AND(ISNUMBER(I48),ISNUMBER(J48),I48&gt;0),J48/(1+N(Ввод!$J$19)/100),""))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71" t="str">
        <f>IF(AND(ISNUMBER(F49),ISNUMBER(G49)),F49*G49,"")</f>
        <v/>
      </c>
      <c r="I49" s="240" t="n"/>
      <c r="J49" s="177" t="n"/>
      <c r="K49" s="271" t="str">
        <f>IF(AND(ISNUMBER(I49),ISNUMBER(J49)),I49*J49,"")</f>
        <v/>
      </c>
      <c r="L49" s="240" t="str">
        <f>IF(COUNT(F49,I49)=0,"",N(F49)-N(I49))</f>
        <v/>
      </c>
      <c r="M49" s="241" t="str">
        <f>IF(COUNT(H49,K49)=0,"",N(K49)-N(H49))</f>
        <v/>
      </c>
      <c r="N49" s="240" t="str">
        <f>IF(AND(ISNUMBER(F49),ISNUMBER(G49),F49&gt;0,1-N(Ввод!$J$19)/100&gt;0),G49/(1-N(Ввод!$J$19)/100),IF(AND(ISNUMBER(I49),ISNUMBER(J49),I49&gt;0),J49/(1+N(Ввод!$J$19)/100),""))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71" t="str">
        <f>IF(AND(ISNUMBER(F50),ISNUMBER(G50)),F50*G50,"")</f>
        <v/>
      </c>
      <c r="I50" s="246" t="n"/>
      <c r="J50" s="183" t="n"/>
      <c r="K50" s="271" t="str">
        <f>IF(AND(ISNUMBER(I50),ISNUMBER(J50)),I50*J50,"")</f>
        <v/>
      </c>
      <c r="L50" s="246" t="str">
        <f>IF(COUNT(F50,I50)=0,"",N(F50)-N(I50))</f>
        <v/>
      </c>
      <c r="M50" s="247" t="str">
        <f>IF(COUNT(H50,K50)=0,"",N(K50)-N(H50))</f>
        <v/>
      </c>
      <c r="N50" s="246" t="str">
        <f>IF(AND(ISNUMBER(F50),ISNUMBER(G50),F50&gt;0,1-N(Ввод!$J$19)/100&gt;0),G50/(1-N(Ввод!$J$19)/100),IF(AND(ISNUMBER(I50),ISNUMBER(J50),I50&gt;0),J50/(1+N(Ввод!$J$19)/100),""))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71" t="str">
        <f>IF(AND(ISNUMBER(F51),ISNUMBER(G51)),F51*G51,"")</f>
        <v/>
      </c>
      <c r="I51" s="240" t="n"/>
      <c r="J51" s="177" t="n"/>
      <c r="K51" s="271" t="str">
        <f>IF(AND(ISNUMBER(I51),ISNUMBER(J51)),I51*J51,"")</f>
        <v/>
      </c>
      <c r="L51" s="240" t="str">
        <f>IF(COUNT(F51,I51)=0,"",N(F51)-N(I51))</f>
        <v/>
      </c>
      <c r="M51" s="241" t="str">
        <f>IF(COUNT(H51,K51)=0,"",N(K51)-N(H51))</f>
        <v/>
      </c>
      <c r="N51" s="240" t="str">
        <f>IF(AND(ISNUMBER(F51),ISNUMBER(G51),F51&gt;0,1-N(Ввод!$J$19)/100&gt;0),G51/(1-N(Ввод!$J$19)/100),IF(AND(ISNUMBER(I51),ISNUMBER(J51),I51&gt;0),J51/(1+N(Ввод!$J$19)/100),""))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71" t="str">
        <f>IF(AND(ISNUMBER(F52),ISNUMBER(G52)),F52*G52,"")</f>
        <v/>
      </c>
      <c r="I52" s="246" t="n"/>
      <c r="J52" s="183" t="n"/>
      <c r="K52" s="271" t="str">
        <f>IF(AND(ISNUMBER(I52),ISNUMBER(J52)),I52*J52,"")</f>
        <v/>
      </c>
      <c r="L52" s="246" t="str">
        <f>IF(COUNT(F52,I52)=0,"",N(F52)-N(I52))</f>
        <v/>
      </c>
      <c r="M52" s="247" t="str">
        <f>IF(COUNT(H52,K52)=0,"",N(K52)-N(H52))</f>
        <v/>
      </c>
      <c r="N52" s="246" t="str">
        <f>IF(AND(ISNUMBER(F52),ISNUMBER(G52),F52&gt;0,1-N(Ввод!$J$19)/100&gt;0),G52/(1-N(Ввод!$J$19)/100),IF(AND(ISNUMBER(I52),ISNUMBER(J52),I52&gt;0),J52/(1+N(Ввод!$J$19)/100),""))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71" t="str">
        <f>IF(AND(ISNUMBER(F53),ISNUMBER(G53)),F53*G53,"")</f>
        <v/>
      </c>
      <c r="I53" s="240" t="n"/>
      <c r="J53" s="177" t="n"/>
      <c r="K53" s="271" t="str">
        <f>IF(AND(ISNUMBER(I53),ISNUMBER(J53)),I53*J53,"")</f>
        <v/>
      </c>
      <c r="L53" s="240" t="str">
        <f>IF(COUNT(F53,I53)=0,"",N(F53)-N(I53))</f>
        <v/>
      </c>
      <c r="M53" s="241" t="str">
        <f>IF(COUNT(H53,K53)=0,"",N(K53)-N(H53))</f>
        <v/>
      </c>
      <c r="N53" s="240" t="str">
        <f>IF(AND(ISNUMBER(F53),ISNUMBER(G53),F53&gt;0,1-N(Ввод!$J$19)/100&gt;0),G53/(1-N(Ввод!$J$19)/100),IF(AND(ISNUMBER(I53),ISNUMBER(J53),I53&gt;0),J53/(1+N(Ввод!$J$19)/100),""))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71" t="str">
        <f>IF(AND(ISNUMBER(F54),ISNUMBER(G54)),F54*G54,"")</f>
        <v/>
      </c>
      <c r="I54" s="246" t="n"/>
      <c r="J54" s="183" t="n"/>
      <c r="K54" s="271" t="str">
        <f>IF(AND(ISNUMBER(I54),ISNUMBER(J54)),I54*J54,"")</f>
        <v/>
      </c>
      <c r="L54" s="246" t="str">
        <f>IF(COUNT(F54,I54)=0,"",N(F54)-N(I54))</f>
        <v/>
      </c>
      <c r="M54" s="247" t="str">
        <f>IF(COUNT(H54,K54)=0,"",N(K54)-N(H54))</f>
        <v/>
      </c>
      <c r="N54" s="246" t="str">
        <f>IF(AND(ISNUMBER(F54),ISNUMBER(G54),F54&gt;0,1-N(Ввод!$J$19)/100&gt;0),G54/(1-N(Ввод!$J$19)/100),IF(AND(ISNUMBER(I54),ISNUMBER(J54),I54&gt;0),J54/(1+N(Ввод!$J$19)/100),""))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71" t="str">
        <f>IF(AND(ISNUMBER(F55),ISNUMBER(G55)),F55*G55,"")</f>
        <v/>
      </c>
      <c r="I55" s="240" t="n"/>
      <c r="J55" s="177" t="n"/>
      <c r="K55" s="271" t="str">
        <f>IF(AND(ISNUMBER(I55),ISNUMBER(J55)),I55*J55,"")</f>
        <v/>
      </c>
      <c r="L55" s="240" t="str">
        <f>IF(COUNT(F55,I55)=0,"",N(F55)-N(I55))</f>
        <v/>
      </c>
      <c r="M55" s="241" t="str">
        <f>IF(COUNT(H55,K55)=0,"",N(K55)-N(H55))</f>
        <v/>
      </c>
      <c r="N55" s="240" t="str">
        <f>IF(AND(ISNUMBER(F55),ISNUMBER(G55),F55&gt;0,1-N(Ввод!$J$19)/100&gt;0),G55/(1-N(Ввод!$J$19)/100),IF(AND(ISNUMBER(I55),ISNUMBER(J55),I55&gt;0),J55/(1+N(Ввод!$J$19)/100),""))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71" t="str">
        <f>IF(AND(ISNUMBER(F56),ISNUMBER(G56)),F56*G56,"")</f>
        <v/>
      </c>
      <c r="I56" s="246" t="n"/>
      <c r="J56" s="183" t="n"/>
      <c r="K56" s="271" t="str">
        <f>IF(AND(ISNUMBER(I56),ISNUMBER(J56)),I56*J56,"")</f>
        <v/>
      </c>
      <c r="L56" s="246" t="str">
        <f>IF(COUNT(F56,I56)=0,"",N(F56)-N(I56))</f>
        <v/>
      </c>
      <c r="M56" s="247" t="str">
        <f>IF(COUNT(H56,K56)=0,"",N(K56)-N(H56))</f>
        <v/>
      </c>
      <c r="N56" s="246" t="str">
        <f>IF(AND(ISNUMBER(F56),ISNUMBER(G56),F56&gt;0,1-N(Ввод!$J$19)/100&gt;0),G56/(1-N(Ввод!$J$19)/100),IF(AND(ISNUMBER(I56),ISNUMBER(J56),I56&gt;0),J56/(1+N(Ввод!$J$19)/100),""))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71" t="str">
        <f>IF(AND(ISNUMBER(F57),ISNUMBER(G57)),F57*G57,"")</f>
        <v/>
      </c>
      <c r="I57" s="240" t="n"/>
      <c r="J57" s="177" t="n"/>
      <c r="K57" s="271" t="str">
        <f>IF(AND(ISNUMBER(I57),ISNUMBER(J57)),I57*J57,"")</f>
        <v/>
      </c>
      <c r="L57" s="240" t="str">
        <f>IF(COUNT(F57,I57)=0,"",N(F57)-N(I57))</f>
        <v/>
      </c>
      <c r="M57" s="241" t="str">
        <f>IF(COUNT(H57,K57)=0,"",N(K57)-N(H57))</f>
        <v/>
      </c>
      <c r="N57" s="240" t="str">
        <f>IF(AND(ISNUMBER(F57),ISNUMBER(G57),F57&gt;0,1-N(Ввод!$J$19)/100&gt;0),G57/(1-N(Ввод!$J$19)/100),IF(AND(ISNUMBER(I57),ISNUMBER(J57),I57&gt;0),J57/(1+N(Ввод!$J$19)/100),""))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71" t="str">
        <f>IF(AND(ISNUMBER(F58),ISNUMBER(G58)),F58*G58,"")</f>
        <v/>
      </c>
      <c r="I58" s="246" t="n"/>
      <c r="J58" s="183" t="n"/>
      <c r="K58" s="271" t="str">
        <f>IF(AND(ISNUMBER(I58),ISNUMBER(J58)),I58*J58,"")</f>
        <v/>
      </c>
      <c r="L58" s="246" t="str">
        <f>IF(COUNT(F58,I58)=0,"",N(F58)-N(I58))</f>
        <v/>
      </c>
      <c r="M58" s="247" t="str">
        <f>IF(COUNT(H58,K58)=0,"",N(K58)-N(H58))</f>
        <v/>
      </c>
      <c r="N58" s="246" t="str">
        <f>IF(AND(ISNUMBER(F58),ISNUMBER(G58),F58&gt;0,1-N(Ввод!$J$19)/100&gt;0),G58/(1-N(Ввод!$J$19)/100),IF(AND(ISNUMBER(I58),ISNUMBER(J58),I58&gt;0),J58/(1+N(Ввод!$J$19)/100),""))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71" t="str">
        <f>IF(AND(ISNUMBER(F59),ISNUMBER(G59)),F59*G59,"")</f>
        <v/>
      </c>
      <c r="I59" s="240" t="n"/>
      <c r="J59" s="177" t="n"/>
      <c r="K59" s="271" t="str">
        <f>IF(AND(ISNUMBER(I59),ISNUMBER(J59)),I59*J59,"")</f>
        <v/>
      </c>
      <c r="L59" s="240" t="str">
        <f>IF(COUNT(F59,I59)=0,"",N(F59)-N(I59))</f>
        <v/>
      </c>
      <c r="M59" s="241" t="str">
        <f>IF(COUNT(H59,K59)=0,"",N(K59)-N(H59))</f>
        <v/>
      </c>
      <c r="N59" s="240" t="str">
        <f>IF(AND(ISNUMBER(F59),ISNUMBER(G59),F59&gt;0,1-N(Ввод!$J$19)/100&gt;0),G59/(1-N(Ввод!$J$19)/100),IF(AND(ISNUMBER(I59),ISNUMBER(J59),I59&gt;0),J59/(1+N(Ввод!$J$19)/100),""))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71" t="str">
        <f>IF(AND(ISNUMBER(F60),ISNUMBER(G60)),F60*G60,"")</f>
        <v/>
      </c>
      <c r="I60" s="246" t="n"/>
      <c r="J60" s="183" t="n"/>
      <c r="K60" s="271" t="str">
        <f>IF(AND(ISNUMBER(I60),ISNUMBER(J60)),I60*J60,"")</f>
        <v/>
      </c>
      <c r="L60" s="246" t="str">
        <f>IF(COUNT(F60,I60)=0,"",N(F60)-N(I60))</f>
        <v/>
      </c>
      <c r="M60" s="247" t="str">
        <f>IF(COUNT(H60,K60)=0,"",N(K60)-N(H60))</f>
        <v/>
      </c>
      <c r="N60" s="246" t="str">
        <f>IF(AND(ISNUMBER(F60),ISNUMBER(G60),F60&gt;0,1-N(Ввод!$J$19)/100&gt;0),G60/(1-N(Ввод!$J$19)/100),IF(AND(ISNUMBER(I60),ISNUMBER(J60),I60&gt;0),J60/(1+N(Ввод!$J$19)/100),""))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71" t="str">
        <f>IF(AND(ISNUMBER(F61),ISNUMBER(G61)),F61*G61,"")</f>
        <v/>
      </c>
      <c r="I61" s="240" t="n"/>
      <c r="J61" s="177" t="n"/>
      <c r="K61" s="271" t="str">
        <f>IF(AND(ISNUMBER(I61),ISNUMBER(J61)),I61*J61,"")</f>
        <v/>
      </c>
      <c r="L61" s="240" t="str">
        <f>IF(COUNT(F61,I61)=0,"",N(F61)-N(I61))</f>
        <v/>
      </c>
      <c r="M61" s="241" t="str">
        <f>IF(COUNT(H61,K61)=0,"",N(K61)-N(H61))</f>
        <v/>
      </c>
      <c r="N61" s="240" t="str">
        <f>IF(AND(ISNUMBER(F61),ISNUMBER(G61),F61&gt;0,1-N(Ввод!$J$19)/100&gt;0),G61/(1-N(Ввод!$J$19)/100),IF(AND(ISNUMBER(I61),ISNUMBER(J61),I61&gt;0),J61/(1+N(Ввод!$J$19)/100),""))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71" t="str">
        <f>IF(AND(ISNUMBER(F62),ISNUMBER(G62)),F62*G62,"")</f>
        <v/>
      </c>
      <c r="I62" s="246" t="n"/>
      <c r="J62" s="183" t="n"/>
      <c r="K62" s="271" t="str">
        <f>IF(AND(ISNUMBER(I62),ISNUMBER(J62)),I62*J62,"")</f>
        <v/>
      </c>
      <c r="L62" s="246" t="str">
        <f>IF(COUNT(F62,I62)=0,"",N(F62)-N(I62))</f>
        <v/>
      </c>
      <c r="M62" s="247" t="str">
        <f>IF(COUNT(H62,K62)=0,"",N(K62)-N(H62))</f>
        <v/>
      </c>
      <c r="N62" s="246" t="str">
        <f>IF(AND(ISNUMBER(F62),ISNUMBER(G62),F62&gt;0,1-N(Ввод!$J$19)/100&gt;0),G62/(1-N(Ввод!$J$19)/100),IF(AND(ISNUMBER(I62),ISNUMBER(J62),I62&gt;0),J62/(1+N(Ввод!$J$19)/100),""))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71" t="str">
        <f>IF(AND(ISNUMBER(F63),ISNUMBER(G63)),F63*G63,"")</f>
        <v/>
      </c>
      <c r="I63" s="240" t="n"/>
      <c r="J63" s="177" t="n"/>
      <c r="K63" s="271" t="str">
        <f>IF(AND(ISNUMBER(I63),ISNUMBER(J63)),I63*J63,"")</f>
        <v/>
      </c>
      <c r="L63" s="240" t="str">
        <f>IF(COUNT(F63,I63)=0,"",N(F63)-N(I63))</f>
        <v/>
      </c>
      <c r="M63" s="241" t="str">
        <f>IF(COUNT(H63,K63)=0,"",N(K63)-N(H63))</f>
        <v/>
      </c>
      <c r="N63" s="240" t="str">
        <f>IF(AND(ISNUMBER(F63),ISNUMBER(G63),F63&gt;0,1-N(Ввод!$J$19)/100&gt;0),G63/(1-N(Ввод!$J$19)/100),IF(AND(ISNUMBER(I63),ISNUMBER(J63),I63&gt;0),J63/(1+N(Ввод!$J$19)/100),""))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71" t="str">
        <f>IF(AND(ISNUMBER(F64),ISNUMBER(G64)),F64*G64,"")</f>
        <v/>
      </c>
      <c r="I64" s="246" t="n"/>
      <c r="J64" s="183" t="n"/>
      <c r="K64" s="271" t="str">
        <f>IF(AND(ISNUMBER(I64),ISNUMBER(J64)),I64*J64,"")</f>
        <v/>
      </c>
      <c r="L64" s="246" t="str">
        <f>IF(COUNT(F64,I64)=0,"",N(F64)-N(I64))</f>
        <v/>
      </c>
      <c r="M64" s="247" t="str">
        <f>IF(COUNT(H64,K64)=0,"",N(K64)-N(H64))</f>
        <v/>
      </c>
      <c r="N64" s="246" t="str">
        <f>IF(AND(ISNUMBER(F64),ISNUMBER(G64),F64&gt;0,1-N(Ввод!$J$19)/100&gt;0),G64/(1-N(Ввод!$J$19)/100),IF(AND(ISNUMBER(I64),ISNUMBER(J64),I64&gt;0),J64/(1+N(Ввод!$J$19)/100),""))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71" t="str">
        <f>IF(AND(ISNUMBER(F65),ISNUMBER(G65)),F65*G65,"")</f>
        <v/>
      </c>
      <c r="I65" s="240" t="n"/>
      <c r="J65" s="177" t="n"/>
      <c r="K65" s="271" t="str">
        <f>IF(AND(ISNUMBER(I65),ISNUMBER(J65)),I65*J65,"")</f>
        <v/>
      </c>
      <c r="L65" s="240" t="str">
        <f>IF(COUNT(F65,I65)=0,"",N(F65)-N(I65))</f>
        <v/>
      </c>
      <c r="M65" s="241" t="str">
        <f>IF(COUNT(H65,K65)=0,"",N(K65)-N(H65))</f>
        <v/>
      </c>
      <c r="N65" s="240" t="str">
        <f>IF(AND(ISNUMBER(F65),ISNUMBER(G65),F65&gt;0,1-N(Ввод!$J$19)/100&gt;0),G65/(1-N(Ввод!$J$19)/100),IF(AND(ISNUMBER(I65),ISNUMBER(J65),I65&gt;0),J65/(1+N(Ввод!$J$19)/100),""))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71" t="str">
        <f>IF(AND(ISNUMBER(F66),ISNUMBER(G66)),F66*G66,"")</f>
        <v/>
      </c>
      <c r="I66" s="246" t="n"/>
      <c r="J66" s="183" t="n"/>
      <c r="K66" s="271" t="str">
        <f>IF(AND(ISNUMBER(I66),ISNUMBER(J66)),I66*J66,"")</f>
        <v/>
      </c>
      <c r="L66" s="246" t="str">
        <f>IF(COUNT(F66,I66)=0,"",N(F66)-N(I66))</f>
        <v/>
      </c>
      <c r="M66" s="247" t="str">
        <f>IF(COUNT(H66,K66)=0,"",N(K66)-N(H66))</f>
        <v/>
      </c>
      <c r="N66" s="246" t="str">
        <f>IF(AND(ISNUMBER(F66),ISNUMBER(G66),F66&gt;0,1-N(Ввод!$J$19)/100&gt;0),G66/(1-N(Ввод!$J$19)/100),IF(AND(ISNUMBER(I66),ISNUMBER(J66),I66&gt;0),J66/(1+N(Ввод!$J$19)/100),""))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71" t="str">
        <f>IF(AND(ISNUMBER(F67),ISNUMBER(G67)),F67*G67,"")</f>
        <v/>
      </c>
      <c r="I67" s="240" t="n"/>
      <c r="J67" s="177" t="n"/>
      <c r="K67" s="271" t="str">
        <f>IF(AND(ISNUMBER(I67),ISNUMBER(J67)),I67*J67,"")</f>
        <v/>
      </c>
      <c r="L67" s="240" t="str">
        <f>IF(COUNT(F67,I67)=0,"",N(F67)-N(I67))</f>
        <v/>
      </c>
      <c r="M67" s="241" t="str">
        <f>IF(COUNT(H67,K67)=0,"",N(K67)-N(H67))</f>
        <v/>
      </c>
      <c r="N67" s="240" t="str">
        <f>IF(AND(ISNUMBER(F67),ISNUMBER(G67),F67&gt;0,1-N(Ввод!$J$19)/100&gt;0),G67/(1-N(Ввод!$J$19)/100),IF(AND(ISNUMBER(I67),ISNUMBER(J67),I67&gt;0),J67/(1+N(Ввод!$J$19)/100),""))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71" t="str">
        <f>IF(AND(ISNUMBER(F68),ISNUMBER(G68)),F68*G68,"")</f>
        <v/>
      </c>
      <c r="I68" s="246" t="n"/>
      <c r="J68" s="183" t="n"/>
      <c r="K68" s="271" t="str">
        <f>IF(AND(ISNUMBER(I68),ISNUMBER(J68)),I68*J68,"")</f>
        <v/>
      </c>
      <c r="L68" s="246" t="str">
        <f>IF(COUNT(F68,I68)=0,"",N(F68)-N(I68))</f>
        <v/>
      </c>
      <c r="M68" s="247" t="str">
        <f>IF(COUNT(H68,K68)=0,"",N(K68)-N(H68))</f>
        <v/>
      </c>
      <c r="N68" s="246" t="str">
        <f>IF(AND(ISNUMBER(F68),ISNUMBER(G68),F68&gt;0,1-N(Ввод!$J$19)/100&gt;0),G68/(1-N(Ввод!$J$19)/100),IF(AND(ISNUMBER(I68),ISNUMBER(J68),I68&gt;0),J68/(1+N(Ввод!$J$19)/100),""))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71" t="str">
        <f>IF(AND(ISNUMBER(F69),ISNUMBER(G69)),F69*G69,"")</f>
        <v/>
      </c>
      <c r="I69" s="240" t="n"/>
      <c r="J69" s="177" t="n"/>
      <c r="K69" s="271" t="str">
        <f>IF(AND(ISNUMBER(I69),ISNUMBER(J69)),I69*J69,"")</f>
        <v/>
      </c>
      <c r="L69" s="240" t="str">
        <f>IF(COUNT(F69,I69)=0,"",N(F69)-N(I69))</f>
        <v/>
      </c>
      <c r="M69" s="241" t="str">
        <f>IF(COUNT(H69,K69)=0,"",N(K69)-N(H69))</f>
        <v/>
      </c>
      <c r="N69" s="240" t="str">
        <f>IF(AND(ISNUMBER(F69),ISNUMBER(G69),F69&gt;0,1-N(Ввод!$J$19)/100&gt;0),G69/(1-N(Ввод!$J$19)/100),IF(AND(ISNUMBER(I69),ISNUMBER(J69),I69&gt;0),J69/(1+N(Ввод!$J$19)/100),""))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71" t="str">
        <f>IF(AND(ISNUMBER(F70),ISNUMBER(G70)),F70*G70,"")</f>
        <v/>
      </c>
      <c r="I70" s="246" t="n"/>
      <c r="J70" s="183" t="n"/>
      <c r="K70" s="271" t="str">
        <f>IF(AND(ISNUMBER(I70),ISNUMBER(J70)),I70*J70,"")</f>
        <v/>
      </c>
      <c r="L70" s="246" t="str">
        <f>IF(COUNT(F70,I70)=0,"",N(F70)-N(I70))</f>
        <v/>
      </c>
      <c r="M70" s="247" t="str">
        <f>IF(COUNT(H70,K70)=0,"",N(K70)-N(H70))</f>
        <v/>
      </c>
      <c r="N70" s="246" t="str">
        <f>IF(AND(ISNUMBER(F70),ISNUMBER(G70),F70&gt;0,1-N(Ввод!$J$19)/100&gt;0),G70/(1-N(Ввод!$J$19)/100),IF(AND(ISNUMBER(I70),ISNUMBER(J70),I70&gt;0),J70/(1+N(Ввод!$J$19)/100),""))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71" t="str">
        <f>IF(AND(ISNUMBER(F71),ISNUMBER(G71)),F71*G71,"")</f>
        <v/>
      </c>
      <c r="I71" s="240" t="n"/>
      <c r="J71" s="177" t="n"/>
      <c r="K71" s="271" t="str">
        <f>IF(AND(ISNUMBER(I71),ISNUMBER(J71)),I71*J71,"")</f>
        <v/>
      </c>
      <c r="L71" s="240" t="str">
        <f>IF(COUNT(F71,I71)=0,"",N(F71)-N(I71))</f>
        <v/>
      </c>
      <c r="M71" s="241" t="str">
        <f>IF(COUNT(H71,K71)=0,"",N(K71)-N(H71))</f>
        <v/>
      </c>
      <c r="N71" s="240" t="str">
        <f>IF(AND(ISNUMBER(F71),ISNUMBER(G71),F71&gt;0,1-N(Ввод!$J$19)/100&gt;0),G71/(1-N(Ввод!$J$19)/100),IF(AND(ISNUMBER(I71),ISNUMBER(J71),I71&gt;0),J71/(1+N(Ввод!$J$19)/100),""))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71" t="str">
        <f>IF(AND(ISNUMBER(F72),ISNUMBER(G72)),F72*G72,"")</f>
        <v/>
      </c>
      <c r="I72" s="246" t="n"/>
      <c r="J72" s="183" t="n"/>
      <c r="K72" s="271" t="str">
        <f>IF(AND(ISNUMBER(I72),ISNUMBER(J72)),I72*J72,"")</f>
        <v/>
      </c>
      <c r="L72" s="246" t="str">
        <f>IF(COUNT(F72,I72)=0,"",N(F72)-N(I72))</f>
        <v/>
      </c>
      <c r="M72" s="247" t="str">
        <f>IF(COUNT(H72,K72)=0,"",N(K72)-N(H72))</f>
        <v/>
      </c>
      <c r="N72" s="246" t="str">
        <f>IF(AND(ISNUMBER(F72),ISNUMBER(G72),F72&gt;0,1-N(Ввод!$J$19)/100&gt;0),G72/(1-N(Ввод!$J$19)/100),IF(AND(ISNUMBER(I72),ISNUMBER(J72),I72&gt;0),J72/(1+N(Ввод!$J$19)/100),""))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71" t="str">
        <f>IF(AND(ISNUMBER(F73),ISNUMBER(G73)),F73*G73,"")</f>
        <v/>
      </c>
      <c r="I73" s="240" t="n"/>
      <c r="J73" s="177" t="n"/>
      <c r="K73" s="271" t="str">
        <f>IF(AND(ISNUMBER(I73),ISNUMBER(J73)),I73*J73,"")</f>
        <v/>
      </c>
      <c r="L73" s="240" t="str">
        <f>IF(COUNT(F73,I73)=0,"",N(F73)-N(I73))</f>
        <v/>
      </c>
      <c r="M73" s="241" t="str">
        <f>IF(COUNT(H73,K73)=0,"",N(K73)-N(H73))</f>
        <v/>
      </c>
      <c r="N73" s="240" t="str">
        <f>IF(AND(ISNUMBER(F73),ISNUMBER(G73),F73&gt;0,1-N(Ввод!$J$19)/100&gt;0),G73/(1-N(Ввод!$J$19)/100),IF(AND(ISNUMBER(I73),ISNUMBER(J73),I73&gt;0),J73/(1+N(Ввод!$J$19)/100),""))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71" t="str">
        <f>IF(AND(ISNUMBER(F74),ISNUMBER(G74)),F74*G74,"")</f>
        <v/>
      </c>
      <c r="I74" s="246" t="n"/>
      <c r="J74" s="183" t="n"/>
      <c r="K74" s="271" t="str">
        <f>IF(AND(ISNUMBER(I74),ISNUMBER(J74)),I74*J74,"")</f>
        <v/>
      </c>
      <c r="L74" s="246" t="str">
        <f>IF(COUNT(F74,I74)=0,"",N(F74)-N(I74))</f>
        <v/>
      </c>
      <c r="M74" s="247" t="str">
        <f>IF(COUNT(H74,K74)=0,"",N(K74)-N(H74))</f>
        <v/>
      </c>
      <c r="N74" s="246" t="str">
        <f>IF(AND(ISNUMBER(F74),ISNUMBER(G74),F74&gt;0,1-N(Ввод!$J$19)/100&gt;0),G74/(1-N(Ввод!$J$19)/100),IF(AND(ISNUMBER(I74),ISNUMBER(J74),I74&gt;0),J74/(1+N(Ввод!$J$19)/100),""))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71" t="str">
        <f>IF(AND(ISNUMBER(F75),ISNUMBER(G75)),F75*G75,"")</f>
        <v/>
      </c>
      <c r="I75" s="240" t="n"/>
      <c r="J75" s="177" t="n"/>
      <c r="K75" s="271" t="str">
        <f>IF(AND(ISNUMBER(I75),ISNUMBER(J75)),I75*J75,"")</f>
        <v/>
      </c>
      <c r="L75" s="240" t="str">
        <f>IF(COUNT(F75,I75)=0,"",N(F75)-N(I75))</f>
        <v/>
      </c>
      <c r="M75" s="241" t="str">
        <f>IF(COUNT(H75,K75)=0,"",N(K75)-N(H75))</f>
        <v/>
      </c>
      <c r="N75" s="240" t="str">
        <f>IF(AND(ISNUMBER(F75),ISNUMBER(G75),F75&gt;0,1-N(Ввод!$J$19)/100&gt;0),G75/(1-N(Ввод!$J$19)/100),IF(AND(ISNUMBER(I75),ISNUMBER(J75),I75&gt;0),J75/(1+N(Ввод!$J$19)/100),""))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71" t="str">
        <f>IF(AND(ISNUMBER(F76),ISNUMBER(G76)),F76*G76,"")</f>
        <v/>
      </c>
      <c r="I76" s="246" t="n"/>
      <c r="J76" s="183" t="n"/>
      <c r="K76" s="271" t="str">
        <f>IF(AND(ISNUMBER(I76),ISNUMBER(J76)),I76*J76,"")</f>
        <v/>
      </c>
      <c r="L76" s="246" t="str">
        <f>IF(COUNT(F76,I76)=0,"",N(F76)-N(I76))</f>
        <v/>
      </c>
      <c r="M76" s="247" t="str">
        <f>IF(COUNT(H76,K76)=0,"",N(K76)-N(H76))</f>
        <v/>
      </c>
      <c r="N76" s="246" t="str">
        <f>IF(AND(ISNUMBER(F76),ISNUMBER(G76),F76&gt;0,1-N(Ввод!$J$19)/100&gt;0),G76/(1-N(Ввод!$J$19)/100),IF(AND(ISNUMBER(I76),ISNUMBER(J76),I76&gt;0),J76/(1+N(Ввод!$J$19)/100),""))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71" t="str">
        <f>IF(AND(ISNUMBER(F77),ISNUMBER(G77)),F77*G77,"")</f>
        <v/>
      </c>
      <c r="I77" s="240" t="n"/>
      <c r="J77" s="177" t="n"/>
      <c r="K77" s="271" t="str">
        <f>IF(AND(ISNUMBER(I77),ISNUMBER(J77)),I77*J77,"")</f>
        <v/>
      </c>
      <c r="L77" s="240" t="str">
        <f>IF(COUNT(F77,I77)=0,"",N(F77)-N(I77))</f>
        <v/>
      </c>
      <c r="M77" s="241" t="str">
        <f>IF(COUNT(H77,K77)=0,"",N(K77)-N(H77))</f>
        <v/>
      </c>
      <c r="N77" s="240" t="str">
        <f>IF(AND(ISNUMBER(F77),ISNUMBER(G77),F77&gt;0,1-N(Ввод!$J$19)/100&gt;0),G77/(1-N(Ввод!$J$19)/100),IF(AND(ISNUMBER(I77),ISNUMBER(J77),I77&gt;0),J77/(1+N(Ввод!$J$19)/100),""))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71" t="str">
        <f>IF(AND(ISNUMBER(F78),ISNUMBER(G78)),F78*G78,"")</f>
        <v/>
      </c>
      <c r="I78" s="246" t="n"/>
      <c r="J78" s="183" t="n"/>
      <c r="K78" s="271" t="str">
        <f>IF(AND(ISNUMBER(I78),ISNUMBER(J78)),I78*J78,"")</f>
        <v/>
      </c>
      <c r="L78" s="246" t="str">
        <f>IF(COUNT(F78,I78)=0,"",N(F78)-N(I78))</f>
        <v/>
      </c>
      <c r="M78" s="247" t="str">
        <f>IF(COUNT(H78,K78)=0,"",N(K78)-N(H78))</f>
        <v/>
      </c>
      <c r="N78" s="246" t="str">
        <f>IF(AND(ISNUMBER(F78),ISNUMBER(G78),F78&gt;0,1-N(Ввод!$J$19)/100&gt;0),G78/(1-N(Ввод!$J$19)/100),IF(AND(ISNUMBER(I78),ISNUMBER(J78),I78&gt;0),J78/(1+N(Ввод!$J$19)/100),""))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71" t="str">
        <f>IF(AND(ISNUMBER(F79),ISNUMBER(G79)),F79*G79,"")</f>
        <v/>
      </c>
      <c r="I79" s="240" t="n"/>
      <c r="J79" s="177" t="n"/>
      <c r="K79" s="271" t="str">
        <f>IF(AND(ISNUMBER(I79),ISNUMBER(J79)),I79*J79,"")</f>
        <v/>
      </c>
      <c r="L79" s="240" t="str">
        <f>IF(COUNT(F79,I79)=0,"",N(F79)-N(I79))</f>
        <v/>
      </c>
      <c r="M79" s="241" t="str">
        <f>IF(COUNT(H79,K79)=0,"",N(K79)-N(H79))</f>
        <v/>
      </c>
      <c r="N79" s="240" t="str">
        <f>IF(AND(ISNUMBER(F79),ISNUMBER(G79),F79&gt;0,1-N(Ввод!$J$19)/100&gt;0),G79/(1-N(Ввод!$J$19)/100),IF(AND(ISNUMBER(I79),ISNUMBER(J79),I79&gt;0),J79/(1+N(Ввод!$J$19)/100),""))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71" t="str">
        <f>IF(AND(ISNUMBER(F80),ISNUMBER(G80)),F80*G80,"")</f>
        <v/>
      </c>
      <c r="I80" s="246" t="n"/>
      <c r="J80" s="183" t="n"/>
      <c r="K80" s="271" t="str">
        <f>IF(AND(ISNUMBER(I80),ISNUMBER(J80)),I80*J80,"")</f>
        <v/>
      </c>
      <c r="L80" s="246" t="str">
        <f>IF(COUNT(F80,I80)=0,"",N(F80)-N(I80))</f>
        <v/>
      </c>
      <c r="M80" s="247" t="str">
        <f>IF(COUNT(H80,K80)=0,"",N(K80)-N(H80))</f>
        <v/>
      </c>
      <c r="N80" s="246" t="str">
        <f>IF(AND(ISNUMBER(F80),ISNUMBER(G80),F80&gt;0,1-N(Ввод!$J$19)/100&gt;0),G80/(1-N(Ввод!$J$19)/100),IF(AND(ISNUMBER(I80),ISNUMBER(J80),I80&gt;0),J80/(1+N(Ввод!$J$19)/100),""))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71" t="str">
        <f>IF(AND(ISNUMBER(F81),ISNUMBER(G81)),F81*G81,"")</f>
        <v/>
      </c>
      <c r="I81" s="240" t="n"/>
      <c r="J81" s="177" t="n"/>
      <c r="K81" s="271" t="str">
        <f>IF(AND(ISNUMBER(I81),ISNUMBER(J81)),I81*J81,"")</f>
        <v/>
      </c>
      <c r="L81" s="240" t="str">
        <f>IF(COUNT(F81,I81)=0,"",N(F81)-N(I81))</f>
        <v/>
      </c>
      <c r="M81" s="241" t="str">
        <f>IF(COUNT(H81,K81)=0,"",N(K81)-N(H81))</f>
        <v/>
      </c>
      <c r="N81" s="240" t="str">
        <f>IF(AND(ISNUMBER(F81),ISNUMBER(G81),F81&gt;0,1-N(Ввод!$J$19)/100&gt;0),G81/(1-N(Ввод!$J$19)/100),IF(AND(ISNUMBER(I81),ISNUMBER(J81),I81&gt;0),J81/(1+N(Ввод!$J$19)/100),""))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71" t="str">
        <f>IF(AND(ISNUMBER(F82),ISNUMBER(G82)),F82*G82,"")</f>
        <v/>
      </c>
      <c r="I82" s="246" t="n"/>
      <c r="J82" s="183" t="n"/>
      <c r="K82" s="271" t="str">
        <f>IF(AND(ISNUMBER(I82),ISNUMBER(J82)),I82*J82,"")</f>
        <v/>
      </c>
      <c r="L82" s="246" t="str">
        <f>IF(COUNT(F82,I82)=0,"",N(F82)-N(I82))</f>
        <v/>
      </c>
      <c r="M82" s="247" t="str">
        <f>IF(COUNT(H82,K82)=0,"",N(K82)-N(H82))</f>
        <v/>
      </c>
      <c r="N82" s="246" t="str">
        <f>IF(AND(ISNUMBER(F82),ISNUMBER(G82),F82&gt;0,1-N(Ввод!$J$19)/100&gt;0),G82/(1-N(Ввод!$J$19)/100),IF(AND(ISNUMBER(I82),ISNUMBER(J82),I82&gt;0),J82/(1+N(Ввод!$J$19)/100),""))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71" t="str">
        <f>IF(AND(ISNUMBER(F83),ISNUMBER(G83)),F83*G83,"")</f>
        <v/>
      </c>
      <c r="I83" s="240" t="n"/>
      <c r="J83" s="177" t="n"/>
      <c r="K83" s="271" t="str">
        <f>IF(AND(ISNUMBER(I83),ISNUMBER(J83)),I83*J83,"")</f>
        <v/>
      </c>
      <c r="L83" s="240" t="str">
        <f>IF(COUNT(F83,I83)=0,"",N(F83)-N(I83))</f>
        <v/>
      </c>
      <c r="M83" s="241" t="str">
        <f>IF(COUNT(H83,K83)=0,"",N(K83)-N(H83))</f>
        <v/>
      </c>
      <c r="N83" s="240" t="str">
        <f>IF(AND(ISNUMBER(F83),ISNUMBER(G83),F83&gt;0,1-N(Ввод!$J$19)/100&gt;0),G83/(1-N(Ввод!$J$19)/100),IF(AND(ISNUMBER(I83),ISNUMBER(J83),I83&gt;0),J83/(1+N(Ввод!$J$19)/100),""))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71" t="str">
        <f>IF(AND(ISNUMBER(F84),ISNUMBER(G84)),F84*G84,"")</f>
        <v/>
      </c>
      <c r="I84" s="246" t="n"/>
      <c r="J84" s="183" t="n"/>
      <c r="K84" s="271" t="str">
        <f>IF(AND(ISNUMBER(I84),ISNUMBER(J84)),I84*J84,"")</f>
        <v/>
      </c>
      <c r="L84" s="246" t="str">
        <f>IF(COUNT(F84,I84)=0,"",N(F84)-N(I84))</f>
        <v/>
      </c>
      <c r="M84" s="247" t="str">
        <f>IF(COUNT(H84,K84)=0,"",N(K84)-N(H84))</f>
        <v/>
      </c>
      <c r="N84" s="246" t="str">
        <f>IF(AND(ISNUMBER(F84),ISNUMBER(G84),F84&gt;0,1-N(Ввод!$J$19)/100&gt;0),G84/(1-N(Ввод!$J$19)/100),IF(AND(ISNUMBER(I84),ISNUMBER(J84),I84&gt;0),J84/(1+N(Ввод!$J$19)/100),""))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71" t="str">
        <f>IF(AND(ISNUMBER(F85),ISNUMBER(G85)),F85*G85,"")</f>
        <v/>
      </c>
      <c r="I85" s="240" t="n"/>
      <c r="J85" s="177" t="n"/>
      <c r="K85" s="271" t="str">
        <f>IF(AND(ISNUMBER(I85),ISNUMBER(J85)),I85*J85,"")</f>
        <v/>
      </c>
      <c r="L85" s="240" t="str">
        <f>IF(COUNT(F85,I85)=0,"",N(F85)-N(I85))</f>
        <v/>
      </c>
      <c r="M85" s="241" t="str">
        <f>IF(COUNT(H85,K85)=0,"",N(K85)-N(H85))</f>
        <v/>
      </c>
      <c r="N85" s="240" t="str">
        <f>IF(AND(ISNUMBER(F85),ISNUMBER(G85),F85&gt;0,1-N(Ввод!$J$19)/100&gt;0),G85/(1-N(Ввод!$J$19)/100),IF(AND(ISNUMBER(I85),ISNUMBER(J85),I85&gt;0),J85/(1+N(Ввод!$J$19)/100),""))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71" t="str">
        <f>IF(AND(ISNUMBER(F86),ISNUMBER(G86)),F86*G86,"")</f>
        <v/>
      </c>
      <c r="I86" s="246" t="n"/>
      <c r="J86" s="183" t="n"/>
      <c r="K86" s="271" t="str">
        <f>IF(AND(ISNUMBER(I86),ISNUMBER(J86)),I86*J86,"")</f>
        <v/>
      </c>
      <c r="L86" s="246" t="str">
        <f>IF(COUNT(F86,I86)=0,"",N(F86)-N(I86))</f>
        <v/>
      </c>
      <c r="M86" s="247" t="str">
        <f>IF(COUNT(H86,K86)=0,"",N(K86)-N(H86))</f>
        <v/>
      </c>
      <c r="N86" s="246" t="str">
        <f>IF(AND(ISNUMBER(F86),ISNUMBER(G86),F86&gt;0,1-N(Ввод!$J$19)/100&gt;0),G86/(1-N(Ввод!$J$19)/100),IF(AND(ISNUMBER(I86),ISNUMBER(J86),I86&gt;0),J86/(1+N(Ввод!$J$19)/100),""))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71" t="str">
        <f>IF(AND(ISNUMBER(F87),ISNUMBER(G87)),F87*G87,"")</f>
        <v/>
      </c>
      <c r="I87" s="240" t="n"/>
      <c r="J87" s="177" t="n"/>
      <c r="K87" s="271" t="str">
        <f>IF(AND(ISNUMBER(I87),ISNUMBER(J87)),I87*J87,"")</f>
        <v/>
      </c>
      <c r="L87" s="240" t="str">
        <f>IF(COUNT(F87,I87)=0,"",N(F87)-N(I87))</f>
        <v/>
      </c>
      <c r="M87" s="241" t="str">
        <f>IF(COUNT(H87,K87)=0,"",N(K87)-N(H87))</f>
        <v/>
      </c>
      <c r="N87" s="240" t="str">
        <f>IF(AND(ISNUMBER(F87),ISNUMBER(G87),F87&gt;0,1-N(Ввод!$J$19)/100&gt;0),G87/(1-N(Ввод!$J$19)/100),IF(AND(ISNUMBER(I87),ISNUMBER(J87),I87&gt;0),J87/(1+N(Ввод!$J$19)/100),""))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71" t="str">
        <f>IF(AND(ISNUMBER(F88),ISNUMBER(G88)),F88*G88,"")</f>
        <v/>
      </c>
      <c r="I88" s="246" t="n"/>
      <c r="J88" s="183" t="n"/>
      <c r="K88" s="271" t="str">
        <f>IF(AND(ISNUMBER(I88),ISNUMBER(J88)),I88*J88,"")</f>
        <v/>
      </c>
      <c r="L88" s="246" t="str">
        <f>IF(COUNT(F88,I88)=0,"",N(F88)-N(I88))</f>
        <v/>
      </c>
      <c r="M88" s="247" t="str">
        <f>IF(COUNT(H88,K88)=0,"",N(K88)-N(H88))</f>
        <v/>
      </c>
      <c r="N88" s="246" t="str">
        <f>IF(AND(ISNUMBER(F88),ISNUMBER(G88),F88&gt;0,1-N(Ввод!$J$19)/100&gt;0),G88/(1-N(Ввод!$J$19)/100),IF(AND(ISNUMBER(I88),ISNUMBER(J88),I88&gt;0),J88/(1+N(Ввод!$J$19)/100),""))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71" t="str">
        <f>IF(AND(ISNUMBER(F89),ISNUMBER(G89)),F89*G89,"")</f>
        <v/>
      </c>
      <c r="I89" s="240" t="n"/>
      <c r="J89" s="177" t="n"/>
      <c r="K89" s="271" t="str">
        <f>IF(AND(ISNUMBER(I89),ISNUMBER(J89)),I89*J89,"")</f>
        <v/>
      </c>
      <c r="L89" s="240" t="str">
        <f>IF(COUNT(F89,I89)=0,"",N(F89)-N(I89))</f>
        <v/>
      </c>
      <c r="M89" s="241" t="str">
        <f>IF(COUNT(H89,K89)=0,"",N(K89)-N(H89))</f>
        <v/>
      </c>
      <c r="N89" s="240" t="str">
        <f>IF(AND(ISNUMBER(F89),ISNUMBER(G89),F89&gt;0,1-N(Ввод!$J$19)/100&gt;0),G89/(1-N(Ввод!$J$19)/100),IF(AND(ISNUMBER(I89),ISNUMBER(J89),I89&gt;0),J89/(1+N(Ввод!$J$19)/100),""))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71" t="str">
        <f>IF(AND(ISNUMBER(F90),ISNUMBER(G90)),F90*G90,"")</f>
        <v/>
      </c>
      <c r="I90" s="246" t="n"/>
      <c r="J90" s="183" t="n"/>
      <c r="K90" s="271" t="str">
        <f>IF(AND(ISNUMBER(I90),ISNUMBER(J90)),I90*J90,"")</f>
        <v/>
      </c>
      <c r="L90" s="246" t="str">
        <f>IF(COUNT(F90,I90)=0,"",N(F90)-N(I90))</f>
        <v/>
      </c>
      <c r="M90" s="247" t="str">
        <f>IF(COUNT(H90,K90)=0,"",N(K90)-N(H90))</f>
        <v/>
      </c>
      <c r="N90" s="246" t="str">
        <f>IF(AND(ISNUMBER(F90),ISNUMBER(G90),F90&gt;0,1-N(Ввод!$J$19)/100&gt;0),G90/(1-N(Ввод!$J$19)/100),IF(AND(ISNUMBER(I90),ISNUMBER(J90),I90&gt;0),J90/(1+N(Ввод!$J$19)/100),""))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71" t="str">
        <f>IF(AND(ISNUMBER(F91),ISNUMBER(G91)),F91*G91,"")</f>
        <v/>
      </c>
      <c r="I91" s="240" t="n"/>
      <c r="J91" s="177" t="n"/>
      <c r="K91" s="271" t="str">
        <f>IF(AND(ISNUMBER(I91),ISNUMBER(J91)),I91*J91,"")</f>
        <v/>
      </c>
      <c r="L91" s="240" t="str">
        <f>IF(COUNT(F91,I91)=0,"",N(F91)-N(I91))</f>
        <v/>
      </c>
      <c r="M91" s="241" t="str">
        <f>IF(COUNT(H91,K91)=0,"",N(K91)-N(H91))</f>
        <v/>
      </c>
      <c r="N91" s="240" t="str">
        <f>IF(AND(ISNUMBER(F91),ISNUMBER(G91),F91&gt;0,1-N(Ввод!$J$19)/100&gt;0),G91/(1-N(Ввод!$J$19)/100),IF(AND(ISNUMBER(I91),ISNUMBER(J91),I91&gt;0),J91/(1+N(Ввод!$J$19)/100),""))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71" t="str">
        <f>IF(AND(ISNUMBER(F92),ISNUMBER(G92)),F92*G92,"")</f>
        <v/>
      </c>
      <c r="I92" s="246" t="n"/>
      <c r="J92" s="183" t="n"/>
      <c r="K92" s="271" t="str">
        <f>IF(AND(ISNUMBER(I92),ISNUMBER(J92)),I92*J92,"")</f>
        <v/>
      </c>
      <c r="L92" s="246" t="str">
        <f>IF(COUNT(F92,I92)=0,"",N(F92)-N(I92))</f>
        <v/>
      </c>
      <c r="M92" s="247" t="str">
        <f>IF(COUNT(H92,K92)=0,"",N(K92)-N(H92))</f>
        <v/>
      </c>
      <c r="N92" s="246" t="str">
        <f>IF(AND(ISNUMBER(F92),ISNUMBER(G92),F92&gt;0,1-N(Ввод!$J$19)/100&gt;0),G92/(1-N(Ввод!$J$19)/100),IF(AND(ISNUMBER(I92),ISNUMBER(J92),I92&gt;0),J92/(1+N(Ввод!$J$19)/100),""))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71" t="str">
        <f>IF(AND(ISNUMBER(F93),ISNUMBER(G93)),F93*G93,"")</f>
        <v/>
      </c>
      <c r="I93" s="240" t="n"/>
      <c r="J93" s="177" t="n"/>
      <c r="K93" s="271" t="str">
        <f>IF(AND(ISNUMBER(I93),ISNUMBER(J93)),I93*J93,"")</f>
        <v/>
      </c>
      <c r="L93" s="240" t="str">
        <f>IF(COUNT(F93,I93)=0,"",N(F93)-N(I93))</f>
        <v/>
      </c>
      <c r="M93" s="241" t="str">
        <f>IF(COUNT(H93,K93)=0,"",N(K93)-N(H93))</f>
        <v/>
      </c>
      <c r="N93" s="240" t="str">
        <f>IF(AND(ISNUMBER(F93),ISNUMBER(G93),F93&gt;0,1-N(Ввод!$J$19)/100&gt;0),G93/(1-N(Ввод!$J$19)/100),IF(AND(ISNUMBER(I93),ISNUMBER(J93),I93&gt;0),J93/(1+N(Ввод!$J$19)/100),""))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71" t="str">
        <f>IF(AND(ISNUMBER(F94),ISNUMBER(G94)),F94*G94,"")</f>
        <v/>
      </c>
      <c r="I94" s="246" t="n"/>
      <c r="J94" s="183" t="n"/>
      <c r="K94" s="271" t="str">
        <f>IF(AND(ISNUMBER(I94),ISNUMBER(J94)),I94*J94,"")</f>
        <v/>
      </c>
      <c r="L94" s="246" t="str">
        <f>IF(COUNT(F94,I94)=0,"",N(F94)-N(I94))</f>
        <v/>
      </c>
      <c r="M94" s="247" t="str">
        <f>IF(COUNT(H94,K94)=0,"",N(K94)-N(H94))</f>
        <v/>
      </c>
      <c r="N94" s="246" t="str">
        <f>IF(AND(ISNUMBER(F94),ISNUMBER(G94),F94&gt;0,1-N(Ввод!$J$19)/100&gt;0),G94/(1-N(Ввод!$J$19)/100),IF(AND(ISNUMBER(I94),ISNUMBER(J94),I94&gt;0),J94/(1+N(Ввод!$J$19)/100),""))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71" t="str">
        <f>IF(AND(ISNUMBER(F95),ISNUMBER(G95)),F95*G95,"")</f>
        <v/>
      </c>
      <c r="I95" s="240" t="n"/>
      <c r="J95" s="177" t="n"/>
      <c r="K95" s="271" t="str">
        <f>IF(AND(ISNUMBER(I95),ISNUMBER(J95)),I95*J95,"")</f>
        <v/>
      </c>
      <c r="L95" s="240" t="str">
        <f>IF(COUNT(F95,I95)=0,"",N(F95)-N(I95))</f>
        <v/>
      </c>
      <c r="M95" s="241" t="str">
        <f>IF(COUNT(H95,K95)=0,"",N(K95)-N(H95))</f>
        <v/>
      </c>
      <c r="N95" s="240" t="str">
        <f>IF(AND(ISNUMBER(F95),ISNUMBER(G95),F95&gt;0,1-N(Ввод!$J$19)/100&gt;0),G95/(1-N(Ввод!$J$19)/100),IF(AND(ISNUMBER(I95),ISNUMBER(J95),I95&gt;0),J95/(1+N(Ввод!$J$19)/100),""))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71" t="str">
        <f>IF(AND(ISNUMBER(F96),ISNUMBER(G96)),F96*G96,"")</f>
        <v/>
      </c>
      <c r="I96" s="246" t="n"/>
      <c r="J96" s="183" t="n"/>
      <c r="K96" s="271" t="str">
        <f>IF(AND(ISNUMBER(I96),ISNUMBER(J96)),I96*J96,"")</f>
        <v/>
      </c>
      <c r="L96" s="246" t="str">
        <f>IF(COUNT(F96,I96)=0,"",N(F96)-N(I96))</f>
        <v/>
      </c>
      <c r="M96" s="247" t="str">
        <f>IF(COUNT(H96,K96)=0,"",N(K96)-N(H96))</f>
        <v/>
      </c>
      <c r="N96" s="246" t="str">
        <f>IF(AND(ISNUMBER(F96),ISNUMBER(G96),F96&gt;0,1-N(Ввод!$J$19)/100&gt;0),G96/(1-N(Ввод!$J$19)/100),IF(AND(ISNUMBER(I96),ISNUMBER(J96),I96&gt;0),J96/(1+N(Ввод!$J$19)/100),""))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71" t="str">
        <f>IF(AND(ISNUMBER(F97),ISNUMBER(G97)),F97*G97,"")</f>
        <v/>
      </c>
      <c r="I97" s="240" t="n"/>
      <c r="J97" s="177" t="n"/>
      <c r="K97" s="271" t="str">
        <f>IF(AND(ISNUMBER(I97),ISNUMBER(J97)),I97*J97,"")</f>
        <v/>
      </c>
      <c r="L97" s="240" t="str">
        <f>IF(COUNT(F97,I97)=0,"",N(F97)-N(I97))</f>
        <v/>
      </c>
      <c r="M97" s="241" t="str">
        <f>IF(COUNT(H97,K97)=0,"",N(K97)-N(H97))</f>
        <v/>
      </c>
      <c r="N97" s="240" t="str">
        <f>IF(AND(ISNUMBER(F97),ISNUMBER(G97),F97&gt;0,1-N(Ввод!$J$19)/100&gt;0),G97/(1-N(Ввод!$J$19)/100),IF(AND(ISNUMBER(I97),ISNUMBER(J97),I97&gt;0),J97/(1+N(Ввод!$J$19)/100),""))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71" t="str">
        <f>IF(AND(ISNUMBER(F98),ISNUMBER(G98)),F98*G98,"")</f>
        <v/>
      </c>
      <c r="I98" s="246" t="n"/>
      <c r="J98" s="183" t="n"/>
      <c r="K98" s="271" t="str">
        <f>IF(AND(ISNUMBER(I98),ISNUMBER(J98)),I98*J98,"")</f>
        <v/>
      </c>
      <c r="L98" s="246" t="str">
        <f>IF(COUNT(F98,I98)=0,"",N(F98)-N(I98))</f>
        <v/>
      </c>
      <c r="M98" s="247" t="str">
        <f>IF(COUNT(H98,K98)=0,"",N(K98)-N(H98))</f>
        <v/>
      </c>
      <c r="N98" s="246" t="str">
        <f>IF(AND(ISNUMBER(F98),ISNUMBER(G98),F98&gt;0,1-N(Ввод!$J$19)/100&gt;0),G98/(1-N(Ввод!$J$19)/100),IF(AND(ISNUMBER(I98),ISNUMBER(J98),I98&gt;0),J98/(1+N(Ввод!$J$19)/100),""))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71" t="str">
        <f>IF(AND(ISNUMBER(F99),ISNUMBER(G99)),F99*G99,"")</f>
        <v/>
      </c>
      <c r="I99" s="240" t="n"/>
      <c r="J99" s="177" t="n"/>
      <c r="K99" s="271" t="str">
        <f>IF(AND(ISNUMBER(I99),ISNUMBER(J99)),I99*J99,"")</f>
        <v/>
      </c>
      <c r="L99" s="240" t="str">
        <f>IF(COUNT(F99,I99)=0,"",N(F99)-N(I99))</f>
        <v/>
      </c>
      <c r="M99" s="241" t="str">
        <f>IF(COUNT(H99,K99)=0,"",N(K99)-N(H99))</f>
        <v/>
      </c>
      <c r="N99" s="240" t="str">
        <f>IF(AND(ISNUMBER(F99),ISNUMBER(G99),F99&gt;0,1-N(Ввод!$J$19)/100&gt;0),G99/(1-N(Ввод!$J$19)/100),IF(AND(ISNUMBER(I99),ISNUMBER(J99),I99&gt;0),J99/(1+N(Ввод!$J$19)/100),""))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71" t="str">
        <f>IF(AND(ISNUMBER(F100),ISNUMBER(G100)),F100*G100,"")</f>
        <v/>
      </c>
      <c r="I100" s="246" t="n"/>
      <c r="J100" s="183" t="n"/>
      <c r="K100" s="271" t="str">
        <f>IF(AND(ISNUMBER(I100),ISNUMBER(J100)),I100*J100,"")</f>
        <v/>
      </c>
      <c r="L100" s="246" t="str">
        <f>IF(COUNT(F100,I100)=0,"",N(F100)-N(I100))</f>
        <v/>
      </c>
      <c r="M100" s="247" t="str">
        <f>IF(COUNT(H100,K100)=0,"",N(K100)-N(H100))</f>
        <v/>
      </c>
      <c r="N100" s="246" t="str">
        <f>IF(AND(ISNUMBER(F100),ISNUMBER(G100),F100&gt;0,1-N(Ввод!$J$19)/100&gt;0),G100/(1-N(Ввод!$J$19)/100),IF(AND(ISNUMBER(I100),ISNUMBER(J100),I100&gt;0),J100/(1+N(Ввод!$J$19)/100),""))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71" t="str">
        <f>IF(AND(ISNUMBER(F101),ISNUMBER(G101)),F101*G101,"")</f>
        <v/>
      </c>
      <c r="I101" s="240" t="n"/>
      <c r="J101" s="177" t="n"/>
      <c r="K101" s="271" t="str">
        <f>IF(AND(ISNUMBER(I101),ISNUMBER(J101)),I101*J101,"")</f>
        <v/>
      </c>
      <c r="L101" s="240" t="str">
        <f>IF(COUNT(F101,I101)=0,"",N(F101)-N(I101))</f>
        <v/>
      </c>
      <c r="M101" s="241" t="str">
        <f>IF(COUNT(H101,K101)=0,"",N(K101)-N(H101))</f>
        <v/>
      </c>
      <c r="N101" s="240" t="str">
        <f>IF(AND(ISNUMBER(F101),ISNUMBER(G101),F101&gt;0,1-N(Ввод!$J$19)/100&gt;0),G101/(1-N(Ввод!$J$19)/100),IF(AND(ISNUMBER(I101),ISNUMBER(J101),I101&gt;0),J101/(1+N(Ввод!$J$19)/100),""))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71" t="str">
        <f>IF(AND(ISNUMBER(F102),ISNUMBER(G102)),F102*G102,"")</f>
        <v/>
      </c>
      <c r="I102" s="246" t="n"/>
      <c r="J102" s="183" t="n"/>
      <c r="K102" s="271" t="str">
        <f>IF(AND(ISNUMBER(I102),ISNUMBER(J102)),I102*J102,"")</f>
        <v/>
      </c>
      <c r="L102" s="246" t="str">
        <f>IF(COUNT(F102,I102)=0,"",N(F102)-N(I102))</f>
        <v/>
      </c>
      <c r="M102" s="247" t="str">
        <f>IF(COUNT(H102,K102)=0,"",N(K102)-N(H102))</f>
        <v/>
      </c>
      <c r="N102" s="246" t="str">
        <f>IF(AND(ISNUMBER(F102),ISNUMBER(G102),F102&gt;0,1-N(Ввод!$J$19)/100&gt;0),G102/(1-N(Ввод!$J$19)/100),IF(AND(ISNUMBER(I102),ISNUMBER(J102),I102&gt;0),J102/(1+N(Ввод!$J$19)/100),""))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71" t="str">
        <f>IF(AND(ISNUMBER(F103),ISNUMBER(G103)),F103*G103,"")</f>
        <v/>
      </c>
      <c r="I103" s="240" t="n"/>
      <c r="J103" s="177" t="n"/>
      <c r="K103" s="271" t="str">
        <f>IF(AND(ISNUMBER(I103),ISNUMBER(J103)),I103*J103,"")</f>
        <v/>
      </c>
      <c r="L103" s="240" t="str">
        <f>IF(COUNT(F103,I103)=0,"",N(F103)-N(I103))</f>
        <v/>
      </c>
      <c r="M103" s="241" t="str">
        <f>IF(COUNT(H103,K103)=0,"",N(K103)-N(H103))</f>
        <v/>
      </c>
      <c r="N103" s="240" t="str">
        <f>IF(AND(ISNUMBER(F103),ISNUMBER(G103),F103&gt;0,1-N(Ввод!$J$19)/100&gt;0),G103/(1-N(Ввод!$J$19)/100),IF(AND(ISNUMBER(I103),ISNUMBER(J103),I103&gt;0),J103/(1+N(Ввод!$J$19)/100),""))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71" t="str">
        <f>IF(AND(ISNUMBER(F104),ISNUMBER(G104)),F104*G104,"")</f>
        <v/>
      </c>
      <c r="I104" s="246" t="n"/>
      <c r="J104" s="183" t="n"/>
      <c r="K104" s="271" t="str">
        <f>IF(AND(ISNUMBER(I104),ISNUMBER(J104)),I104*J104,"")</f>
        <v/>
      </c>
      <c r="L104" s="246" t="str">
        <f>IF(COUNT(F104,I104)=0,"",N(F104)-N(I104))</f>
        <v/>
      </c>
      <c r="M104" s="247" t="str">
        <f>IF(COUNT(H104,K104)=0,"",N(K104)-N(H104))</f>
        <v/>
      </c>
      <c r="N104" s="246" t="str">
        <f>IF(AND(ISNUMBER(F104),ISNUMBER(G104),F104&gt;0,1-N(Ввод!$J$19)/100&gt;0),G104/(1-N(Ввод!$J$19)/100),IF(AND(ISNUMBER(I104),ISNUMBER(J104),I104&gt;0),J104/(1+N(Ввод!$J$19)/100),""))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71" t="str">
        <f>IF(AND(ISNUMBER(F105),ISNUMBER(G105)),F105*G105,"")</f>
        <v/>
      </c>
      <c r="I105" s="240" t="n"/>
      <c r="J105" s="177" t="n"/>
      <c r="K105" s="271" t="str">
        <f>IF(AND(ISNUMBER(I105),ISNUMBER(J105)),I105*J105,"")</f>
        <v/>
      </c>
      <c r="L105" s="240" t="str">
        <f>IF(COUNT(F105,I105)=0,"",N(F105)-N(I105))</f>
        <v/>
      </c>
      <c r="M105" s="241" t="str">
        <f>IF(COUNT(H105,K105)=0,"",N(K105)-N(H105))</f>
        <v/>
      </c>
      <c r="N105" s="240" t="str">
        <f>IF(AND(ISNUMBER(F105),ISNUMBER(G105),F105&gt;0,1-N(Ввод!$J$19)/100&gt;0),G105/(1-N(Ввод!$J$19)/100),IF(AND(ISNUMBER(I105),ISNUMBER(J105),I105&gt;0),J105/(1+N(Ввод!$J$19)/100),""))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71" t="str">
        <f>IF(AND(ISNUMBER(F106),ISNUMBER(G106)),F106*G106,"")</f>
        <v/>
      </c>
      <c r="I106" s="246" t="n"/>
      <c r="J106" s="183" t="n"/>
      <c r="K106" s="271" t="str">
        <f>IF(AND(ISNUMBER(I106),ISNUMBER(J106)),I106*J106,"")</f>
        <v/>
      </c>
      <c r="L106" s="246" t="str">
        <f>IF(COUNT(F106,I106)=0,"",N(F106)-N(I106))</f>
        <v/>
      </c>
      <c r="M106" s="247" t="str">
        <f>IF(COUNT(H106,K106)=0,"",N(K106)-N(H106))</f>
        <v/>
      </c>
      <c r="N106" s="246" t="str">
        <f>IF(AND(ISNUMBER(F106),ISNUMBER(G106),F106&gt;0,1-N(Ввод!$J$19)/100&gt;0),G106/(1-N(Ввод!$J$19)/100),IF(AND(ISNUMBER(I106),ISNUMBER(J106),I106&gt;0),J106/(1+N(Ввод!$J$19)/100),""))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71" t="str">
        <f>IF(AND(ISNUMBER(F107),ISNUMBER(G107)),F107*G107,"")</f>
        <v/>
      </c>
      <c r="I107" s="240" t="n"/>
      <c r="J107" s="177" t="n"/>
      <c r="K107" s="271" t="str">
        <f>IF(AND(ISNUMBER(I107),ISNUMBER(J107)),I107*J107,"")</f>
        <v/>
      </c>
      <c r="L107" s="240" t="str">
        <f>IF(COUNT(F107,I107)=0,"",N(F107)-N(I107))</f>
        <v/>
      </c>
      <c r="M107" s="241" t="str">
        <f>IF(COUNT(H107,K107)=0,"",N(K107)-N(H107))</f>
        <v/>
      </c>
      <c r="N107" s="240" t="str">
        <f>IF(AND(ISNUMBER(F107),ISNUMBER(G107),F107&gt;0,1-N(Ввод!$J$19)/100&gt;0),G107/(1-N(Ввод!$J$19)/100),IF(AND(ISNUMBER(I107),ISNUMBER(J107),I107&gt;0),J107/(1+N(Ввод!$J$19)/100),""))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71" t="str">
        <f>IF(AND(ISNUMBER(F108),ISNUMBER(G108)),F108*G108,"")</f>
        <v/>
      </c>
      <c r="I108" s="246" t="n"/>
      <c r="J108" s="183" t="n"/>
      <c r="K108" s="271" t="str">
        <f>IF(AND(ISNUMBER(I108),ISNUMBER(J108)),I108*J108,"")</f>
        <v/>
      </c>
      <c r="L108" s="246" t="str">
        <f>IF(COUNT(F108,I108)=0,"",N(F108)-N(I108))</f>
        <v/>
      </c>
      <c r="M108" s="247" t="str">
        <f>IF(COUNT(H108,K108)=0,"",N(K108)-N(H108))</f>
        <v/>
      </c>
      <c r="N108" s="246" t="str">
        <f>IF(AND(ISNUMBER(F108),ISNUMBER(G108),F108&gt;0,1-N(Ввод!$J$19)/100&gt;0),G108/(1-N(Ввод!$J$19)/100),IF(AND(ISNUMBER(I108),ISNUMBER(J108),I108&gt;0),J108/(1+N(Ввод!$J$19)/100),""))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71" t="str">
        <f>IF(AND(ISNUMBER(F109),ISNUMBER(G109)),F109*G109,"")</f>
        <v/>
      </c>
      <c r="I109" s="240" t="n"/>
      <c r="J109" s="177" t="n"/>
      <c r="K109" s="271" t="str">
        <f>IF(AND(ISNUMBER(I109),ISNUMBER(J109)),I109*J109,"")</f>
        <v/>
      </c>
      <c r="L109" s="240" t="str">
        <f>IF(COUNT(F109,I109)=0,"",N(F109)-N(I109))</f>
        <v/>
      </c>
      <c r="M109" s="241" t="str">
        <f>IF(COUNT(H109,K109)=0,"",N(K109)-N(H109))</f>
        <v/>
      </c>
      <c r="N109" s="240" t="str">
        <f>IF(AND(ISNUMBER(F109),ISNUMBER(G109),F109&gt;0,1-N(Ввод!$J$19)/100&gt;0),G109/(1-N(Ввод!$J$19)/100),IF(AND(ISNUMBER(I109),ISNUMBER(J109),I109&gt;0),J109/(1+N(Ввод!$J$19)/100),""))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71" t="str">
        <f>IF(AND(ISNUMBER(F110),ISNUMBER(G110)),F110*G110,"")</f>
        <v/>
      </c>
      <c r="I110" s="246" t="n"/>
      <c r="J110" s="183" t="n"/>
      <c r="K110" s="271" t="str">
        <f>IF(AND(ISNUMBER(I110),ISNUMBER(J110)),I110*J110,"")</f>
        <v/>
      </c>
      <c r="L110" s="246" t="str">
        <f>IF(COUNT(F110,I110)=0,"",N(F110)-N(I110))</f>
        <v/>
      </c>
      <c r="M110" s="247" t="str">
        <f>IF(COUNT(H110,K110)=0,"",N(K110)-N(H110))</f>
        <v/>
      </c>
      <c r="N110" s="246" t="str">
        <f>IF(AND(ISNUMBER(F110),ISNUMBER(G110),F110&gt;0,1-N(Ввод!$J$19)/100&gt;0),G110/(1-N(Ввод!$J$19)/100),IF(AND(ISNUMBER(I110),ISNUMBER(J110),I110&gt;0),J110/(1+N(Ввод!$J$19)/100),""))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71" t="str">
        <f>IF(AND(ISNUMBER(F111),ISNUMBER(G111)),F111*G111,"")</f>
        <v/>
      </c>
      <c r="I111" s="240" t="n"/>
      <c r="J111" s="177" t="n"/>
      <c r="K111" s="271" t="str">
        <f>IF(AND(ISNUMBER(I111),ISNUMBER(J111)),I111*J111,"")</f>
        <v/>
      </c>
      <c r="L111" s="240" t="str">
        <f>IF(COUNT(F111,I111)=0,"",N(F111)-N(I111))</f>
        <v/>
      </c>
      <c r="M111" s="241" t="str">
        <f>IF(COUNT(H111,K111)=0,"",N(K111)-N(H111))</f>
        <v/>
      </c>
      <c r="N111" s="240" t="str">
        <f>IF(AND(ISNUMBER(F111),ISNUMBER(G111),F111&gt;0,1-N(Ввод!$J$19)/100&gt;0),G111/(1-N(Ввод!$J$19)/100),IF(AND(ISNUMBER(I111),ISNUMBER(J111),I111&gt;0),J111/(1+N(Ввод!$J$19)/100),""))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71" t="str">
        <f>IF(AND(ISNUMBER(F112),ISNUMBER(G112)),F112*G112,"")</f>
        <v/>
      </c>
      <c r="I112" s="246" t="n"/>
      <c r="J112" s="183" t="n"/>
      <c r="K112" s="271" t="str">
        <f>IF(AND(ISNUMBER(I112),ISNUMBER(J112)),I112*J112,"")</f>
        <v/>
      </c>
      <c r="L112" s="246" t="str">
        <f>IF(COUNT(F112,I112)=0,"",N(F112)-N(I112))</f>
        <v/>
      </c>
      <c r="M112" s="247" t="str">
        <f>IF(COUNT(H112,K112)=0,"",N(K112)-N(H112))</f>
        <v/>
      </c>
      <c r="N112" s="246" t="str">
        <f>IF(AND(ISNUMBER(F112),ISNUMBER(G112),F112&gt;0,1-N(Ввод!$J$19)/100&gt;0),G112/(1-N(Ввод!$J$19)/100),IF(AND(ISNUMBER(I112),ISNUMBER(J112),I112&gt;0),J112/(1+N(Ввод!$J$19)/100),""))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71" t="str">
        <f>IF(AND(ISNUMBER(F113),ISNUMBER(G113)),F113*G113,"")</f>
        <v/>
      </c>
      <c r="I113" s="240" t="n"/>
      <c r="J113" s="177" t="n"/>
      <c r="K113" s="271" t="str">
        <f>IF(AND(ISNUMBER(I113),ISNUMBER(J113)),I113*J113,"")</f>
        <v/>
      </c>
      <c r="L113" s="240" t="str">
        <f>IF(COUNT(F113,I113)=0,"",N(F113)-N(I113))</f>
        <v/>
      </c>
      <c r="M113" s="241" t="str">
        <f>IF(COUNT(H113,K113)=0,"",N(K113)-N(H113))</f>
        <v/>
      </c>
      <c r="N113" s="240" t="str">
        <f>IF(AND(ISNUMBER(F113),ISNUMBER(G113),F113&gt;0,1-N(Ввод!$J$19)/100&gt;0),G113/(1-N(Ввод!$J$19)/100),IF(AND(ISNUMBER(I113),ISNUMBER(J113),I113&gt;0),J113/(1+N(Ввод!$J$19)/100),""))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71" t="str">
        <f>IF(AND(ISNUMBER(F114),ISNUMBER(G114)),F114*G114,"")</f>
        <v/>
      </c>
      <c r="I114" s="246" t="n"/>
      <c r="J114" s="183" t="n"/>
      <c r="K114" s="271" t="str">
        <f>IF(AND(ISNUMBER(I114),ISNUMBER(J114)),I114*J114,"")</f>
        <v/>
      </c>
      <c r="L114" s="246" t="str">
        <f>IF(COUNT(F114,I114)=0,"",N(F114)-N(I114))</f>
        <v/>
      </c>
      <c r="M114" s="247" t="str">
        <f>IF(COUNT(H114,K114)=0,"",N(K114)-N(H114))</f>
        <v/>
      </c>
      <c r="N114" s="246" t="str">
        <f>IF(AND(ISNUMBER(F114),ISNUMBER(G114),F114&gt;0,1-N(Ввод!$J$19)/100&gt;0),G114/(1-N(Ввод!$J$19)/100),IF(AND(ISNUMBER(I114),ISNUMBER(J114),I114&gt;0),J114/(1+N(Ввод!$J$19)/100),""))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71" t="str">
        <f>IF(AND(ISNUMBER(F115),ISNUMBER(G115)),F115*G115,"")</f>
        <v/>
      </c>
      <c r="I115" s="240" t="n"/>
      <c r="J115" s="177" t="n"/>
      <c r="K115" s="271" t="str">
        <f>IF(AND(ISNUMBER(I115),ISNUMBER(J115)),I115*J115,"")</f>
        <v/>
      </c>
      <c r="L115" s="240" t="str">
        <f>IF(COUNT(F115,I115)=0,"",N(F115)-N(I115))</f>
        <v/>
      </c>
      <c r="M115" s="241" t="str">
        <f>IF(COUNT(H115,K115)=0,"",N(K115)-N(H115))</f>
        <v/>
      </c>
      <c r="N115" s="240" t="str">
        <f>IF(AND(ISNUMBER(F115),ISNUMBER(G115),F115&gt;0,1-N(Ввод!$J$19)/100&gt;0),G115/(1-N(Ввод!$J$19)/100),IF(AND(ISNUMBER(I115),ISNUMBER(J115),I115&gt;0),J115/(1+N(Ввод!$J$19)/100),""))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71" t="str">
        <f>IF(AND(ISNUMBER(F116),ISNUMBER(G116)),F116*G116,"")</f>
        <v/>
      </c>
      <c r="I116" s="246" t="n"/>
      <c r="J116" s="183" t="n"/>
      <c r="K116" s="271" t="str">
        <f>IF(AND(ISNUMBER(I116),ISNUMBER(J116)),I116*J116,"")</f>
        <v/>
      </c>
      <c r="L116" s="246" t="str">
        <f>IF(COUNT(F116,I116)=0,"",N(F116)-N(I116))</f>
        <v/>
      </c>
      <c r="M116" s="247" t="str">
        <f>IF(COUNT(H116,K116)=0,"",N(K116)-N(H116))</f>
        <v/>
      </c>
      <c r="N116" s="246" t="str">
        <f>IF(AND(ISNUMBER(F116),ISNUMBER(G116),F116&gt;0,1-N(Ввод!$J$19)/100&gt;0),G116/(1-N(Ввод!$J$19)/100),IF(AND(ISNUMBER(I116),ISNUMBER(J116),I116&gt;0),J116/(1+N(Ввод!$J$19)/100),""))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71" t="str">
        <f>IF(AND(ISNUMBER(F117),ISNUMBER(G117)),F117*G117,"")</f>
        <v/>
      </c>
      <c r="I117" s="240" t="n"/>
      <c r="J117" s="177" t="n"/>
      <c r="K117" s="271" t="str">
        <f>IF(AND(ISNUMBER(I117),ISNUMBER(J117)),I117*J117,"")</f>
        <v/>
      </c>
      <c r="L117" s="240" t="str">
        <f>IF(COUNT(F117,I117)=0,"",N(F117)-N(I117))</f>
        <v/>
      </c>
      <c r="M117" s="241" t="str">
        <f>IF(COUNT(H117,K117)=0,"",N(K117)-N(H117))</f>
        <v/>
      </c>
      <c r="N117" s="240" t="str">
        <f>IF(AND(ISNUMBER(F117),ISNUMBER(G117),F117&gt;0,1-N(Ввод!$J$19)/100&gt;0),G117/(1-N(Ввод!$J$19)/100),IF(AND(ISNUMBER(I117),ISNUMBER(J117),I117&gt;0),J117/(1+N(Ввод!$J$19)/100),""))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71" t="str">
        <f>IF(AND(ISNUMBER(F118),ISNUMBER(G118)),F118*G118,"")</f>
        <v/>
      </c>
      <c r="I118" s="246" t="n"/>
      <c r="J118" s="183" t="n"/>
      <c r="K118" s="271" t="str">
        <f>IF(AND(ISNUMBER(I118),ISNUMBER(J118)),I118*J118,"")</f>
        <v/>
      </c>
      <c r="L118" s="246" t="str">
        <f>IF(COUNT(F118,I118)=0,"",N(F118)-N(I118))</f>
        <v/>
      </c>
      <c r="M118" s="247" t="str">
        <f>IF(COUNT(H118,K118)=0,"",N(K118)-N(H118))</f>
        <v/>
      </c>
      <c r="N118" s="246" t="str">
        <f>IF(AND(ISNUMBER(F118),ISNUMBER(G118),F118&gt;0,1-N(Ввод!$J$19)/100&gt;0),G118/(1-N(Ввод!$J$19)/100),IF(AND(ISNUMBER(I118),ISNUMBER(J118),I118&gt;0),J118/(1+N(Ввод!$J$19)/100),""))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71" t="str">
        <f>IF(AND(ISNUMBER(F119),ISNUMBER(G119)),F119*G119,"")</f>
        <v/>
      </c>
      <c r="I119" s="240" t="n"/>
      <c r="J119" s="177" t="n"/>
      <c r="K119" s="271" t="str">
        <f>IF(AND(ISNUMBER(I119),ISNUMBER(J119)),I119*J119,"")</f>
        <v/>
      </c>
      <c r="L119" s="240" t="str">
        <f>IF(COUNT(F119,I119)=0,"",N(F119)-N(I119))</f>
        <v/>
      </c>
      <c r="M119" s="241" t="str">
        <f>IF(COUNT(H119,K119)=0,"",N(K119)-N(H119))</f>
        <v/>
      </c>
      <c r="N119" s="240" t="str">
        <f>IF(AND(ISNUMBER(F119),ISNUMBER(G119),F119&gt;0,1-N(Ввод!$J$19)/100&gt;0),G119/(1-N(Ввод!$J$19)/100),IF(AND(ISNUMBER(I119),ISNUMBER(J119),I119&gt;0),J119/(1+N(Ввод!$J$19)/100),""))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71" t="str">
        <f>IF(AND(ISNUMBER(F120),ISNUMBER(G120)),F120*G120,"")</f>
        <v/>
      </c>
      <c r="I120" s="246" t="n"/>
      <c r="J120" s="183" t="n"/>
      <c r="K120" s="271" t="str">
        <f>IF(AND(ISNUMBER(I120),ISNUMBER(J120)),I120*J120,"")</f>
        <v/>
      </c>
      <c r="L120" s="246" t="str">
        <f>IF(COUNT(F120,I120)=0,"",N(F120)-N(I120))</f>
        <v/>
      </c>
      <c r="M120" s="247" t="str">
        <f>IF(COUNT(H120,K120)=0,"",N(K120)-N(H120))</f>
        <v/>
      </c>
      <c r="N120" s="246" t="str">
        <f>IF(AND(ISNUMBER(F120),ISNUMBER(G120),F120&gt;0,1-N(Ввод!$J$19)/100&gt;0),G120/(1-N(Ввод!$J$19)/100),IF(AND(ISNUMBER(I120),ISNUMBER(J120),I120&gt;0),J120/(1+N(Ввод!$J$19)/100),""))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71" t="str">
        <f>IF(AND(ISNUMBER(F121),ISNUMBER(G121)),F121*G121,"")</f>
        <v/>
      </c>
      <c r="I121" s="240" t="n"/>
      <c r="J121" s="177" t="n"/>
      <c r="K121" s="271" t="str">
        <f>IF(AND(ISNUMBER(I121),ISNUMBER(J121)),I121*J121,"")</f>
        <v/>
      </c>
      <c r="L121" s="240" t="str">
        <f>IF(COUNT(F121,I121)=0,"",N(F121)-N(I121))</f>
        <v/>
      </c>
      <c r="M121" s="241" t="str">
        <f>IF(COUNT(H121,K121)=0,"",N(K121)-N(H121))</f>
        <v/>
      </c>
      <c r="N121" s="240" t="str">
        <f>IF(AND(ISNUMBER(F121),ISNUMBER(G121),F121&gt;0,1-N(Ввод!$J$19)/100&gt;0),G121/(1-N(Ввод!$J$19)/100),IF(AND(ISNUMBER(I121),ISNUMBER(J121),I121&gt;0),J121/(1+N(Ввод!$J$19)/100),""))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71" t="str">
        <f>IF(AND(ISNUMBER(F122),ISNUMBER(G122)),F122*G122,"")</f>
        <v/>
      </c>
      <c r="I122" s="246" t="n"/>
      <c r="J122" s="183" t="n"/>
      <c r="K122" s="271" t="str">
        <f>IF(AND(ISNUMBER(I122),ISNUMBER(J122)),I122*J122,"")</f>
        <v/>
      </c>
      <c r="L122" s="246" t="str">
        <f>IF(COUNT(F122,I122)=0,"",N(F122)-N(I122))</f>
        <v/>
      </c>
      <c r="M122" s="247" t="str">
        <f>IF(COUNT(H122,K122)=0,"",N(K122)-N(H122))</f>
        <v/>
      </c>
      <c r="N122" s="246" t="str">
        <f>IF(AND(ISNUMBER(F122),ISNUMBER(G122),F122&gt;0,1-N(Ввод!$J$19)/100&gt;0),G122/(1-N(Ввод!$J$19)/100),IF(AND(ISNUMBER(I122),ISNUMBER(J122),I122&gt;0),J122/(1+N(Ввод!$J$19)/100),""))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71" t="str">
        <f>IF(AND(ISNUMBER(F123),ISNUMBER(G123)),F123*G123,"")</f>
        <v/>
      </c>
      <c r="I123" s="240" t="n"/>
      <c r="J123" s="177" t="n"/>
      <c r="K123" s="271" t="str">
        <f>IF(AND(ISNUMBER(I123),ISNUMBER(J123)),I123*J123,"")</f>
        <v/>
      </c>
      <c r="L123" s="240" t="str">
        <f>IF(COUNT(F123,I123)=0,"",N(F123)-N(I123))</f>
        <v/>
      </c>
      <c r="M123" s="241" t="str">
        <f>IF(COUNT(H123,K123)=0,"",N(K123)-N(H123))</f>
        <v/>
      </c>
      <c r="N123" s="240" t="str">
        <f>IF(AND(ISNUMBER(F123),ISNUMBER(G123),F123&gt;0,1-N(Ввод!$J$19)/100&gt;0),G123/(1-N(Ввод!$J$19)/100),IF(AND(ISNUMBER(I123),ISNUMBER(J123),I123&gt;0),J123/(1+N(Ввод!$J$19)/100),""))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71" t="str">
        <f>IF(AND(ISNUMBER(F124),ISNUMBER(G124)),F124*G124,"")</f>
        <v/>
      </c>
      <c r="I124" s="246" t="n"/>
      <c r="J124" s="183" t="n"/>
      <c r="K124" s="271" t="str">
        <f>IF(AND(ISNUMBER(I124),ISNUMBER(J124)),I124*J124,"")</f>
        <v/>
      </c>
      <c r="L124" s="246" t="str">
        <f>IF(COUNT(F124,I124)=0,"",N(F124)-N(I124))</f>
        <v/>
      </c>
      <c r="M124" s="247" t="str">
        <f>IF(COUNT(H124,K124)=0,"",N(K124)-N(H124))</f>
        <v/>
      </c>
      <c r="N124" s="246" t="str">
        <f>IF(AND(ISNUMBER(F124),ISNUMBER(G124),F124&gt;0,1-N(Ввод!$J$19)/100&gt;0),G124/(1-N(Ввод!$J$19)/100),IF(AND(ISNUMBER(I124),ISNUMBER(J124),I124&gt;0),J124/(1+N(Ввод!$J$19)/100),""))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71" t="str">
        <f>IF(AND(ISNUMBER(F125),ISNUMBER(G125)),F125*G125,"")</f>
        <v/>
      </c>
      <c r="I125" s="240" t="n"/>
      <c r="J125" s="177" t="n"/>
      <c r="K125" s="271" t="str">
        <f>IF(AND(ISNUMBER(I125),ISNUMBER(J125)),I125*J125,"")</f>
        <v/>
      </c>
      <c r="L125" s="240" t="str">
        <f>IF(COUNT(F125,I125)=0,"",N(F125)-N(I125))</f>
        <v/>
      </c>
      <c r="M125" s="241" t="str">
        <f>IF(COUNT(H125,K125)=0,"",N(K125)-N(H125))</f>
        <v/>
      </c>
      <c r="N125" s="240" t="str">
        <f>IF(AND(ISNUMBER(F125),ISNUMBER(G125),F125&gt;0,1-N(Ввод!$J$19)/100&gt;0),G125/(1-N(Ввод!$J$19)/100),IF(AND(ISNUMBER(I125),ISNUMBER(J125),I125&gt;0),J125/(1+N(Ввод!$J$19)/100),""))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71" t="str">
        <f>IF(AND(ISNUMBER(F126),ISNUMBER(G126)),F126*G126,"")</f>
        <v/>
      </c>
      <c r="I126" s="246" t="n"/>
      <c r="J126" s="183" t="n"/>
      <c r="K126" s="271" t="str">
        <f>IF(AND(ISNUMBER(I126),ISNUMBER(J126)),I126*J126,"")</f>
        <v/>
      </c>
      <c r="L126" s="246" t="str">
        <f>IF(COUNT(F126,I126)=0,"",N(F126)-N(I126))</f>
        <v/>
      </c>
      <c r="M126" s="247" t="str">
        <f>IF(COUNT(H126,K126)=0,"",N(K126)-N(H126))</f>
        <v/>
      </c>
      <c r="N126" s="246" t="str">
        <f>IF(AND(ISNUMBER(F126),ISNUMBER(G126),F126&gt;0,1-N(Ввод!$J$19)/100&gt;0),G126/(1-N(Ввод!$J$19)/100),IF(AND(ISNUMBER(I126),ISNUMBER(J126),I126&gt;0),J126/(1+N(Ввод!$J$19)/100),""))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71" t="str">
        <f>IF(AND(ISNUMBER(F127),ISNUMBER(G127)),F127*G127,"")</f>
        <v/>
      </c>
      <c r="I127" s="240" t="n"/>
      <c r="J127" s="177" t="n"/>
      <c r="K127" s="271" t="str">
        <f>IF(AND(ISNUMBER(I127),ISNUMBER(J127)),I127*J127,"")</f>
        <v/>
      </c>
      <c r="L127" s="240" t="str">
        <f>IF(COUNT(F127,I127)=0,"",N(F127)-N(I127))</f>
        <v/>
      </c>
      <c r="M127" s="241" t="str">
        <f>IF(COUNT(H127,K127)=0,"",N(K127)-N(H127))</f>
        <v/>
      </c>
      <c r="N127" s="240" t="str">
        <f>IF(AND(ISNUMBER(F127),ISNUMBER(G127),F127&gt;0,1-N(Ввод!$J$19)/100&gt;0),G127/(1-N(Ввод!$J$19)/100),IF(AND(ISNUMBER(I127),ISNUMBER(J127),I127&gt;0),J127/(1+N(Ввод!$J$19)/100),""))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71" t="str">
        <f>IF(AND(ISNUMBER(F128),ISNUMBER(G128)),F128*G128,"")</f>
        <v/>
      </c>
      <c r="I128" s="246" t="n"/>
      <c r="J128" s="183" t="n"/>
      <c r="K128" s="271" t="str">
        <f>IF(AND(ISNUMBER(I128),ISNUMBER(J128)),I128*J128,"")</f>
        <v/>
      </c>
      <c r="L128" s="246" t="str">
        <f>IF(COUNT(F128,I128)=0,"",N(F128)-N(I128))</f>
        <v/>
      </c>
      <c r="M128" s="247" t="str">
        <f>IF(COUNT(H128,K128)=0,"",N(K128)-N(H128))</f>
        <v/>
      </c>
      <c r="N128" s="246" t="str">
        <f>IF(AND(ISNUMBER(F128),ISNUMBER(G128),F128&gt;0,1-N(Ввод!$J$19)/100&gt;0),G128/(1-N(Ввод!$J$19)/100),IF(AND(ISNUMBER(I128),ISNUMBER(J128),I128&gt;0),J128/(1+N(Ввод!$J$19)/100),""))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71" t="str">
        <f>IF(AND(ISNUMBER(F129),ISNUMBER(G129)),F129*G129,"")</f>
        <v/>
      </c>
      <c r="I129" s="240" t="n"/>
      <c r="J129" s="177" t="n"/>
      <c r="K129" s="271" t="str">
        <f>IF(AND(ISNUMBER(I129),ISNUMBER(J129)),I129*J129,"")</f>
        <v/>
      </c>
      <c r="L129" s="240" t="str">
        <f>IF(COUNT(F129,I129)=0,"",N(F129)-N(I129))</f>
        <v/>
      </c>
      <c r="M129" s="241" t="str">
        <f>IF(COUNT(H129,K129)=0,"",N(K129)-N(H129))</f>
        <v/>
      </c>
      <c r="N129" s="240" t="str">
        <f>IF(AND(ISNUMBER(F129),ISNUMBER(G129),F129&gt;0,1-N(Ввод!$J$19)/100&gt;0),G129/(1-N(Ввод!$J$19)/100),IF(AND(ISNUMBER(I129),ISNUMBER(J129),I129&gt;0),J129/(1+N(Ввод!$J$19)/100),""))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71" t="str">
        <f>IF(AND(ISNUMBER(F130),ISNUMBER(G130)),F130*G130,"")</f>
        <v/>
      </c>
      <c r="I130" s="246" t="n"/>
      <c r="J130" s="183" t="n"/>
      <c r="K130" s="271" t="str">
        <f>IF(AND(ISNUMBER(I130),ISNUMBER(J130)),I130*J130,"")</f>
        <v/>
      </c>
      <c r="L130" s="246" t="str">
        <f>IF(COUNT(F130,I130)=0,"",N(F130)-N(I130))</f>
        <v/>
      </c>
      <c r="M130" s="247" t="str">
        <f>IF(COUNT(H130,K130)=0,"",N(K130)-N(H130))</f>
        <v/>
      </c>
      <c r="N130" s="246" t="str">
        <f>IF(AND(ISNUMBER(F130),ISNUMBER(G130),F130&gt;0,1-N(Ввод!$J$19)/100&gt;0),G130/(1-N(Ввод!$J$19)/100),IF(AND(ISNUMBER(I130),ISNUMBER(J130),I130&gt;0),J130/(1+N(Ввод!$J$19)/100),""))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71" t="str">
        <f>IF(AND(ISNUMBER(F131),ISNUMBER(G131)),F131*G131,"")</f>
        <v/>
      </c>
      <c r="I131" s="240" t="n"/>
      <c r="J131" s="177" t="n"/>
      <c r="K131" s="271" t="str">
        <f>IF(AND(ISNUMBER(I131),ISNUMBER(J131)),I131*J131,"")</f>
        <v/>
      </c>
      <c r="L131" s="240" t="str">
        <f>IF(COUNT(F131,I131)=0,"",N(F131)-N(I131))</f>
        <v/>
      </c>
      <c r="M131" s="241" t="str">
        <f>IF(COUNT(H131,K131)=0,"",N(K131)-N(H131))</f>
        <v/>
      </c>
      <c r="N131" s="240" t="str">
        <f>IF(AND(ISNUMBER(F131),ISNUMBER(G131),F131&gt;0,1-N(Ввод!$J$19)/100&gt;0),G131/(1-N(Ввод!$J$19)/100),IF(AND(ISNUMBER(I131),ISNUMBER(J131),I131&gt;0),J131/(1+N(Ввод!$J$19)/100),""))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71" t="str">
        <f>IF(AND(ISNUMBER(F132),ISNUMBER(G132)),F132*G132,"")</f>
        <v/>
      </c>
      <c r="I132" s="246" t="n"/>
      <c r="J132" s="183" t="n"/>
      <c r="K132" s="271" t="str">
        <f>IF(AND(ISNUMBER(I132),ISNUMBER(J132)),I132*J132,"")</f>
        <v/>
      </c>
      <c r="L132" s="246" t="str">
        <f>IF(COUNT(F132,I132)=0,"",N(F132)-N(I132))</f>
        <v/>
      </c>
      <c r="M132" s="247" t="str">
        <f>IF(COUNT(H132,K132)=0,"",N(K132)-N(H132))</f>
        <v/>
      </c>
      <c r="N132" s="246" t="str">
        <f>IF(AND(ISNUMBER(F132),ISNUMBER(G132),F132&gt;0,1-N(Ввод!$J$19)/100&gt;0),G132/(1-N(Ввод!$J$19)/100),IF(AND(ISNUMBER(I132),ISNUMBER(J132),I132&gt;0),J132/(1+N(Ввод!$J$19)/100),""))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71" t="str">
        <f>IF(AND(ISNUMBER(F133),ISNUMBER(G133)),F133*G133,"")</f>
        <v/>
      </c>
      <c r="I133" s="240" t="n"/>
      <c r="J133" s="177" t="n"/>
      <c r="K133" s="271" t="str">
        <f>IF(AND(ISNUMBER(I133),ISNUMBER(J133)),I133*J133,"")</f>
        <v/>
      </c>
      <c r="L133" s="240" t="str">
        <f>IF(COUNT(F133,I133)=0,"",N(F133)-N(I133))</f>
        <v/>
      </c>
      <c r="M133" s="241" t="str">
        <f>IF(COUNT(H133,K133)=0,"",N(K133)-N(H133))</f>
        <v/>
      </c>
      <c r="N133" s="240" t="str">
        <f>IF(AND(ISNUMBER(F133),ISNUMBER(G133),F133&gt;0,1-N(Ввод!$J$19)/100&gt;0),G133/(1-N(Ввод!$J$19)/100),IF(AND(ISNUMBER(I133),ISNUMBER(J133),I133&gt;0),J133/(1+N(Ввод!$J$19)/100),""))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71" t="str">
        <f>IF(AND(ISNUMBER(F134),ISNUMBER(G134)),F134*G134,"")</f>
        <v/>
      </c>
      <c r="I134" s="246" t="n"/>
      <c r="J134" s="183" t="n"/>
      <c r="K134" s="271" t="str">
        <f>IF(AND(ISNUMBER(I134),ISNUMBER(J134)),I134*J134,"")</f>
        <v/>
      </c>
      <c r="L134" s="246" t="str">
        <f>IF(COUNT(F134,I134)=0,"",N(F134)-N(I134))</f>
        <v/>
      </c>
      <c r="M134" s="247" t="str">
        <f>IF(COUNT(H134,K134)=0,"",N(K134)-N(H134))</f>
        <v/>
      </c>
      <c r="N134" s="246" t="str">
        <f>IF(AND(ISNUMBER(F134),ISNUMBER(G134),F134&gt;0,1-N(Ввод!$J$19)/100&gt;0),G134/(1-N(Ввод!$J$19)/100),IF(AND(ISNUMBER(I134),ISNUMBER(J134),I134&gt;0),J134/(1+N(Ввод!$J$19)/100),""))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71" t="str">
        <f>IF(AND(ISNUMBER(F135),ISNUMBER(G135)),F135*G135,"")</f>
        <v/>
      </c>
      <c r="I135" s="240" t="n"/>
      <c r="J135" s="177" t="n"/>
      <c r="K135" s="271" t="str">
        <f>IF(AND(ISNUMBER(I135),ISNUMBER(J135)),I135*J135,"")</f>
        <v/>
      </c>
      <c r="L135" s="240" t="str">
        <f>IF(COUNT(F135,I135)=0,"",N(F135)-N(I135))</f>
        <v/>
      </c>
      <c r="M135" s="241" t="str">
        <f>IF(COUNT(H135,K135)=0,"",N(K135)-N(H135))</f>
        <v/>
      </c>
      <c r="N135" s="240" t="str">
        <f>IF(AND(ISNUMBER(F135),ISNUMBER(G135),F135&gt;0,1-N(Ввод!$J$19)/100&gt;0),G135/(1-N(Ввод!$J$19)/100),IF(AND(ISNUMBER(I135),ISNUMBER(J135),I135&gt;0),J135/(1+N(Ввод!$J$19)/100),""))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71" t="str">
        <f>IF(AND(ISNUMBER(F136),ISNUMBER(G136)),F136*G136,"")</f>
        <v/>
      </c>
      <c r="I136" s="246" t="n"/>
      <c r="J136" s="183" t="n"/>
      <c r="K136" s="271" t="str">
        <f>IF(AND(ISNUMBER(I136),ISNUMBER(J136)),I136*J136,"")</f>
        <v/>
      </c>
      <c r="L136" s="246" t="str">
        <f>IF(COUNT(F136,I136)=0,"",N(F136)-N(I136))</f>
        <v/>
      </c>
      <c r="M136" s="247" t="str">
        <f>IF(COUNT(H136,K136)=0,"",N(K136)-N(H136))</f>
        <v/>
      </c>
      <c r="N136" s="246" t="str">
        <f>IF(AND(ISNUMBER(F136),ISNUMBER(G136),F136&gt;0,1-N(Ввод!$J$19)/100&gt;0),G136/(1-N(Ввод!$J$19)/100),IF(AND(ISNUMBER(I136),ISNUMBER(J136),I136&gt;0),J136/(1+N(Ввод!$J$19)/100),""))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71" t="str">
        <f>IF(AND(ISNUMBER(F137),ISNUMBER(G137)),F137*G137,"")</f>
        <v/>
      </c>
      <c r="I137" s="240" t="n"/>
      <c r="J137" s="177" t="n"/>
      <c r="K137" s="271" t="str">
        <f>IF(AND(ISNUMBER(I137),ISNUMBER(J137)),I137*J137,"")</f>
        <v/>
      </c>
      <c r="L137" s="240" t="str">
        <f>IF(COUNT(F137,I137)=0,"",N(F137)-N(I137))</f>
        <v/>
      </c>
      <c r="M137" s="241" t="str">
        <f>IF(COUNT(H137,K137)=0,"",N(K137)-N(H137))</f>
        <v/>
      </c>
      <c r="N137" s="240" t="str">
        <f>IF(AND(ISNUMBER(F137),ISNUMBER(G137),F137&gt;0,1-N(Ввод!$J$19)/100&gt;0),G137/(1-N(Ввод!$J$19)/100),IF(AND(ISNUMBER(I137),ISNUMBER(J137),I137&gt;0),J137/(1+N(Ввод!$J$19)/100),""))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71" t="str">
        <f>IF(AND(ISNUMBER(F138),ISNUMBER(G138)),F138*G138,"")</f>
        <v/>
      </c>
      <c r="I138" s="246" t="n"/>
      <c r="J138" s="183" t="n"/>
      <c r="K138" s="271" t="str">
        <f>IF(AND(ISNUMBER(I138),ISNUMBER(J138)),I138*J138,"")</f>
        <v/>
      </c>
      <c r="L138" s="246" t="str">
        <f>IF(COUNT(F138,I138)=0,"",N(F138)-N(I138))</f>
        <v/>
      </c>
      <c r="M138" s="247" t="str">
        <f>IF(COUNT(H138,K138)=0,"",N(K138)-N(H138))</f>
        <v/>
      </c>
      <c r="N138" s="246" t="str">
        <f>IF(AND(ISNUMBER(F138),ISNUMBER(G138),F138&gt;0,1-N(Ввод!$J$19)/100&gt;0),G138/(1-N(Ввод!$J$19)/100),IF(AND(ISNUMBER(I138),ISNUMBER(J138),I138&gt;0),J138/(1+N(Ввод!$J$19)/100),""))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71" t="str">
        <f>IF(AND(ISNUMBER(F139),ISNUMBER(G139)),F139*G139,"")</f>
        <v/>
      </c>
      <c r="I139" s="240" t="n"/>
      <c r="J139" s="177" t="n"/>
      <c r="K139" s="271" t="str">
        <f>IF(AND(ISNUMBER(I139),ISNUMBER(J139)),I139*J139,"")</f>
        <v/>
      </c>
      <c r="L139" s="240" t="str">
        <f>IF(COUNT(F139,I139)=0,"",N(F139)-N(I139))</f>
        <v/>
      </c>
      <c r="M139" s="241" t="str">
        <f>IF(COUNT(H139,K139)=0,"",N(K139)-N(H139))</f>
        <v/>
      </c>
      <c r="N139" s="240" t="str">
        <f>IF(AND(ISNUMBER(F139),ISNUMBER(G139),F139&gt;0,1-N(Ввод!$J$19)/100&gt;0),G139/(1-N(Ввод!$J$19)/100),IF(AND(ISNUMBER(I139),ISNUMBER(J139),I139&gt;0),J139/(1+N(Ввод!$J$19)/100),""))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71" t="str">
        <f>IF(AND(ISNUMBER(F140),ISNUMBER(G140)),F140*G140,"")</f>
        <v/>
      </c>
      <c r="I140" s="246" t="n"/>
      <c r="J140" s="183" t="n"/>
      <c r="K140" s="271" t="str">
        <f>IF(AND(ISNUMBER(I140),ISNUMBER(J140)),I140*J140,"")</f>
        <v/>
      </c>
      <c r="L140" s="246" t="str">
        <f>IF(COUNT(F140,I140)=0,"",N(F140)-N(I140))</f>
        <v/>
      </c>
      <c r="M140" s="247" t="str">
        <f>IF(COUNT(H140,K140)=0,"",N(K140)-N(H140))</f>
        <v/>
      </c>
      <c r="N140" s="246" t="str">
        <f>IF(AND(ISNUMBER(F140),ISNUMBER(G140),F140&gt;0,1-N(Ввод!$J$19)/100&gt;0),G140/(1-N(Ввод!$J$19)/100),IF(AND(ISNUMBER(I140),ISNUMBER(J140),I140&gt;0),J140/(1+N(Ввод!$J$19)/100),""))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71" t="str">
        <f>IF(AND(ISNUMBER(F141),ISNUMBER(G141)),F141*G141,"")</f>
        <v/>
      </c>
      <c r="I141" s="240" t="n"/>
      <c r="J141" s="177" t="n"/>
      <c r="K141" s="271" t="str">
        <f>IF(AND(ISNUMBER(I141),ISNUMBER(J141)),I141*J141,"")</f>
        <v/>
      </c>
      <c r="L141" s="240" t="str">
        <f>IF(COUNT(F141,I141)=0,"",N(F141)-N(I141))</f>
        <v/>
      </c>
      <c r="M141" s="241" t="str">
        <f>IF(COUNT(H141,K141)=0,"",N(K141)-N(H141))</f>
        <v/>
      </c>
      <c r="N141" s="240" t="str">
        <f>IF(AND(ISNUMBER(F141),ISNUMBER(G141),F141&gt;0,1-N(Ввод!$J$19)/100&gt;0),G141/(1-N(Ввод!$J$19)/100),IF(AND(ISNUMBER(I141),ISNUMBER(J141),I141&gt;0),J141/(1+N(Ввод!$J$19)/100),""))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71" t="str">
        <f>IF(AND(ISNUMBER(F142),ISNUMBER(G142)),F142*G142,"")</f>
        <v/>
      </c>
      <c r="I142" s="246" t="n"/>
      <c r="J142" s="183" t="n"/>
      <c r="K142" s="271" t="str">
        <f>IF(AND(ISNUMBER(I142),ISNUMBER(J142)),I142*J142,"")</f>
        <v/>
      </c>
      <c r="L142" s="246" t="str">
        <f>IF(COUNT(F142,I142)=0,"",N(F142)-N(I142))</f>
        <v/>
      </c>
      <c r="M142" s="247" t="str">
        <f>IF(COUNT(H142,K142)=0,"",N(K142)-N(H142))</f>
        <v/>
      </c>
      <c r="N142" s="246" t="str">
        <f>IF(AND(ISNUMBER(F142),ISNUMBER(G142),F142&gt;0,1-N(Ввод!$J$19)/100&gt;0),G142/(1-N(Ввод!$J$19)/100),IF(AND(ISNUMBER(I142),ISNUMBER(J142),I142&gt;0),J142/(1+N(Ввод!$J$19)/100),""))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71" t="str">
        <f>IF(AND(ISNUMBER(F143),ISNUMBER(G143)),F143*G143,"")</f>
        <v/>
      </c>
      <c r="I143" s="240" t="n"/>
      <c r="J143" s="177" t="n"/>
      <c r="K143" s="271" t="str">
        <f>IF(AND(ISNUMBER(I143),ISNUMBER(J143)),I143*J143,"")</f>
        <v/>
      </c>
      <c r="L143" s="240" t="str">
        <f>IF(COUNT(F143,I143)=0,"",N(F143)-N(I143))</f>
        <v/>
      </c>
      <c r="M143" s="241" t="str">
        <f>IF(COUNT(H143,K143)=0,"",N(K143)-N(H143))</f>
        <v/>
      </c>
      <c r="N143" s="240" t="str">
        <f>IF(AND(ISNUMBER(F143),ISNUMBER(G143),F143&gt;0,1-N(Ввод!$J$19)/100&gt;0),G143/(1-N(Ввод!$J$19)/100),IF(AND(ISNUMBER(I143),ISNUMBER(J143),I143&gt;0),J143/(1+N(Ввод!$J$19)/100),""))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71" t="str">
        <f>IF(AND(ISNUMBER(F144),ISNUMBER(G144)),F144*G144,"")</f>
        <v/>
      </c>
      <c r="I144" s="246" t="n"/>
      <c r="J144" s="183" t="n"/>
      <c r="K144" s="271" t="str">
        <f>IF(AND(ISNUMBER(I144),ISNUMBER(J144)),I144*J144,"")</f>
        <v/>
      </c>
      <c r="L144" s="246" t="str">
        <f>IF(COUNT(F144,I144)=0,"",N(F144)-N(I144))</f>
        <v/>
      </c>
      <c r="M144" s="247" t="str">
        <f>IF(COUNT(H144,K144)=0,"",N(K144)-N(H144))</f>
        <v/>
      </c>
      <c r="N144" s="246" t="str">
        <f>IF(AND(ISNUMBER(F144),ISNUMBER(G144),F144&gt;0,1-N(Ввод!$J$19)/100&gt;0),G144/(1-N(Ввод!$J$19)/100),IF(AND(ISNUMBER(I144),ISNUMBER(J144),I144&gt;0),J144/(1+N(Ввод!$J$19)/100),""))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71" t="str">
        <f>IF(AND(ISNUMBER(F145),ISNUMBER(G145)),F145*G145,"")</f>
        <v/>
      </c>
      <c r="I145" s="240" t="n"/>
      <c r="J145" s="177" t="n"/>
      <c r="K145" s="271" t="str">
        <f>IF(AND(ISNUMBER(I145),ISNUMBER(J145)),I145*J145,"")</f>
        <v/>
      </c>
      <c r="L145" s="240" t="str">
        <f>IF(COUNT(F145,I145)=0,"",N(F145)-N(I145))</f>
        <v/>
      </c>
      <c r="M145" s="241" t="str">
        <f>IF(COUNT(H145,K145)=0,"",N(K145)-N(H145))</f>
        <v/>
      </c>
      <c r="N145" s="240" t="str">
        <f>IF(AND(ISNUMBER(F145),ISNUMBER(G145),F145&gt;0,1-N(Ввод!$J$19)/100&gt;0),G145/(1-N(Ввод!$J$19)/100),IF(AND(ISNUMBER(I145),ISNUMBER(J145),I145&gt;0),J145/(1+N(Ввод!$J$19)/100),""))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71" t="str">
        <f>IF(AND(ISNUMBER(F146),ISNUMBER(G146)),F146*G146,"")</f>
        <v/>
      </c>
      <c r="I146" s="246" t="n"/>
      <c r="J146" s="183" t="n"/>
      <c r="K146" s="271" t="str">
        <f>IF(AND(ISNUMBER(I146),ISNUMBER(J146)),I146*J146,"")</f>
        <v/>
      </c>
      <c r="L146" s="246" t="str">
        <f>IF(COUNT(F146,I146)=0,"",N(F146)-N(I146))</f>
        <v/>
      </c>
      <c r="M146" s="247" t="str">
        <f>IF(COUNT(H146,K146)=0,"",N(K146)-N(H146))</f>
        <v/>
      </c>
      <c r="N146" s="246" t="str">
        <f>IF(AND(ISNUMBER(F146),ISNUMBER(G146),F146&gt;0,1-N(Ввод!$J$19)/100&gt;0),G146/(1-N(Ввод!$J$19)/100),IF(AND(ISNUMBER(I146),ISNUMBER(J146),I146&gt;0),J146/(1+N(Ввод!$J$19)/100),""))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71" t="str">
        <f>IF(AND(ISNUMBER(F147),ISNUMBER(G147)),F147*G147,"")</f>
        <v/>
      </c>
      <c r="I147" s="240" t="n"/>
      <c r="J147" s="177" t="n"/>
      <c r="K147" s="271" t="str">
        <f>IF(AND(ISNUMBER(I147),ISNUMBER(J147)),I147*J147,"")</f>
        <v/>
      </c>
      <c r="L147" s="240" t="str">
        <f>IF(COUNT(F147,I147)=0,"",N(F147)-N(I147))</f>
        <v/>
      </c>
      <c r="M147" s="241" t="str">
        <f>IF(COUNT(H147,K147)=0,"",N(K147)-N(H147))</f>
        <v/>
      </c>
      <c r="N147" s="240" t="str">
        <f>IF(AND(ISNUMBER(F147),ISNUMBER(G147),F147&gt;0,1-N(Ввод!$J$19)/100&gt;0),G147/(1-N(Ввод!$J$19)/100),IF(AND(ISNUMBER(I147),ISNUMBER(J147),I147&gt;0),J147/(1+N(Ввод!$J$19)/100),""))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71" t="str">
        <f>IF(AND(ISNUMBER(F148),ISNUMBER(G148)),F148*G148,"")</f>
        <v/>
      </c>
      <c r="I148" s="246" t="n"/>
      <c r="J148" s="183" t="n"/>
      <c r="K148" s="271" t="str">
        <f>IF(AND(ISNUMBER(I148),ISNUMBER(J148)),I148*J148,"")</f>
        <v/>
      </c>
      <c r="L148" s="246" t="str">
        <f>IF(COUNT(F148,I148)=0,"",N(F148)-N(I148))</f>
        <v/>
      </c>
      <c r="M148" s="247" t="str">
        <f>IF(COUNT(H148,K148)=0,"",N(K148)-N(H148))</f>
        <v/>
      </c>
      <c r="N148" s="246" t="str">
        <f>IF(AND(ISNUMBER(F148),ISNUMBER(G148),F148&gt;0,1-N(Ввод!$J$19)/100&gt;0),G148/(1-N(Ввод!$J$19)/100),IF(AND(ISNUMBER(I148),ISNUMBER(J148),I148&gt;0),J148/(1+N(Ввод!$J$19)/100),""))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71" t="str">
        <f>IF(AND(ISNUMBER(F149),ISNUMBER(G149)),F149*G149,"")</f>
        <v/>
      </c>
      <c r="I149" s="240" t="n"/>
      <c r="J149" s="177" t="n"/>
      <c r="K149" s="271" t="str">
        <f>IF(AND(ISNUMBER(I149),ISNUMBER(J149)),I149*J149,"")</f>
        <v/>
      </c>
      <c r="L149" s="240" t="str">
        <f>IF(COUNT(F149,I149)=0,"",N(F149)-N(I149))</f>
        <v/>
      </c>
      <c r="M149" s="241" t="str">
        <f>IF(COUNT(H149,K149)=0,"",N(K149)-N(H149))</f>
        <v/>
      </c>
      <c r="N149" s="240" t="str">
        <f>IF(AND(ISNUMBER(F149),ISNUMBER(G149),F149&gt;0,1-N(Ввод!$J$19)/100&gt;0),G149/(1-N(Ввод!$J$19)/100),IF(AND(ISNUMBER(I149),ISNUMBER(J149),I149&gt;0),J149/(1+N(Ввод!$J$19)/100),""))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71" t="str">
        <f>IF(AND(ISNUMBER(F150),ISNUMBER(G150)),F150*G150,"")</f>
        <v/>
      </c>
      <c r="I150" s="246" t="n"/>
      <c r="J150" s="183" t="n"/>
      <c r="K150" s="271" t="str">
        <f>IF(AND(ISNUMBER(I150),ISNUMBER(J150)),I150*J150,"")</f>
        <v/>
      </c>
      <c r="L150" s="246" t="str">
        <f>IF(COUNT(F150,I150)=0,"",N(F150)-N(I150))</f>
        <v/>
      </c>
      <c r="M150" s="247" t="str">
        <f>IF(COUNT(H150,K150)=0,"",N(K150)-N(H150))</f>
        <v/>
      </c>
      <c r="N150" s="246" t="str">
        <f>IF(AND(ISNUMBER(F150),ISNUMBER(G150),F150&gt;0,1-N(Ввод!$J$19)/100&gt;0),G150/(1-N(Ввод!$J$19)/100),IF(AND(ISNUMBER(I150),ISNUMBER(J150),I150&gt;0),J150/(1+N(Ввод!$J$19)/100),""))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71" t="str">
        <f>IF(AND(ISNUMBER(F151),ISNUMBER(G151)),F151*G151,"")</f>
        <v/>
      </c>
      <c r="I151" s="240" t="n"/>
      <c r="J151" s="177" t="n"/>
      <c r="K151" s="271" t="str">
        <f>IF(AND(ISNUMBER(I151),ISNUMBER(J151)),I151*J151,"")</f>
        <v/>
      </c>
      <c r="L151" s="240" t="str">
        <f>IF(COUNT(F151,I151)=0,"",N(F151)-N(I151))</f>
        <v/>
      </c>
      <c r="M151" s="241" t="str">
        <f>IF(COUNT(H151,K151)=0,"",N(K151)-N(H151))</f>
        <v/>
      </c>
      <c r="N151" s="240" t="str">
        <f>IF(AND(ISNUMBER(F151),ISNUMBER(G151),F151&gt;0,1-N(Ввод!$J$19)/100&gt;0),G151/(1-N(Ввод!$J$19)/100),IF(AND(ISNUMBER(I151),ISNUMBER(J151),I151&gt;0),J151/(1+N(Ввод!$J$19)/100),""))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71" t="str">
        <f>IF(AND(ISNUMBER(F152),ISNUMBER(G152)),F152*G152,"")</f>
        <v/>
      </c>
      <c r="I152" s="246" t="n"/>
      <c r="J152" s="183" t="n"/>
      <c r="K152" s="271" t="str">
        <f>IF(AND(ISNUMBER(I152),ISNUMBER(J152)),I152*J152,"")</f>
        <v/>
      </c>
      <c r="L152" s="246" t="str">
        <f>IF(COUNT(F152,I152)=0,"",N(F152)-N(I152))</f>
        <v/>
      </c>
      <c r="M152" s="247" t="str">
        <f>IF(COUNT(H152,K152)=0,"",N(K152)-N(H152))</f>
        <v/>
      </c>
      <c r="N152" s="246" t="str">
        <f>IF(AND(ISNUMBER(F152),ISNUMBER(G152),F152&gt;0,1-N(Ввод!$J$19)/100&gt;0),G152/(1-N(Ввод!$J$19)/100),IF(AND(ISNUMBER(I152),ISNUMBER(J152),I152&gt;0),J152/(1+N(Ввод!$J$19)/100),""))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71" t="str">
        <f>IF(AND(ISNUMBER(F153),ISNUMBER(G153)),F153*G153,"")</f>
        <v/>
      </c>
      <c r="I153" s="240" t="n"/>
      <c r="J153" s="177" t="n"/>
      <c r="K153" s="271" t="str">
        <f>IF(AND(ISNUMBER(I153),ISNUMBER(J153)),I153*J153,"")</f>
        <v/>
      </c>
      <c r="L153" s="240" t="str">
        <f>IF(COUNT(F153,I153)=0,"",N(F153)-N(I153))</f>
        <v/>
      </c>
      <c r="M153" s="241" t="str">
        <f>IF(COUNT(H153,K153)=0,"",N(K153)-N(H153))</f>
        <v/>
      </c>
      <c r="N153" s="240" t="str">
        <f>IF(AND(ISNUMBER(F153),ISNUMBER(G153),F153&gt;0,1-N(Ввод!$J$19)/100&gt;0),G153/(1-N(Ввод!$J$19)/100),IF(AND(ISNUMBER(I153),ISNUMBER(J153),I153&gt;0),J153/(1+N(Ввод!$J$19)/100),""))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71" t="str">
        <f>IF(AND(ISNUMBER(F154),ISNUMBER(G154)),F154*G154,"")</f>
        <v/>
      </c>
      <c r="I154" s="246" t="n"/>
      <c r="J154" s="183" t="n"/>
      <c r="K154" s="271" t="str">
        <f>IF(AND(ISNUMBER(I154),ISNUMBER(J154)),I154*J154,"")</f>
        <v/>
      </c>
      <c r="L154" s="246" t="str">
        <f>IF(COUNT(F154,I154)=0,"",N(F154)-N(I154))</f>
        <v/>
      </c>
      <c r="M154" s="247" t="str">
        <f>IF(COUNT(H154,K154)=0,"",N(K154)-N(H154))</f>
        <v/>
      </c>
      <c r="N154" s="246" t="str">
        <f>IF(AND(ISNUMBER(F154),ISNUMBER(G154),F154&gt;0,1-N(Ввод!$J$19)/100&gt;0),G154/(1-N(Ввод!$J$19)/100),IF(AND(ISNUMBER(I154),ISNUMBER(J154),I154&gt;0),J154/(1+N(Ввод!$J$19)/100),""))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71" t="str">
        <f>IF(AND(ISNUMBER(F155),ISNUMBER(G155)),F155*G155,"")</f>
        <v/>
      </c>
      <c r="I155" s="240" t="n"/>
      <c r="J155" s="177" t="n"/>
      <c r="K155" s="271" t="str">
        <f>IF(AND(ISNUMBER(I155),ISNUMBER(J155)),I155*J155,"")</f>
        <v/>
      </c>
      <c r="L155" s="240" t="str">
        <f>IF(COUNT(F155,I155)=0,"",N(F155)-N(I155))</f>
        <v/>
      </c>
      <c r="M155" s="241" t="str">
        <f>IF(COUNT(H155,K155)=0,"",N(K155)-N(H155))</f>
        <v/>
      </c>
      <c r="N155" s="240" t="str">
        <f>IF(AND(ISNUMBER(F155),ISNUMBER(G155),F155&gt;0,1-N(Ввод!$J$19)/100&gt;0),G155/(1-N(Ввод!$J$19)/100),IF(AND(ISNUMBER(I155),ISNUMBER(J155),I155&gt;0),J155/(1+N(Ввод!$J$19)/100),""))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71" t="str">
        <f>IF(AND(ISNUMBER(F156),ISNUMBER(G156)),F156*G156,"")</f>
        <v/>
      </c>
      <c r="I156" s="246" t="n"/>
      <c r="J156" s="183" t="n"/>
      <c r="K156" s="271" t="str">
        <f>IF(AND(ISNUMBER(I156),ISNUMBER(J156)),I156*J156,"")</f>
        <v/>
      </c>
      <c r="L156" s="246" t="str">
        <f>IF(COUNT(F156,I156)=0,"",N(F156)-N(I156))</f>
        <v/>
      </c>
      <c r="M156" s="247" t="str">
        <f>IF(COUNT(H156,K156)=0,"",N(K156)-N(H156))</f>
        <v/>
      </c>
      <c r="N156" s="246" t="str">
        <f>IF(AND(ISNUMBER(F156),ISNUMBER(G156),F156&gt;0,1-N(Ввод!$J$19)/100&gt;0),G156/(1-N(Ввод!$J$19)/100),IF(AND(ISNUMBER(I156),ISNUMBER(J156),I156&gt;0),J156/(1+N(Ввод!$J$19)/100),""))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71" t="str">
        <f>IF(AND(ISNUMBER(F157),ISNUMBER(G157)),F157*G157,"")</f>
        <v/>
      </c>
      <c r="I157" s="240" t="n"/>
      <c r="J157" s="177" t="n"/>
      <c r="K157" s="271" t="str">
        <f>IF(AND(ISNUMBER(I157),ISNUMBER(J157)),I157*J157,"")</f>
        <v/>
      </c>
      <c r="L157" s="240" t="str">
        <f>IF(COUNT(F157,I157)=0,"",N(F157)-N(I157))</f>
        <v/>
      </c>
      <c r="M157" s="241" t="str">
        <f>IF(COUNT(H157,K157)=0,"",N(K157)-N(H157))</f>
        <v/>
      </c>
      <c r="N157" s="240" t="str">
        <f>IF(AND(ISNUMBER(F157),ISNUMBER(G157),F157&gt;0,1-N(Ввод!$J$19)/100&gt;0),G157/(1-N(Ввод!$J$19)/100),IF(AND(ISNUMBER(I157),ISNUMBER(J157),I157&gt;0),J157/(1+N(Ввод!$J$19)/100),""))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71" t="str">
        <f>IF(AND(ISNUMBER(F158),ISNUMBER(G158)),F158*G158,"")</f>
        <v/>
      </c>
      <c r="I158" s="246" t="n"/>
      <c r="J158" s="183" t="n"/>
      <c r="K158" s="271" t="str">
        <f>IF(AND(ISNUMBER(I158),ISNUMBER(J158)),I158*J158,"")</f>
        <v/>
      </c>
      <c r="L158" s="246" t="str">
        <f>IF(COUNT(F158,I158)=0,"",N(F158)-N(I158))</f>
        <v/>
      </c>
      <c r="M158" s="247" t="str">
        <f>IF(COUNT(H158,K158)=0,"",N(K158)-N(H158))</f>
        <v/>
      </c>
      <c r="N158" s="246" t="str">
        <f>IF(AND(ISNUMBER(F158),ISNUMBER(G158),F158&gt;0,1-N(Ввод!$J$19)/100&gt;0),G158/(1-N(Ввод!$J$19)/100),IF(AND(ISNUMBER(I158),ISNUMBER(J158),I158&gt;0),J158/(1+N(Ввод!$J$19)/100),""))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71" t="str">
        <f>IF(AND(ISNUMBER(F159),ISNUMBER(G159)),F159*G159,"")</f>
        <v/>
      </c>
      <c r="I159" s="240" t="n"/>
      <c r="J159" s="177" t="n"/>
      <c r="K159" s="271" t="str">
        <f>IF(AND(ISNUMBER(I159),ISNUMBER(J159)),I159*J159,"")</f>
        <v/>
      </c>
      <c r="L159" s="240" t="str">
        <f>IF(COUNT(F159,I159)=0,"",N(F159)-N(I159))</f>
        <v/>
      </c>
      <c r="M159" s="241" t="str">
        <f>IF(COUNT(H159,K159)=0,"",N(K159)-N(H159))</f>
        <v/>
      </c>
      <c r="N159" s="240" t="str">
        <f>IF(AND(ISNUMBER(F159),ISNUMBER(G159),F159&gt;0,1-N(Ввод!$J$19)/100&gt;0),G159/(1-N(Ввод!$J$19)/100),IF(AND(ISNUMBER(I159),ISNUMBER(J159),I159&gt;0),J159/(1+N(Ввод!$J$19)/100),""))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71" t="str">
        <f>IF(AND(ISNUMBER(F160),ISNUMBER(G160)),F160*G160,"")</f>
        <v/>
      </c>
      <c r="I160" s="246" t="n"/>
      <c r="J160" s="183" t="n"/>
      <c r="K160" s="271" t="str">
        <f>IF(AND(ISNUMBER(I160),ISNUMBER(J160)),I160*J160,"")</f>
        <v/>
      </c>
      <c r="L160" s="246" t="str">
        <f>IF(COUNT(F160,I160)=0,"",N(F160)-N(I160))</f>
        <v/>
      </c>
      <c r="M160" s="247" t="str">
        <f>IF(COUNT(H160,K160)=0,"",N(K160)-N(H160))</f>
        <v/>
      </c>
      <c r="N160" s="246" t="str">
        <f>IF(AND(ISNUMBER(F160),ISNUMBER(G160),F160&gt;0,1-N(Ввод!$J$19)/100&gt;0),G160/(1-N(Ввод!$J$19)/100),IF(AND(ISNUMBER(I160),ISNUMBER(J160),I160&gt;0),J160/(1+N(Ввод!$J$19)/100),""))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71" t="str">
        <f>IF(AND(ISNUMBER(F161),ISNUMBER(G161)),F161*G161,"")</f>
        <v/>
      </c>
      <c r="I161" s="240" t="n"/>
      <c r="J161" s="177" t="n"/>
      <c r="K161" s="271" t="str">
        <f>IF(AND(ISNUMBER(I161),ISNUMBER(J161)),I161*J161,"")</f>
        <v/>
      </c>
      <c r="L161" s="240" t="str">
        <f>IF(COUNT(F161,I161)=0,"",N(F161)-N(I161))</f>
        <v/>
      </c>
      <c r="M161" s="241" t="str">
        <f>IF(COUNT(H161,K161)=0,"",N(K161)-N(H161))</f>
        <v/>
      </c>
      <c r="N161" s="240" t="str">
        <f>IF(AND(ISNUMBER(F161),ISNUMBER(G161),F161&gt;0,1-N(Ввод!$J$19)/100&gt;0),G161/(1-N(Ввод!$J$19)/100),IF(AND(ISNUMBER(I161),ISNUMBER(J161),I161&gt;0),J161/(1+N(Ввод!$J$19)/100),""))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71" t="str">
        <f>IF(AND(ISNUMBER(F162),ISNUMBER(G162)),F162*G162,"")</f>
        <v/>
      </c>
      <c r="I162" s="246" t="n"/>
      <c r="J162" s="183" t="n"/>
      <c r="K162" s="271" t="str">
        <f>IF(AND(ISNUMBER(I162),ISNUMBER(J162)),I162*J162,"")</f>
        <v/>
      </c>
      <c r="L162" s="246" t="str">
        <f>IF(COUNT(F162,I162)=0,"",N(F162)-N(I162))</f>
        <v/>
      </c>
      <c r="M162" s="247" t="str">
        <f>IF(COUNT(H162,K162)=0,"",N(K162)-N(H162))</f>
        <v/>
      </c>
      <c r="N162" s="246" t="str">
        <f>IF(AND(ISNUMBER(F162),ISNUMBER(G162),F162&gt;0,1-N(Ввод!$J$19)/100&gt;0),G162/(1-N(Ввод!$J$19)/100),IF(AND(ISNUMBER(I162),ISNUMBER(J162),I162&gt;0),J162/(1+N(Ввод!$J$19)/100),""))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71" t="str">
        <f>IF(AND(ISNUMBER(F163),ISNUMBER(G163)),F163*G163,"")</f>
        <v/>
      </c>
      <c r="I163" s="240" t="n"/>
      <c r="J163" s="177" t="n"/>
      <c r="K163" s="271" t="str">
        <f>IF(AND(ISNUMBER(I163),ISNUMBER(J163)),I163*J163,"")</f>
        <v/>
      </c>
      <c r="L163" s="240" t="str">
        <f>IF(COUNT(F163,I163)=0,"",N(F163)-N(I163))</f>
        <v/>
      </c>
      <c r="M163" s="241" t="str">
        <f>IF(COUNT(H163,K163)=0,"",N(K163)-N(H163))</f>
        <v/>
      </c>
      <c r="N163" s="240" t="str">
        <f>IF(AND(ISNUMBER(F163),ISNUMBER(G163),F163&gt;0,1-N(Ввод!$J$19)/100&gt;0),G163/(1-N(Ввод!$J$19)/100),IF(AND(ISNUMBER(I163),ISNUMBER(J163),I163&gt;0),J163/(1+N(Ввод!$J$19)/100),""))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71" t="str">
        <f>IF(AND(ISNUMBER(F164),ISNUMBER(G164)),F164*G164,"")</f>
        <v/>
      </c>
      <c r="I164" s="246" t="n"/>
      <c r="J164" s="183" t="n"/>
      <c r="K164" s="271" t="str">
        <f>IF(AND(ISNUMBER(I164),ISNUMBER(J164)),I164*J164,"")</f>
        <v/>
      </c>
      <c r="L164" s="246" t="str">
        <f>IF(COUNT(F164,I164)=0,"",N(F164)-N(I164))</f>
        <v/>
      </c>
      <c r="M164" s="247" t="str">
        <f>IF(COUNT(H164,K164)=0,"",N(K164)-N(H164))</f>
        <v/>
      </c>
      <c r="N164" s="246" t="str">
        <f>IF(AND(ISNUMBER(F164),ISNUMBER(G164),F164&gt;0,1-N(Ввод!$J$19)/100&gt;0),G164/(1-N(Ввод!$J$19)/100),IF(AND(ISNUMBER(I164),ISNUMBER(J164),I164&gt;0),J164/(1+N(Ввод!$J$19)/100),""))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71" t="str">
        <f>IF(AND(ISNUMBER(F165),ISNUMBER(G165)),F165*G165,"")</f>
        <v/>
      </c>
      <c r="I165" s="240" t="n"/>
      <c r="J165" s="177" t="n"/>
      <c r="K165" s="271" t="str">
        <f>IF(AND(ISNUMBER(I165),ISNUMBER(J165)),I165*J165,"")</f>
        <v/>
      </c>
      <c r="L165" s="240" t="str">
        <f>IF(COUNT(F165,I165)=0,"",N(F165)-N(I165))</f>
        <v/>
      </c>
      <c r="M165" s="241" t="str">
        <f>IF(COUNT(H165,K165)=0,"",N(K165)-N(H165))</f>
        <v/>
      </c>
      <c r="N165" s="240" t="str">
        <f>IF(AND(ISNUMBER(F165),ISNUMBER(G165),F165&gt;0,1-N(Ввод!$J$19)/100&gt;0),G165/(1-N(Ввод!$J$19)/100),IF(AND(ISNUMBER(I165),ISNUMBER(J165),I165&gt;0),J165/(1+N(Ввод!$J$19)/100),""))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71" t="str">
        <f>IF(AND(ISNUMBER(F166),ISNUMBER(G166)),F166*G166,"")</f>
        <v/>
      </c>
      <c r="I166" s="246" t="n"/>
      <c r="J166" s="183" t="n"/>
      <c r="K166" s="271" t="str">
        <f>IF(AND(ISNUMBER(I166),ISNUMBER(J166)),I166*J166,"")</f>
        <v/>
      </c>
      <c r="L166" s="246" t="str">
        <f>IF(COUNT(F166,I166)=0,"",N(F166)-N(I166))</f>
        <v/>
      </c>
      <c r="M166" s="247" t="str">
        <f>IF(COUNT(H166,K166)=0,"",N(K166)-N(H166))</f>
        <v/>
      </c>
      <c r="N166" s="246" t="str">
        <f>IF(AND(ISNUMBER(F166),ISNUMBER(G166),F166&gt;0,1-N(Ввод!$J$19)/100&gt;0),G166/(1-N(Ввод!$J$19)/100),IF(AND(ISNUMBER(I166),ISNUMBER(J166),I166&gt;0),J166/(1+N(Ввод!$J$19)/100),""))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71" t="str">
        <f>IF(AND(ISNUMBER(F167),ISNUMBER(G167)),F167*G167,"")</f>
        <v/>
      </c>
      <c r="I167" s="240" t="n"/>
      <c r="J167" s="177" t="n"/>
      <c r="K167" s="271" t="str">
        <f>IF(AND(ISNUMBER(I167),ISNUMBER(J167)),I167*J167,"")</f>
        <v/>
      </c>
      <c r="L167" s="240" t="str">
        <f>IF(COUNT(F167,I167)=0,"",N(F167)-N(I167))</f>
        <v/>
      </c>
      <c r="M167" s="241" t="str">
        <f>IF(COUNT(H167,K167)=0,"",N(K167)-N(H167))</f>
        <v/>
      </c>
      <c r="N167" s="240" t="str">
        <f>IF(AND(ISNUMBER(F167),ISNUMBER(G167),F167&gt;0,1-N(Ввод!$J$19)/100&gt;0),G167/(1-N(Ввод!$J$19)/100),IF(AND(ISNUMBER(I167),ISNUMBER(J167),I167&gt;0),J167/(1+N(Ввод!$J$19)/100),""))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71" t="str">
        <f>IF(AND(ISNUMBER(F168),ISNUMBER(G168)),F168*G168,"")</f>
        <v/>
      </c>
      <c r="I168" s="246" t="n"/>
      <c r="J168" s="183" t="n"/>
      <c r="K168" s="271" t="str">
        <f>IF(AND(ISNUMBER(I168),ISNUMBER(J168)),I168*J168,"")</f>
        <v/>
      </c>
      <c r="L168" s="246" t="str">
        <f>IF(COUNT(F168,I168)=0,"",N(F168)-N(I168))</f>
        <v/>
      </c>
      <c r="M168" s="247" t="str">
        <f>IF(COUNT(H168,K168)=0,"",N(K168)-N(H168))</f>
        <v/>
      </c>
      <c r="N168" s="246" t="str">
        <f>IF(AND(ISNUMBER(F168),ISNUMBER(G168),F168&gt;0,1-N(Ввод!$J$19)/100&gt;0),G168/(1-N(Ввод!$J$19)/100),IF(AND(ISNUMBER(I168),ISNUMBER(J168),I168&gt;0),J168/(1+N(Ввод!$J$19)/100),""))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71" t="str">
        <f>IF(AND(ISNUMBER(F169),ISNUMBER(G169)),F169*G169,"")</f>
        <v/>
      </c>
      <c r="I169" s="240" t="n"/>
      <c r="J169" s="177" t="n"/>
      <c r="K169" s="271" t="str">
        <f>IF(AND(ISNUMBER(I169),ISNUMBER(J169)),I169*J169,"")</f>
        <v/>
      </c>
      <c r="L169" s="240" t="str">
        <f>IF(COUNT(F169,I169)=0,"",N(F169)-N(I169))</f>
        <v/>
      </c>
      <c r="M169" s="241" t="str">
        <f>IF(COUNT(H169,K169)=0,"",N(K169)-N(H169))</f>
        <v/>
      </c>
      <c r="N169" s="240" t="str">
        <f>IF(AND(ISNUMBER(F169),ISNUMBER(G169),F169&gt;0,1-N(Ввод!$J$19)/100&gt;0),G169/(1-N(Ввод!$J$19)/100),IF(AND(ISNUMBER(I169),ISNUMBER(J169),I169&gt;0),J169/(1+N(Ввод!$J$19)/100),""))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71" t="str">
        <f>IF(AND(ISNUMBER(F170),ISNUMBER(G170)),F170*G170,"")</f>
        <v/>
      </c>
      <c r="I170" s="246" t="n"/>
      <c r="J170" s="183" t="n"/>
      <c r="K170" s="271" t="str">
        <f>IF(AND(ISNUMBER(I170),ISNUMBER(J170)),I170*J170,"")</f>
        <v/>
      </c>
      <c r="L170" s="246" t="str">
        <f>IF(COUNT(F170,I170)=0,"",N(F170)-N(I170))</f>
        <v/>
      </c>
      <c r="M170" s="247" t="str">
        <f>IF(COUNT(H170,K170)=0,"",N(K170)-N(H170))</f>
        <v/>
      </c>
      <c r="N170" s="246" t="str">
        <f>IF(AND(ISNUMBER(F170),ISNUMBER(G170),F170&gt;0,1-N(Ввод!$J$19)/100&gt;0),G170/(1-N(Ввод!$J$19)/100),IF(AND(ISNUMBER(I170),ISNUMBER(J170),I170&gt;0),J170/(1+N(Ввод!$J$19)/100),""))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71" t="str">
        <f>IF(AND(ISNUMBER(F171),ISNUMBER(G171)),F171*G171,"")</f>
        <v/>
      </c>
      <c r="I171" s="240" t="n"/>
      <c r="J171" s="177" t="n"/>
      <c r="K171" s="271" t="str">
        <f>IF(AND(ISNUMBER(I171),ISNUMBER(J171)),I171*J171,"")</f>
        <v/>
      </c>
      <c r="L171" s="240" t="str">
        <f>IF(COUNT(F171,I171)=0,"",N(F171)-N(I171))</f>
        <v/>
      </c>
      <c r="M171" s="241" t="str">
        <f>IF(COUNT(H171,K171)=0,"",N(K171)-N(H171))</f>
        <v/>
      </c>
      <c r="N171" s="240" t="str">
        <f>IF(AND(ISNUMBER(F171),ISNUMBER(G171),F171&gt;0,1-N(Ввод!$J$19)/100&gt;0),G171/(1-N(Ввод!$J$19)/100),IF(AND(ISNUMBER(I171),ISNUMBER(J171),I171&gt;0),J171/(1+N(Ввод!$J$19)/100),""))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71" t="str">
        <f>IF(AND(ISNUMBER(F172),ISNUMBER(G172)),F172*G172,"")</f>
        <v/>
      </c>
      <c r="I172" s="246" t="n"/>
      <c r="J172" s="183" t="n"/>
      <c r="K172" s="271" t="str">
        <f>IF(AND(ISNUMBER(I172),ISNUMBER(J172)),I172*J172,"")</f>
        <v/>
      </c>
      <c r="L172" s="246" t="str">
        <f>IF(COUNT(F172,I172)=0,"",N(F172)-N(I172))</f>
        <v/>
      </c>
      <c r="M172" s="247" t="str">
        <f>IF(COUNT(H172,K172)=0,"",N(K172)-N(H172))</f>
        <v/>
      </c>
      <c r="N172" s="246" t="str">
        <f>IF(AND(ISNUMBER(F172),ISNUMBER(G172),F172&gt;0,1-N(Ввод!$J$19)/100&gt;0),G172/(1-N(Ввод!$J$19)/100),IF(AND(ISNUMBER(I172),ISNUMBER(J172),I172&gt;0),J172/(1+N(Ввод!$J$19)/100),""))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71" t="str">
        <f>IF(AND(ISNUMBER(F173),ISNUMBER(G173)),F173*G173,"")</f>
        <v/>
      </c>
      <c r="I173" s="240" t="n"/>
      <c r="J173" s="177" t="n"/>
      <c r="K173" s="271" t="str">
        <f>IF(AND(ISNUMBER(I173),ISNUMBER(J173)),I173*J173,"")</f>
        <v/>
      </c>
      <c r="L173" s="240" t="str">
        <f>IF(COUNT(F173,I173)=0,"",N(F173)-N(I173))</f>
        <v/>
      </c>
      <c r="M173" s="241" t="str">
        <f>IF(COUNT(H173,K173)=0,"",N(K173)-N(H173))</f>
        <v/>
      </c>
      <c r="N173" s="240" t="str">
        <f>IF(AND(ISNUMBER(F173),ISNUMBER(G173),F173&gt;0,1-N(Ввод!$J$19)/100&gt;0),G173/(1-N(Ввод!$J$19)/100),IF(AND(ISNUMBER(I173),ISNUMBER(J173),I173&gt;0),J173/(1+N(Ввод!$J$19)/100),""))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71" t="str">
        <f>IF(AND(ISNUMBER(F174),ISNUMBER(G174)),F174*G174,"")</f>
        <v/>
      </c>
      <c r="I174" s="246" t="n"/>
      <c r="J174" s="183" t="n"/>
      <c r="K174" s="271" t="str">
        <f>IF(AND(ISNUMBER(I174),ISNUMBER(J174)),I174*J174,"")</f>
        <v/>
      </c>
      <c r="L174" s="246" t="str">
        <f>IF(COUNT(F174,I174)=0,"",N(F174)-N(I174))</f>
        <v/>
      </c>
      <c r="M174" s="247" t="str">
        <f>IF(COUNT(H174,K174)=0,"",N(K174)-N(H174))</f>
        <v/>
      </c>
      <c r="N174" s="246" t="str">
        <f>IF(AND(ISNUMBER(F174),ISNUMBER(G174),F174&gt;0,1-N(Ввод!$J$19)/100&gt;0),G174/(1-N(Ввод!$J$19)/100),IF(AND(ISNUMBER(I174),ISNUMBER(J174),I174&gt;0),J174/(1+N(Ввод!$J$19)/100),""))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71" t="str">
        <f>IF(AND(ISNUMBER(F175),ISNUMBER(G175)),F175*G175,"")</f>
        <v/>
      </c>
      <c r="I175" s="240" t="n"/>
      <c r="J175" s="177" t="n"/>
      <c r="K175" s="271" t="str">
        <f>IF(AND(ISNUMBER(I175),ISNUMBER(J175)),I175*J175,"")</f>
        <v/>
      </c>
      <c r="L175" s="240" t="str">
        <f>IF(COUNT(F175,I175)=0,"",N(F175)-N(I175))</f>
        <v/>
      </c>
      <c r="M175" s="241" t="str">
        <f>IF(COUNT(H175,K175)=0,"",N(K175)-N(H175))</f>
        <v/>
      </c>
      <c r="N175" s="240" t="str">
        <f>IF(AND(ISNUMBER(F175),ISNUMBER(G175),F175&gt;0,1-N(Ввод!$J$19)/100&gt;0),G175/(1-N(Ввод!$J$19)/100),IF(AND(ISNUMBER(I175),ISNUMBER(J175),I175&gt;0),J175/(1+N(Ввод!$J$19)/100),""))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71" t="str">
        <f>IF(AND(ISNUMBER(F176),ISNUMBER(G176)),F176*G176,"")</f>
        <v/>
      </c>
      <c r="I176" s="246" t="n"/>
      <c r="J176" s="183" t="n"/>
      <c r="K176" s="271" t="str">
        <f>IF(AND(ISNUMBER(I176),ISNUMBER(J176)),I176*J176,"")</f>
        <v/>
      </c>
      <c r="L176" s="246" t="str">
        <f>IF(COUNT(F176,I176)=0,"",N(F176)-N(I176))</f>
        <v/>
      </c>
      <c r="M176" s="247" t="str">
        <f>IF(COUNT(H176,K176)=0,"",N(K176)-N(H176))</f>
        <v/>
      </c>
      <c r="N176" s="246" t="str">
        <f>IF(AND(ISNUMBER(F176),ISNUMBER(G176),F176&gt;0,1-N(Ввод!$J$19)/100&gt;0),G176/(1-N(Ввод!$J$19)/100),IF(AND(ISNUMBER(I176),ISNUMBER(J176),I176&gt;0),J176/(1+N(Ввод!$J$19)/100),""))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71" t="str">
        <f>IF(AND(ISNUMBER(F177),ISNUMBER(G177)),F177*G177,"")</f>
        <v/>
      </c>
      <c r="I177" s="240" t="n"/>
      <c r="J177" s="177" t="n"/>
      <c r="K177" s="271" t="str">
        <f>IF(AND(ISNUMBER(I177),ISNUMBER(J177)),I177*J177,"")</f>
        <v/>
      </c>
      <c r="L177" s="240" t="str">
        <f>IF(COUNT(F177,I177)=0,"",N(F177)-N(I177))</f>
        <v/>
      </c>
      <c r="M177" s="241" t="str">
        <f>IF(COUNT(H177,K177)=0,"",N(K177)-N(H177))</f>
        <v/>
      </c>
      <c r="N177" s="240" t="str">
        <f>IF(AND(ISNUMBER(F177),ISNUMBER(G177),F177&gt;0,1-N(Ввод!$J$19)/100&gt;0),G177/(1-N(Ввод!$J$19)/100),IF(AND(ISNUMBER(I177),ISNUMBER(J177),I177&gt;0),J177/(1+N(Ввод!$J$19)/100),""))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71" t="str">
        <f>IF(AND(ISNUMBER(F178),ISNUMBER(G178)),F178*G178,"")</f>
        <v/>
      </c>
      <c r="I178" s="246" t="n"/>
      <c r="J178" s="183" t="n"/>
      <c r="K178" s="271" t="str">
        <f>IF(AND(ISNUMBER(I178),ISNUMBER(J178)),I178*J178,"")</f>
        <v/>
      </c>
      <c r="L178" s="246" t="str">
        <f>IF(COUNT(F178,I178)=0,"",N(F178)-N(I178))</f>
        <v/>
      </c>
      <c r="M178" s="247" t="str">
        <f>IF(COUNT(H178,K178)=0,"",N(K178)-N(H178))</f>
        <v/>
      </c>
      <c r="N178" s="246" t="str">
        <f>IF(AND(ISNUMBER(F178),ISNUMBER(G178),F178&gt;0,1-N(Ввод!$J$19)/100&gt;0),G178/(1-N(Ввод!$J$19)/100),IF(AND(ISNUMBER(I178),ISNUMBER(J178),I178&gt;0),J178/(1+N(Ввод!$J$19)/100),""))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71" t="str">
        <f>IF(AND(ISNUMBER(F179),ISNUMBER(G179)),F179*G179,"")</f>
        <v/>
      </c>
      <c r="I179" s="240" t="n"/>
      <c r="J179" s="177" t="n"/>
      <c r="K179" s="271" t="str">
        <f>IF(AND(ISNUMBER(I179),ISNUMBER(J179)),I179*J179,"")</f>
        <v/>
      </c>
      <c r="L179" s="240" t="str">
        <f>IF(COUNT(F179,I179)=0,"",N(F179)-N(I179))</f>
        <v/>
      </c>
      <c r="M179" s="241" t="str">
        <f>IF(COUNT(H179,K179)=0,"",N(K179)-N(H179))</f>
        <v/>
      </c>
      <c r="N179" s="240" t="str">
        <f>IF(AND(ISNUMBER(F179),ISNUMBER(G179),F179&gt;0,1-N(Ввод!$J$19)/100&gt;0),G179/(1-N(Ввод!$J$19)/100),IF(AND(ISNUMBER(I179),ISNUMBER(J179),I179&gt;0),J179/(1+N(Ввод!$J$19)/100),""))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71" t="str">
        <f>IF(AND(ISNUMBER(F180),ISNUMBER(G180)),F180*G180,"")</f>
        <v/>
      </c>
      <c r="I180" s="246" t="n"/>
      <c r="J180" s="183" t="n"/>
      <c r="K180" s="271" t="str">
        <f>IF(AND(ISNUMBER(I180),ISNUMBER(J180)),I180*J180,"")</f>
        <v/>
      </c>
      <c r="L180" s="246" t="str">
        <f>IF(COUNT(F180,I180)=0,"",N(F180)-N(I180))</f>
        <v/>
      </c>
      <c r="M180" s="247" t="str">
        <f>IF(COUNT(H180,K180)=0,"",N(K180)-N(H180))</f>
        <v/>
      </c>
      <c r="N180" s="246" t="str">
        <f>IF(AND(ISNUMBER(F180),ISNUMBER(G180),F180&gt;0,1-N(Ввод!$J$19)/100&gt;0),G180/(1-N(Ввод!$J$19)/100),IF(AND(ISNUMBER(I180),ISNUMBER(J180),I180&gt;0),J180/(1+N(Ввод!$J$19)/100),""))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71" t="str">
        <f>IF(AND(ISNUMBER(F181),ISNUMBER(G181)),F181*G181,"")</f>
        <v/>
      </c>
      <c r="I181" s="240" t="n"/>
      <c r="J181" s="177" t="n"/>
      <c r="K181" s="271" t="str">
        <f>IF(AND(ISNUMBER(I181),ISNUMBER(J181)),I181*J181,"")</f>
        <v/>
      </c>
      <c r="L181" s="240" t="str">
        <f>IF(COUNT(F181,I181)=0,"",N(F181)-N(I181))</f>
        <v/>
      </c>
      <c r="M181" s="241" t="str">
        <f>IF(COUNT(H181,K181)=0,"",N(K181)-N(H181))</f>
        <v/>
      </c>
      <c r="N181" s="240" t="str">
        <f>IF(AND(ISNUMBER(F181),ISNUMBER(G181),F181&gt;0,1-N(Ввод!$J$19)/100&gt;0),G181/(1-N(Ввод!$J$19)/100),IF(AND(ISNUMBER(I181),ISNUMBER(J181),I181&gt;0),J181/(1+N(Ввод!$J$19)/100),""))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71" t="str">
        <f>IF(AND(ISNUMBER(F182),ISNUMBER(G182)),F182*G182,"")</f>
        <v/>
      </c>
      <c r="I182" s="246" t="n"/>
      <c r="J182" s="183" t="n"/>
      <c r="K182" s="271" t="str">
        <f>IF(AND(ISNUMBER(I182),ISNUMBER(J182)),I182*J182,"")</f>
        <v/>
      </c>
      <c r="L182" s="246" t="str">
        <f>IF(COUNT(F182,I182)=0,"",N(F182)-N(I182))</f>
        <v/>
      </c>
      <c r="M182" s="247" t="str">
        <f>IF(COUNT(H182,K182)=0,"",N(K182)-N(H182))</f>
        <v/>
      </c>
      <c r="N182" s="246" t="str">
        <f>IF(AND(ISNUMBER(F182),ISNUMBER(G182),F182&gt;0,1-N(Ввод!$J$19)/100&gt;0),G182/(1-N(Ввод!$J$19)/100),IF(AND(ISNUMBER(I182),ISNUMBER(J182),I182&gt;0),J182/(1+N(Ввод!$J$19)/100),""))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71" t="str">
        <f>IF(AND(ISNUMBER(F183),ISNUMBER(G183)),F183*G183,"")</f>
        <v/>
      </c>
      <c r="I183" s="240" t="n"/>
      <c r="J183" s="177" t="n"/>
      <c r="K183" s="271" t="str">
        <f>IF(AND(ISNUMBER(I183),ISNUMBER(J183)),I183*J183,"")</f>
        <v/>
      </c>
      <c r="L183" s="240" t="str">
        <f>IF(COUNT(F183,I183)=0,"",N(F183)-N(I183))</f>
        <v/>
      </c>
      <c r="M183" s="241" t="str">
        <f>IF(COUNT(H183,K183)=0,"",N(K183)-N(H183))</f>
        <v/>
      </c>
      <c r="N183" s="240" t="str">
        <f>IF(AND(ISNUMBER(F183),ISNUMBER(G183),F183&gt;0,1-N(Ввод!$J$19)/100&gt;0),G183/(1-N(Ввод!$J$19)/100),IF(AND(ISNUMBER(I183),ISNUMBER(J183),I183&gt;0),J183/(1+N(Ввод!$J$19)/100),""))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71" t="str">
        <f>IF(AND(ISNUMBER(F184),ISNUMBER(G184)),F184*G184,"")</f>
        <v/>
      </c>
      <c r="I184" s="246" t="n"/>
      <c r="J184" s="183" t="n"/>
      <c r="K184" s="271" t="str">
        <f>IF(AND(ISNUMBER(I184),ISNUMBER(J184)),I184*J184,"")</f>
        <v/>
      </c>
      <c r="L184" s="246" t="str">
        <f>IF(COUNT(F184,I184)=0,"",N(F184)-N(I184))</f>
        <v/>
      </c>
      <c r="M184" s="247" t="str">
        <f>IF(COUNT(H184,K184)=0,"",N(K184)-N(H184))</f>
        <v/>
      </c>
      <c r="N184" s="246" t="str">
        <f>IF(AND(ISNUMBER(F184),ISNUMBER(G184),F184&gt;0,1-N(Ввод!$J$19)/100&gt;0),G184/(1-N(Ввод!$J$19)/100),IF(AND(ISNUMBER(I184),ISNUMBER(J184),I184&gt;0),J184/(1+N(Ввод!$J$19)/100),""))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71" t="str">
        <f>IF(AND(ISNUMBER(F185),ISNUMBER(G185)),F185*G185,"")</f>
        <v/>
      </c>
      <c r="I185" s="240" t="n"/>
      <c r="J185" s="177" t="n"/>
      <c r="K185" s="271" t="str">
        <f>IF(AND(ISNUMBER(I185),ISNUMBER(J185)),I185*J185,"")</f>
        <v/>
      </c>
      <c r="L185" s="240" t="str">
        <f>IF(COUNT(F185,I185)=0,"",N(F185)-N(I185))</f>
        <v/>
      </c>
      <c r="M185" s="241" t="str">
        <f>IF(COUNT(H185,K185)=0,"",N(K185)-N(H185))</f>
        <v/>
      </c>
      <c r="N185" s="240" t="str">
        <f>IF(AND(ISNUMBER(F185),ISNUMBER(G185),F185&gt;0,1-N(Ввод!$J$19)/100&gt;0),G185/(1-N(Ввод!$J$19)/100),IF(AND(ISNUMBER(I185),ISNUMBER(J185),I185&gt;0),J185/(1+N(Ввод!$J$19)/100),""))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71" t="str">
        <f>IF(AND(ISNUMBER(F186),ISNUMBER(G186)),F186*G186,"")</f>
        <v/>
      </c>
      <c r="I186" s="246" t="n"/>
      <c r="J186" s="183" t="n"/>
      <c r="K186" s="271" t="str">
        <f>IF(AND(ISNUMBER(I186),ISNUMBER(J186)),I186*J186,"")</f>
        <v/>
      </c>
      <c r="L186" s="246" t="str">
        <f>IF(COUNT(F186,I186)=0,"",N(F186)-N(I186))</f>
        <v/>
      </c>
      <c r="M186" s="247" t="str">
        <f>IF(COUNT(H186,K186)=0,"",N(K186)-N(H186))</f>
        <v/>
      </c>
      <c r="N186" s="246" t="str">
        <f>IF(AND(ISNUMBER(F186),ISNUMBER(G186),F186&gt;0,1-N(Ввод!$J$19)/100&gt;0),G186/(1-N(Ввод!$J$19)/100),IF(AND(ISNUMBER(I186),ISNUMBER(J186),I186&gt;0),J186/(1+N(Ввод!$J$19)/100),""))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71" t="str">
        <f>IF(AND(ISNUMBER(F187),ISNUMBER(G187)),F187*G187,"")</f>
        <v/>
      </c>
      <c r="I187" s="240" t="n"/>
      <c r="J187" s="177" t="n"/>
      <c r="K187" s="271" t="str">
        <f>IF(AND(ISNUMBER(I187),ISNUMBER(J187)),I187*J187,"")</f>
        <v/>
      </c>
      <c r="L187" s="240" t="str">
        <f>IF(COUNT(F187,I187)=0,"",N(F187)-N(I187))</f>
        <v/>
      </c>
      <c r="M187" s="241" t="str">
        <f>IF(COUNT(H187,K187)=0,"",N(K187)-N(H187))</f>
        <v/>
      </c>
      <c r="N187" s="240" t="str">
        <f>IF(AND(ISNUMBER(F187),ISNUMBER(G187),F187&gt;0,1-N(Ввод!$J$19)/100&gt;0),G187/(1-N(Ввод!$J$19)/100),IF(AND(ISNUMBER(I187),ISNUMBER(J187),I187&gt;0),J187/(1+N(Ввод!$J$19)/100),""))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71" t="str">
        <f>IF(AND(ISNUMBER(F188),ISNUMBER(G188)),F188*G188,"")</f>
        <v/>
      </c>
      <c r="I188" s="246" t="n"/>
      <c r="J188" s="183" t="n"/>
      <c r="K188" s="271" t="str">
        <f>IF(AND(ISNUMBER(I188),ISNUMBER(J188)),I188*J188,"")</f>
        <v/>
      </c>
      <c r="L188" s="246" t="str">
        <f>IF(COUNT(F188,I188)=0,"",N(F188)-N(I188))</f>
        <v/>
      </c>
      <c r="M188" s="247" t="str">
        <f>IF(COUNT(H188,K188)=0,"",N(K188)-N(H188))</f>
        <v/>
      </c>
      <c r="N188" s="246" t="str">
        <f>IF(AND(ISNUMBER(F188),ISNUMBER(G188),F188&gt;0,1-N(Ввод!$J$19)/100&gt;0),G188/(1-N(Ввод!$J$19)/100),IF(AND(ISNUMBER(I188),ISNUMBER(J188),I188&gt;0),J188/(1+N(Ввод!$J$19)/100),""))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71" t="str">
        <f>IF(AND(ISNUMBER(F189),ISNUMBER(G189)),F189*G189,"")</f>
        <v/>
      </c>
      <c r="I189" s="240" t="n"/>
      <c r="J189" s="177" t="n"/>
      <c r="K189" s="271" t="str">
        <f>IF(AND(ISNUMBER(I189),ISNUMBER(J189)),I189*J189,"")</f>
        <v/>
      </c>
      <c r="L189" s="240" t="str">
        <f>IF(COUNT(F189,I189)=0,"",N(F189)-N(I189))</f>
        <v/>
      </c>
      <c r="M189" s="241" t="str">
        <f>IF(COUNT(H189,K189)=0,"",N(K189)-N(H189))</f>
        <v/>
      </c>
      <c r="N189" s="240" t="str">
        <f>IF(AND(ISNUMBER(F189),ISNUMBER(G189),F189&gt;0,1-N(Ввод!$J$19)/100&gt;0),G189/(1-N(Ввод!$J$19)/100),IF(AND(ISNUMBER(I189),ISNUMBER(J189),I189&gt;0),J189/(1+N(Ввод!$J$19)/100),""))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71" t="str">
        <f>IF(AND(ISNUMBER(F190),ISNUMBER(G190)),F190*G190,"")</f>
        <v/>
      </c>
      <c r="I190" s="246" t="n"/>
      <c r="J190" s="183" t="n"/>
      <c r="K190" s="271" t="str">
        <f>IF(AND(ISNUMBER(I190),ISNUMBER(J190)),I190*J190,"")</f>
        <v/>
      </c>
      <c r="L190" s="246" t="str">
        <f>IF(COUNT(F190,I190)=0,"",N(F190)-N(I190))</f>
        <v/>
      </c>
      <c r="M190" s="247" t="str">
        <f>IF(COUNT(H190,K190)=0,"",N(K190)-N(H190))</f>
        <v/>
      </c>
      <c r="N190" s="246" t="str">
        <f>IF(AND(ISNUMBER(F190),ISNUMBER(G190),F190&gt;0,1-N(Ввод!$J$19)/100&gt;0),G190/(1-N(Ввод!$J$19)/100),IF(AND(ISNUMBER(I190),ISNUMBER(J190),I190&gt;0),J190/(1+N(Ввод!$J$19)/100),""))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71" t="str">
        <f>IF(AND(ISNUMBER(F191),ISNUMBER(G191)),F191*G191,"")</f>
        <v/>
      </c>
      <c r="I191" s="240" t="n"/>
      <c r="J191" s="177" t="n"/>
      <c r="K191" s="271" t="str">
        <f>IF(AND(ISNUMBER(I191),ISNUMBER(J191)),I191*J191,"")</f>
        <v/>
      </c>
      <c r="L191" s="240" t="str">
        <f>IF(COUNT(F191,I191)=0,"",N(F191)-N(I191))</f>
        <v/>
      </c>
      <c r="M191" s="241" t="str">
        <f>IF(COUNT(H191,K191)=0,"",N(K191)-N(H191))</f>
        <v/>
      </c>
      <c r="N191" s="240" t="str">
        <f>IF(AND(ISNUMBER(F191),ISNUMBER(G191),F191&gt;0,1-N(Ввод!$J$19)/100&gt;0),G191/(1-N(Ввод!$J$19)/100),IF(AND(ISNUMBER(I191),ISNUMBER(J191),I191&gt;0),J191/(1+N(Ввод!$J$19)/100),""))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71" t="str">
        <f>IF(AND(ISNUMBER(F192),ISNUMBER(G192)),F192*G192,"")</f>
        <v/>
      </c>
      <c r="I192" s="246" t="n"/>
      <c r="J192" s="183" t="n"/>
      <c r="K192" s="271" t="str">
        <f>IF(AND(ISNUMBER(I192),ISNUMBER(J192)),I192*J192,"")</f>
        <v/>
      </c>
      <c r="L192" s="246" t="str">
        <f>IF(COUNT(F192,I192)=0,"",N(F192)-N(I192))</f>
        <v/>
      </c>
      <c r="M192" s="247" t="str">
        <f>IF(COUNT(H192,K192)=0,"",N(K192)-N(H192))</f>
        <v/>
      </c>
      <c r="N192" s="246" t="str">
        <f>IF(AND(ISNUMBER(F192),ISNUMBER(G192),F192&gt;0,1-N(Ввод!$J$19)/100&gt;0),G192/(1-N(Ввод!$J$19)/100),IF(AND(ISNUMBER(I192),ISNUMBER(J192),I192&gt;0),J192/(1+N(Ввод!$J$19)/100),""))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71" t="str">
        <f>IF(AND(ISNUMBER(F193),ISNUMBER(G193)),F193*G193,"")</f>
        <v/>
      </c>
      <c r="I193" s="240" t="n"/>
      <c r="J193" s="177" t="n"/>
      <c r="K193" s="271" t="str">
        <f>IF(AND(ISNUMBER(I193),ISNUMBER(J193)),I193*J193,"")</f>
        <v/>
      </c>
      <c r="L193" s="240" t="str">
        <f>IF(COUNT(F193,I193)=0,"",N(F193)-N(I193))</f>
        <v/>
      </c>
      <c r="M193" s="241" t="str">
        <f>IF(COUNT(H193,K193)=0,"",N(K193)-N(H193))</f>
        <v/>
      </c>
      <c r="N193" s="240" t="str">
        <f>IF(AND(ISNUMBER(F193),ISNUMBER(G193),F193&gt;0,1-N(Ввод!$J$19)/100&gt;0),G193/(1-N(Ввод!$J$19)/100),IF(AND(ISNUMBER(I193),ISNUMBER(J193),I193&gt;0),J193/(1+N(Ввод!$J$19)/100),""))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71" t="str">
        <f>IF(AND(ISNUMBER(F194),ISNUMBER(G194)),F194*G194,"")</f>
        <v/>
      </c>
      <c r="I194" s="246" t="n"/>
      <c r="J194" s="183" t="n"/>
      <c r="K194" s="271" t="str">
        <f>IF(AND(ISNUMBER(I194),ISNUMBER(J194)),I194*J194,"")</f>
        <v/>
      </c>
      <c r="L194" s="246" t="str">
        <f>IF(COUNT(F194,I194)=0,"",N(F194)-N(I194))</f>
        <v/>
      </c>
      <c r="M194" s="247" t="str">
        <f>IF(COUNT(H194,K194)=0,"",N(K194)-N(H194))</f>
        <v/>
      </c>
      <c r="N194" s="246" t="str">
        <f>IF(AND(ISNUMBER(F194),ISNUMBER(G194),F194&gt;0,1-N(Ввод!$J$19)/100&gt;0),G194/(1-N(Ввод!$J$19)/100),IF(AND(ISNUMBER(I194),ISNUMBER(J194),I194&gt;0),J194/(1+N(Ввод!$J$19)/100),""))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71" t="str">
        <f>IF(AND(ISNUMBER(F195),ISNUMBER(G195)),F195*G195,"")</f>
        <v/>
      </c>
      <c r="I195" s="240" t="n"/>
      <c r="J195" s="177" t="n"/>
      <c r="K195" s="271" t="str">
        <f>IF(AND(ISNUMBER(I195),ISNUMBER(J195)),I195*J195,"")</f>
        <v/>
      </c>
      <c r="L195" s="240" t="str">
        <f>IF(COUNT(F195,I195)=0,"",N(F195)-N(I195))</f>
        <v/>
      </c>
      <c r="M195" s="241" t="str">
        <f>IF(COUNT(H195,K195)=0,"",N(K195)-N(H195))</f>
        <v/>
      </c>
      <c r="N195" s="240" t="str">
        <f>IF(AND(ISNUMBER(F195),ISNUMBER(G195),F195&gt;0,1-N(Ввод!$J$19)/100&gt;0),G195/(1-N(Ввод!$J$19)/100),IF(AND(ISNUMBER(I195),ISNUMBER(J195),I195&gt;0),J195/(1+N(Ввод!$J$19)/100),""))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71" t="str">
        <f>IF(AND(ISNUMBER(F196),ISNUMBER(G196)),F196*G196,"")</f>
        <v/>
      </c>
      <c r="I196" s="246" t="n"/>
      <c r="J196" s="183" t="n"/>
      <c r="K196" s="271" t="str">
        <f>IF(AND(ISNUMBER(I196),ISNUMBER(J196)),I196*J196,"")</f>
        <v/>
      </c>
      <c r="L196" s="246" t="str">
        <f>IF(COUNT(F196,I196)=0,"",N(F196)-N(I196))</f>
        <v/>
      </c>
      <c r="M196" s="247" t="str">
        <f>IF(COUNT(H196,K196)=0,"",N(K196)-N(H196))</f>
        <v/>
      </c>
      <c r="N196" s="246" t="str">
        <f>IF(AND(ISNUMBER(F196),ISNUMBER(G196),F196&gt;0,1-N(Ввод!$J$19)/100&gt;0),G196/(1-N(Ввод!$J$19)/100),IF(AND(ISNUMBER(I196),ISNUMBER(J196),I196&gt;0),J196/(1+N(Ввод!$J$19)/100),""))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71" t="str">
        <f>IF(AND(ISNUMBER(F197),ISNUMBER(G197)),F197*G197,"")</f>
        <v/>
      </c>
      <c r="I197" s="240" t="n"/>
      <c r="J197" s="177" t="n"/>
      <c r="K197" s="271" t="str">
        <f>IF(AND(ISNUMBER(I197),ISNUMBER(J197)),I197*J197,"")</f>
        <v/>
      </c>
      <c r="L197" s="240" t="str">
        <f>IF(COUNT(F197,I197)=0,"",N(F197)-N(I197))</f>
        <v/>
      </c>
      <c r="M197" s="241" t="str">
        <f>IF(COUNT(H197,K197)=0,"",N(K197)-N(H197))</f>
        <v/>
      </c>
      <c r="N197" s="240" t="str">
        <f>IF(AND(ISNUMBER(F197),ISNUMBER(G197),F197&gt;0,1-N(Ввод!$J$19)/100&gt;0),G197/(1-N(Ввод!$J$19)/100),IF(AND(ISNUMBER(I197),ISNUMBER(J197),I197&gt;0),J197/(1+N(Ввод!$J$19)/100),""))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71" t="str">
        <f>IF(AND(ISNUMBER(F198),ISNUMBER(G198)),F198*G198,"")</f>
        <v/>
      </c>
      <c r="I198" s="246" t="n"/>
      <c r="J198" s="183" t="n"/>
      <c r="K198" s="271" t="str">
        <f>IF(AND(ISNUMBER(I198),ISNUMBER(J198)),I198*J198,"")</f>
        <v/>
      </c>
      <c r="L198" s="246" t="str">
        <f>IF(COUNT(F198,I198)=0,"",N(F198)-N(I198))</f>
        <v/>
      </c>
      <c r="M198" s="247" t="str">
        <f>IF(COUNT(H198,K198)=0,"",N(K198)-N(H198))</f>
        <v/>
      </c>
      <c r="N198" s="246" t="str">
        <f>IF(AND(ISNUMBER(F198),ISNUMBER(G198),F198&gt;0,1-N(Ввод!$J$19)/100&gt;0),G198/(1-N(Ввод!$J$19)/100),IF(AND(ISNUMBER(I198),ISNUMBER(J198),I198&gt;0),J198/(1+N(Ввод!$J$19)/100),""))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71" t="str">
        <f>IF(AND(ISNUMBER(F199),ISNUMBER(G199)),F199*G199,"")</f>
        <v/>
      </c>
      <c r="I199" s="240" t="n"/>
      <c r="J199" s="177" t="n"/>
      <c r="K199" s="271" t="str">
        <f>IF(AND(ISNUMBER(I199),ISNUMBER(J199)),I199*J199,"")</f>
        <v/>
      </c>
      <c r="L199" s="240" t="str">
        <f>IF(COUNT(F199,I199)=0,"",N(F199)-N(I199))</f>
        <v/>
      </c>
      <c r="M199" s="241" t="str">
        <f>IF(COUNT(H199,K199)=0,"",N(K199)-N(H199))</f>
        <v/>
      </c>
      <c r="N199" s="240" t="str">
        <f>IF(AND(ISNUMBER(F199),ISNUMBER(G199),F199&gt;0,1-N(Ввод!$J$19)/100&gt;0),G199/(1-N(Ввод!$J$19)/100),IF(AND(ISNUMBER(I199),ISNUMBER(J199),I199&gt;0),J199/(1+N(Ввод!$J$19)/100),""))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71" t="str">
        <f>IF(AND(ISNUMBER(F200),ISNUMBER(G200)),F200*G200,"")</f>
        <v/>
      </c>
      <c r="I200" s="246" t="n"/>
      <c r="J200" s="183" t="n"/>
      <c r="K200" s="271" t="str">
        <f>IF(AND(ISNUMBER(I200),ISNUMBER(J200)),I200*J200,"")</f>
        <v/>
      </c>
      <c r="L200" s="246" t="str">
        <f>IF(COUNT(F200,I200)=0,"",N(F200)-N(I200))</f>
        <v/>
      </c>
      <c r="M200" s="247" t="str">
        <f>IF(COUNT(H200,K200)=0,"",N(K200)-N(H200))</f>
        <v/>
      </c>
      <c r="N200" s="246" t="str">
        <f>IF(AND(ISNUMBER(F200),ISNUMBER(G200),F200&gt;0,1-N(Ввод!$J$19)/100&gt;0),G200/(1-N(Ввод!$J$19)/100),IF(AND(ISNUMBER(I200),ISNUMBER(J200),I200&gt;0),J200/(1+N(Ввод!$J$19)/100),""))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71" t="str">
        <f>IF(AND(ISNUMBER(F201),ISNUMBER(G201)),F201*G201,"")</f>
        <v/>
      </c>
      <c r="I201" s="240" t="n"/>
      <c r="J201" s="177" t="n"/>
      <c r="K201" s="271" t="str">
        <f>IF(AND(ISNUMBER(I201),ISNUMBER(J201)),I201*J201,"")</f>
        <v/>
      </c>
      <c r="L201" s="240" t="str">
        <f>IF(COUNT(F201,I201)=0,"",N(F201)-N(I201))</f>
        <v/>
      </c>
      <c r="M201" s="241" t="str">
        <f>IF(COUNT(H201,K201)=0,"",N(K201)-N(H201))</f>
        <v/>
      </c>
      <c r="N201" s="240" t="str">
        <f>IF(AND(ISNUMBER(F201),ISNUMBER(G201),F201&gt;0,1-N(Ввод!$J$19)/100&gt;0),G201/(1-N(Ввод!$J$19)/100),IF(AND(ISNUMBER(I201),ISNUMBER(J201),I201&gt;0),J201/(1+N(Ввод!$J$19)/100),""))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71" t="str">
        <f>IF(AND(ISNUMBER(F202),ISNUMBER(G202)),F202*G202,"")</f>
        <v/>
      </c>
      <c r="I202" s="246" t="n"/>
      <c r="J202" s="183" t="n"/>
      <c r="K202" s="271" t="str">
        <f>IF(AND(ISNUMBER(I202),ISNUMBER(J202)),I202*J202,"")</f>
        <v/>
      </c>
      <c r="L202" s="246" t="str">
        <f>IF(COUNT(F202,I202)=0,"",N(F202)-N(I202))</f>
        <v/>
      </c>
      <c r="M202" s="247" t="str">
        <f>IF(COUNT(H202,K202)=0,"",N(K202)-N(H202))</f>
        <v/>
      </c>
      <c r="N202" s="246" t="str">
        <f>IF(AND(ISNUMBER(F202),ISNUMBER(G202),F202&gt;0,1-N(Ввод!$J$19)/100&gt;0),G202/(1-N(Ввод!$J$19)/100),IF(AND(ISNUMBER(I202),ISNUMBER(J202),I202&gt;0),J202/(1+N(Ввод!$J$19)/100),""))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71" t="str">
        <f>IF(AND(ISNUMBER(F203),ISNUMBER(G203)),F203*G203,"")</f>
        <v/>
      </c>
      <c r="I203" s="240" t="n"/>
      <c r="J203" s="177" t="n"/>
      <c r="K203" s="271" t="str">
        <f>IF(AND(ISNUMBER(I203),ISNUMBER(J203)),I203*J203,"")</f>
        <v/>
      </c>
      <c r="L203" s="240" t="str">
        <f>IF(COUNT(F203,I203)=0,"",N(F203)-N(I203))</f>
        <v/>
      </c>
      <c r="M203" s="241" t="str">
        <f>IF(COUNT(H203,K203)=0,"",N(K203)-N(H203))</f>
        <v/>
      </c>
      <c r="N203" s="240" t="str">
        <f>IF(AND(ISNUMBER(F203),ISNUMBER(G203),F203&gt;0,1-N(Ввод!$J$19)/100&gt;0),G203/(1-N(Ввод!$J$19)/100),IF(AND(ISNUMBER(I203),ISNUMBER(J203),I203&gt;0),J203/(1+N(Ввод!$J$19)/100),""))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71" t="str">
        <f>IF(AND(ISNUMBER(F204),ISNUMBER(G204)),F204*G204,"")</f>
        <v/>
      </c>
      <c r="I204" s="246" t="n"/>
      <c r="J204" s="183" t="n"/>
      <c r="K204" s="271" t="str">
        <f>IF(AND(ISNUMBER(I204),ISNUMBER(J204)),I204*J204,"")</f>
        <v/>
      </c>
      <c r="L204" s="246" t="str">
        <f>IF(COUNT(F204,I204)=0,"",N(F204)-N(I204))</f>
        <v/>
      </c>
      <c r="M204" s="247" t="str">
        <f>IF(COUNT(H204,K204)=0,"",N(K204)-N(H204))</f>
        <v/>
      </c>
      <c r="N204" s="246" t="str">
        <f>IF(AND(ISNUMBER(F204),ISNUMBER(G204),F204&gt;0,1-N(Ввод!$J$19)/100&gt;0),G204/(1-N(Ввод!$J$19)/100),IF(AND(ISNUMBER(I204),ISNUMBER(J204),I204&gt;0),J204/(1+N(Ввод!$J$19)/100),""))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71" t="str">
        <f>IF(AND(ISNUMBER(F205),ISNUMBER(G205)),F205*G205,"")</f>
        <v/>
      </c>
      <c r="I205" s="240" t="n"/>
      <c r="J205" s="177" t="n"/>
      <c r="K205" s="271" t="str">
        <f>IF(AND(ISNUMBER(I205),ISNUMBER(J205)),I205*J205,"")</f>
        <v/>
      </c>
      <c r="L205" s="240" t="str">
        <f>IF(COUNT(F205,I205)=0,"",N(F205)-N(I205))</f>
        <v/>
      </c>
      <c r="M205" s="241" t="str">
        <f>IF(COUNT(H205,K205)=0,"",N(K205)-N(H205))</f>
        <v/>
      </c>
      <c r="N205" s="240" t="str">
        <f>IF(AND(ISNUMBER(F205),ISNUMBER(G205),F205&gt;0,1-N(Ввод!$J$19)/100&gt;0),G205/(1-N(Ввод!$J$19)/100),IF(AND(ISNUMBER(I205),ISNUMBER(J205),I205&gt;0),J205/(1+N(Ввод!$J$19)/100),""))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71" t="str">
        <f>IF(AND(ISNUMBER(F206),ISNUMBER(G206)),F206*G206,"")</f>
        <v/>
      </c>
      <c r="I206" s="246" t="n"/>
      <c r="J206" s="183" t="n"/>
      <c r="K206" s="271" t="str">
        <f>IF(AND(ISNUMBER(I206),ISNUMBER(J206)),I206*J206,"")</f>
        <v/>
      </c>
      <c r="L206" s="246" t="str">
        <f>IF(COUNT(F206,I206)=0,"",N(F206)-N(I206))</f>
        <v/>
      </c>
      <c r="M206" s="247" t="str">
        <f>IF(COUNT(H206,K206)=0,"",N(K206)-N(H206))</f>
        <v/>
      </c>
      <c r="N206" s="246" t="str">
        <f>IF(AND(ISNUMBER(F206),ISNUMBER(G206),F206&gt;0,1-N(Ввод!$J$19)/100&gt;0),G206/(1-N(Ввод!$J$19)/100),IF(AND(ISNUMBER(I206),ISNUMBER(J206),I206&gt;0),J206/(1+N(Ввод!$J$19)/100),""))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71" t="str">
        <f>IF(AND(ISNUMBER(F207),ISNUMBER(G207)),F207*G207,"")</f>
        <v/>
      </c>
      <c r="I207" s="240" t="n"/>
      <c r="J207" s="177" t="n"/>
      <c r="K207" s="271" t="str">
        <f>IF(AND(ISNUMBER(I207),ISNUMBER(J207)),I207*J207,"")</f>
        <v/>
      </c>
      <c r="L207" s="240" t="str">
        <f>IF(COUNT(F207,I207)=0,"",N(F207)-N(I207))</f>
        <v/>
      </c>
      <c r="M207" s="241" t="str">
        <f>IF(COUNT(H207,K207)=0,"",N(K207)-N(H207))</f>
        <v/>
      </c>
      <c r="N207" s="240" t="str">
        <f>IF(AND(ISNUMBER(F207),ISNUMBER(G207),F207&gt;0,1-N(Ввод!$J$19)/100&gt;0),G207/(1-N(Ввод!$J$19)/100),IF(AND(ISNUMBER(I207),ISNUMBER(J207),I207&gt;0),J207/(1+N(Ввод!$J$19)/100),""))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71" t="str">
        <f>IF(AND(ISNUMBER(F208),ISNUMBER(G208)),F208*G208,"")</f>
        <v/>
      </c>
      <c r="I208" s="246" t="n"/>
      <c r="J208" s="183" t="n"/>
      <c r="K208" s="271" t="str">
        <f>IF(AND(ISNUMBER(I208),ISNUMBER(J208)),I208*J208,"")</f>
        <v/>
      </c>
      <c r="L208" s="246" t="str">
        <f>IF(COUNT(F208,I208)=0,"",N(F208)-N(I208))</f>
        <v/>
      </c>
      <c r="M208" s="247" t="str">
        <f>IF(COUNT(H208,K208)=0,"",N(K208)-N(H208))</f>
        <v/>
      </c>
      <c r="N208" s="246" t="str">
        <f>IF(AND(ISNUMBER(F208),ISNUMBER(G208),F208&gt;0,1-N(Ввод!$J$19)/100&gt;0),G208/(1-N(Ввод!$J$19)/100),IF(AND(ISNUMBER(I208),ISNUMBER(J208),I208&gt;0),J208/(1+N(Ввод!$J$19)/100),""))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71" t="str">
        <f>IF(AND(ISNUMBER(F209),ISNUMBER(G209)),F209*G209,"")</f>
        <v/>
      </c>
      <c r="I209" s="240" t="n"/>
      <c r="J209" s="177" t="n"/>
      <c r="K209" s="271" t="str">
        <f>IF(AND(ISNUMBER(I209),ISNUMBER(J209)),I209*J209,"")</f>
        <v/>
      </c>
      <c r="L209" s="240" t="str">
        <f>IF(COUNT(F209,I209)=0,"",N(F209)-N(I209))</f>
        <v/>
      </c>
      <c r="M209" s="241" t="str">
        <f>IF(COUNT(H209,K209)=0,"",N(K209)-N(H209))</f>
        <v/>
      </c>
      <c r="N209" s="240" t="str">
        <f>IF(AND(ISNUMBER(F209),ISNUMBER(G209),F209&gt;0,1-N(Ввод!$J$19)/100&gt;0),G209/(1-N(Ввод!$J$19)/100),IF(AND(ISNUMBER(I209),ISNUMBER(J209),I209&gt;0),J209/(1+N(Ввод!$J$19)/100),""))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71" t="str">
        <f>IF(AND(ISNUMBER(F210),ISNUMBER(G210)),F210*G210,"")</f>
        <v/>
      </c>
      <c r="I210" s="246" t="n"/>
      <c r="J210" s="183" t="n"/>
      <c r="K210" s="271" t="str">
        <f>IF(AND(ISNUMBER(I210),ISNUMBER(J210)),I210*J210,"")</f>
        <v/>
      </c>
      <c r="L210" s="246" t="str">
        <f>IF(COUNT(F210,I210)=0,"",N(F210)-N(I210))</f>
        <v/>
      </c>
      <c r="M210" s="247" t="str">
        <f>IF(COUNT(H210,K210)=0,"",N(K210)-N(H210))</f>
        <v/>
      </c>
      <c r="N210" s="246" t="str">
        <f>IF(AND(ISNUMBER(F210),ISNUMBER(G210),F210&gt;0,1-N(Ввод!$J$19)/100&gt;0),G210/(1-N(Ввод!$J$19)/100),IF(AND(ISNUMBER(I210),ISNUMBER(J210),I210&gt;0),J210/(1+N(Ввод!$J$19)/100),""))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71" t="str">
        <f>IF(AND(ISNUMBER(F211),ISNUMBER(G211)),F211*G211,"")</f>
        <v/>
      </c>
      <c r="I211" s="240" t="n"/>
      <c r="J211" s="177" t="n"/>
      <c r="K211" s="271" t="str">
        <f>IF(AND(ISNUMBER(I211),ISNUMBER(J211)),I211*J211,"")</f>
        <v/>
      </c>
      <c r="L211" s="240" t="str">
        <f>IF(COUNT(F211,I211)=0,"",N(F211)-N(I211))</f>
        <v/>
      </c>
      <c r="M211" s="241" t="str">
        <f>IF(COUNT(H211,K211)=0,"",N(K211)-N(H211))</f>
        <v/>
      </c>
      <c r="N211" s="240" t="str">
        <f>IF(AND(ISNUMBER(F211),ISNUMBER(G211),F211&gt;0,1-N(Ввод!$J$19)/100&gt;0),G211/(1-N(Ввод!$J$19)/100),IF(AND(ISNUMBER(I211),ISNUMBER(J211),I211&gt;0),J211/(1+N(Ввод!$J$19)/100),""))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71" t="str">
        <f>IF(AND(ISNUMBER(F212),ISNUMBER(G212)),F212*G212,"")</f>
        <v/>
      </c>
      <c r="I212" s="246" t="n"/>
      <c r="J212" s="183" t="n"/>
      <c r="K212" s="271" t="str">
        <f>IF(AND(ISNUMBER(I212),ISNUMBER(J212)),I212*J212,"")</f>
        <v/>
      </c>
      <c r="L212" s="246" t="str">
        <f>IF(COUNT(F212,I212)=0,"",N(F212)-N(I212))</f>
        <v/>
      </c>
      <c r="M212" s="247" t="str">
        <f>IF(COUNT(H212,K212)=0,"",N(K212)-N(H212))</f>
        <v/>
      </c>
      <c r="N212" s="246" t="str">
        <f>IF(AND(ISNUMBER(F212),ISNUMBER(G212),F212&gt;0,1-N(Ввод!$J$19)/100&gt;0),G212/(1-N(Ввод!$J$19)/100),IF(AND(ISNUMBER(I212),ISNUMBER(J212),I212&gt;0),J212/(1+N(Ввод!$J$19)/100),""))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71" t="str">
        <f>IF(AND(ISNUMBER(F213),ISNUMBER(G213)),F213*G213,"")</f>
        <v/>
      </c>
      <c r="I213" s="240" t="n"/>
      <c r="J213" s="177" t="n"/>
      <c r="K213" s="271" t="str">
        <f>IF(AND(ISNUMBER(I213),ISNUMBER(J213)),I213*J213,"")</f>
        <v/>
      </c>
      <c r="L213" s="240" t="str">
        <f>IF(COUNT(F213,I213)=0,"",N(F213)-N(I213))</f>
        <v/>
      </c>
      <c r="M213" s="241" t="str">
        <f>IF(COUNT(H213,K213)=0,"",N(K213)-N(H213))</f>
        <v/>
      </c>
      <c r="N213" s="240" t="str">
        <f>IF(AND(ISNUMBER(F213),ISNUMBER(G213),F213&gt;0,1-N(Ввод!$J$19)/100&gt;0),G213/(1-N(Ввод!$J$19)/100),IF(AND(ISNUMBER(I213),ISNUMBER(J213),I213&gt;0),J213/(1+N(Ввод!$J$19)/100),""))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71" t="str">
        <f>IF(AND(ISNUMBER(F214),ISNUMBER(G214)),F214*G214,"")</f>
        <v/>
      </c>
      <c r="I214" s="246" t="n"/>
      <c r="J214" s="183" t="n"/>
      <c r="K214" s="271" t="str">
        <f>IF(AND(ISNUMBER(I214),ISNUMBER(J214)),I214*J214,"")</f>
        <v/>
      </c>
      <c r="L214" s="246" t="str">
        <f>IF(COUNT(F214,I214)=0,"",N(F214)-N(I214))</f>
        <v/>
      </c>
      <c r="M214" s="247" t="str">
        <f>IF(COUNT(H214,K214)=0,"",N(K214)-N(H214))</f>
        <v/>
      </c>
      <c r="N214" s="246" t="str">
        <f>IF(AND(ISNUMBER(F214),ISNUMBER(G214),F214&gt;0,1-N(Ввод!$J$19)/100&gt;0),G214/(1-N(Ввод!$J$19)/100),IF(AND(ISNUMBER(I214),ISNUMBER(J214),I214&gt;0),J214/(1+N(Ввод!$J$19)/100),""))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71" t="str">
        <f>IF(AND(ISNUMBER(F215),ISNUMBER(G215)),F215*G215,"")</f>
        <v/>
      </c>
      <c r="I215" s="240" t="n"/>
      <c r="J215" s="177" t="n"/>
      <c r="K215" s="271" t="str">
        <f>IF(AND(ISNUMBER(I215),ISNUMBER(J215)),I215*J215,"")</f>
        <v/>
      </c>
      <c r="L215" s="240" t="str">
        <f>IF(COUNT(F215,I215)=0,"",N(F215)-N(I215))</f>
        <v/>
      </c>
      <c r="M215" s="241" t="str">
        <f>IF(COUNT(H215,K215)=0,"",N(K215)-N(H215))</f>
        <v/>
      </c>
      <c r="N215" s="240" t="str">
        <f>IF(AND(ISNUMBER(F215),ISNUMBER(G215),F215&gt;0,1-N(Ввод!$J$19)/100&gt;0),G215/(1-N(Ввод!$J$19)/100),IF(AND(ISNUMBER(I215),ISNUMBER(J215),I215&gt;0),J215/(1+N(Ввод!$J$19)/100),""))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71" t="str">
        <f>IF(AND(ISNUMBER(F216),ISNUMBER(G216)),F216*G216,"")</f>
        <v/>
      </c>
      <c r="I216" s="246" t="n"/>
      <c r="J216" s="183" t="n"/>
      <c r="K216" s="271" t="str">
        <f>IF(AND(ISNUMBER(I216),ISNUMBER(J216)),I216*J216,"")</f>
        <v/>
      </c>
      <c r="L216" s="246" t="str">
        <f>IF(COUNT(F216,I216)=0,"",N(F216)-N(I216))</f>
        <v/>
      </c>
      <c r="M216" s="247" t="str">
        <f>IF(COUNT(H216,K216)=0,"",N(K216)-N(H216))</f>
        <v/>
      </c>
      <c r="N216" s="246" t="str">
        <f>IF(AND(ISNUMBER(F216),ISNUMBER(G216),F216&gt;0,1-N(Ввод!$J$19)/100&gt;0),G216/(1-N(Ввод!$J$19)/100),IF(AND(ISNUMBER(I216),ISNUMBER(J216),I216&gt;0),J216/(1+N(Ввод!$J$19)/100),""))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71" t="str">
        <f>IF(AND(ISNUMBER(F217),ISNUMBER(G217)),F217*G217,"")</f>
        <v/>
      </c>
      <c r="I217" s="240" t="n"/>
      <c r="J217" s="177" t="n"/>
      <c r="K217" s="271" t="str">
        <f>IF(AND(ISNUMBER(I217),ISNUMBER(J217)),I217*J217,"")</f>
        <v/>
      </c>
      <c r="L217" s="240" t="str">
        <f>IF(COUNT(F217,I217)=0,"",N(F217)-N(I217))</f>
        <v/>
      </c>
      <c r="M217" s="241" t="str">
        <f>IF(COUNT(H217,K217)=0,"",N(K217)-N(H217))</f>
        <v/>
      </c>
      <c r="N217" s="240" t="str">
        <f>IF(AND(ISNUMBER(F217),ISNUMBER(G217),F217&gt;0,1-N(Ввод!$J$19)/100&gt;0),G217/(1-N(Ввод!$J$19)/100),IF(AND(ISNUMBER(I217),ISNUMBER(J217),I217&gt;0),J217/(1+N(Ввод!$J$19)/100),""))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71" t="str">
        <f>IF(AND(ISNUMBER(F218),ISNUMBER(G218)),F218*G218,"")</f>
        <v/>
      </c>
      <c r="I218" s="246" t="n"/>
      <c r="J218" s="183" t="n"/>
      <c r="K218" s="271" t="str">
        <f>IF(AND(ISNUMBER(I218),ISNUMBER(J218)),I218*J218,"")</f>
        <v/>
      </c>
      <c r="L218" s="246" t="str">
        <f>IF(COUNT(F218,I218)=0,"",N(F218)-N(I218))</f>
        <v/>
      </c>
      <c r="M218" s="247" t="str">
        <f>IF(COUNT(H218,K218)=0,"",N(K218)-N(H218))</f>
        <v/>
      </c>
      <c r="N218" s="246" t="str">
        <f>IF(AND(ISNUMBER(F218),ISNUMBER(G218),F218&gt;0,1-N(Ввод!$J$19)/100&gt;0),G218/(1-N(Ввод!$J$19)/100),IF(AND(ISNUMBER(I218),ISNUMBER(J218),I218&gt;0),J218/(1+N(Ввод!$J$19)/100),""))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71" t="str">
        <f>IF(AND(ISNUMBER(F219),ISNUMBER(G219)),F219*G219,"")</f>
        <v/>
      </c>
      <c r="I219" s="240" t="n"/>
      <c r="J219" s="177" t="n"/>
      <c r="K219" s="271" t="str">
        <f>IF(AND(ISNUMBER(I219),ISNUMBER(J219)),I219*J219,"")</f>
        <v/>
      </c>
      <c r="L219" s="240" t="str">
        <f>IF(COUNT(F219,I219)=0,"",N(F219)-N(I219))</f>
        <v/>
      </c>
      <c r="M219" s="241" t="str">
        <f>IF(COUNT(H219,K219)=0,"",N(K219)-N(H219))</f>
        <v/>
      </c>
      <c r="N219" s="240" t="str">
        <f>IF(AND(ISNUMBER(F219),ISNUMBER(G219),F219&gt;0,1-N(Ввод!$J$19)/100&gt;0),G219/(1-N(Ввод!$J$19)/100),IF(AND(ISNUMBER(I219),ISNUMBER(J219),I219&gt;0),J219/(1+N(Ввод!$J$19)/100),""))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71" t="str">
        <f>IF(AND(ISNUMBER(F220),ISNUMBER(G220)),F220*G220,"")</f>
        <v/>
      </c>
      <c r="I220" s="246" t="n"/>
      <c r="J220" s="183" t="n"/>
      <c r="K220" s="271" t="str">
        <f>IF(AND(ISNUMBER(I220),ISNUMBER(J220)),I220*J220,"")</f>
        <v/>
      </c>
      <c r="L220" s="246" t="str">
        <f>IF(COUNT(F220,I220)=0,"",N(F220)-N(I220))</f>
        <v/>
      </c>
      <c r="M220" s="247" t="str">
        <f>IF(COUNT(H220,K220)=0,"",N(K220)-N(H220))</f>
        <v/>
      </c>
      <c r="N220" s="246" t="str">
        <f>IF(AND(ISNUMBER(F220),ISNUMBER(G220),F220&gt;0,1-N(Ввод!$J$19)/100&gt;0),G220/(1-N(Ввод!$J$19)/100),IF(AND(ISNUMBER(I220),ISNUMBER(J220),I220&gt;0),J220/(1+N(Ввод!$J$19)/100),""))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71" t="str">
        <f>IF(AND(ISNUMBER(F221),ISNUMBER(G221)),F221*G221,"")</f>
        <v/>
      </c>
      <c r="I221" s="240" t="n"/>
      <c r="J221" s="177" t="n"/>
      <c r="K221" s="271" t="str">
        <f>IF(AND(ISNUMBER(I221),ISNUMBER(J221)),I221*J221,"")</f>
        <v/>
      </c>
      <c r="L221" s="240" t="str">
        <f>IF(COUNT(F221,I221)=0,"",N(F221)-N(I221))</f>
        <v/>
      </c>
      <c r="M221" s="241" t="str">
        <f>IF(COUNT(H221,K221)=0,"",N(K221)-N(H221))</f>
        <v/>
      </c>
      <c r="N221" s="240" t="str">
        <f>IF(AND(ISNUMBER(F221),ISNUMBER(G221),F221&gt;0,1-N(Ввод!$J$19)/100&gt;0),G221/(1-N(Ввод!$J$19)/100),IF(AND(ISNUMBER(I221),ISNUMBER(J221),I221&gt;0),J221/(1+N(Ввод!$J$19)/100),""))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71" t="str">
        <f>IF(AND(ISNUMBER(F222),ISNUMBER(G222)),F222*G222,"")</f>
        <v/>
      </c>
      <c r="I222" s="246" t="n"/>
      <c r="J222" s="183" t="n"/>
      <c r="K222" s="271" t="str">
        <f>IF(AND(ISNUMBER(I222),ISNUMBER(J222)),I222*J222,"")</f>
        <v/>
      </c>
      <c r="L222" s="246" t="str">
        <f>IF(COUNT(F222,I222)=0,"",N(F222)-N(I222))</f>
        <v/>
      </c>
      <c r="M222" s="247" t="str">
        <f>IF(COUNT(H222,K222)=0,"",N(K222)-N(H222))</f>
        <v/>
      </c>
      <c r="N222" s="246" t="str">
        <f>IF(AND(ISNUMBER(F222),ISNUMBER(G222),F222&gt;0,1-N(Ввод!$J$19)/100&gt;0),G222/(1-N(Ввод!$J$19)/100),IF(AND(ISNUMBER(I222),ISNUMBER(J222),I222&gt;0),J222/(1+N(Ввод!$J$19)/100),""))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71" t="str">
        <f>IF(AND(ISNUMBER(F223),ISNUMBER(G223)),F223*G223,"")</f>
        <v/>
      </c>
      <c r="I223" s="240" t="n"/>
      <c r="J223" s="177" t="n"/>
      <c r="K223" s="271" t="str">
        <f>IF(AND(ISNUMBER(I223),ISNUMBER(J223)),I223*J223,"")</f>
        <v/>
      </c>
      <c r="L223" s="240" t="str">
        <f>IF(COUNT(F223,I223)=0,"",N(F223)-N(I223))</f>
        <v/>
      </c>
      <c r="M223" s="241" t="str">
        <f>IF(COUNT(H223,K223)=0,"",N(K223)-N(H223))</f>
        <v/>
      </c>
      <c r="N223" s="240" t="str">
        <f>IF(AND(ISNUMBER(F223),ISNUMBER(G223),F223&gt;0,1-N(Ввод!$J$19)/100&gt;0),G223/(1-N(Ввод!$J$19)/100),IF(AND(ISNUMBER(I223),ISNUMBER(J223),I223&gt;0),J223/(1+N(Ввод!$J$19)/100),""))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71" t="str">
        <f>IF(AND(ISNUMBER(F224),ISNUMBER(G224)),F224*G224,"")</f>
        <v/>
      </c>
      <c r="I224" s="246" t="n"/>
      <c r="J224" s="183" t="n"/>
      <c r="K224" s="271" t="str">
        <f>IF(AND(ISNUMBER(I224),ISNUMBER(J224)),I224*J224,"")</f>
        <v/>
      </c>
      <c r="L224" s="246" t="str">
        <f>IF(COUNT(F224,I224)=0,"",N(F224)-N(I224))</f>
        <v/>
      </c>
      <c r="M224" s="247" t="str">
        <f>IF(COUNT(H224,K224)=0,"",N(K224)-N(H224))</f>
        <v/>
      </c>
      <c r="N224" s="246" t="str">
        <f>IF(AND(ISNUMBER(F224),ISNUMBER(G224),F224&gt;0,1-N(Ввод!$J$19)/100&gt;0),G224/(1-N(Ввод!$J$19)/100),IF(AND(ISNUMBER(I224),ISNUMBER(J224),I224&gt;0),J224/(1+N(Ввод!$J$19)/100),""))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71" t="str">
        <f>IF(AND(ISNUMBER(F225),ISNUMBER(G225)),F225*G225,"")</f>
        <v/>
      </c>
      <c r="I225" s="240" t="n"/>
      <c r="J225" s="177" t="n"/>
      <c r="K225" s="271" t="str">
        <f>IF(AND(ISNUMBER(I225),ISNUMBER(J225)),I225*J225,"")</f>
        <v/>
      </c>
      <c r="L225" s="240" t="str">
        <f>IF(COUNT(F225,I225)=0,"",N(F225)-N(I225))</f>
        <v/>
      </c>
      <c r="M225" s="241" t="str">
        <f>IF(COUNT(H225,K225)=0,"",N(K225)-N(H225))</f>
        <v/>
      </c>
      <c r="N225" s="240" t="str">
        <f>IF(AND(ISNUMBER(F225),ISNUMBER(G225),F225&gt;0,1-N(Ввод!$J$19)/100&gt;0),G225/(1-N(Ввод!$J$19)/100),IF(AND(ISNUMBER(I225),ISNUMBER(J225),I225&gt;0),J225/(1+N(Ввод!$J$19)/100),""))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71" t="str">
        <f>IF(AND(ISNUMBER(F226),ISNUMBER(G226)),F226*G226,"")</f>
        <v/>
      </c>
      <c r="I226" s="246" t="n"/>
      <c r="J226" s="183" t="n"/>
      <c r="K226" s="271" t="str">
        <f>IF(AND(ISNUMBER(I226),ISNUMBER(J226)),I226*J226,"")</f>
        <v/>
      </c>
      <c r="L226" s="246" t="str">
        <f>IF(COUNT(F226,I226)=0,"",N(F226)-N(I226))</f>
        <v/>
      </c>
      <c r="M226" s="247" t="str">
        <f>IF(COUNT(H226,K226)=0,"",N(K226)-N(H226))</f>
        <v/>
      </c>
      <c r="N226" s="246" t="str">
        <f>IF(AND(ISNUMBER(F226),ISNUMBER(G226),F226&gt;0,1-N(Ввод!$J$19)/100&gt;0),G226/(1-N(Ввод!$J$19)/100),IF(AND(ISNUMBER(I226),ISNUMBER(J226),I226&gt;0),J226/(1+N(Ввод!$J$19)/100),""))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71" t="str">
        <f>IF(AND(ISNUMBER(F227),ISNUMBER(G227)),F227*G227,"")</f>
        <v/>
      </c>
      <c r="I227" s="240" t="n"/>
      <c r="J227" s="177" t="n"/>
      <c r="K227" s="271" t="str">
        <f>IF(AND(ISNUMBER(I227),ISNUMBER(J227)),I227*J227,"")</f>
        <v/>
      </c>
      <c r="L227" s="240" t="str">
        <f>IF(COUNT(F227,I227)=0,"",N(F227)-N(I227))</f>
        <v/>
      </c>
      <c r="M227" s="241" t="str">
        <f>IF(COUNT(H227,K227)=0,"",N(K227)-N(H227))</f>
        <v/>
      </c>
      <c r="N227" s="240" t="str">
        <f>IF(AND(ISNUMBER(F227),ISNUMBER(G227),F227&gt;0,1-N(Ввод!$J$19)/100&gt;0),G227/(1-N(Ввод!$J$19)/100),IF(AND(ISNUMBER(I227),ISNUMBER(J227),I227&gt;0),J227/(1+N(Ввод!$J$19)/100),""))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71" t="str">
        <f>IF(AND(ISNUMBER(F228),ISNUMBER(G228)),F228*G228,"")</f>
        <v/>
      </c>
      <c r="I228" s="246" t="n"/>
      <c r="J228" s="183" t="n"/>
      <c r="K228" s="271" t="str">
        <f>IF(AND(ISNUMBER(I228),ISNUMBER(J228)),I228*J228,"")</f>
        <v/>
      </c>
      <c r="L228" s="246" t="str">
        <f>IF(COUNT(F228,I228)=0,"",N(F228)-N(I228))</f>
        <v/>
      </c>
      <c r="M228" s="247" t="str">
        <f>IF(COUNT(H228,K228)=0,"",N(K228)-N(H228))</f>
        <v/>
      </c>
      <c r="N228" s="246" t="str">
        <f>IF(AND(ISNUMBER(F228),ISNUMBER(G228),F228&gt;0,1-N(Ввод!$J$19)/100&gt;0),G228/(1-N(Ввод!$J$19)/100),IF(AND(ISNUMBER(I228),ISNUMBER(J228),I228&gt;0),J228/(1+N(Ввод!$J$19)/100),""))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71" t="str">
        <f>IF(AND(ISNUMBER(F229),ISNUMBER(G229)),F229*G229,"")</f>
        <v/>
      </c>
      <c r="I229" s="240" t="n"/>
      <c r="J229" s="177" t="n"/>
      <c r="K229" s="271" t="str">
        <f>IF(AND(ISNUMBER(I229),ISNUMBER(J229)),I229*J229,"")</f>
        <v/>
      </c>
      <c r="L229" s="240" t="str">
        <f>IF(COUNT(F229,I229)=0,"",N(F229)-N(I229))</f>
        <v/>
      </c>
      <c r="M229" s="241" t="str">
        <f>IF(COUNT(H229,K229)=0,"",N(K229)-N(H229))</f>
        <v/>
      </c>
      <c r="N229" s="240" t="str">
        <f>IF(AND(ISNUMBER(F229),ISNUMBER(G229),F229&gt;0,1-N(Ввод!$J$19)/100&gt;0),G229/(1-N(Ввод!$J$19)/100),IF(AND(ISNUMBER(I229),ISNUMBER(J229),I229&gt;0),J229/(1+N(Ввод!$J$19)/100),""))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71" t="str">
        <f>IF(AND(ISNUMBER(F230),ISNUMBER(G230)),F230*G230,"")</f>
        <v/>
      </c>
      <c r="I230" s="246" t="n"/>
      <c r="J230" s="183" t="n"/>
      <c r="K230" s="271" t="str">
        <f>IF(AND(ISNUMBER(I230),ISNUMBER(J230)),I230*J230,"")</f>
        <v/>
      </c>
      <c r="L230" s="246" t="str">
        <f>IF(COUNT(F230,I230)=0,"",N(F230)-N(I230))</f>
        <v/>
      </c>
      <c r="M230" s="247" t="str">
        <f>IF(COUNT(H230,K230)=0,"",N(K230)-N(H230))</f>
        <v/>
      </c>
      <c r="N230" s="246" t="str">
        <f>IF(AND(ISNUMBER(F230),ISNUMBER(G230),F230&gt;0,1-N(Ввод!$J$19)/100&gt;0),G230/(1-N(Ввод!$J$19)/100),IF(AND(ISNUMBER(I230),ISNUMBER(J230),I230&gt;0),J230/(1+N(Ввод!$J$19)/100),""))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71" t="str">
        <f>IF(AND(ISNUMBER(F231),ISNUMBER(G231)),F231*G231,"")</f>
        <v/>
      </c>
      <c r="I231" s="240" t="n"/>
      <c r="J231" s="177" t="n"/>
      <c r="K231" s="271" t="str">
        <f>IF(AND(ISNUMBER(I231),ISNUMBER(J231)),I231*J231,"")</f>
        <v/>
      </c>
      <c r="L231" s="240" t="str">
        <f>IF(COUNT(F231,I231)=0,"",N(F231)-N(I231))</f>
        <v/>
      </c>
      <c r="M231" s="241" t="str">
        <f>IF(COUNT(H231,K231)=0,"",N(K231)-N(H231))</f>
        <v/>
      </c>
      <c r="N231" s="240" t="str">
        <f>IF(AND(ISNUMBER(F231),ISNUMBER(G231),F231&gt;0,1-N(Ввод!$J$19)/100&gt;0),G231/(1-N(Ввод!$J$19)/100),IF(AND(ISNUMBER(I231),ISNUMBER(J231),I231&gt;0),J231/(1+N(Ввод!$J$19)/100),""))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71" t="str">
        <f>IF(AND(ISNUMBER(F232),ISNUMBER(G232)),F232*G232,"")</f>
        <v/>
      </c>
      <c r="I232" s="246" t="n"/>
      <c r="J232" s="183" t="n"/>
      <c r="K232" s="271" t="str">
        <f>IF(AND(ISNUMBER(I232),ISNUMBER(J232)),I232*J232,"")</f>
        <v/>
      </c>
      <c r="L232" s="246" t="str">
        <f>IF(COUNT(F232,I232)=0,"",N(F232)-N(I232))</f>
        <v/>
      </c>
      <c r="M232" s="247" t="str">
        <f>IF(COUNT(H232,K232)=0,"",N(K232)-N(H232))</f>
        <v/>
      </c>
      <c r="N232" s="246" t="str">
        <f>IF(AND(ISNUMBER(F232),ISNUMBER(G232),F232&gt;0,1-N(Ввод!$J$19)/100&gt;0),G232/(1-N(Ввод!$J$19)/100),IF(AND(ISNUMBER(I232),ISNUMBER(J232),I232&gt;0),J232/(1+N(Ввод!$J$19)/100),""))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71" t="str">
        <f>IF(AND(ISNUMBER(F233),ISNUMBER(G233)),F233*G233,"")</f>
        <v/>
      </c>
      <c r="I233" s="240" t="n"/>
      <c r="J233" s="177" t="n"/>
      <c r="K233" s="271" t="str">
        <f>IF(AND(ISNUMBER(I233),ISNUMBER(J233)),I233*J233,"")</f>
        <v/>
      </c>
      <c r="L233" s="240" t="str">
        <f>IF(COUNT(F233,I233)=0,"",N(F233)-N(I233))</f>
        <v/>
      </c>
      <c r="M233" s="241" t="str">
        <f>IF(COUNT(H233,K233)=0,"",N(K233)-N(H233))</f>
        <v/>
      </c>
      <c r="N233" s="240" t="str">
        <f>IF(AND(ISNUMBER(F233),ISNUMBER(G233),F233&gt;0,1-N(Ввод!$J$19)/100&gt;0),G233/(1-N(Ввод!$J$19)/100),IF(AND(ISNUMBER(I233),ISNUMBER(J233),I233&gt;0),J233/(1+N(Ввод!$J$19)/100),""))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71" t="str">
        <f>IF(AND(ISNUMBER(F234),ISNUMBER(G234)),F234*G234,"")</f>
        <v/>
      </c>
      <c r="I234" s="246" t="n"/>
      <c r="J234" s="183" t="n"/>
      <c r="K234" s="271" t="str">
        <f>IF(AND(ISNUMBER(I234),ISNUMBER(J234)),I234*J234,"")</f>
        <v/>
      </c>
      <c r="L234" s="246" t="str">
        <f>IF(COUNT(F234,I234)=0,"",N(F234)-N(I234))</f>
        <v/>
      </c>
      <c r="M234" s="247" t="str">
        <f>IF(COUNT(H234,K234)=0,"",N(K234)-N(H234))</f>
        <v/>
      </c>
      <c r="N234" s="246" t="str">
        <f>IF(AND(ISNUMBER(F234),ISNUMBER(G234),F234&gt;0,1-N(Ввод!$J$19)/100&gt;0),G234/(1-N(Ввод!$J$19)/100),IF(AND(ISNUMBER(I234),ISNUMBER(J234),I234&gt;0),J234/(1+N(Ввод!$J$19)/100),""))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71" t="str">
        <f>IF(AND(ISNUMBER(F235),ISNUMBER(G235)),F235*G235,"")</f>
        <v/>
      </c>
      <c r="I235" s="240" t="n"/>
      <c r="J235" s="177" t="n"/>
      <c r="K235" s="271" t="str">
        <f>IF(AND(ISNUMBER(I235),ISNUMBER(J235)),I235*J235,"")</f>
        <v/>
      </c>
      <c r="L235" s="240" t="str">
        <f>IF(COUNT(F235,I235)=0,"",N(F235)-N(I235))</f>
        <v/>
      </c>
      <c r="M235" s="241" t="str">
        <f>IF(COUNT(H235,K235)=0,"",N(K235)-N(H235))</f>
        <v/>
      </c>
      <c r="N235" s="240" t="str">
        <f>IF(AND(ISNUMBER(F235),ISNUMBER(G235),F235&gt;0,1-N(Ввод!$J$19)/100&gt;0),G235/(1-N(Ввод!$J$19)/100),IF(AND(ISNUMBER(I235),ISNUMBER(J235),I235&gt;0),J235/(1+N(Ввод!$J$19)/100),""))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71" t="str">
        <f>IF(AND(ISNUMBER(F236),ISNUMBER(G236)),F236*G236,"")</f>
        <v/>
      </c>
      <c r="I236" s="246" t="n"/>
      <c r="J236" s="183" t="n"/>
      <c r="K236" s="271" t="str">
        <f>IF(AND(ISNUMBER(I236),ISNUMBER(J236)),I236*J236,"")</f>
        <v/>
      </c>
      <c r="L236" s="246" t="str">
        <f>IF(COUNT(F236,I236)=0,"",N(F236)-N(I236))</f>
        <v/>
      </c>
      <c r="M236" s="247" t="str">
        <f>IF(COUNT(H236,K236)=0,"",N(K236)-N(H236))</f>
        <v/>
      </c>
      <c r="N236" s="246" t="str">
        <f>IF(AND(ISNUMBER(F236),ISNUMBER(G236),F236&gt;0,1-N(Ввод!$J$19)/100&gt;0),G236/(1-N(Ввод!$J$19)/100),IF(AND(ISNUMBER(I236),ISNUMBER(J236),I236&gt;0),J236/(1+N(Ввод!$J$19)/100),""))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71" t="str">
        <f>IF(AND(ISNUMBER(F237),ISNUMBER(G237)),F237*G237,"")</f>
        <v/>
      </c>
      <c r="I237" s="240" t="n"/>
      <c r="J237" s="177" t="n"/>
      <c r="K237" s="271" t="str">
        <f>IF(AND(ISNUMBER(I237),ISNUMBER(J237)),I237*J237,"")</f>
        <v/>
      </c>
      <c r="L237" s="240" t="str">
        <f>IF(COUNT(F237,I237)=0,"",N(F237)-N(I237))</f>
        <v/>
      </c>
      <c r="M237" s="241" t="str">
        <f>IF(COUNT(H237,K237)=0,"",N(K237)-N(H237))</f>
        <v/>
      </c>
      <c r="N237" s="240" t="str">
        <f>IF(AND(ISNUMBER(F237),ISNUMBER(G237),F237&gt;0,1-N(Ввод!$J$19)/100&gt;0),G237/(1-N(Ввод!$J$19)/100),IF(AND(ISNUMBER(I237),ISNUMBER(J237),I237&gt;0),J237/(1+N(Ввод!$J$19)/100),""))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71" t="str">
        <f>IF(AND(ISNUMBER(F238),ISNUMBER(G238)),F238*G238,"")</f>
        <v/>
      </c>
      <c r="I238" s="246" t="n"/>
      <c r="J238" s="183" t="n"/>
      <c r="K238" s="271" t="str">
        <f>IF(AND(ISNUMBER(I238),ISNUMBER(J238)),I238*J238,"")</f>
        <v/>
      </c>
      <c r="L238" s="246" t="str">
        <f>IF(COUNT(F238,I238)=0,"",N(F238)-N(I238))</f>
        <v/>
      </c>
      <c r="M238" s="247" t="str">
        <f>IF(COUNT(H238,K238)=0,"",N(K238)-N(H238))</f>
        <v/>
      </c>
      <c r="N238" s="246" t="str">
        <f>IF(AND(ISNUMBER(F238),ISNUMBER(G238),F238&gt;0,1-N(Ввод!$J$19)/100&gt;0),G238/(1-N(Ввод!$J$19)/100),IF(AND(ISNUMBER(I238),ISNUMBER(J238),I238&gt;0),J238/(1+N(Ввод!$J$19)/100),""))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71" t="str">
        <f>IF(AND(ISNUMBER(F239),ISNUMBER(G239)),F239*G239,"")</f>
        <v/>
      </c>
      <c r="I239" s="240" t="n"/>
      <c r="J239" s="177" t="n"/>
      <c r="K239" s="271" t="str">
        <f>IF(AND(ISNUMBER(I239),ISNUMBER(J239)),I239*J239,"")</f>
        <v/>
      </c>
      <c r="L239" s="240" t="str">
        <f>IF(COUNT(F239,I239)=0,"",N(F239)-N(I239))</f>
        <v/>
      </c>
      <c r="M239" s="241" t="str">
        <f>IF(COUNT(H239,K239)=0,"",N(K239)-N(H239))</f>
        <v/>
      </c>
      <c r="N239" s="240" t="str">
        <f>IF(AND(ISNUMBER(F239),ISNUMBER(G239),F239&gt;0,1-N(Ввод!$J$19)/100&gt;0),G239/(1-N(Ввод!$J$19)/100),IF(AND(ISNUMBER(I239),ISNUMBER(J239),I239&gt;0),J239/(1+N(Ввод!$J$19)/100),""))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71" t="str">
        <f>IF(AND(ISNUMBER(F240),ISNUMBER(G240)),F240*G240,"")</f>
        <v/>
      </c>
      <c r="I240" s="246" t="n"/>
      <c r="J240" s="183" t="n"/>
      <c r="K240" s="271" t="str">
        <f>IF(AND(ISNUMBER(I240),ISNUMBER(J240)),I240*J240,"")</f>
        <v/>
      </c>
      <c r="L240" s="246" t="str">
        <f>IF(COUNT(F240,I240)=0,"",N(F240)-N(I240))</f>
        <v/>
      </c>
      <c r="M240" s="247" t="str">
        <f>IF(COUNT(H240,K240)=0,"",N(K240)-N(H240))</f>
        <v/>
      </c>
      <c r="N240" s="246" t="str">
        <f>IF(AND(ISNUMBER(F240),ISNUMBER(G240),F240&gt;0,1-N(Ввод!$J$19)/100&gt;0),G240/(1-N(Ввод!$J$19)/100),IF(AND(ISNUMBER(I240),ISNUMBER(J240),I240&gt;0),J240/(1+N(Ввод!$J$19)/100),""))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71" t="str">
        <f>IF(AND(ISNUMBER(F241),ISNUMBER(G241)),F241*G241,"")</f>
        <v/>
      </c>
      <c r="I241" s="240" t="n"/>
      <c r="J241" s="177" t="n"/>
      <c r="K241" s="271" t="str">
        <f>IF(AND(ISNUMBER(I241),ISNUMBER(J241)),I241*J241,"")</f>
        <v/>
      </c>
      <c r="L241" s="240" t="str">
        <f>IF(COUNT(F241,I241)=0,"",N(F241)-N(I241))</f>
        <v/>
      </c>
      <c r="M241" s="241" t="str">
        <f>IF(COUNT(H241,K241)=0,"",N(K241)-N(H241))</f>
        <v/>
      </c>
      <c r="N241" s="240" t="str">
        <f>IF(AND(ISNUMBER(F241),ISNUMBER(G241),F241&gt;0,1-N(Ввод!$J$19)/100&gt;0),G241/(1-N(Ввод!$J$19)/100),IF(AND(ISNUMBER(I241),ISNUMBER(J241),I241&gt;0),J241/(1+N(Ввод!$J$19)/100),""))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71" t="str">
        <f>IF(AND(ISNUMBER(F242),ISNUMBER(G242)),F242*G242,"")</f>
        <v/>
      </c>
      <c r="I242" s="246" t="n"/>
      <c r="J242" s="183" t="n"/>
      <c r="K242" s="271" t="str">
        <f>IF(AND(ISNUMBER(I242),ISNUMBER(J242)),I242*J242,"")</f>
        <v/>
      </c>
      <c r="L242" s="246" t="str">
        <f>IF(COUNT(F242,I242)=0,"",N(F242)-N(I242))</f>
        <v/>
      </c>
      <c r="M242" s="247" t="str">
        <f>IF(COUNT(H242,K242)=0,"",N(K242)-N(H242))</f>
        <v/>
      </c>
      <c r="N242" s="246" t="str">
        <f>IF(AND(ISNUMBER(F242),ISNUMBER(G242),F242&gt;0,1-N(Ввод!$J$19)/100&gt;0),G242/(1-N(Ввод!$J$19)/100),IF(AND(ISNUMBER(I242),ISNUMBER(J242),I242&gt;0),J242/(1+N(Ввод!$J$19)/100),""))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71" t="str">
        <f>IF(AND(ISNUMBER(F243),ISNUMBER(G243)),F243*G243,"")</f>
        <v/>
      </c>
      <c r="I243" s="240" t="n"/>
      <c r="J243" s="177" t="n"/>
      <c r="K243" s="271" t="str">
        <f>IF(AND(ISNUMBER(I243),ISNUMBER(J243)),I243*J243,"")</f>
        <v/>
      </c>
      <c r="L243" s="240" t="str">
        <f>IF(COUNT(F243,I243)=0,"",N(F243)-N(I243))</f>
        <v/>
      </c>
      <c r="M243" s="241" t="str">
        <f>IF(COUNT(H243,K243)=0,"",N(K243)-N(H243))</f>
        <v/>
      </c>
      <c r="N243" s="240" t="str">
        <f>IF(AND(ISNUMBER(F243),ISNUMBER(G243),F243&gt;0,1-N(Ввод!$J$19)/100&gt;0),G243/(1-N(Ввод!$J$19)/100),IF(AND(ISNUMBER(I243),ISNUMBER(J243),I243&gt;0),J243/(1+N(Ввод!$J$19)/100),""))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71" t="str">
        <f>IF(AND(ISNUMBER(F244),ISNUMBER(G244)),F244*G244,"")</f>
        <v/>
      </c>
      <c r="I244" s="246" t="n"/>
      <c r="J244" s="183" t="n"/>
      <c r="K244" s="271" t="str">
        <f>IF(AND(ISNUMBER(I244),ISNUMBER(J244)),I244*J244,"")</f>
        <v/>
      </c>
      <c r="L244" s="246" t="str">
        <f>IF(COUNT(F244,I244)=0,"",N(F244)-N(I244))</f>
        <v/>
      </c>
      <c r="M244" s="247" t="str">
        <f>IF(COUNT(H244,K244)=0,"",N(K244)-N(H244))</f>
        <v/>
      </c>
      <c r="N244" s="246" t="str">
        <f>IF(AND(ISNUMBER(F244),ISNUMBER(G244),F244&gt;0,1-N(Ввод!$J$19)/100&gt;0),G244/(1-N(Ввод!$J$19)/100),IF(AND(ISNUMBER(I244),ISNUMBER(J244),I244&gt;0),J244/(1+N(Ввод!$J$19)/100),""))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71" t="str">
        <f>IF(AND(ISNUMBER(F245),ISNUMBER(G245)),F245*G245,"")</f>
        <v/>
      </c>
      <c r="I245" s="240" t="n"/>
      <c r="J245" s="177" t="n"/>
      <c r="K245" s="271" t="str">
        <f>IF(AND(ISNUMBER(I245),ISNUMBER(J245)),I245*J245,"")</f>
        <v/>
      </c>
      <c r="L245" s="240" t="str">
        <f>IF(COUNT(F245,I245)=0,"",N(F245)-N(I245))</f>
        <v/>
      </c>
      <c r="M245" s="241" t="str">
        <f>IF(COUNT(H245,K245)=0,"",N(K245)-N(H245))</f>
        <v/>
      </c>
      <c r="N245" s="240" t="str">
        <f>IF(AND(ISNUMBER(F245),ISNUMBER(G245),F245&gt;0,1-N(Ввод!$J$19)/100&gt;0),G245/(1-N(Ввод!$J$19)/100),IF(AND(ISNUMBER(I245),ISNUMBER(J245),I245&gt;0),J245/(1+N(Ввод!$J$19)/100),""))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71" t="str">
        <f>IF(AND(ISNUMBER(F246),ISNUMBER(G246)),F246*G246,"")</f>
        <v/>
      </c>
      <c r="I246" s="246" t="n"/>
      <c r="J246" s="183" t="n"/>
      <c r="K246" s="271" t="str">
        <f>IF(AND(ISNUMBER(I246),ISNUMBER(J246)),I246*J246,"")</f>
        <v/>
      </c>
      <c r="L246" s="246" t="str">
        <f>IF(COUNT(F246,I246)=0,"",N(F246)-N(I246))</f>
        <v/>
      </c>
      <c r="M246" s="247" t="str">
        <f>IF(COUNT(H246,K246)=0,"",N(K246)-N(H246))</f>
        <v/>
      </c>
      <c r="N246" s="246" t="str">
        <f>IF(AND(ISNUMBER(F246),ISNUMBER(G246),F246&gt;0,1-N(Ввод!$J$19)/100&gt;0),G246/(1-N(Ввод!$J$19)/100),IF(AND(ISNUMBER(I246),ISNUMBER(J246),I246&gt;0),J246/(1+N(Ввод!$J$19)/100),""))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71" t="str">
        <f>IF(AND(ISNUMBER(F247),ISNUMBER(G247)),F247*G247,"")</f>
        <v/>
      </c>
      <c r="I247" s="240" t="n"/>
      <c r="J247" s="177" t="n"/>
      <c r="K247" s="271" t="str">
        <f>IF(AND(ISNUMBER(I247),ISNUMBER(J247)),I247*J247,"")</f>
        <v/>
      </c>
      <c r="L247" s="240" t="str">
        <f>IF(COUNT(F247,I247)=0,"",N(F247)-N(I247))</f>
        <v/>
      </c>
      <c r="M247" s="241" t="str">
        <f>IF(COUNT(H247,K247)=0,"",N(K247)-N(H247))</f>
        <v/>
      </c>
      <c r="N247" s="240" t="str">
        <f>IF(AND(ISNUMBER(F247),ISNUMBER(G247),F247&gt;0,1-N(Ввод!$J$19)/100&gt;0),G247/(1-N(Ввод!$J$19)/100),IF(AND(ISNUMBER(I247),ISNUMBER(J247),I247&gt;0),J247/(1+N(Ввод!$J$19)/100),""))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71" t="str">
        <f>IF(AND(ISNUMBER(F248),ISNUMBER(G248)),F248*G248,"")</f>
        <v/>
      </c>
      <c r="I248" s="246" t="n"/>
      <c r="J248" s="183" t="n"/>
      <c r="K248" s="271" t="str">
        <f>IF(AND(ISNUMBER(I248),ISNUMBER(J248)),I248*J248,"")</f>
        <v/>
      </c>
      <c r="L248" s="246" t="str">
        <f>IF(COUNT(F248,I248)=0,"",N(F248)-N(I248))</f>
        <v/>
      </c>
      <c r="M248" s="247" t="str">
        <f>IF(COUNT(H248,K248)=0,"",N(K248)-N(H248))</f>
        <v/>
      </c>
      <c r="N248" s="246" t="str">
        <f>IF(AND(ISNUMBER(F248),ISNUMBER(G248),F248&gt;0,1-N(Ввод!$J$19)/100&gt;0),G248/(1-N(Ввод!$J$19)/100),IF(AND(ISNUMBER(I248),ISNUMBER(J248),I248&gt;0),J248/(1+N(Ввод!$J$19)/100),""))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71" t="str">
        <f>IF(AND(ISNUMBER(F249),ISNUMBER(G249)),F249*G249,"")</f>
        <v/>
      </c>
      <c r="I249" s="240" t="n"/>
      <c r="J249" s="177" t="n"/>
      <c r="K249" s="271" t="str">
        <f>IF(AND(ISNUMBER(I249),ISNUMBER(J249)),I249*J249,"")</f>
        <v/>
      </c>
      <c r="L249" s="240" t="str">
        <f>IF(COUNT(F249,I249)=0,"",N(F249)-N(I249))</f>
        <v/>
      </c>
      <c r="M249" s="241" t="str">
        <f>IF(COUNT(H249,K249)=0,"",N(K249)-N(H249))</f>
        <v/>
      </c>
      <c r="N249" s="240" t="str">
        <f>IF(AND(ISNUMBER(F249),ISNUMBER(G249),F249&gt;0,1-N(Ввод!$J$19)/100&gt;0),G249/(1-N(Ввод!$J$19)/100),IF(AND(ISNUMBER(I249),ISNUMBER(J249),I249&gt;0),J249/(1+N(Ввод!$J$19)/100),""))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71" t="str">
        <f>IF(AND(ISNUMBER(F250),ISNUMBER(G250)),F250*G250,"")</f>
        <v/>
      </c>
      <c r="I250" s="246" t="n"/>
      <c r="J250" s="183" t="n"/>
      <c r="K250" s="271" t="str">
        <f>IF(AND(ISNUMBER(I250),ISNUMBER(J250)),I250*J250,"")</f>
        <v/>
      </c>
      <c r="L250" s="246" t="str">
        <f>IF(COUNT(F250,I250)=0,"",N(F250)-N(I250))</f>
        <v/>
      </c>
      <c r="M250" s="247" t="str">
        <f>IF(COUNT(H250,K250)=0,"",N(K250)-N(H250))</f>
        <v/>
      </c>
      <c r="N250" s="246" t="str">
        <f>IF(AND(ISNUMBER(F250),ISNUMBER(G250),F250&gt;0,1-N(Ввод!$J$19)/100&gt;0),G250/(1-N(Ввод!$J$19)/100),IF(AND(ISNUMBER(I250),ISNUMBER(J250),I250&gt;0),J250/(1+N(Ввод!$J$19)/100),""))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71" t="str">
        <f>IF(AND(ISNUMBER(F251),ISNUMBER(G251)),F251*G251,"")</f>
        <v/>
      </c>
      <c r="I251" s="240" t="n"/>
      <c r="J251" s="177" t="n"/>
      <c r="K251" s="271" t="str">
        <f>IF(AND(ISNUMBER(I251),ISNUMBER(J251)),I251*J251,"")</f>
        <v/>
      </c>
      <c r="L251" s="240" t="str">
        <f>IF(COUNT(F251,I251)=0,"",N(F251)-N(I251))</f>
        <v/>
      </c>
      <c r="M251" s="241" t="str">
        <f>IF(COUNT(H251,K251)=0,"",N(K251)-N(H251))</f>
        <v/>
      </c>
      <c r="N251" s="240" t="str">
        <f>IF(AND(ISNUMBER(F251),ISNUMBER(G251),F251&gt;0,1-N(Ввод!$J$19)/100&gt;0),G251/(1-N(Ввод!$J$19)/100),IF(AND(ISNUMBER(I251),ISNUMBER(J251),I251&gt;0),J251/(1+N(Ввод!$J$19)/100),""))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71" t="str">
        <f>IF(AND(ISNUMBER(F252),ISNUMBER(G252)),F252*G252,"")</f>
        <v/>
      </c>
      <c r="I252" s="246" t="n"/>
      <c r="J252" s="183" t="n"/>
      <c r="K252" s="271" t="str">
        <f>IF(AND(ISNUMBER(I252),ISNUMBER(J252)),I252*J252,"")</f>
        <v/>
      </c>
      <c r="L252" s="246" t="str">
        <f>IF(COUNT(F252,I252)=0,"",N(F252)-N(I252))</f>
        <v/>
      </c>
      <c r="M252" s="247" t="str">
        <f>IF(COUNT(H252,K252)=0,"",N(K252)-N(H252))</f>
        <v/>
      </c>
      <c r="N252" s="246" t="str">
        <f>IF(AND(ISNUMBER(F252),ISNUMBER(G252),F252&gt;0,1-N(Ввод!$J$19)/100&gt;0),G252/(1-N(Ввод!$J$19)/100),IF(AND(ISNUMBER(I252),ISNUMBER(J252),I252&gt;0),J252/(1+N(Ввод!$J$19)/100),""))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71" t="str">
        <f>IF(AND(ISNUMBER(F253),ISNUMBER(G253)),F253*G253,"")</f>
        <v/>
      </c>
      <c r="I253" s="240" t="n"/>
      <c r="J253" s="177" t="n"/>
      <c r="K253" s="271" t="str">
        <f>IF(AND(ISNUMBER(I253),ISNUMBER(J253)),I253*J253,"")</f>
        <v/>
      </c>
      <c r="L253" s="240" t="str">
        <f>IF(COUNT(F253,I253)=0,"",N(F253)-N(I253))</f>
        <v/>
      </c>
      <c r="M253" s="241" t="str">
        <f>IF(COUNT(H253,K253)=0,"",N(K253)-N(H253))</f>
        <v/>
      </c>
      <c r="N253" s="240" t="str">
        <f>IF(AND(ISNUMBER(F253),ISNUMBER(G253),F253&gt;0,1-N(Ввод!$J$19)/100&gt;0),G253/(1-N(Ввод!$J$19)/100),IF(AND(ISNUMBER(I253),ISNUMBER(J253),I253&gt;0),J253/(1+N(Ввод!$J$19)/100),""))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71" t="str">
        <f>IF(AND(ISNUMBER(F254),ISNUMBER(G254)),F254*G254,"")</f>
        <v/>
      </c>
      <c r="I254" s="246" t="n"/>
      <c r="J254" s="183" t="n"/>
      <c r="K254" s="271" t="str">
        <f>IF(AND(ISNUMBER(I254),ISNUMBER(J254)),I254*J254,"")</f>
        <v/>
      </c>
      <c r="L254" s="246" t="str">
        <f>IF(COUNT(F254,I254)=0,"",N(F254)-N(I254))</f>
        <v/>
      </c>
      <c r="M254" s="247" t="str">
        <f>IF(COUNT(H254,K254)=0,"",N(K254)-N(H254))</f>
        <v/>
      </c>
      <c r="N254" s="246" t="str">
        <f>IF(AND(ISNUMBER(F254),ISNUMBER(G254),F254&gt;0,1-N(Ввод!$J$19)/100&gt;0),G254/(1-N(Ввод!$J$19)/100),IF(AND(ISNUMBER(I254),ISNUMBER(J254),I254&gt;0),J254/(1+N(Ввод!$J$19)/100),""))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71" t="str">
        <f>IF(AND(ISNUMBER(F255),ISNUMBER(G255)),F255*G255,"")</f>
        <v/>
      </c>
      <c r="I255" s="240" t="n"/>
      <c r="J255" s="177" t="n"/>
      <c r="K255" s="271" t="str">
        <f>IF(AND(ISNUMBER(I255),ISNUMBER(J255)),I255*J255,"")</f>
        <v/>
      </c>
      <c r="L255" s="240" t="str">
        <f>IF(COUNT(F255,I255)=0,"",N(F255)-N(I255))</f>
        <v/>
      </c>
      <c r="M255" s="241" t="str">
        <f>IF(COUNT(H255,K255)=0,"",N(K255)-N(H255))</f>
        <v/>
      </c>
      <c r="N255" s="240" t="str">
        <f>IF(AND(ISNUMBER(F255),ISNUMBER(G255),F255&gt;0,1-N(Ввод!$J$19)/100&gt;0),G255/(1-N(Ввод!$J$19)/100),IF(AND(ISNUMBER(I255),ISNUMBER(J255),I255&gt;0),J255/(1+N(Ввод!$J$19)/100),""))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71" t="str">
        <f>IF(AND(ISNUMBER(F256),ISNUMBER(G256)),F256*G256,"")</f>
        <v/>
      </c>
      <c r="I256" s="246" t="n"/>
      <c r="J256" s="183" t="n"/>
      <c r="K256" s="271" t="str">
        <f>IF(AND(ISNUMBER(I256),ISNUMBER(J256)),I256*J256,"")</f>
        <v/>
      </c>
      <c r="L256" s="246" t="str">
        <f>IF(COUNT(F256,I256)=0,"",N(F256)-N(I256))</f>
        <v/>
      </c>
      <c r="M256" s="247" t="str">
        <f>IF(COUNT(H256,K256)=0,"",N(K256)-N(H256))</f>
        <v/>
      </c>
      <c r="N256" s="246" t="str">
        <f>IF(AND(ISNUMBER(F256),ISNUMBER(G256),F256&gt;0,1-N(Ввод!$J$19)/100&gt;0),G256/(1-N(Ввод!$J$19)/100),IF(AND(ISNUMBER(I256),ISNUMBER(J256),I256&gt;0),J256/(1+N(Ввод!$J$19)/100),""))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71" t="str">
        <f>IF(AND(ISNUMBER(F257),ISNUMBER(G257)),F257*G257,"")</f>
        <v/>
      </c>
      <c r="I257" s="240" t="n"/>
      <c r="J257" s="177" t="n"/>
      <c r="K257" s="271" t="str">
        <f>IF(AND(ISNUMBER(I257),ISNUMBER(J257)),I257*J257,"")</f>
        <v/>
      </c>
      <c r="L257" s="240" t="str">
        <f>IF(COUNT(F257,I257)=0,"",N(F257)-N(I257))</f>
        <v/>
      </c>
      <c r="M257" s="241" t="str">
        <f>IF(COUNT(H257,K257)=0,"",N(K257)-N(H257))</f>
        <v/>
      </c>
      <c r="N257" s="240" t="str">
        <f>IF(AND(ISNUMBER(F257),ISNUMBER(G257),F257&gt;0,1-N(Ввод!$J$19)/100&gt;0),G257/(1-N(Ввод!$J$19)/100),IF(AND(ISNUMBER(I257),ISNUMBER(J257),I257&gt;0),J257/(1+N(Ввод!$J$19)/100),""))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71" t="str">
        <f>IF(AND(ISNUMBER(F258),ISNUMBER(G258)),F258*G258,"")</f>
        <v/>
      </c>
      <c r="I258" s="246" t="n"/>
      <c r="J258" s="183" t="n"/>
      <c r="K258" s="271" t="str">
        <f>IF(AND(ISNUMBER(I258),ISNUMBER(J258)),I258*J258,"")</f>
        <v/>
      </c>
      <c r="L258" s="246" t="str">
        <f>IF(COUNT(F258,I258)=0,"",N(F258)-N(I258))</f>
        <v/>
      </c>
      <c r="M258" s="247" t="str">
        <f>IF(COUNT(H258,K258)=0,"",N(K258)-N(H258))</f>
        <v/>
      </c>
      <c r="N258" s="246" t="str">
        <f>IF(AND(ISNUMBER(F258),ISNUMBER(G258),F258&gt;0,1-N(Ввод!$J$19)/100&gt;0),G258/(1-N(Ввод!$J$19)/100),IF(AND(ISNUMBER(I258),ISNUMBER(J258),I258&gt;0),J258/(1+N(Ввод!$J$19)/100),""))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71" t="str">
        <f>IF(AND(ISNUMBER(F259),ISNUMBER(G259)),F259*G259,"")</f>
        <v/>
      </c>
      <c r="I259" s="240" t="n"/>
      <c r="J259" s="177" t="n"/>
      <c r="K259" s="271" t="str">
        <f>IF(AND(ISNUMBER(I259),ISNUMBER(J259)),I259*J259,"")</f>
        <v/>
      </c>
      <c r="L259" s="240" t="str">
        <f>IF(COUNT(F259,I259)=0,"",N(F259)-N(I259))</f>
        <v/>
      </c>
      <c r="M259" s="241" t="str">
        <f>IF(COUNT(H259,K259)=0,"",N(K259)-N(H259))</f>
        <v/>
      </c>
      <c r="N259" s="240" t="str">
        <f>IF(AND(ISNUMBER(F259),ISNUMBER(G259),F259&gt;0,1-N(Ввод!$J$19)/100&gt;0),G259/(1-N(Ввод!$J$19)/100),IF(AND(ISNUMBER(I259),ISNUMBER(J259),I259&gt;0),J259/(1+N(Ввод!$J$19)/100),""))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71" t="str">
        <f>IF(AND(ISNUMBER(F260),ISNUMBER(G260)),F260*G260,"")</f>
        <v/>
      </c>
      <c r="I260" s="246" t="n"/>
      <c r="J260" s="183" t="n"/>
      <c r="K260" s="271" t="str">
        <f>IF(AND(ISNUMBER(I260),ISNUMBER(J260)),I260*J260,"")</f>
        <v/>
      </c>
      <c r="L260" s="246" t="str">
        <f>IF(COUNT(F260,I260)=0,"",N(F260)-N(I260))</f>
        <v/>
      </c>
      <c r="M260" s="247" t="str">
        <f>IF(COUNT(H260,K260)=0,"",N(K260)-N(H260))</f>
        <v/>
      </c>
      <c r="N260" s="246" t="str">
        <f>IF(AND(ISNUMBER(F260),ISNUMBER(G260),F260&gt;0,1-N(Ввод!$J$19)/100&gt;0),G260/(1-N(Ввод!$J$19)/100),IF(AND(ISNUMBER(I260),ISNUMBER(J260),I260&gt;0),J260/(1+N(Ввод!$J$19)/100),""))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71" t="str">
        <f>IF(AND(ISNUMBER(F261),ISNUMBER(G261)),F261*G261,"")</f>
        <v/>
      </c>
      <c r="I261" s="240" t="n"/>
      <c r="J261" s="177" t="n"/>
      <c r="K261" s="271" t="str">
        <f>IF(AND(ISNUMBER(I261),ISNUMBER(J261)),I261*J261,"")</f>
        <v/>
      </c>
      <c r="L261" s="240" t="str">
        <f>IF(COUNT(F261,I261)=0,"",N(F261)-N(I261))</f>
        <v/>
      </c>
      <c r="M261" s="241" t="str">
        <f>IF(COUNT(H261,K261)=0,"",N(K261)-N(H261))</f>
        <v/>
      </c>
      <c r="N261" s="240" t="str">
        <f>IF(AND(ISNUMBER(F261),ISNUMBER(G261),F261&gt;0,1-N(Ввод!$J$19)/100&gt;0),G261/(1-N(Ввод!$J$19)/100),IF(AND(ISNUMBER(I261),ISNUMBER(J261),I261&gt;0),J261/(1+N(Ввод!$J$19)/100),""))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71" t="str">
        <f>IF(AND(ISNUMBER(F262),ISNUMBER(G262)),F262*G262,"")</f>
        <v/>
      </c>
      <c r="I262" s="246" t="n"/>
      <c r="J262" s="183" t="n"/>
      <c r="K262" s="271" t="str">
        <f>IF(AND(ISNUMBER(I262),ISNUMBER(J262)),I262*J262,"")</f>
        <v/>
      </c>
      <c r="L262" s="246" t="str">
        <f>IF(COUNT(F262,I262)=0,"",N(F262)-N(I262))</f>
        <v/>
      </c>
      <c r="M262" s="247" t="str">
        <f>IF(COUNT(H262,K262)=0,"",N(K262)-N(H262))</f>
        <v/>
      </c>
      <c r="N262" s="246" t="str">
        <f>IF(AND(ISNUMBER(F262),ISNUMBER(G262),F262&gt;0,1-N(Ввод!$J$19)/100&gt;0),G262/(1-N(Ввод!$J$19)/100),IF(AND(ISNUMBER(I262),ISNUMBER(J262),I262&gt;0),J262/(1+N(Ввод!$J$19)/100),""))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71" t="str">
        <f>IF(AND(ISNUMBER(F263),ISNUMBER(G263)),F263*G263,"")</f>
        <v/>
      </c>
      <c r="I263" s="240" t="n"/>
      <c r="J263" s="177" t="n"/>
      <c r="K263" s="271" t="str">
        <f>IF(AND(ISNUMBER(I263),ISNUMBER(J263)),I263*J263,"")</f>
        <v/>
      </c>
      <c r="L263" s="240" t="str">
        <f>IF(COUNT(F263,I263)=0,"",N(F263)-N(I263))</f>
        <v/>
      </c>
      <c r="M263" s="241" t="str">
        <f>IF(COUNT(H263,K263)=0,"",N(K263)-N(H263))</f>
        <v/>
      </c>
      <c r="N263" s="240" t="str">
        <f>IF(AND(ISNUMBER(F263),ISNUMBER(G263),F263&gt;0,1-N(Ввод!$J$19)/100&gt;0),G263/(1-N(Ввод!$J$19)/100),IF(AND(ISNUMBER(I263),ISNUMBER(J263),I263&gt;0),J263/(1+N(Ввод!$J$19)/100),""))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71" t="str">
        <f>IF(AND(ISNUMBER(F264),ISNUMBER(G264)),F264*G264,"")</f>
        <v/>
      </c>
      <c r="I264" s="246" t="n"/>
      <c r="J264" s="183" t="n"/>
      <c r="K264" s="271" t="str">
        <f>IF(AND(ISNUMBER(I264),ISNUMBER(J264)),I264*J264,"")</f>
        <v/>
      </c>
      <c r="L264" s="246" t="str">
        <f>IF(COUNT(F264,I264)=0,"",N(F264)-N(I264))</f>
        <v/>
      </c>
      <c r="M264" s="247" t="str">
        <f>IF(COUNT(H264,K264)=0,"",N(K264)-N(H264))</f>
        <v/>
      </c>
      <c r="N264" s="246" t="str">
        <f>IF(AND(ISNUMBER(F264),ISNUMBER(G264),F264&gt;0,1-N(Ввод!$J$19)/100&gt;0),G264/(1-N(Ввод!$J$19)/100),IF(AND(ISNUMBER(I264),ISNUMBER(J264),I264&gt;0),J264/(1+N(Ввод!$J$19)/100),""))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71" t="str">
        <f>IF(AND(ISNUMBER(F265),ISNUMBER(G265)),F265*G265,"")</f>
        <v/>
      </c>
      <c r="I265" s="240" t="n"/>
      <c r="J265" s="177" t="n"/>
      <c r="K265" s="271" t="str">
        <f>IF(AND(ISNUMBER(I265),ISNUMBER(J265)),I265*J265,"")</f>
        <v/>
      </c>
      <c r="L265" s="240" t="str">
        <f>IF(COUNT(F265,I265)=0,"",N(F265)-N(I265))</f>
        <v/>
      </c>
      <c r="M265" s="241" t="str">
        <f>IF(COUNT(H265,K265)=0,"",N(K265)-N(H265))</f>
        <v/>
      </c>
      <c r="N265" s="240" t="str">
        <f>IF(AND(ISNUMBER(F265),ISNUMBER(G265),F265&gt;0,1-N(Ввод!$J$19)/100&gt;0),G265/(1-N(Ввод!$J$19)/100),IF(AND(ISNUMBER(I265),ISNUMBER(J265),I265&gt;0),J265/(1+N(Ввод!$J$19)/100),""))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71" t="str">
        <f>IF(AND(ISNUMBER(F266),ISNUMBER(G266)),F266*G266,"")</f>
        <v/>
      </c>
      <c r="I266" s="246" t="n"/>
      <c r="J266" s="183" t="n"/>
      <c r="K266" s="271" t="str">
        <f>IF(AND(ISNUMBER(I266),ISNUMBER(J266)),I266*J266,"")</f>
        <v/>
      </c>
      <c r="L266" s="246" t="str">
        <f>IF(COUNT(F266,I266)=0,"",N(F266)-N(I266))</f>
        <v/>
      </c>
      <c r="M266" s="247" t="str">
        <f>IF(COUNT(H266,K266)=0,"",N(K266)-N(H266))</f>
        <v/>
      </c>
      <c r="N266" s="246" t="str">
        <f>IF(AND(ISNUMBER(F266),ISNUMBER(G266),F266&gt;0,1-N(Ввод!$J$19)/100&gt;0),G266/(1-N(Ввод!$J$19)/100),IF(AND(ISNUMBER(I266),ISNUMBER(J266),I266&gt;0),J266/(1+N(Ввод!$J$19)/100),""))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71" t="str">
        <f>IF(AND(ISNUMBER(F267),ISNUMBER(G267)),F267*G267,"")</f>
        <v/>
      </c>
      <c r="I267" s="240" t="n"/>
      <c r="J267" s="177" t="n"/>
      <c r="K267" s="271" t="str">
        <f>IF(AND(ISNUMBER(I267),ISNUMBER(J267)),I267*J267,"")</f>
        <v/>
      </c>
      <c r="L267" s="240" t="str">
        <f>IF(COUNT(F267,I267)=0,"",N(F267)-N(I267))</f>
        <v/>
      </c>
      <c r="M267" s="241" t="str">
        <f>IF(COUNT(H267,K267)=0,"",N(K267)-N(H267))</f>
        <v/>
      </c>
      <c r="N267" s="240" t="str">
        <f>IF(AND(ISNUMBER(F267),ISNUMBER(G267),F267&gt;0,1-N(Ввод!$J$19)/100&gt;0),G267/(1-N(Ввод!$J$19)/100),IF(AND(ISNUMBER(I267),ISNUMBER(J267),I267&gt;0),J267/(1+N(Ввод!$J$19)/100),""))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71" t="str">
        <f>IF(AND(ISNUMBER(F268),ISNUMBER(G268)),F268*G268,"")</f>
        <v/>
      </c>
      <c r="I268" s="246" t="n"/>
      <c r="J268" s="183" t="n"/>
      <c r="K268" s="271" t="str">
        <f>IF(AND(ISNUMBER(I268),ISNUMBER(J268)),I268*J268,"")</f>
        <v/>
      </c>
      <c r="L268" s="246" t="str">
        <f>IF(COUNT(F268,I268)=0,"",N(F268)-N(I268))</f>
        <v/>
      </c>
      <c r="M268" s="247" t="str">
        <f>IF(COUNT(H268,K268)=0,"",N(K268)-N(H268))</f>
        <v/>
      </c>
      <c r="N268" s="246" t="str">
        <f>IF(AND(ISNUMBER(F268),ISNUMBER(G268),F268&gt;0,1-N(Ввод!$J$19)/100&gt;0),G268/(1-N(Ввод!$J$19)/100),IF(AND(ISNUMBER(I268),ISNUMBER(J268),I268&gt;0),J268/(1+N(Ввод!$J$19)/100),""))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71" t="str">
        <f>IF(AND(ISNUMBER(F269),ISNUMBER(G269)),F269*G269,"")</f>
        <v/>
      </c>
      <c r="I269" s="240" t="n"/>
      <c r="J269" s="177" t="n"/>
      <c r="K269" s="271" t="str">
        <f>IF(AND(ISNUMBER(I269),ISNUMBER(J269)),I269*J269,"")</f>
        <v/>
      </c>
      <c r="L269" s="240" t="str">
        <f>IF(COUNT(F269,I269)=0,"",N(F269)-N(I269))</f>
        <v/>
      </c>
      <c r="M269" s="241" t="str">
        <f>IF(COUNT(H269,K269)=0,"",N(K269)-N(H269))</f>
        <v/>
      </c>
      <c r="N269" s="240" t="str">
        <f>IF(AND(ISNUMBER(F269),ISNUMBER(G269),F269&gt;0,1-N(Ввод!$J$19)/100&gt;0),G269/(1-N(Ввод!$J$19)/100),IF(AND(ISNUMBER(I269),ISNUMBER(J269),I269&gt;0),J269/(1+N(Ввод!$J$19)/100),""))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71" t="str">
        <f>IF(AND(ISNUMBER(F270),ISNUMBER(G270)),F270*G270,"")</f>
        <v/>
      </c>
      <c r="I270" s="246" t="n"/>
      <c r="J270" s="183" t="n"/>
      <c r="K270" s="271" t="str">
        <f>IF(AND(ISNUMBER(I270),ISNUMBER(J270)),I270*J270,"")</f>
        <v/>
      </c>
      <c r="L270" s="246" t="str">
        <f>IF(COUNT(F270,I270)=0,"",N(F270)-N(I270))</f>
        <v/>
      </c>
      <c r="M270" s="247" t="str">
        <f>IF(COUNT(H270,K270)=0,"",N(K270)-N(H270))</f>
        <v/>
      </c>
      <c r="N270" s="246" t="str">
        <f>IF(AND(ISNUMBER(F270),ISNUMBER(G270),F270&gt;0,1-N(Ввод!$J$19)/100&gt;0),G270/(1-N(Ввод!$J$19)/100),IF(AND(ISNUMBER(I270),ISNUMBER(J270),I270&gt;0),J270/(1+N(Ввод!$J$19)/100),""))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71" t="str">
        <f>IF(AND(ISNUMBER(F271),ISNUMBER(G271)),F271*G271,"")</f>
        <v/>
      </c>
      <c r="I271" s="240" t="n"/>
      <c r="J271" s="177" t="n"/>
      <c r="K271" s="271" t="str">
        <f>IF(AND(ISNUMBER(I271),ISNUMBER(J271)),I271*J271,"")</f>
        <v/>
      </c>
      <c r="L271" s="240" t="str">
        <f>IF(COUNT(F271,I271)=0,"",N(F271)-N(I271))</f>
        <v/>
      </c>
      <c r="M271" s="241" t="str">
        <f>IF(COUNT(H271,K271)=0,"",N(K271)-N(H271))</f>
        <v/>
      </c>
      <c r="N271" s="240" t="str">
        <f>IF(AND(ISNUMBER(F271),ISNUMBER(G271),F271&gt;0,1-N(Ввод!$J$19)/100&gt;0),G271/(1-N(Ввод!$J$19)/100),IF(AND(ISNUMBER(I271),ISNUMBER(J271),I271&gt;0),J271/(1+N(Ввод!$J$19)/100),""))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71" t="str">
        <f>IF(AND(ISNUMBER(F272),ISNUMBER(G272)),F272*G272,"")</f>
        <v/>
      </c>
      <c r="I272" s="246" t="n"/>
      <c r="J272" s="183" t="n"/>
      <c r="K272" s="271" t="str">
        <f>IF(AND(ISNUMBER(I272),ISNUMBER(J272)),I272*J272,"")</f>
        <v/>
      </c>
      <c r="L272" s="246" t="str">
        <f>IF(COUNT(F272,I272)=0,"",N(F272)-N(I272))</f>
        <v/>
      </c>
      <c r="M272" s="247" t="str">
        <f>IF(COUNT(H272,K272)=0,"",N(K272)-N(H272))</f>
        <v/>
      </c>
      <c r="N272" s="246" t="str">
        <f>IF(AND(ISNUMBER(F272),ISNUMBER(G272),F272&gt;0,1-N(Ввод!$J$19)/100&gt;0),G272/(1-N(Ввод!$J$19)/100),IF(AND(ISNUMBER(I272),ISNUMBER(J272),I272&gt;0),J272/(1+N(Ввод!$J$19)/100),""))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71" t="str">
        <f>IF(AND(ISNUMBER(F273),ISNUMBER(G273)),F273*G273,"")</f>
        <v/>
      </c>
      <c r="I273" s="240" t="n"/>
      <c r="J273" s="177" t="n"/>
      <c r="K273" s="271" t="str">
        <f>IF(AND(ISNUMBER(I273),ISNUMBER(J273)),I273*J273,"")</f>
        <v/>
      </c>
      <c r="L273" s="240" t="str">
        <f>IF(COUNT(F273,I273)=0,"",N(F273)-N(I273))</f>
        <v/>
      </c>
      <c r="M273" s="241" t="str">
        <f>IF(COUNT(H273,K273)=0,"",N(K273)-N(H273))</f>
        <v/>
      </c>
      <c r="N273" s="240" t="str">
        <f>IF(AND(ISNUMBER(F273),ISNUMBER(G273),F273&gt;0,1-N(Ввод!$J$19)/100&gt;0),G273/(1-N(Ввод!$J$19)/100),IF(AND(ISNUMBER(I273),ISNUMBER(J273),I273&gt;0),J273/(1+N(Ввод!$J$19)/100),""))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71" t="str">
        <f>IF(AND(ISNUMBER(F274),ISNUMBER(G274)),F274*G274,"")</f>
        <v/>
      </c>
      <c r="I274" s="246" t="n"/>
      <c r="J274" s="183" t="n"/>
      <c r="K274" s="271" t="str">
        <f>IF(AND(ISNUMBER(I274),ISNUMBER(J274)),I274*J274,"")</f>
        <v/>
      </c>
      <c r="L274" s="246" t="str">
        <f>IF(COUNT(F274,I274)=0,"",N(F274)-N(I274))</f>
        <v/>
      </c>
      <c r="M274" s="247" t="str">
        <f>IF(COUNT(H274,K274)=0,"",N(K274)-N(H274))</f>
        <v/>
      </c>
      <c r="N274" s="246" t="str">
        <f>IF(AND(ISNUMBER(F274),ISNUMBER(G274),F274&gt;0,1-N(Ввод!$J$19)/100&gt;0),G274/(1-N(Ввод!$J$19)/100),IF(AND(ISNUMBER(I274),ISNUMBER(J274),I274&gt;0),J274/(1+N(Ввод!$J$19)/100),""))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71" t="str">
        <f>IF(AND(ISNUMBER(F275),ISNUMBER(G275)),F275*G275,"")</f>
        <v/>
      </c>
      <c r="I275" s="240" t="n"/>
      <c r="J275" s="177" t="n"/>
      <c r="K275" s="271" t="str">
        <f>IF(AND(ISNUMBER(I275),ISNUMBER(J275)),I275*J275,"")</f>
        <v/>
      </c>
      <c r="L275" s="240" t="str">
        <f>IF(COUNT(F275,I275)=0,"",N(F275)-N(I275))</f>
        <v/>
      </c>
      <c r="M275" s="241" t="str">
        <f>IF(COUNT(H275,K275)=0,"",N(K275)-N(H275))</f>
        <v/>
      </c>
      <c r="N275" s="240" t="str">
        <f>IF(AND(ISNUMBER(F275),ISNUMBER(G275),F275&gt;0,1-N(Ввод!$J$19)/100&gt;0),G275/(1-N(Ввод!$J$19)/100),IF(AND(ISNUMBER(I275),ISNUMBER(J275),I275&gt;0),J275/(1+N(Ввод!$J$19)/100),""))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71" t="str">
        <f>IF(AND(ISNUMBER(F276),ISNUMBER(G276)),F276*G276,"")</f>
        <v/>
      </c>
      <c r="I276" s="246" t="n"/>
      <c r="J276" s="183" t="n"/>
      <c r="K276" s="271" t="str">
        <f>IF(AND(ISNUMBER(I276),ISNUMBER(J276)),I276*J276,"")</f>
        <v/>
      </c>
      <c r="L276" s="246" t="str">
        <f>IF(COUNT(F276,I276)=0,"",N(F276)-N(I276))</f>
        <v/>
      </c>
      <c r="M276" s="247" t="str">
        <f>IF(COUNT(H276,K276)=0,"",N(K276)-N(H276))</f>
        <v/>
      </c>
      <c r="N276" s="246" t="str">
        <f>IF(AND(ISNUMBER(F276),ISNUMBER(G276),F276&gt;0,1-N(Ввод!$J$19)/100&gt;0),G276/(1-N(Ввод!$J$19)/100),IF(AND(ISNUMBER(I276),ISNUMBER(J276),I276&gt;0),J276/(1+N(Ввод!$J$19)/100),""))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71" t="str">
        <f>IF(AND(ISNUMBER(F277),ISNUMBER(G277)),F277*G277,"")</f>
        <v/>
      </c>
      <c r="I277" s="240" t="n"/>
      <c r="J277" s="177" t="n"/>
      <c r="K277" s="271" t="str">
        <f>IF(AND(ISNUMBER(I277),ISNUMBER(J277)),I277*J277,"")</f>
        <v/>
      </c>
      <c r="L277" s="240" t="str">
        <f>IF(COUNT(F277,I277)=0,"",N(F277)-N(I277))</f>
        <v/>
      </c>
      <c r="M277" s="241" t="str">
        <f>IF(COUNT(H277,K277)=0,"",N(K277)-N(H277))</f>
        <v/>
      </c>
      <c r="N277" s="240" t="str">
        <f>IF(AND(ISNUMBER(F277),ISNUMBER(G277),F277&gt;0,1-N(Ввод!$J$19)/100&gt;0),G277/(1-N(Ввод!$J$19)/100),IF(AND(ISNUMBER(I277),ISNUMBER(J277),I277&gt;0),J277/(1+N(Ввод!$J$19)/100),""))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71" t="str">
        <f>IF(AND(ISNUMBER(F278),ISNUMBER(G278)),F278*G278,"")</f>
        <v/>
      </c>
      <c r="I278" s="246" t="n"/>
      <c r="J278" s="183" t="n"/>
      <c r="K278" s="271" t="str">
        <f>IF(AND(ISNUMBER(I278),ISNUMBER(J278)),I278*J278,"")</f>
        <v/>
      </c>
      <c r="L278" s="246" t="str">
        <f>IF(COUNT(F278,I278)=0,"",N(F278)-N(I278))</f>
        <v/>
      </c>
      <c r="M278" s="247" t="str">
        <f>IF(COUNT(H278,K278)=0,"",N(K278)-N(H278))</f>
        <v/>
      </c>
      <c r="N278" s="246" t="str">
        <f>IF(AND(ISNUMBER(F278),ISNUMBER(G278),F278&gt;0,1-N(Ввод!$J$19)/100&gt;0),G278/(1-N(Ввод!$J$19)/100),IF(AND(ISNUMBER(I278),ISNUMBER(J278),I278&gt;0),J278/(1+N(Ввод!$J$19)/100),""))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71" t="str">
        <f>IF(AND(ISNUMBER(F279),ISNUMBER(G279)),F279*G279,"")</f>
        <v/>
      </c>
      <c r="I279" s="240" t="n"/>
      <c r="J279" s="177" t="n"/>
      <c r="K279" s="271" t="str">
        <f>IF(AND(ISNUMBER(I279),ISNUMBER(J279)),I279*J279,"")</f>
        <v/>
      </c>
      <c r="L279" s="240" t="str">
        <f>IF(COUNT(F279,I279)=0,"",N(F279)-N(I279))</f>
        <v/>
      </c>
      <c r="M279" s="241" t="str">
        <f>IF(COUNT(H279,K279)=0,"",N(K279)-N(H279))</f>
        <v/>
      </c>
      <c r="N279" s="240" t="str">
        <f>IF(AND(ISNUMBER(F279),ISNUMBER(G279),F279&gt;0,1-N(Ввод!$J$19)/100&gt;0),G279/(1-N(Ввод!$J$19)/100),IF(AND(ISNUMBER(I279),ISNUMBER(J279),I279&gt;0),J279/(1+N(Ввод!$J$19)/100),""))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71" t="str">
        <f>IF(AND(ISNUMBER(F280),ISNUMBER(G280)),F280*G280,"")</f>
        <v/>
      </c>
      <c r="I280" s="246" t="n"/>
      <c r="J280" s="183" t="n"/>
      <c r="K280" s="271" t="str">
        <f>IF(AND(ISNUMBER(I280),ISNUMBER(J280)),I280*J280,"")</f>
        <v/>
      </c>
      <c r="L280" s="246" t="str">
        <f>IF(COUNT(F280,I280)=0,"",N(F280)-N(I280))</f>
        <v/>
      </c>
      <c r="M280" s="247" t="str">
        <f>IF(COUNT(H280,K280)=0,"",N(K280)-N(H280))</f>
        <v/>
      </c>
      <c r="N280" s="246" t="str">
        <f>IF(AND(ISNUMBER(F280),ISNUMBER(G280),F280&gt;0,1-N(Ввод!$J$19)/100&gt;0),G280/(1-N(Ввод!$J$19)/100),IF(AND(ISNUMBER(I280),ISNUMBER(J280),I280&gt;0),J280/(1+N(Ввод!$J$19)/100),""))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71" t="str">
        <f>IF(AND(ISNUMBER(F281),ISNUMBER(G281)),F281*G281,"")</f>
        <v/>
      </c>
      <c r="I281" s="240" t="n"/>
      <c r="J281" s="177" t="n"/>
      <c r="K281" s="271" t="str">
        <f>IF(AND(ISNUMBER(I281),ISNUMBER(J281)),I281*J281,"")</f>
        <v/>
      </c>
      <c r="L281" s="240" t="str">
        <f>IF(COUNT(F281,I281)=0,"",N(F281)-N(I281))</f>
        <v/>
      </c>
      <c r="M281" s="241" t="str">
        <f>IF(COUNT(H281,K281)=0,"",N(K281)-N(H281))</f>
        <v/>
      </c>
      <c r="N281" s="240" t="str">
        <f>IF(AND(ISNUMBER(F281),ISNUMBER(G281),F281&gt;0,1-N(Ввод!$J$19)/100&gt;0),G281/(1-N(Ввод!$J$19)/100),IF(AND(ISNUMBER(I281),ISNUMBER(J281),I281&gt;0),J281/(1+N(Ввод!$J$19)/100),""))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71" t="str">
        <f>IF(AND(ISNUMBER(F282),ISNUMBER(G282)),F282*G282,"")</f>
        <v/>
      </c>
      <c r="I282" s="246" t="n"/>
      <c r="J282" s="183" t="n"/>
      <c r="K282" s="271" t="str">
        <f>IF(AND(ISNUMBER(I282),ISNUMBER(J282)),I282*J282,"")</f>
        <v/>
      </c>
      <c r="L282" s="246" t="str">
        <f>IF(COUNT(F282,I282)=0,"",N(F282)-N(I282))</f>
        <v/>
      </c>
      <c r="M282" s="247" t="str">
        <f>IF(COUNT(H282,K282)=0,"",N(K282)-N(H282))</f>
        <v/>
      </c>
      <c r="N282" s="246" t="str">
        <f>IF(AND(ISNUMBER(F282),ISNUMBER(G282),F282&gt;0,1-N(Ввод!$J$19)/100&gt;0),G282/(1-N(Ввод!$J$19)/100),IF(AND(ISNUMBER(I282),ISNUMBER(J282),I282&gt;0),J282/(1+N(Ввод!$J$19)/100),""))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71" t="str">
        <f>IF(AND(ISNUMBER(F283),ISNUMBER(G283)),F283*G283,"")</f>
        <v/>
      </c>
      <c r="I283" s="240" t="n"/>
      <c r="J283" s="177" t="n"/>
      <c r="K283" s="271" t="str">
        <f>IF(AND(ISNUMBER(I283),ISNUMBER(J283)),I283*J283,"")</f>
        <v/>
      </c>
      <c r="L283" s="240" t="str">
        <f>IF(COUNT(F283,I283)=0,"",N(F283)-N(I283))</f>
        <v/>
      </c>
      <c r="M283" s="241" t="str">
        <f>IF(COUNT(H283,K283)=0,"",N(K283)-N(H283))</f>
        <v/>
      </c>
      <c r="N283" s="240" t="str">
        <f>IF(AND(ISNUMBER(F283),ISNUMBER(G283),F283&gt;0,1-N(Ввод!$J$19)/100&gt;0),G283/(1-N(Ввод!$J$19)/100),IF(AND(ISNUMBER(I283),ISNUMBER(J283),I283&gt;0),J283/(1+N(Ввод!$J$19)/100),""))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71" t="str">
        <f>IF(AND(ISNUMBER(F284),ISNUMBER(G284)),F284*G284,"")</f>
        <v/>
      </c>
      <c r="I284" s="246" t="n"/>
      <c r="J284" s="183" t="n"/>
      <c r="K284" s="271" t="str">
        <f>IF(AND(ISNUMBER(I284),ISNUMBER(J284)),I284*J284,"")</f>
        <v/>
      </c>
      <c r="L284" s="246" t="str">
        <f>IF(COUNT(F284,I284)=0,"",N(F284)-N(I284))</f>
        <v/>
      </c>
      <c r="M284" s="247" t="str">
        <f>IF(COUNT(H284,K284)=0,"",N(K284)-N(H284))</f>
        <v/>
      </c>
      <c r="N284" s="246" t="str">
        <f>IF(AND(ISNUMBER(F284),ISNUMBER(G284),F284&gt;0,1-N(Ввод!$J$19)/100&gt;0),G284/(1-N(Ввод!$J$19)/100),IF(AND(ISNUMBER(I284),ISNUMBER(J284),I284&gt;0),J284/(1+N(Ввод!$J$19)/100),""))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71" t="str">
        <f>IF(AND(ISNUMBER(F285),ISNUMBER(G285)),F285*G285,"")</f>
        <v/>
      </c>
      <c r="I285" s="240" t="n"/>
      <c r="J285" s="177" t="n"/>
      <c r="K285" s="271" t="str">
        <f>IF(AND(ISNUMBER(I285),ISNUMBER(J285)),I285*J285,"")</f>
        <v/>
      </c>
      <c r="L285" s="240" t="str">
        <f>IF(COUNT(F285,I285)=0,"",N(F285)-N(I285))</f>
        <v/>
      </c>
      <c r="M285" s="241" t="str">
        <f>IF(COUNT(H285,K285)=0,"",N(K285)-N(H285))</f>
        <v/>
      </c>
      <c r="N285" s="240" t="str">
        <f>IF(AND(ISNUMBER(F285),ISNUMBER(G285),F285&gt;0,1-N(Ввод!$J$19)/100&gt;0),G285/(1-N(Ввод!$J$19)/100),IF(AND(ISNUMBER(I285),ISNUMBER(J285),I285&gt;0),J285/(1+N(Ввод!$J$19)/100),""))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71" t="str">
        <f>IF(AND(ISNUMBER(F286),ISNUMBER(G286)),F286*G286,"")</f>
        <v/>
      </c>
      <c r="I286" s="246" t="n"/>
      <c r="J286" s="183" t="n"/>
      <c r="K286" s="271" t="str">
        <f>IF(AND(ISNUMBER(I286),ISNUMBER(J286)),I286*J286,"")</f>
        <v/>
      </c>
      <c r="L286" s="246" t="str">
        <f>IF(COUNT(F286,I286)=0,"",N(F286)-N(I286))</f>
        <v/>
      </c>
      <c r="M286" s="247" t="str">
        <f>IF(COUNT(H286,K286)=0,"",N(K286)-N(H286))</f>
        <v/>
      </c>
      <c r="N286" s="246" t="str">
        <f>IF(AND(ISNUMBER(F286),ISNUMBER(G286),F286&gt;0,1-N(Ввод!$J$19)/100&gt;0),G286/(1-N(Ввод!$J$19)/100),IF(AND(ISNUMBER(I286),ISNUMBER(J286),I286&gt;0),J286/(1+N(Ввод!$J$19)/100),""))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71" t="str">
        <f>IF(AND(ISNUMBER(F287),ISNUMBER(G287)),F287*G287,"")</f>
        <v/>
      </c>
      <c r="I287" s="240" t="n"/>
      <c r="J287" s="177" t="n"/>
      <c r="K287" s="271" t="str">
        <f>IF(AND(ISNUMBER(I287),ISNUMBER(J287)),I287*J287,"")</f>
        <v/>
      </c>
      <c r="L287" s="240" t="str">
        <f>IF(COUNT(F287,I287)=0,"",N(F287)-N(I287))</f>
        <v/>
      </c>
      <c r="M287" s="241" t="str">
        <f>IF(COUNT(H287,K287)=0,"",N(K287)-N(H287))</f>
        <v/>
      </c>
      <c r="N287" s="240" t="str">
        <f>IF(AND(ISNUMBER(F287),ISNUMBER(G287),F287&gt;0,1-N(Ввод!$J$19)/100&gt;0),G287/(1-N(Ввод!$J$19)/100),IF(AND(ISNUMBER(I287),ISNUMBER(J287),I287&gt;0),J287/(1+N(Ввод!$J$19)/100),""))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71" t="str">
        <f>IF(AND(ISNUMBER(F288),ISNUMBER(G288)),F288*G288,"")</f>
        <v/>
      </c>
      <c r="I288" s="246" t="n"/>
      <c r="J288" s="183" t="n"/>
      <c r="K288" s="271" t="str">
        <f>IF(AND(ISNUMBER(I288),ISNUMBER(J288)),I288*J288,"")</f>
        <v/>
      </c>
      <c r="L288" s="246" t="str">
        <f>IF(COUNT(F288,I288)=0,"",N(F288)-N(I288))</f>
        <v/>
      </c>
      <c r="M288" s="247" t="str">
        <f>IF(COUNT(H288,K288)=0,"",N(K288)-N(H288))</f>
        <v/>
      </c>
      <c r="N288" s="246" t="str">
        <f>IF(AND(ISNUMBER(F288),ISNUMBER(G288),F288&gt;0,1-N(Ввод!$J$19)/100&gt;0),G288/(1-N(Ввод!$J$19)/100),IF(AND(ISNUMBER(I288),ISNUMBER(J288),I288&gt;0),J288/(1+N(Ввод!$J$19)/100),""))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71" t="str">
        <f>IF(AND(ISNUMBER(F289),ISNUMBER(G289)),F289*G289,"")</f>
        <v/>
      </c>
      <c r="I289" s="240" t="n"/>
      <c r="J289" s="177" t="n"/>
      <c r="K289" s="271" t="str">
        <f>IF(AND(ISNUMBER(I289),ISNUMBER(J289)),I289*J289,"")</f>
        <v/>
      </c>
      <c r="L289" s="240" t="str">
        <f>IF(COUNT(F289,I289)=0,"",N(F289)-N(I289))</f>
        <v/>
      </c>
      <c r="M289" s="241" t="str">
        <f>IF(COUNT(H289,K289)=0,"",N(K289)-N(H289))</f>
        <v/>
      </c>
      <c r="N289" s="240" t="str">
        <f>IF(AND(ISNUMBER(F289),ISNUMBER(G289),F289&gt;0,1-N(Ввод!$J$19)/100&gt;0),G289/(1-N(Ввод!$J$19)/100),IF(AND(ISNUMBER(I289),ISNUMBER(J289),I289&gt;0),J289/(1+N(Ввод!$J$19)/100),""))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71" t="str">
        <f>IF(AND(ISNUMBER(F290),ISNUMBER(G290)),F290*G290,"")</f>
        <v/>
      </c>
      <c r="I290" s="246" t="n"/>
      <c r="J290" s="183" t="n"/>
      <c r="K290" s="271" t="str">
        <f>IF(AND(ISNUMBER(I290),ISNUMBER(J290)),I290*J290,"")</f>
        <v/>
      </c>
      <c r="L290" s="246" t="str">
        <f>IF(COUNT(F290,I290)=0,"",N(F290)-N(I290))</f>
        <v/>
      </c>
      <c r="M290" s="247" t="str">
        <f>IF(COUNT(H290,K290)=0,"",N(K290)-N(H290))</f>
        <v/>
      </c>
      <c r="N290" s="246" t="str">
        <f>IF(AND(ISNUMBER(F290),ISNUMBER(G290),F290&gt;0,1-N(Ввод!$J$19)/100&gt;0),G290/(1-N(Ввод!$J$19)/100),IF(AND(ISNUMBER(I290),ISNUMBER(J290),I290&gt;0),J290/(1+N(Ввод!$J$19)/100),""))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71" t="str">
        <f>IF(AND(ISNUMBER(F291),ISNUMBER(G291)),F291*G291,"")</f>
        <v/>
      </c>
      <c r="I291" s="240" t="n"/>
      <c r="J291" s="177" t="n"/>
      <c r="K291" s="271" t="str">
        <f>IF(AND(ISNUMBER(I291),ISNUMBER(J291)),I291*J291,"")</f>
        <v/>
      </c>
      <c r="L291" s="240" t="str">
        <f>IF(COUNT(F291,I291)=0,"",N(F291)-N(I291))</f>
        <v/>
      </c>
      <c r="M291" s="241" t="str">
        <f>IF(COUNT(H291,K291)=0,"",N(K291)-N(H291))</f>
        <v/>
      </c>
      <c r="N291" s="240" t="str">
        <f>IF(AND(ISNUMBER(F291),ISNUMBER(G291),F291&gt;0,1-N(Ввод!$J$19)/100&gt;0),G291/(1-N(Ввод!$J$19)/100),IF(AND(ISNUMBER(I291),ISNUMBER(J291),I291&gt;0),J291/(1+N(Ввод!$J$19)/100),""))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71" t="str">
        <f>IF(AND(ISNUMBER(F292),ISNUMBER(G292)),F292*G292,"")</f>
        <v/>
      </c>
      <c r="I292" s="246" t="n"/>
      <c r="J292" s="183" t="n"/>
      <c r="K292" s="271" t="str">
        <f>IF(AND(ISNUMBER(I292),ISNUMBER(J292)),I292*J292,"")</f>
        <v/>
      </c>
      <c r="L292" s="246" t="str">
        <f>IF(COUNT(F292,I292)=0,"",N(F292)-N(I292))</f>
        <v/>
      </c>
      <c r="M292" s="247" t="str">
        <f>IF(COUNT(H292,K292)=0,"",N(K292)-N(H292))</f>
        <v/>
      </c>
      <c r="N292" s="246" t="str">
        <f>IF(AND(ISNUMBER(F292),ISNUMBER(G292),F292&gt;0,1-N(Ввод!$J$19)/100&gt;0),G292/(1-N(Ввод!$J$19)/100),IF(AND(ISNUMBER(I292),ISNUMBER(J292),I292&gt;0),J292/(1+N(Ввод!$J$19)/100),""))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71" t="str">
        <f>IF(AND(ISNUMBER(F293),ISNUMBER(G293)),F293*G293,"")</f>
        <v/>
      </c>
      <c r="I293" s="240" t="n"/>
      <c r="J293" s="177" t="n"/>
      <c r="K293" s="271" t="str">
        <f>IF(AND(ISNUMBER(I293),ISNUMBER(J293)),I293*J293,"")</f>
        <v/>
      </c>
      <c r="L293" s="240" t="str">
        <f>IF(COUNT(F293,I293)=0,"",N(F293)-N(I293))</f>
        <v/>
      </c>
      <c r="M293" s="241" t="str">
        <f>IF(COUNT(H293,K293)=0,"",N(K293)-N(H293))</f>
        <v/>
      </c>
      <c r="N293" s="240" t="str">
        <f>IF(AND(ISNUMBER(F293),ISNUMBER(G293),F293&gt;0,1-N(Ввод!$J$19)/100&gt;0),G293/(1-N(Ввод!$J$19)/100),IF(AND(ISNUMBER(I293),ISNUMBER(J293),I293&gt;0),J293/(1+N(Ввод!$J$19)/100),""))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71" t="str">
        <f>IF(AND(ISNUMBER(F294),ISNUMBER(G294)),F294*G294,"")</f>
        <v/>
      </c>
      <c r="I294" s="246" t="n"/>
      <c r="J294" s="183" t="n"/>
      <c r="K294" s="271" t="str">
        <f>IF(AND(ISNUMBER(I294),ISNUMBER(J294)),I294*J294,"")</f>
        <v/>
      </c>
      <c r="L294" s="246" t="str">
        <f>IF(COUNT(F294,I294)=0,"",N(F294)-N(I294))</f>
        <v/>
      </c>
      <c r="M294" s="247" t="str">
        <f>IF(COUNT(H294,K294)=0,"",N(K294)-N(H294))</f>
        <v/>
      </c>
      <c r="N294" s="246" t="str">
        <f>IF(AND(ISNUMBER(F294),ISNUMBER(G294),F294&gt;0,1-N(Ввод!$J$19)/100&gt;0),G294/(1-N(Ввод!$J$19)/100),IF(AND(ISNUMBER(I294),ISNUMBER(J294),I294&gt;0),J294/(1+N(Ввод!$J$19)/100),""))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71" t="str">
        <f>IF(AND(ISNUMBER(F295),ISNUMBER(G295)),F295*G295,"")</f>
        <v/>
      </c>
      <c r="I295" s="240" t="n"/>
      <c r="J295" s="177" t="n"/>
      <c r="K295" s="271" t="str">
        <f>IF(AND(ISNUMBER(I295),ISNUMBER(J295)),I295*J295,"")</f>
        <v/>
      </c>
      <c r="L295" s="240" t="str">
        <f>IF(COUNT(F295,I295)=0,"",N(F295)-N(I295))</f>
        <v/>
      </c>
      <c r="M295" s="241" t="str">
        <f>IF(COUNT(H295,K295)=0,"",N(K295)-N(H295))</f>
        <v/>
      </c>
      <c r="N295" s="240" t="str">
        <f>IF(AND(ISNUMBER(F295),ISNUMBER(G295),F295&gt;0,1-N(Ввод!$J$19)/100&gt;0),G295/(1-N(Ввод!$J$19)/100),IF(AND(ISNUMBER(I295),ISNUMBER(J295),I295&gt;0),J295/(1+N(Ввод!$J$19)/100),""))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71" t="str">
        <f>IF(AND(ISNUMBER(F296),ISNUMBER(G296)),F296*G296,"")</f>
        <v/>
      </c>
      <c r="I296" s="246" t="n"/>
      <c r="J296" s="183" t="n"/>
      <c r="K296" s="271" t="str">
        <f>IF(AND(ISNUMBER(I296),ISNUMBER(J296)),I296*J296,"")</f>
        <v/>
      </c>
      <c r="L296" s="246" t="str">
        <f>IF(COUNT(F296,I296)=0,"",N(F296)-N(I296))</f>
        <v/>
      </c>
      <c r="M296" s="247" t="str">
        <f>IF(COUNT(H296,K296)=0,"",N(K296)-N(H296))</f>
        <v/>
      </c>
      <c r="N296" s="246" t="str">
        <f>IF(AND(ISNUMBER(F296),ISNUMBER(G296),F296&gt;0,1-N(Ввод!$J$19)/100&gt;0),G296/(1-N(Ввод!$J$19)/100),IF(AND(ISNUMBER(I296),ISNUMBER(J296),I296&gt;0),J296/(1+N(Ввод!$J$19)/100),""))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71" t="str">
        <f>IF(AND(ISNUMBER(F297),ISNUMBER(G297)),F297*G297,"")</f>
        <v/>
      </c>
      <c r="I297" s="240" t="n"/>
      <c r="J297" s="177" t="n"/>
      <c r="K297" s="271" t="str">
        <f>IF(AND(ISNUMBER(I297),ISNUMBER(J297)),I297*J297,"")</f>
        <v/>
      </c>
      <c r="L297" s="240" t="str">
        <f>IF(COUNT(F297,I297)=0,"",N(F297)-N(I297))</f>
        <v/>
      </c>
      <c r="M297" s="241" t="str">
        <f>IF(COUNT(H297,K297)=0,"",N(K297)-N(H297))</f>
        <v/>
      </c>
      <c r="N297" s="240" t="str">
        <f>IF(AND(ISNUMBER(F297),ISNUMBER(G297),F297&gt;0,1-N(Ввод!$J$19)/100&gt;0),G297/(1-N(Ввод!$J$19)/100),IF(AND(ISNUMBER(I297),ISNUMBER(J297),I297&gt;0),J297/(1+N(Ввод!$J$19)/100),""))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71" t="str">
        <f>IF(AND(ISNUMBER(F298),ISNUMBER(G298)),F298*G298,"")</f>
        <v/>
      </c>
      <c r="I298" s="246" t="n"/>
      <c r="J298" s="183" t="n"/>
      <c r="K298" s="271" t="str">
        <f>IF(AND(ISNUMBER(I298),ISNUMBER(J298)),I298*J298,"")</f>
        <v/>
      </c>
      <c r="L298" s="246" t="str">
        <f>IF(COUNT(F298,I298)=0,"",N(F298)-N(I298))</f>
        <v/>
      </c>
      <c r="M298" s="247" t="str">
        <f>IF(COUNT(H298,K298)=0,"",N(K298)-N(H298))</f>
        <v/>
      </c>
      <c r="N298" s="246" t="str">
        <f>IF(AND(ISNUMBER(F298),ISNUMBER(G298),F298&gt;0,1-N(Ввод!$J$19)/100&gt;0),G298/(1-N(Ввод!$J$19)/100),IF(AND(ISNUMBER(I298),ISNUMBER(J298),I298&gt;0),J298/(1+N(Ввод!$J$19)/100),""))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71" t="str">
        <f>IF(AND(ISNUMBER(F299),ISNUMBER(G299)),F299*G299,"")</f>
        <v/>
      </c>
      <c r="I299" s="240" t="n"/>
      <c r="J299" s="177" t="n"/>
      <c r="K299" s="271" t="str">
        <f>IF(AND(ISNUMBER(I299),ISNUMBER(J299)),I299*J299,"")</f>
        <v/>
      </c>
      <c r="L299" s="240" t="str">
        <f>IF(COUNT(F299,I299)=0,"",N(F299)-N(I299))</f>
        <v/>
      </c>
      <c r="M299" s="241" t="str">
        <f>IF(COUNT(H299,K299)=0,"",N(K299)-N(H299))</f>
        <v/>
      </c>
      <c r="N299" s="240" t="str">
        <f>IF(AND(ISNUMBER(F299),ISNUMBER(G299),F299&gt;0,1-N(Ввод!$J$19)/100&gt;0),G299/(1-N(Ввод!$J$19)/100),IF(AND(ISNUMBER(I299),ISNUMBER(J299),I299&gt;0),J299/(1+N(Ввод!$J$19)/100),""))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71" t="str">
        <f>IF(AND(ISNUMBER(F300),ISNUMBER(G300)),F300*G300,"")</f>
        <v/>
      </c>
      <c r="I300" s="246" t="n"/>
      <c r="J300" s="183" t="n"/>
      <c r="K300" s="271" t="str">
        <f>IF(AND(ISNUMBER(I300),ISNUMBER(J300)),I300*J300,"")</f>
        <v/>
      </c>
      <c r="L300" s="246" t="str">
        <f>IF(COUNT(F300,I300)=0,"",N(F300)-N(I300))</f>
        <v/>
      </c>
      <c r="M300" s="247" t="str">
        <f>IF(COUNT(H300,K300)=0,"",N(K300)-N(H300))</f>
        <v/>
      </c>
      <c r="N300" s="246" t="str">
        <f>IF(AND(ISNUMBER(F300),ISNUMBER(G300),F300&gt;0,1-N(Ввод!$J$19)/100&gt;0),G300/(1-N(Ввод!$J$19)/100),IF(AND(ISNUMBER(I300),ISNUMBER(J300),I300&gt;0),J300/(1+N(Ввод!$J$19)/100),""))</f>
        <v/>
      </c>
    </row>
  </sheetData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BNB/USDT</t>
        </is>
      </c>
      <c r="C5" s="240">
        <f>IF(SUMIFS(Торговля!$F$5:$F$300,Торговля!$E$5:$E$300,$B5)+SUMIFS(Закрытые!$F$5:$F$300,Закрытые!$E$5:$E$300,$B5,Закрытые!$B$5:$B$300,"T-*")=0,"",SUMIFS(Торговля!$F$5:$F$300,Торговля!$E$5:$E$300,$B5)+SUMIFS(Закрытые!$F$5:$F$300,Закрытые!$E$5:$E$300,$B5,Закрытые!$B$5:$B$300,"T-*"))</f>
        <v>2</v>
      </c>
      <c r="D5" s="177">
        <f>IF(C5="","",(SUMPRODUCT((Торговля!$E$5:$E$300=$B5)*Торговля!$F$5:$F$300*Торговля!$G$5:$G$300)+SUMPRODUCT((Закрытые!$E$5:$E$300=$B5)*(LEFT(Закрытые!$B$5:$B$300,2)="T-")*Закрытые!$F$5:$F$300*Закрытые!$G$5:$G$300))/C5)</f>
        <v>586.17</v>
      </c>
      <c r="E5" s="241">
        <f>IF(C5="","",SUMIFS(Торговля!$H$5:$H$300,Торговля!$E$5:$E$300,$B5)+SUMIFS(Закрытые!$H$5:$H$300,Закрытые!$E$5:$E$300,$B5,Закрытые!$B$5:$B$300,"T-*"))</f>
        <v>1172.34</v>
      </c>
      <c r="F5" s="240">
        <f>IF(SUMIFS(Торговля!$I$5:$I$300,Торговля!$E$5:$E$300,$B5)+SUMIFS(Закрытые!$I$5:$I$300,Закрытые!$E$5:$E$300,$B5,Закрытые!$B$5:$B$300,"T-*")=0,"",SUMIFS(Торговля!$I$5:$I$300,Торговля!$E$5:$E$300,$B5)+SUMIFS(Закрытые!$I$5:$I$300,Закрытые!$E$5:$E$300,$B5,Закрытые!$B$5:$B$300,"T-*"))</f>
        <v>5</v>
      </c>
      <c r="G5" s="177">
        <f>IF(F5="","",(SUMPRODUCT((Торговля!$E$5:$E$300=$B5)*Торговля!$I$5:$I$300*Торговля!$J$5:$J$300)+SUMPRODUCT((Закрытые!$E$5:$E$300=$B5)*(LEFT(Закрытые!$B$5:$B$300,2)="T-")*Закрытые!$I$5:$I$300*Закрытые!$J$5:$J$300))/F5)</f>
        <v>598.8</v>
      </c>
      <c r="H5" s="241">
        <f>IF(F5="","",SUMIFS(Торговля!$K$5:$K$300,Торговля!$E$5:$E$300,$B5)+SUMIFS(Закрытые!$K$5:$K$300,Закрытые!$E$5:$E$300,$B5,Закрытые!$B$5:$B$300,"T-*"))</f>
        <v>2994</v>
      </c>
      <c r="I5" s="240">
        <f>IF($B5="","",IF(COUNTIFS(Торговля!$E$5:$E$300,$B5)+COUNTIFS(Закрытые!$E$5:$E$300,$B5,Закрытые!$B$5:$B$300,"T-*")=0,"",ROUND(SUMIFS(Торговля!$L$5:$L$300,Торговля!$E$5:$E$300,$B5)+SUMIFS(Закрытые!$L$5:$L$300,Закрытые!$E$5:$E$300,$B5,Закрытые!$B$5:$B$300,"T-*"),8)))</f>
        <v>-3</v>
      </c>
      <c r="J5" s="241">
        <f>IF($B5="","",IF(COUNTIFS(Торговля!$E$5:$E$300,$B5)+COUNTIFS(Закрытые!$E$5:$E$300,$B5,Закрытые!$B$5:$B$300,"T-*")=0,"",ROUND(SUMIFS(Торговля!$M$5:$M$300,Торговля!$E$5:$E$300,$B5)+SUMIFS(Закрытые!$M$5:$M$300,Закрытые!$E$5:$E$300,$B5,Закрытые!$B$5:$B$300,"T-*"),8)))</f>
        <v>1821.66</v>
      </c>
      <c r="K5" s="240">
        <f>IF(MIN(N(C5),N(F5))&lt;=0,"",ROUND(MIN(N(C5),N(F5))*(N(G5)-N(D5)),8))</f>
        <v>25.26</v>
      </c>
      <c r="L5" s="177">
        <f>IF(MIN(N(C5),N(F5))&lt;=0,"",IF(N(D5)=0,"",ROUND((N(G5)/N(D5)-1)*100,2)))</f>
        <v>2.15</v>
      </c>
      <c r="M5" s="177">
        <f>IF(OR(ROUND(N(C5)-N(F5),8)=0,1-N(Ввод!$J$19)/100&lt;=0),"",IF(N(C5)&gt;N(F5),(N(E5)-N(H5))/((N(C5)-N(F5))*(1-N(Ввод!$J$19)/100)),(N(H5)-N(E5))/((N(F5)-N(C5))*(1+N(Ввод!$J$19)/100))))</f>
        <v>606.007984031936</v>
      </c>
    </row>
    <row r="6" ht="22" customHeight="1">
      <c r="B6" s="245" t="inlineStr">
        <is>
          <t>BTC/USDT</t>
        </is>
      </c>
      <c r="C6" s="246">
        <f>IF(SUMIFS(Торговля!$F$5:$F$300,Торговля!$E$5:$E$300,$B6)+SUMIFS(Закрытые!$F$5:$F$300,Закрытые!$E$5:$E$300,$B6,Закрытые!$B$5:$B$300,"T-*")=0,"",SUMIFS(Торговля!$F$5:$F$300,Торговля!$E$5:$E$300,$B6)+SUMIFS(Закрытые!$F$5:$F$300,Закрытые!$E$5:$E$300,$B6,Закрытые!$B$5:$B$300,"T-*"))</f>
        <v>0.15</v>
      </c>
      <c r="D6" s="183">
        <f>IF(C6="","",(SUMPRODUCT((Торговля!$E$5:$E$300=$B6)*Торговля!$F$5:$F$300*Торговля!$G$5:$G$300)+SUMPRODUCT((Закрытые!$E$5:$E$300=$B6)*(LEFT(Закрытые!$B$5:$B$300,2)="T-")*Закрытые!$F$5:$F$300*Закрытые!$G$5:$G$300))/C6)</f>
        <v>62190.8</v>
      </c>
      <c r="E6" s="247">
        <f>IF(C6="","",SUMIFS(Торговля!$H$5:$H$300,Торговля!$E$5:$E$300,$B6)+SUMIFS(Закрытые!$H$5:$H$300,Закрытые!$E$5:$E$300,$B6,Закрытые!$B$5:$B$300,"T-*"))</f>
        <v>9328.62</v>
      </c>
      <c r="F6" s="246">
        <f>IF(SUMIFS(Торговля!$I$5:$I$300,Торговля!$E$5:$E$300,$B6)+SUMIFS(Закрытые!$I$5:$I$300,Закрытые!$E$5:$E$300,$B6,Закрытые!$B$5:$B$300,"T-*")=0,"",SUMIFS(Торговля!$I$5:$I$300,Торговля!$E$5:$E$300,$B6)+SUMIFS(Закрытые!$I$5:$I$300,Закрытые!$E$5:$E$300,$B6,Закрытые!$B$5:$B$300,"T-*"))</f>
        <v>0.05</v>
      </c>
      <c r="G6" s="183">
        <f>IF(F6="","",(SUMPRODUCT((Торговля!$E$5:$E$300=$B6)*Торговля!$I$5:$I$300*Торговля!$J$5:$J$300)+SUMPRODUCT((Закрытые!$E$5:$E$300=$B6)*(LEFT(Закрытые!$B$5:$B$300,2)="T-")*Закрытые!$I$5:$I$300*Закрытые!$J$5:$J$300))/F6)</f>
        <v>62874</v>
      </c>
      <c r="H6" s="247">
        <f>IF(F6="","",SUMIFS(Торговля!$K$5:$K$300,Торговля!$E$5:$E$300,$B6)+SUMIFS(Закрытые!$K$5:$K$300,Закрытые!$E$5:$E$300,$B6,Закрытые!$B$5:$B$300,"T-*"))</f>
        <v>3143.7</v>
      </c>
      <c r="I6" s="246">
        <f>IF($B6="","",IF(COUNTIFS(Торговля!$E$5:$E$300,$B6)+COUNTIFS(Закрытые!$E$5:$E$300,$B6,Закрытые!$B$5:$B$300,"T-*")=0,"",ROUND(SUMIFS(Торговля!$L$5:$L$300,Торговля!$E$5:$E$300,$B6)+SUMIFS(Закрытые!$L$5:$L$300,Закрытые!$E$5:$E$300,$B6,Закрытые!$B$5:$B$300,"T-*"),8)))</f>
        <v>0.1</v>
      </c>
      <c r="J6" s="247">
        <f>IF($B6="","",IF(COUNTIFS(Торговля!$E$5:$E$300,$B6)+COUNTIFS(Закрытые!$E$5:$E$300,$B6,Закрытые!$B$5:$B$300,"T-*")=0,"",ROUND(SUMIFS(Торговля!$M$5:$M$300,Торговля!$E$5:$E$300,$B6)+SUMIFS(Закрытые!$M$5:$M$300,Закрытые!$E$5:$E$300,$B6,Закрытые!$B$5:$B$300,"T-*"),8)))</f>
        <v>-6184.92</v>
      </c>
      <c r="K6" s="246">
        <f>IF(MIN(N(C6),N(F6))&lt;=0,"",ROUND(MIN(N(C6),N(F6))*(N(G6)-N(D6)),8))</f>
        <v>34.16</v>
      </c>
      <c r="L6" s="183">
        <f>IF(MIN(N(C6),N(F6))&lt;=0,"",IF(N(D6)=0,"",ROUND((N(G6)/N(D6)-1)*100,2)))</f>
        <v>1.1</v>
      </c>
      <c r="M6" s="183">
        <f>IF(OR(ROUND(N(C6)-N(F6),8)=0,1-N(Ввод!$J$19)/100&lt;=0),"",IF(N(C6)&gt;N(F6),(N(E6)-N(H6))/((N(C6)-N(F6))*(1-N(Ввод!$J$19)/100)),(N(H6)-N(E6))/((N(F6)-N(C6))*(1+N(Ввод!$J$19)/100))))</f>
        <v>61973.1462925852</v>
      </c>
    </row>
    <row r="7" ht="22" customHeight="1">
      <c r="B7" s="239" t="inlineStr">
        <is>
          <t>ETH/BTC</t>
        </is>
      </c>
      <c r="C7" s="240" t="str">
        <f>IF(SUMIFS(Торговля!$F$5:$F$300,Торговля!$E$5:$E$300,$B7)+SUMIFS(Закрытые!$F$5:$F$300,Закрытые!$E$5:$E$300,$B7,Закрытые!$B$5:$B$300,"T-*")=0,"",SUMIFS(Торговля!$F$5:$F$300,Торговля!$E$5:$E$300,$B7)+SUMIFS(Закрытые!$F$5:$F$300,Закрытые!$E$5:$E$300,$B7,Закрытые!$B$5:$B$300,"T-*"))</f>
        <v/>
      </c>
      <c r="D7" s="177" t="str">
        <f>IF(C7="","",(SUMPRODUCT((Торговля!$E$5:$E$300=$B7)*Торговля!$F$5:$F$300*Торговля!$G$5:$G$300)+SUMPRODUCT((Закрытые!$E$5:$E$300=$B7)*(LEFT(Закрытые!$B$5:$B$300,2)="T-")*Закрытые!$F$5:$F$300*Закрытые!$G$5:$G$300))/C7)</f>
        <v/>
      </c>
      <c r="E7" s="241" t="str">
        <f>IF(C7="","",SUMIFS(Торговля!$H$5:$H$300,Торговля!$E$5:$E$300,$B7)+SUMIFS(Закрытые!$H$5:$H$300,Закрытые!$E$5:$E$300,$B7,Закрытые!$B$5:$B$300,"T-*"))</f>
        <v/>
      </c>
      <c r="F7" s="240">
        <f>IF(SUMIFS(Торговля!$I$5:$I$300,Торговля!$E$5:$E$300,$B7)+SUMIFS(Закрытые!$I$5:$I$300,Закрытые!$E$5:$E$300,$B7,Закрытые!$B$5:$B$300,"T-*")=0,"",SUMIFS(Торговля!$I$5:$I$300,Торговля!$E$5:$E$300,$B7)+SUMIFS(Закрытые!$I$5:$I$300,Закрытые!$E$5:$E$300,$B7,Закрытые!$B$5:$B$300,"T-*"))</f>
        <v>1.5</v>
      </c>
      <c r="G7" s="177">
        <f>IF(F7="","",(SUMPRODUCT((Торговля!$E$5:$E$300=$B7)*Торговля!$I$5:$I$300*Торговля!$J$5:$J$300)+SUMPRODUCT((Закрытые!$E$5:$E$300=$B7)*(LEFT(Закрытые!$B$5:$B$300,2)="T-")*Закрытые!$I$5:$I$300*Закрытые!$J$5:$J$300))/F7)</f>
        <v>0.052395</v>
      </c>
      <c r="H7" s="241">
        <f>IF(F7="","",SUMIFS(Торговля!$K$5:$K$300,Торговля!$E$5:$E$300,$B7)+SUMIFS(Закрытые!$K$5:$K$300,Закрытые!$E$5:$E$300,$B7,Закрытые!$B$5:$B$300,"T-*"))</f>
        <v>0.0785925</v>
      </c>
      <c r="I7" s="240">
        <f>IF($B7="","",IF(COUNTIFS(Торговля!$E$5:$E$300,$B7)+COUNTIFS(Закрытые!$E$5:$E$300,$B7,Закрытые!$B$5:$B$300,"T-*")=0,"",ROUND(SUMIFS(Торговля!$L$5:$L$300,Торговля!$E$5:$E$300,$B7)+SUMIFS(Закрытые!$L$5:$L$300,Закрытые!$E$5:$E$300,$B7,Закрытые!$B$5:$B$300,"T-*"),8)))</f>
        <v>-1.5</v>
      </c>
      <c r="J7" s="241">
        <f>IF($B7="","",IF(COUNTIFS(Торговля!$E$5:$E$300,$B7)+COUNTIFS(Закрытые!$E$5:$E$300,$B7,Закрытые!$B$5:$B$300,"T-*")=0,"",ROUND(SUMIFS(Торговля!$M$5:$M$300,Торговля!$E$5:$E$300,$B7)+SUMIFS(Закрытые!$M$5:$M$300,Закрытые!$E$5:$E$300,$B7,Закрытые!$B$5:$B$300,"T-*"),8)))</f>
        <v>0.0785925</v>
      </c>
      <c r="K7" s="240" t="str">
        <f>IF(MIN(N(C7),N(F7))&lt;=0,"",ROUND(MIN(N(C7),N(F7))*(N(G7)-N(D7)),8))</f>
        <v/>
      </c>
      <c r="L7" s="177" t="str">
        <f>IF(MIN(N(C7),N(F7))&lt;=0,"",IF(N(D7)=0,"",ROUND((N(G7)/N(D7)-1)*100,2)))</f>
        <v/>
      </c>
      <c r="M7" s="177">
        <f>IF(OR(ROUND(N(C7)-N(F7),8)=0,1-N(Ввод!$J$19)/100&lt;=0),"",IF(N(C7)&gt;N(F7),(N(E7)-N(H7))/((N(C7)-N(F7))*(1-N(Ввод!$J$19)/100)),(N(H7)-N(E7))/((N(F7)-N(C7))*(1+N(Ввод!$J$19)/100))))</f>
        <v>0.0522904191616766</v>
      </c>
    </row>
    <row r="8" ht="22" customHeight="1">
      <c r="B8" s="245" t="inlineStr">
        <is>
          <t>ETH/USDT</t>
        </is>
      </c>
      <c r="C8" s="246">
        <f>IF(SUMIFS(Торговля!$F$5:$F$300,Торговля!$E$5:$E$300,$B8)+SUMIFS(Закрытые!$F$5:$F$300,Закрытые!$E$5:$E$300,$B8,Закрытые!$B$5:$B$300,"T-*")=0,"",SUMIFS(Торговля!$F$5:$F$300,Торговля!$E$5:$E$300,$B8)+SUMIFS(Закрытые!$F$5:$F$300,Закрытые!$E$5:$E$300,$B8,Закрытые!$B$5:$B$300,"T-*"))</f>
        <v>4</v>
      </c>
      <c r="D8" s="183">
        <f>IF(C8="","",(SUMPRODUCT((Торговля!$E$5:$E$300=$B8)*Торговля!$F$5:$F$300*Торговля!$G$5:$G$300)+SUMPRODUCT((Закрытые!$E$5:$E$300=$B8)*(LEFT(Закрытые!$B$5:$B$300,2)="T-")*Закрытые!$F$5:$F$300*Закрытые!$G$5:$G$300))/C8)</f>
        <v>3210.408</v>
      </c>
      <c r="E8" s="247">
        <f>IF(C8="","",SUMIFS(Торговля!$H$5:$H$300,Торговля!$E$5:$E$300,$B8)+SUMIFS(Закрытые!$H$5:$H$300,Закрытые!$E$5:$E$300,$B8,Закрытые!$B$5:$B$300,"T-*"))</f>
        <v>12841.632</v>
      </c>
      <c r="F8" s="246">
        <f>IF(SUMIFS(Торговля!$I$5:$I$300,Торговля!$E$5:$E$300,$B8)+SUMIFS(Закрытые!$I$5:$I$300,Закрытые!$E$5:$E$300,$B8,Закрытые!$B$5:$B$300,"T-*")=0,"",SUMIFS(Торговля!$I$5:$I$300,Торговля!$E$5:$E$300,$B8)+SUMIFS(Закрытые!$I$5:$I$300,Закрытые!$E$5:$E$300,$B8,Закрытые!$B$5:$B$300,"T-*"))</f>
        <v>2.5</v>
      </c>
      <c r="G8" s="183">
        <f>IF(F8="","",(SUMPRODUCT((Торговля!$E$5:$E$300=$B8)*Торговля!$I$5:$I$300*Торговля!$J$5:$J$300)+SUMPRODUCT((Закрытые!$E$5:$E$300=$B8)*(LEFT(Закрытые!$B$5:$B$300,2)="T-")*Закрытые!$I$5:$I$300*Закрытые!$J$5:$J$300))/F8)</f>
        <v>3373.24</v>
      </c>
      <c r="H8" s="247">
        <f>IF(F8="","",SUMIFS(Торговля!$K$5:$K$300,Торговля!$E$5:$E$300,$B8)+SUMIFS(Закрытые!$K$5:$K$300,Закрытые!$E$5:$E$300,$B8,Закрытые!$B$5:$B$300,"T-*"))</f>
        <v>8433.1</v>
      </c>
      <c r="I8" s="246">
        <f>IF($B8="","",IF(COUNTIFS(Торговля!$E$5:$E$300,$B8)+COUNTIFS(Закрытые!$E$5:$E$300,$B8,Закрытые!$B$5:$B$300,"T-*")=0,"",ROUND(SUMIFS(Торговля!$L$5:$L$300,Торговля!$E$5:$E$300,$B8)+SUMIFS(Закрытые!$L$5:$L$300,Закрытые!$E$5:$E$300,$B8,Закрытые!$B$5:$B$300,"T-*"),8)))</f>
        <v>1.5</v>
      </c>
      <c r="J8" s="247">
        <f>IF($B8="","",IF(COUNTIFS(Торговля!$E$5:$E$300,$B8)+COUNTIFS(Закрытые!$E$5:$E$300,$B8,Закрытые!$B$5:$B$300,"T-*")=0,"",ROUND(SUMIFS(Торговля!$M$5:$M$300,Торговля!$E$5:$E$300,$B8)+SUMIFS(Закрытые!$M$5:$M$300,Закрытые!$E$5:$E$300,$B8,Закрытые!$B$5:$B$300,"T-*"),8)))</f>
        <v>-4408.532</v>
      </c>
      <c r="K8" s="246">
        <f>IF(MIN(N(C8),N(F8))&lt;=0,"",ROUND(MIN(N(C8),N(F8))*(N(G8)-N(D8)),8))</f>
        <v>407.08</v>
      </c>
      <c r="L8" s="183">
        <f>IF(MIN(N(C8),N(F8))&lt;=0,"",IF(N(D8)=0,"",ROUND((N(G8)/N(D8)-1)*100,2)))</f>
        <v>5.07</v>
      </c>
      <c r="M8" s="183">
        <f>IF(OR(ROUND(N(C8)-N(F8),8)=0,1-N(Ввод!$J$19)/100&lt;=0),"",IF(N(C8)&gt;N(F8),(N(E8)-N(H8))/((N(C8)-N(F8))*(1-N(Ввод!$J$19)/100)),(N(H8)-N(E8))/((N(F8)-N(C8))*(1+N(Ввод!$J$19)/100))))</f>
        <v>2944.91115564462</v>
      </c>
    </row>
    <row r="9" ht="22" customHeight="1">
      <c r="B9" s="239" t="inlineStr">
        <is>
          <t>SOL/USDT</t>
        </is>
      </c>
      <c r="C9" s="240">
        <f>IF(SUMIFS(Торговля!$F$5:$F$300,Торговля!$E$5:$E$300,$B9)+SUMIFS(Закрытые!$F$5:$F$300,Закрытые!$E$5:$E$300,$B9,Закрытые!$B$5:$B$300,"T-*")=0,"",SUMIFS(Торговля!$F$5:$F$300,Торговля!$E$5:$E$300,$B9)+SUMIFS(Закрытые!$F$5:$F$300,Закрытые!$E$5:$E$300,$B9,Закрытые!$B$5:$B$300,"T-*"))</f>
        <v>45</v>
      </c>
      <c r="D9" s="177">
        <f>IF(C9="","",(SUMPRODUCT((Торговля!$E$5:$E$300=$B9)*Торговля!$F$5:$F$300*Торговля!$G$5:$G$300)+SUMPRODUCT((Закрытые!$E$5:$E$300=$B9)*(LEFT(Закрытые!$B$5:$B$300,2)="T-")*Закрытые!$F$5:$F$300*Закрытые!$G$5:$G$300))/C9)</f>
        <v>145.846666666667</v>
      </c>
      <c r="E9" s="241">
        <f>IF(C9="","",SUMIFS(Торговля!$H$5:$H$300,Торговля!$E$5:$E$300,$B9)+SUMIFS(Закрытые!$H$5:$H$300,Закрытые!$E$5:$E$300,$B9,Закрытые!$B$5:$B$300,"T-*"))</f>
        <v>6563.1</v>
      </c>
      <c r="F9" s="240">
        <f>IF(SUMIFS(Торговля!$I$5:$I$300,Торговля!$E$5:$E$300,$B9)+SUMIFS(Закрытые!$I$5:$I$300,Закрытые!$E$5:$E$300,$B9,Закрытые!$B$5:$B$300,"T-*")=0,"",SUMIFS(Торговля!$I$5:$I$300,Торговля!$E$5:$E$300,$B9)+SUMIFS(Закрытые!$I$5:$I$300,Закрытые!$E$5:$E$300,$B9,Закрытые!$B$5:$B$300,"T-*"))</f>
        <v>60</v>
      </c>
      <c r="G9" s="177">
        <f>IF(F9="","",(SUMPRODUCT((Торговля!$E$5:$E$300=$B9)*Торговля!$I$5:$I$300*Торговля!$J$5:$J$300)+SUMPRODUCT((Закрытые!$E$5:$E$300=$B9)*(LEFT(Закрытые!$B$5:$B$300,2)="T-")*Закрытые!$I$5:$I$300*Закрытые!$J$5:$J$300))/F9)</f>
        <v>150.698</v>
      </c>
      <c r="H9" s="241">
        <f>IF(F9="","",SUMIFS(Торговля!$K$5:$K$300,Торговля!$E$5:$E$300,$B9)+SUMIFS(Закрытые!$K$5:$K$300,Закрытые!$E$5:$E$300,$B9,Закрытые!$B$5:$B$300,"T-*"))</f>
        <v>9041.88</v>
      </c>
      <c r="I9" s="240">
        <f>IF($B9="","",IF(COUNTIFS(Торговля!$E$5:$E$300,$B9)+COUNTIFS(Закрытые!$E$5:$E$300,$B9,Закрытые!$B$5:$B$300,"T-*")=0,"",ROUND(SUMIFS(Торговля!$L$5:$L$300,Торговля!$E$5:$E$300,$B9)+SUMIFS(Закрытые!$L$5:$L$300,Закрытые!$E$5:$E$300,$B9,Закрытые!$B$5:$B$300,"T-*"),8)))</f>
        <v>-15</v>
      </c>
      <c r="J9" s="241">
        <f>IF($B9="","",IF(COUNTIFS(Торговля!$E$5:$E$300,$B9)+COUNTIFS(Закрытые!$E$5:$E$300,$B9,Закрытые!$B$5:$B$300,"T-*")=0,"",ROUND(SUMIFS(Торговля!$M$5:$M$300,Торговля!$E$5:$E$300,$B9)+SUMIFS(Закрытые!$M$5:$M$300,Закрытые!$E$5:$E$300,$B9,Закрытые!$B$5:$B$300,"T-*"),8)))</f>
        <v>2478.78</v>
      </c>
      <c r="K9" s="240">
        <f>IF(MIN(N(C9),N(F9))&lt;=0,"",ROUND(MIN(N(C9),N(F9))*(N(G9)-N(D9)),8))</f>
        <v>218.31</v>
      </c>
      <c r="L9" s="177">
        <f>IF(MIN(N(C9),N(F9))&lt;=0,"",IF(N(D9)=0,"",ROUND((N(G9)/N(D9)-1)*100,2)))</f>
        <v>3.33</v>
      </c>
      <c r="M9" s="177">
        <f>IF(OR(ROUND(N(C9)-N(F9),8)=0,1-N(Ввод!$J$19)/100&lt;=0),"",IF(N(C9)&gt;N(F9),(N(E9)-N(H9))/((N(C9)-N(F9))*(1-N(Ввод!$J$19)/100)),(N(H9)-N(E9))/((N(F9)-N(C9))*(1+N(Ввод!$J$19)/100))))</f>
        <v>164.922155688623</v>
      </c>
    </row>
    <row r="10" ht="22" customHeight="1">
      <c r="B10" s="245" t="n"/>
      <c r="C10" s="246" t="str">
        <f>IF(SUMIFS(Торговля!$F$5:$F$300,Торговля!$E$5:$E$300,$B10)+SUMIFS(Закрытые!$F$5:$F$300,Закрытые!$E$5:$E$300,$B10,Закрытые!$B$5:$B$300,"T-*")=0,"",SUMIFS(Торговля!$F$5:$F$300,Торговля!$E$5:$E$300,$B10)+SUMIFS(Закрытые!$F$5:$F$300,Закрытые!$E$5:$E$300,$B10,Закрытые!$B$5:$B$300,"T-*"))</f>
        <v/>
      </c>
      <c r="D10" s="183" t="str">
        <f>IF(C10="","",(SUMPRODUCT((Торговля!$E$5:$E$300=$B10)*Торговля!$F$5:$F$300*Торговля!$G$5:$G$300)+SUMPRODUCT((Закрытые!$E$5:$E$300=$B10)*(LEFT(Закрытые!$B$5:$B$300,2)="T-")*Закрытые!$F$5:$F$300*Закрытые!$G$5:$G$300))/C10)</f>
        <v/>
      </c>
      <c r="E10" s="247" t="str">
        <f>IF(C10="","",SUMIFS(Торговля!$H$5:$H$300,Торговля!$E$5:$E$300,$B10)+SUMIFS(Закрытые!$H$5:$H$300,Закрытые!$E$5:$E$300,$B10,Закрытые!$B$5:$B$300,"T-*"))</f>
        <v/>
      </c>
      <c r="F10" s="246" t="str">
        <f>IF(SUMIFS(Торговля!$I$5:$I$300,Торговля!$E$5:$E$300,$B10)+SUMIFS(Закрытые!$I$5:$I$300,Закрытые!$E$5:$E$300,$B10,Закрытые!$B$5:$B$300,"T-*")=0,"",SUMIFS(Торговля!$I$5:$I$300,Торговля!$E$5:$E$300,$B10)+SUMIFS(Закрытые!$I$5:$I$300,Закрытые!$E$5:$E$300,$B10,Закрытые!$B$5:$B$300,"T-*"))</f>
        <v/>
      </c>
      <c r="G10" s="183" t="str">
        <f>IF(F10="","",(SUMPRODUCT((Торговля!$E$5:$E$300=$B10)*Торговля!$I$5:$I$300*Торговля!$J$5:$J$300)+SUMPRODUCT((Закрытые!$E$5:$E$300=$B10)*(LEFT(Закрытые!$B$5:$B$300,2)="T-")*Закрытые!$I$5:$I$300*Закрытые!$J$5:$J$300))/F10)</f>
        <v/>
      </c>
      <c r="H10" s="247" t="str">
        <f>IF(F10="","",SUMIFS(Торговля!$K$5:$K$300,Торговля!$E$5:$E$300,$B10)+SUMIFS(Закрытые!$K$5:$K$300,Закрытые!$E$5:$E$300,$B10,Закрытые!$B$5:$B$300,"T-*"))</f>
        <v/>
      </c>
      <c r="I10" s="246" t="str">
        <f>IF($B10="","",IF(COUNTIFS(Торговля!$E$5:$E$300,$B10)+COUNTIFS(Закрытые!$E$5:$E$300,$B10,Закрытые!$B$5:$B$300,"T-*")=0,"",ROUND(SUMIFS(Торговля!$L$5:$L$300,Торговля!$E$5:$E$300,$B10)+SUMIFS(Закрытые!$L$5:$L$300,Закрытые!$E$5:$E$300,$B10,Закрытые!$B$5:$B$300,"T-*"),8)))</f>
        <v/>
      </c>
      <c r="J10" s="247" t="str">
        <f>IF($B10="","",IF(COUNTIFS(Торговля!$E$5:$E$300,$B10)+COUNTIFS(Закрытые!$E$5:$E$300,$B10,Закрытые!$B$5:$B$300,"T-*")=0,"",ROUND(SUMIFS(Торговля!$M$5:$M$300,Торговля!$E$5:$E$300,$B10)+SUMIFS(Закрытые!$M$5:$M$300,Закрытые!$E$5:$E$300,$B10,Закрытые!$B$5:$B$300,"T-*"),8)))</f>
        <v/>
      </c>
      <c r="K10" s="246" t="str">
        <f>IF(MIN(N(C10),N(F10))&lt;=0,"",ROUND(MIN(N(C10),N(F10))*(N(G10)-N(D10)),8))</f>
        <v/>
      </c>
      <c r="L10" s="183" t="str">
        <f>IF(MIN(N(C10),N(F10))&lt;=0,"",IF(N(D10)=0,"",ROUND((N(G10)/N(D10)-1)*100,2)))</f>
        <v/>
      </c>
      <c r="M10" s="183" t="str">
        <f>IF(OR(ROUND(N(C10)-N(F10),8)=0,1-N(Ввод!$J$19)/100&lt;=0),"",IF(N(C10)&gt;N(F10),(N(E10)-N(H10))/((N(C10)-N(F10))*(1-N(Ввод!$J$19)/100)),(N(H10)-N(E10))/((N(F10)-N(C10))*(1+N(Ввод!$J$19)/100))))</f>
        <v/>
      </c>
    </row>
    <row r="11" ht="22" customHeight="1">
      <c r="B11" s="239" t="n"/>
      <c r="C11" s="240" t="str">
        <f>IF(SUMIFS(Торговля!$F$5:$F$300,Торговля!$E$5:$E$300,$B11)+SUMIFS(Закрытые!$F$5:$F$300,Закрытые!$E$5:$E$300,$B11,Закрытые!$B$5:$B$300,"T-*")=0,"",SUMIFS(Торговля!$F$5:$F$300,Торговля!$E$5:$E$300,$B11)+SUMIFS(Закрытые!$F$5:$F$300,Закрытые!$E$5:$E$300,$B11,Закрытые!$B$5:$B$300,"T-*"))</f>
        <v/>
      </c>
      <c r="D11" s="177" t="str">
        <f>IF(C11="","",(SUMPRODUCT((Торговля!$E$5:$E$300=$B11)*Торговля!$F$5:$F$300*Торговля!$G$5:$G$300)+SUMPRODUCT((Закрытые!$E$5:$E$300=$B11)*(LEFT(Закрытые!$B$5:$B$300,2)="T-")*Закрытые!$F$5:$F$300*Закрытые!$G$5:$G$300))/C11)</f>
        <v/>
      </c>
      <c r="E11" s="241" t="str">
        <f>IF(C11="","",SUMIFS(Торговля!$H$5:$H$300,Торговля!$E$5:$E$300,$B11)+SUMIFS(Закрытые!$H$5:$H$300,Закрытые!$E$5:$E$300,$B11,Закрытые!$B$5:$B$300,"T-*"))</f>
        <v/>
      </c>
      <c r="F11" s="240" t="str">
        <f>IF(SUMIFS(Торговля!$I$5:$I$300,Торговля!$E$5:$E$300,$B11)+SUMIFS(Закрытые!$I$5:$I$300,Закрытые!$E$5:$E$300,$B11,Закрытые!$B$5:$B$300,"T-*")=0,"",SUMIFS(Торговля!$I$5:$I$300,Торговля!$E$5:$E$300,$B11)+SUMIFS(Закрытые!$I$5:$I$300,Закрытые!$E$5:$E$300,$B11,Закрытые!$B$5:$B$300,"T-*"))</f>
        <v/>
      </c>
      <c r="G11" s="177" t="str">
        <f>IF(F11="","",(SUMPRODUCT((Торговля!$E$5:$E$300=$B11)*Торговля!$I$5:$I$300*Торговля!$J$5:$J$300)+SUMPRODUCT((Закрытые!$E$5:$E$300=$B11)*(LEFT(Закрытые!$B$5:$B$300,2)="T-")*Закрытые!$I$5:$I$300*Закрытые!$J$5:$J$300))/F11)</f>
        <v/>
      </c>
      <c r="H11" s="241" t="str">
        <f>IF(F11="","",SUMIFS(Торговля!$K$5:$K$300,Торговля!$E$5:$E$300,$B11)+SUMIFS(Закрытые!$K$5:$K$300,Закрытые!$E$5:$E$300,$B11,Закрытые!$B$5:$B$300,"T-*"))</f>
        <v/>
      </c>
      <c r="I11" s="240" t="str">
        <f>IF($B11="","",IF(COUNTIFS(Торговля!$E$5:$E$300,$B11)+COUNTIFS(Закрытые!$E$5:$E$300,$B11,Закрытые!$B$5:$B$300,"T-*")=0,"",ROUND(SUMIFS(Торговля!$L$5:$L$300,Торговля!$E$5:$E$300,$B11)+SUMIFS(Закрытые!$L$5:$L$300,Закрытые!$E$5:$E$300,$B11,Закрытые!$B$5:$B$300,"T-*"),8)))</f>
        <v/>
      </c>
      <c r="J11" s="241" t="str">
        <f>IF($B11="","",IF(COUNTIFS(Торговля!$E$5:$E$300,$B11)+COUNTIFS(Закрытые!$E$5:$E$300,$B11,Закрытые!$B$5:$B$300,"T-*")=0,"",ROUND(SUMIFS(Торговля!$M$5:$M$300,Торговля!$E$5:$E$300,$B11)+SUMIFS(Закрытые!$M$5:$M$300,Закрытые!$E$5:$E$300,$B11,Закрытые!$B$5:$B$300,"T-*"),8)))</f>
        <v/>
      </c>
      <c r="K11" s="240" t="str">
        <f>IF(MIN(N(C11),N(F11))&lt;=0,"",ROUND(MIN(N(C11),N(F11))*(N(G11)-N(D11)),8))</f>
        <v/>
      </c>
      <c r="L11" s="177" t="str">
        <f>IF(MIN(N(C11),N(F11))&lt;=0,"",IF(N(D11)=0,"",ROUND((N(G11)/N(D11)-1)*100,2)))</f>
        <v/>
      </c>
      <c r="M11" s="177" t="str">
        <f>IF(OR(ROUND(N(C11)-N(F11),8)=0,1-N(Ввод!$J$19)/100&lt;=0),"",IF(N(C11)&gt;N(F11),(N(E11)-N(H11))/((N(C11)-N(F11))*(1-N(Ввод!$J$19)/100)),(N(H11)-N(E11))/((N(F11)-N(C11))*(1+N(Ввод!$J$19)/100))))</f>
        <v/>
      </c>
    </row>
    <row r="12" ht="22" customHeight="1">
      <c r="B12" s="245" t="n"/>
      <c r="C12" s="246" t="str">
        <f>IF(SUMIFS(Торговля!$F$5:$F$300,Торговля!$E$5:$E$300,$B12)+SUMIFS(Закрытые!$F$5:$F$300,Закрытые!$E$5:$E$300,$B12,Закрытые!$B$5:$B$300,"T-*")=0,"",SUMIFS(Торговля!$F$5:$F$300,Торговля!$E$5:$E$300,$B12)+SUMIFS(Закрытые!$F$5:$F$300,Закрытые!$E$5:$E$300,$B12,Закрытые!$B$5:$B$300,"T-*"))</f>
        <v/>
      </c>
      <c r="D12" s="183" t="str">
        <f>IF(C12="","",(SUMPRODUCT((Торговля!$E$5:$E$300=$B12)*Торговля!$F$5:$F$300*Торговля!$G$5:$G$300)+SUMPRODUCT((Закрытые!$E$5:$E$300=$B12)*(LEFT(Закрытые!$B$5:$B$300,2)="T-")*Закрытые!$F$5:$F$300*Закрытые!$G$5:$G$300))/C12)</f>
        <v/>
      </c>
      <c r="E12" s="247" t="str">
        <f>IF(C12="","",SUMIFS(Торговля!$H$5:$H$300,Торговля!$E$5:$E$300,$B12)+SUMIFS(Закрытые!$H$5:$H$300,Закрытые!$E$5:$E$300,$B12,Закрытые!$B$5:$B$300,"T-*"))</f>
        <v/>
      </c>
      <c r="F12" s="246" t="str">
        <f>IF(SUMIFS(Торговля!$I$5:$I$300,Торговля!$E$5:$E$300,$B12)+SUMIFS(Закрытые!$I$5:$I$300,Закрытые!$E$5:$E$300,$B12,Закрытые!$B$5:$B$300,"T-*")=0,"",SUMIFS(Торговля!$I$5:$I$300,Торговля!$E$5:$E$300,$B12)+SUMIFS(Закрытые!$I$5:$I$300,Закрытые!$E$5:$E$300,$B12,Закрытые!$B$5:$B$300,"T-*"))</f>
        <v/>
      </c>
      <c r="G12" s="183" t="str">
        <f>IF(F12="","",(SUMPRODUCT((Торговля!$E$5:$E$300=$B12)*Торговля!$I$5:$I$300*Торговля!$J$5:$J$300)+SUMPRODUCT((Закрытые!$E$5:$E$300=$B12)*(LEFT(Закрытые!$B$5:$B$300,2)="T-")*Закрытые!$I$5:$I$300*Закрытые!$J$5:$J$300))/F12)</f>
        <v/>
      </c>
      <c r="H12" s="247" t="str">
        <f>IF(F12="","",SUMIFS(Торговля!$K$5:$K$300,Торговля!$E$5:$E$300,$B12)+SUMIFS(Закрытые!$K$5:$K$300,Закрытые!$E$5:$E$300,$B12,Закрытые!$B$5:$B$300,"T-*"))</f>
        <v/>
      </c>
      <c r="I12" s="246" t="str">
        <f>IF($B12="","",IF(COUNTIFS(Торговля!$E$5:$E$300,$B12)+COUNTIFS(Закрытые!$E$5:$E$300,$B12,Закрытые!$B$5:$B$300,"T-*")=0,"",ROUND(SUMIFS(Торговля!$L$5:$L$300,Торговля!$E$5:$E$300,$B12)+SUMIFS(Закрытые!$L$5:$L$300,Закрытые!$E$5:$E$300,$B12,Закрытые!$B$5:$B$300,"T-*"),8)))</f>
        <v/>
      </c>
      <c r="J12" s="247" t="str">
        <f>IF($B12="","",IF(COUNTIFS(Торговля!$E$5:$E$300,$B12)+COUNTIFS(Закрытые!$E$5:$E$300,$B12,Закрытые!$B$5:$B$300,"T-*")=0,"",ROUND(SUMIFS(Торговля!$M$5:$M$300,Торговля!$E$5:$E$300,$B12)+SUMIFS(Закрытые!$M$5:$M$300,Закрытые!$E$5:$E$300,$B12,Закрытые!$B$5:$B$300,"T-*"),8)))</f>
        <v/>
      </c>
      <c r="K12" s="246" t="str">
        <f>IF(MIN(N(C12),N(F12))&lt;=0,"",ROUND(MIN(N(C12),N(F12))*(N(G12)-N(D12)),8))</f>
        <v/>
      </c>
      <c r="L12" s="183" t="str">
        <f>IF(MIN(N(C12),N(F12))&lt;=0,"",IF(N(D12)=0,"",ROUND((N(G12)/N(D12)-1)*100,2)))</f>
        <v/>
      </c>
      <c r="M12" s="183" t="str">
        <f>IF(OR(ROUND(N(C12)-N(F12),8)=0,1-N(Ввод!$J$19)/100&lt;=0),"",IF(N(C12)&gt;N(F12),(N(E12)-N(H12))/((N(C12)-N(F12))*(1-N(Ввод!$J$19)/100)),(N(H12)-N(E12))/((N(F12)-N(C12))*(1+N(Ввод!$J$19)/100))))</f>
        <v/>
      </c>
    </row>
    <row r="13" ht="22" customHeight="1">
      <c r="B13" s="239" t="n"/>
      <c r="C13" s="240" t="str">
        <f>IF(SUMIFS(Торговля!$F$5:$F$300,Торговля!$E$5:$E$300,$B13)+SUMIFS(Закрытые!$F$5:$F$300,Закрытые!$E$5:$E$300,$B13,Закрытые!$B$5:$B$300,"T-*")=0,"",SUMIFS(Торговля!$F$5:$F$300,Торговля!$E$5:$E$300,$B13)+SUMIFS(Закрытые!$F$5:$F$300,Закрытые!$E$5:$E$300,$B13,Закрытые!$B$5:$B$300,"T-*"))</f>
        <v/>
      </c>
      <c r="D13" s="177" t="str">
        <f>IF(C13="","",(SUMPRODUCT((Торговля!$E$5:$E$300=$B13)*Торговля!$F$5:$F$300*Торговля!$G$5:$G$300)+SUMPRODUCT((Закрытые!$E$5:$E$300=$B13)*(LEFT(Закрытые!$B$5:$B$300,2)="T-")*Закрытые!$F$5:$F$300*Закрытые!$G$5:$G$300))/C13)</f>
        <v/>
      </c>
      <c r="E13" s="241" t="str">
        <f>IF(C13="","",SUMIFS(Торговля!$H$5:$H$300,Торговля!$E$5:$E$300,$B13)+SUMIFS(Закрытые!$H$5:$H$300,Закрытые!$E$5:$E$300,$B13,Закрытые!$B$5:$B$300,"T-*"))</f>
        <v/>
      </c>
      <c r="F13" s="240" t="str">
        <f>IF(SUMIFS(Торговля!$I$5:$I$300,Торговля!$E$5:$E$300,$B13)+SUMIFS(Закрытые!$I$5:$I$300,Закрытые!$E$5:$E$300,$B13,Закрытые!$B$5:$B$300,"T-*")=0,"",SUMIFS(Торговля!$I$5:$I$300,Торговля!$E$5:$E$300,$B13)+SUMIFS(Закрытые!$I$5:$I$300,Закрытые!$E$5:$E$300,$B13,Закрытые!$B$5:$B$300,"T-*"))</f>
        <v/>
      </c>
      <c r="G13" s="177" t="str">
        <f>IF(F13="","",(SUMPRODUCT((Торговля!$E$5:$E$300=$B13)*Торговля!$I$5:$I$300*Торговля!$J$5:$J$300)+SUMPRODUCT((Закрытые!$E$5:$E$300=$B13)*(LEFT(Закрытые!$B$5:$B$300,2)="T-")*Закрытые!$I$5:$I$300*Закрытые!$J$5:$J$300))/F13)</f>
        <v/>
      </c>
      <c r="H13" s="241" t="str">
        <f>IF(F13="","",SUMIFS(Торговля!$K$5:$K$300,Торговля!$E$5:$E$300,$B13)+SUMIFS(Закрытые!$K$5:$K$300,Закрытые!$E$5:$E$300,$B13,Закрытые!$B$5:$B$300,"T-*"))</f>
        <v/>
      </c>
      <c r="I13" s="240" t="str">
        <f>IF($B13="","",IF(COUNTIFS(Торговля!$E$5:$E$300,$B13)+COUNTIFS(Закрытые!$E$5:$E$300,$B13,Закрытые!$B$5:$B$300,"T-*")=0,"",ROUND(SUMIFS(Торговля!$L$5:$L$300,Торговля!$E$5:$E$300,$B13)+SUMIFS(Закрытые!$L$5:$L$300,Закрытые!$E$5:$E$300,$B13,Закрытые!$B$5:$B$300,"T-*"),8)))</f>
        <v/>
      </c>
      <c r="J13" s="241" t="str">
        <f>IF($B13="","",IF(COUNTIFS(Торговля!$E$5:$E$300,$B13)+COUNTIFS(Закрытые!$E$5:$E$300,$B13,Закрытые!$B$5:$B$300,"T-*")=0,"",ROUND(SUMIFS(Торговля!$M$5:$M$300,Торговля!$E$5:$E$300,$B13)+SUMIFS(Закрытые!$M$5:$M$300,Закрытые!$E$5:$E$300,$B13,Закрытые!$B$5:$B$300,"T-*"),8)))</f>
        <v/>
      </c>
      <c r="K13" s="240" t="str">
        <f>IF(MIN(N(C13),N(F13))&lt;=0,"",ROUND(MIN(N(C13),N(F13))*(N(G13)-N(D13)),8))</f>
        <v/>
      </c>
      <c r="L13" s="177" t="str">
        <f>IF(MIN(N(C13),N(F13))&lt;=0,"",IF(N(D13)=0,"",ROUND((N(G13)/N(D13)-1)*100,2)))</f>
        <v/>
      </c>
      <c r="M13" s="177" t="str">
        <f>IF(OR(ROUND(N(C13)-N(F13),8)=0,1-N(Ввод!$J$19)/100&lt;=0),"",IF(N(C13)&gt;N(F13),(N(E13)-N(H13))/((N(C13)-N(F13))*(1-N(Ввод!$J$19)/100)),(N(H13)-N(E13))/((N(F13)-N(C13))*(1+N(Ввод!$J$19)/100))))</f>
        <v/>
      </c>
    </row>
    <row r="14" ht="22" customHeight="1">
      <c r="B14" s="245" t="n"/>
      <c r="C14" s="246" t="str">
        <f>IF(SUMIFS(Торговля!$F$5:$F$300,Торговля!$E$5:$E$300,$B14)+SUMIFS(Закрытые!$F$5:$F$300,Закрытые!$E$5:$E$300,$B14,Закрытые!$B$5:$B$300,"T-*")=0,"",SUMIFS(Торговля!$F$5:$F$300,Торговля!$E$5:$E$300,$B14)+SUMIFS(Закрытые!$F$5:$F$300,Закрытые!$E$5:$E$300,$B14,Закрытые!$B$5:$B$300,"T-*"))</f>
        <v/>
      </c>
      <c r="D14" s="183" t="str">
        <f>IF(C14="","",(SUMPRODUCT((Торговля!$E$5:$E$300=$B14)*Торговля!$F$5:$F$300*Торговля!$G$5:$G$300)+SUMPRODUCT((Закрытые!$E$5:$E$300=$B14)*(LEFT(Закрытые!$B$5:$B$300,2)="T-")*Закрытые!$F$5:$F$300*Закрытые!$G$5:$G$300))/C14)</f>
        <v/>
      </c>
      <c r="E14" s="247" t="str">
        <f>IF(C14="","",SUMIFS(Торговля!$H$5:$H$300,Торговля!$E$5:$E$300,$B14)+SUMIFS(Закрытые!$H$5:$H$300,Закрытые!$E$5:$E$300,$B14,Закрытые!$B$5:$B$300,"T-*"))</f>
        <v/>
      </c>
      <c r="F14" s="246" t="str">
        <f>IF(SUMIFS(Торговля!$I$5:$I$300,Торговля!$E$5:$E$300,$B14)+SUMIFS(Закрытые!$I$5:$I$300,Закрытые!$E$5:$E$300,$B14,Закрытые!$B$5:$B$300,"T-*")=0,"",SUMIFS(Торговля!$I$5:$I$300,Торговля!$E$5:$E$300,$B14)+SUMIFS(Закрытые!$I$5:$I$300,Закрытые!$E$5:$E$300,$B14,Закрытые!$B$5:$B$300,"T-*"))</f>
        <v/>
      </c>
      <c r="G14" s="183" t="str">
        <f>IF(F14="","",(SUMPRODUCT((Торговля!$E$5:$E$300=$B14)*Торговля!$I$5:$I$300*Торговля!$J$5:$J$300)+SUMPRODUCT((Закрытые!$E$5:$E$300=$B14)*(LEFT(Закрытые!$B$5:$B$300,2)="T-")*Закрытые!$I$5:$I$300*Закрытые!$J$5:$J$300))/F14)</f>
        <v/>
      </c>
      <c r="H14" s="247" t="str">
        <f>IF(F14="","",SUMIFS(Торговля!$K$5:$K$300,Торговля!$E$5:$E$300,$B14)+SUMIFS(Закрытые!$K$5:$K$300,Закрытые!$E$5:$E$300,$B14,Закрытые!$B$5:$B$300,"T-*"))</f>
        <v/>
      </c>
      <c r="I14" s="246" t="str">
        <f>IF($B14="","",IF(COUNTIFS(Торговля!$E$5:$E$300,$B14)+COUNTIFS(Закрытые!$E$5:$E$300,$B14,Закрытые!$B$5:$B$300,"T-*")=0,"",ROUND(SUMIFS(Торговля!$L$5:$L$300,Торговля!$E$5:$E$300,$B14)+SUMIFS(Закрытые!$L$5:$L$300,Закрытые!$E$5:$E$300,$B14,Закрытые!$B$5:$B$300,"T-*"),8)))</f>
        <v/>
      </c>
      <c r="J14" s="247" t="str">
        <f>IF($B14="","",IF(COUNTIFS(Торговля!$E$5:$E$300,$B14)+COUNTIFS(Закрытые!$E$5:$E$300,$B14,Закрытые!$B$5:$B$300,"T-*")=0,"",ROUND(SUMIFS(Торговля!$M$5:$M$300,Торговля!$E$5:$E$300,$B14)+SUMIFS(Закрытые!$M$5:$M$300,Закрытые!$E$5:$E$300,$B14,Закрытые!$B$5:$B$300,"T-*"),8)))</f>
        <v/>
      </c>
      <c r="K14" s="246" t="str">
        <f>IF(MIN(N(C14),N(F14))&lt;=0,"",ROUND(MIN(N(C14),N(F14))*(N(G14)-N(D14)),8))</f>
        <v/>
      </c>
      <c r="L14" s="183" t="str">
        <f>IF(MIN(N(C14),N(F14))&lt;=0,"",IF(N(D14)=0,"",ROUND((N(G14)/N(D14)-1)*100,2)))</f>
        <v/>
      </c>
      <c r="M14" s="183" t="str">
        <f>IF(OR(ROUND(N(C14)-N(F14),8)=0,1-N(Ввод!$J$19)/100&lt;=0),"",IF(N(C14)&gt;N(F14),(N(E14)-N(H14))/((N(C14)-N(F14))*(1-N(Ввод!$J$19)/100)),(N(H14)-N(E14))/((N(F14)-N(C14))*(1+N(Ввод!$J$19)/100))))</f>
        <v/>
      </c>
    </row>
    <row r="15" ht="22" customHeight="1">
      <c r="B15" s="239" t="n"/>
      <c r="C15" s="240" t="str">
        <f>IF(SUMIFS(Торговля!$F$5:$F$300,Торговля!$E$5:$E$300,$B15)+SUMIFS(Закрытые!$F$5:$F$300,Закрытые!$E$5:$E$300,$B15,Закрытые!$B$5:$B$300,"T-*")=0,"",SUMIFS(Торговля!$F$5:$F$300,Торговля!$E$5:$E$300,$B15)+SUMIFS(Закрытые!$F$5:$F$300,Закрытые!$E$5:$E$300,$B15,Закрытые!$B$5:$B$300,"T-*"))</f>
        <v/>
      </c>
      <c r="D15" s="177" t="str">
        <f>IF(C15="","",(SUMPRODUCT((Торговля!$E$5:$E$300=$B15)*Торговля!$F$5:$F$300*Торговля!$G$5:$G$300)+SUMPRODUCT((Закрытые!$E$5:$E$300=$B15)*(LEFT(Закрытые!$B$5:$B$300,2)="T-")*Закрытые!$F$5:$F$300*Закрытые!$G$5:$G$300))/C15)</f>
        <v/>
      </c>
      <c r="E15" s="241" t="str">
        <f>IF(C15="","",SUMIFS(Торговля!$H$5:$H$300,Торговля!$E$5:$E$300,$B15)+SUMIFS(Закрытые!$H$5:$H$300,Закрытые!$E$5:$E$300,$B15,Закрытые!$B$5:$B$300,"T-*"))</f>
        <v/>
      </c>
      <c r="F15" s="240" t="str">
        <f>IF(SUMIFS(Торговля!$I$5:$I$300,Торговля!$E$5:$E$300,$B15)+SUMIFS(Закрытые!$I$5:$I$300,Закрытые!$E$5:$E$300,$B15,Закрытые!$B$5:$B$300,"T-*")=0,"",SUMIFS(Торговля!$I$5:$I$300,Торговля!$E$5:$E$300,$B15)+SUMIFS(Закрытые!$I$5:$I$300,Закрытые!$E$5:$E$300,$B15,Закрытые!$B$5:$B$300,"T-*"))</f>
        <v/>
      </c>
      <c r="G15" s="177" t="str">
        <f>IF(F15="","",(SUMPRODUCT((Торговля!$E$5:$E$300=$B15)*Торговля!$I$5:$I$300*Торговля!$J$5:$J$300)+SUMPRODUCT((Закрытые!$E$5:$E$300=$B15)*(LEFT(Закрытые!$B$5:$B$300,2)="T-")*Закрытые!$I$5:$I$300*Закрытые!$J$5:$J$300))/F15)</f>
        <v/>
      </c>
      <c r="H15" s="241" t="str">
        <f>IF(F15="","",SUMIFS(Торговля!$K$5:$K$300,Торговля!$E$5:$E$300,$B15)+SUMIFS(Закрытые!$K$5:$K$300,Закрытые!$E$5:$E$300,$B15,Закрытые!$B$5:$B$300,"T-*"))</f>
        <v/>
      </c>
      <c r="I15" s="240" t="str">
        <f>IF($B15="","",IF(COUNTIFS(Торговля!$E$5:$E$300,$B15)+COUNTIFS(Закрытые!$E$5:$E$300,$B15,Закрытые!$B$5:$B$300,"T-*")=0,"",ROUND(SUMIFS(Торговля!$L$5:$L$300,Торговля!$E$5:$E$300,$B15)+SUMIFS(Закрытые!$L$5:$L$300,Закрытые!$E$5:$E$300,$B15,Закрытые!$B$5:$B$300,"T-*"),8)))</f>
        <v/>
      </c>
      <c r="J15" s="241" t="str">
        <f>IF($B15="","",IF(COUNTIFS(Торговля!$E$5:$E$300,$B15)+COUNTIFS(Закрытые!$E$5:$E$300,$B15,Закрытые!$B$5:$B$300,"T-*")=0,"",ROUND(SUMIFS(Торговля!$M$5:$M$300,Торговля!$E$5:$E$300,$B15)+SUMIFS(Закрытые!$M$5:$M$300,Закрытые!$E$5:$E$300,$B15,Закрытые!$B$5:$B$300,"T-*"),8)))</f>
        <v/>
      </c>
      <c r="K15" s="240" t="str">
        <f>IF(MIN(N(C15),N(F15))&lt;=0,"",ROUND(MIN(N(C15),N(F15))*(N(G15)-N(D15)),8))</f>
        <v/>
      </c>
      <c r="L15" s="177" t="str">
        <f>IF(MIN(N(C15),N(F15))&lt;=0,"",IF(N(D15)=0,"",ROUND((N(G15)/N(D15)-1)*100,2)))</f>
        <v/>
      </c>
      <c r="M15" s="177" t="str">
        <f>IF(OR(ROUND(N(C15)-N(F15),8)=0,1-N(Ввод!$J$19)/100&lt;=0),"",IF(N(C15)&gt;N(F15),(N(E15)-N(H15))/((N(C15)-N(F15))*(1-N(Ввод!$J$19)/100)),(N(H15)-N(E15))/((N(F15)-N(C15))*(1+N(Ввод!$J$19)/100))))</f>
        <v/>
      </c>
    </row>
    <row r="16" ht="22" customHeight="1">
      <c r="B16" s="245" t="n"/>
      <c r="C16" s="246" t="str">
        <f>IF(SUMIFS(Торговля!$F$5:$F$300,Торговля!$E$5:$E$300,$B16)+SUMIFS(Закрытые!$F$5:$F$300,Закрытые!$E$5:$E$300,$B16,Закрытые!$B$5:$B$300,"T-*")=0,"",SUMIFS(Торговля!$F$5:$F$300,Торговля!$E$5:$E$300,$B16)+SUMIFS(Закрытые!$F$5:$F$300,Закрытые!$E$5:$E$300,$B16,Закрытые!$B$5:$B$300,"T-*"))</f>
        <v/>
      </c>
      <c r="D16" s="183" t="str">
        <f>IF(C16="","",(SUMPRODUCT((Торговля!$E$5:$E$300=$B16)*Торговля!$F$5:$F$300*Торговля!$G$5:$G$300)+SUMPRODUCT((Закрытые!$E$5:$E$300=$B16)*(LEFT(Закрытые!$B$5:$B$300,2)="T-")*Закрытые!$F$5:$F$300*Закрытые!$G$5:$G$300))/C16)</f>
        <v/>
      </c>
      <c r="E16" s="247" t="str">
        <f>IF(C16="","",SUMIFS(Торговля!$H$5:$H$300,Торговля!$E$5:$E$300,$B16)+SUMIFS(Закрытые!$H$5:$H$300,Закрытые!$E$5:$E$300,$B16,Закрытые!$B$5:$B$300,"T-*"))</f>
        <v/>
      </c>
      <c r="F16" s="246" t="str">
        <f>IF(SUMIFS(Торговля!$I$5:$I$300,Торговля!$E$5:$E$300,$B16)+SUMIFS(Закрытые!$I$5:$I$300,Закрытые!$E$5:$E$300,$B16,Закрытые!$B$5:$B$300,"T-*")=0,"",SUMIFS(Торговля!$I$5:$I$300,Торговля!$E$5:$E$300,$B16)+SUMIFS(Закрытые!$I$5:$I$300,Закрытые!$E$5:$E$300,$B16,Закрытые!$B$5:$B$300,"T-*"))</f>
        <v/>
      </c>
      <c r="G16" s="183" t="str">
        <f>IF(F16="","",(SUMPRODUCT((Торговля!$E$5:$E$300=$B16)*Торговля!$I$5:$I$300*Торговля!$J$5:$J$300)+SUMPRODUCT((Закрытые!$E$5:$E$300=$B16)*(LEFT(Закрытые!$B$5:$B$300,2)="T-")*Закрытые!$I$5:$I$300*Закрытые!$J$5:$J$300))/F16)</f>
        <v/>
      </c>
      <c r="H16" s="247" t="str">
        <f>IF(F16="","",SUMIFS(Торговля!$K$5:$K$300,Торговля!$E$5:$E$300,$B16)+SUMIFS(Закрытые!$K$5:$K$300,Закрытые!$E$5:$E$300,$B16,Закрытые!$B$5:$B$300,"T-*"))</f>
        <v/>
      </c>
      <c r="I16" s="246" t="str">
        <f>IF($B16="","",IF(COUNTIFS(Торговля!$E$5:$E$300,$B16)+COUNTIFS(Закрытые!$E$5:$E$300,$B16,Закрытые!$B$5:$B$300,"T-*")=0,"",ROUND(SUMIFS(Торговля!$L$5:$L$300,Торговля!$E$5:$E$300,$B16)+SUMIFS(Закрытые!$L$5:$L$300,Закрытые!$E$5:$E$300,$B16,Закрытые!$B$5:$B$300,"T-*"),8)))</f>
        <v/>
      </c>
      <c r="J16" s="247" t="str">
        <f>IF($B16="","",IF(COUNTIFS(Торговля!$E$5:$E$300,$B16)+COUNTIFS(Закрытые!$E$5:$E$300,$B16,Закрытые!$B$5:$B$300,"T-*")=0,"",ROUND(SUMIFS(Торговля!$M$5:$M$300,Торговля!$E$5:$E$300,$B16)+SUMIFS(Закрытые!$M$5:$M$300,Закрытые!$E$5:$E$300,$B16,Закрытые!$B$5:$B$300,"T-*"),8)))</f>
        <v/>
      </c>
      <c r="K16" s="246" t="str">
        <f>IF(MIN(N(C16),N(F16))&lt;=0,"",ROUND(MIN(N(C16),N(F16))*(N(G16)-N(D16)),8))</f>
        <v/>
      </c>
      <c r="L16" s="183" t="str">
        <f>IF(MIN(N(C16),N(F16))&lt;=0,"",IF(N(D16)=0,"",ROUND((N(G16)/N(D16)-1)*100,2)))</f>
        <v/>
      </c>
      <c r="M16" s="183" t="str">
        <f>IF(OR(ROUND(N(C16)-N(F16),8)=0,1-N(Ввод!$J$19)/100&lt;=0),"",IF(N(C16)&gt;N(F16),(N(E16)-N(H16))/((N(C16)-N(F16))*(1-N(Ввод!$J$19)/100)),(N(H16)-N(E16))/((N(F16)-N(C16))*(1+N(Ввод!$J$19)/100))))</f>
        <v/>
      </c>
    </row>
    <row r="17" ht="22" customHeight="1">
      <c r="B17" s="239" t="n"/>
      <c r="C17" s="240" t="str">
        <f>IF(SUMIFS(Торговля!$F$5:$F$300,Торговля!$E$5:$E$300,$B17)+SUMIFS(Закрытые!$F$5:$F$300,Закрытые!$E$5:$E$300,$B17,Закрытые!$B$5:$B$300,"T-*")=0,"",SUMIFS(Торговля!$F$5:$F$300,Торговля!$E$5:$E$300,$B17)+SUMIFS(Закрытые!$F$5:$F$300,Закрытые!$E$5:$E$300,$B17,Закрытые!$B$5:$B$300,"T-*"))</f>
        <v/>
      </c>
      <c r="D17" s="177" t="str">
        <f>IF(C17="","",(SUMPRODUCT((Торговля!$E$5:$E$300=$B17)*Торговля!$F$5:$F$300*Торговля!$G$5:$G$300)+SUMPRODUCT((Закрытые!$E$5:$E$300=$B17)*(LEFT(Закрытые!$B$5:$B$300,2)="T-")*Закрытые!$F$5:$F$300*Закрытые!$G$5:$G$300))/C17)</f>
        <v/>
      </c>
      <c r="E17" s="241" t="str">
        <f>IF(C17="","",SUMIFS(Торговля!$H$5:$H$300,Торговля!$E$5:$E$300,$B17)+SUMIFS(Закрытые!$H$5:$H$300,Закрытые!$E$5:$E$300,$B17,Закрытые!$B$5:$B$300,"T-*"))</f>
        <v/>
      </c>
      <c r="F17" s="240" t="str">
        <f>IF(SUMIFS(Торговля!$I$5:$I$300,Торговля!$E$5:$E$300,$B17)+SUMIFS(Закрытые!$I$5:$I$300,Закрытые!$E$5:$E$300,$B17,Закрытые!$B$5:$B$300,"T-*")=0,"",SUMIFS(Торговля!$I$5:$I$300,Торговля!$E$5:$E$300,$B17)+SUMIFS(Закрытые!$I$5:$I$300,Закрытые!$E$5:$E$300,$B17,Закрытые!$B$5:$B$300,"T-*"))</f>
        <v/>
      </c>
      <c r="G17" s="177" t="str">
        <f>IF(F17="","",(SUMPRODUCT((Торговля!$E$5:$E$300=$B17)*Торговля!$I$5:$I$300*Торговля!$J$5:$J$300)+SUMPRODUCT((Закрытые!$E$5:$E$300=$B17)*(LEFT(Закрытые!$B$5:$B$300,2)="T-")*Закрытые!$I$5:$I$300*Закрытые!$J$5:$J$300))/F17)</f>
        <v/>
      </c>
      <c r="H17" s="241" t="str">
        <f>IF(F17="","",SUMIFS(Торговля!$K$5:$K$300,Торговля!$E$5:$E$300,$B17)+SUMIFS(Закрытые!$K$5:$K$300,Закрытые!$E$5:$E$300,$B17,Закрытые!$B$5:$B$300,"T-*"))</f>
        <v/>
      </c>
      <c r="I17" s="240" t="str">
        <f>IF($B17="","",IF(COUNTIFS(Торговля!$E$5:$E$300,$B17)+COUNTIFS(Закрытые!$E$5:$E$300,$B17,Закрытые!$B$5:$B$300,"T-*")=0,"",ROUND(SUMIFS(Торговля!$L$5:$L$300,Торговля!$E$5:$E$300,$B17)+SUMIFS(Закрытые!$L$5:$L$300,Закрытые!$E$5:$E$300,$B17,Закрытые!$B$5:$B$300,"T-*"),8)))</f>
        <v/>
      </c>
      <c r="J17" s="241" t="str">
        <f>IF($B17="","",IF(COUNTIFS(Торговля!$E$5:$E$300,$B17)+COUNTIFS(Закрытые!$E$5:$E$300,$B17,Закрытые!$B$5:$B$300,"T-*")=0,"",ROUND(SUMIFS(Торговля!$M$5:$M$300,Торговля!$E$5:$E$300,$B17)+SUMIFS(Закрытые!$M$5:$M$300,Закрытые!$E$5:$E$300,$B17,Закрытые!$B$5:$B$300,"T-*"),8)))</f>
        <v/>
      </c>
      <c r="K17" s="240" t="str">
        <f>IF(MIN(N(C17),N(F17))&lt;=0,"",ROUND(MIN(N(C17),N(F17))*(N(G17)-N(D17)),8))</f>
        <v/>
      </c>
      <c r="L17" s="177" t="str">
        <f>IF(MIN(N(C17),N(F17))&lt;=0,"",IF(N(D17)=0,"",ROUND((N(G17)/N(D17)-1)*100,2)))</f>
        <v/>
      </c>
      <c r="M17" s="177" t="str">
        <f>IF(OR(ROUND(N(C17)-N(F17),8)=0,1-N(Ввод!$J$19)/100&lt;=0),"",IF(N(C17)&gt;N(F17),(N(E17)-N(H17))/((N(C17)-N(F17))*(1-N(Ввод!$J$19)/100)),(N(H17)-N(E17))/((N(F17)-N(C17))*(1+N(Ввод!$J$19)/100))))</f>
        <v/>
      </c>
    </row>
    <row r="18" ht="22" customHeight="1">
      <c r="B18" s="245" t="n"/>
      <c r="C18" s="246" t="str">
        <f>IF(SUMIFS(Торговля!$F$5:$F$300,Торговля!$E$5:$E$300,$B18)+SUMIFS(Закрытые!$F$5:$F$300,Закрытые!$E$5:$E$300,$B18,Закрытые!$B$5:$B$300,"T-*")=0,"",SUMIFS(Торговля!$F$5:$F$300,Торговля!$E$5:$E$300,$B18)+SUMIFS(Закрытые!$F$5:$F$300,Закрытые!$E$5:$E$300,$B18,Закрытые!$B$5:$B$300,"T-*"))</f>
        <v/>
      </c>
      <c r="D18" s="183" t="str">
        <f>IF(C18="","",(SUMPRODUCT((Торговля!$E$5:$E$300=$B18)*Торговля!$F$5:$F$300*Торговля!$G$5:$G$300)+SUMPRODUCT((Закрытые!$E$5:$E$300=$B18)*(LEFT(Закрытые!$B$5:$B$300,2)="T-")*Закрытые!$F$5:$F$300*Закрытые!$G$5:$G$300))/C18)</f>
        <v/>
      </c>
      <c r="E18" s="247" t="str">
        <f>IF(C18="","",SUMIFS(Торговля!$H$5:$H$300,Торговля!$E$5:$E$300,$B18)+SUMIFS(Закрытые!$H$5:$H$300,Закрытые!$E$5:$E$300,$B18,Закрытые!$B$5:$B$300,"T-*"))</f>
        <v/>
      </c>
      <c r="F18" s="246" t="str">
        <f>IF(SUMIFS(Торговля!$I$5:$I$300,Торговля!$E$5:$E$300,$B18)+SUMIFS(Закрытые!$I$5:$I$300,Закрытые!$E$5:$E$300,$B18,Закрытые!$B$5:$B$300,"T-*")=0,"",SUMIFS(Торговля!$I$5:$I$300,Торговля!$E$5:$E$300,$B18)+SUMIFS(Закрытые!$I$5:$I$300,Закрытые!$E$5:$E$300,$B18,Закрытые!$B$5:$B$300,"T-*"))</f>
        <v/>
      </c>
      <c r="G18" s="183" t="str">
        <f>IF(F18="","",(SUMPRODUCT((Торговля!$E$5:$E$300=$B18)*Торговля!$I$5:$I$300*Торговля!$J$5:$J$300)+SUMPRODUCT((Закрытые!$E$5:$E$300=$B18)*(LEFT(Закрытые!$B$5:$B$300,2)="T-")*Закрытые!$I$5:$I$300*Закрытые!$J$5:$J$300))/F18)</f>
        <v/>
      </c>
      <c r="H18" s="247" t="str">
        <f>IF(F18="","",SUMIFS(Торговля!$K$5:$K$300,Торговля!$E$5:$E$300,$B18)+SUMIFS(Закрытые!$K$5:$K$300,Закрытые!$E$5:$E$300,$B18,Закрытые!$B$5:$B$300,"T-*"))</f>
        <v/>
      </c>
      <c r="I18" s="246" t="str">
        <f>IF($B18="","",IF(COUNTIFS(Торговля!$E$5:$E$300,$B18)+COUNTIFS(Закрытые!$E$5:$E$300,$B18,Закрытые!$B$5:$B$300,"T-*")=0,"",ROUND(SUMIFS(Торговля!$L$5:$L$300,Торговля!$E$5:$E$300,$B18)+SUMIFS(Закрытые!$L$5:$L$300,Закрытые!$E$5:$E$300,$B18,Закрытые!$B$5:$B$300,"T-*"),8)))</f>
        <v/>
      </c>
      <c r="J18" s="247" t="str">
        <f>IF($B18="","",IF(COUNTIFS(Торговля!$E$5:$E$300,$B18)+COUNTIFS(Закрытые!$E$5:$E$300,$B18,Закрытые!$B$5:$B$300,"T-*")=0,"",ROUND(SUMIFS(Торговля!$M$5:$M$300,Торговля!$E$5:$E$300,$B18)+SUMIFS(Закрытые!$M$5:$M$300,Закрытые!$E$5:$E$300,$B18,Закрытые!$B$5:$B$300,"T-*"),8)))</f>
        <v/>
      </c>
      <c r="K18" s="246" t="str">
        <f>IF(MIN(N(C18),N(F18))&lt;=0,"",ROUND(MIN(N(C18),N(F18))*(N(G18)-N(D18)),8))</f>
        <v/>
      </c>
      <c r="L18" s="183" t="str">
        <f>IF(MIN(N(C18),N(F18))&lt;=0,"",IF(N(D18)=0,"",ROUND((N(G18)/N(D18)-1)*100,2)))</f>
        <v/>
      </c>
      <c r="M18" s="183" t="str">
        <f>IF(OR(ROUND(N(C18)-N(F18),8)=0,1-N(Ввод!$J$19)/100&lt;=0),"",IF(N(C18)&gt;N(F18),(N(E18)-N(H18))/((N(C18)-N(F18))*(1-N(Ввод!$J$19)/100)),(N(H18)-N(E18))/((N(F18)-N(C18))*(1+N(Ввод!$J$19)/100))))</f>
        <v/>
      </c>
    </row>
    <row r="19" ht="22" customHeight="1">
      <c r="B19" s="239" t="n"/>
      <c r="C19" s="240" t="str">
        <f>IF(SUMIFS(Торговля!$F$5:$F$300,Торговля!$E$5:$E$300,$B19)+SUMIFS(Закрытые!$F$5:$F$300,Закрытые!$E$5:$E$300,$B19,Закрытые!$B$5:$B$300,"T-*")=0,"",SUMIFS(Торговля!$F$5:$F$300,Торговля!$E$5:$E$300,$B19)+SUMIFS(Закрытые!$F$5:$F$300,Закрытые!$E$5:$E$300,$B19,Закрытые!$B$5:$B$300,"T-*"))</f>
        <v/>
      </c>
      <c r="D19" s="177" t="str">
        <f>IF(C19="","",(SUMPRODUCT((Торговля!$E$5:$E$300=$B19)*Торговля!$F$5:$F$300*Торговля!$G$5:$G$300)+SUMPRODUCT((Закрытые!$E$5:$E$300=$B19)*(LEFT(Закрытые!$B$5:$B$300,2)="T-")*Закрытые!$F$5:$F$300*Закрытые!$G$5:$G$300))/C19)</f>
        <v/>
      </c>
      <c r="E19" s="241" t="str">
        <f>IF(C19="","",SUMIFS(Торговля!$H$5:$H$300,Торговля!$E$5:$E$300,$B19)+SUMIFS(Закрытые!$H$5:$H$300,Закрытые!$E$5:$E$300,$B19,Закрытые!$B$5:$B$300,"T-*"))</f>
        <v/>
      </c>
      <c r="F19" s="240" t="str">
        <f>IF(SUMIFS(Торговля!$I$5:$I$300,Торговля!$E$5:$E$300,$B19)+SUMIFS(Закрытые!$I$5:$I$300,Закрытые!$E$5:$E$300,$B19,Закрытые!$B$5:$B$300,"T-*")=0,"",SUMIFS(Торговля!$I$5:$I$300,Торговля!$E$5:$E$300,$B19)+SUMIFS(Закрытые!$I$5:$I$300,Закрытые!$E$5:$E$300,$B19,Закрытые!$B$5:$B$300,"T-*"))</f>
        <v/>
      </c>
      <c r="G19" s="177" t="str">
        <f>IF(F19="","",(SUMPRODUCT((Торговля!$E$5:$E$300=$B19)*Торговля!$I$5:$I$300*Торговля!$J$5:$J$300)+SUMPRODUCT((Закрытые!$E$5:$E$300=$B19)*(LEFT(Закрытые!$B$5:$B$300,2)="T-")*Закрытые!$I$5:$I$300*Закрытые!$J$5:$J$300))/F19)</f>
        <v/>
      </c>
      <c r="H19" s="241" t="str">
        <f>IF(F19="","",SUMIFS(Торговля!$K$5:$K$300,Торговля!$E$5:$E$300,$B19)+SUMIFS(Закрытые!$K$5:$K$300,Закрытые!$E$5:$E$300,$B19,Закрытые!$B$5:$B$300,"T-*"))</f>
        <v/>
      </c>
      <c r="I19" s="240" t="str">
        <f>IF($B19="","",IF(COUNTIFS(Торговля!$E$5:$E$300,$B19)+COUNTIFS(Закрытые!$E$5:$E$300,$B19,Закрытые!$B$5:$B$300,"T-*")=0,"",ROUND(SUMIFS(Торговля!$L$5:$L$300,Торговля!$E$5:$E$300,$B19)+SUMIFS(Закрытые!$L$5:$L$300,Закрытые!$E$5:$E$300,$B19,Закрытые!$B$5:$B$300,"T-*"),8)))</f>
        <v/>
      </c>
      <c r="J19" s="241" t="str">
        <f>IF($B19="","",IF(COUNTIFS(Торговля!$E$5:$E$300,$B19)+COUNTIFS(Закрытые!$E$5:$E$300,$B19,Закрытые!$B$5:$B$300,"T-*")=0,"",ROUND(SUMIFS(Торговля!$M$5:$M$300,Торговля!$E$5:$E$300,$B19)+SUMIFS(Закрытые!$M$5:$M$300,Закрытые!$E$5:$E$300,$B19,Закрытые!$B$5:$B$300,"T-*"),8)))</f>
        <v/>
      </c>
      <c r="K19" s="240" t="str">
        <f>IF(MIN(N(C19),N(F19))&lt;=0,"",ROUND(MIN(N(C19),N(F19))*(N(G19)-N(D19)),8))</f>
        <v/>
      </c>
      <c r="L19" s="177" t="str">
        <f>IF(MIN(N(C19),N(F19))&lt;=0,"",IF(N(D19)=0,"",ROUND((N(G19)/N(D19)-1)*100,2)))</f>
        <v/>
      </c>
      <c r="M19" s="177" t="str">
        <f>IF(OR(ROUND(N(C19)-N(F19),8)=0,1-N(Ввод!$J$19)/100&lt;=0),"",IF(N(C19)&gt;N(F19),(N(E19)-N(H19))/((N(C19)-N(F19))*(1-N(Ввод!$J$19)/100)),(N(H19)-N(E19))/((N(F19)-N(C19))*(1+N(Ввод!$J$19)/100))))</f>
        <v/>
      </c>
    </row>
    <row r="20" ht="22" customHeight="1">
      <c r="B20" s="245" t="n"/>
      <c r="C20" s="246" t="str">
        <f>IF(SUMIFS(Торговля!$F$5:$F$300,Торговля!$E$5:$E$300,$B20)+SUMIFS(Закрытые!$F$5:$F$300,Закрытые!$E$5:$E$300,$B20,Закрытые!$B$5:$B$300,"T-*")=0,"",SUMIFS(Торговля!$F$5:$F$300,Торговля!$E$5:$E$300,$B20)+SUMIFS(Закрытые!$F$5:$F$300,Закрытые!$E$5:$E$300,$B20,Закрытые!$B$5:$B$300,"T-*"))</f>
        <v/>
      </c>
      <c r="D20" s="183" t="str">
        <f>IF(C20="","",(SUMPRODUCT((Торговля!$E$5:$E$300=$B20)*Торговля!$F$5:$F$300*Торговля!$G$5:$G$300)+SUMPRODUCT((Закрытые!$E$5:$E$300=$B20)*(LEFT(Закрытые!$B$5:$B$300,2)="T-")*Закрытые!$F$5:$F$300*Закрытые!$G$5:$G$300))/C20)</f>
        <v/>
      </c>
      <c r="E20" s="247" t="str">
        <f>IF(C20="","",SUMIFS(Торговля!$H$5:$H$300,Торговля!$E$5:$E$300,$B20)+SUMIFS(Закрытые!$H$5:$H$300,Закрытые!$E$5:$E$300,$B20,Закрытые!$B$5:$B$300,"T-*"))</f>
        <v/>
      </c>
      <c r="F20" s="246" t="str">
        <f>IF(SUMIFS(Торговля!$I$5:$I$300,Торговля!$E$5:$E$300,$B20)+SUMIFS(Закрытые!$I$5:$I$300,Закрытые!$E$5:$E$300,$B20,Закрытые!$B$5:$B$300,"T-*")=0,"",SUMIFS(Торговля!$I$5:$I$300,Торговля!$E$5:$E$300,$B20)+SUMIFS(Закрытые!$I$5:$I$300,Закрытые!$E$5:$E$300,$B20,Закрытые!$B$5:$B$300,"T-*"))</f>
        <v/>
      </c>
      <c r="G20" s="183" t="str">
        <f>IF(F20="","",(SUMPRODUCT((Торговля!$E$5:$E$300=$B20)*Торговля!$I$5:$I$300*Торговля!$J$5:$J$300)+SUMPRODUCT((Закрытые!$E$5:$E$300=$B20)*(LEFT(Закрытые!$B$5:$B$300,2)="T-")*Закрытые!$I$5:$I$300*Закрытые!$J$5:$J$300))/F20)</f>
        <v/>
      </c>
      <c r="H20" s="247" t="str">
        <f>IF(F20="","",SUMIFS(Торговля!$K$5:$K$300,Торговля!$E$5:$E$300,$B20)+SUMIFS(Закрытые!$K$5:$K$300,Закрытые!$E$5:$E$300,$B20,Закрытые!$B$5:$B$300,"T-*"))</f>
        <v/>
      </c>
      <c r="I20" s="246" t="str">
        <f>IF($B20="","",IF(COUNTIFS(Торговля!$E$5:$E$300,$B20)+COUNTIFS(Закрытые!$E$5:$E$300,$B20,Закрытые!$B$5:$B$300,"T-*")=0,"",ROUND(SUMIFS(Торговля!$L$5:$L$300,Торговля!$E$5:$E$300,$B20)+SUMIFS(Закрытые!$L$5:$L$300,Закрытые!$E$5:$E$300,$B20,Закрытые!$B$5:$B$300,"T-*"),8)))</f>
        <v/>
      </c>
      <c r="J20" s="247" t="str">
        <f>IF($B20="","",IF(COUNTIFS(Торговля!$E$5:$E$300,$B20)+COUNTIFS(Закрытые!$E$5:$E$300,$B20,Закрытые!$B$5:$B$300,"T-*")=0,"",ROUND(SUMIFS(Торговля!$M$5:$M$300,Торговля!$E$5:$E$300,$B20)+SUMIFS(Закрытые!$M$5:$M$300,Закрытые!$E$5:$E$300,$B20,Закрытые!$B$5:$B$300,"T-*"),8)))</f>
        <v/>
      </c>
      <c r="K20" s="246" t="str">
        <f>IF(MIN(N(C20),N(F20))&lt;=0,"",ROUND(MIN(N(C20),N(F20))*(N(G20)-N(D20)),8))</f>
        <v/>
      </c>
      <c r="L20" s="183" t="str">
        <f>IF(MIN(N(C20),N(F20))&lt;=0,"",IF(N(D20)=0,"",ROUND((N(G20)/N(D20)-1)*100,2)))</f>
        <v/>
      </c>
      <c r="M20" s="183" t="str">
        <f>IF(OR(ROUND(N(C20)-N(F20),8)=0,1-N(Ввод!$J$19)/100&lt;=0),"",IF(N(C20)&gt;N(F20),(N(E20)-N(H20))/((N(C20)-N(F20))*(1-N(Ввод!$J$19)/100)),(N(H20)-N(E20))/((N(F20)-N(C20))*(1+N(Ввод!$J$19)/100))))</f>
        <v/>
      </c>
    </row>
    <row r="21" ht="22" customHeight="1">
      <c r="B21" s="239" t="n"/>
      <c r="C21" s="240" t="str">
        <f>IF(SUMIFS(Торговля!$F$5:$F$300,Торговля!$E$5:$E$300,$B21)+SUMIFS(Закрытые!$F$5:$F$300,Закрытые!$E$5:$E$300,$B21,Закрытые!$B$5:$B$300,"T-*")=0,"",SUMIFS(Торговля!$F$5:$F$300,Торговля!$E$5:$E$300,$B21)+SUMIFS(Закрытые!$F$5:$F$300,Закрытые!$E$5:$E$300,$B21,Закрытые!$B$5:$B$300,"T-*"))</f>
        <v/>
      </c>
      <c r="D21" s="177" t="str">
        <f>IF(C21="","",(SUMPRODUCT((Торговля!$E$5:$E$300=$B21)*Торговля!$F$5:$F$300*Торговля!$G$5:$G$300)+SUMPRODUCT((Закрытые!$E$5:$E$300=$B21)*(LEFT(Закрытые!$B$5:$B$300,2)="T-")*Закрытые!$F$5:$F$300*Закрытые!$G$5:$G$300))/C21)</f>
        <v/>
      </c>
      <c r="E21" s="241" t="str">
        <f>IF(C21="","",SUMIFS(Торговля!$H$5:$H$300,Торговля!$E$5:$E$300,$B21)+SUMIFS(Закрытые!$H$5:$H$300,Закрытые!$E$5:$E$300,$B21,Закрытые!$B$5:$B$300,"T-*"))</f>
        <v/>
      </c>
      <c r="F21" s="240" t="str">
        <f>IF(SUMIFS(Торговля!$I$5:$I$300,Торговля!$E$5:$E$300,$B21)+SUMIFS(Закрытые!$I$5:$I$300,Закрытые!$E$5:$E$300,$B21,Закрытые!$B$5:$B$300,"T-*")=0,"",SUMIFS(Торговля!$I$5:$I$300,Торговля!$E$5:$E$300,$B21)+SUMIFS(Закрытые!$I$5:$I$300,Закрытые!$E$5:$E$300,$B21,Закрытые!$B$5:$B$300,"T-*"))</f>
        <v/>
      </c>
      <c r="G21" s="177" t="str">
        <f>IF(F21="","",(SUMPRODUCT((Торговля!$E$5:$E$300=$B21)*Торговля!$I$5:$I$300*Торговля!$J$5:$J$300)+SUMPRODUCT((Закрытые!$E$5:$E$300=$B21)*(LEFT(Закрытые!$B$5:$B$300,2)="T-")*Закрытые!$I$5:$I$300*Закрытые!$J$5:$J$300))/F21)</f>
        <v/>
      </c>
      <c r="H21" s="241" t="str">
        <f>IF(F21="","",SUMIFS(Торговля!$K$5:$K$300,Торговля!$E$5:$E$300,$B21)+SUMIFS(Закрытые!$K$5:$K$300,Закрытые!$E$5:$E$300,$B21,Закрытые!$B$5:$B$300,"T-*"))</f>
        <v/>
      </c>
      <c r="I21" s="240" t="str">
        <f>IF($B21="","",IF(COUNTIFS(Торговля!$E$5:$E$300,$B21)+COUNTIFS(Закрытые!$E$5:$E$300,$B21,Закрытые!$B$5:$B$300,"T-*")=0,"",ROUND(SUMIFS(Торговля!$L$5:$L$300,Торговля!$E$5:$E$300,$B21)+SUMIFS(Закрытые!$L$5:$L$300,Закрытые!$E$5:$E$300,$B21,Закрытые!$B$5:$B$300,"T-*"),8)))</f>
        <v/>
      </c>
      <c r="J21" s="241" t="str">
        <f>IF($B21="","",IF(COUNTIFS(Торговля!$E$5:$E$300,$B21)+COUNTIFS(Закрытые!$E$5:$E$300,$B21,Закрытые!$B$5:$B$300,"T-*")=0,"",ROUND(SUMIFS(Торговля!$M$5:$M$300,Торговля!$E$5:$E$300,$B21)+SUMIFS(Закрытые!$M$5:$M$300,Закрытые!$E$5:$E$300,$B21,Закрытые!$B$5:$B$300,"T-*"),8)))</f>
        <v/>
      </c>
      <c r="K21" s="240" t="str">
        <f>IF(MIN(N(C21),N(F21))&lt;=0,"",ROUND(MIN(N(C21),N(F21))*(N(G21)-N(D21)),8))</f>
        <v/>
      </c>
      <c r="L21" s="177" t="str">
        <f>IF(MIN(N(C21),N(F21))&lt;=0,"",IF(N(D21)=0,"",ROUND((N(G21)/N(D21)-1)*100,2)))</f>
        <v/>
      </c>
      <c r="M21" s="177" t="str">
        <f>IF(OR(ROUND(N(C21)-N(F21),8)=0,1-N(Ввод!$J$19)/100&lt;=0),"",IF(N(C21)&gt;N(F21),(N(E21)-N(H21))/((N(C21)-N(F21))*(1-N(Ввод!$J$19)/100)),(N(H21)-N(E21))/((N(F21)-N(C21))*(1+N(Ввод!$J$19)/100))))</f>
        <v/>
      </c>
    </row>
    <row r="22" ht="22" customHeight="1">
      <c r="B22" s="245" t="n"/>
      <c r="C22" s="246" t="str">
        <f>IF(SUMIFS(Торговля!$F$5:$F$300,Торговля!$E$5:$E$300,$B22)+SUMIFS(Закрытые!$F$5:$F$300,Закрытые!$E$5:$E$300,$B22,Закрытые!$B$5:$B$300,"T-*")=0,"",SUMIFS(Торговля!$F$5:$F$300,Торговля!$E$5:$E$300,$B22)+SUMIFS(Закрытые!$F$5:$F$300,Закрытые!$E$5:$E$300,$B22,Закрытые!$B$5:$B$300,"T-*"))</f>
        <v/>
      </c>
      <c r="D22" s="183" t="str">
        <f>IF(C22="","",(SUMPRODUCT((Торговля!$E$5:$E$300=$B22)*Торговля!$F$5:$F$300*Торговля!$G$5:$G$300)+SUMPRODUCT((Закрытые!$E$5:$E$300=$B22)*(LEFT(Закрытые!$B$5:$B$300,2)="T-")*Закрытые!$F$5:$F$300*Закрытые!$G$5:$G$300))/C22)</f>
        <v/>
      </c>
      <c r="E22" s="247" t="str">
        <f>IF(C22="","",SUMIFS(Торговля!$H$5:$H$300,Торговля!$E$5:$E$300,$B22)+SUMIFS(Закрытые!$H$5:$H$300,Закрытые!$E$5:$E$300,$B22,Закрытые!$B$5:$B$300,"T-*"))</f>
        <v/>
      </c>
      <c r="F22" s="246" t="str">
        <f>IF(SUMIFS(Торговля!$I$5:$I$300,Торговля!$E$5:$E$300,$B22)+SUMIFS(Закрытые!$I$5:$I$300,Закрытые!$E$5:$E$300,$B22,Закрытые!$B$5:$B$300,"T-*")=0,"",SUMIFS(Торговля!$I$5:$I$300,Торговля!$E$5:$E$300,$B22)+SUMIFS(Закрытые!$I$5:$I$300,Закрытые!$E$5:$E$300,$B22,Закрытые!$B$5:$B$300,"T-*"))</f>
        <v/>
      </c>
      <c r="G22" s="183" t="str">
        <f>IF(F22="","",(SUMPRODUCT((Торговля!$E$5:$E$300=$B22)*Торговля!$I$5:$I$300*Торговля!$J$5:$J$300)+SUMPRODUCT((Закрытые!$E$5:$E$300=$B22)*(LEFT(Закрытые!$B$5:$B$300,2)="T-")*Закрытые!$I$5:$I$300*Закрытые!$J$5:$J$300))/F22)</f>
        <v/>
      </c>
      <c r="H22" s="247" t="str">
        <f>IF(F22="","",SUMIFS(Торговля!$K$5:$K$300,Торговля!$E$5:$E$300,$B22)+SUMIFS(Закрытые!$K$5:$K$300,Закрытые!$E$5:$E$300,$B22,Закрытые!$B$5:$B$300,"T-*"))</f>
        <v/>
      </c>
      <c r="I22" s="246" t="str">
        <f>IF($B22="","",IF(COUNTIFS(Торговля!$E$5:$E$300,$B22)+COUNTIFS(Закрытые!$E$5:$E$300,$B22,Закрытые!$B$5:$B$300,"T-*")=0,"",ROUND(SUMIFS(Торговля!$L$5:$L$300,Торговля!$E$5:$E$300,$B22)+SUMIFS(Закрытые!$L$5:$L$300,Закрытые!$E$5:$E$300,$B22,Закрытые!$B$5:$B$300,"T-*"),8)))</f>
        <v/>
      </c>
      <c r="J22" s="247" t="str">
        <f>IF($B22="","",IF(COUNTIFS(Торговля!$E$5:$E$300,$B22)+COUNTIFS(Закрытые!$E$5:$E$300,$B22,Закрытые!$B$5:$B$300,"T-*")=0,"",ROUND(SUMIFS(Торговля!$M$5:$M$300,Торговля!$E$5:$E$300,$B22)+SUMIFS(Закрытые!$M$5:$M$300,Закрытые!$E$5:$E$300,$B22,Закрытые!$B$5:$B$300,"T-*"),8)))</f>
        <v/>
      </c>
      <c r="K22" s="246" t="str">
        <f>IF(MIN(N(C22),N(F22))&lt;=0,"",ROUND(MIN(N(C22),N(F22))*(N(G22)-N(D22)),8))</f>
        <v/>
      </c>
      <c r="L22" s="183" t="str">
        <f>IF(MIN(N(C22),N(F22))&lt;=0,"",IF(N(D22)=0,"",ROUND((N(G22)/N(D22)-1)*100,2)))</f>
        <v/>
      </c>
      <c r="M22" s="183" t="str">
        <f>IF(OR(ROUND(N(C22)-N(F22),8)=0,1-N(Ввод!$J$19)/100&lt;=0),"",IF(N(C22)&gt;N(F22),(N(E22)-N(H22))/((N(C22)-N(F22))*(1-N(Ввод!$J$19)/100)),(N(H22)-N(E22))/((N(F22)-N(C22))*(1+N(Ввод!$J$19)/100))))</f>
        <v/>
      </c>
    </row>
    <row r="23" ht="22" customHeight="1">
      <c r="B23" s="239" t="n"/>
      <c r="C23" s="240" t="str">
        <f>IF(SUMIFS(Торговля!$F$5:$F$300,Торговля!$E$5:$E$300,$B23)+SUMIFS(Закрытые!$F$5:$F$300,Закрытые!$E$5:$E$300,$B23,Закрытые!$B$5:$B$300,"T-*")=0,"",SUMIFS(Торговля!$F$5:$F$300,Торговля!$E$5:$E$300,$B23)+SUMIFS(Закрытые!$F$5:$F$300,Закрытые!$E$5:$E$300,$B23,Закрытые!$B$5:$B$300,"T-*"))</f>
        <v/>
      </c>
      <c r="D23" s="177" t="str">
        <f>IF(C23="","",(SUMPRODUCT((Торговля!$E$5:$E$300=$B23)*Торговля!$F$5:$F$300*Торговля!$G$5:$G$300)+SUMPRODUCT((Закрытые!$E$5:$E$300=$B23)*(LEFT(Закрытые!$B$5:$B$300,2)="T-")*Закрытые!$F$5:$F$300*Закрытые!$G$5:$G$300))/C23)</f>
        <v/>
      </c>
      <c r="E23" s="241" t="str">
        <f>IF(C23="","",SUMIFS(Торговля!$H$5:$H$300,Торговля!$E$5:$E$300,$B23)+SUMIFS(Закрытые!$H$5:$H$300,Закрытые!$E$5:$E$300,$B23,Закрытые!$B$5:$B$300,"T-*"))</f>
        <v/>
      </c>
      <c r="F23" s="240" t="str">
        <f>IF(SUMIFS(Торговля!$I$5:$I$300,Торговля!$E$5:$E$300,$B23)+SUMIFS(Закрытые!$I$5:$I$300,Закрытые!$E$5:$E$300,$B23,Закрытые!$B$5:$B$300,"T-*")=0,"",SUMIFS(Торговля!$I$5:$I$300,Торговля!$E$5:$E$300,$B23)+SUMIFS(Закрытые!$I$5:$I$300,Закрытые!$E$5:$E$300,$B23,Закрытые!$B$5:$B$300,"T-*"))</f>
        <v/>
      </c>
      <c r="G23" s="177" t="str">
        <f>IF(F23="","",(SUMPRODUCT((Торговля!$E$5:$E$300=$B23)*Торговля!$I$5:$I$300*Торговля!$J$5:$J$300)+SUMPRODUCT((Закрытые!$E$5:$E$300=$B23)*(LEFT(Закрытые!$B$5:$B$300,2)="T-")*Закрытые!$I$5:$I$300*Закрытые!$J$5:$J$300))/F23)</f>
        <v/>
      </c>
      <c r="H23" s="241" t="str">
        <f>IF(F23="","",SUMIFS(Торговля!$K$5:$K$300,Торговля!$E$5:$E$300,$B23)+SUMIFS(Закрытые!$K$5:$K$300,Закрытые!$E$5:$E$300,$B23,Закрытые!$B$5:$B$300,"T-*"))</f>
        <v/>
      </c>
      <c r="I23" s="240" t="str">
        <f>IF($B23="","",IF(COUNTIFS(Торговля!$E$5:$E$300,$B23)+COUNTIFS(Закрытые!$E$5:$E$300,$B23,Закрытые!$B$5:$B$300,"T-*")=0,"",ROUND(SUMIFS(Торговля!$L$5:$L$300,Торговля!$E$5:$E$300,$B23)+SUMIFS(Закрытые!$L$5:$L$300,Закрытые!$E$5:$E$300,$B23,Закрытые!$B$5:$B$300,"T-*"),8)))</f>
        <v/>
      </c>
      <c r="J23" s="241" t="str">
        <f>IF($B23="","",IF(COUNTIFS(Торговля!$E$5:$E$300,$B23)+COUNTIFS(Закрытые!$E$5:$E$300,$B23,Закрытые!$B$5:$B$300,"T-*")=0,"",ROUND(SUMIFS(Торговля!$M$5:$M$300,Торговля!$E$5:$E$300,$B23)+SUMIFS(Закрытые!$M$5:$M$300,Закрытые!$E$5:$E$300,$B23,Закрытые!$B$5:$B$300,"T-*"),8)))</f>
        <v/>
      </c>
      <c r="K23" s="240" t="str">
        <f>IF(MIN(N(C23),N(F23))&lt;=0,"",ROUND(MIN(N(C23),N(F23))*(N(G23)-N(D23)),8))</f>
        <v/>
      </c>
      <c r="L23" s="177" t="str">
        <f>IF(MIN(N(C23),N(F23))&lt;=0,"",IF(N(D23)=0,"",ROUND((N(G23)/N(D23)-1)*100,2)))</f>
        <v/>
      </c>
      <c r="M23" s="177" t="str">
        <f>IF(OR(ROUND(N(C23)-N(F23),8)=0,1-N(Ввод!$J$19)/100&lt;=0),"",IF(N(C23)&gt;N(F23),(N(E23)-N(H23))/((N(C23)-N(F23))*(1-N(Ввод!$J$19)/100)),(N(H23)-N(E23))/((N(F23)-N(C23))*(1+N(Ввод!$J$19)/100))))</f>
        <v/>
      </c>
    </row>
    <row r="24" ht="22" customHeight="1">
      <c r="B24" s="245" t="n"/>
      <c r="C24" s="246" t="str">
        <f>IF(SUMIFS(Торговля!$F$5:$F$300,Торговля!$E$5:$E$300,$B24)+SUMIFS(Закрытые!$F$5:$F$300,Закрытые!$E$5:$E$300,$B24,Закрытые!$B$5:$B$300,"T-*")=0,"",SUMIFS(Торговля!$F$5:$F$300,Торговля!$E$5:$E$300,$B24)+SUMIFS(Закрытые!$F$5:$F$300,Закрытые!$E$5:$E$300,$B24,Закрытые!$B$5:$B$300,"T-*"))</f>
        <v/>
      </c>
      <c r="D24" s="183" t="str">
        <f>IF(C24="","",(SUMPRODUCT((Торговля!$E$5:$E$300=$B24)*Торговля!$F$5:$F$300*Торговля!$G$5:$G$300)+SUMPRODUCT((Закрытые!$E$5:$E$300=$B24)*(LEFT(Закрытые!$B$5:$B$300,2)="T-")*Закрытые!$F$5:$F$300*Закрытые!$G$5:$G$300))/C24)</f>
        <v/>
      </c>
      <c r="E24" s="247" t="str">
        <f>IF(C24="","",SUMIFS(Торговля!$H$5:$H$300,Торговля!$E$5:$E$300,$B24)+SUMIFS(Закрытые!$H$5:$H$300,Закрытые!$E$5:$E$300,$B24,Закрытые!$B$5:$B$300,"T-*"))</f>
        <v/>
      </c>
      <c r="F24" s="246" t="str">
        <f>IF(SUMIFS(Торговля!$I$5:$I$300,Торговля!$E$5:$E$300,$B24)+SUMIFS(Закрытые!$I$5:$I$300,Закрытые!$E$5:$E$300,$B24,Закрытые!$B$5:$B$300,"T-*")=0,"",SUMIFS(Торговля!$I$5:$I$300,Торговля!$E$5:$E$300,$B24)+SUMIFS(Закрытые!$I$5:$I$300,Закрытые!$E$5:$E$300,$B24,Закрытые!$B$5:$B$300,"T-*"))</f>
        <v/>
      </c>
      <c r="G24" s="183" t="str">
        <f>IF(F24="","",(SUMPRODUCT((Торговля!$E$5:$E$300=$B24)*Торговля!$I$5:$I$300*Торговля!$J$5:$J$300)+SUMPRODUCT((Закрытые!$E$5:$E$300=$B24)*(LEFT(Закрытые!$B$5:$B$300,2)="T-")*Закрытые!$I$5:$I$300*Закрытые!$J$5:$J$300))/F24)</f>
        <v/>
      </c>
      <c r="H24" s="247" t="str">
        <f>IF(F24="","",SUMIFS(Торговля!$K$5:$K$300,Торговля!$E$5:$E$300,$B24)+SUMIFS(Закрытые!$K$5:$K$300,Закрытые!$E$5:$E$300,$B24,Закрытые!$B$5:$B$300,"T-*"))</f>
        <v/>
      </c>
      <c r="I24" s="246" t="str">
        <f>IF($B24="","",IF(COUNTIFS(Торговля!$E$5:$E$300,$B24)+COUNTIFS(Закрытые!$E$5:$E$300,$B24,Закрытые!$B$5:$B$300,"T-*")=0,"",ROUND(SUMIFS(Торговля!$L$5:$L$300,Торговля!$E$5:$E$300,$B24)+SUMIFS(Закрытые!$L$5:$L$300,Закрытые!$E$5:$E$300,$B24,Закрытые!$B$5:$B$300,"T-*"),8)))</f>
        <v/>
      </c>
      <c r="J24" s="247" t="str">
        <f>IF($B24="","",IF(COUNTIFS(Торговля!$E$5:$E$300,$B24)+COUNTIFS(Закрытые!$E$5:$E$300,$B24,Закрытые!$B$5:$B$300,"T-*")=0,"",ROUND(SUMIFS(Торговля!$M$5:$M$300,Торговля!$E$5:$E$300,$B24)+SUMIFS(Закрытые!$M$5:$M$300,Закрытые!$E$5:$E$300,$B24,Закрытые!$B$5:$B$300,"T-*"),8)))</f>
        <v/>
      </c>
      <c r="K24" s="246" t="str">
        <f>IF(MIN(N(C24),N(F24))&lt;=0,"",ROUND(MIN(N(C24),N(F24))*(N(G24)-N(D24)),8))</f>
        <v/>
      </c>
      <c r="L24" s="183" t="str">
        <f>IF(MIN(N(C24),N(F24))&lt;=0,"",IF(N(D24)=0,"",ROUND((N(G24)/N(D24)-1)*100,2)))</f>
        <v/>
      </c>
      <c r="M24" s="183" t="str">
        <f>IF(OR(ROUND(N(C24)-N(F24),8)=0,1-N(Ввод!$J$19)/100&lt;=0),"",IF(N(C24)&gt;N(F24),(N(E24)-N(H24))/((N(C24)-N(F24))*(1-N(Ввод!$J$19)/100)),(N(H24)-N(E24))/((N(F24)-N(C24))*(1+N(Ввод!$J$19)/100))))</f>
        <v/>
      </c>
    </row>
    <row r="25" ht="22" customHeight="1">
      <c r="B25" s="239" t="n"/>
      <c r="C25" s="240" t="str">
        <f>IF(SUMIFS(Торговля!$F$5:$F$300,Торговля!$E$5:$E$300,$B25)+SUMIFS(Закрытые!$F$5:$F$300,Закрытые!$E$5:$E$300,$B25,Закрытые!$B$5:$B$300,"T-*")=0,"",SUMIFS(Торговля!$F$5:$F$300,Торговля!$E$5:$E$300,$B25)+SUMIFS(Закрытые!$F$5:$F$300,Закрытые!$E$5:$E$300,$B25,Закрытые!$B$5:$B$300,"T-*"))</f>
        <v/>
      </c>
      <c r="D25" s="177" t="str">
        <f>IF(C25="","",(SUMPRODUCT((Торговля!$E$5:$E$300=$B25)*Торговля!$F$5:$F$300*Торговля!$G$5:$G$300)+SUMPRODUCT((Закрытые!$E$5:$E$300=$B25)*(LEFT(Закрытые!$B$5:$B$300,2)="T-")*Закрытые!$F$5:$F$300*Закрытые!$G$5:$G$300))/C25)</f>
        <v/>
      </c>
      <c r="E25" s="241" t="str">
        <f>IF(C25="","",SUMIFS(Торговля!$H$5:$H$300,Торговля!$E$5:$E$300,$B25)+SUMIFS(Закрытые!$H$5:$H$300,Закрытые!$E$5:$E$300,$B25,Закрытые!$B$5:$B$300,"T-*"))</f>
        <v/>
      </c>
      <c r="F25" s="240" t="str">
        <f>IF(SUMIFS(Торговля!$I$5:$I$300,Торговля!$E$5:$E$300,$B25)+SUMIFS(Закрытые!$I$5:$I$300,Закрытые!$E$5:$E$300,$B25,Закрытые!$B$5:$B$300,"T-*")=0,"",SUMIFS(Торговля!$I$5:$I$300,Торговля!$E$5:$E$300,$B25)+SUMIFS(Закрытые!$I$5:$I$300,Закрытые!$E$5:$E$300,$B25,Закрытые!$B$5:$B$300,"T-*"))</f>
        <v/>
      </c>
      <c r="G25" s="177" t="str">
        <f>IF(F25="","",(SUMPRODUCT((Торговля!$E$5:$E$300=$B25)*Торговля!$I$5:$I$300*Торговля!$J$5:$J$300)+SUMPRODUCT((Закрытые!$E$5:$E$300=$B25)*(LEFT(Закрытые!$B$5:$B$300,2)="T-")*Закрытые!$I$5:$I$300*Закрытые!$J$5:$J$300))/F25)</f>
        <v/>
      </c>
      <c r="H25" s="241" t="str">
        <f>IF(F25="","",SUMIFS(Торговля!$K$5:$K$300,Торговля!$E$5:$E$300,$B25)+SUMIFS(Закрытые!$K$5:$K$300,Закрытые!$E$5:$E$300,$B25,Закрытые!$B$5:$B$300,"T-*"))</f>
        <v/>
      </c>
      <c r="I25" s="240" t="str">
        <f>IF($B25="","",IF(COUNTIFS(Торговля!$E$5:$E$300,$B25)+COUNTIFS(Закрытые!$E$5:$E$300,$B25,Закрытые!$B$5:$B$300,"T-*")=0,"",ROUND(SUMIFS(Торговля!$L$5:$L$300,Торговля!$E$5:$E$300,$B25)+SUMIFS(Закрытые!$L$5:$L$300,Закрытые!$E$5:$E$300,$B25,Закрытые!$B$5:$B$300,"T-*"),8)))</f>
        <v/>
      </c>
      <c r="J25" s="241" t="str">
        <f>IF($B25="","",IF(COUNTIFS(Торговля!$E$5:$E$300,$B25)+COUNTIFS(Закрытые!$E$5:$E$300,$B25,Закрытые!$B$5:$B$300,"T-*")=0,"",ROUND(SUMIFS(Торговля!$M$5:$M$300,Торговля!$E$5:$E$300,$B25)+SUMIFS(Закрытые!$M$5:$M$300,Закрытые!$E$5:$E$300,$B25,Закрытые!$B$5:$B$300,"T-*"),8)))</f>
        <v/>
      </c>
      <c r="K25" s="240" t="str">
        <f>IF(MIN(N(C25),N(F25))&lt;=0,"",ROUND(MIN(N(C25),N(F25))*(N(G25)-N(D25)),8))</f>
        <v/>
      </c>
      <c r="L25" s="177" t="str">
        <f>IF(MIN(N(C25),N(F25))&lt;=0,"",IF(N(D25)=0,"",ROUND((N(G25)/N(D25)-1)*100,2)))</f>
        <v/>
      </c>
      <c r="M25" s="177" t="str">
        <f>IF(OR(ROUND(N(C25)-N(F25),8)=0,1-N(Ввод!$J$19)/100&lt;=0),"",IF(N(C25)&gt;N(F25),(N(E25)-N(H25))/((N(C25)-N(F25))*(1-N(Ввод!$J$19)/100)),(N(H25)-N(E25))/((N(F25)-N(C25))*(1+N(Ввод!$J$19)/100))))</f>
        <v/>
      </c>
    </row>
    <row r="26" ht="22" customHeight="1">
      <c r="B26" s="245" t="n"/>
      <c r="C26" s="246" t="str">
        <f>IF(SUMIFS(Торговля!$F$5:$F$300,Торговля!$E$5:$E$300,$B26)+SUMIFS(Закрытые!$F$5:$F$300,Закрытые!$E$5:$E$300,$B26,Закрытые!$B$5:$B$300,"T-*")=0,"",SUMIFS(Торговля!$F$5:$F$300,Торговля!$E$5:$E$300,$B26)+SUMIFS(Закрытые!$F$5:$F$300,Закрытые!$E$5:$E$300,$B26,Закрытые!$B$5:$B$300,"T-*"))</f>
        <v/>
      </c>
      <c r="D26" s="183" t="str">
        <f>IF(C26="","",(SUMPRODUCT((Торговля!$E$5:$E$300=$B26)*Торговля!$F$5:$F$300*Торговля!$G$5:$G$300)+SUMPRODUCT((Закрытые!$E$5:$E$300=$B26)*(LEFT(Закрытые!$B$5:$B$300,2)="T-")*Закрытые!$F$5:$F$300*Закрытые!$G$5:$G$300))/C26)</f>
        <v/>
      </c>
      <c r="E26" s="247" t="str">
        <f>IF(C26="","",SUMIFS(Торговля!$H$5:$H$300,Торговля!$E$5:$E$300,$B26)+SUMIFS(Закрытые!$H$5:$H$300,Закрытые!$E$5:$E$300,$B26,Закрытые!$B$5:$B$300,"T-*"))</f>
        <v/>
      </c>
      <c r="F26" s="246" t="str">
        <f>IF(SUMIFS(Торговля!$I$5:$I$300,Торговля!$E$5:$E$300,$B26)+SUMIFS(Закрытые!$I$5:$I$300,Закрытые!$E$5:$E$300,$B26,Закрытые!$B$5:$B$300,"T-*")=0,"",SUMIFS(Торговля!$I$5:$I$300,Торговля!$E$5:$E$300,$B26)+SUMIFS(Закрытые!$I$5:$I$300,Закрытые!$E$5:$E$300,$B26,Закрытые!$B$5:$B$300,"T-*"))</f>
        <v/>
      </c>
      <c r="G26" s="183" t="str">
        <f>IF(F26="","",(SUMPRODUCT((Торговля!$E$5:$E$300=$B26)*Торговля!$I$5:$I$300*Торговля!$J$5:$J$300)+SUMPRODUCT((Закрытые!$E$5:$E$300=$B26)*(LEFT(Закрытые!$B$5:$B$300,2)="T-")*Закрытые!$I$5:$I$300*Закрытые!$J$5:$J$300))/F26)</f>
        <v/>
      </c>
      <c r="H26" s="247" t="str">
        <f>IF(F26="","",SUMIFS(Торговля!$K$5:$K$300,Торговля!$E$5:$E$300,$B26)+SUMIFS(Закрытые!$K$5:$K$300,Закрытые!$E$5:$E$300,$B26,Закрытые!$B$5:$B$300,"T-*"))</f>
        <v/>
      </c>
      <c r="I26" s="246" t="str">
        <f>IF($B26="","",IF(COUNTIFS(Торговля!$E$5:$E$300,$B26)+COUNTIFS(Закрытые!$E$5:$E$300,$B26,Закрытые!$B$5:$B$300,"T-*")=0,"",ROUND(SUMIFS(Торговля!$L$5:$L$300,Торговля!$E$5:$E$300,$B26)+SUMIFS(Закрытые!$L$5:$L$300,Закрытые!$E$5:$E$300,$B26,Закрытые!$B$5:$B$300,"T-*"),8)))</f>
        <v/>
      </c>
      <c r="J26" s="247" t="str">
        <f>IF($B26="","",IF(COUNTIFS(Торговля!$E$5:$E$300,$B26)+COUNTIFS(Закрытые!$E$5:$E$300,$B26,Закрытые!$B$5:$B$300,"T-*")=0,"",ROUND(SUMIFS(Торговля!$M$5:$M$300,Торговля!$E$5:$E$300,$B26)+SUMIFS(Закрытые!$M$5:$M$300,Закрытые!$E$5:$E$300,$B26,Закрытые!$B$5:$B$300,"T-*"),8)))</f>
        <v/>
      </c>
      <c r="K26" s="246" t="str">
        <f>IF(MIN(N(C26),N(F26))&lt;=0,"",ROUND(MIN(N(C26),N(F26))*(N(G26)-N(D26)),8))</f>
        <v/>
      </c>
      <c r="L26" s="183" t="str">
        <f>IF(MIN(N(C26),N(F26))&lt;=0,"",IF(N(D26)=0,"",ROUND((N(G26)/N(D26)-1)*100,2)))</f>
        <v/>
      </c>
      <c r="M26" s="183" t="str">
        <f>IF(OR(ROUND(N(C26)-N(F26),8)=0,1-N(Ввод!$J$19)/100&lt;=0),"",IF(N(C26)&gt;N(F26),(N(E26)-N(H26))/((N(C26)-N(F26))*(1-N(Ввод!$J$19)/100)),(N(H26)-N(E26))/((N(F26)-N(C26))*(1+N(Ввод!$J$19)/100))))</f>
        <v/>
      </c>
    </row>
    <row r="27" ht="22" customHeight="1">
      <c r="B27" s="239" t="n"/>
      <c r="C27" s="240" t="str">
        <f>IF(SUMIFS(Торговля!$F$5:$F$300,Торговля!$E$5:$E$300,$B27)+SUMIFS(Закрытые!$F$5:$F$300,Закрытые!$E$5:$E$300,$B27,Закрытые!$B$5:$B$300,"T-*")=0,"",SUMIFS(Торговля!$F$5:$F$300,Торговля!$E$5:$E$300,$B27)+SUMIFS(Закрытые!$F$5:$F$300,Закрытые!$E$5:$E$300,$B27,Закрытые!$B$5:$B$300,"T-*"))</f>
        <v/>
      </c>
      <c r="D27" s="177" t="str">
        <f>IF(C27="","",(SUMPRODUCT((Торговля!$E$5:$E$300=$B27)*Торговля!$F$5:$F$300*Торговля!$G$5:$G$300)+SUMPRODUCT((Закрытые!$E$5:$E$300=$B27)*(LEFT(Закрытые!$B$5:$B$300,2)="T-")*Закрытые!$F$5:$F$300*Закрытые!$G$5:$G$300))/C27)</f>
        <v/>
      </c>
      <c r="E27" s="241" t="str">
        <f>IF(C27="","",SUMIFS(Торговля!$H$5:$H$300,Торговля!$E$5:$E$300,$B27)+SUMIFS(Закрытые!$H$5:$H$300,Закрытые!$E$5:$E$300,$B27,Закрытые!$B$5:$B$300,"T-*"))</f>
        <v/>
      </c>
      <c r="F27" s="240" t="str">
        <f>IF(SUMIFS(Торговля!$I$5:$I$300,Торговля!$E$5:$E$300,$B27)+SUMIFS(Закрытые!$I$5:$I$300,Закрытые!$E$5:$E$300,$B27,Закрытые!$B$5:$B$300,"T-*")=0,"",SUMIFS(Торговля!$I$5:$I$300,Торговля!$E$5:$E$300,$B27)+SUMIFS(Закрытые!$I$5:$I$300,Закрытые!$E$5:$E$300,$B27,Закрытые!$B$5:$B$300,"T-*"))</f>
        <v/>
      </c>
      <c r="G27" s="177" t="str">
        <f>IF(F27="","",(SUMPRODUCT((Торговля!$E$5:$E$300=$B27)*Торговля!$I$5:$I$300*Торговля!$J$5:$J$300)+SUMPRODUCT((Закрытые!$E$5:$E$300=$B27)*(LEFT(Закрытые!$B$5:$B$300,2)="T-")*Закрытые!$I$5:$I$300*Закрытые!$J$5:$J$300))/F27)</f>
        <v/>
      </c>
      <c r="H27" s="241" t="str">
        <f>IF(F27="","",SUMIFS(Торговля!$K$5:$K$300,Торговля!$E$5:$E$300,$B27)+SUMIFS(Закрытые!$K$5:$K$300,Закрытые!$E$5:$E$300,$B27,Закрытые!$B$5:$B$300,"T-*"))</f>
        <v/>
      </c>
      <c r="I27" s="240" t="str">
        <f>IF($B27="","",IF(COUNTIFS(Торговля!$E$5:$E$300,$B27)+COUNTIFS(Закрытые!$E$5:$E$300,$B27,Закрытые!$B$5:$B$300,"T-*")=0,"",ROUND(SUMIFS(Торговля!$L$5:$L$300,Торговля!$E$5:$E$300,$B27)+SUMIFS(Закрытые!$L$5:$L$300,Закрытые!$E$5:$E$300,$B27,Закрытые!$B$5:$B$300,"T-*"),8)))</f>
        <v/>
      </c>
      <c r="J27" s="241" t="str">
        <f>IF($B27="","",IF(COUNTIFS(Торговля!$E$5:$E$300,$B27)+COUNTIFS(Закрытые!$E$5:$E$300,$B27,Закрытые!$B$5:$B$300,"T-*")=0,"",ROUND(SUMIFS(Торговля!$M$5:$M$300,Торговля!$E$5:$E$300,$B27)+SUMIFS(Закрытые!$M$5:$M$300,Закрытые!$E$5:$E$300,$B27,Закрытые!$B$5:$B$300,"T-*"),8)))</f>
        <v/>
      </c>
      <c r="K27" s="240" t="str">
        <f>IF(MIN(N(C27),N(F27))&lt;=0,"",ROUND(MIN(N(C27),N(F27))*(N(G27)-N(D27)),8))</f>
        <v/>
      </c>
      <c r="L27" s="177" t="str">
        <f>IF(MIN(N(C27),N(F27))&lt;=0,"",IF(N(D27)=0,"",ROUND((N(G27)/N(D27)-1)*100,2)))</f>
        <v/>
      </c>
      <c r="M27" s="177" t="str">
        <f>IF(OR(ROUND(N(C27)-N(F27),8)=0,1-N(Ввод!$J$19)/100&lt;=0),"",IF(N(C27)&gt;N(F27),(N(E27)-N(H27))/((N(C27)-N(F27))*(1-N(Ввод!$J$19)/100)),(N(H27)-N(E27))/((N(F27)-N(C27))*(1+N(Ввод!$J$19)/100))))</f>
        <v/>
      </c>
    </row>
    <row r="28" ht="22" customHeight="1">
      <c r="B28" s="245" t="n"/>
      <c r="C28" s="246" t="str">
        <f>IF(SUMIFS(Торговля!$F$5:$F$300,Торговля!$E$5:$E$300,$B28)+SUMIFS(Закрытые!$F$5:$F$300,Закрытые!$E$5:$E$300,$B28,Закрытые!$B$5:$B$300,"T-*")=0,"",SUMIFS(Торговля!$F$5:$F$300,Торговля!$E$5:$E$300,$B28)+SUMIFS(Закрытые!$F$5:$F$300,Закрытые!$E$5:$E$300,$B28,Закрытые!$B$5:$B$300,"T-*"))</f>
        <v/>
      </c>
      <c r="D28" s="183" t="str">
        <f>IF(C28="","",(SUMPRODUCT((Торговля!$E$5:$E$300=$B28)*Торговля!$F$5:$F$300*Торговля!$G$5:$G$300)+SUMPRODUCT((Закрытые!$E$5:$E$300=$B28)*(LEFT(Закрытые!$B$5:$B$300,2)="T-")*Закрытые!$F$5:$F$300*Закрытые!$G$5:$G$300))/C28)</f>
        <v/>
      </c>
      <c r="E28" s="247" t="str">
        <f>IF(C28="","",SUMIFS(Торговля!$H$5:$H$300,Торговля!$E$5:$E$300,$B28)+SUMIFS(Закрытые!$H$5:$H$300,Закрытые!$E$5:$E$300,$B28,Закрытые!$B$5:$B$300,"T-*"))</f>
        <v/>
      </c>
      <c r="F28" s="246" t="str">
        <f>IF(SUMIFS(Торговля!$I$5:$I$300,Торговля!$E$5:$E$300,$B28)+SUMIFS(Закрытые!$I$5:$I$300,Закрытые!$E$5:$E$300,$B28,Закрытые!$B$5:$B$300,"T-*")=0,"",SUMIFS(Торговля!$I$5:$I$300,Торговля!$E$5:$E$300,$B28)+SUMIFS(Закрытые!$I$5:$I$300,Закрытые!$E$5:$E$300,$B28,Закрытые!$B$5:$B$300,"T-*"))</f>
        <v/>
      </c>
      <c r="G28" s="183" t="str">
        <f>IF(F28="","",(SUMPRODUCT((Торговля!$E$5:$E$300=$B28)*Торговля!$I$5:$I$300*Торговля!$J$5:$J$300)+SUMPRODUCT((Закрытые!$E$5:$E$300=$B28)*(LEFT(Закрытые!$B$5:$B$300,2)="T-")*Закрытые!$I$5:$I$300*Закрытые!$J$5:$J$300))/F28)</f>
        <v/>
      </c>
      <c r="H28" s="247" t="str">
        <f>IF(F28="","",SUMIFS(Торговля!$K$5:$K$300,Торговля!$E$5:$E$300,$B28)+SUMIFS(Закрытые!$K$5:$K$300,Закрытые!$E$5:$E$300,$B28,Закрытые!$B$5:$B$300,"T-*"))</f>
        <v/>
      </c>
      <c r="I28" s="246" t="str">
        <f>IF($B28="","",IF(COUNTIFS(Торговля!$E$5:$E$300,$B28)+COUNTIFS(Закрытые!$E$5:$E$300,$B28,Закрытые!$B$5:$B$300,"T-*")=0,"",ROUND(SUMIFS(Торговля!$L$5:$L$300,Торговля!$E$5:$E$300,$B28)+SUMIFS(Закрытые!$L$5:$L$300,Закрытые!$E$5:$E$300,$B28,Закрытые!$B$5:$B$300,"T-*"),8)))</f>
        <v/>
      </c>
      <c r="J28" s="247" t="str">
        <f>IF($B28="","",IF(COUNTIFS(Торговля!$E$5:$E$300,$B28)+COUNTIFS(Закрытые!$E$5:$E$300,$B28,Закрытые!$B$5:$B$300,"T-*")=0,"",ROUND(SUMIFS(Торговля!$M$5:$M$300,Торговля!$E$5:$E$300,$B28)+SUMIFS(Закрытые!$M$5:$M$300,Закрытые!$E$5:$E$300,$B28,Закрытые!$B$5:$B$300,"T-*"),8)))</f>
        <v/>
      </c>
      <c r="K28" s="246" t="str">
        <f>IF(MIN(N(C28),N(F28))&lt;=0,"",ROUND(MIN(N(C28),N(F28))*(N(G28)-N(D28)),8))</f>
        <v/>
      </c>
      <c r="L28" s="183" t="str">
        <f>IF(MIN(N(C28),N(F28))&lt;=0,"",IF(N(D28)=0,"",ROUND((N(G28)/N(D28)-1)*100,2)))</f>
        <v/>
      </c>
      <c r="M28" s="183" t="str">
        <f>IF(OR(ROUND(N(C28)-N(F28),8)=0,1-N(Ввод!$J$19)/100&lt;=0),"",IF(N(C28)&gt;N(F28),(N(E28)-N(H28))/((N(C28)-N(F28))*(1-N(Ввод!$J$19)/100)),(N(H28)-N(E28))/((N(F28)-N(C28))*(1+N(Ввод!$J$19)/100))))</f>
        <v/>
      </c>
    </row>
    <row r="29" ht="22" customHeight="1">
      <c r="B29" s="239" t="n"/>
      <c r="C29" s="240" t="str">
        <f>IF(SUMIFS(Торговля!$F$5:$F$300,Торговля!$E$5:$E$300,$B29)+SUMIFS(Закрытые!$F$5:$F$300,Закрытые!$E$5:$E$300,$B29,Закрытые!$B$5:$B$300,"T-*")=0,"",SUMIFS(Торговля!$F$5:$F$300,Торговля!$E$5:$E$300,$B29)+SUMIFS(Закрытые!$F$5:$F$300,Закрытые!$E$5:$E$300,$B29,Закрытые!$B$5:$B$300,"T-*"))</f>
        <v/>
      </c>
      <c r="D29" s="177" t="str">
        <f>IF(C29="","",(SUMPRODUCT((Торговля!$E$5:$E$300=$B29)*Торговля!$F$5:$F$300*Торговля!$G$5:$G$300)+SUMPRODUCT((Закрытые!$E$5:$E$300=$B29)*(LEFT(Закрытые!$B$5:$B$300,2)="T-")*Закрытые!$F$5:$F$300*Закрытые!$G$5:$G$300))/C29)</f>
        <v/>
      </c>
      <c r="E29" s="241" t="str">
        <f>IF(C29="","",SUMIFS(Торговля!$H$5:$H$300,Торговля!$E$5:$E$300,$B29)+SUMIFS(Закрытые!$H$5:$H$300,Закрытые!$E$5:$E$300,$B29,Закрытые!$B$5:$B$300,"T-*"))</f>
        <v/>
      </c>
      <c r="F29" s="240" t="str">
        <f>IF(SUMIFS(Торговля!$I$5:$I$300,Торговля!$E$5:$E$300,$B29)+SUMIFS(Закрытые!$I$5:$I$300,Закрытые!$E$5:$E$300,$B29,Закрытые!$B$5:$B$300,"T-*")=0,"",SUMIFS(Торговля!$I$5:$I$300,Торговля!$E$5:$E$300,$B29)+SUMIFS(Закрытые!$I$5:$I$300,Закрытые!$E$5:$E$300,$B29,Закрытые!$B$5:$B$300,"T-*"))</f>
        <v/>
      </c>
      <c r="G29" s="177" t="str">
        <f>IF(F29="","",(SUMPRODUCT((Торговля!$E$5:$E$300=$B29)*Торговля!$I$5:$I$300*Торговля!$J$5:$J$300)+SUMPRODUCT((Закрытые!$E$5:$E$300=$B29)*(LEFT(Закрытые!$B$5:$B$300,2)="T-")*Закрытые!$I$5:$I$300*Закрытые!$J$5:$J$300))/F29)</f>
        <v/>
      </c>
      <c r="H29" s="241" t="str">
        <f>IF(F29="","",SUMIFS(Торговля!$K$5:$K$300,Торговля!$E$5:$E$300,$B29)+SUMIFS(Закрытые!$K$5:$K$300,Закрытые!$E$5:$E$300,$B29,Закрытые!$B$5:$B$300,"T-*"))</f>
        <v/>
      </c>
      <c r="I29" s="240" t="str">
        <f>IF($B29="","",IF(COUNTIFS(Торговля!$E$5:$E$300,$B29)+COUNTIFS(Закрытые!$E$5:$E$300,$B29,Закрытые!$B$5:$B$300,"T-*")=0,"",ROUND(SUMIFS(Торговля!$L$5:$L$300,Торговля!$E$5:$E$300,$B29)+SUMIFS(Закрытые!$L$5:$L$300,Закрытые!$E$5:$E$300,$B29,Закрытые!$B$5:$B$300,"T-*"),8)))</f>
        <v/>
      </c>
      <c r="J29" s="241" t="str">
        <f>IF($B29="","",IF(COUNTIFS(Торговля!$E$5:$E$300,$B29)+COUNTIFS(Закрытые!$E$5:$E$300,$B29,Закрытые!$B$5:$B$300,"T-*")=0,"",ROUND(SUMIFS(Торговля!$M$5:$M$300,Торговля!$E$5:$E$300,$B29)+SUMIFS(Закрытые!$M$5:$M$300,Закрытые!$E$5:$E$300,$B29,Закрытые!$B$5:$B$300,"T-*"),8)))</f>
        <v/>
      </c>
      <c r="K29" s="240" t="str">
        <f>IF(MIN(N(C29),N(F29))&lt;=0,"",ROUND(MIN(N(C29),N(F29))*(N(G29)-N(D29)),8))</f>
        <v/>
      </c>
      <c r="L29" s="177" t="str">
        <f>IF(MIN(N(C29),N(F29))&lt;=0,"",IF(N(D29)=0,"",ROUND((N(G29)/N(D29)-1)*100,2)))</f>
        <v/>
      </c>
      <c r="M29" s="177" t="str">
        <f>IF(OR(ROUND(N(C29)-N(F29),8)=0,1-N(Ввод!$J$19)/100&lt;=0),"",IF(N(C29)&gt;N(F29),(N(E29)-N(H29))/((N(C29)-N(F29))*(1-N(Ввод!$J$19)/100)),(N(H29)-N(E29))/((N(F29)-N(C29))*(1+N(Ввод!$J$19)/100))))</f>
        <v/>
      </c>
    </row>
    <row r="30" ht="22" customHeight="1">
      <c r="B30" s="245" t="n"/>
      <c r="C30" s="246" t="str">
        <f>IF(SUMIFS(Торговля!$F$5:$F$300,Торговля!$E$5:$E$300,$B30)+SUMIFS(Закрытые!$F$5:$F$300,Закрытые!$E$5:$E$300,$B30,Закрытые!$B$5:$B$300,"T-*")=0,"",SUMIFS(Торговля!$F$5:$F$300,Торговля!$E$5:$E$300,$B30)+SUMIFS(Закрытые!$F$5:$F$300,Закрытые!$E$5:$E$300,$B30,Закрытые!$B$5:$B$300,"T-*"))</f>
        <v/>
      </c>
      <c r="D30" s="183" t="str">
        <f>IF(C30="","",(SUMPRODUCT((Торговля!$E$5:$E$300=$B30)*Торговля!$F$5:$F$300*Торговля!$G$5:$G$300)+SUMPRODUCT((Закрытые!$E$5:$E$300=$B30)*(LEFT(Закрытые!$B$5:$B$300,2)="T-")*Закрытые!$F$5:$F$300*Закрытые!$G$5:$G$300))/C30)</f>
        <v/>
      </c>
      <c r="E30" s="247" t="str">
        <f>IF(C30="","",SUMIFS(Торговля!$H$5:$H$300,Торговля!$E$5:$E$300,$B30)+SUMIFS(Закрытые!$H$5:$H$300,Закрытые!$E$5:$E$300,$B30,Закрытые!$B$5:$B$300,"T-*"))</f>
        <v/>
      </c>
      <c r="F30" s="246" t="str">
        <f>IF(SUMIFS(Торговля!$I$5:$I$300,Торговля!$E$5:$E$300,$B30)+SUMIFS(Закрытые!$I$5:$I$300,Закрытые!$E$5:$E$300,$B30,Закрытые!$B$5:$B$300,"T-*")=0,"",SUMIFS(Торговля!$I$5:$I$300,Торговля!$E$5:$E$300,$B30)+SUMIFS(Закрытые!$I$5:$I$300,Закрытые!$E$5:$E$300,$B30,Закрытые!$B$5:$B$300,"T-*"))</f>
        <v/>
      </c>
      <c r="G30" s="183" t="str">
        <f>IF(F30="","",(SUMPRODUCT((Торговля!$E$5:$E$300=$B30)*Торговля!$I$5:$I$300*Торговля!$J$5:$J$300)+SUMPRODUCT((Закрытые!$E$5:$E$300=$B30)*(LEFT(Закрытые!$B$5:$B$300,2)="T-")*Закрытые!$I$5:$I$300*Закрытые!$J$5:$J$300))/F30)</f>
        <v/>
      </c>
      <c r="H30" s="247" t="str">
        <f>IF(F30="","",SUMIFS(Торговля!$K$5:$K$300,Торговля!$E$5:$E$300,$B30)+SUMIFS(Закрытые!$K$5:$K$300,Закрытые!$E$5:$E$300,$B30,Закрытые!$B$5:$B$300,"T-*"))</f>
        <v/>
      </c>
      <c r="I30" s="246" t="str">
        <f>IF($B30="","",IF(COUNTIFS(Торговля!$E$5:$E$300,$B30)+COUNTIFS(Закрытые!$E$5:$E$300,$B30,Закрытые!$B$5:$B$300,"T-*")=0,"",ROUND(SUMIFS(Торговля!$L$5:$L$300,Торговля!$E$5:$E$300,$B30)+SUMIFS(Закрытые!$L$5:$L$300,Закрытые!$E$5:$E$300,$B30,Закрытые!$B$5:$B$300,"T-*"),8)))</f>
        <v/>
      </c>
      <c r="J30" s="247" t="str">
        <f>IF($B30="","",IF(COUNTIFS(Торговля!$E$5:$E$300,$B30)+COUNTIFS(Закрытые!$E$5:$E$300,$B30,Закрытые!$B$5:$B$300,"T-*")=0,"",ROUND(SUMIFS(Торговля!$M$5:$M$300,Торговля!$E$5:$E$300,$B30)+SUMIFS(Закрытые!$M$5:$M$300,Закрытые!$E$5:$E$300,$B30,Закрытые!$B$5:$B$300,"T-*"),8)))</f>
        <v/>
      </c>
      <c r="K30" s="246" t="str">
        <f>IF(MIN(N(C30),N(F30))&lt;=0,"",ROUND(MIN(N(C30),N(F30))*(N(G30)-N(D30)),8))</f>
        <v/>
      </c>
      <c r="L30" s="183" t="str">
        <f>IF(MIN(N(C30),N(F30))&lt;=0,"",IF(N(D30)=0,"",ROUND((N(G30)/N(D30)-1)*100,2)))</f>
        <v/>
      </c>
      <c r="M30" s="183" t="str">
        <f>IF(OR(ROUND(N(C30)-N(F30),8)=0,1-N(Ввод!$J$19)/100&lt;=0),"",IF(N(C30)&gt;N(F30),(N(E30)-N(H30))/((N(C30)-N(F30))*(1-N(Ввод!$J$19)/100)),(N(H30)-N(E30))/((N(F30)-N(C30))*(1+N(Ввод!$J$19)/100))))</f>
        <v/>
      </c>
    </row>
    <row r="31" ht="22" customHeight="1">
      <c r="B31" s="239" t="n"/>
      <c r="C31" s="240" t="str">
        <f>IF(SUMIFS(Торговля!$F$5:$F$300,Торговля!$E$5:$E$300,$B31)+SUMIFS(Закрытые!$F$5:$F$300,Закрытые!$E$5:$E$300,$B31,Закрытые!$B$5:$B$300,"T-*")=0,"",SUMIFS(Торговля!$F$5:$F$300,Торговля!$E$5:$E$300,$B31)+SUMIFS(Закрытые!$F$5:$F$300,Закрытые!$E$5:$E$300,$B31,Закрытые!$B$5:$B$300,"T-*"))</f>
        <v/>
      </c>
      <c r="D31" s="177" t="str">
        <f>IF(C31="","",(SUMPRODUCT((Торговля!$E$5:$E$300=$B31)*Торговля!$F$5:$F$300*Торговля!$G$5:$G$300)+SUMPRODUCT((Закрытые!$E$5:$E$300=$B31)*(LEFT(Закрытые!$B$5:$B$300,2)="T-")*Закрытые!$F$5:$F$300*Закрытые!$G$5:$G$300))/C31)</f>
        <v/>
      </c>
      <c r="E31" s="241" t="str">
        <f>IF(C31="","",SUMIFS(Торговля!$H$5:$H$300,Торговля!$E$5:$E$300,$B31)+SUMIFS(Закрытые!$H$5:$H$300,Закрытые!$E$5:$E$300,$B31,Закрытые!$B$5:$B$300,"T-*"))</f>
        <v/>
      </c>
      <c r="F31" s="240" t="str">
        <f>IF(SUMIFS(Торговля!$I$5:$I$300,Торговля!$E$5:$E$300,$B31)+SUMIFS(Закрытые!$I$5:$I$300,Закрытые!$E$5:$E$300,$B31,Закрытые!$B$5:$B$300,"T-*")=0,"",SUMIFS(Торговля!$I$5:$I$300,Торговля!$E$5:$E$300,$B31)+SUMIFS(Закрытые!$I$5:$I$300,Закрытые!$E$5:$E$300,$B31,Закрытые!$B$5:$B$300,"T-*"))</f>
        <v/>
      </c>
      <c r="G31" s="177" t="str">
        <f>IF(F31="","",(SUMPRODUCT((Торговля!$E$5:$E$300=$B31)*Торговля!$I$5:$I$300*Торговля!$J$5:$J$300)+SUMPRODUCT((Закрытые!$E$5:$E$300=$B31)*(LEFT(Закрытые!$B$5:$B$300,2)="T-")*Закрытые!$I$5:$I$300*Закрытые!$J$5:$J$300))/F31)</f>
        <v/>
      </c>
      <c r="H31" s="241" t="str">
        <f>IF(F31="","",SUMIFS(Торговля!$K$5:$K$300,Торговля!$E$5:$E$300,$B31)+SUMIFS(Закрытые!$K$5:$K$300,Закрытые!$E$5:$E$300,$B31,Закрытые!$B$5:$B$300,"T-*"))</f>
        <v/>
      </c>
      <c r="I31" s="240" t="str">
        <f>IF($B31="","",IF(COUNTIFS(Торговля!$E$5:$E$300,$B31)+COUNTIFS(Закрытые!$E$5:$E$300,$B31,Закрытые!$B$5:$B$300,"T-*")=0,"",ROUND(SUMIFS(Торговля!$L$5:$L$300,Торговля!$E$5:$E$300,$B31)+SUMIFS(Закрытые!$L$5:$L$300,Закрытые!$E$5:$E$300,$B31,Закрытые!$B$5:$B$300,"T-*"),8)))</f>
        <v/>
      </c>
      <c r="J31" s="241" t="str">
        <f>IF($B31="","",IF(COUNTIFS(Торговля!$E$5:$E$300,$B31)+COUNTIFS(Закрытые!$E$5:$E$300,$B31,Закрытые!$B$5:$B$300,"T-*")=0,"",ROUND(SUMIFS(Торговля!$M$5:$M$300,Торговля!$E$5:$E$300,$B31)+SUMIFS(Закрытые!$M$5:$M$300,Закрытые!$E$5:$E$300,$B31,Закрытые!$B$5:$B$300,"T-*"),8)))</f>
        <v/>
      </c>
      <c r="K31" s="240" t="str">
        <f>IF(MIN(N(C31),N(F31))&lt;=0,"",ROUND(MIN(N(C31),N(F31))*(N(G31)-N(D31)),8))</f>
        <v/>
      </c>
      <c r="L31" s="177" t="str">
        <f>IF(MIN(N(C31),N(F31))&lt;=0,"",IF(N(D31)=0,"",ROUND((N(G31)/N(D31)-1)*100,2)))</f>
        <v/>
      </c>
      <c r="M31" s="177" t="str">
        <f>IF(OR(ROUND(N(C31)-N(F31),8)=0,1-N(Ввод!$J$19)/100&lt;=0),"",IF(N(C31)&gt;N(F31),(N(E31)-N(H31))/((N(C31)-N(F31))*(1-N(Ввод!$J$19)/100)),(N(H31)-N(E31))/((N(F31)-N(C31))*(1+N(Ввод!$J$19)/100))))</f>
        <v/>
      </c>
    </row>
    <row r="32" ht="22" customHeight="1">
      <c r="B32" s="245" t="n"/>
      <c r="C32" s="246" t="str">
        <f>IF(SUMIFS(Торговля!$F$5:$F$300,Торговля!$E$5:$E$300,$B32)+SUMIFS(Закрытые!$F$5:$F$300,Закрытые!$E$5:$E$300,$B32,Закрытые!$B$5:$B$300,"T-*")=0,"",SUMIFS(Торговля!$F$5:$F$300,Торговля!$E$5:$E$300,$B32)+SUMIFS(Закрытые!$F$5:$F$300,Закрытые!$E$5:$E$300,$B32,Закрытые!$B$5:$B$300,"T-*"))</f>
        <v/>
      </c>
      <c r="D32" s="183" t="str">
        <f>IF(C32="","",(SUMPRODUCT((Торговля!$E$5:$E$300=$B32)*Торговля!$F$5:$F$300*Торговля!$G$5:$G$300)+SUMPRODUCT((Закрытые!$E$5:$E$300=$B32)*(LEFT(Закрытые!$B$5:$B$300,2)="T-")*Закрытые!$F$5:$F$300*Закрытые!$G$5:$G$300))/C32)</f>
        <v/>
      </c>
      <c r="E32" s="247" t="str">
        <f>IF(C32="","",SUMIFS(Торговля!$H$5:$H$300,Торговля!$E$5:$E$300,$B32)+SUMIFS(Закрытые!$H$5:$H$300,Закрытые!$E$5:$E$300,$B32,Закрытые!$B$5:$B$300,"T-*"))</f>
        <v/>
      </c>
      <c r="F32" s="246" t="str">
        <f>IF(SUMIFS(Торговля!$I$5:$I$300,Торговля!$E$5:$E$300,$B32)+SUMIFS(Закрытые!$I$5:$I$300,Закрытые!$E$5:$E$300,$B32,Закрытые!$B$5:$B$300,"T-*")=0,"",SUMIFS(Торговля!$I$5:$I$300,Торговля!$E$5:$E$300,$B32)+SUMIFS(Закрытые!$I$5:$I$300,Закрытые!$E$5:$E$300,$B32,Закрытые!$B$5:$B$300,"T-*"))</f>
        <v/>
      </c>
      <c r="G32" s="183" t="str">
        <f>IF(F32="","",(SUMPRODUCT((Торговля!$E$5:$E$300=$B32)*Торговля!$I$5:$I$300*Торговля!$J$5:$J$300)+SUMPRODUCT((Закрытые!$E$5:$E$300=$B32)*(LEFT(Закрытые!$B$5:$B$300,2)="T-")*Закрытые!$I$5:$I$300*Закрытые!$J$5:$J$300))/F32)</f>
        <v/>
      </c>
      <c r="H32" s="247" t="str">
        <f>IF(F32="","",SUMIFS(Торговля!$K$5:$K$300,Торговля!$E$5:$E$300,$B32)+SUMIFS(Закрытые!$K$5:$K$300,Закрытые!$E$5:$E$300,$B32,Закрытые!$B$5:$B$300,"T-*"))</f>
        <v/>
      </c>
      <c r="I32" s="246" t="str">
        <f>IF($B32="","",IF(COUNTIFS(Торговля!$E$5:$E$300,$B32)+COUNTIFS(Закрытые!$E$5:$E$300,$B32,Закрытые!$B$5:$B$300,"T-*")=0,"",ROUND(SUMIFS(Торговля!$L$5:$L$300,Торговля!$E$5:$E$300,$B32)+SUMIFS(Закрытые!$L$5:$L$300,Закрытые!$E$5:$E$300,$B32,Закрытые!$B$5:$B$300,"T-*"),8)))</f>
        <v/>
      </c>
      <c r="J32" s="247" t="str">
        <f>IF($B32="","",IF(COUNTIFS(Торговля!$E$5:$E$300,$B32)+COUNTIFS(Закрытые!$E$5:$E$300,$B32,Закрытые!$B$5:$B$300,"T-*")=0,"",ROUND(SUMIFS(Торговля!$M$5:$M$300,Торговля!$E$5:$E$300,$B32)+SUMIFS(Закрытые!$M$5:$M$300,Закрытые!$E$5:$E$300,$B32,Закрытые!$B$5:$B$300,"T-*"),8)))</f>
        <v/>
      </c>
      <c r="K32" s="246" t="str">
        <f>IF(MIN(N(C32),N(F32))&lt;=0,"",ROUND(MIN(N(C32),N(F32))*(N(G32)-N(D32)),8))</f>
        <v/>
      </c>
      <c r="L32" s="183" t="str">
        <f>IF(MIN(N(C32),N(F32))&lt;=0,"",IF(N(D32)=0,"",ROUND((N(G32)/N(D32)-1)*100,2)))</f>
        <v/>
      </c>
      <c r="M32" s="183" t="str">
        <f>IF(OR(ROUND(N(C32)-N(F32),8)=0,1-N(Ввод!$J$19)/100&lt;=0),"",IF(N(C32)&gt;N(F32),(N(E32)-N(H32))/((N(C32)-N(F32))*(1-N(Ввод!$J$19)/100)),(N(H32)-N(E32))/((N(F32)-N(C32))*(1+N(Ввод!$J$19)/100))))</f>
        <v/>
      </c>
    </row>
    <row r="33" ht="22" customHeight="1">
      <c r="B33" s="239" t="n"/>
      <c r="C33" s="240" t="str">
        <f>IF(SUMIFS(Торговля!$F$5:$F$300,Торговля!$E$5:$E$300,$B33)+SUMIFS(Закрытые!$F$5:$F$300,Закрытые!$E$5:$E$300,$B33,Закрытые!$B$5:$B$300,"T-*")=0,"",SUMIFS(Торговля!$F$5:$F$300,Торговля!$E$5:$E$300,$B33)+SUMIFS(Закрытые!$F$5:$F$300,Закрытые!$E$5:$E$300,$B33,Закрытые!$B$5:$B$300,"T-*"))</f>
        <v/>
      </c>
      <c r="D33" s="177" t="str">
        <f>IF(C33="","",(SUMPRODUCT((Торговля!$E$5:$E$300=$B33)*Торговля!$F$5:$F$300*Торговля!$G$5:$G$300)+SUMPRODUCT((Закрытые!$E$5:$E$300=$B33)*(LEFT(Закрытые!$B$5:$B$300,2)="T-")*Закрытые!$F$5:$F$300*Закрытые!$G$5:$G$300))/C33)</f>
        <v/>
      </c>
      <c r="E33" s="241" t="str">
        <f>IF(C33="","",SUMIFS(Торговля!$H$5:$H$300,Торговля!$E$5:$E$300,$B33)+SUMIFS(Закрытые!$H$5:$H$300,Закрытые!$E$5:$E$300,$B33,Закрытые!$B$5:$B$300,"T-*"))</f>
        <v/>
      </c>
      <c r="F33" s="240" t="str">
        <f>IF(SUMIFS(Торговля!$I$5:$I$300,Торговля!$E$5:$E$300,$B33)+SUMIFS(Закрытые!$I$5:$I$300,Закрытые!$E$5:$E$300,$B33,Закрытые!$B$5:$B$300,"T-*")=0,"",SUMIFS(Торговля!$I$5:$I$300,Торговля!$E$5:$E$300,$B33)+SUMIFS(Закрытые!$I$5:$I$300,Закрытые!$E$5:$E$300,$B33,Закрытые!$B$5:$B$300,"T-*"))</f>
        <v/>
      </c>
      <c r="G33" s="177" t="str">
        <f>IF(F33="","",(SUMPRODUCT((Торговля!$E$5:$E$300=$B33)*Торговля!$I$5:$I$300*Торговля!$J$5:$J$300)+SUMPRODUCT((Закрытые!$E$5:$E$300=$B33)*(LEFT(Закрытые!$B$5:$B$300,2)="T-")*Закрытые!$I$5:$I$300*Закрытые!$J$5:$J$300))/F33)</f>
        <v/>
      </c>
      <c r="H33" s="241" t="str">
        <f>IF(F33="","",SUMIFS(Торговля!$K$5:$K$300,Торговля!$E$5:$E$300,$B33)+SUMIFS(Закрытые!$K$5:$K$300,Закрытые!$E$5:$E$300,$B33,Закрытые!$B$5:$B$300,"T-*"))</f>
        <v/>
      </c>
      <c r="I33" s="240" t="str">
        <f>IF($B33="","",IF(COUNTIFS(Торговля!$E$5:$E$300,$B33)+COUNTIFS(Закрытые!$E$5:$E$300,$B33,Закрытые!$B$5:$B$300,"T-*")=0,"",ROUND(SUMIFS(Торговля!$L$5:$L$300,Торговля!$E$5:$E$300,$B33)+SUMIFS(Закрытые!$L$5:$L$300,Закрытые!$E$5:$E$300,$B33,Закрытые!$B$5:$B$300,"T-*"),8)))</f>
        <v/>
      </c>
      <c r="J33" s="241" t="str">
        <f>IF($B33="","",IF(COUNTIFS(Торговля!$E$5:$E$300,$B33)+COUNTIFS(Закрытые!$E$5:$E$300,$B33,Закрытые!$B$5:$B$300,"T-*")=0,"",ROUND(SUMIFS(Торговля!$M$5:$M$300,Торговля!$E$5:$E$300,$B33)+SUMIFS(Закрытые!$M$5:$M$300,Закрытые!$E$5:$E$300,$B33,Закрытые!$B$5:$B$300,"T-*"),8)))</f>
        <v/>
      </c>
      <c r="K33" s="240" t="str">
        <f>IF(MIN(N(C33),N(F33))&lt;=0,"",ROUND(MIN(N(C33),N(F33))*(N(G33)-N(D33)),8))</f>
        <v/>
      </c>
      <c r="L33" s="177" t="str">
        <f>IF(MIN(N(C33),N(F33))&lt;=0,"",IF(N(D33)=0,"",ROUND((N(G33)/N(D33)-1)*100,2)))</f>
        <v/>
      </c>
      <c r="M33" s="177" t="str">
        <f>IF(OR(ROUND(N(C33)-N(F33),8)=0,1-N(Ввод!$J$19)/100&lt;=0),"",IF(N(C33)&gt;N(F33),(N(E33)-N(H33))/((N(C33)-N(F33))*(1-N(Ввод!$J$19)/100)),(N(H33)-N(E33))/((N(F33)-N(C33))*(1+N(Ввод!$J$19)/100))))</f>
        <v/>
      </c>
    </row>
    <row r="34" ht="22" customHeight="1">
      <c r="B34" s="245" t="n"/>
      <c r="C34" s="246" t="str">
        <f>IF(SUMIFS(Торговля!$F$5:$F$300,Торговля!$E$5:$E$300,$B34)+SUMIFS(Закрытые!$F$5:$F$300,Закрытые!$E$5:$E$300,$B34,Закрытые!$B$5:$B$300,"T-*")=0,"",SUMIFS(Торговля!$F$5:$F$300,Торговля!$E$5:$E$300,$B34)+SUMIFS(Закрытые!$F$5:$F$300,Закрытые!$E$5:$E$300,$B34,Закрытые!$B$5:$B$300,"T-*"))</f>
        <v/>
      </c>
      <c r="D34" s="183" t="str">
        <f>IF(C34="","",(SUMPRODUCT((Торговля!$E$5:$E$300=$B34)*Торговля!$F$5:$F$300*Торговля!$G$5:$G$300)+SUMPRODUCT((Закрытые!$E$5:$E$300=$B34)*(LEFT(Закрытые!$B$5:$B$300,2)="T-")*Закрытые!$F$5:$F$300*Закрытые!$G$5:$G$300))/C34)</f>
        <v/>
      </c>
      <c r="E34" s="247" t="str">
        <f>IF(C34="","",SUMIFS(Торговля!$H$5:$H$300,Торговля!$E$5:$E$300,$B34)+SUMIFS(Закрытые!$H$5:$H$300,Закрытые!$E$5:$E$300,$B34,Закрытые!$B$5:$B$300,"T-*"))</f>
        <v/>
      </c>
      <c r="F34" s="246" t="str">
        <f>IF(SUMIFS(Торговля!$I$5:$I$300,Торговля!$E$5:$E$300,$B34)+SUMIFS(Закрытые!$I$5:$I$300,Закрытые!$E$5:$E$300,$B34,Закрытые!$B$5:$B$300,"T-*")=0,"",SUMIFS(Торговля!$I$5:$I$300,Торговля!$E$5:$E$300,$B34)+SUMIFS(Закрытые!$I$5:$I$300,Закрытые!$E$5:$E$300,$B34,Закрытые!$B$5:$B$300,"T-*"))</f>
        <v/>
      </c>
      <c r="G34" s="183" t="str">
        <f>IF(F34="","",(SUMPRODUCT((Торговля!$E$5:$E$300=$B34)*Торговля!$I$5:$I$300*Торговля!$J$5:$J$300)+SUMPRODUCT((Закрытые!$E$5:$E$300=$B34)*(LEFT(Закрытые!$B$5:$B$300,2)="T-")*Закрытые!$I$5:$I$300*Закрытые!$J$5:$J$300))/F34)</f>
        <v/>
      </c>
      <c r="H34" s="247" t="str">
        <f>IF(F34="","",SUMIFS(Торговля!$K$5:$K$300,Торговля!$E$5:$E$300,$B34)+SUMIFS(Закрытые!$K$5:$K$300,Закрытые!$E$5:$E$300,$B34,Закрытые!$B$5:$B$300,"T-*"))</f>
        <v/>
      </c>
      <c r="I34" s="246" t="str">
        <f>IF($B34="","",IF(COUNTIFS(Торговля!$E$5:$E$300,$B34)+COUNTIFS(Закрытые!$E$5:$E$300,$B34,Закрытые!$B$5:$B$300,"T-*")=0,"",ROUND(SUMIFS(Торговля!$L$5:$L$300,Торговля!$E$5:$E$300,$B34)+SUMIFS(Закрытые!$L$5:$L$300,Закрытые!$E$5:$E$300,$B34,Закрытые!$B$5:$B$300,"T-*"),8)))</f>
        <v/>
      </c>
      <c r="J34" s="247" t="str">
        <f>IF($B34="","",IF(COUNTIFS(Торговля!$E$5:$E$300,$B34)+COUNTIFS(Закрытые!$E$5:$E$300,$B34,Закрытые!$B$5:$B$300,"T-*")=0,"",ROUND(SUMIFS(Торговля!$M$5:$M$300,Торговля!$E$5:$E$300,$B34)+SUMIFS(Закрытые!$M$5:$M$300,Закрытые!$E$5:$E$300,$B34,Закрытые!$B$5:$B$300,"T-*"),8)))</f>
        <v/>
      </c>
      <c r="K34" s="246" t="str">
        <f>IF(MIN(N(C34),N(F34))&lt;=0,"",ROUND(MIN(N(C34),N(F34))*(N(G34)-N(D34)),8))</f>
        <v/>
      </c>
      <c r="L34" s="183" t="str">
        <f>IF(MIN(N(C34),N(F34))&lt;=0,"",IF(N(D34)=0,"",ROUND((N(G34)/N(D34)-1)*100,2)))</f>
        <v/>
      </c>
      <c r="M34" s="183" t="str">
        <f>IF(OR(ROUND(N(C34)-N(F34),8)=0,1-N(Ввод!$J$19)/100&lt;=0),"",IF(N(C34)&gt;N(F34),(N(E34)-N(H34))/((N(C34)-N(F34))*(1-N(Ввод!$J$19)/100)),(N(H34)-N(E34))/((N(F34)-N(C34))*(1+N(Ввод!$J$19)/100))))</f>
        <v/>
      </c>
    </row>
    <row r="35" ht="22" customHeight="1">
      <c r="B35" s="239" t="n"/>
      <c r="C35" s="240" t="str">
        <f>IF(SUMIFS(Торговля!$F$5:$F$300,Торговля!$E$5:$E$300,$B35)+SUMIFS(Закрытые!$F$5:$F$300,Закрытые!$E$5:$E$300,$B35,Закрытые!$B$5:$B$300,"T-*")=0,"",SUMIFS(Торговля!$F$5:$F$300,Торговля!$E$5:$E$300,$B35)+SUMIFS(Закрытые!$F$5:$F$300,Закрытые!$E$5:$E$300,$B35,Закрытые!$B$5:$B$300,"T-*"))</f>
        <v/>
      </c>
      <c r="D35" s="177" t="str">
        <f>IF(C35="","",(SUMPRODUCT((Торговля!$E$5:$E$300=$B35)*Торговля!$F$5:$F$300*Торговля!$G$5:$G$300)+SUMPRODUCT((Закрытые!$E$5:$E$300=$B35)*(LEFT(Закрытые!$B$5:$B$300,2)="T-")*Закрытые!$F$5:$F$300*Закрытые!$G$5:$G$300))/C35)</f>
        <v/>
      </c>
      <c r="E35" s="241" t="str">
        <f>IF(C35="","",SUMIFS(Торговля!$H$5:$H$300,Торговля!$E$5:$E$300,$B35)+SUMIFS(Закрытые!$H$5:$H$300,Закрытые!$E$5:$E$300,$B35,Закрытые!$B$5:$B$300,"T-*"))</f>
        <v/>
      </c>
      <c r="F35" s="240" t="str">
        <f>IF(SUMIFS(Торговля!$I$5:$I$300,Торговля!$E$5:$E$300,$B35)+SUMIFS(Закрытые!$I$5:$I$300,Закрытые!$E$5:$E$300,$B35,Закрытые!$B$5:$B$300,"T-*")=0,"",SUMIFS(Торговля!$I$5:$I$300,Торговля!$E$5:$E$300,$B35)+SUMIFS(Закрытые!$I$5:$I$300,Закрытые!$E$5:$E$300,$B35,Закрытые!$B$5:$B$300,"T-*"))</f>
        <v/>
      </c>
      <c r="G35" s="177" t="str">
        <f>IF(F35="","",(SUMPRODUCT((Торговля!$E$5:$E$300=$B35)*Торговля!$I$5:$I$300*Торговля!$J$5:$J$300)+SUMPRODUCT((Закрытые!$E$5:$E$300=$B35)*(LEFT(Закрытые!$B$5:$B$300,2)="T-")*Закрытые!$I$5:$I$300*Закрытые!$J$5:$J$300))/F35)</f>
        <v/>
      </c>
      <c r="H35" s="241" t="str">
        <f>IF(F35="","",SUMIFS(Торговля!$K$5:$K$300,Торговля!$E$5:$E$300,$B35)+SUMIFS(Закрытые!$K$5:$K$300,Закрытые!$E$5:$E$300,$B35,Закрытые!$B$5:$B$300,"T-*"))</f>
        <v/>
      </c>
      <c r="I35" s="240" t="str">
        <f>IF($B35="","",IF(COUNTIFS(Торговля!$E$5:$E$300,$B35)+COUNTIFS(Закрытые!$E$5:$E$300,$B35,Закрытые!$B$5:$B$300,"T-*")=0,"",ROUND(SUMIFS(Торговля!$L$5:$L$300,Торговля!$E$5:$E$300,$B35)+SUMIFS(Закрытые!$L$5:$L$300,Закрытые!$E$5:$E$300,$B35,Закрытые!$B$5:$B$300,"T-*"),8)))</f>
        <v/>
      </c>
      <c r="J35" s="241" t="str">
        <f>IF($B35="","",IF(COUNTIFS(Торговля!$E$5:$E$300,$B35)+COUNTIFS(Закрытые!$E$5:$E$300,$B35,Закрытые!$B$5:$B$300,"T-*")=0,"",ROUND(SUMIFS(Торговля!$M$5:$M$300,Торговля!$E$5:$E$300,$B35)+SUMIFS(Закрытые!$M$5:$M$300,Закрытые!$E$5:$E$300,$B35,Закрытые!$B$5:$B$300,"T-*"),8)))</f>
        <v/>
      </c>
      <c r="K35" s="240" t="str">
        <f>IF(MIN(N(C35),N(F35))&lt;=0,"",ROUND(MIN(N(C35),N(F35))*(N(G35)-N(D35)),8))</f>
        <v/>
      </c>
      <c r="L35" s="177" t="str">
        <f>IF(MIN(N(C35),N(F35))&lt;=0,"",IF(N(D35)=0,"",ROUND((N(G35)/N(D35)-1)*100,2)))</f>
        <v/>
      </c>
      <c r="M35" s="177" t="str">
        <f>IF(OR(ROUND(N(C35)-N(F35),8)=0,1-N(Ввод!$J$19)/100&lt;=0),"",IF(N(C35)&gt;N(F35),(N(E35)-N(H35))/((N(C35)-N(F35))*(1-N(Ввод!$J$19)/100)),(N(H35)-N(E35))/((N(F35)-N(C35))*(1+N(Ввод!$J$19)/100))))</f>
        <v/>
      </c>
    </row>
    <row r="36" ht="22" customHeight="1">
      <c r="B36" s="245" t="n"/>
      <c r="C36" s="246" t="str">
        <f>IF(SUMIFS(Торговля!$F$5:$F$300,Торговля!$E$5:$E$300,$B36)+SUMIFS(Закрытые!$F$5:$F$300,Закрытые!$E$5:$E$300,$B36,Закрытые!$B$5:$B$300,"T-*")=0,"",SUMIFS(Торговля!$F$5:$F$300,Торговля!$E$5:$E$300,$B36)+SUMIFS(Закрытые!$F$5:$F$300,Закрытые!$E$5:$E$300,$B36,Закрытые!$B$5:$B$300,"T-*"))</f>
        <v/>
      </c>
      <c r="D36" s="183" t="str">
        <f>IF(C36="","",(SUMPRODUCT((Торговля!$E$5:$E$300=$B36)*Торговля!$F$5:$F$300*Торговля!$G$5:$G$300)+SUMPRODUCT((Закрытые!$E$5:$E$300=$B36)*(LEFT(Закрытые!$B$5:$B$300,2)="T-")*Закрытые!$F$5:$F$300*Закрытые!$G$5:$G$300))/C36)</f>
        <v/>
      </c>
      <c r="E36" s="247" t="str">
        <f>IF(C36="","",SUMIFS(Торговля!$H$5:$H$300,Торговля!$E$5:$E$300,$B36)+SUMIFS(Закрытые!$H$5:$H$300,Закрытые!$E$5:$E$300,$B36,Закрытые!$B$5:$B$300,"T-*"))</f>
        <v/>
      </c>
      <c r="F36" s="246" t="str">
        <f>IF(SUMIFS(Торговля!$I$5:$I$300,Торговля!$E$5:$E$300,$B36)+SUMIFS(Закрытые!$I$5:$I$300,Закрытые!$E$5:$E$300,$B36,Закрытые!$B$5:$B$300,"T-*")=0,"",SUMIFS(Торговля!$I$5:$I$300,Торговля!$E$5:$E$300,$B36)+SUMIFS(Закрытые!$I$5:$I$300,Закрытые!$E$5:$E$300,$B36,Закрытые!$B$5:$B$300,"T-*"))</f>
        <v/>
      </c>
      <c r="G36" s="183" t="str">
        <f>IF(F36="","",(SUMPRODUCT((Торговля!$E$5:$E$300=$B36)*Торговля!$I$5:$I$300*Торговля!$J$5:$J$300)+SUMPRODUCT((Закрытые!$E$5:$E$300=$B36)*(LEFT(Закрытые!$B$5:$B$300,2)="T-")*Закрытые!$I$5:$I$300*Закрытые!$J$5:$J$300))/F36)</f>
        <v/>
      </c>
      <c r="H36" s="247" t="str">
        <f>IF(F36="","",SUMIFS(Торговля!$K$5:$K$300,Торговля!$E$5:$E$300,$B36)+SUMIFS(Закрытые!$K$5:$K$300,Закрытые!$E$5:$E$300,$B36,Закрытые!$B$5:$B$300,"T-*"))</f>
        <v/>
      </c>
      <c r="I36" s="246" t="str">
        <f>IF($B36="","",IF(COUNTIFS(Торговля!$E$5:$E$300,$B36)+COUNTIFS(Закрытые!$E$5:$E$300,$B36,Закрытые!$B$5:$B$300,"T-*")=0,"",ROUND(SUMIFS(Торговля!$L$5:$L$300,Торговля!$E$5:$E$300,$B36)+SUMIFS(Закрытые!$L$5:$L$300,Закрытые!$E$5:$E$300,$B36,Закрытые!$B$5:$B$300,"T-*"),8)))</f>
        <v/>
      </c>
      <c r="J36" s="247" t="str">
        <f>IF($B36="","",IF(COUNTIFS(Торговля!$E$5:$E$300,$B36)+COUNTIFS(Закрытые!$E$5:$E$300,$B36,Закрытые!$B$5:$B$300,"T-*")=0,"",ROUND(SUMIFS(Торговля!$M$5:$M$300,Торговля!$E$5:$E$300,$B36)+SUMIFS(Закрытые!$M$5:$M$300,Закрытые!$E$5:$E$300,$B36,Закрытые!$B$5:$B$300,"T-*"),8)))</f>
        <v/>
      </c>
      <c r="K36" s="246" t="str">
        <f>IF(MIN(N(C36),N(F36))&lt;=0,"",ROUND(MIN(N(C36),N(F36))*(N(G36)-N(D36)),8))</f>
        <v/>
      </c>
      <c r="L36" s="183" t="str">
        <f>IF(MIN(N(C36),N(F36))&lt;=0,"",IF(N(D36)=0,"",ROUND((N(G36)/N(D36)-1)*100,2)))</f>
        <v/>
      </c>
      <c r="M36" s="183" t="str">
        <f>IF(OR(ROUND(N(C36)-N(F36),8)=0,1-N(Ввод!$J$19)/100&lt;=0),"",IF(N(C36)&gt;N(F36),(N(E36)-N(H36))/((N(C36)-N(F36))*(1-N(Ввод!$J$19)/100)),(N(H36)-N(E36))/((N(F36)-N(C36))*(1+N(Ввод!$J$19)/100))))</f>
        <v/>
      </c>
    </row>
    <row r="37" ht="22" customHeight="1">
      <c r="B37" s="239" t="n"/>
      <c r="C37" s="240" t="str">
        <f>IF(SUMIFS(Торговля!$F$5:$F$300,Торговля!$E$5:$E$300,$B37)+SUMIFS(Закрытые!$F$5:$F$300,Закрытые!$E$5:$E$300,$B37,Закрытые!$B$5:$B$300,"T-*")=0,"",SUMIFS(Торговля!$F$5:$F$300,Торговля!$E$5:$E$300,$B37)+SUMIFS(Закрытые!$F$5:$F$300,Закрытые!$E$5:$E$300,$B37,Закрытые!$B$5:$B$300,"T-*"))</f>
        <v/>
      </c>
      <c r="D37" s="177" t="str">
        <f>IF(C37="","",(SUMPRODUCT((Торговля!$E$5:$E$300=$B37)*Торговля!$F$5:$F$300*Торговля!$G$5:$G$300)+SUMPRODUCT((Закрытые!$E$5:$E$300=$B37)*(LEFT(Закрытые!$B$5:$B$300,2)="T-")*Закрытые!$F$5:$F$300*Закрытые!$G$5:$G$300))/C37)</f>
        <v/>
      </c>
      <c r="E37" s="241" t="str">
        <f>IF(C37="","",SUMIFS(Торговля!$H$5:$H$300,Торговля!$E$5:$E$300,$B37)+SUMIFS(Закрытые!$H$5:$H$300,Закрытые!$E$5:$E$300,$B37,Закрытые!$B$5:$B$300,"T-*"))</f>
        <v/>
      </c>
      <c r="F37" s="240" t="str">
        <f>IF(SUMIFS(Торговля!$I$5:$I$300,Торговля!$E$5:$E$300,$B37)+SUMIFS(Закрытые!$I$5:$I$300,Закрытые!$E$5:$E$300,$B37,Закрытые!$B$5:$B$300,"T-*")=0,"",SUMIFS(Торговля!$I$5:$I$300,Торговля!$E$5:$E$300,$B37)+SUMIFS(Закрытые!$I$5:$I$300,Закрытые!$E$5:$E$300,$B37,Закрытые!$B$5:$B$300,"T-*"))</f>
        <v/>
      </c>
      <c r="G37" s="177" t="str">
        <f>IF(F37="","",(SUMPRODUCT((Торговля!$E$5:$E$300=$B37)*Торговля!$I$5:$I$300*Торговля!$J$5:$J$300)+SUMPRODUCT((Закрытые!$E$5:$E$300=$B37)*(LEFT(Закрытые!$B$5:$B$300,2)="T-")*Закрытые!$I$5:$I$300*Закрытые!$J$5:$J$300))/F37)</f>
        <v/>
      </c>
      <c r="H37" s="241" t="str">
        <f>IF(F37="","",SUMIFS(Торговля!$K$5:$K$300,Торговля!$E$5:$E$300,$B37)+SUMIFS(Закрытые!$K$5:$K$300,Закрытые!$E$5:$E$300,$B37,Закрытые!$B$5:$B$300,"T-*"))</f>
        <v/>
      </c>
      <c r="I37" s="240" t="str">
        <f>IF($B37="","",IF(COUNTIFS(Торговля!$E$5:$E$300,$B37)+COUNTIFS(Закрытые!$E$5:$E$300,$B37,Закрытые!$B$5:$B$300,"T-*")=0,"",ROUND(SUMIFS(Торговля!$L$5:$L$300,Торговля!$E$5:$E$300,$B37)+SUMIFS(Закрытые!$L$5:$L$300,Закрытые!$E$5:$E$300,$B37,Закрытые!$B$5:$B$300,"T-*"),8)))</f>
        <v/>
      </c>
      <c r="J37" s="241" t="str">
        <f>IF($B37="","",IF(COUNTIFS(Торговля!$E$5:$E$300,$B37)+COUNTIFS(Закрытые!$E$5:$E$300,$B37,Закрытые!$B$5:$B$300,"T-*")=0,"",ROUND(SUMIFS(Торговля!$M$5:$M$300,Торговля!$E$5:$E$300,$B37)+SUMIFS(Закрытые!$M$5:$M$300,Закрытые!$E$5:$E$300,$B37,Закрытые!$B$5:$B$300,"T-*"),8)))</f>
        <v/>
      </c>
      <c r="K37" s="240" t="str">
        <f>IF(MIN(N(C37),N(F37))&lt;=0,"",ROUND(MIN(N(C37),N(F37))*(N(G37)-N(D37)),8))</f>
        <v/>
      </c>
      <c r="L37" s="177" t="str">
        <f>IF(MIN(N(C37),N(F37))&lt;=0,"",IF(N(D37)=0,"",ROUND((N(G37)/N(D37)-1)*100,2)))</f>
        <v/>
      </c>
      <c r="M37" s="177" t="str">
        <f>IF(OR(ROUND(N(C37)-N(F37),8)=0,1-N(Ввод!$J$19)/100&lt;=0),"",IF(N(C37)&gt;N(F37),(N(E37)-N(H37))/((N(C37)-N(F37))*(1-N(Ввод!$J$19)/100)),(N(H37)-N(E37))/((N(F37)-N(C37))*(1+N(Ввод!$J$19)/100))))</f>
        <v/>
      </c>
    </row>
    <row r="38" ht="22" customHeight="1">
      <c r="B38" s="245" t="n"/>
      <c r="C38" s="246" t="str">
        <f>IF(SUMIFS(Торговля!$F$5:$F$300,Торговля!$E$5:$E$300,$B38)+SUMIFS(Закрытые!$F$5:$F$300,Закрытые!$E$5:$E$300,$B38,Закрытые!$B$5:$B$300,"T-*")=0,"",SUMIFS(Торговля!$F$5:$F$300,Торговля!$E$5:$E$300,$B38)+SUMIFS(Закрытые!$F$5:$F$300,Закрытые!$E$5:$E$300,$B38,Закрытые!$B$5:$B$300,"T-*"))</f>
        <v/>
      </c>
      <c r="D38" s="183" t="str">
        <f>IF(C38="","",(SUMPRODUCT((Торговля!$E$5:$E$300=$B38)*Торговля!$F$5:$F$300*Торговля!$G$5:$G$300)+SUMPRODUCT((Закрытые!$E$5:$E$300=$B38)*(LEFT(Закрытые!$B$5:$B$300,2)="T-")*Закрытые!$F$5:$F$300*Закрытые!$G$5:$G$300))/C38)</f>
        <v/>
      </c>
      <c r="E38" s="247" t="str">
        <f>IF(C38="","",SUMIFS(Торговля!$H$5:$H$300,Торговля!$E$5:$E$300,$B38)+SUMIFS(Закрытые!$H$5:$H$300,Закрытые!$E$5:$E$300,$B38,Закрытые!$B$5:$B$300,"T-*"))</f>
        <v/>
      </c>
      <c r="F38" s="246" t="str">
        <f>IF(SUMIFS(Торговля!$I$5:$I$300,Торговля!$E$5:$E$300,$B38)+SUMIFS(Закрытые!$I$5:$I$300,Закрытые!$E$5:$E$300,$B38,Закрытые!$B$5:$B$300,"T-*")=0,"",SUMIFS(Торговля!$I$5:$I$300,Торговля!$E$5:$E$300,$B38)+SUMIFS(Закрытые!$I$5:$I$300,Закрытые!$E$5:$E$300,$B38,Закрытые!$B$5:$B$300,"T-*"))</f>
        <v/>
      </c>
      <c r="G38" s="183" t="str">
        <f>IF(F38="","",(SUMPRODUCT((Торговля!$E$5:$E$300=$B38)*Торговля!$I$5:$I$300*Торговля!$J$5:$J$300)+SUMPRODUCT((Закрытые!$E$5:$E$300=$B38)*(LEFT(Закрытые!$B$5:$B$300,2)="T-")*Закрытые!$I$5:$I$300*Закрытые!$J$5:$J$300))/F38)</f>
        <v/>
      </c>
      <c r="H38" s="247" t="str">
        <f>IF(F38="","",SUMIFS(Торговля!$K$5:$K$300,Торговля!$E$5:$E$300,$B38)+SUMIFS(Закрытые!$K$5:$K$300,Закрытые!$E$5:$E$300,$B38,Закрытые!$B$5:$B$300,"T-*"))</f>
        <v/>
      </c>
      <c r="I38" s="246" t="str">
        <f>IF($B38="","",IF(COUNTIFS(Торговля!$E$5:$E$300,$B38)+COUNTIFS(Закрытые!$E$5:$E$300,$B38,Закрытые!$B$5:$B$300,"T-*")=0,"",ROUND(SUMIFS(Торговля!$L$5:$L$300,Торговля!$E$5:$E$300,$B38)+SUMIFS(Закрытые!$L$5:$L$300,Закрытые!$E$5:$E$300,$B38,Закрытые!$B$5:$B$300,"T-*"),8)))</f>
        <v/>
      </c>
      <c r="J38" s="247" t="str">
        <f>IF($B38="","",IF(COUNTIFS(Торговля!$E$5:$E$300,$B38)+COUNTIFS(Закрытые!$E$5:$E$300,$B38,Закрытые!$B$5:$B$300,"T-*")=0,"",ROUND(SUMIFS(Торговля!$M$5:$M$300,Торговля!$E$5:$E$300,$B38)+SUMIFS(Закрытые!$M$5:$M$300,Закрытые!$E$5:$E$300,$B38,Закрытые!$B$5:$B$300,"T-*"),8)))</f>
        <v/>
      </c>
      <c r="K38" s="246" t="str">
        <f>IF(MIN(N(C38),N(F38))&lt;=0,"",ROUND(MIN(N(C38),N(F38))*(N(G38)-N(D38)),8))</f>
        <v/>
      </c>
      <c r="L38" s="183" t="str">
        <f>IF(MIN(N(C38),N(F38))&lt;=0,"",IF(N(D38)=0,"",ROUND((N(G38)/N(D38)-1)*100,2)))</f>
        <v/>
      </c>
      <c r="M38" s="183" t="str">
        <f>IF(OR(ROUND(N(C38)-N(F38),8)=0,1-N(Ввод!$J$19)/100&lt;=0),"",IF(N(C38)&gt;N(F38),(N(E38)-N(H38))/((N(C38)-N(F38))*(1-N(Ввод!$J$19)/100)),(N(H38)-N(E38))/((N(F38)-N(C38))*(1+N(Ввод!$J$19)/100))))</f>
        <v/>
      </c>
    </row>
    <row r="39" ht="22" customHeight="1">
      <c r="B39" s="239" t="n"/>
      <c r="C39" s="240" t="str">
        <f>IF(SUMIFS(Торговля!$F$5:$F$300,Торговля!$E$5:$E$300,$B39)+SUMIFS(Закрытые!$F$5:$F$300,Закрытые!$E$5:$E$300,$B39,Закрытые!$B$5:$B$300,"T-*")=0,"",SUMIFS(Торговля!$F$5:$F$300,Торговля!$E$5:$E$300,$B39)+SUMIFS(Закрытые!$F$5:$F$300,Закрытые!$E$5:$E$300,$B39,Закрытые!$B$5:$B$300,"T-*"))</f>
        <v/>
      </c>
      <c r="D39" s="177" t="str">
        <f>IF(C39="","",(SUMPRODUCT((Торговля!$E$5:$E$300=$B39)*Торговля!$F$5:$F$300*Торговля!$G$5:$G$300)+SUMPRODUCT((Закрытые!$E$5:$E$300=$B39)*(LEFT(Закрытые!$B$5:$B$300,2)="T-")*Закрытые!$F$5:$F$300*Закрытые!$G$5:$G$300))/C39)</f>
        <v/>
      </c>
      <c r="E39" s="241" t="str">
        <f>IF(C39="","",SUMIFS(Торговля!$H$5:$H$300,Торговля!$E$5:$E$300,$B39)+SUMIFS(Закрытые!$H$5:$H$300,Закрытые!$E$5:$E$300,$B39,Закрытые!$B$5:$B$300,"T-*"))</f>
        <v/>
      </c>
      <c r="F39" s="240" t="str">
        <f>IF(SUMIFS(Торговля!$I$5:$I$300,Торговля!$E$5:$E$300,$B39)+SUMIFS(Закрытые!$I$5:$I$300,Закрытые!$E$5:$E$300,$B39,Закрытые!$B$5:$B$300,"T-*")=0,"",SUMIFS(Торговля!$I$5:$I$300,Торговля!$E$5:$E$300,$B39)+SUMIFS(Закрытые!$I$5:$I$300,Закрытые!$E$5:$E$300,$B39,Закрытые!$B$5:$B$300,"T-*"))</f>
        <v/>
      </c>
      <c r="G39" s="177" t="str">
        <f>IF(F39="","",(SUMPRODUCT((Торговля!$E$5:$E$300=$B39)*Торговля!$I$5:$I$300*Торговля!$J$5:$J$300)+SUMPRODUCT((Закрытые!$E$5:$E$300=$B39)*(LEFT(Закрытые!$B$5:$B$300,2)="T-")*Закрытые!$I$5:$I$300*Закрытые!$J$5:$J$300))/F39)</f>
        <v/>
      </c>
      <c r="H39" s="241" t="str">
        <f>IF(F39="","",SUMIFS(Торговля!$K$5:$K$300,Торговля!$E$5:$E$300,$B39)+SUMIFS(Закрытые!$K$5:$K$300,Закрытые!$E$5:$E$300,$B39,Закрытые!$B$5:$B$300,"T-*"))</f>
        <v/>
      </c>
      <c r="I39" s="240" t="str">
        <f>IF($B39="","",IF(COUNTIFS(Торговля!$E$5:$E$300,$B39)+COUNTIFS(Закрытые!$E$5:$E$300,$B39,Закрытые!$B$5:$B$300,"T-*")=0,"",ROUND(SUMIFS(Торговля!$L$5:$L$300,Торговля!$E$5:$E$300,$B39)+SUMIFS(Закрытые!$L$5:$L$300,Закрытые!$E$5:$E$300,$B39,Закрытые!$B$5:$B$300,"T-*"),8)))</f>
        <v/>
      </c>
      <c r="J39" s="241" t="str">
        <f>IF($B39="","",IF(COUNTIFS(Торговля!$E$5:$E$300,$B39)+COUNTIFS(Закрытые!$E$5:$E$300,$B39,Закрытые!$B$5:$B$300,"T-*")=0,"",ROUND(SUMIFS(Торговля!$M$5:$M$300,Торговля!$E$5:$E$300,$B39)+SUMIFS(Закрытые!$M$5:$M$300,Закрытые!$E$5:$E$300,$B39,Закрытые!$B$5:$B$300,"T-*"),8)))</f>
        <v/>
      </c>
      <c r="K39" s="240" t="str">
        <f>IF(MIN(N(C39),N(F39))&lt;=0,"",ROUND(MIN(N(C39),N(F39))*(N(G39)-N(D39)),8))</f>
        <v/>
      </c>
      <c r="L39" s="177" t="str">
        <f>IF(MIN(N(C39),N(F39))&lt;=0,"",IF(N(D39)=0,"",ROUND((N(G39)/N(D39)-1)*100,2)))</f>
        <v/>
      </c>
      <c r="M39" s="177" t="str">
        <f>IF(OR(ROUND(N(C39)-N(F39),8)=0,1-N(Ввод!$J$19)/100&lt;=0),"",IF(N(C39)&gt;N(F39),(N(E39)-N(H39))/((N(C39)-N(F39))*(1-N(Ввод!$J$19)/100)),(N(H39)-N(E39))/((N(F39)-N(C39))*(1+N(Ввод!$J$19)/100))))</f>
        <v/>
      </c>
    </row>
    <row r="40" ht="22" customHeight="1">
      <c r="B40" s="245" t="n"/>
      <c r="C40" s="246" t="str">
        <f>IF(SUMIFS(Торговля!$F$5:$F$300,Торговля!$E$5:$E$300,$B40)+SUMIFS(Закрытые!$F$5:$F$300,Закрытые!$E$5:$E$300,$B40,Закрытые!$B$5:$B$300,"T-*")=0,"",SUMIFS(Торговля!$F$5:$F$300,Торговля!$E$5:$E$300,$B40)+SUMIFS(Закрытые!$F$5:$F$300,Закрытые!$E$5:$E$300,$B40,Закрытые!$B$5:$B$300,"T-*"))</f>
        <v/>
      </c>
      <c r="D40" s="183" t="str">
        <f>IF(C40="","",(SUMPRODUCT((Торговля!$E$5:$E$300=$B40)*Торговля!$F$5:$F$300*Торговля!$G$5:$G$300)+SUMPRODUCT((Закрытые!$E$5:$E$300=$B40)*(LEFT(Закрытые!$B$5:$B$300,2)="T-")*Закрытые!$F$5:$F$300*Закрытые!$G$5:$G$300))/C40)</f>
        <v/>
      </c>
      <c r="E40" s="247" t="str">
        <f>IF(C40="","",SUMIFS(Торговля!$H$5:$H$300,Торговля!$E$5:$E$300,$B40)+SUMIFS(Закрытые!$H$5:$H$300,Закрытые!$E$5:$E$300,$B40,Закрытые!$B$5:$B$300,"T-*"))</f>
        <v/>
      </c>
      <c r="F40" s="246" t="str">
        <f>IF(SUMIFS(Торговля!$I$5:$I$300,Торговля!$E$5:$E$300,$B40)+SUMIFS(Закрытые!$I$5:$I$300,Закрытые!$E$5:$E$300,$B40,Закрытые!$B$5:$B$300,"T-*")=0,"",SUMIFS(Торговля!$I$5:$I$300,Торговля!$E$5:$E$300,$B40)+SUMIFS(Закрытые!$I$5:$I$300,Закрытые!$E$5:$E$300,$B40,Закрытые!$B$5:$B$300,"T-*"))</f>
        <v/>
      </c>
      <c r="G40" s="183" t="str">
        <f>IF(F40="","",(SUMPRODUCT((Торговля!$E$5:$E$300=$B40)*Торговля!$I$5:$I$300*Торговля!$J$5:$J$300)+SUMPRODUCT((Закрытые!$E$5:$E$300=$B40)*(LEFT(Закрытые!$B$5:$B$300,2)="T-")*Закрытые!$I$5:$I$300*Закрытые!$J$5:$J$300))/F40)</f>
        <v/>
      </c>
      <c r="H40" s="247" t="str">
        <f>IF(F40="","",SUMIFS(Торговля!$K$5:$K$300,Торговля!$E$5:$E$300,$B40)+SUMIFS(Закрытые!$K$5:$K$300,Закрытые!$E$5:$E$300,$B40,Закрытые!$B$5:$B$300,"T-*"))</f>
        <v/>
      </c>
      <c r="I40" s="246" t="str">
        <f>IF($B40="","",IF(COUNTIFS(Торговля!$E$5:$E$300,$B40)+COUNTIFS(Закрытые!$E$5:$E$300,$B40,Закрытые!$B$5:$B$300,"T-*")=0,"",ROUND(SUMIFS(Торговля!$L$5:$L$300,Торговля!$E$5:$E$300,$B40)+SUMIFS(Закрытые!$L$5:$L$300,Закрытые!$E$5:$E$300,$B40,Закрытые!$B$5:$B$300,"T-*"),8)))</f>
        <v/>
      </c>
      <c r="J40" s="247" t="str">
        <f>IF($B40="","",IF(COUNTIFS(Торговля!$E$5:$E$300,$B40)+COUNTIFS(Закрытые!$E$5:$E$300,$B40,Закрытые!$B$5:$B$300,"T-*")=0,"",ROUND(SUMIFS(Торговля!$M$5:$M$300,Торговля!$E$5:$E$300,$B40)+SUMIFS(Закрытые!$M$5:$M$300,Закрытые!$E$5:$E$300,$B40,Закрытые!$B$5:$B$300,"T-*"),8)))</f>
        <v/>
      </c>
      <c r="K40" s="246" t="str">
        <f>IF(MIN(N(C40),N(F40))&lt;=0,"",ROUND(MIN(N(C40),N(F40))*(N(G40)-N(D40)),8))</f>
        <v/>
      </c>
      <c r="L40" s="183" t="str">
        <f>IF(MIN(N(C40),N(F40))&lt;=0,"",IF(N(D40)=0,"",ROUND((N(G40)/N(D40)-1)*100,2)))</f>
        <v/>
      </c>
      <c r="M40" s="183" t="str">
        <f>IF(OR(ROUND(N(C40)-N(F40),8)=0,1-N(Ввод!$J$19)/100&lt;=0),"",IF(N(C40)&gt;N(F40),(N(E40)-N(H40))/((N(C40)-N(F40))*(1-N(Ввод!$J$19)/100)),(N(H40)-N(E40))/((N(F40)-N(C40))*(1+N(Ввод!$J$19)/100))))</f>
        <v/>
      </c>
    </row>
    <row r="41" ht="22" customHeight="1">
      <c r="B41" s="239" t="n"/>
      <c r="C41" s="240" t="str">
        <f>IF(SUMIFS(Торговля!$F$5:$F$300,Торговля!$E$5:$E$300,$B41)+SUMIFS(Закрытые!$F$5:$F$300,Закрытые!$E$5:$E$300,$B41,Закрытые!$B$5:$B$300,"T-*")=0,"",SUMIFS(Торговля!$F$5:$F$300,Торговля!$E$5:$E$300,$B41)+SUMIFS(Закрытые!$F$5:$F$300,Закрытые!$E$5:$E$300,$B41,Закрытые!$B$5:$B$300,"T-*"))</f>
        <v/>
      </c>
      <c r="D41" s="177" t="str">
        <f>IF(C41="","",(SUMPRODUCT((Торговля!$E$5:$E$300=$B41)*Торговля!$F$5:$F$300*Торговля!$G$5:$G$300)+SUMPRODUCT((Закрытые!$E$5:$E$300=$B41)*(LEFT(Закрытые!$B$5:$B$300,2)="T-")*Закрытые!$F$5:$F$300*Закрытые!$G$5:$G$300))/C41)</f>
        <v/>
      </c>
      <c r="E41" s="241" t="str">
        <f>IF(C41="","",SUMIFS(Торговля!$H$5:$H$300,Торговля!$E$5:$E$300,$B41)+SUMIFS(Закрытые!$H$5:$H$300,Закрытые!$E$5:$E$300,$B41,Закрытые!$B$5:$B$300,"T-*"))</f>
        <v/>
      </c>
      <c r="F41" s="240" t="str">
        <f>IF(SUMIFS(Торговля!$I$5:$I$300,Торговля!$E$5:$E$300,$B41)+SUMIFS(Закрытые!$I$5:$I$300,Закрытые!$E$5:$E$300,$B41,Закрытые!$B$5:$B$300,"T-*")=0,"",SUMIFS(Торговля!$I$5:$I$300,Торговля!$E$5:$E$300,$B41)+SUMIFS(Закрытые!$I$5:$I$300,Закрытые!$E$5:$E$300,$B41,Закрытые!$B$5:$B$300,"T-*"))</f>
        <v/>
      </c>
      <c r="G41" s="177" t="str">
        <f>IF(F41="","",(SUMPRODUCT((Торговля!$E$5:$E$300=$B41)*Торговля!$I$5:$I$300*Торговля!$J$5:$J$300)+SUMPRODUCT((Закрытые!$E$5:$E$300=$B41)*(LEFT(Закрытые!$B$5:$B$300,2)="T-")*Закрытые!$I$5:$I$300*Закрытые!$J$5:$J$300))/F41)</f>
        <v/>
      </c>
      <c r="H41" s="241" t="str">
        <f>IF(F41="","",SUMIFS(Торговля!$K$5:$K$300,Торговля!$E$5:$E$300,$B41)+SUMIFS(Закрытые!$K$5:$K$300,Закрытые!$E$5:$E$300,$B41,Закрытые!$B$5:$B$300,"T-*"))</f>
        <v/>
      </c>
      <c r="I41" s="240" t="str">
        <f>IF($B41="","",IF(COUNTIFS(Торговля!$E$5:$E$300,$B41)+COUNTIFS(Закрытые!$E$5:$E$300,$B41,Закрытые!$B$5:$B$300,"T-*")=0,"",ROUND(SUMIFS(Торговля!$L$5:$L$300,Торговля!$E$5:$E$300,$B41)+SUMIFS(Закрытые!$L$5:$L$300,Закрытые!$E$5:$E$300,$B41,Закрытые!$B$5:$B$300,"T-*"),8)))</f>
        <v/>
      </c>
      <c r="J41" s="241" t="str">
        <f>IF($B41="","",IF(COUNTIFS(Торговля!$E$5:$E$300,$B41)+COUNTIFS(Закрытые!$E$5:$E$300,$B41,Закрытые!$B$5:$B$300,"T-*")=0,"",ROUND(SUMIFS(Торговля!$M$5:$M$300,Торговля!$E$5:$E$300,$B41)+SUMIFS(Закрытые!$M$5:$M$300,Закрытые!$E$5:$E$300,$B41,Закрытые!$B$5:$B$300,"T-*"),8)))</f>
        <v/>
      </c>
      <c r="K41" s="240" t="str">
        <f>IF(MIN(N(C41),N(F41))&lt;=0,"",ROUND(MIN(N(C41),N(F41))*(N(G41)-N(D41)),8))</f>
        <v/>
      </c>
      <c r="L41" s="177" t="str">
        <f>IF(MIN(N(C41),N(F41))&lt;=0,"",IF(N(D41)=0,"",ROUND((N(G41)/N(D41)-1)*100,2)))</f>
        <v/>
      </c>
      <c r="M41" s="177" t="str">
        <f>IF(OR(ROUND(N(C41)-N(F41),8)=0,1-N(Ввод!$J$19)/100&lt;=0),"",IF(N(C41)&gt;N(F41),(N(E41)-N(H41))/((N(C41)-N(F41))*(1-N(Ввод!$J$19)/100)),(N(H41)-N(E41))/((N(F41)-N(C41))*(1+N(Ввод!$J$19)/100))))</f>
        <v/>
      </c>
    </row>
    <row r="42" ht="22" customHeight="1">
      <c r="B42" s="245" t="n"/>
      <c r="C42" s="246" t="str">
        <f>IF(SUMIFS(Торговля!$F$5:$F$300,Торговля!$E$5:$E$300,$B42)+SUMIFS(Закрытые!$F$5:$F$300,Закрытые!$E$5:$E$300,$B42,Закрытые!$B$5:$B$300,"T-*")=0,"",SUMIFS(Торговля!$F$5:$F$300,Торговля!$E$5:$E$300,$B42)+SUMIFS(Закрытые!$F$5:$F$300,Закрытые!$E$5:$E$300,$B42,Закрытые!$B$5:$B$300,"T-*"))</f>
        <v/>
      </c>
      <c r="D42" s="183" t="str">
        <f>IF(C42="","",(SUMPRODUCT((Торговля!$E$5:$E$300=$B42)*Торговля!$F$5:$F$300*Торговля!$G$5:$G$300)+SUMPRODUCT((Закрытые!$E$5:$E$300=$B42)*(LEFT(Закрытые!$B$5:$B$300,2)="T-")*Закрытые!$F$5:$F$300*Закрытые!$G$5:$G$300))/C42)</f>
        <v/>
      </c>
      <c r="E42" s="247" t="str">
        <f>IF(C42="","",SUMIFS(Торговля!$H$5:$H$300,Торговля!$E$5:$E$300,$B42)+SUMIFS(Закрытые!$H$5:$H$300,Закрытые!$E$5:$E$300,$B42,Закрытые!$B$5:$B$300,"T-*"))</f>
        <v/>
      </c>
      <c r="F42" s="246" t="str">
        <f>IF(SUMIFS(Торговля!$I$5:$I$300,Торговля!$E$5:$E$300,$B42)+SUMIFS(Закрытые!$I$5:$I$300,Закрытые!$E$5:$E$300,$B42,Закрытые!$B$5:$B$300,"T-*")=0,"",SUMIFS(Торговля!$I$5:$I$300,Торговля!$E$5:$E$300,$B42)+SUMIFS(Закрытые!$I$5:$I$300,Закрытые!$E$5:$E$300,$B42,Закрытые!$B$5:$B$300,"T-*"))</f>
        <v/>
      </c>
      <c r="G42" s="183" t="str">
        <f>IF(F42="","",(SUMPRODUCT((Торговля!$E$5:$E$300=$B42)*Торговля!$I$5:$I$300*Торговля!$J$5:$J$300)+SUMPRODUCT((Закрытые!$E$5:$E$300=$B42)*(LEFT(Закрытые!$B$5:$B$300,2)="T-")*Закрытые!$I$5:$I$300*Закрытые!$J$5:$J$300))/F42)</f>
        <v/>
      </c>
      <c r="H42" s="247" t="str">
        <f>IF(F42="","",SUMIFS(Торговля!$K$5:$K$300,Торговля!$E$5:$E$300,$B42)+SUMIFS(Закрытые!$K$5:$K$300,Закрытые!$E$5:$E$300,$B42,Закрытые!$B$5:$B$300,"T-*"))</f>
        <v/>
      </c>
      <c r="I42" s="246" t="str">
        <f>IF($B42="","",IF(COUNTIFS(Торговля!$E$5:$E$300,$B42)+COUNTIFS(Закрытые!$E$5:$E$300,$B42,Закрытые!$B$5:$B$300,"T-*")=0,"",ROUND(SUMIFS(Торговля!$L$5:$L$300,Торговля!$E$5:$E$300,$B42)+SUMIFS(Закрытые!$L$5:$L$300,Закрытые!$E$5:$E$300,$B42,Закрытые!$B$5:$B$300,"T-*"),8)))</f>
        <v/>
      </c>
      <c r="J42" s="247" t="str">
        <f>IF($B42="","",IF(COUNTIFS(Торговля!$E$5:$E$300,$B42)+COUNTIFS(Закрытые!$E$5:$E$300,$B42,Закрытые!$B$5:$B$300,"T-*")=0,"",ROUND(SUMIFS(Торговля!$M$5:$M$300,Торговля!$E$5:$E$300,$B42)+SUMIFS(Закрытые!$M$5:$M$300,Закрытые!$E$5:$E$300,$B42,Закрытые!$B$5:$B$300,"T-*"),8)))</f>
        <v/>
      </c>
      <c r="K42" s="246" t="str">
        <f>IF(MIN(N(C42),N(F42))&lt;=0,"",ROUND(MIN(N(C42),N(F42))*(N(G42)-N(D42)),8))</f>
        <v/>
      </c>
      <c r="L42" s="183" t="str">
        <f>IF(MIN(N(C42),N(F42))&lt;=0,"",IF(N(D42)=0,"",ROUND((N(G42)/N(D42)-1)*100,2)))</f>
        <v/>
      </c>
      <c r="M42" s="183" t="str">
        <f>IF(OR(ROUND(N(C42)-N(F42),8)=0,1-N(Ввод!$J$19)/100&lt;=0),"",IF(N(C42)&gt;N(F42),(N(E42)-N(H42))/((N(C42)-N(F42))*(1-N(Ввод!$J$19)/100)),(N(H42)-N(E42))/((N(F42)-N(C42))*(1+N(Ввод!$J$19)/100))))</f>
        <v/>
      </c>
    </row>
    <row r="43" ht="22" customHeight="1">
      <c r="B43" s="239" t="n"/>
      <c r="C43" s="240" t="str">
        <f>IF(SUMIFS(Торговля!$F$5:$F$300,Торговля!$E$5:$E$300,$B43)+SUMIFS(Закрытые!$F$5:$F$300,Закрытые!$E$5:$E$300,$B43,Закрытые!$B$5:$B$300,"T-*")=0,"",SUMIFS(Торговля!$F$5:$F$300,Торговля!$E$5:$E$300,$B43)+SUMIFS(Закрытые!$F$5:$F$300,Закрытые!$E$5:$E$300,$B43,Закрытые!$B$5:$B$300,"T-*"))</f>
        <v/>
      </c>
      <c r="D43" s="177" t="str">
        <f>IF(C43="","",(SUMPRODUCT((Торговля!$E$5:$E$300=$B43)*Торговля!$F$5:$F$300*Торговля!$G$5:$G$300)+SUMPRODUCT((Закрытые!$E$5:$E$300=$B43)*(LEFT(Закрытые!$B$5:$B$300,2)="T-")*Закрытые!$F$5:$F$300*Закрытые!$G$5:$G$300))/C43)</f>
        <v/>
      </c>
      <c r="E43" s="241" t="str">
        <f>IF(C43="","",SUMIFS(Торговля!$H$5:$H$300,Торговля!$E$5:$E$300,$B43)+SUMIFS(Закрытые!$H$5:$H$300,Закрытые!$E$5:$E$300,$B43,Закрытые!$B$5:$B$300,"T-*"))</f>
        <v/>
      </c>
      <c r="F43" s="240" t="str">
        <f>IF(SUMIFS(Торговля!$I$5:$I$300,Торговля!$E$5:$E$300,$B43)+SUMIFS(Закрытые!$I$5:$I$300,Закрытые!$E$5:$E$300,$B43,Закрытые!$B$5:$B$300,"T-*")=0,"",SUMIFS(Торговля!$I$5:$I$300,Торговля!$E$5:$E$300,$B43)+SUMIFS(Закрытые!$I$5:$I$300,Закрытые!$E$5:$E$300,$B43,Закрытые!$B$5:$B$300,"T-*"))</f>
        <v/>
      </c>
      <c r="G43" s="177" t="str">
        <f>IF(F43="","",(SUMPRODUCT((Торговля!$E$5:$E$300=$B43)*Торговля!$I$5:$I$300*Торговля!$J$5:$J$300)+SUMPRODUCT((Закрытые!$E$5:$E$300=$B43)*(LEFT(Закрытые!$B$5:$B$300,2)="T-")*Закрытые!$I$5:$I$300*Закрытые!$J$5:$J$300))/F43)</f>
        <v/>
      </c>
      <c r="H43" s="241" t="str">
        <f>IF(F43="","",SUMIFS(Торговля!$K$5:$K$300,Торговля!$E$5:$E$300,$B43)+SUMIFS(Закрытые!$K$5:$K$300,Закрытые!$E$5:$E$300,$B43,Закрытые!$B$5:$B$300,"T-*"))</f>
        <v/>
      </c>
      <c r="I43" s="240" t="str">
        <f>IF($B43="","",IF(COUNTIFS(Торговля!$E$5:$E$300,$B43)+COUNTIFS(Закрытые!$E$5:$E$300,$B43,Закрытые!$B$5:$B$300,"T-*")=0,"",ROUND(SUMIFS(Торговля!$L$5:$L$300,Торговля!$E$5:$E$300,$B43)+SUMIFS(Закрытые!$L$5:$L$300,Закрытые!$E$5:$E$300,$B43,Закрытые!$B$5:$B$300,"T-*"),8)))</f>
        <v/>
      </c>
      <c r="J43" s="241" t="str">
        <f>IF($B43="","",IF(COUNTIFS(Торговля!$E$5:$E$300,$B43)+COUNTIFS(Закрытые!$E$5:$E$300,$B43,Закрытые!$B$5:$B$300,"T-*")=0,"",ROUND(SUMIFS(Торговля!$M$5:$M$300,Торговля!$E$5:$E$300,$B43)+SUMIFS(Закрытые!$M$5:$M$300,Закрытые!$E$5:$E$300,$B43,Закрытые!$B$5:$B$300,"T-*"),8)))</f>
        <v/>
      </c>
      <c r="K43" s="240" t="str">
        <f>IF(MIN(N(C43),N(F43))&lt;=0,"",ROUND(MIN(N(C43),N(F43))*(N(G43)-N(D43)),8))</f>
        <v/>
      </c>
      <c r="L43" s="177" t="str">
        <f>IF(MIN(N(C43),N(F43))&lt;=0,"",IF(N(D43)=0,"",ROUND((N(G43)/N(D43)-1)*100,2)))</f>
        <v/>
      </c>
      <c r="M43" s="177" t="str">
        <f>IF(OR(ROUND(N(C43)-N(F43),8)=0,1-N(Ввод!$J$19)/100&lt;=0),"",IF(N(C43)&gt;N(F43),(N(E43)-N(H43))/((N(C43)-N(F43))*(1-N(Ввод!$J$19)/100)),(N(H43)-N(E43))/((N(F43)-N(C43))*(1+N(Ввод!$J$19)/100))))</f>
        <v/>
      </c>
    </row>
    <row r="44" ht="22" customHeight="1">
      <c r="B44" s="245" t="n"/>
      <c r="C44" s="246" t="str">
        <f>IF(SUMIFS(Торговля!$F$5:$F$300,Торговля!$E$5:$E$300,$B44)+SUMIFS(Закрытые!$F$5:$F$300,Закрытые!$E$5:$E$300,$B44,Закрытые!$B$5:$B$300,"T-*")=0,"",SUMIFS(Торговля!$F$5:$F$300,Торговля!$E$5:$E$300,$B44)+SUMIFS(Закрытые!$F$5:$F$300,Закрытые!$E$5:$E$300,$B44,Закрытые!$B$5:$B$300,"T-*"))</f>
        <v/>
      </c>
      <c r="D44" s="183" t="str">
        <f>IF(C44="","",(SUMPRODUCT((Торговля!$E$5:$E$300=$B44)*Торговля!$F$5:$F$300*Торговля!$G$5:$G$300)+SUMPRODUCT((Закрытые!$E$5:$E$300=$B44)*(LEFT(Закрытые!$B$5:$B$300,2)="T-")*Закрытые!$F$5:$F$300*Закрытые!$G$5:$G$300))/C44)</f>
        <v/>
      </c>
      <c r="E44" s="247" t="str">
        <f>IF(C44="","",SUMIFS(Торговля!$H$5:$H$300,Торговля!$E$5:$E$300,$B44)+SUMIFS(Закрытые!$H$5:$H$300,Закрытые!$E$5:$E$300,$B44,Закрытые!$B$5:$B$300,"T-*"))</f>
        <v/>
      </c>
      <c r="F44" s="246" t="str">
        <f>IF(SUMIFS(Торговля!$I$5:$I$300,Торговля!$E$5:$E$300,$B44)+SUMIFS(Закрытые!$I$5:$I$300,Закрытые!$E$5:$E$300,$B44,Закрытые!$B$5:$B$300,"T-*")=0,"",SUMIFS(Торговля!$I$5:$I$300,Торговля!$E$5:$E$300,$B44)+SUMIFS(Закрытые!$I$5:$I$300,Закрытые!$E$5:$E$300,$B44,Закрытые!$B$5:$B$300,"T-*"))</f>
        <v/>
      </c>
      <c r="G44" s="183" t="str">
        <f>IF(F44="","",(SUMPRODUCT((Торговля!$E$5:$E$300=$B44)*Торговля!$I$5:$I$300*Торговля!$J$5:$J$300)+SUMPRODUCT((Закрытые!$E$5:$E$300=$B44)*(LEFT(Закрытые!$B$5:$B$300,2)="T-")*Закрытые!$I$5:$I$300*Закрытые!$J$5:$J$300))/F44)</f>
        <v/>
      </c>
      <c r="H44" s="247" t="str">
        <f>IF(F44="","",SUMIFS(Торговля!$K$5:$K$300,Торговля!$E$5:$E$300,$B44)+SUMIFS(Закрытые!$K$5:$K$300,Закрытые!$E$5:$E$300,$B44,Закрытые!$B$5:$B$300,"T-*"))</f>
        <v/>
      </c>
      <c r="I44" s="246" t="str">
        <f>IF($B44="","",IF(COUNTIFS(Торговля!$E$5:$E$300,$B44)+COUNTIFS(Закрытые!$E$5:$E$300,$B44,Закрытые!$B$5:$B$300,"T-*")=0,"",ROUND(SUMIFS(Торговля!$L$5:$L$300,Торговля!$E$5:$E$300,$B44)+SUMIFS(Закрытые!$L$5:$L$300,Закрытые!$E$5:$E$300,$B44,Закрытые!$B$5:$B$300,"T-*"),8)))</f>
        <v/>
      </c>
      <c r="J44" s="247" t="str">
        <f>IF($B44="","",IF(COUNTIFS(Торговля!$E$5:$E$300,$B44)+COUNTIFS(Закрытые!$E$5:$E$300,$B44,Закрытые!$B$5:$B$300,"T-*")=0,"",ROUND(SUMIFS(Торговля!$M$5:$M$300,Торговля!$E$5:$E$300,$B44)+SUMIFS(Закрытые!$M$5:$M$300,Закрытые!$E$5:$E$300,$B44,Закрытые!$B$5:$B$300,"T-*"),8)))</f>
        <v/>
      </c>
      <c r="K44" s="246" t="str">
        <f>IF(MIN(N(C44),N(F44))&lt;=0,"",ROUND(MIN(N(C44),N(F44))*(N(G44)-N(D44)),8))</f>
        <v/>
      </c>
      <c r="L44" s="183" t="str">
        <f>IF(MIN(N(C44),N(F44))&lt;=0,"",IF(N(D44)=0,"",ROUND((N(G44)/N(D44)-1)*100,2)))</f>
        <v/>
      </c>
      <c r="M44" s="183" t="str">
        <f>IF(OR(ROUND(N(C44)-N(F44),8)=0,1-N(Ввод!$J$19)/100&lt;=0),"",IF(N(C44)&gt;N(F44),(N(E44)-N(H44))/((N(C44)-N(F44))*(1-N(Ввод!$J$19)/100)),(N(H44)-N(E44))/((N(F44)-N(C44))*(1+N(Ввод!$J$19)/100))))</f>
        <v/>
      </c>
    </row>
    <row r="45" ht="22" customHeight="1">
      <c r="B45" s="239" t="n"/>
      <c r="C45" s="240" t="str">
        <f>IF(SUMIFS(Торговля!$F$5:$F$300,Торговля!$E$5:$E$300,$B45)+SUMIFS(Закрытые!$F$5:$F$300,Закрытые!$E$5:$E$300,$B45,Закрытые!$B$5:$B$300,"T-*")=0,"",SUMIFS(Торговля!$F$5:$F$300,Торговля!$E$5:$E$300,$B45)+SUMIFS(Закрытые!$F$5:$F$300,Закрытые!$E$5:$E$300,$B45,Закрытые!$B$5:$B$300,"T-*"))</f>
        <v/>
      </c>
      <c r="D45" s="177" t="str">
        <f>IF(C45="","",(SUMPRODUCT((Торговля!$E$5:$E$300=$B45)*Торговля!$F$5:$F$300*Торговля!$G$5:$G$300)+SUMPRODUCT((Закрытые!$E$5:$E$300=$B45)*(LEFT(Закрытые!$B$5:$B$300,2)="T-")*Закрытые!$F$5:$F$300*Закрытые!$G$5:$G$300))/C45)</f>
        <v/>
      </c>
      <c r="E45" s="241" t="str">
        <f>IF(C45="","",SUMIFS(Торговля!$H$5:$H$300,Торговля!$E$5:$E$300,$B45)+SUMIFS(Закрытые!$H$5:$H$300,Закрытые!$E$5:$E$300,$B45,Закрытые!$B$5:$B$300,"T-*"))</f>
        <v/>
      </c>
      <c r="F45" s="240" t="str">
        <f>IF(SUMIFS(Торговля!$I$5:$I$300,Торговля!$E$5:$E$300,$B45)+SUMIFS(Закрытые!$I$5:$I$300,Закрытые!$E$5:$E$300,$B45,Закрытые!$B$5:$B$300,"T-*")=0,"",SUMIFS(Торговля!$I$5:$I$300,Торговля!$E$5:$E$300,$B45)+SUMIFS(Закрытые!$I$5:$I$300,Закрытые!$E$5:$E$300,$B45,Закрытые!$B$5:$B$300,"T-*"))</f>
        <v/>
      </c>
      <c r="G45" s="177" t="str">
        <f>IF(F45="","",(SUMPRODUCT((Торговля!$E$5:$E$300=$B45)*Торговля!$I$5:$I$300*Торговля!$J$5:$J$300)+SUMPRODUCT((Закрытые!$E$5:$E$300=$B45)*(LEFT(Закрытые!$B$5:$B$300,2)="T-")*Закрытые!$I$5:$I$300*Закрытые!$J$5:$J$300))/F45)</f>
        <v/>
      </c>
      <c r="H45" s="241" t="str">
        <f>IF(F45="","",SUMIFS(Торговля!$K$5:$K$300,Торговля!$E$5:$E$300,$B45)+SUMIFS(Закрытые!$K$5:$K$300,Закрытые!$E$5:$E$300,$B45,Закрытые!$B$5:$B$300,"T-*"))</f>
        <v/>
      </c>
      <c r="I45" s="240" t="str">
        <f>IF($B45="","",IF(COUNTIFS(Торговля!$E$5:$E$300,$B45)+COUNTIFS(Закрытые!$E$5:$E$300,$B45,Закрытые!$B$5:$B$300,"T-*")=0,"",ROUND(SUMIFS(Торговля!$L$5:$L$300,Торговля!$E$5:$E$300,$B45)+SUMIFS(Закрытые!$L$5:$L$300,Закрытые!$E$5:$E$300,$B45,Закрытые!$B$5:$B$300,"T-*"),8)))</f>
        <v/>
      </c>
      <c r="J45" s="241" t="str">
        <f>IF($B45="","",IF(COUNTIFS(Торговля!$E$5:$E$300,$B45)+COUNTIFS(Закрытые!$E$5:$E$300,$B45,Закрытые!$B$5:$B$300,"T-*")=0,"",ROUND(SUMIFS(Торговля!$M$5:$M$300,Торговля!$E$5:$E$300,$B45)+SUMIFS(Закрытые!$M$5:$M$300,Закрытые!$E$5:$E$300,$B45,Закрытые!$B$5:$B$300,"T-*"),8)))</f>
        <v/>
      </c>
      <c r="K45" s="240" t="str">
        <f>IF(MIN(N(C45),N(F45))&lt;=0,"",ROUND(MIN(N(C45),N(F45))*(N(G45)-N(D45)),8))</f>
        <v/>
      </c>
      <c r="L45" s="177" t="str">
        <f>IF(MIN(N(C45),N(F45))&lt;=0,"",IF(N(D45)=0,"",ROUND((N(G45)/N(D45)-1)*100,2)))</f>
        <v/>
      </c>
      <c r="M45" s="177" t="str">
        <f>IF(OR(ROUND(N(C45)-N(F45),8)=0,1-N(Ввод!$J$19)/100&lt;=0),"",IF(N(C45)&gt;N(F45),(N(E45)-N(H45))/((N(C45)-N(F45))*(1-N(Ввод!$J$19)/100)),(N(H45)-N(E45))/((N(F45)-N(C45))*(1+N(Ввод!$J$19)/100))))</f>
        <v/>
      </c>
    </row>
    <row r="46" ht="22" customHeight="1">
      <c r="B46" s="245" t="n"/>
      <c r="C46" s="246" t="str">
        <f>IF(SUMIFS(Торговля!$F$5:$F$300,Торговля!$E$5:$E$300,$B46)+SUMIFS(Закрытые!$F$5:$F$300,Закрытые!$E$5:$E$300,$B46,Закрытые!$B$5:$B$300,"T-*")=0,"",SUMIFS(Торговля!$F$5:$F$300,Торговля!$E$5:$E$300,$B46)+SUMIFS(Закрытые!$F$5:$F$300,Закрытые!$E$5:$E$300,$B46,Закрытые!$B$5:$B$300,"T-*"))</f>
        <v/>
      </c>
      <c r="D46" s="183" t="str">
        <f>IF(C46="","",(SUMPRODUCT((Торговля!$E$5:$E$300=$B46)*Торговля!$F$5:$F$300*Торговля!$G$5:$G$300)+SUMPRODUCT((Закрытые!$E$5:$E$300=$B46)*(LEFT(Закрытые!$B$5:$B$300,2)="T-")*Закрытые!$F$5:$F$300*Закрытые!$G$5:$G$300))/C46)</f>
        <v/>
      </c>
      <c r="E46" s="247" t="str">
        <f>IF(C46="","",SUMIFS(Торговля!$H$5:$H$300,Торговля!$E$5:$E$300,$B46)+SUMIFS(Закрытые!$H$5:$H$300,Закрытые!$E$5:$E$300,$B46,Закрытые!$B$5:$B$300,"T-*"))</f>
        <v/>
      </c>
      <c r="F46" s="246" t="str">
        <f>IF(SUMIFS(Торговля!$I$5:$I$300,Торговля!$E$5:$E$300,$B46)+SUMIFS(Закрытые!$I$5:$I$300,Закрытые!$E$5:$E$300,$B46,Закрытые!$B$5:$B$300,"T-*")=0,"",SUMIFS(Торговля!$I$5:$I$300,Торговля!$E$5:$E$300,$B46)+SUMIFS(Закрытые!$I$5:$I$300,Закрытые!$E$5:$E$300,$B46,Закрытые!$B$5:$B$300,"T-*"))</f>
        <v/>
      </c>
      <c r="G46" s="183" t="str">
        <f>IF(F46="","",(SUMPRODUCT((Торговля!$E$5:$E$300=$B46)*Торговля!$I$5:$I$300*Торговля!$J$5:$J$300)+SUMPRODUCT((Закрытые!$E$5:$E$300=$B46)*(LEFT(Закрытые!$B$5:$B$300,2)="T-")*Закрытые!$I$5:$I$300*Закрытые!$J$5:$J$300))/F46)</f>
        <v/>
      </c>
      <c r="H46" s="247" t="str">
        <f>IF(F46="","",SUMIFS(Торговля!$K$5:$K$300,Торговля!$E$5:$E$300,$B46)+SUMIFS(Закрытые!$K$5:$K$300,Закрытые!$E$5:$E$300,$B46,Закрытые!$B$5:$B$300,"T-*"))</f>
        <v/>
      </c>
      <c r="I46" s="246" t="str">
        <f>IF($B46="","",IF(COUNTIFS(Торговля!$E$5:$E$300,$B46)+COUNTIFS(Закрытые!$E$5:$E$300,$B46,Закрытые!$B$5:$B$300,"T-*")=0,"",ROUND(SUMIFS(Торговля!$L$5:$L$300,Торговля!$E$5:$E$300,$B46)+SUMIFS(Закрытые!$L$5:$L$300,Закрытые!$E$5:$E$300,$B46,Закрытые!$B$5:$B$300,"T-*"),8)))</f>
        <v/>
      </c>
      <c r="J46" s="247" t="str">
        <f>IF($B46="","",IF(COUNTIFS(Торговля!$E$5:$E$300,$B46)+COUNTIFS(Закрытые!$E$5:$E$300,$B46,Закрытые!$B$5:$B$300,"T-*")=0,"",ROUND(SUMIFS(Торговля!$M$5:$M$300,Торговля!$E$5:$E$300,$B46)+SUMIFS(Закрытые!$M$5:$M$300,Закрытые!$E$5:$E$300,$B46,Закрытые!$B$5:$B$300,"T-*"),8)))</f>
        <v/>
      </c>
      <c r="K46" s="246" t="str">
        <f>IF(MIN(N(C46),N(F46))&lt;=0,"",ROUND(MIN(N(C46),N(F46))*(N(G46)-N(D46)),8))</f>
        <v/>
      </c>
      <c r="L46" s="183" t="str">
        <f>IF(MIN(N(C46),N(F46))&lt;=0,"",IF(N(D46)=0,"",ROUND((N(G46)/N(D46)-1)*100,2)))</f>
        <v/>
      </c>
      <c r="M46" s="183" t="str">
        <f>IF(OR(ROUND(N(C46)-N(F46),8)=0,1-N(Ввод!$J$19)/100&lt;=0),"",IF(N(C46)&gt;N(F46),(N(E46)-N(H46))/((N(C46)-N(F46))*(1-N(Ввод!$J$19)/100)),(N(H46)-N(E46))/((N(F46)-N(C46))*(1+N(Ввод!$J$19)/100))))</f>
        <v/>
      </c>
    </row>
    <row r="47" ht="22" customHeight="1">
      <c r="B47" s="239" t="n"/>
      <c r="C47" s="240" t="str">
        <f>IF(SUMIFS(Торговля!$F$5:$F$300,Торговля!$E$5:$E$300,$B47)+SUMIFS(Закрытые!$F$5:$F$300,Закрытые!$E$5:$E$300,$B47,Закрытые!$B$5:$B$300,"T-*")=0,"",SUMIFS(Торговля!$F$5:$F$300,Торговля!$E$5:$E$300,$B47)+SUMIFS(Закрытые!$F$5:$F$300,Закрытые!$E$5:$E$300,$B47,Закрытые!$B$5:$B$300,"T-*"))</f>
        <v/>
      </c>
      <c r="D47" s="177" t="str">
        <f>IF(C47="","",(SUMPRODUCT((Торговля!$E$5:$E$300=$B47)*Торговля!$F$5:$F$300*Торговля!$G$5:$G$300)+SUMPRODUCT((Закрытые!$E$5:$E$300=$B47)*(LEFT(Закрытые!$B$5:$B$300,2)="T-")*Закрытые!$F$5:$F$300*Закрытые!$G$5:$G$300))/C47)</f>
        <v/>
      </c>
      <c r="E47" s="241" t="str">
        <f>IF(C47="","",SUMIFS(Торговля!$H$5:$H$300,Торговля!$E$5:$E$300,$B47)+SUMIFS(Закрытые!$H$5:$H$300,Закрытые!$E$5:$E$300,$B47,Закрытые!$B$5:$B$300,"T-*"))</f>
        <v/>
      </c>
      <c r="F47" s="240" t="str">
        <f>IF(SUMIFS(Торговля!$I$5:$I$300,Торговля!$E$5:$E$300,$B47)+SUMIFS(Закрытые!$I$5:$I$300,Закрытые!$E$5:$E$300,$B47,Закрытые!$B$5:$B$300,"T-*")=0,"",SUMIFS(Торговля!$I$5:$I$300,Торговля!$E$5:$E$300,$B47)+SUMIFS(Закрытые!$I$5:$I$300,Закрытые!$E$5:$E$300,$B47,Закрытые!$B$5:$B$300,"T-*"))</f>
        <v/>
      </c>
      <c r="G47" s="177" t="str">
        <f>IF(F47="","",(SUMPRODUCT((Торговля!$E$5:$E$300=$B47)*Торговля!$I$5:$I$300*Торговля!$J$5:$J$300)+SUMPRODUCT((Закрытые!$E$5:$E$300=$B47)*(LEFT(Закрытые!$B$5:$B$300,2)="T-")*Закрытые!$I$5:$I$300*Закрытые!$J$5:$J$300))/F47)</f>
        <v/>
      </c>
      <c r="H47" s="241" t="str">
        <f>IF(F47="","",SUMIFS(Торговля!$K$5:$K$300,Торговля!$E$5:$E$300,$B47)+SUMIFS(Закрытые!$K$5:$K$300,Закрытые!$E$5:$E$300,$B47,Закрытые!$B$5:$B$300,"T-*"))</f>
        <v/>
      </c>
      <c r="I47" s="240" t="str">
        <f>IF($B47="","",IF(COUNTIFS(Торговля!$E$5:$E$300,$B47)+COUNTIFS(Закрытые!$E$5:$E$300,$B47,Закрытые!$B$5:$B$300,"T-*")=0,"",ROUND(SUMIFS(Торговля!$L$5:$L$300,Торговля!$E$5:$E$300,$B47)+SUMIFS(Закрытые!$L$5:$L$300,Закрытые!$E$5:$E$300,$B47,Закрытые!$B$5:$B$300,"T-*"),8)))</f>
        <v/>
      </c>
      <c r="J47" s="241" t="str">
        <f>IF($B47="","",IF(COUNTIFS(Торговля!$E$5:$E$300,$B47)+COUNTIFS(Закрытые!$E$5:$E$300,$B47,Закрытые!$B$5:$B$300,"T-*")=0,"",ROUND(SUMIFS(Торговля!$M$5:$M$300,Торговля!$E$5:$E$300,$B47)+SUMIFS(Закрытые!$M$5:$M$300,Закрытые!$E$5:$E$300,$B47,Закрытые!$B$5:$B$300,"T-*"),8)))</f>
        <v/>
      </c>
      <c r="K47" s="240" t="str">
        <f>IF(MIN(N(C47),N(F47))&lt;=0,"",ROUND(MIN(N(C47),N(F47))*(N(G47)-N(D47)),8))</f>
        <v/>
      </c>
      <c r="L47" s="177" t="str">
        <f>IF(MIN(N(C47),N(F47))&lt;=0,"",IF(N(D47)=0,"",ROUND((N(G47)/N(D47)-1)*100,2)))</f>
        <v/>
      </c>
      <c r="M47" s="177" t="str">
        <f>IF(OR(ROUND(N(C47)-N(F47),8)=0,1-N(Ввод!$J$19)/100&lt;=0),"",IF(N(C47)&gt;N(F47),(N(E47)-N(H47))/((N(C47)-N(F47))*(1-N(Ввод!$J$19)/100)),(N(H47)-N(E47))/((N(F47)-N(C47))*(1+N(Ввод!$J$19)/100))))</f>
        <v/>
      </c>
    </row>
    <row r="48" ht="22" customHeight="1">
      <c r="B48" s="245" t="n"/>
      <c r="C48" s="246" t="str">
        <f>IF(SUMIFS(Торговля!$F$5:$F$300,Торговля!$E$5:$E$300,$B48)+SUMIFS(Закрытые!$F$5:$F$300,Закрытые!$E$5:$E$300,$B48,Закрытые!$B$5:$B$300,"T-*")=0,"",SUMIFS(Торговля!$F$5:$F$300,Торговля!$E$5:$E$300,$B48)+SUMIFS(Закрытые!$F$5:$F$300,Закрытые!$E$5:$E$300,$B48,Закрытые!$B$5:$B$300,"T-*"))</f>
        <v/>
      </c>
      <c r="D48" s="183" t="str">
        <f>IF(C48="","",(SUMPRODUCT((Торговля!$E$5:$E$300=$B48)*Торговля!$F$5:$F$300*Торговля!$G$5:$G$300)+SUMPRODUCT((Закрытые!$E$5:$E$300=$B48)*(LEFT(Закрытые!$B$5:$B$300,2)="T-")*Закрытые!$F$5:$F$300*Закрытые!$G$5:$G$300))/C48)</f>
        <v/>
      </c>
      <c r="E48" s="247" t="str">
        <f>IF(C48="","",SUMIFS(Торговля!$H$5:$H$300,Торговля!$E$5:$E$300,$B48)+SUMIFS(Закрытые!$H$5:$H$300,Закрытые!$E$5:$E$300,$B48,Закрытые!$B$5:$B$300,"T-*"))</f>
        <v/>
      </c>
      <c r="F48" s="246" t="str">
        <f>IF(SUMIFS(Торговля!$I$5:$I$300,Торговля!$E$5:$E$300,$B48)+SUMIFS(Закрытые!$I$5:$I$300,Закрытые!$E$5:$E$300,$B48,Закрытые!$B$5:$B$300,"T-*")=0,"",SUMIFS(Торговля!$I$5:$I$300,Торговля!$E$5:$E$300,$B48)+SUMIFS(Закрытые!$I$5:$I$300,Закрытые!$E$5:$E$300,$B48,Закрытые!$B$5:$B$300,"T-*"))</f>
        <v/>
      </c>
      <c r="G48" s="183" t="str">
        <f>IF(F48="","",(SUMPRODUCT((Торговля!$E$5:$E$300=$B48)*Торговля!$I$5:$I$300*Торговля!$J$5:$J$300)+SUMPRODUCT((Закрытые!$E$5:$E$300=$B48)*(LEFT(Закрытые!$B$5:$B$300,2)="T-")*Закрытые!$I$5:$I$300*Закрытые!$J$5:$J$300))/F48)</f>
        <v/>
      </c>
      <c r="H48" s="247" t="str">
        <f>IF(F48="","",SUMIFS(Торговля!$K$5:$K$300,Торговля!$E$5:$E$300,$B48)+SUMIFS(Закрытые!$K$5:$K$300,Закрытые!$E$5:$E$300,$B48,Закрытые!$B$5:$B$300,"T-*"))</f>
        <v/>
      </c>
      <c r="I48" s="246" t="str">
        <f>IF($B48="","",IF(COUNTIFS(Торговля!$E$5:$E$300,$B48)+COUNTIFS(Закрытые!$E$5:$E$300,$B48,Закрытые!$B$5:$B$300,"T-*")=0,"",ROUND(SUMIFS(Торговля!$L$5:$L$300,Торговля!$E$5:$E$300,$B48)+SUMIFS(Закрытые!$L$5:$L$300,Закрытые!$E$5:$E$300,$B48,Закрытые!$B$5:$B$300,"T-*"),8)))</f>
        <v/>
      </c>
      <c r="J48" s="247" t="str">
        <f>IF($B48="","",IF(COUNTIFS(Торговля!$E$5:$E$300,$B48)+COUNTIFS(Закрытые!$E$5:$E$300,$B48,Закрытые!$B$5:$B$300,"T-*")=0,"",ROUND(SUMIFS(Торговля!$M$5:$M$300,Торговля!$E$5:$E$300,$B48)+SUMIFS(Закрытые!$M$5:$M$300,Закрытые!$E$5:$E$300,$B48,Закрытые!$B$5:$B$300,"T-*"),8)))</f>
        <v/>
      </c>
      <c r="K48" s="246" t="str">
        <f>IF(MIN(N(C48),N(F48))&lt;=0,"",ROUND(MIN(N(C48),N(F48))*(N(G48)-N(D48)),8))</f>
        <v/>
      </c>
      <c r="L48" s="183" t="str">
        <f>IF(MIN(N(C48),N(F48))&lt;=0,"",IF(N(D48)=0,"",ROUND((N(G48)/N(D48)-1)*100,2)))</f>
        <v/>
      </c>
      <c r="M48" s="183" t="str">
        <f>IF(OR(ROUND(N(C48)-N(F48),8)=0,1-N(Ввод!$J$19)/100&lt;=0),"",IF(N(C48)&gt;N(F48),(N(E48)-N(H48))/((N(C48)-N(F48))*(1-N(Ввод!$J$19)/100)),(N(H48)-N(E48))/((N(F48)-N(C48))*(1+N(Ввод!$J$19)/100))))</f>
        <v/>
      </c>
    </row>
    <row r="49" ht="22" customHeight="1">
      <c r="B49" s="239" t="n"/>
      <c r="C49" s="240" t="str">
        <f>IF(SUMIFS(Торговля!$F$5:$F$300,Торговля!$E$5:$E$300,$B49)+SUMIFS(Закрытые!$F$5:$F$300,Закрытые!$E$5:$E$300,$B49,Закрытые!$B$5:$B$300,"T-*")=0,"",SUMIFS(Торговля!$F$5:$F$300,Торговля!$E$5:$E$300,$B49)+SUMIFS(Закрытые!$F$5:$F$300,Закрытые!$E$5:$E$300,$B49,Закрытые!$B$5:$B$300,"T-*"))</f>
        <v/>
      </c>
      <c r="D49" s="177" t="str">
        <f>IF(C49="","",(SUMPRODUCT((Торговля!$E$5:$E$300=$B49)*Торговля!$F$5:$F$300*Торговля!$G$5:$G$300)+SUMPRODUCT((Закрытые!$E$5:$E$300=$B49)*(LEFT(Закрытые!$B$5:$B$300,2)="T-")*Закрытые!$F$5:$F$300*Закрытые!$G$5:$G$300))/C49)</f>
        <v/>
      </c>
      <c r="E49" s="241" t="str">
        <f>IF(C49="","",SUMIFS(Торговля!$H$5:$H$300,Торговля!$E$5:$E$300,$B49)+SUMIFS(Закрытые!$H$5:$H$300,Закрытые!$E$5:$E$300,$B49,Закрытые!$B$5:$B$300,"T-*"))</f>
        <v/>
      </c>
      <c r="F49" s="240" t="str">
        <f>IF(SUMIFS(Торговля!$I$5:$I$300,Торговля!$E$5:$E$300,$B49)+SUMIFS(Закрытые!$I$5:$I$300,Закрытые!$E$5:$E$300,$B49,Закрытые!$B$5:$B$300,"T-*")=0,"",SUMIFS(Торговля!$I$5:$I$300,Торговля!$E$5:$E$300,$B49)+SUMIFS(Закрытые!$I$5:$I$300,Закрытые!$E$5:$E$300,$B49,Закрытые!$B$5:$B$300,"T-*"))</f>
        <v/>
      </c>
      <c r="G49" s="177" t="str">
        <f>IF(F49="","",(SUMPRODUCT((Торговля!$E$5:$E$300=$B49)*Торговля!$I$5:$I$300*Торговля!$J$5:$J$300)+SUMPRODUCT((Закрытые!$E$5:$E$300=$B49)*(LEFT(Закрытые!$B$5:$B$300,2)="T-")*Закрытые!$I$5:$I$300*Закрытые!$J$5:$J$300))/F49)</f>
        <v/>
      </c>
      <c r="H49" s="241" t="str">
        <f>IF(F49="","",SUMIFS(Торговля!$K$5:$K$300,Торговля!$E$5:$E$300,$B49)+SUMIFS(Закрытые!$K$5:$K$300,Закрытые!$E$5:$E$300,$B49,Закрытые!$B$5:$B$300,"T-*"))</f>
        <v/>
      </c>
      <c r="I49" s="240" t="str">
        <f>IF($B49="","",IF(COUNTIFS(Торговля!$E$5:$E$300,$B49)+COUNTIFS(Закрытые!$E$5:$E$300,$B49,Закрытые!$B$5:$B$300,"T-*")=0,"",ROUND(SUMIFS(Торговля!$L$5:$L$300,Торговля!$E$5:$E$300,$B49)+SUMIFS(Закрытые!$L$5:$L$300,Закрытые!$E$5:$E$300,$B49,Закрытые!$B$5:$B$300,"T-*"),8)))</f>
        <v/>
      </c>
      <c r="J49" s="241" t="str">
        <f>IF($B49="","",IF(COUNTIFS(Торговля!$E$5:$E$300,$B49)+COUNTIFS(Закрытые!$E$5:$E$300,$B49,Закрытые!$B$5:$B$300,"T-*")=0,"",ROUND(SUMIFS(Торговля!$M$5:$M$300,Торговля!$E$5:$E$300,$B49)+SUMIFS(Закрытые!$M$5:$M$300,Закрытые!$E$5:$E$300,$B49,Закрытые!$B$5:$B$300,"T-*"),8)))</f>
        <v/>
      </c>
      <c r="K49" s="240" t="str">
        <f>IF(MIN(N(C49),N(F49))&lt;=0,"",ROUND(MIN(N(C49),N(F49))*(N(G49)-N(D49)),8))</f>
        <v/>
      </c>
      <c r="L49" s="177" t="str">
        <f>IF(MIN(N(C49),N(F49))&lt;=0,"",IF(N(D49)=0,"",ROUND((N(G49)/N(D49)-1)*100,2)))</f>
        <v/>
      </c>
      <c r="M49" s="177" t="str">
        <f>IF(OR(ROUND(N(C49)-N(F49),8)=0,1-N(Ввод!$J$19)/100&lt;=0),"",IF(N(C49)&gt;N(F49),(N(E49)-N(H49))/((N(C49)-N(F49))*(1-N(Ввод!$J$19)/100)),(N(H49)-N(E49))/((N(F49)-N(C49))*(1+N(Ввод!$J$19)/100))))</f>
        <v/>
      </c>
    </row>
    <row r="50" ht="22" customHeight="1">
      <c r="B50" s="245" t="n"/>
      <c r="C50" s="246" t="str">
        <f>IF(SUMIFS(Торговля!$F$5:$F$300,Торговля!$E$5:$E$300,$B50)+SUMIFS(Закрытые!$F$5:$F$300,Закрытые!$E$5:$E$300,$B50,Закрытые!$B$5:$B$300,"T-*")=0,"",SUMIFS(Торговля!$F$5:$F$300,Торговля!$E$5:$E$300,$B50)+SUMIFS(Закрытые!$F$5:$F$300,Закрытые!$E$5:$E$300,$B50,Закрытые!$B$5:$B$300,"T-*"))</f>
        <v/>
      </c>
      <c r="D50" s="183" t="str">
        <f>IF(C50="","",(SUMPRODUCT((Торговля!$E$5:$E$300=$B50)*Торговля!$F$5:$F$300*Торговля!$G$5:$G$300)+SUMPRODUCT((Закрытые!$E$5:$E$300=$B50)*(LEFT(Закрытые!$B$5:$B$300,2)="T-")*Закрытые!$F$5:$F$300*Закрытые!$G$5:$G$300))/C50)</f>
        <v/>
      </c>
      <c r="E50" s="247" t="str">
        <f>IF(C50="","",SUMIFS(Торговля!$H$5:$H$300,Торговля!$E$5:$E$300,$B50)+SUMIFS(Закрытые!$H$5:$H$300,Закрытые!$E$5:$E$300,$B50,Закрытые!$B$5:$B$300,"T-*"))</f>
        <v/>
      </c>
      <c r="F50" s="246" t="str">
        <f>IF(SUMIFS(Торговля!$I$5:$I$300,Торговля!$E$5:$E$300,$B50)+SUMIFS(Закрытые!$I$5:$I$300,Закрытые!$E$5:$E$300,$B50,Закрытые!$B$5:$B$300,"T-*")=0,"",SUMIFS(Торговля!$I$5:$I$300,Торговля!$E$5:$E$300,$B50)+SUMIFS(Закрытые!$I$5:$I$300,Закрытые!$E$5:$E$300,$B50,Закрытые!$B$5:$B$300,"T-*"))</f>
        <v/>
      </c>
      <c r="G50" s="183" t="str">
        <f>IF(F50="","",(SUMPRODUCT((Торговля!$E$5:$E$300=$B50)*Торговля!$I$5:$I$300*Торговля!$J$5:$J$300)+SUMPRODUCT((Закрытые!$E$5:$E$300=$B50)*(LEFT(Закрытые!$B$5:$B$300,2)="T-")*Закрытые!$I$5:$I$300*Закрытые!$J$5:$J$300))/F50)</f>
        <v/>
      </c>
      <c r="H50" s="247" t="str">
        <f>IF(F50="","",SUMIFS(Торговля!$K$5:$K$300,Торговля!$E$5:$E$300,$B50)+SUMIFS(Закрытые!$K$5:$K$300,Закрытые!$E$5:$E$300,$B50,Закрытые!$B$5:$B$300,"T-*"))</f>
        <v/>
      </c>
      <c r="I50" s="246" t="str">
        <f>IF($B50="","",IF(COUNTIFS(Торговля!$E$5:$E$300,$B50)+COUNTIFS(Закрытые!$E$5:$E$300,$B50,Закрытые!$B$5:$B$300,"T-*")=0,"",ROUND(SUMIFS(Торговля!$L$5:$L$300,Торговля!$E$5:$E$300,$B50)+SUMIFS(Закрытые!$L$5:$L$300,Закрытые!$E$5:$E$300,$B50,Закрытые!$B$5:$B$300,"T-*"),8)))</f>
        <v/>
      </c>
      <c r="J50" s="247" t="str">
        <f>IF($B50="","",IF(COUNTIFS(Торговля!$E$5:$E$300,$B50)+COUNTIFS(Закрытые!$E$5:$E$300,$B50,Закрытые!$B$5:$B$300,"T-*")=0,"",ROUND(SUMIFS(Торговля!$M$5:$M$300,Торговля!$E$5:$E$300,$B50)+SUMIFS(Закрытые!$M$5:$M$300,Закрытые!$E$5:$E$300,$B50,Закрытые!$B$5:$B$300,"T-*"),8)))</f>
        <v/>
      </c>
      <c r="K50" s="246" t="str">
        <f>IF(MIN(N(C50),N(F50))&lt;=0,"",ROUND(MIN(N(C50),N(F50))*(N(G50)-N(D50)),8))</f>
        <v/>
      </c>
      <c r="L50" s="183" t="str">
        <f>IF(MIN(N(C50),N(F50))&lt;=0,"",IF(N(D50)=0,"",ROUND((N(G50)/N(D50)-1)*100,2)))</f>
        <v/>
      </c>
      <c r="M50" s="183" t="str">
        <f>IF(OR(ROUND(N(C50)-N(F50),8)=0,1-N(Ввод!$J$19)/100&lt;=0),"",IF(N(C50)&gt;N(F50),(N(E50)-N(H50))/((N(C50)-N(F50))*(1-N(Ввод!$J$19)/100)),(N(H50)-N(E50))/((N(F50)-N(C50))*(1+N(Ввод!$J$19)/100))))</f>
        <v/>
      </c>
    </row>
    <row r="51" ht="22" customHeight="1">
      <c r="B51" s="239" t="n"/>
      <c r="C51" s="240" t="str">
        <f>IF(SUMIFS(Торговля!$F$5:$F$300,Торговля!$E$5:$E$300,$B51)+SUMIFS(Закрытые!$F$5:$F$300,Закрытые!$E$5:$E$300,$B51,Закрытые!$B$5:$B$300,"T-*")=0,"",SUMIFS(Торговля!$F$5:$F$300,Торговля!$E$5:$E$300,$B51)+SUMIFS(Закрытые!$F$5:$F$300,Закрытые!$E$5:$E$300,$B51,Закрытые!$B$5:$B$300,"T-*"))</f>
        <v/>
      </c>
      <c r="D51" s="177" t="str">
        <f>IF(C51="","",(SUMPRODUCT((Торговля!$E$5:$E$300=$B51)*Торговля!$F$5:$F$300*Торговля!$G$5:$G$300)+SUMPRODUCT((Закрытые!$E$5:$E$300=$B51)*(LEFT(Закрытые!$B$5:$B$300,2)="T-")*Закрытые!$F$5:$F$300*Закрытые!$G$5:$G$300))/C51)</f>
        <v/>
      </c>
      <c r="E51" s="241" t="str">
        <f>IF(C51="","",SUMIFS(Торговля!$H$5:$H$300,Торговля!$E$5:$E$300,$B51)+SUMIFS(Закрытые!$H$5:$H$300,Закрытые!$E$5:$E$300,$B51,Закрытые!$B$5:$B$300,"T-*"))</f>
        <v/>
      </c>
      <c r="F51" s="240" t="str">
        <f>IF(SUMIFS(Торговля!$I$5:$I$300,Торговля!$E$5:$E$300,$B51)+SUMIFS(Закрытые!$I$5:$I$300,Закрытые!$E$5:$E$300,$B51,Закрытые!$B$5:$B$300,"T-*")=0,"",SUMIFS(Торговля!$I$5:$I$300,Торговля!$E$5:$E$300,$B51)+SUMIFS(Закрытые!$I$5:$I$300,Закрытые!$E$5:$E$300,$B51,Закрытые!$B$5:$B$300,"T-*"))</f>
        <v/>
      </c>
      <c r="G51" s="177" t="str">
        <f>IF(F51="","",(SUMPRODUCT((Торговля!$E$5:$E$300=$B51)*Торговля!$I$5:$I$300*Торговля!$J$5:$J$300)+SUMPRODUCT((Закрытые!$E$5:$E$300=$B51)*(LEFT(Закрытые!$B$5:$B$300,2)="T-")*Закрытые!$I$5:$I$300*Закрытые!$J$5:$J$300))/F51)</f>
        <v/>
      </c>
      <c r="H51" s="241" t="str">
        <f>IF(F51="","",SUMIFS(Торговля!$K$5:$K$300,Торговля!$E$5:$E$300,$B51)+SUMIFS(Закрытые!$K$5:$K$300,Закрытые!$E$5:$E$300,$B51,Закрытые!$B$5:$B$300,"T-*"))</f>
        <v/>
      </c>
      <c r="I51" s="240" t="str">
        <f>IF($B51="","",IF(COUNTIFS(Торговля!$E$5:$E$300,$B51)+COUNTIFS(Закрытые!$E$5:$E$300,$B51,Закрытые!$B$5:$B$300,"T-*")=0,"",ROUND(SUMIFS(Торговля!$L$5:$L$300,Торговля!$E$5:$E$300,$B51)+SUMIFS(Закрытые!$L$5:$L$300,Закрытые!$E$5:$E$300,$B51,Закрытые!$B$5:$B$300,"T-*"),8)))</f>
        <v/>
      </c>
      <c r="J51" s="241" t="str">
        <f>IF($B51="","",IF(COUNTIFS(Торговля!$E$5:$E$300,$B51)+COUNTIFS(Закрытые!$E$5:$E$300,$B51,Закрытые!$B$5:$B$300,"T-*")=0,"",ROUND(SUMIFS(Торговля!$M$5:$M$300,Торговля!$E$5:$E$300,$B51)+SUMIFS(Закрытые!$M$5:$M$300,Закрытые!$E$5:$E$300,$B51,Закрытые!$B$5:$B$300,"T-*"),8)))</f>
        <v/>
      </c>
      <c r="K51" s="240" t="str">
        <f>IF(MIN(N(C51),N(F51))&lt;=0,"",ROUND(MIN(N(C51),N(F51))*(N(G51)-N(D51)),8))</f>
        <v/>
      </c>
      <c r="L51" s="177" t="str">
        <f>IF(MIN(N(C51),N(F51))&lt;=0,"",IF(N(D51)=0,"",ROUND((N(G51)/N(D51)-1)*100,2)))</f>
        <v/>
      </c>
      <c r="M51" s="177" t="str">
        <f>IF(OR(ROUND(N(C51)-N(F51),8)=0,1-N(Ввод!$J$19)/100&lt;=0),"",IF(N(C51)&gt;N(F51),(N(E51)-N(H51))/((N(C51)-N(F51))*(1-N(Ввод!$J$19)/100)),(N(H51)-N(E51))/((N(F51)-N(C51))*(1+N(Ввод!$J$19)/100))))</f>
        <v/>
      </c>
    </row>
    <row r="52" ht="22" customHeight="1">
      <c r="B52" s="245" t="n"/>
      <c r="C52" s="246" t="str">
        <f>IF(SUMIFS(Торговля!$F$5:$F$300,Торговля!$E$5:$E$300,$B52)+SUMIFS(Закрытые!$F$5:$F$300,Закрытые!$E$5:$E$300,$B52,Закрытые!$B$5:$B$300,"T-*")=0,"",SUMIFS(Торговля!$F$5:$F$300,Торговля!$E$5:$E$300,$B52)+SUMIFS(Закрытые!$F$5:$F$300,Закрытые!$E$5:$E$300,$B52,Закрытые!$B$5:$B$300,"T-*"))</f>
        <v/>
      </c>
      <c r="D52" s="183" t="str">
        <f>IF(C52="","",(SUMPRODUCT((Торговля!$E$5:$E$300=$B52)*Торговля!$F$5:$F$300*Торговля!$G$5:$G$300)+SUMPRODUCT((Закрытые!$E$5:$E$300=$B52)*(LEFT(Закрытые!$B$5:$B$300,2)="T-")*Закрытые!$F$5:$F$300*Закрытые!$G$5:$G$300))/C52)</f>
        <v/>
      </c>
      <c r="E52" s="247" t="str">
        <f>IF(C52="","",SUMIFS(Торговля!$H$5:$H$300,Торговля!$E$5:$E$300,$B52)+SUMIFS(Закрытые!$H$5:$H$300,Закрытые!$E$5:$E$300,$B52,Закрытые!$B$5:$B$300,"T-*"))</f>
        <v/>
      </c>
      <c r="F52" s="246" t="str">
        <f>IF(SUMIFS(Торговля!$I$5:$I$300,Торговля!$E$5:$E$300,$B52)+SUMIFS(Закрытые!$I$5:$I$300,Закрытые!$E$5:$E$300,$B52,Закрытые!$B$5:$B$300,"T-*")=0,"",SUMIFS(Торговля!$I$5:$I$300,Торговля!$E$5:$E$300,$B52)+SUMIFS(Закрытые!$I$5:$I$300,Закрытые!$E$5:$E$300,$B52,Закрытые!$B$5:$B$300,"T-*"))</f>
        <v/>
      </c>
      <c r="G52" s="183" t="str">
        <f>IF(F52="","",(SUMPRODUCT((Торговля!$E$5:$E$300=$B52)*Торговля!$I$5:$I$300*Торговля!$J$5:$J$300)+SUMPRODUCT((Закрытые!$E$5:$E$300=$B52)*(LEFT(Закрытые!$B$5:$B$300,2)="T-")*Закрытые!$I$5:$I$300*Закрытые!$J$5:$J$300))/F52)</f>
        <v/>
      </c>
      <c r="H52" s="247" t="str">
        <f>IF(F52="","",SUMIFS(Торговля!$K$5:$K$300,Торговля!$E$5:$E$300,$B52)+SUMIFS(Закрытые!$K$5:$K$300,Закрытые!$E$5:$E$300,$B52,Закрытые!$B$5:$B$300,"T-*"))</f>
        <v/>
      </c>
      <c r="I52" s="246" t="str">
        <f>IF($B52="","",IF(COUNTIFS(Торговля!$E$5:$E$300,$B52)+COUNTIFS(Закрытые!$E$5:$E$300,$B52,Закрытые!$B$5:$B$300,"T-*")=0,"",ROUND(SUMIFS(Торговля!$L$5:$L$300,Торговля!$E$5:$E$300,$B52)+SUMIFS(Закрытые!$L$5:$L$300,Закрытые!$E$5:$E$300,$B52,Закрытые!$B$5:$B$300,"T-*"),8)))</f>
        <v/>
      </c>
      <c r="J52" s="247" t="str">
        <f>IF($B52="","",IF(COUNTIFS(Торговля!$E$5:$E$300,$B52)+COUNTIFS(Закрытые!$E$5:$E$300,$B52,Закрытые!$B$5:$B$300,"T-*")=0,"",ROUND(SUMIFS(Торговля!$M$5:$M$300,Торговля!$E$5:$E$300,$B52)+SUMIFS(Закрытые!$M$5:$M$300,Закрытые!$E$5:$E$300,$B52,Закрытые!$B$5:$B$300,"T-*"),8)))</f>
        <v/>
      </c>
      <c r="K52" s="246" t="str">
        <f>IF(MIN(N(C52),N(F52))&lt;=0,"",ROUND(MIN(N(C52),N(F52))*(N(G52)-N(D52)),8))</f>
        <v/>
      </c>
      <c r="L52" s="183" t="str">
        <f>IF(MIN(N(C52),N(F52))&lt;=0,"",IF(N(D52)=0,"",ROUND((N(G52)/N(D52)-1)*100,2)))</f>
        <v/>
      </c>
      <c r="M52" s="183" t="str">
        <f>IF(OR(ROUND(N(C52)-N(F52),8)=0,1-N(Ввод!$J$19)/100&lt;=0),"",IF(N(C52)&gt;N(F52),(N(E52)-N(H52))/((N(C52)-N(F52))*(1-N(Ввод!$J$19)/100)),(N(H52)-N(E52))/((N(F52)-N(C52))*(1+N(Ввод!$J$19)/100))))</f>
        <v/>
      </c>
    </row>
    <row r="53" ht="22" customHeight="1">
      <c r="B53" s="239" t="n"/>
      <c r="C53" s="240" t="str">
        <f>IF(SUMIFS(Торговля!$F$5:$F$300,Торговля!$E$5:$E$300,$B53)+SUMIFS(Закрытые!$F$5:$F$300,Закрытые!$E$5:$E$300,$B53,Закрытые!$B$5:$B$300,"T-*")=0,"",SUMIFS(Торговля!$F$5:$F$300,Торговля!$E$5:$E$300,$B53)+SUMIFS(Закрытые!$F$5:$F$300,Закрытые!$E$5:$E$300,$B53,Закрытые!$B$5:$B$300,"T-*"))</f>
        <v/>
      </c>
      <c r="D53" s="177" t="str">
        <f>IF(C53="","",(SUMPRODUCT((Торговля!$E$5:$E$300=$B53)*Торговля!$F$5:$F$300*Торговля!$G$5:$G$300)+SUMPRODUCT((Закрытые!$E$5:$E$300=$B53)*(LEFT(Закрытые!$B$5:$B$300,2)="T-")*Закрытые!$F$5:$F$300*Закрытые!$G$5:$G$300))/C53)</f>
        <v/>
      </c>
      <c r="E53" s="241" t="str">
        <f>IF(C53="","",SUMIFS(Торговля!$H$5:$H$300,Торговля!$E$5:$E$300,$B53)+SUMIFS(Закрытые!$H$5:$H$300,Закрытые!$E$5:$E$300,$B53,Закрытые!$B$5:$B$300,"T-*"))</f>
        <v/>
      </c>
      <c r="F53" s="240" t="str">
        <f>IF(SUMIFS(Торговля!$I$5:$I$300,Торговля!$E$5:$E$300,$B53)+SUMIFS(Закрытые!$I$5:$I$300,Закрытые!$E$5:$E$300,$B53,Закрытые!$B$5:$B$300,"T-*")=0,"",SUMIFS(Торговля!$I$5:$I$300,Торговля!$E$5:$E$300,$B53)+SUMIFS(Закрытые!$I$5:$I$300,Закрытые!$E$5:$E$300,$B53,Закрытые!$B$5:$B$300,"T-*"))</f>
        <v/>
      </c>
      <c r="G53" s="177" t="str">
        <f>IF(F53="","",(SUMPRODUCT((Торговля!$E$5:$E$300=$B53)*Торговля!$I$5:$I$300*Торговля!$J$5:$J$300)+SUMPRODUCT((Закрытые!$E$5:$E$300=$B53)*(LEFT(Закрытые!$B$5:$B$300,2)="T-")*Закрытые!$I$5:$I$300*Закрытые!$J$5:$J$300))/F53)</f>
        <v/>
      </c>
      <c r="H53" s="241" t="str">
        <f>IF(F53="","",SUMIFS(Торговля!$K$5:$K$300,Торговля!$E$5:$E$300,$B53)+SUMIFS(Закрытые!$K$5:$K$300,Закрытые!$E$5:$E$300,$B53,Закрытые!$B$5:$B$300,"T-*"))</f>
        <v/>
      </c>
      <c r="I53" s="240" t="str">
        <f>IF($B53="","",IF(COUNTIFS(Торговля!$E$5:$E$300,$B53)+COUNTIFS(Закрытые!$E$5:$E$300,$B53,Закрытые!$B$5:$B$300,"T-*")=0,"",ROUND(SUMIFS(Торговля!$L$5:$L$300,Торговля!$E$5:$E$300,$B53)+SUMIFS(Закрытые!$L$5:$L$300,Закрытые!$E$5:$E$300,$B53,Закрытые!$B$5:$B$300,"T-*"),8)))</f>
        <v/>
      </c>
      <c r="J53" s="241" t="str">
        <f>IF($B53="","",IF(COUNTIFS(Торговля!$E$5:$E$300,$B53)+COUNTIFS(Закрытые!$E$5:$E$300,$B53,Закрытые!$B$5:$B$300,"T-*")=0,"",ROUND(SUMIFS(Торговля!$M$5:$M$300,Торговля!$E$5:$E$300,$B53)+SUMIFS(Закрытые!$M$5:$M$300,Закрытые!$E$5:$E$300,$B53,Закрытые!$B$5:$B$300,"T-*"),8)))</f>
        <v/>
      </c>
      <c r="K53" s="240" t="str">
        <f>IF(MIN(N(C53),N(F53))&lt;=0,"",ROUND(MIN(N(C53),N(F53))*(N(G53)-N(D53)),8))</f>
        <v/>
      </c>
      <c r="L53" s="177" t="str">
        <f>IF(MIN(N(C53),N(F53))&lt;=0,"",IF(N(D53)=0,"",ROUND((N(G53)/N(D53)-1)*100,2)))</f>
        <v/>
      </c>
      <c r="M53" s="177" t="str">
        <f>IF(OR(ROUND(N(C53)-N(F53),8)=0,1-N(Ввод!$J$19)/100&lt;=0),"",IF(N(C53)&gt;N(F53),(N(E53)-N(H53))/((N(C53)-N(F53))*(1-N(Ввод!$J$19)/100)),(N(H53)-N(E53))/((N(F53)-N(C53))*(1+N(Ввод!$J$19)/100))))</f>
        <v/>
      </c>
    </row>
    <row r="54" ht="22" customHeight="1">
      <c r="B54" s="245" t="n"/>
      <c r="C54" s="246" t="str">
        <f>IF(SUMIFS(Торговля!$F$5:$F$300,Торговля!$E$5:$E$300,$B54)+SUMIFS(Закрытые!$F$5:$F$300,Закрытые!$E$5:$E$300,$B54,Закрытые!$B$5:$B$300,"T-*")=0,"",SUMIFS(Торговля!$F$5:$F$300,Торговля!$E$5:$E$300,$B54)+SUMIFS(Закрытые!$F$5:$F$300,Закрытые!$E$5:$E$300,$B54,Закрытые!$B$5:$B$300,"T-*"))</f>
        <v/>
      </c>
      <c r="D54" s="183" t="str">
        <f>IF(C54="","",(SUMPRODUCT((Торговля!$E$5:$E$300=$B54)*Торговля!$F$5:$F$300*Торговля!$G$5:$G$300)+SUMPRODUCT((Закрытые!$E$5:$E$300=$B54)*(LEFT(Закрытые!$B$5:$B$300,2)="T-")*Закрытые!$F$5:$F$300*Закрытые!$G$5:$G$300))/C54)</f>
        <v/>
      </c>
      <c r="E54" s="247" t="str">
        <f>IF(C54="","",SUMIFS(Торговля!$H$5:$H$300,Торговля!$E$5:$E$300,$B54)+SUMIFS(Закрытые!$H$5:$H$300,Закрытые!$E$5:$E$300,$B54,Закрытые!$B$5:$B$300,"T-*"))</f>
        <v/>
      </c>
      <c r="F54" s="246" t="str">
        <f>IF(SUMIFS(Торговля!$I$5:$I$300,Торговля!$E$5:$E$300,$B54)+SUMIFS(Закрытые!$I$5:$I$300,Закрытые!$E$5:$E$300,$B54,Закрытые!$B$5:$B$300,"T-*")=0,"",SUMIFS(Торговля!$I$5:$I$300,Торговля!$E$5:$E$300,$B54)+SUMIFS(Закрытые!$I$5:$I$300,Закрытые!$E$5:$E$300,$B54,Закрытые!$B$5:$B$300,"T-*"))</f>
        <v/>
      </c>
      <c r="G54" s="183" t="str">
        <f>IF(F54="","",(SUMPRODUCT((Торговля!$E$5:$E$300=$B54)*Торговля!$I$5:$I$300*Торговля!$J$5:$J$300)+SUMPRODUCT((Закрытые!$E$5:$E$300=$B54)*(LEFT(Закрытые!$B$5:$B$300,2)="T-")*Закрытые!$I$5:$I$300*Закрытые!$J$5:$J$300))/F54)</f>
        <v/>
      </c>
      <c r="H54" s="247" t="str">
        <f>IF(F54="","",SUMIFS(Торговля!$K$5:$K$300,Торговля!$E$5:$E$300,$B54)+SUMIFS(Закрытые!$K$5:$K$300,Закрытые!$E$5:$E$300,$B54,Закрытые!$B$5:$B$300,"T-*"))</f>
        <v/>
      </c>
      <c r="I54" s="246" t="str">
        <f>IF($B54="","",IF(COUNTIFS(Торговля!$E$5:$E$300,$B54)+COUNTIFS(Закрытые!$E$5:$E$300,$B54,Закрытые!$B$5:$B$300,"T-*")=0,"",ROUND(SUMIFS(Торговля!$L$5:$L$300,Торговля!$E$5:$E$300,$B54)+SUMIFS(Закрытые!$L$5:$L$300,Закрытые!$E$5:$E$300,$B54,Закрытые!$B$5:$B$300,"T-*"),8)))</f>
        <v/>
      </c>
      <c r="J54" s="247" t="str">
        <f>IF($B54="","",IF(COUNTIFS(Торговля!$E$5:$E$300,$B54)+COUNTIFS(Закрытые!$E$5:$E$300,$B54,Закрытые!$B$5:$B$300,"T-*")=0,"",ROUND(SUMIFS(Торговля!$M$5:$M$300,Торговля!$E$5:$E$300,$B54)+SUMIFS(Закрытые!$M$5:$M$300,Закрытые!$E$5:$E$300,$B54,Закрытые!$B$5:$B$300,"T-*"),8)))</f>
        <v/>
      </c>
      <c r="K54" s="246" t="str">
        <f>IF(MIN(N(C54),N(F54))&lt;=0,"",ROUND(MIN(N(C54),N(F54))*(N(G54)-N(D54)),8))</f>
        <v/>
      </c>
      <c r="L54" s="183" t="str">
        <f>IF(MIN(N(C54),N(F54))&lt;=0,"",IF(N(D54)=0,"",ROUND((N(G54)/N(D54)-1)*100,2)))</f>
        <v/>
      </c>
      <c r="M54" s="183" t="str">
        <f>IF(OR(ROUND(N(C54)-N(F54),8)=0,1-N(Ввод!$J$19)/100&lt;=0),"",IF(N(C54)&gt;N(F54),(N(E54)-N(H54))/((N(C54)-N(F54))*(1-N(Ввод!$J$19)/100)),(N(H54)-N(E54))/((N(F54)-N(C54))*(1+N(Ввод!$J$19)/100))))</f>
        <v/>
      </c>
    </row>
    <row r="55" ht="22" customHeight="1">
      <c r="B55" s="239" t="n"/>
      <c r="C55" s="240" t="str">
        <f>IF(SUMIFS(Торговля!$F$5:$F$300,Торговля!$E$5:$E$300,$B55)+SUMIFS(Закрытые!$F$5:$F$300,Закрытые!$E$5:$E$300,$B55,Закрытые!$B$5:$B$300,"T-*")=0,"",SUMIFS(Торговля!$F$5:$F$300,Торговля!$E$5:$E$300,$B55)+SUMIFS(Закрытые!$F$5:$F$300,Закрытые!$E$5:$E$300,$B55,Закрытые!$B$5:$B$300,"T-*"))</f>
        <v/>
      </c>
      <c r="D55" s="177" t="str">
        <f>IF(C55="","",(SUMPRODUCT((Торговля!$E$5:$E$300=$B55)*Торговля!$F$5:$F$300*Торговля!$G$5:$G$300)+SUMPRODUCT((Закрытые!$E$5:$E$300=$B55)*(LEFT(Закрытые!$B$5:$B$300,2)="T-")*Закрытые!$F$5:$F$300*Закрытые!$G$5:$G$300))/C55)</f>
        <v/>
      </c>
      <c r="E55" s="241" t="str">
        <f>IF(C55="","",SUMIFS(Торговля!$H$5:$H$300,Торговля!$E$5:$E$300,$B55)+SUMIFS(Закрытые!$H$5:$H$300,Закрытые!$E$5:$E$300,$B55,Закрытые!$B$5:$B$300,"T-*"))</f>
        <v/>
      </c>
      <c r="F55" s="240" t="str">
        <f>IF(SUMIFS(Торговля!$I$5:$I$300,Торговля!$E$5:$E$300,$B55)+SUMIFS(Закрытые!$I$5:$I$300,Закрытые!$E$5:$E$300,$B55,Закрытые!$B$5:$B$300,"T-*")=0,"",SUMIFS(Торговля!$I$5:$I$300,Торговля!$E$5:$E$300,$B55)+SUMIFS(Закрытые!$I$5:$I$300,Закрытые!$E$5:$E$300,$B55,Закрытые!$B$5:$B$300,"T-*"))</f>
        <v/>
      </c>
      <c r="G55" s="177" t="str">
        <f>IF(F55="","",(SUMPRODUCT((Торговля!$E$5:$E$300=$B55)*Торговля!$I$5:$I$300*Торговля!$J$5:$J$300)+SUMPRODUCT((Закрытые!$E$5:$E$300=$B55)*(LEFT(Закрытые!$B$5:$B$300,2)="T-")*Закрытые!$I$5:$I$300*Закрытые!$J$5:$J$300))/F55)</f>
        <v/>
      </c>
      <c r="H55" s="241" t="str">
        <f>IF(F55="","",SUMIFS(Торговля!$K$5:$K$300,Торговля!$E$5:$E$300,$B55)+SUMIFS(Закрытые!$K$5:$K$300,Закрытые!$E$5:$E$300,$B55,Закрытые!$B$5:$B$300,"T-*"))</f>
        <v/>
      </c>
      <c r="I55" s="240" t="str">
        <f>IF($B55="","",IF(COUNTIFS(Торговля!$E$5:$E$300,$B55)+COUNTIFS(Закрытые!$E$5:$E$300,$B55,Закрытые!$B$5:$B$300,"T-*")=0,"",ROUND(SUMIFS(Торговля!$L$5:$L$300,Торговля!$E$5:$E$300,$B55)+SUMIFS(Закрытые!$L$5:$L$300,Закрытые!$E$5:$E$300,$B55,Закрытые!$B$5:$B$300,"T-*"),8)))</f>
        <v/>
      </c>
      <c r="J55" s="241" t="str">
        <f>IF($B55="","",IF(COUNTIFS(Торговля!$E$5:$E$300,$B55)+COUNTIFS(Закрытые!$E$5:$E$300,$B55,Закрытые!$B$5:$B$300,"T-*")=0,"",ROUND(SUMIFS(Торговля!$M$5:$M$300,Торговля!$E$5:$E$300,$B55)+SUMIFS(Закрытые!$M$5:$M$300,Закрытые!$E$5:$E$300,$B55,Закрытые!$B$5:$B$300,"T-*"),8)))</f>
        <v/>
      </c>
      <c r="K55" s="240" t="str">
        <f>IF(MIN(N(C55),N(F55))&lt;=0,"",ROUND(MIN(N(C55),N(F55))*(N(G55)-N(D55)),8))</f>
        <v/>
      </c>
      <c r="L55" s="177" t="str">
        <f>IF(MIN(N(C55),N(F55))&lt;=0,"",IF(N(D55)=0,"",ROUND((N(G55)/N(D55)-1)*100,2)))</f>
        <v/>
      </c>
      <c r="M55" s="177" t="str">
        <f>IF(OR(ROUND(N(C55)-N(F55),8)=0,1-N(Ввод!$J$19)/100&lt;=0),"",IF(N(C55)&gt;N(F55),(N(E55)-N(H55))/((N(C55)-N(F55))*(1-N(Ввод!$J$19)/100)),(N(H55)-N(E55))/((N(F55)-N(C55))*(1+N(Ввод!$J$19)/100))))</f>
        <v/>
      </c>
    </row>
    <row r="56" ht="22" customHeight="1">
      <c r="B56" s="245" t="n"/>
      <c r="C56" s="246" t="str">
        <f>IF(SUMIFS(Торговля!$F$5:$F$300,Торговля!$E$5:$E$300,$B56)+SUMIFS(Закрытые!$F$5:$F$300,Закрытые!$E$5:$E$300,$B56,Закрытые!$B$5:$B$300,"T-*")=0,"",SUMIFS(Торговля!$F$5:$F$300,Торговля!$E$5:$E$300,$B56)+SUMIFS(Закрытые!$F$5:$F$300,Закрытые!$E$5:$E$300,$B56,Закрытые!$B$5:$B$300,"T-*"))</f>
        <v/>
      </c>
      <c r="D56" s="183" t="str">
        <f>IF(C56="","",(SUMPRODUCT((Торговля!$E$5:$E$300=$B56)*Торговля!$F$5:$F$300*Торговля!$G$5:$G$300)+SUMPRODUCT((Закрытые!$E$5:$E$300=$B56)*(LEFT(Закрытые!$B$5:$B$300,2)="T-")*Закрытые!$F$5:$F$300*Закрытые!$G$5:$G$300))/C56)</f>
        <v/>
      </c>
      <c r="E56" s="247" t="str">
        <f>IF(C56="","",SUMIFS(Торговля!$H$5:$H$300,Торговля!$E$5:$E$300,$B56)+SUMIFS(Закрытые!$H$5:$H$300,Закрытые!$E$5:$E$300,$B56,Закрытые!$B$5:$B$300,"T-*"))</f>
        <v/>
      </c>
      <c r="F56" s="246" t="str">
        <f>IF(SUMIFS(Торговля!$I$5:$I$300,Торговля!$E$5:$E$300,$B56)+SUMIFS(Закрытые!$I$5:$I$300,Закрытые!$E$5:$E$300,$B56,Закрытые!$B$5:$B$300,"T-*")=0,"",SUMIFS(Торговля!$I$5:$I$300,Торговля!$E$5:$E$300,$B56)+SUMIFS(Закрытые!$I$5:$I$300,Закрытые!$E$5:$E$300,$B56,Закрытые!$B$5:$B$300,"T-*"))</f>
        <v/>
      </c>
      <c r="G56" s="183" t="str">
        <f>IF(F56="","",(SUMPRODUCT((Торговля!$E$5:$E$300=$B56)*Торговля!$I$5:$I$300*Торговля!$J$5:$J$300)+SUMPRODUCT((Закрытые!$E$5:$E$300=$B56)*(LEFT(Закрытые!$B$5:$B$300,2)="T-")*Закрытые!$I$5:$I$300*Закрытые!$J$5:$J$300))/F56)</f>
        <v/>
      </c>
      <c r="H56" s="247" t="str">
        <f>IF(F56="","",SUMIFS(Торговля!$K$5:$K$300,Торговля!$E$5:$E$300,$B56)+SUMIFS(Закрытые!$K$5:$K$300,Закрытые!$E$5:$E$300,$B56,Закрытые!$B$5:$B$300,"T-*"))</f>
        <v/>
      </c>
      <c r="I56" s="246" t="str">
        <f>IF($B56="","",IF(COUNTIFS(Торговля!$E$5:$E$300,$B56)+COUNTIFS(Закрытые!$E$5:$E$300,$B56,Закрытые!$B$5:$B$300,"T-*")=0,"",ROUND(SUMIFS(Торговля!$L$5:$L$300,Торговля!$E$5:$E$300,$B56)+SUMIFS(Закрытые!$L$5:$L$300,Закрытые!$E$5:$E$300,$B56,Закрытые!$B$5:$B$300,"T-*"),8)))</f>
        <v/>
      </c>
      <c r="J56" s="247" t="str">
        <f>IF($B56="","",IF(COUNTIFS(Торговля!$E$5:$E$300,$B56)+COUNTIFS(Закрытые!$E$5:$E$300,$B56,Закрытые!$B$5:$B$300,"T-*")=0,"",ROUND(SUMIFS(Торговля!$M$5:$M$300,Торговля!$E$5:$E$300,$B56)+SUMIFS(Закрытые!$M$5:$M$300,Закрытые!$E$5:$E$300,$B56,Закрытые!$B$5:$B$300,"T-*"),8)))</f>
        <v/>
      </c>
      <c r="K56" s="246" t="str">
        <f>IF(MIN(N(C56),N(F56))&lt;=0,"",ROUND(MIN(N(C56),N(F56))*(N(G56)-N(D56)),8))</f>
        <v/>
      </c>
      <c r="L56" s="183" t="str">
        <f>IF(MIN(N(C56),N(F56))&lt;=0,"",IF(N(D56)=0,"",ROUND((N(G56)/N(D56)-1)*100,2)))</f>
        <v/>
      </c>
      <c r="M56" s="183" t="str">
        <f>IF(OR(ROUND(N(C56)-N(F56),8)=0,1-N(Ввод!$J$19)/100&lt;=0),"",IF(N(C56)&gt;N(F56),(N(E56)-N(H56))/((N(C56)-N(F56))*(1-N(Ввод!$J$19)/100)),(N(H56)-N(E56))/((N(F56)-N(C56))*(1+N(Ввод!$J$19)/100))))</f>
        <v/>
      </c>
    </row>
    <row r="57" ht="22" customHeight="1">
      <c r="B57" s="239" t="n"/>
      <c r="C57" s="240" t="str">
        <f>IF(SUMIFS(Торговля!$F$5:$F$300,Торговля!$E$5:$E$300,$B57)+SUMIFS(Закрытые!$F$5:$F$300,Закрытые!$E$5:$E$300,$B57,Закрытые!$B$5:$B$300,"T-*")=0,"",SUMIFS(Торговля!$F$5:$F$300,Торговля!$E$5:$E$300,$B57)+SUMIFS(Закрытые!$F$5:$F$300,Закрытые!$E$5:$E$300,$B57,Закрытые!$B$5:$B$300,"T-*"))</f>
        <v/>
      </c>
      <c r="D57" s="177" t="str">
        <f>IF(C57="","",(SUMPRODUCT((Торговля!$E$5:$E$300=$B57)*Торговля!$F$5:$F$300*Торговля!$G$5:$G$300)+SUMPRODUCT((Закрытые!$E$5:$E$300=$B57)*(LEFT(Закрытые!$B$5:$B$300,2)="T-")*Закрытые!$F$5:$F$300*Закрытые!$G$5:$G$300))/C57)</f>
        <v/>
      </c>
      <c r="E57" s="241" t="str">
        <f>IF(C57="","",SUMIFS(Торговля!$H$5:$H$300,Торговля!$E$5:$E$300,$B57)+SUMIFS(Закрытые!$H$5:$H$300,Закрытые!$E$5:$E$300,$B57,Закрытые!$B$5:$B$300,"T-*"))</f>
        <v/>
      </c>
      <c r="F57" s="240" t="str">
        <f>IF(SUMIFS(Торговля!$I$5:$I$300,Торговля!$E$5:$E$300,$B57)+SUMIFS(Закрытые!$I$5:$I$300,Закрытые!$E$5:$E$300,$B57,Закрытые!$B$5:$B$300,"T-*")=0,"",SUMIFS(Торговля!$I$5:$I$300,Торговля!$E$5:$E$300,$B57)+SUMIFS(Закрытые!$I$5:$I$300,Закрытые!$E$5:$E$300,$B57,Закрытые!$B$5:$B$300,"T-*"))</f>
        <v/>
      </c>
      <c r="G57" s="177" t="str">
        <f>IF(F57="","",(SUMPRODUCT((Торговля!$E$5:$E$300=$B57)*Торговля!$I$5:$I$300*Торговля!$J$5:$J$300)+SUMPRODUCT((Закрытые!$E$5:$E$300=$B57)*(LEFT(Закрытые!$B$5:$B$300,2)="T-")*Закрытые!$I$5:$I$300*Закрытые!$J$5:$J$300))/F57)</f>
        <v/>
      </c>
      <c r="H57" s="241" t="str">
        <f>IF(F57="","",SUMIFS(Торговля!$K$5:$K$300,Торговля!$E$5:$E$300,$B57)+SUMIFS(Закрытые!$K$5:$K$300,Закрытые!$E$5:$E$300,$B57,Закрытые!$B$5:$B$300,"T-*"))</f>
        <v/>
      </c>
      <c r="I57" s="240" t="str">
        <f>IF($B57="","",IF(COUNTIFS(Торговля!$E$5:$E$300,$B57)+COUNTIFS(Закрытые!$E$5:$E$300,$B57,Закрытые!$B$5:$B$300,"T-*")=0,"",ROUND(SUMIFS(Торговля!$L$5:$L$300,Торговля!$E$5:$E$300,$B57)+SUMIFS(Закрытые!$L$5:$L$300,Закрытые!$E$5:$E$300,$B57,Закрытые!$B$5:$B$300,"T-*"),8)))</f>
        <v/>
      </c>
      <c r="J57" s="241" t="str">
        <f>IF($B57="","",IF(COUNTIFS(Торговля!$E$5:$E$300,$B57)+COUNTIFS(Закрытые!$E$5:$E$300,$B57,Закрытые!$B$5:$B$300,"T-*")=0,"",ROUND(SUMIFS(Торговля!$M$5:$M$300,Торговля!$E$5:$E$300,$B57)+SUMIFS(Закрытые!$M$5:$M$300,Закрытые!$E$5:$E$300,$B57,Закрытые!$B$5:$B$300,"T-*"),8)))</f>
        <v/>
      </c>
      <c r="K57" s="240" t="str">
        <f>IF(MIN(N(C57),N(F57))&lt;=0,"",ROUND(MIN(N(C57),N(F57))*(N(G57)-N(D57)),8))</f>
        <v/>
      </c>
      <c r="L57" s="177" t="str">
        <f>IF(MIN(N(C57),N(F57))&lt;=0,"",IF(N(D57)=0,"",ROUND((N(G57)/N(D57)-1)*100,2)))</f>
        <v/>
      </c>
      <c r="M57" s="177" t="str">
        <f>IF(OR(ROUND(N(C57)-N(F57),8)=0,1-N(Ввод!$J$19)/100&lt;=0),"",IF(N(C57)&gt;N(F57),(N(E57)-N(H57))/((N(C57)-N(F57))*(1-N(Ввод!$J$19)/100)),(N(H57)-N(E57))/((N(F57)-N(C57))*(1+N(Ввод!$J$19)/100))))</f>
        <v/>
      </c>
    </row>
    <row r="58" ht="22" customHeight="1">
      <c r="B58" s="245" t="n"/>
      <c r="C58" s="246" t="str">
        <f>IF(SUMIFS(Торговля!$F$5:$F$300,Торговля!$E$5:$E$300,$B58)+SUMIFS(Закрытые!$F$5:$F$300,Закрытые!$E$5:$E$300,$B58,Закрытые!$B$5:$B$300,"T-*")=0,"",SUMIFS(Торговля!$F$5:$F$300,Торговля!$E$5:$E$300,$B58)+SUMIFS(Закрытые!$F$5:$F$300,Закрытые!$E$5:$E$300,$B58,Закрытые!$B$5:$B$300,"T-*"))</f>
        <v/>
      </c>
      <c r="D58" s="183" t="str">
        <f>IF(C58="","",(SUMPRODUCT((Торговля!$E$5:$E$300=$B58)*Торговля!$F$5:$F$300*Торговля!$G$5:$G$300)+SUMPRODUCT((Закрытые!$E$5:$E$300=$B58)*(LEFT(Закрытые!$B$5:$B$300,2)="T-")*Закрытые!$F$5:$F$300*Закрытые!$G$5:$G$300))/C58)</f>
        <v/>
      </c>
      <c r="E58" s="247" t="str">
        <f>IF(C58="","",SUMIFS(Торговля!$H$5:$H$300,Торговля!$E$5:$E$300,$B58)+SUMIFS(Закрытые!$H$5:$H$300,Закрытые!$E$5:$E$300,$B58,Закрытые!$B$5:$B$300,"T-*"))</f>
        <v/>
      </c>
      <c r="F58" s="246" t="str">
        <f>IF(SUMIFS(Торговля!$I$5:$I$300,Торговля!$E$5:$E$300,$B58)+SUMIFS(Закрытые!$I$5:$I$300,Закрытые!$E$5:$E$300,$B58,Закрытые!$B$5:$B$300,"T-*")=0,"",SUMIFS(Торговля!$I$5:$I$300,Торговля!$E$5:$E$300,$B58)+SUMIFS(Закрытые!$I$5:$I$300,Закрытые!$E$5:$E$300,$B58,Закрытые!$B$5:$B$300,"T-*"))</f>
        <v/>
      </c>
      <c r="G58" s="183" t="str">
        <f>IF(F58="","",(SUMPRODUCT((Торговля!$E$5:$E$300=$B58)*Торговля!$I$5:$I$300*Торговля!$J$5:$J$300)+SUMPRODUCT((Закрытые!$E$5:$E$300=$B58)*(LEFT(Закрытые!$B$5:$B$300,2)="T-")*Закрытые!$I$5:$I$300*Закрытые!$J$5:$J$300))/F58)</f>
        <v/>
      </c>
      <c r="H58" s="247" t="str">
        <f>IF(F58="","",SUMIFS(Торговля!$K$5:$K$300,Торговля!$E$5:$E$300,$B58)+SUMIFS(Закрытые!$K$5:$K$300,Закрытые!$E$5:$E$300,$B58,Закрытые!$B$5:$B$300,"T-*"))</f>
        <v/>
      </c>
      <c r="I58" s="246" t="str">
        <f>IF($B58="","",IF(COUNTIFS(Торговля!$E$5:$E$300,$B58)+COUNTIFS(Закрытые!$E$5:$E$300,$B58,Закрытые!$B$5:$B$300,"T-*")=0,"",ROUND(SUMIFS(Торговля!$L$5:$L$300,Торговля!$E$5:$E$300,$B58)+SUMIFS(Закрытые!$L$5:$L$300,Закрытые!$E$5:$E$300,$B58,Закрытые!$B$5:$B$300,"T-*"),8)))</f>
        <v/>
      </c>
      <c r="J58" s="247" t="str">
        <f>IF($B58="","",IF(COUNTIFS(Торговля!$E$5:$E$300,$B58)+COUNTIFS(Закрытые!$E$5:$E$300,$B58,Закрытые!$B$5:$B$300,"T-*")=0,"",ROUND(SUMIFS(Торговля!$M$5:$M$300,Торговля!$E$5:$E$300,$B58)+SUMIFS(Закрытые!$M$5:$M$300,Закрытые!$E$5:$E$300,$B58,Закрытые!$B$5:$B$300,"T-*"),8)))</f>
        <v/>
      </c>
      <c r="K58" s="246" t="str">
        <f>IF(MIN(N(C58),N(F58))&lt;=0,"",ROUND(MIN(N(C58),N(F58))*(N(G58)-N(D58)),8))</f>
        <v/>
      </c>
      <c r="L58" s="183" t="str">
        <f>IF(MIN(N(C58),N(F58))&lt;=0,"",IF(N(D58)=0,"",ROUND((N(G58)/N(D58)-1)*100,2)))</f>
        <v/>
      </c>
      <c r="M58" s="183" t="str">
        <f>IF(OR(ROUND(N(C58)-N(F58),8)=0,1-N(Ввод!$J$19)/100&lt;=0),"",IF(N(C58)&gt;N(F58),(N(E58)-N(H58))/((N(C58)-N(F58))*(1-N(Ввод!$J$19)/100)),(N(H58)-N(E58))/((N(F58)-N(C58))*(1+N(Ввод!$J$19)/100))))</f>
        <v/>
      </c>
    </row>
    <row r="59" ht="22" customHeight="1">
      <c r="B59" s="239" t="n"/>
      <c r="C59" s="240" t="str">
        <f>IF(SUMIFS(Торговля!$F$5:$F$300,Торговля!$E$5:$E$300,$B59)+SUMIFS(Закрытые!$F$5:$F$300,Закрытые!$E$5:$E$300,$B59,Закрытые!$B$5:$B$300,"T-*")=0,"",SUMIFS(Торговля!$F$5:$F$300,Торговля!$E$5:$E$300,$B59)+SUMIFS(Закрытые!$F$5:$F$300,Закрытые!$E$5:$E$300,$B59,Закрытые!$B$5:$B$300,"T-*"))</f>
        <v/>
      </c>
      <c r="D59" s="177" t="str">
        <f>IF(C59="","",(SUMPRODUCT((Торговля!$E$5:$E$300=$B59)*Торговля!$F$5:$F$300*Торговля!$G$5:$G$300)+SUMPRODUCT((Закрытые!$E$5:$E$300=$B59)*(LEFT(Закрытые!$B$5:$B$300,2)="T-")*Закрытые!$F$5:$F$300*Закрытые!$G$5:$G$300))/C59)</f>
        <v/>
      </c>
      <c r="E59" s="241" t="str">
        <f>IF(C59="","",SUMIFS(Торговля!$H$5:$H$300,Торговля!$E$5:$E$300,$B59)+SUMIFS(Закрытые!$H$5:$H$300,Закрытые!$E$5:$E$300,$B59,Закрытые!$B$5:$B$300,"T-*"))</f>
        <v/>
      </c>
      <c r="F59" s="240" t="str">
        <f>IF(SUMIFS(Торговля!$I$5:$I$300,Торговля!$E$5:$E$300,$B59)+SUMIFS(Закрытые!$I$5:$I$300,Закрытые!$E$5:$E$300,$B59,Закрытые!$B$5:$B$300,"T-*")=0,"",SUMIFS(Торговля!$I$5:$I$300,Торговля!$E$5:$E$300,$B59)+SUMIFS(Закрытые!$I$5:$I$300,Закрытые!$E$5:$E$300,$B59,Закрытые!$B$5:$B$300,"T-*"))</f>
        <v/>
      </c>
      <c r="G59" s="177" t="str">
        <f>IF(F59="","",(SUMPRODUCT((Торговля!$E$5:$E$300=$B59)*Торговля!$I$5:$I$300*Торговля!$J$5:$J$300)+SUMPRODUCT((Закрытые!$E$5:$E$300=$B59)*(LEFT(Закрытые!$B$5:$B$300,2)="T-")*Закрытые!$I$5:$I$300*Закрытые!$J$5:$J$300))/F59)</f>
        <v/>
      </c>
      <c r="H59" s="241" t="str">
        <f>IF(F59="","",SUMIFS(Торговля!$K$5:$K$300,Торговля!$E$5:$E$300,$B59)+SUMIFS(Закрытые!$K$5:$K$300,Закрытые!$E$5:$E$300,$B59,Закрытые!$B$5:$B$300,"T-*"))</f>
        <v/>
      </c>
      <c r="I59" s="240" t="str">
        <f>IF($B59="","",IF(COUNTIFS(Торговля!$E$5:$E$300,$B59)+COUNTIFS(Закрытые!$E$5:$E$300,$B59,Закрытые!$B$5:$B$300,"T-*")=0,"",ROUND(SUMIFS(Торговля!$L$5:$L$300,Торговля!$E$5:$E$300,$B59)+SUMIFS(Закрытые!$L$5:$L$300,Закрытые!$E$5:$E$300,$B59,Закрытые!$B$5:$B$300,"T-*"),8)))</f>
        <v/>
      </c>
      <c r="J59" s="241" t="str">
        <f>IF($B59="","",IF(COUNTIFS(Торговля!$E$5:$E$300,$B59)+COUNTIFS(Закрытые!$E$5:$E$300,$B59,Закрытые!$B$5:$B$300,"T-*")=0,"",ROUND(SUMIFS(Торговля!$M$5:$M$300,Торговля!$E$5:$E$300,$B59)+SUMIFS(Закрытые!$M$5:$M$300,Закрытые!$E$5:$E$300,$B59,Закрытые!$B$5:$B$300,"T-*"),8)))</f>
        <v/>
      </c>
      <c r="K59" s="240" t="str">
        <f>IF(MIN(N(C59),N(F59))&lt;=0,"",ROUND(MIN(N(C59),N(F59))*(N(G59)-N(D59)),8))</f>
        <v/>
      </c>
      <c r="L59" s="177" t="str">
        <f>IF(MIN(N(C59),N(F59))&lt;=0,"",IF(N(D59)=0,"",ROUND((N(G59)/N(D59)-1)*100,2)))</f>
        <v/>
      </c>
      <c r="M59" s="177" t="str">
        <f>IF(OR(ROUND(N(C59)-N(F59),8)=0,1-N(Ввод!$J$19)/100&lt;=0),"",IF(N(C59)&gt;N(F59),(N(E59)-N(H59))/((N(C59)-N(F59))*(1-N(Ввод!$J$19)/100)),(N(H59)-N(E59))/((N(F59)-N(C59))*(1+N(Ввод!$J$19)/100))))</f>
        <v/>
      </c>
    </row>
    <row r="60" ht="22" customHeight="1">
      <c r="B60" s="245" t="n"/>
      <c r="C60" s="246" t="str">
        <f>IF(SUMIFS(Торговля!$F$5:$F$300,Торговля!$E$5:$E$300,$B60)+SUMIFS(Закрытые!$F$5:$F$300,Закрытые!$E$5:$E$300,$B60,Закрытые!$B$5:$B$300,"T-*")=0,"",SUMIFS(Торговля!$F$5:$F$300,Торговля!$E$5:$E$300,$B60)+SUMIFS(Закрытые!$F$5:$F$300,Закрытые!$E$5:$E$300,$B60,Закрытые!$B$5:$B$300,"T-*"))</f>
        <v/>
      </c>
      <c r="D60" s="183" t="str">
        <f>IF(C60="","",(SUMPRODUCT((Торговля!$E$5:$E$300=$B60)*Торговля!$F$5:$F$300*Торговля!$G$5:$G$300)+SUMPRODUCT((Закрытые!$E$5:$E$300=$B60)*(LEFT(Закрытые!$B$5:$B$300,2)="T-")*Закрытые!$F$5:$F$300*Закрытые!$G$5:$G$300))/C60)</f>
        <v/>
      </c>
      <c r="E60" s="247" t="str">
        <f>IF(C60="","",SUMIFS(Торговля!$H$5:$H$300,Торговля!$E$5:$E$300,$B60)+SUMIFS(Закрытые!$H$5:$H$300,Закрытые!$E$5:$E$300,$B60,Закрытые!$B$5:$B$300,"T-*"))</f>
        <v/>
      </c>
      <c r="F60" s="246" t="str">
        <f>IF(SUMIFS(Торговля!$I$5:$I$300,Торговля!$E$5:$E$300,$B60)+SUMIFS(Закрытые!$I$5:$I$300,Закрытые!$E$5:$E$300,$B60,Закрытые!$B$5:$B$300,"T-*")=0,"",SUMIFS(Торговля!$I$5:$I$300,Торговля!$E$5:$E$300,$B60)+SUMIFS(Закрытые!$I$5:$I$300,Закрытые!$E$5:$E$300,$B60,Закрытые!$B$5:$B$300,"T-*"))</f>
        <v/>
      </c>
      <c r="G60" s="183" t="str">
        <f>IF(F60="","",(SUMPRODUCT((Торговля!$E$5:$E$300=$B60)*Торговля!$I$5:$I$300*Торговля!$J$5:$J$300)+SUMPRODUCT((Закрытые!$E$5:$E$300=$B60)*(LEFT(Закрытые!$B$5:$B$300,2)="T-")*Закрытые!$I$5:$I$300*Закрытые!$J$5:$J$300))/F60)</f>
        <v/>
      </c>
      <c r="H60" s="247" t="str">
        <f>IF(F60="","",SUMIFS(Торговля!$K$5:$K$300,Торговля!$E$5:$E$300,$B60)+SUMIFS(Закрытые!$K$5:$K$300,Закрытые!$E$5:$E$300,$B60,Закрытые!$B$5:$B$300,"T-*"))</f>
        <v/>
      </c>
      <c r="I60" s="246" t="str">
        <f>IF($B60="","",IF(COUNTIFS(Торговля!$E$5:$E$300,$B60)+COUNTIFS(Закрытые!$E$5:$E$300,$B60,Закрытые!$B$5:$B$300,"T-*")=0,"",ROUND(SUMIFS(Торговля!$L$5:$L$300,Торговля!$E$5:$E$300,$B60)+SUMIFS(Закрытые!$L$5:$L$300,Закрытые!$E$5:$E$300,$B60,Закрытые!$B$5:$B$300,"T-*"),8)))</f>
        <v/>
      </c>
      <c r="J60" s="247" t="str">
        <f>IF($B60="","",IF(COUNTIFS(Торговля!$E$5:$E$300,$B60)+COUNTIFS(Закрытые!$E$5:$E$300,$B60,Закрытые!$B$5:$B$300,"T-*")=0,"",ROUND(SUMIFS(Торговля!$M$5:$M$300,Торговля!$E$5:$E$300,$B60)+SUMIFS(Закрытые!$M$5:$M$300,Закрытые!$E$5:$E$300,$B60,Закрытые!$B$5:$B$300,"T-*"),8)))</f>
        <v/>
      </c>
      <c r="K60" s="246" t="str">
        <f>IF(MIN(N(C60),N(F60))&lt;=0,"",ROUND(MIN(N(C60),N(F60))*(N(G60)-N(D60)),8))</f>
        <v/>
      </c>
      <c r="L60" s="183" t="str">
        <f>IF(MIN(N(C60),N(F60))&lt;=0,"",IF(N(D60)=0,"",ROUND((N(G60)/N(D60)-1)*100,2)))</f>
        <v/>
      </c>
      <c r="M60" s="183" t="str">
        <f>IF(OR(ROUND(N(C60)-N(F60),8)=0,1-N(Ввод!$J$19)/100&lt;=0),"",IF(N(C60)&gt;N(F60),(N(E60)-N(H60))/((N(C60)-N(F60))*(1-N(Ввод!$J$19)/100)),(N(H60)-N(E60))/((N(F60)-N(C60))*(1+N(Ввод!$J$19)/100))))</f>
        <v/>
      </c>
    </row>
    <row r="61" ht="22" customHeight="1">
      <c r="B61" s="239" t="n"/>
      <c r="C61" s="240" t="str">
        <f>IF(SUMIFS(Торговля!$F$5:$F$300,Торговля!$E$5:$E$300,$B61)+SUMIFS(Закрытые!$F$5:$F$300,Закрытые!$E$5:$E$300,$B61,Закрытые!$B$5:$B$300,"T-*")=0,"",SUMIFS(Торговля!$F$5:$F$300,Торговля!$E$5:$E$300,$B61)+SUMIFS(Закрытые!$F$5:$F$300,Закрытые!$E$5:$E$300,$B61,Закрытые!$B$5:$B$300,"T-*"))</f>
        <v/>
      </c>
      <c r="D61" s="177" t="str">
        <f>IF(C61="","",(SUMPRODUCT((Торговля!$E$5:$E$300=$B61)*Торговля!$F$5:$F$300*Торговля!$G$5:$G$300)+SUMPRODUCT((Закрытые!$E$5:$E$300=$B61)*(LEFT(Закрытые!$B$5:$B$300,2)="T-")*Закрытые!$F$5:$F$300*Закрытые!$G$5:$G$300))/C61)</f>
        <v/>
      </c>
      <c r="E61" s="241" t="str">
        <f>IF(C61="","",SUMIFS(Торговля!$H$5:$H$300,Торговля!$E$5:$E$300,$B61)+SUMIFS(Закрытые!$H$5:$H$300,Закрытые!$E$5:$E$300,$B61,Закрытые!$B$5:$B$300,"T-*"))</f>
        <v/>
      </c>
      <c r="F61" s="240" t="str">
        <f>IF(SUMIFS(Торговля!$I$5:$I$300,Торговля!$E$5:$E$300,$B61)+SUMIFS(Закрытые!$I$5:$I$300,Закрытые!$E$5:$E$300,$B61,Закрытые!$B$5:$B$300,"T-*")=0,"",SUMIFS(Торговля!$I$5:$I$300,Торговля!$E$5:$E$300,$B61)+SUMIFS(Закрытые!$I$5:$I$300,Закрытые!$E$5:$E$300,$B61,Закрытые!$B$5:$B$300,"T-*"))</f>
        <v/>
      </c>
      <c r="G61" s="177" t="str">
        <f>IF(F61="","",(SUMPRODUCT((Торговля!$E$5:$E$300=$B61)*Торговля!$I$5:$I$300*Торговля!$J$5:$J$300)+SUMPRODUCT((Закрытые!$E$5:$E$300=$B61)*(LEFT(Закрытые!$B$5:$B$300,2)="T-")*Закрытые!$I$5:$I$300*Закрытые!$J$5:$J$300))/F61)</f>
        <v/>
      </c>
      <c r="H61" s="241" t="str">
        <f>IF(F61="","",SUMIFS(Торговля!$K$5:$K$300,Торговля!$E$5:$E$300,$B61)+SUMIFS(Закрытые!$K$5:$K$300,Закрытые!$E$5:$E$300,$B61,Закрытые!$B$5:$B$300,"T-*"))</f>
        <v/>
      </c>
      <c r="I61" s="240" t="str">
        <f>IF($B61="","",IF(COUNTIFS(Торговля!$E$5:$E$300,$B61)+COUNTIFS(Закрытые!$E$5:$E$300,$B61,Закрытые!$B$5:$B$300,"T-*")=0,"",ROUND(SUMIFS(Торговля!$L$5:$L$300,Торговля!$E$5:$E$300,$B61)+SUMIFS(Закрытые!$L$5:$L$300,Закрытые!$E$5:$E$300,$B61,Закрытые!$B$5:$B$300,"T-*"),8)))</f>
        <v/>
      </c>
      <c r="J61" s="241" t="str">
        <f>IF($B61="","",IF(COUNTIFS(Торговля!$E$5:$E$300,$B61)+COUNTIFS(Закрытые!$E$5:$E$300,$B61,Закрытые!$B$5:$B$300,"T-*")=0,"",ROUND(SUMIFS(Торговля!$M$5:$M$300,Торговля!$E$5:$E$300,$B61)+SUMIFS(Закрытые!$M$5:$M$300,Закрытые!$E$5:$E$300,$B61,Закрытые!$B$5:$B$300,"T-*"),8)))</f>
        <v/>
      </c>
      <c r="K61" s="240" t="str">
        <f>IF(MIN(N(C61),N(F61))&lt;=0,"",ROUND(MIN(N(C61),N(F61))*(N(G61)-N(D61)),8))</f>
        <v/>
      </c>
      <c r="L61" s="177" t="str">
        <f>IF(MIN(N(C61),N(F61))&lt;=0,"",IF(N(D61)=0,"",ROUND((N(G61)/N(D61)-1)*100,2)))</f>
        <v/>
      </c>
      <c r="M61" s="177" t="str">
        <f>IF(OR(ROUND(N(C61)-N(F61),8)=0,1-N(Ввод!$J$19)/100&lt;=0),"",IF(N(C61)&gt;N(F61),(N(E61)-N(H61))/((N(C61)-N(F61))*(1-N(Ввод!$J$19)/100)),(N(H61)-N(E61))/((N(F61)-N(C61))*(1+N(Ввод!$J$19)/100))))</f>
        <v/>
      </c>
    </row>
    <row r="62" ht="22" customHeight="1">
      <c r="B62" s="245" t="n"/>
      <c r="C62" s="246" t="str">
        <f>IF(SUMIFS(Торговля!$F$5:$F$300,Торговля!$E$5:$E$300,$B62)+SUMIFS(Закрытые!$F$5:$F$300,Закрытые!$E$5:$E$300,$B62,Закрытые!$B$5:$B$300,"T-*")=0,"",SUMIFS(Торговля!$F$5:$F$300,Торговля!$E$5:$E$300,$B62)+SUMIFS(Закрытые!$F$5:$F$300,Закрытые!$E$5:$E$300,$B62,Закрытые!$B$5:$B$300,"T-*"))</f>
        <v/>
      </c>
      <c r="D62" s="183" t="str">
        <f>IF(C62="","",(SUMPRODUCT((Торговля!$E$5:$E$300=$B62)*Торговля!$F$5:$F$300*Торговля!$G$5:$G$300)+SUMPRODUCT((Закрытые!$E$5:$E$300=$B62)*(LEFT(Закрытые!$B$5:$B$300,2)="T-")*Закрытые!$F$5:$F$300*Закрытые!$G$5:$G$300))/C62)</f>
        <v/>
      </c>
      <c r="E62" s="247" t="str">
        <f>IF(C62="","",SUMIFS(Торговля!$H$5:$H$300,Торговля!$E$5:$E$300,$B62)+SUMIFS(Закрытые!$H$5:$H$300,Закрытые!$E$5:$E$300,$B62,Закрытые!$B$5:$B$300,"T-*"))</f>
        <v/>
      </c>
      <c r="F62" s="246" t="str">
        <f>IF(SUMIFS(Торговля!$I$5:$I$300,Торговля!$E$5:$E$300,$B62)+SUMIFS(Закрытые!$I$5:$I$300,Закрытые!$E$5:$E$300,$B62,Закрытые!$B$5:$B$300,"T-*")=0,"",SUMIFS(Торговля!$I$5:$I$300,Торговля!$E$5:$E$300,$B62)+SUMIFS(Закрытые!$I$5:$I$300,Закрытые!$E$5:$E$300,$B62,Закрытые!$B$5:$B$300,"T-*"))</f>
        <v/>
      </c>
      <c r="G62" s="183" t="str">
        <f>IF(F62="","",(SUMPRODUCT((Торговля!$E$5:$E$300=$B62)*Торговля!$I$5:$I$300*Торговля!$J$5:$J$300)+SUMPRODUCT((Закрытые!$E$5:$E$300=$B62)*(LEFT(Закрытые!$B$5:$B$300,2)="T-")*Закрытые!$I$5:$I$300*Закрытые!$J$5:$J$300))/F62)</f>
        <v/>
      </c>
      <c r="H62" s="247" t="str">
        <f>IF(F62="","",SUMIFS(Торговля!$K$5:$K$300,Торговля!$E$5:$E$300,$B62)+SUMIFS(Закрытые!$K$5:$K$300,Закрытые!$E$5:$E$300,$B62,Закрытые!$B$5:$B$300,"T-*"))</f>
        <v/>
      </c>
      <c r="I62" s="246" t="str">
        <f>IF($B62="","",IF(COUNTIFS(Торговля!$E$5:$E$300,$B62)+COUNTIFS(Закрытые!$E$5:$E$300,$B62,Закрытые!$B$5:$B$300,"T-*")=0,"",ROUND(SUMIFS(Торговля!$L$5:$L$300,Торговля!$E$5:$E$300,$B62)+SUMIFS(Закрытые!$L$5:$L$300,Закрытые!$E$5:$E$300,$B62,Закрытые!$B$5:$B$300,"T-*"),8)))</f>
        <v/>
      </c>
      <c r="J62" s="247" t="str">
        <f>IF($B62="","",IF(COUNTIFS(Торговля!$E$5:$E$300,$B62)+COUNTIFS(Закрытые!$E$5:$E$300,$B62,Закрытые!$B$5:$B$300,"T-*")=0,"",ROUND(SUMIFS(Торговля!$M$5:$M$300,Торговля!$E$5:$E$300,$B62)+SUMIFS(Закрытые!$M$5:$M$300,Закрытые!$E$5:$E$300,$B62,Закрытые!$B$5:$B$300,"T-*"),8)))</f>
        <v/>
      </c>
      <c r="K62" s="246" t="str">
        <f>IF(MIN(N(C62),N(F62))&lt;=0,"",ROUND(MIN(N(C62),N(F62))*(N(G62)-N(D62)),8))</f>
        <v/>
      </c>
      <c r="L62" s="183" t="str">
        <f>IF(MIN(N(C62),N(F62))&lt;=0,"",IF(N(D62)=0,"",ROUND((N(G62)/N(D62)-1)*100,2)))</f>
        <v/>
      </c>
      <c r="M62" s="183" t="str">
        <f>IF(OR(ROUND(N(C62)-N(F62),8)=0,1-N(Ввод!$J$19)/100&lt;=0),"",IF(N(C62)&gt;N(F62),(N(E62)-N(H62))/((N(C62)-N(F62))*(1-N(Ввод!$J$19)/100)),(N(H62)-N(E62))/((N(F62)-N(C62))*(1+N(Ввод!$J$19)/100))))</f>
        <v/>
      </c>
    </row>
    <row r="63" ht="22" customHeight="1">
      <c r="B63" s="239" t="n"/>
      <c r="C63" s="240" t="str">
        <f>IF(SUMIFS(Торговля!$F$5:$F$300,Торговля!$E$5:$E$300,$B63)+SUMIFS(Закрытые!$F$5:$F$300,Закрытые!$E$5:$E$300,$B63,Закрытые!$B$5:$B$300,"T-*")=0,"",SUMIFS(Торговля!$F$5:$F$300,Торговля!$E$5:$E$300,$B63)+SUMIFS(Закрытые!$F$5:$F$300,Закрытые!$E$5:$E$300,$B63,Закрытые!$B$5:$B$300,"T-*"))</f>
        <v/>
      </c>
      <c r="D63" s="177" t="str">
        <f>IF(C63="","",(SUMPRODUCT((Торговля!$E$5:$E$300=$B63)*Торговля!$F$5:$F$300*Торговля!$G$5:$G$300)+SUMPRODUCT((Закрытые!$E$5:$E$300=$B63)*(LEFT(Закрытые!$B$5:$B$300,2)="T-")*Закрытые!$F$5:$F$300*Закрытые!$G$5:$G$300))/C63)</f>
        <v/>
      </c>
      <c r="E63" s="241" t="str">
        <f>IF(C63="","",SUMIFS(Торговля!$H$5:$H$300,Торговля!$E$5:$E$300,$B63)+SUMIFS(Закрытые!$H$5:$H$300,Закрытые!$E$5:$E$300,$B63,Закрытые!$B$5:$B$300,"T-*"))</f>
        <v/>
      </c>
      <c r="F63" s="240" t="str">
        <f>IF(SUMIFS(Торговля!$I$5:$I$300,Торговля!$E$5:$E$300,$B63)+SUMIFS(Закрытые!$I$5:$I$300,Закрытые!$E$5:$E$300,$B63,Закрытые!$B$5:$B$300,"T-*")=0,"",SUMIFS(Торговля!$I$5:$I$300,Торговля!$E$5:$E$300,$B63)+SUMIFS(Закрытые!$I$5:$I$300,Закрытые!$E$5:$E$300,$B63,Закрытые!$B$5:$B$300,"T-*"))</f>
        <v/>
      </c>
      <c r="G63" s="177" t="str">
        <f>IF(F63="","",(SUMPRODUCT((Торговля!$E$5:$E$300=$B63)*Торговля!$I$5:$I$300*Торговля!$J$5:$J$300)+SUMPRODUCT((Закрытые!$E$5:$E$300=$B63)*(LEFT(Закрытые!$B$5:$B$300,2)="T-")*Закрытые!$I$5:$I$300*Закрытые!$J$5:$J$300))/F63)</f>
        <v/>
      </c>
      <c r="H63" s="241" t="str">
        <f>IF(F63="","",SUMIFS(Торговля!$K$5:$K$300,Торговля!$E$5:$E$300,$B63)+SUMIFS(Закрытые!$K$5:$K$300,Закрытые!$E$5:$E$300,$B63,Закрытые!$B$5:$B$300,"T-*"))</f>
        <v/>
      </c>
      <c r="I63" s="240" t="str">
        <f>IF($B63="","",IF(COUNTIFS(Торговля!$E$5:$E$300,$B63)+COUNTIFS(Закрытые!$E$5:$E$300,$B63,Закрытые!$B$5:$B$300,"T-*")=0,"",ROUND(SUMIFS(Торговля!$L$5:$L$300,Торговля!$E$5:$E$300,$B63)+SUMIFS(Закрытые!$L$5:$L$300,Закрытые!$E$5:$E$300,$B63,Закрытые!$B$5:$B$300,"T-*"),8)))</f>
        <v/>
      </c>
      <c r="J63" s="241" t="str">
        <f>IF($B63="","",IF(COUNTIFS(Торговля!$E$5:$E$300,$B63)+COUNTIFS(Закрытые!$E$5:$E$300,$B63,Закрытые!$B$5:$B$300,"T-*")=0,"",ROUND(SUMIFS(Торговля!$M$5:$M$300,Торговля!$E$5:$E$300,$B63)+SUMIFS(Закрытые!$M$5:$M$300,Закрытые!$E$5:$E$300,$B63,Закрытые!$B$5:$B$300,"T-*"),8)))</f>
        <v/>
      </c>
      <c r="K63" s="240" t="str">
        <f>IF(MIN(N(C63),N(F63))&lt;=0,"",ROUND(MIN(N(C63),N(F63))*(N(G63)-N(D63)),8))</f>
        <v/>
      </c>
      <c r="L63" s="177" t="str">
        <f>IF(MIN(N(C63),N(F63))&lt;=0,"",IF(N(D63)=0,"",ROUND((N(G63)/N(D63)-1)*100,2)))</f>
        <v/>
      </c>
      <c r="M63" s="177" t="str">
        <f>IF(OR(ROUND(N(C63)-N(F63),8)=0,1-N(Ввод!$J$19)/100&lt;=0),"",IF(N(C63)&gt;N(F63),(N(E63)-N(H63))/((N(C63)-N(F63))*(1-N(Ввод!$J$19)/100)),(N(H63)-N(E63))/((N(F63)-N(C63))*(1+N(Ввод!$J$19)/100))))</f>
        <v/>
      </c>
    </row>
    <row r="64" ht="22" customHeight="1">
      <c r="B64" s="245" t="n"/>
      <c r="C64" s="246" t="str">
        <f>IF(SUMIFS(Торговля!$F$5:$F$300,Торговля!$E$5:$E$300,$B64)+SUMIFS(Закрытые!$F$5:$F$300,Закрытые!$E$5:$E$300,$B64,Закрытые!$B$5:$B$300,"T-*")=0,"",SUMIFS(Торговля!$F$5:$F$300,Торговля!$E$5:$E$300,$B64)+SUMIFS(Закрытые!$F$5:$F$300,Закрытые!$E$5:$E$300,$B64,Закрытые!$B$5:$B$300,"T-*"))</f>
        <v/>
      </c>
      <c r="D64" s="183" t="str">
        <f>IF(C64="","",(SUMPRODUCT((Торговля!$E$5:$E$300=$B64)*Торговля!$F$5:$F$300*Торговля!$G$5:$G$300)+SUMPRODUCT((Закрытые!$E$5:$E$300=$B64)*(LEFT(Закрытые!$B$5:$B$300,2)="T-")*Закрытые!$F$5:$F$300*Закрытые!$G$5:$G$300))/C64)</f>
        <v/>
      </c>
      <c r="E64" s="247" t="str">
        <f>IF(C64="","",SUMIFS(Торговля!$H$5:$H$300,Торговля!$E$5:$E$300,$B64)+SUMIFS(Закрытые!$H$5:$H$300,Закрытые!$E$5:$E$300,$B64,Закрытые!$B$5:$B$300,"T-*"))</f>
        <v/>
      </c>
      <c r="F64" s="246" t="str">
        <f>IF(SUMIFS(Торговля!$I$5:$I$300,Торговля!$E$5:$E$300,$B64)+SUMIFS(Закрытые!$I$5:$I$300,Закрытые!$E$5:$E$300,$B64,Закрытые!$B$5:$B$300,"T-*")=0,"",SUMIFS(Торговля!$I$5:$I$300,Торговля!$E$5:$E$300,$B64)+SUMIFS(Закрытые!$I$5:$I$300,Закрытые!$E$5:$E$300,$B64,Закрытые!$B$5:$B$300,"T-*"))</f>
        <v/>
      </c>
      <c r="G64" s="183" t="str">
        <f>IF(F64="","",(SUMPRODUCT((Торговля!$E$5:$E$300=$B64)*Торговля!$I$5:$I$300*Торговля!$J$5:$J$300)+SUMPRODUCT((Закрытые!$E$5:$E$300=$B64)*(LEFT(Закрытые!$B$5:$B$300,2)="T-")*Закрытые!$I$5:$I$300*Закрытые!$J$5:$J$300))/F64)</f>
        <v/>
      </c>
      <c r="H64" s="247" t="str">
        <f>IF(F64="","",SUMIFS(Торговля!$K$5:$K$300,Торговля!$E$5:$E$300,$B64)+SUMIFS(Закрытые!$K$5:$K$300,Закрытые!$E$5:$E$300,$B64,Закрытые!$B$5:$B$300,"T-*"))</f>
        <v/>
      </c>
      <c r="I64" s="246" t="str">
        <f>IF($B64="","",IF(COUNTIFS(Торговля!$E$5:$E$300,$B64)+COUNTIFS(Закрытые!$E$5:$E$300,$B64,Закрытые!$B$5:$B$300,"T-*")=0,"",ROUND(SUMIFS(Торговля!$L$5:$L$300,Торговля!$E$5:$E$300,$B64)+SUMIFS(Закрытые!$L$5:$L$300,Закрытые!$E$5:$E$300,$B64,Закрытые!$B$5:$B$300,"T-*"),8)))</f>
        <v/>
      </c>
      <c r="J64" s="247" t="str">
        <f>IF($B64="","",IF(COUNTIFS(Торговля!$E$5:$E$300,$B64)+COUNTIFS(Закрытые!$E$5:$E$300,$B64,Закрытые!$B$5:$B$300,"T-*")=0,"",ROUND(SUMIFS(Торговля!$M$5:$M$300,Торговля!$E$5:$E$300,$B64)+SUMIFS(Закрытые!$M$5:$M$300,Закрытые!$E$5:$E$300,$B64,Закрытые!$B$5:$B$300,"T-*"),8)))</f>
        <v/>
      </c>
      <c r="K64" s="246" t="str">
        <f>IF(MIN(N(C64),N(F64))&lt;=0,"",ROUND(MIN(N(C64),N(F64))*(N(G64)-N(D64)),8))</f>
        <v/>
      </c>
      <c r="L64" s="183" t="str">
        <f>IF(MIN(N(C64),N(F64))&lt;=0,"",IF(N(D64)=0,"",ROUND((N(G64)/N(D64)-1)*100,2)))</f>
        <v/>
      </c>
      <c r="M64" s="183" t="str">
        <f>IF(OR(ROUND(N(C64)-N(F64),8)=0,1-N(Ввод!$J$19)/100&lt;=0),"",IF(N(C64)&gt;N(F64),(N(E64)-N(H64))/((N(C64)-N(F64))*(1-N(Ввод!$J$19)/100)),(N(H64)-N(E64))/((N(F64)-N(C64))*(1+N(Ввод!$J$19)/100))))</f>
        <v/>
      </c>
    </row>
    <row r="65" ht="22" customHeight="1">
      <c r="B65" s="239" t="n"/>
      <c r="C65" s="240" t="str">
        <f>IF(SUMIFS(Торговля!$F$5:$F$300,Торговля!$E$5:$E$300,$B65)+SUMIFS(Закрытые!$F$5:$F$300,Закрытые!$E$5:$E$300,$B65,Закрытые!$B$5:$B$300,"T-*")=0,"",SUMIFS(Торговля!$F$5:$F$300,Торговля!$E$5:$E$300,$B65)+SUMIFS(Закрытые!$F$5:$F$300,Закрытые!$E$5:$E$300,$B65,Закрытые!$B$5:$B$300,"T-*"))</f>
        <v/>
      </c>
      <c r="D65" s="177" t="str">
        <f>IF(C65="","",(SUMPRODUCT((Торговля!$E$5:$E$300=$B65)*Торговля!$F$5:$F$300*Торговля!$G$5:$G$300)+SUMPRODUCT((Закрытые!$E$5:$E$300=$B65)*(LEFT(Закрытые!$B$5:$B$300,2)="T-")*Закрытые!$F$5:$F$300*Закрытые!$G$5:$G$300))/C65)</f>
        <v/>
      </c>
      <c r="E65" s="241" t="str">
        <f>IF(C65="","",SUMIFS(Торговля!$H$5:$H$300,Торговля!$E$5:$E$300,$B65)+SUMIFS(Закрытые!$H$5:$H$300,Закрытые!$E$5:$E$300,$B65,Закрытые!$B$5:$B$300,"T-*"))</f>
        <v/>
      </c>
      <c r="F65" s="240" t="str">
        <f>IF(SUMIFS(Торговля!$I$5:$I$300,Торговля!$E$5:$E$300,$B65)+SUMIFS(Закрытые!$I$5:$I$300,Закрытые!$E$5:$E$300,$B65,Закрытые!$B$5:$B$300,"T-*")=0,"",SUMIFS(Торговля!$I$5:$I$300,Торговля!$E$5:$E$300,$B65)+SUMIFS(Закрытые!$I$5:$I$300,Закрытые!$E$5:$E$300,$B65,Закрытые!$B$5:$B$300,"T-*"))</f>
        <v/>
      </c>
      <c r="G65" s="177" t="str">
        <f>IF(F65="","",(SUMPRODUCT((Торговля!$E$5:$E$300=$B65)*Торговля!$I$5:$I$300*Торговля!$J$5:$J$300)+SUMPRODUCT((Закрытые!$E$5:$E$300=$B65)*(LEFT(Закрытые!$B$5:$B$300,2)="T-")*Закрытые!$I$5:$I$300*Закрытые!$J$5:$J$300))/F65)</f>
        <v/>
      </c>
      <c r="H65" s="241" t="str">
        <f>IF(F65="","",SUMIFS(Торговля!$K$5:$K$300,Торговля!$E$5:$E$300,$B65)+SUMIFS(Закрытые!$K$5:$K$300,Закрытые!$E$5:$E$300,$B65,Закрытые!$B$5:$B$300,"T-*"))</f>
        <v/>
      </c>
      <c r="I65" s="240" t="str">
        <f>IF($B65="","",IF(COUNTIFS(Торговля!$E$5:$E$300,$B65)+COUNTIFS(Закрытые!$E$5:$E$300,$B65,Закрытые!$B$5:$B$300,"T-*")=0,"",ROUND(SUMIFS(Торговля!$L$5:$L$300,Торговля!$E$5:$E$300,$B65)+SUMIFS(Закрытые!$L$5:$L$300,Закрытые!$E$5:$E$300,$B65,Закрытые!$B$5:$B$300,"T-*"),8)))</f>
        <v/>
      </c>
      <c r="J65" s="241" t="str">
        <f>IF($B65="","",IF(COUNTIFS(Торговля!$E$5:$E$300,$B65)+COUNTIFS(Закрытые!$E$5:$E$300,$B65,Закрытые!$B$5:$B$300,"T-*")=0,"",ROUND(SUMIFS(Торговля!$M$5:$M$300,Торговля!$E$5:$E$300,$B65)+SUMIFS(Закрытые!$M$5:$M$300,Закрытые!$E$5:$E$300,$B65,Закрытые!$B$5:$B$300,"T-*"),8)))</f>
        <v/>
      </c>
      <c r="K65" s="240" t="str">
        <f>IF(MIN(N(C65),N(F65))&lt;=0,"",ROUND(MIN(N(C65),N(F65))*(N(G65)-N(D65)),8))</f>
        <v/>
      </c>
      <c r="L65" s="177" t="str">
        <f>IF(MIN(N(C65),N(F65))&lt;=0,"",IF(N(D65)=0,"",ROUND((N(G65)/N(D65)-1)*100,2)))</f>
        <v/>
      </c>
      <c r="M65" s="177" t="str">
        <f>IF(OR(ROUND(N(C65)-N(F65),8)=0,1-N(Ввод!$J$19)/100&lt;=0),"",IF(N(C65)&gt;N(F65),(N(E65)-N(H65))/((N(C65)-N(F65))*(1-N(Ввод!$J$19)/100)),(N(H65)-N(E65))/((N(F65)-N(C65))*(1+N(Ввод!$J$19)/100))))</f>
        <v/>
      </c>
    </row>
    <row r="66" ht="22" customHeight="1">
      <c r="B66" s="245" t="n"/>
      <c r="C66" s="246" t="str">
        <f>IF(SUMIFS(Торговля!$F$5:$F$300,Торговля!$E$5:$E$300,$B66)+SUMIFS(Закрытые!$F$5:$F$300,Закрытые!$E$5:$E$300,$B66,Закрытые!$B$5:$B$300,"T-*")=0,"",SUMIFS(Торговля!$F$5:$F$300,Торговля!$E$5:$E$300,$B66)+SUMIFS(Закрытые!$F$5:$F$300,Закрытые!$E$5:$E$300,$B66,Закрытые!$B$5:$B$300,"T-*"))</f>
        <v/>
      </c>
      <c r="D66" s="183" t="str">
        <f>IF(C66="","",(SUMPRODUCT((Торговля!$E$5:$E$300=$B66)*Торговля!$F$5:$F$300*Торговля!$G$5:$G$300)+SUMPRODUCT((Закрытые!$E$5:$E$300=$B66)*(LEFT(Закрытые!$B$5:$B$300,2)="T-")*Закрытые!$F$5:$F$300*Закрытые!$G$5:$G$300))/C66)</f>
        <v/>
      </c>
      <c r="E66" s="247" t="str">
        <f>IF(C66="","",SUMIFS(Торговля!$H$5:$H$300,Торговля!$E$5:$E$300,$B66)+SUMIFS(Закрытые!$H$5:$H$300,Закрытые!$E$5:$E$300,$B66,Закрытые!$B$5:$B$300,"T-*"))</f>
        <v/>
      </c>
      <c r="F66" s="246" t="str">
        <f>IF(SUMIFS(Торговля!$I$5:$I$300,Торговля!$E$5:$E$300,$B66)+SUMIFS(Закрытые!$I$5:$I$300,Закрытые!$E$5:$E$300,$B66,Закрытые!$B$5:$B$300,"T-*")=0,"",SUMIFS(Торговля!$I$5:$I$300,Торговля!$E$5:$E$300,$B66)+SUMIFS(Закрытые!$I$5:$I$300,Закрытые!$E$5:$E$300,$B66,Закрытые!$B$5:$B$300,"T-*"))</f>
        <v/>
      </c>
      <c r="G66" s="183" t="str">
        <f>IF(F66="","",(SUMPRODUCT((Торговля!$E$5:$E$300=$B66)*Торговля!$I$5:$I$300*Торговля!$J$5:$J$300)+SUMPRODUCT((Закрытые!$E$5:$E$300=$B66)*(LEFT(Закрытые!$B$5:$B$300,2)="T-")*Закрытые!$I$5:$I$300*Закрытые!$J$5:$J$300))/F66)</f>
        <v/>
      </c>
      <c r="H66" s="247" t="str">
        <f>IF(F66="","",SUMIFS(Торговля!$K$5:$K$300,Торговля!$E$5:$E$300,$B66)+SUMIFS(Закрытые!$K$5:$K$300,Закрытые!$E$5:$E$300,$B66,Закрытые!$B$5:$B$300,"T-*"))</f>
        <v/>
      </c>
      <c r="I66" s="246" t="str">
        <f>IF($B66="","",IF(COUNTIFS(Торговля!$E$5:$E$300,$B66)+COUNTIFS(Закрытые!$E$5:$E$300,$B66,Закрытые!$B$5:$B$300,"T-*")=0,"",ROUND(SUMIFS(Торговля!$L$5:$L$300,Торговля!$E$5:$E$300,$B66)+SUMIFS(Закрытые!$L$5:$L$300,Закрытые!$E$5:$E$300,$B66,Закрытые!$B$5:$B$300,"T-*"),8)))</f>
        <v/>
      </c>
      <c r="J66" s="247" t="str">
        <f>IF($B66="","",IF(COUNTIFS(Торговля!$E$5:$E$300,$B66)+COUNTIFS(Закрытые!$E$5:$E$300,$B66,Закрытые!$B$5:$B$300,"T-*")=0,"",ROUND(SUMIFS(Торговля!$M$5:$M$300,Торговля!$E$5:$E$300,$B66)+SUMIFS(Закрытые!$M$5:$M$300,Закрытые!$E$5:$E$300,$B66,Закрытые!$B$5:$B$300,"T-*"),8)))</f>
        <v/>
      </c>
      <c r="K66" s="246" t="str">
        <f>IF(MIN(N(C66),N(F66))&lt;=0,"",ROUND(MIN(N(C66),N(F66))*(N(G66)-N(D66)),8))</f>
        <v/>
      </c>
      <c r="L66" s="183" t="str">
        <f>IF(MIN(N(C66),N(F66))&lt;=0,"",IF(N(D66)=0,"",ROUND((N(G66)/N(D66)-1)*100,2)))</f>
        <v/>
      </c>
      <c r="M66" s="183" t="str">
        <f>IF(OR(ROUND(N(C66)-N(F66),8)=0,1-N(Ввод!$J$19)/100&lt;=0),"",IF(N(C66)&gt;N(F66),(N(E66)-N(H66))/((N(C66)-N(F66))*(1-N(Ввод!$J$19)/100)),(N(H66)-N(E66))/((N(F66)-N(C66))*(1+N(Ввод!$J$19)/100))))</f>
        <v/>
      </c>
    </row>
    <row r="67" ht="22" customHeight="1">
      <c r="B67" s="239" t="n"/>
      <c r="C67" s="240" t="str">
        <f>IF(SUMIFS(Торговля!$F$5:$F$300,Торговля!$E$5:$E$300,$B67)+SUMIFS(Закрытые!$F$5:$F$300,Закрытые!$E$5:$E$300,$B67,Закрытые!$B$5:$B$300,"T-*")=0,"",SUMIFS(Торговля!$F$5:$F$300,Торговля!$E$5:$E$300,$B67)+SUMIFS(Закрытые!$F$5:$F$300,Закрытые!$E$5:$E$300,$B67,Закрытые!$B$5:$B$300,"T-*"))</f>
        <v/>
      </c>
      <c r="D67" s="177" t="str">
        <f>IF(C67="","",(SUMPRODUCT((Торговля!$E$5:$E$300=$B67)*Торговля!$F$5:$F$300*Торговля!$G$5:$G$300)+SUMPRODUCT((Закрытые!$E$5:$E$300=$B67)*(LEFT(Закрытые!$B$5:$B$300,2)="T-")*Закрытые!$F$5:$F$300*Закрытые!$G$5:$G$300))/C67)</f>
        <v/>
      </c>
      <c r="E67" s="241" t="str">
        <f>IF(C67="","",SUMIFS(Торговля!$H$5:$H$300,Торговля!$E$5:$E$300,$B67)+SUMIFS(Закрытые!$H$5:$H$300,Закрытые!$E$5:$E$300,$B67,Закрытые!$B$5:$B$300,"T-*"))</f>
        <v/>
      </c>
      <c r="F67" s="240" t="str">
        <f>IF(SUMIFS(Торговля!$I$5:$I$300,Торговля!$E$5:$E$300,$B67)+SUMIFS(Закрытые!$I$5:$I$300,Закрытые!$E$5:$E$300,$B67,Закрытые!$B$5:$B$300,"T-*")=0,"",SUMIFS(Торговля!$I$5:$I$300,Торговля!$E$5:$E$300,$B67)+SUMIFS(Закрытые!$I$5:$I$300,Закрытые!$E$5:$E$300,$B67,Закрытые!$B$5:$B$300,"T-*"))</f>
        <v/>
      </c>
      <c r="G67" s="177" t="str">
        <f>IF(F67="","",(SUMPRODUCT((Торговля!$E$5:$E$300=$B67)*Торговля!$I$5:$I$300*Торговля!$J$5:$J$300)+SUMPRODUCT((Закрытые!$E$5:$E$300=$B67)*(LEFT(Закрытые!$B$5:$B$300,2)="T-")*Закрытые!$I$5:$I$300*Закрытые!$J$5:$J$300))/F67)</f>
        <v/>
      </c>
      <c r="H67" s="241" t="str">
        <f>IF(F67="","",SUMIFS(Торговля!$K$5:$K$300,Торговля!$E$5:$E$300,$B67)+SUMIFS(Закрытые!$K$5:$K$300,Закрытые!$E$5:$E$300,$B67,Закрытые!$B$5:$B$300,"T-*"))</f>
        <v/>
      </c>
      <c r="I67" s="240" t="str">
        <f>IF($B67="","",IF(COUNTIFS(Торговля!$E$5:$E$300,$B67)+COUNTIFS(Закрытые!$E$5:$E$300,$B67,Закрытые!$B$5:$B$300,"T-*")=0,"",ROUND(SUMIFS(Торговля!$L$5:$L$300,Торговля!$E$5:$E$300,$B67)+SUMIFS(Закрытые!$L$5:$L$300,Закрытые!$E$5:$E$300,$B67,Закрытые!$B$5:$B$300,"T-*"),8)))</f>
        <v/>
      </c>
      <c r="J67" s="241" t="str">
        <f>IF($B67="","",IF(COUNTIFS(Торговля!$E$5:$E$300,$B67)+COUNTIFS(Закрытые!$E$5:$E$300,$B67,Закрытые!$B$5:$B$300,"T-*")=0,"",ROUND(SUMIFS(Торговля!$M$5:$M$300,Торговля!$E$5:$E$300,$B67)+SUMIFS(Закрытые!$M$5:$M$300,Закрытые!$E$5:$E$300,$B67,Закрытые!$B$5:$B$300,"T-*"),8)))</f>
        <v/>
      </c>
      <c r="K67" s="240" t="str">
        <f>IF(MIN(N(C67),N(F67))&lt;=0,"",ROUND(MIN(N(C67),N(F67))*(N(G67)-N(D67)),8))</f>
        <v/>
      </c>
      <c r="L67" s="177" t="str">
        <f>IF(MIN(N(C67),N(F67))&lt;=0,"",IF(N(D67)=0,"",ROUND((N(G67)/N(D67)-1)*100,2)))</f>
        <v/>
      </c>
      <c r="M67" s="177" t="str">
        <f>IF(OR(ROUND(N(C67)-N(F67),8)=0,1-N(Ввод!$J$19)/100&lt;=0),"",IF(N(C67)&gt;N(F67),(N(E67)-N(H67))/((N(C67)-N(F67))*(1-N(Ввод!$J$19)/100)),(N(H67)-N(E67))/((N(F67)-N(C67))*(1+N(Ввод!$J$19)/100))))</f>
        <v/>
      </c>
    </row>
    <row r="68" ht="22" customHeight="1">
      <c r="B68" s="245" t="n"/>
      <c r="C68" s="246" t="str">
        <f>IF(SUMIFS(Торговля!$F$5:$F$300,Торговля!$E$5:$E$300,$B68)+SUMIFS(Закрытые!$F$5:$F$300,Закрытые!$E$5:$E$300,$B68,Закрытые!$B$5:$B$300,"T-*")=0,"",SUMIFS(Торговля!$F$5:$F$300,Торговля!$E$5:$E$300,$B68)+SUMIFS(Закрытые!$F$5:$F$300,Закрытые!$E$5:$E$300,$B68,Закрытые!$B$5:$B$300,"T-*"))</f>
        <v/>
      </c>
      <c r="D68" s="183" t="str">
        <f>IF(C68="","",(SUMPRODUCT((Торговля!$E$5:$E$300=$B68)*Торговля!$F$5:$F$300*Торговля!$G$5:$G$300)+SUMPRODUCT((Закрытые!$E$5:$E$300=$B68)*(LEFT(Закрытые!$B$5:$B$300,2)="T-")*Закрытые!$F$5:$F$300*Закрытые!$G$5:$G$300))/C68)</f>
        <v/>
      </c>
      <c r="E68" s="247" t="str">
        <f>IF(C68="","",SUMIFS(Торговля!$H$5:$H$300,Торговля!$E$5:$E$300,$B68)+SUMIFS(Закрытые!$H$5:$H$300,Закрытые!$E$5:$E$300,$B68,Закрытые!$B$5:$B$300,"T-*"))</f>
        <v/>
      </c>
      <c r="F68" s="246" t="str">
        <f>IF(SUMIFS(Торговля!$I$5:$I$300,Торговля!$E$5:$E$300,$B68)+SUMIFS(Закрытые!$I$5:$I$300,Закрытые!$E$5:$E$300,$B68,Закрытые!$B$5:$B$300,"T-*")=0,"",SUMIFS(Торговля!$I$5:$I$300,Торговля!$E$5:$E$300,$B68)+SUMIFS(Закрытые!$I$5:$I$300,Закрытые!$E$5:$E$300,$B68,Закрытые!$B$5:$B$300,"T-*"))</f>
        <v/>
      </c>
      <c r="G68" s="183" t="str">
        <f>IF(F68="","",(SUMPRODUCT((Торговля!$E$5:$E$300=$B68)*Торговля!$I$5:$I$300*Торговля!$J$5:$J$300)+SUMPRODUCT((Закрытые!$E$5:$E$300=$B68)*(LEFT(Закрытые!$B$5:$B$300,2)="T-")*Закрытые!$I$5:$I$300*Закрытые!$J$5:$J$300))/F68)</f>
        <v/>
      </c>
      <c r="H68" s="247" t="str">
        <f>IF(F68="","",SUMIFS(Торговля!$K$5:$K$300,Торговля!$E$5:$E$300,$B68)+SUMIFS(Закрытые!$K$5:$K$300,Закрытые!$E$5:$E$300,$B68,Закрытые!$B$5:$B$300,"T-*"))</f>
        <v/>
      </c>
      <c r="I68" s="246" t="str">
        <f>IF($B68="","",IF(COUNTIFS(Торговля!$E$5:$E$300,$B68)+COUNTIFS(Закрытые!$E$5:$E$300,$B68,Закрытые!$B$5:$B$300,"T-*")=0,"",ROUND(SUMIFS(Торговля!$L$5:$L$300,Торговля!$E$5:$E$300,$B68)+SUMIFS(Закрытые!$L$5:$L$300,Закрытые!$E$5:$E$300,$B68,Закрытые!$B$5:$B$300,"T-*"),8)))</f>
        <v/>
      </c>
      <c r="J68" s="247" t="str">
        <f>IF($B68="","",IF(COUNTIFS(Торговля!$E$5:$E$300,$B68)+COUNTIFS(Закрытые!$E$5:$E$300,$B68,Закрытые!$B$5:$B$300,"T-*")=0,"",ROUND(SUMIFS(Торговля!$M$5:$M$300,Торговля!$E$5:$E$300,$B68)+SUMIFS(Закрытые!$M$5:$M$300,Закрытые!$E$5:$E$300,$B68,Закрытые!$B$5:$B$300,"T-*"),8)))</f>
        <v/>
      </c>
      <c r="K68" s="246" t="str">
        <f>IF(MIN(N(C68),N(F68))&lt;=0,"",ROUND(MIN(N(C68),N(F68))*(N(G68)-N(D68)),8))</f>
        <v/>
      </c>
      <c r="L68" s="183" t="str">
        <f>IF(MIN(N(C68),N(F68))&lt;=0,"",IF(N(D68)=0,"",ROUND((N(G68)/N(D68)-1)*100,2)))</f>
        <v/>
      </c>
      <c r="M68" s="183" t="str">
        <f>IF(OR(ROUND(N(C68)-N(F68),8)=0,1-N(Ввод!$J$19)/100&lt;=0),"",IF(N(C68)&gt;N(F68),(N(E68)-N(H68))/((N(C68)-N(F68))*(1-N(Ввод!$J$19)/100)),(N(H68)-N(E68))/((N(F68)-N(C68))*(1+N(Ввод!$J$19)/100))))</f>
        <v/>
      </c>
    </row>
    <row r="69" ht="22" customHeight="1">
      <c r="B69" s="239" t="n"/>
      <c r="C69" s="240" t="str">
        <f>IF(SUMIFS(Торговля!$F$5:$F$300,Торговля!$E$5:$E$300,$B69)+SUMIFS(Закрытые!$F$5:$F$300,Закрытые!$E$5:$E$300,$B69,Закрытые!$B$5:$B$300,"T-*")=0,"",SUMIFS(Торговля!$F$5:$F$300,Торговля!$E$5:$E$300,$B69)+SUMIFS(Закрытые!$F$5:$F$300,Закрытые!$E$5:$E$300,$B69,Закрытые!$B$5:$B$300,"T-*"))</f>
        <v/>
      </c>
      <c r="D69" s="177" t="str">
        <f>IF(C69="","",(SUMPRODUCT((Торговля!$E$5:$E$300=$B69)*Торговля!$F$5:$F$300*Торговля!$G$5:$G$300)+SUMPRODUCT((Закрытые!$E$5:$E$300=$B69)*(LEFT(Закрытые!$B$5:$B$300,2)="T-")*Закрытые!$F$5:$F$300*Закрытые!$G$5:$G$300))/C69)</f>
        <v/>
      </c>
      <c r="E69" s="241" t="str">
        <f>IF(C69="","",SUMIFS(Торговля!$H$5:$H$300,Торговля!$E$5:$E$300,$B69)+SUMIFS(Закрытые!$H$5:$H$300,Закрытые!$E$5:$E$300,$B69,Закрытые!$B$5:$B$300,"T-*"))</f>
        <v/>
      </c>
      <c r="F69" s="240" t="str">
        <f>IF(SUMIFS(Торговля!$I$5:$I$300,Торговля!$E$5:$E$300,$B69)+SUMIFS(Закрытые!$I$5:$I$300,Закрытые!$E$5:$E$300,$B69,Закрытые!$B$5:$B$300,"T-*")=0,"",SUMIFS(Торговля!$I$5:$I$300,Торговля!$E$5:$E$300,$B69)+SUMIFS(Закрытые!$I$5:$I$300,Закрытые!$E$5:$E$300,$B69,Закрытые!$B$5:$B$300,"T-*"))</f>
        <v/>
      </c>
      <c r="G69" s="177" t="str">
        <f>IF(F69="","",(SUMPRODUCT((Торговля!$E$5:$E$300=$B69)*Торговля!$I$5:$I$300*Торговля!$J$5:$J$300)+SUMPRODUCT((Закрытые!$E$5:$E$300=$B69)*(LEFT(Закрытые!$B$5:$B$300,2)="T-")*Закрытые!$I$5:$I$300*Закрытые!$J$5:$J$300))/F69)</f>
        <v/>
      </c>
      <c r="H69" s="241" t="str">
        <f>IF(F69="","",SUMIFS(Торговля!$K$5:$K$300,Торговля!$E$5:$E$300,$B69)+SUMIFS(Закрытые!$K$5:$K$300,Закрытые!$E$5:$E$300,$B69,Закрытые!$B$5:$B$300,"T-*"))</f>
        <v/>
      </c>
      <c r="I69" s="240" t="str">
        <f>IF($B69="","",IF(COUNTIFS(Торговля!$E$5:$E$300,$B69)+COUNTIFS(Закрытые!$E$5:$E$300,$B69,Закрытые!$B$5:$B$300,"T-*")=0,"",ROUND(SUMIFS(Торговля!$L$5:$L$300,Торговля!$E$5:$E$300,$B69)+SUMIFS(Закрытые!$L$5:$L$300,Закрытые!$E$5:$E$300,$B69,Закрытые!$B$5:$B$300,"T-*"),8)))</f>
        <v/>
      </c>
      <c r="J69" s="241" t="str">
        <f>IF($B69="","",IF(COUNTIFS(Торговля!$E$5:$E$300,$B69)+COUNTIFS(Закрытые!$E$5:$E$300,$B69,Закрытые!$B$5:$B$300,"T-*")=0,"",ROUND(SUMIFS(Торговля!$M$5:$M$300,Торговля!$E$5:$E$300,$B69)+SUMIFS(Закрытые!$M$5:$M$300,Закрытые!$E$5:$E$300,$B69,Закрытые!$B$5:$B$300,"T-*"),8)))</f>
        <v/>
      </c>
      <c r="K69" s="240" t="str">
        <f>IF(MIN(N(C69),N(F69))&lt;=0,"",ROUND(MIN(N(C69),N(F69))*(N(G69)-N(D69)),8))</f>
        <v/>
      </c>
      <c r="L69" s="177" t="str">
        <f>IF(MIN(N(C69),N(F69))&lt;=0,"",IF(N(D69)=0,"",ROUND((N(G69)/N(D69)-1)*100,2)))</f>
        <v/>
      </c>
      <c r="M69" s="177" t="str">
        <f>IF(OR(ROUND(N(C69)-N(F69),8)=0,1-N(Ввод!$J$19)/100&lt;=0),"",IF(N(C69)&gt;N(F69),(N(E69)-N(H69))/((N(C69)-N(F69))*(1-N(Ввод!$J$19)/100)),(N(H69)-N(E69))/((N(F69)-N(C69))*(1+N(Ввод!$J$19)/100))))</f>
        <v/>
      </c>
    </row>
    <row r="70" ht="22" customHeight="1">
      <c r="B70" s="245" t="n"/>
      <c r="C70" s="246" t="str">
        <f>IF(SUMIFS(Торговля!$F$5:$F$300,Торговля!$E$5:$E$300,$B70)+SUMIFS(Закрытые!$F$5:$F$300,Закрытые!$E$5:$E$300,$B70,Закрытые!$B$5:$B$300,"T-*")=0,"",SUMIFS(Торговля!$F$5:$F$300,Торговля!$E$5:$E$300,$B70)+SUMIFS(Закрытые!$F$5:$F$300,Закрытые!$E$5:$E$300,$B70,Закрытые!$B$5:$B$300,"T-*"))</f>
        <v/>
      </c>
      <c r="D70" s="183" t="str">
        <f>IF(C70="","",(SUMPRODUCT((Торговля!$E$5:$E$300=$B70)*Торговля!$F$5:$F$300*Торговля!$G$5:$G$300)+SUMPRODUCT((Закрытые!$E$5:$E$300=$B70)*(LEFT(Закрытые!$B$5:$B$300,2)="T-")*Закрытые!$F$5:$F$300*Закрытые!$G$5:$G$300))/C70)</f>
        <v/>
      </c>
      <c r="E70" s="247" t="str">
        <f>IF(C70="","",SUMIFS(Торговля!$H$5:$H$300,Торговля!$E$5:$E$300,$B70)+SUMIFS(Закрытые!$H$5:$H$300,Закрытые!$E$5:$E$300,$B70,Закрытые!$B$5:$B$300,"T-*"))</f>
        <v/>
      </c>
      <c r="F70" s="246" t="str">
        <f>IF(SUMIFS(Торговля!$I$5:$I$300,Торговля!$E$5:$E$300,$B70)+SUMIFS(Закрытые!$I$5:$I$300,Закрытые!$E$5:$E$300,$B70,Закрытые!$B$5:$B$300,"T-*")=0,"",SUMIFS(Торговля!$I$5:$I$300,Торговля!$E$5:$E$300,$B70)+SUMIFS(Закрытые!$I$5:$I$300,Закрытые!$E$5:$E$300,$B70,Закрытые!$B$5:$B$300,"T-*"))</f>
        <v/>
      </c>
      <c r="G70" s="183" t="str">
        <f>IF(F70="","",(SUMPRODUCT((Торговля!$E$5:$E$300=$B70)*Торговля!$I$5:$I$300*Торговля!$J$5:$J$300)+SUMPRODUCT((Закрытые!$E$5:$E$300=$B70)*(LEFT(Закрытые!$B$5:$B$300,2)="T-")*Закрытые!$I$5:$I$300*Закрытые!$J$5:$J$300))/F70)</f>
        <v/>
      </c>
      <c r="H70" s="247" t="str">
        <f>IF(F70="","",SUMIFS(Торговля!$K$5:$K$300,Торговля!$E$5:$E$300,$B70)+SUMIFS(Закрытые!$K$5:$K$300,Закрытые!$E$5:$E$300,$B70,Закрытые!$B$5:$B$300,"T-*"))</f>
        <v/>
      </c>
      <c r="I70" s="246" t="str">
        <f>IF($B70="","",IF(COUNTIFS(Торговля!$E$5:$E$300,$B70)+COUNTIFS(Закрытые!$E$5:$E$300,$B70,Закрытые!$B$5:$B$300,"T-*")=0,"",ROUND(SUMIFS(Торговля!$L$5:$L$300,Торговля!$E$5:$E$300,$B70)+SUMIFS(Закрытые!$L$5:$L$300,Закрытые!$E$5:$E$300,$B70,Закрытые!$B$5:$B$300,"T-*"),8)))</f>
        <v/>
      </c>
      <c r="J70" s="247" t="str">
        <f>IF($B70="","",IF(COUNTIFS(Торговля!$E$5:$E$300,$B70)+COUNTIFS(Закрытые!$E$5:$E$300,$B70,Закрытые!$B$5:$B$300,"T-*")=0,"",ROUND(SUMIFS(Торговля!$M$5:$M$300,Торговля!$E$5:$E$300,$B70)+SUMIFS(Закрытые!$M$5:$M$300,Закрытые!$E$5:$E$300,$B70,Закрытые!$B$5:$B$300,"T-*"),8)))</f>
        <v/>
      </c>
      <c r="K70" s="246" t="str">
        <f>IF(MIN(N(C70),N(F70))&lt;=0,"",ROUND(MIN(N(C70),N(F70))*(N(G70)-N(D70)),8))</f>
        <v/>
      </c>
      <c r="L70" s="183" t="str">
        <f>IF(MIN(N(C70),N(F70))&lt;=0,"",IF(N(D70)=0,"",ROUND((N(G70)/N(D70)-1)*100,2)))</f>
        <v/>
      </c>
      <c r="M70" s="183" t="str">
        <f>IF(OR(ROUND(N(C70)-N(F70),8)=0,1-N(Ввод!$J$19)/100&lt;=0),"",IF(N(C70)&gt;N(F70),(N(E70)-N(H70))/((N(C70)-N(F70))*(1-N(Ввод!$J$19)/100)),(N(H70)-N(E70))/((N(F70)-N(C70))*(1+N(Ввод!$J$19)/100))))</f>
        <v/>
      </c>
    </row>
    <row r="71" ht="22" customHeight="1">
      <c r="B71" s="239" t="n"/>
      <c r="C71" s="240" t="str">
        <f>IF(SUMIFS(Торговля!$F$5:$F$300,Торговля!$E$5:$E$300,$B71)+SUMIFS(Закрытые!$F$5:$F$300,Закрытые!$E$5:$E$300,$B71,Закрытые!$B$5:$B$300,"T-*")=0,"",SUMIFS(Торговля!$F$5:$F$300,Торговля!$E$5:$E$300,$B71)+SUMIFS(Закрытые!$F$5:$F$300,Закрытые!$E$5:$E$300,$B71,Закрытые!$B$5:$B$300,"T-*"))</f>
        <v/>
      </c>
      <c r="D71" s="177" t="str">
        <f>IF(C71="","",(SUMPRODUCT((Торговля!$E$5:$E$300=$B71)*Торговля!$F$5:$F$300*Торговля!$G$5:$G$300)+SUMPRODUCT((Закрытые!$E$5:$E$300=$B71)*(LEFT(Закрытые!$B$5:$B$300,2)="T-")*Закрытые!$F$5:$F$300*Закрытые!$G$5:$G$300))/C71)</f>
        <v/>
      </c>
      <c r="E71" s="241" t="str">
        <f>IF(C71="","",SUMIFS(Торговля!$H$5:$H$300,Торговля!$E$5:$E$300,$B71)+SUMIFS(Закрытые!$H$5:$H$300,Закрытые!$E$5:$E$300,$B71,Закрытые!$B$5:$B$300,"T-*"))</f>
        <v/>
      </c>
      <c r="F71" s="240" t="str">
        <f>IF(SUMIFS(Торговля!$I$5:$I$300,Торговля!$E$5:$E$300,$B71)+SUMIFS(Закрытые!$I$5:$I$300,Закрытые!$E$5:$E$300,$B71,Закрытые!$B$5:$B$300,"T-*")=0,"",SUMIFS(Торговля!$I$5:$I$300,Торговля!$E$5:$E$300,$B71)+SUMIFS(Закрытые!$I$5:$I$300,Закрытые!$E$5:$E$300,$B71,Закрытые!$B$5:$B$300,"T-*"))</f>
        <v/>
      </c>
      <c r="G71" s="177" t="str">
        <f>IF(F71="","",(SUMPRODUCT((Торговля!$E$5:$E$300=$B71)*Торговля!$I$5:$I$300*Торговля!$J$5:$J$300)+SUMPRODUCT((Закрытые!$E$5:$E$300=$B71)*(LEFT(Закрытые!$B$5:$B$300,2)="T-")*Закрытые!$I$5:$I$300*Закрытые!$J$5:$J$300))/F71)</f>
        <v/>
      </c>
      <c r="H71" s="241" t="str">
        <f>IF(F71="","",SUMIFS(Торговля!$K$5:$K$300,Торговля!$E$5:$E$300,$B71)+SUMIFS(Закрытые!$K$5:$K$300,Закрытые!$E$5:$E$300,$B71,Закрытые!$B$5:$B$300,"T-*"))</f>
        <v/>
      </c>
      <c r="I71" s="240" t="str">
        <f>IF($B71="","",IF(COUNTIFS(Торговля!$E$5:$E$300,$B71)+COUNTIFS(Закрытые!$E$5:$E$300,$B71,Закрытые!$B$5:$B$300,"T-*")=0,"",ROUND(SUMIFS(Торговля!$L$5:$L$300,Торговля!$E$5:$E$300,$B71)+SUMIFS(Закрытые!$L$5:$L$300,Закрытые!$E$5:$E$300,$B71,Закрытые!$B$5:$B$300,"T-*"),8)))</f>
        <v/>
      </c>
      <c r="J71" s="241" t="str">
        <f>IF($B71="","",IF(COUNTIFS(Торговля!$E$5:$E$300,$B71)+COUNTIFS(Закрытые!$E$5:$E$300,$B71,Закрытые!$B$5:$B$300,"T-*")=0,"",ROUND(SUMIFS(Торговля!$M$5:$M$300,Торговля!$E$5:$E$300,$B71)+SUMIFS(Закрытые!$M$5:$M$300,Закрытые!$E$5:$E$300,$B71,Закрытые!$B$5:$B$300,"T-*"),8)))</f>
        <v/>
      </c>
      <c r="K71" s="240" t="str">
        <f>IF(MIN(N(C71),N(F71))&lt;=0,"",ROUND(MIN(N(C71),N(F71))*(N(G71)-N(D71)),8))</f>
        <v/>
      </c>
      <c r="L71" s="177" t="str">
        <f>IF(MIN(N(C71),N(F71))&lt;=0,"",IF(N(D71)=0,"",ROUND((N(G71)/N(D71)-1)*100,2)))</f>
        <v/>
      </c>
      <c r="M71" s="177" t="str">
        <f>IF(OR(ROUND(N(C71)-N(F71),8)=0,1-N(Ввод!$J$19)/100&lt;=0),"",IF(N(C71)&gt;N(F71),(N(E71)-N(H71))/((N(C71)-N(F71))*(1-N(Ввод!$J$19)/100)),(N(H71)-N(E71))/((N(F71)-N(C71))*(1+N(Ввод!$J$19)/100))))</f>
        <v/>
      </c>
    </row>
    <row r="72" ht="22" customHeight="1">
      <c r="B72" s="245" t="n"/>
      <c r="C72" s="246" t="str">
        <f>IF(SUMIFS(Торговля!$F$5:$F$300,Торговля!$E$5:$E$300,$B72)+SUMIFS(Закрытые!$F$5:$F$300,Закрытые!$E$5:$E$300,$B72,Закрытые!$B$5:$B$300,"T-*")=0,"",SUMIFS(Торговля!$F$5:$F$300,Торговля!$E$5:$E$300,$B72)+SUMIFS(Закрытые!$F$5:$F$300,Закрытые!$E$5:$E$300,$B72,Закрытые!$B$5:$B$300,"T-*"))</f>
        <v/>
      </c>
      <c r="D72" s="183" t="str">
        <f>IF(C72="","",(SUMPRODUCT((Торговля!$E$5:$E$300=$B72)*Торговля!$F$5:$F$300*Торговля!$G$5:$G$300)+SUMPRODUCT((Закрытые!$E$5:$E$300=$B72)*(LEFT(Закрытые!$B$5:$B$300,2)="T-")*Закрытые!$F$5:$F$300*Закрытые!$G$5:$G$300))/C72)</f>
        <v/>
      </c>
      <c r="E72" s="247" t="str">
        <f>IF(C72="","",SUMIFS(Торговля!$H$5:$H$300,Торговля!$E$5:$E$300,$B72)+SUMIFS(Закрытые!$H$5:$H$300,Закрытые!$E$5:$E$300,$B72,Закрытые!$B$5:$B$300,"T-*"))</f>
        <v/>
      </c>
      <c r="F72" s="246" t="str">
        <f>IF(SUMIFS(Торговля!$I$5:$I$300,Торговля!$E$5:$E$300,$B72)+SUMIFS(Закрытые!$I$5:$I$300,Закрытые!$E$5:$E$300,$B72,Закрытые!$B$5:$B$300,"T-*")=0,"",SUMIFS(Торговля!$I$5:$I$300,Торговля!$E$5:$E$300,$B72)+SUMIFS(Закрытые!$I$5:$I$300,Закрытые!$E$5:$E$300,$B72,Закрытые!$B$5:$B$300,"T-*"))</f>
        <v/>
      </c>
      <c r="G72" s="183" t="str">
        <f>IF(F72="","",(SUMPRODUCT((Торговля!$E$5:$E$300=$B72)*Торговля!$I$5:$I$300*Торговля!$J$5:$J$300)+SUMPRODUCT((Закрытые!$E$5:$E$300=$B72)*(LEFT(Закрытые!$B$5:$B$300,2)="T-")*Закрытые!$I$5:$I$300*Закрытые!$J$5:$J$300))/F72)</f>
        <v/>
      </c>
      <c r="H72" s="247" t="str">
        <f>IF(F72="","",SUMIFS(Торговля!$K$5:$K$300,Торговля!$E$5:$E$300,$B72)+SUMIFS(Закрытые!$K$5:$K$300,Закрытые!$E$5:$E$300,$B72,Закрытые!$B$5:$B$300,"T-*"))</f>
        <v/>
      </c>
      <c r="I72" s="246" t="str">
        <f>IF($B72="","",IF(COUNTIFS(Торговля!$E$5:$E$300,$B72)+COUNTIFS(Закрытые!$E$5:$E$300,$B72,Закрытые!$B$5:$B$300,"T-*")=0,"",ROUND(SUMIFS(Торговля!$L$5:$L$300,Торговля!$E$5:$E$300,$B72)+SUMIFS(Закрытые!$L$5:$L$300,Закрытые!$E$5:$E$300,$B72,Закрытые!$B$5:$B$300,"T-*"),8)))</f>
        <v/>
      </c>
      <c r="J72" s="247" t="str">
        <f>IF($B72="","",IF(COUNTIFS(Торговля!$E$5:$E$300,$B72)+COUNTIFS(Закрытые!$E$5:$E$300,$B72,Закрытые!$B$5:$B$300,"T-*")=0,"",ROUND(SUMIFS(Торговля!$M$5:$M$300,Торговля!$E$5:$E$300,$B72)+SUMIFS(Закрытые!$M$5:$M$300,Закрытые!$E$5:$E$300,$B72,Закрытые!$B$5:$B$300,"T-*"),8)))</f>
        <v/>
      </c>
      <c r="K72" s="246" t="str">
        <f>IF(MIN(N(C72),N(F72))&lt;=0,"",ROUND(MIN(N(C72),N(F72))*(N(G72)-N(D72)),8))</f>
        <v/>
      </c>
      <c r="L72" s="183" t="str">
        <f>IF(MIN(N(C72),N(F72))&lt;=0,"",IF(N(D72)=0,"",ROUND((N(G72)/N(D72)-1)*100,2)))</f>
        <v/>
      </c>
      <c r="M72" s="183" t="str">
        <f>IF(OR(ROUND(N(C72)-N(F72),8)=0,1-N(Ввод!$J$19)/100&lt;=0),"",IF(N(C72)&gt;N(F72),(N(E72)-N(H72))/((N(C72)-N(F72))*(1-N(Ввод!$J$19)/100)),(N(H72)-N(E72))/((N(F72)-N(C72))*(1+N(Ввод!$J$19)/100))))</f>
        <v/>
      </c>
    </row>
    <row r="73" ht="22" customHeight="1">
      <c r="B73" s="239" t="n"/>
      <c r="C73" s="240" t="str">
        <f>IF(SUMIFS(Торговля!$F$5:$F$300,Торговля!$E$5:$E$300,$B73)+SUMIFS(Закрытые!$F$5:$F$300,Закрытые!$E$5:$E$300,$B73,Закрытые!$B$5:$B$300,"T-*")=0,"",SUMIFS(Торговля!$F$5:$F$300,Торговля!$E$5:$E$300,$B73)+SUMIFS(Закрытые!$F$5:$F$300,Закрытые!$E$5:$E$300,$B73,Закрытые!$B$5:$B$300,"T-*"))</f>
        <v/>
      </c>
      <c r="D73" s="177" t="str">
        <f>IF(C73="","",(SUMPRODUCT((Торговля!$E$5:$E$300=$B73)*Торговля!$F$5:$F$300*Торговля!$G$5:$G$300)+SUMPRODUCT((Закрытые!$E$5:$E$300=$B73)*(LEFT(Закрытые!$B$5:$B$300,2)="T-")*Закрытые!$F$5:$F$300*Закрытые!$G$5:$G$300))/C73)</f>
        <v/>
      </c>
      <c r="E73" s="241" t="str">
        <f>IF(C73="","",SUMIFS(Торговля!$H$5:$H$300,Торговля!$E$5:$E$300,$B73)+SUMIFS(Закрытые!$H$5:$H$300,Закрытые!$E$5:$E$300,$B73,Закрытые!$B$5:$B$300,"T-*"))</f>
        <v/>
      </c>
      <c r="F73" s="240" t="str">
        <f>IF(SUMIFS(Торговля!$I$5:$I$300,Торговля!$E$5:$E$300,$B73)+SUMIFS(Закрытые!$I$5:$I$300,Закрытые!$E$5:$E$300,$B73,Закрытые!$B$5:$B$300,"T-*")=0,"",SUMIFS(Торговля!$I$5:$I$300,Торговля!$E$5:$E$300,$B73)+SUMIFS(Закрытые!$I$5:$I$300,Закрытые!$E$5:$E$300,$B73,Закрытые!$B$5:$B$300,"T-*"))</f>
        <v/>
      </c>
      <c r="G73" s="177" t="str">
        <f>IF(F73="","",(SUMPRODUCT((Торговля!$E$5:$E$300=$B73)*Торговля!$I$5:$I$300*Торговля!$J$5:$J$300)+SUMPRODUCT((Закрытые!$E$5:$E$300=$B73)*(LEFT(Закрытые!$B$5:$B$300,2)="T-")*Закрытые!$I$5:$I$300*Закрытые!$J$5:$J$300))/F73)</f>
        <v/>
      </c>
      <c r="H73" s="241" t="str">
        <f>IF(F73="","",SUMIFS(Торговля!$K$5:$K$300,Торговля!$E$5:$E$300,$B73)+SUMIFS(Закрытые!$K$5:$K$300,Закрытые!$E$5:$E$300,$B73,Закрытые!$B$5:$B$300,"T-*"))</f>
        <v/>
      </c>
      <c r="I73" s="240" t="str">
        <f>IF($B73="","",IF(COUNTIFS(Торговля!$E$5:$E$300,$B73)+COUNTIFS(Закрытые!$E$5:$E$300,$B73,Закрытые!$B$5:$B$300,"T-*")=0,"",ROUND(SUMIFS(Торговля!$L$5:$L$300,Торговля!$E$5:$E$300,$B73)+SUMIFS(Закрытые!$L$5:$L$300,Закрытые!$E$5:$E$300,$B73,Закрытые!$B$5:$B$300,"T-*"),8)))</f>
        <v/>
      </c>
      <c r="J73" s="241" t="str">
        <f>IF($B73="","",IF(COUNTIFS(Торговля!$E$5:$E$300,$B73)+COUNTIFS(Закрытые!$E$5:$E$300,$B73,Закрытые!$B$5:$B$300,"T-*")=0,"",ROUND(SUMIFS(Торговля!$M$5:$M$300,Торговля!$E$5:$E$300,$B73)+SUMIFS(Закрытые!$M$5:$M$300,Закрытые!$E$5:$E$300,$B73,Закрытые!$B$5:$B$300,"T-*"),8)))</f>
        <v/>
      </c>
      <c r="K73" s="240" t="str">
        <f>IF(MIN(N(C73),N(F73))&lt;=0,"",ROUND(MIN(N(C73),N(F73))*(N(G73)-N(D73)),8))</f>
        <v/>
      </c>
      <c r="L73" s="177" t="str">
        <f>IF(MIN(N(C73),N(F73))&lt;=0,"",IF(N(D73)=0,"",ROUND((N(G73)/N(D73)-1)*100,2)))</f>
        <v/>
      </c>
      <c r="M73" s="177" t="str">
        <f>IF(OR(ROUND(N(C73)-N(F73),8)=0,1-N(Ввод!$J$19)/100&lt;=0),"",IF(N(C73)&gt;N(F73),(N(E73)-N(H73))/((N(C73)-N(F73))*(1-N(Ввод!$J$19)/100)),(N(H73)-N(E73))/((N(F73)-N(C73))*(1+N(Ввод!$J$19)/100))))</f>
        <v/>
      </c>
    </row>
    <row r="74" ht="22" customHeight="1">
      <c r="B74" s="245" t="n"/>
      <c r="C74" s="246" t="str">
        <f>IF(SUMIFS(Торговля!$F$5:$F$300,Торговля!$E$5:$E$300,$B74)+SUMIFS(Закрытые!$F$5:$F$300,Закрытые!$E$5:$E$300,$B74,Закрытые!$B$5:$B$300,"T-*")=0,"",SUMIFS(Торговля!$F$5:$F$300,Торговля!$E$5:$E$300,$B74)+SUMIFS(Закрытые!$F$5:$F$300,Закрытые!$E$5:$E$300,$B74,Закрытые!$B$5:$B$300,"T-*"))</f>
        <v/>
      </c>
      <c r="D74" s="183" t="str">
        <f>IF(C74="","",(SUMPRODUCT((Торговля!$E$5:$E$300=$B74)*Торговля!$F$5:$F$300*Торговля!$G$5:$G$300)+SUMPRODUCT((Закрытые!$E$5:$E$300=$B74)*(LEFT(Закрытые!$B$5:$B$300,2)="T-")*Закрытые!$F$5:$F$300*Закрытые!$G$5:$G$300))/C74)</f>
        <v/>
      </c>
      <c r="E74" s="247" t="str">
        <f>IF(C74="","",SUMIFS(Торговля!$H$5:$H$300,Торговля!$E$5:$E$300,$B74)+SUMIFS(Закрытые!$H$5:$H$300,Закрытые!$E$5:$E$300,$B74,Закрытые!$B$5:$B$300,"T-*"))</f>
        <v/>
      </c>
      <c r="F74" s="246" t="str">
        <f>IF(SUMIFS(Торговля!$I$5:$I$300,Торговля!$E$5:$E$300,$B74)+SUMIFS(Закрытые!$I$5:$I$300,Закрытые!$E$5:$E$300,$B74,Закрытые!$B$5:$B$300,"T-*")=0,"",SUMIFS(Торговля!$I$5:$I$300,Торговля!$E$5:$E$300,$B74)+SUMIFS(Закрытые!$I$5:$I$300,Закрытые!$E$5:$E$300,$B74,Закрытые!$B$5:$B$300,"T-*"))</f>
        <v/>
      </c>
      <c r="G74" s="183" t="str">
        <f>IF(F74="","",(SUMPRODUCT((Торговля!$E$5:$E$300=$B74)*Торговля!$I$5:$I$300*Торговля!$J$5:$J$300)+SUMPRODUCT((Закрытые!$E$5:$E$300=$B74)*(LEFT(Закрытые!$B$5:$B$300,2)="T-")*Закрытые!$I$5:$I$300*Закрытые!$J$5:$J$300))/F74)</f>
        <v/>
      </c>
      <c r="H74" s="247" t="str">
        <f>IF(F74="","",SUMIFS(Торговля!$K$5:$K$300,Торговля!$E$5:$E$300,$B74)+SUMIFS(Закрытые!$K$5:$K$300,Закрытые!$E$5:$E$300,$B74,Закрытые!$B$5:$B$300,"T-*"))</f>
        <v/>
      </c>
      <c r="I74" s="246" t="str">
        <f>IF($B74="","",IF(COUNTIFS(Торговля!$E$5:$E$300,$B74)+COUNTIFS(Закрытые!$E$5:$E$300,$B74,Закрытые!$B$5:$B$300,"T-*")=0,"",ROUND(SUMIFS(Торговля!$L$5:$L$300,Торговля!$E$5:$E$300,$B74)+SUMIFS(Закрытые!$L$5:$L$300,Закрытые!$E$5:$E$300,$B74,Закрытые!$B$5:$B$300,"T-*"),8)))</f>
        <v/>
      </c>
      <c r="J74" s="247" t="str">
        <f>IF($B74="","",IF(COUNTIFS(Торговля!$E$5:$E$300,$B74)+COUNTIFS(Закрытые!$E$5:$E$300,$B74,Закрытые!$B$5:$B$300,"T-*")=0,"",ROUND(SUMIFS(Торговля!$M$5:$M$300,Торговля!$E$5:$E$300,$B74)+SUMIFS(Закрытые!$M$5:$M$300,Закрытые!$E$5:$E$300,$B74,Закрытые!$B$5:$B$300,"T-*"),8)))</f>
        <v/>
      </c>
      <c r="K74" s="246" t="str">
        <f>IF(MIN(N(C74),N(F74))&lt;=0,"",ROUND(MIN(N(C74),N(F74))*(N(G74)-N(D74)),8))</f>
        <v/>
      </c>
      <c r="L74" s="183" t="str">
        <f>IF(MIN(N(C74),N(F74))&lt;=0,"",IF(N(D74)=0,"",ROUND((N(G74)/N(D74)-1)*100,2)))</f>
        <v/>
      </c>
      <c r="M74" s="183" t="str">
        <f>IF(OR(ROUND(N(C74)-N(F74),8)=0,1-N(Ввод!$J$19)/100&lt;=0),"",IF(N(C74)&gt;N(F74),(N(E74)-N(H74))/((N(C74)-N(F74))*(1-N(Ввод!$J$19)/100)),(N(H74)-N(E74))/((N(F74)-N(C74))*(1+N(Ввод!$J$19)/100))))</f>
        <v/>
      </c>
    </row>
    <row r="75" ht="22" customHeight="1">
      <c r="B75" s="239" t="n"/>
      <c r="C75" s="240" t="str">
        <f>IF(SUMIFS(Торговля!$F$5:$F$300,Торговля!$E$5:$E$300,$B75)+SUMIFS(Закрытые!$F$5:$F$300,Закрытые!$E$5:$E$300,$B75,Закрытые!$B$5:$B$300,"T-*")=0,"",SUMIFS(Торговля!$F$5:$F$300,Торговля!$E$5:$E$300,$B75)+SUMIFS(Закрытые!$F$5:$F$300,Закрытые!$E$5:$E$300,$B75,Закрытые!$B$5:$B$300,"T-*"))</f>
        <v/>
      </c>
      <c r="D75" s="177" t="str">
        <f>IF(C75="","",(SUMPRODUCT((Торговля!$E$5:$E$300=$B75)*Торговля!$F$5:$F$300*Торговля!$G$5:$G$300)+SUMPRODUCT((Закрытые!$E$5:$E$300=$B75)*(LEFT(Закрытые!$B$5:$B$300,2)="T-")*Закрытые!$F$5:$F$300*Закрытые!$G$5:$G$300))/C75)</f>
        <v/>
      </c>
      <c r="E75" s="241" t="str">
        <f>IF(C75="","",SUMIFS(Торговля!$H$5:$H$300,Торговля!$E$5:$E$300,$B75)+SUMIFS(Закрытые!$H$5:$H$300,Закрытые!$E$5:$E$300,$B75,Закрытые!$B$5:$B$300,"T-*"))</f>
        <v/>
      </c>
      <c r="F75" s="240" t="str">
        <f>IF(SUMIFS(Торговля!$I$5:$I$300,Торговля!$E$5:$E$300,$B75)+SUMIFS(Закрытые!$I$5:$I$300,Закрытые!$E$5:$E$300,$B75,Закрытые!$B$5:$B$300,"T-*")=0,"",SUMIFS(Торговля!$I$5:$I$300,Торговля!$E$5:$E$300,$B75)+SUMIFS(Закрытые!$I$5:$I$300,Закрытые!$E$5:$E$300,$B75,Закрытые!$B$5:$B$300,"T-*"))</f>
        <v/>
      </c>
      <c r="G75" s="177" t="str">
        <f>IF(F75="","",(SUMPRODUCT((Торговля!$E$5:$E$300=$B75)*Торговля!$I$5:$I$300*Торговля!$J$5:$J$300)+SUMPRODUCT((Закрытые!$E$5:$E$300=$B75)*(LEFT(Закрытые!$B$5:$B$300,2)="T-")*Закрытые!$I$5:$I$300*Закрытые!$J$5:$J$300))/F75)</f>
        <v/>
      </c>
      <c r="H75" s="241" t="str">
        <f>IF(F75="","",SUMIFS(Торговля!$K$5:$K$300,Торговля!$E$5:$E$300,$B75)+SUMIFS(Закрытые!$K$5:$K$300,Закрытые!$E$5:$E$300,$B75,Закрытые!$B$5:$B$300,"T-*"))</f>
        <v/>
      </c>
      <c r="I75" s="240" t="str">
        <f>IF($B75="","",IF(COUNTIFS(Торговля!$E$5:$E$300,$B75)+COUNTIFS(Закрытые!$E$5:$E$300,$B75,Закрытые!$B$5:$B$300,"T-*")=0,"",ROUND(SUMIFS(Торговля!$L$5:$L$300,Торговля!$E$5:$E$300,$B75)+SUMIFS(Закрытые!$L$5:$L$300,Закрытые!$E$5:$E$300,$B75,Закрытые!$B$5:$B$300,"T-*"),8)))</f>
        <v/>
      </c>
      <c r="J75" s="241" t="str">
        <f>IF($B75="","",IF(COUNTIFS(Торговля!$E$5:$E$300,$B75)+COUNTIFS(Закрытые!$E$5:$E$300,$B75,Закрытые!$B$5:$B$300,"T-*")=0,"",ROUND(SUMIFS(Торговля!$M$5:$M$300,Торговля!$E$5:$E$300,$B75)+SUMIFS(Закрытые!$M$5:$M$300,Закрытые!$E$5:$E$300,$B75,Закрытые!$B$5:$B$300,"T-*"),8)))</f>
        <v/>
      </c>
      <c r="K75" s="240" t="str">
        <f>IF(MIN(N(C75),N(F75))&lt;=0,"",ROUND(MIN(N(C75),N(F75))*(N(G75)-N(D75)),8))</f>
        <v/>
      </c>
      <c r="L75" s="177" t="str">
        <f>IF(MIN(N(C75),N(F75))&lt;=0,"",IF(N(D75)=0,"",ROUND((N(G75)/N(D75)-1)*100,2)))</f>
        <v/>
      </c>
      <c r="M75" s="177" t="str">
        <f>IF(OR(ROUND(N(C75)-N(F75),8)=0,1-N(Ввод!$J$19)/100&lt;=0),"",IF(N(C75)&gt;N(F75),(N(E75)-N(H75))/((N(C75)-N(F75))*(1-N(Ввод!$J$19)/100)),(N(H75)-N(E75))/((N(F75)-N(C75))*(1+N(Ввод!$J$19)/100))))</f>
        <v/>
      </c>
    </row>
    <row r="76" ht="22" customHeight="1">
      <c r="B76" s="245" t="n"/>
      <c r="C76" s="246" t="str">
        <f>IF(SUMIFS(Торговля!$F$5:$F$300,Торговля!$E$5:$E$300,$B76)+SUMIFS(Закрытые!$F$5:$F$300,Закрытые!$E$5:$E$300,$B76,Закрытые!$B$5:$B$300,"T-*")=0,"",SUMIFS(Торговля!$F$5:$F$300,Торговля!$E$5:$E$300,$B76)+SUMIFS(Закрытые!$F$5:$F$300,Закрытые!$E$5:$E$300,$B76,Закрытые!$B$5:$B$300,"T-*"))</f>
        <v/>
      </c>
      <c r="D76" s="183" t="str">
        <f>IF(C76="","",(SUMPRODUCT((Торговля!$E$5:$E$300=$B76)*Торговля!$F$5:$F$300*Торговля!$G$5:$G$300)+SUMPRODUCT((Закрытые!$E$5:$E$300=$B76)*(LEFT(Закрытые!$B$5:$B$300,2)="T-")*Закрытые!$F$5:$F$300*Закрытые!$G$5:$G$300))/C76)</f>
        <v/>
      </c>
      <c r="E76" s="247" t="str">
        <f>IF(C76="","",SUMIFS(Торговля!$H$5:$H$300,Торговля!$E$5:$E$300,$B76)+SUMIFS(Закрытые!$H$5:$H$300,Закрытые!$E$5:$E$300,$B76,Закрытые!$B$5:$B$300,"T-*"))</f>
        <v/>
      </c>
      <c r="F76" s="246" t="str">
        <f>IF(SUMIFS(Торговля!$I$5:$I$300,Торговля!$E$5:$E$300,$B76)+SUMIFS(Закрытые!$I$5:$I$300,Закрытые!$E$5:$E$300,$B76,Закрытые!$B$5:$B$300,"T-*")=0,"",SUMIFS(Торговля!$I$5:$I$300,Торговля!$E$5:$E$300,$B76)+SUMIFS(Закрытые!$I$5:$I$300,Закрытые!$E$5:$E$300,$B76,Закрытые!$B$5:$B$300,"T-*"))</f>
        <v/>
      </c>
      <c r="G76" s="183" t="str">
        <f>IF(F76="","",(SUMPRODUCT((Торговля!$E$5:$E$300=$B76)*Торговля!$I$5:$I$300*Торговля!$J$5:$J$300)+SUMPRODUCT((Закрытые!$E$5:$E$300=$B76)*(LEFT(Закрытые!$B$5:$B$300,2)="T-")*Закрытые!$I$5:$I$300*Закрытые!$J$5:$J$300))/F76)</f>
        <v/>
      </c>
      <c r="H76" s="247" t="str">
        <f>IF(F76="","",SUMIFS(Торговля!$K$5:$K$300,Торговля!$E$5:$E$300,$B76)+SUMIFS(Закрытые!$K$5:$K$300,Закрытые!$E$5:$E$300,$B76,Закрытые!$B$5:$B$300,"T-*"))</f>
        <v/>
      </c>
      <c r="I76" s="246" t="str">
        <f>IF($B76="","",IF(COUNTIFS(Торговля!$E$5:$E$300,$B76)+COUNTIFS(Закрытые!$E$5:$E$300,$B76,Закрытые!$B$5:$B$300,"T-*")=0,"",ROUND(SUMIFS(Торговля!$L$5:$L$300,Торговля!$E$5:$E$300,$B76)+SUMIFS(Закрытые!$L$5:$L$300,Закрытые!$E$5:$E$300,$B76,Закрытые!$B$5:$B$300,"T-*"),8)))</f>
        <v/>
      </c>
      <c r="J76" s="247" t="str">
        <f>IF($B76="","",IF(COUNTIFS(Торговля!$E$5:$E$300,$B76)+COUNTIFS(Закрытые!$E$5:$E$300,$B76,Закрытые!$B$5:$B$300,"T-*")=0,"",ROUND(SUMIFS(Торговля!$M$5:$M$300,Торговля!$E$5:$E$300,$B76)+SUMIFS(Закрытые!$M$5:$M$300,Закрытые!$E$5:$E$300,$B76,Закрытые!$B$5:$B$300,"T-*"),8)))</f>
        <v/>
      </c>
      <c r="K76" s="246" t="str">
        <f>IF(MIN(N(C76),N(F76))&lt;=0,"",ROUND(MIN(N(C76),N(F76))*(N(G76)-N(D76)),8))</f>
        <v/>
      </c>
      <c r="L76" s="183" t="str">
        <f>IF(MIN(N(C76),N(F76))&lt;=0,"",IF(N(D76)=0,"",ROUND((N(G76)/N(D76)-1)*100,2)))</f>
        <v/>
      </c>
      <c r="M76" s="183" t="str">
        <f>IF(OR(ROUND(N(C76)-N(F76),8)=0,1-N(Ввод!$J$19)/100&lt;=0),"",IF(N(C76)&gt;N(F76),(N(E76)-N(H76))/((N(C76)-N(F76))*(1-N(Ввод!$J$19)/100)),(N(H76)-N(E76))/((N(F76)-N(C76))*(1+N(Ввод!$J$19)/100))))</f>
        <v/>
      </c>
    </row>
    <row r="77" ht="22" customHeight="1">
      <c r="B77" s="239" t="n"/>
      <c r="C77" s="240" t="str">
        <f>IF(SUMIFS(Торговля!$F$5:$F$300,Торговля!$E$5:$E$300,$B77)+SUMIFS(Закрытые!$F$5:$F$300,Закрытые!$E$5:$E$300,$B77,Закрытые!$B$5:$B$300,"T-*")=0,"",SUMIFS(Торговля!$F$5:$F$300,Торговля!$E$5:$E$300,$B77)+SUMIFS(Закрытые!$F$5:$F$300,Закрытые!$E$5:$E$300,$B77,Закрытые!$B$5:$B$300,"T-*"))</f>
        <v/>
      </c>
      <c r="D77" s="177" t="str">
        <f>IF(C77="","",(SUMPRODUCT((Торговля!$E$5:$E$300=$B77)*Торговля!$F$5:$F$300*Торговля!$G$5:$G$300)+SUMPRODUCT((Закрытые!$E$5:$E$300=$B77)*(LEFT(Закрытые!$B$5:$B$300,2)="T-")*Закрытые!$F$5:$F$300*Закрытые!$G$5:$G$300))/C77)</f>
        <v/>
      </c>
      <c r="E77" s="241" t="str">
        <f>IF(C77="","",SUMIFS(Торговля!$H$5:$H$300,Торговля!$E$5:$E$300,$B77)+SUMIFS(Закрытые!$H$5:$H$300,Закрытые!$E$5:$E$300,$B77,Закрытые!$B$5:$B$300,"T-*"))</f>
        <v/>
      </c>
      <c r="F77" s="240" t="str">
        <f>IF(SUMIFS(Торговля!$I$5:$I$300,Торговля!$E$5:$E$300,$B77)+SUMIFS(Закрытые!$I$5:$I$300,Закрытые!$E$5:$E$300,$B77,Закрытые!$B$5:$B$300,"T-*")=0,"",SUMIFS(Торговля!$I$5:$I$300,Торговля!$E$5:$E$300,$B77)+SUMIFS(Закрытые!$I$5:$I$300,Закрытые!$E$5:$E$300,$B77,Закрытые!$B$5:$B$300,"T-*"))</f>
        <v/>
      </c>
      <c r="G77" s="177" t="str">
        <f>IF(F77="","",(SUMPRODUCT((Торговля!$E$5:$E$300=$B77)*Торговля!$I$5:$I$300*Торговля!$J$5:$J$300)+SUMPRODUCT((Закрытые!$E$5:$E$300=$B77)*(LEFT(Закрытые!$B$5:$B$300,2)="T-")*Закрытые!$I$5:$I$300*Закрытые!$J$5:$J$300))/F77)</f>
        <v/>
      </c>
      <c r="H77" s="241" t="str">
        <f>IF(F77="","",SUMIFS(Торговля!$K$5:$K$300,Торговля!$E$5:$E$300,$B77)+SUMIFS(Закрытые!$K$5:$K$300,Закрытые!$E$5:$E$300,$B77,Закрытые!$B$5:$B$300,"T-*"))</f>
        <v/>
      </c>
      <c r="I77" s="240" t="str">
        <f>IF($B77="","",IF(COUNTIFS(Торговля!$E$5:$E$300,$B77)+COUNTIFS(Закрытые!$E$5:$E$300,$B77,Закрытые!$B$5:$B$300,"T-*")=0,"",ROUND(SUMIFS(Торговля!$L$5:$L$300,Торговля!$E$5:$E$300,$B77)+SUMIFS(Закрытые!$L$5:$L$300,Закрытые!$E$5:$E$300,$B77,Закрытые!$B$5:$B$300,"T-*"),8)))</f>
        <v/>
      </c>
      <c r="J77" s="241" t="str">
        <f>IF($B77="","",IF(COUNTIFS(Торговля!$E$5:$E$300,$B77)+COUNTIFS(Закрытые!$E$5:$E$300,$B77,Закрытые!$B$5:$B$300,"T-*")=0,"",ROUND(SUMIFS(Торговля!$M$5:$M$300,Торговля!$E$5:$E$300,$B77)+SUMIFS(Закрытые!$M$5:$M$300,Закрытые!$E$5:$E$300,$B77,Закрытые!$B$5:$B$300,"T-*"),8)))</f>
        <v/>
      </c>
      <c r="K77" s="240" t="str">
        <f>IF(MIN(N(C77),N(F77))&lt;=0,"",ROUND(MIN(N(C77),N(F77))*(N(G77)-N(D77)),8))</f>
        <v/>
      </c>
      <c r="L77" s="177" t="str">
        <f>IF(MIN(N(C77),N(F77))&lt;=0,"",IF(N(D77)=0,"",ROUND((N(G77)/N(D77)-1)*100,2)))</f>
        <v/>
      </c>
      <c r="M77" s="177" t="str">
        <f>IF(OR(ROUND(N(C77)-N(F77),8)=0,1-N(Ввод!$J$19)/100&lt;=0),"",IF(N(C77)&gt;N(F77),(N(E77)-N(H77))/((N(C77)-N(F77))*(1-N(Ввод!$J$19)/100)),(N(H77)-N(E77))/((N(F77)-N(C77))*(1+N(Ввод!$J$19)/100))))</f>
        <v/>
      </c>
    </row>
    <row r="78" ht="22" customHeight="1">
      <c r="B78" s="245" t="n"/>
      <c r="C78" s="246" t="str">
        <f>IF(SUMIFS(Торговля!$F$5:$F$300,Торговля!$E$5:$E$300,$B78)+SUMIFS(Закрытые!$F$5:$F$300,Закрытые!$E$5:$E$300,$B78,Закрытые!$B$5:$B$300,"T-*")=0,"",SUMIFS(Торговля!$F$5:$F$300,Торговля!$E$5:$E$300,$B78)+SUMIFS(Закрытые!$F$5:$F$300,Закрытые!$E$5:$E$300,$B78,Закрытые!$B$5:$B$300,"T-*"))</f>
        <v/>
      </c>
      <c r="D78" s="183" t="str">
        <f>IF(C78="","",(SUMPRODUCT((Торговля!$E$5:$E$300=$B78)*Торговля!$F$5:$F$300*Торговля!$G$5:$G$300)+SUMPRODUCT((Закрытые!$E$5:$E$300=$B78)*(LEFT(Закрытые!$B$5:$B$300,2)="T-")*Закрытые!$F$5:$F$300*Закрытые!$G$5:$G$300))/C78)</f>
        <v/>
      </c>
      <c r="E78" s="247" t="str">
        <f>IF(C78="","",SUMIFS(Торговля!$H$5:$H$300,Торговля!$E$5:$E$300,$B78)+SUMIFS(Закрытые!$H$5:$H$300,Закрытые!$E$5:$E$300,$B78,Закрытые!$B$5:$B$300,"T-*"))</f>
        <v/>
      </c>
      <c r="F78" s="246" t="str">
        <f>IF(SUMIFS(Торговля!$I$5:$I$300,Торговля!$E$5:$E$300,$B78)+SUMIFS(Закрытые!$I$5:$I$300,Закрытые!$E$5:$E$300,$B78,Закрытые!$B$5:$B$300,"T-*")=0,"",SUMIFS(Торговля!$I$5:$I$300,Торговля!$E$5:$E$300,$B78)+SUMIFS(Закрытые!$I$5:$I$300,Закрытые!$E$5:$E$300,$B78,Закрытые!$B$5:$B$300,"T-*"))</f>
        <v/>
      </c>
      <c r="G78" s="183" t="str">
        <f>IF(F78="","",(SUMPRODUCT((Торговля!$E$5:$E$300=$B78)*Торговля!$I$5:$I$300*Торговля!$J$5:$J$300)+SUMPRODUCT((Закрытые!$E$5:$E$300=$B78)*(LEFT(Закрытые!$B$5:$B$300,2)="T-")*Закрытые!$I$5:$I$300*Закрытые!$J$5:$J$300))/F78)</f>
        <v/>
      </c>
      <c r="H78" s="247" t="str">
        <f>IF(F78="","",SUMIFS(Торговля!$K$5:$K$300,Торговля!$E$5:$E$300,$B78)+SUMIFS(Закрытые!$K$5:$K$300,Закрытые!$E$5:$E$300,$B78,Закрытые!$B$5:$B$300,"T-*"))</f>
        <v/>
      </c>
      <c r="I78" s="246" t="str">
        <f>IF($B78="","",IF(COUNTIFS(Торговля!$E$5:$E$300,$B78)+COUNTIFS(Закрытые!$E$5:$E$300,$B78,Закрытые!$B$5:$B$300,"T-*")=0,"",ROUND(SUMIFS(Торговля!$L$5:$L$300,Торговля!$E$5:$E$300,$B78)+SUMIFS(Закрытые!$L$5:$L$300,Закрытые!$E$5:$E$300,$B78,Закрытые!$B$5:$B$300,"T-*"),8)))</f>
        <v/>
      </c>
      <c r="J78" s="247" t="str">
        <f>IF($B78="","",IF(COUNTIFS(Торговля!$E$5:$E$300,$B78)+COUNTIFS(Закрытые!$E$5:$E$300,$B78,Закрытые!$B$5:$B$300,"T-*")=0,"",ROUND(SUMIFS(Торговля!$M$5:$M$300,Торговля!$E$5:$E$300,$B78)+SUMIFS(Закрытые!$M$5:$M$300,Закрытые!$E$5:$E$300,$B78,Закрытые!$B$5:$B$300,"T-*"),8)))</f>
        <v/>
      </c>
      <c r="K78" s="246" t="str">
        <f>IF(MIN(N(C78),N(F78))&lt;=0,"",ROUND(MIN(N(C78),N(F78))*(N(G78)-N(D78)),8))</f>
        <v/>
      </c>
      <c r="L78" s="183" t="str">
        <f>IF(MIN(N(C78),N(F78))&lt;=0,"",IF(N(D78)=0,"",ROUND((N(G78)/N(D78)-1)*100,2)))</f>
        <v/>
      </c>
      <c r="M78" s="183" t="str">
        <f>IF(OR(ROUND(N(C78)-N(F78),8)=0,1-N(Ввод!$J$19)/100&lt;=0),"",IF(N(C78)&gt;N(F78),(N(E78)-N(H78))/((N(C78)-N(F78))*(1-N(Ввод!$J$19)/100)),(N(H78)-N(E78))/((N(F78)-N(C78))*(1+N(Ввод!$J$19)/100))))</f>
        <v/>
      </c>
    </row>
    <row r="79" ht="22" customHeight="1">
      <c r="B79" s="239" t="n"/>
      <c r="C79" s="240" t="str">
        <f>IF(SUMIFS(Торговля!$F$5:$F$300,Торговля!$E$5:$E$300,$B79)+SUMIFS(Закрытые!$F$5:$F$300,Закрытые!$E$5:$E$300,$B79,Закрытые!$B$5:$B$300,"T-*")=0,"",SUMIFS(Торговля!$F$5:$F$300,Торговля!$E$5:$E$300,$B79)+SUMIFS(Закрытые!$F$5:$F$300,Закрытые!$E$5:$E$300,$B79,Закрытые!$B$5:$B$300,"T-*"))</f>
        <v/>
      </c>
      <c r="D79" s="177" t="str">
        <f>IF(C79="","",(SUMPRODUCT((Торговля!$E$5:$E$300=$B79)*Торговля!$F$5:$F$300*Торговля!$G$5:$G$300)+SUMPRODUCT((Закрытые!$E$5:$E$300=$B79)*(LEFT(Закрытые!$B$5:$B$300,2)="T-")*Закрытые!$F$5:$F$300*Закрытые!$G$5:$G$300))/C79)</f>
        <v/>
      </c>
      <c r="E79" s="241" t="str">
        <f>IF(C79="","",SUMIFS(Торговля!$H$5:$H$300,Торговля!$E$5:$E$300,$B79)+SUMIFS(Закрытые!$H$5:$H$300,Закрытые!$E$5:$E$300,$B79,Закрытые!$B$5:$B$300,"T-*"))</f>
        <v/>
      </c>
      <c r="F79" s="240" t="str">
        <f>IF(SUMIFS(Торговля!$I$5:$I$300,Торговля!$E$5:$E$300,$B79)+SUMIFS(Закрытые!$I$5:$I$300,Закрытые!$E$5:$E$300,$B79,Закрытые!$B$5:$B$300,"T-*")=0,"",SUMIFS(Торговля!$I$5:$I$300,Торговля!$E$5:$E$300,$B79)+SUMIFS(Закрытые!$I$5:$I$300,Закрытые!$E$5:$E$300,$B79,Закрытые!$B$5:$B$300,"T-*"))</f>
        <v/>
      </c>
      <c r="G79" s="177" t="str">
        <f>IF(F79="","",(SUMPRODUCT((Торговля!$E$5:$E$300=$B79)*Торговля!$I$5:$I$300*Торговля!$J$5:$J$300)+SUMPRODUCT((Закрытые!$E$5:$E$300=$B79)*(LEFT(Закрытые!$B$5:$B$300,2)="T-")*Закрытые!$I$5:$I$300*Закрытые!$J$5:$J$300))/F79)</f>
        <v/>
      </c>
      <c r="H79" s="241" t="str">
        <f>IF(F79="","",SUMIFS(Торговля!$K$5:$K$300,Торговля!$E$5:$E$300,$B79)+SUMIFS(Закрытые!$K$5:$K$300,Закрытые!$E$5:$E$300,$B79,Закрытые!$B$5:$B$300,"T-*"))</f>
        <v/>
      </c>
      <c r="I79" s="240" t="str">
        <f>IF($B79="","",IF(COUNTIFS(Торговля!$E$5:$E$300,$B79)+COUNTIFS(Закрытые!$E$5:$E$300,$B79,Закрытые!$B$5:$B$300,"T-*")=0,"",ROUND(SUMIFS(Торговля!$L$5:$L$300,Торговля!$E$5:$E$300,$B79)+SUMIFS(Закрытые!$L$5:$L$300,Закрытые!$E$5:$E$300,$B79,Закрытые!$B$5:$B$300,"T-*"),8)))</f>
        <v/>
      </c>
      <c r="J79" s="241" t="str">
        <f>IF($B79="","",IF(COUNTIFS(Торговля!$E$5:$E$300,$B79)+COUNTIFS(Закрытые!$E$5:$E$300,$B79,Закрытые!$B$5:$B$300,"T-*")=0,"",ROUND(SUMIFS(Торговля!$M$5:$M$300,Торговля!$E$5:$E$300,$B79)+SUMIFS(Закрытые!$M$5:$M$300,Закрытые!$E$5:$E$300,$B79,Закрытые!$B$5:$B$300,"T-*"),8)))</f>
        <v/>
      </c>
      <c r="K79" s="240" t="str">
        <f>IF(MIN(N(C79),N(F79))&lt;=0,"",ROUND(MIN(N(C79),N(F79))*(N(G79)-N(D79)),8))</f>
        <v/>
      </c>
      <c r="L79" s="177" t="str">
        <f>IF(MIN(N(C79),N(F79))&lt;=0,"",IF(N(D79)=0,"",ROUND((N(G79)/N(D79)-1)*100,2)))</f>
        <v/>
      </c>
      <c r="M79" s="177" t="str">
        <f>IF(OR(ROUND(N(C79)-N(F79),8)=0,1-N(Ввод!$J$19)/100&lt;=0),"",IF(N(C79)&gt;N(F79),(N(E79)-N(H79))/((N(C79)-N(F79))*(1-N(Ввод!$J$19)/100)),(N(H79)-N(E79))/((N(F79)-N(C79))*(1+N(Ввод!$J$19)/100))))</f>
        <v/>
      </c>
    </row>
    <row r="80" ht="22" customHeight="1">
      <c r="B80" s="245" t="n"/>
      <c r="C80" s="246" t="str">
        <f>IF(SUMIFS(Торговля!$F$5:$F$300,Торговля!$E$5:$E$300,$B80)+SUMIFS(Закрытые!$F$5:$F$300,Закрытые!$E$5:$E$300,$B80,Закрытые!$B$5:$B$300,"T-*")=0,"",SUMIFS(Торговля!$F$5:$F$300,Торговля!$E$5:$E$300,$B80)+SUMIFS(Закрытые!$F$5:$F$300,Закрытые!$E$5:$E$300,$B80,Закрытые!$B$5:$B$300,"T-*"))</f>
        <v/>
      </c>
      <c r="D80" s="183" t="str">
        <f>IF(C80="","",(SUMPRODUCT((Торговля!$E$5:$E$300=$B80)*Торговля!$F$5:$F$300*Торговля!$G$5:$G$300)+SUMPRODUCT((Закрытые!$E$5:$E$300=$B80)*(LEFT(Закрытые!$B$5:$B$300,2)="T-")*Закрытые!$F$5:$F$300*Закрытые!$G$5:$G$300))/C80)</f>
        <v/>
      </c>
      <c r="E80" s="247" t="str">
        <f>IF(C80="","",SUMIFS(Торговля!$H$5:$H$300,Торговля!$E$5:$E$300,$B80)+SUMIFS(Закрытые!$H$5:$H$300,Закрытые!$E$5:$E$300,$B80,Закрытые!$B$5:$B$300,"T-*"))</f>
        <v/>
      </c>
      <c r="F80" s="246" t="str">
        <f>IF(SUMIFS(Торговля!$I$5:$I$300,Торговля!$E$5:$E$300,$B80)+SUMIFS(Закрытые!$I$5:$I$300,Закрытые!$E$5:$E$300,$B80,Закрытые!$B$5:$B$300,"T-*")=0,"",SUMIFS(Торговля!$I$5:$I$300,Торговля!$E$5:$E$300,$B80)+SUMIFS(Закрытые!$I$5:$I$300,Закрытые!$E$5:$E$300,$B80,Закрытые!$B$5:$B$300,"T-*"))</f>
        <v/>
      </c>
      <c r="G80" s="183" t="str">
        <f>IF(F80="","",(SUMPRODUCT((Торговля!$E$5:$E$300=$B80)*Торговля!$I$5:$I$300*Торговля!$J$5:$J$300)+SUMPRODUCT((Закрытые!$E$5:$E$300=$B80)*(LEFT(Закрытые!$B$5:$B$300,2)="T-")*Закрытые!$I$5:$I$300*Закрытые!$J$5:$J$300))/F80)</f>
        <v/>
      </c>
      <c r="H80" s="247" t="str">
        <f>IF(F80="","",SUMIFS(Торговля!$K$5:$K$300,Торговля!$E$5:$E$300,$B80)+SUMIFS(Закрытые!$K$5:$K$300,Закрытые!$E$5:$E$300,$B80,Закрытые!$B$5:$B$300,"T-*"))</f>
        <v/>
      </c>
      <c r="I80" s="246" t="str">
        <f>IF($B80="","",IF(COUNTIFS(Торговля!$E$5:$E$300,$B80)+COUNTIFS(Закрытые!$E$5:$E$300,$B80,Закрытые!$B$5:$B$300,"T-*")=0,"",ROUND(SUMIFS(Торговля!$L$5:$L$300,Торговля!$E$5:$E$300,$B80)+SUMIFS(Закрытые!$L$5:$L$300,Закрытые!$E$5:$E$300,$B80,Закрытые!$B$5:$B$300,"T-*"),8)))</f>
        <v/>
      </c>
      <c r="J80" s="247" t="str">
        <f>IF($B80="","",IF(COUNTIFS(Торговля!$E$5:$E$300,$B80)+COUNTIFS(Закрытые!$E$5:$E$300,$B80,Закрытые!$B$5:$B$300,"T-*")=0,"",ROUND(SUMIFS(Торговля!$M$5:$M$300,Торговля!$E$5:$E$300,$B80)+SUMIFS(Закрытые!$M$5:$M$300,Закрытые!$E$5:$E$300,$B80,Закрытые!$B$5:$B$300,"T-*"),8)))</f>
        <v/>
      </c>
      <c r="K80" s="246" t="str">
        <f>IF(MIN(N(C80),N(F80))&lt;=0,"",ROUND(MIN(N(C80),N(F80))*(N(G80)-N(D80)),8))</f>
        <v/>
      </c>
      <c r="L80" s="183" t="str">
        <f>IF(MIN(N(C80),N(F80))&lt;=0,"",IF(N(D80)=0,"",ROUND((N(G80)/N(D80)-1)*100,2)))</f>
        <v/>
      </c>
      <c r="M80" s="183" t="str">
        <f>IF(OR(ROUND(N(C80)-N(F80),8)=0,1-N(Ввод!$J$19)/100&lt;=0),"",IF(N(C80)&gt;N(F80),(N(E80)-N(H80))/((N(C80)-N(F80))*(1-N(Ввод!$J$19)/100)),(N(H80)-N(E80))/((N(F80)-N(C80))*(1+N(Ввод!$J$19)/100))))</f>
        <v/>
      </c>
    </row>
    <row r="81" ht="22" customHeight="1">
      <c r="B81" s="239" t="n"/>
      <c r="C81" s="240" t="str">
        <f>IF(SUMIFS(Торговля!$F$5:$F$300,Торговля!$E$5:$E$300,$B81)+SUMIFS(Закрытые!$F$5:$F$300,Закрытые!$E$5:$E$300,$B81,Закрытые!$B$5:$B$300,"T-*")=0,"",SUMIFS(Торговля!$F$5:$F$300,Торговля!$E$5:$E$300,$B81)+SUMIFS(Закрытые!$F$5:$F$300,Закрытые!$E$5:$E$300,$B81,Закрытые!$B$5:$B$300,"T-*"))</f>
        <v/>
      </c>
      <c r="D81" s="177" t="str">
        <f>IF(C81="","",(SUMPRODUCT((Торговля!$E$5:$E$300=$B81)*Торговля!$F$5:$F$300*Торговля!$G$5:$G$300)+SUMPRODUCT((Закрытые!$E$5:$E$300=$B81)*(LEFT(Закрытые!$B$5:$B$300,2)="T-")*Закрытые!$F$5:$F$300*Закрытые!$G$5:$G$300))/C81)</f>
        <v/>
      </c>
      <c r="E81" s="241" t="str">
        <f>IF(C81="","",SUMIFS(Торговля!$H$5:$H$300,Торговля!$E$5:$E$300,$B81)+SUMIFS(Закрытые!$H$5:$H$300,Закрытые!$E$5:$E$300,$B81,Закрытые!$B$5:$B$300,"T-*"))</f>
        <v/>
      </c>
      <c r="F81" s="240" t="str">
        <f>IF(SUMIFS(Торговля!$I$5:$I$300,Торговля!$E$5:$E$300,$B81)+SUMIFS(Закрытые!$I$5:$I$300,Закрытые!$E$5:$E$300,$B81,Закрытые!$B$5:$B$300,"T-*")=0,"",SUMIFS(Торговля!$I$5:$I$300,Торговля!$E$5:$E$300,$B81)+SUMIFS(Закрытые!$I$5:$I$300,Закрытые!$E$5:$E$300,$B81,Закрытые!$B$5:$B$300,"T-*"))</f>
        <v/>
      </c>
      <c r="G81" s="177" t="str">
        <f>IF(F81="","",(SUMPRODUCT((Торговля!$E$5:$E$300=$B81)*Торговля!$I$5:$I$300*Торговля!$J$5:$J$300)+SUMPRODUCT((Закрытые!$E$5:$E$300=$B81)*(LEFT(Закрытые!$B$5:$B$300,2)="T-")*Закрытые!$I$5:$I$300*Закрытые!$J$5:$J$300))/F81)</f>
        <v/>
      </c>
      <c r="H81" s="241" t="str">
        <f>IF(F81="","",SUMIFS(Торговля!$K$5:$K$300,Торговля!$E$5:$E$300,$B81)+SUMIFS(Закрытые!$K$5:$K$300,Закрытые!$E$5:$E$300,$B81,Закрытые!$B$5:$B$300,"T-*"))</f>
        <v/>
      </c>
      <c r="I81" s="240" t="str">
        <f>IF($B81="","",IF(COUNTIFS(Торговля!$E$5:$E$300,$B81)+COUNTIFS(Закрытые!$E$5:$E$300,$B81,Закрытые!$B$5:$B$300,"T-*")=0,"",ROUND(SUMIFS(Торговля!$L$5:$L$300,Торговля!$E$5:$E$300,$B81)+SUMIFS(Закрытые!$L$5:$L$300,Закрытые!$E$5:$E$300,$B81,Закрытые!$B$5:$B$300,"T-*"),8)))</f>
        <v/>
      </c>
      <c r="J81" s="241" t="str">
        <f>IF($B81="","",IF(COUNTIFS(Торговля!$E$5:$E$300,$B81)+COUNTIFS(Закрытые!$E$5:$E$300,$B81,Закрытые!$B$5:$B$300,"T-*")=0,"",ROUND(SUMIFS(Торговля!$M$5:$M$300,Торговля!$E$5:$E$300,$B81)+SUMIFS(Закрытые!$M$5:$M$300,Закрытые!$E$5:$E$300,$B81,Закрытые!$B$5:$B$300,"T-*"),8)))</f>
        <v/>
      </c>
      <c r="K81" s="240" t="str">
        <f>IF(MIN(N(C81),N(F81))&lt;=0,"",ROUND(MIN(N(C81),N(F81))*(N(G81)-N(D81)),8))</f>
        <v/>
      </c>
      <c r="L81" s="177" t="str">
        <f>IF(MIN(N(C81),N(F81))&lt;=0,"",IF(N(D81)=0,"",ROUND((N(G81)/N(D81)-1)*100,2)))</f>
        <v/>
      </c>
      <c r="M81" s="177" t="str">
        <f>IF(OR(ROUND(N(C81)-N(F81),8)=0,1-N(Ввод!$J$19)/100&lt;=0),"",IF(N(C81)&gt;N(F81),(N(E81)-N(H81))/((N(C81)-N(F81))*(1-N(Ввод!$J$19)/100)),(N(H81)-N(E81))/((N(F81)-N(C81))*(1+N(Ввод!$J$19)/100))))</f>
        <v/>
      </c>
    </row>
    <row r="82" ht="22" customHeight="1">
      <c r="B82" s="245" t="n"/>
      <c r="C82" s="246" t="str">
        <f>IF(SUMIFS(Торговля!$F$5:$F$300,Торговля!$E$5:$E$300,$B82)+SUMIFS(Закрытые!$F$5:$F$300,Закрытые!$E$5:$E$300,$B82,Закрытые!$B$5:$B$300,"T-*")=0,"",SUMIFS(Торговля!$F$5:$F$300,Торговля!$E$5:$E$300,$B82)+SUMIFS(Закрытые!$F$5:$F$300,Закрытые!$E$5:$E$300,$B82,Закрытые!$B$5:$B$300,"T-*"))</f>
        <v/>
      </c>
      <c r="D82" s="183" t="str">
        <f>IF(C82="","",(SUMPRODUCT((Торговля!$E$5:$E$300=$B82)*Торговля!$F$5:$F$300*Торговля!$G$5:$G$300)+SUMPRODUCT((Закрытые!$E$5:$E$300=$B82)*(LEFT(Закрытые!$B$5:$B$300,2)="T-")*Закрытые!$F$5:$F$300*Закрытые!$G$5:$G$300))/C82)</f>
        <v/>
      </c>
      <c r="E82" s="247" t="str">
        <f>IF(C82="","",SUMIFS(Торговля!$H$5:$H$300,Торговля!$E$5:$E$300,$B82)+SUMIFS(Закрытые!$H$5:$H$300,Закрытые!$E$5:$E$300,$B82,Закрытые!$B$5:$B$300,"T-*"))</f>
        <v/>
      </c>
      <c r="F82" s="246" t="str">
        <f>IF(SUMIFS(Торговля!$I$5:$I$300,Торговля!$E$5:$E$300,$B82)+SUMIFS(Закрытые!$I$5:$I$300,Закрытые!$E$5:$E$300,$B82,Закрытые!$B$5:$B$300,"T-*")=0,"",SUMIFS(Торговля!$I$5:$I$300,Торговля!$E$5:$E$300,$B82)+SUMIFS(Закрытые!$I$5:$I$300,Закрытые!$E$5:$E$300,$B82,Закрытые!$B$5:$B$300,"T-*"))</f>
        <v/>
      </c>
      <c r="G82" s="183" t="str">
        <f>IF(F82="","",(SUMPRODUCT((Торговля!$E$5:$E$300=$B82)*Торговля!$I$5:$I$300*Торговля!$J$5:$J$300)+SUMPRODUCT((Закрытые!$E$5:$E$300=$B82)*(LEFT(Закрытые!$B$5:$B$300,2)="T-")*Закрытые!$I$5:$I$300*Закрытые!$J$5:$J$300))/F82)</f>
        <v/>
      </c>
      <c r="H82" s="247" t="str">
        <f>IF(F82="","",SUMIFS(Торговля!$K$5:$K$300,Торговля!$E$5:$E$300,$B82)+SUMIFS(Закрытые!$K$5:$K$300,Закрытые!$E$5:$E$300,$B82,Закрытые!$B$5:$B$300,"T-*"))</f>
        <v/>
      </c>
      <c r="I82" s="246" t="str">
        <f>IF($B82="","",IF(COUNTIFS(Торговля!$E$5:$E$300,$B82)+COUNTIFS(Закрытые!$E$5:$E$300,$B82,Закрытые!$B$5:$B$300,"T-*")=0,"",ROUND(SUMIFS(Торговля!$L$5:$L$300,Торговля!$E$5:$E$300,$B82)+SUMIFS(Закрытые!$L$5:$L$300,Закрытые!$E$5:$E$300,$B82,Закрытые!$B$5:$B$300,"T-*"),8)))</f>
        <v/>
      </c>
      <c r="J82" s="247" t="str">
        <f>IF($B82="","",IF(COUNTIFS(Торговля!$E$5:$E$300,$B82)+COUNTIFS(Закрытые!$E$5:$E$300,$B82,Закрытые!$B$5:$B$300,"T-*")=0,"",ROUND(SUMIFS(Торговля!$M$5:$M$300,Торговля!$E$5:$E$300,$B82)+SUMIFS(Закрытые!$M$5:$M$300,Закрытые!$E$5:$E$300,$B82,Закрытые!$B$5:$B$300,"T-*"),8)))</f>
        <v/>
      </c>
      <c r="K82" s="246" t="str">
        <f>IF(MIN(N(C82),N(F82))&lt;=0,"",ROUND(MIN(N(C82),N(F82))*(N(G82)-N(D82)),8))</f>
        <v/>
      </c>
      <c r="L82" s="183" t="str">
        <f>IF(MIN(N(C82),N(F82))&lt;=0,"",IF(N(D82)=0,"",ROUND((N(G82)/N(D82)-1)*100,2)))</f>
        <v/>
      </c>
      <c r="M82" s="183" t="str">
        <f>IF(OR(ROUND(N(C82)-N(F82),8)=0,1-N(Ввод!$J$19)/100&lt;=0),"",IF(N(C82)&gt;N(F82),(N(E82)-N(H82))/((N(C82)-N(F82))*(1-N(Ввод!$J$19)/100)),(N(H82)-N(E82))/((N(F82)-N(C82))*(1+N(Ввод!$J$19)/100))))</f>
        <v/>
      </c>
    </row>
    <row r="83" ht="22" customHeight="1">
      <c r="B83" s="239" t="n"/>
      <c r="C83" s="240" t="str">
        <f>IF(SUMIFS(Торговля!$F$5:$F$300,Торговля!$E$5:$E$300,$B83)+SUMIFS(Закрытые!$F$5:$F$300,Закрытые!$E$5:$E$300,$B83,Закрытые!$B$5:$B$300,"T-*")=0,"",SUMIFS(Торговля!$F$5:$F$300,Торговля!$E$5:$E$300,$B83)+SUMIFS(Закрытые!$F$5:$F$300,Закрытые!$E$5:$E$300,$B83,Закрытые!$B$5:$B$300,"T-*"))</f>
        <v/>
      </c>
      <c r="D83" s="177" t="str">
        <f>IF(C83="","",(SUMPRODUCT((Торговля!$E$5:$E$300=$B83)*Торговля!$F$5:$F$300*Торговля!$G$5:$G$300)+SUMPRODUCT((Закрытые!$E$5:$E$300=$B83)*(LEFT(Закрытые!$B$5:$B$300,2)="T-")*Закрытые!$F$5:$F$300*Закрытые!$G$5:$G$300))/C83)</f>
        <v/>
      </c>
      <c r="E83" s="241" t="str">
        <f>IF(C83="","",SUMIFS(Торговля!$H$5:$H$300,Торговля!$E$5:$E$300,$B83)+SUMIFS(Закрытые!$H$5:$H$300,Закрытые!$E$5:$E$300,$B83,Закрытые!$B$5:$B$300,"T-*"))</f>
        <v/>
      </c>
      <c r="F83" s="240" t="str">
        <f>IF(SUMIFS(Торговля!$I$5:$I$300,Торговля!$E$5:$E$300,$B83)+SUMIFS(Закрытые!$I$5:$I$300,Закрытые!$E$5:$E$300,$B83,Закрытые!$B$5:$B$300,"T-*")=0,"",SUMIFS(Торговля!$I$5:$I$300,Торговля!$E$5:$E$300,$B83)+SUMIFS(Закрытые!$I$5:$I$300,Закрытые!$E$5:$E$300,$B83,Закрытые!$B$5:$B$300,"T-*"))</f>
        <v/>
      </c>
      <c r="G83" s="177" t="str">
        <f>IF(F83="","",(SUMPRODUCT((Торговля!$E$5:$E$300=$B83)*Торговля!$I$5:$I$300*Торговля!$J$5:$J$300)+SUMPRODUCT((Закрытые!$E$5:$E$300=$B83)*(LEFT(Закрытые!$B$5:$B$300,2)="T-")*Закрытые!$I$5:$I$300*Закрытые!$J$5:$J$300))/F83)</f>
        <v/>
      </c>
      <c r="H83" s="241" t="str">
        <f>IF(F83="","",SUMIFS(Торговля!$K$5:$K$300,Торговля!$E$5:$E$300,$B83)+SUMIFS(Закрытые!$K$5:$K$300,Закрытые!$E$5:$E$300,$B83,Закрытые!$B$5:$B$300,"T-*"))</f>
        <v/>
      </c>
      <c r="I83" s="240" t="str">
        <f>IF($B83="","",IF(COUNTIFS(Торговля!$E$5:$E$300,$B83)+COUNTIFS(Закрытые!$E$5:$E$300,$B83,Закрытые!$B$5:$B$300,"T-*")=0,"",ROUND(SUMIFS(Торговля!$L$5:$L$300,Торговля!$E$5:$E$300,$B83)+SUMIFS(Закрытые!$L$5:$L$300,Закрытые!$E$5:$E$300,$B83,Закрытые!$B$5:$B$300,"T-*"),8)))</f>
        <v/>
      </c>
      <c r="J83" s="241" t="str">
        <f>IF($B83="","",IF(COUNTIFS(Торговля!$E$5:$E$300,$B83)+COUNTIFS(Закрытые!$E$5:$E$300,$B83,Закрытые!$B$5:$B$300,"T-*")=0,"",ROUND(SUMIFS(Торговля!$M$5:$M$300,Торговля!$E$5:$E$300,$B83)+SUMIFS(Закрытые!$M$5:$M$300,Закрытые!$E$5:$E$300,$B83,Закрытые!$B$5:$B$300,"T-*"),8)))</f>
        <v/>
      </c>
      <c r="K83" s="240" t="str">
        <f>IF(MIN(N(C83),N(F83))&lt;=0,"",ROUND(MIN(N(C83),N(F83))*(N(G83)-N(D83)),8))</f>
        <v/>
      </c>
      <c r="L83" s="177" t="str">
        <f>IF(MIN(N(C83),N(F83))&lt;=0,"",IF(N(D83)=0,"",ROUND((N(G83)/N(D83)-1)*100,2)))</f>
        <v/>
      </c>
      <c r="M83" s="177" t="str">
        <f>IF(OR(ROUND(N(C83)-N(F83),8)=0,1-N(Ввод!$J$19)/100&lt;=0),"",IF(N(C83)&gt;N(F83),(N(E83)-N(H83))/((N(C83)-N(F83))*(1-N(Ввод!$J$19)/100)),(N(H83)-N(E83))/((N(F83)-N(C83))*(1+N(Ввод!$J$19)/100))))</f>
        <v/>
      </c>
    </row>
    <row r="84" ht="22" customHeight="1">
      <c r="B84" s="245" t="n"/>
      <c r="C84" s="246" t="str">
        <f>IF(SUMIFS(Торговля!$F$5:$F$300,Торговля!$E$5:$E$300,$B84)+SUMIFS(Закрытые!$F$5:$F$300,Закрытые!$E$5:$E$300,$B84,Закрытые!$B$5:$B$300,"T-*")=0,"",SUMIFS(Торговля!$F$5:$F$300,Торговля!$E$5:$E$300,$B84)+SUMIFS(Закрытые!$F$5:$F$300,Закрытые!$E$5:$E$300,$B84,Закрытые!$B$5:$B$300,"T-*"))</f>
        <v/>
      </c>
      <c r="D84" s="183" t="str">
        <f>IF(C84="","",(SUMPRODUCT((Торговля!$E$5:$E$300=$B84)*Торговля!$F$5:$F$300*Торговля!$G$5:$G$300)+SUMPRODUCT((Закрытые!$E$5:$E$300=$B84)*(LEFT(Закрытые!$B$5:$B$300,2)="T-")*Закрытые!$F$5:$F$300*Закрытые!$G$5:$G$300))/C84)</f>
        <v/>
      </c>
      <c r="E84" s="247" t="str">
        <f>IF(C84="","",SUMIFS(Торговля!$H$5:$H$300,Торговля!$E$5:$E$300,$B84)+SUMIFS(Закрытые!$H$5:$H$300,Закрытые!$E$5:$E$300,$B84,Закрытые!$B$5:$B$300,"T-*"))</f>
        <v/>
      </c>
      <c r="F84" s="246" t="str">
        <f>IF(SUMIFS(Торговля!$I$5:$I$300,Торговля!$E$5:$E$300,$B84)+SUMIFS(Закрытые!$I$5:$I$300,Закрытые!$E$5:$E$300,$B84,Закрытые!$B$5:$B$300,"T-*")=0,"",SUMIFS(Торговля!$I$5:$I$300,Торговля!$E$5:$E$300,$B84)+SUMIFS(Закрытые!$I$5:$I$300,Закрытые!$E$5:$E$300,$B84,Закрытые!$B$5:$B$300,"T-*"))</f>
        <v/>
      </c>
      <c r="G84" s="183" t="str">
        <f>IF(F84="","",(SUMPRODUCT((Торговля!$E$5:$E$300=$B84)*Торговля!$I$5:$I$300*Торговля!$J$5:$J$300)+SUMPRODUCT((Закрытые!$E$5:$E$300=$B84)*(LEFT(Закрытые!$B$5:$B$300,2)="T-")*Закрытые!$I$5:$I$300*Закрытые!$J$5:$J$300))/F84)</f>
        <v/>
      </c>
      <c r="H84" s="247" t="str">
        <f>IF(F84="","",SUMIFS(Торговля!$K$5:$K$300,Торговля!$E$5:$E$300,$B84)+SUMIFS(Закрытые!$K$5:$K$300,Закрытые!$E$5:$E$300,$B84,Закрытые!$B$5:$B$300,"T-*"))</f>
        <v/>
      </c>
      <c r="I84" s="246" t="str">
        <f>IF($B84="","",IF(COUNTIFS(Торговля!$E$5:$E$300,$B84)+COUNTIFS(Закрытые!$E$5:$E$300,$B84,Закрытые!$B$5:$B$300,"T-*")=0,"",ROUND(SUMIFS(Торговля!$L$5:$L$300,Торговля!$E$5:$E$300,$B84)+SUMIFS(Закрытые!$L$5:$L$300,Закрытые!$E$5:$E$300,$B84,Закрытые!$B$5:$B$300,"T-*"),8)))</f>
        <v/>
      </c>
      <c r="J84" s="247" t="str">
        <f>IF($B84="","",IF(COUNTIFS(Торговля!$E$5:$E$300,$B84)+COUNTIFS(Закрытые!$E$5:$E$300,$B84,Закрытые!$B$5:$B$300,"T-*")=0,"",ROUND(SUMIFS(Торговля!$M$5:$M$300,Торговля!$E$5:$E$300,$B84)+SUMIFS(Закрытые!$M$5:$M$300,Закрытые!$E$5:$E$300,$B84,Закрытые!$B$5:$B$300,"T-*"),8)))</f>
        <v/>
      </c>
      <c r="K84" s="246" t="str">
        <f>IF(MIN(N(C84),N(F84))&lt;=0,"",ROUND(MIN(N(C84),N(F84))*(N(G84)-N(D84)),8))</f>
        <v/>
      </c>
      <c r="L84" s="183" t="str">
        <f>IF(MIN(N(C84),N(F84))&lt;=0,"",IF(N(D84)=0,"",ROUND((N(G84)/N(D84)-1)*100,2)))</f>
        <v/>
      </c>
      <c r="M84" s="183" t="str">
        <f>IF(OR(ROUND(N(C84)-N(F84),8)=0,1-N(Ввод!$J$19)/100&lt;=0),"",IF(N(C84)&gt;N(F84),(N(E84)-N(H84))/((N(C84)-N(F84))*(1-N(Ввод!$J$19)/100)),(N(H84)-N(E84))/((N(F84)-N(C84))*(1+N(Ввод!$J$19)/100))))</f>
        <v/>
      </c>
    </row>
    <row r="85" ht="22" customHeight="1">
      <c r="B85" s="239" t="n"/>
      <c r="C85" s="240" t="str">
        <f>IF(SUMIFS(Торговля!$F$5:$F$300,Торговля!$E$5:$E$300,$B85)+SUMIFS(Закрытые!$F$5:$F$300,Закрытые!$E$5:$E$300,$B85,Закрытые!$B$5:$B$300,"T-*")=0,"",SUMIFS(Торговля!$F$5:$F$300,Торговля!$E$5:$E$300,$B85)+SUMIFS(Закрытые!$F$5:$F$300,Закрытые!$E$5:$E$300,$B85,Закрытые!$B$5:$B$300,"T-*"))</f>
        <v/>
      </c>
      <c r="D85" s="177" t="str">
        <f>IF(C85="","",(SUMPRODUCT((Торговля!$E$5:$E$300=$B85)*Торговля!$F$5:$F$300*Торговля!$G$5:$G$300)+SUMPRODUCT((Закрытые!$E$5:$E$300=$B85)*(LEFT(Закрытые!$B$5:$B$300,2)="T-")*Закрытые!$F$5:$F$300*Закрытые!$G$5:$G$300))/C85)</f>
        <v/>
      </c>
      <c r="E85" s="241" t="str">
        <f>IF(C85="","",SUMIFS(Торговля!$H$5:$H$300,Торговля!$E$5:$E$300,$B85)+SUMIFS(Закрытые!$H$5:$H$300,Закрытые!$E$5:$E$300,$B85,Закрытые!$B$5:$B$300,"T-*"))</f>
        <v/>
      </c>
      <c r="F85" s="240" t="str">
        <f>IF(SUMIFS(Торговля!$I$5:$I$300,Торговля!$E$5:$E$300,$B85)+SUMIFS(Закрытые!$I$5:$I$300,Закрытые!$E$5:$E$300,$B85,Закрытые!$B$5:$B$300,"T-*")=0,"",SUMIFS(Торговля!$I$5:$I$300,Торговля!$E$5:$E$300,$B85)+SUMIFS(Закрытые!$I$5:$I$300,Закрытые!$E$5:$E$300,$B85,Закрытые!$B$5:$B$300,"T-*"))</f>
        <v/>
      </c>
      <c r="G85" s="177" t="str">
        <f>IF(F85="","",(SUMPRODUCT((Торговля!$E$5:$E$300=$B85)*Торговля!$I$5:$I$300*Торговля!$J$5:$J$300)+SUMPRODUCT((Закрытые!$E$5:$E$300=$B85)*(LEFT(Закрытые!$B$5:$B$300,2)="T-")*Закрытые!$I$5:$I$300*Закрытые!$J$5:$J$300))/F85)</f>
        <v/>
      </c>
      <c r="H85" s="241" t="str">
        <f>IF(F85="","",SUMIFS(Торговля!$K$5:$K$300,Торговля!$E$5:$E$300,$B85)+SUMIFS(Закрытые!$K$5:$K$300,Закрытые!$E$5:$E$300,$B85,Закрытые!$B$5:$B$300,"T-*"))</f>
        <v/>
      </c>
      <c r="I85" s="240" t="str">
        <f>IF($B85="","",IF(COUNTIFS(Торговля!$E$5:$E$300,$B85)+COUNTIFS(Закрытые!$E$5:$E$300,$B85,Закрытые!$B$5:$B$300,"T-*")=0,"",ROUND(SUMIFS(Торговля!$L$5:$L$300,Торговля!$E$5:$E$300,$B85)+SUMIFS(Закрытые!$L$5:$L$300,Закрытые!$E$5:$E$300,$B85,Закрытые!$B$5:$B$300,"T-*"),8)))</f>
        <v/>
      </c>
      <c r="J85" s="241" t="str">
        <f>IF($B85="","",IF(COUNTIFS(Торговля!$E$5:$E$300,$B85)+COUNTIFS(Закрытые!$E$5:$E$300,$B85,Закрытые!$B$5:$B$300,"T-*")=0,"",ROUND(SUMIFS(Торговля!$M$5:$M$300,Торговля!$E$5:$E$300,$B85)+SUMIFS(Закрытые!$M$5:$M$300,Закрытые!$E$5:$E$300,$B85,Закрытые!$B$5:$B$300,"T-*"),8)))</f>
        <v/>
      </c>
      <c r="K85" s="240" t="str">
        <f>IF(MIN(N(C85),N(F85))&lt;=0,"",ROUND(MIN(N(C85),N(F85))*(N(G85)-N(D85)),8))</f>
        <v/>
      </c>
      <c r="L85" s="177" t="str">
        <f>IF(MIN(N(C85),N(F85))&lt;=0,"",IF(N(D85)=0,"",ROUND((N(G85)/N(D85)-1)*100,2)))</f>
        <v/>
      </c>
      <c r="M85" s="177" t="str">
        <f>IF(OR(ROUND(N(C85)-N(F85),8)=0,1-N(Ввод!$J$19)/100&lt;=0),"",IF(N(C85)&gt;N(F85),(N(E85)-N(H85))/((N(C85)-N(F85))*(1-N(Ввод!$J$19)/100)),(N(H85)-N(E85))/((N(F85)-N(C85))*(1+N(Ввод!$J$19)/100))))</f>
        <v/>
      </c>
    </row>
    <row r="86" ht="22" customHeight="1">
      <c r="B86" s="245" t="n"/>
      <c r="C86" s="246" t="str">
        <f>IF(SUMIFS(Торговля!$F$5:$F$300,Торговля!$E$5:$E$300,$B86)+SUMIFS(Закрытые!$F$5:$F$300,Закрытые!$E$5:$E$300,$B86,Закрытые!$B$5:$B$300,"T-*")=0,"",SUMIFS(Торговля!$F$5:$F$300,Торговля!$E$5:$E$300,$B86)+SUMIFS(Закрытые!$F$5:$F$300,Закрытые!$E$5:$E$300,$B86,Закрытые!$B$5:$B$300,"T-*"))</f>
        <v/>
      </c>
      <c r="D86" s="183" t="str">
        <f>IF(C86="","",(SUMPRODUCT((Торговля!$E$5:$E$300=$B86)*Торговля!$F$5:$F$300*Торговля!$G$5:$G$300)+SUMPRODUCT((Закрытые!$E$5:$E$300=$B86)*(LEFT(Закрытые!$B$5:$B$300,2)="T-")*Закрытые!$F$5:$F$300*Закрытые!$G$5:$G$300))/C86)</f>
        <v/>
      </c>
      <c r="E86" s="247" t="str">
        <f>IF(C86="","",SUMIFS(Торговля!$H$5:$H$300,Торговля!$E$5:$E$300,$B86)+SUMIFS(Закрытые!$H$5:$H$300,Закрытые!$E$5:$E$300,$B86,Закрытые!$B$5:$B$300,"T-*"))</f>
        <v/>
      </c>
      <c r="F86" s="246" t="str">
        <f>IF(SUMIFS(Торговля!$I$5:$I$300,Торговля!$E$5:$E$300,$B86)+SUMIFS(Закрытые!$I$5:$I$300,Закрытые!$E$5:$E$300,$B86,Закрытые!$B$5:$B$300,"T-*")=0,"",SUMIFS(Торговля!$I$5:$I$300,Торговля!$E$5:$E$300,$B86)+SUMIFS(Закрытые!$I$5:$I$300,Закрытые!$E$5:$E$300,$B86,Закрытые!$B$5:$B$300,"T-*"))</f>
        <v/>
      </c>
      <c r="G86" s="183" t="str">
        <f>IF(F86="","",(SUMPRODUCT((Торговля!$E$5:$E$300=$B86)*Торговля!$I$5:$I$300*Торговля!$J$5:$J$300)+SUMPRODUCT((Закрытые!$E$5:$E$300=$B86)*(LEFT(Закрытые!$B$5:$B$300,2)="T-")*Закрытые!$I$5:$I$300*Закрытые!$J$5:$J$300))/F86)</f>
        <v/>
      </c>
      <c r="H86" s="247" t="str">
        <f>IF(F86="","",SUMIFS(Торговля!$K$5:$K$300,Торговля!$E$5:$E$300,$B86)+SUMIFS(Закрытые!$K$5:$K$300,Закрытые!$E$5:$E$300,$B86,Закрытые!$B$5:$B$300,"T-*"))</f>
        <v/>
      </c>
      <c r="I86" s="246" t="str">
        <f>IF($B86="","",IF(COUNTIFS(Торговля!$E$5:$E$300,$B86)+COUNTIFS(Закрытые!$E$5:$E$300,$B86,Закрытые!$B$5:$B$300,"T-*")=0,"",ROUND(SUMIFS(Торговля!$L$5:$L$300,Торговля!$E$5:$E$300,$B86)+SUMIFS(Закрытые!$L$5:$L$300,Закрытые!$E$5:$E$300,$B86,Закрытые!$B$5:$B$300,"T-*"),8)))</f>
        <v/>
      </c>
      <c r="J86" s="247" t="str">
        <f>IF($B86="","",IF(COUNTIFS(Торговля!$E$5:$E$300,$B86)+COUNTIFS(Закрытые!$E$5:$E$300,$B86,Закрытые!$B$5:$B$300,"T-*")=0,"",ROUND(SUMIFS(Торговля!$M$5:$M$300,Торговля!$E$5:$E$300,$B86)+SUMIFS(Закрытые!$M$5:$M$300,Закрытые!$E$5:$E$300,$B86,Закрытые!$B$5:$B$300,"T-*"),8)))</f>
        <v/>
      </c>
      <c r="K86" s="246" t="str">
        <f>IF(MIN(N(C86),N(F86))&lt;=0,"",ROUND(MIN(N(C86),N(F86))*(N(G86)-N(D86)),8))</f>
        <v/>
      </c>
      <c r="L86" s="183" t="str">
        <f>IF(MIN(N(C86),N(F86))&lt;=0,"",IF(N(D86)=0,"",ROUND((N(G86)/N(D86)-1)*100,2)))</f>
        <v/>
      </c>
      <c r="M86" s="183" t="str">
        <f>IF(OR(ROUND(N(C86)-N(F86),8)=0,1-N(Ввод!$J$19)/100&lt;=0),"",IF(N(C86)&gt;N(F86),(N(E86)-N(H86))/((N(C86)-N(F86))*(1-N(Ввод!$J$19)/100)),(N(H86)-N(E86))/((N(F86)-N(C86))*(1+N(Ввод!$J$19)/100))))</f>
        <v/>
      </c>
    </row>
    <row r="87" ht="22" customHeight="1">
      <c r="B87" s="239" t="n"/>
      <c r="C87" s="240" t="str">
        <f>IF(SUMIFS(Торговля!$F$5:$F$300,Торговля!$E$5:$E$300,$B87)+SUMIFS(Закрытые!$F$5:$F$300,Закрытые!$E$5:$E$300,$B87,Закрытые!$B$5:$B$300,"T-*")=0,"",SUMIFS(Торговля!$F$5:$F$300,Торговля!$E$5:$E$300,$B87)+SUMIFS(Закрытые!$F$5:$F$300,Закрытые!$E$5:$E$300,$B87,Закрытые!$B$5:$B$300,"T-*"))</f>
        <v/>
      </c>
      <c r="D87" s="177" t="str">
        <f>IF(C87="","",(SUMPRODUCT((Торговля!$E$5:$E$300=$B87)*Торговля!$F$5:$F$300*Торговля!$G$5:$G$300)+SUMPRODUCT((Закрытые!$E$5:$E$300=$B87)*(LEFT(Закрытые!$B$5:$B$300,2)="T-")*Закрытые!$F$5:$F$300*Закрытые!$G$5:$G$300))/C87)</f>
        <v/>
      </c>
      <c r="E87" s="241" t="str">
        <f>IF(C87="","",SUMIFS(Торговля!$H$5:$H$300,Торговля!$E$5:$E$300,$B87)+SUMIFS(Закрытые!$H$5:$H$300,Закрытые!$E$5:$E$300,$B87,Закрытые!$B$5:$B$300,"T-*"))</f>
        <v/>
      </c>
      <c r="F87" s="240" t="str">
        <f>IF(SUMIFS(Торговля!$I$5:$I$300,Торговля!$E$5:$E$300,$B87)+SUMIFS(Закрытые!$I$5:$I$300,Закрытые!$E$5:$E$300,$B87,Закрытые!$B$5:$B$300,"T-*")=0,"",SUMIFS(Торговля!$I$5:$I$300,Торговля!$E$5:$E$300,$B87)+SUMIFS(Закрытые!$I$5:$I$300,Закрытые!$E$5:$E$300,$B87,Закрытые!$B$5:$B$300,"T-*"))</f>
        <v/>
      </c>
      <c r="G87" s="177" t="str">
        <f>IF(F87="","",(SUMPRODUCT((Торговля!$E$5:$E$300=$B87)*Торговля!$I$5:$I$300*Торговля!$J$5:$J$300)+SUMPRODUCT((Закрытые!$E$5:$E$300=$B87)*(LEFT(Закрытые!$B$5:$B$300,2)="T-")*Закрытые!$I$5:$I$300*Закрытые!$J$5:$J$300))/F87)</f>
        <v/>
      </c>
      <c r="H87" s="241" t="str">
        <f>IF(F87="","",SUMIFS(Торговля!$K$5:$K$300,Торговля!$E$5:$E$300,$B87)+SUMIFS(Закрытые!$K$5:$K$300,Закрытые!$E$5:$E$300,$B87,Закрытые!$B$5:$B$300,"T-*"))</f>
        <v/>
      </c>
      <c r="I87" s="240" t="str">
        <f>IF($B87="","",IF(COUNTIFS(Торговля!$E$5:$E$300,$B87)+COUNTIFS(Закрытые!$E$5:$E$300,$B87,Закрытые!$B$5:$B$300,"T-*")=0,"",ROUND(SUMIFS(Торговля!$L$5:$L$300,Торговля!$E$5:$E$300,$B87)+SUMIFS(Закрытые!$L$5:$L$300,Закрытые!$E$5:$E$300,$B87,Закрытые!$B$5:$B$300,"T-*"),8)))</f>
        <v/>
      </c>
      <c r="J87" s="241" t="str">
        <f>IF($B87="","",IF(COUNTIFS(Торговля!$E$5:$E$300,$B87)+COUNTIFS(Закрытые!$E$5:$E$300,$B87,Закрытые!$B$5:$B$300,"T-*")=0,"",ROUND(SUMIFS(Торговля!$M$5:$M$300,Торговля!$E$5:$E$300,$B87)+SUMIFS(Закрытые!$M$5:$M$300,Закрытые!$E$5:$E$300,$B87,Закрытые!$B$5:$B$300,"T-*"),8)))</f>
        <v/>
      </c>
      <c r="K87" s="240" t="str">
        <f>IF(MIN(N(C87),N(F87))&lt;=0,"",ROUND(MIN(N(C87),N(F87))*(N(G87)-N(D87)),8))</f>
        <v/>
      </c>
      <c r="L87" s="177" t="str">
        <f>IF(MIN(N(C87),N(F87))&lt;=0,"",IF(N(D87)=0,"",ROUND((N(G87)/N(D87)-1)*100,2)))</f>
        <v/>
      </c>
      <c r="M87" s="177" t="str">
        <f>IF(OR(ROUND(N(C87)-N(F87),8)=0,1-N(Ввод!$J$19)/100&lt;=0),"",IF(N(C87)&gt;N(F87),(N(E87)-N(H87))/((N(C87)-N(F87))*(1-N(Ввод!$J$19)/100)),(N(H87)-N(E87))/((N(F87)-N(C87))*(1+N(Ввод!$J$19)/100))))</f>
        <v/>
      </c>
    </row>
    <row r="88" ht="22" customHeight="1">
      <c r="B88" s="245" t="n"/>
      <c r="C88" s="246" t="str">
        <f>IF(SUMIFS(Торговля!$F$5:$F$300,Торговля!$E$5:$E$300,$B88)+SUMIFS(Закрытые!$F$5:$F$300,Закрытые!$E$5:$E$300,$B88,Закрытые!$B$5:$B$300,"T-*")=0,"",SUMIFS(Торговля!$F$5:$F$300,Торговля!$E$5:$E$300,$B88)+SUMIFS(Закрытые!$F$5:$F$300,Закрытые!$E$5:$E$300,$B88,Закрытые!$B$5:$B$300,"T-*"))</f>
        <v/>
      </c>
      <c r="D88" s="183" t="str">
        <f>IF(C88="","",(SUMPRODUCT((Торговля!$E$5:$E$300=$B88)*Торговля!$F$5:$F$300*Торговля!$G$5:$G$300)+SUMPRODUCT((Закрытые!$E$5:$E$300=$B88)*(LEFT(Закрытые!$B$5:$B$300,2)="T-")*Закрытые!$F$5:$F$300*Закрытые!$G$5:$G$300))/C88)</f>
        <v/>
      </c>
      <c r="E88" s="247" t="str">
        <f>IF(C88="","",SUMIFS(Торговля!$H$5:$H$300,Торговля!$E$5:$E$300,$B88)+SUMIFS(Закрытые!$H$5:$H$300,Закрытые!$E$5:$E$300,$B88,Закрытые!$B$5:$B$300,"T-*"))</f>
        <v/>
      </c>
      <c r="F88" s="246" t="str">
        <f>IF(SUMIFS(Торговля!$I$5:$I$300,Торговля!$E$5:$E$300,$B88)+SUMIFS(Закрытые!$I$5:$I$300,Закрытые!$E$5:$E$300,$B88,Закрытые!$B$5:$B$300,"T-*")=0,"",SUMIFS(Торговля!$I$5:$I$300,Торговля!$E$5:$E$300,$B88)+SUMIFS(Закрытые!$I$5:$I$300,Закрытые!$E$5:$E$300,$B88,Закрытые!$B$5:$B$300,"T-*"))</f>
        <v/>
      </c>
      <c r="G88" s="183" t="str">
        <f>IF(F88="","",(SUMPRODUCT((Торговля!$E$5:$E$300=$B88)*Торговля!$I$5:$I$300*Торговля!$J$5:$J$300)+SUMPRODUCT((Закрытые!$E$5:$E$300=$B88)*(LEFT(Закрытые!$B$5:$B$300,2)="T-")*Закрытые!$I$5:$I$300*Закрытые!$J$5:$J$300))/F88)</f>
        <v/>
      </c>
      <c r="H88" s="247" t="str">
        <f>IF(F88="","",SUMIFS(Торговля!$K$5:$K$300,Торговля!$E$5:$E$300,$B88)+SUMIFS(Закрытые!$K$5:$K$300,Закрытые!$E$5:$E$300,$B88,Закрытые!$B$5:$B$300,"T-*"))</f>
        <v/>
      </c>
      <c r="I88" s="246" t="str">
        <f>IF($B88="","",IF(COUNTIFS(Торговля!$E$5:$E$300,$B88)+COUNTIFS(Закрытые!$E$5:$E$300,$B88,Закрытые!$B$5:$B$300,"T-*")=0,"",ROUND(SUMIFS(Торговля!$L$5:$L$300,Торговля!$E$5:$E$300,$B88)+SUMIFS(Закрытые!$L$5:$L$300,Закрытые!$E$5:$E$300,$B88,Закрытые!$B$5:$B$300,"T-*"),8)))</f>
        <v/>
      </c>
      <c r="J88" s="247" t="str">
        <f>IF($B88="","",IF(COUNTIFS(Торговля!$E$5:$E$300,$B88)+COUNTIFS(Закрытые!$E$5:$E$300,$B88,Закрытые!$B$5:$B$300,"T-*")=0,"",ROUND(SUMIFS(Торговля!$M$5:$M$300,Торговля!$E$5:$E$300,$B88)+SUMIFS(Закрытые!$M$5:$M$300,Закрытые!$E$5:$E$300,$B88,Закрытые!$B$5:$B$300,"T-*"),8)))</f>
        <v/>
      </c>
      <c r="K88" s="246" t="str">
        <f>IF(MIN(N(C88),N(F88))&lt;=0,"",ROUND(MIN(N(C88),N(F88))*(N(G88)-N(D88)),8))</f>
        <v/>
      </c>
      <c r="L88" s="183" t="str">
        <f>IF(MIN(N(C88),N(F88))&lt;=0,"",IF(N(D88)=0,"",ROUND((N(G88)/N(D88)-1)*100,2)))</f>
        <v/>
      </c>
      <c r="M88" s="183" t="str">
        <f>IF(OR(ROUND(N(C88)-N(F88),8)=0,1-N(Ввод!$J$19)/100&lt;=0),"",IF(N(C88)&gt;N(F88),(N(E88)-N(H88))/((N(C88)-N(F88))*(1-N(Ввод!$J$19)/100)),(N(H88)-N(E88))/((N(F88)-N(C88))*(1+N(Ввод!$J$19)/100))))</f>
        <v/>
      </c>
    </row>
    <row r="89" ht="22" customHeight="1">
      <c r="B89" s="239" t="n"/>
      <c r="C89" s="240" t="str">
        <f>IF(SUMIFS(Торговля!$F$5:$F$300,Торговля!$E$5:$E$300,$B89)+SUMIFS(Закрытые!$F$5:$F$300,Закрытые!$E$5:$E$300,$B89,Закрытые!$B$5:$B$300,"T-*")=0,"",SUMIFS(Торговля!$F$5:$F$300,Торговля!$E$5:$E$300,$B89)+SUMIFS(Закрытые!$F$5:$F$300,Закрытые!$E$5:$E$300,$B89,Закрытые!$B$5:$B$300,"T-*"))</f>
        <v/>
      </c>
      <c r="D89" s="177" t="str">
        <f>IF(C89="","",(SUMPRODUCT((Торговля!$E$5:$E$300=$B89)*Торговля!$F$5:$F$300*Торговля!$G$5:$G$300)+SUMPRODUCT((Закрытые!$E$5:$E$300=$B89)*(LEFT(Закрытые!$B$5:$B$300,2)="T-")*Закрытые!$F$5:$F$300*Закрытые!$G$5:$G$300))/C89)</f>
        <v/>
      </c>
      <c r="E89" s="241" t="str">
        <f>IF(C89="","",SUMIFS(Торговля!$H$5:$H$300,Торговля!$E$5:$E$300,$B89)+SUMIFS(Закрытые!$H$5:$H$300,Закрытые!$E$5:$E$300,$B89,Закрытые!$B$5:$B$300,"T-*"))</f>
        <v/>
      </c>
      <c r="F89" s="240" t="str">
        <f>IF(SUMIFS(Торговля!$I$5:$I$300,Торговля!$E$5:$E$300,$B89)+SUMIFS(Закрытые!$I$5:$I$300,Закрытые!$E$5:$E$300,$B89,Закрытые!$B$5:$B$300,"T-*")=0,"",SUMIFS(Торговля!$I$5:$I$300,Торговля!$E$5:$E$300,$B89)+SUMIFS(Закрытые!$I$5:$I$300,Закрытые!$E$5:$E$300,$B89,Закрытые!$B$5:$B$300,"T-*"))</f>
        <v/>
      </c>
      <c r="G89" s="177" t="str">
        <f>IF(F89="","",(SUMPRODUCT((Торговля!$E$5:$E$300=$B89)*Торговля!$I$5:$I$300*Торговля!$J$5:$J$300)+SUMPRODUCT((Закрытые!$E$5:$E$300=$B89)*(LEFT(Закрытые!$B$5:$B$300,2)="T-")*Закрытые!$I$5:$I$300*Закрытые!$J$5:$J$300))/F89)</f>
        <v/>
      </c>
      <c r="H89" s="241" t="str">
        <f>IF(F89="","",SUMIFS(Торговля!$K$5:$K$300,Торговля!$E$5:$E$300,$B89)+SUMIFS(Закрытые!$K$5:$K$300,Закрытые!$E$5:$E$300,$B89,Закрытые!$B$5:$B$300,"T-*"))</f>
        <v/>
      </c>
      <c r="I89" s="240" t="str">
        <f>IF($B89="","",IF(COUNTIFS(Торговля!$E$5:$E$300,$B89)+COUNTIFS(Закрытые!$E$5:$E$300,$B89,Закрытые!$B$5:$B$300,"T-*")=0,"",ROUND(SUMIFS(Торговля!$L$5:$L$300,Торговля!$E$5:$E$300,$B89)+SUMIFS(Закрытые!$L$5:$L$300,Закрытые!$E$5:$E$300,$B89,Закрытые!$B$5:$B$300,"T-*"),8)))</f>
        <v/>
      </c>
      <c r="J89" s="241" t="str">
        <f>IF($B89="","",IF(COUNTIFS(Торговля!$E$5:$E$300,$B89)+COUNTIFS(Закрытые!$E$5:$E$300,$B89,Закрытые!$B$5:$B$300,"T-*")=0,"",ROUND(SUMIFS(Торговля!$M$5:$M$300,Торговля!$E$5:$E$300,$B89)+SUMIFS(Закрытые!$M$5:$M$300,Закрытые!$E$5:$E$300,$B89,Закрытые!$B$5:$B$300,"T-*"),8)))</f>
        <v/>
      </c>
      <c r="K89" s="240" t="str">
        <f>IF(MIN(N(C89),N(F89))&lt;=0,"",ROUND(MIN(N(C89),N(F89))*(N(G89)-N(D89)),8))</f>
        <v/>
      </c>
      <c r="L89" s="177" t="str">
        <f>IF(MIN(N(C89),N(F89))&lt;=0,"",IF(N(D89)=0,"",ROUND((N(G89)/N(D89)-1)*100,2)))</f>
        <v/>
      </c>
      <c r="M89" s="177" t="str">
        <f>IF(OR(ROUND(N(C89)-N(F89),8)=0,1-N(Ввод!$J$19)/100&lt;=0),"",IF(N(C89)&gt;N(F89),(N(E89)-N(H89))/((N(C89)-N(F89))*(1-N(Ввод!$J$19)/100)),(N(H89)-N(E89))/((N(F89)-N(C89))*(1+N(Ввод!$J$19)/100))))</f>
        <v/>
      </c>
    </row>
    <row r="90" ht="22" customHeight="1">
      <c r="B90" s="245" t="n"/>
      <c r="C90" s="246" t="str">
        <f>IF(SUMIFS(Торговля!$F$5:$F$300,Торговля!$E$5:$E$300,$B90)+SUMIFS(Закрытые!$F$5:$F$300,Закрытые!$E$5:$E$300,$B90,Закрытые!$B$5:$B$300,"T-*")=0,"",SUMIFS(Торговля!$F$5:$F$300,Торговля!$E$5:$E$300,$B90)+SUMIFS(Закрытые!$F$5:$F$300,Закрытые!$E$5:$E$300,$B90,Закрытые!$B$5:$B$300,"T-*"))</f>
        <v/>
      </c>
      <c r="D90" s="183" t="str">
        <f>IF(C90="","",(SUMPRODUCT((Торговля!$E$5:$E$300=$B90)*Торговля!$F$5:$F$300*Торговля!$G$5:$G$300)+SUMPRODUCT((Закрытые!$E$5:$E$300=$B90)*(LEFT(Закрытые!$B$5:$B$300,2)="T-")*Закрытые!$F$5:$F$300*Закрытые!$G$5:$G$300))/C90)</f>
        <v/>
      </c>
      <c r="E90" s="247" t="str">
        <f>IF(C90="","",SUMIFS(Торговля!$H$5:$H$300,Торговля!$E$5:$E$300,$B90)+SUMIFS(Закрытые!$H$5:$H$300,Закрытые!$E$5:$E$300,$B90,Закрытые!$B$5:$B$300,"T-*"))</f>
        <v/>
      </c>
      <c r="F90" s="246" t="str">
        <f>IF(SUMIFS(Торговля!$I$5:$I$300,Торговля!$E$5:$E$300,$B90)+SUMIFS(Закрытые!$I$5:$I$300,Закрытые!$E$5:$E$300,$B90,Закрытые!$B$5:$B$300,"T-*")=0,"",SUMIFS(Торговля!$I$5:$I$300,Торговля!$E$5:$E$300,$B90)+SUMIFS(Закрытые!$I$5:$I$300,Закрытые!$E$5:$E$300,$B90,Закрытые!$B$5:$B$300,"T-*"))</f>
        <v/>
      </c>
      <c r="G90" s="183" t="str">
        <f>IF(F90="","",(SUMPRODUCT((Торговля!$E$5:$E$300=$B90)*Торговля!$I$5:$I$300*Торговля!$J$5:$J$300)+SUMPRODUCT((Закрытые!$E$5:$E$300=$B90)*(LEFT(Закрытые!$B$5:$B$300,2)="T-")*Закрытые!$I$5:$I$300*Закрытые!$J$5:$J$300))/F90)</f>
        <v/>
      </c>
      <c r="H90" s="247" t="str">
        <f>IF(F90="","",SUMIFS(Торговля!$K$5:$K$300,Торговля!$E$5:$E$300,$B90)+SUMIFS(Закрытые!$K$5:$K$300,Закрытые!$E$5:$E$300,$B90,Закрытые!$B$5:$B$300,"T-*"))</f>
        <v/>
      </c>
      <c r="I90" s="246" t="str">
        <f>IF($B90="","",IF(COUNTIFS(Торговля!$E$5:$E$300,$B90)+COUNTIFS(Закрытые!$E$5:$E$300,$B90,Закрытые!$B$5:$B$300,"T-*")=0,"",ROUND(SUMIFS(Торговля!$L$5:$L$300,Торговля!$E$5:$E$300,$B90)+SUMIFS(Закрытые!$L$5:$L$300,Закрытые!$E$5:$E$300,$B90,Закрытые!$B$5:$B$300,"T-*"),8)))</f>
        <v/>
      </c>
      <c r="J90" s="247" t="str">
        <f>IF($B90="","",IF(COUNTIFS(Торговля!$E$5:$E$300,$B90)+COUNTIFS(Закрытые!$E$5:$E$300,$B90,Закрытые!$B$5:$B$300,"T-*")=0,"",ROUND(SUMIFS(Торговля!$M$5:$M$300,Торговля!$E$5:$E$300,$B90)+SUMIFS(Закрытые!$M$5:$M$300,Закрытые!$E$5:$E$300,$B90,Закрытые!$B$5:$B$300,"T-*"),8)))</f>
        <v/>
      </c>
      <c r="K90" s="246" t="str">
        <f>IF(MIN(N(C90),N(F90))&lt;=0,"",ROUND(MIN(N(C90),N(F90))*(N(G90)-N(D90)),8))</f>
        <v/>
      </c>
      <c r="L90" s="183" t="str">
        <f>IF(MIN(N(C90),N(F90))&lt;=0,"",IF(N(D90)=0,"",ROUND((N(G90)/N(D90)-1)*100,2)))</f>
        <v/>
      </c>
      <c r="M90" s="183" t="str">
        <f>IF(OR(ROUND(N(C90)-N(F90),8)=0,1-N(Ввод!$J$19)/100&lt;=0),"",IF(N(C90)&gt;N(F90),(N(E90)-N(H90))/((N(C90)-N(F90))*(1-N(Ввод!$J$19)/100)),(N(H90)-N(E90))/((N(F90)-N(C90))*(1+N(Ввод!$J$19)/100))))</f>
        <v/>
      </c>
    </row>
    <row r="91" ht="22" customHeight="1">
      <c r="B91" s="239" t="n"/>
      <c r="C91" s="240" t="str">
        <f>IF(SUMIFS(Торговля!$F$5:$F$300,Торговля!$E$5:$E$300,$B91)+SUMIFS(Закрытые!$F$5:$F$300,Закрытые!$E$5:$E$300,$B91,Закрытые!$B$5:$B$300,"T-*")=0,"",SUMIFS(Торговля!$F$5:$F$300,Торговля!$E$5:$E$300,$B91)+SUMIFS(Закрытые!$F$5:$F$300,Закрытые!$E$5:$E$300,$B91,Закрытые!$B$5:$B$300,"T-*"))</f>
        <v/>
      </c>
      <c r="D91" s="177" t="str">
        <f>IF(C91="","",(SUMPRODUCT((Торговля!$E$5:$E$300=$B91)*Торговля!$F$5:$F$300*Торговля!$G$5:$G$300)+SUMPRODUCT((Закрытые!$E$5:$E$300=$B91)*(LEFT(Закрытые!$B$5:$B$300,2)="T-")*Закрытые!$F$5:$F$300*Закрытые!$G$5:$G$300))/C91)</f>
        <v/>
      </c>
      <c r="E91" s="241" t="str">
        <f>IF(C91="","",SUMIFS(Торговля!$H$5:$H$300,Торговля!$E$5:$E$300,$B91)+SUMIFS(Закрытые!$H$5:$H$300,Закрытые!$E$5:$E$300,$B91,Закрытые!$B$5:$B$300,"T-*"))</f>
        <v/>
      </c>
      <c r="F91" s="240" t="str">
        <f>IF(SUMIFS(Торговля!$I$5:$I$300,Торговля!$E$5:$E$300,$B91)+SUMIFS(Закрытые!$I$5:$I$300,Закрытые!$E$5:$E$300,$B91,Закрытые!$B$5:$B$300,"T-*")=0,"",SUMIFS(Торговля!$I$5:$I$300,Торговля!$E$5:$E$300,$B91)+SUMIFS(Закрытые!$I$5:$I$300,Закрытые!$E$5:$E$300,$B91,Закрытые!$B$5:$B$300,"T-*"))</f>
        <v/>
      </c>
      <c r="G91" s="177" t="str">
        <f>IF(F91="","",(SUMPRODUCT((Торговля!$E$5:$E$300=$B91)*Торговля!$I$5:$I$300*Торговля!$J$5:$J$300)+SUMPRODUCT((Закрытые!$E$5:$E$300=$B91)*(LEFT(Закрытые!$B$5:$B$300,2)="T-")*Закрытые!$I$5:$I$300*Закрытые!$J$5:$J$300))/F91)</f>
        <v/>
      </c>
      <c r="H91" s="241" t="str">
        <f>IF(F91="","",SUMIFS(Торговля!$K$5:$K$300,Торговля!$E$5:$E$300,$B91)+SUMIFS(Закрытые!$K$5:$K$300,Закрытые!$E$5:$E$300,$B91,Закрытые!$B$5:$B$300,"T-*"))</f>
        <v/>
      </c>
      <c r="I91" s="240" t="str">
        <f>IF($B91="","",IF(COUNTIFS(Торговля!$E$5:$E$300,$B91)+COUNTIFS(Закрытые!$E$5:$E$300,$B91,Закрытые!$B$5:$B$300,"T-*")=0,"",ROUND(SUMIFS(Торговля!$L$5:$L$300,Торговля!$E$5:$E$300,$B91)+SUMIFS(Закрытые!$L$5:$L$300,Закрытые!$E$5:$E$300,$B91,Закрытые!$B$5:$B$300,"T-*"),8)))</f>
        <v/>
      </c>
      <c r="J91" s="241" t="str">
        <f>IF($B91="","",IF(COUNTIFS(Торговля!$E$5:$E$300,$B91)+COUNTIFS(Закрытые!$E$5:$E$300,$B91,Закрытые!$B$5:$B$300,"T-*")=0,"",ROUND(SUMIFS(Торговля!$M$5:$M$300,Торговля!$E$5:$E$300,$B91)+SUMIFS(Закрытые!$M$5:$M$300,Закрытые!$E$5:$E$300,$B91,Закрытые!$B$5:$B$300,"T-*"),8)))</f>
        <v/>
      </c>
      <c r="K91" s="240" t="str">
        <f>IF(MIN(N(C91),N(F91))&lt;=0,"",ROUND(MIN(N(C91),N(F91))*(N(G91)-N(D91)),8))</f>
        <v/>
      </c>
      <c r="L91" s="177" t="str">
        <f>IF(MIN(N(C91),N(F91))&lt;=0,"",IF(N(D91)=0,"",ROUND((N(G91)/N(D91)-1)*100,2)))</f>
        <v/>
      </c>
      <c r="M91" s="177" t="str">
        <f>IF(OR(ROUND(N(C91)-N(F91),8)=0,1-N(Ввод!$J$19)/100&lt;=0),"",IF(N(C91)&gt;N(F91),(N(E91)-N(H91))/((N(C91)-N(F91))*(1-N(Ввод!$J$19)/100)),(N(H91)-N(E91))/((N(F91)-N(C91))*(1+N(Ввод!$J$19)/100))))</f>
        <v/>
      </c>
    </row>
    <row r="92" ht="22" customHeight="1">
      <c r="B92" s="245" t="n"/>
      <c r="C92" s="246" t="str">
        <f>IF(SUMIFS(Торговля!$F$5:$F$300,Торговля!$E$5:$E$300,$B92)+SUMIFS(Закрытые!$F$5:$F$300,Закрытые!$E$5:$E$300,$B92,Закрытые!$B$5:$B$300,"T-*")=0,"",SUMIFS(Торговля!$F$5:$F$300,Торговля!$E$5:$E$300,$B92)+SUMIFS(Закрытые!$F$5:$F$300,Закрытые!$E$5:$E$300,$B92,Закрытые!$B$5:$B$300,"T-*"))</f>
        <v/>
      </c>
      <c r="D92" s="183" t="str">
        <f>IF(C92="","",(SUMPRODUCT((Торговля!$E$5:$E$300=$B92)*Торговля!$F$5:$F$300*Торговля!$G$5:$G$300)+SUMPRODUCT((Закрытые!$E$5:$E$300=$B92)*(LEFT(Закрытые!$B$5:$B$300,2)="T-")*Закрытые!$F$5:$F$300*Закрытые!$G$5:$G$300))/C92)</f>
        <v/>
      </c>
      <c r="E92" s="247" t="str">
        <f>IF(C92="","",SUMIFS(Торговля!$H$5:$H$300,Торговля!$E$5:$E$300,$B92)+SUMIFS(Закрытые!$H$5:$H$300,Закрытые!$E$5:$E$300,$B92,Закрытые!$B$5:$B$300,"T-*"))</f>
        <v/>
      </c>
      <c r="F92" s="246" t="str">
        <f>IF(SUMIFS(Торговля!$I$5:$I$300,Торговля!$E$5:$E$300,$B92)+SUMIFS(Закрытые!$I$5:$I$300,Закрытые!$E$5:$E$300,$B92,Закрытые!$B$5:$B$300,"T-*")=0,"",SUMIFS(Торговля!$I$5:$I$300,Торговля!$E$5:$E$300,$B92)+SUMIFS(Закрытые!$I$5:$I$300,Закрытые!$E$5:$E$300,$B92,Закрытые!$B$5:$B$300,"T-*"))</f>
        <v/>
      </c>
      <c r="G92" s="183" t="str">
        <f>IF(F92="","",(SUMPRODUCT((Торговля!$E$5:$E$300=$B92)*Торговля!$I$5:$I$300*Торговля!$J$5:$J$300)+SUMPRODUCT((Закрытые!$E$5:$E$300=$B92)*(LEFT(Закрытые!$B$5:$B$300,2)="T-")*Закрытые!$I$5:$I$300*Закрытые!$J$5:$J$300))/F92)</f>
        <v/>
      </c>
      <c r="H92" s="247" t="str">
        <f>IF(F92="","",SUMIFS(Торговля!$K$5:$K$300,Торговля!$E$5:$E$300,$B92)+SUMIFS(Закрытые!$K$5:$K$300,Закрытые!$E$5:$E$300,$B92,Закрытые!$B$5:$B$300,"T-*"))</f>
        <v/>
      </c>
      <c r="I92" s="246" t="str">
        <f>IF($B92="","",IF(COUNTIFS(Торговля!$E$5:$E$300,$B92)+COUNTIFS(Закрытые!$E$5:$E$300,$B92,Закрытые!$B$5:$B$300,"T-*")=0,"",ROUND(SUMIFS(Торговля!$L$5:$L$300,Торговля!$E$5:$E$300,$B92)+SUMIFS(Закрытые!$L$5:$L$300,Закрытые!$E$5:$E$300,$B92,Закрытые!$B$5:$B$300,"T-*"),8)))</f>
        <v/>
      </c>
      <c r="J92" s="247" t="str">
        <f>IF($B92="","",IF(COUNTIFS(Торговля!$E$5:$E$300,$B92)+COUNTIFS(Закрытые!$E$5:$E$300,$B92,Закрытые!$B$5:$B$300,"T-*")=0,"",ROUND(SUMIFS(Торговля!$M$5:$M$300,Торговля!$E$5:$E$300,$B92)+SUMIFS(Закрытые!$M$5:$M$300,Закрытые!$E$5:$E$300,$B92,Закрытые!$B$5:$B$300,"T-*"),8)))</f>
        <v/>
      </c>
      <c r="K92" s="246" t="str">
        <f>IF(MIN(N(C92),N(F92))&lt;=0,"",ROUND(MIN(N(C92),N(F92))*(N(G92)-N(D92)),8))</f>
        <v/>
      </c>
      <c r="L92" s="183" t="str">
        <f>IF(MIN(N(C92),N(F92))&lt;=0,"",IF(N(D92)=0,"",ROUND((N(G92)/N(D92)-1)*100,2)))</f>
        <v/>
      </c>
      <c r="M92" s="183" t="str">
        <f>IF(OR(ROUND(N(C92)-N(F92),8)=0,1-N(Ввод!$J$19)/100&lt;=0),"",IF(N(C92)&gt;N(F92),(N(E92)-N(H92))/((N(C92)-N(F92))*(1-N(Ввод!$J$19)/100)),(N(H92)-N(E92))/((N(F92)-N(C92))*(1+N(Ввод!$J$19)/100))))</f>
        <v/>
      </c>
    </row>
    <row r="93" ht="22" customHeight="1">
      <c r="B93" s="239" t="n"/>
      <c r="C93" s="240" t="str">
        <f>IF(SUMIFS(Торговля!$F$5:$F$300,Торговля!$E$5:$E$300,$B93)+SUMIFS(Закрытые!$F$5:$F$300,Закрытые!$E$5:$E$300,$B93,Закрытые!$B$5:$B$300,"T-*")=0,"",SUMIFS(Торговля!$F$5:$F$300,Торговля!$E$5:$E$300,$B93)+SUMIFS(Закрытые!$F$5:$F$300,Закрытые!$E$5:$E$300,$B93,Закрытые!$B$5:$B$300,"T-*"))</f>
        <v/>
      </c>
      <c r="D93" s="177" t="str">
        <f>IF(C93="","",(SUMPRODUCT((Торговля!$E$5:$E$300=$B93)*Торговля!$F$5:$F$300*Торговля!$G$5:$G$300)+SUMPRODUCT((Закрытые!$E$5:$E$300=$B93)*(LEFT(Закрытые!$B$5:$B$300,2)="T-")*Закрытые!$F$5:$F$300*Закрытые!$G$5:$G$300))/C93)</f>
        <v/>
      </c>
      <c r="E93" s="241" t="str">
        <f>IF(C93="","",SUMIFS(Торговля!$H$5:$H$300,Торговля!$E$5:$E$300,$B93)+SUMIFS(Закрытые!$H$5:$H$300,Закрытые!$E$5:$E$300,$B93,Закрытые!$B$5:$B$300,"T-*"))</f>
        <v/>
      </c>
      <c r="F93" s="240" t="str">
        <f>IF(SUMIFS(Торговля!$I$5:$I$300,Торговля!$E$5:$E$300,$B93)+SUMIFS(Закрытые!$I$5:$I$300,Закрытые!$E$5:$E$300,$B93,Закрытые!$B$5:$B$300,"T-*")=0,"",SUMIFS(Торговля!$I$5:$I$300,Торговля!$E$5:$E$300,$B93)+SUMIFS(Закрытые!$I$5:$I$300,Закрытые!$E$5:$E$300,$B93,Закрытые!$B$5:$B$300,"T-*"))</f>
        <v/>
      </c>
      <c r="G93" s="177" t="str">
        <f>IF(F93="","",(SUMPRODUCT((Торговля!$E$5:$E$300=$B93)*Торговля!$I$5:$I$300*Торговля!$J$5:$J$300)+SUMPRODUCT((Закрытые!$E$5:$E$300=$B93)*(LEFT(Закрытые!$B$5:$B$300,2)="T-")*Закрытые!$I$5:$I$300*Закрытые!$J$5:$J$300))/F93)</f>
        <v/>
      </c>
      <c r="H93" s="241" t="str">
        <f>IF(F93="","",SUMIFS(Торговля!$K$5:$K$300,Торговля!$E$5:$E$300,$B93)+SUMIFS(Закрытые!$K$5:$K$300,Закрытые!$E$5:$E$300,$B93,Закрытые!$B$5:$B$300,"T-*"))</f>
        <v/>
      </c>
      <c r="I93" s="240" t="str">
        <f>IF($B93="","",IF(COUNTIFS(Торговля!$E$5:$E$300,$B93)+COUNTIFS(Закрытые!$E$5:$E$300,$B93,Закрытые!$B$5:$B$300,"T-*")=0,"",ROUND(SUMIFS(Торговля!$L$5:$L$300,Торговля!$E$5:$E$300,$B93)+SUMIFS(Закрытые!$L$5:$L$300,Закрытые!$E$5:$E$300,$B93,Закрытые!$B$5:$B$300,"T-*"),8)))</f>
        <v/>
      </c>
      <c r="J93" s="241" t="str">
        <f>IF($B93="","",IF(COUNTIFS(Торговля!$E$5:$E$300,$B93)+COUNTIFS(Закрытые!$E$5:$E$300,$B93,Закрытые!$B$5:$B$300,"T-*")=0,"",ROUND(SUMIFS(Торговля!$M$5:$M$300,Торговля!$E$5:$E$300,$B93)+SUMIFS(Закрытые!$M$5:$M$300,Закрытые!$E$5:$E$300,$B93,Закрытые!$B$5:$B$300,"T-*"),8)))</f>
        <v/>
      </c>
      <c r="K93" s="240" t="str">
        <f>IF(MIN(N(C93),N(F93))&lt;=0,"",ROUND(MIN(N(C93),N(F93))*(N(G93)-N(D93)),8))</f>
        <v/>
      </c>
      <c r="L93" s="177" t="str">
        <f>IF(MIN(N(C93),N(F93))&lt;=0,"",IF(N(D93)=0,"",ROUND((N(G93)/N(D93)-1)*100,2)))</f>
        <v/>
      </c>
      <c r="M93" s="177" t="str">
        <f>IF(OR(ROUND(N(C93)-N(F93),8)=0,1-N(Ввод!$J$19)/100&lt;=0),"",IF(N(C93)&gt;N(F93),(N(E93)-N(H93))/((N(C93)-N(F93))*(1-N(Ввод!$J$19)/100)),(N(H93)-N(E93))/((N(F93)-N(C93))*(1+N(Ввод!$J$19)/100))))</f>
        <v/>
      </c>
    </row>
    <row r="94" ht="22" customHeight="1">
      <c r="B94" s="245" t="n"/>
      <c r="C94" s="246" t="str">
        <f>IF(SUMIFS(Торговля!$F$5:$F$300,Торговля!$E$5:$E$300,$B94)+SUMIFS(Закрытые!$F$5:$F$300,Закрытые!$E$5:$E$300,$B94,Закрытые!$B$5:$B$300,"T-*")=0,"",SUMIFS(Торговля!$F$5:$F$300,Торговля!$E$5:$E$300,$B94)+SUMIFS(Закрытые!$F$5:$F$300,Закрытые!$E$5:$E$300,$B94,Закрытые!$B$5:$B$300,"T-*"))</f>
        <v/>
      </c>
      <c r="D94" s="183" t="str">
        <f>IF(C94="","",(SUMPRODUCT((Торговля!$E$5:$E$300=$B94)*Торговля!$F$5:$F$300*Торговля!$G$5:$G$300)+SUMPRODUCT((Закрытые!$E$5:$E$300=$B94)*(LEFT(Закрытые!$B$5:$B$300,2)="T-")*Закрытые!$F$5:$F$300*Закрытые!$G$5:$G$300))/C94)</f>
        <v/>
      </c>
      <c r="E94" s="247" t="str">
        <f>IF(C94="","",SUMIFS(Торговля!$H$5:$H$300,Торговля!$E$5:$E$300,$B94)+SUMIFS(Закрытые!$H$5:$H$300,Закрытые!$E$5:$E$300,$B94,Закрытые!$B$5:$B$300,"T-*"))</f>
        <v/>
      </c>
      <c r="F94" s="246" t="str">
        <f>IF(SUMIFS(Торговля!$I$5:$I$300,Торговля!$E$5:$E$300,$B94)+SUMIFS(Закрытые!$I$5:$I$300,Закрытые!$E$5:$E$300,$B94,Закрытые!$B$5:$B$300,"T-*")=0,"",SUMIFS(Торговля!$I$5:$I$300,Торговля!$E$5:$E$300,$B94)+SUMIFS(Закрытые!$I$5:$I$300,Закрытые!$E$5:$E$300,$B94,Закрытые!$B$5:$B$300,"T-*"))</f>
        <v/>
      </c>
      <c r="G94" s="183" t="str">
        <f>IF(F94="","",(SUMPRODUCT((Торговля!$E$5:$E$300=$B94)*Торговля!$I$5:$I$300*Торговля!$J$5:$J$300)+SUMPRODUCT((Закрытые!$E$5:$E$300=$B94)*(LEFT(Закрытые!$B$5:$B$300,2)="T-")*Закрытые!$I$5:$I$300*Закрытые!$J$5:$J$300))/F94)</f>
        <v/>
      </c>
      <c r="H94" s="247" t="str">
        <f>IF(F94="","",SUMIFS(Торговля!$K$5:$K$300,Торговля!$E$5:$E$300,$B94)+SUMIFS(Закрытые!$K$5:$K$300,Закрытые!$E$5:$E$300,$B94,Закрытые!$B$5:$B$300,"T-*"))</f>
        <v/>
      </c>
      <c r="I94" s="246" t="str">
        <f>IF($B94="","",IF(COUNTIFS(Торговля!$E$5:$E$300,$B94)+COUNTIFS(Закрытые!$E$5:$E$300,$B94,Закрытые!$B$5:$B$300,"T-*")=0,"",ROUND(SUMIFS(Торговля!$L$5:$L$300,Торговля!$E$5:$E$300,$B94)+SUMIFS(Закрытые!$L$5:$L$300,Закрытые!$E$5:$E$300,$B94,Закрытые!$B$5:$B$300,"T-*"),8)))</f>
        <v/>
      </c>
      <c r="J94" s="247" t="str">
        <f>IF($B94="","",IF(COUNTIFS(Торговля!$E$5:$E$300,$B94)+COUNTIFS(Закрытые!$E$5:$E$300,$B94,Закрытые!$B$5:$B$300,"T-*")=0,"",ROUND(SUMIFS(Торговля!$M$5:$M$300,Торговля!$E$5:$E$300,$B94)+SUMIFS(Закрытые!$M$5:$M$300,Закрытые!$E$5:$E$300,$B94,Закрытые!$B$5:$B$300,"T-*"),8)))</f>
        <v/>
      </c>
      <c r="K94" s="246" t="str">
        <f>IF(MIN(N(C94),N(F94))&lt;=0,"",ROUND(MIN(N(C94),N(F94))*(N(G94)-N(D94)),8))</f>
        <v/>
      </c>
      <c r="L94" s="183" t="str">
        <f>IF(MIN(N(C94),N(F94))&lt;=0,"",IF(N(D94)=0,"",ROUND((N(G94)/N(D94)-1)*100,2)))</f>
        <v/>
      </c>
      <c r="M94" s="183" t="str">
        <f>IF(OR(ROUND(N(C94)-N(F94),8)=0,1-N(Ввод!$J$19)/100&lt;=0),"",IF(N(C94)&gt;N(F94),(N(E94)-N(H94))/((N(C94)-N(F94))*(1-N(Ввод!$J$19)/100)),(N(H94)-N(E94))/((N(F94)-N(C94))*(1+N(Ввод!$J$19)/100))))</f>
        <v/>
      </c>
    </row>
    <row r="95" ht="22" customHeight="1">
      <c r="B95" s="239" t="n"/>
      <c r="C95" s="240" t="str">
        <f>IF(SUMIFS(Торговля!$F$5:$F$300,Торговля!$E$5:$E$300,$B95)+SUMIFS(Закрытые!$F$5:$F$300,Закрытые!$E$5:$E$300,$B95,Закрытые!$B$5:$B$300,"T-*")=0,"",SUMIFS(Торговля!$F$5:$F$300,Торговля!$E$5:$E$300,$B95)+SUMIFS(Закрытые!$F$5:$F$300,Закрытые!$E$5:$E$300,$B95,Закрытые!$B$5:$B$300,"T-*"))</f>
        <v/>
      </c>
      <c r="D95" s="177" t="str">
        <f>IF(C95="","",(SUMPRODUCT((Торговля!$E$5:$E$300=$B95)*Торговля!$F$5:$F$300*Торговля!$G$5:$G$300)+SUMPRODUCT((Закрытые!$E$5:$E$300=$B95)*(LEFT(Закрытые!$B$5:$B$300,2)="T-")*Закрытые!$F$5:$F$300*Закрытые!$G$5:$G$300))/C95)</f>
        <v/>
      </c>
      <c r="E95" s="241" t="str">
        <f>IF(C95="","",SUMIFS(Торговля!$H$5:$H$300,Торговля!$E$5:$E$300,$B95)+SUMIFS(Закрытые!$H$5:$H$300,Закрытые!$E$5:$E$300,$B95,Закрытые!$B$5:$B$300,"T-*"))</f>
        <v/>
      </c>
      <c r="F95" s="240" t="str">
        <f>IF(SUMIFS(Торговля!$I$5:$I$300,Торговля!$E$5:$E$300,$B95)+SUMIFS(Закрытые!$I$5:$I$300,Закрытые!$E$5:$E$300,$B95,Закрытые!$B$5:$B$300,"T-*")=0,"",SUMIFS(Торговля!$I$5:$I$300,Торговля!$E$5:$E$300,$B95)+SUMIFS(Закрытые!$I$5:$I$300,Закрытые!$E$5:$E$300,$B95,Закрытые!$B$5:$B$300,"T-*"))</f>
        <v/>
      </c>
      <c r="G95" s="177" t="str">
        <f>IF(F95="","",(SUMPRODUCT((Торговля!$E$5:$E$300=$B95)*Торговля!$I$5:$I$300*Торговля!$J$5:$J$300)+SUMPRODUCT((Закрытые!$E$5:$E$300=$B95)*(LEFT(Закрытые!$B$5:$B$300,2)="T-")*Закрытые!$I$5:$I$300*Закрытые!$J$5:$J$300))/F95)</f>
        <v/>
      </c>
      <c r="H95" s="241" t="str">
        <f>IF(F95="","",SUMIFS(Торговля!$K$5:$K$300,Торговля!$E$5:$E$300,$B95)+SUMIFS(Закрытые!$K$5:$K$300,Закрытые!$E$5:$E$300,$B95,Закрытые!$B$5:$B$300,"T-*"))</f>
        <v/>
      </c>
      <c r="I95" s="240" t="str">
        <f>IF($B95="","",IF(COUNTIFS(Торговля!$E$5:$E$300,$B95)+COUNTIFS(Закрытые!$E$5:$E$300,$B95,Закрытые!$B$5:$B$300,"T-*")=0,"",ROUND(SUMIFS(Торговля!$L$5:$L$300,Торговля!$E$5:$E$300,$B95)+SUMIFS(Закрытые!$L$5:$L$300,Закрытые!$E$5:$E$300,$B95,Закрытые!$B$5:$B$300,"T-*"),8)))</f>
        <v/>
      </c>
      <c r="J95" s="241" t="str">
        <f>IF($B95="","",IF(COUNTIFS(Торговля!$E$5:$E$300,$B95)+COUNTIFS(Закрытые!$E$5:$E$300,$B95,Закрытые!$B$5:$B$300,"T-*")=0,"",ROUND(SUMIFS(Торговля!$M$5:$M$300,Торговля!$E$5:$E$300,$B95)+SUMIFS(Закрытые!$M$5:$M$300,Закрытые!$E$5:$E$300,$B95,Закрытые!$B$5:$B$300,"T-*"),8)))</f>
        <v/>
      </c>
      <c r="K95" s="240" t="str">
        <f>IF(MIN(N(C95),N(F95))&lt;=0,"",ROUND(MIN(N(C95),N(F95))*(N(G95)-N(D95)),8))</f>
        <v/>
      </c>
      <c r="L95" s="177" t="str">
        <f>IF(MIN(N(C95),N(F95))&lt;=0,"",IF(N(D95)=0,"",ROUND((N(G95)/N(D95)-1)*100,2)))</f>
        <v/>
      </c>
      <c r="M95" s="177" t="str">
        <f>IF(OR(ROUND(N(C95)-N(F95),8)=0,1-N(Ввод!$J$19)/100&lt;=0),"",IF(N(C95)&gt;N(F95),(N(E95)-N(H95))/((N(C95)-N(F95))*(1-N(Ввод!$J$19)/100)),(N(H95)-N(E95))/((N(F95)-N(C95))*(1+N(Ввод!$J$19)/100))))</f>
        <v/>
      </c>
    </row>
    <row r="96" ht="22" customHeight="1">
      <c r="B96" s="245" t="n"/>
      <c r="C96" s="246" t="str">
        <f>IF(SUMIFS(Торговля!$F$5:$F$300,Торговля!$E$5:$E$300,$B96)+SUMIFS(Закрытые!$F$5:$F$300,Закрытые!$E$5:$E$300,$B96,Закрытые!$B$5:$B$300,"T-*")=0,"",SUMIFS(Торговля!$F$5:$F$300,Торговля!$E$5:$E$300,$B96)+SUMIFS(Закрытые!$F$5:$F$300,Закрытые!$E$5:$E$300,$B96,Закрытые!$B$5:$B$300,"T-*"))</f>
        <v/>
      </c>
      <c r="D96" s="183" t="str">
        <f>IF(C96="","",(SUMPRODUCT((Торговля!$E$5:$E$300=$B96)*Торговля!$F$5:$F$300*Торговля!$G$5:$G$300)+SUMPRODUCT((Закрытые!$E$5:$E$300=$B96)*(LEFT(Закрытые!$B$5:$B$300,2)="T-")*Закрытые!$F$5:$F$300*Закрытые!$G$5:$G$300))/C96)</f>
        <v/>
      </c>
      <c r="E96" s="247" t="str">
        <f>IF(C96="","",SUMIFS(Торговля!$H$5:$H$300,Торговля!$E$5:$E$300,$B96)+SUMIFS(Закрытые!$H$5:$H$300,Закрытые!$E$5:$E$300,$B96,Закрытые!$B$5:$B$300,"T-*"))</f>
        <v/>
      </c>
      <c r="F96" s="246" t="str">
        <f>IF(SUMIFS(Торговля!$I$5:$I$300,Торговля!$E$5:$E$300,$B96)+SUMIFS(Закрытые!$I$5:$I$300,Закрытые!$E$5:$E$300,$B96,Закрытые!$B$5:$B$300,"T-*")=0,"",SUMIFS(Торговля!$I$5:$I$300,Торговля!$E$5:$E$300,$B96)+SUMIFS(Закрытые!$I$5:$I$300,Закрытые!$E$5:$E$300,$B96,Закрытые!$B$5:$B$300,"T-*"))</f>
        <v/>
      </c>
      <c r="G96" s="183" t="str">
        <f>IF(F96="","",(SUMPRODUCT((Торговля!$E$5:$E$300=$B96)*Торговля!$I$5:$I$300*Торговля!$J$5:$J$300)+SUMPRODUCT((Закрытые!$E$5:$E$300=$B96)*(LEFT(Закрытые!$B$5:$B$300,2)="T-")*Закрытые!$I$5:$I$300*Закрытые!$J$5:$J$300))/F96)</f>
        <v/>
      </c>
      <c r="H96" s="247" t="str">
        <f>IF(F96="","",SUMIFS(Торговля!$K$5:$K$300,Торговля!$E$5:$E$300,$B96)+SUMIFS(Закрытые!$K$5:$K$300,Закрытые!$E$5:$E$300,$B96,Закрытые!$B$5:$B$300,"T-*"))</f>
        <v/>
      </c>
      <c r="I96" s="246" t="str">
        <f>IF($B96="","",IF(COUNTIFS(Торговля!$E$5:$E$300,$B96)+COUNTIFS(Закрытые!$E$5:$E$300,$B96,Закрытые!$B$5:$B$300,"T-*")=0,"",ROUND(SUMIFS(Торговля!$L$5:$L$300,Торговля!$E$5:$E$300,$B96)+SUMIFS(Закрытые!$L$5:$L$300,Закрытые!$E$5:$E$300,$B96,Закрытые!$B$5:$B$300,"T-*"),8)))</f>
        <v/>
      </c>
      <c r="J96" s="247" t="str">
        <f>IF($B96="","",IF(COUNTIFS(Торговля!$E$5:$E$300,$B96)+COUNTIFS(Закрытые!$E$5:$E$300,$B96,Закрытые!$B$5:$B$300,"T-*")=0,"",ROUND(SUMIFS(Торговля!$M$5:$M$300,Торговля!$E$5:$E$300,$B96)+SUMIFS(Закрытые!$M$5:$M$300,Закрытые!$E$5:$E$300,$B96,Закрытые!$B$5:$B$300,"T-*"),8)))</f>
        <v/>
      </c>
      <c r="K96" s="246" t="str">
        <f>IF(MIN(N(C96),N(F96))&lt;=0,"",ROUND(MIN(N(C96),N(F96))*(N(G96)-N(D96)),8))</f>
        <v/>
      </c>
      <c r="L96" s="183" t="str">
        <f>IF(MIN(N(C96),N(F96))&lt;=0,"",IF(N(D96)=0,"",ROUND((N(G96)/N(D96)-1)*100,2)))</f>
        <v/>
      </c>
      <c r="M96" s="183" t="str">
        <f>IF(OR(ROUND(N(C96)-N(F96),8)=0,1-N(Ввод!$J$19)/100&lt;=0),"",IF(N(C96)&gt;N(F96),(N(E96)-N(H96))/((N(C96)-N(F96))*(1-N(Ввод!$J$19)/100)),(N(H96)-N(E96))/((N(F96)-N(C96))*(1+N(Ввод!$J$19)/100))))</f>
        <v/>
      </c>
    </row>
    <row r="97" ht="22" customHeight="1">
      <c r="B97" s="239" t="n"/>
      <c r="C97" s="240" t="str">
        <f>IF(SUMIFS(Торговля!$F$5:$F$300,Торговля!$E$5:$E$300,$B97)+SUMIFS(Закрытые!$F$5:$F$300,Закрытые!$E$5:$E$300,$B97,Закрытые!$B$5:$B$300,"T-*")=0,"",SUMIFS(Торговля!$F$5:$F$300,Торговля!$E$5:$E$300,$B97)+SUMIFS(Закрытые!$F$5:$F$300,Закрытые!$E$5:$E$300,$B97,Закрытые!$B$5:$B$300,"T-*"))</f>
        <v/>
      </c>
      <c r="D97" s="177" t="str">
        <f>IF(C97="","",(SUMPRODUCT((Торговля!$E$5:$E$300=$B97)*Торговля!$F$5:$F$300*Торговля!$G$5:$G$300)+SUMPRODUCT((Закрытые!$E$5:$E$300=$B97)*(LEFT(Закрытые!$B$5:$B$300,2)="T-")*Закрытые!$F$5:$F$300*Закрытые!$G$5:$G$300))/C97)</f>
        <v/>
      </c>
      <c r="E97" s="241" t="str">
        <f>IF(C97="","",SUMIFS(Торговля!$H$5:$H$300,Торговля!$E$5:$E$300,$B97)+SUMIFS(Закрытые!$H$5:$H$300,Закрытые!$E$5:$E$300,$B97,Закрытые!$B$5:$B$300,"T-*"))</f>
        <v/>
      </c>
      <c r="F97" s="240" t="str">
        <f>IF(SUMIFS(Торговля!$I$5:$I$300,Торговля!$E$5:$E$300,$B97)+SUMIFS(Закрытые!$I$5:$I$300,Закрытые!$E$5:$E$300,$B97,Закрытые!$B$5:$B$300,"T-*")=0,"",SUMIFS(Торговля!$I$5:$I$300,Торговля!$E$5:$E$300,$B97)+SUMIFS(Закрытые!$I$5:$I$300,Закрытые!$E$5:$E$300,$B97,Закрытые!$B$5:$B$300,"T-*"))</f>
        <v/>
      </c>
      <c r="G97" s="177" t="str">
        <f>IF(F97="","",(SUMPRODUCT((Торговля!$E$5:$E$300=$B97)*Торговля!$I$5:$I$300*Торговля!$J$5:$J$300)+SUMPRODUCT((Закрытые!$E$5:$E$300=$B97)*(LEFT(Закрытые!$B$5:$B$300,2)="T-")*Закрытые!$I$5:$I$300*Закрытые!$J$5:$J$300))/F97)</f>
        <v/>
      </c>
      <c r="H97" s="241" t="str">
        <f>IF(F97="","",SUMIFS(Торговля!$K$5:$K$300,Торговля!$E$5:$E$300,$B97)+SUMIFS(Закрытые!$K$5:$K$300,Закрытые!$E$5:$E$300,$B97,Закрытые!$B$5:$B$300,"T-*"))</f>
        <v/>
      </c>
      <c r="I97" s="240" t="str">
        <f>IF($B97="","",IF(COUNTIFS(Торговля!$E$5:$E$300,$B97)+COUNTIFS(Закрытые!$E$5:$E$300,$B97,Закрытые!$B$5:$B$300,"T-*")=0,"",ROUND(SUMIFS(Торговля!$L$5:$L$300,Торговля!$E$5:$E$300,$B97)+SUMIFS(Закрытые!$L$5:$L$300,Закрытые!$E$5:$E$300,$B97,Закрытые!$B$5:$B$300,"T-*"),8)))</f>
        <v/>
      </c>
      <c r="J97" s="241" t="str">
        <f>IF($B97="","",IF(COUNTIFS(Торговля!$E$5:$E$300,$B97)+COUNTIFS(Закрытые!$E$5:$E$300,$B97,Закрытые!$B$5:$B$300,"T-*")=0,"",ROUND(SUMIFS(Торговля!$M$5:$M$300,Торговля!$E$5:$E$300,$B97)+SUMIFS(Закрытые!$M$5:$M$300,Закрытые!$E$5:$E$300,$B97,Закрытые!$B$5:$B$300,"T-*"),8)))</f>
        <v/>
      </c>
      <c r="K97" s="240" t="str">
        <f>IF(MIN(N(C97),N(F97))&lt;=0,"",ROUND(MIN(N(C97),N(F97))*(N(G97)-N(D97)),8))</f>
        <v/>
      </c>
      <c r="L97" s="177" t="str">
        <f>IF(MIN(N(C97),N(F97))&lt;=0,"",IF(N(D97)=0,"",ROUND((N(G97)/N(D97)-1)*100,2)))</f>
        <v/>
      </c>
      <c r="M97" s="177" t="str">
        <f>IF(OR(ROUND(N(C97)-N(F97),8)=0,1-N(Ввод!$J$19)/100&lt;=0),"",IF(N(C97)&gt;N(F97),(N(E97)-N(H97))/((N(C97)-N(F97))*(1-N(Ввод!$J$19)/100)),(N(H97)-N(E97))/((N(F97)-N(C97))*(1+N(Ввод!$J$19)/100))))</f>
        <v/>
      </c>
    </row>
    <row r="98" ht="22" customHeight="1">
      <c r="B98" s="245" t="n"/>
      <c r="C98" s="246" t="str">
        <f>IF(SUMIFS(Торговля!$F$5:$F$300,Торговля!$E$5:$E$300,$B98)+SUMIFS(Закрытые!$F$5:$F$300,Закрытые!$E$5:$E$300,$B98,Закрытые!$B$5:$B$300,"T-*")=0,"",SUMIFS(Торговля!$F$5:$F$300,Торговля!$E$5:$E$300,$B98)+SUMIFS(Закрытые!$F$5:$F$300,Закрытые!$E$5:$E$300,$B98,Закрытые!$B$5:$B$300,"T-*"))</f>
        <v/>
      </c>
      <c r="D98" s="183" t="str">
        <f>IF(C98="","",(SUMPRODUCT((Торговля!$E$5:$E$300=$B98)*Торговля!$F$5:$F$300*Торговля!$G$5:$G$300)+SUMPRODUCT((Закрытые!$E$5:$E$300=$B98)*(LEFT(Закрытые!$B$5:$B$300,2)="T-")*Закрытые!$F$5:$F$300*Закрытые!$G$5:$G$300))/C98)</f>
        <v/>
      </c>
      <c r="E98" s="247" t="str">
        <f>IF(C98="","",SUMIFS(Торговля!$H$5:$H$300,Торговля!$E$5:$E$300,$B98)+SUMIFS(Закрытые!$H$5:$H$300,Закрытые!$E$5:$E$300,$B98,Закрытые!$B$5:$B$300,"T-*"))</f>
        <v/>
      </c>
      <c r="F98" s="246" t="str">
        <f>IF(SUMIFS(Торговля!$I$5:$I$300,Торговля!$E$5:$E$300,$B98)+SUMIFS(Закрытые!$I$5:$I$300,Закрытые!$E$5:$E$300,$B98,Закрытые!$B$5:$B$300,"T-*")=0,"",SUMIFS(Торговля!$I$5:$I$300,Торговля!$E$5:$E$300,$B98)+SUMIFS(Закрытые!$I$5:$I$300,Закрытые!$E$5:$E$300,$B98,Закрытые!$B$5:$B$300,"T-*"))</f>
        <v/>
      </c>
      <c r="G98" s="183" t="str">
        <f>IF(F98="","",(SUMPRODUCT((Торговля!$E$5:$E$300=$B98)*Торговля!$I$5:$I$300*Торговля!$J$5:$J$300)+SUMPRODUCT((Закрытые!$E$5:$E$300=$B98)*(LEFT(Закрытые!$B$5:$B$300,2)="T-")*Закрытые!$I$5:$I$300*Закрытые!$J$5:$J$300))/F98)</f>
        <v/>
      </c>
      <c r="H98" s="247" t="str">
        <f>IF(F98="","",SUMIFS(Торговля!$K$5:$K$300,Торговля!$E$5:$E$300,$B98)+SUMIFS(Закрытые!$K$5:$K$300,Закрытые!$E$5:$E$300,$B98,Закрытые!$B$5:$B$300,"T-*"))</f>
        <v/>
      </c>
      <c r="I98" s="246" t="str">
        <f>IF($B98="","",IF(COUNTIFS(Торговля!$E$5:$E$300,$B98)+COUNTIFS(Закрытые!$E$5:$E$300,$B98,Закрытые!$B$5:$B$300,"T-*")=0,"",ROUND(SUMIFS(Торговля!$L$5:$L$300,Торговля!$E$5:$E$300,$B98)+SUMIFS(Закрытые!$L$5:$L$300,Закрытые!$E$5:$E$300,$B98,Закрытые!$B$5:$B$300,"T-*"),8)))</f>
        <v/>
      </c>
      <c r="J98" s="247" t="str">
        <f>IF($B98="","",IF(COUNTIFS(Торговля!$E$5:$E$300,$B98)+COUNTIFS(Закрытые!$E$5:$E$300,$B98,Закрытые!$B$5:$B$300,"T-*")=0,"",ROUND(SUMIFS(Торговля!$M$5:$M$300,Торговля!$E$5:$E$300,$B98)+SUMIFS(Закрытые!$M$5:$M$300,Закрытые!$E$5:$E$300,$B98,Закрытые!$B$5:$B$300,"T-*"),8)))</f>
        <v/>
      </c>
      <c r="K98" s="246" t="str">
        <f>IF(MIN(N(C98),N(F98))&lt;=0,"",ROUND(MIN(N(C98),N(F98))*(N(G98)-N(D98)),8))</f>
        <v/>
      </c>
      <c r="L98" s="183" t="str">
        <f>IF(MIN(N(C98),N(F98))&lt;=0,"",IF(N(D98)=0,"",ROUND((N(G98)/N(D98)-1)*100,2)))</f>
        <v/>
      </c>
      <c r="M98" s="183" t="str">
        <f>IF(OR(ROUND(N(C98)-N(F98),8)=0,1-N(Ввод!$J$19)/100&lt;=0),"",IF(N(C98)&gt;N(F98),(N(E98)-N(H98))/((N(C98)-N(F98))*(1-N(Ввод!$J$19)/100)),(N(H98)-N(E98))/((N(F98)-N(C98))*(1+N(Ввод!$J$19)/100))))</f>
        <v/>
      </c>
    </row>
    <row r="99" ht="22" customHeight="1">
      <c r="B99" s="239" t="n"/>
      <c r="C99" s="240" t="str">
        <f>IF(SUMIFS(Торговля!$F$5:$F$300,Торговля!$E$5:$E$300,$B99)+SUMIFS(Закрытые!$F$5:$F$300,Закрытые!$E$5:$E$300,$B99,Закрытые!$B$5:$B$300,"T-*")=0,"",SUMIFS(Торговля!$F$5:$F$300,Торговля!$E$5:$E$300,$B99)+SUMIFS(Закрытые!$F$5:$F$300,Закрытые!$E$5:$E$300,$B99,Закрытые!$B$5:$B$300,"T-*"))</f>
        <v/>
      </c>
      <c r="D99" s="177" t="str">
        <f>IF(C99="","",(SUMPRODUCT((Торговля!$E$5:$E$300=$B99)*Торговля!$F$5:$F$300*Торговля!$G$5:$G$300)+SUMPRODUCT((Закрытые!$E$5:$E$300=$B99)*(LEFT(Закрытые!$B$5:$B$300,2)="T-")*Закрытые!$F$5:$F$300*Закрытые!$G$5:$G$300))/C99)</f>
        <v/>
      </c>
      <c r="E99" s="241" t="str">
        <f>IF(C99="","",SUMIFS(Торговля!$H$5:$H$300,Торговля!$E$5:$E$300,$B99)+SUMIFS(Закрытые!$H$5:$H$300,Закрытые!$E$5:$E$300,$B99,Закрытые!$B$5:$B$300,"T-*"))</f>
        <v/>
      </c>
      <c r="F99" s="240" t="str">
        <f>IF(SUMIFS(Торговля!$I$5:$I$300,Торговля!$E$5:$E$300,$B99)+SUMIFS(Закрытые!$I$5:$I$300,Закрытые!$E$5:$E$300,$B99,Закрытые!$B$5:$B$300,"T-*")=0,"",SUMIFS(Торговля!$I$5:$I$300,Торговля!$E$5:$E$300,$B99)+SUMIFS(Закрытые!$I$5:$I$300,Закрытые!$E$5:$E$300,$B99,Закрытые!$B$5:$B$300,"T-*"))</f>
        <v/>
      </c>
      <c r="G99" s="177" t="str">
        <f>IF(F99="","",(SUMPRODUCT((Торговля!$E$5:$E$300=$B99)*Торговля!$I$5:$I$300*Торговля!$J$5:$J$300)+SUMPRODUCT((Закрытые!$E$5:$E$300=$B99)*(LEFT(Закрытые!$B$5:$B$300,2)="T-")*Закрытые!$I$5:$I$300*Закрытые!$J$5:$J$300))/F99)</f>
        <v/>
      </c>
      <c r="H99" s="241" t="str">
        <f>IF(F99="","",SUMIFS(Торговля!$K$5:$K$300,Торговля!$E$5:$E$300,$B99)+SUMIFS(Закрытые!$K$5:$K$300,Закрытые!$E$5:$E$300,$B99,Закрытые!$B$5:$B$300,"T-*"))</f>
        <v/>
      </c>
      <c r="I99" s="240" t="str">
        <f>IF($B99="","",IF(COUNTIFS(Торговля!$E$5:$E$300,$B99)+COUNTIFS(Закрытые!$E$5:$E$300,$B99,Закрытые!$B$5:$B$300,"T-*")=0,"",ROUND(SUMIFS(Торговля!$L$5:$L$300,Торговля!$E$5:$E$300,$B99)+SUMIFS(Закрытые!$L$5:$L$300,Закрытые!$E$5:$E$300,$B99,Закрытые!$B$5:$B$300,"T-*"),8)))</f>
        <v/>
      </c>
      <c r="J99" s="241" t="str">
        <f>IF($B99="","",IF(COUNTIFS(Торговля!$E$5:$E$300,$B99)+COUNTIFS(Закрытые!$E$5:$E$300,$B99,Закрытые!$B$5:$B$300,"T-*")=0,"",ROUND(SUMIFS(Торговля!$M$5:$M$300,Торговля!$E$5:$E$300,$B99)+SUMIFS(Закрытые!$M$5:$M$300,Закрытые!$E$5:$E$300,$B99,Закрытые!$B$5:$B$300,"T-*"),8)))</f>
        <v/>
      </c>
      <c r="K99" s="240" t="str">
        <f>IF(MIN(N(C99),N(F99))&lt;=0,"",ROUND(MIN(N(C99),N(F99))*(N(G99)-N(D99)),8))</f>
        <v/>
      </c>
      <c r="L99" s="177" t="str">
        <f>IF(MIN(N(C99),N(F99))&lt;=0,"",IF(N(D99)=0,"",ROUND((N(G99)/N(D99)-1)*100,2)))</f>
        <v/>
      </c>
      <c r="M99" s="177" t="str">
        <f>IF(OR(ROUND(N(C99)-N(F99),8)=0,1-N(Ввод!$J$19)/100&lt;=0),"",IF(N(C99)&gt;N(F99),(N(E99)-N(H99))/((N(C99)-N(F99))*(1-N(Ввод!$J$19)/100)),(N(H99)-N(E99))/((N(F99)-N(C99))*(1+N(Ввод!$J$19)/100))))</f>
        <v/>
      </c>
    </row>
    <row r="100" ht="22" customHeight="1">
      <c r="B100" s="245" t="n"/>
      <c r="C100" s="246" t="str">
        <f>IF(SUMIFS(Торговля!$F$5:$F$300,Торговля!$E$5:$E$300,$B100)+SUMIFS(Закрытые!$F$5:$F$300,Закрытые!$E$5:$E$300,$B100,Закрытые!$B$5:$B$300,"T-*")=0,"",SUMIFS(Торговля!$F$5:$F$300,Торговля!$E$5:$E$300,$B100)+SUMIFS(Закрытые!$F$5:$F$300,Закрытые!$E$5:$E$300,$B100,Закрытые!$B$5:$B$300,"T-*"))</f>
        <v/>
      </c>
      <c r="D100" s="183" t="str">
        <f>IF(C100="","",(SUMPRODUCT((Торговля!$E$5:$E$300=$B100)*Торговля!$F$5:$F$300*Торговля!$G$5:$G$300)+SUMPRODUCT((Закрытые!$E$5:$E$300=$B100)*(LEFT(Закрытые!$B$5:$B$300,2)="T-")*Закрытые!$F$5:$F$300*Закрытые!$G$5:$G$300))/C100)</f>
        <v/>
      </c>
      <c r="E100" s="247" t="str">
        <f>IF(C100="","",SUMIFS(Торговля!$H$5:$H$300,Торговля!$E$5:$E$300,$B100)+SUMIFS(Закрытые!$H$5:$H$300,Закрытые!$E$5:$E$300,$B100,Закрытые!$B$5:$B$300,"T-*"))</f>
        <v/>
      </c>
      <c r="F100" s="246" t="str">
        <f>IF(SUMIFS(Торговля!$I$5:$I$300,Торговля!$E$5:$E$300,$B100)+SUMIFS(Закрытые!$I$5:$I$300,Закрытые!$E$5:$E$300,$B100,Закрытые!$B$5:$B$300,"T-*")=0,"",SUMIFS(Торговля!$I$5:$I$300,Торговля!$E$5:$E$300,$B100)+SUMIFS(Закрытые!$I$5:$I$300,Закрытые!$E$5:$E$300,$B100,Закрытые!$B$5:$B$300,"T-*"))</f>
        <v/>
      </c>
      <c r="G100" s="183" t="str">
        <f>IF(F100="","",(SUMPRODUCT((Торговля!$E$5:$E$300=$B100)*Торговля!$I$5:$I$300*Торговля!$J$5:$J$300)+SUMPRODUCT((Закрытые!$E$5:$E$300=$B100)*(LEFT(Закрытые!$B$5:$B$300,2)="T-")*Закрытые!$I$5:$I$300*Закрытые!$J$5:$J$300))/F100)</f>
        <v/>
      </c>
      <c r="H100" s="247" t="str">
        <f>IF(F100="","",SUMIFS(Торговля!$K$5:$K$300,Торговля!$E$5:$E$300,$B100)+SUMIFS(Закрытые!$K$5:$K$300,Закрытые!$E$5:$E$300,$B100,Закрытые!$B$5:$B$300,"T-*"))</f>
        <v/>
      </c>
      <c r="I100" s="246" t="str">
        <f>IF($B100="","",IF(COUNTIFS(Торговля!$E$5:$E$300,$B100)+COUNTIFS(Закрытые!$E$5:$E$300,$B100,Закрытые!$B$5:$B$300,"T-*")=0,"",ROUND(SUMIFS(Торговля!$L$5:$L$300,Торговля!$E$5:$E$300,$B100)+SUMIFS(Закрытые!$L$5:$L$300,Закрытые!$E$5:$E$300,$B100,Закрытые!$B$5:$B$300,"T-*"),8)))</f>
        <v/>
      </c>
      <c r="J100" s="247" t="str">
        <f>IF($B100="","",IF(COUNTIFS(Торговля!$E$5:$E$300,$B100)+COUNTIFS(Закрытые!$E$5:$E$300,$B100,Закрытые!$B$5:$B$300,"T-*")=0,"",ROUND(SUMIFS(Торговля!$M$5:$M$300,Торговля!$E$5:$E$300,$B100)+SUMIFS(Закрытые!$M$5:$M$300,Закрытые!$E$5:$E$300,$B100,Закрытые!$B$5:$B$300,"T-*"),8)))</f>
        <v/>
      </c>
      <c r="K100" s="246" t="str">
        <f>IF(MIN(N(C100),N(F100))&lt;=0,"",ROUND(MIN(N(C100),N(F100))*(N(G100)-N(D100)),8))</f>
        <v/>
      </c>
      <c r="L100" s="183" t="str">
        <f>IF(MIN(N(C100),N(F100))&lt;=0,"",IF(N(D100)=0,"",ROUND((N(G100)/N(D100)-1)*100,2)))</f>
        <v/>
      </c>
      <c r="M100" s="183" t="str">
        <f>IF(OR(ROUND(N(C100)-N(F100),8)=0,1-N(Ввод!$J$19)/100&lt;=0),"",IF(N(C100)&gt;N(F100),(N(E100)-N(H100))/((N(C100)-N(F100))*(1-N(Ввод!$J$19)/100)),(N(H100)-N(E100))/((N(F100)-N(C100))*(1+N(Ввод!$J$19)/100))))</f>
        <v/>
      </c>
    </row>
    <row r="101" ht="22" customHeight="1">
      <c r="B101" s="239" t="n"/>
      <c r="C101" s="240" t="str">
        <f>IF(SUMIFS(Торговля!$F$5:$F$300,Торговля!$E$5:$E$300,$B101)+SUMIFS(Закрытые!$F$5:$F$300,Закрытые!$E$5:$E$300,$B101,Закрытые!$B$5:$B$300,"T-*")=0,"",SUMIFS(Торговля!$F$5:$F$300,Торговля!$E$5:$E$300,$B101)+SUMIFS(Закрытые!$F$5:$F$300,Закрытые!$E$5:$E$300,$B101,Закрытые!$B$5:$B$300,"T-*"))</f>
        <v/>
      </c>
      <c r="D101" s="177" t="str">
        <f>IF(C101="","",(SUMPRODUCT((Торговля!$E$5:$E$300=$B101)*Торговля!$F$5:$F$300*Торговля!$G$5:$G$300)+SUMPRODUCT((Закрытые!$E$5:$E$300=$B101)*(LEFT(Закрытые!$B$5:$B$300,2)="T-")*Закрытые!$F$5:$F$300*Закрытые!$G$5:$G$300))/C101)</f>
        <v/>
      </c>
      <c r="E101" s="241" t="str">
        <f>IF(C101="","",SUMIFS(Торговля!$H$5:$H$300,Торговля!$E$5:$E$300,$B101)+SUMIFS(Закрытые!$H$5:$H$300,Закрытые!$E$5:$E$300,$B101,Закрытые!$B$5:$B$300,"T-*"))</f>
        <v/>
      </c>
      <c r="F101" s="240" t="str">
        <f>IF(SUMIFS(Торговля!$I$5:$I$300,Торговля!$E$5:$E$300,$B101)+SUMIFS(Закрытые!$I$5:$I$300,Закрытые!$E$5:$E$300,$B101,Закрытые!$B$5:$B$300,"T-*")=0,"",SUMIFS(Торговля!$I$5:$I$300,Торговля!$E$5:$E$300,$B101)+SUMIFS(Закрытые!$I$5:$I$300,Закрытые!$E$5:$E$300,$B101,Закрытые!$B$5:$B$300,"T-*"))</f>
        <v/>
      </c>
      <c r="G101" s="177" t="str">
        <f>IF(F101="","",(SUMPRODUCT((Торговля!$E$5:$E$300=$B101)*Торговля!$I$5:$I$300*Торговля!$J$5:$J$300)+SUMPRODUCT((Закрытые!$E$5:$E$300=$B101)*(LEFT(Закрытые!$B$5:$B$300,2)="T-")*Закрытые!$I$5:$I$300*Закрытые!$J$5:$J$300))/F101)</f>
        <v/>
      </c>
      <c r="H101" s="241" t="str">
        <f>IF(F101="","",SUMIFS(Торговля!$K$5:$K$300,Торговля!$E$5:$E$300,$B101)+SUMIFS(Закрытые!$K$5:$K$300,Закрытые!$E$5:$E$300,$B101,Закрытые!$B$5:$B$300,"T-*"))</f>
        <v/>
      </c>
      <c r="I101" s="240" t="str">
        <f>IF($B101="","",IF(COUNTIFS(Торговля!$E$5:$E$300,$B101)+COUNTIFS(Закрытые!$E$5:$E$300,$B101,Закрытые!$B$5:$B$300,"T-*")=0,"",ROUND(SUMIFS(Торговля!$L$5:$L$300,Торговля!$E$5:$E$300,$B101)+SUMIFS(Закрытые!$L$5:$L$300,Закрытые!$E$5:$E$300,$B101,Закрытые!$B$5:$B$300,"T-*"),8)))</f>
        <v/>
      </c>
      <c r="J101" s="241" t="str">
        <f>IF($B101="","",IF(COUNTIFS(Торговля!$E$5:$E$300,$B101)+COUNTIFS(Закрытые!$E$5:$E$300,$B101,Закрытые!$B$5:$B$300,"T-*")=0,"",ROUND(SUMIFS(Торговля!$M$5:$M$300,Торговля!$E$5:$E$300,$B101)+SUMIFS(Закрытые!$M$5:$M$300,Закрытые!$E$5:$E$300,$B101,Закрытые!$B$5:$B$300,"T-*"),8)))</f>
        <v/>
      </c>
      <c r="K101" s="240" t="str">
        <f>IF(MIN(N(C101),N(F101))&lt;=0,"",ROUND(MIN(N(C101),N(F101))*(N(G101)-N(D101)),8))</f>
        <v/>
      </c>
      <c r="L101" s="177" t="str">
        <f>IF(MIN(N(C101),N(F101))&lt;=0,"",IF(N(D101)=0,"",ROUND((N(G101)/N(D101)-1)*100,2)))</f>
        <v/>
      </c>
      <c r="M101" s="177" t="str">
        <f>IF(OR(ROUND(N(C101)-N(F101),8)=0,1-N(Ввод!$J$19)/100&lt;=0),"",IF(N(C101)&gt;N(F101),(N(E101)-N(H101))/((N(C101)-N(F101))*(1-N(Ввод!$J$19)/100)),(N(H101)-N(E101))/((N(F101)-N(C101))*(1+N(Ввод!$J$19)/100))))</f>
        <v/>
      </c>
    </row>
    <row r="102" ht="22" customHeight="1">
      <c r="B102" s="245" t="n"/>
      <c r="C102" s="246" t="str">
        <f>IF(SUMIFS(Торговля!$F$5:$F$300,Торговля!$E$5:$E$300,$B102)+SUMIFS(Закрытые!$F$5:$F$300,Закрытые!$E$5:$E$300,$B102,Закрытые!$B$5:$B$300,"T-*")=0,"",SUMIFS(Торговля!$F$5:$F$300,Торговля!$E$5:$E$300,$B102)+SUMIFS(Закрытые!$F$5:$F$300,Закрытые!$E$5:$E$300,$B102,Закрытые!$B$5:$B$300,"T-*"))</f>
        <v/>
      </c>
      <c r="D102" s="183" t="str">
        <f>IF(C102="","",(SUMPRODUCT((Торговля!$E$5:$E$300=$B102)*Торговля!$F$5:$F$300*Торговля!$G$5:$G$300)+SUMPRODUCT((Закрытые!$E$5:$E$300=$B102)*(LEFT(Закрытые!$B$5:$B$300,2)="T-")*Закрытые!$F$5:$F$300*Закрытые!$G$5:$G$300))/C102)</f>
        <v/>
      </c>
      <c r="E102" s="247" t="str">
        <f>IF(C102="","",SUMIFS(Торговля!$H$5:$H$300,Торговля!$E$5:$E$300,$B102)+SUMIFS(Закрытые!$H$5:$H$300,Закрытые!$E$5:$E$300,$B102,Закрытые!$B$5:$B$300,"T-*"))</f>
        <v/>
      </c>
      <c r="F102" s="246" t="str">
        <f>IF(SUMIFS(Торговля!$I$5:$I$300,Торговля!$E$5:$E$300,$B102)+SUMIFS(Закрытые!$I$5:$I$300,Закрытые!$E$5:$E$300,$B102,Закрытые!$B$5:$B$300,"T-*")=0,"",SUMIFS(Торговля!$I$5:$I$300,Торговля!$E$5:$E$300,$B102)+SUMIFS(Закрытые!$I$5:$I$300,Закрытые!$E$5:$E$300,$B102,Закрытые!$B$5:$B$300,"T-*"))</f>
        <v/>
      </c>
      <c r="G102" s="183" t="str">
        <f>IF(F102="","",(SUMPRODUCT((Торговля!$E$5:$E$300=$B102)*Торговля!$I$5:$I$300*Торговля!$J$5:$J$300)+SUMPRODUCT((Закрытые!$E$5:$E$300=$B102)*(LEFT(Закрытые!$B$5:$B$300,2)="T-")*Закрытые!$I$5:$I$300*Закрытые!$J$5:$J$300))/F102)</f>
        <v/>
      </c>
      <c r="H102" s="247" t="str">
        <f>IF(F102="","",SUMIFS(Торговля!$K$5:$K$300,Торговля!$E$5:$E$300,$B102)+SUMIFS(Закрытые!$K$5:$K$300,Закрытые!$E$5:$E$300,$B102,Закрытые!$B$5:$B$300,"T-*"))</f>
        <v/>
      </c>
      <c r="I102" s="246" t="str">
        <f>IF($B102="","",IF(COUNTIFS(Торговля!$E$5:$E$300,$B102)+COUNTIFS(Закрытые!$E$5:$E$300,$B102,Закрытые!$B$5:$B$300,"T-*")=0,"",ROUND(SUMIFS(Торговля!$L$5:$L$300,Торговля!$E$5:$E$300,$B102)+SUMIFS(Закрытые!$L$5:$L$300,Закрытые!$E$5:$E$300,$B102,Закрытые!$B$5:$B$300,"T-*"),8)))</f>
        <v/>
      </c>
      <c r="J102" s="247" t="str">
        <f>IF($B102="","",IF(COUNTIFS(Торговля!$E$5:$E$300,$B102)+COUNTIFS(Закрытые!$E$5:$E$300,$B102,Закрытые!$B$5:$B$300,"T-*")=0,"",ROUND(SUMIFS(Торговля!$M$5:$M$300,Торговля!$E$5:$E$300,$B102)+SUMIFS(Закрытые!$M$5:$M$300,Закрытые!$E$5:$E$300,$B102,Закрытые!$B$5:$B$300,"T-*"),8)))</f>
        <v/>
      </c>
      <c r="K102" s="246" t="str">
        <f>IF(MIN(N(C102),N(F102))&lt;=0,"",ROUND(MIN(N(C102),N(F102))*(N(G102)-N(D102)),8))</f>
        <v/>
      </c>
      <c r="L102" s="183" t="str">
        <f>IF(MIN(N(C102),N(F102))&lt;=0,"",IF(N(D102)=0,"",ROUND((N(G102)/N(D102)-1)*100,2)))</f>
        <v/>
      </c>
      <c r="M102" s="183" t="str">
        <f>IF(OR(ROUND(N(C102)-N(F102),8)=0,1-N(Ввод!$J$19)/100&lt;=0),"",IF(N(C102)&gt;N(F102),(N(E102)-N(H102))/((N(C102)-N(F102))*(1-N(Ввод!$J$19)/100)),(N(H102)-N(E102))/((N(F102)-N(C102))*(1+N(Ввод!$J$19)/100))))</f>
        <v/>
      </c>
    </row>
    <row r="103" ht="22" customHeight="1">
      <c r="B103" s="239" t="n"/>
      <c r="C103" s="240" t="str">
        <f>IF(SUMIFS(Торговля!$F$5:$F$300,Торговля!$E$5:$E$300,$B103)+SUMIFS(Закрытые!$F$5:$F$300,Закрытые!$E$5:$E$300,$B103,Закрытые!$B$5:$B$300,"T-*")=0,"",SUMIFS(Торговля!$F$5:$F$300,Торговля!$E$5:$E$300,$B103)+SUMIFS(Закрытые!$F$5:$F$300,Закрытые!$E$5:$E$300,$B103,Закрытые!$B$5:$B$300,"T-*"))</f>
        <v/>
      </c>
      <c r="D103" s="177" t="str">
        <f>IF(C103="","",(SUMPRODUCT((Торговля!$E$5:$E$300=$B103)*Торговля!$F$5:$F$300*Торговля!$G$5:$G$300)+SUMPRODUCT((Закрытые!$E$5:$E$300=$B103)*(LEFT(Закрытые!$B$5:$B$300,2)="T-")*Закрытые!$F$5:$F$300*Закрытые!$G$5:$G$300))/C103)</f>
        <v/>
      </c>
      <c r="E103" s="241" t="str">
        <f>IF(C103="","",SUMIFS(Торговля!$H$5:$H$300,Торговля!$E$5:$E$300,$B103)+SUMIFS(Закрытые!$H$5:$H$300,Закрытые!$E$5:$E$300,$B103,Закрытые!$B$5:$B$300,"T-*"))</f>
        <v/>
      </c>
      <c r="F103" s="240" t="str">
        <f>IF(SUMIFS(Торговля!$I$5:$I$300,Торговля!$E$5:$E$300,$B103)+SUMIFS(Закрытые!$I$5:$I$300,Закрытые!$E$5:$E$300,$B103,Закрытые!$B$5:$B$300,"T-*")=0,"",SUMIFS(Торговля!$I$5:$I$300,Торговля!$E$5:$E$300,$B103)+SUMIFS(Закрытые!$I$5:$I$300,Закрытые!$E$5:$E$300,$B103,Закрытые!$B$5:$B$300,"T-*"))</f>
        <v/>
      </c>
      <c r="G103" s="177" t="str">
        <f>IF(F103="","",(SUMPRODUCT((Торговля!$E$5:$E$300=$B103)*Торговля!$I$5:$I$300*Торговля!$J$5:$J$300)+SUMPRODUCT((Закрытые!$E$5:$E$300=$B103)*(LEFT(Закрытые!$B$5:$B$300,2)="T-")*Закрытые!$I$5:$I$300*Закрытые!$J$5:$J$300))/F103)</f>
        <v/>
      </c>
      <c r="H103" s="241" t="str">
        <f>IF(F103="","",SUMIFS(Торговля!$K$5:$K$300,Торговля!$E$5:$E$300,$B103)+SUMIFS(Закрытые!$K$5:$K$300,Закрытые!$E$5:$E$300,$B103,Закрытые!$B$5:$B$300,"T-*"))</f>
        <v/>
      </c>
      <c r="I103" s="240" t="str">
        <f>IF($B103="","",IF(COUNTIFS(Торговля!$E$5:$E$300,$B103)+COUNTIFS(Закрытые!$E$5:$E$300,$B103,Закрытые!$B$5:$B$300,"T-*")=0,"",ROUND(SUMIFS(Торговля!$L$5:$L$300,Торговля!$E$5:$E$300,$B103)+SUMIFS(Закрытые!$L$5:$L$300,Закрытые!$E$5:$E$300,$B103,Закрытые!$B$5:$B$300,"T-*"),8)))</f>
        <v/>
      </c>
      <c r="J103" s="241" t="str">
        <f>IF($B103="","",IF(COUNTIFS(Торговля!$E$5:$E$300,$B103)+COUNTIFS(Закрытые!$E$5:$E$300,$B103,Закрытые!$B$5:$B$300,"T-*")=0,"",ROUND(SUMIFS(Торговля!$M$5:$M$300,Торговля!$E$5:$E$300,$B103)+SUMIFS(Закрытые!$M$5:$M$300,Закрытые!$E$5:$E$300,$B103,Закрытые!$B$5:$B$300,"T-*"),8)))</f>
        <v/>
      </c>
      <c r="K103" s="240" t="str">
        <f>IF(MIN(N(C103),N(F103))&lt;=0,"",ROUND(MIN(N(C103),N(F103))*(N(G103)-N(D103)),8))</f>
        <v/>
      </c>
      <c r="L103" s="177" t="str">
        <f>IF(MIN(N(C103),N(F103))&lt;=0,"",IF(N(D103)=0,"",ROUND((N(G103)/N(D103)-1)*100,2)))</f>
        <v/>
      </c>
      <c r="M103" s="177" t="str">
        <f>IF(OR(ROUND(N(C103)-N(F103),8)=0,1-N(Ввод!$J$19)/100&lt;=0),"",IF(N(C103)&gt;N(F103),(N(E103)-N(H103))/((N(C103)-N(F103))*(1-N(Ввод!$J$19)/100)),(N(H103)-N(E103))/((N(F103)-N(C103))*(1+N(Ввод!$J$19)/100))))</f>
        <v/>
      </c>
    </row>
    <row r="104" ht="22" customHeight="1">
      <c r="B104" s="245" t="n"/>
      <c r="C104" s="246" t="str">
        <f>IF(SUMIFS(Торговля!$F$5:$F$300,Торговля!$E$5:$E$300,$B104)+SUMIFS(Закрытые!$F$5:$F$300,Закрытые!$E$5:$E$300,$B104,Закрытые!$B$5:$B$300,"T-*")=0,"",SUMIFS(Торговля!$F$5:$F$300,Торговля!$E$5:$E$300,$B104)+SUMIFS(Закрытые!$F$5:$F$300,Закрытые!$E$5:$E$300,$B104,Закрытые!$B$5:$B$300,"T-*"))</f>
        <v/>
      </c>
      <c r="D104" s="183" t="str">
        <f>IF(C104="","",(SUMPRODUCT((Торговля!$E$5:$E$300=$B104)*Торговля!$F$5:$F$300*Торговля!$G$5:$G$300)+SUMPRODUCT((Закрытые!$E$5:$E$300=$B104)*(LEFT(Закрытые!$B$5:$B$300,2)="T-")*Закрытые!$F$5:$F$300*Закрытые!$G$5:$G$300))/C104)</f>
        <v/>
      </c>
      <c r="E104" s="247" t="str">
        <f>IF(C104="","",SUMIFS(Торговля!$H$5:$H$300,Торговля!$E$5:$E$300,$B104)+SUMIFS(Закрытые!$H$5:$H$300,Закрытые!$E$5:$E$300,$B104,Закрытые!$B$5:$B$300,"T-*"))</f>
        <v/>
      </c>
      <c r="F104" s="246" t="str">
        <f>IF(SUMIFS(Торговля!$I$5:$I$300,Торговля!$E$5:$E$300,$B104)+SUMIFS(Закрытые!$I$5:$I$300,Закрытые!$E$5:$E$300,$B104,Закрытые!$B$5:$B$300,"T-*")=0,"",SUMIFS(Торговля!$I$5:$I$300,Торговля!$E$5:$E$300,$B104)+SUMIFS(Закрытые!$I$5:$I$300,Закрытые!$E$5:$E$300,$B104,Закрытые!$B$5:$B$300,"T-*"))</f>
        <v/>
      </c>
      <c r="G104" s="183" t="str">
        <f>IF(F104="","",(SUMPRODUCT((Торговля!$E$5:$E$300=$B104)*Торговля!$I$5:$I$300*Торговля!$J$5:$J$300)+SUMPRODUCT((Закрытые!$E$5:$E$300=$B104)*(LEFT(Закрытые!$B$5:$B$300,2)="T-")*Закрытые!$I$5:$I$300*Закрытые!$J$5:$J$300))/F104)</f>
        <v/>
      </c>
      <c r="H104" s="247" t="str">
        <f>IF(F104="","",SUMIFS(Торговля!$K$5:$K$300,Торговля!$E$5:$E$300,$B104)+SUMIFS(Закрытые!$K$5:$K$300,Закрытые!$E$5:$E$300,$B104,Закрытые!$B$5:$B$300,"T-*"))</f>
        <v/>
      </c>
      <c r="I104" s="246" t="str">
        <f>IF($B104="","",IF(COUNTIFS(Торговля!$E$5:$E$300,$B104)+COUNTIFS(Закрытые!$E$5:$E$300,$B104,Закрытые!$B$5:$B$300,"T-*")=0,"",ROUND(SUMIFS(Торговля!$L$5:$L$300,Торговля!$E$5:$E$300,$B104)+SUMIFS(Закрытые!$L$5:$L$300,Закрытые!$E$5:$E$300,$B104,Закрытые!$B$5:$B$300,"T-*"),8)))</f>
        <v/>
      </c>
      <c r="J104" s="247" t="str">
        <f>IF($B104="","",IF(COUNTIFS(Торговля!$E$5:$E$300,$B104)+COUNTIFS(Закрытые!$E$5:$E$300,$B104,Закрытые!$B$5:$B$300,"T-*")=0,"",ROUND(SUMIFS(Торговля!$M$5:$M$300,Торговля!$E$5:$E$300,$B104)+SUMIFS(Закрытые!$M$5:$M$300,Закрытые!$E$5:$E$300,$B104,Закрытые!$B$5:$B$300,"T-*"),8)))</f>
        <v/>
      </c>
      <c r="K104" s="246" t="str">
        <f>IF(MIN(N(C104),N(F104))&lt;=0,"",ROUND(MIN(N(C104),N(F104))*(N(G104)-N(D104)),8))</f>
        <v/>
      </c>
      <c r="L104" s="183" t="str">
        <f>IF(MIN(N(C104),N(F104))&lt;=0,"",IF(N(D104)=0,"",ROUND((N(G104)/N(D104)-1)*100,2)))</f>
        <v/>
      </c>
      <c r="M104" s="183" t="str">
        <f>IF(OR(ROUND(N(C104)-N(F104),8)=0,1-N(Ввод!$J$19)/100&lt;=0),"",IF(N(C104)&gt;N(F104),(N(E104)-N(H104))/((N(C104)-N(F104))*(1-N(Ввод!$J$19)/100)),(N(H104)-N(E104))/((N(F104)-N(C104))*(1+N(Ввод!$J$19)/100))))</f>
        <v/>
      </c>
    </row>
    <row r="105" ht="22" customHeight="1">
      <c r="B105" s="239" t="n"/>
      <c r="C105" s="240" t="str">
        <f>IF(SUMIFS(Торговля!$F$5:$F$300,Торговля!$E$5:$E$300,$B105)+SUMIFS(Закрытые!$F$5:$F$300,Закрытые!$E$5:$E$300,$B105,Закрытые!$B$5:$B$300,"T-*")=0,"",SUMIFS(Торговля!$F$5:$F$300,Торговля!$E$5:$E$300,$B105)+SUMIFS(Закрытые!$F$5:$F$300,Закрытые!$E$5:$E$300,$B105,Закрытые!$B$5:$B$300,"T-*"))</f>
        <v/>
      </c>
      <c r="D105" s="177" t="str">
        <f>IF(C105="","",(SUMPRODUCT((Торговля!$E$5:$E$300=$B105)*Торговля!$F$5:$F$300*Торговля!$G$5:$G$300)+SUMPRODUCT((Закрытые!$E$5:$E$300=$B105)*(LEFT(Закрытые!$B$5:$B$300,2)="T-")*Закрытые!$F$5:$F$300*Закрытые!$G$5:$G$300))/C105)</f>
        <v/>
      </c>
      <c r="E105" s="241" t="str">
        <f>IF(C105="","",SUMIFS(Торговля!$H$5:$H$300,Торговля!$E$5:$E$300,$B105)+SUMIFS(Закрытые!$H$5:$H$300,Закрытые!$E$5:$E$300,$B105,Закрытые!$B$5:$B$300,"T-*"))</f>
        <v/>
      </c>
      <c r="F105" s="240" t="str">
        <f>IF(SUMIFS(Торговля!$I$5:$I$300,Торговля!$E$5:$E$300,$B105)+SUMIFS(Закрытые!$I$5:$I$300,Закрытые!$E$5:$E$300,$B105,Закрытые!$B$5:$B$300,"T-*")=0,"",SUMIFS(Торговля!$I$5:$I$300,Торговля!$E$5:$E$300,$B105)+SUMIFS(Закрытые!$I$5:$I$300,Закрытые!$E$5:$E$300,$B105,Закрытые!$B$5:$B$300,"T-*"))</f>
        <v/>
      </c>
      <c r="G105" s="177" t="str">
        <f>IF(F105="","",(SUMPRODUCT((Торговля!$E$5:$E$300=$B105)*Торговля!$I$5:$I$300*Торговля!$J$5:$J$300)+SUMPRODUCT((Закрытые!$E$5:$E$300=$B105)*(LEFT(Закрытые!$B$5:$B$300,2)="T-")*Закрытые!$I$5:$I$300*Закрытые!$J$5:$J$300))/F105)</f>
        <v/>
      </c>
      <c r="H105" s="241" t="str">
        <f>IF(F105="","",SUMIFS(Торговля!$K$5:$K$300,Торговля!$E$5:$E$300,$B105)+SUMIFS(Закрытые!$K$5:$K$300,Закрытые!$E$5:$E$300,$B105,Закрытые!$B$5:$B$300,"T-*"))</f>
        <v/>
      </c>
      <c r="I105" s="240" t="str">
        <f>IF($B105="","",IF(COUNTIFS(Торговля!$E$5:$E$300,$B105)+COUNTIFS(Закрытые!$E$5:$E$300,$B105,Закрытые!$B$5:$B$300,"T-*")=0,"",ROUND(SUMIFS(Торговля!$L$5:$L$300,Торговля!$E$5:$E$300,$B105)+SUMIFS(Закрытые!$L$5:$L$300,Закрытые!$E$5:$E$300,$B105,Закрытые!$B$5:$B$300,"T-*"),8)))</f>
        <v/>
      </c>
      <c r="J105" s="241" t="str">
        <f>IF($B105="","",IF(COUNTIFS(Торговля!$E$5:$E$300,$B105)+COUNTIFS(Закрытые!$E$5:$E$300,$B105,Закрытые!$B$5:$B$300,"T-*")=0,"",ROUND(SUMIFS(Торговля!$M$5:$M$300,Торговля!$E$5:$E$300,$B105)+SUMIFS(Закрытые!$M$5:$M$300,Закрытые!$E$5:$E$300,$B105,Закрытые!$B$5:$B$300,"T-*"),8)))</f>
        <v/>
      </c>
      <c r="K105" s="240" t="str">
        <f>IF(MIN(N(C105),N(F105))&lt;=0,"",ROUND(MIN(N(C105),N(F105))*(N(G105)-N(D105)),8))</f>
        <v/>
      </c>
      <c r="L105" s="177" t="str">
        <f>IF(MIN(N(C105),N(F105))&lt;=0,"",IF(N(D105)=0,"",ROUND((N(G105)/N(D105)-1)*100,2)))</f>
        <v/>
      </c>
      <c r="M105" s="177" t="str">
        <f>IF(OR(ROUND(N(C105)-N(F105),8)=0,1-N(Ввод!$J$19)/100&lt;=0),"",IF(N(C105)&gt;N(F105),(N(E105)-N(H105))/((N(C105)-N(F105))*(1-N(Ввод!$J$19)/100)),(N(H105)-N(E105))/((N(F105)-N(C105))*(1+N(Ввод!$J$19)/100))))</f>
        <v/>
      </c>
    </row>
    <row r="106" ht="22" customHeight="1">
      <c r="B106" s="245" t="n"/>
      <c r="C106" s="246" t="str">
        <f>IF(SUMIFS(Торговля!$F$5:$F$300,Торговля!$E$5:$E$300,$B106)+SUMIFS(Закрытые!$F$5:$F$300,Закрытые!$E$5:$E$300,$B106,Закрытые!$B$5:$B$300,"T-*")=0,"",SUMIFS(Торговля!$F$5:$F$300,Торговля!$E$5:$E$300,$B106)+SUMIFS(Закрытые!$F$5:$F$300,Закрытые!$E$5:$E$300,$B106,Закрытые!$B$5:$B$300,"T-*"))</f>
        <v/>
      </c>
      <c r="D106" s="183" t="str">
        <f>IF(C106="","",(SUMPRODUCT((Торговля!$E$5:$E$300=$B106)*Торговля!$F$5:$F$300*Торговля!$G$5:$G$300)+SUMPRODUCT((Закрытые!$E$5:$E$300=$B106)*(LEFT(Закрытые!$B$5:$B$300,2)="T-")*Закрытые!$F$5:$F$300*Закрытые!$G$5:$G$300))/C106)</f>
        <v/>
      </c>
      <c r="E106" s="247" t="str">
        <f>IF(C106="","",SUMIFS(Торговля!$H$5:$H$300,Торговля!$E$5:$E$300,$B106)+SUMIFS(Закрытые!$H$5:$H$300,Закрытые!$E$5:$E$300,$B106,Закрытые!$B$5:$B$300,"T-*"))</f>
        <v/>
      </c>
      <c r="F106" s="246" t="str">
        <f>IF(SUMIFS(Торговля!$I$5:$I$300,Торговля!$E$5:$E$300,$B106)+SUMIFS(Закрытые!$I$5:$I$300,Закрытые!$E$5:$E$300,$B106,Закрытые!$B$5:$B$300,"T-*")=0,"",SUMIFS(Торговля!$I$5:$I$300,Торговля!$E$5:$E$300,$B106)+SUMIFS(Закрытые!$I$5:$I$300,Закрытые!$E$5:$E$300,$B106,Закрытые!$B$5:$B$300,"T-*"))</f>
        <v/>
      </c>
      <c r="G106" s="183" t="str">
        <f>IF(F106="","",(SUMPRODUCT((Торговля!$E$5:$E$300=$B106)*Торговля!$I$5:$I$300*Торговля!$J$5:$J$300)+SUMPRODUCT((Закрытые!$E$5:$E$300=$B106)*(LEFT(Закрытые!$B$5:$B$300,2)="T-")*Закрытые!$I$5:$I$300*Закрытые!$J$5:$J$300))/F106)</f>
        <v/>
      </c>
      <c r="H106" s="247" t="str">
        <f>IF(F106="","",SUMIFS(Торговля!$K$5:$K$300,Торговля!$E$5:$E$300,$B106)+SUMIFS(Закрытые!$K$5:$K$300,Закрытые!$E$5:$E$300,$B106,Закрытые!$B$5:$B$300,"T-*"))</f>
        <v/>
      </c>
      <c r="I106" s="246" t="str">
        <f>IF($B106="","",IF(COUNTIFS(Торговля!$E$5:$E$300,$B106)+COUNTIFS(Закрытые!$E$5:$E$300,$B106,Закрытые!$B$5:$B$300,"T-*")=0,"",ROUND(SUMIFS(Торговля!$L$5:$L$300,Торговля!$E$5:$E$300,$B106)+SUMIFS(Закрытые!$L$5:$L$300,Закрытые!$E$5:$E$300,$B106,Закрытые!$B$5:$B$300,"T-*"),8)))</f>
        <v/>
      </c>
      <c r="J106" s="247" t="str">
        <f>IF($B106="","",IF(COUNTIFS(Торговля!$E$5:$E$300,$B106)+COUNTIFS(Закрытые!$E$5:$E$300,$B106,Закрытые!$B$5:$B$300,"T-*")=0,"",ROUND(SUMIFS(Торговля!$M$5:$M$300,Торговля!$E$5:$E$300,$B106)+SUMIFS(Закрытые!$M$5:$M$300,Закрытые!$E$5:$E$300,$B106,Закрытые!$B$5:$B$300,"T-*"),8)))</f>
        <v/>
      </c>
      <c r="K106" s="246" t="str">
        <f>IF(MIN(N(C106),N(F106))&lt;=0,"",ROUND(MIN(N(C106),N(F106))*(N(G106)-N(D106)),8))</f>
        <v/>
      </c>
      <c r="L106" s="183" t="str">
        <f>IF(MIN(N(C106),N(F106))&lt;=0,"",IF(N(D106)=0,"",ROUND((N(G106)/N(D106)-1)*100,2)))</f>
        <v/>
      </c>
      <c r="M106" s="183" t="str">
        <f>IF(OR(ROUND(N(C106)-N(F106),8)=0,1-N(Ввод!$J$19)/100&lt;=0),"",IF(N(C106)&gt;N(F106),(N(E106)-N(H106))/((N(C106)-N(F106))*(1-N(Ввод!$J$19)/100)),(N(H106)-N(E106))/((N(F106)-N(C106))*(1+N(Ввод!$J$19)/100))))</f>
        <v/>
      </c>
    </row>
    <row r="107" ht="22" customHeight="1">
      <c r="B107" s="239" t="n"/>
      <c r="C107" s="240" t="str">
        <f>IF(SUMIFS(Торговля!$F$5:$F$300,Торговля!$E$5:$E$300,$B107)+SUMIFS(Закрытые!$F$5:$F$300,Закрытые!$E$5:$E$300,$B107,Закрытые!$B$5:$B$300,"T-*")=0,"",SUMIFS(Торговля!$F$5:$F$300,Торговля!$E$5:$E$300,$B107)+SUMIFS(Закрытые!$F$5:$F$300,Закрытые!$E$5:$E$300,$B107,Закрытые!$B$5:$B$300,"T-*"))</f>
        <v/>
      </c>
      <c r="D107" s="177" t="str">
        <f>IF(C107="","",(SUMPRODUCT((Торговля!$E$5:$E$300=$B107)*Торговля!$F$5:$F$300*Торговля!$G$5:$G$300)+SUMPRODUCT((Закрытые!$E$5:$E$300=$B107)*(LEFT(Закрытые!$B$5:$B$300,2)="T-")*Закрытые!$F$5:$F$300*Закрытые!$G$5:$G$300))/C107)</f>
        <v/>
      </c>
      <c r="E107" s="241" t="str">
        <f>IF(C107="","",SUMIFS(Торговля!$H$5:$H$300,Торговля!$E$5:$E$300,$B107)+SUMIFS(Закрытые!$H$5:$H$300,Закрытые!$E$5:$E$300,$B107,Закрытые!$B$5:$B$300,"T-*"))</f>
        <v/>
      </c>
      <c r="F107" s="240" t="str">
        <f>IF(SUMIFS(Торговля!$I$5:$I$300,Торговля!$E$5:$E$300,$B107)+SUMIFS(Закрытые!$I$5:$I$300,Закрытые!$E$5:$E$300,$B107,Закрытые!$B$5:$B$300,"T-*")=0,"",SUMIFS(Торговля!$I$5:$I$300,Торговля!$E$5:$E$300,$B107)+SUMIFS(Закрытые!$I$5:$I$300,Закрытые!$E$5:$E$300,$B107,Закрытые!$B$5:$B$300,"T-*"))</f>
        <v/>
      </c>
      <c r="G107" s="177" t="str">
        <f>IF(F107="","",(SUMPRODUCT((Торговля!$E$5:$E$300=$B107)*Торговля!$I$5:$I$300*Торговля!$J$5:$J$300)+SUMPRODUCT((Закрытые!$E$5:$E$300=$B107)*(LEFT(Закрытые!$B$5:$B$300,2)="T-")*Закрытые!$I$5:$I$300*Закрытые!$J$5:$J$300))/F107)</f>
        <v/>
      </c>
      <c r="H107" s="241" t="str">
        <f>IF(F107="","",SUMIFS(Торговля!$K$5:$K$300,Торговля!$E$5:$E$300,$B107)+SUMIFS(Закрытые!$K$5:$K$300,Закрытые!$E$5:$E$300,$B107,Закрытые!$B$5:$B$300,"T-*"))</f>
        <v/>
      </c>
      <c r="I107" s="240" t="str">
        <f>IF($B107="","",IF(COUNTIFS(Торговля!$E$5:$E$300,$B107)+COUNTIFS(Закрытые!$E$5:$E$300,$B107,Закрытые!$B$5:$B$300,"T-*")=0,"",ROUND(SUMIFS(Торговля!$L$5:$L$300,Торговля!$E$5:$E$300,$B107)+SUMIFS(Закрытые!$L$5:$L$300,Закрытые!$E$5:$E$300,$B107,Закрытые!$B$5:$B$300,"T-*"),8)))</f>
        <v/>
      </c>
      <c r="J107" s="241" t="str">
        <f>IF($B107="","",IF(COUNTIFS(Торговля!$E$5:$E$300,$B107)+COUNTIFS(Закрытые!$E$5:$E$300,$B107,Закрытые!$B$5:$B$300,"T-*")=0,"",ROUND(SUMIFS(Торговля!$M$5:$M$300,Торговля!$E$5:$E$300,$B107)+SUMIFS(Закрытые!$M$5:$M$300,Закрытые!$E$5:$E$300,$B107,Закрытые!$B$5:$B$300,"T-*"),8)))</f>
        <v/>
      </c>
      <c r="K107" s="240" t="str">
        <f>IF(MIN(N(C107),N(F107))&lt;=0,"",ROUND(MIN(N(C107),N(F107))*(N(G107)-N(D107)),8))</f>
        <v/>
      </c>
      <c r="L107" s="177" t="str">
        <f>IF(MIN(N(C107),N(F107))&lt;=0,"",IF(N(D107)=0,"",ROUND((N(G107)/N(D107)-1)*100,2)))</f>
        <v/>
      </c>
      <c r="M107" s="177" t="str">
        <f>IF(OR(ROUND(N(C107)-N(F107),8)=0,1-N(Ввод!$J$19)/100&lt;=0),"",IF(N(C107)&gt;N(F107),(N(E107)-N(H107))/((N(C107)-N(F107))*(1-N(Ввод!$J$19)/100)),(N(H107)-N(E107))/((N(F107)-N(C107))*(1+N(Ввод!$J$19)/100))))</f>
        <v/>
      </c>
    </row>
    <row r="108" ht="22" customHeight="1">
      <c r="B108" s="245" t="n"/>
      <c r="C108" s="246" t="str">
        <f>IF(SUMIFS(Торговля!$F$5:$F$300,Торговля!$E$5:$E$300,$B108)+SUMIFS(Закрытые!$F$5:$F$300,Закрытые!$E$5:$E$300,$B108,Закрытые!$B$5:$B$300,"T-*")=0,"",SUMIFS(Торговля!$F$5:$F$300,Торговля!$E$5:$E$300,$B108)+SUMIFS(Закрытые!$F$5:$F$300,Закрытые!$E$5:$E$300,$B108,Закрытые!$B$5:$B$300,"T-*"))</f>
        <v/>
      </c>
      <c r="D108" s="183" t="str">
        <f>IF(C108="","",(SUMPRODUCT((Торговля!$E$5:$E$300=$B108)*Торговля!$F$5:$F$300*Торговля!$G$5:$G$300)+SUMPRODUCT((Закрытые!$E$5:$E$300=$B108)*(LEFT(Закрытые!$B$5:$B$300,2)="T-")*Закрытые!$F$5:$F$300*Закрытые!$G$5:$G$300))/C108)</f>
        <v/>
      </c>
      <c r="E108" s="247" t="str">
        <f>IF(C108="","",SUMIFS(Торговля!$H$5:$H$300,Торговля!$E$5:$E$300,$B108)+SUMIFS(Закрытые!$H$5:$H$300,Закрытые!$E$5:$E$300,$B108,Закрытые!$B$5:$B$300,"T-*"))</f>
        <v/>
      </c>
      <c r="F108" s="246" t="str">
        <f>IF(SUMIFS(Торговля!$I$5:$I$300,Торговля!$E$5:$E$300,$B108)+SUMIFS(Закрытые!$I$5:$I$300,Закрытые!$E$5:$E$300,$B108,Закрытые!$B$5:$B$300,"T-*")=0,"",SUMIFS(Торговля!$I$5:$I$300,Торговля!$E$5:$E$300,$B108)+SUMIFS(Закрытые!$I$5:$I$300,Закрытые!$E$5:$E$300,$B108,Закрытые!$B$5:$B$300,"T-*"))</f>
        <v/>
      </c>
      <c r="G108" s="183" t="str">
        <f>IF(F108="","",(SUMPRODUCT((Торговля!$E$5:$E$300=$B108)*Торговля!$I$5:$I$300*Торговля!$J$5:$J$300)+SUMPRODUCT((Закрытые!$E$5:$E$300=$B108)*(LEFT(Закрытые!$B$5:$B$300,2)="T-")*Закрытые!$I$5:$I$300*Закрытые!$J$5:$J$300))/F108)</f>
        <v/>
      </c>
      <c r="H108" s="247" t="str">
        <f>IF(F108="","",SUMIFS(Торговля!$K$5:$K$300,Торговля!$E$5:$E$300,$B108)+SUMIFS(Закрытые!$K$5:$K$300,Закрытые!$E$5:$E$300,$B108,Закрытые!$B$5:$B$300,"T-*"))</f>
        <v/>
      </c>
      <c r="I108" s="246" t="str">
        <f>IF($B108="","",IF(COUNTIFS(Торговля!$E$5:$E$300,$B108)+COUNTIFS(Закрытые!$E$5:$E$300,$B108,Закрытые!$B$5:$B$300,"T-*")=0,"",ROUND(SUMIFS(Торговля!$L$5:$L$300,Торговля!$E$5:$E$300,$B108)+SUMIFS(Закрытые!$L$5:$L$300,Закрытые!$E$5:$E$300,$B108,Закрытые!$B$5:$B$300,"T-*"),8)))</f>
        <v/>
      </c>
      <c r="J108" s="247" t="str">
        <f>IF($B108="","",IF(COUNTIFS(Торговля!$E$5:$E$300,$B108)+COUNTIFS(Закрытые!$E$5:$E$300,$B108,Закрытые!$B$5:$B$300,"T-*")=0,"",ROUND(SUMIFS(Торговля!$M$5:$M$300,Торговля!$E$5:$E$300,$B108)+SUMIFS(Закрытые!$M$5:$M$300,Закрытые!$E$5:$E$300,$B108,Закрытые!$B$5:$B$300,"T-*"),8)))</f>
        <v/>
      </c>
      <c r="K108" s="246" t="str">
        <f>IF(MIN(N(C108),N(F108))&lt;=0,"",ROUND(MIN(N(C108),N(F108))*(N(G108)-N(D108)),8))</f>
        <v/>
      </c>
      <c r="L108" s="183" t="str">
        <f>IF(MIN(N(C108),N(F108))&lt;=0,"",IF(N(D108)=0,"",ROUND((N(G108)/N(D108)-1)*100,2)))</f>
        <v/>
      </c>
      <c r="M108" s="183" t="str">
        <f>IF(OR(ROUND(N(C108)-N(F108),8)=0,1-N(Ввод!$J$19)/100&lt;=0),"",IF(N(C108)&gt;N(F108),(N(E108)-N(H108))/((N(C108)-N(F108))*(1-N(Ввод!$J$19)/100)),(N(H108)-N(E108))/((N(F108)-N(C108))*(1+N(Ввод!$J$19)/100))))</f>
        <v/>
      </c>
    </row>
    <row r="109" ht="22" customHeight="1">
      <c r="B109" s="239" t="n"/>
      <c r="C109" s="240" t="str">
        <f>IF(SUMIFS(Торговля!$F$5:$F$300,Торговля!$E$5:$E$300,$B109)+SUMIFS(Закрытые!$F$5:$F$300,Закрытые!$E$5:$E$300,$B109,Закрытые!$B$5:$B$300,"T-*")=0,"",SUMIFS(Торговля!$F$5:$F$300,Торговля!$E$5:$E$300,$B109)+SUMIFS(Закрытые!$F$5:$F$300,Закрытые!$E$5:$E$300,$B109,Закрытые!$B$5:$B$300,"T-*"))</f>
        <v/>
      </c>
      <c r="D109" s="177" t="str">
        <f>IF(C109="","",(SUMPRODUCT((Торговля!$E$5:$E$300=$B109)*Торговля!$F$5:$F$300*Торговля!$G$5:$G$300)+SUMPRODUCT((Закрытые!$E$5:$E$300=$B109)*(LEFT(Закрытые!$B$5:$B$300,2)="T-")*Закрытые!$F$5:$F$300*Закрытые!$G$5:$G$300))/C109)</f>
        <v/>
      </c>
      <c r="E109" s="241" t="str">
        <f>IF(C109="","",SUMIFS(Торговля!$H$5:$H$300,Торговля!$E$5:$E$300,$B109)+SUMIFS(Закрытые!$H$5:$H$300,Закрытые!$E$5:$E$300,$B109,Закрытые!$B$5:$B$300,"T-*"))</f>
        <v/>
      </c>
      <c r="F109" s="240" t="str">
        <f>IF(SUMIFS(Торговля!$I$5:$I$300,Торговля!$E$5:$E$300,$B109)+SUMIFS(Закрытые!$I$5:$I$300,Закрытые!$E$5:$E$300,$B109,Закрытые!$B$5:$B$300,"T-*")=0,"",SUMIFS(Торговля!$I$5:$I$300,Торговля!$E$5:$E$300,$B109)+SUMIFS(Закрытые!$I$5:$I$300,Закрытые!$E$5:$E$300,$B109,Закрытые!$B$5:$B$300,"T-*"))</f>
        <v/>
      </c>
      <c r="G109" s="177" t="str">
        <f>IF(F109="","",(SUMPRODUCT((Торговля!$E$5:$E$300=$B109)*Торговля!$I$5:$I$300*Торговля!$J$5:$J$300)+SUMPRODUCT((Закрытые!$E$5:$E$300=$B109)*(LEFT(Закрытые!$B$5:$B$300,2)="T-")*Закрытые!$I$5:$I$300*Закрытые!$J$5:$J$300))/F109)</f>
        <v/>
      </c>
      <c r="H109" s="241" t="str">
        <f>IF(F109="","",SUMIFS(Торговля!$K$5:$K$300,Торговля!$E$5:$E$300,$B109)+SUMIFS(Закрытые!$K$5:$K$300,Закрытые!$E$5:$E$300,$B109,Закрытые!$B$5:$B$300,"T-*"))</f>
        <v/>
      </c>
      <c r="I109" s="240" t="str">
        <f>IF($B109="","",IF(COUNTIFS(Торговля!$E$5:$E$300,$B109)+COUNTIFS(Закрытые!$E$5:$E$300,$B109,Закрытые!$B$5:$B$300,"T-*")=0,"",ROUND(SUMIFS(Торговля!$L$5:$L$300,Торговля!$E$5:$E$300,$B109)+SUMIFS(Закрытые!$L$5:$L$300,Закрытые!$E$5:$E$300,$B109,Закрытые!$B$5:$B$300,"T-*"),8)))</f>
        <v/>
      </c>
      <c r="J109" s="241" t="str">
        <f>IF($B109="","",IF(COUNTIFS(Торговля!$E$5:$E$300,$B109)+COUNTIFS(Закрытые!$E$5:$E$300,$B109,Закрытые!$B$5:$B$300,"T-*")=0,"",ROUND(SUMIFS(Торговля!$M$5:$M$300,Торговля!$E$5:$E$300,$B109)+SUMIFS(Закрытые!$M$5:$M$300,Закрытые!$E$5:$E$300,$B109,Закрытые!$B$5:$B$300,"T-*"),8)))</f>
        <v/>
      </c>
      <c r="K109" s="240" t="str">
        <f>IF(MIN(N(C109),N(F109))&lt;=0,"",ROUND(MIN(N(C109),N(F109))*(N(G109)-N(D109)),8))</f>
        <v/>
      </c>
      <c r="L109" s="177" t="str">
        <f>IF(MIN(N(C109),N(F109))&lt;=0,"",IF(N(D109)=0,"",ROUND((N(G109)/N(D109)-1)*100,2)))</f>
        <v/>
      </c>
      <c r="M109" s="177" t="str">
        <f>IF(OR(ROUND(N(C109)-N(F109),8)=0,1-N(Ввод!$J$19)/100&lt;=0),"",IF(N(C109)&gt;N(F109),(N(E109)-N(H109))/((N(C109)-N(F109))*(1-N(Ввод!$J$19)/100)),(N(H109)-N(E109))/((N(F109)-N(C109))*(1+N(Ввод!$J$19)/100))))</f>
        <v/>
      </c>
    </row>
    <row r="110" ht="22" customHeight="1">
      <c r="B110" s="245" t="n"/>
      <c r="C110" s="246" t="str">
        <f>IF(SUMIFS(Торговля!$F$5:$F$300,Торговля!$E$5:$E$300,$B110)+SUMIFS(Закрытые!$F$5:$F$300,Закрытые!$E$5:$E$300,$B110,Закрытые!$B$5:$B$300,"T-*")=0,"",SUMIFS(Торговля!$F$5:$F$300,Торговля!$E$5:$E$300,$B110)+SUMIFS(Закрытые!$F$5:$F$300,Закрытые!$E$5:$E$300,$B110,Закрытые!$B$5:$B$300,"T-*"))</f>
        <v/>
      </c>
      <c r="D110" s="183" t="str">
        <f>IF(C110="","",(SUMPRODUCT((Торговля!$E$5:$E$300=$B110)*Торговля!$F$5:$F$300*Торговля!$G$5:$G$300)+SUMPRODUCT((Закрытые!$E$5:$E$300=$B110)*(LEFT(Закрытые!$B$5:$B$300,2)="T-")*Закрытые!$F$5:$F$300*Закрытые!$G$5:$G$300))/C110)</f>
        <v/>
      </c>
      <c r="E110" s="247" t="str">
        <f>IF(C110="","",SUMIFS(Торговля!$H$5:$H$300,Торговля!$E$5:$E$300,$B110)+SUMIFS(Закрытые!$H$5:$H$300,Закрытые!$E$5:$E$300,$B110,Закрытые!$B$5:$B$300,"T-*"))</f>
        <v/>
      </c>
      <c r="F110" s="246" t="str">
        <f>IF(SUMIFS(Торговля!$I$5:$I$300,Торговля!$E$5:$E$300,$B110)+SUMIFS(Закрытые!$I$5:$I$300,Закрытые!$E$5:$E$300,$B110,Закрытые!$B$5:$B$300,"T-*")=0,"",SUMIFS(Торговля!$I$5:$I$300,Торговля!$E$5:$E$300,$B110)+SUMIFS(Закрытые!$I$5:$I$300,Закрытые!$E$5:$E$300,$B110,Закрытые!$B$5:$B$300,"T-*"))</f>
        <v/>
      </c>
      <c r="G110" s="183" t="str">
        <f>IF(F110="","",(SUMPRODUCT((Торговля!$E$5:$E$300=$B110)*Торговля!$I$5:$I$300*Торговля!$J$5:$J$300)+SUMPRODUCT((Закрытые!$E$5:$E$300=$B110)*(LEFT(Закрытые!$B$5:$B$300,2)="T-")*Закрытые!$I$5:$I$300*Закрытые!$J$5:$J$300))/F110)</f>
        <v/>
      </c>
      <c r="H110" s="247" t="str">
        <f>IF(F110="","",SUMIFS(Торговля!$K$5:$K$300,Торговля!$E$5:$E$300,$B110)+SUMIFS(Закрытые!$K$5:$K$300,Закрытые!$E$5:$E$300,$B110,Закрытые!$B$5:$B$300,"T-*"))</f>
        <v/>
      </c>
      <c r="I110" s="246" t="str">
        <f>IF($B110="","",IF(COUNTIFS(Торговля!$E$5:$E$300,$B110)+COUNTIFS(Закрытые!$E$5:$E$300,$B110,Закрытые!$B$5:$B$300,"T-*")=0,"",ROUND(SUMIFS(Торговля!$L$5:$L$300,Торговля!$E$5:$E$300,$B110)+SUMIFS(Закрытые!$L$5:$L$300,Закрытые!$E$5:$E$300,$B110,Закрытые!$B$5:$B$300,"T-*"),8)))</f>
        <v/>
      </c>
      <c r="J110" s="247" t="str">
        <f>IF($B110="","",IF(COUNTIFS(Торговля!$E$5:$E$300,$B110)+COUNTIFS(Закрытые!$E$5:$E$300,$B110,Закрытые!$B$5:$B$300,"T-*")=0,"",ROUND(SUMIFS(Торговля!$M$5:$M$300,Торговля!$E$5:$E$300,$B110)+SUMIFS(Закрытые!$M$5:$M$300,Закрытые!$E$5:$E$300,$B110,Закрытые!$B$5:$B$300,"T-*"),8)))</f>
        <v/>
      </c>
      <c r="K110" s="246" t="str">
        <f>IF(MIN(N(C110),N(F110))&lt;=0,"",ROUND(MIN(N(C110),N(F110))*(N(G110)-N(D110)),8))</f>
        <v/>
      </c>
      <c r="L110" s="183" t="str">
        <f>IF(MIN(N(C110),N(F110))&lt;=0,"",IF(N(D110)=0,"",ROUND((N(G110)/N(D110)-1)*100,2)))</f>
        <v/>
      </c>
      <c r="M110" s="183" t="str">
        <f>IF(OR(ROUND(N(C110)-N(F110),8)=0,1-N(Ввод!$J$19)/100&lt;=0),"",IF(N(C110)&gt;N(F110),(N(E110)-N(H110))/((N(C110)-N(F110))*(1-N(Ввод!$J$19)/100)),(N(H110)-N(E110))/((N(F110)-N(C110))*(1+N(Ввод!$J$19)/100))))</f>
        <v/>
      </c>
    </row>
    <row r="111" ht="22" customHeight="1">
      <c r="B111" s="239" t="n"/>
      <c r="C111" s="240" t="str">
        <f>IF(SUMIFS(Торговля!$F$5:$F$300,Торговля!$E$5:$E$300,$B111)+SUMIFS(Закрытые!$F$5:$F$300,Закрытые!$E$5:$E$300,$B111,Закрытые!$B$5:$B$300,"T-*")=0,"",SUMIFS(Торговля!$F$5:$F$300,Торговля!$E$5:$E$300,$B111)+SUMIFS(Закрытые!$F$5:$F$300,Закрытые!$E$5:$E$300,$B111,Закрытые!$B$5:$B$300,"T-*"))</f>
        <v/>
      </c>
      <c r="D111" s="177" t="str">
        <f>IF(C111="","",(SUMPRODUCT((Торговля!$E$5:$E$300=$B111)*Торговля!$F$5:$F$300*Торговля!$G$5:$G$300)+SUMPRODUCT((Закрытые!$E$5:$E$300=$B111)*(LEFT(Закрытые!$B$5:$B$300,2)="T-")*Закрытые!$F$5:$F$300*Закрытые!$G$5:$G$300))/C111)</f>
        <v/>
      </c>
      <c r="E111" s="241" t="str">
        <f>IF(C111="","",SUMIFS(Торговля!$H$5:$H$300,Торговля!$E$5:$E$300,$B111)+SUMIFS(Закрытые!$H$5:$H$300,Закрытые!$E$5:$E$300,$B111,Закрытые!$B$5:$B$300,"T-*"))</f>
        <v/>
      </c>
      <c r="F111" s="240" t="str">
        <f>IF(SUMIFS(Торговля!$I$5:$I$300,Торговля!$E$5:$E$300,$B111)+SUMIFS(Закрытые!$I$5:$I$300,Закрытые!$E$5:$E$300,$B111,Закрытые!$B$5:$B$300,"T-*")=0,"",SUMIFS(Торговля!$I$5:$I$300,Торговля!$E$5:$E$300,$B111)+SUMIFS(Закрытые!$I$5:$I$300,Закрытые!$E$5:$E$300,$B111,Закрытые!$B$5:$B$300,"T-*"))</f>
        <v/>
      </c>
      <c r="G111" s="177" t="str">
        <f>IF(F111="","",(SUMPRODUCT((Торговля!$E$5:$E$300=$B111)*Торговля!$I$5:$I$300*Торговля!$J$5:$J$300)+SUMPRODUCT((Закрытые!$E$5:$E$300=$B111)*(LEFT(Закрытые!$B$5:$B$300,2)="T-")*Закрытые!$I$5:$I$300*Закрытые!$J$5:$J$300))/F111)</f>
        <v/>
      </c>
      <c r="H111" s="241" t="str">
        <f>IF(F111="","",SUMIFS(Торговля!$K$5:$K$300,Торговля!$E$5:$E$300,$B111)+SUMIFS(Закрытые!$K$5:$K$300,Закрытые!$E$5:$E$300,$B111,Закрытые!$B$5:$B$300,"T-*"))</f>
        <v/>
      </c>
      <c r="I111" s="240" t="str">
        <f>IF($B111="","",IF(COUNTIFS(Торговля!$E$5:$E$300,$B111)+COUNTIFS(Закрытые!$E$5:$E$300,$B111,Закрытые!$B$5:$B$300,"T-*")=0,"",ROUND(SUMIFS(Торговля!$L$5:$L$300,Торговля!$E$5:$E$300,$B111)+SUMIFS(Закрытые!$L$5:$L$300,Закрытые!$E$5:$E$300,$B111,Закрытые!$B$5:$B$300,"T-*"),8)))</f>
        <v/>
      </c>
      <c r="J111" s="241" t="str">
        <f>IF($B111="","",IF(COUNTIFS(Торговля!$E$5:$E$300,$B111)+COUNTIFS(Закрытые!$E$5:$E$300,$B111,Закрытые!$B$5:$B$300,"T-*")=0,"",ROUND(SUMIFS(Торговля!$M$5:$M$300,Торговля!$E$5:$E$300,$B111)+SUMIFS(Закрытые!$M$5:$M$300,Закрытые!$E$5:$E$300,$B111,Закрытые!$B$5:$B$300,"T-*"),8)))</f>
        <v/>
      </c>
      <c r="K111" s="240" t="str">
        <f>IF(MIN(N(C111),N(F111))&lt;=0,"",ROUND(MIN(N(C111),N(F111))*(N(G111)-N(D111)),8))</f>
        <v/>
      </c>
      <c r="L111" s="177" t="str">
        <f>IF(MIN(N(C111),N(F111))&lt;=0,"",IF(N(D111)=0,"",ROUND((N(G111)/N(D111)-1)*100,2)))</f>
        <v/>
      </c>
      <c r="M111" s="177" t="str">
        <f>IF(OR(ROUND(N(C111)-N(F111),8)=0,1-N(Ввод!$J$19)/100&lt;=0),"",IF(N(C111)&gt;N(F111),(N(E111)-N(H111))/((N(C111)-N(F111))*(1-N(Ввод!$J$19)/100)),(N(H111)-N(E111))/((N(F111)-N(C111))*(1+N(Ввод!$J$19)/100))))</f>
        <v/>
      </c>
    </row>
    <row r="112" ht="22" customHeight="1">
      <c r="B112" s="245" t="n"/>
      <c r="C112" s="246" t="str">
        <f>IF(SUMIFS(Торговля!$F$5:$F$300,Торговля!$E$5:$E$300,$B112)+SUMIFS(Закрытые!$F$5:$F$300,Закрытые!$E$5:$E$300,$B112,Закрытые!$B$5:$B$300,"T-*")=0,"",SUMIFS(Торговля!$F$5:$F$300,Торговля!$E$5:$E$300,$B112)+SUMIFS(Закрытые!$F$5:$F$300,Закрытые!$E$5:$E$300,$B112,Закрытые!$B$5:$B$300,"T-*"))</f>
        <v/>
      </c>
      <c r="D112" s="183" t="str">
        <f>IF(C112="","",(SUMPRODUCT((Торговля!$E$5:$E$300=$B112)*Торговля!$F$5:$F$300*Торговля!$G$5:$G$300)+SUMPRODUCT((Закрытые!$E$5:$E$300=$B112)*(LEFT(Закрытые!$B$5:$B$300,2)="T-")*Закрытые!$F$5:$F$300*Закрытые!$G$5:$G$300))/C112)</f>
        <v/>
      </c>
      <c r="E112" s="247" t="str">
        <f>IF(C112="","",SUMIFS(Торговля!$H$5:$H$300,Торговля!$E$5:$E$300,$B112)+SUMIFS(Закрытые!$H$5:$H$300,Закрытые!$E$5:$E$300,$B112,Закрытые!$B$5:$B$300,"T-*"))</f>
        <v/>
      </c>
      <c r="F112" s="246" t="str">
        <f>IF(SUMIFS(Торговля!$I$5:$I$300,Торговля!$E$5:$E$300,$B112)+SUMIFS(Закрытые!$I$5:$I$300,Закрытые!$E$5:$E$300,$B112,Закрытые!$B$5:$B$300,"T-*")=0,"",SUMIFS(Торговля!$I$5:$I$300,Торговля!$E$5:$E$300,$B112)+SUMIFS(Закрытые!$I$5:$I$300,Закрытые!$E$5:$E$300,$B112,Закрытые!$B$5:$B$300,"T-*"))</f>
        <v/>
      </c>
      <c r="G112" s="183" t="str">
        <f>IF(F112="","",(SUMPRODUCT((Торговля!$E$5:$E$300=$B112)*Торговля!$I$5:$I$300*Торговля!$J$5:$J$300)+SUMPRODUCT((Закрытые!$E$5:$E$300=$B112)*(LEFT(Закрытые!$B$5:$B$300,2)="T-")*Закрытые!$I$5:$I$300*Закрытые!$J$5:$J$300))/F112)</f>
        <v/>
      </c>
      <c r="H112" s="247" t="str">
        <f>IF(F112="","",SUMIFS(Торговля!$K$5:$K$300,Торговля!$E$5:$E$300,$B112)+SUMIFS(Закрытые!$K$5:$K$300,Закрытые!$E$5:$E$300,$B112,Закрытые!$B$5:$B$300,"T-*"))</f>
        <v/>
      </c>
      <c r="I112" s="246" t="str">
        <f>IF($B112="","",IF(COUNTIFS(Торговля!$E$5:$E$300,$B112)+COUNTIFS(Закрытые!$E$5:$E$300,$B112,Закрытые!$B$5:$B$300,"T-*")=0,"",ROUND(SUMIFS(Торговля!$L$5:$L$300,Торговля!$E$5:$E$300,$B112)+SUMIFS(Закрытые!$L$5:$L$300,Закрытые!$E$5:$E$300,$B112,Закрытые!$B$5:$B$300,"T-*"),8)))</f>
        <v/>
      </c>
      <c r="J112" s="247" t="str">
        <f>IF($B112="","",IF(COUNTIFS(Торговля!$E$5:$E$300,$B112)+COUNTIFS(Закрытые!$E$5:$E$300,$B112,Закрытые!$B$5:$B$300,"T-*")=0,"",ROUND(SUMIFS(Торговля!$M$5:$M$300,Торговля!$E$5:$E$300,$B112)+SUMIFS(Закрытые!$M$5:$M$300,Закрытые!$E$5:$E$300,$B112,Закрытые!$B$5:$B$300,"T-*"),8)))</f>
        <v/>
      </c>
      <c r="K112" s="246" t="str">
        <f>IF(MIN(N(C112),N(F112))&lt;=0,"",ROUND(MIN(N(C112),N(F112))*(N(G112)-N(D112)),8))</f>
        <v/>
      </c>
      <c r="L112" s="183" t="str">
        <f>IF(MIN(N(C112),N(F112))&lt;=0,"",IF(N(D112)=0,"",ROUND((N(G112)/N(D112)-1)*100,2)))</f>
        <v/>
      </c>
      <c r="M112" s="183" t="str">
        <f>IF(OR(ROUND(N(C112)-N(F112),8)=0,1-N(Ввод!$J$19)/100&lt;=0),"",IF(N(C112)&gt;N(F112),(N(E112)-N(H112))/((N(C112)-N(F112))*(1-N(Ввод!$J$19)/100)),(N(H112)-N(E112))/((N(F112)-N(C112))*(1+N(Ввод!$J$19)/100))))</f>
        <v/>
      </c>
    </row>
    <row r="113" ht="22" customHeight="1">
      <c r="B113" s="239" t="n"/>
      <c r="C113" s="240" t="str">
        <f>IF(SUMIFS(Торговля!$F$5:$F$300,Торговля!$E$5:$E$300,$B113)+SUMIFS(Закрытые!$F$5:$F$300,Закрытые!$E$5:$E$300,$B113,Закрытые!$B$5:$B$300,"T-*")=0,"",SUMIFS(Торговля!$F$5:$F$300,Торговля!$E$5:$E$300,$B113)+SUMIFS(Закрытые!$F$5:$F$300,Закрытые!$E$5:$E$300,$B113,Закрытые!$B$5:$B$300,"T-*"))</f>
        <v/>
      </c>
      <c r="D113" s="177" t="str">
        <f>IF(C113="","",(SUMPRODUCT((Торговля!$E$5:$E$300=$B113)*Торговля!$F$5:$F$300*Торговля!$G$5:$G$300)+SUMPRODUCT((Закрытые!$E$5:$E$300=$B113)*(LEFT(Закрытые!$B$5:$B$300,2)="T-")*Закрытые!$F$5:$F$300*Закрытые!$G$5:$G$300))/C113)</f>
        <v/>
      </c>
      <c r="E113" s="241" t="str">
        <f>IF(C113="","",SUMIFS(Торговля!$H$5:$H$300,Торговля!$E$5:$E$300,$B113)+SUMIFS(Закрытые!$H$5:$H$300,Закрытые!$E$5:$E$300,$B113,Закрытые!$B$5:$B$300,"T-*"))</f>
        <v/>
      </c>
      <c r="F113" s="240" t="str">
        <f>IF(SUMIFS(Торговля!$I$5:$I$300,Торговля!$E$5:$E$300,$B113)+SUMIFS(Закрытые!$I$5:$I$300,Закрытые!$E$5:$E$300,$B113,Закрытые!$B$5:$B$300,"T-*")=0,"",SUMIFS(Торговля!$I$5:$I$300,Торговля!$E$5:$E$300,$B113)+SUMIFS(Закрытые!$I$5:$I$300,Закрытые!$E$5:$E$300,$B113,Закрытые!$B$5:$B$300,"T-*"))</f>
        <v/>
      </c>
      <c r="G113" s="177" t="str">
        <f>IF(F113="","",(SUMPRODUCT((Торговля!$E$5:$E$300=$B113)*Торговля!$I$5:$I$300*Торговля!$J$5:$J$300)+SUMPRODUCT((Закрытые!$E$5:$E$300=$B113)*(LEFT(Закрытые!$B$5:$B$300,2)="T-")*Закрытые!$I$5:$I$300*Закрытые!$J$5:$J$300))/F113)</f>
        <v/>
      </c>
      <c r="H113" s="241" t="str">
        <f>IF(F113="","",SUMIFS(Торговля!$K$5:$K$300,Торговля!$E$5:$E$300,$B113)+SUMIFS(Закрытые!$K$5:$K$300,Закрытые!$E$5:$E$300,$B113,Закрытые!$B$5:$B$300,"T-*"))</f>
        <v/>
      </c>
      <c r="I113" s="240" t="str">
        <f>IF($B113="","",IF(COUNTIFS(Торговля!$E$5:$E$300,$B113)+COUNTIFS(Закрытые!$E$5:$E$300,$B113,Закрытые!$B$5:$B$300,"T-*")=0,"",ROUND(SUMIFS(Торговля!$L$5:$L$300,Торговля!$E$5:$E$300,$B113)+SUMIFS(Закрытые!$L$5:$L$300,Закрытые!$E$5:$E$300,$B113,Закрытые!$B$5:$B$300,"T-*"),8)))</f>
        <v/>
      </c>
      <c r="J113" s="241" t="str">
        <f>IF($B113="","",IF(COUNTIFS(Торговля!$E$5:$E$300,$B113)+COUNTIFS(Закрытые!$E$5:$E$300,$B113,Закрытые!$B$5:$B$300,"T-*")=0,"",ROUND(SUMIFS(Торговля!$M$5:$M$300,Торговля!$E$5:$E$300,$B113)+SUMIFS(Закрытые!$M$5:$M$300,Закрытые!$E$5:$E$300,$B113,Закрытые!$B$5:$B$300,"T-*"),8)))</f>
        <v/>
      </c>
      <c r="K113" s="240" t="str">
        <f>IF(MIN(N(C113),N(F113))&lt;=0,"",ROUND(MIN(N(C113),N(F113))*(N(G113)-N(D113)),8))</f>
        <v/>
      </c>
      <c r="L113" s="177" t="str">
        <f>IF(MIN(N(C113),N(F113))&lt;=0,"",IF(N(D113)=0,"",ROUND((N(G113)/N(D113)-1)*100,2)))</f>
        <v/>
      </c>
      <c r="M113" s="177" t="str">
        <f>IF(OR(ROUND(N(C113)-N(F113),8)=0,1-N(Ввод!$J$19)/100&lt;=0),"",IF(N(C113)&gt;N(F113),(N(E113)-N(H113))/((N(C113)-N(F113))*(1-N(Ввод!$J$19)/100)),(N(H113)-N(E113))/((N(F113)-N(C113))*(1+N(Ввод!$J$19)/100))))</f>
        <v/>
      </c>
    </row>
    <row r="114" ht="22" customHeight="1">
      <c r="B114" s="245" t="n"/>
      <c r="C114" s="246" t="str">
        <f>IF(SUMIFS(Торговля!$F$5:$F$300,Торговля!$E$5:$E$300,$B114)+SUMIFS(Закрытые!$F$5:$F$300,Закрытые!$E$5:$E$300,$B114,Закрытые!$B$5:$B$300,"T-*")=0,"",SUMIFS(Торговля!$F$5:$F$300,Торговля!$E$5:$E$300,$B114)+SUMIFS(Закрытые!$F$5:$F$300,Закрытые!$E$5:$E$300,$B114,Закрытые!$B$5:$B$300,"T-*"))</f>
        <v/>
      </c>
      <c r="D114" s="183" t="str">
        <f>IF(C114="","",(SUMPRODUCT((Торговля!$E$5:$E$300=$B114)*Торговля!$F$5:$F$300*Торговля!$G$5:$G$300)+SUMPRODUCT((Закрытые!$E$5:$E$300=$B114)*(LEFT(Закрытые!$B$5:$B$300,2)="T-")*Закрытые!$F$5:$F$300*Закрытые!$G$5:$G$300))/C114)</f>
        <v/>
      </c>
      <c r="E114" s="247" t="str">
        <f>IF(C114="","",SUMIFS(Торговля!$H$5:$H$300,Торговля!$E$5:$E$300,$B114)+SUMIFS(Закрытые!$H$5:$H$300,Закрытые!$E$5:$E$300,$B114,Закрытые!$B$5:$B$300,"T-*"))</f>
        <v/>
      </c>
      <c r="F114" s="246" t="str">
        <f>IF(SUMIFS(Торговля!$I$5:$I$300,Торговля!$E$5:$E$300,$B114)+SUMIFS(Закрытые!$I$5:$I$300,Закрытые!$E$5:$E$300,$B114,Закрытые!$B$5:$B$300,"T-*")=0,"",SUMIFS(Торговля!$I$5:$I$300,Торговля!$E$5:$E$300,$B114)+SUMIFS(Закрытые!$I$5:$I$300,Закрытые!$E$5:$E$300,$B114,Закрытые!$B$5:$B$300,"T-*"))</f>
        <v/>
      </c>
      <c r="G114" s="183" t="str">
        <f>IF(F114="","",(SUMPRODUCT((Торговля!$E$5:$E$300=$B114)*Торговля!$I$5:$I$300*Торговля!$J$5:$J$300)+SUMPRODUCT((Закрытые!$E$5:$E$300=$B114)*(LEFT(Закрытые!$B$5:$B$300,2)="T-")*Закрытые!$I$5:$I$300*Закрытые!$J$5:$J$300))/F114)</f>
        <v/>
      </c>
      <c r="H114" s="247" t="str">
        <f>IF(F114="","",SUMIFS(Торговля!$K$5:$K$300,Торговля!$E$5:$E$300,$B114)+SUMIFS(Закрытые!$K$5:$K$300,Закрытые!$E$5:$E$300,$B114,Закрытые!$B$5:$B$300,"T-*"))</f>
        <v/>
      </c>
      <c r="I114" s="246" t="str">
        <f>IF($B114="","",IF(COUNTIFS(Торговля!$E$5:$E$300,$B114)+COUNTIFS(Закрытые!$E$5:$E$300,$B114,Закрытые!$B$5:$B$300,"T-*")=0,"",ROUND(SUMIFS(Торговля!$L$5:$L$300,Торговля!$E$5:$E$300,$B114)+SUMIFS(Закрытые!$L$5:$L$300,Закрытые!$E$5:$E$300,$B114,Закрытые!$B$5:$B$300,"T-*"),8)))</f>
        <v/>
      </c>
      <c r="J114" s="247" t="str">
        <f>IF($B114="","",IF(COUNTIFS(Торговля!$E$5:$E$300,$B114)+COUNTIFS(Закрытые!$E$5:$E$300,$B114,Закрытые!$B$5:$B$300,"T-*")=0,"",ROUND(SUMIFS(Торговля!$M$5:$M$300,Торговля!$E$5:$E$300,$B114)+SUMIFS(Закрытые!$M$5:$M$300,Закрытые!$E$5:$E$300,$B114,Закрытые!$B$5:$B$300,"T-*"),8)))</f>
        <v/>
      </c>
      <c r="K114" s="246" t="str">
        <f>IF(MIN(N(C114),N(F114))&lt;=0,"",ROUND(MIN(N(C114),N(F114))*(N(G114)-N(D114)),8))</f>
        <v/>
      </c>
      <c r="L114" s="183" t="str">
        <f>IF(MIN(N(C114),N(F114))&lt;=0,"",IF(N(D114)=0,"",ROUND((N(G114)/N(D114)-1)*100,2)))</f>
        <v/>
      </c>
      <c r="M114" s="183" t="str">
        <f>IF(OR(ROUND(N(C114)-N(F114),8)=0,1-N(Ввод!$J$19)/100&lt;=0),"",IF(N(C114)&gt;N(F114),(N(E114)-N(H114))/((N(C114)-N(F114))*(1-N(Ввод!$J$19)/100)),(N(H114)-N(E114))/((N(F114)-N(C114))*(1+N(Ввод!$J$19)/100))))</f>
        <v/>
      </c>
    </row>
    <row r="115" ht="22" customHeight="1">
      <c r="B115" s="239" t="n"/>
      <c r="C115" s="240" t="str">
        <f>IF(SUMIFS(Торговля!$F$5:$F$300,Торговля!$E$5:$E$300,$B115)+SUMIFS(Закрытые!$F$5:$F$300,Закрытые!$E$5:$E$300,$B115,Закрытые!$B$5:$B$300,"T-*")=0,"",SUMIFS(Торговля!$F$5:$F$300,Торговля!$E$5:$E$300,$B115)+SUMIFS(Закрытые!$F$5:$F$300,Закрытые!$E$5:$E$300,$B115,Закрытые!$B$5:$B$300,"T-*"))</f>
        <v/>
      </c>
      <c r="D115" s="177" t="str">
        <f>IF(C115="","",(SUMPRODUCT((Торговля!$E$5:$E$300=$B115)*Торговля!$F$5:$F$300*Торговля!$G$5:$G$300)+SUMPRODUCT((Закрытые!$E$5:$E$300=$B115)*(LEFT(Закрытые!$B$5:$B$300,2)="T-")*Закрытые!$F$5:$F$300*Закрытые!$G$5:$G$300))/C115)</f>
        <v/>
      </c>
      <c r="E115" s="241" t="str">
        <f>IF(C115="","",SUMIFS(Торговля!$H$5:$H$300,Торговля!$E$5:$E$300,$B115)+SUMIFS(Закрытые!$H$5:$H$300,Закрытые!$E$5:$E$300,$B115,Закрытые!$B$5:$B$300,"T-*"))</f>
        <v/>
      </c>
      <c r="F115" s="240" t="str">
        <f>IF(SUMIFS(Торговля!$I$5:$I$300,Торговля!$E$5:$E$300,$B115)+SUMIFS(Закрытые!$I$5:$I$300,Закрытые!$E$5:$E$300,$B115,Закрытые!$B$5:$B$300,"T-*")=0,"",SUMIFS(Торговля!$I$5:$I$300,Торговля!$E$5:$E$300,$B115)+SUMIFS(Закрытые!$I$5:$I$300,Закрытые!$E$5:$E$300,$B115,Закрытые!$B$5:$B$300,"T-*"))</f>
        <v/>
      </c>
      <c r="G115" s="177" t="str">
        <f>IF(F115="","",(SUMPRODUCT((Торговля!$E$5:$E$300=$B115)*Торговля!$I$5:$I$300*Торговля!$J$5:$J$300)+SUMPRODUCT((Закрытые!$E$5:$E$300=$B115)*(LEFT(Закрытые!$B$5:$B$300,2)="T-")*Закрытые!$I$5:$I$300*Закрытые!$J$5:$J$300))/F115)</f>
        <v/>
      </c>
      <c r="H115" s="241" t="str">
        <f>IF(F115="","",SUMIFS(Торговля!$K$5:$K$300,Торговля!$E$5:$E$300,$B115)+SUMIFS(Закрытые!$K$5:$K$300,Закрытые!$E$5:$E$300,$B115,Закрытые!$B$5:$B$300,"T-*"))</f>
        <v/>
      </c>
      <c r="I115" s="240" t="str">
        <f>IF($B115="","",IF(COUNTIFS(Торговля!$E$5:$E$300,$B115)+COUNTIFS(Закрытые!$E$5:$E$300,$B115,Закрытые!$B$5:$B$300,"T-*")=0,"",ROUND(SUMIFS(Торговля!$L$5:$L$300,Торговля!$E$5:$E$300,$B115)+SUMIFS(Закрытые!$L$5:$L$300,Закрытые!$E$5:$E$300,$B115,Закрытые!$B$5:$B$300,"T-*"),8)))</f>
        <v/>
      </c>
      <c r="J115" s="241" t="str">
        <f>IF($B115="","",IF(COUNTIFS(Торговля!$E$5:$E$300,$B115)+COUNTIFS(Закрытые!$E$5:$E$300,$B115,Закрытые!$B$5:$B$300,"T-*")=0,"",ROUND(SUMIFS(Торговля!$M$5:$M$300,Торговля!$E$5:$E$300,$B115)+SUMIFS(Закрытые!$M$5:$M$300,Закрытые!$E$5:$E$300,$B115,Закрытые!$B$5:$B$300,"T-*"),8)))</f>
        <v/>
      </c>
      <c r="K115" s="240" t="str">
        <f>IF(MIN(N(C115),N(F115))&lt;=0,"",ROUND(MIN(N(C115),N(F115))*(N(G115)-N(D115)),8))</f>
        <v/>
      </c>
      <c r="L115" s="177" t="str">
        <f>IF(MIN(N(C115),N(F115))&lt;=0,"",IF(N(D115)=0,"",ROUND((N(G115)/N(D115)-1)*100,2)))</f>
        <v/>
      </c>
      <c r="M115" s="177" t="str">
        <f>IF(OR(ROUND(N(C115)-N(F115),8)=0,1-N(Ввод!$J$19)/100&lt;=0),"",IF(N(C115)&gt;N(F115),(N(E115)-N(H115))/((N(C115)-N(F115))*(1-N(Ввод!$J$19)/100)),(N(H115)-N(E115))/((N(F115)-N(C115))*(1+N(Ввод!$J$19)/100))))</f>
        <v/>
      </c>
    </row>
    <row r="116" ht="22" customHeight="1">
      <c r="B116" s="245" t="n"/>
      <c r="C116" s="246" t="str">
        <f>IF(SUMIFS(Торговля!$F$5:$F$300,Торговля!$E$5:$E$300,$B116)+SUMIFS(Закрытые!$F$5:$F$300,Закрытые!$E$5:$E$300,$B116,Закрытые!$B$5:$B$300,"T-*")=0,"",SUMIFS(Торговля!$F$5:$F$300,Торговля!$E$5:$E$300,$B116)+SUMIFS(Закрытые!$F$5:$F$300,Закрытые!$E$5:$E$300,$B116,Закрытые!$B$5:$B$300,"T-*"))</f>
        <v/>
      </c>
      <c r="D116" s="183" t="str">
        <f>IF(C116="","",(SUMPRODUCT((Торговля!$E$5:$E$300=$B116)*Торговля!$F$5:$F$300*Торговля!$G$5:$G$300)+SUMPRODUCT((Закрытые!$E$5:$E$300=$B116)*(LEFT(Закрытые!$B$5:$B$300,2)="T-")*Закрытые!$F$5:$F$300*Закрытые!$G$5:$G$300))/C116)</f>
        <v/>
      </c>
      <c r="E116" s="247" t="str">
        <f>IF(C116="","",SUMIFS(Торговля!$H$5:$H$300,Торговля!$E$5:$E$300,$B116)+SUMIFS(Закрытые!$H$5:$H$300,Закрытые!$E$5:$E$300,$B116,Закрытые!$B$5:$B$300,"T-*"))</f>
        <v/>
      </c>
      <c r="F116" s="246" t="str">
        <f>IF(SUMIFS(Торговля!$I$5:$I$300,Торговля!$E$5:$E$300,$B116)+SUMIFS(Закрытые!$I$5:$I$300,Закрытые!$E$5:$E$300,$B116,Закрытые!$B$5:$B$300,"T-*")=0,"",SUMIFS(Торговля!$I$5:$I$300,Торговля!$E$5:$E$300,$B116)+SUMIFS(Закрытые!$I$5:$I$300,Закрытые!$E$5:$E$300,$B116,Закрытые!$B$5:$B$300,"T-*"))</f>
        <v/>
      </c>
      <c r="G116" s="183" t="str">
        <f>IF(F116="","",(SUMPRODUCT((Торговля!$E$5:$E$300=$B116)*Торговля!$I$5:$I$300*Торговля!$J$5:$J$300)+SUMPRODUCT((Закрытые!$E$5:$E$300=$B116)*(LEFT(Закрытые!$B$5:$B$300,2)="T-")*Закрытые!$I$5:$I$300*Закрытые!$J$5:$J$300))/F116)</f>
        <v/>
      </c>
      <c r="H116" s="247" t="str">
        <f>IF(F116="","",SUMIFS(Торговля!$K$5:$K$300,Торговля!$E$5:$E$300,$B116)+SUMIFS(Закрытые!$K$5:$K$300,Закрытые!$E$5:$E$300,$B116,Закрытые!$B$5:$B$300,"T-*"))</f>
        <v/>
      </c>
      <c r="I116" s="246" t="str">
        <f>IF($B116="","",IF(COUNTIFS(Торговля!$E$5:$E$300,$B116)+COUNTIFS(Закрытые!$E$5:$E$300,$B116,Закрытые!$B$5:$B$300,"T-*")=0,"",ROUND(SUMIFS(Торговля!$L$5:$L$300,Торговля!$E$5:$E$300,$B116)+SUMIFS(Закрытые!$L$5:$L$300,Закрытые!$E$5:$E$300,$B116,Закрытые!$B$5:$B$300,"T-*"),8)))</f>
        <v/>
      </c>
      <c r="J116" s="247" t="str">
        <f>IF($B116="","",IF(COUNTIFS(Торговля!$E$5:$E$300,$B116)+COUNTIFS(Закрытые!$E$5:$E$300,$B116,Закрытые!$B$5:$B$300,"T-*")=0,"",ROUND(SUMIFS(Торговля!$M$5:$M$300,Торговля!$E$5:$E$300,$B116)+SUMIFS(Закрытые!$M$5:$M$300,Закрытые!$E$5:$E$300,$B116,Закрытые!$B$5:$B$300,"T-*"),8)))</f>
        <v/>
      </c>
      <c r="K116" s="246" t="str">
        <f>IF(MIN(N(C116),N(F116))&lt;=0,"",ROUND(MIN(N(C116),N(F116))*(N(G116)-N(D116)),8))</f>
        <v/>
      </c>
      <c r="L116" s="183" t="str">
        <f>IF(MIN(N(C116),N(F116))&lt;=0,"",IF(N(D116)=0,"",ROUND((N(G116)/N(D116)-1)*100,2)))</f>
        <v/>
      </c>
      <c r="M116" s="183" t="str">
        <f>IF(OR(ROUND(N(C116)-N(F116),8)=0,1-N(Ввод!$J$19)/100&lt;=0),"",IF(N(C116)&gt;N(F116),(N(E116)-N(H116))/((N(C116)-N(F116))*(1-N(Ввод!$J$19)/100)),(N(H116)-N(E116))/((N(F116)-N(C116))*(1+N(Ввод!$J$19)/100))))</f>
        <v/>
      </c>
    </row>
    <row r="117" ht="22" customHeight="1">
      <c r="B117" s="239" t="n"/>
      <c r="C117" s="240" t="str">
        <f>IF(SUMIFS(Торговля!$F$5:$F$300,Торговля!$E$5:$E$300,$B117)+SUMIFS(Закрытые!$F$5:$F$300,Закрытые!$E$5:$E$300,$B117,Закрытые!$B$5:$B$300,"T-*")=0,"",SUMIFS(Торговля!$F$5:$F$300,Торговля!$E$5:$E$300,$B117)+SUMIFS(Закрытые!$F$5:$F$300,Закрытые!$E$5:$E$300,$B117,Закрытые!$B$5:$B$300,"T-*"))</f>
        <v/>
      </c>
      <c r="D117" s="177" t="str">
        <f>IF(C117="","",(SUMPRODUCT((Торговля!$E$5:$E$300=$B117)*Торговля!$F$5:$F$300*Торговля!$G$5:$G$300)+SUMPRODUCT((Закрытые!$E$5:$E$300=$B117)*(LEFT(Закрытые!$B$5:$B$300,2)="T-")*Закрытые!$F$5:$F$300*Закрытые!$G$5:$G$300))/C117)</f>
        <v/>
      </c>
      <c r="E117" s="241" t="str">
        <f>IF(C117="","",SUMIFS(Торговля!$H$5:$H$300,Торговля!$E$5:$E$300,$B117)+SUMIFS(Закрытые!$H$5:$H$300,Закрытые!$E$5:$E$300,$B117,Закрытые!$B$5:$B$300,"T-*"))</f>
        <v/>
      </c>
      <c r="F117" s="240" t="str">
        <f>IF(SUMIFS(Торговля!$I$5:$I$300,Торговля!$E$5:$E$300,$B117)+SUMIFS(Закрытые!$I$5:$I$300,Закрытые!$E$5:$E$300,$B117,Закрытые!$B$5:$B$300,"T-*")=0,"",SUMIFS(Торговля!$I$5:$I$300,Торговля!$E$5:$E$300,$B117)+SUMIFS(Закрытые!$I$5:$I$300,Закрытые!$E$5:$E$300,$B117,Закрытые!$B$5:$B$300,"T-*"))</f>
        <v/>
      </c>
      <c r="G117" s="177" t="str">
        <f>IF(F117="","",(SUMPRODUCT((Торговля!$E$5:$E$300=$B117)*Торговля!$I$5:$I$300*Торговля!$J$5:$J$300)+SUMPRODUCT((Закрытые!$E$5:$E$300=$B117)*(LEFT(Закрытые!$B$5:$B$300,2)="T-")*Закрытые!$I$5:$I$300*Закрытые!$J$5:$J$300))/F117)</f>
        <v/>
      </c>
      <c r="H117" s="241" t="str">
        <f>IF(F117="","",SUMIFS(Торговля!$K$5:$K$300,Торговля!$E$5:$E$300,$B117)+SUMIFS(Закрытые!$K$5:$K$300,Закрытые!$E$5:$E$300,$B117,Закрытые!$B$5:$B$300,"T-*"))</f>
        <v/>
      </c>
      <c r="I117" s="240" t="str">
        <f>IF($B117="","",IF(COUNTIFS(Торговля!$E$5:$E$300,$B117)+COUNTIFS(Закрытые!$E$5:$E$300,$B117,Закрытые!$B$5:$B$300,"T-*")=0,"",ROUND(SUMIFS(Торговля!$L$5:$L$300,Торговля!$E$5:$E$300,$B117)+SUMIFS(Закрытые!$L$5:$L$300,Закрытые!$E$5:$E$300,$B117,Закрытые!$B$5:$B$300,"T-*"),8)))</f>
        <v/>
      </c>
      <c r="J117" s="241" t="str">
        <f>IF($B117="","",IF(COUNTIFS(Торговля!$E$5:$E$300,$B117)+COUNTIFS(Закрытые!$E$5:$E$300,$B117,Закрытые!$B$5:$B$300,"T-*")=0,"",ROUND(SUMIFS(Торговля!$M$5:$M$300,Торговля!$E$5:$E$300,$B117)+SUMIFS(Закрытые!$M$5:$M$300,Закрытые!$E$5:$E$300,$B117,Закрытые!$B$5:$B$300,"T-*"),8)))</f>
        <v/>
      </c>
      <c r="K117" s="240" t="str">
        <f>IF(MIN(N(C117),N(F117))&lt;=0,"",ROUND(MIN(N(C117),N(F117))*(N(G117)-N(D117)),8))</f>
        <v/>
      </c>
      <c r="L117" s="177" t="str">
        <f>IF(MIN(N(C117),N(F117))&lt;=0,"",IF(N(D117)=0,"",ROUND((N(G117)/N(D117)-1)*100,2)))</f>
        <v/>
      </c>
      <c r="M117" s="177" t="str">
        <f>IF(OR(ROUND(N(C117)-N(F117),8)=0,1-N(Ввод!$J$19)/100&lt;=0),"",IF(N(C117)&gt;N(F117),(N(E117)-N(H117))/((N(C117)-N(F117))*(1-N(Ввод!$J$19)/100)),(N(H117)-N(E117))/((N(F117)-N(C117))*(1+N(Ввод!$J$19)/100))))</f>
        <v/>
      </c>
    </row>
    <row r="118" ht="22" customHeight="1">
      <c r="B118" s="245" t="n"/>
      <c r="C118" s="246" t="str">
        <f>IF(SUMIFS(Торговля!$F$5:$F$300,Торговля!$E$5:$E$300,$B118)+SUMIFS(Закрытые!$F$5:$F$300,Закрытые!$E$5:$E$300,$B118,Закрытые!$B$5:$B$300,"T-*")=0,"",SUMIFS(Торговля!$F$5:$F$300,Торговля!$E$5:$E$300,$B118)+SUMIFS(Закрытые!$F$5:$F$300,Закрытые!$E$5:$E$300,$B118,Закрытые!$B$5:$B$300,"T-*"))</f>
        <v/>
      </c>
      <c r="D118" s="183" t="str">
        <f>IF(C118="","",(SUMPRODUCT((Торговля!$E$5:$E$300=$B118)*Торговля!$F$5:$F$300*Торговля!$G$5:$G$300)+SUMPRODUCT((Закрытые!$E$5:$E$300=$B118)*(LEFT(Закрытые!$B$5:$B$300,2)="T-")*Закрытые!$F$5:$F$300*Закрытые!$G$5:$G$300))/C118)</f>
        <v/>
      </c>
      <c r="E118" s="247" t="str">
        <f>IF(C118="","",SUMIFS(Торговля!$H$5:$H$300,Торговля!$E$5:$E$300,$B118)+SUMIFS(Закрытые!$H$5:$H$300,Закрытые!$E$5:$E$300,$B118,Закрытые!$B$5:$B$300,"T-*"))</f>
        <v/>
      </c>
      <c r="F118" s="246" t="str">
        <f>IF(SUMIFS(Торговля!$I$5:$I$300,Торговля!$E$5:$E$300,$B118)+SUMIFS(Закрытые!$I$5:$I$300,Закрытые!$E$5:$E$300,$B118,Закрытые!$B$5:$B$300,"T-*")=0,"",SUMIFS(Торговля!$I$5:$I$300,Торговля!$E$5:$E$300,$B118)+SUMIFS(Закрытые!$I$5:$I$300,Закрытые!$E$5:$E$300,$B118,Закрытые!$B$5:$B$300,"T-*"))</f>
        <v/>
      </c>
      <c r="G118" s="183" t="str">
        <f>IF(F118="","",(SUMPRODUCT((Торговля!$E$5:$E$300=$B118)*Торговля!$I$5:$I$300*Торговля!$J$5:$J$300)+SUMPRODUCT((Закрытые!$E$5:$E$300=$B118)*(LEFT(Закрытые!$B$5:$B$300,2)="T-")*Закрытые!$I$5:$I$300*Закрытые!$J$5:$J$300))/F118)</f>
        <v/>
      </c>
      <c r="H118" s="247" t="str">
        <f>IF(F118="","",SUMIFS(Торговля!$K$5:$K$300,Торговля!$E$5:$E$300,$B118)+SUMIFS(Закрытые!$K$5:$K$300,Закрытые!$E$5:$E$300,$B118,Закрытые!$B$5:$B$300,"T-*"))</f>
        <v/>
      </c>
      <c r="I118" s="246" t="str">
        <f>IF($B118="","",IF(COUNTIFS(Торговля!$E$5:$E$300,$B118)+COUNTIFS(Закрытые!$E$5:$E$300,$B118,Закрытые!$B$5:$B$300,"T-*")=0,"",ROUND(SUMIFS(Торговля!$L$5:$L$300,Торговля!$E$5:$E$300,$B118)+SUMIFS(Закрытые!$L$5:$L$300,Закрытые!$E$5:$E$300,$B118,Закрытые!$B$5:$B$300,"T-*"),8)))</f>
        <v/>
      </c>
      <c r="J118" s="247" t="str">
        <f>IF($B118="","",IF(COUNTIFS(Торговля!$E$5:$E$300,$B118)+COUNTIFS(Закрытые!$E$5:$E$300,$B118,Закрытые!$B$5:$B$300,"T-*")=0,"",ROUND(SUMIFS(Торговля!$M$5:$M$300,Торговля!$E$5:$E$300,$B118)+SUMIFS(Закрытые!$M$5:$M$300,Закрытые!$E$5:$E$300,$B118,Закрытые!$B$5:$B$300,"T-*"),8)))</f>
        <v/>
      </c>
      <c r="K118" s="246" t="str">
        <f>IF(MIN(N(C118),N(F118))&lt;=0,"",ROUND(MIN(N(C118),N(F118))*(N(G118)-N(D118)),8))</f>
        <v/>
      </c>
      <c r="L118" s="183" t="str">
        <f>IF(MIN(N(C118),N(F118))&lt;=0,"",IF(N(D118)=0,"",ROUND((N(G118)/N(D118)-1)*100,2)))</f>
        <v/>
      </c>
      <c r="M118" s="183" t="str">
        <f>IF(OR(ROUND(N(C118)-N(F118),8)=0,1-N(Ввод!$J$19)/100&lt;=0),"",IF(N(C118)&gt;N(F118),(N(E118)-N(H118))/((N(C118)-N(F118))*(1-N(Ввод!$J$19)/100)),(N(H118)-N(E118))/((N(F118)-N(C118))*(1+N(Ввод!$J$19)/100))))</f>
        <v/>
      </c>
    </row>
    <row r="119" ht="22" customHeight="1">
      <c r="B119" s="239" t="n"/>
      <c r="C119" s="240" t="str">
        <f>IF(SUMIFS(Торговля!$F$5:$F$300,Торговля!$E$5:$E$300,$B119)+SUMIFS(Закрытые!$F$5:$F$300,Закрытые!$E$5:$E$300,$B119,Закрытые!$B$5:$B$300,"T-*")=0,"",SUMIFS(Торговля!$F$5:$F$300,Торговля!$E$5:$E$300,$B119)+SUMIFS(Закрытые!$F$5:$F$300,Закрытые!$E$5:$E$300,$B119,Закрытые!$B$5:$B$300,"T-*"))</f>
        <v/>
      </c>
      <c r="D119" s="177" t="str">
        <f>IF(C119="","",(SUMPRODUCT((Торговля!$E$5:$E$300=$B119)*Торговля!$F$5:$F$300*Торговля!$G$5:$G$300)+SUMPRODUCT((Закрытые!$E$5:$E$300=$B119)*(LEFT(Закрытые!$B$5:$B$300,2)="T-")*Закрытые!$F$5:$F$300*Закрытые!$G$5:$G$300))/C119)</f>
        <v/>
      </c>
      <c r="E119" s="241" t="str">
        <f>IF(C119="","",SUMIFS(Торговля!$H$5:$H$300,Торговля!$E$5:$E$300,$B119)+SUMIFS(Закрытые!$H$5:$H$300,Закрытые!$E$5:$E$300,$B119,Закрытые!$B$5:$B$300,"T-*"))</f>
        <v/>
      </c>
      <c r="F119" s="240" t="str">
        <f>IF(SUMIFS(Торговля!$I$5:$I$300,Торговля!$E$5:$E$300,$B119)+SUMIFS(Закрытые!$I$5:$I$300,Закрытые!$E$5:$E$300,$B119,Закрытые!$B$5:$B$300,"T-*")=0,"",SUMIFS(Торговля!$I$5:$I$300,Торговля!$E$5:$E$300,$B119)+SUMIFS(Закрытые!$I$5:$I$300,Закрытые!$E$5:$E$300,$B119,Закрытые!$B$5:$B$300,"T-*"))</f>
        <v/>
      </c>
      <c r="G119" s="177" t="str">
        <f>IF(F119="","",(SUMPRODUCT((Торговля!$E$5:$E$300=$B119)*Торговля!$I$5:$I$300*Торговля!$J$5:$J$300)+SUMPRODUCT((Закрытые!$E$5:$E$300=$B119)*(LEFT(Закрытые!$B$5:$B$300,2)="T-")*Закрытые!$I$5:$I$300*Закрытые!$J$5:$J$300))/F119)</f>
        <v/>
      </c>
      <c r="H119" s="241" t="str">
        <f>IF(F119="","",SUMIFS(Торговля!$K$5:$K$300,Торговля!$E$5:$E$300,$B119)+SUMIFS(Закрытые!$K$5:$K$300,Закрытые!$E$5:$E$300,$B119,Закрытые!$B$5:$B$300,"T-*"))</f>
        <v/>
      </c>
      <c r="I119" s="240" t="str">
        <f>IF($B119="","",IF(COUNTIFS(Торговля!$E$5:$E$300,$B119)+COUNTIFS(Закрытые!$E$5:$E$300,$B119,Закрытые!$B$5:$B$300,"T-*")=0,"",ROUND(SUMIFS(Торговля!$L$5:$L$300,Торговля!$E$5:$E$300,$B119)+SUMIFS(Закрытые!$L$5:$L$300,Закрытые!$E$5:$E$300,$B119,Закрытые!$B$5:$B$300,"T-*"),8)))</f>
        <v/>
      </c>
      <c r="J119" s="241" t="str">
        <f>IF($B119="","",IF(COUNTIFS(Торговля!$E$5:$E$300,$B119)+COUNTIFS(Закрытые!$E$5:$E$300,$B119,Закрытые!$B$5:$B$300,"T-*")=0,"",ROUND(SUMIFS(Торговля!$M$5:$M$300,Торговля!$E$5:$E$300,$B119)+SUMIFS(Закрытые!$M$5:$M$300,Закрытые!$E$5:$E$300,$B119,Закрытые!$B$5:$B$300,"T-*"),8)))</f>
        <v/>
      </c>
      <c r="K119" s="240" t="str">
        <f>IF(MIN(N(C119),N(F119))&lt;=0,"",ROUND(MIN(N(C119),N(F119))*(N(G119)-N(D119)),8))</f>
        <v/>
      </c>
      <c r="L119" s="177" t="str">
        <f>IF(MIN(N(C119),N(F119))&lt;=0,"",IF(N(D119)=0,"",ROUND((N(G119)/N(D119)-1)*100,2)))</f>
        <v/>
      </c>
      <c r="M119" s="177" t="str">
        <f>IF(OR(ROUND(N(C119)-N(F119),8)=0,1-N(Ввод!$J$19)/100&lt;=0),"",IF(N(C119)&gt;N(F119),(N(E119)-N(H119))/((N(C119)-N(F119))*(1-N(Ввод!$J$19)/100)),(N(H119)-N(E119))/((N(F119)-N(C119))*(1+N(Ввод!$J$19)/100))))</f>
        <v/>
      </c>
    </row>
    <row r="120" ht="22" customHeight="1">
      <c r="B120" s="245" t="n"/>
      <c r="C120" s="246" t="str">
        <f>IF(SUMIFS(Торговля!$F$5:$F$300,Торговля!$E$5:$E$300,$B120)+SUMIFS(Закрытые!$F$5:$F$300,Закрытые!$E$5:$E$300,$B120,Закрытые!$B$5:$B$300,"T-*")=0,"",SUMIFS(Торговля!$F$5:$F$300,Торговля!$E$5:$E$300,$B120)+SUMIFS(Закрытые!$F$5:$F$300,Закрытые!$E$5:$E$300,$B120,Закрытые!$B$5:$B$300,"T-*"))</f>
        <v/>
      </c>
      <c r="D120" s="183" t="str">
        <f>IF(C120="","",(SUMPRODUCT((Торговля!$E$5:$E$300=$B120)*Торговля!$F$5:$F$300*Торговля!$G$5:$G$300)+SUMPRODUCT((Закрытые!$E$5:$E$300=$B120)*(LEFT(Закрытые!$B$5:$B$300,2)="T-")*Закрытые!$F$5:$F$300*Закрытые!$G$5:$G$300))/C120)</f>
        <v/>
      </c>
      <c r="E120" s="247" t="str">
        <f>IF(C120="","",SUMIFS(Торговля!$H$5:$H$300,Торговля!$E$5:$E$300,$B120)+SUMIFS(Закрытые!$H$5:$H$300,Закрытые!$E$5:$E$300,$B120,Закрытые!$B$5:$B$300,"T-*"))</f>
        <v/>
      </c>
      <c r="F120" s="246" t="str">
        <f>IF(SUMIFS(Торговля!$I$5:$I$300,Торговля!$E$5:$E$300,$B120)+SUMIFS(Закрытые!$I$5:$I$300,Закрытые!$E$5:$E$300,$B120,Закрытые!$B$5:$B$300,"T-*")=0,"",SUMIFS(Торговля!$I$5:$I$300,Торговля!$E$5:$E$300,$B120)+SUMIFS(Закрытые!$I$5:$I$300,Закрытые!$E$5:$E$300,$B120,Закрытые!$B$5:$B$300,"T-*"))</f>
        <v/>
      </c>
      <c r="G120" s="183" t="str">
        <f>IF(F120="","",(SUMPRODUCT((Торговля!$E$5:$E$300=$B120)*Торговля!$I$5:$I$300*Торговля!$J$5:$J$300)+SUMPRODUCT((Закрытые!$E$5:$E$300=$B120)*(LEFT(Закрытые!$B$5:$B$300,2)="T-")*Закрытые!$I$5:$I$300*Закрытые!$J$5:$J$300))/F120)</f>
        <v/>
      </c>
      <c r="H120" s="247" t="str">
        <f>IF(F120="","",SUMIFS(Торговля!$K$5:$K$300,Торговля!$E$5:$E$300,$B120)+SUMIFS(Закрытые!$K$5:$K$300,Закрытые!$E$5:$E$300,$B120,Закрытые!$B$5:$B$300,"T-*"))</f>
        <v/>
      </c>
      <c r="I120" s="246" t="str">
        <f>IF($B120="","",IF(COUNTIFS(Торговля!$E$5:$E$300,$B120)+COUNTIFS(Закрытые!$E$5:$E$300,$B120,Закрытые!$B$5:$B$300,"T-*")=0,"",ROUND(SUMIFS(Торговля!$L$5:$L$300,Торговля!$E$5:$E$300,$B120)+SUMIFS(Закрытые!$L$5:$L$300,Закрытые!$E$5:$E$300,$B120,Закрытые!$B$5:$B$300,"T-*"),8)))</f>
        <v/>
      </c>
      <c r="J120" s="247" t="str">
        <f>IF($B120="","",IF(COUNTIFS(Торговля!$E$5:$E$300,$B120)+COUNTIFS(Закрытые!$E$5:$E$300,$B120,Закрытые!$B$5:$B$300,"T-*")=0,"",ROUND(SUMIFS(Торговля!$M$5:$M$300,Торговля!$E$5:$E$300,$B120)+SUMIFS(Закрытые!$M$5:$M$300,Закрытые!$E$5:$E$300,$B120,Закрытые!$B$5:$B$300,"T-*"),8)))</f>
        <v/>
      </c>
      <c r="K120" s="246" t="str">
        <f>IF(MIN(N(C120),N(F120))&lt;=0,"",ROUND(MIN(N(C120),N(F120))*(N(G120)-N(D120)),8))</f>
        <v/>
      </c>
      <c r="L120" s="183" t="str">
        <f>IF(MIN(N(C120),N(F120))&lt;=0,"",IF(N(D120)=0,"",ROUND((N(G120)/N(D120)-1)*100,2)))</f>
        <v/>
      </c>
      <c r="M120" s="183" t="str">
        <f>IF(OR(ROUND(N(C120)-N(F120),8)=0,1-N(Ввод!$J$19)/100&lt;=0),"",IF(N(C120)&gt;N(F120),(N(E120)-N(H120))/((N(C120)-N(F120))*(1-N(Ввод!$J$19)/100)),(N(H120)-N(E120))/((N(F120)-N(C120))*(1+N(Ввод!$J$19)/100))))</f>
        <v/>
      </c>
    </row>
    <row r="121" ht="22" customHeight="1">
      <c r="B121" s="239" t="n"/>
      <c r="C121" s="240" t="str">
        <f>IF(SUMIFS(Торговля!$F$5:$F$300,Торговля!$E$5:$E$300,$B121)+SUMIFS(Закрытые!$F$5:$F$300,Закрытые!$E$5:$E$300,$B121,Закрытые!$B$5:$B$300,"T-*")=0,"",SUMIFS(Торговля!$F$5:$F$300,Торговля!$E$5:$E$300,$B121)+SUMIFS(Закрытые!$F$5:$F$300,Закрытые!$E$5:$E$300,$B121,Закрытые!$B$5:$B$300,"T-*"))</f>
        <v/>
      </c>
      <c r="D121" s="177" t="str">
        <f>IF(C121="","",(SUMPRODUCT((Торговля!$E$5:$E$300=$B121)*Торговля!$F$5:$F$300*Торговля!$G$5:$G$300)+SUMPRODUCT((Закрытые!$E$5:$E$300=$B121)*(LEFT(Закрытые!$B$5:$B$300,2)="T-")*Закрытые!$F$5:$F$300*Закрытые!$G$5:$G$300))/C121)</f>
        <v/>
      </c>
      <c r="E121" s="241" t="str">
        <f>IF(C121="","",SUMIFS(Торговля!$H$5:$H$300,Торговля!$E$5:$E$300,$B121)+SUMIFS(Закрытые!$H$5:$H$300,Закрытые!$E$5:$E$300,$B121,Закрытые!$B$5:$B$300,"T-*"))</f>
        <v/>
      </c>
      <c r="F121" s="240" t="str">
        <f>IF(SUMIFS(Торговля!$I$5:$I$300,Торговля!$E$5:$E$300,$B121)+SUMIFS(Закрытые!$I$5:$I$300,Закрытые!$E$5:$E$300,$B121,Закрытые!$B$5:$B$300,"T-*")=0,"",SUMIFS(Торговля!$I$5:$I$300,Торговля!$E$5:$E$300,$B121)+SUMIFS(Закрытые!$I$5:$I$300,Закрытые!$E$5:$E$300,$B121,Закрытые!$B$5:$B$300,"T-*"))</f>
        <v/>
      </c>
      <c r="G121" s="177" t="str">
        <f>IF(F121="","",(SUMPRODUCT((Торговля!$E$5:$E$300=$B121)*Торговля!$I$5:$I$300*Торговля!$J$5:$J$300)+SUMPRODUCT((Закрытые!$E$5:$E$300=$B121)*(LEFT(Закрытые!$B$5:$B$300,2)="T-")*Закрытые!$I$5:$I$300*Закрытые!$J$5:$J$300))/F121)</f>
        <v/>
      </c>
      <c r="H121" s="241" t="str">
        <f>IF(F121="","",SUMIFS(Торговля!$K$5:$K$300,Торговля!$E$5:$E$300,$B121)+SUMIFS(Закрытые!$K$5:$K$300,Закрытые!$E$5:$E$300,$B121,Закрытые!$B$5:$B$300,"T-*"))</f>
        <v/>
      </c>
      <c r="I121" s="240" t="str">
        <f>IF($B121="","",IF(COUNTIFS(Торговля!$E$5:$E$300,$B121)+COUNTIFS(Закрытые!$E$5:$E$300,$B121,Закрытые!$B$5:$B$300,"T-*")=0,"",ROUND(SUMIFS(Торговля!$L$5:$L$300,Торговля!$E$5:$E$300,$B121)+SUMIFS(Закрытые!$L$5:$L$300,Закрытые!$E$5:$E$300,$B121,Закрытые!$B$5:$B$300,"T-*"),8)))</f>
        <v/>
      </c>
      <c r="J121" s="241" t="str">
        <f>IF($B121="","",IF(COUNTIFS(Торговля!$E$5:$E$300,$B121)+COUNTIFS(Закрытые!$E$5:$E$300,$B121,Закрытые!$B$5:$B$300,"T-*")=0,"",ROUND(SUMIFS(Торговля!$M$5:$M$300,Торговля!$E$5:$E$300,$B121)+SUMIFS(Закрытые!$M$5:$M$300,Закрытые!$E$5:$E$300,$B121,Закрытые!$B$5:$B$300,"T-*"),8)))</f>
        <v/>
      </c>
      <c r="K121" s="240" t="str">
        <f>IF(MIN(N(C121),N(F121))&lt;=0,"",ROUND(MIN(N(C121),N(F121))*(N(G121)-N(D121)),8))</f>
        <v/>
      </c>
      <c r="L121" s="177" t="str">
        <f>IF(MIN(N(C121),N(F121))&lt;=0,"",IF(N(D121)=0,"",ROUND((N(G121)/N(D121)-1)*100,2)))</f>
        <v/>
      </c>
      <c r="M121" s="177" t="str">
        <f>IF(OR(ROUND(N(C121)-N(F121),8)=0,1-N(Ввод!$J$19)/100&lt;=0),"",IF(N(C121)&gt;N(F121),(N(E121)-N(H121))/((N(C121)-N(F121))*(1-N(Ввод!$J$19)/100)),(N(H121)-N(E121))/((N(F121)-N(C121))*(1+N(Ввод!$J$19)/100))))</f>
        <v/>
      </c>
    </row>
    <row r="122" ht="22" customHeight="1">
      <c r="B122" s="245" t="n"/>
      <c r="C122" s="246" t="str">
        <f>IF(SUMIFS(Торговля!$F$5:$F$300,Торговля!$E$5:$E$300,$B122)+SUMIFS(Закрытые!$F$5:$F$300,Закрытые!$E$5:$E$300,$B122,Закрытые!$B$5:$B$300,"T-*")=0,"",SUMIFS(Торговля!$F$5:$F$300,Торговля!$E$5:$E$300,$B122)+SUMIFS(Закрытые!$F$5:$F$300,Закрытые!$E$5:$E$300,$B122,Закрытые!$B$5:$B$300,"T-*"))</f>
        <v/>
      </c>
      <c r="D122" s="183" t="str">
        <f>IF(C122="","",(SUMPRODUCT((Торговля!$E$5:$E$300=$B122)*Торговля!$F$5:$F$300*Торговля!$G$5:$G$300)+SUMPRODUCT((Закрытые!$E$5:$E$300=$B122)*(LEFT(Закрытые!$B$5:$B$300,2)="T-")*Закрытые!$F$5:$F$300*Закрытые!$G$5:$G$300))/C122)</f>
        <v/>
      </c>
      <c r="E122" s="247" t="str">
        <f>IF(C122="","",SUMIFS(Торговля!$H$5:$H$300,Торговля!$E$5:$E$300,$B122)+SUMIFS(Закрытые!$H$5:$H$300,Закрытые!$E$5:$E$300,$B122,Закрытые!$B$5:$B$300,"T-*"))</f>
        <v/>
      </c>
      <c r="F122" s="246" t="str">
        <f>IF(SUMIFS(Торговля!$I$5:$I$300,Торговля!$E$5:$E$300,$B122)+SUMIFS(Закрытые!$I$5:$I$300,Закрытые!$E$5:$E$300,$B122,Закрытые!$B$5:$B$300,"T-*")=0,"",SUMIFS(Торговля!$I$5:$I$300,Торговля!$E$5:$E$300,$B122)+SUMIFS(Закрытые!$I$5:$I$300,Закрытые!$E$5:$E$300,$B122,Закрытые!$B$5:$B$300,"T-*"))</f>
        <v/>
      </c>
      <c r="G122" s="183" t="str">
        <f>IF(F122="","",(SUMPRODUCT((Торговля!$E$5:$E$300=$B122)*Торговля!$I$5:$I$300*Торговля!$J$5:$J$300)+SUMPRODUCT((Закрытые!$E$5:$E$300=$B122)*(LEFT(Закрытые!$B$5:$B$300,2)="T-")*Закрытые!$I$5:$I$300*Закрытые!$J$5:$J$300))/F122)</f>
        <v/>
      </c>
      <c r="H122" s="247" t="str">
        <f>IF(F122="","",SUMIFS(Торговля!$K$5:$K$300,Торговля!$E$5:$E$300,$B122)+SUMIFS(Закрытые!$K$5:$K$300,Закрытые!$E$5:$E$300,$B122,Закрытые!$B$5:$B$300,"T-*"))</f>
        <v/>
      </c>
      <c r="I122" s="246" t="str">
        <f>IF($B122="","",IF(COUNTIFS(Торговля!$E$5:$E$300,$B122)+COUNTIFS(Закрытые!$E$5:$E$300,$B122,Закрытые!$B$5:$B$300,"T-*")=0,"",ROUND(SUMIFS(Торговля!$L$5:$L$300,Торговля!$E$5:$E$300,$B122)+SUMIFS(Закрытые!$L$5:$L$300,Закрытые!$E$5:$E$300,$B122,Закрытые!$B$5:$B$300,"T-*"),8)))</f>
        <v/>
      </c>
      <c r="J122" s="247" t="str">
        <f>IF($B122="","",IF(COUNTIFS(Торговля!$E$5:$E$300,$B122)+COUNTIFS(Закрытые!$E$5:$E$300,$B122,Закрытые!$B$5:$B$300,"T-*")=0,"",ROUND(SUMIFS(Торговля!$M$5:$M$300,Торговля!$E$5:$E$300,$B122)+SUMIFS(Закрытые!$M$5:$M$300,Закрытые!$E$5:$E$300,$B122,Закрытые!$B$5:$B$300,"T-*"),8)))</f>
        <v/>
      </c>
      <c r="K122" s="246" t="str">
        <f>IF(MIN(N(C122),N(F122))&lt;=0,"",ROUND(MIN(N(C122),N(F122))*(N(G122)-N(D122)),8))</f>
        <v/>
      </c>
      <c r="L122" s="183" t="str">
        <f>IF(MIN(N(C122),N(F122))&lt;=0,"",IF(N(D122)=0,"",ROUND((N(G122)/N(D122)-1)*100,2)))</f>
        <v/>
      </c>
      <c r="M122" s="183" t="str">
        <f>IF(OR(ROUND(N(C122)-N(F122),8)=0,1-N(Ввод!$J$19)/100&lt;=0),"",IF(N(C122)&gt;N(F122),(N(E122)-N(H122))/((N(C122)-N(F122))*(1-N(Ввод!$J$19)/100)),(N(H122)-N(E122))/((N(F122)-N(C122))*(1+N(Ввод!$J$19)/100))))</f>
        <v/>
      </c>
    </row>
    <row r="123" ht="22" customHeight="1">
      <c r="B123" s="239" t="n"/>
      <c r="C123" s="240" t="str">
        <f>IF(SUMIFS(Торговля!$F$5:$F$300,Торговля!$E$5:$E$300,$B123)+SUMIFS(Закрытые!$F$5:$F$300,Закрытые!$E$5:$E$300,$B123,Закрытые!$B$5:$B$300,"T-*")=0,"",SUMIFS(Торговля!$F$5:$F$300,Торговля!$E$5:$E$300,$B123)+SUMIFS(Закрытые!$F$5:$F$300,Закрытые!$E$5:$E$300,$B123,Закрытые!$B$5:$B$300,"T-*"))</f>
        <v/>
      </c>
      <c r="D123" s="177" t="str">
        <f>IF(C123="","",(SUMPRODUCT((Торговля!$E$5:$E$300=$B123)*Торговля!$F$5:$F$300*Торговля!$G$5:$G$300)+SUMPRODUCT((Закрытые!$E$5:$E$300=$B123)*(LEFT(Закрытые!$B$5:$B$300,2)="T-")*Закрытые!$F$5:$F$300*Закрытые!$G$5:$G$300))/C123)</f>
        <v/>
      </c>
      <c r="E123" s="241" t="str">
        <f>IF(C123="","",SUMIFS(Торговля!$H$5:$H$300,Торговля!$E$5:$E$300,$B123)+SUMIFS(Закрытые!$H$5:$H$300,Закрытые!$E$5:$E$300,$B123,Закрытые!$B$5:$B$300,"T-*"))</f>
        <v/>
      </c>
      <c r="F123" s="240" t="str">
        <f>IF(SUMIFS(Торговля!$I$5:$I$300,Торговля!$E$5:$E$300,$B123)+SUMIFS(Закрытые!$I$5:$I$300,Закрытые!$E$5:$E$300,$B123,Закрытые!$B$5:$B$300,"T-*")=0,"",SUMIFS(Торговля!$I$5:$I$300,Торговля!$E$5:$E$300,$B123)+SUMIFS(Закрытые!$I$5:$I$300,Закрытые!$E$5:$E$300,$B123,Закрытые!$B$5:$B$300,"T-*"))</f>
        <v/>
      </c>
      <c r="G123" s="177" t="str">
        <f>IF(F123="","",(SUMPRODUCT((Торговля!$E$5:$E$300=$B123)*Торговля!$I$5:$I$300*Торговля!$J$5:$J$300)+SUMPRODUCT((Закрытые!$E$5:$E$300=$B123)*(LEFT(Закрытые!$B$5:$B$300,2)="T-")*Закрытые!$I$5:$I$300*Закрытые!$J$5:$J$300))/F123)</f>
        <v/>
      </c>
      <c r="H123" s="241" t="str">
        <f>IF(F123="","",SUMIFS(Торговля!$K$5:$K$300,Торговля!$E$5:$E$300,$B123)+SUMIFS(Закрытые!$K$5:$K$300,Закрытые!$E$5:$E$300,$B123,Закрытые!$B$5:$B$300,"T-*"))</f>
        <v/>
      </c>
      <c r="I123" s="240" t="str">
        <f>IF($B123="","",IF(COUNTIFS(Торговля!$E$5:$E$300,$B123)+COUNTIFS(Закрытые!$E$5:$E$300,$B123,Закрытые!$B$5:$B$300,"T-*")=0,"",ROUND(SUMIFS(Торговля!$L$5:$L$300,Торговля!$E$5:$E$300,$B123)+SUMIFS(Закрытые!$L$5:$L$300,Закрытые!$E$5:$E$300,$B123,Закрытые!$B$5:$B$300,"T-*"),8)))</f>
        <v/>
      </c>
      <c r="J123" s="241" t="str">
        <f>IF($B123="","",IF(COUNTIFS(Торговля!$E$5:$E$300,$B123)+COUNTIFS(Закрытые!$E$5:$E$300,$B123,Закрытые!$B$5:$B$300,"T-*")=0,"",ROUND(SUMIFS(Торговля!$M$5:$M$300,Торговля!$E$5:$E$300,$B123)+SUMIFS(Закрытые!$M$5:$M$300,Закрытые!$E$5:$E$300,$B123,Закрытые!$B$5:$B$300,"T-*"),8)))</f>
        <v/>
      </c>
      <c r="K123" s="240" t="str">
        <f>IF(MIN(N(C123),N(F123))&lt;=0,"",ROUND(MIN(N(C123),N(F123))*(N(G123)-N(D123)),8))</f>
        <v/>
      </c>
      <c r="L123" s="177" t="str">
        <f>IF(MIN(N(C123),N(F123))&lt;=0,"",IF(N(D123)=0,"",ROUND((N(G123)/N(D123)-1)*100,2)))</f>
        <v/>
      </c>
      <c r="M123" s="177" t="str">
        <f>IF(OR(ROUND(N(C123)-N(F123),8)=0,1-N(Ввод!$J$19)/100&lt;=0),"",IF(N(C123)&gt;N(F123),(N(E123)-N(H123))/((N(C123)-N(F123))*(1-N(Ввод!$J$19)/100)),(N(H123)-N(E123))/((N(F123)-N(C123))*(1+N(Ввод!$J$19)/100))))</f>
        <v/>
      </c>
    </row>
    <row r="124" ht="22" customHeight="1">
      <c r="B124" s="245" t="n"/>
      <c r="C124" s="246" t="str">
        <f>IF(SUMIFS(Торговля!$F$5:$F$300,Торговля!$E$5:$E$300,$B124)+SUMIFS(Закрытые!$F$5:$F$300,Закрытые!$E$5:$E$300,$B124,Закрытые!$B$5:$B$300,"T-*")=0,"",SUMIFS(Торговля!$F$5:$F$300,Торговля!$E$5:$E$300,$B124)+SUMIFS(Закрытые!$F$5:$F$300,Закрытые!$E$5:$E$300,$B124,Закрытые!$B$5:$B$300,"T-*"))</f>
        <v/>
      </c>
      <c r="D124" s="183" t="str">
        <f>IF(C124="","",(SUMPRODUCT((Торговля!$E$5:$E$300=$B124)*Торговля!$F$5:$F$300*Торговля!$G$5:$G$300)+SUMPRODUCT((Закрытые!$E$5:$E$300=$B124)*(LEFT(Закрытые!$B$5:$B$300,2)="T-")*Закрытые!$F$5:$F$300*Закрытые!$G$5:$G$300))/C124)</f>
        <v/>
      </c>
      <c r="E124" s="247" t="str">
        <f>IF(C124="","",SUMIFS(Торговля!$H$5:$H$300,Торговля!$E$5:$E$300,$B124)+SUMIFS(Закрытые!$H$5:$H$300,Закрытые!$E$5:$E$300,$B124,Закрытые!$B$5:$B$300,"T-*"))</f>
        <v/>
      </c>
      <c r="F124" s="246" t="str">
        <f>IF(SUMIFS(Торговля!$I$5:$I$300,Торговля!$E$5:$E$300,$B124)+SUMIFS(Закрытые!$I$5:$I$300,Закрытые!$E$5:$E$300,$B124,Закрытые!$B$5:$B$300,"T-*")=0,"",SUMIFS(Торговля!$I$5:$I$300,Торговля!$E$5:$E$300,$B124)+SUMIFS(Закрытые!$I$5:$I$300,Закрытые!$E$5:$E$300,$B124,Закрытые!$B$5:$B$300,"T-*"))</f>
        <v/>
      </c>
      <c r="G124" s="183" t="str">
        <f>IF(F124="","",(SUMPRODUCT((Торговля!$E$5:$E$300=$B124)*Торговля!$I$5:$I$300*Торговля!$J$5:$J$300)+SUMPRODUCT((Закрытые!$E$5:$E$300=$B124)*(LEFT(Закрытые!$B$5:$B$300,2)="T-")*Закрытые!$I$5:$I$300*Закрытые!$J$5:$J$300))/F124)</f>
        <v/>
      </c>
      <c r="H124" s="247" t="str">
        <f>IF(F124="","",SUMIFS(Торговля!$K$5:$K$300,Торговля!$E$5:$E$300,$B124)+SUMIFS(Закрытые!$K$5:$K$300,Закрытые!$E$5:$E$300,$B124,Закрытые!$B$5:$B$300,"T-*"))</f>
        <v/>
      </c>
      <c r="I124" s="246" t="str">
        <f>IF($B124="","",IF(COUNTIFS(Торговля!$E$5:$E$300,$B124)+COUNTIFS(Закрытые!$E$5:$E$300,$B124,Закрытые!$B$5:$B$300,"T-*")=0,"",ROUND(SUMIFS(Торговля!$L$5:$L$300,Торговля!$E$5:$E$300,$B124)+SUMIFS(Закрытые!$L$5:$L$300,Закрытые!$E$5:$E$300,$B124,Закрытые!$B$5:$B$300,"T-*"),8)))</f>
        <v/>
      </c>
      <c r="J124" s="247" t="str">
        <f>IF($B124="","",IF(COUNTIFS(Торговля!$E$5:$E$300,$B124)+COUNTIFS(Закрытые!$E$5:$E$300,$B124,Закрытые!$B$5:$B$300,"T-*")=0,"",ROUND(SUMIFS(Торговля!$M$5:$M$300,Торговля!$E$5:$E$300,$B124)+SUMIFS(Закрытые!$M$5:$M$300,Закрытые!$E$5:$E$300,$B124,Закрытые!$B$5:$B$300,"T-*"),8)))</f>
        <v/>
      </c>
      <c r="K124" s="246" t="str">
        <f>IF(MIN(N(C124),N(F124))&lt;=0,"",ROUND(MIN(N(C124),N(F124))*(N(G124)-N(D124)),8))</f>
        <v/>
      </c>
      <c r="L124" s="183" t="str">
        <f>IF(MIN(N(C124),N(F124))&lt;=0,"",IF(N(D124)=0,"",ROUND((N(G124)/N(D124)-1)*100,2)))</f>
        <v/>
      </c>
      <c r="M124" s="183" t="str">
        <f>IF(OR(ROUND(N(C124)-N(F124),8)=0,1-N(Ввод!$J$19)/100&lt;=0),"",IF(N(C124)&gt;N(F124),(N(E124)-N(H124))/((N(C124)-N(F124))*(1-N(Ввод!$J$19)/100)),(N(H124)-N(E124))/((N(F124)-N(C124))*(1+N(Ввод!$J$19)/100))))</f>
        <v/>
      </c>
    </row>
    <row r="125" ht="22" customHeight="1">
      <c r="B125" s="239" t="n"/>
      <c r="C125" s="240" t="str">
        <f>IF(SUMIFS(Торговля!$F$5:$F$300,Торговля!$E$5:$E$300,$B125)+SUMIFS(Закрытые!$F$5:$F$300,Закрытые!$E$5:$E$300,$B125,Закрытые!$B$5:$B$300,"T-*")=0,"",SUMIFS(Торговля!$F$5:$F$300,Торговля!$E$5:$E$300,$B125)+SUMIFS(Закрытые!$F$5:$F$300,Закрытые!$E$5:$E$300,$B125,Закрытые!$B$5:$B$300,"T-*"))</f>
        <v/>
      </c>
      <c r="D125" s="177" t="str">
        <f>IF(C125="","",(SUMPRODUCT((Торговля!$E$5:$E$300=$B125)*Торговля!$F$5:$F$300*Торговля!$G$5:$G$300)+SUMPRODUCT((Закрытые!$E$5:$E$300=$B125)*(LEFT(Закрытые!$B$5:$B$300,2)="T-")*Закрытые!$F$5:$F$300*Закрытые!$G$5:$G$300))/C125)</f>
        <v/>
      </c>
      <c r="E125" s="241" t="str">
        <f>IF(C125="","",SUMIFS(Торговля!$H$5:$H$300,Торговля!$E$5:$E$300,$B125)+SUMIFS(Закрытые!$H$5:$H$300,Закрытые!$E$5:$E$300,$B125,Закрытые!$B$5:$B$300,"T-*"))</f>
        <v/>
      </c>
      <c r="F125" s="240" t="str">
        <f>IF(SUMIFS(Торговля!$I$5:$I$300,Торговля!$E$5:$E$300,$B125)+SUMIFS(Закрытые!$I$5:$I$300,Закрытые!$E$5:$E$300,$B125,Закрытые!$B$5:$B$300,"T-*")=0,"",SUMIFS(Торговля!$I$5:$I$300,Торговля!$E$5:$E$300,$B125)+SUMIFS(Закрытые!$I$5:$I$300,Закрытые!$E$5:$E$300,$B125,Закрытые!$B$5:$B$300,"T-*"))</f>
        <v/>
      </c>
      <c r="G125" s="177" t="str">
        <f>IF(F125="","",(SUMPRODUCT((Торговля!$E$5:$E$300=$B125)*Торговля!$I$5:$I$300*Торговля!$J$5:$J$300)+SUMPRODUCT((Закрытые!$E$5:$E$300=$B125)*(LEFT(Закрытые!$B$5:$B$300,2)="T-")*Закрытые!$I$5:$I$300*Закрытые!$J$5:$J$300))/F125)</f>
        <v/>
      </c>
      <c r="H125" s="241" t="str">
        <f>IF(F125="","",SUMIFS(Торговля!$K$5:$K$300,Торговля!$E$5:$E$300,$B125)+SUMIFS(Закрытые!$K$5:$K$300,Закрытые!$E$5:$E$300,$B125,Закрытые!$B$5:$B$300,"T-*"))</f>
        <v/>
      </c>
      <c r="I125" s="240" t="str">
        <f>IF($B125="","",IF(COUNTIFS(Торговля!$E$5:$E$300,$B125)+COUNTIFS(Закрытые!$E$5:$E$300,$B125,Закрытые!$B$5:$B$300,"T-*")=0,"",ROUND(SUMIFS(Торговля!$L$5:$L$300,Торговля!$E$5:$E$300,$B125)+SUMIFS(Закрытые!$L$5:$L$300,Закрытые!$E$5:$E$300,$B125,Закрытые!$B$5:$B$300,"T-*"),8)))</f>
        <v/>
      </c>
      <c r="J125" s="241" t="str">
        <f>IF($B125="","",IF(COUNTIFS(Торговля!$E$5:$E$300,$B125)+COUNTIFS(Закрытые!$E$5:$E$300,$B125,Закрытые!$B$5:$B$300,"T-*")=0,"",ROUND(SUMIFS(Торговля!$M$5:$M$300,Торговля!$E$5:$E$300,$B125)+SUMIFS(Закрытые!$M$5:$M$300,Закрытые!$E$5:$E$300,$B125,Закрытые!$B$5:$B$300,"T-*"),8)))</f>
        <v/>
      </c>
      <c r="K125" s="240" t="str">
        <f>IF(MIN(N(C125),N(F125))&lt;=0,"",ROUND(MIN(N(C125),N(F125))*(N(G125)-N(D125)),8))</f>
        <v/>
      </c>
      <c r="L125" s="177" t="str">
        <f>IF(MIN(N(C125),N(F125))&lt;=0,"",IF(N(D125)=0,"",ROUND((N(G125)/N(D125)-1)*100,2)))</f>
        <v/>
      </c>
      <c r="M125" s="177" t="str">
        <f>IF(OR(ROUND(N(C125)-N(F125),8)=0,1-N(Ввод!$J$19)/100&lt;=0),"",IF(N(C125)&gt;N(F125),(N(E125)-N(H125))/((N(C125)-N(F125))*(1-N(Ввод!$J$19)/100)),(N(H125)-N(E125))/((N(F125)-N(C125))*(1+N(Ввод!$J$19)/100))))</f>
        <v/>
      </c>
    </row>
    <row r="126" ht="22" customHeight="1">
      <c r="B126" s="245" t="n"/>
      <c r="C126" s="246" t="str">
        <f>IF(SUMIFS(Торговля!$F$5:$F$300,Торговля!$E$5:$E$300,$B126)+SUMIFS(Закрытые!$F$5:$F$300,Закрытые!$E$5:$E$300,$B126,Закрытые!$B$5:$B$300,"T-*")=0,"",SUMIFS(Торговля!$F$5:$F$300,Торговля!$E$5:$E$300,$B126)+SUMIFS(Закрытые!$F$5:$F$300,Закрытые!$E$5:$E$300,$B126,Закрытые!$B$5:$B$300,"T-*"))</f>
        <v/>
      </c>
      <c r="D126" s="183" t="str">
        <f>IF(C126="","",(SUMPRODUCT((Торговля!$E$5:$E$300=$B126)*Торговля!$F$5:$F$300*Торговля!$G$5:$G$300)+SUMPRODUCT((Закрытые!$E$5:$E$300=$B126)*(LEFT(Закрытые!$B$5:$B$300,2)="T-")*Закрытые!$F$5:$F$300*Закрытые!$G$5:$G$300))/C126)</f>
        <v/>
      </c>
      <c r="E126" s="247" t="str">
        <f>IF(C126="","",SUMIFS(Торговля!$H$5:$H$300,Торговля!$E$5:$E$300,$B126)+SUMIFS(Закрытые!$H$5:$H$300,Закрытые!$E$5:$E$300,$B126,Закрытые!$B$5:$B$300,"T-*"))</f>
        <v/>
      </c>
      <c r="F126" s="246" t="str">
        <f>IF(SUMIFS(Торговля!$I$5:$I$300,Торговля!$E$5:$E$300,$B126)+SUMIFS(Закрытые!$I$5:$I$300,Закрытые!$E$5:$E$300,$B126,Закрытые!$B$5:$B$300,"T-*")=0,"",SUMIFS(Торговля!$I$5:$I$300,Торговля!$E$5:$E$300,$B126)+SUMIFS(Закрытые!$I$5:$I$300,Закрытые!$E$5:$E$300,$B126,Закрытые!$B$5:$B$300,"T-*"))</f>
        <v/>
      </c>
      <c r="G126" s="183" t="str">
        <f>IF(F126="","",(SUMPRODUCT((Торговля!$E$5:$E$300=$B126)*Торговля!$I$5:$I$300*Торговля!$J$5:$J$300)+SUMPRODUCT((Закрытые!$E$5:$E$300=$B126)*(LEFT(Закрытые!$B$5:$B$300,2)="T-")*Закрытые!$I$5:$I$300*Закрытые!$J$5:$J$300))/F126)</f>
        <v/>
      </c>
      <c r="H126" s="247" t="str">
        <f>IF(F126="","",SUMIFS(Торговля!$K$5:$K$300,Торговля!$E$5:$E$300,$B126)+SUMIFS(Закрытые!$K$5:$K$300,Закрытые!$E$5:$E$300,$B126,Закрытые!$B$5:$B$300,"T-*"))</f>
        <v/>
      </c>
      <c r="I126" s="246" t="str">
        <f>IF($B126="","",IF(COUNTIFS(Торговля!$E$5:$E$300,$B126)+COUNTIFS(Закрытые!$E$5:$E$300,$B126,Закрытые!$B$5:$B$300,"T-*")=0,"",ROUND(SUMIFS(Торговля!$L$5:$L$300,Торговля!$E$5:$E$300,$B126)+SUMIFS(Закрытые!$L$5:$L$300,Закрытые!$E$5:$E$300,$B126,Закрытые!$B$5:$B$300,"T-*"),8)))</f>
        <v/>
      </c>
      <c r="J126" s="247" t="str">
        <f>IF($B126="","",IF(COUNTIFS(Торговля!$E$5:$E$300,$B126)+COUNTIFS(Закрытые!$E$5:$E$300,$B126,Закрытые!$B$5:$B$300,"T-*")=0,"",ROUND(SUMIFS(Торговля!$M$5:$M$300,Торговля!$E$5:$E$300,$B126)+SUMIFS(Закрытые!$M$5:$M$300,Закрытые!$E$5:$E$300,$B126,Закрытые!$B$5:$B$300,"T-*"),8)))</f>
        <v/>
      </c>
      <c r="K126" s="246" t="str">
        <f>IF(MIN(N(C126),N(F126))&lt;=0,"",ROUND(MIN(N(C126),N(F126))*(N(G126)-N(D126)),8))</f>
        <v/>
      </c>
      <c r="L126" s="183" t="str">
        <f>IF(MIN(N(C126),N(F126))&lt;=0,"",IF(N(D126)=0,"",ROUND((N(G126)/N(D126)-1)*100,2)))</f>
        <v/>
      </c>
      <c r="M126" s="183" t="str">
        <f>IF(OR(ROUND(N(C126)-N(F126),8)=0,1-N(Ввод!$J$19)/100&lt;=0),"",IF(N(C126)&gt;N(F126),(N(E126)-N(H126))/((N(C126)-N(F126))*(1-N(Ввод!$J$19)/100)),(N(H126)-N(E126))/((N(F126)-N(C126))*(1+N(Ввод!$J$19)/100))))</f>
        <v/>
      </c>
    </row>
    <row r="127" ht="22" customHeight="1">
      <c r="B127" s="239" t="n"/>
      <c r="C127" s="240" t="str">
        <f>IF(SUMIFS(Торговля!$F$5:$F$300,Торговля!$E$5:$E$300,$B127)+SUMIFS(Закрытые!$F$5:$F$300,Закрытые!$E$5:$E$300,$B127,Закрытые!$B$5:$B$300,"T-*")=0,"",SUMIFS(Торговля!$F$5:$F$300,Торговля!$E$5:$E$300,$B127)+SUMIFS(Закрытые!$F$5:$F$300,Закрытые!$E$5:$E$300,$B127,Закрытые!$B$5:$B$300,"T-*"))</f>
        <v/>
      </c>
      <c r="D127" s="177" t="str">
        <f>IF(C127="","",(SUMPRODUCT((Торговля!$E$5:$E$300=$B127)*Торговля!$F$5:$F$300*Торговля!$G$5:$G$300)+SUMPRODUCT((Закрытые!$E$5:$E$300=$B127)*(LEFT(Закрытые!$B$5:$B$300,2)="T-")*Закрытые!$F$5:$F$300*Закрытые!$G$5:$G$300))/C127)</f>
        <v/>
      </c>
      <c r="E127" s="241" t="str">
        <f>IF(C127="","",SUMIFS(Торговля!$H$5:$H$300,Торговля!$E$5:$E$300,$B127)+SUMIFS(Закрытые!$H$5:$H$300,Закрытые!$E$5:$E$300,$B127,Закрытые!$B$5:$B$300,"T-*"))</f>
        <v/>
      </c>
      <c r="F127" s="240" t="str">
        <f>IF(SUMIFS(Торговля!$I$5:$I$300,Торговля!$E$5:$E$300,$B127)+SUMIFS(Закрытые!$I$5:$I$300,Закрытые!$E$5:$E$300,$B127,Закрытые!$B$5:$B$300,"T-*")=0,"",SUMIFS(Торговля!$I$5:$I$300,Торговля!$E$5:$E$300,$B127)+SUMIFS(Закрытые!$I$5:$I$300,Закрытые!$E$5:$E$300,$B127,Закрытые!$B$5:$B$300,"T-*"))</f>
        <v/>
      </c>
      <c r="G127" s="177" t="str">
        <f>IF(F127="","",(SUMPRODUCT((Торговля!$E$5:$E$300=$B127)*Торговля!$I$5:$I$300*Торговля!$J$5:$J$300)+SUMPRODUCT((Закрытые!$E$5:$E$300=$B127)*(LEFT(Закрытые!$B$5:$B$300,2)="T-")*Закрытые!$I$5:$I$300*Закрытые!$J$5:$J$300))/F127)</f>
        <v/>
      </c>
      <c r="H127" s="241" t="str">
        <f>IF(F127="","",SUMIFS(Торговля!$K$5:$K$300,Торговля!$E$5:$E$300,$B127)+SUMIFS(Закрытые!$K$5:$K$300,Закрытые!$E$5:$E$300,$B127,Закрытые!$B$5:$B$300,"T-*"))</f>
        <v/>
      </c>
      <c r="I127" s="240" t="str">
        <f>IF($B127="","",IF(COUNTIFS(Торговля!$E$5:$E$300,$B127)+COUNTIFS(Закрытые!$E$5:$E$300,$B127,Закрытые!$B$5:$B$300,"T-*")=0,"",ROUND(SUMIFS(Торговля!$L$5:$L$300,Торговля!$E$5:$E$300,$B127)+SUMIFS(Закрытые!$L$5:$L$300,Закрытые!$E$5:$E$300,$B127,Закрытые!$B$5:$B$300,"T-*"),8)))</f>
        <v/>
      </c>
      <c r="J127" s="241" t="str">
        <f>IF($B127="","",IF(COUNTIFS(Торговля!$E$5:$E$300,$B127)+COUNTIFS(Закрытые!$E$5:$E$300,$B127,Закрытые!$B$5:$B$300,"T-*")=0,"",ROUND(SUMIFS(Торговля!$M$5:$M$300,Торговля!$E$5:$E$300,$B127)+SUMIFS(Закрытые!$M$5:$M$300,Закрытые!$E$5:$E$300,$B127,Закрытые!$B$5:$B$300,"T-*"),8)))</f>
        <v/>
      </c>
      <c r="K127" s="240" t="str">
        <f>IF(MIN(N(C127),N(F127))&lt;=0,"",ROUND(MIN(N(C127),N(F127))*(N(G127)-N(D127)),8))</f>
        <v/>
      </c>
      <c r="L127" s="177" t="str">
        <f>IF(MIN(N(C127),N(F127))&lt;=0,"",IF(N(D127)=0,"",ROUND((N(G127)/N(D127)-1)*100,2)))</f>
        <v/>
      </c>
      <c r="M127" s="177" t="str">
        <f>IF(OR(ROUND(N(C127)-N(F127),8)=0,1-N(Ввод!$J$19)/100&lt;=0),"",IF(N(C127)&gt;N(F127),(N(E127)-N(H127))/((N(C127)-N(F127))*(1-N(Ввод!$J$19)/100)),(N(H127)-N(E127))/((N(F127)-N(C127))*(1+N(Ввод!$J$19)/100))))</f>
        <v/>
      </c>
    </row>
    <row r="128" ht="22" customHeight="1">
      <c r="B128" s="245" t="n"/>
      <c r="C128" s="246" t="str">
        <f>IF(SUMIFS(Торговля!$F$5:$F$300,Торговля!$E$5:$E$300,$B128)+SUMIFS(Закрытые!$F$5:$F$300,Закрытые!$E$5:$E$300,$B128,Закрытые!$B$5:$B$300,"T-*")=0,"",SUMIFS(Торговля!$F$5:$F$300,Торговля!$E$5:$E$300,$B128)+SUMIFS(Закрытые!$F$5:$F$300,Закрытые!$E$5:$E$300,$B128,Закрытые!$B$5:$B$300,"T-*"))</f>
        <v/>
      </c>
      <c r="D128" s="183" t="str">
        <f>IF(C128="","",(SUMPRODUCT((Торговля!$E$5:$E$300=$B128)*Торговля!$F$5:$F$300*Торговля!$G$5:$G$300)+SUMPRODUCT((Закрытые!$E$5:$E$300=$B128)*(LEFT(Закрытые!$B$5:$B$300,2)="T-")*Закрытые!$F$5:$F$300*Закрытые!$G$5:$G$300))/C128)</f>
        <v/>
      </c>
      <c r="E128" s="247" t="str">
        <f>IF(C128="","",SUMIFS(Торговля!$H$5:$H$300,Торговля!$E$5:$E$300,$B128)+SUMIFS(Закрытые!$H$5:$H$300,Закрытые!$E$5:$E$300,$B128,Закрытые!$B$5:$B$300,"T-*"))</f>
        <v/>
      </c>
      <c r="F128" s="246" t="str">
        <f>IF(SUMIFS(Торговля!$I$5:$I$300,Торговля!$E$5:$E$300,$B128)+SUMIFS(Закрытые!$I$5:$I$300,Закрытые!$E$5:$E$300,$B128,Закрытые!$B$5:$B$300,"T-*")=0,"",SUMIFS(Торговля!$I$5:$I$300,Торговля!$E$5:$E$300,$B128)+SUMIFS(Закрытые!$I$5:$I$300,Закрытые!$E$5:$E$300,$B128,Закрытые!$B$5:$B$300,"T-*"))</f>
        <v/>
      </c>
      <c r="G128" s="183" t="str">
        <f>IF(F128="","",(SUMPRODUCT((Торговля!$E$5:$E$300=$B128)*Торговля!$I$5:$I$300*Торговля!$J$5:$J$300)+SUMPRODUCT((Закрытые!$E$5:$E$300=$B128)*(LEFT(Закрытые!$B$5:$B$300,2)="T-")*Закрытые!$I$5:$I$300*Закрытые!$J$5:$J$300))/F128)</f>
        <v/>
      </c>
      <c r="H128" s="247" t="str">
        <f>IF(F128="","",SUMIFS(Торговля!$K$5:$K$300,Торговля!$E$5:$E$300,$B128)+SUMIFS(Закрытые!$K$5:$K$300,Закрытые!$E$5:$E$300,$B128,Закрытые!$B$5:$B$300,"T-*"))</f>
        <v/>
      </c>
      <c r="I128" s="246" t="str">
        <f>IF($B128="","",IF(COUNTIFS(Торговля!$E$5:$E$300,$B128)+COUNTIFS(Закрытые!$E$5:$E$300,$B128,Закрытые!$B$5:$B$300,"T-*")=0,"",ROUND(SUMIFS(Торговля!$L$5:$L$300,Торговля!$E$5:$E$300,$B128)+SUMIFS(Закрытые!$L$5:$L$300,Закрытые!$E$5:$E$300,$B128,Закрытые!$B$5:$B$300,"T-*"),8)))</f>
        <v/>
      </c>
      <c r="J128" s="247" t="str">
        <f>IF($B128="","",IF(COUNTIFS(Торговля!$E$5:$E$300,$B128)+COUNTIFS(Закрытые!$E$5:$E$300,$B128,Закрытые!$B$5:$B$300,"T-*")=0,"",ROUND(SUMIFS(Торговля!$M$5:$M$300,Торговля!$E$5:$E$300,$B128)+SUMIFS(Закрытые!$M$5:$M$300,Закрытые!$E$5:$E$300,$B128,Закрытые!$B$5:$B$300,"T-*"),8)))</f>
        <v/>
      </c>
      <c r="K128" s="246" t="str">
        <f>IF(MIN(N(C128),N(F128))&lt;=0,"",ROUND(MIN(N(C128),N(F128))*(N(G128)-N(D128)),8))</f>
        <v/>
      </c>
      <c r="L128" s="183" t="str">
        <f>IF(MIN(N(C128),N(F128))&lt;=0,"",IF(N(D128)=0,"",ROUND((N(G128)/N(D128)-1)*100,2)))</f>
        <v/>
      </c>
      <c r="M128" s="183" t="str">
        <f>IF(OR(ROUND(N(C128)-N(F128),8)=0,1-N(Ввод!$J$19)/100&lt;=0),"",IF(N(C128)&gt;N(F128),(N(E128)-N(H128))/((N(C128)-N(F128))*(1-N(Ввод!$J$19)/100)),(N(H128)-N(E128))/((N(F128)-N(C128))*(1+N(Ввод!$J$19)/100))))</f>
        <v/>
      </c>
    </row>
    <row r="129" ht="22" customHeight="1">
      <c r="B129" s="239" t="n"/>
      <c r="C129" s="240" t="str">
        <f>IF(SUMIFS(Торговля!$F$5:$F$300,Торговля!$E$5:$E$300,$B129)+SUMIFS(Закрытые!$F$5:$F$300,Закрытые!$E$5:$E$300,$B129,Закрытые!$B$5:$B$300,"T-*")=0,"",SUMIFS(Торговля!$F$5:$F$300,Торговля!$E$5:$E$300,$B129)+SUMIFS(Закрытые!$F$5:$F$300,Закрытые!$E$5:$E$300,$B129,Закрытые!$B$5:$B$300,"T-*"))</f>
        <v/>
      </c>
      <c r="D129" s="177" t="str">
        <f>IF(C129="","",(SUMPRODUCT((Торговля!$E$5:$E$300=$B129)*Торговля!$F$5:$F$300*Торговля!$G$5:$G$300)+SUMPRODUCT((Закрытые!$E$5:$E$300=$B129)*(LEFT(Закрытые!$B$5:$B$300,2)="T-")*Закрытые!$F$5:$F$300*Закрытые!$G$5:$G$300))/C129)</f>
        <v/>
      </c>
      <c r="E129" s="241" t="str">
        <f>IF(C129="","",SUMIFS(Торговля!$H$5:$H$300,Торговля!$E$5:$E$300,$B129)+SUMIFS(Закрытые!$H$5:$H$300,Закрытые!$E$5:$E$300,$B129,Закрытые!$B$5:$B$300,"T-*"))</f>
        <v/>
      </c>
      <c r="F129" s="240" t="str">
        <f>IF(SUMIFS(Торговля!$I$5:$I$300,Торговля!$E$5:$E$300,$B129)+SUMIFS(Закрытые!$I$5:$I$300,Закрытые!$E$5:$E$300,$B129,Закрытые!$B$5:$B$300,"T-*")=0,"",SUMIFS(Торговля!$I$5:$I$300,Торговля!$E$5:$E$300,$B129)+SUMIFS(Закрытые!$I$5:$I$300,Закрытые!$E$5:$E$300,$B129,Закрытые!$B$5:$B$300,"T-*"))</f>
        <v/>
      </c>
      <c r="G129" s="177" t="str">
        <f>IF(F129="","",(SUMPRODUCT((Торговля!$E$5:$E$300=$B129)*Торговля!$I$5:$I$300*Торговля!$J$5:$J$300)+SUMPRODUCT((Закрытые!$E$5:$E$300=$B129)*(LEFT(Закрытые!$B$5:$B$300,2)="T-")*Закрытые!$I$5:$I$300*Закрытые!$J$5:$J$300))/F129)</f>
        <v/>
      </c>
      <c r="H129" s="241" t="str">
        <f>IF(F129="","",SUMIFS(Торговля!$K$5:$K$300,Торговля!$E$5:$E$300,$B129)+SUMIFS(Закрытые!$K$5:$K$300,Закрытые!$E$5:$E$300,$B129,Закрытые!$B$5:$B$300,"T-*"))</f>
        <v/>
      </c>
      <c r="I129" s="240" t="str">
        <f>IF($B129="","",IF(COUNTIFS(Торговля!$E$5:$E$300,$B129)+COUNTIFS(Закрытые!$E$5:$E$300,$B129,Закрытые!$B$5:$B$300,"T-*")=0,"",ROUND(SUMIFS(Торговля!$L$5:$L$300,Торговля!$E$5:$E$300,$B129)+SUMIFS(Закрытые!$L$5:$L$300,Закрытые!$E$5:$E$300,$B129,Закрытые!$B$5:$B$300,"T-*"),8)))</f>
        <v/>
      </c>
      <c r="J129" s="241" t="str">
        <f>IF($B129="","",IF(COUNTIFS(Торговля!$E$5:$E$300,$B129)+COUNTIFS(Закрытые!$E$5:$E$300,$B129,Закрытые!$B$5:$B$300,"T-*")=0,"",ROUND(SUMIFS(Торговля!$M$5:$M$300,Торговля!$E$5:$E$300,$B129)+SUMIFS(Закрытые!$M$5:$M$300,Закрытые!$E$5:$E$300,$B129,Закрытые!$B$5:$B$300,"T-*"),8)))</f>
        <v/>
      </c>
      <c r="K129" s="240" t="str">
        <f>IF(MIN(N(C129),N(F129))&lt;=0,"",ROUND(MIN(N(C129),N(F129))*(N(G129)-N(D129)),8))</f>
        <v/>
      </c>
      <c r="L129" s="177" t="str">
        <f>IF(MIN(N(C129),N(F129))&lt;=0,"",IF(N(D129)=0,"",ROUND((N(G129)/N(D129)-1)*100,2)))</f>
        <v/>
      </c>
      <c r="M129" s="177" t="str">
        <f>IF(OR(ROUND(N(C129)-N(F129),8)=0,1-N(Ввод!$J$19)/100&lt;=0),"",IF(N(C129)&gt;N(F129),(N(E129)-N(H129))/((N(C129)-N(F129))*(1-N(Ввод!$J$19)/100)),(N(H129)-N(E129))/((N(F129)-N(C129))*(1+N(Ввод!$J$19)/100))))</f>
        <v/>
      </c>
    </row>
    <row r="130" ht="22" customHeight="1">
      <c r="B130" s="245" t="n"/>
      <c r="C130" s="246" t="str">
        <f>IF(SUMIFS(Торговля!$F$5:$F$300,Торговля!$E$5:$E$300,$B130)+SUMIFS(Закрытые!$F$5:$F$300,Закрытые!$E$5:$E$300,$B130,Закрытые!$B$5:$B$300,"T-*")=0,"",SUMIFS(Торговля!$F$5:$F$300,Торговля!$E$5:$E$300,$B130)+SUMIFS(Закрытые!$F$5:$F$300,Закрытые!$E$5:$E$300,$B130,Закрытые!$B$5:$B$300,"T-*"))</f>
        <v/>
      </c>
      <c r="D130" s="183" t="str">
        <f>IF(C130="","",(SUMPRODUCT((Торговля!$E$5:$E$300=$B130)*Торговля!$F$5:$F$300*Торговля!$G$5:$G$300)+SUMPRODUCT((Закрытые!$E$5:$E$300=$B130)*(LEFT(Закрытые!$B$5:$B$300,2)="T-")*Закрытые!$F$5:$F$300*Закрытые!$G$5:$G$300))/C130)</f>
        <v/>
      </c>
      <c r="E130" s="247" t="str">
        <f>IF(C130="","",SUMIFS(Торговля!$H$5:$H$300,Торговля!$E$5:$E$300,$B130)+SUMIFS(Закрытые!$H$5:$H$300,Закрытые!$E$5:$E$300,$B130,Закрытые!$B$5:$B$300,"T-*"))</f>
        <v/>
      </c>
      <c r="F130" s="246" t="str">
        <f>IF(SUMIFS(Торговля!$I$5:$I$300,Торговля!$E$5:$E$300,$B130)+SUMIFS(Закрытые!$I$5:$I$300,Закрытые!$E$5:$E$300,$B130,Закрытые!$B$5:$B$300,"T-*")=0,"",SUMIFS(Торговля!$I$5:$I$300,Торговля!$E$5:$E$300,$B130)+SUMIFS(Закрытые!$I$5:$I$300,Закрытые!$E$5:$E$300,$B130,Закрытые!$B$5:$B$300,"T-*"))</f>
        <v/>
      </c>
      <c r="G130" s="183" t="str">
        <f>IF(F130="","",(SUMPRODUCT((Торговля!$E$5:$E$300=$B130)*Торговля!$I$5:$I$300*Торговля!$J$5:$J$300)+SUMPRODUCT((Закрытые!$E$5:$E$300=$B130)*(LEFT(Закрытые!$B$5:$B$300,2)="T-")*Закрытые!$I$5:$I$300*Закрытые!$J$5:$J$300))/F130)</f>
        <v/>
      </c>
      <c r="H130" s="247" t="str">
        <f>IF(F130="","",SUMIFS(Торговля!$K$5:$K$300,Торговля!$E$5:$E$300,$B130)+SUMIFS(Закрытые!$K$5:$K$300,Закрытые!$E$5:$E$300,$B130,Закрытые!$B$5:$B$300,"T-*"))</f>
        <v/>
      </c>
      <c r="I130" s="246" t="str">
        <f>IF($B130="","",IF(COUNTIFS(Торговля!$E$5:$E$300,$B130)+COUNTIFS(Закрытые!$E$5:$E$300,$B130,Закрытые!$B$5:$B$300,"T-*")=0,"",ROUND(SUMIFS(Торговля!$L$5:$L$300,Торговля!$E$5:$E$300,$B130)+SUMIFS(Закрытые!$L$5:$L$300,Закрытые!$E$5:$E$300,$B130,Закрытые!$B$5:$B$300,"T-*"),8)))</f>
        <v/>
      </c>
      <c r="J130" s="247" t="str">
        <f>IF($B130="","",IF(COUNTIFS(Торговля!$E$5:$E$300,$B130)+COUNTIFS(Закрытые!$E$5:$E$300,$B130,Закрытые!$B$5:$B$300,"T-*")=0,"",ROUND(SUMIFS(Торговля!$M$5:$M$300,Торговля!$E$5:$E$300,$B130)+SUMIFS(Закрытые!$M$5:$M$300,Закрытые!$E$5:$E$300,$B130,Закрытые!$B$5:$B$300,"T-*"),8)))</f>
        <v/>
      </c>
      <c r="K130" s="246" t="str">
        <f>IF(MIN(N(C130),N(F130))&lt;=0,"",ROUND(MIN(N(C130),N(F130))*(N(G130)-N(D130)),8))</f>
        <v/>
      </c>
      <c r="L130" s="183" t="str">
        <f>IF(MIN(N(C130),N(F130))&lt;=0,"",IF(N(D130)=0,"",ROUND((N(G130)/N(D130)-1)*100,2)))</f>
        <v/>
      </c>
      <c r="M130" s="183" t="str">
        <f>IF(OR(ROUND(N(C130)-N(F130),8)=0,1-N(Ввод!$J$19)/100&lt;=0),"",IF(N(C130)&gt;N(F130),(N(E130)-N(H130))/((N(C130)-N(F130))*(1-N(Ввод!$J$19)/100)),(N(H130)-N(E130))/((N(F130)-N(C130))*(1+N(Ввод!$J$19)/100))))</f>
        <v/>
      </c>
    </row>
    <row r="131" ht="22" customHeight="1">
      <c r="B131" s="239" t="n"/>
      <c r="C131" s="240" t="str">
        <f>IF(SUMIFS(Торговля!$F$5:$F$300,Торговля!$E$5:$E$300,$B131)+SUMIFS(Закрытые!$F$5:$F$300,Закрытые!$E$5:$E$300,$B131,Закрытые!$B$5:$B$300,"T-*")=0,"",SUMIFS(Торговля!$F$5:$F$300,Торговля!$E$5:$E$300,$B131)+SUMIFS(Закрытые!$F$5:$F$300,Закрытые!$E$5:$E$300,$B131,Закрытые!$B$5:$B$300,"T-*"))</f>
        <v/>
      </c>
      <c r="D131" s="177" t="str">
        <f>IF(C131="","",(SUMPRODUCT((Торговля!$E$5:$E$300=$B131)*Торговля!$F$5:$F$300*Торговля!$G$5:$G$300)+SUMPRODUCT((Закрытые!$E$5:$E$300=$B131)*(LEFT(Закрытые!$B$5:$B$300,2)="T-")*Закрытые!$F$5:$F$300*Закрытые!$G$5:$G$300))/C131)</f>
        <v/>
      </c>
      <c r="E131" s="241" t="str">
        <f>IF(C131="","",SUMIFS(Торговля!$H$5:$H$300,Торговля!$E$5:$E$300,$B131)+SUMIFS(Закрытые!$H$5:$H$300,Закрытые!$E$5:$E$300,$B131,Закрытые!$B$5:$B$300,"T-*"))</f>
        <v/>
      </c>
      <c r="F131" s="240" t="str">
        <f>IF(SUMIFS(Торговля!$I$5:$I$300,Торговля!$E$5:$E$300,$B131)+SUMIFS(Закрытые!$I$5:$I$300,Закрытые!$E$5:$E$300,$B131,Закрытые!$B$5:$B$300,"T-*")=0,"",SUMIFS(Торговля!$I$5:$I$300,Торговля!$E$5:$E$300,$B131)+SUMIFS(Закрытые!$I$5:$I$300,Закрытые!$E$5:$E$300,$B131,Закрытые!$B$5:$B$300,"T-*"))</f>
        <v/>
      </c>
      <c r="G131" s="177" t="str">
        <f>IF(F131="","",(SUMPRODUCT((Торговля!$E$5:$E$300=$B131)*Торговля!$I$5:$I$300*Торговля!$J$5:$J$300)+SUMPRODUCT((Закрытые!$E$5:$E$300=$B131)*(LEFT(Закрытые!$B$5:$B$300,2)="T-")*Закрытые!$I$5:$I$300*Закрытые!$J$5:$J$300))/F131)</f>
        <v/>
      </c>
      <c r="H131" s="241" t="str">
        <f>IF(F131="","",SUMIFS(Торговля!$K$5:$K$300,Торговля!$E$5:$E$300,$B131)+SUMIFS(Закрытые!$K$5:$K$300,Закрытые!$E$5:$E$300,$B131,Закрытые!$B$5:$B$300,"T-*"))</f>
        <v/>
      </c>
      <c r="I131" s="240" t="str">
        <f>IF($B131="","",IF(COUNTIFS(Торговля!$E$5:$E$300,$B131)+COUNTIFS(Закрытые!$E$5:$E$300,$B131,Закрытые!$B$5:$B$300,"T-*")=0,"",ROUND(SUMIFS(Торговля!$L$5:$L$300,Торговля!$E$5:$E$300,$B131)+SUMIFS(Закрытые!$L$5:$L$300,Закрытые!$E$5:$E$300,$B131,Закрытые!$B$5:$B$300,"T-*"),8)))</f>
        <v/>
      </c>
      <c r="J131" s="241" t="str">
        <f>IF($B131="","",IF(COUNTIFS(Торговля!$E$5:$E$300,$B131)+COUNTIFS(Закрытые!$E$5:$E$300,$B131,Закрытые!$B$5:$B$300,"T-*")=0,"",ROUND(SUMIFS(Торговля!$M$5:$M$300,Торговля!$E$5:$E$300,$B131)+SUMIFS(Закрытые!$M$5:$M$300,Закрытые!$E$5:$E$300,$B131,Закрытые!$B$5:$B$300,"T-*"),8)))</f>
        <v/>
      </c>
      <c r="K131" s="240" t="str">
        <f>IF(MIN(N(C131),N(F131))&lt;=0,"",ROUND(MIN(N(C131),N(F131))*(N(G131)-N(D131)),8))</f>
        <v/>
      </c>
      <c r="L131" s="177" t="str">
        <f>IF(MIN(N(C131),N(F131))&lt;=0,"",IF(N(D131)=0,"",ROUND((N(G131)/N(D131)-1)*100,2)))</f>
        <v/>
      </c>
      <c r="M131" s="177" t="str">
        <f>IF(OR(ROUND(N(C131)-N(F131),8)=0,1-N(Ввод!$J$19)/100&lt;=0),"",IF(N(C131)&gt;N(F131),(N(E131)-N(H131))/((N(C131)-N(F131))*(1-N(Ввод!$J$19)/100)),(N(H131)-N(E131))/((N(F131)-N(C131))*(1+N(Ввод!$J$19)/100))))</f>
        <v/>
      </c>
    </row>
    <row r="132" ht="22" customHeight="1">
      <c r="B132" s="245" t="n"/>
      <c r="C132" s="246" t="str">
        <f>IF(SUMIFS(Торговля!$F$5:$F$300,Торговля!$E$5:$E$300,$B132)+SUMIFS(Закрытые!$F$5:$F$300,Закрытые!$E$5:$E$300,$B132,Закрытые!$B$5:$B$300,"T-*")=0,"",SUMIFS(Торговля!$F$5:$F$300,Торговля!$E$5:$E$300,$B132)+SUMIFS(Закрытые!$F$5:$F$300,Закрытые!$E$5:$E$300,$B132,Закрытые!$B$5:$B$300,"T-*"))</f>
        <v/>
      </c>
      <c r="D132" s="183" t="str">
        <f>IF(C132="","",(SUMPRODUCT((Торговля!$E$5:$E$300=$B132)*Торговля!$F$5:$F$300*Торговля!$G$5:$G$300)+SUMPRODUCT((Закрытые!$E$5:$E$300=$B132)*(LEFT(Закрытые!$B$5:$B$300,2)="T-")*Закрытые!$F$5:$F$300*Закрытые!$G$5:$G$300))/C132)</f>
        <v/>
      </c>
      <c r="E132" s="247" t="str">
        <f>IF(C132="","",SUMIFS(Торговля!$H$5:$H$300,Торговля!$E$5:$E$300,$B132)+SUMIFS(Закрытые!$H$5:$H$300,Закрытые!$E$5:$E$300,$B132,Закрытые!$B$5:$B$300,"T-*"))</f>
        <v/>
      </c>
      <c r="F132" s="246" t="str">
        <f>IF(SUMIFS(Торговля!$I$5:$I$300,Торговля!$E$5:$E$300,$B132)+SUMIFS(Закрытые!$I$5:$I$300,Закрытые!$E$5:$E$300,$B132,Закрытые!$B$5:$B$300,"T-*")=0,"",SUMIFS(Торговля!$I$5:$I$300,Торговля!$E$5:$E$300,$B132)+SUMIFS(Закрытые!$I$5:$I$300,Закрытые!$E$5:$E$300,$B132,Закрытые!$B$5:$B$300,"T-*"))</f>
        <v/>
      </c>
      <c r="G132" s="183" t="str">
        <f>IF(F132="","",(SUMPRODUCT((Торговля!$E$5:$E$300=$B132)*Торговля!$I$5:$I$300*Торговля!$J$5:$J$300)+SUMPRODUCT((Закрытые!$E$5:$E$300=$B132)*(LEFT(Закрытые!$B$5:$B$300,2)="T-")*Закрытые!$I$5:$I$300*Закрытые!$J$5:$J$300))/F132)</f>
        <v/>
      </c>
      <c r="H132" s="247" t="str">
        <f>IF(F132="","",SUMIFS(Торговля!$K$5:$K$300,Торговля!$E$5:$E$300,$B132)+SUMIFS(Закрытые!$K$5:$K$300,Закрытые!$E$5:$E$300,$B132,Закрытые!$B$5:$B$300,"T-*"))</f>
        <v/>
      </c>
      <c r="I132" s="246" t="str">
        <f>IF($B132="","",IF(COUNTIFS(Торговля!$E$5:$E$300,$B132)+COUNTIFS(Закрытые!$E$5:$E$300,$B132,Закрытые!$B$5:$B$300,"T-*")=0,"",ROUND(SUMIFS(Торговля!$L$5:$L$300,Торговля!$E$5:$E$300,$B132)+SUMIFS(Закрытые!$L$5:$L$300,Закрытые!$E$5:$E$300,$B132,Закрытые!$B$5:$B$300,"T-*"),8)))</f>
        <v/>
      </c>
      <c r="J132" s="247" t="str">
        <f>IF($B132="","",IF(COUNTIFS(Торговля!$E$5:$E$300,$B132)+COUNTIFS(Закрытые!$E$5:$E$300,$B132,Закрытые!$B$5:$B$300,"T-*")=0,"",ROUND(SUMIFS(Торговля!$M$5:$M$300,Торговля!$E$5:$E$300,$B132)+SUMIFS(Закрытые!$M$5:$M$300,Закрытые!$E$5:$E$300,$B132,Закрытые!$B$5:$B$300,"T-*"),8)))</f>
        <v/>
      </c>
      <c r="K132" s="246" t="str">
        <f>IF(MIN(N(C132),N(F132))&lt;=0,"",ROUND(MIN(N(C132),N(F132))*(N(G132)-N(D132)),8))</f>
        <v/>
      </c>
      <c r="L132" s="183" t="str">
        <f>IF(MIN(N(C132),N(F132))&lt;=0,"",IF(N(D132)=0,"",ROUND((N(G132)/N(D132)-1)*100,2)))</f>
        <v/>
      </c>
      <c r="M132" s="183" t="str">
        <f>IF(OR(ROUND(N(C132)-N(F132),8)=0,1-N(Ввод!$J$19)/100&lt;=0),"",IF(N(C132)&gt;N(F132),(N(E132)-N(H132))/((N(C132)-N(F132))*(1-N(Ввод!$J$19)/100)),(N(H132)-N(E132))/((N(F132)-N(C132))*(1+N(Ввод!$J$19)/100))))</f>
        <v/>
      </c>
    </row>
    <row r="133" ht="22" customHeight="1">
      <c r="B133" s="239" t="n"/>
      <c r="C133" s="240" t="str">
        <f>IF(SUMIFS(Торговля!$F$5:$F$300,Торговля!$E$5:$E$300,$B133)+SUMIFS(Закрытые!$F$5:$F$300,Закрытые!$E$5:$E$300,$B133,Закрытые!$B$5:$B$300,"T-*")=0,"",SUMIFS(Торговля!$F$5:$F$300,Торговля!$E$5:$E$300,$B133)+SUMIFS(Закрытые!$F$5:$F$300,Закрытые!$E$5:$E$300,$B133,Закрытые!$B$5:$B$300,"T-*"))</f>
        <v/>
      </c>
      <c r="D133" s="177" t="str">
        <f>IF(C133="","",(SUMPRODUCT((Торговля!$E$5:$E$300=$B133)*Торговля!$F$5:$F$300*Торговля!$G$5:$G$300)+SUMPRODUCT((Закрытые!$E$5:$E$300=$B133)*(LEFT(Закрытые!$B$5:$B$300,2)="T-")*Закрытые!$F$5:$F$300*Закрытые!$G$5:$G$300))/C133)</f>
        <v/>
      </c>
      <c r="E133" s="241" t="str">
        <f>IF(C133="","",SUMIFS(Торговля!$H$5:$H$300,Торговля!$E$5:$E$300,$B133)+SUMIFS(Закрытые!$H$5:$H$300,Закрытые!$E$5:$E$300,$B133,Закрытые!$B$5:$B$300,"T-*"))</f>
        <v/>
      </c>
      <c r="F133" s="240" t="str">
        <f>IF(SUMIFS(Торговля!$I$5:$I$300,Торговля!$E$5:$E$300,$B133)+SUMIFS(Закрытые!$I$5:$I$300,Закрытые!$E$5:$E$300,$B133,Закрытые!$B$5:$B$300,"T-*")=0,"",SUMIFS(Торговля!$I$5:$I$300,Торговля!$E$5:$E$300,$B133)+SUMIFS(Закрытые!$I$5:$I$300,Закрытые!$E$5:$E$300,$B133,Закрытые!$B$5:$B$300,"T-*"))</f>
        <v/>
      </c>
      <c r="G133" s="177" t="str">
        <f>IF(F133="","",(SUMPRODUCT((Торговля!$E$5:$E$300=$B133)*Торговля!$I$5:$I$300*Торговля!$J$5:$J$300)+SUMPRODUCT((Закрытые!$E$5:$E$300=$B133)*(LEFT(Закрытые!$B$5:$B$300,2)="T-")*Закрытые!$I$5:$I$300*Закрытые!$J$5:$J$300))/F133)</f>
        <v/>
      </c>
      <c r="H133" s="241" t="str">
        <f>IF(F133="","",SUMIFS(Торговля!$K$5:$K$300,Торговля!$E$5:$E$300,$B133)+SUMIFS(Закрытые!$K$5:$K$300,Закрытые!$E$5:$E$300,$B133,Закрытые!$B$5:$B$300,"T-*"))</f>
        <v/>
      </c>
      <c r="I133" s="240" t="str">
        <f>IF($B133="","",IF(COUNTIFS(Торговля!$E$5:$E$300,$B133)+COUNTIFS(Закрытые!$E$5:$E$300,$B133,Закрытые!$B$5:$B$300,"T-*")=0,"",ROUND(SUMIFS(Торговля!$L$5:$L$300,Торговля!$E$5:$E$300,$B133)+SUMIFS(Закрытые!$L$5:$L$300,Закрытые!$E$5:$E$300,$B133,Закрытые!$B$5:$B$300,"T-*"),8)))</f>
        <v/>
      </c>
      <c r="J133" s="241" t="str">
        <f>IF($B133="","",IF(COUNTIFS(Торговля!$E$5:$E$300,$B133)+COUNTIFS(Закрытые!$E$5:$E$300,$B133,Закрытые!$B$5:$B$300,"T-*")=0,"",ROUND(SUMIFS(Торговля!$M$5:$M$300,Торговля!$E$5:$E$300,$B133)+SUMIFS(Закрытые!$M$5:$M$300,Закрытые!$E$5:$E$300,$B133,Закрытые!$B$5:$B$300,"T-*"),8)))</f>
        <v/>
      </c>
      <c r="K133" s="240" t="str">
        <f>IF(MIN(N(C133),N(F133))&lt;=0,"",ROUND(MIN(N(C133),N(F133))*(N(G133)-N(D133)),8))</f>
        <v/>
      </c>
      <c r="L133" s="177" t="str">
        <f>IF(MIN(N(C133),N(F133))&lt;=0,"",IF(N(D133)=0,"",ROUND((N(G133)/N(D133)-1)*100,2)))</f>
        <v/>
      </c>
      <c r="M133" s="177" t="str">
        <f>IF(OR(ROUND(N(C133)-N(F133),8)=0,1-N(Ввод!$J$19)/100&lt;=0),"",IF(N(C133)&gt;N(F133),(N(E133)-N(H133))/((N(C133)-N(F133))*(1-N(Ввод!$J$19)/100)),(N(H133)-N(E133))/((N(F133)-N(C133))*(1+N(Ввод!$J$19)/100))))</f>
        <v/>
      </c>
    </row>
    <row r="134" ht="22" customHeight="1">
      <c r="B134" s="245" t="n"/>
      <c r="C134" s="246" t="str">
        <f>IF(SUMIFS(Торговля!$F$5:$F$300,Торговля!$E$5:$E$300,$B134)+SUMIFS(Закрытые!$F$5:$F$300,Закрытые!$E$5:$E$300,$B134,Закрытые!$B$5:$B$300,"T-*")=0,"",SUMIFS(Торговля!$F$5:$F$300,Торговля!$E$5:$E$300,$B134)+SUMIFS(Закрытые!$F$5:$F$300,Закрытые!$E$5:$E$300,$B134,Закрытые!$B$5:$B$300,"T-*"))</f>
        <v/>
      </c>
      <c r="D134" s="183" t="str">
        <f>IF(C134="","",(SUMPRODUCT((Торговля!$E$5:$E$300=$B134)*Торговля!$F$5:$F$300*Торговля!$G$5:$G$300)+SUMPRODUCT((Закрытые!$E$5:$E$300=$B134)*(LEFT(Закрытые!$B$5:$B$300,2)="T-")*Закрытые!$F$5:$F$300*Закрытые!$G$5:$G$300))/C134)</f>
        <v/>
      </c>
      <c r="E134" s="247" t="str">
        <f>IF(C134="","",SUMIFS(Торговля!$H$5:$H$300,Торговля!$E$5:$E$300,$B134)+SUMIFS(Закрытые!$H$5:$H$300,Закрытые!$E$5:$E$300,$B134,Закрытые!$B$5:$B$300,"T-*"))</f>
        <v/>
      </c>
      <c r="F134" s="246" t="str">
        <f>IF(SUMIFS(Торговля!$I$5:$I$300,Торговля!$E$5:$E$300,$B134)+SUMIFS(Закрытые!$I$5:$I$300,Закрытые!$E$5:$E$300,$B134,Закрытые!$B$5:$B$300,"T-*")=0,"",SUMIFS(Торговля!$I$5:$I$300,Торговля!$E$5:$E$300,$B134)+SUMIFS(Закрытые!$I$5:$I$300,Закрытые!$E$5:$E$300,$B134,Закрытые!$B$5:$B$300,"T-*"))</f>
        <v/>
      </c>
      <c r="G134" s="183" t="str">
        <f>IF(F134="","",(SUMPRODUCT((Торговля!$E$5:$E$300=$B134)*Торговля!$I$5:$I$300*Торговля!$J$5:$J$300)+SUMPRODUCT((Закрытые!$E$5:$E$300=$B134)*(LEFT(Закрытые!$B$5:$B$300,2)="T-")*Закрытые!$I$5:$I$300*Закрытые!$J$5:$J$300))/F134)</f>
        <v/>
      </c>
      <c r="H134" s="247" t="str">
        <f>IF(F134="","",SUMIFS(Торговля!$K$5:$K$300,Торговля!$E$5:$E$300,$B134)+SUMIFS(Закрытые!$K$5:$K$300,Закрытые!$E$5:$E$300,$B134,Закрытые!$B$5:$B$300,"T-*"))</f>
        <v/>
      </c>
      <c r="I134" s="246" t="str">
        <f>IF($B134="","",IF(COUNTIFS(Торговля!$E$5:$E$300,$B134)+COUNTIFS(Закрытые!$E$5:$E$300,$B134,Закрытые!$B$5:$B$300,"T-*")=0,"",ROUND(SUMIFS(Торговля!$L$5:$L$300,Торговля!$E$5:$E$300,$B134)+SUMIFS(Закрытые!$L$5:$L$300,Закрытые!$E$5:$E$300,$B134,Закрытые!$B$5:$B$300,"T-*"),8)))</f>
        <v/>
      </c>
      <c r="J134" s="247" t="str">
        <f>IF($B134="","",IF(COUNTIFS(Торговля!$E$5:$E$300,$B134)+COUNTIFS(Закрытые!$E$5:$E$300,$B134,Закрытые!$B$5:$B$300,"T-*")=0,"",ROUND(SUMIFS(Торговля!$M$5:$M$300,Торговля!$E$5:$E$300,$B134)+SUMIFS(Закрытые!$M$5:$M$300,Закрытые!$E$5:$E$300,$B134,Закрытые!$B$5:$B$300,"T-*"),8)))</f>
        <v/>
      </c>
      <c r="K134" s="246" t="str">
        <f>IF(MIN(N(C134),N(F134))&lt;=0,"",ROUND(MIN(N(C134),N(F134))*(N(G134)-N(D134)),8))</f>
        <v/>
      </c>
      <c r="L134" s="183" t="str">
        <f>IF(MIN(N(C134),N(F134))&lt;=0,"",IF(N(D134)=0,"",ROUND((N(G134)/N(D134)-1)*100,2)))</f>
        <v/>
      </c>
      <c r="M134" s="183" t="str">
        <f>IF(OR(ROUND(N(C134)-N(F134),8)=0,1-N(Ввод!$J$19)/100&lt;=0),"",IF(N(C134)&gt;N(F134),(N(E134)-N(H134))/((N(C134)-N(F134))*(1-N(Ввод!$J$19)/100)),(N(H134)-N(E134))/((N(F134)-N(C134))*(1+N(Ввод!$J$19)/100))))</f>
        <v/>
      </c>
    </row>
    <row r="135" ht="22" customHeight="1">
      <c r="B135" s="239" t="n"/>
      <c r="C135" s="240" t="str">
        <f>IF(SUMIFS(Торговля!$F$5:$F$300,Торговля!$E$5:$E$300,$B135)+SUMIFS(Закрытые!$F$5:$F$300,Закрытые!$E$5:$E$300,$B135,Закрытые!$B$5:$B$300,"T-*")=0,"",SUMIFS(Торговля!$F$5:$F$300,Торговля!$E$5:$E$300,$B135)+SUMIFS(Закрытые!$F$5:$F$300,Закрытые!$E$5:$E$300,$B135,Закрытые!$B$5:$B$300,"T-*"))</f>
        <v/>
      </c>
      <c r="D135" s="177" t="str">
        <f>IF(C135="","",(SUMPRODUCT((Торговля!$E$5:$E$300=$B135)*Торговля!$F$5:$F$300*Торговля!$G$5:$G$300)+SUMPRODUCT((Закрытые!$E$5:$E$300=$B135)*(LEFT(Закрытые!$B$5:$B$300,2)="T-")*Закрытые!$F$5:$F$300*Закрытые!$G$5:$G$300))/C135)</f>
        <v/>
      </c>
      <c r="E135" s="241" t="str">
        <f>IF(C135="","",SUMIFS(Торговля!$H$5:$H$300,Торговля!$E$5:$E$300,$B135)+SUMIFS(Закрытые!$H$5:$H$300,Закрытые!$E$5:$E$300,$B135,Закрытые!$B$5:$B$300,"T-*"))</f>
        <v/>
      </c>
      <c r="F135" s="240" t="str">
        <f>IF(SUMIFS(Торговля!$I$5:$I$300,Торговля!$E$5:$E$300,$B135)+SUMIFS(Закрытые!$I$5:$I$300,Закрытые!$E$5:$E$300,$B135,Закрытые!$B$5:$B$300,"T-*")=0,"",SUMIFS(Торговля!$I$5:$I$300,Торговля!$E$5:$E$300,$B135)+SUMIFS(Закрытые!$I$5:$I$300,Закрытые!$E$5:$E$300,$B135,Закрытые!$B$5:$B$300,"T-*"))</f>
        <v/>
      </c>
      <c r="G135" s="177" t="str">
        <f>IF(F135="","",(SUMPRODUCT((Торговля!$E$5:$E$300=$B135)*Торговля!$I$5:$I$300*Торговля!$J$5:$J$300)+SUMPRODUCT((Закрытые!$E$5:$E$300=$B135)*(LEFT(Закрытые!$B$5:$B$300,2)="T-")*Закрытые!$I$5:$I$300*Закрытые!$J$5:$J$300))/F135)</f>
        <v/>
      </c>
      <c r="H135" s="241" t="str">
        <f>IF(F135="","",SUMIFS(Торговля!$K$5:$K$300,Торговля!$E$5:$E$300,$B135)+SUMIFS(Закрытые!$K$5:$K$300,Закрытые!$E$5:$E$300,$B135,Закрытые!$B$5:$B$300,"T-*"))</f>
        <v/>
      </c>
      <c r="I135" s="240" t="str">
        <f>IF($B135="","",IF(COUNTIFS(Торговля!$E$5:$E$300,$B135)+COUNTIFS(Закрытые!$E$5:$E$300,$B135,Закрытые!$B$5:$B$300,"T-*")=0,"",ROUND(SUMIFS(Торговля!$L$5:$L$300,Торговля!$E$5:$E$300,$B135)+SUMIFS(Закрытые!$L$5:$L$300,Закрытые!$E$5:$E$300,$B135,Закрытые!$B$5:$B$300,"T-*"),8)))</f>
        <v/>
      </c>
      <c r="J135" s="241" t="str">
        <f>IF($B135="","",IF(COUNTIFS(Торговля!$E$5:$E$300,$B135)+COUNTIFS(Закрытые!$E$5:$E$300,$B135,Закрытые!$B$5:$B$300,"T-*")=0,"",ROUND(SUMIFS(Торговля!$M$5:$M$300,Торговля!$E$5:$E$300,$B135)+SUMIFS(Закрытые!$M$5:$M$300,Закрытые!$E$5:$E$300,$B135,Закрытые!$B$5:$B$300,"T-*"),8)))</f>
        <v/>
      </c>
      <c r="K135" s="240" t="str">
        <f>IF(MIN(N(C135),N(F135))&lt;=0,"",ROUND(MIN(N(C135),N(F135))*(N(G135)-N(D135)),8))</f>
        <v/>
      </c>
      <c r="L135" s="177" t="str">
        <f>IF(MIN(N(C135),N(F135))&lt;=0,"",IF(N(D135)=0,"",ROUND((N(G135)/N(D135)-1)*100,2)))</f>
        <v/>
      </c>
      <c r="M135" s="177" t="str">
        <f>IF(OR(ROUND(N(C135)-N(F135),8)=0,1-N(Ввод!$J$19)/100&lt;=0),"",IF(N(C135)&gt;N(F135),(N(E135)-N(H135))/((N(C135)-N(F135))*(1-N(Ввод!$J$19)/100)),(N(H135)-N(E135))/((N(F135)-N(C135))*(1+N(Ввод!$J$19)/100))))</f>
        <v/>
      </c>
    </row>
    <row r="136" ht="22" customHeight="1">
      <c r="B136" s="245" t="n"/>
      <c r="C136" s="246" t="str">
        <f>IF(SUMIFS(Торговля!$F$5:$F$300,Торговля!$E$5:$E$300,$B136)+SUMIFS(Закрытые!$F$5:$F$300,Закрытые!$E$5:$E$300,$B136,Закрытые!$B$5:$B$300,"T-*")=0,"",SUMIFS(Торговля!$F$5:$F$300,Торговля!$E$5:$E$300,$B136)+SUMIFS(Закрытые!$F$5:$F$300,Закрытые!$E$5:$E$300,$B136,Закрытые!$B$5:$B$300,"T-*"))</f>
        <v/>
      </c>
      <c r="D136" s="183" t="str">
        <f>IF(C136="","",(SUMPRODUCT((Торговля!$E$5:$E$300=$B136)*Торговля!$F$5:$F$300*Торговля!$G$5:$G$300)+SUMPRODUCT((Закрытые!$E$5:$E$300=$B136)*(LEFT(Закрытые!$B$5:$B$300,2)="T-")*Закрытые!$F$5:$F$300*Закрытые!$G$5:$G$300))/C136)</f>
        <v/>
      </c>
      <c r="E136" s="247" t="str">
        <f>IF(C136="","",SUMIFS(Торговля!$H$5:$H$300,Торговля!$E$5:$E$300,$B136)+SUMIFS(Закрытые!$H$5:$H$300,Закрытые!$E$5:$E$300,$B136,Закрытые!$B$5:$B$300,"T-*"))</f>
        <v/>
      </c>
      <c r="F136" s="246" t="str">
        <f>IF(SUMIFS(Торговля!$I$5:$I$300,Торговля!$E$5:$E$300,$B136)+SUMIFS(Закрытые!$I$5:$I$300,Закрытые!$E$5:$E$300,$B136,Закрытые!$B$5:$B$300,"T-*")=0,"",SUMIFS(Торговля!$I$5:$I$300,Торговля!$E$5:$E$300,$B136)+SUMIFS(Закрытые!$I$5:$I$300,Закрытые!$E$5:$E$300,$B136,Закрытые!$B$5:$B$300,"T-*"))</f>
        <v/>
      </c>
      <c r="G136" s="183" t="str">
        <f>IF(F136="","",(SUMPRODUCT((Торговля!$E$5:$E$300=$B136)*Торговля!$I$5:$I$300*Торговля!$J$5:$J$300)+SUMPRODUCT((Закрытые!$E$5:$E$300=$B136)*(LEFT(Закрытые!$B$5:$B$300,2)="T-")*Закрытые!$I$5:$I$300*Закрытые!$J$5:$J$300))/F136)</f>
        <v/>
      </c>
      <c r="H136" s="247" t="str">
        <f>IF(F136="","",SUMIFS(Торговля!$K$5:$K$300,Торговля!$E$5:$E$300,$B136)+SUMIFS(Закрытые!$K$5:$K$300,Закрытые!$E$5:$E$300,$B136,Закрытые!$B$5:$B$300,"T-*"))</f>
        <v/>
      </c>
      <c r="I136" s="246" t="str">
        <f>IF($B136="","",IF(COUNTIFS(Торговля!$E$5:$E$300,$B136)+COUNTIFS(Закрытые!$E$5:$E$300,$B136,Закрытые!$B$5:$B$300,"T-*")=0,"",ROUND(SUMIFS(Торговля!$L$5:$L$300,Торговля!$E$5:$E$300,$B136)+SUMIFS(Закрытые!$L$5:$L$300,Закрытые!$E$5:$E$300,$B136,Закрытые!$B$5:$B$300,"T-*"),8)))</f>
        <v/>
      </c>
      <c r="J136" s="247" t="str">
        <f>IF($B136="","",IF(COUNTIFS(Торговля!$E$5:$E$300,$B136)+COUNTIFS(Закрытые!$E$5:$E$300,$B136,Закрытые!$B$5:$B$300,"T-*")=0,"",ROUND(SUMIFS(Торговля!$M$5:$M$300,Торговля!$E$5:$E$300,$B136)+SUMIFS(Закрытые!$M$5:$M$300,Закрытые!$E$5:$E$300,$B136,Закрытые!$B$5:$B$300,"T-*"),8)))</f>
        <v/>
      </c>
      <c r="K136" s="246" t="str">
        <f>IF(MIN(N(C136),N(F136))&lt;=0,"",ROUND(MIN(N(C136),N(F136))*(N(G136)-N(D136)),8))</f>
        <v/>
      </c>
      <c r="L136" s="183" t="str">
        <f>IF(MIN(N(C136),N(F136))&lt;=0,"",IF(N(D136)=0,"",ROUND((N(G136)/N(D136)-1)*100,2)))</f>
        <v/>
      </c>
      <c r="M136" s="183" t="str">
        <f>IF(OR(ROUND(N(C136)-N(F136),8)=0,1-N(Ввод!$J$19)/100&lt;=0),"",IF(N(C136)&gt;N(F136),(N(E136)-N(H136))/((N(C136)-N(F136))*(1-N(Ввод!$J$19)/100)),(N(H136)-N(E136))/((N(F136)-N(C136))*(1+N(Ввод!$J$19)/100))))</f>
        <v/>
      </c>
    </row>
    <row r="137" ht="22" customHeight="1">
      <c r="B137" s="239" t="n"/>
      <c r="C137" s="240" t="str">
        <f>IF(SUMIFS(Торговля!$F$5:$F$300,Торговля!$E$5:$E$300,$B137)+SUMIFS(Закрытые!$F$5:$F$300,Закрытые!$E$5:$E$300,$B137,Закрытые!$B$5:$B$300,"T-*")=0,"",SUMIFS(Торговля!$F$5:$F$300,Торговля!$E$5:$E$300,$B137)+SUMIFS(Закрытые!$F$5:$F$300,Закрытые!$E$5:$E$300,$B137,Закрытые!$B$5:$B$300,"T-*"))</f>
        <v/>
      </c>
      <c r="D137" s="177" t="str">
        <f>IF(C137="","",(SUMPRODUCT((Торговля!$E$5:$E$300=$B137)*Торговля!$F$5:$F$300*Торговля!$G$5:$G$300)+SUMPRODUCT((Закрытые!$E$5:$E$300=$B137)*(LEFT(Закрытые!$B$5:$B$300,2)="T-")*Закрытые!$F$5:$F$300*Закрытые!$G$5:$G$300))/C137)</f>
        <v/>
      </c>
      <c r="E137" s="241" t="str">
        <f>IF(C137="","",SUMIFS(Торговля!$H$5:$H$300,Торговля!$E$5:$E$300,$B137)+SUMIFS(Закрытые!$H$5:$H$300,Закрытые!$E$5:$E$300,$B137,Закрытые!$B$5:$B$300,"T-*"))</f>
        <v/>
      </c>
      <c r="F137" s="240" t="str">
        <f>IF(SUMIFS(Торговля!$I$5:$I$300,Торговля!$E$5:$E$300,$B137)+SUMIFS(Закрытые!$I$5:$I$300,Закрытые!$E$5:$E$300,$B137,Закрытые!$B$5:$B$300,"T-*")=0,"",SUMIFS(Торговля!$I$5:$I$300,Торговля!$E$5:$E$300,$B137)+SUMIFS(Закрытые!$I$5:$I$300,Закрытые!$E$5:$E$300,$B137,Закрытые!$B$5:$B$300,"T-*"))</f>
        <v/>
      </c>
      <c r="G137" s="177" t="str">
        <f>IF(F137="","",(SUMPRODUCT((Торговля!$E$5:$E$300=$B137)*Торговля!$I$5:$I$300*Торговля!$J$5:$J$300)+SUMPRODUCT((Закрытые!$E$5:$E$300=$B137)*(LEFT(Закрытые!$B$5:$B$300,2)="T-")*Закрытые!$I$5:$I$300*Закрытые!$J$5:$J$300))/F137)</f>
        <v/>
      </c>
      <c r="H137" s="241" t="str">
        <f>IF(F137="","",SUMIFS(Торговля!$K$5:$K$300,Торговля!$E$5:$E$300,$B137)+SUMIFS(Закрытые!$K$5:$K$300,Закрытые!$E$5:$E$300,$B137,Закрытые!$B$5:$B$300,"T-*"))</f>
        <v/>
      </c>
      <c r="I137" s="240" t="str">
        <f>IF($B137="","",IF(COUNTIFS(Торговля!$E$5:$E$300,$B137)+COUNTIFS(Закрытые!$E$5:$E$300,$B137,Закрытые!$B$5:$B$300,"T-*")=0,"",ROUND(SUMIFS(Торговля!$L$5:$L$300,Торговля!$E$5:$E$300,$B137)+SUMIFS(Закрытые!$L$5:$L$300,Закрытые!$E$5:$E$300,$B137,Закрытые!$B$5:$B$300,"T-*"),8)))</f>
        <v/>
      </c>
      <c r="J137" s="241" t="str">
        <f>IF($B137="","",IF(COUNTIFS(Торговля!$E$5:$E$300,$B137)+COUNTIFS(Закрытые!$E$5:$E$300,$B137,Закрытые!$B$5:$B$300,"T-*")=0,"",ROUND(SUMIFS(Торговля!$M$5:$M$300,Торговля!$E$5:$E$300,$B137)+SUMIFS(Закрытые!$M$5:$M$300,Закрытые!$E$5:$E$300,$B137,Закрытые!$B$5:$B$300,"T-*"),8)))</f>
        <v/>
      </c>
      <c r="K137" s="240" t="str">
        <f>IF(MIN(N(C137),N(F137))&lt;=0,"",ROUND(MIN(N(C137),N(F137))*(N(G137)-N(D137)),8))</f>
        <v/>
      </c>
      <c r="L137" s="177" t="str">
        <f>IF(MIN(N(C137),N(F137))&lt;=0,"",IF(N(D137)=0,"",ROUND((N(G137)/N(D137)-1)*100,2)))</f>
        <v/>
      </c>
      <c r="M137" s="177" t="str">
        <f>IF(OR(ROUND(N(C137)-N(F137),8)=0,1-N(Ввод!$J$19)/100&lt;=0),"",IF(N(C137)&gt;N(F137),(N(E137)-N(H137))/((N(C137)-N(F137))*(1-N(Ввод!$J$19)/100)),(N(H137)-N(E137))/((N(F137)-N(C137))*(1+N(Ввод!$J$19)/100))))</f>
        <v/>
      </c>
    </row>
    <row r="138" ht="22" customHeight="1">
      <c r="B138" s="245" t="n"/>
      <c r="C138" s="246" t="str">
        <f>IF(SUMIFS(Торговля!$F$5:$F$300,Торговля!$E$5:$E$300,$B138)+SUMIFS(Закрытые!$F$5:$F$300,Закрытые!$E$5:$E$300,$B138,Закрытые!$B$5:$B$300,"T-*")=0,"",SUMIFS(Торговля!$F$5:$F$300,Торговля!$E$5:$E$300,$B138)+SUMIFS(Закрытые!$F$5:$F$300,Закрытые!$E$5:$E$300,$B138,Закрытые!$B$5:$B$300,"T-*"))</f>
        <v/>
      </c>
      <c r="D138" s="183" t="str">
        <f>IF(C138="","",(SUMPRODUCT((Торговля!$E$5:$E$300=$B138)*Торговля!$F$5:$F$300*Торговля!$G$5:$G$300)+SUMPRODUCT((Закрытые!$E$5:$E$300=$B138)*(LEFT(Закрытые!$B$5:$B$300,2)="T-")*Закрытые!$F$5:$F$300*Закрытые!$G$5:$G$300))/C138)</f>
        <v/>
      </c>
      <c r="E138" s="247" t="str">
        <f>IF(C138="","",SUMIFS(Торговля!$H$5:$H$300,Торговля!$E$5:$E$300,$B138)+SUMIFS(Закрытые!$H$5:$H$300,Закрытые!$E$5:$E$300,$B138,Закрытые!$B$5:$B$300,"T-*"))</f>
        <v/>
      </c>
      <c r="F138" s="246" t="str">
        <f>IF(SUMIFS(Торговля!$I$5:$I$300,Торговля!$E$5:$E$300,$B138)+SUMIFS(Закрытые!$I$5:$I$300,Закрытые!$E$5:$E$300,$B138,Закрытые!$B$5:$B$300,"T-*")=0,"",SUMIFS(Торговля!$I$5:$I$300,Торговля!$E$5:$E$300,$B138)+SUMIFS(Закрытые!$I$5:$I$300,Закрытые!$E$5:$E$300,$B138,Закрытые!$B$5:$B$300,"T-*"))</f>
        <v/>
      </c>
      <c r="G138" s="183" t="str">
        <f>IF(F138="","",(SUMPRODUCT((Торговля!$E$5:$E$300=$B138)*Торговля!$I$5:$I$300*Торговля!$J$5:$J$300)+SUMPRODUCT((Закрытые!$E$5:$E$300=$B138)*(LEFT(Закрытые!$B$5:$B$300,2)="T-")*Закрытые!$I$5:$I$300*Закрытые!$J$5:$J$300))/F138)</f>
        <v/>
      </c>
      <c r="H138" s="247" t="str">
        <f>IF(F138="","",SUMIFS(Торговля!$K$5:$K$300,Торговля!$E$5:$E$300,$B138)+SUMIFS(Закрытые!$K$5:$K$300,Закрытые!$E$5:$E$300,$B138,Закрытые!$B$5:$B$300,"T-*"))</f>
        <v/>
      </c>
      <c r="I138" s="246" t="str">
        <f>IF($B138="","",IF(COUNTIFS(Торговля!$E$5:$E$300,$B138)+COUNTIFS(Закрытые!$E$5:$E$300,$B138,Закрытые!$B$5:$B$300,"T-*")=0,"",ROUND(SUMIFS(Торговля!$L$5:$L$300,Торговля!$E$5:$E$300,$B138)+SUMIFS(Закрытые!$L$5:$L$300,Закрытые!$E$5:$E$300,$B138,Закрытые!$B$5:$B$300,"T-*"),8)))</f>
        <v/>
      </c>
      <c r="J138" s="247" t="str">
        <f>IF($B138="","",IF(COUNTIFS(Торговля!$E$5:$E$300,$B138)+COUNTIFS(Закрытые!$E$5:$E$300,$B138,Закрытые!$B$5:$B$300,"T-*")=0,"",ROUND(SUMIFS(Торговля!$M$5:$M$300,Торговля!$E$5:$E$300,$B138)+SUMIFS(Закрытые!$M$5:$M$300,Закрытые!$E$5:$E$300,$B138,Закрытые!$B$5:$B$300,"T-*"),8)))</f>
        <v/>
      </c>
      <c r="K138" s="246" t="str">
        <f>IF(MIN(N(C138),N(F138))&lt;=0,"",ROUND(MIN(N(C138),N(F138))*(N(G138)-N(D138)),8))</f>
        <v/>
      </c>
      <c r="L138" s="183" t="str">
        <f>IF(MIN(N(C138),N(F138))&lt;=0,"",IF(N(D138)=0,"",ROUND((N(G138)/N(D138)-1)*100,2)))</f>
        <v/>
      </c>
      <c r="M138" s="183" t="str">
        <f>IF(OR(ROUND(N(C138)-N(F138),8)=0,1-N(Ввод!$J$19)/100&lt;=0),"",IF(N(C138)&gt;N(F138),(N(E138)-N(H138))/((N(C138)-N(F138))*(1-N(Ввод!$J$19)/100)),(N(H138)-N(E138))/((N(F138)-N(C138))*(1+N(Ввод!$J$19)/100))))</f>
        <v/>
      </c>
    </row>
    <row r="139" ht="22" customHeight="1">
      <c r="B139" s="239" t="n"/>
      <c r="C139" s="240" t="str">
        <f>IF(SUMIFS(Торговля!$F$5:$F$300,Торговля!$E$5:$E$300,$B139)+SUMIFS(Закрытые!$F$5:$F$300,Закрытые!$E$5:$E$300,$B139,Закрытые!$B$5:$B$300,"T-*")=0,"",SUMIFS(Торговля!$F$5:$F$300,Торговля!$E$5:$E$300,$B139)+SUMIFS(Закрытые!$F$5:$F$300,Закрытые!$E$5:$E$300,$B139,Закрытые!$B$5:$B$300,"T-*"))</f>
        <v/>
      </c>
      <c r="D139" s="177" t="str">
        <f>IF(C139="","",(SUMPRODUCT((Торговля!$E$5:$E$300=$B139)*Торговля!$F$5:$F$300*Торговля!$G$5:$G$300)+SUMPRODUCT((Закрытые!$E$5:$E$300=$B139)*(LEFT(Закрытые!$B$5:$B$300,2)="T-")*Закрытые!$F$5:$F$300*Закрытые!$G$5:$G$300))/C139)</f>
        <v/>
      </c>
      <c r="E139" s="241" t="str">
        <f>IF(C139="","",SUMIFS(Торговля!$H$5:$H$300,Торговля!$E$5:$E$300,$B139)+SUMIFS(Закрытые!$H$5:$H$300,Закрытые!$E$5:$E$300,$B139,Закрытые!$B$5:$B$300,"T-*"))</f>
        <v/>
      </c>
      <c r="F139" s="240" t="str">
        <f>IF(SUMIFS(Торговля!$I$5:$I$300,Торговля!$E$5:$E$300,$B139)+SUMIFS(Закрытые!$I$5:$I$300,Закрытые!$E$5:$E$300,$B139,Закрытые!$B$5:$B$300,"T-*")=0,"",SUMIFS(Торговля!$I$5:$I$300,Торговля!$E$5:$E$300,$B139)+SUMIFS(Закрытые!$I$5:$I$300,Закрытые!$E$5:$E$300,$B139,Закрытые!$B$5:$B$300,"T-*"))</f>
        <v/>
      </c>
      <c r="G139" s="177" t="str">
        <f>IF(F139="","",(SUMPRODUCT((Торговля!$E$5:$E$300=$B139)*Торговля!$I$5:$I$300*Торговля!$J$5:$J$300)+SUMPRODUCT((Закрытые!$E$5:$E$300=$B139)*(LEFT(Закрытые!$B$5:$B$300,2)="T-")*Закрытые!$I$5:$I$300*Закрытые!$J$5:$J$300))/F139)</f>
        <v/>
      </c>
      <c r="H139" s="241" t="str">
        <f>IF(F139="","",SUMIFS(Торговля!$K$5:$K$300,Торговля!$E$5:$E$300,$B139)+SUMIFS(Закрытые!$K$5:$K$300,Закрытые!$E$5:$E$300,$B139,Закрытые!$B$5:$B$300,"T-*"))</f>
        <v/>
      </c>
      <c r="I139" s="240" t="str">
        <f>IF($B139="","",IF(COUNTIFS(Торговля!$E$5:$E$300,$B139)+COUNTIFS(Закрытые!$E$5:$E$300,$B139,Закрытые!$B$5:$B$300,"T-*")=0,"",ROUND(SUMIFS(Торговля!$L$5:$L$300,Торговля!$E$5:$E$300,$B139)+SUMIFS(Закрытые!$L$5:$L$300,Закрытые!$E$5:$E$300,$B139,Закрытые!$B$5:$B$300,"T-*"),8)))</f>
        <v/>
      </c>
      <c r="J139" s="241" t="str">
        <f>IF($B139="","",IF(COUNTIFS(Торговля!$E$5:$E$300,$B139)+COUNTIFS(Закрытые!$E$5:$E$300,$B139,Закрытые!$B$5:$B$300,"T-*")=0,"",ROUND(SUMIFS(Торговля!$M$5:$M$300,Торговля!$E$5:$E$300,$B139)+SUMIFS(Закрытые!$M$5:$M$300,Закрытые!$E$5:$E$300,$B139,Закрытые!$B$5:$B$300,"T-*"),8)))</f>
        <v/>
      </c>
      <c r="K139" s="240" t="str">
        <f>IF(MIN(N(C139),N(F139))&lt;=0,"",ROUND(MIN(N(C139),N(F139))*(N(G139)-N(D139)),8))</f>
        <v/>
      </c>
      <c r="L139" s="177" t="str">
        <f>IF(MIN(N(C139),N(F139))&lt;=0,"",IF(N(D139)=0,"",ROUND((N(G139)/N(D139)-1)*100,2)))</f>
        <v/>
      </c>
      <c r="M139" s="177" t="str">
        <f>IF(OR(ROUND(N(C139)-N(F139),8)=0,1-N(Ввод!$J$19)/100&lt;=0),"",IF(N(C139)&gt;N(F139),(N(E139)-N(H139))/((N(C139)-N(F139))*(1-N(Ввод!$J$19)/100)),(N(H139)-N(E139))/((N(F139)-N(C139))*(1+N(Ввод!$J$19)/100))))</f>
        <v/>
      </c>
    </row>
    <row r="140" ht="22" customHeight="1">
      <c r="B140" s="245" t="n"/>
      <c r="C140" s="246" t="str">
        <f>IF(SUMIFS(Торговля!$F$5:$F$300,Торговля!$E$5:$E$300,$B140)+SUMIFS(Закрытые!$F$5:$F$300,Закрытые!$E$5:$E$300,$B140,Закрытые!$B$5:$B$300,"T-*")=0,"",SUMIFS(Торговля!$F$5:$F$300,Торговля!$E$5:$E$300,$B140)+SUMIFS(Закрытые!$F$5:$F$300,Закрытые!$E$5:$E$300,$B140,Закрытые!$B$5:$B$300,"T-*"))</f>
        <v/>
      </c>
      <c r="D140" s="183" t="str">
        <f>IF(C140="","",(SUMPRODUCT((Торговля!$E$5:$E$300=$B140)*Торговля!$F$5:$F$300*Торговля!$G$5:$G$300)+SUMPRODUCT((Закрытые!$E$5:$E$300=$B140)*(LEFT(Закрытые!$B$5:$B$300,2)="T-")*Закрытые!$F$5:$F$300*Закрытые!$G$5:$G$300))/C140)</f>
        <v/>
      </c>
      <c r="E140" s="247" t="str">
        <f>IF(C140="","",SUMIFS(Торговля!$H$5:$H$300,Торговля!$E$5:$E$300,$B140)+SUMIFS(Закрытые!$H$5:$H$300,Закрытые!$E$5:$E$300,$B140,Закрытые!$B$5:$B$300,"T-*"))</f>
        <v/>
      </c>
      <c r="F140" s="246" t="str">
        <f>IF(SUMIFS(Торговля!$I$5:$I$300,Торговля!$E$5:$E$300,$B140)+SUMIFS(Закрытые!$I$5:$I$300,Закрытые!$E$5:$E$300,$B140,Закрытые!$B$5:$B$300,"T-*")=0,"",SUMIFS(Торговля!$I$5:$I$300,Торговля!$E$5:$E$300,$B140)+SUMIFS(Закрытые!$I$5:$I$300,Закрытые!$E$5:$E$300,$B140,Закрытые!$B$5:$B$300,"T-*"))</f>
        <v/>
      </c>
      <c r="G140" s="183" t="str">
        <f>IF(F140="","",(SUMPRODUCT((Торговля!$E$5:$E$300=$B140)*Торговля!$I$5:$I$300*Торговля!$J$5:$J$300)+SUMPRODUCT((Закрытые!$E$5:$E$300=$B140)*(LEFT(Закрытые!$B$5:$B$300,2)="T-")*Закрытые!$I$5:$I$300*Закрытые!$J$5:$J$300))/F140)</f>
        <v/>
      </c>
      <c r="H140" s="247" t="str">
        <f>IF(F140="","",SUMIFS(Торговля!$K$5:$K$300,Торговля!$E$5:$E$300,$B140)+SUMIFS(Закрытые!$K$5:$K$300,Закрытые!$E$5:$E$300,$B140,Закрытые!$B$5:$B$300,"T-*"))</f>
        <v/>
      </c>
      <c r="I140" s="246" t="str">
        <f>IF($B140="","",IF(COUNTIFS(Торговля!$E$5:$E$300,$B140)+COUNTIFS(Закрытые!$E$5:$E$300,$B140,Закрытые!$B$5:$B$300,"T-*")=0,"",ROUND(SUMIFS(Торговля!$L$5:$L$300,Торговля!$E$5:$E$300,$B140)+SUMIFS(Закрытые!$L$5:$L$300,Закрытые!$E$5:$E$300,$B140,Закрытые!$B$5:$B$300,"T-*"),8)))</f>
        <v/>
      </c>
      <c r="J140" s="247" t="str">
        <f>IF($B140="","",IF(COUNTIFS(Торговля!$E$5:$E$300,$B140)+COUNTIFS(Закрытые!$E$5:$E$300,$B140,Закрытые!$B$5:$B$300,"T-*")=0,"",ROUND(SUMIFS(Торговля!$M$5:$M$300,Торговля!$E$5:$E$300,$B140)+SUMIFS(Закрытые!$M$5:$M$300,Закрытые!$E$5:$E$300,$B140,Закрытые!$B$5:$B$300,"T-*"),8)))</f>
        <v/>
      </c>
      <c r="K140" s="246" t="str">
        <f>IF(MIN(N(C140),N(F140))&lt;=0,"",ROUND(MIN(N(C140),N(F140))*(N(G140)-N(D140)),8))</f>
        <v/>
      </c>
      <c r="L140" s="183" t="str">
        <f>IF(MIN(N(C140),N(F140))&lt;=0,"",IF(N(D140)=0,"",ROUND((N(G140)/N(D140)-1)*100,2)))</f>
        <v/>
      </c>
      <c r="M140" s="183" t="str">
        <f>IF(OR(ROUND(N(C140)-N(F140),8)=0,1-N(Ввод!$J$19)/100&lt;=0),"",IF(N(C140)&gt;N(F140),(N(E140)-N(H140))/((N(C140)-N(F140))*(1-N(Ввод!$J$19)/100)),(N(H140)-N(E140))/((N(F140)-N(C140))*(1+N(Ввод!$J$19)/100))))</f>
        <v/>
      </c>
    </row>
    <row r="141" ht="22" customHeight="1">
      <c r="B141" s="239" t="n"/>
      <c r="C141" s="240" t="str">
        <f>IF(SUMIFS(Торговля!$F$5:$F$300,Торговля!$E$5:$E$300,$B141)+SUMIFS(Закрытые!$F$5:$F$300,Закрытые!$E$5:$E$300,$B141,Закрытые!$B$5:$B$300,"T-*")=0,"",SUMIFS(Торговля!$F$5:$F$300,Торговля!$E$5:$E$300,$B141)+SUMIFS(Закрытые!$F$5:$F$300,Закрытые!$E$5:$E$300,$B141,Закрытые!$B$5:$B$300,"T-*"))</f>
        <v/>
      </c>
      <c r="D141" s="177" t="str">
        <f>IF(C141="","",(SUMPRODUCT((Торговля!$E$5:$E$300=$B141)*Торговля!$F$5:$F$300*Торговля!$G$5:$G$300)+SUMPRODUCT((Закрытые!$E$5:$E$300=$B141)*(LEFT(Закрытые!$B$5:$B$300,2)="T-")*Закрытые!$F$5:$F$300*Закрытые!$G$5:$G$300))/C141)</f>
        <v/>
      </c>
      <c r="E141" s="241" t="str">
        <f>IF(C141="","",SUMIFS(Торговля!$H$5:$H$300,Торговля!$E$5:$E$300,$B141)+SUMIFS(Закрытые!$H$5:$H$300,Закрытые!$E$5:$E$300,$B141,Закрытые!$B$5:$B$300,"T-*"))</f>
        <v/>
      </c>
      <c r="F141" s="240" t="str">
        <f>IF(SUMIFS(Торговля!$I$5:$I$300,Торговля!$E$5:$E$300,$B141)+SUMIFS(Закрытые!$I$5:$I$300,Закрытые!$E$5:$E$300,$B141,Закрытые!$B$5:$B$300,"T-*")=0,"",SUMIFS(Торговля!$I$5:$I$300,Торговля!$E$5:$E$300,$B141)+SUMIFS(Закрытые!$I$5:$I$300,Закрытые!$E$5:$E$300,$B141,Закрытые!$B$5:$B$300,"T-*"))</f>
        <v/>
      </c>
      <c r="G141" s="177" t="str">
        <f>IF(F141="","",(SUMPRODUCT((Торговля!$E$5:$E$300=$B141)*Торговля!$I$5:$I$300*Торговля!$J$5:$J$300)+SUMPRODUCT((Закрытые!$E$5:$E$300=$B141)*(LEFT(Закрытые!$B$5:$B$300,2)="T-")*Закрытые!$I$5:$I$300*Закрытые!$J$5:$J$300))/F141)</f>
        <v/>
      </c>
      <c r="H141" s="241" t="str">
        <f>IF(F141="","",SUMIFS(Торговля!$K$5:$K$300,Торговля!$E$5:$E$300,$B141)+SUMIFS(Закрытые!$K$5:$K$300,Закрытые!$E$5:$E$300,$B141,Закрытые!$B$5:$B$300,"T-*"))</f>
        <v/>
      </c>
      <c r="I141" s="240" t="str">
        <f>IF($B141="","",IF(COUNTIFS(Торговля!$E$5:$E$300,$B141)+COUNTIFS(Закрытые!$E$5:$E$300,$B141,Закрытые!$B$5:$B$300,"T-*")=0,"",ROUND(SUMIFS(Торговля!$L$5:$L$300,Торговля!$E$5:$E$300,$B141)+SUMIFS(Закрытые!$L$5:$L$300,Закрытые!$E$5:$E$300,$B141,Закрытые!$B$5:$B$300,"T-*"),8)))</f>
        <v/>
      </c>
      <c r="J141" s="241" t="str">
        <f>IF($B141="","",IF(COUNTIFS(Торговля!$E$5:$E$300,$B141)+COUNTIFS(Закрытые!$E$5:$E$300,$B141,Закрытые!$B$5:$B$300,"T-*")=0,"",ROUND(SUMIFS(Торговля!$M$5:$M$300,Торговля!$E$5:$E$300,$B141)+SUMIFS(Закрытые!$M$5:$M$300,Закрытые!$E$5:$E$300,$B141,Закрытые!$B$5:$B$300,"T-*"),8)))</f>
        <v/>
      </c>
      <c r="K141" s="240" t="str">
        <f>IF(MIN(N(C141),N(F141))&lt;=0,"",ROUND(MIN(N(C141),N(F141))*(N(G141)-N(D141)),8))</f>
        <v/>
      </c>
      <c r="L141" s="177" t="str">
        <f>IF(MIN(N(C141),N(F141))&lt;=0,"",IF(N(D141)=0,"",ROUND((N(G141)/N(D141)-1)*100,2)))</f>
        <v/>
      </c>
      <c r="M141" s="177" t="str">
        <f>IF(OR(ROUND(N(C141)-N(F141),8)=0,1-N(Ввод!$J$19)/100&lt;=0),"",IF(N(C141)&gt;N(F141),(N(E141)-N(H141))/((N(C141)-N(F141))*(1-N(Ввод!$J$19)/100)),(N(H141)-N(E141))/((N(F141)-N(C141))*(1+N(Ввод!$J$19)/100))))</f>
        <v/>
      </c>
    </row>
    <row r="142" ht="22" customHeight="1">
      <c r="B142" s="245" t="n"/>
      <c r="C142" s="246" t="str">
        <f>IF(SUMIFS(Торговля!$F$5:$F$300,Торговля!$E$5:$E$300,$B142)+SUMIFS(Закрытые!$F$5:$F$300,Закрытые!$E$5:$E$300,$B142,Закрытые!$B$5:$B$300,"T-*")=0,"",SUMIFS(Торговля!$F$5:$F$300,Торговля!$E$5:$E$300,$B142)+SUMIFS(Закрытые!$F$5:$F$300,Закрытые!$E$5:$E$300,$B142,Закрытые!$B$5:$B$300,"T-*"))</f>
        <v/>
      </c>
      <c r="D142" s="183" t="str">
        <f>IF(C142="","",(SUMPRODUCT((Торговля!$E$5:$E$300=$B142)*Торговля!$F$5:$F$300*Торговля!$G$5:$G$300)+SUMPRODUCT((Закрытые!$E$5:$E$300=$B142)*(LEFT(Закрытые!$B$5:$B$300,2)="T-")*Закрытые!$F$5:$F$300*Закрытые!$G$5:$G$300))/C142)</f>
        <v/>
      </c>
      <c r="E142" s="247" t="str">
        <f>IF(C142="","",SUMIFS(Торговля!$H$5:$H$300,Торговля!$E$5:$E$300,$B142)+SUMIFS(Закрытые!$H$5:$H$300,Закрытые!$E$5:$E$300,$B142,Закрытые!$B$5:$B$300,"T-*"))</f>
        <v/>
      </c>
      <c r="F142" s="246" t="str">
        <f>IF(SUMIFS(Торговля!$I$5:$I$300,Торговля!$E$5:$E$300,$B142)+SUMIFS(Закрытые!$I$5:$I$300,Закрытые!$E$5:$E$300,$B142,Закрытые!$B$5:$B$300,"T-*")=0,"",SUMIFS(Торговля!$I$5:$I$300,Торговля!$E$5:$E$300,$B142)+SUMIFS(Закрытые!$I$5:$I$300,Закрытые!$E$5:$E$300,$B142,Закрытые!$B$5:$B$300,"T-*"))</f>
        <v/>
      </c>
      <c r="G142" s="183" t="str">
        <f>IF(F142="","",(SUMPRODUCT((Торговля!$E$5:$E$300=$B142)*Торговля!$I$5:$I$300*Торговля!$J$5:$J$300)+SUMPRODUCT((Закрытые!$E$5:$E$300=$B142)*(LEFT(Закрытые!$B$5:$B$300,2)="T-")*Закрытые!$I$5:$I$300*Закрытые!$J$5:$J$300))/F142)</f>
        <v/>
      </c>
      <c r="H142" s="247" t="str">
        <f>IF(F142="","",SUMIFS(Торговля!$K$5:$K$300,Торговля!$E$5:$E$300,$B142)+SUMIFS(Закрытые!$K$5:$K$300,Закрытые!$E$5:$E$300,$B142,Закрытые!$B$5:$B$300,"T-*"))</f>
        <v/>
      </c>
      <c r="I142" s="246" t="str">
        <f>IF($B142="","",IF(COUNTIFS(Торговля!$E$5:$E$300,$B142)+COUNTIFS(Закрытые!$E$5:$E$300,$B142,Закрытые!$B$5:$B$300,"T-*")=0,"",ROUND(SUMIFS(Торговля!$L$5:$L$300,Торговля!$E$5:$E$300,$B142)+SUMIFS(Закрытые!$L$5:$L$300,Закрытые!$E$5:$E$300,$B142,Закрытые!$B$5:$B$300,"T-*"),8)))</f>
        <v/>
      </c>
      <c r="J142" s="247" t="str">
        <f>IF($B142="","",IF(COUNTIFS(Торговля!$E$5:$E$300,$B142)+COUNTIFS(Закрытые!$E$5:$E$300,$B142,Закрытые!$B$5:$B$300,"T-*")=0,"",ROUND(SUMIFS(Торговля!$M$5:$M$300,Торговля!$E$5:$E$300,$B142)+SUMIFS(Закрытые!$M$5:$M$300,Закрытые!$E$5:$E$300,$B142,Закрытые!$B$5:$B$300,"T-*"),8)))</f>
        <v/>
      </c>
      <c r="K142" s="246" t="str">
        <f>IF(MIN(N(C142),N(F142))&lt;=0,"",ROUND(MIN(N(C142),N(F142))*(N(G142)-N(D142)),8))</f>
        <v/>
      </c>
      <c r="L142" s="183" t="str">
        <f>IF(MIN(N(C142),N(F142))&lt;=0,"",IF(N(D142)=0,"",ROUND((N(G142)/N(D142)-1)*100,2)))</f>
        <v/>
      </c>
      <c r="M142" s="183" t="str">
        <f>IF(OR(ROUND(N(C142)-N(F142),8)=0,1-N(Ввод!$J$19)/100&lt;=0),"",IF(N(C142)&gt;N(F142),(N(E142)-N(H142))/((N(C142)-N(F142))*(1-N(Ввод!$J$19)/100)),(N(H142)-N(E142))/((N(F142)-N(C142))*(1+N(Ввод!$J$19)/100))))</f>
        <v/>
      </c>
    </row>
    <row r="143" ht="22" customHeight="1">
      <c r="B143" s="239" t="n"/>
      <c r="C143" s="240" t="str">
        <f>IF(SUMIFS(Торговля!$F$5:$F$300,Торговля!$E$5:$E$300,$B143)+SUMIFS(Закрытые!$F$5:$F$300,Закрытые!$E$5:$E$300,$B143,Закрытые!$B$5:$B$300,"T-*")=0,"",SUMIFS(Торговля!$F$5:$F$300,Торговля!$E$5:$E$300,$B143)+SUMIFS(Закрытые!$F$5:$F$300,Закрытые!$E$5:$E$300,$B143,Закрытые!$B$5:$B$300,"T-*"))</f>
        <v/>
      </c>
      <c r="D143" s="177" t="str">
        <f>IF(C143="","",(SUMPRODUCT((Торговля!$E$5:$E$300=$B143)*Торговля!$F$5:$F$300*Торговля!$G$5:$G$300)+SUMPRODUCT((Закрытые!$E$5:$E$300=$B143)*(LEFT(Закрытые!$B$5:$B$300,2)="T-")*Закрытые!$F$5:$F$300*Закрытые!$G$5:$G$300))/C143)</f>
        <v/>
      </c>
      <c r="E143" s="241" t="str">
        <f>IF(C143="","",SUMIFS(Торговля!$H$5:$H$300,Торговля!$E$5:$E$300,$B143)+SUMIFS(Закрытые!$H$5:$H$300,Закрытые!$E$5:$E$300,$B143,Закрытые!$B$5:$B$300,"T-*"))</f>
        <v/>
      </c>
      <c r="F143" s="240" t="str">
        <f>IF(SUMIFS(Торговля!$I$5:$I$300,Торговля!$E$5:$E$300,$B143)+SUMIFS(Закрытые!$I$5:$I$300,Закрытые!$E$5:$E$300,$B143,Закрытые!$B$5:$B$300,"T-*")=0,"",SUMIFS(Торговля!$I$5:$I$300,Торговля!$E$5:$E$300,$B143)+SUMIFS(Закрытые!$I$5:$I$300,Закрытые!$E$5:$E$300,$B143,Закрытые!$B$5:$B$300,"T-*"))</f>
        <v/>
      </c>
      <c r="G143" s="177" t="str">
        <f>IF(F143="","",(SUMPRODUCT((Торговля!$E$5:$E$300=$B143)*Торговля!$I$5:$I$300*Торговля!$J$5:$J$300)+SUMPRODUCT((Закрытые!$E$5:$E$300=$B143)*(LEFT(Закрытые!$B$5:$B$300,2)="T-")*Закрытые!$I$5:$I$300*Закрытые!$J$5:$J$300))/F143)</f>
        <v/>
      </c>
      <c r="H143" s="241" t="str">
        <f>IF(F143="","",SUMIFS(Торговля!$K$5:$K$300,Торговля!$E$5:$E$300,$B143)+SUMIFS(Закрытые!$K$5:$K$300,Закрытые!$E$5:$E$300,$B143,Закрытые!$B$5:$B$300,"T-*"))</f>
        <v/>
      </c>
      <c r="I143" s="240" t="str">
        <f>IF($B143="","",IF(COUNTIFS(Торговля!$E$5:$E$300,$B143)+COUNTIFS(Закрытые!$E$5:$E$300,$B143,Закрытые!$B$5:$B$300,"T-*")=0,"",ROUND(SUMIFS(Торговля!$L$5:$L$300,Торговля!$E$5:$E$300,$B143)+SUMIFS(Закрытые!$L$5:$L$300,Закрытые!$E$5:$E$300,$B143,Закрытые!$B$5:$B$300,"T-*"),8)))</f>
        <v/>
      </c>
      <c r="J143" s="241" t="str">
        <f>IF($B143="","",IF(COUNTIFS(Торговля!$E$5:$E$300,$B143)+COUNTIFS(Закрытые!$E$5:$E$300,$B143,Закрытые!$B$5:$B$300,"T-*")=0,"",ROUND(SUMIFS(Торговля!$M$5:$M$300,Торговля!$E$5:$E$300,$B143)+SUMIFS(Закрытые!$M$5:$M$300,Закрытые!$E$5:$E$300,$B143,Закрытые!$B$5:$B$300,"T-*"),8)))</f>
        <v/>
      </c>
      <c r="K143" s="240" t="str">
        <f>IF(MIN(N(C143),N(F143))&lt;=0,"",ROUND(MIN(N(C143),N(F143))*(N(G143)-N(D143)),8))</f>
        <v/>
      </c>
      <c r="L143" s="177" t="str">
        <f>IF(MIN(N(C143),N(F143))&lt;=0,"",IF(N(D143)=0,"",ROUND((N(G143)/N(D143)-1)*100,2)))</f>
        <v/>
      </c>
      <c r="M143" s="177" t="str">
        <f>IF(OR(ROUND(N(C143)-N(F143),8)=0,1-N(Ввод!$J$19)/100&lt;=0),"",IF(N(C143)&gt;N(F143),(N(E143)-N(H143))/((N(C143)-N(F143))*(1-N(Ввод!$J$19)/100)),(N(H143)-N(E143))/((N(F143)-N(C143))*(1+N(Ввод!$J$19)/100))))</f>
        <v/>
      </c>
    </row>
    <row r="144" ht="22" customHeight="1">
      <c r="B144" s="245" t="n"/>
      <c r="C144" s="246" t="str">
        <f>IF(SUMIFS(Торговля!$F$5:$F$300,Торговля!$E$5:$E$300,$B144)+SUMIFS(Закрытые!$F$5:$F$300,Закрытые!$E$5:$E$300,$B144,Закрытые!$B$5:$B$300,"T-*")=0,"",SUMIFS(Торговля!$F$5:$F$300,Торговля!$E$5:$E$300,$B144)+SUMIFS(Закрытые!$F$5:$F$300,Закрытые!$E$5:$E$300,$B144,Закрытые!$B$5:$B$300,"T-*"))</f>
        <v/>
      </c>
      <c r="D144" s="183" t="str">
        <f>IF(C144="","",(SUMPRODUCT((Торговля!$E$5:$E$300=$B144)*Торговля!$F$5:$F$300*Торговля!$G$5:$G$300)+SUMPRODUCT((Закрытые!$E$5:$E$300=$B144)*(LEFT(Закрытые!$B$5:$B$300,2)="T-")*Закрытые!$F$5:$F$300*Закрытые!$G$5:$G$300))/C144)</f>
        <v/>
      </c>
      <c r="E144" s="247" t="str">
        <f>IF(C144="","",SUMIFS(Торговля!$H$5:$H$300,Торговля!$E$5:$E$300,$B144)+SUMIFS(Закрытые!$H$5:$H$300,Закрытые!$E$5:$E$300,$B144,Закрытые!$B$5:$B$300,"T-*"))</f>
        <v/>
      </c>
      <c r="F144" s="246" t="str">
        <f>IF(SUMIFS(Торговля!$I$5:$I$300,Торговля!$E$5:$E$300,$B144)+SUMIFS(Закрытые!$I$5:$I$300,Закрытые!$E$5:$E$300,$B144,Закрытые!$B$5:$B$300,"T-*")=0,"",SUMIFS(Торговля!$I$5:$I$300,Торговля!$E$5:$E$300,$B144)+SUMIFS(Закрытые!$I$5:$I$300,Закрытые!$E$5:$E$300,$B144,Закрытые!$B$5:$B$300,"T-*"))</f>
        <v/>
      </c>
      <c r="G144" s="183" t="str">
        <f>IF(F144="","",(SUMPRODUCT((Торговля!$E$5:$E$300=$B144)*Торговля!$I$5:$I$300*Торговля!$J$5:$J$300)+SUMPRODUCT((Закрытые!$E$5:$E$300=$B144)*(LEFT(Закрытые!$B$5:$B$300,2)="T-")*Закрытые!$I$5:$I$300*Закрытые!$J$5:$J$300))/F144)</f>
        <v/>
      </c>
      <c r="H144" s="247" t="str">
        <f>IF(F144="","",SUMIFS(Торговля!$K$5:$K$300,Торговля!$E$5:$E$300,$B144)+SUMIFS(Закрытые!$K$5:$K$300,Закрытые!$E$5:$E$300,$B144,Закрытые!$B$5:$B$300,"T-*"))</f>
        <v/>
      </c>
      <c r="I144" s="246" t="str">
        <f>IF($B144="","",IF(COUNTIFS(Торговля!$E$5:$E$300,$B144)+COUNTIFS(Закрытые!$E$5:$E$300,$B144,Закрытые!$B$5:$B$300,"T-*")=0,"",ROUND(SUMIFS(Торговля!$L$5:$L$300,Торговля!$E$5:$E$300,$B144)+SUMIFS(Закрытые!$L$5:$L$300,Закрытые!$E$5:$E$300,$B144,Закрытые!$B$5:$B$300,"T-*"),8)))</f>
        <v/>
      </c>
      <c r="J144" s="247" t="str">
        <f>IF($B144="","",IF(COUNTIFS(Торговля!$E$5:$E$300,$B144)+COUNTIFS(Закрытые!$E$5:$E$300,$B144,Закрытые!$B$5:$B$300,"T-*")=0,"",ROUND(SUMIFS(Торговля!$M$5:$M$300,Торговля!$E$5:$E$300,$B144)+SUMIFS(Закрытые!$M$5:$M$300,Закрытые!$E$5:$E$300,$B144,Закрытые!$B$5:$B$300,"T-*"),8)))</f>
        <v/>
      </c>
      <c r="K144" s="246" t="str">
        <f>IF(MIN(N(C144),N(F144))&lt;=0,"",ROUND(MIN(N(C144),N(F144))*(N(G144)-N(D144)),8))</f>
        <v/>
      </c>
      <c r="L144" s="183" t="str">
        <f>IF(MIN(N(C144),N(F144))&lt;=0,"",IF(N(D144)=0,"",ROUND((N(G144)/N(D144)-1)*100,2)))</f>
        <v/>
      </c>
      <c r="M144" s="183" t="str">
        <f>IF(OR(ROUND(N(C144)-N(F144),8)=0,1-N(Ввод!$J$19)/100&lt;=0),"",IF(N(C144)&gt;N(F144),(N(E144)-N(H144))/((N(C144)-N(F144))*(1-N(Ввод!$J$19)/100)),(N(H144)-N(E144))/((N(F144)-N(C144))*(1+N(Ввод!$J$19)/100))))</f>
        <v/>
      </c>
    </row>
    <row r="145" ht="22" customHeight="1">
      <c r="B145" s="239" t="n"/>
      <c r="C145" s="240" t="str">
        <f>IF(SUMIFS(Торговля!$F$5:$F$300,Торговля!$E$5:$E$300,$B145)+SUMIFS(Закрытые!$F$5:$F$300,Закрытые!$E$5:$E$300,$B145,Закрытые!$B$5:$B$300,"T-*")=0,"",SUMIFS(Торговля!$F$5:$F$300,Торговля!$E$5:$E$300,$B145)+SUMIFS(Закрытые!$F$5:$F$300,Закрытые!$E$5:$E$300,$B145,Закрытые!$B$5:$B$300,"T-*"))</f>
        <v/>
      </c>
      <c r="D145" s="177" t="str">
        <f>IF(C145="","",(SUMPRODUCT((Торговля!$E$5:$E$300=$B145)*Торговля!$F$5:$F$300*Торговля!$G$5:$G$300)+SUMPRODUCT((Закрытые!$E$5:$E$300=$B145)*(LEFT(Закрытые!$B$5:$B$300,2)="T-")*Закрытые!$F$5:$F$300*Закрытые!$G$5:$G$300))/C145)</f>
        <v/>
      </c>
      <c r="E145" s="241" t="str">
        <f>IF(C145="","",SUMIFS(Торговля!$H$5:$H$300,Торговля!$E$5:$E$300,$B145)+SUMIFS(Закрытые!$H$5:$H$300,Закрытые!$E$5:$E$300,$B145,Закрытые!$B$5:$B$300,"T-*"))</f>
        <v/>
      </c>
      <c r="F145" s="240" t="str">
        <f>IF(SUMIFS(Торговля!$I$5:$I$300,Торговля!$E$5:$E$300,$B145)+SUMIFS(Закрытые!$I$5:$I$300,Закрытые!$E$5:$E$300,$B145,Закрытые!$B$5:$B$300,"T-*")=0,"",SUMIFS(Торговля!$I$5:$I$300,Торговля!$E$5:$E$300,$B145)+SUMIFS(Закрытые!$I$5:$I$300,Закрытые!$E$5:$E$300,$B145,Закрытые!$B$5:$B$300,"T-*"))</f>
        <v/>
      </c>
      <c r="G145" s="177" t="str">
        <f>IF(F145="","",(SUMPRODUCT((Торговля!$E$5:$E$300=$B145)*Торговля!$I$5:$I$300*Торговля!$J$5:$J$300)+SUMPRODUCT((Закрытые!$E$5:$E$300=$B145)*(LEFT(Закрытые!$B$5:$B$300,2)="T-")*Закрытые!$I$5:$I$300*Закрытые!$J$5:$J$300))/F145)</f>
        <v/>
      </c>
      <c r="H145" s="241" t="str">
        <f>IF(F145="","",SUMIFS(Торговля!$K$5:$K$300,Торговля!$E$5:$E$300,$B145)+SUMIFS(Закрытые!$K$5:$K$300,Закрытые!$E$5:$E$300,$B145,Закрытые!$B$5:$B$300,"T-*"))</f>
        <v/>
      </c>
      <c r="I145" s="240" t="str">
        <f>IF($B145="","",IF(COUNTIFS(Торговля!$E$5:$E$300,$B145)+COUNTIFS(Закрытые!$E$5:$E$300,$B145,Закрытые!$B$5:$B$300,"T-*")=0,"",ROUND(SUMIFS(Торговля!$L$5:$L$300,Торговля!$E$5:$E$300,$B145)+SUMIFS(Закрытые!$L$5:$L$300,Закрытые!$E$5:$E$300,$B145,Закрытые!$B$5:$B$300,"T-*"),8)))</f>
        <v/>
      </c>
      <c r="J145" s="241" t="str">
        <f>IF($B145="","",IF(COUNTIFS(Торговля!$E$5:$E$300,$B145)+COUNTIFS(Закрытые!$E$5:$E$300,$B145,Закрытые!$B$5:$B$300,"T-*")=0,"",ROUND(SUMIFS(Торговля!$M$5:$M$300,Торговля!$E$5:$E$300,$B145)+SUMIFS(Закрытые!$M$5:$M$300,Закрытые!$E$5:$E$300,$B145,Закрытые!$B$5:$B$300,"T-*"),8)))</f>
        <v/>
      </c>
      <c r="K145" s="240" t="str">
        <f>IF(MIN(N(C145),N(F145))&lt;=0,"",ROUND(MIN(N(C145),N(F145))*(N(G145)-N(D145)),8))</f>
        <v/>
      </c>
      <c r="L145" s="177" t="str">
        <f>IF(MIN(N(C145),N(F145))&lt;=0,"",IF(N(D145)=0,"",ROUND((N(G145)/N(D145)-1)*100,2)))</f>
        <v/>
      </c>
      <c r="M145" s="177" t="str">
        <f>IF(OR(ROUND(N(C145)-N(F145),8)=0,1-N(Ввод!$J$19)/100&lt;=0),"",IF(N(C145)&gt;N(F145),(N(E145)-N(H145))/((N(C145)-N(F145))*(1-N(Ввод!$J$19)/100)),(N(H145)-N(E145))/((N(F145)-N(C145))*(1+N(Ввод!$J$19)/100))))</f>
        <v/>
      </c>
    </row>
    <row r="146" ht="22" customHeight="1">
      <c r="B146" s="245" t="n"/>
      <c r="C146" s="246" t="str">
        <f>IF(SUMIFS(Торговля!$F$5:$F$300,Торговля!$E$5:$E$300,$B146)+SUMIFS(Закрытые!$F$5:$F$300,Закрытые!$E$5:$E$300,$B146,Закрытые!$B$5:$B$300,"T-*")=0,"",SUMIFS(Торговля!$F$5:$F$300,Торговля!$E$5:$E$300,$B146)+SUMIFS(Закрытые!$F$5:$F$300,Закрытые!$E$5:$E$300,$B146,Закрытые!$B$5:$B$300,"T-*"))</f>
        <v/>
      </c>
      <c r="D146" s="183" t="str">
        <f>IF(C146="","",(SUMPRODUCT((Торговля!$E$5:$E$300=$B146)*Торговля!$F$5:$F$300*Торговля!$G$5:$G$300)+SUMPRODUCT((Закрытые!$E$5:$E$300=$B146)*(LEFT(Закрытые!$B$5:$B$300,2)="T-")*Закрытые!$F$5:$F$300*Закрытые!$G$5:$G$300))/C146)</f>
        <v/>
      </c>
      <c r="E146" s="247" t="str">
        <f>IF(C146="","",SUMIFS(Торговля!$H$5:$H$300,Торговля!$E$5:$E$300,$B146)+SUMIFS(Закрытые!$H$5:$H$300,Закрытые!$E$5:$E$300,$B146,Закрытые!$B$5:$B$300,"T-*"))</f>
        <v/>
      </c>
      <c r="F146" s="246" t="str">
        <f>IF(SUMIFS(Торговля!$I$5:$I$300,Торговля!$E$5:$E$300,$B146)+SUMIFS(Закрытые!$I$5:$I$300,Закрытые!$E$5:$E$300,$B146,Закрытые!$B$5:$B$300,"T-*")=0,"",SUMIFS(Торговля!$I$5:$I$300,Торговля!$E$5:$E$300,$B146)+SUMIFS(Закрытые!$I$5:$I$300,Закрытые!$E$5:$E$300,$B146,Закрытые!$B$5:$B$300,"T-*"))</f>
        <v/>
      </c>
      <c r="G146" s="183" t="str">
        <f>IF(F146="","",(SUMPRODUCT((Торговля!$E$5:$E$300=$B146)*Торговля!$I$5:$I$300*Торговля!$J$5:$J$300)+SUMPRODUCT((Закрытые!$E$5:$E$300=$B146)*(LEFT(Закрытые!$B$5:$B$300,2)="T-")*Закрытые!$I$5:$I$300*Закрытые!$J$5:$J$300))/F146)</f>
        <v/>
      </c>
      <c r="H146" s="247" t="str">
        <f>IF(F146="","",SUMIFS(Торговля!$K$5:$K$300,Торговля!$E$5:$E$300,$B146)+SUMIFS(Закрытые!$K$5:$K$300,Закрытые!$E$5:$E$300,$B146,Закрытые!$B$5:$B$300,"T-*"))</f>
        <v/>
      </c>
      <c r="I146" s="246" t="str">
        <f>IF($B146="","",IF(COUNTIFS(Торговля!$E$5:$E$300,$B146)+COUNTIFS(Закрытые!$E$5:$E$300,$B146,Закрытые!$B$5:$B$300,"T-*")=0,"",ROUND(SUMIFS(Торговля!$L$5:$L$300,Торговля!$E$5:$E$300,$B146)+SUMIFS(Закрытые!$L$5:$L$300,Закрытые!$E$5:$E$300,$B146,Закрытые!$B$5:$B$300,"T-*"),8)))</f>
        <v/>
      </c>
      <c r="J146" s="247" t="str">
        <f>IF($B146="","",IF(COUNTIFS(Торговля!$E$5:$E$300,$B146)+COUNTIFS(Закрытые!$E$5:$E$300,$B146,Закрытые!$B$5:$B$300,"T-*")=0,"",ROUND(SUMIFS(Торговля!$M$5:$M$300,Торговля!$E$5:$E$300,$B146)+SUMIFS(Закрытые!$M$5:$M$300,Закрытые!$E$5:$E$300,$B146,Закрытые!$B$5:$B$300,"T-*"),8)))</f>
        <v/>
      </c>
      <c r="K146" s="246" t="str">
        <f>IF(MIN(N(C146),N(F146))&lt;=0,"",ROUND(MIN(N(C146),N(F146))*(N(G146)-N(D146)),8))</f>
        <v/>
      </c>
      <c r="L146" s="183" t="str">
        <f>IF(MIN(N(C146),N(F146))&lt;=0,"",IF(N(D146)=0,"",ROUND((N(G146)/N(D146)-1)*100,2)))</f>
        <v/>
      </c>
      <c r="M146" s="183" t="str">
        <f>IF(OR(ROUND(N(C146)-N(F146),8)=0,1-N(Ввод!$J$19)/100&lt;=0),"",IF(N(C146)&gt;N(F146),(N(E146)-N(H146))/((N(C146)-N(F146))*(1-N(Ввод!$J$19)/100)),(N(H146)-N(E146))/((N(F146)-N(C146))*(1+N(Ввод!$J$19)/100))))</f>
        <v/>
      </c>
    </row>
    <row r="147" ht="22" customHeight="1">
      <c r="B147" s="239" t="n"/>
      <c r="C147" s="240" t="str">
        <f>IF(SUMIFS(Торговля!$F$5:$F$300,Торговля!$E$5:$E$300,$B147)+SUMIFS(Закрытые!$F$5:$F$300,Закрытые!$E$5:$E$300,$B147,Закрытые!$B$5:$B$300,"T-*")=0,"",SUMIFS(Торговля!$F$5:$F$300,Торговля!$E$5:$E$300,$B147)+SUMIFS(Закрытые!$F$5:$F$300,Закрытые!$E$5:$E$300,$B147,Закрытые!$B$5:$B$300,"T-*"))</f>
        <v/>
      </c>
      <c r="D147" s="177" t="str">
        <f>IF(C147="","",(SUMPRODUCT((Торговля!$E$5:$E$300=$B147)*Торговля!$F$5:$F$300*Торговля!$G$5:$G$300)+SUMPRODUCT((Закрытые!$E$5:$E$300=$B147)*(LEFT(Закрытые!$B$5:$B$300,2)="T-")*Закрытые!$F$5:$F$300*Закрытые!$G$5:$G$300))/C147)</f>
        <v/>
      </c>
      <c r="E147" s="241" t="str">
        <f>IF(C147="","",SUMIFS(Торговля!$H$5:$H$300,Торговля!$E$5:$E$300,$B147)+SUMIFS(Закрытые!$H$5:$H$300,Закрытые!$E$5:$E$300,$B147,Закрытые!$B$5:$B$300,"T-*"))</f>
        <v/>
      </c>
      <c r="F147" s="240" t="str">
        <f>IF(SUMIFS(Торговля!$I$5:$I$300,Торговля!$E$5:$E$300,$B147)+SUMIFS(Закрытые!$I$5:$I$300,Закрытые!$E$5:$E$300,$B147,Закрытые!$B$5:$B$300,"T-*")=0,"",SUMIFS(Торговля!$I$5:$I$300,Торговля!$E$5:$E$300,$B147)+SUMIFS(Закрытые!$I$5:$I$300,Закрытые!$E$5:$E$300,$B147,Закрытые!$B$5:$B$300,"T-*"))</f>
        <v/>
      </c>
      <c r="G147" s="177" t="str">
        <f>IF(F147="","",(SUMPRODUCT((Торговля!$E$5:$E$300=$B147)*Торговля!$I$5:$I$300*Торговля!$J$5:$J$300)+SUMPRODUCT((Закрытые!$E$5:$E$300=$B147)*(LEFT(Закрытые!$B$5:$B$300,2)="T-")*Закрытые!$I$5:$I$300*Закрытые!$J$5:$J$300))/F147)</f>
        <v/>
      </c>
      <c r="H147" s="241" t="str">
        <f>IF(F147="","",SUMIFS(Торговля!$K$5:$K$300,Торговля!$E$5:$E$300,$B147)+SUMIFS(Закрытые!$K$5:$K$300,Закрытые!$E$5:$E$300,$B147,Закрытые!$B$5:$B$300,"T-*"))</f>
        <v/>
      </c>
      <c r="I147" s="240" t="str">
        <f>IF($B147="","",IF(COUNTIFS(Торговля!$E$5:$E$300,$B147)+COUNTIFS(Закрытые!$E$5:$E$300,$B147,Закрытые!$B$5:$B$300,"T-*")=0,"",ROUND(SUMIFS(Торговля!$L$5:$L$300,Торговля!$E$5:$E$300,$B147)+SUMIFS(Закрытые!$L$5:$L$300,Закрытые!$E$5:$E$300,$B147,Закрытые!$B$5:$B$300,"T-*"),8)))</f>
        <v/>
      </c>
      <c r="J147" s="241" t="str">
        <f>IF($B147="","",IF(COUNTIFS(Торговля!$E$5:$E$300,$B147)+COUNTIFS(Закрытые!$E$5:$E$300,$B147,Закрытые!$B$5:$B$300,"T-*")=0,"",ROUND(SUMIFS(Торговля!$M$5:$M$300,Торговля!$E$5:$E$300,$B147)+SUMIFS(Закрытые!$M$5:$M$300,Закрытые!$E$5:$E$300,$B147,Закрытые!$B$5:$B$300,"T-*"),8)))</f>
        <v/>
      </c>
      <c r="K147" s="240" t="str">
        <f>IF(MIN(N(C147),N(F147))&lt;=0,"",ROUND(MIN(N(C147),N(F147))*(N(G147)-N(D147)),8))</f>
        <v/>
      </c>
      <c r="L147" s="177" t="str">
        <f>IF(MIN(N(C147),N(F147))&lt;=0,"",IF(N(D147)=0,"",ROUND((N(G147)/N(D147)-1)*100,2)))</f>
        <v/>
      </c>
      <c r="M147" s="177" t="str">
        <f>IF(OR(ROUND(N(C147)-N(F147),8)=0,1-N(Ввод!$J$19)/100&lt;=0),"",IF(N(C147)&gt;N(F147),(N(E147)-N(H147))/((N(C147)-N(F147))*(1-N(Ввод!$J$19)/100)),(N(H147)-N(E147))/((N(F147)-N(C147))*(1+N(Ввод!$J$19)/100))))</f>
        <v/>
      </c>
    </row>
    <row r="148" ht="22" customHeight="1">
      <c r="B148" s="245" t="n"/>
      <c r="C148" s="246" t="str">
        <f>IF(SUMIFS(Торговля!$F$5:$F$300,Торговля!$E$5:$E$300,$B148)+SUMIFS(Закрытые!$F$5:$F$300,Закрытые!$E$5:$E$300,$B148,Закрытые!$B$5:$B$300,"T-*")=0,"",SUMIFS(Торговля!$F$5:$F$300,Торговля!$E$5:$E$300,$B148)+SUMIFS(Закрытые!$F$5:$F$300,Закрытые!$E$5:$E$300,$B148,Закрытые!$B$5:$B$300,"T-*"))</f>
        <v/>
      </c>
      <c r="D148" s="183" t="str">
        <f>IF(C148="","",(SUMPRODUCT((Торговля!$E$5:$E$300=$B148)*Торговля!$F$5:$F$300*Торговля!$G$5:$G$300)+SUMPRODUCT((Закрытые!$E$5:$E$300=$B148)*(LEFT(Закрытые!$B$5:$B$300,2)="T-")*Закрытые!$F$5:$F$300*Закрытые!$G$5:$G$300))/C148)</f>
        <v/>
      </c>
      <c r="E148" s="247" t="str">
        <f>IF(C148="","",SUMIFS(Торговля!$H$5:$H$300,Торговля!$E$5:$E$300,$B148)+SUMIFS(Закрытые!$H$5:$H$300,Закрытые!$E$5:$E$300,$B148,Закрытые!$B$5:$B$300,"T-*"))</f>
        <v/>
      </c>
      <c r="F148" s="246" t="str">
        <f>IF(SUMIFS(Торговля!$I$5:$I$300,Торговля!$E$5:$E$300,$B148)+SUMIFS(Закрытые!$I$5:$I$300,Закрытые!$E$5:$E$300,$B148,Закрытые!$B$5:$B$300,"T-*")=0,"",SUMIFS(Торговля!$I$5:$I$300,Торговля!$E$5:$E$300,$B148)+SUMIFS(Закрытые!$I$5:$I$300,Закрытые!$E$5:$E$300,$B148,Закрытые!$B$5:$B$300,"T-*"))</f>
        <v/>
      </c>
      <c r="G148" s="183" t="str">
        <f>IF(F148="","",(SUMPRODUCT((Торговля!$E$5:$E$300=$B148)*Торговля!$I$5:$I$300*Торговля!$J$5:$J$300)+SUMPRODUCT((Закрытые!$E$5:$E$300=$B148)*(LEFT(Закрытые!$B$5:$B$300,2)="T-")*Закрытые!$I$5:$I$300*Закрытые!$J$5:$J$300))/F148)</f>
        <v/>
      </c>
      <c r="H148" s="247" t="str">
        <f>IF(F148="","",SUMIFS(Торговля!$K$5:$K$300,Торговля!$E$5:$E$300,$B148)+SUMIFS(Закрытые!$K$5:$K$300,Закрытые!$E$5:$E$300,$B148,Закрытые!$B$5:$B$300,"T-*"))</f>
        <v/>
      </c>
      <c r="I148" s="246" t="str">
        <f>IF($B148="","",IF(COUNTIFS(Торговля!$E$5:$E$300,$B148)+COUNTIFS(Закрытые!$E$5:$E$300,$B148,Закрытые!$B$5:$B$300,"T-*")=0,"",ROUND(SUMIFS(Торговля!$L$5:$L$300,Торговля!$E$5:$E$300,$B148)+SUMIFS(Закрытые!$L$5:$L$300,Закрытые!$E$5:$E$300,$B148,Закрытые!$B$5:$B$300,"T-*"),8)))</f>
        <v/>
      </c>
      <c r="J148" s="247" t="str">
        <f>IF($B148="","",IF(COUNTIFS(Торговля!$E$5:$E$300,$B148)+COUNTIFS(Закрытые!$E$5:$E$300,$B148,Закрытые!$B$5:$B$300,"T-*")=0,"",ROUND(SUMIFS(Торговля!$M$5:$M$300,Торговля!$E$5:$E$300,$B148)+SUMIFS(Закрытые!$M$5:$M$300,Закрытые!$E$5:$E$300,$B148,Закрытые!$B$5:$B$300,"T-*"),8)))</f>
        <v/>
      </c>
      <c r="K148" s="246" t="str">
        <f>IF(MIN(N(C148),N(F148))&lt;=0,"",ROUND(MIN(N(C148),N(F148))*(N(G148)-N(D148)),8))</f>
        <v/>
      </c>
      <c r="L148" s="183" t="str">
        <f>IF(MIN(N(C148),N(F148))&lt;=0,"",IF(N(D148)=0,"",ROUND((N(G148)/N(D148)-1)*100,2)))</f>
        <v/>
      </c>
      <c r="M148" s="183" t="str">
        <f>IF(OR(ROUND(N(C148)-N(F148),8)=0,1-N(Ввод!$J$19)/100&lt;=0),"",IF(N(C148)&gt;N(F148),(N(E148)-N(H148))/((N(C148)-N(F148))*(1-N(Ввод!$J$19)/100)),(N(H148)-N(E148))/((N(F148)-N(C148))*(1+N(Ввод!$J$19)/100))))</f>
        <v/>
      </c>
    </row>
    <row r="149" ht="22" customHeight="1">
      <c r="B149" s="239" t="n"/>
      <c r="C149" s="240" t="str">
        <f>IF(SUMIFS(Торговля!$F$5:$F$300,Торговля!$E$5:$E$300,$B149)+SUMIFS(Закрытые!$F$5:$F$300,Закрытые!$E$5:$E$300,$B149,Закрытые!$B$5:$B$300,"T-*")=0,"",SUMIFS(Торговля!$F$5:$F$300,Торговля!$E$5:$E$300,$B149)+SUMIFS(Закрытые!$F$5:$F$300,Закрытые!$E$5:$E$300,$B149,Закрытые!$B$5:$B$300,"T-*"))</f>
        <v/>
      </c>
      <c r="D149" s="177" t="str">
        <f>IF(C149="","",(SUMPRODUCT((Торговля!$E$5:$E$300=$B149)*Торговля!$F$5:$F$300*Торговля!$G$5:$G$300)+SUMPRODUCT((Закрытые!$E$5:$E$300=$B149)*(LEFT(Закрытые!$B$5:$B$300,2)="T-")*Закрытые!$F$5:$F$300*Закрытые!$G$5:$G$300))/C149)</f>
        <v/>
      </c>
      <c r="E149" s="241" t="str">
        <f>IF(C149="","",SUMIFS(Торговля!$H$5:$H$300,Торговля!$E$5:$E$300,$B149)+SUMIFS(Закрытые!$H$5:$H$300,Закрытые!$E$5:$E$300,$B149,Закрытые!$B$5:$B$300,"T-*"))</f>
        <v/>
      </c>
      <c r="F149" s="240" t="str">
        <f>IF(SUMIFS(Торговля!$I$5:$I$300,Торговля!$E$5:$E$300,$B149)+SUMIFS(Закрытые!$I$5:$I$300,Закрытые!$E$5:$E$300,$B149,Закрытые!$B$5:$B$300,"T-*")=0,"",SUMIFS(Торговля!$I$5:$I$300,Торговля!$E$5:$E$300,$B149)+SUMIFS(Закрытые!$I$5:$I$300,Закрытые!$E$5:$E$300,$B149,Закрытые!$B$5:$B$300,"T-*"))</f>
        <v/>
      </c>
      <c r="G149" s="177" t="str">
        <f>IF(F149="","",(SUMPRODUCT((Торговля!$E$5:$E$300=$B149)*Торговля!$I$5:$I$300*Торговля!$J$5:$J$300)+SUMPRODUCT((Закрытые!$E$5:$E$300=$B149)*(LEFT(Закрытые!$B$5:$B$300,2)="T-")*Закрытые!$I$5:$I$300*Закрытые!$J$5:$J$300))/F149)</f>
        <v/>
      </c>
      <c r="H149" s="241" t="str">
        <f>IF(F149="","",SUMIFS(Торговля!$K$5:$K$300,Торговля!$E$5:$E$300,$B149)+SUMIFS(Закрытые!$K$5:$K$300,Закрытые!$E$5:$E$300,$B149,Закрытые!$B$5:$B$300,"T-*"))</f>
        <v/>
      </c>
      <c r="I149" s="240" t="str">
        <f>IF($B149="","",IF(COUNTIFS(Торговля!$E$5:$E$300,$B149)+COUNTIFS(Закрытые!$E$5:$E$300,$B149,Закрытые!$B$5:$B$300,"T-*")=0,"",ROUND(SUMIFS(Торговля!$L$5:$L$300,Торговля!$E$5:$E$300,$B149)+SUMIFS(Закрытые!$L$5:$L$300,Закрытые!$E$5:$E$300,$B149,Закрытые!$B$5:$B$300,"T-*"),8)))</f>
        <v/>
      </c>
      <c r="J149" s="241" t="str">
        <f>IF($B149="","",IF(COUNTIFS(Торговля!$E$5:$E$300,$B149)+COUNTIFS(Закрытые!$E$5:$E$300,$B149,Закрытые!$B$5:$B$300,"T-*")=0,"",ROUND(SUMIFS(Торговля!$M$5:$M$300,Торговля!$E$5:$E$300,$B149)+SUMIFS(Закрытые!$M$5:$M$300,Закрытые!$E$5:$E$300,$B149,Закрытые!$B$5:$B$300,"T-*"),8)))</f>
        <v/>
      </c>
      <c r="K149" s="240" t="str">
        <f>IF(MIN(N(C149),N(F149))&lt;=0,"",ROUND(MIN(N(C149),N(F149))*(N(G149)-N(D149)),8))</f>
        <v/>
      </c>
      <c r="L149" s="177" t="str">
        <f>IF(MIN(N(C149),N(F149))&lt;=0,"",IF(N(D149)=0,"",ROUND((N(G149)/N(D149)-1)*100,2)))</f>
        <v/>
      </c>
      <c r="M149" s="177" t="str">
        <f>IF(OR(ROUND(N(C149)-N(F149),8)=0,1-N(Ввод!$J$19)/100&lt;=0),"",IF(N(C149)&gt;N(F149),(N(E149)-N(H149))/((N(C149)-N(F149))*(1-N(Ввод!$J$19)/100)),(N(H149)-N(E149))/((N(F149)-N(C149))*(1+N(Ввод!$J$19)/100))))</f>
        <v/>
      </c>
    </row>
    <row r="150" ht="22" customHeight="1">
      <c r="B150" s="245" t="n"/>
      <c r="C150" s="246" t="str">
        <f>IF(SUMIFS(Торговля!$F$5:$F$300,Торговля!$E$5:$E$300,$B150)+SUMIFS(Закрытые!$F$5:$F$300,Закрытые!$E$5:$E$300,$B150,Закрытые!$B$5:$B$300,"T-*")=0,"",SUMIFS(Торговля!$F$5:$F$300,Торговля!$E$5:$E$300,$B150)+SUMIFS(Закрытые!$F$5:$F$300,Закрытые!$E$5:$E$300,$B150,Закрытые!$B$5:$B$300,"T-*"))</f>
        <v/>
      </c>
      <c r="D150" s="183" t="str">
        <f>IF(C150="","",(SUMPRODUCT((Торговля!$E$5:$E$300=$B150)*Торговля!$F$5:$F$300*Торговля!$G$5:$G$300)+SUMPRODUCT((Закрытые!$E$5:$E$300=$B150)*(LEFT(Закрытые!$B$5:$B$300,2)="T-")*Закрытые!$F$5:$F$300*Закрытые!$G$5:$G$300))/C150)</f>
        <v/>
      </c>
      <c r="E150" s="247" t="str">
        <f>IF(C150="","",SUMIFS(Торговля!$H$5:$H$300,Торговля!$E$5:$E$300,$B150)+SUMIFS(Закрытые!$H$5:$H$300,Закрытые!$E$5:$E$300,$B150,Закрытые!$B$5:$B$300,"T-*"))</f>
        <v/>
      </c>
      <c r="F150" s="246" t="str">
        <f>IF(SUMIFS(Торговля!$I$5:$I$300,Торговля!$E$5:$E$300,$B150)+SUMIFS(Закрытые!$I$5:$I$300,Закрытые!$E$5:$E$300,$B150,Закрытые!$B$5:$B$300,"T-*")=0,"",SUMIFS(Торговля!$I$5:$I$300,Торговля!$E$5:$E$300,$B150)+SUMIFS(Закрытые!$I$5:$I$300,Закрытые!$E$5:$E$300,$B150,Закрытые!$B$5:$B$300,"T-*"))</f>
        <v/>
      </c>
      <c r="G150" s="183" t="str">
        <f>IF(F150="","",(SUMPRODUCT((Торговля!$E$5:$E$300=$B150)*Торговля!$I$5:$I$300*Торговля!$J$5:$J$300)+SUMPRODUCT((Закрытые!$E$5:$E$300=$B150)*(LEFT(Закрытые!$B$5:$B$300,2)="T-")*Закрытые!$I$5:$I$300*Закрытые!$J$5:$J$300))/F150)</f>
        <v/>
      </c>
      <c r="H150" s="247" t="str">
        <f>IF(F150="","",SUMIFS(Торговля!$K$5:$K$300,Торговля!$E$5:$E$300,$B150)+SUMIFS(Закрытые!$K$5:$K$300,Закрытые!$E$5:$E$300,$B150,Закрытые!$B$5:$B$300,"T-*"))</f>
        <v/>
      </c>
      <c r="I150" s="246" t="str">
        <f>IF($B150="","",IF(COUNTIFS(Торговля!$E$5:$E$300,$B150)+COUNTIFS(Закрытые!$E$5:$E$300,$B150,Закрытые!$B$5:$B$300,"T-*")=0,"",ROUND(SUMIFS(Торговля!$L$5:$L$300,Торговля!$E$5:$E$300,$B150)+SUMIFS(Закрытые!$L$5:$L$300,Закрытые!$E$5:$E$300,$B150,Закрытые!$B$5:$B$300,"T-*"),8)))</f>
        <v/>
      </c>
      <c r="J150" s="247" t="str">
        <f>IF($B150="","",IF(COUNTIFS(Торговля!$E$5:$E$300,$B150)+COUNTIFS(Закрытые!$E$5:$E$300,$B150,Закрытые!$B$5:$B$300,"T-*")=0,"",ROUND(SUMIFS(Торговля!$M$5:$M$300,Торговля!$E$5:$E$300,$B150)+SUMIFS(Закрытые!$M$5:$M$300,Закрытые!$E$5:$E$300,$B150,Закрытые!$B$5:$B$300,"T-*"),8)))</f>
        <v/>
      </c>
      <c r="K150" s="246" t="str">
        <f>IF(MIN(N(C150),N(F150))&lt;=0,"",ROUND(MIN(N(C150),N(F150))*(N(G150)-N(D150)),8))</f>
        <v/>
      </c>
      <c r="L150" s="183" t="str">
        <f>IF(MIN(N(C150),N(F150))&lt;=0,"",IF(N(D150)=0,"",ROUND((N(G150)/N(D150)-1)*100,2)))</f>
        <v/>
      </c>
      <c r="M150" s="183" t="str">
        <f>IF(OR(ROUND(N(C150)-N(F150),8)=0,1-N(Ввод!$J$19)/100&lt;=0),"",IF(N(C150)&gt;N(F150),(N(E150)-N(H150))/((N(C150)-N(F150))*(1-N(Ввод!$J$19)/100)),(N(H150)-N(E150))/((N(F150)-N(C150))*(1+N(Ввод!$J$19)/100))))</f>
        <v/>
      </c>
    </row>
    <row r="151" ht="22" customHeight="1">
      <c r="B151" s="239" t="n"/>
      <c r="C151" s="240" t="str">
        <f>IF(SUMIFS(Торговля!$F$5:$F$300,Торговля!$E$5:$E$300,$B151)+SUMIFS(Закрытые!$F$5:$F$300,Закрытые!$E$5:$E$300,$B151,Закрытые!$B$5:$B$300,"T-*")=0,"",SUMIFS(Торговля!$F$5:$F$300,Торговля!$E$5:$E$300,$B151)+SUMIFS(Закрытые!$F$5:$F$300,Закрытые!$E$5:$E$300,$B151,Закрытые!$B$5:$B$300,"T-*"))</f>
        <v/>
      </c>
      <c r="D151" s="177" t="str">
        <f>IF(C151="","",(SUMPRODUCT((Торговля!$E$5:$E$300=$B151)*Торговля!$F$5:$F$300*Торговля!$G$5:$G$300)+SUMPRODUCT((Закрытые!$E$5:$E$300=$B151)*(LEFT(Закрытые!$B$5:$B$300,2)="T-")*Закрытые!$F$5:$F$300*Закрытые!$G$5:$G$300))/C151)</f>
        <v/>
      </c>
      <c r="E151" s="241" t="str">
        <f>IF(C151="","",SUMIFS(Торговля!$H$5:$H$300,Торговля!$E$5:$E$300,$B151)+SUMIFS(Закрытые!$H$5:$H$300,Закрытые!$E$5:$E$300,$B151,Закрытые!$B$5:$B$300,"T-*"))</f>
        <v/>
      </c>
      <c r="F151" s="240" t="str">
        <f>IF(SUMIFS(Торговля!$I$5:$I$300,Торговля!$E$5:$E$300,$B151)+SUMIFS(Закрытые!$I$5:$I$300,Закрытые!$E$5:$E$300,$B151,Закрытые!$B$5:$B$300,"T-*")=0,"",SUMIFS(Торговля!$I$5:$I$300,Торговля!$E$5:$E$300,$B151)+SUMIFS(Закрытые!$I$5:$I$300,Закрытые!$E$5:$E$300,$B151,Закрытые!$B$5:$B$300,"T-*"))</f>
        <v/>
      </c>
      <c r="G151" s="177" t="str">
        <f>IF(F151="","",(SUMPRODUCT((Торговля!$E$5:$E$300=$B151)*Торговля!$I$5:$I$300*Торговля!$J$5:$J$300)+SUMPRODUCT((Закрытые!$E$5:$E$300=$B151)*(LEFT(Закрытые!$B$5:$B$300,2)="T-")*Закрытые!$I$5:$I$300*Закрытые!$J$5:$J$300))/F151)</f>
        <v/>
      </c>
      <c r="H151" s="241" t="str">
        <f>IF(F151="","",SUMIFS(Торговля!$K$5:$K$300,Торговля!$E$5:$E$300,$B151)+SUMIFS(Закрытые!$K$5:$K$300,Закрытые!$E$5:$E$300,$B151,Закрытые!$B$5:$B$300,"T-*"))</f>
        <v/>
      </c>
      <c r="I151" s="240" t="str">
        <f>IF($B151="","",IF(COUNTIFS(Торговля!$E$5:$E$300,$B151)+COUNTIFS(Закрытые!$E$5:$E$300,$B151,Закрытые!$B$5:$B$300,"T-*")=0,"",ROUND(SUMIFS(Торговля!$L$5:$L$300,Торговля!$E$5:$E$300,$B151)+SUMIFS(Закрытые!$L$5:$L$300,Закрытые!$E$5:$E$300,$B151,Закрытые!$B$5:$B$300,"T-*"),8)))</f>
        <v/>
      </c>
      <c r="J151" s="241" t="str">
        <f>IF($B151="","",IF(COUNTIFS(Торговля!$E$5:$E$300,$B151)+COUNTIFS(Закрытые!$E$5:$E$300,$B151,Закрытые!$B$5:$B$300,"T-*")=0,"",ROUND(SUMIFS(Торговля!$M$5:$M$300,Торговля!$E$5:$E$300,$B151)+SUMIFS(Закрытые!$M$5:$M$300,Закрытые!$E$5:$E$300,$B151,Закрытые!$B$5:$B$300,"T-*"),8)))</f>
        <v/>
      </c>
      <c r="K151" s="240" t="str">
        <f>IF(MIN(N(C151),N(F151))&lt;=0,"",ROUND(MIN(N(C151),N(F151))*(N(G151)-N(D151)),8))</f>
        <v/>
      </c>
      <c r="L151" s="177" t="str">
        <f>IF(MIN(N(C151),N(F151))&lt;=0,"",IF(N(D151)=0,"",ROUND((N(G151)/N(D151)-1)*100,2)))</f>
        <v/>
      </c>
      <c r="M151" s="177" t="str">
        <f>IF(OR(ROUND(N(C151)-N(F151),8)=0,1-N(Ввод!$J$19)/100&lt;=0),"",IF(N(C151)&gt;N(F151),(N(E151)-N(H151))/((N(C151)-N(F151))*(1-N(Ввод!$J$19)/100)),(N(H151)-N(E151))/((N(F151)-N(C151))*(1+N(Ввод!$J$19)/100))))</f>
        <v/>
      </c>
    </row>
    <row r="152" ht="22" customHeight="1">
      <c r="B152" s="245" t="n"/>
      <c r="C152" s="246" t="str">
        <f>IF(SUMIFS(Торговля!$F$5:$F$300,Торговля!$E$5:$E$300,$B152)+SUMIFS(Закрытые!$F$5:$F$300,Закрытые!$E$5:$E$300,$B152,Закрытые!$B$5:$B$300,"T-*")=0,"",SUMIFS(Торговля!$F$5:$F$300,Торговля!$E$5:$E$300,$B152)+SUMIFS(Закрытые!$F$5:$F$300,Закрытые!$E$5:$E$300,$B152,Закрытые!$B$5:$B$300,"T-*"))</f>
        <v/>
      </c>
      <c r="D152" s="183" t="str">
        <f>IF(C152="","",(SUMPRODUCT((Торговля!$E$5:$E$300=$B152)*Торговля!$F$5:$F$300*Торговля!$G$5:$G$300)+SUMPRODUCT((Закрытые!$E$5:$E$300=$B152)*(LEFT(Закрытые!$B$5:$B$300,2)="T-")*Закрытые!$F$5:$F$300*Закрытые!$G$5:$G$300))/C152)</f>
        <v/>
      </c>
      <c r="E152" s="247" t="str">
        <f>IF(C152="","",SUMIFS(Торговля!$H$5:$H$300,Торговля!$E$5:$E$300,$B152)+SUMIFS(Закрытые!$H$5:$H$300,Закрытые!$E$5:$E$300,$B152,Закрытые!$B$5:$B$300,"T-*"))</f>
        <v/>
      </c>
      <c r="F152" s="246" t="str">
        <f>IF(SUMIFS(Торговля!$I$5:$I$300,Торговля!$E$5:$E$300,$B152)+SUMIFS(Закрытые!$I$5:$I$300,Закрытые!$E$5:$E$300,$B152,Закрытые!$B$5:$B$300,"T-*")=0,"",SUMIFS(Торговля!$I$5:$I$300,Торговля!$E$5:$E$300,$B152)+SUMIFS(Закрытые!$I$5:$I$300,Закрытые!$E$5:$E$300,$B152,Закрытые!$B$5:$B$300,"T-*"))</f>
        <v/>
      </c>
      <c r="G152" s="183" t="str">
        <f>IF(F152="","",(SUMPRODUCT((Торговля!$E$5:$E$300=$B152)*Торговля!$I$5:$I$300*Торговля!$J$5:$J$300)+SUMPRODUCT((Закрытые!$E$5:$E$300=$B152)*(LEFT(Закрытые!$B$5:$B$300,2)="T-")*Закрытые!$I$5:$I$300*Закрытые!$J$5:$J$300))/F152)</f>
        <v/>
      </c>
      <c r="H152" s="247" t="str">
        <f>IF(F152="","",SUMIFS(Торговля!$K$5:$K$300,Торговля!$E$5:$E$300,$B152)+SUMIFS(Закрытые!$K$5:$K$300,Закрытые!$E$5:$E$300,$B152,Закрытые!$B$5:$B$300,"T-*"))</f>
        <v/>
      </c>
      <c r="I152" s="246" t="str">
        <f>IF($B152="","",IF(COUNTIFS(Торговля!$E$5:$E$300,$B152)+COUNTIFS(Закрытые!$E$5:$E$300,$B152,Закрытые!$B$5:$B$300,"T-*")=0,"",ROUND(SUMIFS(Торговля!$L$5:$L$300,Торговля!$E$5:$E$300,$B152)+SUMIFS(Закрытые!$L$5:$L$300,Закрытые!$E$5:$E$300,$B152,Закрытые!$B$5:$B$300,"T-*"),8)))</f>
        <v/>
      </c>
      <c r="J152" s="247" t="str">
        <f>IF($B152="","",IF(COUNTIFS(Торговля!$E$5:$E$300,$B152)+COUNTIFS(Закрытые!$E$5:$E$300,$B152,Закрытые!$B$5:$B$300,"T-*")=0,"",ROUND(SUMIFS(Торговля!$M$5:$M$300,Торговля!$E$5:$E$300,$B152)+SUMIFS(Закрытые!$M$5:$M$300,Закрытые!$E$5:$E$300,$B152,Закрытые!$B$5:$B$300,"T-*"),8)))</f>
        <v/>
      </c>
      <c r="K152" s="246" t="str">
        <f>IF(MIN(N(C152),N(F152))&lt;=0,"",ROUND(MIN(N(C152),N(F152))*(N(G152)-N(D152)),8))</f>
        <v/>
      </c>
      <c r="L152" s="183" t="str">
        <f>IF(MIN(N(C152),N(F152))&lt;=0,"",IF(N(D152)=0,"",ROUND((N(G152)/N(D152)-1)*100,2)))</f>
        <v/>
      </c>
      <c r="M152" s="183" t="str">
        <f>IF(OR(ROUND(N(C152)-N(F152),8)=0,1-N(Ввод!$J$19)/100&lt;=0),"",IF(N(C152)&gt;N(F152),(N(E152)-N(H152))/((N(C152)-N(F152))*(1-N(Ввод!$J$19)/100)),(N(H152)-N(E152))/((N(F152)-N(C152))*(1+N(Ввод!$J$19)/100))))</f>
        <v/>
      </c>
    </row>
    <row r="153" ht="22" customHeight="1">
      <c r="B153" s="239" t="n"/>
      <c r="C153" s="240" t="str">
        <f>IF(SUMIFS(Торговля!$F$5:$F$300,Торговля!$E$5:$E$300,$B153)+SUMIFS(Закрытые!$F$5:$F$300,Закрытые!$E$5:$E$300,$B153,Закрытые!$B$5:$B$300,"T-*")=0,"",SUMIFS(Торговля!$F$5:$F$300,Торговля!$E$5:$E$300,$B153)+SUMIFS(Закрытые!$F$5:$F$300,Закрытые!$E$5:$E$300,$B153,Закрытые!$B$5:$B$300,"T-*"))</f>
        <v/>
      </c>
      <c r="D153" s="177" t="str">
        <f>IF(C153="","",(SUMPRODUCT((Торговля!$E$5:$E$300=$B153)*Торговля!$F$5:$F$300*Торговля!$G$5:$G$300)+SUMPRODUCT((Закрытые!$E$5:$E$300=$B153)*(LEFT(Закрытые!$B$5:$B$300,2)="T-")*Закрытые!$F$5:$F$300*Закрытые!$G$5:$G$300))/C153)</f>
        <v/>
      </c>
      <c r="E153" s="241" t="str">
        <f>IF(C153="","",SUMIFS(Торговля!$H$5:$H$300,Торговля!$E$5:$E$300,$B153)+SUMIFS(Закрытые!$H$5:$H$300,Закрытые!$E$5:$E$300,$B153,Закрытые!$B$5:$B$300,"T-*"))</f>
        <v/>
      </c>
      <c r="F153" s="240" t="str">
        <f>IF(SUMIFS(Торговля!$I$5:$I$300,Торговля!$E$5:$E$300,$B153)+SUMIFS(Закрытые!$I$5:$I$300,Закрытые!$E$5:$E$300,$B153,Закрытые!$B$5:$B$300,"T-*")=0,"",SUMIFS(Торговля!$I$5:$I$300,Торговля!$E$5:$E$300,$B153)+SUMIFS(Закрытые!$I$5:$I$300,Закрытые!$E$5:$E$300,$B153,Закрытые!$B$5:$B$300,"T-*"))</f>
        <v/>
      </c>
      <c r="G153" s="177" t="str">
        <f>IF(F153="","",(SUMPRODUCT((Торговля!$E$5:$E$300=$B153)*Торговля!$I$5:$I$300*Торговля!$J$5:$J$300)+SUMPRODUCT((Закрытые!$E$5:$E$300=$B153)*(LEFT(Закрытые!$B$5:$B$300,2)="T-")*Закрытые!$I$5:$I$300*Закрытые!$J$5:$J$300))/F153)</f>
        <v/>
      </c>
      <c r="H153" s="241" t="str">
        <f>IF(F153="","",SUMIFS(Торговля!$K$5:$K$300,Торговля!$E$5:$E$300,$B153)+SUMIFS(Закрытые!$K$5:$K$300,Закрытые!$E$5:$E$300,$B153,Закрытые!$B$5:$B$300,"T-*"))</f>
        <v/>
      </c>
      <c r="I153" s="240" t="str">
        <f>IF($B153="","",IF(COUNTIFS(Торговля!$E$5:$E$300,$B153)+COUNTIFS(Закрытые!$E$5:$E$300,$B153,Закрытые!$B$5:$B$300,"T-*")=0,"",ROUND(SUMIFS(Торговля!$L$5:$L$300,Торговля!$E$5:$E$300,$B153)+SUMIFS(Закрытые!$L$5:$L$300,Закрытые!$E$5:$E$300,$B153,Закрытые!$B$5:$B$300,"T-*"),8)))</f>
        <v/>
      </c>
      <c r="J153" s="241" t="str">
        <f>IF($B153="","",IF(COUNTIFS(Торговля!$E$5:$E$300,$B153)+COUNTIFS(Закрытые!$E$5:$E$300,$B153,Закрытые!$B$5:$B$300,"T-*")=0,"",ROUND(SUMIFS(Торговля!$M$5:$M$300,Торговля!$E$5:$E$300,$B153)+SUMIFS(Закрытые!$M$5:$M$300,Закрытые!$E$5:$E$300,$B153,Закрытые!$B$5:$B$300,"T-*"),8)))</f>
        <v/>
      </c>
      <c r="K153" s="240" t="str">
        <f>IF(MIN(N(C153),N(F153))&lt;=0,"",ROUND(MIN(N(C153),N(F153))*(N(G153)-N(D153)),8))</f>
        <v/>
      </c>
      <c r="L153" s="177" t="str">
        <f>IF(MIN(N(C153),N(F153))&lt;=0,"",IF(N(D153)=0,"",ROUND((N(G153)/N(D153)-1)*100,2)))</f>
        <v/>
      </c>
      <c r="M153" s="177" t="str">
        <f>IF(OR(ROUND(N(C153)-N(F153),8)=0,1-N(Ввод!$J$19)/100&lt;=0),"",IF(N(C153)&gt;N(F153),(N(E153)-N(H153))/((N(C153)-N(F153))*(1-N(Ввод!$J$19)/100)),(N(H153)-N(E153))/((N(F153)-N(C153))*(1+N(Ввод!$J$19)/100))))</f>
        <v/>
      </c>
    </row>
    <row r="154" ht="22" customHeight="1">
      <c r="B154" s="245" t="n"/>
      <c r="C154" s="246" t="str">
        <f>IF(SUMIFS(Торговля!$F$5:$F$300,Торговля!$E$5:$E$300,$B154)+SUMIFS(Закрытые!$F$5:$F$300,Закрытые!$E$5:$E$300,$B154,Закрытые!$B$5:$B$300,"T-*")=0,"",SUMIFS(Торговля!$F$5:$F$300,Торговля!$E$5:$E$300,$B154)+SUMIFS(Закрытые!$F$5:$F$300,Закрытые!$E$5:$E$300,$B154,Закрытые!$B$5:$B$300,"T-*"))</f>
        <v/>
      </c>
      <c r="D154" s="183" t="str">
        <f>IF(C154="","",(SUMPRODUCT((Торговля!$E$5:$E$300=$B154)*Торговля!$F$5:$F$300*Торговля!$G$5:$G$300)+SUMPRODUCT((Закрытые!$E$5:$E$300=$B154)*(LEFT(Закрытые!$B$5:$B$300,2)="T-")*Закрытые!$F$5:$F$300*Закрытые!$G$5:$G$300))/C154)</f>
        <v/>
      </c>
      <c r="E154" s="247" t="str">
        <f>IF(C154="","",SUMIFS(Торговля!$H$5:$H$300,Торговля!$E$5:$E$300,$B154)+SUMIFS(Закрытые!$H$5:$H$300,Закрытые!$E$5:$E$300,$B154,Закрытые!$B$5:$B$300,"T-*"))</f>
        <v/>
      </c>
      <c r="F154" s="246" t="str">
        <f>IF(SUMIFS(Торговля!$I$5:$I$300,Торговля!$E$5:$E$300,$B154)+SUMIFS(Закрытые!$I$5:$I$300,Закрытые!$E$5:$E$300,$B154,Закрытые!$B$5:$B$300,"T-*")=0,"",SUMIFS(Торговля!$I$5:$I$300,Торговля!$E$5:$E$300,$B154)+SUMIFS(Закрытые!$I$5:$I$300,Закрытые!$E$5:$E$300,$B154,Закрытые!$B$5:$B$300,"T-*"))</f>
        <v/>
      </c>
      <c r="G154" s="183" t="str">
        <f>IF(F154="","",(SUMPRODUCT((Торговля!$E$5:$E$300=$B154)*Торговля!$I$5:$I$300*Торговля!$J$5:$J$300)+SUMPRODUCT((Закрытые!$E$5:$E$300=$B154)*(LEFT(Закрытые!$B$5:$B$300,2)="T-")*Закрытые!$I$5:$I$300*Закрытые!$J$5:$J$300))/F154)</f>
        <v/>
      </c>
      <c r="H154" s="247" t="str">
        <f>IF(F154="","",SUMIFS(Торговля!$K$5:$K$300,Торговля!$E$5:$E$300,$B154)+SUMIFS(Закрытые!$K$5:$K$300,Закрытые!$E$5:$E$300,$B154,Закрытые!$B$5:$B$300,"T-*"))</f>
        <v/>
      </c>
      <c r="I154" s="246" t="str">
        <f>IF($B154="","",IF(COUNTIFS(Торговля!$E$5:$E$300,$B154)+COUNTIFS(Закрытые!$E$5:$E$300,$B154,Закрытые!$B$5:$B$300,"T-*")=0,"",ROUND(SUMIFS(Торговля!$L$5:$L$300,Торговля!$E$5:$E$300,$B154)+SUMIFS(Закрытые!$L$5:$L$300,Закрытые!$E$5:$E$300,$B154,Закрытые!$B$5:$B$300,"T-*"),8)))</f>
        <v/>
      </c>
      <c r="J154" s="247" t="str">
        <f>IF($B154="","",IF(COUNTIFS(Торговля!$E$5:$E$300,$B154)+COUNTIFS(Закрытые!$E$5:$E$300,$B154,Закрытые!$B$5:$B$300,"T-*")=0,"",ROUND(SUMIFS(Торговля!$M$5:$M$300,Торговля!$E$5:$E$300,$B154)+SUMIFS(Закрытые!$M$5:$M$300,Закрытые!$E$5:$E$300,$B154,Закрытые!$B$5:$B$300,"T-*"),8)))</f>
        <v/>
      </c>
      <c r="K154" s="246" t="str">
        <f>IF(MIN(N(C154),N(F154))&lt;=0,"",ROUND(MIN(N(C154),N(F154))*(N(G154)-N(D154)),8))</f>
        <v/>
      </c>
      <c r="L154" s="183" t="str">
        <f>IF(MIN(N(C154),N(F154))&lt;=0,"",IF(N(D154)=0,"",ROUND((N(G154)/N(D154)-1)*100,2)))</f>
        <v/>
      </c>
      <c r="M154" s="183" t="str">
        <f>IF(OR(ROUND(N(C154)-N(F154),8)=0,1-N(Ввод!$J$19)/100&lt;=0),"",IF(N(C154)&gt;N(F154),(N(E154)-N(H154))/((N(C154)-N(F154))*(1-N(Ввод!$J$19)/100)),(N(H154)-N(E154))/((N(F154)-N(C154))*(1+N(Ввод!$J$19)/100))))</f>
        <v/>
      </c>
    </row>
    <row r="155" ht="22" customHeight="1">
      <c r="B155" s="239" t="n"/>
      <c r="C155" s="240" t="str">
        <f>IF(SUMIFS(Торговля!$F$5:$F$300,Торговля!$E$5:$E$300,$B155)+SUMIFS(Закрытые!$F$5:$F$300,Закрытые!$E$5:$E$300,$B155,Закрытые!$B$5:$B$300,"T-*")=0,"",SUMIFS(Торговля!$F$5:$F$300,Торговля!$E$5:$E$300,$B155)+SUMIFS(Закрытые!$F$5:$F$300,Закрытые!$E$5:$E$300,$B155,Закрытые!$B$5:$B$300,"T-*"))</f>
        <v/>
      </c>
      <c r="D155" s="177" t="str">
        <f>IF(C155="","",(SUMPRODUCT((Торговля!$E$5:$E$300=$B155)*Торговля!$F$5:$F$300*Торговля!$G$5:$G$300)+SUMPRODUCT((Закрытые!$E$5:$E$300=$B155)*(LEFT(Закрытые!$B$5:$B$300,2)="T-")*Закрытые!$F$5:$F$300*Закрытые!$G$5:$G$300))/C155)</f>
        <v/>
      </c>
      <c r="E155" s="241" t="str">
        <f>IF(C155="","",SUMIFS(Торговля!$H$5:$H$300,Торговля!$E$5:$E$300,$B155)+SUMIFS(Закрытые!$H$5:$H$300,Закрытые!$E$5:$E$300,$B155,Закрытые!$B$5:$B$300,"T-*"))</f>
        <v/>
      </c>
      <c r="F155" s="240" t="str">
        <f>IF(SUMIFS(Торговля!$I$5:$I$300,Торговля!$E$5:$E$300,$B155)+SUMIFS(Закрытые!$I$5:$I$300,Закрытые!$E$5:$E$300,$B155,Закрытые!$B$5:$B$300,"T-*")=0,"",SUMIFS(Торговля!$I$5:$I$300,Торговля!$E$5:$E$300,$B155)+SUMIFS(Закрытые!$I$5:$I$300,Закрытые!$E$5:$E$300,$B155,Закрытые!$B$5:$B$300,"T-*"))</f>
        <v/>
      </c>
      <c r="G155" s="177" t="str">
        <f>IF(F155="","",(SUMPRODUCT((Торговля!$E$5:$E$300=$B155)*Торговля!$I$5:$I$300*Торговля!$J$5:$J$300)+SUMPRODUCT((Закрытые!$E$5:$E$300=$B155)*(LEFT(Закрытые!$B$5:$B$300,2)="T-")*Закрытые!$I$5:$I$300*Закрытые!$J$5:$J$300))/F155)</f>
        <v/>
      </c>
      <c r="H155" s="241" t="str">
        <f>IF(F155="","",SUMIFS(Торговля!$K$5:$K$300,Торговля!$E$5:$E$300,$B155)+SUMIFS(Закрытые!$K$5:$K$300,Закрытые!$E$5:$E$300,$B155,Закрытые!$B$5:$B$300,"T-*"))</f>
        <v/>
      </c>
      <c r="I155" s="240" t="str">
        <f>IF($B155="","",IF(COUNTIFS(Торговля!$E$5:$E$300,$B155)+COUNTIFS(Закрытые!$E$5:$E$300,$B155,Закрытые!$B$5:$B$300,"T-*")=0,"",ROUND(SUMIFS(Торговля!$L$5:$L$300,Торговля!$E$5:$E$300,$B155)+SUMIFS(Закрытые!$L$5:$L$300,Закрытые!$E$5:$E$300,$B155,Закрытые!$B$5:$B$300,"T-*"),8)))</f>
        <v/>
      </c>
      <c r="J155" s="241" t="str">
        <f>IF($B155="","",IF(COUNTIFS(Торговля!$E$5:$E$300,$B155)+COUNTIFS(Закрытые!$E$5:$E$300,$B155,Закрытые!$B$5:$B$300,"T-*")=0,"",ROUND(SUMIFS(Торговля!$M$5:$M$300,Торговля!$E$5:$E$300,$B155)+SUMIFS(Закрытые!$M$5:$M$300,Закрытые!$E$5:$E$300,$B155,Закрытые!$B$5:$B$300,"T-*"),8)))</f>
        <v/>
      </c>
      <c r="K155" s="240" t="str">
        <f>IF(MIN(N(C155),N(F155))&lt;=0,"",ROUND(MIN(N(C155),N(F155))*(N(G155)-N(D155)),8))</f>
        <v/>
      </c>
      <c r="L155" s="177" t="str">
        <f>IF(MIN(N(C155),N(F155))&lt;=0,"",IF(N(D155)=0,"",ROUND((N(G155)/N(D155)-1)*100,2)))</f>
        <v/>
      </c>
      <c r="M155" s="177" t="str">
        <f>IF(OR(ROUND(N(C155)-N(F155),8)=0,1-N(Ввод!$J$19)/100&lt;=0),"",IF(N(C155)&gt;N(F155),(N(E155)-N(H155))/((N(C155)-N(F155))*(1-N(Ввод!$J$19)/100)),(N(H155)-N(E155))/((N(F155)-N(C155))*(1+N(Ввод!$J$19)/100))))</f>
        <v/>
      </c>
    </row>
    <row r="156" ht="22" customHeight="1">
      <c r="B156" s="245" t="n"/>
      <c r="C156" s="246" t="str">
        <f>IF(SUMIFS(Торговля!$F$5:$F$300,Торговля!$E$5:$E$300,$B156)+SUMIFS(Закрытые!$F$5:$F$300,Закрытые!$E$5:$E$300,$B156,Закрытые!$B$5:$B$300,"T-*")=0,"",SUMIFS(Торговля!$F$5:$F$300,Торговля!$E$5:$E$300,$B156)+SUMIFS(Закрытые!$F$5:$F$300,Закрытые!$E$5:$E$300,$B156,Закрытые!$B$5:$B$300,"T-*"))</f>
        <v/>
      </c>
      <c r="D156" s="183" t="str">
        <f>IF(C156="","",(SUMPRODUCT((Торговля!$E$5:$E$300=$B156)*Торговля!$F$5:$F$300*Торговля!$G$5:$G$300)+SUMPRODUCT((Закрытые!$E$5:$E$300=$B156)*(LEFT(Закрытые!$B$5:$B$300,2)="T-")*Закрытые!$F$5:$F$300*Закрытые!$G$5:$G$300))/C156)</f>
        <v/>
      </c>
      <c r="E156" s="247" t="str">
        <f>IF(C156="","",SUMIFS(Торговля!$H$5:$H$300,Торговля!$E$5:$E$300,$B156)+SUMIFS(Закрытые!$H$5:$H$300,Закрытые!$E$5:$E$300,$B156,Закрытые!$B$5:$B$300,"T-*"))</f>
        <v/>
      </c>
      <c r="F156" s="246" t="str">
        <f>IF(SUMIFS(Торговля!$I$5:$I$300,Торговля!$E$5:$E$300,$B156)+SUMIFS(Закрытые!$I$5:$I$300,Закрытые!$E$5:$E$300,$B156,Закрытые!$B$5:$B$300,"T-*")=0,"",SUMIFS(Торговля!$I$5:$I$300,Торговля!$E$5:$E$300,$B156)+SUMIFS(Закрытые!$I$5:$I$300,Закрытые!$E$5:$E$300,$B156,Закрытые!$B$5:$B$300,"T-*"))</f>
        <v/>
      </c>
      <c r="G156" s="183" t="str">
        <f>IF(F156="","",(SUMPRODUCT((Торговля!$E$5:$E$300=$B156)*Торговля!$I$5:$I$300*Торговля!$J$5:$J$300)+SUMPRODUCT((Закрытые!$E$5:$E$300=$B156)*(LEFT(Закрытые!$B$5:$B$300,2)="T-")*Закрытые!$I$5:$I$300*Закрытые!$J$5:$J$300))/F156)</f>
        <v/>
      </c>
      <c r="H156" s="247" t="str">
        <f>IF(F156="","",SUMIFS(Торговля!$K$5:$K$300,Торговля!$E$5:$E$300,$B156)+SUMIFS(Закрытые!$K$5:$K$300,Закрытые!$E$5:$E$300,$B156,Закрытые!$B$5:$B$300,"T-*"))</f>
        <v/>
      </c>
      <c r="I156" s="246" t="str">
        <f>IF($B156="","",IF(COUNTIFS(Торговля!$E$5:$E$300,$B156)+COUNTIFS(Закрытые!$E$5:$E$300,$B156,Закрытые!$B$5:$B$300,"T-*")=0,"",ROUND(SUMIFS(Торговля!$L$5:$L$300,Торговля!$E$5:$E$300,$B156)+SUMIFS(Закрытые!$L$5:$L$300,Закрытые!$E$5:$E$300,$B156,Закрытые!$B$5:$B$300,"T-*"),8)))</f>
        <v/>
      </c>
      <c r="J156" s="247" t="str">
        <f>IF($B156="","",IF(COUNTIFS(Торговля!$E$5:$E$300,$B156)+COUNTIFS(Закрытые!$E$5:$E$300,$B156,Закрытые!$B$5:$B$300,"T-*")=0,"",ROUND(SUMIFS(Торговля!$M$5:$M$300,Торговля!$E$5:$E$300,$B156)+SUMIFS(Закрытые!$M$5:$M$300,Закрытые!$E$5:$E$300,$B156,Закрытые!$B$5:$B$300,"T-*"),8)))</f>
        <v/>
      </c>
      <c r="K156" s="246" t="str">
        <f>IF(MIN(N(C156),N(F156))&lt;=0,"",ROUND(MIN(N(C156),N(F156))*(N(G156)-N(D156)),8))</f>
        <v/>
      </c>
      <c r="L156" s="183" t="str">
        <f>IF(MIN(N(C156),N(F156))&lt;=0,"",IF(N(D156)=0,"",ROUND((N(G156)/N(D156)-1)*100,2)))</f>
        <v/>
      </c>
      <c r="M156" s="183" t="str">
        <f>IF(OR(ROUND(N(C156)-N(F156),8)=0,1-N(Ввод!$J$19)/100&lt;=0),"",IF(N(C156)&gt;N(F156),(N(E156)-N(H156))/((N(C156)-N(F156))*(1-N(Ввод!$J$19)/100)),(N(H156)-N(E156))/((N(F156)-N(C156))*(1+N(Ввод!$J$19)/100))))</f>
        <v/>
      </c>
    </row>
    <row r="157" ht="22" customHeight="1">
      <c r="B157" s="239" t="n"/>
      <c r="C157" s="240" t="str">
        <f>IF(SUMIFS(Торговля!$F$5:$F$300,Торговля!$E$5:$E$300,$B157)+SUMIFS(Закрытые!$F$5:$F$300,Закрытые!$E$5:$E$300,$B157,Закрытые!$B$5:$B$300,"T-*")=0,"",SUMIFS(Торговля!$F$5:$F$300,Торговля!$E$5:$E$300,$B157)+SUMIFS(Закрытые!$F$5:$F$300,Закрытые!$E$5:$E$300,$B157,Закрытые!$B$5:$B$300,"T-*"))</f>
        <v/>
      </c>
      <c r="D157" s="177" t="str">
        <f>IF(C157="","",(SUMPRODUCT((Торговля!$E$5:$E$300=$B157)*Торговля!$F$5:$F$300*Торговля!$G$5:$G$300)+SUMPRODUCT((Закрытые!$E$5:$E$300=$B157)*(LEFT(Закрытые!$B$5:$B$300,2)="T-")*Закрытые!$F$5:$F$300*Закрытые!$G$5:$G$300))/C157)</f>
        <v/>
      </c>
      <c r="E157" s="241" t="str">
        <f>IF(C157="","",SUMIFS(Торговля!$H$5:$H$300,Торговля!$E$5:$E$300,$B157)+SUMIFS(Закрытые!$H$5:$H$300,Закрытые!$E$5:$E$300,$B157,Закрытые!$B$5:$B$300,"T-*"))</f>
        <v/>
      </c>
      <c r="F157" s="240" t="str">
        <f>IF(SUMIFS(Торговля!$I$5:$I$300,Торговля!$E$5:$E$300,$B157)+SUMIFS(Закрытые!$I$5:$I$300,Закрытые!$E$5:$E$300,$B157,Закрытые!$B$5:$B$300,"T-*")=0,"",SUMIFS(Торговля!$I$5:$I$300,Торговля!$E$5:$E$300,$B157)+SUMIFS(Закрытые!$I$5:$I$300,Закрытые!$E$5:$E$300,$B157,Закрытые!$B$5:$B$300,"T-*"))</f>
        <v/>
      </c>
      <c r="G157" s="177" t="str">
        <f>IF(F157="","",(SUMPRODUCT((Торговля!$E$5:$E$300=$B157)*Торговля!$I$5:$I$300*Торговля!$J$5:$J$300)+SUMPRODUCT((Закрытые!$E$5:$E$300=$B157)*(LEFT(Закрытые!$B$5:$B$300,2)="T-")*Закрытые!$I$5:$I$300*Закрытые!$J$5:$J$300))/F157)</f>
        <v/>
      </c>
      <c r="H157" s="241" t="str">
        <f>IF(F157="","",SUMIFS(Торговля!$K$5:$K$300,Торговля!$E$5:$E$300,$B157)+SUMIFS(Закрытые!$K$5:$K$300,Закрытые!$E$5:$E$300,$B157,Закрытые!$B$5:$B$300,"T-*"))</f>
        <v/>
      </c>
      <c r="I157" s="240" t="str">
        <f>IF($B157="","",IF(COUNTIFS(Торговля!$E$5:$E$300,$B157)+COUNTIFS(Закрытые!$E$5:$E$300,$B157,Закрытые!$B$5:$B$300,"T-*")=0,"",ROUND(SUMIFS(Торговля!$L$5:$L$300,Торговля!$E$5:$E$300,$B157)+SUMIFS(Закрытые!$L$5:$L$300,Закрытые!$E$5:$E$300,$B157,Закрытые!$B$5:$B$300,"T-*"),8)))</f>
        <v/>
      </c>
      <c r="J157" s="241" t="str">
        <f>IF($B157="","",IF(COUNTIFS(Торговля!$E$5:$E$300,$B157)+COUNTIFS(Закрытые!$E$5:$E$300,$B157,Закрытые!$B$5:$B$300,"T-*")=0,"",ROUND(SUMIFS(Торговля!$M$5:$M$300,Торговля!$E$5:$E$300,$B157)+SUMIFS(Закрытые!$M$5:$M$300,Закрытые!$E$5:$E$300,$B157,Закрытые!$B$5:$B$300,"T-*"),8)))</f>
        <v/>
      </c>
      <c r="K157" s="240" t="str">
        <f>IF(MIN(N(C157),N(F157))&lt;=0,"",ROUND(MIN(N(C157),N(F157))*(N(G157)-N(D157)),8))</f>
        <v/>
      </c>
      <c r="L157" s="177" t="str">
        <f>IF(MIN(N(C157),N(F157))&lt;=0,"",IF(N(D157)=0,"",ROUND((N(G157)/N(D157)-1)*100,2)))</f>
        <v/>
      </c>
      <c r="M157" s="177" t="str">
        <f>IF(OR(ROUND(N(C157)-N(F157),8)=0,1-N(Ввод!$J$19)/100&lt;=0),"",IF(N(C157)&gt;N(F157),(N(E157)-N(H157))/((N(C157)-N(F157))*(1-N(Ввод!$J$19)/100)),(N(H157)-N(E157))/((N(F157)-N(C157))*(1+N(Ввод!$J$19)/100))))</f>
        <v/>
      </c>
    </row>
    <row r="158" ht="22" customHeight="1">
      <c r="B158" s="245" t="n"/>
      <c r="C158" s="246" t="str">
        <f>IF(SUMIFS(Торговля!$F$5:$F$300,Торговля!$E$5:$E$300,$B158)+SUMIFS(Закрытые!$F$5:$F$300,Закрытые!$E$5:$E$300,$B158,Закрытые!$B$5:$B$300,"T-*")=0,"",SUMIFS(Торговля!$F$5:$F$300,Торговля!$E$5:$E$300,$B158)+SUMIFS(Закрытые!$F$5:$F$300,Закрытые!$E$5:$E$300,$B158,Закрытые!$B$5:$B$300,"T-*"))</f>
        <v/>
      </c>
      <c r="D158" s="183" t="str">
        <f>IF(C158="","",(SUMPRODUCT((Торговля!$E$5:$E$300=$B158)*Торговля!$F$5:$F$300*Торговля!$G$5:$G$300)+SUMPRODUCT((Закрытые!$E$5:$E$300=$B158)*(LEFT(Закрытые!$B$5:$B$300,2)="T-")*Закрытые!$F$5:$F$300*Закрытые!$G$5:$G$300))/C158)</f>
        <v/>
      </c>
      <c r="E158" s="247" t="str">
        <f>IF(C158="","",SUMIFS(Торговля!$H$5:$H$300,Торговля!$E$5:$E$300,$B158)+SUMIFS(Закрытые!$H$5:$H$300,Закрытые!$E$5:$E$300,$B158,Закрытые!$B$5:$B$300,"T-*"))</f>
        <v/>
      </c>
      <c r="F158" s="246" t="str">
        <f>IF(SUMIFS(Торговля!$I$5:$I$300,Торговля!$E$5:$E$300,$B158)+SUMIFS(Закрытые!$I$5:$I$300,Закрытые!$E$5:$E$300,$B158,Закрытые!$B$5:$B$300,"T-*")=0,"",SUMIFS(Торговля!$I$5:$I$300,Торговля!$E$5:$E$300,$B158)+SUMIFS(Закрытые!$I$5:$I$300,Закрытые!$E$5:$E$300,$B158,Закрытые!$B$5:$B$300,"T-*"))</f>
        <v/>
      </c>
      <c r="G158" s="183" t="str">
        <f>IF(F158="","",(SUMPRODUCT((Торговля!$E$5:$E$300=$B158)*Торговля!$I$5:$I$300*Торговля!$J$5:$J$300)+SUMPRODUCT((Закрытые!$E$5:$E$300=$B158)*(LEFT(Закрытые!$B$5:$B$300,2)="T-")*Закрытые!$I$5:$I$300*Закрытые!$J$5:$J$300))/F158)</f>
        <v/>
      </c>
      <c r="H158" s="247" t="str">
        <f>IF(F158="","",SUMIFS(Торговля!$K$5:$K$300,Торговля!$E$5:$E$300,$B158)+SUMIFS(Закрытые!$K$5:$K$300,Закрытые!$E$5:$E$300,$B158,Закрытые!$B$5:$B$300,"T-*"))</f>
        <v/>
      </c>
      <c r="I158" s="246" t="str">
        <f>IF($B158="","",IF(COUNTIFS(Торговля!$E$5:$E$300,$B158)+COUNTIFS(Закрытые!$E$5:$E$300,$B158,Закрытые!$B$5:$B$300,"T-*")=0,"",ROUND(SUMIFS(Торговля!$L$5:$L$300,Торговля!$E$5:$E$300,$B158)+SUMIFS(Закрытые!$L$5:$L$300,Закрытые!$E$5:$E$300,$B158,Закрытые!$B$5:$B$300,"T-*"),8)))</f>
        <v/>
      </c>
      <c r="J158" s="247" t="str">
        <f>IF($B158="","",IF(COUNTIFS(Торговля!$E$5:$E$300,$B158)+COUNTIFS(Закрытые!$E$5:$E$300,$B158,Закрытые!$B$5:$B$300,"T-*")=0,"",ROUND(SUMIFS(Торговля!$M$5:$M$300,Торговля!$E$5:$E$300,$B158)+SUMIFS(Закрытые!$M$5:$M$300,Закрытые!$E$5:$E$300,$B158,Закрытые!$B$5:$B$300,"T-*"),8)))</f>
        <v/>
      </c>
      <c r="K158" s="246" t="str">
        <f>IF(MIN(N(C158),N(F158))&lt;=0,"",ROUND(MIN(N(C158),N(F158))*(N(G158)-N(D158)),8))</f>
        <v/>
      </c>
      <c r="L158" s="183" t="str">
        <f>IF(MIN(N(C158),N(F158))&lt;=0,"",IF(N(D158)=0,"",ROUND((N(G158)/N(D158)-1)*100,2)))</f>
        <v/>
      </c>
      <c r="M158" s="183" t="str">
        <f>IF(OR(ROUND(N(C158)-N(F158),8)=0,1-N(Ввод!$J$19)/100&lt;=0),"",IF(N(C158)&gt;N(F158),(N(E158)-N(H158))/((N(C158)-N(F158))*(1-N(Ввод!$J$19)/100)),(N(H158)-N(E158))/((N(F158)-N(C158))*(1+N(Ввод!$J$19)/100))))</f>
        <v/>
      </c>
    </row>
    <row r="159" ht="22" customHeight="1">
      <c r="B159" s="239" t="n"/>
      <c r="C159" s="240" t="str">
        <f>IF(SUMIFS(Торговля!$F$5:$F$300,Торговля!$E$5:$E$300,$B159)+SUMIFS(Закрытые!$F$5:$F$300,Закрытые!$E$5:$E$300,$B159,Закрытые!$B$5:$B$300,"T-*")=0,"",SUMIFS(Торговля!$F$5:$F$300,Торговля!$E$5:$E$300,$B159)+SUMIFS(Закрытые!$F$5:$F$300,Закрытые!$E$5:$E$300,$B159,Закрытые!$B$5:$B$300,"T-*"))</f>
        <v/>
      </c>
      <c r="D159" s="177" t="str">
        <f>IF(C159="","",(SUMPRODUCT((Торговля!$E$5:$E$300=$B159)*Торговля!$F$5:$F$300*Торговля!$G$5:$G$300)+SUMPRODUCT((Закрытые!$E$5:$E$300=$B159)*(LEFT(Закрытые!$B$5:$B$300,2)="T-")*Закрытые!$F$5:$F$300*Закрытые!$G$5:$G$300))/C159)</f>
        <v/>
      </c>
      <c r="E159" s="241" t="str">
        <f>IF(C159="","",SUMIFS(Торговля!$H$5:$H$300,Торговля!$E$5:$E$300,$B159)+SUMIFS(Закрытые!$H$5:$H$300,Закрытые!$E$5:$E$300,$B159,Закрытые!$B$5:$B$300,"T-*"))</f>
        <v/>
      </c>
      <c r="F159" s="240" t="str">
        <f>IF(SUMIFS(Торговля!$I$5:$I$300,Торговля!$E$5:$E$300,$B159)+SUMIFS(Закрытые!$I$5:$I$300,Закрытые!$E$5:$E$300,$B159,Закрытые!$B$5:$B$300,"T-*")=0,"",SUMIFS(Торговля!$I$5:$I$300,Торговля!$E$5:$E$300,$B159)+SUMIFS(Закрытые!$I$5:$I$300,Закрытые!$E$5:$E$300,$B159,Закрытые!$B$5:$B$300,"T-*"))</f>
        <v/>
      </c>
      <c r="G159" s="177" t="str">
        <f>IF(F159="","",(SUMPRODUCT((Торговля!$E$5:$E$300=$B159)*Торговля!$I$5:$I$300*Торговля!$J$5:$J$300)+SUMPRODUCT((Закрытые!$E$5:$E$300=$B159)*(LEFT(Закрытые!$B$5:$B$300,2)="T-")*Закрытые!$I$5:$I$300*Закрытые!$J$5:$J$300))/F159)</f>
        <v/>
      </c>
      <c r="H159" s="241" t="str">
        <f>IF(F159="","",SUMIFS(Торговля!$K$5:$K$300,Торговля!$E$5:$E$300,$B159)+SUMIFS(Закрытые!$K$5:$K$300,Закрытые!$E$5:$E$300,$B159,Закрытые!$B$5:$B$300,"T-*"))</f>
        <v/>
      </c>
      <c r="I159" s="240" t="str">
        <f>IF($B159="","",IF(COUNTIFS(Торговля!$E$5:$E$300,$B159)+COUNTIFS(Закрытые!$E$5:$E$300,$B159,Закрытые!$B$5:$B$300,"T-*")=0,"",ROUND(SUMIFS(Торговля!$L$5:$L$300,Торговля!$E$5:$E$300,$B159)+SUMIFS(Закрытые!$L$5:$L$300,Закрытые!$E$5:$E$300,$B159,Закрытые!$B$5:$B$300,"T-*"),8)))</f>
        <v/>
      </c>
      <c r="J159" s="241" t="str">
        <f>IF($B159="","",IF(COUNTIFS(Торговля!$E$5:$E$300,$B159)+COUNTIFS(Закрытые!$E$5:$E$300,$B159,Закрытые!$B$5:$B$300,"T-*")=0,"",ROUND(SUMIFS(Торговля!$M$5:$M$300,Торговля!$E$5:$E$300,$B159)+SUMIFS(Закрытые!$M$5:$M$300,Закрытые!$E$5:$E$300,$B159,Закрытые!$B$5:$B$300,"T-*"),8)))</f>
        <v/>
      </c>
      <c r="K159" s="240" t="str">
        <f>IF(MIN(N(C159),N(F159))&lt;=0,"",ROUND(MIN(N(C159),N(F159))*(N(G159)-N(D159)),8))</f>
        <v/>
      </c>
      <c r="L159" s="177" t="str">
        <f>IF(MIN(N(C159),N(F159))&lt;=0,"",IF(N(D159)=0,"",ROUND((N(G159)/N(D159)-1)*100,2)))</f>
        <v/>
      </c>
      <c r="M159" s="177" t="str">
        <f>IF(OR(ROUND(N(C159)-N(F159),8)=0,1-N(Ввод!$J$19)/100&lt;=0),"",IF(N(C159)&gt;N(F159),(N(E159)-N(H159))/((N(C159)-N(F159))*(1-N(Ввод!$J$19)/100)),(N(H159)-N(E159))/((N(F159)-N(C159))*(1+N(Ввод!$J$19)/100))))</f>
        <v/>
      </c>
    </row>
    <row r="160" ht="22" customHeight="1">
      <c r="B160" s="245" t="n"/>
      <c r="C160" s="246" t="str">
        <f>IF(SUMIFS(Торговля!$F$5:$F$300,Торговля!$E$5:$E$300,$B160)+SUMIFS(Закрытые!$F$5:$F$300,Закрытые!$E$5:$E$300,$B160,Закрытые!$B$5:$B$300,"T-*")=0,"",SUMIFS(Торговля!$F$5:$F$300,Торговля!$E$5:$E$300,$B160)+SUMIFS(Закрытые!$F$5:$F$300,Закрытые!$E$5:$E$300,$B160,Закрытые!$B$5:$B$300,"T-*"))</f>
        <v/>
      </c>
      <c r="D160" s="183" t="str">
        <f>IF(C160="","",(SUMPRODUCT((Торговля!$E$5:$E$300=$B160)*Торговля!$F$5:$F$300*Торговля!$G$5:$G$300)+SUMPRODUCT((Закрытые!$E$5:$E$300=$B160)*(LEFT(Закрытые!$B$5:$B$300,2)="T-")*Закрытые!$F$5:$F$300*Закрытые!$G$5:$G$300))/C160)</f>
        <v/>
      </c>
      <c r="E160" s="247" t="str">
        <f>IF(C160="","",SUMIFS(Торговля!$H$5:$H$300,Торговля!$E$5:$E$300,$B160)+SUMIFS(Закрытые!$H$5:$H$300,Закрытые!$E$5:$E$300,$B160,Закрытые!$B$5:$B$300,"T-*"))</f>
        <v/>
      </c>
      <c r="F160" s="246" t="str">
        <f>IF(SUMIFS(Торговля!$I$5:$I$300,Торговля!$E$5:$E$300,$B160)+SUMIFS(Закрытые!$I$5:$I$300,Закрытые!$E$5:$E$300,$B160,Закрытые!$B$5:$B$300,"T-*")=0,"",SUMIFS(Торговля!$I$5:$I$300,Торговля!$E$5:$E$300,$B160)+SUMIFS(Закрытые!$I$5:$I$300,Закрытые!$E$5:$E$300,$B160,Закрытые!$B$5:$B$300,"T-*"))</f>
        <v/>
      </c>
      <c r="G160" s="183" t="str">
        <f>IF(F160="","",(SUMPRODUCT((Торговля!$E$5:$E$300=$B160)*Торговля!$I$5:$I$300*Торговля!$J$5:$J$300)+SUMPRODUCT((Закрытые!$E$5:$E$300=$B160)*(LEFT(Закрытые!$B$5:$B$300,2)="T-")*Закрытые!$I$5:$I$300*Закрытые!$J$5:$J$300))/F160)</f>
        <v/>
      </c>
      <c r="H160" s="247" t="str">
        <f>IF(F160="","",SUMIFS(Торговля!$K$5:$K$300,Торговля!$E$5:$E$300,$B160)+SUMIFS(Закрытые!$K$5:$K$300,Закрытые!$E$5:$E$300,$B160,Закрытые!$B$5:$B$300,"T-*"))</f>
        <v/>
      </c>
      <c r="I160" s="246" t="str">
        <f>IF($B160="","",IF(COUNTIFS(Торговля!$E$5:$E$300,$B160)+COUNTIFS(Закрытые!$E$5:$E$300,$B160,Закрытые!$B$5:$B$300,"T-*")=0,"",ROUND(SUMIFS(Торговля!$L$5:$L$300,Торговля!$E$5:$E$300,$B160)+SUMIFS(Закрытые!$L$5:$L$300,Закрытые!$E$5:$E$300,$B160,Закрытые!$B$5:$B$300,"T-*"),8)))</f>
        <v/>
      </c>
      <c r="J160" s="247" t="str">
        <f>IF($B160="","",IF(COUNTIFS(Торговля!$E$5:$E$300,$B160)+COUNTIFS(Закрытые!$E$5:$E$300,$B160,Закрытые!$B$5:$B$300,"T-*")=0,"",ROUND(SUMIFS(Торговля!$M$5:$M$300,Торговля!$E$5:$E$300,$B160)+SUMIFS(Закрытые!$M$5:$M$300,Закрытые!$E$5:$E$300,$B160,Закрытые!$B$5:$B$300,"T-*"),8)))</f>
        <v/>
      </c>
      <c r="K160" s="246" t="str">
        <f>IF(MIN(N(C160),N(F160))&lt;=0,"",ROUND(MIN(N(C160),N(F160))*(N(G160)-N(D160)),8))</f>
        <v/>
      </c>
      <c r="L160" s="183" t="str">
        <f>IF(MIN(N(C160),N(F160))&lt;=0,"",IF(N(D160)=0,"",ROUND((N(G160)/N(D160)-1)*100,2)))</f>
        <v/>
      </c>
      <c r="M160" s="183" t="str">
        <f>IF(OR(ROUND(N(C160)-N(F160),8)=0,1-N(Ввод!$J$19)/100&lt;=0),"",IF(N(C160)&gt;N(F160),(N(E160)-N(H160))/((N(C160)-N(F160))*(1-N(Ввод!$J$19)/100)),(N(H160)-N(E160))/((N(F160)-N(C160))*(1+N(Ввод!$J$19)/100))))</f>
        <v/>
      </c>
    </row>
    <row r="161" ht="22" customHeight="1">
      <c r="B161" s="239" t="n"/>
      <c r="C161" s="240" t="str">
        <f>IF(SUMIFS(Торговля!$F$5:$F$300,Торговля!$E$5:$E$300,$B161)+SUMIFS(Закрытые!$F$5:$F$300,Закрытые!$E$5:$E$300,$B161,Закрытые!$B$5:$B$300,"T-*")=0,"",SUMIFS(Торговля!$F$5:$F$300,Торговля!$E$5:$E$300,$B161)+SUMIFS(Закрытые!$F$5:$F$300,Закрытые!$E$5:$E$300,$B161,Закрытые!$B$5:$B$300,"T-*"))</f>
        <v/>
      </c>
      <c r="D161" s="177" t="str">
        <f>IF(C161="","",(SUMPRODUCT((Торговля!$E$5:$E$300=$B161)*Торговля!$F$5:$F$300*Торговля!$G$5:$G$300)+SUMPRODUCT((Закрытые!$E$5:$E$300=$B161)*(LEFT(Закрытые!$B$5:$B$300,2)="T-")*Закрытые!$F$5:$F$300*Закрытые!$G$5:$G$300))/C161)</f>
        <v/>
      </c>
      <c r="E161" s="241" t="str">
        <f>IF(C161="","",SUMIFS(Торговля!$H$5:$H$300,Торговля!$E$5:$E$300,$B161)+SUMIFS(Закрытые!$H$5:$H$300,Закрытые!$E$5:$E$300,$B161,Закрытые!$B$5:$B$300,"T-*"))</f>
        <v/>
      </c>
      <c r="F161" s="240" t="str">
        <f>IF(SUMIFS(Торговля!$I$5:$I$300,Торговля!$E$5:$E$300,$B161)+SUMIFS(Закрытые!$I$5:$I$300,Закрытые!$E$5:$E$300,$B161,Закрытые!$B$5:$B$300,"T-*")=0,"",SUMIFS(Торговля!$I$5:$I$300,Торговля!$E$5:$E$300,$B161)+SUMIFS(Закрытые!$I$5:$I$300,Закрытые!$E$5:$E$300,$B161,Закрытые!$B$5:$B$300,"T-*"))</f>
        <v/>
      </c>
      <c r="G161" s="177" t="str">
        <f>IF(F161="","",(SUMPRODUCT((Торговля!$E$5:$E$300=$B161)*Торговля!$I$5:$I$300*Торговля!$J$5:$J$300)+SUMPRODUCT((Закрытые!$E$5:$E$300=$B161)*(LEFT(Закрытые!$B$5:$B$300,2)="T-")*Закрытые!$I$5:$I$300*Закрытые!$J$5:$J$300))/F161)</f>
        <v/>
      </c>
      <c r="H161" s="241" t="str">
        <f>IF(F161="","",SUMIFS(Торговля!$K$5:$K$300,Торговля!$E$5:$E$300,$B161)+SUMIFS(Закрытые!$K$5:$K$300,Закрытые!$E$5:$E$300,$B161,Закрытые!$B$5:$B$300,"T-*"))</f>
        <v/>
      </c>
      <c r="I161" s="240" t="str">
        <f>IF($B161="","",IF(COUNTIFS(Торговля!$E$5:$E$300,$B161)+COUNTIFS(Закрытые!$E$5:$E$300,$B161,Закрытые!$B$5:$B$300,"T-*")=0,"",ROUND(SUMIFS(Торговля!$L$5:$L$300,Торговля!$E$5:$E$300,$B161)+SUMIFS(Закрытые!$L$5:$L$300,Закрытые!$E$5:$E$300,$B161,Закрытые!$B$5:$B$300,"T-*"),8)))</f>
        <v/>
      </c>
      <c r="J161" s="241" t="str">
        <f>IF($B161="","",IF(COUNTIFS(Торговля!$E$5:$E$300,$B161)+COUNTIFS(Закрытые!$E$5:$E$300,$B161,Закрытые!$B$5:$B$300,"T-*")=0,"",ROUND(SUMIFS(Торговля!$M$5:$M$300,Торговля!$E$5:$E$300,$B161)+SUMIFS(Закрытые!$M$5:$M$300,Закрытые!$E$5:$E$300,$B161,Закрытые!$B$5:$B$300,"T-*"),8)))</f>
        <v/>
      </c>
      <c r="K161" s="240" t="str">
        <f>IF(MIN(N(C161),N(F161))&lt;=0,"",ROUND(MIN(N(C161),N(F161))*(N(G161)-N(D161)),8))</f>
        <v/>
      </c>
      <c r="L161" s="177" t="str">
        <f>IF(MIN(N(C161),N(F161))&lt;=0,"",IF(N(D161)=0,"",ROUND((N(G161)/N(D161)-1)*100,2)))</f>
        <v/>
      </c>
      <c r="M161" s="177" t="str">
        <f>IF(OR(ROUND(N(C161)-N(F161),8)=0,1-N(Ввод!$J$19)/100&lt;=0),"",IF(N(C161)&gt;N(F161),(N(E161)-N(H161))/((N(C161)-N(F161))*(1-N(Ввод!$J$19)/100)),(N(H161)-N(E161))/((N(F161)-N(C161))*(1+N(Ввод!$J$19)/100))))</f>
        <v/>
      </c>
    </row>
    <row r="162" ht="22" customHeight="1">
      <c r="B162" s="245" t="n"/>
      <c r="C162" s="246" t="str">
        <f>IF(SUMIFS(Торговля!$F$5:$F$300,Торговля!$E$5:$E$300,$B162)+SUMIFS(Закрытые!$F$5:$F$300,Закрытые!$E$5:$E$300,$B162,Закрытые!$B$5:$B$300,"T-*")=0,"",SUMIFS(Торговля!$F$5:$F$300,Торговля!$E$5:$E$300,$B162)+SUMIFS(Закрытые!$F$5:$F$300,Закрытые!$E$5:$E$300,$B162,Закрытые!$B$5:$B$300,"T-*"))</f>
        <v/>
      </c>
      <c r="D162" s="183" t="str">
        <f>IF(C162="","",(SUMPRODUCT((Торговля!$E$5:$E$300=$B162)*Торговля!$F$5:$F$300*Торговля!$G$5:$G$300)+SUMPRODUCT((Закрытые!$E$5:$E$300=$B162)*(LEFT(Закрытые!$B$5:$B$300,2)="T-")*Закрытые!$F$5:$F$300*Закрытые!$G$5:$G$300))/C162)</f>
        <v/>
      </c>
      <c r="E162" s="247" t="str">
        <f>IF(C162="","",SUMIFS(Торговля!$H$5:$H$300,Торговля!$E$5:$E$300,$B162)+SUMIFS(Закрытые!$H$5:$H$300,Закрытые!$E$5:$E$300,$B162,Закрытые!$B$5:$B$300,"T-*"))</f>
        <v/>
      </c>
      <c r="F162" s="246" t="str">
        <f>IF(SUMIFS(Торговля!$I$5:$I$300,Торговля!$E$5:$E$300,$B162)+SUMIFS(Закрытые!$I$5:$I$300,Закрытые!$E$5:$E$300,$B162,Закрытые!$B$5:$B$300,"T-*")=0,"",SUMIFS(Торговля!$I$5:$I$300,Торговля!$E$5:$E$300,$B162)+SUMIFS(Закрытые!$I$5:$I$300,Закрытые!$E$5:$E$300,$B162,Закрытые!$B$5:$B$300,"T-*"))</f>
        <v/>
      </c>
      <c r="G162" s="183" t="str">
        <f>IF(F162="","",(SUMPRODUCT((Торговля!$E$5:$E$300=$B162)*Торговля!$I$5:$I$300*Торговля!$J$5:$J$300)+SUMPRODUCT((Закрытые!$E$5:$E$300=$B162)*(LEFT(Закрытые!$B$5:$B$300,2)="T-")*Закрытые!$I$5:$I$300*Закрытые!$J$5:$J$300))/F162)</f>
        <v/>
      </c>
      <c r="H162" s="247" t="str">
        <f>IF(F162="","",SUMIFS(Торговля!$K$5:$K$300,Торговля!$E$5:$E$300,$B162)+SUMIFS(Закрытые!$K$5:$K$300,Закрытые!$E$5:$E$300,$B162,Закрытые!$B$5:$B$300,"T-*"))</f>
        <v/>
      </c>
      <c r="I162" s="246" t="str">
        <f>IF($B162="","",IF(COUNTIFS(Торговля!$E$5:$E$300,$B162)+COUNTIFS(Закрытые!$E$5:$E$300,$B162,Закрытые!$B$5:$B$300,"T-*")=0,"",ROUND(SUMIFS(Торговля!$L$5:$L$300,Торговля!$E$5:$E$300,$B162)+SUMIFS(Закрытые!$L$5:$L$300,Закрытые!$E$5:$E$300,$B162,Закрытые!$B$5:$B$300,"T-*"),8)))</f>
        <v/>
      </c>
      <c r="J162" s="247" t="str">
        <f>IF($B162="","",IF(COUNTIFS(Торговля!$E$5:$E$300,$B162)+COUNTIFS(Закрытые!$E$5:$E$300,$B162,Закрытые!$B$5:$B$300,"T-*")=0,"",ROUND(SUMIFS(Торговля!$M$5:$M$300,Торговля!$E$5:$E$300,$B162)+SUMIFS(Закрытые!$M$5:$M$300,Закрытые!$E$5:$E$300,$B162,Закрытые!$B$5:$B$300,"T-*"),8)))</f>
        <v/>
      </c>
      <c r="K162" s="246" t="str">
        <f>IF(MIN(N(C162),N(F162))&lt;=0,"",ROUND(MIN(N(C162),N(F162))*(N(G162)-N(D162)),8))</f>
        <v/>
      </c>
      <c r="L162" s="183" t="str">
        <f>IF(MIN(N(C162),N(F162))&lt;=0,"",IF(N(D162)=0,"",ROUND((N(G162)/N(D162)-1)*100,2)))</f>
        <v/>
      </c>
      <c r="M162" s="183" t="str">
        <f>IF(OR(ROUND(N(C162)-N(F162),8)=0,1-N(Ввод!$J$19)/100&lt;=0),"",IF(N(C162)&gt;N(F162),(N(E162)-N(H162))/((N(C162)-N(F162))*(1-N(Ввод!$J$19)/100)),(N(H162)-N(E162))/((N(F162)-N(C162))*(1+N(Ввод!$J$19)/100))))</f>
        <v/>
      </c>
    </row>
    <row r="163" ht="22" customHeight="1">
      <c r="B163" s="239" t="n"/>
      <c r="C163" s="240" t="str">
        <f>IF(SUMIFS(Торговля!$F$5:$F$300,Торговля!$E$5:$E$300,$B163)+SUMIFS(Закрытые!$F$5:$F$300,Закрытые!$E$5:$E$300,$B163,Закрытые!$B$5:$B$300,"T-*")=0,"",SUMIFS(Торговля!$F$5:$F$300,Торговля!$E$5:$E$300,$B163)+SUMIFS(Закрытые!$F$5:$F$300,Закрытые!$E$5:$E$300,$B163,Закрытые!$B$5:$B$300,"T-*"))</f>
        <v/>
      </c>
      <c r="D163" s="177" t="str">
        <f>IF(C163="","",(SUMPRODUCT((Торговля!$E$5:$E$300=$B163)*Торговля!$F$5:$F$300*Торговля!$G$5:$G$300)+SUMPRODUCT((Закрытые!$E$5:$E$300=$B163)*(LEFT(Закрытые!$B$5:$B$300,2)="T-")*Закрытые!$F$5:$F$300*Закрытые!$G$5:$G$300))/C163)</f>
        <v/>
      </c>
      <c r="E163" s="241" t="str">
        <f>IF(C163="","",SUMIFS(Торговля!$H$5:$H$300,Торговля!$E$5:$E$300,$B163)+SUMIFS(Закрытые!$H$5:$H$300,Закрытые!$E$5:$E$300,$B163,Закрытые!$B$5:$B$300,"T-*"))</f>
        <v/>
      </c>
      <c r="F163" s="240" t="str">
        <f>IF(SUMIFS(Торговля!$I$5:$I$300,Торговля!$E$5:$E$300,$B163)+SUMIFS(Закрытые!$I$5:$I$300,Закрытые!$E$5:$E$300,$B163,Закрытые!$B$5:$B$300,"T-*")=0,"",SUMIFS(Торговля!$I$5:$I$300,Торговля!$E$5:$E$300,$B163)+SUMIFS(Закрытые!$I$5:$I$300,Закрытые!$E$5:$E$300,$B163,Закрытые!$B$5:$B$300,"T-*"))</f>
        <v/>
      </c>
      <c r="G163" s="177" t="str">
        <f>IF(F163="","",(SUMPRODUCT((Торговля!$E$5:$E$300=$B163)*Торговля!$I$5:$I$300*Торговля!$J$5:$J$300)+SUMPRODUCT((Закрытые!$E$5:$E$300=$B163)*(LEFT(Закрытые!$B$5:$B$300,2)="T-")*Закрытые!$I$5:$I$300*Закрытые!$J$5:$J$300))/F163)</f>
        <v/>
      </c>
      <c r="H163" s="241" t="str">
        <f>IF(F163="","",SUMIFS(Торговля!$K$5:$K$300,Торговля!$E$5:$E$300,$B163)+SUMIFS(Закрытые!$K$5:$K$300,Закрытые!$E$5:$E$300,$B163,Закрытые!$B$5:$B$300,"T-*"))</f>
        <v/>
      </c>
      <c r="I163" s="240" t="str">
        <f>IF($B163="","",IF(COUNTIFS(Торговля!$E$5:$E$300,$B163)+COUNTIFS(Закрытые!$E$5:$E$300,$B163,Закрытые!$B$5:$B$300,"T-*")=0,"",ROUND(SUMIFS(Торговля!$L$5:$L$300,Торговля!$E$5:$E$300,$B163)+SUMIFS(Закрытые!$L$5:$L$300,Закрытые!$E$5:$E$300,$B163,Закрытые!$B$5:$B$300,"T-*"),8)))</f>
        <v/>
      </c>
      <c r="J163" s="241" t="str">
        <f>IF($B163="","",IF(COUNTIFS(Торговля!$E$5:$E$300,$B163)+COUNTIFS(Закрытые!$E$5:$E$300,$B163,Закрытые!$B$5:$B$300,"T-*")=0,"",ROUND(SUMIFS(Торговля!$M$5:$M$300,Торговля!$E$5:$E$300,$B163)+SUMIFS(Закрытые!$M$5:$M$300,Закрытые!$E$5:$E$300,$B163,Закрытые!$B$5:$B$300,"T-*"),8)))</f>
        <v/>
      </c>
      <c r="K163" s="240" t="str">
        <f>IF(MIN(N(C163),N(F163))&lt;=0,"",ROUND(MIN(N(C163),N(F163))*(N(G163)-N(D163)),8))</f>
        <v/>
      </c>
      <c r="L163" s="177" t="str">
        <f>IF(MIN(N(C163),N(F163))&lt;=0,"",IF(N(D163)=0,"",ROUND((N(G163)/N(D163)-1)*100,2)))</f>
        <v/>
      </c>
      <c r="M163" s="177" t="str">
        <f>IF(OR(ROUND(N(C163)-N(F163),8)=0,1-N(Ввод!$J$19)/100&lt;=0),"",IF(N(C163)&gt;N(F163),(N(E163)-N(H163))/((N(C163)-N(F163))*(1-N(Ввод!$J$19)/100)),(N(H163)-N(E163))/((N(F163)-N(C163))*(1+N(Ввод!$J$19)/100))))</f>
        <v/>
      </c>
    </row>
    <row r="164" ht="22" customHeight="1">
      <c r="B164" s="245" t="n"/>
      <c r="C164" s="246" t="str">
        <f>IF(SUMIFS(Торговля!$F$5:$F$300,Торговля!$E$5:$E$300,$B164)+SUMIFS(Закрытые!$F$5:$F$300,Закрытые!$E$5:$E$300,$B164,Закрытые!$B$5:$B$300,"T-*")=0,"",SUMIFS(Торговля!$F$5:$F$300,Торговля!$E$5:$E$300,$B164)+SUMIFS(Закрытые!$F$5:$F$300,Закрытые!$E$5:$E$300,$B164,Закрытые!$B$5:$B$300,"T-*"))</f>
        <v/>
      </c>
      <c r="D164" s="183" t="str">
        <f>IF(C164="","",(SUMPRODUCT((Торговля!$E$5:$E$300=$B164)*Торговля!$F$5:$F$300*Торговля!$G$5:$G$300)+SUMPRODUCT((Закрытые!$E$5:$E$300=$B164)*(LEFT(Закрытые!$B$5:$B$300,2)="T-")*Закрытые!$F$5:$F$300*Закрытые!$G$5:$G$300))/C164)</f>
        <v/>
      </c>
      <c r="E164" s="247" t="str">
        <f>IF(C164="","",SUMIFS(Торговля!$H$5:$H$300,Торговля!$E$5:$E$300,$B164)+SUMIFS(Закрытые!$H$5:$H$300,Закрытые!$E$5:$E$300,$B164,Закрытые!$B$5:$B$300,"T-*"))</f>
        <v/>
      </c>
      <c r="F164" s="246" t="str">
        <f>IF(SUMIFS(Торговля!$I$5:$I$300,Торговля!$E$5:$E$300,$B164)+SUMIFS(Закрытые!$I$5:$I$300,Закрытые!$E$5:$E$300,$B164,Закрытые!$B$5:$B$300,"T-*")=0,"",SUMIFS(Торговля!$I$5:$I$300,Торговля!$E$5:$E$300,$B164)+SUMIFS(Закрытые!$I$5:$I$300,Закрытые!$E$5:$E$300,$B164,Закрытые!$B$5:$B$300,"T-*"))</f>
        <v/>
      </c>
      <c r="G164" s="183" t="str">
        <f>IF(F164="","",(SUMPRODUCT((Торговля!$E$5:$E$300=$B164)*Торговля!$I$5:$I$300*Торговля!$J$5:$J$300)+SUMPRODUCT((Закрытые!$E$5:$E$300=$B164)*(LEFT(Закрытые!$B$5:$B$300,2)="T-")*Закрытые!$I$5:$I$300*Закрытые!$J$5:$J$300))/F164)</f>
        <v/>
      </c>
      <c r="H164" s="247" t="str">
        <f>IF(F164="","",SUMIFS(Торговля!$K$5:$K$300,Торговля!$E$5:$E$300,$B164)+SUMIFS(Закрытые!$K$5:$K$300,Закрытые!$E$5:$E$300,$B164,Закрытые!$B$5:$B$300,"T-*"))</f>
        <v/>
      </c>
      <c r="I164" s="246" t="str">
        <f>IF($B164="","",IF(COUNTIFS(Торговля!$E$5:$E$300,$B164)+COUNTIFS(Закрытые!$E$5:$E$300,$B164,Закрытые!$B$5:$B$300,"T-*")=0,"",ROUND(SUMIFS(Торговля!$L$5:$L$300,Торговля!$E$5:$E$300,$B164)+SUMIFS(Закрытые!$L$5:$L$300,Закрытые!$E$5:$E$300,$B164,Закрытые!$B$5:$B$300,"T-*"),8)))</f>
        <v/>
      </c>
      <c r="J164" s="247" t="str">
        <f>IF($B164="","",IF(COUNTIFS(Торговля!$E$5:$E$300,$B164)+COUNTIFS(Закрытые!$E$5:$E$300,$B164,Закрытые!$B$5:$B$300,"T-*")=0,"",ROUND(SUMIFS(Торговля!$M$5:$M$300,Торговля!$E$5:$E$300,$B164)+SUMIFS(Закрытые!$M$5:$M$300,Закрытые!$E$5:$E$300,$B164,Закрытые!$B$5:$B$300,"T-*"),8)))</f>
        <v/>
      </c>
      <c r="K164" s="246" t="str">
        <f>IF(MIN(N(C164),N(F164))&lt;=0,"",ROUND(MIN(N(C164),N(F164))*(N(G164)-N(D164)),8))</f>
        <v/>
      </c>
      <c r="L164" s="183" t="str">
        <f>IF(MIN(N(C164),N(F164))&lt;=0,"",IF(N(D164)=0,"",ROUND((N(G164)/N(D164)-1)*100,2)))</f>
        <v/>
      </c>
      <c r="M164" s="183" t="str">
        <f>IF(OR(ROUND(N(C164)-N(F164),8)=0,1-N(Ввод!$J$19)/100&lt;=0),"",IF(N(C164)&gt;N(F164),(N(E164)-N(H164))/((N(C164)-N(F164))*(1-N(Ввод!$J$19)/100)),(N(H164)-N(E164))/((N(F164)-N(C164))*(1+N(Ввод!$J$19)/100))))</f>
        <v/>
      </c>
    </row>
    <row r="165" ht="22" customHeight="1">
      <c r="B165" s="239" t="n"/>
      <c r="C165" s="240" t="str">
        <f>IF(SUMIFS(Торговля!$F$5:$F$300,Торговля!$E$5:$E$300,$B165)+SUMIFS(Закрытые!$F$5:$F$300,Закрытые!$E$5:$E$300,$B165,Закрытые!$B$5:$B$300,"T-*")=0,"",SUMIFS(Торговля!$F$5:$F$300,Торговля!$E$5:$E$300,$B165)+SUMIFS(Закрытые!$F$5:$F$300,Закрытые!$E$5:$E$300,$B165,Закрытые!$B$5:$B$300,"T-*"))</f>
        <v/>
      </c>
      <c r="D165" s="177" t="str">
        <f>IF(C165="","",(SUMPRODUCT((Торговля!$E$5:$E$300=$B165)*Торговля!$F$5:$F$300*Торговля!$G$5:$G$300)+SUMPRODUCT((Закрытые!$E$5:$E$300=$B165)*(LEFT(Закрытые!$B$5:$B$300,2)="T-")*Закрытые!$F$5:$F$300*Закрытые!$G$5:$G$300))/C165)</f>
        <v/>
      </c>
      <c r="E165" s="241" t="str">
        <f>IF(C165="","",SUMIFS(Торговля!$H$5:$H$300,Торговля!$E$5:$E$300,$B165)+SUMIFS(Закрытые!$H$5:$H$300,Закрытые!$E$5:$E$300,$B165,Закрытые!$B$5:$B$300,"T-*"))</f>
        <v/>
      </c>
      <c r="F165" s="240" t="str">
        <f>IF(SUMIFS(Торговля!$I$5:$I$300,Торговля!$E$5:$E$300,$B165)+SUMIFS(Закрытые!$I$5:$I$300,Закрытые!$E$5:$E$300,$B165,Закрытые!$B$5:$B$300,"T-*")=0,"",SUMIFS(Торговля!$I$5:$I$300,Торговля!$E$5:$E$300,$B165)+SUMIFS(Закрытые!$I$5:$I$300,Закрытые!$E$5:$E$300,$B165,Закрытые!$B$5:$B$300,"T-*"))</f>
        <v/>
      </c>
      <c r="G165" s="177" t="str">
        <f>IF(F165="","",(SUMPRODUCT((Торговля!$E$5:$E$300=$B165)*Торговля!$I$5:$I$300*Торговля!$J$5:$J$300)+SUMPRODUCT((Закрытые!$E$5:$E$300=$B165)*(LEFT(Закрытые!$B$5:$B$300,2)="T-")*Закрытые!$I$5:$I$300*Закрытые!$J$5:$J$300))/F165)</f>
        <v/>
      </c>
      <c r="H165" s="241" t="str">
        <f>IF(F165="","",SUMIFS(Торговля!$K$5:$K$300,Торговля!$E$5:$E$300,$B165)+SUMIFS(Закрытые!$K$5:$K$300,Закрытые!$E$5:$E$300,$B165,Закрытые!$B$5:$B$300,"T-*"))</f>
        <v/>
      </c>
      <c r="I165" s="240" t="str">
        <f>IF($B165="","",IF(COUNTIFS(Торговля!$E$5:$E$300,$B165)+COUNTIFS(Закрытые!$E$5:$E$300,$B165,Закрытые!$B$5:$B$300,"T-*")=0,"",ROUND(SUMIFS(Торговля!$L$5:$L$300,Торговля!$E$5:$E$300,$B165)+SUMIFS(Закрытые!$L$5:$L$300,Закрытые!$E$5:$E$300,$B165,Закрытые!$B$5:$B$300,"T-*"),8)))</f>
        <v/>
      </c>
      <c r="J165" s="241" t="str">
        <f>IF($B165="","",IF(COUNTIFS(Торговля!$E$5:$E$300,$B165)+COUNTIFS(Закрытые!$E$5:$E$300,$B165,Закрытые!$B$5:$B$300,"T-*")=0,"",ROUND(SUMIFS(Торговля!$M$5:$M$300,Торговля!$E$5:$E$300,$B165)+SUMIFS(Закрытые!$M$5:$M$300,Закрытые!$E$5:$E$300,$B165,Закрытые!$B$5:$B$300,"T-*"),8)))</f>
        <v/>
      </c>
      <c r="K165" s="240" t="str">
        <f>IF(MIN(N(C165),N(F165))&lt;=0,"",ROUND(MIN(N(C165),N(F165))*(N(G165)-N(D165)),8))</f>
        <v/>
      </c>
      <c r="L165" s="177" t="str">
        <f>IF(MIN(N(C165),N(F165))&lt;=0,"",IF(N(D165)=0,"",ROUND((N(G165)/N(D165)-1)*100,2)))</f>
        <v/>
      </c>
      <c r="M165" s="177" t="str">
        <f>IF(OR(ROUND(N(C165)-N(F165),8)=0,1-N(Ввод!$J$19)/100&lt;=0),"",IF(N(C165)&gt;N(F165),(N(E165)-N(H165))/((N(C165)-N(F165))*(1-N(Ввод!$J$19)/100)),(N(H165)-N(E165))/((N(F165)-N(C165))*(1+N(Ввод!$J$19)/100))))</f>
        <v/>
      </c>
    </row>
    <row r="166" ht="22" customHeight="1">
      <c r="B166" s="245" t="n"/>
      <c r="C166" s="246" t="str">
        <f>IF(SUMIFS(Торговля!$F$5:$F$300,Торговля!$E$5:$E$300,$B166)+SUMIFS(Закрытые!$F$5:$F$300,Закрытые!$E$5:$E$300,$B166,Закрытые!$B$5:$B$300,"T-*")=0,"",SUMIFS(Торговля!$F$5:$F$300,Торговля!$E$5:$E$300,$B166)+SUMIFS(Закрытые!$F$5:$F$300,Закрытые!$E$5:$E$300,$B166,Закрытые!$B$5:$B$300,"T-*"))</f>
        <v/>
      </c>
      <c r="D166" s="183" t="str">
        <f>IF(C166="","",(SUMPRODUCT((Торговля!$E$5:$E$300=$B166)*Торговля!$F$5:$F$300*Торговля!$G$5:$G$300)+SUMPRODUCT((Закрытые!$E$5:$E$300=$B166)*(LEFT(Закрытые!$B$5:$B$300,2)="T-")*Закрытые!$F$5:$F$300*Закрытые!$G$5:$G$300))/C166)</f>
        <v/>
      </c>
      <c r="E166" s="247" t="str">
        <f>IF(C166="","",SUMIFS(Торговля!$H$5:$H$300,Торговля!$E$5:$E$300,$B166)+SUMIFS(Закрытые!$H$5:$H$300,Закрытые!$E$5:$E$300,$B166,Закрытые!$B$5:$B$300,"T-*"))</f>
        <v/>
      </c>
      <c r="F166" s="246" t="str">
        <f>IF(SUMIFS(Торговля!$I$5:$I$300,Торговля!$E$5:$E$300,$B166)+SUMIFS(Закрытые!$I$5:$I$300,Закрытые!$E$5:$E$300,$B166,Закрытые!$B$5:$B$300,"T-*")=0,"",SUMIFS(Торговля!$I$5:$I$300,Торговля!$E$5:$E$300,$B166)+SUMIFS(Закрытые!$I$5:$I$300,Закрытые!$E$5:$E$300,$B166,Закрытые!$B$5:$B$300,"T-*"))</f>
        <v/>
      </c>
      <c r="G166" s="183" t="str">
        <f>IF(F166="","",(SUMPRODUCT((Торговля!$E$5:$E$300=$B166)*Торговля!$I$5:$I$300*Торговля!$J$5:$J$300)+SUMPRODUCT((Закрытые!$E$5:$E$300=$B166)*(LEFT(Закрытые!$B$5:$B$300,2)="T-")*Закрытые!$I$5:$I$300*Закрытые!$J$5:$J$300))/F166)</f>
        <v/>
      </c>
      <c r="H166" s="247" t="str">
        <f>IF(F166="","",SUMIFS(Торговля!$K$5:$K$300,Торговля!$E$5:$E$300,$B166)+SUMIFS(Закрытые!$K$5:$K$300,Закрытые!$E$5:$E$300,$B166,Закрытые!$B$5:$B$300,"T-*"))</f>
        <v/>
      </c>
      <c r="I166" s="246" t="str">
        <f>IF($B166="","",IF(COUNTIFS(Торговля!$E$5:$E$300,$B166)+COUNTIFS(Закрытые!$E$5:$E$300,$B166,Закрытые!$B$5:$B$300,"T-*")=0,"",ROUND(SUMIFS(Торговля!$L$5:$L$300,Торговля!$E$5:$E$300,$B166)+SUMIFS(Закрытые!$L$5:$L$300,Закрытые!$E$5:$E$300,$B166,Закрытые!$B$5:$B$300,"T-*"),8)))</f>
        <v/>
      </c>
      <c r="J166" s="247" t="str">
        <f>IF($B166="","",IF(COUNTIFS(Торговля!$E$5:$E$300,$B166)+COUNTIFS(Закрытые!$E$5:$E$300,$B166,Закрытые!$B$5:$B$300,"T-*")=0,"",ROUND(SUMIFS(Торговля!$M$5:$M$300,Торговля!$E$5:$E$300,$B166)+SUMIFS(Закрытые!$M$5:$M$300,Закрытые!$E$5:$E$300,$B166,Закрытые!$B$5:$B$300,"T-*"),8)))</f>
        <v/>
      </c>
      <c r="K166" s="246" t="str">
        <f>IF(MIN(N(C166),N(F166))&lt;=0,"",ROUND(MIN(N(C166),N(F166))*(N(G166)-N(D166)),8))</f>
        <v/>
      </c>
      <c r="L166" s="183" t="str">
        <f>IF(MIN(N(C166),N(F166))&lt;=0,"",IF(N(D166)=0,"",ROUND((N(G166)/N(D166)-1)*100,2)))</f>
        <v/>
      </c>
      <c r="M166" s="183" t="str">
        <f>IF(OR(ROUND(N(C166)-N(F166),8)=0,1-N(Ввод!$J$19)/100&lt;=0),"",IF(N(C166)&gt;N(F166),(N(E166)-N(H166))/((N(C166)-N(F166))*(1-N(Ввод!$J$19)/100)),(N(H166)-N(E166))/((N(F166)-N(C166))*(1+N(Ввод!$J$19)/100))))</f>
        <v/>
      </c>
    </row>
    <row r="167" ht="22" customHeight="1">
      <c r="B167" s="239" t="n"/>
      <c r="C167" s="240" t="str">
        <f>IF(SUMIFS(Торговля!$F$5:$F$300,Торговля!$E$5:$E$300,$B167)+SUMIFS(Закрытые!$F$5:$F$300,Закрытые!$E$5:$E$300,$B167,Закрытые!$B$5:$B$300,"T-*")=0,"",SUMIFS(Торговля!$F$5:$F$300,Торговля!$E$5:$E$300,$B167)+SUMIFS(Закрытые!$F$5:$F$300,Закрытые!$E$5:$E$300,$B167,Закрытые!$B$5:$B$300,"T-*"))</f>
        <v/>
      </c>
      <c r="D167" s="177" t="str">
        <f>IF(C167="","",(SUMPRODUCT((Торговля!$E$5:$E$300=$B167)*Торговля!$F$5:$F$300*Торговля!$G$5:$G$300)+SUMPRODUCT((Закрытые!$E$5:$E$300=$B167)*(LEFT(Закрытые!$B$5:$B$300,2)="T-")*Закрытые!$F$5:$F$300*Закрытые!$G$5:$G$300))/C167)</f>
        <v/>
      </c>
      <c r="E167" s="241" t="str">
        <f>IF(C167="","",SUMIFS(Торговля!$H$5:$H$300,Торговля!$E$5:$E$300,$B167)+SUMIFS(Закрытые!$H$5:$H$300,Закрытые!$E$5:$E$300,$B167,Закрытые!$B$5:$B$300,"T-*"))</f>
        <v/>
      </c>
      <c r="F167" s="240" t="str">
        <f>IF(SUMIFS(Торговля!$I$5:$I$300,Торговля!$E$5:$E$300,$B167)+SUMIFS(Закрытые!$I$5:$I$300,Закрытые!$E$5:$E$300,$B167,Закрытые!$B$5:$B$300,"T-*")=0,"",SUMIFS(Торговля!$I$5:$I$300,Торговля!$E$5:$E$300,$B167)+SUMIFS(Закрытые!$I$5:$I$300,Закрытые!$E$5:$E$300,$B167,Закрытые!$B$5:$B$300,"T-*"))</f>
        <v/>
      </c>
      <c r="G167" s="177" t="str">
        <f>IF(F167="","",(SUMPRODUCT((Торговля!$E$5:$E$300=$B167)*Торговля!$I$5:$I$300*Торговля!$J$5:$J$300)+SUMPRODUCT((Закрытые!$E$5:$E$300=$B167)*(LEFT(Закрытые!$B$5:$B$300,2)="T-")*Закрытые!$I$5:$I$300*Закрытые!$J$5:$J$300))/F167)</f>
        <v/>
      </c>
      <c r="H167" s="241" t="str">
        <f>IF(F167="","",SUMIFS(Торговля!$K$5:$K$300,Торговля!$E$5:$E$300,$B167)+SUMIFS(Закрытые!$K$5:$K$300,Закрытые!$E$5:$E$300,$B167,Закрытые!$B$5:$B$300,"T-*"))</f>
        <v/>
      </c>
      <c r="I167" s="240" t="str">
        <f>IF($B167="","",IF(COUNTIFS(Торговля!$E$5:$E$300,$B167)+COUNTIFS(Закрытые!$E$5:$E$300,$B167,Закрытые!$B$5:$B$300,"T-*")=0,"",ROUND(SUMIFS(Торговля!$L$5:$L$300,Торговля!$E$5:$E$300,$B167)+SUMIFS(Закрытые!$L$5:$L$300,Закрытые!$E$5:$E$300,$B167,Закрытые!$B$5:$B$300,"T-*"),8)))</f>
        <v/>
      </c>
      <c r="J167" s="241" t="str">
        <f>IF($B167="","",IF(COUNTIFS(Торговля!$E$5:$E$300,$B167)+COUNTIFS(Закрытые!$E$5:$E$300,$B167,Закрытые!$B$5:$B$300,"T-*")=0,"",ROUND(SUMIFS(Торговля!$M$5:$M$300,Торговля!$E$5:$E$300,$B167)+SUMIFS(Закрытые!$M$5:$M$300,Закрытые!$E$5:$E$300,$B167,Закрытые!$B$5:$B$300,"T-*"),8)))</f>
        <v/>
      </c>
      <c r="K167" s="240" t="str">
        <f>IF(MIN(N(C167),N(F167))&lt;=0,"",ROUND(MIN(N(C167),N(F167))*(N(G167)-N(D167)),8))</f>
        <v/>
      </c>
      <c r="L167" s="177" t="str">
        <f>IF(MIN(N(C167),N(F167))&lt;=0,"",IF(N(D167)=0,"",ROUND((N(G167)/N(D167)-1)*100,2)))</f>
        <v/>
      </c>
      <c r="M167" s="177" t="str">
        <f>IF(OR(ROUND(N(C167)-N(F167),8)=0,1-N(Ввод!$J$19)/100&lt;=0),"",IF(N(C167)&gt;N(F167),(N(E167)-N(H167))/((N(C167)-N(F167))*(1-N(Ввод!$J$19)/100)),(N(H167)-N(E167))/((N(F167)-N(C167))*(1+N(Ввод!$J$19)/100))))</f>
        <v/>
      </c>
    </row>
    <row r="168" ht="22" customHeight="1">
      <c r="B168" s="245" t="n"/>
      <c r="C168" s="246" t="str">
        <f>IF(SUMIFS(Торговля!$F$5:$F$300,Торговля!$E$5:$E$300,$B168)+SUMIFS(Закрытые!$F$5:$F$300,Закрытые!$E$5:$E$300,$B168,Закрытые!$B$5:$B$300,"T-*")=0,"",SUMIFS(Торговля!$F$5:$F$300,Торговля!$E$5:$E$300,$B168)+SUMIFS(Закрытые!$F$5:$F$300,Закрытые!$E$5:$E$300,$B168,Закрытые!$B$5:$B$300,"T-*"))</f>
        <v/>
      </c>
      <c r="D168" s="183" t="str">
        <f>IF(C168="","",(SUMPRODUCT((Торговля!$E$5:$E$300=$B168)*Торговля!$F$5:$F$300*Торговля!$G$5:$G$300)+SUMPRODUCT((Закрытые!$E$5:$E$300=$B168)*(LEFT(Закрытые!$B$5:$B$300,2)="T-")*Закрытые!$F$5:$F$300*Закрытые!$G$5:$G$300))/C168)</f>
        <v/>
      </c>
      <c r="E168" s="247" t="str">
        <f>IF(C168="","",SUMIFS(Торговля!$H$5:$H$300,Торговля!$E$5:$E$300,$B168)+SUMIFS(Закрытые!$H$5:$H$300,Закрытые!$E$5:$E$300,$B168,Закрытые!$B$5:$B$300,"T-*"))</f>
        <v/>
      </c>
      <c r="F168" s="246" t="str">
        <f>IF(SUMIFS(Торговля!$I$5:$I$300,Торговля!$E$5:$E$300,$B168)+SUMIFS(Закрытые!$I$5:$I$300,Закрытые!$E$5:$E$300,$B168,Закрытые!$B$5:$B$300,"T-*")=0,"",SUMIFS(Торговля!$I$5:$I$300,Торговля!$E$5:$E$300,$B168)+SUMIFS(Закрытые!$I$5:$I$300,Закрытые!$E$5:$E$300,$B168,Закрытые!$B$5:$B$300,"T-*"))</f>
        <v/>
      </c>
      <c r="G168" s="183" t="str">
        <f>IF(F168="","",(SUMPRODUCT((Торговля!$E$5:$E$300=$B168)*Торговля!$I$5:$I$300*Торговля!$J$5:$J$300)+SUMPRODUCT((Закрытые!$E$5:$E$300=$B168)*(LEFT(Закрытые!$B$5:$B$300,2)="T-")*Закрытые!$I$5:$I$300*Закрытые!$J$5:$J$300))/F168)</f>
        <v/>
      </c>
      <c r="H168" s="247" t="str">
        <f>IF(F168="","",SUMIFS(Торговля!$K$5:$K$300,Торговля!$E$5:$E$300,$B168)+SUMIFS(Закрытые!$K$5:$K$300,Закрытые!$E$5:$E$300,$B168,Закрытые!$B$5:$B$300,"T-*"))</f>
        <v/>
      </c>
      <c r="I168" s="246" t="str">
        <f>IF($B168="","",IF(COUNTIFS(Торговля!$E$5:$E$300,$B168)+COUNTIFS(Закрытые!$E$5:$E$300,$B168,Закрытые!$B$5:$B$300,"T-*")=0,"",ROUND(SUMIFS(Торговля!$L$5:$L$300,Торговля!$E$5:$E$300,$B168)+SUMIFS(Закрытые!$L$5:$L$300,Закрытые!$E$5:$E$300,$B168,Закрытые!$B$5:$B$300,"T-*"),8)))</f>
        <v/>
      </c>
      <c r="J168" s="247" t="str">
        <f>IF($B168="","",IF(COUNTIFS(Торговля!$E$5:$E$300,$B168)+COUNTIFS(Закрытые!$E$5:$E$300,$B168,Закрытые!$B$5:$B$300,"T-*")=0,"",ROUND(SUMIFS(Торговля!$M$5:$M$300,Торговля!$E$5:$E$300,$B168)+SUMIFS(Закрытые!$M$5:$M$300,Закрытые!$E$5:$E$300,$B168,Закрытые!$B$5:$B$300,"T-*"),8)))</f>
        <v/>
      </c>
      <c r="K168" s="246" t="str">
        <f>IF(MIN(N(C168),N(F168))&lt;=0,"",ROUND(MIN(N(C168),N(F168))*(N(G168)-N(D168)),8))</f>
        <v/>
      </c>
      <c r="L168" s="183" t="str">
        <f>IF(MIN(N(C168),N(F168))&lt;=0,"",IF(N(D168)=0,"",ROUND((N(G168)/N(D168)-1)*100,2)))</f>
        <v/>
      </c>
      <c r="M168" s="183" t="str">
        <f>IF(OR(ROUND(N(C168)-N(F168),8)=0,1-N(Ввод!$J$19)/100&lt;=0),"",IF(N(C168)&gt;N(F168),(N(E168)-N(H168))/((N(C168)-N(F168))*(1-N(Ввод!$J$19)/100)),(N(H168)-N(E168))/((N(F168)-N(C168))*(1+N(Ввод!$J$19)/100))))</f>
        <v/>
      </c>
    </row>
    <row r="169" ht="22" customHeight="1">
      <c r="B169" s="239" t="n"/>
      <c r="C169" s="240" t="str">
        <f>IF(SUMIFS(Торговля!$F$5:$F$300,Торговля!$E$5:$E$300,$B169)+SUMIFS(Закрытые!$F$5:$F$300,Закрытые!$E$5:$E$300,$B169,Закрытые!$B$5:$B$300,"T-*")=0,"",SUMIFS(Торговля!$F$5:$F$300,Торговля!$E$5:$E$300,$B169)+SUMIFS(Закрытые!$F$5:$F$300,Закрытые!$E$5:$E$300,$B169,Закрытые!$B$5:$B$300,"T-*"))</f>
        <v/>
      </c>
      <c r="D169" s="177" t="str">
        <f>IF(C169="","",(SUMPRODUCT((Торговля!$E$5:$E$300=$B169)*Торговля!$F$5:$F$300*Торговля!$G$5:$G$300)+SUMPRODUCT((Закрытые!$E$5:$E$300=$B169)*(LEFT(Закрытые!$B$5:$B$300,2)="T-")*Закрытые!$F$5:$F$300*Закрытые!$G$5:$G$300))/C169)</f>
        <v/>
      </c>
      <c r="E169" s="241" t="str">
        <f>IF(C169="","",SUMIFS(Торговля!$H$5:$H$300,Торговля!$E$5:$E$300,$B169)+SUMIFS(Закрытые!$H$5:$H$300,Закрытые!$E$5:$E$300,$B169,Закрытые!$B$5:$B$300,"T-*"))</f>
        <v/>
      </c>
      <c r="F169" s="240" t="str">
        <f>IF(SUMIFS(Торговля!$I$5:$I$300,Торговля!$E$5:$E$300,$B169)+SUMIFS(Закрытые!$I$5:$I$300,Закрытые!$E$5:$E$300,$B169,Закрытые!$B$5:$B$300,"T-*")=0,"",SUMIFS(Торговля!$I$5:$I$300,Торговля!$E$5:$E$300,$B169)+SUMIFS(Закрытые!$I$5:$I$300,Закрытые!$E$5:$E$300,$B169,Закрытые!$B$5:$B$300,"T-*"))</f>
        <v/>
      </c>
      <c r="G169" s="177" t="str">
        <f>IF(F169="","",(SUMPRODUCT((Торговля!$E$5:$E$300=$B169)*Торговля!$I$5:$I$300*Торговля!$J$5:$J$300)+SUMPRODUCT((Закрытые!$E$5:$E$300=$B169)*(LEFT(Закрытые!$B$5:$B$300,2)="T-")*Закрытые!$I$5:$I$300*Закрытые!$J$5:$J$300))/F169)</f>
        <v/>
      </c>
      <c r="H169" s="241" t="str">
        <f>IF(F169="","",SUMIFS(Торговля!$K$5:$K$300,Торговля!$E$5:$E$300,$B169)+SUMIFS(Закрытые!$K$5:$K$300,Закрытые!$E$5:$E$300,$B169,Закрытые!$B$5:$B$300,"T-*"))</f>
        <v/>
      </c>
      <c r="I169" s="240" t="str">
        <f>IF($B169="","",IF(COUNTIFS(Торговля!$E$5:$E$300,$B169)+COUNTIFS(Закрытые!$E$5:$E$300,$B169,Закрытые!$B$5:$B$300,"T-*")=0,"",ROUND(SUMIFS(Торговля!$L$5:$L$300,Торговля!$E$5:$E$300,$B169)+SUMIFS(Закрытые!$L$5:$L$300,Закрытые!$E$5:$E$300,$B169,Закрытые!$B$5:$B$300,"T-*"),8)))</f>
        <v/>
      </c>
      <c r="J169" s="241" t="str">
        <f>IF($B169="","",IF(COUNTIFS(Торговля!$E$5:$E$300,$B169)+COUNTIFS(Закрытые!$E$5:$E$300,$B169,Закрытые!$B$5:$B$300,"T-*")=0,"",ROUND(SUMIFS(Торговля!$M$5:$M$300,Торговля!$E$5:$E$300,$B169)+SUMIFS(Закрытые!$M$5:$M$300,Закрытые!$E$5:$E$300,$B169,Закрытые!$B$5:$B$300,"T-*"),8)))</f>
        <v/>
      </c>
      <c r="K169" s="240" t="str">
        <f>IF(MIN(N(C169),N(F169))&lt;=0,"",ROUND(MIN(N(C169),N(F169))*(N(G169)-N(D169)),8))</f>
        <v/>
      </c>
      <c r="L169" s="177" t="str">
        <f>IF(MIN(N(C169),N(F169))&lt;=0,"",IF(N(D169)=0,"",ROUND((N(G169)/N(D169)-1)*100,2)))</f>
        <v/>
      </c>
      <c r="M169" s="177" t="str">
        <f>IF(OR(ROUND(N(C169)-N(F169),8)=0,1-N(Ввод!$J$19)/100&lt;=0),"",IF(N(C169)&gt;N(F169),(N(E169)-N(H169))/((N(C169)-N(F169))*(1-N(Ввод!$J$19)/100)),(N(H169)-N(E169))/((N(F169)-N(C169))*(1+N(Ввод!$J$19)/100))))</f>
        <v/>
      </c>
    </row>
    <row r="170" ht="22" customHeight="1">
      <c r="B170" s="245" t="n"/>
      <c r="C170" s="246" t="str">
        <f>IF(SUMIFS(Торговля!$F$5:$F$300,Торговля!$E$5:$E$300,$B170)+SUMIFS(Закрытые!$F$5:$F$300,Закрытые!$E$5:$E$300,$B170,Закрытые!$B$5:$B$300,"T-*")=0,"",SUMIFS(Торговля!$F$5:$F$300,Торговля!$E$5:$E$300,$B170)+SUMIFS(Закрытые!$F$5:$F$300,Закрытые!$E$5:$E$300,$B170,Закрытые!$B$5:$B$300,"T-*"))</f>
        <v/>
      </c>
      <c r="D170" s="183" t="str">
        <f>IF(C170="","",(SUMPRODUCT((Торговля!$E$5:$E$300=$B170)*Торговля!$F$5:$F$300*Торговля!$G$5:$G$300)+SUMPRODUCT((Закрытые!$E$5:$E$300=$B170)*(LEFT(Закрытые!$B$5:$B$300,2)="T-")*Закрытые!$F$5:$F$300*Закрытые!$G$5:$G$300))/C170)</f>
        <v/>
      </c>
      <c r="E170" s="247" t="str">
        <f>IF(C170="","",SUMIFS(Торговля!$H$5:$H$300,Торговля!$E$5:$E$300,$B170)+SUMIFS(Закрытые!$H$5:$H$300,Закрытые!$E$5:$E$300,$B170,Закрытые!$B$5:$B$300,"T-*"))</f>
        <v/>
      </c>
      <c r="F170" s="246" t="str">
        <f>IF(SUMIFS(Торговля!$I$5:$I$300,Торговля!$E$5:$E$300,$B170)+SUMIFS(Закрытые!$I$5:$I$300,Закрытые!$E$5:$E$300,$B170,Закрытые!$B$5:$B$300,"T-*")=0,"",SUMIFS(Торговля!$I$5:$I$300,Торговля!$E$5:$E$300,$B170)+SUMIFS(Закрытые!$I$5:$I$300,Закрытые!$E$5:$E$300,$B170,Закрытые!$B$5:$B$300,"T-*"))</f>
        <v/>
      </c>
      <c r="G170" s="183" t="str">
        <f>IF(F170="","",(SUMPRODUCT((Торговля!$E$5:$E$300=$B170)*Торговля!$I$5:$I$300*Торговля!$J$5:$J$300)+SUMPRODUCT((Закрытые!$E$5:$E$300=$B170)*(LEFT(Закрытые!$B$5:$B$300,2)="T-")*Закрытые!$I$5:$I$300*Закрытые!$J$5:$J$300))/F170)</f>
        <v/>
      </c>
      <c r="H170" s="247" t="str">
        <f>IF(F170="","",SUMIFS(Торговля!$K$5:$K$300,Торговля!$E$5:$E$300,$B170)+SUMIFS(Закрытые!$K$5:$K$300,Закрытые!$E$5:$E$300,$B170,Закрытые!$B$5:$B$300,"T-*"))</f>
        <v/>
      </c>
      <c r="I170" s="246" t="str">
        <f>IF($B170="","",IF(COUNTIFS(Торговля!$E$5:$E$300,$B170)+COUNTIFS(Закрытые!$E$5:$E$300,$B170,Закрытые!$B$5:$B$300,"T-*")=0,"",ROUND(SUMIFS(Торговля!$L$5:$L$300,Торговля!$E$5:$E$300,$B170)+SUMIFS(Закрытые!$L$5:$L$300,Закрытые!$E$5:$E$300,$B170,Закрытые!$B$5:$B$300,"T-*"),8)))</f>
        <v/>
      </c>
      <c r="J170" s="247" t="str">
        <f>IF($B170="","",IF(COUNTIFS(Торговля!$E$5:$E$300,$B170)+COUNTIFS(Закрытые!$E$5:$E$300,$B170,Закрытые!$B$5:$B$300,"T-*")=0,"",ROUND(SUMIFS(Торговля!$M$5:$M$300,Торговля!$E$5:$E$300,$B170)+SUMIFS(Закрытые!$M$5:$M$300,Закрытые!$E$5:$E$300,$B170,Закрытые!$B$5:$B$300,"T-*"),8)))</f>
        <v/>
      </c>
      <c r="K170" s="246" t="str">
        <f>IF(MIN(N(C170),N(F170))&lt;=0,"",ROUND(MIN(N(C170),N(F170))*(N(G170)-N(D170)),8))</f>
        <v/>
      </c>
      <c r="L170" s="183" t="str">
        <f>IF(MIN(N(C170),N(F170))&lt;=0,"",IF(N(D170)=0,"",ROUND((N(G170)/N(D170)-1)*100,2)))</f>
        <v/>
      </c>
      <c r="M170" s="183" t="str">
        <f>IF(OR(ROUND(N(C170)-N(F170),8)=0,1-N(Ввод!$J$19)/100&lt;=0),"",IF(N(C170)&gt;N(F170),(N(E170)-N(H170))/((N(C170)-N(F170))*(1-N(Ввод!$J$19)/100)),(N(H170)-N(E170))/((N(F170)-N(C170))*(1+N(Ввод!$J$19)/100))))</f>
        <v/>
      </c>
    </row>
    <row r="171" ht="22" customHeight="1">
      <c r="B171" s="239" t="n"/>
      <c r="C171" s="240" t="str">
        <f>IF(SUMIFS(Торговля!$F$5:$F$300,Торговля!$E$5:$E$300,$B171)+SUMIFS(Закрытые!$F$5:$F$300,Закрытые!$E$5:$E$300,$B171,Закрытые!$B$5:$B$300,"T-*")=0,"",SUMIFS(Торговля!$F$5:$F$300,Торговля!$E$5:$E$300,$B171)+SUMIFS(Закрытые!$F$5:$F$300,Закрытые!$E$5:$E$300,$B171,Закрытые!$B$5:$B$300,"T-*"))</f>
        <v/>
      </c>
      <c r="D171" s="177" t="str">
        <f>IF(C171="","",(SUMPRODUCT((Торговля!$E$5:$E$300=$B171)*Торговля!$F$5:$F$300*Торговля!$G$5:$G$300)+SUMPRODUCT((Закрытые!$E$5:$E$300=$B171)*(LEFT(Закрытые!$B$5:$B$300,2)="T-")*Закрытые!$F$5:$F$300*Закрытые!$G$5:$G$300))/C171)</f>
        <v/>
      </c>
      <c r="E171" s="241" t="str">
        <f>IF(C171="","",SUMIFS(Торговля!$H$5:$H$300,Торговля!$E$5:$E$300,$B171)+SUMIFS(Закрытые!$H$5:$H$300,Закрытые!$E$5:$E$300,$B171,Закрытые!$B$5:$B$300,"T-*"))</f>
        <v/>
      </c>
      <c r="F171" s="240" t="str">
        <f>IF(SUMIFS(Торговля!$I$5:$I$300,Торговля!$E$5:$E$300,$B171)+SUMIFS(Закрытые!$I$5:$I$300,Закрытые!$E$5:$E$300,$B171,Закрытые!$B$5:$B$300,"T-*")=0,"",SUMIFS(Торговля!$I$5:$I$300,Торговля!$E$5:$E$300,$B171)+SUMIFS(Закрытые!$I$5:$I$300,Закрытые!$E$5:$E$300,$B171,Закрытые!$B$5:$B$300,"T-*"))</f>
        <v/>
      </c>
      <c r="G171" s="177" t="str">
        <f>IF(F171="","",(SUMPRODUCT((Торговля!$E$5:$E$300=$B171)*Торговля!$I$5:$I$300*Торговля!$J$5:$J$300)+SUMPRODUCT((Закрытые!$E$5:$E$300=$B171)*(LEFT(Закрытые!$B$5:$B$300,2)="T-")*Закрытые!$I$5:$I$300*Закрытые!$J$5:$J$300))/F171)</f>
        <v/>
      </c>
      <c r="H171" s="241" t="str">
        <f>IF(F171="","",SUMIFS(Торговля!$K$5:$K$300,Торговля!$E$5:$E$300,$B171)+SUMIFS(Закрытые!$K$5:$K$300,Закрытые!$E$5:$E$300,$B171,Закрытые!$B$5:$B$300,"T-*"))</f>
        <v/>
      </c>
      <c r="I171" s="240" t="str">
        <f>IF($B171="","",IF(COUNTIFS(Торговля!$E$5:$E$300,$B171)+COUNTIFS(Закрытые!$E$5:$E$300,$B171,Закрытые!$B$5:$B$300,"T-*")=0,"",ROUND(SUMIFS(Торговля!$L$5:$L$300,Торговля!$E$5:$E$300,$B171)+SUMIFS(Закрытые!$L$5:$L$300,Закрытые!$E$5:$E$300,$B171,Закрытые!$B$5:$B$300,"T-*"),8)))</f>
        <v/>
      </c>
      <c r="J171" s="241" t="str">
        <f>IF($B171="","",IF(COUNTIFS(Торговля!$E$5:$E$300,$B171)+COUNTIFS(Закрытые!$E$5:$E$300,$B171,Закрытые!$B$5:$B$300,"T-*")=0,"",ROUND(SUMIFS(Торговля!$M$5:$M$300,Торговля!$E$5:$E$300,$B171)+SUMIFS(Закрытые!$M$5:$M$300,Закрытые!$E$5:$E$300,$B171,Закрытые!$B$5:$B$300,"T-*"),8)))</f>
        <v/>
      </c>
      <c r="K171" s="240" t="str">
        <f>IF(MIN(N(C171),N(F171))&lt;=0,"",ROUND(MIN(N(C171),N(F171))*(N(G171)-N(D171)),8))</f>
        <v/>
      </c>
      <c r="L171" s="177" t="str">
        <f>IF(MIN(N(C171),N(F171))&lt;=0,"",IF(N(D171)=0,"",ROUND((N(G171)/N(D171)-1)*100,2)))</f>
        <v/>
      </c>
      <c r="M171" s="177" t="str">
        <f>IF(OR(ROUND(N(C171)-N(F171),8)=0,1-N(Ввод!$J$19)/100&lt;=0),"",IF(N(C171)&gt;N(F171),(N(E171)-N(H171))/((N(C171)-N(F171))*(1-N(Ввод!$J$19)/100)),(N(H171)-N(E171))/((N(F171)-N(C171))*(1+N(Ввод!$J$19)/100))))</f>
        <v/>
      </c>
    </row>
    <row r="172" ht="22" customHeight="1">
      <c r="B172" s="245" t="n"/>
      <c r="C172" s="246" t="str">
        <f>IF(SUMIFS(Торговля!$F$5:$F$300,Торговля!$E$5:$E$300,$B172)+SUMIFS(Закрытые!$F$5:$F$300,Закрытые!$E$5:$E$300,$B172,Закрытые!$B$5:$B$300,"T-*")=0,"",SUMIFS(Торговля!$F$5:$F$300,Торговля!$E$5:$E$300,$B172)+SUMIFS(Закрытые!$F$5:$F$300,Закрытые!$E$5:$E$300,$B172,Закрытые!$B$5:$B$300,"T-*"))</f>
        <v/>
      </c>
      <c r="D172" s="183" t="str">
        <f>IF(C172="","",(SUMPRODUCT((Торговля!$E$5:$E$300=$B172)*Торговля!$F$5:$F$300*Торговля!$G$5:$G$300)+SUMPRODUCT((Закрытые!$E$5:$E$300=$B172)*(LEFT(Закрытые!$B$5:$B$300,2)="T-")*Закрытые!$F$5:$F$300*Закрытые!$G$5:$G$300))/C172)</f>
        <v/>
      </c>
      <c r="E172" s="247" t="str">
        <f>IF(C172="","",SUMIFS(Торговля!$H$5:$H$300,Торговля!$E$5:$E$300,$B172)+SUMIFS(Закрытые!$H$5:$H$300,Закрытые!$E$5:$E$300,$B172,Закрытые!$B$5:$B$300,"T-*"))</f>
        <v/>
      </c>
      <c r="F172" s="246" t="str">
        <f>IF(SUMIFS(Торговля!$I$5:$I$300,Торговля!$E$5:$E$300,$B172)+SUMIFS(Закрытые!$I$5:$I$300,Закрытые!$E$5:$E$300,$B172,Закрытые!$B$5:$B$300,"T-*")=0,"",SUMIFS(Торговля!$I$5:$I$300,Торговля!$E$5:$E$300,$B172)+SUMIFS(Закрытые!$I$5:$I$300,Закрытые!$E$5:$E$300,$B172,Закрытые!$B$5:$B$300,"T-*"))</f>
        <v/>
      </c>
      <c r="G172" s="183" t="str">
        <f>IF(F172="","",(SUMPRODUCT((Торговля!$E$5:$E$300=$B172)*Торговля!$I$5:$I$300*Торговля!$J$5:$J$300)+SUMPRODUCT((Закрытые!$E$5:$E$300=$B172)*(LEFT(Закрытые!$B$5:$B$300,2)="T-")*Закрытые!$I$5:$I$300*Закрытые!$J$5:$J$300))/F172)</f>
        <v/>
      </c>
      <c r="H172" s="247" t="str">
        <f>IF(F172="","",SUMIFS(Торговля!$K$5:$K$300,Торговля!$E$5:$E$300,$B172)+SUMIFS(Закрытые!$K$5:$K$300,Закрытые!$E$5:$E$300,$B172,Закрытые!$B$5:$B$300,"T-*"))</f>
        <v/>
      </c>
      <c r="I172" s="246" t="str">
        <f>IF($B172="","",IF(COUNTIFS(Торговля!$E$5:$E$300,$B172)+COUNTIFS(Закрытые!$E$5:$E$300,$B172,Закрытые!$B$5:$B$300,"T-*")=0,"",ROUND(SUMIFS(Торговля!$L$5:$L$300,Торговля!$E$5:$E$300,$B172)+SUMIFS(Закрытые!$L$5:$L$300,Закрытые!$E$5:$E$300,$B172,Закрытые!$B$5:$B$300,"T-*"),8)))</f>
        <v/>
      </c>
      <c r="J172" s="247" t="str">
        <f>IF($B172="","",IF(COUNTIFS(Торговля!$E$5:$E$300,$B172)+COUNTIFS(Закрытые!$E$5:$E$300,$B172,Закрытые!$B$5:$B$300,"T-*")=0,"",ROUND(SUMIFS(Торговля!$M$5:$M$300,Торговля!$E$5:$E$300,$B172)+SUMIFS(Закрытые!$M$5:$M$300,Закрытые!$E$5:$E$300,$B172,Закрытые!$B$5:$B$300,"T-*"),8)))</f>
        <v/>
      </c>
      <c r="K172" s="246" t="str">
        <f>IF(MIN(N(C172),N(F172))&lt;=0,"",ROUND(MIN(N(C172),N(F172))*(N(G172)-N(D172)),8))</f>
        <v/>
      </c>
      <c r="L172" s="183" t="str">
        <f>IF(MIN(N(C172),N(F172))&lt;=0,"",IF(N(D172)=0,"",ROUND((N(G172)/N(D172)-1)*100,2)))</f>
        <v/>
      </c>
      <c r="M172" s="183" t="str">
        <f>IF(OR(ROUND(N(C172)-N(F172),8)=0,1-N(Ввод!$J$19)/100&lt;=0),"",IF(N(C172)&gt;N(F172),(N(E172)-N(H172))/((N(C172)-N(F172))*(1-N(Ввод!$J$19)/100)),(N(H172)-N(E172))/((N(F172)-N(C172))*(1+N(Ввод!$J$19)/100))))</f>
        <v/>
      </c>
    </row>
    <row r="173" ht="22" customHeight="1">
      <c r="B173" s="239" t="n"/>
      <c r="C173" s="240" t="str">
        <f>IF(SUMIFS(Торговля!$F$5:$F$300,Торговля!$E$5:$E$300,$B173)+SUMIFS(Закрытые!$F$5:$F$300,Закрытые!$E$5:$E$300,$B173,Закрытые!$B$5:$B$300,"T-*")=0,"",SUMIFS(Торговля!$F$5:$F$300,Торговля!$E$5:$E$300,$B173)+SUMIFS(Закрытые!$F$5:$F$300,Закрытые!$E$5:$E$300,$B173,Закрытые!$B$5:$B$300,"T-*"))</f>
        <v/>
      </c>
      <c r="D173" s="177" t="str">
        <f>IF(C173="","",(SUMPRODUCT((Торговля!$E$5:$E$300=$B173)*Торговля!$F$5:$F$300*Торговля!$G$5:$G$300)+SUMPRODUCT((Закрытые!$E$5:$E$300=$B173)*(LEFT(Закрытые!$B$5:$B$300,2)="T-")*Закрытые!$F$5:$F$300*Закрытые!$G$5:$G$300))/C173)</f>
        <v/>
      </c>
      <c r="E173" s="241" t="str">
        <f>IF(C173="","",SUMIFS(Торговля!$H$5:$H$300,Торговля!$E$5:$E$300,$B173)+SUMIFS(Закрытые!$H$5:$H$300,Закрытые!$E$5:$E$300,$B173,Закрытые!$B$5:$B$300,"T-*"))</f>
        <v/>
      </c>
      <c r="F173" s="240" t="str">
        <f>IF(SUMIFS(Торговля!$I$5:$I$300,Торговля!$E$5:$E$300,$B173)+SUMIFS(Закрытые!$I$5:$I$300,Закрытые!$E$5:$E$300,$B173,Закрытые!$B$5:$B$300,"T-*")=0,"",SUMIFS(Торговля!$I$5:$I$300,Торговля!$E$5:$E$300,$B173)+SUMIFS(Закрытые!$I$5:$I$300,Закрытые!$E$5:$E$300,$B173,Закрытые!$B$5:$B$300,"T-*"))</f>
        <v/>
      </c>
      <c r="G173" s="177" t="str">
        <f>IF(F173="","",(SUMPRODUCT((Торговля!$E$5:$E$300=$B173)*Торговля!$I$5:$I$300*Торговля!$J$5:$J$300)+SUMPRODUCT((Закрытые!$E$5:$E$300=$B173)*(LEFT(Закрытые!$B$5:$B$300,2)="T-")*Закрытые!$I$5:$I$300*Закрытые!$J$5:$J$300))/F173)</f>
        <v/>
      </c>
      <c r="H173" s="241" t="str">
        <f>IF(F173="","",SUMIFS(Торговля!$K$5:$K$300,Торговля!$E$5:$E$300,$B173)+SUMIFS(Закрытые!$K$5:$K$300,Закрытые!$E$5:$E$300,$B173,Закрытые!$B$5:$B$300,"T-*"))</f>
        <v/>
      </c>
      <c r="I173" s="240" t="str">
        <f>IF($B173="","",IF(COUNTIFS(Торговля!$E$5:$E$300,$B173)+COUNTIFS(Закрытые!$E$5:$E$300,$B173,Закрытые!$B$5:$B$300,"T-*")=0,"",ROUND(SUMIFS(Торговля!$L$5:$L$300,Торговля!$E$5:$E$300,$B173)+SUMIFS(Закрытые!$L$5:$L$300,Закрытые!$E$5:$E$300,$B173,Закрытые!$B$5:$B$300,"T-*"),8)))</f>
        <v/>
      </c>
      <c r="J173" s="241" t="str">
        <f>IF($B173="","",IF(COUNTIFS(Торговля!$E$5:$E$300,$B173)+COUNTIFS(Закрытые!$E$5:$E$300,$B173,Закрытые!$B$5:$B$300,"T-*")=0,"",ROUND(SUMIFS(Торговля!$M$5:$M$300,Торговля!$E$5:$E$300,$B173)+SUMIFS(Закрытые!$M$5:$M$300,Закрытые!$E$5:$E$300,$B173,Закрытые!$B$5:$B$300,"T-*"),8)))</f>
        <v/>
      </c>
      <c r="K173" s="240" t="str">
        <f>IF(MIN(N(C173),N(F173))&lt;=0,"",ROUND(MIN(N(C173),N(F173))*(N(G173)-N(D173)),8))</f>
        <v/>
      </c>
      <c r="L173" s="177" t="str">
        <f>IF(MIN(N(C173),N(F173))&lt;=0,"",IF(N(D173)=0,"",ROUND((N(G173)/N(D173)-1)*100,2)))</f>
        <v/>
      </c>
      <c r="M173" s="177" t="str">
        <f>IF(OR(ROUND(N(C173)-N(F173),8)=0,1-N(Ввод!$J$19)/100&lt;=0),"",IF(N(C173)&gt;N(F173),(N(E173)-N(H173))/((N(C173)-N(F173))*(1-N(Ввод!$J$19)/100)),(N(H173)-N(E173))/((N(F173)-N(C173))*(1+N(Ввод!$J$19)/100))))</f>
        <v/>
      </c>
    </row>
    <row r="174" ht="22" customHeight="1">
      <c r="B174" s="245" t="n"/>
      <c r="C174" s="246" t="str">
        <f>IF(SUMIFS(Торговля!$F$5:$F$300,Торговля!$E$5:$E$300,$B174)+SUMIFS(Закрытые!$F$5:$F$300,Закрытые!$E$5:$E$300,$B174,Закрытые!$B$5:$B$300,"T-*")=0,"",SUMIFS(Торговля!$F$5:$F$300,Торговля!$E$5:$E$300,$B174)+SUMIFS(Закрытые!$F$5:$F$300,Закрытые!$E$5:$E$300,$B174,Закрытые!$B$5:$B$300,"T-*"))</f>
        <v/>
      </c>
      <c r="D174" s="183" t="str">
        <f>IF(C174="","",(SUMPRODUCT((Торговля!$E$5:$E$300=$B174)*Торговля!$F$5:$F$300*Торговля!$G$5:$G$300)+SUMPRODUCT((Закрытые!$E$5:$E$300=$B174)*(LEFT(Закрытые!$B$5:$B$300,2)="T-")*Закрытые!$F$5:$F$300*Закрытые!$G$5:$G$300))/C174)</f>
        <v/>
      </c>
      <c r="E174" s="247" t="str">
        <f>IF(C174="","",SUMIFS(Торговля!$H$5:$H$300,Торговля!$E$5:$E$300,$B174)+SUMIFS(Закрытые!$H$5:$H$300,Закрытые!$E$5:$E$300,$B174,Закрытые!$B$5:$B$300,"T-*"))</f>
        <v/>
      </c>
      <c r="F174" s="246" t="str">
        <f>IF(SUMIFS(Торговля!$I$5:$I$300,Торговля!$E$5:$E$300,$B174)+SUMIFS(Закрытые!$I$5:$I$300,Закрытые!$E$5:$E$300,$B174,Закрытые!$B$5:$B$300,"T-*")=0,"",SUMIFS(Торговля!$I$5:$I$300,Торговля!$E$5:$E$300,$B174)+SUMIFS(Закрытые!$I$5:$I$300,Закрытые!$E$5:$E$300,$B174,Закрытые!$B$5:$B$300,"T-*"))</f>
        <v/>
      </c>
      <c r="G174" s="183" t="str">
        <f>IF(F174="","",(SUMPRODUCT((Торговля!$E$5:$E$300=$B174)*Торговля!$I$5:$I$300*Торговля!$J$5:$J$300)+SUMPRODUCT((Закрытые!$E$5:$E$300=$B174)*(LEFT(Закрытые!$B$5:$B$300,2)="T-")*Закрытые!$I$5:$I$300*Закрытые!$J$5:$J$300))/F174)</f>
        <v/>
      </c>
      <c r="H174" s="247" t="str">
        <f>IF(F174="","",SUMIFS(Торговля!$K$5:$K$300,Торговля!$E$5:$E$300,$B174)+SUMIFS(Закрытые!$K$5:$K$300,Закрытые!$E$5:$E$300,$B174,Закрытые!$B$5:$B$300,"T-*"))</f>
        <v/>
      </c>
      <c r="I174" s="246" t="str">
        <f>IF($B174="","",IF(COUNTIFS(Торговля!$E$5:$E$300,$B174)+COUNTIFS(Закрытые!$E$5:$E$300,$B174,Закрытые!$B$5:$B$300,"T-*")=0,"",ROUND(SUMIFS(Торговля!$L$5:$L$300,Торговля!$E$5:$E$300,$B174)+SUMIFS(Закрытые!$L$5:$L$300,Закрытые!$E$5:$E$300,$B174,Закрытые!$B$5:$B$300,"T-*"),8)))</f>
        <v/>
      </c>
      <c r="J174" s="247" t="str">
        <f>IF($B174="","",IF(COUNTIFS(Торговля!$E$5:$E$300,$B174)+COUNTIFS(Закрытые!$E$5:$E$300,$B174,Закрытые!$B$5:$B$300,"T-*")=0,"",ROUND(SUMIFS(Торговля!$M$5:$M$300,Торговля!$E$5:$E$300,$B174)+SUMIFS(Закрытые!$M$5:$M$300,Закрытые!$E$5:$E$300,$B174,Закрытые!$B$5:$B$300,"T-*"),8)))</f>
        <v/>
      </c>
      <c r="K174" s="246" t="str">
        <f>IF(MIN(N(C174),N(F174))&lt;=0,"",ROUND(MIN(N(C174),N(F174))*(N(G174)-N(D174)),8))</f>
        <v/>
      </c>
      <c r="L174" s="183" t="str">
        <f>IF(MIN(N(C174),N(F174))&lt;=0,"",IF(N(D174)=0,"",ROUND((N(G174)/N(D174)-1)*100,2)))</f>
        <v/>
      </c>
      <c r="M174" s="183" t="str">
        <f>IF(OR(ROUND(N(C174)-N(F174),8)=0,1-N(Ввод!$J$19)/100&lt;=0),"",IF(N(C174)&gt;N(F174),(N(E174)-N(H174))/((N(C174)-N(F174))*(1-N(Ввод!$J$19)/100)),(N(H174)-N(E174))/((N(F174)-N(C174))*(1+N(Ввод!$J$19)/100))))</f>
        <v/>
      </c>
    </row>
    <row r="175" ht="22" customHeight="1">
      <c r="B175" s="239" t="n"/>
      <c r="C175" s="240" t="str">
        <f>IF(SUMIFS(Торговля!$F$5:$F$300,Торговля!$E$5:$E$300,$B175)+SUMIFS(Закрытые!$F$5:$F$300,Закрытые!$E$5:$E$300,$B175,Закрытые!$B$5:$B$300,"T-*")=0,"",SUMIFS(Торговля!$F$5:$F$300,Торговля!$E$5:$E$300,$B175)+SUMIFS(Закрытые!$F$5:$F$300,Закрытые!$E$5:$E$300,$B175,Закрытые!$B$5:$B$300,"T-*"))</f>
        <v/>
      </c>
      <c r="D175" s="177" t="str">
        <f>IF(C175="","",(SUMPRODUCT((Торговля!$E$5:$E$300=$B175)*Торговля!$F$5:$F$300*Торговля!$G$5:$G$300)+SUMPRODUCT((Закрытые!$E$5:$E$300=$B175)*(LEFT(Закрытые!$B$5:$B$300,2)="T-")*Закрытые!$F$5:$F$300*Закрытые!$G$5:$G$300))/C175)</f>
        <v/>
      </c>
      <c r="E175" s="241" t="str">
        <f>IF(C175="","",SUMIFS(Торговля!$H$5:$H$300,Торговля!$E$5:$E$300,$B175)+SUMIFS(Закрытые!$H$5:$H$300,Закрытые!$E$5:$E$300,$B175,Закрытые!$B$5:$B$300,"T-*"))</f>
        <v/>
      </c>
      <c r="F175" s="240" t="str">
        <f>IF(SUMIFS(Торговля!$I$5:$I$300,Торговля!$E$5:$E$300,$B175)+SUMIFS(Закрытые!$I$5:$I$300,Закрытые!$E$5:$E$300,$B175,Закрытые!$B$5:$B$300,"T-*")=0,"",SUMIFS(Торговля!$I$5:$I$300,Торговля!$E$5:$E$300,$B175)+SUMIFS(Закрытые!$I$5:$I$300,Закрытые!$E$5:$E$300,$B175,Закрытые!$B$5:$B$300,"T-*"))</f>
        <v/>
      </c>
      <c r="G175" s="177" t="str">
        <f>IF(F175="","",(SUMPRODUCT((Торговля!$E$5:$E$300=$B175)*Торговля!$I$5:$I$300*Торговля!$J$5:$J$300)+SUMPRODUCT((Закрытые!$E$5:$E$300=$B175)*(LEFT(Закрытые!$B$5:$B$300,2)="T-")*Закрытые!$I$5:$I$300*Закрытые!$J$5:$J$300))/F175)</f>
        <v/>
      </c>
      <c r="H175" s="241" t="str">
        <f>IF(F175="","",SUMIFS(Торговля!$K$5:$K$300,Торговля!$E$5:$E$300,$B175)+SUMIFS(Закрытые!$K$5:$K$300,Закрытые!$E$5:$E$300,$B175,Закрытые!$B$5:$B$300,"T-*"))</f>
        <v/>
      </c>
      <c r="I175" s="240" t="str">
        <f>IF($B175="","",IF(COUNTIFS(Торговля!$E$5:$E$300,$B175)+COUNTIFS(Закрытые!$E$5:$E$300,$B175,Закрытые!$B$5:$B$300,"T-*")=0,"",ROUND(SUMIFS(Торговля!$L$5:$L$300,Торговля!$E$5:$E$300,$B175)+SUMIFS(Закрытые!$L$5:$L$300,Закрытые!$E$5:$E$300,$B175,Закрытые!$B$5:$B$300,"T-*"),8)))</f>
        <v/>
      </c>
      <c r="J175" s="241" t="str">
        <f>IF($B175="","",IF(COUNTIFS(Торговля!$E$5:$E$300,$B175)+COUNTIFS(Закрытые!$E$5:$E$300,$B175,Закрытые!$B$5:$B$300,"T-*")=0,"",ROUND(SUMIFS(Торговля!$M$5:$M$300,Торговля!$E$5:$E$300,$B175)+SUMIFS(Закрытые!$M$5:$M$300,Закрытые!$E$5:$E$300,$B175,Закрытые!$B$5:$B$300,"T-*"),8)))</f>
        <v/>
      </c>
      <c r="K175" s="240" t="str">
        <f>IF(MIN(N(C175),N(F175))&lt;=0,"",ROUND(MIN(N(C175),N(F175))*(N(G175)-N(D175)),8))</f>
        <v/>
      </c>
      <c r="L175" s="177" t="str">
        <f>IF(MIN(N(C175),N(F175))&lt;=0,"",IF(N(D175)=0,"",ROUND((N(G175)/N(D175)-1)*100,2)))</f>
        <v/>
      </c>
      <c r="M175" s="177" t="str">
        <f>IF(OR(ROUND(N(C175)-N(F175),8)=0,1-N(Ввод!$J$19)/100&lt;=0),"",IF(N(C175)&gt;N(F175),(N(E175)-N(H175))/((N(C175)-N(F175))*(1-N(Ввод!$J$19)/100)),(N(H175)-N(E175))/((N(F175)-N(C175))*(1+N(Ввод!$J$19)/100))))</f>
        <v/>
      </c>
    </row>
    <row r="176" ht="22" customHeight="1">
      <c r="B176" s="245" t="n"/>
      <c r="C176" s="246" t="str">
        <f>IF(SUMIFS(Торговля!$F$5:$F$300,Торговля!$E$5:$E$300,$B176)+SUMIFS(Закрытые!$F$5:$F$300,Закрытые!$E$5:$E$300,$B176,Закрытые!$B$5:$B$300,"T-*")=0,"",SUMIFS(Торговля!$F$5:$F$300,Торговля!$E$5:$E$300,$B176)+SUMIFS(Закрытые!$F$5:$F$300,Закрытые!$E$5:$E$300,$B176,Закрытые!$B$5:$B$300,"T-*"))</f>
        <v/>
      </c>
      <c r="D176" s="183" t="str">
        <f>IF(C176="","",(SUMPRODUCT((Торговля!$E$5:$E$300=$B176)*Торговля!$F$5:$F$300*Торговля!$G$5:$G$300)+SUMPRODUCT((Закрытые!$E$5:$E$300=$B176)*(LEFT(Закрытые!$B$5:$B$300,2)="T-")*Закрытые!$F$5:$F$300*Закрытые!$G$5:$G$300))/C176)</f>
        <v/>
      </c>
      <c r="E176" s="247" t="str">
        <f>IF(C176="","",SUMIFS(Торговля!$H$5:$H$300,Торговля!$E$5:$E$300,$B176)+SUMIFS(Закрытые!$H$5:$H$300,Закрытые!$E$5:$E$300,$B176,Закрытые!$B$5:$B$300,"T-*"))</f>
        <v/>
      </c>
      <c r="F176" s="246" t="str">
        <f>IF(SUMIFS(Торговля!$I$5:$I$300,Торговля!$E$5:$E$300,$B176)+SUMIFS(Закрытые!$I$5:$I$300,Закрытые!$E$5:$E$300,$B176,Закрытые!$B$5:$B$300,"T-*")=0,"",SUMIFS(Торговля!$I$5:$I$300,Торговля!$E$5:$E$300,$B176)+SUMIFS(Закрытые!$I$5:$I$300,Закрытые!$E$5:$E$300,$B176,Закрытые!$B$5:$B$300,"T-*"))</f>
        <v/>
      </c>
      <c r="G176" s="183" t="str">
        <f>IF(F176="","",(SUMPRODUCT((Торговля!$E$5:$E$300=$B176)*Торговля!$I$5:$I$300*Торговля!$J$5:$J$300)+SUMPRODUCT((Закрытые!$E$5:$E$300=$B176)*(LEFT(Закрытые!$B$5:$B$300,2)="T-")*Закрытые!$I$5:$I$300*Закрытые!$J$5:$J$300))/F176)</f>
        <v/>
      </c>
      <c r="H176" s="247" t="str">
        <f>IF(F176="","",SUMIFS(Торговля!$K$5:$K$300,Торговля!$E$5:$E$300,$B176)+SUMIFS(Закрытые!$K$5:$K$300,Закрытые!$E$5:$E$300,$B176,Закрытые!$B$5:$B$300,"T-*"))</f>
        <v/>
      </c>
      <c r="I176" s="246" t="str">
        <f>IF($B176="","",IF(COUNTIFS(Торговля!$E$5:$E$300,$B176)+COUNTIFS(Закрытые!$E$5:$E$300,$B176,Закрытые!$B$5:$B$300,"T-*")=0,"",ROUND(SUMIFS(Торговля!$L$5:$L$300,Торговля!$E$5:$E$300,$B176)+SUMIFS(Закрытые!$L$5:$L$300,Закрытые!$E$5:$E$300,$B176,Закрытые!$B$5:$B$300,"T-*"),8)))</f>
        <v/>
      </c>
      <c r="J176" s="247" t="str">
        <f>IF($B176="","",IF(COUNTIFS(Торговля!$E$5:$E$300,$B176)+COUNTIFS(Закрытые!$E$5:$E$300,$B176,Закрытые!$B$5:$B$300,"T-*")=0,"",ROUND(SUMIFS(Торговля!$M$5:$M$300,Торговля!$E$5:$E$300,$B176)+SUMIFS(Закрытые!$M$5:$M$300,Закрытые!$E$5:$E$300,$B176,Закрытые!$B$5:$B$300,"T-*"),8)))</f>
        <v/>
      </c>
      <c r="K176" s="246" t="str">
        <f>IF(MIN(N(C176),N(F176))&lt;=0,"",ROUND(MIN(N(C176),N(F176))*(N(G176)-N(D176)),8))</f>
        <v/>
      </c>
      <c r="L176" s="183" t="str">
        <f>IF(MIN(N(C176),N(F176))&lt;=0,"",IF(N(D176)=0,"",ROUND((N(G176)/N(D176)-1)*100,2)))</f>
        <v/>
      </c>
      <c r="M176" s="183" t="str">
        <f>IF(OR(ROUND(N(C176)-N(F176),8)=0,1-N(Ввод!$J$19)/100&lt;=0),"",IF(N(C176)&gt;N(F176),(N(E176)-N(H176))/((N(C176)-N(F176))*(1-N(Ввод!$J$19)/100)),(N(H176)-N(E176))/((N(F176)-N(C176))*(1+N(Ввод!$J$19)/100))))</f>
        <v/>
      </c>
    </row>
    <row r="177" ht="22" customHeight="1">
      <c r="B177" s="239" t="n"/>
      <c r="C177" s="240" t="str">
        <f>IF(SUMIFS(Торговля!$F$5:$F$300,Торговля!$E$5:$E$300,$B177)+SUMIFS(Закрытые!$F$5:$F$300,Закрытые!$E$5:$E$300,$B177,Закрытые!$B$5:$B$300,"T-*")=0,"",SUMIFS(Торговля!$F$5:$F$300,Торговля!$E$5:$E$300,$B177)+SUMIFS(Закрытые!$F$5:$F$300,Закрытые!$E$5:$E$300,$B177,Закрытые!$B$5:$B$300,"T-*"))</f>
        <v/>
      </c>
      <c r="D177" s="177" t="str">
        <f>IF(C177="","",(SUMPRODUCT((Торговля!$E$5:$E$300=$B177)*Торговля!$F$5:$F$300*Торговля!$G$5:$G$300)+SUMPRODUCT((Закрытые!$E$5:$E$300=$B177)*(LEFT(Закрытые!$B$5:$B$300,2)="T-")*Закрытые!$F$5:$F$300*Закрытые!$G$5:$G$300))/C177)</f>
        <v/>
      </c>
      <c r="E177" s="241" t="str">
        <f>IF(C177="","",SUMIFS(Торговля!$H$5:$H$300,Торговля!$E$5:$E$300,$B177)+SUMIFS(Закрытые!$H$5:$H$300,Закрытые!$E$5:$E$300,$B177,Закрытые!$B$5:$B$300,"T-*"))</f>
        <v/>
      </c>
      <c r="F177" s="240" t="str">
        <f>IF(SUMIFS(Торговля!$I$5:$I$300,Торговля!$E$5:$E$300,$B177)+SUMIFS(Закрытые!$I$5:$I$300,Закрытые!$E$5:$E$300,$B177,Закрытые!$B$5:$B$300,"T-*")=0,"",SUMIFS(Торговля!$I$5:$I$300,Торговля!$E$5:$E$300,$B177)+SUMIFS(Закрытые!$I$5:$I$300,Закрытые!$E$5:$E$300,$B177,Закрытые!$B$5:$B$300,"T-*"))</f>
        <v/>
      </c>
      <c r="G177" s="177" t="str">
        <f>IF(F177="","",(SUMPRODUCT((Торговля!$E$5:$E$300=$B177)*Торговля!$I$5:$I$300*Торговля!$J$5:$J$300)+SUMPRODUCT((Закрытые!$E$5:$E$300=$B177)*(LEFT(Закрытые!$B$5:$B$300,2)="T-")*Закрытые!$I$5:$I$300*Закрытые!$J$5:$J$300))/F177)</f>
        <v/>
      </c>
      <c r="H177" s="241" t="str">
        <f>IF(F177="","",SUMIFS(Торговля!$K$5:$K$300,Торговля!$E$5:$E$300,$B177)+SUMIFS(Закрытые!$K$5:$K$300,Закрытые!$E$5:$E$300,$B177,Закрытые!$B$5:$B$300,"T-*"))</f>
        <v/>
      </c>
      <c r="I177" s="240" t="str">
        <f>IF($B177="","",IF(COUNTIFS(Торговля!$E$5:$E$300,$B177)+COUNTIFS(Закрытые!$E$5:$E$300,$B177,Закрытые!$B$5:$B$300,"T-*")=0,"",ROUND(SUMIFS(Торговля!$L$5:$L$300,Торговля!$E$5:$E$300,$B177)+SUMIFS(Закрытые!$L$5:$L$300,Закрытые!$E$5:$E$300,$B177,Закрытые!$B$5:$B$300,"T-*"),8)))</f>
        <v/>
      </c>
      <c r="J177" s="241" t="str">
        <f>IF($B177="","",IF(COUNTIFS(Торговля!$E$5:$E$300,$B177)+COUNTIFS(Закрытые!$E$5:$E$300,$B177,Закрытые!$B$5:$B$300,"T-*")=0,"",ROUND(SUMIFS(Торговля!$M$5:$M$300,Торговля!$E$5:$E$300,$B177)+SUMIFS(Закрытые!$M$5:$M$300,Закрытые!$E$5:$E$300,$B177,Закрытые!$B$5:$B$300,"T-*"),8)))</f>
        <v/>
      </c>
      <c r="K177" s="240" t="str">
        <f>IF(MIN(N(C177),N(F177))&lt;=0,"",ROUND(MIN(N(C177),N(F177))*(N(G177)-N(D177)),8))</f>
        <v/>
      </c>
      <c r="L177" s="177" t="str">
        <f>IF(MIN(N(C177),N(F177))&lt;=0,"",IF(N(D177)=0,"",ROUND((N(G177)/N(D177)-1)*100,2)))</f>
        <v/>
      </c>
      <c r="M177" s="177" t="str">
        <f>IF(OR(ROUND(N(C177)-N(F177),8)=0,1-N(Ввод!$J$19)/100&lt;=0),"",IF(N(C177)&gt;N(F177),(N(E177)-N(H177))/((N(C177)-N(F177))*(1-N(Ввод!$J$19)/100)),(N(H177)-N(E177))/((N(F177)-N(C177))*(1+N(Ввод!$J$19)/100))))</f>
        <v/>
      </c>
    </row>
    <row r="178" ht="22" customHeight="1">
      <c r="B178" s="245" t="n"/>
      <c r="C178" s="246" t="str">
        <f>IF(SUMIFS(Торговля!$F$5:$F$300,Торговля!$E$5:$E$300,$B178)+SUMIFS(Закрытые!$F$5:$F$300,Закрытые!$E$5:$E$300,$B178,Закрытые!$B$5:$B$300,"T-*")=0,"",SUMIFS(Торговля!$F$5:$F$300,Торговля!$E$5:$E$300,$B178)+SUMIFS(Закрытые!$F$5:$F$300,Закрытые!$E$5:$E$300,$B178,Закрытые!$B$5:$B$300,"T-*"))</f>
        <v/>
      </c>
      <c r="D178" s="183" t="str">
        <f>IF(C178="","",(SUMPRODUCT((Торговля!$E$5:$E$300=$B178)*Торговля!$F$5:$F$300*Торговля!$G$5:$G$300)+SUMPRODUCT((Закрытые!$E$5:$E$300=$B178)*(LEFT(Закрытые!$B$5:$B$300,2)="T-")*Закрытые!$F$5:$F$300*Закрытые!$G$5:$G$300))/C178)</f>
        <v/>
      </c>
      <c r="E178" s="247" t="str">
        <f>IF(C178="","",SUMIFS(Торговля!$H$5:$H$300,Торговля!$E$5:$E$300,$B178)+SUMIFS(Закрытые!$H$5:$H$300,Закрытые!$E$5:$E$300,$B178,Закрытые!$B$5:$B$300,"T-*"))</f>
        <v/>
      </c>
      <c r="F178" s="246" t="str">
        <f>IF(SUMIFS(Торговля!$I$5:$I$300,Торговля!$E$5:$E$300,$B178)+SUMIFS(Закрытые!$I$5:$I$300,Закрытые!$E$5:$E$300,$B178,Закрытые!$B$5:$B$300,"T-*")=0,"",SUMIFS(Торговля!$I$5:$I$300,Торговля!$E$5:$E$300,$B178)+SUMIFS(Закрытые!$I$5:$I$300,Закрытые!$E$5:$E$300,$B178,Закрытые!$B$5:$B$300,"T-*"))</f>
        <v/>
      </c>
      <c r="G178" s="183" t="str">
        <f>IF(F178="","",(SUMPRODUCT((Торговля!$E$5:$E$300=$B178)*Торговля!$I$5:$I$300*Торговля!$J$5:$J$300)+SUMPRODUCT((Закрытые!$E$5:$E$300=$B178)*(LEFT(Закрытые!$B$5:$B$300,2)="T-")*Закрытые!$I$5:$I$300*Закрытые!$J$5:$J$300))/F178)</f>
        <v/>
      </c>
      <c r="H178" s="247" t="str">
        <f>IF(F178="","",SUMIFS(Торговля!$K$5:$K$300,Торговля!$E$5:$E$300,$B178)+SUMIFS(Закрытые!$K$5:$K$300,Закрытые!$E$5:$E$300,$B178,Закрытые!$B$5:$B$300,"T-*"))</f>
        <v/>
      </c>
      <c r="I178" s="246" t="str">
        <f>IF($B178="","",IF(COUNTIFS(Торговля!$E$5:$E$300,$B178)+COUNTIFS(Закрытые!$E$5:$E$300,$B178,Закрытые!$B$5:$B$300,"T-*")=0,"",ROUND(SUMIFS(Торговля!$L$5:$L$300,Торговля!$E$5:$E$300,$B178)+SUMIFS(Закрытые!$L$5:$L$300,Закрытые!$E$5:$E$300,$B178,Закрытые!$B$5:$B$300,"T-*"),8)))</f>
        <v/>
      </c>
      <c r="J178" s="247" t="str">
        <f>IF($B178="","",IF(COUNTIFS(Торговля!$E$5:$E$300,$B178)+COUNTIFS(Закрытые!$E$5:$E$300,$B178,Закрытые!$B$5:$B$300,"T-*")=0,"",ROUND(SUMIFS(Торговля!$M$5:$M$300,Торговля!$E$5:$E$300,$B178)+SUMIFS(Закрытые!$M$5:$M$300,Закрытые!$E$5:$E$300,$B178,Закрытые!$B$5:$B$300,"T-*"),8)))</f>
        <v/>
      </c>
      <c r="K178" s="246" t="str">
        <f>IF(MIN(N(C178),N(F178))&lt;=0,"",ROUND(MIN(N(C178),N(F178))*(N(G178)-N(D178)),8))</f>
        <v/>
      </c>
      <c r="L178" s="183" t="str">
        <f>IF(MIN(N(C178),N(F178))&lt;=0,"",IF(N(D178)=0,"",ROUND((N(G178)/N(D178)-1)*100,2)))</f>
        <v/>
      </c>
      <c r="M178" s="183" t="str">
        <f>IF(OR(ROUND(N(C178)-N(F178),8)=0,1-N(Ввод!$J$19)/100&lt;=0),"",IF(N(C178)&gt;N(F178),(N(E178)-N(H178))/((N(C178)-N(F178))*(1-N(Ввод!$J$19)/100)),(N(H178)-N(E178))/((N(F178)-N(C178))*(1+N(Ввод!$J$19)/100))))</f>
        <v/>
      </c>
    </row>
    <row r="179" ht="22" customHeight="1">
      <c r="B179" s="239" t="n"/>
      <c r="C179" s="240" t="str">
        <f>IF(SUMIFS(Торговля!$F$5:$F$300,Торговля!$E$5:$E$300,$B179)+SUMIFS(Закрытые!$F$5:$F$300,Закрытые!$E$5:$E$300,$B179,Закрытые!$B$5:$B$300,"T-*")=0,"",SUMIFS(Торговля!$F$5:$F$300,Торговля!$E$5:$E$300,$B179)+SUMIFS(Закрытые!$F$5:$F$300,Закрытые!$E$5:$E$300,$B179,Закрытые!$B$5:$B$300,"T-*"))</f>
        <v/>
      </c>
      <c r="D179" s="177" t="str">
        <f>IF(C179="","",(SUMPRODUCT((Торговля!$E$5:$E$300=$B179)*Торговля!$F$5:$F$300*Торговля!$G$5:$G$300)+SUMPRODUCT((Закрытые!$E$5:$E$300=$B179)*(LEFT(Закрытые!$B$5:$B$300,2)="T-")*Закрытые!$F$5:$F$300*Закрытые!$G$5:$G$300))/C179)</f>
        <v/>
      </c>
      <c r="E179" s="241" t="str">
        <f>IF(C179="","",SUMIFS(Торговля!$H$5:$H$300,Торговля!$E$5:$E$300,$B179)+SUMIFS(Закрытые!$H$5:$H$300,Закрытые!$E$5:$E$300,$B179,Закрытые!$B$5:$B$300,"T-*"))</f>
        <v/>
      </c>
      <c r="F179" s="240" t="str">
        <f>IF(SUMIFS(Торговля!$I$5:$I$300,Торговля!$E$5:$E$300,$B179)+SUMIFS(Закрытые!$I$5:$I$300,Закрытые!$E$5:$E$300,$B179,Закрытые!$B$5:$B$300,"T-*")=0,"",SUMIFS(Торговля!$I$5:$I$300,Торговля!$E$5:$E$300,$B179)+SUMIFS(Закрытые!$I$5:$I$300,Закрытые!$E$5:$E$300,$B179,Закрытые!$B$5:$B$300,"T-*"))</f>
        <v/>
      </c>
      <c r="G179" s="177" t="str">
        <f>IF(F179="","",(SUMPRODUCT((Торговля!$E$5:$E$300=$B179)*Торговля!$I$5:$I$300*Торговля!$J$5:$J$300)+SUMPRODUCT((Закрытые!$E$5:$E$300=$B179)*(LEFT(Закрытые!$B$5:$B$300,2)="T-")*Закрытые!$I$5:$I$300*Закрытые!$J$5:$J$300))/F179)</f>
        <v/>
      </c>
      <c r="H179" s="241" t="str">
        <f>IF(F179="","",SUMIFS(Торговля!$K$5:$K$300,Торговля!$E$5:$E$300,$B179)+SUMIFS(Закрытые!$K$5:$K$300,Закрытые!$E$5:$E$300,$B179,Закрытые!$B$5:$B$300,"T-*"))</f>
        <v/>
      </c>
      <c r="I179" s="240" t="str">
        <f>IF($B179="","",IF(COUNTIFS(Торговля!$E$5:$E$300,$B179)+COUNTIFS(Закрытые!$E$5:$E$300,$B179,Закрытые!$B$5:$B$300,"T-*")=0,"",ROUND(SUMIFS(Торговля!$L$5:$L$300,Торговля!$E$5:$E$300,$B179)+SUMIFS(Закрытые!$L$5:$L$300,Закрытые!$E$5:$E$300,$B179,Закрытые!$B$5:$B$300,"T-*"),8)))</f>
        <v/>
      </c>
      <c r="J179" s="241" t="str">
        <f>IF($B179="","",IF(COUNTIFS(Торговля!$E$5:$E$300,$B179)+COUNTIFS(Закрытые!$E$5:$E$300,$B179,Закрытые!$B$5:$B$300,"T-*")=0,"",ROUND(SUMIFS(Торговля!$M$5:$M$300,Торговля!$E$5:$E$300,$B179)+SUMIFS(Закрытые!$M$5:$M$300,Закрытые!$E$5:$E$300,$B179,Закрытые!$B$5:$B$300,"T-*"),8)))</f>
        <v/>
      </c>
      <c r="K179" s="240" t="str">
        <f>IF(MIN(N(C179),N(F179))&lt;=0,"",ROUND(MIN(N(C179),N(F179))*(N(G179)-N(D179)),8))</f>
        <v/>
      </c>
      <c r="L179" s="177" t="str">
        <f>IF(MIN(N(C179),N(F179))&lt;=0,"",IF(N(D179)=0,"",ROUND((N(G179)/N(D179)-1)*100,2)))</f>
        <v/>
      </c>
      <c r="M179" s="177" t="str">
        <f>IF(OR(ROUND(N(C179)-N(F179),8)=0,1-N(Ввод!$J$19)/100&lt;=0),"",IF(N(C179)&gt;N(F179),(N(E179)-N(H179))/((N(C179)-N(F179))*(1-N(Ввод!$J$19)/100)),(N(H179)-N(E179))/((N(F179)-N(C179))*(1+N(Ввод!$J$19)/100))))</f>
        <v/>
      </c>
    </row>
    <row r="180" ht="22" customHeight="1">
      <c r="B180" s="245" t="n"/>
      <c r="C180" s="246" t="str">
        <f>IF(SUMIFS(Торговля!$F$5:$F$300,Торговля!$E$5:$E$300,$B180)+SUMIFS(Закрытые!$F$5:$F$300,Закрытые!$E$5:$E$300,$B180,Закрытые!$B$5:$B$300,"T-*")=0,"",SUMIFS(Торговля!$F$5:$F$300,Торговля!$E$5:$E$300,$B180)+SUMIFS(Закрытые!$F$5:$F$300,Закрытые!$E$5:$E$300,$B180,Закрытые!$B$5:$B$300,"T-*"))</f>
        <v/>
      </c>
      <c r="D180" s="183" t="str">
        <f>IF(C180="","",(SUMPRODUCT((Торговля!$E$5:$E$300=$B180)*Торговля!$F$5:$F$300*Торговля!$G$5:$G$300)+SUMPRODUCT((Закрытые!$E$5:$E$300=$B180)*(LEFT(Закрытые!$B$5:$B$300,2)="T-")*Закрытые!$F$5:$F$300*Закрытые!$G$5:$G$300))/C180)</f>
        <v/>
      </c>
      <c r="E180" s="247" t="str">
        <f>IF(C180="","",SUMIFS(Торговля!$H$5:$H$300,Торговля!$E$5:$E$300,$B180)+SUMIFS(Закрытые!$H$5:$H$300,Закрытые!$E$5:$E$300,$B180,Закрытые!$B$5:$B$300,"T-*"))</f>
        <v/>
      </c>
      <c r="F180" s="246" t="str">
        <f>IF(SUMIFS(Торговля!$I$5:$I$300,Торговля!$E$5:$E$300,$B180)+SUMIFS(Закрытые!$I$5:$I$300,Закрытые!$E$5:$E$300,$B180,Закрытые!$B$5:$B$300,"T-*")=0,"",SUMIFS(Торговля!$I$5:$I$300,Торговля!$E$5:$E$300,$B180)+SUMIFS(Закрытые!$I$5:$I$300,Закрытые!$E$5:$E$300,$B180,Закрытые!$B$5:$B$300,"T-*"))</f>
        <v/>
      </c>
      <c r="G180" s="183" t="str">
        <f>IF(F180="","",(SUMPRODUCT((Торговля!$E$5:$E$300=$B180)*Торговля!$I$5:$I$300*Торговля!$J$5:$J$300)+SUMPRODUCT((Закрытые!$E$5:$E$300=$B180)*(LEFT(Закрытые!$B$5:$B$300,2)="T-")*Закрытые!$I$5:$I$300*Закрытые!$J$5:$J$300))/F180)</f>
        <v/>
      </c>
      <c r="H180" s="247" t="str">
        <f>IF(F180="","",SUMIFS(Торговля!$K$5:$K$300,Торговля!$E$5:$E$300,$B180)+SUMIFS(Закрытые!$K$5:$K$300,Закрытые!$E$5:$E$300,$B180,Закрытые!$B$5:$B$300,"T-*"))</f>
        <v/>
      </c>
      <c r="I180" s="246" t="str">
        <f>IF($B180="","",IF(COUNTIFS(Торговля!$E$5:$E$300,$B180)+COUNTIFS(Закрытые!$E$5:$E$300,$B180,Закрытые!$B$5:$B$300,"T-*")=0,"",ROUND(SUMIFS(Торговля!$L$5:$L$300,Торговля!$E$5:$E$300,$B180)+SUMIFS(Закрытые!$L$5:$L$300,Закрытые!$E$5:$E$300,$B180,Закрытые!$B$5:$B$300,"T-*"),8)))</f>
        <v/>
      </c>
      <c r="J180" s="247" t="str">
        <f>IF($B180="","",IF(COUNTIFS(Торговля!$E$5:$E$300,$B180)+COUNTIFS(Закрытые!$E$5:$E$300,$B180,Закрытые!$B$5:$B$300,"T-*")=0,"",ROUND(SUMIFS(Торговля!$M$5:$M$300,Торговля!$E$5:$E$300,$B180)+SUMIFS(Закрытые!$M$5:$M$300,Закрытые!$E$5:$E$300,$B180,Закрытые!$B$5:$B$300,"T-*"),8)))</f>
        <v/>
      </c>
      <c r="K180" s="246" t="str">
        <f>IF(MIN(N(C180),N(F180))&lt;=0,"",ROUND(MIN(N(C180),N(F180))*(N(G180)-N(D180)),8))</f>
        <v/>
      </c>
      <c r="L180" s="183" t="str">
        <f>IF(MIN(N(C180),N(F180))&lt;=0,"",IF(N(D180)=0,"",ROUND((N(G180)/N(D180)-1)*100,2)))</f>
        <v/>
      </c>
      <c r="M180" s="183" t="str">
        <f>IF(OR(ROUND(N(C180)-N(F180),8)=0,1-N(Ввод!$J$19)/100&lt;=0),"",IF(N(C180)&gt;N(F180),(N(E180)-N(H180))/((N(C180)-N(F180))*(1-N(Ввод!$J$19)/100)),(N(H180)-N(E180))/((N(F180)-N(C180))*(1+N(Ввод!$J$19)/100))))</f>
        <v/>
      </c>
    </row>
    <row r="181" ht="22" customHeight="1">
      <c r="B181" s="239" t="n"/>
      <c r="C181" s="240" t="str">
        <f>IF(SUMIFS(Торговля!$F$5:$F$300,Торговля!$E$5:$E$300,$B181)+SUMIFS(Закрытые!$F$5:$F$300,Закрытые!$E$5:$E$300,$B181,Закрытые!$B$5:$B$300,"T-*")=0,"",SUMIFS(Торговля!$F$5:$F$300,Торговля!$E$5:$E$300,$B181)+SUMIFS(Закрытые!$F$5:$F$300,Закрытые!$E$5:$E$300,$B181,Закрытые!$B$5:$B$300,"T-*"))</f>
        <v/>
      </c>
      <c r="D181" s="177" t="str">
        <f>IF(C181="","",(SUMPRODUCT((Торговля!$E$5:$E$300=$B181)*Торговля!$F$5:$F$300*Торговля!$G$5:$G$300)+SUMPRODUCT((Закрытые!$E$5:$E$300=$B181)*(LEFT(Закрытые!$B$5:$B$300,2)="T-")*Закрытые!$F$5:$F$300*Закрытые!$G$5:$G$300))/C181)</f>
        <v/>
      </c>
      <c r="E181" s="241" t="str">
        <f>IF(C181="","",SUMIFS(Торговля!$H$5:$H$300,Торговля!$E$5:$E$300,$B181)+SUMIFS(Закрытые!$H$5:$H$300,Закрытые!$E$5:$E$300,$B181,Закрытые!$B$5:$B$300,"T-*"))</f>
        <v/>
      </c>
      <c r="F181" s="240" t="str">
        <f>IF(SUMIFS(Торговля!$I$5:$I$300,Торговля!$E$5:$E$300,$B181)+SUMIFS(Закрытые!$I$5:$I$300,Закрытые!$E$5:$E$300,$B181,Закрытые!$B$5:$B$300,"T-*")=0,"",SUMIFS(Торговля!$I$5:$I$300,Торговля!$E$5:$E$300,$B181)+SUMIFS(Закрытые!$I$5:$I$300,Закрытые!$E$5:$E$300,$B181,Закрытые!$B$5:$B$300,"T-*"))</f>
        <v/>
      </c>
      <c r="G181" s="177" t="str">
        <f>IF(F181="","",(SUMPRODUCT((Торговля!$E$5:$E$300=$B181)*Торговля!$I$5:$I$300*Торговля!$J$5:$J$300)+SUMPRODUCT((Закрытые!$E$5:$E$300=$B181)*(LEFT(Закрытые!$B$5:$B$300,2)="T-")*Закрытые!$I$5:$I$300*Закрытые!$J$5:$J$300))/F181)</f>
        <v/>
      </c>
      <c r="H181" s="241" t="str">
        <f>IF(F181="","",SUMIFS(Торговля!$K$5:$K$300,Торговля!$E$5:$E$300,$B181)+SUMIFS(Закрытые!$K$5:$K$300,Закрытые!$E$5:$E$300,$B181,Закрытые!$B$5:$B$300,"T-*"))</f>
        <v/>
      </c>
      <c r="I181" s="240" t="str">
        <f>IF($B181="","",IF(COUNTIFS(Торговля!$E$5:$E$300,$B181)+COUNTIFS(Закрытые!$E$5:$E$300,$B181,Закрытые!$B$5:$B$300,"T-*")=0,"",ROUND(SUMIFS(Торговля!$L$5:$L$300,Торговля!$E$5:$E$300,$B181)+SUMIFS(Закрытые!$L$5:$L$300,Закрытые!$E$5:$E$300,$B181,Закрытые!$B$5:$B$300,"T-*"),8)))</f>
        <v/>
      </c>
      <c r="J181" s="241" t="str">
        <f>IF($B181="","",IF(COUNTIFS(Торговля!$E$5:$E$300,$B181)+COUNTIFS(Закрытые!$E$5:$E$300,$B181,Закрытые!$B$5:$B$300,"T-*")=0,"",ROUND(SUMIFS(Торговля!$M$5:$M$300,Торговля!$E$5:$E$300,$B181)+SUMIFS(Закрытые!$M$5:$M$300,Закрытые!$E$5:$E$300,$B181,Закрытые!$B$5:$B$300,"T-*"),8)))</f>
        <v/>
      </c>
      <c r="K181" s="240" t="str">
        <f>IF(MIN(N(C181),N(F181))&lt;=0,"",ROUND(MIN(N(C181),N(F181))*(N(G181)-N(D181)),8))</f>
        <v/>
      </c>
      <c r="L181" s="177" t="str">
        <f>IF(MIN(N(C181),N(F181))&lt;=0,"",IF(N(D181)=0,"",ROUND((N(G181)/N(D181)-1)*100,2)))</f>
        <v/>
      </c>
      <c r="M181" s="177" t="str">
        <f>IF(OR(ROUND(N(C181)-N(F181),8)=0,1-N(Ввод!$J$19)/100&lt;=0),"",IF(N(C181)&gt;N(F181),(N(E181)-N(H181))/((N(C181)-N(F181))*(1-N(Ввод!$J$19)/100)),(N(H181)-N(E181))/((N(F181)-N(C181))*(1+N(Ввод!$J$19)/100))))</f>
        <v/>
      </c>
    </row>
    <row r="182" ht="22" customHeight="1">
      <c r="B182" s="245" t="n"/>
      <c r="C182" s="246" t="str">
        <f>IF(SUMIFS(Торговля!$F$5:$F$300,Торговля!$E$5:$E$300,$B182)+SUMIFS(Закрытые!$F$5:$F$300,Закрытые!$E$5:$E$300,$B182,Закрытые!$B$5:$B$300,"T-*")=0,"",SUMIFS(Торговля!$F$5:$F$300,Торговля!$E$5:$E$300,$B182)+SUMIFS(Закрытые!$F$5:$F$300,Закрытые!$E$5:$E$300,$B182,Закрытые!$B$5:$B$300,"T-*"))</f>
        <v/>
      </c>
      <c r="D182" s="183" t="str">
        <f>IF(C182="","",(SUMPRODUCT((Торговля!$E$5:$E$300=$B182)*Торговля!$F$5:$F$300*Торговля!$G$5:$G$300)+SUMPRODUCT((Закрытые!$E$5:$E$300=$B182)*(LEFT(Закрытые!$B$5:$B$300,2)="T-")*Закрытые!$F$5:$F$300*Закрытые!$G$5:$G$300))/C182)</f>
        <v/>
      </c>
      <c r="E182" s="247" t="str">
        <f>IF(C182="","",SUMIFS(Торговля!$H$5:$H$300,Торговля!$E$5:$E$300,$B182)+SUMIFS(Закрытые!$H$5:$H$300,Закрытые!$E$5:$E$300,$B182,Закрытые!$B$5:$B$300,"T-*"))</f>
        <v/>
      </c>
      <c r="F182" s="246" t="str">
        <f>IF(SUMIFS(Торговля!$I$5:$I$300,Торговля!$E$5:$E$300,$B182)+SUMIFS(Закрытые!$I$5:$I$300,Закрытые!$E$5:$E$300,$B182,Закрытые!$B$5:$B$300,"T-*")=0,"",SUMIFS(Торговля!$I$5:$I$300,Торговля!$E$5:$E$300,$B182)+SUMIFS(Закрытые!$I$5:$I$300,Закрытые!$E$5:$E$300,$B182,Закрытые!$B$5:$B$300,"T-*"))</f>
        <v/>
      </c>
      <c r="G182" s="183" t="str">
        <f>IF(F182="","",(SUMPRODUCT((Торговля!$E$5:$E$300=$B182)*Торговля!$I$5:$I$300*Торговля!$J$5:$J$300)+SUMPRODUCT((Закрытые!$E$5:$E$300=$B182)*(LEFT(Закрытые!$B$5:$B$300,2)="T-")*Закрытые!$I$5:$I$300*Закрытые!$J$5:$J$300))/F182)</f>
        <v/>
      </c>
      <c r="H182" s="247" t="str">
        <f>IF(F182="","",SUMIFS(Торговля!$K$5:$K$300,Торговля!$E$5:$E$300,$B182)+SUMIFS(Закрытые!$K$5:$K$300,Закрытые!$E$5:$E$300,$B182,Закрытые!$B$5:$B$300,"T-*"))</f>
        <v/>
      </c>
      <c r="I182" s="246" t="str">
        <f>IF($B182="","",IF(COUNTIFS(Торговля!$E$5:$E$300,$B182)+COUNTIFS(Закрытые!$E$5:$E$300,$B182,Закрытые!$B$5:$B$300,"T-*")=0,"",ROUND(SUMIFS(Торговля!$L$5:$L$300,Торговля!$E$5:$E$300,$B182)+SUMIFS(Закрытые!$L$5:$L$300,Закрытые!$E$5:$E$300,$B182,Закрытые!$B$5:$B$300,"T-*"),8)))</f>
        <v/>
      </c>
      <c r="J182" s="247" t="str">
        <f>IF($B182="","",IF(COUNTIFS(Торговля!$E$5:$E$300,$B182)+COUNTIFS(Закрытые!$E$5:$E$300,$B182,Закрытые!$B$5:$B$300,"T-*")=0,"",ROUND(SUMIFS(Торговля!$M$5:$M$300,Торговля!$E$5:$E$300,$B182)+SUMIFS(Закрытые!$M$5:$M$300,Закрытые!$E$5:$E$300,$B182,Закрытые!$B$5:$B$300,"T-*"),8)))</f>
        <v/>
      </c>
      <c r="K182" s="246" t="str">
        <f>IF(MIN(N(C182),N(F182))&lt;=0,"",ROUND(MIN(N(C182),N(F182))*(N(G182)-N(D182)),8))</f>
        <v/>
      </c>
      <c r="L182" s="183" t="str">
        <f>IF(MIN(N(C182),N(F182))&lt;=0,"",IF(N(D182)=0,"",ROUND((N(G182)/N(D182)-1)*100,2)))</f>
        <v/>
      </c>
      <c r="M182" s="183" t="str">
        <f>IF(OR(ROUND(N(C182)-N(F182),8)=0,1-N(Ввод!$J$19)/100&lt;=0),"",IF(N(C182)&gt;N(F182),(N(E182)-N(H182))/((N(C182)-N(F182))*(1-N(Ввод!$J$19)/100)),(N(H182)-N(E182))/((N(F182)-N(C182))*(1+N(Ввод!$J$19)/100))))</f>
        <v/>
      </c>
    </row>
    <row r="183" ht="22" customHeight="1">
      <c r="B183" s="239" t="n"/>
      <c r="C183" s="240" t="str">
        <f>IF(SUMIFS(Торговля!$F$5:$F$300,Торговля!$E$5:$E$300,$B183)+SUMIFS(Закрытые!$F$5:$F$300,Закрытые!$E$5:$E$300,$B183,Закрытые!$B$5:$B$300,"T-*")=0,"",SUMIFS(Торговля!$F$5:$F$300,Торговля!$E$5:$E$300,$B183)+SUMIFS(Закрытые!$F$5:$F$300,Закрытые!$E$5:$E$300,$B183,Закрытые!$B$5:$B$300,"T-*"))</f>
        <v/>
      </c>
      <c r="D183" s="177" t="str">
        <f>IF(C183="","",(SUMPRODUCT((Торговля!$E$5:$E$300=$B183)*Торговля!$F$5:$F$300*Торговля!$G$5:$G$300)+SUMPRODUCT((Закрытые!$E$5:$E$300=$B183)*(LEFT(Закрытые!$B$5:$B$300,2)="T-")*Закрытые!$F$5:$F$300*Закрытые!$G$5:$G$300))/C183)</f>
        <v/>
      </c>
      <c r="E183" s="241" t="str">
        <f>IF(C183="","",SUMIFS(Торговля!$H$5:$H$300,Торговля!$E$5:$E$300,$B183)+SUMIFS(Закрытые!$H$5:$H$300,Закрытые!$E$5:$E$300,$B183,Закрытые!$B$5:$B$300,"T-*"))</f>
        <v/>
      </c>
      <c r="F183" s="240" t="str">
        <f>IF(SUMIFS(Торговля!$I$5:$I$300,Торговля!$E$5:$E$300,$B183)+SUMIFS(Закрытые!$I$5:$I$300,Закрытые!$E$5:$E$300,$B183,Закрытые!$B$5:$B$300,"T-*")=0,"",SUMIFS(Торговля!$I$5:$I$300,Торговля!$E$5:$E$300,$B183)+SUMIFS(Закрытые!$I$5:$I$300,Закрытые!$E$5:$E$300,$B183,Закрытые!$B$5:$B$300,"T-*"))</f>
        <v/>
      </c>
      <c r="G183" s="177" t="str">
        <f>IF(F183="","",(SUMPRODUCT((Торговля!$E$5:$E$300=$B183)*Торговля!$I$5:$I$300*Торговля!$J$5:$J$300)+SUMPRODUCT((Закрытые!$E$5:$E$300=$B183)*(LEFT(Закрытые!$B$5:$B$300,2)="T-")*Закрытые!$I$5:$I$300*Закрытые!$J$5:$J$300))/F183)</f>
        <v/>
      </c>
      <c r="H183" s="241" t="str">
        <f>IF(F183="","",SUMIFS(Торговля!$K$5:$K$300,Торговля!$E$5:$E$300,$B183)+SUMIFS(Закрытые!$K$5:$K$300,Закрытые!$E$5:$E$300,$B183,Закрытые!$B$5:$B$300,"T-*"))</f>
        <v/>
      </c>
      <c r="I183" s="240" t="str">
        <f>IF($B183="","",IF(COUNTIFS(Торговля!$E$5:$E$300,$B183)+COUNTIFS(Закрытые!$E$5:$E$300,$B183,Закрытые!$B$5:$B$300,"T-*")=0,"",ROUND(SUMIFS(Торговля!$L$5:$L$300,Торговля!$E$5:$E$300,$B183)+SUMIFS(Закрытые!$L$5:$L$300,Закрытые!$E$5:$E$300,$B183,Закрытые!$B$5:$B$300,"T-*"),8)))</f>
        <v/>
      </c>
      <c r="J183" s="241" t="str">
        <f>IF($B183="","",IF(COUNTIFS(Торговля!$E$5:$E$300,$B183)+COUNTIFS(Закрытые!$E$5:$E$300,$B183,Закрытые!$B$5:$B$300,"T-*")=0,"",ROUND(SUMIFS(Торговля!$M$5:$M$300,Торговля!$E$5:$E$300,$B183)+SUMIFS(Закрытые!$M$5:$M$300,Закрытые!$E$5:$E$300,$B183,Закрытые!$B$5:$B$300,"T-*"),8)))</f>
        <v/>
      </c>
      <c r="K183" s="240" t="str">
        <f>IF(MIN(N(C183),N(F183))&lt;=0,"",ROUND(MIN(N(C183),N(F183))*(N(G183)-N(D183)),8))</f>
        <v/>
      </c>
      <c r="L183" s="177" t="str">
        <f>IF(MIN(N(C183),N(F183))&lt;=0,"",IF(N(D183)=0,"",ROUND((N(G183)/N(D183)-1)*100,2)))</f>
        <v/>
      </c>
      <c r="M183" s="177" t="str">
        <f>IF(OR(ROUND(N(C183)-N(F183),8)=0,1-N(Ввод!$J$19)/100&lt;=0),"",IF(N(C183)&gt;N(F183),(N(E183)-N(H183))/((N(C183)-N(F183))*(1-N(Ввод!$J$19)/100)),(N(H183)-N(E183))/((N(F183)-N(C183))*(1+N(Ввод!$J$19)/100))))</f>
        <v/>
      </c>
    </row>
    <row r="184" ht="22" customHeight="1">
      <c r="B184" s="245" t="n"/>
      <c r="C184" s="246" t="str">
        <f>IF(SUMIFS(Торговля!$F$5:$F$300,Торговля!$E$5:$E$300,$B184)+SUMIFS(Закрытые!$F$5:$F$300,Закрытые!$E$5:$E$300,$B184,Закрытые!$B$5:$B$300,"T-*")=0,"",SUMIFS(Торговля!$F$5:$F$300,Торговля!$E$5:$E$300,$B184)+SUMIFS(Закрытые!$F$5:$F$300,Закрытые!$E$5:$E$300,$B184,Закрытые!$B$5:$B$300,"T-*"))</f>
        <v/>
      </c>
      <c r="D184" s="183" t="str">
        <f>IF(C184="","",(SUMPRODUCT((Торговля!$E$5:$E$300=$B184)*Торговля!$F$5:$F$300*Торговля!$G$5:$G$300)+SUMPRODUCT((Закрытые!$E$5:$E$300=$B184)*(LEFT(Закрытые!$B$5:$B$300,2)="T-")*Закрытые!$F$5:$F$300*Закрытые!$G$5:$G$300))/C184)</f>
        <v/>
      </c>
      <c r="E184" s="247" t="str">
        <f>IF(C184="","",SUMIFS(Торговля!$H$5:$H$300,Торговля!$E$5:$E$300,$B184)+SUMIFS(Закрытые!$H$5:$H$300,Закрытые!$E$5:$E$300,$B184,Закрытые!$B$5:$B$300,"T-*"))</f>
        <v/>
      </c>
      <c r="F184" s="246" t="str">
        <f>IF(SUMIFS(Торговля!$I$5:$I$300,Торговля!$E$5:$E$300,$B184)+SUMIFS(Закрытые!$I$5:$I$300,Закрытые!$E$5:$E$300,$B184,Закрытые!$B$5:$B$300,"T-*")=0,"",SUMIFS(Торговля!$I$5:$I$300,Торговля!$E$5:$E$300,$B184)+SUMIFS(Закрытые!$I$5:$I$300,Закрытые!$E$5:$E$300,$B184,Закрытые!$B$5:$B$300,"T-*"))</f>
        <v/>
      </c>
      <c r="G184" s="183" t="str">
        <f>IF(F184="","",(SUMPRODUCT((Торговля!$E$5:$E$300=$B184)*Торговля!$I$5:$I$300*Торговля!$J$5:$J$300)+SUMPRODUCT((Закрытые!$E$5:$E$300=$B184)*(LEFT(Закрытые!$B$5:$B$300,2)="T-")*Закрытые!$I$5:$I$300*Закрытые!$J$5:$J$300))/F184)</f>
        <v/>
      </c>
      <c r="H184" s="247" t="str">
        <f>IF(F184="","",SUMIFS(Торговля!$K$5:$K$300,Торговля!$E$5:$E$300,$B184)+SUMIFS(Закрытые!$K$5:$K$300,Закрытые!$E$5:$E$300,$B184,Закрытые!$B$5:$B$300,"T-*"))</f>
        <v/>
      </c>
      <c r="I184" s="246" t="str">
        <f>IF($B184="","",IF(COUNTIFS(Торговля!$E$5:$E$300,$B184)+COUNTIFS(Закрытые!$E$5:$E$300,$B184,Закрытые!$B$5:$B$300,"T-*")=0,"",ROUND(SUMIFS(Торговля!$L$5:$L$300,Торговля!$E$5:$E$300,$B184)+SUMIFS(Закрытые!$L$5:$L$300,Закрытые!$E$5:$E$300,$B184,Закрытые!$B$5:$B$300,"T-*"),8)))</f>
        <v/>
      </c>
      <c r="J184" s="247" t="str">
        <f>IF($B184="","",IF(COUNTIFS(Торговля!$E$5:$E$300,$B184)+COUNTIFS(Закрытые!$E$5:$E$300,$B184,Закрытые!$B$5:$B$300,"T-*")=0,"",ROUND(SUMIFS(Торговля!$M$5:$M$300,Торговля!$E$5:$E$300,$B184)+SUMIFS(Закрытые!$M$5:$M$300,Закрытые!$E$5:$E$300,$B184,Закрытые!$B$5:$B$300,"T-*"),8)))</f>
        <v/>
      </c>
      <c r="K184" s="246" t="str">
        <f>IF(MIN(N(C184),N(F184))&lt;=0,"",ROUND(MIN(N(C184),N(F184))*(N(G184)-N(D184)),8))</f>
        <v/>
      </c>
      <c r="L184" s="183" t="str">
        <f>IF(MIN(N(C184),N(F184))&lt;=0,"",IF(N(D184)=0,"",ROUND((N(G184)/N(D184)-1)*100,2)))</f>
        <v/>
      </c>
      <c r="M184" s="183" t="str">
        <f>IF(OR(ROUND(N(C184)-N(F184),8)=0,1-N(Ввод!$J$19)/100&lt;=0),"",IF(N(C184)&gt;N(F184),(N(E184)-N(H184))/((N(C184)-N(F184))*(1-N(Ввод!$J$19)/100)),(N(H184)-N(E184))/((N(F184)-N(C184))*(1+N(Ввод!$J$19)/100))))</f>
        <v/>
      </c>
    </row>
    <row r="185" ht="22" customHeight="1">
      <c r="B185" s="239" t="n"/>
      <c r="C185" s="240" t="str">
        <f>IF(SUMIFS(Торговля!$F$5:$F$300,Торговля!$E$5:$E$300,$B185)+SUMIFS(Закрытые!$F$5:$F$300,Закрытые!$E$5:$E$300,$B185,Закрытые!$B$5:$B$300,"T-*")=0,"",SUMIFS(Торговля!$F$5:$F$300,Торговля!$E$5:$E$300,$B185)+SUMIFS(Закрытые!$F$5:$F$300,Закрытые!$E$5:$E$300,$B185,Закрытые!$B$5:$B$300,"T-*"))</f>
        <v/>
      </c>
      <c r="D185" s="177" t="str">
        <f>IF(C185="","",(SUMPRODUCT((Торговля!$E$5:$E$300=$B185)*Торговля!$F$5:$F$300*Торговля!$G$5:$G$300)+SUMPRODUCT((Закрытые!$E$5:$E$300=$B185)*(LEFT(Закрытые!$B$5:$B$300,2)="T-")*Закрытые!$F$5:$F$300*Закрытые!$G$5:$G$300))/C185)</f>
        <v/>
      </c>
      <c r="E185" s="241" t="str">
        <f>IF(C185="","",SUMIFS(Торговля!$H$5:$H$300,Торговля!$E$5:$E$300,$B185)+SUMIFS(Закрытые!$H$5:$H$300,Закрытые!$E$5:$E$300,$B185,Закрытые!$B$5:$B$300,"T-*"))</f>
        <v/>
      </c>
      <c r="F185" s="240" t="str">
        <f>IF(SUMIFS(Торговля!$I$5:$I$300,Торговля!$E$5:$E$300,$B185)+SUMIFS(Закрытые!$I$5:$I$300,Закрытые!$E$5:$E$300,$B185,Закрытые!$B$5:$B$300,"T-*")=0,"",SUMIFS(Торговля!$I$5:$I$300,Торговля!$E$5:$E$300,$B185)+SUMIFS(Закрытые!$I$5:$I$300,Закрытые!$E$5:$E$300,$B185,Закрытые!$B$5:$B$300,"T-*"))</f>
        <v/>
      </c>
      <c r="G185" s="177" t="str">
        <f>IF(F185="","",(SUMPRODUCT((Торговля!$E$5:$E$300=$B185)*Торговля!$I$5:$I$300*Торговля!$J$5:$J$300)+SUMPRODUCT((Закрытые!$E$5:$E$300=$B185)*(LEFT(Закрытые!$B$5:$B$300,2)="T-")*Закрытые!$I$5:$I$300*Закрытые!$J$5:$J$300))/F185)</f>
        <v/>
      </c>
      <c r="H185" s="241" t="str">
        <f>IF(F185="","",SUMIFS(Торговля!$K$5:$K$300,Торговля!$E$5:$E$300,$B185)+SUMIFS(Закрытые!$K$5:$K$300,Закрытые!$E$5:$E$300,$B185,Закрытые!$B$5:$B$300,"T-*"))</f>
        <v/>
      </c>
      <c r="I185" s="240" t="str">
        <f>IF($B185="","",IF(COUNTIFS(Торговля!$E$5:$E$300,$B185)+COUNTIFS(Закрытые!$E$5:$E$300,$B185,Закрытые!$B$5:$B$300,"T-*")=0,"",ROUND(SUMIFS(Торговля!$L$5:$L$300,Торговля!$E$5:$E$300,$B185)+SUMIFS(Закрытые!$L$5:$L$300,Закрытые!$E$5:$E$300,$B185,Закрытые!$B$5:$B$300,"T-*"),8)))</f>
        <v/>
      </c>
      <c r="J185" s="241" t="str">
        <f>IF($B185="","",IF(COUNTIFS(Торговля!$E$5:$E$300,$B185)+COUNTIFS(Закрытые!$E$5:$E$300,$B185,Закрытые!$B$5:$B$300,"T-*")=0,"",ROUND(SUMIFS(Торговля!$M$5:$M$300,Торговля!$E$5:$E$300,$B185)+SUMIFS(Закрытые!$M$5:$M$300,Закрытые!$E$5:$E$300,$B185,Закрытые!$B$5:$B$300,"T-*"),8)))</f>
        <v/>
      </c>
      <c r="K185" s="240" t="str">
        <f>IF(MIN(N(C185),N(F185))&lt;=0,"",ROUND(MIN(N(C185),N(F185))*(N(G185)-N(D185)),8))</f>
        <v/>
      </c>
      <c r="L185" s="177" t="str">
        <f>IF(MIN(N(C185),N(F185))&lt;=0,"",IF(N(D185)=0,"",ROUND((N(G185)/N(D185)-1)*100,2)))</f>
        <v/>
      </c>
      <c r="M185" s="177" t="str">
        <f>IF(OR(ROUND(N(C185)-N(F185),8)=0,1-N(Ввод!$J$19)/100&lt;=0),"",IF(N(C185)&gt;N(F185),(N(E185)-N(H185))/((N(C185)-N(F185))*(1-N(Ввод!$J$19)/100)),(N(H185)-N(E185))/((N(F185)-N(C185))*(1+N(Ввод!$J$19)/100))))</f>
        <v/>
      </c>
    </row>
    <row r="186" ht="22" customHeight="1">
      <c r="B186" s="245" t="n"/>
      <c r="C186" s="246" t="str">
        <f>IF(SUMIFS(Торговля!$F$5:$F$300,Торговля!$E$5:$E$300,$B186)+SUMIFS(Закрытые!$F$5:$F$300,Закрытые!$E$5:$E$300,$B186,Закрытые!$B$5:$B$300,"T-*")=0,"",SUMIFS(Торговля!$F$5:$F$300,Торговля!$E$5:$E$300,$B186)+SUMIFS(Закрытые!$F$5:$F$300,Закрытые!$E$5:$E$300,$B186,Закрытые!$B$5:$B$300,"T-*"))</f>
        <v/>
      </c>
      <c r="D186" s="183" t="str">
        <f>IF(C186="","",(SUMPRODUCT((Торговля!$E$5:$E$300=$B186)*Торговля!$F$5:$F$300*Торговля!$G$5:$G$300)+SUMPRODUCT((Закрытые!$E$5:$E$300=$B186)*(LEFT(Закрытые!$B$5:$B$300,2)="T-")*Закрытые!$F$5:$F$300*Закрытые!$G$5:$G$300))/C186)</f>
        <v/>
      </c>
      <c r="E186" s="247" t="str">
        <f>IF(C186="","",SUMIFS(Торговля!$H$5:$H$300,Торговля!$E$5:$E$300,$B186)+SUMIFS(Закрытые!$H$5:$H$300,Закрытые!$E$5:$E$300,$B186,Закрытые!$B$5:$B$300,"T-*"))</f>
        <v/>
      </c>
      <c r="F186" s="246" t="str">
        <f>IF(SUMIFS(Торговля!$I$5:$I$300,Торговля!$E$5:$E$300,$B186)+SUMIFS(Закрытые!$I$5:$I$300,Закрытые!$E$5:$E$300,$B186,Закрытые!$B$5:$B$300,"T-*")=0,"",SUMIFS(Торговля!$I$5:$I$300,Торговля!$E$5:$E$300,$B186)+SUMIFS(Закрытые!$I$5:$I$300,Закрытые!$E$5:$E$300,$B186,Закрытые!$B$5:$B$300,"T-*"))</f>
        <v/>
      </c>
      <c r="G186" s="183" t="str">
        <f>IF(F186="","",(SUMPRODUCT((Торговля!$E$5:$E$300=$B186)*Торговля!$I$5:$I$300*Торговля!$J$5:$J$300)+SUMPRODUCT((Закрытые!$E$5:$E$300=$B186)*(LEFT(Закрытые!$B$5:$B$300,2)="T-")*Закрытые!$I$5:$I$300*Закрытые!$J$5:$J$300))/F186)</f>
        <v/>
      </c>
      <c r="H186" s="247" t="str">
        <f>IF(F186="","",SUMIFS(Торговля!$K$5:$K$300,Торговля!$E$5:$E$300,$B186)+SUMIFS(Закрытые!$K$5:$K$300,Закрытые!$E$5:$E$300,$B186,Закрытые!$B$5:$B$300,"T-*"))</f>
        <v/>
      </c>
      <c r="I186" s="246" t="str">
        <f>IF($B186="","",IF(COUNTIFS(Торговля!$E$5:$E$300,$B186)+COUNTIFS(Закрытые!$E$5:$E$300,$B186,Закрытые!$B$5:$B$300,"T-*")=0,"",ROUND(SUMIFS(Торговля!$L$5:$L$300,Торговля!$E$5:$E$300,$B186)+SUMIFS(Закрытые!$L$5:$L$300,Закрытые!$E$5:$E$300,$B186,Закрытые!$B$5:$B$300,"T-*"),8)))</f>
        <v/>
      </c>
      <c r="J186" s="247" t="str">
        <f>IF($B186="","",IF(COUNTIFS(Торговля!$E$5:$E$300,$B186)+COUNTIFS(Закрытые!$E$5:$E$300,$B186,Закрытые!$B$5:$B$300,"T-*")=0,"",ROUND(SUMIFS(Торговля!$M$5:$M$300,Торговля!$E$5:$E$300,$B186)+SUMIFS(Закрытые!$M$5:$M$300,Закрытые!$E$5:$E$300,$B186,Закрытые!$B$5:$B$300,"T-*"),8)))</f>
        <v/>
      </c>
      <c r="K186" s="246" t="str">
        <f>IF(MIN(N(C186),N(F186))&lt;=0,"",ROUND(MIN(N(C186),N(F186))*(N(G186)-N(D186)),8))</f>
        <v/>
      </c>
      <c r="L186" s="183" t="str">
        <f>IF(MIN(N(C186),N(F186))&lt;=0,"",IF(N(D186)=0,"",ROUND((N(G186)/N(D186)-1)*100,2)))</f>
        <v/>
      </c>
      <c r="M186" s="183" t="str">
        <f>IF(OR(ROUND(N(C186)-N(F186),8)=0,1-N(Ввод!$J$19)/100&lt;=0),"",IF(N(C186)&gt;N(F186),(N(E186)-N(H186))/((N(C186)-N(F186))*(1-N(Ввод!$J$19)/100)),(N(H186)-N(E186))/((N(F186)-N(C186))*(1+N(Ввод!$J$19)/100))))</f>
        <v/>
      </c>
    </row>
    <row r="187" ht="22" customHeight="1">
      <c r="B187" s="239" t="n"/>
      <c r="C187" s="240" t="str">
        <f>IF(SUMIFS(Торговля!$F$5:$F$300,Торговля!$E$5:$E$300,$B187)+SUMIFS(Закрытые!$F$5:$F$300,Закрытые!$E$5:$E$300,$B187,Закрытые!$B$5:$B$300,"T-*")=0,"",SUMIFS(Торговля!$F$5:$F$300,Торговля!$E$5:$E$300,$B187)+SUMIFS(Закрытые!$F$5:$F$300,Закрытые!$E$5:$E$300,$B187,Закрытые!$B$5:$B$300,"T-*"))</f>
        <v/>
      </c>
      <c r="D187" s="177" t="str">
        <f>IF(C187="","",(SUMPRODUCT((Торговля!$E$5:$E$300=$B187)*Торговля!$F$5:$F$300*Торговля!$G$5:$G$300)+SUMPRODUCT((Закрытые!$E$5:$E$300=$B187)*(LEFT(Закрытые!$B$5:$B$300,2)="T-")*Закрытые!$F$5:$F$300*Закрытые!$G$5:$G$300))/C187)</f>
        <v/>
      </c>
      <c r="E187" s="241" t="str">
        <f>IF(C187="","",SUMIFS(Торговля!$H$5:$H$300,Торговля!$E$5:$E$300,$B187)+SUMIFS(Закрытые!$H$5:$H$300,Закрытые!$E$5:$E$300,$B187,Закрытые!$B$5:$B$300,"T-*"))</f>
        <v/>
      </c>
      <c r="F187" s="240" t="str">
        <f>IF(SUMIFS(Торговля!$I$5:$I$300,Торговля!$E$5:$E$300,$B187)+SUMIFS(Закрытые!$I$5:$I$300,Закрытые!$E$5:$E$300,$B187,Закрытые!$B$5:$B$300,"T-*")=0,"",SUMIFS(Торговля!$I$5:$I$300,Торговля!$E$5:$E$300,$B187)+SUMIFS(Закрытые!$I$5:$I$300,Закрытые!$E$5:$E$300,$B187,Закрытые!$B$5:$B$300,"T-*"))</f>
        <v/>
      </c>
      <c r="G187" s="177" t="str">
        <f>IF(F187="","",(SUMPRODUCT((Торговля!$E$5:$E$300=$B187)*Торговля!$I$5:$I$300*Торговля!$J$5:$J$300)+SUMPRODUCT((Закрытые!$E$5:$E$300=$B187)*(LEFT(Закрытые!$B$5:$B$300,2)="T-")*Закрытые!$I$5:$I$300*Закрытые!$J$5:$J$300))/F187)</f>
        <v/>
      </c>
      <c r="H187" s="241" t="str">
        <f>IF(F187="","",SUMIFS(Торговля!$K$5:$K$300,Торговля!$E$5:$E$300,$B187)+SUMIFS(Закрытые!$K$5:$K$300,Закрытые!$E$5:$E$300,$B187,Закрытые!$B$5:$B$300,"T-*"))</f>
        <v/>
      </c>
      <c r="I187" s="240" t="str">
        <f>IF($B187="","",IF(COUNTIFS(Торговля!$E$5:$E$300,$B187)+COUNTIFS(Закрытые!$E$5:$E$300,$B187,Закрытые!$B$5:$B$300,"T-*")=0,"",ROUND(SUMIFS(Торговля!$L$5:$L$300,Торговля!$E$5:$E$300,$B187)+SUMIFS(Закрытые!$L$5:$L$300,Закрытые!$E$5:$E$300,$B187,Закрытые!$B$5:$B$300,"T-*"),8)))</f>
        <v/>
      </c>
      <c r="J187" s="241" t="str">
        <f>IF($B187="","",IF(COUNTIFS(Торговля!$E$5:$E$300,$B187)+COUNTIFS(Закрытые!$E$5:$E$300,$B187,Закрытые!$B$5:$B$300,"T-*")=0,"",ROUND(SUMIFS(Торговля!$M$5:$M$300,Торговля!$E$5:$E$300,$B187)+SUMIFS(Закрытые!$M$5:$M$300,Закрытые!$E$5:$E$300,$B187,Закрытые!$B$5:$B$300,"T-*"),8)))</f>
        <v/>
      </c>
      <c r="K187" s="240" t="str">
        <f>IF(MIN(N(C187),N(F187))&lt;=0,"",ROUND(MIN(N(C187),N(F187))*(N(G187)-N(D187)),8))</f>
        <v/>
      </c>
      <c r="L187" s="177" t="str">
        <f>IF(MIN(N(C187),N(F187))&lt;=0,"",IF(N(D187)=0,"",ROUND((N(G187)/N(D187)-1)*100,2)))</f>
        <v/>
      </c>
      <c r="M187" s="177" t="str">
        <f>IF(OR(ROUND(N(C187)-N(F187),8)=0,1-N(Ввод!$J$19)/100&lt;=0),"",IF(N(C187)&gt;N(F187),(N(E187)-N(H187))/((N(C187)-N(F187))*(1-N(Ввод!$J$19)/100)),(N(H187)-N(E187))/((N(F187)-N(C187))*(1+N(Ввод!$J$19)/100))))</f>
        <v/>
      </c>
    </row>
    <row r="188" ht="22" customHeight="1">
      <c r="B188" s="245" t="n"/>
      <c r="C188" s="246" t="str">
        <f>IF(SUMIFS(Торговля!$F$5:$F$300,Торговля!$E$5:$E$300,$B188)+SUMIFS(Закрытые!$F$5:$F$300,Закрытые!$E$5:$E$300,$B188,Закрытые!$B$5:$B$300,"T-*")=0,"",SUMIFS(Торговля!$F$5:$F$300,Торговля!$E$5:$E$300,$B188)+SUMIFS(Закрытые!$F$5:$F$300,Закрытые!$E$5:$E$300,$B188,Закрытые!$B$5:$B$300,"T-*"))</f>
        <v/>
      </c>
      <c r="D188" s="183" t="str">
        <f>IF(C188="","",(SUMPRODUCT((Торговля!$E$5:$E$300=$B188)*Торговля!$F$5:$F$300*Торговля!$G$5:$G$300)+SUMPRODUCT((Закрытые!$E$5:$E$300=$B188)*(LEFT(Закрытые!$B$5:$B$300,2)="T-")*Закрытые!$F$5:$F$300*Закрытые!$G$5:$G$300))/C188)</f>
        <v/>
      </c>
      <c r="E188" s="247" t="str">
        <f>IF(C188="","",SUMIFS(Торговля!$H$5:$H$300,Торговля!$E$5:$E$300,$B188)+SUMIFS(Закрытые!$H$5:$H$300,Закрытые!$E$5:$E$300,$B188,Закрытые!$B$5:$B$300,"T-*"))</f>
        <v/>
      </c>
      <c r="F188" s="246" t="str">
        <f>IF(SUMIFS(Торговля!$I$5:$I$300,Торговля!$E$5:$E$300,$B188)+SUMIFS(Закрытые!$I$5:$I$300,Закрытые!$E$5:$E$300,$B188,Закрытые!$B$5:$B$300,"T-*")=0,"",SUMIFS(Торговля!$I$5:$I$300,Торговля!$E$5:$E$300,$B188)+SUMIFS(Закрытые!$I$5:$I$300,Закрытые!$E$5:$E$300,$B188,Закрытые!$B$5:$B$300,"T-*"))</f>
        <v/>
      </c>
      <c r="G188" s="183" t="str">
        <f>IF(F188="","",(SUMPRODUCT((Торговля!$E$5:$E$300=$B188)*Торговля!$I$5:$I$300*Торговля!$J$5:$J$300)+SUMPRODUCT((Закрытые!$E$5:$E$300=$B188)*(LEFT(Закрытые!$B$5:$B$300,2)="T-")*Закрытые!$I$5:$I$300*Закрытые!$J$5:$J$300))/F188)</f>
        <v/>
      </c>
      <c r="H188" s="247" t="str">
        <f>IF(F188="","",SUMIFS(Торговля!$K$5:$K$300,Торговля!$E$5:$E$300,$B188)+SUMIFS(Закрытые!$K$5:$K$300,Закрытые!$E$5:$E$300,$B188,Закрытые!$B$5:$B$300,"T-*"))</f>
        <v/>
      </c>
      <c r="I188" s="246" t="str">
        <f>IF($B188="","",IF(COUNTIFS(Торговля!$E$5:$E$300,$B188)+COUNTIFS(Закрытые!$E$5:$E$300,$B188,Закрытые!$B$5:$B$300,"T-*")=0,"",ROUND(SUMIFS(Торговля!$L$5:$L$300,Торговля!$E$5:$E$300,$B188)+SUMIFS(Закрытые!$L$5:$L$300,Закрытые!$E$5:$E$300,$B188,Закрытые!$B$5:$B$300,"T-*"),8)))</f>
        <v/>
      </c>
      <c r="J188" s="247" t="str">
        <f>IF($B188="","",IF(COUNTIFS(Торговля!$E$5:$E$300,$B188)+COUNTIFS(Закрытые!$E$5:$E$300,$B188,Закрытые!$B$5:$B$300,"T-*")=0,"",ROUND(SUMIFS(Торговля!$M$5:$M$300,Торговля!$E$5:$E$300,$B188)+SUMIFS(Закрытые!$M$5:$M$300,Закрытые!$E$5:$E$300,$B188,Закрытые!$B$5:$B$300,"T-*"),8)))</f>
        <v/>
      </c>
      <c r="K188" s="246" t="str">
        <f>IF(MIN(N(C188),N(F188))&lt;=0,"",ROUND(MIN(N(C188),N(F188))*(N(G188)-N(D188)),8))</f>
        <v/>
      </c>
      <c r="L188" s="183" t="str">
        <f>IF(MIN(N(C188),N(F188))&lt;=0,"",IF(N(D188)=0,"",ROUND((N(G188)/N(D188)-1)*100,2)))</f>
        <v/>
      </c>
      <c r="M188" s="183" t="str">
        <f>IF(OR(ROUND(N(C188)-N(F188),8)=0,1-N(Ввод!$J$19)/100&lt;=0),"",IF(N(C188)&gt;N(F188),(N(E188)-N(H188))/((N(C188)-N(F188))*(1-N(Ввод!$J$19)/100)),(N(H188)-N(E188))/((N(F188)-N(C188))*(1+N(Ввод!$J$19)/100))))</f>
        <v/>
      </c>
    </row>
    <row r="189" ht="22" customHeight="1">
      <c r="B189" s="239" t="n"/>
      <c r="C189" s="240" t="str">
        <f>IF(SUMIFS(Торговля!$F$5:$F$300,Торговля!$E$5:$E$300,$B189)+SUMIFS(Закрытые!$F$5:$F$300,Закрытые!$E$5:$E$300,$B189,Закрытые!$B$5:$B$300,"T-*")=0,"",SUMIFS(Торговля!$F$5:$F$300,Торговля!$E$5:$E$300,$B189)+SUMIFS(Закрытые!$F$5:$F$300,Закрытые!$E$5:$E$300,$B189,Закрытые!$B$5:$B$300,"T-*"))</f>
        <v/>
      </c>
      <c r="D189" s="177" t="str">
        <f>IF(C189="","",(SUMPRODUCT((Торговля!$E$5:$E$300=$B189)*Торговля!$F$5:$F$300*Торговля!$G$5:$G$300)+SUMPRODUCT((Закрытые!$E$5:$E$300=$B189)*(LEFT(Закрытые!$B$5:$B$300,2)="T-")*Закрытые!$F$5:$F$300*Закрытые!$G$5:$G$300))/C189)</f>
        <v/>
      </c>
      <c r="E189" s="241" t="str">
        <f>IF(C189="","",SUMIFS(Торговля!$H$5:$H$300,Торговля!$E$5:$E$300,$B189)+SUMIFS(Закрытые!$H$5:$H$300,Закрытые!$E$5:$E$300,$B189,Закрытые!$B$5:$B$300,"T-*"))</f>
        <v/>
      </c>
      <c r="F189" s="240" t="str">
        <f>IF(SUMIFS(Торговля!$I$5:$I$300,Торговля!$E$5:$E$300,$B189)+SUMIFS(Закрытые!$I$5:$I$300,Закрытые!$E$5:$E$300,$B189,Закрытые!$B$5:$B$300,"T-*")=0,"",SUMIFS(Торговля!$I$5:$I$300,Торговля!$E$5:$E$300,$B189)+SUMIFS(Закрытые!$I$5:$I$300,Закрытые!$E$5:$E$300,$B189,Закрытые!$B$5:$B$300,"T-*"))</f>
        <v/>
      </c>
      <c r="G189" s="177" t="str">
        <f>IF(F189="","",(SUMPRODUCT((Торговля!$E$5:$E$300=$B189)*Торговля!$I$5:$I$300*Торговля!$J$5:$J$300)+SUMPRODUCT((Закрытые!$E$5:$E$300=$B189)*(LEFT(Закрытые!$B$5:$B$300,2)="T-")*Закрытые!$I$5:$I$300*Закрытые!$J$5:$J$300))/F189)</f>
        <v/>
      </c>
      <c r="H189" s="241" t="str">
        <f>IF(F189="","",SUMIFS(Торговля!$K$5:$K$300,Торговля!$E$5:$E$300,$B189)+SUMIFS(Закрытые!$K$5:$K$300,Закрытые!$E$5:$E$300,$B189,Закрытые!$B$5:$B$300,"T-*"))</f>
        <v/>
      </c>
      <c r="I189" s="240" t="str">
        <f>IF($B189="","",IF(COUNTIFS(Торговля!$E$5:$E$300,$B189)+COUNTIFS(Закрытые!$E$5:$E$300,$B189,Закрытые!$B$5:$B$300,"T-*")=0,"",ROUND(SUMIFS(Торговля!$L$5:$L$300,Торговля!$E$5:$E$300,$B189)+SUMIFS(Закрытые!$L$5:$L$300,Закрытые!$E$5:$E$300,$B189,Закрытые!$B$5:$B$300,"T-*"),8)))</f>
        <v/>
      </c>
      <c r="J189" s="241" t="str">
        <f>IF($B189="","",IF(COUNTIFS(Торговля!$E$5:$E$300,$B189)+COUNTIFS(Закрытые!$E$5:$E$300,$B189,Закрытые!$B$5:$B$300,"T-*")=0,"",ROUND(SUMIFS(Торговля!$M$5:$M$300,Торговля!$E$5:$E$300,$B189)+SUMIFS(Закрытые!$M$5:$M$300,Закрытые!$E$5:$E$300,$B189,Закрытые!$B$5:$B$300,"T-*"),8)))</f>
        <v/>
      </c>
      <c r="K189" s="240" t="str">
        <f>IF(MIN(N(C189),N(F189))&lt;=0,"",ROUND(MIN(N(C189),N(F189))*(N(G189)-N(D189)),8))</f>
        <v/>
      </c>
      <c r="L189" s="177" t="str">
        <f>IF(MIN(N(C189),N(F189))&lt;=0,"",IF(N(D189)=0,"",ROUND((N(G189)/N(D189)-1)*100,2)))</f>
        <v/>
      </c>
      <c r="M189" s="177" t="str">
        <f>IF(OR(ROUND(N(C189)-N(F189),8)=0,1-N(Ввод!$J$19)/100&lt;=0),"",IF(N(C189)&gt;N(F189),(N(E189)-N(H189))/((N(C189)-N(F189))*(1-N(Ввод!$J$19)/100)),(N(H189)-N(E189))/((N(F189)-N(C189))*(1+N(Ввод!$J$19)/100))))</f>
        <v/>
      </c>
    </row>
    <row r="190" ht="22" customHeight="1">
      <c r="B190" s="245" t="n"/>
      <c r="C190" s="246" t="str">
        <f>IF(SUMIFS(Торговля!$F$5:$F$300,Торговля!$E$5:$E$300,$B190)+SUMIFS(Закрытые!$F$5:$F$300,Закрытые!$E$5:$E$300,$B190,Закрытые!$B$5:$B$300,"T-*")=0,"",SUMIFS(Торговля!$F$5:$F$300,Торговля!$E$5:$E$300,$B190)+SUMIFS(Закрытые!$F$5:$F$300,Закрытые!$E$5:$E$300,$B190,Закрытые!$B$5:$B$300,"T-*"))</f>
        <v/>
      </c>
      <c r="D190" s="183" t="str">
        <f>IF(C190="","",(SUMPRODUCT((Торговля!$E$5:$E$300=$B190)*Торговля!$F$5:$F$300*Торговля!$G$5:$G$300)+SUMPRODUCT((Закрытые!$E$5:$E$300=$B190)*(LEFT(Закрытые!$B$5:$B$300,2)="T-")*Закрытые!$F$5:$F$300*Закрытые!$G$5:$G$300))/C190)</f>
        <v/>
      </c>
      <c r="E190" s="247" t="str">
        <f>IF(C190="","",SUMIFS(Торговля!$H$5:$H$300,Торговля!$E$5:$E$300,$B190)+SUMIFS(Закрытые!$H$5:$H$300,Закрытые!$E$5:$E$300,$B190,Закрытые!$B$5:$B$300,"T-*"))</f>
        <v/>
      </c>
      <c r="F190" s="246" t="str">
        <f>IF(SUMIFS(Торговля!$I$5:$I$300,Торговля!$E$5:$E$300,$B190)+SUMIFS(Закрытые!$I$5:$I$300,Закрытые!$E$5:$E$300,$B190,Закрытые!$B$5:$B$300,"T-*")=0,"",SUMIFS(Торговля!$I$5:$I$300,Торговля!$E$5:$E$300,$B190)+SUMIFS(Закрытые!$I$5:$I$300,Закрытые!$E$5:$E$300,$B190,Закрытые!$B$5:$B$300,"T-*"))</f>
        <v/>
      </c>
      <c r="G190" s="183" t="str">
        <f>IF(F190="","",(SUMPRODUCT((Торговля!$E$5:$E$300=$B190)*Торговля!$I$5:$I$300*Торговля!$J$5:$J$300)+SUMPRODUCT((Закрытые!$E$5:$E$300=$B190)*(LEFT(Закрытые!$B$5:$B$300,2)="T-")*Закрытые!$I$5:$I$300*Закрытые!$J$5:$J$300))/F190)</f>
        <v/>
      </c>
      <c r="H190" s="247" t="str">
        <f>IF(F190="","",SUMIFS(Торговля!$K$5:$K$300,Торговля!$E$5:$E$300,$B190)+SUMIFS(Закрытые!$K$5:$K$300,Закрытые!$E$5:$E$300,$B190,Закрытые!$B$5:$B$300,"T-*"))</f>
        <v/>
      </c>
      <c r="I190" s="246" t="str">
        <f>IF($B190="","",IF(COUNTIFS(Торговля!$E$5:$E$300,$B190)+COUNTIFS(Закрытые!$E$5:$E$300,$B190,Закрытые!$B$5:$B$300,"T-*")=0,"",ROUND(SUMIFS(Торговля!$L$5:$L$300,Торговля!$E$5:$E$300,$B190)+SUMIFS(Закрытые!$L$5:$L$300,Закрытые!$E$5:$E$300,$B190,Закрытые!$B$5:$B$300,"T-*"),8)))</f>
        <v/>
      </c>
      <c r="J190" s="247" t="str">
        <f>IF($B190="","",IF(COUNTIFS(Торговля!$E$5:$E$300,$B190)+COUNTIFS(Закрытые!$E$5:$E$300,$B190,Закрытые!$B$5:$B$300,"T-*")=0,"",ROUND(SUMIFS(Торговля!$M$5:$M$300,Торговля!$E$5:$E$300,$B190)+SUMIFS(Закрытые!$M$5:$M$300,Закрытые!$E$5:$E$300,$B190,Закрытые!$B$5:$B$300,"T-*"),8)))</f>
        <v/>
      </c>
      <c r="K190" s="246" t="str">
        <f>IF(MIN(N(C190),N(F190))&lt;=0,"",ROUND(MIN(N(C190),N(F190))*(N(G190)-N(D190)),8))</f>
        <v/>
      </c>
      <c r="L190" s="183" t="str">
        <f>IF(MIN(N(C190),N(F190))&lt;=0,"",IF(N(D190)=0,"",ROUND((N(G190)/N(D190)-1)*100,2)))</f>
        <v/>
      </c>
      <c r="M190" s="183" t="str">
        <f>IF(OR(ROUND(N(C190)-N(F190),8)=0,1-N(Ввод!$J$19)/100&lt;=0),"",IF(N(C190)&gt;N(F190),(N(E190)-N(H190))/((N(C190)-N(F190))*(1-N(Ввод!$J$19)/100)),(N(H190)-N(E190))/((N(F190)-N(C190))*(1+N(Ввод!$J$19)/100))))</f>
        <v/>
      </c>
    </row>
    <row r="191" ht="22" customHeight="1">
      <c r="B191" s="239" t="n"/>
      <c r="C191" s="240" t="str">
        <f>IF(SUMIFS(Торговля!$F$5:$F$300,Торговля!$E$5:$E$300,$B191)+SUMIFS(Закрытые!$F$5:$F$300,Закрытые!$E$5:$E$300,$B191,Закрытые!$B$5:$B$300,"T-*")=0,"",SUMIFS(Торговля!$F$5:$F$300,Торговля!$E$5:$E$300,$B191)+SUMIFS(Закрытые!$F$5:$F$300,Закрытые!$E$5:$E$300,$B191,Закрытые!$B$5:$B$300,"T-*"))</f>
        <v/>
      </c>
      <c r="D191" s="177" t="str">
        <f>IF(C191="","",(SUMPRODUCT((Торговля!$E$5:$E$300=$B191)*Торговля!$F$5:$F$300*Торговля!$G$5:$G$300)+SUMPRODUCT((Закрытые!$E$5:$E$300=$B191)*(LEFT(Закрытые!$B$5:$B$300,2)="T-")*Закрытые!$F$5:$F$300*Закрытые!$G$5:$G$300))/C191)</f>
        <v/>
      </c>
      <c r="E191" s="241" t="str">
        <f>IF(C191="","",SUMIFS(Торговля!$H$5:$H$300,Торговля!$E$5:$E$300,$B191)+SUMIFS(Закрытые!$H$5:$H$300,Закрытые!$E$5:$E$300,$B191,Закрытые!$B$5:$B$300,"T-*"))</f>
        <v/>
      </c>
      <c r="F191" s="240" t="str">
        <f>IF(SUMIFS(Торговля!$I$5:$I$300,Торговля!$E$5:$E$300,$B191)+SUMIFS(Закрытые!$I$5:$I$300,Закрытые!$E$5:$E$300,$B191,Закрытые!$B$5:$B$300,"T-*")=0,"",SUMIFS(Торговля!$I$5:$I$300,Торговля!$E$5:$E$300,$B191)+SUMIFS(Закрытые!$I$5:$I$300,Закрытые!$E$5:$E$300,$B191,Закрытые!$B$5:$B$300,"T-*"))</f>
        <v/>
      </c>
      <c r="G191" s="177" t="str">
        <f>IF(F191="","",(SUMPRODUCT((Торговля!$E$5:$E$300=$B191)*Торговля!$I$5:$I$300*Торговля!$J$5:$J$300)+SUMPRODUCT((Закрытые!$E$5:$E$300=$B191)*(LEFT(Закрытые!$B$5:$B$300,2)="T-")*Закрытые!$I$5:$I$300*Закрытые!$J$5:$J$300))/F191)</f>
        <v/>
      </c>
      <c r="H191" s="241" t="str">
        <f>IF(F191="","",SUMIFS(Торговля!$K$5:$K$300,Торговля!$E$5:$E$300,$B191)+SUMIFS(Закрытые!$K$5:$K$300,Закрытые!$E$5:$E$300,$B191,Закрытые!$B$5:$B$300,"T-*"))</f>
        <v/>
      </c>
      <c r="I191" s="240" t="str">
        <f>IF($B191="","",IF(COUNTIFS(Торговля!$E$5:$E$300,$B191)+COUNTIFS(Закрытые!$E$5:$E$300,$B191,Закрытые!$B$5:$B$300,"T-*")=0,"",ROUND(SUMIFS(Торговля!$L$5:$L$300,Торговля!$E$5:$E$300,$B191)+SUMIFS(Закрытые!$L$5:$L$300,Закрытые!$E$5:$E$300,$B191,Закрытые!$B$5:$B$300,"T-*"),8)))</f>
        <v/>
      </c>
      <c r="J191" s="241" t="str">
        <f>IF($B191="","",IF(COUNTIFS(Торговля!$E$5:$E$300,$B191)+COUNTIFS(Закрытые!$E$5:$E$300,$B191,Закрытые!$B$5:$B$300,"T-*")=0,"",ROUND(SUMIFS(Торговля!$M$5:$M$300,Торговля!$E$5:$E$300,$B191)+SUMIFS(Закрытые!$M$5:$M$300,Закрытые!$E$5:$E$300,$B191,Закрытые!$B$5:$B$300,"T-*"),8)))</f>
        <v/>
      </c>
      <c r="K191" s="240" t="str">
        <f>IF(MIN(N(C191),N(F191))&lt;=0,"",ROUND(MIN(N(C191),N(F191))*(N(G191)-N(D191)),8))</f>
        <v/>
      </c>
      <c r="L191" s="177" t="str">
        <f>IF(MIN(N(C191),N(F191))&lt;=0,"",IF(N(D191)=0,"",ROUND((N(G191)/N(D191)-1)*100,2)))</f>
        <v/>
      </c>
      <c r="M191" s="177" t="str">
        <f>IF(OR(ROUND(N(C191)-N(F191),8)=0,1-N(Ввод!$J$19)/100&lt;=0),"",IF(N(C191)&gt;N(F191),(N(E191)-N(H191))/((N(C191)-N(F191))*(1-N(Ввод!$J$19)/100)),(N(H191)-N(E191))/((N(F191)-N(C191))*(1+N(Ввод!$J$19)/100))))</f>
        <v/>
      </c>
    </row>
    <row r="192" ht="22" customHeight="1">
      <c r="B192" s="245" t="n"/>
      <c r="C192" s="246" t="str">
        <f>IF(SUMIFS(Торговля!$F$5:$F$300,Торговля!$E$5:$E$300,$B192)+SUMIFS(Закрытые!$F$5:$F$300,Закрытые!$E$5:$E$300,$B192,Закрытые!$B$5:$B$300,"T-*")=0,"",SUMIFS(Торговля!$F$5:$F$300,Торговля!$E$5:$E$300,$B192)+SUMIFS(Закрытые!$F$5:$F$300,Закрытые!$E$5:$E$300,$B192,Закрытые!$B$5:$B$300,"T-*"))</f>
        <v/>
      </c>
      <c r="D192" s="183" t="str">
        <f>IF(C192="","",(SUMPRODUCT((Торговля!$E$5:$E$300=$B192)*Торговля!$F$5:$F$300*Торговля!$G$5:$G$300)+SUMPRODUCT((Закрытые!$E$5:$E$300=$B192)*(LEFT(Закрытые!$B$5:$B$300,2)="T-")*Закрытые!$F$5:$F$300*Закрытые!$G$5:$G$300))/C192)</f>
        <v/>
      </c>
      <c r="E192" s="247" t="str">
        <f>IF(C192="","",SUMIFS(Торговля!$H$5:$H$300,Торговля!$E$5:$E$300,$B192)+SUMIFS(Закрытые!$H$5:$H$300,Закрытые!$E$5:$E$300,$B192,Закрытые!$B$5:$B$300,"T-*"))</f>
        <v/>
      </c>
      <c r="F192" s="246" t="str">
        <f>IF(SUMIFS(Торговля!$I$5:$I$300,Торговля!$E$5:$E$300,$B192)+SUMIFS(Закрытые!$I$5:$I$300,Закрытые!$E$5:$E$300,$B192,Закрытые!$B$5:$B$300,"T-*")=0,"",SUMIFS(Торговля!$I$5:$I$300,Торговля!$E$5:$E$300,$B192)+SUMIFS(Закрытые!$I$5:$I$300,Закрытые!$E$5:$E$300,$B192,Закрытые!$B$5:$B$300,"T-*"))</f>
        <v/>
      </c>
      <c r="G192" s="183" t="str">
        <f>IF(F192="","",(SUMPRODUCT((Торговля!$E$5:$E$300=$B192)*Торговля!$I$5:$I$300*Торговля!$J$5:$J$300)+SUMPRODUCT((Закрытые!$E$5:$E$300=$B192)*(LEFT(Закрытые!$B$5:$B$300,2)="T-")*Закрытые!$I$5:$I$300*Закрытые!$J$5:$J$300))/F192)</f>
        <v/>
      </c>
      <c r="H192" s="247" t="str">
        <f>IF(F192="","",SUMIFS(Торговля!$K$5:$K$300,Торговля!$E$5:$E$300,$B192)+SUMIFS(Закрытые!$K$5:$K$300,Закрытые!$E$5:$E$300,$B192,Закрытые!$B$5:$B$300,"T-*"))</f>
        <v/>
      </c>
      <c r="I192" s="246" t="str">
        <f>IF($B192="","",IF(COUNTIFS(Торговля!$E$5:$E$300,$B192)+COUNTIFS(Закрытые!$E$5:$E$300,$B192,Закрытые!$B$5:$B$300,"T-*")=0,"",ROUND(SUMIFS(Торговля!$L$5:$L$300,Торговля!$E$5:$E$300,$B192)+SUMIFS(Закрытые!$L$5:$L$300,Закрытые!$E$5:$E$300,$B192,Закрытые!$B$5:$B$300,"T-*"),8)))</f>
        <v/>
      </c>
      <c r="J192" s="247" t="str">
        <f>IF($B192="","",IF(COUNTIFS(Торговля!$E$5:$E$300,$B192)+COUNTIFS(Закрытые!$E$5:$E$300,$B192,Закрытые!$B$5:$B$300,"T-*")=0,"",ROUND(SUMIFS(Торговля!$M$5:$M$300,Торговля!$E$5:$E$300,$B192)+SUMIFS(Закрытые!$M$5:$M$300,Закрытые!$E$5:$E$300,$B192,Закрытые!$B$5:$B$300,"T-*"),8)))</f>
        <v/>
      </c>
      <c r="K192" s="246" t="str">
        <f>IF(MIN(N(C192),N(F192))&lt;=0,"",ROUND(MIN(N(C192),N(F192))*(N(G192)-N(D192)),8))</f>
        <v/>
      </c>
      <c r="L192" s="183" t="str">
        <f>IF(MIN(N(C192),N(F192))&lt;=0,"",IF(N(D192)=0,"",ROUND((N(G192)/N(D192)-1)*100,2)))</f>
        <v/>
      </c>
      <c r="M192" s="183" t="str">
        <f>IF(OR(ROUND(N(C192)-N(F192),8)=0,1-N(Ввод!$J$19)/100&lt;=0),"",IF(N(C192)&gt;N(F192),(N(E192)-N(H192))/((N(C192)-N(F192))*(1-N(Ввод!$J$19)/100)),(N(H192)-N(E192))/((N(F192)-N(C192))*(1+N(Ввод!$J$19)/100))))</f>
        <v/>
      </c>
    </row>
    <row r="193" ht="22" customHeight="1">
      <c r="B193" s="239" t="n"/>
      <c r="C193" s="240" t="str">
        <f>IF(SUMIFS(Торговля!$F$5:$F$300,Торговля!$E$5:$E$300,$B193)+SUMIFS(Закрытые!$F$5:$F$300,Закрытые!$E$5:$E$300,$B193,Закрытые!$B$5:$B$300,"T-*")=0,"",SUMIFS(Торговля!$F$5:$F$300,Торговля!$E$5:$E$300,$B193)+SUMIFS(Закрытые!$F$5:$F$300,Закрытые!$E$5:$E$300,$B193,Закрытые!$B$5:$B$300,"T-*"))</f>
        <v/>
      </c>
      <c r="D193" s="177" t="str">
        <f>IF(C193="","",(SUMPRODUCT((Торговля!$E$5:$E$300=$B193)*Торговля!$F$5:$F$300*Торговля!$G$5:$G$300)+SUMPRODUCT((Закрытые!$E$5:$E$300=$B193)*(LEFT(Закрытые!$B$5:$B$300,2)="T-")*Закрытые!$F$5:$F$300*Закрытые!$G$5:$G$300))/C193)</f>
        <v/>
      </c>
      <c r="E193" s="241" t="str">
        <f>IF(C193="","",SUMIFS(Торговля!$H$5:$H$300,Торговля!$E$5:$E$300,$B193)+SUMIFS(Закрытые!$H$5:$H$300,Закрытые!$E$5:$E$300,$B193,Закрытые!$B$5:$B$300,"T-*"))</f>
        <v/>
      </c>
      <c r="F193" s="240" t="str">
        <f>IF(SUMIFS(Торговля!$I$5:$I$300,Торговля!$E$5:$E$300,$B193)+SUMIFS(Закрытые!$I$5:$I$300,Закрытые!$E$5:$E$300,$B193,Закрытые!$B$5:$B$300,"T-*")=0,"",SUMIFS(Торговля!$I$5:$I$300,Торговля!$E$5:$E$300,$B193)+SUMIFS(Закрытые!$I$5:$I$300,Закрытые!$E$5:$E$300,$B193,Закрытые!$B$5:$B$300,"T-*"))</f>
        <v/>
      </c>
      <c r="G193" s="177" t="str">
        <f>IF(F193="","",(SUMPRODUCT((Торговля!$E$5:$E$300=$B193)*Торговля!$I$5:$I$300*Торговля!$J$5:$J$300)+SUMPRODUCT((Закрытые!$E$5:$E$300=$B193)*(LEFT(Закрытые!$B$5:$B$300,2)="T-")*Закрытые!$I$5:$I$300*Закрытые!$J$5:$J$300))/F193)</f>
        <v/>
      </c>
      <c r="H193" s="241" t="str">
        <f>IF(F193="","",SUMIFS(Торговля!$K$5:$K$300,Торговля!$E$5:$E$300,$B193)+SUMIFS(Закрытые!$K$5:$K$300,Закрытые!$E$5:$E$300,$B193,Закрытые!$B$5:$B$300,"T-*"))</f>
        <v/>
      </c>
      <c r="I193" s="240" t="str">
        <f>IF($B193="","",IF(COUNTIFS(Торговля!$E$5:$E$300,$B193)+COUNTIFS(Закрытые!$E$5:$E$300,$B193,Закрытые!$B$5:$B$300,"T-*")=0,"",ROUND(SUMIFS(Торговля!$L$5:$L$300,Торговля!$E$5:$E$300,$B193)+SUMIFS(Закрытые!$L$5:$L$300,Закрытые!$E$5:$E$300,$B193,Закрытые!$B$5:$B$300,"T-*"),8)))</f>
        <v/>
      </c>
      <c r="J193" s="241" t="str">
        <f>IF($B193="","",IF(COUNTIFS(Торговля!$E$5:$E$300,$B193)+COUNTIFS(Закрытые!$E$5:$E$300,$B193,Закрытые!$B$5:$B$300,"T-*")=0,"",ROUND(SUMIFS(Торговля!$M$5:$M$300,Торговля!$E$5:$E$300,$B193)+SUMIFS(Закрытые!$M$5:$M$300,Закрытые!$E$5:$E$300,$B193,Закрытые!$B$5:$B$300,"T-*"),8)))</f>
        <v/>
      </c>
      <c r="K193" s="240" t="str">
        <f>IF(MIN(N(C193),N(F193))&lt;=0,"",ROUND(MIN(N(C193),N(F193))*(N(G193)-N(D193)),8))</f>
        <v/>
      </c>
      <c r="L193" s="177" t="str">
        <f>IF(MIN(N(C193),N(F193))&lt;=0,"",IF(N(D193)=0,"",ROUND((N(G193)/N(D193)-1)*100,2)))</f>
        <v/>
      </c>
      <c r="M193" s="177" t="str">
        <f>IF(OR(ROUND(N(C193)-N(F193),8)=0,1-N(Ввод!$J$19)/100&lt;=0),"",IF(N(C193)&gt;N(F193),(N(E193)-N(H193))/((N(C193)-N(F193))*(1-N(Ввод!$J$19)/100)),(N(H193)-N(E193))/((N(F193)-N(C193))*(1+N(Ввод!$J$19)/100))))</f>
        <v/>
      </c>
    </row>
    <row r="194" ht="22" customHeight="1">
      <c r="B194" s="245" t="n"/>
      <c r="C194" s="246" t="str">
        <f>IF(SUMIFS(Торговля!$F$5:$F$300,Торговля!$E$5:$E$300,$B194)+SUMIFS(Закрытые!$F$5:$F$300,Закрытые!$E$5:$E$300,$B194,Закрытые!$B$5:$B$300,"T-*")=0,"",SUMIFS(Торговля!$F$5:$F$300,Торговля!$E$5:$E$300,$B194)+SUMIFS(Закрытые!$F$5:$F$300,Закрытые!$E$5:$E$300,$B194,Закрытые!$B$5:$B$300,"T-*"))</f>
        <v/>
      </c>
      <c r="D194" s="183" t="str">
        <f>IF(C194="","",(SUMPRODUCT((Торговля!$E$5:$E$300=$B194)*Торговля!$F$5:$F$300*Торговля!$G$5:$G$300)+SUMPRODUCT((Закрытые!$E$5:$E$300=$B194)*(LEFT(Закрытые!$B$5:$B$300,2)="T-")*Закрытые!$F$5:$F$300*Закрытые!$G$5:$G$300))/C194)</f>
        <v/>
      </c>
      <c r="E194" s="247" t="str">
        <f>IF(C194="","",SUMIFS(Торговля!$H$5:$H$300,Торговля!$E$5:$E$300,$B194)+SUMIFS(Закрытые!$H$5:$H$300,Закрытые!$E$5:$E$300,$B194,Закрытые!$B$5:$B$300,"T-*"))</f>
        <v/>
      </c>
      <c r="F194" s="246" t="str">
        <f>IF(SUMIFS(Торговля!$I$5:$I$300,Торговля!$E$5:$E$300,$B194)+SUMIFS(Закрытые!$I$5:$I$300,Закрытые!$E$5:$E$300,$B194,Закрытые!$B$5:$B$300,"T-*")=0,"",SUMIFS(Торговля!$I$5:$I$300,Торговля!$E$5:$E$300,$B194)+SUMIFS(Закрытые!$I$5:$I$300,Закрытые!$E$5:$E$300,$B194,Закрытые!$B$5:$B$300,"T-*"))</f>
        <v/>
      </c>
      <c r="G194" s="183" t="str">
        <f>IF(F194="","",(SUMPRODUCT((Торговля!$E$5:$E$300=$B194)*Торговля!$I$5:$I$300*Торговля!$J$5:$J$300)+SUMPRODUCT((Закрытые!$E$5:$E$300=$B194)*(LEFT(Закрытые!$B$5:$B$300,2)="T-")*Закрытые!$I$5:$I$300*Закрытые!$J$5:$J$300))/F194)</f>
        <v/>
      </c>
      <c r="H194" s="247" t="str">
        <f>IF(F194="","",SUMIFS(Торговля!$K$5:$K$300,Торговля!$E$5:$E$300,$B194)+SUMIFS(Закрытые!$K$5:$K$300,Закрытые!$E$5:$E$300,$B194,Закрытые!$B$5:$B$300,"T-*"))</f>
        <v/>
      </c>
      <c r="I194" s="246" t="str">
        <f>IF($B194="","",IF(COUNTIFS(Торговля!$E$5:$E$300,$B194)+COUNTIFS(Закрытые!$E$5:$E$300,$B194,Закрытые!$B$5:$B$300,"T-*")=0,"",ROUND(SUMIFS(Торговля!$L$5:$L$300,Торговля!$E$5:$E$300,$B194)+SUMIFS(Закрытые!$L$5:$L$300,Закрытые!$E$5:$E$300,$B194,Закрытые!$B$5:$B$300,"T-*"),8)))</f>
        <v/>
      </c>
      <c r="J194" s="247" t="str">
        <f>IF($B194="","",IF(COUNTIFS(Торговля!$E$5:$E$300,$B194)+COUNTIFS(Закрытые!$E$5:$E$300,$B194,Закрытые!$B$5:$B$300,"T-*")=0,"",ROUND(SUMIFS(Торговля!$M$5:$M$300,Торговля!$E$5:$E$300,$B194)+SUMIFS(Закрытые!$M$5:$M$300,Закрытые!$E$5:$E$300,$B194,Закрытые!$B$5:$B$300,"T-*"),8)))</f>
        <v/>
      </c>
      <c r="K194" s="246" t="str">
        <f>IF(MIN(N(C194),N(F194))&lt;=0,"",ROUND(MIN(N(C194),N(F194))*(N(G194)-N(D194)),8))</f>
        <v/>
      </c>
      <c r="L194" s="183" t="str">
        <f>IF(MIN(N(C194),N(F194))&lt;=0,"",IF(N(D194)=0,"",ROUND((N(G194)/N(D194)-1)*100,2)))</f>
        <v/>
      </c>
      <c r="M194" s="183" t="str">
        <f>IF(OR(ROUND(N(C194)-N(F194),8)=0,1-N(Ввод!$J$19)/100&lt;=0),"",IF(N(C194)&gt;N(F194),(N(E194)-N(H194))/((N(C194)-N(F194))*(1-N(Ввод!$J$19)/100)),(N(H194)-N(E194))/((N(F194)-N(C194))*(1+N(Ввод!$J$19)/100))))</f>
        <v/>
      </c>
    </row>
    <row r="195" ht="22" customHeight="1">
      <c r="B195" s="239" t="n"/>
      <c r="C195" s="240" t="str">
        <f>IF(SUMIFS(Торговля!$F$5:$F$300,Торговля!$E$5:$E$300,$B195)+SUMIFS(Закрытые!$F$5:$F$300,Закрытые!$E$5:$E$300,$B195,Закрытые!$B$5:$B$300,"T-*")=0,"",SUMIFS(Торговля!$F$5:$F$300,Торговля!$E$5:$E$300,$B195)+SUMIFS(Закрытые!$F$5:$F$300,Закрытые!$E$5:$E$300,$B195,Закрытые!$B$5:$B$300,"T-*"))</f>
        <v/>
      </c>
      <c r="D195" s="177" t="str">
        <f>IF(C195="","",(SUMPRODUCT((Торговля!$E$5:$E$300=$B195)*Торговля!$F$5:$F$300*Торговля!$G$5:$G$300)+SUMPRODUCT((Закрытые!$E$5:$E$300=$B195)*(LEFT(Закрытые!$B$5:$B$300,2)="T-")*Закрытые!$F$5:$F$300*Закрытые!$G$5:$G$300))/C195)</f>
        <v/>
      </c>
      <c r="E195" s="241" t="str">
        <f>IF(C195="","",SUMIFS(Торговля!$H$5:$H$300,Торговля!$E$5:$E$300,$B195)+SUMIFS(Закрытые!$H$5:$H$300,Закрытые!$E$5:$E$300,$B195,Закрытые!$B$5:$B$300,"T-*"))</f>
        <v/>
      </c>
      <c r="F195" s="240" t="str">
        <f>IF(SUMIFS(Торговля!$I$5:$I$300,Торговля!$E$5:$E$300,$B195)+SUMIFS(Закрытые!$I$5:$I$300,Закрытые!$E$5:$E$300,$B195,Закрытые!$B$5:$B$300,"T-*")=0,"",SUMIFS(Торговля!$I$5:$I$300,Торговля!$E$5:$E$300,$B195)+SUMIFS(Закрытые!$I$5:$I$300,Закрытые!$E$5:$E$300,$B195,Закрытые!$B$5:$B$300,"T-*"))</f>
        <v/>
      </c>
      <c r="G195" s="177" t="str">
        <f>IF(F195="","",(SUMPRODUCT((Торговля!$E$5:$E$300=$B195)*Торговля!$I$5:$I$300*Торговля!$J$5:$J$300)+SUMPRODUCT((Закрытые!$E$5:$E$300=$B195)*(LEFT(Закрытые!$B$5:$B$300,2)="T-")*Закрытые!$I$5:$I$300*Закрытые!$J$5:$J$300))/F195)</f>
        <v/>
      </c>
      <c r="H195" s="241" t="str">
        <f>IF(F195="","",SUMIFS(Торговля!$K$5:$K$300,Торговля!$E$5:$E$300,$B195)+SUMIFS(Закрытые!$K$5:$K$300,Закрытые!$E$5:$E$300,$B195,Закрытые!$B$5:$B$300,"T-*"))</f>
        <v/>
      </c>
      <c r="I195" s="240" t="str">
        <f>IF($B195="","",IF(COUNTIFS(Торговля!$E$5:$E$300,$B195)+COUNTIFS(Закрытые!$E$5:$E$300,$B195,Закрытые!$B$5:$B$300,"T-*")=0,"",ROUND(SUMIFS(Торговля!$L$5:$L$300,Торговля!$E$5:$E$300,$B195)+SUMIFS(Закрытые!$L$5:$L$300,Закрытые!$E$5:$E$300,$B195,Закрытые!$B$5:$B$300,"T-*"),8)))</f>
        <v/>
      </c>
      <c r="J195" s="241" t="str">
        <f>IF($B195="","",IF(COUNTIFS(Торговля!$E$5:$E$300,$B195)+COUNTIFS(Закрытые!$E$5:$E$300,$B195,Закрытые!$B$5:$B$300,"T-*")=0,"",ROUND(SUMIFS(Торговля!$M$5:$M$300,Торговля!$E$5:$E$300,$B195)+SUMIFS(Закрытые!$M$5:$M$300,Закрытые!$E$5:$E$300,$B195,Закрытые!$B$5:$B$300,"T-*"),8)))</f>
        <v/>
      </c>
      <c r="K195" s="240" t="str">
        <f>IF(MIN(N(C195),N(F195))&lt;=0,"",ROUND(MIN(N(C195),N(F195))*(N(G195)-N(D195)),8))</f>
        <v/>
      </c>
      <c r="L195" s="177" t="str">
        <f>IF(MIN(N(C195),N(F195))&lt;=0,"",IF(N(D195)=0,"",ROUND((N(G195)/N(D195)-1)*100,2)))</f>
        <v/>
      </c>
      <c r="M195" s="177" t="str">
        <f>IF(OR(ROUND(N(C195)-N(F195),8)=0,1-N(Ввод!$J$19)/100&lt;=0),"",IF(N(C195)&gt;N(F195),(N(E195)-N(H195))/((N(C195)-N(F195))*(1-N(Ввод!$J$19)/100)),(N(H195)-N(E195))/((N(F195)-N(C195))*(1+N(Ввод!$J$19)/100))))</f>
        <v/>
      </c>
    </row>
    <row r="196" ht="22" customHeight="1">
      <c r="B196" s="245" t="n"/>
      <c r="C196" s="246" t="str">
        <f>IF(SUMIFS(Торговля!$F$5:$F$300,Торговля!$E$5:$E$300,$B196)+SUMIFS(Закрытые!$F$5:$F$300,Закрытые!$E$5:$E$300,$B196,Закрытые!$B$5:$B$300,"T-*")=0,"",SUMIFS(Торговля!$F$5:$F$300,Торговля!$E$5:$E$300,$B196)+SUMIFS(Закрытые!$F$5:$F$300,Закрытые!$E$5:$E$300,$B196,Закрытые!$B$5:$B$300,"T-*"))</f>
        <v/>
      </c>
      <c r="D196" s="183" t="str">
        <f>IF(C196="","",(SUMPRODUCT((Торговля!$E$5:$E$300=$B196)*Торговля!$F$5:$F$300*Торговля!$G$5:$G$300)+SUMPRODUCT((Закрытые!$E$5:$E$300=$B196)*(LEFT(Закрытые!$B$5:$B$300,2)="T-")*Закрытые!$F$5:$F$300*Закрытые!$G$5:$G$300))/C196)</f>
        <v/>
      </c>
      <c r="E196" s="247" t="str">
        <f>IF(C196="","",SUMIFS(Торговля!$H$5:$H$300,Торговля!$E$5:$E$300,$B196)+SUMIFS(Закрытые!$H$5:$H$300,Закрытые!$E$5:$E$300,$B196,Закрытые!$B$5:$B$300,"T-*"))</f>
        <v/>
      </c>
      <c r="F196" s="246" t="str">
        <f>IF(SUMIFS(Торговля!$I$5:$I$300,Торговля!$E$5:$E$300,$B196)+SUMIFS(Закрытые!$I$5:$I$300,Закрытые!$E$5:$E$300,$B196,Закрытые!$B$5:$B$300,"T-*")=0,"",SUMIFS(Торговля!$I$5:$I$300,Торговля!$E$5:$E$300,$B196)+SUMIFS(Закрытые!$I$5:$I$300,Закрытые!$E$5:$E$300,$B196,Закрытые!$B$5:$B$300,"T-*"))</f>
        <v/>
      </c>
      <c r="G196" s="183" t="str">
        <f>IF(F196="","",(SUMPRODUCT((Торговля!$E$5:$E$300=$B196)*Торговля!$I$5:$I$300*Торговля!$J$5:$J$300)+SUMPRODUCT((Закрытые!$E$5:$E$300=$B196)*(LEFT(Закрытые!$B$5:$B$300,2)="T-")*Закрытые!$I$5:$I$300*Закрытые!$J$5:$J$300))/F196)</f>
        <v/>
      </c>
      <c r="H196" s="247" t="str">
        <f>IF(F196="","",SUMIFS(Торговля!$K$5:$K$300,Торговля!$E$5:$E$300,$B196)+SUMIFS(Закрытые!$K$5:$K$300,Закрытые!$E$5:$E$300,$B196,Закрытые!$B$5:$B$300,"T-*"))</f>
        <v/>
      </c>
      <c r="I196" s="246" t="str">
        <f>IF($B196="","",IF(COUNTIFS(Торговля!$E$5:$E$300,$B196)+COUNTIFS(Закрытые!$E$5:$E$300,$B196,Закрытые!$B$5:$B$300,"T-*")=0,"",ROUND(SUMIFS(Торговля!$L$5:$L$300,Торговля!$E$5:$E$300,$B196)+SUMIFS(Закрытые!$L$5:$L$300,Закрытые!$E$5:$E$300,$B196,Закрытые!$B$5:$B$300,"T-*"),8)))</f>
        <v/>
      </c>
      <c r="J196" s="247" t="str">
        <f>IF($B196="","",IF(COUNTIFS(Торговля!$E$5:$E$300,$B196)+COUNTIFS(Закрытые!$E$5:$E$300,$B196,Закрытые!$B$5:$B$300,"T-*")=0,"",ROUND(SUMIFS(Торговля!$M$5:$M$300,Торговля!$E$5:$E$300,$B196)+SUMIFS(Закрытые!$M$5:$M$300,Закрытые!$E$5:$E$300,$B196,Закрытые!$B$5:$B$300,"T-*"),8)))</f>
        <v/>
      </c>
      <c r="K196" s="246" t="str">
        <f>IF(MIN(N(C196),N(F196))&lt;=0,"",ROUND(MIN(N(C196),N(F196))*(N(G196)-N(D196)),8))</f>
        <v/>
      </c>
      <c r="L196" s="183" t="str">
        <f>IF(MIN(N(C196),N(F196))&lt;=0,"",IF(N(D196)=0,"",ROUND((N(G196)/N(D196)-1)*100,2)))</f>
        <v/>
      </c>
      <c r="M196" s="183" t="str">
        <f>IF(OR(ROUND(N(C196)-N(F196),8)=0,1-N(Ввод!$J$19)/100&lt;=0),"",IF(N(C196)&gt;N(F196),(N(E196)-N(H196))/((N(C196)-N(F196))*(1-N(Ввод!$J$19)/100)),(N(H196)-N(E196))/((N(F196)-N(C196))*(1+N(Ввод!$J$19)/100))))</f>
        <v/>
      </c>
    </row>
    <row r="197" ht="22" customHeight="1">
      <c r="B197" s="239" t="n"/>
      <c r="C197" s="240" t="str">
        <f>IF(SUMIFS(Торговля!$F$5:$F$300,Торговля!$E$5:$E$300,$B197)+SUMIFS(Закрытые!$F$5:$F$300,Закрытые!$E$5:$E$300,$B197,Закрытые!$B$5:$B$300,"T-*")=0,"",SUMIFS(Торговля!$F$5:$F$300,Торговля!$E$5:$E$300,$B197)+SUMIFS(Закрытые!$F$5:$F$300,Закрытые!$E$5:$E$300,$B197,Закрытые!$B$5:$B$300,"T-*"))</f>
        <v/>
      </c>
      <c r="D197" s="177" t="str">
        <f>IF(C197="","",(SUMPRODUCT((Торговля!$E$5:$E$300=$B197)*Торговля!$F$5:$F$300*Торговля!$G$5:$G$300)+SUMPRODUCT((Закрытые!$E$5:$E$300=$B197)*(LEFT(Закрытые!$B$5:$B$300,2)="T-")*Закрытые!$F$5:$F$300*Закрытые!$G$5:$G$300))/C197)</f>
        <v/>
      </c>
      <c r="E197" s="241" t="str">
        <f>IF(C197="","",SUMIFS(Торговля!$H$5:$H$300,Торговля!$E$5:$E$300,$B197)+SUMIFS(Закрытые!$H$5:$H$300,Закрытые!$E$5:$E$300,$B197,Закрытые!$B$5:$B$300,"T-*"))</f>
        <v/>
      </c>
      <c r="F197" s="240" t="str">
        <f>IF(SUMIFS(Торговля!$I$5:$I$300,Торговля!$E$5:$E$300,$B197)+SUMIFS(Закрытые!$I$5:$I$300,Закрытые!$E$5:$E$300,$B197,Закрытые!$B$5:$B$300,"T-*")=0,"",SUMIFS(Торговля!$I$5:$I$300,Торговля!$E$5:$E$300,$B197)+SUMIFS(Закрытые!$I$5:$I$300,Закрытые!$E$5:$E$300,$B197,Закрытые!$B$5:$B$300,"T-*"))</f>
        <v/>
      </c>
      <c r="G197" s="177" t="str">
        <f>IF(F197="","",(SUMPRODUCT((Торговля!$E$5:$E$300=$B197)*Торговля!$I$5:$I$300*Торговля!$J$5:$J$300)+SUMPRODUCT((Закрытые!$E$5:$E$300=$B197)*(LEFT(Закрытые!$B$5:$B$300,2)="T-")*Закрытые!$I$5:$I$300*Закрытые!$J$5:$J$300))/F197)</f>
        <v/>
      </c>
      <c r="H197" s="241" t="str">
        <f>IF(F197="","",SUMIFS(Торговля!$K$5:$K$300,Торговля!$E$5:$E$300,$B197)+SUMIFS(Закрытые!$K$5:$K$300,Закрытые!$E$5:$E$300,$B197,Закрытые!$B$5:$B$300,"T-*"))</f>
        <v/>
      </c>
      <c r="I197" s="240" t="str">
        <f>IF($B197="","",IF(COUNTIFS(Торговля!$E$5:$E$300,$B197)+COUNTIFS(Закрытые!$E$5:$E$300,$B197,Закрытые!$B$5:$B$300,"T-*")=0,"",ROUND(SUMIFS(Торговля!$L$5:$L$300,Торговля!$E$5:$E$300,$B197)+SUMIFS(Закрытые!$L$5:$L$300,Закрытые!$E$5:$E$300,$B197,Закрытые!$B$5:$B$300,"T-*"),8)))</f>
        <v/>
      </c>
      <c r="J197" s="241" t="str">
        <f>IF($B197="","",IF(COUNTIFS(Торговля!$E$5:$E$300,$B197)+COUNTIFS(Закрытые!$E$5:$E$300,$B197,Закрытые!$B$5:$B$300,"T-*")=0,"",ROUND(SUMIFS(Торговля!$M$5:$M$300,Торговля!$E$5:$E$300,$B197)+SUMIFS(Закрытые!$M$5:$M$300,Закрытые!$E$5:$E$300,$B197,Закрытые!$B$5:$B$300,"T-*"),8)))</f>
        <v/>
      </c>
      <c r="K197" s="240" t="str">
        <f>IF(MIN(N(C197),N(F197))&lt;=0,"",ROUND(MIN(N(C197),N(F197))*(N(G197)-N(D197)),8))</f>
        <v/>
      </c>
      <c r="L197" s="177" t="str">
        <f>IF(MIN(N(C197),N(F197))&lt;=0,"",IF(N(D197)=0,"",ROUND((N(G197)/N(D197)-1)*100,2)))</f>
        <v/>
      </c>
      <c r="M197" s="177" t="str">
        <f>IF(OR(ROUND(N(C197)-N(F197),8)=0,1-N(Ввод!$J$19)/100&lt;=0),"",IF(N(C197)&gt;N(F197),(N(E197)-N(H197))/((N(C197)-N(F197))*(1-N(Ввод!$J$19)/100)),(N(H197)-N(E197))/((N(F197)-N(C197))*(1+N(Ввод!$J$19)/100))))</f>
        <v/>
      </c>
    </row>
    <row r="198" ht="22" customHeight="1">
      <c r="B198" s="245" t="n"/>
      <c r="C198" s="246" t="str">
        <f>IF(SUMIFS(Торговля!$F$5:$F$300,Торговля!$E$5:$E$300,$B198)+SUMIFS(Закрытые!$F$5:$F$300,Закрытые!$E$5:$E$300,$B198,Закрытые!$B$5:$B$300,"T-*")=0,"",SUMIFS(Торговля!$F$5:$F$300,Торговля!$E$5:$E$300,$B198)+SUMIFS(Закрытые!$F$5:$F$300,Закрытые!$E$5:$E$300,$B198,Закрытые!$B$5:$B$300,"T-*"))</f>
        <v/>
      </c>
      <c r="D198" s="183" t="str">
        <f>IF(C198="","",(SUMPRODUCT((Торговля!$E$5:$E$300=$B198)*Торговля!$F$5:$F$300*Торговля!$G$5:$G$300)+SUMPRODUCT((Закрытые!$E$5:$E$300=$B198)*(LEFT(Закрытые!$B$5:$B$300,2)="T-")*Закрытые!$F$5:$F$300*Закрытые!$G$5:$G$300))/C198)</f>
        <v/>
      </c>
      <c r="E198" s="247" t="str">
        <f>IF(C198="","",SUMIFS(Торговля!$H$5:$H$300,Торговля!$E$5:$E$300,$B198)+SUMIFS(Закрытые!$H$5:$H$300,Закрытые!$E$5:$E$300,$B198,Закрытые!$B$5:$B$300,"T-*"))</f>
        <v/>
      </c>
      <c r="F198" s="246" t="str">
        <f>IF(SUMIFS(Торговля!$I$5:$I$300,Торговля!$E$5:$E$300,$B198)+SUMIFS(Закрытые!$I$5:$I$300,Закрытые!$E$5:$E$300,$B198,Закрытые!$B$5:$B$300,"T-*")=0,"",SUMIFS(Торговля!$I$5:$I$300,Торговля!$E$5:$E$300,$B198)+SUMIFS(Закрытые!$I$5:$I$300,Закрытые!$E$5:$E$300,$B198,Закрытые!$B$5:$B$300,"T-*"))</f>
        <v/>
      </c>
      <c r="G198" s="183" t="str">
        <f>IF(F198="","",(SUMPRODUCT((Торговля!$E$5:$E$300=$B198)*Торговля!$I$5:$I$300*Торговля!$J$5:$J$300)+SUMPRODUCT((Закрытые!$E$5:$E$300=$B198)*(LEFT(Закрытые!$B$5:$B$300,2)="T-")*Закрытые!$I$5:$I$300*Закрытые!$J$5:$J$300))/F198)</f>
        <v/>
      </c>
      <c r="H198" s="247" t="str">
        <f>IF(F198="","",SUMIFS(Торговля!$K$5:$K$300,Торговля!$E$5:$E$300,$B198)+SUMIFS(Закрытые!$K$5:$K$300,Закрытые!$E$5:$E$300,$B198,Закрытые!$B$5:$B$300,"T-*"))</f>
        <v/>
      </c>
      <c r="I198" s="246" t="str">
        <f>IF($B198="","",IF(COUNTIFS(Торговля!$E$5:$E$300,$B198)+COUNTIFS(Закрытые!$E$5:$E$300,$B198,Закрытые!$B$5:$B$300,"T-*")=0,"",ROUND(SUMIFS(Торговля!$L$5:$L$300,Торговля!$E$5:$E$300,$B198)+SUMIFS(Закрытые!$L$5:$L$300,Закрытые!$E$5:$E$300,$B198,Закрытые!$B$5:$B$300,"T-*"),8)))</f>
        <v/>
      </c>
      <c r="J198" s="247" t="str">
        <f>IF($B198="","",IF(COUNTIFS(Торговля!$E$5:$E$300,$B198)+COUNTIFS(Закрытые!$E$5:$E$300,$B198,Закрытые!$B$5:$B$300,"T-*")=0,"",ROUND(SUMIFS(Торговля!$M$5:$M$300,Торговля!$E$5:$E$300,$B198)+SUMIFS(Закрытые!$M$5:$M$300,Закрытые!$E$5:$E$300,$B198,Закрытые!$B$5:$B$300,"T-*"),8)))</f>
        <v/>
      </c>
      <c r="K198" s="246" t="str">
        <f>IF(MIN(N(C198),N(F198))&lt;=0,"",ROUND(MIN(N(C198),N(F198))*(N(G198)-N(D198)),8))</f>
        <v/>
      </c>
      <c r="L198" s="183" t="str">
        <f>IF(MIN(N(C198),N(F198))&lt;=0,"",IF(N(D198)=0,"",ROUND((N(G198)/N(D198)-1)*100,2)))</f>
        <v/>
      </c>
      <c r="M198" s="183" t="str">
        <f>IF(OR(ROUND(N(C198)-N(F198),8)=0,1-N(Ввод!$J$19)/100&lt;=0),"",IF(N(C198)&gt;N(F198),(N(E198)-N(H198))/((N(C198)-N(F198))*(1-N(Ввод!$J$19)/100)),(N(H198)-N(E198))/((N(F198)-N(C198))*(1+N(Ввод!$J$19)/100))))</f>
        <v/>
      </c>
    </row>
    <row r="199" ht="22" customHeight="1">
      <c r="B199" s="239" t="n"/>
      <c r="C199" s="240" t="str">
        <f>IF(SUMIFS(Торговля!$F$5:$F$300,Торговля!$E$5:$E$300,$B199)+SUMIFS(Закрытые!$F$5:$F$300,Закрытые!$E$5:$E$300,$B199,Закрытые!$B$5:$B$300,"T-*")=0,"",SUMIFS(Торговля!$F$5:$F$300,Торговля!$E$5:$E$300,$B199)+SUMIFS(Закрытые!$F$5:$F$300,Закрытые!$E$5:$E$300,$B199,Закрытые!$B$5:$B$300,"T-*"))</f>
        <v/>
      </c>
      <c r="D199" s="177" t="str">
        <f>IF(C199="","",(SUMPRODUCT((Торговля!$E$5:$E$300=$B199)*Торговля!$F$5:$F$300*Торговля!$G$5:$G$300)+SUMPRODUCT((Закрытые!$E$5:$E$300=$B199)*(LEFT(Закрытые!$B$5:$B$300,2)="T-")*Закрытые!$F$5:$F$300*Закрытые!$G$5:$G$300))/C199)</f>
        <v/>
      </c>
      <c r="E199" s="241" t="str">
        <f>IF(C199="","",SUMIFS(Торговля!$H$5:$H$300,Торговля!$E$5:$E$300,$B199)+SUMIFS(Закрытые!$H$5:$H$300,Закрытые!$E$5:$E$300,$B199,Закрытые!$B$5:$B$300,"T-*"))</f>
        <v/>
      </c>
      <c r="F199" s="240" t="str">
        <f>IF(SUMIFS(Торговля!$I$5:$I$300,Торговля!$E$5:$E$300,$B199)+SUMIFS(Закрытые!$I$5:$I$300,Закрытые!$E$5:$E$300,$B199,Закрытые!$B$5:$B$300,"T-*")=0,"",SUMIFS(Торговля!$I$5:$I$300,Торговля!$E$5:$E$300,$B199)+SUMIFS(Закрытые!$I$5:$I$300,Закрытые!$E$5:$E$300,$B199,Закрытые!$B$5:$B$300,"T-*"))</f>
        <v/>
      </c>
      <c r="G199" s="177" t="str">
        <f>IF(F199="","",(SUMPRODUCT((Торговля!$E$5:$E$300=$B199)*Торговля!$I$5:$I$300*Торговля!$J$5:$J$300)+SUMPRODUCT((Закрытые!$E$5:$E$300=$B199)*(LEFT(Закрытые!$B$5:$B$300,2)="T-")*Закрытые!$I$5:$I$300*Закрытые!$J$5:$J$300))/F199)</f>
        <v/>
      </c>
      <c r="H199" s="241" t="str">
        <f>IF(F199="","",SUMIFS(Торговля!$K$5:$K$300,Торговля!$E$5:$E$300,$B199)+SUMIFS(Закрытые!$K$5:$K$300,Закрытые!$E$5:$E$300,$B199,Закрытые!$B$5:$B$300,"T-*"))</f>
        <v/>
      </c>
      <c r="I199" s="240" t="str">
        <f>IF($B199="","",IF(COUNTIFS(Торговля!$E$5:$E$300,$B199)+COUNTIFS(Закрытые!$E$5:$E$300,$B199,Закрытые!$B$5:$B$300,"T-*")=0,"",ROUND(SUMIFS(Торговля!$L$5:$L$300,Торговля!$E$5:$E$300,$B199)+SUMIFS(Закрытые!$L$5:$L$300,Закрытые!$E$5:$E$300,$B199,Закрытые!$B$5:$B$300,"T-*"),8)))</f>
        <v/>
      </c>
      <c r="J199" s="241" t="str">
        <f>IF($B199="","",IF(COUNTIFS(Торговля!$E$5:$E$300,$B199)+COUNTIFS(Закрытые!$E$5:$E$300,$B199,Закрытые!$B$5:$B$300,"T-*")=0,"",ROUND(SUMIFS(Торговля!$M$5:$M$300,Торговля!$E$5:$E$300,$B199)+SUMIFS(Закрытые!$M$5:$M$300,Закрытые!$E$5:$E$300,$B199,Закрытые!$B$5:$B$300,"T-*"),8)))</f>
        <v/>
      </c>
      <c r="K199" s="240" t="str">
        <f>IF(MIN(N(C199),N(F199))&lt;=0,"",ROUND(MIN(N(C199),N(F199))*(N(G199)-N(D199)),8))</f>
        <v/>
      </c>
      <c r="L199" s="177" t="str">
        <f>IF(MIN(N(C199),N(F199))&lt;=0,"",IF(N(D199)=0,"",ROUND((N(G199)/N(D199)-1)*100,2)))</f>
        <v/>
      </c>
      <c r="M199" s="177" t="str">
        <f>IF(OR(ROUND(N(C199)-N(F199),8)=0,1-N(Ввод!$J$19)/100&lt;=0),"",IF(N(C199)&gt;N(F199),(N(E199)-N(H199))/((N(C199)-N(F199))*(1-N(Ввод!$J$19)/100)),(N(H199)-N(E199))/((N(F199)-N(C199))*(1+N(Ввод!$J$19)/100))))</f>
        <v/>
      </c>
    </row>
    <row r="200" ht="22" customHeight="1">
      <c r="B200" s="245" t="n"/>
      <c r="C200" s="246" t="str">
        <f>IF(SUMIFS(Торговля!$F$5:$F$300,Торговля!$E$5:$E$300,$B200)+SUMIFS(Закрытые!$F$5:$F$300,Закрытые!$E$5:$E$300,$B200,Закрытые!$B$5:$B$300,"T-*")=0,"",SUMIFS(Торговля!$F$5:$F$300,Торговля!$E$5:$E$300,$B200)+SUMIFS(Закрытые!$F$5:$F$300,Закрытые!$E$5:$E$300,$B200,Закрытые!$B$5:$B$300,"T-*"))</f>
        <v/>
      </c>
      <c r="D200" s="183" t="str">
        <f>IF(C200="","",(SUMPRODUCT((Торговля!$E$5:$E$300=$B200)*Торговля!$F$5:$F$300*Торговля!$G$5:$G$300)+SUMPRODUCT((Закрытые!$E$5:$E$300=$B200)*(LEFT(Закрытые!$B$5:$B$300,2)="T-")*Закрытые!$F$5:$F$300*Закрытые!$G$5:$G$300))/C200)</f>
        <v/>
      </c>
      <c r="E200" s="247" t="str">
        <f>IF(C200="","",SUMIFS(Торговля!$H$5:$H$300,Торговля!$E$5:$E$300,$B200)+SUMIFS(Закрытые!$H$5:$H$300,Закрытые!$E$5:$E$300,$B200,Закрытые!$B$5:$B$300,"T-*"))</f>
        <v/>
      </c>
      <c r="F200" s="246" t="str">
        <f>IF(SUMIFS(Торговля!$I$5:$I$300,Торговля!$E$5:$E$300,$B200)+SUMIFS(Закрытые!$I$5:$I$300,Закрытые!$E$5:$E$300,$B200,Закрытые!$B$5:$B$300,"T-*")=0,"",SUMIFS(Торговля!$I$5:$I$300,Торговля!$E$5:$E$300,$B200)+SUMIFS(Закрытые!$I$5:$I$300,Закрытые!$E$5:$E$300,$B200,Закрытые!$B$5:$B$300,"T-*"))</f>
        <v/>
      </c>
      <c r="G200" s="183" t="str">
        <f>IF(F200="","",(SUMPRODUCT((Торговля!$E$5:$E$300=$B200)*Торговля!$I$5:$I$300*Торговля!$J$5:$J$300)+SUMPRODUCT((Закрытые!$E$5:$E$300=$B200)*(LEFT(Закрытые!$B$5:$B$300,2)="T-")*Закрытые!$I$5:$I$300*Закрытые!$J$5:$J$300))/F200)</f>
        <v/>
      </c>
      <c r="H200" s="247" t="str">
        <f>IF(F200="","",SUMIFS(Торговля!$K$5:$K$300,Торговля!$E$5:$E$300,$B200)+SUMIFS(Закрытые!$K$5:$K$300,Закрытые!$E$5:$E$300,$B200,Закрытые!$B$5:$B$300,"T-*"))</f>
        <v/>
      </c>
      <c r="I200" s="246" t="str">
        <f>IF($B200="","",IF(COUNTIFS(Торговля!$E$5:$E$300,$B200)+COUNTIFS(Закрытые!$E$5:$E$300,$B200,Закрытые!$B$5:$B$300,"T-*")=0,"",ROUND(SUMIFS(Торговля!$L$5:$L$300,Торговля!$E$5:$E$300,$B200)+SUMIFS(Закрытые!$L$5:$L$300,Закрытые!$E$5:$E$300,$B200,Закрытые!$B$5:$B$300,"T-*"),8)))</f>
        <v/>
      </c>
      <c r="J200" s="247" t="str">
        <f>IF($B200="","",IF(COUNTIFS(Торговля!$E$5:$E$300,$B200)+COUNTIFS(Закрытые!$E$5:$E$300,$B200,Закрытые!$B$5:$B$300,"T-*")=0,"",ROUND(SUMIFS(Торговля!$M$5:$M$300,Торговля!$E$5:$E$300,$B200)+SUMIFS(Закрытые!$M$5:$M$300,Закрытые!$E$5:$E$300,$B200,Закрытые!$B$5:$B$300,"T-*"),8)))</f>
        <v/>
      </c>
      <c r="K200" s="246" t="str">
        <f>IF(MIN(N(C200),N(F200))&lt;=0,"",ROUND(MIN(N(C200),N(F200))*(N(G200)-N(D200)),8))</f>
        <v/>
      </c>
      <c r="L200" s="183" t="str">
        <f>IF(MIN(N(C200),N(F200))&lt;=0,"",IF(N(D200)=0,"",ROUND((N(G200)/N(D200)-1)*100,2)))</f>
        <v/>
      </c>
      <c r="M200" s="183" t="str">
        <f>IF(OR(ROUND(N(C200)-N(F200),8)=0,1-N(Ввод!$J$19)/100&lt;=0),"",IF(N(C200)&gt;N(F200),(N(E200)-N(H200))/((N(C200)-N(F200))*(1-N(Ввод!$J$19)/100)),(N(H200)-N(E200))/((N(F200)-N(C200))*(1+N(Ввод!$J$19)/100))))</f>
        <v/>
      </c>
    </row>
    <row r="201" ht="22" customHeight="1">
      <c r="B201" s="239" t="n"/>
      <c r="C201" s="240" t="str">
        <f>IF(SUMIFS(Торговля!$F$5:$F$300,Торговля!$E$5:$E$300,$B201)+SUMIFS(Закрытые!$F$5:$F$300,Закрытые!$E$5:$E$300,$B201,Закрытые!$B$5:$B$300,"T-*")=0,"",SUMIFS(Торговля!$F$5:$F$300,Торговля!$E$5:$E$300,$B201)+SUMIFS(Закрытые!$F$5:$F$300,Закрытые!$E$5:$E$300,$B201,Закрытые!$B$5:$B$300,"T-*"))</f>
        <v/>
      </c>
      <c r="D201" s="177" t="str">
        <f>IF(C201="","",(SUMPRODUCT((Торговля!$E$5:$E$300=$B201)*Торговля!$F$5:$F$300*Торговля!$G$5:$G$300)+SUMPRODUCT((Закрытые!$E$5:$E$300=$B201)*(LEFT(Закрытые!$B$5:$B$300,2)="T-")*Закрытые!$F$5:$F$300*Закрытые!$G$5:$G$300))/C201)</f>
        <v/>
      </c>
      <c r="E201" s="241" t="str">
        <f>IF(C201="","",SUMIFS(Торговля!$H$5:$H$300,Торговля!$E$5:$E$300,$B201)+SUMIFS(Закрытые!$H$5:$H$300,Закрытые!$E$5:$E$300,$B201,Закрытые!$B$5:$B$300,"T-*"))</f>
        <v/>
      </c>
      <c r="F201" s="240" t="str">
        <f>IF(SUMIFS(Торговля!$I$5:$I$300,Торговля!$E$5:$E$300,$B201)+SUMIFS(Закрытые!$I$5:$I$300,Закрытые!$E$5:$E$300,$B201,Закрытые!$B$5:$B$300,"T-*")=0,"",SUMIFS(Торговля!$I$5:$I$300,Торговля!$E$5:$E$300,$B201)+SUMIFS(Закрытые!$I$5:$I$300,Закрытые!$E$5:$E$300,$B201,Закрытые!$B$5:$B$300,"T-*"))</f>
        <v/>
      </c>
      <c r="G201" s="177" t="str">
        <f>IF(F201="","",(SUMPRODUCT((Торговля!$E$5:$E$300=$B201)*Торговля!$I$5:$I$300*Торговля!$J$5:$J$300)+SUMPRODUCT((Закрытые!$E$5:$E$300=$B201)*(LEFT(Закрытые!$B$5:$B$300,2)="T-")*Закрытые!$I$5:$I$300*Закрытые!$J$5:$J$300))/F201)</f>
        <v/>
      </c>
      <c r="H201" s="241" t="str">
        <f>IF(F201="","",SUMIFS(Торговля!$K$5:$K$300,Торговля!$E$5:$E$300,$B201)+SUMIFS(Закрытые!$K$5:$K$300,Закрытые!$E$5:$E$300,$B201,Закрытые!$B$5:$B$300,"T-*"))</f>
        <v/>
      </c>
      <c r="I201" s="240" t="str">
        <f>IF($B201="","",IF(COUNTIFS(Торговля!$E$5:$E$300,$B201)+COUNTIFS(Закрытые!$E$5:$E$300,$B201,Закрытые!$B$5:$B$300,"T-*")=0,"",ROUND(SUMIFS(Торговля!$L$5:$L$300,Торговля!$E$5:$E$300,$B201)+SUMIFS(Закрытые!$L$5:$L$300,Закрытые!$E$5:$E$300,$B201,Закрытые!$B$5:$B$300,"T-*"),8)))</f>
        <v/>
      </c>
      <c r="J201" s="241" t="str">
        <f>IF($B201="","",IF(COUNTIFS(Торговля!$E$5:$E$300,$B201)+COUNTIFS(Закрытые!$E$5:$E$300,$B201,Закрытые!$B$5:$B$300,"T-*")=0,"",ROUND(SUMIFS(Торговля!$M$5:$M$300,Торговля!$E$5:$E$300,$B201)+SUMIFS(Закрытые!$M$5:$M$300,Закрытые!$E$5:$E$300,$B201,Закрытые!$B$5:$B$300,"T-*"),8)))</f>
        <v/>
      </c>
      <c r="K201" s="240" t="str">
        <f>IF(MIN(N(C201),N(F201))&lt;=0,"",ROUND(MIN(N(C201),N(F201))*(N(G201)-N(D201)),8))</f>
        <v/>
      </c>
      <c r="L201" s="177" t="str">
        <f>IF(MIN(N(C201),N(F201))&lt;=0,"",IF(N(D201)=0,"",ROUND((N(G201)/N(D201)-1)*100,2)))</f>
        <v/>
      </c>
      <c r="M201" s="177" t="str">
        <f>IF(OR(ROUND(N(C201)-N(F201),8)=0,1-N(Ввод!$J$19)/100&lt;=0),"",IF(N(C201)&gt;N(F201),(N(E201)-N(H201))/((N(C201)-N(F201))*(1-N(Ввод!$J$19)/100)),(N(H201)-N(E201))/((N(F201)-N(C201))*(1+N(Ввод!$J$19)/100))))</f>
        <v/>
      </c>
    </row>
    <row r="202" ht="22" customHeight="1">
      <c r="B202" s="245" t="n"/>
      <c r="C202" s="246" t="str">
        <f>IF(SUMIFS(Торговля!$F$5:$F$300,Торговля!$E$5:$E$300,$B202)+SUMIFS(Закрытые!$F$5:$F$300,Закрытые!$E$5:$E$300,$B202,Закрытые!$B$5:$B$300,"T-*")=0,"",SUMIFS(Торговля!$F$5:$F$300,Торговля!$E$5:$E$300,$B202)+SUMIFS(Закрытые!$F$5:$F$300,Закрытые!$E$5:$E$300,$B202,Закрытые!$B$5:$B$300,"T-*"))</f>
        <v/>
      </c>
      <c r="D202" s="183" t="str">
        <f>IF(C202="","",(SUMPRODUCT((Торговля!$E$5:$E$300=$B202)*Торговля!$F$5:$F$300*Торговля!$G$5:$G$300)+SUMPRODUCT((Закрытые!$E$5:$E$300=$B202)*(LEFT(Закрытые!$B$5:$B$300,2)="T-")*Закрытые!$F$5:$F$300*Закрытые!$G$5:$G$300))/C202)</f>
        <v/>
      </c>
      <c r="E202" s="247" t="str">
        <f>IF(C202="","",SUMIFS(Торговля!$H$5:$H$300,Торговля!$E$5:$E$300,$B202)+SUMIFS(Закрытые!$H$5:$H$300,Закрытые!$E$5:$E$300,$B202,Закрытые!$B$5:$B$300,"T-*"))</f>
        <v/>
      </c>
      <c r="F202" s="246" t="str">
        <f>IF(SUMIFS(Торговля!$I$5:$I$300,Торговля!$E$5:$E$300,$B202)+SUMIFS(Закрытые!$I$5:$I$300,Закрытые!$E$5:$E$300,$B202,Закрытые!$B$5:$B$300,"T-*")=0,"",SUMIFS(Торговля!$I$5:$I$300,Торговля!$E$5:$E$300,$B202)+SUMIFS(Закрытые!$I$5:$I$300,Закрытые!$E$5:$E$300,$B202,Закрытые!$B$5:$B$300,"T-*"))</f>
        <v/>
      </c>
      <c r="G202" s="183" t="str">
        <f>IF(F202="","",(SUMPRODUCT((Торговля!$E$5:$E$300=$B202)*Торговля!$I$5:$I$300*Торговля!$J$5:$J$300)+SUMPRODUCT((Закрытые!$E$5:$E$300=$B202)*(LEFT(Закрытые!$B$5:$B$300,2)="T-")*Закрытые!$I$5:$I$300*Закрытые!$J$5:$J$300))/F202)</f>
        <v/>
      </c>
      <c r="H202" s="247" t="str">
        <f>IF(F202="","",SUMIFS(Торговля!$K$5:$K$300,Торговля!$E$5:$E$300,$B202)+SUMIFS(Закрытые!$K$5:$K$300,Закрытые!$E$5:$E$300,$B202,Закрытые!$B$5:$B$300,"T-*"))</f>
        <v/>
      </c>
      <c r="I202" s="246" t="str">
        <f>IF($B202="","",IF(COUNTIFS(Торговля!$E$5:$E$300,$B202)+COUNTIFS(Закрытые!$E$5:$E$300,$B202,Закрытые!$B$5:$B$300,"T-*")=0,"",ROUND(SUMIFS(Торговля!$L$5:$L$300,Торговля!$E$5:$E$300,$B202)+SUMIFS(Закрытые!$L$5:$L$300,Закрытые!$E$5:$E$300,$B202,Закрытые!$B$5:$B$300,"T-*"),8)))</f>
        <v/>
      </c>
      <c r="J202" s="247" t="str">
        <f>IF($B202="","",IF(COUNTIFS(Торговля!$E$5:$E$300,$B202)+COUNTIFS(Закрытые!$E$5:$E$300,$B202,Закрытые!$B$5:$B$300,"T-*")=0,"",ROUND(SUMIFS(Торговля!$M$5:$M$300,Торговля!$E$5:$E$300,$B202)+SUMIFS(Закрытые!$M$5:$M$300,Закрытые!$E$5:$E$300,$B202,Закрытые!$B$5:$B$300,"T-*"),8)))</f>
        <v/>
      </c>
      <c r="K202" s="246" t="str">
        <f>IF(MIN(N(C202),N(F202))&lt;=0,"",ROUND(MIN(N(C202),N(F202))*(N(G202)-N(D202)),8))</f>
        <v/>
      </c>
      <c r="L202" s="183" t="str">
        <f>IF(MIN(N(C202),N(F202))&lt;=0,"",IF(N(D202)=0,"",ROUND((N(G202)/N(D202)-1)*100,2)))</f>
        <v/>
      </c>
      <c r="M202" s="183" t="str">
        <f>IF(OR(ROUND(N(C202)-N(F202),8)=0,1-N(Ввод!$J$19)/100&lt;=0),"",IF(N(C202)&gt;N(F202),(N(E202)-N(H202))/((N(C202)-N(F202))*(1-N(Ввод!$J$19)/100)),(N(H202)-N(E202))/((N(F202)-N(C202))*(1+N(Ввод!$J$19)/100))))</f>
        <v/>
      </c>
    </row>
    <row r="203" ht="22" customHeight="1">
      <c r="B203" s="239" t="n"/>
      <c r="C203" s="240" t="str">
        <f>IF(SUMIFS(Торговля!$F$5:$F$300,Торговля!$E$5:$E$300,$B203)+SUMIFS(Закрытые!$F$5:$F$300,Закрытые!$E$5:$E$300,$B203,Закрытые!$B$5:$B$300,"T-*")=0,"",SUMIFS(Торговля!$F$5:$F$300,Торговля!$E$5:$E$300,$B203)+SUMIFS(Закрытые!$F$5:$F$300,Закрытые!$E$5:$E$300,$B203,Закрытые!$B$5:$B$300,"T-*"))</f>
        <v/>
      </c>
      <c r="D203" s="177" t="str">
        <f>IF(C203="","",(SUMPRODUCT((Торговля!$E$5:$E$300=$B203)*Торговля!$F$5:$F$300*Торговля!$G$5:$G$300)+SUMPRODUCT((Закрытые!$E$5:$E$300=$B203)*(LEFT(Закрытые!$B$5:$B$300,2)="T-")*Закрытые!$F$5:$F$300*Закрытые!$G$5:$G$300))/C203)</f>
        <v/>
      </c>
      <c r="E203" s="241" t="str">
        <f>IF(C203="","",SUMIFS(Торговля!$H$5:$H$300,Торговля!$E$5:$E$300,$B203)+SUMIFS(Закрытые!$H$5:$H$300,Закрытые!$E$5:$E$300,$B203,Закрытые!$B$5:$B$300,"T-*"))</f>
        <v/>
      </c>
      <c r="F203" s="240" t="str">
        <f>IF(SUMIFS(Торговля!$I$5:$I$300,Торговля!$E$5:$E$300,$B203)+SUMIFS(Закрытые!$I$5:$I$300,Закрытые!$E$5:$E$300,$B203,Закрытые!$B$5:$B$300,"T-*")=0,"",SUMIFS(Торговля!$I$5:$I$300,Торговля!$E$5:$E$300,$B203)+SUMIFS(Закрытые!$I$5:$I$300,Закрытые!$E$5:$E$300,$B203,Закрытые!$B$5:$B$300,"T-*"))</f>
        <v/>
      </c>
      <c r="G203" s="177" t="str">
        <f>IF(F203="","",(SUMPRODUCT((Торговля!$E$5:$E$300=$B203)*Торговля!$I$5:$I$300*Торговля!$J$5:$J$300)+SUMPRODUCT((Закрытые!$E$5:$E$300=$B203)*(LEFT(Закрытые!$B$5:$B$300,2)="T-")*Закрытые!$I$5:$I$300*Закрытые!$J$5:$J$300))/F203)</f>
        <v/>
      </c>
      <c r="H203" s="241" t="str">
        <f>IF(F203="","",SUMIFS(Торговля!$K$5:$K$300,Торговля!$E$5:$E$300,$B203)+SUMIFS(Закрытые!$K$5:$K$300,Закрытые!$E$5:$E$300,$B203,Закрытые!$B$5:$B$300,"T-*"))</f>
        <v/>
      </c>
      <c r="I203" s="240" t="str">
        <f>IF($B203="","",IF(COUNTIFS(Торговля!$E$5:$E$300,$B203)+COUNTIFS(Закрытые!$E$5:$E$300,$B203,Закрытые!$B$5:$B$300,"T-*")=0,"",ROUND(SUMIFS(Торговля!$L$5:$L$300,Торговля!$E$5:$E$300,$B203)+SUMIFS(Закрытые!$L$5:$L$300,Закрытые!$E$5:$E$300,$B203,Закрытые!$B$5:$B$300,"T-*"),8)))</f>
        <v/>
      </c>
      <c r="J203" s="241" t="str">
        <f>IF($B203="","",IF(COUNTIFS(Торговля!$E$5:$E$300,$B203)+COUNTIFS(Закрытые!$E$5:$E$300,$B203,Закрытые!$B$5:$B$300,"T-*")=0,"",ROUND(SUMIFS(Торговля!$M$5:$M$300,Торговля!$E$5:$E$300,$B203)+SUMIFS(Закрытые!$M$5:$M$300,Закрытые!$E$5:$E$300,$B203,Закрытые!$B$5:$B$300,"T-*"),8)))</f>
        <v/>
      </c>
      <c r="K203" s="240" t="str">
        <f>IF(MIN(N(C203),N(F203))&lt;=0,"",ROUND(MIN(N(C203),N(F203))*(N(G203)-N(D203)),8))</f>
        <v/>
      </c>
      <c r="L203" s="177" t="str">
        <f>IF(MIN(N(C203),N(F203))&lt;=0,"",IF(N(D203)=0,"",ROUND((N(G203)/N(D203)-1)*100,2)))</f>
        <v/>
      </c>
      <c r="M203" s="177" t="str">
        <f>IF(OR(ROUND(N(C203)-N(F203),8)=0,1-N(Ввод!$J$19)/100&lt;=0),"",IF(N(C203)&gt;N(F203),(N(E203)-N(H203))/((N(C203)-N(F203))*(1-N(Ввод!$J$19)/100)),(N(H203)-N(E203))/((N(F203)-N(C203))*(1+N(Ввод!$J$19)/100))))</f>
        <v/>
      </c>
    </row>
    <row r="204" ht="22" customHeight="1">
      <c r="B204" s="245" t="n"/>
      <c r="C204" s="246" t="str">
        <f>IF(SUMIFS(Торговля!$F$5:$F$300,Торговля!$E$5:$E$300,$B204)+SUMIFS(Закрытые!$F$5:$F$300,Закрытые!$E$5:$E$300,$B204,Закрытые!$B$5:$B$300,"T-*")=0,"",SUMIFS(Торговля!$F$5:$F$300,Торговля!$E$5:$E$300,$B204)+SUMIFS(Закрытые!$F$5:$F$300,Закрытые!$E$5:$E$300,$B204,Закрытые!$B$5:$B$300,"T-*"))</f>
        <v/>
      </c>
      <c r="D204" s="183" t="str">
        <f>IF(C204="","",(SUMPRODUCT((Торговля!$E$5:$E$300=$B204)*Торговля!$F$5:$F$300*Торговля!$G$5:$G$300)+SUMPRODUCT((Закрытые!$E$5:$E$300=$B204)*(LEFT(Закрытые!$B$5:$B$300,2)="T-")*Закрытые!$F$5:$F$300*Закрытые!$G$5:$G$300))/C204)</f>
        <v/>
      </c>
      <c r="E204" s="247" t="str">
        <f>IF(C204="","",SUMIFS(Торговля!$H$5:$H$300,Торговля!$E$5:$E$300,$B204)+SUMIFS(Закрытые!$H$5:$H$300,Закрытые!$E$5:$E$300,$B204,Закрытые!$B$5:$B$300,"T-*"))</f>
        <v/>
      </c>
      <c r="F204" s="246" t="str">
        <f>IF(SUMIFS(Торговля!$I$5:$I$300,Торговля!$E$5:$E$300,$B204)+SUMIFS(Закрытые!$I$5:$I$300,Закрытые!$E$5:$E$300,$B204,Закрытые!$B$5:$B$300,"T-*")=0,"",SUMIFS(Торговля!$I$5:$I$300,Торговля!$E$5:$E$300,$B204)+SUMIFS(Закрытые!$I$5:$I$300,Закрытые!$E$5:$E$300,$B204,Закрытые!$B$5:$B$300,"T-*"))</f>
        <v/>
      </c>
      <c r="G204" s="183" t="str">
        <f>IF(F204="","",(SUMPRODUCT((Торговля!$E$5:$E$300=$B204)*Торговля!$I$5:$I$300*Торговля!$J$5:$J$300)+SUMPRODUCT((Закрытые!$E$5:$E$300=$B204)*(LEFT(Закрытые!$B$5:$B$300,2)="T-")*Закрытые!$I$5:$I$300*Закрытые!$J$5:$J$300))/F204)</f>
        <v/>
      </c>
      <c r="H204" s="247" t="str">
        <f>IF(F204="","",SUMIFS(Торговля!$K$5:$K$300,Торговля!$E$5:$E$300,$B204)+SUMIFS(Закрытые!$K$5:$K$300,Закрытые!$E$5:$E$300,$B204,Закрытые!$B$5:$B$300,"T-*"))</f>
        <v/>
      </c>
      <c r="I204" s="246" t="str">
        <f>IF($B204="","",IF(COUNTIFS(Торговля!$E$5:$E$300,$B204)+COUNTIFS(Закрытые!$E$5:$E$300,$B204,Закрытые!$B$5:$B$300,"T-*")=0,"",ROUND(SUMIFS(Торговля!$L$5:$L$300,Торговля!$E$5:$E$300,$B204)+SUMIFS(Закрытые!$L$5:$L$300,Закрытые!$E$5:$E$300,$B204,Закрытые!$B$5:$B$300,"T-*"),8)))</f>
        <v/>
      </c>
      <c r="J204" s="247" t="str">
        <f>IF($B204="","",IF(COUNTIFS(Торговля!$E$5:$E$300,$B204)+COUNTIFS(Закрытые!$E$5:$E$300,$B204,Закрытые!$B$5:$B$300,"T-*")=0,"",ROUND(SUMIFS(Торговля!$M$5:$M$300,Торговля!$E$5:$E$300,$B204)+SUMIFS(Закрытые!$M$5:$M$300,Закрытые!$E$5:$E$300,$B204,Закрытые!$B$5:$B$300,"T-*"),8)))</f>
        <v/>
      </c>
      <c r="K204" s="246" t="str">
        <f>IF(MIN(N(C204),N(F204))&lt;=0,"",ROUND(MIN(N(C204),N(F204))*(N(G204)-N(D204)),8))</f>
        <v/>
      </c>
      <c r="L204" s="183" t="str">
        <f>IF(MIN(N(C204),N(F204))&lt;=0,"",IF(N(D204)=0,"",ROUND((N(G204)/N(D204)-1)*100,2)))</f>
        <v/>
      </c>
      <c r="M204" s="183" t="str">
        <f>IF(OR(ROUND(N(C204)-N(F204),8)=0,1-N(Ввод!$J$19)/100&lt;=0),"",IF(N(C204)&gt;N(F204),(N(E204)-N(H204))/((N(C204)-N(F204))*(1-N(Ввод!$J$19)/100)),(N(H204)-N(E204))/((N(F204)-N(C204))*(1+N(Ввод!$J$19)/100))))</f>
        <v/>
      </c>
    </row>
    <row r="205" ht="22" customHeight="1">
      <c r="B205" s="239" t="n"/>
      <c r="C205" s="240" t="str">
        <f>IF(SUMIFS(Торговля!$F$5:$F$300,Торговля!$E$5:$E$300,$B205)+SUMIFS(Закрытые!$F$5:$F$300,Закрытые!$E$5:$E$300,$B205,Закрытые!$B$5:$B$300,"T-*")=0,"",SUMIFS(Торговля!$F$5:$F$300,Торговля!$E$5:$E$300,$B205)+SUMIFS(Закрытые!$F$5:$F$300,Закрытые!$E$5:$E$300,$B205,Закрытые!$B$5:$B$300,"T-*"))</f>
        <v/>
      </c>
      <c r="D205" s="177" t="str">
        <f>IF(C205="","",(SUMPRODUCT((Торговля!$E$5:$E$300=$B205)*Торговля!$F$5:$F$300*Торговля!$G$5:$G$300)+SUMPRODUCT((Закрытые!$E$5:$E$300=$B205)*(LEFT(Закрытые!$B$5:$B$300,2)="T-")*Закрытые!$F$5:$F$300*Закрытые!$G$5:$G$300))/C205)</f>
        <v/>
      </c>
      <c r="E205" s="241" t="str">
        <f>IF(C205="","",SUMIFS(Торговля!$H$5:$H$300,Торговля!$E$5:$E$300,$B205)+SUMIFS(Закрытые!$H$5:$H$300,Закрытые!$E$5:$E$300,$B205,Закрытые!$B$5:$B$300,"T-*"))</f>
        <v/>
      </c>
      <c r="F205" s="240" t="str">
        <f>IF(SUMIFS(Торговля!$I$5:$I$300,Торговля!$E$5:$E$300,$B205)+SUMIFS(Закрытые!$I$5:$I$300,Закрытые!$E$5:$E$300,$B205,Закрытые!$B$5:$B$300,"T-*")=0,"",SUMIFS(Торговля!$I$5:$I$300,Торговля!$E$5:$E$300,$B205)+SUMIFS(Закрытые!$I$5:$I$300,Закрытые!$E$5:$E$300,$B205,Закрытые!$B$5:$B$300,"T-*"))</f>
        <v/>
      </c>
      <c r="G205" s="177" t="str">
        <f>IF(F205="","",(SUMPRODUCT((Торговля!$E$5:$E$300=$B205)*Торговля!$I$5:$I$300*Торговля!$J$5:$J$300)+SUMPRODUCT((Закрытые!$E$5:$E$300=$B205)*(LEFT(Закрытые!$B$5:$B$300,2)="T-")*Закрытые!$I$5:$I$300*Закрытые!$J$5:$J$300))/F205)</f>
        <v/>
      </c>
      <c r="H205" s="241" t="str">
        <f>IF(F205="","",SUMIFS(Торговля!$K$5:$K$300,Торговля!$E$5:$E$300,$B205)+SUMIFS(Закрытые!$K$5:$K$300,Закрытые!$E$5:$E$300,$B205,Закрытые!$B$5:$B$300,"T-*"))</f>
        <v/>
      </c>
      <c r="I205" s="240" t="str">
        <f>IF($B205="","",IF(COUNTIFS(Торговля!$E$5:$E$300,$B205)+COUNTIFS(Закрытые!$E$5:$E$300,$B205,Закрытые!$B$5:$B$300,"T-*")=0,"",ROUND(SUMIFS(Торговля!$L$5:$L$300,Торговля!$E$5:$E$300,$B205)+SUMIFS(Закрытые!$L$5:$L$300,Закрытые!$E$5:$E$300,$B205,Закрытые!$B$5:$B$300,"T-*"),8)))</f>
        <v/>
      </c>
      <c r="J205" s="241" t="str">
        <f>IF($B205="","",IF(COUNTIFS(Торговля!$E$5:$E$300,$B205)+COUNTIFS(Закрытые!$E$5:$E$300,$B205,Закрытые!$B$5:$B$300,"T-*")=0,"",ROUND(SUMIFS(Торговля!$M$5:$M$300,Торговля!$E$5:$E$300,$B205)+SUMIFS(Закрытые!$M$5:$M$300,Закрытые!$E$5:$E$300,$B205,Закрытые!$B$5:$B$300,"T-*"),8)))</f>
        <v/>
      </c>
      <c r="K205" s="240" t="str">
        <f>IF(MIN(N(C205),N(F205))&lt;=0,"",ROUND(MIN(N(C205),N(F205))*(N(G205)-N(D205)),8))</f>
        <v/>
      </c>
      <c r="L205" s="177" t="str">
        <f>IF(MIN(N(C205),N(F205))&lt;=0,"",IF(N(D205)=0,"",ROUND((N(G205)/N(D205)-1)*100,2)))</f>
        <v/>
      </c>
      <c r="M205" s="177" t="str">
        <f>IF(OR(ROUND(N(C205)-N(F205),8)=0,1-N(Ввод!$J$19)/100&lt;=0),"",IF(N(C205)&gt;N(F205),(N(E205)-N(H205))/((N(C205)-N(F205))*(1-N(Ввод!$J$19)/100)),(N(H205)-N(E205))/((N(F205)-N(C205))*(1+N(Ввод!$J$19)/100))))</f>
        <v/>
      </c>
    </row>
    <row r="206" ht="22" customHeight="1">
      <c r="B206" s="245" t="n"/>
      <c r="C206" s="246" t="str">
        <f>IF(SUMIFS(Торговля!$F$5:$F$300,Торговля!$E$5:$E$300,$B206)+SUMIFS(Закрытые!$F$5:$F$300,Закрытые!$E$5:$E$300,$B206,Закрытые!$B$5:$B$300,"T-*")=0,"",SUMIFS(Торговля!$F$5:$F$300,Торговля!$E$5:$E$300,$B206)+SUMIFS(Закрытые!$F$5:$F$300,Закрытые!$E$5:$E$300,$B206,Закрытые!$B$5:$B$300,"T-*"))</f>
        <v/>
      </c>
      <c r="D206" s="183" t="str">
        <f>IF(C206="","",(SUMPRODUCT((Торговля!$E$5:$E$300=$B206)*Торговля!$F$5:$F$300*Торговля!$G$5:$G$300)+SUMPRODUCT((Закрытые!$E$5:$E$300=$B206)*(LEFT(Закрытые!$B$5:$B$300,2)="T-")*Закрытые!$F$5:$F$300*Закрытые!$G$5:$G$300))/C206)</f>
        <v/>
      </c>
      <c r="E206" s="247" t="str">
        <f>IF(C206="","",SUMIFS(Торговля!$H$5:$H$300,Торговля!$E$5:$E$300,$B206)+SUMIFS(Закрытые!$H$5:$H$300,Закрытые!$E$5:$E$300,$B206,Закрытые!$B$5:$B$300,"T-*"))</f>
        <v/>
      </c>
      <c r="F206" s="246" t="str">
        <f>IF(SUMIFS(Торговля!$I$5:$I$300,Торговля!$E$5:$E$300,$B206)+SUMIFS(Закрытые!$I$5:$I$300,Закрытые!$E$5:$E$300,$B206,Закрытые!$B$5:$B$300,"T-*")=0,"",SUMIFS(Торговля!$I$5:$I$300,Торговля!$E$5:$E$300,$B206)+SUMIFS(Закрытые!$I$5:$I$300,Закрытые!$E$5:$E$300,$B206,Закрытые!$B$5:$B$300,"T-*"))</f>
        <v/>
      </c>
      <c r="G206" s="183" t="str">
        <f>IF(F206="","",(SUMPRODUCT((Торговля!$E$5:$E$300=$B206)*Торговля!$I$5:$I$300*Торговля!$J$5:$J$300)+SUMPRODUCT((Закрытые!$E$5:$E$300=$B206)*(LEFT(Закрытые!$B$5:$B$300,2)="T-")*Закрытые!$I$5:$I$300*Закрытые!$J$5:$J$300))/F206)</f>
        <v/>
      </c>
      <c r="H206" s="247" t="str">
        <f>IF(F206="","",SUMIFS(Торговля!$K$5:$K$300,Торговля!$E$5:$E$300,$B206)+SUMIFS(Закрытые!$K$5:$K$300,Закрытые!$E$5:$E$300,$B206,Закрытые!$B$5:$B$300,"T-*"))</f>
        <v/>
      </c>
      <c r="I206" s="246" t="str">
        <f>IF($B206="","",IF(COUNTIFS(Торговля!$E$5:$E$300,$B206)+COUNTIFS(Закрытые!$E$5:$E$300,$B206,Закрытые!$B$5:$B$300,"T-*")=0,"",ROUND(SUMIFS(Торговля!$L$5:$L$300,Торговля!$E$5:$E$300,$B206)+SUMIFS(Закрытые!$L$5:$L$300,Закрытые!$E$5:$E$300,$B206,Закрытые!$B$5:$B$300,"T-*"),8)))</f>
        <v/>
      </c>
      <c r="J206" s="247" t="str">
        <f>IF($B206="","",IF(COUNTIFS(Торговля!$E$5:$E$300,$B206)+COUNTIFS(Закрытые!$E$5:$E$300,$B206,Закрытые!$B$5:$B$300,"T-*")=0,"",ROUND(SUMIFS(Торговля!$M$5:$M$300,Торговля!$E$5:$E$300,$B206)+SUMIFS(Закрытые!$M$5:$M$300,Закрытые!$E$5:$E$300,$B206,Закрытые!$B$5:$B$300,"T-*"),8)))</f>
        <v/>
      </c>
      <c r="K206" s="246" t="str">
        <f>IF(MIN(N(C206),N(F206))&lt;=0,"",ROUND(MIN(N(C206),N(F206))*(N(G206)-N(D206)),8))</f>
        <v/>
      </c>
      <c r="L206" s="183" t="str">
        <f>IF(MIN(N(C206),N(F206))&lt;=0,"",IF(N(D206)=0,"",ROUND((N(G206)/N(D206)-1)*100,2)))</f>
        <v/>
      </c>
      <c r="M206" s="183" t="str">
        <f>IF(OR(ROUND(N(C206)-N(F206),8)=0,1-N(Ввод!$J$19)/100&lt;=0),"",IF(N(C206)&gt;N(F206),(N(E206)-N(H206))/((N(C206)-N(F206))*(1-N(Ввод!$J$19)/100)),(N(H206)-N(E206))/((N(F206)-N(C206))*(1+N(Ввод!$J$19)/100))))</f>
        <v/>
      </c>
    </row>
    <row r="207" ht="22" customHeight="1">
      <c r="B207" s="239" t="n"/>
      <c r="C207" s="240" t="str">
        <f>IF(SUMIFS(Торговля!$F$5:$F$300,Торговля!$E$5:$E$300,$B207)+SUMIFS(Закрытые!$F$5:$F$300,Закрытые!$E$5:$E$300,$B207,Закрытые!$B$5:$B$300,"T-*")=0,"",SUMIFS(Торговля!$F$5:$F$300,Торговля!$E$5:$E$300,$B207)+SUMIFS(Закрытые!$F$5:$F$300,Закрытые!$E$5:$E$300,$B207,Закрытые!$B$5:$B$300,"T-*"))</f>
        <v/>
      </c>
      <c r="D207" s="177" t="str">
        <f>IF(C207="","",(SUMPRODUCT((Торговля!$E$5:$E$300=$B207)*Торговля!$F$5:$F$300*Торговля!$G$5:$G$300)+SUMPRODUCT((Закрытые!$E$5:$E$300=$B207)*(LEFT(Закрытые!$B$5:$B$300,2)="T-")*Закрытые!$F$5:$F$300*Закрытые!$G$5:$G$300))/C207)</f>
        <v/>
      </c>
      <c r="E207" s="241" t="str">
        <f>IF(C207="","",SUMIFS(Торговля!$H$5:$H$300,Торговля!$E$5:$E$300,$B207)+SUMIFS(Закрытые!$H$5:$H$300,Закрытые!$E$5:$E$300,$B207,Закрытые!$B$5:$B$300,"T-*"))</f>
        <v/>
      </c>
      <c r="F207" s="240" t="str">
        <f>IF(SUMIFS(Торговля!$I$5:$I$300,Торговля!$E$5:$E$300,$B207)+SUMIFS(Закрытые!$I$5:$I$300,Закрытые!$E$5:$E$300,$B207,Закрытые!$B$5:$B$300,"T-*")=0,"",SUMIFS(Торговля!$I$5:$I$300,Торговля!$E$5:$E$300,$B207)+SUMIFS(Закрытые!$I$5:$I$300,Закрытые!$E$5:$E$300,$B207,Закрытые!$B$5:$B$300,"T-*"))</f>
        <v/>
      </c>
      <c r="G207" s="177" t="str">
        <f>IF(F207="","",(SUMPRODUCT((Торговля!$E$5:$E$300=$B207)*Торговля!$I$5:$I$300*Торговля!$J$5:$J$300)+SUMPRODUCT((Закрытые!$E$5:$E$300=$B207)*(LEFT(Закрытые!$B$5:$B$300,2)="T-")*Закрытые!$I$5:$I$300*Закрытые!$J$5:$J$300))/F207)</f>
        <v/>
      </c>
      <c r="H207" s="241" t="str">
        <f>IF(F207="","",SUMIFS(Торговля!$K$5:$K$300,Торговля!$E$5:$E$300,$B207)+SUMIFS(Закрытые!$K$5:$K$300,Закрытые!$E$5:$E$300,$B207,Закрытые!$B$5:$B$300,"T-*"))</f>
        <v/>
      </c>
      <c r="I207" s="240" t="str">
        <f>IF($B207="","",IF(COUNTIFS(Торговля!$E$5:$E$300,$B207)+COUNTIFS(Закрытые!$E$5:$E$300,$B207,Закрытые!$B$5:$B$300,"T-*")=0,"",ROUND(SUMIFS(Торговля!$L$5:$L$300,Торговля!$E$5:$E$300,$B207)+SUMIFS(Закрытые!$L$5:$L$300,Закрытые!$E$5:$E$300,$B207,Закрытые!$B$5:$B$300,"T-*"),8)))</f>
        <v/>
      </c>
      <c r="J207" s="241" t="str">
        <f>IF($B207="","",IF(COUNTIFS(Торговля!$E$5:$E$300,$B207)+COUNTIFS(Закрытые!$E$5:$E$300,$B207,Закрытые!$B$5:$B$300,"T-*")=0,"",ROUND(SUMIFS(Торговля!$M$5:$M$300,Торговля!$E$5:$E$300,$B207)+SUMIFS(Закрытые!$M$5:$M$300,Закрытые!$E$5:$E$300,$B207,Закрытые!$B$5:$B$300,"T-*"),8)))</f>
        <v/>
      </c>
      <c r="K207" s="240" t="str">
        <f>IF(MIN(N(C207),N(F207))&lt;=0,"",ROUND(MIN(N(C207),N(F207))*(N(G207)-N(D207)),8))</f>
        <v/>
      </c>
      <c r="L207" s="177" t="str">
        <f>IF(MIN(N(C207),N(F207))&lt;=0,"",IF(N(D207)=0,"",ROUND((N(G207)/N(D207)-1)*100,2)))</f>
        <v/>
      </c>
      <c r="M207" s="177" t="str">
        <f>IF(OR(ROUND(N(C207)-N(F207),8)=0,1-N(Ввод!$J$19)/100&lt;=0),"",IF(N(C207)&gt;N(F207),(N(E207)-N(H207))/((N(C207)-N(F207))*(1-N(Ввод!$J$19)/100)),(N(H207)-N(E207))/((N(F207)-N(C207))*(1+N(Ввод!$J$19)/100))))</f>
        <v/>
      </c>
    </row>
    <row r="208" ht="22" customHeight="1">
      <c r="B208" s="245" t="n"/>
      <c r="C208" s="246" t="str">
        <f>IF(SUMIFS(Торговля!$F$5:$F$300,Торговля!$E$5:$E$300,$B208)+SUMIFS(Закрытые!$F$5:$F$300,Закрытые!$E$5:$E$300,$B208,Закрытые!$B$5:$B$300,"T-*")=0,"",SUMIFS(Торговля!$F$5:$F$300,Торговля!$E$5:$E$300,$B208)+SUMIFS(Закрытые!$F$5:$F$300,Закрытые!$E$5:$E$300,$B208,Закрытые!$B$5:$B$300,"T-*"))</f>
        <v/>
      </c>
      <c r="D208" s="183" t="str">
        <f>IF(C208="","",(SUMPRODUCT((Торговля!$E$5:$E$300=$B208)*Торговля!$F$5:$F$300*Торговля!$G$5:$G$300)+SUMPRODUCT((Закрытые!$E$5:$E$300=$B208)*(LEFT(Закрытые!$B$5:$B$300,2)="T-")*Закрытые!$F$5:$F$300*Закрытые!$G$5:$G$300))/C208)</f>
        <v/>
      </c>
      <c r="E208" s="247" t="str">
        <f>IF(C208="","",SUMIFS(Торговля!$H$5:$H$300,Торговля!$E$5:$E$300,$B208)+SUMIFS(Закрытые!$H$5:$H$300,Закрытые!$E$5:$E$300,$B208,Закрытые!$B$5:$B$300,"T-*"))</f>
        <v/>
      </c>
      <c r="F208" s="246" t="str">
        <f>IF(SUMIFS(Торговля!$I$5:$I$300,Торговля!$E$5:$E$300,$B208)+SUMIFS(Закрытые!$I$5:$I$300,Закрытые!$E$5:$E$300,$B208,Закрытые!$B$5:$B$300,"T-*")=0,"",SUMIFS(Торговля!$I$5:$I$300,Торговля!$E$5:$E$300,$B208)+SUMIFS(Закрытые!$I$5:$I$300,Закрытые!$E$5:$E$300,$B208,Закрытые!$B$5:$B$300,"T-*"))</f>
        <v/>
      </c>
      <c r="G208" s="183" t="str">
        <f>IF(F208="","",(SUMPRODUCT((Торговля!$E$5:$E$300=$B208)*Торговля!$I$5:$I$300*Торговля!$J$5:$J$300)+SUMPRODUCT((Закрытые!$E$5:$E$300=$B208)*(LEFT(Закрытые!$B$5:$B$300,2)="T-")*Закрытые!$I$5:$I$300*Закрытые!$J$5:$J$300))/F208)</f>
        <v/>
      </c>
      <c r="H208" s="247" t="str">
        <f>IF(F208="","",SUMIFS(Торговля!$K$5:$K$300,Торговля!$E$5:$E$300,$B208)+SUMIFS(Закрытые!$K$5:$K$300,Закрытые!$E$5:$E$300,$B208,Закрытые!$B$5:$B$300,"T-*"))</f>
        <v/>
      </c>
      <c r="I208" s="246" t="str">
        <f>IF($B208="","",IF(COUNTIFS(Торговля!$E$5:$E$300,$B208)+COUNTIFS(Закрытые!$E$5:$E$300,$B208,Закрытые!$B$5:$B$300,"T-*")=0,"",ROUND(SUMIFS(Торговля!$L$5:$L$300,Торговля!$E$5:$E$300,$B208)+SUMIFS(Закрытые!$L$5:$L$300,Закрытые!$E$5:$E$300,$B208,Закрытые!$B$5:$B$300,"T-*"),8)))</f>
        <v/>
      </c>
      <c r="J208" s="247" t="str">
        <f>IF($B208="","",IF(COUNTIFS(Торговля!$E$5:$E$300,$B208)+COUNTIFS(Закрытые!$E$5:$E$300,$B208,Закрытые!$B$5:$B$300,"T-*")=0,"",ROUND(SUMIFS(Торговля!$M$5:$M$300,Торговля!$E$5:$E$300,$B208)+SUMIFS(Закрытые!$M$5:$M$300,Закрытые!$E$5:$E$300,$B208,Закрытые!$B$5:$B$300,"T-*"),8)))</f>
        <v/>
      </c>
      <c r="K208" s="246" t="str">
        <f>IF(MIN(N(C208),N(F208))&lt;=0,"",ROUND(MIN(N(C208),N(F208))*(N(G208)-N(D208)),8))</f>
        <v/>
      </c>
      <c r="L208" s="183" t="str">
        <f>IF(MIN(N(C208),N(F208))&lt;=0,"",IF(N(D208)=0,"",ROUND((N(G208)/N(D208)-1)*100,2)))</f>
        <v/>
      </c>
      <c r="M208" s="183" t="str">
        <f>IF(OR(ROUND(N(C208)-N(F208),8)=0,1-N(Ввод!$J$19)/100&lt;=0),"",IF(N(C208)&gt;N(F208),(N(E208)-N(H208))/((N(C208)-N(F208))*(1-N(Ввод!$J$19)/100)),(N(H208)-N(E208))/((N(F208)-N(C208))*(1+N(Ввод!$J$19)/100))))</f>
        <v/>
      </c>
    </row>
    <row r="209" ht="22" customHeight="1">
      <c r="B209" s="239" t="n"/>
      <c r="C209" s="240" t="str">
        <f>IF(SUMIFS(Торговля!$F$5:$F$300,Торговля!$E$5:$E$300,$B209)+SUMIFS(Закрытые!$F$5:$F$300,Закрытые!$E$5:$E$300,$B209,Закрытые!$B$5:$B$300,"T-*")=0,"",SUMIFS(Торговля!$F$5:$F$300,Торговля!$E$5:$E$300,$B209)+SUMIFS(Закрытые!$F$5:$F$300,Закрытые!$E$5:$E$300,$B209,Закрытые!$B$5:$B$300,"T-*"))</f>
        <v/>
      </c>
      <c r="D209" s="177" t="str">
        <f>IF(C209="","",(SUMPRODUCT((Торговля!$E$5:$E$300=$B209)*Торговля!$F$5:$F$300*Торговля!$G$5:$G$300)+SUMPRODUCT((Закрытые!$E$5:$E$300=$B209)*(LEFT(Закрытые!$B$5:$B$300,2)="T-")*Закрытые!$F$5:$F$300*Закрытые!$G$5:$G$300))/C209)</f>
        <v/>
      </c>
      <c r="E209" s="241" t="str">
        <f>IF(C209="","",SUMIFS(Торговля!$H$5:$H$300,Торговля!$E$5:$E$300,$B209)+SUMIFS(Закрытые!$H$5:$H$300,Закрытые!$E$5:$E$300,$B209,Закрытые!$B$5:$B$300,"T-*"))</f>
        <v/>
      </c>
      <c r="F209" s="240" t="str">
        <f>IF(SUMIFS(Торговля!$I$5:$I$300,Торговля!$E$5:$E$300,$B209)+SUMIFS(Закрытые!$I$5:$I$300,Закрытые!$E$5:$E$300,$B209,Закрытые!$B$5:$B$300,"T-*")=0,"",SUMIFS(Торговля!$I$5:$I$300,Торговля!$E$5:$E$300,$B209)+SUMIFS(Закрытые!$I$5:$I$300,Закрытые!$E$5:$E$300,$B209,Закрытые!$B$5:$B$300,"T-*"))</f>
        <v/>
      </c>
      <c r="G209" s="177" t="str">
        <f>IF(F209="","",(SUMPRODUCT((Торговля!$E$5:$E$300=$B209)*Торговля!$I$5:$I$300*Торговля!$J$5:$J$300)+SUMPRODUCT((Закрытые!$E$5:$E$300=$B209)*(LEFT(Закрытые!$B$5:$B$300,2)="T-")*Закрытые!$I$5:$I$300*Закрытые!$J$5:$J$300))/F209)</f>
        <v/>
      </c>
      <c r="H209" s="241" t="str">
        <f>IF(F209="","",SUMIFS(Торговля!$K$5:$K$300,Торговля!$E$5:$E$300,$B209)+SUMIFS(Закрытые!$K$5:$K$300,Закрытые!$E$5:$E$300,$B209,Закрытые!$B$5:$B$300,"T-*"))</f>
        <v/>
      </c>
      <c r="I209" s="240" t="str">
        <f>IF($B209="","",IF(COUNTIFS(Торговля!$E$5:$E$300,$B209)+COUNTIFS(Закрытые!$E$5:$E$300,$B209,Закрытые!$B$5:$B$300,"T-*")=0,"",ROUND(SUMIFS(Торговля!$L$5:$L$300,Торговля!$E$5:$E$300,$B209)+SUMIFS(Закрытые!$L$5:$L$300,Закрытые!$E$5:$E$300,$B209,Закрытые!$B$5:$B$300,"T-*"),8)))</f>
        <v/>
      </c>
      <c r="J209" s="241" t="str">
        <f>IF($B209="","",IF(COUNTIFS(Торговля!$E$5:$E$300,$B209)+COUNTIFS(Закрытые!$E$5:$E$300,$B209,Закрытые!$B$5:$B$300,"T-*")=0,"",ROUND(SUMIFS(Торговля!$M$5:$M$300,Торговля!$E$5:$E$300,$B209)+SUMIFS(Закрытые!$M$5:$M$300,Закрытые!$E$5:$E$300,$B209,Закрытые!$B$5:$B$300,"T-*"),8)))</f>
        <v/>
      </c>
      <c r="K209" s="240" t="str">
        <f>IF(MIN(N(C209),N(F209))&lt;=0,"",ROUND(MIN(N(C209),N(F209))*(N(G209)-N(D209)),8))</f>
        <v/>
      </c>
      <c r="L209" s="177" t="str">
        <f>IF(MIN(N(C209),N(F209))&lt;=0,"",IF(N(D209)=0,"",ROUND((N(G209)/N(D209)-1)*100,2)))</f>
        <v/>
      </c>
      <c r="M209" s="177" t="str">
        <f>IF(OR(ROUND(N(C209)-N(F209),8)=0,1-N(Ввод!$J$19)/100&lt;=0),"",IF(N(C209)&gt;N(F209),(N(E209)-N(H209))/((N(C209)-N(F209))*(1-N(Ввод!$J$19)/100)),(N(H209)-N(E209))/((N(F209)-N(C209))*(1+N(Ввод!$J$19)/100))))</f>
        <v/>
      </c>
    </row>
    <row r="210" ht="22" customHeight="1">
      <c r="B210" s="245" t="n"/>
      <c r="C210" s="246" t="str">
        <f>IF(SUMIFS(Торговля!$F$5:$F$300,Торговля!$E$5:$E$300,$B210)+SUMIFS(Закрытые!$F$5:$F$300,Закрытые!$E$5:$E$300,$B210,Закрытые!$B$5:$B$300,"T-*")=0,"",SUMIFS(Торговля!$F$5:$F$300,Торговля!$E$5:$E$300,$B210)+SUMIFS(Закрытые!$F$5:$F$300,Закрытые!$E$5:$E$300,$B210,Закрытые!$B$5:$B$300,"T-*"))</f>
        <v/>
      </c>
      <c r="D210" s="183" t="str">
        <f>IF(C210="","",(SUMPRODUCT((Торговля!$E$5:$E$300=$B210)*Торговля!$F$5:$F$300*Торговля!$G$5:$G$300)+SUMPRODUCT((Закрытые!$E$5:$E$300=$B210)*(LEFT(Закрытые!$B$5:$B$300,2)="T-")*Закрытые!$F$5:$F$300*Закрытые!$G$5:$G$300))/C210)</f>
        <v/>
      </c>
      <c r="E210" s="247" t="str">
        <f>IF(C210="","",SUMIFS(Торговля!$H$5:$H$300,Торговля!$E$5:$E$300,$B210)+SUMIFS(Закрытые!$H$5:$H$300,Закрытые!$E$5:$E$300,$B210,Закрытые!$B$5:$B$300,"T-*"))</f>
        <v/>
      </c>
      <c r="F210" s="246" t="str">
        <f>IF(SUMIFS(Торговля!$I$5:$I$300,Торговля!$E$5:$E$300,$B210)+SUMIFS(Закрытые!$I$5:$I$300,Закрытые!$E$5:$E$300,$B210,Закрытые!$B$5:$B$300,"T-*")=0,"",SUMIFS(Торговля!$I$5:$I$300,Торговля!$E$5:$E$300,$B210)+SUMIFS(Закрытые!$I$5:$I$300,Закрытые!$E$5:$E$300,$B210,Закрытые!$B$5:$B$300,"T-*"))</f>
        <v/>
      </c>
      <c r="G210" s="183" t="str">
        <f>IF(F210="","",(SUMPRODUCT((Торговля!$E$5:$E$300=$B210)*Торговля!$I$5:$I$300*Торговля!$J$5:$J$300)+SUMPRODUCT((Закрытые!$E$5:$E$300=$B210)*(LEFT(Закрытые!$B$5:$B$300,2)="T-")*Закрытые!$I$5:$I$300*Закрытые!$J$5:$J$300))/F210)</f>
        <v/>
      </c>
      <c r="H210" s="247" t="str">
        <f>IF(F210="","",SUMIFS(Торговля!$K$5:$K$300,Торговля!$E$5:$E$300,$B210)+SUMIFS(Закрытые!$K$5:$K$300,Закрытые!$E$5:$E$300,$B210,Закрытые!$B$5:$B$300,"T-*"))</f>
        <v/>
      </c>
      <c r="I210" s="246" t="str">
        <f>IF($B210="","",IF(COUNTIFS(Торговля!$E$5:$E$300,$B210)+COUNTIFS(Закрытые!$E$5:$E$300,$B210,Закрытые!$B$5:$B$300,"T-*")=0,"",ROUND(SUMIFS(Торговля!$L$5:$L$300,Торговля!$E$5:$E$300,$B210)+SUMIFS(Закрытые!$L$5:$L$300,Закрытые!$E$5:$E$300,$B210,Закрытые!$B$5:$B$300,"T-*"),8)))</f>
        <v/>
      </c>
      <c r="J210" s="247" t="str">
        <f>IF($B210="","",IF(COUNTIFS(Торговля!$E$5:$E$300,$B210)+COUNTIFS(Закрытые!$E$5:$E$300,$B210,Закрытые!$B$5:$B$300,"T-*")=0,"",ROUND(SUMIFS(Торговля!$M$5:$M$300,Торговля!$E$5:$E$300,$B210)+SUMIFS(Закрытые!$M$5:$M$300,Закрытые!$E$5:$E$300,$B210,Закрытые!$B$5:$B$300,"T-*"),8)))</f>
        <v/>
      </c>
      <c r="K210" s="246" t="str">
        <f>IF(MIN(N(C210),N(F210))&lt;=0,"",ROUND(MIN(N(C210),N(F210))*(N(G210)-N(D210)),8))</f>
        <v/>
      </c>
      <c r="L210" s="183" t="str">
        <f>IF(MIN(N(C210),N(F210))&lt;=0,"",IF(N(D210)=0,"",ROUND((N(G210)/N(D210)-1)*100,2)))</f>
        <v/>
      </c>
      <c r="M210" s="183" t="str">
        <f>IF(OR(ROUND(N(C210)-N(F210),8)=0,1-N(Ввод!$J$19)/100&lt;=0),"",IF(N(C210)&gt;N(F210),(N(E210)-N(H210))/((N(C210)-N(F210))*(1-N(Ввод!$J$19)/100)),(N(H210)-N(E210))/((N(F210)-N(C210))*(1+N(Ввод!$J$19)/100))))</f>
        <v/>
      </c>
    </row>
    <row r="211" ht="22" customHeight="1">
      <c r="B211" s="239" t="n"/>
      <c r="C211" s="240" t="str">
        <f>IF(SUMIFS(Торговля!$F$5:$F$300,Торговля!$E$5:$E$300,$B211)+SUMIFS(Закрытые!$F$5:$F$300,Закрытые!$E$5:$E$300,$B211,Закрытые!$B$5:$B$300,"T-*")=0,"",SUMIFS(Торговля!$F$5:$F$300,Торговля!$E$5:$E$300,$B211)+SUMIFS(Закрытые!$F$5:$F$300,Закрытые!$E$5:$E$300,$B211,Закрытые!$B$5:$B$300,"T-*"))</f>
        <v/>
      </c>
      <c r="D211" s="177" t="str">
        <f>IF(C211="","",(SUMPRODUCT((Торговля!$E$5:$E$300=$B211)*Торговля!$F$5:$F$300*Торговля!$G$5:$G$300)+SUMPRODUCT((Закрытые!$E$5:$E$300=$B211)*(LEFT(Закрытые!$B$5:$B$300,2)="T-")*Закрытые!$F$5:$F$300*Закрытые!$G$5:$G$300))/C211)</f>
        <v/>
      </c>
      <c r="E211" s="241" t="str">
        <f>IF(C211="","",SUMIFS(Торговля!$H$5:$H$300,Торговля!$E$5:$E$300,$B211)+SUMIFS(Закрытые!$H$5:$H$300,Закрытые!$E$5:$E$300,$B211,Закрытые!$B$5:$B$300,"T-*"))</f>
        <v/>
      </c>
      <c r="F211" s="240" t="str">
        <f>IF(SUMIFS(Торговля!$I$5:$I$300,Торговля!$E$5:$E$300,$B211)+SUMIFS(Закрытые!$I$5:$I$300,Закрытые!$E$5:$E$300,$B211,Закрытые!$B$5:$B$300,"T-*")=0,"",SUMIFS(Торговля!$I$5:$I$300,Торговля!$E$5:$E$300,$B211)+SUMIFS(Закрытые!$I$5:$I$300,Закрытые!$E$5:$E$300,$B211,Закрытые!$B$5:$B$300,"T-*"))</f>
        <v/>
      </c>
      <c r="G211" s="177" t="str">
        <f>IF(F211="","",(SUMPRODUCT((Торговля!$E$5:$E$300=$B211)*Торговля!$I$5:$I$300*Торговля!$J$5:$J$300)+SUMPRODUCT((Закрытые!$E$5:$E$300=$B211)*(LEFT(Закрытые!$B$5:$B$300,2)="T-")*Закрытые!$I$5:$I$300*Закрытые!$J$5:$J$300))/F211)</f>
        <v/>
      </c>
      <c r="H211" s="241" t="str">
        <f>IF(F211="","",SUMIFS(Торговля!$K$5:$K$300,Торговля!$E$5:$E$300,$B211)+SUMIFS(Закрытые!$K$5:$K$300,Закрытые!$E$5:$E$300,$B211,Закрытые!$B$5:$B$300,"T-*"))</f>
        <v/>
      </c>
      <c r="I211" s="240" t="str">
        <f>IF($B211="","",IF(COUNTIFS(Торговля!$E$5:$E$300,$B211)+COUNTIFS(Закрытые!$E$5:$E$300,$B211,Закрытые!$B$5:$B$300,"T-*")=0,"",ROUND(SUMIFS(Торговля!$L$5:$L$300,Торговля!$E$5:$E$300,$B211)+SUMIFS(Закрытые!$L$5:$L$300,Закрытые!$E$5:$E$300,$B211,Закрытые!$B$5:$B$300,"T-*"),8)))</f>
        <v/>
      </c>
      <c r="J211" s="241" t="str">
        <f>IF($B211="","",IF(COUNTIFS(Торговля!$E$5:$E$300,$B211)+COUNTIFS(Закрытые!$E$5:$E$300,$B211,Закрытые!$B$5:$B$300,"T-*")=0,"",ROUND(SUMIFS(Торговля!$M$5:$M$300,Торговля!$E$5:$E$300,$B211)+SUMIFS(Закрытые!$M$5:$M$300,Закрытые!$E$5:$E$300,$B211,Закрытые!$B$5:$B$300,"T-*"),8)))</f>
        <v/>
      </c>
      <c r="K211" s="240" t="str">
        <f>IF(MIN(N(C211),N(F211))&lt;=0,"",ROUND(MIN(N(C211),N(F211))*(N(G211)-N(D211)),8))</f>
        <v/>
      </c>
      <c r="L211" s="177" t="str">
        <f>IF(MIN(N(C211),N(F211))&lt;=0,"",IF(N(D211)=0,"",ROUND((N(G211)/N(D211)-1)*100,2)))</f>
        <v/>
      </c>
      <c r="M211" s="177" t="str">
        <f>IF(OR(ROUND(N(C211)-N(F211),8)=0,1-N(Ввод!$J$19)/100&lt;=0),"",IF(N(C211)&gt;N(F211),(N(E211)-N(H211))/((N(C211)-N(F211))*(1-N(Ввод!$J$19)/100)),(N(H211)-N(E211))/((N(F211)-N(C211))*(1+N(Ввод!$J$19)/100))))</f>
        <v/>
      </c>
    </row>
    <row r="212" ht="22" customHeight="1">
      <c r="B212" s="245" t="n"/>
      <c r="C212" s="246" t="str">
        <f>IF(SUMIFS(Торговля!$F$5:$F$300,Торговля!$E$5:$E$300,$B212)+SUMIFS(Закрытые!$F$5:$F$300,Закрытые!$E$5:$E$300,$B212,Закрытые!$B$5:$B$300,"T-*")=0,"",SUMIFS(Торговля!$F$5:$F$300,Торговля!$E$5:$E$300,$B212)+SUMIFS(Закрытые!$F$5:$F$300,Закрытые!$E$5:$E$300,$B212,Закрытые!$B$5:$B$300,"T-*"))</f>
        <v/>
      </c>
      <c r="D212" s="183" t="str">
        <f>IF(C212="","",(SUMPRODUCT((Торговля!$E$5:$E$300=$B212)*Торговля!$F$5:$F$300*Торговля!$G$5:$G$300)+SUMPRODUCT((Закрытые!$E$5:$E$300=$B212)*(LEFT(Закрытые!$B$5:$B$300,2)="T-")*Закрытые!$F$5:$F$300*Закрытые!$G$5:$G$300))/C212)</f>
        <v/>
      </c>
      <c r="E212" s="247" t="str">
        <f>IF(C212="","",SUMIFS(Торговля!$H$5:$H$300,Торговля!$E$5:$E$300,$B212)+SUMIFS(Закрытые!$H$5:$H$300,Закрытые!$E$5:$E$300,$B212,Закрытые!$B$5:$B$300,"T-*"))</f>
        <v/>
      </c>
      <c r="F212" s="246" t="str">
        <f>IF(SUMIFS(Торговля!$I$5:$I$300,Торговля!$E$5:$E$300,$B212)+SUMIFS(Закрытые!$I$5:$I$300,Закрытые!$E$5:$E$300,$B212,Закрытые!$B$5:$B$300,"T-*")=0,"",SUMIFS(Торговля!$I$5:$I$300,Торговля!$E$5:$E$300,$B212)+SUMIFS(Закрытые!$I$5:$I$300,Закрытые!$E$5:$E$300,$B212,Закрытые!$B$5:$B$300,"T-*"))</f>
        <v/>
      </c>
      <c r="G212" s="183" t="str">
        <f>IF(F212="","",(SUMPRODUCT((Торговля!$E$5:$E$300=$B212)*Торговля!$I$5:$I$300*Торговля!$J$5:$J$300)+SUMPRODUCT((Закрытые!$E$5:$E$300=$B212)*(LEFT(Закрытые!$B$5:$B$300,2)="T-")*Закрытые!$I$5:$I$300*Закрытые!$J$5:$J$300))/F212)</f>
        <v/>
      </c>
      <c r="H212" s="247" t="str">
        <f>IF(F212="","",SUMIFS(Торговля!$K$5:$K$300,Торговля!$E$5:$E$300,$B212)+SUMIFS(Закрытые!$K$5:$K$300,Закрытые!$E$5:$E$300,$B212,Закрытые!$B$5:$B$300,"T-*"))</f>
        <v/>
      </c>
      <c r="I212" s="246" t="str">
        <f>IF($B212="","",IF(COUNTIFS(Торговля!$E$5:$E$300,$B212)+COUNTIFS(Закрытые!$E$5:$E$300,$B212,Закрытые!$B$5:$B$300,"T-*")=0,"",ROUND(SUMIFS(Торговля!$L$5:$L$300,Торговля!$E$5:$E$300,$B212)+SUMIFS(Закрытые!$L$5:$L$300,Закрытые!$E$5:$E$300,$B212,Закрытые!$B$5:$B$300,"T-*"),8)))</f>
        <v/>
      </c>
      <c r="J212" s="247" t="str">
        <f>IF($B212="","",IF(COUNTIFS(Торговля!$E$5:$E$300,$B212)+COUNTIFS(Закрытые!$E$5:$E$300,$B212,Закрытые!$B$5:$B$300,"T-*")=0,"",ROUND(SUMIFS(Торговля!$M$5:$M$300,Торговля!$E$5:$E$300,$B212)+SUMIFS(Закрытые!$M$5:$M$300,Закрытые!$E$5:$E$300,$B212,Закрытые!$B$5:$B$300,"T-*"),8)))</f>
        <v/>
      </c>
      <c r="K212" s="246" t="str">
        <f>IF(MIN(N(C212),N(F212))&lt;=0,"",ROUND(MIN(N(C212),N(F212))*(N(G212)-N(D212)),8))</f>
        <v/>
      </c>
      <c r="L212" s="183" t="str">
        <f>IF(MIN(N(C212),N(F212))&lt;=0,"",IF(N(D212)=0,"",ROUND((N(G212)/N(D212)-1)*100,2)))</f>
        <v/>
      </c>
      <c r="M212" s="183" t="str">
        <f>IF(OR(ROUND(N(C212)-N(F212),8)=0,1-N(Ввод!$J$19)/100&lt;=0),"",IF(N(C212)&gt;N(F212),(N(E212)-N(H212))/((N(C212)-N(F212))*(1-N(Ввод!$J$19)/100)),(N(H212)-N(E212))/((N(F212)-N(C212))*(1+N(Ввод!$J$19)/100))))</f>
        <v/>
      </c>
    </row>
    <row r="213" ht="22" customHeight="1">
      <c r="B213" s="239" t="n"/>
      <c r="C213" s="240" t="str">
        <f>IF(SUMIFS(Торговля!$F$5:$F$300,Торговля!$E$5:$E$300,$B213)+SUMIFS(Закрытые!$F$5:$F$300,Закрытые!$E$5:$E$300,$B213,Закрытые!$B$5:$B$300,"T-*")=0,"",SUMIFS(Торговля!$F$5:$F$300,Торговля!$E$5:$E$300,$B213)+SUMIFS(Закрытые!$F$5:$F$300,Закрытые!$E$5:$E$300,$B213,Закрытые!$B$5:$B$300,"T-*"))</f>
        <v/>
      </c>
      <c r="D213" s="177" t="str">
        <f>IF(C213="","",(SUMPRODUCT((Торговля!$E$5:$E$300=$B213)*Торговля!$F$5:$F$300*Торговля!$G$5:$G$300)+SUMPRODUCT((Закрытые!$E$5:$E$300=$B213)*(LEFT(Закрытые!$B$5:$B$300,2)="T-")*Закрытые!$F$5:$F$300*Закрытые!$G$5:$G$300))/C213)</f>
        <v/>
      </c>
      <c r="E213" s="241" t="str">
        <f>IF(C213="","",SUMIFS(Торговля!$H$5:$H$300,Торговля!$E$5:$E$300,$B213)+SUMIFS(Закрытые!$H$5:$H$300,Закрытые!$E$5:$E$300,$B213,Закрытые!$B$5:$B$300,"T-*"))</f>
        <v/>
      </c>
      <c r="F213" s="240" t="str">
        <f>IF(SUMIFS(Торговля!$I$5:$I$300,Торговля!$E$5:$E$300,$B213)+SUMIFS(Закрытые!$I$5:$I$300,Закрытые!$E$5:$E$300,$B213,Закрытые!$B$5:$B$300,"T-*")=0,"",SUMIFS(Торговля!$I$5:$I$300,Торговля!$E$5:$E$300,$B213)+SUMIFS(Закрытые!$I$5:$I$300,Закрытые!$E$5:$E$300,$B213,Закрытые!$B$5:$B$300,"T-*"))</f>
        <v/>
      </c>
      <c r="G213" s="177" t="str">
        <f>IF(F213="","",(SUMPRODUCT((Торговля!$E$5:$E$300=$B213)*Торговля!$I$5:$I$300*Торговля!$J$5:$J$300)+SUMPRODUCT((Закрытые!$E$5:$E$300=$B213)*(LEFT(Закрытые!$B$5:$B$300,2)="T-")*Закрытые!$I$5:$I$300*Закрытые!$J$5:$J$300))/F213)</f>
        <v/>
      </c>
      <c r="H213" s="241" t="str">
        <f>IF(F213="","",SUMIFS(Торговля!$K$5:$K$300,Торговля!$E$5:$E$300,$B213)+SUMIFS(Закрытые!$K$5:$K$300,Закрытые!$E$5:$E$300,$B213,Закрытые!$B$5:$B$300,"T-*"))</f>
        <v/>
      </c>
      <c r="I213" s="240" t="str">
        <f>IF($B213="","",IF(COUNTIFS(Торговля!$E$5:$E$300,$B213)+COUNTIFS(Закрытые!$E$5:$E$300,$B213,Закрытые!$B$5:$B$300,"T-*")=0,"",ROUND(SUMIFS(Торговля!$L$5:$L$300,Торговля!$E$5:$E$300,$B213)+SUMIFS(Закрытые!$L$5:$L$300,Закрытые!$E$5:$E$300,$B213,Закрытые!$B$5:$B$300,"T-*"),8)))</f>
        <v/>
      </c>
      <c r="J213" s="241" t="str">
        <f>IF($B213="","",IF(COUNTIFS(Торговля!$E$5:$E$300,$B213)+COUNTIFS(Закрытые!$E$5:$E$300,$B213,Закрытые!$B$5:$B$300,"T-*")=0,"",ROUND(SUMIFS(Торговля!$M$5:$M$300,Торговля!$E$5:$E$300,$B213)+SUMIFS(Закрытые!$M$5:$M$300,Закрытые!$E$5:$E$300,$B213,Закрытые!$B$5:$B$300,"T-*"),8)))</f>
        <v/>
      </c>
      <c r="K213" s="240" t="str">
        <f>IF(MIN(N(C213),N(F213))&lt;=0,"",ROUND(MIN(N(C213),N(F213))*(N(G213)-N(D213)),8))</f>
        <v/>
      </c>
      <c r="L213" s="177" t="str">
        <f>IF(MIN(N(C213),N(F213))&lt;=0,"",IF(N(D213)=0,"",ROUND((N(G213)/N(D213)-1)*100,2)))</f>
        <v/>
      </c>
      <c r="M213" s="177" t="str">
        <f>IF(OR(ROUND(N(C213)-N(F213),8)=0,1-N(Ввод!$J$19)/100&lt;=0),"",IF(N(C213)&gt;N(F213),(N(E213)-N(H213))/((N(C213)-N(F213))*(1-N(Ввод!$J$19)/100)),(N(H213)-N(E213))/((N(F213)-N(C213))*(1+N(Ввод!$J$19)/100))))</f>
        <v/>
      </c>
    </row>
    <row r="214" ht="22" customHeight="1">
      <c r="B214" s="245" t="n"/>
      <c r="C214" s="246" t="str">
        <f>IF(SUMIFS(Торговля!$F$5:$F$300,Торговля!$E$5:$E$300,$B214)+SUMIFS(Закрытые!$F$5:$F$300,Закрытые!$E$5:$E$300,$B214,Закрытые!$B$5:$B$300,"T-*")=0,"",SUMIFS(Торговля!$F$5:$F$300,Торговля!$E$5:$E$300,$B214)+SUMIFS(Закрытые!$F$5:$F$300,Закрытые!$E$5:$E$300,$B214,Закрытые!$B$5:$B$300,"T-*"))</f>
        <v/>
      </c>
      <c r="D214" s="183" t="str">
        <f>IF(C214="","",(SUMPRODUCT((Торговля!$E$5:$E$300=$B214)*Торговля!$F$5:$F$300*Торговля!$G$5:$G$300)+SUMPRODUCT((Закрытые!$E$5:$E$300=$B214)*(LEFT(Закрытые!$B$5:$B$300,2)="T-")*Закрытые!$F$5:$F$300*Закрытые!$G$5:$G$300))/C214)</f>
        <v/>
      </c>
      <c r="E214" s="247" t="str">
        <f>IF(C214="","",SUMIFS(Торговля!$H$5:$H$300,Торговля!$E$5:$E$300,$B214)+SUMIFS(Закрытые!$H$5:$H$300,Закрытые!$E$5:$E$300,$B214,Закрытые!$B$5:$B$300,"T-*"))</f>
        <v/>
      </c>
      <c r="F214" s="246" t="str">
        <f>IF(SUMIFS(Торговля!$I$5:$I$300,Торговля!$E$5:$E$300,$B214)+SUMIFS(Закрытые!$I$5:$I$300,Закрытые!$E$5:$E$300,$B214,Закрытые!$B$5:$B$300,"T-*")=0,"",SUMIFS(Торговля!$I$5:$I$300,Торговля!$E$5:$E$300,$B214)+SUMIFS(Закрытые!$I$5:$I$300,Закрытые!$E$5:$E$300,$B214,Закрытые!$B$5:$B$300,"T-*"))</f>
        <v/>
      </c>
      <c r="G214" s="183" t="str">
        <f>IF(F214="","",(SUMPRODUCT((Торговля!$E$5:$E$300=$B214)*Торговля!$I$5:$I$300*Торговля!$J$5:$J$300)+SUMPRODUCT((Закрытые!$E$5:$E$300=$B214)*(LEFT(Закрытые!$B$5:$B$300,2)="T-")*Закрытые!$I$5:$I$300*Закрытые!$J$5:$J$300))/F214)</f>
        <v/>
      </c>
      <c r="H214" s="247" t="str">
        <f>IF(F214="","",SUMIFS(Торговля!$K$5:$K$300,Торговля!$E$5:$E$300,$B214)+SUMIFS(Закрытые!$K$5:$K$300,Закрытые!$E$5:$E$300,$B214,Закрытые!$B$5:$B$300,"T-*"))</f>
        <v/>
      </c>
      <c r="I214" s="246" t="str">
        <f>IF($B214="","",IF(COUNTIFS(Торговля!$E$5:$E$300,$B214)+COUNTIFS(Закрытые!$E$5:$E$300,$B214,Закрытые!$B$5:$B$300,"T-*")=0,"",ROUND(SUMIFS(Торговля!$L$5:$L$300,Торговля!$E$5:$E$300,$B214)+SUMIFS(Закрытые!$L$5:$L$300,Закрытые!$E$5:$E$300,$B214,Закрытые!$B$5:$B$300,"T-*"),8)))</f>
        <v/>
      </c>
      <c r="J214" s="247" t="str">
        <f>IF($B214="","",IF(COUNTIFS(Торговля!$E$5:$E$300,$B214)+COUNTIFS(Закрытые!$E$5:$E$300,$B214,Закрытые!$B$5:$B$300,"T-*")=0,"",ROUND(SUMIFS(Торговля!$M$5:$M$300,Торговля!$E$5:$E$300,$B214)+SUMIFS(Закрытые!$M$5:$M$300,Закрытые!$E$5:$E$300,$B214,Закрытые!$B$5:$B$300,"T-*"),8)))</f>
        <v/>
      </c>
      <c r="K214" s="246" t="str">
        <f>IF(MIN(N(C214),N(F214))&lt;=0,"",ROUND(MIN(N(C214),N(F214))*(N(G214)-N(D214)),8))</f>
        <v/>
      </c>
      <c r="L214" s="183" t="str">
        <f>IF(MIN(N(C214),N(F214))&lt;=0,"",IF(N(D214)=0,"",ROUND((N(G214)/N(D214)-1)*100,2)))</f>
        <v/>
      </c>
      <c r="M214" s="183" t="str">
        <f>IF(OR(ROUND(N(C214)-N(F214),8)=0,1-N(Ввод!$J$19)/100&lt;=0),"",IF(N(C214)&gt;N(F214),(N(E214)-N(H214))/((N(C214)-N(F214))*(1-N(Ввод!$J$19)/100)),(N(H214)-N(E214))/((N(F214)-N(C214))*(1+N(Ввод!$J$19)/100))))</f>
        <v/>
      </c>
    </row>
    <row r="215" ht="22" customHeight="1">
      <c r="B215" s="239" t="n"/>
      <c r="C215" s="240" t="str">
        <f>IF(SUMIFS(Торговля!$F$5:$F$300,Торговля!$E$5:$E$300,$B215)+SUMIFS(Закрытые!$F$5:$F$300,Закрытые!$E$5:$E$300,$B215,Закрытые!$B$5:$B$300,"T-*")=0,"",SUMIFS(Торговля!$F$5:$F$300,Торговля!$E$5:$E$300,$B215)+SUMIFS(Закрытые!$F$5:$F$300,Закрытые!$E$5:$E$300,$B215,Закрытые!$B$5:$B$300,"T-*"))</f>
        <v/>
      </c>
      <c r="D215" s="177" t="str">
        <f>IF(C215="","",(SUMPRODUCT((Торговля!$E$5:$E$300=$B215)*Торговля!$F$5:$F$300*Торговля!$G$5:$G$300)+SUMPRODUCT((Закрытые!$E$5:$E$300=$B215)*(LEFT(Закрытые!$B$5:$B$300,2)="T-")*Закрытые!$F$5:$F$300*Закрытые!$G$5:$G$300))/C215)</f>
        <v/>
      </c>
      <c r="E215" s="241" t="str">
        <f>IF(C215="","",SUMIFS(Торговля!$H$5:$H$300,Торговля!$E$5:$E$300,$B215)+SUMIFS(Закрытые!$H$5:$H$300,Закрытые!$E$5:$E$300,$B215,Закрытые!$B$5:$B$300,"T-*"))</f>
        <v/>
      </c>
      <c r="F215" s="240" t="str">
        <f>IF(SUMIFS(Торговля!$I$5:$I$300,Торговля!$E$5:$E$300,$B215)+SUMIFS(Закрытые!$I$5:$I$300,Закрытые!$E$5:$E$300,$B215,Закрытые!$B$5:$B$300,"T-*")=0,"",SUMIFS(Торговля!$I$5:$I$300,Торговля!$E$5:$E$300,$B215)+SUMIFS(Закрытые!$I$5:$I$300,Закрытые!$E$5:$E$300,$B215,Закрытые!$B$5:$B$300,"T-*"))</f>
        <v/>
      </c>
      <c r="G215" s="177" t="str">
        <f>IF(F215="","",(SUMPRODUCT((Торговля!$E$5:$E$300=$B215)*Торговля!$I$5:$I$300*Торговля!$J$5:$J$300)+SUMPRODUCT((Закрытые!$E$5:$E$300=$B215)*(LEFT(Закрытые!$B$5:$B$300,2)="T-")*Закрытые!$I$5:$I$300*Закрытые!$J$5:$J$300))/F215)</f>
        <v/>
      </c>
      <c r="H215" s="241" t="str">
        <f>IF(F215="","",SUMIFS(Торговля!$K$5:$K$300,Торговля!$E$5:$E$300,$B215)+SUMIFS(Закрытые!$K$5:$K$300,Закрытые!$E$5:$E$300,$B215,Закрытые!$B$5:$B$300,"T-*"))</f>
        <v/>
      </c>
      <c r="I215" s="240" t="str">
        <f>IF($B215="","",IF(COUNTIFS(Торговля!$E$5:$E$300,$B215)+COUNTIFS(Закрытые!$E$5:$E$300,$B215,Закрытые!$B$5:$B$300,"T-*")=0,"",ROUND(SUMIFS(Торговля!$L$5:$L$300,Торговля!$E$5:$E$300,$B215)+SUMIFS(Закрытые!$L$5:$L$300,Закрытые!$E$5:$E$300,$B215,Закрытые!$B$5:$B$300,"T-*"),8)))</f>
        <v/>
      </c>
      <c r="J215" s="241" t="str">
        <f>IF($B215="","",IF(COUNTIFS(Торговля!$E$5:$E$300,$B215)+COUNTIFS(Закрытые!$E$5:$E$300,$B215,Закрытые!$B$5:$B$300,"T-*")=0,"",ROUND(SUMIFS(Торговля!$M$5:$M$300,Торговля!$E$5:$E$300,$B215)+SUMIFS(Закрытые!$M$5:$M$300,Закрытые!$E$5:$E$300,$B215,Закрытые!$B$5:$B$300,"T-*"),8)))</f>
        <v/>
      </c>
      <c r="K215" s="240" t="str">
        <f>IF(MIN(N(C215),N(F215))&lt;=0,"",ROUND(MIN(N(C215),N(F215))*(N(G215)-N(D215)),8))</f>
        <v/>
      </c>
      <c r="L215" s="177" t="str">
        <f>IF(MIN(N(C215),N(F215))&lt;=0,"",IF(N(D215)=0,"",ROUND((N(G215)/N(D215)-1)*100,2)))</f>
        <v/>
      </c>
      <c r="M215" s="177" t="str">
        <f>IF(OR(ROUND(N(C215)-N(F215),8)=0,1-N(Ввод!$J$19)/100&lt;=0),"",IF(N(C215)&gt;N(F215),(N(E215)-N(H215))/((N(C215)-N(F215))*(1-N(Ввод!$J$19)/100)),(N(H215)-N(E215))/((N(F215)-N(C215))*(1+N(Ввод!$J$19)/100))))</f>
        <v/>
      </c>
    </row>
    <row r="216" ht="22" customHeight="1">
      <c r="B216" s="245" t="n"/>
      <c r="C216" s="246" t="str">
        <f>IF(SUMIFS(Торговля!$F$5:$F$300,Торговля!$E$5:$E$300,$B216)+SUMIFS(Закрытые!$F$5:$F$300,Закрытые!$E$5:$E$300,$B216,Закрытые!$B$5:$B$300,"T-*")=0,"",SUMIFS(Торговля!$F$5:$F$300,Торговля!$E$5:$E$300,$B216)+SUMIFS(Закрытые!$F$5:$F$300,Закрытые!$E$5:$E$300,$B216,Закрытые!$B$5:$B$300,"T-*"))</f>
        <v/>
      </c>
      <c r="D216" s="183" t="str">
        <f>IF(C216="","",(SUMPRODUCT((Торговля!$E$5:$E$300=$B216)*Торговля!$F$5:$F$300*Торговля!$G$5:$G$300)+SUMPRODUCT((Закрытые!$E$5:$E$300=$B216)*(LEFT(Закрытые!$B$5:$B$300,2)="T-")*Закрытые!$F$5:$F$300*Закрытые!$G$5:$G$300))/C216)</f>
        <v/>
      </c>
      <c r="E216" s="247" t="str">
        <f>IF(C216="","",SUMIFS(Торговля!$H$5:$H$300,Торговля!$E$5:$E$300,$B216)+SUMIFS(Закрытые!$H$5:$H$300,Закрытые!$E$5:$E$300,$B216,Закрытые!$B$5:$B$300,"T-*"))</f>
        <v/>
      </c>
      <c r="F216" s="246" t="str">
        <f>IF(SUMIFS(Торговля!$I$5:$I$300,Торговля!$E$5:$E$300,$B216)+SUMIFS(Закрытые!$I$5:$I$300,Закрытые!$E$5:$E$300,$B216,Закрытые!$B$5:$B$300,"T-*")=0,"",SUMIFS(Торговля!$I$5:$I$300,Торговля!$E$5:$E$300,$B216)+SUMIFS(Закрытые!$I$5:$I$300,Закрытые!$E$5:$E$300,$B216,Закрытые!$B$5:$B$300,"T-*"))</f>
        <v/>
      </c>
      <c r="G216" s="183" t="str">
        <f>IF(F216="","",(SUMPRODUCT((Торговля!$E$5:$E$300=$B216)*Торговля!$I$5:$I$300*Торговля!$J$5:$J$300)+SUMPRODUCT((Закрытые!$E$5:$E$300=$B216)*(LEFT(Закрытые!$B$5:$B$300,2)="T-")*Закрытые!$I$5:$I$300*Закрытые!$J$5:$J$300))/F216)</f>
        <v/>
      </c>
      <c r="H216" s="247" t="str">
        <f>IF(F216="","",SUMIFS(Торговля!$K$5:$K$300,Торговля!$E$5:$E$300,$B216)+SUMIFS(Закрытые!$K$5:$K$300,Закрытые!$E$5:$E$300,$B216,Закрытые!$B$5:$B$300,"T-*"))</f>
        <v/>
      </c>
      <c r="I216" s="246" t="str">
        <f>IF($B216="","",IF(COUNTIFS(Торговля!$E$5:$E$300,$B216)+COUNTIFS(Закрытые!$E$5:$E$300,$B216,Закрытые!$B$5:$B$300,"T-*")=0,"",ROUND(SUMIFS(Торговля!$L$5:$L$300,Торговля!$E$5:$E$300,$B216)+SUMIFS(Закрытые!$L$5:$L$300,Закрытые!$E$5:$E$300,$B216,Закрытые!$B$5:$B$300,"T-*"),8)))</f>
        <v/>
      </c>
      <c r="J216" s="247" t="str">
        <f>IF($B216="","",IF(COUNTIFS(Торговля!$E$5:$E$300,$B216)+COUNTIFS(Закрытые!$E$5:$E$300,$B216,Закрытые!$B$5:$B$300,"T-*")=0,"",ROUND(SUMIFS(Торговля!$M$5:$M$300,Торговля!$E$5:$E$300,$B216)+SUMIFS(Закрытые!$M$5:$M$300,Закрытые!$E$5:$E$300,$B216,Закрытые!$B$5:$B$300,"T-*"),8)))</f>
        <v/>
      </c>
      <c r="K216" s="246" t="str">
        <f>IF(MIN(N(C216),N(F216))&lt;=0,"",ROUND(MIN(N(C216),N(F216))*(N(G216)-N(D216)),8))</f>
        <v/>
      </c>
      <c r="L216" s="183" t="str">
        <f>IF(MIN(N(C216),N(F216))&lt;=0,"",IF(N(D216)=0,"",ROUND((N(G216)/N(D216)-1)*100,2)))</f>
        <v/>
      </c>
      <c r="M216" s="183" t="str">
        <f>IF(OR(ROUND(N(C216)-N(F216),8)=0,1-N(Ввод!$J$19)/100&lt;=0),"",IF(N(C216)&gt;N(F216),(N(E216)-N(H216))/((N(C216)-N(F216))*(1-N(Ввод!$J$19)/100)),(N(H216)-N(E216))/((N(F216)-N(C216))*(1+N(Ввод!$J$19)/100))))</f>
        <v/>
      </c>
    </row>
    <row r="217" ht="22" customHeight="1">
      <c r="B217" s="239" t="n"/>
      <c r="C217" s="240" t="str">
        <f>IF(SUMIFS(Торговля!$F$5:$F$300,Торговля!$E$5:$E$300,$B217)+SUMIFS(Закрытые!$F$5:$F$300,Закрытые!$E$5:$E$300,$B217,Закрытые!$B$5:$B$300,"T-*")=0,"",SUMIFS(Торговля!$F$5:$F$300,Торговля!$E$5:$E$300,$B217)+SUMIFS(Закрытые!$F$5:$F$300,Закрытые!$E$5:$E$300,$B217,Закрытые!$B$5:$B$300,"T-*"))</f>
        <v/>
      </c>
      <c r="D217" s="177" t="str">
        <f>IF(C217="","",(SUMPRODUCT((Торговля!$E$5:$E$300=$B217)*Торговля!$F$5:$F$300*Торговля!$G$5:$G$300)+SUMPRODUCT((Закрытые!$E$5:$E$300=$B217)*(LEFT(Закрытые!$B$5:$B$300,2)="T-")*Закрытые!$F$5:$F$300*Закрытые!$G$5:$G$300))/C217)</f>
        <v/>
      </c>
      <c r="E217" s="241" t="str">
        <f>IF(C217="","",SUMIFS(Торговля!$H$5:$H$300,Торговля!$E$5:$E$300,$B217)+SUMIFS(Закрытые!$H$5:$H$300,Закрытые!$E$5:$E$300,$B217,Закрытые!$B$5:$B$300,"T-*"))</f>
        <v/>
      </c>
      <c r="F217" s="240" t="str">
        <f>IF(SUMIFS(Торговля!$I$5:$I$300,Торговля!$E$5:$E$300,$B217)+SUMIFS(Закрытые!$I$5:$I$300,Закрытые!$E$5:$E$300,$B217,Закрытые!$B$5:$B$300,"T-*")=0,"",SUMIFS(Торговля!$I$5:$I$300,Торговля!$E$5:$E$300,$B217)+SUMIFS(Закрытые!$I$5:$I$300,Закрытые!$E$5:$E$300,$B217,Закрытые!$B$5:$B$300,"T-*"))</f>
        <v/>
      </c>
      <c r="G217" s="177" t="str">
        <f>IF(F217="","",(SUMPRODUCT((Торговля!$E$5:$E$300=$B217)*Торговля!$I$5:$I$300*Торговля!$J$5:$J$300)+SUMPRODUCT((Закрытые!$E$5:$E$300=$B217)*(LEFT(Закрытые!$B$5:$B$300,2)="T-")*Закрытые!$I$5:$I$300*Закрытые!$J$5:$J$300))/F217)</f>
        <v/>
      </c>
      <c r="H217" s="241" t="str">
        <f>IF(F217="","",SUMIFS(Торговля!$K$5:$K$300,Торговля!$E$5:$E$300,$B217)+SUMIFS(Закрытые!$K$5:$K$300,Закрытые!$E$5:$E$300,$B217,Закрытые!$B$5:$B$300,"T-*"))</f>
        <v/>
      </c>
      <c r="I217" s="240" t="str">
        <f>IF($B217="","",IF(COUNTIFS(Торговля!$E$5:$E$300,$B217)+COUNTIFS(Закрытые!$E$5:$E$300,$B217,Закрытые!$B$5:$B$300,"T-*")=0,"",ROUND(SUMIFS(Торговля!$L$5:$L$300,Торговля!$E$5:$E$300,$B217)+SUMIFS(Закрытые!$L$5:$L$300,Закрытые!$E$5:$E$300,$B217,Закрытые!$B$5:$B$300,"T-*"),8)))</f>
        <v/>
      </c>
      <c r="J217" s="241" t="str">
        <f>IF($B217="","",IF(COUNTIFS(Торговля!$E$5:$E$300,$B217)+COUNTIFS(Закрытые!$E$5:$E$300,$B217,Закрытые!$B$5:$B$300,"T-*")=0,"",ROUND(SUMIFS(Торговля!$M$5:$M$300,Торговля!$E$5:$E$300,$B217)+SUMIFS(Закрытые!$M$5:$M$300,Закрытые!$E$5:$E$300,$B217,Закрытые!$B$5:$B$300,"T-*"),8)))</f>
        <v/>
      </c>
      <c r="K217" s="240" t="str">
        <f>IF(MIN(N(C217),N(F217))&lt;=0,"",ROUND(MIN(N(C217),N(F217))*(N(G217)-N(D217)),8))</f>
        <v/>
      </c>
      <c r="L217" s="177" t="str">
        <f>IF(MIN(N(C217),N(F217))&lt;=0,"",IF(N(D217)=0,"",ROUND((N(G217)/N(D217)-1)*100,2)))</f>
        <v/>
      </c>
      <c r="M217" s="177" t="str">
        <f>IF(OR(ROUND(N(C217)-N(F217),8)=0,1-N(Ввод!$J$19)/100&lt;=0),"",IF(N(C217)&gt;N(F217),(N(E217)-N(H217))/((N(C217)-N(F217))*(1-N(Ввод!$J$19)/100)),(N(H217)-N(E217))/((N(F217)-N(C217))*(1+N(Ввод!$J$19)/100))))</f>
        <v/>
      </c>
    </row>
    <row r="218" ht="22" customHeight="1">
      <c r="B218" s="245" t="n"/>
      <c r="C218" s="246" t="str">
        <f>IF(SUMIFS(Торговля!$F$5:$F$300,Торговля!$E$5:$E$300,$B218)+SUMIFS(Закрытые!$F$5:$F$300,Закрытые!$E$5:$E$300,$B218,Закрытые!$B$5:$B$300,"T-*")=0,"",SUMIFS(Торговля!$F$5:$F$300,Торговля!$E$5:$E$300,$B218)+SUMIFS(Закрытые!$F$5:$F$300,Закрытые!$E$5:$E$300,$B218,Закрытые!$B$5:$B$300,"T-*"))</f>
        <v/>
      </c>
      <c r="D218" s="183" t="str">
        <f>IF(C218="","",(SUMPRODUCT((Торговля!$E$5:$E$300=$B218)*Торговля!$F$5:$F$300*Торговля!$G$5:$G$300)+SUMPRODUCT((Закрытые!$E$5:$E$300=$B218)*(LEFT(Закрытые!$B$5:$B$300,2)="T-")*Закрытые!$F$5:$F$300*Закрытые!$G$5:$G$300))/C218)</f>
        <v/>
      </c>
      <c r="E218" s="247" t="str">
        <f>IF(C218="","",SUMIFS(Торговля!$H$5:$H$300,Торговля!$E$5:$E$300,$B218)+SUMIFS(Закрытые!$H$5:$H$300,Закрытые!$E$5:$E$300,$B218,Закрытые!$B$5:$B$300,"T-*"))</f>
        <v/>
      </c>
      <c r="F218" s="246" t="str">
        <f>IF(SUMIFS(Торговля!$I$5:$I$300,Торговля!$E$5:$E$300,$B218)+SUMIFS(Закрытые!$I$5:$I$300,Закрытые!$E$5:$E$300,$B218,Закрытые!$B$5:$B$300,"T-*")=0,"",SUMIFS(Торговля!$I$5:$I$300,Торговля!$E$5:$E$300,$B218)+SUMIFS(Закрытые!$I$5:$I$300,Закрытые!$E$5:$E$300,$B218,Закрытые!$B$5:$B$300,"T-*"))</f>
        <v/>
      </c>
      <c r="G218" s="183" t="str">
        <f>IF(F218="","",(SUMPRODUCT((Торговля!$E$5:$E$300=$B218)*Торговля!$I$5:$I$300*Торговля!$J$5:$J$300)+SUMPRODUCT((Закрытые!$E$5:$E$300=$B218)*(LEFT(Закрытые!$B$5:$B$300,2)="T-")*Закрытые!$I$5:$I$300*Закрытые!$J$5:$J$300))/F218)</f>
        <v/>
      </c>
      <c r="H218" s="247" t="str">
        <f>IF(F218="","",SUMIFS(Торговля!$K$5:$K$300,Торговля!$E$5:$E$300,$B218)+SUMIFS(Закрытые!$K$5:$K$300,Закрытые!$E$5:$E$300,$B218,Закрытые!$B$5:$B$300,"T-*"))</f>
        <v/>
      </c>
      <c r="I218" s="246" t="str">
        <f>IF($B218="","",IF(COUNTIFS(Торговля!$E$5:$E$300,$B218)+COUNTIFS(Закрытые!$E$5:$E$300,$B218,Закрытые!$B$5:$B$300,"T-*")=0,"",ROUND(SUMIFS(Торговля!$L$5:$L$300,Торговля!$E$5:$E$300,$B218)+SUMIFS(Закрытые!$L$5:$L$300,Закрытые!$E$5:$E$300,$B218,Закрытые!$B$5:$B$300,"T-*"),8)))</f>
        <v/>
      </c>
      <c r="J218" s="247" t="str">
        <f>IF($B218="","",IF(COUNTIFS(Торговля!$E$5:$E$300,$B218)+COUNTIFS(Закрытые!$E$5:$E$300,$B218,Закрытые!$B$5:$B$300,"T-*")=0,"",ROUND(SUMIFS(Торговля!$M$5:$M$300,Торговля!$E$5:$E$300,$B218)+SUMIFS(Закрытые!$M$5:$M$300,Закрытые!$E$5:$E$300,$B218,Закрытые!$B$5:$B$300,"T-*"),8)))</f>
        <v/>
      </c>
      <c r="K218" s="246" t="str">
        <f>IF(MIN(N(C218),N(F218))&lt;=0,"",ROUND(MIN(N(C218),N(F218))*(N(G218)-N(D218)),8))</f>
        <v/>
      </c>
      <c r="L218" s="183" t="str">
        <f>IF(MIN(N(C218),N(F218))&lt;=0,"",IF(N(D218)=0,"",ROUND((N(G218)/N(D218)-1)*100,2)))</f>
        <v/>
      </c>
      <c r="M218" s="183" t="str">
        <f>IF(OR(ROUND(N(C218)-N(F218),8)=0,1-N(Ввод!$J$19)/100&lt;=0),"",IF(N(C218)&gt;N(F218),(N(E218)-N(H218))/((N(C218)-N(F218))*(1-N(Ввод!$J$19)/100)),(N(H218)-N(E218))/((N(F218)-N(C218))*(1+N(Ввод!$J$19)/100))))</f>
        <v/>
      </c>
    </row>
    <row r="219" ht="22" customHeight="1">
      <c r="B219" s="239" t="n"/>
      <c r="C219" s="240" t="str">
        <f>IF(SUMIFS(Торговля!$F$5:$F$300,Торговля!$E$5:$E$300,$B219)+SUMIFS(Закрытые!$F$5:$F$300,Закрытые!$E$5:$E$300,$B219,Закрытые!$B$5:$B$300,"T-*")=0,"",SUMIFS(Торговля!$F$5:$F$300,Торговля!$E$5:$E$300,$B219)+SUMIFS(Закрытые!$F$5:$F$300,Закрытые!$E$5:$E$300,$B219,Закрытые!$B$5:$B$300,"T-*"))</f>
        <v/>
      </c>
      <c r="D219" s="177" t="str">
        <f>IF(C219="","",(SUMPRODUCT((Торговля!$E$5:$E$300=$B219)*Торговля!$F$5:$F$300*Торговля!$G$5:$G$300)+SUMPRODUCT((Закрытые!$E$5:$E$300=$B219)*(LEFT(Закрытые!$B$5:$B$300,2)="T-")*Закрытые!$F$5:$F$300*Закрытые!$G$5:$G$300))/C219)</f>
        <v/>
      </c>
      <c r="E219" s="241" t="str">
        <f>IF(C219="","",SUMIFS(Торговля!$H$5:$H$300,Торговля!$E$5:$E$300,$B219)+SUMIFS(Закрытые!$H$5:$H$300,Закрытые!$E$5:$E$300,$B219,Закрытые!$B$5:$B$300,"T-*"))</f>
        <v/>
      </c>
      <c r="F219" s="240" t="str">
        <f>IF(SUMIFS(Торговля!$I$5:$I$300,Торговля!$E$5:$E$300,$B219)+SUMIFS(Закрытые!$I$5:$I$300,Закрытые!$E$5:$E$300,$B219,Закрытые!$B$5:$B$300,"T-*")=0,"",SUMIFS(Торговля!$I$5:$I$300,Торговля!$E$5:$E$300,$B219)+SUMIFS(Закрытые!$I$5:$I$300,Закрытые!$E$5:$E$300,$B219,Закрытые!$B$5:$B$300,"T-*"))</f>
        <v/>
      </c>
      <c r="G219" s="177" t="str">
        <f>IF(F219="","",(SUMPRODUCT((Торговля!$E$5:$E$300=$B219)*Торговля!$I$5:$I$300*Торговля!$J$5:$J$300)+SUMPRODUCT((Закрытые!$E$5:$E$300=$B219)*(LEFT(Закрытые!$B$5:$B$300,2)="T-")*Закрытые!$I$5:$I$300*Закрытые!$J$5:$J$300))/F219)</f>
        <v/>
      </c>
      <c r="H219" s="241" t="str">
        <f>IF(F219="","",SUMIFS(Торговля!$K$5:$K$300,Торговля!$E$5:$E$300,$B219)+SUMIFS(Закрытые!$K$5:$K$300,Закрытые!$E$5:$E$300,$B219,Закрытые!$B$5:$B$300,"T-*"))</f>
        <v/>
      </c>
      <c r="I219" s="240" t="str">
        <f>IF($B219="","",IF(COUNTIFS(Торговля!$E$5:$E$300,$B219)+COUNTIFS(Закрытые!$E$5:$E$300,$B219,Закрытые!$B$5:$B$300,"T-*")=0,"",ROUND(SUMIFS(Торговля!$L$5:$L$300,Торговля!$E$5:$E$300,$B219)+SUMIFS(Закрытые!$L$5:$L$300,Закрытые!$E$5:$E$300,$B219,Закрытые!$B$5:$B$300,"T-*"),8)))</f>
        <v/>
      </c>
      <c r="J219" s="241" t="str">
        <f>IF($B219="","",IF(COUNTIFS(Торговля!$E$5:$E$300,$B219)+COUNTIFS(Закрытые!$E$5:$E$300,$B219,Закрытые!$B$5:$B$300,"T-*")=0,"",ROUND(SUMIFS(Торговля!$M$5:$M$300,Торговля!$E$5:$E$300,$B219)+SUMIFS(Закрытые!$M$5:$M$300,Закрытые!$E$5:$E$300,$B219,Закрытые!$B$5:$B$300,"T-*"),8)))</f>
        <v/>
      </c>
      <c r="K219" s="240" t="str">
        <f>IF(MIN(N(C219),N(F219))&lt;=0,"",ROUND(MIN(N(C219),N(F219))*(N(G219)-N(D219)),8))</f>
        <v/>
      </c>
      <c r="L219" s="177" t="str">
        <f>IF(MIN(N(C219),N(F219))&lt;=0,"",IF(N(D219)=0,"",ROUND((N(G219)/N(D219)-1)*100,2)))</f>
        <v/>
      </c>
      <c r="M219" s="177" t="str">
        <f>IF(OR(ROUND(N(C219)-N(F219),8)=0,1-N(Ввод!$J$19)/100&lt;=0),"",IF(N(C219)&gt;N(F219),(N(E219)-N(H219))/((N(C219)-N(F219))*(1-N(Ввод!$J$19)/100)),(N(H219)-N(E219))/((N(F219)-N(C219))*(1+N(Ввод!$J$19)/100))))</f>
        <v/>
      </c>
    </row>
    <row r="220" ht="22" customHeight="1">
      <c r="B220" s="245" t="n"/>
      <c r="C220" s="246" t="str">
        <f>IF(SUMIFS(Торговля!$F$5:$F$300,Торговля!$E$5:$E$300,$B220)+SUMIFS(Закрытые!$F$5:$F$300,Закрытые!$E$5:$E$300,$B220,Закрытые!$B$5:$B$300,"T-*")=0,"",SUMIFS(Торговля!$F$5:$F$300,Торговля!$E$5:$E$300,$B220)+SUMIFS(Закрытые!$F$5:$F$300,Закрытые!$E$5:$E$300,$B220,Закрытые!$B$5:$B$300,"T-*"))</f>
        <v/>
      </c>
      <c r="D220" s="183" t="str">
        <f>IF(C220="","",(SUMPRODUCT((Торговля!$E$5:$E$300=$B220)*Торговля!$F$5:$F$300*Торговля!$G$5:$G$300)+SUMPRODUCT((Закрытые!$E$5:$E$300=$B220)*(LEFT(Закрытые!$B$5:$B$300,2)="T-")*Закрытые!$F$5:$F$300*Закрытые!$G$5:$G$300))/C220)</f>
        <v/>
      </c>
      <c r="E220" s="247" t="str">
        <f>IF(C220="","",SUMIFS(Торговля!$H$5:$H$300,Торговля!$E$5:$E$300,$B220)+SUMIFS(Закрытые!$H$5:$H$300,Закрытые!$E$5:$E$300,$B220,Закрытые!$B$5:$B$300,"T-*"))</f>
        <v/>
      </c>
      <c r="F220" s="246" t="str">
        <f>IF(SUMIFS(Торговля!$I$5:$I$300,Торговля!$E$5:$E$300,$B220)+SUMIFS(Закрытые!$I$5:$I$300,Закрытые!$E$5:$E$300,$B220,Закрытые!$B$5:$B$300,"T-*")=0,"",SUMIFS(Торговля!$I$5:$I$300,Торговля!$E$5:$E$300,$B220)+SUMIFS(Закрытые!$I$5:$I$300,Закрытые!$E$5:$E$300,$B220,Закрытые!$B$5:$B$300,"T-*"))</f>
        <v/>
      </c>
      <c r="G220" s="183" t="str">
        <f>IF(F220="","",(SUMPRODUCT((Торговля!$E$5:$E$300=$B220)*Торговля!$I$5:$I$300*Торговля!$J$5:$J$300)+SUMPRODUCT((Закрытые!$E$5:$E$300=$B220)*(LEFT(Закрытые!$B$5:$B$300,2)="T-")*Закрытые!$I$5:$I$300*Закрытые!$J$5:$J$300))/F220)</f>
        <v/>
      </c>
      <c r="H220" s="247" t="str">
        <f>IF(F220="","",SUMIFS(Торговля!$K$5:$K$300,Торговля!$E$5:$E$300,$B220)+SUMIFS(Закрытые!$K$5:$K$300,Закрытые!$E$5:$E$300,$B220,Закрытые!$B$5:$B$300,"T-*"))</f>
        <v/>
      </c>
      <c r="I220" s="246" t="str">
        <f>IF($B220="","",IF(COUNTIFS(Торговля!$E$5:$E$300,$B220)+COUNTIFS(Закрытые!$E$5:$E$300,$B220,Закрытые!$B$5:$B$300,"T-*")=0,"",ROUND(SUMIFS(Торговля!$L$5:$L$300,Торговля!$E$5:$E$300,$B220)+SUMIFS(Закрытые!$L$5:$L$300,Закрытые!$E$5:$E$300,$B220,Закрытые!$B$5:$B$300,"T-*"),8)))</f>
        <v/>
      </c>
      <c r="J220" s="247" t="str">
        <f>IF($B220="","",IF(COUNTIFS(Торговля!$E$5:$E$300,$B220)+COUNTIFS(Закрытые!$E$5:$E$300,$B220,Закрытые!$B$5:$B$300,"T-*")=0,"",ROUND(SUMIFS(Торговля!$M$5:$M$300,Торговля!$E$5:$E$300,$B220)+SUMIFS(Закрытые!$M$5:$M$300,Закрытые!$E$5:$E$300,$B220,Закрытые!$B$5:$B$300,"T-*"),8)))</f>
        <v/>
      </c>
      <c r="K220" s="246" t="str">
        <f>IF(MIN(N(C220),N(F220))&lt;=0,"",ROUND(MIN(N(C220),N(F220))*(N(G220)-N(D220)),8))</f>
        <v/>
      </c>
      <c r="L220" s="183" t="str">
        <f>IF(MIN(N(C220),N(F220))&lt;=0,"",IF(N(D220)=0,"",ROUND((N(G220)/N(D220)-1)*100,2)))</f>
        <v/>
      </c>
      <c r="M220" s="183" t="str">
        <f>IF(OR(ROUND(N(C220)-N(F220),8)=0,1-N(Ввод!$J$19)/100&lt;=0),"",IF(N(C220)&gt;N(F220),(N(E220)-N(H220))/((N(C220)-N(F220))*(1-N(Ввод!$J$19)/100)),(N(H220)-N(E220))/((N(F220)-N(C220))*(1+N(Ввод!$J$19)/100))))</f>
        <v/>
      </c>
    </row>
    <row r="221" ht="22" customHeight="1">
      <c r="B221" s="239" t="n"/>
      <c r="C221" s="240" t="str">
        <f>IF(SUMIFS(Торговля!$F$5:$F$300,Торговля!$E$5:$E$300,$B221)+SUMIFS(Закрытые!$F$5:$F$300,Закрытые!$E$5:$E$300,$B221,Закрытые!$B$5:$B$300,"T-*")=0,"",SUMIFS(Торговля!$F$5:$F$300,Торговля!$E$5:$E$300,$B221)+SUMIFS(Закрытые!$F$5:$F$300,Закрытые!$E$5:$E$300,$B221,Закрытые!$B$5:$B$300,"T-*"))</f>
        <v/>
      </c>
      <c r="D221" s="177" t="str">
        <f>IF(C221="","",(SUMPRODUCT((Торговля!$E$5:$E$300=$B221)*Торговля!$F$5:$F$300*Торговля!$G$5:$G$300)+SUMPRODUCT((Закрытые!$E$5:$E$300=$B221)*(LEFT(Закрытые!$B$5:$B$300,2)="T-")*Закрытые!$F$5:$F$300*Закрытые!$G$5:$G$300))/C221)</f>
        <v/>
      </c>
      <c r="E221" s="241" t="str">
        <f>IF(C221="","",SUMIFS(Торговля!$H$5:$H$300,Торговля!$E$5:$E$300,$B221)+SUMIFS(Закрытые!$H$5:$H$300,Закрытые!$E$5:$E$300,$B221,Закрытые!$B$5:$B$300,"T-*"))</f>
        <v/>
      </c>
      <c r="F221" s="240" t="str">
        <f>IF(SUMIFS(Торговля!$I$5:$I$300,Торговля!$E$5:$E$300,$B221)+SUMIFS(Закрытые!$I$5:$I$300,Закрытые!$E$5:$E$300,$B221,Закрытые!$B$5:$B$300,"T-*")=0,"",SUMIFS(Торговля!$I$5:$I$300,Торговля!$E$5:$E$300,$B221)+SUMIFS(Закрытые!$I$5:$I$300,Закрытые!$E$5:$E$300,$B221,Закрытые!$B$5:$B$300,"T-*"))</f>
        <v/>
      </c>
      <c r="G221" s="177" t="str">
        <f>IF(F221="","",(SUMPRODUCT((Торговля!$E$5:$E$300=$B221)*Торговля!$I$5:$I$300*Торговля!$J$5:$J$300)+SUMPRODUCT((Закрытые!$E$5:$E$300=$B221)*(LEFT(Закрытые!$B$5:$B$300,2)="T-")*Закрытые!$I$5:$I$300*Закрытые!$J$5:$J$300))/F221)</f>
        <v/>
      </c>
      <c r="H221" s="241" t="str">
        <f>IF(F221="","",SUMIFS(Торговля!$K$5:$K$300,Торговля!$E$5:$E$300,$B221)+SUMIFS(Закрытые!$K$5:$K$300,Закрытые!$E$5:$E$300,$B221,Закрытые!$B$5:$B$300,"T-*"))</f>
        <v/>
      </c>
      <c r="I221" s="240" t="str">
        <f>IF($B221="","",IF(COUNTIFS(Торговля!$E$5:$E$300,$B221)+COUNTIFS(Закрытые!$E$5:$E$300,$B221,Закрытые!$B$5:$B$300,"T-*")=0,"",ROUND(SUMIFS(Торговля!$L$5:$L$300,Торговля!$E$5:$E$300,$B221)+SUMIFS(Закрытые!$L$5:$L$300,Закрытые!$E$5:$E$300,$B221,Закрытые!$B$5:$B$300,"T-*"),8)))</f>
        <v/>
      </c>
      <c r="J221" s="241" t="str">
        <f>IF($B221="","",IF(COUNTIFS(Торговля!$E$5:$E$300,$B221)+COUNTIFS(Закрытые!$E$5:$E$300,$B221,Закрытые!$B$5:$B$300,"T-*")=0,"",ROUND(SUMIFS(Торговля!$M$5:$M$300,Торговля!$E$5:$E$300,$B221)+SUMIFS(Закрытые!$M$5:$M$300,Закрытые!$E$5:$E$300,$B221,Закрытые!$B$5:$B$300,"T-*"),8)))</f>
        <v/>
      </c>
      <c r="K221" s="240" t="str">
        <f>IF(MIN(N(C221),N(F221))&lt;=0,"",ROUND(MIN(N(C221),N(F221))*(N(G221)-N(D221)),8))</f>
        <v/>
      </c>
      <c r="L221" s="177" t="str">
        <f>IF(MIN(N(C221),N(F221))&lt;=0,"",IF(N(D221)=0,"",ROUND((N(G221)/N(D221)-1)*100,2)))</f>
        <v/>
      </c>
      <c r="M221" s="177" t="str">
        <f>IF(OR(ROUND(N(C221)-N(F221),8)=0,1-N(Ввод!$J$19)/100&lt;=0),"",IF(N(C221)&gt;N(F221),(N(E221)-N(H221))/((N(C221)-N(F221))*(1-N(Ввод!$J$19)/100)),(N(H221)-N(E221))/((N(F221)-N(C221))*(1+N(Ввод!$J$19)/100))))</f>
        <v/>
      </c>
    </row>
    <row r="222" ht="22" customHeight="1">
      <c r="B222" s="245" t="n"/>
      <c r="C222" s="246" t="str">
        <f>IF(SUMIFS(Торговля!$F$5:$F$300,Торговля!$E$5:$E$300,$B222)+SUMIFS(Закрытые!$F$5:$F$300,Закрытые!$E$5:$E$300,$B222,Закрытые!$B$5:$B$300,"T-*")=0,"",SUMIFS(Торговля!$F$5:$F$300,Торговля!$E$5:$E$300,$B222)+SUMIFS(Закрытые!$F$5:$F$300,Закрытые!$E$5:$E$300,$B222,Закрытые!$B$5:$B$300,"T-*"))</f>
        <v/>
      </c>
      <c r="D222" s="183" t="str">
        <f>IF(C222="","",(SUMPRODUCT((Торговля!$E$5:$E$300=$B222)*Торговля!$F$5:$F$300*Торговля!$G$5:$G$300)+SUMPRODUCT((Закрытые!$E$5:$E$300=$B222)*(LEFT(Закрытые!$B$5:$B$300,2)="T-")*Закрытые!$F$5:$F$300*Закрытые!$G$5:$G$300))/C222)</f>
        <v/>
      </c>
      <c r="E222" s="247" t="str">
        <f>IF(C222="","",SUMIFS(Торговля!$H$5:$H$300,Торговля!$E$5:$E$300,$B222)+SUMIFS(Закрытые!$H$5:$H$300,Закрытые!$E$5:$E$300,$B222,Закрытые!$B$5:$B$300,"T-*"))</f>
        <v/>
      </c>
      <c r="F222" s="246" t="str">
        <f>IF(SUMIFS(Торговля!$I$5:$I$300,Торговля!$E$5:$E$300,$B222)+SUMIFS(Закрытые!$I$5:$I$300,Закрытые!$E$5:$E$300,$B222,Закрытые!$B$5:$B$300,"T-*")=0,"",SUMIFS(Торговля!$I$5:$I$300,Торговля!$E$5:$E$300,$B222)+SUMIFS(Закрытые!$I$5:$I$300,Закрытые!$E$5:$E$300,$B222,Закрытые!$B$5:$B$300,"T-*"))</f>
        <v/>
      </c>
      <c r="G222" s="183" t="str">
        <f>IF(F222="","",(SUMPRODUCT((Торговля!$E$5:$E$300=$B222)*Торговля!$I$5:$I$300*Торговля!$J$5:$J$300)+SUMPRODUCT((Закрытые!$E$5:$E$300=$B222)*(LEFT(Закрытые!$B$5:$B$300,2)="T-")*Закрытые!$I$5:$I$300*Закрытые!$J$5:$J$300))/F222)</f>
        <v/>
      </c>
      <c r="H222" s="247" t="str">
        <f>IF(F222="","",SUMIFS(Торговля!$K$5:$K$300,Торговля!$E$5:$E$300,$B222)+SUMIFS(Закрытые!$K$5:$K$300,Закрытые!$E$5:$E$300,$B222,Закрытые!$B$5:$B$300,"T-*"))</f>
        <v/>
      </c>
      <c r="I222" s="246" t="str">
        <f>IF($B222="","",IF(COUNTIFS(Торговля!$E$5:$E$300,$B222)+COUNTIFS(Закрытые!$E$5:$E$300,$B222,Закрытые!$B$5:$B$300,"T-*")=0,"",ROUND(SUMIFS(Торговля!$L$5:$L$300,Торговля!$E$5:$E$300,$B222)+SUMIFS(Закрытые!$L$5:$L$300,Закрытые!$E$5:$E$300,$B222,Закрытые!$B$5:$B$300,"T-*"),8)))</f>
        <v/>
      </c>
      <c r="J222" s="247" t="str">
        <f>IF($B222="","",IF(COUNTIFS(Торговля!$E$5:$E$300,$B222)+COUNTIFS(Закрытые!$E$5:$E$300,$B222,Закрытые!$B$5:$B$300,"T-*")=0,"",ROUND(SUMIFS(Торговля!$M$5:$M$300,Торговля!$E$5:$E$300,$B222)+SUMIFS(Закрытые!$M$5:$M$300,Закрытые!$E$5:$E$300,$B222,Закрытые!$B$5:$B$300,"T-*"),8)))</f>
        <v/>
      </c>
      <c r="K222" s="246" t="str">
        <f>IF(MIN(N(C222),N(F222))&lt;=0,"",ROUND(MIN(N(C222),N(F222))*(N(G222)-N(D222)),8))</f>
        <v/>
      </c>
      <c r="L222" s="183" t="str">
        <f>IF(MIN(N(C222),N(F222))&lt;=0,"",IF(N(D222)=0,"",ROUND((N(G222)/N(D222)-1)*100,2)))</f>
        <v/>
      </c>
      <c r="M222" s="183" t="str">
        <f>IF(OR(ROUND(N(C222)-N(F222),8)=0,1-N(Ввод!$J$19)/100&lt;=0),"",IF(N(C222)&gt;N(F222),(N(E222)-N(H222))/((N(C222)-N(F222))*(1-N(Ввод!$J$19)/100)),(N(H222)-N(E222))/((N(F222)-N(C222))*(1+N(Ввод!$J$19)/100))))</f>
        <v/>
      </c>
    </row>
    <row r="223" ht="22" customHeight="1">
      <c r="B223" s="239" t="n"/>
      <c r="C223" s="240" t="str">
        <f>IF(SUMIFS(Торговля!$F$5:$F$300,Торговля!$E$5:$E$300,$B223)+SUMIFS(Закрытые!$F$5:$F$300,Закрытые!$E$5:$E$300,$B223,Закрытые!$B$5:$B$300,"T-*")=0,"",SUMIFS(Торговля!$F$5:$F$300,Торговля!$E$5:$E$300,$B223)+SUMIFS(Закрытые!$F$5:$F$300,Закрытые!$E$5:$E$300,$B223,Закрытые!$B$5:$B$300,"T-*"))</f>
        <v/>
      </c>
      <c r="D223" s="177" t="str">
        <f>IF(C223="","",(SUMPRODUCT((Торговля!$E$5:$E$300=$B223)*Торговля!$F$5:$F$300*Торговля!$G$5:$G$300)+SUMPRODUCT((Закрытые!$E$5:$E$300=$B223)*(LEFT(Закрытые!$B$5:$B$300,2)="T-")*Закрытые!$F$5:$F$300*Закрытые!$G$5:$G$300))/C223)</f>
        <v/>
      </c>
      <c r="E223" s="241" t="str">
        <f>IF(C223="","",SUMIFS(Торговля!$H$5:$H$300,Торговля!$E$5:$E$300,$B223)+SUMIFS(Закрытые!$H$5:$H$300,Закрытые!$E$5:$E$300,$B223,Закрытые!$B$5:$B$300,"T-*"))</f>
        <v/>
      </c>
      <c r="F223" s="240" t="str">
        <f>IF(SUMIFS(Торговля!$I$5:$I$300,Торговля!$E$5:$E$300,$B223)+SUMIFS(Закрытые!$I$5:$I$300,Закрытые!$E$5:$E$300,$B223,Закрытые!$B$5:$B$300,"T-*")=0,"",SUMIFS(Торговля!$I$5:$I$300,Торговля!$E$5:$E$300,$B223)+SUMIFS(Закрытые!$I$5:$I$300,Закрытые!$E$5:$E$300,$B223,Закрытые!$B$5:$B$300,"T-*"))</f>
        <v/>
      </c>
      <c r="G223" s="177" t="str">
        <f>IF(F223="","",(SUMPRODUCT((Торговля!$E$5:$E$300=$B223)*Торговля!$I$5:$I$300*Торговля!$J$5:$J$300)+SUMPRODUCT((Закрытые!$E$5:$E$300=$B223)*(LEFT(Закрытые!$B$5:$B$300,2)="T-")*Закрытые!$I$5:$I$300*Закрытые!$J$5:$J$300))/F223)</f>
        <v/>
      </c>
      <c r="H223" s="241" t="str">
        <f>IF(F223="","",SUMIFS(Торговля!$K$5:$K$300,Торговля!$E$5:$E$300,$B223)+SUMIFS(Закрытые!$K$5:$K$300,Закрытые!$E$5:$E$300,$B223,Закрытые!$B$5:$B$300,"T-*"))</f>
        <v/>
      </c>
      <c r="I223" s="240" t="str">
        <f>IF($B223="","",IF(COUNTIFS(Торговля!$E$5:$E$300,$B223)+COUNTIFS(Закрытые!$E$5:$E$300,$B223,Закрытые!$B$5:$B$300,"T-*")=0,"",ROUND(SUMIFS(Торговля!$L$5:$L$300,Торговля!$E$5:$E$300,$B223)+SUMIFS(Закрытые!$L$5:$L$300,Закрытые!$E$5:$E$300,$B223,Закрытые!$B$5:$B$300,"T-*"),8)))</f>
        <v/>
      </c>
      <c r="J223" s="241" t="str">
        <f>IF($B223="","",IF(COUNTIFS(Торговля!$E$5:$E$300,$B223)+COUNTIFS(Закрытые!$E$5:$E$300,$B223,Закрытые!$B$5:$B$300,"T-*")=0,"",ROUND(SUMIFS(Торговля!$M$5:$M$300,Торговля!$E$5:$E$300,$B223)+SUMIFS(Закрытые!$M$5:$M$300,Закрытые!$E$5:$E$300,$B223,Закрытые!$B$5:$B$300,"T-*"),8)))</f>
        <v/>
      </c>
      <c r="K223" s="240" t="str">
        <f>IF(MIN(N(C223),N(F223))&lt;=0,"",ROUND(MIN(N(C223),N(F223))*(N(G223)-N(D223)),8))</f>
        <v/>
      </c>
      <c r="L223" s="177" t="str">
        <f>IF(MIN(N(C223),N(F223))&lt;=0,"",IF(N(D223)=0,"",ROUND((N(G223)/N(D223)-1)*100,2)))</f>
        <v/>
      </c>
      <c r="M223" s="177" t="str">
        <f>IF(OR(ROUND(N(C223)-N(F223),8)=0,1-N(Ввод!$J$19)/100&lt;=0),"",IF(N(C223)&gt;N(F223),(N(E223)-N(H223))/((N(C223)-N(F223))*(1-N(Ввод!$J$19)/100)),(N(H223)-N(E223))/((N(F223)-N(C223))*(1+N(Ввод!$J$19)/100))))</f>
        <v/>
      </c>
    </row>
    <row r="224" ht="22" customHeight="1">
      <c r="B224" s="245" t="n"/>
      <c r="C224" s="246" t="str">
        <f>IF(SUMIFS(Торговля!$F$5:$F$300,Торговля!$E$5:$E$300,$B224)+SUMIFS(Закрытые!$F$5:$F$300,Закрытые!$E$5:$E$300,$B224,Закрытые!$B$5:$B$300,"T-*")=0,"",SUMIFS(Торговля!$F$5:$F$300,Торговля!$E$5:$E$300,$B224)+SUMIFS(Закрытые!$F$5:$F$300,Закрытые!$E$5:$E$300,$B224,Закрытые!$B$5:$B$300,"T-*"))</f>
        <v/>
      </c>
      <c r="D224" s="183" t="str">
        <f>IF(C224="","",(SUMPRODUCT((Торговля!$E$5:$E$300=$B224)*Торговля!$F$5:$F$300*Торговля!$G$5:$G$300)+SUMPRODUCT((Закрытые!$E$5:$E$300=$B224)*(LEFT(Закрытые!$B$5:$B$300,2)="T-")*Закрытые!$F$5:$F$300*Закрытые!$G$5:$G$300))/C224)</f>
        <v/>
      </c>
      <c r="E224" s="247" t="str">
        <f>IF(C224="","",SUMIFS(Торговля!$H$5:$H$300,Торговля!$E$5:$E$300,$B224)+SUMIFS(Закрытые!$H$5:$H$300,Закрытые!$E$5:$E$300,$B224,Закрытые!$B$5:$B$300,"T-*"))</f>
        <v/>
      </c>
      <c r="F224" s="246" t="str">
        <f>IF(SUMIFS(Торговля!$I$5:$I$300,Торговля!$E$5:$E$300,$B224)+SUMIFS(Закрытые!$I$5:$I$300,Закрытые!$E$5:$E$300,$B224,Закрытые!$B$5:$B$300,"T-*")=0,"",SUMIFS(Торговля!$I$5:$I$300,Торговля!$E$5:$E$300,$B224)+SUMIFS(Закрытые!$I$5:$I$300,Закрытые!$E$5:$E$300,$B224,Закрытые!$B$5:$B$300,"T-*"))</f>
        <v/>
      </c>
      <c r="G224" s="183" t="str">
        <f>IF(F224="","",(SUMPRODUCT((Торговля!$E$5:$E$300=$B224)*Торговля!$I$5:$I$300*Торговля!$J$5:$J$300)+SUMPRODUCT((Закрытые!$E$5:$E$300=$B224)*(LEFT(Закрытые!$B$5:$B$300,2)="T-")*Закрытые!$I$5:$I$300*Закрытые!$J$5:$J$300))/F224)</f>
        <v/>
      </c>
      <c r="H224" s="247" t="str">
        <f>IF(F224="","",SUMIFS(Торговля!$K$5:$K$300,Торговля!$E$5:$E$300,$B224)+SUMIFS(Закрытые!$K$5:$K$300,Закрытые!$E$5:$E$300,$B224,Закрытые!$B$5:$B$300,"T-*"))</f>
        <v/>
      </c>
      <c r="I224" s="246" t="str">
        <f>IF($B224="","",IF(COUNTIFS(Торговля!$E$5:$E$300,$B224)+COUNTIFS(Закрытые!$E$5:$E$300,$B224,Закрытые!$B$5:$B$300,"T-*")=0,"",ROUND(SUMIFS(Торговля!$L$5:$L$300,Торговля!$E$5:$E$300,$B224)+SUMIFS(Закрытые!$L$5:$L$300,Закрытые!$E$5:$E$300,$B224,Закрытые!$B$5:$B$300,"T-*"),8)))</f>
        <v/>
      </c>
      <c r="J224" s="247" t="str">
        <f>IF($B224="","",IF(COUNTIFS(Торговля!$E$5:$E$300,$B224)+COUNTIFS(Закрытые!$E$5:$E$300,$B224,Закрытые!$B$5:$B$300,"T-*")=0,"",ROUND(SUMIFS(Торговля!$M$5:$M$300,Торговля!$E$5:$E$300,$B224)+SUMIFS(Закрытые!$M$5:$M$300,Закрытые!$E$5:$E$300,$B224,Закрытые!$B$5:$B$300,"T-*"),8)))</f>
        <v/>
      </c>
      <c r="K224" s="246" t="str">
        <f>IF(MIN(N(C224),N(F224))&lt;=0,"",ROUND(MIN(N(C224),N(F224))*(N(G224)-N(D224)),8))</f>
        <v/>
      </c>
      <c r="L224" s="183" t="str">
        <f>IF(MIN(N(C224),N(F224))&lt;=0,"",IF(N(D224)=0,"",ROUND((N(G224)/N(D224)-1)*100,2)))</f>
        <v/>
      </c>
      <c r="M224" s="183" t="str">
        <f>IF(OR(ROUND(N(C224)-N(F224),8)=0,1-N(Ввод!$J$19)/100&lt;=0),"",IF(N(C224)&gt;N(F224),(N(E224)-N(H224))/((N(C224)-N(F224))*(1-N(Ввод!$J$19)/100)),(N(H224)-N(E224))/((N(F224)-N(C224))*(1+N(Ввод!$J$19)/100))))</f>
        <v/>
      </c>
    </row>
    <row r="225" ht="22" customHeight="1">
      <c r="B225" s="239" t="n"/>
      <c r="C225" s="240" t="str">
        <f>IF(SUMIFS(Торговля!$F$5:$F$300,Торговля!$E$5:$E$300,$B225)+SUMIFS(Закрытые!$F$5:$F$300,Закрытые!$E$5:$E$300,$B225,Закрытые!$B$5:$B$300,"T-*")=0,"",SUMIFS(Торговля!$F$5:$F$300,Торговля!$E$5:$E$300,$B225)+SUMIFS(Закрытые!$F$5:$F$300,Закрытые!$E$5:$E$300,$B225,Закрытые!$B$5:$B$300,"T-*"))</f>
        <v/>
      </c>
      <c r="D225" s="177" t="str">
        <f>IF(C225="","",(SUMPRODUCT((Торговля!$E$5:$E$300=$B225)*Торговля!$F$5:$F$300*Торговля!$G$5:$G$300)+SUMPRODUCT((Закрытые!$E$5:$E$300=$B225)*(LEFT(Закрытые!$B$5:$B$300,2)="T-")*Закрытые!$F$5:$F$300*Закрытые!$G$5:$G$300))/C225)</f>
        <v/>
      </c>
      <c r="E225" s="241" t="str">
        <f>IF(C225="","",SUMIFS(Торговля!$H$5:$H$300,Торговля!$E$5:$E$300,$B225)+SUMIFS(Закрытые!$H$5:$H$300,Закрытые!$E$5:$E$300,$B225,Закрытые!$B$5:$B$300,"T-*"))</f>
        <v/>
      </c>
      <c r="F225" s="240" t="str">
        <f>IF(SUMIFS(Торговля!$I$5:$I$300,Торговля!$E$5:$E$300,$B225)+SUMIFS(Закрытые!$I$5:$I$300,Закрытые!$E$5:$E$300,$B225,Закрытые!$B$5:$B$300,"T-*")=0,"",SUMIFS(Торговля!$I$5:$I$300,Торговля!$E$5:$E$300,$B225)+SUMIFS(Закрытые!$I$5:$I$300,Закрытые!$E$5:$E$300,$B225,Закрытые!$B$5:$B$300,"T-*"))</f>
        <v/>
      </c>
      <c r="G225" s="177" t="str">
        <f>IF(F225="","",(SUMPRODUCT((Торговля!$E$5:$E$300=$B225)*Торговля!$I$5:$I$300*Торговля!$J$5:$J$300)+SUMPRODUCT((Закрытые!$E$5:$E$300=$B225)*(LEFT(Закрытые!$B$5:$B$300,2)="T-")*Закрытые!$I$5:$I$300*Закрытые!$J$5:$J$300))/F225)</f>
        <v/>
      </c>
      <c r="H225" s="241" t="str">
        <f>IF(F225="","",SUMIFS(Торговля!$K$5:$K$300,Торговля!$E$5:$E$300,$B225)+SUMIFS(Закрытые!$K$5:$K$300,Закрытые!$E$5:$E$300,$B225,Закрытые!$B$5:$B$300,"T-*"))</f>
        <v/>
      </c>
      <c r="I225" s="240" t="str">
        <f>IF($B225="","",IF(COUNTIFS(Торговля!$E$5:$E$300,$B225)+COUNTIFS(Закрытые!$E$5:$E$300,$B225,Закрытые!$B$5:$B$300,"T-*")=0,"",ROUND(SUMIFS(Торговля!$L$5:$L$300,Торговля!$E$5:$E$300,$B225)+SUMIFS(Закрытые!$L$5:$L$300,Закрытые!$E$5:$E$300,$B225,Закрытые!$B$5:$B$300,"T-*"),8)))</f>
        <v/>
      </c>
      <c r="J225" s="241" t="str">
        <f>IF($B225="","",IF(COUNTIFS(Торговля!$E$5:$E$300,$B225)+COUNTIFS(Закрытые!$E$5:$E$300,$B225,Закрытые!$B$5:$B$300,"T-*")=0,"",ROUND(SUMIFS(Торговля!$M$5:$M$300,Торговля!$E$5:$E$300,$B225)+SUMIFS(Закрытые!$M$5:$M$300,Закрытые!$E$5:$E$300,$B225,Закрытые!$B$5:$B$300,"T-*"),8)))</f>
        <v/>
      </c>
      <c r="K225" s="240" t="str">
        <f>IF(MIN(N(C225),N(F225))&lt;=0,"",ROUND(MIN(N(C225),N(F225))*(N(G225)-N(D225)),8))</f>
        <v/>
      </c>
      <c r="L225" s="177" t="str">
        <f>IF(MIN(N(C225),N(F225))&lt;=0,"",IF(N(D225)=0,"",ROUND((N(G225)/N(D225)-1)*100,2)))</f>
        <v/>
      </c>
      <c r="M225" s="177" t="str">
        <f>IF(OR(ROUND(N(C225)-N(F225),8)=0,1-N(Ввод!$J$19)/100&lt;=0),"",IF(N(C225)&gt;N(F225),(N(E225)-N(H225))/((N(C225)-N(F225))*(1-N(Ввод!$J$19)/100)),(N(H225)-N(E225))/((N(F225)-N(C225))*(1+N(Ввод!$J$19)/100))))</f>
        <v/>
      </c>
    </row>
    <row r="226" ht="22" customHeight="1">
      <c r="B226" s="245" t="n"/>
      <c r="C226" s="246" t="str">
        <f>IF(SUMIFS(Торговля!$F$5:$F$300,Торговля!$E$5:$E$300,$B226)+SUMIFS(Закрытые!$F$5:$F$300,Закрытые!$E$5:$E$300,$B226,Закрытые!$B$5:$B$300,"T-*")=0,"",SUMIFS(Торговля!$F$5:$F$300,Торговля!$E$5:$E$300,$B226)+SUMIFS(Закрытые!$F$5:$F$300,Закрытые!$E$5:$E$300,$B226,Закрытые!$B$5:$B$300,"T-*"))</f>
        <v/>
      </c>
      <c r="D226" s="183" t="str">
        <f>IF(C226="","",(SUMPRODUCT((Торговля!$E$5:$E$300=$B226)*Торговля!$F$5:$F$300*Торговля!$G$5:$G$300)+SUMPRODUCT((Закрытые!$E$5:$E$300=$B226)*(LEFT(Закрытые!$B$5:$B$300,2)="T-")*Закрытые!$F$5:$F$300*Закрытые!$G$5:$G$300))/C226)</f>
        <v/>
      </c>
      <c r="E226" s="247" t="str">
        <f>IF(C226="","",SUMIFS(Торговля!$H$5:$H$300,Торговля!$E$5:$E$300,$B226)+SUMIFS(Закрытые!$H$5:$H$300,Закрытые!$E$5:$E$300,$B226,Закрытые!$B$5:$B$300,"T-*"))</f>
        <v/>
      </c>
      <c r="F226" s="246" t="str">
        <f>IF(SUMIFS(Торговля!$I$5:$I$300,Торговля!$E$5:$E$300,$B226)+SUMIFS(Закрытые!$I$5:$I$300,Закрытые!$E$5:$E$300,$B226,Закрытые!$B$5:$B$300,"T-*")=0,"",SUMIFS(Торговля!$I$5:$I$300,Торговля!$E$5:$E$300,$B226)+SUMIFS(Закрытые!$I$5:$I$300,Закрытые!$E$5:$E$300,$B226,Закрытые!$B$5:$B$300,"T-*"))</f>
        <v/>
      </c>
      <c r="G226" s="183" t="str">
        <f>IF(F226="","",(SUMPRODUCT((Торговля!$E$5:$E$300=$B226)*Торговля!$I$5:$I$300*Торговля!$J$5:$J$300)+SUMPRODUCT((Закрытые!$E$5:$E$300=$B226)*(LEFT(Закрытые!$B$5:$B$300,2)="T-")*Закрытые!$I$5:$I$300*Закрытые!$J$5:$J$300))/F226)</f>
        <v/>
      </c>
      <c r="H226" s="247" t="str">
        <f>IF(F226="","",SUMIFS(Торговля!$K$5:$K$300,Торговля!$E$5:$E$300,$B226)+SUMIFS(Закрытые!$K$5:$K$300,Закрытые!$E$5:$E$300,$B226,Закрытые!$B$5:$B$300,"T-*"))</f>
        <v/>
      </c>
      <c r="I226" s="246" t="str">
        <f>IF($B226="","",IF(COUNTIFS(Торговля!$E$5:$E$300,$B226)+COUNTIFS(Закрытые!$E$5:$E$300,$B226,Закрытые!$B$5:$B$300,"T-*")=0,"",ROUND(SUMIFS(Торговля!$L$5:$L$300,Торговля!$E$5:$E$300,$B226)+SUMIFS(Закрытые!$L$5:$L$300,Закрытые!$E$5:$E$300,$B226,Закрытые!$B$5:$B$300,"T-*"),8)))</f>
        <v/>
      </c>
      <c r="J226" s="247" t="str">
        <f>IF($B226="","",IF(COUNTIFS(Торговля!$E$5:$E$300,$B226)+COUNTIFS(Закрытые!$E$5:$E$300,$B226,Закрытые!$B$5:$B$300,"T-*")=0,"",ROUND(SUMIFS(Торговля!$M$5:$M$300,Торговля!$E$5:$E$300,$B226)+SUMIFS(Закрытые!$M$5:$M$300,Закрытые!$E$5:$E$300,$B226,Закрытые!$B$5:$B$300,"T-*"),8)))</f>
        <v/>
      </c>
      <c r="K226" s="246" t="str">
        <f>IF(MIN(N(C226),N(F226))&lt;=0,"",ROUND(MIN(N(C226),N(F226))*(N(G226)-N(D226)),8))</f>
        <v/>
      </c>
      <c r="L226" s="183" t="str">
        <f>IF(MIN(N(C226),N(F226))&lt;=0,"",IF(N(D226)=0,"",ROUND((N(G226)/N(D226)-1)*100,2)))</f>
        <v/>
      </c>
      <c r="M226" s="183" t="str">
        <f>IF(OR(ROUND(N(C226)-N(F226),8)=0,1-N(Ввод!$J$19)/100&lt;=0),"",IF(N(C226)&gt;N(F226),(N(E226)-N(H226))/((N(C226)-N(F226))*(1-N(Ввод!$J$19)/100)),(N(H226)-N(E226))/((N(F226)-N(C226))*(1+N(Ввод!$J$19)/100))))</f>
        <v/>
      </c>
    </row>
    <row r="227" ht="22" customHeight="1">
      <c r="B227" s="239" t="n"/>
      <c r="C227" s="240" t="str">
        <f>IF(SUMIFS(Торговля!$F$5:$F$300,Торговля!$E$5:$E$300,$B227)+SUMIFS(Закрытые!$F$5:$F$300,Закрытые!$E$5:$E$300,$B227,Закрытые!$B$5:$B$300,"T-*")=0,"",SUMIFS(Торговля!$F$5:$F$300,Торговля!$E$5:$E$300,$B227)+SUMIFS(Закрытые!$F$5:$F$300,Закрытые!$E$5:$E$300,$B227,Закрытые!$B$5:$B$300,"T-*"))</f>
        <v/>
      </c>
      <c r="D227" s="177" t="str">
        <f>IF(C227="","",(SUMPRODUCT((Торговля!$E$5:$E$300=$B227)*Торговля!$F$5:$F$300*Торговля!$G$5:$G$300)+SUMPRODUCT((Закрытые!$E$5:$E$300=$B227)*(LEFT(Закрытые!$B$5:$B$300,2)="T-")*Закрытые!$F$5:$F$300*Закрытые!$G$5:$G$300))/C227)</f>
        <v/>
      </c>
      <c r="E227" s="241" t="str">
        <f>IF(C227="","",SUMIFS(Торговля!$H$5:$H$300,Торговля!$E$5:$E$300,$B227)+SUMIFS(Закрытые!$H$5:$H$300,Закрытые!$E$5:$E$300,$B227,Закрытые!$B$5:$B$300,"T-*"))</f>
        <v/>
      </c>
      <c r="F227" s="240" t="str">
        <f>IF(SUMIFS(Торговля!$I$5:$I$300,Торговля!$E$5:$E$300,$B227)+SUMIFS(Закрытые!$I$5:$I$300,Закрытые!$E$5:$E$300,$B227,Закрытые!$B$5:$B$300,"T-*")=0,"",SUMIFS(Торговля!$I$5:$I$300,Торговля!$E$5:$E$300,$B227)+SUMIFS(Закрытые!$I$5:$I$300,Закрытые!$E$5:$E$300,$B227,Закрытые!$B$5:$B$300,"T-*"))</f>
        <v/>
      </c>
      <c r="G227" s="177" t="str">
        <f>IF(F227="","",(SUMPRODUCT((Торговля!$E$5:$E$300=$B227)*Торговля!$I$5:$I$300*Торговля!$J$5:$J$300)+SUMPRODUCT((Закрытые!$E$5:$E$300=$B227)*(LEFT(Закрытые!$B$5:$B$300,2)="T-")*Закрытые!$I$5:$I$300*Закрытые!$J$5:$J$300))/F227)</f>
        <v/>
      </c>
      <c r="H227" s="241" t="str">
        <f>IF(F227="","",SUMIFS(Торговля!$K$5:$K$300,Торговля!$E$5:$E$300,$B227)+SUMIFS(Закрытые!$K$5:$K$300,Закрытые!$E$5:$E$300,$B227,Закрытые!$B$5:$B$300,"T-*"))</f>
        <v/>
      </c>
      <c r="I227" s="240" t="str">
        <f>IF($B227="","",IF(COUNTIFS(Торговля!$E$5:$E$300,$B227)+COUNTIFS(Закрытые!$E$5:$E$300,$B227,Закрытые!$B$5:$B$300,"T-*")=0,"",ROUND(SUMIFS(Торговля!$L$5:$L$300,Торговля!$E$5:$E$300,$B227)+SUMIFS(Закрытые!$L$5:$L$300,Закрытые!$E$5:$E$300,$B227,Закрытые!$B$5:$B$300,"T-*"),8)))</f>
        <v/>
      </c>
      <c r="J227" s="241" t="str">
        <f>IF($B227="","",IF(COUNTIFS(Торговля!$E$5:$E$300,$B227)+COUNTIFS(Закрытые!$E$5:$E$300,$B227,Закрытые!$B$5:$B$300,"T-*")=0,"",ROUND(SUMIFS(Торговля!$M$5:$M$300,Торговля!$E$5:$E$300,$B227)+SUMIFS(Закрытые!$M$5:$M$300,Закрытые!$E$5:$E$300,$B227,Закрытые!$B$5:$B$300,"T-*"),8)))</f>
        <v/>
      </c>
      <c r="K227" s="240" t="str">
        <f>IF(MIN(N(C227),N(F227))&lt;=0,"",ROUND(MIN(N(C227),N(F227))*(N(G227)-N(D227)),8))</f>
        <v/>
      </c>
      <c r="L227" s="177" t="str">
        <f>IF(MIN(N(C227),N(F227))&lt;=0,"",IF(N(D227)=0,"",ROUND((N(G227)/N(D227)-1)*100,2)))</f>
        <v/>
      </c>
      <c r="M227" s="177" t="str">
        <f>IF(OR(ROUND(N(C227)-N(F227),8)=0,1-N(Ввод!$J$19)/100&lt;=0),"",IF(N(C227)&gt;N(F227),(N(E227)-N(H227))/((N(C227)-N(F227))*(1-N(Ввод!$J$19)/100)),(N(H227)-N(E227))/((N(F227)-N(C227))*(1+N(Ввод!$J$19)/100))))</f>
        <v/>
      </c>
    </row>
    <row r="228" ht="22" customHeight="1">
      <c r="B228" s="245" t="n"/>
      <c r="C228" s="246" t="str">
        <f>IF(SUMIFS(Торговля!$F$5:$F$300,Торговля!$E$5:$E$300,$B228)+SUMIFS(Закрытые!$F$5:$F$300,Закрытые!$E$5:$E$300,$B228,Закрытые!$B$5:$B$300,"T-*")=0,"",SUMIFS(Торговля!$F$5:$F$300,Торговля!$E$5:$E$300,$B228)+SUMIFS(Закрытые!$F$5:$F$300,Закрытые!$E$5:$E$300,$B228,Закрытые!$B$5:$B$300,"T-*"))</f>
        <v/>
      </c>
      <c r="D228" s="183" t="str">
        <f>IF(C228="","",(SUMPRODUCT((Торговля!$E$5:$E$300=$B228)*Торговля!$F$5:$F$300*Торговля!$G$5:$G$300)+SUMPRODUCT((Закрытые!$E$5:$E$300=$B228)*(LEFT(Закрытые!$B$5:$B$300,2)="T-")*Закрытые!$F$5:$F$300*Закрытые!$G$5:$G$300))/C228)</f>
        <v/>
      </c>
      <c r="E228" s="247" t="str">
        <f>IF(C228="","",SUMIFS(Торговля!$H$5:$H$300,Торговля!$E$5:$E$300,$B228)+SUMIFS(Закрытые!$H$5:$H$300,Закрытые!$E$5:$E$300,$B228,Закрытые!$B$5:$B$300,"T-*"))</f>
        <v/>
      </c>
      <c r="F228" s="246" t="str">
        <f>IF(SUMIFS(Торговля!$I$5:$I$300,Торговля!$E$5:$E$300,$B228)+SUMIFS(Закрытые!$I$5:$I$300,Закрытые!$E$5:$E$300,$B228,Закрытые!$B$5:$B$300,"T-*")=0,"",SUMIFS(Торговля!$I$5:$I$300,Торговля!$E$5:$E$300,$B228)+SUMIFS(Закрытые!$I$5:$I$300,Закрытые!$E$5:$E$300,$B228,Закрытые!$B$5:$B$300,"T-*"))</f>
        <v/>
      </c>
      <c r="G228" s="183" t="str">
        <f>IF(F228="","",(SUMPRODUCT((Торговля!$E$5:$E$300=$B228)*Торговля!$I$5:$I$300*Торговля!$J$5:$J$300)+SUMPRODUCT((Закрытые!$E$5:$E$300=$B228)*(LEFT(Закрытые!$B$5:$B$300,2)="T-")*Закрытые!$I$5:$I$300*Закрытые!$J$5:$J$300))/F228)</f>
        <v/>
      </c>
      <c r="H228" s="247" t="str">
        <f>IF(F228="","",SUMIFS(Торговля!$K$5:$K$300,Торговля!$E$5:$E$300,$B228)+SUMIFS(Закрытые!$K$5:$K$300,Закрытые!$E$5:$E$300,$B228,Закрытые!$B$5:$B$300,"T-*"))</f>
        <v/>
      </c>
      <c r="I228" s="246" t="str">
        <f>IF($B228="","",IF(COUNTIFS(Торговля!$E$5:$E$300,$B228)+COUNTIFS(Закрытые!$E$5:$E$300,$B228,Закрытые!$B$5:$B$300,"T-*")=0,"",ROUND(SUMIFS(Торговля!$L$5:$L$300,Торговля!$E$5:$E$300,$B228)+SUMIFS(Закрытые!$L$5:$L$300,Закрытые!$E$5:$E$300,$B228,Закрытые!$B$5:$B$300,"T-*"),8)))</f>
        <v/>
      </c>
      <c r="J228" s="247" t="str">
        <f>IF($B228="","",IF(COUNTIFS(Торговля!$E$5:$E$300,$B228)+COUNTIFS(Закрытые!$E$5:$E$300,$B228,Закрытые!$B$5:$B$300,"T-*")=0,"",ROUND(SUMIFS(Торговля!$M$5:$M$300,Торговля!$E$5:$E$300,$B228)+SUMIFS(Закрытые!$M$5:$M$300,Закрытые!$E$5:$E$300,$B228,Закрытые!$B$5:$B$300,"T-*"),8)))</f>
        <v/>
      </c>
      <c r="K228" s="246" t="str">
        <f>IF(MIN(N(C228),N(F228))&lt;=0,"",ROUND(MIN(N(C228),N(F228))*(N(G228)-N(D228)),8))</f>
        <v/>
      </c>
      <c r="L228" s="183" t="str">
        <f>IF(MIN(N(C228),N(F228))&lt;=0,"",IF(N(D228)=0,"",ROUND((N(G228)/N(D228)-1)*100,2)))</f>
        <v/>
      </c>
      <c r="M228" s="183" t="str">
        <f>IF(OR(ROUND(N(C228)-N(F228),8)=0,1-N(Ввод!$J$19)/100&lt;=0),"",IF(N(C228)&gt;N(F228),(N(E228)-N(H228))/((N(C228)-N(F228))*(1-N(Ввод!$J$19)/100)),(N(H228)-N(E228))/((N(F228)-N(C228))*(1+N(Ввод!$J$19)/100))))</f>
        <v/>
      </c>
    </row>
    <row r="229" ht="22" customHeight="1">
      <c r="B229" s="239" t="n"/>
      <c r="C229" s="240" t="str">
        <f>IF(SUMIFS(Торговля!$F$5:$F$300,Торговля!$E$5:$E$300,$B229)+SUMIFS(Закрытые!$F$5:$F$300,Закрытые!$E$5:$E$300,$B229,Закрытые!$B$5:$B$300,"T-*")=0,"",SUMIFS(Торговля!$F$5:$F$300,Торговля!$E$5:$E$300,$B229)+SUMIFS(Закрытые!$F$5:$F$300,Закрытые!$E$5:$E$300,$B229,Закрытые!$B$5:$B$300,"T-*"))</f>
        <v/>
      </c>
      <c r="D229" s="177" t="str">
        <f>IF(C229="","",(SUMPRODUCT((Торговля!$E$5:$E$300=$B229)*Торговля!$F$5:$F$300*Торговля!$G$5:$G$300)+SUMPRODUCT((Закрытые!$E$5:$E$300=$B229)*(LEFT(Закрытые!$B$5:$B$300,2)="T-")*Закрытые!$F$5:$F$300*Закрытые!$G$5:$G$300))/C229)</f>
        <v/>
      </c>
      <c r="E229" s="241" t="str">
        <f>IF(C229="","",SUMIFS(Торговля!$H$5:$H$300,Торговля!$E$5:$E$300,$B229)+SUMIFS(Закрытые!$H$5:$H$300,Закрытые!$E$5:$E$300,$B229,Закрытые!$B$5:$B$300,"T-*"))</f>
        <v/>
      </c>
      <c r="F229" s="240" t="str">
        <f>IF(SUMIFS(Торговля!$I$5:$I$300,Торговля!$E$5:$E$300,$B229)+SUMIFS(Закрытые!$I$5:$I$300,Закрытые!$E$5:$E$300,$B229,Закрытые!$B$5:$B$300,"T-*")=0,"",SUMIFS(Торговля!$I$5:$I$300,Торговля!$E$5:$E$300,$B229)+SUMIFS(Закрытые!$I$5:$I$300,Закрытые!$E$5:$E$300,$B229,Закрытые!$B$5:$B$300,"T-*"))</f>
        <v/>
      </c>
      <c r="G229" s="177" t="str">
        <f>IF(F229="","",(SUMPRODUCT((Торговля!$E$5:$E$300=$B229)*Торговля!$I$5:$I$300*Торговля!$J$5:$J$300)+SUMPRODUCT((Закрытые!$E$5:$E$300=$B229)*(LEFT(Закрытые!$B$5:$B$300,2)="T-")*Закрытые!$I$5:$I$300*Закрытые!$J$5:$J$300))/F229)</f>
        <v/>
      </c>
      <c r="H229" s="241" t="str">
        <f>IF(F229="","",SUMIFS(Торговля!$K$5:$K$300,Торговля!$E$5:$E$300,$B229)+SUMIFS(Закрытые!$K$5:$K$300,Закрытые!$E$5:$E$300,$B229,Закрытые!$B$5:$B$300,"T-*"))</f>
        <v/>
      </c>
      <c r="I229" s="240" t="str">
        <f>IF($B229="","",IF(COUNTIFS(Торговля!$E$5:$E$300,$B229)+COUNTIFS(Закрытые!$E$5:$E$300,$B229,Закрытые!$B$5:$B$300,"T-*")=0,"",ROUND(SUMIFS(Торговля!$L$5:$L$300,Торговля!$E$5:$E$300,$B229)+SUMIFS(Закрытые!$L$5:$L$300,Закрытые!$E$5:$E$300,$B229,Закрытые!$B$5:$B$300,"T-*"),8)))</f>
        <v/>
      </c>
      <c r="J229" s="241" t="str">
        <f>IF($B229="","",IF(COUNTIFS(Торговля!$E$5:$E$300,$B229)+COUNTIFS(Закрытые!$E$5:$E$300,$B229,Закрытые!$B$5:$B$300,"T-*")=0,"",ROUND(SUMIFS(Торговля!$M$5:$M$300,Торговля!$E$5:$E$300,$B229)+SUMIFS(Закрытые!$M$5:$M$300,Закрытые!$E$5:$E$300,$B229,Закрытые!$B$5:$B$300,"T-*"),8)))</f>
        <v/>
      </c>
      <c r="K229" s="240" t="str">
        <f>IF(MIN(N(C229),N(F229))&lt;=0,"",ROUND(MIN(N(C229),N(F229))*(N(G229)-N(D229)),8))</f>
        <v/>
      </c>
      <c r="L229" s="177" t="str">
        <f>IF(MIN(N(C229),N(F229))&lt;=0,"",IF(N(D229)=0,"",ROUND((N(G229)/N(D229)-1)*100,2)))</f>
        <v/>
      </c>
      <c r="M229" s="177" t="str">
        <f>IF(OR(ROUND(N(C229)-N(F229),8)=0,1-N(Ввод!$J$19)/100&lt;=0),"",IF(N(C229)&gt;N(F229),(N(E229)-N(H229))/((N(C229)-N(F229))*(1-N(Ввод!$J$19)/100)),(N(H229)-N(E229))/((N(F229)-N(C229))*(1+N(Ввод!$J$19)/100))))</f>
        <v/>
      </c>
    </row>
    <row r="230" ht="22" customHeight="1">
      <c r="B230" s="245" t="n"/>
      <c r="C230" s="246" t="str">
        <f>IF(SUMIFS(Торговля!$F$5:$F$300,Торговля!$E$5:$E$300,$B230)+SUMIFS(Закрытые!$F$5:$F$300,Закрытые!$E$5:$E$300,$B230,Закрытые!$B$5:$B$300,"T-*")=0,"",SUMIFS(Торговля!$F$5:$F$300,Торговля!$E$5:$E$300,$B230)+SUMIFS(Закрытые!$F$5:$F$300,Закрытые!$E$5:$E$300,$B230,Закрытые!$B$5:$B$300,"T-*"))</f>
        <v/>
      </c>
      <c r="D230" s="183" t="str">
        <f>IF(C230="","",(SUMPRODUCT((Торговля!$E$5:$E$300=$B230)*Торговля!$F$5:$F$300*Торговля!$G$5:$G$300)+SUMPRODUCT((Закрытые!$E$5:$E$300=$B230)*(LEFT(Закрытые!$B$5:$B$300,2)="T-")*Закрытые!$F$5:$F$300*Закрытые!$G$5:$G$300))/C230)</f>
        <v/>
      </c>
      <c r="E230" s="247" t="str">
        <f>IF(C230="","",SUMIFS(Торговля!$H$5:$H$300,Торговля!$E$5:$E$300,$B230)+SUMIFS(Закрытые!$H$5:$H$300,Закрытые!$E$5:$E$300,$B230,Закрытые!$B$5:$B$300,"T-*"))</f>
        <v/>
      </c>
      <c r="F230" s="246" t="str">
        <f>IF(SUMIFS(Торговля!$I$5:$I$300,Торговля!$E$5:$E$300,$B230)+SUMIFS(Закрытые!$I$5:$I$300,Закрытые!$E$5:$E$300,$B230,Закрытые!$B$5:$B$300,"T-*")=0,"",SUMIFS(Торговля!$I$5:$I$300,Торговля!$E$5:$E$300,$B230)+SUMIFS(Закрытые!$I$5:$I$300,Закрытые!$E$5:$E$300,$B230,Закрытые!$B$5:$B$300,"T-*"))</f>
        <v/>
      </c>
      <c r="G230" s="183" t="str">
        <f>IF(F230="","",(SUMPRODUCT((Торговля!$E$5:$E$300=$B230)*Торговля!$I$5:$I$300*Торговля!$J$5:$J$300)+SUMPRODUCT((Закрытые!$E$5:$E$300=$B230)*(LEFT(Закрытые!$B$5:$B$300,2)="T-")*Закрытые!$I$5:$I$300*Закрытые!$J$5:$J$300))/F230)</f>
        <v/>
      </c>
      <c r="H230" s="247" t="str">
        <f>IF(F230="","",SUMIFS(Торговля!$K$5:$K$300,Торговля!$E$5:$E$300,$B230)+SUMIFS(Закрытые!$K$5:$K$300,Закрытые!$E$5:$E$300,$B230,Закрытые!$B$5:$B$300,"T-*"))</f>
        <v/>
      </c>
      <c r="I230" s="246" t="str">
        <f>IF($B230="","",IF(COUNTIFS(Торговля!$E$5:$E$300,$B230)+COUNTIFS(Закрытые!$E$5:$E$300,$B230,Закрытые!$B$5:$B$300,"T-*")=0,"",ROUND(SUMIFS(Торговля!$L$5:$L$300,Торговля!$E$5:$E$300,$B230)+SUMIFS(Закрытые!$L$5:$L$300,Закрытые!$E$5:$E$300,$B230,Закрытые!$B$5:$B$300,"T-*"),8)))</f>
        <v/>
      </c>
      <c r="J230" s="247" t="str">
        <f>IF($B230="","",IF(COUNTIFS(Торговля!$E$5:$E$300,$B230)+COUNTIFS(Закрытые!$E$5:$E$300,$B230,Закрытые!$B$5:$B$300,"T-*")=0,"",ROUND(SUMIFS(Торговля!$M$5:$M$300,Торговля!$E$5:$E$300,$B230)+SUMIFS(Закрытые!$M$5:$M$300,Закрытые!$E$5:$E$300,$B230,Закрытые!$B$5:$B$300,"T-*"),8)))</f>
        <v/>
      </c>
      <c r="K230" s="246" t="str">
        <f>IF(MIN(N(C230),N(F230))&lt;=0,"",ROUND(MIN(N(C230),N(F230))*(N(G230)-N(D230)),8))</f>
        <v/>
      </c>
      <c r="L230" s="183" t="str">
        <f>IF(MIN(N(C230),N(F230))&lt;=0,"",IF(N(D230)=0,"",ROUND((N(G230)/N(D230)-1)*100,2)))</f>
        <v/>
      </c>
      <c r="M230" s="183" t="str">
        <f>IF(OR(ROUND(N(C230)-N(F230),8)=0,1-N(Ввод!$J$19)/100&lt;=0),"",IF(N(C230)&gt;N(F230),(N(E230)-N(H230))/((N(C230)-N(F230))*(1-N(Ввод!$J$19)/100)),(N(H230)-N(E230))/((N(F230)-N(C230))*(1+N(Ввод!$J$19)/100))))</f>
        <v/>
      </c>
    </row>
    <row r="231" ht="22" customHeight="1">
      <c r="B231" s="239" t="n"/>
      <c r="C231" s="240" t="str">
        <f>IF(SUMIFS(Торговля!$F$5:$F$300,Торговля!$E$5:$E$300,$B231)+SUMIFS(Закрытые!$F$5:$F$300,Закрытые!$E$5:$E$300,$B231,Закрытые!$B$5:$B$300,"T-*")=0,"",SUMIFS(Торговля!$F$5:$F$300,Торговля!$E$5:$E$300,$B231)+SUMIFS(Закрытые!$F$5:$F$300,Закрытые!$E$5:$E$300,$B231,Закрытые!$B$5:$B$300,"T-*"))</f>
        <v/>
      </c>
      <c r="D231" s="177" t="str">
        <f>IF(C231="","",(SUMPRODUCT((Торговля!$E$5:$E$300=$B231)*Торговля!$F$5:$F$300*Торговля!$G$5:$G$300)+SUMPRODUCT((Закрытые!$E$5:$E$300=$B231)*(LEFT(Закрытые!$B$5:$B$300,2)="T-")*Закрытые!$F$5:$F$300*Закрытые!$G$5:$G$300))/C231)</f>
        <v/>
      </c>
      <c r="E231" s="241" t="str">
        <f>IF(C231="","",SUMIFS(Торговля!$H$5:$H$300,Торговля!$E$5:$E$300,$B231)+SUMIFS(Закрытые!$H$5:$H$300,Закрытые!$E$5:$E$300,$B231,Закрытые!$B$5:$B$300,"T-*"))</f>
        <v/>
      </c>
      <c r="F231" s="240" t="str">
        <f>IF(SUMIFS(Торговля!$I$5:$I$300,Торговля!$E$5:$E$300,$B231)+SUMIFS(Закрытые!$I$5:$I$300,Закрытые!$E$5:$E$300,$B231,Закрытые!$B$5:$B$300,"T-*")=0,"",SUMIFS(Торговля!$I$5:$I$300,Торговля!$E$5:$E$300,$B231)+SUMIFS(Закрытые!$I$5:$I$300,Закрытые!$E$5:$E$300,$B231,Закрытые!$B$5:$B$300,"T-*"))</f>
        <v/>
      </c>
      <c r="G231" s="177" t="str">
        <f>IF(F231="","",(SUMPRODUCT((Торговля!$E$5:$E$300=$B231)*Торговля!$I$5:$I$300*Торговля!$J$5:$J$300)+SUMPRODUCT((Закрытые!$E$5:$E$300=$B231)*(LEFT(Закрытые!$B$5:$B$300,2)="T-")*Закрытые!$I$5:$I$300*Закрытые!$J$5:$J$300))/F231)</f>
        <v/>
      </c>
      <c r="H231" s="241" t="str">
        <f>IF(F231="","",SUMIFS(Торговля!$K$5:$K$300,Торговля!$E$5:$E$300,$B231)+SUMIFS(Закрытые!$K$5:$K$300,Закрытые!$E$5:$E$300,$B231,Закрытые!$B$5:$B$300,"T-*"))</f>
        <v/>
      </c>
      <c r="I231" s="240" t="str">
        <f>IF($B231="","",IF(COUNTIFS(Торговля!$E$5:$E$300,$B231)+COUNTIFS(Закрытые!$E$5:$E$300,$B231,Закрытые!$B$5:$B$300,"T-*")=0,"",ROUND(SUMIFS(Торговля!$L$5:$L$300,Торговля!$E$5:$E$300,$B231)+SUMIFS(Закрытые!$L$5:$L$300,Закрытые!$E$5:$E$300,$B231,Закрытые!$B$5:$B$300,"T-*"),8)))</f>
        <v/>
      </c>
      <c r="J231" s="241" t="str">
        <f>IF($B231="","",IF(COUNTIFS(Торговля!$E$5:$E$300,$B231)+COUNTIFS(Закрытые!$E$5:$E$300,$B231,Закрытые!$B$5:$B$300,"T-*")=0,"",ROUND(SUMIFS(Торговля!$M$5:$M$300,Торговля!$E$5:$E$300,$B231)+SUMIFS(Закрытые!$M$5:$M$300,Закрытые!$E$5:$E$300,$B231,Закрытые!$B$5:$B$300,"T-*"),8)))</f>
        <v/>
      </c>
      <c r="K231" s="240" t="str">
        <f>IF(MIN(N(C231),N(F231))&lt;=0,"",ROUND(MIN(N(C231),N(F231))*(N(G231)-N(D231)),8))</f>
        <v/>
      </c>
      <c r="L231" s="177" t="str">
        <f>IF(MIN(N(C231),N(F231))&lt;=0,"",IF(N(D231)=0,"",ROUND((N(G231)/N(D231)-1)*100,2)))</f>
        <v/>
      </c>
      <c r="M231" s="177" t="str">
        <f>IF(OR(ROUND(N(C231)-N(F231),8)=0,1-N(Ввод!$J$19)/100&lt;=0),"",IF(N(C231)&gt;N(F231),(N(E231)-N(H231))/((N(C231)-N(F231))*(1-N(Ввод!$J$19)/100)),(N(H231)-N(E231))/((N(F231)-N(C231))*(1+N(Ввод!$J$19)/100))))</f>
        <v/>
      </c>
    </row>
    <row r="232" ht="22" customHeight="1">
      <c r="B232" s="245" t="n"/>
      <c r="C232" s="246" t="str">
        <f>IF(SUMIFS(Торговля!$F$5:$F$300,Торговля!$E$5:$E$300,$B232)+SUMIFS(Закрытые!$F$5:$F$300,Закрытые!$E$5:$E$300,$B232,Закрытые!$B$5:$B$300,"T-*")=0,"",SUMIFS(Торговля!$F$5:$F$300,Торговля!$E$5:$E$300,$B232)+SUMIFS(Закрытые!$F$5:$F$300,Закрытые!$E$5:$E$300,$B232,Закрытые!$B$5:$B$300,"T-*"))</f>
        <v/>
      </c>
      <c r="D232" s="183" t="str">
        <f>IF(C232="","",(SUMPRODUCT((Торговля!$E$5:$E$300=$B232)*Торговля!$F$5:$F$300*Торговля!$G$5:$G$300)+SUMPRODUCT((Закрытые!$E$5:$E$300=$B232)*(LEFT(Закрытые!$B$5:$B$300,2)="T-")*Закрытые!$F$5:$F$300*Закрытые!$G$5:$G$300))/C232)</f>
        <v/>
      </c>
      <c r="E232" s="247" t="str">
        <f>IF(C232="","",SUMIFS(Торговля!$H$5:$H$300,Торговля!$E$5:$E$300,$B232)+SUMIFS(Закрытые!$H$5:$H$300,Закрытые!$E$5:$E$300,$B232,Закрытые!$B$5:$B$300,"T-*"))</f>
        <v/>
      </c>
      <c r="F232" s="246" t="str">
        <f>IF(SUMIFS(Торговля!$I$5:$I$300,Торговля!$E$5:$E$300,$B232)+SUMIFS(Закрытые!$I$5:$I$300,Закрытые!$E$5:$E$300,$B232,Закрытые!$B$5:$B$300,"T-*")=0,"",SUMIFS(Торговля!$I$5:$I$300,Торговля!$E$5:$E$300,$B232)+SUMIFS(Закрытые!$I$5:$I$300,Закрытые!$E$5:$E$300,$B232,Закрытые!$B$5:$B$300,"T-*"))</f>
        <v/>
      </c>
      <c r="G232" s="183" t="str">
        <f>IF(F232="","",(SUMPRODUCT((Торговля!$E$5:$E$300=$B232)*Торговля!$I$5:$I$300*Торговля!$J$5:$J$300)+SUMPRODUCT((Закрытые!$E$5:$E$300=$B232)*(LEFT(Закрытые!$B$5:$B$300,2)="T-")*Закрытые!$I$5:$I$300*Закрытые!$J$5:$J$300))/F232)</f>
        <v/>
      </c>
      <c r="H232" s="247" t="str">
        <f>IF(F232="","",SUMIFS(Торговля!$K$5:$K$300,Торговля!$E$5:$E$300,$B232)+SUMIFS(Закрытые!$K$5:$K$300,Закрытые!$E$5:$E$300,$B232,Закрытые!$B$5:$B$300,"T-*"))</f>
        <v/>
      </c>
      <c r="I232" s="246" t="str">
        <f>IF($B232="","",IF(COUNTIFS(Торговля!$E$5:$E$300,$B232)+COUNTIFS(Закрытые!$E$5:$E$300,$B232,Закрытые!$B$5:$B$300,"T-*")=0,"",ROUND(SUMIFS(Торговля!$L$5:$L$300,Торговля!$E$5:$E$300,$B232)+SUMIFS(Закрытые!$L$5:$L$300,Закрытые!$E$5:$E$300,$B232,Закрытые!$B$5:$B$300,"T-*"),8)))</f>
        <v/>
      </c>
      <c r="J232" s="247" t="str">
        <f>IF($B232="","",IF(COUNTIFS(Торговля!$E$5:$E$300,$B232)+COUNTIFS(Закрытые!$E$5:$E$300,$B232,Закрытые!$B$5:$B$300,"T-*")=0,"",ROUND(SUMIFS(Торговля!$M$5:$M$300,Торговля!$E$5:$E$300,$B232)+SUMIFS(Закрытые!$M$5:$M$300,Закрытые!$E$5:$E$300,$B232,Закрытые!$B$5:$B$300,"T-*"),8)))</f>
        <v/>
      </c>
      <c r="K232" s="246" t="str">
        <f>IF(MIN(N(C232),N(F232))&lt;=0,"",ROUND(MIN(N(C232),N(F232))*(N(G232)-N(D232)),8))</f>
        <v/>
      </c>
      <c r="L232" s="183" t="str">
        <f>IF(MIN(N(C232),N(F232))&lt;=0,"",IF(N(D232)=0,"",ROUND((N(G232)/N(D232)-1)*100,2)))</f>
        <v/>
      </c>
      <c r="M232" s="183" t="str">
        <f>IF(OR(ROUND(N(C232)-N(F232),8)=0,1-N(Ввод!$J$19)/100&lt;=0),"",IF(N(C232)&gt;N(F232),(N(E232)-N(H232))/((N(C232)-N(F232))*(1-N(Ввод!$J$19)/100)),(N(H232)-N(E232))/((N(F232)-N(C232))*(1+N(Ввод!$J$19)/100))))</f>
        <v/>
      </c>
    </row>
    <row r="233" ht="22" customHeight="1">
      <c r="B233" s="239" t="n"/>
      <c r="C233" s="240" t="str">
        <f>IF(SUMIFS(Торговля!$F$5:$F$300,Торговля!$E$5:$E$300,$B233)+SUMIFS(Закрытые!$F$5:$F$300,Закрытые!$E$5:$E$300,$B233,Закрытые!$B$5:$B$300,"T-*")=0,"",SUMIFS(Торговля!$F$5:$F$300,Торговля!$E$5:$E$300,$B233)+SUMIFS(Закрытые!$F$5:$F$300,Закрытые!$E$5:$E$300,$B233,Закрытые!$B$5:$B$300,"T-*"))</f>
        <v/>
      </c>
      <c r="D233" s="177" t="str">
        <f>IF(C233="","",(SUMPRODUCT((Торговля!$E$5:$E$300=$B233)*Торговля!$F$5:$F$300*Торговля!$G$5:$G$300)+SUMPRODUCT((Закрытые!$E$5:$E$300=$B233)*(LEFT(Закрытые!$B$5:$B$300,2)="T-")*Закрытые!$F$5:$F$300*Закрытые!$G$5:$G$300))/C233)</f>
        <v/>
      </c>
      <c r="E233" s="241" t="str">
        <f>IF(C233="","",SUMIFS(Торговля!$H$5:$H$300,Торговля!$E$5:$E$300,$B233)+SUMIFS(Закрытые!$H$5:$H$300,Закрытые!$E$5:$E$300,$B233,Закрытые!$B$5:$B$300,"T-*"))</f>
        <v/>
      </c>
      <c r="F233" s="240" t="str">
        <f>IF(SUMIFS(Торговля!$I$5:$I$300,Торговля!$E$5:$E$300,$B233)+SUMIFS(Закрытые!$I$5:$I$300,Закрытые!$E$5:$E$300,$B233,Закрытые!$B$5:$B$300,"T-*")=0,"",SUMIFS(Торговля!$I$5:$I$300,Торговля!$E$5:$E$300,$B233)+SUMIFS(Закрытые!$I$5:$I$300,Закрытые!$E$5:$E$300,$B233,Закрытые!$B$5:$B$300,"T-*"))</f>
        <v/>
      </c>
      <c r="G233" s="177" t="str">
        <f>IF(F233="","",(SUMPRODUCT((Торговля!$E$5:$E$300=$B233)*Торговля!$I$5:$I$300*Торговля!$J$5:$J$300)+SUMPRODUCT((Закрытые!$E$5:$E$300=$B233)*(LEFT(Закрытые!$B$5:$B$300,2)="T-")*Закрытые!$I$5:$I$300*Закрытые!$J$5:$J$300))/F233)</f>
        <v/>
      </c>
      <c r="H233" s="241" t="str">
        <f>IF(F233="","",SUMIFS(Торговля!$K$5:$K$300,Торговля!$E$5:$E$300,$B233)+SUMIFS(Закрытые!$K$5:$K$300,Закрытые!$E$5:$E$300,$B233,Закрытые!$B$5:$B$300,"T-*"))</f>
        <v/>
      </c>
      <c r="I233" s="240" t="str">
        <f>IF($B233="","",IF(COUNTIFS(Торговля!$E$5:$E$300,$B233)+COUNTIFS(Закрытые!$E$5:$E$300,$B233,Закрытые!$B$5:$B$300,"T-*")=0,"",ROUND(SUMIFS(Торговля!$L$5:$L$300,Торговля!$E$5:$E$300,$B233)+SUMIFS(Закрытые!$L$5:$L$300,Закрытые!$E$5:$E$300,$B233,Закрытые!$B$5:$B$300,"T-*"),8)))</f>
        <v/>
      </c>
      <c r="J233" s="241" t="str">
        <f>IF($B233="","",IF(COUNTIFS(Торговля!$E$5:$E$300,$B233)+COUNTIFS(Закрытые!$E$5:$E$300,$B233,Закрытые!$B$5:$B$300,"T-*")=0,"",ROUND(SUMIFS(Торговля!$M$5:$M$300,Торговля!$E$5:$E$300,$B233)+SUMIFS(Закрытые!$M$5:$M$300,Закрытые!$E$5:$E$300,$B233,Закрытые!$B$5:$B$300,"T-*"),8)))</f>
        <v/>
      </c>
      <c r="K233" s="240" t="str">
        <f>IF(MIN(N(C233),N(F233))&lt;=0,"",ROUND(MIN(N(C233),N(F233))*(N(G233)-N(D233)),8))</f>
        <v/>
      </c>
      <c r="L233" s="177" t="str">
        <f>IF(MIN(N(C233),N(F233))&lt;=0,"",IF(N(D233)=0,"",ROUND((N(G233)/N(D233)-1)*100,2)))</f>
        <v/>
      </c>
      <c r="M233" s="177" t="str">
        <f>IF(OR(ROUND(N(C233)-N(F233),8)=0,1-N(Ввод!$J$19)/100&lt;=0),"",IF(N(C233)&gt;N(F233),(N(E233)-N(H233))/((N(C233)-N(F233))*(1-N(Ввод!$J$19)/100)),(N(H233)-N(E233))/((N(F233)-N(C233))*(1+N(Ввод!$J$19)/100))))</f>
        <v/>
      </c>
    </row>
    <row r="234" ht="22" customHeight="1">
      <c r="B234" s="245" t="n"/>
      <c r="C234" s="246" t="str">
        <f>IF(SUMIFS(Торговля!$F$5:$F$300,Торговля!$E$5:$E$300,$B234)+SUMIFS(Закрытые!$F$5:$F$300,Закрытые!$E$5:$E$300,$B234,Закрытые!$B$5:$B$300,"T-*")=0,"",SUMIFS(Торговля!$F$5:$F$300,Торговля!$E$5:$E$300,$B234)+SUMIFS(Закрытые!$F$5:$F$300,Закрытые!$E$5:$E$300,$B234,Закрытые!$B$5:$B$300,"T-*"))</f>
        <v/>
      </c>
      <c r="D234" s="183" t="str">
        <f>IF(C234="","",(SUMPRODUCT((Торговля!$E$5:$E$300=$B234)*Торговля!$F$5:$F$300*Торговля!$G$5:$G$300)+SUMPRODUCT((Закрытые!$E$5:$E$300=$B234)*(LEFT(Закрытые!$B$5:$B$300,2)="T-")*Закрытые!$F$5:$F$300*Закрытые!$G$5:$G$300))/C234)</f>
        <v/>
      </c>
      <c r="E234" s="247" t="str">
        <f>IF(C234="","",SUMIFS(Торговля!$H$5:$H$300,Торговля!$E$5:$E$300,$B234)+SUMIFS(Закрытые!$H$5:$H$300,Закрытые!$E$5:$E$300,$B234,Закрытые!$B$5:$B$300,"T-*"))</f>
        <v/>
      </c>
      <c r="F234" s="246" t="str">
        <f>IF(SUMIFS(Торговля!$I$5:$I$300,Торговля!$E$5:$E$300,$B234)+SUMIFS(Закрытые!$I$5:$I$300,Закрытые!$E$5:$E$300,$B234,Закрытые!$B$5:$B$300,"T-*")=0,"",SUMIFS(Торговля!$I$5:$I$300,Торговля!$E$5:$E$300,$B234)+SUMIFS(Закрытые!$I$5:$I$300,Закрытые!$E$5:$E$300,$B234,Закрытые!$B$5:$B$300,"T-*"))</f>
        <v/>
      </c>
      <c r="G234" s="183" t="str">
        <f>IF(F234="","",(SUMPRODUCT((Торговля!$E$5:$E$300=$B234)*Торговля!$I$5:$I$300*Торговля!$J$5:$J$300)+SUMPRODUCT((Закрытые!$E$5:$E$300=$B234)*(LEFT(Закрытые!$B$5:$B$300,2)="T-")*Закрытые!$I$5:$I$300*Закрытые!$J$5:$J$300))/F234)</f>
        <v/>
      </c>
      <c r="H234" s="247" t="str">
        <f>IF(F234="","",SUMIFS(Торговля!$K$5:$K$300,Торговля!$E$5:$E$300,$B234)+SUMIFS(Закрытые!$K$5:$K$300,Закрытые!$E$5:$E$300,$B234,Закрытые!$B$5:$B$300,"T-*"))</f>
        <v/>
      </c>
      <c r="I234" s="246" t="str">
        <f>IF($B234="","",IF(COUNTIFS(Торговля!$E$5:$E$300,$B234)+COUNTIFS(Закрытые!$E$5:$E$300,$B234,Закрытые!$B$5:$B$300,"T-*")=0,"",ROUND(SUMIFS(Торговля!$L$5:$L$300,Торговля!$E$5:$E$300,$B234)+SUMIFS(Закрытые!$L$5:$L$300,Закрытые!$E$5:$E$300,$B234,Закрытые!$B$5:$B$300,"T-*"),8)))</f>
        <v/>
      </c>
      <c r="J234" s="247" t="str">
        <f>IF($B234="","",IF(COUNTIFS(Торговля!$E$5:$E$300,$B234)+COUNTIFS(Закрытые!$E$5:$E$300,$B234,Закрытые!$B$5:$B$300,"T-*")=0,"",ROUND(SUMIFS(Торговля!$M$5:$M$300,Торговля!$E$5:$E$300,$B234)+SUMIFS(Закрытые!$M$5:$M$300,Закрытые!$E$5:$E$300,$B234,Закрытые!$B$5:$B$300,"T-*"),8)))</f>
        <v/>
      </c>
      <c r="K234" s="246" t="str">
        <f>IF(MIN(N(C234),N(F234))&lt;=0,"",ROUND(MIN(N(C234),N(F234))*(N(G234)-N(D234)),8))</f>
        <v/>
      </c>
      <c r="L234" s="183" t="str">
        <f>IF(MIN(N(C234),N(F234))&lt;=0,"",IF(N(D234)=0,"",ROUND((N(G234)/N(D234)-1)*100,2)))</f>
        <v/>
      </c>
      <c r="M234" s="183" t="str">
        <f>IF(OR(ROUND(N(C234)-N(F234),8)=0,1-N(Ввод!$J$19)/100&lt;=0),"",IF(N(C234)&gt;N(F234),(N(E234)-N(H234))/((N(C234)-N(F234))*(1-N(Ввод!$J$19)/100)),(N(H234)-N(E234))/((N(F234)-N(C234))*(1+N(Ввод!$J$19)/100))))</f>
        <v/>
      </c>
    </row>
    <row r="235" ht="22" customHeight="1">
      <c r="B235" s="239" t="n"/>
      <c r="C235" s="240" t="str">
        <f>IF(SUMIFS(Торговля!$F$5:$F$300,Торговля!$E$5:$E$300,$B235)+SUMIFS(Закрытые!$F$5:$F$300,Закрытые!$E$5:$E$300,$B235,Закрытые!$B$5:$B$300,"T-*")=0,"",SUMIFS(Торговля!$F$5:$F$300,Торговля!$E$5:$E$300,$B235)+SUMIFS(Закрытые!$F$5:$F$300,Закрытые!$E$5:$E$300,$B235,Закрытые!$B$5:$B$300,"T-*"))</f>
        <v/>
      </c>
      <c r="D235" s="177" t="str">
        <f>IF(C235="","",(SUMPRODUCT((Торговля!$E$5:$E$300=$B235)*Торговля!$F$5:$F$300*Торговля!$G$5:$G$300)+SUMPRODUCT((Закрытые!$E$5:$E$300=$B235)*(LEFT(Закрытые!$B$5:$B$300,2)="T-")*Закрытые!$F$5:$F$300*Закрытые!$G$5:$G$300))/C235)</f>
        <v/>
      </c>
      <c r="E235" s="241" t="str">
        <f>IF(C235="","",SUMIFS(Торговля!$H$5:$H$300,Торговля!$E$5:$E$300,$B235)+SUMIFS(Закрытые!$H$5:$H$300,Закрытые!$E$5:$E$300,$B235,Закрытые!$B$5:$B$300,"T-*"))</f>
        <v/>
      </c>
      <c r="F235" s="240" t="str">
        <f>IF(SUMIFS(Торговля!$I$5:$I$300,Торговля!$E$5:$E$300,$B235)+SUMIFS(Закрытые!$I$5:$I$300,Закрытые!$E$5:$E$300,$B235,Закрытые!$B$5:$B$300,"T-*")=0,"",SUMIFS(Торговля!$I$5:$I$300,Торговля!$E$5:$E$300,$B235)+SUMIFS(Закрытые!$I$5:$I$300,Закрытые!$E$5:$E$300,$B235,Закрытые!$B$5:$B$300,"T-*"))</f>
        <v/>
      </c>
      <c r="G235" s="177" t="str">
        <f>IF(F235="","",(SUMPRODUCT((Торговля!$E$5:$E$300=$B235)*Торговля!$I$5:$I$300*Торговля!$J$5:$J$300)+SUMPRODUCT((Закрытые!$E$5:$E$300=$B235)*(LEFT(Закрытые!$B$5:$B$300,2)="T-")*Закрытые!$I$5:$I$300*Закрытые!$J$5:$J$300))/F235)</f>
        <v/>
      </c>
      <c r="H235" s="241" t="str">
        <f>IF(F235="","",SUMIFS(Торговля!$K$5:$K$300,Торговля!$E$5:$E$300,$B235)+SUMIFS(Закрытые!$K$5:$K$300,Закрытые!$E$5:$E$300,$B235,Закрытые!$B$5:$B$300,"T-*"))</f>
        <v/>
      </c>
      <c r="I235" s="240" t="str">
        <f>IF($B235="","",IF(COUNTIFS(Торговля!$E$5:$E$300,$B235)+COUNTIFS(Закрытые!$E$5:$E$300,$B235,Закрытые!$B$5:$B$300,"T-*")=0,"",ROUND(SUMIFS(Торговля!$L$5:$L$300,Торговля!$E$5:$E$300,$B235)+SUMIFS(Закрытые!$L$5:$L$300,Закрытые!$E$5:$E$300,$B235,Закрытые!$B$5:$B$300,"T-*"),8)))</f>
        <v/>
      </c>
      <c r="J235" s="241" t="str">
        <f>IF($B235="","",IF(COUNTIFS(Торговля!$E$5:$E$300,$B235)+COUNTIFS(Закрытые!$E$5:$E$300,$B235,Закрытые!$B$5:$B$300,"T-*")=0,"",ROUND(SUMIFS(Торговля!$M$5:$M$300,Торговля!$E$5:$E$300,$B235)+SUMIFS(Закрытые!$M$5:$M$300,Закрытые!$E$5:$E$300,$B235,Закрытые!$B$5:$B$300,"T-*"),8)))</f>
        <v/>
      </c>
      <c r="K235" s="240" t="str">
        <f>IF(MIN(N(C235),N(F235))&lt;=0,"",ROUND(MIN(N(C235),N(F235))*(N(G235)-N(D235)),8))</f>
        <v/>
      </c>
      <c r="L235" s="177" t="str">
        <f>IF(MIN(N(C235),N(F235))&lt;=0,"",IF(N(D235)=0,"",ROUND((N(G235)/N(D235)-1)*100,2)))</f>
        <v/>
      </c>
      <c r="M235" s="177" t="str">
        <f>IF(OR(ROUND(N(C235)-N(F235),8)=0,1-N(Ввод!$J$19)/100&lt;=0),"",IF(N(C235)&gt;N(F235),(N(E235)-N(H235))/((N(C235)-N(F235))*(1-N(Ввод!$J$19)/100)),(N(H235)-N(E235))/((N(F235)-N(C235))*(1+N(Ввод!$J$19)/100))))</f>
        <v/>
      </c>
    </row>
    <row r="236" ht="22" customHeight="1">
      <c r="B236" s="245" t="n"/>
      <c r="C236" s="246" t="str">
        <f>IF(SUMIFS(Торговля!$F$5:$F$300,Торговля!$E$5:$E$300,$B236)+SUMIFS(Закрытые!$F$5:$F$300,Закрытые!$E$5:$E$300,$B236,Закрытые!$B$5:$B$300,"T-*")=0,"",SUMIFS(Торговля!$F$5:$F$300,Торговля!$E$5:$E$300,$B236)+SUMIFS(Закрытые!$F$5:$F$300,Закрытые!$E$5:$E$300,$B236,Закрытые!$B$5:$B$300,"T-*"))</f>
        <v/>
      </c>
      <c r="D236" s="183" t="str">
        <f>IF(C236="","",(SUMPRODUCT((Торговля!$E$5:$E$300=$B236)*Торговля!$F$5:$F$300*Торговля!$G$5:$G$300)+SUMPRODUCT((Закрытые!$E$5:$E$300=$B236)*(LEFT(Закрытые!$B$5:$B$300,2)="T-")*Закрытые!$F$5:$F$300*Закрытые!$G$5:$G$300))/C236)</f>
        <v/>
      </c>
      <c r="E236" s="247" t="str">
        <f>IF(C236="","",SUMIFS(Торговля!$H$5:$H$300,Торговля!$E$5:$E$300,$B236)+SUMIFS(Закрытые!$H$5:$H$300,Закрытые!$E$5:$E$300,$B236,Закрытые!$B$5:$B$300,"T-*"))</f>
        <v/>
      </c>
      <c r="F236" s="246" t="str">
        <f>IF(SUMIFS(Торговля!$I$5:$I$300,Торговля!$E$5:$E$300,$B236)+SUMIFS(Закрытые!$I$5:$I$300,Закрытые!$E$5:$E$300,$B236,Закрытые!$B$5:$B$300,"T-*")=0,"",SUMIFS(Торговля!$I$5:$I$300,Торговля!$E$5:$E$300,$B236)+SUMIFS(Закрытые!$I$5:$I$300,Закрытые!$E$5:$E$300,$B236,Закрытые!$B$5:$B$300,"T-*"))</f>
        <v/>
      </c>
      <c r="G236" s="183" t="str">
        <f>IF(F236="","",(SUMPRODUCT((Торговля!$E$5:$E$300=$B236)*Торговля!$I$5:$I$300*Торговля!$J$5:$J$300)+SUMPRODUCT((Закрытые!$E$5:$E$300=$B236)*(LEFT(Закрытые!$B$5:$B$300,2)="T-")*Закрытые!$I$5:$I$300*Закрытые!$J$5:$J$300))/F236)</f>
        <v/>
      </c>
      <c r="H236" s="247" t="str">
        <f>IF(F236="","",SUMIFS(Торговля!$K$5:$K$300,Торговля!$E$5:$E$300,$B236)+SUMIFS(Закрытые!$K$5:$K$300,Закрытые!$E$5:$E$300,$B236,Закрытые!$B$5:$B$300,"T-*"))</f>
        <v/>
      </c>
      <c r="I236" s="246" t="str">
        <f>IF($B236="","",IF(COUNTIFS(Торговля!$E$5:$E$300,$B236)+COUNTIFS(Закрытые!$E$5:$E$300,$B236,Закрытые!$B$5:$B$300,"T-*")=0,"",ROUND(SUMIFS(Торговля!$L$5:$L$300,Торговля!$E$5:$E$300,$B236)+SUMIFS(Закрытые!$L$5:$L$300,Закрытые!$E$5:$E$300,$B236,Закрытые!$B$5:$B$300,"T-*"),8)))</f>
        <v/>
      </c>
      <c r="J236" s="247" t="str">
        <f>IF($B236="","",IF(COUNTIFS(Торговля!$E$5:$E$300,$B236)+COUNTIFS(Закрытые!$E$5:$E$300,$B236,Закрытые!$B$5:$B$300,"T-*")=0,"",ROUND(SUMIFS(Торговля!$M$5:$M$300,Торговля!$E$5:$E$300,$B236)+SUMIFS(Закрытые!$M$5:$M$300,Закрытые!$E$5:$E$300,$B236,Закрытые!$B$5:$B$300,"T-*"),8)))</f>
        <v/>
      </c>
      <c r="K236" s="246" t="str">
        <f>IF(MIN(N(C236),N(F236))&lt;=0,"",ROUND(MIN(N(C236),N(F236))*(N(G236)-N(D236)),8))</f>
        <v/>
      </c>
      <c r="L236" s="183" t="str">
        <f>IF(MIN(N(C236),N(F236))&lt;=0,"",IF(N(D236)=0,"",ROUND((N(G236)/N(D236)-1)*100,2)))</f>
        <v/>
      </c>
      <c r="M236" s="183" t="str">
        <f>IF(OR(ROUND(N(C236)-N(F236),8)=0,1-N(Ввод!$J$19)/100&lt;=0),"",IF(N(C236)&gt;N(F236),(N(E236)-N(H236))/((N(C236)-N(F236))*(1-N(Ввод!$J$19)/100)),(N(H236)-N(E236))/((N(F236)-N(C236))*(1+N(Ввод!$J$19)/100))))</f>
        <v/>
      </c>
    </row>
    <row r="237" ht="22" customHeight="1">
      <c r="B237" s="239" t="n"/>
      <c r="C237" s="240" t="str">
        <f>IF(SUMIFS(Торговля!$F$5:$F$300,Торговля!$E$5:$E$300,$B237)+SUMIFS(Закрытые!$F$5:$F$300,Закрытые!$E$5:$E$300,$B237,Закрытые!$B$5:$B$300,"T-*")=0,"",SUMIFS(Торговля!$F$5:$F$300,Торговля!$E$5:$E$300,$B237)+SUMIFS(Закрытые!$F$5:$F$300,Закрытые!$E$5:$E$300,$B237,Закрытые!$B$5:$B$300,"T-*"))</f>
        <v/>
      </c>
      <c r="D237" s="177" t="str">
        <f>IF(C237="","",(SUMPRODUCT((Торговля!$E$5:$E$300=$B237)*Торговля!$F$5:$F$300*Торговля!$G$5:$G$300)+SUMPRODUCT((Закрытые!$E$5:$E$300=$B237)*(LEFT(Закрытые!$B$5:$B$300,2)="T-")*Закрытые!$F$5:$F$300*Закрытые!$G$5:$G$300))/C237)</f>
        <v/>
      </c>
      <c r="E237" s="241" t="str">
        <f>IF(C237="","",SUMIFS(Торговля!$H$5:$H$300,Торговля!$E$5:$E$300,$B237)+SUMIFS(Закрытые!$H$5:$H$300,Закрытые!$E$5:$E$300,$B237,Закрытые!$B$5:$B$300,"T-*"))</f>
        <v/>
      </c>
      <c r="F237" s="240" t="str">
        <f>IF(SUMIFS(Торговля!$I$5:$I$300,Торговля!$E$5:$E$300,$B237)+SUMIFS(Закрытые!$I$5:$I$300,Закрытые!$E$5:$E$300,$B237,Закрытые!$B$5:$B$300,"T-*")=0,"",SUMIFS(Торговля!$I$5:$I$300,Торговля!$E$5:$E$300,$B237)+SUMIFS(Закрытые!$I$5:$I$300,Закрытые!$E$5:$E$300,$B237,Закрытые!$B$5:$B$300,"T-*"))</f>
        <v/>
      </c>
      <c r="G237" s="177" t="str">
        <f>IF(F237="","",(SUMPRODUCT((Торговля!$E$5:$E$300=$B237)*Торговля!$I$5:$I$300*Торговля!$J$5:$J$300)+SUMPRODUCT((Закрытые!$E$5:$E$300=$B237)*(LEFT(Закрытые!$B$5:$B$300,2)="T-")*Закрытые!$I$5:$I$300*Закрытые!$J$5:$J$300))/F237)</f>
        <v/>
      </c>
      <c r="H237" s="241" t="str">
        <f>IF(F237="","",SUMIFS(Торговля!$K$5:$K$300,Торговля!$E$5:$E$300,$B237)+SUMIFS(Закрытые!$K$5:$K$300,Закрытые!$E$5:$E$300,$B237,Закрытые!$B$5:$B$300,"T-*"))</f>
        <v/>
      </c>
      <c r="I237" s="240" t="str">
        <f>IF($B237="","",IF(COUNTIFS(Торговля!$E$5:$E$300,$B237)+COUNTIFS(Закрытые!$E$5:$E$300,$B237,Закрытые!$B$5:$B$300,"T-*")=0,"",ROUND(SUMIFS(Торговля!$L$5:$L$300,Торговля!$E$5:$E$300,$B237)+SUMIFS(Закрытые!$L$5:$L$300,Закрытые!$E$5:$E$300,$B237,Закрытые!$B$5:$B$300,"T-*"),8)))</f>
        <v/>
      </c>
      <c r="J237" s="241" t="str">
        <f>IF($B237="","",IF(COUNTIFS(Торговля!$E$5:$E$300,$B237)+COUNTIFS(Закрытые!$E$5:$E$300,$B237,Закрытые!$B$5:$B$300,"T-*")=0,"",ROUND(SUMIFS(Торговля!$M$5:$M$300,Торговля!$E$5:$E$300,$B237)+SUMIFS(Закрытые!$M$5:$M$300,Закрытые!$E$5:$E$300,$B237,Закрытые!$B$5:$B$300,"T-*"),8)))</f>
        <v/>
      </c>
      <c r="K237" s="240" t="str">
        <f>IF(MIN(N(C237),N(F237))&lt;=0,"",ROUND(MIN(N(C237),N(F237))*(N(G237)-N(D237)),8))</f>
        <v/>
      </c>
      <c r="L237" s="177" t="str">
        <f>IF(MIN(N(C237),N(F237))&lt;=0,"",IF(N(D237)=0,"",ROUND((N(G237)/N(D237)-1)*100,2)))</f>
        <v/>
      </c>
      <c r="M237" s="177" t="str">
        <f>IF(OR(ROUND(N(C237)-N(F237),8)=0,1-N(Ввод!$J$19)/100&lt;=0),"",IF(N(C237)&gt;N(F237),(N(E237)-N(H237))/((N(C237)-N(F237))*(1-N(Ввод!$J$19)/100)),(N(H237)-N(E237))/((N(F237)-N(C237))*(1+N(Ввод!$J$19)/100))))</f>
        <v/>
      </c>
    </row>
    <row r="238" ht="22" customHeight="1">
      <c r="B238" s="245" t="n"/>
      <c r="C238" s="246" t="str">
        <f>IF(SUMIFS(Торговля!$F$5:$F$300,Торговля!$E$5:$E$300,$B238)+SUMIFS(Закрытые!$F$5:$F$300,Закрытые!$E$5:$E$300,$B238,Закрытые!$B$5:$B$300,"T-*")=0,"",SUMIFS(Торговля!$F$5:$F$300,Торговля!$E$5:$E$300,$B238)+SUMIFS(Закрытые!$F$5:$F$300,Закрытые!$E$5:$E$300,$B238,Закрытые!$B$5:$B$300,"T-*"))</f>
        <v/>
      </c>
      <c r="D238" s="183" t="str">
        <f>IF(C238="","",(SUMPRODUCT((Торговля!$E$5:$E$300=$B238)*Торговля!$F$5:$F$300*Торговля!$G$5:$G$300)+SUMPRODUCT((Закрытые!$E$5:$E$300=$B238)*(LEFT(Закрытые!$B$5:$B$300,2)="T-")*Закрытые!$F$5:$F$300*Закрытые!$G$5:$G$300))/C238)</f>
        <v/>
      </c>
      <c r="E238" s="247" t="str">
        <f>IF(C238="","",SUMIFS(Торговля!$H$5:$H$300,Торговля!$E$5:$E$300,$B238)+SUMIFS(Закрытые!$H$5:$H$300,Закрытые!$E$5:$E$300,$B238,Закрытые!$B$5:$B$300,"T-*"))</f>
        <v/>
      </c>
      <c r="F238" s="246" t="str">
        <f>IF(SUMIFS(Торговля!$I$5:$I$300,Торговля!$E$5:$E$300,$B238)+SUMIFS(Закрытые!$I$5:$I$300,Закрытые!$E$5:$E$300,$B238,Закрытые!$B$5:$B$300,"T-*")=0,"",SUMIFS(Торговля!$I$5:$I$300,Торговля!$E$5:$E$300,$B238)+SUMIFS(Закрытые!$I$5:$I$300,Закрытые!$E$5:$E$300,$B238,Закрытые!$B$5:$B$300,"T-*"))</f>
        <v/>
      </c>
      <c r="G238" s="183" t="str">
        <f>IF(F238="","",(SUMPRODUCT((Торговля!$E$5:$E$300=$B238)*Торговля!$I$5:$I$300*Торговля!$J$5:$J$300)+SUMPRODUCT((Закрытые!$E$5:$E$300=$B238)*(LEFT(Закрытые!$B$5:$B$300,2)="T-")*Закрытые!$I$5:$I$300*Закрытые!$J$5:$J$300))/F238)</f>
        <v/>
      </c>
      <c r="H238" s="247" t="str">
        <f>IF(F238="","",SUMIFS(Торговля!$K$5:$K$300,Торговля!$E$5:$E$300,$B238)+SUMIFS(Закрытые!$K$5:$K$300,Закрытые!$E$5:$E$300,$B238,Закрытые!$B$5:$B$300,"T-*"))</f>
        <v/>
      </c>
      <c r="I238" s="246" t="str">
        <f>IF($B238="","",IF(COUNTIFS(Торговля!$E$5:$E$300,$B238)+COUNTIFS(Закрытые!$E$5:$E$300,$B238,Закрытые!$B$5:$B$300,"T-*")=0,"",ROUND(SUMIFS(Торговля!$L$5:$L$300,Торговля!$E$5:$E$300,$B238)+SUMIFS(Закрытые!$L$5:$L$300,Закрытые!$E$5:$E$300,$B238,Закрытые!$B$5:$B$300,"T-*"),8)))</f>
        <v/>
      </c>
      <c r="J238" s="247" t="str">
        <f>IF($B238="","",IF(COUNTIFS(Торговля!$E$5:$E$300,$B238)+COUNTIFS(Закрытые!$E$5:$E$300,$B238,Закрытые!$B$5:$B$300,"T-*")=0,"",ROUND(SUMIFS(Торговля!$M$5:$M$300,Торговля!$E$5:$E$300,$B238)+SUMIFS(Закрытые!$M$5:$M$300,Закрытые!$E$5:$E$300,$B238,Закрытые!$B$5:$B$300,"T-*"),8)))</f>
        <v/>
      </c>
      <c r="K238" s="246" t="str">
        <f>IF(MIN(N(C238),N(F238))&lt;=0,"",ROUND(MIN(N(C238),N(F238))*(N(G238)-N(D238)),8))</f>
        <v/>
      </c>
      <c r="L238" s="183" t="str">
        <f>IF(MIN(N(C238),N(F238))&lt;=0,"",IF(N(D238)=0,"",ROUND((N(G238)/N(D238)-1)*100,2)))</f>
        <v/>
      </c>
      <c r="M238" s="183" t="str">
        <f>IF(OR(ROUND(N(C238)-N(F238),8)=0,1-N(Ввод!$J$19)/100&lt;=0),"",IF(N(C238)&gt;N(F238),(N(E238)-N(H238))/((N(C238)-N(F238))*(1-N(Ввод!$J$19)/100)),(N(H238)-N(E238))/((N(F238)-N(C238))*(1+N(Ввод!$J$19)/100))))</f>
        <v/>
      </c>
    </row>
    <row r="239" ht="22" customHeight="1">
      <c r="B239" s="239" t="n"/>
      <c r="C239" s="240" t="str">
        <f>IF(SUMIFS(Торговля!$F$5:$F$300,Торговля!$E$5:$E$300,$B239)+SUMIFS(Закрытые!$F$5:$F$300,Закрытые!$E$5:$E$300,$B239,Закрытые!$B$5:$B$300,"T-*")=0,"",SUMIFS(Торговля!$F$5:$F$300,Торговля!$E$5:$E$300,$B239)+SUMIFS(Закрытые!$F$5:$F$300,Закрытые!$E$5:$E$300,$B239,Закрытые!$B$5:$B$300,"T-*"))</f>
        <v/>
      </c>
      <c r="D239" s="177" t="str">
        <f>IF(C239="","",(SUMPRODUCT((Торговля!$E$5:$E$300=$B239)*Торговля!$F$5:$F$300*Торговля!$G$5:$G$300)+SUMPRODUCT((Закрытые!$E$5:$E$300=$B239)*(LEFT(Закрытые!$B$5:$B$300,2)="T-")*Закрытые!$F$5:$F$300*Закрытые!$G$5:$G$300))/C239)</f>
        <v/>
      </c>
      <c r="E239" s="241" t="str">
        <f>IF(C239="","",SUMIFS(Торговля!$H$5:$H$300,Торговля!$E$5:$E$300,$B239)+SUMIFS(Закрытые!$H$5:$H$300,Закрытые!$E$5:$E$300,$B239,Закрытые!$B$5:$B$300,"T-*"))</f>
        <v/>
      </c>
      <c r="F239" s="240" t="str">
        <f>IF(SUMIFS(Торговля!$I$5:$I$300,Торговля!$E$5:$E$300,$B239)+SUMIFS(Закрытые!$I$5:$I$300,Закрытые!$E$5:$E$300,$B239,Закрытые!$B$5:$B$300,"T-*")=0,"",SUMIFS(Торговля!$I$5:$I$300,Торговля!$E$5:$E$300,$B239)+SUMIFS(Закрытые!$I$5:$I$300,Закрытые!$E$5:$E$300,$B239,Закрытые!$B$5:$B$300,"T-*"))</f>
        <v/>
      </c>
      <c r="G239" s="177" t="str">
        <f>IF(F239="","",(SUMPRODUCT((Торговля!$E$5:$E$300=$B239)*Торговля!$I$5:$I$300*Торговля!$J$5:$J$300)+SUMPRODUCT((Закрытые!$E$5:$E$300=$B239)*(LEFT(Закрытые!$B$5:$B$300,2)="T-")*Закрытые!$I$5:$I$300*Закрытые!$J$5:$J$300))/F239)</f>
        <v/>
      </c>
      <c r="H239" s="241" t="str">
        <f>IF(F239="","",SUMIFS(Торговля!$K$5:$K$300,Торговля!$E$5:$E$300,$B239)+SUMIFS(Закрытые!$K$5:$K$300,Закрытые!$E$5:$E$300,$B239,Закрытые!$B$5:$B$300,"T-*"))</f>
        <v/>
      </c>
      <c r="I239" s="240" t="str">
        <f>IF($B239="","",IF(COUNTIFS(Торговля!$E$5:$E$300,$B239)+COUNTIFS(Закрытые!$E$5:$E$300,$B239,Закрытые!$B$5:$B$300,"T-*")=0,"",ROUND(SUMIFS(Торговля!$L$5:$L$300,Торговля!$E$5:$E$300,$B239)+SUMIFS(Закрытые!$L$5:$L$300,Закрытые!$E$5:$E$300,$B239,Закрытые!$B$5:$B$300,"T-*"),8)))</f>
        <v/>
      </c>
      <c r="J239" s="241" t="str">
        <f>IF($B239="","",IF(COUNTIFS(Торговля!$E$5:$E$300,$B239)+COUNTIFS(Закрытые!$E$5:$E$300,$B239,Закрытые!$B$5:$B$300,"T-*")=0,"",ROUND(SUMIFS(Торговля!$M$5:$M$300,Торговля!$E$5:$E$300,$B239)+SUMIFS(Закрытые!$M$5:$M$300,Закрытые!$E$5:$E$300,$B239,Закрытые!$B$5:$B$300,"T-*"),8)))</f>
        <v/>
      </c>
      <c r="K239" s="240" t="str">
        <f>IF(MIN(N(C239),N(F239))&lt;=0,"",ROUND(MIN(N(C239),N(F239))*(N(G239)-N(D239)),8))</f>
        <v/>
      </c>
      <c r="L239" s="177" t="str">
        <f>IF(MIN(N(C239),N(F239))&lt;=0,"",IF(N(D239)=0,"",ROUND((N(G239)/N(D239)-1)*100,2)))</f>
        <v/>
      </c>
      <c r="M239" s="177" t="str">
        <f>IF(OR(ROUND(N(C239)-N(F239),8)=0,1-N(Ввод!$J$19)/100&lt;=0),"",IF(N(C239)&gt;N(F239),(N(E239)-N(H239))/((N(C239)-N(F239))*(1-N(Ввод!$J$19)/100)),(N(H239)-N(E239))/((N(F239)-N(C239))*(1+N(Ввод!$J$19)/100))))</f>
        <v/>
      </c>
    </row>
    <row r="240" ht="22" customHeight="1">
      <c r="B240" s="245" t="n"/>
      <c r="C240" s="246" t="str">
        <f>IF(SUMIFS(Торговля!$F$5:$F$300,Торговля!$E$5:$E$300,$B240)+SUMIFS(Закрытые!$F$5:$F$300,Закрытые!$E$5:$E$300,$B240,Закрытые!$B$5:$B$300,"T-*")=0,"",SUMIFS(Торговля!$F$5:$F$300,Торговля!$E$5:$E$300,$B240)+SUMIFS(Закрытые!$F$5:$F$300,Закрытые!$E$5:$E$300,$B240,Закрытые!$B$5:$B$300,"T-*"))</f>
        <v/>
      </c>
      <c r="D240" s="183" t="str">
        <f>IF(C240="","",(SUMPRODUCT((Торговля!$E$5:$E$300=$B240)*Торговля!$F$5:$F$300*Торговля!$G$5:$G$300)+SUMPRODUCT((Закрытые!$E$5:$E$300=$B240)*(LEFT(Закрытые!$B$5:$B$300,2)="T-")*Закрытые!$F$5:$F$300*Закрытые!$G$5:$G$300))/C240)</f>
        <v/>
      </c>
      <c r="E240" s="247" t="str">
        <f>IF(C240="","",SUMIFS(Торговля!$H$5:$H$300,Торговля!$E$5:$E$300,$B240)+SUMIFS(Закрытые!$H$5:$H$300,Закрытые!$E$5:$E$300,$B240,Закрытые!$B$5:$B$300,"T-*"))</f>
        <v/>
      </c>
      <c r="F240" s="246" t="str">
        <f>IF(SUMIFS(Торговля!$I$5:$I$300,Торговля!$E$5:$E$300,$B240)+SUMIFS(Закрытые!$I$5:$I$300,Закрытые!$E$5:$E$300,$B240,Закрытые!$B$5:$B$300,"T-*")=0,"",SUMIFS(Торговля!$I$5:$I$300,Торговля!$E$5:$E$300,$B240)+SUMIFS(Закрытые!$I$5:$I$300,Закрытые!$E$5:$E$300,$B240,Закрытые!$B$5:$B$300,"T-*"))</f>
        <v/>
      </c>
      <c r="G240" s="183" t="str">
        <f>IF(F240="","",(SUMPRODUCT((Торговля!$E$5:$E$300=$B240)*Торговля!$I$5:$I$300*Торговля!$J$5:$J$300)+SUMPRODUCT((Закрытые!$E$5:$E$300=$B240)*(LEFT(Закрытые!$B$5:$B$300,2)="T-")*Закрытые!$I$5:$I$300*Закрытые!$J$5:$J$300))/F240)</f>
        <v/>
      </c>
      <c r="H240" s="247" t="str">
        <f>IF(F240="","",SUMIFS(Торговля!$K$5:$K$300,Торговля!$E$5:$E$300,$B240)+SUMIFS(Закрытые!$K$5:$K$300,Закрытые!$E$5:$E$300,$B240,Закрытые!$B$5:$B$300,"T-*"))</f>
        <v/>
      </c>
      <c r="I240" s="246" t="str">
        <f>IF($B240="","",IF(COUNTIFS(Торговля!$E$5:$E$300,$B240)+COUNTIFS(Закрытые!$E$5:$E$300,$B240,Закрытые!$B$5:$B$300,"T-*")=0,"",ROUND(SUMIFS(Торговля!$L$5:$L$300,Торговля!$E$5:$E$300,$B240)+SUMIFS(Закрытые!$L$5:$L$300,Закрытые!$E$5:$E$300,$B240,Закрытые!$B$5:$B$300,"T-*"),8)))</f>
        <v/>
      </c>
      <c r="J240" s="247" t="str">
        <f>IF($B240="","",IF(COUNTIFS(Торговля!$E$5:$E$300,$B240)+COUNTIFS(Закрытые!$E$5:$E$300,$B240,Закрытые!$B$5:$B$300,"T-*")=0,"",ROUND(SUMIFS(Торговля!$M$5:$M$300,Торговля!$E$5:$E$300,$B240)+SUMIFS(Закрытые!$M$5:$M$300,Закрытые!$E$5:$E$300,$B240,Закрытые!$B$5:$B$300,"T-*"),8)))</f>
        <v/>
      </c>
      <c r="K240" s="246" t="str">
        <f>IF(MIN(N(C240),N(F240))&lt;=0,"",ROUND(MIN(N(C240),N(F240))*(N(G240)-N(D240)),8))</f>
        <v/>
      </c>
      <c r="L240" s="183" t="str">
        <f>IF(MIN(N(C240),N(F240))&lt;=0,"",IF(N(D240)=0,"",ROUND((N(G240)/N(D240)-1)*100,2)))</f>
        <v/>
      </c>
      <c r="M240" s="183" t="str">
        <f>IF(OR(ROUND(N(C240)-N(F240),8)=0,1-N(Ввод!$J$19)/100&lt;=0),"",IF(N(C240)&gt;N(F240),(N(E240)-N(H240))/((N(C240)-N(F240))*(1-N(Ввод!$J$19)/100)),(N(H240)-N(E240))/((N(F240)-N(C240))*(1+N(Ввод!$J$19)/100))))</f>
        <v/>
      </c>
    </row>
    <row r="241" ht="22" customHeight="1">
      <c r="B241" s="239" t="n"/>
      <c r="C241" s="240" t="str">
        <f>IF(SUMIFS(Торговля!$F$5:$F$300,Торговля!$E$5:$E$300,$B241)+SUMIFS(Закрытые!$F$5:$F$300,Закрытые!$E$5:$E$300,$B241,Закрытые!$B$5:$B$300,"T-*")=0,"",SUMIFS(Торговля!$F$5:$F$300,Торговля!$E$5:$E$300,$B241)+SUMIFS(Закрытые!$F$5:$F$300,Закрытые!$E$5:$E$300,$B241,Закрытые!$B$5:$B$300,"T-*"))</f>
        <v/>
      </c>
      <c r="D241" s="177" t="str">
        <f>IF(C241="","",(SUMPRODUCT((Торговля!$E$5:$E$300=$B241)*Торговля!$F$5:$F$300*Торговля!$G$5:$G$300)+SUMPRODUCT((Закрытые!$E$5:$E$300=$B241)*(LEFT(Закрытые!$B$5:$B$300,2)="T-")*Закрытые!$F$5:$F$300*Закрытые!$G$5:$G$300))/C241)</f>
        <v/>
      </c>
      <c r="E241" s="241" t="str">
        <f>IF(C241="","",SUMIFS(Торговля!$H$5:$H$300,Торговля!$E$5:$E$300,$B241)+SUMIFS(Закрытые!$H$5:$H$300,Закрытые!$E$5:$E$300,$B241,Закрытые!$B$5:$B$300,"T-*"))</f>
        <v/>
      </c>
      <c r="F241" s="240" t="str">
        <f>IF(SUMIFS(Торговля!$I$5:$I$300,Торговля!$E$5:$E$300,$B241)+SUMIFS(Закрытые!$I$5:$I$300,Закрытые!$E$5:$E$300,$B241,Закрытые!$B$5:$B$300,"T-*")=0,"",SUMIFS(Торговля!$I$5:$I$300,Торговля!$E$5:$E$300,$B241)+SUMIFS(Закрытые!$I$5:$I$300,Закрытые!$E$5:$E$300,$B241,Закрытые!$B$5:$B$300,"T-*"))</f>
        <v/>
      </c>
      <c r="G241" s="177" t="str">
        <f>IF(F241="","",(SUMPRODUCT((Торговля!$E$5:$E$300=$B241)*Торговля!$I$5:$I$300*Торговля!$J$5:$J$300)+SUMPRODUCT((Закрытые!$E$5:$E$300=$B241)*(LEFT(Закрытые!$B$5:$B$300,2)="T-")*Закрытые!$I$5:$I$300*Закрытые!$J$5:$J$300))/F241)</f>
        <v/>
      </c>
      <c r="H241" s="241" t="str">
        <f>IF(F241="","",SUMIFS(Торговля!$K$5:$K$300,Торговля!$E$5:$E$300,$B241)+SUMIFS(Закрытые!$K$5:$K$300,Закрытые!$E$5:$E$300,$B241,Закрытые!$B$5:$B$300,"T-*"))</f>
        <v/>
      </c>
      <c r="I241" s="240" t="str">
        <f>IF($B241="","",IF(COUNTIFS(Торговля!$E$5:$E$300,$B241)+COUNTIFS(Закрытые!$E$5:$E$300,$B241,Закрытые!$B$5:$B$300,"T-*")=0,"",ROUND(SUMIFS(Торговля!$L$5:$L$300,Торговля!$E$5:$E$300,$B241)+SUMIFS(Закрытые!$L$5:$L$300,Закрытые!$E$5:$E$300,$B241,Закрытые!$B$5:$B$300,"T-*"),8)))</f>
        <v/>
      </c>
      <c r="J241" s="241" t="str">
        <f>IF($B241="","",IF(COUNTIFS(Торговля!$E$5:$E$300,$B241)+COUNTIFS(Закрытые!$E$5:$E$300,$B241,Закрытые!$B$5:$B$300,"T-*")=0,"",ROUND(SUMIFS(Торговля!$M$5:$M$300,Торговля!$E$5:$E$300,$B241)+SUMIFS(Закрытые!$M$5:$M$300,Закрытые!$E$5:$E$300,$B241,Закрытые!$B$5:$B$300,"T-*"),8)))</f>
        <v/>
      </c>
      <c r="K241" s="240" t="str">
        <f>IF(MIN(N(C241),N(F241))&lt;=0,"",ROUND(MIN(N(C241),N(F241))*(N(G241)-N(D241)),8))</f>
        <v/>
      </c>
      <c r="L241" s="177" t="str">
        <f>IF(MIN(N(C241),N(F241))&lt;=0,"",IF(N(D241)=0,"",ROUND((N(G241)/N(D241)-1)*100,2)))</f>
        <v/>
      </c>
      <c r="M241" s="177" t="str">
        <f>IF(OR(ROUND(N(C241)-N(F241),8)=0,1-N(Ввод!$J$19)/100&lt;=0),"",IF(N(C241)&gt;N(F241),(N(E241)-N(H241))/((N(C241)-N(F241))*(1-N(Ввод!$J$19)/100)),(N(H241)-N(E241))/((N(F241)-N(C241))*(1+N(Ввод!$J$19)/100))))</f>
        <v/>
      </c>
    </row>
    <row r="242" ht="22" customHeight="1">
      <c r="B242" s="245" t="n"/>
      <c r="C242" s="246" t="str">
        <f>IF(SUMIFS(Торговля!$F$5:$F$300,Торговля!$E$5:$E$300,$B242)+SUMIFS(Закрытые!$F$5:$F$300,Закрытые!$E$5:$E$300,$B242,Закрытые!$B$5:$B$300,"T-*")=0,"",SUMIFS(Торговля!$F$5:$F$300,Торговля!$E$5:$E$300,$B242)+SUMIFS(Закрытые!$F$5:$F$300,Закрытые!$E$5:$E$300,$B242,Закрытые!$B$5:$B$300,"T-*"))</f>
        <v/>
      </c>
      <c r="D242" s="183" t="str">
        <f>IF(C242="","",(SUMPRODUCT((Торговля!$E$5:$E$300=$B242)*Торговля!$F$5:$F$300*Торговля!$G$5:$G$300)+SUMPRODUCT((Закрытые!$E$5:$E$300=$B242)*(LEFT(Закрытые!$B$5:$B$300,2)="T-")*Закрытые!$F$5:$F$300*Закрытые!$G$5:$G$300))/C242)</f>
        <v/>
      </c>
      <c r="E242" s="247" t="str">
        <f>IF(C242="","",SUMIFS(Торговля!$H$5:$H$300,Торговля!$E$5:$E$300,$B242)+SUMIFS(Закрытые!$H$5:$H$300,Закрытые!$E$5:$E$300,$B242,Закрытые!$B$5:$B$300,"T-*"))</f>
        <v/>
      </c>
      <c r="F242" s="246" t="str">
        <f>IF(SUMIFS(Торговля!$I$5:$I$300,Торговля!$E$5:$E$300,$B242)+SUMIFS(Закрытые!$I$5:$I$300,Закрытые!$E$5:$E$300,$B242,Закрытые!$B$5:$B$300,"T-*")=0,"",SUMIFS(Торговля!$I$5:$I$300,Торговля!$E$5:$E$300,$B242)+SUMIFS(Закрытые!$I$5:$I$300,Закрытые!$E$5:$E$300,$B242,Закрытые!$B$5:$B$300,"T-*"))</f>
        <v/>
      </c>
      <c r="G242" s="183" t="str">
        <f>IF(F242="","",(SUMPRODUCT((Торговля!$E$5:$E$300=$B242)*Торговля!$I$5:$I$300*Торговля!$J$5:$J$300)+SUMPRODUCT((Закрытые!$E$5:$E$300=$B242)*(LEFT(Закрытые!$B$5:$B$300,2)="T-")*Закрытые!$I$5:$I$300*Закрытые!$J$5:$J$300))/F242)</f>
        <v/>
      </c>
      <c r="H242" s="247" t="str">
        <f>IF(F242="","",SUMIFS(Торговля!$K$5:$K$300,Торговля!$E$5:$E$300,$B242)+SUMIFS(Закрытые!$K$5:$K$300,Закрытые!$E$5:$E$300,$B242,Закрытые!$B$5:$B$300,"T-*"))</f>
        <v/>
      </c>
      <c r="I242" s="246" t="str">
        <f>IF($B242="","",IF(COUNTIFS(Торговля!$E$5:$E$300,$B242)+COUNTIFS(Закрытые!$E$5:$E$300,$B242,Закрытые!$B$5:$B$300,"T-*")=0,"",ROUND(SUMIFS(Торговля!$L$5:$L$300,Торговля!$E$5:$E$300,$B242)+SUMIFS(Закрытые!$L$5:$L$300,Закрытые!$E$5:$E$300,$B242,Закрытые!$B$5:$B$300,"T-*"),8)))</f>
        <v/>
      </c>
      <c r="J242" s="247" t="str">
        <f>IF($B242="","",IF(COUNTIFS(Торговля!$E$5:$E$300,$B242)+COUNTIFS(Закрытые!$E$5:$E$300,$B242,Закрытые!$B$5:$B$300,"T-*")=0,"",ROUND(SUMIFS(Торговля!$M$5:$M$300,Торговля!$E$5:$E$300,$B242)+SUMIFS(Закрытые!$M$5:$M$300,Закрытые!$E$5:$E$300,$B242,Закрытые!$B$5:$B$300,"T-*"),8)))</f>
        <v/>
      </c>
      <c r="K242" s="246" t="str">
        <f>IF(MIN(N(C242),N(F242))&lt;=0,"",ROUND(MIN(N(C242),N(F242))*(N(G242)-N(D242)),8))</f>
        <v/>
      </c>
      <c r="L242" s="183" t="str">
        <f>IF(MIN(N(C242),N(F242))&lt;=0,"",IF(N(D242)=0,"",ROUND((N(G242)/N(D242)-1)*100,2)))</f>
        <v/>
      </c>
      <c r="M242" s="183" t="str">
        <f>IF(OR(ROUND(N(C242)-N(F242),8)=0,1-N(Ввод!$J$19)/100&lt;=0),"",IF(N(C242)&gt;N(F242),(N(E242)-N(H242))/((N(C242)-N(F242))*(1-N(Ввод!$J$19)/100)),(N(H242)-N(E242))/((N(F242)-N(C242))*(1+N(Ввод!$J$19)/100))))</f>
        <v/>
      </c>
    </row>
    <row r="243" ht="22" customHeight="1">
      <c r="B243" s="239" t="n"/>
      <c r="C243" s="240" t="str">
        <f>IF(SUMIFS(Торговля!$F$5:$F$300,Торговля!$E$5:$E$300,$B243)+SUMIFS(Закрытые!$F$5:$F$300,Закрытые!$E$5:$E$300,$B243,Закрытые!$B$5:$B$300,"T-*")=0,"",SUMIFS(Торговля!$F$5:$F$300,Торговля!$E$5:$E$300,$B243)+SUMIFS(Закрытые!$F$5:$F$300,Закрытые!$E$5:$E$300,$B243,Закрытые!$B$5:$B$300,"T-*"))</f>
        <v/>
      </c>
      <c r="D243" s="177" t="str">
        <f>IF(C243="","",(SUMPRODUCT((Торговля!$E$5:$E$300=$B243)*Торговля!$F$5:$F$300*Торговля!$G$5:$G$300)+SUMPRODUCT((Закрытые!$E$5:$E$300=$B243)*(LEFT(Закрытые!$B$5:$B$300,2)="T-")*Закрытые!$F$5:$F$300*Закрытые!$G$5:$G$300))/C243)</f>
        <v/>
      </c>
      <c r="E243" s="241" t="str">
        <f>IF(C243="","",SUMIFS(Торговля!$H$5:$H$300,Торговля!$E$5:$E$300,$B243)+SUMIFS(Закрытые!$H$5:$H$300,Закрытые!$E$5:$E$300,$B243,Закрытые!$B$5:$B$300,"T-*"))</f>
        <v/>
      </c>
      <c r="F243" s="240" t="str">
        <f>IF(SUMIFS(Торговля!$I$5:$I$300,Торговля!$E$5:$E$300,$B243)+SUMIFS(Закрытые!$I$5:$I$300,Закрытые!$E$5:$E$300,$B243,Закрытые!$B$5:$B$300,"T-*")=0,"",SUMIFS(Торговля!$I$5:$I$300,Торговля!$E$5:$E$300,$B243)+SUMIFS(Закрытые!$I$5:$I$300,Закрытые!$E$5:$E$300,$B243,Закрытые!$B$5:$B$300,"T-*"))</f>
        <v/>
      </c>
      <c r="G243" s="177" t="str">
        <f>IF(F243="","",(SUMPRODUCT((Торговля!$E$5:$E$300=$B243)*Торговля!$I$5:$I$300*Торговля!$J$5:$J$300)+SUMPRODUCT((Закрытые!$E$5:$E$300=$B243)*(LEFT(Закрытые!$B$5:$B$300,2)="T-")*Закрытые!$I$5:$I$300*Закрытые!$J$5:$J$300))/F243)</f>
        <v/>
      </c>
      <c r="H243" s="241" t="str">
        <f>IF(F243="","",SUMIFS(Торговля!$K$5:$K$300,Торговля!$E$5:$E$300,$B243)+SUMIFS(Закрытые!$K$5:$K$300,Закрытые!$E$5:$E$300,$B243,Закрытые!$B$5:$B$300,"T-*"))</f>
        <v/>
      </c>
      <c r="I243" s="240" t="str">
        <f>IF($B243="","",IF(COUNTIFS(Торговля!$E$5:$E$300,$B243)+COUNTIFS(Закрытые!$E$5:$E$300,$B243,Закрытые!$B$5:$B$300,"T-*")=0,"",ROUND(SUMIFS(Торговля!$L$5:$L$300,Торговля!$E$5:$E$300,$B243)+SUMIFS(Закрытые!$L$5:$L$300,Закрытые!$E$5:$E$300,$B243,Закрытые!$B$5:$B$300,"T-*"),8)))</f>
        <v/>
      </c>
      <c r="J243" s="241" t="str">
        <f>IF($B243="","",IF(COUNTIFS(Торговля!$E$5:$E$300,$B243)+COUNTIFS(Закрытые!$E$5:$E$300,$B243,Закрытые!$B$5:$B$300,"T-*")=0,"",ROUND(SUMIFS(Торговля!$M$5:$M$300,Торговля!$E$5:$E$300,$B243)+SUMIFS(Закрытые!$M$5:$M$300,Закрытые!$E$5:$E$300,$B243,Закрытые!$B$5:$B$300,"T-*"),8)))</f>
        <v/>
      </c>
      <c r="K243" s="240" t="str">
        <f>IF(MIN(N(C243),N(F243))&lt;=0,"",ROUND(MIN(N(C243),N(F243))*(N(G243)-N(D243)),8))</f>
        <v/>
      </c>
      <c r="L243" s="177" t="str">
        <f>IF(MIN(N(C243),N(F243))&lt;=0,"",IF(N(D243)=0,"",ROUND((N(G243)/N(D243)-1)*100,2)))</f>
        <v/>
      </c>
      <c r="M243" s="177" t="str">
        <f>IF(OR(ROUND(N(C243)-N(F243),8)=0,1-N(Ввод!$J$19)/100&lt;=0),"",IF(N(C243)&gt;N(F243),(N(E243)-N(H243))/((N(C243)-N(F243))*(1-N(Ввод!$J$19)/100)),(N(H243)-N(E243))/((N(F243)-N(C243))*(1+N(Ввод!$J$19)/100))))</f>
        <v/>
      </c>
    </row>
    <row r="244" ht="22" customHeight="1">
      <c r="B244" s="245" t="n"/>
      <c r="C244" s="246" t="str">
        <f>IF(SUMIFS(Торговля!$F$5:$F$300,Торговля!$E$5:$E$300,$B244)+SUMIFS(Закрытые!$F$5:$F$300,Закрытые!$E$5:$E$300,$B244,Закрытые!$B$5:$B$300,"T-*")=0,"",SUMIFS(Торговля!$F$5:$F$300,Торговля!$E$5:$E$300,$B244)+SUMIFS(Закрытые!$F$5:$F$300,Закрытые!$E$5:$E$300,$B244,Закрытые!$B$5:$B$300,"T-*"))</f>
        <v/>
      </c>
      <c r="D244" s="183" t="str">
        <f>IF(C244="","",(SUMPRODUCT((Торговля!$E$5:$E$300=$B244)*Торговля!$F$5:$F$300*Торговля!$G$5:$G$300)+SUMPRODUCT((Закрытые!$E$5:$E$300=$B244)*(LEFT(Закрытые!$B$5:$B$300,2)="T-")*Закрытые!$F$5:$F$300*Закрытые!$G$5:$G$300))/C244)</f>
        <v/>
      </c>
      <c r="E244" s="247" t="str">
        <f>IF(C244="","",SUMIFS(Торговля!$H$5:$H$300,Торговля!$E$5:$E$300,$B244)+SUMIFS(Закрытые!$H$5:$H$300,Закрытые!$E$5:$E$300,$B244,Закрытые!$B$5:$B$300,"T-*"))</f>
        <v/>
      </c>
      <c r="F244" s="246" t="str">
        <f>IF(SUMIFS(Торговля!$I$5:$I$300,Торговля!$E$5:$E$300,$B244)+SUMIFS(Закрытые!$I$5:$I$300,Закрытые!$E$5:$E$300,$B244,Закрытые!$B$5:$B$300,"T-*")=0,"",SUMIFS(Торговля!$I$5:$I$300,Торговля!$E$5:$E$300,$B244)+SUMIFS(Закрытые!$I$5:$I$300,Закрытые!$E$5:$E$300,$B244,Закрытые!$B$5:$B$300,"T-*"))</f>
        <v/>
      </c>
      <c r="G244" s="183" t="str">
        <f>IF(F244="","",(SUMPRODUCT((Торговля!$E$5:$E$300=$B244)*Торговля!$I$5:$I$300*Торговля!$J$5:$J$300)+SUMPRODUCT((Закрытые!$E$5:$E$300=$B244)*(LEFT(Закрытые!$B$5:$B$300,2)="T-")*Закрытые!$I$5:$I$300*Закрытые!$J$5:$J$300))/F244)</f>
        <v/>
      </c>
      <c r="H244" s="247" t="str">
        <f>IF(F244="","",SUMIFS(Торговля!$K$5:$K$300,Торговля!$E$5:$E$300,$B244)+SUMIFS(Закрытые!$K$5:$K$300,Закрытые!$E$5:$E$300,$B244,Закрытые!$B$5:$B$300,"T-*"))</f>
        <v/>
      </c>
      <c r="I244" s="246" t="str">
        <f>IF($B244="","",IF(COUNTIFS(Торговля!$E$5:$E$300,$B244)+COUNTIFS(Закрытые!$E$5:$E$300,$B244,Закрытые!$B$5:$B$300,"T-*")=0,"",ROUND(SUMIFS(Торговля!$L$5:$L$300,Торговля!$E$5:$E$300,$B244)+SUMIFS(Закрытые!$L$5:$L$300,Закрытые!$E$5:$E$300,$B244,Закрытые!$B$5:$B$300,"T-*"),8)))</f>
        <v/>
      </c>
      <c r="J244" s="247" t="str">
        <f>IF($B244="","",IF(COUNTIFS(Торговля!$E$5:$E$300,$B244)+COUNTIFS(Закрытые!$E$5:$E$300,$B244,Закрытые!$B$5:$B$300,"T-*")=0,"",ROUND(SUMIFS(Торговля!$M$5:$M$300,Торговля!$E$5:$E$300,$B244)+SUMIFS(Закрытые!$M$5:$M$300,Закрытые!$E$5:$E$300,$B244,Закрытые!$B$5:$B$300,"T-*"),8)))</f>
        <v/>
      </c>
      <c r="K244" s="246" t="str">
        <f>IF(MIN(N(C244),N(F244))&lt;=0,"",ROUND(MIN(N(C244),N(F244))*(N(G244)-N(D244)),8))</f>
        <v/>
      </c>
      <c r="L244" s="183" t="str">
        <f>IF(MIN(N(C244),N(F244))&lt;=0,"",IF(N(D244)=0,"",ROUND((N(G244)/N(D244)-1)*100,2)))</f>
        <v/>
      </c>
      <c r="M244" s="183" t="str">
        <f>IF(OR(ROUND(N(C244)-N(F244),8)=0,1-N(Ввод!$J$19)/100&lt;=0),"",IF(N(C244)&gt;N(F244),(N(E244)-N(H244))/((N(C244)-N(F244))*(1-N(Ввод!$J$19)/100)),(N(H244)-N(E244))/((N(F244)-N(C244))*(1+N(Ввод!$J$19)/100))))</f>
        <v/>
      </c>
    </row>
    <row r="245" ht="22" customHeight="1">
      <c r="B245" s="239" t="n"/>
      <c r="C245" s="240" t="str">
        <f>IF(SUMIFS(Торговля!$F$5:$F$300,Торговля!$E$5:$E$300,$B245)+SUMIFS(Закрытые!$F$5:$F$300,Закрытые!$E$5:$E$300,$B245,Закрытые!$B$5:$B$300,"T-*")=0,"",SUMIFS(Торговля!$F$5:$F$300,Торговля!$E$5:$E$300,$B245)+SUMIFS(Закрытые!$F$5:$F$300,Закрытые!$E$5:$E$300,$B245,Закрытые!$B$5:$B$300,"T-*"))</f>
        <v/>
      </c>
      <c r="D245" s="177" t="str">
        <f>IF(C245="","",(SUMPRODUCT((Торговля!$E$5:$E$300=$B245)*Торговля!$F$5:$F$300*Торговля!$G$5:$G$300)+SUMPRODUCT((Закрытые!$E$5:$E$300=$B245)*(LEFT(Закрытые!$B$5:$B$300,2)="T-")*Закрытые!$F$5:$F$300*Закрытые!$G$5:$G$300))/C245)</f>
        <v/>
      </c>
      <c r="E245" s="241" t="str">
        <f>IF(C245="","",SUMIFS(Торговля!$H$5:$H$300,Торговля!$E$5:$E$300,$B245)+SUMIFS(Закрытые!$H$5:$H$300,Закрытые!$E$5:$E$300,$B245,Закрытые!$B$5:$B$300,"T-*"))</f>
        <v/>
      </c>
      <c r="F245" s="240" t="str">
        <f>IF(SUMIFS(Торговля!$I$5:$I$300,Торговля!$E$5:$E$300,$B245)+SUMIFS(Закрытые!$I$5:$I$300,Закрытые!$E$5:$E$300,$B245,Закрытые!$B$5:$B$300,"T-*")=0,"",SUMIFS(Торговля!$I$5:$I$300,Торговля!$E$5:$E$300,$B245)+SUMIFS(Закрытые!$I$5:$I$300,Закрытые!$E$5:$E$300,$B245,Закрытые!$B$5:$B$300,"T-*"))</f>
        <v/>
      </c>
      <c r="G245" s="177" t="str">
        <f>IF(F245="","",(SUMPRODUCT((Торговля!$E$5:$E$300=$B245)*Торговля!$I$5:$I$300*Торговля!$J$5:$J$300)+SUMPRODUCT((Закрытые!$E$5:$E$300=$B245)*(LEFT(Закрытые!$B$5:$B$300,2)="T-")*Закрытые!$I$5:$I$300*Закрытые!$J$5:$J$300))/F245)</f>
        <v/>
      </c>
      <c r="H245" s="241" t="str">
        <f>IF(F245="","",SUMIFS(Торговля!$K$5:$K$300,Торговля!$E$5:$E$300,$B245)+SUMIFS(Закрытые!$K$5:$K$300,Закрытые!$E$5:$E$300,$B245,Закрытые!$B$5:$B$300,"T-*"))</f>
        <v/>
      </c>
      <c r="I245" s="240" t="str">
        <f>IF($B245="","",IF(COUNTIFS(Торговля!$E$5:$E$300,$B245)+COUNTIFS(Закрытые!$E$5:$E$300,$B245,Закрытые!$B$5:$B$300,"T-*")=0,"",ROUND(SUMIFS(Торговля!$L$5:$L$300,Торговля!$E$5:$E$300,$B245)+SUMIFS(Закрытые!$L$5:$L$300,Закрытые!$E$5:$E$300,$B245,Закрытые!$B$5:$B$300,"T-*"),8)))</f>
        <v/>
      </c>
      <c r="J245" s="241" t="str">
        <f>IF($B245="","",IF(COUNTIFS(Торговля!$E$5:$E$300,$B245)+COUNTIFS(Закрытые!$E$5:$E$300,$B245,Закрытые!$B$5:$B$300,"T-*")=0,"",ROUND(SUMIFS(Торговля!$M$5:$M$300,Торговля!$E$5:$E$300,$B245)+SUMIFS(Закрытые!$M$5:$M$300,Закрытые!$E$5:$E$300,$B245,Закрытые!$B$5:$B$300,"T-*"),8)))</f>
        <v/>
      </c>
      <c r="K245" s="240" t="str">
        <f>IF(MIN(N(C245),N(F245))&lt;=0,"",ROUND(MIN(N(C245),N(F245))*(N(G245)-N(D245)),8))</f>
        <v/>
      </c>
      <c r="L245" s="177" t="str">
        <f>IF(MIN(N(C245),N(F245))&lt;=0,"",IF(N(D245)=0,"",ROUND((N(G245)/N(D245)-1)*100,2)))</f>
        <v/>
      </c>
      <c r="M245" s="177" t="str">
        <f>IF(OR(ROUND(N(C245)-N(F245),8)=0,1-N(Ввод!$J$19)/100&lt;=0),"",IF(N(C245)&gt;N(F245),(N(E245)-N(H245))/((N(C245)-N(F245))*(1-N(Ввод!$J$19)/100)),(N(H245)-N(E245))/((N(F245)-N(C245))*(1+N(Ввод!$J$19)/100))))</f>
        <v/>
      </c>
    </row>
    <row r="246" ht="22" customHeight="1">
      <c r="B246" s="245" t="n"/>
      <c r="C246" s="246" t="str">
        <f>IF(SUMIFS(Торговля!$F$5:$F$300,Торговля!$E$5:$E$300,$B246)+SUMIFS(Закрытые!$F$5:$F$300,Закрытые!$E$5:$E$300,$B246,Закрытые!$B$5:$B$300,"T-*")=0,"",SUMIFS(Торговля!$F$5:$F$300,Торговля!$E$5:$E$300,$B246)+SUMIFS(Закрытые!$F$5:$F$300,Закрытые!$E$5:$E$300,$B246,Закрытые!$B$5:$B$300,"T-*"))</f>
        <v/>
      </c>
      <c r="D246" s="183" t="str">
        <f>IF(C246="","",(SUMPRODUCT((Торговля!$E$5:$E$300=$B246)*Торговля!$F$5:$F$300*Торговля!$G$5:$G$300)+SUMPRODUCT((Закрытые!$E$5:$E$300=$B246)*(LEFT(Закрытые!$B$5:$B$300,2)="T-")*Закрытые!$F$5:$F$300*Закрытые!$G$5:$G$300))/C246)</f>
        <v/>
      </c>
      <c r="E246" s="247" t="str">
        <f>IF(C246="","",SUMIFS(Торговля!$H$5:$H$300,Торговля!$E$5:$E$300,$B246)+SUMIFS(Закрытые!$H$5:$H$300,Закрытые!$E$5:$E$300,$B246,Закрытые!$B$5:$B$300,"T-*"))</f>
        <v/>
      </c>
      <c r="F246" s="246" t="str">
        <f>IF(SUMIFS(Торговля!$I$5:$I$300,Торговля!$E$5:$E$300,$B246)+SUMIFS(Закрытые!$I$5:$I$300,Закрытые!$E$5:$E$300,$B246,Закрытые!$B$5:$B$300,"T-*")=0,"",SUMIFS(Торговля!$I$5:$I$300,Торговля!$E$5:$E$300,$B246)+SUMIFS(Закрытые!$I$5:$I$300,Закрытые!$E$5:$E$300,$B246,Закрытые!$B$5:$B$300,"T-*"))</f>
        <v/>
      </c>
      <c r="G246" s="183" t="str">
        <f>IF(F246="","",(SUMPRODUCT((Торговля!$E$5:$E$300=$B246)*Торговля!$I$5:$I$300*Торговля!$J$5:$J$300)+SUMPRODUCT((Закрытые!$E$5:$E$300=$B246)*(LEFT(Закрытые!$B$5:$B$300,2)="T-")*Закрытые!$I$5:$I$300*Закрытые!$J$5:$J$300))/F246)</f>
        <v/>
      </c>
      <c r="H246" s="247" t="str">
        <f>IF(F246="","",SUMIFS(Торговля!$K$5:$K$300,Торговля!$E$5:$E$300,$B246)+SUMIFS(Закрытые!$K$5:$K$300,Закрытые!$E$5:$E$300,$B246,Закрытые!$B$5:$B$300,"T-*"))</f>
        <v/>
      </c>
      <c r="I246" s="246" t="str">
        <f>IF($B246="","",IF(COUNTIFS(Торговля!$E$5:$E$300,$B246)+COUNTIFS(Закрытые!$E$5:$E$300,$B246,Закрытые!$B$5:$B$300,"T-*")=0,"",ROUND(SUMIFS(Торговля!$L$5:$L$300,Торговля!$E$5:$E$300,$B246)+SUMIFS(Закрытые!$L$5:$L$300,Закрытые!$E$5:$E$300,$B246,Закрытые!$B$5:$B$300,"T-*"),8)))</f>
        <v/>
      </c>
      <c r="J246" s="247" t="str">
        <f>IF($B246="","",IF(COUNTIFS(Торговля!$E$5:$E$300,$B246)+COUNTIFS(Закрытые!$E$5:$E$300,$B246,Закрытые!$B$5:$B$300,"T-*")=0,"",ROUND(SUMIFS(Торговля!$M$5:$M$300,Торговля!$E$5:$E$300,$B246)+SUMIFS(Закрытые!$M$5:$M$300,Закрытые!$E$5:$E$300,$B246,Закрытые!$B$5:$B$300,"T-*"),8)))</f>
        <v/>
      </c>
      <c r="K246" s="246" t="str">
        <f>IF(MIN(N(C246),N(F246))&lt;=0,"",ROUND(MIN(N(C246),N(F246))*(N(G246)-N(D246)),8))</f>
        <v/>
      </c>
      <c r="L246" s="183" t="str">
        <f>IF(MIN(N(C246),N(F246))&lt;=0,"",IF(N(D246)=0,"",ROUND((N(G246)/N(D246)-1)*100,2)))</f>
        <v/>
      </c>
      <c r="M246" s="183" t="str">
        <f>IF(OR(ROUND(N(C246)-N(F246),8)=0,1-N(Ввод!$J$19)/100&lt;=0),"",IF(N(C246)&gt;N(F246),(N(E246)-N(H246))/((N(C246)-N(F246))*(1-N(Ввод!$J$19)/100)),(N(H246)-N(E246))/((N(F246)-N(C246))*(1+N(Ввод!$J$19)/100))))</f>
        <v/>
      </c>
    </row>
    <row r="247" ht="22" customHeight="1">
      <c r="B247" s="239" t="n"/>
      <c r="C247" s="240" t="str">
        <f>IF(SUMIFS(Торговля!$F$5:$F$300,Торговля!$E$5:$E$300,$B247)+SUMIFS(Закрытые!$F$5:$F$300,Закрытые!$E$5:$E$300,$B247,Закрытые!$B$5:$B$300,"T-*")=0,"",SUMIFS(Торговля!$F$5:$F$300,Торговля!$E$5:$E$300,$B247)+SUMIFS(Закрытые!$F$5:$F$300,Закрытые!$E$5:$E$300,$B247,Закрытые!$B$5:$B$300,"T-*"))</f>
        <v/>
      </c>
      <c r="D247" s="177" t="str">
        <f>IF(C247="","",(SUMPRODUCT((Торговля!$E$5:$E$300=$B247)*Торговля!$F$5:$F$300*Торговля!$G$5:$G$300)+SUMPRODUCT((Закрытые!$E$5:$E$300=$B247)*(LEFT(Закрытые!$B$5:$B$300,2)="T-")*Закрытые!$F$5:$F$300*Закрытые!$G$5:$G$300))/C247)</f>
        <v/>
      </c>
      <c r="E247" s="241" t="str">
        <f>IF(C247="","",SUMIFS(Торговля!$H$5:$H$300,Торговля!$E$5:$E$300,$B247)+SUMIFS(Закрытые!$H$5:$H$300,Закрытые!$E$5:$E$300,$B247,Закрытые!$B$5:$B$300,"T-*"))</f>
        <v/>
      </c>
      <c r="F247" s="240" t="str">
        <f>IF(SUMIFS(Торговля!$I$5:$I$300,Торговля!$E$5:$E$300,$B247)+SUMIFS(Закрытые!$I$5:$I$300,Закрытые!$E$5:$E$300,$B247,Закрытые!$B$5:$B$300,"T-*")=0,"",SUMIFS(Торговля!$I$5:$I$300,Торговля!$E$5:$E$300,$B247)+SUMIFS(Закрытые!$I$5:$I$300,Закрытые!$E$5:$E$300,$B247,Закрытые!$B$5:$B$300,"T-*"))</f>
        <v/>
      </c>
      <c r="G247" s="177" t="str">
        <f>IF(F247="","",(SUMPRODUCT((Торговля!$E$5:$E$300=$B247)*Торговля!$I$5:$I$300*Торговля!$J$5:$J$300)+SUMPRODUCT((Закрытые!$E$5:$E$300=$B247)*(LEFT(Закрытые!$B$5:$B$300,2)="T-")*Закрытые!$I$5:$I$300*Закрытые!$J$5:$J$300))/F247)</f>
        <v/>
      </c>
      <c r="H247" s="241" t="str">
        <f>IF(F247="","",SUMIFS(Торговля!$K$5:$K$300,Торговля!$E$5:$E$300,$B247)+SUMIFS(Закрытые!$K$5:$K$300,Закрытые!$E$5:$E$300,$B247,Закрытые!$B$5:$B$300,"T-*"))</f>
        <v/>
      </c>
      <c r="I247" s="240" t="str">
        <f>IF($B247="","",IF(COUNTIFS(Торговля!$E$5:$E$300,$B247)+COUNTIFS(Закрытые!$E$5:$E$300,$B247,Закрытые!$B$5:$B$300,"T-*")=0,"",ROUND(SUMIFS(Торговля!$L$5:$L$300,Торговля!$E$5:$E$300,$B247)+SUMIFS(Закрытые!$L$5:$L$300,Закрытые!$E$5:$E$300,$B247,Закрытые!$B$5:$B$300,"T-*"),8)))</f>
        <v/>
      </c>
      <c r="J247" s="241" t="str">
        <f>IF($B247="","",IF(COUNTIFS(Торговля!$E$5:$E$300,$B247)+COUNTIFS(Закрытые!$E$5:$E$300,$B247,Закрытые!$B$5:$B$300,"T-*")=0,"",ROUND(SUMIFS(Торговля!$M$5:$M$300,Торговля!$E$5:$E$300,$B247)+SUMIFS(Закрытые!$M$5:$M$300,Закрытые!$E$5:$E$300,$B247,Закрытые!$B$5:$B$300,"T-*"),8)))</f>
        <v/>
      </c>
      <c r="K247" s="240" t="str">
        <f>IF(MIN(N(C247),N(F247))&lt;=0,"",ROUND(MIN(N(C247),N(F247))*(N(G247)-N(D247)),8))</f>
        <v/>
      </c>
      <c r="L247" s="177" t="str">
        <f>IF(MIN(N(C247),N(F247))&lt;=0,"",IF(N(D247)=0,"",ROUND((N(G247)/N(D247)-1)*100,2)))</f>
        <v/>
      </c>
      <c r="M247" s="177" t="str">
        <f>IF(OR(ROUND(N(C247)-N(F247),8)=0,1-N(Ввод!$J$19)/100&lt;=0),"",IF(N(C247)&gt;N(F247),(N(E247)-N(H247))/((N(C247)-N(F247))*(1-N(Ввод!$J$19)/100)),(N(H247)-N(E247))/((N(F247)-N(C247))*(1+N(Ввод!$J$19)/100))))</f>
        <v/>
      </c>
    </row>
    <row r="248" ht="22" customHeight="1">
      <c r="B248" s="245" t="n"/>
      <c r="C248" s="246" t="str">
        <f>IF(SUMIFS(Торговля!$F$5:$F$300,Торговля!$E$5:$E$300,$B248)+SUMIFS(Закрытые!$F$5:$F$300,Закрытые!$E$5:$E$300,$B248,Закрытые!$B$5:$B$300,"T-*")=0,"",SUMIFS(Торговля!$F$5:$F$300,Торговля!$E$5:$E$300,$B248)+SUMIFS(Закрытые!$F$5:$F$300,Закрытые!$E$5:$E$300,$B248,Закрытые!$B$5:$B$300,"T-*"))</f>
        <v/>
      </c>
      <c r="D248" s="183" t="str">
        <f>IF(C248="","",(SUMPRODUCT((Торговля!$E$5:$E$300=$B248)*Торговля!$F$5:$F$300*Торговля!$G$5:$G$300)+SUMPRODUCT((Закрытые!$E$5:$E$300=$B248)*(LEFT(Закрытые!$B$5:$B$300,2)="T-")*Закрытые!$F$5:$F$300*Закрытые!$G$5:$G$300))/C248)</f>
        <v/>
      </c>
      <c r="E248" s="247" t="str">
        <f>IF(C248="","",SUMIFS(Торговля!$H$5:$H$300,Торговля!$E$5:$E$300,$B248)+SUMIFS(Закрытые!$H$5:$H$300,Закрытые!$E$5:$E$300,$B248,Закрытые!$B$5:$B$300,"T-*"))</f>
        <v/>
      </c>
      <c r="F248" s="246" t="str">
        <f>IF(SUMIFS(Торговля!$I$5:$I$300,Торговля!$E$5:$E$300,$B248)+SUMIFS(Закрытые!$I$5:$I$300,Закрытые!$E$5:$E$300,$B248,Закрытые!$B$5:$B$300,"T-*")=0,"",SUMIFS(Торговля!$I$5:$I$300,Торговля!$E$5:$E$300,$B248)+SUMIFS(Закрытые!$I$5:$I$300,Закрытые!$E$5:$E$300,$B248,Закрытые!$B$5:$B$300,"T-*"))</f>
        <v/>
      </c>
      <c r="G248" s="183" t="str">
        <f>IF(F248="","",(SUMPRODUCT((Торговля!$E$5:$E$300=$B248)*Торговля!$I$5:$I$300*Торговля!$J$5:$J$300)+SUMPRODUCT((Закрытые!$E$5:$E$300=$B248)*(LEFT(Закрытые!$B$5:$B$300,2)="T-")*Закрытые!$I$5:$I$300*Закрытые!$J$5:$J$300))/F248)</f>
        <v/>
      </c>
      <c r="H248" s="247" t="str">
        <f>IF(F248="","",SUMIFS(Торговля!$K$5:$K$300,Торговля!$E$5:$E$300,$B248)+SUMIFS(Закрытые!$K$5:$K$300,Закрытые!$E$5:$E$300,$B248,Закрытые!$B$5:$B$300,"T-*"))</f>
        <v/>
      </c>
      <c r="I248" s="246" t="str">
        <f>IF($B248="","",IF(COUNTIFS(Торговля!$E$5:$E$300,$B248)+COUNTIFS(Закрытые!$E$5:$E$300,$B248,Закрытые!$B$5:$B$300,"T-*")=0,"",ROUND(SUMIFS(Торговля!$L$5:$L$300,Торговля!$E$5:$E$300,$B248)+SUMIFS(Закрытые!$L$5:$L$300,Закрытые!$E$5:$E$300,$B248,Закрытые!$B$5:$B$300,"T-*"),8)))</f>
        <v/>
      </c>
      <c r="J248" s="247" t="str">
        <f>IF($B248="","",IF(COUNTIFS(Торговля!$E$5:$E$300,$B248)+COUNTIFS(Закрытые!$E$5:$E$300,$B248,Закрытые!$B$5:$B$300,"T-*")=0,"",ROUND(SUMIFS(Торговля!$M$5:$M$300,Торговля!$E$5:$E$300,$B248)+SUMIFS(Закрытые!$M$5:$M$300,Закрытые!$E$5:$E$300,$B248,Закрытые!$B$5:$B$300,"T-*"),8)))</f>
        <v/>
      </c>
      <c r="K248" s="246" t="str">
        <f>IF(MIN(N(C248),N(F248))&lt;=0,"",ROUND(MIN(N(C248),N(F248))*(N(G248)-N(D248)),8))</f>
        <v/>
      </c>
      <c r="L248" s="183" t="str">
        <f>IF(MIN(N(C248),N(F248))&lt;=0,"",IF(N(D248)=0,"",ROUND((N(G248)/N(D248)-1)*100,2)))</f>
        <v/>
      </c>
      <c r="M248" s="183" t="str">
        <f>IF(OR(ROUND(N(C248)-N(F248),8)=0,1-N(Ввод!$J$19)/100&lt;=0),"",IF(N(C248)&gt;N(F248),(N(E248)-N(H248))/((N(C248)-N(F248))*(1-N(Ввод!$J$19)/100)),(N(H248)-N(E248))/((N(F248)-N(C248))*(1+N(Ввод!$J$19)/100))))</f>
        <v/>
      </c>
    </row>
    <row r="249" ht="22" customHeight="1">
      <c r="B249" s="239" t="n"/>
      <c r="C249" s="240" t="str">
        <f>IF(SUMIFS(Торговля!$F$5:$F$300,Торговля!$E$5:$E$300,$B249)+SUMIFS(Закрытые!$F$5:$F$300,Закрытые!$E$5:$E$300,$B249,Закрытые!$B$5:$B$300,"T-*")=0,"",SUMIFS(Торговля!$F$5:$F$300,Торговля!$E$5:$E$300,$B249)+SUMIFS(Закрытые!$F$5:$F$300,Закрытые!$E$5:$E$300,$B249,Закрытые!$B$5:$B$300,"T-*"))</f>
        <v/>
      </c>
      <c r="D249" s="177" t="str">
        <f>IF(C249="","",(SUMPRODUCT((Торговля!$E$5:$E$300=$B249)*Торговля!$F$5:$F$300*Торговля!$G$5:$G$300)+SUMPRODUCT((Закрытые!$E$5:$E$300=$B249)*(LEFT(Закрытые!$B$5:$B$300,2)="T-")*Закрытые!$F$5:$F$300*Закрытые!$G$5:$G$300))/C249)</f>
        <v/>
      </c>
      <c r="E249" s="241" t="str">
        <f>IF(C249="","",SUMIFS(Торговля!$H$5:$H$300,Торговля!$E$5:$E$300,$B249)+SUMIFS(Закрытые!$H$5:$H$300,Закрытые!$E$5:$E$300,$B249,Закрытые!$B$5:$B$300,"T-*"))</f>
        <v/>
      </c>
      <c r="F249" s="240" t="str">
        <f>IF(SUMIFS(Торговля!$I$5:$I$300,Торговля!$E$5:$E$300,$B249)+SUMIFS(Закрытые!$I$5:$I$300,Закрытые!$E$5:$E$300,$B249,Закрытые!$B$5:$B$300,"T-*")=0,"",SUMIFS(Торговля!$I$5:$I$300,Торговля!$E$5:$E$300,$B249)+SUMIFS(Закрытые!$I$5:$I$300,Закрытые!$E$5:$E$300,$B249,Закрытые!$B$5:$B$300,"T-*"))</f>
        <v/>
      </c>
      <c r="G249" s="177" t="str">
        <f>IF(F249="","",(SUMPRODUCT((Торговля!$E$5:$E$300=$B249)*Торговля!$I$5:$I$300*Торговля!$J$5:$J$300)+SUMPRODUCT((Закрытые!$E$5:$E$300=$B249)*(LEFT(Закрытые!$B$5:$B$300,2)="T-")*Закрытые!$I$5:$I$300*Закрытые!$J$5:$J$300))/F249)</f>
        <v/>
      </c>
      <c r="H249" s="241" t="str">
        <f>IF(F249="","",SUMIFS(Торговля!$K$5:$K$300,Торговля!$E$5:$E$300,$B249)+SUMIFS(Закрытые!$K$5:$K$300,Закрытые!$E$5:$E$300,$B249,Закрытые!$B$5:$B$300,"T-*"))</f>
        <v/>
      </c>
      <c r="I249" s="240" t="str">
        <f>IF($B249="","",IF(COUNTIFS(Торговля!$E$5:$E$300,$B249)+COUNTIFS(Закрытые!$E$5:$E$300,$B249,Закрытые!$B$5:$B$300,"T-*")=0,"",ROUND(SUMIFS(Торговля!$L$5:$L$300,Торговля!$E$5:$E$300,$B249)+SUMIFS(Закрытые!$L$5:$L$300,Закрытые!$E$5:$E$300,$B249,Закрытые!$B$5:$B$300,"T-*"),8)))</f>
        <v/>
      </c>
      <c r="J249" s="241" t="str">
        <f>IF($B249="","",IF(COUNTIFS(Торговля!$E$5:$E$300,$B249)+COUNTIFS(Закрытые!$E$5:$E$300,$B249,Закрытые!$B$5:$B$300,"T-*")=0,"",ROUND(SUMIFS(Торговля!$M$5:$M$300,Торговля!$E$5:$E$300,$B249)+SUMIFS(Закрытые!$M$5:$M$300,Закрытые!$E$5:$E$300,$B249,Закрытые!$B$5:$B$300,"T-*"),8)))</f>
        <v/>
      </c>
      <c r="K249" s="240" t="str">
        <f>IF(MIN(N(C249),N(F249))&lt;=0,"",ROUND(MIN(N(C249),N(F249))*(N(G249)-N(D249)),8))</f>
        <v/>
      </c>
      <c r="L249" s="177" t="str">
        <f>IF(MIN(N(C249),N(F249))&lt;=0,"",IF(N(D249)=0,"",ROUND((N(G249)/N(D249)-1)*100,2)))</f>
        <v/>
      </c>
      <c r="M249" s="177" t="str">
        <f>IF(OR(ROUND(N(C249)-N(F249),8)=0,1-N(Ввод!$J$19)/100&lt;=0),"",IF(N(C249)&gt;N(F249),(N(E249)-N(H249))/((N(C249)-N(F249))*(1-N(Ввод!$J$19)/100)),(N(H249)-N(E249))/((N(F249)-N(C249))*(1+N(Ввод!$J$19)/100))))</f>
        <v/>
      </c>
    </row>
    <row r="250" ht="22" customHeight="1">
      <c r="B250" s="245" t="n"/>
      <c r="C250" s="246" t="str">
        <f>IF(SUMIFS(Торговля!$F$5:$F$300,Торговля!$E$5:$E$300,$B250)+SUMIFS(Закрытые!$F$5:$F$300,Закрытые!$E$5:$E$300,$B250,Закрытые!$B$5:$B$300,"T-*")=0,"",SUMIFS(Торговля!$F$5:$F$300,Торговля!$E$5:$E$300,$B250)+SUMIFS(Закрытые!$F$5:$F$300,Закрытые!$E$5:$E$300,$B250,Закрытые!$B$5:$B$300,"T-*"))</f>
        <v/>
      </c>
      <c r="D250" s="183" t="str">
        <f>IF(C250="","",(SUMPRODUCT((Торговля!$E$5:$E$300=$B250)*Торговля!$F$5:$F$300*Торговля!$G$5:$G$300)+SUMPRODUCT((Закрытые!$E$5:$E$300=$B250)*(LEFT(Закрытые!$B$5:$B$300,2)="T-")*Закрытые!$F$5:$F$300*Закрытые!$G$5:$G$300))/C250)</f>
        <v/>
      </c>
      <c r="E250" s="247" t="str">
        <f>IF(C250="","",SUMIFS(Торговля!$H$5:$H$300,Торговля!$E$5:$E$300,$B250)+SUMIFS(Закрытые!$H$5:$H$300,Закрытые!$E$5:$E$300,$B250,Закрытые!$B$5:$B$300,"T-*"))</f>
        <v/>
      </c>
      <c r="F250" s="246" t="str">
        <f>IF(SUMIFS(Торговля!$I$5:$I$300,Торговля!$E$5:$E$300,$B250)+SUMIFS(Закрытые!$I$5:$I$300,Закрытые!$E$5:$E$300,$B250,Закрытые!$B$5:$B$300,"T-*")=0,"",SUMIFS(Торговля!$I$5:$I$300,Торговля!$E$5:$E$300,$B250)+SUMIFS(Закрытые!$I$5:$I$300,Закрытые!$E$5:$E$300,$B250,Закрытые!$B$5:$B$300,"T-*"))</f>
        <v/>
      </c>
      <c r="G250" s="183" t="str">
        <f>IF(F250="","",(SUMPRODUCT((Торговля!$E$5:$E$300=$B250)*Торговля!$I$5:$I$300*Торговля!$J$5:$J$300)+SUMPRODUCT((Закрытые!$E$5:$E$300=$B250)*(LEFT(Закрытые!$B$5:$B$300,2)="T-")*Закрытые!$I$5:$I$300*Закрытые!$J$5:$J$300))/F250)</f>
        <v/>
      </c>
      <c r="H250" s="247" t="str">
        <f>IF(F250="","",SUMIFS(Торговля!$K$5:$K$300,Торговля!$E$5:$E$300,$B250)+SUMIFS(Закрытые!$K$5:$K$300,Закрытые!$E$5:$E$300,$B250,Закрытые!$B$5:$B$300,"T-*"))</f>
        <v/>
      </c>
      <c r="I250" s="246" t="str">
        <f>IF($B250="","",IF(COUNTIFS(Торговля!$E$5:$E$300,$B250)+COUNTIFS(Закрытые!$E$5:$E$300,$B250,Закрытые!$B$5:$B$300,"T-*")=0,"",ROUND(SUMIFS(Торговля!$L$5:$L$300,Торговля!$E$5:$E$300,$B250)+SUMIFS(Закрытые!$L$5:$L$300,Закрытые!$E$5:$E$300,$B250,Закрытые!$B$5:$B$300,"T-*"),8)))</f>
        <v/>
      </c>
      <c r="J250" s="247" t="str">
        <f>IF($B250="","",IF(COUNTIFS(Торговля!$E$5:$E$300,$B250)+COUNTIFS(Закрытые!$E$5:$E$300,$B250,Закрытые!$B$5:$B$300,"T-*")=0,"",ROUND(SUMIFS(Торговля!$M$5:$M$300,Торговля!$E$5:$E$300,$B250)+SUMIFS(Закрытые!$M$5:$M$300,Закрытые!$E$5:$E$300,$B250,Закрытые!$B$5:$B$300,"T-*"),8)))</f>
        <v/>
      </c>
      <c r="K250" s="246" t="str">
        <f>IF(MIN(N(C250),N(F250))&lt;=0,"",ROUND(MIN(N(C250),N(F250))*(N(G250)-N(D250)),8))</f>
        <v/>
      </c>
      <c r="L250" s="183" t="str">
        <f>IF(MIN(N(C250),N(F250))&lt;=0,"",IF(N(D250)=0,"",ROUND((N(G250)/N(D250)-1)*100,2)))</f>
        <v/>
      </c>
      <c r="M250" s="183" t="str">
        <f>IF(OR(ROUND(N(C250)-N(F250),8)=0,1-N(Ввод!$J$19)/100&lt;=0),"",IF(N(C250)&gt;N(F250),(N(E250)-N(H250))/((N(C250)-N(F250))*(1-N(Ввод!$J$19)/100)),(N(H250)-N(E250))/((N(F250)-N(C250))*(1+N(Ввод!$J$19)/100))))</f>
        <v/>
      </c>
    </row>
    <row r="251" ht="22" customHeight="1">
      <c r="B251" s="239" t="n"/>
      <c r="C251" s="240" t="str">
        <f>IF(SUMIFS(Торговля!$F$5:$F$300,Торговля!$E$5:$E$300,$B251)+SUMIFS(Закрытые!$F$5:$F$300,Закрытые!$E$5:$E$300,$B251,Закрытые!$B$5:$B$300,"T-*")=0,"",SUMIFS(Торговля!$F$5:$F$300,Торговля!$E$5:$E$300,$B251)+SUMIFS(Закрытые!$F$5:$F$300,Закрытые!$E$5:$E$300,$B251,Закрытые!$B$5:$B$300,"T-*"))</f>
        <v/>
      </c>
      <c r="D251" s="177" t="str">
        <f>IF(C251="","",(SUMPRODUCT((Торговля!$E$5:$E$300=$B251)*Торговля!$F$5:$F$300*Торговля!$G$5:$G$300)+SUMPRODUCT((Закрытые!$E$5:$E$300=$B251)*(LEFT(Закрытые!$B$5:$B$300,2)="T-")*Закрытые!$F$5:$F$300*Закрытые!$G$5:$G$300))/C251)</f>
        <v/>
      </c>
      <c r="E251" s="241" t="str">
        <f>IF(C251="","",SUMIFS(Торговля!$H$5:$H$300,Торговля!$E$5:$E$300,$B251)+SUMIFS(Закрытые!$H$5:$H$300,Закрытые!$E$5:$E$300,$B251,Закрытые!$B$5:$B$300,"T-*"))</f>
        <v/>
      </c>
      <c r="F251" s="240" t="str">
        <f>IF(SUMIFS(Торговля!$I$5:$I$300,Торговля!$E$5:$E$300,$B251)+SUMIFS(Закрытые!$I$5:$I$300,Закрытые!$E$5:$E$300,$B251,Закрытые!$B$5:$B$300,"T-*")=0,"",SUMIFS(Торговля!$I$5:$I$300,Торговля!$E$5:$E$300,$B251)+SUMIFS(Закрытые!$I$5:$I$300,Закрытые!$E$5:$E$300,$B251,Закрытые!$B$5:$B$300,"T-*"))</f>
        <v/>
      </c>
      <c r="G251" s="177" t="str">
        <f>IF(F251="","",(SUMPRODUCT((Торговля!$E$5:$E$300=$B251)*Торговля!$I$5:$I$300*Торговля!$J$5:$J$300)+SUMPRODUCT((Закрытые!$E$5:$E$300=$B251)*(LEFT(Закрытые!$B$5:$B$300,2)="T-")*Закрытые!$I$5:$I$300*Закрытые!$J$5:$J$300))/F251)</f>
        <v/>
      </c>
      <c r="H251" s="241" t="str">
        <f>IF(F251="","",SUMIFS(Торговля!$K$5:$K$300,Торговля!$E$5:$E$300,$B251)+SUMIFS(Закрытые!$K$5:$K$300,Закрытые!$E$5:$E$300,$B251,Закрытые!$B$5:$B$300,"T-*"))</f>
        <v/>
      </c>
      <c r="I251" s="240" t="str">
        <f>IF($B251="","",IF(COUNTIFS(Торговля!$E$5:$E$300,$B251)+COUNTIFS(Закрытые!$E$5:$E$300,$B251,Закрытые!$B$5:$B$300,"T-*")=0,"",ROUND(SUMIFS(Торговля!$L$5:$L$300,Торговля!$E$5:$E$300,$B251)+SUMIFS(Закрытые!$L$5:$L$300,Закрытые!$E$5:$E$300,$B251,Закрытые!$B$5:$B$300,"T-*"),8)))</f>
        <v/>
      </c>
      <c r="J251" s="241" t="str">
        <f>IF($B251="","",IF(COUNTIFS(Торговля!$E$5:$E$300,$B251)+COUNTIFS(Закрытые!$E$5:$E$300,$B251,Закрытые!$B$5:$B$300,"T-*")=0,"",ROUND(SUMIFS(Торговля!$M$5:$M$300,Торговля!$E$5:$E$300,$B251)+SUMIFS(Закрытые!$M$5:$M$300,Закрытые!$E$5:$E$300,$B251,Закрытые!$B$5:$B$300,"T-*"),8)))</f>
        <v/>
      </c>
      <c r="K251" s="240" t="str">
        <f>IF(MIN(N(C251),N(F251))&lt;=0,"",ROUND(MIN(N(C251),N(F251))*(N(G251)-N(D251)),8))</f>
        <v/>
      </c>
      <c r="L251" s="177" t="str">
        <f>IF(MIN(N(C251),N(F251))&lt;=0,"",IF(N(D251)=0,"",ROUND((N(G251)/N(D251)-1)*100,2)))</f>
        <v/>
      </c>
      <c r="M251" s="177" t="str">
        <f>IF(OR(ROUND(N(C251)-N(F251),8)=0,1-N(Ввод!$J$19)/100&lt;=0),"",IF(N(C251)&gt;N(F251),(N(E251)-N(H251))/((N(C251)-N(F251))*(1-N(Ввод!$J$19)/100)),(N(H251)-N(E251))/((N(F251)-N(C251))*(1+N(Ввод!$J$19)/100))))</f>
        <v/>
      </c>
    </row>
    <row r="252" ht="22" customHeight="1">
      <c r="B252" s="245" t="n"/>
      <c r="C252" s="246" t="str">
        <f>IF(SUMIFS(Торговля!$F$5:$F$300,Торговля!$E$5:$E$300,$B252)+SUMIFS(Закрытые!$F$5:$F$300,Закрытые!$E$5:$E$300,$B252,Закрытые!$B$5:$B$300,"T-*")=0,"",SUMIFS(Торговля!$F$5:$F$300,Торговля!$E$5:$E$300,$B252)+SUMIFS(Закрытые!$F$5:$F$300,Закрытые!$E$5:$E$300,$B252,Закрытые!$B$5:$B$300,"T-*"))</f>
        <v/>
      </c>
      <c r="D252" s="183" t="str">
        <f>IF(C252="","",(SUMPRODUCT((Торговля!$E$5:$E$300=$B252)*Торговля!$F$5:$F$300*Торговля!$G$5:$G$300)+SUMPRODUCT((Закрытые!$E$5:$E$300=$B252)*(LEFT(Закрытые!$B$5:$B$300,2)="T-")*Закрытые!$F$5:$F$300*Закрытые!$G$5:$G$300))/C252)</f>
        <v/>
      </c>
      <c r="E252" s="247" t="str">
        <f>IF(C252="","",SUMIFS(Торговля!$H$5:$H$300,Торговля!$E$5:$E$300,$B252)+SUMIFS(Закрытые!$H$5:$H$300,Закрытые!$E$5:$E$300,$B252,Закрытые!$B$5:$B$300,"T-*"))</f>
        <v/>
      </c>
      <c r="F252" s="246" t="str">
        <f>IF(SUMIFS(Торговля!$I$5:$I$300,Торговля!$E$5:$E$300,$B252)+SUMIFS(Закрытые!$I$5:$I$300,Закрытые!$E$5:$E$300,$B252,Закрытые!$B$5:$B$300,"T-*")=0,"",SUMIFS(Торговля!$I$5:$I$300,Торговля!$E$5:$E$300,$B252)+SUMIFS(Закрытые!$I$5:$I$300,Закрытые!$E$5:$E$300,$B252,Закрытые!$B$5:$B$300,"T-*"))</f>
        <v/>
      </c>
      <c r="G252" s="183" t="str">
        <f>IF(F252="","",(SUMPRODUCT((Торговля!$E$5:$E$300=$B252)*Торговля!$I$5:$I$300*Торговля!$J$5:$J$300)+SUMPRODUCT((Закрытые!$E$5:$E$300=$B252)*(LEFT(Закрытые!$B$5:$B$300,2)="T-")*Закрытые!$I$5:$I$300*Закрытые!$J$5:$J$300))/F252)</f>
        <v/>
      </c>
      <c r="H252" s="247" t="str">
        <f>IF(F252="","",SUMIFS(Торговля!$K$5:$K$300,Торговля!$E$5:$E$300,$B252)+SUMIFS(Закрытые!$K$5:$K$300,Закрытые!$E$5:$E$300,$B252,Закрытые!$B$5:$B$300,"T-*"))</f>
        <v/>
      </c>
      <c r="I252" s="246" t="str">
        <f>IF($B252="","",IF(COUNTIFS(Торговля!$E$5:$E$300,$B252)+COUNTIFS(Закрытые!$E$5:$E$300,$B252,Закрытые!$B$5:$B$300,"T-*")=0,"",ROUND(SUMIFS(Торговля!$L$5:$L$300,Торговля!$E$5:$E$300,$B252)+SUMIFS(Закрытые!$L$5:$L$300,Закрытые!$E$5:$E$300,$B252,Закрытые!$B$5:$B$300,"T-*"),8)))</f>
        <v/>
      </c>
      <c r="J252" s="247" t="str">
        <f>IF($B252="","",IF(COUNTIFS(Торговля!$E$5:$E$300,$B252)+COUNTIFS(Закрытые!$E$5:$E$300,$B252,Закрытые!$B$5:$B$300,"T-*")=0,"",ROUND(SUMIFS(Торговля!$M$5:$M$300,Торговля!$E$5:$E$300,$B252)+SUMIFS(Закрытые!$M$5:$M$300,Закрытые!$E$5:$E$300,$B252,Закрытые!$B$5:$B$300,"T-*"),8)))</f>
        <v/>
      </c>
      <c r="K252" s="246" t="str">
        <f>IF(MIN(N(C252),N(F252))&lt;=0,"",ROUND(MIN(N(C252),N(F252))*(N(G252)-N(D252)),8))</f>
        <v/>
      </c>
      <c r="L252" s="183" t="str">
        <f>IF(MIN(N(C252),N(F252))&lt;=0,"",IF(N(D252)=0,"",ROUND((N(G252)/N(D252)-1)*100,2)))</f>
        <v/>
      </c>
      <c r="M252" s="183" t="str">
        <f>IF(OR(ROUND(N(C252)-N(F252),8)=0,1-N(Ввод!$J$19)/100&lt;=0),"",IF(N(C252)&gt;N(F252),(N(E252)-N(H252))/((N(C252)-N(F252))*(1-N(Ввод!$J$19)/100)),(N(H252)-N(E252))/((N(F252)-N(C252))*(1+N(Ввод!$J$19)/100))))</f>
        <v/>
      </c>
    </row>
    <row r="253" ht="22" customHeight="1">
      <c r="B253" s="239" t="n"/>
      <c r="C253" s="240" t="str">
        <f>IF(SUMIFS(Торговля!$F$5:$F$300,Торговля!$E$5:$E$300,$B253)+SUMIFS(Закрытые!$F$5:$F$300,Закрытые!$E$5:$E$300,$B253,Закрытые!$B$5:$B$300,"T-*")=0,"",SUMIFS(Торговля!$F$5:$F$300,Торговля!$E$5:$E$300,$B253)+SUMIFS(Закрытые!$F$5:$F$300,Закрытые!$E$5:$E$300,$B253,Закрытые!$B$5:$B$300,"T-*"))</f>
        <v/>
      </c>
      <c r="D253" s="177" t="str">
        <f>IF(C253="","",(SUMPRODUCT((Торговля!$E$5:$E$300=$B253)*Торговля!$F$5:$F$300*Торговля!$G$5:$G$300)+SUMPRODUCT((Закрытые!$E$5:$E$300=$B253)*(LEFT(Закрытые!$B$5:$B$300,2)="T-")*Закрытые!$F$5:$F$300*Закрытые!$G$5:$G$300))/C253)</f>
        <v/>
      </c>
      <c r="E253" s="241" t="str">
        <f>IF(C253="","",SUMIFS(Торговля!$H$5:$H$300,Торговля!$E$5:$E$300,$B253)+SUMIFS(Закрытые!$H$5:$H$300,Закрытые!$E$5:$E$300,$B253,Закрытые!$B$5:$B$300,"T-*"))</f>
        <v/>
      </c>
      <c r="F253" s="240" t="str">
        <f>IF(SUMIFS(Торговля!$I$5:$I$300,Торговля!$E$5:$E$300,$B253)+SUMIFS(Закрытые!$I$5:$I$300,Закрытые!$E$5:$E$300,$B253,Закрытые!$B$5:$B$300,"T-*")=0,"",SUMIFS(Торговля!$I$5:$I$300,Торговля!$E$5:$E$300,$B253)+SUMIFS(Закрытые!$I$5:$I$300,Закрытые!$E$5:$E$300,$B253,Закрытые!$B$5:$B$300,"T-*"))</f>
        <v/>
      </c>
      <c r="G253" s="177" t="str">
        <f>IF(F253="","",(SUMPRODUCT((Торговля!$E$5:$E$300=$B253)*Торговля!$I$5:$I$300*Торговля!$J$5:$J$300)+SUMPRODUCT((Закрытые!$E$5:$E$300=$B253)*(LEFT(Закрытые!$B$5:$B$300,2)="T-")*Закрытые!$I$5:$I$300*Закрытые!$J$5:$J$300))/F253)</f>
        <v/>
      </c>
      <c r="H253" s="241" t="str">
        <f>IF(F253="","",SUMIFS(Торговля!$K$5:$K$300,Торговля!$E$5:$E$300,$B253)+SUMIFS(Закрытые!$K$5:$K$300,Закрытые!$E$5:$E$300,$B253,Закрытые!$B$5:$B$300,"T-*"))</f>
        <v/>
      </c>
      <c r="I253" s="240" t="str">
        <f>IF($B253="","",IF(COUNTIFS(Торговля!$E$5:$E$300,$B253)+COUNTIFS(Закрытые!$E$5:$E$300,$B253,Закрытые!$B$5:$B$300,"T-*")=0,"",ROUND(SUMIFS(Торговля!$L$5:$L$300,Торговля!$E$5:$E$300,$B253)+SUMIFS(Закрытые!$L$5:$L$300,Закрытые!$E$5:$E$300,$B253,Закрытые!$B$5:$B$300,"T-*"),8)))</f>
        <v/>
      </c>
      <c r="J253" s="241" t="str">
        <f>IF($B253="","",IF(COUNTIFS(Торговля!$E$5:$E$300,$B253)+COUNTIFS(Закрытые!$E$5:$E$300,$B253,Закрытые!$B$5:$B$300,"T-*")=0,"",ROUND(SUMIFS(Торговля!$M$5:$M$300,Торговля!$E$5:$E$300,$B253)+SUMIFS(Закрытые!$M$5:$M$300,Закрытые!$E$5:$E$300,$B253,Закрытые!$B$5:$B$300,"T-*"),8)))</f>
        <v/>
      </c>
      <c r="K253" s="240" t="str">
        <f>IF(MIN(N(C253),N(F253))&lt;=0,"",ROUND(MIN(N(C253),N(F253))*(N(G253)-N(D253)),8))</f>
        <v/>
      </c>
      <c r="L253" s="177" t="str">
        <f>IF(MIN(N(C253),N(F253))&lt;=0,"",IF(N(D253)=0,"",ROUND((N(G253)/N(D253)-1)*100,2)))</f>
        <v/>
      </c>
      <c r="M253" s="177" t="str">
        <f>IF(OR(ROUND(N(C253)-N(F253),8)=0,1-N(Ввод!$J$19)/100&lt;=0),"",IF(N(C253)&gt;N(F253),(N(E253)-N(H253))/((N(C253)-N(F253))*(1-N(Ввод!$J$19)/100)),(N(H253)-N(E253))/((N(F253)-N(C253))*(1+N(Ввод!$J$19)/100))))</f>
        <v/>
      </c>
    </row>
    <row r="254" ht="22" customHeight="1">
      <c r="B254" s="245" t="n"/>
      <c r="C254" s="246" t="str">
        <f>IF(SUMIFS(Торговля!$F$5:$F$300,Торговля!$E$5:$E$300,$B254)+SUMIFS(Закрытые!$F$5:$F$300,Закрытые!$E$5:$E$300,$B254,Закрытые!$B$5:$B$300,"T-*")=0,"",SUMIFS(Торговля!$F$5:$F$300,Торговля!$E$5:$E$300,$B254)+SUMIFS(Закрытые!$F$5:$F$300,Закрытые!$E$5:$E$300,$B254,Закрытые!$B$5:$B$300,"T-*"))</f>
        <v/>
      </c>
      <c r="D254" s="183" t="str">
        <f>IF(C254="","",(SUMPRODUCT((Торговля!$E$5:$E$300=$B254)*Торговля!$F$5:$F$300*Торговля!$G$5:$G$300)+SUMPRODUCT((Закрытые!$E$5:$E$300=$B254)*(LEFT(Закрытые!$B$5:$B$300,2)="T-")*Закрытые!$F$5:$F$300*Закрытые!$G$5:$G$300))/C254)</f>
        <v/>
      </c>
      <c r="E254" s="247" t="str">
        <f>IF(C254="","",SUMIFS(Торговля!$H$5:$H$300,Торговля!$E$5:$E$300,$B254)+SUMIFS(Закрытые!$H$5:$H$300,Закрытые!$E$5:$E$300,$B254,Закрытые!$B$5:$B$300,"T-*"))</f>
        <v/>
      </c>
      <c r="F254" s="246" t="str">
        <f>IF(SUMIFS(Торговля!$I$5:$I$300,Торговля!$E$5:$E$300,$B254)+SUMIFS(Закрытые!$I$5:$I$300,Закрытые!$E$5:$E$300,$B254,Закрытые!$B$5:$B$300,"T-*")=0,"",SUMIFS(Торговля!$I$5:$I$300,Торговля!$E$5:$E$300,$B254)+SUMIFS(Закрытые!$I$5:$I$300,Закрытые!$E$5:$E$300,$B254,Закрытые!$B$5:$B$300,"T-*"))</f>
        <v/>
      </c>
      <c r="G254" s="183" t="str">
        <f>IF(F254="","",(SUMPRODUCT((Торговля!$E$5:$E$300=$B254)*Торговля!$I$5:$I$300*Торговля!$J$5:$J$300)+SUMPRODUCT((Закрытые!$E$5:$E$300=$B254)*(LEFT(Закрытые!$B$5:$B$300,2)="T-")*Закрытые!$I$5:$I$300*Закрытые!$J$5:$J$300))/F254)</f>
        <v/>
      </c>
      <c r="H254" s="247" t="str">
        <f>IF(F254="","",SUMIFS(Торговля!$K$5:$K$300,Торговля!$E$5:$E$300,$B254)+SUMIFS(Закрытые!$K$5:$K$300,Закрытые!$E$5:$E$300,$B254,Закрытые!$B$5:$B$300,"T-*"))</f>
        <v/>
      </c>
      <c r="I254" s="246" t="str">
        <f>IF($B254="","",IF(COUNTIFS(Торговля!$E$5:$E$300,$B254)+COUNTIFS(Закрытые!$E$5:$E$300,$B254,Закрытые!$B$5:$B$300,"T-*")=0,"",ROUND(SUMIFS(Торговля!$L$5:$L$300,Торговля!$E$5:$E$300,$B254)+SUMIFS(Закрытые!$L$5:$L$300,Закрытые!$E$5:$E$300,$B254,Закрытые!$B$5:$B$300,"T-*"),8)))</f>
        <v/>
      </c>
      <c r="J254" s="247" t="str">
        <f>IF($B254="","",IF(COUNTIFS(Торговля!$E$5:$E$300,$B254)+COUNTIFS(Закрытые!$E$5:$E$300,$B254,Закрытые!$B$5:$B$300,"T-*")=0,"",ROUND(SUMIFS(Торговля!$M$5:$M$300,Торговля!$E$5:$E$300,$B254)+SUMIFS(Закрытые!$M$5:$M$300,Закрытые!$E$5:$E$300,$B254,Закрытые!$B$5:$B$300,"T-*"),8)))</f>
        <v/>
      </c>
      <c r="K254" s="246" t="str">
        <f>IF(MIN(N(C254),N(F254))&lt;=0,"",ROUND(MIN(N(C254),N(F254))*(N(G254)-N(D254)),8))</f>
        <v/>
      </c>
      <c r="L254" s="183" t="str">
        <f>IF(MIN(N(C254),N(F254))&lt;=0,"",IF(N(D254)=0,"",ROUND((N(G254)/N(D254)-1)*100,2)))</f>
        <v/>
      </c>
      <c r="M254" s="183" t="str">
        <f>IF(OR(ROUND(N(C254)-N(F254),8)=0,1-N(Ввод!$J$19)/100&lt;=0),"",IF(N(C254)&gt;N(F254),(N(E254)-N(H254))/((N(C254)-N(F254))*(1-N(Ввод!$J$19)/100)),(N(H254)-N(E254))/((N(F254)-N(C254))*(1+N(Ввод!$J$19)/100))))</f>
        <v/>
      </c>
    </row>
    <row r="255" ht="22" customHeight="1">
      <c r="B255" s="239" t="n"/>
      <c r="C255" s="240" t="str">
        <f>IF(SUMIFS(Торговля!$F$5:$F$300,Торговля!$E$5:$E$300,$B255)+SUMIFS(Закрытые!$F$5:$F$300,Закрытые!$E$5:$E$300,$B255,Закрытые!$B$5:$B$300,"T-*")=0,"",SUMIFS(Торговля!$F$5:$F$300,Торговля!$E$5:$E$300,$B255)+SUMIFS(Закрытые!$F$5:$F$300,Закрытые!$E$5:$E$300,$B255,Закрытые!$B$5:$B$300,"T-*"))</f>
        <v/>
      </c>
      <c r="D255" s="177" t="str">
        <f>IF(C255="","",(SUMPRODUCT((Торговля!$E$5:$E$300=$B255)*Торговля!$F$5:$F$300*Торговля!$G$5:$G$300)+SUMPRODUCT((Закрытые!$E$5:$E$300=$B255)*(LEFT(Закрытые!$B$5:$B$300,2)="T-")*Закрытые!$F$5:$F$300*Закрытые!$G$5:$G$300))/C255)</f>
        <v/>
      </c>
      <c r="E255" s="241" t="str">
        <f>IF(C255="","",SUMIFS(Торговля!$H$5:$H$300,Торговля!$E$5:$E$300,$B255)+SUMIFS(Закрытые!$H$5:$H$300,Закрытые!$E$5:$E$300,$B255,Закрытые!$B$5:$B$300,"T-*"))</f>
        <v/>
      </c>
      <c r="F255" s="240" t="str">
        <f>IF(SUMIFS(Торговля!$I$5:$I$300,Торговля!$E$5:$E$300,$B255)+SUMIFS(Закрытые!$I$5:$I$300,Закрытые!$E$5:$E$300,$B255,Закрытые!$B$5:$B$300,"T-*")=0,"",SUMIFS(Торговля!$I$5:$I$300,Торговля!$E$5:$E$300,$B255)+SUMIFS(Закрытые!$I$5:$I$300,Закрытые!$E$5:$E$300,$B255,Закрытые!$B$5:$B$300,"T-*"))</f>
        <v/>
      </c>
      <c r="G255" s="177" t="str">
        <f>IF(F255="","",(SUMPRODUCT((Торговля!$E$5:$E$300=$B255)*Торговля!$I$5:$I$300*Торговля!$J$5:$J$300)+SUMPRODUCT((Закрытые!$E$5:$E$300=$B255)*(LEFT(Закрытые!$B$5:$B$300,2)="T-")*Закрытые!$I$5:$I$300*Закрытые!$J$5:$J$300))/F255)</f>
        <v/>
      </c>
      <c r="H255" s="241" t="str">
        <f>IF(F255="","",SUMIFS(Торговля!$K$5:$K$300,Торговля!$E$5:$E$300,$B255)+SUMIFS(Закрытые!$K$5:$K$300,Закрытые!$E$5:$E$300,$B255,Закрытые!$B$5:$B$300,"T-*"))</f>
        <v/>
      </c>
      <c r="I255" s="240" t="str">
        <f>IF($B255="","",IF(COUNTIFS(Торговля!$E$5:$E$300,$B255)+COUNTIFS(Закрытые!$E$5:$E$300,$B255,Закрытые!$B$5:$B$300,"T-*")=0,"",ROUND(SUMIFS(Торговля!$L$5:$L$300,Торговля!$E$5:$E$300,$B255)+SUMIFS(Закрытые!$L$5:$L$300,Закрытые!$E$5:$E$300,$B255,Закрытые!$B$5:$B$300,"T-*"),8)))</f>
        <v/>
      </c>
      <c r="J255" s="241" t="str">
        <f>IF($B255="","",IF(COUNTIFS(Торговля!$E$5:$E$300,$B255)+COUNTIFS(Закрытые!$E$5:$E$300,$B255,Закрытые!$B$5:$B$300,"T-*")=0,"",ROUND(SUMIFS(Торговля!$M$5:$M$300,Торговля!$E$5:$E$300,$B255)+SUMIFS(Закрытые!$M$5:$M$300,Закрытые!$E$5:$E$300,$B255,Закрытые!$B$5:$B$300,"T-*"),8)))</f>
        <v/>
      </c>
      <c r="K255" s="240" t="str">
        <f>IF(MIN(N(C255),N(F255))&lt;=0,"",ROUND(MIN(N(C255),N(F255))*(N(G255)-N(D255)),8))</f>
        <v/>
      </c>
      <c r="L255" s="177" t="str">
        <f>IF(MIN(N(C255),N(F255))&lt;=0,"",IF(N(D255)=0,"",ROUND((N(G255)/N(D255)-1)*100,2)))</f>
        <v/>
      </c>
      <c r="M255" s="177" t="str">
        <f>IF(OR(ROUND(N(C255)-N(F255),8)=0,1-N(Ввод!$J$19)/100&lt;=0),"",IF(N(C255)&gt;N(F255),(N(E255)-N(H255))/((N(C255)-N(F255))*(1-N(Ввод!$J$19)/100)),(N(H255)-N(E255))/((N(F255)-N(C255))*(1+N(Ввод!$J$19)/100))))</f>
        <v/>
      </c>
    </row>
    <row r="256" ht="22" customHeight="1">
      <c r="B256" s="245" t="n"/>
      <c r="C256" s="246" t="str">
        <f>IF(SUMIFS(Торговля!$F$5:$F$300,Торговля!$E$5:$E$300,$B256)+SUMIFS(Закрытые!$F$5:$F$300,Закрытые!$E$5:$E$300,$B256,Закрытые!$B$5:$B$300,"T-*")=0,"",SUMIFS(Торговля!$F$5:$F$300,Торговля!$E$5:$E$300,$B256)+SUMIFS(Закрытые!$F$5:$F$300,Закрытые!$E$5:$E$300,$B256,Закрытые!$B$5:$B$300,"T-*"))</f>
        <v/>
      </c>
      <c r="D256" s="183" t="str">
        <f>IF(C256="","",(SUMPRODUCT((Торговля!$E$5:$E$300=$B256)*Торговля!$F$5:$F$300*Торговля!$G$5:$G$300)+SUMPRODUCT((Закрытые!$E$5:$E$300=$B256)*(LEFT(Закрытые!$B$5:$B$300,2)="T-")*Закрытые!$F$5:$F$300*Закрытые!$G$5:$G$300))/C256)</f>
        <v/>
      </c>
      <c r="E256" s="247" t="str">
        <f>IF(C256="","",SUMIFS(Торговля!$H$5:$H$300,Торговля!$E$5:$E$300,$B256)+SUMIFS(Закрытые!$H$5:$H$300,Закрытые!$E$5:$E$300,$B256,Закрытые!$B$5:$B$300,"T-*"))</f>
        <v/>
      </c>
      <c r="F256" s="246" t="str">
        <f>IF(SUMIFS(Торговля!$I$5:$I$300,Торговля!$E$5:$E$300,$B256)+SUMIFS(Закрытые!$I$5:$I$300,Закрытые!$E$5:$E$300,$B256,Закрытые!$B$5:$B$300,"T-*")=0,"",SUMIFS(Торговля!$I$5:$I$300,Торговля!$E$5:$E$300,$B256)+SUMIFS(Закрытые!$I$5:$I$300,Закрытые!$E$5:$E$300,$B256,Закрытые!$B$5:$B$300,"T-*"))</f>
        <v/>
      </c>
      <c r="G256" s="183" t="str">
        <f>IF(F256="","",(SUMPRODUCT((Торговля!$E$5:$E$300=$B256)*Торговля!$I$5:$I$300*Торговля!$J$5:$J$300)+SUMPRODUCT((Закрытые!$E$5:$E$300=$B256)*(LEFT(Закрытые!$B$5:$B$300,2)="T-")*Закрытые!$I$5:$I$300*Закрытые!$J$5:$J$300))/F256)</f>
        <v/>
      </c>
      <c r="H256" s="247" t="str">
        <f>IF(F256="","",SUMIFS(Торговля!$K$5:$K$300,Торговля!$E$5:$E$300,$B256)+SUMIFS(Закрытые!$K$5:$K$300,Закрытые!$E$5:$E$300,$B256,Закрытые!$B$5:$B$300,"T-*"))</f>
        <v/>
      </c>
      <c r="I256" s="246" t="str">
        <f>IF($B256="","",IF(COUNTIFS(Торговля!$E$5:$E$300,$B256)+COUNTIFS(Закрытые!$E$5:$E$300,$B256,Закрытые!$B$5:$B$300,"T-*")=0,"",ROUND(SUMIFS(Торговля!$L$5:$L$300,Торговля!$E$5:$E$300,$B256)+SUMIFS(Закрытые!$L$5:$L$300,Закрытые!$E$5:$E$300,$B256,Закрытые!$B$5:$B$300,"T-*"),8)))</f>
        <v/>
      </c>
      <c r="J256" s="247" t="str">
        <f>IF($B256="","",IF(COUNTIFS(Торговля!$E$5:$E$300,$B256)+COUNTIFS(Закрытые!$E$5:$E$300,$B256,Закрытые!$B$5:$B$300,"T-*")=0,"",ROUND(SUMIFS(Торговля!$M$5:$M$300,Торговля!$E$5:$E$300,$B256)+SUMIFS(Закрытые!$M$5:$M$300,Закрытые!$E$5:$E$300,$B256,Закрытые!$B$5:$B$300,"T-*"),8)))</f>
        <v/>
      </c>
      <c r="K256" s="246" t="str">
        <f>IF(MIN(N(C256),N(F256))&lt;=0,"",ROUND(MIN(N(C256),N(F256))*(N(G256)-N(D256)),8))</f>
        <v/>
      </c>
      <c r="L256" s="183" t="str">
        <f>IF(MIN(N(C256),N(F256))&lt;=0,"",IF(N(D256)=0,"",ROUND((N(G256)/N(D256)-1)*100,2)))</f>
        <v/>
      </c>
      <c r="M256" s="183" t="str">
        <f>IF(OR(ROUND(N(C256)-N(F256),8)=0,1-N(Ввод!$J$19)/100&lt;=0),"",IF(N(C256)&gt;N(F256),(N(E256)-N(H256))/((N(C256)-N(F256))*(1-N(Ввод!$J$19)/100)),(N(H256)-N(E256))/((N(F256)-N(C256))*(1+N(Ввод!$J$19)/100))))</f>
        <v/>
      </c>
    </row>
    <row r="257" ht="22" customHeight="1">
      <c r="B257" s="239" t="n"/>
      <c r="C257" s="240" t="str">
        <f>IF(SUMIFS(Торговля!$F$5:$F$300,Торговля!$E$5:$E$300,$B257)+SUMIFS(Закрытые!$F$5:$F$300,Закрытые!$E$5:$E$300,$B257,Закрытые!$B$5:$B$300,"T-*")=0,"",SUMIFS(Торговля!$F$5:$F$300,Торговля!$E$5:$E$300,$B257)+SUMIFS(Закрытые!$F$5:$F$300,Закрытые!$E$5:$E$300,$B257,Закрытые!$B$5:$B$300,"T-*"))</f>
        <v/>
      </c>
      <c r="D257" s="177" t="str">
        <f>IF(C257="","",(SUMPRODUCT((Торговля!$E$5:$E$300=$B257)*Торговля!$F$5:$F$300*Торговля!$G$5:$G$300)+SUMPRODUCT((Закрытые!$E$5:$E$300=$B257)*(LEFT(Закрытые!$B$5:$B$300,2)="T-")*Закрытые!$F$5:$F$300*Закрытые!$G$5:$G$300))/C257)</f>
        <v/>
      </c>
      <c r="E257" s="241" t="str">
        <f>IF(C257="","",SUMIFS(Торговля!$H$5:$H$300,Торговля!$E$5:$E$300,$B257)+SUMIFS(Закрытые!$H$5:$H$300,Закрытые!$E$5:$E$300,$B257,Закрытые!$B$5:$B$300,"T-*"))</f>
        <v/>
      </c>
      <c r="F257" s="240" t="str">
        <f>IF(SUMIFS(Торговля!$I$5:$I$300,Торговля!$E$5:$E$300,$B257)+SUMIFS(Закрытые!$I$5:$I$300,Закрытые!$E$5:$E$300,$B257,Закрытые!$B$5:$B$300,"T-*")=0,"",SUMIFS(Торговля!$I$5:$I$300,Торговля!$E$5:$E$300,$B257)+SUMIFS(Закрытые!$I$5:$I$300,Закрытые!$E$5:$E$300,$B257,Закрытые!$B$5:$B$300,"T-*"))</f>
        <v/>
      </c>
      <c r="G257" s="177" t="str">
        <f>IF(F257="","",(SUMPRODUCT((Торговля!$E$5:$E$300=$B257)*Торговля!$I$5:$I$300*Торговля!$J$5:$J$300)+SUMPRODUCT((Закрытые!$E$5:$E$300=$B257)*(LEFT(Закрытые!$B$5:$B$300,2)="T-")*Закрытые!$I$5:$I$300*Закрытые!$J$5:$J$300))/F257)</f>
        <v/>
      </c>
      <c r="H257" s="241" t="str">
        <f>IF(F257="","",SUMIFS(Торговля!$K$5:$K$300,Торговля!$E$5:$E$300,$B257)+SUMIFS(Закрытые!$K$5:$K$300,Закрытые!$E$5:$E$300,$B257,Закрытые!$B$5:$B$300,"T-*"))</f>
        <v/>
      </c>
      <c r="I257" s="240" t="str">
        <f>IF($B257="","",IF(COUNTIFS(Торговля!$E$5:$E$300,$B257)+COUNTIFS(Закрытые!$E$5:$E$300,$B257,Закрытые!$B$5:$B$300,"T-*")=0,"",ROUND(SUMIFS(Торговля!$L$5:$L$300,Торговля!$E$5:$E$300,$B257)+SUMIFS(Закрытые!$L$5:$L$300,Закрытые!$E$5:$E$300,$B257,Закрытые!$B$5:$B$300,"T-*"),8)))</f>
        <v/>
      </c>
      <c r="J257" s="241" t="str">
        <f>IF($B257="","",IF(COUNTIFS(Торговля!$E$5:$E$300,$B257)+COUNTIFS(Закрытые!$E$5:$E$300,$B257,Закрытые!$B$5:$B$300,"T-*")=0,"",ROUND(SUMIFS(Торговля!$M$5:$M$300,Торговля!$E$5:$E$300,$B257)+SUMIFS(Закрытые!$M$5:$M$300,Закрытые!$E$5:$E$300,$B257,Закрытые!$B$5:$B$300,"T-*"),8)))</f>
        <v/>
      </c>
      <c r="K257" s="240" t="str">
        <f>IF(MIN(N(C257),N(F257))&lt;=0,"",ROUND(MIN(N(C257),N(F257))*(N(G257)-N(D257)),8))</f>
        <v/>
      </c>
      <c r="L257" s="177" t="str">
        <f>IF(MIN(N(C257),N(F257))&lt;=0,"",IF(N(D257)=0,"",ROUND((N(G257)/N(D257)-1)*100,2)))</f>
        <v/>
      </c>
      <c r="M257" s="177" t="str">
        <f>IF(OR(ROUND(N(C257)-N(F257),8)=0,1-N(Ввод!$J$19)/100&lt;=0),"",IF(N(C257)&gt;N(F257),(N(E257)-N(H257))/((N(C257)-N(F257))*(1-N(Ввод!$J$19)/100)),(N(H257)-N(E257))/((N(F257)-N(C257))*(1+N(Ввод!$J$19)/100))))</f>
        <v/>
      </c>
    </row>
    <row r="258" ht="22" customHeight="1">
      <c r="B258" s="245" t="n"/>
      <c r="C258" s="246" t="str">
        <f>IF(SUMIFS(Торговля!$F$5:$F$300,Торговля!$E$5:$E$300,$B258)+SUMIFS(Закрытые!$F$5:$F$300,Закрытые!$E$5:$E$300,$B258,Закрытые!$B$5:$B$300,"T-*")=0,"",SUMIFS(Торговля!$F$5:$F$300,Торговля!$E$5:$E$300,$B258)+SUMIFS(Закрытые!$F$5:$F$300,Закрытые!$E$5:$E$300,$B258,Закрытые!$B$5:$B$300,"T-*"))</f>
        <v/>
      </c>
      <c r="D258" s="183" t="str">
        <f>IF(C258="","",(SUMPRODUCT((Торговля!$E$5:$E$300=$B258)*Торговля!$F$5:$F$300*Торговля!$G$5:$G$300)+SUMPRODUCT((Закрытые!$E$5:$E$300=$B258)*(LEFT(Закрытые!$B$5:$B$300,2)="T-")*Закрытые!$F$5:$F$300*Закрытые!$G$5:$G$300))/C258)</f>
        <v/>
      </c>
      <c r="E258" s="247" t="str">
        <f>IF(C258="","",SUMIFS(Торговля!$H$5:$H$300,Торговля!$E$5:$E$300,$B258)+SUMIFS(Закрытые!$H$5:$H$300,Закрытые!$E$5:$E$300,$B258,Закрытые!$B$5:$B$300,"T-*"))</f>
        <v/>
      </c>
      <c r="F258" s="246" t="str">
        <f>IF(SUMIFS(Торговля!$I$5:$I$300,Торговля!$E$5:$E$300,$B258)+SUMIFS(Закрытые!$I$5:$I$300,Закрытые!$E$5:$E$300,$B258,Закрытые!$B$5:$B$300,"T-*")=0,"",SUMIFS(Торговля!$I$5:$I$300,Торговля!$E$5:$E$300,$B258)+SUMIFS(Закрытые!$I$5:$I$300,Закрытые!$E$5:$E$300,$B258,Закрытые!$B$5:$B$300,"T-*"))</f>
        <v/>
      </c>
      <c r="G258" s="183" t="str">
        <f>IF(F258="","",(SUMPRODUCT((Торговля!$E$5:$E$300=$B258)*Торговля!$I$5:$I$300*Торговля!$J$5:$J$300)+SUMPRODUCT((Закрытые!$E$5:$E$300=$B258)*(LEFT(Закрытые!$B$5:$B$300,2)="T-")*Закрытые!$I$5:$I$300*Закрытые!$J$5:$J$300))/F258)</f>
        <v/>
      </c>
      <c r="H258" s="247" t="str">
        <f>IF(F258="","",SUMIFS(Торговля!$K$5:$K$300,Торговля!$E$5:$E$300,$B258)+SUMIFS(Закрытые!$K$5:$K$300,Закрытые!$E$5:$E$300,$B258,Закрытые!$B$5:$B$300,"T-*"))</f>
        <v/>
      </c>
      <c r="I258" s="246" t="str">
        <f>IF($B258="","",IF(COUNTIFS(Торговля!$E$5:$E$300,$B258)+COUNTIFS(Закрытые!$E$5:$E$300,$B258,Закрытые!$B$5:$B$300,"T-*")=0,"",ROUND(SUMIFS(Торговля!$L$5:$L$300,Торговля!$E$5:$E$300,$B258)+SUMIFS(Закрытые!$L$5:$L$300,Закрытые!$E$5:$E$300,$B258,Закрытые!$B$5:$B$300,"T-*"),8)))</f>
        <v/>
      </c>
      <c r="J258" s="247" t="str">
        <f>IF($B258="","",IF(COUNTIFS(Торговля!$E$5:$E$300,$B258)+COUNTIFS(Закрытые!$E$5:$E$300,$B258,Закрытые!$B$5:$B$300,"T-*")=0,"",ROUND(SUMIFS(Торговля!$M$5:$M$300,Торговля!$E$5:$E$300,$B258)+SUMIFS(Закрытые!$M$5:$M$300,Закрытые!$E$5:$E$300,$B258,Закрытые!$B$5:$B$300,"T-*"),8)))</f>
        <v/>
      </c>
      <c r="K258" s="246" t="str">
        <f>IF(MIN(N(C258),N(F258))&lt;=0,"",ROUND(MIN(N(C258),N(F258))*(N(G258)-N(D258)),8))</f>
        <v/>
      </c>
      <c r="L258" s="183" t="str">
        <f>IF(MIN(N(C258),N(F258))&lt;=0,"",IF(N(D258)=0,"",ROUND((N(G258)/N(D258)-1)*100,2)))</f>
        <v/>
      </c>
      <c r="M258" s="183" t="str">
        <f>IF(OR(ROUND(N(C258)-N(F258),8)=0,1-N(Ввод!$J$19)/100&lt;=0),"",IF(N(C258)&gt;N(F258),(N(E258)-N(H258))/((N(C258)-N(F258))*(1-N(Ввод!$J$19)/100)),(N(H258)-N(E258))/((N(F258)-N(C258))*(1+N(Ввод!$J$19)/100))))</f>
        <v/>
      </c>
    </row>
    <row r="259" ht="22" customHeight="1">
      <c r="B259" s="239" t="n"/>
      <c r="C259" s="240" t="str">
        <f>IF(SUMIFS(Торговля!$F$5:$F$300,Торговля!$E$5:$E$300,$B259)+SUMIFS(Закрытые!$F$5:$F$300,Закрытые!$E$5:$E$300,$B259,Закрытые!$B$5:$B$300,"T-*")=0,"",SUMIFS(Торговля!$F$5:$F$300,Торговля!$E$5:$E$300,$B259)+SUMIFS(Закрытые!$F$5:$F$300,Закрытые!$E$5:$E$300,$B259,Закрытые!$B$5:$B$300,"T-*"))</f>
        <v/>
      </c>
      <c r="D259" s="177" t="str">
        <f>IF(C259="","",(SUMPRODUCT((Торговля!$E$5:$E$300=$B259)*Торговля!$F$5:$F$300*Торговля!$G$5:$G$300)+SUMPRODUCT((Закрытые!$E$5:$E$300=$B259)*(LEFT(Закрытые!$B$5:$B$300,2)="T-")*Закрытые!$F$5:$F$300*Закрытые!$G$5:$G$300))/C259)</f>
        <v/>
      </c>
      <c r="E259" s="241" t="str">
        <f>IF(C259="","",SUMIFS(Торговля!$H$5:$H$300,Торговля!$E$5:$E$300,$B259)+SUMIFS(Закрытые!$H$5:$H$300,Закрытые!$E$5:$E$300,$B259,Закрытые!$B$5:$B$300,"T-*"))</f>
        <v/>
      </c>
      <c r="F259" s="240" t="str">
        <f>IF(SUMIFS(Торговля!$I$5:$I$300,Торговля!$E$5:$E$300,$B259)+SUMIFS(Закрытые!$I$5:$I$300,Закрытые!$E$5:$E$300,$B259,Закрытые!$B$5:$B$300,"T-*")=0,"",SUMIFS(Торговля!$I$5:$I$300,Торговля!$E$5:$E$300,$B259)+SUMIFS(Закрытые!$I$5:$I$300,Закрытые!$E$5:$E$300,$B259,Закрытые!$B$5:$B$300,"T-*"))</f>
        <v/>
      </c>
      <c r="G259" s="177" t="str">
        <f>IF(F259="","",(SUMPRODUCT((Торговля!$E$5:$E$300=$B259)*Торговля!$I$5:$I$300*Торговля!$J$5:$J$300)+SUMPRODUCT((Закрытые!$E$5:$E$300=$B259)*(LEFT(Закрытые!$B$5:$B$300,2)="T-")*Закрытые!$I$5:$I$300*Закрытые!$J$5:$J$300))/F259)</f>
        <v/>
      </c>
      <c r="H259" s="241" t="str">
        <f>IF(F259="","",SUMIFS(Торговля!$K$5:$K$300,Торговля!$E$5:$E$300,$B259)+SUMIFS(Закрытые!$K$5:$K$300,Закрытые!$E$5:$E$300,$B259,Закрытые!$B$5:$B$300,"T-*"))</f>
        <v/>
      </c>
      <c r="I259" s="240" t="str">
        <f>IF($B259="","",IF(COUNTIFS(Торговля!$E$5:$E$300,$B259)+COUNTIFS(Закрытые!$E$5:$E$300,$B259,Закрытые!$B$5:$B$300,"T-*")=0,"",ROUND(SUMIFS(Торговля!$L$5:$L$300,Торговля!$E$5:$E$300,$B259)+SUMIFS(Закрытые!$L$5:$L$300,Закрытые!$E$5:$E$300,$B259,Закрытые!$B$5:$B$300,"T-*"),8)))</f>
        <v/>
      </c>
      <c r="J259" s="241" t="str">
        <f>IF($B259="","",IF(COUNTIFS(Торговля!$E$5:$E$300,$B259)+COUNTIFS(Закрытые!$E$5:$E$300,$B259,Закрытые!$B$5:$B$300,"T-*")=0,"",ROUND(SUMIFS(Торговля!$M$5:$M$300,Торговля!$E$5:$E$300,$B259)+SUMIFS(Закрытые!$M$5:$M$300,Закрытые!$E$5:$E$300,$B259,Закрытые!$B$5:$B$300,"T-*"),8)))</f>
        <v/>
      </c>
      <c r="K259" s="240" t="str">
        <f>IF(MIN(N(C259),N(F259))&lt;=0,"",ROUND(MIN(N(C259),N(F259))*(N(G259)-N(D259)),8))</f>
        <v/>
      </c>
      <c r="L259" s="177" t="str">
        <f>IF(MIN(N(C259),N(F259))&lt;=0,"",IF(N(D259)=0,"",ROUND((N(G259)/N(D259)-1)*100,2)))</f>
        <v/>
      </c>
      <c r="M259" s="177" t="str">
        <f>IF(OR(ROUND(N(C259)-N(F259),8)=0,1-N(Ввод!$J$19)/100&lt;=0),"",IF(N(C259)&gt;N(F259),(N(E259)-N(H259))/((N(C259)-N(F259))*(1-N(Ввод!$J$19)/100)),(N(H259)-N(E259))/((N(F259)-N(C259))*(1+N(Ввод!$J$19)/100))))</f>
        <v/>
      </c>
    </row>
    <row r="260" ht="22" customHeight="1">
      <c r="B260" s="245" t="n"/>
      <c r="C260" s="246" t="str">
        <f>IF(SUMIFS(Торговля!$F$5:$F$300,Торговля!$E$5:$E$300,$B260)+SUMIFS(Закрытые!$F$5:$F$300,Закрытые!$E$5:$E$300,$B260,Закрытые!$B$5:$B$300,"T-*")=0,"",SUMIFS(Торговля!$F$5:$F$300,Торговля!$E$5:$E$300,$B260)+SUMIFS(Закрытые!$F$5:$F$300,Закрытые!$E$5:$E$300,$B260,Закрытые!$B$5:$B$300,"T-*"))</f>
        <v/>
      </c>
      <c r="D260" s="183" t="str">
        <f>IF(C260="","",(SUMPRODUCT((Торговля!$E$5:$E$300=$B260)*Торговля!$F$5:$F$300*Торговля!$G$5:$G$300)+SUMPRODUCT((Закрытые!$E$5:$E$300=$B260)*(LEFT(Закрытые!$B$5:$B$300,2)="T-")*Закрытые!$F$5:$F$300*Закрытые!$G$5:$G$300))/C260)</f>
        <v/>
      </c>
      <c r="E260" s="247" t="str">
        <f>IF(C260="","",SUMIFS(Торговля!$H$5:$H$300,Торговля!$E$5:$E$300,$B260)+SUMIFS(Закрытые!$H$5:$H$300,Закрытые!$E$5:$E$300,$B260,Закрытые!$B$5:$B$300,"T-*"))</f>
        <v/>
      </c>
      <c r="F260" s="246" t="str">
        <f>IF(SUMIFS(Торговля!$I$5:$I$300,Торговля!$E$5:$E$300,$B260)+SUMIFS(Закрытые!$I$5:$I$300,Закрытые!$E$5:$E$300,$B260,Закрытые!$B$5:$B$300,"T-*")=0,"",SUMIFS(Торговля!$I$5:$I$300,Торговля!$E$5:$E$300,$B260)+SUMIFS(Закрытые!$I$5:$I$300,Закрытые!$E$5:$E$300,$B260,Закрытые!$B$5:$B$300,"T-*"))</f>
        <v/>
      </c>
      <c r="G260" s="183" t="str">
        <f>IF(F260="","",(SUMPRODUCT((Торговля!$E$5:$E$300=$B260)*Торговля!$I$5:$I$300*Торговля!$J$5:$J$300)+SUMPRODUCT((Закрытые!$E$5:$E$300=$B260)*(LEFT(Закрытые!$B$5:$B$300,2)="T-")*Закрытые!$I$5:$I$300*Закрытые!$J$5:$J$300))/F260)</f>
        <v/>
      </c>
      <c r="H260" s="247" t="str">
        <f>IF(F260="","",SUMIFS(Торговля!$K$5:$K$300,Торговля!$E$5:$E$300,$B260)+SUMIFS(Закрытые!$K$5:$K$300,Закрытые!$E$5:$E$300,$B260,Закрытые!$B$5:$B$300,"T-*"))</f>
        <v/>
      </c>
      <c r="I260" s="246" t="str">
        <f>IF($B260="","",IF(COUNTIFS(Торговля!$E$5:$E$300,$B260)+COUNTIFS(Закрытые!$E$5:$E$300,$B260,Закрытые!$B$5:$B$300,"T-*")=0,"",ROUND(SUMIFS(Торговля!$L$5:$L$300,Торговля!$E$5:$E$300,$B260)+SUMIFS(Закрытые!$L$5:$L$300,Закрытые!$E$5:$E$300,$B260,Закрытые!$B$5:$B$300,"T-*"),8)))</f>
        <v/>
      </c>
      <c r="J260" s="247" t="str">
        <f>IF($B260="","",IF(COUNTIFS(Торговля!$E$5:$E$300,$B260)+COUNTIFS(Закрытые!$E$5:$E$300,$B260,Закрытые!$B$5:$B$300,"T-*")=0,"",ROUND(SUMIFS(Торговля!$M$5:$M$300,Торговля!$E$5:$E$300,$B260)+SUMIFS(Закрытые!$M$5:$M$300,Закрытые!$E$5:$E$300,$B260,Закрытые!$B$5:$B$300,"T-*"),8)))</f>
        <v/>
      </c>
      <c r="K260" s="246" t="str">
        <f>IF(MIN(N(C260),N(F260))&lt;=0,"",ROUND(MIN(N(C260),N(F260))*(N(G260)-N(D260)),8))</f>
        <v/>
      </c>
      <c r="L260" s="183" t="str">
        <f>IF(MIN(N(C260),N(F260))&lt;=0,"",IF(N(D260)=0,"",ROUND((N(G260)/N(D260)-1)*100,2)))</f>
        <v/>
      </c>
      <c r="M260" s="183" t="str">
        <f>IF(OR(ROUND(N(C260)-N(F260),8)=0,1-N(Ввод!$J$19)/100&lt;=0),"",IF(N(C260)&gt;N(F260),(N(E260)-N(H260))/((N(C260)-N(F260))*(1-N(Ввод!$J$19)/100)),(N(H260)-N(E260))/((N(F260)-N(C260))*(1+N(Ввод!$J$19)/100))))</f>
        <v/>
      </c>
    </row>
    <row r="261" ht="22" customHeight="1">
      <c r="B261" s="239" t="n"/>
      <c r="C261" s="240" t="str">
        <f>IF(SUMIFS(Торговля!$F$5:$F$300,Торговля!$E$5:$E$300,$B261)+SUMIFS(Закрытые!$F$5:$F$300,Закрытые!$E$5:$E$300,$B261,Закрытые!$B$5:$B$300,"T-*")=0,"",SUMIFS(Торговля!$F$5:$F$300,Торговля!$E$5:$E$300,$B261)+SUMIFS(Закрытые!$F$5:$F$300,Закрытые!$E$5:$E$300,$B261,Закрытые!$B$5:$B$300,"T-*"))</f>
        <v/>
      </c>
      <c r="D261" s="177" t="str">
        <f>IF(C261="","",(SUMPRODUCT((Торговля!$E$5:$E$300=$B261)*Торговля!$F$5:$F$300*Торговля!$G$5:$G$300)+SUMPRODUCT((Закрытые!$E$5:$E$300=$B261)*(LEFT(Закрытые!$B$5:$B$300,2)="T-")*Закрытые!$F$5:$F$300*Закрытые!$G$5:$G$300))/C261)</f>
        <v/>
      </c>
      <c r="E261" s="241" t="str">
        <f>IF(C261="","",SUMIFS(Торговля!$H$5:$H$300,Торговля!$E$5:$E$300,$B261)+SUMIFS(Закрытые!$H$5:$H$300,Закрытые!$E$5:$E$300,$B261,Закрытые!$B$5:$B$300,"T-*"))</f>
        <v/>
      </c>
      <c r="F261" s="240" t="str">
        <f>IF(SUMIFS(Торговля!$I$5:$I$300,Торговля!$E$5:$E$300,$B261)+SUMIFS(Закрытые!$I$5:$I$300,Закрытые!$E$5:$E$300,$B261,Закрытые!$B$5:$B$300,"T-*")=0,"",SUMIFS(Торговля!$I$5:$I$300,Торговля!$E$5:$E$300,$B261)+SUMIFS(Закрытые!$I$5:$I$300,Закрытые!$E$5:$E$300,$B261,Закрытые!$B$5:$B$300,"T-*"))</f>
        <v/>
      </c>
      <c r="G261" s="177" t="str">
        <f>IF(F261="","",(SUMPRODUCT((Торговля!$E$5:$E$300=$B261)*Торговля!$I$5:$I$300*Торговля!$J$5:$J$300)+SUMPRODUCT((Закрытые!$E$5:$E$300=$B261)*(LEFT(Закрытые!$B$5:$B$300,2)="T-")*Закрытые!$I$5:$I$300*Закрытые!$J$5:$J$300))/F261)</f>
        <v/>
      </c>
      <c r="H261" s="241" t="str">
        <f>IF(F261="","",SUMIFS(Торговля!$K$5:$K$300,Торговля!$E$5:$E$300,$B261)+SUMIFS(Закрытые!$K$5:$K$300,Закрытые!$E$5:$E$300,$B261,Закрытые!$B$5:$B$300,"T-*"))</f>
        <v/>
      </c>
      <c r="I261" s="240" t="str">
        <f>IF($B261="","",IF(COUNTIFS(Торговля!$E$5:$E$300,$B261)+COUNTIFS(Закрытые!$E$5:$E$300,$B261,Закрытые!$B$5:$B$300,"T-*")=0,"",ROUND(SUMIFS(Торговля!$L$5:$L$300,Торговля!$E$5:$E$300,$B261)+SUMIFS(Закрытые!$L$5:$L$300,Закрытые!$E$5:$E$300,$B261,Закрытые!$B$5:$B$300,"T-*"),8)))</f>
        <v/>
      </c>
      <c r="J261" s="241" t="str">
        <f>IF($B261="","",IF(COUNTIFS(Торговля!$E$5:$E$300,$B261)+COUNTIFS(Закрытые!$E$5:$E$300,$B261,Закрытые!$B$5:$B$300,"T-*")=0,"",ROUND(SUMIFS(Торговля!$M$5:$M$300,Торговля!$E$5:$E$300,$B261)+SUMIFS(Закрытые!$M$5:$M$300,Закрытые!$E$5:$E$300,$B261,Закрытые!$B$5:$B$300,"T-*"),8)))</f>
        <v/>
      </c>
      <c r="K261" s="240" t="str">
        <f>IF(MIN(N(C261),N(F261))&lt;=0,"",ROUND(MIN(N(C261),N(F261))*(N(G261)-N(D261)),8))</f>
        <v/>
      </c>
      <c r="L261" s="177" t="str">
        <f>IF(MIN(N(C261),N(F261))&lt;=0,"",IF(N(D261)=0,"",ROUND((N(G261)/N(D261)-1)*100,2)))</f>
        <v/>
      </c>
      <c r="M261" s="177" t="str">
        <f>IF(OR(ROUND(N(C261)-N(F261),8)=0,1-N(Ввод!$J$19)/100&lt;=0),"",IF(N(C261)&gt;N(F261),(N(E261)-N(H261))/((N(C261)-N(F261))*(1-N(Ввод!$J$19)/100)),(N(H261)-N(E261))/((N(F261)-N(C261))*(1+N(Ввод!$J$19)/100))))</f>
        <v/>
      </c>
    </row>
    <row r="262" ht="22" customHeight="1">
      <c r="B262" s="245" t="n"/>
      <c r="C262" s="246" t="str">
        <f>IF(SUMIFS(Торговля!$F$5:$F$300,Торговля!$E$5:$E$300,$B262)+SUMIFS(Закрытые!$F$5:$F$300,Закрытые!$E$5:$E$300,$B262,Закрытые!$B$5:$B$300,"T-*")=0,"",SUMIFS(Торговля!$F$5:$F$300,Торговля!$E$5:$E$300,$B262)+SUMIFS(Закрытые!$F$5:$F$300,Закрытые!$E$5:$E$300,$B262,Закрытые!$B$5:$B$300,"T-*"))</f>
        <v/>
      </c>
      <c r="D262" s="183" t="str">
        <f>IF(C262="","",(SUMPRODUCT((Торговля!$E$5:$E$300=$B262)*Торговля!$F$5:$F$300*Торговля!$G$5:$G$300)+SUMPRODUCT((Закрытые!$E$5:$E$300=$B262)*(LEFT(Закрытые!$B$5:$B$300,2)="T-")*Закрытые!$F$5:$F$300*Закрытые!$G$5:$G$300))/C262)</f>
        <v/>
      </c>
      <c r="E262" s="247" t="str">
        <f>IF(C262="","",SUMIFS(Торговля!$H$5:$H$300,Торговля!$E$5:$E$300,$B262)+SUMIFS(Закрытые!$H$5:$H$300,Закрытые!$E$5:$E$300,$B262,Закрытые!$B$5:$B$300,"T-*"))</f>
        <v/>
      </c>
      <c r="F262" s="246" t="str">
        <f>IF(SUMIFS(Торговля!$I$5:$I$300,Торговля!$E$5:$E$300,$B262)+SUMIFS(Закрытые!$I$5:$I$300,Закрытые!$E$5:$E$300,$B262,Закрытые!$B$5:$B$300,"T-*")=0,"",SUMIFS(Торговля!$I$5:$I$300,Торговля!$E$5:$E$300,$B262)+SUMIFS(Закрытые!$I$5:$I$300,Закрытые!$E$5:$E$300,$B262,Закрытые!$B$5:$B$300,"T-*"))</f>
        <v/>
      </c>
      <c r="G262" s="183" t="str">
        <f>IF(F262="","",(SUMPRODUCT((Торговля!$E$5:$E$300=$B262)*Торговля!$I$5:$I$300*Торговля!$J$5:$J$300)+SUMPRODUCT((Закрытые!$E$5:$E$300=$B262)*(LEFT(Закрытые!$B$5:$B$300,2)="T-")*Закрытые!$I$5:$I$300*Закрытые!$J$5:$J$300))/F262)</f>
        <v/>
      </c>
      <c r="H262" s="247" t="str">
        <f>IF(F262="","",SUMIFS(Торговля!$K$5:$K$300,Торговля!$E$5:$E$300,$B262)+SUMIFS(Закрытые!$K$5:$K$300,Закрытые!$E$5:$E$300,$B262,Закрытые!$B$5:$B$300,"T-*"))</f>
        <v/>
      </c>
      <c r="I262" s="246" t="str">
        <f>IF($B262="","",IF(COUNTIFS(Торговля!$E$5:$E$300,$B262)+COUNTIFS(Закрытые!$E$5:$E$300,$B262,Закрытые!$B$5:$B$300,"T-*")=0,"",ROUND(SUMIFS(Торговля!$L$5:$L$300,Торговля!$E$5:$E$300,$B262)+SUMIFS(Закрытые!$L$5:$L$300,Закрытые!$E$5:$E$300,$B262,Закрытые!$B$5:$B$300,"T-*"),8)))</f>
        <v/>
      </c>
      <c r="J262" s="247" t="str">
        <f>IF($B262="","",IF(COUNTIFS(Торговля!$E$5:$E$300,$B262)+COUNTIFS(Закрытые!$E$5:$E$300,$B262,Закрытые!$B$5:$B$300,"T-*")=0,"",ROUND(SUMIFS(Торговля!$M$5:$M$300,Торговля!$E$5:$E$300,$B262)+SUMIFS(Закрытые!$M$5:$M$300,Закрытые!$E$5:$E$300,$B262,Закрытые!$B$5:$B$300,"T-*"),8)))</f>
        <v/>
      </c>
      <c r="K262" s="246" t="str">
        <f>IF(MIN(N(C262),N(F262))&lt;=0,"",ROUND(MIN(N(C262),N(F262))*(N(G262)-N(D262)),8))</f>
        <v/>
      </c>
      <c r="L262" s="183" t="str">
        <f>IF(MIN(N(C262),N(F262))&lt;=0,"",IF(N(D262)=0,"",ROUND((N(G262)/N(D262)-1)*100,2)))</f>
        <v/>
      </c>
      <c r="M262" s="183" t="str">
        <f>IF(OR(ROUND(N(C262)-N(F262),8)=0,1-N(Ввод!$J$19)/100&lt;=0),"",IF(N(C262)&gt;N(F262),(N(E262)-N(H262))/((N(C262)-N(F262))*(1-N(Ввод!$J$19)/100)),(N(H262)-N(E262))/((N(F262)-N(C262))*(1+N(Ввод!$J$19)/100))))</f>
        <v/>
      </c>
    </row>
    <row r="263" ht="22" customHeight="1">
      <c r="B263" s="239" t="n"/>
      <c r="C263" s="240" t="str">
        <f>IF(SUMIFS(Торговля!$F$5:$F$300,Торговля!$E$5:$E$300,$B263)+SUMIFS(Закрытые!$F$5:$F$300,Закрытые!$E$5:$E$300,$B263,Закрытые!$B$5:$B$300,"T-*")=0,"",SUMIFS(Торговля!$F$5:$F$300,Торговля!$E$5:$E$300,$B263)+SUMIFS(Закрытые!$F$5:$F$300,Закрытые!$E$5:$E$300,$B263,Закрытые!$B$5:$B$300,"T-*"))</f>
        <v/>
      </c>
      <c r="D263" s="177" t="str">
        <f>IF(C263="","",(SUMPRODUCT((Торговля!$E$5:$E$300=$B263)*Торговля!$F$5:$F$300*Торговля!$G$5:$G$300)+SUMPRODUCT((Закрытые!$E$5:$E$300=$B263)*(LEFT(Закрытые!$B$5:$B$300,2)="T-")*Закрытые!$F$5:$F$300*Закрытые!$G$5:$G$300))/C263)</f>
        <v/>
      </c>
      <c r="E263" s="241" t="str">
        <f>IF(C263="","",SUMIFS(Торговля!$H$5:$H$300,Торговля!$E$5:$E$300,$B263)+SUMIFS(Закрытые!$H$5:$H$300,Закрытые!$E$5:$E$300,$B263,Закрытые!$B$5:$B$300,"T-*"))</f>
        <v/>
      </c>
      <c r="F263" s="240" t="str">
        <f>IF(SUMIFS(Торговля!$I$5:$I$300,Торговля!$E$5:$E$300,$B263)+SUMIFS(Закрытые!$I$5:$I$300,Закрытые!$E$5:$E$300,$B263,Закрытые!$B$5:$B$300,"T-*")=0,"",SUMIFS(Торговля!$I$5:$I$300,Торговля!$E$5:$E$300,$B263)+SUMIFS(Закрытые!$I$5:$I$300,Закрытые!$E$5:$E$300,$B263,Закрытые!$B$5:$B$300,"T-*"))</f>
        <v/>
      </c>
      <c r="G263" s="177" t="str">
        <f>IF(F263="","",(SUMPRODUCT((Торговля!$E$5:$E$300=$B263)*Торговля!$I$5:$I$300*Торговля!$J$5:$J$300)+SUMPRODUCT((Закрытые!$E$5:$E$300=$B263)*(LEFT(Закрытые!$B$5:$B$300,2)="T-")*Закрытые!$I$5:$I$300*Закрытые!$J$5:$J$300))/F263)</f>
        <v/>
      </c>
      <c r="H263" s="241" t="str">
        <f>IF(F263="","",SUMIFS(Торговля!$K$5:$K$300,Торговля!$E$5:$E$300,$B263)+SUMIFS(Закрытые!$K$5:$K$300,Закрытые!$E$5:$E$300,$B263,Закрытые!$B$5:$B$300,"T-*"))</f>
        <v/>
      </c>
      <c r="I263" s="240" t="str">
        <f>IF($B263="","",IF(COUNTIFS(Торговля!$E$5:$E$300,$B263)+COUNTIFS(Закрытые!$E$5:$E$300,$B263,Закрытые!$B$5:$B$300,"T-*")=0,"",ROUND(SUMIFS(Торговля!$L$5:$L$300,Торговля!$E$5:$E$300,$B263)+SUMIFS(Закрытые!$L$5:$L$300,Закрытые!$E$5:$E$300,$B263,Закрытые!$B$5:$B$300,"T-*"),8)))</f>
        <v/>
      </c>
      <c r="J263" s="241" t="str">
        <f>IF($B263="","",IF(COUNTIFS(Торговля!$E$5:$E$300,$B263)+COUNTIFS(Закрытые!$E$5:$E$300,$B263,Закрытые!$B$5:$B$300,"T-*")=0,"",ROUND(SUMIFS(Торговля!$M$5:$M$300,Торговля!$E$5:$E$300,$B263)+SUMIFS(Закрытые!$M$5:$M$300,Закрытые!$E$5:$E$300,$B263,Закрытые!$B$5:$B$300,"T-*"),8)))</f>
        <v/>
      </c>
      <c r="K263" s="240" t="str">
        <f>IF(MIN(N(C263),N(F263))&lt;=0,"",ROUND(MIN(N(C263),N(F263))*(N(G263)-N(D263)),8))</f>
        <v/>
      </c>
      <c r="L263" s="177" t="str">
        <f>IF(MIN(N(C263),N(F263))&lt;=0,"",IF(N(D263)=0,"",ROUND((N(G263)/N(D263)-1)*100,2)))</f>
        <v/>
      </c>
      <c r="M263" s="177" t="str">
        <f>IF(OR(ROUND(N(C263)-N(F263),8)=0,1-N(Ввод!$J$19)/100&lt;=0),"",IF(N(C263)&gt;N(F263),(N(E263)-N(H263))/((N(C263)-N(F263))*(1-N(Ввод!$J$19)/100)),(N(H263)-N(E263))/((N(F263)-N(C263))*(1+N(Ввод!$J$19)/100))))</f>
        <v/>
      </c>
    </row>
    <row r="264" ht="22" customHeight="1">
      <c r="B264" s="245" t="n"/>
      <c r="C264" s="246" t="str">
        <f>IF(SUMIFS(Торговля!$F$5:$F$300,Торговля!$E$5:$E$300,$B264)+SUMIFS(Закрытые!$F$5:$F$300,Закрытые!$E$5:$E$300,$B264,Закрытые!$B$5:$B$300,"T-*")=0,"",SUMIFS(Торговля!$F$5:$F$300,Торговля!$E$5:$E$300,$B264)+SUMIFS(Закрытые!$F$5:$F$300,Закрытые!$E$5:$E$300,$B264,Закрытые!$B$5:$B$300,"T-*"))</f>
        <v/>
      </c>
      <c r="D264" s="183" t="str">
        <f>IF(C264="","",(SUMPRODUCT((Торговля!$E$5:$E$300=$B264)*Торговля!$F$5:$F$300*Торговля!$G$5:$G$300)+SUMPRODUCT((Закрытые!$E$5:$E$300=$B264)*(LEFT(Закрытые!$B$5:$B$300,2)="T-")*Закрытые!$F$5:$F$300*Закрытые!$G$5:$G$300))/C264)</f>
        <v/>
      </c>
      <c r="E264" s="247" t="str">
        <f>IF(C264="","",SUMIFS(Торговля!$H$5:$H$300,Торговля!$E$5:$E$300,$B264)+SUMIFS(Закрытые!$H$5:$H$300,Закрытые!$E$5:$E$300,$B264,Закрытые!$B$5:$B$300,"T-*"))</f>
        <v/>
      </c>
      <c r="F264" s="246" t="str">
        <f>IF(SUMIFS(Торговля!$I$5:$I$300,Торговля!$E$5:$E$300,$B264)+SUMIFS(Закрытые!$I$5:$I$300,Закрытые!$E$5:$E$300,$B264,Закрытые!$B$5:$B$300,"T-*")=0,"",SUMIFS(Торговля!$I$5:$I$300,Торговля!$E$5:$E$300,$B264)+SUMIFS(Закрытые!$I$5:$I$300,Закрытые!$E$5:$E$300,$B264,Закрытые!$B$5:$B$300,"T-*"))</f>
        <v/>
      </c>
      <c r="G264" s="183" t="str">
        <f>IF(F264="","",(SUMPRODUCT((Торговля!$E$5:$E$300=$B264)*Торговля!$I$5:$I$300*Торговля!$J$5:$J$300)+SUMPRODUCT((Закрытые!$E$5:$E$300=$B264)*(LEFT(Закрытые!$B$5:$B$300,2)="T-")*Закрытые!$I$5:$I$300*Закрытые!$J$5:$J$300))/F264)</f>
        <v/>
      </c>
      <c r="H264" s="247" t="str">
        <f>IF(F264="","",SUMIFS(Торговля!$K$5:$K$300,Торговля!$E$5:$E$300,$B264)+SUMIFS(Закрытые!$K$5:$K$300,Закрытые!$E$5:$E$300,$B264,Закрытые!$B$5:$B$300,"T-*"))</f>
        <v/>
      </c>
      <c r="I264" s="246" t="str">
        <f>IF($B264="","",IF(COUNTIFS(Торговля!$E$5:$E$300,$B264)+COUNTIFS(Закрытые!$E$5:$E$300,$B264,Закрытые!$B$5:$B$300,"T-*")=0,"",ROUND(SUMIFS(Торговля!$L$5:$L$300,Торговля!$E$5:$E$300,$B264)+SUMIFS(Закрытые!$L$5:$L$300,Закрытые!$E$5:$E$300,$B264,Закрытые!$B$5:$B$300,"T-*"),8)))</f>
        <v/>
      </c>
      <c r="J264" s="247" t="str">
        <f>IF($B264="","",IF(COUNTIFS(Торговля!$E$5:$E$300,$B264)+COUNTIFS(Закрытые!$E$5:$E$300,$B264,Закрытые!$B$5:$B$300,"T-*")=0,"",ROUND(SUMIFS(Торговля!$M$5:$M$300,Торговля!$E$5:$E$300,$B264)+SUMIFS(Закрытые!$M$5:$M$300,Закрытые!$E$5:$E$300,$B264,Закрытые!$B$5:$B$300,"T-*"),8)))</f>
        <v/>
      </c>
      <c r="K264" s="246" t="str">
        <f>IF(MIN(N(C264),N(F264))&lt;=0,"",ROUND(MIN(N(C264),N(F264))*(N(G264)-N(D264)),8))</f>
        <v/>
      </c>
      <c r="L264" s="183" t="str">
        <f>IF(MIN(N(C264),N(F264))&lt;=0,"",IF(N(D264)=0,"",ROUND((N(G264)/N(D264)-1)*100,2)))</f>
        <v/>
      </c>
      <c r="M264" s="183" t="str">
        <f>IF(OR(ROUND(N(C264)-N(F264),8)=0,1-N(Ввод!$J$19)/100&lt;=0),"",IF(N(C264)&gt;N(F264),(N(E264)-N(H264))/((N(C264)-N(F264))*(1-N(Ввод!$J$19)/100)),(N(H264)-N(E264))/((N(F264)-N(C264))*(1+N(Ввод!$J$19)/100))))</f>
        <v/>
      </c>
    </row>
    <row r="265" ht="22" customHeight="1">
      <c r="B265" s="239" t="n"/>
      <c r="C265" s="240" t="str">
        <f>IF(SUMIFS(Торговля!$F$5:$F$300,Торговля!$E$5:$E$300,$B265)+SUMIFS(Закрытые!$F$5:$F$300,Закрытые!$E$5:$E$300,$B265,Закрытые!$B$5:$B$300,"T-*")=0,"",SUMIFS(Торговля!$F$5:$F$300,Торговля!$E$5:$E$300,$B265)+SUMIFS(Закрытые!$F$5:$F$300,Закрытые!$E$5:$E$300,$B265,Закрытые!$B$5:$B$300,"T-*"))</f>
        <v/>
      </c>
      <c r="D265" s="177" t="str">
        <f>IF(C265="","",(SUMPRODUCT((Торговля!$E$5:$E$300=$B265)*Торговля!$F$5:$F$300*Торговля!$G$5:$G$300)+SUMPRODUCT((Закрытые!$E$5:$E$300=$B265)*(LEFT(Закрытые!$B$5:$B$300,2)="T-")*Закрытые!$F$5:$F$300*Закрытые!$G$5:$G$300))/C265)</f>
        <v/>
      </c>
      <c r="E265" s="241" t="str">
        <f>IF(C265="","",SUMIFS(Торговля!$H$5:$H$300,Торговля!$E$5:$E$300,$B265)+SUMIFS(Закрытые!$H$5:$H$300,Закрытые!$E$5:$E$300,$B265,Закрытые!$B$5:$B$300,"T-*"))</f>
        <v/>
      </c>
      <c r="F265" s="240" t="str">
        <f>IF(SUMIFS(Торговля!$I$5:$I$300,Торговля!$E$5:$E$300,$B265)+SUMIFS(Закрытые!$I$5:$I$300,Закрытые!$E$5:$E$300,$B265,Закрытые!$B$5:$B$300,"T-*")=0,"",SUMIFS(Торговля!$I$5:$I$300,Торговля!$E$5:$E$300,$B265)+SUMIFS(Закрытые!$I$5:$I$300,Закрытые!$E$5:$E$300,$B265,Закрытые!$B$5:$B$300,"T-*"))</f>
        <v/>
      </c>
      <c r="G265" s="177" t="str">
        <f>IF(F265="","",(SUMPRODUCT((Торговля!$E$5:$E$300=$B265)*Торговля!$I$5:$I$300*Торговля!$J$5:$J$300)+SUMPRODUCT((Закрытые!$E$5:$E$300=$B265)*(LEFT(Закрытые!$B$5:$B$300,2)="T-")*Закрытые!$I$5:$I$300*Закрытые!$J$5:$J$300))/F265)</f>
        <v/>
      </c>
      <c r="H265" s="241" t="str">
        <f>IF(F265="","",SUMIFS(Торговля!$K$5:$K$300,Торговля!$E$5:$E$300,$B265)+SUMIFS(Закрытые!$K$5:$K$300,Закрытые!$E$5:$E$300,$B265,Закрытые!$B$5:$B$300,"T-*"))</f>
        <v/>
      </c>
      <c r="I265" s="240" t="str">
        <f>IF($B265="","",IF(COUNTIFS(Торговля!$E$5:$E$300,$B265)+COUNTIFS(Закрытые!$E$5:$E$300,$B265,Закрытые!$B$5:$B$300,"T-*")=0,"",ROUND(SUMIFS(Торговля!$L$5:$L$300,Торговля!$E$5:$E$300,$B265)+SUMIFS(Закрытые!$L$5:$L$300,Закрытые!$E$5:$E$300,$B265,Закрытые!$B$5:$B$300,"T-*"),8)))</f>
        <v/>
      </c>
      <c r="J265" s="241" t="str">
        <f>IF($B265="","",IF(COUNTIFS(Торговля!$E$5:$E$300,$B265)+COUNTIFS(Закрытые!$E$5:$E$300,$B265,Закрытые!$B$5:$B$300,"T-*")=0,"",ROUND(SUMIFS(Торговля!$M$5:$M$300,Торговля!$E$5:$E$300,$B265)+SUMIFS(Закрытые!$M$5:$M$300,Закрытые!$E$5:$E$300,$B265,Закрытые!$B$5:$B$300,"T-*"),8)))</f>
        <v/>
      </c>
      <c r="K265" s="240" t="str">
        <f>IF(MIN(N(C265),N(F265))&lt;=0,"",ROUND(MIN(N(C265),N(F265))*(N(G265)-N(D265)),8))</f>
        <v/>
      </c>
      <c r="L265" s="177" t="str">
        <f>IF(MIN(N(C265),N(F265))&lt;=0,"",IF(N(D265)=0,"",ROUND((N(G265)/N(D265)-1)*100,2)))</f>
        <v/>
      </c>
      <c r="M265" s="177" t="str">
        <f>IF(OR(ROUND(N(C265)-N(F265),8)=0,1-N(Ввод!$J$19)/100&lt;=0),"",IF(N(C265)&gt;N(F265),(N(E265)-N(H265))/((N(C265)-N(F265))*(1-N(Ввод!$J$19)/100)),(N(H265)-N(E265))/((N(F265)-N(C265))*(1+N(Ввод!$J$19)/100))))</f>
        <v/>
      </c>
    </row>
    <row r="266" ht="22" customHeight="1">
      <c r="B266" s="245" t="n"/>
      <c r="C266" s="246" t="str">
        <f>IF(SUMIFS(Торговля!$F$5:$F$300,Торговля!$E$5:$E$300,$B266)+SUMIFS(Закрытые!$F$5:$F$300,Закрытые!$E$5:$E$300,$B266,Закрытые!$B$5:$B$300,"T-*")=0,"",SUMIFS(Торговля!$F$5:$F$300,Торговля!$E$5:$E$300,$B266)+SUMIFS(Закрытые!$F$5:$F$300,Закрытые!$E$5:$E$300,$B266,Закрытые!$B$5:$B$300,"T-*"))</f>
        <v/>
      </c>
      <c r="D266" s="183" t="str">
        <f>IF(C266="","",(SUMPRODUCT((Торговля!$E$5:$E$300=$B266)*Торговля!$F$5:$F$300*Торговля!$G$5:$G$300)+SUMPRODUCT((Закрытые!$E$5:$E$300=$B266)*(LEFT(Закрытые!$B$5:$B$300,2)="T-")*Закрытые!$F$5:$F$300*Закрытые!$G$5:$G$300))/C266)</f>
        <v/>
      </c>
      <c r="E266" s="247" t="str">
        <f>IF(C266="","",SUMIFS(Торговля!$H$5:$H$300,Торговля!$E$5:$E$300,$B266)+SUMIFS(Закрытые!$H$5:$H$300,Закрытые!$E$5:$E$300,$B266,Закрытые!$B$5:$B$300,"T-*"))</f>
        <v/>
      </c>
      <c r="F266" s="246" t="str">
        <f>IF(SUMIFS(Торговля!$I$5:$I$300,Торговля!$E$5:$E$300,$B266)+SUMIFS(Закрытые!$I$5:$I$300,Закрытые!$E$5:$E$300,$B266,Закрытые!$B$5:$B$300,"T-*")=0,"",SUMIFS(Торговля!$I$5:$I$300,Торговля!$E$5:$E$300,$B266)+SUMIFS(Закрытые!$I$5:$I$300,Закрытые!$E$5:$E$300,$B266,Закрытые!$B$5:$B$300,"T-*"))</f>
        <v/>
      </c>
      <c r="G266" s="183" t="str">
        <f>IF(F266="","",(SUMPRODUCT((Торговля!$E$5:$E$300=$B266)*Торговля!$I$5:$I$300*Торговля!$J$5:$J$300)+SUMPRODUCT((Закрытые!$E$5:$E$300=$B266)*(LEFT(Закрытые!$B$5:$B$300,2)="T-")*Закрытые!$I$5:$I$300*Закрытые!$J$5:$J$300))/F266)</f>
        <v/>
      </c>
      <c r="H266" s="247" t="str">
        <f>IF(F266="","",SUMIFS(Торговля!$K$5:$K$300,Торговля!$E$5:$E$300,$B266)+SUMIFS(Закрытые!$K$5:$K$300,Закрытые!$E$5:$E$300,$B266,Закрытые!$B$5:$B$300,"T-*"))</f>
        <v/>
      </c>
      <c r="I266" s="246" t="str">
        <f>IF($B266="","",IF(COUNTIFS(Торговля!$E$5:$E$300,$B266)+COUNTIFS(Закрытые!$E$5:$E$300,$B266,Закрытые!$B$5:$B$300,"T-*")=0,"",ROUND(SUMIFS(Торговля!$L$5:$L$300,Торговля!$E$5:$E$300,$B266)+SUMIFS(Закрытые!$L$5:$L$300,Закрытые!$E$5:$E$300,$B266,Закрытые!$B$5:$B$300,"T-*"),8)))</f>
        <v/>
      </c>
      <c r="J266" s="247" t="str">
        <f>IF($B266="","",IF(COUNTIFS(Торговля!$E$5:$E$300,$B266)+COUNTIFS(Закрытые!$E$5:$E$300,$B266,Закрытые!$B$5:$B$300,"T-*")=0,"",ROUND(SUMIFS(Торговля!$M$5:$M$300,Торговля!$E$5:$E$300,$B266)+SUMIFS(Закрытые!$M$5:$M$300,Закрытые!$E$5:$E$300,$B266,Закрытые!$B$5:$B$300,"T-*"),8)))</f>
        <v/>
      </c>
      <c r="K266" s="246" t="str">
        <f>IF(MIN(N(C266),N(F266))&lt;=0,"",ROUND(MIN(N(C266),N(F266))*(N(G266)-N(D266)),8))</f>
        <v/>
      </c>
      <c r="L266" s="183" t="str">
        <f>IF(MIN(N(C266),N(F266))&lt;=0,"",IF(N(D266)=0,"",ROUND((N(G266)/N(D266)-1)*100,2)))</f>
        <v/>
      </c>
      <c r="M266" s="183" t="str">
        <f>IF(OR(ROUND(N(C266)-N(F266),8)=0,1-N(Ввод!$J$19)/100&lt;=0),"",IF(N(C266)&gt;N(F266),(N(E266)-N(H266))/((N(C266)-N(F266))*(1-N(Ввод!$J$19)/100)),(N(H266)-N(E266))/((N(F266)-N(C266))*(1+N(Ввод!$J$19)/100))))</f>
        <v/>
      </c>
    </row>
    <row r="267" ht="22" customHeight="1">
      <c r="B267" s="239" t="n"/>
      <c r="C267" s="240" t="str">
        <f>IF(SUMIFS(Торговля!$F$5:$F$300,Торговля!$E$5:$E$300,$B267)+SUMIFS(Закрытые!$F$5:$F$300,Закрытые!$E$5:$E$300,$B267,Закрытые!$B$5:$B$300,"T-*")=0,"",SUMIFS(Торговля!$F$5:$F$300,Торговля!$E$5:$E$300,$B267)+SUMIFS(Закрытые!$F$5:$F$300,Закрытые!$E$5:$E$300,$B267,Закрытые!$B$5:$B$300,"T-*"))</f>
        <v/>
      </c>
      <c r="D267" s="177" t="str">
        <f>IF(C267="","",(SUMPRODUCT((Торговля!$E$5:$E$300=$B267)*Торговля!$F$5:$F$300*Торговля!$G$5:$G$300)+SUMPRODUCT((Закрытые!$E$5:$E$300=$B267)*(LEFT(Закрытые!$B$5:$B$300,2)="T-")*Закрытые!$F$5:$F$300*Закрытые!$G$5:$G$300))/C267)</f>
        <v/>
      </c>
      <c r="E267" s="241" t="str">
        <f>IF(C267="","",SUMIFS(Торговля!$H$5:$H$300,Торговля!$E$5:$E$300,$B267)+SUMIFS(Закрытые!$H$5:$H$300,Закрытые!$E$5:$E$300,$B267,Закрытые!$B$5:$B$300,"T-*"))</f>
        <v/>
      </c>
      <c r="F267" s="240" t="str">
        <f>IF(SUMIFS(Торговля!$I$5:$I$300,Торговля!$E$5:$E$300,$B267)+SUMIFS(Закрытые!$I$5:$I$300,Закрытые!$E$5:$E$300,$B267,Закрытые!$B$5:$B$300,"T-*")=0,"",SUMIFS(Торговля!$I$5:$I$300,Торговля!$E$5:$E$300,$B267)+SUMIFS(Закрытые!$I$5:$I$300,Закрытые!$E$5:$E$300,$B267,Закрытые!$B$5:$B$300,"T-*"))</f>
        <v/>
      </c>
      <c r="G267" s="177" t="str">
        <f>IF(F267="","",(SUMPRODUCT((Торговля!$E$5:$E$300=$B267)*Торговля!$I$5:$I$300*Торговля!$J$5:$J$300)+SUMPRODUCT((Закрытые!$E$5:$E$300=$B267)*(LEFT(Закрытые!$B$5:$B$300,2)="T-")*Закрытые!$I$5:$I$300*Закрытые!$J$5:$J$300))/F267)</f>
        <v/>
      </c>
      <c r="H267" s="241" t="str">
        <f>IF(F267="","",SUMIFS(Торговля!$K$5:$K$300,Торговля!$E$5:$E$300,$B267)+SUMIFS(Закрытые!$K$5:$K$300,Закрытые!$E$5:$E$300,$B267,Закрытые!$B$5:$B$300,"T-*"))</f>
        <v/>
      </c>
      <c r="I267" s="240" t="str">
        <f>IF($B267="","",IF(COUNTIFS(Торговля!$E$5:$E$300,$B267)+COUNTIFS(Закрытые!$E$5:$E$300,$B267,Закрытые!$B$5:$B$300,"T-*")=0,"",ROUND(SUMIFS(Торговля!$L$5:$L$300,Торговля!$E$5:$E$300,$B267)+SUMIFS(Закрытые!$L$5:$L$300,Закрытые!$E$5:$E$300,$B267,Закрытые!$B$5:$B$300,"T-*"),8)))</f>
        <v/>
      </c>
      <c r="J267" s="241" t="str">
        <f>IF($B267="","",IF(COUNTIFS(Торговля!$E$5:$E$300,$B267)+COUNTIFS(Закрытые!$E$5:$E$300,$B267,Закрытые!$B$5:$B$300,"T-*")=0,"",ROUND(SUMIFS(Торговля!$M$5:$M$300,Торговля!$E$5:$E$300,$B267)+SUMIFS(Закрытые!$M$5:$M$300,Закрытые!$E$5:$E$300,$B267,Закрытые!$B$5:$B$300,"T-*"),8)))</f>
        <v/>
      </c>
      <c r="K267" s="240" t="str">
        <f>IF(MIN(N(C267),N(F267))&lt;=0,"",ROUND(MIN(N(C267),N(F267))*(N(G267)-N(D267)),8))</f>
        <v/>
      </c>
      <c r="L267" s="177" t="str">
        <f>IF(MIN(N(C267),N(F267))&lt;=0,"",IF(N(D267)=0,"",ROUND((N(G267)/N(D267)-1)*100,2)))</f>
        <v/>
      </c>
      <c r="M267" s="177" t="str">
        <f>IF(OR(ROUND(N(C267)-N(F267),8)=0,1-N(Ввод!$J$19)/100&lt;=0),"",IF(N(C267)&gt;N(F267),(N(E267)-N(H267))/((N(C267)-N(F267))*(1-N(Ввод!$J$19)/100)),(N(H267)-N(E267))/((N(F267)-N(C267))*(1+N(Ввод!$J$19)/100))))</f>
        <v/>
      </c>
    </row>
    <row r="268" ht="22" customHeight="1">
      <c r="B268" s="245" t="n"/>
      <c r="C268" s="246" t="str">
        <f>IF(SUMIFS(Торговля!$F$5:$F$300,Торговля!$E$5:$E$300,$B268)+SUMIFS(Закрытые!$F$5:$F$300,Закрытые!$E$5:$E$300,$B268,Закрытые!$B$5:$B$300,"T-*")=0,"",SUMIFS(Торговля!$F$5:$F$300,Торговля!$E$5:$E$300,$B268)+SUMIFS(Закрытые!$F$5:$F$300,Закрытые!$E$5:$E$300,$B268,Закрытые!$B$5:$B$300,"T-*"))</f>
        <v/>
      </c>
      <c r="D268" s="183" t="str">
        <f>IF(C268="","",(SUMPRODUCT((Торговля!$E$5:$E$300=$B268)*Торговля!$F$5:$F$300*Торговля!$G$5:$G$300)+SUMPRODUCT((Закрытые!$E$5:$E$300=$B268)*(LEFT(Закрытые!$B$5:$B$300,2)="T-")*Закрытые!$F$5:$F$300*Закрытые!$G$5:$G$300))/C268)</f>
        <v/>
      </c>
      <c r="E268" s="247" t="str">
        <f>IF(C268="","",SUMIFS(Торговля!$H$5:$H$300,Торговля!$E$5:$E$300,$B268)+SUMIFS(Закрытые!$H$5:$H$300,Закрытые!$E$5:$E$300,$B268,Закрытые!$B$5:$B$300,"T-*"))</f>
        <v/>
      </c>
      <c r="F268" s="246" t="str">
        <f>IF(SUMIFS(Торговля!$I$5:$I$300,Торговля!$E$5:$E$300,$B268)+SUMIFS(Закрытые!$I$5:$I$300,Закрытые!$E$5:$E$300,$B268,Закрытые!$B$5:$B$300,"T-*")=0,"",SUMIFS(Торговля!$I$5:$I$300,Торговля!$E$5:$E$300,$B268)+SUMIFS(Закрытые!$I$5:$I$300,Закрытые!$E$5:$E$300,$B268,Закрытые!$B$5:$B$300,"T-*"))</f>
        <v/>
      </c>
      <c r="G268" s="183" t="str">
        <f>IF(F268="","",(SUMPRODUCT((Торговля!$E$5:$E$300=$B268)*Торговля!$I$5:$I$300*Торговля!$J$5:$J$300)+SUMPRODUCT((Закрытые!$E$5:$E$300=$B268)*(LEFT(Закрытые!$B$5:$B$300,2)="T-")*Закрытые!$I$5:$I$300*Закрытые!$J$5:$J$300))/F268)</f>
        <v/>
      </c>
      <c r="H268" s="247" t="str">
        <f>IF(F268="","",SUMIFS(Торговля!$K$5:$K$300,Торговля!$E$5:$E$300,$B268)+SUMIFS(Закрытые!$K$5:$K$300,Закрытые!$E$5:$E$300,$B268,Закрытые!$B$5:$B$300,"T-*"))</f>
        <v/>
      </c>
      <c r="I268" s="246" t="str">
        <f>IF($B268="","",IF(COUNTIFS(Торговля!$E$5:$E$300,$B268)+COUNTIFS(Закрытые!$E$5:$E$300,$B268,Закрытые!$B$5:$B$300,"T-*")=0,"",ROUND(SUMIFS(Торговля!$L$5:$L$300,Торговля!$E$5:$E$300,$B268)+SUMIFS(Закрытые!$L$5:$L$300,Закрытые!$E$5:$E$300,$B268,Закрытые!$B$5:$B$300,"T-*"),8)))</f>
        <v/>
      </c>
      <c r="J268" s="247" t="str">
        <f>IF($B268="","",IF(COUNTIFS(Торговля!$E$5:$E$300,$B268)+COUNTIFS(Закрытые!$E$5:$E$300,$B268,Закрытые!$B$5:$B$300,"T-*")=0,"",ROUND(SUMIFS(Торговля!$M$5:$M$300,Торговля!$E$5:$E$300,$B268)+SUMIFS(Закрытые!$M$5:$M$300,Закрытые!$E$5:$E$300,$B268,Закрытые!$B$5:$B$300,"T-*"),8)))</f>
        <v/>
      </c>
      <c r="K268" s="246" t="str">
        <f>IF(MIN(N(C268),N(F268))&lt;=0,"",ROUND(MIN(N(C268),N(F268))*(N(G268)-N(D268)),8))</f>
        <v/>
      </c>
      <c r="L268" s="183" t="str">
        <f>IF(MIN(N(C268),N(F268))&lt;=0,"",IF(N(D268)=0,"",ROUND((N(G268)/N(D268)-1)*100,2)))</f>
        <v/>
      </c>
      <c r="M268" s="183" t="str">
        <f>IF(OR(ROUND(N(C268)-N(F268),8)=0,1-N(Ввод!$J$19)/100&lt;=0),"",IF(N(C268)&gt;N(F268),(N(E268)-N(H268))/((N(C268)-N(F268))*(1-N(Ввод!$J$19)/100)),(N(H268)-N(E268))/((N(F268)-N(C268))*(1+N(Ввод!$J$19)/100))))</f>
        <v/>
      </c>
    </row>
    <row r="269" ht="22" customHeight="1">
      <c r="B269" s="239" t="n"/>
      <c r="C269" s="240" t="str">
        <f>IF(SUMIFS(Торговля!$F$5:$F$300,Торговля!$E$5:$E$300,$B269)+SUMIFS(Закрытые!$F$5:$F$300,Закрытые!$E$5:$E$300,$B269,Закрытые!$B$5:$B$300,"T-*")=0,"",SUMIFS(Торговля!$F$5:$F$300,Торговля!$E$5:$E$300,$B269)+SUMIFS(Закрытые!$F$5:$F$300,Закрытые!$E$5:$E$300,$B269,Закрытые!$B$5:$B$300,"T-*"))</f>
        <v/>
      </c>
      <c r="D269" s="177" t="str">
        <f>IF(C269="","",(SUMPRODUCT((Торговля!$E$5:$E$300=$B269)*Торговля!$F$5:$F$300*Торговля!$G$5:$G$300)+SUMPRODUCT((Закрытые!$E$5:$E$300=$B269)*(LEFT(Закрытые!$B$5:$B$300,2)="T-")*Закрытые!$F$5:$F$300*Закрытые!$G$5:$G$300))/C269)</f>
        <v/>
      </c>
      <c r="E269" s="241" t="str">
        <f>IF(C269="","",SUMIFS(Торговля!$H$5:$H$300,Торговля!$E$5:$E$300,$B269)+SUMIFS(Закрытые!$H$5:$H$300,Закрытые!$E$5:$E$300,$B269,Закрытые!$B$5:$B$300,"T-*"))</f>
        <v/>
      </c>
      <c r="F269" s="240" t="str">
        <f>IF(SUMIFS(Торговля!$I$5:$I$300,Торговля!$E$5:$E$300,$B269)+SUMIFS(Закрытые!$I$5:$I$300,Закрытые!$E$5:$E$300,$B269,Закрытые!$B$5:$B$300,"T-*")=0,"",SUMIFS(Торговля!$I$5:$I$300,Торговля!$E$5:$E$300,$B269)+SUMIFS(Закрытые!$I$5:$I$300,Закрытые!$E$5:$E$300,$B269,Закрытые!$B$5:$B$300,"T-*"))</f>
        <v/>
      </c>
      <c r="G269" s="177" t="str">
        <f>IF(F269="","",(SUMPRODUCT((Торговля!$E$5:$E$300=$B269)*Торговля!$I$5:$I$300*Торговля!$J$5:$J$300)+SUMPRODUCT((Закрытые!$E$5:$E$300=$B269)*(LEFT(Закрытые!$B$5:$B$300,2)="T-")*Закрытые!$I$5:$I$300*Закрытые!$J$5:$J$300))/F269)</f>
        <v/>
      </c>
      <c r="H269" s="241" t="str">
        <f>IF(F269="","",SUMIFS(Торговля!$K$5:$K$300,Торговля!$E$5:$E$300,$B269)+SUMIFS(Закрытые!$K$5:$K$300,Закрытые!$E$5:$E$300,$B269,Закрытые!$B$5:$B$300,"T-*"))</f>
        <v/>
      </c>
      <c r="I269" s="240" t="str">
        <f>IF($B269="","",IF(COUNTIFS(Торговля!$E$5:$E$300,$B269)+COUNTIFS(Закрытые!$E$5:$E$300,$B269,Закрытые!$B$5:$B$300,"T-*")=0,"",ROUND(SUMIFS(Торговля!$L$5:$L$300,Торговля!$E$5:$E$300,$B269)+SUMIFS(Закрытые!$L$5:$L$300,Закрытые!$E$5:$E$300,$B269,Закрытые!$B$5:$B$300,"T-*"),8)))</f>
        <v/>
      </c>
      <c r="J269" s="241" t="str">
        <f>IF($B269="","",IF(COUNTIFS(Торговля!$E$5:$E$300,$B269)+COUNTIFS(Закрытые!$E$5:$E$300,$B269,Закрытые!$B$5:$B$300,"T-*")=0,"",ROUND(SUMIFS(Торговля!$M$5:$M$300,Торговля!$E$5:$E$300,$B269)+SUMIFS(Закрытые!$M$5:$M$300,Закрытые!$E$5:$E$300,$B269,Закрытые!$B$5:$B$300,"T-*"),8)))</f>
        <v/>
      </c>
      <c r="K269" s="240" t="str">
        <f>IF(MIN(N(C269),N(F269))&lt;=0,"",ROUND(MIN(N(C269),N(F269))*(N(G269)-N(D269)),8))</f>
        <v/>
      </c>
      <c r="L269" s="177" t="str">
        <f>IF(MIN(N(C269),N(F269))&lt;=0,"",IF(N(D269)=0,"",ROUND((N(G269)/N(D269)-1)*100,2)))</f>
        <v/>
      </c>
      <c r="M269" s="177" t="str">
        <f>IF(OR(ROUND(N(C269)-N(F269),8)=0,1-N(Ввод!$J$19)/100&lt;=0),"",IF(N(C269)&gt;N(F269),(N(E269)-N(H269))/((N(C269)-N(F269))*(1-N(Ввод!$J$19)/100)),(N(H269)-N(E269))/((N(F269)-N(C269))*(1+N(Ввод!$J$19)/100))))</f>
        <v/>
      </c>
    </row>
    <row r="270" ht="22" customHeight="1">
      <c r="B270" s="245" t="n"/>
      <c r="C270" s="246" t="str">
        <f>IF(SUMIFS(Торговля!$F$5:$F$300,Торговля!$E$5:$E$300,$B270)+SUMIFS(Закрытые!$F$5:$F$300,Закрытые!$E$5:$E$300,$B270,Закрытые!$B$5:$B$300,"T-*")=0,"",SUMIFS(Торговля!$F$5:$F$300,Торговля!$E$5:$E$300,$B270)+SUMIFS(Закрытые!$F$5:$F$300,Закрытые!$E$5:$E$300,$B270,Закрытые!$B$5:$B$300,"T-*"))</f>
        <v/>
      </c>
      <c r="D270" s="183" t="str">
        <f>IF(C270="","",(SUMPRODUCT((Торговля!$E$5:$E$300=$B270)*Торговля!$F$5:$F$300*Торговля!$G$5:$G$300)+SUMPRODUCT((Закрытые!$E$5:$E$300=$B270)*(LEFT(Закрытые!$B$5:$B$300,2)="T-")*Закрытые!$F$5:$F$300*Закрытые!$G$5:$G$300))/C270)</f>
        <v/>
      </c>
      <c r="E270" s="247" t="str">
        <f>IF(C270="","",SUMIFS(Торговля!$H$5:$H$300,Торговля!$E$5:$E$300,$B270)+SUMIFS(Закрытые!$H$5:$H$300,Закрытые!$E$5:$E$300,$B270,Закрытые!$B$5:$B$300,"T-*"))</f>
        <v/>
      </c>
      <c r="F270" s="246" t="str">
        <f>IF(SUMIFS(Торговля!$I$5:$I$300,Торговля!$E$5:$E$300,$B270)+SUMIFS(Закрытые!$I$5:$I$300,Закрытые!$E$5:$E$300,$B270,Закрытые!$B$5:$B$300,"T-*")=0,"",SUMIFS(Торговля!$I$5:$I$300,Торговля!$E$5:$E$300,$B270)+SUMIFS(Закрытые!$I$5:$I$300,Закрытые!$E$5:$E$300,$B270,Закрытые!$B$5:$B$300,"T-*"))</f>
        <v/>
      </c>
      <c r="G270" s="183" t="str">
        <f>IF(F270="","",(SUMPRODUCT((Торговля!$E$5:$E$300=$B270)*Торговля!$I$5:$I$300*Торговля!$J$5:$J$300)+SUMPRODUCT((Закрытые!$E$5:$E$300=$B270)*(LEFT(Закрытые!$B$5:$B$300,2)="T-")*Закрытые!$I$5:$I$300*Закрытые!$J$5:$J$300))/F270)</f>
        <v/>
      </c>
      <c r="H270" s="247" t="str">
        <f>IF(F270="","",SUMIFS(Торговля!$K$5:$K$300,Торговля!$E$5:$E$300,$B270)+SUMIFS(Закрытые!$K$5:$K$300,Закрытые!$E$5:$E$300,$B270,Закрытые!$B$5:$B$300,"T-*"))</f>
        <v/>
      </c>
      <c r="I270" s="246" t="str">
        <f>IF($B270="","",IF(COUNTIFS(Торговля!$E$5:$E$300,$B270)+COUNTIFS(Закрытые!$E$5:$E$300,$B270,Закрытые!$B$5:$B$300,"T-*")=0,"",ROUND(SUMIFS(Торговля!$L$5:$L$300,Торговля!$E$5:$E$300,$B270)+SUMIFS(Закрытые!$L$5:$L$300,Закрытые!$E$5:$E$300,$B270,Закрытые!$B$5:$B$300,"T-*"),8)))</f>
        <v/>
      </c>
      <c r="J270" s="247" t="str">
        <f>IF($B270="","",IF(COUNTIFS(Торговля!$E$5:$E$300,$B270)+COUNTIFS(Закрытые!$E$5:$E$300,$B270,Закрытые!$B$5:$B$300,"T-*")=0,"",ROUND(SUMIFS(Торговля!$M$5:$M$300,Торговля!$E$5:$E$300,$B270)+SUMIFS(Закрытые!$M$5:$M$300,Закрытые!$E$5:$E$300,$B270,Закрытые!$B$5:$B$300,"T-*"),8)))</f>
        <v/>
      </c>
      <c r="K270" s="246" t="str">
        <f>IF(MIN(N(C270),N(F270))&lt;=0,"",ROUND(MIN(N(C270),N(F270))*(N(G270)-N(D270)),8))</f>
        <v/>
      </c>
      <c r="L270" s="183" t="str">
        <f>IF(MIN(N(C270),N(F270))&lt;=0,"",IF(N(D270)=0,"",ROUND((N(G270)/N(D270)-1)*100,2)))</f>
        <v/>
      </c>
      <c r="M270" s="183" t="str">
        <f>IF(OR(ROUND(N(C270)-N(F270),8)=0,1-N(Ввод!$J$19)/100&lt;=0),"",IF(N(C270)&gt;N(F270),(N(E270)-N(H270))/((N(C270)-N(F270))*(1-N(Ввод!$J$19)/100)),(N(H270)-N(E270))/((N(F270)-N(C270))*(1+N(Ввод!$J$19)/100))))</f>
        <v/>
      </c>
    </row>
    <row r="271" ht="22" customHeight="1">
      <c r="B271" s="239" t="n"/>
      <c r="C271" s="240" t="str">
        <f>IF(SUMIFS(Торговля!$F$5:$F$300,Торговля!$E$5:$E$300,$B271)+SUMIFS(Закрытые!$F$5:$F$300,Закрытые!$E$5:$E$300,$B271,Закрытые!$B$5:$B$300,"T-*")=0,"",SUMIFS(Торговля!$F$5:$F$300,Торговля!$E$5:$E$300,$B271)+SUMIFS(Закрытые!$F$5:$F$300,Закрытые!$E$5:$E$300,$B271,Закрытые!$B$5:$B$300,"T-*"))</f>
        <v/>
      </c>
      <c r="D271" s="177" t="str">
        <f>IF(C271="","",(SUMPRODUCT((Торговля!$E$5:$E$300=$B271)*Торговля!$F$5:$F$300*Торговля!$G$5:$G$300)+SUMPRODUCT((Закрытые!$E$5:$E$300=$B271)*(LEFT(Закрытые!$B$5:$B$300,2)="T-")*Закрытые!$F$5:$F$300*Закрытые!$G$5:$G$300))/C271)</f>
        <v/>
      </c>
      <c r="E271" s="241" t="str">
        <f>IF(C271="","",SUMIFS(Торговля!$H$5:$H$300,Торговля!$E$5:$E$300,$B271)+SUMIFS(Закрытые!$H$5:$H$300,Закрытые!$E$5:$E$300,$B271,Закрытые!$B$5:$B$300,"T-*"))</f>
        <v/>
      </c>
      <c r="F271" s="240" t="str">
        <f>IF(SUMIFS(Торговля!$I$5:$I$300,Торговля!$E$5:$E$300,$B271)+SUMIFS(Закрытые!$I$5:$I$300,Закрытые!$E$5:$E$300,$B271,Закрытые!$B$5:$B$300,"T-*")=0,"",SUMIFS(Торговля!$I$5:$I$300,Торговля!$E$5:$E$300,$B271)+SUMIFS(Закрытые!$I$5:$I$300,Закрытые!$E$5:$E$300,$B271,Закрытые!$B$5:$B$300,"T-*"))</f>
        <v/>
      </c>
      <c r="G271" s="177" t="str">
        <f>IF(F271="","",(SUMPRODUCT((Торговля!$E$5:$E$300=$B271)*Торговля!$I$5:$I$300*Торговля!$J$5:$J$300)+SUMPRODUCT((Закрытые!$E$5:$E$300=$B271)*(LEFT(Закрытые!$B$5:$B$300,2)="T-")*Закрытые!$I$5:$I$300*Закрытые!$J$5:$J$300))/F271)</f>
        <v/>
      </c>
      <c r="H271" s="241" t="str">
        <f>IF(F271="","",SUMIFS(Торговля!$K$5:$K$300,Торговля!$E$5:$E$300,$B271)+SUMIFS(Закрытые!$K$5:$K$300,Закрытые!$E$5:$E$300,$B271,Закрытые!$B$5:$B$300,"T-*"))</f>
        <v/>
      </c>
      <c r="I271" s="240" t="str">
        <f>IF($B271="","",IF(COUNTIFS(Торговля!$E$5:$E$300,$B271)+COUNTIFS(Закрытые!$E$5:$E$300,$B271,Закрытые!$B$5:$B$300,"T-*")=0,"",ROUND(SUMIFS(Торговля!$L$5:$L$300,Торговля!$E$5:$E$300,$B271)+SUMIFS(Закрытые!$L$5:$L$300,Закрытые!$E$5:$E$300,$B271,Закрытые!$B$5:$B$300,"T-*"),8)))</f>
        <v/>
      </c>
      <c r="J271" s="241" t="str">
        <f>IF($B271="","",IF(COUNTIFS(Торговля!$E$5:$E$300,$B271)+COUNTIFS(Закрытые!$E$5:$E$300,$B271,Закрытые!$B$5:$B$300,"T-*")=0,"",ROUND(SUMIFS(Торговля!$M$5:$M$300,Торговля!$E$5:$E$300,$B271)+SUMIFS(Закрытые!$M$5:$M$300,Закрытые!$E$5:$E$300,$B271,Закрытые!$B$5:$B$300,"T-*"),8)))</f>
        <v/>
      </c>
      <c r="K271" s="240" t="str">
        <f>IF(MIN(N(C271),N(F271))&lt;=0,"",ROUND(MIN(N(C271),N(F271))*(N(G271)-N(D271)),8))</f>
        <v/>
      </c>
      <c r="L271" s="177" t="str">
        <f>IF(MIN(N(C271),N(F271))&lt;=0,"",IF(N(D271)=0,"",ROUND((N(G271)/N(D271)-1)*100,2)))</f>
        <v/>
      </c>
      <c r="M271" s="177" t="str">
        <f>IF(OR(ROUND(N(C271)-N(F271),8)=0,1-N(Ввод!$J$19)/100&lt;=0),"",IF(N(C271)&gt;N(F271),(N(E271)-N(H271))/((N(C271)-N(F271))*(1-N(Ввод!$J$19)/100)),(N(H271)-N(E271))/((N(F271)-N(C271))*(1+N(Ввод!$J$19)/100))))</f>
        <v/>
      </c>
    </row>
    <row r="272" ht="22" customHeight="1">
      <c r="B272" s="245" t="n"/>
      <c r="C272" s="246" t="str">
        <f>IF(SUMIFS(Торговля!$F$5:$F$300,Торговля!$E$5:$E$300,$B272)+SUMIFS(Закрытые!$F$5:$F$300,Закрытые!$E$5:$E$300,$B272,Закрытые!$B$5:$B$300,"T-*")=0,"",SUMIFS(Торговля!$F$5:$F$300,Торговля!$E$5:$E$300,$B272)+SUMIFS(Закрытые!$F$5:$F$300,Закрытые!$E$5:$E$300,$B272,Закрытые!$B$5:$B$300,"T-*"))</f>
        <v/>
      </c>
      <c r="D272" s="183" t="str">
        <f>IF(C272="","",(SUMPRODUCT((Торговля!$E$5:$E$300=$B272)*Торговля!$F$5:$F$300*Торговля!$G$5:$G$300)+SUMPRODUCT((Закрытые!$E$5:$E$300=$B272)*(LEFT(Закрытые!$B$5:$B$300,2)="T-")*Закрытые!$F$5:$F$300*Закрытые!$G$5:$G$300))/C272)</f>
        <v/>
      </c>
      <c r="E272" s="247" t="str">
        <f>IF(C272="","",SUMIFS(Торговля!$H$5:$H$300,Торговля!$E$5:$E$300,$B272)+SUMIFS(Закрытые!$H$5:$H$300,Закрытые!$E$5:$E$300,$B272,Закрытые!$B$5:$B$300,"T-*"))</f>
        <v/>
      </c>
      <c r="F272" s="246" t="str">
        <f>IF(SUMIFS(Торговля!$I$5:$I$300,Торговля!$E$5:$E$300,$B272)+SUMIFS(Закрытые!$I$5:$I$300,Закрытые!$E$5:$E$300,$B272,Закрытые!$B$5:$B$300,"T-*")=0,"",SUMIFS(Торговля!$I$5:$I$300,Торговля!$E$5:$E$300,$B272)+SUMIFS(Закрытые!$I$5:$I$300,Закрытые!$E$5:$E$300,$B272,Закрытые!$B$5:$B$300,"T-*"))</f>
        <v/>
      </c>
      <c r="G272" s="183" t="str">
        <f>IF(F272="","",(SUMPRODUCT((Торговля!$E$5:$E$300=$B272)*Торговля!$I$5:$I$300*Торговля!$J$5:$J$300)+SUMPRODUCT((Закрытые!$E$5:$E$300=$B272)*(LEFT(Закрытые!$B$5:$B$300,2)="T-")*Закрытые!$I$5:$I$300*Закрытые!$J$5:$J$300))/F272)</f>
        <v/>
      </c>
      <c r="H272" s="247" t="str">
        <f>IF(F272="","",SUMIFS(Торговля!$K$5:$K$300,Торговля!$E$5:$E$300,$B272)+SUMIFS(Закрытые!$K$5:$K$300,Закрытые!$E$5:$E$300,$B272,Закрытые!$B$5:$B$300,"T-*"))</f>
        <v/>
      </c>
      <c r="I272" s="246" t="str">
        <f>IF($B272="","",IF(COUNTIFS(Торговля!$E$5:$E$300,$B272)+COUNTIFS(Закрытые!$E$5:$E$300,$B272,Закрытые!$B$5:$B$300,"T-*")=0,"",ROUND(SUMIFS(Торговля!$L$5:$L$300,Торговля!$E$5:$E$300,$B272)+SUMIFS(Закрытые!$L$5:$L$300,Закрытые!$E$5:$E$300,$B272,Закрытые!$B$5:$B$300,"T-*"),8)))</f>
        <v/>
      </c>
      <c r="J272" s="247" t="str">
        <f>IF($B272="","",IF(COUNTIFS(Торговля!$E$5:$E$300,$B272)+COUNTIFS(Закрытые!$E$5:$E$300,$B272,Закрытые!$B$5:$B$300,"T-*")=0,"",ROUND(SUMIFS(Торговля!$M$5:$M$300,Торговля!$E$5:$E$300,$B272)+SUMIFS(Закрытые!$M$5:$M$300,Закрытые!$E$5:$E$300,$B272,Закрытые!$B$5:$B$300,"T-*"),8)))</f>
        <v/>
      </c>
      <c r="K272" s="246" t="str">
        <f>IF(MIN(N(C272),N(F272))&lt;=0,"",ROUND(MIN(N(C272),N(F272))*(N(G272)-N(D272)),8))</f>
        <v/>
      </c>
      <c r="L272" s="183" t="str">
        <f>IF(MIN(N(C272),N(F272))&lt;=0,"",IF(N(D272)=0,"",ROUND((N(G272)/N(D272)-1)*100,2)))</f>
        <v/>
      </c>
      <c r="M272" s="183" t="str">
        <f>IF(OR(ROUND(N(C272)-N(F272),8)=0,1-N(Ввод!$J$19)/100&lt;=0),"",IF(N(C272)&gt;N(F272),(N(E272)-N(H272))/((N(C272)-N(F272))*(1-N(Ввод!$J$19)/100)),(N(H272)-N(E272))/((N(F272)-N(C272))*(1+N(Ввод!$J$19)/100))))</f>
        <v/>
      </c>
    </row>
    <row r="273" ht="22" customHeight="1">
      <c r="B273" s="239" t="n"/>
      <c r="C273" s="240" t="str">
        <f>IF(SUMIFS(Торговля!$F$5:$F$300,Торговля!$E$5:$E$300,$B273)+SUMIFS(Закрытые!$F$5:$F$300,Закрытые!$E$5:$E$300,$B273,Закрытые!$B$5:$B$300,"T-*")=0,"",SUMIFS(Торговля!$F$5:$F$300,Торговля!$E$5:$E$300,$B273)+SUMIFS(Закрытые!$F$5:$F$300,Закрытые!$E$5:$E$300,$B273,Закрытые!$B$5:$B$300,"T-*"))</f>
        <v/>
      </c>
      <c r="D273" s="177" t="str">
        <f>IF(C273="","",(SUMPRODUCT((Торговля!$E$5:$E$300=$B273)*Торговля!$F$5:$F$300*Торговля!$G$5:$G$300)+SUMPRODUCT((Закрытые!$E$5:$E$300=$B273)*(LEFT(Закрытые!$B$5:$B$300,2)="T-")*Закрытые!$F$5:$F$300*Закрытые!$G$5:$G$300))/C273)</f>
        <v/>
      </c>
      <c r="E273" s="241" t="str">
        <f>IF(C273="","",SUMIFS(Торговля!$H$5:$H$300,Торговля!$E$5:$E$300,$B273)+SUMIFS(Закрытые!$H$5:$H$300,Закрытые!$E$5:$E$300,$B273,Закрытые!$B$5:$B$300,"T-*"))</f>
        <v/>
      </c>
      <c r="F273" s="240" t="str">
        <f>IF(SUMIFS(Торговля!$I$5:$I$300,Торговля!$E$5:$E$300,$B273)+SUMIFS(Закрытые!$I$5:$I$300,Закрытые!$E$5:$E$300,$B273,Закрытые!$B$5:$B$300,"T-*")=0,"",SUMIFS(Торговля!$I$5:$I$300,Торговля!$E$5:$E$300,$B273)+SUMIFS(Закрытые!$I$5:$I$300,Закрытые!$E$5:$E$300,$B273,Закрытые!$B$5:$B$300,"T-*"))</f>
        <v/>
      </c>
      <c r="G273" s="177" t="str">
        <f>IF(F273="","",(SUMPRODUCT((Торговля!$E$5:$E$300=$B273)*Торговля!$I$5:$I$300*Торговля!$J$5:$J$300)+SUMPRODUCT((Закрытые!$E$5:$E$300=$B273)*(LEFT(Закрытые!$B$5:$B$300,2)="T-")*Закрытые!$I$5:$I$300*Закрытые!$J$5:$J$300))/F273)</f>
        <v/>
      </c>
      <c r="H273" s="241" t="str">
        <f>IF(F273="","",SUMIFS(Торговля!$K$5:$K$300,Торговля!$E$5:$E$300,$B273)+SUMIFS(Закрытые!$K$5:$K$300,Закрытые!$E$5:$E$300,$B273,Закрытые!$B$5:$B$300,"T-*"))</f>
        <v/>
      </c>
      <c r="I273" s="240" t="str">
        <f>IF($B273="","",IF(COUNTIFS(Торговля!$E$5:$E$300,$B273)+COUNTIFS(Закрытые!$E$5:$E$300,$B273,Закрытые!$B$5:$B$300,"T-*")=0,"",ROUND(SUMIFS(Торговля!$L$5:$L$300,Торговля!$E$5:$E$300,$B273)+SUMIFS(Закрытые!$L$5:$L$300,Закрытые!$E$5:$E$300,$B273,Закрытые!$B$5:$B$300,"T-*"),8)))</f>
        <v/>
      </c>
      <c r="J273" s="241" t="str">
        <f>IF($B273="","",IF(COUNTIFS(Торговля!$E$5:$E$300,$B273)+COUNTIFS(Закрытые!$E$5:$E$300,$B273,Закрытые!$B$5:$B$300,"T-*")=0,"",ROUND(SUMIFS(Торговля!$M$5:$M$300,Торговля!$E$5:$E$300,$B273)+SUMIFS(Закрытые!$M$5:$M$300,Закрытые!$E$5:$E$300,$B273,Закрытые!$B$5:$B$300,"T-*"),8)))</f>
        <v/>
      </c>
      <c r="K273" s="240" t="str">
        <f>IF(MIN(N(C273),N(F273))&lt;=0,"",ROUND(MIN(N(C273),N(F273))*(N(G273)-N(D273)),8))</f>
        <v/>
      </c>
      <c r="L273" s="177" t="str">
        <f>IF(MIN(N(C273),N(F273))&lt;=0,"",IF(N(D273)=0,"",ROUND((N(G273)/N(D273)-1)*100,2)))</f>
        <v/>
      </c>
      <c r="M273" s="177" t="str">
        <f>IF(OR(ROUND(N(C273)-N(F273),8)=0,1-N(Ввод!$J$19)/100&lt;=0),"",IF(N(C273)&gt;N(F273),(N(E273)-N(H273))/((N(C273)-N(F273))*(1-N(Ввод!$J$19)/100)),(N(H273)-N(E273))/((N(F273)-N(C273))*(1+N(Ввод!$J$19)/100))))</f>
        <v/>
      </c>
    </row>
    <row r="274" ht="22" customHeight="1">
      <c r="B274" s="245" t="n"/>
      <c r="C274" s="246" t="str">
        <f>IF(SUMIFS(Торговля!$F$5:$F$300,Торговля!$E$5:$E$300,$B274)+SUMIFS(Закрытые!$F$5:$F$300,Закрытые!$E$5:$E$300,$B274,Закрытые!$B$5:$B$300,"T-*")=0,"",SUMIFS(Торговля!$F$5:$F$300,Торговля!$E$5:$E$300,$B274)+SUMIFS(Закрытые!$F$5:$F$300,Закрытые!$E$5:$E$300,$B274,Закрытые!$B$5:$B$300,"T-*"))</f>
        <v/>
      </c>
      <c r="D274" s="183" t="str">
        <f>IF(C274="","",(SUMPRODUCT((Торговля!$E$5:$E$300=$B274)*Торговля!$F$5:$F$300*Торговля!$G$5:$G$300)+SUMPRODUCT((Закрытые!$E$5:$E$300=$B274)*(LEFT(Закрытые!$B$5:$B$300,2)="T-")*Закрытые!$F$5:$F$300*Закрытые!$G$5:$G$300))/C274)</f>
        <v/>
      </c>
      <c r="E274" s="247" t="str">
        <f>IF(C274="","",SUMIFS(Торговля!$H$5:$H$300,Торговля!$E$5:$E$300,$B274)+SUMIFS(Закрытые!$H$5:$H$300,Закрытые!$E$5:$E$300,$B274,Закрытые!$B$5:$B$300,"T-*"))</f>
        <v/>
      </c>
      <c r="F274" s="246" t="str">
        <f>IF(SUMIFS(Торговля!$I$5:$I$300,Торговля!$E$5:$E$300,$B274)+SUMIFS(Закрытые!$I$5:$I$300,Закрытые!$E$5:$E$300,$B274,Закрытые!$B$5:$B$300,"T-*")=0,"",SUMIFS(Торговля!$I$5:$I$300,Торговля!$E$5:$E$300,$B274)+SUMIFS(Закрытые!$I$5:$I$300,Закрытые!$E$5:$E$300,$B274,Закрытые!$B$5:$B$300,"T-*"))</f>
        <v/>
      </c>
      <c r="G274" s="183" t="str">
        <f>IF(F274="","",(SUMPRODUCT((Торговля!$E$5:$E$300=$B274)*Торговля!$I$5:$I$300*Торговля!$J$5:$J$300)+SUMPRODUCT((Закрытые!$E$5:$E$300=$B274)*(LEFT(Закрытые!$B$5:$B$300,2)="T-")*Закрытые!$I$5:$I$300*Закрытые!$J$5:$J$300))/F274)</f>
        <v/>
      </c>
      <c r="H274" s="247" t="str">
        <f>IF(F274="","",SUMIFS(Торговля!$K$5:$K$300,Торговля!$E$5:$E$300,$B274)+SUMIFS(Закрытые!$K$5:$K$300,Закрытые!$E$5:$E$300,$B274,Закрытые!$B$5:$B$300,"T-*"))</f>
        <v/>
      </c>
      <c r="I274" s="246" t="str">
        <f>IF($B274="","",IF(COUNTIFS(Торговля!$E$5:$E$300,$B274)+COUNTIFS(Закрытые!$E$5:$E$300,$B274,Закрытые!$B$5:$B$300,"T-*")=0,"",ROUND(SUMIFS(Торговля!$L$5:$L$300,Торговля!$E$5:$E$300,$B274)+SUMIFS(Закрытые!$L$5:$L$300,Закрытые!$E$5:$E$300,$B274,Закрытые!$B$5:$B$300,"T-*"),8)))</f>
        <v/>
      </c>
      <c r="J274" s="247" t="str">
        <f>IF($B274="","",IF(COUNTIFS(Торговля!$E$5:$E$300,$B274)+COUNTIFS(Закрытые!$E$5:$E$300,$B274,Закрытые!$B$5:$B$300,"T-*")=0,"",ROUND(SUMIFS(Торговля!$M$5:$M$300,Торговля!$E$5:$E$300,$B274)+SUMIFS(Закрытые!$M$5:$M$300,Закрытые!$E$5:$E$300,$B274,Закрытые!$B$5:$B$300,"T-*"),8)))</f>
        <v/>
      </c>
      <c r="K274" s="246" t="str">
        <f>IF(MIN(N(C274),N(F274))&lt;=0,"",ROUND(MIN(N(C274),N(F274))*(N(G274)-N(D274)),8))</f>
        <v/>
      </c>
      <c r="L274" s="183" t="str">
        <f>IF(MIN(N(C274),N(F274))&lt;=0,"",IF(N(D274)=0,"",ROUND((N(G274)/N(D274)-1)*100,2)))</f>
        <v/>
      </c>
      <c r="M274" s="183" t="str">
        <f>IF(OR(ROUND(N(C274)-N(F274),8)=0,1-N(Ввод!$J$19)/100&lt;=0),"",IF(N(C274)&gt;N(F274),(N(E274)-N(H274))/((N(C274)-N(F274))*(1-N(Ввод!$J$19)/100)),(N(H274)-N(E274))/((N(F274)-N(C274))*(1+N(Ввод!$J$19)/100))))</f>
        <v/>
      </c>
    </row>
    <row r="275" ht="22" customHeight="1">
      <c r="B275" s="239" t="n"/>
      <c r="C275" s="240" t="str">
        <f>IF(SUMIFS(Торговля!$F$5:$F$300,Торговля!$E$5:$E$300,$B275)+SUMIFS(Закрытые!$F$5:$F$300,Закрытые!$E$5:$E$300,$B275,Закрытые!$B$5:$B$300,"T-*")=0,"",SUMIFS(Торговля!$F$5:$F$300,Торговля!$E$5:$E$300,$B275)+SUMIFS(Закрытые!$F$5:$F$300,Закрытые!$E$5:$E$300,$B275,Закрытые!$B$5:$B$300,"T-*"))</f>
        <v/>
      </c>
      <c r="D275" s="177" t="str">
        <f>IF(C275="","",(SUMPRODUCT((Торговля!$E$5:$E$300=$B275)*Торговля!$F$5:$F$300*Торговля!$G$5:$G$300)+SUMPRODUCT((Закрытые!$E$5:$E$300=$B275)*(LEFT(Закрытые!$B$5:$B$300,2)="T-")*Закрытые!$F$5:$F$300*Закрытые!$G$5:$G$300))/C275)</f>
        <v/>
      </c>
      <c r="E275" s="241" t="str">
        <f>IF(C275="","",SUMIFS(Торговля!$H$5:$H$300,Торговля!$E$5:$E$300,$B275)+SUMIFS(Закрытые!$H$5:$H$300,Закрытые!$E$5:$E$300,$B275,Закрытые!$B$5:$B$300,"T-*"))</f>
        <v/>
      </c>
      <c r="F275" s="240" t="str">
        <f>IF(SUMIFS(Торговля!$I$5:$I$300,Торговля!$E$5:$E$300,$B275)+SUMIFS(Закрытые!$I$5:$I$300,Закрытые!$E$5:$E$300,$B275,Закрытые!$B$5:$B$300,"T-*")=0,"",SUMIFS(Торговля!$I$5:$I$300,Торговля!$E$5:$E$300,$B275)+SUMIFS(Закрытые!$I$5:$I$300,Закрытые!$E$5:$E$300,$B275,Закрытые!$B$5:$B$300,"T-*"))</f>
        <v/>
      </c>
      <c r="G275" s="177" t="str">
        <f>IF(F275="","",(SUMPRODUCT((Торговля!$E$5:$E$300=$B275)*Торговля!$I$5:$I$300*Торговля!$J$5:$J$300)+SUMPRODUCT((Закрытые!$E$5:$E$300=$B275)*(LEFT(Закрытые!$B$5:$B$300,2)="T-")*Закрытые!$I$5:$I$300*Закрытые!$J$5:$J$300))/F275)</f>
        <v/>
      </c>
      <c r="H275" s="241" t="str">
        <f>IF(F275="","",SUMIFS(Торговля!$K$5:$K$300,Торговля!$E$5:$E$300,$B275)+SUMIFS(Закрытые!$K$5:$K$300,Закрытые!$E$5:$E$300,$B275,Закрытые!$B$5:$B$300,"T-*"))</f>
        <v/>
      </c>
      <c r="I275" s="240" t="str">
        <f>IF($B275="","",IF(COUNTIFS(Торговля!$E$5:$E$300,$B275)+COUNTIFS(Закрытые!$E$5:$E$300,$B275,Закрытые!$B$5:$B$300,"T-*")=0,"",ROUND(SUMIFS(Торговля!$L$5:$L$300,Торговля!$E$5:$E$300,$B275)+SUMIFS(Закрытые!$L$5:$L$300,Закрытые!$E$5:$E$300,$B275,Закрытые!$B$5:$B$300,"T-*"),8)))</f>
        <v/>
      </c>
      <c r="J275" s="241" t="str">
        <f>IF($B275="","",IF(COUNTIFS(Торговля!$E$5:$E$300,$B275)+COUNTIFS(Закрытые!$E$5:$E$300,$B275,Закрытые!$B$5:$B$300,"T-*")=0,"",ROUND(SUMIFS(Торговля!$M$5:$M$300,Торговля!$E$5:$E$300,$B275)+SUMIFS(Закрытые!$M$5:$M$300,Закрытые!$E$5:$E$300,$B275,Закрытые!$B$5:$B$300,"T-*"),8)))</f>
        <v/>
      </c>
      <c r="K275" s="240" t="str">
        <f>IF(MIN(N(C275),N(F275))&lt;=0,"",ROUND(MIN(N(C275),N(F275))*(N(G275)-N(D275)),8))</f>
        <v/>
      </c>
      <c r="L275" s="177" t="str">
        <f>IF(MIN(N(C275),N(F275))&lt;=0,"",IF(N(D275)=0,"",ROUND((N(G275)/N(D275)-1)*100,2)))</f>
        <v/>
      </c>
      <c r="M275" s="177" t="str">
        <f>IF(OR(ROUND(N(C275)-N(F275),8)=0,1-N(Ввод!$J$19)/100&lt;=0),"",IF(N(C275)&gt;N(F275),(N(E275)-N(H275))/((N(C275)-N(F275))*(1-N(Ввод!$J$19)/100)),(N(H275)-N(E275))/((N(F275)-N(C275))*(1+N(Ввод!$J$19)/100))))</f>
        <v/>
      </c>
    </row>
    <row r="276" ht="22" customHeight="1">
      <c r="B276" s="245" t="n"/>
      <c r="C276" s="246" t="str">
        <f>IF(SUMIFS(Торговля!$F$5:$F$300,Торговля!$E$5:$E$300,$B276)+SUMIFS(Закрытые!$F$5:$F$300,Закрытые!$E$5:$E$300,$B276,Закрытые!$B$5:$B$300,"T-*")=0,"",SUMIFS(Торговля!$F$5:$F$300,Торговля!$E$5:$E$300,$B276)+SUMIFS(Закрытые!$F$5:$F$300,Закрытые!$E$5:$E$300,$B276,Закрытые!$B$5:$B$300,"T-*"))</f>
        <v/>
      </c>
      <c r="D276" s="183" t="str">
        <f>IF(C276="","",(SUMPRODUCT((Торговля!$E$5:$E$300=$B276)*Торговля!$F$5:$F$300*Торговля!$G$5:$G$300)+SUMPRODUCT((Закрытые!$E$5:$E$300=$B276)*(LEFT(Закрытые!$B$5:$B$300,2)="T-")*Закрытые!$F$5:$F$300*Закрытые!$G$5:$G$300))/C276)</f>
        <v/>
      </c>
      <c r="E276" s="247" t="str">
        <f>IF(C276="","",SUMIFS(Торговля!$H$5:$H$300,Торговля!$E$5:$E$300,$B276)+SUMIFS(Закрытые!$H$5:$H$300,Закрытые!$E$5:$E$300,$B276,Закрытые!$B$5:$B$300,"T-*"))</f>
        <v/>
      </c>
      <c r="F276" s="246" t="str">
        <f>IF(SUMIFS(Торговля!$I$5:$I$300,Торговля!$E$5:$E$300,$B276)+SUMIFS(Закрытые!$I$5:$I$300,Закрытые!$E$5:$E$300,$B276,Закрытые!$B$5:$B$300,"T-*")=0,"",SUMIFS(Торговля!$I$5:$I$300,Торговля!$E$5:$E$300,$B276)+SUMIFS(Закрытые!$I$5:$I$300,Закрытые!$E$5:$E$300,$B276,Закрытые!$B$5:$B$300,"T-*"))</f>
        <v/>
      </c>
      <c r="G276" s="183" t="str">
        <f>IF(F276="","",(SUMPRODUCT((Торговля!$E$5:$E$300=$B276)*Торговля!$I$5:$I$300*Торговля!$J$5:$J$300)+SUMPRODUCT((Закрытые!$E$5:$E$300=$B276)*(LEFT(Закрытые!$B$5:$B$300,2)="T-")*Закрытые!$I$5:$I$300*Закрытые!$J$5:$J$300))/F276)</f>
        <v/>
      </c>
      <c r="H276" s="247" t="str">
        <f>IF(F276="","",SUMIFS(Торговля!$K$5:$K$300,Торговля!$E$5:$E$300,$B276)+SUMIFS(Закрытые!$K$5:$K$300,Закрытые!$E$5:$E$300,$B276,Закрытые!$B$5:$B$300,"T-*"))</f>
        <v/>
      </c>
      <c r="I276" s="246" t="str">
        <f>IF($B276="","",IF(COUNTIFS(Торговля!$E$5:$E$300,$B276)+COUNTIFS(Закрытые!$E$5:$E$300,$B276,Закрытые!$B$5:$B$300,"T-*")=0,"",ROUND(SUMIFS(Торговля!$L$5:$L$300,Торговля!$E$5:$E$300,$B276)+SUMIFS(Закрытые!$L$5:$L$300,Закрытые!$E$5:$E$300,$B276,Закрытые!$B$5:$B$300,"T-*"),8)))</f>
        <v/>
      </c>
      <c r="J276" s="247" t="str">
        <f>IF($B276="","",IF(COUNTIFS(Торговля!$E$5:$E$300,$B276)+COUNTIFS(Закрытые!$E$5:$E$300,$B276,Закрытые!$B$5:$B$300,"T-*")=0,"",ROUND(SUMIFS(Торговля!$M$5:$M$300,Торговля!$E$5:$E$300,$B276)+SUMIFS(Закрытые!$M$5:$M$300,Закрытые!$E$5:$E$300,$B276,Закрытые!$B$5:$B$300,"T-*"),8)))</f>
        <v/>
      </c>
      <c r="K276" s="246" t="str">
        <f>IF(MIN(N(C276),N(F276))&lt;=0,"",ROUND(MIN(N(C276),N(F276))*(N(G276)-N(D276)),8))</f>
        <v/>
      </c>
      <c r="L276" s="183" t="str">
        <f>IF(MIN(N(C276),N(F276))&lt;=0,"",IF(N(D276)=0,"",ROUND((N(G276)/N(D276)-1)*100,2)))</f>
        <v/>
      </c>
      <c r="M276" s="183" t="str">
        <f>IF(OR(ROUND(N(C276)-N(F276),8)=0,1-N(Ввод!$J$19)/100&lt;=0),"",IF(N(C276)&gt;N(F276),(N(E276)-N(H276))/((N(C276)-N(F276))*(1-N(Ввод!$J$19)/100)),(N(H276)-N(E276))/((N(F276)-N(C276))*(1+N(Ввод!$J$19)/100))))</f>
        <v/>
      </c>
    </row>
    <row r="277" ht="22" customHeight="1">
      <c r="B277" s="239" t="n"/>
      <c r="C277" s="240" t="str">
        <f>IF(SUMIFS(Торговля!$F$5:$F$300,Торговля!$E$5:$E$300,$B277)+SUMIFS(Закрытые!$F$5:$F$300,Закрытые!$E$5:$E$300,$B277,Закрытые!$B$5:$B$300,"T-*")=0,"",SUMIFS(Торговля!$F$5:$F$300,Торговля!$E$5:$E$300,$B277)+SUMIFS(Закрытые!$F$5:$F$300,Закрытые!$E$5:$E$300,$B277,Закрытые!$B$5:$B$300,"T-*"))</f>
        <v/>
      </c>
      <c r="D277" s="177" t="str">
        <f>IF(C277="","",(SUMPRODUCT((Торговля!$E$5:$E$300=$B277)*Торговля!$F$5:$F$300*Торговля!$G$5:$G$300)+SUMPRODUCT((Закрытые!$E$5:$E$300=$B277)*(LEFT(Закрытые!$B$5:$B$300,2)="T-")*Закрытые!$F$5:$F$300*Закрытые!$G$5:$G$300))/C277)</f>
        <v/>
      </c>
      <c r="E277" s="241" t="str">
        <f>IF(C277="","",SUMIFS(Торговля!$H$5:$H$300,Торговля!$E$5:$E$300,$B277)+SUMIFS(Закрытые!$H$5:$H$300,Закрытые!$E$5:$E$300,$B277,Закрытые!$B$5:$B$300,"T-*"))</f>
        <v/>
      </c>
      <c r="F277" s="240" t="str">
        <f>IF(SUMIFS(Торговля!$I$5:$I$300,Торговля!$E$5:$E$300,$B277)+SUMIFS(Закрытые!$I$5:$I$300,Закрытые!$E$5:$E$300,$B277,Закрытые!$B$5:$B$300,"T-*")=0,"",SUMIFS(Торговля!$I$5:$I$300,Торговля!$E$5:$E$300,$B277)+SUMIFS(Закрытые!$I$5:$I$300,Закрытые!$E$5:$E$300,$B277,Закрытые!$B$5:$B$300,"T-*"))</f>
        <v/>
      </c>
      <c r="G277" s="177" t="str">
        <f>IF(F277="","",(SUMPRODUCT((Торговля!$E$5:$E$300=$B277)*Торговля!$I$5:$I$300*Торговля!$J$5:$J$300)+SUMPRODUCT((Закрытые!$E$5:$E$300=$B277)*(LEFT(Закрытые!$B$5:$B$300,2)="T-")*Закрытые!$I$5:$I$300*Закрытые!$J$5:$J$300))/F277)</f>
        <v/>
      </c>
      <c r="H277" s="241" t="str">
        <f>IF(F277="","",SUMIFS(Торговля!$K$5:$K$300,Торговля!$E$5:$E$300,$B277)+SUMIFS(Закрытые!$K$5:$K$300,Закрытые!$E$5:$E$300,$B277,Закрытые!$B$5:$B$300,"T-*"))</f>
        <v/>
      </c>
      <c r="I277" s="240" t="str">
        <f>IF($B277="","",IF(COUNTIFS(Торговля!$E$5:$E$300,$B277)+COUNTIFS(Закрытые!$E$5:$E$300,$B277,Закрытые!$B$5:$B$300,"T-*")=0,"",ROUND(SUMIFS(Торговля!$L$5:$L$300,Торговля!$E$5:$E$300,$B277)+SUMIFS(Закрытые!$L$5:$L$300,Закрытые!$E$5:$E$300,$B277,Закрытые!$B$5:$B$300,"T-*"),8)))</f>
        <v/>
      </c>
      <c r="J277" s="241" t="str">
        <f>IF($B277="","",IF(COUNTIFS(Торговля!$E$5:$E$300,$B277)+COUNTIFS(Закрытые!$E$5:$E$300,$B277,Закрытые!$B$5:$B$300,"T-*")=0,"",ROUND(SUMIFS(Торговля!$M$5:$M$300,Торговля!$E$5:$E$300,$B277)+SUMIFS(Закрытые!$M$5:$M$300,Закрытые!$E$5:$E$300,$B277,Закрытые!$B$5:$B$300,"T-*"),8)))</f>
        <v/>
      </c>
      <c r="K277" s="240" t="str">
        <f>IF(MIN(N(C277),N(F277))&lt;=0,"",ROUND(MIN(N(C277),N(F277))*(N(G277)-N(D277)),8))</f>
        <v/>
      </c>
      <c r="L277" s="177" t="str">
        <f>IF(MIN(N(C277),N(F277))&lt;=0,"",IF(N(D277)=0,"",ROUND((N(G277)/N(D277)-1)*100,2)))</f>
        <v/>
      </c>
      <c r="M277" s="177" t="str">
        <f>IF(OR(ROUND(N(C277)-N(F277),8)=0,1-N(Ввод!$J$19)/100&lt;=0),"",IF(N(C277)&gt;N(F277),(N(E277)-N(H277))/((N(C277)-N(F277))*(1-N(Ввод!$J$19)/100)),(N(H277)-N(E277))/((N(F277)-N(C277))*(1+N(Ввод!$J$19)/100))))</f>
        <v/>
      </c>
    </row>
    <row r="278" ht="22" customHeight="1">
      <c r="B278" s="245" t="n"/>
      <c r="C278" s="246" t="str">
        <f>IF(SUMIFS(Торговля!$F$5:$F$300,Торговля!$E$5:$E$300,$B278)+SUMIFS(Закрытые!$F$5:$F$300,Закрытые!$E$5:$E$300,$B278,Закрытые!$B$5:$B$300,"T-*")=0,"",SUMIFS(Торговля!$F$5:$F$300,Торговля!$E$5:$E$300,$B278)+SUMIFS(Закрытые!$F$5:$F$300,Закрытые!$E$5:$E$300,$B278,Закрытые!$B$5:$B$300,"T-*"))</f>
        <v/>
      </c>
      <c r="D278" s="183" t="str">
        <f>IF(C278="","",(SUMPRODUCT((Торговля!$E$5:$E$300=$B278)*Торговля!$F$5:$F$300*Торговля!$G$5:$G$300)+SUMPRODUCT((Закрытые!$E$5:$E$300=$B278)*(LEFT(Закрытые!$B$5:$B$300,2)="T-")*Закрытые!$F$5:$F$300*Закрытые!$G$5:$G$300))/C278)</f>
        <v/>
      </c>
      <c r="E278" s="247" t="str">
        <f>IF(C278="","",SUMIFS(Торговля!$H$5:$H$300,Торговля!$E$5:$E$300,$B278)+SUMIFS(Закрытые!$H$5:$H$300,Закрытые!$E$5:$E$300,$B278,Закрытые!$B$5:$B$300,"T-*"))</f>
        <v/>
      </c>
      <c r="F278" s="246" t="str">
        <f>IF(SUMIFS(Торговля!$I$5:$I$300,Торговля!$E$5:$E$300,$B278)+SUMIFS(Закрытые!$I$5:$I$300,Закрытые!$E$5:$E$300,$B278,Закрытые!$B$5:$B$300,"T-*")=0,"",SUMIFS(Торговля!$I$5:$I$300,Торговля!$E$5:$E$300,$B278)+SUMIFS(Закрытые!$I$5:$I$300,Закрытые!$E$5:$E$300,$B278,Закрытые!$B$5:$B$300,"T-*"))</f>
        <v/>
      </c>
      <c r="G278" s="183" t="str">
        <f>IF(F278="","",(SUMPRODUCT((Торговля!$E$5:$E$300=$B278)*Торговля!$I$5:$I$300*Торговля!$J$5:$J$300)+SUMPRODUCT((Закрытые!$E$5:$E$300=$B278)*(LEFT(Закрытые!$B$5:$B$300,2)="T-")*Закрытые!$I$5:$I$300*Закрытые!$J$5:$J$300))/F278)</f>
        <v/>
      </c>
      <c r="H278" s="247" t="str">
        <f>IF(F278="","",SUMIFS(Торговля!$K$5:$K$300,Торговля!$E$5:$E$300,$B278)+SUMIFS(Закрытые!$K$5:$K$300,Закрытые!$E$5:$E$300,$B278,Закрытые!$B$5:$B$300,"T-*"))</f>
        <v/>
      </c>
      <c r="I278" s="246" t="str">
        <f>IF($B278="","",IF(COUNTIFS(Торговля!$E$5:$E$300,$B278)+COUNTIFS(Закрытые!$E$5:$E$300,$B278,Закрытые!$B$5:$B$300,"T-*")=0,"",ROUND(SUMIFS(Торговля!$L$5:$L$300,Торговля!$E$5:$E$300,$B278)+SUMIFS(Закрытые!$L$5:$L$300,Закрытые!$E$5:$E$300,$B278,Закрытые!$B$5:$B$300,"T-*"),8)))</f>
        <v/>
      </c>
      <c r="J278" s="247" t="str">
        <f>IF($B278="","",IF(COUNTIFS(Торговля!$E$5:$E$300,$B278)+COUNTIFS(Закрытые!$E$5:$E$300,$B278,Закрытые!$B$5:$B$300,"T-*")=0,"",ROUND(SUMIFS(Торговля!$M$5:$M$300,Торговля!$E$5:$E$300,$B278)+SUMIFS(Закрытые!$M$5:$M$300,Закрытые!$E$5:$E$300,$B278,Закрытые!$B$5:$B$300,"T-*"),8)))</f>
        <v/>
      </c>
      <c r="K278" s="246" t="str">
        <f>IF(MIN(N(C278),N(F278))&lt;=0,"",ROUND(MIN(N(C278),N(F278))*(N(G278)-N(D278)),8))</f>
        <v/>
      </c>
      <c r="L278" s="183" t="str">
        <f>IF(MIN(N(C278),N(F278))&lt;=0,"",IF(N(D278)=0,"",ROUND((N(G278)/N(D278)-1)*100,2)))</f>
        <v/>
      </c>
      <c r="M278" s="183" t="str">
        <f>IF(OR(ROUND(N(C278)-N(F278),8)=0,1-N(Ввод!$J$19)/100&lt;=0),"",IF(N(C278)&gt;N(F278),(N(E278)-N(H278))/((N(C278)-N(F278))*(1-N(Ввод!$J$19)/100)),(N(H278)-N(E278))/((N(F278)-N(C278))*(1+N(Ввод!$J$19)/100))))</f>
        <v/>
      </c>
    </row>
    <row r="279" ht="22" customHeight="1">
      <c r="B279" s="239" t="n"/>
      <c r="C279" s="240" t="str">
        <f>IF(SUMIFS(Торговля!$F$5:$F$300,Торговля!$E$5:$E$300,$B279)+SUMIFS(Закрытые!$F$5:$F$300,Закрытые!$E$5:$E$300,$B279,Закрытые!$B$5:$B$300,"T-*")=0,"",SUMIFS(Торговля!$F$5:$F$300,Торговля!$E$5:$E$300,$B279)+SUMIFS(Закрытые!$F$5:$F$300,Закрытые!$E$5:$E$300,$B279,Закрытые!$B$5:$B$300,"T-*"))</f>
        <v/>
      </c>
      <c r="D279" s="177" t="str">
        <f>IF(C279="","",(SUMPRODUCT((Торговля!$E$5:$E$300=$B279)*Торговля!$F$5:$F$300*Торговля!$G$5:$G$300)+SUMPRODUCT((Закрытые!$E$5:$E$300=$B279)*(LEFT(Закрытые!$B$5:$B$300,2)="T-")*Закрытые!$F$5:$F$300*Закрытые!$G$5:$G$300))/C279)</f>
        <v/>
      </c>
      <c r="E279" s="241" t="str">
        <f>IF(C279="","",SUMIFS(Торговля!$H$5:$H$300,Торговля!$E$5:$E$300,$B279)+SUMIFS(Закрытые!$H$5:$H$300,Закрытые!$E$5:$E$300,$B279,Закрытые!$B$5:$B$300,"T-*"))</f>
        <v/>
      </c>
      <c r="F279" s="240" t="str">
        <f>IF(SUMIFS(Торговля!$I$5:$I$300,Торговля!$E$5:$E$300,$B279)+SUMIFS(Закрытые!$I$5:$I$300,Закрытые!$E$5:$E$300,$B279,Закрытые!$B$5:$B$300,"T-*")=0,"",SUMIFS(Торговля!$I$5:$I$300,Торговля!$E$5:$E$300,$B279)+SUMIFS(Закрытые!$I$5:$I$300,Закрытые!$E$5:$E$300,$B279,Закрытые!$B$5:$B$300,"T-*"))</f>
        <v/>
      </c>
      <c r="G279" s="177" t="str">
        <f>IF(F279="","",(SUMPRODUCT((Торговля!$E$5:$E$300=$B279)*Торговля!$I$5:$I$300*Торговля!$J$5:$J$300)+SUMPRODUCT((Закрытые!$E$5:$E$300=$B279)*(LEFT(Закрытые!$B$5:$B$300,2)="T-")*Закрытые!$I$5:$I$300*Закрытые!$J$5:$J$300))/F279)</f>
        <v/>
      </c>
      <c r="H279" s="241" t="str">
        <f>IF(F279="","",SUMIFS(Торговля!$K$5:$K$300,Торговля!$E$5:$E$300,$B279)+SUMIFS(Закрытые!$K$5:$K$300,Закрытые!$E$5:$E$300,$B279,Закрытые!$B$5:$B$300,"T-*"))</f>
        <v/>
      </c>
      <c r="I279" s="240" t="str">
        <f>IF($B279="","",IF(COUNTIFS(Торговля!$E$5:$E$300,$B279)+COUNTIFS(Закрытые!$E$5:$E$300,$B279,Закрытые!$B$5:$B$300,"T-*")=0,"",ROUND(SUMIFS(Торговля!$L$5:$L$300,Торговля!$E$5:$E$300,$B279)+SUMIFS(Закрытые!$L$5:$L$300,Закрытые!$E$5:$E$300,$B279,Закрытые!$B$5:$B$300,"T-*"),8)))</f>
        <v/>
      </c>
      <c r="J279" s="241" t="str">
        <f>IF($B279="","",IF(COUNTIFS(Торговля!$E$5:$E$300,$B279)+COUNTIFS(Закрытые!$E$5:$E$300,$B279,Закрытые!$B$5:$B$300,"T-*")=0,"",ROUND(SUMIFS(Торговля!$M$5:$M$300,Торговля!$E$5:$E$300,$B279)+SUMIFS(Закрытые!$M$5:$M$300,Закрытые!$E$5:$E$300,$B279,Закрытые!$B$5:$B$300,"T-*"),8)))</f>
        <v/>
      </c>
      <c r="K279" s="240" t="str">
        <f>IF(MIN(N(C279),N(F279))&lt;=0,"",ROUND(MIN(N(C279),N(F279))*(N(G279)-N(D279)),8))</f>
        <v/>
      </c>
      <c r="L279" s="177" t="str">
        <f>IF(MIN(N(C279),N(F279))&lt;=0,"",IF(N(D279)=0,"",ROUND((N(G279)/N(D279)-1)*100,2)))</f>
        <v/>
      </c>
      <c r="M279" s="177" t="str">
        <f>IF(OR(ROUND(N(C279)-N(F279),8)=0,1-N(Ввод!$J$19)/100&lt;=0),"",IF(N(C279)&gt;N(F279),(N(E279)-N(H279))/((N(C279)-N(F279))*(1-N(Ввод!$J$19)/100)),(N(H279)-N(E279))/((N(F279)-N(C279))*(1+N(Ввод!$J$19)/100))))</f>
        <v/>
      </c>
    </row>
    <row r="280" ht="22" customHeight="1">
      <c r="B280" s="245" t="n"/>
      <c r="C280" s="246" t="str">
        <f>IF(SUMIFS(Торговля!$F$5:$F$300,Торговля!$E$5:$E$300,$B280)+SUMIFS(Закрытые!$F$5:$F$300,Закрытые!$E$5:$E$300,$B280,Закрытые!$B$5:$B$300,"T-*")=0,"",SUMIFS(Торговля!$F$5:$F$300,Торговля!$E$5:$E$300,$B280)+SUMIFS(Закрытые!$F$5:$F$300,Закрытые!$E$5:$E$300,$B280,Закрытые!$B$5:$B$300,"T-*"))</f>
        <v/>
      </c>
      <c r="D280" s="183" t="str">
        <f>IF(C280="","",(SUMPRODUCT((Торговля!$E$5:$E$300=$B280)*Торговля!$F$5:$F$300*Торговля!$G$5:$G$300)+SUMPRODUCT((Закрытые!$E$5:$E$300=$B280)*(LEFT(Закрытые!$B$5:$B$300,2)="T-")*Закрытые!$F$5:$F$300*Закрытые!$G$5:$G$300))/C280)</f>
        <v/>
      </c>
      <c r="E280" s="247" t="str">
        <f>IF(C280="","",SUMIFS(Торговля!$H$5:$H$300,Торговля!$E$5:$E$300,$B280)+SUMIFS(Закрытые!$H$5:$H$300,Закрытые!$E$5:$E$300,$B280,Закрытые!$B$5:$B$300,"T-*"))</f>
        <v/>
      </c>
      <c r="F280" s="246" t="str">
        <f>IF(SUMIFS(Торговля!$I$5:$I$300,Торговля!$E$5:$E$300,$B280)+SUMIFS(Закрытые!$I$5:$I$300,Закрытые!$E$5:$E$300,$B280,Закрытые!$B$5:$B$300,"T-*")=0,"",SUMIFS(Торговля!$I$5:$I$300,Торговля!$E$5:$E$300,$B280)+SUMIFS(Закрытые!$I$5:$I$300,Закрытые!$E$5:$E$300,$B280,Закрытые!$B$5:$B$300,"T-*"))</f>
        <v/>
      </c>
      <c r="G280" s="183" t="str">
        <f>IF(F280="","",(SUMPRODUCT((Торговля!$E$5:$E$300=$B280)*Торговля!$I$5:$I$300*Торговля!$J$5:$J$300)+SUMPRODUCT((Закрытые!$E$5:$E$300=$B280)*(LEFT(Закрытые!$B$5:$B$300,2)="T-")*Закрытые!$I$5:$I$300*Закрытые!$J$5:$J$300))/F280)</f>
        <v/>
      </c>
      <c r="H280" s="247" t="str">
        <f>IF(F280="","",SUMIFS(Торговля!$K$5:$K$300,Торговля!$E$5:$E$300,$B280)+SUMIFS(Закрытые!$K$5:$K$300,Закрытые!$E$5:$E$300,$B280,Закрытые!$B$5:$B$300,"T-*"))</f>
        <v/>
      </c>
      <c r="I280" s="246" t="str">
        <f>IF($B280="","",IF(COUNTIFS(Торговля!$E$5:$E$300,$B280)+COUNTIFS(Закрытые!$E$5:$E$300,$B280,Закрытые!$B$5:$B$300,"T-*")=0,"",ROUND(SUMIFS(Торговля!$L$5:$L$300,Торговля!$E$5:$E$300,$B280)+SUMIFS(Закрытые!$L$5:$L$300,Закрытые!$E$5:$E$300,$B280,Закрытые!$B$5:$B$300,"T-*"),8)))</f>
        <v/>
      </c>
      <c r="J280" s="247" t="str">
        <f>IF($B280="","",IF(COUNTIFS(Торговля!$E$5:$E$300,$B280)+COUNTIFS(Закрытые!$E$5:$E$300,$B280,Закрытые!$B$5:$B$300,"T-*")=0,"",ROUND(SUMIFS(Торговля!$M$5:$M$300,Торговля!$E$5:$E$300,$B280)+SUMIFS(Закрытые!$M$5:$M$300,Закрытые!$E$5:$E$300,$B280,Закрытые!$B$5:$B$300,"T-*"),8)))</f>
        <v/>
      </c>
      <c r="K280" s="246" t="str">
        <f>IF(MIN(N(C280),N(F280))&lt;=0,"",ROUND(MIN(N(C280),N(F280))*(N(G280)-N(D280)),8))</f>
        <v/>
      </c>
      <c r="L280" s="183" t="str">
        <f>IF(MIN(N(C280),N(F280))&lt;=0,"",IF(N(D280)=0,"",ROUND((N(G280)/N(D280)-1)*100,2)))</f>
        <v/>
      </c>
      <c r="M280" s="183" t="str">
        <f>IF(OR(ROUND(N(C280)-N(F280),8)=0,1-N(Ввод!$J$19)/100&lt;=0),"",IF(N(C280)&gt;N(F280),(N(E280)-N(H280))/((N(C280)-N(F280))*(1-N(Ввод!$J$19)/100)),(N(H280)-N(E280))/((N(F280)-N(C280))*(1+N(Ввод!$J$19)/100))))</f>
        <v/>
      </c>
    </row>
    <row r="281" ht="22" customHeight="1">
      <c r="B281" s="239" t="n"/>
      <c r="C281" s="240" t="str">
        <f>IF(SUMIFS(Торговля!$F$5:$F$300,Торговля!$E$5:$E$300,$B281)+SUMIFS(Закрытые!$F$5:$F$300,Закрытые!$E$5:$E$300,$B281,Закрытые!$B$5:$B$300,"T-*")=0,"",SUMIFS(Торговля!$F$5:$F$300,Торговля!$E$5:$E$300,$B281)+SUMIFS(Закрытые!$F$5:$F$300,Закрытые!$E$5:$E$300,$B281,Закрытые!$B$5:$B$300,"T-*"))</f>
        <v/>
      </c>
      <c r="D281" s="177" t="str">
        <f>IF(C281="","",(SUMPRODUCT((Торговля!$E$5:$E$300=$B281)*Торговля!$F$5:$F$300*Торговля!$G$5:$G$300)+SUMPRODUCT((Закрытые!$E$5:$E$300=$B281)*(LEFT(Закрытые!$B$5:$B$300,2)="T-")*Закрытые!$F$5:$F$300*Закрытые!$G$5:$G$300))/C281)</f>
        <v/>
      </c>
      <c r="E281" s="241" t="str">
        <f>IF(C281="","",SUMIFS(Торговля!$H$5:$H$300,Торговля!$E$5:$E$300,$B281)+SUMIFS(Закрытые!$H$5:$H$300,Закрытые!$E$5:$E$300,$B281,Закрытые!$B$5:$B$300,"T-*"))</f>
        <v/>
      </c>
      <c r="F281" s="240" t="str">
        <f>IF(SUMIFS(Торговля!$I$5:$I$300,Торговля!$E$5:$E$300,$B281)+SUMIFS(Закрытые!$I$5:$I$300,Закрытые!$E$5:$E$300,$B281,Закрытые!$B$5:$B$300,"T-*")=0,"",SUMIFS(Торговля!$I$5:$I$300,Торговля!$E$5:$E$300,$B281)+SUMIFS(Закрытые!$I$5:$I$300,Закрытые!$E$5:$E$300,$B281,Закрытые!$B$5:$B$300,"T-*"))</f>
        <v/>
      </c>
      <c r="G281" s="177" t="str">
        <f>IF(F281="","",(SUMPRODUCT((Торговля!$E$5:$E$300=$B281)*Торговля!$I$5:$I$300*Торговля!$J$5:$J$300)+SUMPRODUCT((Закрытые!$E$5:$E$300=$B281)*(LEFT(Закрытые!$B$5:$B$300,2)="T-")*Закрытые!$I$5:$I$300*Закрытые!$J$5:$J$300))/F281)</f>
        <v/>
      </c>
      <c r="H281" s="241" t="str">
        <f>IF(F281="","",SUMIFS(Торговля!$K$5:$K$300,Торговля!$E$5:$E$300,$B281)+SUMIFS(Закрытые!$K$5:$K$300,Закрытые!$E$5:$E$300,$B281,Закрытые!$B$5:$B$300,"T-*"))</f>
        <v/>
      </c>
      <c r="I281" s="240" t="str">
        <f>IF($B281="","",IF(COUNTIFS(Торговля!$E$5:$E$300,$B281)+COUNTIFS(Закрытые!$E$5:$E$300,$B281,Закрытые!$B$5:$B$300,"T-*")=0,"",ROUND(SUMIFS(Торговля!$L$5:$L$300,Торговля!$E$5:$E$300,$B281)+SUMIFS(Закрытые!$L$5:$L$300,Закрытые!$E$5:$E$300,$B281,Закрытые!$B$5:$B$300,"T-*"),8)))</f>
        <v/>
      </c>
      <c r="J281" s="241" t="str">
        <f>IF($B281="","",IF(COUNTIFS(Торговля!$E$5:$E$300,$B281)+COUNTIFS(Закрытые!$E$5:$E$300,$B281,Закрытые!$B$5:$B$300,"T-*")=0,"",ROUND(SUMIFS(Торговля!$M$5:$M$300,Торговля!$E$5:$E$300,$B281)+SUMIFS(Закрытые!$M$5:$M$300,Закрытые!$E$5:$E$300,$B281,Закрытые!$B$5:$B$300,"T-*"),8)))</f>
        <v/>
      </c>
      <c r="K281" s="240" t="str">
        <f>IF(MIN(N(C281),N(F281))&lt;=0,"",ROUND(MIN(N(C281),N(F281))*(N(G281)-N(D281)),8))</f>
        <v/>
      </c>
      <c r="L281" s="177" t="str">
        <f>IF(MIN(N(C281),N(F281))&lt;=0,"",IF(N(D281)=0,"",ROUND((N(G281)/N(D281)-1)*100,2)))</f>
        <v/>
      </c>
      <c r="M281" s="177" t="str">
        <f>IF(OR(ROUND(N(C281)-N(F281),8)=0,1-N(Ввод!$J$19)/100&lt;=0),"",IF(N(C281)&gt;N(F281),(N(E281)-N(H281))/((N(C281)-N(F281))*(1-N(Ввод!$J$19)/100)),(N(H281)-N(E281))/((N(F281)-N(C281))*(1+N(Ввод!$J$19)/100))))</f>
        <v/>
      </c>
    </row>
    <row r="282" ht="22" customHeight="1">
      <c r="B282" s="245" t="n"/>
      <c r="C282" s="246" t="str">
        <f>IF(SUMIFS(Торговля!$F$5:$F$300,Торговля!$E$5:$E$300,$B282)+SUMIFS(Закрытые!$F$5:$F$300,Закрытые!$E$5:$E$300,$B282,Закрытые!$B$5:$B$300,"T-*")=0,"",SUMIFS(Торговля!$F$5:$F$300,Торговля!$E$5:$E$300,$B282)+SUMIFS(Закрытые!$F$5:$F$300,Закрытые!$E$5:$E$300,$B282,Закрытые!$B$5:$B$300,"T-*"))</f>
        <v/>
      </c>
      <c r="D282" s="183" t="str">
        <f>IF(C282="","",(SUMPRODUCT((Торговля!$E$5:$E$300=$B282)*Торговля!$F$5:$F$300*Торговля!$G$5:$G$300)+SUMPRODUCT((Закрытые!$E$5:$E$300=$B282)*(LEFT(Закрытые!$B$5:$B$300,2)="T-")*Закрытые!$F$5:$F$300*Закрытые!$G$5:$G$300))/C282)</f>
        <v/>
      </c>
      <c r="E282" s="247" t="str">
        <f>IF(C282="","",SUMIFS(Торговля!$H$5:$H$300,Торговля!$E$5:$E$300,$B282)+SUMIFS(Закрытые!$H$5:$H$300,Закрытые!$E$5:$E$300,$B282,Закрытые!$B$5:$B$300,"T-*"))</f>
        <v/>
      </c>
      <c r="F282" s="246" t="str">
        <f>IF(SUMIFS(Торговля!$I$5:$I$300,Торговля!$E$5:$E$300,$B282)+SUMIFS(Закрытые!$I$5:$I$300,Закрытые!$E$5:$E$300,$B282,Закрытые!$B$5:$B$300,"T-*")=0,"",SUMIFS(Торговля!$I$5:$I$300,Торговля!$E$5:$E$300,$B282)+SUMIFS(Закрытые!$I$5:$I$300,Закрытые!$E$5:$E$300,$B282,Закрытые!$B$5:$B$300,"T-*"))</f>
        <v/>
      </c>
      <c r="G282" s="183" t="str">
        <f>IF(F282="","",(SUMPRODUCT((Торговля!$E$5:$E$300=$B282)*Торговля!$I$5:$I$300*Торговля!$J$5:$J$300)+SUMPRODUCT((Закрытые!$E$5:$E$300=$B282)*(LEFT(Закрытые!$B$5:$B$300,2)="T-")*Закрытые!$I$5:$I$300*Закрытые!$J$5:$J$300))/F282)</f>
        <v/>
      </c>
      <c r="H282" s="247" t="str">
        <f>IF(F282="","",SUMIFS(Торговля!$K$5:$K$300,Торговля!$E$5:$E$300,$B282)+SUMIFS(Закрытые!$K$5:$K$300,Закрытые!$E$5:$E$300,$B282,Закрытые!$B$5:$B$300,"T-*"))</f>
        <v/>
      </c>
      <c r="I282" s="246" t="str">
        <f>IF($B282="","",IF(COUNTIFS(Торговля!$E$5:$E$300,$B282)+COUNTIFS(Закрытые!$E$5:$E$300,$B282,Закрытые!$B$5:$B$300,"T-*")=0,"",ROUND(SUMIFS(Торговля!$L$5:$L$300,Торговля!$E$5:$E$300,$B282)+SUMIFS(Закрытые!$L$5:$L$300,Закрытые!$E$5:$E$300,$B282,Закрытые!$B$5:$B$300,"T-*"),8)))</f>
        <v/>
      </c>
      <c r="J282" s="247" t="str">
        <f>IF($B282="","",IF(COUNTIFS(Торговля!$E$5:$E$300,$B282)+COUNTIFS(Закрытые!$E$5:$E$300,$B282,Закрытые!$B$5:$B$300,"T-*")=0,"",ROUND(SUMIFS(Торговля!$M$5:$M$300,Торговля!$E$5:$E$300,$B282)+SUMIFS(Закрытые!$M$5:$M$300,Закрытые!$E$5:$E$300,$B282,Закрытые!$B$5:$B$300,"T-*"),8)))</f>
        <v/>
      </c>
      <c r="K282" s="246" t="str">
        <f>IF(MIN(N(C282),N(F282))&lt;=0,"",ROUND(MIN(N(C282),N(F282))*(N(G282)-N(D282)),8))</f>
        <v/>
      </c>
      <c r="L282" s="183" t="str">
        <f>IF(MIN(N(C282),N(F282))&lt;=0,"",IF(N(D282)=0,"",ROUND((N(G282)/N(D282)-1)*100,2)))</f>
        <v/>
      </c>
      <c r="M282" s="183" t="str">
        <f>IF(OR(ROUND(N(C282)-N(F282),8)=0,1-N(Ввод!$J$19)/100&lt;=0),"",IF(N(C282)&gt;N(F282),(N(E282)-N(H282))/((N(C282)-N(F282))*(1-N(Ввод!$J$19)/100)),(N(H282)-N(E282))/((N(F282)-N(C282))*(1+N(Ввод!$J$19)/100))))</f>
        <v/>
      </c>
    </row>
    <row r="283" ht="22" customHeight="1">
      <c r="B283" s="239" t="n"/>
      <c r="C283" s="240" t="str">
        <f>IF(SUMIFS(Торговля!$F$5:$F$300,Торговля!$E$5:$E$300,$B283)+SUMIFS(Закрытые!$F$5:$F$300,Закрытые!$E$5:$E$300,$B283,Закрытые!$B$5:$B$300,"T-*")=0,"",SUMIFS(Торговля!$F$5:$F$300,Торговля!$E$5:$E$300,$B283)+SUMIFS(Закрытые!$F$5:$F$300,Закрытые!$E$5:$E$300,$B283,Закрытые!$B$5:$B$300,"T-*"))</f>
        <v/>
      </c>
      <c r="D283" s="177" t="str">
        <f>IF(C283="","",(SUMPRODUCT((Торговля!$E$5:$E$300=$B283)*Торговля!$F$5:$F$300*Торговля!$G$5:$G$300)+SUMPRODUCT((Закрытые!$E$5:$E$300=$B283)*(LEFT(Закрытые!$B$5:$B$300,2)="T-")*Закрытые!$F$5:$F$300*Закрытые!$G$5:$G$300))/C283)</f>
        <v/>
      </c>
      <c r="E283" s="241" t="str">
        <f>IF(C283="","",SUMIFS(Торговля!$H$5:$H$300,Торговля!$E$5:$E$300,$B283)+SUMIFS(Закрытые!$H$5:$H$300,Закрытые!$E$5:$E$300,$B283,Закрытые!$B$5:$B$300,"T-*"))</f>
        <v/>
      </c>
      <c r="F283" s="240" t="str">
        <f>IF(SUMIFS(Торговля!$I$5:$I$300,Торговля!$E$5:$E$300,$B283)+SUMIFS(Закрытые!$I$5:$I$300,Закрытые!$E$5:$E$300,$B283,Закрытые!$B$5:$B$300,"T-*")=0,"",SUMIFS(Торговля!$I$5:$I$300,Торговля!$E$5:$E$300,$B283)+SUMIFS(Закрытые!$I$5:$I$300,Закрытые!$E$5:$E$300,$B283,Закрытые!$B$5:$B$300,"T-*"))</f>
        <v/>
      </c>
      <c r="G283" s="177" t="str">
        <f>IF(F283="","",(SUMPRODUCT((Торговля!$E$5:$E$300=$B283)*Торговля!$I$5:$I$300*Торговля!$J$5:$J$300)+SUMPRODUCT((Закрытые!$E$5:$E$300=$B283)*(LEFT(Закрытые!$B$5:$B$300,2)="T-")*Закрытые!$I$5:$I$300*Закрытые!$J$5:$J$300))/F283)</f>
        <v/>
      </c>
      <c r="H283" s="241" t="str">
        <f>IF(F283="","",SUMIFS(Торговля!$K$5:$K$300,Торговля!$E$5:$E$300,$B283)+SUMIFS(Закрытые!$K$5:$K$300,Закрытые!$E$5:$E$300,$B283,Закрытые!$B$5:$B$300,"T-*"))</f>
        <v/>
      </c>
      <c r="I283" s="240" t="str">
        <f>IF($B283="","",IF(COUNTIFS(Торговля!$E$5:$E$300,$B283)+COUNTIFS(Закрытые!$E$5:$E$300,$B283,Закрытые!$B$5:$B$300,"T-*")=0,"",ROUND(SUMIFS(Торговля!$L$5:$L$300,Торговля!$E$5:$E$300,$B283)+SUMIFS(Закрытые!$L$5:$L$300,Закрытые!$E$5:$E$300,$B283,Закрытые!$B$5:$B$300,"T-*"),8)))</f>
        <v/>
      </c>
      <c r="J283" s="241" t="str">
        <f>IF($B283="","",IF(COUNTIFS(Торговля!$E$5:$E$300,$B283)+COUNTIFS(Закрытые!$E$5:$E$300,$B283,Закрытые!$B$5:$B$300,"T-*")=0,"",ROUND(SUMIFS(Торговля!$M$5:$M$300,Торговля!$E$5:$E$300,$B283)+SUMIFS(Закрытые!$M$5:$M$300,Закрытые!$E$5:$E$300,$B283,Закрытые!$B$5:$B$300,"T-*"),8)))</f>
        <v/>
      </c>
      <c r="K283" s="240" t="str">
        <f>IF(MIN(N(C283),N(F283))&lt;=0,"",ROUND(MIN(N(C283),N(F283))*(N(G283)-N(D283)),8))</f>
        <v/>
      </c>
      <c r="L283" s="177" t="str">
        <f>IF(MIN(N(C283),N(F283))&lt;=0,"",IF(N(D283)=0,"",ROUND((N(G283)/N(D283)-1)*100,2)))</f>
        <v/>
      </c>
      <c r="M283" s="177" t="str">
        <f>IF(OR(ROUND(N(C283)-N(F283),8)=0,1-N(Ввод!$J$19)/100&lt;=0),"",IF(N(C283)&gt;N(F283),(N(E283)-N(H283))/((N(C283)-N(F283))*(1-N(Ввод!$J$19)/100)),(N(H283)-N(E283))/((N(F283)-N(C283))*(1+N(Ввод!$J$19)/100))))</f>
        <v/>
      </c>
    </row>
    <row r="284" ht="22" customHeight="1">
      <c r="B284" s="245" t="n"/>
      <c r="C284" s="246" t="str">
        <f>IF(SUMIFS(Торговля!$F$5:$F$300,Торговля!$E$5:$E$300,$B284)+SUMIFS(Закрытые!$F$5:$F$300,Закрытые!$E$5:$E$300,$B284,Закрытые!$B$5:$B$300,"T-*")=0,"",SUMIFS(Торговля!$F$5:$F$300,Торговля!$E$5:$E$300,$B284)+SUMIFS(Закрытые!$F$5:$F$300,Закрытые!$E$5:$E$300,$B284,Закрытые!$B$5:$B$300,"T-*"))</f>
        <v/>
      </c>
      <c r="D284" s="183" t="str">
        <f>IF(C284="","",(SUMPRODUCT((Торговля!$E$5:$E$300=$B284)*Торговля!$F$5:$F$300*Торговля!$G$5:$G$300)+SUMPRODUCT((Закрытые!$E$5:$E$300=$B284)*(LEFT(Закрытые!$B$5:$B$300,2)="T-")*Закрытые!$F$5:$F$300*Закрытые!$G$5:$G$300))/C284)</f>
        <v/>
      </c>
      <c r="E284" s="247" t="str">
        <f>IF(C284="","",SUMIFS(Торговля!$H$5:$H$300,Торговля!$E$5:$E$300,$B284)+SUMIFS(Закрытые!$H$5:$H$300,Закрытые!$E$5:$E$300,$B284,Закрытые!$B$5:$B$300,"T-*"))</f>
        <v/>
      </c>
      <c r="F284" s="246" t="str">
        <f>IF(SUMIFS(Торговля!$I$5:$I$300,Торговля!$E$5:$E$300,$B284)+SUMIFS(Закрытые!$I$5:$I$300,Закрытые!$E$5:$E$300,$B284,Закрытые!$B$5:$B$300,"T-*")=0,"",SUMIFS(Торговля!$I$5:$I$300,Торговля!$E$5:$E$300,$B284)+SUMIFS(Закрытые!$I$5:$I$300,Закрытые!$E$5:$E$300,$B284,Закрытые!$B$5:$B$300,"T-*"))</f>
        <v/>
      </c>
      <c r="G284" s="183" t="str">
        <f>IF(F284="","",(SUMPRODUCT((Торговля!$E$5:$E$300=$B284)*Торговля!$I$5:$I$300*Торговля!$J$5:$J$300)+SUMPRODUCT((Закрытые!$E$5:$E$300=$B284)*(LEFT(Закрытые!$B$5:$B$300,2)="T-")*Закрытые!$I$5:$I$300*Закрытые!$J$5:$J$300))/F284)</f>
        <v/>
      </c>
      <c r="H284" s="247" t="str">
        <f>IF(F284="","",SUMIFS(Торговля!$K$5:$K$300,Торговля!$E$5:$E$300,$B284)+SUMIFS(Закрытые!$K$5:$K$300,Закрытые!$E$5:$E$300,$B284,Закрытые!$B$5:$B$300,"T-*"))</f>
        <v/>
      </c>
      <c r="I284" s="246" t="str">
        <f>IF($B284="","",IF(COUNTIFS(Торговля!$E$5:$E$300,$B284)+COUNTIFS(Закрытые!$E$5:$E$300,$B284,Закрытые!$B$5:$B$300,"T-*")=0,"",ROUND(SUMIFS(Торговля!$L$5:$L$300,Торговля!$E$5:$E$300,$B284)+SUMIFS(Закрытые!$L$5:$L$300,Закрытые!$E$5:$E$300,$B284,Закрытые!$B$5:$B$300,"T-*"),8)))</f>
        <v/>
      </c>
      <c r="J284" s="247" t="str">
        <f>IF($B284="","",IF(COUNTIFS(Торговля!$E$5:$E$300,$B284)+COUNTIFS(Закрытые!$E$5:$E$300,$B284,Закрытые!$B$5:$B$300,"T-*")=0,"",ROUND(SUMIFS(Торговля!$M$5:$M$300,Торговля!$E$5:$E$300,$B284)+SUMIFS(Закрытые!$M$5:$M$300,Закрытые!$E$5:$E$300,$B284,Закрытые!$B$5:$B$300,"T-*"),8)))</f>
        <v/>
      </c>
      <c r="K284" s="246" t="str">
        <f>IF(MIN(N(C284),N(F284))&lt;=0,"",ROUND(MIN(N(C284),N(F284))*(N(G284)-N(D284)),8))</f>
        <v/>
      </c>
      <c r="L284" s="183" t="str">
        <f>IF(MIN(N(C284),N(F284))&lt;=0,"",IF(N(D284)=0,"",ROUND((N(G284)/N(D284)-1)*100,2)))</f>
        <v/>
      </c>
      <c r="M284" s="183" t="str">
        <f>IF(OR(ROUND(N(C284)-N(F284),8)=0,1-N(Ввод!$J$19)/100&lt;=0),"",IF(N(C284)&gt;N(F284),(N(E284)-N(H284))/((N(C284)-N(F284))*(1-N(Ввод!$J$19)/100)),(N(H284)-N(E284))/((N(F284)-N(C284))*(1+N(Ввод!$J$19)/100))))</f>
        <v/>
      </c>
    </row>
    <row r="285" ht="22" customHeight="1">
      <c r="B285" s="239" t="n"/>
      <c r="C285" s="240" t="str">
        <f>IF(SUMIFS(Торговля!$F$5:$F$300,Торговля!$E$5:$E$300,$B285)+SUMIFS(Закрытые!$F$5:$F$300,Закрытые!$E$5:$E$300,$B285,Закрытые!$B$5:$B$300,"T-*")=0,"",SUMIFS(Торговля!$F$5:$F$300,Торговля!$E$5:$E$300,$B285)+SUMIFS(Закрытые!$F$5:$F$300,Закрытые!$E$5:$E$300,$B285,Закрытые!$B$5:$B$300,"T-*"))</f>
        <v/>
      </c>
      <c r="D285" s="177" t="str">
        <f>IF(C285="","",(SUMPRODUCT((Торговля!$E$5:$E$300=$B285)*Торговля!$F$5:$F$300*Торговля!$G$5:$G$300)+SUMPRODUCT((Закрытые!$E$5:$E$300=$B285)*(LEFT(Закрытые!$B$5:$B$300,2)="T-")*Закрытые!$F$5:$F$300*Закрытые!$G$5:$G$300))/C285)</f>
        <v/>
      </c>
      <c r="E285" s="241" t="str">
        <f>IF(C285="","",SUMIFS(Торговля!$H$5:$H$300,Торговля!$E$5:$E$300,$B285)+SUMIFS(Закрытые!$H$5:$H$300,Закрытые!$E$5:$E$300,$B285,Закрытые!$B$5:$B$300,"T-*"))</f>
        <v/>
      </c>
      <c r="F285" s="240" t="str">
        <f>IF(SUMIFS(Торговля!$I$5:$I$300,Торговля!$E$5:$E$300,$B285)+SUMIFS(Закрытые!$I$5:$I$300,Закрытые!$E$5:$E$300,$B285,Закрытые!$B$5:$B$300,"T-*")=0,"",SUMIFS(Торговля!$I$5:$I$300,Торговля!$E$5:$E$300,$B285)+SUMIFS(Закрытые!$I$5:$I$300,Закрытые!$E$5:$E$300,$B285,Закрытые!$B$5:$B$300,"T-*"))</f>
        <v/>
      </c>
      <c r="G285" s="177" t="str">
        <f>IF(F285="","",(SUMPRODUCT((Торговля!$E$5:$E$300=$B285)*Торговля!$I$5:$I$300*Торговля!$J$5:$J$300)+SUMPRODUCT((Закрытые!$E$5:$E$300=$B285)*(LEFT(Закрытые!$B$5:$B$300,2)="T-")*Закрытые!$I$5:$I$300*Закрытые!$J$5:$J$300))/F285)</f>
        <v/>
      </c>
      <c r="H285" s="241" t="str">
        <f>IF(F285="","",SUMIFS(Торговля!$K$5:$K$300,Торговля!$E$5:$E$300,$B285)+SUMIFS(Закрытые!$K$5:$K$300,Закрытые!$E$5:$E$300,$B285,Закрытые!$B$5:$B$300,"T-*"))</f>
        <v/>
      </c>
      <c r="I285" s="240" t="str">
        <f>IF($B285="","",IF(COUNTIFS(Торговля!$E$5:$E$300,$B285)+COUNTIFS(Закрытые!$E$5:$E$300,$B285,Закрытые!$B$5:$B$300,"T-*")=0,"",ROUND(SUMIFS(Торговля!$L$5:$L$300,Торговля!$E$5:$E$300,$B285)+SUMIFS(Закрытые!$L$5:$L$300,Закрытые!$E$5:$E$300,$B285,Закрытые!$B$5:$B$300,"T-*"),8)))</f>
        <v/>
      </c>
      <c r="J285" s="241" t="str">
        <f>IF($B285="","",IF(COUNTIFS(Торговля!$E$5:$E$300,$B285)+COUNTIFS(Закрытые!$E$5:$E$300,$B285,Закрытые!$B$5:$B$300,"T-*")=0,"",ROUND(SUMIFS(Торговля!$M$5:$M$300,Торговля!$E$5:$E$300,$B285)+SUMIFS(Закрытые!$M$5:$M$300,Закрытые!$E$5:$E$300,$B285,Закрытые!$B$5:$B$300,"T-*"),8)))</f>
        <v/>
      </c>
      <c r="K285" s="240" t="str">
        <f>IF(MIN(N(C285),N(F285))&lt;=0,"",ROUND(MIN(N(C285),N(F285))*(N(G285)-N(D285)),8))</f>
        <v/>
      </c>
      <c r="L285" s="177" t="str">
        <f>IF(MIN(N(C285),N(F285))&lt;=0,"",IF(N(D285)=0,"",ROUND((N(G285)/N(D285)-1)*100,2)))</f>
        <v/>
      </c>
      <c r="M285" s="177" t="str">
        <f>IF(OR(ROUND(N(C285)-N(F285),8)=0,1-N(Ввод!$J$19)/100&lt;=0),"",IF(N(C285)&gt;N(F285),(N(E285)-N(H285))/((N(C285)-N(F285))*(1-N(Ввод!$J$19)/100)),(N(H285)-N(E285))/((N(F285)-N(C285))*(1+N(Ввод!$J$19)/100))))</f>
        <v/>
      </c>
    </row>
    <row r="286" ht="22" customHeight="1">
      <c r="B286" s="245" t="n"/>
      <c r="C286" s="246" t="str">
        <f>IF(SUMIFS(Торговля!$F$5:$F$300,Торговля!$E$5:$E$300,$B286)+SUMIFS(Закрытые!$F$5:$F$300,Закрытые!$E$5:$E$300,$B286,Закрытые!$B$5:$B$300,"T-*")=0,"",SUMIFS(Торговля!$F$5:$F$300,Торговля!$E$5:$E$300,$B286)+SUMIFS(Закрытые!$F$5:$F$300,Закрытые!$E$5:$E$300,$B286,Закрытые!$B$5:$B$300,"T-*"))</f>
        <v/>
      </c>
      <c r="D286" s="183" t="str">
        <f>IF(C286="","",(SUMPRODUCT((Торговля!$E$5:$E$300=$B286)*Торговля!$F$5:$F$300*Торговля!$G$5:$G$300)+SUMPRODUCT((Закрытые!$E$5:$E$300=$B286)*(LEFT(Закрытые!$B$5:$B$300,2)="T-")*Закрытые!$F$5:$F$300*Закрытые!$G$5:$G$300))/C286)</f>
        <v/>
      </c>
      <c r="E286" s="247" t="str">
        <f>IF(C286="","",SUMIFS(Торговля!$H$5:$H$300,Торговля!$E$5:$E$300,$B286)+SUMIFS(Закрытые!$H$5:$H$300,Закрытые!$E$5:$E$300,$B286,Закрытые!$B$5:$B$300,"T-*"))</f>
        <v/>
      </c>
      <c r="F286" s="246" t="str">
        <f>IF(SUMIFS(Торговля!$I$5:$I$300,Торговля!$E$5:$E$300,$B286)+SUMIFS(Закрытые!$I$5:$I$300,Закрытые!$E$5:$E$300,$B286,Закрытые!$B$5:$B$300,"T-*")=0,"",SUMIFS(Торговля!$I$5:$I$300,Торговля!$E$5:$E$300,$B286)+SUMIFS(Закрытые!$I$5:$I$300,Закрытые!$E$5:$E$300,$B286,Закрытые!$B$5:$B$300,"T-*"))</f>
        <v/>
      </c>
      <c r="G286" s="183" t="str">
        <f>IF(F286="","",(SUMPRODUCT((Торговля!$E$5:$E$300=$B286)*Торговля!$I$5:$I$300*Торговля!$J$5:$J$300)+SUMPRODUCT((Закрытые!$E$5:$E$300=$B286)*(LEFT(Закрытые!$B$5:$B$300,2)="T-")*Закрытые!$I$5:$I$300*Закрытые!$J$5:$J$300))/F286)</f>
        <v/>
      </c>
      <c r="H286" s="247" t="str">
        <f>IF(F286="","",SUMIFS(Торговля!$K$5:$K$300,Торговля!$E$5:$E$300,$B286)+SUMIFS(Закрытые!$K$5:$K$300,Закрытые!$E$5:$E$300,$B286,Закрытые!$B$5:$B$300,"T-*"))</f>
        <v/>
      </c>
      <c r="I286" s="246" t="str">
        <f>IF($B286="","",IF(COUNTIFS(Торговля!$E$5:$E$300,$B286)+COUNTIFS(Закрытые!$E$5:$E$300,$B286,Закрытые!$B$5:$B$300,"T-*")=0,"",ROUND(SUMIFS(Торговля!$L$5:$L$300,Торговля!$E$5:$E$300,$B286)+SUMIFS(Закрытые!$L$5:$L$300,Закрытые!$E$5:$E$300,$B286,Закрытые!$B$5:$B$300,"T-*"),8)))</f>
        <v/>
      </c>
      <c r="J286" s="247" t="str">
        <f>IF($B286="","",IF(COUNTIFS(Торговля!$E$5:$E$300,$B286)+COUNTIFS(Закрытые!$E$5:$E$300,$B286,Закрытые!$B$5:$B$300,"T-*")=0,"",ROUND(SUMIFS(Торговля!$M$5:$M$300,Торговля!$E$5:$E$300,$B286)+SUMIFS(Закрытые!$M$5:$M$300,Закрытые!$E$5:$E$300,$B286,Закрытые!$B$5:$B$300,"T-*"),8)))</f>
        <v/>
      </c>
      <c r="K286" s="246" t="str">
        <f>IF(MIN(N(C286),N(F286))&lt;=0,"",ROUND(MIN(N(C286),N(F286))*(N(G286)-N(D286)),8))</f>
        <v/>
      </c>
      <c r="L286" s="183" t="str">
        <f>IF(MIN(N(C286),N(F286))&lt;=0,"",IF(N(D286)=0,"",ROUND((N(G286)/N(D286)-1)*100,2)))</f>
        <v/>
      </c>
      <c r="M286" s="183" t="str">
        <f>IF(OR(ROUND(N(C286)-N(F286),8)=0,1-N(Ввод!$J$19)/100&lt;=0),"",IF(N(C286)&gt;N(F286),(N(E286)-N(H286))/((N(C286)-N(F286))*(1-N(Ввод!$J$19)/100)),(N(H286)-N(E286))/((N(F286)-N(C286))*(1+N(Ввод!$J$19)/100))))</f>
        <v/>
      </c>
    </row>
    <row r="287" ht="22" customHeight="1">
      <c r="B287" s="239" t="n"/>
      <c r="C287" s="240" t="str">
        <f>IF(SUMIFS(Торговля!$F$5:$F$300,Торговля!$E$5:$E$300,$B287)+SUMIFS(Закрытые!$F$5:$F$300,Закрытые!$E$5:$E$300,$B287,Закрытые!$B$5:$B$300,"T-*")=0,"",SUMIFS(Торговля!$F$5:$F$300,Торговля!$E$5:$E$300,$B287)+SUMIFS(Закрытые!$F$5:$F$300,Закрытые!$E$5:$E$300,$B287,Закрытые!$B$5:$B$300,"T-*"))</f>
        <v/>
      </c>
      <c r="D287" s="177" t="str">
        <f>IF(C287="","",(SUMPRODUCT((Торговля!$E$5:$E$300=$B287)*Торговля!$F$5:$F$300*Торговля!$G$5:$G$300)+SUMPRODUCT((Закрытые!$E$5:$E$300=$B287)*(LEFT(Закрытые!$B$5:$B$300,2)="T-")*Закрытые!$F$5:$F$300*Закрытые!$G$5:$G$300))/C287)</f>
        <v/>
      </c>
      <c r="E287" s="241" t="str">
        <f>IF(C287="","",SUMIFS(Торговля!$H$5:$H$300,Торговля!$E$5:$E$300,$B287)+SUMIFS(Закрытые!$H$5:$H$300,Закрытые!$E$5:$E$300,$B287,Закрытые!$B$5:$B$300,"T-*"))</f>
        <v/>
      </c>
      <c r="F287" s="240" t="str">
        <f>IF(SUMIFS(Торговля!$I$5:$I$300,Торговля!$E$5:$E$300,$B287)+SUMIFS(Закрытые!$I$5:$I$300,Закрытые!$E$5:$E$300,$B287,Закрытые!$B$5:$B$300,"T-*")=0,"",SUMIFS(Торговля!$I$5:$I$300,Торговля!$E$5:$E$300,$B287)+SUMIFS(Закрытые!$I$5:$I$300,Закрытые!$E$5:$E$300,$B287,Закрытые!$B$5:$B$300,"T-*"))</f>
        <v/>
      </c>
      <c r="G287" s="177" t="str">
        <f>IF(F287="","",(SUMPRODUCT((Торговля!$E$5:$E$300=$B287)*Торговля!$I$5:$I$300*Торговля!$J$5:$J$300)+SUMPRODUCT((Закрытые!$E$5:$E$300=$B287)*(LEFT(Закрытые!$B$5:$B$300,2)="T-")*Закрытые!$I$5:$I$300*Закрытые!$J$5:$J$300))/F287)</f>
        <v/>
      </c>
      <c r="H287" s="241" t="str">
        <f>IF(F287="","",SUMIFS(Торговля!$K$5:$K$300,Торговля!$E$5:$E$300,$B287)+SUMIFS(Закрытые!$K$5:$K$300,Закрытые!$E$5:$E$300,$B287,Закрытые!$B$5:$B$300,"T-*"))</f>
        <v/>
      </c>
      <c r="I287" s="240" t="str">
        <f>IF($B287="","",IF(COUNTIFS(Торговля!$E$5:$E$300,$B287)+COUNTIFS(Закрытые!$E$5:$E$300,$B287,Закрытые!$B$5:$B$300,"T-*")=0,"",ROUND(SUMIFS(Торговля!$L$5:$L$300,Торговля!$E$5:$E$300,$B287)+SUMIFS(Закрытые!$L$5:$L$300,Закрытые!$E$5:$E$300,$B287,Закрытые!$B$5:$B$300,"T-*"),8)))</f>
        <v/>
      </c>
      <c r="J287" s="241" t="str">
        <f>IF($B287="","",IF(COUNTIFS(Торговля!$E$5:$E$300,$B287)+COUNTIFS(Закрытые!$E$5:$E$300,$B287,Закрытые!$B$5:$B$300,"T-*")=0,"",ROUND(SUMIFS(Торговля!$M$5:$M$300,Торговля!$E$5:$E$300,$B287)+SUMIFS(Закрытые!$M$5:$M$300,Закрытые!$E$5:$E$300,$B287,Закрытые!$B$5:$B$300,"T-*"),8)))</f>
        <v/>
      </c>
      <c r="K287" s="240" t="str">
        <f>IF(MIN(N(C287),N(F287))&lt;=0,"",ROUND(MIN(N(C287),N(F287))*(N(G287)-N(D287)),8))</f>
        <v/>
      </c>
      <c r="L287" s="177" t="str">
        <f>IF(MIN(N(C287),N(F287))&lt;=0,"",IF(N(D287)=0,"",ROUND((N(G287)/N(D287)-1)*100,2)))</f>
        <v/>
      </c>
      <c r="M287" s="177" t="str">
        <f>IF(OR(ROUND(N(C287)-N(F287),8)=0,1-N(Ввод!$J$19)/100&lt;=0),"",IF(N(C287)&gt;N(F287),(N(E287)-N(H287))/((N(C287)-N(F287))*(1-N(Ввод!$J$19)/100)),(N(H287)-N(E287))/((N(F287)-N(C287))*(1+N(Ввод!$J$19)/100))))</f>
        <v/>
      </c>
    </row>
    <row r="288" ht="22" customHeight="1">
      <c r="B288" s="245" t="n"/>
      <c r="C288" s="246" t="str">
        <f>IF(SUMIFS(Торговля!$F$5:$F$300,Торговля!$E$5:$E$300,$B288)+SUMIFS(Закрытые!$F$5:$F$300,Закрытые!$E$5:$E$300,$B288,Закрытые!$B$5:$B$300,"T-*")=0,"",SUMIFS(Торговля!$F$5:$F$300,Торговля!$E$5:$E$300,$B288)+SUMIFS(Закрытые!$F$5:$F$300,Закрытые!$E$5:$E$300,$B288,Закрытые!$B$5:$B$300,"T-*"))</f>
        <v/>
      </c>
      <c r="D288" s="183" t="str">
        <f>IF(C288="","",(SUMPRODUCT((Торговля!$E$5:$E$300=$B288)*Торговля!$F$5:$F$300*Торговля!$G$5:$G$300)+SUMPRODUCT((Закрытые!$E$5:$E$300=$B288)*(LEFT(Закрытые!$B$5:$B$300,2)="T-")*Закрытые!$F$5:$F$300*Закрытые!$G$5:$G$300))/C288)</f>
        <v/>
      </c>
      <c r="E288" s="247" t="str">
        <f>IF(C288="","",SUMIFS(Торговля!$H$5:$H$300,Торговля!$E$5:$E$300,$B288)+SUMIFS(Закрытые!$H$5:$H$300,Закрытые!$E$5:$E$300,$B288,Закрытые!$B$5:$B$300,"T-*"))</f>
        <v/>
      </c>
      <c r="F288" s="246" t="str">
        <f>IF(SUMIFS(Торговля!$I$5:$I$300,Торговля!$E$5:$E$300,$B288)+SUMIFS(Закрытые!$I$5:$I$300,Закрытые!$E$5:$E$300,$B288,Закрытые!$B$5:$B$300,"T-*")=0,"",SUMIFS(Торговля!$I$5:$I$300,Торговля!$E$5:$E$300,$B288)+SUMIFS(Закрытые!$I$5:$I$300,Закрытые!$E$5:$E$300,$B288,Закрытые!$B$5:$B$300,"T-*"))</f>
        <v/>
      </c>
      <c r="G288" s="183" t="str">
        <f>IF(F288="","",(SUMPRODUCT((Торговля!$E$5:$E$300=$B288)*Торговля!$I$5:$I$300*Торговля!$J$5:$J$300)+SUMPRODUCT((Закрытые!$E$5:$E$300=$B288)*(LEFT(Закрытые!$B$5:$B$300,2)="T-")*Закрытые!$I$5:$I$300*Закрытые!$J$5:$J$300))/F288)</f>
        <v/>
      </c>
      <c r="H288" s="247" t="str">
        <f>IF(F288="","",SUMIFS(Торговля!$K$5:$K$300,Торговля!$E$5:$E$300,$B288)+SUMIFS(Закрытые!$K$5:$K$300,Закрытые!$E$5:$E$300,$B288,Закрытые!$B$5:$B$300,"T-*"))</f>
        <v/>
      </c>
      <c r="I288" s="246" t="str">
        <f>IF($B288="","",IF(COUNTIFS(Торговля!$E$5:$E$300,$B288)+COUNTIFS(Закрытые!$E$5:$E$300,$B288,Закрытые!$B$5:$B$300,"T-*")=0,"",ROUND(SUMIFS(Торговля!$L$5:$L$300,Торговля!$E$5:$E$300,$B288)+SUMIFS(Закрытые!$L$5:$L$300,Закрытые!$E$5:$E$300,$B288,Закрытые!$B$5:$B$300,"T-*"),8)))</f>
        <v/>
      </c>
      <c r="J288" s="247" t="str">
        <f>IF($B288="","",IF(COUNTIFS(Торговля!$E$5:$E$300,$B288)+COUNTIFS(Закрытые!$E$5:$E$300,$B288,Закрытые!$B$5:$B$300,"T-*")=0,"",ROUND(SUMIFS(Торговля!$M$5:$M$300,Торговля!$E$5:$E$300,$B288)+SUMIFS(Закрытые!$M$5:$M$300,Закрытые!$E$5:$E$300,$B288,Закрытые!$B$5:$B$300,"T-*"),8)))</f>
        <v/>
      </c>
      <c r="K288" s="246" t="str">
        <f>IF(MIN(N(C288),N(F288))&lt;=0,"",ROUND(MIN(N(C288),N(F288))*(N(G288)-N(D288)),8))</f>
        <v/>
      </c>
      <c r="L288" s="183" t="str">
        <f>IF(MIN(N(C288),N(F288))&lt;=0,"",IF(N(D288)=0,"",ROUND((N(G288)/N(D288)-1)*100,2)))</f>
        <v/>
      </c>
      <c r="M288" s="183" t="str">
        <f>IF(OR(ROUND(N(C288)-N(F288),8)=0,1-N(Ввод!$J$19)/100&lt;=0),"",IF(N(C288)&gt;N(F288),(N(E288)-N(H288))/((N(C288)-N(F288))*(1-N(Ввод!$J$19)/100)),(N(H288)-N(E288))/((N(F288)-N(C288))*(1+N(Ввод!$J$19)/100))))</f>
        <v/>
      </c>
    </row>
    <row r="289" ht="22" customHeight="1">
      <c r="B289" s="239" t="n"/>
      <c r="C289" s="240" t="str">
        <f>IF(SUMIFS(Торговля!$F$5:$F$300,Торговля!$E$5:$E$300,$B289)+SUMIFS(Закрытые!$F$5:$F$300,Закрытые!$E$5:$E$300,$B289,Закрытые!$B$5:$B$300,"T-*")=0,"",SUMIFS(Торговля!$F$5:$F$300,Торговля!$E$5:$E$300,$B289)+SUMIFS(Закрытые!$F$5:$F$300,Закрытые!$E$5:$E$300,$B289,Закрытые!$B$5:$B$300,"T-*"))</f>
        <v/>
      </c>
      <c r="D289" s="177" t="str">
        <f>IF(C289="","",(SUMPRODUCT((Торговля!$E$5:$E$300=$B289)*Торговля!$F$5:$F$300*Торговля!$G$5:$G$300)+SUMPRODUCT((Закрытые!$E$5:$E$300=$B289)*(LEFT(Закрытые!$B$5:$B$300,2)="T-")*Закрытые!$F$5:$F$300*Закрытые!$G$5:$G$300))/C289)</f>
        <v/>
      </c>
      <c r="E289" s="241" t="str">
        <f>IF(C289="","",SUMIFS(Торговля!$H$5:$H$300,Торговля!$E$5:$E$300,$B289)+SUMIFS(Закрытые!$H$5:$H$300,Закрытые!$E$5:$E$300,$B289,Закрытые!$B$5:$B$300,"T-*"))</f>
        <v/>
      </c>
      <c r="F289" s="240" t="str">
        <f>IF(SUMIFS(Торговля!$I$5:$I$300,Торговля!$E$5:$E$300,$B289)+SUMIFS(Закрытые!$I$5:$I$300,Закрытые!$E$5:$E$300,$B289,Закрытые!$B$5:$B$300,"T-*")=0,"",SUMIFS(Торговля!$I$5:$I$300,Торговля!$E$5:$E$300,$B289)+SUMIFS(Закрытые!$I$5:$I$300,Закрытые!$E$5:$E$300,$B289,Закрытые!$B$5:$B$300,"T-*"))</f>
        <v/>
      </c>
      <c r="G289" s="177" t="str">
        <f>IF(F289="","",(SUMPRODUCT((Торговля!$E$5:$E$300=$B289)*Торговля!$I$5:$I$300*Торговля!$J$5:$J$300)+SUMPRODUCT((Закрытые!$E$5:$E$300=$B289)*(LEFT(Закрытые!$B$5:$B$300,2)="T-")*Закрытые!$I$5:$I$300*Закрытые!$J$5:$J$300))/F289)</f>
        <v/>
      </c>
      <c r="H289" s="241" t="str">
        <f>IF(F289="","",SUMIFS(Торговля!$K$5:$K$300,Торговля!$E$5:$E$300,$B289)+SUMIFS(Закрытые!$K$5:$K$300,Закрытые!$E$5:$E$300,$B289,Закрытые!$B$5:$B$300,"T-*"))</f>
        <v/>
      </c>
      <c r="I289" s="240" t="str">
        <f>IF($B289="","",IF(COUNTIFS(Торговля!$E$5:$E$300,$B289)+COUNTIFS(Закрытые!$E$5:$E$300,$B289,Закрытые!$B$5:$B$300,"T-*")=0,"",ROUND(SUMIFS(Торговля!$L$5:$L$300,Торговля!$E$5:$E$300,$B289)+SUMIFS(Закрытые!$L$5:$L$300,Закрытые!$E$5:$E$300,$B289,Закрытые!$B$5:$B$300,"T-*"),8)))</f>
        <v/>
      </c>
      <c r="J289" s="241" t="str">
        <f>IF($B289="","",IF(COUNTIFS(Торговля!$E$5:$E$300,$B289)+COUNTIFS(Закрытые!$E$5:$E$300,$B289,Закрытые!$B$5:$B$300,"T-*")=0,"",ROUND(SUMIFS(Торговля!$M$5:$M$300,Торговля!$E$5:$E$300,$B289)+SUMIFS(Закрытые!$M$5:$M$300,Закрытые!$E$5:$E$300,$B289,Закрытые!$B$5:$B$300,"T-*"),8)))</f>
        <v/>
      </c>
      <c r="K289" s="240" t="str">
        <f>IF(MIN(N(C289),N(F289))&lt;=0,"",ROUND(MIN(N(C289),N(F289))*(N(G289)-N(D289)),8))</f>
        <v/>
      </c>
      <c r="L289" s="177" t="str">
        <f>IF(MIN(N(C289),N(F289))&lt;=0,"",IF(N(D289)=0,"",ROUND((N(G289)/N(D289)-1)*100,2)))</f>
        <v/>
      </c>
      <c r="M289" s="177" t="str">
        <f>IF(OR(ROUND(N(C289)-N(F289),8)=0,1-N(Ввод!$J$19)/100&lt;=0),"",IF(N(C289)&gt;N(F289),(N(E289)-N(H289))/((N(C289)-N(F289))*(1-N(Ввод!$J$19)/100)),(N(H289)-N(E289))/((N(F289)-N(C289))*(1+N(Ввод!$J$19)/100))))</f>
        <v/>
      </c>
    </row>
    <row r="290" ht="22" customHeight="1">
      <c r="B290" s="245" t="n"/>
      <c r="C290" s="246" t="str">
        <f>IF(SUMIFS(Торговля!$F$5:$F$300,Торговля!$E$5:$E$300,$B290)+SUMIFS(Закрытые!$F$5:$F$300,Закрытые!$E$5:$E$300,$B290,Закрытые!$B$5:$B$300,"T-*")=0,"",SUMIFS(Торговля!$F$5:$F$300,Торговля!$E$5:$E$300,$B290)+SUMIFS(Закрытые!$F$5:$F$300,Закрытые!$E$5:$E$300,$B290,Закрытые!$B$5:$B$300,"T-*"))</f>
        <v/>
      </c>
      <c r="D290" s="183" t="str">
        <f>IF(C290="","",(SUMPRODUCT((Торговля!$E$5:$E$300=$B290)*Торговля!$F$5:$F$300*Торговля!$G$5:$G$300)+SUMPRODUCT((Закрытые!$E$5:$E$300=$B290)*(LEFT(Закрытые!$B$5:$B$300,2)="T-")*Закрытые!$F$5:$F$300*Закрытые!$G$5:$G$300))/C290)</f>
        <v/>
      </c>
      <c r="E290" s="247" t="str">
        <f>IF(C290="","",SUMIFS(Торговля!$H$5:$H$300,Торговля!$E$5:$E$300,$B290)+SUMIFS(Закрытые!$H$5:$H$300,Закрытые!$E$5:$E$300,$B290,Закрытые!$B$5:$B$300,"T-*"))</f>
        <v/>
      </c>
      <c r="F290" s="246" t="str">
        <f>IF(SUMIFS(Торговля!$I$5:$I$300,Торговля!$E$5:$E$300,$B290)+SUMIFS(Закрытые!$I$5:$I$300,Закрытые!$E$5:$E$300,$B290,Закрытые!$B$5:$B$300,"T-*")=0,"",SUMIFS(Торговля!$I$5:$I$300,Торговля!$E$5:$E$300,$B290)+SUMIFS(Закрытые!$I$5:$I$300,Закрытые!$E$5:$E$300,$B290,Закрытые!$B$5:$B$300,"T-*"))</f>
        <v/>
      </c>
      <c r="G290" s="183" t="str">
        <f>IF(F290="","",(SUMPRODUCT((Торговля!$E$5:$E$300=$B290)*Торговля!$I$5:$I$300*Торговля!$J$5:$J$300)+SUMPRODUCT((Закрытые!$E$5:$E$300=$B290)*(LEFT(Закрытые!$B$5:$B$300,2)="T-")*Закрытые!$I$5:$I$300*Закрытые!$J$5:$J$300))/F290)</f>
        <v/>
      </c>
      <c r="H290" s="247" t="str">
        <f>IF(F290="","",SUMIFS(Торговля!$K$5:$K$300,Торговля!$E$5:$E$300,$B290)+SUMIFS(Закрытые!$K$5:$K$300,Закрытые!$E$5:$E$300,$B290,Закрытые!$B$5:$B$300,"T-*"))</f>
        <v/>
      </c>
      <c r="I290" s="246" t="str">
        <f>IF($B290="","",IF(COUNTIFS(Торговля!$E$5:$E$300,$B290)+COUNTIFS(Закрытые!$E$5:$E$300,$B290,Закрытые!$B$5:$B$300,"T-*")=0,"",ROUND(SUMIFS(Торговля!$L$5:$L$300,Торговля!$E$5:$E$300,$B290)+SUMIFS(Закрытые!$L$5:$L$300,Закрытые!$E$5:$E$300,$B290,Закрытые!$B$5:$B$300,"T-*"),8)))</f>
        <v/>
      </c>
      <c r="J290" s="247" t="str">
        <f>IF($B290="","",IF(COUNTIFS(Торговля!$E$5:$E$300,$B290)+COUNTIFS(Закрытые!$E$5:$E$300,$B290,Закрытые!$B$5:$B$300,"T-*")=0,"",ROUND(SUMIFS(Торговля!$M$5:$M$300,Торговля!$E$5:$E$300,$B290)+SUMIFS(Закрытые!$M$5:$M$300,Закрытые!$E$5:$E$300,$B290,Закрытые!$B$5:$B$300,"T-*"),8)))</f>
        <v/>
      </c>
      <c r="K290" s="246" t="str">
        <f>IF(MIN(N(C290),N(F290))&lt;=0,"",ROUND(MIN(N(C290),N(F290))*(N(G290)-N(D290)),8))</f>
        <v/>
      </c>
      <c r="L290" s="183" t="str">
        <f>IF(MIN(N(C290),N(F290))&lt;=0,"",IF(N(D290)=0,"",ROUND((N(G290)/N(D290)-1)*100,2)))</f>
        <v/>
      </c>
      <c r="M290" s="183" t="str">
        <f>IF(OR(ROUND(N(C290)-N(F290),8)=0,1-N(Ввод!$J$19)/100&lt;=0),"",IF(N(C290)&gt;N(F290),(N(E290)-N(H290))/((N(C290)-N(F290))*(1-N(Ввод!$J$19)/100)),(N(H290)-N(E290))/((N(F290)-N(C290))*(1+N(Ввод!$J$19)/100))))</f>
        <v/>
      </c>
    </row>
    <row r="291" ht="22" customHeight="1">
      <c r="B291" s="239" t="n"/>
      <c r="C291" s="240" t="str">
        <f>IF(SUMIFS(Торговля!$F$5:$F$300,Торговля!$E$5:$E$300,$B291)+SUMIFS(Закрытые!$F$5:$F$300,Закрытые!$E$5:$E$300,$B291,Закрытые!$B$5:$B$300,"T-*")=0,"",SUMIFS(Торговля!$F$5:$F$300,Торговля!$E$5:$E$300,$B291)+SUMIFS(Закрытые!$F$5:$F$300,Закрытые!$E$5:$E$300,$B291,Закрытые!$B$5:$B$300,"T-*"))</f>
        <v/>
      </c>
      <c r="D291" s="177" t="str">
        <f>IF(C291="","",(SUMPRODUCT((Торговля!$E$5:$E$300=$B291)*Торговля!$F$5:$F$300*Торговля!$G$5:$G$300)+SUMPRODUCT((Закрытые!$E$5:$E$300=$B291)*(LEFT(Закрытые!$B$5:$B$300,2)="T-")*Закрытые!$F$5:$F$300*Закрытые!$G$5:$G$300))/C291)</f>
        <v/>
      </c>
      <c r="E291" s="241" t="str">
        <f>IF(C291="","",SUMIFS(Торговля!$H$5:$H$300,Торговля!$E$5:$E$300,$B291)+SUMIFS(Закрытые!$H$5:$H$300,Закрытые!$E$5:$E$300,$B291,Закрытые!$B$5:$B$300,"T-*"))</f>
        <v/>
      </c>
      <c r="F291" s="240" t="str">
        <f>IF(SUMIFS(Торговля!$I$5:$I$300,Торговля!$E$5:$E$300,$B291)+SUMIFS(Закрытые!$I$5:$I$300,Закрытые!$E$5:$E$300,$B291,Закрытые!$B$5:$B$300,"T-*")=0,"",SUMIFS(Торговля!$I$5:$I$300,Торговля!$E$5:$E$300,$B291)+SUMIFS(Закрытые!$I$5:$I$300,Закрытые!$E$5:$E$300,$B291,Закрытые!$B$5:$B$300,"T-*"))</f>
        <v/>
      </c>
      <c r="G291" s="177" t="str">
        <f>IF(F291="","",(SUMPRODUCT((Торговля!$E$5:$E$300=$B291)*Торговля!$I$5:$I$300*Торговля!$J$5:$J$300)+SUMPRODUCT((Закрытые!$E$5:$E$300=$B291)*(LEFT(Закрытые!$B$5:$B$300,2)="T-")*Закрытые!$I$5:$I$300*Закрытые!$J$5:$J$300))/F291)</f>
        <v/>
      </c>
      <c r="H291" s="241" t="str">
        <f>IF(F291="","",SUMIFS(Торговля!$K$5:$K$300,Торговля!$E$5:$E$300,$B291)+SUMIFS(Закрытые!$K$5:$K$300,Закрытые!$E$5:$E$300,$B291,Закрытые!$B$5:$B$300,"T-*"))</f>
        <v/>
      </c>
      <c r="I291" s="240" t="str">
        <f>IF($B291="","",IF(COUNTIFS(Торговля!$E$5:$E$300,$B291)+COUNTIFS(Закрытые!$E$5:$E$300,$B291,Закрытые!$B$5:$B$300,"T-*")=0,"",ROUND(SUMIFS(Торговля!$L$5:$L$300,Торговля!$E$5:$E$300,$B291)+SUMIFS(Закрытые!$L$5:$L$300,Закрытые!$E$5:$E$300,$B291,Закрытые!$B$5:$B$300,"T-*"),8)))</f>
        <v/>
      </c>
      <c r="J291" s="241" t="str">
        <f>IF($B291="","",IF(COUNTIFS(Торговля!$E$5:$E$300,$B291)+COUNTIFS(Закрытые!$E$5:$E$300,$B291,Закрытые!$B$5:$B$300,"T-*")=0,"",ROUND(SUMIFS(Торговля!$M$5:$M$300,Торговля!$E$5:$E$300,$B291)+SUMIFS(Закрытые!$M$5:$M$300,Закрытые!$E$5:$E$300,$B291,Закрытые!$B$5:$B$300,"T-*"),8)))</f>
        <v/>
      </c>
      <c r="K291" s="240" t="str">
        <f>IF(MIN(N(C291),N(F291))&lt;=0,"",ROUND(MIN(N(C291),N(F291))*(N(G291)-N(D291)),8))</f>
        <v/>
      </c>
      <c r="L291" s="177" t="str">
        <f>IF(MIN(N(C291),N(F291))&lt;=0,"",IF(N(D291)=0,"",ROUND((N(G291)/N(D291)-1)*100,2)))</f>
        <v/>
      </c>
      <c r="M291" s="177" t="str">
        <f>IF(OR(ROUND(N(C291)-N(F291),8)=0,1-N(Ввод!$J$19)/100&lt;=0),"",IF(N(C291)&gt;N(F291),(N(E291)-N(H291))/((N(C291)-N(F291))*(1-N(Ввод!$J$19)/100)),(N(H291)-N(E291))/((N(F291)-N(C291))*(1+N(Ввод!$J$19)/100))))</f>
        <v/>
      </c>
    </row>
    <row r="292" ht="22" customHeight="1">
      <c r="B292" s="245" t="n"/>
      <c r="C292" s="246" t="str">
        <f>IF(SUMIFS(Торговля!$F$5:$F$300,Торговля!$E$5:$E$300,$B292)+SUMIFS(Закрытые!$F$5:$F$300,Закрытые!$E$5:$E$300,$B292,Закрытые!$B$5:$B$300,"T-*")=0,"",SUMIFS(Торговля!$F$5:$F$300,Торговля!$E$5:$E$300,$B292)+SUMIFS(Закрытые!$F$5:$F$300,Закрытые!$E$5:$E$300,$B292,Закрытые!$B$5:$B$300,"T-*"))</f>
        <v/>
      </c>
      <c r="D292" s="183" t="str">
        <f>IF(C292="","",(SUMPRODUCT((Торговля!$E$5:$E$300=$B292)*Торговля!$F$5:$F$300*Торговля!$G$5:$G$300)+SUMPRODUCT((Закрытые!$E$5:$E$300=$B292)*(LEFT(Закрытые!$B$5:$B$300,2)="T-")*Закрытые!$F$5:$F$300*Закрытые!$G$5:$G$300))/C292)</f>
        <v/>
      </c>
      <c r="E292" s="247" t="str">
        <f>IF(C292="","",SUMIFS(Торговля!$H$5:$H$300,Торговля!$E$5:$E$300,$B292)+SUMIFS(Закрытые!$H$5:$H$300,Закрытые!$E$5:$E$300,$B292,Закрытые!$B$5:$B$300,"T-*"))</f>
        <v/>
      </c>
      <c r="F292" s="246" t="str">
        <f>IF(SUMIFS(Торговля!$I$5:$I$300,Торговля!$E$5:$E$300,$B292)+SUMIFS(Закрытые!$I$5:$I$300,Закрытые!$E$5:$E$300,$B292,Закрытые!$B$5:$B$300,"T-*")=0,"",SUMIFS(Торговля!$I$5:$I$300,Торговля!$E$5:$E$300,$B292)+SUMIFS(Закрытые!$I$5:$I$300,Закрытые!$E$5:$E$300,$B292,Закрытые!$B$5:$B$300,"T-*"))</f>
        <v/>
      </c>
      <c r="G292" s="183" t="str">
        <f>IF(F292="","",(SUMPRODUCT((Торговля!$E$5:$E$300=$B292)*Торговля!$I$5:$I$300*Торговля!$J$5:$J$300)+SUMPRODUCT((Закрытые!$E$5:$E$300=$B292)*(LEFT(Закрытые!$B$5:$B$300,2)="T-")*Закрытые!$I$5:$I$300*Закрытые!$J$5:$J$300))/F292)</f>
        <v/>
      </c>
      <c r="H292" s="247" t="str">
        <f>IF(F292="","",SUMIFS(Торговля!$K$5:$K$300,Торговля!$E$5:$E$300,$B292)+SUMIFS(Закрытые!$K$5:$K$300,Закрытые!$E$5:$E$300,$B292,Закрытые!$B$5:$B$300,"T-*"))</f>
        <v/>
      </c>
      <c r="I292" s="246" t="str">
        <f>IF($B292="","",IF(COUNTIFS(Торговля!$E$5:$E$300,$B292)+COUNTIFS(Закрытые!$E$5:$E$300,$B292,Закрытые!$B$5:$B$300,"T-*")=0,"",ROUND(SUMIFS(Торговля!$L$5:$L$300,Торговля!$E$5:$E$300,$B292)+SUMIFS(Закрытые!$L$5:$L$300,Закрытые!$E$5:$E$300,$B292,Закрытые!$B$5:$B$300,"T-*"),8)))</f>
        <v/>
      </c>
      <c r="J292" s="247" t="str">
        <f>IF($B292="","",IF(COUNTIFS(Торговля!$E$5:$E$300,$B292)+COUNTIFS(Закрытые!$E$5:$E$300,$B292,Закрытые!$B$5:$B$300,"T-*")=0,"",ROUND(SUMIFS(Торговля!$M$5:$M$300,Торговля!$E$5:$E$300,$B292)+SUMIFS(Закрытые!$M$5:$M$300,Закрытые!$E$5:$E$300,$B292,Закрытые!$B$5:$B$300,"T-*"),8)))</f>
        <v/>
      </c>
      <c r="K292" s="246" t="str">
        <f>IF(MIN(N(C292),N(F292))&lt;=0,"",ROUND(MIN(N(C292),N(F292))*(N(G292)-N(D292)),8))</f>
        <v/>
      </c>
      <c r="L292" s="183" t="str">
        <f>IF(MIN(N(C292),N(F292))&lt;=0,"",IF(N(D292)=0,"",ROUND((N(G292)/N(D292)-1)*100,2)))</f>
        <v/>
      </c>
      <c r="M292" s="183" t="str">
        <f>IF(OR(ROUND(N(C292)-N(F292),8)=0,1-N(Ввод!$J$19)/100&lt;=0),"",IF(N(C292)&gt;N(F292),(N(E292)-N(H292))/((N(C292)-N(F292))*(1-N(Ввод!$J$19)/100)),(N(H292)-N(E292))/((N(F292)-N(C292))*(1+N(Ввод!$J$19)/100))))</f>
        <v/>
      </c>
    </row>
    <row r="293" ht="22" customHeight="1">
      <c r="B293" s="239" t="n"/>
      <c r="C293" s="240" t="str">
        <f>IF(SUMIFS(Торговля!$F$5:$F$300,Торговля!$E$5:$E$300,$B293)+SUMIFS(Закрытые!$F$5:$F$300,Закрытые!$E$5:$E$300,$B293,Закрытые!$B$5:$B$300,"T-*")=0,"",SUMIFS(Торговля!$F$5:$F$300,Торговля!$E$5:$E$300,$B293)+SUMIFS(Закрытые!$F$5:$F$300,Закрытые!$E$5:$E$300,$B293,Закрытые!$B$5:$B$300,"T-*"))</f>
        <v/>
      </c>
      <c r="D293" s="177" t="str">
        <f>IF(C293="","",(SUMPRODUCT((Торговля!$E$5:$E$300=$B293)*Торговля!$F$5:$F$300*Торговля!$G$5:$G$300)+SUMPRODUCT((Закрытые!$E$5:$E$300=$B293)*(LEFT(Закрытые!$B$5:$B$300,2)="T-")*Закрытые!$F$5:$F$300*Закрытые!$G$5:$G$300))/C293)</f>
        <v/>
      </c>
      <c r="E293" s="241" t="str">
        <f>IF(C293="","",SUMIFS(Торговля!$H$5:$H$300,Торговля!$E$5:$E$300,$B293)+SUMIFS(Закрытые!$H$5:$H$300,Закрытые!$E$5:$E$300,$B293,Закрытые!$B$5:$B$300,"T-*"))</f>
        <v/>
      </c>
      <c r="F293" s="240" t="str">
        <f>IF(SUMIFS(Торговля!$I$5:$I$300,Торговля!$E$5:$E$300,$B293)+SUMIFS(Закрытые!$I$5:$I$300,Закрытые!$E$5:$E$300,$B293,Закрытые!$B$5:$B$300,"T-*")=0,"",SUMIFS(Торговля!$I$5:$I$300,Торговля!$E$5:$E$300,$B293)+SUMIFS(Закрытые!$I$5:$I$300,Закрытые!$E$5:$E$300,$B293,Закрытые!$B$5:$B$300,"T-*"))</f>
        <v/>
      </c>
      <c r="G293" s="177" t="str">
        <f>IF(F293="","",(SUMPRODUCT((Торговля!$E$5:$E$300=$B293)*Торговля!$I$5:$I$300*Торговля!$J$5:$J$300)+SUMPRODUCT((Закрытые!$E$5:$E$300=$B293)*(LEFT(Закрытые!$B$5:$B$300,2)="T-")*Закрытые!$I$5:$I$300*Закрытые!$J$5:$J$300))/F293)</f>
        <v/>
      </c>
      <c r="H293" s="241" t="str">
        <f>IF(F293="","",SUMIFS(Торговля!$K$5:$K$300,Торговля!$E$5:$E$300,$B293)+SUMIFS(Закрытые!$K$5:$K$300,Закрытые!$E$5:$E$300,$B293,Закрытые!$B$5:$B$300,"T-*"))</f>
        <v/>
      </c>
      <c r="I293" s="240" t="str">
        <f>IF($B293="","",IF(COUNTIFS(Торговля!$E$5:$E$300,$B293)+COUNTIFS(Закрытые!$E$5:$E$300,$B293,Закрытые!$B$5:$B$300,"T-*")=0,"",ROUND(SUMIFS(Торговля!$L$5:$L$300,Торговля!$E$5:$E$300,$B293)+SUMIFS(Закрытые!$L$5:$L$300,Закрытые!$E$5:$E$300,$B293,Закрытые!$B$5:$B$300,"T-*"),8)))</f>
        <v/>
      </c>
      <c r="J293" s="241" t="str">
        <f>IF($B293="","",IF(COUNTIFS(Торговля!$E$5:$E$300,$B293)+COUNTIFS(Закрытые!$E$5:$E$300,$B293,Закрытые!$B$5:$B$300,"T-*")=0,"",ROUND(SUMIFS(Торговля!$M$5:$M$300,Торговля!$E$5:$E$300,$B293)+SUMIFS(Закрытые!$M$5:$M$300,Закрытые!$E$5:$E$300,$B293,Закрытые!$B$5:$B$300,"T-*"),8)))</f>
        <v/>
      </c>
      <c r="K293" s="240" t="str">
        <f>IF(MIN(N(C293),N(F293))&lt;=0,"",ROUND(MIN(N(C293),N(F293))*(N(G293)-N(D293)),8))</f>
        <v/>
      </c>
      <c r="L293" s="177" t="str">
        <f>IF(MIN(N(C293),N(F293))&lt;=0,"",IF(N(D293)=0,"",ROUND((N(G293)/N(D293)-1)*100,2)))</f>
        <v/>
      </c>
      <c r="M293" s="177" t="str">
        <f>IF(OR(ROUND(N(C293)-N(F293),8)=0,1-N(Ввод!$J$19)/100&lt;=0),"",IF(N(C293)&gt;N(F293),(N(E293)-N(H293))/((N(C293)-N(F293))*(1-N(Ввод!$J$19)/100)),(N(H293)-N(E293))/((N(F293)-N(C293))*(1+N(Ввод!$J$19)/100))))</f>
        <v/>
      </c>
    </row>
    <row r="294" ht="22" customHeight="1">
      <c r="B294" s="245" t="n"/>
      <c r="C294" s="246" t="str">
        <f>IF(SUMIFS(Торговля!$F$5:$F$300,Торговля!$E$5:$E$300,$B294)+SUMIFS(Закрытые!$F$5:$F$300,Закрытые!$E$5:$E$300,$B294,Закрытые!$B$5:$B$300,"T-*")=0,"",SUMIFS(Торговля!$F$5:$F$300,Торговля!$E$5:$E$300,$B294)+SUMIFS(Закрытые!$F$5:$F$300,Закрытые!$E$5:$E$300,$B294,Закрытые!$B$5:$B$300,"T-*"))</f>
        <v/>
      </c>
      <c r="D294" s="183" t="str">
        <f>IF(C294="","",(SUMPRODUCT((Торговля!$E$5:$E$300=$B294)*Торговля!$F$5:$F$300*Торговля!$G$5:$G$300)+SUMPRODUCT((Закрытые!$E$5:$E$300=$B294)*(LEFT(Закрытые!$B$5:$B$300,2)="T-")*Закрытые!$F$5:$F$300*Закрытые!$G$5:$G$300))/C294)</f>
        <v/>
      </c>
      <c r="E294" s="247" t="str">
        <f>IF(C294="","",SUMIFS(Торговля!$H$5:$H$300,Торговля!$E$5:$E$300,$B294)+SUMIFS(Закрытые!$H$5:$H$300,Закрытые!$E$5:$E$300,$B294,Закрытые!$B$5:$B$300,"T-*"))</f>
        <v/>
      </c>
      <c r="F294" s="246" t="str">
        <f>IF(SUMIFS(Торговля!$I$5:$I$300,Торговля!$E$5:$E$300,$B294)+SUMIFS(Закрытые!$I$5:$I$300,Закрытые!$E$5:$E$300,$B294,Закрытые!$B$5:$B$300,"T-*")=0,"",SUMIFS(Торговля!$I$5:$I$300,Торговля!$E$5:$E$300,$B294)+SUMIFS(Закрытые!$I$5:$I$300,Закрытые!$E$5:$E$300,$B294,Закрытые!$B$5:$B$300,"T-*"))</f>
        <v/>
      </c>
      <c r="G294" s="183" t="str">
        <f>IF(F294="","",(SUMPRODUCT((Торговля!$E$5:$E$300=$B294)*Торговля!$I$5:$I$300*Торговля!$J$5:$J$300)+SUMPRODUCT((Закрытые!$E$5:$E$300=$B294)*(LEFT(Закрытые!$B$5:$B$300,2)="T-")*Закрытые!$I$5:$I$300*Закрытые!$J$5:$J$300))/F294)</f>
        <v/>
      </c>
      <c r="H294" s="247" t="str">
        <f>IF(F294="","",SUMIFS(Торговля!$K$5:$K$300,Торговля!$E$5:$E$300,$B294)+SUMIFS(Закрытые!$K$5:$K$300,Закрытые!$E$5:$E$300,$B294,Закрытые!$B$5:$B$300,"T-*"))</f>
        <v/>
      </c>
      <c r="I294" s="246" t="str">
        <f>IF($B294="","",IF(COUNTIFS(Торговля!$E$5:$E$300,$B294)+COUNTIFS(Закрытые!$E$5:$E$300,$B294,Закрытые!$B$5:$B$300,"T-*")=0,"",ROUND(SUMIFS(Торговля!$L$5:$L$300,Торговля!$E$5:$E$300,$B294)+SUMIFS(Закрытые!$L$5:$L$300,Закрытые!$E$5:$E$300,$B294,Закрытые!$B$5:$B$300,"T-*"),8)))</f>
        <v/>
      </c>
      <c r="J294" s="247" t="str">
        <f>IF($B294="","",IF(COUNTIFS(Торговля!$E$5:$E$300,$B294)+COUNTIFS(Закрытые!$E$5:$E$300,$B294,Закрытые!$B$5:$B$300,"T-*")=0,"",ROUND(SUMIFS(Торговля!$M$5:$M$300,Торговля!$E$5:$E$300,$B294)+SUMIFS(Закрытые!$M$5:$M$300,Закрытые!$E$5:$E$300,$B294,Закрытые!$B$5:$B$300,"T-*"),8)))</f>
        <v/>
      </c>
      <c r="K294" s="246" t="str">
        <f>IF(MIN(N(C294),N(F294))&lt;=0,"",ROUND(MIN(N(C294),N(F294))*(N(G294)-N(D294)),8))</f>
        <v/>
      </c>
      <c r="L294" s="183" t="str">
        <f>IF(MIN(N(C294),N(F294))&lt;=0,"",IF(N(D294)=0,"",ROUND((N(G294)/N(D294)-1)*100,2)))</f>
        <v/>
      </c>
      <c r="M294" s="183" t="str">
        <f>IF(OR(ROUND(N(C294)-N(F294),8)=0,1-N(Ввод!$J$19)/100&lt;=0),"",IF(N(C294)&gt;N(F294),(N(E294)-N(H294))/((N(C294)-N(F294))*(1-N(Ввод!$J$19)/100)),(N(H294)-N(E294))/((N(F294)-N(C294))*(1+N(Ввод!$J$19)/100))))</f>
        <v/>
      </c>
    </row>
    <row r="295" ht="22" customHeight="1">
      <c r="B295" s="239" t="n"/>
      <c r="C295" s="240" t="str">
        <f>IF(SUMIFS(Торговля!$F$5:$F$300,Торговля!$E$5:$E$300,$B295)+SUMIFS(Закрытые!$F$5:$F$300,Закрытые!$E$5:$E$300,$B295,Закрытые!$B$5:$B$300,"T-*")=0,"",SUMIFS(Торговля!$F$5:$F$300,Торговля!$E$5:$E$300,$B295)+SUMIFS(Закрытые!$F$5:$F$300,Закрытые!$E$5:$E$300,$B295,Закрытые!$B$5:$B$300,"T-*"))</f>
        <v/>
      </c>
      <c r="D295" s="177" t="str">
        <f>IF(C295="","",(SUMPRODUCT((Торговля!$E$5:$E$300=$B295)*Торговля!$F$5:$F$300*Торговля!$G$5:$G$300)+SUMPRODUCT((Закрытые!$E$5:$E$300=$B295)*(LEFT(Закрытые!$B$5:$B$300,2)="T-")*Закрытые!$F$5:$F$300*Закрытые!$G$5:$G$300))/C295)</f>
        <v/>
      </c>
      <c r="E295" s="241" t="str">
        <f>IF(C295="","",SUMIFS(Торговля!$H$5:$H$300,Торговля!$E$5:$E$300,$B295)+SUMIFS(Закрытые!$H$5:$H$300,Закрытые!$E$5:$E$300,$B295,Закрытые!$B$5:$B$300,"T-*"))</f>
        <v/>
      </c>
      <c r="F295" s="240" t="str">
        <f>IF(SUMIFS(Торговля!$I$5:$I$300,Торговля!$E$5:$E$300,$B295)+SUMIFS(Закрытые!$I$5:$I$300,Закрытые!$E$5:$E$300,$B295,Закрытые!$B$5:$B$300,"T-*")=0,"",SUMIFS(Торговля!$I$5:$I$300,Торговля!$E$5:$E$300,$B295)+SUMIFS(Закрытые!$I$5:$I$300,Закрытые!$E$5:$E$300,$B295,Закрытые!$B$5:$B$300,"T-*"))</f>
        <v/>
      </c>
      <c r="G295" s="177" t="str">
        <f>IF(F295="","",(SUMPRODUCT((Торговля!$E$5:$E$300=$B295)*Торговля!$I$5:$I$300*Торговля!$J$5:$J$300)+SUMPRODUCT((Закрытые!$E$5:$E$300=$B295)*(LEFT(Закрытые!$B$5:$B$300,2)="T-")*Закрытые!$I$5:$I$300*Закрытые!$J$5:$J$300))/F295)</f>
        <v/>
      </c>
      <c r="H295" s="241" t="str">
        <f>IF(F295="","",SUMIFS(Торговля!$K$5:$K$300,Торговля!$E$5:$E$300,$B295)+SUMIFS(Закрытые!$K$5:$K$300,Закрытые!$E$5:$E$300,$B295,Закрытые!$B$5:$B$300,"T-*"))</f>
        <v/>
      </c>
      <c r="I295" s="240" t="str">
        <f>IF($B295="","",IF(COUNTIFS(Торговля!$E$5:$E$300,$B295)+COUNTIFS(Закрытые!$E$5:$E$300,$B295,Закрытые!$B$5:$B$300,"T-*")=0,"",ROUND(SUMIFS(Торговля!$L$5:$L$300,Торговля!$E$5:$E$300,$B295)+SUMIFS(Закрытые!$L$5:$L$300,Закрытые!$E$5:$E$300,$B295,Закрытые!$B$5:$B$300,"T-*"),8)))</f>
        <v/>
      </c>
      <c r="J295" s="241" t="str">
        <f>IF($B295="","",IF(COUNTIFS(Торговля!$E$5:$E$300,$B295)+COUNTIFS(Закрытые!$E$5:$E$300,$B295,Закрытые!$B$5:$B$300,"T-*")=0,"",ROUND(SUMIFS(Торговля!$M$5:$M$300,Торговля!$E$5:$E$300,$B295)+SUMIFS(Закрытые!$M$5:$M$300,Закрытые!$E$5:$E$300,$B295,Закрытые!$B$5:$B$300,"T-*"),8)))</f>
        <v/>
      </c>
      <c r="K295" s="240" t="str">
        <f>IF(MIN(N(C295),N(F295))&lt;=0,"",ROUND(MIN(N(C295),N(F295))*(N(G295)-N(D295)),8))</f>
        <v/>
      </c>
      <c r="L295" s="177" t="str">
        <f>IF(MIN(N(C295),N(F295))&lt;=0,"",IF(N(D295)=0,"",ROUND((N(G295)/N(D295)-1)*100,2)))</f>
        <v/>
      </c>
      <c r="M295" s="177" t="str">
        <f>IF(OR(ROUND(N(C295)-N(F295),8)=0,1-N(Ввод!$J$19)/100&lt;=0),"",IF(N(C295)&gt;N(F295),(N(E295)-N(H295))/((N(C295)-N(F295))*(1-N(Ввод!$J$19)/100)),(N(H295)-N(E295))/((N(F295)-N(C295))*(1+N(Ввод!$J$19)/100))))</f>
        <v/>
      </c>
    </row>
    <row r="296" ht="22" customHeight="1">
      <c r="B296" s="245" t="n"/>
      <c r="C296" s="246" t="str">
        <f>IF(SUMIFS(Торговля!$F$5:$F$300,Торговля!$E$5:$E$300,$B296)+SUMIFS(Закрытые!$F$5:$F$300,Закрытые!$E$5:$E$300,$B296,Закрытые!$B$5:$B$300,"T-*")=0,"",SUMIFS(Торговля!$F$5:$F$300,Торговля!$E$5:$E$300,$B296)+SUMIFS(Закрытые!$F$5:$F$300,Закрытые!$E$5:$E$300,$B296,Закрытые!$B$5:$B$300,"T-*"))</f>
        <v/>
      </c>
      <c r="D296" s="183" t="str">
        <f>IF(C296="","",(SUMPRODUCT((Торговля!$E$5:$E$300=$B296)*Торговля!$F$5:$F$300*Торговля!$G$5:$G$300)+SUMPRODUCT((Закрытые!$E$5:$E$300=$B296)*(LEFT(Закрытые!$B$5:$B$300,2)="T-")*Закрытые!$F$5:$F$300*Закрытые!$G$5:$G$300))/C296)</f>
        <v/>
      </c>
      <c r="E296" s="247" t="str">
        <f>IF(C296="","",SUMIFS(Торговля!$H$5:$H$300,Торговля!$E$5:$E$300,$B296)+SUMIFS(Закрытые!$H$5:$H$300,Закрытые!$E$5:$E$300,$B296,Закрытые!$B$5:$B$300,"T-*"))</f>
        <v/>
      </c>
      <c r="F296" s="246" t="str">
        <f>IF(SUMIFS(Торговля!$I$5:$I$300,Торговля!$E$5:$E$300,$B296)+SUMIFS(Закрытые!$I$5:$I$300,Закрытые!$E$5:$E$300,$B296,Закрытые!$B$5:$B$300,"T-*")=0,"",SUMIFS(Торговля!$I$5:$I$300,Торговля!$E$5:$E$300,$B296)+SUMIFS(Закрытые!$I$5:$I$300,Закрытые!$E$5:$E$300,$B296,Закрытые!$B$5:$B$300,"T-*"))</f>
        <v/>
      </c>
      <c r="G296" s="183" t="str">
        <f>IF(F296="","",(SUMPRODUCT((Торговля!$E$5:$E$300=$B296)*Торговля!$I$5:$I$300*Торговля!$J$5:$J$300)+SUMPRODUCT((Закрытые!$E$5:$E$300=$B296)*(LEFT(Закрытые!$B$5:$B$300,2)="T-")*Закрытые!$I$5:$I$300*Закрытые!$J$5:$J$300))/F296)</f>
        <v/>
      </c>
      <c r="H296" s="247" t="str">
        <f>IF(F296="","",SUMIFS(Торговля!$K$5:$K$300,Торговля!$E$5:$E$300,$B296)+SUMIFS(Закрытые!$K$5:$K$300,Закрытые!$E$5:$E$300,$B296,Закрытые!$B$5:$B$300,"T-*"))</f>
        <v/>
      </c>
      <c r="I296" s="246" t="str">
        <f>IF($B296="","",IF(COUNTIFS(Торговля!$E$5:$E$300,$B296)+COUNTIFS(Закрытые!$E$5:$E$300,$B296,Закрытые!$B$5:$B$300,"T-*")=0,"",ROUND(SUMIFS(Торговля!$L$5:$L$300,Торговля!$E$5:$E$300,$B296)+SUMIFS(Закрытые!$L$5:$L$300,Закрытые!$E$5:$E$300,$B296,Закрытые!$B$5:$B$300,"T-*"),8)))</f>
        <v/>
      </c>
      <c r="J296" s="247" t="str">
        <f>IF($B296="","",IF(COUNTIFS(Торговля!$E$5:$E$300,$B296)+COUNTIFS(Закрытые!$E$5:$E$300,$B296,Закрытые!$B$5:$B$300,"T-*")=0,"",ROUND(SUMIFS(Торговля!$M$5:$M$300,Торговля!$E$5:$E$300,$B296)+SUMIFS(Закрытые!$M$5:$M$300,Закрытые!$E$5:$E$300,$B296,Закрытые!$B$5:$B$300,"T-*"),8)))</f>
        <v/>
      </c>
      <c r="K296" s="246" t="str">
        <f>IF(MIN(N(C296),N(F296))&lt;=0,"",ROUND(MIN(N(C296),N(F296))*(N(G296)-N(D296)),8))</f>
        <v/>
      </c>
      <c r="L296" s="183" t="str">
        <f>IF(MIN(N(C296),N(F296))&lt;=0,"",IF(N(D296)=0,"",ROUND((N(G296)/N(D296)-1)*100,2)))</f>
        <v/>
      </c>
      <c r="M296" s="183" t="str">
        <f>IF(OR(ROUND(N(C296)-N(F296),8)=0,1-N(Ввод!$J$19)/100&lt;=0),"",IF(N(C296)&gt;N(F296),(N(E296)-N(H296))/((N(C296)-N(F296))*(1-N(Ввод!$J$19)/100)),(N(H296)-N(E296))/((N(F296)-N(C296))*(1+N(Ввод!$J$19)/100))))</f>
        <v/>
      </c>
    </row>
    <row r="297" ht="22" customHeight="1">
      <c r="B297" s="239" t="n"/>
      <c r="C297" s="240" t="str">
        <f>IF(SUMIFS(Торговля!$F$5:$F$300,Торговля!$E$5:$E$300,$B297)+SUMIFS(Закрытые!$F$5:$F$300,Закрытые!$E$5:$E$300,$B297,Закрытые!$B$5:$B$300,"T-*")=0,"",SUMIFS(Торговля!$F$5:$F$300,Торговля!$E$5:$E$300,$B297)+SUMIFS(Закрытые!$F$5:$F$300,Закрытые!$E$5:$E$300,$B297,Закрытые!$B$5:$B$300,"T-*"))</f>
        <v/>
      </c>
      <c r="D297" s="177" t="str">
        <f>IF(C297="","",(SUMPRODUCT((Торговля!$E$5:$E$300=$B297)*Торговля!$F$5:$F$300*Торговля!$G$5:$G$300)+SUMPRODUCT((Закрытые!$E$5:$E$300=$B297)*(LEFT(Закрытые!$B$5:$B$300,2)="T-")*Закрытые!$F$5:$F$300*Закрытые!$G$5:$G$300))/C297)</f>
        <v/>
      </c>
      <c r="E297" s="241" t="str">
        <f>IF(C297="","",SUMIFS(Торговля!$H$5:$H$300,Торговля!$E$5:$E$300,$B297)+SUMIFS(Закрытые!$H$5:$H$300,Закрытые!$E$5:$E$300,$B297,Закрытые!$B$5:$B$300,"T-*"))</f>
        <v/>
      </c>
      <c r="F297" s="240" t="str">
        <f>IF(SUMIFS(Торговля!$I$5:$I$300,Торговля!$E$5:$E$300,$B297)+SUMIFS(Закрытые!$I$5:$I$300,Закрытые!$E$5:$E$300,$B297,Закрытые!$B$5:$B$300,"T-*")=0,"",SUMIFS(Торговля!$I$5:$I$300,Торговля!$E$5:$E$300,$B297)+SUMIFS(Закрытые!$I$5:$I$300,Закрытые!$E$5:$E$300,$B297,Закрытые!$B$5:$B$300,"T-*"))</f>
        <v/>
      </c>
      <c r="G297" s="177" t="str">
        <f>IF(F297="","",(SUMPRODUCT((Торговля!$E$5:$E$300=$B297)*Торговля!$I$5:$I$300*Торговля!$J$5:$J$300)+SUMPRODUCT((Закрытые!$E$5:$E$300=$B297)*(LEFT(Закрытые!$B$5:$B$300,2)="T-")*Закрытые!$I$5:$I$300*Закрытые!$J$5:$J$300))/F297)</f>
        <v/>
      </c>
      <c r="H297" s="241" t="str">
        <f>IF(F297="","",SUMIFS(Торговля!$K$5:$K$300,Торговля!$E$5:$E$300,$B297)+SUMIFS(Закрытые!$K$5:$K$300,Закрытые!$E$5:$E$300,$B297,Закрытые!$B$5:$B$300,"T-*"))</f>
        <v/>
      </c>
      <c r="I297" s="240" t="str">
        <f>IF($B297="","",IF(COUNTIFS(Торговля!$E$5:$E$300,$B297)+COUNTIFS(Закрытые!$E$5:$E$300,$B297,Закрытые!$B$5:$B$300,"T-*")=0,"",ROUND(SUMIFS(Торговля!$L$5:$L$300,Торговля!$E$5:$E$300,$B297)+SUMIFS(Закрытые!$L$5:$L$300,Закрытые!$E$5:$E$300,$B297,Закрытые!$B$5:$B$300,"T-*"),8)))</f>
        <v/>
      </c>
      <c r="J297" s="241" t="str">
        <f>IF($B297="","",IF(COUNTIFS(Торговля!$E$5:$E$300,$B297)+COUNTIFS(Закрытые!$E$5:$E$300,$B297,Закрытые!$B$5:$B$300,"T-*")=0,"",ROUND(SUMIFS(Торговля!$M$5:$M$300,Торговля!$E$5:$E$300,$B297)+SUMIFS(Закрытые!$M$5:$M$300,Закрытые!$E$5:$E$300,$B297,Закрытые!$B$5:$B$300,"T-*"),8)))</f>
        <v/>
      </c>
      <c r="K297" s="240" t="str">
        <f>IF(MIN(N(C297),N(F297))&lt;=0,"",ROUND(MIN(N(C297),N(F297))*(N(G297)-N(D297)),8))</f>
        <v/>
      </c>
      <c r="L297" s="177" t="str">
        <f>IF(MIN(N(C297),N(F297))&lt;=0,"",IF(N(D297)=0,"",ROUND((N(G297)/N(D297)-1)*100,2)))</f>
        <v/>
      </c>
      <c r="M297" s="177" t="str">
        <f>IF(OR(ROUND(N(C297)-N(F297),8)=0,1-N(Ввод!$J$19)/100&lt;=0),"",IF(N(C297)&gt;N(F297),(N(E297)-N(H297))/((N(C297)-N(F297))*(1-N(Ввод!$J$19)/100)),(N(H297)-N(E297))/((N(F297)-N(C297))*(1+N(Ввод!$J$19)/100))))</f>
        <v/>
      </c>
    </row>
    <row r="298" ht="22" customHeight="1">
      <c r="B298" s="245" t="n"/>
      <c r="C298" s="246" t="str">
        <f>IF(SUMIFS(Торговля!$F$5:$F$300,Торговля!$E$5:$E$300,$B298)+SUMIFS(Закрытые!$F$5:$F$300,Закрытые!$E$5:$E$300,$B298,Закрытые!$B$5:$B$300,"T-*")=0,"",SUMIFS(Торговля!$F$5:$F$300,Торговля!$E$5:$E$300,$B298)+SUMIFS(Закрытые!$F$5:$F$300,Закрытые!$E$5:$E$300,$B298,Закрытые!$B$5:$B$300,"T-*"))</f>
        <v/>
      </c>
      <c r="D298" s="183" t="str">
        <f>IF(C298="","",(SUMPRODUCT((Торговля!$E$5:$E$300=$B298)*Торговля!$F$5:$F$300*Торговля!$G$5:$G$300)+SUMPRODUCT((Закрытые!$E$5:$E$300=$B298)*(LEFT(Закрытые!$B$5:$B$300,2)="T-")*Закрытые!$F$5:$F$300*Закрытые!$G$5:$G$300))/C298)</f>
        <v/>
      </c>
      <c r="E298" s="247" t="str">
        <f>IF(C298="","",SUMIFS(Торговля!$H$5:$H$300,Торговля!$E$5:$E$300,$B298)+SUMIFS(Закрытые!$H$5:$H$300,Закрытые!$E$5:$E$300,$B298,Закрытые!$B$5:$B$300,"T-*"))</f>
        <v/>
      </c>
      <c r="F298" s="246" t="str">
        <f>IF(SUMIFS(Торговля!$I$5:$I$300,Торговля!$E$5:$E$300,$B298)+SUMIFS(Закрытые!$I$5:$I$300,Закрытые!$E$5:$E$300,$B298,Закрытые!$B$5:$B$300,"T-*")=0,"",SUMIFS(Торговля!$I$5:$I$300,Торговля!$E$5:$E$300,$B298)+SUMIFS(Закрытые!$I$5:$I$300,Закрытые!$E$5:$E$300,$B298,Закрытые!$B$5:$B$300,"T-*"))</f>
        <v/>
      </c>
      <c r="G298" s="183" t="str">
        <f>IF(F298="","",(SUMPRODUCT((Торговля!$E$5:$E$300=$B298)*Торговля!$I$5:$I$300*Торговля!$J$5:$J$300)+SUMPRODUCT((Закрытые!$E$5:$E$300=$B298)*(LEFT(Закрытые!$B$5:$B$300,2)="T-")*Закрытые!$I$5:$I$300*Закрытые!$J$5:$J$300))/F298)</f>
        <v/>
      </c>
      <c r="H298" s="247" t="str">
        <f>IF(F298="","",SUMIFS(Торговля!$K$5:$K$300,Торговля!$E$5:$E$300,$B298)+SUMIFS(Закрытые!$K$5:$K$300,Закрытые!$E$5:$E$300,$B298,Закрытые!$B$5:$B$300,"T-*"))</f>
        <v/>
      </c>
      <c r="I298" s="246" t="str">
        <f>IF($B298="","",IF(COUNTIFS(Торговля!$E$5:$E$300,$B298)+COUNTIFS(Закрытые!$E$5:$E$300,$B298,Закрытые!$B$5:$B$300,"T-*")=0,"",ROUND(SUMIFS(Торговля!$L$5:$L$300,Торговля!$E$5:$E$300,$B298)+SUMIFS(Закрытые!$L$5:$L$300,Закрытые!$E$5:$E$300,$B298,Закрытые!$B$5:$B$300,"T-*"),8)))</f>
        <v/>
      </c>
      <c r="J298" s="247" t="str">
        <f>IF($B298="","",IF(COUNTIFS(Торговля!$E$5:$E$300,$B298)+COUNTIFS(Закрытые!$E$5:$E$300,$B298,Закрытые!$B$5:$B$300,"T-*")=0,"",ROUND(SUMIFS(Торговля!$M$5:$M$300,Торговля!$E$5:$E$300,$B298)+SUMIFS(Закрытые!$M$5:$M$300,Закрытые!$E$5:$E$300,$B298,Закрытые!$B$5:$B$300,"T-*"),8)))</f>
        <v/>
      </c>
      <c r="K298" s="246" t="str">
        <f>IF(MIN(N(C298),N(F298))&lt;=0,"",ROUND(MIN(N(C298),N(F298))*(N(G298)-N(D298)),8))</f>
        <v/>
      </c>
      <c r="L298" s="183" t="str">
        <f>IF(MIN(N(C298),N(F298))&lt;=0,"",IF(N(D298)=0,"",ROUND((N(G298)/N(D298)-1)*100,2)))</f>
        <v/>
      </c>
      <c r="M298" s="183" t="str">
        <f>IF(OR(ROUND(N(C298)-N(F298),8)=0,1-N(Ввод!$J$19)/100&lt;=0),"",IF(N(C298)&gt;N(F298),(N(E298)-N(H298))/((N(C298)-N(F298))*(1-N(Ввод!$J$19)/100)),(N(H298)-N(E298))/((N(F298)-N(C298))*(1+N(Ввод!$J$19)/100))))</f>
        <v/>
      </c>
    </row>
    <row r="299" ht="22" customHeight="1">
      <c r="B299" s="239" t="n"/>
      <c r="C299" s="240" t="str">
        <f>IF(SUMIFS(Торговля!$F$5:$F$300,Торговля!$E$5:$E$300,$B299)+SUMIFS(Закрытые!$F$5:$F$300,Закрытые!$E$5:$E$300,$B299,Закрытые!$B$5:$B$300,"T-*")=0,"",SUMIFS(Торговля!$F$5:$F$300,Торговля!$E$5:$E$300,$B299)+SUMIFS(Закрытые!$F$5:$F$300,Закрытые!$E$5:$E$300,$B299,Закрытые!$B$5:$B$300,"T-*"))</f>
        <v/>
      </c>
      <c r="D299" s="177" t="str">
        <f>IF(C299="","",(SUMPRODUCT((Торговля!$E$5:$E$300=$B299)*Торговля!$F$5:$F$300*Торговля!$G$5:$G$300)+SUMPRODUCT((Закрытые!$E$5:$E$300=$B299)*(LEFT(Закрытые!$B$5:$B$300,2)="T-")*Закрытые!$F$5:$F$300*Закрытые!$G$5:$G$300))/C299)</f>
        <v/>
      </c>
      <c r="E299" s="241" t="str">
        <f>IF(C299="","",SUMIFS(Торговля!$H$5:$H$300,Торговля!$E$5:$E$300,$B299)+SUMIFS(Закрытые!$H$5:$H$300,Закрытые!$E$5:$E$300,$B299,Закрытые!$B$5:$B$300,"T-*"))</f>
        <v/>
      </c>
      <c r="F299" s="240" t="str">
        <f>IF(SUMIFS(Торговля!$I$5:$I$300,Торговля!$E$5:$E$300,$B299)+SUMIFS(Закрытые!$I$5:$I$300,Закрытые!$E$5:$E$300,$B299,Закрытые!$B$5:$B$300,"T-*")=0,"",SUMIFS(Торговля!$I$5:$I$300,Торговля!$E$5:$E$300,$B299)+SUMIFS(Закрытые!$I$5:$I$300,Закрытые!$E$5:$E$300,$B299,Закрытые!$B$5:$B$300,"T-*"))</f>
        <v/>
      </c>
      <c r="G299" s="177" t="str">
        <f>IF(F299="","",(SUMPRODUCT((Торговля!$E$5:$E$300=$B299)*Торговля!$I$5:$I$300*Торговля!$J$5:$J$300)+SUMPRODUCT((Закрытые!$E$5:$E$300=$B299)*(LEFT(Закрытые!$B$5:$B$300,2)="T-")*Закрытые!$I$5:$I$300*Закрытые!$J$5:$J$300))/F299)</f>
        <v/>
      </c>
      <c r="H299" s="241" t="str">
        <f>IF(F299="","",SUMIFS(Торговля!$K$5:$K$300,Торговля!$E$5:$E$300,$B299)+SUMIFS(Закрытые!$K$5:$K$300,Закрытые!$E$5:$E$300,$B299,Закрытые!$B$5:$B$300,"T-*"))</f>
        <v/>
      </c>
      <c r="I299" s="240" t="str">
        <f>IF($B299="","",IF(COUNTIFS(Торговля!$E$5:$E$300,$B299)+COUNTIFS(Закрытые!$E$5:$E$300,$B299,Закрытые!$B$5:$B$300,"T-*")=0,"",ROUND(SUMIFS(Торговля!$L$5:$L$300,Торговля!$E$5:$E$300,$B299)+SUMIFS(Закрытые!$L$5:$L$300,Закрытые!$E$5:$E$300,$B299,Закрытые!$B$5:$B$300,"T-*"),8)))</f>
        <v/>
      </c>
      <c r="J299" s="241" t="str">
        <f>IF($B299="","",IF(COUNTIFS(Торговля!$E$5:$E$300,$B299)+COUNTIFS(Закрытые!$E$5:$E$300,$B299,Закрытые!$B$5:$B$300,"T-*")=0,"",ROUND(SUMIFS(Торговля!$M$5:$M$300,Торговля!$E$5:$E$300,$B299)+SUMIFS(Закрытые!$M$5:$M$300,Закрытые!$E$5:$E$300,$B299,Закрытые!$B$5:$B$300,"T-*"),8)))</f>
        <v/>
      </c>
      <c r="K299" s="240" t="str">
        <f>IF(MIN(N(C299),N(F299))&lt;=0,"",ROUND(MIN(N(C299),N(F299))*(N(G299)-N(D299)),8))</f>
        <v/>
      </c>
      <c r="L299" s="177" t="str">
        <f>IF(MIN(N(C299),N(F299))&lt;=0,"",IF(N(D299)=0,"",ROUND((N(G299)/N(D299)-1)*100,2)))</f>
        <v/>
      </c>
      <c r="M299" s="177" t="str">
        <f>IF(OR(ROUND(N(C299)-N(F299),8)=0,1-N(Ввод!$J$19)/100&lt;=0),"",IF(N(C299)&gt;N(F299),(N(E299)-N(H299))/((N(C299)-N(F299))*(1-N(Ввод!$J$19)/100)),(N(H299)-N(E299))/((N(F299)-N(C299))*(1+N(Ввод!$J$19)/100))))</f>
        <v/>
      </c>
    </row>
    <row r="300" ht="22" customHeight="1">
      <c r="B300" s="245" t="n"/>
      <c r="C300" s="246" t="str">
        <f>IF(SUMIFS(Торговля!$F$5:$F$300,Торговля!$E$5:$E$300,$B300)+SUMIFS(Закрытые!$F$5:$F$300,Закрытые!$E$5:$E$300,$B300,Закрытые!$B$5:$B$300,"T-*")=0,"",SUMIFS(Торговля!$F$5:$F$300,Торговля!$E$5:$E$300,$B300)+SUMIFS(Закрытые!$F$5:$F$300,Закрытые!$E$5:$E$300,$B300,Закрытые!$B$5:$B$300,"T-*"))</f>
        <v/>
      </c>
      <c r="D300" s="183" t="str">
        <f>IF(C300="","",(SUMPRODUCT((Торговля!$E$5:$E$300=$B300)*Торговля!$F$5:$F$300*Торговля!$G$5:$G$300)+SUMPRODUCT((Закрытые!$E$5:$E$300=$B300)*(LEFT(Закрытые!$B$5:$B$300,2)="T-")*Закрытые!$F$5:$F$300*Закрытые!$G$5:$G$300))/C300)</f>
        <v/>
      </c>
      <c r="E300" s="247" t="str">
        <f>IF(C300="","",SUMIFS(Торговля!$H$5:$H$300,Торговля!$E$5:$E$300,$B300)+SUMIFS(Закрытые!$H$5:$H$300,Закрытые!$E$5:$E$300,$B300,Закрытые!$B$5:$B$300,"T-*"))</f>
        <v/>
      </c>
      <c r="F300" s="246" t="str">
        <f>IF(SUMIFS(Торговля!$I$5:$I$300,Торговля!$E$5:$E$300,$B300)+SUMIFS(Закрытые!$I$5:$I$300,Закрытые!$E$5:$E$300,$B300,Закрытые!$B$5:$B$300,"T-*")=0,"",SUMIFS(Торговля!$I$5:$I$300,Торговля!$E$5:$E$300,$B300)+SUMIFS(Закрытые!$I$5:$I$300,Закрытые!$E$5:$E$300,$B300,Закрытые!$B$5:$B$300,"T-*"))</f>
        <v/>
      </c>
      <c r="G300" s="183" t="str">
        <f>IF(F300="","",(SUMPRODUCT((Торговля!$E$5:$E$300=$B300)*Торговля!$I$5:$I$300*Торговля!$J$5:$J$300)+SUMPRODUCT((Закрытые!$E$5:$E$300=$B300)*(LEFT(Закрытые!$B$5:$B$300,2)="T-")*Закрытые!$I$5:$I$300*Закрытые!$J$5:$J$300))/F300)</f>
        <v/>
      </c>
      <c r="H300" s="247" t="str">
        <f>IF(F300="","",SUMIFS(Торговля!$K$5:$K$300,Торговля!$E$5:$E$300,$B300)+SUMIFS(Закрытые!$K$5:$K$300,Закрытые!$E$5:$E$300,$B300,Закрытые!$B$5:$B$300,"T-*"))</f>
        <v/>
      </c>
      <c r="I300" s="246" t="str">
        <f>IF($B300="","",IF(COUNTIFS(Торговля!$E$5:$E$300,$B300)+COUNTIFS(Закрытые!$E$5:$E$300,$B300,Закрытые!$B$5:$B$300,"T-*")=0,"",ROUND(SUMIFS(Торговля!$L$5:$L$300,Торговля!$E$5:$E$300,$B300)+SUMIFS(Закрытые!$L$5:$L$300,Закрытые!$E$5:$E$300,$B300,Закрытые!$B$5:$B$300,"T-*"),8)))</f>
        <v/>
      </c>
      <c r="J300" s="247" t="str">
        <f>IF($B300="","",IF(COUNTIFS(Торговля!$E$5:$E$300,$B300)+COUNTIFS(Закрытые!$E$5:$E$300,$B300,Закрытые!$B$5:$B$300,"T-*")=0,"",ROUND(SUMIFS(Торговля!$M$5:$M$300,Торговля!$E$5:$E$300,$B300)+SUMIFS(Закрытые!$M$5:$M$300,Закрытые!$E$5:$E$300,$B300,Закрытые!$B$5:$B$300,"T-*"),8)))</f>
        <v/>
      </c>
      <c r="K300" s="246" t="str">
        <f>IF(MIN(N(C300),N(F300))&lt;=0,"",ROUND(MIN(N(C300),N(F300))*(N(G300)-N(D300)),8))</f>
        <v/>
      </c>
      <c r="L300" s="183" t="str">
        <f>IF(MIN(N(C300),N(F300))&lt;=0,"",IF(N(D300)=0,"",ROUND((N(G300)/N(D300)-1)*100,2)))</f>
        <v/>
      </c>
      <c r="M300" s="183" t="str">
        <f>IF(OR(ROUND(N(C300)-N(F300),8)=0,1-N(Ввод!$J$19)/100&lt;=0),"",IF(N(C300)&gt;N(F300),(N(E300)-N(H300))/((N(C300)-N(F300))*(1-N(Ввод!$J$19)/100)),(N(H300)-N(E300))/((N(F300)-N(C300))*(1+N(Ввод!$J$19)/100))))</f>
        <v/>
      </c>
    </row>
  </sheetData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238" t="inlineStr">
        <is>
          <t>L-0005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/>
      <c r="G5" s="177" t="n"/>
      <c r="H5" s="271" t="str">
        <f>IF(AND(ISNUMBER(F5),ISNUMBER(G5)),F5*G5,"")</f>
        <v/>
      </c>
      <c r="I5" s="240" t="n">
        <v>3</v>
      </c>
      <c r="J5" s="177" t="n">
        <v>598.8</v>
      </c>
      <c r="K5" s="271">
        <f>IF(AND(ISNUMBER(I5),ISNUMBER(J5)),I5*J5,"")</f>
        <v>1796.4</v>
      </c>
      <c r="L5" s="240">
        <f>IF(COUNT(F5,I5)=0,"",N(F5)-N(I5))</f>
        <v>-3</v>
      </c>
      <c r="M5" s="241">
        <f>IF(COUNT(H5,K5)=0,"",N(K5)-N(H5))</f>
        <v>1796.4</v>
      </c>
      <c r="N5" s="240">
        <f>IF(AND(ISNUMBER(F5),ISNUMBER(G5),F5&gt;0,1-N(Ввод!$J$19)/100&gt;0),G5/(1-N(Ввод!$J$19)/100),IF(AND(ISNUMBER(I5),ISNUMBER(J5),I5&gt;0),J5/(1+N(Ввод!$J$19)/100),""))</f>
        <v>597.604790419162</v>
      </c>
    </row>
    <row r="6" ht="22" customHeight="1">
      <c r="B6" s="244" t="inlineStr">
        <is>
          <t>L-0001</t>
        </is>
      </c>
      <c r="C6" s="243" t="n">
        <v>46296</v>
      </c>
      <c r="D6" s="244" t="inlineStr">
        <is>
          <t>Binance</t>
        </is>
      </c>
      <c r="E6" s="245" t="inlineStr">
        <is>
          <t>BTC/USDT</t>
        </is>
      </c>
      <c r="F6" s="246" t="n">
        <v>0.1</v>
      </c>
      <c r="G6" s="183" t="n">
        <v>62124</v>
      </c>
      <c r="H6" s="271">
        <f>IF(AND(ISNUMBER(F6),ISNUMBER(G6)),F6*G6,"")</f>
        <v>6212.4</v>
      </c>
      <c r="I6" s="246" t="n"/>
      <c r="J6" s="183" t="n"/>
      <c r="K6" s="271" t="str">
        <f>IF(AND(ISNUMBER(I6),ISNUMBER(J6)),I6*J6,"")</f>
        <v/>
      </c>
      <c r="L6" s="246">
        <f>IF(COUNT(F6,I6)=0,"",N(F6)-N(I6))</f>
        <v>0.1</v>
      </c>
      <c r="M6" s="247">
        <f>IF(COUNT(H6,K6)=0,"",N(K6)-N(H6))</f>
        <v>-6212.4</v>
      </c>
      <c r="N6" s="246">
        <f>IF(AND(ISNUMBER(F6),ISNUMBER(G6),F6&gt;0,1-N(Ввод!$J$19)/100&gt;0),G6/(1-N(Ввод!$J$19)/100),IF(AND(ISNUMBER(I6),ISNUMBER(J6),I6&gt;0),J6/(1+N(Ввод!$J$19)/100),""))</f>
        <v>62248.496993988</v>
      </c>
    </row>
    <row r="7" ht="22" customHeight="1">
      <c r="B7" s="238" t="inlineStr">
        <is>
          <t>L-0004</t>
        </is>
      </c>
      <c r="C7" s="237" t="n">
        <v>46298</v>
      </c>
      <c r="D7" s="238" t="inlineStr">
        <is>
          <t>Binance</t>
        </is>
      </c>
      <c r="E7" s="239" t="inlineStr">
        <is>
          <t>ETH/BTC</t>
        </is>
      </c>
      <c r="F7" s="240" t="n"/>
      <c r="G7" s="177" t="n"/>
      <c r="H7" s="271" t="str">
        <f>IF(AND(ISNUMBER(F7),ISNUMBER(G7)),F7*G7,"")</f>
        <v/>
      </c>
      <c r="I7" s="240" t="n">
        <v>1.5</v>
      </c>
      <c r="J7" s="177" t="n">
        <v>0.052395</v>
      </c>
      <c r="K7" s="271">
        <f>IF(AND(ISNUMBER(I7),ISNUMBER(J7)),I7*J7,"")</f>
        <v>0.0785925</v>
      </c>
      <c r="L7" s="240">
        <f>IF(COUNT(F7,I7)=0,"",N(F7)-N(I7))</f>
        <v>-1.5</v>
      </c>
      <c r="M7" s="241">
        <f>IF(COUNT(H7,K7)=0,"",N(K7)-N(H7))</f>
        <v>0.0785925</v>
      </c>
      <c r="N7" s="240">
        <f>IF(AND(ISNUMBER(F7),ISNUMBER(G7),F7&gt;0,1-N(Ввод!$J$19)/100&gt;0),G7/(1-N(Ввод!$J$19)/100),IF(AND(ISNUMBER(I7),ISNUMBER(J7),I7&gt;0),J7/(1+N(Ввод!$J$19)/100),""))</f>
        <v>0.0522904191616766</v>
      </c>
    </row>
    <row r="8" ht="22" customHeight="1">
      <c r="B8" s="244" t="inlineStr">
        <is>
          <t>L-0002</t>
        </is>
      </c>
      <c r="C8" s="243" t="n">
        <v>46297</v>
      </c>
      <c r="D8" s="244" t="inlineStr">
        <is>
          <t>Bybit</t>
        </is>
      </c>
      <c r="E8" s="245" t="inlineStr">
        <is>
          <t>ETH/USDT</t>
        </is>
      </c>
      <c r="F8" s="246" t="n">
        <v>1</v>
      </c>
      <c r="G8" s="183" t="n">
        <v>3206.4</v>
      </c>
      <c r="H8" s="271">
        <f>IF(AND(ISNUMBER(F8),ISNUMBER(G8)),F8*G8,"")</f>
        <v>3206.4</v>
      </c>
      <c r="I8" s="246" t="n"/>
      <c r="J8" s="183" t="n"/>
      <c r="K8" s="271" t="str">
        <f>IF(AND(ISNUMBER(I8),ISNUMBER(J8)),I8*J8,"")</f>
        <v/>
      </c>
      <c r="L8" s="246">
        <f>IF(COUNT(F8,I8)=0,"",N(F8)-N(I8))</f>
        <v>1</v>
      </c>
      <c r="M8" s="247">
        <f>IF(COUNT(H8,K8)=0,"",N(K8)-N(H8))</f>
        <v>-3206.4</v>
      </c>
      <c r="N8" s="246">
        <f>IF(AND(ISNUMBER(F8),ISNUMBER(G8),F8&gt;0,1-N(Ввод!$J$19)/100&gt;0),G8/(1-N(Ввод!$J$19)/100),IF(AND(ISNUMBER(I8),ISNUMBER(J8),I8&gt;0),J8/(1+N(Ввод!$J$19)/100),""))</f>
        <v>3212.82565130261</v>
      </c>
    </row>
    <row r="9" ht="22" customHeight="1">
      <c r="B9" s="238" t="inlineStr">
        <is>
          <t>L-0007</t>
        </is>
      </c>
      <c r="C9" s="237" t="n">
        <v>46300</v>
      </c>
      <c r="D9" s="238" t="inlineStr">
        <is>
          <t>Binance</t>
        </is>
      </c>
      <c r="E9" s="239" t="inlineStr">
        <is>
          <t>ETH/USDT</t>
        </is>
      </c>
      <c r="F9" s="240" t="n">
        <v>1.2</v>
      </c>
      <c r="G9" s="177" t="n">
        <v>3186.36</v>
      </c>
      <c r="H9" s="271">
        <f>IF(AND(ISNUMBER(F9),ISNUMBER(G9)),F9*G9,"")</f>
        <v>3823.632</v>
      </c>
      <c r="I9" s="240" t="n"/>
      <c r="J9" s="177" t="n"/>
      <c r="K9" s="271" t="str">
        <f>IF(AND(ISNUMBER(I9),ISNUMBER(J9)),I9*J9,"")</f>
        <v/>
      </c>
      <c r="L9" s="240">
        <f>IF(COUNT(F9,I9)=0,"",N(F9)-N(I9))</f>
        <v>1.2</v>
      </c>
      <c r="M9" s="241">
        <f>IF(COUNT(H9,K9)=0,"",N(K9)-N(H9))</f>
        <v>-3823.632</v>
      </c>
      <c r="N9" s="240">
        <f>IF(AND(ISNUMBER(F9),ISNUMBER(G9),F9&gt;0,1-N(Ввод!$J$19)/100&gt;0),G9/(1-N(Ввод!$J$19)/100),IF(AND(ISNUMBER(I9),ISNUMBER(J9),I9&gt;0),J9/(1+N(Ввод!$J$19)/100),""))</f>
        <v>3192.74549098196</v>
      </c>
    </row>
    <row r="10" ht="22" customHeight="1">
      <c r="B10" s="244" t="inlineStr">
        <is>
          <t>L-0008</t>
        </is>
      </c>
      <c r="C10" s="243" t="n">
        <v>46300</v>
      </c>
      <c r="D10" s="244" t="inlineStr">
        <is>
          <t>Bybit</t>
        </is>
      </c>
      <c r="E10" s="245" t="inlineStr">
        <is>
          <t>ETH/USDT</t>
        </is>
      </c>
      <c r="F10" s="246" t="n">
        <v>0.8</v>
      </c>
      <c r="G10" s="183" t="n">
        <v>3256.5</v>
      </c>
      <c r="H10" s="271">
        <f>IF(AND(ISNUMBER(F10),ISNUMBER(G10)),F10*G10,"")</f>
        <v>2605.2</v>
      </c>
      <c r="I10" s="246" t="n"/>
      <c r="J10" s="183" t="n"/>
      <c r="K10" s="271" t="str">
        <f>IF(AND(ISNUMBER(I10),ISNUMBER(J10)),I10*J10,"")</f>
        <v/>
      </c>
      <c r="L10" s="246">
        <f>IF(COUNT(F10,I10)=0,"",N(F10)-N(I10))</f>
        <v>0.8</v>
      </c>
      <c r="M10" s="247">
        <f>IF(COUNT(H10,K10)=0,"",N(K10)-N(H10))</f>
        <v>-2605.2</v>
      </c>
      <c r="N10" s="246">
        <f>IF(AND(ISNUMBER(F10),ISNUMBER(G10),F10&gt;0,1-N(Ввод!$J$19)/100&gt;0),G10/(1-N(Ввод!$J$19)/100),IF(AND(ISNUMBER(I10),ISNUMBER(J10),I10&gt;0),J10/(1+N(Ввод!$J$19)/100),""))</f>
        <v>3263.02605210421</v>
      </c>
    </row>
    <row r="11" ht="22" customHeight="1">
      <c r="B11" s="238" t="inlineStr">
        <is>
          <t>L-0009</t>
        </is>
      </c>
      <c r="C11" s="237" t="n">
        <v>46301</v>
      </c>
      <c r="D11" s="238" t="inlineStr">
        <is>
          <t>OKX</t>
        </is>
      </c>
      <c r="E11" s="239" t="inlineStr">
        <is>
          <t>ETH/USDT</t>
        </is>
      </c>
      <c r="F11" s="240" t="n"/>
      <c r="G11" s="177" t="n"/>
      <c r="H11" s="271" t="str">
        <f>IF(AND(ISNUMBER(F11),ISNUMBER(G11)),F11*G11,"")</f>
        <v/>
      </c>
      <c r="I11" s="240" t="n">
        <v>1.5</v>
      </c>
      <c r="J11" s="177" t="n">
        <v>3393.2</v>
      </c>
      <c r="K11" s="271">
        <f>IF(AND(ISNUMBER(I11),ISNUMBER(J11)),I11*J11,"")</f>
        <v>5089.8</v>
      </c>
      <c r="L11" s="240">
        <f>IF(COUNT(F11,I11)=0,"",N(F11)-N(I11))</f>
        <v>-1.5</v>
      </c>
      <c r="M11" s="241">
        <f>IF(COUNT(H11,K11)=0,"",N(K11)-N(H11))</f>
        <v>5089.8</v>
      </c>
      <c r="N11" s="240">
        <f>IF(AND(ISNUMBER(F11),ISNUMBER(G11),F11&gt;0,1-N(Ввод!$J$19)/100&gt;0),G11/(1-N(Ввод!$J$19)/100),IF(AND(ISNUMBER(I11),ISNUMBER(J11),I11&gt;0),J11/(1+N(Ввод!$J$19)/100),""))</f>
        <v>3386.42714570858</v>
      </c>
    </row>
    <row r="12" ht="22" customHeight="1">
      <c r="B12" s="244" t="inlineStr">
        <is>
          <t>L-0010</t>
        </is>
      </c>
      <c r="C12" s="243" t="n">
        <v>46300</v>
      </c>
      <c r="D12" s="244" t="inlineStr">
        <is>
          <t>Binance</t>
        </is>
      </c>
      <c r="E12" s="245" t="inlineStr">
        <is>
          <t>SOL/USDT</t>
        </is>
      </c>
      <c r="F12" s="246" t="n"/>
      <c r="G12" s="183" t="n"/>
      <c r="H12" s="271" t="str">
        <f>IF(AND(ISNUMBER(F12),ISNUMBER(G12)),F12*G12,"")</f>
        <v/>
      </c>
      <c r="I12" s="246" t="n">
        <v>30</v>
      </c>
      <c r="J12" s="183" t="n">
        <v>149.7</v>
      </c>
      <c r="K12" s="271">
        <f>IF(AND(ISNUMBER(I12),ISNUMBER(J12)),I12*J12,"")</f>
        <v>4491</v>
      </c>
      <c r="L12" s="246">
        <f>IF(COUNT(F12,I12)=0,"",N(F12)-N(I12))</f>
        <v>-30</v>
      </c>
      <c r="M12" s="247">
        <f>IF(COUNT(H12,K12)=0,"",N(K12)-N(H12))</f>
        <v>4491</v>
      </c>
      <c r="N12" s="246">
        <f>IF(AND(ISNUMBER(F12),ISNUMBER(G12),F12&gt;0,1-N(Ввод!$J$19)/100&gt;0),G12/(1-N(Ввод!$J$19)/100),IF(AND(ISNUMBER(I12),ISNUMBER(J12),I12&gt;0),J12/(1+N(Ввод!$J$19)/100),""))</f>
        <v>149.40119760479</v>
      </c>
    </row>
    <row r="13" ht="22" customHeight="1">
      <c r="B13" s="238" t="inlineStr">
        <is>
          <t>L-0011</t>
        </is>
      </c>
      <c r="C13" s="237" t="n">
        <v>46301</v>
      </c>
      <c r="D13" s="238" t="inlineStr">
        <is>
          <t>Bybit</t>
        </is>
      </c>
      <c r="E13" s="239" t="inlineStr">
        <is>
          <t>SOL/USDT</t>
        </is>
      </c>
      <c r="F13" s="240" t="n"/>
      <c r="G13" s="177" t="n"/>
      <c r="H13" s="271" t="str">
        <f>IF(AND(ISNUMBER(F13),ISNUMBER(G13)),F13*G13,"")</f>
        <v/>
      </c>
      <c r="I13" s="240" t="n">
        <v>10</v>
      </c>
      <c r="J13" s="177" t="n">
        <v>151.696</v>
      </c>
      <c r="K13" s="271">
        <f>IF(AND(ISNUMBER(I13),ISNUMBER(J13)),I13*J13,"")</f>
        <v>1516.96</v>
      </c>
      <c r="L13" s="240">
        <f>IF(COUNT(F13,I13)=0,"",N(F13)-N(I13))</f>
        <v>-10</v>
      </c>
      <c r="M13" s="241">
        <f>IF(COUNT(H13,K13)=0,"",N(K13)-N(H13))</f>
        <v>1516.96</v>
      </c>
      <c r="N13" s="240">
        <f>IF(AND(ISNUMBER(F13),ISNUMBER(G13),F13&gt;0,1-N(Ввод!$J$19)/100&gt;0),G13/(1-N(Ввод!$J$19)/100),IF(AND(ISNUMBER(I13),ISNUMBER(J13),I13&gt;0),J13/(1+N(Ввод!$J$19)/100),""))</f>
        <v>151.393213572854</v>
      </c>
    </row>
    <row r="14" ht="22" customHeight="1">
      <c r="B14" s="244" t="inlineStr">
        <is>
          <t>L-0012</t>
        </is>
      </c>
      <c r="C14" s="243" t="n">
        <v>46301</v>
      </c>
      <c r="D14" s="244" t="inlineStr">
        <is>
          <t>OKX</t>
        </is>
      </c>
      <c r="E14" s="245" t="inlineStr">
        <is>
          <t>SOL/USDT</t>
        </is>
      </c>
      <c r="F14" s="246" t="n">
        <v>25</v>
      </c>
      <c r="G14" s="183" t="n">
        <v>146.292</v>
      </c>
      <c r="H14" s="271">
        <f>IF(AND(ISNUMBER(F14),ISNUMBER(G14)),F14*G14,"")</f>
        <v>3657.3</v>
      </c>
      <c r="I14" s="246" t="n"/>
      <c r="J14" s="183" t="n"/>
      <c r="K14" s="271" t="str">
        <f>IF(AND(ISNUMBER(I14),ISNUMBER(J14)),I14*J14,"")</f>
        <v/>
      </c>
      <c r="L14" s="246">
        <f>IF(COUNT(F14,I14)=0,"",N(F14)-N(I14))</f>
        <v>25</v>
      </c>
      <c r="M14" s="247">
        <f>IF(COUNT(H14,K14)=0,"",N(K14)-N(H14))</f>
        <v>-3657.3</v>
      </c>
      <c r="N14" s="246">
        <f>IF(AND(ISNUMBER(F14),ISNUMBER(G14),F14&gt;0,1-N(Ввод!$J$19)/100&gt;0),G14/(1-N(Ввод!$J$19)/100),IF(AND(ISNUMBER(I14),ISNUMBER(J14),I14&gt;0),J14/(1+N(Ввод!$J$19)/100),""))</f>
        <v>146.585170340681</v>
      </c>
    </row>
    <row r="15" ht="22" customHeight="1">
      <c r="B15" s="238" t="n"/>
      <c r="C15" s="237" t="n"/>
      <c r="D15" s="238" t="n"/>
      <c r="E15" s="239" t="n"/>
      <c r="F15" s="240" t="n"/>
      <c r="G15" s="177" t="n"/>
      <c r="H15" s="271" t="str">
        <f>IF(AND(ISNUMBER(F15),ISNUMBER(G15)),F15*G15,"")</f>
        <v/>
      </c>
      <c r="I15" s="240" t="n"/>
      <c r="J15" s="177" t="n"/>
      <c r="K15" s="271" t="str">
        <f>IF(AND(ISNUMBER(I15),ISNUMBER(J15)),I15*J15,"")</f>
        <v/>
      </c>
      <c r="L15" s="240" t="str">
        <f>IF(COUNT(F15,I15)=0,"",N(F15)-N(I15))</f>
        <v/>
      </c>
      <c r="M15" s="241" t="str">
        <f>IF(COUNT(H15,K15)=0,"",N(K15)-N(H15))</f>
        <v/>
      </c>
      <c r="N15" s="240" t="str">
        <f>IF(AND(ISNUMBER(F15),ISNUMBER(G15),F15&gt;0,1-N(Ввод!$J$19)/100&gt;0),G15/(1-N(Ввод!$J$19)/100),IF(AND(ISNUMBER(I15),ISNUMBER(J15),I15&gt;0),J15/(1+N(Ввод!$J$19)/100),""))</f>
        <v/>
      </c>
    </row>
    <row r="16" ht="22" customHeight="1">
      <c r="B16" s="244" t="n"/>
      <c r="C16" s="243" t="n"/>
      <c r="D16" s="244" t="n"/>
      <c r="E16" s="245" t="n"/>
      <c r="F16" s="246" t="n"/>
      <c r="G16" s="183" t="n"/>
      <c r="H16" s="271" t="str">
        <f>IF(AND(ISNUMBER(F16),ISNUMBER(G16)),F16*G16,"")</f>
        <v/>
      </c>
      <c r="I16" s="246" t="n"/>
      <c r="J16" s="183" t="n"/>
      <c r="K16" s="271" t="str">
        <f>IF(AND(ISNUMBER(I16),ISNUMBER(J16)),I16*J16,"")</f>
        <v/>
      </c>
      <c r="L16" s="246" t="str">
        <f>IF(COUNT(F16,I16)=0,"",N(F16)-N(I16))</f>
        <v/>
      </c>
      <c r="M16" s="247" t="str">
        <f>IF(COUNT(H16,K16)=0,"",N(K16)-N(H16))</f>
        <v/>
      </c>
      <c r="N16" s="246" t="str">
        <f>IF(AND(ISNUMBER(F16),ISNUMBER(G16),F16&gt;0,1-N(Ввод!$J$19)/100&gt;0),G16/(1-N(Ввод!$J$19)/100),IF(AND(ISNUMBER(I16),ISNUMBER(J16),I16&gt;0),J16/(1+N(Ввод!$J$19)/100),""))</f>
        <v/>
      </c>
    </row>
    <row r="17" ht="22" customHeight="1">
      <c r="B17" s="238" t="n"/>
      <c r="C17" s="237" t="n"/>
      <c r="D17" s="238" t="n"/>
      <c r="E17" s="239" t="n"/>
      <c r="F17" s="240" t="n"/>
      <c r="G17" s="177" t="n"/>
      <c r="H17" s="271" t="str">
        <f>IF(AND(ISNUMBER(F17),ISNUMBER(G17)),F17*G17,"")</f>
        <v/>
      </c>
      <c r="I17" s="240" t="n"/>
      <c r="J17" s="177" t="n"/>
      <c r="K17" s="271" t="str">
        <f>IF(AND(ISNUMBER(I17),ISNUMBER(J17)),I17*J17,"")</f>
        <v/>
      </c>
      <c r="L17" s="240" t="str">
        <f>IF(COUNT(F17,I17)=0,"",N(F17)-N(I17))</f>
        <v/>
      </c>
      <c r="M17" s="241" t="str">
        <f>IF(COUNT(H17,K17)=0,"",N(K17)-N(H17))</f>
        <v/>
      </c>
      <c r="N17" s="240" t="str">
        <f>IF(AND(ISNUMBER(F17),ISNUMBER(G17),F17&gt;0,1-N(Ввод!$J$19)/100&gt;0),G17/(1-N(Ввод!$J$19)/100),IF(AND(ISNUMBER(I17),ISNUMBER(J17),I17&gt;0),J17/(1+N(Ввод!$J$19)/100),""))</f>
        <v/>
      </c>
    </row>
    <row r="18" ht="22" customHeight="1">
      <c r="B18" s="244" t="n"/>
      <c r="C18" s="243" t="n"/>
      <c r="D18" s="244" t="n"/>
      <c r="E18" s="245" t="n"/>
      <c r="F18" s="246" t="n"/>
      <c r="G18" s="183" t="n"/>
      <c r="H18" s="271" t="str">
        <f>IF(AND(ISNUMBER(F18),ISNUMBER(G18)),F18*G18,"")</f>
        <v/>
      </c>
      <c r="I18" s="246" t="n"/>
      <c r="J18" s="183" t="n"/>
      <c r="K18" s="271" t="str">
        <f>IF(AND(ISNUMBER(I18),ISNUMBER(J18)),I18*J18,"")</f>
        <v/>
      </c>
      <c r="L18" s="246" t="str">
        <f>IF(COUNT(F18,I18)=0,"",N(F18)-N(I18))</f>
        <v/>
      </c>
      <c r="M18" s="247" t="str">
        <f>IF(COUNT(H18,K18)=0,"",N(K18)-N(H18))</f>
        <v/>
      </c>
      <c r="N18" s="246" t="str">
        <f>IF(AND(ISNUMBER(F18),ISNUMBER(G18),F18&gt;0,1-N(Ввод!$J$19)/100&gt;0),G18/(1-N(Ввод!$J$19)/100),IF(AND(ISNUMBER(I18),ISNUMBER(J18),I18&gt;0),J18/(1+N(Ввод!$J$19)/100),""))</f>
        <v/>
      </c>
    </row>
    <row r="19" ht="22" customHeight="1">
      <c r="B19" s="238" t="n"/>
      <c r="C19" s="237" t="n"/>
      <c r="D19" s="238" t="n"/>
      <c r="E19" s="239" t="n"/>
      <c r="F19" s="240" t="n"/>
      <c r="G19" s="177" t="n"/>
      <c r="H19" s="271" t="str">
        <f>IF(AND(ISNUMBER(F19),ISNUMBER(G19)),F19*G19,"")</f>
        <v/>
      </c>
      <c r="I19" s="240" t="n"/>
      <c r="J19" s="177" t="n"/>
      <c r="K19" s="271" t="str">
        <f>IF(AND(ISNUMBER(I19),ISNUMBER(J19)),I19*J19,"")</f>
        <v/>
      </c>
      <c r="L19" s="240" t="str">
        <f>IF(COUNT(F19,I19)=0,"",N(F19)-N(I19))</f>
        <v/>
      </c>
      <c r="M19" s="241" t="str">
        <f>IF(COUNT(H19,K19)=0,"",N(K19)-N(H19))</f>
        <v/>
      </c>
      <c r="N19" s="240" t="str">
        <f>IF(AND(ISNUMBER(F19),ISNUMBER(G19),F19&gt;0,1-N(Ввод!$J$19)/100&gt;0),G19/(1-N(Ввод!$J$19)/100),IF(AND(ISNUMBER(I19),ISNUMBER(J19),I19&gt;0),J19/(1+N(Ввод!$J$19)/100),""))</f>
        <v/>
      </c>
    </row>
    <row r="20" ht="22" customHeight="1">
      <c r="B20" s="244" t="n"/>
      <c r="C20" s="243" t="n"/>
      <c r="D20" s="244" t="n"/>
      <c r="E20" s="245" t="n"/>
      <c r="F20" s="246" t="n"/>
      <c r="G20" s="183" t="n"/>
      <c r="H20" s="271" t="str">
        <f>IF(AND(ISNUMBER(F20),ISNUMBER(G20)),F20*G20,"")</f>
        <v/>
      </c>
      <c r="I20" s="246" t="n"/>
      <c r="J20" s="183" t="n"/>
      <c r="K20" s="271" t="str">
        <f>IF(AND(ISNUMBER(I20),ISNUMBER(J20)),I20*J20,"")</f>
        <v/>
      </c>
      <c r="L20" s="246" t="str">
        <f>IF(COUNT(F20,I20)=0,"",N(F20)-N(I20))</f>
        <v/>
      </c>
      <c r="M20" s="247" t="str">
        <f>IF(COUNT(H20,K20)=0,"",N(K20)-N(H20))</f>
        <v/>
      </c>
      <c r="N20" s="246" t="str">
        <f>IF(AND(ISNUMBER(F20),ISNUMBER(G20),F20&gt;0,1-N(Ввод!$J$19)/100&gt;0),G20/(1-N(Ввод!$J$19)/100),IF(AND(ISNUMBER(I20),ISNUMBER(J20),I20&gt;0),J20/(1+N(Ввод!$J$19)/100),""))</f>
        <v/>
      </c>
    </row>
    <row r="21" ht="22" customHeight="1">
      <c r="B21" s="238" t="n"/>
      <c r="C21" s="237" t="n"/>
      <c r="D21" s="238" t="n"/>
      <c r="E21" s="239" t="n"/>
      <c r="F21" s="240" t="n"/>
      <c r="G21" s="177" t="n"/>
      <c r="H21" s="271" t="str">
        <f>IF(AND(ISNUMBER(F21),ISNUMBER(G21)),F21*G21,"")</f>
        <v/>
      </c>
      <c r="I21" s="240" t="n"/>
      <c r="J21" s="177" t="n"/>
      <c r="K21" s="271" t="str">
        <f>IF(AND(ISNUMBER(I21),ISNUMBER(J21)),I21*J21,"")</f>
        <v/>
      </c>
      <c r="L21" s="240" t="str">
        <f>IF(COUNT(F21,I21)=0,"",N(F21)-N(I21))</f>
        <v/>
      </c>
      <c r="M21" s="241" t="str">
        <f>IF(COUNT(H21,K21)=0,"",N(K21)-N(H21))</f>
        <v/>
      </c>
      <c r="N21" s="240" t="str">
        <f>IF(AND(ISNUMBER(F21),ISNUMBER(G21),F21&gt;0,1-N(Ввод!$J$19)/100&gt;0),G21/(1-N(Ввод!$J$19)/100),IF(AND(ISNUMBER(I21),ISNUMBER(J21),I21&gt;0),J21/(1+N(Ввод!$J$19)/100),""))</f>
        <v/>
      </c>
    </row>
    <row r="22" ht="22" customHeight="1">
      <c r="B22" s="244" t="n"/>
      <c r="C22" s="243" t="n"/>
      <c r="D22" s="244" t="n"/>
      <c r="E22" s="245" t="n"/>
      <c r="F22" s="246" t="n"/>
      <c r="G22" s="183" t="n"/>
      <c r="H22" s="271" t="str">
        <f>IF(AND(ISNUMBER(F22),ISNUMBER(G22)),F22*G22,"")</f>
        <v/>
      </c>
      <c r="I22" s="246" t="n"/>
      <c r="J22" s="183" t="n"/>
      <c r="K22" s="271" t="str">
        <f>IF(AND(ISNUMBER(I22),ISNUMBER(J22)),I22*J22,"")</f>
        <v/>
      </c>
      <c r="L22" s="246" t="str">
        <f>IF(COUNT(F22,I22)=0,"",N(F22)-N(I22))</f>
        <v/>
      </c>
      <c r="M22" s="247" t="str">
        <f>IF(COUNT(H22,K22)=0,"",N(K22)-N(H22))</f>
        <v/>
      </c>
      <c r="N22" s="246" t="str">
        <f>IF(AND(ISNUMBER(F22),ISNUMBER(G22),F22&gt;0,1-N(Ввод!$J$19)/100&gt;0),G22/(1-N(Ввод!$J$19)/100),IF(AND(ISNUMBER(I22),ISNUMBER(J22),I22&gt;0),J22/(1+N(Ввод!$J$19)/100),""))</f>
        <v/>
      </c>
    </row>
    <row r="23" ht="22" customHeight="1">
      <c r="B23" s="238" t="n"/>
      <c r="C23" s="237" t="n"/>
      <c r="D23" s="238" t="n"/>
      <c r="E23" s="239" t="n"/>
      <c r="F23" s="240" t="n"/>
      <c r="G23" s="177" t="n"/>
      <c r="H23" s="271" t="str">
        <f>IF(AND(ISNUMBER(F23),ISNUMBER(G23)),F23*G23,"")</f>
        <v/>
      </c>
      <c r="I23" s="240" t="n"/>
      <c r="J23" s="177" t="n"/>
      <c r="K23" s="271" t="str">
        <f>IF(AND(ISNUMBER(I23),ISNUMBER(J23)),I23*J23,"")</f>
        <v/>
      </c>
      <c r="L23" s="240" t="str">
        <f>IF(COUNT(F23,I23)=0,"",N(F23)-N(I23))</f>
        <v/>
      </c>
      <c r="M23" s="241" t="str">
        <f>IF(COUNT(H23,K23)=0,"",N(K23)-N(H23))</f>
        <v/>
      </c>
      <c r="N23" s="240" t="str">
        <f>IF(AND(ISNUMBER(F23),ISNUMBER(G23),F23&gt;0,1-N(Ввод!$J$19)/100&gt;0),G23/(1-N(Ввод!$J$19)/100),IF(AND(ISNUMBER(I23),ISNUMBER(J23),I23&gt;0),J23/(1+N(Ввод!$J$19)/100),""))</f>
        <v/>
      </c>
    </row>
    <row r="24" ht="22" customHeight="1">
      <c r="B24" s="244" t="n"/>
      <c r="C24" s="243" t="n"/>
      <c r="D24" s="244" t="n"/>
      <c r="E24" s="245" t="n"/>
      <c r="F24" s="246" t="n"/>
      <c r="G24" s="183" t="n"/>
      <c r="H24" s="271" t="str">
        <f>IF(AND(ISNUMBER(F24),ISNUMBER(G24)),F24*G24,"")</f>
        <v/>
      </c>
      <c r="I24" s="246" t="n"/>
      <c r="J24" s="183" t="n"/>
      <c r="K24" s="271" t="str">
        <f>IF(AND(ISNUMBER(I24),ISNUMBER(J24)),I24*J24,"")</f>
        <v/>
      </c>
      <c r="L24" s="246" t="str">
        <f>IF(COUNT(F24,I24)=0,"",N(F24)-N(I24))</f>
        <v/>
      </c>
      <c r="M24" s="247" t="str">
        <f>IF(COUNT(H24,K24)=0,"",N(K24)-N(H24))</f>
        <v/>
      </c>
      <c r="N24" s="246" t="str">
        <f>IF(AND(ISNUMBER(F24),ISNUMBER(G24),F24&gt;0,1-N(Ввод!$J$19)/100&gt;0),G24/(1-N(Ввод!$J$19)/100),IF(AND(ISNUMBER(I24),ISNUMBER(J24),I24&gt;0),J24/(1+N(Ввод!$J$19)/100),""))</f>
        <v/>
      </c>
    </row>
    <row r="25" ht="22" customHeight="1">
      <c r="B25" s="238" t="n"/>
      <c r="C25" s="237" t="n"/>
      <c r="D25" s="238" t="n"/>
      <c r="E25" s="239" t="n"/>
      <c r="F25" s="240" t="n"/>
      <c r="G25" s="177" t="n"/>
      <c r="H25" s="271" t="str">
        <f>IF(AND(ISNUMBER(F25),ISNUMBER(G25)),F25*G25,"")</f>
        <v/>
      </c>
      <c r="I25" s="240" t="n"/>
      <c r="J25" s="177" t="n"/>
      <c r="K25" s="271" t="str">
        <f>IF(AND(ISNUMBER(I25),ISNUMBER(J25)),I25*J25,"")</f>
        <v/>
      </c>
      <c r="L25" s="240" t="str">
        <f>IF(COUNT(F25,I25)=0,"",N(F25)-N(I25))</f>
        <v/>
      </c>
      <c r="M25" s="241" t="str">
        <f>IF(COUNT(H25,K25)=0,"",N(K25)-N(H25))</f>
        <v/>
      </c>
      <c r="N25" s="240" t="str">
        <f>IF(AND(ISNUMBER(F25),ISNUMBER(G25),F25&gt;0,1-N(Ввод!$J$19)/100&gt;0),G25/(1-N(Ввод!$J$19)/100),IF(AND(ISNUMBER(I25),ISNUMBER(J25),I25&gt;0),J25/(1+N(Ввод!$J$19)/100),""))</f>
        <v/>
      </c>
    </row>
    <row r="26" ht="22" customHeight="1">
      <c r="B26" s="244" t="n"/>
      <c r="C26" s="243" t="n"/>
      <c r="D26" s="244" t="n"/>
      <c r="E26" s="245" t="n"/>
      <c r="F26" s="246" t="n"/>
      <c r="G26" s="183" t="n"/>
      <c r="H26" s="271" t="str">
        <f>IF(AND(ISNUMBER(F26),ISNUMBER(G26)),F26*G26,"")</f>
        <v/>
      </c>
      <c r="I26" s="246" t="n"/>
      <c r="J26" s="183" t="n"/>
      <c r="K26" s="271" t="str">
        <f>IF(AND(ISNUMBER(I26),ISNUMBER(J26)),I26*J26,"")</f>
        <v/>
      </c>
      <c r="L26" s="246" t="str">
        <f>IF(COUNT(F26,I26)=0,"",N(F26)-N(I26))</f>
        <v/>
      </c>
      <c r="M26" s="247" t="str">
        <f>IF(COUNT(H26,K26)=0,"",N(K26)-N(H26))</f>
        <v/>
      </c>
      <c r="N26" s="246" t="str">
        <f>IF(AND(ISNUMBER(F26),ISNUMBER(G26),F26&gt;0,1-N(Ввод!$J$19)/100&gt;0),G26/(1-N(Ввод!$J$19)/100),IF(AND(ISNUMBER(I26),ISNUMBER(J26),I26&gt;0),J26/(1+N(Ввод!$J$19)/100),""))</f>
        <v/>
      </c>
    </row>
    <row r="27" ht="22" customHeight="1">
      <c r="B27" s="238" t="n"/>
      <c r="C27" s="237" t="n"/>
      <c r="D27" s="238" t="n"/>
      <c r="E27" s="239" t="n"/>
      <c r="F27" s="240" t="n"/>
      <c r="G27" s="177" t="n"/>
      <c r="H27" s="271" t="str">
        <f>IF(AND(ISNUMBER(F27),ISNUMBER(G27)),F27*G27,"")</f>
        <v/>
      </c>
      <c r="I27" s="240" t="n"/>
      <c r="J27" s="177" t="n"/>
      <c r="K27" s="271" t="str">
        <f>IF(AND(ISNUMBER(I27),ISNUMBER(J27)),I27*J27,"")</f>
        <v/>
      </c>
      <c r="L27" s="240" t="str">
        <f>IF(COUNT(F27,I27)=0,"",N(F27)-N(I27))</f>
        <v/>
      </c>
      <c r="M27" s="241" t="str">
        <f>IF(COUNT(H27,K27)=0,"",N(K27)-N(H27))</f>
        <v/>
      </c>
      <c r="N27" s="240" t="str">
        <f>IF(AND(ISNUMBER(F27),ISNUMBER(G27),F27&gt;0,1-N(Ввод!$J$19)/100&gt;0),G27/(1-N(Ввод!$J$19)/100),IF(AND(ISNUMBER(I27),ISNUMBER(J27),I27&gt;0),J27/(1+N(Ввод!$J$19)/100),""))</f>
        <v/>
      </c>
    </row>
    <row r="28" ht="22" customHeight="1">
      <c r="B28" s="244" t="n"/>
      <c r="C28" s="243" t="n"/>
      <c r="D28" s="244" t="n"/>
      <c r="E28" s="245" t="n"/>
      <c r="F28" s="246" t="n"/>
      <c r="G28" s="183" t="n"/>
      <c r="H28" s="271" t="str">
        <f>IF(AND(ISNUMBER(F28),ISNUMBER(G28)),F28*G28,"")</f>
        <v/>
      </c>
      <c r="I28" s="246" t="n"/>
      <c r="J28" s="183" t="n"/>
      <c r="K28" s="271" t="str">
        <f>IF(AND(ISNUMBER(I28),ISNUMBER(J28)),I28*J28,"")</f>
        <v/>
      </c>
      <c r="L28" s="246" t="str">
        <f>IF(COUNT(F28,I28)=0,"",N(F28)-N(I28))</f>
        <v/>
      </c>
      <c r="M28" s="247" t="str">
        <f>IF(COUNT(H28,K28)=0,"",N(K28)-N(H28))</f>
        <v/>
      </c>
      <c r="N28" s="246" t="str">
        <f>IF(AND(ISNUMBER(F28),ISNUMBER(G28),F28&gt;0,1-N(Ввод!$J$19)/100&gt;0),G28/(1-N(Ввод!$J$19)/100),IF(AND(ISNUMBER(I28),ISNUMBER(J28),I28&gt;0),J28/(1+N(Ввод!$J$19)/100),""))</f>
        <v/>
      </c>
    </row>
    <row r="29" ht="22" customHeight="1">
      <c r="B29" s="238" t="n"/>
      <c r="C29" s="237" t="n"/>
      <c r="D29" s="238" t="n"/>
      <c r="E29" s="239" t="n"/>
      <c r="F29" s="240" t="n"/>
      <c r="G29" s="177" t="n"/>
      <c r="H29" s="271" t="str">
        <f>IF(AND(ISNUMBER(F29),ISNUMBER(G29)),F29*G29,"")</f>
        <v/>
      </c>
      <c r="I29" s="240" t="n"/>
      <c r="J29" s="177" t="n"/>
      <c r="K29" s="271" t="str">
        <f>IF(AND(ISNUMBER(I29),ISNUMBER(J29)),I29*J29,"")</f>
        <v/>
      </c>
      <c r="L29" s="240" t="str">
        <f>IF(COUNT(F29,I29)=0,"",N(F29)-N(I29))</f>
        <v/>
      </c>
      <c r="M29" s="241" t="str">
        <f>IF(COUNT(H29,K29)=0,"",N(K29)-N(H29))</f>
        <v/>
      </c>
      <c r="N29" s="240" t="str">
        <f>IF(AND(ISNUMBER(F29),ISNUMBER(G29),F29&gt;0,1-N(Ввод!$J$19)/100&gt;0),G29/(1-N(Ввод!$J$19)/100),IF(AND(ISNUMBER(I29),ISNUMBER(J29),I29&gt;0),J29/(1+N(Ввод!$J$19)/100),""))</f>
        <v/>
      </c>
    </row>
    <row r="30" ht="22" customHeight="1">
      <c r="B30" s="244" t="n"/>
      <c r="C30" s="243" t="n"/>
      <c r="D30" s="244" t="n"/>
      <c r="E30" s="245" t="n"/>
      <c r="F30" s="246" t="n"/>
      <c r="G30" s="183" t="n"/>
      <c r="H30" s="271" t="str">
        <f>IF(AND(ISNUMBER(F30),ISNUMBER(G30)),F30*G30,"")</f>
        <v/>
      </c>
      <c r="I30" s="246" t="n"/>
      <c r="J30" s="183" t="n"/>
      <c r="K30" s="271" t="str">
        <f>IF(AND(ISNUMBER(I30),ISNUMBER(J30)),I30*J30,"")</f>
        <v/>
      </c>
      <c r="L30" s="246" t="str">
        <f>IF(COUNT(F30,I30)=0,"",N(F30)-N(I30))</f>
        <v/>
      </c>
      <c r="M30" s="247" t="str">
        <f>IF(COUNT(H30,K30)=0,"",N(K30)-N(H30))</f>
        <v/>
      </c>
      <c r="N30" s="246" t="str">
        <f>IF(AND(ISNUMBER(F30),ISNUMBER(G30),F30&gt;0,1-N(Ввод!$J$19)/100&gt;0),G30/(1-N(Ввод!$J$19)/100),IF(AND(ISNUMBER(I30),ISNUMBER(J30),I30&gt;0),J30/(1+N(Ввод!$J$19)/100),""))</f>
        <v/>
      </c>
    </row>
    <row r="31" ht="22" customHeight="1">
      <c r="B31" s="238" t="n"/>
      <c r="C31" s="237" t="n"/>
      <c r="D31" s="238" t="n"/>
      <c r="E31" s="239" t="n"/>
      <c r="F31" s="240" t="n"/>
      <c r="G31" s="177" t="n"/>
      <c r="H31" s="271" t="str">
        <f>IF(AND(ISNUMBER(F31),ISNUMBER(G31)),F31*G31,"")</f>
        <v/>
      </c>
      <c r="I31" s="240" t="n"/>
      <c r="J31" s="177" t="n"/>
      <c r="K31" s="271" t="str">
        <f>IF(AND(ISNUMBER(I31),ISNUMBER(J31)),I31*J31,"")</f>
        <v/>
      </c>
      <c r="L31" s="240" t="str">
        <f>IF(COUNT(F31,I31)=0,"",N(F31)-N(I31))</f>
        <v/>
      </c>
      <c r="M31" s="241" t="str">
        <f>IF(COUNT(H31,K31)=0,"",N(K31)-N(H31))</f>
        <v/>
      </c>
      <c r="N31" s="240" t="str">
        <f>IF(AND(ISNUMBER(F31),ISNUMBER(G31),F31&gt;0,1-N(Ввод!$J$19)/100&gt;0),G31/(1-N(Ввод!$J$19)/100),IF(AND(ISNUMBER(I31),ISNUMBER(J31),I31&gt;0),J31/(1+N(Ввод!$J$19)/100),""))</f>
        <v/>
      </c>
    </row>
    <row r="32" ht="22" customHeight="1">
      <c r="B32" s="244" t="n"/>
      <c r="C32" s="243" t="n"/>
      <c r="D32" s="244" t="n"/>
      <c r="E32" s="245" t="n"/>
      <c r="F32" s="246" t="n"/>
      <c r="G32" s="183" t="n"/>
      <c r="H32" s="271" t="str">
        <f>IF(AND(ISNUMBER(F32),ISNUMBER(G32)),F32*G32,"")</f>
        <v/>
      </c>
      <c r="I32" s="246" t="n"/>
      <c r="J32" s="183" t="n"/>
      <c r="K32" s="271" t="str">
        <f>IF(AND(ISNUMBER(I32),ISNUMBER(J32)),I32*J32,"")</f>
        <v/>
      </c>
      <c r="L32" s="246" t="str">
        <f>IF(COUNT(F32,I32)=0,"",N(F32)-N(I32))</f>
        <v/>
      </c>
      <c r="M32" s="247" t="str">
        <f>IF(COUNT(H32,K32)=0,"",N(K32)-N(H32))</f>
        <v/>
      </c>
      <c r="N32" s="246" t="str">
        <f>IF(AND(ISNUMBER(F32),ISNUMBER(G32),F32&gt;0,1-N(Ввод!$J$19)/100&gt;0),G32/(1-N(Ввод!$J$19)/100),IF(AND(ISNUMBER(I32),ISNUMBER(J32),I32&gt;0),J32/(1+N(Ввод!$J$19)/100),""))</f>
        <v/>
      </c>
    </row>
    <row r="33" ht="22" customHeight="1">
      <c r="B33" s="238" t="n"/>
      <c r="C33" s="237" t="n"/>
      <c r="D33" s="238" t="n"/>
      <c r="E33" s="239" t="n"/>
      <c r="F33" s="240" t="n"/>
      <c r="G33" s="177" t="n"/>
      <c r="H33" s="271" t="str">
        <f>IF(AND(ISNUMBER(F33),ISNUMBER(G33)),F33*G33,"")</f>
        <v/>
      </c>
      <c r="I33" s="240" t="n"/>
      <c r="J33" s="177" t="n"/>
      <c r="K33" s="271" t="str">
        <f>IF(AND(ISNUMBER(I33),ISNUMBER(J33)),I33*J33,"")</f>
        <v/>
      </c>
      <c r="L33" s="240" t="str">
        <f>IF(COUNT(F33,I33)=0,"",N(F33)-N(I33))</f>
        <v/>
      </c>
      <c r="M33" s="241" t="str">
        <f>IF(COUNT(H33,K33)=0,"",N(K33)-N(H33))</f>
        <v/>
      </c>
      <c r="N33" s="240" t="str">
        <f>IF(AND(ISNUMBER(F33),ISNUMBER(G33),F33&gt;0,1-N(Ввод!$J$19)/100&gt;0),G33/(1-N(Ввод!$J$19)/100),IF(AND(ISNUMBER(I33),ISNUMBER(J33),I33&gt;0),J33/(1+N(Ввод!$J$19)/100),""))</f>
        <v/>
      </c>
    </row>
    <row r="34" ht="22" customHeight="1">
      <c r="B34" s="244" t="n"/>
      <c r="C34" s="243" t="n"/>
      <c r="D34" s="244" t="n"/>
      <c r="E34" s="245" t="n"/>
      <c r="F34" s="246" t="n"/>
      <c r="G34" s="183" t="n"/>
      <c r="H34" s="271" t="str">
        <f>IF(AND(ISNUMBER(F34),ISNUMBER(G34)),F34*G34,"")</f>
        <v/>
      </c>
      <c r="I34" s="246" t="n"/>
      <c r="J34" s="183" t="n"/>
      <c r="K34" s="271" t="str">
        <f>IF(AND(ISNUMBER(I34),ISNUMBER(J34)),I34*J34,"")</f>
        <v/>
      </c>
      <c r="L34" s="246" t="str">
        <f>IF(COUNT(F34,I34)=0,"",N(F34)-N(I34))</f>
        <v/>
      </c>
      <c r="M34" s="247" t="str">
        <f>IF(COUNT(H34,K34)=0,"",N(K34)-N(H34))</f>
        <v/>
      </c>
      <c r="N34" s="246" t="str">
        <f>IF(AND(ISNUMBER(F34),ISNUMBER(G34),F34&gt;0,1-N(Ввод!$J$19)/100&gt;0),G34/(1-N(Ввод!$J$19)/100),IF(AND(ISNUMBER(I34),ISNUMBER(J34),I34&gt;0),J34/(1+N(Ввод!$J$19)/100),""))</f>
        <v/>
      </c>
    </row>
    <row r="35" ht="22" customHeight="1">
      <c r="B35" s="238" t="n"/>
      <c r="C35" s="237" t="n"/>
      <c r="D35" s="238" t="n"/>
      <c r="E35" s="239" t="n"/>
      <c r="F35" s="240" t="n"/>
      <c r="G35" s="177" t="n"/>
      <c r="H35" s="271" t="str">
        <f>IF(AND(ISNUMBER(F35),ISNUMBER(G35)),F35*G35,"")</f>
        <v/>
      </c>
      <c r="I35" s="240" t="n"/>
      <c r="J35" s="177" t="n"/>
      <c r="K35" s="271" t="str">
        <f>IF(AND(ISNUMBER(I35),ISNUMBER(J35)),I35*J35,"")</f>
        <v/>
      </c>
      <c r="L35" s="240" t="str">
        <f>IF(COUNT(F35,I35)=0,"",N(F35)-N(I35))</f>
        <v/>
      </c>
      <c r="M35" s="241" t="str">
        <f>IF(COUNT(H35,K35)=0,"",N(K35)-N(H35))</f>
        <v/>
      </c>
      <c r="N35" s="240" t="str">
        <f>IF(AND(ISNUMBER(F35),ISNUMBER(G35),F35&gt;0,1-N(Ввод!$J$19)/100&gt;0),G35/(1-N(Ввод!$J$19)/100),IF(AND(ISNUMBER(I35),ISNUMBER(J35),I35&gt;0),J35/(1+N(Ввод!$J$19)/100),""))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71" t="str">
        <f>IF(AND(ISNUMBER(F36),ISNUMBER(G36)),F36*G36,"")</f>
        <v/>
      </c>
      <c r="I36" s="246" t="n"/>
      <c r="J36" s="183" t="n"/>
      <c r="K36" s="271" t="str">
        <f>IF(AND(ISNUMBER(I36),ISNUMBER(J36)),I36*J36,"")</f>
        <v/>
      </c>
      <c r="L36" s="246" t="str">
        <f>IF(COUNT(F36,I36)=0,"",N(F36)-N(I36))</f>
        <v/>
      </c>
      <c r="M36" s="247" t="str">
        <f>IF(COUNT(H36,K36)=0,"",N(K36)-N(H36))</f>
        <v/>
      </c>
      <c r="N36" s="246" t="str">
        <f>IF(AND(ISNUMBER(F36),ISNUMBER(G36),F36&gt;0,1-N(Ввод!$J$19)/100&gt;0),G36/(1-N(Ввод!$J$19)/100),IF(AND(ISNUMBER(I36),ISNUMBER(J36),I36&gt;0),J36/(1+N(Ввод!$J$19)/100),""))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71" t="str">
        <f>IF(AND(ISNUMBER(F37),ISNUMBER(G37)),F37*G37,"")</f>
        <v/>
      </c>
      <c r="I37" s="240" t="n"/>
      <c r="J37" s="177" t="n"/>
      <c r="K37" s="271" t="str">
        <f>IF(AND(ISNUMBER(I37),ISNUMBER(J37)),I37*J37,"")</f>
        <v/>
      </c>
      <c r="L37" s="240" t="str">
        <f>IF(COUNT(F37,I37)=0,"",N(F37)-N(I37))</f>
        <v/>
      </c>
      <c r="M37" s="241" t="str">
        <f>IF(COUNT(H37,K37)=0,"",N(K37)-N(H37))</f>
        <v/>
      </c>
      <c r="N37" s="240" t="str">
        <f>IF(AND(ISNUMBER(F37),ISNUMBER(G37),F37&gt;0,1-N(Ввод!$J$19)/100&gt;0),G37/(1-N(Ввод!$J$19)/100),IF(AND(ISNUMBER(I37),ISNUMBER(J37),I37&gt;0),J37/(1+N(Ввод!$J$19)/100),""))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71" t="str">
        <f>IF(AND(ISNUMBER(F38),ISNUMBER(G38)),F38*G38,"")</f>
        <v/>
      </c>
      <c r="I38" s="246" t="n"/>
      <c r="J38" s="183" t="n"/>
      <c r="K38" s="271" t="str">
        <f>IF(AND(ISNUMBER(I38),ISNUMBER(J38)),I38*J38,"")</f>
        <v/>
      </c>
      <c r="L38" s="246" t="str">
        <f>IF(COUNT(F38,I38)=0,"",N(F38)-N(I38))</f>
        <v/>
      </c>
      <c r="M38" s="247" t="str">
        <f>IF(COUNT(H38,K38)=0,"",N(K38)-N(H38))</f>
        <v/>
      </c>
      <c r="N38" s="246" t="str">
        <f>IF(AND(ISNUMBER(F38),ISNUMBER(G38),F38&gt;0,1-N(Ввод!$J$19)/100&gt;0),G38/(1-N(Ввод!$J$19)/100),IF(AND(ISNUMBER(I38),ISNUMBER(J38),I38&gt;0),J38/(1+N(Ввод!$J$19)/100),""))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71" t="str">
        <f>IF(AND(ISNUMBER(F39),ISNUMBER(G39)),F39*G39,"")</f>
        <v/>
      </c>
      <c r="I39" s="240" t="n"/>
      <c r="J39" s="177" t="n"/>
      <c r="K39" s="271" t="str">
        <f>IF(AND(ISNUMBER(I39),ISNUMBER(J39)),I39*J39,"")</f>
        <v/>
      </c>
      <c r="L39" s="240" t="str">
        <f>IF(COUNT(F39,I39)=0,"",N(F39)-N(I39))</f>
        <v/>
      </c>
      <c r="M39" s="241" t="str">
        <f>IF(COUNT(H39,K39)=0,"",N(K39)-N(H39))</f>
        <v/>
      </c>
      <c r="N39" s="240" t="str">
        <f>IF(AND(ISNUMBER(F39),ISNUMBER(G39),F39&gt;0,1-N(Ввод!$J$19)/100&gt;0),G39/(1-N(Ввод!$J$19)/100),IF(AND(ISNUMBER(I39),ISNUMBER(J39),I39&gt;0),J39/(1+N(Ввод!$J$19)/100),""))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71" t="str">
        <f>IF(AND(ISNUMBER(F40),ISNUMBER(G40)),F40*G40,"")</f>
        <v/>
      </c>
      <c r="I40" s="246" t="n"/>
      <c r="J40" s="183" t="n"/>
      <c r="K40" s="271" t="str">
        <f>IF(AND(ISNUMBER(I40),ISNUMBER(J40)),I40*J40,"")</f>
        <v/>
      </c>
      <c r="L40" s="246" t="str">
        <f>IF(COUNT(F40,I40)=0,"",N(F40)-N(I40))</f>
        <v/>
      </c>
      <c r="M40" s="247" t="str">
        <f>IF(COUNT(H40,K40)=0,"",N(K40)-N(H40))</f>
        <v/>
      </c>
      <c r="N40" s="246" t="str">
        <f>IF(AND(ISNUMBER(F40),ISNUMBER(G40),F40&gt;0,1-N(Ввод!$J$19)/100&gt;0),G40/(1-N(Ввод!$J$19)/100),IF(AND(ISNUMBER(I40),ISNUMBER(J40),I40&gt;0),J40/(1+N(Ввод!$J$19)/100),""))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71" t="str">
        <f>IF(AND(ISNUMBER(F41),ISNUMBER(G41)),F41*G41,"")</f>
        <v/>
      </c>
      <c r="I41" s="240" t="n"/>
      <c r="J41" s="177" t="n"/>
      <c r="K41" s="271" t="str">
        <f>IF(AND(ISNUMBER(I41),ISNUMBER(J41)),I41*J41,"")</f>
        <v/>
      </c>
      <c r="L41" s="240" t="str">
        <f>IF(COUNT(F41,I41)=0,"",N(F41)-N(I41))</f>
        <v/>
      </c>
      <c r="M41" s="241" t="str">
        <f>IF(COUNT(H41,K41)=0,"",N(K41)-N(H41))</f>
        <v/>
      </c>
      <c r="N41" s="240" t="str">
        <f>IF(AND(ISNUMBER(F41),ISNUMBER(G41),F41&gt;0,1-N(Ввод!$J$19)/100&gt;0),G41/(1-N(Ввод!$J$19)/100),IF(AND(ISNUMBER(I41),ISNUMBER(J41),I41&gt;0),J41/(1+N(Ввод!$J$19)/100),""))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71" t="str">
        <f>IF(AND(ISNUMBER(F42),ISNUMBER(G42)),F42*G42,"")</f>
        <v/>
      </c>
      <c r="I42" s="246" t="n"/>
      <c r="J42" s="183" t="n"/>
      <c r="K42" s="271" t="str">
        <f>IF(AND(ISNUMBER(I42),ISNUMBER(J42)),I42*J42,"")</f>
        <v/>
      </c>
      <c r="L42" s="246" t="str">
        <f>IF(COUNT(F42,I42)=0,"",N(F42)-N(I42))</f>
        <v/>
      </c>
      <c r="M42" s="247" t="str">
        <f>IF(COUNT(H42,K42)=0,"",N(K42)-N(H42))</f>
        <v/>
      </c>
      <c r="N42" s="246" t="str">
        <f>IF(AND(ISNUMBER(F42),ISNUMBER(G42),F42&gt;0,1-N(Ввод!$J$19)/100&gt;0),G42/(1-N(Ввод!$J$19)/100),IF(AND(ISNUMBER(I42),ISNUMBER(J42),I42&gt;0),J42/(1+N(Ввод!$J$19)/100),""))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71" t="str">
        <f>IF(AND(ISNUMBER(F43),ISNUMBER(G43)),F43*G43,"")</f>
        <v/>
      </c>
      <c r="I43" s="240" t="n"/>
      <c r="J43" s="177" t="n"/>
      <c r="K43" s="271" t="str">
        <f>IF(AND(ISNUMBER(I43),ISNUMBER(J43)),I43*J43,"")</f>
        <v/>
      </c>
      <c r="L43" s="240" t="str">
        <f>IF(COUNT(F43,I43)=0,"",N(F43)-N(I43))</f>
        <v/>
      </c>
      <c r="M43" s="241" t="str">
        <f>IF(COUNT(H43,K43)=0,"",N(K43)-N(H43))</f>
        <v/>
      </c>
      <c r="N43" s="240" t="str">
        <f>IF(AND(ISNUMBER(F43),ISNUMBER(G43),F43&gt;0,1-N(Ввод!$J$19)/100&gt;0),G43/(1-N(Ввод!$J$19)/100),IF(AND(ISNUMBER(I43),ISNUMBER(J43),I43&gt;0),J43/(1+N(Ввод!$J$19)/100),""))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71" t="str">
        <f>IF(AND(ISNUMBER(F44),ISNUMBER(G44)),F44*G44,"")</f>
        <v/>
      </c>
      <c r="I44" s="246" t="n"/>
      <c r="J44" s="183" t="n"/>
      <c r="K44" s="271" t="str">
        <f>IF(AND(ISNUMBER(I44),ISNUMBER(J44)),I44*J44,"")</f>
        <v/>
      </c>
      <c r="L44" s="246" t="str">
        <f>IF(COUNT(F44,I44)=0,"",N(F44)-N(I44))</f>
        <v/>
      </c>
      <c r="M44" s="247" t="str">
        <f>IF(COUNT(H44,K44)=0,"",N(K44)-N(H44))</f>
        <v/>
      </c>
      <c r="N44" s="246" t="str">
        <f>IF(AND(ISNUMBER(F44),ISNUMBER(G44),F44&gt;0,1-N(Ввод!$J$19)/100&gt;0),G44/(1-N(Ввод!$J$19)/100),IF(AND(ISNUMBER(I44),ISNUMBER(J44),I44&gt;0),J44/(1+N(Ввод!$J$19)/100),""))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71" t="str">
        <f>IF(AND(ISNUMBER(F45),ISNUMBER(G45)),F45*G45,"")</f>
        <v/>
      </c>
      <c r="I45" s="240" t="n"/>
      <c r="J45" s="177" t="n"/>
      <c r="K45" s="271" t="str">
        <f>IF(AND(ISNUMBER(I45),ISNUMBER(J45)),I45*J45,"")</f>
        <v/>
      </c>
      <c r="L45" s="240" t="str">
        <f>IF(COUNT(F45,I45)=0,"",N(F45)-N(I45))</f>
        <v/>
      </c>
      <c r="M45" s="241" t="str">
        <f>IF(COUNT(H45,K45)=0,"",N(K45)-N(H45))</f>
        <v/>
      </c>
      <c r="N45" s="240" t="str">
        <f>IF(AND(ISNUMBER(F45),ISNUMBER(G45),F45&gt;0,1-N(Ввод!$J$19)/100&gt;0),G45/(1-N(Ввод!$J$19)/100),IF(AND(ISNUMBER(I45),ISNUMBER(J45),I45&gt;0),J45/(1+N(Ввод!$J$19)/100),""))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71" t="str">
        <f>IF(AND(ISNUMBER(F46),ISNUMBER(G46)),F46*G46,"")</f>
        <v/>
      </c>
      <c r="I46" s="246" t="n"/>
      <c r="J46" s="183" t="n"/>
      <c r="K46" s="271" t="str">
        <f>IF(AND(ISNUMBER(I46),ISNUMBER(J46)),I46*J46,"")</f>
        <v/>
      </c>
      <c r="L46" s="246" t="str">
        <f>IF(COUNT(F46,I46)=0,"",N(F46)-N(I46))</f>
        <v/>
      </c>
      <c r="M46" s="247" t="str">
        <f>IF(COUNT(H46,K46)=0,"",N(K46)-N(H46))</f>
        <v/>
      </c>
      <c r="N46" s="246" t="str">
        <f>IF(AND(ISNUMBER(F46),ISNUMBER(G46),F46&gt;0,1-N(Ввод!$J$19)/100&gt;0),G46/(1-N(Ввод!$J$19)/100),IF(AND(ISNUMBER(I46),ISNUMBER(J46),I46&gt;0),J46/(1+N(Ввод!$J$19)/100),""))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71" t="str">
        <f>IF(AND(ISNUMBER(F47),ISNUMBER(G47)),F47*G47,"")</f>
        <v/>
      </c>
      <c r="I47" s="240" t="n"/>
      <c r="J47" s="177" t="n"/>
      <c r="K47" s="271" t="str">
        <f>IF(AND(ISNUMBER(I47),ISNUMBER(J47)),I47*J47,"")</f>
        <v/>
      </c>
      <c r="L47" s="240" t="str">
        <f>IF(COUNT(F47,I47)=0,"",N(F47)-N(I47))</f>
        <v/>
      </c>
      <c r="M47" s="241" t="str">
        <f>IF(COUNT(H47,K47)=0,"",N(K47)-N(H47))</f>
        <v/>
      </c>
      <c r="N47" s="240" t="str">
        <f>IF(AND(ISNUMBER(F47),ISNUMBER(G47),F47&gt;0,1-N(Ввод!$J$19)/100&gt;0),G47/(1-N(Ввод!$J$19)/100),IF(AND(ISNUMBER(I47),ISNUMBER(J47),I47&gt;0),J47/(1+N(Ввод!$J$19)/100),""))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71" t="str">
        <f>IF(AND(ISNUMBER(F48),ISNUMBER(G48)),F48*G48,"")</f>
        <v/>
      </c>
      <c r="I48" s="246" t="n"/>
      <c r="J48" s="183" t="n"/>
      <c r="K48" s="271" t="str">
        <f>IF(AND(ISNUMBER(I48),ISNUMBER(J48)),I48*J48,"")</f>
        <v/>
      </c>
      <c r="L48" s="246" t="str">
        <f>IF(COUNT(F48,I48)=0,"",N(F48)-N(I48))</f>
        <v/>
      </c>
      <c r="M48" s="247" t="str">
        <f>IF(COUNT(H48,K48)=0,"",N(K48)-N(H48))</f>
        <v/>
      </c>
      <c r="N48" s="246" t="str">
        <f>IF(AND(ISNUMBER(F48),ISNUMBER(G48),F48&gt;0,1-N(Ввод!$J$19)/100&gt;0),G48/(1-N(Ввод!$J$19)/100),IF(AND(ISNUMBER(I48),ISNUMBER(J48),I48&gt;0),J48/(1+N(Ввод!$J$19)/100),""))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71" t="str">
        <f>IF(AND(ISNUMBER(F49),ISNUMBER(G49)),F49*G49,"")</f>
        <v/>
      </c>
      <c r="I49" s="240" t="n"/>
      <c r="J49" s="177" t="n"/>
      <c r="K49" s="271" t="str">
        <f>IF(AND(ISNUMBER(I49),ISNUMBER(J49)),I49*J49,"")</f>
        <v/>
      </c>
      <c r="L49" s="240" t="str">
        <f>IF(COUNT(F49,I49)=0,"",N(F49)-N(I49))</f>
        <v/>
      </c>
      <c r="M49" s="241" t="str">
        <f>IF(COUNT(H49,K49)=0,"",N(K49)-N(H49))</f>
        <v/>
      </c>
      <c r="N49" s="240" t="str">
        <f>IF(AND(ISNUMBER(F49),ISNUMBER(G49),F49&gt;0,1-N(Ввод!$J$19)/100&gt;0),G49/(1-N(Ввод!$J$19)/100),IF(AND(ISNUMBER(I49),ISNUMBER(J49),I49&gt;0),J49/(1+N(Ввод!$J$19)/100),""))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71" t="str">
        <f>IF(AND(ISNUMBER(F50),ISNUMBER(G50)),F50*G50,"")</f>
        <v/>
      </c>
      <c r="I50" s="246" t="n"/>
      <c r="J50" s="183" t="n"/>
      <c r="K50" s="271" t="str">
        <f>IF(AND(ISNUMBER(I50),ISNUMBER(J50)),I50*J50,"")</f>
        <v/>
      </c>
      <c r="L50" s="246" t="str">
        <f>IF(COUNT(F50,I50)=0,"",N(F50)-N(I50))</f>
        <v/>
      </c>
      <c r="M50" s="247" t="str">
        <f>IF(COUNT(H50,K50)=0,"",N(K50)-N(H50))</f>
        <v/>
      </c>
      <c r="N50" s="246" t="str">
        <f>IF(AND(ISNUMBER(F50),ISNUMBER(G50),F50&gt;0,1-N(Ввод!$J$19)/100&gt;0),G50/(1-N(Ввод!$J$19)/100),IF(AND(ISNUMBER(I50),ISNUMBER(J50),I50&gt;0),J50/(1+N(Ввод!$J$19)/100),""))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71" t="str">
        <f>IF(AND(ISNUMBER(F51),ISNUMBER(G51)),F51*G51,"")</f>
        <v/>
      </c>
      <c r="I51" s="240" t="n"/>
      <c r="J51" s="177" t="n"/>
      <c r="K51" s="271" t="str">
        <f>IF(AND(ISNUMBER(I51),ISNUMBER(J51)),I51*J51,"")</f>
        <v/>
      </c>
      <c r="L51" s="240" t="str">
        <f>IF(COUNT(F51,I51)=0,"",N(F51)-N(I51))</f>
        <v/>
      </c>
      <c r="M51" s="241" t="str">
        <f>IF(COUNT(H51,K51)=0,"",N(K51)-N(H51))</f>
        <v/>
      </c>
      <c r="N51" s="240" t="str">
        <f>IF(AND(ISNUMBER(F51),ISNUMBER(G51),F51&gt;0,1-N(Ввод!$J$19)/100&gt;0),G51/(1-N(Ввод!$J$19)/100),IF(AND(ISNUMBER(I51),ISNUMBER(J51),I51&gt;0),J51/(1+N(Ввод!$J$19)/100),""))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71" t="str">
        <f>IF(AND(ISNUMBER(F52),ISNUMBER(G52)),F52*G52,"")</f>
        <v/>
      </c>
      <c r="I52" s="246" t="n"/>
      <c r="J52" s="183" t="n"/>
      <c r="K52" s="271" t="str">
        <f>IF(AND(ISNUMBER(I52),ISNUMBER(J52)),I52*J52,"")</f>
        <v/>
      </c>
      <c r="L52" s="246" t="str">
        <f>IF(COUNT(F52,I52)=0,"",N(F52)-N(I52))</f>
        <v/>
      </c>
      <c r="M52" s="247" t="str">
        <f>IF(COUNT(H52,K52)=0,"",N(K52)-N(H52))</f>
        <v/>
      </c>
      <c r="N52" s="246" t="str">
        <f>IF(AND(ISNUMBER(F52),ISNUMBER(G52),F52&gt;0,1-N(Ввод!$J$19)/100&gt;0),G52/(1-N(Ввод!$J$19)/100),IF(AND(ISNUMBER(I52),ISNUMBER(J52),I52&gt;0),J52/(1+N(Ввод!$J$19)/100),""))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71" t="str">
        <f>IF(AND(ISNUMBER(F53),ISNUMBER(G53)),F53*G53,"")</f>
        <v/>
      </c>
      <c r="I53" s="240" t="n"/>
      <c r="J53" s="177" t="n"/>
      <c r="K53" s="271" t="str">
        <f>IF(AND(ISNUMBER(I53),ISNUMBER(J53)),I53*J53,"")</f>
        <v/>
      </c>
      <c r="L53" s="240" t="str">
        <f>IF(COUNT(F53,I53)=0,"",N(F53)-N(I53))</f>
        <v/>
      </c>
      <c r="M53" s="241" t="str">
        <f>IF(COUNT(H53,K53)=0,"",N(K53)-N(H53))</f>
        <v/>
      </c>
      <c r="N53" s="240" t="str">
        <f>IF(AND(ISNUMBER(F53),ISNUMBER(G53),F53&gt;0,1-N(Ввод!$J$19)/100&gt;0),G53/(1-N(Ввод!$J$19)/100),IF(AND(ISNUMBER(I53),ISNUMBER(J53),I53&gt;0),J53/(1+N(Ввод!$J$19)/100),""))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71" t="str">
        <f>IF(AND(ISNUMBER(F54),ISNUMBER(G54)),F54*G54,"")</f>
        <v/>
      </c>
      <c r="I54" s="246" t="n"/>
      <c r="J54" s="183" t="n"/>
      <c r="K54" s="271" t="str">
        <f>IF(AND(ISNUMBER(I54),ISNUMBER(J54)),I54*J54,"")</f>
        <v/>
      </c>
      <c r="L54" s="246" t="str">
        <f>IF(COUNT(F54,I54)=0,"",N(F54)-N(I54))</f>
        <v/>
      </c>
      <c r="M54" s="247" t="str">
        <f>IF(COUNT(H54,K54)=0,"",N(K54)-N(H54))</f>
        <v/>
      </c>
      <c r="N54" s="246" t="str">
        <f>IF(AND(ISNUMBER(F54),ISNUMBER(G54),F54&gt;0,1-N(Ввод!$J$19)/100&gt;0),G54/(1-N(Ввод!$J$19)/100),IF(AND(ISNUMBER(I54),ISNUMBER(J54),I54&gt;0),J54/(1+N(Ввод!$J$19)/100),""))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71" t="str">
        <f>IF(AND(ISNUMBER(F55),ISNUMBER(G55)),F55*G55,"")</f>
        <v/>
      </c>
      <c r="I55" s="240" t="n"/>
      <c r="J55" s="177" t="n"/>
      <c r="K55" s="271" t="str">
        <f>IF(AND(ISNUMBER(I55),ISNUMBER(J55)),I55*J55,"")</f>
        <v/>
      </c>
      <c r="L55" s="240" t="str">
        <f>IF(COUNT(F55,I55)=0,"",N(F55)-N(I55))</f>
        <v/>
      </c>
      <c r="M55" s="241" t="str">
        <f>IF(COUNT(H55,K55)=0,"",N(K55)-N(H55))</f>
        <v/>
      </c>
      <c r="N55" s="240" t="str">
        <f>IF(AND(ISNUMBER(F55),ISNUMBER(G55),F55&gt;0,1-N(Ввод!$J$19)/100&gt;0),G55/(1-N(Ввод!$J$19)/100),IF(AND(ISNUMBER(I55),ISNUMBER(J55),I55&gt;0),J55/(1+N(Ввод!$J$19)/100),""))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71" t="str">
        <f>IF(AND(ISNUMBER(F56),ISNUMBER(G56)),F56*G56,"")</f>
        <v/>
      </c>
      <c r="I56" s="246" t="n"/>
      <c r="J56" s="183" t="n"/>
      <c r="K56" s="271" t="str">
        <f>IF(AND(ISNUMBER(I56),ISNUMBER(J56)),I56*J56,"")</f>
        <v/>
      </c>
      <c r="L56" s="246" t="str">
        <f>IF(COUNT(F56,I56)=0,"",N(F56)-N(I56))</f>
        <v/>
      </c>
      <c r="M56" s="247" t="str">
        <f>IF(COUNT(H56,K56)=0,"",N(K56)-N(H56))</f>
        <v/>
      </c>
      <c r="N56" s="246" t="str">
        <f>IF(AND(ISNUMBER(F56),ISNUMBER(G56),F56&gt;0,1-N(Ввод!$J$19)/100&gt;0),G56/(1-N(Ввод!$J$19)/100),IF(AND(ISNUMBER(I56),ISNUMBER(J56),I56&gt;0),J56/(1+N(Ввод!$J$19)/100),""))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71" t="str">
        <f>IF(AND(ISNUMBER(F57),ISNUMBER(G57)),F57*G57,"")</f>
        <v/>
      </c>
      <c r="I57" s="240" t="n"/>
      <c r="J57" s="177" t="n"/>
      <c r="K57" s="271" t="str">
        <f>IF(AND(ISNUMBER(I57),ISNUMBER(J57)),I57*J57,"")</f>
        <v/>
      </c>
      <c r="L57" s="240" t="str">
        <f>IF(COUNT(F57,I57)=0,"",N(F57)-N(I57))</f>
        <v/>
      </c>
      <c r="M57" s="241" t="str">
        <f>IF(COUNT(H57,K57)=0,"",N(K57)-N(H57))</f>
        <v/>
      </c>
      <c r="N57" s="240" t="str">
        <f>IF(AND(ISNUMBER(F57),ISNUMBER(G57),F57&gt;0,1-N(Ввод!$J$19)/100&gt;0),G57/(1-N(Ввод!$J$19)/100),IF(AND(ISNUMBER(I57),ISNUMBER(J57),I57&gt;0),J57/(1+N(Ввод!$J$19)/100),""))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71" t="str">
        <f>IF(AND(ISNUMBER(F58),ISNUMBER(G58)),F58*G58,"")</f>
        <v/>
      </c>
      <c r="I58" s="246" t="n"/>
      <c r="J58" s="183" t="n"/>
      <c r="K58" s="271" t="str">
        <f>IF(AND(ISNUMBER(I58),ISNUMBER(J58)),I58*J58,"")</f>
        <v/>
      </c>
      <c r="L58" s="246" t="str">
        <f>IF(COUNT(F58,I58)=0,"",N(F58)-N(I58))</f>
        <v/>
      </c>
      <c r="M58" s="247" t="str">
        <f>IF(COUNT(H58,K58)=0,"",N(K58)-N(H58))</f>
        <v/>
      </c>
      <c r="N58" s="246" t="str">
        <f>IF(AND(ISNUMBER(F58),ISNUMBER(G58),F58&gt;0,1-N(Ввод!$J$19)/100&gt;0),G58/(1-N(Ввод!$J$19)/100),IF(AND(ISNUMBER(I58),ISNUMBER(J58),I58&gt;0),J58/(1+N(Ввод!$J$19)/100),""))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71" t="str">
        <f>IF(AND(ISNUMBER(F59),ISNUMBER(G59)),F59*G59,"")</f>
        <v/>
      </c>
      <c r="I59" s="240" t="n"/>
      <c r="J59" s="177" t="n"/>
      <c r="K59" s="271" t="str">
        <f>IF(AND(ISNUMBER(I59),ISNUMBER(J59)),I59*J59,"")</f>
        <v/>
      </c>
      <c r="L59" s="240" t="str">
        <f>IF(COUNT(F59,I59)=0,"",N(F59)-N(I59))</f>
        <v/>
      </c>
      <c r="M59" s="241" t="str">
        <f>IF(COUNT(H59,K59)=0,"",N(K59)-N(H59))</f>
        <v/>
      </c>
      <c r="N59" s="240" t="str">
        <f>IF(AND(ISNUMBER(F59),ISNUMBER(G59),F59&gt;0,1-N(Ввод!$J$19)/100&gt;0),G59/(1-N(Ввод!$J$19)/100),IF(AND(ISNUMBER(I59),ISNUMBER(J59),I59&gt;0),J59/(1+N(Ввод!$J$19)/100),""))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71" t="str">
        <f>IF(AND(ISNUMBER(F60),ISNUMBER(G60)),F60*G60,"")</f>
        <v/>
      </c>
      <c r="I60" s="246" t="n"/>
      <c r="J60" s="183" t="n"/>
      <c r="K60" s="271" t="str">
        <f>IF(AND(ISNUMBER(I60),ISNUMBER(J60)),I60*J60,"")</f>
        <v/>
      </c>
      <c r="L60" s="246" t="str">
        <f>IF(COUNT(F60,I60)=0,"",N(F60)-N(I60))</f>
        <v/>
      </c>
      <c r="M60" s="247" t="str">
        <f>IF(COUNT(H60,K60)=0,"",N(K60)-N(H60))</f>
        <v/>
      </c>
      <c r="N60" s="246" t="str">
        <f>IF(AND(ISNUMBER(F60),ISNUMBER(G60),F60&gt;0,1-N(Ввод!$J$19)/100&gt;0),G60/(1-N(Ввод!$J$19)/100),IF(AND(ISNUMBER(I60),ISNUMBER(J60),I60&gt;0),J60/(1+N(Ввод!$J$19)/100),""))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71" t="str">
        <f>IF(AND(ISNUMBER(F61),ISNUMBER(G61)),F61*G61,"")</f>
        <v/>
      </c>
      <c r="I61" s="240" t="n"/>
      <c r="J61" s="177" t="n"/>
      <c r="K61" s="271" t="str">
        <f>IF(AND(ISNUMBER(I61),ISNUMBER(J61)),I61*J61,"")</f>
        <v/>
      </c>
      <c r="L61" s="240" t="str">
        <f>IF(COUNT(F61,I61)=0,"",N(F61)-N(I61))</f>
        <v/>
      </c>
      <c r="M61" s="241" t="str">
        <f>IF(COUNT(H61,K61)=0,"",N(K61)-N(H61))</f>
        <v/>
      </c>
      <c r="N61" s="240" t="str">
        <f>IF(AND(ISNUMBER(F61),ISNUMBER(G61),F61&gt;0,1-N(Ввод!$J$19)/100&gt;0),G61/(1-N(Ввод!$J$19)/100),IF(AND(ISNUMBER(I61),ISNUMBER(J61),I61&gt;0),J61/(1+N(Ввод!$J$19)/100),""))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71" t="str">
        <f>IF(AND(ISNUMBER(F62),ISNUMBER(G62)),F62*G62,"")</f>
        <v/>
      </c>
      <c r="I62" s="246" t="n"/>
      <c r="J62" s="183" t="n"/>
      <c r="K62" s="271" t="str">
        <f>IF(AND(ISNUMBER(I62),ISNUMBER(J62)),I62*J62,"")</f>
        <v/>
      </c>
      <c r="L62" s="246" t="str">
        <f>IF(COUNT(F62,I62)=0,"",N(F62)-N(I62))</f>
        <v/>
      </c>
      <c r="M62" s="247" t="str">
        <f>IF(COUNT(H62,K62)=0,"",N(K62)-N(H62))</f>
        <v/>
      </c>
      <c r="N62" s="246" t="str">
        <f>IF(AND(ISNUMBER(F62),ISNUMBER(G62),F62&gt;0,1-N(Ввод!$J$19)/100&gt;0),G62/(1-N(Ввод!$J$19)/100),IF(AND(ISNUMBER(I62),ISNUMBER(J62),I62&gt;0),J62/(1+N(Ввод!$J$19)/100),""))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71" t="str">
        <f>IF(AND(ISNUMBER(F63),ISNUMBER(G63)),F63*G63,"")</f>
        <v/>
      </c>
      <c r="I63" s="240" t="n"/>
      <c r="J63" s="177" t="n"/>
      <c r="K63" s="271" t="str">
        <f>IF(AND(ISNUMBER(I63),ISNUMBER(J63)),I63*J63,"")</f>
        <v/>
      </c>
      <c r="L63" s="240" t="str">
        <f>IF(COUNT(F63,I63)=0,"",N(F63)-N(I63))</f>
        <v/>
      </c>
      <c r="M63" s="241" t="str">
        <f>IF(COUNT(H63,K63)=0,"",N(K63)-N(H63))</f>
        <v/>
      </c>
      <c r="N63" s="240" t="str">
        <f>IF(AND(ISNUMBER(F63),ISNUMBER(G63),F63&gt;0,1-N(Ввод!$J$19)/100&gt;0),G63/(1-N(Ввод!$J$19)/100),IF(AND(ISNUMBER(I63),ISNUMBER(J63),I63&gt;0),J63/(1+N(Ввод!$J$19)/100),""))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71" t="str">
        <f>IF(AND(ISNUMBER(F64),ISNUMBER(G64)),F64*G64,"")</f>
        <v/>
      </c>
      <c r="I64" s="246" t="n"/>
      <c r="J64" s="183" t="n"/>
      <c r="K64" s="271" t="str">
        <f>IF(AND(ISNUMBER(I64),ISNUMBER(J64)),I64*J64,"")</f>
        <v/>
      </c>
      <c r="L64" s="246" t="str">
        <f>IF(COUNT(F64,I64)=0,"",N(F64)-N(I64))</f>
        <v/>
      </c>
      <c r="M64" s="247" t="str">
        <f>IF(COUNT(H64,K64)=0,"",N(K64)-N(H64))</f>
        <v/>
      </c>
      <c r="N64" s="246" t="str">
        <f>IF(AND(ISNUMBER(F64),ISNUMBER(G64),F64&gt;0,1-N(Ввод!$J$19)/100&gt;0),G64/(1-N(Ввод!$J$19)/100),IF(AND(ISNUMBER(I64),ISNUMBER(J64),I64&gt;0),J64/(1+N(Ввод!$J$19)/100),""))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71" t="str">
        <f>IF(AND(ISNUMBER(F65),ISNUMBER(G65)),F65*G65,"")</f>
        <v/>
      </c>
      <c r="I65" s="240" t="n"/>
      <c r="J65" s="177" t="n"/>
      <c r="K65" s="271" t="str">
        <f>IF(AND(ISNUMBER(I65),ISNUMBER(J65)),I65*J65,"")</f>
        <v/>
      </c>
      <c r="L65" s="240" t="str">
        <f>IF(COUNT(F65,I65)=0,"",N(F65)-N(I65))</f>
        <v/>
      </c>
      <c r="M65" s="241" t="str">
        <f>IF(COUNT(H65,K65)=0,"",N(K65)-N(H65))</f>
        <v/>
      </c>
      <c r="N65" s="240" t="str">
        <f>IF(AND(ISNUMBER(F65),ISNUMBER(G65),F65&gt;0,1-N(Ввод!$J$19)/100&gt;0),G65/(1-N(Ввод!$J$19)/100),IF(AND(ISNUMBER(I65),ISNUMBER(J65),I65&gt;0),J65/(1+N(Ввод!$J$19)/100),""))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71" t="str">
        <f>IF(AND(ISNUMBER(F66),ISNUMBER(G66)),F66*G66,"")</f>
        <v/>
      </c>
      <c r="I66" s="246" t="n"/>
      <c r="J66" s="183" t="n"/>
      <c r="K66" s="271" t="str">
        <f>IF(AND(ISNUMBER(I66),ISNUMBER(J66)),I66*J66,"")</f>
        <v/>
      </c>
      <c r="L66" s="246" t="str">
        <f>IF(COUNT(F66,I66)=0,"",N(F66)-N(I66))</f>
        <v/>
      </c>
      <c r="M66" s="247" t="str">
        <f>IF(COUNT(H66,K66)=0,"",N(K66)-N(H66))</f>
        <v/>
      </c>
      <c r="N66" s="246" t="str">
        <f>IF(AND(ISNUMBER(F66),ISNUMBER(G66),F66&gt;0,1-N(Ввод!$J$19)/100&gt;0),G66/(1-N(Ввод!$J$19)/100),IF(AND(ISNUMBER(I66),ISNUMBER(J66),I66&gt;0),J66/(1+N(Ввод!$J$19)/100),""))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71" t="str">
        <f>IF(AND(ISNUMBER(F67),ISNUMBER(G67)),F67*G67,"")</f>
        <v/>
      </c>
      <c r="I67" s="240" t="n"/>
      <c r="J67" s="177" t="n"/>
      <c r="K67" s="271" t="str">
        <f>IF(AND(ISNUMBER(I67),ISNUMBER(J67)),I67*J67,"")</f>
        <v/>
      </c>
      <c r="L67" s="240" t="str">
        <f>IF(COUNT(F67,I67)=0,"",N(F67)-N(I67))</f>
        <v/>
      </c>
      <c r="M67" s="241" t="str">
        <f>IF(COUNT(H67,K67)=0,"",N(K67)-N(H67))</f>
        <v/>
      </c>
      <c r="N67" s="240" t="str">
        <f>IF(AND(ISNUMBER(F67),ISNUMBER(G67),F67&gt;0,1-N(Ввод!$J$19)/100&gt;0),G67/(1-N(Ввод!$J$19)/100),IF(AND(ISNUMBER(I67),ISNUMBER(J67),I67&gt;0),J67/(1+N(Ввод!$J$19)/100),""))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71" t="str">
        <f>IF(AND(ISNUMBER(F68),ISNUMBER(G68)),F68*G68,"")</f>
        <v/>
      </c>
      <c r="I68" s="246" t="n"/>
      <c r="J68" s="183" t="n"/>
      <c r="K68" s="271" t="str">
        <f>IF(AND(ISNUMBER(I68),ISNUMBER(J68)),I68*J68,"")</f>
        <v/>
      </c>
      <c r="L68" s="246" t="str">
        <f>IF(COUNT(F68,I68)=0,"",N(F68)-N(I68))</f>
        <v/>
      </c>
      <c r="M68" s="247" t="str">
        <f>IF(COUNT(H68,K68)=0,"",N(K68)-N(H68))</f>
        <v/>
      </c>
      <c r="N68" s="246" t="str">
        <f>IF(AND(ISNUMBER(F68),ISNUMBER(G68),F68&gt;0,1-N(Ввод!$J$19)/100&gt;0),G68/(1-N(Ввод!$J$19)/100),IF(AND(ISNUMBER(I68),ISNUMBER(J68),I68&gt;0),J68/(1+N(Ввод!$J$19)/100),""))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71" t="str">
        <f>IF(AND(ISNUMBER(F69),ISNUMBER(G69)),F69*G69,"")</f>
        <v/>
      </c>
      <c r="I69" s="240" t="n"/>
      <c r="J69" s="177" t="n"/>
      <c r="K69" s="271" t="str">
        <f>IF(AND(ISNUMBER(I69),ISNUMBER(J69)),I69*J69,"")</f>
        <v/>
      </c>
      <c r="L69" s="240" t="str">
        <f>IF(COUNT(F69,I69)=0,"",N(F69)-N(I69))</f>
        <v/>
      </c>
      <c r="M69" s="241" t="str">
        <f>IF(COUNT(H69,K69)=0,"",N(K69)-N(H69))</f>
        <v/>
      </c>
      <c r="N69" s="240" t="str">
        <f>IF(AND(ISNUMBER(F69),ISNUMBER(G69),F69&gt;0,1-N(Ввод!$J$19)/100&gt;0),G69/(1-N(Ввод!$J$19)/100),IF(AND(ISNUMBER(I69),ISNUMBER(J69),I69&gt;0),J69/(1+N(Ввод!$J$19)/100),""))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71" t="str">
        <f>IF(AND(ISNUMBER(F70),ISNUMBER(G70)),F70*G70,"")</f>
        <v/>
      </c>
      <c r="I70" s="246" t="n"/>
      <c r="J70" s="183" t="n"/>
      <c r="K70" s="271" t="str">
        <f>IF(AND(ISNUMBER(I70),ISNUMBER(J70)),I70*J70,"")</f>
        <v/>
      </c>
      <c r="L70" s="246" t="str">
        <f>IF(COUNT(F70,I70)=0,"",N(F70)-N(I70))</f>
        <v/>
      </c>
      <c r="M70" s="247" t="str">
        <f>IF(COUNT(H70,K70)=0,"",N(K70)-N(H70))</f>
        <v/>
      </c>
      <c r="N70" s="246" t="str">
        <f>IF(AND(ISNUMBER(F70),ISNUMBER(G70),F70&gt;0,1-N(Ввод!$J$19)/100&gt;0),G70/(1-N(Ввод!$J$19)/100),IF(AND(ISNUMBER(I70),ISNUMBER(J70),I70&gt;0),J70/(1+N(Ввод!$J$19)/100),""))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71" t="str">
        <f>IF(AND(ISNUMBER(F71),ISNUMBER(G71)),F71*G71,"")</f>
        <v/>
      </c>
      <c r="I71" s="240" t="n"/>
      <c r="J71" s="177" t="n"/>
      <c r="K71" s="271" t="str">
        <f>IF(AND(ISNUMBER(I71),ISNUMBER(J71)),I71*J71,"")</f>
        <v/>
      </c>
      <c r="L71" s="240" t="str">
        <f>IF(COUNT(F71,I71)=0,"",N(F71)-N(I71))</f>
        <v/>
      </c>
      <c r="M71" s="241" t="str">
        <f>IF(COUNT(H71,K71)=0,"",N(K71)-N(H71))</f>
        <v/>
      </c>
      <c r="N71" s="240" t="str">
        <f>IF(AND(ISNUMBER(F71),ISNUMBER(G71),F71&gt;0,1-N(Ввод!$J$19)/100&gt;0),G71/(1-N(Ввод!$J$19)/100),IF(AND(ISNUMBER(I71),ISNUMBER(J71),I71&gt;0),J71/(1+N(Ввод!$J$19)/100),""))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71" t="str">
        <f>IF(AND(ISNUMBER(F72),ISNUMBER(G72)),F72*G72,"")</f>
        <v/>
      </c>
      <c r="I72" s="246" t="n"/>
      <c r="J72" s="183" t="n"/>
      <c r="K72" s="271" t="str">
        <f>IF(AND(ISNUMBER(I72),ISNUMBER(J72)),I72*J72,"")</f>
        <v/>
      </c>
      <c r="L72" s="246" t="str">
        <f>IF(COUNT(F72,I72)=0,"",N(F72)-N(I72))</f>
        <v/>
      </c>
      <c r="M72" s="247" t="str">
        <f>IF(COUNT(H72,K72)=0,"",N(K72)-N(H72))</f>
        <v/>
      </c>
      <c r="N72" s="246" t="str">
        <f>IF(AND(ISNUMBER(F72),ISNUMBER(G72),F72&gt;0,1-N(Ввод!$J$19)/100&gt;0),G72/(1-N(Ввод!$J$19)/100),IF(AND(ISNUMBER(I72),ISNUMBER(J72),I72&gt;0),J72/(1+N(Ввод!$J$19)/100),""))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71" t="str">
        <f>IF(AND(ISNUMBER(F73),ISNUMBER(G73)),F73*G73,"")</f>
        <v/>
      </c>
      <c r="I73" s="240" t="n"/>
      <c r="J73" s="177" t="n"/>
      <c r="K73" s="271" t="str">
        <f>IF(AND(ISNUMBER(I73),ISNUMBER(J73)),I73*J73,"")</f>
        <v/>
      </c>
      <c r="L73" s="240" t="str">
        <f>IF(COUNT(F73,I73)=0,"",N(F73)-N(I73))</f>
        <v/>
      </c>
      <c r="M73" s="241" t="str">
        <f>IF(COUNT(H73,K73)=0,"",N(K73)-N(H73))</f>
        <v/>
      </c>
      <c r="N73" s="240" t="str">
        <f>IF(AND(ISNUMBER(F73),ISNUMBER(G73),F73&gt;0,1-N(Ввод!$J$19)/100&gt;0),G73/(1-N(Ввод!$J$19)/100),IF(AND(ISNUMBER(I73),ISNUMBER(J73),I73&gt;0),J73/(1+N(Ввод!$J$19)/100),""))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71" t="str">
        <f>IF(AND(ISNUMBER(F74),ISNUMBER(G74)),F74*G74,"")</f>
        <v/>
      </c>
      <c r="I74" s="246" t="n"/>
      <c r="J74" s="183" t="n"/>
      <c r="K74" s="271" t="str">
        <f>IF(AND(ISNUMBER(I74),ISNUMBER(J74)),I74*J74,"")</f>
        <v/>
      </c>
      <c r="L74" s="246" t="str">
        <f>IF(COUNT(F74,I74)=0,"",N(F74)-N(I74))</f>
        <v/>
      </c>
      <c r="M74" s="247" t="str">
        <f>IF(COUNT(H74,K74)=0,"",N(K74)-N(H74))</f>
        <v/>
      </c>
      <c r="N74" s="246" t="str">
        <f>IF(AND(ISNUMBER(F74),ISNUMBER(G74),F74&gt;0,1-N(Ввод!$J$19)/100&gt;0),G74/(1-N(Ввод!$J$19)/100),IF(AND(ISNUMBER(I74),ISNUMBER(J74),I74&gt;0),J74/(1+N(Ввод!$J$19)/100),""))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71" t="str">
        <f>IF(AND(ISNUMBER(F75),ISNUMBER(G75)),F75*G75,"")</f>
        <v/>
      </c>
      <c r="I75" s="240" t="n"/>
      <c r="J75" s="177" t="n"/>
      <c r="K75" s="271" t="str">
        <f>IF(AND(ISNUMBER(I75),ISNUMBER(J75)),I75*J75,"")</f>
        <v/>
      </c>
      <c r="L75" s="240" t="str">
        <f>IF(COUNT(F75,I75)=0,"",N(F75)-N(I75))</f>
        <v/>
      </c>
      <c r="M75" s="241" t="str">
        <f>IF(COUNT(H75,K75)=0,"",N(K75)-N(H75))</f>
        <v/>
      </c>
      <c r="N75" s="240" t="str">
        <f>IF(AND(ISNUMBER(F75),ISNUMBER(G75),F75&gt;0,1-N(Ввод!$J$19)/100&gt;0),G75/(1-N(Ввод!$J$19)/100),IF(AND(ISNUMBER(I75),ISNUMBER(J75),I75&gt;0),J75/(1+N(Ввод!$J$19)/100),""))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71" t="str">
        <f>IF(AND(ISNUMBER(F76),ISNUMBER(G76)),F76*G76,"")</f>
        <v/>
      </c>
      <c r="I76" s="246" t="n"/>
      <c r="J76" s="183" t="n"/>
      <c r="K76" s="271" t="str">
        <f>IF(AND(ISNUMBER(I76),ISNUMBER(J76)),I76*J76,"")</f>
        <v/>
      </c>
      <c r="L76" s="246" t="str">
        <f>IF(COUNT(F76,I76)=0,"",N(F76)-N(I76))</f>
        <v/>
      </c>
      <c r="M76" s="247" t="str">
        <f>IF(COUNT(H76,K76)=0,"",N(K76)-N(H76))</f>
        <v/>
      </c>
      <c r="N76" s="246" t="str">
        <f>IF(AND(ISNUMBER(F76),ISNUMBER(G76),F76&gt;0,1-N(Ввод!$J$19)/100&gt;0),G76/(1-N(Ввод!$J$19)/100),IF(AND(ISNUMBER(I76),ISNUMBER(J76),I76&gt;0),J76/(1+N(Ввод!$J$19)/100),""))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71" t="str">
        <f>IF(AND(ISNUMBER(F77),ISNUMBER(G77)),F77*G77,"")</f>
        <v/>
      </c>
      <c r="I77" s="240" t="n"/>
      <c r="J77" s="177" t="n"/>
      <c r="K77" s="271" t="str">
        <f>IF(AND(ISNUMBER(I77),ISNUMBER(J77)),I77*J77,"")</f>
        <v/>
      </c>
      <c r="L77" s="240" t="str">
        <f>IF(COUNT(F77,I77)=0,"",N(F77)-N(I77))</f>
        <v/>
      </c>
      <c r="M77" s="241" t="str">
        <f>IF(COUNT(H77,K77)=0,"",N(K77)-N(H77))</f>
        <v/>
      </c>
      <c r="N77" s="240" t="str">
        <f>IF(AND(ISNUMBER(F77),ISNUMBER(G77),F77&gt;0,1-N(Ввод!$J$19)/100&gt;0),G77/(1-N(Ввод!$J$19)/100),IF(AND(ISNUMBER(I77),ISNUMBER(J77),I77&gt;0),J77/(1+N(Ввод!$J$19)/100),""))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71" t="str">
        <f>IF(AND(ISNUMBER(F78),ISNUMBER(G78)),F78*G78,"")</f>
        <v/>
      </c>
      <c r="I78" s="246" t="n"/>
      <c r="J78" s="183" t="n"/>
      <c r="K78" s="271" t="str">
        <f>IF(AND(ISNUMBER(I78),ISNUMBER(J78)),I78*J78,"")</f>
        <v/>
      </c>
      <c r="L78" s="246" t="str">
        <f>IF(COUNT(F78,I78)=0,"",N(F78)-N(I78))</f>
        <v/>
      </c>
      <c r="M78" s="247" t="str">
        <f>IF(COUNT(H78,K78)=0,"",N(K78)-N(H78))</f>
        <v/>
      </c>
      <c r="N78" s="246" t="str">
        <f>IF(AND(ISNUMBER(F78),ISNUMBER(G78),F78&gt;0,1-N(Ввод!$J$19)/100&gt;0),G78/(1-N(Ввод!$J$19)/100),IF(AND(ISNUMBER(I78),ISNUMBER(J78),I78&gt;0),J78/(1+N(Ввод!$J$19)/100),""))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71" t="str">
        <f>IF(AND(ISNUMBER(F79),ISNUMBER(G79)),F79*G79,"")</f>
        <v/>
      </c>
      <c r="I79" s="240" t="n"/>
      <c r="J79" s="177" t="n"/>
      <c r="K79" s="271" t="str">
        <f>IF(AND(ISNUMBER(I79),ISNUMBER(J79)),I79*J79,"")</f>
        <v/>
      </c>
      <c r="L79" s="240" t="str">
        <f>IF(COUNT(F79,I79)=0,"",N(F79)-N(I79))</f>
        <v/>
      </c>
      <c r="M79" s="241" t="str">
        <f>IF(COUNT(H79,K79)=0,"",N(K79)-N(H79))</f>
        <v/>
      </c>
      <c r="N79" s="240" t="str">
        <f>IF(AND(ISNUMBER(F79),ISNUMBER(G79),F79&gt;0,1-N(Ввод!$J$19)/100&gt;0),G79/(1-N(Ввод!$J$19)/100),IF(AND(ISNUMBER(I79),ISNUMBER(J79),I79&gt;0),J79/(1+N(Ввод!$J$19)/100),""))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71" t="str">
        <f>IF(AND(ISNUMBER(F80),ISNUMBER(G80)),F80*G80,"")</f>
        <v/>
      </c>
      <c r="I80" s="246" t="n"/>
      <c r="J80" s="183" t="n"/>
      <c r="K80" s="271" t="str">
        <f>IF(AND(ISNUMBER(I80),ISNUMBER(J80)),I80*J80,"")</f>
        <v/>
      </c>
      <c r="L80" s="246" t="str">
        <f>IF(COUNT(F80,I80)=0,"",N(F80)-N(I80))</f>
        <v/>
      </c>
      <c r="M80" s="247" t="str">
        <f>IF(COUNT(H80,K80)=0,"",N(K80)-N(H80))</f>
        <v/>
      </c>
      <c r="N80" s="246" t="str">
        <f>IF(AND(ISNUMBER(F80),ISNUMBER(G80),F80&gt;0,1-N(Ввод!$J$19)/100&gt;0),G80/(1-N(Ввод!$J$19)/100),IF(AND(ISNUMBER(I80),ISNUMBER(J80),I80&gt;0),J80/(1+N(Ввод!$J$19)/100),""))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71" t="str">
        <f>IF(AND(ISNUMBER(F81),ISNUMBER(G81)),F81*G81,"")</f>
        <v/>
      </c>
      <c r="I81" s="240" t="n"/>
      <c r="J81" s="177" t="n"/>
      <c r="K81" s="271" t="str">
        <f>IF(AND(ISNUMBER(I81),ISNUMBER(J81)),I81*J81,"")</f>
        <v/>
      </c>
      <c r="L81" s="240" t="str">
        <f>IF(COUNT(F81,I81)=0,"",N(F81)-N(I81))</f>
        <v/>
      </c>
      <c r="M81" s="241" t="str">
        <f>IF(COUNT(H81,K81)=0,"",N(K81)-N(H81))</f>
        <v/>
      </c>
      <c r="N81" s="240" t="str">
        <f>IF(AND(ISNUMBER(F81),ISNUMBER(G81),F81&gt;0,1-N(Ввод!$J$19)/100&gt;0),G81/(1-N(Ввод!$J$19)/100),IF(AND(ISNUMBER(I81),ISNUMBER(J81),I81&gt;0),J81/(1+N(Ввод!$J$19)/100),""))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71" t="str">
        <f>IF(AND(ISNUMBER(F82),ISNUMBER(G82)),F82*G82,"")</f>
        <v/>
      </c>
      <c r="I82" s="246" t="n"/>
      <c r="J82" s="183" t="n"/>
      <c r="K82" s="271" t="str">
        <f>IF(AND(ISNUMBER(I82),ISNUMBER(J82)),I82*J82,"")</f>
        <v/>
      </c>
      <c r="L82" s="246" t="str">
        <f>IF(COUNT(F82,I82)=0,"",N(F82)-N(I82))</f>
        <v/>
      </c>
      <c r="M82" s="247" t="str">
        <f>IF(COUNT(H82,K82)=0,"",N(K82)-N(H82))</f>
        <v/>
      </c>
      <c r="N82" s="246" t="str">
        <f>IF(AND(ISNUMBER(F82),ISNUMBER(G82),F82&gt;0,1-N(Ввод!$J$19)/100&gt;0),G82/(1-N(Ввод!$J$19)/100),IF(AND(ISNUMBER(I82),ISNUMBER(J82),I82&gt;0),J82/(1+N(Ввод!$J$19)/100),""))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71" t="str">
        <f>IF(AND(ISNUMBER(F83),ISNUMBER(G83)),F83*G83,"")</f>
        <v/>
      </c>
      <c r="I83" s="240" t="n"/>
      <c r="J83" s="177" t="n"/>
      <c r="K83" s="271" t="str">
        <f>IF(AND(ISNUMBER(I83),ISNUMBER(J83)),I83*J83,"")</f>
        <v/>
      </c>
      <c r="L83" s="240" t="str">
        <f>IF(COUNT(F83,I83)=0,"",N(F83)-N(I83))</f>
        <v/>
      </c>
      <c r="M83" s="241" t="str">
        <f>IF(COUNT(H83,K83)=0,"",N(K83)-N(H83))</f>
        <v/>
      </c>
      <c r="N83" s="240" t="str">
        <f>IF(AND(ISNUMBER(F83),ISNUMBER(G83),F83&gt;0,1-N(Ввод!$J$19)/100&gt;0),G83/(1-N(Ввод!$J$19)/100),IF(AND(ISNUMBER(I83),ISNUMBER(J83),I83&gt;0),J83/(1+N(Ввод!$J$19)/100),""))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71" t="str">
        <f>IF(AND(ISNUMBER(F84),ISNUMBER(G84)),F84*G84,"")</f>
        <v/>
      </c>
      <c r="I84" s="246" t="n"/>
      <c r="J84" s="183" t="n"/>
      <c r="K84" s="271" t="str">
        <f>IF(AND(ISNUMBER(I84),ISNUMBER(J84)),I84*J84,"")</f>
        <v/>
      </c>
      <c r="L84" s="246" t="str">
        <f>IF(COUNT(F84,I84)=0,"",N(F84)-N(I84))</f>
        <v/>
      </c>
      <c r="M84" s="247" t="str">
        <f>IF(COUNT(H84,K84)=0,"",N(K84)-N(H84))</f>
        <v/>
      </c>
      <c r="N84" s="246" t="str">
        <f>IF(AND(ISNUMBER(F84),ISNUMBER(G84),F84&gt;0,1-N(Ввод!$J$19)/100&gt;0),G84/(1-N(Ввод!$J$19)/100),IF(AND(ISNUMBER(I84),ISNUMBER(J84),I84&gt;0),J84/(1+N(Ввод!$J$19)/100),""))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71" t="str">
        <f>IF(AND(ISNUMBER(F85),ISNUMBER(G85)),F85*G85,"")</f>
        <v/>
      </c>
      <c r="I85" s="240" t="n"/>
      <c r="J85" s="177" t="n"/>
      <c r="K85" s="271" t="str">
        <f>IF(AND(ISNUMBER(I85),ISNUMBER(J85)),I85*J85,"")</f>
        <v/>
      </c>
      <c r="L85" s="240" t="str">
        <f>IF(COUNT(F85,I85)=0,"",N(F85)-N(I85))</f>
        <v/>
      </c>
      <c r="M85" s="241" t="str">
        <f>IF(COUNT(H85,K85)=0,"",N(K85)-N(H85))</f>
        <v/>
      </c>
      <c r="N85" s="240" t="str">
        <f>IF(AND(ISNUMBER(F85),ISNUMBER(G85),F85&gt;0,1-N(Ввод!$J$19)/100&gt;0),G85/(1-N(Ввод!$J$19)/100),IF(AND(ISNUMBER(I85),ISNUMBER(J85),I85&gt;0),J85/(1+N(Ввод!$J$19)/100),""))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71" t="str">
        <f>IF(AND(ISNUMBER(F86),ISNUMBER(G86)),F86*G86,"")</f>
        <v/>
      </c>
      <c r="I86" s="246" t="n"/>
      <c r="J86" s="183" t="n"/>
      <c r="K86" s="271" t="str">
        <f>IF(AND(ISNUMBER(I86),ISNUMBER(J86)),I86*J86,"")</f>
        <v/>
      </c>
      <c r="L86" s="246" t="str">
        <f>IF(COUNT(F86,I86)=0,"",N(F86)-N(I86))</f>
        <v/>
      </c>
      <c r="M86" s="247" t="str">
        <f>IF(COUNT(H86,K86)=0,"",N(K86)-N(H86))</f>
        <v/>
      </c>
      <c r="N86" s="246" t="str">
        <f>IF(AND(ISNUMBER(F86),ISNUMBER(G86),F86&gt;0,1-N(Ввод!$J$19)/100&gt;0),G86/(1-N(Ввод!$J$19)/100),IF(AND(ISNUMBER(I86),ISNUMBER(J86),I86&gt;0),J86/(1+N(Ввод!$J$19)/100),""))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71" t="str">
        <f>IF(AND(ISNUMBER(F87),ISNUMBER(G87)),F87*G87,"")</f>
        <v/>
      </c>
      <c r="I87" s="240" t="n"/>
      <c r="J87" s="177" t="n"/>
      <c r="K87" s="271" t="str">
        <f>IF(AND(ISNUMBER(I87),ISNUMBER(J87)),I87*J87,"")</f>
        <v/>
      </c>
      <c r="L87" s="240" t="str">
        <f>IF(COUNT(F87,I87)=0,"",N(F87)-N(I87))</f>
        <v/>
      </c>
      <c r="M87" s="241" t="str">
        <f>IF(COUNT(H87,K87)=0,"",N(K87)-N(H87))</f>
        <v/>
      </c>
      <c r="N87" s="240" t="str">
        <f>IF(AND(ISNUMBER(F87),ISNUMBER(G87),F87&gt;0,1-N(Ввод!$J$19)/100&gt;0),G87/(1-N(Ввод!$J$19)/100),IF(AND(ISNUMBER(I87),ISNUMBER(J87),I87&gt;0),J87/(1+N(Ввод!$J$19)/100),""))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71" t="str">
        <f>IF(AND(ISNUMBER(F88),ISNUMBER(G88)),F88*G88,"")</f>
        <v/>
      </c>
      <c r="I88" s="246" t="n"/>
      <c r="J88" s="183" t="n"/>
      <c r="K88" s="271" t="str">
        <f>IF(AND(ISNUMBER(I88),ISNUMBER(J88)),I88*J88,"")</f>
        <v/>
      </c>
      <c r="L88" s="246" t="str">
        <f>IF(COUNT(F88,I88)=0,"",N(F88)-N(I88))</f>
        <v/>
      </c>
      <c r="M88" s="247" t="str">
        <f>IF(COUNT(H88,K88)=0,"",N(K88)-N(H88))</f>
        <v/>
      </c>
      <c r="N88" s="246" t="str">
        <f>IF(AND(ISNUMBER(F88),ISNUMBER(G88),F88&gt;0,1-N(Ввод!$J$19)/100&gt;0),G88/(1-N(Ввод!$J$19)/100),IF(AND(ISNUMBER(I88),ISNUMBER(J88),I88&gt;0),J88/(1+N(Ввод!$J$19)/100),""))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71" t="str">
        <f>IF(AND(ISNUMBER(F89),ISNUMBER(G89)),F89*G89,"")</f>
        <v/>
      </c>
      <c r="I89" s="240" t="n"/>
      <c r="J89" s="177" t="n"/>
      <c r="K89" s="271" t="str">
        <f>IF(AND(ISNUMBER(I89),ISNUMBER(J89)),I89*J89,"")</f>
        <v/>
      </c>
      <c r="L89" s="240" t="str">
        <f>IF(COUNT(F89,I89)=0,"",N(F89)-N(I89))</f>
        <v/>
      </c>
      <c r="M89" s="241" t="str">
        <f>IF(COUNT(H89,K89)=0,"",N(K89)-N(H89))</f>
        <v/>
      </c>
      <c r="N89" s="240" t="str">
        <f>IF(AND(ISNUMBER(F89),ISNUMBER(G89),F89&gt;0,1-N(Ввод!$J$19)/100&gt;0),G89/(1-N(Ввод!$J$19)/100),IF(AND(ISNUMBER(I89),ISNUMBER(J89),I89&gt;0),J89/(1+N(Ввод!$J$19)/100),""))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71" t="str">
        <f>IF(AND(ISNUMBER(F90),ISNUMBER(G90)),F90*G90,"")</f>
        <v/>
      </c>
      <c r="I90" s="246" t="n"/>
      <c r="J90" s="183" t="n"/>
      <c r="K90" s="271" t="str">
        <f>IF(AND(ISNUMBER(I90),ISNUMBER(J90)),I90*J90,"")</f>
        <v/>
      </c>
      <c r="L90" s="246" t="str">
        <f>IF(COUNT(F90,I90)=0,"",N(F90)-N(I90))</f>
        <v/>
      </c>
      <c r="M90" s="247" t="str">
        <f>IF(COUNT(H90,K90)=0,"",N(K90)-N(H90))</f>
        <v/>
      </c>
      <c r="N90" s="246" t="str">
        <f>IF(AND(ISNUMBER(F90),ISNUMBER(G90),F90&gt;0,1-N(Ввод!$J$19)/100&gt;0),G90/(1-N(Ввод!$J$19)/100),IF(AND(ISNUMBER(I90),ISNUMBER(J90),I90&gt;0),J90/(1+N(Ввод!$J$19)/100),""))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71" t="str">
        <f>IF(AND(ISNUMBER(F91),ISNUMBER(G91)),F91*G91,"")</f>
        <v/>
      </c>
      <c r="I91" s="240" t="n"/>
      <c r="J91" s="177" t="n"/>
      <c r="K91" s="271" t="str">
        <f>IF(AND(ISNUMBER(I91),ISNUMBER(J91)),I91*J91,"")</f>
        <v/>
      </c>
      <c r="L91" s="240" t="str">
        <f>IF(COUNT(F91,I91)=0,"",N(F91)-N(I91))</f>
        <v/>
      </c>
      <c r="M91" s="241" t="str">
        <f>IF(COUNT(H91,K91)=0,"",N(K91)-N(H91))</f>
        <v/>
      </c>
      <c r="N91" s="240" t="str">
        <f>IF(AND(ISNUMBER(F91),ISNUMBER(G91),F91&gt;0,1-N(Ввод!$J$19)/100&gt;0),G91/(1-N(Ввод!$J$19)/100),IF(AND(ISNUMBER(I91),ISNUMBER(J91),I91&gt;0),J91/(1+N(Ввод!$J$19)/100),""))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71" t="str">
        <f>IF(AND(ISNUMBER(F92),ISNUMBER(G92)),F92*G92,"")</f>
        <v/>
      </c>
      <c r="I92" s="246" t="n"/>
      <c r="J92" s="183" t="n"/>
      <c r="K92" s="271" t="str">
        <f>IF(AND(ISNUMBER(I92),ISNUMBER(J92)),I92*J92,"")</f>
        <v/>
      </c>
      <c r="L92" s="246" t="str">
        <f>IF(COUNT(F92,I92)=0,"",N(F92)-N(I92))</f>
        <v/>
      </c>
      <c r="M92" s="247" t="str">
        <f>IF(COUNT(H92,K92)=0,"",N(K92)-N(H92))</f>
        <v/>
      </c>
      <c r="N92" s="246" t="str">
        <f>IF(AND(ISNUMBER(F92),ISNUMBER(G92),F92&gt;0,1-N(Ввод!$J$19)/100&gt;0),G92/(1-N(Ввод!$J$19)/100),IF(AND(ISNUMBER(I92),ISNUMBER(J92),I92&gt;0),J92/(1+N(Ввод!$J$19)/100),""))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71" t="str">
        <f>IF(AND(ISNUMBER(F93),ISNUMBER(G93)),F93*G93,"")</f>
        <v/>
      </c>
      <c r="I93" s="240" t="n"/>
      <c r="J93" s="177" t="n"/>
      <c r="K93" s="271" t="str">
        <f>IF(AND(ISNUMBER(I93),ISNUMBER(J93)),I93*J93,"")</f>
        <v/>
      </c>
      <c r="L93" s="240" t="str">
        <f>IF(COUNT(F93,I93)=0,"",N(F93)-N(I93))</f>
        <v/>
      </c>
      <c r="M93" s="241" t="str">
        <f>IF(COUNT(H93,K93)=0,"",N(K93)-N(H93))</f>
        <v/>
      </c>
      <c r="N93" s="240" t="str">
        <f>IF(AND(ISNUMBER(F93),ISNUMBER(G93),F93&gt;0,1-N(Ввод!$J$19)/100&gt;0),G93/(1-N(Ввод!$J$19)/100),IF(AND(ISNUMBER(I93),ISNUMBER(J93),I93&gt;0),J93/(1+N(Ввод!$J$19)/100),""))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71" t="str">
        <f>IF(AND(ISNUMBER(F94),ISNUMBER(G94)),F94*G94,"")</f>
        <v/>
      </c>
      <c r="I94" s="246" t="n"/>
      <c r="J94" s="183" t="n"/>
      <c r="K94" s="271" t="str">
        <f>IF(AND(ISNUMBER(I94),ISNUMBER(J94)),I94*J94,"")</f>
        <v/>
      </c>
      <c r="L94" s="246" t="str">
        <f>IF(COUNT(F94,I94)=0,"",N(F94)-N(I94))</f>
        <v/>
      </c>
      <c r="M94" s="247" t="str">
        <f>IF(COUNT(H94,K94)=0,"",N(K94)-N(H94))</f>
        <v/>
      </c>
      <c r="N94" s="246" t="str">
        <f>IF(AND(ISNUMBER(F94),ISNUMBER(G94),F94&gt;0,1-N(Ввод!$J$19)/100&gt;0),G94/(1-N(Ввод!$J$19)/100),IF(AND(ISNUMBER(I94),ISNUMBER(J94),I94&gt;0),J94/(1+N(Ввод!$J$19)/100),""))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71" t="str">
        <f>IF(AND(ISNUMBER(F95),ISNUMBER(G95)),F95*G95,"")</f>
        <v/>
      </c>
      <c r="I95" s="240" t="n"/>
      <c r="J95" s="177" t="n"/>
      <c r="K95" s="271" t="str">
        <f>IF(AND(ISNUMBER(I95),ISNUMBER(J95)),I95*J95,"")</f>
        <v/>
      </c>
      <c r="L95" s="240" t="str">
        <f>IF(COUNT(F95,I95)=0,"",N(F95)-N(I95))</f>
        <v/>
      </c>
      <c r="M95" s="241" t="str">
        <f>IF(COUNT(H95,K95)=0,"",N(K95)-N(H95))</f>
        <v/>
      </c>
      <c r="N95" s="240" t="str">
        <f>IF(AND(ISNUMBER(F95),ISNUMBER(G95),F95&gt;0,1-N(Ввод!$J$19)/100&gt;0),G95/(1-N(Ввод!$J$19)/100),IF(AND(ISNUMBER(I95),ISNUMBER(J95),I95&gt;0),J95/(1+N(Ввод!$J$19)/100),""))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71" t="str">
        <f>IF(AND(ISNUMBER(F96),ISNUMBER(G96)),F96*G96,"")</f>
        <v/>
      </c>
      <c r="I96" s="246" t="n"/>
      <c r="J96" s="183" t="n"/>
      <c r="K96" s="271" t="str">
        <f>IF(AND(ISNUMBER(I96),ISNUMBER(J96)),I96*J96,"")</f>
        <v/>
      </c>
      <c r="L96" s="246" t="str">
        <f>IF(COUNT(F96,I96)=0,"",N(F96)-N(I96))</f>
        <v/>
      </c>
      <c r="M96" s="247" t="str">
        <f>IF(COUNT(H96,K96)=0,"",N(K96)-N(H96))</f>
        <v/>
      </c>
      <c r="N96" s="246" t="str">
        <f>IF(AND(ISNUMBER(F96),ISNUMBER(G96),F96&gt;0,1-N(Ввод!$J$19)/100&gt;0),G96/(1-N(Ввод!$J$19)/100),IF(AND(ISNUMBER(I96),ISNUMBER(J96),I96&gt;0),J96/(1+N(Ввод!$J$19)/100),""))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71" t="str">
        <f>IF(AND(ISNUMBER(F97),ISNUMBER(G97)),F97*G97,"")</f>
        <v/>
      </c>
      <c r="I97" s="240" t="n"/>
      <c r="J97" s="177" t="n"/>
      <c r="K97" s="271" t="str">
        <f>IF(AND(ISNUMBER(I97),ISNUMBER(J97)),I97*J97,"")</f>
        <v/>
      </c>
      <c r="L97" s="240" t="str">
        <f>IF(COUNT(F97,I97)=0,"",N(F97)-N(I97))</f>
        <v/>
      </c>
      <c r="M97" s="241" t="str">
        <f>IF(COUNT(H97,K97)=0,"",N(K97)-N(H97))</f>
        <v/>
      </c>
      <c r="N97" s="240" t="str">
        <f>IF(AND(ISNUMBER(F97),ISNUMBER(G97),F97&gt;0,1-N(Ввод!$J$19)/100&gt;0),G97/(1-N(Ввод!$J$19)/100),IF(AND(ISNUMBER(I97),ISNUMBER(J97),I97&gt;0),J97/(1+N(Ввод!$J$19)/100),""))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71" t="str">
        <f>IF(AND(ISNUMBER(F98),ISNUMBER(G98)),F98*G98,"")</f>
        <v/>
      </c>
      <c r="I98" s="246" t="n"/>
      <c r="J98" s="183" t="n"/>
      <c r="K98" s="271" t="str">
        <f>IF(AND(ISNUMBER(I98),ISNUMBER(J98)),I98*J98,"")</f>
        <v/>
      </c>
      <c r="L98" s="246" t="str">
        <f>IF(COUNT(F98,I98)=0,"",N(F98)-N(I98))</f>
        <v/>
      </c>
      <c r="M98" s="247" t="str">
        <f>IF(COUNT(H98,K98)=0,"",N(K98)-N(H98))</f>
        <v/>
      </c>
      <c r="N98" s="246" t="str">
        <f>IF(AND(ISNUMBER(F98),ISNUMBER(G98),F98&gt;0,1-N(Ввод!$J$19)/100&gt;0),G98/(1-N(Ввод!$J$19)/100),IF(AND(ISNUMBER(I98),ISNUMBER(J98),I98&gt;0),J98/(1+N(Ввод!$J$19)/100),""))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71" t="str">
        <f>IF(AND(ISNUMBER(F99),ISNUMBER(G99)),F99*G99,"")</f>
        <v/>
      </c>
      <c r="I99" s="240" t="n"/>
      <c r="J99" s="177" t="n"/>
      <c r="K99" s="271" t="str">
        <f>IF(AND(ISNUMBER(I99),ISNUMBER(J99)),I99*J99,"")</f>
        <v/>
      </c>
      <c r="L99" s="240" t="str">
        <f>IF(COUNT(F99,I99)=0,"",N(F99)-N(I99))</f>
        <v/>
      </c>
      <c r="M99" s="241" t="str">
        <f>IF(COUNT(H99,K99)=0,"",N(K99)-N(H99))</f>
        <v/>
      </c>
      <c r="N99" s="240" t="str">
        <f>IF(AND(ISNUMBER(F99),ISNUMBER(G99),F99&gt;0,1-N(Ввод!$J$19)/100&gt;0),G99/(1-N(Ввод!$J$19)/100),IF(AND(ISNUMBER(I99),ISNUMBER(J99),I99&gt;0),J99/(1+N(Ввод!$J$19)/100),""))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71" t="str">
        <f>IF(AND(ISNUMBER(F100),ISNUMBER(G100)),F100*G100,"")</f>
        <v/>
      </c>
      <c r="I100" s="246" t="n"/>
      <c r="J100" s="183" t="n"/>
      <c r="K100" s="271" t="str">
        <f>IF(AND(ISNUMBER(I100),ISNUMBER(J100)),I100*J100,"")</f>
        <v/>
      </c>
      <c r="L100" s="246" t="str">
        <f>IF(COUNT(F100,I100)=0,"",N(F100)-N(I100))</f>
        <v/>
      </c>
      <c r="M100" s="247" t="str">
        <f>IF(COUNT(H100,K100)=0,"",N(K100)-N(H100))</f>
        <v/>
      </c>
      <c r="N100" s="246" t="str">
        <f>IF(AND(ISNUMBER(F100),ISNUMBER(G100),F100&gt;0,1-N(Ввод!$J$19)/100&gt;0),G100/(1-N(Ввод!$J$19)/100),IF(AND(ISNUMBER(I100),ISNUMBER(J100),I100&gt;0),J100/(1+N(Ввод!$J$19)/100),""))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71" t="str">
        <f>IF(AND(ISNUMBER(F101),ISNUMBER(G101)),F101*G101,"")</f>
        <v/>
      </c>
      <c r="I101" s="240" t="n"/>
      <c r="J101" s="177" t="n"/>
      <c r="K101" s="271" t="str">
        <f>IF(AND(ISNUMBER(I101),ISNUMBER(J101)),I101*J101,"")</f>
        <v/>
      </c>
      <c r="L101" s="240" t="str">
        <f>IF(COUNT(F101,I101)=0,"",N(F101)-N(I101))</f>
        <v/>
      </c>
      <c r="M101" s="241" t="str">
        <f>IF(COUNT(H101,K101)=0,"",N(K101)-N(H101))</f>
        <v/>
      </c>
      <c r="N101" s="240" t="str">
        <f>IF(AND(ISNUMBER(F101),ISNUMBER(G101),F101&gt;0,1-N(Ввод!$J$19)/100&gt;0),G101/(1-N(Ввод!$J$19)/100),IF(AND(ISNUMBER(I101),ISNUMBER(J101),I101&gt;0),J101/(1+N(Ввод!$J$19)/100),""))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71" t="str">
        <f>IF(AND(ISNUMBER(F102),ISNUMBER(G102)),F102*G102,"")</f>
        <v/>
      </c>
      <c r="I102" s="246" t="n"/>
      <c r="J102" s="183" t="n"/>
      <c r="K102" s="271" t="str">
        <f>IF(AND(ISNUMBER(I102),ISNUMBER(J102)),I102*J102,"")</f>
        <v/>
      </c>
      <c r="L102" s="246" t="str">
        <f>IF(COUNT(F102,I102)=0,"",N(F102)-N(I102))</f>
        <v/>
      </c>
      <c r="M102" s="247" t="str">
        <f>IF(COUNT(H102,K102)=0,"",N(K102)-N(H102))</f>
        <v/>
      </c>
      <c r="N102" s="246" t="str">
        <f>IF(AND(ISNUMBER(F102),ISNUMBER(G102),F102&gt;0,1-N(Ввод!$J$19)/100&gt;0),G102/(1-N(Ввод!$J$19)/100),IF(AND(ISNUMBER(I102),ISNUMBER(J102),I102&gt;0),J102/(1+N(Ввод!$J$19)/100),""))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71" t="str">
        <f>IF(AND(ISNUMBER(F103),ISNUMBER(G103)),F103*G103,"")</f>
        <v/>
      </c>
      <c r="I103" s="240" t="n"/>
      <c r="J103" s="177" t="n"/>
      <c r="K103" s="271" t="str">
        <f>IF(AND(ISNUMBER(I103),ISNUMBER(J103)),I103*J103,"")</f>
        <v/>
      </c>
      <c r="L103" s="240" t="str">
        <f>IF(COUNT(F103,I103)=0,"",N(F103)-N(I103))</f>
        <v/>
      </c>
      <c r="M103" s="241" t="str">
        <f>IF(COUNT(H103,K103)=0,"",N(K103)-N(H103))</f>
        <v/>
      </c>
      <c r="N103" s="240" t="str">
        <f>IF(AND(ISNUMBER(F103),ISNUMBER(G103),F103&gt;0,1-N(Ввод!$J$19)/100&gt;0),G103/(1-N(Ввод!$J$19)/100),IF(AND(ISNUMBER(I103),ISNUMBER(J103),I103&gt;0),J103/(1+N(Ввод!$J$19)/100),""))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71" t="str">
        <f>IF(AND(ISNUMBER(F104),ISNUMBER(G104)),F104*G104,"")</f>
        <v/>
      </c>
      <c r="I104" s="246" t="n"/>
      <c r="J104" s="183" t="n"/>
      <c r="K104" s="271" t="str">
        <f>IF(AND(ISNUMBER(I104),ISNUMBER(J104)),I104*J104,"")</f>
        <v/>
      </c>
      <c r="L104" s="246" t="str">
        <f>IF(COUNT(F104,I104)=0,"",N(F104)-N(I104))</f>
        <v/>
      </c>
      <c r="M104" s="247" t="str">
        <f>IF(COUNT(H104,K104)=0,"",N(K104)-N(H104))</f>
        <v/>
      </c>
      <c r="N104" s="246" t="str">
        <f>IF(AND(ISNUMBER(F104),ISNUMBER(G104),F104&gt;0,1-N(Ввод!$J$19)/100&gt;0),G104/(1-N(Ввод!$J$19)/100),IF(AND(ISNUMBER(I104),ISNUMBER(J104),I104&gt;0),J104/(1+N(Ввод!$J$19)/100),""))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71" t="str">
        <f>IF(AND(ISNUMBER(F105),ISNUMBER(G105)),F105*G105,"")</f>
        <v/>
      </c>
      <c r="I105" s="240" t="n"/>
      <c r="J105" s="177" t="n"/>
      <c r="K105" s="271" t="str">
        <f>IF(AND(ISNUMBER(I105),ISNUMBER(J105)),I105*J105,"")</f>
        <v/>
      </c>
      <c r="L105" s="240" t="str">
        <f>IF(COUNT(F105,I105)=0,"",N(F105)-N(I105))</f>
        <v/>
      </c>
      <c r="M105" s="241" t="str">
        <f>IF(COUNT(H105,K105)=0,"",N(K105)-N(H105))</f>
        <v/>
      </c>
      <c r="N105" s="240" t="str">
        <f>IF(AND(ISNUMBER(F105),ISNUMBER(G105),F105&gt;0,1-N(Ввод!$J$19)/100&gt;0),G105/(1-N(Ввод!$J$19)/100),IF(AND(ISNUMBER(I105),ISNUMBER(J105),I105&gt;0),J105/(1+N(Ввод!$J$19)/100),""))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71" t="str">
        <f>IF(AND(ISNUMBER(F106),ISNUMBER(G106)),F106*G106,"")</f>
        <v/>
      </c>
      <c r="I106" s="246" t="n"/>
      <c r="J106" s="183" t="n"/>
      <c r="K106" s="271" t="str">
        <f>IF(AND(ISNUMBER(I106),ISNUMBER(J106)),I106*J106,"")</f>
        <v/>
      </c>
      <c r="L106" s="246" t="str">
        <f>IF(COUNT(F106,I106)=0,"",N(F106)-N(I106))</f>
        <v/>
      </c>
      <c r="M106" s="247" t="str">
        <f>IF(COUNT(H106,K106)=0,"",N(K106)-N(H106))</f>
        <v/>
      </c>
      <c r="N106" s="246" t="str">
        <f>IF(AND(ISNUMBER(F106),ISNUMBER(G106),F106&gt;0,1-N(Ввод!$J$19)/100&gt;0),G106/(1-N(Ввод!$J$19)/100),IF(AND(ISNUMBER(I106),ISNUMBER(J106),I106&gt;0),J106/(1+N(Ввод!$J$19)/100),""))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71" t="str">
        <f>IF(AND(ISNUMBER(F107),ISNUMBER(G107)),F107*G107,"")</f>
        <v/>
      </c>
      <c r="I107" s="240" t="n"/>
      <c r="J107" s="177" t="n"/>
      <c r="K107" s="271" t="str">
        <f>IF(AND(ISNUMBER(I107),ISNUMBER(J107)),I107*J107,"")</f>
        <v/>
      </c>
      <c r="L107" s="240" t="str">
        <f>IF(COUNT(F107,I107)=0,"",N(F107)-N(I107))</f>
        <v/>
      </c>
      <c r="M107" s="241" t="str">
        <f>IF(COUNT(H107,K107)=0,"",N(K107)-N(H107))</f>
        <v/>
      </c>
      <c r="N107" s="240" t="str">
        <f>IF(AND(ISNUMBER(F107),ISNUMBER(G107),F107&gt;0,1-N(Ввод!$J$19)/100&gt;0),G107/(1-N(Ввод!$J$19)/100),IF(AND(ISNUMBER(I107),ISNUMBER(J107),I107&gt;0),J107/(1+N(Ввод!$J$19)/100),""))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71" t="str">
        <f>IF(AND(ISNUMBER(F108),ISNUMBER(G108)),F108*G108,"")</f>
        <v/>
      </c>
      <c r="I108" s="246" t="n"/>
      <c r="J108" s="183" t="n"/>
      <c r="K108" s="271" t="str">
        <f>IF(AND(ISNUMBER(I108),ISNUMBER(J108)),I108*J108,"")</f>
        <v/>
      </c>
      <c r="L108" s="246" t="str">
        <f>IF(COUNT(F108,I108)=0,"",N(F108)-N(I108))</f>
        <v/>
      </c>
      <c r="M108" s="247" t="str">
        <f>IF(COUNT(H108,K108)=0,"",N(K108)-N(H108))</f>
        <v/>
      </c>
      <c r="N108" s="246" t="str">
        <f>IF(AND(ISNUMBER(F108),ISNUMBER(G108),F108&gt;0,1-N(Ввод!$J$19)/100&gt;0),G108/(1-N(Ввод!$J$19)/100),IF(AND(ISNUMBER(I108),ISNUMBER(J108),I108&gt;0),J108/(1+N(Ввод!$J$19)/100),""))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71" t="str">
        <f>IF(AND(ISNUMBER(F109),ISNUMBER(G109)),F109*G109,"")</f>
        <v/>
      </c>
      <c r="I109" s="240" t="n"/>
      <c r="J109" s="177" t="n"/>
      <c r="K109" s="271" t="str">
        <f>IF(AND(ISNUMBER(I109),ISNUMBER(J109)),I109*J109,"")</f>
        <v/>
      </c>
      <c r="L109" s="240" t="str">
        <f>IF(COUNT(F109,I109)=0,"",N(F109)-N(I109))</f>
        <v/>
      </c>
      <c r="M109" s="241" t="str">
        <f>IF(COUNT(H109,K109)=0,"",N(K109)-N(H109))</f>
        <v/>
      </c>
      <c r="N109" s="240" t="str">
        <f>IF(AND(ISNUMBER(F109),ISNUMBER(G109),F109&gt;0,1-N(Ввод!$J$19)/100&gt;0),G109/(1-N(Ввод!$J$19)/100),IF(AND(ISNUMBER(I109),ISNUMBER(J109),I109&gt;0),J109/(1+N(Ввод!$J$19)/100),""))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71" t="str">
        <f>IF(AND(ISNUMBER(F110),ISNUMBER(G110)),F110*G110,"")</f>
        <v/>
      </c>
      <c r="I110" s="246" t="n"/>
      <c r="J110" s="183" t="n"/>
      <c r="K110" s="271" t="str">
        <f>IF(AND(ISNUMBER(I110),ISNUMBER(J110)),I110*J110,"")</f>
        <v/>
      </c>
      <c r="L110" s="246" t="str">
        <f>IF(COUNT(F110,I110)=0,"",N(F110)-N(I110))</f>
        <v/>
      </c>
      <c r="M110" s="247" t="str">
        <f>IF(COUNT(H110,K110)=0,"",N(K110)-N(H110))</f>
        <v/>
      </c>
      <c r="N110" s="246" t="str">
        <f>IF(AND(ISNUMBER(F110),ISNUMBER(G110),F110&gt;0,1-N(Ввод!$J$19)/100&gt;0),G110/(1-N(Ввод!$J$19)/100),IF(AND(ISNUMBER(I110),ISNUMBER(J110),I110&gt;0),J110/(1+N(Ввод!$J$19)/100),""))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71" t="str">
        <f>IF(AND(ISNUMBER(F111),ISNUMBER(G111)),F111*G111,"")</f>
        <v/>
      </c>
      <c r="I111" s="240" t="n"/>
      <c r="J111" s="177" t="n"/>
      <c r="K111" s="271" t="str">
        <f>IF(AND(ISNUMBER(I111),ISNUMBER(J111)),I111*J111,"")</f>
        <v/>
      </c>
      <c r="L111" s="240" t="str">
        <f>IF(COUNT(F111,I111)=0,"",N(F111)-N(I111))</f>
        <v/>
      </c>
      <c r="M111" s="241" t="str">
        <f>IF(COUNT(H111,K111)=0,"",N(K111)-N(H111))</f>
        <v/>
      </c>
      <c r="N111" s="240" t="str">
        <f>IF(AND(ISNUMBER(F111),ISNUMBER(G111),F111&gt;0,1-N(Ввод!$J$19)/100&gt;0),G111/(1-N(Ввод!$J$19)/100),IF(AND(ISNUMBER(I111),ISNUMBER(J111),I111&gt;0),J111/(1+N(Ввод!$J$19)/100),""))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71" t="str">
        <f>IF(AND(ISNUMBER(F112),ISNUMBER(G112)),F112*G112,"")</f>
        <v/>
      </c>
      <c r="I112" s="246" t="n"/>
      <c r="J112" s="183" t="n"/>
      <c r="K112" s="271" t="str">
        <f>IF(AND(ISNUMBER(I112),ISNUMBER(J112)),I112*J112,"")</f>
        <v/>
      </c>
      <c r="L112" s="246" t="str">
        <f>IF(COUNT(F112,I112)=0,"",N(F112)-N(I112))</f>
        <v/>
      </c>
      <c r="M112" s="247" t="str">
        <f>IF(COUNT(H112,K112)=0,"",N(K112)-N(H112))</f>
        <v/>
      </c>
      <c r="N112" s="246" t="str">
        <f>IF(AND(ISNUMBER(F112),ISNUMBER(G112),F112&gt;0,1-N(Ввод!$J$19)/100&gt;0),G112/(1-N(Ввод!$J$19)/100),IF(AND(ISNUMBER(I112),ISNUMBER(J112),I112&gt;0),J112/(1+N(Ввод!$J$19)/100),""))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71" t="str">
        <f>IF(AND(ISNUMBER(F113),ISNUMBER(G113)),F113*G113,"")</f>
        <v/>
      </c>
      <c r="I113" s="240" t="n"/>
      <c r="J113" s="177" t="n"/>
      <c r="K113" s="271" t="str">
        <f>IF(AND(ISNUMBER(I113),ISNUMBER(J113)),I113*J113,"")</f>
        <v/>
      </c>
      <c r="L113" s="240" t="str">
        <f>IF(COUNT(F113,I113)=0,"",N(F113)-N(I113))</f>
        <v/>
      </c>
      <c r="M113" s="241" t="str">
        <f>IF(COUNT(H113,K113)=0,"",N(K113)-N(H113))</f>
        <v/>
      </c>
      <c r="N113" s="240" t="str">
        <f>IF(AND(ISNUMBER(F113),ISNUMBER(G113),F113&gt;0,1-N(Ввод!$J$19)/100&gt;0),G113/(1-N(Ввод!$J$19)/100),IF(AND(ISNUMBER(I113),ISNUMBER(J113),I113&gt;0),J113/(1+N(Ввод!$J$19)/100),""))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71" t="str">
        <f>IF(AND(ISNUMBER(F114),ISNUMBER(G114)),F114*G114,"")</f>
        <v/>
      </c>
      <c r="I114" s="246" t="n"/>
      <c r="J114" s="183" t="n"/>
      <c r="K114" s="271" t="str">
        <f>IF(AND(ISNUMBER(I114),ISNUMBER(J114)),I114*J114,"")</f>
        <v/>
      </c>
      <c r="L114" s="246" t="str">
        <f>IF(COUNT(F114,I114)=0,"",N(F114)-N(I114))</f>
        <v/>
      </c>
      <c r="M114" s="247" t="str">
        <f>IF(COUNT(H114,K114)=0,"",N(K114)-N(H114))</f>
        <v/>
      </c>
      <c r="N114" s="246" t="str">
        <f>IF(AND(ISNUMBER(F114),ISNUMBER(G114),F114&gt;0,1-N(Ввод!$J$19)/100&gt;0),G114/(1-N(Ввод!$J$19)/100),IF(AND(ISNUMBER(I114),ISNUMBER(J114),I114&gt;0),J114/(1+N(Ввод!$J$19)/100),""))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71" t="str">
        <f>IF(AND(ISNUMBER(F115),ISNUMBER(G115)),F115*G115,"")</f>
        <v/>
      </c>
      <c r="I115" s="240" t="n"/>
      <c r="J115" s="177" t="n"/>
      <c r="K115" s="271" t="str">
        <f>IF(AND(ISNUMBER(I115),ISNUMBER(J115)),I115*J115,"")</f>
        <v/>
      </c>
      <c r="L115" s="240" t="str">
        <f>IF(COUNT(F115,I115)=0,"",N(F115)-N(I115))</f>
        <v/>
      </c>
      <c r="M115" s="241" t="str">
        <f>IF(COUNT(H115,K115)=0,"",N(K115)-N(H115))</f>
        <v/>
      </c>
      <c r="N115" s="240" t="str">
        <f>IF(AND(ISNUMBER(F115),ISNUMBER(G115),F115&gt;0,1-N(Ввод!$J$19)/100&gt;0),G115/(1-N(Ввод!$J$19)/100),IF(AND(ISNUMBER(I115),ISNUMBER(J115),I115&gt;0),J115/(1+N(Ввод!$J$19)/100),""))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71" t="str">
        <f>IF(AND(ISNUMBER(F116),ISNUMBER(G116)),F116*G116,"")</f>
        <v/>
      </c>
      <c r="I116" s="246" t="n"/>
      <c r="J116" s="183" t="n"/>
      <c r="K116" s="271" t="str">
        <f>IF(AND(ISNUMBER(I116),ISNUMBER(J116)),I116*J116,"")</f>
        <v/>
      </c>
      <c r="L116" s="246" t="str">
        <f>IF(COUNT(F116,I116)=0,"",N(F116)-N(I116))</f>
        <v/>
      </c>
      <c r="M116" s="247" t="str">
        <f>IF(COUNT(H116,K116)=0,"",N(K116)-N(H116))</f>
        <v/>
      </c>
      <c r="N116" s="246" t="str">
        <f>IF(AND(ISNUMBER(F116),ISNUMBER(G116),F116&gt;0,1-N(Ввод!$J$19)/100&gt;0),G116/(1-N(Ввод!$J$19)/100),IF(AND(ISNUMBER(I116),ISNUMBER(J116),I116&gt;0),J116/(1+N(Ввод!$J$19)/100),""))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71" t="str">
        <f>IF(AND(ISNUMBER(F117),ISNUMBER(G117)),F117*G117,"")</f>
        <v/>
      </c>
      <c r="I117" s="240" t="n"/>
      <c r="J117" s="177" t="n"/>
      <c r="K117" s="271" t="str">
        <f>IF(AND(ISNUMBER(I117),ISNUMBER(J117)),I117*J117,"")</f>
        <v/>
      </c>
      <c r="L117" s="240" t="str">
        <f>IF(COUNT(F117,I117)=0,"",N(F117)-N(I117))</f>
        <v/>
      </c>
      <c r="M117" s="241" t="str">
        <f>IF(COUNT(H117,K117)=0,"",N(K117)-N(H117))</f>
        <v/>
      </c>
      <c r="N117" s="240" t="str">
        <f>IF(AND(ISNUMBER(F117),ISNUMBER(G117),F117&gt;0,1-N(Ввод!$J$19)/100&gt;0),G117/(1-N(Ввод!$J$19)/100),IF(AND(ISNUMBER(I117),ISNUMBER(J117),I117&gt;0),J117/(1+N(Ввод!$J$19)/100),""))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71" t="str">
        <f>IF(AND(ISNUMBER(F118),ISNUMBER(G118)),F118*G118,"")</f>
        <v/>
      </c>
      <c r="I118" s="246" t="n"/>
      <c r="J118" s="183" t="n"/>
      <c r="K118" s="271" t="str">
        <f>IF(AND(ISNUMBER(I118),ISNUMBER(J118)),I118*J118,"")</f>
        <v/>
      </c>
      <c r="L118" s="246" t="str">
        <f>IF(COUNT(F118,I118)=0,"",N(F118)-N(I118))</f>
        <v/>
      </c>
      <c r="M118" s="247" t="str">
        <f>IF(COUNT(H118,K118)=0,"",N(K118)-N(H118))</f>
        <v/>
      </c>
      <c r="N118" s="246" t="str">
        <f>IF(AND(ISNUMBER(F118),ISNUMBER(G118),F118&gt;0,1-N(Ввод!$J$19)/100&gt;0),G118/(1-N(Ввод!$J$19)/100),IF(AND(ISNUMBER(I118),ISNUMBER(J118),I118&gt;0),J118/(1+N(Ввод!$J$19)/100),""))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71" t="str">
        <f>IF(AND(ISNUMBER(F119),ISNUMBER(G119)),F119*G119,"")</f>
        <v/>
      </c>
      <c r="I119" s="240" t="n"/>
      <c r="J119" s="177" t="n"/>
      <c r="K119" s="271" t="str">
        <f>IF(AND(ISNUMBER(I119),ISNUMBER(J119)),I119*J119,"")</f>
        <v/>
      </c>
      <c r="L119" s="240" t="str">
        <f>IF(COUNT(F119,I119)=0,"",N(F119)-N(I119))</f>
        <v/>
      </c>
      <c r="M119" s="241" t="str">
        <f>IF(COUNT(H119,K119)=0,"",N(K119)-N(H119))</f>
        <v/>
      </c>
      <c r="N119" s="240" t="str">
        <f>IF(AND(ISNUMBER(F119),ISNUMBER(G119),F119&gt;0,1-N(Ввод!$J$19)/100&gt;0),G119/(1-N(Ввод!$J$19)/100),IF(AND(ISNUMBER(I119),ISNUMBER(J119),I119&gt;0),J119/(1+N(Ввод!$J$19)/100),""))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71" t="str">
        <f>IF(AND(ISNUMBER(F120),ISNUMBER(G120)),F120*G120,"")</f>
        <v/>
      </c>
      <c r="I120" s="246" t="n"/>
      <c r="J120" s="183" t="n"/>
      <c r="K120" s="271" t="str">
        <f>IF(AND(ISNUMBER(I120),ISNUMBER(J120)),I120*J120,"")</f>
        <v/>
      </c>
      <c r="L120" s="246" t="str">
        <f>IF(COUNT(F120,I120)=0,"",N(F120)-N(I120))</f>
        <v/>
      </c>
      <c r="M120" s="247" t="str">
        <f>IF(COUNT(H120,K120)=0,"",N(K120)-N(H120))</f>
        <v/>
      </c>
      <c r="N120" s="246" t="str">
        <f>IF(AND(ISNUMBER(F120),ISNUMBER(G120),F120&gt;0,1-N(Ввод!$J$19)/100&gt;0),G120/(1-N(Ввод!$J$19)/100),IF(AND(ISNUMBER(I120),ISNUMBER(J120),I120&gt;0),J120/(1+N(Ввод!$J$19)/100),""))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71" t="str">
        <f>IF(AND(ISNUMBER(F121),ISNUMBER(G121)),F121*G121,"")</f>
        <v/>
      </c>
      <c r="I121" s="240" t="n"/>
      <c r="J121" s="177" t="n"/>
      <c r="K121" s="271" t="str">
        <f>IF(AND(ISNUMBER(I121),ISNUMBER(J121)),I121*J121,"")</f>
        <v/>
      </c>
      <c r="L121" s="240" t="str">
        <f>IF(COUNT(F121,I121)=0,"",N(F121)-N(I121))</f>
        <v/>
      </c>
      <c r="M121" s="241" t="str">
        <f>IF(COUNT(H121,K121)=0,"",N(K121)-N(H121))</f>
        <v/>
      </c>
      <c r="N121" s="240" t="str">
        <f>IF(AND(ISNUMBER(F121),ISNUMBER(G121),F121&gt;0,1-N(Ввод!$J$19)/100&gt;0),G121/(1-N(Ввод!$J$19)/100),IF(AND(ISNUMBER(I121),ISNUMBER(J121),I121&gt;0),J121/(1+N(Ввод!$J$19)/100),""))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71" t="str">
        <f>IF(AND(ISNUMBER(F122),ISNUMBER(G122)),F122*G122,"")</f>
        <v/>
      </c>
      <c r="I122" s="246" t="n"/>
      <c r="J122" s="183" t="n"/>
      <c r="K122" s="271" t="str">
        <f>IF(AND(ISNUMBER(I122),ISNUMBER(J122)),I122*J122,"")</f>
        <v/>
      </c>
      <c r="L122" s="246" t="str">
        <f>IF(COUNT(F122,I122)=0,"",N(F122)-N(I122))</f>
        <v/>
      </c>
      <c r="M122" s="247" t="str">
        <f>IF(COUNT(H122,K122)=0,"",N(K122)-N(H122))</f>
        <v/>
      </c>
      <c r="N122" s="246" t="str">
        <f>IF(AND(ISNUMBER(F122),ISNUMBER(G122),F122&gt;0,1-N(Ввод!$J$19)/100&gt;0),G122/(1-N(Ввод!$J$19)/100),IF(AND(ISNUMBER(I122),ISNUMBER(J122),I122&gt;0),J122/(1+N(Ввод!$J$19)/100),""))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71" t="str">
        <f>IF(AND(ISNUMBER(F123),ISNUMBER(G123)),F123*G123,"")</f>
        <v/>
      </c>
      <c r="I123" s="240" t="n"/>
      <c r="J123" s="177" t="n"/>
      <c r="K123" s="271" t="str">
        <f>IF(AND(ISNUMBER(I123),ISNUMBER(J123)),I123*J123,"")</f>
        <v/>
      </c>
      <c r="L123" s="240" t="str">
        <f>IF(COUNT(F123,I123)=0,"",N(F123)-N(I123))</f>
        <v/>
      </c>
      <c r="M123" s="241" t="str">
        <f>IF(COUNT(H123,K123)=0,"",N(K123)-N(H123))</f>
        <v/>
      </c>
      <c r="N123" s="240" t="str">
        <f>IF(AND(ISNUMBER(F123),ISNUMBER(G123),F123&gt;0,1-N(Ввод!$J$19)/100&gt;0),G123/(1-N(Ввод!$J$19)/100),IF(AND(ISNUMBER(I123),ISNUMBER(J123),I123&gt;0),J123/(1+N(Ввод!$J$19)/100),""))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71" t="str">
        <f>IF(AND(ISNUMBER(F124),ISNUMBER(G124)),F124*G124,"")</f>
        <v/>
      </c>
      <c r="I124" s="246" t="n"/>
      <c r="J124" s="183" t="n"/>
      <c r="K124" s="271" t="str">
        <f>IF(AND(ISNUMBER(I124),ISNUMBER(J124)),I124*J124,"")</f>
        <v/>
      </c>
      <c r="L124" s="246" t="str">
        <f>IF(COUNT(F124,I124)=0,"",N(F124)-N(I124))</f>
        <v/>
      </c>
      <c r="M124" s="247" t="str">
        <f>IF(COUNT(H124,K124)=0,"",N(K124)-N(H124))</f>
        <v/>
      </c>
      <c r="N124" s="246" t="str">
        <f>IF(AND(ISNUMBER(F124),ISNUMBER(G124),F124&gt;0,1-N(Ввод!$J$19)/100&gt;0),G124/(1-N(Ввод!$J$19)/100),IF(AND(ISNUMBER(I124),ISNUMBER(J124),I124&gt;0),J124/(1+N(Ввод!$J$19)/100),""))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71" t="str">
        <f>IF(AND(ISNUMBER(F125),ISNUMBER(G125)),F125*G125,"")</f>
        <v/>
      </c>
      <c r="I125" s="240" t="n"/>
      <c r="J125" s="177" t="n"/>
      <c r="K125" s="271" t="str">
        <f>IF(AND(ISNUMBER(I125),ISNUMBER(J125)),I125*J125,"")</f>
        <v/>
      </c>
      <c r="L125" s="240" t="str">
        <f>IF(COUNT(F125,I125)=0,"",N(F125)-N(I125))</f>
        <v/>
      </c>
      <c r="M125" s="241" t="str">
        <f>IF(COUNT(H125,K125)=0,"",N(K125)-N(H125))</f>
        <v/>
      </c>
      <c r="N125" s="240" t="str">
        <f>IF(AND(ISNUMBER(F125),ISNUMBER(G125),F125&gt;0,1-N(Ввод!$J$19)/100&gt;0),G125/(1-N(Ввод!$J$19)/100),IF(AND(ISNUMBER(I125),ISNUMBER(J125),I125&gt;0),J125/(1+N(Ввод!$J$19)/100),""))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71" t="str">
        <f>IF(AND(ISNUMBER(F126),ISNUMBER(G126)),F126*G126,"")</f>
        <v/>
      </c>
      <c r="I126" s="246" t="n"/>
      <c r="J126" s="183" t="n"/>
      <c r="K126" s="271" t="str">
        <f>IF(AND(ISNUMBER(I126),ISNUMBER(J126)),I126*J126,"")</f>
        <v/>
      </c>
      <c r="L126" s="246" t="str">
        <f>IF(COUNT(F126,I126)=0,"",N(F126)-N(I126))</f>
        <v/>
      </c>
      <c r="M126" s="247" t="str">
        <f>IF(COUNT(H126,K126)=0,"",N(K126)-N(H126))</f>
        <v/>
      </c>
      <c r="N126" s="246" t="str">
        <f>IF(AND(ISNUMBER(F126),ISNUMBER(G126),F126&gt;0,1-N(Ввод!$J$19)/100&gt;0),G126/(1-N(Ввод!$J$19)/100),IF(AND(ISNUMBER(I126),ISNUMBER(J126),I126&gt;0),J126/(1+N(Ввод!$J$19)/100),""))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71" t="str">
        <f>IF(AND(ISNUMBER(F127),ISNUMBER(G127)),F127*G127,"")</f>
        <v/>
      </c>
      <c r="I127" s="240" t="n"/>
      <c r="J127" s="177" t="n"/>
      <c r="K127" s="271" t="str">
        <f>IF(AND(ISNUMBER(I127),ISNUMBER(J127)),I127*J127,"")</f>
        <v/>
      </c>
      <c r="L127" s="240" t="str">
        <f>IF(COUNT(F127,I127)=0,"",N(F127)-N(I127))</f>
        <v/>
      </c>
      <c r="M127" s="241" t="str">
        <f>IF(COUNT(H127,K127)=0,"",N(K127)-N(H127))</f>
        <v/>
      </c>
      <c r="N127" s="240" t="str">
        <f>IF(AND(ISNUMBER(F127),ISNUMBER(G127),F127&gt;0,1-N(Ввод!$J$19)/100&gt;0),G127/(1-N(Ввод!$J$19)/100),IF(AND(ISNUMBER(I127),ISNUMBER(J127),I127&gt;0),J127/(1+N(Ввод!$J$19)/100),""))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71" t="str">
        <f>IF(AND(ISNUMBER(F128),ISNUMBER(G128)),F128*G128,"")</f>
        <v/>
      </c>
      <c r="I128" s="246" t="n"/>
      <c r="J128" s="183" t="n"/>
      <c r="K128" s="271" t="str">
        <f>IF(AND(ISNUMBER(I128),ISNUMBER(J128)),I128*J128,"")</f>
        <v/>
      </c>
      <c r="L128" s="246" t="str">
        <f>IF(COUNT(F128,I128)=0,"",N(F128)-N(I128))</f>
        <v/>
      </c>
      <c r="M128" s="247" t="str">
        <f>IF(COUNT(H128,K128)=0,"",N(K128)-N(H128))</f>
        <v/>
      </c>
      <c r="N128" s="246" t="str">
        <f>IF(AND(ISNUMBER(F128),ISNUMBER(G128),F128&gt;0,1-N(Ввод!$J$19)/100&gt;0),G128/(1-N(Ввод!$J$19)/100),IF(AND(ISNUMBER(I128),ISNUMBER(J128),I128&gt;0),J128/(1+N(Ввод!$J$19)/100),""))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71" t="str">
        <f>IF(AND(ISNUMBER(F129),ISNUMBER(G129)),F129*G129,"")</f>
        <v/>
      </c>
      <c r="I129" s="240" t="n"/>
      <c r="J129" s="177" t="n"/>
      <c r="K129" s="271" t="str">
        <f>IF(AND(ISNUMBER(I129),ISNUMBER(J129)),I129*J129,"")</f>
        <v/>
      </c>
      <c r="L129" s="240" t="str">
        <f>IF(COUNT(F129,I129)=0,"",N(F129)-N(I129))</f>
        <v/>
      </c>
      <c r="M129" s="241" t="str">
        <f>IF(COUNT(H129,K129)=0,"",N(K129)-N(H129))</f>
        <v/>
      </c>
      <c r="N129" s="240" t="str">
        <f>IF(AND(ISNUMBER(F129),ISNUMBER(G129),F129&gt;0,1-N(Ввод!$J$19)/100&gt;0),G129/(1-N(Ввод!$J$19)/100),IF(AND(ISNUMBER(I129),ISNUMBER(J129),I129&gt;0),J129/(1+N(Ввод!$J$19)/100),""))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71" t="str">
        <f>IF(AND(ISNUMBER(F130),ISNUMBER(G130)),F130*G130,"")</f>
        <v/>
      </c>
      <c r="I130" s="246" t="n"/>
      <c r="J130" s="183" t="n"/>
      <c r="K130" s="271" t="str">
        <f>IF(AND(ISNUMBER(I130),ISNUMBER(J130)),I130*J130,"")</f>
        <v/>
      </c>
      <c r="L130" s="246" t="str">
        <f>IF(COUNT(F130,I130)=0,"",N(F130)-N(I130))</f>
        <v/>
      </c>
      <c r="M130" s="247" t="str">
        <f>IF(COUNT(H130,K130)=0,"",N(K130)-N(H130))</f>
        <v/>
      </c>
      <c r="N130" s="246" t="str">
        <f>IF(AND(ISNUMBER(F130),ISNUMBER(G130),F130&gt;0,1-N(Ввод!$J$19)/100&gt;0),G130/(1-N(Ввод!$J$19)/100),IF(AND(ISNUMBER(I130),ISNUMBER(J130),I130&gt;0),J130/(1+N(Ввод!$J$19)/100),""))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71" t="str">
        <f>IF(AND(ISNUMBER(F131),ISNUMBER(G131)),F131*G131,"")</f>
        <v/>
      </c>
      <c r="I131" s="240" t="n"/>
      <c r="J131" s="177" t="n"/>
      <c r="K131" s="271" t="str">
        <f>IF(AND(ISNUMBER(I131),ISNUMBER(J131)),I131*J131,"")</f>
        <v/>
      </c>
      <c r="L131" s="240" t="str">
        <f>IF(COUNT(F131,I131)=0,"",N(F131)-N(I131))</f>
        <v/>
      </c>
      <c r="M131" s="241" t="str">
        <f>IF(COUNT(H131,K131)=0,"",N(K131)-N(H131))</f>
        <v/>
      </c>
      <c r="N131" s="240" t="str">
        <f>IF(AND(ISNUMBER(F131),ISNUMBER(G131),F131&gt;0,1-N(Ввод!$J$19)/100&gt;0),G131/(1-N(Ввод!$J$19)/100),IF(AND(ISNUMBER(I131),ISNUMBER(J131),I131&gt;0),J131/(1+N(Ввод!$J$19)/100),""))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71" t="str">
        <f>IF(AND(ISNUMBER(F132),ISNUMBER(G132)),F132*G132,"")</f>
        <v/>
      </c>
      <c r="I132" s="246" t="n"/>
      <c r="J132" s="183" t="n"/>
      <c r="K132" s="271" t="str">
        <f>IF(AND(ISNUMBER(I132),ISNUMBER(J132)),I132*J132,"")</f>
        <v/>
      </c>
      <c r="L132" s="246" t="str">
        <f>IF(COUNT(F132,I132)=0,"",N(F132)-N(I132))</f>
        <v/>
      </c>
      <c r="M132" s="247" t="str">
        <f>IF(COUNT(H132,K132)=0,"",N(K132)-N(H132))</f>
        <v/>
      </c>
      <c r="N132" s="246" t="str">
        <f>IF(AND(ISNUMBER(F132),ISNUMBER(G132),F132&gt;0,1-N(Ввод!$J$19)/100&gt;0),G132/(1-N(Ввод!$J$19)/100),IF(AND(ISNUMBER(I132),ISNUMBER(J132),I132&gt;0),J132/(1+N(Ввод!$J$19)/100),""))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71" t="str">
        <f>IF(AND(ISNUMBER(F133),ISNUMBER(G133)),F133*G133,"")</f>
        <v/>
      </c>
      <c r="I133" s="240" t="n"/>
      <c r="J133" s="177" t="n"/>
      <c r="K133" s="271" t="str">
        <f>IF(AND(ISNUMBER(I133),ISNUMBER(J133)),I133*J133,"")</f>
        <v/>
      </c>
      <c r="L133" s="240" t="str">
        <f>IF(COUNT(F133,I133)=0,"",N(F133)-N(I133))</f>
        <v/>
      </c>
      <c r="M133" s="241" t="str">
        <f>IF(COUNT(H133,K133)=0,"",N(K133)-N(H133))</f>
        <v/>
      </c>
      <c r="N133" s="240" t="str">
        <f>IF(AND(ISNUMBER(F133),ISNUMBER(G133),F133&gt;0,1-N(Ввод!$J$19)/100&gt;0),G133/(1-N(Ввод!$J$19)/100),IF(AND(ISNUMBER(I133),ISNUMBER(J133),I133&gt;0),J133/(1+N(Ввод!$J$19)/100),""))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71" t="str">
        <f>IF(AND(ISNUMBER(F134),ISNUMBER(G134)),F134*G134,"")</f>
        <v/>
      </c>
      <c r="I134" s="246" t="n"/>
      <c r="J134" s="183" t="n"/>
      <c r="K134" s="271" t="str">
        <f>IF(AND(ISNUMBER(I134),ISNUMBER(J134)),I134*J134,"")</f>
        <v/>
      </c>
      <c r="L134" s="246" t="str">
        <f>IF(COUNT(F134,I134)=0,"",N(F134)-N(I134))</f>
        <v/>
      </c>
      <c r="M134" s="247" t="str">
        <f>IF(COUNT(H134,K134)=0,"",N(K134)-N(H134))</f>
        <v/>
      </c>
      <c r="N134" s="246" t="str">
        <f>IF(AND(ISNUMBER(F134),ISNUMBER(G134),F134&gt;0,1-N(Ввод!$J$19)/100&gt;0),G134/(1-N(Ввод!$J$19)/100),IF(AND(ISNUMBER(I134),ISNUMBER(J134),I134&gt;0),J134/(1+N(Ввод!$J$19)/100),""))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71" t="str">
        <f>IF(AND(ISNUMBER(F135),ISNUMBER(G135)),F135*G135,"")</f>
        <v/>
      </c>
      <c r="I135" s="240" t="n"/>
      <c r="J135" s="177" t="n"/>
      <c r="K135" s="271" t="str">
        <f>IF(AND(ISNUMBER(I135),ISNUMBER(J135)),I135*J135,"")</f>
        <v/>
      </c>
      <c r="L135" s="240" t="str">
        <f>IF(COUNT(F135,I135)=0,"",N(F135)-N(I135))</f>
        <v/>
      </c>
      <c r="M135" s="241" t="str">
        <f>IF(COUNT(H135,K135)=0,"",N(K135)-N(H135))</f>
        <v/>
      </c>
      <c r="N135" s="240" t="str">
        <f>IF(AND(ISNUMBER(F135),ISNUMBER(G135),F135&gt;0,1-N(Ввод!$J$19)/100&gt;0),G135/(1-N(Ввод!$J$19)/100),IF(AND(ISNUMBER(I135),ISNUMBER(J135),I135&gt;0),J135/(1+N(Ввод!$J$19)/100),""))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71" t="str">
        <f>IF(AND(ISNUMBER(F136),ISNUMBER(G136)),F136*G136,"")</f>
        <v/>
      </c>
      <c r="I136" s="246" t="n"/>
      <c r="J136" s="183" t="n"/>
      <c r="K136" s="271" t="str">
        <f>IF(AND(ISNUMBER(I136),ISNUMBER(J136)),I136*J136,"")</f>
        <v/>
      </c>
      <c r="L136" s="246" t="str">
        <f>IF(COUNT(F136,I136)=0,"",N(F136)-N(I136))</f>
        <v/>
      </c>
      <c r="M136" s="247" t="str">
        <f>IF(COUNT(H136,K136)=0,"",N(K136)-N(H136))</f>
        <v/>
      </c>
      <c r="N136" s="246" t="str">
        <f>IF(AND(ISNUMBER(F136),ISNUMBER(G136),F136&gt;0,1-N(Ввод!$J$19)/100&gt;0),G136/(1-N(Ввод!$J$19)/100),IF(AND(ISNUMBER(I136),ISNUMBER(J136),I136&gt;0),J136/(1+N(Ввод!$J$19)/100),""))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71" t="str">
        <f>IF(AND(ISNUMBER(F137),ISNUMBER(G137)),F137*G137,"")</f>
        <v/>
      </c>
      <c r="I137" s="240" t="n"/>
      <c r="J137" s="177" t="n"/>
      <c r="K137" s="271" t="str">
        <f>IF(AND(ISNUMBER(I137),ISNUMBER(J137)),I137*J137,"")</f>
        <v/>
      </c>
      <c r="L137" s="240" t="str">
        <f>IF(COUNT(F137,I137)=0,"",N(F137)-N(I137))</f>
        <v/>
      </c>
      <c r="M137" s="241" t="str">
        <f>IF(COUNT(H137,K137)=0,"",N(K137)-N(H137))</f>
        <v/>
      </c>
      <c r="N137" s="240" t="str">
        <f>IF(AND(ISNUMBER(F137),ISNUMBER(G137),F137&gt;0,1-N(Ввод!$J$19)/100&gt;0),G137/(1-N(Ввод!$J$19)/100),IF(AND(ISNUMBER(I137),ISNUMBER(J137),I137&gt;0),J137/(1+N(Ввод!$J$19)/100),""))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71" t="str">
        <f>IF(AND(ISNUMBER(F138),ISNUMBER(G138)),F138*G138,"")</f>
        <v/>
      </c>
      <c r="I138" s="246" t="n"/>
      <c r="J138" s="183" t="n"/>
      <c r="K138" s="271" t="str">
        <f>IF(AND(ISNUMBER(I138),ISNUMBER(J138)),I138*J138,"")</f>
        <v/>
      </c>
      <c r="L138" s="246" t="str">
        <f>IF(COUNT(F138,I138)=0,"",N(F138)-N(I138))</f>
        <v/>
      </c>
      <c r="M138" s="247" t="str">
        <f>IF(COUNT(H138,K138)=0,"",N(K138)-N(H138))</f>
        <v/>
      </c>
      <c r="N138" s="246" t="str">
        <f>IF(AND(ISNUMBER(F138),ISNUMBER(G138),F138&gt;0,1-N(Ввод!$J$19)/100&gt;0),G138/(1-N(Ввод!$J$19)/100),IF(AND(ISNUMBER(I138),ISNUMBER(J138),I138&gt;0),J138/(1+N(Ввод!$J$19)/100),""))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71" t="str">
        <f>IF(AND(ISNUMBER(F139),ISNUMBER(G139)),F139*G139,"")</f>
        <v/>
      </c>
      <c r="I139" s="240" t="n"/>
      <c r="J139" s="177" t="n"/>
      <c r="K139" s="271" t="str">
        <f>IF(AND(ISNUMBER(I139),ISNUMBER(J139)),I139*J139,"")</f>
        <v/>
      </c>
      <c r="L139" s="240" t="str">
        <f>IF(COUNT(F139,I139)=0,"",N(F139)-N(I139))</f>
        <v/>
      </c>
      <c r="M139" s="241" t="str">
        <f>IF(COUNT(H139,K139)=0,"",N(K139)-N(H139))</f>
        <v/>
      </c>
      <c r="N139" s="240" t="str">
        <f>IF(AND(ISNUMBER(F139),ISNUMBER(G139),F139&gt;0,1-N(Ввод!$J$19)/100&gt;0),G139/(1-N(Ввод!$J$19)/100),IF(AND(ISNUMBER(I139),ISNUMBER(J139),I139&gt;0),J139/(1+N(Ввод!$J$19)/100),""))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71" t="str">
        <f>IF(AND(ISNUMBER(F140),ISNUMBER(G140)),F140*G140,"")</f>
        <v/>
      </c>
      <c r="I140" s="246" t="n"/>
      <c r="J140" s="183" t="n"/>
      <c r="K140" s="271" t="str">
        <f>IF(AND(ISNUMBER(I140),ISNUMBER(J140)),I140*J140,"")</f>
        <v/>
      </c>
      <c r="L140" s="246" t="str">
        <f>IF(COUNT(F140,I140)=0,"",N(F140)-N(I140))</f>
        <v/>
      </c>
      <c r="M140" s="247" t="str">
        <f>IF(COUNT(H140,K140)=0,"",N(K140)-N(H140))</f>
        <v/>
      </c>
      <c r="N140" s="246" t="str">
        <f>IF(AND(ISNUMBER(F140),ISNUMBER(G140),F140&gt;0,1-N(Ввод!$J$19)/100&gt;0),G140/(1-N(Ввод!$J$19)/100),IF(AND(ISNUMBER(I140),ISNUMBER(J140),I140&gt;0),J140/(1+N(Ввод!$J$19)/100),""))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71" t="str">
        <f>IF(AND(ISNUMBER(F141),ISNUMBER(G141)),F141*G141,"")</f>
        <v/>
      </c>
      <c r="I141" s="240" t="n"/>
      <c r="J141" s="177" t="n"/>
      <c r="K141" s="271" t="str">
        <f>IF(AND(ISNUMBER(I141),ISNUMBER(J141)),I141*J141,"")</f>
        <v/>
      </c>
      <c r="L141" s="240" t="str">
        <f>IF(COUNT(F141,I141)=0,"",N(F141)-N(I141))</f>
        <v/>
      </c>
      <c r="M141" s="241" t="str">
        <f>IF(COUNT(H141,K141)=0,"",N(K141)-N(H141))</f>
        <v/>
      </c>
      <c r="N141" s="240" t="str">
        <f>IF(AND(ISNUMBER(F141),ISNUMBER(G141),F141&gt;0,1-N(Ввод!$J$19)/100&gt;0),G141/(1-N(Ввод!$J$19)/100),IF(AND(ISNUMBER(I141),ISNUMBER(J141),I141&gt;0),J141/(1+N(Ввод!$J$19)/100),""))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71" t="str">
        <f>IF(AND(ISNUMBER(F142),ISNUMBER(G142)),F142*G142,"")</f>
        <v/>
      </c>
      <c r="I142" s="246" t="n"/>
      <c r="J142" s="183" t="n"/>
      <c r="K142" s="271" t="str">
        <f>IF(AND(ISNUMBER(I142),ISNUMBER(J142)),I142*J142,"")</f>
        <v/>
      </c>
      <c r="L142" s="246" t="str">
        <f>IF(COUNT(F142,I142)=0,"",N(F142)-N(I142))</f>
        <v/>
      </c>
      <c r="M142" s="247" t="str">
        <f>IF(COUNT(H142,K142)=0,"",N(K142)-N(H142))</f>
        <v/>
      </c>
      <c r="N142" s="246" t="str">
        <f>IF(AND(ISNUMBER(F142),ISNUMBER(G142),F142&gt;0,1-N(Ввод!$J$19)/100&gt;0),G142/(1-N(Ввод!$J$19)/100),IF(AND(ISNUMBER(I142),ISNUMBER(J142),I142&gt;0),J142/(1+N(Ввод!$J$19)/100),""))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71" t="str">
        <f>IF(AND(ISNUMBER(F143),ISNUMBER(G143)),F143*G143,"")</f>
        <v/>
      </c>
      <c r="I143" s="240" t="n"/>
      <c r="J143" s="177" t="n"/>
      <c r="K143" s="271" t="str">
        <f>IF(AND(ISNUMBER(I143),ISNUMBER(J143)),I143*J143,"")</f>
        <v/>
      </c>
      <c r="L143" s="240" t="str">
        <f>IF(COUNT(F143,I143)=0,"",N(F143)-N(I143))</f>
        <v/>
      </c>
      <c r="M143" s="241" t="str">
        <f>IF(COUNT(H143,K143)=0,"",N(K143)-N(H143))</f>
        <v/>
      </c>
      <c r="N143" s="240" t="str">
        <f>IF(AND(ISNUMBER(F143),ISNUMBER(G143),F143&gt;0,1-N(Ввод!$J$19)/100&gt;0),G143/(1-N(Ввод!$J$19)/100),IF(AND(ISNUMBER(I143),ISNUMBER(J143),I143&gt;0),J143/(1+N(Ввод!$J$19)/100),""))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71" t="str">
        <f>IF(AND(ISNUMBER(F144),ISNUMBER(G144)),F144*G144,"")</f>
        <v/>
      </c>
      <c r="I144" s="246" t="n"/>
      <c r="J144" s="183" t="n"/>
      <c r="K144" s="271" t="str">
        <f>IF(AND(ISNUMBER(I144),ISNUMBER(J144)),I144*J144,"")</f>
        <v/>
      </c>
      <c r="L144" s="246" t="str">
        <f>IF(COUNT(F144,I144)=0,"",N(F144)-N(I144))</f>
        <v/>
      </c>
      <c r="M144" s="247" t="str">
        <f>IF(COUNT(H144,K144)=0,"",N(K144)-N(H144))</f>
        <v/>
      </c>
      <c r="N144" s="246" t="str">
        <f>IF(AND(ISNUMBER(F144),ISNUMBER(G144),F144&gt;0,1-N(Ввод!$J$19)/100&gt;0),G144/(1-N(Ввод!$J$19)/100),IF(AND(ISNUMBER(I144),ISNUMBER(J144),I144&gt;0),J144/(1+N(Ввод!$J$19)/100),""))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71" t="str">
        <f>IF(AND(ISNUMBER(F145),ISNUMBER(G145)),F145*G145,"")</f>
        <v/>
      </c>
      <c r="I145" s="240" t="n"/>
      <c r="J145" s="177" t="n"/>
      <c r="K145" s="271" t="str">
        <f>IF(AND(ISNUMBER(I145),ISNUMBER(J145)),I145*J145,"")</f>
        <v/>
      </c>
      <c r="L145" s="240" t="str">
        <f>IF(COUNT(F145,I145)=0,"",N(F145)-N(I145))</f>
        <v/>
      </c>
      <c r="M145" s="241" t="str">
        <f>IF(COUNT(H145,K145)=0,"",N(K145)-N(H145))</f>
        <v/>
      </c>
      <c r="N145" s="240" t="str">
        <f>IF(AND(ISNUMBER(F145),ISNUMBER(G145),F145&gt;0,1-N(Ввод!$J$19)/100&gt;0),G145/(1-N(Ввод!$J$19)/100),IF(AND(ISNUMBER(I145),ISNUMBER(J145),I145&gt;0),J145/(1+N(Ввод!$J$19)/100),""))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71" t="str">
        <f>IF(AND(ISNUMBER(F146),ISNUMBER(G146)),F146*G146,"")</f>
        <v/>
      </c>
      <c r="I146" s="246" t="n"/>
      <c r="J146" s="183" t="n"/>
      <c r="K146" s="271" t="str">
        <f>IF(AND(ISNUMBER(I146),ISNUMBER(J146)),I146*J146,"")</f>
        <v/>
      </c>
      <c r="L146" s="246" t="str">
        <f>IF(COUNT(F146,I146)=0,"",N(F146)-N(I146))</f>
        <v/>
      </c>
      <c r="M146" s="247" t="str">
        <f>IF(COUNT(H146,K146)=0,"",N(K146)-N(H146))</f>
        <v/>
      </c>
      <c r="N146" s="246" t="str">
        <f>IF(AND(ISNUMBER(F146),ISNUMBER(G146),F146&gt;0,1-N(Ввод!$J$19)/100&gt;0),G146/(1-N(Ввод!$J$19)/100),IF(AND(ISNUMBER(I146),ISNUMBER(J146),I146&gt;0),J146/(1+N(Ввод!$J$19)/100),""))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71" t="str">
        <f>IF(AND(ISNUMBER(F147),ISNUMBER(G147)),F147*G147,"")</f>
        <v/>
      </c>
      <c r="I147" s="240" t="n"/>
      <c r="J147" s="177" t="n"/>
      <c r="K147" s="271" t="str">
        <f>IF(AND(ISNUMBER(I147),ISNUMBER(J147)),I147*J147,"")</f>
        <v/>
      </c>
      <c r="L147" s="240" t="str">
        <f>IF(COUNT(F147,I147)=0,"",N(F147)-N(I147))</f>
        <v/>
      </c>
      <c r="M147" s="241" t="str">
        <f>IF(COUNT(H147,K147)=0,"",N(K147)-N(H147))</f>
        <v/>
      </c>
      <c r="N147" s="240" t="str">
        <f>IF(AND(ISNUMBER(F147),ISNUMBER(G147),F147&gt;0,1-N(Ввод!$J$19)/100&gt;0),G147/(1-N(Ввод!$J$19)/100),IF(AND(ISNUMBER(I147),ISNUMBER(J147),I147&gt;0),J147/(1+N(Ввод!$J$19)/100),""))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71" t="str">
        <f>IF(AND(ISNUMBER(F148),ISNUMBER(G148)),F148*G148,"")</f>
        <v/>
      </c>
      <c r="I148" s="246" t="n"/>
      <c r="J148" s="183" t="n"/>
      <c r="K148" s="271" t="str">
        <f>IF(AND(ISNUMBER(I148),ISNUMBER(J148)),I148*J148,"")</f>
        <v/>
      </c>
      <c r="L148" s="246" t="str">
        <f>IF(COUNT(F148,I148)=0,"",N(F148)-N(I148))</f>
        <v/>
      </c>
      <c r="M148" s="247" t="str">
        <f>IF(COUNT(H148,K148)=0,"",N(K148)-N(H148))</f>
        <v/>
      </c>
      <c r="N148" s="246" t="str">
        <f>IF(AND(ISNUMBER(F148),ISNUMBER(G148),F148&gt;0,1-N(Ввод!$J$19)/100&gt;0),G148/(1-N(Ввод!$J$19)/100),IF(AND(ISNUMBER(I148),ISNUMBER(J148),I148&gt;0),J148/(1+N(Ввод!$J$19)/100),""))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71" t="str">
        <f>IF(AND(ISNUMBER(F149),ISNUMBER(G149)),F149*G149,"")</f>
        <v/>
      </c>
      <c r="I149" s="240" t="n"/>
      <c r="J149" s="177" t="n"/>
      <c r="K149" s="271" t="str">
        <f>IF(AND(ISNUMBER(I149),ISNUMBER(J149)),I149*J149,"")</f>
        <v/>
      </c>
      <c r="L149" s="240" t="str">
        <f>IF(COUNT(F149,I149)=0,"",N(F149)-N(I149))</f>
        <v/>
      </c>
      <c r="M149" s="241" t="str">
        <f>IF(COUNT(H149,K149)=0,"",N(K149)-N(H149))</f>
        <v/>
      </c>
      <c r="N149" s="240" t="str">
        <f>IF(AND(ISNUMBER(F149),ISNUMBER(G149),F149&gt;0,1-N(Ввод!$J$19)/100&gt;0),G149/(1-N(Ввод!$J$19)/100),IF(AND(ISNUMBER(I149),ISNUMBER(J149),I149&gt;0),J149/(1+N(Ввод!$J$19)/100),""))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71" t="str">
        <f>IF(AND(ISNUMBER(F150),ISNUMBER(G150)),F150*G150,"")</f>
        <v/>
      </c>
      <c r="I150" s="246" t="n"/>
      <c r="J150" s="183" t="n"/>
      <c r="K150" s="271" t="str">
        <f>IF(AND(ISNUMBER(I150),ISNUMBER(J150)),I150*J150,"")</f>
        <v/>
      </c>
      <c r="L150" s="246" t="str">
        <f>IF(COUNT(F150,I150)=0,"",N(F150)-N(I150))</f>
        <v/>
      </c>
      <c r="M150" s="247" t="str">
        <f>IF(COUNT(H150,K150)=0,"",N(K150)-N(H150))</f>
        <v/>
      </c>
      <c r="N150" s="246" t="str">
        <f>IF(AND(ISNUMBER(F150),ISNUMBER(G150),F150&gt;0,1-N(Ввод!$J$19)/100&gt;0),G150/(1-N(Ввод!$J$19)/100),IF(AND(ISNUMBER(I150),ISNUMBER(J150),I150&gt;0),J150/(1+N(Ввод!$J$19)/100),""))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71" t="str">
        <f>IF(AND(ISNUMBER(F151),ISNUMBER(G151)),F151*G151,"")</f>
        <v/>
      </c>
      <c r="I151" s="240" t="n"/>
      <c r="J151" s="177" t="n"/>
      <c r="K151" s="271" t="str">
        <f>IF(AND(ISNUMBER(I151),ISNUMBER(J151)),I151*J151,"")</f>
        <v/>
      </c>
      <c r="L151" s="240" t="str">
        <f>IF(COUNT(F151,I151)=0,"",N(F151)-N(I151))</f>
        <v/>
      </c>
      <c r="M151" s="241" t="str">
        <f>IF(COUNT(H151,K151)=0,"",N(K151)-N(H151))</f>
        <v/>
      </c>
      <c r="N151" s="240" t="str">
        <f>IF(AND(ISNUMBER(F151),ISNUMBER(G151),F151&gt;0,1-N(Ввод!$J$19)/100&gt;0),G151/(1-N(Ввод!$J$19)/100),IF(AND(ISNUMBER(I151),ISNUMBER(J151),I151&gt;0),J151/(1+N(Ввод!$J$19)/100),""))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71" t="str">
        <f>IF(AND(ISNUMBER(F152),ISNUMBER(G152)),F152*G152,"")</f>
        <v/>
      </c>
      <c r="I152" s="246" t="n"/>
      <c r="J152" s="183" t="n"/>
      <c r="K152" s="271" t="str">
        <f>IF(AND(ISNUMBER(I152),ISNUMBER(J152)),I152*J152,"")</f>
        <v/>
      </c>
      <c r="L152" s="246" t="str">
        <f>IF(COUNT(F152,I152)=0,"",N(F152)-N(I152))</f>
        <v/>
      </c>
      <c r="M152" s="247" t="str">
        <f>IF(COUNT(H152,K152)=0,"",N(K152)-N(H152))</f>
        <v/>
      </c>
      <c r="N152" s="246" t="str">
        <f>IF(AND(ISNUMBER(F152),ISNUMBER(G152),F152&gt;0,1-N(Ввод!$J$19)/100&gt;0),G152/(1-N(Ввод!$J$19)/100),IF(AND(ISNUMBER(I152),ISNUMBER(J152),I152&gt;0),J152/(1+N(Ввод!$J$19)/100),""))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71" t="str">
        <f>IF(AND(ISNUMBER(F153),ISNUMBER(G153)),F153*G153,"")</f>
        <v/>
      </c>
      <c r="I153" s="240" t="n"/>
      <c r="J153" s="177" t="n"/>
      <c r="K153" s="271" t="str">
        <f>IF(AND(ISNUMBER(I153),ISNUMBER(J153)),I153*J153,"")</f>
        <v/>
      </c>
      <c r="L153" s="240" t="str">
        <f>IF(COUNT(F153,I153)=0,"",N(F153)-N(I153))</f>
        <v/>
      </c>
      <c r="M153" s="241" t="str">
        <f>IF(COUNT(H153,K153)=0,"",N(K153)-N(H153))</f>
        <v/>
      </c>
      <c r="N153" s="240" t="str">
        <f>IF(AND(ISNUMBER(F153),ISNUMBER(G153),F153&gt;0,1-N(Ввод!$J$19)/100&gt;0),G153/(1-N(Ввод!$J$19)/100),IF(AND(ISNUMBER(I153),ISNUMBER(J153),I153&gt;0),J153/(1+N(Ввод!$J$19)/100),""))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71" t="str">
        <f>IF(AND(ISNUMBER(F154),ISNUMBER(G154)),F154*G154,"")</f>
        <v/>
      </c>
      <c r="I154" s="246" t="n"/>
      <c r="J154" s="183" t="n"/>
      <c r="K154" s="271" t="str">
        <f>IF(AND(ISNUMBER(I154),ISNUMBER(J154)),I154*J154,"")</f>
        <v/>
      </c>
      <c r="L154" s="246" t="str">
        <f>IF(COUNT(F154,I154)=0,"",N(F154)-N(I154))</f>
        <v/>
      </c>
      <c r="M154" s="247" t="str">
        <f>IF(COUNT(H154,K154)=0,"",N(K154)-N(H154))</f>
        <v/>
      </c>
      <c r="N154" s="246" t="str">
        <f>IF(AND(ISNUMBER(F154),ISNUMBER(G154),F154&gt;0,1-N(Ввод!$J$19)/100&gt;0),G154/(1-N(Ввод!$J$19)/100),IF(AND(ISNUMBER(I154),ISNUMBER(J154),I154&gt;0),J154/(1+N(Ввод!$J$19)/100),""))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71" t="str">
        <f>IF(AND(ISNUMBER(F155),ISNUMBER(G155)),F155*G155,"")</f>
        <v/>
      </c>
      <c r="I155" s="240" t="n"/>
      <c r="J155" s="177" t="n"/>
      <c r="K155" s="271" t="str">
        <f>IF(AND(ISNUMBER(I155),ISNUMBER(J155)),I155*J155,"")</f>
        <v/>
      </c>
      <c r="L155" s="240" t="str">
        <f>IF(COUNT(F155,I155)=0,"",N(F155)-N(I155))</f>
        <v/>
      </c>
      <c r="M155" s="241" t="str">
        <f>IF(COUNT(H155,K155)=0,"",N(K155)-N(H155))</f>
        <v/>
      </c>
      <c r="N155" s="240" t="str">
        <f>IF(AND(ISNUMBER(F155),ISNUMBER(G155),F155&gt;0,1-N(Ввод!$J$19)/100&gt;0),G155/(1-N(Ввод!$J$19)/100),IF(AND(ISNUMBER(I155),ISNUMBER(J155),I155&gt;0),J155/(1+N(Ввод!$J$19)/100),""))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71" t="str">
        <f>IF(AND(ISNUMBER(F156),ISNUMBER(G156)),F156*G156,"")</f>
        <v/>
      </c>
      <c r="I156" s="246" t="n"/>
      <c r="J156" s="183" t="n"/>
      <c r="K156" s="271" t="str">
        <f>IF(AND(ISNUMBER(I156),ISNUMBER(J156)),I156*J156,"")</f>
        <v/>
      </c>
      <c r="L156" s="246" t="str">
        <f>IF(COUNT(F156,I156)=0,"",N(F156)-N(I156))</f>
        <v/>
      </c>
      <c r="M156" s="247" t="str">
        <f>IF(COUNT(H156,K156)=0,"",N(K156)-N(H156))</f>
        <v/>
      </c>
      <c r="N156" s="246" t="str">
        <f>IF(AND(ISNUMBER(F156),ISNUMBER(G156),F156&gt;0,1-N(Ввод!$J$19)/100&gt;0),G156/(1-N(Ввод!$J$19)/100),IF(AND(ISNUMBER(I156),ISNUMBER(J156),I156&gt;0),J156/(1+N(Ввод!$J$19)/100),""))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71" t="str">
        <f>IF(AND(ISNUMBER(F157),ISNUMBER(G157)),F157*G157,"")</f>
        <v/>
      </c>
      <c r="I157" s="240" t="n"/>
      <c r="J157" s="177" t="n"/>
      <c r="K157" s="271" t="str">
        <f>IF(AND(ISNUMBER(I157),ISNUMBER(J157)),I157*J157,"")</f>
        <v/>
      </c>
      <c r="L157" s="240" t="str">
        <f>IF(COUNT(F157,I157)=0,"",N(F157)-N(I157))</f>
        <v/>
      </c>
      <c r="M157" s="241" t="str">
        <f>IF(COUNT(H157,K157)=0,"",N(K157)-N(H157))</f>
        <v/>
      </c>
      <c r="N157" s="240" t="str">
        <f>IF(AND(ISNUMBER(F157),ISNUMBER(G157),F157&gt;0,1-N(Ввод!$J$19)/100&gt;0),G157/(1-N(Ввод!$J$19)/100),IF(AND(ISNUMBER(I157),ISNUMBER(J157),I157&gt;0),J157/(1+N(Ввод!$J$19)/100),""))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71" t="str">
        <f>IF(AND(ISNUMBER(F158),ISNUMBER(G158)),F158*G158,"")</f>
        <v/>
      </c>
      <c r="I158" s="246" t="n"/>
      <c r="J158" s="183" t="n"/>
      <c r="K158" s="271" t="str">
        <f>IF(AND(ISNUMBER(I158),ISNUMBER(J158)),I158*J158,"")</f>
        <v/>
      </c>
      <c r="L158" s="246" t="str">
        <f>IF(COUNT(F158,I158)=0,"",N(F158)-N(I158))</f>
        <v/>
      </c>
      <c r="M158" s="247" t="str">
        <f>IF(COUNT(H158,K158)=0,"",N(K158)-N(H158))</f>
        <v/>
      </c>
      <c r="N158" s="246" t="str">
        <f>IF(AND(ISNUMBER(F158),ISNUMBER(G158),F158&gt;0,1-N(Ввод!$J$19)/100&gt;0),G158/(1-N(Ввод!$J$19)/100),IF(AND(ISNUMBER(I158),ISNUMBER(J158),I158&gt;0),J158/(1+N(Ввод!$J$19)/100),""))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71" t="str">
        <f>IF(AND(ISNUMBER(F159),ISNUMBER(G159)),F159*G159,"")</f>
        <v/>
      </c>
      <c r="I159" s="240" t="n"/>
      <c r="J159" s="177" t="n"/>
      <c r="K159" s="271" t="str">
        <f>IF(AND(ISNUMBER(I159),ISNUMBER(J159)),I159*J159,"")</f>
        <v/>
      </c>
      <c r="L159" s="240" t="str">
        <f>IF(COUNT(F159,I159)=0,"",N(F159)-N(I159))</f>
        <v/>
      </c>
      <c r="M159" s="241" t="str">
        <f>IF(COUNT(H159,K159)=0,"",N(K159)-N(H159))</f>
        <v/>
      </c>
      <c r="N159" s="240" t="str">
        <f>IF(AND(ISNUMBER(F159),ISNUMBER(G159),F159&gt;0,1-N(Ввод!$J$19)/100&gt;0),G159/(1-N(Ввод!$J$19)/100),IF(AND(ISNUMBER(I159),ISNUMBER(J159),I159&gt;0),J159/(1+N(Ввод!$J$19)/100),""))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71" t="str">
        <f>IF(AND(ISNUMBER(F160),ISNUMBER(G160)),F160*G160,"")</f>
        <v/>
      </c>
      <c r="I160" s="246" t="n"/>
      <c r="J160" s="183" t="n"/>
      <c r="K160" s="271" t="str">
        <f>IF(AND(ISNUMBER(I160),ISNUMBER(J160)),I160*J160,"")</f>
        <v/>
      </c>
      <c r="L160" s="246" t="str">
        <f>IF(COUNT(F160,I160)=0,"",N(F160)-N(I160))</f>
        <v/>
      </c>
      <c r="M160" s="247" t="str">
        <f>IF(COUNT(H160,K160)=0,"",N(K160)-N(H160))</f>
        <v/>
      </c>
      <c r="N160" s="246" t="str">
        <f>IF(AND(ISNUMBER(F160),ISNUMBER(G160),F160&gt;0,1-N(Ввод!$J$19)/100&gt;0),G160/(1-N(Ввод!$J$19)/100),IF(AND(ISNUMBER(I160),ISNUMBER(J160),I160&gt;0),J160/(1+N(Ввод!$J$19)/100),""))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71" t="str">
        <f>IF(AND(ISNUMBER(F161),ISNUMBER(G161)),F161*G161,"")</f>
        <v/>
      </c>
      <c r="I161" s="240" t="n"/>
      <c r="J161" s="177" t="n"/>
      <c r="K161" s="271" t="str">
        <f>IF(AND(ISNUMBER(I161),ISNUMBER(J161)),I161*J161,"")</f>
        <v/>
      </c>
      <c r="L161" s="240" t="str">
        <f>IF(COUNT(F161,I161)=0,"",N(F161)-N(I161))</f>
        <v/>
      </c>
      <c r="M161" s="241" t="str">
        <f>IF(COUNT(H161,K161)=0,"",N(K161)-N(H161))</f>
        <v/>
      </c>
      <c r="N161" s="240" t="str">
        <f>IF(AND(ISNUMBER(F161),ISNUMBER(G161),F161&gt;0,1-N(Ввод!$J$19)/100&gt;0),G161/(1-N(Ввод!$J$19)/100),IF(AND(ISNUMBER(I161),ISNUMBER(J161),I161&gt;0),J161/(1+N(Ввод!$J$19)/100),""))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71" t="str">
        <f>IF(AND(ISNUMBER(F162),ISNUMBER(G162)),F162*G162,"")</f>
        <v/>
      </c>
      <c r="I162" s="246" t="n"/>
      <c r="J162" s="183" t="n"/>
      <c r="K162" s="271" t="str">
        <f>IF(AND(ISNUMBER(I162),ISNUMBER(J162)),I162*J162,"")</f>
        <v/>
      </c>
      <c r="L162" s="246" t="str">
        <f>IF(COUNT(F162,I162)=0,"",N(F162)-N(I162))</f>
        <v/>
      </c>
      <c r="M162" s="247" t="str">
        <f>IF(COUNT(H162,K162)=0,"",N(K162)-N(H162))</f>
        <v/>
      </c>
      <c r="N162" s="246" t="str">
        <f>IF(AND(ISNUMBER(F162),ISNUMBER(G162),F162&gt;0,1-N(Ввод!$J$19)/100&gt;0),G162/(1-N(Ввод!$J$19)/100),IF(AND(ISNUMBER(I162),ISNUMBER(J162),I162&gt;0),J162/(1+N(Ввод!$J$19)/100),""))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71" t="str">
        <f>IF(AND(ISNUMBER(F163),ISNUMBER(G163)),F163*G163,"")</f>
        <v/>
      </c>
      <c r="I163" s="240" t="n"/>
      <c r="J163" s="177" t="n"/>
      <c r="K163" s="271" t="str">
        <f>IF(AND(ISNUMBER(I163),ISNUMBER(J163)),I163*J163,"")</f>
        <v/>
      </c>
      <c r="L163" s="240" t="str">
        <f>IF(COUNT(F163,I163)=0,"",N(F163)-N(I163))</f>
        <v/>
      </c>
      <c r="M163" s="241" t="str">
        <f>IF(COUNT(H163,K163)=0,"",N(K163)-N(H163))</f>
        <v/>
      </c>
      <c r="N163" s="240" t="str">
        <f>IF(AND(ISNUMBER(F163),ISNUMBER(G163),F163&gt;0,1-N(Ввод!$J$19)/100&gt;0),G163/(1-N(Ввод!$J$19)/100),IF(AND(ISNUMBER(I163),ISNUMBER(J163),I163&gt;0),J163/(1+N(Ввод!$J$19)/100),""))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71" t="str">
        <f>IF(AND(ISNUMBER(F164),ISNUMBER(G164)),F164*G164,"")</f>
        <v/>
      </c>
      <c r="I164" s="246" t="n"/>
      <c r="J164" s="183" t="n"/>
      <c r="K164" s="271" t="str">
        <f>IF(AND(ISNUMBER(I164),ISNUMBER(J164)),I164*J164,"")</f>
        <v/>
      </c>
      <c r="L164" s="246" t="str">
        <f>IF(COUNT(F164,I164)=0,"",N(F164)-N(I164))</f>
        <v/>
      </c>
      <c r="M164" s="247" t="str">
        <f>IF(COUNT(H164,K164)=0,"",N(K164)-N(H164))</f>
        <v/>
      </c>
      <c r="N164" s="246" t="str">
        <f>IF(AND(ISNUMBER(F164),ISNUMBER(G164),F164&gt;0,1-N(Ввод!$J$19)/100&gt;0),G164/(1-N(Ввод!$J$19)/100),IF(AND(ISNUMBER(I164),ISNUMBER(J164),I164&gt;0),J164/(1+N(Ввод!$J$19)/100),""))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71" t="str">
        <f>IF(AND(ISNUMBER(F165),ISNUMBER(G165)),F165*G165,"")</f>
        <v/>
      </c>
      <c r="I165" s="240" t="n"/>
      <c r="J165" s="177" t="n"/>
      <c r="K165" s="271" t="str">
        <f>IF(AND(ISNUMBER(I165),ISNUMBER(J165)),I165*J165,"")</f>
        <v/>
      </c>
      <c r="L165" s="240" t="str">
        <f>IF(COUNT(F165,I165)=0,"",N(F165)-N(I165))</f>
        <v/>
      </c>
      <c r="M165" s="241" t="str">
        <f>IF(COUNT(H165,K165)=0,"",N(K165)-N(H165))</f>
        <v/>
      </c>
      <c r="N165" s="240" t="str">
        <f>IF(AND(ISNUMBER(F165),ISNUMBER(G165),F165&gt;0,1-N(Ввод!$J$19)/100&gt;0),G165/(1-N(Ввод!$J$19)/100),IF(AND(ISNUMBER(I165),ISNUMBER(J165),I165&gt;0),J165/(1+N(Ввод!$J$19)/100),""))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71" t="str">
        <f>IF(AND(ISNUMBER(F166),ISNUMBER(G166)),F166*G166,"")</f>
        <v/>
      </c>
      <c r="I166" s="246" t="n"/>
      <c r="J166" s="183" t="n"/>
      <c r="K166" s="271" t="str">
        <f>IF(AND(ISNUMBER(I166),ISNUMBER(J166)),I166*J166,"")</f>
        <v/>
      </c>
      <c r="L166" s="246" t="str">
        <f>IF(COUNT(F166,I166)=0,"",N(F166)-N(I166))</f>
        <v/>
      </c>
      <c r="M166" s="247" t="str">
        <f>IF(COUNT(H166,K166)=0,"",N(K166)-N(H166))</f>
        <v/>
      </c>
      <c r="N166" s="246" t="str">
        <f>IF(AND(ISNUMBER(F166),ISNUMBER(G166),F166&gt;0,1-N(Ввод!$J$19)/100&gt;0),G166/(1-N(Ввод!$J$19)/100),IF(AND(ISNUMBER(I166),ISNUMBER(J166),I166&gt;0),J166/(1+N(Ввод!$J$19)/100),""))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71" t="str">
        <f>IF(AND(ISNUMBER(F167),ISNUMBER(G167)),F167*G167,"")</f>
        <v/>
      </c>
      <c r="I167" s="240" t="n"/>
      <c r="J167" s="177" t="n"/>
      <c r="K167" s="271" t="str">
        <f>IF(AND(ISNUMBER(I167),ISNUMBER(J167)),I167*J167,"")</f>
        <v/>
      </c>
      <c r="L167" s="240" t="str">
        <f>IF(COUNT(F167,I167)=0,"",N(F167)-N(I167))</f>
        <v/>
      </c>
      <c r="M167" s="241" t="str">
        <f>IF(COUNT(H167,K167)=0,"",N(K167)-N(H167))</f>
        <v/>
      </c>
      <c r="N167" s="240" t="str">
        <f>IF(AND(ISNUMBER(F167),ISNUMBER(G167),F167&gt;0,1-N(Ввод!$J$19)/100&gt;0),G167/(1-N(Ввод!$J$19)/100),IF(AND(ISNUMBER(I167),ISNUMBER(J167),I167&gt;0),J167/(1+N(Ввод!$J$19)/100),""))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71" t="str">
        <f>IF(AND(ISNUMBER(F168),ISNUMBER(G168)),F168*G168,"")</f>
        <v/>
      </c>
      <c r="I168" s="246" t="n"/>
      <c r="J168" s="183" t="n"/>
      <c r="K168" s="271" t="str">
        <f>IF(AND(ISNUMBER(I168),ISNUMBER(J168)),I168*J168,"")</f>
        <v/>
      </c>
      <c r="L168" s="246" t="str">
        <f>IF(COUNT(F168,I168)=0,"",N(F168)-N(I168))</f>
        <v/>
      </c>
      <c r="M168" s="247" t="str">
        <f>IF(COUNT(H168,K168)=0,"",N(K168)-N(H168))</f>
        <v/>
      </c>
      <c r="N168" s="246" t="str">
        <f>IF(AND(ISNUMBER(F168),ISNUMBER(G168),F168&gt;0,1-N(Ввод!$J$19)/100&gt;0),G168/(1-N(Ввод!$J$19)/100),IF(AND(ISNUMBER(I168),ISNUMBER(J168),I168&gt;0),J168/(1+N(Ввод!$J$19)/100),""))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71" t="str">
        <f>IF(AND(ISNUMBER(F169),ISNUMBER(G169)),F169*G169,"")</f>
        <v/>
      </c>
      <c r="I169" s="240" t="n"/>
      <c r="J169" s="177" t="n"/>
      <c r="K169" s="271" t="str">
        <f>IF(AND(ISNUMBER(I169),ISNUMBER(J169)),I169*J169,"")</f>
        <v/>
      </c>
      <c r="L169" s="240" t="str">
        <f>IF(COUNT(F169,I169)=0,"",N(F169)-N(I169))</f>
        <v/>
      </c>
      <c r="M169" s="241" t="str">
        <f>IF(COUNT(H169,K169)=0,"",N(K169)-N(H169))</f>
        <v/>
      </c>
      <c r="N169" s="240" t="str">
        <f>IF(AND(ISNUMBER(F169),ISNUMBER(G169),F169&gt;0,1-N(Ввод!$J$19)/100&gt;0),G169/(1-N(Ввод!$J$19)/100),IF(AND(ISNUMBER(I169),ISNUMBER(J169),I169&gt;0),J169/(1+N(Ввод!$J$19)/100),""))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71" t="str">
        <f>IF(AND(ISNUMBER(F170),ISNUMBER(G170)),F170*G170,"")</f>
        <v/>
      </c>
      <c r="I170" s="246" t="n"/>
      <c r="J170" s="183" t="n"/>
      <c r="K170" s="271" t="str">
        <f>IF(AND(ISNUMBER(I170),ISNUMBER(J170)),I170*J170,"")</f>
        <v/>
      </c>
      <c r="L170" s="246" t="str">
        <f>IF(COUNT(F170,I170)=0,"",N(F170)-N(I170))</f>
        <v/>
      </c>
      <c r="M170" s="247" t="str">
        <f>IF(COUNT(H170,K170)=0,"",N(K170)-N(H170))</f>
        <v/>
      </c>
      <c r="N170" s="246" t="str">
        <f>IF(AND(ISNUMBER(F170),ISNUMBER(G170),F170&gt;0,1-N(Ввод!$J$19)/100&gt;0),G170/(1-N(Ввод!$J$19)/100),IF(AND(ISNUMBER(I170),ISNUMBER(J170),I170&gt;0),J170/(1+N(Ввод!$J$19)/100),""))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71" t="str">
        <f>IF(AND(ISNUMBER(F171),ISNUMBER(G171)),F171*G171,"")</f>
        <v/>
      </c>
      <c r="I171" s="240" t="n"/>
      <c r="J171" s="177" t="n"/>
      <c r="K171" s="271" t="str">
        <f>IF(AND(ISNUMBER(I171),ISNUMBER(J171)),I171*J171,"")</f>
        <v/>
      </c>
      <c r="L171" s="240" t="str">
        <f>IF(COUNT(F171,I171)=0,"",N(F171)-N(I171))</f>
        <v/>
      </c>
      <c r="M171" s="241" t="str">
        <f>IF(COUNT(H171,K171)=0,"",N(K171)-N(H171))</f>
        <v/>
      </c>
      <c r="N171" s="240" t="str">
        <f>IF(AND(ISNUMBER(F171),ISNUMBER(G171),F171&gt;0,1-N(Ввод!$J$19)/100&gt;0),G171/(1-N(Ввод!$J$19)/100),IF(AND(ISNUMBER(I171),ISNUMBER(J171),I171&gt;0),J171/(1+N(Ввод!$J$19)/100),""))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71" t="str">
        <f>IF(AND(ISNUMBER(F172),ISNUMBER(G172)),F172*G172,"")</f>
        <v/>
      </c>
      <c r="I172" s="246" t="n"/>
      <c r="J172" s="183" t="n"/>
      <c r="K172" s="271" t="str">
        <f>IF(AND(ISNUMBER(I172),ISNUMBER(J172)),I172*J172,"")</f>
        <v/>
      </c>
      <c r="L172" s="246" t="str">
        <f>IF(COUNT(F172,I172)=0,"",N(F172)-N(I172))</f>
        <v/>
      </c>
      <c r="M172" s="247" t="str">
        <f>IF(COUNT(H172,K172)=0,"",N(K172)-N(H172))</f>
        <v/>
      </c>
      <c r="N172" s="246" t="str">
        <f>IF(AND(ISNUMBER(F172),ISNUMBER(G172),F172&gt;0,1-N(Ввод!$J$19)/100&gt;0),G172/(1-N(Ввод!$J$19)/100),IF(AND(ISNUMBER(I172),ISNUMBER(J172),I172&gt;0),J172/(1+N(Ввод!$J$19)/100),""))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71" t="str">
        <f>IF(AND(ISNUMBER(F173),ISNUMBER(G173)),F173*G173,"")</f>
        <v/>
      </c>
      <c r="I173" s="240" t="n"/>
      <c r="J173" s="177" t="n"/>
      <c r="K173" s="271" t="str">
        <f>IF(AND(ISNUMBER(I173),ISNUMBER(J173)),I173*J173,"")</f>
        <v/>
      </c>
      <c r="L173" s="240" t="str">
        <f>IF(COUNT(F173,I173)=0,"",N(F173)-N(I173))</f>
        <v/>
      </c>
      <c r="M173" s="241" t="str">
        <f>IF(COUNT(H173,K173)=0,"",N(K173)-N(H173))</f>
        <v/>
      </c>
      <c r="N173" s="240" t="str">
        <f>IF(AND(ISNUMBER(F173),ISNUMBER(G173),F173&gt;0,1-N(Ввод!$J$19)/100&gt;0),G173/(1-N(Ввод!$J$19)/100),IF(AND(ISNUMBER(I173),ISNUMBER(J173),I173&gt;0),J173/(1+N(Ввод!$J$19)/100),""))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71" t="str">
        <f>IF(AND(ISNUMBER(F174),ISNUMBER(G174)),F174*G174,"")</f>
        <v/>
      </c>
      <c r="I174" s="246" t="n"/>
      <c r="J174" s="183" t="n"/>
      <c r="K174" s="271" t="str">
        <f>IF(AND(ISNUMBER(I174),ISNUMBER(J174)),I174*J174,"")</f>
        <v/>
      </c>
      <c r="L174" s="246" t="str">
        <f>IF(COUNT(F174,I174)=0,"",N(F174)-N(I174))</f>
        <v/>
      </c>
      <c r="M174" s="247" t="str">
        <f>IF(COUNT(H174,K174)=0,"",N(K174)-N(H174))</f>
        <v/>
      </c>
      <c r="N174" s="246" t="str">
        <f>IF(AND(ISNUMBER(F174),ISNUMBER(G174),F174&gt;0,1-N(Ввод!$J$19)/100&gt;0),G174/(1-N(Ввод!$J$19)/100),IF(AND(ISNUMBER(I174),ISNUMBER(J174),I174&gt;0),J174/(1+N(Ввод!$J$19)/100),""))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71" t="str">
        <f>IF(AND(ISNUMBER(F175),ISNUMBER(G175)),F175*G175,"")</f>
        <v/>
      </c>
      <c r="I175" s="240" t="n"/>
      <c r="J175" s="177" t="n"/>
      <c r="K175" s="271" t="str">
        <f>IF(AND(ISNUMBER(I175),ISNUMBER(J175)),I175*J175,"")</f>
        <v/>
      </c>
      <c r="L175" s="240" t="str">
        <f>IF(COUNT(F175,I175)=0,"",N(F175)-N(I175))</f>
        <v/>
      </c>
      <c r="M175" s="241" t="str">
        <f>IF(COUNT(H175,K175)=0,"",N(K175)-N(H175))</f>
        <v/>
      </c>
      <c r="N175" s="240" t="str">
        <f>IF(AND(ISNUMBER(F175),ISNUMBER(G175),F175&gt;0,1-N(Ввод!$J$19)/100&gt;0),G175/(1-N(Ввод!$J$19)/100),IF(AND(ISNUMBER(I175),ISNUMBER(J175),I175&gt;0),J175/(1+N(Ввод!$J$19)/100),""))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71" t="str">
        <f>IF(AND(ISNUMBER(F176),ISNUMBER(G176)),F176*G176,"")</f>
        <v/>
      </c>
      <c r="I176" s="246" t="n"/>
      <c r="J176" s="183" t="n"/>
      <c r="K176" s="271" t="str">
        <f>IF(AND(ISNUMBER(I176),ISNUMBER(J176)),I176*J176,"")</f>
        <v/>
      </c>
      <c r="L176" s="246" t="str">
        <f>IF(COUNT(F176,I176)=0,"",N(F176)-N(I176))</f>
        <v/>
      </c>
      <c r="M176" s="247" t="str">
        <f>IF(COUNT(H176,K176)=0,"",N(K176)-N(H176))</f>
        <v/>
      </c>
      <c r="N176" s="246" t="str">
        <f>IF(AND(ISNUMBER(F176),ISNUMBER(G176),F176&gt;0,1-N(Ввод!$J$19)/100&gt;0),G176/(1-N(Ввод!$J$19)/100),IF(AND(ISNUMBER(I176),ISNUMBER(J176),I176&gt;0),J176/(1+N(Ввод!$J$19)/100),""))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71" t="str">
        <f>IF(AND(ISNUMBER(F177),ISNUMBER(G177)),F177*G177,"")</f>
        <v/>
      </c>
      <c r="I177" s="240" t="n"/>
      <c r="J177" s="177" t="n"/>
      <c r="K177" s="271" t="str">
        <f>IF(AND(ISNUMBER(I177),ISNUMBER(J177)),I177*J177,"")</f>
        <v/>
      </c>
      <c r="L177" s="240" t="str">
        <f>IF(COUNT(F177,I177)=0,"",N(F177)-N(I177))</f>
        <v/>
      </c>
      <c r="M177" s="241" t="str">
        <f>IF(COUNT(H177,K177)=0,"",N(K177)-N(H177))</f>
        <v/>
      </c>
      <c r="N177" s="240" t="str">
        <f>IF(AND(ISNUMBER(F177),ISNUMBER(G177),F177&gt;0,1-N(Ввод!$J$19)/100&gt;0),G177/(1-N(Ввод!$J$19)/100),IF(AND(ISNUMBER(I177),ISNUMBER(J177),I177&gt;0),J177/(1+N(Ввод!$J$19)/100),""))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71" t="str">
        <f>IF(AND(ISNUMBER(F178),ISNUMBER(G178)),F178*G178,"")</f>
        <v/>
      </c>
      <c r="I178" s="246" t="n"/>
      <c r="J178" s="183" t="n"/>
      <c r="K178" s="271" t="str">
        <f>IF(AND(ISNUMBER(I178),ISNUMBER(J178)),I178*J178,"")</f>
        <v/>
      </c>
      <c r="L178" s="246" t="str">
        <f>IF(COUNT(F178,I178)=0,"",N(F178)-N(I178))</f>
        <v/>
      </c>
      <c r="M178" s="247" t="str">
        <f>IF(COUNT(H178,K178)=0,"",N(K178)-N(H178))</f>
        <v/>
      </c>
      <c r="N178" s="246" t="str">
        <f>IF(AND(ISNUMBER(F178),ISNUMBER(G178),F178&gt;0,1-N(Ввод!$J$19)/100&gt;0),G178/(1-N(Ввод!$J$19)/100),IF(AND(ISNUMBER(I178),ISNUMBER(J178),I178&gt;0),J178/(1+N(Ввод!$J$19)/100),""))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71" t="str">
        <f>IF(AND(ISNUMBER(F179),ISNUMBER(G179)),F179*G179,"")</f>
        <v/>
      </c>
      <c r="I179" s="240" t="n"/>
      <c r="J179" s="177" t="n"/>
      <c r="K179" s="271" t="str">
        <f>IF(AND(ISNUMBER(I179),ISNUMBER(J179)),I179*J179,"")</f>
        <v/>
      </c>
      <c r="L179" s="240" t="str">
        <f>IF(COUNT(F179,I179)=0,"",N(F179)-N(I179))</f>
        <v/>
      </c>
      <c r="M179" s="241" t="str">
        <f>IF(COUNT(H179,K179)=0,"",N(K179)-N(H179))</f>
        <v/>
      </c>
      <c r="N179" s="240" t="str">
        <f>IF(AND(ISNUMBER(F179),ISNUMBER(G179),F179&gt;0,1-N(Ввод!$J$19)/100&gt;0),G179/(1-N(Ввод!$J$19)/100),IF(AND(ISNUMBER(I179),ISNUMBER(J179),I179&gt;0),J179/(1+N(Ввод!$J$19)/100),""))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71" t="str">
        <f>IF(AND(ISNUMBER(F180),ISNUMBER(G180)),F180*G180,"")</f>
        <v/>
      </c>
      <c r="I180" s="246" t="n"/>
      <c r="J180" s="183" t="n"/>
      <c r="K180" s="271" t="str">
        <f>IF(AND(ISNUMBER(I180),ISNUMBER(J180)),I180*J180,"")</f>
        <v/>
      </c>
      <c r="L180" s="246" t="str">
        <f>IF(COUNT(F180,I180)=0,"",N(F180)-N(I180))</f>
        <v/>
      </c>
      <c r="M180" s="247" t="str">
        <f>IF(COUNT(H180,K180)=0,"",N(K180)-N(H180))</f>
        <v/>
      </c>
      <c r="N180" s="246" t="str">
        <f>IF(AND(ISNUMBER(F180),ISNUMBER(G180),F180&gt;0,1-N(Ввод!$J$19)/100&gt;0),G180/(1-N(Ввод!$J$19)/100),IF(AND(ISNUMBER(I180),ISNUMBER(J180),I180&gt;0),J180/(1+N(Ввод!$J$19)/100),""))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71" t="str">
        <f>IF(AND(ISNUMBER(F181),ISNUMBER(G181)),F181*G181,"")</f>
        <v/>
      </c>
      <c r="I181" s="240" t="n"/>
      <c r="J181" s="177" t="n"/>
      <c r="K181" s="271" t="str">
        <f>IF(AND(ISNUMBER(I181),ISNUMBER(J181)),I181*J181,"")</f>
        <v/>
      </c>
      <c r="L181" s="240" t="str">
        <f>IF(COUNT(F181,I181)=0,"",N(F181)-N(I181))</f>
        <v/>
      </c>
      <c r="M181" s="241" t="str">
        <f>IF(COUNT(H181,K181)=0,"",N(K181)-N(H181))</f>
        <v/>
      </c>
      <c r="N181" s="240" t="str">
        <f>IF(AND(ISNUMBER(F181),ISNUMBER(G181),F181&gt;0,1-N(Ввод!$J$19)/100&gt;0),G181/(1-N(Ввод!$J$19)/100),IF(AND(ISNUMBER(I181),ISNUMBER(J181),I181&gt;0),J181/(1+N(Ввод!$J$19)/100),""))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71" t="str">
        <f>IF(AND(ISNUMBER(F182),ISNUMBER(G182)),F182*G182,"")</f>
        <v/>
      </c>
      <c r="I182" s="246" t="n"/>
      <c r="J182" s="183" t="n"/>
      <c r="K182" s="271" t="str">
        <f>IF(AND(ISNUMBER(I182),ISNUMBER(J182)),I182*J182,"")</f>
        <v/>
      </c>
      <c r="L182" s="246" t="str">
        <f>IF(COUNT(F182,I182)=0,"",N(F182)-N(I182))</f>
        <v/>
      </c>
      <c r="M182" s="247" t="str">
        <f>IF(COUNT(H182,K182)=0,"",N(K182)-N(H182))</f>
        <v/>
      </c>
      <c r="N182" s="246" t="str">
        <f>IF(AND(ISNUMBER(F182),ISNUMBER(G182),F182&gt;0,1-N(Ввод!$J$19)/100&gt;0),G182/(1-N(Ввод!$J$19)/100),IF(AND(ISNUMBER(I182),ISNUMBER(J182),I182&gt;0),J182/(1+N(Ввод!$J$19)/100),""))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71" t="str">
        <f>IF(AND(ISNUMBER(F183),ISNUMBER(G183)),F183*G183,"")</f>
        <v/>
      </c>
      <c r="I183" s="240" t="n"/>
      <c r="J183" s="177" t="n"/>
      <c r="K183" s="271" t="str">
        <f>IF(AND(ISNUMBER(I183),ISNUMBER(J183)),I183*J183,"")</f>
        <v/>
      </c>
      <c r="L183" s="240" t="str">
        <f>IF(COUNT(F183,I183)=0,"",N(F183)-N(I183))</f>
        <v/>
      </c>
      <c r="M183" s="241" t="str">
        <f>IF(COUNT(H183,K183)=0,"",N(K183)-N(H183))</f>
        <v/>
      </c>
      <c r="N183" s="240" t="str">
        <f>IF(AND(ISNUMBER(F183),ISNUMBER(G183),F183&gt;0,1-N(Ввод!$J$19)/100&gt;0),G183/(1-N(Ввод!$J$19)/100),IF(AND(ISNUMBER(I183),ISNUMBER(J183),I183&gt;0),J183/(1+N(Ввод!$J$19)/100),""))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71" t="str">
        <f>IF(AND(ISNUMBER(F184),ISNUMBER(G184)),F184*G184,"")</f>
        <v/>
      </c>
      <c r="I184" s="246" t="n"/>
      <c r="J184" s="183" t="n"/>
      <c r="K184" s="271" t="str">
        <f>IF(AND(ISNUMBER(I184),ISNUMBER(J184)),I184*J184,"")</f>
        <v/>
      </c>
      <c r="L184" s="246" t="str">
        <f>IF(COUNT(F184,I184)=0,"",N(F184)-N(I184))</f>
        <v/>
      </c>
      <c r="M184" s="247" t="str">
        <f>IF(COUNT(H184,K184)=0,"",N(K184)-N(H184))</f>
        <v/>
      </c>
      <c r="N184" s="246" t="str">
        <f>IF(AND(ISNUMBER(F184),ISNUMBER(G184),F184&gt;0,1-N(Ввод!$J$19)/100&gt;0),G184/(1-N(Ввод!$J$19)/100),IF(AND(ISNUMBER(I184),ISNUMBER(J184),I184&gt;0),J184/(1+N(Ввод!$J$19)/100),""))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71" t="str">
        <f>IF(AND(ISNUMBER(F185),ISNUMBER(G185)),F185*G185,"")</f>
        <v/>
      </c>
      <c r="I185" s="240" t="n"/>
      <c r="J185" s="177" t="n"/>
      <c r="K185" s="271" t="str">
        <f>IF(AND(ISNUMBER(I185),ISNUMBER(J185)),I185*J185,"")</f>
        <v/>
      </c>
      <c r="L185" s="240" t="str">
        <f>IF(COUNT(F185,I185)=0,"",N(F185)-N(I185))</f>
        <v/>
      </c>
      <c r="M185" s="241" t="str">
        <f>IF(COUNT(H185,K185)=0,"",N(K185)-N(H185))</f>
        <v/>
      </c>
      <c r="N185" s="240" t="str">
        <f>IF(AND(ISNUMBER(F185),ISNUMBER(G185),F185&gt;0,1-N(Ввод!$J$19)/100&gt;0),G185/(1-N(Ввод!$J$19)/100),IF(AND(ISNUMBER(I185),ISNUMBER(J185),I185&gt;0),J185/(1+N(Ввод!$J$19)/100),""))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71" t="str">
        <f>IF(AND(ISNUMBER(F186),ISNUMBER(G186)),F186*G186,"")</f>
        <v/>
      </c>
      <c r="I186" s="246" t="n"/>
      <c r="J186" s="183" t="n"/>
      <c r="K186" s="271" t="str">
        <f>IF(AND(ISNUMBER(I186),ISNUMBER(J186)),I186*J186,"")</f>
        <v/>
      </c>
      <c r="L186" s="246" t="str">
        <f>IF(COUNT(F186,I186)=0,"",N(F186)-N(I186))</f>
        <v/>
      </c>
      <c r="M186" s="247" t="str">
        <f>IF(COUNT(H186,K186)=0,"",N(K186)-N(H186))</f>
        <v/>
      </c>
      <c r="N186" s="246" t="str">
        <f>IF(AND(ISNUMBER(F186),ISNUMBER(G186),F186&gt;0,1-N(Ввод!$J$19)/100&gt;0),G186/(1-N(Ввод!$J$19)/100),IF(AND(ISNUMBER(I186),ISNUMBER(J186),I186&gt;0),J186/(1+N(Ввод!$J$19)/100),""))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71" t="str">
        <f>IF(AND(ISNUMBER(F187),ISNUMBER(G187)),F187*G187,"")</f>
        <v/>
      </c>
      <c r="I187" s="240" t="n"/>
      <c r="J187" s="177" t="n"/>
      <c r="K187" s="271" t="str">
        <f>IF(AND(ISNUMBER(I187),ISNUMBER(J187)),I187*J187,"")</f>
        <v/>
      </c>
      <c r="L187" s="240" t="str">
        <f>IF(COUNT(F187,I187)=0,"",N(F187)-N(I187))</f>
        <v/>
      </c>
      <c r="M187" s="241" t="str">
        <f>IF(COUNT(H187,K187)=0,"",N(K187)-N(H187))</f>
        <v/>
      </c>
      <c r="N187" s="240" t="str">
        <f>IF(AND(ISNUMBER(F187),ISNUMBER(G187),F187&gt;0,1-N(Ввод!$J$19)/100&gt;0),G187/(1-N(Ввод!$J$19)/100),IF(AND(ISNUMBER(I187),ISNUMBER(J187),I187&gt;0),J187/(1+N(Ввод!$J$19)/100),""))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71" t="str">
        <f>IF(AND(ISNUMBER(F188),ISNUMBER(G188)),F188*G188,"")</f>
        <v/>
      </c>
      <c r="I188" s="246" t="n"/>
      <c r="J188" s="183" t="n"/>
      <c r="K188" s="271" t="str">
        <f>IF(AND(ISNUMBER(I188),ISNUMBER(J188)),I188*J188,"")</f>
        <v/>
      </c>
      <c r="L188" s="246" t="str">
        <f>IF(COUNT(F188,I188)=0,"",N(F188)-N(I188))</f>
        <v/>
      </c>
      <c r="M188" s="247" t="str">
        <f>IF(COUNT(H188,K188)=0,"",N(K188)-N(H188))</f>
        <v/>
      </c>
      <c r="N188" s="246" t="str">
        <f>IF(AND(ISNUMBER(F188),ISNUMBER(G188),F188&gt;0,1-N(Ввод!$J$19)/100&gt;0),G188/(1-N(Ввод!$J$19)/100),IF(AND(ISNUMBER(I188),ISNUMBER(J188),I188&gt;0),J188/(1+N(Ввод!$J$19)/100),""))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71" t="str">
        <f>IF(AND(ISNUMBER(F189),ISNUMBER(G189)),F189*G189,"")</f>
        <v/>
      </c>
      <c r="I189" s="240" t="n"/>
      <c r="J189" s="177" t="n"/>
      <c r="K189" s="271" t="str">
        <f>IF(AND(ISNUMBER(I189),ISNUMBER(J189)),I189*J189,"")</f>
        <v/>
      </c>
      <c r="L189" s="240" t="str">
        <f>IF(COUNT(F189,I189)=0,"",N(F189)-N(I189))</f>
        <v/>
      </c>
      <c r="M189" s="241" t="str">
        <f>IF(COUNT(H189,K189)=0,"",N(K189)-N(H189))</f>
        <v/>
      </c>
      <c r="N189" s="240" t="str">
        <f>IF(AND(ISNUMBER(F189),ISNUMBER(G189),F189&gt;0,1-N(Ввод!$J$19)/100&gt;0),G189/(1-N(Ввод!$J$19)/100),IF(AND(ISNUMBER(I189),ISNUMBER(J189),I189&gt;0),J189/(1+N(Ввод!$J$19)/100),""))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71" t="str">
        <f>IF(AND(ISNUMBER(F190),ISNUMBER(G190)),F190*G190,"")</f>
        <v/>
      </c>
      <c r="I190" s="246" t="n"/>
      <c r="J190" s="183" t="n"/>
      <c r="K190" s="271" t="str">
        <f>IF(AND(ISNUMBER(I190),ISNUMBER(J190)),I190*J190,"")</f>
        <v/>
      </c>
      <c r="L190" s="246" t="str">
        <f>IF(COUNT(F190,I190)=0,"",N(F190)-N(I190))</f>
        <v/>
      </c>
      <c r="M190" s="247" t="str">
        <f>IF(COUNT(H190,K190)=0,"",N(K190)-N(H190))</f>
        <v/>
      </c>
      <c r="N190" s="246" t="str">
        <f>IF(AND(ISNUMBER(F190),ISNUMBER(G190),F190&gt;0,1-N(Ввод!$J$19)/100&gt;0),G190/(1-N(Ввод!$J$19)/100),IF(AND(ISNUMBER(I190),ISNUMBER(J190),I190&gt;0),J190/(1+N(Ввод!$J$19)/100),""))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71" t="str">
        <f>IF(AND(ISNUMBER(F191),ISNUMBER(G191)),F191*G191,"")</f>
        <v/>
      </c>
      <c r="I191" s="240" t="n"/>
      <c r="J191" s="177" t="n"/>
      <c r="K191" s="271" t="str">
        <f>IF(AND(ISNUMBER(I191),ISNUMBER(J191)),I191*J191,"")</f>
        <v/>
      </c>
      <c r="L191" s="240" t="str">
        <f>IF(COUNT(F191,I191)=0,"",N(F191)-N(I191))</f>
        <v/>
      </c>
      <c r="M191" s="241" t="str">
        <f>IF(COUNT(H191,K191)=0,"",N(K191)-N(H191))</f>
        <v/>
      </c>
      <c r="N191" s="240" t="str">
        <f>IF(AND(ISNUMBER(F191),ISNUMBER(G191),F191&gt;0,1-N(Ввод!$J$19)/100&gt;0),G191/(1-N(Ввод!$J$19)/100),IF(AND(ISNUMBER(I191),ISNUMBER(J191),I191&gt;0),J191/(1+N(Ввод!$J$19)/100),""))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71" t="str">
        <f>IF(AND(ISNUMBER(F192),ISNUMBER(G192)),F192*G192,"")</f>
        <v/>
      </c>
      <c r="I192" s="246" t="n"/>
      <c r="J192" s="183" t="n"/>
      <c r="K192" s="271" t="str">
        <f>IF(AND(ISNUMBER(I192),ISNUMBER(J192)),I192*J192,"")</f>
        <v/>
      </c>
      <c r="L192" s="246" t="str">
        <f>IF(COUNT(F192,I192)=0,"",N(F192)-N(I192))</f>
        <v/>
      </c>
      <c r="M192" s="247" t="str">
        <f>IF(COUNT(H192,K192)=0,"",N(K192)-N(H192))</f>
        <v/>
      </c>
      <c r="N192" s="246" t="str">
        <f>IF(AND(ISNUMBER(F192),ISNUMBER(G192),F192&gt;0,1-N(Ввод!$J$19)/100&gt;0),G192/(1-N(Ввод!$J$19)/100),IF(AND(ISNUMBER(I192),ISNUMBER(J192),I192&gt;0),J192/(1+N(Ввод!$J$19)/100),""))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71" t="str">
        <f>IF(AND(ISNUMBER(F193),ISNUMBER(G193)),F193*G193,"")</f>
        <v/>
      </c>
      <c r="I193" s="240" t="n"/>
      <c r="J193" s="177" t="n"/>
      <c r="K193" s="271" t="str">
        <f>IF(AND(ISNUMBER(I193),ISNUMBER(J193)),I193*J193,"")</f>
        <v/>
      </c>
      <c r="L193" s="240" t="str">
        <f>IF(COUNT(F193,I193)=0,"",N(F193)-N(I193))</f>
        <v/>
      </c>
      <c r="M193" s="241" t="str">
        <f>IF(COUNT(H193,K193)=0,"",N(K193)-N(H193))</f>
        <v/>
      </c>
      <c r="N193" s="240" t="str">
        <f>IF(AND(ISNUMBER(F193),ISNUMBER(G193),F193&gt;0,1-N(Ввод!$J$19)/100&gt;0),G193/(1-N(Ввод!$J$19)/100),IF(AND(ISNUMBER(I193),ISNUMBER(J193),I193&gt;0),J193/(1+N(Ввод!$J$19)/100),""))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71" t="str">
        <f>IF(AND(ISNUMBER(F194),ISNUMBER(G194)),F194*G194,"")</f>
        <v/>
      </c>
      <c r="I194" s="246" t="n"/>
      <c r="J194" s="183" t="n"/>
      <c r="K194" s="271" t="str">
        <f>IF(AND(ISNUMBER(I194),ISNUMBER(J194)),I194*J194,"")</f>
        <v/>
      </c>
      <c r="L194" s="246" t="str">
        <f>IF(COUNT(F194,I194)=0,"",N(F194)-N(I194))</f>
        <v/>
      </c>
      <c r="M194" s="247" t="str">
        <f>IF(COUNT(H194,K194)=0,"",N(K194)-N(H194))</f>
        <v/>
      </c>
      <c r="N194" s="246" t="str">
        <f>IF(AND(ISNUMBER(F194),ISNUMBER(G194),F194&gt;0,1-N(Ввод!$J$19)/100&gt;0),G194/(1-N(Ввод!$J$19)/100),IF(AND(ISNUMBER(I194),ISNUMBER(J194),I194&gt;0),J194/(1+N(Ввод!$J$19)/100),""))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71" t="str">
        <f>IF(AND(ISNUMBER(F195),ISNUMBER(G195)),F195*G195,"")</f>
        <v/>
      </c>
      <c r="I195" s="240" t="n"/>
      <c r="J195" s="177" t="n"/>
      <c r="K195" s="271" t="str">
        <f>IF(AND(ISNUMBER(I195),ISNUMBER(J195)),I195*J195,"")</f>
        <v/>
      </c>
      <c r="L195" s="240" t="str">
        <f>IF(COUNT(F195,I195)=0,"",N(F195)-N(I195))</f>
        <v/>
      </c>
      <c r="M195" s="241" t="str">
        <f>IF(COUNT(H195,K195)=0,"",N(K195)-N(H195))</f>
        <v/>
      </c>
      <c r="N195" s="240" t="str">
        <f>IF(AND(ISNUMBER(F195),ISNUMBER(G195),F195&gt;0,1-N(Ввод!$J$19)/100&gt;0),G195/(1-N(Ввод!$J$19)/100),IF(AND(ISNUMBER(I195),ISNUMBER(J195),I195&gt;0),J195/(1+N(Ввод!$J$19)/100),""))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71" t="str">
        <f>IF(AND(ISNUMBER(F196),ISNUMBER(G196)),F196*G196,"")</f>
        <v/>
      </c>
      <c r="I196" s="246" t="n"/>
      <c r="J196" s="183" t="n"/>
      <c r="K196" s="271" t="str">
        <f>IF(AND(ISNUMBER(I196),ISNUMBER(J196)),I196*J196,"")</f>
        <v/>
      </c>
      <c r="L196" s="246" t="str">
        <f>IF(COUNT(F196,I196)=0,"",N(F196)-N(I196))</f>
        <v/>
      </c>
      <c r="M196" s="247" t="str">
        <f>IF(COUNT(H196,K196)=0,"",N(K196)-N(H196))</f>
        <v/>
      </c>
      <c r="N196" s="246" t="str">
        <f>IF(AND(ISNUMBER(F196),ISNUMBER(G196),F196&gt;0,1-N(Ввод!$J$19)/100&gt;0),G196/(1-N(Ввод!$J$19)/100),IF(AND(ISNUMBER(I196),ISNUMBER(J196),I196&gt;0),J196/(1+N(Ввод!$J$19)/100),""))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71" t="str">
        <f>IF(AND(ISNUMBER(F197),ISNUMBER(G197)),F197*G197,"")</f>
        <v/>
      </c>
      <c r="I197" s="240" t="n"/>
      <c r="J197" s="177" t="n"/>
      <c r="K197" s="271" t="str">
        <f>IF(AND(ISNUMBER(I197),ISNUMBER(J197)),I197*J197,"")</f>
        <v/>
      </c>
      <c r="L197" s="240" t="str">
        <f>IF(COUNT(F197,I197)=0,"",N(F197)-N(I197))</f>
        <v/>
      </c>
      <c r="M197" s="241" t="str">
        <f>IF(COUNT(H197,K197)=0,"",N(K197)-N(H197))</f>
        <v/>
      </c>
      <c r="N197" s="240" t="str">
        <f>IF(AND(ISNUMBER(F197),ISNUMBER(G197),F197&gt;0,1-N(Ввод!$J$19)/100&gt;0),G197/(1-N(Ввод!$J$19)/100),IF(AND(ISNUMBER(I197),ISNUMBER(J197),I197&gt;0),J197/(1+N(Ввод!$J$19)/100),""))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71" t="str">
        <f>IF(AND(ISNUMBER(F198),ISNUMBER(G198)),F198*G198,"")</f>
        <v/>
      </c>
      <c r="I198" s="246" t="n"/>
      <c r="J198" s="183" t="n"/>
      <c r="K198" s="271" t="str">
        <f>IF(AND(ISNUMBER(I198),ISNUMBER(J198)),I198*J198,"")</f>
        <v/>
      </c>
      <c r="L198" s="246" t="str">
        <f>IF(COUNT(F198,I198)=0,"",N(F198)-N(I198))</f>
        <v/>
      </c>
      <c r="M198" s="247" t="str">
        <f>IF(COUNT(H198,K198)=0,"",N(K198)-N(H198))</f>
        <v/>
      </c>
      <c r="N198" s="246" t="str">
        <f>IF(AND(ISNUMBER(F198),ISNUMBER(G198),F198&gt;0,1-N(Ввод!$J$19)/100&gt;0),G198/(1-N(Ввод!$J$19)/100),IF(AND(ISNUMBER(I198),ISNUMBER(J198),I198&gt;0),J198/(1+N(Ввод!$J$19)/100),""))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71" t="str">
        <f>IF(AND(ISNUMBER(F199),ISNUMBER(G199)),F199*G199,"")</f>
        <v/>
      </c>
      <c r="I199" s="240" t="n"/>
      <c r="J199" s="177" t="n"/>
      <c r="K199" s="271" t="str">
        <f>IF(AND(ISNUMBER(I199),ISNUMBER(J199)),I199*J199,"")</f>
        <v/>
      </c>
      <c r="L199" s="240" t="str">
        <f>IF(COUNT(F199,I199)=0,"",N(F199)-N(I199))</f>
        <v/>
      </c>
      <c r="M199" s="241" t="str">
        <f>IF(COUNT(H199,K199)=0,"",N(K199)-N(H199))</f>
        <v/>
      </c>
      <c r="N199" s="240" t="str">
        <f>IF(AND(ISNUMBER(F199),ISNUMBER(G199),F199&gt;0,1-N(Ввод!$J$19)/100&gt;0),G199/(1-N(Ввод!$J$19)/100),IF(AND(ISNUMBER(I199),ISNUMBER(J199),I199&gt;0),J199/(1+N(Ввод!$J$19)/100),""))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71" t="str">
        <f>IF(AND(ISNUMBER(F200),ISNUMBER(G200)),F200*G200,"")</f>
        <v/>
      </c>
      <c r="I200" s="246" t="n"/>
      <c r="J200" s="183" t="n"/>
      <c r="K200" s="271" t="str">
        <f>IF(AND(ISNUMBER(I200),ISNUMBER(J200)),I200*J200,"")</f>
        <v/>
      </c>
      <c r="L200" s="246" t="str">
        <f>IF(COUNT(F200,I200)=0,"",N(F200)-N(I200))</f>
        <v/>
      </c>
      <c r="M200" s="247" t="str">
        <f>IF(COUNT(H200,K200)=0,"",N(K200)-N(H200))</f>
        <v/>
      </c>
      <c r="N200" s="246" t="str">
        <f>IF(AND(ISNUMBER(F200),ISNUMBER(G200),F200&gt;0,1-N(Ввод!$J$19)/100&gt;0),G200/(1-N(Ввод!$J$19)/100),IF(AND(ISNUMBER(I200),ISNUMBER(J200),I200&gt;0),J200/(1+N(Ввод!$J$19)/100),""))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71" t="str">
        <f>IF(AND(ISNUMBER(F201),ISNUMBER(G201)),F201*G201,"")</f>
        <v/>
      </c>
      <c r="I201" s="240" t="n"/>
      <c r="J201" s="177" t="n"/>
      <c r="K201" s="271" t="str">
        <f>IF(AND(ISNUMBER(I201),ISNUMBER(J201)),I201*J201,"")</f>
        <v/>
      </c>
      <c r="L201" s="240" t="str">
        <f>IF(COUNT(F201,I201)=0,"",N(F201)-N(I201))</f>
        <v/>
      </c>
      <c r="M201" s="241" t="str">
        <f>IF(COUNT(H201,K201)=0,"",N(K201)-N(H201))</f>
        <v/>
      </c>
      <c r="N201" s="240" t="str">
        <f>IF(AND(ISNUMBER(F201),ISNUMBER(G201),F201&gt;0,1-N(Ввод!$J$19)/100&gt;0),G201/(1-N(Ввод!$J$19)/100),IF(AND(ISNUMBER(I201),ISNUMBER(J201),I201&gt;0),J201/(1+N(Ввод!$J$19)/100),""))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71" t="str">
        <f>IF(AND(ISNUMBER(F202),ISNUMBER(G202)),F202*G202,"")</f>
        <v/>
      </c>
      <c r="I202" s="246" t="n"/>
      <c r="J202" s="183" t="n"/>
      <c r="K202" s="271" t="str">
        <f>IF(AND(ISNUMBER(I202),ISNUMBER(J202)),I202*J202,"")</f>
        <v/>
      </c>
      <c r="L202" s="246" t="str">
        <f>IF(COUNT(F202,I202)=0,"",N(F202)-N(I202))</f>
        <v/>
      </c>
      <c r="M202" s="247" t="str">
        <f>IF(COUNT(H202,K202)=0,"",N(K202)-N(H202))</f>
        <v/>
      </c>
      <c r="N202" s="246" t="str">
        <f>IF(AND(ISNUMBER(F202),ISNUMBER(G202),F202&gt;0,1-N(Ввод!$J$19)/100&gt;0),G202/(1-N(Ввод!$J$19)/100),IF(AND(ISNUMBER(I202),ISNUMBER(J202),I202&gt;0),J202/(1+N(Ввод!$J$19)/100),""))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71" t="str">
        <f>IF(AND(ISNUMBER(F203),ISNUMBER(G203)),F203*G203,"")</f>
        <v/>
      </c>
      <c r="I203" s="240" t="n"/>
      <c r="J203" s="177" t="n"/>
      <c r="K203" s="271" t="str">
        <f>IF(AND(ISNUMBER(I203),ISNUMBER(J203)),I203*J203,"")</f>
        <v/>
      </c>
      <c r="L203" s="240" t="str">
        <f>IF(COUNT(F203,I203)=0,"",N(F203)-N(I203))</f>
        <v/>
      </c>
      <c r="M203" s="241" t="str">
        <f>IF(COUNT(H203,K203)=0,"",N(K203)-N(H203))</f>
        <v/>
      </c>
      <c r="N203" s="240" t="str">
        <f>IF(AND(ISNUMBER(F203),ISNUMBER(G203),F203&gt;0,1-N(Ввод!$J$19)/100&gt;0),G203/(1-N(Ввод!$J$19)/100),IF(AND(ISNUMBER(I203),ISNUMBER(J203),I203&gt;0),J203/(1+N(Ввод!$J$19)/100),""))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71" t="str">
        <f>IF(AND(ISNUMBER(F204),ISNUMBER(G204)),F204*G204,"")</f>
        <v/>
      </c>
      <c r="I204" s="246" t="n"/>
      <c r="J204" s="183" t="n"/>
      <c r="K204" s="271" t="str">
        <f>IF(AND(ISNUMBER(I204),ISNUMBER(J204)),I204*J204,"")</f>
        <v/>
      </c>
      <c r="L204" s="246" t="str">
        <f>IF(COUNT(F204,I204)=0,"",N(F204)-N(I204))</f>
        <v/>
      </c>
      <c r="M204" s="247" t="str">
        <f>IF(COUNT(H204,K204)=0,"",N(K204)-N(H204))</f>
        <v/>
      </c>
      <c r="N204" s="246" t="str">
        <f>IF(AND(ISNUMBER(F204),ISNUMBER(G204),F204&gt;0,1-N(Ввод!$J$19)/100&gt;0),G204/(1-N(Ввод!$J$19)/100),IF(AND(ISNUMBER(I204),ISNUMBER(J204),I204&gt;0),J204/(1+N(Ввод!$J$19)/100),""))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71" t="str">
        <f>IF(AND(ISNUMBER(F205),ISNUMBER(G205)),F205*G205,"")</f>
        <v/>
      </c>
      <c r="I205" s="240" t="n"/>
      <c r="J205" s="177" t="n"/>
      <c r="K205" s="271" t="str">
        <f>IF(AND(ISNUMBER(I205),ISNUMBER(J205)),I205*J205,"")</f>
        <v/>
      </c>
      <c r="L205" s="240" t="str">
        <f>IF(COUNT(F205,I205)=0,"",N(F205)-N(I205))</f>
        <v/>
      </c>
      <c r="M205" s="241" t="str">
        <f>IF(COUNT(H205,K205)=0,"",N(K205)-N(H205))</f>
        <v/>
      </c>
      <c r="N205" s="240" t="str">
        <f>IF(AND(ISNUMBER(F205),ISNUMBER(G205),F205&gt;0,1-N(Ввод!$J$19)/100&gt;0),G205/(1-N(Ввод!$J$19)/100),IF(AND(ISNUMBER(I205),ISNUMBER(J205),I205&gt;0),J205/(1+N(Ввод!$J$19)/100),""))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71" t="str">
        <f>IF(AND(ISNUMBER(F206),ISNUMBER(G206)),F206*G206,"")</f>
        <v/>
      </c>
      <c r="I206" s="246" t="n"/>
      <c r="J206" s="183" t="n"/>
      <c r="K206" s="271" t="str">
        <f>IF(AND(ISNUMBER(I206),ISNUMBER(J206)),I206*J206,"")</f>
        <v/>
      </c>
      <c r="L206" s="246" t="str">
        <f>IF(COUNT(F206,I206)=0,"",N(F206)-N(I206))</f>
        <v/>
      </c>
      <c r="M206" s="247" t="str">
        <f>IF(COUNT(H206,K206)=0,"",N(K206)-N(H206))</f>
        <v/>
      </c>
      <c r="N206" s="246" t="str">
        <f>IF(AND(ISNUMBER(F206),ISNUMBER(G206),F206&gt;0,1-N(Ввод!$J$19)/100&gt;0),G206/(1-N(Ввод!$J$19)/100),IF(AND(ISNUMBER(I206),ISNUMBER(J206),I206&gt;0),J206/(1+N(Ввод!$J$19)/100),""))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71" t="str">
        <f>IF(AND(ISNUMBER(F207),ISNUMBER(G207)),F207*G207,"")</f>
        <v/>
      </c>
      <c r="I207" s="240" t="n"/>
      <c r="J207" s="177" t="n"/>
      <c r="K207" s="271" t="str">
        <f>IF(AND(ISNUMBER(I207),ISNUMBER(J207)),I207*J207,"")</f>
        <v/>
      </c>
      <c r="L207" s="240" t="str">
        <f>IF(COUNT(F207,I207)=0,"",N(F207)-N(I207))</f>
        <v/>
      </c>
      <c r="M207" s="241" t="str">
        <f>IF(COUNT(H207,K207)=0,"",N(K207)-N(H207))</f>
        <v/>
      </c>
      <c r="N207" s="240" t="str">
        <f>IF(AND(ISNUMBER(F207),ISNUMBER(G207),F207&gt;0,1-N(Ввод!$J$19)/100&gt;0),G207/(1-N(Ввод!$J$19)/100),IF(AND(ISNUMBER(I207),ISNUMBER(J207),I207&gt;0),J207/(1+N(Ввод!$J$19)/100),""))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71" t="str">
        <f>IF(AND(ISNUMBER(F208),ISNUMBER(G208)),F208*G208,"")</f>
        <v/>
      </c>
      <c r="I208" s="246" t="n"/>
      <c r="J208" s="183" t="n"/>
      <c r="K208" s="271" t="str">
        <f>IF(AND(ISNUMBER(I208),ISNUMBER(J208)),I208*J208,"")</f>
        <v/>
      </c>
      <c r="L208" s="246" t="str">
        <f>IF(COUNT(F208,I208)=0,"",N(F208)-N(I208))</f>
        <v/>
      </c>
      <c r="M208" s="247" t="str">
        <f>IF(COUNT(H208,K208)=0,"",N(K208)-N(H208))</f>
        <v/>
      </c>
      <c r="N208" s="246" t="str">
        <f>IF(AND(ISNUMBER(F208),ISNUMBER(G208),F208&gt;0,1-N(Ввод!$J$19)/100&gt;0),G208/(1-N(Ввод!$J$19)/100),IF(AND(ISNUMBER(I208),ISNUMBER(J208),I208&gt;0),J208/(1+N(Ввод!$J$19)/100),""))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71" t="str">
        <f>IF(AND(ISNUMBER(F209),ISNUMBER(G209)),F209*G209,"")</f>
        <v/>
      </c>
      <c r="I209" s="240" t="n"/>
      <c r="J209" s="177" t="n"/>
      <c r="K209" s="271" t="str">
        <f>IF(AND(ISNUMBER(I209),ISNUMBER(J209)),I209*J209,"")</f>
        <v/>
      </c>
      <c r="L209" s="240" t="str">
        <f>IF(COUNT(F209,I209)=0,"",N(F209)-N(I209))</f>
        <v/>
      </c>
      <c r="M209" s="241" t="str">
        <f>IF(COUNT(H209,K209)=0,"",N(K209)-N(H209))</f>
        <v/>
      </c>
      <c r="N209" s="240" t="str">
        <f>IF(AND(ISNUMBER(F209),ISNUMBER(G209),F209&gt;0,1-N(Ввод!$J$19)/100&gt;0),G209/(1-N(Ввод!$J$19)/100),IF(AND(ISNUMBER(I209),ISNUMBER(J209),I209&gt;0),J209/(1+N(Ввод!$J$19)/100),""))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71" t="str">
        <f>IF(AND(ISNUMBER(F210),ISNUMBER(G210)),F210*G210,"")</f>
        <v/>
      </c>
      <c r="I210" s="246" t="n"/>
      <c r="J210" s="183" t="n"/>
      <c r="K210" s="271" t="str">
        <f>IF(AND(ISNUMBER(I210),ISNUMBER(J210)),I210*J210,"")</f>
        <v/>
      </c>
      <c r="L210" s="246" t="str">
        <f>IF(COUNT(F210,I210)=0,"",N(F210)-N(I210))</f>
        <v/>
      </c>
      <c r="M210" s="247" t="str">
        <f>IF(COUNT(H210,K210)=0,"",N(K210)-N(H210))</f>
        <v/>
      </c>
      <c r="N210" s="246" t="str">
        <f>IF(AND(ISNUMBER(F210),ISNUMBER(G210),F210&gt;0,1-N(Ввод!$J$19)/100&gt;0),G210/(1-N(Ввод!$J$19)/100),IF(AND(ISNUMBER(I210),ISNUMBER(J210),I210&gt;0),J210/(1+N(Ввод!$J$19)/100),""))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71" t="str">
        <f>IF(AND(ISNUMBER(F211),ISNUMBER(G211)),F211*G211,"")</f>
        <v/>
      </c>
      <c r="I211" s="240" t="n"/>
      <c r="J211" s="177" t="n"/>
      <c r="K211" s="271" t="str">
        <f>IF(AND(ISNUMBER(I211),ISNUMBER(J211)),I211*J211,"")</f>
        <v/>
      </c>
      <c r="L211" s="240" t="str">
        <f>IF(COUNT(F211,I211)=0,"",N(F211)-N(I211))</f>
        <v/>
      </c>
      <c r="M211" s="241" t="str">
        <f>IF(COUNT(H211,K211)=0,"",N(K211)-N(H211))</f>
        <v/>
      </c>
      <c r="N211" s="240" t="str">
        <f>IF(AND(ISNUMBER(F211),ISNUMBER(G211),F211&gt;0,1-N(Ввод!$J$19)/100&gt;0),G211/(1-N(Ввод!$J$19)/100),IF(AND(ISNUMBER(I211),ISNUMBER(J211),I211&gt;0),J211/(1+N(Ввод!$J$19)/100),""))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71" t="str">
        <f>IF(AND(ISNUMBER(F212),ISNUMBER(G212)),F212*G212,"")</f>
        <v/>
      </c>
      <c r="I212" s="246" t="n"/>
      <c r="J212" s="183" t="n"/>
      <c r="K212" s="271" t="str">
        <f>IF(AND(ISNUMBER(I212),ISNUMBER(J212)),I212*J212,"")</f>
        <v/>
      </c>
      <c r="L212" s="246" t="str">
        <f>IF(COUNT(F212,I212)=0,"",N(F212)-N(I212))</f>
        <v/>
      </c>
      <c r="M212" s="247" t="str">
        <f>IF(COUNT(H212,K212)=0,"",N(K212)-N(H212))</f>
        <v/>
      </c>
      <c r="N212" s="246" t="str">
        <f>IF(AND(ISNUMBER(F212),ISNUMBER(G212),F212&gt;0,1-N(Ввод!$J$19)/100&gt;0),G212/(1-N(Ввод!$J$19)/100),IF(AND(ISNUMBER(I212),ISNUMBER(J212),I212&gt;0),J212/(1+N(Ввод!$J$19)/100),""))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71" t="str">
        <f>IF(AND(ISNUMBER(F213),ISNUMBER(G213)),F213*G213,"")</f>
        <v/>
      </c>
      <c r="I213" s="240" t="n"/>
      <c r="J213" s="177" t="n"/>
      <c r="K213" s="271" t="str">
        <f>IF(AND(ISNUMBER(I213),ISNUMBER(J213)),I213*J213,"")</f>
        <v/>
      </c>
      <c r="L213" s="240" t="str">
        <f>IF(COUNT(F213,I213)=0,"",N(F213)-N(I213))</f>
        <v/>
      </c>
      <c r="M213" s="241" t="str">
        <f>IF(COUNT(H213,K213)=0,"",N(K213)-N(H213))</f>
        <v/>
      </c>
      <c r="N213" s="240" t="str">
        <f>IF(AND(ISNUMBER(F213),ISNUMBER(G213),F213&gt;0,1-N(Ввод!$J$19)/100&gt;0),G213/(1-N(Ввод!$J$19)/100),IF(AND(ISNUMBER(I213),ISNUMBER(J213),I213&gt;0),J213/(1+N(Ввод!$J$19)/100),""))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71" t="str">
        <f>IF(AND(ISNUMBER(F214),ISNUMBER(G214)),F214*G214,"")</f>
        <v/>
      </c>
      <c r="I214" s="246" t="n"/>
      <c r="J214" s="183" t="n"/>
      <c r="K214" s="271" t="str">
        <f>IF(AND(ISNUMBER(I214),ISNUMBER(J214)),I214*J214,"")</f>
        <v/>
      </c>
      <c r="L214" s="246" t="str">
        <f>IF(COUNT(F214,I214)=0,"",N(F214)-N(I214))</f>
        <v/>
      </c>
      <c r="M214" s="247" t="str">
        <f>IF(COUNT(H214,K214)=0,"",N(K214)-N(H214))</f>
        <v/>
      </c>
      <c r="N214" s="246" t="str">
        <f>IF(AND(ISNUMBER(F214),ISNUMBER(G214),F214&gt;0,1-N(Ввод!$J$19)/100&gt;0),G214/(1-N(Ввод!$J$19)/100),IF(AND(ISNUMBER(I214),ISNUMBER(J214),I214&gt;0),J214/(1+N(Ввод!$J$19)/100),""))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71" t="str">
        <f>IF(AND(ISNUMBER(F215),ISNUMBER(G215)),F215*G215,"")</f>
        <v/>
      </c>
      <c r="I215" s="240" t="n"/>
      <c r="J215" s="177" t="n"/>
      <c r="K215" s="271" t="str">
        <f>IF(AND(ISNUMBER(I215),ISNUMBER(J215)),I215*J215,"")</f>
        <v/>
      </c>
      <c r="L215" s="240" t="str">
        <f>IF(COUNT(F215,I215)=0,"",N(F215)-N(I215))</f>
        <v/>
      </c>
      <c r="M215" s="241" t="str">
        <f>IF(COUNT(H215,K215)=0,"",N(K215)-N(H215))</f>
        <v/>
      </c>
      <c r="N215" s="240" t="str">
        <f>IF(AND(ISNUMBER(F215),ISNUMBER(G215),F215&gt;0,1-N(Ввод!$J$19)/100&gt;0),G215/(1-N(Ввод!$J$19)/100),IF(AND(ISNUMBER(I215),ISNUMBER(J215),I215&gt;0),J215/(1+N(Ввод!$J$19)/100),""))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71" t="str">
        <f>IF(AND(ISNUMBER(F216),ISNUMBER(G216)),F216*G216,"")</f>
        <v/>
      </c>
      <c r="I216" s="246" t="n"/>
      <c r="J216" s="183" t="n"/>
      <c r="K216" s="271" t="str">
        <f>IF(AND(ISNUMBER(I216),ISNUMBER(J216)),I216*J216,"")</f>
        <v/>
      </c>
      <c r="L216" s="246" t="str">
        <f>IF(COUNT(F216,I216)=0,"",N(F216)-N(I216))</f>
        <v/>
      </c>
      <c r="M216" s="247" t="str">
        <f>IF(COUNT(H216,K216)=0,"",N(K216)-N(H216))</f>
        <v/>
      </c>
      <c r="N216" s="246" t="str">
        <f>IF(AND(ISNUMBER(F216),ISNUMBER(G216),F216&gt;0,1-N(Ввод!$J$19)/100&gt;0),G216/(1-N(Ввод!$J$19)/100),IF(AND(ISNUMBER(I216),ISNUMBER(J216),I216&gt;0),J216/(1+N(Ввод!$J$19)/100),""))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71" t="str">
        <f>IF(AND(ISNUMBER(F217),ISNUMBER(G217)),F217*G217,"")</f>
        <v/>
      </c>
      <c r="I217" s="240" t="n"/>
      <c r="J217" s="177" t="n"/>
      <c r="K217" s="271" t="str">
        <f>IF(AND(ISNUMBER(I217),ISNUMBER(J217)),I217*J217,"")</f>
        <v/>
      </c>
      <c r="L217" s="240" t="str">
        <f>IF(COUNT(F217,I217)=0,"",N(F217)-N(I217))</f>
        <v/>
      </c>
      <c r="M217" s="241" t="str">
        <f>IF(COUNT(H217,K217)=0,"",N(K217)-N(H217))</f>
        <v/>
      </c>
      <c r="N217" s="240" t="str">
        <f>IF(AND(ISNUMBER(F217),ISNUMBER(G217),F217&gt;0,1-N(Ввод!$J$19)/100&gt;0),G217/(1-N(Ввод!$J$19)/100),IF(AND(ISNUMBER(I217),ISNUMBER(J217),I217&gt;0),J217/(1+N(Ввод!$J$19)/100),""))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71" t="str">
        <f>IF(AND(ISNUMBER(F218),ISNUMBER(G218)),F218*G218,"")</f>
        <v/>
      </c>
      <c r="I218" s="246" t="n"/>
      <c r="J218" s="183" t="n"/>
      <c r="K218" s="271" t="str">
        <f>IF(AND(ISNUMBER(I218),ISNUMBER(J218)),I218*J218,"")</f>
        <v/>
      </c>
      <c r="L218" s="246" t="str">
        <f>IF(COUNT(F218,I218)=0,"",N(F218)-N(I218))</f>
        <v/>
      </c>
      <c r="M218" s="247" t="str">
        <f>IF(COUNT(H218,K218)=0,"",N(K218)-N(H218))</f>
        <v/>
      </c>
      <c r="N218" s="246" t="str">
        <f>IF(AND(ISNUMBER(F218),ISNUMBER(G218),F218&gt;0,1-N(Ввод!$J$19)/100&gt;0),G218/(1-N(Ввод!$J$19)/100),IF(AND(ISNUMBER(I218),ISNUMBER(J218),I218&gt;0),J218/(1+N(Ввод!$J$19)/100),""))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71" t="str">
        <f>IF(AND(ISNUMBER(F219),ISNUMBER(G219)),F219*G219,"")</f>
        <v/>
      </c>
      <c r="I219" s="240" t="n"/>
      <c r="J219" s="177" t="n"/>
      <c r="K219" s="271" t="str">
        <f>IF(AND(ISNUMBER(I219),ISNUMBER(J219)),I219*J219,"")</f>
        <v/>
      </c>
      <c r="L219" s="240" t="str">
        <f>IF(COUNT(F219,I219)=0,"",N(F219)-N(I219))</f>
        <v/>
      </c>
      <c r="M219" s="241" t="str">
        <f>IF(COUNT(H219,K219)=0,"",N(K219)-N(H219))</f>
        <v/>
      </c>
      <c r="N219" s="240" t="str">
        <f>IF(AND(ISNUMBER(F219),ISNUMBER(G219),F219&gt;0,1-N(Ввод!$J$19)/100&gt;0),G219/(1-N(Ввод!$J$19)/100),IF(AND(ISNUMBER(I219),ISNUMBER(J219),I219&gt;0),J219/(1+N(Ввод!$J$19)/100),""))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71" t="str">
        <f>IF(AND(ISNUMBER(F220),ISNUMBER(G220)),F220*G220,"")</f>
        <v/>
      </c>
      <c r="I220" s="246" t="n"/>
      <c r="J220" s="183" t="n"/>
      <c r="K220" s="271" t="str">
        <f>IF(AND(ISNUMBER(I220),ISNUMBER(J220)),I220*J220,"")</f>
        <v/>
      </c>
      <c r="L220" s="246" t="str">
        <f>IF(COUNT(F220,I220)=0,"",N(F220)-N(I220))</f>
        <v/>
      </c>
      <c r="M220" s="247" t="str">
        <f>IF(COUNT(H220,K220)=0,"",N(K220)-N(H220))</f>
        <v/>
      </c>
      <c r="N220" s="246" t="str">
        <f>IF(AND(ISNUMBER(F220),ISNUMBER(G220),F220&gt;0,1-N(Ввод!$J$19)/100&gt;0),G220/(1-N(Ввод!$J$19)/100),IF(AND(ISNUMBER(I220),ISNUMBER(J220),I220&gt;0),J220/(1+N(Ввод!$J$19)/100),""))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71" t="str">
        <f>IF(AND(ISNUMBER(F221),ISNUMBER(G221)),F221*G221,"")</f>
        <v/>
      </c>
      <c r="I221" s="240" t="n"/>
      <c r="J221" s="177" t="n"/>
      <c r="K221" s="271" t="str">
        <f>IF(AND(ISNUMBER(I221),ISNUMBER(J221)),I221*J221,"")</f>
        <v/>
      </c>
      <c r="L221" s="240" t="str">
        <f>IF(COUNT(F221,I221)=0,"",N(F221)-N(I221))</f>
        <v/>
      </c>
      <c r="M221" s="241" t="str">
        <f>IF(COUNT(H221,K221)=0,"",N(K221)-N(H221))</f>
        <v/>
      </c>
      <c r="N221" s="240" t="str">
        <f>IF(AND(ISNUMBER(F221),ISNUMBER(G221),F221&gt;0,1-N(Ввод!$J$19)/100&gt;0),G221/(1-N(Ввод!$J$19)/100),IF(AND(ISNUMBER(I221),ISNUMBER(J221),I221&gt;0),J221/(1+N(Ввод!$J$19)/100),""))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71" t="str">
        <f>IF(AND(ISNUMBER(F222),ISNUMBER(G222)),F222*G222,"")</f>
        <v/>
      </c>
      <c r="I222" s="246" t="n"/>
      <c r="J222" s="183" t="n"/>
      <c r="K222" s="271" t="str">
        <f>IF(AND(ISNUMBER(I222),ISNUMBER(J222)),I222*J222,"")</f>
        <v/>
      </c>
      <c r="L222" s="246" t="str">
        <f>IF(COUNT(F222,I222)=0,"",N(F222)-N(I222))</f>
        <v/>
      </c>
      <c r="M222" s="247" t="str">
        <f>IF(COUNT(H222,K222)=0,"",N(K222)-N(H222))</f>
        <v/>
      </c>
      <c r="N222" s="246" t="str">
        <f>IF(AND(ISNUMBER(F222),ISNUMBER(G222),F222&gt;0,1-N(Ввод!$J$19)/100&gt;0),G222/(1-N(Ввод!$J$19)/100),IF(AND(ISNUMBER(I222),ISNUMBER(J222),I222&gt;0),J222/(1+N(Ввод!$J$19)/100),""))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71" t="str">
        <f>IF(AND(ISNUMBER(F223),ISNUMBER(G223)),F223*G223,"")</f>
        <v/>
      </c>
      <c r="I223" s="240" t="n"/>
      <c r="J223" s="177" t="n"/>
      <c r="K223" s="271" t="str">
        <f>IF(AND(ISNUMBER(I223),ISNUMBER(J223)),I223*J223,"")</f>
        <v/>
      </c>
      <c r="L223" s="240" t="str">
        <f>IF(COUNT(F223,I223)=0,"",N(F223)-N(I223))</f>
        <v/>
      </c>
      <c r="M223" s="241" t="str">
        <f>IF(COUNT(H223,K223)=0,"",N(K223)-N(H223))</f>
        <v/>
      </c>
      <c r="N223" s="240" t="str">
        <f>IF(AND(ISNUMBER(F223),ISNUMBER(G223),F223&gt;0,1-N(Ввод!$J$19)/100&gt;0),G223/(1-N(Ввод!$J$19)/100),IF(AND(ISNUMBER(I223),ISNUMBER(J223),I223&gt;0),J223/(1+N(Ввод!$J$19)/100),""))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71" t="str">
        <f>IF(AND(ISNUMBER(F224),ISNUMBER(G224)),F224*G224,"")</f>
        <v/>
      </c>
      <c r="I224" s="246" t="n"/>
      <c r="J224" s="183" t="n"/>
      <c r="K224" s="271" t="str">
        <f>IF(AND(ISNUMBER(I224),ISNUMBER(J224)),I224*J224,"")</f>
        <v/>
      </c>
      <c r="L224" s="246" t="str">
        <f>IF(COUNT(F224,I224)=0,"",N(F224)-N(I224))</f>
        <v/>
      </c>
      <c r="M224" s="247" t="str">
        <f>IF(COUNT(H224,K224)=0,"",N(K224)-N(H224))</f>
        <v/>
      </c>
      <c r="N224" s="246" t="str">
        <f>IF(AND(ISNUMBER(F224),ISNUMBER(G224),F224&gt;0,1-N(Ввод!$J$19)/100&gt;0),G224/(1-N(Ввод!$J$19)/100),IF(AND(ISNUMBER(I224),ISNUMBER(J224),I224&gt;0),J224/(1+N(Ввод!$J$19)/100),""))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71" t="str">
        <f>IF(AND(ISNUMBER(F225),ISNUMBER(G225)),F225*G225,"")</f>
        <v/>
      </c>
      <c r="I225" s="240" t="n"/>
      <c r="J225" s="177" t="n"/>
      <c r="K225" s="271" t="str">
        <f>IF(AND(ISNUMBER(I225),ISNUMBER(J225)),I225*J225,"")</f>
        <v/>
      </c>
      <c r="L225" s="240" t="str">
        <f>IF(COUNT(F225,I225)=0,"",N(F225)-N(I225))</f>
        <v/>
      </c>
      <c r="M225" s="241" t="str">
        <f>IF(COUNT(H225,K225)=0,"",N(K225)-N(H225))</f>
        <v/>
      </c>
      <c r="N225" s="240" t="str">
        <f>IF(AND(ISNUMBER(F225),ISNUMBER(G225),F225&gt;0,1-N(Ввод!$J$19)/100&gt;0),G225/(1-N(Ввод!$J$19)/100),IF(AND(ISNUMBER(I225),ISNUMBER(J225),I225&gt;0),J225/(1+N(Ввод!$J$19)/100),""))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71" t="str">
        <f>IF(AND(ISNUMBER(F226),ISNUMBER(G226)),F226*G226,"")</f>
        <v/>
      </c>
      <c r="I226" s="246" t="n"/>
      <c r="J226" s="183" t="n"/>
      <c r="K226" s="271" t="str">
        <f>IF(AND(ISNUMBER(I226),ISNUMBER(J226)),I226*J226,"")</f>
        <v/>
      </c>
      <c r="L226" s="246" t="str">
        <f>IF(COUNT(F226,I226)=0,"",N(F226)-N(I226))</f>
        <v/>
      </c>
      <c r="M226" s="247" t="str">
        <f>IF(COUNT(H226,K226)=0,"",N(K226)-N(H226))</f>
        <v/>
      </c>
      <c r="N226" s="246" t="str">
        <f>IF(AND(ISNUMBER(F226),ISNUMBER(G226),F226&gt;0,1-N(Ввод!$J$19)/100&gt;0),G226/(1-N(Ввод!$J$19)/100),IF(AND(ISNUMBER(I226),ISNUMBER(J226),I226&gt;0),J226/(1+N(Ввод!$J$19)/100),""))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71" t="str">
        <f>IF(AND(ISNUMBER(F227),ISNUMBER(G227)),F227*G227,"")</f>
        <v/>
      </c>
      <c r="I227" s="240" t="n"/>
      <c r="J227" s="177" t="n"/>
      <c r="K227" s="271" t="str">
        <f>IF(AND(ISNUMBER(I227),ISNUMBER(J227)),I227*J227,"")</f>
        <v/>
      </c>
      <c r="L227" s="240" t="str">
        <f>IF(COUNT(F227,I227)=0,"",N(F227)-N(I227))</f>
        <v/>
      </c>
      <c r="M227" s="241" t="str">
        <f>IF(COUNT(H227,K227)=0,"",N(K227)-N(H227))</f>
        <v/>
      </c>
      <c r="N227" s="240" t="str">
        <f>IF(AND(ISNUMBER(F227),ISNUMBER(G227),F227&gt;0,1-N(Ввод!$J$19)/100&gt;0),G227/(1-N(Ввод!$J$19)/100),IF(AND(ISNUMBER(I227),ISNUMBER(J227),I227&gt;0),J227/(1+N(Ввод!$J$19)/100),""))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71" t="str">
        <f>IF(AND(ISNUMBER(F228),ISNUMBER(G228)),F228*G228,"")</f>
        <v/>
      </c>
      <c r="I228" s="246" t="n"/>
      <c r="J228" s="183" t="n"/>
      <c r="K228" s="271" t="str">
        <f>IF(AND(ISNUMBER(I228),ISNUMBER(J228)),I228*J228,"")</f>
        <v/>
      </c>
      <c r="L228" s="246" t="str">
        <f>IF(COUNT(F228,I228)=0,"",N(F228)-N(I228))</f>
        <v/>
      </c>
      <c r="M228" s="247" t="str">
        <f>IF(COUNT(H228,K228)=0,"",N(K228)-N(H228))</f>
        <v/>
      </c>
      <c r="N228" s="246" t="str">
        <f>IF(AND(ISNUMBER(F228),ISNUMBER(G228),F228&gt;0,1-N(Ввод!$J$19)/100&gt;0),G228/(1-N(Ввод!$J$19)/100),IF(AND(ISNUMBER(I228),ISNUMBER(J228),I228&gt;0),J228/(1+N(Ввод!$J$19)/100),""))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71" t="str">
        <f>IF(AND(ISNUMBER(F229),ISNUMBER(G229)),F229*G229,"")</f>
        <v/>
      </c>
      <c r="I229" s="240" t="n"/>
      <c r="J229" s="177" t="n"/>
      <c r="K229" s="271" t="str">
        <f>IF(AND(ISNUMBER(I229),ISNUMBER(J229)),I229*J229,"")</f>
        <v/>
      </c>
      <c r="L229" s="240" t="str">
        <f>IF(COUNT(F229,I229)=0,"",N(F229)-N(I229))</f>
        <v/>
      </c>
      <c r="M229" s="241" t="str">
        <f>IF(COUNT(H229,K229)=0,"",N(K229)-N(H229))</f>
        <v/>
      </c>
      <c r="N229" s="240" t="str">
        <f>IF(AND(ISNUMBER(F229),ISNUMBER(G229),F229&gt;0,1-N(Ввод!$J$19)/100&gt;0),G229/(1-N(Ввод!$J$19)/100),IF(AND(ISNUMBER(I229),ISNUMBER(J229),I229&gt;0),J229/(1+N(Ввод!$J$19)/100),""))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71" t="str">
        <f>IF(AND(ISNUMBER(F230),ISNUMBER(G230)),F230*G230,"")</f>
        <v/>
      </c>
      <c r="I230" s="246" t="n"/>
      <c r="J230" s="183" t="n"/>
      <c r="K230" s="271" t="str">
        <f>IF(AND(ISNUMBER(I230),ISNUMBER(J230)),I230*J230,"")</f>
        <v/>
      </c>
      <c r="L230" s="246" t="str">
        <f>IF(COUNT(F230,I230)=0,"",N(F230)-N(I230))</f>
        <v/>
      </c>
      <c r="M230" s="247" t="str">
        <f>IF(COUNT(H230,K230)=0,"",N(K230)-N(H230))</f>
        <v/>
      </c>
      <c r="N230" s="246" t="str">
        <f>IF(AND(ISNUMBER(F230),ISNUMBER(G230),F230&gt;0,1-N(Ввод!$J$19)/100&gt;0),G230/(1-N(Ввод!$J$19)/100),IF(AND(ISNUMBER(I230),ISNUMBER(J230),I230&gt;0),J230/(1+N(Ввод!$J$19)/100),""))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71" t="str">
        <f>IF(AND(ISNUMBER(F231),ISNUMBER(G231)),F231*G231,"")</f>
        <v/>
      </c>
      <c r="I231" s="240" t="n"/>
      <c r="J231" s="177" t="n"/>
      <c r="K231" s="271" t="str">
        <f>IF(AND(ISNUMBER(I231),ISNUMBER(J231)),I231*J231,"")</f>
        <v/>
      </c>
      <c r="L231" s="240" t="str">
        <f>IF(COUNT(F231,I231)=0,"",N(F231)-N(I231))</f>
        <v/>
      </c>
      <c r="M231" s="241" t="str">
        <f>IF(COUNT(H231,K231)=0,"",N(K231)-N(H231))</f>
        <v/>
      </c>
      <c r="N231" s="240" t="str">
        <f>IF(AND(ISNUMBER(F231),ISNUMBER(G231),F231&gt;0,1-N(Ввод!$J$19)/100&gt;0),G231/(1-N(Ввод!$J$19)/100),IF(AND(ISNUMBER(I231),ISNUMBER(J231),I231&gt;0),J231/(1+N(Ввод!$J$19)/100),""))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71" t="str">
        <f>IF(AND(ISNUMBER(F232),ISNUMBER(G232)),F232*G232,"")</f>
        <v/>
      </c>
      <c r="I232" s="246" t="n"/>
      <c r="J232" s="183" t="n"/>
      <c r="K232" s="271" t="str">
        <f>IF(AND(ISNUMBER(I232),ISNUMBER(J232)),I232*J232,"")</f>
        <v/>
      </c>
      <c r="L232" s="246" t="str">
        <f>IF(COUNT(F232,I232)=0,"",N(F232)-N(I232))</f>
        <v/>
      </c>
      <c r="M232" s="247" t="str">
        <f>IF(COUNT(H232,K232)=0,"",N(K232)-N(H232))</f>
        <v/>
      </c>
      <c r="N232" s="246" t="str">
        <f>IF(AND(ISNUMBER(F232),ISNUMBER(G232),F232&gt;0,1-N(Ввод!$J$19)/100&gt;0),G232/(1-N(Ввод!$J$19)/100),IF(AND(ISNUMBER(I232),ISNUMBER(J232),I232&gt;0),J232/(1+N(Ввод!$J$19)/100),""))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71" t="str">
        <f>IF(AND(ISNUMBER(F233),ISNUMBER(G233)),F233*G233,"")</f>
        <v/>
      </c>
      <c r="I233" s="240" t="n"/>
      <c r="J233" s="177" t="n"/>
      <c r="K233" s="271" t="str">
        <f>IF(AND(ISNUMBER(I233),ISNUMBER(J233)),I233*J233,"")</f>
        <v/>
      </c>
      <c r="L233" s="240" t="str">
        <f>IF(COUNT(F233,I233)=0,"",N(F233)-N(I233))</f>
        <v/>
      </c>
      <c r="M233" s="241" t="str">
        <f>IF(COUNT(H233,K233)=0,"",N(K233)-N(H233))</f>
        <v/>
      </c>
      <c r="N233" s="240" t="str">
        <f>IF(AND(ISNUMBER(F233),ISNUMBER(G233),F233&gt;0,1-N(Ввод!$J$19)/100&gt;0),G233/(1-N(Ввод!$J$19)/100),IF(AND(ISNUMBER(I233),ISNUMBER(J233),I233&gt;0),J233/(1+N(Ввод!$J$19)/100),""))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71" t="str">
        <f>IF(AND(ISNUMBER(F234),ISNUMBER(G234)),F234*G234,"")</f>
        <v/>
      </c>
      <c r="I234" s="246" t="n"/>
      <c r="J234" s="183" t="n"/>
      <c r="K234" s="271" t="str">
        <f>IF(AND(ISNUMBER(I234),ISNUMBER(J234)),I234*J234,"")</f>
        <v/>
      </c>
      <c r="L234" s="246" t="str">
        <f>IF(COUNT(F234,I234)=0,"",N(F234)-N(I234))</f>
        <v/>
      </c>
      <c r="M234" s="247" t="str">
        <f>IF(COUNT(H234,K234)=0,"",N(K234)-N(H234))</f>
        <v/>
      </c>
      <c r="N234" s="246" t="str">
        <f>IF(AND(ISNUMBER(F234),ISNUMBER(G234),F234&gt;0,1-N(Ввод!$J$19)/100&gt;0),G234/(1-N(Ввод!$J$19)/100),IF(AND(ISNUMBER(I234),ISNUMBER(J234),I234&gt;0),J234/(1+N(Ввод!$J$19)/100),""))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71" t="str">
        <f>IF(AND(ISNUMBER(F235),ISNUMBER(G235)),F235*G235,"")</f>
        <v/>
      </c>
      <c r="I235" s="240" t="n"/>
      <c r="J235" s="177" t="n"/>
      <c r="K235" s="271" t="str">
        <f>IF(AND(ISNUMBER(I235),ISNUMBER(J235)),I235*J235,"")</f>
        <v/>
      </c>
      <c r="L235" s="240" t="str">
        <f>IF(COUNT(F235,I235)=0,"",N(F235)-N(I235))</f>
        <v/>
      </c>
      <c r="M235" s="241" t="str">
        <f>IF(COUNT(H235,K235)=0,"",N(K235)-N(H235))</f>
        <v/>
      </c>
      <c r="N235" s="240" t="str">
        <f>IF(AND(ISNUMBER(F235),ISNUMBER(G235),F235&gt;0,1-N(Ввод!$J$19)/100&gt;0),G235/(1-N(Ввод!$J$19)/100),IF(AND(ISNUMBER(I235),ISNUMBER(J235),I235&gt;0),J235/(1+N(Ввод!$J$19)/100),""))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71" t="str">
        <f>IF(AND(ISNUMBER(F236),ISNUMBER(G236)),F236*G236,"")</f>
        <v/>
      </c>
      <c r="I236" s="246" t="n"/>
      <c r="J236" s="183" t="n"/>
      <c r="K236" s="271" t="str">
        <f>IF(AND(ISNUMBER(I236),ISNUMBER(J236)),I236*J236,"")</f>
        <v/>
      </c>
      <c r="L236" s="246" t="str">
        <f>IF(COUNT(F236,I236)=0,"",N(F236)-N(I236))</f>
        <v/>
      </c>
      <c r="M236" s="247" t="str">
        <f>IF(COUNT(H236,K236)=0,"",N(K236)-N(H236))</f>
        <v/>
      </c>
      <c r="N236" s="246" t="str">
        <f>IF(AND(ISNUMBER(F236),ISNUMBER(G236),F236&gt;0,1-N(Ввод!$J$19)/100&gt;0),G236/(1-N(Ввод!$J$19)/100),IF(AND(ISNUMBER(I236),ISNUMBER(J236),I236&gt;0),J236/(1+N(Ввод!$J$19)/100),""))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71" t="str">
        <f>IF(AND(ISNUMBER(F237),ISNUMBER(G237)),F237*G237,"")</f>
        <v/>
      </c>
      <c r="I237" s="240" t="n"/>
      <c r="J237" s="177" t="n"/>
      <c r="K237" s="271" t="str">
        <f>IF(AND(ISNUMBER(I237),ISNUMBER(J237)),I237*J237,"")</f>
        <v/>
      </c>
      <c r="L237" s="240" t="str">
        <f>IF(COUNT(F237,I237)=0,"",N(F237)-N(I237))</f>
        <v/>
      </c>
      <c r="M237" s="241" t="str">
        <f>IF(COUNT(H237,K237)=0,"",N(K237)-N(H237))</f>
        <v/>
      </c>
      <c r="N237" s="240" t="str">
        <f>IF(AND(ISNUMBER(F237),ISNUMBER(G237),F237&gt;0,1-N(Ввод!$J$19)/100&gt;0),G237/(1-N(Ввод!$J$19)/100),IF(AND(ISNUMBER(I237),ISNUMBER(J237),I237&gt;0),J237/(1+N(Ввод!$J$19)/100),""))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71" t="str">
        <f>IF(AND(ISNUMBER(F238),ISNUMBER(G238)),F238*G238,"")</f>
        <v/>
      </c>
      <c r="I238" s="246" t="n"/>
      <c r="J238" s="183" t="n"/>
      <c r="K238" s="271" t="str">
        <f>IF(AND(ISNUMBER(I238),ISNUMBER(J238)),I238*J238,"")</f>
        <v/>
      </c>
      <c r="L238" s="246" t="str">
        <f>IF(COUNT(F238,I238)=0,"",N(F238)-N(I238))</f>
        <v/>
      </c>
      <c r="M238" s="247" t="str">
        <f>IF(COUNT(H238,K238)=0,"",N(K238)-N(H238))</f>
        <v/>
      </c>
      <c r="N238" s="246" t="str">
        <f>IF(AND(ISNUMBER(F238),ISNUMBER(G238),F238&gt;0,1-N(Ввод!$J$19)/100&gt;0),G238/(1-N(Ввод!$J$19)/100),IF(AND(ISNUMBER(I238),ISNUMBER(J238),I238&gt;0),J238/(1+N(Ввод!$J$19)/100),""))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71" t="str">
        <f>IF(AND(ISNUMBER(F239),ISNUMBER(G239)),F239*G239,"")</f>
        <v/>
      </c>
      <c r="I239" s="240" t="n"/>
      <c r="J239" s="177" t="n"/>
      <c r="K239" s="271" t="str">
        <f>IF(AND(ISNUMBER(I239),ISNUMBER(J239)),I239*J239,"")</f>
        <v/>
      </c>
      <c r="L239" s="240" t="str">
        <f>IF(COUNT(F239,I239)=0,"",N(F239)-N(I239))</f>
        <v/>
      </c>
      <c r="M239" s="241" t="str">
        <f>IF(COUNT(H239,K239)=0,"",N(K239)-N(H239))</f>
        <v/>
      </c>
      <c r="N239" s="240" t="str">
        <f>IF(AND(ISNUMBER(F239),ISNUMBER(G239),F239&gt;0,1-N(Ввод!$J$19)/100&gt;0),G239/(1-N(Ввод!$J$19)/100),IF(AND(ISNUMBER(I239),ISNUMBER(J239),I239&gt;0),J239/(1+N(Ввод!$J$19)/100),""))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71" t="str">
        <f>IF(AND(ISNUMBER(F240),ISNUMBER(G240)),F240*G240,"")</f>
        <v/>
      </c>
      <c r="I240" s="246" t="n"/>
      <c r="J240" s="183" t="n"/>
      <c r="K240" s="271" t="str">
        <f>IF(AND(ISNUMBER(I240),ISNUMBER(J240)),I240*J240,"")</f>
        <v/>
      </c>
      <c r="L240" s="246" t="str">
        <f>IF(COUNT(F240,I240)=0,"",N(F240)-N(I240))</f>
        <v/>
      </c>
      <c r="M240" s="247" t="str">
        <f>IF(COUNT(H240,K240)=0,"",N(K240)-N(H240))</f>
        <v/>
      </c>
      <c r="N240" s="246" t="str">
        <f>IF(AND(ISNUMBER(F240),ISNUMBER(G240),F240&gt;0,1-N(Ввод!$J$19)/100&gt;0),G240/(1-N(Ввод!$J$19)/100),IF(AND(ISNUMBER(I240),ISNUMBER(J240),I240&gt;0),J240/(1+N(Ввод!$J$19)/100),""))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71" t="str">
        <f>IF(AND(ISNUMBER(F241),ISNUMBER(G241)),F241*G241,"")</f>
        <v/>
      </c>
      <c r="I241" s="240" t="n"/>
      <c r="J241" s="177" t="n"/>
      <c r="K241" s="271" t="str">
        <f>IF(AND(ISNUMBER(I241),ISNUMBER(J241)),I241*J241,"")</f>
        <v/>
      </c>
      <c r="L241" s="240" t="str">
        <f>IF(COUNT(F241,I241)=0,"",N(F241)-N(I241))</f>
        <v/>
      </c>
      <c r="M241" s="241" t="str">
        <f>IF(COUNT(H241,K241)=0,"",N(K241)-N(H241))</f>
        <v/>
      </c>
      <c r="N241" s="240" t="str">
        <f>IF(AND(ISNUMBER(F241),ISNUMBER(G241),F241&gt;0,1-N(Ввод!$J$19)/100&gt;0),G241/(1-N(Ввод!$J$19)/100),IF(AND(ISNUMBER(I241),ISNUMBER(J241),I241&gt;0),J241/(1+N(Ввод!$J$19)/100),""))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71" t="str">
        <f>IF(AND(ISNUMBER(F242),ISNUMBER(G242)),F242*G242,"")</f>
        <v/>
      </c>
      <c r="I242" s="246" t="n"/>
      <c r="J242" s="183" t="n"/>
      <c r="K242" s="271" t="str">
        <f>IF(AND(ISNUMBER(I242),ISNUMBER(J242)),I242*J242,"")</f>
        <v/>
      </c>
      <c r="L242" s="246" t="str">
        <f>IF(COUNT(F242,I242)=0,"",N(F242)-N(I242))</f>
        <v/>
      </c>
      <c r="M242" s="247" t="str">
        <f>IF(COUNT(H242,K242)=0,"",N(K242)-N(H242))</f>
        <v/>
      </c>
      <c r="N242" s="246" t="str">
        <f>IF(AND(ISNUMBER(F242),ISNUMBER(G242),F242&gt;0,1-N(Ввод!$J$19)/100&gt;0),G242/(1-N(Ввод!$J$19)/100),IF(AND(ISNUMBER(I242),ISNUMBER(J242),I242&gt;0),J242/(1+N(Ввод!$J$19)/100),""))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71" t="str">
        <f>IF(AND(ISNUMBER(F243),ISNUMBER(G243)),F243*G243,"")</f>
        <v/>
      </c>
      <c r="I243" s="240" t="n"/>
      <c r="J243" s="177" t="n"/>
      <c r="K243" s="271" t="str">
        <f>IF(AND(ISNUMBER(I243),ISNUMBER(J243)),I243*J243,"")</f>
        <v/>
      </c>
      <c r="L243" s="240" t="str">
        <f>IF(COUNT(F243,I243)=0,"",N(F243)-N(I243))</f>
        <v/>
      </c>
      <c r="M243" s="241" t="str">
        <f>IF(COUNT(H243,K243)=0,"",N(K243)-N(H243))</f>
        <v/>
      </c>
      <c r="N243" s="240" t="str">
        <f>IF(AND(ISNUMBER(F243),ISNUMBER(G243),F243&gt;0,1-N(Ввод!$J$19)/100&gt;0),G243/(1-N(Ввод!$J$19)/100),IF(AND(ISNUMBER(I243),ISNUMBER(J243),I243&gt;0),J243/(1+N(Ввод!$J$19)/100),""))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71" t="str">
        <f>IF(AND(ISNUMBER(F244),ISNUMBER(G244)),F244*G244,"")</f>
        <v/>
      </c>
      <c r="I244" s="246" t="n"/>
      <c r="J244" s="183" t="n"/>
      <c r="K244" s="271" t="str">
        <f>IF(AND(ISNUMBER(I244),ISNUMBER(J244)),I244*J244,"")</f>
        <v/>
      </c>
      <c r="L244" s="246" t="str">
        <f>IF(COUNT(F244,I244)=0,"",N(F244)-N(I244))</f>
        <v/>
      </c>
      <c r="M244" s="247" t="str">
        <f>IF(COUNT(H244,K244)=0,"",N(K244)-N(H244))</f>
        <v/>
      </c>
      <c r="N244" s="246" t="str">
        <f>IF(AND(ISNUMBER(F244),ISNUMBER(G244),F244&gt;0,1-N(Ввод!$J$19)/100&gt;0),G244/(1-N(Ввод!$J$19)/100),IF(AND(ISNUMBER(I244),ISNUMBER(J244),I244&gt;0),J244/(1+N(Ввод!$J$19)/100),""))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71" t="str">
        <f>IF(AND(ISNUMBER(F245),ISNUMBER(G245)),F245*G245,"")</f>
        <v/>
      </c>
      <c r="I245" s="240" t="n"/>
      <c r="J245" s="177" t="n"/>
      <c r="K245" s="271" t="str">
        <f>IF(AND(ISNUMBER(I245),ISNUMBER(J245)),I245*J245,"")</f>
        <v/>
      </c>
      <c r="L245" s="240" t="str">
        <f>IF(COUNT(F245,I245)=0,"",N(F245)-N(I245))</f>
        <v/>
      </c>
      <c r="M245" s="241" t="str">
        <f>IF(COUNT(H245,K245)=0,"",N(K245)-N(H245))</f>
        <v/>
      </c>
      <c r="N245" s="240" t="str">
        <f>IF(AND(ISNUMBER(F245),ISNUMBER(G245),F245&gt;0,1-N(Ввод!$J$19)/100&gt;0),G245/(1-N(Ввод!$J$19)/100),IF(AND(ISNUMBER(I245),ISNUMBER(J245),I245&gt;0),J245/(1+N(Ввод!$J$19)/100),""))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71" t="str">
        <f>IF(AND(ISNUMBER(F246),ISNUMBER(G246)),F246*G246,"")</f>
        <v/>
      </c>
      <c r="I246" s="246" t="n"/>
      <c r="J246" s="183" t="n"/>
      <c r="K246" s="271" t="str">
        <f>IF(AND(ISNUMBER(I246),ISNUMBER(J246)),I246*J246,"")</f>
        <v/>
      </c>
      <c r="L246" s="246" t="str">
        <f>IF(COUNT(F246,I246)=0,"",N(F246)-N(I246))</f>
        <v/>
      </c>
      <c r="M246" s="247" t="str">
        <f>IF(COUNT(H246,K246)=0,"",N(K246)-N(H246))</f>
        <v/>
      </c>
      <c r="N246" s="246" t="str">
        <f>IF(AND(ISNUMBER(F246),ISNUMBER(G246),F246&gt;0,1-N(Ввод!$J$19)/100&gt;0),G246/(1-N(Ввод!$J$19)/100),IF(AND(ISNUMBER(I246),ISNUMBER(J246),I246&gt;0),J246/(1+N(Ввод!$J$19)/100),""))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71" t="str">
        <f>IF(AND(ISNUMBER(F247),ISNUMBER(G247)),F247*G247,"")</f>
        <v/>
      </c>
      <c r="I247" s="240" t="n"/>
      <c r="J247" s="177" t="n"/>
      <c r="K247" s="271" t="str">
        <f>IF(AND(ISNUMBER(I247),ISNUMBER(J247)),I247*J247,"")</f>
        <v/>
      </c>
      <c r="L247" s="240" t="str">
        <f>IF(COUNT(F247,I247)=0,"",N(F247)-N(I247))</f>
        <v/>
      </c>
      <c r="M247" s="241" t="str">
        <f>IF(COUNT(H247,K247)=0,"",N(K247)-N(H247))</f>
        <v/>
      </c>
      <c r="N247" s="240" t="str">
        <f>IF(AND(ISNUMBER(F247),ISNUMBER(G247),F247&gt;0,1-N(Ввод!$J$19)/100&gt;0),G247/(1-N(Ввод!$J$19)/100),IF(AND(ISNUMBER(I247),ISNUMBER(J247),I247&gt;0),J247/(1+N(Ввод!$J$19)/100),""))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71" t="str">
        <f>IF(AND(ISNUMBER(F248),ISNUMBER(G248)),F248*G248,"")</f>
        <v/>
      </c>
      <c r="I248" s="246" t="n"/>
      <c r="J248" s="183" t="n"/>
      <c r="K248" s="271" t="str">
        <f>IF(AND(ISNUMBER(I248),ISNUMBER(J248)),I248*J248,"")</f>
        <v/>
      </c>
      <c r="L248" s="246" t="str">
        <f>IF(COUNT(F248,I248)=0,"",N(F248)-N(I248))</f>
        <v/>
      </c>
      <c r="M248" s="247" t="str">
        <f>IF(COUNT(H248,K248)=0,"",N(K248)-N(H248))</f>
        <v/>
      </c>
      <c r="N248" s="246" t="str">
        <f>IF(AND(ISNUMBER(F248),ISNUMBER(G248),F248&gt;0,1-N(Ввод!$J$19)/100&gt;0),G248/(1-N(Ввод!$J$19)/100),IF(AND(ISNUMBER(I248),ISNUMBER(J248),I248&gt;0),J248/(1+N(Ввод!$J$19)/100),""))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71" t="str">
        <f>IF(AND(ISNUMBER(F249),ISNUMBER(G249)),F249*G249,"")</f>
        <v/>
      </c>
      <c r="I249" s="240" t="n"/>
      <c r="J249" s="177" t="n"/>
      <c r="K249" s="271" t="str">
        <f>IF(AND(ISNUMBER(I249),ISNUMBER(J249)),I249*J249,"")</f>
        <v/>
      </c>
      <c r="L249" s="240" t="str">
        <f>IF(COUNT(F249,I249)=0,"",N(F249)-N(I249))</f>
        <v/>
      </c>
      <c r="M249" s="241" t="str">
        <f>IF(COUNT(H249,K249)=0,"",N(K249)-N(H249))</f>
        <v/>
      </c>
      <c r="N249" s="240" t="str">
        <f>IF(AND(ISNUMBER(F249),ISNUMBER(G249),F249&gt;0,1-N(Ввод!$J$19)/100&gt;0),G249/(1-N(Ввод!$J$19)/100),IF(AND(ISNUMBER(I249),ISNUMBER(J249),I249&gt;0),J249/(1+N(Ввод!$J$19)/100),""))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71" t="str">
        <f>IF(AND(ISNUMBER(F250),ISNUMBER(G250)),F250*G250,"")</f>
        <v/>
      </c>
      <c r="I250" s="246" t="n"/>
      <c r="J250" s="183" t="n"/>
      <c r="K250" s="271" t="str">
        <f>IF(AND(ISNUMBER(I250),ISNUMBER(J250)),I250*J250,"")</f>
        <v/>
      </c>
      <c r="L250" s="246" t="str">
        <f>IF(COUNT(F250,I250)=0,"",N(F250)-N(I250))</f>
        <v/>
      </c>
      <c r="M250" s="247" t="str">
        <f>IF(COUNT(H250,K250)=0,"",N(K250)-N(H250))</f>
        <v/>
      </c>
      <c r="N250" s="246" t="str">
        <f>IF(AND(ISNUMBER(F250),ISNUMBER(G250),F250&gt;0,1-N(Ввод!$J$19)/100&gt;0),G250/(1-N(Ввод!$J$19)/100),IF(AND(ISNUMBER(I250),ISNUMBER(J250),I250&gt;0),J250/(1+N(Ввод!$J$19)/100),""))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71" t="str">
        <f>IF(AND(ISNUMBER(F251),ISNUMBER(G251)),F251*G251,"")</f>
        <v/>
      </c>
      <c r="I251" s="240" t="n"/>
      <c r="J251" s="177" t="n"/>
      <c r="K251" s="271" t="str">
        <f>IF(AND(ISNUMBER(I251),ISNUMBER(J251)),I251*J251,"")</f>
        <v/>
      </c>
      <c r="L251" s="240" t="str">
        <f>IF(COUNT(F251,I251)=0,"",N(F251)-N(I251))</f>
        <v/>
      </c>
      <c r="M251" s="241" t="str">
        <f>IF(COUNT(H251,K251)=0,"",N(K251)-N(H251))</f>
        <v/>
      </c>
      <c r="N251" s="240" t="str">
        <f>IF(AND(ISNUMBER(F251),ISNUMBER(G251),F251&gt;0,1-N(Ввод!$J$19)/100&gt;0),G251/(1-N(Ввод!$J$19)/100),IF(AND(ISNUMBER(I251),ISNUMBER(J251),I251&gt;0),J251/(1+N(Ввод!$J$19)/100),""))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71" t="str">
        <f>IF(AND(ISNUMBER(F252),ISNUMBER(G252)),F252*G252,"")</f>
        <v/>
      </c>
      <c r="I252" s="246" t="n"/>
      <c r="J252" s="183" t="n"/>
      <c r="K252" s="271" t="str">
        <f>IF(AND(ISNUMBER(I252),ISNUMBER(J252)),I252*J252,"")</f>
        <v/>
      </c>
      <c r="L252" s="246" t="str">
        <f>IF(COUNT(F252,I252)=0,"",N(F252)-N(I252))</f>
        <v/>
      </c>
      <c r="M252" s="247" t="str">
        <f>IF(COUNT(H252,K252)=0,"",N(K252)-N(H252))</f>
        <v/>
      </c>
      <c r="N252" s="246" t="str">
        <f>IF(AND(ISNUMBER(F252),ISNUMBER(G252),F252&gt;0,1-N(Ввод!$J$19)/100&gt;0),G252/(1-N(Ввод!$J$19)/100),IF(AND(ISNUMBER(I252),ISNUMBER(J252),I252&gt;0),J252/(1+N(Ввод!$J$19)/100),""))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71" t="str">
        <f>IF(AND(ISNUMBER(F253),ISNUMBER(G253)),F253*G253,"")</f>
        <v/>
      </c>
      <c r="I253" s="240" t="n"/>
      <c r="J253" s="177" t="n"/>
      <c r="K253" s="271" t="str">
        <f>IF(AND(ISNUMBER(I253),ISNUMBER(J253)),I253*J253,"")</f>
        <v/>
      </c>
      <c r="L253" s="240" t="str">
        <f>IF(COUNT(F253,I253)=0,"",N(F253)-N(I253))</f>
        <v/>
      </c>
      <c r="M253" s="241" t="str">
        <f>IF(COUNT(H253,K253)=0,"",N(K253)-N(H253))</f>
        <v/>
      </c>
      <c r="N253" s="240" t="str">
        <f>IF(AND(ISNUMBER(F253),ISNUMBER(G253),F253&gt;0,1-N(Ввод!$J$19)/100&gt;0),G253/(1-N(Ввод!$J$19)/100),IF(AND(ISNUMBER(I253),ISNUMBER(J253),I253&gt;0),J253/(1+N(Ввод!$J$19)/100),""))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71" t="str">
        <f>IF(AND(ISNUMBER(F254),ISNUMBER(G254)),F254*G254,"")</f>
        <v/>
      </c>
      <c r="I254" s="246" t="n"/>
      <c r="J254" s="183" t="n"/>
      <c r="K254" s="271" t="str">
        <f>IF(AND(ISNUMBER(I254),ISNUMBER(J254)),I254*J254,"")</f>
        <v/>
      </c>
      <c r="L254" s="246" t="str">
        <f>IF(COUNT(F254,I254)=0,"",N(F254)-N(I254))</f>
        <v/>
      </c>
      <c r="M254" s="247" t="str">
        <f>IF(COUNT(H254,K254)=0,"",N(K254)-N(H254))</f>
        <v/>
      </c>
      <c r="N254" s="246" t="str">
        <f>IF(AND(ISNUMBER(F254),ISNUMBER(G254),F254&gt;0,1-N(Ввод!$J$19)/100&gt;0),G254/(1-N(Ввод!$J$19)/100),IF(AND(ISNUMBER(I254),ISNUMBER(J254),I254&gt;0),J254/(1+N(Ввод!$J$19)/100),""))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71" t="str">
        <f>IF(AND(ISNUMBER(F255),ISNUMBER(G255)),F255*G255,"")</f>
        <v/>
      </c>
      <c r="I255" s="240" t="n"/>
      <c r="J255" s="177" t="n"/>
      <c r="K255" s="271" t="str">
        <f>IF(AND(ISNUMBER(I255),ISNUMBER(J255)),I255*J255,"")</f>
        <v/>
      </c>
      <c r="L255" s="240" t="str">
        <f>IF(COUNT(F255,I255)=0,"",N(F255)-N(I255))</f>
        <v/>
      </c>
      <c r="M255" s="241" t="str">
        <f>IF(COUNT(H255,K255)=0,"",N(K255)-N(H255))</f>
        <v/>
      </c>
      <c r="N255" s="240" t="str">
        <f>IF(AND(ISNUMBER(F255),ISNUMBER(G255),F255&gt;0,1-N(Ввод!$J$19)/100&gt;0),G255/(1-N(Ввод!$J$19)/100),IF(AND(ISNUMBER(I255),ISNUMBER(J255),I255&gt;0),J255/(1+N(Ввод!$J$19)/100),""))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71" t="str">
        <f>IF(AND(ISNUMBER(F256),ISNUMBER(G256)),F256*G256,"")</f>
        <v/>
      </c>
      <c r="I256" s="246" t="n"/>
      <c r="J256" s="183" t="n"/>
      <c r="K256" s="271" t="str">
        <f>IF(AND(ISNUMBER(I256),ISNUMBER(J256)),I256*J256,"")</f>
        <v/>
      </c>
      <c r="L256" s="246" t="str">
        <f>IF(COUNT(F256,I256)=0,"",N(F256)-N(I256))</f>
        <v/>
      </c>
      <c r="M256" s="247" t="str">
        <f>IF(COUNT(H256,K256)=0,"",N(K256)-N(H256))</f>
        <v/>
      </c>
      <c r="N256" s="246" t="str">
        <f>IF(AND(ISNUMBER(F256),ISNUMBER(G256),F256&gt;0,1-N(Ввод!$J$19)/100&gt;0),G256/(1-N(Ввод!$J$19)/100),IF(AND(ISNUMBER(I256),ISNUMBER(J256),I256&gt;0),J256/(1+N(Ввод!$J$19)/100),""))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71" t="str">
        <f>IF(AND(ISNUMBER(F257),ISNUMBER(G257)),F257*G257,"")</f>
        <v/>
      </c>
      <c r="I257" s="240" t="n"/>
      <c r="J257" s="177" t="n"/>
      <c r="K257" s="271" t="str">
        <f>IF(AND(ISNUMBER(I257),ISNUMBER(J257)),I257*J257,"")</f>
        <v/>
      </c>
      <c r="L257" s="240" t="str">
        <f>IF(COUNT(F257,I257)=0,"",N(F257)-N(I257))</f>
        <v/>
      </c>
      <c r="M257" s="241" t="str">
        <f>IF(COUNT(H257,K257)=0,"",N(K257)-N(H257))</f>
        <v/>
      </c>
      <c r="N257" s="240" t="str">
        <f>IF(AND(ISNUMBER(F257),ISNUMBER(G257),F257&gt;0,1-N(Ввод!$J$19)/100&gt;0),G257/(1-N(Ввод!$J$19)/100),IF(AND(ISNUMBER(I257),ISNUMBER(J257),I257&gt;0),J257/(1+N(Ввод!$J$19)/100),""))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71" t="str">
        <f>IF(AND(ISNUMBER(F258),ISNUMBER(G258)),F258*G258,"")</f>
        <v/>
      </c>
      <c r="I258" s="246" t="n"/>
      <c r="J258" s="183" t="n"/>
      <c r="K258" s="271" t="str">
        <f>IF(AND(ISNUMBER(I258),ISNUMBER(J258)),I258*J258,"")</f>
        <v/>
      </c>
      <c r="L258" s="246" t="str">
        <f>IF(COUNT(F258,I258)=0,"",N(F258)-N(I258))</f>
        <v/>
      </c>
      <c r="M258" s="247" t="str">
        <f>IF(COUNT(H258,K258)=0,"",N(K258)-N(H258))</f>
        <v/>
      </c>
      <c r="N258" s="246" t="str">
        <f>IF(AND(ISNUMBER(F258),ISNUMBER(G258),F258&gt;0,1-N(Ввод!$J$19)/100&gt;0),G258/(1-N(Ввод!$J$19)/100),IF(AND(ISNUMBER(I258),ISNUMBER(J258),I258&gt;0),J258/(1+N(Ввод!$J$19)/100),""))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71" t="str">
        <f>IF(AND(ISNUMBER(F259),ISNUMBER(G259)),F259*G259,"")</f>
        <v/>
      </c>
      <c r="I259" s="240" t="n"/>
      <c r="J259" s="177" t="n"/>
      <c r="K259" s="271" t="str">
        <f>IF(AND(ISNUMBER(I259),ISNUMBER(J259)),I259*J259,"")</f>
        <v/>
      </c>
      <c r="L259" s="240" t="str">
        <f>IF(COUNT(F259,I259)=0,"",N(F259)-N(I259))</f>
        <v/>
      </c>
      <c r="M259" s="241" t="str">
        <f>IF(COUNT(H259,K259)=0,"",N(K259)-N(H259))</f>
        <v/>
      </c>
      <c r="N259" s="240" t="str">
        <f>IF(AND(ISNUMBER(F259),ISNUMBER(G259),F259&gt;0,1-N(Ввод!$J$19)/100&gt;0),G259/(1-N(Ввод!$J$19)/100),IF(AND(ISNUMBER(I259),ISNUMBER(J259),I259&gt;0),J259/(1+N(Ввод!$J$19)/100),""))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71" t="str">
        <f>IF(AND(ISNUMBER(F260),ISNUMBER(G260)),F260*G260,"")</f>
        <v/>
      </c>
      <c r="I260" s="246" t="n"/>
      <c r="J260" s="183" t="n"/>
      <c r="K260" s="271" t="str">
        <f>IF(AND(ISNUMBER(I260),ISNUMBER(J260)),I260*J260,"")</f>
        <v/>
      </c>
      <c r="L260" s="246" t="str">
        <f>IF(COUNT(F260,I260)=0,"",N(F260)-N(I260))</f>
        <v/>
      </c>
      <c r="M260" s="247" t="str">
        <f>IF(COUNT(H260,K260)=0,"",N(K260)-N(H260))</f>
        <v/>
      </c>
      <c r="N260" s="246" t="str">
        <f>IF(AND(ISNUMBER(F260),ISNUMBER(G260),F260&gt;0,1-N(Ввод!$J$19)/100&gt;0),G260/(1-N(Ввод!$J$19)/100),IF(AND(ISNUMBER(I260),ISNUMBER(J260),I260&gt;0),J260/(1+N(Ввод!$J$19)/100),""))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71" t="str">
        <f>IF(AND(ISNUMBER(F261),ISNUMBER(G261)),F261*G261,"")</f>
        <v/>
      </c>
      <c r="I261" s="240" t="n"/>
      <c r="J261" s="177" t="n"/>
      <c r="K261" s="271" t="str">
        <f>IF(AND(ISNUMBER(I261),ISNUMBER(J261)),I261*J261,"")</f>
        <v/>
      </c>
      <c r="L261" s="240" t="str">
        <f>IF(COUNT(F261,I261)=0,"",N(F261)-N(I261))</f>
        <v/>
      </c>
      <c r="M261" s="241" t="str">
        <f>IF(COUNT(H261,K261)=0,"",N(K261)-N(H261))</f>
        <v/>
      </c>
      <c r="N261" s="240" t="str">
        <f>IF(AND(ISNUMBER(F261),ISNUMBER(G261),F261&gt;0,1-N(Ввод!$J$19)/100&gt;0),G261/(1-N(Ввод!$J$19)/100),IF(AND(ISNUMBER(I261),ISNUMBER(J261),I261&gt;0),J261/(1+N(Ввод!$J$19)/100),""))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71" t="str">
        <f>IF(AND(ISNUMBER(F262),ISNUMBER(G262)),F262*G262,"")</f>
        <v/>
      </c>
      <c r="I262" s="246" t="n"/>
      <c r="J262" s="183" t="n"/>
      <c r="K262" s="271" t="str">
        <f>IF(AND(ISNUMBER(I262),ISNUMBER(J262)),I262*J262,"")</f>
        <v/>
      </c>
      <c r="L262" s="246" t="str">
        <f>IF(COUNT(F262,I262)=0,"",N(F262)-N(I262))</f>
        <v/>
      </c>
      <c r="M262" s="247" t="str">
        <f>IF(COUNT(H262,K262)=0,"",N(K262)-N(H262))</f>
        <v/>
      </c>
      <c r="N262" s="246" t="str">
        <f>IF(AND(ISNUMBER(F262),ISNUMBER(G262),F262&gt;0,1-N(Ввод!$J$19)/100&gt;0),G262/(1-N(Ввод!$J$19)/100),IF(AND(ISNUMBER(I262),ISNUMBER(J262),I262&gt;0),J262/(1+N(Ввод!$J$19)/100),""))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71" t="str">
        <f>IF(AND(ISNUMBER(F263),ISNUMBER(G263)),F263*G263,"")</f>
        <v/>
      </c>
      <c r="I263" s="240" t="n"/>
      <c r="J263" s="177" t="n"/>
      <c r="K263" s="271" t="str">
        <f>IF(AND(ISNUMBER(I263),ISNUMBER(J263)),I263*J263,"")</f>
        <v/>
      </c>
      <c r="L263" s="240" t="str">
        <f>IF(COUNT(F263,I263)=0,"",N(F263)-N(I263))</f>
        <v/>
      </c>
      <c r="M263" s="241" t="str">
        <f>IF(COUNT(H263,K263)=0,"",N(K263)-N(H263))</f>
        <v/>
      </c>
      <c r="N263" s="240" t="str">
        <f>IF(AND(ISNUMBER(F263),ISNUMBER(G263),F263&gt;0,1-N(Ввод!$J$19)/100&gt;0),G263/(1-N(Ввод!$J$19)/100),IF(AND(ISNUMBER(I263),ISNUMBER(J263),I263&gt;0),J263/(1+N(Ввод!$J$19)/100),""))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71" t="str">
        <f>IF(AND(ISNUMBER(F264),ISNUMBER(G264)),F264*G264,"")</f>
        <v/>
      </c>
      <c r="I264" s="246" t="n"/>
      <c r="J264" s="183" t="n"/>
      <c r="K264" s="271" t="str">
        <f>IF(AND(ISNUMBER(I264),ISNUMBER(J264)),I264*J264,"")</f>
        <v/>
      </c>
      <c r="L264" s="246" t="str">
        <f>IF(COUNT(F264,I264)=0,"",N(F264)-N(I264))</f>
        <v/>
      </c>
      <c r="M264" s="247" t="str">
        <f>IF(COUNT(H264,K264)=0,"",N(K264)-N(H264))</f>
        <v/>
      </c>
      <c r="N264" s="246" t="str">
        <f>IF(AND(ISNUMBER(F264),ISNUMBER(G264),F264&gt;0,1-N(Ввод!$J$19)/100&gt;0),G264/(1-N(Ввод!$J$19)/100),IF(AND(ISNUMBER(I264),ISNUMBER(J264),I264&gt;0),J264/(1+N(Ввод!$J$19)/100),""))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71" t="str">
        <f>IF(AND(ISNUMBER(F265),ISNUMBER(G265)),F265*G265,"")</f>
        <v/>
      </c>
      <c r="I265" s="240" t="n"/>
      <c r="J265" s="177" t="n"/>
      <c r="K265" s="271" t="str">
        <f>IF(AND(ISNUMBER(I265),ISNUMBER(J265)),I265*J265,"")</f>
        <v/>
      </c>
      <c r="L265" s="240" t="str">
        <f>IF(COUNT(F265,I265)=0,"",N(F265)-N(I265))</f>
        <v/>
      </c>
      <c r="M265" s="241" t="str">
        <f>IF(COUNT(H265,K265)=0,"",N(K265)-N(H265))</f>
        <v/>
      </c>
      <c r="N265" s="240" t="str">
        <f>IF(AND(ISNUMBER(F265),ISNUMBER(G265),F265&gt;0,1-N(Ввод!$J$19)/100&gt;0),G265/(1-N(Ввод!$J$19)/100),IF(AND(ISNUMBER(I265),ISNUMBER(J265),I265&gt;0),J265/(1+N(Ввод!$J$19)/100),""))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71" t="str">
        <f>IF(AND(ISNUMBER(F266),ISNUMBER(G266)),F266*G266,"")</f>
        <v/>
      </c>
      <c r="I266" s="246" t="n"/>
      <c r="J266" s="183" t="n"/>
      <c r="K266" s="271" t="str">
        <f>IF(AND(ISNUMBER(I266),ISNUMBER(J266)),I266*J266,"")</f>
        <v/>
      </c>
      <c r="L266" s="246" t="str">
        <f>IF(COUNT(F266,I266)=0,"",N(F266)-N(I266))</f>
        <v/>
      </c>
      <c r="M266" s="247" t="str">
        <f>IF(COUNT(H266,K266)=0,"",N(K266)-N(H266))</f>
        <v/>
      </c>
      <c r="N266" s="246" t="str">
        <f>IF(AND(ISNUMBER(F266),ISNUMBER(G266),F266&gt;0,1-N(Ввод!$J$19)/100&gt;0),G266/(1-N(Ввод!$J$19)/100),IF(AND(ISNUMBER(I266),ISNUMBER(J266),I266&gt;0),J266/(1+N(Ввод!$J$19)/100),""))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71" t="str">
        <f>IF(AND(ISNUMBER(F267),ISNUMBER(G267)),F267*G267,"")</f>
        <v/>
      </c>
      <c r="I267" s="240" t="n"/>
      <c r="J267" s="177" t="n"/>
      <c r="K267" s="271" t="str">
        <f>IF(AND(ISNUMBER(I267),ISNUMBER(J267)),I267*J267,"")</f>
        <v/>
      </c>
      <c r="L267" s="240" t="str">
        <f>IF(COUNT(F267,I267)=0,"",N(F267)-N(I267))</f>
        <v/>
      </c>
      <c r="M267" s="241" t="str">
        <f>IF(COUNT(H267,K267)=0,"",N(K267)-N(H267))</f>
        <v/>
      </c>
      <c r="N267" s="240" t="str">
        <f>IF(AND(ISNUMBER(F267),ISNUMBER(G267),F267&gt;0,1-N(Ввод!$J$19)/100&gt;0),G267/(1-N(Ввод!$J$19)/100),IF(AND(ISNUMBER(I267),ISNUMBER(J267),I267&gt;0),J267/(1+N(Ввод!$J$19)/100),""))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71" t="str">
        <f>IF(AND(ISNUMBER(F268),ISNUMBER(G268)),F268*G268,"")</f>
        <v/>
      </c>
      <c r="I268" s="246" t="n"/>
      <c r="J268" s="183" t="n"/>
      <c r="K268" s="271" t="str">
        <f>IF(AND(ISNUMBER(I268),ISNUMBER(J268)),I268*J268,"")</f>
        <v/>
      </c>
      <c r="L268" s="246" t="str">
        <f>IF(COUNT(F268,I268)=0,"",N(F268)-N(I268))</f>
        <v/>
      </c>
      <c r="M268" s="247" t="str">
        <f>IF(COUNT(H268,K268)=0,"",N(K268)-N(H268))</f>
        <v/>
      </c>
      <c r="N268" s="246" t="str">
        <f>IF(AND(ISNUMBER(F268),ISNUMBER(G268),F268&gt;0,1-N(Ввод!$J$19)/100&gt;0),G268/(1-N(Ввод!$J$19)/100),IF(AND(ISNUMBER(I268),ISNUMBER(J268),I268&gt;0),J268/(1+N(Ввод!$J$19)/100),""))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71" t="str">
        <f>IF(AND(ISNUMBER(F269),ISNUMBER(G269)),F269*G269,"")</f>
        <v/>
      </c>
      <c r="I269" s="240" t="n"/>
      <c r="J269" s="177" t="n"/>
      <c r="K269" s="271" t="str">
        <f>IF(AND(ISNUMBER(I269),ISNUMBER(J269)),I269*J269,"")</f>
        <v/>
      </c>
      <c r="L269" s="240" t="str">
        <f>IF(COUNT(F269,I269)=0,"",N(F269)-N(I269))</f>
        <v/>
      </c>
      <c r="M269" s="241" t="str">
        <f>IF(COUNT(H269,K269)=0,"",N(K269)-N(H269))</f>
        <v/>
      </c>
      <c r="N269" s="240" t="str">
        <f>IF(AND(ISNUMBER(F269),ISNUMBER(G269),F269&gt;0,1-N(Ввод!$J$19)/100&gt;0),G269/(1-N(Ввод!$J$19)/100),IF(AND(ISNUMBER(I269),ISNUMBER(J269),I269&gt;0),J269/(1+N(Ввод!$J$19)/100),""))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71" t="str">
        <f>IF(AND(ISNUMBER(F270),ISNUMBER(G270)),F270*G270,"")</f>
        <v/>
      </c>
      <c r="I270" s="246" t="n"/>
      <c r="J270" s="183" t="n"/>
      <c r="K270" s="271" t="str">
        <f>IF(AND(ISNUMBER(I270),ISNUMBER(J270)),I270*J270,"")</f>
        <v/>
      </c>
      <c r="L270" s="246" t="str">
        <f>IF(COUNT(F270,I270)=0,"",N(F270)-N(I270))</f>
        <v/>
      </c>
      <c r="M270" s="247" t="str">
        <f>IF(COUNT(H270,K270)=0,"",N(K270)-N(H270))</f>
        <v/>
      </c>
      <c r="N270" s="246" t="str">
        <f>IF(AND(ISNUMBER(F270),ISNUMBER(G270),F270&gt;0,1-N(Ввод!$J$19)/100&gt;0),G270/(1-N(Ввод!$J$19)/100),IF(AND(ISNUMBER(I270),ISNUMBER(J270),I270&gt;0),J270/(1+N(Ввод!$J$19)/100),""))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71" t="str">
        <f>IF(AND(ISNUMBER(F271),ISNUMBER(G271)),F271*G271,"")</f>
        <v/>
      </c>
      <c r="I271" s="240" t="n"/>
      <c r="J271" s="177" t="n"/>
      <c r="K271" s="271" t="str">
        <f>IF(AND(ISNUMBER(I271),ISNUMBER(J271)),I271*J271,"")</f>
        <v/>
      </c>
      <c r="L271" s="240" t="str">
        <f>IF(COUNT(F271,I271)=0,"",N(F271)-N(I271))</f>
        <v/>
      </c>
      <c r="M271" s="241" t="str">
        <f>IF(COUNT(H271,K271)=0,"",N(K271)-N(H271))</f>
        <v/>
      </c>
      <c r="N271" s="240" t="str">
        <f>IF(AND(ISNUMBER(F271),ISNUMBER(G271),F271&gt;0,1-N(Ввод!$J$19)/100&gt;0),G271/(1-N(Ввод!$J$19)/100),IF(AND(ISNUMBER(I271),ISNUMBER(J271),I271&gt;0),J271/(1+N(Ввод!$J$19)/100),""))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71" t="str">
        <f>IF(AND(ISNUMBER(F272),ISNUMBER(G272)),F272*G272,"")</f>
        <v/>
      </c>
      <c r="I272" s="246" t="n"/>
      <c r="J272" s="183" t="n"/>
      <c r="K272" s="271" t="str">
        <f>IF(AND(ISNUMBER(I272),ISNUMBER(J272)),I272*J272,"")</f>
        <v/>
      </c>
      <c r="L272" s="246" t="str">
        <f>IF(COUNT(F272,I272)=0,"",N(F272)-N(I272))</f>
        <v/>
      </c>
      <c r="M272" s="247" t="str">
        <f>IF(COUNT(H272,K272)=0,"",N(K272)-N(H272))</f>
        <v/>
      </c>
      <c r="N272" s="246" t="str">
        <f>IF(AND(ISNUMBER(F272),ISNUMBER(G272),F272&gt;0,1-N(Ввод!$J$19)/100&gt;0),G272/(1-N(Ввод!$J$19)/100),IF(AND(ISNUMBER(I272),ISNUMBER(J272),I272&gt;0),J272/(1+N(Ввод!$J$19)/100),""))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71" t="str">
        <f>IF(AND(ISNUMBER(F273),ISNUMBER(G273)),F273*G273,"")</f>
        <v/>
      </c>
      <c r="I273" s="240" t="n"/>
      <c r="J273" s="177" t="n"/>
      <c r="K273" s="271" t="str">
        <f>IF(AND(ISNUMBER(I273),ISNUMBER(J273)),I273*J273,"")</f>
        <v/>
      </c>
      <c r="L273" s="240" t="str">
        <f>IF(COUNT(F273,I273)=0,"",N(F273)-N(I273))</f>
        <v/>
      </c>
      <c r="M273" s="241" t="str">
        <f>IF(COUNT(H273,K273)=0,"",N(K273)-N(H273))</f>
        <v/>
      </c>
      <c r="N273" s="240" t="str">
        <f>IF(AND(ISNUMBER(F273),ISNUMBER(G273),F273&gt;0,1-N(Ввод!$J$19)/100&gt;0),G273/(1-N(Ввод!$J$19)/100),IF(AND(ISNUMBER(I273),ISNUMBER(J273),I273&gt;0),J273/(1+N(Ввод!$J$19)/100),""))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71" t="str">
        <f>IF(AND(ISNUMBER(F274),ISNUMBER(G274)),F274*G274,"")</f>
        <v/>
      </c>
      <c r="I274" s="246" t="n"/>
      <c r="J274" s="183" t="n"/>
      <c r="K274" s="271" t="str">
        <f>IF(AND(ISNUMBER(I274),ISNUMBER(J274)),I274*J274,"")</f>
        <v/>
      </c>
      <c r="L274" s="246" t="str">
        <f>IF(COUNT(F274,I274)=0,"",N(F274)-N(I274))</f>
        <v/>
      </c>
      <c r="M274" s="247" t="str">
        <f>IF(COUNT(H274,K274)=0,"",N(K274)-N(H274))</f>
        <v/>
      </c>
      <c r="N274" s="246" t="str">
        <f>IF(AND(ISNUMBER(F274),ISNUMBER(G274),F274&gt;0,1-N(Ввод!$J$19)/100&gt;0),G274/(1-N(Ввод!$J$19)/100),IF(AND(ISNUMBER(I274),ISNUMBER(J274),I274&gt;0),J274/(1+N(Ввод!$J$19)/100),""))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71" t="str">
        <f>IF(AND(ISNUMBER(F275),ISNUMBER(G275)),F275*G275,"")</f>
        <v/>
      </c>
      <c r="I275" s="240" t="n"/>
      <c r="J275" s="177" t="n"/>
      <c r="K275" s="271" t="str">
        <f>IF(AND(ISNUMBER(I275),ISNUMBER(J275)),I275*J275,"")</f>
        <v/>
      </c>
      <c r="L275" s="240" t="str">
        <f>IF(COUNT(F275,I275)=0,"",N(F275)-N(I275))</f>
        <v/>
      </c>
      <c r="M275" s="241" t="str">
        <f>IF(COUNT(H275,K275)=0,"",N(K275)-N(H275))</f>
        <v/>
      </c>
      <c r="N275" s="240" t="str">
        <f>IF(AND(ISNUMBER(F275),ISNUMBER(G275),F275&gt;0,1-N(Ввод!$J$19)/100&gt;0),G275/(1-N(Ввод!$J$19)/100),IF(AND(ISNUMBER(I275),ISNUMBER(J275),I275&gt;0),J275/(1+N(Ввод!$J$19)/100),""))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71" t="str">
        <f>IF(AND(ISNUMBER(F276),ISNUMBER(G276)),F276*G276,"")</f>
        <v/>
      </c>
      <c r="I276" s="246" t="n"/>
      <c r="J276" s="183" t="n"/>
      <c r="K276" s="271" t="str">
        <f>IF(AND(ISNUMBER(I276),ISNUMBER(J276)),I276*J276,"")</f>
        <v/>
      </c>
      <c r="L276" s="246" t="str">
        <f>IF(COUNT(F276,I276)=0,"",N(F276)-N(I276))</f>
        <v/>
      </c>
      <c r="M276" s="247" t="str">
        <f>IF(COUNT(H276,K276)=0,"",N(K276)-N(H276))</f>
        <v/>
      </c>
      <c r="N276" s="246" t="str">
        <f>IF(AND(ISNUMBER(F276),ISNUMBER(G276),F276&gt;0,1-N(Ввод!$J$19)/100&gt;0),G276/(1-N(Ввод!$J$19)/100),IF(AND(ISNUMBER(I276),ISNUMBER(J276),I276&gt;0),J276/(1+N(Ввод!$J$19)/100),""))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71" t="str">
        <f>IF(AND(ISNUMBER(F277),ISNUMBER(G277)),F277*G277,"")</f>
        <v/>
      </c>
      <c r="I277" s="240" t="n"/>
      <c r="J277" s="177" t="n"/>
      <c r="K277" s="271" t="str">
        <f>IF(AND(ISNUMBER(I277),ISNUMBER(J277)),I277*J277,"")</f>
        <v/>
      </c>
      <c r="L277" s="240" t="str">
        <f>IF(COUNT(F277,I277)=0,"",N(F277)-N(I277))</f>
        <v/>
      </c>
      <c r="M277" s="241" t="str">
        <f>IF(COUNT(H277,K277)=0,"",N(K277)-N(H277))</f>
        <v/>
      </c>
      <c r="N277" s="240" t="str">
        <f>IF(AND(ISNUMBER(F277),ISNUMBER(G277),F277&gt;0,1-N(Ввод!$J$19)/100&gt;0),G277/(1-N(Ввод!$J$19)/100),IF(AND(ISNUMBER(I277),ISNUMBER(J277),I277&gt;0),J277/(1+N(Ввод!$J$19)/100),""))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71" t="str">
        <f>IF(AND(ISNUMBER(F278),ISNUMBER(G278)),F278*G278,"")</f>
        <v/>
      </c>
      <c r="I278" s="246" t="n"/>
      <c r="J278" s="183" t="n"/>
      <c r="K278" s="271" t="str">
        <f>IF(AND(ISNUMBER(I278),ISNUMBER(J278)),I278*J278,"")</f>
        <v/>
      </c>
      <c r="L278" s="246" t="str">
        <f>IF(COUNT(F278,I278)=0,"",N(F278)-N(I278))</f>
        <v/>
      </c>
      <c r="M278" s="247" t="str">
        <f>IF(COUNT(H278,K278)=0,"",N(K278)-N(H278))</f>
        <v/>
      </c>
      <c r="N278" s="246" t="str">
        <f>IF(AND(ISNUMBER(F278),ISNUMBER(G278),F278&gt;0,1-N(Ввод!$J$19)/100&gt;0),G278/(1-N(Ввод!$J$19)/100),IF(AND(ISNUMBER(I278),ISNUMBER(J278),I278&gt;0),J278/(1+N(Ввод!$J$19)/100),""))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71" t="str">
        <f>IF(AND(ISNUMBER(F279),ISNUMBER(G279)),F279*G279,"")</f>
        <v/>
      </c>
      <c r="I279" s="240" t="n"/>
      <c r="J279" s="177" t="n"/>
      <c r="K279" s="271" t="str">
        <f>IF(AND(ISNUMBER(I279),ISNUMBER(J279)),I279*J279,"")</f>
        <v/>
      </c>
      <c r="L279" s="240" t="str">
        <f>IF(COUNT(F279,I279)=0,"",N(F279)-N(I279))</f>
        <v/>
      </c>
      <c r="M279" s="241" t="str">
        <f>IF(COUNT(H279,K279)=0,"",N(K279)-N(H279))</f>
        <v/>
      </c>
      <c r="N279" s="240" t="str">
        <f>IF(AND(ISNUMBER(F279),ISNUMBER(G279),F279&gt;0,1-N(Ввод!$J$19)/100&gt;0),G279/(1-N(Ввод!$J$19)/100),IF(AND(ISNUMBER(I279),ISNUMBER(J279),I279&gt;0),J279/(1+N(Ввод!$J$19)/100),""))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71" t="str">
        <f>IF(AND(ISNUMBER(F280),ISNUMBER(G280)),F280*G280,"")</f>
        <v/>
      </c>
      <c r="I280" s="246" t="n"/>
      <c r="J280" s="183" t="n"/>
      <c r="K280" s="271" t="str">
        <f>IF(AND(ISNUMBER(I280),ISNUMBER(J280)),I280*J280,"")</f>
        <v/>
      </c>
      <c r="L280" s="246" t="str">
        <f>IF(COUNT(F280,I280)=0,"",N(F280)-N(I280))</f>
        <v/>
      </c>
      <c r="M280" s="247" t="str">
        <f>IF(COUNT(H280,K280)=0,"",N(K280)-N(H280))</f>
        <v/>
      </c>
      <c r="N280" s="246" t="str">
        <f>IF(AND(ISNUMBER(F280),ISNUMBER(G280),F280&gt;0,1-N(Ввод!$J$19)/100&gt;0),G280/(1-N(Ввод!$J$19)/100),IF(AND(ISNUMBER(I280),ISNUMBER(J280),I280&gt;0),J280/(1+N(Ввод!$J$19)/100),""))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71" t="str">
        <f>IF(AND(ISNUMBER(F281),ISNUMBER(G281)),F281*G281,"")</f>
        <v/>
      </c>
      <c r="I281" s="240" t="n"/>
      <c r="J281" s="177" t="n"/>
      <c r="K281" s="271" t="str">
        <f>IF(AND(ISNUMBER(I281),ISNUMBER(J281)),I281*J281,"")</f>
        <v/>
      </c>
      <c r="L281" s="240" t="str">
        <f>IF(COUNT(F281,I281)=0,"",N(F281)-N(I281))</f>
        <v/>
      </c>
      <c r="M281" s="241" t="str">
        <f>IF(COUNT(H281,K281)=0,"",N(K281)-N(H281))</f>
        <v/>
      </c>
      <c r="N281" s="240" t="str">
        <f>IF(AND(ISNUMBER(F281),ISNUMBER(G281),F281&gt;0,1-N(Ввод!$J$19)/100&gt;0),G281/(1-N(Ввод!$J$19)/100),IF(AND(ISNUMBER(I281),ISNUMBER(J281),I281&gt;0),J281/(1+N(Ввод!$J$19)/100),""))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71" t="str">
        <f>IF(AND(ISNUMBER(F282),ISNUMBER(G282)),F282*G282,"")</f>
        <v/>
      </c>
      <c r="I282" s="246" t="n"/>
      <c r="J282" s="183" t="n"/>
      <c r="K282" s="271" t="str">
        <f>IF(AND(ISNUMBER(I282),ISNUMBER(J282)),I282*J282,"")</f>
        <v/>
      </c>
      <c r="L282" s="246" t="str">
        <f>IF(COUNT(F282,I282)=0,"",N(F282)-N(I282))</f>
        <v/>
      </c>
      <c r="M282" s="247" t="str">
        <f>IF(COUNT(H282,K282)=0,"",N(K282)-N(H282))</f>
        <v/>
      </c>
      <c r="N282" s="246" t="str">
        <f>IF(AND(ISNUMBER(F282),ISNUMBER(G282),F282&gt;0,1-N(Ввод!$J$19)/100&gt;0),G282/(1-N(Ввод!$J$19)/100),IF(AND(ISNUMBER(I282),ISNUMBER(J282),I282&gt;0),J282/(1+N(Ввод!$J$19)/100),""))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71" t="str">
        <f>IF(AND(ISNUMBER(F283),ISNUMBER(G283)),F283*G283,"")</f>
        <v/>
      </c>
      <c r="I283" s="240" t="n"/>
      <c r="J283" s="177" t="n"/>
      <c r="K283" s="271" t="str">
        <f>IF(AND(ISNUMBER(I283),ISNUMBER(J283)),I283*J283,"")</f>
        <v/>
      </c>
      <c r="L283" s="240" t="str">
        <f>IF(COUNT(F283,I283)=0,"",N(F283)-N(I283))</f>
        <v/>
      </c>
      <c r="M283" s="241" t="str">
        <f>IF(COUNT(H283,K283)=0,"",N(K283)-N(H283))</f>
        <v/>
      </c>
      <c r="N283" s="240" t="str">
        <f>IF(AND(ISNUMBER(F283),ISNUMBER(G283),F283&gt;0,1-N(Ввод!$J$19)/100&gt;0),G283/(1-N(Ввод!$J$19)/100),IF(AND(ISNUMBER(I283),ISNUMBER(J283),I283&gt;0),J283/(1+N(Ввод!$J$19)/100),""))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71" t="str">
        <f>IF(AND(ISNUMBER(F284),ISNUMBER(G284)),F284*G284,"")</f>
        <v/>
      </c>
      <c r="I284" s="246" t="n"/>
      <c r="J284" s="183" t="n"/>
      <c r="K284" s="271" t="str">
        <f>IF(AND(ISNUMBER(I284),ISNUMBER(J284)),I284*J284,"")</f>
        <v/>
      </c>
      <c r="L284" s="246" t="str">
        <f>IF(COUNT(F284,I284)=0,"",N(F284)-N(I284))</f>
        <v/>
      </c>
      <c r="M284" s="247" t="str">
        <f>IF(COUNT(H284,K284)=0,"",N(K284)-N(H284))</f>
        <v/>
      </c>
      <c r="N284" s="246" t="str">
        <f>IF(AND(ISNUMBER(F284),ISNUMBER(G284),F284&gt;0,1-N(Ввод!$J$19)/100&gt;0),G284/(1-N(Ввод!$J$19)/100),IF(AND(ISNUMBER(I284),ISNUMBER(J284),I284&gt;0),J284/(1+N(Ввод!$J$19)/100),""))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71" t="str">
        <f>IF(AND(ISNUMBER(F285),ISNUMBER(G285)),F285*G285,"")</f>
        <v/>
      </c>
      <c r="I285" s="240" t="n"/>
      <c r="J285" s="177" t="n"/>
      <c r="K285" s="271" t="str">
        <f>IF(AND(ISNUMBER(I285),ISNUMBER(J285)),I285*J285,"")</f>
        <v/>
      </c>
      <c r="L285" s="240" t="str">
        <f>IF(COUNT(F285,I285)=0,"",N(F285)-N(I285))</f>
        <v/>
      </c>
      <c r="M285" s="241" t="str">
        <f>IF(COUNT(H285,K285)=0,"",N(K285)-N(H285))</f>
        <v/>
      </c>
      <c r="N285" s="240" t="str">
        <f>IF(AND(ISNUMBER(F285),ISNUMBER(G285),F285&gt;0,1-N(Ввод!$J$19)/100&gt;0),G285/(1-N(Ввод!$J$19)/100),IF(AND(ISNUMBER(I285),ISNUMBER(J285),I285&gt;0),J285/(1+N(Ввод!$J$19)/100),""))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71" t="str">
        <f>IF(AND(ISNUMBER(F286),ISNUMBER(G286)),F286*G286,"")</f>
        <v/>
      </c>
      <c r="I286" s="246" t="n"/>
      <c r="J286" s="183" t="n"/>
      <c r="K286" s="271" t="str">
        <f>IF(AND(ISNUMBER(I286),ISNUMBER(J286)),I286*J286,"")</f>
        <v/>
      </c>
      <c r="L286" s="246" t="str">
        <f>IF(COUNT(F286,I286)=0,"",N(F286)-N(I286))</f>
        <v/>
      </c>
      <c r="M286" s="247" t="str">
        <f>IF(COUNT(H286,K286)=0,"",N(K286)-N(H286))</f>
        <v/>
      </c>
      <c r="N286" s="246" t="str">
        <f>IF(AND(ISNUMBER(F286),ISNUMBER(G286),F286&gt;0,1-N(Ввод!$J$19)/100&gt;0),G286/(1-N(Ввод!$J$19)/100),IF(AND(ISNUMBER(I286),ISNUMBER(J286),I286&gt;0),J286/(1+N(Ввод!$J$19)/100),""))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71" t="str">
        <f>IF(AND(ISNUMBER(F287),ISNUMBER(G287)),F287*G287,"")</f>
        <v/>
      </c>
      <c r="I287" s="240" t="n"/>
      <c r="J287" s="177" t="n"/>
      <c r="K287" s="271" t="str">
        <f>IF(AND(ISNUMBER(I287),ISNUMBER(J287)),I287*J287,"")</f>
        <v/>
      </c>
      <c r="L287" s="240" t="str">
        <f>IF(COUNT(F287,I287)=0,"",N(F287)-N(I287))</f>
        <v/>
      </c>
      <c r="M287" s="241" t="str">
        <f>IF(COUNT(H287,K287)=0,"",N(K287)-N(H287))</f>
        <v/>
      </c>
      <c r="N287" s="240" t="str">
        <f>IF(AND(ISNUMBER(F287),ISNUMBER(G287),F287&gt;0,1-N(Ввод!$J$19)/100&gt;0),G287/(1-N(Ввод!$J$19)/100),IF(AND(ISNUMBER(I287),ISNUMBER(J287),I287&gt;0),J287/(1+N(Ввод!$J$19)/100),""))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71" t="str">
        <f>IF(AND(ISNUMBER(F288),ISNUMBER(G288)),F288*G288,"")</f>
        <v/>
      </c>
      <c r="I288" s="246" t="n"/>
      <c r="J288" s="183" t="n"/>
      <c r="K288" s="271" t="str">
        <f>IF(AND(ISNUMBER(I288),ISNUMBER(J288)),I288*J288,"")</f>
        <v/>
      </c>
      <c r="L288" s="246" t="str">
        <f>IF(COUNT(F288,I288)=0,"",N(F288)-N(I288))</f>
        <v/>
      </c>
      <c r="M288" s="247" t="str">
        <f>IF(COUNT(H288,K288)=0,"",N(K288)-N(H288))</f>
        <v/>
      </c>
      <c r="N288" s="246" t="str">
        <f>IF(AND(ISNUMBER(F288),ISNUMBER(G288),F288&gt;0,1-N(Ввод!$J$19)/100&gt;0),G288/(1-N(Ввод!$J$19)/100),IF(AND(ISNUMBER(I288),ISNUMBER(J288),I288&gt;0),J288/(1+N(Ввод!$J$19)/100),""))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71" t="str">
        <f>IF(AND(ISNUMBER(F289),ISNUMBER(G289)),F289*G289,"")</f>
        <v/>
      </c>
      <c r="I289" s="240" t="n"/>
      <c r="J289" s="177" t="n"/>
      <c r="K289" s="271" t="str">
        <f>IF(AND(ISNUMBER(I289),ISNUMBER(J289)),I289*J289,"")</f>
        <v/>
      </c>
      <c r="L289" s="240" t="str">
        <f>IF(COUNT(F289,I289)=0,"",N(F289)-N(I289))</f>
        <v/>
      </c>
      <c r="M289" s="241" t="str">
        <f>IF(COUNT(H289,K289)=0,"",N(K289)-N(H289))</f>
        <v/>
      </c>
      <c r="N289" s="240" t="str">
        <f>IF(AND(ISNUMBER(F289),ISNUMBER(G289),F289&gt;0,1-N(Ввод!$J$19)/100&gt;0),G289/(1-N(Ввод!$J$19)/100),IF(AND(ISNUMBER(I289),ISNUMBER(J289),I289&gt;0),J289/(1+N(Ввод!$J$19)/100),""))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71" t="str">
        <f>IF(AND(ISNUMBER(F290),ISNUMBER(G290)),F290*G290,"")</f>
        <v/>
      </c>
      <c r="I290" s="246" t="n"/>
      <c r="J290" s="183" t="n"/>
      <c r="K290" s="271" t="str">
        <f>IF(AND(ISNUMBER(I290),ISNUMBER(J290)),I290*J290,"")</f>
        <v/>
      </c>
      <c r="L290" s="246" t="str">
        <f>IF(COUNT(F290,I290)=0,"",N(F290)-N(I290))</f>
        <v/>
      </c>
      <c r="M290" s="247" t="str">
        <f>IF(COUNT(H290,K290)=0,"",N(K290)-N(H290))</f>
        <v/>
      </c>
      <c r="N290" s="246" t="str">
        <f>IF(AND(ISNUMBER(F290),ISNUMBER(G290),F290&gt;0,1-N(Ввод!$J$19)/100&gt;0),G290/(1-N(Ввод!$J$19)/100),IF(AND(ISNUMBER(I290),ISNUMBER(J290),I290&gt;0),J290/(1+N(Ввод!$J$19)/100),""))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71" t="str">
        <f>IF(AND(ISNUMBER(F291),ISNUMBER(G291)),F291*G291,"")</f>
        <v/>
      </c>
      <c r="I291" s="240" t="n"/>
      <c r="J291" s="177" t="n"/>
      <c r="K291" s="271" t="str">
        <f>IF(AND(ISNUMBER(I291),ISNUMBER(J291)),I291*J291,"")</f>
        <v/>
      </c>
      <c r="L291" s="240" t="str">
        <f>IF(COUNT(F291,I291)=0,"",N(F291)-N(I291))</f>
        <v/>
      </c>
      <c r="M291" s="241" t="str">
        <f>IF(COUNT(H291,K291)=0,"",N(K291)-N(H291))</f>
        <v/>
      </c>
      <c r="N291" s="240" t="str">
        <f>IF(AND(ISNUMBER(F291),ISNUMBER(G291),F291&gt;0,1-N(Ввод!$J$19)/100&gt;0),G291/(1-N(Ввод!$J$19)/100),IF(AND(ISNUMBER(I291),ISNUMBER(J291),I291&gt;0),J291/(1+N(Ввод!$J$19)/100),""))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71" t="str">
        <f>IF(AND(ISNUMBER(F292),ISNUMBER(G292)),F292*G292,"")</f>
        <v/>
      </c>
      <c r="I292" s="246" t="n"/>
      <c r="J292" s="183" t="n"/>
      <c r="K292" s="271" t="str">
        <f>IF(AND(ISNUMBER(I292),ISNUMBER(J292)),I292*J292,"")</f>
        <v/>
      </c>
      <c r="L292" s="246" t="str">
        <f>IF(COUNT(F292,I292)=0,"",N(F292)-N(I292))</f>
        <v/>
      </c>
      <c r="M292" s="247" t="str">
        <f>IF(COUNT(H292,K292)=0,"",N(K292)-N(H292))</f>
        <v/>
      </c>
      <c r="N292" s="246" t="str">
        <f>IF(AND(ISNUMBER(F292),ISNUMBER(G292),F292&gt;0,1-N(Ввод!$J$19)/100&gt;0),G292/(1-N(Ввод!$J$19)/100),IF(AND(ISNUMBER(I292),ISNUMBER(J292),I292&gt;0),J292/(1+N(Ввод!$J$19)/100),""))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71" t="str">
        <f>IF(AND(ISNUMBER(F293),ISNUMBER(G293)),F293*G293,"")</f>
        <v/>
      </c>
      <c r="I293" s="240" t="n"/>
      <c r="J293" s="177" t="n"/>
      <c r="K293" s="271" t="str">
        <f>IF(AND(ISNUMBER(I293),ISNUMBER(J293)),I293*J293,"")</f>
        <v/>
      </c>
      <c r="L293" s="240" t="str">
        <f>IF(COUNT(F293,I293)=0,"",N(F293)-N(I293))</f>
        <v/>
      </c>
      <c r="M293" s="241" t="str">
        <f>IF(COUNT(H293,K293)=0,"",N(K293)-N(H293))</f>
        <v/>
      </c>
      <c r="N293" s="240" t="str">
        <f>IF(AND(ISNUMBER(F293),ISNUMBER(G293),F293&gt;0,1-N(Ввод!$J$19)/100&gt;0),G293/(1-N(Ввод!$J$19)/100),IF(AND(ISNUMBER(I293),ISNUMBER(J293),I293&gt;0),J293/(1+N(Ввод!$J$19)/100),""))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71" t="str">
        <f>IF(AND(ISNUMBER(F294),ISNUMBER(G294)),F294*G294,"")</f>
        <v/>
      </c>
      <c r="I294" s="246" t="n"/>
      <c r="J294" s="183" t="n"/>
      <c r="K294" s="271" t="str">
        <f>IF(AND(ISNUMBER(I294),ISNUMBER(J294)),I294*J294,"")</f>
        <v/>
      </c>
      <c r="L294" s="246" t="str">
        <f>IF(COUNT(F294,I294)=0,"",N(F294)-N(I294))</f>
        <v/>
      </c>
      <c r="M294" s="247" t="str">
        <f>IF(COUNT(H294,K294)=0,"",N(K294)-N(H294))</f>
        <v/>
      </c>
      <c r="N294" s="246" t="str">
        <f>IF(AND(ISNUMBER(F294),ISNUMBER(G294),F294&gt;0,1-N(Ввод!$J$19)/100&gt;0),G294/(1-N(Ввод!$J$19)/100),IF(AND(ISNUMBER(I294),ISNUMBER(J294),I294&gt;0),J294/(1+N(Ввод!$J$19)/100),""))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71" t="str">
        <f>IF(AND(ISNUMBER(F295),ISNUMBER(G295)),F295*G295,"")</f>
        <v/>
      </c>
      <c r="I295" s="240" t="n"/>
      <c r="J295" s="177" t="n"/>
      <c r="K295" s="271" t="str">
        <f>IF(AND(ISNUMBER(I295),ISNUMBER(J295)),I295*J295,"")</f>
        <v/>
      </c>
      <c r="L295" s="240" t="str">
        <f>IF(COUNT(F295,I295)=0,"",N(F295)-N(I295))</f>
        <v/>
      </c>
      <c r="M295" s="241" t="str">
        <f>IF(COUNT(H295,K295)=0,"",N(K295)-N(H295))</f>
        <v/>
      </c>
      <c r="N295" s="240" t="str">
        <f>IF(AND(ISNUMBER(F295),ISNUMBER(G295),F295&gt;0,1-N(Ввод!$J$19)/100&gt;0),G295/(1-N(Ввод!$J$19)/100),IF(AND(ISNUMBER(I295),ISNUMBER(J295),I295&gt;0),J295/(1+N(Ввод!$J$19)/100),""))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71" t="str">
        <f>IF(AND(ISNUMBER(F296),ISNUMBER(G296)),F296*G296,"")</f>
        <v/>
      </c>
      <c r="I296" s="246" t="n"/>
      <c r="J296" s="183" t="n"/>
      <c r="K296" s="271" t="str">
        <f>IF(AND(ISNUMBER(I296),ISNUMBER(J296)),I296*J296,"")</f>
        <v/>
      </c>
      <c r="L296" s="246" t="str">
        <f>IF(COUNT(F296,I296)=0,"",N(F296)-N(I296))</f>
        <v/>
      </c>
      <c r="M296" s="247" t="str">
        <f>IF(COUNT(H296,K296)=0,"",N(K296)-N(H296))</f>
        <v/>
      </c>
      <c r="N296" s="246" t="str">
        <f>IF(AND(ISNUMBER(F296),ISNUMBER(G296),F296&gt;0,1-N(Ввод!$J$19)/100&gt;0),G296/(1-N(Ввод!$J$19)/100),IF(AND(ISNUMBER(I296),ISNUMBER(J296),I296&gt;0),J296/(1+N(Ввод!$J$19)/100),""))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71" t="str">
        <f>IF(AND(ISNUMBER(F297),ISNUMBER(G297)),F297*G297,"")</f>
        <v/>
      </c>
      <c r="I297" s="240" t="n"/>
      <c r="J297" s="177" t="n"/>
      <c r="K297" s="271" t="str">
        <f>IF(AND(ISNUMBER(I297),ISNUMBER(J297)),I297*J297,"")</f>
        <v/>
      </c>
      <c r="L297" s="240" t="str">
        <f>IF(COUNT(F297,I297)=0,"",N(F297)-N(I297))</f>
        <v/>
      </c>
      <c r="M297" s="241" t="str">
        <f>IF(COUNT(H297,K297)=0,"",N(K297)-N(H297))</f>
        <v/>
      </c>
      <c r="N297" s="240" t="str">
        <f>IF(AND(ISNUMBER(F297),ISNUMBER(G297),F297&gt;0,1-N(Ввод!$J$19)/100&gt;0),G297/(1-N(Ввод!$J$19)/100),IF(AND(ISNUMBER(I297),ISNUMBER(J297),I297&gt;0),J297/(1+N(Ввод!$J$19)/100),""))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71" t="str">
        <f>IF(AND(ISNUMBER(F298),ISNUMBER(G298)),F298*G298,"")</f>
        <v/>
      </c>
      <c r="I298" s="246" t="n"/>
      <c r="J298" s="183" t="n"/>
      <c r="K298" s="271" t="str">
        <f>IF(AND(ISNUMBER(I298),ISNUMBER(J298)),I298*J298,"")</f>
        <v/>
      </c>
      <c r="L298" s="246" t="str">
        <f>IF(COUNT(F298,I298)=0,"",N(F298)-N(I298))</f>
        <v/>
      </c>
      <c r="M298" s="247" t="str">
        <f>IF(COUNT(H298,K298)=0,"",N(K298)-N(H298))</f>
        <v/>
      </c>
      <c r="N298" s="246" t="str">
        <f>IF(AND(ISNUMBER(F298),ISNUMBER(G298),F298&gt;0,1-N(Ввод!$J$19)/100&gt;0),G298/(1-N(Ввод!$J$19)/100),IF(AND(ISNUMBER(I298),ISNUMBER(J298),I298&gt;0),J298/(1+N(Ввод!$J$19)/100),""))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71" t="str">
        <f>IF(AND(ISNUMBER(F299),ISNUMBER(G299)),F299*G299,"")</f>
        <v/>
      </c>
      <c r="I299" s="240" t="n"/>
      <c r="J299" s="177" t="n"/>
      <c r="K299" s="271" t="str">
        <f>IF(AND(ISNUMBER(I299),ISNUMBER(J299)),I299*J299,"")</f>
        <v/>
      </c>
      <c r="L299" s="240" t="str">
        <f>IF(COUNT(F299,I299)=0,"",N(F299)-N(I299))</f>
        <v/>
      </c>
      <c r="M299" s="241" t="str">
        <f>IF(COUNT(H299,K299)=0,"",N(K299)-N(H299))</f>
        <v/>
      </c>
      <c r="N299" s="240" t="str">
        <f>IF(AND(ISNUMBER(F299),ISNUMBER(G299),F299&gt;0,1-N(Ввод!$J$19)/100&gt;0),G299/(1-N(Ввод!$J$19)/100),IF(AND(ISNUMBER(I299),ISNUMBER(J299),I299&gt;0),J299/(1+N(Ввод!$J$19)/100),""))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71" t="str">
        <f>IF(AND(ISNUMBER(F300),ISNUMBER(G300)),F300*G300,"")</f>
        <v/>
      </c>
      <c r="I300" s="246" t="n"/>
      <c r="J300" s="183" t="n"/>
      <c r="K300" s="271" t="str">
        <f>IF(AND(ISNUMBER(I300),ISNUMBER(J300)),I300*J300,"")</f>
        <v/>
      </c>
      <c r="L300" s="246" t="str">
        <f>IF(COUNT(F300,I300)=0,"",N(F300)-N(I300))</f>
        <v/>
      </c>
      <c r="M300" s="247" t="str">
        <f>IF(COUNT(H300,K300)=0,"",N(K300)-N(H300))</f>
        <v/>
      </c>
      <c r="N300" s="246" t="str">
        <f>IF(AND(ISNUMBER(F300),ISNUMBER(G300),F300&gt;0,1-N(Ввод!$J$19)/100&gt;0),G300/(1-N(Ввод!$J$19)/100),IF(AND(ISNUMBER(I300),ISNUMBER(J300),I300&gt;0),J300/(1+N(Ввод!$J$19)/100),""))</f>
        <v/>
      </c>
    </row>
  </sheetData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BNB/USDT</t>
        </is>
      </c>
      <c r="C5" s="240">
        <f>IF(SUMIFS(Лэндинг!$F$5:$F$300,Лэндинг!$E$5:$E$300,$B5)+SUMIFS(Закрытые!$F$5:$F$300,Закрытые!$E$5:$E$300,$B5,Закрытые!$B$5:$B$300,"L-*")=0,"",SUMIFS(Лэндинг!$F$5:$F$300,Лэндинг!$E$5:$E$300,$B5)+SUMIFS(Закрытые!$F$5:$F$300,Закрытые!$E$5:$E$300,$B5,Закрытые!$B$5:$B$300,"L-*"))</f>
        <v>1.5</v>
      </c>
      <c r="D5" s="177">
        <f>IF(C5="","",(SUMPRODUCT((Лэндинг!$E$5:$E$300=$B5)*Лэндинг!$F$5:$F$300*Лэндинг!$G$5:$G$300)+SUMPRODUCT((Закрытые!$E$5:$E$300=$B5)*(LEFT(Закрытые!$B$5:$B$300,2)="L-")*Закрытые!$F$5:$F$300*Закрытые!$G$5:$G$300))/C5)</f>
        <v>585</v>
      </c>
      <c r="E5" s="241">
        <f>IF(C5="","",SUMIFS(Лэндинг!$H$5:$H$300,Лэндинг!$E$5:$E$300,$B5)+SUMIFS(Закрытые!$H$5:$H$300,Закрытые!$E$5:$E$300,$B5,Закрытые!$B$5:$B$300,"L-*"))</f>
        <v>877.5</v>
      </c>
      <c r="F5" s="240">
        <f>IF(SUMIFS(Лэндинг!$I$5:$I$300,Лэндинг!$E$5:$E$300,$B5)+SUMIFS(Закрытые!$I$5:$I$300,Закрытые!$E$5:$E$300,$B5,Закрытые!$B$5:$B$300,"L-*")=0,"",SUMIFS(Лэндинг!$I$5:$I$300,Лэндинг!$E$5:$E$300,$B5)+SUMIFS(Закрытые!$I$5:$I$300,Закрытые!$E$5:$E$300,$B5,Закрытые!$B$5:$B$300,"L-*"))</f>
        <v>4.5</v>
      </c>
      <c r="G5" s="177">
        <f>IF(F5="","",(SUMPRODUCT((Лэндинг!$E$5:$E$300=$B5)*Лэндинг!$I$5:$I$300*Лэндинг!$J$5:$J$300)+SUMPRODUCT((Закрытые!$E$5:$E$300=$B5)*(LEFT(Закрытые!$B$5:$B$300,2)="L-")*Закрытые!$I$5:$I$300*Закрытые!$J$5:$J$300))/F5)</f>
        <v>598.2</v>
      </c>
      <c r="H5" s="241">
        <f>IF(F5="","",SUMIFS(Лэндинг!$K$5:$K$300,Лэндинг!$E$5:$E$300,$B5)+SUMIFS(Закрытые!$K$5:$K$300,Закрытые!$E$5:$E$300,$B5,Закрытые!$B$5:$B$300,"L-*"))</f>
        <v>2691.9</v>
      </c>
      <c r="I5" s="240">
        <f>IF($B5="","",IF(COUNTIFS(Лэндинг!$E$5:$E$300,$B5)+COUNTIFS(Закрытые!$E$5:$E$300,$B5,Закрытые!$B$5:$B$300,"L-*")=0,"",ROUND(SUMIFS(Лэндинг!$L$5:$L$300,Лэндинг!$E$5:$E$300,$B5)+SUMIFS(Закрытые!$L$5:$L$300,Закрытые!$E$5:$E$300,$B5,Закрытые!$B$5:$B$300,"L-*"),8)))</f>
        <v>-3</v>
      </c>
      <c r="J5" s="241">
        <f>IF($B5="","",IF(COUNTIFS(Лэндинг!$E$5:$E$300,$B5)+COUNTIFS(Закрытые!$E$5:$E$300,$B5,Закрытые!$B$5:$B$300,"L-*")=0,"",ROUND(SUMIFS(Лэндинг!$M$5:$M$300,Лэндинг!$E$5:$E$300,$B5)+SUMIFS(Закрытые!$M$5:$M$300,Закрытые!$E$5:$E$300,$B5,Закрытые!$B$5:$B$300,"L-*"),8)))</f>
        <v>1814.4</v>
      </c>
      <c r="K5" s="240">
        <f>IF(MIN(N(C5),N(F5))&lt;=0,"",ROUND(MIN(N(C5),N(F5))*(N(G5)-N(D5)),8))</f>
        <v>19.8</v>
      </c>
      <c r="L5" s="177">
        <f>IF(MIN(N(C5),N(F5))&lt;=0,"",IF(N(D5)=0,"",ROUND((N(G5)/N(D5)-1)*100,2)))</f>
        <v>2.26</v>
      </c>
      <c r="M5" s="177">
        <f>IF(OR(ROUND(N(C5)-N(F5),8)=0,1-N(Ввод!$J$19)/100&lt;=0),"",IF(N(C5)&gt;N(F5),(N(E5)-N(H5))/((N(C5)-N(F5))*(1-N(Ввод!$J$19)/100)),(N(H5)-N(E5))/((N(F5)-N(C5))*(1+N(Ввод!$J$19)/100))))</f>
        <v>603.592814371257</v>
      </c>
    </row>
    <row r="6" ht="22" customHeight="1">
      <c r="B6" s="245" t="inlineStr">
        <is>
          <t>BTC/USDT</t>
        </is>
      </c>
      <c r="C6" s="246">
        <f>IF(SUMIFS(Лэндинг!$F$5:$F$300,Лэндинг!$E$5:$E$300,$B6)+SUMIFS(Закрытые!$F$5:$F$300,Закрытые!$E$5:$E$300,$B6,Закрытые!$B$5:$B$300,"L-*")=0,"",SUMIFS(Лэндинг!$F$5:$F$300,Лэндинг!$E$5:$E$300,$B6)+SUMIFS(Закрытые!$F$5:$F$300,Закрытые!$E$5:$E$300,$B6,Закрытые!$B$5:$B$300,"L-*"))</f>
        <v>0.1</v>
      </c>
      <c r="D6" s="183">
        <f>IF(C6="","",(SUMPRODUCT((Лэндинг!$E$5:$E$300=$B6)*Лэндинг!$F$5:$F$300*Лэндинг!$G$5:$G$300)+SUMPRODUCT((Закрытые!$E$5:$E$300=$B6)*(LEFT(Закрытые!$B$5:$B$300,2)="L-")*Закрытые!$F$5:$F$300*Закрытые!$G$5:$G$300))/C6)</f>
        <v>62124</v>
      </c>
      <c r="E6" s="247">
        <f>IF(C6="","",SUMIFS(Лэндинг!$H$5:$H$300,Лэндинг!$E$5:$E$300,$B6)+SUMIFS(Закрытые!$H$5:$H$300,Закрытые!$E$5:$E$300,$B6,Закрытые!$B$5:$B$300,"L-*"))</f>
        <v>6212.4</v>
      </c>
      <c r="F6" s="246" t="str">
        <f>IF(SUMIFS(Лэндинг!$I$5:$I$300,Лэндинг!$E$5:$E$300,$B6)+SUMIFS(Закрытые!$I$5:$I$300,Закрытые!$E$5:$E$300,$B6,Закрытые!$B$5:$B$300,"L-*")=0,"",SUMIFS(Лэндинг!$I$5:$I$300,Лэндинг!$E$5:$E$300,$B6)+SUMIFS(Закрытые!$I$5:$I$300,Закрытые!$E$5:$E$300,$B6,Закрытые!$B$5:$B$300,"L-*"))</f>
        <v/>
      </c>
      <c r="G6" s="183" t="str">
        <f>IF(F6="","",(SUMPRODUCT((Лэндинг!$E$5:$E$300=$B6)*Лэндинг!$I$5:$I$300*Лэндинг!$J$5:$J$300)+SUMPRODUCT((Закрытые!$E$5:$E$300=$B6)*(LEFT(Закрытые!$B$5:$B$300,2)="L-")*Закрытые!$I$5:$I$300*Закрытые!$J$5:$J$300))/F6)</f>
        <v/>
      </c>
      <c r="H6" s="247" t="str">
        <f>IF(F6="","",SUMIFS(Лэндинг!$K$5:$K$300,Лэндинг!$E$5:$E$300,$B6)+SUMIFS(Закрытые!$K$5:$K$300,Закрытые!$E$5:$E$300,$B6,Закрытые!$B$5:$B$300,"L-*"))</f>
        <v/>
      </c>
      <c r="I6" s="246">
        <f>IF($B6="","",IF(COUNTIFS(Лэндинг!$E$5:$E$300,$B6)+COUNTIFS(Закрытые!$E$5:$E$300,$B6,Закрытые!$B$5:$B$300,"L-*")=0,"",ROUND(SUMIFS(Лэндинг!$L$5:$L$300,Лэндинг!$E$5:$E$300,$B6)+SUMIFS(Закрытые!$L$5:$L$300,Закрытые!$E$5:$E$300,$B6,Закрытые!$B$5:$B$300,"L-*"),8)))</f>
        <v>0.1</v>
      </c>
      <c r="J6" s="247">
        <f>IF($B6="","",IF(COUNTIFS(Лэндинг!$E$5:$E$300,$B6)+COUNTIFS(Закрытые!$E$5:$E$300,$B6,Закрытые!$B$5:$B$300,"L-*")=0,"",ROUND(SUMIFS(Лэндинг!$M$5:$M$300,Лэндинг!$E$5:$E$300,$B6)+SUMIFS(Закрытые!$M$5:$M$300,Закрытые!$E$5:$E$300,$B6,Закрытые!$B$5:$B$300,"L-*"),8)))</f>
        <v>-6212.4</v>
      </c>
      <c r="K6" s="246" t="str">
        <f>IF(MIN(N(C6),N(F6))&lt;=0,"",ROUND(MIN(N(C6),N(F6))*(N(G6)-N(D6)),8))</f>
        <v/>
      </c>
      <c r="L6" s="183" t="str">
        <f>IF(MIN(N(C6),N(F6))&lt;=0,"",IF(N(D6)=0,"",ROUND((N(G6)/N(D6)-1)*100,2)))</f>
        <v/>
      </c>
      <c r="M6" s="183">
        <f>IF(OR(ROUND(N(C6)-N(F6),8)=0,1-N(Ввод!$J$19)/100&lt;=0),"",IF(N(C6)&gt;N(F6),(N(E6)-N(H6))/((N(C6)-N(F6))*(1-N(Ввод!$J$19)/100)),(N(H6)-N(E6))/((N(F6)-N(C6))*(1+N(Ввод!$J$19)/100))))</f>
        <v>62248.496993988</v>
      </c>
    </row>
    <row r="7" ht="22" customHeight="1">
      <c r="B7" s="239" t="inlineStr">
        <is>
          <t>ETH/BTC</t>
        </is>
      </c>
      <c r="C7" s="240" t="str">
        <f>IF(SUMIFS(Лэндинг!$F$5:$F$300,Лэндинг!$E$5:$E$300,$B7)+SUMIFS(Закрытые!$F$5:$F$300,Закрытые!$E$5:$E$300,$B7,Закрытые!$B$5:$B$300,"L-*")=0,"",SUMIFS(Лэндинг!$F$5:$F$300,Лэндинг!$E$5:$E$300,$B7)+SUMIFS(Закрытые!$F$5:$F$300,Закрытые!$E$5:$E$300,$B7,Закрытые!$B$5:$B$300,"L-*"))</f>
        <v/>
      </c>
      <c r="D7" s="177" t="str">
        <f>IF(C7="","",(SUMPRODUCT((Лэндинг!$E$5:$E$300=$B7)*Лэндинг!$F$5:$F$300*Лэндинг!$G$5:$G$300)+SUMPRODUCT((Закрытые!$E$5:$E$300=$B7)*(LEFT(Закрытые!$B$5:$B$300,2)="L-")*Закрытые!$F$5:$F$300*Закрытые!$G$5:$G$300))/C7)</f>
        <v/>
      </c>
      <c r="E7" s="241" t="str">
        <f>IF(C7="","",SUMIFS(Лэндинг!$H$5:$H$300,Лэндинг!$E$5:$E$300,$B7)+SUMIFS(Закрытые!$H$5:$H$300,Закрытые!$E$5:$E$300,$B7,Закрытые!$B$5:$B$300,"L-*"))</f>
        <v/>
      </c>
      <c r="F7" s="240">
        <f>IF(SUMIFS(Лэндинг!$I$5:$I$300,Лэндинг!$E$5:$E$300,$B7)+SUMIFS(Закрытые!$I$5:$I$300,Закрытые!$E$5:$E$300,$B7,Закрытые!$B$5:$B$300,"L-*")=0,"",SUMIFS(Лэндинг!$I$5:$I$300,Лэндинг!$E$5:$E$300,$B7)+SUMIFS(Закрытые!$I$5:$I$300,Закрытые!$E$5:$E$300,$B7,Закрытые!$B$5:$B$300,"L-*"))</f>
        <v>1.5</v>
      </c>
      <c r="G7" s="177">
        <f>IF(F7="","",(SUMPRODUCT((Лэндинг!$E$5:$E$300=$B7)*Лэндинг!$I$5:$I$300*Лэндинг!$J$5:$J$300)+SUMPRODUCT((Закрытые!$E$5:$E$300=$B7)*(LEFT(Закрытые!$B$5:$B$300,2)="L-")*Закрытые!$I$5:$I$300*Закрытые!$J$5:$J$300))/F7)</f>
        <v>0.052395</v>
      </c>
      <c r="H7" s="241">
        <f>IF(F7="","",SUMIFS(Лэндинг!$K$5:$K$300,Лэндинг!$E$5:$E$300,$B7)+SUMIFS(Закрытые!$K$5:$K$300,Закрытые!$E$5:$E$300,$B7,Закрытые!$B$5:$B$300,"L-*"))</f>
        <v>0.0785925</v>
      </c>
      <c r="I7" s="240">
        <f>IF($B7="","",IF(COUNTIFS(Лэндинг!$E$5:$E$300,$B7)+COUNTIFS(Закрытые!$E$5:$E$300,$B7,Закрытые!$B$5:$B$300,"L-*")=0,"",ROUND(SUMIFS(Лэндинг!$L$5:$L$300,Лэндинг!$E$5:$E$300,$B7)+SUMIFS(Закрытые!$L$5:$L$300,Закрытые!$E$5:$E$300,$B7,Закрытые!$B$5:$B$300,"L-*"),8)))</f>
        <v>-1.5</v>
      </c>
      <c r="J7" s="241">
        <f>IF($B7="","",IF(COUNTIFS(Лэндинг!$E$5:$E$300,$B7)+COUNTIFS(Закрытые!$E$5:$E$300,$B7,Закрытые!$B$5:$B$300,"L-*")=0,"",ROUND(SUMIFS(Лэндинг!$M$5:$M$300,Лэндинг!$E$5:$E$300,$B7)+SUMIFS(Закрытые!$M$5:$M$300,Закрытые!$E$5:$E$300,$B7,Закрытые!$B$5:$B$300,"L-*"),8)))</f>
        <v>0.0785925</v>
      </c>
      <c r="K7" s="240" t="str">
        <f>IF(MIN(N(C7),N(F7))&lt;=0,"",ROUND(MIN(N(C7),N(F7))*(N(G7)-N(D7)),8))</f>
        <v/>
      </c>
      <c r="L7" s="177" t="str">
        <f>IF(MIN(N(C7),N(F7))&lt;=0,"",IF(N(D7)=0,"",ROUND((N(G7)/N(D7)-1)*100,2)))</f>
        <v/>
      </c>
      <c r="M7" s="177">
        <f>IF(OR(ROUND(N(C7)-N(F7),8)=0,1-N(Ввод!$J$19)/100&lt;=0),"",IF(N(C7)&gt;N(F7),(N(E7)-N(H7))/((N(C7)-N(F7))*(1-N(Ввод!$J$19)/100)),(N(H7)-N(E7))/((N(F7)-N(C7))*(1+N(Ввод!$J$19)/100))))</f>
        <v>0.0522904191616766</v>
      </c>
    </row>
    <row r="8" ht="22" customHeight="1">
      <c r="B8" s="245" t="inlineStr">
        <is>
          <t>ETH/USDT</t>
        </is>
      </c>
      <c r="C8" s="246">
        <f>IF(SUMIFS(Лэндинг!$F$5:$F$300,Лэндинг!$E$5:$E$300,$B8)+SUMIFS(Закрытые!$F$5:$F$300,Закрытые!$E$5:$E$300,$B8,Закрытые!$B$5:$B$300,"L-*")=0,"",SUMIFS(Лэндинг!$F$5:$F$300,Лэндинг!$E$5:$E$300,$B8)+SUMIFS(Закрытые!$F$5:$F$300,Закрытые!$E$5:$E$300,$B8,Закрытые!$B$5:$B$300,"L-*"))</f>
        <v>3.5</v>
      </c>
      <c r="D8" s="183">
        <f>IF(C8="","",(SUMPRODUCT((Лэндинг!$E$5:$E$300=$B8)*Лэндинг!$F$5:$F$300*Лэндинг!$G$5:$G$300)+SUMPRODUCT((Закрытые!$E$5:$E$300=$B8)*(LEFT(Закрытые!$B$5:$B$300,2)="L-")*Закрытые!$F$5:$F$300*Закрытые!$G$5:$G$300))/C8)</f>
        <v>3211.49485714286</v>
      </c>
      <c r="E8" s="247">
        <f>IF(C8="","",SUMIFS(Лэндинг!$H$5:$H$300,Лэндинг!$E$5:$E$300,$B8)+SUMIFS(Закрытые!$H$5:$H$300,Закрытые!$E$5:$E$300,$B8,Закрытые!$B$5:$B$300,"L-*"))</f>
        <v>11240.232</v>
      </c>
      <c r="F8" s="246">
        <f>IF(SUMIFS(Лэндинг!$I$5:$I$300,Лэндинг!$E$5:$E$300,$B8)+SUMIFS(Закрытые!$I$5:$I$300,Закрытые!$E$5:$E$300,$B8,Закрытые!$B$5:$B$300,"L-*")=0,"",SUMIFS(Лэндинг!$I$5:$I$300,Лэндинг!$E$5:$E$300,$B8)+SUMIFS(Закрытые!$I$5:$I$300,Закрытые!$E$5:$E$300,$B8,Закрытые!$B$5:$B$300,"L-*"))</f>
        <v>2</v>
      </c>
      <c r="G8" s="183">
        <f>IF(F8="","",(SUMPRODUCT((Лэндинг!$E$5:$E$300=$B8)*Лэндинг!$I$5:$I$300*Лэндинг!$J$5:$J$300)+SUMPRODUCT((Закрытые!$E$5:$E$300=$B8)*(LEFT(Закрытые!$B$5:$B$300,2)="L-")*Закрытые!$I$5:$I$300*Закрытые!$J$5:$J$300))/F8)</f>
        <v>3379.9</v>
      </c>
      <c r="H8" s="247">
        <f>IF(F8="","",SUMIFS(Лэндинг!$K$5:$K$300,Лэндинг!$E$5:$E$300,$B8)+SUMIFS(Закрытые!$K$5:$K$300,Закрытые!$E$5:$E$300,$B8,Закрытые!$B$5:$B$300,"L-*"))</f>
        <v>6759.8</v>
      </c>
      <c r="I8" s="246">
        <f>IF($B8="","",IF(COUNTIFS(Лэндинг!$E$5:$E$300,$B8)+COUNTIFS(Закрытые!$E$5:$E$300,$B8,Закрытые!$B$5:$B$300,"L-*")=0,"",ROUND(SUMIFS(Лэндинг!$L$5:$L$300,Лэндинг!$E$5:$E$300,$B8)+SUMIFS(Закрытые!$L$5:$L$300,Закрытые!$E$5:$E$300,$B8,Закрытые!$B$5:$B$300,"L-*"),8)))</f>
        <v>1.5</v>
      </c>
      <c r="J8" s="247">
        <f>IF($B8="","",IF(COUNTIFS(Лэндинг!$E$5:$E$300,$B8)+COUNTIFS(Закрытые!$E$5:$E$300,$B8,Закрытые!$B$5:$B$300,"L-*")=0,"",ROUND(SUMIFS(Лэндинг!$M$5:$M$300,Лэндинг!$E$5:$E$300,$B8)+SUMIFS(Закрытые!$M$5:$M$300,Закрытые!$E$5:$E$300,$B8,Закрытые!$B$5:$B$300,"L-*"),8)))</f>
        <v>-4480.432</v>
      </c>
      <c r="K8" s="246">
        <f>IF(MIN(N(C8),N(F8))&lt;=0,"",ROUND(MIN(N(C8),N(F8))*(N(G8)-N(D8)),8))</f>
        <v>336.81028571</v>
      </c>
      <c r="L8" s="183">
        <f>IF(MIN(N(C8),N(F8))&lt;=0,"",IF(N(D8)=0,"",ROUND((N(G8)/N(D8)-1)*100,2)))</f>
        <v>5.24</v>
      </c>
      <c r="M8" s="183">
        <f>IF(OR(ROUND(N(C8)-N(F8),8)=0,1-N(Ввод!$J$19)/100&lt;=0),"",IF(N(C8)&gt;N(F8),(N(E8)-N(H8))/((N(C8)-N(F8))*(1-N(Ввод!$J$19)/100)),(N(H8)-N(E8))/((N(F8)-N(C8))*(1+N(Ввод!$J$19)/100))))</f>
        <v>2992.94054776219</v>
      </c>
    </row>
    <row r="9" ht="22" customHeight="1">
      <c r="B9" s="239" t="inlineStr">
        <is>
          <t>SOL/USDT</t>
        </is>
      </c>
      <c r="C9" s="240">
        <f>IF(SUMIFS(Лэндинг!$F$5:$F$300,Лэндинг!$E$5:$E$300,$B9)+SUMIFS(Закрытые!$F$5:$F$300,Закрытые!$E$5:$E$300,$B9,Закрытые!$B$5:$B$300,"L-*")=0,"",SUMIFS(Лэндинг!$F$5:$F$300,Лэндинг!$E$5:$E$300,$B9)+SUMIFS(Закрытые!$F$5:$F$300,Закрытые!$E$5:$E$300,$B9,Закрытые!$B$5:$B$300,"L-*"))</f>
        <v>35</v>
      </c>
      <c r="D9" s="177">
        <f>IF(C9="","",(SUMPRODUCT((Лэндинг!$E$5:$E$300=$B9)*Лэндинг!$F$5:$F$300*Лэндинг!$G$5:$G$300)+SUMPRODUCT((Закрытые!$E$5:$E$300=$B9)*(LEFT(Закрытые!$B$5:$B$300,2)="L-")*Закрытые!$F$5:$F$300*Закрытые!$G$5:$G$300))/C9)</f>
        <v>145.922857142857</v>
      </c>
      <c r="E9" s="241">
        <f>IF(C9="","",SUMIFS(Лэндинг!$H$5:$H$300,Лэндинг!$E$5:$E$300,$B9)+SUMIFS(Закрытые!$H$5:$H$300,Закрытые!$E$5:$E$300,$B9,Закрытые!$B$5:$B$300,"L-*"))</f>
        <v>5107.3</v>
      </c>
      <c r="F9" s="240">
        <f>IF(SUMIFS(Лэндинг!$I$5:$I$300,Лэндинг!$E$5:$E$300,$B9)+SUMIFS(Закрытые!$I$5:$I$300,Закрытые!$E$5:$E$300,$B9,Закрытые!$B$5:$B$300,"L-*")=0,"",SUMIFS(Лэндинг!$I$5:$I$300,Лэндинг!$E$5:$E$300,$B9)+SUMIFS(Закрытые!$I$5:$I$300,Закрытые!$E$5:$E$300,$B9,Закрытые!$B$5:$B$300,"L-*"))</f>
        <v>50</v>
      </c>
      <c r="G9" s="177">
        <f>IF(F9="","",(SUMPRODUCT((Лэндинг!$E$5:$E$300=$B9)*Лэндинг!$I$5:$I$300*Лэндинг!$J$5:$J$300)+SUMPRODUCT((Закрытые!$E$5:$E$300=$B9)*(LEFT(Закрытые!$B$5:$B$300,2)="L-")*Закрытые!$I$5:$I$300*Закрытые!$J$5:$J$300))/F9)</f>
        <v>150.2592</v>
      </c>
      <c r="H9" s="241">
        <f>IF(F9="","",SUMIFS(Лэндинг!$K$5:$K$300,Лэндинг!$E$5:$E$300,$B9)+SUMIFS(Закрытые!$K$5:$K$300,Закрытые!$E$5:$E$300,$B9,Закрытые!$B$5:$B$300,"L-*"))</f>
        <v>7512.96</v>
      </c>
      <c r="I9" s="240">
        <f>IF($B9="","",IF(COUNTIFS(Лэндинг!$E$5:$E$300,$B9)+COUNTIFS(Закрытые!$E$5:$E$300,$B9,Закрытые!$B$5:$B$300,"L-*")=0,"",ROUND(SUMIFS(Лэндинг!$L$5:$L$300,Лэндинг!$E$5:$E$300,$B9)+SUMIFS(Закрытые!$L$5:$L$300,Закрытые!$E$5:$E$300,$B9,Закрытые!$B$5:$B$300,"L-*"),8)))</f>
        <v>-15</v>
      </c>
      <c r="J9" s="241">
        <f>IF($B9="","",IF(COUNTIFS(Лэндинг!$E$5:$E$300,$B9)+COUNTIFS(Закрытые!$E$5:$E$300,$B9,Закрытые!$B$5:$B$300,"L-*")=0,"",ROUND(SUMIFS(Лэндинг!$M$5:$M$300,Лэндинг!$E$5:$E$300,$B9)+SUMIFS(Закрытые!$M$5:$M$300,Закрытые!$E$5:$E$300,$B9,Закрытые!$B$5:$B$300,"L-*"),8)))</f>
        <v>2405.66</v>
      </c>
      <c r="K9" s="240">
        <f>IF(MIN(N(C9),N(F9))&lt;=0,"",ROUND(MIN(N(C9),N(F9))*(N(G9)-N(D9)),8))</f>
        <v>151.772</v>
      </c>
      <c r="L9" s="177">
        <f>IF(MIN(N(C9),N(F9))&lt;=0,"",IF(N(D9)=0,"",ROUND((N(G9)/N(D9)-1)*100,2)))</f>
        <v>2.97</v>
      </c>
      <c r="M9" s="177">
        <f>IF(OR(ROUND(N(C9)-N(F9),8)=0,1-N(Ввод!$J$19)/100&lt;=0),"",IF(N(C9)&gt;N(F9),(N(E9)-N(H9))/((N(C9)-N(F9))*(1-N(Ввод!$J$19)/100)),(N(H9)-N(E9))/((N(F9)-N(C9))*(1+N(Ввод!$J$19)/100))))</f>
        <v>160.057218895542</v>
      </c>
    </row>
    <row r="10" ht="22" customHeight="1">
      <c r="B10" s="245" t="n"/>
      <c r="C10" s="246" t="str">
        <f>IF(SUMIFS(Лэндинг!$F$5:$F$300,Лэндинг!$E$5:$E$300,$B10)+SUMIFS(Закрытые!$F$5:$F$300,Закрытые!$E$5:$E$300,$B10,Закрытые!$B$5:$B$300,"L-*")=0,"",SUMIFS(Лэндинг!$F$5:$F$300,Лэндинг!$E$5:$E$300,$B10)+SUMIFS(Закрытые!$F$5:$F$300,Закрытые!$E$5:$E$300,$B10,Закрытые!$B$5:$B$300,"L-*"))</f>
        <v/>
      </c>
      <c r="D10" s="183" t="str">
        <f>IF(C10="","",(SUMPRODUCT((Лэндинг!$E$5:$E$300=$B10)*Лэндинг!$F$5:$F$300*Лэндинг!$G$5:$G$300)+SUMPRODUCT((Закрытые!$E$5:$E$300=$B10)*(LEFT(Закрытые!$B$5:$B$300,2)="L-")*Закрытые!$F$5:$F$300*Закрытые!$G$5:$G$300))/C10)</f>
        <v/>
      </c>
      <c r="E10" s="247" t="str">
        <f>IF(C10="","",SUMIFS(Лэндинг!$H$5:$H$300,Лэндинг!$E$5:$E$300,$B10)+SUMIFS(Закрытые!$H$5:$H$300,Закрытые!$E$5:$E$300,$B10,Закрытые!$B$5:$B$300,"L-*"))</f>
        <v/>
      </c>
      <c r="F10" s="246" t="str">
        <f>IF(SUMIFS(Лэндинг!$I$5:$I$300,Лэндинг!$E$5:$E$300,$B10)+SUMIFS(Закрытые!$I$5:$I$300,Закрытые!$E$5:$E$300,$B10,Закрытые!$B$5:$B$300,"L-*")=0,"",SUMIFS(Лэндинг!$I$5:$I$300,Лэндинг!$E$5:$E$300,$B10)+SUMIFS(Закрытые!$I$5:$I$300,Закрытые!$E$5:$E$300,$B10,Закрытые!$B$5:$B$300,"L-*"))</f>
        <v/>
      </c>
      <c r="G10" s="183" t="str">
        <f>IF(F10="","",(SUMPRODUCT((Лэндинг!$E$5:$E$300=$B10)*Лэндинг!$I$5:$I$300*Лэндинг!$J$5:$J$300)+SUMPRODUCT((Закрытые!$E$5:$E$300=$B10)*(LEFT(Закрытые!$B$5:$B$300,2)="L-")*Закрытые!$I$5:$I$300*Закрытые!$J$5:$J$300))/F10)</f>
        <v/>
      </c>
      <c r="H10" s="247" t="str">
        <f>IF(F10="","",SUMIFS(Лэндинг!$K$5:$K$300,Лэндинг!$E$5:$E$300,$B10)+SUMIFS(Закрытые!$K$5:$K$300,Закрытые!$E$5:$E$300,$B10,Закрытые!$B$5:$B$300,"L-*"))</f>
        <v/>
      </c>
      <c r="I10" s="246" t="str">
        <f>IF($B10="","",IF(COUNTIFS(Лэндинг!$E$5:$E$300,$B10)+COUNTIFS(Закрытые!$E$5:$E$300,$B10,Закрытые!$B$5:$B$300,"L-*")=0,"",ROUND(SUMIFS(Лэндинг!$L$5:$L$300,Лэндинг!$E$5:$E$300,$B10)+SUMIFS(Закрытые!$L$5:$L$300,Закрытые!$E$5:$E$300,$B10,Закрытые!$B$5:$B$300,"L-*"),8)))</f>
        <v/>
      </c>
      <c r="J10" s="247" t="str">
        <f>IF($B10="","",IF(COUNTIFS(Лэндинг!$E$5:$E$300,$B10)+COUNTIFS(Закрытые!$E$5:$E$300,$B10,Закрытые!$B$5:$B$300,"L-*")=0,"",ROUND(SUMIFS(Лэндинг!$M$5:$M$300,Лэндинг!$E$5:$E$300,$B10)+SUMIFS(Закрытые!$M$5:$M$300,Закрытые!$E$5:$E$300,$B10,Закрытые!$B$5:$B$300,"L-*"),8)))</f>
        <v/>
      </c>
      <c r="K10" s="246" t="str">
        <f>IF(MIN(N(C10),N(F10))&lt;=0,"",ROUND(MIN(N(C10),N(F10))*(N(G10)-N(D10)),8))</f>
        <v/>
      </c>
      <c r="L10" s="183" t="str">
        <f>IF(MIN(N(C10),N(F10))&lt;=0,"",IF(N(D10)=0,"",ROUND((N(G10)/N(D10)-1)*100,2)))</f>
        <v/>
      </c>
      <c r="M10" s="183" t="str">
        <f>IF(OR(ROUND(N(C10)-N(F10),8)=0,1-N(Ввод!$J$19)/100&lt;=0),"",IF(N(C10)&gt;N(F10),(N(E10)-N(H10))/((N(C10)-N(F10))*(1-N(Ввод!$J$19)/100)),(N(H10)-N(E10))/((N(F10)-N(C10))*(1+N(Ввод!$J$19)/100))))</f>
        <v/>
      </c>
    </row>
    <row r="11" ht="22" customHeight="1">
      <c r="B11" s="239" t="n"/>
      <c r="C11" s="240" t="str">
        <f>IF(SUMIFS(Лэндинг!$F$5:$F$300,Лэндинг!$E$5:$E$300,$B11)+SUMIFS(Закрытые!$F$5:$F$300,Закрытые!$E$5:$E$300,$B11,Закрытые!$B$5:$B$300,"L-*")=0,"",SUMIFS(Лэндинг!$F$5:$F$300,Лэндинг!$E$5:$E$300,$B11)+SUMIFS(Закрытые!$F$5:$F$300,Закрытые!$E$5:$E$300,$B11,Закрытые!$B$5:$B$300,"L-*"))</f>
        <v/>
      </c>
      <c r="D11" s="177" t="str">
        <f>IF(C11="","",(SUMPRODUCT((Лэндинг!$E$5:$E$300=$B11)*Лэндинг!$F$5:$F$300*Лэндинг!$G$5:$G$300)+SUMPRODUCT((Закрытые!$E$5:$E$300=$B11)*(LEFT(Закрытые!$B$5:$B$300,2)="L-")*Закрытые!$F$5:$F$300*Закрытые!$G$5:$G$300))/C11)</f>
        <v/>
      </c>
      <c r="E11" s="241" t="str">
        <f>IF(C11="","",SUMIFS(Лэндинг!$H$5:$H$300,Лэндинг!$E$5:$E$300,$B11)+SUMIFS(Закрытые!$H$5:$H$300,Закрытые!$E$5:$E$300,$B11,Закрытые!$B$5:$B$300,"L-*"))</f>
        <v/>
      </c>
      <c r="F11" s="240" t="str">
        <f>IF(SUMIFS(Лэндинг!$I$5:$I$300,Лэндинг!$E$5:$E$300,$B11)+SUMIFS(Закрытые!$I$5:$I$300,Закрытые!$E$5:$E$300,$B11,Закрытые!$B$5:$B$300,"L-*")=0,"",SUMIFS(Лэндинг!$I$5:$I$300,Лэндинг!$E$5:$E$300,$B11)+SUMIFS(Закрытые!$I$5:$I$300,Закрытые!$E$5:$E$300,$B11,Закрытые!$B$5:$B$300,"L-*"))</f>
        <v/>
      </c>
      <c r="G11" s="177" t="str">
        <f>IF(F11="","",(SUMPRODUCT((Лэндинг!$E$5:$E$300=$B11)*Лэндинг!$I$5:$I$300*Лэндинг!$J$5:$J$300)+SUMPRODUCT((Закрытые!$E$5:$E$300=$B11)*(LEFT(Закрытые!$B$5:$B$300,2)="L-")*Закрытые!$I$5:$I$300*Закрытые!$J$5:$J$300))/F11)</f>
        <v/>
      </c>
      <c r="H11" s="241" t="str">
        <f>IF(F11="","",SUMIFS(Лэндинг!$K$5:$K$300,Лэндинг!$E$5:$E$300,$B11)+SUMIFS(Закрытые!$K$5:$K$300,Закрытые!$E$5:$E$300,$B11,Закрытые!$B$5:$B$300,"L-*"))</f>
        <v/>
      </c>
      <c r="I11" s="240" t="str">
        <f>IF($B11="","",IF(COUNTIFS(Лэндинг!$E$5:$E$300,$B11)+COUNTIFS(Закрытые!$E$5:$E$300,$B11,Закрытые!$B$5:$B$300,"L-*")=0,"",ROUND(SUMIFS(Лэндинг!$L$5:$L$300,Лэндинг!$E$5:$E$300,$B11)+SUMIFS(Закрытые!$L$5:$L$300,Закрытые!$E$5:$E$300,$B11,Закрытые!$B$5:$B$300,"L-*"),8)))</f>
        <v/>
      </c>
      <c r="J11" s="241" t="str">
        <f>IF($B11="","",IF(COUNTIFS(Лэндинг!$E$5:$E$300,$B11)+COUNTIFS(Закрытые!$E$5:$E$300,$B11,Закрытые!$B$5:$B$300,"L-*")=0,"",ROUND(SUMIFS(Лэндинг!$M$5:$M$300,Лэндинг!$E$5:$E$300,$B11)+SUMIFS(Закрытые!$M$5:$M$300,Закрытые!$E$5:$E$300,$B11,Закрытые!$B$5:$B$300,"L-*"),8)))</f>
        <v/>
      </c>
      <c r="K11" s="240" t="str">
        <f>IF(MIN(N(C11),N(F11))&lt;=0,"",ROUND(MIN(N(C11),N(F11))*(N(G11)-N(D11)),8))</f>
        <v/>
      </c>
      <c r="L11" s="177" t="str">
        <f>IF(MIN(N(C11),N(F11))&lt;=0,"",IF(N(D11)=0,"",ROUND((N(G11)/N(D11)-1)*100,2)))</f>
        <v/>
      </c>
      <c r="M11" s="177" t="str">
        <f>IF(OR(ROUND(N(C11)-N(F11),8)=0,1-N(Ввод!$J$19)/100&lt;=0),"",IF(N(C11)&gt;N(F11),(N(E11)-N(H11))/((N(C11)-N(F11))*(1-N(Ввод!$J$19)/100)),(N(H11)-N(E11))/((N(F11)-N(C11))*(1+N(Ввод!$J$19)/100))))</f>
        <v/>
      </c>
    </row>
    <row r="12" ht="22" customHeight="1">
      <c r="B12" s="245" t="n"/>
      <c r="C12" s="246" t="str">
        <f>IF(SUMIFS(Лэндинг!$F$5:$F$300,Лэндинг!$E$5:$E$300,$B12)+SUMIFS(Закрытые!$F$5:$F$300,Закрытые!$E$5:$E$300,$B12,Закрытые!$B$5:$B$300,"L-*")=0,"",SUMIFS(Лэндинг!$F$5:$F$300,Лэндинг!$E$5:$E$300,$B12)+SUMIFS(Закрытые!$F$5:$F$300,Закрытые!$E$5:$E$300,$B12,Закрытые!$B$5:$B$300,"L-*"))</f>
        <v/>
      </c>
      <c r="D12" s="183" t="str">
        <f>IF(C12="","",(SUMPRODUCT((Лэндинг!$E$5:$E$300=$B12)*Лэндинг!$F$5:$F$300*Лэндинг!$G$5:$G$300)+SUMPRODUCT((Закрытые!$E$5:$E$300=$B12)*(LEFT(Закрытые!$B$5:$B$300,2)="L-")*Закрытые!$F$5:$F$300*Закрытые!$G$5:$G$300))/C12)</f>
        <v/>
      </c>
      <c r="E12" s="247" t="str">
        <f>IF(C12="","",SUMIFS(Лэндинг!$H$5:$H$300,Лэндинг!$E$5:$E$300,$B12)+SUMIFS(Закрытые!$H$5:$H$300,Закрытые!$E$5:$E$300,$B12,Закрытые!$B$5:$B$300,"L-*"))</f>
        <v/>
      </c>
      <c r="F12" s="246" t="str">
        <f>IF(SUMIFS(Лэндинг!$I$5:$I$300,Лэндинг!$E$5:$E$300,$B12)+SUMIFS(Закрытые!$I$5:$I$300,Закрытые!$E$5:$E$300,$B12,Закрытые!$B$5:$B$300,"L-*")=0,"",SUMIFS(Лэндинг!$I$5:$I$300,Лэндинг!$E$5:$E$300,$B12)+SUMIFS(Закрытые!$I$5:$I$300,Закрытые!$E$5:$E$300,$B12,Закрытые!$B$5:$B$300,"L-*"))</f>
        <v/>
      </c>
      <c r="G12" s="183" t="str">
        <f>IF(F12="","",(SUMPRODUCT((Лэндинг!$E$5:$E$300=$B12)*Лэндинг!$I$5:$I$300*Лэндинг!$J$5:$J$300)+SUMPRODUCT((Закрытые!$E$5:$E$300=$B12)*(LEFT(Закрытые!$B$5:$B$300,2)="L-")*Закрытые!$I$5:$I$300*Закрытые!$J$5:$J$300))/F12)</f>
        <v/>
      </c>
      <c r="H12" s="247" t="str">
        <f>IF(F12="","",SUMIFS(Лэндинг!$K$5:$K$300,Лэндинг!$E$5:$E$300,$B12)+SUMIFS(Закрытые!$K$5:$K$300,Закрытые!$E$5:$E$300,$B12,Закрытые!$B$5:$B$300,"L-*"))</f>
        <v/>
      </c>
      <c r="I12" s="246" t="str">
        <f>IF($B12="","",IF(COUNTIFS(Лэндинг!$E$5:$E$300,$B12)+COUNTIFS(Закрытые!$E$5:$E$300,$B12,Закрытые!$B$5:$B$300,"L-*")=0,"",ROUND(SUMIFS(Лэндинг!$L$5:$L$300,Лэндинг!$E$5:$E$300,$B12)+SUMIFS(Закрытые!$L$5:$L$300,Закрытые!$E$5:$E$300,$B12,Закрытые!$B$5:$B$300,"L-*"),8)))</f>
        <v/>
      </c>
      <c r="J12" s="247" t="str">
        <f>IF($B12="","",IF(COUNTIFS(Лэндинг!$E$5:$E$300,$B12)+COUNTIFS(Закрытые!$E$5:$E$300,$B12,Закрытые!$B$5:$B$300,"L-*")=0,"",ROUND(SUMIFS(Лэндинг!$M$5:$M$300,Лэндинг!$E$5:$E$300,$B12)+SUMIFS(Закрытые!$M$5:$M$300,Закрытые!$E$5:$E$300,$B12,Закрытые!$B$5:$B$300,"L-*"),8)))</f>
        <v/>
      </c>
      <c r="K12" s="246" t="str">
        <f>IF(MIN(N(C12),N(F12))&lt;=0,"",ROUND(MIN(N(C12),N(F12))*(N(G12)-N(D12)),8))</f>
        <v/>
      </c>
      <c r="L12" s="183" t="str">
        <f>IF(MIN(N(C12),N(F12))&lt;=0,"",IF(N(D12)=0,"",ROUND((N(G12)/N(D12)-1)*100,2)))</f>
        <v/>
      </c>
      <c r="M12" s="183" t="str">
        <f>IF(OR(ROUND(N(C12)-N(F12),8)=0,1-N(Ввод!$J$19)/100&lt;=0),"",IF(N(C12)&gt;N(F12),(N(E12)-N(H12))/((N(C12)-N(F12))*(1-N(Ввод!$J$19)/100)),(N(H12)-N(E12))/((N(F12)-N(C12))*(1+N(Ввод!$J$19)/100))))</f>
        <v/>
      </c>
    </row>
    <row r="13" ht="22" customHeight="1">
      <c r="B13" s="239" t="n"/>
      <c r="C13" s="240" t="str">
        <f>IF(SUMIFS(Лэндинг!$F$5:$F$300,Лэндинг!$E$5:$E$300,$B13)+SUMIFS(Закрытые!$F$5:$F$300,Закрытые!$E$5:$E$300,$B13,Закрытые!$B$5:$B$300,"L-*")=0,"",SUMIFS(Лэндинг!$F$5:$F$300,Лэндинг!$E$5:$E$300,$B13)+SUMIFS(Закрытые!$F$5:$F$300,Закрытые!$E$5:$E$300,$B13,Закрытые!$B$5:$B$300,"L-*"))</f>
        <v/>
      </c>
      <c r="D13" s="177" t="str">
        <f>IF(C13="","",(SUMPRODUCT((Лэндинг!$E$5:$E$300=$B13)*Лэндинг!$F$5:$F$300*Лэндинг!$G$5:$G$300)+SUMPRODUCT((Закрытые!$E$5:$E$300=$B13)*(LEFT(Закрытые!$B$5:$B$300,2)="L-")*Закрытые!$F$5:$F$300*Закрытые!$G$5:$G$300))/C13)</f>
        <v/>
      </c>
      <c r="E13" s="241" t="str">
        <f>IF(C13="","",SUMIFS(Лэндинг!$H$5:$H$300,Лэндинг!$E$5:$E$300,$B13)+SUMIFS(Закрытые!$H$5:$H$300,Закрытые!$E$5:$E$300,$B13,Закрытые!$B$5:$B$300,"L-*"))</f>
        <v/>
      </c>
      <c r="F13" s="240" t="str">
        <f>IF(SUMIFS(Лэндинг!$I$5:$I$300,Лэндинг!$E$5:$E$300,$B13)+SUMIFS(Закрытые!$I$5:$I$300,Закрытые!$E$5:$E$300,$B13,Закрытые!$B$5:$B$300,"L-*")=0,"",SUMIFS(Лэндинг!$I$5:$I$300,Лэндинг!$E$5:$E$300,$B13)+SUMIFS(Закрытые!$I$5:$I$300,Закрытые!$E$5:$E$300,$B13,Закрытые!$B$5:$B$300,"L-*"))</f>
        <v/>
      </c>
      <c r="G13" s="177" t="str">
        <f>IF(F13="","",(SUMPRODUCT((Лэндинг!$E$5:$E$300=$B13)*Лэндинг!$I$5:$I$300*Лэндинг!$J$5:$J$300)+SUMPRODUCT((Закрытые!$E$5:$E$300=$B13)*(LEFT(Закрытые!$B$5:$B$300,2)="L-")*Закрытые!$I$5:$I$300*Закрытые!$J$5:$J$300))/F13)</f>
        <v/>
      </c>
      <c r="H13" s="241" t="str">
        <f>IF(F13="","",SUMIFS(Лэндинг!$K$5:$K$300,Лэндинг!$E$5:$E$300,$B13)+SUMIFS(Закрытые!$K$5:$K$300,Закрытые!$E$5:$E$300,$B13,Закрытые!$B$5:$B$300,"L-*"))</f>
        <v/>
      </c>
      <c r="I13" s="240" t="str">
        <f>IF($B13="","",IF(COUNTIFS(Лэндинг!$E$5:$E$300,$B13)+COUNTIFS(Закрытые!$E$5:$E$300,$B13,Закрытые!$B$5:$B$300,"L-*")=0,"",ROUND(SUMIFS(Лэндинг!$L$5:$L$300,Лэндинг!$E$5:$E$300,$B13)+SUMIFS(Закрытые!$L$5:$L$300,Закрытые!$E$5:$E$300,$B13,Закрытые!$B$5:$B$300,"L-*"),8)))</f>
        <v/>
      </c>
      <c r="J13" s="241" t="str">
        <f>IF($B13="","",IF(COUNTIFS(Лэндинг!$E$5:$E$300,$B13)+COUNTIFS(Закрытые!$E$5:$E$300,$B13,Закрытые!$B$5:$B$300,"L-*")=0,"",ROUND(SUMIFS(Лэндинг!$M$5:$M$300,Лэндинг!$E$5:$E$300,$B13)+SUMIFS(Закрытые!$M$5:$M$300,Закрытые!$E$5:$E$300,$B13,Закрытые!$B$5:$B$300,"L-*"),8)))</f>
        <v/>
      </c>
      <c r="K13" s="240" t="str">
        <f>IF(MIN(N(C13),N(F13))&lt;=0,"",ROUND(MIN(N(C13),N(F13))*(N(G13)-N(D13)),8))</f>
        <v/>
      </c>
      <c r="L13" s="177" t="str">
        <f>IF(MIN(N(C13),N(F13))&lt;=0,"",IF(N(D13)=0,"",ROUND((N(G13)/N(D13)-1)*100,2)))</f>
        <v/>
      </c>
      <c r="M13" s="177" t="str">
        <f>IF(OR(ROUND(N(C13)-N(F13),8)=0,1-N(Ввод!$J$19)/100&lt;=0),"",IF(N(C13)&gt;N(F13),(N(E13)-N(H13))/((N(C13)-N(F13))*(1-N(Ввод!$J$19)/100)),(N(H13)-N(E13))/((N(F13)-N(C13))*(1+N(Ввод!$J$19)/100))))</f>
        <v/>
      </c>
    </row>
    <row r="14" ht="22" customHeight="1">
      <c r="B14" s="245" t="n"/>
      <c r="C14" s="246" t="str">
        <f>IF(SUMIFS(Лэндинг!$F$5:$F$300,Лэндинг!$E$5:$E$300,$B14)+SUMIFS(Закрытые!$F$5:$F$300,Закрытые!$E$5:$E$300,$B14,Закрытые!$B$5:$B$300,"L-*")=0,"",SUMIFS(Лэндинг!$F$5:$F$300,Лэндинг!$E$5:$E$300,$B14)+SUMIFS(Закрытые!$F$5:$F$300,Закрытые!$E$5:$E$300,$B14,Закрытые!$B$5:$B$300,"L-*"))</f>
        <v/>
      </c>
      <c r="D14" s="183" t="str">
        <f>IF(C14="","",(SUMPRODUCT((Лэндинг!$E$5:$E$300=$B14)*Лэндинг!$F$5:$F$300*Лэндинг!$G$5:$G$300)+SUMPRODUCT((Закрытые!$E$5:$E$300=$B14)*(LEFT(Закрытые!$B$5:$B$300,2)="L-")*Закрытые!$F$5:$F$300*Закрытые!$G$5:$G$300))/C14)</f>
        <v/>
      </c>
      <c r="E14" s="247" t="str">
        <f>IF(C14="","",SUMIFS(Лэндинг!$H$5:$H$300,Лэндинг!$E$5:$E$300,$B14)+SUMIFS(Закрытые!$H$5:$H$300,Закрытые!$E$5:$E$300,$B14,Закрытые!$B$5:$B$300,"L-*"))</f>
        <v/>
      </c>
      <c r="F14" s="246" t="str">
        <f>IF(SUMIFS(Лэндинг!$I$5:$I$300,Лэндинг!$E$5:$E$300,$B14)+SUMIFS(Закрытые!$I$5:$I$300,Закрытые!$E$5:$E$300,$B14,Закрытые!$B$5:$B$300,"L-*")=0,"",SUMIFS(Лэндинг!$I$5:$I$300,Лэндинг!$E$5:$E$300,$B14)+SUMIFS(Закрытые!$I$5:$I$300,Закрытые!$E$5:$E$300,$B14,Закрытые!$B$5:$B$300,"L-*"))</f>
        <v/>
      </c>
      <c r="G14" s="183" t="str">
        <f>IF(F14="","",(SUMPRODUCT((Лэндинг!$E$5:$E$300=$B14)*Лэндинг!$I$5:$I$300*Лэндинг!$J$5:$J$300)+SUMPRODUCT((Закрытые!$E$5:$E$300=$B14)*(LEFT(Закрытые!$B$5:$B$300,2)="L-")*Закрытые!$I$5:$I$300*Закрытые!$J$5:$J$300))/F14)</f>
        <v/>
      </c>
      <c r="H14" s="247" t="str">
        <f>IF(F14="","",SUMIFS(Лэндинг!$K$5:$K$300,Лэндинг!$E$5:$E$300,$B14)+SUMIFS(Закрытые!$K$5:$K$300,Закрытые!$E$5:$E$300,$B14,Закрытые!$B$5:$B$300,"L-*"))</f>
        <v/>
      </c>
      <c r="I14" s="246" t="str">
        <f>IF($B14="","",IF(COUNTIFS(Лэндинг!$E$5:$E$300,$B14)+COUNTIFS(Закрытые!$E$5:$E$300,$B14,Закрытые!$B$5:$B$300,"L-*")=0,"",ROUND(SUMIFS(Лэндинг!$L$5:$L$300,Лэндинг!$E$5:$E$300,$B14)+SUMIFS(Закрытые!$L$5:$L$300,Закрытые!$E$5:$E$300,$B14,Закрытые!$B$5:$B$300,"L-*"),8)))</f>
        <v/>
      </c>
      <c r="J14" s="247" t="str">
        <f>IF($B14="","",IF(COUNTIFS(Лэндинг!$E$5:$E$300,$B14)+COUNTIFS(Закрытые!$E$5:$E$300,$B14,Закрытые!$B$5:$B$300,"L-*")=0,"",ROUND(SUMIFS(Лэндинг!$M$5:$M$300,Лэндинг!$E$5:$E$300,$B14)+SUMIFS(Закрытые!$M$5:$M$300,Закрытые!$E$5:$E$300,$B14,Закрытые!$B$5:$B$300,"L-*"),8)))</f>
        <v/>
      </c>
      <c r="K14" s="246" t="str">
        <f>IF(MIN(N(C14),N(F14))&lt;=0,"",ROUND(MIN(N(C14),N(F14))*(N(G14)-N(D14)),8))</f>
        <v/>
      </c>
      <c r="L14" s="183" t="str">
        <f>IF(MIN(N(C14),N(F14))&lt;=0,"",IF(N(D14)=0,"",ROUND((N(G14)/N(D14)-1)*100,2)))</f>
        <v/>
      </c>
      <c r="M14" s="183" t="str">
        <f>IF(OR(ROUND(N(C14)-N(F14),8)=0,1-N(Ввод!$J$19)/100&lt;=0),"",IF(N(C14)&gt;N(F14),(N(E14)-N(H14))/((N(C14)-N(F14))*(1-N(Ввод!$J$19)/100)),(N(H14)-N(E14))/((N(F14)-N(C14))*(1+N(Ввод!$J$19)/100))))</f>
        <v/>
      </c>
    </row>
    <row r="15" ht="22" customHeight="1">
      <c r="B15" s="239" t="n"/>
      <c r="C15" s="240" t="str">
        <f>IF(SUMIFS(Лэндинг!$F$5:$F$300,Лэндинг!$E$5:$E$300,$B15)+SUMIFS(Закрытые!$F$5:$F$300,Закрытые!$E$5:$E$300,$B15,Закрытые!$B$5:$B$300,"L-*")=0,"",SUMIFS(Лэндинг!$F$5:$F$300,Лэндинг!$E$5:$E$300,$B15)+SUMIFS(Закрытые!$F$5:$F$300,Закрытые!$E$5:$E$300,$B15,Закрытые!$B$5:$B$300,"L-*"))</f>
        <v/>
      </c>
      <c r="D15" s="177" t="str">
        <f>IF(C15="","",(SUMPRODUCT((Лэндинг!$E$5:$E$300=$B15)*Лэндинг!$F$5:$F$300*Лэндинг!$G$5:$G$300)+SUMPRODUCT((Закрытые!$E$5:$E$300=$B15)*(LEFT(Закрытые!$B$5:$B$300,2)="L-")*Закрытые!$F$5:$F$300*Закрытые!$G$5:$G$300))/C15)</f>
        <v/>
      </c>
      <c r="E15" s="241" t="str">
        <f>IF(C15="","",SUMIFS(Лэндинг!$H$5:$H$300,Лэндинг!$E$5:$E$300,$B15)+SUMIFS(Закрытые!$H$5:$H$300,Закрытые!$E$5:$E$300,$B15,Закрытые!$B$5:$B$300,"L-*"))</f>
        <v/>
      </c>
      <c r="F15" s="240" t="str">
        <f>IF(SUMIFS(Лэндинг!$I$5:$I$300,Лэндинг!$E$5:$E$300,$B15)+SUMIFS(Закрытые!$I$5:$I$300,Закрытые!$E$5:$E$300,$B15,Закрытые!$B$5:$B$300,"L-*")=0,"",SUMIFS(Лэндинг!$I$5:$I$300,Лэндинг!$E$5:$E$300,$B15)+SUMIFS(Закрытые!$I$5:$I$300,Закрытые!$E$5:$E$300,$B15,Закрытые!$B$5:$B$300,"L-*"))</f>
        <v/>
      </c>
      <c r="G15" s="177" t="str">
        <f>IF(F15="","",(SUMPRODUCT((Лэндинг!$E$5:$E$300=$B15)*Лэндинг!$I$5:$I$300*Лэндинг!$J$5:$J$300)+SUMPRODUCT((Закрытые!$E$5:$E$300=$B15)*(LEFT(Закрытые!$B$5:$B$300,2)="L-")*Закрытые!$I$5:$I$300*Закрытые!$J$5:$J$300))/F15)</f>
        <v/>
      </c>
      <c r="H15" s="241" t="str">
        <f>IF(F15="","",SUMIFS(Лэндинг!$K$5:$K$300,Лэндинг!$E$5:$E$300,$B15)+SUMIFS(Закрытые!$K$5:$K$300,Закрытые!$E$5:$E$300,$B15,Закрытые!$B$5:$B$300,"L-*"))</f>
        <v/>
      </c>
      <c r="I15" s="240" t="str">
        <f>IF($B15="","",IF(COUNTIFS(Лэндинг!$E$5:$E$300,$B15)+COUNTIFS(Закрытые!$E$5:$E$300,$B15,Закрытые!$B$5:$B$300,"L-*")=0,"",ROUND(SUMIFS(Лэндинг!$L$5:$L$300,Лэндинг!$E$5:$E$300,$B15)+SUMIFS(Закрытые!$L$5:$L$300,Закрытые!$E$5:$E$300,$B15,Закрытые!$B$5:$B$300,"L-*"),8)))</f>
        <v/>
      </c>
      <c r="J15" s="241" t="str">
        <f>IF($B15="","",IF(COUNTIFS(Лэндинг!$E$5:$E$300,$B15)+COUNTIFS(Закрытые!$E$5:$E$300,$B15,Закрытые!$B$5:$B$300,"L-*")=0,"",ROUND(SUMIFS(Лэндинг!$M$5:$M$300,Лэндинг!$E$5:$E$300,$B15)+SUMIFS(Закрытые!$M$5:$M$300,Закрытые!$E$5:$E$300,$B15,Закрытые!$B$5:$B$300,"L-*"),8)))</f>
        <v/>
      </c>
      <c r="K15" s="240" t="str">
        <f>IF(MIN(N(C15),N(F15))&lt;=0,"",ROUND(MIN(N(C15),N(F15))*(N(G15)-N(D15)),8))</f>
        <v/>
      </c>
      <c r="L15" s="177" t="str">
        <f>IF(MIN(N(C15),N(F15))&lt;=0,"",IF(N(D15)=0,"",ROUND((N(G15)/N(D15)-1)*100,2)))</f>
        <v/>
      </c>
      <c r="M15" s="177" t="str">
        <f>IF(OR(ROUND(N(C15)-N(F15),8)=0,1-N(Ввод!$J$19)/100&lt;=0),"",IF(N(C15)&gt;N(F15),(N(E15)-N(H15))/((N(C15)-N(F15))*(1-N(Ввод!$J$19)/100)),(N(H15)-N(E15))/((N(F15)-N(C15))*(1+N(Ввод!$J$19)/100))))</f>
        <v/>
      </c>
    </row>
    <row r="16" ht="22" customHeight="1">
      <c r="B16" s="245" t="n"/>
      <c r="C16" s="246" t="str">
        <f>IF(SUMIFS(Лэндинг!$F$5:$F$300,Лэндинг!$E$5:$E$300,$B16)+SUMIFS(Закрытые!$F$5:$F$300,Закрытые!$E$5:$E$300,$B16,Закрытые!$B$5:$B$300,"L-*")=0,"",SUMIFS(Лэндинг!$F$5:$F$300,Лэндинг!$E$5:$E$300,$B16)+SUMIFS(Закрытые!$F$5:$F$300,Закрытые!$E$5:$E$300,$B16,Закрытые!$B$5:$B$300,"L-*"))</f>
        <v/>
      </c>
      <c r="D16" s="183" t="str">
        <f>IF(C16="","",(SUMPRODUCT((Лэндинг!$E$5:$E$300=$B16)*Лэндинг!$F$5:$F$300*Лэндинг!$G$5:$G$300)+SUMPRODUCT((Закрытые!$E$5:$E$300=$B16)*(LEFT(Закрытые!$B$5:$B$300,2)="L-")*Закрытые!$F$5:$F$300*Закрытые!$G$5:$G$300))/C16)</f>
        <v/>
      </c>
      <c r="E16" s="247" t="str">
        <f>IF(C16="","",SUMIFS(Лэндинг!$H$5:$H$300,Лэндинг!$E$5:$E$300,$B16)+SUMIFS(Закрытые!$H$5:$H$300,Закрытые!$E$5:$E$300,$B16,Закрытые!$B$5:$B$300,"L-*"))</f>
        <v/>
      </c>
      <c r="F16" s="246" t="str">
        <f>IF(SUMIFS(Лэндинг!$I$5:$I$300,Лэндинг!$E$5:$E$300,$B16)+SUMIFS(Закрытые!$I$5:$I$300,Закрытые!$E$5:$E$300,$B16,Закрытые!$B$5:$B$300,"L-*")=0,"",SUMIFS(Лэндинг!$I$5:$I$300,Лэндинг!$E$5:$E$300,$B16)+SUMIFS(Закрытые!$I$5:$I$300,Закрытые!$E$5:$E$300,$B16,Закрытые!$B$5:$B$300,"L-*"))</f>
        <v/>
      </c>
      <c r="G16" s="183" t="str">
        <f>IF(F16="","",(SUMPRODUCT((Лэндинг!$E$5:$E$300=$B16)*Лэндинг!$I$5:$I$300*Лэндинг!$J$5:$J$300)+SUMPRODUCT((Закрытые!$E$5:$E$300=$B16)*(LEFT(Закрытые!$B$5:$B$300,2)="L-")*Закрытые!$I$5:$I$300*Закрытые!$J$5:$J$300))/F16)</f>
        <v/>
      </c>
      <c r="H16" s="247" t="str">
        <f>IF(F16="","",SUMIFS(Лэндинг!$K$5:$K$300,Лэндинг!$E$5:$E$300,$B16)+SUMIFS(Закрытые!$K$5:$K$300,Закрытые!$E$5:$E$300,$B16,Закрытые!$B$5:$B$300,"L-*"))</f>
        <v/>
      </c>
      <c r="I16" s="246" t="str">
        <f>IF($B16="","",IF(COUNTIFS(Лэндинг!$E$5:$E$300,$B16)+COUNTIFS(Закрытые!$E$5:$E$300,$B16,Закрытые!$B$5:$B$300,"L-*")=0,"",ROUND(SUMIFS(Лэндинг!$L$5:$L$300,Лэндинг!$E$5:$E$300,$B16)+SUMIFS(Закрытые!$L$5:$L$300,Закрытые!$E$5:$E$300,$B16,Закрытые!$B$5:$B$300,"L-*"),8)))</f>
        <v/>
      </c>
      <c r="J16" s="247" t="str">
        <f>IF($B16="","",IF(COUNTIFS(Лэндинг!$E$5:$E$300,$B16)+COUNTIFS(Закрытые!$E$5:$E$300,$B16,Закрытые!$B$5:$B$300,"L-*")=0,"",ROUND(SUMIFS(Лэндинг!$M$5:$M$300,Лэндинг!$E$5:$E$300,$B16)+SUMIFS(Закрытые!$M$5:$M$300,Закрытые!$E$5:$E$300,$B16,Закрытые!$B$5:$B$300,"L-*"),8)))</f>
        <v/>
      </c>
      <c r="K16" s="246" t="str">
        <f>IF(MIN(N(C16),N(F16))&lt;=0,"",ROUND(MIN(N(C16),N(F16))*(N(G16)-N(D16)),8))</f>
        <v/>
      </c>
      <c r="L16" s="183" t="str">
        <f>IF(MIN(N(C16),N(F16))&lt;=0,"",IF(N(D16)=0,"",ROUND((N(G16)/N(D16)-1)*100,2)))</f>
        <v/>
      </c>
      <c r="M16" s="183" t="str">
        <f>IF(OR(ROUND(N(C16)-N(F16),8)=0,1-N(Ввод!$J$19)/100&lt;=0),"",IF(N(C16)&gt;N(F16),(N(E16)-N(H16))/((N(C16)-N(F16))*(1-N(Ввод!$J$19)/100)),(N(H16)-N(E16))/((N(F16)-N(C16))*(1+N(Ввод!$J$19)/100))))</f>
        <v/>
      </c>
    </row>
    <row r="17" ht="22" customHeight="1">
      <c r="B17" s="239" t="n"/>
      <c r="C17" s="240" t="str">
        <f>IF(SUMIFS(Лэндинг!$F$5:$F$300,Лэндинг!$E$5:$E$300,$B17)+SUMIFS(Закрытые!$F$5:$F$300,Закрытые!$E$5:$E$300,$B17,Закрытые!$B$5:$B$300,"L-*")=0,"",SUMIFS(Лэндинг!$F$5:$F$300,Лэндинг!$E$5:$E$300,$B17)+SUMIFS(Закрытые!$F$5:$F$300,Закрытые!$E$5:$E$300,$B17,Закрытые!$B$5:$B$300,"L-*"))</f>
        <v/>
      </c>
      <c r="D17" s="177" t="str">
        <f>IF(C17="","",(SUMPRODUCT((Лэндинг!$E$5:$E$300=$B17)*Лэндинг!$F$5:$F$300*Лэндинг!$G$5:$G$300)+SUMPRODUCT((Закрытые!$E$5:$E$300=$B17)*(LEFT(Закрытые!$B$5:$B$300,2)="L-")*Закрытые!$F$5:$F$300*Закрытые!$G$5:$G$300))/C17)</f>
        <v/>
      </c>
      <c r="E17" s="241" t="str">
        <f>IF(C17="","",SUMIFS(Лэндинг!$H$5:$H$300,Лэндинг!$E$5:$E$300,$B17)+SUMIFS(Закрытые!$H$5:$H$300,Закрытые!$E$5:$E$300,$B17,Закрытые!$B$5:$B$300,"L-*"))</f>
        <v/>
      </c>
      <c r="F17" s="240" t="str">
        <f>IF(SUMIFS(Лэндинг!$I$5:$I$300,Лэндинг!$E$5:$E$300,$B17)+SUMIFS(Закрытые!$I$5:$I$300,Закрытые!$E$5:$E$300,$B17,Закрытые!$B$5:$B$300,"L-*")=0,"",SUMIFS(Лэндинг!$I$5:$I$300,Лэндинг!$E$5:$E$300,$B17)+SUMIFS(Закрытые!$I$5:$I$300,Закрытые!$E$5:$E$300,$B17,Закрытые!$B$5:$B$300,"L-*"))</f>
        <v/>
      </c>
      <c r="G17" s="177" t="str">
        <f>IF(F17="","",(SUMPRODUCT((Лэндинг!$E$5:$E$300=$B17)*Лэндинг!$I$5:$I$300*Лэндинг!$J$5:$J$300)+SUMPRODUCT((Закрытые!$E$5:$E$300=$B17)*(LEFT(Закрытые!$B$5:$B$300,2)="L-")*Закрытые!$I$5:$I$300*Закрытые!$J$5:$J$300))/F17)</f>
        <v/>
      </c>
      <c r="H17" s="241" t="str">
        <f>IF(F17="","",SUMIFS(Лэндинг!$K$5:$K$300,Лэндинг!$E$5:$E$300,$B17)+SUMIFS(Закрытые!$K$5:$K$300,Закрытые!$E$5:$E$300,$B17,Закрытые!$B$5:$B$300,"L-*"))</f>
        <v/>
      </c>
      <c r="I17" s="240" t="str">
        <f>IF($B17="","",IF(COUNTIFS(Лэндинг!$E$5:$E$300,$B17)+COUNTIFS(Закрытые!$E$5:$E$300,$B17,Закрытые!$B$5:$B$300,"L-*")=0,"",ROUND(SUMIFS(Лэндинг!$L$5:$L$300,Лэндинг!$E$5:$E$300,$B17)+SUMIFS(Закрытые!$L$5:$L$300,Закрытые!$E$5:$E$300,$B17,Закрытые!$B$5:$B$300,"L-*"),8)))</f>
        <v/>
      </c>
      <c r="J17" s="241" t="str">
        <f>IF($B17="","",IF(COUNTIFS(Лэндинг!$E$5:$E$300,$B17)+COUNTIFS(Закрытые!$E$5:$E$300,$B17,Закрытые!$B$5:$B$300,"L-*")=0,"",ROUND(SUMIFS(Лэндинг!$M$5:$M$300,Лэндинг!$E$5:$E$300,$B17)+SUMIFS(Закрытые!$M$5:$M$300,Закрытые!$E$5:$E$300,$B17,Закрытые!$B$5:$B$300,"L-*"),8)))</f>
        <v/>
      </c>
      <c r="K17" s="240" t="str">
        <f>IF(MIN(N(C17),N(F17))&lt;=0,"",ROUND(MIN(N(C17),N(F17))*(N(G17)-N(D17)),8))</f>
        <v/>
      </c>
      <c r="L17" s="177" t="str">
        <f>IF(MIN(N(C17),N(F17))&lt;=0,"",IF(N(D17)=0,"",ROUND((N(G17)/N(D17)-1)*100,2)))</f>
        <v/>
      </c>
      <c r="M17" s="177" t="str">
        <f>IF(OR(ROUND(N(C17)-N(F17),8)=0,1-N(Ввод!$J$19)/100&lt;=0),"",IF(N(C17)&gt;N(F17),(N(E17)-N(H17))/((N(C17)-N(F17))*(1-N(Ввод!$J$19)/100)),(N(H17)-N(E17))/((N(F17)-N(C17))*(1+N(Ввод!$J$19)/100))))</f>
        <v/>
      </c>
    </row>
    <row r="18" ht="22" customHeight="1">
      <c r="B18" s="245" t="n"/>
      <c r="C18" s="246" t="str">
        <f>IF(SUMIFS(Лэндинг!$F$5:$F$300,Лэндинг!$E$5:$E$300,$B18)+SUMIFS(Закрытые!$F$5:$F$300,Закрытые!$E$5:$E$300,$B18,Закрытые!$B$5:$B$300,"L-*")=0,"",SUMIFS(Лэндинг!$F$5:$F$300,Лэндинг!$E$5:$E$300,$B18)+SUMIFS(Закрытые!$F$5:$F$300,Закрытые!$E$5:$E$300,$B18,Закрытые!$B$5:$B$300,"L-*"))</f>
        <v/>
      </c>
      <c r="D18" s="183" t="str">
        <f>IF(C18="","",(SUMPRODUCT((Лэндинг!$E$5:$E$300=$B18)*Лэндинг!$F$5:$F$300*Лэндинг!$G$5:$G$300)+SUMPRODUCT((Закрытые!$E$5:$E$300=$B18)*(LEFT(Закрытые!$B$5:$B$300,2)="L-")*Закрытые!$F$5:$F$300*Закрытые!$G$5:$G$300))/C18)</f>
        <v/>
      </c>
      <c r="E18" s="247" t="str">
        <f>IF(C18="","",SUMIFS(Лэндинг!$H$5:$H$300,Лэндинг!$E$5:$E$300,$B18)+SUMIFS(Закрытые!$H$5:$H$300,Закрытые!$E$5:$E$300,$B18,Закрытые!$B$5:$B$300,"L-*"))</f>
        <v/>
      </c>
      <c r="F18" s="246" t="str">
        <f>IF(SUMIFS(Лэндинг!$I$5:$I$300,Лэндинг!$E$5:$E$300,$B18)+SUMIFS(Закрытые!$I$5:$I$300,Закрытые!$E$5:$E$300,$B18,Закрытые!$B$5:$B$300,"L-*")=0,"",SUMIFS(Лэндинг!$I$5:$I$300,Лэндинг!$E$5:$E$300,$B18)+SUMIFS(Закрытые!$I$5:$I$300,Закрытые!$E$5:$E$300,$B18,Закрытые!$B$5:$B$300,"L-*"))</f>
        <v/>
      </c>
      <c r="G18" s="183" t="str">
        <f>IF(F18="","",(SUMPRODUCT((Лэндинг!$E$5:$E$300=$B18)*Лэндинг!$I$5:$I$300*Лэндинг!$J$5:$J$300)+SUMPRODUCT((Закрытые!$E$5:$E$300=$B18)*(LEFT(Закрытые!$B$5:$B$300,2)="L-")*Закрытые!$I$5:$I$300*Закрытые!$J$5:$J$300))/F18)</f>
        <v/>
      </c>
      <c r="H18" s="247" t="str">
        <f>IF(F18="","",SUMIFS(Лэндинг!$K$5:$K$300,Лэндинг!$E$5:$E$300,$B18)+SUMIFS(Закрытые!$K$5:$K$300,Закрытые!$E$5:$E$300,$B18,Закрытые!$B$5:$B$300,"L-*"))</f>
        <v/>
      </c>
      <c r="I18" s="246" t="str">
        <f>IF($B18="","",IF(COUNTIFS(Лэндинг!$E$5:$E$300,$B18)+COUNTIFS(Закрытые!$E$5:$E$300,$B18,Закрытые!$B$5:$B$300,"L-*")=0,"",ROUND(SUMIFS(Лэндинг!$L$5:$L$300,Лэндинг!$E$5:$E$300,$B18)+SUMIFS(Закрытые!$L$5:$L$300,Закрытые!$E$5:$E$300,$B18,Закрытые!$B$5:$B$300,"L-*"),8)))</f>
        <v/>
      </c>
      <c r="J18" s="247" t="str">
        <f>IF($B18="","",IF(COUNTIFS(Лэндинг!$E$5:$E$300,$B18)+COUNTIFS(Закрытые!$E$5:$E$300,$B18,Закрытые!$B$5:$B$300,"L-*")=0,"",ROUND(SUMIFS(Лэндинг!$M$5:$M$300,Лэндинг!$E$5:$E$300,$B18)+SUMIFS(Закрытые!$M$5:$M$300,Закрытые!$E$5:$E$300,$B18,Закрытые!$B$5:$B$300,"L-*"),8)))</f>
        <v/>
      </c>
      <c r="K18" s="246" t="str">
        <f>IF(MIN(N(C18),N(F18))&lt;=0,"",ROUND(MIN(N(C18),N(F18))*(N(G18)-N(D18)),8))</f>
        <v/>
      </c>
      <c r="L18" s="183" t="str">
        <f>IF(MIN(N(C18),N(F18))&lt;=0,"",IF(N(D18)=0,"",ROUND((N(G18)/N(D18)-1)*100,2)))</f>
        <v/>
      </c>
      <c r="M18" s="183" t="str">
        <f>IF(OR(ROUND(N(C18)-N(F18),8)=0,1-N(Ввод!$J$19)/100&lt;=0),"",IF(N(C18)&gt;N(F18),(N(E18)-N(H18))/((N(C18)-N(F18))*(1-N(Ввод!$J$19)/100)),(N(H18)-N(E18))/((N(F18)-N(C18))*(1+N(Ввод!$J$19)/100))))</f>
        <v/>
      </c>
    </row>
    <row r="19" ht="22" customHeight="1">
      <c r="B19" s="239" t="n"/>
      <c r="C19" s="240" t="str">
        <f>IF(SUMIFS(Лэндинг!$F$5:$F$300,Лэндинг!$E$5:$E$300,$B19)+SUMIFS(Закрытые!$F$5:$F$300,Закрытые!$E$5:$E$300,$B19,Закрытые!$B$5:$B$300,"L-*")=0,"",SUMIFS(Лэндинг!$F$5:$F$300,Лэндинг!$E$5:$E$300,$B19)+SUMIFS(Закрытые!$F$5:$F$300,Закрытые!$E$5:$E$300,$B19,Закрытые!$B$5:$B$300,"L-*"))</f>
        <v/>
      </c>
      <c r="D19" s="177" t="str">
        <f>IF(C19="","",(SUMPRODUCT((Лэндинг!$E$5:$E$300=$B19)*Лэндинг!$F$5:$F$300*Лэндинг!$G$5:$G$300)+SUMPRODUCT((Закрытые!$E$5:$E$300=$B19)*(LEFT(Закрытые!$B$5:$B$300,2)="L-")*Закрытые!$F$5:$F$300*Закрытые!$G$5:$G$300))/C19)</f>
        <v/>
      </c>
      <c r="E19" s="241" t="str">
        <f>IF(C19="","",SUMIFS(Лэндинг!$H$5:$H$300,Лэндинг!$E$5:$E$300,$B19)+SUMIFS(Закрытые!$H$5:$H$300,Закрытые!$E$5:$E$300,$B19,Закрытые!$B$5:$B$300,"L-*"))</f>
        <v/>
      </c>
      <c r="F19" s="240" t="str">
        <f>IF(SUMIFS(Лэндинг!$I$5:$I$300,Лэндинг!$E$5:$E$300,$B19)+SUMIFS(Закрытые!$I$5:$I$300,Закрытые!$E$5:$E$300,$B19,Закрытые!$B$5:$B$300,"L-*")=0,"",SUMIFS(Лэндинг!$I$5:$I$300,Лэндинг!$E$5:$E$300,$B19)+SUMIFS(Закрытые!$I$5:$I$300,Закрытые!$E$5:$E$300,$B19,Закрытые!$B$5:$B$300,"L-*"))</f>
        <v/>
      </c>
      <c r="G19" s="177" t="str">
        <f>IF(F19="","",(SUMPRODUCT((Лэндинг!$E$5:$E$300=$B19)*Лэндинг!$I$5:$I$300*Лэндинг!$J$5:$J$300)+SUMPRODUCT((Закрытые!$E$5:$E$300=$B19)*(LEFT(Закрытые!$B$5:$B$300,2)="L-")*Закрытые!$I$5:$I$300*Закрытые!$J$5:$J$300))/F19)</f>
        <v/>
      </c>
      <c r="H19" s="241" t="str">
        <f>IF(F19="","",SUMIFS(Лэндинг!$K$5:$K$300,Лэндинг!$E$5:$E$300,$B19)+SUMIFS(Закрытые!$K$5:$K$300,Закрытые!$E$5:$E$300,$B19,Закрытые!$B$5:$B$300,"L-*"))</f>
        <v/>
      </c>
      <c r="I19" s="240" t="str">
        <f>IF($B19="","",IF(COUNTIFS(Лэндинг!$E$5:$E$300,$B19)+COUNTIFS(Закрытые!$E$5:$E$300,$B19,Закрытые!$B$5:$B$300,"L-*")=0,"",ROUND(SUMIFS(Лэндинг!$L$5:$L$300,Лэндинг!$E$5:$E$300,$B19)+SUMIFS(Закрытые!$L$5:$L$300,Закрытые!$E$5:$E$300,$B19,Закрытые!$B$5:$B$300,"L-*"),8)))</f>
        <v/>
      </c>
      <c r="J19" s="241" t="str">
        <f>IF($B19="","",IF(COUNTIFS(Лэндинг!$E$5:$E$300,$B19)+COUNTIFS(Закрытые!$E$5:$E$300,$B19,Закрытые!$B$5:$B$300,"L-*")=0,"",ROUND(SUMIFS(Лэндинг!$M$5:$M$300,Лэндинг!$E$5:$E$300,$B19)+SUMIFS(Закрытые!$M$5:$M$300,Закрытые!$E$5:$E$300,$B19,Закрытые!$B$5:$B$300,"L-*"),8)))</f>
        <v/>
      </c>
      <c r="K19" s="240" t="str">
        <f>IF(MIN(N(C19),N(F19))&lt;=0,"",ROUND(MIN(N(C19),N(F19))*(N(G19)-N(D19)),8))</f>
        <v/>
      </c>
      <c r="L19" s="177" t="str">
        <f>IF(MIN(N(C19),N(F19))&lt;=0,"",IF(N(D19)=0,"",ROUND((N(G19)/N(D19)-1)*100,2)))</f>
        <v/>
      </c>
      <c r="M19" s="177" t="str">
        <f>IF(OR(ROUND(N(C19)-N(F19),8)=0,1-N(Ввод!$J$19)/100&lt;=0),"",IF(N(C19)&gt;N(F19),(N(E19)-N(H19))/((N(C19)-N(F19))*(1-N(Ввод!$J$19)/100)),(N(H19)-N(E19))/((N(F19)-N(C19))*(1+N(Ввод!$J$19)/100))))</f>
        <v/>
      </c>
    </row>
    <row r="20" ht="22" customHeight="1">
      <c r="B20" s="245" t="n"/>
      <c r="C20" s="246" t="str">
        <f>IF(SUMIFS(Лэндинг!$F$5:$F$300,Лэндинг!$E$5:$E$300,$B20)+SUMIFS(Закрытые!$F$5:$F$300,Закрытые!$E$5:$E$300,$B20,Закрытые!$B$5:$B$300,"L-*")=0,"",SUMIFS(Лэндинг!$F$5:$F$300,Лэндинг!$E$5:$E$300,$B20)+SUMIFS(Закрытые!$F$5:$F$300,Закрытые!$E$5:$E$300,$B20,Закрытые!$B$5:$B$300,"L-*"))</f>
        <v/>
      </c>
      <c r="D20" s="183" t="str">
        <f>IF(C20="","",(SUMPRODUCT((Лэндинг!$E$5:$E$300=$B20)*Лэндинг!$F$5:$F$300*Лэндинг!$G$5:$G$300)+SUMPRODUCT((Закрытые!$E$5:$E$300=$B20)*(LEFT(Закрытые!$B$5:$B$300,2)="L-")*Закрытые!$F$5:$F$300*Закрытые!$G$5:$G$300))/C20)</f>
        <v/>
      </c>
      <c r="E20" s="247" t="str">
        <f>IF(C20="","",SUMIFS(Лэндинг!$H$5:$H$300,Лэндинг!$E$5:$E$300,$B20)+SUMIFS(Закрытые!$H$5:$H$300,Закрытые!$E$5:$E$300,$B20,Закрытые!$B$5:$B$300,"L-*"))</f>
        <v/>
      </c>
      <c r="F20" s="246" t="str">
        <f>IF(SUMIFS(Лэндинг!$I$5:$I$300,Лэндинг!$E$5:$E$300,$B20)+SUMIFS(Закрытые!$I$5:$I$300,Закрытые!$E$5:$E$300,$B20,Закрытые!$B$5:$B$300,"L-*")=0,"",SUMIFS(Лэндинг!$I$5:$I$300,Лэндинг!$E$5:$E$300,$B20)+SUMIFS(Закрытые!$I$5:$I$300,Закрытые!$E$5:$E$300,$B20,Закрытые!$B$5:$B$300,"L-*"))</f>
        <v/>
      </c>
      <c r="G20" s="183" t="str">
        <f>IF(F20="","",(SUMPRODUCT((Лэндинг!$E$5:$E$300=$B20)*Лэндинг!$I$5:$I$300*Лэндинг!$J$5:$J$300)+SUMPRODUCT((Закрытые!$E$5:$E$300=$B20)*(LEFT(Закрытые!$B$5:$B$300,2)="L-")*Закрытые!$I$5:$I$300*Закрытые!$J$5:$J$300))/F20)</f>
        <v/>
      </c>
      <c r="H20" s="247" t="str">
        <f>IF(F20="","",SUMIFS(Лэндинг!$K$5:$K$300,Лэндинг!$E$5:$E$300,$B20)+SUMIFS(Закрытые!$K$5:$K$300,Закрытые!$E$5:$E$300,$B20,Закрытые!$B$5:$B$300,"L-*"))</f>
        <v/>
      </c>
      <c r="I20" s="246" t="str">
        <f>IF($B20="","",IF(COUNTIFS(Лэндинг!$E$5:$E$300,$B20)+COUNTIFS(Закрытые!$E$5:$E$300,$B20,Закрытые!$B$5:$B$300,"L-*")=0,"",ROUND(SUMIFS(Лэндинг!$L$5:$L$300,Лэндинг!$E$5:$E$300,$B20)+SUMIFS(Закрытые!$L$5:$L$300,Закрытые!$E$5:$E$300,$B20,Закрытые!$B$5:$B$300,"L-*"),8)))</f>
        <v/>
      </c>
      <c r="J20" s="247" t="str">
        <f>IF($B20="","",IF(COUNTIFS(Лэндинг!$E$5:$E$300,$B20)+COUNTIFS(Закрытые!$E$5:$E$300,$B20,Закрытые!$B$5:$B$300,"L-*")=0,"",ROUND(SUMIFS(Лэндинг!$M$5:$M$300,Лэндинг!$E$5:$E$300,$B20)+SUMIFS(Закрытые!$M$5:$M$300,Закрытые!$E$5:$E$300,$B20,Закрытые!$B$5:$B$300,"L-*"),8)))</f>
        <v/>
      </c>
      <c r="K20" s="246" t="str">
        <f>IF(MIN(N(C20),N(F20))&lt;=0,"",ROUND(MIN(N(C20),N(F20))*(N(G20)-N(D20)),8))</f>
        <v/>
      </c>
      <c r="L20" s="183" t="str">
        <f>IF(MIN(N(C20),N(F20))&lt;=0,"",IF(N(D20)=0,"",ROUND((N(G20)/N(D20)-1)*100,2)))</f>
        <v/>
      </c>
      <c r="M20" s="183" t="str">
        <f>IF(OR(ROUND(N(C20)-N(F20),8)=0,1-N(Ввод!$J$19)/100&lt;=0),"",IF(N(C20)&gt;N(F20),(N(E20)-N(H20))/((N(C20)-N(F20))*(1-N(Ввод!$J$19)/100)),(N(H20)-N(E20))/((N(F20)-N(C20))*(1+N(Ввод!$J$19)/100))))</f>
        <v/>
      </c>
    </row>
    <row r="21" ht="22" customHeight="1">
      <c r="B21" s="239" t="n"/>
      <c r="C21" s="240" t="str">
        <f>IF(SUMIFS(Лэндинг!$F$5:$F$300,Лэндинг!$E$5:$E$300,$B21)+SUMIFS(Закрытые!$F$5:$F$300,Закрытые!$E$5:$E$300,$B21,Закрытые!$B$5:$B$300,"L-*")=0,"",SUMIFS(Лэндинг!$F$5:$F$300,Лэндинг!$E$5:$E$300,$B21)+SUMIFS(Закрытые!$F$5:$F$300,Закрытые!$E$5:$E$300,$B21,Закрытые!$B$5:$B$300,"L-*"))</f>
        <v/>
      </c>
      <c r="D21" s="177" t="str">
        <f>IF(C21="","",(SUMPRODUCT((Лэндинг!$E$5:$E$300=$B21)*Лэндинг!$F$5:$F$300*Лэндинг!$G$5:$G$300)+SUMPRODUCT((Закрытые!$E$5:$E$300=$B21)*(LEFT(Закрытые!$B$5:$B$300,2)="L-")*Закрытые!$F$5:$F$300*Закрытые!$G$5:$G$300))/C21)</f>
        <v/>
      </c>
      <c r="E21" s="241" t="str">
        <f>IF(C21="","",SUMIFS(Лэндинг!$H$5:$H$300,Лэндинг!$E$5:$E$300,$B21)+SUMIFS(Закрытые!$H$5:$H$300,Закрытые!$E$5:$E$300,$B21,Закрытые!$B$5:$B$300,"L-*"))</f>
        <v/>
      </c>
      <c r="F21" s="240" t="str">
        <f>IF(SUMIFS(Лэндинг!$I$5:$I$300,Лэндинг!$E$5:$E$300,$B21)+SUMIFS(Закрытые!$I$5:$I$300,Закрытые!$E$5:$E$300,$B21,Закрытые!$B$5:$B$300,"L-*")=0,"",SUMIFS(Лэндинг!$I$5:$I$300,Лэндинг!$E$5:$E$300,$B21)+SUMIFS(Закрытые!$I$5:$I$300,Закрытые!$E$5:$E$300,$B21,Закрытые!$B$5:$B$300,"L-*"))</f>
        <v/>
      </c>
      <c r="G21" s="177" t="str">
        <f>IF(F21="","",(SUMPRODUCT((Лэндинг!$E$5:$E$300=$B21)*Лэндинг!$I$5:$I$300*Лэндинг!$J$5:$J$300)+SUMPRODUCT((Закрытые!$E$5:$E$300=$B21)*(LEFT(Закрытые!$B$5:$B$300,2)="L-")*Закрытые!$I$5:$I$300*Закрытые!$J$5:$J$300))/F21)</f>
        <v/>
      </c>
      <c r="H21" s="241" t="str">
        <f>IF(F21="","",SUMIFS(Лэндинг!$K$5:$K$300,Лэндинг!$E$5:$E$300,$B21)+SUMIFS(Закрытые!$K$5:$K$300,Закрытые!$E$5:$E$300,$B21,Закрытые!$B$5:$B$300,"L-*"))</f>
        <v/>
      </c>
      <c r="I21" s="240" t="str">
        <f>IF($B21="","",IF(COUNTIFS(Лэндинг!$E$5:$E$300,$B21)+COUNTIFS(Закрытые!$E$5:$E$300,$B21,Закрытые!$B$5:$B$300,"L-*")=0,"",ROUND(SUMIFS(Лэндинг!$L$5:$L$300,Лэндинг!$E$5:$E$300,$B21)+SUMIFS(Закрытые!$L$5:$L$300,Закрытые!$E$5:$E$300,$B21,Закрытые!$B$5:$B$300,"L-*"),8)))</f>
        <v/>
      </c>
      <c r="J21" s="241" t="str">
        <f>IF($B21="","",IF(COUNTIFS(Лэндинг!$E$5:$E$300,$B21)+COUNTIFS(Закрытые!$E$5:$E$300,$B21,Закрытые!$B$5:$B$300,"L-*")=0,"",ROUND(SUMIFS(Лэндинг!$M$5:$M$300,Лэндинг!$E$5:$E$300,$B21)+SUMIFS(Закрытые!$M$5:$M$300,Закрытые!$E$5:$E$300,$B21,Закрытые!$B$5:$B$300,"L-*"),8)))</f>
        <v/>
      </c>
      <c r="K21" s="240" t="str">
        <f>IF(MIN(N(C21),N(F21))&lt;=0,"",ROUND(MIN(N(C21),N(F21))*(N(G21)-N(D21)),8))</f>
        <v/>
      </c>
      <c r="L21" s="177" t="str">
        <f>IF(MIN(N(C21),N(F21))&lt;=0,"",IF(N(D21)=0,"",ROUND((N(G21)/N(D21)-1)*100,2)))</f>
        <v/>
      </c>
      <c r="M21" s="177" t="str">
        <f>IF(OR(ROUND(N(C21)-N(F21),8)=0,1-N(Ввод!$J$19)/100&lt;=0),"",IF(N(C21)&gt;N(F21),(N(E21)-N(H21))/((N(C21)-N(F21))*(1-N(Ввод!$J$19)/100)),(N(H21)-N(E21))/((N(F21)-N(C21))*(1+N(Ввод!$J$19)/100))))</f>
        <v/>
      </c>
    </row>
    <row r="22" ht="22" customHeight="1">
      <c r="B22" s="245" t="n"/>
      <c r="C22" s="246" t="str">
        <f>IF(SUMIFS(Лэндинг!$F$5:$F$300,Лэндинг!$E$5:$E$300,$B22)+SUMIFS(Закрытые!$F$5:$F$300,Закрытые!$E$5:$E$300,$B22,Закрытые!$B$5:$B$300,"L-*")=0,"",SUMIFS(Лэндинг!$F$5:$F$300,Лэндинг!$E$5:$E$300,$B22)+SUMIFS(Закрытые!$F$5:$F$300,Закрытые!$E$5:$E$300,$B22,Закрытые!$B$5:$B$300,"L-*"))</f>
        <v/>
      </c>
      <c r="D22" s="183" t="str">
        <f>IF(C22="","",(SUMPRODUCT((Лэндинг!$E$5:$E$300=$B22)*Лэндинг!$F$5:$F$300*Лэндинг!$G$5:$G$300)+SUMPRODUCT((Закрытые!$E$5:$E$300=$B22)*(LEFT(Закрытые!$B$5:$B$300,2)="L-")*Закрытые!$F$5:$F$300*Закрытые!$G$5:$G$300))/C22)</f>
        <v/>
      </c>
      <c r="E22" s="247" t="str">
        <f>IF(C22="","",SUMIFS(Лэндинг!$H$5:$H$300,Лэндинг!$E$5:$E$300,$B22)+SUMIFS(Закрытые!$H$5:$H$300,Закрытые!$E$5:$E$300,$B22,Закрытые!$B$5:$B$300,"L-*"))</f>
        <v/>
      </c>
      <c r="F22" s="246" t="str">
        <f>IF(SUMIFS(Лэндинг!$I$5:$I$300,Лэндинг!$E$5:$E$300,$B22)+SUMIFS(Закрытые!$I$5:$I$300,Закрытые!$E$5:$E$300,$B22,Закрытые!$B$5:$B$300,"L-*")=0,"",SUMIFS(Лэндинг!$I$5:$I$300,Лэндинг!$E$5:$E$300,$B22)+SUMIFS(Закрытые!$I$5:$I$300,Закрытые!$E$5:$E$300,$B22,Закрытые!$B$5:$B$300,"L-*"))</f>
        <v/>
      </c>
      <c r="G22" s="183" t="str">
        <f>IF(F22="","",(SUMPRODUCT((Лэндинг!$E$5:$E$300=$B22)*Лэндинг!$I$5:$I$300*Лэндинг!$J$5:$J$300)+SUMPRODUCT((Закрытые!$E$5:$E$300=$B22)*(LEFT(Закрытые!$B$5:$B$300,2)="L-")*Закрытые!$I$5:$I$300*Закрытые!$J$5:$J$300))/F22)</f>
        <v/>
      </c>
      <c r="H22" s="247" t="str">
        <f>IF(F22="","",SUMIFS(Лэндинг!$K$5:$K$300,Лэндинг!$E$5:$E$300,$B22)+SUMIFS(Закрытые!$K$5:$K$300,Закрытые!$E$5:$E$300,$B22,Закрытые!$B$5:$B$300,"L-*"))</f>
        <v/>
      </c>
      <c r="I22" s="246" t="str">
        <f>IF($B22="","",IF(COUNTIFS(Лэндинг!$E$5:$E$300,$B22)+COUNTIFS(Закрытые!$E$5:$E$300,$B22,Закрытые!$B$5:$B$300,"L-*")=0,"",ROUND(SUMIFS(Лэндинг!$L$5:$L$300,Лэндинг!$E$5:$E$300,$B22)+SUMIFS(Закрытые!$L$5:$L$300,Закрытые!$E$5:$E$300,$B22,Закрытые!$B$5:$B$300,"L-*"),8)))</f>
        <v/>
      </c>
      <c r="J22" s="247" t="str">
        <f>IF($B22="","",IF(COUNTIFS(Лэндинг!$E$5:$E$300,$B22)+COUNTIFS(Закрытые!$E$5:$E$300,$B22,Закрытые!$B$5:$B$300,"L-*")=0,"",ROUND(SUMIFS(Лэндинг!$M$5:$M$300,Лэндинг!$E$5:$E$300,$B22)+SUMIFS(Закрытые!$M$5:$M$300,Закрытые!$E$5:$E$300,$B22,Закрытые!$B$5:$B$300,"L-*"),8)))</f>
        <v/>
      </c>
      <c r="K22" s="246" t="str">
        <f>IF(MIN(N(C22),N(F22))&lt;=0,"",ROUND(MIN(N(C22),N(F22))*(N(G22)-N(D22)),8))</f>
        <v/>
      </c>
      <c r="L22" s="183" t="str">
        <f>IF(MIN(N(C22),N(F22))&lt;=0,"",IF(N(D22)=0,"",ROUND((N(G22)/N(D22)-1)*100,2)))</f>
        <v/>
      </c>
      <c r="M22" s="183" t="str">
        <f>IF(OR(ROUND(N(C22)-N(F22),8)=0,1-N(Ввод!$J$19)/100&lt;=0),"",IF(N(C22)&gt;N(F22),(N(E22)-N(H22))/((N(C22)-N(F22))*(1-N(Ввод!$J$19)/100)),(N(H22)-N(E22))/((N(F22)-N(C22))*(1+N(Ввод!$J$19)/100))))</f>
        <v/>
      </c>
    </row>
    <row r="23" ht="22" customHeight="1">
      <c r="B23" s="239" t="n"/>
      <c r="C23" s="240" t="str">
        <f>IF(SUMIFS(Лэндинг!$F$5:$F$300,Лэндинг!$E$5:$E$300,$B23)+SUMIFS(Закрытые!$F$5:$F$300,Закрытые!$E$5:$E$300,$B23,Закрытые!$B$5:$B$300,"L-*")=0,"",SUMIFS(Лэндинг!$F$5:$F$300,Лэндинг!$E$5:$E$300,$B23)+SUMIFS(Закрытые!$F$5:$F$300,Закрытые!$E$5:$E$300,$B23,Закрытые!$B$5:$B$300,"L-*"))</f>
        <v/>
      </c>
      <c r="D23" s="177" t="str">
        <f>IF(C23="","",(SUMPRODUCT((Лэндинг!$E$5:$E$300=$B23)*Лэндинг!$F$5:$F$300*Лэндинг!$G$5:$G$300)+SUMPRODUCT((Закрытые!$E$5:$E$300=$B23)*(LEFT(Закрытые!$B$5:$B$300,2)="L-")*Закрытые!$F$5:$F$300*Закрытые!$G$5:$G$300))/C23)</f>
        <v/>
      </c>
      <c r="E23" s="241" t="str">
        <f>IF(C23="","",SUMIFS(Лэндинг!$H$5:$H$300,Лэндинг!$E$5:$E$300,$B23)+SUMIFS(Закрытые!$H$5:$H$300,Закрытые!$E$5:$E$300,$B23,Закрытые!$B$5:$B$300,"L-*"))</f>
        <v/>
      </c>
      <c r="F23" s="240" t="str">
        <f>IF(SUMIFS(Лэндинг!$I$5:$I$300,Лэндинг!$E$5:$E$300,$B23)+SUMIFS(Закрытые!$I$5:$I$300,Закрытые!$E$5:$E$300,$B23,Закрытые!$B$5:$B$300,"L-*")=0,"",SUMIFS(Лэндинг!$I$5:$I$300,Лэндинг!$E$5:$E$300,$B23)+SUMIFS(Закрытые!$I$5:$I$300,Закрытые!$E$5:$E$300,$B23,Закрытые!$B$5:$B$300,"L-*"))</f>
        <v/>
      </c>
      <c r="G23" s="177" t="str">
        <f>IF(F23="","",(SUMPRODUCT((Лэндинг!$E$5:$E$300=$B23)*Лэндинг!$I$5:$I$300*Лэндинг!$J$5:$J$300)+SUMPRODUCT((Закрытые!$E$5:$E$300=$B23)*(LEFT(Закрытые!$B$5:$B$300,2)="L-")*Закрытые!$I$5:$I$300*Закрытые!$J$5:$J$300))/F23)</f>
        <v/>
      </c>
      <c r="H23" s="241" t="str">
        <f>IF(F23="","",SUMIFS(Лэндинг!$K$5:$K$300,Лэндинг!$E$5:$E$300,$B23)+SUMIFS(Закрытые!$K$5:$K$300,Закрытые!$E$5:$E$300,$B23,Закрытые!$B$5:$B$300,"L-*"))</f>
        <v/>
      </c>
      <c r="I23" s="240" t="str">
        <f>IF($B23="","",IF(COUNTIFS(Лэндинг!$E$5:$E$300,$B23)+COUNTIFS(Закрытые!$E$5:$E$300,$B23,Закрытые!$B$5:$B$300,"L-*")=0,"",ROUND(SUMIFS(Лэндинг!$L$5:$L$300,Лэндинг!$E$5:$E$300,$B23)+SUMIFS(Закрытые!$L$5:$L$300,Закрытые!$E$5:$E$300,$B23,Закрытые!$B$5:$B$300,"L-*"),8)))</f>
        <v/>
      </c>
      <c r="J23" s="241" t="str">
        <f>IF($B23="","",IF(COUNTIFS(Лэндинг!$E$5:$E$300,$B23)+COUNTIFS(Закрытые!$E$5:$E$300,$B23,Закрытые!$B$5:$B$300,"L-*")=0,"",ROUND(SUMIFS(Лэндинг!$M$5:$M$300,Лэндинг!$E$5:$E$300,$B23)+SUMIFS(Закрытые!$M$5:$M$300,Закрытые!$E$5:$E$300,$B23,Закрытые!$B$5:$B$300,"L-*"),8)))</f>
        <v/>
      </c>
      <c r="K23" s="240" t="str">
        <f>IF(MIN(N(C23),N(F23))&lt;=0,"",ROUND(MIN(N(C23),N(F23))*(N(G23)-N(D23)),8))</f>
        <v/>
      </c>
      <c r="L23" s="177" t="str">
        <f>IF(MIN(N(C23),N(F23))&lt;=0,"",IF(N(D23)=0,"",ROUND((N(G23)/N(D23)-1)*100,2)))</f>
        <v/>
      </c>
      <c r="M23" s="177" t="str">
        <f>IF(OR(ROUND(N(C23)-N(F23),8)=0,1-N(Ввод!$J$19)/100&lt;=0),"",IF(N(C23)&gt;N(F23),(N(E23)-N(H23))/((N(C23)-N(F23))*(1-N(Ввод!$J$19)/100)),(N(H23)-N(E23))/((N(F23)-N(C23))*(1+N(Ввод!$J$19)/100))))</f>
        <v/>
      </c>
    </row>
    <row r="24" ht="22" customHeight="1">
      <c r="B24" s="245" t="n"/>
      <c r="C24" s="246" t="str">
        <f>IF(SUMIFS(Лэндинг!$F$5:$F$300,Лэндинг!$E$5:$E$300,$B24)+SUMIFS(Закрытые!$F$5:$F$300,Закрытые!$E$5:$E$300,$B24,Закрытые!$B$5:$B$300,"L-*")=0,"",SUMIFS(Лэндинг!$F$5:$F$300,Лэндинг!$E$5:$E$300,$B24)+SUMIFS(Закрытые!$F$5:$F$300,Закрытые!$E$5:$E$300,$B24,Закрытые!$B$5:$B$300,"L-*"))</f>
        <v/>
      </c>
      <c r="D24" s="183" t="str">
        <f>IF(C24="","",(SUMPRODUCT((Лэндинг!$E$5:$E$300=$B24)*Лэндинг!$F$5:$F$300*Лэндинг!$G$5:$G$300)+SUMPRODUCT((Закрытые!$E$5:$E$300=$B24)*(LEFT(Закрытые!$B$5:$B$300,2)="L-")*Закрытые!$F$5:$F$300*Закрытые!$G$5:$G$300))/C24)</f>
        <v/>
      </c>
      <c r="E24" s="247" t="str">
        <f>IF(C24="","",SUMIFS(Лэндинг!$H$5:$H$300,Лэндинг!$E$5:$E$300,$B24)+SUMIFS(Закрытые!$H$5:$H$300,Закрытые!$E$5:$E$300,$B24,Закрытые!$B$5:$B$300,"L-*"))</f>
        <v/>
      </c>
      <c r="F24" s="246" t="str">
        <f>IF(SUMIFS(Лэндинг!$I$5:$I$300,Лэндинг!$E$5:$E$300,$B24)+SUMIFS(Закрытые!$I$5:$I$300,Закрытые!$E$5:$E$300,$B24,Закрытые!$B$5:$B$300,"L-*")=0,"",SUMIFS(Лэндинг!$I$5:$I$300,Лэндинг!$E$5:$E$300,$B24)+SUMIFS(Закрытые!$I$5:$I$300,Закрытые!$E$5:$E$300,$B24,Закрытые!$B$5:$B$300,"L-*"))</f>
        <v/>
      </c>
      <c r="G24" s="183" t="str">
        <f>IF(F24="","",(SUMPRODUCT((Лэндинг!$E$5:$E$300=$B24)*Лэндинг!$I$5:$I$300*Лэндинг!$J$5:$J$300)+SUMPRODUCT((Закрытые!$E$5:$E$300=$B24)*(LEFT(Закрытые!$B$5:$B$300,2)="L-")*Закрытые!$I$5:$I$300*Закрытые!$J$5:$J$300))/F24)</f>
        <v/>
      </c>
      <c r="H24" s="247" t="str">
        <f>IF(F24="","",SUMIFS(Лэндинг!$K$5:$K$300,Лэндинг!$E$5:$E$300,$B24)+SUMIFS(Закрытые!$K$5:$K$300,Закрытые!$E$5:$E$300,$B24,Закрытые!$B$5:$B$300,"L-*"))</f>
        <v/>
      </c>
      <c r="I24" s="246" t="str">
        <f>IF($B24="","",IF(COUNTIFS(Лэндинг!$E$5:$E$300,$B24)+COUNTIFS(Закрытые!$E$5:$E$300,$B24,Закрытые!$B$5:$B$300,"L-*")=0,"",ROUND(SUMIFS(Лэндинг!$L$5:$L$300,Лэндинг!$E$5:$E$300,$B24)+SUMIFS(Закрытые!$L$5:$L$300,Закрытые!$E$5:$E$300,$B24,Закрытые!$B$5:$B$300,"L-*"),8)))</f>
        <v/>
      </c>
      <c r="J24" s="247" t="str">
        <f>IF($B24="","",IF(COUNTIFS(Лэндинг!$E$5:$E$300,$B24)+COUNTIFS(Закрытые!$E$5:$E$300,$B24,Закрытые!$B$5:$B$300,"L-*")=0,"",ROUND(SUMIFS(Лэндинг!$M$5:$M$300,Лэндинг!$E$5:$E$300,$B24)+SUMIFS(Закрытые!$M$5:$M$300,Закрытые!$E$5:$E$300,$B24,Закрытые!$B$5:$B$300,"L-*"),8)))</f>
        <v/>
      </c>
      <c r="K24" s="246" t="str">
        <f>IF(MIN(N(C24),N(F24))&lt;=0,"",ROUND(MIN(N(C24),N(F24))*(N(G24)-N(D24)),8))</f>
        <v/>
      </c>
      <c r="L24" s="183" t="str">
        <f>IF(MIN(N(C24),N(F24))&lt;=0,"",IF(N(D24)=0,"",ROUND((N(G24)/N(D24)-1)*100,2)))</f>
        <v/>
      </c>
      <c r="M24" s="183" t="str">
        <f>IF(OR(ROUND(N(C24)-N(F24),8)=0,1-N(Ввод!$J$19)/100&lt;=0),"",IF(N(C24)&gt;N(F24),(N(E24)-N(H24))/((N(C24)-N(F24))*(1-N(Ввод!$J$19)/100)),(N(H24)-N(E24))/((N(F24)-N(C24))*(1+N(Ввод!$J$19)/100))))</f>
        <v/>
      </c>
    </row>
    <row r="25" ht="22" customHeight="1">
      <c r="B25" s="239" t="n"/>
      <c r="C25" s="240" t="str">
        <f>IF(SUMIFS(Лэндинг!$F$5:$F$300,Лэндинг!$E$5:$E$300,$B25)+SUMIFS(Закрытые!$F$5:$F$300,Закрытые!$E$5:$E$300,$B25,Закрытые!$B$5:$B$300,"L-*")=0,"",SUMIFS(Лэндинг!$F$5:$F$300,Лэндинг!$E$5:$E$300,$B25)+SUMIFS(Закрытые!$F$5:$F$300,Закрытые!$E$5:$E$300,$B25,Закрытые!$B$5:$B$300,"L-*"))</f>
        <v/>
      </c>
      <c r="D25" s="177" t="str">
        <f>IF(C25="","",(SUMPRODUCT((Лэндинг!$E$5:$E$300=$B25)*Лэндинг!$F$5:$F$300*Лэндинг!$G$5:$G$300)+SUMPRODUCT((Закрытые!$E$5:$E$300=$B25)*(LEFT(Закрытые!$B$5:$B$300,2)="L-")*Закрытые!$F$5:$F$300*Закрытые!$G$5:$G$300))/C25)</f>
        <v/>
      </c>
      <c r="E25" s="241" t="str">
        <f>IF(C25="","",SUMIFS(Лэндинг!$H$5:$H$300,Лэндинг!$E$5:$E$300,$B25)+SUMIFS(Закрытые!$H$5:$H$300,Закрытые!$E$5:$E$300,$B25,Закрытые!$B$5:$B$300,"L-*"))</f>
        <v/>
      </c>
      <c r="F25" s="240" t="str">
        <f>IF(SUMIFS(Лэндинг!$I$5:$I$300,Лэндинг!$E$5:$E$300,$B25)+SUMIFS(Закрытые!$I$5:$I$300,Закрытые!$E$5:$E$300,$B25,Закрытые!$B$5:$B$300,"L-*")=0,"",SUMIFS(Лэндинг!$I$5:$I$300,Лэндинг!$E$5:$E$300,$B25)+SUMIFS(Закрытые!$I$5:$I$300,Закрытые!$E$5:$E$300,$B25,Закрытые!$B$5:$B$300,"L-*"))</f>
        <v/>
      </c>
      <c r="G25" s="177" t="str">
        <f>IF(F25="","",(SUMPRODUCT((Лэндинг!$E$5:$E$300=$B25)*Лэндинг!$I$5:$I$300*Лэндинг!$J$5:$J$300)+SUMPRODUCT((Закрытые!$E$5:$E$300=$B25)*(LEFT(Закрытые!$B$5:$B$300,2)="L-")*Закрытые!$I$5:$I$300*Закрытые!$J$5:$J$300))/F25)</f>
        <v/>
      </c>
      <c r="H25" s="241" t="str">
        <f>IF(F25="","",SUMIFS(Лэндинг!$K$5:$K$300,Лэндинг!$E$5:$E$300,$B25)+SUMIFS(Закрытые!$K$5:$K$300,Закрытые!$E$5:$E$300,$B25,Закрытые!$B$5:$B$300,"L-*"))</f>
        <v/>
      </c>
      <c r="I25" s="240" t="str">
        <f>IF($B25="","",IF(COUNTIFS(Лэндинг!$E$5:$E$300,$B25)+COUNTIFS(Закрытые!$E$5:$E$300,$B25,Закрытые!$B$5:$B$300,"L-*")=0,"",ROUND(SUMIFS(Лэндинг!$L$5:$L$300,Лэндинг!$E$5:$E$300,$B25)+SUMIFS(Закрытые!$L$5:$L$300,Закрытые!$E$5:$E$300,$B25,Закрытые!$B$5:$B$300,"L-*"),8)))</f>
        <v/>
      </c>
      <c r="J25" s="241" t="str">
        <f>IF($B25="","",IF(COUNTIFS(Лэндинг!$E$5:$E$300,$B25)+COUNTIFS(Закрытые!$E$5:$E$300,$B25,Закрытые!$B$5:$B$300,"L-*")=0,"",ROUND(SUMIFS(Лэндинг!$M$5:$M$300,Лэндинг!$E$5:$E$300,$B25)+SUMIFS(Закрытые!$M$5:$M$300,Закрытые!$E$5:$E$300,$B25,Закрытые!$B$5:$B$300,"L-*"),8)))</f>
        <v/>
      </c>
      <c r="K25" s="240" t="str">
        <f>IF(MIN(N(C25),N(F25))&lt;=0,"",ROUND(MIN(N(C25),N(F25))*(N(G25)-N(D25)),8))</f>
        <v/>
      </c>
      <c r="L25" s="177" t="str">
        <f>IF(MIN(N(C25),N(F25))&lt;=0,"",IF(N(D25)=0,"",ROUND((N(G25)/N(D25)-1)*100,2)))</f>
        <v/>
      </c>
      <c r="M25" s="177" t="str">
        <f>IF(OR(ROUND(N(C25)-N(F25),8)=0,1-N(Ввод!$J$19)/100&lt;=0),"",IF(N(C25)&gt;N(F25),(N(E25)-N(H25))/((N(C25)-N(F25))*(1-N(Ввод!$J$19)/100)),(N(H25)-N(E25))/((N(F25)-N(C25))*(1+N(Ввод!$J$19)/100))))</f>
        <v/>
      </c>
    </row>
    <row r="26" ht="22" customHeight="1">
      <c r="B26" s="245" t="n"/>
      <c r="C26" s="246" t="str">
        <f>IF(SUMIFS(Лэндинг!$F$5:$F$300,Лэндинг!$E$5:$E$300,$B26)+SUMIFS(Закрытые!$F$5:$F$300,Закрытые!$E$5:$E$300,$B26,Закрытые!$B$5:$B$300,"L-*")=0,"",SUMIFS(Лэндинг!$F$5:$F$300,Лэндинг!$E$5:$E$300,$B26)+SUMIFS(Закрытые!$F$5:$F$300,Закрытые!$E$5:$E$300,$B26,Закрытые!$B$5:$B$300,"L-*"))</f>
        <v/>
      </c>
      <c r="D26" s="183" t="str">
        <f>IF(C26="","",(SUMPRODUCT((Лэндинг!$E$5:$E$300=$B26)*Лэндинг!$F$5:$F$300*Лэндинг!$G$5:$G$300)+SUMPRODUCT((Закрытые!$E$5:$E$300=$B26)*(LEFT(Закрытые!$B$5:$B$300,2)="L-")*Закрытые!$F$5:$F$300*Закрытые!$G$5:$G$300))/C26)</f>
        <v/>
      </c>
      <c r="E26" s="247" t="str">
        <f>IF(C26="","",SUMIFS(Лэндинг!$H$5:$H$300,Лэндинг!$E$5:$E$300,$B26)+SUMIFS(Закрытые!$H$5:$H$300,Закрытые!$E$5:$E$300,$B26,Закрытые!$B$5:$B$300,"L-*"))</f>
        <v/>
      </c>
      <c r="F26" s="246" t="str">
        <f>IF(SUMIFS(Лэндинг!$I$5:$I$300,Лэндинг!$E$5:$E$300,$B26)+SUMIFS(Закрытые!$I$5:$I$300,Закрытые!$E$5:$E$300,$B26,Закрытые!$B$5:$B$300,"L-*")=0,"",SUMIFS(Лэндинг!$I$5:$I$300,Лэндинг!$E$5:$E$300,$B26)+SUMIFS(Закрытые!$I$5:$I$300,Закрытые!$E$5:$E$300,$B26,Закрытые!$B$5:$B$300,"L-*"))</f>
        <v/>
      </c>
      <c r="G26" s="183" t="str">
        <f>IF(F26="","",(SUMPRODUCT((Лэндинг!$E$5:$E$300=$B26)*Лэндинг!$I$5:$I$300*Лэндинг!$J$5:$J$300)+SUMPRODUCT((Закрытые!$E$5:$E$300=$B26)*(LEFT(Закрытые!$B$5:$B$300,2)="L-")*Закрытые!$I$5:$I$300*Закрытые!$J$5:$J$300))/F26)</f>
        <v/>
      </c>
      <c r="H26" s="247" t="str">
        <f>IF(F26="","",SUMIFS(Лэндинг!$K$5:$K$300,Лэндинг!$E$5:$E$300,$B26)+SUMIFS(Закрытые!$K$5:$K$300,Закрытые!$E$5:$E$300,$B26,Закрытые!$B$5:$B$300,"L-*"))</f>
        <v/>
      </c>
      <c r="I26" s="246" t="str">
        <f>IF($B26="","",IF(COUNTIFS(Лэндинг!$E$5:$E$300,$B26)+COUNTIFS(Закрытые!$E$5:$E$300,$B26,Закрытые!$B$5:$B$300,"L-*")=0,"",ROUND(SUMIFS(Лэндинг!$L$5:$L$300,Лэндинг!$E$5:$E$300,$B26)+SUMIFS(Закрытые!$L$5:$L$300,Закрытые!$E$5:$E$300,$B26,Закрытые!$B$5:$B$300,"L-*"),8)))</f>
        <v/>
      </c>
      <c r="J26" s="247" t="str">
        <f>IF($B26="","",IF(COUNTIFS(Лэндинг!$E$5:$E$300,$B26)+COUNTIFS(Закрытые!$E$5:$E$300,$B26,Закрытые!$B$5:$B$300,"L-*")=0,"",ROUND(SUMIFS(Лэндинг!$M$5:$M$300,Лэндинг!$E$5:$E$300,$B26)+SUMIFS(Закрытые!$M$5:$M$300,Закрытые!$E$5:$E$300,$B26,Закрытые!$B$5:$B$300,"L-*"),8)))</f>
        <v/>
      </c>
      <c r="K26" s="246" t="str">
        <f>IF(MIN(N(C26),N(F26))&lt;=0,"",ROUND(MIN(N(C26),N(F26))*(N(G26)-N(D26)),8))</f>
        <v/>
      </c>
      <c r="L26" s="183" t="str">
        <f>IF(MIN(N(C26),N(F26))&lt;=0,"",IF(N(D26)=0,"",ROUND((N(G26)/N(D26)-1)*100,2)))</f>
        <v/>
      </c>
      <c r="M26" s="183" t="str">
        <f>IF(OR(ROUND(N(C26)-N(F26),8)=0,1-N(Ввод!$J$19)/100&lt;=0),"",IF(N(C26)&gt;N(F26),(N(E26)-N(H26))/((N(C26)-N(F26))*(1-N(Ввод!$J$19)/100)),(N(H26)-N(E26))/((N(F26)-N(C26))*(1+N(Ввод!$J$19)/100))))</f>
        <v/>
      </c>
    </row>
    <row r="27" ht="22" customHeight="1">
      <c r="B27" s="239" t="n"/>
      <c r="C27" s="240" t="str">
        <f>IF(SUMIFS(Лэндинг!$F$5:$F$300,Лэндинг!$E$5:$E$300,$B27)+SUMIFS(Закрытые!$F$5:$F$300,Закрытые!$E$5:$E$300,$B27,Закрытые!$B$5:$B$300,"L-*")=0,"",SUMIFS(Лэндинг!$F$5:$F$300,Лэндинг!$E$5:$E$300,$B27)+SUMIFS(Закрытые!$F$5:$F$300,Закрытые!$E$5:$E$300,$B27,Закрытые!$B$5:$B$300,"L-*"))</f>
        <v/>
      </c>
      <c r="D27" s="177" t="str">
        <f>IF(C27="","",(SUMPRODUCT((Лэндинг!$E$5:$E$300=$B27)*Лэндинг!$F$5:$F$300*Лэндинг!$G$5:$G$300)+SUMPRODUCT((Закрытые!$E$5:$E$300=$B27)*(LEFT(Закрытые!$B$5:$B$300,2)="L-")*Закрытые!$F$5:$F$300*Закрытые!$G$5:$G$300))/C27)</f>
        <v/>
      </c>
      <c r="E27" s="241" t="str">
        <f>IF(C27="","",SUMIFS(Лэндинг!$H$5:$H$300,Лэндинг!$E$5:$E$300,$B27)+SUMIFS(Закрытые!$H$5:$H$300,Закрытые!$E$5:$E$300,$B27,Закрытые!$B$5:$B$300,"L-*"))</f>
        <v/>
      </c>
      <c r="F27" s="240" t="str">
        <f>IF(SUMIFS(Лэндинг!$I$5:$I$300,Лэндинг!$E$5:$E$300,$B27)+SUMIFS(Закрытые!$I$5:$I$300,Закрытые!$E$5:$E$300,$B27,Закрытые!$B$5:$B$300,"L-*")=0,"",SUMIFS(Лэндинг!$I$5:$I$300,Лэндинг!$E$5:$E$300,$B27)+SUMIFS(Закрытые!$I$5:$I$300,Закрытые!$E$5:$E$300,$B27,Закрытые!$B$5:$B$300,"L-*"))</f>
        <v/>
      </c>
      <c r="G27" s="177" t="str">
        <f>IF(F27="","",(SUMPRODUCT((Лэндинг!$E$5:$E$300=$B27)*Лэндинг!$I$5:$I$300*Лэндинг!$J$5:$J$300)+SUMPRODUCT((Закрытые!$E$5:$E$300=$B27)*(LEFT(Закрытые!$B$5:$B$300,2)="L-")*Закрытые!$I$5:$I$300*Закрытые!$J$5:$J$300))/F27)</f>
        <v/>
      </c>
      <c r="H27" s="241" t="str">
        <f>IF(F27="","",SUMIFS(Лэндинг!$K$5:$K$300,Лэндинг!$E$5:$E$300,$B27)+SUMIFS(Закрытые!$K$5:$K$300,Закрытые!$E$5:$E$300,$B27,Закрытые!$B$5:$B$300,"L-*"))</f>
        <v/>
      </c>
      <c r="I27" s="240" t="str">
        <f>IF($B27="","",IF(COUNTIFS(Лэндинг!$E$5:$E$300,$B27)+COUNTIFS(Закрытые!$E$5:$E$300,$B27,Закрытые!$B$5:$B$300,"L-*")=0,"",ROUND(SUMIFS(Лэндинг!$L$5:$L$300,Лэндинг!$E$5:$E$300,$B27)+SUMIFS(Закрытые!$L$5:$L$300,Закрытые!$E$5:$E$300,$B27,Закрытые!$B$5:$B$300,"L-*"),8)))</f>
        <v/>
      </c>
      <c r="J27" s="241" t="str">
        <f>IF($B27="","",IF(COUNTIFS(Лэндинг!$E$5:$E$300,$B27)+COUNTIFS(Закрытые!$E$5:$E$300,$B27,Закрытые!$B$5:$B$300,"L-*")=0,"",ROUND(SUMIFS(Лэндинг!$M$5:$M$300,Лэндинг!$E$5:$E$300,$B27)+SUMIFS(Закрытые!$M$5:$M$300,Закрытые!$E$5:$E$300,$B27,Закрытые!$B$5:$B$300,"L-*"),8)))</f>
        <v/>
      </c>
      <c r="K27" s="240" t="str">
        <f>IF(MIN(N(C27),N(F27))&lt;=0,"",ROUND(MIN(N(C27),N(F27))*(N(G27)-N(D27)),8))</f>
        <v/>
      </c>
      <c r="L27" s="177" t="str">
        <f>IF(MIN(N(C27),N(F27))&lt;=0,"",IF(N(D27)=0,"",ROUND((N(G27)/N(D27)-1)*100,2)))</f>
        <v/>
      </c>
      <c r="M27" s="177" t="str">
        <f>IF(OR(ROUND(N(C27)-N(F27),8)=0,1-N(Ввод!$J$19)/100&lt;=0),"",IF(N(C27)&gt;N(F27),(N(E27)-N(H27))/((N(C27)-N(F27))*(1-N(Ввод!$J$19)/100)),(N(H27)-N(E27))/((N(F27)-N(C27))*(1+N(Ввод!$J$19)/100))))</f>
        <v/>
      </c>
    </row>
    <row r="28" ht="22" customHeight="1">
      <c r="B28" s="245" t="n"/>
      <c r="C28" s="246" t="str">
        <f>IF(SUMIFS(Лэндинг!$F$5:$F$300,Лэндинг!$E$5:$E$300,$B28)+SUMIFS(Закрытые!$F$5:$F$300,Закрытые!$E$5:$E$300,$B28,Закрытые!$B$5:$B$300,"L-*")=0,"",SUMIFS(Лэндинг!$F$5:$F$300,Лэндинг!$E$5:$E$300,$B28)+SUMIFS(Закрытые!$F$5:$F$300,Закрытые!$E$5:$E$300,$B28,Закрытые!$B$5:$B$300,"L-*"))</f>
        <v/>
      </c>
      <c r="D28" s="183" t="str">
        <f>IF(C28="","",(SUMPRODUCT((Лэндинг!$E$5:$E$300=$B28)*Лэндинг!$F$5:$F$300*Лэндинг!$G$5:$G$300)+SUMPRODUCT((Закрытые!$E$5:$E$300=$B28)*(LEFT(Закрытые!$B$5:$B$300,2)="L-")*Закрытые!$F$5:$F$300*Закрытые!$G$5:$G$300))/C28)</f>
        <v/>
      </c>
      <c r="E28" s="247" t="str">
        <f>IF(C28="","",SUMIFS(Лэндинг!$H$5:$H$300,Лэндинг!$E$5:$E$300,$B28)+SUMIFS(Закрытые!$H$5:$H$300,Закрытые!$E$5:$E$300,$B28,Закрытые!$B$5:$B$300,"L-*"))</f>
        <v/>
      </c>
      <c r="F28" s="246" t="str">
        <f>IF(SUMIFS(Лэндинг!$I$5:$I$300,Лэндинг!$E$5:$E$300,$B28)+SUMIFS(Закрытые!$I$5:$I$300,Закрытые!$E$5:$E$300,$B28,Закрытые!$B$5:$B$300,"L-*")=0,"",SUMIFS(Лэндинг!$I$5:$I$300,Лэндинг!$E$5:$E$300,$B28)+SUMIFS(Закрытые!$I$5:$I$300,Закрытые!$E$5:$E$300,$B28,Закрытые!$B$5:$B$300,"L-*"))</f>
        <v/>
      </c>
      <c r="G28" s="183" t="str">
        <f>IF(F28="","",(SUMPRODUCT((Лэндинг!$E$5:$E$300=$B28)*Лэндинг!$I$5:$I$300*Лэндинг!$J$5:$J$300)+SUMPRODUCT((Закрытые!$E$5:$E$300=$B28)*(LEFT(Закрытые!$B$5:$B$300,2)="L-")*Закрытые!$I$5:$I$300*Закрытые!$J$5:$J$300))/F28)</f>
        <v/>
      </c>
      <c r="H28" s="247" t="str">
        <f>IF(F28="","",SUMIFS(Лэндинг!$K$5:$K$300,Лэндинг!$E$5:$E$300,$B28)+SUMIFS(Закрытые!$K$5:$K$300,Закрытые!$E$5:$E$300,$B28,Закрытые!$B$5:$B$300,"L-*"))</f>
        <v/>
      </c>
      <c r="I28" s="246" t="str">
        <f>IF($B28="","",IF(COUNTIFS(Лэндинг!$E$5:$E$300,$B28)+COUNTIFS(Закрытые!$E$5:$E$300,$B28,Закрытые!$B$5:$B$300,"L-*")=0,"",ROUND(SUMIFS(Лэндинг!$L$5:$L$300,Лэндинг!$E$5:$E$300,$B28)+SUMIFS(Закрытые!$L$5:$L$300,Закрытые!$E$5:$E$300,$B28,Закрытые!$B$5:$B$300,"L-*"),8)))</f>
        <v/>
      </c>
      <c r="J28" s="247" t="str">
        <f>IF($B28="","",IF(COUNTIFS(Лэндинг!$E$5:$E$300,$B28)+COUNTIFS(Закрытые!$E$5:$E$300,$B28,Закрытые!$B$5:$B$300,"L-*")=0,"",ROUND(SUMIFS(Лэндинг!$M$5:$M$300,Лэндинг!$E$5:$E$300,$B28)+SUMIFS(Закрытые!$M$5:$M$300,Закрытые!$E$5:$E$300,$B28,Закрытые!$B$5:$B$300,"L-*"),8)))</f>
        <v/>
      </c>
      <c r="K28" s="246" t="str">
        <f>IF(MIN(N(C28),N(F28))&lt;=0,"",ROUND(MIN(N(C28),N(F28))*(N(G28)-N(D28)),8))</f>
        <v/>
      </c>
      <c r="L28" s="183" t="str">
        <f>IF(MIN(N(C28),N(F28))&lt;=0,"",IF(N(D28)=0,"",ROUND((N(G28)/N(D28)-1)*100,2)))</f>
        <v/>
      </c>
      <c r="M28" s="183" t="str">
        <f>IF(OR(ROUND(N(C28)-N(F28),8)=0,1-N(Ввод!$J$19)/100&lt;=0),"",IF(N(C28)&gt;N(F28),(N(E28)-N(H28))/((N(C28)-N(F28))*(1-N(Ввод!$J$19)/100)),(N(H28)-N(E28))/((N(F28)-N(C28))*(1+N(Ввод!$J$19)/100))))</f>
        <v/>
      </c>
    </row>
    <row r="29" ht="22" customHeight="1">
      <c r="B29" s="239" t="n"/>
      <c r="C29" s="240" t="str">
        <f>IF(SUMIFS(Лэндинг!$F$5:$F$300,Лэндинг!$E$5:$E$300,$B29)+SUMIFS(Закрытые!$F$5:$F$300,Закрытые!$E$5:$E$300,$B29,Закрытые!$B$5:$B$300,"L-*")=0,"",SUMIFS(Лэндинг!$F$5:$F$300,Лэндинг!$E$5:$E$300,$B29)+SUMIFS(Закрытые!$F$5:$F$300,Закрытые!$E$5:$E$300,$B29,Закрытые!$B$5:$B$300,"L-*"))</f>
        <v/>
      </c>
      <c r="D29" s="177" t="str">
        <f>IF(C29="","",(SUMPRODUCT((Лэндинг!$E$5:$E$300=$B29)*Лэндинг!$F$5:$F$300*Лэндинг!$G$5:$G$300)+SUMPRODUCT((Закрытые!$E$5:$E$300=$B29)*(LEFT(Закрытые!$B$5:$B$300,2)="L-")*Закрытые!$F$5:$F$300*Закрытые!$G$5:$G$300))/C29)</f>
        <v/>
      </c>
      <c r="E29" s="241" t="str">
        <f>IF(C29="","",SUMIFS(Лэндинг!$H$5:$H$300,Лэндинг!$E$5:$E$300,$B29)+SUMIFS(Закрытые!$H$5:$H$300,Закрытые!$E$5:$E$300,$B29,Закрытые!$B$5:$B$300,"L-*"))</f>
        <v/>
      </c>
      <c r="F29" s="240" t="str">
        <f>IF(SUMIFS(Лэндинг!$I$5:$I$300,Лэндинг!$E$5:$E$300,$B29)+SUMIFS(Закрытые!$I$5:$I$300,Закрытые!$E$5:$E$300,$B29,Закрытые!$B$5:$B$300,"L-*")=0,"",SUMIFS(Лэндинг!$I$5:$I$300,Лэндинг!$E$5:$E$300,$B29)+SUMIFS(Закрытые!$I$5:$I$300,Закрытые!$E$5:$E$300,$B29,Закрытые!$B$5:$B$300,"L-*"))</f>
        <v/>
      </c>
      <c r="G29" s="177" t="str">
        <f>IF(F29="","",(SUMPRODUCT((Лэндинг!$E$5:$E$300=$B29)*Лэндинг!$I$5:$I$300*Лэндинг!$J$5:$J$300)+SUMPRODUCT((Закрытые!$E$5:$E$300=$B29)*(LEFT(Закрытые!$B$5:$B$300,2)="L-")*Закрытые!$I$5:$I$300*Закрытые!$J$5:$J$300))/F29)</f>
        <v/>
      </c>
      <c r="H29" s="241" t="str">
        <f>IF(F29="","",SUMIFS(Лэндинг!$K$5:$K$300,Лэндинг!$E$5:$E$300,$B29)+SUMIFS(Закрытые!$K$5:$K$300,Закрытые!$E$5:$E$300,$B29,Закрытые!$B$5:$B$300,"L-*"))</f>
        <v/>
      </c>
      <c r="I29" s="240" t="str">
        <f>IF($B29="","",IF(COUNTIFS(Лэндинг!$E$5:$E$300,$B29)+COUNTIFS(Закрытые!$E$5:$E$300,$B29,Закрытые!$B$5:$B$300,"L-*")=0,"",ROUND(SUMIFS(Лэндинг!$L$5:$L$300,Лэндинг!$E$5:$E$300,$B29)+SUMIFS(Закрытые!$L$5:$L$300,Закрытые!$E$5:$E$300,$B29,Закрытые!$B$5:$B$300,"L-*"),8)))</f>
        <v/>
      </c>
      <c r="J29" s="241" t="str">
        <f>IF($B29="","",IF(COUNTIFS(Лэндинг!$E$5:$E$300,$B29)+COUNTIFS(Закрытые!$E$5:$E$300,$B29,Закрытые!$B$5:$B$300,"L-*")=0,"",ROUND(SUMIFS(Лэндинг!$M$5:$M$300,Лэндинг!$E$5:$E$300,$B29)+SUMIFS(Закрытые!$M$5:$M$300,Закрытые!$E$5:$E$300,$B29,Закрытые!$B$5:$B$300,"L-*"),8)))</f>
        <v/>
      </c>
      <c r="K29" s="240" t="str">
        <f>IF(MIN(N(C29),N(F29))&lt;=0,"",ROUND(MIN(N(C29),N(F29))*(N(G29)-N(D29)),8))</f>
        <v/>
      </c>
      <c r="L29" s="177" t="str">
        <f>IF(MIN(N(C29),N(F29))&lt;=0,"",IF(N(D29)=0,"",ROUND((N(G29)/N(D29)-1)*100,2)))</f>
        <v/>
      </c>
      <c r="M29" s="177" t="str">
        <f>IF(OR(ROUND(N(C29)-N(F29),8)=0,1-N(Ввод!$J$19)/100&lt;=0),"",IF(N(C29)&gt;N(F29),(N(E29)-N(H29))/((N(C29)-N(F29))*(1-N(Ввод!$J$19)/100)),(N(H29)-N(E29))/((N(F29)-N(C29))*(1+N(Ввод!$J$19)/100))))</f>
        <v/>
      </c>
    </row>
    <row r="30" ht="22" customHeight="1">
      <c r="B30" s="245" t="n"/>
      <c r="C30" s="246" t="str">
        <f>IF(SUMIFS(Лэндинг!$F$5:$F$300,Лэндинг!$E$5:$E$300,$B30)+SUMIFS(Закрытые!$F$5:$F$300,Закрытые!$E$5:$E$300,$B30,Закрытые!$B$5:$B$300,"L-*")=0,"",SUMIFS(Лэндинг!$F$5:$F$300,Лэндинг!$E$5:$E$300,$B30)+SUMIFS(Закрытые!$F$5:$F$300,Закрытые!$E$5:$E$300,$B30,Закрытые!$B$5:$B$300,"L-*"))</f>
        <v/>
      </c>
      <c r="D30" s="183" t="str">
        <f>IF(C30="","",(SUMPRODUCT((Лэндинг!$E$5:$E$300=$B30)*Лэндинг!$F$5:$F$300*Лэндинг!$G$5:$G$300)+SUMPRODUCT((Закрытые!$E$5:$E$300=$B30)*(LEFT(Закрытые!$B$5:$B$300,2)="L-")*Закрытые!$F$5:$F$300*Закрытые!$G$5:$G$300))/C30)</f>
        <v/>
      </c>
      <c r="E30" s="247" t="str">
        <f>IF(C30="","",SUMIFS(Лэндинг!$H$5:$H$300,Лэндинг!$E$5:$E$300,$B30)+SUMIFS(Закрытые!$H$5:$H$300,Закрытые!$E$5:$E$300,$B30,Закрытые!$B$5:$B$300,"L-*"))</f>
        <v/>
      </c>
      <c r="F30" s="246" t="str">
        <f>IF(SUMIFS(Лэндинг!$I$5:$I$300,Лэндинг!$E$5:$E$300,$B30)+SUMIFS(Закрытые!$I$5:$I$300,Закрытые!$E$5:$E$300,$B30,Закрытые!$B$5:$B$300,"L-*")=0,"",SUMIFS(Лэндинг!$I$5:$I$300,Лэндинг!$E$5:$E$300,$B30)+SUMIFS(Закрытые!$I$5:$I$300,Закрытые!$E$5:$E$300,$B30,Закрытые!$B$5:$B$300,"L-*"))</f>
        <v/>
      </c>
      <c r="G30" s="183" t="str">
        <f>IF(F30="","",(SUMPRODUCT((Лэндинг!$E$5:$E$300=$B30)*Лэндинг!$I$5:$I$300*Лэндинг!$J$5:$J$300)+SUMPRODUCT((Закрытые!$E$5:$E$300=$B30)*(LEFT(Закрытые!$B$5:$B$300,2)="L-")*Закрытые!$I$5:$I$300*Закрытые!$J$5:$J$300))/F30)</f>
        <v/>
      </c>
      <c r="H30" s="247" t="str">
        <f>IF(F30="","",SUMIFS(Лэндинг!$K$5:$K$300,Лэндинг!$E$5:$E$300,$B30)+SUMIFS(Закрытые!$K$5:$K$300,Закрытые!$E$5:$E$300,$B30,Закрытые!$B$5:$B$300,"L-*"))</f>
        <v/>
      </c>
      <c r="I30" s="246" t="str">
        <f>IF($B30="","",IF(COUNTIFS(Лэндинг!$E$5:$E$300,$B30)+COUNTIFS(Закрытые!$E$5:$E$300,$B30,Закрытые!$B$5:$B$300,"L-*")=0,"",ROUND(SUMIFS(Лэндинг!$L$5:$L$300,Лэндинг!$E$5:$E$300,$B30)+SUMIFS(Закрытые!$L$5:$L$300,Закрытые!$E$5:$E$300,$B30,Закрытые!$B$5:$B$300,"L-*"),8)))</f>
        <v/>
      </c>
      <c r="J30" s="247" t="str">
        <f>IF($B30="","",IF(COUNTIFS(Лэндинг!$E$5:$E$300,$B30)+COUNTIFS(Закрытые!$E$5:$E$300,$B30,Закрытые!$B$5:$B$300,"L-*")=0,"",ROUND(SUMIFS(Лэндинг!$M$5:$M$300,Лэндинг!$E$5:$E$300,$B30)+SUMIFS(Закрытые!$M$5:$M$300,Закрытые!$E$5:$E$300,$B30,Закрытые!$B$5:$B$300,"L-*"),8)))</f>
        <v/>
      </c>
      <c r="K30" s="246" t="str">
        <f>IF(MIN(N(C30),N(F30))&lt;=0,"",ROUND(MIN(N(C30),N(F30))*(N(G30)-N(D30)),8))</f>
        <v/>
      </c>
      <c r="L30" s="183" t="str">
        <f>IF(MIN(N(C30),N(F30))&lt;=0,"",IF(N(D30)=0,"",ROUND((N(G30)/N(D30)-1)*100,2)))</f>
        <v/>
      </c>
      <c r="M30" s="183" t="str">
        <f>IF(OR(ROUND(N(C30)-N(F30),8)=0,1-N(Ввод!$J$19)/100&lt;=0),"",IF(N(C30)&gt;N(F30),(N(E30)-N(H30))/((N(C30)-N(F30))*(1-N(Ввод!$J$19)/100)),(N(H30)-N(E30))/((N(F30)-N(C30))*(1+N(Ввод!$J$19)/100))))</f>
        <v/>
      </c>
    </row>
    <row r="31" ht="22" customHeight="1">
      <c r="B31" s="239" t="n"/>
      <c r="C31" s="240" t="str">
        <f>IF(SUMIFS(Лэндинг!$F$5:$F$300,Лэндинг!$E$5:$E$300,$B31)+SUMIFS(Закрытые!$F$5:$F$300,Закрытые!$E$5:$E$300,$B31,Закрытые!$B$5:$B$300,"L-*")=0,"",SUMIFS(Лэндинг!$F$5:$F$300,Лэндинг!$E$5:$E$300,$B31)+SUMIFS(Закрытые!$F$5:$F$300,Закрытые!$E$5:$E$300,$B31,Закрытые!$B$5:$B$300,"L-*"))</f>
        <v/>
      </c>
      <c r="D31" s="177" t="str">
        <f>IF(C31="","",(SUMPRODUCT((Лэндинг!$E$5:$E$300=$B31)*Лэндинг!$F$5:$F$300*Лэндинг!$G$5:$G$300)+SUMPRODUCT((Закрытые!$E$5:$E$300=$B31)*(LEFT(Закрытые!$B$5:$B$300,2)="L-")*Закрытые!$F$5:$F$300*Закрытые!$G$5:$G$300))/C31)</f>
        <v/>
      </c>
      <c r="E31" s="241" t="str">
        <f>IF(C31="","",SUMIFS(Лэндинг!$H$5:$H$300,Лэндинг!$E$5:$E$300,$B31)+SUMIFS(Закрытые!$H$5:$H$300,Закрытые!$E$5:$E$300,$B31,Закрытые!$B$5:$B$300,"L-*"))</f>
        <v/>
      </c>
      <c r="F31" s="240" t="str">
        <f>IF(SUMIFS(Лэндинг!$I$5:$I$300,Лэндинг!$E$5:$E$300,$B31)+SUMIFS(Закрытые!$I$5:$I$300,Закрытые!$E$5:$E$300,$B31,Закрытые!$B$5:$B$300,"L-*")=0,"",SUMIFS(Лэндинг!$I$5:$I$300,Лэндинг!$E$5:$E$300,$B31)+SUMIFS(Закрытые!$I$5:$I$300,Закрытые!$E$5:$E$300,$B31,Закрытые!$B$5:$B$300,"L-*"))</f>
        <v/>
      </c>
      <c r="G31" s="177" t="str">
        <f>IF(F31="","",(SUMPRODUCT((Лэндинг!$E$5:$E$300=$B31)*Лэндинг!$I$5:$I$300*Лэндинг!$J$5:$J$300)+SUMPRODUCT((Закрытые!$E$5:$E$300=$B31)*(LEFT(Закрытые!$B$5:$B$300,2)="L-")*Закрытые!$I$5:$I$300*Закрытые!$J$5:$J$300))/F31)</f>
        <v/>
      </c>
      <c r="H31" s="241" t="str">
        <f>IF(F31="","",SUMIFS(Лэндинг!$K$5:$K$300,Лэндинг!$E$5:$E$300,$B31)+SUMIFS(Закрытые!$K$5:$K$300,Закрытые!$E$5:$E$300,$B31,Закрытые!$B$5:$B$300,"L-*"))</f>
        <v/>
      </c>
      <c r="I31" s="240" t="str">
        <f>IF($B31="","",IF(COUNTIFS(Лэндинг!$E$5:$E$300,$B31)+COUNTIFS(Закрытые!$E$5:$E$300,$B31,Закрытые!$B$5:$B$300,"L-*")=0,"",ROUND(SUMIFS(Лэндинг!$L$5:$L$300,Лэндинг!$E$5:$E$300,$B31)+SUMIFS(Закрытые!$L$5:$L$300,Закрытые!$E$5:$E$300,$B31,Закрытые!$B$5:$B$300,"L-*"),8)))</f>
        <v/>
      </c>
      <c r="J31" s="241" t="str">
        <f>IF($B31="","",IF(COUNTIFS(Лэндинг!$E$5:$E$300,$B31)+COUNTIFS(Закрытые!$E$5:$E$300,$B31,Закрытые!$B$5:$B$300,"L-*")=0,"",ROUND(SUMIFS(Лэндинг!$M$5:$M$300,Лэндинг!$E$5:$E$300,$B31)+SUMIFS(Закрытые!$M$5:$M$300,Закрытые!$E$5:$E$300,$B31,Закрытые!$B$5:$B$300,"L-*"),8)))</f>
        <v/>
      </c>
      <c r="K31" s="240" t="str">
        <f>IF(MIN(N(C31),N(F31))&lt;=0,"",ROUND(MIN(N(C31),N(F31))*(N(G31)-N(D31)),8))</f>
        <v/>
      </c>
      <c r="L31" s="177" t="str">
        <f>IF(MIN(N(C31),N(F31))&lt;=0,"",IF(N(D31)=0,"",ROUND((N(G31)/N(D31)-1)*100,2)))</f>
        <v/>
      </c>
      <c r="M31" s="177" t="str">
        <f>IF(OR(ROUND(N(C31)-N(F31),8)=0,1-N(Ввод!$J$19)/100&lt;=0),"",IF(N(C31)&gt;N(F31),(N(E31)-N(H31))/((N(C31)-N(F31))*(1-N(Ввод!$J$19)/100)),(N(H31)-N(E31))/((N(F31)-N(C31))*(1+N(Ввод!$J$19)/100))))</f>
        <v/>
      </c>
    </row>
    <row r="32" ht="22" customHeight="1">
      <c r="B32" s="245" t="n"/>
      <c r="C32" s="246" t="str">
        <f>IF(SUMIFS(Лэндинг!$F$5:$F$300,Лэндинг!$E$5:$E$300,$B32)+SUMIFS(Закрытые!$F$5:$F$300,Закрытые!$E$5:$E$300,$B32,Закрытые!$B$5:$B$300,"L-*")=0,"",SUMIFS(Лэндинг!$F$5:$F$300,Лэндинг!$E$5:$E$300,$B32)+SUMIFS(Закрытые!$F$5:$F$300,Закрытые!$E$5:$E$300,$B32,Закрытые!$B$5:$B$300,"L-*"))</f>
        <v/>
      </c>
      <c r="D32" s="183" t="str">
        <f>IF(C32="","",(SUMPRODUCT((Лэндинг!$E$5:$E$300=$B32)*Лэндинг!$F$5:$F$300*Лэндинг!$G$5:$G$300)+SUMPRODUCT((Закрытые!$E$5:$E$300=$B32)*(LEFT(Закрытые!$B$5:$B$300,2)="L-")*Закрытые!$F$5:$F$300*Закрытые!$G$5:$G$300))/C32)</f>
        <v/>
      </c>
      <c r="E32" s="247" t="str">
        <f>IF(C32="","",SUMIFS(Лэндинг!$H$5:$H$300,Лэндинг!$E$5:$E$300,$B32)+SUMIFS(Закрытые!$H$5:$H$300,Закрытые!$E$5:$E$300,$B32,Закрытые!$B$5:$B$300,"L-*"))</f>
        <v/>
      </c>
      <c r="F32" s="246" t="str">
        <f>IF(SUMIFS(Лэндинг!$I$5:$I$300,Лэндинг!$E$5:$E$300,$B32)+SUMIFS(Закрытые!$I$5:$I$300,Закрытые!$E$5:$E$300,$B32,Закрытые!$B$5:$B$300,"L-*")=0,"",SUMIFS(Лэндинг!$I$5:$I$300,Лэндинг!$E$5:$E$300,$B32)+SUMIFS(Закрытые!$I$5:$I$300,Закрытые!$E$5:$E$300,$B32,Закрытые!$B$5:$B$300,"L-*"))</f>
        <v/>
      </c>
      <c r="G32" s="183" t="str">
        <f>IF(F32="","",(SUMPRODUCT((Лэндинг!$E$5:$E$300=$B32)*Лэндинг!$I$5:$I$300*Лэндинг!$J$5:$J$300)+SUMPRODUCT((Закрытые!$E$5:$E$300=$B32)*(LEFT(Закрытые!$B$5:$B$300,2)="L-")*Закрытые!$I$5:$I$300*Закрытые!$J$5:$J$300))/F32)</f>
        <v/>
      </c>
      <c r="H32" s="247" t="str">
        <f>IF(F32="","",SUMIFS(Лэндинг!$K$5:$K$300,Лэндинг!$E$5:$E$300,$B32)+SUMIFS(Закрытые!$K$5:$K$300,Закрытые!$E$5:$E$300,$B32,Закрытые!$B$5:$B$300,"L-*"))</f>
        <v/>
      </c>
      <c r="I32" s="246" t="str">
        <f>IF($B32="","",IF(COUNTIFS(Лэндинг!$E$5:$E$300,$B32)+COUNTIFS(Закрытые!$E$5:$E$300,$B32,Закрытые!$B$5:$B$300,"L-*")=0,"",ROUND(SUMIFS(Лэндинг!$L$5:$L$300,Лэндинг!$E$5:$E$300,$B32)+SUMIFS(Закрытые!$L$5:$L$300,Закрытые!$E$5:$E$300,$B32,Закрытые!$B$5:$B$300,"L-*"),8)))</f>
        <v/>
      </c>
      <c r="J32" s="247" t="str">
        <f>IF($B32="","",IF(COUNTIFS(Лэндинг!$E$5:$E$300,$B32)+COUNTIFS(Закрытые!$E$5:$E$300,$B32,Закрытые!$B$5:$B$300,"L-*")=0,"",ROUND(SUMIFS(Лэндинг!$M$5:$M$300,Лэндинг!$E$5:$E$300,$B32)+SUMIFS(Закрытые!$M$5:$M$300,Закрытые!$E$5:$E$300,$B32,Закрытые!$B$5:$B$300,"L-*"),8)))</f>
        <v/>
      </c>
      <c r="K32" s="246" t="str">
        <f>IF(MIN(N(C32),N(F32))&lt;=0,"",ROUND(MIN(N(C32),N(F32))*(N(G32)-N(D32)),8))</f>
        <v/>
      </c>
      <c r="L32" s="183" t="str">
        <f>IF(MIN(N(C32),N(F32))&lt;=0,"",IF(N(D32)=0,"",ROUND((N(G32)/N(D32)-1)*100,2)))</f>
        <v/>
      </c>
      <c r="M32" s="183" t="str">
        <f>IF(OR(ROUND(N(C32)-N(F32),8)=0,1-N(Ввод!$J$19)/100&lt;=0),"",IF(N(C32)&gt;N(F32),(N(E32)-N(H32))/((N(C32)-N(F32))*(1-N(Ввод!$J$19)/100)),(N(H32)-N(E32))/((N(F32)-N(C32))*(1+N(Ввод!$J$19)/100))))</f>
        <v/>
      </c>
    </row>
    <row r="33" ht="22" customHeight="1">
      <c r="B33" s="239" t="n"/>
      <c r="C33" s="240" t="str">
        <f>IF(SUMIFS(Лэндинг!$F$5:$F$300,Лэндинг!$E$5:$E$300,$B33)+SUMIFS(Закрытые!$F$5:$F$300,Закрытые!$E$5:$E$300,$B33,Закрытые!$B$5:$B$300,"L-*")=0,"",SUMIFS(Лэндинг!$F$5:$F$300,Лэндинг!$E$5:$E$300,$B33)+SUMIFS(Закрытые!$F$5:$F$300,Закрытые!$E$5:$E$300,$B33,Закрытые!$B$5:$B$300,"L-*"))</f>
        <v/>
      </c>
      <c r="D33" s="177" t="str">
        <f>IF(C33="","",(SUMPRODUCT((Лэндинг!$E$5:$E$300=$B33)*Лэндинг!$F$5:$F$300*Лэндинг!$G$5:$G$300)+SUMPRODUCT((Закрытые!$E$5:$E$300=$B33)*(LEFT(Закрытые!$B$5:$B$300,2)="L-")*Закрытые!$F$5:$F$300*Закрытые!$G$5:$G$300))/C33)</f>
        <v/>
      </c>
      <c r="E33" s="241" t="str">
        <f>IF(C33="","",SUMIFS(Лэндинг!$H$5:$H$300,Лэндинг!$E$5:$E$300,$B33)+SUMIFS(Закрытые!$H$5:$H$300,Закрытые!$E$5:$E$300,$B33,Закрытые!$B$5:$B$300,"L-*"))</f>
        <v/>
      </c>
      <c r="F33" s="240" t="str">
        <f>IF(SUMIFS(Лэндинг!$I$5:$I$300,Лэндинг!$E$5:$E$300,$B33)+SUMIFS(Закрытые!$I$5:$I$300,Закрытые!$E$5:$E$300,$B33,Закрытые!$B$5:$B$300,"L-*")=0,"",SUMIFS(Лэндинг!$I$5:$I$300,Лэндинг!$E$5:$E$300,$B33)+SUMIFS(Закрытые!$I$5:$I$300,Закрытые!$E$5:$E$300,$B33,Закрытые!$B$5:$B$300,"L-*"))</f>
        <v/>
      </c>
      <c r="G33" s="177" t="str">
        <f>IF(F33="","",(SUMPRODUCT((Лэндинг!$E$5:$E$300=$B33)*Лэндинг!$I$5:$I$300*Лэндинг!$J$5:$J$300)+SUMPRODUCT((Закрытые!$E$5:$E$300=$B33)*(LEFT(Закрытые!$B$5:$B$300,2)="L-")*Закрытые!$I$5:$I$300*Закрытые!$J$5:$J$300))/F33)</f>
        <v/>
      </c>
      <c r="H33" s="241" t="str">
        <f>IF(F33="","",SUMIFS(Лэндинг!$K$5:$K$300,Лэндинг!$E$5:$E$300,$B33)+SUMIFS(Закрытые!$K$5:$K$300,Закрытые!$E$5:$E$300,$B33,Закрытые!$B$5:$B$300,"L-*"))</f>
        <v/>
      </c>
      <c r="I33" s="240" t="str">
        <f>IF($B33="","",IF(COUNTIFS(Лэндинг!$E$5:$E$300,$B33)+COUNTIFS(Закрытые!$E$5:$E$300,$B33,Закрытые!$B$5:$B$300,"L-*")=0,"",ROUND(SUMIFS(Лэндинг!$L$5:$L$300,Лэндинг!$E$5:$E$300,$B33)+SUMIFS(Закрытые!$L$5:$L$300,Закрытые!$E$5:$E$300,$B33,Закрытые!$B$5:$B$300,"L-*"),8)))</f>
        <v/>
      </c>
      <c r="J33" s="241" t="str">
        <f>IF($B33="","",IF(COUNTIFS(Лэндинг!$E$5:$E$300,$B33)+COUNTIFS(Закрытые!$E$5:$E$300,$B33,Закрытые!$B$5:$B$300,"L-*")=0,"",ROUND(SUMIFS(Лэндинг!$M$5:$M$300,Лэндинг!$E$5:$E$300,$B33)+SUMIFS(Закрытые!$M$5:$M$300,Закрытые!$E$5:$E$300,$B33,Закрытые!$B$5:$B$300,"L-*"),8)))</f>
        <v/>
      </c>
      <c r="K33" s="240" t="str">
        <f>IF(MIN(N(C33),N(F33))&lt;=0,"",ROUND(MIN(N(C33),N(F33))*(N(G33)-N(D33)),8))</f>
        <v/>
      </c>
      <c r="L33" s="177" t="str">
        <f>IF(MIN(N(C33),N(F33))&lt;=0,"",IF(N(D33)=0,"",ROUND((N(G33)/N(D33)-1)*100,2)))</f>
        <v/>
      </c>
      <c r="M33" s="177" t="str">
        <f>IF(OR(ROUND(N(C33)-N(F33),8)=0,1-N(Ввод!$J$19)/100&lt;=0),"",IF(N(C33)&gt;N(F33),(N(E33)-N(H33))/((N(C33)-N(F33))*(1-N(Ввод!$J$19)/100)),(N(H33)-N(E33))/((N(F33)-N(C33))*(1+N(Ввод!$J$19)/100))))</f>
        <v/>
      </c>
    </row>
    <row r="34" ht="22" customHeight="1">
      <c r="B34" s="245" t="n"/>
      <c r="C34" s="246" t="str">
        <f>IF(SUMIFS(Лэндинг!$F$5:$F$300,Лэндинг!$E$5:$E$300,$B34)+SUMIFS(Закрытые!$F$5:$F$300,Закрытые!$E$5:$E$300,$B34,Закрытые!$B$5:$B$300,"L-*")=0,"",SUMIFS(Лэндинг!$F$5:$F$300,Лэндинг!$E$5:$E$300,$B34)+SUMIFS(Закрытые!$F$5:$F$300,Закрытые!$E$5:$E$300,$B34,Закрытые!$B$5:$B$300,"L-*"))</f>
        <v/>
      </c>
      <c r="D34" s="183" t="str">
        <f>IF(C34="","",(SUMPRODUCT((Лэндинг!$E$5:$E$300=$B34)*Лэндинг!$F$5:$F$300*Лэндинг!$G$5:$G$300)+SUMPRODUCT((Закрытые!$E$5:$E$300=$B34)*(LEFT(Закрытые!$B$5:$B$300,2)="L-")*Закрытые!$F$5:$F$300*Закрытые!$G$5:$G$300))/C34)</f>
        <v/>
      </c>
      <c r="E34" s="247" t="str">
        <f>IF(C34="","",SUMIFS(Лэндинг!$H$5:$H$300,Лэндинг!$E$5:$E$300,$B34)+SUMIFS(Закрытые!$H$5:$H$300,Закрытые!$E$5:$E$300,$B34,Закрытые!$B$5:$B$300,"L-*"))</f>
        <v/>
      </c>
      <c r="F34" s="246" t="str">
        <f>IF(SUMIFS(Лэндинг!$I$5:$I$300,Лэндинг!$E$5:$E$300,$B34)+SUMIFS(Закрытые!$I$5:$I$300,Закрытые!$E$5:$E$300,$B34,Закрытые!$B$5:$B$300,"L-*")=0,"",SUMIFS(Лэндинг!$I$5:$I$300,Лэндинг!$E$5:$E$300,$B34)+SUMIFS(Закрытые!$I$5:$I$300,Закрытые!$E$5:$E$300,$B34,Закрытые!$B$5:$B$300,"L-*"))</f>
        <v/>
      </c>
      <c r="G34" s="183" t="str">
        <f>IF(F34="","",(SUMPRODUCT((Лэндинг!$E$5:$E$300=$B34)*Лэндинг!$I$5:$I$300*Лэндинг!$J$5:$J$300)+SUMPRODUCT((Закрытые!$E$5:$E$300=$B34)*(LEFT(Закрытые!$B$5:$B$300,2)="L-")*Закрытые!$I$5:$I$300*Закрытые!$J$5:$J$300))/F34)</f>
        <v/>
      </c>
      <c r="H34" s="247" t="str">
        <f>IF(F34="","",SUMIFS(Лэндинг!$K$5:$K$300,Лэндинг!$E$5:$E$300,$B34)+SUMIFS(Закрытые!$K$5:$K$300,Закрытые!$E$5:$E$300,$B34,Закрытые!$B$5:$B$300,"L-*"))</f>
        <v/>
      </c>
      <c r="I34" s="246" t="str">
        <f>IF($B34="","",IF(COUNTIFS(Лэндинг!$E$5:$E$300,$B34)+COUNTIFS(Закрытые!$E$5:$E$300,$B34,Закрытые!$B$5:$B$300,"L-*")=0,"",ROUND(SUMIFS(Лэндинг!$L$5:$L$300,Лэндинг!$E$5:$E$300,$B34)+SUMIFS(Закрытые!$L$5:$L$300,Закрытые!$E$5:$E$300,$B34,Закрытые!$B$5:$B$300,"L-*"),8)))</f>
        <v/>
      </c>
      <c r="J34" s="247" t="str">
        <f>IF($B34="","",IF(COUNTIFS(Лэндинг!$E$5:$E$300,$B34)+COUNTIFS(Закрытые!$E$5:$E$300,$B34,Закрытые!$B$5:$B$300,"L-*")=0,"",ROUND(SUMIFS(Лэндинг!$M$5:$M$300,Лэндинг!$E$5:$E$300,$B34)+SUMIFS(Закрытые!$M$5:$M$300,Закрытые!$E$5:$E$300,$B34,Закрытые!$B$5:$B$300,"L-*"),8)))</f>
        <v/>
      </c>
      <c r="K34" s="246" t="str">
        <f>IF(MIN(N(C34),N(F34))&lt;=0,"",ROUND(MIN(N(C34),N(F34))*(N(G34)-N(D34)),8))</f>
        <v/>
      </c>
      <c r="L34" s="183" t="str">
        <f>IF(MIN(N(C34),N(F34))&lt;=0,"",IF(N(D34)=0,"",ROUND((N(G34)/N(D34)-1)*100,2)))</f>
        <v/>
      </c>
      <c r="M34" s="183" t="str">
        <f>IF(OR(ROUND(N(C34)-N(F34),8)=0,1-N(Ввод!$J$19)/100&lt;=0),"",IF(N(C34)&gt;N(F34),(N(E34)-N(H34))/((N(C34)-N(F34))*(1-N(Ввод!$J$19)/100)),(N(H34)-N(E34))/((N(F34)-N(C34))*(1+N(Ввод!$J$19)/100))))</f>
        <v/>
      </c>
    </row>
    <row r="35" ht="22" customHeight="1">
      <c r="B35" s="239" t="n"/>
      <c r="C35" s="240" t="str">
        <f>IF(SUMIFS(Лэндинг!$F$5:$F$300,Лэндинг!$E$5:$E$300,$B35)+SUMIFS(Закрытые!$F$5:$F$300,Закрытые!$E$5:$E$300,$B35,Закрытые!$B$5:$B$300,"L-*")=0,"",SUMIFS(Лэндинг!$F$5:$F$300,Лэндинг!$E$5:$E$300,$B35)+SUMIFS(Закрытые!$F$5:$F$300,Закрытые!$E$5:$E$300,$B35,Закрытые!$B$5:$B$300,"L-*"))</f>
        <v/>
      </c>
      <c r="D35" s="177" t="str">
        <f>IF(C35="","",(SUMPRODUCT((Лэндинг!$E$5:$E$300=$B35)*Лэндинг!$F$5:$F$300*Лэндинг!$G$5:$G$300)+SUMPRODUCT((Закрытые!$E$5:$E$300=$B35)*(LEFT(Закрытые!$B$5:$B$300,2)="L-")*Закрытые!$F$5:$F$300*Закрытые!$G$5:$G$300))/C35)</f>
        <v/>
      </c>
      <c r="E35" s="241" t="str">
        <f>IF(C35="","",SUMIFS(Лэндинг!$H$5:$H$300,Лэндинг!$E$5:$E$300,$B35)+SUMIFS(Закрытые!$H$5:$H$300,Закрытые!$E$5:$E$300,$B35,Закрытые!$B$5:$B$300,"L-*"))</f>
        <v/>
      </c>
      <c r="F35" s="240" t="str">
        <f>IF(SUMIFS(Лэндинг!$I$5:$I$300,Лэндинг!$E$5:$E$300,$B35)+SUMIFS(Закрытые!$I$5:$I$300,Закрытые!$E$5:$E$300,$B35,Закрытые!$B$5:$B$300,"L-*")=0,"",SUMIFS(Лэндинг!$I$5:$I$300,Лэндинг!$E$5:$E$300,$B35)+SUMIFS(Закрытые!$I$5:$I$300,Закрытые!$E$5:$E$300,$B35,Закрытые!$B$5:$B$300,"L-*"))</f>
        <v/>
      </c>
      <c r="G35" s="177" t="str">
        <f>IF(F35="","",(SUMPRODUCT((Лэндинг!$E$5:$E$300=$B35)*Лэндинг!$I$5:$I$300*Лэндинг!$J$5:$J$300)+SUMPRODUCT((Закрытые!$E$5:$E$300=$B35)*(LEFT(Закрытые!$B$5:$B$300,2)="L-")*Закрытые!$I$5:$I$300*Закрытые!$J$5:$J$300))/F35)</f>
        <v/>
      </c>
      <c r="H35" s="241" t="str">
        <f>IF(F35="","",SUMIFS(Лэндинг!$K$5:$K$300,Лэндинг!$E$5:$E$300,$B35)+SUMIFS(Закрытые!$K$5:$K$300,Закрытые!$E$5:$E$300,$B35,Закрытые!$B$5:$B$300,"L-*"))</f>
        <v/>
      </c>
      <c r="I35" s="240" t="str">
        <f>IF($B35="","",IF(COUNTIFS(Лэндинг!$E$5:$E$300,$B35)+COUNTIFS(Закрытые!$E$5:$E$300,$B35,Закрытые!$B$5:$B$300,"L-*")=0,"",ROUND(SUMIFS(Лэндинг!$L$5:$L$300,Лэндинг!$E$5:$E$300,$B35)+SUMIFS(Закрытые!$L$5:$L$300,Закрытые!$E$5:$E$300,$B35,Закрытые!$B$5:$B$300,"L-*"),8)))</f>
        <v/>
      </c>
      <c r="J35" s="241" t="str">
        <f>IF($B35="","",IF(COUNTIFS(Лэндинг!$E$5:$E$300,$B35)+COUNTIFS(Закрытые!$E$5:$E$300,$B35,Закрытые!$B$5:$B$300,"L-*")=0,"",ROUND(SUMIFS(Лэндинг!$M$5:$M$300,Лэндинг!$E$5:$E$300,$B35)+SUMIFS(Закрытые!$M$5:$M$300,Закрытые!$E$5:$E$300,$B35,Закрытые!$B$5:$B$300,"L-*"),8)))</f>
        <v/>
      </c>
      <c r="K35" s="240" t="str">
        <f>IF(MIN(N(C35),N(F35))&lt;=0,"",ROUND(MIN(N(C35),N(F35))*(N(G35)-N(D35)),8))</f>
        <v/>
      </c>
      <c r="L35" s="177" t="str">
        <f>IF(MIN(N(C35),N(F35))&lt;=0,"",IF(N(D35)=0,"",ROUND((N(G35)/N(D35)-1)*100,2)))</f>
        <v/>
      </c>
      <c r="M35" s="177" t="str">
        <f>IF(OR(ROUND(N(C35)-N(F35),8)=0,1-N(Ввод!$J$19)/100&lt;=0),"",IF(N(C35)&gt;N(F35),(N(E35)-N(H35))/((N(C35)-N(F35))*(1-N(Ввод!$J$19)/100)),(N(H35)-N(E35))/((N(F35)-N(C35))*(1+N(Ввод!$J$19)/100))))</f>
        <v/>
      </c>
    </row>
    <row r="36" ht="22" customHeight="1">
      <c r="B36" s="245" t="n"/>
      <c r="C36" s="246" t="str">
        <f>IF(SUMIFS(Лэндинг!$F$5:$F$300,Лэндинг!$E$5:$E$300,$B36)+SUMIFS(Закрытые!$F$5:$F$300,Закрытые!$E$5:$E$300,$B36,Закрытые!$B$5:$B$300,"L-*")=0,"",SUMIFS(Лэндинг!$F$5:$F$300,Лэндинг!$E$5:$E$300,$B36)+SUMIFS(Закрытые!$F$5:$F$300,Закрытые!$E$5:$E$300,$B36,Закрытые!$B$5:$B$300,"L-*"))</f>
        <v/>
      </c>
      <c r="D36" s="183" t="str">
        <f>IF(C36="","",(SUMPRODUCT((Лэндинг!$E$5:$E$300=$B36)*Лэндинг!$F$5:$F$300*Лэндинг!$G$5:$G$300)+SUMPRODUCT((Закрытые!$E$5:$E$300=$B36)*(LEFT(Закрытые!$B$5:$B$300,2)="L-")*Закрытые!$F$5:$F$300*Закрытые!$G$5:$G$300))/C36)</f>
        <v/>
      </c>
      <c r="E36" s="247" t="str">
        <f>IF(C36="","",SUMIFS(Лэндинг!$H$5:$H$300,Лэндинг!$E$5:$E$300,$B36)+SUMIFS(Закрытые!$H$5:$H$300,Закрытые!$E$5:$E$300,$B36,Закрытые!$B$5:$B$300,"L-*"))</f>
        <v/>
      </c>
      <c r="F36" s="246" t="str">
        <f>IF(SUMIFS(Лэндинг!$I$5:$I$300,Лэндинг!$E$5:$E$300,$B36)+SUMIFS(Закрытые!$I$5:$I$300,Закрытые!$E$5:$E$300,$B36,Закрытые!$B$5:$B$300,"L-*")=0,"",SUMIFS(Лэндинг!$I$5:$I$300,Лэндинг!$E$5:$E$300,$B36)+SUMIFS(Закрытые!$I$5:$I$300,Закрытые!$E$5:$E$300,$B36,Закрытые!$B$5:$B$300,"L-*"))</f>
        <v/>
      </c>
      <c r="G36" s="183" t="str">
        <f>IF(F36="","",(SUMPRODUCT((Лэндинг!$E$5:$E$300=$B36)*Лэндинг!$I$5:$I$300*Лэндинг!$J$5:$J$300)+SUMPRODUCT((Закрытые!$E$5:$E$300=$B36)*(LEFT(Закрытые!$B$5:$B$300,2)="L-")*Закрытые!$I$5:$I$300*Закрытые!$J$5:$J$300))/F36)</f>
        <v/>
      </c>
      <c r="H36" s="247" t="str">
        <f>IF(F36="","",SUMIFS(Лэндинг!$K$5:$K$300,Лэндинг!$E$5:$E$300,$B36)+SUMIFS(Закрытые!$K$5:$K$300,Закрытые!$E$5:$E$300,$B36,Закрытые!$B$5:$B$300,"L-*"))</f>
        <v/>
      </c>
      <c r="I36" s="246" t="str">
        <f>IF($B36="","",IF(COUNTIFS(Лэндинг!$E$5:$E$300,$B36)+COUNTIFS(Закрытые!$E$5:$E$300,$B36,Закрытые!$B$5:$B$300,"L-*")=0,"",ROUND(SUMIFS(Лэндинг!$L$5:$L$300,Лэндинг!$E$5:$E$300,$B36)+SUMIFS(Закрытые!$L$5:$L$300,Закрытые!$E$5:$E$300,$B36,Закрытые!$B$5:$B$300,"L-*"),8)))</f>
        <v/>
      </c>
      <c r="J36" s="247" t="str">
        <f>IF($B36="","",IF(COUNTIFS(Лэндинг!$E$5:$E$300,$B36)+COUNTIFS(Закрытые!$E$5:$E$300,$B36,Закрытые!$B$5:$B$300,"L-*")=0,"",ROUND(SUMIFS(Лэндинг!$M$5:$M$300,Лэндинг!$E$5:$E$300,$B36)+SUMIFS(Закрытые!$M$5:$M$300,Закрытые!$E$5:$E$300,$B36,Закрытые!$B$5:$B$300,"L-*"),8)))</f>
        <v/>
      </c>
      <c r="K36" s="246" t="str">
        <f>IF(MIN(N(C36),N(F36))&lt;=0,"",ROUND(MIN(N(C36),N(F36))*(N(G36)-N(D36)),8))</f>
        <v/>
      </c>
      <c r="L36" s="183" t="str">
        <f>IF(MIN(N(C36),N(F36))&lt;=0,"",IF(N(D36)=0,"",ROUND((N(G36)/N(D36)-1)*100,2)))</f>
        <v/>
      </c>
      <c r="M36" s="183" t="str">
        <f>IF(OR(ROUND(N(C36)-N(F36),8)=0,1-N(Ввод!$J$19)/100&lt;=0),"",IF(N(C36)&gt;N(F36),(N(E36)-N(H36))/((N(C36)-N(F36))*(1-N(Ввод!$J$19)/100)),(N(H36)-N(E36))/((N(F36)-N(C36))*(1+N(Ввод!$J$19)/100))))</f>
        <v/>
      </c>
    </row>
    <row r="37" ht="22" customHeight="1">
      <c r="B37" s="239" t="n"/>
      <c r="C37" s="240" t="str">
        <f>IF(SUMIFS(Лэндинг!$F$5:$F$300,Лэндинг!$E$5:$E$300,$B37)+SUMIFS(Закрытые!$F$5:$F$300,Закрытые!$E$5:$E$300,$B37,Закрытые!$B$5:$B$300,"L-*")=0,"",SUMIFS(Лэндинг!$F$5:$F$300,Лэндинг!$E$5:$E$300,$B37)+SUMIFS(Закрытые!$F$5:$F$300,Закрытые!$E$5:$E$300,$B37,Закрытые!$B$5:$B$300,"L-*"))</f>
        <v/>
      </c>
      <c r="D37" s="177" t="str">
        <f>IF(C37="","",(SUMPRODUCT((Лэндинг!$E$5:$E$300=$B37)*Лэндинг!$F$5:$F$300*Лэндинг!$G$5:$G$300)+SUMPRODUCT((Закрытые!$E$5:$E$300=$B37)*(LEFT(Закрытые!$B$5:$B$300,2)="L-")*Закрытые!$F$5:$F$300*Закрытые!$G$5:$G$300))/C37)</f>
        <v/>
      </c>
      <c r="E37" s="241" t="str">
        <f>IF(C37="","",SUMIFS(Лэндинг!$H$5:$H$300,Лэндинг!$E$5:$E$300,$B37)+SUMIFS(Закрытые!$H$5:$H$300,Закрытые!$E$5:$E$300,$B37,Закрытые!$B$5:$B$300,"L-*"))</f>
        <v/>
      </c>
      <c r="F37" s="240" t="str">
        <f>IF(SUMIFS(Лэндинг!$I$5:$I$300,Лэндинг!$E$5:$E$300,$B37)+SUMIFS(Закрытые!$I$5:$I$300,Закрытые!$E$5:$E$300,$B37,Закрытые!$B$5:$B$300,"L-*")=0,"",SUMIFS(Лэндинг!$I$5:$I$300,Лэндинг!$E$5:$E$300,$B37)+SUMIFS(Закрытые!$I$5:$I$300,Закрытые!$E$5:$E$300,$B37,Закрытые!$B$5:$B$300,"L-*"))</f>
        <v/>
      </c>
      <c r="G37" s="177" t="str">
        <f>IF(F37="","",(SUMPRODUCT((Лэндинг!$E$5:$E$300=$B37)*Лэндинг!$I$5:$I$300*Лэндинг!$J$5:$J$300)+SUMPRODUCT((Закрытые!$E$5:$E$300=$B37)*(LEFT(Закрытые!$B$5:$B$300,2)="L-")*Закрытые!$I$5:$I$300*Закрытые!$J$5:$J$300))/F37)</f>
        <v/>
      </c>
      <c r="H37" s="241" t="str">
        <f>IF(F37="","",SUMIFS(Лэндинг!$K$5:$K$300,Лэндинг!$E$5:$E$300,$B37)+SUMIFS(Закрытые!$K$5:$K$300,Закрытые!$E$5:$E$300,$B37,Закрытые!$B$5:$B$300,"L-*"))</f>
        <v/>
      </c>
      <c r="I37" s="240" t="str">
        <f>IF($B37="","",IF(COUNTIFS(Лэндинг!$E$5:$E$300,$B37)+COUNTIFS(Закрытые!$E$5:$E$300,$B37,Закрытые!$B$5:$B$300,"L-*")=0,"",ROUND(SUMIFS(Лэндинг!$L$5:$L$300,Лэндинг!$E$5:$E$300,$B37)+SUMIFS(Закрытые!$L$5:$L$300,Закрытые!$E$5:$E$300,$B37,Закрытые!$B$5:$B$300,"L-*"),8)))</f>
        <v/>
      </c>
      <c r="J37" s="241" t="str">
        <f>IF($B37="","",IF(COUNTIFS(Лэндинг!$E$5:$E$300,$B37)+COUNTIFS(Закрытые!$E$5:$E$300,$B37,Закрытые!$B$5:$B$300,"L-*")=0,"",ROUND(SUMIFS(Лэндинг!$M$5:$M$300,Лэндинг!$E$5:$E$300,$B37)+SUMIFS(Закрытые!$M$5:$M$300,Закрытые!$E$5:$E$300,$B37,Закрытые!$B$5:$B$300,"L-*"),8)))</f>
        <v/>
      </c>
      <c r="K37" s="240" t="str">
        <f>IF(MIN(N(C37),N(F37))&lt;=0,"",ROUND(MIN(N(C37),N(F37))*(N(G37)-N(D37)),8))</f>
        <v/>
      </c>
      <c r="L37" s="177" t="str">
        <f>IF(MIN(N(C37),N(F37))&lt;=0,"",IF(N(D37)=0,"",ROUND((N(G37)/N(D37)-1)*100,2)))</f>
        <v/>
      </c>
      <c r="M37" s="177" t="str">
        <f>IF(OR(ROUND(N(C37)-N(F37),8)=0,1-N(Ввод!$J$19)/100&lt;=0),"",IF(N(C37)&gt;N(F37),(N(E37)-N(H37))/((N(C37)-N(F37))*(1-N(Ввод!$J$19)/100)),(N(H37)-N(E37))/((N(F37)-N(C37))*(1+N(Ввод!$J$19)/100))))</f>
        <v/>
      </c>
    </row>
    <row r="38" ht="22" customHeight="1">
      <c r="B38" s="245" t="n"/>
      <c r="C38" s="246" t="str">
        <f>IF(SUMIFS(Лэндинг!$F$5:$F$300,Лэндинг!$E$5:$E$300,$B38)+SUMIFS(Закрытые!$F$5:$F$300,Закрытые!$E$5:$E$300,$B38,Закрытые!$B$5:$B$300,"L-*")=0,"",SUMIFS(Лэндинг!$F$5:$F$300,Лэндинг!$E$5:$E$300,$B38)+SUMIFS(Закрытые!$F$5:$F$300,Закрытые!$E$5:$E$300,$B38,Закрытые!$B$5:$B$300,"L-*"))</f>
        <v/>
      </c>
      <c r="D38" s="183" t="str">
        <f>IF(C38="","",(SUMPRODUCT((Лэндинг!$E$5:$E$300=$B38)*Лэндинг!$F$5:$F$300*Лэндинг!$G$5:$G$300)+SUMPRODUCT((Закрытые!$E$5:$E$300=$B38)*(LEFT(Закрытые!$B$5:$B$300,2)="L-")*Закрытые!$F$5:$F$300*Закрытые!$G$5:$G$300))/C38)</f>
        <v/>
      </c>
      <c r="E38" s="247" t="str">
        <f>IF(C38="","",SUMIFS(Лэндинг!$H$5:$H$300,Лэндинг!$E$5:$E$300,$B38)+SUMIFS(Закрытые!$H$5:$H$300,Закрытые!$E$5:$E$300,$B38,Закрытые!$B$5:$B$300,"L-*"))</f>
        <v/>
      </c>
      <c r="F38" s="246" t="str">
        <f>IF(SUMIFS(Лэндинг!$I$5:$I$300,Лэндинг!$E$5:$E$300,$B38)+SUMIFS(Закрытые!$I$5:$I$300,Закрытые!$E$5:$E$300,$B38,Закрытые!$B$5:$B$300,"L-*")=0,"",SUMIFS(Лэндинг!$I$5:$I$300,Лэндинг!$E$5:$E$300,$B38)+SUMIFS(Закрытые!$I$5:$I$300,Закрытые!$E$5:$E$300,$B38,Закрытые!$B$5:$B$300,"L-*"))</f>
        <v/>
      </c>
      <c r="G38" s="183" t="str">
        <f>IF(F38="","",(SUMPRODUCT((Лэндинг!$E$5:$E$300=$B38)*Лэндинг!$I$5:$I$300*Лэндинг!$J$5:$J$300)+SUMPRODUCT((Закрытые!$E$5:$E$300=$B38)*(LEFT(Закрытые!$B$5:$B$300,2)="L-")*Закрытые!$I$5:$I$300*Закрытые!$J$5:$J$300))/F38)</f>
        <v/>
      </c>
      <c r="H38" s="247" t="str">
        <f>IF(F38="","",SUMIFS(Лэндинг!$K$5:$K$300,Лэндинг!$E$5:$E$300,$B38)+SUMIFS(Закрытые!$K$5:$K$300,Закрытые!$E$5:$E$300,$B38,Закрытые!$B$5:$B$300,"L-*"))</f>
        <v/>
      </c>
      <c r="I38" s="246" t="str">
        <f>IF($B38="","",IF(COUNTIFS(Лэндинг!$E$5:$E$300,$B38)+COUNTIFS(Закрытые!$E$5:$E$300,$B38,Закрытые!$B$5:$B$300,"L-*")=0,"",ROUND(SUMIFS(Лэндинг!$L$5:$L$300,Лэндинг!$E$5:$E$300,$B38)+SUMIFS(Закрытые!$L$5:$L$300,Закрытые!$E$5:$E$300,$B38,Закрытые!$B$5:$B$300,"L-*"),8)))</f>
        <v/>
      </c>
      <c r="J38" s="247" t="str">
        <f>IF($B38="","",IF(COUNTIFS(Лэндинг!$E$5:$E$300,$B38)+COUNTIFS(Закрытые!$E$5:$E$300,$B38,Закрытые!$B$5:$B$300,"L-*")=0,"",ROUND(SUMIFS(Лэндинг!$M$5:$M$300,Лэндинг!$E$5:$E$300,$B38)+SUMIFS(Закрытые!$M$5:$M$300,Закрытые!$E$5:$E$300,$B38,Закрытые!$B$5:$B$300,"L-*"),8)))</f>
        <v/>
      </c>
      <c r="K38" s="246" t="str">
        <f>IF(MIN(N(C38),N(F38))&lt;=0,"",ROUND(MIN(N(C38),N(F38))*(N(G38)-N(D38)),8))</f>
        <v/>
      </c>
      <c r="L38" s="183" t="str">
        <f>IF(MIN(N(C38),N(F38))&lt;=0,"",IF(N(D38)=0,"",ROUND((N(G38)/N(D38)-1)*100,2)))</f>
        <v/>
      </c>
      <c r="M38" s="183" t="str">
        <f>IF(OR(ROUND(N(C38)-N(F38),8)=0,1-N(Ввод!$J$19)/100&lt;=0),"",IF(N(C38)&gt;N(F38),(N(E38)-N(H38))/((N(C38)-N(F38))*(1-N(Ввод!$J$19)/100)),(N(H38)-N(E38))/((N(F38)-N(C38))*(1+N(Ввод!$J$19)/100))))</f>
        <v/>
      </c>
    </row>
    <row r="39" ht="22" customHeight="1">
      <c r="B39" s="239" t="n"/>
      <c r="C39" s="240" t="str">
        <f>IF(SUMIFS(Лэндинг!$F$5:$F$300,Лэндинг!$E$5:$E$300,$B39)+SUMIFS(Закрытые!$F$5:$F$300,Закрытые!$E$5:$E$300,$B39,Закрытые!$B$5:$B$300,"L-*")=0,"",SUMIFS(Лэндинг!$F$5:$F$300,Лэндинг!$E$5:$E$300,$B39)+SUMIFS(Закрытые!$F$5:$F$300,Закрытые!$E$5:$E$300,$B39,Закрытые!$B$5:$B$300,"L-*"))</f>
        <v/>
      </c>
      <c r="D39" s="177" t="str">
        <f>IF(C39="","",(SUMPRODUCT((Лэндинг!$E$5:$E$300=$B39)*Лэндинг!$F$5:$F$300*Лэндинг!$G$5:$G$300)+SUMPRODUCT((Закрытые!$E$5:$E$300=$B39)*(LEFT(Закрытые!$B$5:$B$300,2)="L-")*Закрытые!$F$5:$F$300*Закрытые!$G$5:$G$300))/C39)</f>
        <v/>
      </c>
      <c r="E39" s="241" t="str">
        <f>IF(C39="","",SUMIFS(Лэндинг!$H$5:$H$300,Лэндинг!$E$5:$E$300,$B39)+SUMIFS(Закрытые!$H$5:$H$300,Закрытые!$E$5:$E$300,$B39,Закрытые!$B$5:$B$300,"L-*"))</f>
        <v/>
      </c>
      <c r="F39" s="240" t="str">
        <f>IF(SUMIFS(Лэндинг!$I$5:$I$300,Лэндинг!$E$5:$E$300,$B39)+SUMIFS(Закрытые!$I$5:$I$300,Закрытые!$E$5:$E$300,$B39,Закрытые!$B$5:$B$300,"L-*")=0,"",SUMIFS(Лэндинг!$I$5:$I$300,Лэндинг!$E$5:$E$300,$B39)+SUMIFS(Закрытые!$I$5:$I$300,Закрытые!$E$5:$E$300,$B39,Закрытые!$B$5:$B$300,"L-*"))</f>
        <v/>
      </c>
      <c r="G39" s="177" t="str">
        <f>IF(F39="","",(SUMPRODUCT((Лэндинг!$E$5:$E$300=$B39)*Лэндинг!$I$5:$I$300*Лэндинг!$J$5:$J$300)+SUMPRODUCT((Закрытые!$E$5:$E$300=$B39)*(LEFT(Закрытые!$B$5:$B$300,2)="L-")*Закрытые!$I$5:$I$300*Закрытые!$J$5:$J$300))/F39)</f>
        <v/>
      </c>
      <c r="H39" s="241" t="str">
        <f>IF(F39="","",SUMIFS(Лэндинг!$K$5:$K$300,Лэндинг!$E$5:$E$300,$B39)+SUMIFS(Закрытые!$K$5:$K$300,Закрытые!$E$5:$E$300,$B39,Закрытые!$B$5:$B$300,"L-*"))</f>
        <v/>
      </c>
      <c r="I39" s="240" t="str">
        <f>IF($B39="","",IF(COUNTIFS(Лэндинг!$E$5:$E$300,$B39)+COUNTIFS(Закрытые!$E$5:$E$300,$B39,Закрытые!$B$5:$B$300,"L-*")=0,"",ROUND(SUMIFS(Лэндинг!$L$5:$L$300,Лэндинг!$E$5:$E$300,$B39)+SUMIFS(Закрытые!$L$5:$L$300,Закрытые!$E$5:$E$300,$B39,Закрытые!$B$5:$B$300,"L-*"),8)))</f>
        <v/>
      </c>
      <c r="J39" s="241" t="str">
        <f>IF($B39="","",IF(COUNTIFS(Лэндинг!$E$5:$E$300,$B39)+COUNTIFS(Закрытые!$E$5:$E$300,$B39,Закрытые!$B$5:$B$300,"L-*")=0,"",ROUND(SUMIFS(Лэндинг!$M$5:$M$300,Лэндинг!$E$5:$E$300,$B39)+SUMIFS(Закрытые!$M$5:$M$300,Закрытые!$E$5:$E$300,$B39,Закрытые!$B$5:$B$300,"L-*"),8)))</f>
        <v/>
      </c>
      <c r="K39" s="240" t="str">
        <f>IF(MIN(N(C39),N(F39))&lt;=0,"",ROUND(MIN(N(C39),N(F39))*(N(G39)-N(D39)),8))</f>
        <v/>
      </c>
      <c r="L39" s="177" t="str">
        <f>IF(MIN(N(C39),N(F39))&lt;=0,"",IF(N(D39)=0,"",ROUND((N(G39)/N(D39)-1)*100,2)))</f>
        <v/>
      </c>
      <c r="M39" s="177" t="str">
        <f>IF(OR(ROUND(N(C39)-N(F39),8)=0,1-N(Ввод!$J$19)/100&lt;=0),"",IF(N(C39)&gt;N(F39),(N(E39)-N(H39))/((N(C39)-N(F39))*(1-N(Ввод!$J$19)/100)),(N(H39)-N(E39))/((N(F39)-N(C39))*(1+N(Ввод!$J$19)/100))))</f>
        <v/>
      </c>
    </row>
    <row r="40" ht="22" customHeight="1">
      <c r="B40" s="245" t="n"/>
      <c r="C40" s="246" t="str">
        <f>IF(SUMIFS(Лэндинг!$F$5:$F$300,Лэндинг!$E$5:$E$300,$B40)+SUMIFS(Закрытые!$F$5:$F$300,Закрытые!$E$5:$E$300,$B40,Закрытые!$B$5:$B$300,"L-*")=0,"",SUMIFS(Лэндинг!$F$5:$F$300,Лэндинг!$E$5:$E$300,$B40)+SUMIFS(Закрытые!$F$5:$F$300,Закрытые!$E$5:$E$300,$B40,Закрытые!$B$5:$B$300,"L-*"))</f>
        <v/>
      </c>
      <c r="D40" s="183" t="str">
        <f>IF(C40="","",(SUMPRODUCT((Лэндинг!$E$5:$E$300=$B40)*Лэндинг!$F$5:$F$300*Лэндинг!$G$5:$G$300)+SUMPRODUCT((Закрытые!$E$5:$E$300=$B40)*(LEFT(Закрытые!$B$5:$B$300,2)="L-")*Закрытые!$F$5:$F$300*Закрытые!$G$5:$G$300))/C40)</f>
        <v/>
      </c>
      <c r="E40" s="247" t="str">
        <f>IF(C40="","",SUMIFS(Лэндинг!$H$5:$H$300,Лэндинг!$E$5:$E$300,$B40)+SUMIFS(Закрытые!$H$5:$H$300,Закрытые!$E$5:$E$300,$B40,Закрытые!$B$5:$B$300,"L-*"))</f>
        <v/>
      </c>
      <c r="F40" s="246" t="str">
        <f>IF(SUMIFS(Лэндинг!$I$5:$I$300,Лэндинг!$E$5:$E$300,$B40)+SUMIFS(Закрытые!$I$5:$I$300,Закрытые!$E$5:$E$300,$B40,Закрытые!$B$5:$B$300,"L-*")=0,"",SUMIFS(Лэндинг!$I$5:$I$300,Лэндинг!$E$5:$E$300,$B40)+SUMIFS(Закрытые!$I$5:$I$300,Закрытые!$E$5:$E$300,$B40,Закрытые!$B$5:$B$300,"L-*"))</f>
        <v/>
      </c>
      <c r="G40" s="183" t="str">
        <f>IF(F40="","",(SUMPRODUCT((Лэндинг!$E$5:$E$300=$B40)*Лэндинг!$I$5:$I$300*Лэндинг!$J$5:$J$300)+SUMPRODUCT((Закрытые!$E$5:$E$300=$B40)*(LEFT(Закрытые!$B$5:$B$300,2)="L-")*Закрытые!$I$5:$I$300*Закрытые!$J$5:$J$300))/F40)</f>
        <v/>
      </c>
      <c r="H40" s="247" t="str">
        <f>IF(F40="","",SUMIFS(Лэндинг!$K$5:$K$300,Лэндинг!$E$5:$E$300,$B40)+SUMIFS(Закрытые!$K$5:$K$300,Закрытые!$E$5:$E$300,$B40,Закрытые!$B$5:$B$300,"L-*"))</f>
        <v/>
      </c>
      <c r="I40" s="246" t="str">
        <f>IF($B40="","",IF(COUNTIFS(Лэндинг!$E$5:$E$300,$B40)+COUNTIFS(Закрытые!$E$5:$E$300,$B40,Закрытые!$B$5:$B$300,"L-*")=0,"",ROUND(SUMIFS(Лэндинг!$L$5:$L$300,Лэндинг!$E$5:$E$300,$B40)+SUMIFS(Закрытые!$L$5:$L$300,Закрытые!$E$5:$E$300,$B40,Закрытые!$B$5:$B$300,"L-*"),8)))</f>
        <v/>
      </c>
      <c r="J40" s="247" t="str">
        <f>IF($B40="","",IF(COUNTIFS(Лэндинг!$E$5:$E$300,$B40)+COUNTIFS(Закрытые!$E$5:$E$300,$B40,Закрытые!$B$5:$B$300,"L-*")=0,"",ROUND(SUMIFS(Лэндинг!$M$5:$M$300,Лэндинг!$E$5:$E$300,$B40)+SUMIFS(Закрытые!$M$5:$M$300,Закрытые!$E$5:$E$300,$B40,Закрытые!$B$5:$B$300,"L-*"),8)))</f>
        <v/>
      </c>
      <c r="K40" s="246" t="str">
        <f>IF(MIN(N(C40),N(F40))&lt;=0,"",ROUND(MIN(N(C40),N(F40))*(N(G40)-N(D40)),8))</f>
        <v/>
      </c>
      <c r="L40" s="183" t="str">
        <f>IF(MIN(N(C40),N(F40))&lt;=0,"",IF(N(D40)=0,"",ROUND((N(G40)/N(D40)-1)*100,2)))</f>
        <v/>
      </c>
      <c r="M40" s="183" t="str">
        <f>IF(OR(ROUND(N(C40)-N(F40),8)=0,1-N(Ввод!$J$19)/100&lt;=0),"",IF(N(C40)&gt;N(F40),(N(E40)-N(H40))/((N(C40)-N(F40))*(1-N(Ввод!$J$19)/100)),(N(H40)-N(E40))/((N(F40)-N(C40))*(1+N(Ввод!$J$19)/100))))</f>
        <v/>
      </c>
    </row>
    <row r="41" ht="22" customHeight="1">
      <c r="B41" s="239" t="n"/>
      <c r="C41" s="240" t="str">
        <f>IF(SUMIFS(Лэндинг!$F$5:$F$300,Лэндинг!$E$5:$E$300,$B41)+SUMIFS(Закрытые!$F$5:$F$300,Закрытые!$E$5:$E$300,$B41,Закрытые!$B$5:$B$300,"L-*")=0,"",SUMIFS(Лэндинг!$F$5:$F$300,Лэндинг!$E$5:$E$300,$B41)+SUMIFS(Закрытые!$F$5:$F$300,Закрытые!$E$5:$E$300,$B41,Закрытые!$B$5:$B$300,"L-*"))</f>
        <v/>
      </c>
      <c r="D41" s="177" t="str">
        <f>IF(C41="","",(SUMPRODUCT((Лэндинг!$E$5:$E$300=$B41)*Лэндинг!$F$5:$F$300*Лэндинг!$G$5:$G$300)+SUMPRODUCT((Закрытые!$E$5:$E$300=$B41)*(LEFT(Закрытые!$B$5:$B$300,2)="L-")*Закрытые!$F$5:$F$300*Закрытые!$G$5:$G$300))/C41)</f>
        <v/>
      </c>
      <c r="E41" s="241" t="str">
        <f>IF(C41="","",SUMIFS(Лэндинг!$H$5:$H$300,Лэндинг!$E$5:$E$300,$B41)+SUMIFS(Закрытые!$H$5:$H$300,Закрытые!$E$5:$E$300,$B41,Закрытые!$B$5:$B$300,"L-*"))</f>
        <v/>
      </c>
      <c r="F41" s="240" t="str">
        <f>IF(SUMIFS(Лэндинг!$I$5:$I$300,Лэндинг!$E$5:$E$300,$B41)+SUMIFS(Закрытые!$I$5:$I$300,Закрытые!$E$5:$E$300,$B41,Закрытые!$B$5:$B$300,"L-*")=0,"",SUMIFS(Лэндинг!$I$5:$I$300,Лэндинг!$E$5:$E$300,$B41)+SUMIFS(Закрытые!$I$5:$I$300,Закрытые!$E$5:$E$300,$B41,Закрытые!$B$5:$B$300,"L-*"))</f>
        <v/>
      </c>
      <c r="G41" s="177" t="str">
        <f>IF(F41="","",(SUMPRODUCT((Лэндинг!$E$5:$E$300=$B41)*Лэндинг!$I$5:$I$300*Лэндинг!$J$5:$J$300)+SUMPRODUCT((Закрытые!$E$5:$E$300=$B41)*(LEFT(Закрытые!$B$5:$B$300,2)="L-")*Закрытые!$I$5:$I$300*Закрытые!$J$5:$J$300))/F41)</f>
        <v/>
      </c>
      <c r="H41" s="241" t="str">
        <f>IF(F41="","",SUMIFS(Лэндинг!$K$5:$K$300,Лэндинг!$E$5:$E$300,$B41)+SUMIFS(Закрытые!$K$5:$K$300,Закрытые!$E$5:$E$300,$B41,Закрытые!$B$5:$B$300,"L-*"))</f>
        <v/>
      </c>
      <c r="I41" s="240" t="str">
        <f>IF($B41="","",IF(COUNTIFS(Лэндинг!$E$5:$E$300,$B41)+COUNTIFS(Закрытые!$E$5:$E$300,$B41,Закрытые!$B$5:$B$300,"L-*")=0,"",ROUND(SUMIFS(Лэндинг!$L$5:$L$300,Лэндинг!$E$5:$E$300,$B41)+SUMIFS(Закрытые!$L$5:$L$300,Закрытые!$E$5:$E$300,$B41,Закрытые!$B$5:$B$300,"L-*"),8)))</f>
        <v/>
      </c>
      <c r="J41" s="241" t="str">
        <f>IF($B41="","",IF(COUNTIFS(Лэндинг!$E$5:$E$300,$B41)+COUNTIFS(Закрытые!$E$5:$E$300,$B41,Закрытые!$B$5:$B$300,"L-*")=0,"",ROUND(SUMIFS(Лэндинг!$M$5:$M$300,Лэндинг!$E$5:$E$300,$B41)+SUMIFS(Закрытые!$M$5:$M$300,Закрытые!$E$5:$E$300,$B41,Закрытые!$B$5:$B$300,"L-*"),8)))</f>
        <v/>
      </c>
      <c r="K41" s="240" t="str">
        <f>IF(MIN(N(C41),N(F41))&lt;=0,"",ROUND(MIN(N(C41),N(F41))*(N(G41)-N(D41)),8))</f>
        <v/>
      </c>
      <c r="L41" s="177" t="str">
        <f>IF(MIN(N(C41),N(F41))&lt;=0,"",IF(N(D41)=0,"",ROUND((N(G41)/N(D41)-1)*100,2)))</f>
        <v/>
      </c>
      <c r="M41" s="177" t="str">
        <f>IF(OR(ROUND(N(C41)-N(F41),8)=0,1-N(Ввод!$J$19)/100&lt;=0),"",IF(N(C41)&gt;N(F41),(N(E41)-N(H41))/((N(C41)-N(F41))*(1-N(Ввод!$J$19)/100)),(N(H41)-N(E41))/((N(F41)-N(C41))*(1+N(Ввод!$J$19)/100))))</f>
        <v/>
      </c>
    </row>
    <row r="42" ht="22" customHeight="1">
      <c r="B42" s="245" t="n"/>
      <c r="C42" s="246" t="str">
        <f>IF(SUMIFS(Лэндинг!$F$5:$F$300,Лэндинг!$E$5:$E$300,$B42)+SUMIFS(Закрытые!$F$5:$F$300,Закрытые!$E$5:$E$300,$B42,Закрытые!$B$5:$B$300,"L-*")=0,"",SUMIFS(Лэндинг!$F$5:$F$300,Лэндинг!$E$5:$E$300,$B42)+SUMIFS(Закрытые!$F$5:$F$300,Закрытые!$E$5:$E$300,$B42,Закрытые!$B$5:$B$300,"L-*"))</f>
        <v/>
      </c>
      <c r="D42" s="183" t="str">
        <f>IF(C42="","",(SUMPRODUCT((Лэндинг!$E$5:$E$300=$B42)*Лэндинг!$F$5:$F$300*Лэндинг!$G$5:$G$300)+SUMPRODUCT((Закрытые!$E$5:$E$300=$B42)*(LEFT(Закрытые!$B$5:$B$300,2)="L-")*Закрытые!$F$5:$F$300*Закрытые!$G$5:$G$300))/C42)</f>
        <v/>
      </c>
      <c r="E42" s="247" t="str">
        <f>IF(C42="","",SUMIFS(Лэндинг!$H$5:$H$300,Лэндинг!$E$5:$E$300,$B42)+SUMIFS(Закрытые!$H$5:$H$300,Закрытые!$E$5:$E$300,$B42,Закрытые!$B$5:$B$300,"L-*"))</f>
        <v/>
      </c>
      <c r="F42" s="246" t="str">
        <f>IF(SUMIFS(Лэндинг!$I$5:$I$300,Лэндинг!$E$5:$E$300,$B42)+SUMIFS(Закрытые!$I$5:$I$300,Закрытые!$E$5:$E$300,$B42,Закрытые!$B$5:$B$300,"L-*")=0,"",SUMIFS(Лэндинг!$I$5:$I$300,Лэндинг!$E$5:$E$300,$B42)+SUMIFS(Закрытые!$I$5:$I$300,Закрытые!$E$5:$E$300,$B42,Закрытые!$B$5:$B$300,"L-*"))</f>
        <v/>
      </c>
      <c r="G42" s="183" t="str">
        <f>IF(F42="","",(SUMPRODUCT((Лэндинг!$E$5:$E$300=$B42)*Лэндинг!$I$5:$I$300*Лэндинг!$J$5:$J$300)+SUMPRODUCT((Закрытые!$E$5:$E$300=$B42)*(LEFT(Закрытые!$B$5:$B$300,2)="L-")*Закрытые!$I$5:$I$300*Закрытые!$J$5:$J$300))/F42)</f>
        <v/>
      </c>
      <c r="H42" s="247" t="str">
        <f>IF(F42="","",SUMIFS(Лэндинг!$K$5:$K$300,Лэндинг!$E$5:$E$300,$B42)+SUMIFS(Закрытые!$K$5:$K$300,Закрытые!$E$5:$E$300,$B42,Закрытые!$B$5:$B$300,"L-*"))</f>
        <v/>
      </c>
      <c r="I42" s="246" t="str">
        <f>IF($B42="","",IF(COUNTIFS(Лэндинг!$E$5:$E$300,$B42)+COUNTIFS(Закрытые!$E$5:$E$300,$B42,Закрытые!$B$5:$B$300,"L-*")=0,"",ROUND(SUMIFS(Лэндинг!$L$5:$L$300,Лэндинг!$E$5:$E$300,$B42)+SUMIFS(Закрытые!$L$5:$L$300,Закрытые!$E$5:$E$300,$B42,Закрытые!$B$5:$B$300,"L-*"),8)))</f>
        <v/>
      </c>
      <c r="J42" s="247" t="str">
        <f>IF($B42="","",IF(COUNTIFS(Лэндинг!$E$5:$E$300,$B42)+COUNTIFS(Закрытые!$E$5:$E$300,$B42,Закрытые!$B$5:$B$300,"L-*")=0,"",ROUND(SUMIFS(Лэндинг!$M$5:$M$300,Лэндинг!$E$5:$E$300,$B42)+SUMIFS(Закрытые!$M$5:$M$300,Закрытые!$E$5:$E$300,$B42,Закрытые!$B$5:$B$300,"L-*"),8)))</f>
        <v/>
      </c>
      <c r="K42" s="246" t="str">
        <f>IF(MIN(N(C42),N(F42))&lt;=0,"",ROUND(MIN(N(C42),N(F42))*(N(G42)-N(D42)),8))</f>
        <v/>
      </c>
      <c r="L42" s="183" t="str">
        <f>IF(MIN(N(C42),N(F42))&lt;=0,"",IF(N(D42)=0,"",ROUND((N(G42)/N(D42)-1)*100,2)))</f>
        <v/>
      </c>
      <c r="M42" s="183" t="str">
        <f>IF(OR(ROUND(N(C42)-N(F42),8)=0,1-N(Ввод!$J$19)/100&lt;=0),"",IF(N(C42)&gt;N(F42),(N(E42)-N(H42))/((N(C42)-N(F42))*(1-N(Ввод!$J$19)/100)),(N(H42)-N(E42))/((N(F42)-N(C42))*(1+N(Ввод!$J$19)/100))))</f>
        <v/>
      </c>
    </row>
    <row r="43" ht="22" customHeight="1">
      <c r="B43" s="239" t="n"/>
      <c r="C43" s="240" t="str">
        <f>IF(SUMIFS(Лэндинг!$F$5:$F$300,Лэндинг!$E$5:$E$300,$B43)+SUMIFS(Закрытые!$F$5:$F$300,Закрытые!$E$5:$E$300,$B43,Закрытые!$B$5:$B$300,"L-*")=0,"",SUMIFS(Лэндинг!$F$5:$F$300,Лэндинг!$E$5:$E$300,$B43)+SUMIFS(Закрытые!$F$5:$F$300,Закрытые!$E$5:$E$300,$B43,Закрытые!$B$5:$B$300,"L-*"))</f>
        <v/>
      </c>
      <c r="D43" s="177" t="str">
        <f>IF(C43="","",(SUMPRODUCT((Лэндинг!$E$5:$E$300=$B43)*Лэндинг!$F$5:$F$300*Лэндинг!$G$5:$G$300)+SUMPRODUCT((Закрытые!$E$5:$E$300=$B43)*(LEFT(Закрытые!$B$5:$B$300,2)="L-")*Закрытые!$F$5:$F$300*Закрытые!$G$5:$G$300))/C43)</f>
        <v/>
      </c>
      <c r="E43" s="241" t="str">
        <f>IF(C43="","",SUMIFS(Лэндинг!$H$5:$H$300,Лэндинг!$E$5:$E$300,$B43)+SUMIFS(Закрытые!$H$5:$H$300,Закрытые!$E$5:$E$300,$B43,Закрытые!$B$5:$B$300,"L-*"))</f>
        <v/>
      </c>
      <c r="F43" s="240" t="str">
        <f>IF(SUMIFS(Лэндинг!$I$5:$I$300,Лэндинг!$E$5:$E$300,$B43)+SUMIFS(Закрытые!$I$5:$I$300,Закрытые!$E$5:$E$300,$B43,Закрытые!$B$5:$B$300,"L-*")=0,"",SUMIFS(Лэндинг!$I$5:$I$300,Лэндинг!$E$5:$E$300,$B43)+SUMIFS(Закрытые!$I$5:$I$300,Закрытые!$E$5:$E$300,$B43,Закрытые!$B$5:$B$300,"L-*"))</f>
        <v/>
      </c>
      <c r="G43" s="177" t="str">
        <f>IF(F43="","",(SUMPRODUCT((Лэндинг!$E$5:$E$300=$B43)*Лэндинг!$I$5:$I$300*Лэндинг!$J$5:$J$300)+SUMPRODUCT((Закрытые!$E$5:$E$300=$B43)*(LEFT(Закрытые!$B$5:$B$300,2)="L-")*Закрытые!$I$5:$I$300*Закрытые!$J$5:$J$300))/F43)</f>
        <v/>
      </c>
      <c r="H43" s="241" t="str">
        <f>IF(F43="","",SUMIFS(Лэндинг!$K$5:$K$300,Лэндинг!$E$5:$E$300,$B43)+SUMIFS(Закрытые!$K$5:$K$300,Закрытые!$E$5:$E$300,$B43,Закрытые!$B$5:$B$300,"L-*"))</f>
        <v/>
      </c>
      <c r="I43" s="240" t="str">
        <f>IF($B43="","",IF(COUNTIFS(Лэндинг!$E$5:$E$300,$B43)+COUNTIFS(Закрытые!$E$5:$E$300,$B43,Закрытые!$B$5:$B$300,"L-*")=0,"",ROUND(SUMIFS(Лэндинг!$L$5:$L$300,Лэндинг!$E$5:$E$300,$B43)+SUMIFS(Закрытые!$L$5:$L$300,Закрытые!$E$5:$E$300,$B43,Закрытые!$B$5:$B$300,"L-*"),8)))</f>
        <v/>
      </c>
      <c r="J43" s="241" t="str">
        <f>IF($B43="","",IF(COUNTIFS(Лэндинг!$E$5:$E$300,$B43)+COUNTIFS(Закрытые!$E$5:$E$300,$B43,Закрытые!$B$5:$B$300,"L-*")=0,"",ROUND(SUMIFS(Лэндинг!$M$5:$M$300,Лэндинг!$E$5:$E$300,$B43)+SUMIFS(Закрытые!$M$5:$M$300,Закрытые!$E$5:$E$300,$B43,Закрытые!$B$5:$B$300,"L-*"),8)))</f>
        <v/>
      </c>
      <c r="K43" s="240" t="str">
        <f>IF(MIN(N(C43),N(F43))&lt;=0,"",ROUND(MIN(N(C43),N(F43))*(N(G43)-N(D43)),8))</f>
        <v/>
      </c>
      <c r="L43" s="177" t="str">
        <f>IF(MIN(N(C43),N(F43))&lt;=0,"",IF(N(D43)=0,"",ROUND((N(G43)/N(D43)-1)*100,2)))</f>
        <v/>
      </c>
      <c r="M43" s="177" t="str">
        <f>IF(OR(ROUND(N(C43)-N(F43),8)=0,1-N(Ввод!$J$19)/100&lt;=0),"",IF(N(C43)&gt;N(F43),(N(E43)-N(H43))/((N(C43)-N(F43))*(1-N(Ввод!$J$19)/100)),(N(H43)-N(E43))/((N(F43)-N(C43))*(1+N(Ввод!$J$19)/100))))</f>
        <v/>
      </c>
    </row>
    <row r="44" ht="22" customHeight="1">
      <c r="B44" s="245" t="n"/>
      <c r="C44" s="246" t="str">
        <f>IF(SUMIFS(Лэндинг!$F$5:$F$300,Лэндинг!$E$5:$E$300,$B44)+SUMIFS(Закрытые!$F$5:$F$300,Закрытые!$E$5:$E$300,$B44,Закрытые!$B$5:$B$300,"L-*")=0,"",SUMIFS(Лэндинг!$F$5:$F$300,Лэндинг!$E$5:$E$300,$B44)+SUMIFS(Закрытые!$F$5:$F$300,Закрытые!$E$5:$E$300,$B44,Закрытые!$B$5:$B$300,"L-*"))</f>
        <v/>
      </c>
      <c r="D44" s="183" t="str">
        <f>IF(C44="","",(SUMPRODUCT((Лэндинг!$E$5:$E$300=$B44)*Лэндинг!$F$5:$F$300*Лэндинг!$G$5:$G$300)+SUMPRODUCT((Закрытые!$E$5:$E$300=$B44)*(LEFT(Закрытые!$B$5:$B$300,2)="L-")*Закрытые!$F$5:$F$300*Закрытые!$G$5:$G$300))/C44)</f>
        <v/>
      </c>
      <c r="E44" s="247" t="str">
        <f>IF(C44="","",SUMIFS(Лэндинг!$H$5:$H$300,Лэндинг!$E$5:$E$300,$B44)+SUMIFS(Закрытые!$H$5:$H$300,Закрытые!$E$5:$E$300,$B44,Закрытые!$B$5:$B$300,"L-*"))</f>
        <v/>
      </c>
      <c r="F44" s="246" t="str">
        <f>IF(SUMIFS(Лэндинг!$I$5:$I$300,Лэндинг!$E$5:$E$300,$B44)+SUMIFS(Закрытые!$I$5:$I$300,Закрытые!$E$5:$E$300,$B44,Закрытые!$B$5:$B$300,"L-*")=0,"",SUMIFS(Лэндинг!$I$5:$I$300,Лэндинг!$E$5:$E$300,$B44)+SUMIFS(Закрытые!$I$5:$I$300,Закрытые!$E$5:$E$300,$B44,Закрытые!$B$5:$B$300,"L-*"))</f>
        <v/>
      </c>
      <c r="G44" s="183" t="str">
        <f>IF(F44="","",(SUMPRODUCT((Лэндинг!$E$5:$E$300=$B44)*Лэндинг!$I$5:$I$300*Лэндинг!$J$5:$J$300)+SUMPRODUCT((Закрытые!$E$5:$E$300=$B44)*(LEFT(Закрытые!$B$5:$B$300,2)="L-")*Закрытые!$I$5:$I$300*Закрытые!$J$5:$J$300))/F44)</f>
        <v/>
      </c>
      <c r="H44" s="247" t="str">
        <f>IF(F44="","",SUMIFS(Лэндинг!$K$5:$K$300,Лэндинг!$E$5:$E$300,$B44)+SUMIFS(Закрытые!$K$5:$K$300,Закрытые!$E$5:$E$300,$B44,Закрытые!$B$5:$B$300,"L-*"))</f>
        <v/>
      </c>
      <c r="I44" s="246" t="str">
        <f>IF($B44="","",IF(COUNTIFS(Лэндинг!$E$5:$E$300,$B44)+COUNTIFS(Закрытые!$E$5:$E$300,$B44,Закрытые!$B$5:$B$300,"L-*")=0,"",ROUND(SUMIFS(Лэндинг!$L$5:$L$300,Лэндинг!$E$5:$E$300,$B44)+SUMIFS(Закрытые!$L$5:$L$300,Закрытые!$E$5:$E$300,$B44,Закрытые!$B$5:$B$300,"L-*"),8)))</f>
        <v/>
      </c>
      <c r="J44" s="247" t="str">
        <f>IF($B44="","",IF(COUNTIFS(Лэндинг!$E$5:$E$300,$B44)+COUNTIFS(Закрытые!$E$5:$E$300,$B44,Закрытые!$B$5:$B$300,"L-*")=0,"",ROUND(SUMIFS(Лэндинг!$M$5:$M$300,Лэндинг!$E$5:$E$300,$B44)+SUMIFS(Закрытые!$M$5:$M$300,Закрытые!$E$5:$E$300,$B44,Закрытые!$B$5:$B$300,"L-*"),8)))</f>
        <v/>
      </c>
      <c r="K44" s="246" t="str">
        <f>IF(MIN(N(C44),N(F44))&lt;=0,"",ROUND(MIN(N(C44),N(F44))*(N(G44)-N(D44)),8))</f>
        <v/>
      </c>
      <c r="L44" s="183" t="str">
        <f>IF(MIN(N(C44),N(F44))&lt;=0,"",IF(N(D44)=0,"",ROUND((N(G44)/N(D44)-1)*100,2)))</f>
        <v/>
      </c>
      <c r="M44" s="183" t="str">
        <f>IF(OR(ROUND(N(C44)-N(F44),8)=0,1-N(Ввод!$J$19)/100&lt;=0),"",IF(N(C44)&gt;N(F44),(N(E44)-N(H44))/((N(C44)-N(F44))*(1-N(Ввод!$J$19)/100)),(N(H44)-N(E44))/((N(F44)-N(C44))*(1+N(Ввод!$J$19)/100))))</f>
        <v/>
      </c>
    </row>
    <row r="45" ht="22" customHeight="1">
      <c r="B45" s="239" t="n"/>
      <c r="C45" s="240" t="str">
        <f>IF(SUMIFS(Лэндинг!$F$5:$F$300,Лэндинг!$E$5:$E$300,$B45)+SUMIFS(Закрытые!$F$5:$F$300,Закрытые!$E$5:$E$300,$B45,Закрытые!$B$5:$B$300,"L-*")=0,"",SUMIFS(Лэндинг!$F$5:$F$300,Лэндинг!$E$5:$E$300,$B45)+SUMIFS(Закрытые!$F$5:$F$300,Закрытые!$E$5:$E$300,$B45,Закрытые!$B$5:$B$300,"L-*"))</f>
        <v/>
      </c>
      <c r="D45" s="177" t="str">
        <f>IF(C45="","",(SUMPRODUCT((Лэндинг!$E$5:$E$300=$B45)*Лэндинг!$F$5:$F$300*Лэндинг!$G$5:$G$300)+SUMPRODUCT((Закрытые!$E$5:$E$300=$B45)*(LEFT(Закрытые!$B$5:$B$300,2)="L-")*Закрытые!$F$5:$F$300*Закрытые!$G$5:$G$300))/C45)</f>
        <v/>
      </c>
      <c r="E45" s="241" t="str">
        <f>IF(C45="","",SUMIFS(Лэндинг!$H$5:$H$300,Лэндинг!$E$5:$E$300,$B45)+SUMIFS(Закрытые!$H$5:$H$300,Закрытые!$E$5:$E$300,$B45,Закрытые!$B$5:$B$300,"L-*"))</f>
        <v/>
      </c>
      <c r="F45" s="240" t="str">
        <f>IF(SUMIFS(Лэндинг!$I$5:$I$300,Лэндинг!$E$5:$E$300,$B45)+SUMIFS(Закрытые!$I$5:$I$300,Закрытые!$E$5:$E$300,$B45,Закрытые!$B$5:$B$300,"L-*")=0,"",SUMIFS(Лэндинг!$I$5:$I$300,Лэндинг!$E$5:$E$300,$B45)+SUMIFS(Закрытые!$I$5:$I$300,Закрытые!$E$5:$E$300,$B45,Закрытые!$B$5:$B$300,"L-*"))</f>
        <v/>
      </c>
      <c r="G45" s="177" t="str">
        <f>IF(F45="","",(SUMPRODUCT((Лэндинг!$E$5:$E$300=$B45)*Лэндинг!$I$5:$I$300*Лэндинг!$J$5:$J$300)+SUMPRODUCT((Закрытые!$E$5:$E$300=$B45)*(LEFT(Закрытые!$B$5:$B$300,2)="L-")*Закрытые!$I$5:$I$300*Закрытые!$J$5:$J$300))/F45)</f>
        <v/>
      </c>
      <c r="H45" s="241" t="str">
        <f>IF(F45="","",SUMIFS(Лэндинг!$K$5:$K$300,Лэндинг!$E$5:$E$300,$B45)+SUMIFS(Закрытые!$K$5:$K$300,Закрытые!$E$5:$E$300,$B45,Закрытые!$B$5:$B$300,"L-*"))</f>
        <v/>
      </c>
      <c r="I45" s="240" t="str">
        <f>IF($B45="","",IF(COUNTIFS(Лэндинг!$E$5:$E$300,$B45)+COUNTIFS(Закрытые!$E$5:$E$300,$B45,Закрытые!$B$5:$B$300,"L-*")=0,"",ROUND(SUMIFS(Лэндинг!$L$5:$L$300,Лэндинг!$E$5:$E$300,$B45)+SUMIFS(Закрытые!$L$5:$L$300,Закрытые!$E$5:$E$300,$B45,Закрытые!$B$5:$B$300,"L-*"),8)))</f>
        <v/>
      </c>
      <c r="J45" s="241" t="str">
        <f>IF($B45="","",IF(COUNTIFS(Лэндинг!$E$5:$E$300,$B45)+COUNTIFS(Закрытые!$E$5:$E$300,$B45,Закрытые!$B$5:$B$300,"L-*")=0,"",ROUND(SUMIFS(Лэндинг!$M$5:$M$300,Лэндинг!$E$5:$E$300,$B45)+SUMIFS(Закрытые!$M$5:$M$300,Закрытые!$E$5:$E$300,$B45,Закрытые!$B$5:$B$300,"L-*"),8)))</f>
        <v/>
      </c>
      <c r="K45" s="240" t="str">
        <f>IF(MIN(N(C45),N(F45))&lt;=0,"",ROUND(MIN(N(C45),N(F45))*(N(G45)-N(D45)),8))</f>
        <v/>
      </c>
      <c r="L45" s="177" t="str">
        <f>IF(MIN(N(C45),N(F45))&lt;=0,"",IF(N(D45)=0,"",ROUND((N(G45)/N(D45)-1)*100,2)))</f>
        <v/>
      </c>
      <c r="M45" s="177" t="str">
        <f>IF(OR(ROUND(N(C45)-N(F45),8)=0,1-N(Ввод!$J$19)/100&lt;=0),"",IF(N(C45)&gt;N(F45),(N(E45)-N(H45))/((N(C45)-N(F45))*(1-N(Ввод!$J$19)/100)),(N(H45)-N(E45))/((N(F45)-N(C45))*(1+N(Ввод!$J$19)/100))))</f>
        <v/>
      </c>
    </row>
    <row r="46" ht="22" customHeight="1">
      <c r="B46" s="245" t="n"/>
      <c r="C46" s="246" t="str">
        <f>IF(SUMIFS(Лэндинг!$F$5:$F$300,Лэндинг!$E$5:$E$300,$B46)+SUMIFS(Закрытые!$F$5:$F$300,Закрытые!$E$5:$E$300,$B46,Закрытые!$B$5:$B$300,"L-*")=0,"",SUMIFS(Лэндинг!$F$5:$F$300,Лэндинг!$E$5:$E$300,$B46)+SUMIFS(Закрытые!$F$5:$F$300,Закрытые!$E$5:$E$300,$B46,Закрытые!$B$5:$B$300,"L-*"))</f>
        <v/>
      </c>
      <c r="D46" s="183" t="str">
        <f>IF(C46="","",(SUMPRODUCT((Лэндинг!$E$5:$E$300=$B46)*Лэндинг!$F$5:$F$300*Лэндинг!$G$5:$G$300)+SUMPRODUCT((Закрытые!$E$5:$E$300=$B46)*(LEFT(Закрытые!$B$5:$B$300,2)="L-")*Закрытые!$F$5:$F$300*Закрытые!$G$5:$G$300))/C46)</f>
        <v/>
      </c>
      <c r="E46" s="247" t="str">
        <f>IF(C46="","",SUMIFS(Лэндинг!$H$5:$H$300,Лэндинг!$E$5:$E$300,$B46)+SUMIFS(Закрытые!$H$5:$H$300,Закрытые!$E$5:$E$300,$B46,Закрытые!$B$5:$B$300,"L-*"))</f>
        <v/>
      </c>
      <c r="F46" s="246" t="str">
        <f>IF(SUMIFS(Лэндинг!$I$5:$I$300,Лэндинг!$E$5:$E$300,$B46)+SUMIFS(Закрытые!$I$5:$I$300,Закрытые!$E$5:$E$300,$B46,Закрытые!$B$5:$B$300,"L-*")=0,"",SUMIFS(Лэндинг!$I$5:$I$300,Лэндинг!$E$5:$E$300,$B46)+SUMIFS(Закрытые!$I$5:$I$300,Закрытые!$E$5:$E$300,$B46,Закрытые!$B$5:$B$300,"L-*"))</f>
        <v/>
      </c>
      <c r="G46" s="183" t="str">
        <f>IF(F46="","",(SUMPRODUCT((Лэндинг!$E$5:$E$300=$B46)*Лэндинг!$I$5:$I$300*Лэндинг!$J$5:$J$300)+SUMPRODUCT((Закрытые!$E$5:$E$300=$B46)*(LEFT(Закрытые!$B$5:$B$300,2)="L-")*Закрытые!$I$5:$I$300*Закрытые!$J$5:$J$300))/F46)</f>
        <v/>
      </c>
      <c r="H46" s="247" t="str">
        <f>IF(F46="","",SUMIFS(Лэндинг!$K$5:$K$300,Лэндинг!$E$5:$E$300,$B46)+SUMIFS(Закрытые!$K$5:$K$300,Закрытые!$E$5:$E$300,$B46,Закрытые!$B$5:$B$300,"L-*"))</f>
        <v/>
      </c>
      <c r="I46" s="246" t="str">
        <f>IF($B46="","",IF(COUNTIFS(Лэндинг!$E$5:$E$300,$B46)+COUNTIFS(Закрытые!$E$5:$E$300,$B46,Закрытые!$B$5:$B$300,"L-*")=0,"",ROUND(SUMIFS(Лэндинг!$L$5:$L$300,Лэндинг!$E$5:$E$300,$B46)+SUMIFS(Закрытые!$L$5:$L$300,Закрытые!$E$5:$E$300,$B46,Закрытые!$B$5:$B$300,"L-*"),8)))</f>
        <v/>
      </c>
      <c r="J46" s="247" t="str">
        <f>IF($B46="","",IF(COUNTIFS(Лэндинг!$E$5:$E$300,$B46)+COUNTIFS(Закрытые!$E$5:$E$300,$B46,Закрытые!$B$5:$B$300,"L-*")=0,"",ROUND(SUMIFS(Лэндинг!$M$5:$M$300,Лэндинг!$E$5:$E$300,$B46)+SUMIFS(Закрытые!$M$5:$M$300,Закрытые!$E$5:$E$300,$B46,Закрытые!$B$5:$B$300,"L-*"),8)))</f>
        <v/>
      </c>
      <c r="K46" s="246" t="str">
        <f>IF(MIN(N(C46),N(F46))&lt;=0,"",ROUND(MIN(N(C46),N(F46))*(N(G46)-N(D46)),8))</f>
        <v/>
      </c>
      <c r="L46" s="183" t="str">
        <f>IF(MIN(N(C46),N(F46))&lt;=0,"",IF(N(D46)=0,"",ROUND((N(G46)/N(D46)-1)*100,2)))</f>
        <v/>
      </c>
      <c r="M46" s="183" t="str">
        <f>IF(OR(ROUND(N(C46)-N(F46),8)=0,1-N(Ввод!$J$19)/100&lt;=0),"",IF(N(C46)&gt;N(F46),(N(E46)-N(H46))/((N(C46)-N(F46))*(1-N(Ввод!$J$19)/100)),(N(H46)-N(E46))/((N(F46)-N(C46))*(1+N(Ввод!$J$19)/100))))</f>
        <v/>
      </c>
    </row>
    <row r="47" ht="22" customHeight="1">
      <c r="B47" s="239" t="n"/>
      <c r="C47" s="240" t="str">
        <f>IF(SUMIFS(Лэндинг!$F$5:$F$300,Лэндинг!$E$5:$E$300,$B47)+SUMIFS(Закрытые!$F$5:$F$300,Закрытые!$E$5:$E$300,$B47,Закрытые!$B$5:$B$300,"L-*")=0,"",SUMIFS(Лэндинг!$F$5:$F$300,Лэндинг!$E$5:$E$300,$B47)+SUMIFS(Закрытые!$F$5:$F$300,Закрытые!$E$5:$E$300,$B47,Закрытые!$B$5:$B$300,"L-*"))</f>
        <v/>
      </c>
      <c r="D47" s="177" t="str">
        <f>IF(C47="","",(SUMPRODUCT((Лэндинг!$E$5:$E$300=$B47)*Лэндинг!$F$5:$F$300*Лэндинг!$G$5:$G$300)+SUMPRODUCT((Закрытые!$E$5:$E$300=$B47)*(LEFT(Закрытые!$B$5:$B$300,2)="L-")*Закрытые!$F$5:$F$300*Закрытые!$G$5:$G$300))/C47)</f>
        <v/>
      </c>
      <c r="E47" s="241" t="str">
        <f>IF(C47="","",SUMIFS(Лэндинг!$H$5:$H$300,Лэндинг!$E$5:$E$300,$B47)+SUMIFS(Закрытые!$H$5:$H$300,Закрытые!$E$5:$E$300,$B47,Закрытые!$B$5:$B$300,"L-*"))</f>
        <v/>
      </c>
      <c r="F47" s="240" t="str">
        <f>IF(SUMIFS(Лэндинг!$I$5:$I$300,Лэндинг!$E$5:$E$300,$B47)+SUMIFS(Закрытые!$I$5:$I$300,Закрытые!$E$5:$E$300,$B47,Закрытые!$B$5:$B$300,"L-*")=0,"",SUMIFS(Лэндинг!$I$5:$I$300,Лэндинг!$E$5:$E$300,$B47)+SUMIFS(Закрытые!$I$5:$I$300,Закрытые!$E$5:$E$300,$B47,Закрытые!$B$5:$B$300,"L-*"))</f>
        <v/>
      </c>
      <c r="G47" s="177" t="str">
        <f>IF(F47="","",(SUMPRODUCT((Лэндинг!$E$5:$E$300=$B47)*Лэндинг!$I$5:$I$300*Лэндинг!$J$5:$J$300)+SUMPRODUCT((Закрытые!$E$5:$E$300=$B47)*(LEFT(Закрытые!$B$5:$B$300,2)="L-")*Закрытые!$I$5:$I$300*Закрытые!$J$5:$J$300))/F47)</f>
        <v/>
      </c>
      <c r="H47" s="241" t="str">
        <f>IF(F47="","",SUMIFS(Лэндинг!$K$5:$K$300,Лэндинг!$E$5:$E$300,$B47)+SUMIFS(Закрытые!$K$5:$K$300,Закрытые!$E$5:$E$300,$B47,Закрытые!$B$5:$B$300,"L-*"))</f>
        <v/>
      </c>
      <c r="I47" s="240" t="str">
        <f>IF($B47="","",IF(COUNTIFS(Лэндинг!$E$5:$E$300,$B47)+COUNTIFS(Закрытые!$E$5:$E$300,$B47,Закрытые!$B$5:$B$300,"L-*")=0,"",ROUND(SUMIFS(Лэндинг!$L$5:$L$300,Лэндинг!$E$5:$E$300,$B47)+SUMIFS(Закрытые!$L$5:$L$300,Закрытые!$E$5:$E$300,$B47,Закрытые!$B$5:$B$300,"L-*"),8)))</f>
        <v/>
      </c>
      <c r="J47" s="241" t="str">
        <f>IF($B47="","",IF(COUNTIFS(Лэндинг!$E$5:$E$300,$B47)+COUNTIFS(Закрытые!$E$5:$E$300,$B47,Закрытые!$B$5:$B$300,"L-*")=0,"",ROUND(SUMIFS(Лэндинг!$M$5:$M$300,Лэндинг!$E$5:$E$300,$B47)+SUMIFS(Закрытые!$M$5:$M$300,Закрытые!$E$5:$E$300,$B47,Закрытые!$B$5:$B$300,"L-*"),8)))</f>
        <v/>
      </c>
      <c r="K47" s="240" t="str">
        <f>IF(MIN(N(C47),N(F47))&lt;=0,"",ROUND(MIN(N(C47),N(F47))*(N(G47)-N(D47)),8))</f>
        <v/>
      </c>
      <c r="L47" s="177" t="str">
        <f>IF(MIN(N(C47),N(F47))&lt;=0,"",IF(N(D47)=0,"",ROUND((N(G47)/N(D47)-1)*100,2)))</f>
        <v/>
      </c>
      <c r="M47" s="177" t="str">
        <f>IF(OR(ROUND(N(C47)-N(F47),8)=0,1-N(Ввод!$J$19)/100&lt;=0),"",IF(N(C47)&gt;N(F47),(N(E47)-N(H47))/((N(C47)-N(F47))*(1-N(Ввод!$J$19)/100)),(N(H47)-N(E47))/((N(F47)-N(C47))*(1+N(Ввод!$J$19)/100))))</f>
        <v/>
      </c>
    </row>
    <row r="48" ht="22" customHeight="1">
      <c r="B48" s="245" t="n"/>
      <c r="C48" s="246" t="str">
        <f>IF(SUMIFS(Лэндинг!$F$5:$F$300,Лэндинг!$E$5:$E$300,$B48)+SUMIFS(Закрытые!$F$5:$F$300,Закрытые!$E$5:$E$300,$B48,Закрытые!$B$5:$B$300,"L-*")=0,"",SUMIFS(Лэндинг!$F$5:$F$300,Лэндинг!$E$5:$E$300,$B48)+SUMIFS(Закрытые!$F$5:$F$300,Закрытые!$E$5:$E$300,$B48,Закрытые!$B$5:$B$300,"L-*"))</f>
        <v/>
      </c>
      <c r="D48" s="183" t="str">
        <f>IF(C48="","",(SUMPRODUCT((Лэндинг!$E$5:$E$300=$B48)*Лэндинг!$F$5:$F$300*Лэндинг!$G$5:$G$300)+SUMPRODUCT((Закрытые!$E$5:$E$300=$B48)*(LEFT(Закрытые!$B$5:$B$300,2)="L-")*Закрытые!$F$5:$F$300*Закрытые!$G$5:$G$300))/C48)</f>
        <v/>
      </c>
      <c r="E48" s="247" t="str">
        <f>IF(C48="","",SUMIFS(Лэндинг!$H$5:$H$300,Лэндинг!$E$5:$E$300,$B48)+SUMIFS(Закрытые!$H$5:$H$300,Закрытые!$E$5:$E$300,$B48,Закрытые!$B$5:$B$300,"L-*"))</f>
        <v/>
      </c>
      <c r="F48" s="246" t="str">
        <f>IF(SUMIFS(Лэндинг!$I$5:$I$300,Лэндинг!$E$5:$E$300,$B48)+SUMIFS(Закрытые!$I$5:$I$300,Закрытые!$E$5:$E$300,$B48,Закрытые!$B$5:$B$300,"L-*")=0,"",SUMIFS(Лэндинг!$I$5:$I$300,Лэндинг!$E$5:$E$300,$B48)+SUMIFS(Закрытые!$I$5:$I$300,Закрытые!$E$5:$E$300,$B48,Закрытые!$B$5:$B$300,"L-*"))</f>
        <v/>
      </c>
      <c r="G48" s="183" t="str">
        <f>IF(F48="","",(SUMPRODUCT((Лэндинг!$E$5:$E$300=$B48)*Лэндинг!$I$5:$I$300*Лэндинг!$J$5:$J$300)+SUMPRODUCT((Закрытые!$E$5:$E$300=$B48)*(LEFT(Закрытые!$B$5:$B$300,2)="L-")*Закрытые!$I$5:$I$300*Закрытые!$J$5:$J$300))/F48)</f>
        <v/>
      </c>
      <c r="H48" s="247" t="str">
        <f>IF(F48="","",SUMIFS(Лэндинг!$K$5:$K$300,Лэндинг!$E$5:$E$300,$B48)+SUMIFS(Закрытые!$K$5:$K$300,Закрытые!$E$5:$E$300,$B48,Закрытые!$B$5:$B$300,"L-*"))</f>
        <v/>
      </c>
      <c r="I48" s="246" t="str">
        <f>IF($B48="","",IF(COUNTIFS(Лэндинг!$E$5:$E$300,$B48)+COUNTIFS(Закрытые!$E$5:$E$300,$B48,Закрытые!$B$5:$B$300,"L-*")=0,"",ROUND(SUMIFS(Лэндинг!$L$5:$L$300,Лэндинг!$E$5:$E$300,$B48)+SUMIFS(Закрытые!$L$5:$L$300,Закрытые!$E$5:$E$300,$B48,Закрытые!$B$5:$B$300,"L-*"),8)))</f>
        <v/>
      </c>
      <c r="J48" s="247" t="str">
        <f>IF($B48="","",IF(COUNTIFS(Лэндинг!$E$5:$E$300,$B48)+COUNTIFS(Закрытые!$E$5:$E$300,$B48,Закрытые!$B$5:$B$300,"L-*")=0,"",ROUND(SUMIFS(Лэндинг!$M$5:$M$300,Лэндинг!$E$5:$E$300,$B48)+SUMIFS(Закрытые!$M$5:$M$300,Закрытые!$E$5:$E$300,$B48,Закрытые!$B$5:$B$300,"L-*"),8)))</f>
        <v/>
      </c>
      <c r="K48" s="246" t="str">
        <f>IF(MIN(N(C48),N(F48))&lt;=0,"",ROUND(MIN(N(C48),N(F48))*(N(G48)-N(D48)),8))</f>
        <v/>
      </c>
      <c r="L48" s="183" t="str">
        <f>IF(MIN(N(C48),N(F48))&lt;=0,"",IF(N(D48)=0,"",ROUND((N(G48)/N(D48)-1)*100,2)))</f>
        <v/>
      </c>
      <c r="M48" s="183" t="str">
        <f>IF(OR(ROUND(N(C48)-N(F48),8)=0,1-N(Ввод!$J$19)/100&lt;=0),"",IF(N(C48)&gt;N(F48),(N(E48)-N(H48))/((N(C48)-N(F48))*(1-N(Ввод!$J$19)/100)),(N(H48)-N(E48))/((N(F48)-N(C48))*(1+N(Ввод!$J$19)/100))))</f>
        <v/>
      </c>
    </row>
    <row r="49" ht="22" customHeight="1">
      <c r="B49" s="239" t="n"/>
      <c r="C49" s="240" t="str">
        <f>IF(SUMIFS(Лэндинг!$F$5:$F$300,Лэндинг!$E$5:$E$300,$B49)+SUMIFS(Закрытые!$F$5:$F$300,Закрытые!$E$5:$E$300,$B49,Закрытые!$B$5:$B$300,"L-*")=0,"",SUMIFS(Лэндинг!$F$5:$F$300,Лэндинг!$E$5:$E$300,$B49)+SUMIFS(Закрытые!$F$5:$F$300,Закрытые!$E$5:$E$300,$B49,Закрытые!$B$5:$B$300,"L-*"))</f>
        <v/>
      </c>
      <c r="D49" s="177" t="str">
        <f>IF(C49="","",(SUMPRODUCT((Лэндинг!$E$5:$E$300=$B49)*Лэндинг!$F$5:$F$300*Лэндинг!$G$5:$G$300)+SUMPRODUCT((Закрытые!$E$5:$E$300=$B49)*(LEFT(Закрытые!$B$5:$B$300,2)="L-")*Закрытые!$F$5:$F$300*Закрытые!$G$5:$G$300))/C49)</f>
        <v/>
      </c>
      <c r="E49" s="241" t="str">
        <f>IF(C49="","",SUMIFS(Лэндинг!$H$5:$H$300,Лэндинг!$E$5:$E$300,$B49)+SUMIFS(Закрытые!$H$5:$H$300,Закрытые!$E$5:$E$300,$B49,Закрытые!$B$5:$B$300,"L-*"))</f>
        <v/>
      </c>
      <c r="F49" s="240" t="str">
        <f>IF(SUMIFS(Лэндинг!$I$5:$I$300,Лэндинг!$E$5:$E$300,$B49)+SUMIFS(Закрытые!$I$5:$I$300,Закрытые!$E$5:$E$300,$B49,Закрытые!$B$5:$B$300,"L-*")=0,"",SUMIFS(Лэндинг!$I$5:$I$300,Лэндинг!$E$5:$E$300,$B49)+SUMIFS(Закрытые!$I$5:$I$300,Закрытые!$E$5:$E$300,$B49,Закрытые!$B$5:$B$300,"L-*"))</f>
        <v/>
      </c>
      <c r="G49" s="177" t="str">
        <f>IF(F49="","",(SUMPRODUCT((Лэндинг!$E$5:$E$300=$B49)*Лэндинг!$I$5:$I$300*Лэндинг!$J$5:$J$300)+SUMPRODUCT((Закрытые!$E$5:$E$300=$B49)*(LEFT(Закрытые!$B$5:$B$300,2)="L-")*Закрытые!$I$5:$I$300*Закрытые!$J$5:$J$300))/F49)</f>
        <v/>
      </c>
      <c r="H49" s="241" t="str">
        <f>IF(F49="","",SUMIFS(Лэндинг!$K$5:$K$300,Лэндинг!$E$5:$E$300,$B49)+SUMIFS(Закрытые!$K$5:$K$300,Закрытые!$E$5:$E$300,$B49,Закрытые!$B$5:$B$300,"L-*"))</f>
        <v/>
      </c>
      <c r="I49" s="240" t="str">
        <f>IF($B49="","",IF(COUNTIFS(Лэндинг!$E$5:$E$300,$B49)+COUNTIFS(Закрытые!$E$5:$E$300,$B49,Закрытые!$B$5:$B$300,"L-*")=0,"",ROUND(SUMIFS(Лэндинг!$L$5:$L$300,Лэндинг!$E$5:$E$300,$B49)+SUMIFS(Закрытые!$L$5:$L$300,Закрытые!$E$5:$E$300,$B49,Закрытые!$B$5:$B$300,"L-*"),8)))</f>
        <v/>
      </c>
      <c r="J49" s="241" t="str">
        <f>IF($B49="","",IF(COUNTIFS(Лэндинг!$E$5:$E$300,$B49)+COUNTIFS(Закрытые!$E$5:$E$300,$B49,Закрытые!$B$5:$B$300,"L-*")=0,"",ROUND(SUMIFS(Лэндинг!$M$5:$M$300,Лэндинг!$E$5:$E$300,$B49)+SUMIFS(Закрытые!$M$5:$M$300,Закрытые!$E$5:$E$300,$B49,Закрытые!$B$5:$B$300,"L-*"),8)))</f>
        <v/>
      </c>
      <c r="K49" s="240" t="str">
        <f>IF(MIN(N(C49),N(F49))&lt;=0,"",ROUND(MIN(N(C49),N(F49))*(N(G49)-N(D49)),8))</f>
        <v/>
      </c>
      <c r="L49" s="177" t="str">
        <f>IF(MIN(N(C49),N(F49))&lt;=0,"",IF(N(D49)=0,"",ROUND((N(G49)/N(D49)-1)*100,2)))</f>
        <v/>
      </c>
      <c r="M49" s="177" t="str">
        <f>IF(OR(ROUND(N(C49)-N(F49),8)=0,1-N(Ввод!$J$19)/100&lt;=0),"",IF(N(C49)&gt;N(F49),(N(E49)-N(H49))/((N(C49)-N(F49))*(1-N(Ввод!$J$19)/100)),(N(H49)-N(E49))/((N(F49)-N(C49))*(1+N(Ввод!$J$19)/100))))</f>
        <v/>
      </c>
    </row>
    <row r="50" ht="22" customHeight="1">
      <c r="B50" s="245" t="n"/>
      <c r="C50" s="246" t="str">
        <f>IF(SUMIFS(Лэндинг!$F$5:$F$300,Лэндинг!$E$5:$E$300,$B50)+SUMIFS(Закрытые!$F$5:$F$300,Закрытые!$E$5:$E$300,$B50,Закрытые!$B$5:$B$300,"L-*")=0,"",SUMIFS(Лэндинг!$F$5:$F$300,Лэндинг!$E$5:$E$300,$B50)+SUMIFS(Закрытые!$F$5:$F$300,Закрытые!$E$5:$E$300,$B50,Закрытые!$B$5:$B$300,"L-*"))</f>
        <v/>
      </c>
      <c r="D50" s="183" t="str">
        <f>IF(C50="","",(SUMPRODUCT((Лэндинг!$E$5:$E$300=$B50)*Лэндинг!$F$5:$F$300*Лэндинг!$G$5:$G$300)+SUMPRODUCT((Закрытые!$E$5:$E$300=$B50)*(LEFT(Закрытые!$B$5:$B$300,2)="L-")*Закрытые!$F$5:$F$300*Закрытые!$G$5:$G$300))/C50)</f>
        <v/>
      </c>
      <c r="E50" s="247" t="str">
        <f>IF(C50="","",SUMIFS(Лэндинг!$H$5:$H$300,Лэндинг!$E$5:$E$300,$B50)+SUMIFS(Закрытые!$H$5:$H$300,Закрытые!$E$5:$E$300,$B50,Закрытые!$B$5:$B$300,"L-*"))</f>
        <v/>
      </c>
      <c r="F50" s="246" t="str">
        <f>IF(SUMIFS(Лэндинг!$I$5:$I$300,Лэндинг!$E$5:$E$300,$B50)+SUMIFS(Закрытые!$I$5:$I$300,Закрытые!$E$5:$E$300,$B50,Закрытые!$B$5:$B$300,"L-*")=0,"",SUMIFS(Лэндинг!$I$5:$I$300,Лэндинг!$E$5:$E$300,$B50)+SUMIFS(Закрытые!$I$5:$I$300,Закрытые!$E$5:$E$300,$B50,Закрытые!$B$5:$B$300,"L-*"))</f>
        <v/>
      </c>
      <c r="G50" s="183" t="str">
        <f>IF(F50="","",(SUMPRODUCT((Лэндинг!$E$5:$E$300=$B50)*Лэндинг!$I$5:$I$300*Лэндинг!$J$5:$J$300)+SUMPRODUCT((Закрытые!$E$5:$E$300=$B50)*(LEFT(Закрытые!$B$5:$B$300,2)="L-")*Закрытые!$I$5:$I$300*Закрытые!$J$5:$J$300))/F50)</f>
        <v/>
      </c>
      <c r="H50" s="247" t="str">
        <f>IF(F50="","",SUMIFS(Лэндинг!$K$5:$K$300,Лэндинг!$E$5:$E$300,$B50)+SUMIFS(Закрытые!$K$5:$K$300,Закрытые!$E$5:$E$300,$B50,Закрытые!$B$5:$B$300,"L-*"))</f>
        <v/>
      </c>
      <c r="I50" s="246" t="str">
        <f>IF($B50="","",IF(COUNTIFS(Лэндинг!$E$5:$E$300,$B50)+COUNTIFS(Закрытые!$E$5:$E$300,$B50,Закрытые!$B$5:$B$300,"L-*")=0,"",ROUND(SUMIFS(Лэндинг!$L$5:$L$300,Лэндинг!$E$5:$E$300,$B50)+SUMIFS(Закрытые!$L$5:$L$300,Закрытые!$E$5:$E$300,$B50,Закрытые!$B$5:$B$300,"L-*"),8)))</f>
        <v/>
      </c>
      <c r="J50" s="247" t="str">
        <f>IF($B50="","",IF(COUNTIFS(Лэндинг!$E$5:$E$300,$B50)+COUNTIFS(Закрытые!$E$5:$E$300,$B50,Закрытые!$B$5:$B$300,"L-*")=0,"",ROUND(SUMIFS(Лэндинг!$M$5:$M$300,Лэндинг!$E$5:$E$300,$B50)+SUMIFS(Закрытые!$M$5:$M$300,Закрытые!$E$5:$E$300,$B50,Закрытые!$B$5:$B$300,"L-*"),8)))</f>
        <v/>
      </c>
      <c r="K50" s="246" t="str">
        <f>IF(MIN(N(C50),N(F50))&lt;=0,"",ROUND(MIN(N(C50),N(F50))*(N(G50)-N(D50)),8))</f>
        <v/>
      </c>
      <c r="L50" s="183" t="str">
        <f>IF(MIN(N(C50),N(F50))&lt;=0,"",IF(N(D50)=0,"",ROUND((N(G50)/N(D50)-1)*100,2)))</f>
        <v/>
      </c>
      <c r="M50" s="183" t="str">
        <f>IF(OR(ROUND(N(C50)-N(F50),8)=0,1-N(Ввод!$J$19)/100&lt;=0),"",IF(N(C50)&gt;N(F50),(N(E50)-N(H50))/((N(C50)-N(F50))*(1-N(Ввод!$J$19)/100)),(N(H50)-N(E50))/((N(F50)-N(C50))*(1+N(Ввод!$J$19)/100))))</f>
        <v/>
      </c>
    </row>
    <row r="51" ht="22" customHeight="1">
      <c r="B51" s="239" t="n"/>
      <c r="C51" s="240" t="str">
        <f>IF(SUMIFS(Лэндинг!$F$5:$F$300,Лэндинг!$E$5:$E$300,$B51)+SUMIFS(Закрытые!$F$5:$F$300,Закрытые!$E$5:$E$300,$B51,Закрытые!$B$5:$B$300,"L-*")=0,"",SUMIFS(Лэндинг!$F$5:$F$300,Лэндинг!$E$5:$E$300,$B51)+SUMIFS(Закрытые!$F$5:$F$300,Закрытые!$E$5:$E$300,$B51,Закрытые!$B$5:$B$300,"L-*"))</f>
        <v/>
      </c>
      <c r="D51" s="177" t="str">
        <f>IF(C51="","",(SUMPRODUCT((Лэндинг!$E$5:$E$300=$B51)*Лэндинг!$F$5:$F$300*Лэндинг!$G$5:$G$300)+SUMPRODUCT((Закрытые!$E$5:$E$300=$B51)*(LEFT(Закрытые!$B$5:$B$300,2)="L-")*Закрытые!$F$5:$F$300*Закрытые!$G$5:$G$300))/C51)</f>
        <v/>
      </c>
      <c r="E51" s="241" t="str">
        <f>IF(C51="","",SUMIFS(Лэндинг!$H$5:$H$300,Лэндинг!$E$5:$E$300,$B51)+SUMIFS(Закрытые!$H$5:$H$300,Закрытые!$E$5:$E$300,$B51,Закрытые!$B$5:$B$300,"L-*"))</f>
        <v/>
      </c>
      <c r="F51" s="240" t="str">
        <f>IF(SUMIFS(Лэндинг!$I$5:$I$300,Лэндинг!$E$5:$E$300,$B51)+SUMIFS(Закрытые!$I$5:$I$300,Закрытые!$E$5:$E$300,$B51,Закрытые!$B$5:$B$300,"L-*")=0,"",SUMIFS(Лэндинг!$I$5:$I$300,Лэндинг!$E$5:$E$300,$B51)+SUMIFS(Закрытые!$I$5:$I$300,Закрытые!$E$5:$E$300,$B51,Закрытые!$B$5:$B$300,"L-*"))</f>
        <v/>
      </c>
      <c r="G51" s="177" t="str">
        <f>IF(F51="","",(SUMPRODUCT((Лэндинг!$E$5:$E$300=$B51)*Лэндинг!$I$5:$I$300*Лэндинг!$J$5:$J$300)+SUMPRODUCT((Закрытые!$E$5:$E$300=$B51)*(LEFT(Закрытые!$B$5:$B$300,2)="L-")*Закрытые!$I$5:$I$300*Закрытые!$J$5:$J$300))/F51)</f>
        <v/>
      </c>
      <c r="H51" s="241" t="str">
        <f>IF(F51="","",SUMIFS(Лэндинг!$K$5:$K$300,Лэндинг!$E$5:$E$300,$B51)+SUMIFS(Закрытые!$K$5:$K$300,Закрытые!$E$5:$E$300,$B51,Закрытые!$B$5:$B$300,"L-*"))</f>
        <v/>
      </c>
      <c r="I51" s="240" t="str">
        <f>IF($B51="","",IF(COUNTIFS(Лэндинг!$E$5:$E$300,$B51)+COUNTIFS(Закрытые!$E$5:$E$300,$B51,Закрытые!$B$5:$B$300,"L-*")=0,"",ROUND(SUMIFS(Лэндинг!$L$5:$L$300,Лэндинг!$E$5:$E$300,$B51)+SUMIFS(Закрытые!$L$5:$L$300,Закрытые!$E$5:$E$300,$B51,Закрытые!$B$5:$B$300,"L-*"),8)))</f>
        <v/>
      </c>
      <c r="J51" s="241" t="str">
        <f>IF($B51="","",IF(COUNTIFS(Лэндинг!$E$5:$E$300,$B51)+COUNTIFS(Закрытые!$E$5:$E$300,$B51,Закрытые!$B$5:$B$300,"L-*")=0,"",ROUND(SUMIFS(Лэндинг!$M$5:$M$300,Лэндинг!$E$5:$E$300,$B51)+SUMIFS(Закрытые!$M$5:$M$300,Закрытые!$E$5:$E$300,$B51,Закрытые!$B$5:$B$300,"L-*"),8)))</f>
        <v/>
      </c>
      <c r="K51" s="240" t="str">
        <f>IF(MIN(N(C51),N(F51))&lt;=0,"",ROUND(MIN(N(C51),N(F51))*(N(G51)-N(D51)),8))</f>
        <v/>
      </c>
      <c r="L51" s="177" t="str">
        <f>IF(MIN(N(C51),N(F51))&lt;=0,"",IF(N(D51)=0,"",ROUND((N(G51)/N(D51)-1)*100,2)))</f>
        <v/>
      </c>
      <c r="M51" s="177" t="str">
        <f>IF(OR(ROUND(N(C51)-N(F51),8)=0,1-N(Ввод!$J$19)/100&lt;=0),"",IF(N(C51)&gt;N(F51),(N(E51)-N(H51))/((N(C51)-N(F51))*(1-N(Ввод!$J$19)/100)),(N(H51)-N(E51))/((N(F51)-N(C51))*(1+N(Ввод!$J$19)/100))))</f>
        <v/>
      </c>
    </row>
    <row r="52" ht="22" customHeight="1">
      <c r="B52" s="245" t="n"/>
      <c r="C52" s="246" t="str">
        <f>IF(SUMIFS(Лэндинг!$F$5:$F$300,Лэндинг!$E$5:$E$300,$B52)+SUMIFS(Закрытые!$F$5:$F$300,Закрытые!$E$5:$E$300,$B52,Закрытые!$B$5:$B$300,"L-*")=0,"",SUMIFS(Лэндинг!$F$5:$F$300,Лэндинг!$E$5:$E$300,$B52)+SUMIFS(Закрытые!$F$5:$F$300,Закрытые!$E$5:$E$300,$B52,Закрытые!$B$5:$B$300,"L-*"))</f>
        <v/>
      </c>
      <c r="D52" s="183" t="str">
        <f>IF(C52="","",(SUMPRODUCT((Лэндинг!$E$5:$E$300=$B52)*Лэндинг!$F$5:$F$300*Лэндинг!$G$5:$G$300)+SUMPRODUCT((Закрытые!$E$5:$E$300=$B52)*(LEFT(Закрытые!$B$5:$B$300,2)="L-")*Закрытые!$F$5:$F$300*Закрытые!$G$5:$G$300))/C52)</f>
        <v/>
      </c>
      <c r="E52" s="247" t="str">
        <f>IF(C52="","",SUMIFS(Лэндинг!$H$5:$H$300,Лэндинг!$E$5:$E$300,$B52)+SUMIFS(Закрытые!$H$5:$H$300,Закрытые!$E$5:$E$300,$B52,Закрытые!$B$5:$B$300,"L-*"))</f>
        <v/>
      </c>
      <c r="F52" s="246" t="str">
        <f>IF(SUMIFS(Лэндинг!$I$5:$I$300,Лэндинг!$E$5:$E$300,$B52)+SUMIFS(Закрытые!$I$5:$I$300,Закрытые!$E$5:$E$300,$B52,Закрытые!$B$5:$B$300,"L-*")=0,"",SUMIFS(Лэндинг!$I$5:$I$300,Лэндинг!$E$5:$E$300,$B52)+SUMIFS(Закрытые!$I$5:$I$300,Закрытые!$E$5:$E$300,$B52,Закрытые!$B$5:$B$300,"L-*"))</f>
        <v/>
      </c>
      <c r="G52" s="183" t="str">
        <f>IF(F52="","",(SUMPRODUCT((Лэндинг!$E$5:$E$300=$B52)*Лэндинг!$I$5:$I$300*Лэндинг!$J$5:$J$300)+SUMPRODUCT((Закрытые!$E$5:$E$300=$B52)*(LEFT(Закрытые!$B$5:$B$300,2)="L-")*Закрытые!$I$5:$I$300*Закрытые!$J$5:$J$300))/F52)</f>
        <v/>
      </c>
      <c r="H52" s="247" t="str">
        <f>IF(F52="","",SUMIFS(Лэндинг!$K$5:$K$300,Лэндинг!$E$5:$E$300,$B52)+SUMIFS(Закрытые!$K$5:$K$300,Закрытые!$E$5:$E$300,$B52,Закрытые!$B$5:$B$300,"L-*"))</f>
        <v/>
      </c>
      <c r="I52" s="246" t="str">
        <f>IF($B52="","",IF(COUNTIFS(Лэндинг!$E$5:$E$300,$B52)+COUNTIFS(Закрытые!$E$5:$E$300,$B52,Закрытые!$B$5:$B$300,"L-*")=0,"",ROUND(SUMIFS(Лэндинг!$L$5:$L$300,Лэндинг!$E$5:$E$300,$B52)+SUMIFS(Закрытые!$L$5:$L$300,Закрытые!$E$5:$E$300,$B52,Закрытые!$B$5:$B$300,"L-*"),8)))</f>
        <v/>
      </c>
      <c r="J52" s="247" t="str">
        <f>IF($B52="","",IF(COUNTIFS(Лэндинг!$E$5:$E$300,$B52)+COUNTIFS(Закрытые!$E$5:$E$300,$B52,Закрытые!$B$5:$B$300,"L-*")=0,"",ROUND(SUMIFS(Лэндинг!$M$5:$M$300,Лэндинг!$E$5:$E$300,$B52)+SUMIFS(Закрытые!$M$5:$M$300,Закрытые!$E$5:$E$300,$B52,Закрытые!$B$5:$B$300,"L-*"),8)))</f>
        <v/>
      </c>
      <c r="K52" s="246" t="str">
        <f>IF(MIN(N(C52),N(F52))&lt;=0,"",ROUND(MIN(N(C52),N(F52))*(N(G52)-N(D52)),8))</f>
        <v/>
      </c>
      <c r="L52" s="183" t="str">
        <f>IF(MIN(N(C52),N(F52))&lt;=0,"",IF(N(D52)=0,"",ROUND((N(G52)/N(D52)-1)*100,2)))</f>
        <v/>
      </c>
      <c r="M52" s="183" t="str">
        <f>IF(OR(ROUND(N(C52)-N(F52),8)=0,1-N(Ввод!$J$19)/100&lt;=0),"",IF(N(C52)&gt;N(F52),(N(E52)-N(H52))/((N(C52)-N(F52))*(1-N(Ввод!$J$19)/100)),(N(H52)-N(E52))/((N(F52)-N(C52))*(1+N(Ввод!$J$19)/100))))</f>
        <v/>
      </c>
    </row>
    <row r="53" ht="22" customHeight="1">
      <c r="B53" s="239" t="n"/>
      <c r="C53" s="240" t="str">
        <f>IF(SUMIFS(Лэндинг!$F$5:$F$300,Лэндинг!$E$5:$E$300,$B53)+SUMIFS(Закрытые!$F$5:$F$300,Закрытые!$E$5:$E$300,$B53,Закрытые!$B$5:$B$300,"L-*")=0,"",SUMIFS(Лэндинг!$F$5:$F$300,Лэндинг!$E$5:$E$300,$B53)+SUMIFS(Закрытые!$F$5:$F$300,Закрытые!$E$5:$E$300,$B53,Закрытые!$B$5:$B$300,"L-*"))</f>
        <v/>
      </c>
      <c r="D53" s="177" t="str">
        <f>IF(C53="","",(SUMPRODUCT((Лэндинг!$E$5:$E$300=$B53)*Лэндинг!$F$5:$F$300*Лэндинг!$G$5:$G$300)+SUMPRODUCT((Закрытые!$E$5:$E$300=$B53)*(LEFT(Закрытые!$B$5:$B$300,2)="L-")*Закрытые!$F$5:$F$300*Закрытые!$G$5:$G$300))/C53)</f>
        <v/>
      </c>
      <c r="E53" s="241" t="str">
        <f>IF(C53="","",SUMIFS(Лэндинг!$H$5:$H$300,Лэндинг!$E$5:$E$300,$B53)+SUMIFS(Закрытые!$H$5:$H$300,Закрытые!$E$5:$E$300,$B53,Закрытые!$B$5:$B$300,"L-*"))</f>
        <v/>
      </c>
      <c r="F53" s="240" t="str">
        <f>IF(SUMIFS(Лэндинг!$I$5:$I$300,Лэндинг!$E$5:$E$300,$B53)+SUMIFS(Закрытые!$I$5:$I$300,Закрытые!$E$5:$E$300,$B53,Закрытые!$B$5:$B$300,"L-*")=0,"",SUMIFS(Лэндинг!$I$5:$I$300,Лэндинг!$E$5:$E$300,$B53)+SUMIFS(Закрытые!$I$5:$I$300,Закрытые!$E$5:$E$300,$B53,Закрытые!$B$5:$B$300,"L-*"))</f>
        <v/>
      </c>
      <c r="G53" s="177" t="str">
        <f>IF(F53="","",(SUMPRODUCT((Лэндинг!$E$5:$E$300=$B53)*Лэндинг!$I$5:$I$300*Лэндинг!$J$5:$J$300)+SUMPRODUCT((Закрытые!$E$5:$E$300=$B53)*(LEFT(Закрытые!$B$5:$B$300,2)="L-")*Закрытые!$I$5:$I$300*Закрытые!$J$5:$J$300))/F53)</f>
        <v/>
      </c>
      <c r="H53" s="241" t="str">
        <f>IF(F53="","",SUMIFS(Лэндинг!$K$5:$K$300,Лэндинг!$E$5:$E$300,$B53)+SUMIFS(Закрытые!$K$5:$K$300,Закрытые!$E$5:$E$300,$B53,Закрытые!$B$5:$B$300,"L-*"))</f>
        <v/>
      </c>
      <c r="I53" s="240" t="str">
        <f>IF($B53="","",IF(COUNTIFS(Лэндинг!$E$5:$E$300,$B53)+COUNTIFS(Закрытые!$E$5:$E$300,$B53,Закрытые!$B$5:$B$300,"L-*")=0,"",ROUND(SUMIFS(Лэндинг!$L$5:$L$300,Лэндинг!$E$5:$E$300,$B53)+SUMIFS(Закрытые!$L$5:$L$300,Закрытые!$E$5:$E$300,$B53,Закрытые!$B$5:$B$300,"L-*"),8)))</f>
        <v/>
      </c>
      <c r="J53" s="241" t="str">
        <f>IF($B53="","",IF(COUNTIFS(Лэндинг!$E$5:$E$300,$B53)+COUNTIFS(Закрытые!$E$5:$E$300,$B53,Закрытые!$B$5:$B$300,"L-*")=0,"",ROUND(SUMIFS(Лэндинг!$M$5:$M$300,Лэндинг!$E$5:$E$300,$B53)+SUMIFS(Закрытые!$M$5:$M$300,Закрытые!$E$5:$E$300,$B53,Закрытые!$B$5:$B$300,"L-*"),8)))</f>
        <v/>
      </c>
      <c r="K53" s="240" t="str">
        <f>IF(MIN(N(C53),N(F53))&lt;=0,"",ROUND(MIN(N(C53),N(F53))*(N(G53)-N(D53)),8))</f>
        <v/>
      </c>
      <c r="L53" s="177" t="str">
        <f>IF(MIN(N(C53),N(F53))&lt;=0,"",IF(N(D53)=0,"",ROUND((N(G53)/N(D53)-1)*100,2)))</f>
        <v/>
      </c>
      <c r="M53" s="177" t="str">
        <f>IF(OR(ROUND(N(C53)-N(F53),8)=0,1-N(Ввод!$J$19)/100&lt;=0),"",IF(N(C53)&gt;N(F53),(N(E53)-N(H53))/((N(C53)-N(F53))*(1-N(Ввод!$J$19)/100)),(N(H53)-N(E53))/((N(F53)-N(C53))*(1+N(Ввод!$J$19)/100))))</f>
        <v/>
      </c>
    </row>
    <row r="54" ht="22" customHeight="1">
      <c r="B54" s="245" t="n"/>
      <c r="C54" s="246" t="str">
        <f>IF(SUMIFS(Лэндинг!$F$5:$F$300,Лэндинг!$E$5:$E$300,$B54)+SUMIFS(Закрытые!$F$5:$F$300,Закрытые!$E$5:$E$300,$B54,Закрытые!$B$5:$B$300,"L-*")=0,"",SUMIFS(Лэндинг!$F$5:$F$300,Лэндинг!$E$5:$E$300,$B54)+SUMIFS(Закрытые!$F$5:$F$300,Закрытые!$E$5:$E$300,$B54,Закрытые!$B$5:$B$300,"L-*"))</f>
        <v/>
      </c>
      <c r="D54" s="183" t="str">
        <f>IF(C54="","",(SUMPRODUCT((Лэндинг!$E$5:$E$300=$B54)*Лэндинг!$F$5:$F$300*Лэндинг!$G$5:$G$300)+SUMPRODUCT((Закрытые!$E$5:$E$300=$B54)*(LEFT(Закрытые!$B$5:$B$300,2)="L-")*Закрытые!$F$5:$F$300*Закрытые!$G$5:$G$300))/C54)</f>
        <v/>
      </c>
      <c r="E54" s="247" t="str">
        <f>IF(C54="","",SUMIFS(Лэндинг!$H$5:$H$300,Лэндинг!$E$5:$E$300,$B54)+SUMIFS(Закрытые!$H$5:$H$300,Закрытые!$E$5:$E$300,$B54,Закрытые!$B$5:$B$300,"L-*"))</f>
        <v/>
      </c>
      <c r="F54" s="246" t="str">
        <f>IF(SUMIFS(Лэндинг!$I$5:$I$300,Лэндинг!$E$5:$E$300,$B54)+SUMIFS(Закрытые!$I$5:$I$300,Закрытые!$E$5:$E$300,$B54,Закрытые!$B$5:$B$300,"L-*")=0,"",SUMIFS(Лэндинг!$I$5:$I$300,Лэндинг!$E$5:$E$300,$B54)+SUMIFS(Закрытые!$I$5:$I$300,Закрытые!$E$5:$E$300,$B54,Закрытые!$B$5:$B$300,"L-*"))</f>
        <v/>
      </c>
      <c r="G54" s="183" t="str">
        <f>IF(F54="","",(SUMPRODUCT((Лэндинг!$E$5:$E$300=$B54)*Лэндинг!$I$5:$I$300*Лэндинг!$J$5:$J$300)+SUMPRODUCT((Закрытые!$E$5:$E$300=$B54)*(LEFT(Закрытые!$B$5:$B$300,2)="L-")*Закрытые!$I$5:$I$300*Закрытые!$J$5:$J$300))/F54)</f>
        <v/>
      </c>
      <c r="H54" s="247" t="str">
        <f>IF(F54="","",SUMIFS(Лэндинг!$K$5:$K$300,Лэндинг!$E$5:$E$300,$B54)+SUMIFS(Закрытые!$K$5:$K$300,Закрытые!$E$5:$E$300,$B54,Закрытые!$B$5:$B$300,"L-*"))</f>
        <v/>
      </c>
      <c r="I54" s="246" t="str">
        <f>IF($B54="","",IF(COUNTIFS(Лэндинг!$E$5:$E$300,$B54)+COUNTIFS(Закрытые!$E$5:$E$300,$B54,Закрытые!$B$5:$B$300,"L-*")=0,"",ROUND(SUMIFS(Лэндинг!$L$5:$L$300,Лэндинг!$E$5:$E$300,$B54)+SUMIFS(Закрытые!$L$5:$L$300,Закрытые!$E$5:$E$300,$B54,Закрытые!$B$5:$B$300,"L-*"),8)))</f>
        <v/>
      </c>
      <c r="J54" s="247" t="str">
        <f>IF($B54="","",IF(COUNTIFS(Лэндинг!$E$5:$E$300,$B54)+COUNTIFS(Закрытые!$E$5:$E$300,$B54,Закрытые!$B$5:$B$300,"L-*")=0,"",ROUND(SUMIFS(Лэндинг!$M$5:$M$300,Лэндинг!$E$5:$E$300,$B54)+SUMIFS(Закрытые!$M$5:$M$300,Закрытые!$E$5:$E$300,$B54,Закрытые!$B$5:$B$300,"L-*"),8)))</f>
        <v/>
      </c>
      <c r="K54" s="246" t="str">
        <f>IF(MIN(N(C54),N(F54))&lt;=0,"",ROUND(MIN(N(C54),N(F54))*(N(G54)-N(D54)),8))</f>
        <v/>
      </c>
      <c r="L54" s="183" t="str">
        <f>IF(MIN(N(C54),N(F54))&lt;=0,"",IF(N(D54)=0,"",ROUND((N(G54)/N(D54)-1)*100,2)))</f>
        <v/>
      </c>
      <c r="M54" s="183" t="str">
        <f>IF(OR(ROUND(N(C54)-N(F54),8)=0,1-N(Ввод!$J$19)/100&lt;=0),"",IF(N(C54)&gt;N(F54),(N(E54)-N(H54))/((N(C54)-N(F54))*(1-N(Ввод!$J$19)/100)),(N(H54)-N(E54))/((N(F54)-N(C54))*(1+N(Ввод!$J$19)/100))))</f>
        <v/>
      </c>
    </row>
    <row r="55" ht="22" customHeight="1">
      <c r="B55" s="239" t="n"/>
      <c r="C55" s="240" t="str">
        <f>IF(SUMIFS(Лэндинг!$F$5:$F$300,Лэндинг!$E$5:$E$300,$B55)+SUMIFS(Закрытые!$F$5:$F$300,Закрытые!$E$5:$E$300,$B55,Закрытые!$B$5:$B$300,"L-*")=0,"",SUMIFS(Лэндинг!$F$5:$F$300,Лэндинг!$E$5:$E$300,$B55)+SUMIFS(Закрытые!$F$5:$F$300,Закрытые!$E$5:$E$300,$B55,Закрытые!$B$5:$B$300,"L-*"))</f>
        <v/>
      </c>
      <c r="D55" s="177" t="str">
        <f>IF(C55="","",(SUMPRODUCT((Лэндинг!$E$5:$E$300=$B55)*Лэндинг!$F$5:$F$300*Лэндинг!$G$5:$G$300)+SUMPRODUCT((Закрытые!$E$5:$E$300=$B55)*(LEFT(Закрытые!$B$5:$B$300,2)="L-")*Закрытые!$F$5:$F$300*Закрытые!$G$5:$G$300))/C55)</f>
        <v/>
      </c>
      <c r="E55" s="241" t="str">
        <f>IF(C55="","",SUMIFS(Лэндинг!$H$5:$H$300,Лэндинг!$E$5:$E$300,$B55)+SUMIFS(Закрытые!$H$5:$H$300,Закрытые!$E$5:$E$300,$B55,Закрытые!$B$5:$B$300,"L-*"))</f>
        <v/>
      </c>
      <c r="F55" s="240" t="str">
        <f>IF(SUMIFS(Лэндинг!$I$5:$I$300,Лэндинг!$E$5:$E$300,$B55)+SUMIFS(Закрытые!$I$5:$I$300,Закрытые!$E$5:$E$300,$B55,Закрытые!$B$5:$B$300,"L-*")=0,"",SUMIFS(Лэндинг!$I$5:$I$300,Лэндинг!$E$5:$E$300,$B55)+SUMIFS(Закрытые!$I$5:$I$300,Закрытые!$E$5:$E$300,$B55,Закрытые!$B$5:$B$300,"L-*"))</f>
        <v/>
      </c>
      <c r="G55" s="177" t="str">
        <f>IF(F55="","",(SUMPRODUCT((Лэндинг!$E$5:$E$300=$B55)*Лэндинг!$I$5:$I$300*Лэндинг!$J$5:$J$300)+SUMPRODUCT((Закрытые!$E$5:$E$300=$B55)*(LEFT(Закрытые!$B$5:$B$300,2)="L-")*Закрытые!$I$5:$I$300*Закрытые!$J$5:$J$300))/F55)</f>
        <v/>
      </c>
      <c r="H55" s="241" t="str">
        <f>IF(F55="","",SUMIFS(Лэндинг!$K$5:$K$300,Лэндинг!$E$5:$E$300,$B55)+SUMIFS(Закрытые!$K$5:$K$300,Закрытые!$E$5:$E$300,$B55,Закрытые!$B$5:$B$300,"L-*"))</f>
        <v/>
      </c>
      <c r="I55" s="240" t="str">
        <f>IF($B55="","",IF(COUNTIFS(Лэндинг!$E$5:$E$300,$B55)+COUNTIFS(Закрытые!$E$5:$E$300,$B55,Закрытые!$B$5:$B$300,"L-*")=0,"",ROUND(SUMIFS(Лэндинг!$L$5:$L$300,Лэндинг!$E$5:$E$300,$B55)+SUMIFS(Закрытые!$L$5:$L$300,Закрытые!$E$5:$E$300,$B55,Закрытые!$B$5:$B$300,"L-*"),8)))</f>
        <v/>
      </c>
      <c r="J55" s="241" t="str">
        <f>IF($B55="","",IF(COUNTIFS(Лэндинг!$E$5:$E$300,$B55)+COUNTIFS(Закрытые!$E$5:$E$300,$B55,Закрытые!$B$5:$B$300,"L-*")=0,"",ROUND(SUMIFS(Лэндинг!$M$5:$M$300,Лэндинг!$E$5:$E$300,$B55)+SUMIFS(Закрытые!$M$5:$M$300,Закрытые!$E$5:$E$300,$B55,Закрытые!$B$5:$B$300,"L-*"),8)))</f>
        <v/>
      </c>
      <c r="K55" s="240" t="str">
        <f>IF(MIN(N(C55),N(F55))&lt;=0,"",ROUND(MIN(N(C55),N(F55))*(N(G55)-N(D55)),8))</f>
        <v/>
      </c>
      <c r="L55" s="177" t="str">
        <f>IF(MIN(N(C55),N(F55))&lt;=0,"",IF(N(D55)=0,"",ROUND((N(G55)/N(D55)-1)*100,2)))</f>
        <v/>
      </c>
      <c r="M55" s="177" t="str">
        <f>IF(OR(ROUND(N(C55)-N(F55),8)=0,1-N(Ввод!$J$19)/100&lt;=0),"",IF(N(C55)&gt;N(F55),(N(E55)-N(H55))/((N(C55)-N(F55))*(1-N(Ввод!$J$19)/100)),(N(H55)-N(E55))/((N(F55)-N(C55))*(1+N(Ввод!$J$19)/100))))</f>
        <v/>
      </c>
    </row>
    <row r="56" ht="22" customHeight="1">
      <c r="B56" s="245" t="n"/>
      <c r="C56" s="246" t="str">
        <f>IF(SUMIFS(Лэндинг!$F$5:$F$300,Лэндинг!$E$5:$E$300,$B56)+SUMIFS(Закрытые!$F$5:$F$300,Закрытые!$E$5:$E$300,$B56,Закрытые!$B$5:$B$300,"L-*")=0,"",SUMIFS(Лэндинг!$F$5:$F$300,Лэндинг!$E$5:$E$300,$B56)+SUMIFS(Закрытые!$F$5:$F$300,Закрытые!$E$5:$E$300,$B56,Закрытые!$B$5:$B$300,"L-*"))</f>
        <v/>
      </c>
      <c r="D56" s="183" t="str">
        <f>IF(C56="","",(SUMPRODUCT((Лэндинг!$E$5:$E$300=$B56)*Лэндинг!$F$5:$F$300*Лэндинг!$G$5:$G$300)+SUMPRODUCT((Закрытые!$E$5:$E$300=$B56)*(LEFT(Закрытые!$B$5:$B$300,2)="L-")*Закрытые!$F$5:$F$300*Закрытые!$G$5:$G$300))/C56)</f>
        <v/>
      </c>
      <c r="E56" s="247" t="str">
        <f>IF(C56="","",SUMIFS(Лэндинг!$H$5:$H$300,Лэндинг!$E$5:$E$300,$B56)+SUMIFS(Закрытые!$H$5:$H$300,Закрытые!$E$5:$E$300,$B56,Закрытые!$B$5:$B$300,"L-*"))</f>
        <v/>
      </c>
      <c r="F56" s="246" t="str">
        <f>IF(SUMIFS(Лэндинг!$I$5:$I$300,Лэндинг!$E$5:$E$300,$B56)+SUMIFS(Закрытые!$I$5:$I$300,Закрытые!$E$5:$E$300,$B56,Закрытые!$B$5:$B$300,"L-*")=0,"",SUMIFS(Лэндинг!$I$5:$I$300,Лэндинг!$E$5:$E$300,$B56)+SUMIFS(Закрытые!$I$5:$I$300,Закрытые!$E$5:$E$300,$B56,Закрытые!$B$5:$B$300,"L-*"))</f>
        <v/>
      </c>
      <c r="G56" s="183" t="str">
        <f>IF(F56="","",(SUMPRODUCT((Лэндинг!$E$5:$E$300=$B56)*Лэндинг!$I$5:$I$300*Лэндинг!$J$5:$J$300)+SUMPRODUCT((Закрытые!$E$5:$E$300=$B56)*(LEFT(Закрытые!$B$5:$B$300,2)="L-")*Закрытые!$I$5:$I$300*Закрытые!$J$5:$J$300))/F56)</f>
        <v/>
      </c>
      <c r="H56" s="247" t="str">
        <f>IF(F56="","",SUMIFS(Лэндинг!$K$5:$K$300,Лэндинг!$E$5:$E$300,$B56)+SUMIFS(Закрытые!$K$5:$K$300,Закрытые!$E$5:$E$300,$B56,Закрытые!$B$5:$B$300,"L-*"))</f>
        <v/>
      </c>
      <c r="I56" s="246" t="str">
        <f>IF($B56="","",IF(COUNTIFS(Лэндинг!$E$5:$E$300,$B56)+COUNTIFS(Закрытые!$E$5:$E$300,$B56,Закрытые!$B$5:$B$300,"L-*")=0,"",ROUND(SUMIFS(Лэндинг!$L$5:$L$300,Лэндинг!$E$5:$E$300,$B56)+SUMIFS(Закрытые!$L$5:$L$300,Закрытые!$E$5:$E$300,$B56,Закрытые!$B$5:$B$300,"L-*"),8)))</f>
        <v/>
      </c>
      <c r="J56" s="247" t="str">
        <f>IF($B56="","",IF(COUNTIFS(Лэндинг!$E$5:$E$300,$B56)+COUNTIFS(Закрытые!$E$5:$E$300,$B56,Закрытые!$B$5:$B$300,"L-*")=0,"",ROUND(SUMIFS(Лэндинг!$M$5:$M$300,Лэндинг!$E$5:$E$300,$B56)+SUMIFS(Закрытые!$M$5:$M$300,Закрытые!$E$5:$E$300,$B56,Закрытые!$B$5:$B$300,"L-*"),8)))</f>
        <v/>
      </c>
      <c r="K56" s="246" t="str">
        <f>IF(MIN(N(C56),N(F56))&lt;=0,"",ROUND(MIN(N(C56),N(F56))*(N(G56)-N(D56)),8))</f>
        <v/>
      </c>
      <c r="L56" s="183" t="str">
        <f>IF(MIN(N(C56),N(F56))&lt;=0,"",IF(N(D56)=0,"",ROUND((N(G56)/N(D56)-1)*100,2)))</f>
        <v/>
      </c>
      <c r="M56" s="183" t="str">
        <f>IF(OR(ROUND(N(C56)-N(F56),8)=0,1-N(Ввод!$J$19)/100&lt;=0),"",IF(N(C56)&gt;N(F56),(N(E56)-N(H56))/((N(C56)-N(F56))*(1-N(Ввод!$J$19)/100)),(N(H56)-N(E56))/((N(F56)-N(C56))*(1+N(Ввод!$J$19)/100))))</f>
        <v/>
      </c>
    </row>
    <row r="57" ht="22" customHeight="1">
      <c r="B57" s="239" t="n"/>
      <c r="C57" s="240" t="str">
        <f>IF(SUMIFS(Лэндинг!$F$5:$F$300,Лэндинг!$E$5:$E$300,$B57)+SUMIFS(Закрытые!$F$5:$F$300,Закрытые!$E$5:$E$300,$B57,Закрытые!$B$5:$B$300,"L-*")=0,"",SUMIFS(Лэндинг!$F$5:$F$300,Лэндинг!$E$5:$E$300,$B57)+SUMIFS(Закрытые!$F$5:$F$300,Закрытые!$E$5:$E$300,$B57,Закрытые!$B$5:$B$300,"L-*"))</f>
        <v/>
      </c>
      <c r="D57" s="177" t="str">
        <f>IF(C57="","",(SUMPRODUCT((Лэндинг!$E$5:$E$300=$B57)*Лэндинг!$F$5:$F$300*Лэндинг!$G$5:$G$300)+SUMPRODUCT((Закрытые!$E$5:$E$300=$B57)*(LEFT(Закрытые!$B$5:$B$300,2)="L-")*Закрытые!$F$5:$F$300*Закрытые!$G$5:$G$300))/C57)</f>
        <v/>
      </c>
      <c r="E57" s="241" t="str">
        <f>IF(C57="","",SUMIFS(Лэндинг!$H$5:$H$300,Лэндинг!$E$5:$E$300,$B57)+SUMIFS(Закрытые!$H$5:$H$300,Закрытые!$E$5:$E$300,$B57,Закрытые!$B$5:$B$300,"L-*"))</f>
        <v/>
      </c>
      <c r="F57" s="240" t="str">
        <f>IF(SUMIFS(Лэндинг!$I$5:$I$300,Лэндинг!$E$5:$E$300,$B57)+SUMIFS(Закрытые!$I$5:$I$300,Закрытые!$E$5:$E$300,$B57,Закрытые!$B$5:$B$300,"L-*")=0,"",SUMIFS(Лэндинг!$I$5:$I$300,Лэндинг!$E$5:$E$300,$B57)+SUMIFS(Закрытые!$I$5:$I$300,Закрытые!$E$5:$E$300,$B57,Закрытые!$B$5:$B$300,"L-*"))</f>
        <v/>
      </c>
      <c r="G57" s="177" t="str">
        <f>IF(F57="","",(SUMPRODUCT((Лэндинг!$E$5:$E$300=$B57)*Лэндинг!$I$5:$I$300*Лэндинг!$J$5:$J$300)+SUMPRODUCT((Закрытые!$E$5:$E$300=$B57)*(LEFT(Закрытые!$B$5:$B$300,2)="L-")*Закрытые!$I$5:$I$300*Закрытые!$J$5:$J$300))/F57)</f>
        <v/>
      </c>
      <c r="H57" s="241" t="str">
        <f>IF(F57="","",SUMIFS(Лэндинг!$K$5:$K$300,Лэндинг!$E$5:$E$300,$B57)+SUMIFS(Закрытые!$K$5:$K$300,Закрытые!$E$5:$E$300,$B57,Закрытые!$B$5:$B$300,"L-*"))</f>
        <v/>
      </c>
      <c r="I57" s="240" t="str">
        <f>IF($B57="","",IF(COUNTIFS(Лэндинг!$E$5:$E$300,$B57)+COUNTIFS(Закрытые!$E$5:$E$300,$B57,Закрытые!$B$5:$B$300,"L-*")=0,"",ROUND(SUMIFS(Лэндинг!$L$5:$L$300,Лэндинг!$E$5:$E$300,$B57)+SUMIFS(Закрытые!$L$5:$L$300,Закрытые!$E$5:$E$300,$B57,Закрытые!$B$5:$B$300,"L-*"),8)))</f>
        <v/>
      </c>
      <c r="J57" s="241" t="str">
        <f>IF($B57="","",IF(COUNTIFS(Лэндинг!$E$5:$E$300,$B57)+COUNTIFS(Закрытые!$E$5:$E$300,$B57,Закрытые!$B$5:$B$300,"L-*")=0,"",ROUND(SUMIFS(Лэндинг!$M$5:$M$300,Лэндинг!$E$5:$E$300,$B57)+SUMIFS(Закрытые!$M$5:$M$300,Закрытые!$E$5:$E$300,$B57,Закрытые!$B$5:$B$300,"L-*"),8)))</f>
        <v/>
      </c>
      <c r="K57" s="240" t="str">
        <f>IF(MIN(N(C57),N(F57))&lt;=0,"",ROUND(MIN(N(C57),N(F57))*(N(G57)-N(D57)),8))</f>
        <v/>
      </c>
      <c r="L57" s="177" t="str">
        <f>IF(MIN(N(C57),N(F57))&lt;=0,"",IF(N(D57)=0,"",ROUND((N(G57)/N(D57)-1)*100,2)))</f>
        <v/>
      </c>
      <c r="M57" s="177" t="str">
        <f>IF(OR(ROUND(N(C57)-N(F57),8)=0,1-N(Ввод!$J$19)/100&lt;=0),"",IF(N(C57)&gt;N(F57),(N(E57)-N(H57))/((N(C57)-N(F57))*(1-N(Ввод!$J$19)/100)),(N(H57)-N(E57))/((N(F57)-N(C57))*(1+N(Ввод!$J$19)/100))))</f>
        <v/>
      </c>
    </row>
    <row r="58" ht="22" customHeight="1">
      <c r="B58" s="245" t="n"/>
      <c r="C58" s="246" t="str">
        <f>IF(SUMIFS(Лэндинг!$F$5:$F$300,Лэндинг!$E$5:$E$300,$B58)+SUMIFS(Закрытые!$F$5:$F$300,Закрытые!$E$5:$E$300,$B58,Закрытые!$B$5:$B$300,"L-*")=0,"",SUMIFS(Лэндинг!$F$5:$F$300,Лэндинг!$E$5:$E$300,$B58)+SUMIFS(Закрытые!$F$5:$F$300,Закрытые!$E$5:$E$300,$B58,Закрытые!$B$5:$B$300,"L-*"))</f>
        <v/>
      </c>
      <c r="D58" s="183" t="str">
        <f>IF(C58="","",(SUMPRODUCT((Лэндинг!$E$5:$E$300=$B58)*Лэндинг!$F$5:$F$300*Лэндинг!$G$5:$G$300)+SUMPRODUCT((Закрытые!$E$5:$E$300=$B58)*(LEFT(Закрытые!$B$5:$B$300,2)="L-")*Закрытые!$F$5:$F$300*Закрытые!$G$5:$G$300))/C58)</f>
        <v/>
      </c>
      <c r="E58" s="247" t="str">
        <f>IF(C58="","",SUMIFS(Лэндинг!$H$5:$H$300,Лэндинг!$E$5:$E$300,$B58)+SUMIFS(Закрытые!$H$5:$H$300,Закрытые!$E$5:$E$300,$B58,Закрытые!$B$5:$B$300,"L-*"))</f>
        <v/>
      </c>
      <c r="F58" s="246" t="str">
        <f>IF(SUMIFS(Лэндинг!$I$5:$I$300,Лэндинг!$E$5:$E$300,$B58)+SUMIFS(Закрытые!$I$5:$I$300,Закрытые!$E$5:$E$300,$B58,Закрытые!$B$5:$B$300,"L-*")=0,"",SUMIFS(Лэндинг!$I$5:$I$300,Лэндинг!$E$5:$E$300,$B58)+SUMIFS(Закрытые!$I$5:$I$300,Закрытые!$E$5:$E$300,$B58,Закрытые!$B$5:$B$300,"L-*"))</f>
        <v/>
      </c>
      <c r="G58" s="183" t="str">
        <f>IF(F58="","",(SUMPRODUCT((Лэндинг!$E$5:$E$300=$B58)*Лэндинг!$I$5:$I$300*Лэндинг!$J$5:$J$300)+SUMPRODUCT((Закрытые!$E$5:$E$300=$B58)*(LEFT(Закрытые!$B$5:$B$300,2)="L-")*Закрытые!$I$5:$I$300*Закрытые!$J$5:$J$300))/F58)</f>
        <v/>
      </c>
      <c r="H58" s="247" t="str">
        <f>IF(F58="","",SUMIFS(Лэндинг!$K$5:$K$300,Лэндинг!$E$5:$E$300,$B58)+SUMIFS(Закрытые!$K$5:$K$300,Закрытые!$E$5:$E$300,$B58,Закрытые!$B$5:$B$300,"L-*"))</f>
        <v/>
      </c>
      <c r="I58" s="246" t="str">
        <f>IF($B58="","",IF(COUNTIFS(Лэндинг!$E$5:$E$300,$B58)+COUNTIFS(Закрытые!$E$5:$E$300,$B58,Закрытые!$B$5:$B$300,"L-*")=0,"",ROUND(SUMIFS(Лэндинг!$L$5:$L$300,Лэндинг!$E$5:$E$300,$B58)+SUMIFS(Закрытые!$L$5:$L$300,Закрытые!$E$5:$E$300,$B58,Закрытые!$B$5:$B$300,"L-*"),8)))</f>
        <v/>
      </c>
      <c r="J58" s="247" t="str">
        <f>IF($B58="","",IF(COUNTIFS(Лэндинг!$E$5:$E$300,$B58)+COUNTIFS(Закрытые!$E$5:$E$300,$B58,Закрытые!$B$5:$B$300,"L-*")=0,"",ROUND(SUMIFS(Лэндинг!$M$5:$M$300,Лэндинг!$E$5:$E$300,$B58)+SUMIFS(Закрытые!$M$5:$M$300,Закрытые!$E$5:$E$300,$B58,Закрытые!$B$5:$B$300,"L-*"),8)))</f>
        <v/>
      </c>
      <c r="K58" s="246" t="str">
        <f>IF(MIN(N(C58),N(F58))&lt;=0,"",ROUND(MIN(N(C58),N(F58))*(N(G58)-N(D58)),8))</f>
        <v/>
      </c>
      <c r="L58" s="183" t="str">
        <f>IF(MIN(N(C58),N(F58))&lt;=0,"",IF(N(D58)=0,"",ROUND((N(G58)/N(D58)-1)*100,2)))</f>
        <v/>
      </c>
      <c r="M58" s="183" t="str">
        <f>IF(OR(ROUND(N(C58)-N(F58),8)=0,1-N(Ввод!$J$19)/100&lt;=0),"",IF(N(C58)&gt;N(F58),(N(E58)-N(H58))/((N(C58)-N(F58))*(1-N(Ввод!$J$19)/100)),(N(H58)-N(E58))/((N(F58)-N(C58))*(1+N(Ввод!$J$19)/100))))</f>
        <v/>
      </c>
    </row>
    <row r="59" ht="22" customHeight="1">
      <c r="B59" s="239" t="n"/>
      <c r="C59" s="240" t="str">
        <f>IF(SUMIFS(Лэндинг!$F$5:$F$300,Лэндинг!$E$5:$E$300,$B59)+SUMIFS(Закрытые!$F$5:$F$300,Закрытые!$E$5:$E$300,$B59,Закрытые!$B$5:$B$300,"L-*")=0,"",SUMIFS(Лэндинг!$F$5:$F$300,Лэндинг!$E$5:$E$300,$B59)+SUMIFS(Закрытые!$F$5:$F$300,Закрытые!$E$5:$E$300,$B59,Закрытые!$B$5:$B$300,"L-*"))</f>
        <v/>
      </c>
      <c r="D59" s="177" t="str">
        <f>IF(C59="","",(SUMPRODUCT((Лэндинг!$E$5:$E$300=$B59)*Лэндинг!$F$5:$F$300*Лэндинг!$G$5:$G$300)+SUMPRODUCT((Закрытые!$E$5:$E$300=$B59)*(LEFT(Закрытые!$B$5:$B$300,2)="L-")*Закрытые!$F$5:$F$300*Закрытые!$G$5:$G$300))/C59)</f>
        <v/>
      </c>
      <c r="E59" s="241" t="str">
        <f>IF(C59="","",SUMIFS(Лэндинг!$H$5:$H$300,Лэндинг!$E$5:$E$300,$B59)+SUMIFS(Закрытые!$H$5:$H$300,Закрытые!$E$5:$E$300,$B59,Закрытые!$B$5:$B$300,"L-*"))</f>
        <v/>
      </c>
      <c r="F59" s="240" t="str">
        <f>IF(SUMIFS(Лэндинг!$I$5:$I$300,Лэндинг!$E$5:$E$300,$B59)+SUMIFS(Закрытые!$I$5:$I$300,Закрытые!$E$5:$E$300,$B59,Закрытые!$B$5:$B$300,"L-*")=0,"",SUMIFS(Лэндинг!$I$5:$I$300,Лэндинг!$E$5:$E$300,$B59)+SUMIFS(Закрытые!$I$5:$I$300,Закрытые!$E$5:$E$300,$B59,Закрытые!$B$5:$B$300,"L-*"))</f>
        <v/>
      </c>
      <c r="G59" s="177" t="str">
        <f>IF(F59="","",(SUMPRODUCT((Лэндинг!$E$5:$E$300=$B59)*Лэндинг!$I$5:$I$300*Лэндинг!$J$5:$J$300)+SUMPRODUCT((Закрытые!$E$5:$E$300=$B59)*(LEFT(Закрытые!$B$5:$B$300,2)="L-")*Закрытые!$I$5:$I$300*Закрытые!$J$5:$J$300))/F59)</f>
        <v/>
      </c>
      <c r="H59" s="241" t="str">
        <f>IF(F59="","",SUMIFS(Лэндинг!$K$5:$K$300,Лэндинг!$E$5:$E$300,$B59)+SUMIFS(Закрытые!$K$5:$K$300,Закрытые!$E$5:$E$300,$B59,Закрытые!$B$5:$B$300,"L-*"))</f>
        <v/>
      </c>
      <c r="I59" s="240" t="str">
        <f>IF($B59="","",IF(COUNTIFS(Лэндинг!$E$5:$E$300,$B59)+COUNTIFS(Закрытые!$E$5:$E$300,$B59,Закрытые!$B$5:$B$300,"L-*")=0,"",ROUND(SUMIFS(Лэндинг!$L$5:$L$300,Лэндинг!$E$5:$E$300,$B59)+SUMIFS(Закрытые!$L$5:$L$300,Закрытые!$E$5:$E$300,$B59,Закрытые!$B$5:$B$300,"L-*"),8)))</f>
        <v/>
      </c>
      <c r="J59" s="241" t="str">
        <f>IF($B59="","",IF(COUNTIFS(Лэндинг!$E$5:$E$300,$B59)+COUNTIFS(Закрытые!$E$5:$E$300,$B59,Закрытые!$B$5:$B$300,"L-*")=0,"",ROUND(SUMIFS(Лэндинг!$M$5:$M$300,Лэндинг!$E$5:$E$300,$B59)+SUMIFS(Закрытые!$M$5:$M$300,Закрытые!$E$5:$E$300,$B59,Закрытые!$B$5:$B$300,"L-*"),8)))</f>
        <v/>
      </c>
      <c r="K59" s="240" t="str">
        <f>IF(MIN(N(C59),N(F59))&lt;=0,"",ROUND(MIN(N(C59),N(F59))*(N(G59)-N(D59)),8))</f>
        <v/>
      </c>
      <c r="L59" s="177" t="str">
        <f>IF(MIN(N(C59),N(F59))&lt;=0,"",IF(N(D59)=0,"",ROUND((N(G59)/N(D59)-1)*100,2)))</f>
        <v/>
      </c>
      <c r="M59" s="177" t="str">
        <f>IF(OR(ROUND(N(C59)-N(F59),8)=0,1-N(Ввод!$J$19)/100&lt;=0),"",IF(N(C59)&gt;N(F59),(N(E59)-N(H59))/((N(C59)-N(F59))*(1-N(Ввод!$J$19)/100)),(N(H59)-N(E59))/((N(F59)-N(C59))*(1+N(Ввод!$J$19)/100))))</f>
        <v/>
      </c>
    </row>
    <row r="60" ht="22" customHeight="1">
      <c r="B60" s="245" t="n"/>
      <c r="C60" s="246" t="str">
        <f>IF(SUMIFS(Лэндинг!$F$5:$F$300,Лэндинг!$E$5:$E$300,$B60)+SUMIFS(Закрытые!$F$5:$F$300,Закрытые!$E$5:$E$300,$B60,Закрытые!$B$5:$B$300,"L-*")=0,"",SUMIFS(Лэндинг!$F$5:$F$300,Лэндинг!$E$5:$E$300,$B60)+SUMIFS(Закрытые!$F$5:$F$300,Закрытые!$E$5:$E$300,$B60,Закрытые!$B$5:$B$300,"L-*"))</f>
        <v/>
      </c>
      <c r="D60" s="183" t="str">
        <f>IF(C60="","",(SUMPRODUCT((Лэндинг!$E$5:$E$300=$B60)*Лэндинг!$F$5:$F$300*Лэндинг!$G$5:$G$300)+SUMPRODUCT((Закрытые!$E$5:$E$300=$B60)*(LEFT(Закрытые!$B$5:$B$300,2)="L-")*Закрытые!$F$5:$F$300*Закрытые!$G$5:$G$300))/C60)</f>
        <v/>
      </c>
      <c r="E60" s="247" t="str">
        <f>IF(C60="","",SUMIFS(Лэндинг!$H$5:$H$300,Лэндинг!$E$5:$E$300,$B60)+SUMIFS(Закрытые!$H$5:$H$300,Закрытые!$E$5:$E$300,$B60,Закрытые!$B$5:$B$300,"L-*"))</f>
        <v/>
      </c>
      <c r="F60" s="246" t="str">
        <f>IF(SUMIFS(Лэндинг!$I$5:$I$300,Лэндинг!$E$5:$E$300,$B60)+SUMIFS(Закрытые!$I$5:$I$300,Закрытые!$E$5:$E$300,$B60,Закрытые!$B$5:$B$300,"L-*")=0,"",SUMIFS(Лэндинг!$I$5:$I$300,Лэндинг!$E$5:$E$300,$B60)+SUMIFS(Закрытые!$I$5:$I$300,Закрытые!$E$5:$E$300,$B60,Закрытые!$B$5:$B$300,"L-*"))</f>
        <v/>
      </c>
      <c r="G60" s="183" t="str">
        <f>IF(F60="","",(SUMPRODUCT((Лэндинг!$E$5:$E$300=$B60)*Лэндинг!$I$5:$I$300*Лэндинг!$J$5:$J$300)+SUMPRODUCT((Закрытые!$E$5:$E$300=$B60)*(LEFT(Закрытые!$B$5:$B$300,2)="L-")*Закрытые!$I$5:$I$300*Закрытые!$J$5:$J$300))/F60)</f>
        <v/>
      </c>
      <c r="H60" s="247" t="str">
        <f>IF(F60="","",SUMIFS(Лэндинг!$K$5:$K$300,Лэндинг!$E$5:$E$300,$B60)+SUMIFS(Закрытые!$K$5:$K$300,Закрытые!$E$5:$E$300,$B60,Закрытые!$B$5:$B$300,"L-*"))</f>
        <v/>
      </c>
      <c r="I60" s="246" t="str">
        <f>IF($B60="","",IF(COUNTIFS(Лэндинг!$E$5:$E$300,$B60)+COUNTIFS(Закрытые!$E$5:$E$300,$B60,Закрытые!$B$5:$B$300,"L-*")=0,"",ROUND(SUMIFS(Лэндинг!$L$5:$L$300,Лэндинг!$E$5:$E$300,$B60)+SUMIFS(Закрытые!$L$5:$L$300,Закрытые!$E$5:$E$300,$B60,Закрытые!$B$5:$B$300,"L-*"),8)))</f>
        <v/>
      </c>
      <c r="J60" s="247" t="str">
        <f>IF($B60="","",IF(COUNTIFS(Лэндинг!$E$5:$E$300,$B60)+COUNTIFS(Закрытые!$E$5:$E$300,$B60,Закрытые!$B$5:$B$300,"L-*")=0,"",ROUND(SUMIFS(Лэндинг!$M$5:$M$300,Лэндинг!$E$5:$E$300,$B60)+SUMIFS(Закрытые!$M$5:$M$300,Закрытые!$E$5:$E$300,$B60,Закрытые!$B$5:$B$300,"L-*"),8)))</f>
        <v/>
      </c>
      <c r="K60" s="246" t="str">
        <f>IF(MIN(N(C60),N(F60))&lt;=0,"",ROUND(MIN(N(C60),N(F60))*(N(G60)-N(D60)),8))</f>
        <v/>
      </c>
      <c r="L60" s="183" t="str">
        <f>IF(MIN(N(C60),N(F60))&lt;=0,"",IF(N(D60)=0,"",ROUND((N(G60)/N(D60)-1)*100,2)))</f>
        <v/>
      </c>
      <c r="M60" s="183" t="str">
        <f>IF(OR(ROUND(N(C60)-N(F60),8)=0,1-N(Ввод!$J$19)/100&lt;=0),"",IF(N(C60)&gt;N(F60),(N(E60)-N(H60))/((N(C60)-N(F60))*(1-N(Ввод!$J$19)/100)),(N(H60)-N(E60))/((N(F60)-N(C60))*(1+N(Ввод!$J$19)/100))))</f>
        <v/>
      </c>
    </row>
    <row r="61" ht="22" customHeight="1">
      <c r="B61" s="239" t="n"/>
      <c r="C61" s="240" t="str">
        <f>IF(SUMIFS(Лэндинг!$F$5:$F$300,Лэндинг!$E$5:$E$300,$B61)+SUMIFS(Закрытые!$F$5:$F$300,Закрытые!$E$5:$E$300,$B61,Закрытые!$B$5:$B$300,"L-*")=0,"",SUMIFS(Лэндинг!$F$5:$F$300,Лэндинг!$E$5:$E$300,$B61)+SUMIFS(Закрытые!$F$5:$F$300,Закрытые!$E$5:$E$300,$B61,Закрытые!$B$5:$B$300,"L-*"))</f>
        <v/>
      </c>
      <c r="D61" s="177" t="str">
        <f>IF(C61="","",(SUMPRODUCT((Лэндинг!$E$5:$E$300=$B61)*Лэндинг!$F$5:$F$300*Лэндинг!$G$5:$G$300)+SUMPRODUCT((Закрытые!$E$5:$E$300=$B61)*(LEFT(Закрытые!$B$5:$B$300,2)="L-")*Закрытые!$F$5:$F$300*Закрытые!$G$5:$G$300))/C61)</f>
        <v/>
      </c>
      <c r="E61" s="241" t="str">
        <f>IF(C61="","",SUMIFS(Лэндинг!$H$5:$H$300,Лэндинг!$E$5:$E$300,$B61)+SUMIFS(Закрытые!$H$5:$H$300,Закрытые!$E$5:$E$300,$B61,Закрытые!$B$5:$B$300,"L-*"))</f>
        <v/>
      </c>
      <c r="F61" s="240" t="str">
        <f>IF(SUMIFS(Лэндинг!$I$5:$I$300,Лэндинг!$E$5:$E$300,$B61)+SUMIFS(Закрытые!$I$5:$I$300,Закрытые!$E$5:$E$300,$B61,Закрытые!$B$5:$B$300,"L-*")=0,"",SUMIFS(Лэндинг!$I$5:$I$300,Лэндинг!$E$5:$E$300,$B61)+SUMIFS(Закрытые!$I$5:$I$300,Закрытые!$E$5:$E$300,$B61,Закрытые!$B$5:$B$300,"L-*"))</f>
        <v/>
      </c>
      <c r="G61" s="177" t="str">
        <f>IF(F61="","",(SUMPRODUCT((Лэндинг!$E$5:$E$300=$B61)*Лэндинг!$I$5:$I$300*Лэндинг!$J$5:$J$300)+SUMPRODUCT((Закрытые!$E$5:$E$300=$B61)*(LEFT(Закрытые!$B$5:$B$300,2)="L-")*Закрытые!$I$5:$I$300*Закрытые!$J$5:$J$300))/F61)</f>
        <v/>
      </c>
      <c r="H61" s="241" t="str">
        <f>IF(F61="","",SUMIFS(Лэндинг!$K$5:$K$300,Лэндинг!$E$5:$E$300,$B61)+SUMIFS(Закрытые!$K$5:$K$300,Закрытые!$E$5:$E$300,$B61,Закрытые!$B$5:$B$300,"L-*"))</f>
        <v/>
      </c>
      <c r="I61" s="240" t="str">
        <f>IF($B61="","",IF(COUNTIFS(Лэндинг!$E$5:$E$300,$B61)+COUNTIFS(Закрытые!$E$5:$E$300,$B61,Закрытые!$B$5:$B$300,"L-*")=0,"",ROUND(SUMIFS(Лэндинг!$L$5:$L$300,Лэндинг!$E$5:$E$300,$B61)+SUMIFS(Закрытые!$L$5:$L$300,Закрытые!$E$5:$E$300,$B61,Закрытые!$B$5:$B$300,"L-*"),8)))</f>
        <v/>
      </c>
      <c r="J61" s="241" t="str">
        <f>IF($B61="","",IF(COUNTIFS(Лэндинг!$E$5:$E$300,$B61)+COUNTIFS(Закрытые!$E$5:$E$300,$B61,Закрытые!$B$5:$B$300,"L-*")=0,"",ROUND(SUMIFS(Лэндинг!$M$5:$M$300,Лэндинг!$E$5:$E$300,$B61)+SUMIFS(Закрытые!$M$5:$M$300,Закрытые!$E$5:$E$300,$B61,Закрытые!$B$5:$B$300,"L-*"),8)))</f>
        <v/>
      </c>
      <c r="K61" s="240" t="str">
        <f>IF(MIN(N(C61),N(F61))&lt;=0,"",ROUND(MIN(N(C61),N(F61))*(N(G61)-N(D61)),8))</f>
        <v/>
      </c>
      <c r="L61" s="177" t="str">
        <f>IF(MIN(N(C61),N(F61))&lt;=0,"",IF(N(D61)=0,"",ROUND((N(G61)/N(D61)-1)*100,2)))</f>
        <v/>
      </c>
      <c r="M61" s="177" t="str">
        <f>IF(OR(ROUND(N(C61)-N(F61),8)=0,1-N(Ввод!$J$19)/100&lt;=0),"",IF(N(C61)&gt;N(F61),(N(E61)-N(H61))/((N(C61)-N(F61))*(1-N(Ввод!$J$19)/100)),(N(H61)-N(E61))/((N(F61)-N(C61))*(1+N(Ввод!$J$19)/100))))</f>
        <v/>
      </c>
    </row>
    <row r="62" ht="22" customHeight="1">
      <c r="B62" s="245" t="n"/>
      <c r="C62" s="246" t="str">
        <f>IF(SUMIFS(Лэндинг!$F$5:$F$300,Лэндинг!$E$5:$E$300,$B62)+SUMIFS(Закрытые!$F$5:$F$300,Закрытые!$E$5:$E$300,$B62,Закрытые!$B$5:$B$300,"L-*")=0,"",SUMIFS(Лэндинг!$F$5:$F$300,Лэндинг!$E$5:$E$300,$B62)+SUMIFS(Закрытые!$F$5:$F$300,Закрытые!$E$5:$E$300,$B62,Закрытые!$B$5:$B$300,"L-*"))</f>
        <v/>
      </c>
      <c r="D62" s="183" t="str">
        <f>IF(C62="","",(SUMPRODUCT((Лэндинг!$E$5:$E$300=$B62)*Лэндинг!$F$5:$F$300*Лэндинг!$G$5:$G$300)+SUMPRODUCT((Закрытые!$E$5:$E$300=$B62)*(LEFT(Закрытые!$B$5:$B$300,2)="L-")*Закрытые!$F$5:$F$300*Закрытые!$G$5:$G$300))/C62)</f>
        <v/>
      </c>
      <c r="E62" s="247" t="str">
        <f>IF(C62="","",SUMIFS(Лэндинг!$H$5:$H$300,Лэндинг!$E$5:$E$300,$B62)+SUMIFS(Закрытые!$H$5:$H$300,Закрытые!$E$5:$E$300,$B62,Закрытые!$B$5:$B$300,"L-*"))</f>
        <v/>
      </c>
      <c r="F62" s="246" t="str">
        <f>IF(SUMIFS(Лэндинг!$I$5:$I$300,Лэндинг!$E$5:$E$300,$B62)+SUMIFS(Закрытые!$I$5:$I$300,Закрытые!$E$5:$E$300,$B62,Закрытые!$B$5:$B$300,"L-*")=0,"",SUMIFS(Лэндинг!$I$5:$I$300,Лэндинг!$E$5:$E$300,$B62)+SUMIFS(Закрытые!$I$5:$I$300,Закрытые!$E$5:$E$300,$B62,Закрытые!$B$5:$B$300,"L-*"))</f>
        <v/>
      </c>
      <c r="G62" s="183" t="str">
        <f>IF(F62="","",(SUMPRODUCT((Лэндинг!$E$5:$E$300=$B62)*Лэндинг!$I$5:$I$300*Лэндинг!$J$5:$J$300)+SUMPRODUCT((Закрытые!$E$5:$E$300=$B62)*(LEFT(Закрытые!$B$5:$B$300,2)="L-")*Закрытые!$I$5:$I$300*Закрытые!$J$5:$J$300))/F62)</f>
        <v/>
      </c>
      <c r="H62" s="247" t="str">
        <f>IF(F62="","",SUMIFS(Лэндинг!$K$5:$K$300,Лэндинг!$E$5:$E$300,$B62)+SUMIFS(Закрытые!$K$5:$K$300,Закрытые!$E$5:$E$300,$B62,Закрытые!$B$5:$B$300,"L-*"))</f>
        <v/>
      </c>
      <c r="I62" s="246" t="str">
        <f>IF($B62="","",IF(COUNTIFS(Лэндинг!$E$5:$E$300,$B62)+COUNTIFS(Закрытые!$E$5:$E$300,$B62,Закрытые!$B$5:$B$300,"L-*")=0,"",ROUND(SUMIFS(Лэндинг!$L$5:$L$300,Лэндинг!$E$5:$E$300,$B62)+SUMIFS(Закрытые!$L$5:$L$300,Закрытые!$E$5:$E$300,$B62,Закрытые!$B$5:$B$300,"L-*"),8)))</f>
        <v/>
      </c>
      <c r="J62" s="247" t="str">
        <f>IF($B62="","",IF(COUNTIFS(Лэндинг!$E$5:$E$300,$B62)+COUNTIFS(Закрытые!$E$5:$E$300,$B62,Закрытые!$B$5:$B$300,"L-*")=0,"",ROUND(SUMIFS(Лэндинг!$M$5:$M$300,Лэндинг!$E$5:$E$300,$B62)+SUMIFS(Закрытые!$M$5:$M$300,Закрытые!$E$5:$E$300,$B62,Закрытые!$B$5:$B$300,"L-*"),8)))</f>
        <v/>
      </c>
      <c r="K62" s="246" t="str">
        <f>IF(MIN(N(C62),N(F62))&lt;=0,"",ROUND(MIN(N(C62),N(F62))*(N(G62)-N(D62)),8))</f>
        <v/>
      </c>
      <c r="L62" s="183" t="str">
        <f>IF(MIN(N(C62),N(F62))&lt;=0,"",IF(N(D62)=0,"",ROUND((N(G62)/N(D62)-1)*100,2)))</f>
        <v/>
      </c>
      <c r="M62" s="183" t="str">
        <f>IF(OR(ROUND(N(C62)-N(F62),8)=0,1-N(Ввод!$J$19)/100&lt;=0),"",IF(N(C62)&gt;N(F62),(N(E62)-N(H62))/((N(C62)-N(F62))*(1-N(Ввод!$J$19)/100)),(N(H62)-N(E62))/((N(F62)-N(C62))*(1+N(Ввод!$J$19)/100))))</f>
        <v/>
      </c>
    </row>
    <row r="63" ht="22" customHeight="1">
      <c r="B63" s="239" t="n"/>
      <c r="C63" s="240" t="str">
        <f>IF(SUMIFS(Лэндинг!$F$5:$F$300,Лэндинг!$E$5:$E$300,$B63)+SUMIFS(Закрытые!$F$5:$F$300,Закрытые!$E$5:$E$300,$B63,Закрытые!$B$5:$B$300,"L-*")=0,"",SUMIFS(Лэндинг!$F$5:$F$300,Лэндинг!$E$5:$E$300,$B63)+SUMIFS(Закрытые!$F$5:$F$300,Закрытые!$E$5:$E$300,$B63,Закрытые!$B$5:$B$300,"L-*"))</f>
        <v/>
      </c>
      <c r="D63" s="177" t="str">
        <f>IF(C63="","",(SUMPRODUCT((Лэндинг!$E$5:$E$300=$B63)*Лэндинг!$F$5:$F$300*Лэндинг!$G$5:$G$300)+SUMPRODUCT((Закрытые!$E$5:$E$300=$B63)*(LEFT(Закрытые!$B$5:$B$300,2)="L-")*Закрытые!$F$5:$F$300*Закрытые!$G$5:$G$300))/C63)</f>
        <v/>
      </c>
      <c r="E63" s="241" t="str">
        <f>IF(C63="","",SUMIFS(Лэндинг!$H$5:$H$300,Лэндинг!$E$5:$E$300,$B63)+SUMIFS(Закрытые!$H$5:$H$300,Закрытые!$E$5:$E$300,$B63,Закрытые!$B$5:$B$300,"L-*"))</f>
        <v/>
      </c>
      <c r="F63" s="240" t="str">
        <f>IF(SUMIFS(Лэндинг!$I$5:$I$300,Лэндинг!$E$5:$E$300,$B63)+SUMIFS(Закрытые!$I$5:$I$300,Закрытые!$E$5:$E$300,$B63,Закрытые!$B$5:$B$300,"L-*")=0,"",SUMIFS(Лэндинг!$I$5:$I$300,Лэндинг!$E$5:$E$300,$B63)+SUMIFS(Закрытые!$I$5:$I$300,Закрытые!$E$5:$E$300,$B63,Закрытые!$B$5:$B$300,"L-*"))</f>
        <v/>
      </c>
      <c r="G63" s="177" t="str">
        <f>IF(F63="","",(SUMPRODUCT((Лэндинг!$E$5:$E$300=$B63)*Лэндинг!$I$5:$I$300*Лэндинг!$J$5:$J$300)+SUMPRODUCT((Закрытые!$E$5:$E$300=$B63)*(LEFT(Закрытые!$B$5:$B$300,2)="L-")*Закрытые!$I$5:$I$300*Закрытые!$J$5:$J$300))/F63)</f>
        <v/>
      </c>
      <c r="H63" s="241" t="str">
        <f>IF(F63="","",SUMIFS(Лэндинг!$K$5:$K$300,Лэндинг!$E$5:$E$300,$B63)+SUMIFS(Закрытые!$K$5:$K$300,Закрытые!$E$5:$E$300,$B63,Закрытые!$B$5:$B$300,"L-*"))</f>
        <v/>
      </c>
      <c r="I63" s="240" t="str">
        <f>IF($B63="","",IF(COUNTIFS(Лэндинг!$E$5:$E$300,$B63)+COUNTIFS(Закрытые!$E$5:$E$300,$B63,Закрытые!$B$5:$B$300,"L-*")=0,"",ROUND(SUMIFS(Лэндинг!$L$5:$L$300,Лэндинг!$E$5:$E$300,$B63)+SUMIFS(Закрытые!$L$5:$L$300,Закрытые!$E$5:$E$300,$B63,Закрытые!$B$5:$B$300,"L-*"),8)))</f>
        <v/>
      </c>
      <c r="J63" s="241" t="str">
        <f>IF($B63="","",IF(COUNTIFS(Лэндинг!$E$5:$E$300,$B63)+COUNTIFS(Закрытые!$E$5:$E$300,$B63,Закрытые!$B$5:$B$300,"L-*")=0,"",ROUND(SUMIFS(Лэндинг!$M$5:$M$300,Лэндинг!$E$5:$E$300,$B63)+SUMIFS(Закрытые!$M$5:$M$300,Закрытые!$E$5:$E$300,$B63,Закрытые!$B$5:$B$300,"L-*"),8)))</f>
        <v/>
      </c>
      <c r="K63" s="240" t="str">
        <f>IF(MIN(N(C63),N(F63))&lt;=0,"",ROUND(MIN(N(C63),N(F63))*(N(G63)-N(D63)),8))</f>
        <v/>
      </c>
      <c r="L63" s="177" t="str">
        <f>IF(MIN(N(C63),N(F63))&lt;=0,"",IF(N(D63)=0,"",ROUND((N(G63)/N(D63)-1)*100,2)))</f>
        <v/>
      </c>
      <c r="M63" s="177" t="str">
        <f>IF(OR(ROUND(N(C63)-N(F63),8)=0,1-N(Ввод!$J$19)/100&lt;=0),"",IF(N(C63)&gt;N(F63),(N(E63)-N(H63))/((N(C63)-N(F63))*(1-N(Ввод!$J$19)/100)),(N(H63)-N(E63))/((N(F63)-N(C63))*(1+N(Ввод!$J$19)/100))))</f>
        <v/>
      </c>
    </row>
    <row r="64" ht="22" customHeight="1">
      <c r="B64" s="245" t="n"/>
      <c r="C64" s="246" t="str">
        <f>IF(SUMIFS(Лэндинг!$F$5:$F$300,Лэндинг!$E$5:$E$300,$B64)+SUMIFS(Закрытые!$F$5:$F$300,Закрытые!$E$5:$E$300,$B64,Закрытые!$B$5:$B$300,"L-*")=0,"",SUMIFS(Лэндинг!$F$5:$F$300,Лэндинг!$E$5:$E$300,$B64)+SUMIFS(Закрытые!$F$5:$F$300,Закрытые!$E$5:$E$300,$B64,Закрытые!$B$5:$B$300,"L-*"))</f>
        <v/>
      </c>
      <c r="D64" s="183" t="str">
        <f>IF(C64="","",(SUMPRODUCT((Лэндинг!$E$5:$E$300=$B64)*Лэндинг!$F$5:$F$300*Лэндинг!$G$5:$G$300)+SUMPRODUCT((Закрытые!$E$5:$E$300=$B64)*(LEFT(Закрытые!$B$5:$B$300,2)="L-")*Закрытые!$F$5:$F$300*Закрытые!$G$5:$G$300))/C64)</f>
        <v/>
      </c>
      <c r="E64" s="247" t="str">
        <f>IF(C64="","",SUMIFS(Лэндинг!$H$5:$H$300,Лэндинг!$E$5:$E$300,$B64)+SUMIFS(Закрытые!$H$5:$H$300,Закрытые!$E$5:$E$300,$B64,Закрытые!$B$5:$B$300,"L-*"))</f>
        <v/>
      </c>
      <c r="F64" s="246" t="str">
        <f>IF(SUMIFS(Лэндинг!$I$5:$I$300,Лэндинг!$E$5:$E$300,$B64)+SUMIFS(Закрытые!$I$5:$I$300,Закрытые!$E$5:$E$300,$B64,Закрытые!$B$5:$B$300,"L-*")=0,"",SUMIFS(Лэндинг!$I$5:$I$300,Лэндинг!$E$5:$E$300,$B64)+SUMIFS(Закрытые!$I$5:$I$300,Закрытые!$E$5:$E$300,$B64,Закрытые!$B$5:$B$300,"L-*"))</f>
        <v/>
      </c>
      <c r="G64" s="183" t="str">
        <f>IF(F64="","",(SUMPRODUCT((Лэндинг!$E$5:$E$300=$B64)*Лэндинг!$I$5:$I$300*Лэндинг!$J$5:$J$300)+SUMPRODUCT((Закрытые!$E$5:$E$300=$B64)*(LEFT(Закрытые!$B$5:$B$300,2)="L-")*Закрытые!$I$5:$I$300*Закрытые!$J$5:$J$300))/F64)</f>
        <v/>
      </c>
      <c r="H64" s="247" t="str">
        <f>IF(F64="","",SUMIFS(Лэндинг!$K$5:$K$300,Лэндинг!$E$5:$E$300,$B64)+SUMIFS(Закрытые!$K$5:$K$300,Закрытые!$E$5:$E$300,$B64,Закрытые!$B$5:$B$300,"L-*"))</f>
        <v/>
      </c>
      <c r="I64" s="246" t="str">
        <f>IF($B64="","",IF(COUNTIFS(Лэндинг!$E$5:$E$300,$B64)+COUNTIFS(Закрытые!$E$5:$E$300,$B64,Закрытые!$B$5:$B$300,"L-*")=0,"",ROUND(SUMIFS(Лэндинг!$L$5:$L$300,Лэндинг!$E$5:$E$300,$B64)+SUMIFS(Закрытые!$L$5:$L$300,Закрытые!$E$5:$E$300,$B64,Закрытые!$B$5:$B$300,"L-*"),8)))</f>
        <v/>
      </c>
      <c r="J64" s="247" t="str">
        <f>IF($B64="","",IF(COUNTIFS(Лэндинг!$E$5:$E$300,$B64)+COUNTIFS(Закрытые!$E$5:$E$300,$B64,Закрытые!$B$5:$B$300,"L-*")=0,"",ROUND(SUMIFS(Лэндинг!$M$5:$M$300,Лэндинг!$E$5:$E$300,$B64)+SUMIFS(Закрытые!$M$5:$M$300,Закрытые!$E$5:$E$300,$B64,Закрытые!$B$5:$B$300,"L-*"),8)))</f>
        <v/>
      </c>
      <c r="K64" s="246" t="str">
        <f>IF(MIN(N(C64),N(F64))&lt;=0,"",ROUND(MIN(N(C64),N(F64))*(N(G64)-N(D64)),8))</f>
        <v/>
      </c>
      <c r="L64" s="183" t="str">
        <f>IF(MIN(N(C64),N(F64))&lt;=0,"",IF(N(D64)=0,"",ROUND((N(G64)/N(D64)-1)*100,2)))</f>
        <v/>
      </c>
      <c r="M64" s="183" t="str">
        <f>IF(OR(ROUND(N(C64)-N(F64),8)=0,1-N(Ввод!$J$19)/100&lt;=0),"",IF(N(C64)&gt;N(F64),(N(E64)-N(H64))/((N(C64)-N(F64))*(1-N(Ввод!$J$19)/100)),(N(H64)-N(E64))/((N(F64)-N(C64))*(1+N(Ввод!$J$19)/100))))</f>
        <v/>
      </c>
    </row>
    <row r="65" ht="22" customHeight="1">
      <c r="B65" s="239" t="n"/>
      <c r="C65" s="240" t="str">
        <f>IF(SUMIFS(Лэндинг!$F$5:$F$300,Лэндинг!$E$5:$E$300,$B65)+SUMIFS(Закрытые!$F$5:$F$300,Закрытые!$E$5:$E$300,$B65,Закрытые!$B$5:$B$300,"L-*")=0,"",SUMIFS(Лэндинг!$F$5:$F$300,Лэндинг!$E$5:$E$300,$B65)+SUMIFS(Закрытые!$F$5:$F$300,Закрытые!$E$5:$E$300,$B65,Закрытые!$B$5:$B$300,"L-*"))</f>
        <v/>
      </c>
      <c r="D65" s="177" t="str">
        <f>IF(C65="","",(SUMPRODUCT((Лэндинг!$E$5:$E$300=$B65)*Лэндинг!$F$5:$F$300*Лэндинг!$G$5:$G$300)+SUMPRODUCT((Закрытые!$E$5:$E$300=$B65)*(LEFT(Закрытые!$B$5:$B$300,2)="L-")*Закрытые!$F$5:$F$300*Закрытые!$G$5:$G$300))/C65)</f>
        <v/>
      </c>
      <c r="E65" s="241" t="str">
        <f>IF(C65="","",SUMIFS(Лэндинг!$H$5:$H$300,Лэндинг!$E$5:$E$300,$B65)+SUMIFS(Закрытые!$H$5:$H$300,Закрытые!$E$5:$E$300,$B65,Закрытые!$B$5:$B$300,"L-*"))</f>
        <v/>
      </c>
      <c r="F65" s="240" t="str">
        <f>IF(SUMIFS(Лэндинг!$I$5:$I$300,Лэндинг!$E$5:$E$300,$B65)+SUMIFS(Закрытые!$I$5:$I$300,Закрытые!$E$5:$E$300,$B65,Закрытые!$B$5:$B$300,"L-*")=0,"",SUMIFS(Лэндинг!$I$5:$I$300,Лэндинг!$E$5:$E$300,$B65)+SUMIFS(Закрытые!$I$5:$I$300,Закрытые!$E$5:$E$300,$B65,Закрытые!$B$5:$B$300,"L-*"))</f>
        <v/>
      </c>
      <c r="G65" s="177" t="str">
        <f>IF(F65="","",(SUMPRODUCT((Лэндинг!$E$5:$E$300=$B65)*Лэндинг!$I$5:$I$300*Лэндинг!$J$5:$J$300)+SUMPRODUCT((Закрытые!$E$5:$E$300=$B65)*(LEFT(Закрытые!$B$5:$B$300,2)="L-")*Закрытые!$I$5:$I$300*Закрытые!$J$5:$J$300))/F65)</f>
        <v/>
      </c>
      <c r="H65" s="241" t="str">
        <f>IF(F65="","",SUMIFS(Лэндинг!$K$5:$K$300,Лэндинг!$E$5:$E$300,$B65)+SUMIFS(Закрытые!$K$5:$K$300,Закрытые!$E$5:$E$300,$B65,Закрытые!$B$5:$B$300,"L-*"))</f>
        <v/>
      </c>
      <c r="I65" s="240" t="str">
        <f>IF($B65="","",IF(COUNTIFS(Лэндинг!$E$5:$E$300,$B65)+COUNTIFS(Закрытые!$E$5:$E$300,$B65,Закрытые!$B$5:$B$300,"L-*")=0,"",ROUND(SUMIFS(Лэндинг!$L$5:$L$300,Лэндинг!$E$5:$E$300,$B65)+SUMIFS(Закрытые!$L$5:$L$300,Закрытые!$E$5:$E$300,$B65,Закрытые!$B$5:$B$300,"L-*"),8)))</f>
        <v/>
      </c>
      <c r="J65" s="241" t="str">
        <f>IF($B65="","",IF(COUNTIFS(Лэндинг!$E$5:$E$300,$B65)+COUNTIFS(Закрытые!$E$5:$E$300,$B65,Закрытые!$B$5:$B$300,"L-*")=0,"",ROUND(SUMIFS(Лэндинг!$M$5:$M$300,Лэндинг!$E$5:$E$300,$B65)+SUMIFS(Закрытые!$M$5:$M$300,Закрытые!$E$5:$E$300,$B65,Закрытые!$B$5:$B$300,"L-*"),8)))</f>
        <v/>
      </c>
      <c r="K65" s="240" t="str">
        <f>IF(MIN(N(C65),N(F65))&lt;=0,"",ROUND(MIN(N(C65),N(F65))*(N(G65)-N(D65)),8))</f>
        <v/>
      </c>
      <c r="L65" s="177" t="str">
        <f>IF(MIN(N(C65),N(F65))&lt;=0,"",IF(N(D65)=0,"",ROUND((N(G65)/N(D65)-1)*100,2)))</f>
        <v/>
      </c>
      <c r="M65" s="177" t="str">
        <f>IF(OR(ROUND(N(C65)-N(F65),8)=0,1-N(Ввод!$J$19)/100&lt;=0),"",IF(N(C65)&gt;N(F65),(N(E65)-N(H65))/((N(C65)-N(F65))*(1-N(Ввод!$J$19)/100)),(N(H65)-N(E65))/((N(F65)-N(C65))*(1+N(Ввод!$J$19)/100))))</f>
        <v/>
      </c>
    </row>
    <row r="66" ht="22" customHeight="1">
      <c r="B66" s="245" t="n"/>
      <c r="C66" s="246" t="str">
        <f>IF(SUMIFS(Лэндинг!$F$5:$F$300,Лэндинг!$E$5:$E$300,$B66)+SUMIFS(Закрытые!$F$5:$F$300,Закрытые!$E$5:$E$300,$B66,Закрытые!$B$5:$B$300,"L-*")=0,"",SUMIFS(Лэндинг!$F$5:$F$300,Лэндинг!$E$5:$E$300,$B66)+SUMIFS(Закрытые!$F$5:$F$300,Закрытые!$E$5:$E$300,$B66,Закрытые!$B$5:$B$300,"L-*"))</f>
        <v/>
      </c>
      <c r="D66" s="183" t="str">
        <f>IF(C66="","",(SUMPRODUCT((Лэндинг!$E$5:$E$300=$B66)*Лэндинг!$F$5:$F$300*Лэндинг!$G$5:$G$300)+SUMPRODUCT((Закрытые!$E$5:$E$300=$B66)*(LEFT(Закрытые!$B$5:$B$300,2)="L-")*Закрытые!$F$5:$F$300*Закрытые!$G$5:$G$300))/C66)</f>
        <v/>
      </c>
      <c r="E66" s="247" t="str">
        <f>IF(C66="","",SUMIFS(Лэндинг!$H$5:$H$300,Лэндинг!$E$5:$E$300,$B66)+SUMIFS(Закрытые!$H$5:$H$300,Закрытые!$E$5:$E$300,$B66,Закрытые!$B$5:$B$300,"L-*"))</f>
        <v/>
      </c>
      <c r="F66" s="246" t="str">
        <f>IF(SUMIFS(Лэндинг!$I$5:$I$300,Лэндинг!$E$5:$E$300,$B66)+SUMIFS(Закрытые!$I$5:$I$300,Закрытые!$E$5:$E$300,$B66,Закрытые!$B$5:$B$300,"L-*")=0,"",SUMIFS(Лэндинг!$I$5:$I$300,Лэндинг!$E$5:$E$300,$B66)+SUMIFS(Закрытые!$I$5:$I$300,Закрытые!$E$5:$E$300,$B66,Закрытые!$B$5:$B$300,"L-*"))</f>
        <v/>
      </c>
      <c r="G66" s="183" t="str">
        <f>IF(F66="","",(SUMPRODUCT((Лэндинг!$E$5:$E$300=$B66)*Лэндинг!$I$5:$I$300*Лэндинг!$J$5:$J$300)+SUMPRODUCT((Закрытые!$E$5:$E$300=$B66)*(LEFT(Закрытые!$B$5:$B$300,2)="L-")*Закрытые!$I$5:$I$300*Закрытые!$J$5:$J$300))/F66)</f>
        <v/>
      </c>
      <c r="H66" s="247" t="str">
        <f>IF(F66="","",SUMIFS(Лэндинг!$K$5:$K$300,Лэндинг!$E$5:$E$300,$B66)+SUMIFS(Закрытые!$K$5:$K$300,Закрытые!$E$5:$E$300,$B66,Закрытые!$B$5:$B$300,"L-*"))</f>
        <v/>
      </c>
      <c r="I66" s="246" t="str">
        <f>IF($B66="","",IF(COUNTIFS(Лэндинг!$E$5:$E$300,$B66)+COUNTIFS(Закрытые!$E$5:$E$300,$B66,Закрытые!$B$5:$B$300,"L-*")=0,"",ROUND(SUMIFS(Лэндинг!$L$5:$L$300,Лэндинг!$E$5:$E$300,$B66)+SUMIFS(Закрытые!$L$5:$L$300,Закрытые!$E$5:$E$300,$B66,Закрытые!$B$5:$B$300,"L-*"),8)))</f>
        <v/>
      </c>
      <c r="J66" s="247" t="str">
        <f>IF($B66="","",IF(COUNTIFS(Лэндинг!$E$5:$E$300,$B66)+COUNTIFS(Закрытые!$E$5:$E$300,$B66,Закрытые!$B$5:$B$300,"L-*")=0,"",ROUND(SUMIFS(Лэндинг!$M$5:$M$300,Лэндинг!$E$5:$E$300,$B66)+SUMIFS(Закрытые!$M$5:$M$300,Закрытые!$E$5:$E$300,$B66,Закрытые!$B$5:$B$300,"L-*"),8)))</f>
        <v/>
      </c>
      <c r="K66" s="246" t="str">
        <f>IF(MIN(N(C66),N(F66))&lt;=0,"",ROUND(MIN(N(C66),N(F66))*(N(G66)-N(D66)),8))</f>
        <v/>
      </c>
      <c r="L66" s="183" t="str">
        <f>IF(MIN(N(C66),N(F66))&lt;=0,"",IF(N(D66)=0,"",ROUND((N(G66)/N(D66)-1)*100,2)))</f>
        <v/>
      </c>
      <c r="M66" s="183" t="str">
        <f>IF(OR(ROUND(N(C66)-N(F66),8)=0,1-N(Ввод!$J$19)/100&lt;=0),"",IF(N(C66)&gt;N(F66),(N(E66)-N(H66))/((N(C66)-N(F66))*(1-N(Ввод!$J$19)/100)),(N(H66)-N(E66))/((N(F66)-N(C66))*(1+N(Ввод!$J$19)/100))))</f>
        <v/>
      </c>
    </row>
    <row r="67" ht="22" customHeight="1">
      <c r="B67" s="239" t="n"/>
      <c r="C67" s="240" t="str">
        <f>IF(SUMIFS(Лэндинг!$F$5:$F$300,Лэндинг!$E$5:$E$300,$B67)+SUMIFS(Закрытые!$F$5:$F$300,Закрытые!$E$5:$E$300,$B67,Закрытые!$B$5:$B$300,"L-*")=0,"",SUMIFS(Лэндинг!$F$5:$F$300,Лэндинг!$E$5:$E$300,$B67)+SUMIFS(Закрытые!$F$5:$F$300,Закрытые!$E$5:$E$300,$B67,Закрытые!$B$5:$B$300,"L-*"))</f>
        <v/>
      </c>
      <c r="D67" s="177" t="str">
        <f>IF(C67="","",(SUMPRODUCT((Лэндинг!$E$5:$E$300=$B67)*Лэндинг!$F$5:$F$300*Лэндинг!$G$5:$G$300)+SUMPRODUCT((Закрытые!$E$5:$E$300=$B67)*(LEFT(Закрытые!$B$5:$B$300,2)="L-")*Закрытые!$F$5:$F$300*Закрытые!$G$5:$G$300))/C67)</f>
        <v/>
      </c>
      <c r="E67" s="241" t="str">
        <f>IF(C67="","",SUMIFS(Лэндинг!$H$5:$H$300,Лэндинг!$E$5:$E$300,$B67)+SUMIFS(Закрытые!$H$5:$H$300,Закрытые!$E$5:$E$300,$B67,Закрытые!$B$5:$B$300,"L-*"))</f>
        <v/>
      </c>
      <c r="F67" s="240" t="str">
        <f>IF(SUMIFS(Лэндинг!$I$5:$I$300,Лэндинг!$E$5:$E$300,$B67)+SUMIFS(Закрытые!$I$5:$I$300,Закрытые!$E$5:$E$300,$B67,Закрытые!$B$5:$B$300,"L-*")=0,"",SUMIFS(Лэндинг!$I$5:$I$300,Лэндинг!$E$5:$E$300,$B67)+SUMIFS(Закрытые!$I$5:$I$300,Закрытые!$E$5:$E$300,$B67,Закрытые!$B$5:$B$300,"L-*"))</f>
        <v/>
      </c>
      <c r="G67" s="177" t="str">
        <f>IF(F67="","",(SUMPRODUCT((Лэндинг!$E$5:$E$300=$B67)*Лэндинг!$I$5:$I$300*Лэндинг!$J$5:$J$300)+SUMPRODUCT((Закрытые!$E$5:$E$300=$B67)*(LEFT(Закрытые!$B$5:$B$300,2)="L-")*Закрытые!$I$5:$I$300*Закрытые!$J$5:$J$300))/F67)</f>
        <v/>
      </c>
      <c r="H67" s="241" t="str">
        <f>IF(F67="","",SUMIFS(Лэндинг!$K$5:$K$300,Лэндинг!$E$5:$E$300,$B67)+SUMIFS(Закрытые!$K$5:$K$300,Закрытые!$E$5:$E$300,$B67,Закрытые!$B$5:$B$300,"L-*"))</f>
        <v/>
      </c>
      <c r="I67" s="240" t="str">
        <f>IF($B67="","",IF(COUNTIFS(Лэндинг!$E$5:$E$300,$B67)+COUNTIFS(Закрытые!$E$5:$E$300,$B67,Закрытые!$B$5:$B$300,"L-*")=0,"",ROUND(SUMIFS(Лэндинг!$L$5:$L$300,Лэндинг!$E$5:$E$300,$B67)+SUMIFS(Закрытые!$L$5:$L$300,Закрытые!$E$5:$E$300,$B67,Закрытые!$B$5:$B$300,"L-*"),8)))</f>
        <v/>
      </c>
      <c r="J67" s="241" t="str">
        <f>IF($B67="","",IF(COUNTIFS(Лэндинг!$E$5:$E$300,$B67)+COUNTIFS(Закрытые!$E$5:$E$300,$B67,Закрытые!$B$5:$B$300,"L-*")=0,"",ROUND(SUMIFS(Лэндинг!$M$5:$M$300,Лэндинг!$E$5:$E$300,$B67)+SUMIFS(Закрытые!$M$5:$M$300,Закрытые!$E$5:$E$300,$B67,Закрытые!$B$5:$B$300,"L-*"),8)))</f>
        <v/>
      </c>
      <c r="K67" s="240" t="str">
        <f>IF(MIN(N(C67),N(F67))&lt;=0,"",ROUND(MIN(N(C67),N(F67))*(N(G67)-N(D67)),8))</f>
        <v/>
      </c>
      <c r="L67" s="177" t="str">
        <f>IF(MIN(N(C67),N(F67))&lt;=0,"",IF(N(D67)=0,"",ROUND((N(G67)/N(D67)-1)*100,2)))</f>
        <v/>
      </c>
      <c r="M67" s="177" t="str">
        <f>IF(OR(ROUND(N(C67)-N(F67),8)=0,1-N(Ввод!$J$19)/100&lt;=0),"",IF(N(C67)&gt;N(F67),(N(E67)-N(H67))/((N(C67)-N(F67))*(1-N(Ввод!$J$19)/100)),(N(H67)-N(E67))/((N(F67)-N(C67))*(1+N(Ввод!$J$19)/100))))</f>
        <v/>
      </c>
    </row>
    <row r="68" ht="22" customHeight="1">
      <c r="B68" s="245" t="n"/>
      <c r="C68" s="246" t="str">
        <f>IF(SUMIFS(Лэндинг!$F$5:$F$300,Лэндинг!$E$5:$E$300,$B68)+SUMIFS(Закрытые!$F$5:$F$300,Закрытые!$E$5:$E$300,$B68,Закрытые!$B$5:$B$300,"L-*")=0,"",SUMIFS(Лэндинг!$F$5:$F$300,Лэндинг!$E$5:$E$300,$B68)+SUMIFS(Закрытые!$F$5:$F$300,Закрытые!$E$5:$E$300,$B68,Закрытые!$B$5:$B$300,"L-*"))</f>
        <v/>
      </c>
      <c r="D68" s="183" t="str">
        <f>IF(C68="","",(SUMPRODUCT((Лэндинг!$E$5:$E$300=$B68)*Лэндинг!$F$5:$F$300*Лэндинг!$G$5:$G$300)+SUMPRODUCT((Закрытые!$E$5:$E$300=$B68)*(LEFT(Закрытые!$B$5:$B$300,2)="L-")*Закрытые!$F$5:$F$300*Закрытые!$G$5:$G$300))/C68)</f>
        <v/>
      </c>
      <c r="E68" s="247" t="str">
        <f>IF(C68="","",SUMIFS(Лэндинг!$H$5:$H$300,Лэндинг!$E$5:$E$300,$B68)+SUMIFS(Закрытые!$H$5:$H$300,Закрытые!$E$5:$E$300,$B68,Закрытые!$B$5:$B$300,"L-*"))</f>
        <v/>
      </c>
      <c r="F68" s="246" t="str">
        <f>IF(SUMIFS(Лэндинг!$I$5:$I$300,Лэндинг!$E$5:$E$300,$B68)+SUMIFS(Закрытые!$I$5:$I$300,Закрытые!$E$5:$E$300,$B68,Закрытые!$B$5:$B$300,"L-*")=0,"",SUMIFS(Лэндинг!$I$5:$I$300,Лэндинг!$E$5:$E$300,$B68)+SUMIFS(Закрытые!$I$5:$I$300,Закрытые!$E$5:$E$300,$B68,Закрытые!$B$5:$B$300,"L-*"))</f>
        <v/>
      </c>
      <c r="G68" s="183" t="str">
        <f>IF(F68="","",(SUMPRODUCT((Лэндинг!$E$5:$E$300=$B68)*Лэндинг!$I$5:$I$300*Лэндинг!$J$5:$J$300)+SUMPRODUCT((Закрытые!$E$5:$E$300=$B68)*(LEFT(Закрытые!$B$5:$B$300,2)="L-")*Закрытые!$I$5:$I$300*Закрытые!$J$5:$J$300))/F68)</f>
        <v/>
      </c>
      <c r="H68" s="247" t="str">
        <f>IF(F68="","",SUMIFS(Лэндинг!$K$5:$K$300,Лэндинг!$E$5:$E$300,$B68)+SUMIFS(Закрытые!$K$5:$K$300,Закрытые!$E$5:$E$300,$B68,Закрытые!$B$5:$B$300,"L-*"))</f>
        <v/>
      </c>
      <c r="I68" s="246" t="str">
        <f>IF($B68="","",IF(COUNTIFS(Лэндинг!$E$5:$E$300,$B68)+COUNTIFS(Закрытые!$E$5:$E$300,$B68,Закрытые!$B$5:$B$300,"L-*")=0,"",ROUND(SUMIFS(Лэндинг!$L$5:$L$300,Лэндинг!$E$5:$E$300,$B68)+SUMIFS(Закрытые!$L$5:$L$300,Закрытые!$E$5:$E$300,$B68,Закрытые!$B$5:$B$300,"L-*"),8)))</f>
        <v/>
      </c>
      <c r="J68" s="247" t="str">
        <f>IF($B68="","",IF(COUNTIFS(Лэндинг!$E$5:$E$300,$B68)+COUNTIFS(Закрытые!$E$5:$E$300,$B68,Закрытые!$B$5:$B$300,"L-*")=0,"",ROUND(SUMIFS(Лэндинг!$M$5:$M$300,Лэндинг!$E$5:$E$300,$B68)+SUMIFS(Закрытые!$M$5:$M$300,Закрытые!$E$5:$E$300,$B68,Закрытые!$B$5:$B$300,"L-*"),8)))</f>
        <v/>
      </c>
      <c r="K68" s="246" t="str">
        <f>IF(MIN(N(C68),N(F68))&lt;=0,"",ROUND(MIN(N(C68),N(F68))*(N(G68)-N(D68)),8))</f>
        <v/>
      </c>
      <c r="L68" s="183" t="str">
        <f>IF(MIN(N(C68),N(F68))&lt;=0,"",IF(N(D68)=0,"",ROUND((N(G68)/N(D68)-1)*100,2)))</f>
        <v/>
      </c>
      <c r="M68" s="183" t="str">
        <f>IF(OR(ROUND(N(C68)-N(F68),8)=0,1-N(Ввод!$J$19)/100&lt;=0),"",IF(N(C68)&gt;N(F68),(N(E68)-N(H68))/((N(C68)-N(F68))*(1-N(Ввод!$J$19)/100)),(N(H68)-N(E68))/((N(F68)-N(C68))*(1+N(Ввод!$J$19)/100))))</f>
        <v/>
      </c>
    </row>
    <row r="69" ht="22" customHeight="1">
      <c r="B69" s="239" t="n"/>
      <c r="C69" s="240" t="str">
        <f>IF(SUMIFS(Лэндинг!$F$5:$F$300,Лэндинг!$E$5:$E$300,$B69)+SUMIFS(Закрытые!$F$5:$F$300,Закрытые!$E$5:$E$300,$B69,Закрытые!$B$5:$B$300,"L-*")=0,"",SUMIFS(Лэндинг!$F$5:$F$300,Лэндинг!$E$5:$E$300,$B69)+SUMIFS(Закрытые!$F$5:$F$300,Закрытые!$E$5:$E$300,$B69,Закрытые!$B$5:$B$300,"L-*"))</f>
        <v/>
      </c>
      <c r="D69" s="177" t="str">
        <f>IF(C69="","",(SUMPRODUCT((Лэндинг!$E$5:$E$300=$B69)*Лэндинг!$F$5:$F$300*Лэндинг!$G$5:$G$300)+SUMPRODUCT((Закрытые!$E$5:$E$300=$B69)*(LEFT(Закрытые!$B$5:$B$300,2)="L-")*Закрытые!$F$5:$F$300*Закрытые!$G$5:$G$300))/C69)</f>
        <v/>
      </c>
      <c r="E69" s="241" t="str">
        <f>IF(C69="","",SUMIFS(Лэндинг!$H$5:$H$300,Лэндинг!$E$5:$E$300,$B69)+SUMIFS(Закрытые!$H$5:$H$300,Закрытые!$E$5:$E$300,$B69,Закрытые!$B$5:$B$300,"L-*"))</f>
        <v/>
      </c>
      <c r="F69" s="240" t="str">
        <f>IF(SUMIFS(Лэндинг!$I$5:$I$300,Лэндинг!$E$5:$E$300,$B69)+SUMIFS(Закрытые!$I$5:$I$300,Закрытые!$E$5:$E$300,$B69,Закрытые!$B$5:$B$300,"L-*")=0,"",SUMIFS(Лэндинг!$I$5:$I$300,Лэндинг!$E$5:$E$300,$B69)+SUMIFS(Закрытые!$I$5:$I$300,Закрытые!$E$5:$E$300,$B69,Закрытые!$B$5:$B$300,"L-*"))</f>
        <v/>
      </c>
      <c r="G69" s="177" t="str">
        <f>IF(F69="","",(SUMPRODUCT((Лэндинг!$E$5:$E$300=$B69)*Лэндинг!$I$5:$I$300*Лэндинг!$J$5:$J$300)+SUMPRODUCT((Закрытые!$E$5:$E$300=$B69)*(LEFT(Закрытые!$B$5:$B$300,2)="L-")*Закрытые!$I$5:$I$300*Закрытые!$J$5:$J$300))/F69)</f>
        <v/>
      </c>
      <c r="H69" s="241" t="str">
        <f>IF(F69="","",SUMIFS(Лэндинг!$K$5:$K$300,Лэндинг!$E$5:$E$300,$B69)+SUMIFS(Закрытые!$K$5:$K$300,Закрытые!$E$5:$E$300,$B69,Закрытые!$B$5:$B$300,"L-*"))</f>
        <v/>
      </c>
      <c r="I69" s="240" t="str">
        <f>IF($B69="","",IF(COUNTIFS(Лэндинг!$E$5:$E$300,$B69)+COUNTIFS(Закрытые!$E$5:$E$300,$B69,Закрытые!$B$5:$B$300,"L-*")=0,"",ROUND(SUMIFS(Лэндинг!$L$5:$L$300,Лэндинг!$E$5:$E$300,$B69)+SUMIFS(Закрытые!$L$5:$L$300,Закрытые!$E$5:$E$300,$B69,Закрытые!$B$5:$B$300,"L-*"),8)))</f>
        <v/>
      </c>
      <c r="J69" s="241" t="str">
        <f>IF($B69="","",IF(COUNTIFS(Лэндинг!$E$5:$E$300,$B69)+COUNTIFS(Закрытые!$E$5:$E$300,$B69,Закрытые!$B$5:$B$300,"L-*")=0,"",ROUND(SUMIFS(Лэндинг!$M$5:$M$300,Лэндинг!$E$5:$E$300,$B69)+SUMIFS(Закрытые!$M$5:$M$300,Закрытые!$E$5:$E$300,$B69,Закрытые!$B$5:$B$300,"L-*"),8)))</f>
        <v/>
      </c>
      <c r="K69" s="240" t="str">
        <f>IF(MIN(N(C69),N(F69))&lt;=0,"",ROUND(MIN(N(C69),N(F69))*(N(G69)-N(D69)),8))</f>
        <v/>
      </c>
      <c r="L69" s="177" t="str">
        <f>IF(MIN(N(C69),N(F69))&lt;=0,"",IF(N(D69)=0,"",ROUND((N(G69)/N(D69)-1)*100,2)))</f>
        <v/>
      </c>
      <c r="M69" s="177" t="str">
        <f>IF(OR(ROUND(N(C69)-N(F69),8)=0,1-N(Ввод!$J$19)/100&lt;=0),"",IF(N(C69)&gt;N(F69),(N(E69)-N(H69))/((N(C69)-N(F69))*(1-N(Ввод!$J$19)/100)),(N(H69)-N(E69))/((N(F69)-N(C69))*(1+N(Ввод!$J$19)/100))))</f>
        <v/>
      </c>
    </row>
    <row r="70" ht="22" customHeight="1">
      <c r="B70" s="245" t="n"/>
      <c r="C70" s="246" t="str">
        <f>IF(SUMIFS(Лэндинг!$F$5:$F$300,Лэндинг!$E$5:$E$300,$B70)+SUMIFS(Закрытые!$F$5:$F$300,Закрытые!$E$5:$E$300,$B70,Закрытые!$B$5:$B$300,"L-*")=0,"",SUMIFS(Лэндинг!$F$5:$F$300,Лэндинг!$E$5:$E$300,$B70)+SUMIFS(Закрытые!$F$5:$F$300,Закрытые!$E$5:$E$300,$B70,Закрытые!$B$5:$B$300,"L-*"))</f>
        <v/>
      </c>
      <c r="D70" s="183" t="str">
        <f>IF(C70="","",(SUMPRODUCT((Лэндинг!$E$5:$E$300=$B70)*Лэндинг!$F$5:$F$300*Лэндинг!$G$5:$G$300)+SUMPRODUCT((Закрытые!$E$5:$E$300=$B70)*(LEFT(Закрытые!$B$5:$B$300,2)="L-")*Закрытые!$F$5:$F$300*Закрытые!$G$5:$G$300))/C70)</f>
        <v/>
      </c>
      <c r="E70" s="247" t="str">
        <f>IF(C70="","",SUMIFS(Лэндинг!$H$5:$H$300,Лэндинг!$E$5:$E$300,$B70)+SUMIFS(Закрытые!$H$5:$H$300,Закрытые!$E$5:$E$300,$B70,Закрытые!$B$5:$B$300,"L-*"))</f>
        <v/>
      </c>
      <c r="F70" s="246" t="str">
        <f>IF(SUMIFS(Лэндинг!$I$5:$I$300,Лэндинг!$E$5:$E$300,$B70)+SUMIFS(Закрытые!$I$5:$I$300,Закрытые!$E$5:$E$300,$B70,Закрытые!$B$5:$B$300,"L-*")=0,"",SUMIFS(Лэндинг!$I$5:$I$300,Лэндинг!$E$5:$E$300,$B70)+SUMIFS(Закрытые!$I$5:$I$300,Закрытые!$E$5:$E$300,$B70,Закрытые!$B$5:$B$300,"L-*"))</f>
        <v/>
      </c>
      <c r="G70" s="183" t="str">
        <f>IF(F70="","",(SUMPRODUCT((Лэндинг!$E$5:$E$300=$B70)*Лэндинг!$I$5:$I$300*Лэндинг!$J$5:$J$300)+SUMPRODUCT((Закрытые!$E$5:$E$300=$B70)*(LEFT(Закрытые!$B$5:$B$300,2)="L-")*Закрытые!$I$5:$I$300*Закрытые!$J$5:$J$300))/F70)</f>
        <v/>
      </c>
      <c r="H70" s="247" t="str">
        <f>IF(F70="","",SUMIFS(Лэндинг!$K$5:$K$300,Лэндинг!$E$5:$E$300,$B70)+SUMIFS(Закрытые!$K$5:$K$300,Закрытые!$E$5:$E$300,$B70,Закрытые!$B$5:$B$300,"L-*"))</f>
        <v/>
      </c>
      <c r="I70" s="246" t="str">
        <f>IF($B70="","",IF(COUNTIFS(Лэндинг!$E$5:$E$300,$B70)+COUNTIFS(Закрытые!$E$5:$E$300,$B70,Закрытые!$B$5:$B$300,"L-*")=0,"",ROUND(SUMIFS(Лэндинг!$L$5:$L$300,Лэндинг!$E$5:$E$300,$B70)+SUMIFS(Закрытые!$L$5:$L$300,Закрытые!$E$5:$E$300,$B70,Закрытые!$B$5:$B$300,"L-*"),8)))</f>
        <v/>
      </c>
      <c r="J70" s="247" t="str">
        <f>IF($B70="","",IF(COUNTIFS(Лэндинг!$E$5:$E$300,$B70)+COUNTIFS(Закрытые!$E$5:$E$300,$B70,Закрытые!$B$5:$B$300,"L-*")=0,"",ROUND(SUMIFS(Лэндинг!$M$5:$M$300,Лэндинг!$E$5:$E$300,$B70)+SUMIFS(Закрытые!$M$5:$M$300,Закрытые!$E$5:$E$300,$B70,Закрытые!$B$5:$B$300,"L-*"),8)))</f>
        <v/>
      </c>
      <c r="K70" s="246" t="str">
        <f>IF(MIN(N(C70),N(F70))&lt;=0,"",ROUND(MIN(N(C70),N(F70))*(N(G70)-N(D70)),8))</f>
        <v/>
      </c>
      <c r="L70" s="183" t="str">
        <f>IF(MIN(N(C70),N(F70))&lt;=0,"",IF(N(D70)=0,"",ROUND((N(G70)/N(D70)-1)*100,2)))</f>
        <v/>
      </c>
      <c r="M70" s="183" t="str">
        <f>IF(OR(ROUND(N(C70)-N(F70),8)=0,1-N(Ввод!$J$19)/100&lt;=0),"",IF(N(C70)&gt;N(F70),(N(E70)-N(H70))/((N(C70)-N(F70))*(1-N(Ввод!$J$19)/100)),(N(H70)-N(E70))/((N(F70)-N(C70))*(1+N(Ввод!$J$19)/100))))</f>
        <v/>
      </c>
    </row>
    <row r="71" ht="22" customHeight="1">
      <c r="B71" s="239" t="n"/>
      <c r="C71" s="240" t="str">
        <f>IF(SUMIFS(Лэндинг!$F$5:$F$300,Лэндинг!$E$5:$E$300,$B71)+SUMIFS(Закрытые!$F$5:$F$300,Закрытые!$E$5:$E$300,$B71,Закрытые!$B$5:$B$300,"L-*")=0,"",SUMIFS(Лэндинг!$F$5:$F$300,Лэндинг!$E$5:$E$300,$B71)+SUMIFS(Закрытые!$F$5:$F$300,Закрытые!$E$5:$E$300,$B71,Закрытые!$B$5:$B$300,"L-*"))</f>
        <v/>
      </c>
      <c r="D71" s="177" t="str">
        <f>IF(C71="","",(SUMPRODUCT((Лэндинг!$E$5:$E$300=$B71)*Лэндинг!$F$5:$F$300*Лэндинг!$G$5:$G$300)+SUMPRODUCT((Закрытые!$E$5:$E$300=$B71)*(LEFT(Закрытые!$B$5:$B$300,2)="L-")*Закрытые!$F$5:$F$300*Закрытые!$G$5:$G$300))/C71)</f>
        <v/>
      </c>
      <c r="E71" s="241" t="str">
        <f>IF(C71="","",SUMIFS(Лэндинг!$H$5:$H$300,Лэндинг!$E$5:$E$300,$B71)+SUMIFS(Закрытые!$H$5:$H$300,Закрытые!$E$5:$E$300,$B71,Закрытые!$B$5:$B$300,"L-*"))</f>
        <v/>
      </c>
      <c r="F71" s="240" t="str">
        <f>IF(SUMIFS(Лэндинг!$I$5:$I$300,Лэндинг!$E$5:$E$300,$B71)+SUMIFS(Закрытые!$I$5:$I$300,Закрытые!$E$5:$E$300,$B71,Закрытые!$B$5:$B$300,"L-*")=0,"",SUMIFS(Лэндинг!$I$5:$I$300,Лэндинг!$E$5:$E$300,$B71)+SUMIFS(Закрытые!$I$5:$I$300,Закрытые!$E$5:$E$300,$B71,Закрытые!$B$5:$B$300,"L-*"))</f>
        <v/>
      </c>
      <c r="G71" s="177" t="str">
        <f>IF(F71="","",(SUMPRODUCT((Лэндинг!$E$5:$E$300=$B71)*Лэндинг!$I$5:$I$300*Лэндинг!$J$5:$J$300)+SUMPRODUCT((Закрытые!$E$5:$E$300=$B71)*(LEFT(Закрытые!$B$5:$B$300,2)="L-")*Закрытые!$I$5:$I$300*Закрытые!$J$5:$J$300))/F71)</f>
        <v/>
      </c>
      <c r="H71" s="241" t="str">
        <f>IF(F71="","",SUMIFS(Лэндинг!$K$5:$K$300,Лэндинг!$E$5:$E$300,$B71)+SUMIFS(Закрытые!$K$5:$K$300,Закрытые!$E$5:$E$300,$B71,Закрытые!$B$5:$B$300,"L-*"))</f>
        <v/>
      </c>
      <c r="I71" s="240" t="str">
        <f>IF($B71="","",IF(COUNTIFS(Лэндинг!$E$5:$E$300,$B71)+COUNTIFS(Закрытые!$E$5:$E$300,$B71,Закрытые!$B$5:$B$300,"L-*")=0,"",ROUND(SUMIFS(Лэндинг!$L$5:$L$300,Лэндинг!$E$5:$E$300,$B71)+SUMIFS(Закрытые!$L$5:$L$300,Закрытые!$E$5:$E$300,$B71,Закрытые!$B$5:$B$300,"L-*"),8)))</f>
        <v/>
      </c>
      <c r="J71" s="241" t="str">
        <f>IF($B71="","",IF(COUNTIFS(Лэндинг!$E$5:$E$300,$B71)+COUNTIFS(Закрытые!$E$5:$E$300,$B71,Закрытые!$B$5:$B$300,"L-*")=0,"",ROUND(SUMIFS(Лэндинг!$M$5:$M$300,Лэндинг!$E$5:$E$300,$B71)+SUMIFS(Закрытые!$M$5:$M$300,Закрытые!$E$5:$E$300,$B71,Закрытые!$B$5:$B$300,"L-*"),8)))</f>
        <v/>
      </c>
      <c r="K71" s="240" t="str">
        <f>IF(MIN(N(C71),N(F71))&lt;=0,"",ROUND(MIN(N(C71),N(F71))*(N(G71)-N(D71)),8))</f>
        <v/>
      </c>
      <c r="L71" s="177" t="str">
        <f>IF(MIN(N(C71),N(F71))&lt;=0,"",IF(N(D71)=0,"",ROUND((N(G71)/N(D71)-1)*100,2)))</f>
        <v/>
      </c>
      <c r="M71" s="177" t="str">
        <f>IF(OR(ROUND(N(C71)-N(F71),8)=0,1-N(Ввод!$J$19)/100&lt;=0),"",IF(N(C71)&gt;N(F71),(N(E71)-N(H71))/((N(C71)-N(F71))*(1-N(Ввод!$J$19)/100)),(N(H71)-N(E71))/((N(F71)-N(C71))*(1+N(Ввод!$J$19)/100))))</f>
        <v/>
      </c>
    </row>
    <row r="72" ht="22" customHeight="1">
      <c r="B72" s="245" t="n"/>
      <c r="C72" s="246" t="str">
        <f>IF(SUMIFS(Лэндинг!$F$5:$F$300,Лэндинг!$E$5:$E$300,$B72)+SUMIFS(Закрытые!$F$5:$F$300,Закрытые!$E$5:$E$300,$B72,Закрытые!$B$5:$B$300,"L-*")=0,"",SUMIFS(Лэндинг!$F$5:$F$300,Лэндинг!$E$5:$E$300,$B72)+SUMIFS(Закрытые!$F$5:$F$300,Закрытые!$E$5:$E$300,$B72,Закрытые!$B$5:$B$300,"L-*"))</f>
        <v/>
      </c>
      <c r="D72" s="183" t="str">
        <f>IF(C72="","",(SUMPRODUCT((Лэндинг!$E$5:$E$300=$B72)*Лэндинг!$F$5:$F$300*Лэндинг!$G$5:$G$300)+SUMPRODUCT((Закрытые!$E$5:$E$300=$B72)*(LEFT(Закрытые!$B$5:$B$300,2)="L-")*Закрытые!$F$5:$F$300*Закрытые!$G$5:$G$300))/C72)</f>
        <v/>
      </c>
      <c r="E72" s="247" t="str">
        <f>IF(C72="","",SUMIFS(Лэндинг!$H$5:$H$300,Лэндинг!$E$5:$E$300,$B72)+SUMIFS(Закрытые!$H$5:$H$300,Закрытые!$E$5:$E$300,$B72,Закрытые!$B$5:$B$300,"L-*"))</f>
        <v/>
      </c>
      <c r="F72" s="246" t="str">
        <f>IF(SUMIFS(Лэндинг!$I$5:$I$300,Лэндинг!$E$5:$E$300,$B72)+SUMIFS(Закрытые!$I$5:$I$300,Закрытые!$E$5:$E$300,$B72,Закрытые!$B$5:$B$300,"L-*")=0,"",SUMIFS(Лэндинг!$I$5:$I$300,Лэндинг!$E$5:$E$300,$B72)+SUMIFS(Закрытые!$I$5:$I$300,Закрытые!$E$5:$E$300,$B72,Закрытые!$B$5:$B$300,"L-*"))</f>
        <v/>
      </c>
      <c r="G72" s="183" t="str">
        <f>IF(F72="","",(SUMPRODUCT((Лэндинг!$E$5:$E$300=$B72)*Лэндинг!$I$5:$I$300*Лэндинг!$J$5:$J$300)+SUMPRODUCT((Закрытые!$E$5:$E$300=$B72)*(LEFT(Закрытые!$B$5:$B$300,2)="L-")*Закрытые!$I$5:$I$300*Закрытые!$J$5:$J$300))/F72)</f>
        <v/>
      </c>
      <c r="H72" s="247" t="str">
        <f>IF(F72="","",SUMIFS(Лэндинг!$K$5:$K$300,Лэндинг!$E$5:$E$300,$B72)+SUMIFS(Закрытые!$K$5:$K$300,Закрытые!$E$5:$E$300,$B72,Закрытые!$B$5:$B$300,"L-*"))</f>
        <v/>
      </c>
      <c r="I72" s="246" t="str">
        <f>IF($B72="","",IF(COUNTIFS(Лэндинг!$E$5:$E$300,$B72)+COUNTIFS(Закрытые!$E$5:$E$300,$B72,Закрытые!$B$5:$B$300,"L-*")=0,"",ROUND(SUMIFS(Лэндинг!$L$5:$L$300,Лэндинг!$E$5:$E$300,$B72)+SUMIFS(Закрытые!$L$5:$L$300,Закрытые!$E$5:$E$300,$B72,Закрытые!$B$5:$B$300,"L-*"),8)))</f>
        <v/>
      </c>
      <c r="J72" s="247" t="str">
        <f>IF($B72="","",IF(COUNTIFS(Лэндинг!$E$5:$E$300,$B72)+COUNTIFS(Закрытые!$E$5:$E$300,$B72,Закрытые!$B$5:$B$300,"L-*")=0,"",ROUND(SUMIFS(Лэндинг!$M$5:$M$300,Лэндинг!$E$5:$E$300,$B72)+SUMIFS(Закрытые!$M$5:$M$300,Закрытые!$E$5:$E$300,$B72,Закрытые!$B$5:$B$300,"L-*"),8)))</f>
        <v/>
      </c>
      <c r="K72" s="246" t="str">
        <f>IF(MIN(N(C72),N(F72))&lt;=0,"",ROUND(MIN(N(C72),N(F72))*(N(G72)-N(D72)),8))</f>
        <v/>
      </c>
      <c r="L72" s="183" t="str">
        <f>IF(MIN(N(C72),N(F72))&lt;=0,"",IF(N(D72)=0,"",ROUND((N(G72)/N(D72)-1)*100,2)))</f>
        <v/>
      </c>
      <c r="M72" s="183" t="str">
        <f>IF(OR(ROUND(N(C72)-N(F72),8)=0,1-N(Ввод!$J$19)/100&lt;=0),"",IF(N(C72)&gt;N(F72),(N(E72)-N(H72))/((N(C72)-N(F72))*(1-N(Ввод!$J$19)/100)),(N(H72)-N(E72))/((N(F72)-N(C72))*(1+N(Ввод!$J$19)/100))))</f>
        <v/>
      </c>
    </row>
    <row r="73" ht="22" customHeight="1">
      <c r="B73" s="239" t="n"/>
      <c r="C73" s="240" t="str">
        <f>IF(SUMIFS(Лэндинг!$F$5:$F$300,Лэндинг!$E$5:$E$300,$B73)+SUMIFS(Закрытые!$F$5:$F$300,Закрытые!$E$5:$E$300,$B73,Закрытые!$B$5:$B$300,"L-*")=0,"",SUMIFS(Лэндинг!$F$5:$F$300,Лэндинг!$E$5:$E$300,$B73)+SUMIFS(Закрытые!$F$5:$F$300,Закрытые!$E$5:$E$300,$B73,Закрытые!$B$5:$B$300,"L-*"))</f>
        <v/>
      </c>
      <c r="D73" s="177" t="str">
        <f>IF(C73="","",(SUMPRODUCT((Лэндинг!$E$5:$E$300=$B73)*Лэндинг!$F$5:$F$300*Лэндинг!$G$5:$G$300)+SUMPRODUCT((Закрытые!$E$5:$E$300=$B73)*(LEFT(Закрытые!$B$5:$B$300,2)="L-")*Закрытые!$F$5:$F$300*Закрытые!$G$5:$G$300))/C73)</f>
        <v/>
      </c>
      <c r="E73" s="241" t="str">
        <f>IF(C73="","",SUMIFS(Лэндинг!$H$5:$H$300,Лэндинг!$E$5:$E$300,$B73)+SUMIFS(Закрытые!$H$5:$H$300,Закрытые!$E$5:$E$300,$B73,Закрытые!$B$5:$B$300,"L-*"))</f>
        <v/>
      </c>
      <c r="F73" s="240" t="str">
        <f>IF(SUMIFS(Лэндинг!$I$5:$I$300,Лэндинг!$E$5:$E$300,$B73)+SUMIFS(Закрытые!$I$5:$I$300,Закрытые!$E$5:$E$300,$B73,Закрытые!$B$5:$B$300,"L-*")=0,"",SUMIFS(Лэндинг!$I$5:$I$300,Лэндинг!$E$5:$E$300,$B73)+SUMIFS(Закрытые!$I$5:$I$300,Закрытые!$E$5:$E$300,$B73,Закрытые!$B$5:$B$300,"L-*"))</f>
        <v/>
      </c>
      <c r="G73" s="177" t="str">
        <f>IF(F73="","",(SUMPRODUCT((Лэндинг!$E$5:$E$300=$B73)*Лэндинг!$I$5:$I$300*Лэндинг!$J$5:$J$300)+SUMPRODUCT((Закрытые!$E$5:$E$300=$B73)*(LEFT(Закрытые!$B$5:$B$300,2)="L-")*Закрытые!$I$5:$I$300*Закрытые!$J$5:$J$300))/F73)</f>
        <v/>
      </c>
      <c r="H73" s="241" t="str">
        <f>IF(F73="","",SUMIFS(Лэндинг!$K$5:$K$300,Лэндинг!$E$5:$E$300,$B73)+SUMIFS(Закрытые!$K$5:$K$300,Закрытые!$E$5:$E$300,$B73,Закрытые!$B$5:$B$300,"L-*"))</f>
        <v/>
      </c>
      <c r="I73" s="240" t="str">
        <f>IF($B73="","",IF(COUNTIFS(Лэндинг!$E$5:$E$300,$B73)+COUNTIFS(Закрытые!$E$5:$E$300,$B73,Закрытые!$B$5:$B$300,"L-*")=0,"",ROUND(SUMIFS(Лэндинг!$L$5:$L$300,Лэндинг!$E$5:$E$300,$B73)+SUMIFS(Закрытые!$L$5:$L$300,Закрытые!$E$5:$E$300,$B73,Закрытые!$B$5:$B$300,"L-*"),8)))</f>
        <v/>
      </c>
      <c r="J73" s="241" t="str">
        <f>IF($B73="","",IF(COUNTIFS(Лэндинг!$E$5:$E$300,$B73)+COUNTIFS(Закрытые!$E$5:$E$300,$B73,Закрытые!$B$5:$B$300,"L-*")=0,"",ROUND(SUMIFS(Лэндинг!$M$5:$M$300,Лэндинг!$E$5:$E$300,$B73)+SUMIFS(Закрытые!$M$5:$M$300,Закрытые!$E$5:$E$300,$B73,Закрытые!$B$5:$B$300,"L-*"),8)))</f>
        <v/>
      </c>
      <c r="K73" s="240" t="str">
        <f>IF(MIN(N(C73),N(F73))&lt;=0,"",ROUND(MIN(N(C73),N(F73))*(N(G73)-N(D73)),8))</f>
        <v/>
      </c>
      <c r="L73" s="177" t="str">
        <f>IF(MIN(N(C73),N(F73))&lt;=0,"",IF(N(D73)=0,"",ROUND((N(G73)/N(D73)-1)*100,2)))</f>
        <v/>
      </c>
      <c r="M73" s="177" t="str">
        <f>IF(OR(ROUND(N(C73)-N(F73),8)=0,1-N(Ввод!$J$19)/100&lt;=0),"",IF(N(C73)&gt;N(F73),(N(E73)-N(H73))/((N(C73)-N(F73))*(1-N(Ввод!$J$19)/100)),(N(H73)-N(E73))/((N(F73)-N(C73))*(1+N(Ввод!$J$19)/100))))</f>
        <v/>
      </c>
    </row>
    <row r="74" ht="22" customHeight="1">
      <c r="B74" s="245" t="n"/>
      <c r="C74" s="246" t="str">
        <f>IF(SUMIFS(Лэндинг!$F$5:$F$300,Лэндинг!$E$5:$E$300,$B74)+SUMIFS(Закрытые!$F$5:$F$300,Закрытые!$E$5:$E$300,$B74,Закрытые!$B$5:$B$300,"L-*")=0,"",SUMIFS(Лэндинг!$F$5:$F$300,Лэндинг!$E$5:$E$300,$B74)+SUMIFS(Закрытые!$F$5:$F$300,Закрытые!$E$5:$E$300,$B74,Закрытые!$B$5:$B$300,"L-*"))</f>
        <v/>
      </c>
      <c r="D74" s="183" t="str">
        <f>IF(C74="","",(SUMPRODUCT((Лэндинг!$E$5:$E$300=$B74)*Лэндинг!$F$5:$F$300*Лэндинг!$G$5:$G$300)+SUMPRODUCT((Закрытые!$E$5:$E$300=$B74)*(LEFT(Закрытые!$B$5:$B$300,2)="L-")*Закрытые!$F$5:$F$300*Закрытые!$G$5:$G$300))/C74)</f>
        <v/>
      </c>
      <c r="E74" s="247" t="str">
        <f>IF(C74="","",SUMIFS(Лэндинг!$H$5:$H$300,Лэндинг!$E$5:$E$300,$B74)+SUMIFS(Закрытые!$H$5:$H$300,Закрытые!$E$5:$E$300,$B74,Закрытые!$B$5:$B$300,"L-*"))</f>
        <v/>
      </c>
      <c r="F74" s="246" t="str">
        <f>IF(SUMIFS(Лэндинг!$I$5:$I$300,Лэндинг!$E$5:$E$300,$B74)+SUMIFS(Закрытые!$I$5:$I$300,Закрытые!$E$5:$E$300,$B74,Закрытые!$B$5:$B$300,"L-*")=0,"",SUMIFS(Лэндинг!$I$5:$I$300,Лэндинг!$E$5:$E$300,$B74)+SUMIFS(Закрытые!$I$5:$I$300,Закрытые!$E$5:$E$300,$B74,Закрытые!$B$5:$B$300,"L-*"))</f>
        <v/>
      </c>
      <c r="G74" s="183" t="str">
        <f>IF(F74="","",(SUMPRODUCT((Лэндинг!$E$5:$E$300=$B74)*Лэндинг!$I$5:$I$300*Лэндинг!$J$5:$J$300)+SUMPRODUCT((Закрытые!$E$5:$E$300=$B74)*(LEFT(Закрытые!$B$5:$B$300,2)="L-")*Закрытые!$I$5:$I$300*Закрытые!$J$5:$J$300))/F74)</f>
        <v/>
      </c>
      <c r="H74" s="247" t="str">
        <f>IF(F74="","",SUMIFS(Лэндинг!$K$5:$K$300,Лэндинг!$E$5:$E$300,$B74)+SUMIFS(Закрытые!$K$5:$K$300,Закрытые!$E$5:$E$300,$B74,Закрытые!$B$5:$B$300,"L-*"))</f>
        <v/>
      </c>
      <c r="I74" s="246" t="str">
        <f>IF($B74="","",IF(COUNTIFS(Лэндинг!$E$5:$E$300,$B74)+COUNTIFS(Закрытые!$E$5:$E$300,$B74,Закрытые!$B$5:$B$300,"L-*")=0,"",ROUND(SUMIFS(Лэндинг!$L$5:$L$300,Лэндинг!$E$5:$E$300,$B74)+SUMIFS(Закрытые!$L$5:$L$300,Закрытые!$E$5:$E$300,$B74,Закрытые!$B$5:$B$300,"L-*"),8)))</f>
        <v/>
      </c>
      <c r="J74" s="247" t="str">
        <f>IF($B74="","",IF(COUNTIFS(Лэндинг!$E$5:$E$300,$B74)+COUNTIFS(Закрытые!$E$5:$E$300,$B74,Закрытые!$B$5:$B$300,"L-*")=0,"",ROUND(SUMIFS(Лэндинг!$M$5:$M$300,Лэндинг!$E$5:$E$300,$B74)+SUMIFS(Закрытые!$M$5:$M$300,Закрытые!$E$5:$E$300,$B74,Закрытые!$B$5:$B$300,"L-*"),8)))</f>
        <v/>
      </c>
      <c r="K74" s="246" t="str">
        <f>IF(MIN(N(C74),N(F74))&lt;=0,"",ROUND(MIN(N(C74),N(F74))*(N(G74)-N(D74)),8))</f>
        <v/>
      </c>
      <c r="L74" s="183" t="str">
        <f>IF(MIN(N(C74),N(F74))&lt;=0,"",IF(N(D74)=0,"",ROUND((N(G74)/N(D74)-1)*100,2)))</f>
        <v/>
      </c>
      <c r="M74" s="183" t="str">
        <f>IF(OR(ROUND(N(C74)-N(F74),8)=0,1-N(Ввод!$J$19)/100&lt;=0),"",IF(N(C74)&gt;N(F74),(N(E74)-N(H74))/((N(C74)-N(F74))*(1-N(Ввод!$J$19)/100)),(N(H74)-N(E74))/((N(F74)-N(C74))*(1+N(Ввод!$J$19)/100))))</f>
        <v/>
      </c>
    </row>
    <row r="75" ht="22" customHeight="1">
      <c r="B75" s="239" t="n"/>
      <c r="C75" s="240" t="str">
        <f>IF(SUMIFS(Лэндинг!$F$5:$F$300,Лэндинг!$E$5:$E$300,$B75)+SUMIFS(Закрытые!$F$5:$F$300,Закрытые!$E$5:$E$300,$B75,Закрытые!$B$5:$B$300,"L-*")=0,"",SUMIFS(Лэндинг!$F$5:$F$300,Лэндинг!$E$5:$E$300,$B75)+SUMIFS(Закрытые!$F$5:$F$300,Закрытые!$E$5:$E$300,$B75,Закрытые!$B$5:$B$300,"L-*"))</f>
        <v/>
      </c>
      <c r="D75" s="177" t="str">
        <f>IF(C75="","",(SUMPRODUCT((Лэндинг!$E$5:$E$300=$B75)*Лэндинг!$F$5:$F$300*Лэндинг!$G$5:$G$300)+SUMPRODUCT((Закрытые!$E$5:$E$300=$B75)*(LEFT(Закрытые!$B$5:$B$300,2)="L-")*Закрытые!$F$5:$F$300*Закрытые!$G$5:$G$300))/C75)</f>
        <v/>
      </c>
      <c r="E75" s="241" t="str">
        <f>IF(C75="","",SUMIFS(Лэндинг!$H$5:$H$300,Лэндинг!$E$5:$E$300,$B75)+SUMIFS(Закрытые!$H$5:$H$300,Закрытые!$E$5:$E$300,$B75,Закрытые!$B$5:$B$300,"L-*"))</f>
        <v/>
      </c>
      <c r="F75" s="240" t="str">
        <f>IF(SUMIFS(Лэндинг!$I$5:$I$300,Лэндинг!$E$5:$E$300,$B75)+SUMIFS(Закрытые!$I$5:$I$300,Закрытые!$E$5:$E$300,$B75,Закрытые!$B$5:$B$300,"L-*")=0,"",SUMIFS(Лэндинг!$I$5:$I$300,Лэндинг!$E$5:$E$300,$B75)+SUMIFS(Закрытые!$I$5:$I$300,Закрытые!$E$5:$E$300,$B75,Закрытые!$B$5:$B$300,"L-*"))</f>
        <v/>
      </c>
      <c r="G75" s="177" t="str">
        <f>IF(F75="","",(SUMPRODUCT((Лэндинг!$E$5:$E$300=$B75)*Лэндинг!$I$5:$I$300*Лэндинг!$J$5:$J$300)+SUMPRODUCT((Закрытые!$E$5:$E$300=$B75)*(LEFT(Закрытые!$B$5:$B$300,2)="L-")*Закрытые!$I$5:$I$300*Закрытые!$J$5:$J$300))/F75)</f>
        <v/>
      </c>
      <c r="H75" s="241" t="str">
        <f>IF(F75="","",SUMIFS(Лэндинг!$K$5:$K$300,Лэндинг!$E$5:$E$300,$B75)+SUMIFS(Закрытые!$K$5:$K$300,Закрытые!$E$5:$E$300,$B75,Закрытые!$B$5:$B$300,"L-*"))</f>
        <v/>
      </c>
      <c r="I75" s="240" t="str">
        <f>IF($B75="","",IF(COUNTIFS(Лэндинг!$E$5:$E$300,$B75)+COUNTIFS(Закрытые!$E$5:$E$300,$B75,Закрытые!$B$5:$B$300,"L-*")=0,"",ROUND(SUMIFS(Лэндинг!$L$5:$L$300,Лэндинг!$E$5:$E$300,$B75)+SUMIFS(Закрытые!$L$5:$L$300,Закрытые!$E$5:$E$300,$B75,Закрытые!$B$5:$B$300,"L-*"),8)))</f>
        <v/>
      </c>
      <c r="J75" s="241" t="str">
        <f>IF($B75="","",IF(COUNTIFS(Лэндинг!$E$5:$E$300,$B75)+COUNTIFS(Закрытые!$E$5:$E$300,$B75,Закрытые!$B$5:$B$300,"L-*")=0,"",ROUND(SUMIFS(Лэндинг!$M$5:$M$300,Лэндинг!$E$5:$E$300,$B75)+SUMIFS(Закрытые!$M$5:$M$300,Закрытые!$E$5:$E$300,$B75,Закрытые!$B$5:$B$300,"L-*"),8)))</f>
        <v/>
      </c>
      <c r="K75" s="240" t="str">
        <f>IF(MIN(N(C75),N(F75))&lt;=0,"",ROUND(MIN(N(C75),N(F75))*(N(G75)-N(D75)),8))</f>
        <v/>
      </c>
      <c r="L75" s="177" t="str">
        <f>IF(MIN(N(C75),N(F75))&lt;=0,"",IF(N(D75)=0,"",ROUND((N(G75)/N(D75)-1)*100,2)))</f>
        <v/>
      </c>
      <c r="M75" s="177" t="str">
        <f>IF(OR(ROUND(N(C75)-N(F75),8)=0,1-N(Ввод!$J$19)/100&lt;=0),"",IF(N(C75)&gt;N(F75),(N(E75)-N(H75))/((N(C75)-N(F75))*(1-N(Ввод!$J$19)/100)),(N(H75)-N(E75))/((N(F75)-N(C75))*(1+N(Ввод!$J$19)/100))))</f>
        <v/>
      </c>
    </row>
    <row r="76" ht="22" customHeight="1">
      <c r="B76" s="245" t="n"/>
      <c r="C76" s="246" t="str">
        <f>IF(SUMIFS(Лэндинг!$F$5:$F$300,Лэндинг!$E$5:$E$300,$B76)+SUMIFS(Закрытые!$F$5:$F$300,Закрытые!$E$5:$E$300,$B76,Закрытые!$B$5:$B$300,"L-*")=0,"",SUMIFS(Лэндинг!$F$5:$F$300,Лэндинг!$E$5:$E$300,$B76)+SUMIFS(Закрытые!$F$5:$F$300,Закрытые!$E$5:$E$300,$B76,Закрытые!$B$5:$B$300,"L-*"))</f>
        <v/>
      </c>
      <c r="D76" s="183" t="str">
        <f>IF(C76="","",(SUMPRODUCT((Лэндинг!$E$5:$E$300=$B76)*Лэндинг!$F$5:$F$300*Лэндинг!$G$5:$G$300)+SUMPRODUCT((Закрытые!$E$5:$E$300=$B76)*(LEFT(Закрытые!$B$5:$B$300,2)="L-")*Закрытые!$F$5:$F$300*Закрытые!$G$5:$G$300))/C76)</f>
        <v/>
      </c>
      <c r="E76" s="247" t="str">
        <f>IF(C76="","",SUMIFS(Лэндинг!$H$5:$H$300,Лэндинг!$E$5:$E$300,$B76)+SUMIFS(Закрытые!$H$5:$H$300,Закрытые!$E$5:$E$300,$B76,Закрытые!$B$5:$B$300,"L-*"))</f>
        <v/>
      </c>
      <c r="F76" s="246" t="str">
        <f>IF(SUMIFS(Лэндинг!$I$5:$I$300,Лэндинг!$E$5:$E$300,$B76)+SUMIFS(Закрытые!$I$5:$I$300,Закрытые!$E$5:$E$300,$B76,Закрытые!$B$5:$B$300,"L-*")=0,"",SUMIFS(Лэндинг!$I$5:$I$300,Лэндинг!$E$5:$E$300,$B76)+SUMIFS(Закрытые!$I$5:$I$300,Закрытые!$E$5:$E$300,$B76,Закрытые!$B$5:$B$300,"L-*"))</f>
        <v/>
      </c>
      <c r="G76" s="183" t="str">
        <f>IF(F76="","",(SUMPRODUCT((Лэндинг!$E$5:$E$300=$B76)*Лэндинг!$I$5:$I$300*Лэндинг!$J$5:$J$300)+SUMPRODUCT((Закрытые!$E$5:$E$300=$B76)*(LEFT(Закрытые!$B$5:$B$300,2)="L-")*Закрытые!$I$5:$I$300*Закрытые!$J$5:$J$300))/F76)</f>
        <v/>
      </c>
      <c r="H76" s="247" t="str">
        <f>IF(F76="","",SUMIFS(Лэндинг!$K$5:$K$300,Лэндинг!$E$5:$E$300,$B76)+SUMIFS(Закрытые!$K$5:$K$300,Закрытые!$E$5:$E$300,$B76,Закрытые!$B$5:$B$300,"L-*"))</f>
        <v/>
      </c>
      <c r="I76" s="246" t="str">
        <f>IF($B76="","",IF(COUNTIFS(Лэндинг!$E$5:$E$300,$B76)+COUNTIFS(Закрытые!$E$5:$E$300,$B76,Закрытые!$B$5:$B$300,"L-*")=0,"",ROUND(SUMIFS(Лэндинг!$L$5:$L$300,Лэндинг!$E$5:$E$300,$B76)+SUMIFS(Закрытые!$L$5:$L$300,Закрытые!$E$5:$E$300,$B76,Закрытые!$B$5:$B$300,"L-*"),8)))</f>
        <v/>
      </c>
      <c r="J76" s="247" t="str">
        <f>IF($B76="","",IF(COUNTIFS(Лэндинг!$E$5:$E$300,$B76)+COUNTIFS(Закрытые!$E$5:$E$300,$B76,Закрытые!$B$5:$B$300,"L-*")=0,"",ROUND(SUMIFS(Лэндинг!$M$5:$M$300,Лэндинг!$E$5:$E$300,$B76)+SUMIFS(Закрытые!$M$5:$M$300,Закрытые!$E$5:$E$300,$B76,Закрытые!$B$5:$B$300,"L-*"),8)))</f>
        <v/>
      </c>
      <c r="K76" s="246" t="str">
        <f>IF(MIN(N(C76),N(F76))&lt;=0,"",ROUND(MIN(N(C76),N(F76))*(N(G76)-N(D76)),8))</f>
        <v/>
      </c>
      <c r="L76" s="183" t="str">
        <f>IF(MIN(N(C76),N(F76))&lt;=0,"",IF(N(D76)=0,"",ROUND((N(G76)/N(D76)-1)*100,2)))</f>
        <v/>
      </c>
      <c r="M76" s="183" t="str">
        <f>IF(OR(ROUND(N(C76)-N(F76),8)=0,1-N(Ввод!$J$19)/100&lt;=0),"",IF(N(C76)&gt;N(F76),(N(E76)-N(H76))/((N(C76)-N(F76))*(1-N(Ввод!$J$19)/100)),(N(H76)-N(E76))/((N(F76)-N(C76))*(1+N(Ввод!$J$19)/100))))</f>
        <v/>
      </c>
    </row>
    <row r="77" ht="22" customHeight="1">
      <c r="B77" s="239" t="n"/>
      <c r="C77" s="240" t="str">
        <f>IF(SUMIFS(Лэндинг!$F$5:$F$300,Лэндинг!$E$5:$E$300,$B77)+SUMIFS(Закрытые!$F$5:$F$300,Закрытые!$E$5:$E$300,$B77,Закрытые!$B$5:$B$300,"L-*")=0,"",SUMIFS(Лэндинг!$F$5:$F$300,Лэндинг!$E$5:$E$300,$B77)+SUMIFS(Закрытые!$F$5:$F$300,Закрытые!$E$5:$E$300,$B77,Закрытые!$B$5:$B$300,"L-*"))</f>
        <v/>
      </c>
      <c r="D77" s="177" t="str">
        <f>IF(C77="","",(SUMPRODUCT((Лэндинг!$E$5:$E$300=$B77)*Лэндинг!$F$5:$F$300*Лэндинг!$G$5:$G$300)+SUMPRODUCT((Закрытые!$E$5:$E$300=$B77)*(LEFT(Закрытые!$B$5:$B$300,2)="L-")*Закрытые!$F$5:$F$300*Закрытые!$G$5:$G$300))/C77)</f>
        <v/>
      </c>
      <c r="E77" s="241" t="str">
        <f>IF(C77="","",SUMIFS(Лэндинг!$H$5:$H$300,Лэндинг!$E$5:$E$300,$B77)+SUMIFS(Закрытые!$H$5:$H$300,Закрытые!$E$5:$E$300,$B77,Закрытые!$B$5:$B$300,"L-*"))</f>
        <v/>
      </c>
      <c r="F77" s="240" t="str">
        <f>IF(SUMIFS(Лэндинг!$I$5:$I$300,Лэндинг!$E$5:$E$300,$B77)+SUMIFS(Закрытые!$I$5:$I$300,Закрытые!$E$5:$E$300,$B77,Закрытые!$B$5:$B$300,"L-*")=0,"",SUMIFS(Лэндинг!$I$5:$I$300,Лэндинг!$E$5:$E$300,$B77)+SUMIFS(Закрытые!$I$5:$I$300,Закрытые!$E$5:$E$300,$B77,Закрытые!$B$5:$B$300,"L-*"))</f>
        <v/>
      </c>
      <c r="G77" s="177" t="str">
        <f>IF(F77="","",(SUMPRODUCT((Лэндинг!$E$5:$E$300=$B77)*Лэндинг!$I$5:$I$300*Лэндинг!$J$5:$J$300)+SUMPRODUCT((Закрытые!$E$5:$E$300=$B77)*(LEFT(Закрытые!$B$5:$B$300,2)="L-")*Закрытые!$I$5:$I$300*Закрытые!$J$5:$J$300))/F77)</f>
        <v/>
      </c>
      <c r="H77" s="241" t="str">
        <f>IF(F77="","",SUMIFS(Лэндинг!$K$5:$K$300,Лэндинг!$E$5:$E$300,$B77)+SUMIFS(Закрытые!$K$5:$K$300,Закрытые!$E$5:$E$300,$B77,Закрытые!$B$5:$B$300,"L-*"))</f>
        <v/>
      </c>
      <c r="I77" s="240" t="str">
        <f>IF($B77="","",IF(COUNTIFS(Лэндинг!$E$5:$E$300,$B77)+COUNTIFS(Закрытые!$E$5:$E$300,$B77,Закрытые!$B$5:$B$300,"L-*")=0,"",ROUND(SUMIFS(Лэндинг!$L$5:$L$300,Лэндинг!$E$5:$E$300,$B77)+SUMIFS(Закрытые!$L$5:$L$300,Закрытые!$E$5:$E$300,$B77,Закрытые!$B$5:$B$300,"L-*"),8)))</f>
        <v/>
      </c>
      <c r="J77" s="241" t="str">
        <f>IF($B77="","",IF(COUNTIFS(Лэндинг!$E$5:$E$300,$B77)+COUNTIFS(Закрытые!$E$5:$E$300,$B77,Закрытые!$B$5:$B$300,"L-*")=0,"",ROUND(SUMIFS(Лэндинг!$M$5:$M$300,Лэндинг!$E$5:$E$300,$B77)+SUMIFS(Закрытые!$M$5:$M$300,Закрытые!$E$5:$E$300,$B77,Закрытые!$B$5:$B$300,"L-*"),8)))</f>
        <v/>
      </c>
      <c r="K77" s="240" t="str">
        <f>IF(MIN(N(C77),N(F77))&lt;=0,"",ROUND(MIN(N(C77),N(F77))*(N(G77)-N(D77)),8))</f>
        <v/>
      </c>
      <c r="L77" s="177" t="str">
        <f>IF(MIN(N(C77),N(F77))&lt;=0,"",IF(N(D77)=0,"",ROUND((N(G77)/N(D77)-1)*100,2)))</f>
        <v/>
      </c>
      <c r="M77" s="177" t="str">
        <f>IF(OR(ROUND(N(C77)-N(F77),8)=0,1-N(Ввод!$J$19)/100&lt;=0),"",IF(N(C77)&gt;N(F77),(N(E77)-N(H77))/((N(C77)-N(F77))*(1-N(Ввод!$J$19)/100)),(N(H77)-N(E77))/((N(F77)-N(C77))*(1+N(Ввод!$J$19)/100))))</f>
        <v/>
      </c>
    </row>
    <row r="78" ht="22" customHeight="1">
      <c r="B78" s="245" t="n"/>
      <c r="C78" s="246" t="str">
        <f>IF(SUMIFS(Лэндинг!$F$5:$F$300,Лэндинг!$E$5:$E$300,$B78)+SUMIFS(Закрытые!$F$5:$F$300,Закрытые!$E$5:$E$300,$B78,Закрытые!$B$5:$B$300,"L-*")=0,"",SUMIFS(Лэндинг!$F$5:$F$300,Лэндинг!$E$5:$E$300,$B78)+SUMIFS(Закрытые!$F$5:$F$300,Закрытые!$E$5:$E$300,$B78,Закрытые!$B$5:$B$300,"L-*"))</f>
        <v/>
      </c>
      <c r="D78" s="183" t="str">
        <f>IF(C78="","",(SUMPRODUCT((Лэндинг!$E$5:$E$300=$B78)*Лэндинг!$F$5:$F$300*Лэндинг!$G$5:$G$300)+SUMPRODUCT((Закрытые!$E$5:$E$300=$B78)*(LEFT(Закрытые!$B$5:$B$300,2)="L-")*Закрытые!$F$5:$F$300*Закрытые!$G$5:$G$300))/C78)</f>
        <v/>
      </c>
      <c r="E78" s="247" t="str">
        <f>IF(C78="","",SUMIFS(Лэндинг!$H$5:$H$300,Лэндинг!$E$5:$E$300,$B78)+SUMIFS(Закрытые!$H$5:$H$300,Закрытые!$E$5:$E$300,$B78,Закрытые!$B$5:$B$300,"L-*"))</f>
        <v/>
      </c>
      <c r="F78" s="246" t="str">
        <f>IF(SUMIFS(Лэндинг!$I$5:$I$300,Лэндинг!$E$5:$E$300,$B78)+SUMIFS(Закрытые!$I$5:$I$300,Закрытые!$E$5:$E$300,$B78,Закрытые!$B$5:$B$300,"L-*")=0,"",SUMIFS(Лэндинг!$I$5:$I$300,Лэндинг!$E$5:$E$300,$B78)+SUMIFS(Закрытые!$I$5:$I$300,Закрытые!$E$5:$E$300,$B78,Закрытые!$B$5:$B$300,"L-*"))</f>
        <v/>
      </c>
      <c r="G78" s="183" t="str">
        <f>IF(F78="","",(SUMPRODUCT((Лэндинг!$E$5:$E$300=$B78)*Лэндинг!$I$5:$I$300*Лэндинг!$J$5:$J$300)+SUMPRODUCT((Закрытые!$E$5:$E$300=$B78)*(LEFT(Закрытые!$B$5:$B$300,2)="L-")*Закрытые!$I$5:$I$300*Закрытые!$J$5:$J$300))/F78)</f>
        <v/>
      </c>
      <c r="H78" s="247" t="str">
        <f>IF(F78="","",SUMIFS(Лэндинг!$K$5:$K$300,Лэндинг!$E$5:$E$300,$B78)+SUMIFS(Закрытые!$K$5:$K$300,Закрытые!$E$5:$E$300,$B78,Закрытые!$B$5:$B$300,"L-*"))</f>
        <v/>
      </c>
      <c r="I78" s="246" t="str">
        <f>IF($B78="","",IF(COUNTIFS(Лэндинг!$E$5:$E$300,$B78)+COUNTIFS(Закрытые!$E$5:$E$300,$B78,Закрытые!$B$5:$B$300,"L-*")=0,"",ROUND(SUMIFS(Лэндинг!$L$5:$L$300,Лэндинг!$E$5:$E$300,$B78)+SUMIFS(Закрытые!$L$5:$L$300,Закрытые!$E$5:$E$300,$B78,Закрытые!$B$5:$B$300,"L-*"),8)))</f>
        <v/>
      </c>
      <c r="J78" s="247" t="str">
        <f>IF($B78="","",IF(COUNTIFS(Лэндинг!$E$5:$E$300,$B78)+COUNTIFS(Закрытые!$E$5:$E$300,$B78,Закрытые!$B$5:$B$300,"L-*")=0,"",ROUND(SUMIFS(Лэндинг!$M$5:$M$300,Лэндинг!$E$5:$E$300,$B78)+SUMIFS(Закрытые!$M$5:$M$300,Закрытые!$E$5:$E$300,$B78,Закрытые!$B$5:$B$300,"L-*"),8)))</f>
        <v/>
      </c>
      <c r="K78" s="246" t="str">
        <f>IF(MIN(N(C78),N(F78))&lt;=0,"",ROUND(MIN(N(C78),N(F78))*(N(G78)-N(D78)),8))</f>
        <v/>
      </c>
      <c r="L78" s="183" t="str">
        <f>IF(MIN(N(C78),N(F78))&lt;=0,"",IF(N(D78)=0,"",ROUND((N(G78)/N(D78)-1)*100,2)))</f>
        <v/>
      </c>
      <c r="M78" s="183" t="str">
        <f>IF(OR(ROUND(N(C78)-N(F78),8)=0,1-N(Ввод!$J$19)/100&lt;=0),"",IF(N(C78)&gt;N(F78),(N(E78)-N(H78))/((N(C78)-N(F78))*(1-N(Ввод!$J$19)/100)),(N(H78)-N(E78))/((N(F78)-N(C78))*(1+N(Ввод!$J$19)/100))))</f>
        <v/>
      </c>
    </row>
    <row r="79" ht="22" customHeight="1">
      <c r="B79" s="239" t="n"/>
      <c r="C79" s="240" t="str">
        <f>IF(SUMIFS(Лэндинг!$F$5:$F$300,Лэндинг!$E$5:$E$300,$B79)+SUMIFS(Закрытые!$F$5:$F$300,Закрытые!$E$5:$E$300,$B79,Закрытые!$B$5:$B$300,"L-*")=0,"",SUMIFS(Лэндинг!$F$5:$F$300,Лэндинг!$E$5:$E$300,$B79)+SUMIFS(Закрытые!$F$5:$F$300,Закрытые!$E$5:$E$300,$B79,Закрытые!$B$5:$B$300,"L-*"))</f>
        <v/>
      </c>
      <c r="D79" s="177" t="str">
        <f>IF(C79="","",(SUMPRODUCT((Лэндинг!$E$5:$E$300=$B79)*Лэндинг!$F$5:$F$300*Лэндинг!$G$5:$G$300)+SUMPRODUCT((Закрытые!$E$5:$E$300=$B79)*(LEFT(Закрытые!$B$5:$B$300,2)="L-")*Закрытые!$F$5:$F$300*Закрытые!$G$5:$G$300))/C79)</f>
        <v/>
      </c>
      <c r="E79" s="241" t="str">
        <f>IF(C79="","",SUMIFS(Лэндинг!$H$5:$H$300,Лэндинг!$E$5:$E$300,$B79)+SUMIFS(Закрытые!$H$5:$H$300,Закрытые!$E$5:$E$300,$B79,Закрытые!$B$5:$B$300,"L-*"))</f>
        <v/>
      </c>
      <c r="F79" s="240" t="str">
        <f>IF(SUMIFS(Лэндинг!$I$5:$I$300,Лэндинг!$E$5:$E$300,$B79)+SUMIFS(Закрытые!$I$5:$I$300,Закрытые!$E$5:$E$300,$B79,Закрытые!$B$5:$B$300,"L-*")=0,"",SUMIFS(Лэндинг!$I$5:$I$300,Лэндинг!$E$5:$E$300,$B79)+SUMIFS(Закрытые!$I$5:$I$300,Закрытые!$E$5:$E$300,$B79,Закрытые!$B$5:$B$300,"L-*"))</f>
        <v/>
      </c>
      <c r="G79" s="177" t="str">
        <f>IF(F79="","",(SUMPRODUCT((Лэндинг!$E$5:$E$300=$B79)*Лэндинг!$I$5:$I$300*Лэндинг!$J$5:$J$300)+SUMPRODUCT((Закрытые!$E$5:$E$300=$B79)*(LEFT(Закрытые!$B$5:$B$300,2)="L-")*Закрытые!$I$5:$I$300*Закрытые!$J$5:$J$300))/F79)</f>
        <v/>
      </c>
      <c r="H79" s="241" t="str">
        <f>IF(F79="","",SUMIFS(Лэндинг!$K$5:$K$300,Лэндинг!$E$5:$E$300,$B79)+SUMIFS(Закрытые!$K$5:$K$300,Закрытые!$E$5:$E$300,$B79,Закрытые!$B$5:$B$300,"L-*"))</f>
        <v/>
      </c>
      <c r="I79" s="240" t="str">
        <f>IF($B79="","",IF(COUNTIFS(Лэндинг!$E$5:$E$300,$B79)+COUNTIFS(Закрытые!$E$5:$E$300,$B79,Закрытые!$B$5:$B$300,"L-*")=0,"",ROUND(SUMIFS(Лэндинг!$L$5:$L$300,Лэндинг!$E$5:$E$300,$B79)+SUMIFS(Закрытые!$L$5:$L$300,Закрытые!$E$5:$E$300,$B79,Закрытые!$B$5:$B$300,"L-*"),8)))</f>
        <v/>
      </c>
      <c r="J79" s="241" t="str">
        <f>IF($B79="","",IF(COUNTIFS(Лэндинг!$E$5:$E$300,$B79)+COUNTIFS(Закрытые!$E$5:$E$300,$B79,Закрытые!$B$5:$B$300,"L-*")=0,"",ROUND(SUMIFS(Лэндинг!$M$5:$M$300,Лэндинг!$E$5:$E$300,$B79)+SUMIFS(Закрытые!$M$5:$M$300,Закрытые!$E$5:$E$300,$B79,Закрытые!$B$5:$B$300,"L-*"),8)))</f>
        <v/>
      </c>
      <c r="K79" s="240" t="str">
        <f>IF(MIN(N(C79),N(F79))&lt;=0,"",ROUND(MIN(N(C79),N(F79))*(N(G79)-N(D79)),8))</f>
        <v/>
      </c>
      <c r="L79" s="177" t="str">
        <f>IF(MIN(N(C79),N(F79))&lt;=0,"",IF(N(D79)=0,"",ROUND((N(G79)/N(D79)-1)*100,2)))</f>
        <v/>
      </c>
      <c r="M79" s="177" t="str">
        <f>IF(OR(ROUND(N(C79)-N(F79),8)=0,1-N(Ввод!$J$19)/100&lt;=0),"",IF(N(C79)&gt;N(F79),(N(E79)-N(H79))/((N(C79)-N(F79))*(1-N(Ввод!$J$19)/100)),(N(H79)-N(E79))/((N(F79)-N(C79))*(1+N(Ввод!$J$19)/100))))</f>
        <v/>
      </c>
    </row>
    <row r="80" ht="22" customHeight="1">
      <c r="B80" s="245" t="n"/>
      <c r="C80" s="246" t="str">
        <f>IF(SUMIFS(Лэндинг!$F$5:$F$300,Лэндинг!$E$5:$E$300,$B80)+SUMIFS(Закрытые!$F$5:$F$300,Закрытые!$E$5:$E$300,$B80,Закрытые!$B$5:$B$300,"L-*")=0,"",SUMIFS(Лэндинг!$F$5:$F$300,Лэндинг!$E$5:$E$300,$B80)+SUMIFS(Закрытые!$F$5:$F$300,Закрытые!$E$5:$E$300,$B80,Закрытые!$B$5:$B$300,"L-*"))</f>
        <v/>
      </c>
      <c r="D80" s="183" t="str">
        <f>IF(C80="","",(SUMPRODUCT((Лэндинг!$E$5:$E$300=$B80)*Лэндинг!$F$5:$F$300*Лэндинг!$G$5:$G$300)+SUMPRODUCT((Закрытые!$E$5:$E$300=$B80)*(LEFT(Закрытые!$B$5:$B$300,2)="L-")*Закрытые!$F$5:$F$300*Закрытые!$G$5:$G$300))/C80)</f>
        <v/>
      </c>
      <c r="E80" s="247" t="str">
        <f>IF(C80="","",SUMIFS(Лэндинг!$H$5:$H$300,Лэндинг!$E$5:$E$300,$B80)+SUMIFS(Закрытые!$H$5:$H$300,Закрытые!$E$5:$E$300,$B80,Закрытые!$B$5:$B$300,"L-*"))</f>
        <v/>
      </c>
      <c r="F80" s="246" t="str">
        <f>IF(SUMIFS(Лэндинг!$I$5:$I$300,Лэндинг!$E$5:$E$300,$B80)+SUMIFS(Закрытые!$I$5:$I$300,Закрытые!$E$5:$E$300,$B80,Закрытые!$B$5:$B$300,"L-*")=0,"",SUMIFS(Лэндинг!$I$5:$I$300,Лэндинг!$E$5:$E$300,$B80)+SUMIFS(Закрытые!$I$5:$I$300,Закрытые!$E$5:$E$300,$B80,Закрытые!$B$5:$B$300,"L-*"))</f>
        <v/>
      </c>
      <c r="G80" s="183" t="str">
        <f>IF(F80="","",(SUMPRODUCT((Лэндинг!$E$5:$E$300=$B80)*Лэндинг!$I$5:$I$300*Лэндинг!$J$5:$J$300)+SUMPRODUCT((Закрытые!$E$5:$E$300=$B80)*(LEFT(Закрытые!$B$5:$B$300,2)="L-")*Закрытые!$I$5:$I$300*Закрытые!$J$5:$J$300))/F80)</f>
        <v/>
      </c>
      <c r="H80" s="247" t="str">
        <f>IF(F80="","",SUMIFS(Лэндинг!$K$5:$K$300,Лэндинг!$E$5:$E$300,$B80)+SUMIFS(Закрытые!$K$5:$K$300,Закрытые!$E$5:$E$300,$B80,Закрытые!$B$5:$B$300,"L-*"))</f>
        <v/>
      </c>
      <c r="I80" s="246" t="str">
        <f>IF($B80="","",IF(COUNTIFS(Лэндинг!$E$5:$E$300,$B80)+COUNTIFS(Закрытые!$E$5:$E$300,$B80,Закрытые!$B$5:$B$300,"L-*")=0,"",ROUND(SUMIFS(Лэндинг!$L$5:$L$300,Лэндинг!$E$5:$E$300,$B80)+SUMIFS(Закрытые!$L$5:$L$300,Закрытые!$E$5:$E$300,$B80,Закрытые!$B$5:$B$300,"L-*"),8)))</f>
        <v/>
      </c>
      <c r="J80" s="247" t="str">
        <f>IF($B80="","",IF(COUNTIFS(Лэндинг!$E$5:$E$300,$B80)+COUNTIFS(Закрытые!$E$5:$E$300,$B80,Закрытые!$B$5:$B$300,"L-*")=0,"",ROUND(SUMIFS(Лэндинг!$M$5:$M$300,Лэндинг!$E$5:$E$300,$B80)+SUMIFS(Закрытые!$M$5:$M$300,Закрытые!$E$5:$E$300,$B80,Закрытые!$B$5:$B$300,"L-*"),8)))</f>
        <v/>
      </c>
      <c r="K80" s="246" t="str">
        <f>IF(MIN(N(C80),N(F80))&lt;=0,"",ROUND(MIN(N(C80),N(F80))*(N(G80)-N(D80)),8))</f>
        <v/>
      </c>
      <c r="L80" s="183" t="str">
        <f>IF(MIN(N(C80),N(F80))&lt;=0,"",IF(N(D80)=0,"",ROUND((N(G80)/N(D80)-1)*100,2)))</f>
        <v/>
      </c>
      <c r="M80" s="183" t="str">
        <f>IF(OR(ROUND(N(C80)-N(F80),8)=0,1-N(Ввод!$J$19)/100&lt;=0),"",IF(N(C80)&gt;N(F80),(N(E80)-N(H80))/((N(C80)-N(F80))*(1-N(Ввод!$J$19)/100)),(N(H80)-N(E80))/((N(F80)-N(C80))*(1+N(Ввод!$J$19)/100))))</f>
        <v/>
      </c>
    </row>
    <row r="81" ht="22" customHeight="1">
      <c r="B81" s="239" t="n"/>
      <c r="C81" s="240" t="str">
        <f>IF(SUMIFS(Лэндинг!$F$5:$F$300,Лэндинг!$E$5:$E$300,$B81)+SUMIFS(Закрытые!$F$5:$F$300,Закрытые!$E$5:$E$300,$B81,Закрытые!$B$5:$B$300,"L-*")=0,"",SUMIFS(Лэндинг!$F$5:$F$300,Лэндинг!$E$5:$E$300,$B81)+SUMIFS(Закрытые!$F$5:$F$300,Закрытые!$E$5:$E$300,$B81,Закрытые!$B$5:$B$300,"L-*"))</f>
        <v/>
      </c>
      <c r="D81" s="177" t="str">
        <f>IF(C81="","",(SUMPRODUCT((Лэндинг!$E$5:$E$300=$B81)*Лэндинг!$F$5:$F$300*Лэндинг!$G$5:$G$300)+SUMPRODUCT((Закрытые!$E$5:$E$300=$B81)*(LEFT(Закрытые!$B$5:$B$300,2)="L-")*Закрытые!$F$5:$F$300*Закрытые!$G$5:$G$300))/C81)</f>
        <v/>
      </c>
      <c r="E81" s="241" t="str">
        <f>IF(C81="","",SUMIFS(Лэндинг!$H$5:$H$300,Лэндинг!$E$5:$E$300,$B81)+SUMIFS(Закрытые!$H$5:$H$300,Закрытые!$E$5:$E$300,$B81,Закрытые!$B$5:$B$300,"L-*"))</f>
        <v/>
      </c>
      <c r="F81" s="240" t="str">
        <f>IF(SUMIFS(Лэндинг!$I$5:$I$300,Лэндинг!$E$5:$E$300,$B81)+SUMIFS(Закрытые!$I$5:$I$300,Закрытые!$E$5:$E$300,$B81,Закрытые!$B$5:$B$300,"L-*")=0,"",SUMIFS(Лэндинг!$I$5:$I$300,Лэндинг!$E$5:$E$300,$B81)+SUMIFS(Закрытые!$I$5:$I$300,Закрытые!$E$5:$E$300,$B81,Закрытые!$B$5:$B$300,"L-*"))</f>
        <v/>
      </c>
      <c r="G81" s="177" t="str">
        <f>IF(F81="","",(SUMPRODUCT((Лэндинг!$E$5:$E$300=$B81)*Лэндинг!$I$5:$I$300*Лэндинг!$J$5:$J$300)+SUMPRODUCT((Закрытые!$E$5:$E$300=$B81)*(LEFT(Закрытые!$B$5:$B$300,2)="L-")*Закрытые!$I$5:$I$300*Закрытые!$J$5:$J$300))/F81)</f>
        <v/>
      </c>
      <c r="H81" s="241" t="str">
        <f>IF(F81="","",SUMIFS(Лэндинг!$K$5:$K$300,Лэндинг!$E$5:$E$300,$B81)+SUMIFS(Закрытые!$K$5:$K$300,Закрытые!$E$5:$E$300,$B81,Закрытые!$B$5:$B$300,"L-*"))</f>
        <v/>
      </c>
      <c r="I81" s="240" t="str">
        <f>IF($B81="","",IF(COUNTIFS(Лэндинг!$E$5:$E$300,$B81)+COUNTIFS(Закрытые!$E$5:$E$300,$B81,Закрытые!$B$5:$B$300,"L-*")=0,"",ROUND(SUMIFS(Лэндинг!$L$5:$L$300,Лэндинг!$E$5:$E$300,$B81)+SUMIFS(Закрытые!$L$5:$L$300,Закрытые!$E$5:$E$300,$B81,Закрытые!$B$5:$B$300,"L-*"),8)))</f>
        <v/>
      </c>
      <c r="J81" s="241" t="str">
        <f>IF($B81="","",IF(COUNTIFS(Лэндинг!$E$5:$E$300,$B81)+COUNTIFS(Закрытые!$E$5:$E$300,$B81,Закрытые!$B$5:$B$300,"L-*")=0,"",ROUND(SUMIFS(Лэндинг!$M$5:$M$300,Лэндинг!$E$5:$E$300,$B81)+SUMIFS(Закрытые!$M$5:$M$300,Закрытые!$E$5:$E$300,$B81,Закрытые!$B$5:$B$300,"L-*"),8)))</f>
        <v/>
      </c>
      <c r="K81" s="240" t="str">
        <f>IF(MIN(N(C81),N(F81))&lt;=0,"",ROUND(MIN(N(C81),N(F81))*(N(G81)-N(D81)),8))</f>
        <v/>
      </c>
      <c r="L81" s="177" t="str">
        <f>IF(MIN(N(C81),N(F81))&lt;=0,"",IF(N(D81)=0,"",ROUND((N(G81)/N(D81)-1)*100,2)))</f>
        <v/>
      </c>
      <c r="M81" s="177" t="str">
        <f>IF(OR(ROUND(N(C81)-N(F81),8)=0,1-N(Ввод!$J$19)/100&lt;=0),"",IF(N(C81)&gt;N(F81),(N(E81)-N(H81))/((N(C81)-N(F81))*(1-N(Ввод!$J$19)/100)),(N(H81)-N(E81))/((N(F81)-N(C81))*(1+N(Ввод!$J$19)/100))))</f>
        <v/>
      </c>
    </row>
    <row r="82" ht="22" customHeight="1">
      <c r="B82" s="245" t="n"/>
      <c r="C82" s="246" t="str">
        <f>IF(SUMIFS(Лэндинг!$F$5:$F$300,Лэндинг!$E$5:$E$300,$B82)+SUMIFS(Закрытые!$F$5:$F$300,Закрытые!$E$5:$E$300,$B82,Закрытые!$B$5:$B$300,"L-*")=0,"",SUMIFS(Лэндинг!$F$5:$F$300,Лэндинг!$E$5:$E$300,$B82)+SUMIFS(Закрытые!$F$5:$F$300,Закрытые!$E$5:$E$300,$B82,Закрытые!$B$5:$B$300,"L-*"))</f>
        <v/>
      </c>
      <c r="D82" s="183" t="str">
        <f>IF(C82="","",(SUMPRODUCT((Лэндинг!$E$5:$E$300=$B82)*Лэндинг!$F$5:$F$300*Лэндинг!$G$5:$G$300)+SUMPRODUCT((Закрытые!$E$5:$E$300=$B82)*(LEFT(Закрытые!$B$5:$B$300,2)="L-")*Закрытые!$F$5:$F$300*Закрытые!$G$5:$G$300))/C82)</f>
        <v/>
      </c>
      <c r="E82" s="247" t="str">
        <f>IF(C82="","",SUMIFS(Лэндинг!$H$5:$H$300,Лэндинг!$E$5:$E$300,$B82)+SUMIFS(Закрытые!$H$5:$H$300,Закрытые!$E$5:$E$300,$B82,Закрытые!$B$5:$B$300,"L-*"))</f>
        <v/>
      </c>
      <c r="F82" s="246" t="str">
        <f>IF(SUMIFS(Лэндинг!$I$5:$I$300,Лэндинг!$E$5:$E$300,$B82)+SUMIFS(Закрытые!$I$5:$I$300,Закрытые!$E$5:$E$300,$B82,Закрытые!$B$5:$B$300,"L-*")=0,"",SUMIFS(Лэндинг!$I$5:$I$300,Лэндинг!$E$5:$E$300,$B82)+SUMIFS(Закрытые!$I$5:$I$300,Закрытые!$E$5:$E$300,$B82,Закрытые!$B$5:$B$300,"L-*"))</f>
        <v/>
      </c>
      <c r="G82" s="183" t="str">
        <f>IF(F82="","",(SUMPRODUCT((Лэндинг!$E$5:$E$300=$B82)*Лэндинг!$I$5:$I$300*Лэндинг!$J$5:$J$300)+SUMPRODUCT((Закрытые!$E$5:$E$300=$B82)*(LEFT(Закрытые!$B$5:$B$300,2)="L-")*Закрытые!$I$5:$I$300*Закрытые!$J$5:$J$300))/F82)</f>
        <v/>
      </c>
      <c r="H82" s="247" t="str">
        <f>IF(F82="","",SUMIFS(Лэндинг!$K$5:$K$300,Лэндинг!$E$5:$E$300,$B82)+SUMIFS(Закрытые!$K$5:$K$300,Закрытые!$E$5:$E$300,$B82,Закрытые!$B$5:$B$300,"L-*"))</f>
        <v/>
      </c>
      <c r="I82" s="246" t="str">
        <f>IF($B82="","",IF(COUNTIFS(Лэндинг!$E$5:$E$300,$B82)+COUNTIFS(Закрытые!$E$5:$E$300,$B82,Закрытые!$B$5:$B$300,"L-*")=0,"",ROUND(SUMIFS(Лэндинг!$L$5:$L$300,Лэндинг!$E$5:$E$300,$B82)+SUMIFS(Закрытые!$L$5:$L$300,Закрытые!$E$5:$E$300,$B82,Закрытые!$B$5:$B$300,"L-*"),8)))</f>
        <v/>
      </c>
      <c r="J82" s="247" t="str">
        <f>IF($B82="","",IF(COUNTIFS(Лэндинг!$E$5:$E$300,$B82)+COUNTIFS(Закрытые!$E$5:$E$300,$B82,Закрытые!$B$5:$B$300,"L-*")=0,"",ROUND(SUMIFS(Лэндинг!$M$5:$M$300,Лэндинг!$E$5:$E$300,$B82)+SUMIFS(Закрытые!$M$5:$M$300,Закрытые!$E$5:$E$300,$B82,Закрытые!$B$5:$B$300,"L-*"),8)))</f>
        <v/>
      </c>
      <c r="K82" s="246" t="str">
        <f>IF(MIN(N(C82),N(F82))&lt;=0,"",ROUND(MIN(N(C82),N(F82))*(N(G82)-N(D82)),8))</f>
        <v/>
      </c>
      <c r="L82" s="183" t="str">
        <f>IF(MIN(N(C82),N(F82))&lt;=0,"",IF(N(D82)=0,"",ROUND((N(G82)/N(D82)-1)*100,2)))</f>
        <v/>
      </c>
      <c r="M82" s="183" t="str">
        <f>IF(OR(ROUND(N(C82)-N(F82),8)=0,1-N(Ввод!$J$19)/100&lt;=0),"",IF(N(C82)&gt;N(F82),(N(E82)-N(H82))/((N(C82)-N(F82))*(1-N(Ввод!$J$19)/100)),(N(H82)-N(E82))/((N(F82)-N(C82))*(1+N(Ввод!$J$19)/100))))</f>
        <v/>
      </c>
    </row>
    <row r="83" ht="22" customHeight="1">
      <c r="B83" s="239" t="n"/>
      <c r="C83" s="240" t="str">
        <f>IF(SUMIFS(Лэндинг!$F$5:$F$300,Лэндинг!$E$5:$E$300,$B83)+SUMIFS(Закрытые!$F$5:$F$300,Закрытые!$E$5:$E$300,$B83,Закрытые!$B$5:$B$300,"L-*")=0,"",SUMIFS(Лэндинг!$F$5:$F$300,Лэндинг!$E$5:$E$300,$B83)+SUMIFS(Закрытые!$F$5:$F$300,Закрытые!$E$5:$E$300,$B83,Закрытые!$B$5:$B$300,"L-*"))</f>
        <v/>
      </c>
      <c r="D83" s="177" t="str">
        <f>IF(C83="","",(SUMPRODUCT((Лэндинг!$E$5:$E$300=$B83)*Лэндинг!$F$5:$F$300*Лэндинг!$G$5:$G$300)+SUMPRODUCT((Закрытые!$E$5:$E$300=$B83)*(LEFT(Закрытые!$B$5:$B$300,2)="L-")*Закрытые!$F$5:$F$300*Закрытые!$G$5:$G$300))/C83)</f>
        <v/>
      </c>
      <c r="E83" s="241" t="str">
        <f>IF(C83="","",SUMIFS(Лэндинг!$H$5:$H$300,Лэндинг!$E$5:$E$300,$B83)+SUMIFS(Закрытые!$H$5:$H$300,Закрытые!$E$5:$E$300,$B83,Закрытые!$B$5:$B$300,"L-*"))</f>
        <v/>
      </c>
      <c r="F83" s="240" t="str">
        <f>IF(SUMIFS(Лэндинг!$I$5:$I$300,Лэндинг!$E$5:$E$300,$B83)+SUMIFS(Закрытые!$I$5:$I$300,Закрытые!$E$5:$E$300,$B83,Закрытые!$B$5:$B$300,"L-*")=0,"",SUMIFS(Лэндинг!$I$5:$I$300,Лэндинг!$E$5:$E$300,$B83)+SUMIFS(Закрытые!$I$5:$I$300,Закрытые!$E$5:$E$300,$B83,Закрытые!$B$5:$B$300,"L-*"))</f>
        <v/>
      </c>
      <c r="G83" s="177" t="str">
        <f>IF(F83="","",(SUMPRODUCT((Лэндинг!$E$5:$E$300=$B83)*Лэндинг!$I$5:$I$300*Лэндинг!$J$5:$J$300)+SUMPRODUCT((Закрытые!$E$5:$E$300=$B83)*(LEFT(Закрытые!$B$5:$B$300,2)="L-")*Закрытые!$I$5:$I$300*Закрытые!$J$5:$J$300))/F83)</f>
        <v/>
      </c>
      <c r="H83" s="241" t="str">
        <f>IF(F83="","",SUMIFS(Лэндинг!$K$5:$K$300,Лэндинг!$E$5:$E$300,$B83)+SUMIFS(Закрытые!$K$5:$K$300,Закрытые!$E$5:$E$300,$B83,Закрытые!$B$5:$B$300,"L-*"))</f>
        <v/>
      </c>
      <c r="I83" s="240" t="str">
        <f>IF($B83="","",IF(COUNTIFS(Лэндинг!$E$5:$E$300,$B83)+COUNTIFS(Закрытые!$E$5:$E$300,$B83,Закрытые!$B$5:$B$300,"L-*")=0,"",ROUND(SUMIFS(Лэндинг!$L$5:$L$300,Лэндинг!$E$5:$E$300,$B83)+SUMIFS(Закрытые!$L$5:$L$300,Закрытые!$E$5:$E$300,$B83,Закрытые!$B$5:$B$300,"L-*"),8)))</f>
        <v/>
      </c>
      <c r="J83" s="241" t="str">
        <f>IF($B83="","",IF(COUNTIFS(Лэндинг!$E$5:$E$300,$B83)+COUNTIFS(Закрытые!$E$5:$E$300,$B83,Закрытые!$B$5:$B$300,"L-*")=0,"",ROUND(SUMIFS(Лэндинг!$M$5:$M$300,Лэндинг!$E$5:$E$300,$B83)+SUMIFS(Закрытые!$M$5:$M$300,Закрытые!$E$5:$E$300,$B83,Закрытые!$B$5:$B$300,"L-*"),8)))</f>
        <v/>
      </c>
      <c r="K83" s="240" t="str">
        <f>IF(MIN(N(C83),N(F83))&lt;=0,"",ROUND(MIN(N(C83),N(F83))*(N(G83)-N(D83)),8))</f>
        <v/>
      </c>
      <c r="L83" s="177" t="str">
        <f>IF(MIN(N(C83),N(F83))&lt;=0,"",IF(N(D83)=0,"",ROUND((N(G83)/N(D83)-1)*100,2)))</f>
        <v/>
      </c>
      <c r="M83" s="177" t="str">
        <f>IF(OR(ROUND(N(C83)-N(F83),8)=0,1-N(Ввод!$J$19)/100&lt;=0),"",IF(N(C83)&gt;N(F83),(N(E83)-N(H83))/((N(C83)-N(F83))*(1-N(Ввод!$J$19)/100)),(N(H83)-N(E83))/((N(F83)-N(C83))*(1+N(Ввод!$J$19)/100))))</f>
        <v/>
      </c>
    </row>
    <row r="84" ht="22" customHeight="1">
      <c r="B84" s="245" t="n"/>
      <c r="C84" s="246" t="str">
        <f>IF(SUMIFS(Лэндинг!$F$5:$F$300,Лэндинг!$E$5:$E$300,$B84)+SUMIFS(Закрытые!$F$5:$F$300,Закрытые!$E$5:$E$300,$B84,Закрытые!$B$5:$B$300,"L-*")=0,"",SUMIFS(Лэндинг!$F$5:$F$300,Лэндинг!$E$5:$E$300,$B84)+SUMIFS(Закрытые!$F$5:$F$300,Закрытые!$E$5:$E$300,$B84,Закрытые!$B$5:$B$300,"L-*"))</f>
        <v/>
      </c>
      <c r="D84" s="183" t="str">
        <f>IF(C84="","",(SUMPRODUCT((Лэндинг!$E$5:$E$300=$B84)*Лэндинг!$F$5:$F$300*Лэндинг!$G$5:$G$300)+SUMPRODUCT((Закрытые!$E$5:$E$300=$B84)*(LEFT(Закрытые!$B$5:$B$300,2)="L-")*Закрытые!$F$5:$F$300*Закрытые!$G$5:$G$300))/C84)</f>
        <v/>
      </c>
      <c r="E84" s="247" t="str">
        <f>IF(C84="","",SUMIFS(Лэндинг!$H$5:$H$300,Лэндинг!$E$5:$E$300,$B84)+SUMIFS(Закрытые!$H$5:$H$300,Закрытые!$E$5:$E$300,$B84,Закрытые!$B$5:$B$300,"L-*"))</f>
        <v/>
      </c>
      <c r="F84" s="246" t="str">
        <f>IF(SUMIFS(Лэндинг!$I$5:$I$300,Лэндинг!$E$5:$E$300,$B84)+SUMIFS(Закрытые!$I$5:$I$300,Закрытые!$E$5:$E$300,$B84,Закрытые!$B$5:$B$300,"L-*")=0,"",SUMIFS(Лэндинг!$I$5:$I$300,Лэндинг!$E$5:$E$300,$B84)+SUMIFS(Закрытые!$I$5:$I$300,Закрытые!$E$5:$E$300,$B84,Закрытые!$B$5:$B$300,"L-*"))</f>
        <v/>
      </c>
      <c r="G84" s="183" t="str">
        <f>IF(F84="","",(SUMPRODUCT((Лэндинг!$E$5:$E$300=$B84)*Лэндинг!$I$5:$I$300*Лэндинг!$J$5:$J$300)+SUMPRODUCT((Закрытые!$E$5:$E$300=$B84)*(LEFT(Закрытые!$B$5:$B$300,2)="L-")*Закрытые!$I$5:$I$300*Закрытые!$J$5:$J$300))/F84)</f>
        <v/>
      </c>
      <c r="H84" s="247" t="str">
        <f>IF(F84="","",SUMIFS(Лэндинг!$K$5:$K$300,Лэндинг!$E$5:$E$300,$B84)+SUMIFS(Закрытые!$K$5:$K$300,Закрытые!$E$5:$E$300,$B84,Закрытые!$B$5:$B$300,"L-*"))</f>
        <v/>
      </c>
      <c r="I84" s="246" t="str">
        <f>IF($B84="","",IF(COUNTIFS(Лэндинг!$E$5:$E$300,$B84)+COUNTIFS(Закрытые!$E$5:$E$300,$B84,Закрытые!$B$5:$B$300,"L-*")=0,"",ROUND(SUMIFS(Лэндинг!$L$5:$L$300,Лэндинг!$E$5:$E$300,$B84)+SUMIFS(Закрытые!$L$5:$L$300,Закрытые!$E$5:$E$300,$B84,Закрытые!$B$5:$B$300,"L-*"),8)))</f>
        <v/>
      </c>
      <c r="J84" s="247" t="str">
        <f>IF($B84="","",IF(COUNTIFS(Лэндинг!$E$5:$E$300,$B84)+COUNTIFS(Закрытые!$E$5:$E$300,$B84,Закрытые!$B$5:$B$300,"L-*")=0,"",ROUND(SUMIFS(Лэндинг!$M$5:$M$300,Лэндинг!$E$5:$E$300,$B84)+SUMIFS(Закрытые!$M$5:$M$300,Закрытые!$E$5:$E$300,$B84,Закрытые!$B$5:$B$300,"L-*"),8)))</f>
        <v/>
      </c>
      <c r="K84" s="246" t="str">
        <f>IF(MIN(N(C84),N(F84))&lt;=0,"",ROUND(MIN(N(C84),N(F84))*(N(G84)-N(D84)),8))</f>
        <v/>
      </c>
      <c r="L84" s="183" t="str">
        <f>IF(MIN(N(C84),N(F84))&lt;=0,"",IF(N(D84)=0,"",ROUND((N(G84)/N(D84)-1)*100,2)))</f>
        <v/>
      </c>
      <c r="M84" s="183" t="str">
        <f>IF(OR(ROUND(N(C84)-N(F84),8)=0,1-N(Ввод!$J$19)/100&lt;=0),"",IF(N(C84)&gt;N(F84),(N(E84)-N(H84))/((N(C84)-N(F84))*(1-N(Ввод!$J$19)/100)),(N(H84)-N(E84))/((N(F84)-N(C84))*(1+N(Ввод!$J$19)/100))))</f>
        <v/>
      </c>
    </row>
    <row r="85" ht="22" customHeight="1">
      <c r="B85" s="239" t="n"/>
      <c r="C85" s="240" t="str">
        <f>IF(SUMIFS(Лэндинг!$F$5:$F$300,Лэндинг!$E$5:$E$300,$B85)+SUMIFS(Закрытые!$F$5:$F$300,Закрытые!$E$5:$E$300,$B85,Закрытые!$B$5:$B$300,"L-*")=0,"",SUMIFS(Лэндинг!$F$5:$F$300,Лэндинг!$E$5:$E$300,$B85)+SUMIFS(Закрытые!$F$5:$F$300,Закрытые!$E$5:$E$300,$B85,Закрытые!$B$5:$B$300,"L-*"))</f>
        <v/>
      </c>
      <c r="D85" s="177" t="str">
        <f>IF(C85="","",(SUMPRODUCT((Лэндинг!$E$5:$E$300=$B85)*Лэндинг!$F$5:$F$300*Лэндинг!$G$5:$G$300)+SUMPRODUCT((Закрытые!$E$5:$E$300=$B85)*(LEFT(Закрытые!$B$5:$B$300,2)="L-")*Закрытые!$F$5:$F$300*Закрытые!$G$5:$G$300))/C85)</f>
        <v/>
      </c>
      <c r="E85" s="241" t="str">
        <f>IF(C85="","",SUMIFS(Лэндинг!$H$5:$H$300,Лэндинг!$E$5:$E$300,$B85)+SUMIFS(Закрытые!$H$5:$H$300,Закрытые!$E$5:$E$300,$B85,Закрытые!$B$5:$B$300,"L-*"))</f>
        <v/>
      </c>
      <c r="F85" s="240" t="str">
        <f>IF(SUMIFS(Лэндинг!$I$5:$I$300,Лэндинг!$E$5:$E$300,$B85)+SUMIFS(Закрытые!$I$5:$I$300,Закрытые!$E$5:$E$300,$B85,Закрытые!$B$5:$B$300,"L-*")=0,"",SUMIFS(Лэндинг!$I$5:$I$300,Лэндинг!$E$5:$E$300,$B85)+SUMIFS(Закрытые!$I$5:$I$300,Закрытые!$E$5:$E$300,$B85,Закрытые!$B$5:$B$300,"L-*"))</f>
        <v/>
      </c>
      <c r="G85" s="177" t="str">
        <f>IF(F85="","",(SUMPRODUCT((Лэндинг!$E$5:$E$300=$B85)*Лэндинг!$I$5:$I$300*Лэндинг!$J$5:$J$300)+SUMPRODUCT((Закрытые!$E$5:$E$300=$B85)*(LEFT(Закрытые!$B$5:$B$300,2)="L-")*Закрытые!$I$5:$I$300*Закрытые!$J$5:$J$300))/F85)</f>
        <v/>
      </c>
      <c r="H85" s="241" t="str">
        <f>IF(F85="","",SUMIFS(Лэндинг!$K$5:$K$300,Лэндинг!$E$5:$E$300,$B85)+SUMIFS(Закрытые!$K$5:$K$300,Закрытые!$E$5:$E$300,$B85,Закрытые!$B$5:$B$300,"L-*"))</f>
        <v/>
      </c>
      <c r="I85" s="240" t="str">
        <f>IF($B85="","",IF(COUNTIFS(Лэндинг!$E$5:$E$300,$B85)+COUNTIFS(Закрытые!$E$5:$E$300,$B85,Закрытые!$B$5:$B$300,"L-*")=0,"",ROUND(SUMIFS(Лэндинг!$L$5:$L$300,Лэндинг!$E$5:$E$300,$B85)+SUMIFS(Закрытые!$L$5:$L$300,Закрытые!$E$5:$E$300,$B85,Закрытые!$B$5:$B$300,"L-*"),8)))</f>
        <v/>
      </c>
      <c r="J85" s="241" t="str">
        <f>IF($B85="","",IF(COUNTIFS(Лэндинг!$E$5:$E$300,$B85)+COUNTIFS(Закрытые!$E$5:$E$300,$B85,Закрытые!$B$5:$B$300,"L-*")=0,"",ROUND(SUMIFS(Лэндинг!$M$5:$M$300,Лэндинг!$E$5:$E$300,$B85)+SUMIFS(Закрытые!$M$5:$M$300,Закрытые!$E$5:$E$300,$B85,Закрытые!$B$5:$B$300,"L-*"),8)))</f>
        <v/>
      </c>
      <c r="K85" s="240" t="str">
        <f>IF(MIN(N(C85),N(F85))&lt;=0,"",ROUND(MIN(N(C85),N(F85))*(N(G85)-N(D85)),8))</f>
        <v/>
      </c>
      <c r="L85" s="177" t="str">
        <f>IF(MIN(N(C85),N(F85))&lt;=0,"",IF(N(D85)=0,"",ROUND((N(G85)/N(D85)-1)*100,2)))</f>
        <v/>
      </c>
      <c r="M85" s="177" t="str">
        <f>IF(OR(ROUND(N(C85)-N(F85),8)=0,1-N(Ввод!$J$19)/100&lt;=0),"",IF(N(C85)&gt;N(F85),(N(E85)-N(H85))/((N(C85)-N(F85))*(1-N(Ввод!$J$19)/100)),(N(H85)-N(E85))/((N(F85)-N(C85))*(1+N(Ввод!$J$19)/100))))</f>
        <v/>
      </c>
    </row>
    <row r="86" ht="22" customHeight="1">
      <c r="B86" s="245" t="n"/>
      <c r="C86" s="246" t="str">
        <f>IF(SUMIFS(Лэндинг!$F$5:$F$300,Лэндинг!$E$5:$E$300,$B86)+SUMIFS(Закрытые!$F$5:$F$300,Закрытые!$E$5:$E$300,$B86,Закрытые!$B$5:$B$300,"L-*")=0,"",SUMIFS(Лэндинг!$F$5:$F$300,Лэндинг!$E$5:$E$300,$B86)+SUMIFS(Закрытые!$F$5:$F$300,Закрытые!$E$5:$E$300,$B86,Закрытые!$B$5:$B$300,"L-*"))</f>
        <v/>
      </c>
      <c r="D86" s="183" t="str">
        <f>IF(C86="","",(SUMPRODUCT((Лэндинг!$E$5:$E$300=$B86)*Лэндинг!$F$5:$F$300*Лэндинг!$G$5:$G$300)+SUMPRODUCT((Закрытые!$E$5:$E$300=$B86)*(LEFT(Закрытые!$B$5:$B$300,2)="L-")*Закрытые!$F$5:$F$300*Закрытые!$G$5:$G$300))/C86)</f>
        <v/>
      </c>
      <c r="E86" s="247" t="str">
        <f>IF(C86="","",SUMIFS(Лэндинг!$H$5:$H$300,Лэндинг!$E$5:$E$300,$B86)+SUMIFS(Закрытые!$H$5:$H$300,Закрытые!$E$5:$E$300,$B86,Закрытые!$B$5:$B$300,"L-*"))</f>
        <v/>
      </c>
      <c r="F86" s="246" t="str">
        <f>IF(SUMIFS(Лэндинг!$I$5:$I$300,Лэндинг!$E$5:$E$300,$B86)+SUMIFS(Закрытые!$I$5:$I$300,Закрытые!$E$5:$E$300,$B86,Закрытые!$B$5:$B$300,"L-*")=0,"",SUMIFS(Лэндинг!$I$5:$I$300,Лэндинг!$E$5:$E$300,$B86)+SUMIFS(Закрытые!$I$5:$I$300,Закрытые!$E$5:$E$300,$B86,Закрытые!$B$5:$B$300,"L-*"))</f>
        <v/>
      </c>
      <c r="G86" s="183" t="str">
        <f>IF(F86="","",(SUMPRODUCT((Лэндинг!$E$5:$E$300=$B86)*Лэндинг!$I$5:$I$300*Лэндинг!$J$5:$J$300)+SUMPRODUCT((Закрытые!$E$5:$E$300=$B86)*(LEFT(Закрытые!$B$5:$B$300,2)="L-")*Закрытые!$I$5:$I$300*Закрытые!$J$5:$J$300))/F86)</f>
        <v/>
      </c>
      <c r="H86" s="247" t="str">
        <f>IF(F86="","",SUMIFS(Лэндинг!$K$5:$K$300,Лэндинг!$E$5:$E$300,$B86)+SUMIFS(Закрытые!$K$5:$K$300,Закрытые!$E$5:$E$300,$B86,Закрытые!$B$5:$B$300,"L-*"))</f>
        <v/>
      </c>
      <c r="I86" s="246" t="str">
        <f>IF($B86="","",IF(COUNTIFS(Лэндинг!$E$5:$E$300,$B86)+COUNTIFS(Закрытые!$E$5:$E$300,$B86,Закрытые!$B$5:$B$300,"L-*")=0,"",ROUND(SUMIFS(Лэндинг!$L$5:$L$300,Лэндинг!$E$5:$E$300,$B86)+SUMIFS(Закрытые!$L$5:$L$300,Закрытые!$E$5:$E$300,$B86,Закрытые!$B$5:$B$300,"L-*"),8)))</f>
        <v/>
      </c>
      <c r="J86" s="247" t="str">
        <f>IF($B86="","",IF(COUNTIFS(Лэндинг!$E$5:$E$300,$B86)+COUNTIFS(Закрытые!$E$5:$E$300,$B86,Закрытые!$B$5:$B$300,"L-*")=0,"",ROUND(SUMIFS(Лэндинг!$M$5:$M$300,Лэндинг!$E$5:$E$300,$B86)+SUMIFS(Закрытые!$M$5:$M$300,Закрытые!$E$5:$E$300,$B86,Закрытые!$B$5:$B$300,"L-*"),8)))</f>
        <v/>
      </c>
      <c r="K86" s="246" t="str">
        <f>IF(MIN(N(C86),N(F86))&lt;=0,"",ROUND(MIN(N(C86),N(F86))*(N(G86)-N(D86)),8))</f>
        <v/>
      </c>
      <c r="L86" s="183" t="str">
        <f>IF(MIN(N(C86),N(F86))&lt;=0,"",IF(N(D86)=0,"",ROUND((N(G86)/N(D86)-1)*100,2)))</f>
        <v/>
      </c>
      <c r="M86" s="183" t="str">
        <f>IF(OR(ROUND(N(C86)-N(F86),8)=0,1-N(Ввод!$J$19)/100&lt;=0),"",IF(N(C86)&gt;N(F86),(N(E86)-N(H86))/((N(C86)-N(F86))*(1-N(Ввод!$J$19)/100)),(N(H86)-N(E86))/((N(F86)-N(C86))*(1+N(Ввод!$J$19)/100))))</f>
        <v/>
      </c>
    </row>
    <row r="87" ht="22" customHeight="1">
      <c r="B87" s="239" t="n"/>
      <c r="C87" s="240" t="str">
        <f>IF(SUMIFS(Лэндинг!$F$5:$F$300,Лэндинг!$E$5:$E$300,$B87)+SUMIFS(Закрытые!$F$5:$F$300,Закрытые!$E$5:$E$300,$B87,Закрытые!$B$5:$B$300,"L-*")=0,"",SUMIFS(Лэндинг!$F$5:$F$300,Лэндинг!$E$5:$E$300,$B87)+SUMIFS(Закрытые!$F$5:$F$300,Закрытые!$E$5:$E$300,$B87,Закрытые!$B$5:$B$300,"L-*"))</f>
        <v/>
      </c>
      <c r="D87" s="177" t="str">
        <f>IF(C87="","",(SUMPRODUCT((Лэндинг!$E$5:$E$300=$B87)*Лэндинг!$F$5:$F$300*Лэндинг!$G$5:$G$300)+SUMPRODUCT((Закрытые!$E$5:$E$300=$B87)*(LEFT(Закрытые!$B$5:$B$300,2)="L-")*Закрытые!$F$5:$F$300*Закрытые!$G$5:$G$300))/C87)</f>
        <v/>
      </c>
      <c r="E87" s="241" t="str">
        <f>IF(C87="","",SUMIFS(Лэндинг!$H$5:$H$300,Лэндинг!$E$5:$E$300,$B87)+SUMIFS(Закрытые!$H$5:$H$300,Закрытые!$E$5:$E$300,$B87,Закрытые!$B$5:$B$300,"L-*"))</f>
        <v/>
      </c>
      <c r="F87" s="240" t="str">
        <f>IF(SUMIFS(Лэндинг!$I$5:$I$300,Лэндинг!$E$5:$E$300,$B87)+SUMIFS(Закрытые!$I$5:$I$300,Закрытые!$E$5:$E$300,$B87,Закрытые!$B$5:$B$300,"L-*")=0,"",SUMIFS(Лэндинг!$I$5:$I$300,Лэндинг!$E$5:$E$300,$B87)+SUMIFS(Закрытые!$I$5:$I$300,Закрытые!$E$5:$E$300,$B87,Закрытые!$B$5:$B$300,"L-*"))</f>
        <v/>
      </c>
      <c r="G87" s="177" t="str">
        <f>IF(F87="","",(SUMPRODUCT((Лэндинг!$E$5:$E$300=$B87)*Лэндинг!$I$5:$I$300*Лэндинг!$J$5:$J$300)+SUMPRODUCT((Закрытые!$E$5:$E$300=$B87)*(LEFT(Закрытые!$B$5:$B$300,2)="L-")*Закрытые!$I$5:$I$300*Закрытые!$J$5:$J$300))/F87)</f>
        <v/>
      </c>
      <c r="H87" s="241" t="str">
        <f>IF(F87="","",SUMIFS(Лэндинг!$K$5:$K$300,Лэндинг!$E$5:$E$300,$B87)+SUMIFS(Закрытые!$K$5:$K$300,Закрытые!$E$5:$E$300,$B87,Закрытые!$B$5:$B$300,"L-*"))</f>
        <v/>
      </c>
      <c r="I87" s="240" t="str">
        <f>IF($B87="","",IF(COUNTIFS(Лэндинг!$E$5:$E$300,$B87)+COUNTIFS(Закрытые!$E$5:$E$300,$B87,Закрытые!$B$5:$B$300,"L-*")=0,"",ROUND(SUMIFS(Лэндинг!$L$5:$L$300,Лэндинг!$E$5:$E$300,$B87)+SUMIFS(Закрытые!$L$5:$L$300,Закрытые!$E$5:$E$300,$B87,Закрытые!$B$5:$B$300,"L-*"),8)))</f>
        <v/>
      </c>
      <c r="J87" s="241" t="str">
        <f>IF($B87="","",IF(COUNTIFS(Лэндинг!$E$5:$E$300,$B87)+COUNTIFS(Закрытые!$E$5:$E$300,$B87,Закрытые!$B$5:$B$300,"L-*")=0,"",ROUND(SUMIFS(Лэндинг!$M$5:$M$300,Лэндинг!$E$5:$E$300,$B87)+SUMIFS(Закрытые!$M$5:$M$300,Закрытые!$E$5:$E$300,$B87,Закрытые!$B$5:$B$300,"L-*"),8)))</f>
        <v/>
      </c>
      <c r="K87" s="240" t="str">
        <f>IF(MIN(N(C87),N(F87))&lt;=0,"",ROUND(MIN(N(C87),N(F87))*(N(G87)-N(D87)),8))</f>
        <v/>
      </c>
      <c r="L87" s="177" t="str">
        <f>IF(MIN(N(C87),N(F87))&lt;=0,"",IF(N(D87)=0,"",ROUND((N(G87)/N(D87)-1)*100,2)))</f>
        <v/>
      </c>
      <c r="M87" s="177" t="str">
        <f>IF(OR(ROUND(N(C87)-N(F87),8)=0,1-N(Ввод!$J$19)/100&lt;=0),"",IF(N(C87)&gt;N(F87),(N(E87)-N(H87))/((N(C87)-N(F87))*(1-N(Ввод!$J$19)/100)),(N(H87)-N(E87))/((N(F87)-N(C87))*(1+N(Ввод!$J$19)/100))))</f>
        <v/>
      </c>
    </row>
    <row r="88" ht="22" customHeight="1">
      <c r="B88" s="245" t="n"/>
      <c r="C88" s="246" t="str">
        <f>IF(SUMIFS(Лэндинг!$F$5:$F$300,Лэндинг!$E$5:$E$300,$B88)+SUMIFS(Закрытые!$F$5:$F$300,Закрытые!$E$5:$E$300,$B88,Закрытые!$B$5:$B$300,"L-*")=0,"",SUMIFS(Лэндинг!$F$5:$F$300,Лэндинг!$E$5:$E$300,$B88)+SUMIFS(Закрытые!$F$5:$F$300,Закрытые!$E$5:$E$300,$B88,Закрытые!$B$5:$B$300,"L-*"))</f>
        <v/>
      </c>
      <c r="D88" s="183" t="str">
        <f>IF(C88="","",(SUMPRODUCT((Лэндинг!$E$5:$E$300=$B88)*Лэндинг!$F$5:$F$300*Лэндинг!$G$5:$G$300)+SUMPRODUCT((Закрытые!$E$5:$E$300=$B88)*(LEFT(Закрытые!$B$5:$B$300,2)="L-")*Закрытые!$F$5:$F$300*Закрытые!$G$5:$G$300))/C88)</f>
        <v/>
      </c>
      <c r="E88" s="247" t="str">
        <f>IF(C88="","",SUMIFS(Лэндинг!$H$5:$H$300,Лэндинг!$E$5:$E$300,$B88)+SUMIFS(Закрытые!$H$5:$H$300,Закрытые!$E$5:$E$300,$B88,Закрытые!$B$5:$B$300,"L-*"))</f>
        <v/>
      </c>
      <c r="F88" s="246" t="str">
        <f>IF(SUMIFS(Лэндинг!$I$5:$I$300,Лэндинг!$E$5:$E$300,$B88)+SUMIFS(Закрытые!$I$5:$I$300,Закрытые!$E$5:$E$300,$B88,Закрытые!$B$5:$B$300,"L-*")=0,"",SUMIFS(Лэндинг!$I$5:$I$300,Лэндинг!$E$5:$E$300,$B88)+SUMIFS(Закрытые!$I$5:$I$300,Закрытые!$E$5:$E$300,$B88,Закрытые!$B$5:$B$300,"L-*"))</f>
        <v/>
      </c>
      <c r="G88" s="183" t="str">
        <f>IF(F88="","",(SUMPRODUCT((Лэндинг!$E$5:$E$300=$B88)*Лэндинг!$I$5:$I$300*Лэндинг!$J$5:$J$300)+SUMPRODUCT((Закрытые!$E$5:$E$300=$B88)*(LEFT(Закрытые!$B$5:$B$300,2)="L-")*Закрытые!$I$5:$I$300*Закрытые!$J$5:$J$300))/F88)</f>
        <v/>
      </c>
      <c r="H88" s="247" t="str">
        <f>IF(F88="","",SUMIFS(Лэндинг!$K$5:$K$300,Лэндинг!$E$5:$E$300,$B88)+SUMIFS(Закрытые!$K$5:$K$300,Закрытые!$E$5:$E$300,$B88,Закрытые!$B$5:$B$300,"L-*"))</f>
        <v/>
      </c>
      <c r="I88" s="246" t="str">
        <f>IF($B88="","",IF(COUNTIFS(Лэндинг!$E$5:$E$300,$B88)+COUNTIFS(Закрытые!$E$5:$E$300,$B88,Закрытые!$B$5:$B$300,"L-*")=0,"",ROUND(SUMIFS(Лэндинг!$L$5:$L$300,Лэндинг!$E$5:$E$300,$B88)+SUMIFS(Закрытые!$L$5:$L$300,Закрытые!$E$5:$E$300,$B88,Закрытые!$B$5:$B$300,"L-*"),8)))</f>
        <v/>
      </c>
      <c r="J88" s="247" t="str">
        <f>IF($B88="","",IF(COUNTIFS(Лэндинг!$E$5:$E$300,$B88)+COUNTIFS(Закрытые!$E$5:$E$300,$B88,Закрытые!$B$5:$B$300,"L-*")=0,"",ROUND(SUMIFS(Лэндинг!$M$5:$M$300,Лэндинг!$E$5:$E$300,$B88)+SUMIFS(Закрытые!$M$5:$M$300,Закрытые!$E$5:$E$300,$B88,Закрытые!$B$5:$B$300,"L-*"),8)))</f>
        <v/>
      </c>
      <c r="K88" s="246" t="str">
        <f>IF(MIN(N(C88),N(F88))&lt;=0,"",ROUND(MIN(N(C88),N(F88))*(N(G88)-N(D88)),8))</f>
        <v/>
      </c>
      <c r="L88" s="183" t="str">
        <f>IF(MIN(N(C88),N(F88))&lt;=0,"",IF(N(D88)=0,"",ROUND((N(G88)/N(D88)-1)*100,2)))</f>
        <v/>
      </c>
      <c r="M88" s="183" t="str">
        <f>IF(OR(ROUND(N(C88)-N(F88),8)=0,1-N(Ввод!$J$19)/100&lt;=0),"",IF(N(C88)&gt;N(F88),(N(E88)-N(H88))/((N(C88)-N(F88))*(1-N(Ввод!$J$19)/100)),(N(H88)-N(E88))/((N(F88)-N(C88))*(1+N(Ввод!$J$19)/100))))</f>
        <v/>
      </c>
    </row>
    <row r="89" ht="22" customHeight="1">
      <c r="B89" s="239" t="n"/>
      <c r="C89" s="240" t="str">
        <f>IF(SUMIFS(Лэндинг!$F$5:$F$300,Лэндинг!$E$5:$E$300,$B89)+SUMIFS(Закрытые!$F$5:$F$300,Закрытые!$E$5:$E$300,$B89,Закрытые!$B$5:$B$300,"L-*")=0,"",SUMIFS(Лэндинг!$F$5:$F$300,Лэндинг!$E$5:$E$300,$B89)+SUMIFS(Закрытые!$F$5:$F$300,Закрытые!$E$5:$E$300,$B89,Закрытые!$B$5:$B$300,"L-*"))</f>
        <v/>
      </c>
      <c r="D89" s="177" t="str">
        <f>IF(C89="","",(SUMPRODUCT((Лэндинг!$E$5:$E$300=$B89)*Лэндинг!$F$5:$F$300*Лэндинг!$G$5:$G$300)+SUMPRODUCT((Закрытые!$E$5:$E$300=$B89)*(LEFT(Закрытые!$B$5:$B$300,2)="L-")*Закрытые!$F$5:$F$300*Закрытые!$G$5:$G$300))/C89)</f>
        <v/>
      </c>
      <c r="E89" s="241" t="str">
        <f>IF(C89="","",SUMIFS(Лэндинг!$H$5:$H$300,Лэндинг!$E$5:$E$300,$B89)+SUMIFS(Закрытые!$H$5:$H$300,Закрытые!$E$5:$E$300,$B89,Закрытые!$B$5:$B$300,"L-*"))</f>
        <v/>
      </c>
      <c r="F89" s="240" t="str">
        <f>IF(SUMIFS(Лэндинг!$I$5:$I$300,Лэндинг!$E$5:$E$300,$B89)+SUMIFS(Закрытые!$I$5:$I$300,Закрытые!$E$5:$E$300,$B89,Закрытые!$B$5:$B$300,"L-*")=0,"",SUMIFS(Лэндинг!$I$5:$I$300,Лэндинг!$E$5:$E$300,$B89)+SUMIFS(Закрытые!$I$5:$I$300,Закрытые!$E$5:$E$300,$B89,Закрытые!$B$5:$B$300,"L-*"))</f>
        <v/>
      </c>
      <c r="G89" s="177" t="str">
        <f>IF(F89="","",(SUMPRODUCT((Лэндинг!$E$5:$E$300=$B89)*Лэндинг!$I$5:$I$300*Лэндинг!$J$5:$J$300)+SUMPRODUCT((Закрытые!$E$5:$E$300=$B89)*(LEFT(Закрытые!$B$5:$B$300,2)="L-")*Закрытые!$I$5:$I$300*Закрытые!$J$5:$J$300))/F89)</f>
        <v/>
      </c>
      <c r="H89" s="241" t="str">
        <f>IF(F89="","",SUMIFS(Лэндинг!$K$5:$K$300,Лэндинг!$E$5:$E$300,$B89)+SUMIFS(Закрытые!$K$5:$K$300,Закрытые!$E$5:$E$300,$B89,Закрытые!$B$5:$B$300,"L-*"))</f>
        <v/>
      </c>
      <c r="I89" s="240" t="str">
        <f>IF($B89="","",IF(COUNTIFS(Лэндинг!$E$5:$E$300,$B89)+COUNTIFS(Закрытые!$E$5:$E$300,$B89,Закрытые!$B$5:$B$300,"L-*")=0,"",ROUND(SUMIFS(Лэндинг!$L$5:$L$300,Лэндинг!$E$5:$E$300,$B89)+SUMIFS(Закрытые!$L$5:$L$300,Закрытые!$E$5:$E$300,$B89,Закрытые!$B$5:$B$300,"L-*"),8)))</f>
        <v/>
      </c>
      <c r="J89" s="241" t="str">
        <f>IF($B89="","",IF(COUNTIFS(Лэндинг!$E$5:$E$300,$B89)+COUNTIFS(Закрытые!$E$5:$E$300,$B89,Закрытые!$B$5:$B$300,"L-*")=0,"",ROUND(SUMIFS(Лэндинг!$M$5:$M$300,Лэндинг!$E$5:$E$300,$B89)+SUMIFS(Закрытые!$M$5:$M$300,Закрытые!$E$5:$E$300,$B89,Закрытые!$B$5:$B$300,"L-*"),8)))</f>
        <v/>
      </c>
      <c r="K89" s="240" t="str">
        <f>IF(MIN(N(C89),N(F89))&lt;=0,"",ROUND(MIN(N(C89),N(F89))*(N(G89)-N(D89)),8))</f>
        <v/>
      </c>
      <c r="L89" s="177" t="str">
        <f>IF(MIN(N(C89),N(F89))&lt;=0,"",IF(N(D89)=0,"",ROUND((N(G89)/N(D89)-1)*100,2)))</f>
        <v/>
      </c>
      <c r="M89" s="177" t="str">
        <f>IF(OR(ROUND(N(C89)-N(F89),8)=0,1-N(Ввод!$J$19)/100&lt;=0),"",IF(N(C89)&gt;N(F89),(N(E89)-N(H89))/((N(C89)-N(F89))*(1-N(Ввод!$J$19)/100)),(N(H89)-N(E89))/((N(F89)-N(C89))*(1+N(Ввод!$J$19)/100))))</f>
        <v/>
      </c>
    </row>
    <row r="90" ht="22" customHeight="1">
      <c r="B90" s="245" t="n"/>
      <c r="C90" s="246" t="str">
        <f>IF(SUMIFS(Лэндинг!$F$5:$F$300,Лэндинг!$E$5:$E$300,$B90)+SUMIFS(Закрытые!$F$5:$F$300,Закрытые!$E$5:$E$300,$B90,Закрытые!$B$5:$B$300,"L-*")=0,"",SUMIFS(Лэндинг!$F$5:$F$300,Лэндинг!$E$5:$E$300,$B90)+SUMIFS(Закрытые!$F$5:$F$300,Закрытые!$E$5:$E$300,$B90,Закрытые!$B$5:$B$300,"L-*"))</f>
        <v/>
      </c>
      <c r="D90" s="183" t="str">
        <f>IF(C90="","",(SUMPRODUCT((Лэндинг!$E$5:$E$300=$B90)*Лэндинг!$F$5:$F$300*Лэндинг!$G$5:$G$300)+SUMPRODUCT((Закрытые!$E$5:$E$300=$B90)*(LEFT(Закрытые!$B$5:$B$300,2)="L-")*Закрытые!$F$5:$F$300*Закрытые!$G$5:$G$300))/C90)</f>
        <v/>
      </c>
      <c r="E90" s="247" t="str">
        <f>IF(C90="","",SUMIFS(Лэндинг!$H$5:$H$300,Лэндинг!$E$5:$E$300,$B90)+SUMIFS(Закрытые!$H$5:$H$300,Закрытые!$E$5:$E$300,$B90,Закрытые!$B$5:$B$300,"L-*"))</f>
        <v/>
      </c>
      <c r="F90" s="246" t="str">
        <f>IF(SUMIFS(Лэндинг!$I$5:$I$300,Лэндинг!$E$5:$E$300,$B90)+SUMIFS(Закрытые!$I$5:$I$300,Закрытые!$E$5:$E$300,$B90,Закрытые!$B$5:$B$300,"L-*")=0,"",SUMIFS(Лэндинг!$I$5:$I$300,Лэндинг!$E$5:$E$300,$B90)+SUMIFS(Закрытые!$I$5:$I$300,Закрытые!$E$5:$E$300,$B90,Закрытые!$B$5:$B$300,"L-*"))</f>
        <v/>
      </c>
      <c r="G90" s="183" t="str">
        <f>IF(F90="","",(SUMPRODUCT((Лэндинг!$E$5:$E$300=$B90)*Лэндинг!$I$5:$I$300*Лэндинг!$J$5:$J$300)+SUMPRODUCT((Закрытые!$E$5:$E$300=$B90)*(LEFT(Закрытые!$B$5:$B$300,2)="L-")*Закрытые!$I$5:$I$300*Закрытые!$J$5:$J$300))/F90)</f>
        <v/>
      </c>
      <c r="H90" s="247" t="str">
        <f>IF(F90="","",SUMIFS(Лэндинг!$K$5:$K$300,Лэндинг!$E$5:$E$300,$B90)+SUMIFS(Закрытые!$K$5:$K$300,Закрытые!$E$5:$E$300,$B90,Закрытые!$B$5:$B$300,"L-*"))</f>
        <v/>
      </c>
      <c r="I90" s="246" t="str">
        <f>IF($B90="","",IF(COUNTIFS(Лэндинг!$E$5:$E$300,$B90)+COUNTIFS(Закрытые!$E$5:$E$300,$B90,Закрытые!$B$5:$B$300,"L-*")=0,"",ROUND(SUMIFS(Лэндинг!$L$5:$L$300,Лэндинг!$E$5:$E$300,$B90)+SUMIFS(Закрытые!$L$5:$L$300,Закрытые!$E$5:$E$300,$B90,Закрытые!$B$5:$B$300,"L-*"),8)))</f>
        <v/>
      </c>
      <c r="J90" s="247" t="str">
        <f>IF($B90="","",IF(COUNTIFS(Лэндинг!$E$5:$E$300,$B90)+COUNTIFS(Закрытые!$E$5:$E$300,$B90,Закрытые!$B$5:$B$300,"L-*")=0,"",ROUND(SUMIFS(Лэндинг!$M$5:$M$300,Лэндинг!$E$5:$E$300,$B90)+SUMIFS(Закрытые!$M$5:$M$300,Закрытые!$E$5:$E$300,$B90,Закрытые!$B$5:$B$300,"L-*"),8)))</f>
        <v/>
      </c>
      <c r="K90" s="246" t="str">
        <f>IF(MIN(N(C90),N(F90))&lt;=0,"",ROUND(MIN(N(C90),N(F90))*(N(G90)-N(D90)),8))</f>
        <v/>
      </c>
      <c r="L90" s="183" t="str">
        <f>IF(MIN(N(C90),N(F90))&lt;=0,"",IF(N(D90)=0,"",ROUND((N(G90)/N(D90)-1)*100,2)))</f>
        <v/>
      </c>
      <c r="M90" s="183" t="str">
        <f>IF(OR(ROUND(N(C90)-N(F90),8)=0,1-N(Ввод!$J$19)/100&lt;=0),"",IF(N(C90)&gt;N(F90),(N(E90)-N(H90))/((N(C90)-N(F90))*(1-N(Ввод!$J$19)/100)),(N(H90)-N(E90))/((N(F90)-N(C90))*(1+N(Ввод!$J$19)/100))))</f>
        <v/>
      </c>
    </row>
    <row r="91" ht="22" customHeight="1">
      <c r="B91" s="239" t="n"/>
      <c r="C91" s="240" t="str">
        <f>IF(SUMIFS(Лэндинг!$F$5:$F$300,Лэндинг!$E$5:$E$300,$B91)+SUMIFS(Закрытые!$F$5:$F$300,Закрытые!$E$5:$E$300,$B91,Закрытые!$B$5:$B$300,"L-*")=0,"",SUMIFS(Лэндинг!$F$5:$F$300,Лэндинг!$E$5:$E$300,$B91)+SUMIFS(Закрытые!$F$5:$F$300,Закрытые!$E$5:$E$300,$B91,Закрытые!$B$5:$B$300,"L-*"))</f>
        <v/>
      </c>
      <c r="D91" s="177" t="str">
        <f>IF(C91="","",(SUMPRODUCT((Лэндинг!$E$5:$E$300=$B91)*Лэндинг!$F$5:$F$300*Лэндинг!$G$5:$G$300)+SUMPRODUCT((Закрытые!$E$5:$E$300=$B91)*(LEFT(Закрытые!$B$5:$B$300,2)="L-")*Закрытые!$F$5:$F$300*Закрытые!$G$5:$G$300))/C91)</f>
        <v/>
      </c>
      <c r="E91" s="241" t="str">
        <f>IF(C91="","",SUMIFS(Лэндинг!$H$5:$H$300,Лэндинг!$E$5:$E$300,$B91)+SUMIFS(Закрытые!$H$5:$H$300,Закрытые!$E$5:$E$300,$B91,Закрытые!$B$5:$B$300,"L-*"))</f>
        <v/>
      </c>
      <c r="F91" s="240" t="str">
        <f>IF(SUMIFS(Лэндинг!$I$5:$I$300,Лэндинг!$E$5:$E$300,$B91)+SUMIFS(Закрытые!$I$5:$I$300,Закрытые!$E$5:$E$300,$B91,Закрытые!$B$5:$B$300,"L-*")=0,"",SUMIFS(Лэндинг!$I$5:$I$300,Лэндинг!$E$5:$E$300,$B91)+SUMIFS(Закрытые!$I$5:$I$300,Закрытые!$E$5:$E$300,$B91,Закрытые!$B$5:$B$300,"L-*"))</f>
        <v/>
      </c>
      <c r="G91" s="177" t="str">
        <f>IF(F91="","",(SUMPRODUCT((Лэндинг!$E$5:$E$300=$B91)*Лэндинг!$I$5:$I$300*Лэндинг!$J$5:$J$300)+SUMPRODUCT((Закрытые!$E$5:$E$300=$B91)*(LEFT(Закрытые!$B$5:$B$300,2)="L-")*Закрытые!$I$5:$I$300*Закрытые!$J$5:$J$300))/F91)</f>
        <v/>
      </c>
      <c r="H91" s="241" t="str">
        <f>IF(F91="","",SUMIFS(Лэндинг!$K$5:$K$300,Лэндинг!$E$5:$E$300,$B91)+SUMIFS(Закрытые!$K$5:$K$300,Закрытые!$E$5:$E$300,$B91,Закрытые!$B$5:$B$300,"L-*"))</f>
        <v/>
      </c>
      <c r="I91" s="240" t="str">
        <f>IF($B91="","",IF(COUNTIFS(Лэндинг!$E$5:$E$300,$B91)+COUNTIFS(Закрытые!$E$5:$E$300,$B91,Закрытые!$B$5:$B$300,"L-*")=0,"",ROUND(SUMIFS(Лэндинг!$L$5:$L$300,Лэндинг!$E$5:$E$300,$B91)+SUMIFS(Закрытые!$L$5:$L$300,Закрытые!$E$5:$E$300,$B91,Закрытые!$B$5:$B$300,"L-*"),8)))</f>
        <v/>
      </c>
      <c r="J91" s="241" t="str">
        <f>IF($B91="","",IF(COUNTIFS(Лэндинг!$E$5:$E$300,$B91)+COUNTIFS(Закрытые!$E$5:$E$300,$B91,Закрытые!$B$5:$B$300,"L-*")=0,"",ROUND(SUMIFS(Лэндинг!$M$5:$M$300,Лэндинг!$E$5:$E$300,$B91)+SUMIFS(Закрытые!$M$5:$M$300,Закрытые!$E$5:$E$300,$B91,Закрытые!$B$5:$B$300,"L-*"),8)))</f>
        <v/>
      </c>
      <c r="K91" s="240" t="str">
        <f>IF(MIN(N(C91),N(F91))&lt;=0,"",ROUND(MIN(N(C91),N(F91))*(N(G91)-N(D91)),8))</f>
        <v/>
      </c>
      <c r="L91" s="177" t="str">
        <f>IF(MIN(N(C91),N(F91))&lt;=0,"",IF(N(D91)=0,"",ROUND((N(G91)/N(D91)-1)*100,2)))</f>
        <v/>
      </c>
      <c r="M91" s="177" t="str">
        <f>IF(OR(ROUND(N(C91)-N(F91),8)=0,1-N(Ввод!$J$19)/100&lt;=0),"",IF(N(C91)&gt;N(F91),(N(E91)-N(H91))/((N(C91)-N(F91))*(1-N(Ввод!$J$19)/100)),(N(H91)-N(E91))/((N(F91)-N(C91))*(1+N(Ввод!$J$19)/100))))</f>
        <v/>
      </c>
    </row>
    <row r="92" ht="22" customHeight="1">
      <c r="B92" s="245" t="n"/>
      <c r="C92" s="246" t="str">
        <f>IF(SUMIFS(Лэндинг!$F$5:$F$300,Лэндинг!$E$5:$E$300,$B92)+SUMIFS(Закрытые!$F$5:$F$300,Закрытые!$E$5:$E$300,$B92,Закрытые!$B$5:$B$300,"L-*")=0,"",SUMIFS(Лэндинг!$F$5:$F$300,Лэндинг!$E$5:$E$300,$B92)+SUMIFS(Закрытые!$F$5:$F$300,Закрытые!$E$5:$E$300,$B92,Закрытые!$B$5:$B$300,"L-*"))</f>
        <v/>
      </c>
      <c r="D92" s="183" t="str">
        <f>IF(C92="","",(SUMPRODUCT((Лэндинг!$E$5:$E$300=$B92)*Лэндинг!$F$5:$F$300*Лэндинг!$G$5:$G$300)+SUMPRODUCT((Закрытые!$E$5:$E$300=$B92)*(LEFT(Закрытые!$B$5:$B$300,2)="L-")*Закрытые!$F$5:$F$300*Закрытые!$G$5:$G$300))/C92)</f>
        <v/>
      </c>
      <c r="E92" s="247" t="str">
        <f>IF(C92="","",SUMIFS(Лэндинг!$H$5:$H$300,Лэндинг!$E$5:$E$300,$B92)+SUMIFS(Закрытые!$H$5:$H$300,Закрытые!$E$5:$E$300,$B92,Закрытые!$B$5:$B$300,"L-*"))</f>
        <v/>
      </c>
      <c r="F92" s="246" t="str">
        <f>IF(SUMIFS(Лэндинг!$I$5:$I$300,Лэндинг!$E$5:$E$300,$B92)+SUMIFS(Закрытые!$I$5:$I$300,Закрытые!$E$5:$E$300,$B92,Закрытые!$B$5:$B$300,"L-*")=0,"",SUMIFS(Лэндинг!$I$5:$I$300,Лэндинг!$E$5:$E$300,$B92)+SUMIFS(Закрытые!$I$5:$I$300,Закрытые!$E$5:$E$300,$B92,Закрытые!$B$5:$B$300,"L-*"))</f>
        <v/>
      </c>
      <c r="G92" s="183" t="str">
        <f>IF(F92="","",(SUMPRODUCT((Лэндинг!$E$5:$E$300=$B92)*Лэндинг!$I$5:$I$300*Лэндинг!$J$5:$J$300)+SUMPRODUCT((Закрытые!$E$5:$E$300=$B92)*(LEFT(Закрытые!$B$5:$B$300,2)="L-")*Закрытые!$I$5:$I$300*Закрытые!$J$5:$J$300))/F92)</f>
        <v/>
      </c>
      <c r="H92" s="247" t="str">
        <f>IF(F92="","",SUMIFS(Лэндинг!$K$5:$K$300,Лэндинг!$E$5:$E$300,$B92)+SUMIFS(Закрытые!$K$5:$K$300,Закрытые!$E$5:$E$300,$B92,Закрытые!$B$5:$B$300,"L-*"))</f>
        <v/>
      </c>
      <c r="I92" s="246" t="str">
        <f>IF($B92="","",IF(COUNTIFS(Лэндинг!$E$5:$E$300,$B92)+COUNTIFS(Закрытые!$E$5:$E$300,$B92,Закрытые!$B$5:$B$300,"L-*")=0,"",ROUND(SUMIFS(Лэндинг!$L$5:$L$300,Лэндинг!$E$5:$E$300,$B92)+SUMIFS(Закрытые!$L$5:$L$300,Закрытые!$E$5:$E$300,$B92,Закрытые!$B$5:$B$300,"L-*"),8)))</f>
        <v/>
      </c>
      <c r="J92" s="247" t="str">
        <f>IF($B92="","",IF(COUNTIFS(Лэндинг!$E$5:$E$300,$B92)+COUNTIFS(Закрытые!$E$5:$E$300,$B92,Закрытые!$B$5:$B$300,"L-*")=0,"",ROUND(SUMIFS(Лэндинг!$M$5:$M$300,Лэндинг!$E$5:$E$300,$B92)+SUMIFS(Закрытые!$M$5:$M$300,Закрытые!$E$5:$E$300,$B92,Закрытые!$B$5:$B$300,"L-*"),8)))</f>
        <v/>
      </c>
      <c r="K92" s="246" t="str">
        <f>IF(MIN(N(C92),N(F92))&lt;=0,"",ROUND(MIN(N(C92),N(F92))*(N(G92)-N(D92)),8))</f>
        <v/>
      </c>
      <c r="L92" s="183" t="str">
        <f>IF(MIN(N(C92),N(F92))&lt;=0,"",IF(N(D92)=0,"",ROUND((N(G92)/N(D92)-1)*100,2)))</f>
        <v/>
      </c>
      <c r="M92" s="183" t="str">
        <f>IF(OR(ROUND(N(C92)-N(F92),8)=0,1-N(Ввод!$J$19)/100&lt;=0),"",IF(N(C92)&gt;N(F92),(N(E92)-N(H92))/((N(C92)-N(F92))*(1-N(Ввод!$J$19)/100)),(N(H92)-N(E92))/((N(F92)-N(C92))*(1+N(Ввод!$J$19)/100))))</f>
        <v/>
      </c>
    </row>
    <row r="93" ht="22" customHeight="1">
      <c r="B93" s="239" t="n"/>
      <c r="C93" s="240" t="str">
        <f>IF(SUMIFS(Лэндинг!$F$5:$F$300,Лэндинг!$E$5:$E$300,$B93)+SUMIFS(Закрытые!$F$5:$F$300,Закрытые!$E$5:$E$300,$B93,Закрытые!$B$5:$B$300,"L-*")=0,"",SUMIFS(Лэндинг!$F$5:$F$300,Лэндинг!$E$5:$E$300,$B93)+SUMIFS(Закрытые!$F$5:$F$300,Закрытые!$E$5:$E$300,$B93,Закрытые!$B$5:$B$300,"L-*"))</f>
        <v/>
      </c>
      <c r="D93" s="177" t="str">
        <f>IF(C93="","",(SUMPRODUCT((Лэндинг!$E$5:$E$300=$B93)*Лэндинг!$F$5:$F$300*Лэндинг!$G$5:$G$300)+SUMPRODUCT((Закрытые!$E$5:$E$300=$B93)*(LEFT(Закрытые!$B$5:$B$300,2)="L-")*Закрытые!$F$5:$F$300*Закрытые!$G$5:$G$300))/C93)</f>
        <v/>
      </c>
      <c r="E93" s="241" t="str">
        <f>IF(C93="","",SUMIFS(Лэндинг!$H$5:$H$300,Лэндинг!$E$5:$E$300,$B93)+SUMIFS(Закрытые!$H$5:$H$300,Закрытые!$E$5:$E$300,$B93,Закрытые!$B$5:$B$300,"L-*"))</f>
        <v/>
      </c>
      <c r="F93" s="240" t="str">
        <f>IF(SUMIFS(Лэндинг!$I$5:$I$300,Лэндинг!$E$5:$E$300,$B93)+SUMIFS(Закрытые!$I$5:$I$300,Закрытые!$E$5:$E$300,$B93,Закрытые!$B$5:$B$300,"L-*")=0,"",SUMIFS(Лэндинг!$I$5:$I$300,Лэндинг!$E$5:$E$300,$B93)+SUMIFS(Закрытые!$I$5:$I$300,Закрытые!$E$5:$E$300,$B93,Закрытые!$B$5:$B$300,"L-*"))</f>
        <v/>
      </c>
      <c r="G93" s="177" t="str">
        <f>IF(F93="","",(SUMPRODUCT((Лэндинг!$E$5:$E$300=$B93)*Лэндинг!$I$5:$I$300*Лэндинг!$J$5:$J$300)+SUMPRODUCT((Закрытые!$E$5:$E$300=$B93)*(LEFT(Закрытые!$B$5:$B$300,2)="L-")*Закрытые!$I$5:$I$300*Закрытые!$J$5:$J$300))/F93)</f>
        <v/>
      </c>
      <c r="H93" s="241" t="str">
        <f>IF(F93="","",SUMIFS(Лэндинг!$K$5:$K$300,Лэндинг!$E$5:$E$300,$B93)+SUMIFS(Закрытые!$K$5:$K$300,Закрытые!$E$5:$E$300,$B93,Закрытые!$B$5:$B$300,"L-*"))</f>
        <v/>
      </c>
      <c r="I93" s="240" t="str">
        <f>IF($B93="","",IF(COUNTIFS(Лэндинг!$E$5:$E$300,$B93)+COUNTIFS(Закрытые!$E$5:$E$300,$B93,Закрытые!$B$5:$B$300,"L-*")=0,"",ROUND(SUMIFS(Лэндинг!$L$5:$L$300,Лэндинг!$E$5:$E$300,$B93)+SUMIFS(Закрытые!$L$5:$L$300,Закрытые!$E$5:$E$300,$B93,Закрытые!$B$5:$B$300,"L-*"),8)))</f>
        <v/>
      </c>
      <c r="J93" s="241" t="str">
        <f>IF($B93="","",IF(COUNTIFS(Лэндинг!$E$5:$E$300,$B93)+COUNTIFS(Закрытые!$E$5:$E$300,$B93,Закрытые!$B$5:$B$300,"L-*")=0,"",ROUND(SUMIFS(Лэндинг!$M$5:$M$300,Лэндинг!$E$5:$E$300,$B93)+SUMIFS(Закрытые!$M$5:$M$300,Закрытые!$E$5:$E$300,$B93,Закрытые!$B$5:$B$300,"L-*"),8)))</f>
        <v/>
      </c>
      <c r="K93" s="240" t="str">
        <f>IF(MIN(N(C93),N(F93))&lt;=0,"",ROUND(MIN(N(C93),N(F93))*(N(G93)-N(D93)),8))</f>
        <v/>
      </c>
      <c r="L93" s="177" t="str">
        <f>IF(MIN(N(C93),N(F93))&lt;=0,"",IF(N(D93)=0,"",ROUND((N(G93)/N(D93)-1)*100,2)))</f>
        <v/>
      </c>
      <c r="M93" s="177" t="str">
        <f>IF(OR(ROUND(N(C93)-N(F93),8)=0,1-N(Ввод!$J$19)/100&lt;=0),"",IF(N(C93)&gt;N(F93),(N(E93)-N(H93))/((N(C93)-N(F93))*(1-N(Ввод!$J$19)/100)),(N(H93)-N(E93))/((N(F93)-N(C93))*(1+N(Ввод!$J$19)/100))))</f>
        <v/>
      </c>
    </row>
    <row r="94" ht="22" customHeight="1">
      <c r="B94" s="245" t="n"/>
      <c r="C94" s="246" t="str">
        <f>IF(SUMIFS(Лэндинг!$F$5:$F$300,Лэндинг!$E$5:$E$300,$B94)+SUMIFS(Закрытые!$F$5:$F$300,Закрытые!$E$5:$E$300,$B94,Закрытые!$B$5:$B$300,"L-*")=0,"",SUMIFS(Лэндинг!$F$5:$F$300,Лэндинг!$E$5:$E$300,$B94)+SUMIFS(Закрытые!$F$5:$F$300,Закрытые!$E$5:$E$300,$B94,Закрытые!$B$5:$B$300,"L-*"))</f>
        <v/>
      </c>
      <c r="D94" s="183" t="str">
        <f>IF(C94="","",(SUMPRODUCT((Лэндинг!$E$5:$E$300=$B94)*Лэндинг!$F$5:$F$300*Лэндинг!$G$5:$G$300)+SUMPRODUCT((Закрытые!$E$5:$E$300=$B94)*(LEFT(Закрытые!$B$5:$B$300,2)="L-")*Закрытые!$F$5:$F$300*Закрытые!$G$5:$G$300))/C94)</f>
        <v/>
      </c>
      <c r="E94" s="247" t="str">
        <f>IF(C94="","",SUMIFS(Лэндинг!$H$5:$H$300,Лэндинг!$E$5:$E$300,$B94)+SUMIFS(Закрытые!$H$5:$H$300,Закрытые!$E$5:$E$300,$B94,Закрытые!$B$5:$B$300,"L-*"))</f>
        <v/>
      </c>
      <c r="F94" s="246" t="str">
        <f>IF(SUMIFS(Лэндинг!$I$5:$I$300,Лэндинг!$E$5:$E$300,$B94)+SUMIFS(Закрытые!$I$5:$I$300,Закрытые!$E$5:$E$300,$B94,Закрытые!$B$5:$B$300,"L-*")=0,"",SUMIFS(Лэндинг!$I$5:$I$300,Лэндинг!$E$5:$E$300,$B94)+SUMIFS(Закрытые!$I$5:$I$300,Закрытые!$E$5:$E$300,$B94,Закрытые!$B$5:$B$300,"L-*"))</f>
        <v/>
      </c>
      <c r="G94" s="183" t="str">
        <f>IF(F94="","",(SUMPRODUCT((Лэндинг!$E$5:$E$300=$B94)*Лэндинг!$I$5:$I$300*Лэндинг!$J$5:$J$300)+SUMPRODUCT((Закрытые!$E$5:$E$300=$B94)*(LEFT(Закрытые!$B$5:$B$300,2)="L-")*Закрытые!$I$5:$I$300*Закрытые!$J$5:$J$300))/F94)</f>
        <v/>
      </c>
      <c r="H94" s="247" t="str">
        <f>IF(F94="","",SUMIFS(Лэндинг!$K$5:$K$300,Лэндинг!$E$5:$E$300,$B94)+SUMIFS(Закрытые!$K$5:$K$300,Закрытые!$E$5:$E$300,$B94,Закрытые!$B$5:$B$300,"L-*"))</f>
        <v/>
      </c>
      <c r="I94" s="246" t="str">
        <f>IF($B94="","",IF(COUNTIFS(Лэндинг!$E$5:$E$300,$B94)+COUNTIFS(Закрытые!$E$5:$E$300,$B94,Закрытые!$B$5:$B$300,"L-*")=0,"",ROUND(SUMIFS(Лэндинг!$L$5:$L$300,Лэндинг!$E$5:$E$300,$B94)+SUMIFS(Закрытые!$L$5:$L$300,Закрытые!$E$5:$E$300,$B94,Закрытые!$B$5:$B$300,"L-*"),8)))</f>
        <v/>
      </c>
      <c r="J94" s="247" t="str">
        <f>IF($B94="","",IF(COUNTIFS(Лэндинг!$E$5:$E$300,$B94)+COUNTIFS(Закрытые!$E$5:$E$300,$B94,Закрытые!$B$5:$B$300,"L-*")=0,"",ROUND(SUMIFS(Лэндинг!$M$5:$M$300,Лэндинг!$E$5:$E$300,$B94)+SUMIFS(Закрытые!$M$5:$M$300,Закрытые!$E$5:$E$300,$B94,Закрытые!$B$5:$B$300,"L-*"),8)))</f>
        <v/>
      </c>
      <c r="K94" s="246" t="str">
        <f>IF(MIN(N(C94),N(F94))&lt;=0,"",ROUND(MIN(N(C94),N(F94))*(N(G94)-N(D94)),8))</f>
        <v/>
      </c>
      <c r="L94" s="183" t="str">
        <f>IF(MIN(N(C94),N(F94))&lt;=0,"",IF(N(D94)=0,"",ROUND((N(G94)/N(D94)-1)*100,2)))</f>
        <v/>
      </c>
      <c r="M94" s="183" t="str">
        <f>IF(OR(ROUND(N(C94)-N(F94),8)=0,1-N(Ввод!$J$19)/100&lt;=0),"",IF(N(C94)&gt;N(F94),(N(E94)-N(H94))/((N(C94)-N(F94))*(1-N(Ввод!$J$19)/100)),(N(H94)-N(E94))/((N(F94)-N(C94))*(1+N(Ввод!$J$19)/100))))</f>
        <v/>
      </c>
    </row>
    <row r="95" ht="22" customHeight="1">
      <c r="B95" s="239" t="n"/>
      <c r="C95" s="240" t="str">
        <f>IF(SUMIFS(Лэндинг!$F$5:$F$300,Лэндинг!$E$5:$E$300,$B95)+SUMIFS(Закрытые!$F$5:$F$300,Закрытые!$E$5:$E$300,$B95,Закрытые!$B$5:$B$300,"L-*")=0,"",SUMIFS(Лэндинг!$F$5:$F$300,Лэндинг!$E$5:$E$300,$B95)+SUMIFS(Закрытые!$F$5:$F$300,Закрытые!$E$5:$E$300,$B95,Закрытые!$B$5:$B$300,"L-*"))</f>
        <v/>
      </c>
      <c r="D95" s="177" t="str">
        <f>IF(C95="","",(SUMPRODUCT((Лэндинг!$E$5:$E$300=$B95)*Лэндинг!$F$5:$F$300*Лэндинг!$G$5:$G$300)+SUMPRODUCT((Закрытые!$E$5:$E$300=$B95)*(LEFT(Закрытые!$B$5:$B$300,2)="L-")*Закрытые!$F$5:$F$300*Закрытые!$G$5:$G$300))/C95)</f>
        <v/>
      </c>
      <c r="E95" s="241" t="str">
        <f>IF(C95="","",SUMIFS(Лэндинг!$H$5:$H$300,Лэндинг!$E$5:$E$300,$B95)+SUMIFS(Закрытые!$H$5:$H$300,Закрытые!$E$5:$E$300,$B95,Закрытые!$B$5:$B$300,"L-*"))</f>
        <v/>
      </c>
      <c r="F95" s="240" t="str">
        <f>IF(SUMIFS(Лэндинг!$I$5:$I$300,Лэндинг!$E$5:$E$300,$B95)+SUMIFS(Закрытые!$I$5:$I$300,Закрытые!$E$5:$E$300,$B95,Закрытые!$B$5:$B$300,"L-*")=0,"",SUMIFS(Лэндинг!$I$5:$I$300,Лэндинг!$E$5:$E$300,$B95)+SUMIFS(Закрытые!$I$5:$I$300,Закрытые!$E$5:$E$300,$B95,Закрытые!$B$5:$B$300,"L-*"))</f>
        <v/>
      </c>
      <c r="G95" s="177" t="str">
        <f>IF(F95="","",(SUMPRODUCT((Лэндинг!$E$5:$E$300=$B95)*Лэндинг!$I$5:$I$300*Лэндинг!$J$5:$J$300)+SUMPRODUCT((Закрытые!$E$5:$E$300=$B95)*(LEFT(Закрытые!$B$5:$B$300,2)="L-")*Закрытые!$I$5:$I$300*Закрытые!$J$5:$J$300))/F95)</f>
        <v/>
      </c>
      <c r="H95" s="241" t="str">
        <f>IF(F95="","",SUMIFS(Лэндинг!$K$5:$K$300,Лэндинг!$E$5:$E$300,$B95)+SUMIFS(Закрытые!$K$5:$K$300,Закрытые!$E$5:$E$300,$B95,Закрытые!$B$5:$B$300,"L-*"))</f>
        <v/>
      </c>
      <c r="I95" s="240" t="str">
        <f>IF($B95="","",IF(COUNTIFS(Лэндинг!$E$5:$E$300,$B95)+COUNTIFS(Закрытые!$E$5:$E$300,$B95,Закрытые!$B$5:$B$300,"L-*")=0,"",ROUND(SUMIFS(Лэндинг!$L$5:$L$300,Лэндинг!$E$5:$E$300,$B95)+SUMIFS(Закрытые!$L$5:$L$300,Закрытые!$E$5:$E$300,$B95,Закрытые!$B$5:$B$300,"L-*"),8)))</f>
        <v/>
      </c>
      <c r="J95" s="241" t="str">
        <f>IF($B95="","",IF(COUNTIFS(Лэндинг!$E$5:$E$300,$B95)+COUNTIFS(Закрытые!$E$5:$E$300,$B95,Закрытые!$B$5:$B$300,"L-*")=0,"",ROUND(SUMIFS(Лэндинг!$M$5:$M$300,Лэндинг!$E$5:$E$300,$B95)+SUMIFS(Закрытые!$M$5:$M$300,Закрытые!$E$5:$E$300,$B95,Закрытые!$B$5:$B$300,"L-*"),8)))</f>
        <v/>
      </c>
      <c r="K95" s="240" t="str">
        <f>IF(MIN(N(C95),N(F95))&lt;=0,"",ROUND(MIN(N(C95),N(F95))*(N(G95)-N(D95)),8))</f>
        <v/>
      </c>
      <c r="L95" s="177" t="str">
        <f>IF(MIN(N(C95),N(F95))&lt;=0,"",IF(N(D95)=0,"",ROUND((N(G95)/N(D95)-1)*100,2)))</f>
        <v/>
      </c>
      <c r="M95" s="177" t="str">
        <f>IF(OR(ROUND(N(C95)-N(F95),8)=0,1-N(Ввод!$J$19)/100&lt;=0),"",IF(N(C95)&gt;N(F95),(N(E95)-N(H95))/((N(C95)-N(F95))*(1-N(Ввод!$J$19)/100)),(N(H95)-N(E95))/((N(F95)-N(C95))*(1+N(Ввод!$J$19)/100))))</f>
        <v/>
      </c>
    </row>
    <row r="96" ht="22" customHeight="1">
      <c r="B96" s="245" t="n"/>
      <c r="C96" s="246" t="str">
        <f>IF(SUMIFS(Лэндинг!$F$5:$F$300,Лэндинг!$E$5:$E$300,$B96)+SUMIFS(Закрытые!$F$5:$F$300,Закрытые!$E$5:$E$300,$B96,Закрытые!$B$5:$B$300,"L-*")=0,"",SUMIFS(Лэндинг!$F$5:$F$300,Лэндинг!$E$5:$E$300,$B96)+SUMIFS(Закрытые!$F$5:$F$300,Закрытые!$E$5:$E$300,$B96,Закрытые!$B$5:$B$300,"L-*"))</f>
        <v/>
      </c>
      <c r="D96" s="183" t="str">
        <f>IF(C96="","",(SUMPRODUCT((Лэндинг!$E$5:$E$300=$B96)*Лэндинг!$F$5:$F$300*Лэндинг!$G$5:$G$300)+SUMPRODUCT((Закрытые!$E$5:$E$300=$B96)*(LEFT(Закрытые!$B$5:$B$300,2)="L-")*Закрытые!$F$5:$F$300*Закрытые!$G$5:$G$300))/C96)</f>
        <v/>
      </c>
      <c r="E96" s="247" t="str">
        <f>IF(C96="","",SUMIFS(Лэндинг!$H$5:$H$300,Лэндинг!$E$5:$E$300,$B96)+SUMIFS(Закрытые!$H$5:$H$300,Закрытые!$E$5:$E$300,$B96,Закрытые!$B$5:$B$300,"L-*"))</f>
        <v/>
      </c>
      <c r="F96" s="246" t="str">
        <f>IF(SUMIFS(Лэндинг!$I$5:$I$300,Лэндинг!$E$5:$E$300,$B96)+SUMIFS(Закрытые!$I$5:$I$300,Закрытые!$E$5:$E$300,$B96,Закрытые!$B$5:$B$300,"L-*")=0,"",SUMIFS(Лэндинг!$I$5:$I$300,Лэндинг!$E$5:$E$300,$B96)+SUMIFS(Закрытые!$I$5:$I$300,Закрытые!$E$5:$E$300,$B96,Закрытые!$B$5:$B$300,"L-*"))</f>
        <v/>
      </c>
      <c r="G96" s="183" t="str">
        <f>IF(F96="","",(SUMPRODUCT((Лэндинг!$E$5:$E$300=$B96)*Лэндинг!$I$5:$I$300*Лэндинг!$J$5:$J$300)+SUMPRODUCT((Закрытые!$E$5:$E$300=$B96)*(LEFT(Закрытые!$B$5:$B$300,2)="L-")*Закрытые!$I$5:$I$300*Закрытые!$J$5:$J$300))/F96)</f>
        <v/>
      </c>
      <c r="H96" s="247" t="str">
        <f>IF(F96="","",SUMIFS(Лэндинг!$K$5:$K$300,Лэндинг!$E$5:$E$300,$B96)+SUMIFS(Закрытые!$K$5:$K$300,Закрытые!$E$5:$E$300,$B96,Закрытые!$B$5:$B$300,"L-*"))</f>
        <v/>
      </c>
      <c r="I96" s="246" t="str">
        <f>IF($B96="","",IF(COUNTIFS(Лэндинг!$E$5:$E$300,$B96)+COUNTIFS(Закрытые!$E$5:$E$300,$B96,Закрытые!$B$5:$B$300,"L-*")=0,"",ROUND(SUMIFS(Лэндинг!$L$5:$L$300,Лэндинг!$E$5:$E$300,$B96)+SUMIFS(Закрытые!$L$5:$L$300,Закрытые!$E$5:$E$300,$B96,Закрытые!$B$5:$B$300,"L-*"),8)))</f>
        <v/>
      </c>
      <c r="J96" s="247" t="str">
        <f>IF($B96="","",IF(COUNTIFS(Лэндинг!$E$5:$E$300,$B96)+COUNTIFS(Закрытые!$E$5:$E$300,$B96,Закрытые!$B$5:$B$300,"L-*")=0,"",ROUND(SUMIFS(Лэндинг!$M$5:$M$300,Лэндинг!$E$5:$E$300,$B96)+SUMIFS(Закрытые!$M$5:$M$300,Закрытые!$E$5:$E$300,$B96,Закрытые!$B$5:$B$300,"L-*"),8)))</f>
        <v/>
      </c>
      <c r="K96" s="246" t="str">
        <f>IF(MIN(N(C96),N(F96))&lt;=0,"",ROUND(MIN(N(C96),N(F96))*(N(G96)-N(D96)),8))</f>
        <v/>
      </c>
      <c r="L96" s="183" t="str">
        <f>IF(MIN(N(C96),N(F96))&lt;=0,"",IF(N(D96)=0,"",ROUND((N(G96)/N(D96)-1)*100,2)))</f>
        <v/>
      </c>
      <c r="M96" s="183" t="str">
        <f>IF(OR(ROUND(N(C96)-N(F96),8)=0,1-N(Ввод!$J$19)/100&lt;=0),"",IF(N(C96)&gt;N(F96),(N(E96)-N(H96))/((N(C96)-N(F96))*(1-N(Ввод!$J$19)/100)),(N(H96)-N(E96))/((N(F96)-N(C96))*(1+N(Ввод!$J$19)/100))))</f>
        <v/>
      </c>
    </row>
    <row r="97" ht="22" customHeight="1">
      <c r="B97" s="239" t="n"/>
      <c r="C97" s="240" t="str">
        <f>IF(SUMIFS(Лэндинг!$F$5:$F$300,Лэндинг!$E$5:$E$300,$B97)+SUMIFS(Закрытые!$F$5:$F$300,Закрытые!$E$5:$E$300,$B97,Закрытые!$B$5:$B$300,"L-*")=0,"",SUMIFS(Лэндинг!$F$5:$F$300,Лэндинг!$E$5:$E$300,$B97)+SUMIFS(Закрытые!$F$5:$F$300,Закрытые!$E$5:$E$300,$B97,Закрытые!$B$5:$B$300,"L-*"))</f>
        <v/>
      </c>
      <c r="D97" s="177" t="str">
        <f>IF(C97="","",(SUMPRODUCT((Лэндинг!$E$5:$E$300=$B97)*Лэндинг!$F$5:$F$300*Лэндинг!$G$5:$G$300)+SUMPRODUCT((Закрытые!$E$5:$E$300=$B97)*(LEFT(Закрытые!$B$5:$B$300,2)="L-")*Закрытые!$F$5:$F$300*Закрытые!$G$5:$G$300))/C97)</f>
        <v/>
      </c>
      <c r="E97" s="241" t="str">
        <f>IF(C97="","",SUMIFS(Лэндинг!$H$5:$H$300,Лэндинг!$E$5:$E$300,$B97)+SUMIFS(Закрытые!$H$5:$H$300,Закрытые!$E$5:$E$300,$B97,Закрытые!$B$5:$B$300,"L-*"))</f>
        <v/>
      </c>
      <c r="F97" s="240" t="str">
        <f>IF(SUMIFS(Лэндинг!$I$5:$I$300,Лэндинг!$E$5:$E$300,$B97)+SUMIFS(Закрытые!$I$5:$I$300,Закрытые!$E$5:$E$300,$B97,Закрытые!$B$5:$B$300,"L-*")=0,"",SUMIFS(Лэндинг!$I$5:$I$300,Лэндинг!$E$5:$E$300,$B97)+SUMIFS(Закрытые!$I$5:$I$300,Закрытые!$E$5:$E$300,$B97,Закрытые!$B$5:$B$300,"L-*"))</f>
        <v/>
      </c>
      <c r="G97" s="177" t="str">
        <f>IF(F97="","",(SUMPRODUCT((Лэндинг!$E$5:$E$300=$B97)*Лэндинг!$I$5:$I$300*Лэндинг!$J$5:$J$300)+SUMPRODUCT((Закрытые!$E$5:$E$300=$B97)*(LEFT(Закрытые!$B$5:$B$300,2)="L-")*Закрытые!$I$5:$I$300*Закрытые!$J$5:$J$300))/F97)</f>
        <v/>
      </c>
      <c r="H97" s="241" t="str">
        <f>IF(F97="","",SUMIFS(Лэндинг!$K$5:$K$300,Лэндинг!$E$5:$E$300,$B97)+SUMIFS(Закрытые!$K$5:$K$300,Закрытые!$E$5:$E$300,$B97,Закрытые!$B$5:$B$300,"L-*"))</f>
        <v/>
      </c>
      <c r="I97" s="240" t="str">
        <f>IF($B97="","",IF(COUNTIFS(Лэндинг!$E$5:$E$300,$B97)+COUNTIFS(Закрытые!$E$5:$E$300,$B97,Закрытые!$B$5:$B$300,"L-*")=0,"",ROUND(SUMIFS(Лэндинг!$L$5:$L$300,Лэндинг!$E$5:$E$300,$B97)+SUMIFS(Закрытые!$L$5:$L$300,Закрытые!$E$5:$E$300,$B97,Закрытые!$B$5:$B$300,"L-*"),8)))</f>
        <v/>
      </c>
      <c r="J97" s="241" t="str">
        <f>IF($B97="","",IF(COUNTIFS(Лэндинг!$E$5:$E$300,$B97)+COUNTIFS(Закрытые!$E$5:$E$300,$B97,Закрытые!$B$5:$B$300,"L-*")=0,"",ROUND(SUMIFS(Лэндинг!$M$5:$M$300,Лэндинг!$E$5:$E$300,$B97)+SUMIFS(Закрытые!$M$5:$M$300,Закрытые!$E$5:$E$300,$B97,Закрытые!$B$5:$B$300,"L-*"),8)))</f>
        <v/>
      </c>
      <c r="K97" s="240" t="str">
        <f>IF(MIN(N(C97),N(F97))&lt;=0,"",ROUND(MIN(N(C97),N(F97))*(N(G97)-N(D97)),8))</f>
        <v/>
      </c>
      <c r="L97" s="177" t="str">
        <f>IF(MIN(N(C97),N(F97))&lt;=0,"",IF(N(D97)=0,"",ROUND((N(G97)/N(D97)-1)*100,2)))</f>
        <v/>
      </c>
      <c r="M97" s="177" t="str">
        <f>IF(OR(ROUND(N(C97)-N(F97),8)=0,1-N(Ввод!$J$19)/100&lt;=0),"",IF(N(C97)&gt;N(F97),(N(E97)-N(H97))/((N(C97)-N(F97))*(1-N(Ввод!$J$19)/100)),(N(H97)-N(E97))/((N(F97)-N(C97))*(1+N(Ввод!$J$19)/100))))</f>
        <v/>
      </c>
    </row>
    <row r="98" ht="22" customHeight="1">
      <c r="B98" s="245" t="n"/>
      <c r="C98" s="246" t="str">
        <f>IF(SUMIFS(Лэндинг!$F$5:$F$300,Лэндинг!$E$5:$E$300,$B98)+SUMIFS(Закрытые!$F$5:$F$300,Закрытые!$E$5:$E$300,$B98,Закрытые!$B$5:$B$300,"L-*")=0,"",SUMIFS(Лэндинг!$F$5:$F$300,Лэндинг!$E$5:$E$300,$B98)+SUMIFS(Закрытые!$F$5:$F$300,Закрытые!$E$5:$E$300,$B98,Закрытые!$B$5:$B$300,"L-*"))</f>
        <v/>
      </c>
      <c r="D98" s="183" t="str">
        <f>IF(C98="","",(SUMPRODUCT((Лэндинг!$E$5:$E$300=$B98)*Лэндинг!$F$5:$F$300*Лэндинг!$G$5:$G$300)+SUMPRODUCT((Закрытые!$E$5:$E$300=$B98)*(LEFT(Закрытые!$B$5:$B$300,2)="L-")*Закрытые!$F$5:$F$300*Закрытые!$G$5:$G$300))/C98)</f>
        <v/>
      </c>
      <c r="E98" s="247" t="str">
        <f>IF(C98="","",SUMIFS(Лэндинг!$H$5:$H$300,Лэндинг!$E$5:$E$300,$B98)+SUMIFS(Закрытые!$H$5:$H$300,Закрытые!$E$5:$E$300,$B98,Закрытые!$B$5:$B$300,"L-*"))</f>
        <v/>
      </c>
      <c r="F98" s="246" t="str">
        <f>IF(SUMIFS(Лэндинг!$I$5:$I$300,Лэндинг!$E$5:$E$300,$B98)+SUMIFS(Закрытые!$I$5:$I$300,Закрытые!$E$5:$E$300,$B98,Закрытые!$B$5:$B$300,"L-*")=0,"",SUMIFS(Лэндинг!$I$5:$I$300,Лэндинг!$E$5:$E$300,$B98)+SUMIFS(Закрытые!$I$5:$I$300,Закрытые!$E$5:$E$300,$B98,Закрытые!$B$5:$B$300,"L-*"))</f>
        <v/>
      </c>
      <c r="G98" s="183" t="str">
        <f>IF(F98="","",(SUMPRODUCT((Лэндинг!$E$5:$E$300=$B98)*Лэндинг!$I$5:$I$300*Лэндинг!$J$5:$J$300)+SUMPRODUCT((Закрытые!$E$5:$E$300=$B98)*(LEFT(Закрытые!$B$5:$B$300,2)="L-")*Закрытые!$I$5:$I$300*Закрытые!$J$5:$J$300))/F98)</f>
        <v/>
      </c>
      <c r="H98" s="247" t="str">
        <f>IF(F98="","",SUMIFS(Лэндинг!$K$5:$K$300,Лэндинг!$E$5:$E$300,$B98)+SUMIFS(Закрытые!$K$5:$K$300,Закрытые!$E$5:$E$300,$B98,Закрытые!$B$5:$B$300,"L-*"))</f>
        <v/>
      </c>
      <c r="I98" s="246" t="str">
        <f>IF($B98="","",IF(COUNTIFS(Лэндинг!$E$5:$E$300,$B98)+COUNTIFS(Закрытые!$E$5:$E$300,$B98,Закрытые!$B$5:$B$300,"L-*")=0,"",ROUND(SUMIFS(Лэндинг!$L$5:$L$300,Лэндинг!$E$5:$E$300,$B98)+SUMIFS(Закрытые!$L$5:$L$300,Закрытые!$E$5:$E$300,$B98,Закрытые!$B$5:$B$300,"L-*"),8)))</f>
        <v/>
      </c>
      <c r="J98" s="247" t="str">
        <f>IF($B98="","",IF(COUNTIFS(Лэндинг!$E$5:$E$300,$B98)+COUNTIFS(Закрытые!$E$5:$E$300,$B98,Закрытые!$B$5:$B$300,"L-*")=0,"",ROUND(SUMIFS(Лэндинг!$M$5:$M$300,Лэндинг!$E$5:$E$300,$B98)+SUMIFS(Закрытые!$M$5:$M$300,Закрытые!$E$5:$E$300,$B98,Закрытые!$B$5:$B$300,"L-*"),8)))</f>
        <v/>
      </c>
      <c r="K98" s="246" t="str">
        <f>IF(MIN(N(C98),N(F98))&lt;=0,"",ROUND(MIN(N(C98),N(F98))*(N(G98)-N(D98)),8))</f>
        <v/>
      </c>
      <c r="L98" s="183" t="str">
        <f>IF(MIN(N(C98),N(F98))&lt;=0,"",IF(N(D98)=0,"",ROUND((N(G98)/N(D98)-1)*100,2)))</f>
        <v/>
      </c>
      <c r="M98" s="183" t="str">
        <f>IF(OR(ROUND(N(C98)-N(F98),8)=0,1-N(Ввод!$J$19)/100&lt;=0),"",IF(N(C98)&gt;N(F98),(N(E98)-N(H98))/((N(C98)-N(F98))*(1-N(Ввод!$J$19)/100)),(N(H98)-N(E98))/((N(F98)-N(C98))*(1+N(Ввод!$J$19)/100))))</f>
        <v/>
      </c>
    </row>
    <row r="99" ht="22" customHeight="1">
      <c r="B99" s="239" t="n"/>
      <c r="C99" s="240" t="str">
        <f>IF(SUMIFS(Лэндинг!$F$5:$F$300,Лэндинг!$E$5:$E$300,$B99)+SUMIFS(Закрытые!$F$5:$F$300,Закрытые!$E$5:$E$300,$B99,Закрытые!$B$5:$B$300,"L-*")=0,"",SUMIFS(Лэндинг!$F$5:$F$300,Лэндинг!$E$5:$E$300,$B99)+SUMIFS(Закрытые!$F$5:$F$300,Закрытые!$E$5:$E$300,$B99,Закрытые!$B$5:$B$300,"L-*"))</f>
        <v/>
      </c>
      <c r="D99" s="177" t="str">
        <f>IF(C99="","",(SUMPRODUCT((Лэндинг!$E$5:$E$300=$B99)*Лэндинг!$F$5:$F$300*Лэндинг!$G$5:$G$300)+SUMPRODUCT((Закрытые!$E$5:$E$300=$B99)*(LEFT(Закрытые!$B$5:$B$300,2)="L-")*Закрытые!$F$5:$F$300*Закрытые!$G$5:$G$300))/C99)</f>
        <v/>
      </c>
      <c r="E99" s="241" t="str">
        <f>IF(C99="","",SUMIFS(Лэндинг!$H$5:$H$300,Лэндинг!$E$5:$E$300,$B99)+SUMIFS(Закрытые!$H$5:$H$300,Закрытые!$E$5:$E$300,$B99,Закрытые!$B$5:$B$300,"L-*"))</f>
        <v/>
      </c>
      <c r="F99" s="240" t="str">
        <f>IF(SUMIFS(Лэндинг!$I$5:$I$300,Лэндинг!$E$5:$E$300,$B99)+SUMIFS(Закрытые!$I$5:$I$300,Закрытые!$E$5:$E$300,$B99,Закрытые!$B$5:$B$300,"L-*")=0,"",SUMIFS(Лэндинг!$I$5:$I$300,Лэндинг!$E$5:$E$300,$B99)+SUMIFS(Закрытые!$I$5:$I$300,Закрытые!$E$5:$E$300,$B99,Закрытые!$B$5:$B$300,"L-*"))</f>
        <v/>
      </c>
      <c r="G99" s="177" t="str">
        <f>IF(F99="","",(SUMPRODUCT((Лэндинг!$E$5:$E$300=$B99)*Лэндинг!$I$5:$I$300*Лэндинг!$J$5:$J$300)+SUMPRODUCT((Закрытые!$E$5:$E$300=$B99)*(LEFT(Закрытые!$B$5:$B$300,2)="L-")*Закрытые!$I$5:$I$300*Закрытые!$J$5:$J$300))/F99)</f>
        <v/>
      </c>
      <c r="H99" s="241" t="str">
        <f>IF(F99="","",SUMIFS(Лэндинг!$K$5:$K$300,Лэндинг!$E$5:$E$300,$B99)+SUMIFS(Закрытые!$K$5:$K$300,Закрытые!$E$5:$E$300,$B99,Закрытые!$B$5:$B$300,"L-*"))</f>
        <v/>
      </c>
      <c r="I99" s="240" t="str">
        <f>IF($B99="","",IF(COUNTIFS(Лэндинг!$E$5:$E$300,$B99)+COUNTIFS(Закрытые!$E$5:$E$300,$B99,Закрытые!$B$5:$B$300,"L-*")=0,"",ROUND(SUMIFS(Лэндинг!$L$5:$L$300,Лэндинг!$E$5:$E$300,$B99)+SUMIFS(Закрытые!$L$5:$L$300,Закрытые!$E$5:$E$300,$B99,Закрытые!$B$5:$B$300,"L-*"),8)))</f>
        <v/>
      </c>
      <c r="J99" s="241" t="str">
        <f>IF($B99="","",IF(COUNTIFS(Лэндинг!$E$5:$E$300,$B99)+COUNTIFS(Закрытые!$E$5:$E$300,$B99,Закрытые!$B$5:$B$300,"L-*")=0,"",ROUND(SUMIFS(Лэндинг!$M$5:$M$300,Лэндинг!$E$5:$E$300,$B99)+SUMIFS(Закрытые!$M$5:$M$300,Закрытые!$E$5:$E$300,$B99,Закрытые!$B$5:$B$300,"L-*"),8)))</f>
        <v/>
      </c>
      <c r="K99" s="240" t="str">
        <f>IF(MIN(N(C99),N(F99))&lt;=0,"",ROUND(MIN(N(C99),N(F99))*(N(G99)-N(D99)),8))</f>
        <v/>
      </c>
      <c r="L99" s="177" t="str">
        <f>IF(MIN(N(C99),N(F99))&lt;=0,"",IF(N(D99)=0,"",ROUND((N(G99)/N(D99)-1)*100,2)))</f>
        <v/>
      </c>
      <c r="M99" s="177" t="str">
        <f>IF(OR(ROUND(N(C99)-N(F99),8)=0,1-N(Ввод!$J$19)/100&lt;=0),"",IF(N(C99)&gt;N(F99),(N(E99)-N(H99))/((N(C99)-N(F99))*(1-N(Ввод!$J$19)/100)),(N(H99)-N(E99))/((N(F99)-N(C99))*(1+N(Ввод!$J$19)/100))))</f>
        <v/>
      </c>
    </row>
    <row r="100" ht="22" customHeight="1">
      <c r="B100" s="245" t="n"/>
      <c r="C100" s="246" t="str">
        <f>IF(SUMIFS(Лэндинг!$F$5:$F$300,Лэндинг!$E$5:$E$300,$B100)+SUMIFS(Закрытые!$F$5:$F$300,Закрытые!$E$5:$E$300,$B100,Закрытые!$B$5:$B$300,"L-*")=0,"",SUMIFS(Лэндинг!$F$5:$F$300,Лэндинг!$E$5:$E$300,$B100)+SUMIFS(Закрытые!$F$5:$F$300,Закрытые!$E$5:$E$300,$B100,Закрытые!$B$5:$B$300,"L-*"))</f>
        <v/>
      </c>
      <c r="D100" s="183" t="str">
        <f>IF(C100="","",(SUMPRODUCT((Лэндинг!$E$5:$E$300=$B100)*Лэндинг!$F$5:$F$300*Лэндинг!$G$5:$G$300)+SUMPRODUCT((Закрытые!$E$5:$E$300=$B100)*(LEFT(Закрытые!$B$5:$B$300,2)="L-")*Закрытые!$F$5:$F$300*Закрытые!$G$5:$G$300))/C100)</f>
        <v/>
      </c>
      <c r="E100" s="247" t="str">
        <f>IF(C100="","",SUMIFS(Лэндинг!$H$5:$H$300,Лэндинг!$E$5:$E$300,$B100)+SUMIFS(Закрытые!$H$5:$H$300,Закрытые!$E$5:$E$300,$B100,Закрытые!$B$5:$B$300,"L-*"))</f>
        <v/>
      </c>
      <c r="F100" s="246" t="str">
        <f>IF(SUMIFS(Лэндинг!$I$5:$I$300,Лэндинг!$E$5:$E$300,$B100)+SUMIFS(Закрытые!$I$5:$I$300,Закрытые!$E$5:$E$300,$B100,Закрытые!$B$5:$B$300,"L-*")=0,"",SUMIFS(Лэндинг!$I$5:$I$300,Лэндинг!$E$5:$E$300,$B100)+SUMIFS(Закрытые!$I$5:$I$300,Закрытые!$E$5:$E$300,$B100,Закрытые!$B$5:$B$300,"L-*"))</f>
        <v/>
      </c>
      <c r="G100" s="183" t="str">
        <f>IF(F100="","",(SUMPRODUCT((Лэндинг!$E$5:$E$300=$B100)*Лэндинг!$I$5:$I$300*Лэндинг!$J$5:$J$300)+SUMPRODUCT((Закрытые!$E$5:$E$300=$B100)*(LEFT(Закрытые!$B$5:$B$300,2)="L-")*Закрытые!$I$5:$I$300*Закрытые!$J$5:$J$300))/F100)</f>
        <v/>
      </c>
      <c r="H100" s="247" t="str">
        <f>IF(F100="","",SUMIFS(Лэндинг!$K$5:$K$300,Лэндинг!$E$5:$E$300,$B100)+SUMIFS(Закрытые!$K$5:$K$300,Закрытые!$E$5:$E$300,$B100,Закрытые!$B$5:$B$300,"L-*"))</f>
        <v/>
      </c>
      <c r="I100" s="246" t="str">
        <f>IF($B100="","",IF(COUNTIFS(Лэндинг!$E$5:$E$300,$B100)+COUNTIFS(Закрытые!$E$5:$E$300,$B100,Закрытые!$B$5:$B$300,"L-*")=0,"",ROUND(SUMIFS(Лэндинг!$L$5:$L$300,Лэндинг!$E$5:$E$300,$B100)+SUMIFS(Закрытые!$L$5:$L$300,Закрытые!$E$5:$E$300,$B100,Закрытые!$B$5:$B$300,"L-*"),8)))</f>
        <v/>
      </c>
      <c r="J100" s="247" t="str">
        <f>IF($B100="","",IF(COUNTIFS(Лэндинг!$E$5:$E$300,$B100)+COUNTIFS(Закрытые!$E$5:$E$300,$B100,Закрытые!$B$5:$B$300,"L-*")=0,"",ROUND(SUMIFS(Лэндинг!$M$5:$M$300,Лэндинг!$E$5:$E$300,$B100)+SUMIFS(Закрытые!$M$5:$M$300,Закрытые!$E$5:$E$300,$B100,Закрытые!$B$5:$B$300,"L-*"),8)))</f>
        <v/>
      </c>
      <c r="K100" s="246" t="str">
        <f>IF(MIN(N(C100),N(F100))&lt;=0,"",ROUND(MIN(N(C100),N(F100))*(N(G100)-N(D100)),8))</f>
        <v/>
      </c>
      <c r="L100" s="183" t="str">
        <f>IF(MIN(N(C100),N(F100))&lt;=0,"",IF(N(D100)=0,"",ROUND((N(G100)/N(D100)-1)*100,2)))</f>
        <v/>
      </c>
      <c r="M100" s="183" t="str">
        <f>IF(OR(ROUND(N(C100)-N(F100),8)=0,1-N(Ввод!$J$19)/100&lt;=0),"",IF(N(C100)&gt;N(F100),(N(E100)-N(H100))/((N(C100)-N(F100))*(1-N(Ввод!$J$19)/100)),(N(H100)-N(E100))/((N(F100)-N(C100))*(1+N(Ввод!$J$19)/100))))</f>
        <v/>
      </c>
    </row>
    <row r="101" ht="22" customHeight="1">
      <c r="B101" s="239" t="n"/>
      <c r="C101" s="240" t="str">
        <f>IF(SUMIFS(Лэндинг!$F$5:$F$300,Лэндинг!$E$5:$E$300,$B101)+SUMIFS(Закрытые!$F$5:$F$300,Закрытые!$E$5:$E$300,$B101,Закрытые!$B$5:$B$300,"L-*")=0,"",SUMIFS(Лэндинг!$F$5:$F$300,Лэндинг!$E$5:$E$300,$B101)+SUMIFS(Закрытые!$F$5:$F$300,Закрытые!$E$5:$E$300,$B101,Закрытые!$B$5:$B$300,"L-*"))</f>
        <v/>
      </c>
      <c r="D101" s="177" t="str">
        <f>IF(C101="","",(SUMPRODUCT((Лэндинг!$E$5:$E$300=$B101)*Лэндинг!$F$5:$F$300*Лэндинг!$G$5:$G$300)+SUMPRODUCT((Закрытые!$E$5:$E$300=$B101)*(LEFT(Закрытые!$B$5:$B$300,2)="L-")*Закрытые!$F$5:$F$300*Закрытые!$G$5:$G$300))/C101)</f>
        <v/>
      </c>
      <c r="E101" s="241" t="str">
        <f>IF(C101="","",SUMIFS(Лэндинг!$H$5:$H$300,Лэндинг!$E$5:$E$300,$B101)+SUMIFS(Закрытые!$H$5:$H$300,Закрытые!$E$5:$E$300,$B101,Закрытые!$B$5:$B$300,"L-*"))</f>
        <v/>
      </c>
      <c r="F101" s="240" t="str">
        <f>IF(SUMIFS(Лэндинг!$I$5:$I$300,Лэндинг!$E$5:$E$300,$B101)+SUMIFS(Закрытые!$I$5:$I$300,Закрытые!$E$5:$E$300,$B101,Закрытые!$B$5:$B$300,"L-*")=0,"",SUMIFS(Лэндинг!$I$5:$I$300,Лэндинг!$E$5:$E$300,$B101)+SUMIFS(Закрытые!$I$5:$I$300,Закрытые!$E$5:$E$300,$B101,Закрытые!$B$5:$B$300,"L-*"))</f>
        <v/>
      </c>
      <c r="G101" s="177" t="str">
        <f>IF(F101="","",(SUMPRODUCT((Лэндинг!$E$5:$E$300=$B101)*Лэндинг!$I$5:$I$300*Лэндинг!$J$5:$J$300)+SUMPRODUCT((Закрытые!$E$5:$E$300=$B101)*(LEFT(Закрытые!$B$5:$B$300,2)="L-")*Закрытые!$I$5:$I$300*Закрытые!$J$5:$J$300))/F101)</f>
        <v/>
      </c>
      <c r="H101" s="241" t="str">
        <f>IF(F101="","",SUMIFS(Лэндинг!$K$5:$K$300,Лэндинг!$E$5:$E$300,$B101)+SUMIFS(Закрытые!$K$5:$K$300,Закрытые!$E$5:$E$300,$B101,Закрытые!$B$5:$B$300,"L-*"))</f>
        <v/>
      </c>
      <c r="I101" s="240" t="str">
        <f>IF($B101="","",IF(COUNTIFS(Лэндинг!$E$5:$E$300,$B101)+COUNTIFS(Закрытые!$E$5:$E$300,$B101,Закрытые!$B$5:$B$300,"L-*")=0,"",ROUND(SUMIFS(Лэндинг!$L$5:$L$300,Лэндинг!$E$5:$E$300,$B101)+SUMIFS(Закрытые!$L$5:$L$300,Закрытые!$E$5:$E$300,$B101,Закрытые!$B$5:$B$300,"L-*"),8)))</f>
        <v/>
      </c>
      <c r="J101" s="241" t="str">
        <f>IF($B101="","",IF(COUNTIFS(Лэндинг!$E$5:$E$300,$B101)+COUNTIFS(Закрытые!$E$5:$E$300,$B101,Закрытые!$B$5:$B$300,"L-*")=0,"",ROUND(SUMIFS(Лэндинг!$M$5:$M$300,Лэндинг!$E$5:$E$300,$B101)+SUMIFS(Закрытые!$M$5:$M$300,Закрытые!$E$5:$E$300,$B101,Закрытые!$B$5:$B$300,"L-*"),8)))</f>
        <v/>
      </c>
      <c r="K101" s="240" t="str">
        <f>IF(MIN(N(C101),N(F101))&lt;=0,"",ROUND(MIN(N(C101),N(F101))*(N(G101)-N(D101)),8))</f>
        <v/>
      </c>
      <c r="L101" s="177" t="str">
        <f>IF(MIN(N(C101),N(F101))&lt;=0,"",IF(N(D101)=0,"",ROUND((N(G101)/N(D101)-1)*100,2)))</f>
        <v/>
      </c>
      <c r="M101" s="177" t="str">
        <f>IF(OR(ROUND(N(C101)-N(F101),8)=0,1-N(Ввод!$J$19)/100&lt;=0),"",IF(N(C101)&gt;N(F101),(N(E101)-N(H101))/((N(C101)-N(F101))*(1-N(Ввод!$J$19)/100)),(N(H101)-N(E101))/((N(F101)-N(C101))*(1+N(Ввод!$J$19)/100))))</f>
        <v/>
      </c>
    </row>
    <row r="102" ht="22" customHeight="1">
      <c r="B102" s="245" t="n"/>
      <c r="C102" s="246" t="str">
        <f>IF(SUMIFS(Лэндинг!$F$5:$F$300,Лэндинг!$E$5:$E$300,$B102)+SUMIFS(Закрытые!$F$5:$F$300,Закрытые!$E$5:$E$300,$B102,Закрытые!$B$5:$B$300,"L-*")=0,"",SUMIFS(Лэндинг!$F$5:$F$300,Лэндинг!$E$5:$E$300,$B102)+SUMIFS(Закрытые!$F$5:$F$300,Закрытые!$E$5:$E$300,$B102,Закрытые!$B$5:$B$300,"L-*"))</f>
        <v/>
      </c>
      <c r="D102" s="183" t="str">
        <f>IF(C102="","",(SUMPRODUCT((Лэндинг!$E$5:$E$300=$B102)*Лэндинг!$F$5:$F$300*Лэндинг!$G$5:$G$300)+SUMPRODUCT((Закрытые!$E$5:$E$300=$B102)*(LEFT(Закрытые!$B$5:$B$300,2)="L-")*Закрытые!$F$5:$F$300*Закрытые!$G$5:$G$300))/C102)</f>
        <v/>
      </c>
      <c r="E102" s="247" t="str">
        <f>IF(C102="","",SUMIFS(Лэндинг!$H$5:$H$300,Лэндинг!$E$5:$E$300,$B102)+SUMIFS(Закрытые!$H$5:$H$300,Закрытые!$E$5:$E$300,$B102,Закрытые!$B$5:$B$300,"L-*"))</f>
        <v/>
      </c>
      <c r="F102" s="246" t="str">
        <f>IF(SUMIFS(Лэндинг!$I$5:$I$300,Лэндинг!$E$5:$E$300,$B102)+SUMIFS(Закрытые!$I$5:$I$300,Закрытые!$E$5:$E$300,$B102,Закрытые!$B$5:$B$300,"L-*")=0,"",SUMIFS(Лэндинг!$I$5:$I$300,Лэндинг!$E$5:$E$300,$B102)+SUMIFS(Закрытые!$I$5:$I$300,Закрытые!$E$5:$E$300,$B102,Закрытые!$B$5:$B$300,"L-*"))</f>
        <v/>
      </c>
      <c r="G102" s="183" t="str">
        <f>IF(F102="","",(SUMPRODUCT((Лэндинг!$E$5:$E$300=$B102)*Лэндинг!$I$5:$I$300*Лэндинг!$J$5:$J$300)+SUMPRODUCT((Закрытые!$E$5:$E$300=$B102)*(LEFT(Закрытые!$B$5:$B$300,2)="L-")*Закрытые!$I$5:$I$300*Закрытые!$J$5:$J$300))/F102)</f>
        <v/>
      </c>
      <c r="H102" s="247" t="str">
        <f>IF(F102="","",SUMIFS(Лэндинг!$K$5:$K$300,Лэндинг!$E$5:$E$300,$B102)+SUMIFS(Закрытые!$K$5:$K$300,Закрытые!$E$5:$E$300,$B102,Закрытые!$B$5:$B$300,"L-*"))</f>
        <v/>
      </c>
      <c r="I102" s="246" t="str">
        <f>IF($B102="","",IF(COUNTIFS(Лэндинг!$E$5:$E$300,$B102)+COUNTIFS(Закрытые!$E$5:$E$300,$B102,Закрытые!$B$5:$B$300,"L-*")=0,"",ROUND(SUMIFS(Лэндинг!$L$5:$L$300,Лэндинг!$E$5:$E$300,$B102)+SUMIFS(Закрытые!$L$5:$L$300,Закрытые!$E$5:$E$300,$B102,Закрытые!$B$5:$B$300,"L-*"),8)))</f>
        <v/>
      </c>
      <c r="J102" s="247" t="str">
        <f>IF($B102="","",IF(COUNTIFS(Лэндинг!$E$5:$E$300,$B102)+COUNTIFS(Закрытые!$E$5:$E$300,$B102,Закрытые!$B$5:$B$300,"L-*")=0,"",ROUND(SUMIFS(Лэндинг!$M$5:$M$300,Лэндинг!$E$5:$E$300,$B102)+SUMIFS(Закрытые!$M$5:$M$300,Закрытые!$E$5:$E$300,$B102,Закрытые!$B$5:$B$300,"L-*"),8)))</f>
        <v/>
      </c>
      <c r="K102" s="246" t="str">
        <f>IF(MIN(N(C102),N(F102))&lt;=0,"",ROUND(MIN(N(C102),N(F102))*(N(G102)-N(D102)),8))</f>
        <v/>
      </c>
      <c r="L102" s="183" t="str">
        <f>IF(MIN(N(C102),N(F102))&lt;=0,"",IF(N(D102)=0,"",ROUND((N(G102)/N(D102)-1)*100,2)))</f>
        <v/>
      </c>
      <c r="M102" s="183" t="str">
        <f>IF(OR(ROUND(N(C102)-N(F102),8)=0,1-N(Ввод!$J$19)/100&lt;=0),"",IF(N(C102)&gt;N(F102),(N(E102)-N(H102))/((N(C102)-N(F102))*(1-N(Ввод!$J$19)/100)),(N(H102)-N(E102))/((N(F102)-N(C102))*(1+N(Ввод!$J$19)/100))))</f>
        <v/>
      </c>
    </row>
    <row r="103" ht="22" customHeight="1">
      <c r="B103" s="239" t="n"/>
      <c r="C103" s="240" t="str">
        <f>IF(SUMIFS(Лэндинг!$F$5:$F$300,Лэндинг!$E$5:$E$300,$B103)+SUMIFS(Закрытые!$F$5:$F$300,Закрытые!$E$5:$E$300,$B103,Закрытые!$B$5:$B$300,"L-*")=0,"",SUMIFS(Лэндинг!$F$5:$F$300,Лэндинг!$E$5:$E$300,$B103)+SUMIFS(Закрытые!$F$5:$F$300,Закрытые!$E$5:$E$300,$B103,Закрытые!$B$5:$B$300,"L-*"))</f>
        <v/>
      </c>
      <c r="D103" s="177" t="str">
        <f>IF(C103="","",(SUMPRODUCT((Лэндинг!$E$5:$E$300=$B103)*Лэндинг!$F$5:$F$300*Лэндинг!$G$5:$G$300)+SUMPRODUCT((Закрытые!$E$5:$E$300=$B103)*(LEFT(Закрытые!$B$5:$B$300,2)="L-")*Закрытые!$F$5:$F$300*Закрытые!$G$5:$G$300))/C103)</f>
        <v/>
      </c>
      <c r="E103" s="241" t="str">
        <f>IF(C103="","",SUMIFS(Лэндинг!$H$5:$H$300,Лэндинг!$E$5:$E$300,$B103)+SUMIFS(Закрытые!$H$5:$H$300,Закрытые!$E$5:$E$300,$B103,Закрытые!$B$5:$B$300,"L-*"))</f>
        <v/>
      </c>
      <c r="F103" s="240" t="str">
        <f>IF(SUMIFS(Лэндинг!$I$5:$I$300,Лэндинг!$E$5:$E$300,$B103)+SUMIFS(Закрытые!$I$5:$I$300,Закрытые!$E$5:$E$300,$B103,Закрытые!$B$5:$B$300,"L-*")=0,"",SUMIFS(Лэндинг!$I$5:$I$300,Лэндинг!$E$5:$E$300,$B103)+SUMIFS(Закрытые!$I$5:$I$300,Закрытые!$E$5:$E$300,$B103,Закрытые!$B$5:$B$300,"L-*"))</f>
        <v/>
      </c>
      <c r="G103" s="177" t="str">
        <f>IF(F103="","",(SUMPRODUCT((Лэндинг!$E$5:$E$300=$B103)*Лэндинг!$I$5:$I$300*Лэндинг!$J$5:$J$300)+SUMPRODUCT((Закрытые!$E$5:$E$300=$B103)*(LEFT(Закрытые!$B$5:$B$300,2)="L-")*Закрытые!$I$5:$I$300*Закрытые!$J$5:$J$300))/F103)</f>
        <v/>
      </c>
      <c r="H103" s="241" t="str">
        <f>IF(F103="","",SUMIFS(Лэндинг!$K$5:$K$300,Лэндинг!$E$5:$E$300,$B103)+SUMIFS(Закрытые!$K$5:$K$300,Закрытые!$E$5:$E$300,$B103,Закрытые!$B$5:$B$300,"L-*"))</f>
        <v/>
      </c>
      <c r="I103" s="240" t="str">
        <f>IF($B103="","",IF(COUNTIFS(Лэндинг!$E$5:$E$300,$B103)+COUNTIFS(Закрытые!$E$5:$E$300,$B103,Закрытые!$B$5:$B$300,"L-*")=0,"",ROUND(SUMIFS(Лэндинг!$L$5:$L$300,Лэндинг!$E$5:$E$300,$B103)+SUMIFS(Закрытые!$L$5:$L$300,Закрытые!$E$5:$E$300,$B103,Закрытые!$B$5:$B$300,"L-*"),8)))</f>
        <v/>
      </c>
      <c r="J103" s="241" t="str">
        <f>IF($B103="","",IF(COUNTIFS(Лэндинг!$E$5:$E$300,$B103)+COUNTIFS(Закрытые!$E$5:$E$300,$B103,Закрытые!$B$5:$B$300,"L-*")=0,"",ROUND(SUMIFS(Лэндинг!$M$5:$M$300,Лэндинг!$E$5:$E$300,$B103)+SUMIFS(Закрытые!$M$5:$M$300,Закрытые!$E$5:$E$300,$B103,Закрытые!$B$5:$B$300,"L-*"),8)))</f>
        <v/>
      </c>
      <c r="K103" s="240" t="str">
        <f>IF(MIN(N(C103),N(F103))&lt;=0,"",ROUND(MIN(N(C103),N(F103))*(N(G103)-N(D103)),8))</f>
        <v/>
      </c>
      <c r="L103" s="177" t="str">
        <f>IF(MIN(N(C103),N(F103))&lt;=0,"",IF(N(D103)=0,"",ROUND((N(G103)/N(D103)-1)*100,2)))</f>
        <v/>
      </c>
      <c r="M103" s="177" t="str">
        <f>IF(OR(ROUND(N(C103)-N(F103),8)=0,1-N(Ввод!$J$19)/100&lt;=0),"",IF(N(C103)&gt;N(F103),(N(E103)-N(H103))/((N(C103)-N(F103))*(1-N(Ввод!$J$19)/100)),(N(H103)-N(E103))/((N(F103)-N(C103))*(1+N(Ввод!$J$19)/100))))</f>
        <v/>
      </c>
    </row>
    <row r="104" ht="22" customHeight="1">
      <c r="B104" s="245" t="n"/>
      <c r="C104" s="246" t="str">
        <f>IF(SUMIFS(Лэндинг!$F$5:$F$300,Лэндинг!$E$5:$E$300,$B104)+SUMIFS(Закрытые!$F$5:$F$300,Закрытые!$E$5:$E$300,$B104,Закрытые!$B$5:$B$300,"L-*")=0,"",SUMIFS(Лэндинг!$F$5:$F$300,Лэндинг!$E$5:$E$300,$B104)+SUMIFS(Закрытые!$F$5:$F$300,Закрытые!$E$5:$E$300,$B104,Закрытые!$B$5:$B$300,"L-*"))</f>
        <v/>
      </c>
      <c r="D104" s="183" t="str">
        <f>IF(C104="","",(SUMPRODUCT((Лэндинг!$E$5:$E$300=$B104)*Лэндинг!$F$5:$F$300*Лэндинг!$G$5:$G$300)+SUMPRODUCT((Закрытые!$E$5:$E$300=$B104)*(LEFT(Закрытые!$B$5:$B$300,2)="L-")*Закрытые!$F$5:$F$300*Закрытые!$G$5:$G$300))/C104)</f>
        <v/>
      </c>
      <c r="E104" s="247" t="str">
        <f>IF(C104="","",SUMIFS(Лэндинг!$H$5:$H$300,Лэндинг!$E$5:$E$300,$B104)+SUMIFS(Закрытые!$H$5:$H$300,Закрытые!$E$5:$E$300,$B104,Закрытые!$B$5:$B$300,"L-*"))</f>
        <v/>
      </c>
      <c r="F104" s="246" t="str">
        <f>IF(SUMIFS(Лэндинг!$I$5:$I$300,Лэндинг!$E$5:$E$300,$B104)+SUMIFS(Закрытые!$I$5:$I$300,Закрытые!$E$5:$E$300,$B104,Закрытые!$B$5:$B$300,"L-*")=0,"",SUMIFS(Лэндинг!$I$5:$I$300,Лэндинг!$E$5:$E$300,$B104)+SUMIFS(Закрытые!$I$5:$I$300,Закрытые!$E$5:$E$300,$B104,Закрытые!$B$5:$B$300,"L-*"))</f>
        <v/>
      </c>
      <c r="G104" s="183" t="str">
        <f>IF(F104="","",(SUMPRODUCT((Лэндинг!$E$5:$E$300=$B104)*Лэндинг!$I$5:$I$300*Лэндинг!$J$5:$J$300)+SUMPRODUCT((Закрытые!$E$5:$E$300=$B104)*(LEFT(Закрытые!$B$5:$B$300,2)="L-")*Закрытые!$I$5:$I$300*Закрытые!$J$5:$J$300))/F104)</f>
        <v/>
      </c>
      <c r="H104" s="247" t="str">
        <f>IF(F104="","",SUMIFS(Лэндинг!$K$5:$K$300,Лэндинг!$E$5:$E$300,$B104)+SUMIFS(Закрытые!$K$5:$K$300,Закрытые!$E$5:$E$300,$B104,Закрытые!$B$5:$B$300,"L-*"))</f>
        <v/>
      </c>
      <c r="I104" s="246" t="str">
        <f>IF($B104="","",IF(COUNTIFS(Лэндинг!$E$5:$E$300,$B104)+COUNTIFS(Закрытые!$E$5:$E$300,$B104,Закрытые!$B$5:$B$300,"L-*")=0,"",ROUND(SUMIFS(Лэндинг!$L$5:$L$300,Лэндинг!$E$5:$E$300,$B104)+SUMIFS(Закрытые!$L$5:$L$300,Закрытые!$E$5:$E$300,$B104,Закрытые!$B$5:$B$300,"L-*"),8)))</f>
        <v/>
      </c>
      <c r="J104" s="247" t="str">
        <f>IF($B104="","",IF(COUNTIFS(Лэндинг!$E$5:$E$300,$B104)+COUNTIFS(Закрытые!$E$5:$E$300,$B104,Закрытые!$B$5:$B$300,"L-*")=0,"",ROUND(SUMIFS(Лэндинг!$M$5:$M$300,Лэндинг!$E$5:$E$300,$B104)+SUMIFS(Закрытые!$M$5:$M$300,Закрытые!$E$5:$E$300,$B104,Закрытые!$B$5:$B$300,"L-*"),8)))</f>
        <v/>
      </c>
      <c r="K104" s="246" t="str">
        <f>IF(MIN(N(C104),N(F104))&lt;=0,"",ROUND(MIN(N(C104),N(F104))*(N(G104)-N(D104)),8))</f>
        <v/>
      </c>
      <c r="L104" s="183" t="str">
        <f>IF(MIN(N(C104),N(F104))&lt;=0,"",IF(N(D104)=0,"",ROUND((N(G104)/N(D104)-1)*100,2)))</f>
        <v/>
      </c>
      <c r="M104" s="183" t="str">
        <f>IF(OR(ROUND(N(C104)-N(F104),8)=0,1-N(Ввод!$J$19)/100&lt;=0),"",IF(N(C104)&gt;N(F104),(N(E104)-N(H104))/((N(C104)-N(F104))*(1-N(Ввод!$J$19)/100)),(N(H104)-N(E104))/((N(F104)-N(C104))*(1+N(Ввод!$J$19)/100))))</f>
        <v/>
      </c>
    </row>
    <row r="105" ht="22" customHeight="1">
      <c r="B105" s="239" t="n"/>
      <c r="C105" s="240" t="str">
        <f>IF(SUMIFS(Лэндинг!$F$5:$F$300,Лэндинг!$E$5:$E$300,$B105)+SUMIFS(Закрытые!$F$5:$F$300,Закрытые!$E$5:$E$300,$B105,Закрытые!$B$5:$B$300,"L-*")=0,"",SUMIFS(Лэндинг!$F$5:$F$300,Лэндинг!$E$5:$E$300,$B105)+SUMIFS(Закрытые!$F$5:$F$300,Закрытые!$E$5:$E$300,$B105,Закрытые!$B$5:$B$300,"L-*"))</f>
        <v/>
      </c>
      <c r="D105" s="177" t="str">
        <f>IF(C105="","",(SUMPRODUCT((Лэндинг!$E$5:$E$300=$B105)*Лэндинг!$F$5:$F$300*Лэндинг!$G$5:$G$300)+SUMPRODUCT((Закрытые!$E$5:$E$300=$B105)*(LEFT(Закрытые!$B$5:$B$300,2)="L-")*Закрытые!$F$5:$F$300*Закрытые!$G$5:$G$300))/C105)</f>
        <v/>
      </c>
      <c r="E105" s="241" t="str">
        <f>IF(C105="","",SUMIFS(Лэндинг!$H$5:$H$300,Лэндинг!$E$5:$E$300,$B105)+SUMIFS(Закрытые!$H$5:$H$300,Закрытые!$E$5:$E$300,$B105,Закрытые!$B$5:$B$300,"L-*"))</f>
        <v/>
      </c>
      <c r="F105" s="240" t="str">
        <f>IF(SUMIFS(Лэндинг!$I$5:$I$300,Лэндинг!$E$5:$E$300,$B105)+SUMIFS(Закрытые!$I$5:$I$300,Закрытые!$E$5:$E$300,$B105,Закрытые!$B$5:$B$300,"L-*")=0,"",SUMIFS(Лэндинг!$I$5:$I$300,Лэндинг!$E$5:$E$300,$B105)+SUMIFS(Закрытые!$I$5:$I$300,Закрытые!$E$5:$E$300,$B105,Закрытые!$B$5:$B$300,"L-*"))</f>
        <v/>
      </c>
      <c r="G105" s="177" t="str">
        <f>IF(F105="","",(SUMPRODUCT((Лэндинг!$E$5:$E$300=$B105)*Лэндинг!$I$5:$I$300*Лэндинг!$J$5:$J$300)+SUMPRODUCT((Закрытые!$E$5:$E$300=$B105)*(LEFT(Закрытые!$B$5:$B$300,2)="L-")*Закрытые!$I$5:$I$300*Закрытые!$J$5:$J$300))/F105)</f>
        <v/>
      </c>
      <c r="H105" s="241" t="str">
        <f>IF(F105="","",SUMIFS(Лэндинг!$K$5:$K$300,Лэндинг!$E$5:$E$300,$B105)+SUMIFS(Закрытые!$K$5:$K$300,Закрытые!$E$5:$E$300,$B105,Закрытые!$B$5:$B$300,"L-*"))</f>
        <v/>
      </c>
      <c r="I105" s="240" t="str">
        <f>IF($B105="","",IF(COUNTIFS(Лэндинг!$E$5:$E$300,$B105)+COUNTIFS(Закрытые!$E$5:$E$300,$B105,Закрытые!$B$5:$B$300,"L-*")=0,"",ROUND(SUMIFS(Лэндинг!$L$5:$L$300,Лэндинг!$E$5:$E$300,$B105)+SUMIFS(Закрытые!$L$5:$L$300,Закрытые!$E$5:$E$300,$B105,Закрытые!$B$5:$B$300,"L-*"),8)))</f>
        <v/>
      </c>
      <c r="J105" s="241" t="str">
        <f>IF($B105="","",IF(COUNTIFS(Лэндинг!$E$5:$E$300,$B105)+COUNTIFS(Закрытые!$E$5:$E$300,$B105,Закрытые!$B$5:$B$300,"L-*")=0,"",ROUND(SUMIFS(Лэндинг!$M$5:$M$300,Лэндинг!$E$5:$E$300,$B105)+SUMIFS(Закрытые!$M$5:$M$300,Закрытые!$E$5:$E$300,$B105,Закрытые!$B$5:$B$300,"L-*"),8)))</f>
        <v/>
      </c>
      <c r="K105" s="240" t="str">
        <f>IF(MIN(N(C105),N(F105))&lt;=0,"",ROUND(MIN(N(C105),N(F105))*(N(G105)-N(D105)),8))</f>
        <v/>
      </c>
      <c r="L105" s="177" t="str">
        <f>IF(MIN(N(C105),N(F105))&lt;=0,"",IF(N(D105)=0,"",ROUND((N(G105)/N(D105)-1)*100,2)))</f>
        <v/>
      </c>
      <c r="M105" s="177" t="str">
        <f>IF(OR(ROUND(N(C105)-N(F105),8)=0,1-N(Ввод!$J$19)/100&lt;=0),"",IF(N(C105)&gt;N(F105),(N(E105)-N(H105))/((N(C105)-N(F105))*(1-N(Ввод!$J$19)/100)),(N(H105)-N(E105))/((N(F105)-N(C105))*(1+N(Ввод!$J$19)/100))))</f>
        <v/>
      </c>
    </row>
    <row r="106" ht="22" customHeight="1">
      <c r="B106" s="245" t="n"/>
      <c r="C106" s="246" t="str">
        <f>IF(SUMIFS(Лэндинг!$F$5:$F$300,Лэндинг!$E$5:$E$300,$B106)+SUMIFS(Закрытые!$F$5:$F$300,Закрытые!$E$5:$E$300,$B106,Закрытые!$B$5:$B$300,"L-*")=0,"",SUMIFS(Лэндинг!$F$5:$F$300,Лэндинг!$E$5:$E$300,$B106)+SUMIFS(Закрытые!$F$5:$F$300,Закрытые!$E$5:$E$300,$B106,Закрытые!$B$5:$B$300,"L-*"))</f>
        <v/>
      </c>
      <c r="D106" s="183" t="str">
        <f>IF(C106="","",(SUMPRODUCT((Лэндинг!$E$5:$E$300=$B106)*Лэндинг!$F$5:$F$300*Лэндинг!$G$5:$G$300)+SUMPRODUCT((Закрытые!$E$5:$E$300=$B106)*(LEFT(Закрытые!$B$5:$B$300,2)="L-")*Закрытые!$F$5:$F$300*Закрытые!$G$5:$G$300))/C106)</f>
        <v/>
      </c>
      <c r="E106" s="247" t="str">
        <f>IF(C106="","",SUMIFS(Лэндинг!$H$5:$H$300,Лэндинг!$E$5:$E$300,$B106)+SUMIFS(Закрытые!$H$5:$H$300,Закрытые!$E$5:$E$300,$B106,Закрытые!$B$5:$B$300,"L-*"))</f>
        <v/>
      </c>
      <c r="F106" s="246" t="str">
        <f>IF(SUMIFS(Лэндинг!$I$5:$I$300,Лэндинг!$E$5:$E$300,$B106)+SUMIFS(Закрытые!$I$5:$I$300,Закрытые!$E$5:$E$300,$B106,Закрытые!$B$5:$B$300,"L-*")=0,"",SUMIFS(Лэндинг!$I$5:$I$300,Лэндинг!$E$5:$E$300,$B106)+SUMIFS(Закрытые!$I$5:$I$300,Закрытые!$E$5:$E$300,$B106,Закрытые!$B$5:$B$300,"L-*"))</f>
        <v/>
      </c>
      <c r="G106" s="183" t="str">
        <f>IF(F106="","",(SUMPRODUCT((Лэндинг!$E$5:$E$300=$B106)*Лэндинг!$I$5:$I$300*Лэндинг!$J$5:$J$300)+SUMPRODUCT((Закрытые!$E$5:$E$300=$B106)*(LEFT(Закрытые!$B$5:$B$300,2)="L-")*Закрытые!$I$5:$I$300*Закрытые!$J$5:$J$300))/F106)</f>
        <v/>
      </c>
      <c r="H106" s="247" t="str">
        <f>IF(F106="","",SUMIFS(Лэндинг!$K$5:$K$300,Лэндинг!$E$5:$E$300,$B106)+SUMIFS(Закрытые!$K$5:$K$300,Закрытые!$E$5:$E$300,$B106,Закрытые!$B$5:$B$300,"L-*"))</f>
        <v/>
      </c>
      <c r="I106" s="246" t="str">
        <f>IF($B106="","",IF(COUNTIFS(Лэндинг!$E$5:$E$300,$B106)+COUNTIFS(Закрытые!$E$5:$E$300,$B106,Закрытые!$B$5:$B$300,"L-*")=0,"",ROUND(SUMIFS(Лэндинг!$L$5:$L$300,Лэндинг!$E$5:$E$300,$B106)+SUMIFS(Закрытые!$L$5:$L$300,Закрытые!$E$5:$E$300,$B106,Закрытые!$B$5:$B$300,"L-*"),8)))</f>
        <v/>
      </c>
      <c r="J106" s="247" t="str">
        <f>IF($B106="","",IF(COUNTIFS(Лэндинг!$E$5:$E$300,$B106)+COUNTIFS(Закрытые!$E$5:$E$300,$B106,Закрытые!$B$5:$B$300,"L-*")=0,"",ROUND(SUMIFS(Лэндинг!$M$5:$M$300,Лэндинг!$E$5:$E$300,$B106)+SUMIFS(Закрытые!$M$5:$M$300,Закрытые!$E$5:$E$300,$B106,Закрытые!$B$5:$B$300,"L-*"),8)))</f>
        <v/>
      </c>
      <c r="K106" s="246" t="str">
        <f>IF(MIN(N(C106),N(F106))&lt;=0,"",ROUND(MIN(N(C106),N(F106))*(N(G106)-N(D106)),8))</f>
        <v/>
      </c>
      <c r="L106" s="183" t="str">
        <f>IF(MIN(N(C106),N(F106))&lt;=0,"",IF(N(D106)=0,"",ROUND((N(G106)/N(D106)-1)*100,2)))</f>
        <v/>
      </c>
      <c r="M106" s="183" t="str">
        <f>IF(OR(ROUND(N(C106)-N(F106),8)=0,1-N(Ввод!$J$19)/100&lt;=0),"",IF(N(C106)&gt;N(F106),(N(E106)-N(H106))/((N(C106)-N(F106))*(1-N(Ввод!$J$19)/100)),(N(H106)-N(E106))/((N(F106)-N(C106))*(1+N(Ввод!$J$19)/100))))</f>
        <v/>
      </c>
    </row>
    <row r="107" ht="22" customHeight="1">
      <c r="B107" s="239" t="n"/>
      <c r="C107" s="240" t="str">
        <f>IF(SUMIFS(Лэндинг!$F$5:$F$300,Лэндинг!$E$5:$E$300,$B107)+SUMIFS(Закрытые!$F$5:$F$300,Закрытые!$E$5:$E$300,$B107,Закрытые!$B$5:$B$300,"L-*")=0,"",SUMIFS(Лэндинг!$F$5:$F$300,Лэндинг!$E$5:$E$300,$B107)+SUMIFS(Закрытые!$F$5:$F$300,Закрытые!$E$5:$E$300,$B107,Закрытые!$B$5:$B$300,"L-*"))</f>
        <v/>
      </c>
      <c r="D107" s="177" t="str">
        <f>IF(C107="","",(SUMPRODUCT((Лэндинг!$E$5:$E$300=$B107)*Лэндинг!$F$5:$F$300*Лэндинг!$G$5:$G$300)+SUMPRODUCT((Закрытые!$E$5:$E$300=$B107)*(LEFT(Закрытые!$B$5:$B$300,2)="L-")*Закрытые!$F$5:$F$300*Закрытые!$G$5:$G$300))/C107)</f>
        <v/>
      </c>
      <c r="E107" s="241" t="str">
        <f>IF(C107="","",SUMIFS(Лэндинг!$H$5:$H$300,Лэндинг!$E$5:$E$300,$B107)+SUMIFS(Закрытые!$H$5:$H$300,Закрытые!$E$5:$E$300,$B107,Закрытые!$B$5:$B$300,"L-*"))</f>
        <v/>
      </c>
      <c r="F107" s="240" t="str">
        <f>IF(SUMIFS(Лэндинг!$I$5:$I$300,Лэндинг!$E$5:$E$300,$B107)+SUMIFS(Закрытые!$I$5:$I$300,Закрытые!$E$5:$E$300,$B107,Закрытые!$B$5:$B$300,"L-*")=0,"",SUMIFS(Лэндинг!$I$5:$I$300,Лэндинг!$E$5:$E$300,$B107)+SUMIFS(Закрытые!$I$5:$I$300,Закрытые!$E$5:$E$300,$B107,Закрытые!$B$5:$B$300,"L-*"))</f>
        <v/>
      </c>
      <c r="G107" s="177" t="str">
        <f>IF(F107="","",(SUMPRODUCT((Лэндинг!$E$5:$E$300=$B107)*Лэндинг!$I$5:$I$300*Лэндинг!$J$5:$J$300)+SUMPRODUCT((Закрытые!$E$5:$E$300=$B107)*(LEFT(Закрытые!$B$5:$B$300,2)="L-")*Закрытые!$I$5:$I$300*Закрытые!$J$5:$J$300))/F107)</f>
        <v/>
      </c>
      <c r="H107" s="241" t="str">
        <f>IF(F107="","",SUMIFS(Лэндинг!$K$5:$K$300,Лэндинг!$E$5:$E$300,$B107)+SUMIFS(Закрытые!$K$5:$K$300,Закрытые!$E$5:$E$300,$B107,Закрытые!$B$5:$B$300,"L-*"))</f>
        <v/>
      </c>
      <c r="I107" s="240" t="str">
        <f>IF($B107="","",IF(COUNTIFS(Лэндинг!$E$5:$E$300,$B107)+COUNTIFS(Закрытые!$E$5:$E$300,$B107,Закрытые!$B$5:$B$300,"L-*")=0,"",ROUND(SUMIFS(Лэндинг!$L$5:$L$300,Лэндинг!$E$5:$E$300,$B107)+SUMIFS(Закрытые!$L$5:$L$300,Закрытые!$E$5:$E$300,$B107,Закрытые!$B$5:$B$300,"L-*"),8)))</f>
        <v/>
      </c>
      <c r="J107" s="241" t="str">
        <f>IF($B107="","",IF(COUNTIFS(Лэндинг!$E$5:$E$300,$B107)+COUNTIFS(Закрытые!$E$5:$E$300,$B107,Закрытые!$B$5:$B$300,"L-*")=0,"",ROUND(SUMIFS(Лэндинг!$M$5:$M$300,Лэндинг!$E$5:$E$300,$B107)+SUMIFS(Закрытые!$M$5:$M$300,Закрытые!$E$5:$E$300,$B107,Закрытые!$B$5:$B$300,"L-*"),8)))</f>
        <v/>
      </c>
      <c r="K107" s="240" t="str">
        <f>IF(MIN(N(C107),N(F107))&lt;=0,"",ROUND(MIN(N(C107),N(F107))*(N(G107)-N(D107)),8))</f>
        <v/>
      </c>
      <c r="L107" s="177" t="str">
        <f>IF(MIN(N(C107),N(F107))&lt;=0,"",IF(N(D107)=0,"",ROUND((N(G107)/N(D107)-1)*100,2)))</f>
        <v/>
      </c>
      <c r="M107" s="177" t="str">
        <f>IF(OR(ROUND(N(C107)-N(F107),8)=0,1-N(Ввод!$J$19)/100&lt;=0),"",IF(N(C107)&gt;N(F107),(N(E107)-N(H107))/((N(C107)-N(F107))*(1-N(Ввод!$J$19)/100)),(N(H107)-N(E107))/((N(F107)-N(C107))*(1+N(Ввод!$J$19)/100))))</f>
        <v/>
      </c>
    </row>
    <row r="108" ht="22" customHeight="1">
      <c r="B108" s="245" t="n"/>
      <c r="C108" s="246" t="str">
        <f>IF(SUMIFS(Лэндинг!$F$5:$F$300,Лэндинг!$E$5:$E$300,$B108)+SUMIFS(Закрытые!$F$5:$F$300,Закрытые!$E$5:$E$300,$B108,Закрытые!$B$5:$B$300,"L-*")=0,"",SUMIFS(Лэндинг!$F$5:$F$300,Лэндинг!$E$5:$E$300,$B108)+SUMIFS(Закрытые!$F$5:$F$300,Закрытые!$E$5:$E$300,$B108,Закрытые!$B$5:$B$300,"L-*"))</f>
        <v/>
      </c>
      <c r="D108" s="183" t="str">
        <f>IF(C108="","",(SUMPRODUCT((Лэндинг!$E$5:$E$300=$B108)*Лэндинг!$F$5:$F$300*Лэндинг!$G$5:$G$300)+SUMPRODUCT((Закрытые!$E$5:$E$300=$B108)*(LEFT(Закрытые!$B$5:$B$300,2)="L-")*Закрытые!$F$5:$F$300*Закрытые!$G$5:$G$300))/C108)</f>
        <v/>
      </c>
      <c r="E108" s="247" t="str">
        <f>IF(C108="","",SUMIFS(Лэндинг!$H$5:$H$300,Лэндинг!$E$5:$E$300,$B108)+SUMIFS(Закрытые!$H$5:$H$300,Закрытые!$E$5:$E$300,$B108,Закрытые!$B$5:$B$300,"L-*"))</f>
        <v/>
      </c>
      <c r="F108" s="246" t="str">
        <f>IF(SUMIFS(Лэндинг!$I$5:$I$300,Лэндинг!$E$5:$E$300,$B108)+SUMIFS(Закрытые!$I$5:$I$300,Закрытые!$E$5:$E$300,$B108,Закрытые!$B$5:$B$300,"L-*")=0,"",SUMIFS(Лэндинг!$I$5:$I$300,Лэндинг!$E$5:$E$300,$B108)+SUMIFS(Закрытые!$I$5:$I$300,Закрытые!$E$5:$E$300,$B108,Закрытые!$B$5:$B$300,"L-*"))</f>
        <v/>
      </c>
      <c r="G108" s="183" t="str">
        <f>IF(F108="","",(SUMPRODUCT((Лэндинг!$E$5:$E$300=$B108)*Лэндинг!$I$5:$I$300*Лэндинг!$J$5:$J$300)+SUMPRODUCT((Закрытые!$E$5:$E$300=$B108)*(LEFT(Закрытые!$B$5:$B$300,2)="L-")*Закрытые!$I$5:$I$300*Закрытые!$J$5:$J$300))/F108)</f>
        <v/>
      </c>
      <c r="H108" s="247" t="str">
        <f>IF(F108="","",SUMIFS(Лэндинг!$K$5:$K$300,Лэндинг!$E$5:$E$300,$B108)+SUMIFS(Закрытые!$K$5:$K$300,Закрытые!$E$5:$E$300,$B108,Закрытые!$B$5:$B$300,"L-*"))</f>
        <v/>
      </c>
      <c r="I108" s="246" t="str">
        <f>IF($B108="","",IF(COUNTIFS(Лэндинг!$E$5:$E$300,$B108)+COUNTIFS(Закрытые!$E$5:$E$300,$B108,Закрытые!$B$5:$B$300,"L-*")=0,"",ROUND(SUMIFS(Лэндинг!$L$5:$L$300,Лэндинг!$E$5:$E$300,$B108)+SUMIFS(Закрытые!$L$5:$L$300,Закрытые!$E$5:$E$300,$B108,Закрытые!$B$5:$B$300,"L-*"),8)))</f>
        <v/>
      </c>
      <c r="J108" s="247" t="str">
        <f>IF($B108="","",IF(COUNTIFS(Лэндинг!$E$5:$E$300,$B108)+COUNTIFS(Закрытые!$E$5:$E$300,$B108,Закрытые!$B$5:$B$300,"L-*")=0,"",ROUND(SUMIFS(Лэндинг!$M$5:$M$300,Лэндинг!$E$5:$E$300,$B108)+SUMIFS(Закрытые!$M$5:$M$300,Закрытые!$E$5:$E$300,$B108,Закрытые!$B$5:$B$300,"L-*"),8)))</f>
        <v/>
      </c>
      <c r="K108" s="246" t="str">
        <f>IF(MIN(N(C108),N(F108))&lt;=0,"",ROUND(MIN(N(C108),N(F108))*(N(G108)-N(D108)),8))</f>
        <v/>
      </c>
      <c r="L108" s="183" t="str">
        <f>IF(MIN(N(C108),N(F108))&lt;=0,"",IF(N(D108)=0,"",ROUND((N(G108)/N(D108)-1)*100,2)))</f>
        <v/>
      </c>
      <c r="M108" s="183" t="str">
        <f>IF(OR(ROUND(N(C108)-N(F108),8)=0,1-N(Ввод!$J$19)/100&lt;=0),"",IF(N(C108)&gt;N(F108),(N(E108)-N(H108))/((N(C108)-N(F108))*(1-N(Ввод!$J$19)/100)),(N(H108)-N(E108))/((N(F108)-N(C108))*(1+N(Ввод!$J$19)/100))))</f>
        <v/>
      </c>
    </row>
    <row r="109" ht="22" customHeight="1">
      <c r="B109" s="239" t="n"/>
      <c r="C109" s="240" t="str">
        <f>IF(SUMIFS(Лэндинг!$F$5:$F$300,Лэндинг!$E$5:$E$300,$B109)+SUMIFS(Закрытые!$F$5:$F$300,Закрытые!$E$5:$E$300,$B109,Закрытые!$B$5:$B$300,"L-*")=0,"",SUMIFS(Лэндинг!$F$5:$F$300,Лэндинг!$E$5:$E$300,$B109)+SUMIFS(Закрытые!$F$5:$F$300,Закрытые!$E$5:$E$300,$B109,Закрытые!$B$5:$B$300,"L-*"))</f>
        <v/>
      </c>
      <c r="D109" s="177" t="str">
        <f>IF(C109="","",(SUMPRODUCT((Лэндинг!$E$5:$E$300=$B109)*Лэндинг!$F$5:$F$300*Лэндинг!$G$5:$G$300)+SUMPRODUCT((Закрытые!$E$5:$E$300=$B109)*(LEFT(Закрытые!$B$5:$B$300,2)="L-")*Закрытые!$F$5:$F$300*Закрытые!$G$5:$G$300))/C109)</f>
        <v/>
      </c>
      <c r="E109" s="241" t="str">
        <f>IF(C109="","",SUMIFS(Лэндинг!$H$5:$H$300,Лэндинг!$E$5:$E$300,$B109)+SUMIFS(Закрытые!$H$5:$H$300,Закрытые!$E$5:$E$300,$B109,Закрытые!$B$5:$B$300,"L-*"))</f>
        <v/>
      </c>
      <c r="F109" s="240" t="str">
        <f>IF(SUMIFS(Лэндинг!$I$5:$I$300,Лэндинг!$E$5:$E$300,$B109)+SUMIFS(Закрытые!$I$5:$I$300,Закрытые!$E$5:$E$300,$B109,Закрытые!$B$5:$B$300,"L-*")=0,"",SUMIFS(Лэндинг!$I$5:$I$300,Лэндинг!$E$5:$E$300,$B109)+SUMIFS(Закрытые!$I$5:$I$300,Закрытые!$E$5:$E$300,$B109,Закрытые!$B$5:$B$300,"L-*"))</f>
        <v/>
      </c>
      <c r="G109" s="177" t="str">
        <f>IF(F109="","",(SUMPRODUCT((Лэндинг!$E$5:$E$300=$B109)*Лэндинг!$I$5:$I$300*Лэндинг!$J$5:$J$300)+SUMPRODUCT((Закрытые!$E$5:$E$300=$B109)*(LEFT(Закрытые!$B$5:$B$300,2)="L-")*Закрытые!$I$5:$I$300*Закрытые!$J$5:$J$300))/F109)</f>
        <v/>
      </c>
      <c r="H109" s="241" t="str">
        <f>IF(F109="","",SUMIFS(Лэндинг!$K$5:$K$300,Лэндинг!$E$5:$E$300,$B109)+SUMIFS(Закрытые!$K$5:$K$300,Закрытые!$E$5:$E$300,$B109,Закрытые!$B$5:$B$300,"L-*"))</f>
        <v/>
      </c>
      <c r="I109" s="240" t="str">
        <f>IF($B109="","",IF(COUNTIFS(Лэндинг!$E$5:$E$300,$B109)+COUNTIFS(Закрытые!$E$5:$E$300,$B109,Закрытые!$B$5:$B$300,"L-*")=0,"",ROUND(SUMIFS(Лэндинг!$L$5:$L$300,Лэндинг!$E$5:$E$300,$B109)+SUMIFS(Закрытые!$L$5:$L$300,Закрытые!$E$5:$E$300,$B109,Закрытые!$B$5:$B$300,"L-*"),8)))</f>
        <v/>
      </c>
      <c r="J109" s="241" t="str">
        <f>IF($B109="","",IF(COUNTIFS(Лэндинг!$E$5:$E$300,$B109)+COUNTIFS(Закрытые!$E$5:$E$300,$B109,Закрытые!$B$5:$B$300,"L-*")=0,"",ROUND(SUMIFS(Лэндинг!$M$5:$M$300,Лэндинг!$E$5:$E$300,$B109)+SUMIFS(Закрытые!$M$5:$M$300,Закрытые!$E$5:$E$300,$B109,Закрытые!$B$5:$B$300,"L-*"),8)))</f>
        <v/>
      </c>
      <c r="K109" s="240" t="str">
        <f>IF(MIN(N(C109),N(F109))&lt;=0,"",ROUND(MIN(N(C109),N(F109))*(N(G109)-N(D109)),8))</f>
        <v/>
      </c>
      <c r="L109" s="177" t="str">
        <f>IF(MIN(N(C109),N(F109))&lt;=0,"",IF(N(D109)=0,"",ROUND((N(G109)/N(D109)-1)*100,2)))</f>
        <v/>
      </c>
      <c r="M109" s="177" t="str">
        <f>IF(OR(ROUND(N(C109)-N(F109),8)=0,1-N(Ввод!$J$19)/100&lt;=0),"",IF(N(C109)&gt;N(F109),(N(E109)-N(H109))/((N(C109)-N(F109))*(1-N(Ввод!$J$19)/100)),(N(H109)-N(E109))/((N(F109)-N(C109))*(1+N(Ввод!$J$19)/100))))</f>
        <v/>
      </c>
    </row>
    <row r="110" ht="22" customHeight="1">
      <c r="B110" s="245" t="n"/>
      <c r="C110" s="246" t="str">
        <f>IF(SUMIFS(Лэндинг!$F$5:$F$300,Лэндинг!$E$5:$E$300,$B110)+SUMIFS(Закрытые!$F$5:$F$300,Закрытые!$E$5:$E$300,$B110,Закрытые!$B$5:$B$300,"L-*")=0,"",SUMIFS(Лэндинг!$F$5:$F$300,Лэндинг!$E$5:$E$300,$B110)+SUMIFS(Закрытые!$F$5:$F$300,Закрытые!$E$5:$E$300,$B110,Закрытые!$B$5:$B$300,"L-*"))</f>
        <v/>
      </c>
      <c r="D110" s="183" t="str">
        <f>IF(C110="","",(SUMPRODUCT((Лэндинг!$E$5:$E$300=$B110)*Лэндинг!$F$5:$F$300*Лэндинг!$G$5:$G$300)+SUMPRODUCT((Закрытые!$E$5:$E$300=$B110)*(LEFT(Закрытые!$B$5:$B$300,2)="L-")*Закрытые!$F$5:$F$300*Закрытые!$G$5:$G$300))/C110)</f>
        <v/>
      </c>
      <c r="E110" s="247" t="str">
        <f>IF(C110="","",SUMIFS(Лэндинг!$H$5:$H$300,Лэндинг!$E$5:$E$300,$B110)+SUMIFS(Закрытые!$H$5:$H$300,Закрытые!$E$5:$E$300,$B110,Закрытые!$B$5:$B$300,"L-*"))</f>
        <v/>
      </c>
      <c r="F110" s="246" t="str">
        <f>IF(SUMIFS(Лэндинг!$I$5:$I$300,Лэндинг!$E$5:$E$300,$B110)+SUMIFS(Закрытые!$I$5:$I$300,Закрытые!$E$5:$E$300,$B110,Закрытые!$B$5:$B$300,"L-*")=0,"",SUMIFS(Лэндинг!$I$5:$I$300,Лэндинг!$E$5:$E$300,$B110)+SUMIFS(Закрытые!$I$5:$I$300,Закрытые!$E$5:$E$300,$B110,Закрытые!$B$5:$B$300,"L-*"))</f>
        <v/>
      </c>
      <c r="G110" s="183" t="str">
        <f>IF(F110="","",(SUMPRODUCT((Лэндинг!$E$5:$E$300=$B110)*Лэндинг!$I$5:$I$300*Лэндинг!$J$5:$J$300)+SUMPRODUCT((Закрытые!$E$5:$E$300=$B110)*(LEFT(Закрытые!$B$5:$B$300,2)="L-")*Закрытые!$I$5:$I$300*Закрытые!$J$5:$J$300))/F110)</f>
        <v/>
      </c>
      <c r="H110" s="247" t="str">
        <f>IF(F110="","",SUMIFS(Лэндинг!$K$5:$K$300,Лэндинг!$E$5:$E$300,$B110)+SUMIFS(Закрытые!$K$5:$K$300,Закрытые!$E$5:$E$300,$B110,Закрытые!$B$5:$B$300,"L-*"))</f>
        <v/>
      </c>
      <c r="I110" s="246" t="str">
        <f>IF($B110="","",IF(COUNTIFS(Лэндинг!$E$5:$E$300,$B110)+COUNTIFS(Закрытые!$E$5:$E$300,$B110,Закрытые!$B$5:$B$300,"L-*")=0,"",ROUND(SUMIFS(Лэндинг!$L$5:$L$300,Лэндинг!$E$5:$E$300,$B110)+SUMIFS(Закрытые!$L$5:$L$300,Закрытые!$E$5:$E$300,$B110,Закрытые!$B$5:$B$300,"L-*"),8)))</f>
        <v/>
      </c>
      <c r="J110" s="247" t="str">
        <f>IF($B110="","",IF(COUNTIFS(Лэндинг!$E$5:$E$300,$B110)+COUNTIFS(Закрытые!$E$5:$E$300,$B110,Закрытые!$B$5:$B$300,"L-*")=0,"",ROUND(SUMIFS(Лэндинг!$M$5:$M$300,Лэндинг!$E$5:$E$300,$B110)+SUMIFS(Закрытые!$M$5:$M$300,Закрытые!$E$5:$E$300,$B110,Закрытые!$B$5:$B$300,"L-*"),8)))</f>
        <v/>
      </c>
      <c r="K110" s="246" t="str">
        <f>IF(MIN(N(C110),N(F110))&lt;=0,"",ROUND(MIN(N(C110),N(F110))*(N(G110)-N(D110)),8))</f>
        <v/>
      </c>
      <c r="L110" s="183" t="str">
        <f>IF(MIN(N(C110),N(F110))&lt;=0,"",IF(N(D110)=0,"",ROUND((N(G110)/N(D110)-1)*100,2)))</f>
        <v/>
      </c>
      <c r="M110" s="183" t="str">
        <f>IF(OR(ROUND(N(C110)-N(F110),8)=0,1-N(Ввод!$J$19)/100&lt;=0),"",IF(N(C110)&gt;N(F110),(N(E110)-N(H110))/((N(C110)-N(F110))*(1-N(Ввод!$J$19)/100)),(N(H110)-N(E110))/((N(F110)-N(C110))*(1+N(Ввод!$J$19)/100))))</f>
        <v/>
      </c>
    </row>
    <row r="111" ht="22" customHeight="1">
      <c r="B111" s="239" t="n"/>
      <c r="C111" s="240" t="str">
        <f>IF(SUMIFS(Лэндинг!$F$5:$F$300,Лэндинг!$E$5:$E$300,$B111)+SUMIFS(Закрытые!$F$5:$F$300,Закрытые!$E$5:$E$300,$B111,Закрытые!$B$5:$B$300,"L-*")=0,"",SUMIFS(Лэндинг!$F$5:$F$300,Лэндинг!$E$5:$E$300,$B111)+SUMIFS(Закрытые!$F$5:$F$300,Закрытые!$E$5:$E$300,$B111,Закрытые!$B$5:$B$300,"L-*"))</f>
        <v/>
      </c>
      <c r="D111" s="177" t="str">
        <f>IF(C111="","",(SUMPRODUCT((Лэндинг!$E$5:$E$300=$B111)*Лэндинг!$F$5:$F$300*Лэндинг!$G$5:$G$300)+SUMPRODUCT((Закрытые!$E$5:$E$300=$B111)*(LEFT(Закрытые!$B$5:$B$300,2)="L-")*Закрытые!$F$5:$F$300*Закрытые!$G$5:$G$300))/C111)</f>
        <v/>
      </c>
      <c r="E111" s="241" t="str">
        <f>IF(C111="","",SUMIFS(Лэндинг!$H$5:$H$300,Лэндинг!$E$5:$E$300,$B111)+SUMIFS(Закрытые!$H$5:$H$300,Закрытые!$E$5:$E$300,$B111,Закрытые!$B$5:$B$300,"L-*"))</f>
        <v/>
      </c>
      <c r="F111" s="240" t="str">
        <f>IF(SUMIFS(Лэндинг!$I$5:$I$300,Лэндинг!$E$5:$E$300,$B111)+SUMIFS(Закрытые!$I$5:$I$300,Закрытые!$E$5:$E$300,$B111,Закрытые!$B$5:$B$300,"L-*")=0,"",SUMIFS(Лэндинг!$I$5:$I$300,Лэндинг!$E$5:$E$300,$B111)+SUMIFS(Закрытые!$I$5:$I$300,Закрытые!$E$5:$E$300,$B111,Закрытые!$B$5:$B$300,"L-*"))</f>
        <v/>
      </c>
      <c r="G111" s="177" t="str">
        <f>IF(F111="","",(SUMPRODUCT((Лэндинг!$E$5:$E$300=$B111)*Лэндинг!$I$5:$I$300*Лэндинг!$J$5:$J$300)+SUMPRODUCT((Закрытые!$E$5:$E$300=$B111)*(LEFT(Закрытые!$B$5:$B$300,2)="L-")*Закрытые!$I$5:$I$300*Закрытые!$J$5:$J$300))/F111)</f>
        <v/>
      </c>
      <c r="H111" s="241" t="str">
        <f>IF(F111="","",SUMIFS(Лэндинг!$K$5:$K$300,Лэндинг!$E$5:$E$300,$B111)+SUMIFS(Закрытые!$K$5:$K$300,Закрытые!$E$5:$E$300,$B111,Закрытые!$B$5:$B$300,"L-*"))</f>
        <v/>
      </c>
      <c r="I111" s="240" t="str">
        <f>IF($B111="","",IF(COUNTIFS(Лэндинг!$E$5:$E$300,$B111)+COUNTIFS(Закрытые!$E$5:$E$300,$B111,Закрытые!$B$5:$B$300,"L-*")=0,"",ROUND(SUMIFS(Лэндинг!$L$5:$L$300,Лэндинг!$E$5:$E$300,$B111)+SUMIFS(Закрытые!$L$5:$L$300,Закрытые!$E$5:$E$300,$B111,Закрытые!$B$5:$B$300,"L-*"),8)))</f>
        <v/>
      </c>
      <c r="J111" s="241" t="str">
        <f>IF($B111="","",IF(COUNTIFS(Лэндинг!$E$5:$E$300,$B111)+COUNTIFS(Закрытые!$E$5:$E$300,$B111,Закрытые!$B$5:$B$300,"L-*")=0,"",ROUND(SUMIFS(Лэндинг!$M$5:$M$300,Лэндинг!$E$5:$E$300,$B111)+SUMIFS(Закрытые!$M$5:$M$300,Закрытые!$E$5:$E$300,$B111,Закрытые!$B$5:$B$300,"L-*"),8)))</f>
        <v/>
      </c>
      <c r="K111" s="240" t="str">
        <f>IF(MIN(N(C111),N(F111))&lt;=0,"",ROUND(MIN(N(C111),N(F111))*(N(G111)-N(D111)),8))</f>
        <v/>
      </c>
      <c r="L111" s="177" t="str">
        <f>IF(MIN(N(C111),N(F111))&lt;=0,"",IF(N(D111)=0,"",ROUND((N(G111)/N(D111)-1)*100,2)))</f>
        <v/>
      </c>
      <c r="M111" s="177" t="str">
        <f>IF(OR(ROUND(N(C111)-N(F111),8)=0,1-N(Ввод!$J$19)/100&lt;=0),"",IF(N(C111)&gt;N(F111),(N(E111)-N(H111))/((N(C111)-N(F111))*(1-N(Ввод!$J$19)/100)),(N(H111)-N(E111))/((N(F111)-N(C111))*(1+N(Ввод!$J$19)/100))))</f>
        <v/>
      </c>
    </row>
    <row r="112" ht="22" customHeight="1">
      <c r="B112" s="245" t="n"/>
      <c r="C112" s="246" t="str">
        <f>IF(SUMIFS(Лэндинг!$F$5:$F$300,Лэндинг!$E$5:$E$300,$B112)+SUMIFS(Закрытые!$F$5:$F$300,Закрытые!$E$5:$E$300,$B112,Закрытые!$B$5:$B$300,"L-*")=0,"",SUMIFS(Лэндинг!$F$5:$F$300,Лэндинг!$E$5:$E$300,$B112)+SUMIFS(Закрытые!$F$5:$F$300,Закрытые!$E$5:$E$300,$B112,Закрытые!$B$5:$B$300,"L-*"))</f>
        <v/>
      </c>
      <c r="D112" s="183" t="str">
        <f>IF(C112="","",(SUMPRODUCT((Лэндинг!$E$5:$E$300=$B112)*Лэндинг!$F$5:$F$300*Лэндинг!$G$5:$G$300)+SUMPRODUCT((Закрытые!$E$5:$E$300=$B112)*(LEFT(Закрытые!$B$5:$B$300,2)="L-")*Закрытые!$F$5:$F$300*Закрытые!$G$5:$G$300))/C112)</f>
        <v/>
      </c>
      <c r="E112" s="247" t="str">
        <f>IF(C112="","",SUMIFS(Лэндинг!$H$5:$H$300,Лэндинг!$E$5:$E$300,$B112)+SUMIFS(Закрытые!$H$5:$H$300,Закрытые!$E$5:$E$300,$B112,Закрытые!$B$5:$B$300,"L-*"))</f>
        <v/>
      </c>
      <c r="F112" s="246" t="str">
        <f>IF(SUMIFS(Лэндинг!$I$5:$I$300,Лэндинг!$E$5:$E$300,$B112)+SUMIFS(Закрытые!$I$5:$I$300,Закрытые!$E$5:$E$300,$B112,Закрытые!$B$5:$B$300,"L-*")=0,"",SUMIFS(Лэндинг!$I$5:$I$300,Лэндинг!$E$5:$E$300,$B112)+SUMIFS(Закрытые!$I$5:$I$300,Закрытые!$E$5:$E$300,$B112,Закрытые!$B$5:$B$300,"L-*"))</f>
        <v/>
      </c>
      <c r="G112" s="183" t="str">
        <f>IF(F112="","",(SUMPRODUCT((Лэндинг!$E$5:$E$300=$B112)*Лэндинг!$I$5:$I$300*Лэндинг!$J$5:$J$300)+SUMPRODUCT((Закрытые!$E$5:$E$300=$B112)*(LEFT(Закрытые!$B$5:$B$300,2)="L-")*Закрытые!$I$5:$I$300*Закрытые!$J$5:$J$300))/F112)</f>
        <v/>
      </c>
      <c r="H112" s="247" t="str">
        <f>IF(F112="","",SUMIFS(Лэндинг!$K$5:$K$300,Лэндинг!$E$5:$E$300,$B112)+SUMIFS(Закрытые!$K$5:$K$300,Закрытые!$E$5:$E$300,$B112,Закрытые!$B$5:$B$300,"L-*"))</f>
        <v/>
      </c>
      <c r="I112" s="246" t="str">
        <f>IF($B112="","",IF(COUNTIFS(Лэндинг!$E$5:$E$300,$B112)+COUNTIFS(Закрытые!$E$5:$E$300,$B112,Закрытые!$B$5:$B$300,"L-*")=0,"",ROUND(SUMIFS(Лэндинг!$L$5:$L$300,Лэндинг!$E$5:$E$300,$B112)+SUMIFS(Закрытые!$L$5:$L$300,Закрытые!$E$5:$E$300,$B112,Закрытые!$B$5:$B$300,"L-*"),8)))</f>
        <v/>
      </c>
      <c r="J112" s="247" t="str">
        <f>IF($B112="","",IF(COUNTIFS(Лэндинг!$E$5:$E$300,$B112)+COUNTIFS(Закрытые!$E$5:$E$300,$B112,Закрытые!$B$5:$B$300,"L-*")=0,"",ROUND(SUMIFS(Лэндинг!$M$5:$M$300,Лэндинг!$E$5:$E$300,$B112)+SUMIFS(Закрытые!$M$5:$M$300,Закрытые!$E$5:$E$300,$B112,Закрытые!$B$5:$B$300,"L-*"),8)))</f>
        <v/>
      </c>
      <c r="K112" s="246" t="str">
        <f>IF(MIN(N(C112),N(F112))&lt;=0,"",ROUND(MIN(N(C112),N(F112))*(N(G112)-N(D112)),8))</f>
        <v/>
      </c>
      <c r="L112" s="183" t="str">
        <f>IF(MIN(N(C112),N(F112))&lt;=0,"",IF(N(D112)=0,"",ROUND((N(G112)/N(D112)-1)*100,2)))</f>
        <v/>
      </c>
      <c r="M112" s="183" t="str">
        <f>IF(OR(ROUND(N(C112)-N(F112),8)=0,1-N(Ввод!$J$19)/100&lt;=0),"",IF(N(C112)&gt;N(F112),(N(E112)-N(H112))/((N(C112)-N(F112))*(1-N(Ввод!$J$19)/100)),(N(H112)-N(E112))/((N(F112)-N(C112))*(1+N(Ввод!$J$19)/100))))</f>
        <v/>
      </c>
    </row>
    <row r="113" ht="22" customHeight="1">
      <c r="B113" s="239" t="n"/>
      <c r="C113" s="240" t="str">
        <f>IF(SUMIFS(Лэндинг!$F$5:$F$300,Лэндинг!$E$5:$E$300,$B113)+SUMIFS(Закрытые!$F$5:$F$300,Закрытые!$E$5:$E$300,$B113,Закрытые!$B$5:$B$300,"L-*")=0,"",SUMIFS(Лэндинг!$F$5:$F$300,Лэндинг!$E$5:$E$300,$B113)+SUMIFS(Закрытые!$F$5:$F$300,Закрытые!$E$5:$E$300,$B113,Закрытые!$B$5:$B$300,"L-*"))</f>
        <v/>
      </c>
      <c r="D113" s="177" t="str">
        <f>IF(C113="","",(SUMPRODUCT((Лэндинг!$E$5:$E$300=$B113)*Лэндинг!$F$5:$F$300*Лэндинг!$G$5:$G$300)+SUMPRODUCT((Закрытые!$E$5:$E$300=$B113)*(LEFT(Закрытые!$B$5:$B$300,2)="L-")*Закрытые!$F$5:$F$300*Закрытые!$G$5:$G$300))/C113)</f>
        <v/>
      </c>
      <c r="E113" s="241" t="str">
        <f>IF(C113="","",SUMIFS(Лэндинг!$H$5:$H$300,Лэндинг!$E$5:$E$300,$B113)+SUMIFS(Закрытые!$H$5:$H$300,Закрытые!$E$5:$E$300,$B113,Закрытые!$B$5:$B$300,"L-*"))</f>
        <v/>
      </c>
      <c r="F113" s="240" t="str">
        <f>IF(SUMIFS(Лэндинг!$I$5:$I$300,Лэндинг!$E$5:$E$300,$B113)+SUMIFS(Закрытые!$I$5:$I$300,Закрытые!$E$5:$E$300,$B113,Закрытые!$B$5:$B$300,"L-*")=0,"",SUMIFS(Лэндинг!$I$5:$I$300,Лэндинг!$E$5:$E$300,$B113)+SUMIFS(Закрытые!$I$5:$I$300,Закрытые!$E$5:$E$300,$B113,Закрытые!$B$5:$B$300,"L-*"))</f>
        <v/>
      </c>
      <c r="G113" s="177" t="str">
        <f>IF(F113="","",(SUMPRODUCT((Лэндинг!$E$5:$E$300=$B113)*Лэндинг!$I$5:$I$300*Лэндинг!$J$5:$J$300)+SUMPRODUCT((Закрытые!$E$5:$E$300=$B113)*(LEFT(Закрытые!$B$5:$B$300,2)="L-")*Закрытые!$I$5:$I$300*Закрытые!$J$5:$J$300))/F113)</f>
        <v/>
      </c>
      <c r="H113" s="241" t="str">
        <f>IF(F113="","",SUMIFS(Лэндинг!$K$5:$K$300,Лэндинг!$E$5:$E$300,$B113)+SUMIFS(Закрытые!$K$5:$K$300,Закрытые!$E$5:$E$300,$B113,Закрытые!$B$5:$B$300,"L-*"))</f>
        <v/>
      </c>
      <c r="I113" s="240" t="str">
        <f>IF($B113="","",IF(COUNTIFS(Лэндинг!$E$5:$E$300,$B113)+COUNTIFS(Закрытые!$E$5:$E$300,$B113,Закрытые!$B$5:$B$300,"L-*")=0,"",ROUND(SUMIFS(Лэндинг!$L$5:$L$300,Лэндинг!$E$5:$E$300,$B113)+SUMIFS(Закрытые!$L$5:$L$300,Закрытые!$E$5:$E$300,$B113,Закрытые!$B$5:$B$300,"L-*"),8)))</f>
        <v/>
      </c>
      <c r="J113" s="241" t="str">
        <f>IF($B113="","",IF(COUNTIFS(Лэндинг!$E$5:$E$300,$B113)+COUNTIFS(Закрытые!$E$5:$E$300,$B113,Закрытые!$B$5:$B$300,"L-*")=0,"",ROUND(SUMIFS(Лэндинг!$M$5:$M$300,Лэндинг!$E$5:$E$300,$B113)+SUMIFS(Закрытые!$M$5:$M$300,Закрытые!$E$5:$E$300,$B113,Закрытые!$B$5:$B$300,"L-*"),8)))</f>
        <v/>
      </c>
      <c r="K113" s="240" t="str">
        <f>IF(MIN(N(C113),N(F113))&lt;=0,"",ROUND(MIN(N(C113),N(F113))*(N(G113)-N(D113)),8))</f>
        <v/>
      </c>
      <c r="L113" s="177" t="str">
        <f>IF(MIN(N(C113),N(F113))&lt;=0,"",IF(N(D113)=0,"",ROUND((N(G113)/N(D113)-1)*100,2)))</f>
        <v/>
      </c>
      <c r="M113" s="177" t="str">
        <f>IF(OR(ROUND(N(C113)-N(F113),8)=0,1-N(Ввод!$J$19)/100&lt;=0),"",IF(N(C113)&gt;N(F113),(N(E113)-N(H113))/((N(C113)-N(F113))*(1-N(Ввод!$J$19)/100)),(N(H113)-N(E113))/((N(F113)-N(C113))*(1+N(Ввод!$J$19)/100))))</f>
        <v/>
      </c>
    </row>
    <row r="114" ht="22" customHeight="1">
      <c r="B114" s="245" t="n"/>
      <c r="C114" s="246" t="str">
        <f>IF(SUMIFS(Лэндинг!$F$5:$F$300,Лэндинг!$E$5:$E$300,$B114)+SUMIFS(Закрытые!$F$5:$F$300,Закрытые!$E$5:$E$300,$B114,Закрытые!$B$5:$B$300,"L-*")=0,"",SUMIFS(Лэндинг!$F$5:$F$300,Лэндинг!$E$5:$E$300,$B114)+SUMIFS(Закрытые!$F$5:$F$300,Закрытые!$E$5:$E$300,$B114,Закрытые!$B$5:$B$300,"L-*"))</f>
        <v/>
      </c>
      <c r="D114" s="183" t="str">
        <f>IF(C114="","",(SUMPRODUCT((Лэндинг!$E$5:$E$300=$B114)*Лэндинг!$F$5:$F$300*Лэндинг!$G$5:$G$300)+SUMPRODUCT((Закрытые!$E$5:$E$300=$B114)*(LEFT(Закрытые!$B$5:$B$300,2)="L-")*Закрытые!$F$5:$F$300*Закрытые!$G$5:$G$300))/C114)</f>
        <v/>
      </c>
      <c r="E114" s="247" t="str">
        <f>IF(C114="","",SUMIFS(Лэндинг!$H$5:$H$300,Лэндинг!$E$5:$E$300,$B114)+SUMIFS(Закрытые!$H$5:$H$300,Закрытые!$E$5:$E$300,$B114,Закрытые!$B$5:$B$300,"L-*"))</f>
        <v/>
      </c>
      <c r="F114" s="246" t="str">
        <f>IF(SUMIFS(Лэндинг!$I$5:$I$300,Лэндинг!$E$5:$E$300,$B114)+SUMIFS(Закрытые!$I$5:$I$300,Закрытые!$E$5:$E$300,$B114,Закрытые!$B$5:$B$300,"L-*")=0,"",SUMIFS(Лэндинг!$I$5:$I$300,Лэндинг!$E$5:$E$300,$B114)+SUMIFS(Закрытые!$I$5:$I$300,Закрытые!$E$5:$E$300,$B114,Закрытые!$B$5:$B$300,"L-*"))</f>
        <v/>
      </c>
      <c r="G114" s="183" t="str">
        <f>IF(F114="","",(SUMPRODUCT((Лэндинг!$E$5:$E$300=$B114)*Лэндинг!$I$5:$I$300*Лэндинг!$J$5:$J$300)+SUMPRODUCT((Закрытые!$E$5:$E$300=$B114)*(LEFT(Закрытые!$B$5:$B$300,2)="L-")*Закрытые!$I$5:$I$300*Закрытые!$J$5:$J$300))/F114)</f>
        <v/>
      </c>
      <c r="H114" s="247" t="str">
        <f>IF(F114="","",SUMIFS(Лэндинг!$K$5:$K$300,Лэндинг!$E$5:$E$300,$B114)+SUMIFS(Закрытые!$K$5:$K$300,Закрытые!$E$5:$E$300,$B114,Закрытые!$B$5:$B$300,"L-*"))</f>
        <v/>
      </c>
      <c r="I114" s="246" t="str">
        <f>IF($B114="","",IF(COUNTIFS(Лэндинг!$E$5:$E$300,$B114)+COUNTIFS(Закрытые!$E$5:$E$300,$B114,Закрытые!$B$5:$B$300,"L-*")=0,"",ROUND(SUMIFS(Лэндинг!$L$5:$L$300,Лэндинг!$E$5:$E$300,$B114)+SUMIFS(Закрытые!$L$5:$L$300,Закрытые!$E$5:$E$300,$B114,Закрытые!$B$5:$B$300,"L-*"),8)))</f>
        <v/>
      </c>
      <c r="J114" s="247" t="str">
        <f>IF($B114="","",IF(COUNTIFS(Лэндинг!$E$5:$E$300,$B114)+COUNTIFS(Закрытые!$E$5:$E$300,$B114,Закрытые!$B$5:$B$300,"L-*")=0,"",ROUND(SUMIFS(Лэндинг!$M$5:$M$300,Лэндинг!$E$5:$E$300,$B114)+SUMIFS(Закрытые!$M$5:$M$300,Закрытые!$E$5:$E$300,$B114,Закрытые!$B$5:$B$300,"L-*"),8)))</f>
        <v/>
      </c>
      <c r="K114" s="246" t="str">
        <f>IF(MIN(N(C114),N(F114))&lt;=0,"",ROUND(MIN(N(C114),N(F114))*(N(G114)-N(D114)),8))</f>
        <v/>
      </c>
      <c r="L114" s="183" t="str">
        <f>IF(MIN(N(C114),N(F114))&lt;=0,"",IF(N(D114)=0,"",ROUND((N(G114)/N(D114)-1)*100,2)))</f>
        <v/>
      </c>
      <c r="M114" s="183" t="str">
        <f>IF(OR(ROUND(N(C114)-N(F114),8)=0,1-N(Ввод!$J$19)/100&lt;=0),"",IF(N(C114)&gt;N(F114),(N(E114)-N(H114))/((N(C114)-N(F114))*(1-N(Ввод!$J$19)/100)),(N(H114)-N(E114))/((N(F114)-N(C114))*(1+N(Ввод!$J$19)/100))))</f>
        <v/>
      </c>
    </row>
    <row r="115" ht="22" customHeight="1">
      <c r="B115" s="239" t="n"/>
      <c r="C115" s="240" t="str">
        <f>IF(SUMIFS(Лэндинг!$F$5:$F$300,Лэндинг!$E$5:$E$300,$B115)+SUMIFS(Закрытые!$F$5:$F$300,Закрытые!$E$5:$E$300,$B115,Закрытые!$B$5:$B$300,"L-*")=0,"",SUMIFS(Лэндинг!$F$5:$F$300,Лэндинг!$E$5:$E$300,$B115)+SUMIFS(Закрытые!$F$5:$F$300,Закрытые!$E$5:$E$300,$B115,Закрытые!$B$5:$B$300,"L-*"))</f>
        <v/>
      </c>
      <c r="D115" s="177" t="str">
        <f>IF(C115="","",(SUMPRODUCT((Лэндинг!$E$5:$E$300=$B115)*Лэндинг!$F$5:$F$300*Лэндинг!$G$5:$G$300)+SUMPRODUCT((Закрытые!$E$5:$E$300=$B115)*(LEFT(Закрытые!$B$5:$B$300,2)="L-")*Закрытые!$F$5:$F$300*Закрытые!$G$5:$G$300))/C115)</f>
        <v/>
      </c>
      <c r="E115" s="241" t="str">
        <f>IF(C115="","",SUMIFS(Лэндинг!$H$5:$H$300,Лэндинг!$E$5:$E$300,$B115)+SUMIFS(Закрытые!$H$5:$H$300,Закрытые!$E$5:$E$300,$B115,Закрытые!$B$5:$B$300,"L-*"))</f>
        <v/>
      </c>
      <c r="F115" s="240" t="str">
        <f>IF(SUMIFS(Лэндинг!$I$5:$I$300,Лэндинг!$E$5:$E$300,$B115)+SUMIFS(Закрытые!$I$5:$I$300,Закрытые!$E$5:$E$300,$B115,Закрытые!$B$5:$B$300,"L-*")=0,"",SUMIFS(Лэндинг!$I$5:$I$300,Лэндинг!$E$5:$E$300,$B115)+SUMIFS(Закрытые!$I$5:$I$300,Закрытые!$E$5:$E$300,$B115,Закрытые!$B$5:$B$300,"L-*"))</f>
        <v/>
      </c>
      <c r="G115" s="177" t="str">
        <f>IF(F115="","",(SUMPRODUCT((Лэндинг!$E$5:$E$300=$B115)*Лэндинг!$I$5:$I$300*Лэндинг!$J$5:$J$300)+SUMPRODUCT((Закрытые!$E$5:$E$300=$B115)*(LEFT(Закрытые!$B$5:$B$300,2)="L-")*Закрытые!$I$5:$I$300*Закрытые!$J$5:$J$300))/F115)</f>
        <v/>
      </c>
      <c r="H115" s="241" t="str">
        <f>IF(F115="","",SUMIFS(Лэндинг!$K$5:$K$300,Лэндинг!$E$5:$E$300,$B115)+SUMIFS(Закрытые!$K$5:$K$300,Закрытые!$E$5:$E$300,$B115,Закрытые!$B$5:$B$300,"L-*"))</f>
        <v/>
      </c>
      <c r="I115" s="240" t="str">
        <f>IF($B115="","",IF(COUNTIFS(Лэндинг!$E$5:$E$300,$B115)+COUNTIFS(Закрытые!$E$5:$E$300,$B115,Закрытые!$B$5:$B$300,"L-*")=0,"",ROUND(SUMIFS(Лэндинг!$L$5:$L$300,Лэндинг!$E$5:$E$300,$B115)+SUMIFS(Закрытые!$L$5:$L$300,Закрытые!$E$5:$E$300,$B115,Закрытые!$B$5:$B$300,"L-*"),8)))</f>
        <v/>
      </c>
      <c r="J115" s="241" t="str">
        <f>IF($B115="","",IF(COUNTIFS(Лэндинг!$E$5:$E$300,$B115)+COUNTIFS(Закрытые!$E$5:$E$300,$B115,Закрытые!$B$5:$B$300,"L-*")=0,"",ROUND(SUMIFS(Лэндинг!$M$5:$M$300,Лэндинг!$E$5:$E$300,$B115)+SUMIFS(Закрытые!$M$5:$M$300,Закрытые!$E$5:$E$300,$B115,Закрытые!$B$5:$B$300,"L-*"),8)))</f>
        <v/>
      </c>
      <c r="K115" s="240" t="str">
        <f>IF(MIN(N(C115),N(F115))&lt;=0,"",ROUND(MIN(N(C115),N(F115))*(N(G115)-N(D115)),8))</f>
        <v/>
      </c>
      <c r="L115" s="177" t="str">
        <f>IF(MIN(N(C115),N(F115))&lt;=0,"",IF(N(D115)=0,"",ROUND((N(G115)/N(D115)-1)*100,2)))</f>
        <v/>
      </c>
      <c r="M115" s="177" t="str">
        <f>IF(OR(ROUND(N(C115)-N(F115),8)=0,1-N(Ввод!$J$19)/100&lt;=0),"",IF(N(C115)&gt;N(F115),(N(E115)-N(H115))/((N(C115)-N(F115))*(1-N(Ввод!$J$19)/100)),(N(H115)-N(E115))/((N(F115)-N(C115))*(1+N(Ввод!$J$19)/100))))</f>
        <v/>
      </c>
    </row>
    <row r="116" ht="22" customHeight="1">
      <c r="B116" s="245" t="n"/>
      <c r="C116" s="246" t="str">
        <f>IF(SUMIFS(Лэндинг!$F$5:$F$300,Лэндинг!$E$5:$E$300,$B116)+SUMIFS(Закрытые!$F$5:$F$300,Закрытые!$E$5:$E$300,$B116,Закрытые!$B$5:$B$300,"L-*")=0,"",SUMIFS(Лэндинг!$F$5:$F$300,Лэндинг!$E$5:$E$300,$B116)+SUMIFS(Закрытые!$F$5:$F$300,Закрытые!$E$5:$E$300,$B116,Закрытые!$B$5:$B$300,"L-*"))</f>
        <v/>
      </c>
      <c r="D116" s="183" t="str">
        <f>IF(C116="","",(SUMPRODUCT((Лэндинг!$E$5:$E$300=$B116)*Лэндинг!$F$5:$F$300*Лэндинг!$G$5:$G$300)+SUMPRODUCT((Закрытые!$E$5:$E$300=$B116)*(LEFT(Закрытые!$B$5:$B$300,2)="L-")*Закрытые!$F$5:$F$300*Закрытые!$G$5:$G$300))/C116)</f>
        <v/>
      </c>
      <c r="E116" s="247" t="str">
        <f>IF(C116="","",SUMIFS(Лэндинг!$H$5:$H$300,Лэндинг!$E$5:$E$300,$B116)+SUMIFS(Закрытые!$H$5:$H$300,Закрытые!$E$5:$E$300,$B116,Закрытые!$B$5:$B$300,"L-*"))</f>
        <v/>
      </c>
      <c r="F116" s="246" t="str">
        <f>IF(SUMIFS(Лэндинг!$I$5:$I$300,Лэндинг!$E$5:$E$300,$B116)+SUMIFS(Закрытые!$I$5:$I$300,Закрытые!$E$5:$E$300,$B116,Закрытые!$B$5:$B$300,"L-*")=0,"",SUMIFS(Лэндинг!$I$5:$I$300,Лэндинг!$E$5:$E$300,$B116)+SUMIFS(Закрытые!$I$5:$I$300,Закрытые!$E$5:$E$300,$B116,Закрытые!$B$5:$B$300,"L-*"))</f>
        <v/>
      </c>
      <c r="G116" s="183" t="str">
        <f>IF(F116="","",(SUMPRODUCT((Лэндинг!$E$5:$E$300=$B116)*Лэндинг!$I$5:$I$300*Лэндинг!$J$5:$J$300)+SUMPRODUCT((Закрытые!$E$5:$E$300=$B116)*(LEFT(Закрытые!$B$5:$B$300,2)="L-")*Закрытые!$I$5:$I$300*Закрытые!$J$5:$J$300))/F116)</f>
        <v/>
      </c>
      <c r="H116" s="247" t="str">
        <f>IF(F116="","",SUMIFS(Лэндинг!$K$5:$K$300,Лэндинг!$E$5:$E$300,$B116)+SUMIFS(Закрытые!$K$5:$K$300,Закрытые!$E$5:$E$300,$B116,Закрытые!$B$5:$B$300,"L-*"))</f>
        <v/>
      </c>
      <c r="I116" s="246" t="str">
        <f>IF($B116="","",IF(COUNTIFS(Лэндинг!$E$5:$E$300,$B116)+COUNTIFS(Закрытые!$E$5:$E$300,$B116,Закрытые!$B$5:$B$300,"L-*")=0,"",ROUND(SUMIFS(Лэндинг!$L$5:$L$300,Лэндинг!$E$5:$E$300,$B116)+SUMIFS(Закрытые!$L$5:$L$300,Закрытые!$E$5:$E$300,$B116,Закрытые!$B$5:$B$300,"L-*"),8)))</f>
        <v/>
      </c>
      <c r="J116" s="247" t="str">
        <f>IF($B116="","",IF(COUNTIFS(Лэндинг!$E$5:$E$300,$B116)+COUNTIFS(Закрытые!$E$5:$E$300,$B116,Закрытые!$B$5:$B$300,"L-*")=0,"",ROUND(SUMIFS(Лэндинг!$M$5:$M$300,Лэндинг!$E$5:$E$300,$B116)+SUMIFS(Закрытые!$M$5:$M$300,Закрытые!$E$5:$E$300,$B116,Закрытые!$B$5:$B$300,"L-*"),8)))</f>
        <v/>
      </c>
      <c r="K116" s="246" t="str">
        <f>IF(MIN(N(C116),N(F116))&lt;=0,"",ROUND(MIN(N(C116),N(F116))*(N(G116)-N(D116)),8))</f>
        <v/>
      </c>
      <c r="L116" s="183" t="str">
        <f>IF(MIN(N(C116),N(F116))&lt;=0,"",IF(N(D116)=0,"",ROUND((N(G116)/N(D116)-1)*100,2)))</f>
        <v/>
      </c>
      <c r="M116" s="183" t="str">
        <f>IF(OR(ROUND(N(C116)-N(F116),8)=0,1-N(Ввод!$J$19)/100&lt;=0),"",IF(N(C116)&gt;N(F116),(N(E116)-N(H116))/((N(C116)-N(F116))*(1-N(Ввод!$J$19)/100)),(N(H116)-N(E116))/((N(F116)-N(C116))*(1+N(Ввод!$J$19)/100))))</f>
        <v/>
      </c>
    </row>
    <row r="117" ht="22" customHeight="1">
      <c r="B117" s="239" t="n"/>
      <c r="C117" s="240" t="str">
        <f>IF(SUMIFS(Лэндинг!$F$5:$F$300,Лэндинг!$E$5:$E$300,$B117)+SUMIFS(Закрытые!$F$5:$F$300,Закрытые!$E$5:$E$300,$B117,Закрытые!$B$5:$B$300,"L-*")=0,"",SUMIFS(Лэндинг!$F$5:$F$300,Лэндинг!$E$5:$E$300,$B117)+SUMIFS(Закрытые!$F$5:$F$300,Закрытые!$E$5:$E$300,$B117,Закрытые!$B$5:$B$300,"L-*"))</f>
        <v/>
      </c>
      <c r="D117" s="177" t="str">
        <f>IF(C117="","",(SUMPRODUCT((Лэндинг!$E$5:$E$300=$B117)*Лэндинг!$F$5:$F$300*Лэндинг!$G$5:$G$300)+SUMPRODUCT((Закрытые!$E$5:$E$300=$B117)*(LEFT(Закрытые!$B$5:$B$300,2)="L-")*Закрытые!$F$5:$F$300*Закрытые!$G$5:$G$300))/C117)</f>
        <v/>
      </c>
      <c r="E117" s="241" t="str">
        <f>IF(C117="","",SUMIFS(Лэндинг!$H$5:$H$300,Лэндинг!$E$5:$E$300,$B117)+SUMIFS(Закрытые!$H$5:$H$300,Закрытые!$E$5:$E$300,$B117,Закрытые!$B$5:$B$300,"L-*"))</f>
        <v/>
      </c>
      <c r="F117" s="240" t="str">
        <f>IF(SUMIFS(Лэндинг!$I$5:$I$300,Лэндинг!$E$5:$E$300,$B117)+SUMIFS(Закрытые!$I$5:$I$300,Закрытые!$E$5:$E$300,$B117,Закрытые!$B$5:$B$300,"L-*")=0,"",SUMIFS(Лэндинг!$I$5:$I$300,Лэндинг!$E$5:$E$300,$B117)+SUMIFS(Закрытые!$I$5:$I$300,Закрытые!$E$5:$E$300,$B117,Закрытые!$B$5:$B$300,"L-*"))</f>
        <v/>
      </c>
      <c r="G117" s="177" t="str">
        <f>IF(F117="","",(SUMPRODUCT((Лэндинг!$E$5:$E$300=$B117)*Лэндинг!$I$5:$I$300*Лэндинг!$J$5:$J$300)+SUMPRODUCT((Закрытые!$E$5:$E$300=$B117)*(LEFT(Закрытые!$B$5:$B$300,2)="L-")*Закрытые!$I$5:$I$300*Закрытые!$J$5:$J$300))/F117)</f>
        <v/>
      </c>
      <c r="H117" s="241" t="str">
        <f>IF(F117="","",SUMIFS(Лэндинг!$K$5:$K$300,Лэндинг!$E$5:$E$300,$B117)+SUMIFS(Закрытые!$K$5:$K$300,Закрытые!$E$5:$E$300,$B117,Закрытые!$B$5:$B$300,"L-*"))</f>
        <v/>
      </c>
      <c r="I117" s="240" t="str">
        <f>IF($B117="","",IF(COUNTIFS(Лэндинг!$E$5:$E$300,$B117)+COUNTIFS(Закрытые!$E$5:$E$300,$B117,Закрытые!$B$5:$B$300,"L-*")=0,"",ROUND(SUMIFS(Лэндинг!$L$5:$L$300,Лэндинг!$E$5:$E$300,$B117)+SUMIFS(Закрытые!$L$5:$L$300,Закрытые!$E$5:$E$300,$B117,Закрытые!$B$5:$B$300,"L-*"),8)))</f>
        <v/>
      </c>
      <c r="J117" s="241" t="str">
        <f>IF($B117="","",IF(COUNTIFS(Лэндинг!$E$5:$E$300,$B117)+COUNTIFS(Закрытые!$E$5:$E$300,$B117,Закрытые!$B$5:$B$300,"L-*")=0,"",ROUND(SUMIFS(Лэндинг!$M$5:$M$300,Лэндинг!$E$5:$E$300,$B117)+SUMIFS(Закрытые!$M$5:$M$300,Закрытые!$E$5:$E$300,$B117,Закрытые!$B$5:$B$300,"L-*"),8)))</f>
        <v/>
      </c>
      <c r="K117" s="240" t="str">
        <f>IF(MIN(N(C117),N(F117))&lt;=0,"",ROUND(MIN(N(C117),N(F117))*(N(G117)-N(D117)),8))</f>
        <v/>
      </c>
      <c r="L117" s="177" t="str">
        <f>IF(MIN(N(C117),N(F117))&lt;=0,"",IF(N(D117)=0,"",ROUND((N(G117)/N(D117)-1)*100,2)))</f>
        <v/>
      </c>
      <c r="M117" s="177" t="str">
        <f>IF(OR(ROUND(N(C117)-N(F117),8)=0,1-N(Ввод!$J$19)/100&lt;=0),"",IF(N(C117)&gt;N(F117),(N(E117)-N(H117))/((N(C117)-N(F117))*(1-N(Ввод!$J$19)/100)),(N(H117)-N(E117))/((N(F117)-N(C117))*(1+N(Ввод!$J$19)/100))))</f>
        <v/>
      </c>
    </row>
    <row r="118" ht="22" customHeight="1">
      <c r="B118" s="245" t="n"/>
      <c r="C118" s="246" t="str">
        <f>IF(SUMIFS(Лэндинг!$F$5:$F$300,Лэндинг!$E$5:$E$300,$B118)+SUMIFS(Закрытые!$F$5:$F$300,Закрытые!$E$5:$E$300,$B118,Закрытые!$B$5:$B$300,"L-*")=0,"",SUMIFS(Лэндинг!$F$5:$F$300,Лэндинг!$E$5:$E$300,$B118)+SUMIFS(Закрытые!$F$5:$F$300,Закрытые!$E$5:$E$300,$B118,Закрытые!$B$5:$B$300,"L-*"))</f>
        <v/>
      </c>
      <c r="D118" s="183" t="str">
        <f>IF(C118="","",(SUMPRODUCT((Лэндинг!$E$5:$E$300=$B118)*Лэндинг!$F$5:$F$300*Лэндинг!$G$5:$G$300)+SUMPRODUCT((Закрытые!$E$5:$E$300=$B118)*(LEFT(Закрытые!$B$5:$B$300,2)="L-")*Закрытые!$F$5:$F$300*Закрытые!$G$5:$G$300))/C118)</f>
        <v/>
      </c>
      <c r="E118" s="247" t="str">
        <f>IF(C118="","",SUMIFS(Лэндинг!$H$5:$H$300,Лэндинг!$E$5:$E$300,$B118)+SUMIFS(Закрытые!$H$5:$H$300,Закрытые!$E$5:$E$300,$B118,Закрытые!$B$5:$B$300,"L-*"))</f>
        <v/>
      </c>
      <c r="F118" s="246" t="str">
        <f>IF(SUMIFS(Лэндинг!$I$5:$I$300,Лэндинг!$E$5:$E$300,$B118)+SUMIFS(Закрытые!$I$5:$I$300,Закрытые!$E$5:$E$300,$B118,Закрытые!$B$5:$B$300,"L-*")=0,"",SUMIFS(Лэндинг!$I$5:$I$300,Лэндинг!$E$5:$E$300,$B118)+SUMIFS(Закрытые!$I$5:$I$300,Закрытые!$E$5:$E$300,$B118,Закрытые!$B$5:$B$300,"L-*"))</f>
        <v/>
      </c>
      <c r="G118" s="183" t="str">
        <f>IF(F118="","",(SUMPRODUCT((Лэндинг!$E$5:$E$300=$B118)*Лэндинг!$I$5:$I$300*Лэндинг!$J$5:$J$300)+SUMPRODUCT((Закрытые!$E$5:$E$300=$B118)*(LEFT(Закрытые!$B$5:$B$300,2)="L-")*Закрытые!$I$5:$I$300*Закрытые!$J$5:$J$300))/F118)</f>
        <v/>
      </c>
      <c r="H118" s="247" t="str">
        <f>IF(F118="","",SUMIFS(Лэндинг!$K$5:$K$300,Лэндинг!$E$5:$E$300,$B118)+SUMIFS(Закрытые!$K$5:$K$300,Закрытые!$E$5:$E$300,$B118,Закрытые!$B$5:$B$300,"L-*"))</f>
        <v/>
      </c>
      <c r="I118" s="246" t="str">
        <f>IF($B118="","",IF(COUNTIFS(Лэндинг!$E$5:$E$300,$B118)+COUNTIFS(Закрытые!$E$5:$E$300,$B118,Закрытые!$B$5:$B$300,"L-*")=0,"",ROUND(SUMIFS(Лэндинг!$L$5:$L$300,Лэндинг!$E$5:$E$300,$B118)+SUMIFS(Закрытые!$L$5:$L$300,Закрытые!$E$5:$E$300,$B118,Закрытые!$B$5:$B$300,"L-*"),8)))</f>
        <v/>
      </c>
      <c r="J118" s="247" t="str">
        <f>IF($B118="","",IF(COUNTIFS(Лэндинг!$E$5:$E$300,$B118)+COUNTIFS(Закрытые!$E$5:$E$300,$B118,Закрытые!$B$5:$B$300,"L-*")=0,"",ROUND(SUMIFS(Лэндинг!$M$5:$M$300,Лэндинг!$E$5:$E$300,$B118)+SUMIFS(Закрытые!$M$5:$M$300,Закрытые!$E$5:$E$300,$B118,Закрытые!$B$5:$B$300,"L-*"),8)))</f>
        <v/>
      </c>
      <c r="K118" s="246" t="str">
        <f>IF(MIN(N(C118),N(F118))&lt;=0,"",ROUND(MIN(N(C118),N(F118))*(N(G118)-N(D118)),8))</f>
        <v/>
      </c>
      <c r="L118" s="183" t="str">
        <f>IF(MIN(N(C118),N(F118))&lt;=0,"",IF(N(D118)=0,"",ROUND((N(G118)/N(D118)-1)*100,2)))</f>
        <v/>
      </c>
      <c r="M118" s="183" t="str">
        <f>IF(OR(ROUND(N(C118)-N(F118),8)=0,1-N(Ввод!$J$19)/100&lt;=0),"",IF(N(C118)&gt;N(F118),(N(E118)-N(H118))/((N(C118)-N(F118))*(1-N(Ввод!$J$19)/100)),(N(H118)-N(E118))/((N(F118)-N(C118))*(1+N(Ввод!$J$19)/100))))</f>
        <v/>
      </c>
    </row>
    <row r="119" ht="22" customHeight="1">
      <c r="B119" s="239" t="n"/>
      <c r="C119" s="240" t="str">
        <f>IF(SUMIFS(Лэндинг!$F$5:$F$300,Лэндинг!$E$5:$E$300,$B119)+SUMIFS(Закрытые!$F$5:$F$300,Закрытые!$E$5:$E$300,$B119,Закрытые!$B$5:$B$300,"L-*")=0,"",SUMIFS(Лэндинг!$F$5:$F$300,Лэндинг!$E$5:$E$300,$B119)+SUMIFS(Закрытые!$F$5:$F$300,Закрытые!$E$5:$E$300,$B119,Закрытые!$B$5:$B$300,"L-*"))</f>
        <v/>
      </c>
      <c r="D119" s="177" t="str">
        <f>IF(C119="","",(SUMPRODUCT((Лэндинг!$E$5:$E$300=$B119)*Лэндинг!$F$5:$F$300*Лэндинг!$G$5:$G$300)+SUMPRODUCT((Закрытые!$E$5:$E$300=$B119)*(LEFT(Закрытые!$B$5:$B$300,2)="L-")*Закрытые!$F$5:$F$300*Закрытые!$G$5:$G$300))/C119)</f>
        <v/>
      </c>
      <c r="E119" s="241" t="str">
        <f>IF(C119="","",SUMIFS(Лэндинг!$H$5:$H$300,Лэндинг!$E$5:$E$300,$B119)+SUMIFS(Закрытые!$H$5:$H$300,Закрытые!$E$5:$E$300,$B119,Закрытые!$B$5:$B$300,"L-*"))</f>
        <v/>
      </c>
      <c r="F119" s="240" t="str">
        <f>IF(SUMIFS(Лэндинг!$I$5:$I$300,Лэндинг!$E$5:$E$300,$B119)+SUMIFS(Закрытые!$I$5:$I$300,Закрытые!$E$5:$E$300,$B119,Закрытые!$B$5:$B$300,"L-*")=0,"",SUMIFS(Лэндинг!$I$5:$I$300,Лэндинг!$E$5:$E$300,$B119)+SUMIFS(Закрытые!$I$5:$I$300,Закрытые!$E$5:$E$300,$B119,Закрытые!$B$5:$B$300,"L-*"))</f>
        <v/>
      </c>
      <c r="G119" s="177" t="str">
        <f>IF(F119="","",(SUMPRODUCT((Лэндинг!$E$5:$E$300=$B119)*Лэндинг!$I$5:$I$300*Лэндинг!$J$5:$J$300)+SUMPRODUCT((Закрытые!$E$5:$E$300=$B119)*(LEFT(Закрытые!$B$5:$B$300,2)="L-")*Закрытые!$I$5:$I$300*Закрытые!$J$5:$J$300))/F119)</f>
        <v/>
      </c>
      <c r="H119" s="241" t="str">
        <f>IF(F119="","",SUMIFS(Лэндинг!$K$5:$K$300,Лэндинг!$E$5:$E$300,$B119)+SUMIFS(Закрытые!$K$5:$K$300,Закрытые!$E$5:$E$300,$B119,Закрытые!$B$5:$B$300,"L-*"))</f>
        <v/>
      </c>
      <c r="I119" s="240" t="str">
        <f>IF($B119="","",IF(COUNTIFS(Лэндинг!$E$5:$E$300,$B119)+COUNTIFS(Закрытые!$E$5:$E$300,$B119,Закрытые!$B$5:$B$300,"L-*")=0,"",ROUND(SUMIFS(Лэндинг!$L$5:$L$300,Лэндинг!$E$5:$E$300,$B119)+SUMIFS(Закрытые!$L$5:$L$300,Закрытые!$E$5:$E$300,$B119,Закрытые!$B$5:$B$300,"L-*"),8)))</f>
        <v/>
      </c>
      <c r="J119" s="241" t="str">
        <f>IF($B119="","",IF(COUNTIFS(Лэндинг!$E$5:$E$300,$B119)+COUNTIFS(Закрытые!$E$5:$E$300,$B119,Закрытые!$B$5:$B$300,"L-*")=0,"",ROUND(SUMIFS(Лэндинг!$M$5:$M$300,Лэндинг!$E$5:$E$300,$B119)+SUMIFS(Закрытые!$M$5:$M$300,Закрытые!$E$5:$E$300,$B119,Закрытые!$B$5:$B$300,"L-*"),8)))</f>
        <v/>
      </c>
      <c r="K119" s="240" t="str">
        <f>IF(MIN(N(C119),N(F119))&lt;=0,"",ROUND(MIN(N(C119),N(F119))*(N(G119)-N(D119)),8))</f>
        <v/>
      </c>
      <c r="L119" s="177" t="str">
        <f>IF(MIN(N(C119),N(F119))&lt;=0,"",IF(N(D119)=0,"",ROUND((N(G119)/N(D119)-1)*100,2)))</f>
        <v/>
      </c>
      <c r="M119" s="177" t="str">
        <f>IF(OR(ROUND(N(C119)-N(F119),8)=0,1-N(Ввод!$J$19)/100&lt;=0),"",IF(N(C119)&gt;N(F119),(N(E119)-N(H119))/((N(C119)-N(F119))*(1-N(Ввод!$J$19)/100)),(N(H119)-N(E119))/((N(F119)-N(C119))*(1+N(Ввод!$J$19)/100))))</f>
        <v/>
      </c>
    </row>
    <row r="120" ht="22" customHeight="1">
      <c r="B120" s="245" t="n"/>
      <c r="C120" s="246" t="str">
        <f>IF(SUMIFS(Лэндинг!$F$5:$F$300,Лэндинг!$E$5:$E$300,$B120)+SUMIFS(Закрытые!$F$5:$F$300,Закрытые!$E$5:$E$300,$B120,Закрытые!$B$5:$B$300,"L-*")=0,"",SUMIFS(Лэндинг!$F$5:$F$300,Лэндинг!$E$5:$E$300,$B120)+SUMIFS(Закрытые!$F$5:$F$300,Закрытые!$E$5:$E$300,$B120,Закрытые!$B$5:$B$300,"L-*"))</f>
        <v/>
      </c>
      <c r="D120" s="183" t="str">
        <f>IF(C120="","",(SUMPRODUCT((Лэндинг!$E$5:$E$300=$B120)*Лэндинг!$F$5:$F$300*Лэндинг!$G$5:$G$300)+SUMPRODUCT((Закрытые!$E$5:$E$300=$B120)*(LEFT(Закрытые!$B$5:$B$300,2)="L-")*Закрытые!$F$5:$F$300*Закрытые!$G$5:$G$300))/C120)</f>
        <v/>
      </c>
      <c r="E120" s="247" t="str">
        <f>IF(C120="","",SUMIFS(Лэндинг!$H$5:$H$300,Лэндинг!$E$5:$E$300,$B120)+SUMIFS(Закрытые!$H$5:$H$300,Закрытые!$E$5:$E$300,$B120,Закрытые!$B$5:$B$300,"L-*"))</f>
        <v/>
      </c>
      <c r="F120" s="246" t="str">
        <f>IF(SUMIFS(Лэндинг!$I$5:$I$300,Лэндинг!$E$5:$E$300,$B120)+SUMIFS(Закрытые!$I$5:$I$300,Закрытые!$E$5:$E$300,$B120,Закрытые!$B$5:$B$300,"L-*")=0,"",SUMIFS(Лэндинг!$I$5:$I$300,Лэндинг!$E$5:$E$300,$B120)+SUMIFS(Закрытые!$I$5:$I$300,Закрытые!$E$5:$E$300,$B120,Закрытые!$B$5:$B$300,"L-*"))</f>
        <v/>
      </c>
      <c r="G120" s="183" t="str">
        <f>IF(F120="","",(SUMPRODUCT((Лэндинг!$E$5:$E$300=$B120)*Лэндинг!$I$5:$I$300*Лэндинг!$J$5:$J$300)+SUMPRODUCT((Закрытые!$E$5:$E$300=$B120)*(LEFT(Закрытые!$B$5:$B$300,2)="L-")*Закрытые!$I$5:$I$300*Закрытые!$J$5:$J$300))/F120)</f>
        <v/>
      </c>
      <c r="H120" s="247" t="str">
        <f>IF(F120="","",SUMIFS(Лэндинг!$K$5:$K$300,Лэндинг!$E$5:$E$300,$B120)+SUMIFS(Закрытые!$K$5:$K$300,Закрытые!$E$5:$E$300,$B120,Закрытые!$B$5:$B$300,"L-*"))</f>
        <v/>
      </c>
      <c r="I120" s="246" t="str">
        <f>IF($B120="","",IF(COUNTIFS(Лэндинг!$E$5:$E$300,$B120)+COUNTIFS(Закрытые!$E$5:$E$300,$B120,Закрытые!$B$5:$B$300,"L-*")=0,"",ROUND(SUMIFS(Лэндинг!$L$5:$L$300,Лэндинг!$E$5:$E$300,$B120)+SUMIFS(Закрытые!$L$5:$L$300,Закрытые!$E$5:$E$300,$B120,Закрытые!$B$5:$B$300,"L-*"),8)))</f>
        <v/>
      </c>
      <c r="J120" s="247" t="str">
        <f>IF($B120="","",IF(COUNTIFS(Лэндинг!$E$5:$E$300,$B120)+COUNTIFS(Закрытые!$E$5:$E$300,$B120,Закрытые!$B$5:$B$300,"L-*")=0,"",ROUND(SUMIFS(Лэндинг!$M$5:$M$300,Лэндинг!$E$5:$E$300,$B120)+SUMIFS(Закрытые!$M$5:$M$300,Закрытые!$E$5:$E$300,$B120,Закрытые!$B$5:$B$300,"L-*"),8)))</f>
        <v/>
      </c>
      <c r="K120" s="246" t="str">
        <f>IF(MIN(N(C120),N(F120))&lt;=0,"",ROUND(MIN(N(C120),N(F120))*(N(G120)-N(D120)),8))</f>
        <v/>
      </c>
      <c r="L120" s="183" t="str">
        <f>IF(MIN(N(C120),N(F120))&lt;=0,"",IF(N(D120)=0,"",ROUND((N(G120)/N(D120)-1)*100,2)))</f>
        <v/>
      </c>
      <c r="M120" s="183" t="str">
        <f>IF(OR(ROUND(N(C120)-N(F120),8)=0,1-N(Ввод!$J$19)/100&lt;=0),"",IF(N(C120)&gt;N(F120),(N(E120)-N(H120))/((N(C120)-N(F120))*(1-N(Ввод!$J$19)/100)),(N(H120)-N(E120))/((N(F120)-N(C120))*(1+N(Ввод!$J$19)/100))))</f>
        <v/>
      </c>
    </row>
    <row r="121" ht="22" customHeight="1">
      <c r="B121" s="239" t="n"/>
      <c r="C121" s="240" t="str">
        <f>IF(SUMIFS(Лэндинг!$F$5:$F$300,Лэндинг!$E$5:$E$300,$B121)+SUMIFS(Закрытые!$F$5:$F$300,Закрытые!$E$5:$E$300,$B121,Закрытые!$B$5:$B$300,"L-*")=0,"",SUMIFS(Лэндинг!$F$5:$F$300,Лэндинг!$E$5:$E$300,$B121)+SUMIFS(Закрытые!$F$5:$F$300,Закрытые!$E$5:$E$300,$B121,Закрытые!$B$5:$B$300,"L-*"))</f>
        <v/>
      </c>
      <c r="D121" s="177" t="str">
        <f>IF(C121="","",(SUMPRODUCT((Лэндинг!$E$5:$E$300=$B121)*Лэндинг!$F$5:$F$300*Лэндинг!$G$5:$G$300)+SUMPRODUCT((Закрытые!$E$5:$E$300=$B121)*(LEFT(Закрытые!$B$5:$B$300,2)="L-")*Закрытые!$F$5:$F$300*Закрытые!$G$5:$G$300))/C121)</f>
        <v/>
      </c>
      <c r="E121" s="241" t="str">
        <f>IF(C121="","",SUMIFS(Лэндинг!$H$5:$H$300,Лэндинг!$E$5:$E$300,$B121)+SUMIFS(Закрытые!$H$5:$H$300,Закрытые!$E$5:$E$300,$B121,Закрытые!$B$5:$B$300,"L-*"))</f>
        <v/>
      </c>
      <c r="F121" s="240" t="str">
        <f>IF(SUMIFS(Лэндинг!$I$5:$I$300,Лэндинг!$E$5:$E$300,$B121)+SUMIFS(Закрытые!$I$5:$I$300,Закрытые!$E$5:$E$300,$B121,Закрытые!$B$5:$B$300,"L-*")=0,"",SUMIFS(Лэндинг!$I$5:$I$300,Лэндинг!$E$5:$E$300,$B121)+SUMIFS(Закрытые!$I$5:$I$300,Закрытые!$E$5:$E$300,$B121,Закрытые!$B$5:$B$300,"L-*"))</f>
        <v/>
      </c>
      <c r="G121" s="177" t="str">
        <f>IF(F121="","",(SUMPRODUCT((Лэндинг!$E$5:$E$300=$B121)*Лэндинг!$I$5:$I$300*Лэндинг!$J$5:$J$300)+SUMPRODUCT((Закрытые!$E$5:$E$300=$B121)*(LEFT(Закрытые!$B$5:$B$300,2)="L-")*Закрытые!$I$5:$I$300*Закрытые!$J$5:$J$300))/F121)</f>
        <v/>
      </c>
      <c r="H121" s="241" t="str">
        <f>IF(F121="","",SUMIFS(Лэндинг!$K$5:$K$300,Лэндинг!$E$5:$E$300,$B121)+SUMIFS(Закрытые!$K$5:$K$300,Закрытые!$E$5:$E$300,$B121,Закрытые!$B$5:$B$300,"L-*"))</f>
        <v/>
      </c>
      <c r="I121" s="240" t="str">
        <f>IF($B121="","",IF(COUNTIFS(Лэндинг!$E$5:$E$300,$B121)+COUNTIFS(Закрытые!$E$5:$E$300,$B121,Закрытые!$B$5:$B$300,"L-*")=0,"",ROUND(SUMIFS(Лэндинг!$L$5:$L$300,Лэндинг!$E$5:$E$300,$B121)+SUMIFS(Закрытые!$L$5:$L$300,Закрытые!$E$5:$E$300,$B121,Закрытые!$B$5:$B$300,"L-*"),8)))</f>
        <v/>
      </c>
      <c r="J121" s="241" t="str">
        <f>IF($B121="","",IF(COUNTIFS(Лэндинг!$E$5:$E$300,$B121)+COUNTIFS(Закрытые!$E$5:$E$300,$B121,Закрытые!$B$5:$B$300,"L-*")=0,"",ROUND(SUMIFS(Лэндинг!$M$5:$M$300,Лэндинг!$E$5:$E$300,$B121)+SUMIFS(Закрытые!$M$5:$M$300,Закрытые!$E$5:$E$300,$B121,Закрытые!$B$5:$B$300,"L-*"),8)))</f>
        <v/>
      </c>
      <c r="K121" s="240" t="str">
        <f>IF(MIN(N(C121),N(F121))&lt;=0,"",ROUND(MIN(N(C121),N(F121))*(N(G121)-N(D121)),8))</f>
        <v/>
      </c>
      <c r="L121" s="177" t="str">
        <f>IF(MIN(N(C121),N(F121))&lt;=0,"",IF(N(D121)=0,"",ROUND((N(G121)/N(D121)-1)*100,2)))</f>
        <v/>
      </c>
      <c r="M121" s="177" t="str">
        <f>IF(OR(ROUND(N(C121)-N(F121),8)=0,1-N(Ввод!$J$19)/100&lt;=0),"",IF(N(C121)&gt;N(F121),(N(E121)-N(H121))/((N(C121)-N(F121))*(1-N(Ввод!$J$19)/100)),(N(H121)-N(E121))/((N(F121)-N(C121))*(1+N(Ввод!$J$19)/100))))</f>
        <v/>
      </c>
    </row>
    <row r="122" ht="22" customHeight="1">
      <c r="B122" s="245" t="n"/>
      <c r="C122" s="246" t="str">
        <f>IF(SUMIFS(Лэндинг!$F$5:$F$300,Лэндинг!$E$5:$E$300,$B122)+SUMIFS(Закрытые!$F$5:$F$300,Закрытые!$E$5:$E$300,$B122,Закрытые!$B$5:$B$300,"L-*")=0,"",SUMIFS(Лэндинг!$F$5:$F$300,Лэндинг!$E$5:$E$300,$B122)+SUMIFS(Закрытые!$F$5:$F$300,Закрытые!$E$5:$E$300,$B122,Закрытые!$B$5:$B$300,"L-*"))</f>
        <v/>
      </c>
      <c r="D122" s="183" t="str">
        <f>IF(C122="","",(SUMPRODUCT((Лэндинг!$E$5:$E$300=$B122)*Лэндинг!$F$5:$F$300*Лэндинг!$G$5:$G$300)+SUMPRODUCT((Закрытые!$E$5:$E$300=$B122)*(LEFT(Закрытые!$B$5:$B$300,2)="L-")*Закрытые!$F$5:$F$300*Закрытые!$G$5:$G$300))/C122)</f>
        <v/>
      </c>
      <c r="E122" s="247" t="str">
        <f>IF(C122="","",SUMIFS(Лэндинг!$H$5:$H$300,Лэндинг!$E$5:$E$300,$B122)+SUMIFS(Закрытые!$H$5:$H$300,Закрытые!$E$5:$E$300,$B122,Закрытые!$B$5:$B$300,"L-*"))</f>
        <v/>
      </c>
      <c r="F122" s="246" t="str">
        <f>IF(SUMIFS(Лэндинг!$I$5:$I$300,Лэндинг!$E$5:$E$300,$B122)+SUMIFS(Закрытые!$I$5:$I$300,Закрытые!$E$5:$E$300,$B122,Закрытые!$B$5:$B$300,"L-*")=0,"",SUMIFS(Лэндинг!$I$5:$I$300,Лэндинг!$E$5:$E$300,$B122)+SUMIFS(Закрытые!$I$5:$I$300,Закрытые!$E$5:$E$300,$B122,Закрытые!$B$5:$B$300,"L-*"))</f>
        <v/>
      </c>
      <c r="G122" s="183" t="str">
        <f>IF(F122="","",(SUMPRODUCT((Лэндинг!$E$5:$E$300=$B122)*Лэндинг!$I$5:$I$300*Лэндинг!$J$5:$J$300)+SUMPRODUCT((Закрытые!$E$5:$E$300=$B122)*(LEFT(Закрытые!$B$5:$B$300,2)="L-")*Закрытые!$I$5:$I$300*Закрытые!$J$5:$J$300))/F122)</f>
        <v/>
      </c>
      <c r="H122" s="247" t="str">
        <f>IF(F122="","",SUMIFS(Лэндинг!$K$5:$K$300,Лэндинг!$E$5:$E$300,$B122)+SUMIFS(Закрытые!$K$5:$K$300,Закрытые!$E$5:$E$300,$B122,Закрытые!$B$5:$B$300,"L-*"))</f>
        <v/>
      </c>
      <c r="I122" s="246" t="str">
        <f>IF($B122="","",IF(COUNTIFS(Лэндинг!$E$5:$E$300,$B122)+COUNTIFS(Закрытые!$E$5:$E$300,$B122,Закрытые!$B$5:$B$300,"L-*")=0,"",ROUND(SUMIFS(Лэндинг!$L$5:$L$300,Лэндинг!$E$5:$E$300,$B122)+SUMIFS(Закрытые!$L$5:$L$300,Закрытые!$E$5:$E$300,$B122,Закрытые!$B$5:$B$300,"L-*"),8)))</f>
        <v/>
      </c>
      <c r="J122" s="247" t="str">
        <f>IF($B122="","",IF(COUNTIFS(Лэндинг!$E$5:$E$300,$B122)+COUNTIFS(Закрытые!$E$5:$E$300,$B122,Закрытые!$B$5:$B$300,"L-*")=0,"",ROUND(SUMIFS(Лэндинг!$M$5:$M$300,Лэндинг!$E$5:$E$300,$B122)+SUMIFS(Закрытые!$M$5:$M$300,Закрытые!$E$5:$E$300,$B122,Закрытые!$B$5:$B$300,"L-*"),8)))</f>
        <v/>
      </c>
      <c r="K122" s="246" t="str">
        <f>IF(MIN(N(C122),N(F122))&lt;=0,"",ROUND(MIN(N(C122),N(F122))*(N(G122)-N(D122)),8))</f>
        <v/>
      </c>
      <c r="L122" s="183" t="str">
        <f>IF(MIN(N(C122),N(F122))&lt;=0,"",IF(N(D122)=0,"",ROUND((N(G122)/N(D122)-1)*100,2)))</f>
        <v/>
      </c>
      <c r="M122" s="183" t="str">
        <f>IF(OR(ROUND(N(C122)-N(F122),8)=0,1-N(Ввод!$J$19)/100&lt;=0),"",IF(N(C122)&gt;N(F122),(N(E122)-N(H122))/((N(C122)-N(F122))*(1-N(Ввод!$J$19)/100)),(N(H122)-N(E122))/((N(F122)-N(C122))*(1+N(Ввод!$J$19)/100))))</f>
        <v/>
      </c>
    </row>
    <row r="123" ht="22" customHeight="1">
      <c r="B123" s="239" t="n"/>
      <c r="C123" s="240" t="str">
        <f>IF(SUMIFS(Лэндинг!$F$5:$F$300,Лэндинг!$E$5:$E$300,$B123)+SUMIFS(Закрытые!$F$5:$F$300,Закрытые!$E$5:$E$300,$B123,Закрытые!$B$5:$B$300,"L-*")=0,"",SUMIFS(Лэндинг!$F$5:$F$300,Лэндинг!$E$5:$E$300,$B123)+SUMIFS(Закрытые!$F$5:$F$300,Закрытые!$E$5:$E$300,$B123,Закрытые!$B$5:$B$300,"L-*"))</f>
        <v/>
      </c>
      <c r="D123" s="177" t="str">
        <f>IF(C123="","",(SUMPRODUCT((Лэндинг!$E$5:$E$300=$B123)*Лэндинг!$F$5:$F$300*Лэндинг!$G$5:$G$300)+SUMPRODUCT((Закрытые!$E$5:$E$300=$B123)*(LEFT(Закрытые!$B$5:$B$300,2)="L-")*Закрытые!$F$5:$F$300*Закрытые!$G$5:$G$300))/C123)</f>
        <v/>
      </c>
      <c r="E123" s="241" t="str">
        <f>IF(C123="","",SUMIFS(Лэндинг!$H$5:$H$300,Лэндинг!$E$5:$E$300,$B123)+SUMIFS(Закрытые!$H$5:$H$300,Закрытые!$E$5:$E$300,$B123,Закрытые!$B$5:$B$300,"L-*"))</f>
        <v/>
      </c>
      <c r="F123" s="240" t="str">
        <f>IF(SUMIFS(Лэндинг!$I$5:$I$300,Лэндинг!$E$5:$E$300,$B123)+SUMIFS(Закрытые!$I$5:$I$300,Закрытые!$E$5:$E$300,$B123,Закрытые!$B$5:$B$300,"L-*")=0,"",SUMIFS(Лэндинг!$I$5:$I$300,Лэндинг!$E$5:$E$300,$B123)+SUMIFS(Закрытые!$I$5:$I$300,Закрытые!$E$5:$E$300,$B123,Закрытые!$B$5:$B$300,"L-*"))</f>
        <v/>
      </c>
      <c r="G123" s="177" t="str">
        <f>IF(F123="","",(SUMPRODUCT((Лэндинг!$E$5:$E$300=$B123)*Лэндинг!$I$5:$I$300*Лэндинг!$J$5:$J$300)+SUMPRODUCT((Закрытые!$E$5:$E$300=$B123)*(LEFT(Закрытые!$B$5:$B$300,2)="L-")*Закрытые!$I$5:$I$300*Закрытые!$J$5:$J$300))/F123)</f>
        <v/>
      </c>
      <c r="H123" s="241" t="str">
        <f>IF(F123="","",SUMIFS(Лэндинг!$K$5:$K$300,Лэндинг!$E$5:$E$300,$B123)+SUMIFS(Закрытые!$K$5:$K$300,Закрытые!$E$5:$E$300,$B123,Закрытые!$B$5:$B$300,"L-*"))</f>
        <v/>
      </c>
      <c r="I123" s="240" t="str">
        <f>IF($B123="","",IF(COUNTIFS(Лэндинг!$E$5:$E$300,$B123)+COUNTIFS(Закрытые!$E$5:$E$300,$B123,Закрытые!$B$5:$B$300,"L-*")=0,"",ROUND(SUMIFS(Лэндинг!$L$5:$L$300,Лэндинг!$E$5:$E$300,$B123)+SUMIFS(Закрытые!$L$5:$L$300,Закрытые!$E$5:$E$300,$B123,Закрытые!$B$5:$B$300,"L-*"),8)))</f>
        <v/>
      </c>
      <c r="J123" s="241" t="str">
        <f>IF($B123="","",IF(COUNTIFS(Лэндинг!$E$5:$E$300,$B123)+COUNTIFS(Закрытые!$E$5:$E$300,$B123,Закрытые!$B$5:$B$300,"L-*")=0,"",ROUND(SUMIFS(Лэндинг!$M$5:$M$300,Лэндинг!$E$5:$E$300,$B123)+SUMIFS(Закрытые!$M$5:$M$300,Закрытые!$E$5:$E$300,$B123,Закрытые!$B$5:$B$300,"L-*"),8)))</f>
        <v/>
      </c>
      <c r="K123" s="240" t="str">
        <f>IF(MIN(N(C123),N(F123))&lt;=0,"",ROUND(MIN(N(C123),N(F123))*(N(G123)-N(D123)),8))</f>
        <v/>
      </c>
      <c r="L123" s="177" t="str">
        <f>IF(MIN(N(C123),N(F123))&lt;=0,"",IF(N(D123)=0,"",ROUND((N(G123)/N(D123)-1)*100,2)))</f>
        <v/>
      </c>
      <c r="M123" s="177" t="str">
        <f>IF(OR(ROUND(N(C123)-N(F123),8)=0,1-N(Ввод!$J$19)/100&lt;=0),"",IF(N(C123)&gt;N(F123),(N(E123)-N(H123))/((N(C123)-N(F123))*(1-N(Ввод!$J$19)/100)),(N(H123)-N(E123))/((N(F123)-N(C123))*(1+N(Ввод!$J$19)/100))))</f>
        <v/>
      </c>
    </row>
    <row r="124" ht="22" customHeight="1">
      <c r="B124" s="245" t="n"/>
      <c r="C124" s="246" t="str">
        <f>IF(SUMIFS(Лэндинг!$F$5:$F$300,Лэндинг!$E$5:$E$300,$B124)+SUMIFS(Закрытые!$F$5:$F$300,Закрытые!$E$5:$E$300,$B124,Закрытые!$B$5:$B$300,"L-*")=0,"",SUMIFS(Лэндинг!$F$5:$F$300,Лэндинг!$E$5:$E$300,$B124)+SUMIFS(Закрытые!$F$5:$F$300,Закрытые!$E$5:$E$300,$B124,Закрытые!$B$5:$B$300,"L-*"))</f>
        <v/>
      </c>
      <c r="D124" s="183" t="str">
        <f>IF(C124="","",(SUMPRODUCT((Лэндинг!$E$5:$E$300=$B124)*Лэндинг!$F$5:$F$300*Лэндинг!$G$5:$G$300)+SUMPRODUCT((Закрытые!$E$5:$E$300=$B124)*(LEFT(Закрытые!$B$5:$B$300,2)="L-")*Закрытые!$F$5:$F$300*Закрытые!$G$5:$G$300))/C124)</f>
        <v/>
      </c>
      <c r="E124" s="247" t="str">
        <f>IF(C124="","",SUMIFS(Лэндинг!$H$5:$H$300,Лэндинг!$E$5:$E$300,$B124)+SUMIFS(Закрытые!$H$5:$H$300,Закрытые!$E$5:$E$300,$B124,Закрытые!$B$5:$B$300,"L-*"))</f>
        <v/>
      </c>
      <c r="F124" s="246" t="str">
        <f>IF(SUMIFS(Лэндинг!$I$5:$I$300,Лэндинг!$E$5:$E$300,$B124)+SUMIFS(Закрытые!$I$5:$I$300,Закрытые!$E$5:$E$300,$B124,Закрытые!$B$5:$B$300,"L-*")=0,"",SUMIFS(Лэндинг!$I$5:$I$300,Лэндинг!$E$5:$E$300,$B124)+SUMIFS(Закрытые!$I$5:$I$300,Закрытые!$E$5:$E$300,$B124,Закрытые!$B$5:$B$300,"L-*"))</f>
        <v/>
      </c>
      <c r="G124" s="183" t="str">
        <f>IF(F124="","",(SUMPRODUCT((Лэндинг!$E$5:$E$300=$B124)*Лэндинг!$I$5:$I$300*Лэндинг!$J$5:$J$300)+SUMPRODUCT((Закрытые!$E$5:$E$300=$B124)*(LEFT(Закрытые!$B$5:$B$300,2)="L-")*Закрытые!$I$5:$I$300*Закрытые!$J$5:$J$300))/F124)</f>
        <v/>
      </c>
      <c r="H124" s="247" t="str">
        <f>IF(F124="","",SUMIFS(Лэндинг!$K$5:$K$300,Лэндинг!$E$5:$E$300,$B124)+SUMIFS(Закрытые!$K$5:$K$300,Закрытые!$E$5:$E$300,$B124,Закрытые!$B$5:$B$300,"L-*"))</f>
        <v/>
      </c>
      <c r="I124" s="246" t="str">
        <f>IF($B124="","",IF(COUNTIFS(Лэндинг!$E$5:$E$300,$B124)+COUNTIFS(Закрытые!$E$5:$E$300,$B124,Закрытые!$B$5:$B$300,"L-*")=0,"",ROUND(SUMIFS(Лэндинг!$L$5:$L$300,Лэндинг!$E$5:$E$300,$B124)+SUMIFS(Закрытые!$L$5:$L$300,Закрытые!$E$5:$E$300,$B124,Закрытые!$B$5:$B$300,"L-*"),8)))</f>
        <v/>
      </c>
      <c r="J124" s="247" t="str">
        <f>IF($B124="","",IF(COUNTIFS(Лэндинг!$E$5:$E$300,$B124)+COUNTIFS(Закрытые!$E$5:$E$300,$B124,Закрытые!$B$5:$B$300,"L-*")=0,"",ROUND(SUMIFS(Лэндинг!$M$5:$M$300,Лэндинг!$E$5:$E$300,$B124)+SUMIFS(Закрытые!$M$5:$M$300,Закрытые!$E$5:$E$300,$B124,Закрытые!$B$5:$B$300,"L-*"),8)))</f>
        <v/>
      </c>
      <c r="K124" s="246" t="str">
        <f>IF(MIN(N(C124),N(F124))&lt;=0,"",ROUND(MIN(N(C124),N(F124))*(N(G124)-N(D124)),8))</f>
        <v/>
      </c>
      <c r="L124" s="183" t="str">
        <f>IF(MIN(N(C124),N(F124))&lt;=0,"",IF(N(D124)=0,"",ROUND((N(G124)/N(D124)-1)*100,2)))</f>
        <v/>
      </c>
      <c r="M124" s="183" t="str">
        <f>IF(OR(ROUND(N(C124)-N(F124),8)=0,1-N(Ввод!$J$19)/100&lt;=0),"",IF(N(C124)&gt;N(F124),(N(E124)-N(H124))/((N(C124)-N(F124))*(1-N(Ввод!$J$19)/100)),(N(H124)-N(E124))/((N(F124)-N(C124))*(1+N(Ввод!$J$19)/100))))</f>
        <v/>
      </c>
    </row>
    <row r="125" ht="22" customHeight="1">
      <c r="B125" s="239" t="n"/>
      <c r="C125" s="240" t="str">
        <f>IF(SUMIFS(Лэндинг!$F$5:$F$300,Лэндинг!$E$5:$E$300,$B125)+SUMIFS(Закрытые!$F$5:$F$300,Закрытые!$E$5:$E$300,$B125,Закрытые!$B$5:$B$300,"L-*")=0,"",SUMIFS(Лэндинг!$F$5:$F$300,Лэндинг!$E$5:$E$300,$B125)+SUMIFS(Закрытые!$F$5:$F$300,Закрытые!$E$5:$E$300,$B125,Закрытые!$B$5:$B$300,"L-*"))</f>
        <v/>
      </c>
      <c r="D125" s="177" t="str">
        <f>IF(C125="","",(SUMPRODUCT((Лэндинг!$E$5:$E$300=$B125)*Лэндинг!$F$5:$F$300*Лэндинг!$G$5:$G$300)+SUMPRODUCT((Закрытые!$E$5:$E$300=$B125)*(LEFT(Закрытые!$B$5:$B$300,2)="L-")*Закрытые!$F$5:$F$300*Закрытые!$G$5:$G$300))/C125)</f>
        <v/>
      </c>
      <c r="E125" s="241" t="str">
        <f>IF(C125="","",SUMIFS(Лэндинг!$H$5:$H$300,Лэндинг!$E$5:$E$300,$B125)+SUMIFS(Закрытые!$H$5:$H$300,Закрытые!$E$5:$E$300,$B125,Закрытые!$B$5:$B$300,"L-*"))</f>
        <v/>
      </c>
      <c r="F125" s="240" t="str">
        <f>IF(SUMIFS(Лэндинг!$I$5:$I$300,Лэндинг!$E$5:$E$300,$B125)+SUMIFS(Закрытые!$I$5:$I$300,Закрытые!$E$5:$E$300,$B125,Закрытые!$B$5:$B$300,"L-*")=0,"",SUMIFS(Лэндинг!$I$5:$I$300,Лэндинг!$E$5:$E$300,$B125)+SUMIFS(Закрытые!$I$5:$I$300,Закрытые!$E$5:$E$300,$B125,Закрытые!$B$5:$B$300,"L-*"))</f>
        <v/>
      </c>
      <c r="G125" s="177" t="str">
        <f>IF(F125="","",(SUMPRODUCT((Лэндинг!$E$5:$E$300=$B125)*Лэндинг!$I$5:$I$300*Лэндинг!$J$5:$J$300)+SUMPRODUCT((Закрытые!$E$5:$E$300=$B125)*(LEFT(Закрытые!$B$5:$B$300,2)="L-")*Закрытые!$I$5:$I$300*Закрытые!$J$5:$J$300))/F125)</f>
        <v/>
      </c>
      <c r="H125" s="241" t="str">
        <f>IF(F125="","",SUMIFS(Лэндинг!$K$5:$K$300,Лэндинг!$E$5:$E$300,$B125)+SUMIFS(Закрытые!$K$5:$K$300,Закрытые!$E$5:$E$300,$B125,Закрытые!$B$5:$B$300,"L-*"))</f>
        <v/>
      </c>
      <c r="I125" s="240" t="str">
        <f>IF($B125="","",IF(COUNTIFS(Лэндинг!$E$5:$E$300,$B125)+COUNTIFS(Закрытые!$E$5:$E$300,$B125,Закрытые!$B$5:$B$300,"L-*")=0,"",ROUND(SUMIFS(Лэндинг!$L$5:$L$300,Лэндинг!$E$5:$E$300,$B125)+SUMIFS(Закрытые!$L$5:$L$300,Закрытые!$E$5:$E$300,$B125,Закрытые!$B$5:$B$300,"L-*"),8)))</f>
        <v/>
      </c>
      <c r="J125" s="241" t="str">
        <f>IF($B125="","",IF(COUNTIFS(Лэндинг!$E$5:$E$300,$B125)+COUNTIFS(Закрытые!$E$5:$E$300,$B125,Закрытые!$B$5:$B$300,"L-*")=0,"",ROUND(SUMIFS(Лэндинг!$M$5:$M$300,Лэндинг!$E$5:$E$300,$B125)+SUMIFS(Закрытые!$M$5:$M$300,Закрытые!$E$5:$E$300,$B125,Закрытые!$B$5:$B$300,"L-*"),8)))</f>
        <v/>
      </c>
      <c r="K125" s="240" t="str">
        <f>IF(MIN(N(C125),N(F125))&lt;=0,"",ROUND(MIN(N(C125),N(F125))*(N(G125)-N(D125)),8))</f>
        <v/>
      </c>
      <c r="L125" s="177" t="str">
        <f>IF(MIN(N(C125),N(F125))&lt;=0,"",IF(N(D125)=0,"",ROUND((N(G125)/N(D125)-1)*100,2)))</f>
        <v/>
      </c>
      <c r="M125" s="177" t="str">
        <f>IF(OR(ROUND(N(C125)-N(F125),8)=0,1-N(Ввод!$J$19)/100&lt;=0),"",IF(N(C125)&gt;N(F125),(N(E125)-N(H125))/((N(C125)-N(F125))*(1-N(Ввод!$J$19)/100)),(N(H125)-N(E125))/((N(F125)-N(C125))*(1+N(Ввод!$J$19)/100))))</f>
        <v/>
      </c>
    </row>
    <row r="126" ht="22" customHeight="1">
      <c r="B126" s="245" t="n"/>
      <c r="C126" s="246" t="str">
        <f>IF(SUMIFS(Лэндинг!$F$5:$F$300,Лэндинг!$E$5:$E$300,$B126)+SUMIFS(Закрытые!$F$5:$F$300,Закрытые!$E$5:$E$300,$B126,Закрытые!$B$5:$B$300,"L-*")=0,"",SUMIFS(Лэндинг!$F$5:$F$300,Лэндинг!$E$5:$E$300,$B126)+SUMIFS(Закрытые!$F$5:$F$300,Закрытые!$E$5:$E$300,$B126,Закрытые!$B$5:$B$300,"L-*"))</f>
        <v/>
      </c>
      <c r="D126" s="183" t="str">
        <f>IF(C126="","",(SUMPRODUCT((Лэндинг!$E$5:$E$300=$B126)*Лэндинг!$F$5:$F$300*Лэндинг!$G$5:$G$300)+SUMPRODUCT((Закрытые!$E$5:$E$300=$B126)*(LEFT(Закрытые!$B$5:$B$300,2)="L-")*Закрытые!$F$5:$F$300*Закрытые!$G$5:$G$300))/C126)</f>
        <v/>
      </c>
      <c r="E126" s="247" t="str">
        <f>IF(C126="","",SUMIFS(Лэндинг!$H$5:$H$300,Лэндинг!$E$5:$E$300,$B126)+SUMIFS(Закрытые!$H$5:$H$300,Закрытые!$E$5:$E$300,$B126,Закрытые!$B$5:$B$300,"L-*"))</f>
        <v/>
      </c>
      <c r="F126" s="246" t="str">
        <f>IF(SUMIFS(Лэндинг!$I$5:$I$300,Лэндинг!$E$5:$E$300,$B126)+SUMIFS(Закрытые!$I$5:$I$300,Закрытые!$E$5:$E$300,$B126,Закрытые!$B$5:$B$300,"L-*")=0,"",SUMIFS(Лэндинг!$I$5:$I$300,Лэндинг!$E$5:$E$300,$B126)+SUMIFS(Закрытые!$I$5:$I$300,Закрытые!$E$5:$E$300,$B126,Закрытые!$B$5:$B$300,"L-*"))</f>
        <v/>
      </c>
      <c r="G126" s="183" t="str">
        <f>IF(F126="","",(SUMPRODUCT((Лэндинг!$E$5:$E$300=$B126)*Лэндинг!$I$5:$I$300*Лэндинг!$J$5:$J$300)+SUMPRODUCT((Закрытые!$E$5:$E$300=$B126)*(LEFT(Закрытые!$B$5:$B$300,2)="L-")*Закрытые!$I$5:$I$300*Закрытые!$J$5:$J$300))/F126)</f>
        <v/>
      </c>
      <c r="H126" s="247" t="str">
        <f>IF(F126="","",SUMIFS(Лэндинг!$K$5:$K$300,Лэндинг!$E$5:$E$300,$B126)+SUMIFS(Закрытые!$K$5:$K$300,Закрытые!$E$5:$E$300,$B126,Закрытые!$B$5:$B$300,"L-*"))</f>
        <v/>
      </c>
      <c r="I126" s="246" t="str">
        <f>IF($B126="","",IF(COUNTIFS(Лэндинг!$E$5:$E$300,$B126)+COUNTIFS(Закрытые!$E$5:$E$300,$B126,Закрытые!$B$5:$B$300,"L-*")=0,"",ROUND(SUMIFS(Лэндинг!$L$5:$L$300,Лэндинг!$E$5:$E$300,$B126)+SUMIFS(Закрытые!$L$5:$L$300,Закрытые!$E$5:$E$300,$B126,Закрытые!$B$5:$B$300,"L-*"),8)))</f>
        <v/>
      </c>
      <c r="J126" s="247" t="str">
        <f>IF($B126="","",IF(COUNTIFS(Лэндинг!$E$5:$E$300,$B126)+COUNTIFS(Закрытые!$E$5:$E$300,$B126,Закрытые!$B$5:$B$300,"L-*")=0,"",ROUND(SUMIFS(Лэндинг!$M$5:$M$300,Лэндинг!$E$5:$E$300,$B126)+SUMIFS(Закрытые!$M$5:$M$300,Закрытые!$E$5:$E$300,$B126,Закрытые!$B$5:$B$300,"L-*"),8)))</f>
        <v/>
      </c>
      <c r="K126" s="246" t="str">
        <f>IF(MIN(N(C126),N(F126))&lt;=0,"",ROUND(MIN(N(C126),N(F126))*(N(G126)-N(D126)),8))</f>
        <v/>
      </c>
      <c r="L126" s="183" t="str">
        <f>IF(MIN(N(C126),N(F126))&lt;=0,"",IF(N(D126)=0,"",ROUND((N(G126)/N(D126)-1)*100,2)))</f>
        <v/>
      </c>
      <c r="M126" s="183" t="str">
        <f>IF(OR(ROUND(N(C126)-N(F126),8)=0,1-N(Ввод!$J$19)/100&lt;=0),"",IF(N(C126)&gt;N(F126),(N(E126)-N(H126))/((N(C126)-N(F126))*(1-N(Ввод!$J$19)/100)),(N(H126)-N(E126))/((N(F126)-N(C126))*(1+N(Ввод!$J$19)/100))))</f>
        <v/>
      </c>
    </row>
    <row r="127" ht="22" customHeight="1">
      <c r="B127" s="239" t="n"/>
      <c r="C127" s="240" t="str">
        <f>IF(SUMIFS(Лэндинг!$F$5:$F$300,Лэндинг!$E$5:$E$300,$B127)+SUMIFS(Закрытые!$F$5:$F$300,Закрытые!$E$5:$E$300,$B127,Закрытые!$B$5:$B$300,"L-*")=0,"",SUMIFS(Лэндинг!$F$5:$F$300,Лэндинг!$E$5:$E$300,$B127)+SUMIFS(Закрытые!$F$5:$F$300,Закрытые!$E$5:$E$300,$B127,Закрытые!$B$5:$B$300,"L-*"))</f>
        <v/>
      </c>
      <c r="D127" s="177" t="str">
        <f>IF(C127="","",(SUMPRODUCT((Лэндинг!$E$5:$E$300=$B127)*Лэндинг!$F$5:$F$300*Лэндинг!$G$5:$G$300)+SUMPRODUCT((Закрытые!$E$5:$E$300=$B127)*(LEFT(Закрытые!$B$5:$B$300,2)="L-")*Закрытые!$F$5:$F$300*Закрытые!$G$5:$G$300))/C127)</f>
        <v/>
      </c>
      <c r="E127" s="241" t="str">
        <f>IF(C127="","",SUMIFS(Лэндинг!$H$5:$H$300,Лэндинг!$E$5:$E$300,$B127)+SUMIFS(Закрытые!$H$5:$H$300,Закрытые!$E$5:$E$300,$B127,Закрытые!$B$5:$B$300,"L-*"))</f>
        <v/>
      </c>
      <c r="F127" s="240" t="str">
        <f>IF(SUMIFS(Лэндинг!$I$5:$I$300,Лэндинг!$E$5:$E$300,$B127)+SUMIFS(Закрытые!$I$5:$I$300,Закрытые!$E$5:$E$300,$B127,Закрытые!$B$5:$B$300,"L-*")=0,"",SUMIFS(Лэндинг!$I$5:$I$300,Лэндинг!$E$5:$E$300,$B127)+SUMIFS(Закрытые!$I$5:$I$300,Закрытые!$E$5:$E$300,$B127,Закрытые!$B$5:$B$300,"L-*"))</f>
        <v/>
      </c>
      <c r="G127" s="177" t="str">
        <f>IF(F127="","",(SUMPRODUCT((Лэндинг!$E$5:$E$300=$B127)*Лэндинг!$I$5:$I$300*Лэндинг!$J$5:$J$300)+SUMPRODUCT((Закрытые!$E$5:$E$300=$B127)*(LEFT(Закрытые!$B$5:$B$300,2)="L-")*Закрытые!$I$5:$I$300*Закрытые!$J$5:$J$300))/F127)</f>
        <v/>
      </c>
      <c r="H127" s="241" t="str">
        <f>IF(F127="","",SUMIFS(Лэндинг!$K$5:$K$300,Лэндинг!$E$5:$E$300,$B127)+SUMIFS(Закрытые!$K$5:$K$300,Закрытые!$E$5:$E$300,$B127,Закрытые!$B$5:$B$300,"L-*"))</f>
        <v/>
      </c>
      <c r="I127" s="240" t="str">
        <f>IF($B127="","",IF(COUNTIFS(Лэндинг!$E$5:$E$300,$B127)+COUNTIFS(Закрытые!$E$5:$E$300,$B127,Закрытые!$B$5:$B$300,"L-*")=0,"",ROUND(SUMIFS(Лэндинг!$L$5:$L$300,Лэндинг!$E$5:$E$300,$B127)+SUMIFS(Закрытые!$L$5:$L$300,Закрытые!$E$5:$E$300,$B127,Закрытые!$B$5:$B$300,"L-*"),8)))</f>
        <v/>
      </c>
      <c r="J127" s="241" t="str">
        <f>IF($B127="","",IF(COUNTIFS(Лэндинг!$E$5:$E$300,$B127)+COUNTIFS(Закрытые!$E$5:$E$300,$B127,Закрытые!$B$5:$B$300,"L-*")=0,"",ROUND(SUMIFS(Лэндинг!$M$5:$M$300,Лэндинг!$E$5:$E$300,$B127)+SUMIFS(Закрытые!$M$5:$M$300,Закрытые!$E$5:$E$300,$B127,Закрытые!$B$5:$B$300,"L-*"),8)))</f>
        <v/>
      </c>
      <c r="K127" s="240" t="str">
        <f>IF(MIN(N(C127),N(F127))&lt;=0,"",ROUND(MIN(N(C127),N(F127))*(N(G127)-N(D127)),8))</f>
        <v/>
      </c>
      <c r="L127" s="177" t="str">
        <f>IF(MIN(N(C127),N(F127))&lt;=0,"",IF(N(D127)=0,"",ROUND((N(G127)/N(D127)-1)*100,2)))</f>
        <v/>
      </c>
      <c r="M127" s="177" t="str">
        <f>IF(OR(ROUND(N(C127)-N(F127),8)=0,1-N(Ввод!$J$19)/100&lt;=0),"",IF(N(C127)&gt;N(F127),(N(E127)-N(H127))/((N(C127)-N(F127))*(1-N(Ввод!$J$19)/100)),(N(H127)-N(E127))/((N(F127)-N(C127))*(1+N(Ввод!$J$19)/100))))</f>
        <v/>
      </c>
    </row>
    <row r="128" ht="22" customHeight="1">
      <c r="B128" s="245" t="n"/>
      <c r="C128" s="246" t="str">
        <f>IF(SUMIFS(Лэндинг!$F$5:$F$300,Лэндинг!$E$5:$E$300,$B128)+SUMIFS(Закрытые!$F$5:$F$300,Закрытые!$E$5:$E$300,$B128,Закрытые!$B$5:$B$300,"L-*")=0,"",SUMIFS(Лэндинг!$F$5:$F$300,Лэндинг!$E$5:$E$300,$B128)+SUMIFS(Закрытые!$F$5:$F$300,Закрытые!$E$5:$E$300,$B128,Закрытые!$B$5:$B$300,"L-*"))</f>
        <v/>
      </c>
      <c r="D128" s="183" t="str">
        <f>IF(C128="","",(SUMPRODUCT((Лэндинг!$E$5:$E$300=$B128)*Лэндинг!$F$5:$F$300*Лэндинг!$G$5:$G$300)+SUMPRODUCT((Закрытые!$E$5:$E$300=$B128)*(LEFT(Закрытые!$B$5:$B$300,2)="L-")*Закрытые!$F$5:$F$300*Закрытые!$G$5:$G$300))/C128)</f>
        <v/>
      </c>
      <c r="E128" s="247" t="str">
        <f>IF(C128="","",SUMIFS(Лэндинг!$H$5:$H$300,Лэндинг!$E$5:$E$300,$B128)+SUMIFS(Закрытые!$H$5:$H$300,Закрытые!$E$5:$E$300,$B128,Закрытые!$B$5:$B$300,"L-*"))</f>
        <v/>
      </c>
      <c r="F128" s="246" t="str">
        <f>IF(SUMIFS(Лэндинг!$I$5:$I$300,Лэндинг!$E$5:$E$300,$B128)+SUMIFS(Закрытые!$I$5:$I$300,Закрытые!$E$5:$E$300,$B128,Закрытые!$B$5:$B$300,"L-*")=0,"",SUMIFS(Лэндинг!$I$5:$I$300,Лэндинг!$E$5:$E$300,$B128)+SUMIFS(Закрытые!$I$5:$I$300,Закрытые!$E$5:$E$300,$B128,Закрытые!$B$5:$B$300,"L-*"))</f>
        <v/>
      </c>
      <c r="G128" s="183" t="str">
        <f>IF(F128="","",(SUMPRODUCT((Лэндинг!$E$5:$E$300=$B128)*Лэндинг!$I$5:$I$300*Лэндинг!$J$5:$J$300)+SUMPRODUCT((Закрытые!$E$5:$E$300=$B128)*(LEFT(Закрытые!$B$5:$B$300,2)="L-")*Закрытые!$I$5:$I$300*Закрытые!$J$5:$J$300))/F128)</f>
        <v/>
      </c>
      <c r="H128" s="247" t="str">
        <f>IF(F128="","",SUMIFS(Лэндинг!$K$5:$K$300,Лэндинг!$E$5:$E$300,$B128)+SUMIFS(Закрытые!$K$5:$K$300,Закрытые!$E$5:$E$300,$B128,Закрытые!$B$5:$B$300,"L-*"))</f>
        <v/>
      </c>
      <c r="I128" s="246" t="str">
        <f>IF($B128="","",IF(COUNTIFS(Лэндинг!$E$5:$E$300,$B128)+COUNTIFS(Закрытые!$E$5:$E$300,$B128,Закрытые!$B$5:$B$300,"L-*")=0,"",ROUND(SUMIFS(Лэндинг!$L$5:$L$300,Лэндинг!$E$5:$E$300,$B128)+SUMIFS(Закрытые!$L$5:$L$300,Закрытые!$E$5:$E$300,$B128,Закрытые!$B$5:$B$300,"L-*"),8)))</f>
        <v/>
      </c>
      <c r="J128" s="247" t="str">
        <f>IF($B128="","",IF(COUNTIFS(Лэндинг!$E$5:$E$300,$B128)+COUNTIFS(Закрытые!$E$5:$E$300,$B128,Закрытые!$B$5:$B$300,"L-*")=0,"",ROUND(SUMIFS(Лэндинг!$M$5:$M$300,Лэндинг!$E$5:$E$300,$B128)+SUMIFS(Закрытые!$M$5:$M$300,Закрытые!$E$5:$E$300,$B128,Закрытые!$B$5:$B$300,"L-*"),8)))</f>
        <v/>
      </c>
      <c r="K128" s="246" t="str">
        <f>IF(MIN(N(C128),N(F128))&lt;=0,"",ROUND(MIN(N(C128),N(F128))*(N(G128)-N(D128)),8))</f>
        <v/>
      </c>
      <c r="L128" s="183" t="str">
        <f>IF(MIN(N(C128),N(F128))&lt;=0,"",IF(N(D128)=0,"",ROUND((N(G128)/N(D128)-1)*100,2)))</f>
        <v/>
      </c>
      <c r="M128" s="183" t="str">
        <f>IF(OR(ROUND(N(C128)-N(F128),8)=0,1-N(Ввод!$J$19)/100&lt;=0),"",IF(N(C128)&gt;N(F128),(N(E128)-N(H128))/((N(C128)-N(F128))*(1-N(Ввод!$J$19)/100)),(N(H128)-N(E128))/((N(F128)-N(C128))*(1+N(Ввод!$J$19)/100))))</f>
        <v/>
      </c>
    </row>
    <row r="129" ht="22" customHeight="1">
      <c r="B129" s="239" t="n"/>
      <c r="C129" s="240" t="str">
        <f>IF(SUMIFS(Лэндинг!$F$5:$F$300,Лэндинг!$E$5:$E$300,$B129)+SUMIFS(Закрытые!$F$5:$F$300,Закрытые!$E$5:$E$300,$B129,Закрытые!$B$5:$B$300,"L-*")=0,"",SUMIFS(Лэндинг!$F$5:$F$300,Лэндинг!$E$5:$E$300,$B129)+SUMIFS(Закрытые!$F$5:$F$300,Закрытые!$E$5:$E$300,$B129,Закрытые!$B$5:$B$300,"L-*"))</f>
        <v/>
      </c>
      <c r="D129" s="177" t="str">
        <f>IF(C129="","",(SUMPRODUCT((Лэндинг!$E$5:$E$300=$B129)*Лэндинг!$F$5:$F$300*Лэндинг!$G$5:$G$300)+SUMPRODUCT((Закрытые!$E$5:$E$300=$B129)*(LEFT(Закрытые!$B$5:$B$300,2)="L-")*Закрытые!$F$5:$F$300*Закрытые!$G$5:$G$300))/C129)</f>
        <v/>
      </c>
      <c r="E129" s="241" t="str">
        <f>IF(C129="","",SUMIFS(Лэндинг!$H$5:$H$300,Лэндинг!$E$5:$E$300,$B129)+SUMIFS(Закрытые!$H$5:$H$300,Закрытые!$E$5:$E$300,$B129,Закрытые!$B$5:$B$300,"L-*"))</f>
        <v/>
      </c>
      <c r="F129" s="240" t="str">
        <f>IF(SUMIFS(Лэндинг!$I$5:$I$300,Лэндинг!$E$5:$E$300,$B129)+SUMIFS(Закрытые!$I$5:$I$300,Закрытые!$E$5:$E$300,$B129,Закрытые!$B$5:$B$300,"L-*")=0,"",SUMIFS(Лэндинг!$I$5:$I$300,Лэндинг!$E$5:$E$300,$B129)+SUMIFS(Закрытые!$I$5:$I$300,Закрытые!$E$5:$E$300,$B129,Закрытые!$B$5:$B$300,"L-*"))</f>
        <v/>
      </c>
      <c r="G129" s="177" t="str">
        <f>IF(F129="","",(SUMPRODUCT((Лэндинг!$E$5:$E$300=$B129)*Лэндинг!$I$5:$I$300*Лэндинг!$J$5:$J$300)+SUMPRODUCT((Закрытые!$E$5:$E$300=$B129)*(LEFT(Закрытые!$B$5:$B$300,2)="L-")*Закрытые!$I$5:$I$300*Закрытые!$J$5:$J$300))/F129)</f>
        <v/>
      </c>
      <c r="H129" s="241" t="str">
        <f>IF(F129="","",SUMIFS(Лэндинг!$K$5:$K$300,Лэндинг!$E$5:$E$300,$B129)+SUMIFS(Закрытые!$K$5:$K$300,Закрытые!$E$5:$E$300,$B129,Закрытые!$B$5:$B$300,"L-*"))</f>
        <v/>
      </c>
      <c r="I129" s="240" t="str">
        <f>IF($B129="","",IF(COUNTIFS(Лэндинг!$E$5:$E$300,$B129)+COUNTIFS(Закрытые!$E$5:$E$300,$B129,Закрытые!$B$5:$B$300,"L-*")=0,"",ROUND(SUMIFS(Лэндинг!$L$5:$L$300,Лэндинг!$E$5:$E$300,$B129)+SUMIFS(Закрытые!$L$5:$L$300,Закрытые!$E$5:$E$300,$B129,Закрытые!$B$5:$B$300,"L-*"),8)))</f>
        <v/>
      </c>
      <c r="J129" s="241" t="str">
        <f>IF($B129="","",IF(COUNTIFS(Лэндинг!$E$5:$E$300,$B129)+COUNTIFS(Закрытые!$E$5:$E$300,$B129,Закрытые!$B$5:$B$300,"L-*")=0,"",ROUND(SUMIFS(Лэндинг!$M$5:$M$300,Лэндинг!$E$5:$E$300,$B129)+SUMIFS(Закрытые!$M$5:$M$300,Закрытые!$E$5:$E$300,$B129,Закрытые!$B$5:$B$300,"L-*"),8)))</f>
        <v/>
      </c>
      <c r="K129" s="240" t="str">
        <f>IF(MIN(N(C129),N(F129))&lt;=0,"",ROUND(MIN(N(C129),N(F129))*(N(G129)-N(D129)),8))</f>
        <v/>
      </c>
      <c r="L129" s="177" t="str">
        <f>IF(MIN(N(C129),N(F129))&lt;=0,"",IF(N(D129)=0,"",ROUND((N(G129)/N(D129)-1)*100,2)))</f>
        <v/>
      </c>
      <c r="M129" s="177" t="str">
        <f>IF(OR(ROUND(N(C129)-N(F129),8)=0,1-N(Ввод!$J$19)/100&lt;=0),"",IF(N(C129)&gt;N(F129),(N(E129)-N(H129))/((N(C129)-N(F129))*(1-N(Ввод!$J$19)/100)),(N(H129)-N(E129))/((N(F129)-N(C129))*(1+N(Ввод!$J$19)/100))))</f>
        <v/>
      </c>
    </row>
    <row r="130" ht="22" customHeight="1">
      <c r="B130" s="245" t="n"/>
      <c r="C130" s="246" t="str">
        <f>IF(SUMIFS(Лэндинг!$F$5:$F$300,Лэндинг!$E$5:$E$300,$B130)+SUMIFS(Закрытые!$F$5:$F$300,Закрытые!$E$5:$E$300,$B130,Закрытые!$B$5:$B$300,"L-*")=0,"",SUMIFS(Лэндинг!$F$5:$F$300,Лэндинг!$E$5:$E$300,$B130)+SUMIFS(Закрытые!$F$5:$F$300,Закрытые!$E$5:$E$300,$B130,Закрытые!$B$5:$B$300,"L-*"))</f>
        <v/>
      </c>
      <c r="D130" s="183" t="str">
        <f>IF(C130="","",(SUMPRODUCT((Лэндинг!$E$5:$E$300=$B130)*Лэндинг!$F$5:$F$300*Лэндинг!$G$5:$G$300)+SUMPRODUCT((Закрытые!$E$5:$E$300=$B130)*(LEFT(Закрытые!$B$5:$B$300,2)="L-")*Закрытые!$F$5:$F$300*Закрытые!$G$5:$G$300))/C130)</f>
        <v/>
      </c>
      <c r="E130" s="247" t="str">
        <f>IF(C130="","",SUMIFS(Лэндинг!$H$5:$H$300,Лэндинг!$E$5:$E$300,$B130)+SUMIFS(Закрытые!$H$5:$H$300,Закрытые!$E$5:$E$300,$B130,Закрытые!$B$5:$B$300,"L-*"))</f>
        <v/>
      </c>
      <c r="F130" s="246" t="str">
        <f>IF(SUMIFS(Лэндинг!$I$5:$I$300,Лэндинг!$E$5:$E$300,$B130)+SUMIFS(Закрытые!$I$5:$I$300,Закрытые!$E$5:$E$300,$B130,Закрытые!$B$5:$B$300,"L-*")=0,"",SUMIFS(Лэндинг!$I$5:$I$300,Лэндинг!$E$5:$E$300,$B130)+SUMIFS(Закрытые!$I$5:$I$300,Закрытые!$E$5:$E$300,$B130,Закрытые!$B$5:$B$300,"L-*"))</f>
        <v/>
      </c>
      <c r="G130" s="183" t="str">
        <f>IF(F130="","",(SUMPRODUCT((Лэндинг!$E$5:$E$300=$B130)*Лэндинг!$I$5:$I$300*Лэндинг!$J$5:$J$300)+SUMPRODUCT((Закрытые!$E$5:$E$300=$B130)*(LEFT(Закрытые!$B$5:$B$300,2)="L-")*Закрытые!$I$5:$I$300*Закрытые!$J$5:$J$300))/F130)</f>
        <v/>
      </c>
      <c r="H130" s="247" t="str">
        <f>IF(F130="","",SUMIFS(Лэндинг!$K$5:$K$300,Лэндинг!$E$5:$E$300,$B130)+SUMIFS(Закрытые!$K$5:$K$300,Закрытые!$E$5:$E$300,$B130,Закрытые!$B$5:$B$300,"L-*"))</f>
        <v/>
      </c>
      <c r="I130" s="246" t="str">
        <f>IF($B130="","",IF(COUNTIFS(Лэндинг!$E$5:$E$300,$B130)+COUNTIFS(Закрытые!$E$5:$E$300,$B130,Закрытые!$B$5:$B$300,"L-*")=0,"",ROUND(SUMIFS(Лэндинг!$L$5:$L$300,Лэндинг!$E$5:$E$300,$B130)+SUMIFS(Закрытые!$L$5:$L$300,Закрытые!$E$5:$E$300,$B130,Закрытые!$B$5:$B$300,"L-*"),8)))</f>
        <v/>
      </c>
      <c r="J130" s="247" t="str">
        <f>IF($B130="","",IF(COUNTIFS(Лэндинг!$E$5:$E$300,$B130)+COUNTIFS(Закрытые!$E$5:$E$300,$B130,Закрытые!$B$5:$B$300,"L-*")=0,"",ROUND(SUMIFS(Лэндинг!$M$5:$M$300,Лэндинг!$E$5:$E$300,$B130)+SUMIFS(Закрытые!$M$5:$M$300,Закрытые!$E$5:$E$300,$B130,Закрытые!$B$5:$B$300,"L-*"),8)))</f>
        <v/>
      </c>
      <c r="K130" s="246" t="str">
        <f>IF(MIN(N(C130),N(F130))&lt;=0,"",ROUND(MIN(N(C130),N(F130))*(N(G130)-N(D130)),8))</f>
        <v/>
      </c>
      <c r="L130" s="183" t="str">
        <f>IF(MIN(N(C130),N(F130))&lt;=0,"",IF(N(D130)=0,"",ROUND((N(G130)/N(D130)-1)*100,2)))</f>
        <v/>
      </c>
      <c r="M130" s="183" t="str">
        <f>IF(OR(ROUND(N(C130)-N(F130),8)=0,1-N(Ввод!$J$19)/100&lt;=0),"",IF(N(C130)&gt;N(F130),(N(E130)-N(H130))/((N(C130)-N(F130))*(1-N(Ввод!$J$19)/100)),(N(H130)-N(E130))/((N(F130)-N(C130))*(1+N(Ввод!$J$19)/100))))</f>
        <v/>
      </c>
    </row>
    <row r="131" ht="22" customHeight="1">
      <c r="B131" s="239" t="n"/>
      <c r="C131" s="240" t="str">
        <f>IF(SUMIFS(Лэндинг!$F$5:$F$300,Лэндинг!$E$5:$E$300,$B131)+SUMIFS(Закрытые!$F$5:$F$300,Закрытые!$E$5:$E$300,$B131,Закрытые!$B$5:$B$300,"L-*")=0,"",SUMIFS(Лэндинг!$F$5:$F$300,Лэндинг!$E$5:$E$300,$B131)+SUMIFS(Закрытые!$F$5:$F$300,Закрытые!$E$5:$E$300,$B131,Закрытые!$B$5:$B$300,"L-*"))</f>
        <v/>
      </c>
      <c r="D131" s="177" t="str">
        <f>IF(C131="","",(SUMPRODUCT((Лэндинг!$E$5:$E$300=$B131)*Лэндинг!$F$5:$F$300*Лэндинг!$G$5:$G$300)+SUMPRODUCT((Закрытые!$E$5:$E$300=$B131)*(LEFT(Закрытые!$B$5:$B$300,2)="L-")*Закрытые!$F$5:$F$300*Закрытые!$G$5:$G$300))/C131)</f>
        <v/>
      </c>
      <c r="E131" s="241" t="str">
        <f>IF(C131="","",SUMIFS(Лэндинг!$H$5:$H$300,Лэндинг!$E$5:$E$300,$B131)+SUMIFS(Закрытые!$H$5:$H$300,Закрытые!$E$5:$E$300,$B131,Закрытые!$B$5:$B$300,"L-*"))</f>
        <v/>
      </c>
      <c r="F131" s="240" t="str">
        <f>IF(SUMIFS(Лэндинг!$I$5:$I$300,Лэндинг!$E$5:$E$300,$B131)+SUMIFS(Закрытые!$I$5:$I$300,Закрытые!$E$5:$E$300,$B131,Закрытые!$B$5:$B$300,"L-*")=0,"",SUMIFS(Лэндинг!$I$5:$I$300,Лэндинг!$E$5:$E$300,$B131)+SUMIFS(Закрытые!$I$5:$I$300,Закрытые!$E$5:$E$300,$B131,Закрытые!$B$5:$B$300,"L-*"))</f>
        <v/>
      </c>
      <c r="G131" s="177" t="str">
        <f>IF(F131="","",(SUMPRODUCT((Лэндинг!$E$5:$E$300=$B131)*Лэндинг!$I$5:$I$300*Лэндинг!$J$5:$J$300)+SUMPRODUCT((Закрытые!$E$5:$E$300=$B131)*(LEFT(Закрытые!$B$5:$B$300,2)="L-")*Закрытые!$I$5:$I$300*Закрытые!$J$5:$J$300))/F131)</f>
        <v/>
      </c>
      <c r="H131" s="241" t="str">
        <f>IF(F131="","",SUMIFS(Лэндинг!$K$5:$K$300,Лэндинг!$E$5:$E$300,$B131)+SUMIFS(Закрытые!$K$5:$K$300,Закрытые!$E$5:$E$300,$B131,Закрытые!$B$5:$B$300,"L-*"))</f>
        <v/>
      </c>
      <c r="I131" s="240" t="str">
        <f>IF($B131="","",IF(COUNTIFS(Лэндинг!$E$5:$E$300,$B131)+COUNTIFS(Закрытые!$E$5:$E$300,$B131,Закрытые!$B$5:$B$300,"L-*")=0,"",ROUND(SUMIFS(Лэндинг!$L$5:$L$300,Лэндинг!$E$5:$E$300,$B131)+SUMIFS(Закрытые!$L$5:$L$300,Закрытые!$E$5:$E$300,$B131,Закрытые!$B$5:$B$300,"L-*"),8)))</f>
        <v/>
      </c>
      <c r="J131" s="241" t="str">
        <f>IF($B131="","",IF(COUNTIFS(Лэндинг!$E$5:$E$300,$B131)+COUNTIFS(Закрытые!$E$5:$E$300,$B131,Закрытые!$B$5:$B$300,"L-*")=0,"",ROUND(SUMIFS(Лэндинг!$M$5:$M$300,Лэндинг!$E$5:$E$300,$B131)+SUMIFS(Закрытые!$M$5:$M$300,Закрытые!$E$5:$E$300,$B131,Закрытые!$B$5:$B$300,"L-*"),8)))</f>
        <v/>
      </c>
      <c r="K131" s="240" t="str">
        <f>IF(MIN(N(C131),N(F131))&lt;=0,"",ROUND(MIN(N(C131),N(F131))*(N(G131)-N(D131)),8))</f>
        <v/>
      </c>
      <c r="L131" s="177" t="str">
        <f>IF(MIN(N(C131),N(F131))&lt;=0,"",IF(N(D131)=0,"",ROUND((N(G131)/N(D131)-1)*100,2)))</f>
        <v/>
      </c>
      <c r="M131" s="177" t="str">
        <f>IF(OR(ROUND(N(C131)-N(F131),8)=0,1-N(Ввод!$J$19)/100&lt;=0),"",IF(N(C131)&gt;N(F131),(N(E131)-N(H131))/((N(C131)-N(F131))*(1-N(Ввод!$J$19)/100)),(N(H131)-N(E131))/((N(F131)-N(C131))*(1+N(Ввод!$J$19)/100))))</f>
        <v/>
      </c>
    </row>
    <row r="132" ht="22" customHeight="1">
      <c r="B132" s="245" t="n"/>
      <c r="C132" s="246" t="str">
        <f>IF(SUMIFS(Лэндинг!$F$5:$F$300,Лэндинг!$E$5:$E$300,$B132)+SUMIFS(Закрытые!$F$5:$F$300,Закрытые!$E$5:$E$300,$B132,Закрытые!$B$5:$B$300,"L-*")=0,"",SUMIFS(Лэндинг!$F$5:$F$300,Лэндинг!$E$5:$E$300,$B132)+SUMIFS(Закрытые!$F$5:$F$300,Закрытые!$E$5:$E$300,$B132,Закрытые!$B$5:$B$300,"L-*"))</f>
        <v/>
      </c>
      <c r="D132" s="183" t="str">
        <f>IF(C132="","",(SUMPRODUCT((Лэндинг!$E$5:$E$300=$B132)*Лэндинг!$F$5:$F$300*Лэндинг!$G$5:$G$300)+SUMPRODUCT((Закрытые!$E$5:$E$300=$B132)*(LEFT(Закрытые!$B$5:$B$300,2)="L-")*Закрытые!$F$5:$F$300*Закрытые!$G$5:$G$300))/C132)</f>
        <v/>
      </c>
      <c r="E132" s="247" t="str">
        <f>IF(C132="","",SUMIFS(Лэндинг!$H$5:$H$300,Лэндинг!$E$5:$E$300,$B132)+SUMIFS(Закрытые!$H$5:$H$300,Закрытые!$E$5:$E$300,$B132,Закрытые!$B$5:$B$300,"L-*"))</f>
        <v/>
      </c>
      <c r="F132" s="246" t="str">
        <f>IF(SUMIFS(Лэндинг!$I$5:$I$300,Лэндинг!$E$5:$E$300,$B132)+SUMIFS(Закрытые!$I$5:$I$300,Закрытые!$E$5:$E$300,$B132,Закрытые!$B$5:$B$300,"L-*")=0,"",SUMIFS(Лэндинг!$I$5:$I$300,Лэндинг!$E$5:$E$300,$B132)+SUMIFS(Закрытые!$I$5:$I$300,Закрытые!$E$5:$E$300,$B132,Закрытые!$B$5:$B$300,"L-*"))</f>
        <v/>
      </c>
      <c r="G132" s="183" t="str">
        <f>IF(F132="","",(SUMPRODUCT((Лэндинг!$E$5:$E$300=$B132)*Лэндинг!$I$5:$I$300*Лэндинг!$J$5:$J$300)+SUMPRODUCT((Закрытые!$E$5:$E$300=$B132)*(LEFT(Закрытые!$B$5:$B$300,2)="L-")*Закрытые!$I$5:$I$300*Закрытые!$J$5:$J$300))/F132)</f>
        <v/>
      </c>
      <c r="H132" s="247" t="str">
        <f>IF(F132="","",SUMIFS(Лэндинг!$K$5:$K$300,Лэндинг!$E$5:$E$300,$B132)+SUMIFS(Закрытые!$K$5:$K$300,Закрытые!$E$5:$E$300,$B132,Закрытые!$B$5:$B$300,"L-*"))</f>
        <v/>
      </c>
      <c r="I132" s="246" t="str">
        <f>IF($B132="","",IF(COUNTIFS(Лэндинг!$E$5:$E$300,$B132)+COUNTIFS(Закрытые!$E$5:$E$300,$B132,Закрытые!$B$5:$B$300,"L-*")=0,"",ROUND(SUMIFS(Лэндинг!$L$5:$L$300,Лэндинг!$E$5:$E$300,$B132)+SUMIFS(Закрытые!$L$5:$L$300,Закрытые!$E$5:$E$300,$B132,Закрытые!$B$5:$B$300,"L-*"),8)))</f>
        <v/>
      </c>
      <c r="J132" s="247" t="str">
        <f>IF($B132="","",IF(COUNTIFS(Лэндинг!$E$5:$E$300,$B132)+COUNTIFS(Закрытые!$E$5:$E$300,$B132,Закрытые!$B$5:$B$300,"L-*")=0,"",ROUND(SUMIFS(Лэндинг!$M$5:$M$300,Лэндинг!$E$5:$E$300,$B132)+SUMIFS(Закрытые!$M$5:$M$300,Закрытые!$E$5:$E$300,$B132,Закрытые!$B$5:$B$300,"L-*"),8)))</f>
        <v/>
      </c>
      <c r="K132" s="246" t="str">
        <f>IF(MIN(N(C132),N(F132))&lt;=0,"",ROUND(MIN(N(C132),N(F132))*(N(G132)-N(D132)),8))</f>
        <v/>
      </c>
      <c r="L132" s="183" t="str">
        <f>IF(MIN(N(C132),N(F132))&lt;=0,"",IF(N(D132)=0,"",ROUND((N(G132)/N(D132)-1)*100,2)))</f>
        <v/>
      </c>
      <c r="M132" s="183" t="str">
        <f>IF(OR(ROUND(N(C132)-N(F132),8)=0,1-N(Ввод!$J$19)/100&lt;=0),"",IF(N(C132)&gt;N(F132),(N(E132)-N(H132))/((N(C132)-N(F132))*(1-N(Ввод!$J$19)/100)),(N(H132)-N(E132))/((N(F132)-N(C132))*(1+N(Ввод!$J$19)/100))))</f>
        <v/>
      </c>
    </row>
    <row r="133" ht="22" customHeight="1">
      <c r="B133" s="239" t="n"/>
      <c r="C133" s="240" t="str">
        <f>IF(SUMIFS(Лэндинг!$F$5:$F$300,Лэндинг!$E$5:$E$300,$B133)+SUMIFS(Закрытые!$F$5:$F$300,Закрытые!$E$5:$E$300,$B133,Закрытые!$B$5:$B$300,"L-*")=0,"",SUMIFS(Лэндинг!$F$5:$F$300,Лэндинг!$E$5:$E$300,$B133)+SUMIFS(Закрытые!$F$5:$F$300,Закрытые!$E$5:$E$300,$B133,Закрытые!$B$5:$B$300,"L-*"))</f>
        <v/>
      </c>
      <c r="D133" s="177" t="str">
        <f>IF(C133="","",(SUMPRODUCT((Лэндинг!$E$5:$E$300=$B133)*Лэндинг!$F$5:$F$300*Лэндинг!$G$5:$G$300)+SUMPRODUCT((Закрытые!$E$5:$E$300=$B133)*(LEFT(Закрытые!$B$5:$B$300,2)="L-")*Закрытые!$F$5:$F$300*Закрытые!$G$5:$G$300))/C133)</f>
        <v/>
      </c>
      <c r="E133" s="241" t="str">
        <f>IF(C133="","",SUMIFS(Лэндинг!$H$5:$H$300,Лэндинг!$E$5:$E$300,$B133)+SUMIFS(Закрытые!$H$5:$H$300,Закрытые!$E$5:$E$300,$B133,Закрытые!$B$5:$B$300,"L-*"))</f>
        <v/>
      </c>
      <c r="F133" s="240" t="str">
        <f>IF(SUMIFS(Лэндинг!$I$5:$I$300,Лэндинг!$E$5:$E$300,$B133)+SUMIFS(Закрытые!$I$5:$I$300,Закрытые!$E$5:$E$300,$B133,Закрытые!$B$5:$B$300,"L-*")=0,"",SUMIFS(Лэндинг!$I$5:$I$300,Лэндинг!$E$5:$E$300,$B133)+SUMIFS(Закрытые!$I$5:$I$300,Закрытые!$E$5:$E$300,$B133,Закрытые!$B$5:$B$300,"L-*"))</f>
        <v/>
      </c>
      <c r="G133" s="177" t="str">
        <f>IF(F133="","",(SUMPRODUCT((Лэндинг!$E$5:$E$300=$B133)*Лэндинг!$I$5:$I$300*Лэндинг!$J$5:$J$300)+SUMPRODUCT((Закрытые!$E$5:$E$300=$B133)*(LEFT(Закрытые!$B$5:$B$300,2)="L-")*Закрытые!$I$5:$I$300*Закрытые!$J$5:$J$300))/F133)</f>
        <v/>
      </c>
      <c r="H133" s="241" t="str">
        <f>IF(F133="","",SUMIFS(Лэндинг!$K$5:$K$300,Лэндинг!$E$5:$E$300,$B133)+SUMIFS(Закрытые!$K$5:$K$300,Закрытые!$E$5:$E$300,$B133,Закрытые!$B$5:$B$300,"L-*"))</f>
        <v/>
      </c>
      <c r="I133" s="240" t="str">
        <f>IF($B133="","",IF(COUNTIFS(Лэндинг!$E$5:$E$300,$B133)+COUNTIFS(Закрытые!$E$5:$E$300,$B133,Закрытые!$B$5:$B$300,"L-*")=0,"",ROUND(SUMIFS(Лэндинг!$L$5:$L$300,Лэндинг!$E$5:$E$300,$B133)+SUMIFS(Закрытые!$L$5:$L$300,Закрытые!$E$5:$E$300,$B133,Закрытые!$B$5:$B$300,"L-*"),8)))</f>
        <v/>
      </c>
      <c r="J133" s="241" t="str">
        <f>IF($B133="","",IF(COUNTIFS(Лэндинг!$E$5:$E$300,$B133)+COUNTIFS(Закрытые!$E$5:$E$300,$B133,Закрытые!$B$5:$B$300,"L-*")=0,"",ROUND(SUMIFS(Лэндинг!$M$5:$M$300,Лэндинг!$E$5:$E$300,$B133)+SUMIFS(Закрытые!$M$5:$M$300,Закрытые!$E$5:$E$300,$B133,Закрытые!$B$5:$B$300,"L-*"),8)))</f>
        <v/>
      </c>
      <c r="K133" s="240" t="str">
        <f>IF(MIN(N(C133),N(F133))&lt;=0,"",ROUND(MIN(N(C133),N(F133))*(N(G133)-N(D133)),8))</f>
        <v/>
      </c>
      <c r="L133" s="177" t="str">
        <f>IF(MIN(N(C133),N(F133))&lt;=0,"",IF(N(D133)=0,"",ROUND((N(G133)/N(D133)-1)*100,2)))</f>
        <v/>
      </c>
      <c r="M133" s="177" t="str">
        <f>IF(OR(ROUND(N(C133)-N(F133),8)=0,1-N(Ввод!$J$19)/100&lt;=0),"",IF(N(C133)&gt;N(F133),(N(E133)-N(H133))/((N(C133)-N(F133))*(1-N(Ввод!$J$19)/100)),(N(H133)-N(E133))/((N(F133)-N(C133))*(1+N(Ввод!$J$19)/100))))</f>
        <v/>
      </c>
    </row>
    <row r="134" ht="22" customHeight="1">
      <c r="B134" s="245" t="n"/>
      <c r="C134" s="246" t="str">
        <f>IF(SUMIFS(Лэндинг!$F$5:$F$300,Лэндинг!$E$5:$E$300,$B134)+SUMIFS(Закрытые!$F$5:$F$300,Закрытые!$E$5:$E$300,$B134,Закрытые!$B$5:$B$300,"L-*")=0,"",SUMIFS(Лэндинг!$F$5:$F$300,Лэндинг!$E$5:$E$300,$B134)+SUMIFS(Закрытые!$F$5:$F$300,Закрытые!$E$5:$E$300,$B134,Закрытые!$B$5:$B$300,"L-*"))</f>
        <v/>
      </c>
      <c r="D134" s="183" t="str">
        <f>IF(C134="","",(SUMPRODUCT((Лэндинг!$E$5:$E$300=$B134)*Лэндинг!$F$5:$F$300*Лэндинг!$G$5:$G$300)+SUMPRODUCT((Закрытые!$E$5:$E$300=$B134)*(LEFT(Закрытые!$B$5:$B$300,2)="L-")*Закрытые!$F$5:$F$300*Закрытые!$G$5:$G$300))/C134)</f>
        <v/>
      </c>
      <c r="E134" s="247" t="str">
        <f>IF(C134="","",SUMIFS(Лэндинг!$H$5:$H$300,Лэндинг!$E$5:$E$300,$B134)+SUMIFS(Закрытые!$H$5:$H$300,Закрытые!$E$5:$E$300,$B134,Закрытые!$B$5:$B$300,"L-*"))</f>
        <v/>
      </c>
      <c r="F134" s="246" t="str">
        <f>IF(SUMIFS(Лэндинг!$I$5:$I$300,Лэндинг!$E$5:$E$300,$B134)+SUMIFS(Закрытые!$I$5:$I$300,Закрытые!$E$5:$E$300,$B134,Закрытые!$B$5:$B$300,"L-*")=0,"",SUMIFS(Лэндинг!$I$5:$I$300,Лэндинг!$E$5:$E$300,$B134)+SUMIFS(Закрытые!$I$5:$I$300,Закрытые!$E$5:$E$300,$B134,Закрытые!$B$5:$B$300,"L-*"))</f>
        <v/>
      </c>
      <c r="G134" s="183" t="str">
        <f>IF(F134="","",(SUMPRODUCT((Лэндинг!$E$5:$E$300=$B134)*Лэндинг!$I$5:$I$300*Лэндинг!$J$5:$J$300)+SUMPRODUCT((Закрытые!$E$5:$E$300=$B134)*(LEFT(Закрытые!$B$5:$B$300,2)="L-")*Закрытые!$I$5:$I$300*Закрытые!$J$5:$J$300))/F134)</f>
        <v/>
      </c>
      <c r="H134" s="247" t="str">
        <f>IF(F134="","",SUMIFS(Лэндинг!$K$5:$K$300,Лэндинг!$E$5:$E$300,$B134)+SUMIFS(Закрытые!$K$5:$K$300,Закрытые!$E$5:$E$300,$B134,Закрытые!$B$5:$B$300,"L-*"))</f>
        <v/>
      </c>
      <c r="I134" s="246" t="str">
        <f>IF($B134="","",IF(COUNTIFS(Лэндинг!$E$5:$E$300,$B134)+COUNTIFS(Закрытые!$E$5:$E$300,$B134,Закрытые!$B$5:$B$300,"L-*")=0,"",ROUND(SUMIFS(Лэндинг!$L$5:$L$300,Лэндинг!$E$5:$E$300,$B134)+SUMIFS(Закрытые!$L$5:$L$300,Закрытые!$E$5:$E$300,$B134,Закрытые!$B$5:$B$300,"L-*"),8)))</f>
        <v/>
      </c>
      <c r="J134" s="247" t="str">
        <f>IF($B134="","",IF(COUNTIFS(Лэндинг!$E$5:$E$300,$B134)+COUNTIFS(Закрытые!$E$5:$E$300,$B134,Закрытые!$B$5:$B$300,"L-*")=0,"",ROUND(SUMIFS(Лэндинг!$M$5:$M$300,Лэндинг!$E$5:$E$300,$B134)+SUMIFS(Закрытые!$M$5:$M$300,Закрытые!$E$5:$E$300,$B134,Закрытые!$B$5:$B$300,"L-*"),8)))</f>
        <v/>
      </c>
      <c r="K134" s="246" t="str">
        <f>IF(MIN(N(C134),N(F134))&lt;=0,"",ROUND(MIN(N(C134),N(F134))*(N(G134)-N(D134)),8))</f>
        <v/>
      </c>
      <c r="L134" s="183" t="str">
        <f>IF(MIN(N(C134),N(F134))&lt;=0,"",IF(N(D134)=0,"",ROUND((N(G134)/N(D134)-1)*100,2)))</f>
        <v/>
      </c>
      <c r="M134" s="183" t="str">
        <f>IF(OR(ROUND(N(C134)-N(F134),8)=0,1-N(Ввод!$J$19)/100&lt;=0),"",IF(N(C134)&gt;N(F134),(N(E134)-N(H134))/((N(C134)-N(F134))*(1-N(Ввод!$J$19)/100)),(N(H134)-N(E134))/((N(F134)-N(C134))*(1+N(Ввод!$J$19)/100))))</f>
        <v/>
      </c>
    </row>
    <row r="135" ht="22" customHeight="1">
      <c r="B135" s="239" t="n"/>
      <c r="C135" s="240" t="str">
        <f>IF(SUMIFS(Лэндинг!$F$5:$F$300,Лэндинг!$E$5:$E$300,$B135)+SUMIFS(Закрытые!$F$5:$F$300,Закрытые!$E$5:$E$300,$B135,Закрытые!$B$5:$B$300,"L-*")=0,"",SUMIFS(Лэндинг!$F$5:$F$300,Лэндинг!$E$5:$E$300,$B135)+SUMIFS(Закрытые!$F$5:$F$300,Закрытые!$E$5:$E$300,$B135,Закрытые!$B$5:$B$300,"L-*"))</f>
        <v/>
      </c>
      <c r="D135" s="177" t="str">
        <f>IF(C135="","",(SUMPRODUCT((Лэндинг!$E$5:$E$300=$B135)*Лэндинг!$F$5:$F$300*Лэндинг!$G$5:$G$300)+SUMPRODUCT((Закрытые!$E$5:$E$300=$B135)*(LEFT(Закрытые!$B$5:$B$300,2)="L-")*Закрытые!$F$5:$F$300*Закрытые!$G$5:$G$300))/C135)</f>
        <v/>
      </c>
      <c r="E135" s="241" t="str">
        <f>IF(C135="","",SUMIFS(Лэндинг!$H$5:$H$300,Лэндинг!$E$5:$E$300,$B135)+SUMIFS(Закрытые!$H$5:$H$300,Закрытые!$E$5:$E$300,$B135,Закрытые!$B$5:$B$300,"L-*"))</f>
        <v/>
      </c>
      <c r="F135" s="240" t="str">
        <f>IF(SUMIFS(Лэндинг!$I$5:$I$300,Лэндинг!$E$5:$E$300,$B135)+SUMIFS(Закрытые!$I$5:$I$300,Закрытые!$E$5:$E$300,$B135,Закрытые!$B$5:$B$300,"L-*")=0,"",SUMIFS(Лэндинг!$I$5:$I$300,Лэндинг!$E$5:$E$300,$B135)+SUMIFS(Закрытые!$I$5:$I$300,Закрытые!$E$5:$E$300,$B135,Закрытые!$B$5:$B$300,"L-*"))</f>
        <v/>
      </c>
      <c r="G135" s="177" t="str">
        <f>IF(F135="","",(SUMPRODUCT((Лэндинг!$E$5:$E$300=$B135)*Лэндинг!$I$5:$I$300*Лэндинг!$J$5:$J$300)+SUMPRODUCT((Закрытые!$E$5:$E$300=$B135)*(LEFT(Закрытые!$B$5:$B$300,2)="L-")*Закрытые!$I$5:$I$300*Закрытые!$J$5:$J$300))/F135)</f>
        <v/>
      </c>
      <c r="H135" s="241" t="str">
        <f>IF(F135="","",SUMIFS(Лэндинг!$K$5:$K$300,Лэндинг!$E$5:$E$300,$B135)+SUMIFS(Закрытые!$K$5:$K$300,Закрытые!$E$5:$E$300,$B135,Закрытые!$B$5:$B$300,"L-*"))</f>
        <v/>
      </c>
      <c r="I135" s="240" t="str">
        <f>IF($B135="","",IF(COUNTIFS(Лэндинг!$E$5:$E$300,$B135)+COUNTIFS(Закрытые!$E$5:$E$300,$B135,Закрытые!$B$5:$B$300,"L-*")=0,"",ROUND(SUMIFS(Лэндинг!$L$5:$L$300,Лэндинг!$E$5:$E$300,$B135)+SUMIFS(Закрытые!$L$5:$L$300,Закрытые!$E$5:$E$300,$B135,Закрытые!$B$5:$B$300,"L-*"),8)))</f>
        <v/>
      </c>
      <c r="J135" s="241" t="str">
        <f>IF($B135="","",IF(COUNTIFS(Лэндинг!$E$5:$E$300,$B135)+COUNTIFS(Закрытые!$E$5:$E$300,$B135,Закрытые!$B$5:$B$300,"L-*")=0,"",ROUND(SUMIFS(Лэндинг!$M$5:$M$300,Лэндинг!$E$5:$E$300,$B135)+SUMIFS(Закрытые!$M$5:$M$300,Закрытые!$E$5:$E$300,$B135,Закрытые!$B$5:$B$300,"L-*"),8)))</f>
        <v/>
      </c>
      <c r="K135" s="240" t="str">
        <f>IF(MIN(N(C135),N(F135))&lt;=0,"",ROUND(MIN(N(C135),N(F135))*(N(G135)-N(D135)),8))</f>
        <v/>
      </c>
      <c r="L135" s="177" t="str">
        <f>IF(MIN(N(C135),N(F135))&lt;=0,"",IF(N(D135)=0,"",ROUND((N(G135)/N(D135)-1)*100,2)))</f>
        <v/>
      </c>
      <c r="M135" s="177" t="str">
        <f>IF(OR(ROUND(N(C135)-N(F135),8)=0,1-N(Ввод!$J$19)/100&lt;=0),"",IF(N(C135)&gt;N(F135),(N(E135)-N(H135))/((N(C135)-N(F135))*(1-N(Ввод!$J$19)/100)),(N(H135)-N(E135))/((N(F135)-N(C135))*(1+N(Ввод!$J$19)/100))))</f>
        <v/>
      </c>
    </row>
    <row r="136" ht="22" customHeight="1">
      <c r="B136" s="245" t="n"/>
      <c r="C136" s="246" t="str">
        <f>IF(SUMIFS(Лэндинг!$F$5:$F$300,Лэндинг!$E$5:$E$300,$B136)+SUMIFS(Закрытые!$F$5:$F$300,Закрытые!$E$5:$E$300,$B136,Закрытые!$B$5:$B$300,"L-*")=0,"",SUMIFS(Лэндинг!$F$5:$F$300,Лэндинг!$E$5:$E$300,$B136)+SUMIFS(Закрытые!$F$5:$F$300,Закрытые!$E$5:$E$300,$B136,Закрытые!$B$5:$B$300,"L-*"))</f>
        <v/>
      </c>
      <c r="D136" s="183" t="str">
        <f>IF(C136="","",(SUMPRODUCT((Лэндинг!$E$5:$E$300=$B136)*Лэндинг!$F$5:$F$300*Лэндинг!$G$5:$G$300)+SUMPRODUCT((Закрытые!$E$5:$E$300=$B136)*(LEFT(Закрытые!$B$5:$B$300,2)="L-")*Закрытые!$F$5:$F$300*Закрытые!$G$5:$G$300))/C136)</f>
        <v/>
      </c>
      <c r="E136" s="247" t="str">
        <f>IF(C136="","",SUMIFS(Лэндинг!$H$5:$H$300,Лэндинг!$E$5:$E$300,$B136)+SUMIFS(Закрытые!$H$5:$H$300,Закрытые!$E$5:$E$300,$B136,Закрытые!$B$5:$B$300,"L-*"))</f>
        <v/>
      </c>
      <c r="F136" s="246" t="str">
        <f>IF(SUMIFS(Лэндинг!$I$5:$I$300,Лэндинг!$E$5:$E$300,$B136)+SUMIFS(Закрытые!$I$5:$I$300,Закрытые!$E$5:$E$300,$B136,Закрытые!$B$5:$B$300,"L-*")=0,"",SUMIFS(Лэндинг!$I$5:$I$300,Лэндинг!$E$5:$E$300,$B136)+SUMIFS(Закрытые!$I$5:$I$300,Закрытые!$E$5:$E$300,$B136,Закрытые!$B$5:$B$300,"L-*"))</f>
        <v/>
      </c>
      <c r="G136" s="183" t="str">
        <f>IF(F136="","",(SUMPRODUCT((Лэндинг!$E$5:$E$300=$B136)*Лэндинг!$I$5:$I$300*Лэндинг!$J$5:$J$300)+SUMPRODUCT((Закрытые!$E$5:$E$300=$B136)*(LEFT(Закрытые!$B$5:$B$300,2)="L-")*Закрытые!$I$5:$I$300*Закрытые!$J$5:$J$300))/F136)</f>
        <v/>
      </c>
      <c r="H136" s="247" t="str">
        <f>IF(F136="","",SUMIFS(Лэндинг!$K$5:$K$300,Лэндинг!$E$5:$E$300,$B136)+SUMIFS(Закрытые!$K$5:$K$300,Закрытые!$E$5:$E$300,$B136,Закрытые!$B$5:$B$300,"L-*"))</f>
        <v/>
      </c>
      <c r="I136" s="246" t="str">
        <f>IF($B136="","",IF(COUNTIFS(Лэндинг!$E$5:$E$300,$B136)+COUNTIFS(Закрытые!$E$5:$E$300,$B136,Закрытые!$B$5:$B$300,"L-*")=0,"",ROUND(SUMIFS(Лэндинг!$L$5:$L$300,Лэндинг!$E$5:$E$300,$B136)+SUMIFS(Закрытые!$L$5:$L$300,Закрытые!$E$5:$E$300,$B136,Закрытые!$B$5:$B$300,"L-*"),8)))</f>
        <v/>
      </c>
      <c r="J136" s="247" t="str">
        <f>IF($B136="","",IF(COUNTIFS(Лэндинг!$E$5:$E$300,$B136)+COUNTIFS(Закрытые!$E$5:$E$300,$B136,Закрытые!$B$5:$B$300,"L-*")=0,"",ROUND(SUMIFS(Лэндинг!$M$5:$M$300,Лэндинг!$E$5:$E$300,$B136)+SUMIFS(Закрытые!$M$5:$M$300,Закрытые!$E$5:$E$300,$B136,Закрытые!$B$5:$B$300,"L-*"),8)))</f>
        <v/>
      </c>
      <c r="K136" s="246" t="str">
        <f>IF(MIN(N(C136),N(F136))&lt;=0,"",ROUND(MIN(N(C136),N(F136))*(N(G136)-N(D136)),8))</f>
        <v/>
      </c>
      <c r="L136" s="183" t="str">
        <f>IF(MIN(N(C136),N(F136))&lt;=0,"",IF(N(D136)=0,"",ROUND((N(G136)/N(D136)-1)*100,2)))</f>
        <v/>
      </c>
      <c r="M136" s="183" t="str">
        <f>IF(OR(ROUND(N(C136)-N(F136),8)=0,1-N(Ввод!$J$19)/100&lt;=0),"",IF(N(C136)&gt;N(F136),(N(E136)-N(H136))/((N(C136)-N(F136))*(1-N(Ввод!$J$19)/100)),(N(H136)-N(E136))/((N(F136)-N(C136))*(1+N(Ввод!$J$19)/100))))</f>
        <v/>
      </c>
    </row>
    <row r="137" ht="22" customHeight="1">
      <c r="B137" s="239" t="n"/>
      <c r="C137" s="240" t="str">
        <f>IF(SUMIFS(Лэндинг!$F$5:$F$300,Лэндинг!$E$5:$E$300,$B137)+SUMIFS(Закрытые!$F$5:$F$300,Закрытые!$E$5:$E$300,$B137,Закрытые!$B$5:$B$300,"L-*")=0,"",SUMIFS(Лэндинг!$F$5:$F$300,Лэндинг!$E$5:$E$300,$B137)+SUMIFS(Закрытые!$F$5:$F$300,Закрытые!$E$5:$E$300,$B137,Закрытые!$B$5:$B$300,"L-*"))</f>
        <v/>
      </c>
      <c r="D137" s="177" t="str">
        <f>IF(C137="","",(SUMPRODUCT((Лэндинг!$E$5:$E$300=$B137)*Лэндинг!$F$5:$F$300*Лэндинг!$G$5:$G$300)+SUMPRODUCT((Закрытые!$E$5:$E$300=$B137)*(LEFT(Закрытые!$B$5:$B$300,2)="L-")*Закрытые!$F$5:$F$300*Закрытые!$G$5:$G$300))/C137)</f>
        <v/>
      </c>
      <c r="E137" s="241" t="str">
        <f>IF(C137="","",SUMIFS(Лэндинг!$H$5:$H$300,Лэндинг!$E$5:$E$300,$B137)+SUMIFS(Закрытые!$H$5:$H$300,Закрытые!$E$5:$E$300,$B137,Закрытые!$B$5:$B$300,"L-*"))</f>
        <v/>
      </c>
      <c r="F137" s="240" t="str">
        <f>IF(SUMIFS(Лэндинг!$I$5:$I$300,Лэндинг!$E$5:$E$300,$B137)+SUMIFS(Закрытые!$I$5:$I$300,Закрытые!$E$5:$E$300,$B137,Закрытые!$B$5:$B$300,"L-*")=0,"",SUMIFS(Лэндинг!$I$5:$I$300,Лэндинг!$E$5:$E$300,$B137)+SUMIFS(Закрытые!$I$5:$I$300,Закрытые!$E$5:$E$300,$B137,Закрытые!$B$5:$B$300,"L-*"))</f>
        <v/>
      </c>
      <c r="G137" s="177" t="str">
        <f>IF(F137="","",(SUMPRODUCT((Лэндинг!$E$5:$E$300=$B137)*Лэндинг!$I$5:$I$300*Лэндинг!$J$5:$J$300)+SUMPRODUCT((Закрытые!$E$5:$E$300=$B137)*(LEFT(Закрытые!$B$5:$B$300,2)="L-")*Закрытые!$I$5:$I$300*Закрытые!$J$5:$J$300))/F137)</f>
        <v/>
      </c>
      <c r="H137" s="241" t="str">
        <f>IF(F137="","",SUMIFS(Лэндинг!$K$5:$K$300,Лэндинг!$E$5:$E$300,$B137)+SUMIFS(Закрытые!$K$5:$K$300,Закрытые!$E$5:$E$300,$B137,Закрытые!$B$5:$B$300,"L-*"))</f>
        <v/>
      </c>
      <c r="I137" s="240" t="str">
        <f>IF($B137="","",IF(COUNTIFS(Лэндинг!$E$5:$E$300,$B137)+COUNTIFS(Закрытые!$E$5:$E$300,$B137,Закрытые!$B$5:$B$300,"L-*")=0,"",ROUND(SUMIFS(Лэндинг!$L$5:$L$300,Лэндинг!$E$5:$E$300,$B137)+SUMIFS(Закрытые!$L$5:$L$300,Закрытые!$E$5:$E$300,$B137,Закрытые!$B$5:$B$300,"L-*"),8)))</f>
        <v/>
      </c>
      <c r="J137" s="241" t="str">
        <f>IF($B137="","",IF(COUNTIFS(Лэндинг!$E$5:$E$300,$B137)+COUNTIFS(Закрытые!$E$5:$E$300,$B137,Закрытые!$B$5:$B$300,"L-*")=0,"",ROUND(SUMIFS(Лэндинг!$M$5:$M$300,Лэндинг!$E$5:$E$300,$B137)+SUMIFS(Закрытые!$M$5:$M$300,Закрытые!$E$5:$E$300,$B137,Закрытые!$B$5:$B$300,"L-*"),8)))</f>
        <v/>
      </c>
      <c r="K137" s="240" t="str">
        <f>IF(MIN(N(C137),N(F137))&lt;=0,"",ROUND(MIN(N(C137),N(F137))*(N(G137)-N(D137)),8))</f>
        <v/>
      </c>
      <c r="L137" s="177" t="str">
        <f>IF(MIN(N(C137),N(F137))&lt;=0,"",IF(N(D137)=0,"",ROUND((N(G137)/N(D137)-1)*100,2)))</f>
        <v/>
      </c>
      <c r="M137" s="177" t="str">
        <f>IF(OR(ROUND(N(C137)-N(F137),8)=0,1-N(Ввод!$J$19)/100&lt;=0),"",IF(N(C137)&gt;N(F137),(N(E137)-N(H137))/((N(C137)-N(F137))*(1-N(Ввод!$J$19)/100)),(N(H137)-N(E137))/((N(F137)-N(C137))*(1+N(Ввод!$J$19)/100))))</f>
        <v/>
      </c>
    </row>
    <row r="138" ht="22" customHeight="1">
      <c r="B138" s="245" t="n"/>
      <c r="C138" s="246" t="str">
        <f>IF(SUMIFS(Лэндинг!$F$5:$F$300,Лэндинг!$E$5:$E$300,$B138)+SUMIFS(Закрытые!$F$5:$F$300,Закрытые!$E$5:$E$300,$B138,Закрытые!$B$5:$B$300,"L-*")=0,"",SUMIFS(Лэндинг!$F$5:$F$300,Лэндинг!$E$5:$E$300,$B138)+SUMIFS(Закрытые!$F$5:$F$300,Закрытые!$E$5:$E$300,$B138,Закрытые!$B$5:$B$300,"L-*"))</f>
        <v/>
      </c>
      <c r="D138" s="183" t="str">
        <f>IF(C138="","",(SUMPRODUCT((Лэндинг!$E$5:$E$300=$B138)*Лэндинг!$F$5:$F$300*Лэндинг!$G$5:$G$300)+SUMPRODUCT((Закрытые!$E$5:$E$300=$B138)*(LEFT(Закрытые!$B$5:$B$300,2)="L-")*Закрытые!$F$5:$F$300*Закрытые!$G$5:$G$300))/C138)</f>
        <v/>
      </c>
      <c r="E138" s="247" t="str">
        <f>IF(C138="","",SUMIFS(Лэндинг!$H$5:$H$300,Лэндинг!$E$5:$E$300,$B138)+SUMIFS(Закрытые!$H$5:$H$300,Закрытые!$E$5:$E$300,$B138,Закрытые!$B$5:$B$300,"L-*"))</f>
        <v/>
      </c>
      <c r="F138" s="246" t="str">
        <f>IF(SUMIFS(Лэндинг!$I$5:$I$300,Лэндинг!$E$5:$E$300,$B138)+SUMIFS(Закрытые!$I$5:$I$300,Закрытые!$E$5:$E$300,$B138,Закрытые!$B$5:$B$300,"L-*")=0,"",SUMIFS(Лэндинг!$I$5:$I$300,Лэндинг!$E$5:$E$300,$B138)+SUMIFS(Закрытые!$I$5:$I$300,Закрытые!$E$5:$E$300,$B138,Закрытые!$B$5:$B$300,"L-*"))</f>
        <v/>
      </c>
      <c r="G138" s="183" t="str">
        <f>IF(F138="","",(SUMPRODUCT((Лэндинг!$E$5:$E$300=$B138)*Лэндинг!$I$5:$I$300*Лэндинг!$J$5:$J$300)+SUMPRODUCT((Закрытые!$E$5:$E$300=$B138)*(LEFT(Закрытые!$B$5:$B$300,2)="L-")*Закрытые!$I$5:$I$300*Закрытые!$J$5:$J$300))/F138)</f>
        <v/>
      </c>
      <c r="H138" s="247" t="str">
        <f>IF(F138="","",SUMIFS(Лэндинг!$K$5:$K$300,Лэндинг!$E$5:$E$300,$B138)+SUMIFS(Закрытые!$K$5:$K$300,Закрытые!$E$5:$E$300,$B138,Закрытые!$B$5:$B$300,"L-*"))</f>
        <v/>
      </c>
      <c r="I138" s="246" t="str">
        <f>IF($B138="","",IF(COUNTIFS(Лэндинг!$E$5:$E$300,$B138)+COUNTIFS(Закрытые!$E$5:$E$300,$B138,Закрытые!$B$5:$B$300,"L-*")=0,"",ROUND(SUMIFS(Лэндинг!$L$5:$L$300,Лэндинг!$E$5:$E$300,$B138)+SUMIFS(Закрытые!$L$5:$L$300,Закрытые!$E$5:$E$300,$B138,Закрытые!$B$5:$B$300,"L-*"),8)))</f>
        <v/>
      </c>
      <c r="J138" s="247" t="str">
        <f>IF($B138="","",IF(COUNTIFS(Лэндинг!$E$5:$E$300,$B138)+COUNTIFS(Закрытые!$E$5:$E$300,$B138,Закрытые!$B$5:$B$300,"L-*")=0,"",ROUND(SUMIFS(Лэндинг!$M$5:$M$300,Лэндинг!$E$5:$E$300,$B138)+SUMIFS(Закрытые!$M$5:$M$300,Закрытые!$E$5:$E$300,$B138,Закрытые!$B$5:$B$300,"L-*"),8)))</f>
        <v/>
      </c>
      <c r="K138" s="246" t="str">
        <f>IF(MIN(N(C138),N(F138))&lt;=0,"",ROUND(MIN(N(C138),N(F138))*(N(G138)-N(D138)),8))</f>
        <v/>
      </c>
      <c r="L138" s="183" t="str">
        <f>IF(MIN(N(C138),N(F138))&lt;=0,"",IF(N(D138)=0,"",ROUND((N(G138)/N(D138)-1)*100,2)))</f>
        <v/>
      </c>
      <c r="M138" s="183" t="str">
        <f>IF(OR(ROUND(N(C138)-N(F138),8)=0,1-N(Ввод!$J$19)/100&lt;=0),"",IF(N(C138)&gt;N(F138),(N(E138)-N(H138))/((N(C138)-N(F138))*(1-N(Ввод!$J$19)/100)),(N(H138)-N(E138))/((N(F138)-N(C138))*(1+N(Ввод!$J$19)/100))))</f>
        <v/>
      </c>
    </row>
    <row r="139" ht="22" customHeight="1">
      <c r="B139" s="239" t="n"/>
      <c r="C139" s="240" t="str">
        <f>IF(SUMIFS(Лэндинг!$F$5:$F$300,Лэндинг!$E$5:$E$300,$B139)+SUMIFS(Закрытые!$F$5:$F$300,Закрытые!$E$5:$E$300,$B139,Закрытые!$B$5:$B$300,"L-*")=0,"",SUMIFS(Лэндинг!$F$5:$F$300,Лэндинг!$E$5:$E$300,$B139)+SUMIFS(Закрытые!$F$5:$F$300,Закрытые!$E$5:$E$300,$B139,Закрытые!$B$5:$B$300,"L-*"))</f>
        <v/>
      </c>
      <c r="D139" s="177" t="str">
        <f>IF(C139="","",(SUMPRODUCT((Лэндинг!$E$5:$E$300=$B139)*Лэндинг!$F$5:$F$300*Лэндинг!$G$5:$G$300)+SUMPRODUCT((Закрытые!$E$5:$E$300=$B139)*(LEFT(Закрытые!$B$5:$B$300,2)="L-")*Закрытые!$F$5:$F$300*Закрытые!$G$5:$G$300))/C139)</f>
        <v/>
      </c>
      <c r="E139" s="241" t="str">
        <f>IF(C139="","",SUMIFS(Лэндинг!$H$5:$H$300,Лэндинг!$E$5:$E$300,$B139)+SUMIFS(Закрытые!$H$5:$H$300,Закрытые!$E$5:$E$300,$B139,Закрытые!$B$5:$B$300,"L-*"))</f>
        <v/>
      </c>
      <c r="F139" s="240" t="str">
        <f>IF(SUMIFS(Лэндинг!$I$5:$I$300,Лэндинг!$E$5:$E$300,$B139)+SUMIFS(Закрытые!$I$5:$I$300,Закрытые!$E$5:$E$300,$B139,Закрытые!$B$5:$B$300,"L-*")=0,"",SUMIFS(Лэндинг!$I$5:$I$300,Лэндинг!$E$5:$E$300,$B139)+SUMIFS(Закрытые!$I$5:$I$300,Закрытые!$E$5:$E$300,$B139,Закрытые!$B$5:$B$300,"L-*"))</f>
        <v/>
      </c>
      <c r="G139" s="177" t="str">
        <f>IF(F139="","",(SUMPRODUCT((Лэндинг!$E$5:$E$300=$B139)*Лэндинг!$I$5:$I$300*Лэндинг!$J$5:$J$300)+SUMPRODUCT((Закрытые!$E$5:$E$300=$B139)*(LEFT(Закрытые!$B$5:$B$300,2)="L-")*Закрытые!$I$5:$I$300*Закрытые!$J$5:$J$300))/F139)</f>
        <v/>
      </c>
      <c r="H139" s="241" t="str">
        <f>IF(F139="","",SUMIFS(Лэндинг!$K$5:$K$300,Лэндинг!$E$5:$E$300,$B139)+SUMIFS(Закрытые!$K$5:$K$300,Закрытые!$E$5:$E$300,$B139,Закрытые!$B$5:$B$300,"L-*"))</f>
        <v/>
      </c>
      <c r="I139" s="240" t="str">
        <f>IF($B139="","",IF(COUNTIFS(Лэндинг!$E$5:$E$300,$B139)+COUNTIFS(Закрытые!$E$5:$E$300,$B139,Закрытые!$B$5:$B$300,"L-*")=0,"",ROUND(SUMIFS(Лэндинг!$L$5:$L$300,Лэндинг!$E$5:$E$300,$B139)+SUMIFS(Закрытые!$L$5:$L$300,Закрытые!$E$5:$E$300,$B139,Закрытые!$B$5:$B$300,"L-*"),8)))</f>
        <v/>
      </c>
      <c r="J139" s="241" t="str">
        <f>IF($B139="","",IF(COUNTIFS(Лэндинг!$E$5:$E$300,$B139)+COUNTIFS(Закрытые!$E$5:$E$300,$B139,Закрытые!$B$5:$B$300,"L-*")=0,"",ROUND(SUMIFS(Лэндинг!$M$5:$M$300,Лэндинг!$E$5:$E$300,$B139)+SUMIFS(Закрытые!$M$5:$M$300,Закрытые!$E$5:$E$300,$B139,Закрытые!$B$5:$B$300,"L-*"),8)))</f>
        <v/>
      </c>
      <c r="K139" s="240" t="str">
        <f>IF(MIN(N(C139),N(F139))&lt;=0,"",ROUND(MIN(N(C139),N(F139))*(N(G139)-N(D139)),8))</f>
        <v/>
      </c>
      <c r="L139" s="177" t="str">
        <f>IF(MIN(N(C139),N(F139))&lt;=0,"",IF(N(D139)=0,"",ROUND((N(G139)/N(D139)-1)*100,2)))</f>
        <v/>
      </c>
      <c r="M139" s="177" t="str">
        <f>IF(OR(ROUND(N(C139)-N(F139),8)=0,1-N(Ввод!$J$19)/100&lt;=0),"",IF(N(C139)&gt;N(F139),(N(E139)-N(H139))/((N(C139)-N(F139))*(1-N(Ввод!$J$19)/100)),(N(H139)-N(E139))/((N(F139)-N(C139))*(1+N(Ввод!$J$19)/100))))</f>
        <v/>
      </c>
    </row>
    <row r="140" ht="22" customHeight="1">
      <c r="B140" s="245" t="n"/>
      <c r="C140" s="246" t="str">
        <f>IF(SUMIFS(Лэндинг!$F$5:$F$300,Лэндинг!$E$5:$E$300,$B140)+SUMIFS(Закрытые!$F$5:$F$300,Закрытые!$E$5:$E$300,$B140,Закрытые!$B$5:$B$300,"L-*")=0,"",SUMIFS(Лэндинг!$F$5:$F$300,Лэндинг!$E$5:$E$300,$B140)+SUMIFS(Закрытые!$F$5:$F$300,Закрытые!$E$5:$E$300,$B140,Закрытые!$B$5:$B$300,"L-*"))</f>
        <v/>
      </c>
      <c r="D140" s="183" t="str">
        <f>IF(C140="","",(SUMPRODUCT((Лэндинг!$E$5:$E$300=$B140)*Лэндинг!$F$5:$F$300*Лэндинг!$G$5:$G$300)+SUMPRODUCT((Закрытые!$E$5:$E$300=$B140)*(LEFT(Закрытые!$B$5:$B$300,2)="L-")*Закрытые!$F$5:$F$300*Закрытые!$G$5:$G$300))/C140)</f>
        <v/>
      </c>
      <c r="E140" s="247" t="str">
        <f>IF(C140="","",SUMIFS(Лэндинг!$H$5:$H$300,Лэндинг!$E$5:$E$300,$B140)+SUMIFS(Закрытые!$H$5:$H$300,Закрытые!$E$5:$E$300,$B140,Закрытые!$B$5:$B$300,"L-*"))</f>
        <v/>
      </c>
      <c r="F140" s="246" t="str">
        <f>IF(SUMIFS(Лэндинг!$I$5:$I$300,Лэндинг!$E$5:$E$300,$B140)+SUMIFS(Закрытые!$I$5:$I$300,Закрытые!$E$5:$E$300,$B140,Закрытые!$B$5:$B$300,"L-*")=0,"",SUMIFS(Лэндинг!$I$5:$I$300,Лэндинг!$E$5:$E$300,$B140)+SUMIFS(Закрытые!$I$5:$I$300,Закрытые!$E$5:$E$300,$B140,Закрытые!$B$5:$B$300,"L-*"))</f>
        <v/>
      </c>
      <c r="G140" s="183" t="str">
        <f>IF(F140="","",(SUMPRODUCT((Лэндинг!$E$5:$E$300=$B140)*Лэндинг!$I$5:$I$300*Лэндинг!$J$5:$J$300)+SUMPRODUCT((Закрытые!$E$5:$E$300=$B140)*(LEFT(Закрытые!$B$5:$B$300,2)="L-")*Закрытые!$I$5:$I$300*Закрытые!$J$5:$J$300))/F140)</f>
        <v/>
      </c>
      <c r="H140" s="247" t="str">
        <f>IF(F140="","",SUMIFS(Лэндинг!$K$5:$K$300,Лэндинг!$E$5:$E$300,$B140)+SUMIFS(Закрытые!$K$5:$K$300,Закрытые!$E$5:$E$300,$B140,Закрытые!$B$5:$B$300,"L-*"))</f>
        <v/>
      </c>
      <c r="I140" s="246" t="str">
        <f>IF($B140="","",IF(COUNTIFS(Лэндинг!$E$5:$E$300,$B140)+COUNTIFS(Закрытые!$E$5:$E$300,$B140,Закрытые!$B$5:$B$300,"L-*")=0,"",ROUND(SUMIFS(Лэндинг!$L$5:$L$300,Лэндинг!$E$5:$E$300,$B140)+SUMIFS(Закрытые!$L$5:$L$300,Закрытые!$E$5:$E$300,$B140,Закрытые!$B$5:$B$300,"L-*"),8)))</f>
        <v/>
      </c>
      <c r="J140" s="247" t="str">
        <f>IF($B140="","",IF(COUNTIFS(Лэндинг!$E$5:$E$300,$B140)+COUNTIFS(Закрытые!$E$5:$E$300,$B140,Закрытые!$B$5:$B$300,"L-*")=0,"",ROUND(SUMIFS(Лэндинг!$M$5:$M$300,Лэндинг!$E$5:$E$300,$B140)+SUMIFS(Закрытые!$M$5:$M$300,Закрытые!$E$5:$E$300,$B140,Закрытые!$B$5:$B$300,"L-*"),8)))</f>
        <v/>
      </c>
      <c r="K140" s="246" t="str">
        <f>IF(MIN(N(C140),N(F140))&lt;=0,"",ROUND(MIN(N(C140),N(F140))*(N(G140)-N(D140)),8))</f>
        <v/>
      </c>
      <c r="L140" s="183" t="str">
        <f>IF(MIN(N(C140),N(F140))&lt;=0,"",IF(N(D140)=0,"",ROUND((N(G140)/N(D140)-1)*100,2)))</f>
        <v/>
      </c>
      <c r="M140" s="183" t="str">
        <f>IF(OR(ROUND(N(C140)-N(F140),8)=0,1-N(Ввод!$J$19)/100&lt;=0),"",IF(N(C140)&gt;N(F140),(N(E140)-N(H140))/((N(C140)-N(F140))*(1-N(Ввод!$J$19)/100)),(N(H140)-N(E140))/((N(F140)-N(C140))*(1+N(Ввод!$J$19)/100))))</f>
        <v/>
      </c>
    </row>
    <row r="141" ht="22" customHeight="1">
      <c r="B141" s="239" t="n"/>
      <c r="C141" s="240" t="str">
        <f>IF(SUMIFS(Лэндинг!$F$5:$F$300,Лэндинг!$E$5:$E$300,$B141)+SUMIFS(Закрытые!$F$5:$F$300,Закрытые!$E$5:$E$300,$B141,Закрытые!$B$5:$B$300,"L-*")=0,"",SUMIFS(Лэндинг!$F$5:$F$300,Лэндинг!$E$5:$E$300,$B141)+SUMIFS(Закрытые!$F$5:$F$300,Закрытые!$E$5:$E$300,$B141,Закрытые!$B$5:$B$300,"L-*"))</f>
        <v/>
      </c>
      <c r="D141" s="177" t="str">
        <f>IF(C141="","",(SUMPRODUCT((Лэндинг!$E$5:$E$300=$B141)*Лэндинг!$F$5:$F$300*Лэндинг!$G$5:$G$300)+SUMPRODUCT((Закрытые!$E$5:$E$300=$B141)*(LEFT(Закрытые!$B$5:$B$300,2)="L-")*Закрытые!$F$5:$F$300*Закрытые!$G$5:$G$300))/C141)</f>
        <v/>
      </c>
      <c r="E141" s="241" t="str">
        <f>IF(C141="","",SUMIFS(Лэндинг!$H$5:$H$300,Лэндинг!$E$5:$E$300,$B141)+SUMIFS(Закрытые!$H$5:$H$300,Закрытые!$E$5:$E$300,$B141,Закрытые!$B$5:$B$300,"L-*"))</f>
        <v/>
      </c>
      <c r="F141" s="240" t="str">
        <f>IF(SUMIFS(Лэндинг!$I$5:$I$300,Лэндинг!$E$5:$E$300,$B141)+SUMIFS(Закрытые!$I$5:$I$300,Закрытые!$E$5:$E$300,$B141,Закрытые!$B$5:$B$300,"L-*")=0,"",SUMIFS(Лэндинг!$I$5:$I$300,Лэндинг!$E$5:$E$300,$B141)+SUMIFS(Закрытые!$I$5:$I$300,Закрытые!$E$5:$E$300,$B141,Закрытые!$B$5:$B$300,"L-*"))</f>
        <v/>
      </c>
      <c r="G141" s="177" t="str">
        <f>IF(F141="","",(SUMPRODUCT((Лэндинг!$E$5:$E$300=$B141)*Лэндинг!$I$5:$I$300*Лэндинг!$J$5:$J$300)+SUMPRODUCT((Закрытые!$E$5:$E$300=$B141)*(LEFT(Закрытые!$B$5:$B$300,2)="L-")*Закрытые!$I$5:$I$300*Закрытые!$J$5:$J$300))/F141)</f>
        <v/>
      </c>
      <c r="H141" s="241" t="str">
        <f>IF(F141="","",SUMIFS(Лэндинг!$K$5:$K$300,Лэндинг!$E$5:$E$300,$B141)+SUMIFS(Закрытые!$K$5:$K$300,Закрытые!$E$5:$E$300,$B141,Закрытые!$B$5:$B$300,"L-*"))</f>
        <v/>
      </c>
      <c r="I141" s="240" t="str">
        <f>IF($B141="","",IF(COUNTIFS(Лэндинг!$E$5:$E$300,$B141)+COUNTIFS(Закрытые!$E$5:$E$300,$B141,Закрытые!$B$5:$B$300,"L-*")=0,"",ROUND(SUMIFS(Лэндинг!$L$5:$L$300,Лэндинг!$E$5:$E$300,$B141)+SUMIFS(Закрытые!$L$5:$L$300,Закрытые!$E$5:$E$300,$B141,Закрытые!$B$5:$B$300,"L-*"),8)))</f>
        <v/>
      </c>
      <c r="J141" s="241" t="str">
        <f>IF($B141="","",IF(COUNTIFS(Лэндинг!$E$5:$E$300,$B141)+COUNTIFS(Закрытые!$E$5:$E$300,$B141,Закрытые!$B$5:$B$300,"L-*")=0,"",ROUND(SUMIFS(Лэндинг!$M$5:$M$300,Лэндинг!$E$5:$E$300,$B141)+SUMIFS(Закрытые!$M$5:$M$300,Закрытые!$E$5:$E$300,$B141,Закрытые!$B$5:$B$300,"L-*"),8)))</f>
        <v/>
      </c>
      <c r="K141" s="240" t="str">
        <f>IF(MIN(N(C141),N(F141))&lt;=0,"",ROUND(MIN(N(C141),N(F141))*(N(G141)-N(D141)),8))</f>
        <v/>
      </c>
      <c r="L141" s="177" t="str">
        <f>IF(MIN(N(C141),N(F141))&lt;=0,"",IF(N(D141)=0,"",ROUND((N(G141)/N(D141)-1)*100,2)))</f>
        <v/>
      </c>
      <c r="M141" s="177" t="str">
        <f>IF(OR(ROUND(N(C141)-N(F141),8)=0,1-N(Ввод!$J$19)/100&lt;=0),"",IF(N(C141)&gt;N(F141),(N(E141)-N(H141))/((N(C141)-N(F141))*(1-N(Ввод!$J$19)/100)),(N(H141)-N(E141))/((N(F141)-N(C141))*(1+N(Ввод!$J$19)/100))))</f>
        <v/>
      </c>
    </row>
    <row r="142" ht="22" customHeight="1">
      <c r="B142" s="245" t="n"/>
      <c r="C142" s="246" t="str">
        <f>IF(SUMIFS(Лэндинг!$F$5:$F$300,Лэндинг!$E$5:$E$300,$B142)+SUMIFS(Закрытые!$F$5:$F$300,Закрытые!$E$5:$E$300,$B142,Закрытые!$B$5:$B$300,"L-*")=0,"",SUMIFS(Лэндинг!$F$5:$F$300,Лэндинг!$E$5:$E$300,$B142)+SUMIFS(Закрытые!$F$5:$F$300,Закрытые!$E$5:$E$300,$B142,Закрытые!$B$5:$B$300,"L-*"))</f>
        <v/>
      </c>
      <c r="D142" s="183" t="str">
        <f>IF(C142="","",(SUMPRODUCT((Лэндинг!$E$5:$E$300=$B142)*Лэндинг!$F$5:$F$300*Лэндинг!$G$5:$G$300)+SUMPRODUCT((Закрытые!$E$5:$E$300=$B142)*(LEFT(Закрытые!$B$5:$B$300,2)="L-")*Закрытые!$F$5:$F$300*Закрытые!$G$5:$G$300))/C142)</f>
        <v/>
      </c>
      <c r="E142" s="247" t="str">
        <f>IF(C142="","",SUMIFS(Лэндинг!$H$5:$H$300,Лэндинг!$E$5:$E$300,$B142)+SUMIFS(Закрытые!$H$5:$H$300,Закрытые!$E$5:$E$300,$B142,Закрытые!$B$5:$B$300,"L-*"))</f>
        <v/>
      </c>
      <c r="F142" s="246" t="str">
        <f>IF(SUMIFS(Лэндинг!$I$5:$I$300,Лэндинг!$E$5:$E$300,$B142)+SUMIFS(Закрытые!$I$5:$I$300,Закрытые!$E$5:$E$300,$B142,Закрытые!$B$5:$B$300,"L-*")=0,"",SUMIFS(Лэндинг!$I$5:$I$300,Лэндинг!$E$5:$E$300,$B142)+SUMIFS(Закрытые!$I$5:$I$300,Закрытые!$E$5:$E$300,$B142,Закрытые!$B$5:$B$300,"L-*"))</f>
        <v/>
      </c>
      <c r="G142" s="183" t="str">
        <f>IF(F142="","",(SUMPRODUCT((Лэндинг!$E$5:$E$300=$B142)*Лэндинг!$I$5:$I$300*Лэндинг!$J$5:$J$300)+SUMPRODUCT((Закрытые!$E$5:$E$300=$B142)*(LEFT(Закрытые!$B$5:$B$300,2)="L-")*Закрытые!$I$5:$I$300*Закрытые!$J$5:$J$300))/F142)</f>
        <v/>
      </c>
      <c r="H142" s="247" t="str">
        <f>IF(F142="","",SUMIFS(Лэндинг!$K$5:$K$300,Лэндинг!$E$5:$E$300,$B142)+SUMIFS(Закрытые!$K$5:$K$300,Закрытые!$E$5:$E$300,$B142,Закрытые!$B$5:$B$300,"L-*"))</f>
        <v/>
      </c>
      <c r="I142" s="246" t="str">
        <f>IF($B142="","",IF(COUNTIFS(Лэндинг!$E$5:$E$300,$B142)+COUNTIFS(Закрытые!$E$5:$E$300,$B142,Закрытые!$B$5:$B$300,"L-*")=0,"",ROUND(SUMIFS(Лэндинг!$L$5:$L$300,Лэндинг!$E$5:$E$300,$B142)+SUMIFS(Закрытые!$L$5:$L$300,Закрытые!$E$5:$E$300,$B142,Закрытые!$B$5:$B$300,"L-*"),8)))</f>
        <v/>
      </c>
      <c r="J142" s="247" t="str">
        <f>IF($B142="","",IF(COUNTIFS(Лэндинг!$E$5:$E$300,$B142)+COUNTIFS(Закрытые!$E$5:$E$300,$B142,Закрытые!$B$5:$B$300,"L-*")=0,"",ROUND(SUMIFS(Лэндинг!$M$5:$M$300,Лэндинг!$E$5:$E$300,$B142)+SUMIFS(Закрытые!$M$5:$M$300,Закрытые!$E$5:$E$300,$B142,Закрытые!$B$5:$B$300,"L-*"),8)))</f>
        <v/>
      </c>
      <c r="K142" s="246" t="str">
        <f>IF(MIN(N(C142),N(F142))&lt;=0,"",ROUND(MIN(N(C142),N(F142))*(N(G142)-N(D142)),8))</f>
        <v/>
      </c>
      <c r="L142" s="183" t="str">
        <f>IF(MIN(N(C142),N(F142))&lt;=0,"",IF(N(D142)=0,"",ROUND((N(G142)/N(D142)-1)*100,2)))</f>
        <v/>
      </c>
      <c r="M142" s="183" t="str">
        <f>IF(OR(ROUND(N(C142)-N(F142),8)=0,1-N(Ввод!$J$19)/100&lt;=0),"",IF(N(C142)&gt;N(F142),(N(E142)-N(H142))/((N(C142)-N(F142))*(1-N(Ввод!$J$19)/100)),(N(H142)-N(E142))/((N(F142)-N(C142))*(1+N(Ввод!$J$19)/100))))</f>
        <v/>
      </c>
    </row>
    <row r="143" ht="22" customHeight="1">
      <c r="B143" s="239" t="n"/>
      <c r="C143" s="240" t="str">
        <f>IF(SUMIFS(Лэндинг!$F$5:$F$300,Лэндинг!$E$5:$E$300,$B143)+SUMIFS(Закрытые!$F$5:$F$300,Закрытые!$E$5:$E$300,$B143,Закрытые!$B$5:$B$300,"L-*")=0,"",SUMIFS(Лэндинг!$F$5:$F$300,Лэндинг!$E$5:$E$300,$B143)+SUMIFS(Закрытые!$F$5:$F$300,Закрытые!$E$5:$E$300,$B143,Закрытые!$B$5:$B$300,"L-*"))</f>
        <v/>
      </c>
      <c r="D143" s="177" t="str">
        <f>IF(C143="","",(SUMPRODUCT((Лэндинг!$E$5:$E$300=$B143)*Лэндинг!$F$5:$F$300*Лэндинг!$G$5:$G$300)+SUMPRODUCT((Закрытые!$E$5:$E$300=$B143)*(LEFT(Закрытые!$B$5:$B$300,2)="L-")*Закрытые!$F$5:$F$300*Закрытые!$G$5:$G$300))/C143)</f>
        <v/>
      </c>
      <c r="E143" s="241" t="str">
        <f>IF(C143="","",SUMIFS(Лэндинг!$H$5:$H$300,Лэндинг!$E$5:$E$300,$B143)+SUMIFS(Закрытые!$H$5:$H$300,Закрытые!$E$5:$E$300,$B143,Закрытые!$B$5:$B$300,"L-*"))</f>
        <v/>
      </c>
      <c r="F143" s="240" t="str">
        <f>IF(SUMIFS(Лэндинг!$I$5:$I$300,Лэндинг!$E$5:$E$300,$B143)+SUMIFS(Закрытые!$I$5:$I$300,Закрытые!$E$5:$E$300,$B143,Закрытые!$B$5:$B$300,"L-*")=0,"",SUMIFS(Лэндинг!$I$5:$I$300,Лэндинг!$E$5:$E$300,$B143)+SUMIFS(Закрытые!$I$5:$I$300,Закрытые!$E$5:$E$300,$B143,Закрытые!$B$5:$B$300,"L-*"))</f>
        <v/>
      </c>
      <c r="G143" s="177" t="str">
        <f>IF(F143="","",(SUMPRODUCT((Лэндинг!$E$5:$E$300=$B143)*Лэндинг!$I$5:$I$300*Лэндинг!$J$5:$J$300)+SUMPRODUCT((Закрытые!$E$5:$E$300=$B143)*(LEFT(Закрытые!$B$5:$B$300,2)="L-")*Закрытые!$I$5:$I$300*Закрытые!$J$5:$J$300))/F143)</f>
        <v/>
      </c>
      <c r="H143" s="241" t="str">
        <f>IF(F143="","",SUMIFS(Лэндинг!$K$5:$K$300,Лэндинг!$E$5:$E$300,$B143)+SUMIFS(Закрытые!$K$5:$K$300,Закрытые!$E$5:$E$300,$B143,Закрытые!$B$5:$B$300,"L-*"))</f>
        <v/>
      </c>
      <c r="I143" s="240" t="str">
        <f>IF($B143="","",IF(COUNTIFS(Лэндинг!$E$5:$E$300,$B143)+COUNTIFS(Закрытые!$E$5:$E$300,$B143,Закрытые!$B$5:$B$300,"L-*")=0,"",ROUND(SUMIFS(Лэндинг!$L$5:$L$300,Лэндинг!$E$5:$E$300,$B143)+SUMIFS(Закрытые!$L$5:$L$300,Закрытые!$E$5:$E$300,$B143,Закрытые!$B$5:$B$300,"L-*"),8)))</f>
        <v/>
      </c>
      <c r="J143" s="241" t="str">
        <f>IF($B143="","",IF(COUNTIFS(Лэндинг!$E$5:$E$300,$B143)+COUNTIFS(Закрытые!$E$5:$E$300,$B143,Закрытые!$B$5:$B$300,"L-*")=0,"",ROUND(SUMIFS(Лэндинг!$M$5:$M$300,Лэндинг!$E$5:$E$300,$B143)+SUMIFS(Закрытые!$M$5:$M$300,Закрытые!$E$5:$E$300,$B143,Закрытые!$B$5:$B$300,"L-*"),8)))</f>
        <v/>
      </c>
      <c r="K143" s="240" t="str">
        <f>IF(MIN(N(C143),N(F143))&lt;=0,"",ROUND(MIN(N(C143),N(F143))*(N(G143)-N(D143)),8))</f>
        <v/>
      </c>
      <c r="L143" s="177" t="str">
        <f>IF(MIN(N(C143),N(F143))&lt;=0,"",IF(N(D143)=0,"",ROUND((N(G143)/N(D143)-1)*100,2)))</f>
        <v/>
      </c>
      <c r="M143" s="177" t="str">
        <f>IF(OR(ROUND(N(C143)-N(F143),8)=0,1-N(Ввод!$J$19)/100&lt;=0),"",IF(N(C143)&gt;N(F143),(N(E143)-N(H143))/((N(C143)-N(F143))*(1-N(Ввод!$J$19)/100)),(N(H143)-N(E143))/((N(F143)-N(C143))*(1+N(Ввод!$J$19)/100))))</f>
        <v/>
      </c>
    </row>
    <row r="144" ht="22" customHeight="1">
      <c r="B144" s="245" t="n"/>
      <c r="C144" s="246" t="str">
        <f>IF(SUMIFS(Лэндинг!$F$5:$F$300,Лэндинг!$E$5:$E$300,$B144)+SUMIFS(Закрытые!$F$5:$F$300,Закрытые!$E$5:$E$300,$B144,Закрытые!$B$5:$B$300,"L-*")=0,"",SUMIFS(Лэндинг!$F$5:$F$300,Лэндинг!$E$5:$E$300,$B144)+SUMIFS(Закрытые!$F$5:$F$300,Закрытые!$E$5:$E$300,$B144,Закрытые!$B$5:$B$300,"L-*"))</f>
        <v/>
      </c>
      <c r="D144" s="183" t="str">
        <f>IF(C144="","",(SUMPRODUCT((Лэндинг!$E$5:$E$300=$B144)*Лэндинг!$F$5:$F$300*Лэндинг!$G$5:$G$300)+SUMPRODUCT((Закрытые!$E$5:$E$300=$B144)*(LEFT(Закрытые!$B$5:$B$300,2)="L-")*Закрытые!$F$5:$F$300*Закрытые!$G$5:$G$300))/C144)</f>
        <v/>
      </c>
      <c r="E144" s="247" t="str">
        <f>IF(C144="","",SUMIFS(Лэндинг!$H$5:$H$300,Лэндинг!$E$5:$E$300,$B144)+SUMIFS(Закрытые!$H$5:$H$300,Закрытые!$E$5:$E$300,$B144,Закрытые!$B$5:$B$300,"L-*"))</f>
        <v/>
      </c>
      <c r="F144" s="246" t="str">
        <f>IF(SUMIFS(Лэндинг!$I$5:$I$300,Лэндинг!$E$5:$E$300,$B144)+SUMIFS(Закрытые!$I$5:$I$300,Закрытые!$E$5:$E$300,$B144,Закрытые!$B$5:$B$300,"L-*")=0,"",SUMIFS(Лэндинг!$I$5:$I$300,Лэндинг!$E$5:$E$300,$B144)+SUMIFS(Закрытые!$I$5:$I$300,Закрытые!$E$5:$E$300,$B144,Закрытые!$B$5:$B$300,"L-*"))</f>
        <v/>
      </c>
      <c r="G144" s="183" t="str">
        <f>IF(F144="","",(SUMPRODUCT((Лэндинг!$E$5:$E$300=$B144)*Лэндинг!$I$5:$I$300*Лэндинг!$J$5:$J$300)+SUMPRODUCT((Закрытые!$E$5:$E$300=$B144)*(LEFT(Закрытые!$B$5:$B$300,2)="L-")*Закрытые!$I$5:$I$300*Закрытые!$J$5:$J$300))/F144)</f>
        <v/>
      </c>
      <c r="H144" s="247" t="str">
        <f>IF(F144="","",SUMIFS(Лэндинг!$K$5:$K$300,Лэндинг!$E$5:$E$300,$B144)+SUMIFS(Закрытые!$K$5:$K$300,Закрытые!$E$5:$E$300,$B144,Закрытые!$B$5:$B$300,"L-*"))</f>
        <v/>
      </c>
      <c r="I144" s="246" t="str">
        <f>IF($B144="","",IF(COUNTIFS(Лэндинг!$E$5:$E$300,$B144)+COUNTIFS(Закрытые!$E$5:$E$300,$B144,Закрытые!$B$5:$B$300,"L-*")=0,"",ROUND(SUMIFS(Лэндинг!$L$5:$L$300,Лэндинг!$E$5:$E$300,$B144)+SUMIFS(Закрытые!$L$5:$L$300,Закрытые!$E$5:$E$300,$B144,Закрытые!$B$5:$B$300,"L-*"),8)))</f>
        <v/>
      </c>
      <c r="J144" s="247" t="str">
        <f>IF($B144="","",IF(COUNTIFS(Лэндинг!$E$5:$E$300,$B144)+COUNTIFS(Закрытые!$E$5:$E$300,$B144,Закрытые!$B$5:$B$300,"L-*")=0,"",ROUND(SUMIFS(Лэндинг!$M$5:$M$300,Лэндинг!$E$5:$E$300,$B144)+SUMIFS(Закрытые!$M$5:$M$300,Закрытые!$E$5:$E$300,$B144,Закрытые!$B$5:$B$300,"L-*"),8)))</f>
        <v/>
      </c>
      <c r="K144" s="246" t="str">
        <f>IF(MIN(N(C144),N(F144))&lt;=0,"",ROUND(MIN(N(C144),N(F144))*(N(G144)-N(D144)),8))</f>
        <v/>
      </c>
      <c r="L144" s="183" t="str">
        <f>IF(MIN(N(C144),N(F144))&lt;=0,"",IF(N(D144)=0,"",ROUND((N(G144)/N(D144)-1)*100,2)))</f>
        <v/>
      </c>
      <c r="M144" s="183" t="str">
        <f>IF(OR(ROUND(N(C144)-N(F144),8)=0,1-N(Ввод!$J$19)/100&lt;=0),"",IF(N(C144)&gt;N(F144),(N(E144)-N(H144))/((N(C144)-N(F144))*(1-N(Ввод!$J$19)/100)),(N(H144)-N(E144))/((N(F144)-N(C144))*(1+N(Ввод!$J$19)/100))))</f>
        <v/>
      </c>
    </row>
    <row r="145" ht="22" customHeight="1">
      <c r="B145" s="239" t="n"/>
      <c r="C145" s="240" t="str">
        <f>IF(SUMIFS(Лэндинг!$F$5:$F$300,Лэндинг!$E$5:$E$300,$B145)+SUMIFS(Закрытые!$F$5:$F$300,Закрытые!$E$5:$E$300,$B145,Закрытые!$B$5:$B$300,"L-*")=0,"",SUMIFS(Лэндинг!$F$5:$F$300,Лэндинг!$E$5:$E$300,$B145)+SUMIFS(Закрытые!$F$5:$F$300,Закрытые!$E$5:$E$300,$B145,Закрытые!$B$5:$B$300,"L-*"))</f>
        <v/>
      </c>
      <c r="D145" s="177" t="str">
        <f>IF(C145="","",(SUMPRODUCT((Лэндинг!$E$5:$E$300=$B145)*Лэндинг!$F$5:$F$300*Лэндинг!$G$5:$G$300)+SUMPRODUCT((Закрытые!$E$5:$E$300=$B145)*(LEFT(Закрытые!$B$5:$B$300,2)="L-")*Закрытые!$F$5:$F$300*Закрытые!$G$5:$G$300))/C145)</f>
        <v/>
      </c>
      <c r="E145" s="241" t="str">
        <f>IF(C145="","",SUMIFS(Лэндинг!$H$5:$H$300,Лэндинг!$E$5:$E$300,$B145)+SUMIFS(Закрытые!$H$5:$H$300,Закрытые!$E$5:$E$300,$B145,Закрытые!$B$5:$B$300,"L-*"))</f>
        <v/>
      </c>
      <c r="F145" s="240" t="str">
        <f>IF(SUMIFS(Лэндинг!$I$5:$I$300,Лэндинг!$E$5:$E$300,$B145)+SUMIFS(Закрытые!$I$5:$I$300,Закрытые!$E$5:$E$300,$B145,Закрытые!$B$5:$B$300,"L-*")=0,"",SUMIFS(Лэндинг!$I$5:$I$300,Лэндинг!$E$5:$E$300,$B145)+SUMIFS(Закрытые!$I$5:$I$300,Закрытые!$E$5:$E$300,$B145,Закрытые!$B$5:$B$300,"L-*"))</f>
        <v/>
      </c>
      <c r="G145" s="177" t="str">
        <f>IF(F145="","",(SUMPRODUCT((Лэндинг!$E$5:$E$300=$B145)*Лэндинг!$I$5:$I$300*Лэндинг!$J$5:$J$300)+SUMPRODUCT((Закрытые!$E$5:$E$300=$B145)*(LEFT(Закрытые!$B$5:$B$300,2)="L-")*Закрытые!$I$5:$I$300*Закрытые!$J$5:$J$300))/F145)</f>
        <v/>
      </c>
      <c r="H145" s="241" t="str">
        <f>IF(F145="","",SUMIFS(Лэндинг!$K$5:$K$300,Лэндинг!$E$5:$E$300,$B145)+SUMIFS(Закрытые!$K$5:$K$300,Закрытые!$E$5:$E$300,$B145,Закрытые!$B$5:$B$300,"L-*"))</f>
        <v/>
      </c>
      <c r="I145" s="240" t="str">
        <f>IF($B145="","",IF(COUNTIFS(Лэндинг!$E$5:$E$300,$B145)+COUNTIFS(Закрытые!$E$5:$E$300,$B145,Закрытые!$B$5:$B$300,"L-*")=0,"",ROUND(SUMIFS(Лэндинг!$L$5:$L$300,Лэндинг!$E$5:$E$300,$B145)+SUMIFS(Закрытые!$L$5:$L$300,Закрытые!$E$5:$E$300,$B145,Закрытые!$B$5:$B$300,"L-*"),8)))</f>
        <v/>
      </c>
      <c r="J145" s="241" t="str">
        <f>IF($B145="","",IF(COUNTIFS(Лэндинг!$E$5:$E$300,$B145)+COUNTIFS(Закрытые!$E$5:$E$300,$B145,Закрытые!$B$5:$B$300,"L-*")=0,"",ROUND(SUMIFS(Лэндинг!$M$5:$M$300,Лэндинг!$E$5:$E$300,$B145)+SUMIFS(Закрытые!$M$5:$M$300,Закрытые!$E$5:$E$300,$B145,Закрытые!$B$5:$B$300,"L-*"),8)))</f>
        <v/>
      </c>
      <c r="K145" s="240" t="str">
        <f>IF(MIN(N(C145),N(F145))&lt;=0,"",ROUND(MIN(N(C145),N(F145))*(N(G145)-N(D145)),8))</f>
        <v/>
      </c>
      <c r="L145" s="177" t="str">
        <f>IF(MIN(N(C145),N(F145))&lt;=0,"",IF(N(D145)=0,"",ROUND((N(G145)/N(D145)-1)*100,2)))</f>
        <v/>
      </c>
      <c r="M145" s="177" t="str">
        <f>IF(OR(ROUND(N(C145)-N(F145),8)=0,1-N(Ввод!$J$19)/100&lt;=0),"",IF(N(C145)&gt;N(F145),(N(E145)-N(H145))/((N(C145)-N(F145))*(1-N(Ввод!$J$19)/100)),(N(H145)-N(E145))/((N(F145)-N(C145))*(1+N(Ввод!$J$19)/100))))</f>
        <v/>
      </c>
    </row>
    <row r="146" ht="22" customHeight="1">
      <c r="B146" s="245" t="n"/>
      <c r="C146" s="246" t="str">
        <f>IF(SUMIFS(Лэндинг!$F$5:$F$300,Лэндинг!$E$5:$E$300,$B146)+SUMIFS(Закрытые!$F$5:$F$300,Закрытые!$E$5:$E$300,$B146,Закрытые!$B$5:$B$300,"L-*")=0,"",SUMIFS(Лэндинг!$F$5:$F$300,Лэндинг!$E$5:$E$300,$B146)+SUMIFS(Закрытые!$F$5:$F$300,Закрытые!$E$5:$E$300,$B146,Закрытые!$B$5:$B$300,"L-*"))</f>
        <v/>
      </c>
      <c r="D146" s="183" t="str">
        <f>IF(C146="","",(SUMPRODUCT((Лэндинг!$E$5:$E$300=$B146)*Лэндинг!$F$5:$F$300*Лэндинг!$G$5:$G$300)+SUMPRODUCT((Закрытые!$E$5:$E$300=$B146)*(LEFT(Закрытые!$B$5:$B$300,2)="L-")*Закрытые!$F$5:$F$300*Закрытые!$G$5:$G$300))/C146)</f>
        <v/>
      </c>
      <c r="E146" s="247" t="str">
        <f>IF(C146="","",SUMIFS(Лэндинг!$H$5:$H$300,Лэндинг!$E$5:$E$300,$B146)+SUMIFS(Закрытые!$H$5:$H$300,Закрытые!$E$5:$E$300,$B146,Закрытые!$B$5:$B$300,"L-*"))</f>
        <v/>
      </c>
      <c r="F146" s="246" t="str">
        <f>IF(SUMIFS(Лэндинг!$I$5:$I$300,Лэндинг!$E$5:$E$300,$B146)+SUMIFS(Закрытые!$I$5:$I$300,Закрытые!$E$5:$E$300,$B146,Закрытые!$B$5:$B$300,"L-*")=0,"",SUMIFS(Лэндинг!$I$5:$I$300,Лэндинг!$E$5:$E$300,$B146)+SUMIFS(Закрытые!$I$5:$I$300,Закрытые!$E$5:$E$300,$B146,Закрытые!$B$5:$B$300,"L-*"))</f>
        <v/>
      </c>
      <c r="G146" s="183" t="str">
        <f>IF(F146="","",(SUMPRODUCT((Лэндинг!$E$5:$E$300=$B146)*Лэндинг!$I$5:$I$300*Лэндинг!$J$5:$J$300)+SUMPRODUCT((Закрытые!$E$5:$E$300=$B146)*(LEFT(Закрытые!$B$5:$B$300,2)="L-")*Закрытые!$I$5:$I$300*Закрытые!$J$5:$J$300))/F146)</f>
        <v/>
      </c>
      <c r="H146" s="247" t="str">
        <f>IF(F146="","",SUMIFS(Лэндинг!$K$5:$K$300,Лэндинг!$E$5:$E$300,$B146)+SUMIFS(Закрытые!$K$5:$K$300,Закрытые!$E$5:$E$300,$B146,Закрытые!$B$5:$B$300,"L-*"))</f>
        <v/>
      </c>
      <c r="I146" s="246" t="str">
        <f>IF($B146="","",IF(COUNTIFS(Лэндинг!$E$5:$E$300,$B146)+COUNTIFS(Закрытые!$E$5:$E$300,$B146,Закрытые!$B$5:$B$300,"L-*")=0,"",ROUND(SUMIFS(Лэндинг!$L$5:$L$300,Лэндинг!$E$5:$E$300,$B146)+SUMIFS(Закрытые!$L$5:$L$300,Закрытые!$E$5:$E$300,$B146,Закрытые!$B$5:$B$300,"L-*"),8)))</f>
        <v/>
      </c>
      <c r="J146" s="247" t="str">
        <f>IF($B146="","",IF(COUNTIFS(Лэндинг!$E$5:$E$300,$B146)+COUNTIFS(Закрытые!$E$5:$E$300,$B146,Закрытые!$B$5:$B$300,"L-*")=0,"",ROUND(SUMIFS(Лэндинг!$M$5:$M$300,Лэндинг!$E$5:$E$300,$B146)+SUMIFS(Закрытые!$M$5:$M$300,Закрытые!$E$5:$E$300,$B146,Закрытые!$B$5:$B$300,"L-*"),8)))</f>
        <v/>
      </c>
      <c r="K146" s="246" t="str">
        <f>IF(MIN(N(C146),N(F146))&lt;=0,"",ROUND(MIN(N(C146),N(F146))*(N(G146)-N(D146)),8))</f>
        <v/>
      </c>
      <c r="L146" s="183" t="str">
        <f>IF(MIN(N(C146),N(F146))&lt;=0,"",IF(N(D146)=0,"",ROUND((N(G146)/N(D146)-1)*100,2)))</f>
        <v/>
      </c>
      <c r="M146" s="183" t="str">
        <f>IF(OR(ROUND(N(C146)-N(F146),8)=0,1-N(Ввод!$J$19)/100&lt;=0),"",IF(N(C146)&gt;N(F146),(N(E146)-N(H146))/((N(C146)-N(F146))*(1-N(Ввод!$J$19)/100)),(N(H146)-N(E146))/((N(F146)-N(C146))*(1+N(Ввод!$J$19)/100))))</f>
        <v/>
      </c>
    </row>
    <row r="147" ht="22" customHeight="1">
      <c r="B147" s="239" t="n"/>
      <c r="C147" s="240" t="str">
        <f>IF(SUMIFS(Лэндинг!$F$5:$F$300,Лэндинг!$E$5:$E$300,$B147)+SUMIFS(Закрытые!$F$5:$F$300,Закрытые!$E$5:$E$300,$B147,Закрытые!$B$5:$B$300,"L-*")=0,"",SUMIFS(Лэндинг!$F$5:$F$300,Лэндинг!$E$5:$E$300,$B147)+SUMIFS(Закрытые!$F$5:$F$300,Закрытые!$E$5:$E$300,$B147,Закрытые!$B$5:$B$300,"L-*"))</f>
        <v/>
      </c>
      <c r="D147" s="177" t="str">
        <f>IF(C147="","",(SUMPRODUCT((Лэндинг!$E$5:$E$300=$B147)*Лэндинг!$F$5:$F$300*Лэндинг!$G$5:$G$300)+SUMPRODUCT((Закрытые!$E$5:$E$300=$B147)*(LEFT(Закрытые!$B$5:$B$300,2)="L-")*Закрытые!$F$5:$F$300*Закрытые!$G$5:$G$300))/C147)</f>
        <v/>
      </c>
      <c r="E147" s="241" t="str">
        <f>IF(C147="","",SUMIFS(Лэндинг!$H$5:$H$300,Лэндинг!$E$5:$E$300,$B147)+SUMIFS(Закрытые!$H$5:$H$300,Закрытые!$E$5:$E$300,$B147,Закрытые!$B$5:$B$300,"L-*"))</f>
        <v/>
      </c>
      <c r="F147" s="240" t="str">
        <f>IF(SUMIFS(Лэндинг!$I$5:$I$300,Лэндинг!$E$5:$E$300,$B147)+SUMIFS(Закрытые!$I$5:$I$300,Закрытые!$E$5:$E$300,$B147,Закрытые!$B$5:$B$300,"L-*")=0,"",SUMIFS(Лэндинг!$I$5:$I$300,Лэндинг!$E$5:$E$300,$B147)+SUMIFS(Закрытые!$I$5:$I$300,Закрытые!$E$5:$E$300,$B147,Закрытые!$B$5:$B$300,"L-*"))</f>
        <v/>
      </c>
      <c r="G147" s="177" t="str">
        <f>IF(F147="","",(SUMPRODUCT((Лэндинг!$E$5:$E$300=$B147)*Лэндинг!$I$5:$I$300*Лэндинг!$J$5:$J$300)+SUMPRODUCT((Закрытые!$E$5:$E$300=$B147)*(LEFT(Закрытые!$B$5:$B$300,2)="L-")*Закрытые!$I$5:$I$300*Закрытые!$J$5:$J$300))/F147)</f>
        <v/>
      </c>
      <c r="H147" s="241" t="str">
        <f>IF(F147="","",SUMIFS(Лэндинг!$K$5:$K$300,Лэндинг!$E$5:$E$300,$B147)+SUMIFS(Закрытые!$K$5:$K$300,Закрытые!$E$5:$E$300,$B147,Закрытые!$B$5:$B$300,"L-*"))</f>
        <v/>
      </c>
      <c r="I147" s="240" t="str">
        <f>IF($B147="","",IF(COUNTIFS(Лэндинг!$E$5:$E$300,$B147)+COUNTIFS(Закрытые!$E$5:$E$300,$B147,Закрытые!$B$5:$B$300,"L-*")=0,"",ROUND(SUMIFS(Лэндинг!$L$5:$L$300,Лэндинг!$E$5:$E$300,$B147)+SUMIFS(Закрытые!$L$5:$L$300,Закрытые!$E$5:$E$300,$B147,Закрытые!$B$5:$B$300,"L-*"),8)))</f>
        <v/>
      </c>
      <c r="J147" s="241" t="str">
        <f>IF($B147="","",IF(COUNTIFS(Лэндинг!$E$5:$E$300,$B147)+COUNTIFS(Закрытые!$E$5:$E$300,$B147,Закрытые!$B$5:$B$300,"L-*")=0,"",ROUND(SUMIFS(Лэндинг!$M$5:$M$300,Лэндинг!$E$5:$E$300,$B147)+SUMIFS(Закрытые!$M$5:$M$300,Закрытые!$E$5:$E$300,$B147,Закрытые!$B$5:$B$300,"L-*"),8)))</f>
        <v/>
      </c>
      <c r="K147" s="240" t="str">
        <f>IF(MIN(N(C147),N(F147))&lt;=0,"",ROUND(MIN(N(C147),N(F147))*(N(G147)-N(D147)),8))</f>
        <v/>
      </c>
      <c r="L147" s="177" t="str">
        <f>IF(MIN(N(C147),N(F147))&lt;=0,"",IF(N(D147)=0,"",ROUND((N(G147)/N(D147)-1)*100,2)))</f>
        <v/>
      </c>
      <c r="M147" s="177" t="str">
        <f>IF(OR(ROUND(N(C147)-N(F147),8)=0,1-N(Ввод!$J$19)/100&lt;=0),"",IF(N(C147)&gt;N(F147),(N(E147)-N(H147))/((N(C147)-N(F147))*(1-N(Ввод!$J$19)/100)),(N(H147)-N(E147))/((N(F147)-N(C147))*(1+N(Ввод!$J$19)/100))))</f>
        <v/>
      </c>
    </row>
    <row r="148" ht="22" customHeight="1">
      <c r="B148" s="245" t="n"/>
      <c r="C148" s="246" t="str">
        <f>IF(SUMIFS(Лэндинг!$F$5:$F$300,Лэндинг!$E$5:$E$300,$B148)+SUMIFS(Закрытые!$F$5:$F$300,Закрытые!$E$5:$E$300,$B148,Закрытые!$B$5:$B$300,"L-*")=0,"",SUMIFS(Лэндинг!$F$5:$F$300,Лэндинг!$E$5:$E$300,$B148)+SUMIFS(Закрытые!$F$5:$F$300,Закрытые!$E$5:$E$300,$B148,Закрытые!$B$5:$B$300,"L-*"))</f>
        <v/>
      </c>
      <c r="D148" s="183" t="str">
        <f>IF(C148="","",(SUMPRODUCT((Лэндинг!$E$5:$E$300=$B148)*Лэндинг!$F$5:$F$300*Лэндинг!$G$5:$G$300)+SUMPRODUCT((Закрытые!$E$5:$E$300=$B148)*(LEFT(Закрытые!$B$5:$B$300,2)="L-")*Закрытые!$F$5:$F$300*Закрытые!$G$5:$G$300))/C148)</f>
        <v/>
      </c>
      <c r="E148" s="247" t="str">
        <f>IF(C148="","",SUMIFS(Лэндинг!$H$5:$H$300,Лэндинг!$E$5:$E$300,$B148)+SUMIFS(Закрытые!$H$5:$H$300,Закрытые!$E$5:$E$300,$B148,Закрытые!$B$5:$B$300,"L-*"))</f>
        <v/>
      </c>
      <c r="F148" s="246" t="str">
        <f>IF(SUMIFS(Лэндинг!$I$5:$I$300,Лэндинг!$E$5:$E$300,$B148)+SUMIFS(Закрытые!$I$5:$I$300,Закрытые!$E$5:$E$300,$B148,Закрытые!$B$5:$B$300,"L-*")=0,"",SUMIFS(Лэндинг!$I$5:$I$300,Лэндинг!$E$5:$E$300,$B148)+SUMIFS(Закрытые!$I$5:$I$300,Закрытые!$E$5:$E$300,$B148,Закрытые!$B$5:$B$300,"L-*"))</f>
        <v/>
      </c>
      <c r="G148" s="183" t="str">
        <f>IF(F148="","",(SUMPRODUCT((Лэндинг!$E$5:$E$300=$B148)*Лэндинг!$I$5:$I$300*Лэндинг!$J$5:$J$300)+SUMPRODUCT((Закрытые!$E$5:$E$300=$B148)*(LEFT(Закрытые!$B$5:$B$300,2)="L-")*Закрытые!$I$5:$I$300*Закрытые!$J$5:$J$300))/F148)</f>
        <v/>
      </c>
      <c r="H148" s="247" t="str">
        <f>IF(F148="","",SUMIFS(Лэндинг!$K$5:$K$300,Лэндинг!$E$5:$E$300,$B148)+SUMIFS(Закрытые!$K$5:$K$300,Закрытые!$E$5:$E$300,$B148,Закрытые!$B$5:$B$300,"L-*"))</f>
        <v/>
      </c>
      <c r="I148" s="246" t="str">
        <f>IF($B148="","",IF(COUNTIFS(Лэндинг!$E$5:$E$300,$B148)+COUNTIFS(Закрытые!$E$5:$E$300,$B148,Закрытые!$B$5:$B$300,"L-*")=0,"",ROUND(SUMIFS(Лэндинг!$L$5:$L$300,Лэндинг!$E$5:$E$300,$B148)+SUMIFS(Закрытые!$L$5:$L$300,Закрытые!$E$5:$E$300,$B148,Закрытые!$B$5:$B$300,"L-*"),8)))</f>
        <v/>
      </c>
      <c r="J148" s="247" t="str">
        <f>IF($B148="","",IF(COUNTIFS(Лэндинг!$E$5:$E$300,$B148)+COUNTIFS(Закрытые!$E$5:$E$300,$B148,Закрытые!$B$5:$B$300,"L-*")=0,"",ROUND(SUMIFS(Лэндинг!$M$5:$M$300,Лэндинг!$E$5:$E$300,$B148)+SUMIFS(Закрытые!$M$5:$M$300,Закрытые!$E$5:$E$300,$B148,Закрытые!$B$5:$B$300,"L-*"),8)))</f>
        <v/>
      </c>
      <c r="K148" s="246" t="str">
        <f>IF(MIN(N(C148),N(F148))&lt;=0,"",ROUND(MIN(N(C148),N(F148))*(N(G148)-N(D148)),8))</f>
        <v/>
      </c>
      <c r="L148" s="183" t="str">
        <f>IF(MIN(N(C148),N(F148))&lt;=0,"",IF(N(D148)=0,"",ROUND((N(G148)/N(D148)-1)*100,2)))</f>
        <v/>
      </c>
      <c r="M148" s="183" t="str">
        <f>IF(OR(ROUND(N(C148)-N(F148),8)=0,1-N(Ввод!$J$19)/100&lt;=0),"",IF(N(C148)&gt;N(F148),(N(E148)-N(H148))/((N(C148)-N(F148))*(1-N(Ввод!$J$19)/100)),(N(H148)-N(E148))/((N(F148)-N(C148))*(1+N(Ввод!$J$19)/100))))</f>
        <v/>
      </c>
    </row>
    <row r="149" ht="22" customHeight="1">
      <c r="B149" s="239" t="n"/>
      <c r="C149" s="240" t="str">
        <f>IF(SUMIFS(Лэндинг!$F$5:$F$300,Лэндинг!$E$5:$E$300,$B149)+SUMIFS(Закрытые!$F$5:$F$300,Закрытые!$E$5:$E$300,$B149,Закрытые!$B$5:$B$300,"L-*")=0,"",SUMIFS(Лэндинг!$F$5:$F$300,Лэндинг!$E$5:$E$300,$B149)+SUMIFS(Закрытые!$F$5:$F$300,Закрытые!$E$5:$E$300,$B149,Закрытые!$B$5:$B$300,"L-*"))</f>
        <v/>
      </c>
      <c r="D149" s="177" t="str">
        <f>IF(C149="","",(SUMPRODUCT((Лэндинг!$E$5:$E$300=$B149)*Лэндинг!$F$5:$F$300*Лэндинг!$G$5:$G$300)+SUMPRODUCT((Закрытые!$E$5:$E$300=$B149)*(LEFT(Закрытые!$B$5:$B$300,2)="L-")*Закрытые!$F$5:$F$300*Закрытые!$G$5:$G$300))/C149)</f>
        <v/>
      </c>
      <c r="E149" s="241" t="str">
        <f>IF(C149="","",SUMIFS(Лэндинг!$H$5:$H$300,Лэндинг!$E$5:$E$300,$B149)+SUMIFS(Закрытые!$H$5:$H$300,Закрытые!$E$5:$E$300,$B149,Закрытые!$B$5:$B$300,"L-*"))</f>
        <v/>
      </c>
      <c r="F149" s="240" t="str">
        <f>IF(SUMIFS(Лэндинг!$I$5:$I$300,Лэндинг!$E$5:$E$300,$B149)+SUMIFS(Закрытые!$I$5:$I$300,Закрытые!$E$5:$E$300,$B149,Закрытые!$B$5:$B$300,"L-*")=0,"",SUMIFS(Лэндинг!$I$5:$I$300,Лэндинг!$E$5:$E$300,$B149)+SUMIFS(Закрытые!$I$5:$I$300,Закрытые!$E$5:$E$300,$B149,Закрытые!$B$5:$B$300,"L-*"))</f>
        <v/>
      </c>
      <c r="G149" s="177" t="str">
        <f>IF(F149="","",(SUMPRODUCT((Лэндинг!$E$5:$E$300=$B149)*Лэндинг!$I$5:$I$300*Лэндинг!$J$5:$J$300)+SUMPRODUCT((Закрытые!$E$5:$E$300=$B149)*(LEFT(Закрытые!$B$5:$B$300,2)="L-")*Закрытые!$I$5:$I$300*Закрытые!$J$5:$J$300))/F149)</f>
        <v/>
      </c>
      <c r="H149" s="241" t="str">
        <f>IF(F149="","",SUMIFS(Лэндинг!$K$5:$K$300,Лэндинг!$E$5:$E$300,$B149)+SUMIFS(Закрытые!$K$5:$K$300,Закрытые!$E$5:$E$300,$B149,Закрытые!$B$5:$B$300,"L-*"))</f>
        <v/>
      </c>
      <c r="I149" s="240" t="str">
        <f>IF($B149="","",IF(COUNTIFS(Лэндинг!$E$5:$E$300,$B149)+COUNTIFS(Закрытые!$E$5:$E$300,$B149,Закрытые!$B$5:$B$300,"L-*")=0,"",ROUND(SUMIFS(Лэндинг!$L$5:$L$300,Лэндинг!$E$5:$E$300,$B149)+SUMIFS(Закрытые!$L$5:$L$300,Закрытые!$E$5:$E$300,$B149,Закрытые!$B$5:$B$300,"L-*"),8)))</f>
        <v/>
      </c>
      <c r="J149" s="241" t="str">
        <f>IF($B149="","",IF(COUNTIFS(Лэндинг!$E$5:$E$300,$B149)+COUNTIFS(Закрытые!$E$5:$E$300,$B149,Закрытые!$B$5:$B$300,"L-*")=0,"",ROUND(SUMIFS(Лэндинг!$M$5:$M$300,Лэндинг!$E$5:$E$300,$B149)+SUMIFS(Закрытые!$M$5:$M$300,Закрытые!$E$5:$E$300,$B149,Закрытые!$B$5:$B$300,"L-*"),8)))</f>
        <v/>
      </c>
      <c r="K149" s="240" t="str">
        <f>IF(MIN(N(C149),N(F149))&lt;=0,"",ROUND(MIN(N(C149),N(F149))*(N(G149)-N(D149)),8))</f>
        <v/>
      </c>
      <c r="L149" s="177" t="str">
        <f>IF(MIN(N(C149),N(F149))&lt;=0,"",IF(N(D149)=0,"",ROUND((N(G149)/N(D149)-1)*100,2)))</f>
        <v/>
      </c>
      <c r="M149" s="177" t="str">
        <f>IF(OR(ROUND(N(C149)-N(F149),8)=0,1-N(Ввод!$J$19)/100&lt;=0),"",IF(N(C149)&gt;N(F149),(N(E149)-N(H149))/((N(C149)-N(F149))*(1-N(Ввод!$J$19)/100)),(N(H149)-N(E149))/((N(F149)-N(C149))*(1+N(Ввод!$J$19)/100))))</f>
        <v/>
      </c>
    </row>
    <row r="150" ht="22" customHeight="1">
      <c r="B150" s="245" t="n"/>
      <c r="C150" s="246" t="str">
        <f>IF(SUMIFS(Лэндинг!$F$5:$F$300,Лэндинг!$E$5:$E$300,$B150)+SUMIFS(Закрытые!$F$5:$F$300,Закрытые!$E$5:$E$300,$B150,Закрытые!$B$5:$B$300,"L-*")=0,"",SUMIFS(Лэндинг!$F$5:$F$300,Лэндинг!$E$5:$E$300,$B150)+SUMIFS(Закрытые!$F$5:$F$300,Закрытые!$E$5:$E$300,$B150,Закрытые!$B$5:$B$300,"L-*"))</f>
        <v/>
      </c>
      <c r="D150" s="183" t="str">
        <f>IF(C150="","",(SUMPRODUCT((Лэндинг!$E$5:$E$300=$B150)*Лэндинг!$F$5:$F$300*Лэндинг!$G$5:$G$300)+SUMPRODUCT((Закрытые!$E$5:$E$300=$B150)*(LEFT(Закрытые!$B$5:$B$300,2)="L-")*Закрытые!$F$5:$F$300*Закрытые!$G$5:$G$300))/C150)</f>
        <v/>
      </c>
      <c r="E150" s="247" t="str">
        <f>IF(C150="","",SUMIFS(Лэндинг!$H$5:$H$300,Лэндинг!$E$5:$E$300,$B150)+SUMIFS(Закрытые!$H$5:$H$300,Закрытые!$E$5:$E$300,$B150,Закрытые!$B$5:$B$300,"L-*"))</f>
        <v/>
      </c>
      <c r="F150" s="246" t="str">
        <f>IF(SUMIFS(Лэндинг!$I$5:$I$300,Лэндинг!$E$5:$E$300,$B150)+SUMIFS(Закрытые!$I$5:$I$300,Закрытые!$E$5:$E$300,$B150,Закрытые!$B$5:$B$300,"L-*")=0,"",SUMIFS(Лэндинг!$I$5:$I$300,Лэндинг!$E$5:$E$300,$B150)+SUMIFS(Закрытые!$I$5:$I$300,Закрытые!$E$5:$E$300,$B150,Закрытые!$B$5:$B$300,"L-*"))</f>
        <v/>
      </c>
      <c r="G150" s="183" t="str">
        <f>IF(F150="","",(SUMPRODUCT((Лэндинг!$E$5:$E$300=$B150)*Лэндинг!$I$5:$I$300*Лэндинг!$J$5:$J$300)+SUMPRODUCT((Закрытые!$E$5:$E$300=$B150)*(LEFT(Закрытые!$B$5:$B$300,2)="L-")*Закрытые!$I$5:$I$300*Закрытые!$J$5:$J$300))/F150)</f>
        <v/>
      </c>
      <c r="H150" s="247" t="str">
        <f>IF(F150="","",SUMIFS(Лэндинг!$K$5:$K$300,Лэндинг!$E$5:$E$300,$B150)+SUMIFS(Закрытые!$K$5:$K$300,Закрытые!$E$5:$E$300,$B150,Закрытые!$B$5:$B$300,"L-*"))</f>
        <v/>
      </c>
      <c r="I150" s="246" t="str">
        <f>IF($B150="","",IF(COUNTIFS(Лэндинг!$E$5:$E$300,$B150)+COUNTIFS(Закрытые!$E$5:$E$300,$B150,Закрытые!$B$5:$B$300,"L-*")=0,"",ROUND(SUMIFS(Лэндинг!$L$5:$L$300,Лэндинг!$E$5:$E$300,$B150)+SUMIFS(Закрытые!$L$5:$L$300,Закрытые!$E$5:$E$300,$B150,Закрытые!$B$5:$B$300,"L-*"),8)))</f>
        <v/>
      </c>
      <c r="J150" s="247" t="str">
        <f>IF($B150="","",IF(COUNTIFS(Лэндинг!$E$5:$E$300,$B150)+COUNTIFS(Закрытые!$E$5:$E$300,$B150,Закрытые!$B$5:$B$300,"L-*")=0,"",ROUND(SUMIFS(Лэндинг!$M$5:$M$300,Лэндинг!$E$5:$E$300,$B150)+SUMIFS(Закрытые!$M$5:$M$300,Закрытые!$E$5:$E$300,$B150,Закрытые!$B$5:$B$300,"L-*"),8)))</f>
        <v/>
      </c>
      <c r="K150" s="246" t="str">
        <f>IF(MIN(N(C150),N(F150))&lt;=0,"",ROUND(MIN(N(C150),N(F150))*(N(G150)-N(D150)),8))</f>
        <v/>
      </c>
      <c r="L150" s="183" t="str">
        <f>IF(MIN(N(C150),N(F150))&lt;=0,"",IF(N(D150)=0,"",ROUND((N(G150)/N(D150)-1)*100,2)))</f>
        <v/>
      </c>
      <c r="M150" s="183" t="str">
        <f>IF(OR(ROUND(N(C150)-N(F150),8)=0,1-N(Ввод!$J$19)/100&lt;=0),"",IF(N(C150)&gt;N(F150),(N(E150)-N(H150))/((N(C150)-N(F150))*(1-N(Ввод!$J$19)/100)),(N(H150)-N(E150))/((N(F150)-N(C150))*(1+N(Ввод!$J$19)/100))))</f>
        <v/>
      </c>
    </row>
    <row r="151" ht="22" customHeight="1">
      <c r="B151" s="239" t="n"/>
      <c r="C151" s="240" t="str">
        <f>IF(SUMIFS(Лэндинг!$F$5:$F$300,Лэндинг!$E$5:$E$300,$B151)+SUMIFS(Закрытые!$F$5:$F$300,Закрытые!$E$5:$E$300,$B151,Закрытые!$B$5:$B$300,"L-*")=0,"",SUMIFS(Лэндинг!$F$5:$F$300,Лэндинг!$E$5:$E$300,$B151)+SUMIFS(Закрытые!$F$5:$F$300,Закрытые!$E$5:$E$300,$B151,Закрытые!$B$5:$B$300,"L-*"))</f>
        <v/>
      </c>
      <c r="D151" s="177" t="str">
        <f>IF(C151="","",(SUMPRODUCT((Лэндинг!$E$5:$E$300=$B151)*Лэндинг!$F$5:$F$300*Лэндинг!$G$5:$G$300)+SUMPRODUCT((Закрытые!$E$5:$E$300=$B151)*(LEFT(Закрытые!$B$5:$B$300,2)="L-")*Закрытые!$F$5:$F$300*Закрытые!$G$5:$G$300))/C151)</f>
        <v/>
      </c>
      <c r="E151" s="241" t="str">
        <f>IF(C151="","",SUMIFS(Лэндинг!$H$5:$H$300,Лэндинг!$E$5:$E$300,$B151)+SUMIFS(Закрытые!$H$5:$H$300,Закрытые!$E$5:$E$300,$B151,Закрытые!$B$5:$B$300,"L-*"))</f>
        <v/>
      </c>
      <c r="F151" s="240" t="str">
        <f>IF(SUMIFS(Лэндинг!$I$5:$I$300,Лэндинг!$E$5:$E$300,$B151)+SUMIFS(Закрытые!$I$5:$I$300,Закрытые!$E$5:$E$300,$B151,Закрытые!$B$5:$B$300,"L-*")=0,"",SUMIFS(Лэндинг!$I$5:$I$300,Лэндинг!$E$5:$E$300,$B151)+SUMIFS(Закрытые!$I$5:$I$300,Закрытые!$E$5:$E$300,$B151,Закрытые!$B$5:$B$300,"L-*"))</f>
        <v/>
      </c>
      <c r="G151" s="177" t="str">
        <f>IF(F151="","",(SUMPRODUCT((Лэндинг!$E$5:$E$300=$B151)*Лэндинг!$I$5:$I$300*Лэндинг!$J$5:$J$300)+SUMPRODUCT((Закрытые!$E$5:$E$300=$B151)*(LEFT(Закрытые!$B$5:$B$300,2)="L-")*Закрытые!$I$5:$I$300*Закрытые!$J$5:$J$300))/F151)</f>
        <v/>
      </c>
      <c r="H151" s="241" t="str">
        <f>IF(F151="","",SUMIFS(Лэндинг!$K$5:$K$300,Лэндинг!$E$5:$E$300,$B151)+SUMIFS(Закрытые!$K$5:$K$300,Закрытые!$E$5:$E$300,$B151,Закрытые!$B$5:$B$300,"L-*"))</f>
        <v/>
      </c>
      <c r="I151" s="240" t="str">
        <f>IF($B151="","",IF(COUNTIFS(Лэндинг!$E$5:$E$300,$B151)+COUNTIFS(Закрытые!$E$5:$E$300,$B151,Закрытые!$B$5:$B$300,"L-*")=0,"",ROUND(SUMIFS(Лэндинг!$L$5:$L$300,Лэндинг!$E$5:$E$300,$B151)+SUMIFS(Закрытые!$L$5:$L$300,Закрытые!$E$5:$E$300,$B151,Закрытые!$B$5:$B$300,"L-*"),8)))</f>
        <v/>
      </c>
      <c r="J151" s="241" t="str">
        <f>IF($B151="","",IF(COUNTIFS(Лэндинг!$E$5:$E$300,$B151)+COUNTIFS(Закрытые!$E$5:$E$300,$B151,Закрытые!$B$5:$B$300,"L-*")=0,"",ROUND(SUMIFS(Лэндинг!$M$5:$M$300,Лэндинг!$E$5:$E$300,$B151)+SUMIFS(Закрытые!$M$5:$M$300,Закрытые!$E$5:$E$300,$B151,Закрытые!$B$5:$B$300,"L-*"),8)))</f>
        <v/>
      </c>
      <c r="K151" s="240" t="str">
        <f>IF(MIN(N(C151),N(F151))&lt;=0,"",ROUND(MIN(N(C151),N(F151))*(N(G151)-N(D151)),8))</f>
        <v/>
      </c>
      <c r="L151" s="177" t="str">
        <f>IF(MIN(N(C151),N(F151))&lt;=0,"",IF(N(D151)=0,"",ROUND((N(G151)/N(D151)-1)*100,2)))</f>
        <v/>
      </c>
      <c r="M151" s="177" t="str">
        <f>IF(OR(ROUND(N(C151)-N(F151),8)=0,1-N(Ввод!$J$19)/100&lt;=0),"",IF(N(C151)&gt;N(F151),(N(E151)-N(H151))/((N(C151)-N(F151))*(1-N(Ввод!$J$19)/100)),(N(H151)-N(E151))/((N(F151)-N(C151))*(1+N(Ввод!$J$19)/100))))</f>
        <v/>
      </c>
    </row>
    <row r="152" ht="22" customHeight="1">
      <c r="B152" s="245" t="n"/>
      <c r="C152" s="246" t="str">
        <f>IF(SUMIFS(Лэндинг!$F$5:$F$300,Лэндинг!$E$5:$E$300,$B152)+SUMIFS(Закрытые!$F$5:$F$300,Закрытые!$E$5:$E$300,$B152,Закрытые!$B$5:$B$300,"L-*")=0,"",SUMIFS(Лэндинг!$F$5:$F$300,Лэндинг!$E$5:$E$300,$B152)+SUMIFS(Закрытые!$F$5:$F$300,Закрытые!$E$5:$E$300,$B152,Закрытые!$B$5:$B$300,"L-*"))</f>
        <v/>
      </c>
      <c r="D152" s="183" t="str">
        <f>IF(C152="","",(SUMPRODUCT((Лэндинг!$E$5:$E$300=$B152)*Лэндинг!$F$5:$F$300*Лэндинг!$G$5:$G$300)+SUMPRODUCT((Закрытые!$E$5:$E$300=$B152)*(LEFT(Закрытые!$B$5:$B$300,2)="L-")*Закрытые!$F$5:$F$300*Закрытые!$G$5:$G$300))/C152)</f>
        <v/>
      </c>
      <c r="E152" s="247" t="str">
        <f>IF(C152="","",SUMIFS(Лэндинг!$H$5:$H$300,Лэндинг!$E$5:$E$300,$B152)+SUMIFS(Закрытые!$H$5:$H$300,Закрытые!$E$5:$E$300,$B152,Закрытые!$B$5:$B$300,"L-*"))</f>
        <v/>
      </c>
      <c r="F152" s="246" t="str">
        <f>IF(SUMIFS(Лэндинг!$I$5:$I$300,Лэндинг!$E$5:$E$300,$B152)+SUMIFS(Закрытые!$I$5:$I$300,Закрытые!$E$5:$E$300,$B152,Закрытые!$B$5:$B$300,"L-*")=0,"",SUMIFS(Лэндинг!$I$5:$I$300,Лэндинг!$E$5:$E$300,$B152)+SUMIFS(Закрытые!$I$5:$I$300,Закрытые!$E$5:$E$300,$B152,Закрытые!$B$5:$B$300,"L-*"))</f>
        <v/>
      </c>
      <c r="G152" s="183" t="str">
        <f>IF(F152="","",(SUMPRODUCT((Лэндинг!$E$5:$E$300=$B152)*Лэндинг!$I$5:$I$300*Лэндинг!$J$5:$J$300)+SUMPRODUCT((Закрытые!$E$5:$E$300=$B152)*(LEFT(Закрытые!$B$5:$B$300,2)="L-")*Закрытые!$I$5:$I$300*Закрытые!$J$5:$J$300))/F152)</f>
        <v/>
      </c>
      <c r="H152" s="247" t="str">
        <f>IF(F152="","",SUMIFS(Лэндинг!$K$5:$K$300,Лэндинг!$E$5:$E$300,$B152)+SUMIFS(Закрытые!$K$5:$K$300,Закрытые!$E$5:$E$300,$B152,Закрытые!$B$5:$B$300,"L-*"))</f>
        <v/>
      </c>
      <c r="I152" s="246" t="str">
        <f>IF($B152="","",IF(COUNTIFS(Лэндинг!$E$5:$E$300,$B152)+COUNTIFS(Закрытые!$E$5:$E$300,$B152,Закрытые!$B$5:$B$300,"L-*")=0,"",ROUND(SUMIFS(Лэндинг!$L$5:$L$300,Лэндинг!$E$5:$E$300,$B152)+SUMIFS(Закрытые!$L$5:$L$300,Закрытые!$E$5:$E$300,$B152,Закрытые!$B$5:$B$300,"L-*"),8)))</f>
        <v/>
      </c>
      <c r="J152" s="247" t="str">
        <f>IF($B152="","",IF(COUNTIFS(Лэндинг!$E$5:$E$300,$B152)+COUNTIFS(Закрытые!$E$5:$E$300,$B152,Закрытые!$B$5:$B$300,"L-*")=0,"",ROUND(SUMIFS(Лэндинг!$M$5:$M$300,Лэндинг!$E$5:$E$300,$B152)+SUMIFS(Закрытые!$M$5:$M$300,Закрытые!$E$5:$E$300,$B152,Закрытые!$B$5:$B$300,"L-*"),8)))</f>
        <v/>
      </c>
      <c r="K152" s="246" t="str">
        <f>IF(MIN(N(C152),N(F152))&lt;=0,"",ROUND(MIN(N(C152),N(F152))*(N(G152)-N(D152)),8))</f>
        <v/>
      </c>
      <c r="L152" s="183" t="str">
        <f>IF(MIN(N(C152),N(F152))&lt;=0,"",IF(N(D152)=0,"",ROUND((N(G152)/N(D152)-1)*100,2)))</f>
        <v/>
      </c>
      <c r="M152" s="183" t="str">
        <f>IF(OR(ROUND(N(C152)-N(F152),8)=0,1-N(Ввод!$J$19)/100&lt;=0),"",IF(N(C152)&gt;N(F152),(N(E152)-N(H152))/((N(C152)-N(F152))*(1-N(Ввод!$J$19)/100)),(N(H152)-N(E152))/((N(F152)-N(C152))*(1+N(Ввод!$J$19)/100))))</f>
        <v/>
      </c>
    </row>
    <row r="153" ht="22" customHeight="1">
      <c r="B153" s="239" t="n"/>
      <c r="C153" s="240" t="str">
        <f>IF(SUMIFS(Лэндинг!$F$5:$F$300,Лэндинг!$E$5:$E$300,$B153)+SUMIFS(Закрытые!$F$5:$F$300,Закрытые!$E$5:$E$300,$B153,Закрытые!$B$5:$B$300,"L-*")=0,"",SUMIFS(Лэндинг!$F$5:$F$300,Лэндинг!$E$5:$E$300,$B153)+SUMIFS(Закрытые!$F$5:$F$300,Закрытые!$E$5:$E$300,$B153,Закрытые!$B$5:$B$300,"L-*"))</f>
        <v/>
      </c>
      <c r="D153" s="177" t="str">
        <f>IF(C153="","",(SUMPRODUCT((Лэндинг!$E$5:$E$300=$B153)*Лэндинг!$F$5:$F$300*Лэндинг!$G$5:$G$300)+SUMPRODUCT((Закрытые!$E$5:$E$300=$B153)*(LEFT(Закрытые!$B$5:$B$300,2)="L-")*Закрытые!$F$5:$F$300*Закрытые!$G$5:$G$300))/C153)</f>
        <v/>
      </c>
      <c r="E153" s="241" t="str">
        <f>IF(C153="","",SUMIFS(Лэндинг!$H$5:$H$300,Лэндинг!$E$5:$E$300,$B153)+SUMIFS(Закрытые!$H$5:$H$300,Закрытые!$E$5:$E$300,$B153,Закрытые!$B$5:$B$300,"L-*"))</f>
        <v/>
      </c>
      <c r="F153" s="240" t="str">
        <f>IF(SUMIFS(Лэндинг!$I$5:$I$300,Лэндинг!$E$5:$E$300,$B153)+SUMIFS(Закрытые!$I$5:$I$300,Закрытые!$E$5:$E$300,$B153,Закрытые!$B$5:$B$300,"L-*")=0,"",SUMIFS(Лэндинг!$I$5:$I$300,Лэндинг!$E$5:$E$300,$B153)+SUMIFS(Закрытые!$I$5:$I$300,Закрытые!$E$5:$E$300,$B153,Закрытые!$B$5:$B$300,"L-*"))</f>
        <v/>
      </c>
      <c r="G153" s="177" t="str">
        <f>IF(F153="","",(SUMPRODUCT((Лэндинг!$E$5:$E$300=$B153)*Лэндинг!$I$5:$I$300*Лэндинг!$J$5:$J$300)+SUMPRODUCT((Закрытые!$E$5:$E$300=$B153)*(LEFT(Закрытые!$B$5:$B$300,2)="L-")*Закрытые!$I$5:$I$300*Закрытые!$J$5:$J$300))/F153)</f>
        <v/>
      </c>
      <c r="H153" s="241" t="str">
        <f>IF(F153="","",SUMIFS(Лэндинг!$K$5:$K$300,Лэндинг!$E$5:$E$300,$B153)+SUMIFS(Закрытые!$K$5:$K$300,Закрытые!$E$5:$E$300,$B153,Закрытые!$B$5:$B$300,"L-*"))</f>
        <v/>
      </c>
      <c r="I153" s="240" t="str">
        <f>IF($B153="","",IF(COUNTIFS(Лэндинг!$E$5:$E$300,$B153)+COUNTIFS(Закрытые!$E$5:$E$300,$B153,Закрытые!$B$5:$B$300,"L-*")=0,"",ROUND(SUMIFS(Лэндинг!$L$5:$L$300,Лэндинг!$E$5:$E$300,$B153)+SUMIFS(Закрытые!$L$5:$L$300,Закрытые!$E$5:$E$300,$B153,Закрытые!$B$5:$B$300,"L-*"),8)))</f>
        <v/>
      </c>
      <c r="J153" s="241" t="str">
        <f>IF($B153="","",IF(COUNTIFS(Лэндинг!$E$5:$E$300,$B153)+COUNTIFS(Закрытые!$E$5:$E$300,$B153,Закрытые!$B$5:$B$300,"L-*")=0,"",ROUND(SUMIFS(Лэндинг!$M$5:$M$300,Лэндинг!$E$5:$E$300,$B153)+SUMIFS(Закрытые!$M$5:$M$300,Закрытые!$E$5:$E$300,$B153,Закрытые!$B$5:$B$300,"L-*"),8)))</f>
        <v/>
      </c>
      <c r="K153" s="240" t="str">
        <f>IF(MIN(N(C153),N(F153))&lt;=0,"",ROUND(MIN(N(C153),N(F153))*(N(G153)-N(D153)),8))</f>
        <v/>
      </c>
      <c r="L153" s="177" t="str">
        <f>IF(MIN(N(C153),N(F153))&lt;=0,"",IF(N(D153)=0,"",ROUND((N(G153)/N(D153)-1)*100,2)))</f>
        <v/>
      </c>
      <c r="M153" s="177" t="str">
        <f>IF(OR(ROUND(N(C153)-N(F153),8)=0,1-N(Ввод!$J$19)/100&lt;=0),"",IF(N(C153)&gt;N(F153),(N(E153)-N(H153))/((N(C153)-N(F153))*(1-N(Ввод!$J$19)/100)),(N(H153)-N(E153))/((N(F153)-N(C153))*(1+N(Ввод!$J$19)/100))))</f>
        <v/>
      </c>
    </row>
    <row r="154" ht="22" customHeight="1">
      <c r="B154" s="245" t="n"/>
      <c r="C154" s="246" t="str">
        <f>IF(SUMIFS(Лэндинг!$F$5:$F$300,Лэндинг!$E$5:$E$300,$B154)+SUMIFS(Закрытые!$F$5:$F$300,Закрытые!$E$5:$E$300,$B154,Закрытые!$B$5:$B$300,"L-*")=0,"",SUMIFS(Лэндинг!$F$5:$F$300,Лэндинг!$E$5:$E$300,$B154)+SUMIFS(Закрытые!$F$5:$F$300,Закрытые!$E$5:$E$300,$B154,Закрытые!$B$5:$B$300,"L-*"))</f>
        <v/>
      </c>
      <c r="D154" s="183" t="str">
        <f>IF(C154="","",(SUMPRODUCT((Лэндинг!$E$5:$E$300=$B154)*Лэндинг!$F$5:$F$300*Лэндинг!$G$5:$G$300)+SUMPRODUCT((Закрытые!$E$5:$E$300=$B154)*(LEFT(Закрытые!$B$5:$B$300,2)="L-")*Закрытые!$F$5:$F$300*Закрытые!$G$5:$G$300))/C154)</f>
        <v/>
      </c>
      <c r="E154" s="247" t="str">
        <f>IF(C154="","",SUMIFS(Лэндинг!$H$5:$H$300,Лэндинг!$E$5:$E$300,$B154)+SUMIFS(Закрытые!$H$5:$H$300,Закрытые!$E$5:$E$300,$B154,Закрытые!$B$5:$B$300,"L-*"))</f>
        <v/>
      </c>
      <c r="F154" s="246" t="str">
        <f>IF(SUMIFS(Лэндинг!$I$5:$I$300,Лэндинг!$E$5:$E$300,$B154)+SUMIFS(Закрытые!$I$5:$I$300,Закрытые!$E$5:$E$300,$B154,Закрытые!$B$5:$B$300,"L-*")=0,"",SUMIFS(Лэндинг!$I$5:$I$300,Лэндинг!$E$5:$E$300,$B154)+SUMIFS(Закрытые!$I$5:$I$300,Закрытые!$E$5:$E$300,$B154,Закрытые!$B$5:$B$300,"L-*"))</f>
        <v/>
      </c>
      <c r="G154" s="183" t="str">
        <f>IF(F154="","",(SUMPRODUCT((Лэндинг!$E$5:$E$300=$B154)*Лэндинг!$I$5:$I$300*Лэндинг!$J$5:$J$300)+SUMPRODUCT((Закрытые!$E$5:$E$300=$B154)*(LEFT(Закрытые!$B$5:$B$300,2)="L-")*Закрытые!$I$5:$I$300*Закрытые!$J$5:$J$300))/F154)</f>
        <v/>
      </c>
      <c r="H154" s="247" t="str">
        <f>IF(F154="","",SUMIFS(Лэндинг!$K$5:$K$300,Лэндинг!$E$5:$E$300,$B154)+SUMIFS(Закрытые!$K$5:$K$300,Закрытые!$E$5:$E$300,$B154,Закрытые!$B$5:$B$300,"L-*"))</f>
        <v/>
      </c>
      <c r="I154" s="246" t="str">
        <f>IF($B154="","",IF(COUNTIFS(Лэндинг!$E$5:$E$300,$B154)+COUNTIFS(Закрытые!$E$5:$E$300,$B154,Закрытые!$B$5:$B$300,"L-*")=0,"",ROUND(SUMIFS(Лэндинг!$L$5:$L$300,Лэндинг!$E$5:$E$300,$B154)+SUMIFS(Закрытые!$L$5:$L$300,Закрытые!$E$5:$E$300,$B154,Закрытые!$B$5:$B$300,"L-*"),8)))</f>
        <v/>
      </c>
      <c r="J154" s="247" t="str">
        <f>IF($B154="","",IF(COUNTIFS(Лэндинг!$E$5:$E$300,$B154)+COUNTIFS(Закрытые!$E$5:$E$300,$B154,Закрытые!$B$5:$B$300,"L-*")=0,"",ROUND(SUMIFS(Лэндинг!$M$5:$M$300,Лэндинг!$E$5:$E$300,$B154)+SUMIFS(Закрытые!$M$5:$M$300,Закрытые!$E$5:$E$300,$B154,Закрытые!$B$5:$B$300,"L-*"),8)))</f>
        <v/>
      </c>
      <c r="K154" s="246" t="str">
        <f>IF(MIN(N(C154),N(F154))&lt;=0,"",ROUND(MIN(N(C154),N(F154))*(N(G154)-N(D154)),8))</f>
        <v/>
      </c>
      <c r="L154" s="183" t="str">
        <f>IF(MIN(N(C154),N(F154))&lt;=0,"",IF(N(D154)=0,"",ROUND((N(G154)/N(D154)-1)*100,2)))</f>
        <v/>
      </c>
      <c r="M154" s="183" t="str">
        <f>IF(OR(ROUND(N(C154)-N(F154),8)=0,1-N(Ввод!$J$19)/100&lt;=0),"",IF(N(C154)&gt;N(F154),(N(E154)-N(H154))/((N(C154)-N(F154))*(1-N(Ввод!$J$19)/100)),(N(H154)-N(E154))/((N(F154)-N(C154))*(1+N(Ввод!$J$19)/100))))</f>
        <v/>
      </c>
    </row>
    <row r="155" ht="22" customHeight="1">
      <c r="B155" s="239" t="n"/>
      <c r="C155" s="240" t="str">
        <f>IF(SUMIFS(Лэндинг!$F$5:$F$300,Лэндинг!$E$5:$E$300,$B155)+SUMIFS(Закрытые!$F$5:$F$300,Закрытые!$E$5:$E$300,$B155,Закрытые!$B$5:$B$300,"L-*")=0,"",SUMIFS(Лэндинг!$F$5:$F$300,Лэндинг!$E$5:$E$300,$B155)+SUMIFS(Закрытые!$F$5:$F$300,Закрытые!$E$5:$E$300,$B155,Закрытые!$B$5:$B$300,"L-*"))</f>
        <v/>
      </c>
      <c r="D155" s="177" t="str">
        <f>IF(C155="","",(SUMPRODUCT((Лэндинг!$E$5:$E$300=$B155)*Лэндинг!$F$5:$F$300*Лэндинг!$G$5:$G$300)+SUMPRODUCT((Закрытые!$E$5:$E$300=$B155)*(LEFT(Закрытые!$B$5:$B$300,2)="L-")*Закрытые!$F$5:$F$300*Закрытые!$G$5:$G$300))/C155)</f>
        <v/>
      </c>
      <c r="E155" s="241" t="str">
        <f>IF(C155="","",SUMIFS(Лэндинг!$H$5:$H$300,Лэндинг!$E$5:$E$300,$B155)+SUMIFS(Закрытые!$H$5:$H$300,Закрытые!$E$5:$E$300,$B155,Закрытые!$B$5:$B$300,"L-*"))</f>
        <v/>
      </c>
      <c r="F155" s="240" t="str">
        <f>IF(SUMIFS(Лэндинг!$I$5:$I$300,Лэндинг!$E$5:$E$300,$B155)+SUMIFS(Закрытые!$I$5:$I$300,Закрытые!$E$5:$E$300,$B155,Закрытые!$B$5:$B$300,"L-*")=0,"",SUMIFS(Лэндинг!$I$5:$I$300,Лэндинг!$E$5:$E$300,$B155)+SUMIFS(Закрытые!$I$5:$I$300,Закрытые!$E$5:$E$300,$B155,Закрытые!$B$5:$B$300,"L-*"))</f>
        <v/>
      </c>
      <c r="G155" s="177" t="str">
        <f>IF(F155="","",(SUMPRODUCT((Лэндинг!$E$5:$E$300=$B155)*Лэндинг!$I$5:$I$300*Лэндинг!$J$5:$J$300)+SUMPRODUCT((Закрытые!$E$5:$E$300=$B155)*(LEFT(Закрытые!$B$5:$B$300,2)="L-")*Закрытые!$I$5:$I$300*Закрытые!$J$5:$J$300))/F155)</f>
        <v/>
      </c>
      <c r="H155" s="241" t="str">
        <f>IF(F155="","",SUMIFS(Лэндинг!$K$5:$K$300,Лэндинг!$E$5:$E$300,$B155)+SUMIFS(Закрытые!$K$5:$K$300,Закрытые!$E$5:$E$300,$B155,Закрытые!$B$5:$B$300,"L-*"))</f>
        <v/>
      </c>
      <c r="I155" s="240" t="str">
        <f>IF($B155="","",IF(COUNTIFS(Лэндинг!$E$5:$E$300,$B155)+COUNTIFS(Закрытые!$E$5:$E$300,$B155,Закрытые!$B$5:$B$300,"L-*")=0,"",ROUND(SUMIFS(Лэндинг!$L$5:$L$300,Лэндинг!$E$5:$E$300,$B155)+SUMIFS(Закрытые!$L$5:$L$300,Закрытые!$E$5:$E$300,$B155,Закрытые!$B$5:$B$300,"L-*"),8)))</f>
        <v/>
      </c>
      <c r="J155" s="241" t="str">
        <f>IF($B155="","",IF(COUNTIFS(Лэндинг!$E$5:$E$300,$B155)+COUNTIFS(Закрытые!$E$5:$E$300,$B155,Закрытые!$B$5:$B$300,"L-*")=0,"",ROUND(SUMIFS(Лэндинг!$M$5:$M$300,Лэндинг!$E$5:$E$300,$B155)+SUMIFS(Закрытые!$M$5:$M$300,Закрытые!$E$5:$E$300,$B155,Закрытые!$B$5:$B$300,"L-*"),8)))</f>
        <v/>
      </c>
      <c r="K155" s="240" t="str">
        <f>IF(MIN(N(C155),N(F155))&lt;=0,"",ROUND(MIN(N(C155),N(F155))*(N(G155)-N(D155)),8))</f>
        <v/>
      </c>
      <c r="L155" s="177" t="str">
        <f>IF(MIN(N(C155),N(F155))&lt;=0,"",IF(N(D155)=0,"",ROUND((N(G155)/N(D155)-1)*100,2)))</f>
        <v/>
      </c>
      <c r="M155" s="177" t="str">
        <f>IF(OR(ROUND(N(C155)-N(F155),8)=0,1-N(Ввод!$J$19)/100&lt;=0),"",IF(N(C155)&gt;N(F155),(N(E155)-N(H155))/((N(C155)-N(F155))*(1-N(Ввод!$J$19)/100)),(N(H155)-N(E155))/((N(F155)-N(C155))*(1+N(Ввод!$J$19)/100))))</f>
        <v/>
      </c>
    </row>
    <row r="156" ht="22" customHeight="1">
      <c r="B156" s="245" t="n"/>
      <c r="C156" s="246" t="str">
        <f>IF(SUMIFS(Лэндинг!$F$5:$F$300,Лэндинг!$E$5:$E$300,$B156)+SUMIFS(Закрытые!$F$5:$F$300,Закрытые!$E$5:$E$300,$B156,Закрытые!$B$5:$B$300,"L-*")=0,"",SUMIFS(Лэндинг!$F$5:$F$300,Лэндинг!$E$5:$E$300,$B156)+SUMIFS(Закрытые!$F$5:$F$300,Закрытые!$E$5:$E$300,$B156,Закрытые!$B$5:$B$300,"L-*"))</f>
        <v/>
      </c>
      <c r="D156" s="183" t="str">
        <f>IF(C156="","",(SUMPRODUCT((Лэндинг!$E$5:$E$300=$B156)*Лэндинг!$F$5:$F$300*Лэндинг!$G$5:$G$300)+SUMPRODUCT((Закрытые!$E$5:$E$300=$B156)*(LEFT(Закрытые!$B$5:$B$300,2)="L-")*Закрытые!$F$5:$F$300*Закрытые!$G$5:$G$300))/C156)</f>
        <v/>
      </c>
      <c r="E156" s="247" t="str">
        <f>IF(C156="","",SUMIFS(Лэндинг!$H$5:$H$300,Лэндинг!$E$5:$E$300,$B156)+SUMIFS(Закрытые!$H$5:$H$300,Закрытые!$E$5:$E$300,$B156,Закрытые!$B$5:$B$300,"L-*"))</f>
        <v/>
      </c>
      <c r="F156" s="246" t="str">
        <f>IF(SUMIFS(Лэндинг!$I$5:$I$300,Лэндинг!$E$5:$E$300,$B156)+SUMIFS(Закрытые!$I$5:$I$300,Закрытые!$E$5:$E$300,$B156,Закрытые!$B$5:$B$300,"L-*")=0,"",SUMIFS(Лэндинг!$I$5:$I$300,Лэндинг!$E$5:$E$300,$B156)+SUMIFS(Закрытые!$I$5:$I$300,Закрытые!$E$5:$E$300,$B156,Закрытые!$B$5:$B$300,"L-*"))</f>
        <v/>
      </c>
      <c r="G156" s="183" t="str">
        <f>IF(F156="","",(SUMPRODUCT((Лэндинг!$E$5:$E$300=$B156)*Лэндинг!$I$5:$I$300*Лэндинг!$J$5:$J$300)+SUMPRODUCT((Закрытые!$E$5:$E$300=$B156)*(LEFT(Закрытые!$B$5:$B$300,2)="L-")*Закрытые!$I$5:$I$300*Закрытые!$J$5:$J$300))/F156)</f>
        <v/>
      </c>
      <c r="H156" s="247" t="str">
        <f>IF(F156="","",SUMIFS(Лэндинг!$K$5:$K$300,Лэндинг!$E$5:$E$300,$B156)+SUMIFS(Закрытые!$K$5:$K$300,Закрытые!$E$5:$E$300,$B156,Закрытые!$B$5:$B$300,"L-*"))</f>
        <v/>
      </c>
      <c r="I156" s="246" t="str">
        <f>IF($B156="","",IF(COUNTIFS(Лэндинг!$E$5:$E$300,$B156)+COUNTIFS(Закрытые!$E$5:$E$300,$B156,Закрытые!$B$5:$B$300,"L-*")=0,"",ROUND(SUMIFS(Лэндинг!$L$5:$L$300,Лэндинг!$E$5:$E$300,$B156)+SUMIFS(Закрытые!$L$5:$L$300,Закрытые!$E$5:$E$300,$B156,Закрытые!$B$5:$B$300,"L-*"),8)))</f>
        <v/>
      </c>
      <c r="J156" s="247" t="str">
        <f>IF($B156="","",IF(COUNTIFS(Лэндинг!$E$5:$E$300,$B156)+COUNTIFS(Закрытые!$E$5:$E$300,$B156,Закрытые!$B$5:$B$300,"L-*")=0,"",ROUND(SUMIFS(Лэндинг!$M$5:$M$300,Лэндинг!$E$5:$E$300,$B156)+SUMIFS(Закрытые!$M$5:$M$300,Закрытые!$E$5:$E$300,$B156,Закрытые!$B$5:$B$300,"L-*"),8)))</f>
        <v/>
      </c>
      <c r="K156" s="246" t="str">
        <f>IF(MIN(N(C156),N(F156))&lt;=0,"",ROUND(MIN(N(C156),N(F156))*(N(G156)-N(D156)),8))</f>
        <v/>
      </c>
      <c r="L156" s="183" t="str">
        <f>IF(MIN(N(C156),N(F156))&lt;=0,"",IF(N(D156)=0,"",ROUND((N(G156)/N(D156)-1)*100,2)))</f>
        <v/>
      </c>
      <c r="M156" s="183" t="str">
        <f>IF(OR(ROUND(N(C156)-N(F156),8)=0,1-N(Ввод!$J$19)/100&lt;=0),"",IF(N(C156)&gt;N(F156),(N(E156)-N(H156))/((N(C156)-N(F156))*(1-N(Ввод!$J$19)/100)),(N(H156)-N(E156))/((N(F156)-N(C156))*(1+N(Ввод!$J$19)/100))))</f>
        <v/>
      </c>
    </row>
    <row r="157" ht="22" customHeight="1">
      <c r="B157" s="239" t="n"/>
      <c r="C157" s="240" t="str">
        <f>IF(SUMIFS(Лэндинг!$F$5:$F$300,Лэндинг!$E$5:$E$300,$B157)+SUMIFS(Закрытые!$F$5:$F$300,Закрытые!$E$5:$E$300,$B157,Закрытые!$B$5:$B$300,"L-*")=0,"",SUMIFS(Лэндинг!$F$5:$F$300,Лэндинг!$E$5:$E$300,$B157)+SUMIFS(Закрытые!$F$5:$F$300,Закрытые!$E$5:$E$300,$B157,Закрытые!$B$5:$B$300,"L-*"))</f>
        <v/>
      </c>
      <c r="D157" s="177" t="str">
        <f>IF(C157="","",(SUMPRODUCT((Лэндинг!$E$5:$E$300=$B157)*Лэндинг!$F$5:$F$300*Лэндинг!$G$5:$G$300)+SUMPRODUCT((Закрытые!$E$5:$E$300=$B157)*(LEFT(Закрытые!$B$5:$B$300,2)="L-")*Закрытые!$F$5:$F$300*Закрытые!$G$5:$G$300))/C157)</f>
        <v/>
      </c>
      <c r="E157" s="241" t="str">
        <f>IF(C157="","",SUMIFS(Лэндинг!$H$5:$H$300,Лэндинг!$E$5:$E$300,$B157)+SUMIFS(Закрытые!$H$5:$H$300,Закрытые!$E$5:$E$300,$B157,Закрытые!$B$5:$B$300,"L-*"))</f>
        <v/>
      </c>
      <c r="F157" s="240" t="str">
        <f>IF(SUMIFS(Лэндинг!$I$5:$I$300,Лэндинг!$E$5:$E$300,$B157)+SUMIFS(Закрытые!$I$5:$I$300,Закрытые!$E$5:$E$300,$B157,Закрытые!$B$5:$B$300,"L-*")=0,"",SUMIFS(Лэндинг!$I$5:$I$300,Лэндинг!$E$5:$E$300,$B157)+SUMIFS(Закрытые!$I$5:$I$300,Закрытые!$E$5:$E$300,$B157,Закрытые!$B$5:$B$300,"L-*"))</f>
        <v/>
      </c>
      <c r="G157" s="177" t="str">
        <f>IF(F157="","",(SUMPRODUCT((Лэндинг!$E$5:$E$300=$B157)*Лэндинг!$I$5:$I$300*Лэндинг!$J$5:$J$300)+SUMPRODUCT((Закрытые!$E$5:$E$300=$B157)*(LEFT(Закрытые!$B$5:$B$300,2)="L-")*Закрытые!$I$5:$I$300*Закрытые!$J$5:$J$300))/F157)</f>
        <v/>
      </c>
      <c r="H157" s="241" t="str">
        <f>IF(F157="","",SUMIFS(Лэндинг!$K$5:$K$300,Лэндинг!$E$5:$E$300,$B157)+SUMIFS(Закрытые!$K$5:$K$300,Закрытые!$E$5:$E$300,$B157,Закрытые!$B$5:$B$300,"L-*"))</f>
        <v/>
      </c>
      <c r="I157" s="240" t="str">
        <f>IF($B157="","",IF(COUNTIFS(Лэндинг!$E$5:$E$300,$B157)+COUNTIFS(Закрытые!$E$5:$E$300,$B157,Закрытые!$B$5:$B$300,"L-*")=0,"",ROUND(SUMIFS(Лэндинг!$L$5:$L$300,Лэндинг!$E$5:$E$300,$B157)+SUMIFS(Закрытые!$L$5:$L$300,Закрытые!$E$5:$E$300,$B157,Закрытые!$B$5:$B$300,"L-*"),8)))</f>
        <v/>
      </c>
      <c r="J157" s="241" t="str">
        <f>IF($B157="","",IF(COUNTIFS(Лэндинг!$E$5:$E$300,$B157)+COUNTIFS(Закрытые!$E$5:$E$300,$B157,Закрытые!$B$5:$B$300,"L-*")=0,"",ROUND(SUMIFS(Лэндинг!$M$5:$M$300,Лэндинг!$E$5:$E$300,$B157)+SUMIFS(Закрытые!$M$5:$M$300,Закрытые!$E$5:$E$300,$B157,Закрытые!$B$5:$B$300,"L-*"),8)))</f>
        <v/>
      </c>
      <c r="K157" s="240" t="str">
        <f>IF(MIN(N(C157),N(F157))&lt;=0,"",ROUND(MIN(N(C157),N(F157))*(N(G157)-N(D157)),8))</f>
        <v/>
      </c>
      <c r="L157" s="177" t="str">
        <f>IF(MIN(N(C157),N(F157))&lt;=0,"",IF(N(D157)=0,"",ROUND((N(G157)/N(D157)-1)*100,2)))</f>
        <v/>
      </c>
      <c r="M157" s="177" t="str">
        <f>IF(OR(ROUND(N(C157)-N(F157),8)=0,1-N(Ввод!$J$19)/100&lt;=0),"",IF(N(C157)&gt;N(F157),(N(E157)-N(H157))/((N(C157)-N(F157))*(1-N(Ввод!$J$19)/100)),(N(H157)-N(E157))/((N(F157)-N(C157))*(1+N(Ввод!$J$19)/100))))</f>
        <v/>
      </c>
    </row>
    <row r="158" ht="22" customHeight="1">
      <c r="B158" s="245" t="n"/>
      <c r="C158" s="246" t="str">
        <f>IF(SUMIFS(Лэндинг!$F$5:$F$300,Лэндинг!$E$5:$E$300,$B158)+SUMIFS(Закрытые!$F$5:$F$300,Закрытые!$E$5:$E$300,$B158,Закрытые!$B$5:$B$300,"L-*")=0,"",SUMIFS(Лэндинг!$F$5:$F$300,Лэндинг!$E$5:$E$300,$B158)+SUMIFS(Закрытые!$F$5:$F$300,Закрытые!$E$5:$E$300,$B158,Закрытые!$B$5:$B$300,"L-*"))</f>
        <v/>
      </c>
      <c r="D158" s="183" t="str">
        <f>IF(C158="","",(SUMPRODUCT((Лэндинг!$E$5:$E$300=$B158)*Лэндинг!$F$5:$F$300*Лэндинг!$G$5:$G$300)+SUMPRODUCT((Закрытые!$E$5:$E$300=$B158)*(LEFT(Закрытые!$B$5:$B$300,2)="L-")*Закрытые!$F$5:$F$300*Закрытые!$G$5:$G$300))/C158)</f>
        <v/>
      </c>
      <c r="E158" s="247" t="str">
        <f>IF(C158="","",SUMIFS(Лэндинг!$H$5:$H$300,Лэндинг!$E$5:$E$300,$B158)+SUMIFS(Закрытые!$H$5:$H$300,Закрытые!$E$5:$E$300,$B158,Закрытые!$B$5:$B$300,"L-*"))</f>
        <v/>
      </c>
      <c r="F158" s="246" t="str">
        <f>IF(SUMIFS(Лэндинг!$I$5:$I$300,Лэндинг!$E$5:$E$300,$B158)+SUMIFS(Закрытые!$I$5:$I$300,Закрытые!$E$5:$E$300,$B158,Закрытые!$B$5:$B$300,"L-*")=0,"",SUMIFS(Лэндинг!$I$5:$I$300,Лэндинг!$E$5:$E$300,$B158)+SUMIFS(Закрытые!$I$5:$I$300,Закрытые!$E$5:$E$300,$B158,Закрытые!$B$5:$B$300,"L-*"))</f>
        <v/>
      </c>
      <c r="G158" s="183" t="str">
        <f>IF(F158="","",(SUMPRODUCT((Лэндинг!$E$5:$E$300=$B158)*Лэндинг!$I$5:$I$300*Лэндинг!$J$5:$J$300)+SUMPRODUCT((Закрытые!$E$5:$E$300=$B158)*(LEFT(Закрытые!$B$5:$B$300,2)="L-")*Закрытые!$I$5:$I$300*Закрытые!$J$5:$J$300))/F158)</f>
        <v/>
      </c>
      <c r="H158" s="247" t="str">
        <f>IF(F158="","",SUMIFS(Лэндинг!$K$5:$K$300,Лэндинг!$E$5:$E$300,$B158)+SUMIFS(Закрытые!$K$5:$K$300,Закрытые!$E$5:$E$300,$B158,Закрытые!$B$5:$B$300,"L-*"))</f>
        <v/>
      </c>
      <c r="I158" s="246" t="str">
        <f>IF($B158="","",IF(COUNTIFS(Лэндинг!$E$5:$E$300,$B158)+COUNTIFS(Закрытые!$E$5:$E$300,$B158,Закрытые!$B$5:$B$300,"L-*")=0,"",ROUND(SUMIFS(Лэндинг!$L$5:$L$300,Лэндинг!$E$5:$E$300,$B158)+SUMIFS(Закрытые!$L$5:$L$300,Закрытые!$E$5:$E$300,$B158,Закрытые!$B$5:$B$300,"L-*"),8)))</f>
        <v/>
      </c>
      <c r="J158" s="247" t="str">
        <f>IF($B158="","",IF(COUNTIFS(Лэндинг!$E$5:$E$300,$B158)+COUNTIFS(Закрытые!$E$5:$E$300,$B158,Закрытые!$B$5:$B$300,"L-*")=0,"",ROUND(SUMIFS(Лэндинг!$M$5:$M$300,Лэндинг!$E$5:$E$300,$B158)+SUMIFS(Закрытые!$M$5:$M$300,Закрытые!$E$5:$E$300,$B158,Закрытые!$B$5:$B$300,"L-*"),8)))</f>
        <v/>
      </c>
      <c r="K158" s="246" t="str">
        <f>IF(MIN(N(C158),N(F158))&lt;=0,"",ROUND(MIN(N(C158),N(F158))*(N(G158)-N(D158)),8))</f>
        <v/>
      </c>
      <c r="L158" s="183" t="str">
        <f>IF(MIN(N(C158),N(F158))&lt;=0,"",IF(N(D158)=0,"",ROUND((N(G158)/N(D158)-1)*100,2)))</f>
        <v/>
      </c>
      <c r="M158" s="183" t="str">
        <f>IF(OR(ROUND(N(C158)-N(F158),8)=0,1-N(Ввод!$J$19)/100&lt;=0),"",IF(N(C158)&gt;N(F158),(N(E158)-N(H158))/((N(C158)-N(F158))*(1-N(Ввод!$J$19)/100)),(N(H158)-N(E158))/((N(F158)-N(C158))*(1+N(Ввод!$J$19)/100))))</f>
        <v/>
      </c>
    </row>
    <row r="159" ht="22" customHeight="1">
      <c r="B159" s="239" t="n"/>
      <c r="C159" s="240" t="str">
        <f>IF(SUMIFS(Лэндинг!$F$5:$F$300,Лэндинг!$E$5:$E$300,$B159)+SUMIFS(Закрытые!$F$5:$F$300,Закрытые!$E$5:$E$300,$B159,Закрытые!$B$5:$B$300,"L-*")=0,"",SUMIFS(Лэндинг!$F$5:$F$300,Лэндинг!$E$5:$E$300,$B159)+SUMIFS(Закрытые!$F$5:$F$300,Закрытые!$E$5:$E$300,$B159,Закрытые!$B$5:$B$300,"L-*"))</f>
        <v/>
      </c>
      <c r="D159" s="177" t="str">
        <f>IF(C159="","",(SUMPRODUCT((Лэндинг!$E$5:$E$300=$B159)*Лэндинг!$F$5:$F$300*Лэндинг!$G$5:$G$300)+SUMPRODUCT((Закрытые!$E$5:$E$300=$B159)*(LEFT(Закрытые!$B$5:$B$300,2)="L-")*Закрытые!$F$5:$F$300*Закрытые!$G$5:$G$300))/C159)</f>
        <v/>
      </c>
      <c r="E159" s="241" t="str">
        <f>IF(C159="","",SUMIFS(Лэндинг!$H$5:$H$300,Лэндинг!$E$5:$E$300,$B159)+SUMIFS(Закрытые!$H$5:$H$300,Закрытые!$E$5:$E$300,$B159,Закрытые!$B$5:$B$300,"L-*"))</f>
        <v/>
      </c>
      <c r="F159" s="240" t="str">
        <f>IF(SUMIFS(Лэндинг!$I$5:$I$300,Лэндинг!$E$5:$E$300,$B159)+SUMIFS(Закрытые!$I$5:$I$300,Закрытые!$E$5:$E$300,$B159,Закрытые!$B$5:$B$300,"L-*")=0,"",SUMIFS(Лэндинг!$I$5:$I$300,Лэндинг!$E$5:$E$300,$B159)+SUMIFS(Закрытые!$I$5:$I$300,Закрытые!$E$5:$E$300,$B159,Закрытые!$B$5:$B$300,"L-*"))</f>
        <v/>
      </c>
      <c r="G159" s="177" t="str">
        <f>IF(F159="","",(SUMPRODUCT((Лэндинг!$E$5:$E$300=$B159)*Лэндинг!$I$5:$I$300*Лэндинг!$J$5:$J$300)+SUMPRODUCT((Закрытые!$E$5:$E$300=$B159)*(LEFT(Закрытые!$B$5:$B$300,2)="L-")*Закрытые!$I$5:$I$300*Закрытые!$J$5:$J$300))/F159)</f>
        <v/>
      </c>
      <c r="H159" s="241" t="str">
        <f>IF(F159="","",SUMIFS(Лэндинг!$K$5:$K$300,Лэндинг!$E$5:$E$300,$B159)+SUMIFS(Закрытые!$K$5:$K$300,Закрытые!$E$5:$E$300,$B159,Закрытые!$B$5:$B$300,"L-*"))</f>
        <v/>
      </c>
      <c r="I159" s="240" t="str">
        <f>IF($B159="","",IF(COUNTIFS(Лэндинг!$E$5:$E$300,$B159)+COUNTIFS(Закрытые!$E$5:$E$300,$B159,Закрытые!$B$5:$B$300,"L-*")=0,"",ROUND(SUMIFS(Лэндинг!$L$5:$L$300,Лэндинг!$E$5:$E$300,$B159)+SUMIFS(Закрытые!$L$5:$L$300,Закрытые!$E$5:$E$300,$B159,Закрытые!$B$5:$B$300,"L-*"),8)))</f>
        <v/>
      </c>
      <c r="J159" s="241" t="str">
        <f>IF($B159="","",IF(COUNTIFS(Лэндинг!$E$5:$E$300,$B159)+COUNTIFS(Закрытые!$E$5:$E$300,$B159,Закрытые!$B$5:$B$300,"L-*")=0,"",ROUND(SUMIFS(Лэндинг!$M$5:$M$300,Лэндинг!$E$5:$E$300,$B159)+SUMIFS(Закрытые!$M$5:$M$300,Закрытые!$E$5:$E$300,$B159,Закрытые!$B$5:$B$300,"L-*"),8)))</f>
        <v/>
      </c>
      <c r="K159" s="240" t="str">
        <f>IF(MIN(N(C159),N(F159))&lt;=0,"",ROUND(MIN(N(C159),N(F159))*(N(G159)-N(D159)),8))</f>
        <v/>
      </c>
      <c r="L159" s="177" t="str">
        <f>IF(MIN(N(C159),N(F159))&lt;=0,"",IF(N(D159)=0,"",ROUND((N(G159)/N(D159)-1)*100,2)))</f>
        <v/>
      </c>
      <c r="M159" s="177" t="str">
        <f>IF(OR(ROUND(N(C159)-N(F159),8)=0,1-N(Ввод!$J$19)/100&lt;=0),"",IF(N(C159)&gt;N(F159),(N(E159)-N(H159))/((N(C159)-N(F159))*(1-N(Ввод!$J$19)/100)),(N(H159)-N(E159))/((N(F159)-N(C159))*(1+N(Ввод!$J$19)/100))))</f>
        <v/>
      </c>
    </row>
    <row r="160" ht="22" customHeight="1">
      <c r="B160" s="245" t="n"/>
      <c r="C160" s="246" t="str">
        <f>IF(SUMIFS(Лэндинг!$F$5:$F$300,Лэндинг!$E$5:$E$300,$B160)+SUMIFS(Закрытые!$F$5:$F$300,Закрытые!$E$5:$E$300,$B160,Закрытые!$B$5:$B$300,"L-*")=0,"",SUMIFS(Лэндинг!$F$5:$F$300,Лэндинг!$E$5:$E$300,$B160)+SUMIFS(Закрытые!$F$5:$F$300,Закрытые!$E$5:$E$300,$B160,Закрытые!$B$5:$B$300,"L-*"))</f>
        <v/>
      </c>
      <c r="D160" s="183" t="str">
        <f>IF(C160="","",(SUMPRODUCT((Лэндинг!$E$5:$E$300=$B160)*Лэндинг!$F$5:$F$300*Лэндинг!$G$5:$G$300)+SUMPRODUCT((Закрытые!$E$5:$E$300=$B160)*(LEFT(Закрытые!$B$5:$B$300,2)="L-")*Закрытые!$F$5:$F$300*Закрытые!$G$5:$G$300))/C160)</f>
        <v/>
      </c>
      <c r="E160" s="247" t="str">
        <f>IF(C160="","",SUMIFS(Лэндинг!$H$5:$H$300,Лэндинг!$E$5:$E$300,$B160)+SUMIFS(Закрытые!$H$5:$H$300,Закрытые!$E$5:$E$300,$B160,Закрытые!$B$5:$B$300,"L-*"))</f>
        <v/>
      </c>
      <c r="F160" s="246" t="str">
        <f>IF(SUMIFS(Лэндинг!$I$5:$I$300,Лэндинг!$E$5:$E$300,$B160)+SUMIFS(Закрытые!$I$5:$I$300,Закрытые!$E$5:$E$300,$B160,Закрытые!$B$5:$B$300,"L-*")=0,"",SUMIFS(Лэндинг!$I$5:$I$300,Лэндинг!$E$5:$E$300,$B160)+SUMIFS(Закрытые!$I$5:$I$300,Закрытые!$E$5:$E$300,$B160,Закрытые!$B$5:$B$300,"L-*"))</f>
        <v/>
      </c>
      <c r="G160" s="183" t="str">
        <f>IF(F160="","",(SUMPRODUCT((Лэндинг!$E$5:$E$300=$B160)*Лэндинг!$I$5:$I$300*Лэндинг!$J$5:$J$300)+SUMPRODUCT((Закрытые!$E$5:$E$300=$B160)*(LEFT(Закрытые!$B$5:$B$300,2)="L-")*Закрытые!$I$5:$I$300*Закрытые!$J$5:$J$300))/F160)</f>
        <v/>
      </c>
      <c r="H160" s="247" t="str">
        <f>IF(F160="","",SUMIFS(Лэндинг!$K$5:$K$300,Лэндинг!$E$5:$E$300,$B160)+SUMIFS(Закрытые!$K$5:$K$300,Закрытые!$E$5:$E$300,$B160,Закрытые!$B$5:$B$300,"L-*"))</f>
        <v/>
      </c>
      <c r="I160" s="246" t="str">
        <f>IF($B160="","",IF(COUNTIFS(Лэндинг!$E$5:$E$300,$B160)+COUNTIFS(Закрытые!$E$5:$E$300,$B160,Закрытые!$B$5:$B$300,"L-*")=0,"",ROUND(SUMIFS(Лэндинг!$L$5:$L$300,Лэндинг!$E$5:$E$300,$B160)+SUMIFS(Закрытые!$L$5:$L$300,Закрытые!$E$5:$E$300,$B160,Закрытые!$B$5:$B$300,"L-*"),8)))</f>
        <v/>
      </c>
      <c r="J160" s="247" t="str">
        <f>IF($B160="","",IF(COUNTIFS(Лэндинг!$E$5:$E$300,$B160)+COUNTIFS(Закрытые!$E$5:$E$300,$B160,Закрытые!$B$5:$B$300,"L-*")=0,"",ROUND(SUMIFS(Лэндинг!$M$5:$M$300,Лэндинг!$E$5:$E$300,$B160)+SUMIFS(Закрытые!$M$5:$M$300,Закрытые!$E$5:$E$300,$B160,Закрытые!$B$5:$B$300,"L-*"),8)))</f>
        <v/>
      </c>
      <c r="K160" s="246" t="str">
        <f>IF(MIN(N(C160),N(F160))&lt;=0,"",ROUND(MIN(N(C160),N(F160))*(N(G160)-N(D160)),8))</f>
        <v/>
      </c>
      <c r="L160" s="183" t="str">
        <f>IF(MIN(N(C160),N(F160))&lt;=0,"",IF(N(D160)=0,"",ROUND((N(G160)/N(D160)-1)*100,2)))</f>
        <v/>
      </c>
      <c r="M160" s="183" t="str">
        <f>IF(OR(ROUND(N(C160)-N(F160),8)=0,1-N(Ввод!$J$19)/100&lt;=0),"",IF(N(C160)&gt;N(F160),(N(E160)-N(H160))/((N(C160)-N(F160))*(1-N(Ввод!$J$19)/100)),(N(H160)-N(E160))/((N(F160)-N(C160))*(1+N(Ввод!$J$19)/100))))</f>
        <v/>
      </c>
    </row>
    <row r="161" ht="22" customHeight="1">
      <c r="B161" s="239" t="n"/>
      <c r="C161" s="240" t="str">
        <f>IF(SUMIFS(Лэндинг!$F$5:$F$300,Лэндинг!$E$5:$E$300,$B161)+SUMIFS(Закрытые!$F$5:$F$300,Закрытые!$E$5:$E$300,$B161,Закрытые!$B$5:$B$300,"L-*")=0,"",SUMIFS(Лэндинг!$F$5:$F$300,Лэндинг!$E$5:$E$300,$B161)+SUMIFS(Закрытые!$F$5:$F$300,Закрытые!$E$5:$E$300,$B161,Закрытые!$B$5:$B$300,"L-*"))</f>
        <v/>
      </c>
      <c r="D161" s="177" t="str">
        <f>IF(C161="","",(SUMPRODUCT((Лэндинг!$E$5:$E$300=$B161)*Лэндинг!$F$5:$F$300*Лэндинг!$G$5:$G$300)+SUMPRODUCT((Закрытые!$E$5:$E$300=$B161)*(LEFT(Закрытые!$B$5:$B$300,2)="L-")*Закрытые!$F$5:$F$300*Закрытые!$G$5:$G$300))/C161)</f>
        <v/>
      </c>
      <c r="E161" s="241" t="str">
        <f>IF(C161="","",SUMIFS(Лэндинг!$H$5:$H$300,Лэндинг!$E$5:$E$300,$B161)+SUMIFS(Закрытые!$H$5:$H$300,Закрытые!$E$5:$E$300,$B161,Закрытые!$B$5:$B$300,"L-*"))</f>
        <v/>
      </c>
      <c r="F161" s="240" t="str">
        <f>IF(SUMIFS(Лэндинг!$I$5:$I$300,Лэндинг!$E$5:$E$300,$B161)+SUMIFS(Закрытые!$I$5:$I$300,Закрытые!$E$5:$E$300,$B161,Закрытые!$B$5:$B$300,"L-*")=0,"",SUMIFS(Лэндинг!$I$5:$I$300,Лэндинг!$E$5:$E$300,$B161)+SUMIFS(Закрытые!$I$5:$I$300,Закрытые!$E$5:$E$300,$B161,Закрытые!$B$5:$B$300,"L-*"))</f>
        <v/>
      </c>
      <c r="G161" s="177" t="str">
        <f>IF(F161="","",(SUMPRODUCT((Лэндинг!$E$5:$E$300=$B161)*Лэндинг!$I$5:$I$300*Лэндинг!$J$5:$J$300)+SUMPRODUCT((Закрытые!$E$5:$E$300=$B161)*(LEFT(Закрытые!$B$5:$B$300,2)="L-")*Закрытые!$I$5:$I$300*Закрытые!$J$5:$J$300))/F161)</f>
        <v/>
      </c>
      <c r="H161" s="241" t="str">
        <f>IF(F161="","",SUMIFS(Лэндинг!$K$5:$K$300,Лэндинг!$E$5:$E$300,$B161)+SUMIFS(Закрытые!$K$5:$K$300,Закрытые!$E$5:$E$300,$B161,Закрытые!$B$5:$B$300,"L-*"))</f>
        <v/>
      </c>
      <c r="I161" s="240" t="str">
        <f>IF($B161="","",IF(COUNTIFS(Лэндинг!$E$5:$E$300,$B161)+COUNTIFS(Закрытые!$E$5:$E$300,$B161,Закрытые!$B$5:$B$300,"L-*")=0,"",ROUND(SUMIFS(Лэндинг!$L$5:$L$300,Лэндинг!$E$5:$E$300,$B161)+SUMIFS(Закрытые!$L$5:$L$300,Закрытые!$E$5:$E$300,$B161,Закрытые!$B$5:$B$300,"L-*"),8)))</f>
        <v/>
      </c>
      <c r="J161" s="241" t="str">
        <f>IF($B161="","",IF(COUNTIFS(Лэндинг!$E$5:$E$300,$B161)+COUNTIFS(Закрытые!$E$5:$E$300,$B161,Закрытые!$B$5:$B$300,"L-*")=0,"",ROUND(SUMIFS(Лэндинг!$M$5:$M$300,Лэндинг!$E$5:$E$300,$B161)+SUMIFS(Закрытые!$M$5:$M$300,Закрытые!$E$5:$E$300,$B161,Закрытые!$B$5:$B$300,"L-*"),8)))</f>
        <v/>
      </c>
      <c r="K161" s="240" t="str">
        <f>IF(MIN(N(C161),N(F161))&lt;=0,"",ROUND(MIN(N(C161),N(F161))*(N(G161)-N(D161)),8))</f>
        <v/>
      </c>
      <c r="L161" s="177" t="str">
        <f>IF(MIN(N(C161),N(F161))&lt;=0,"",IF(N(D161)=0,"",ROUND((N(G161)/N(D161)-1)*100,2)))</f>
        <v/>
      </c>
      <c r="M161" s="177" t="str">
        <f>IF(OR(ROUND(N(C161)-N(F161),8)=0,1-N(Ввод!$J$19)/100&lt;=0),"",IF(N(C161)&gt;N(F161),(N(E161)-N(H161))/((N(C161)-N(F161))*(1-N(Ввод!$J$19)/100)),(N(H161)-N(E161))/((N(F161)-N(C161))*(1+N(Ввод!$J$19)/100))))</f>
        <v/>
      </c>
    </row>
    <row r="162" ht="22" customHeight="1">
      <c r="B162" s="245" t="n"/>
      <c r="C162" s="246" t="str">
        <f>IF(SUMIFS(Лэндинг!$F$5:$F$300,Лэндинг!$E$5:$E$300,$B162)+SUMIFS(Закрытые!$F$5:$F$300,Закрытые!$E$5:$E$300,$B162,Закрытые!$B$5:$B$300,"L-*")=0,"",SUMIFS(Лэндинг!$F$5:$F$300,Лэндинг!$E$5:$E$300,$B162)+SUMIFS(Закрытые!$F$5:$F$300,Закрытые!$E$5:$E$300,$B162,Закрытые!$B$5:$B$300,"L-*"))</f>
        <v/>
      </c>
      <c r="D162" s="183" t="str">
        <f>IF(C162="","",(SUMPRODUCT((Лэндинг!$E$5:$E$300=$B162)*Лэндинг!$F$5:$F$300*Лэндинг!$G$5:$G$300)+SUMPRODUCT((Закрытые!$E$5:$E$300=$B162)*(LEFT(Закрытые!$B$5:$B$300,2)="L-")*Закрытые!$F$5:$F$300*Закрытые!$G$5:$G$300))/C162)</f>
        <v/>
      </c>
      <c r="E162" s="247" t="str">
        <f>IF(C162="","",SUMIFS(Лэндинг!$H$5:$H$300,Лэндинг!$E$5:$E$300,$B162)+SUMIFS(Закрытые!$H$5:$H$300,Закрытые!$E$5:$E$300,$B162,Закрытые!$B$5:$B$300,"L-*"))</f>
        <v/>
      </c>
      <c r="F162" s="246" t="str">
        <f>IF(SUMIFS(Лэндинг!$I$5:$I$300,Лэндинг!$E$5:$E$300,$B162)+SUMIFS(Закрытые!$I$5:$I$300,Закрытые!$E$5:$E$300,$B162,Закрытые!$B$5:$B$300,"L-*")=0,"",SUMIFS(Лэндинг!$I$5:$I$300,Лэндинг!$E$5:$E$300,$B162)+SUMIFS(Закрытые!$I$5:$I$300,Закрытые!$E$5:$E$300,$B162,Закрытые!$B$5:$B$300,"L-*"))</f>
        <v/>
      </c>
      <c r="G162" s="183" t="str">
        <f>IF(F162="","",(SUMPRODUCT((Лэндинг!$E$5:$E$300=$B162)*Лэндинг!$I$5:$I$300*Лэндинг!$J$5:$J$300)+SUMPRODUCT((Закрытые!$E$5:$E$300=$B162)*(LEFT(Закрытые!$B$5:$B$300,2)="L-")*Закрытые!$I$5:$I$300*Закрытые!$J$5:$J$300))/F162)</f>
        <v/>
      </c>
      <c r="H162" s="247" t="str">
        <f>IF(F162="","",SUMIFS(Лэндинг!$K$5:$K$300,Лэндинг!$E$5:$E$300,$B162)+SUMIFS(Закрытые!$K$5:$K$300,Закрытые!$E$5:$E$300,$B162,Закрытые!$B$5:$B$300,"L-*"))</f>
        <v/>
      </c>
      <c r="I162" s="246" t="str">
        <f>IF($B162="","",IF(COUNTIFS(Лэндинг!$E$5:$E$300,$B162)+COUNTIFS(Закрытые!$E$5:$E$300,$B162,Закрытые!$B$5:$B$300,"L-*")=0,"",ROUND(SUMIFS(Лэндинг!$L$5:$L$300,Лэндинг!$E$5:$E$300,$B162)+SUMIFS(Закрытые!$L$5:$L$300,Закрытые!$E$5:$E$300,$B162,Закрытые!$B$5:$B$300,"L-*"),8)))</f>
        <v/>
      </c>
      <c r="J162" s="247" t="str">
        <f>IF($B162="","",IF(COUNTIFS(Лэндинг!$E$5:$E$300,$B162)+COUNTIFS(Закрытые!$E$5:$E$300,$B162,Закрытые!$B$5:$B$300,"L-*")=0,"",ROUND(SUMIFS(Лэндинг!$M$5:$M$300,Лэндинг!$E$5:$E$300,$B162)+SUMIFS(Закрытые!$M$5:$M$300,Закрытые!$E$5:$E$300,$B162,Закрытые!$B$5:$B$300,"L-*"),8)))</f>
        <v/>
      </c>
      <c r="K162" s="246" t="str">
        <f>IF(MIN(N(C162),N(F162))&lt;=0,"",ROUND(MIN(N(C162),N(F162))*(N(G162)-N(D162)),8))</f>
        <v/>
      </c>
      <c r="L162" s="183" t="str">
        <f>IF(MIN(N(C162),N(F162))&lt;=0,"",IF(N(D162)=0,"",ROUND((N(G162)/N(D162)-1)*100,2)))</f>
        <v/>
      </c>
      <c r="M162" s="183" t="str">
        <f>IF(OR(ROUND(N(C162)-N(F162),8)=0,1-N(Ввод!$J$19)/100&lt;=0),"",IF(N(C162)&gt;N(F162),(N(E162)-N(H162))/((N(C162)-N(F162))*(1-N(Ввод!$J$19)/100)),(N(H162)-N(E162))/((N(F162)-N(C162))*(1+N(Ввод!$J$19)/100))))</f>
        <v/>
      </c>
    </row>
    <row r="163" ht="22" customHeight="1">
      <c r="B163" s="239" t="n"/>
      <c r="C163" s="240" t="str">
        <f>IF(SUMIFS(Лэндинг!$F$5:$F$300,Лэндинг!$E$5:$E$300,$B163)+SUMIFS(Закрытые!$F$5:$F$300,Закрытые!$E$5:$E$300,$B163,Закрытые!$B$5:$B$300,"L-*")=0,"",SUMIFS(Лэндинг!$F$5:$F$300,Лэндинг!$E$5:$E$300,$B163)+SUMIFS(Закрытые!$F$5:$F$300,Закрытые!$E$5:$E$300,$B163,Закрытые!$B$5:$B$300,"L-*"))</f>
        <v/>
      </c>
      <c r="D163" s="177" t="str">
        <f>IF(C163="","",(SUMPRODUCT((Лэндинг!$E$5:$E$300=$B163)*Лэндинг!$F$5:$F$300*Лэндинг!$G$5:$G$300)+SUMPRODUCT((Закрытые!$E$5:$E$300=$B163)*(LEFT(Закрытые!$B$5:$B$300,2)="L-")*Закрытые!$F$5:$F$300*Закрытые!$G$5:$G$300))/C163)</f>
        <v/>
      </c>
      <c r="E163" s="241" t="str">
        <f>IF(C163="","",SUMIFS(Лэндинг!$H$5:$H$300,Лэндинг!$E$5:$E$300,$B163)+SUMIFS(Закрытые!$H$5:$H$300,Закрытые!$E$5:$E$300,$B163,Закрытые!$B$5:$B$300,"L-*"))</f>
        <v/>
      </c>
      <c r="F163" s="240" t="str">
        <f>IF(SUMIFS(Лэндинг!$I$5:$I$300,Лэндинг!$E$5:$E$300,$B163)+SUMIFS(Закрытые!$I$5:$I$300,Закрытые!$E$5:$E$300,$B163,Закрытые!$B$5:$B$300,"L-*")=0,"",SUMIFS(Лэндинг!$I$5:$I$300,Лэндинг!$E$5:$E$300,$B163)+SUMIFS(Закрытые!$I$5:$I$300,Закрытые!$E$5:$E$300,$B163,Закрытые!$B$5:$B$300,"L-*"))</f>
        <v/>
      </c>
      <c r="G163" s="177" t="str">
        <f>IF(F163="","",(SUMPRODUCT((Лэндинг!$E$5:$E$300=$B163)*Лэндинг!$I$5:$I$300*Лэндинг!$J$5:$J$300)+SUMPRODUCT((Закрытые!$E$5:$E$300=$B163)*(LEFT(Закрытые!$B$5:$B$300,2)="L-")*Закрытые!$I$5:$I$300*Закрытые!$J$5:$J$300))/F163)</f>
        <v/>
      </c>
      <c r="H163" s="241" t="str">
        <f>IF(F163="","",SUMIFS(Лэндинг!$K$5:$K$300,Лэндинг!$E$5:$E$300,$B163)+SUMIFS(Закрытые!$K$5:$K$300,Закрытые!$E$5:$E$300,$B163,Закрытые!$B$5:$B$300,"L-*"))</f>
        <v/>
      </c>
      <c r="I163" s="240" t="str">
        <f>IF($B163="","",IF(COUNTIFS(Лэндинг!$E$5:$E$300,$B163)+COUNTIFS(Закрытые!$E$5:$E$300,$B163,Закрытые!$B$5:$B$300,"L-*")=0,"",ROUND(SUMIFS(Лэндинг!$L$5:$L$300,Лэндинг!$E$5:$E$300,$B163)+SUMIFS(Закрытые!$L$5:$L$300,Закрытые!$E$5:$E$300,$B163,Закрытые!$B$5:$B$300,"L-*"),8)))</f>
        <v/>
      </c>
      <c r="J163" s="241" t="str">
        <f>IF($B163="","",IF(COUNTIFS(Лэндинг!$E$5:$E$300,$B163)+COUNTIFS(Закрытые!$E$5:$E$300,$B163,Закрытые!$B$5:$B$300,"L-*")=0,"",ROUND(SUMIFS(Лэндинг!$M$5:$M$300,Лэндинг!$E$5:$E$300,$B163)+SUMIFS(Закрытые!$M$5:$M$300,Закрытые!$E$5:$E$300,$B163,Закрытые!$B$5:$B$300,"L-*"),8)))</f>
        <v/>
      </c>
      <c r="K163" s="240" t="str">
        <f>IF(MIN(N(C163),N(F163))&lt;=0,"",ROUND(MIN(N(C163),N(F163))*(N(G163)-N(D163)),8))</f>
        <v/>
      </c>
      <c r="L163" s="177" t="str">
        <f>IF(MIN(N(C163),N(F163))&lt;=0,"",IF(N(D163)=0,"",ROUND((N(G163)/N(D163)-1)*100,2)))</f>
        <v/>
      </c>
      <c r="M163" s="177" t="str">
        <f>IF(OR(ROUND(N(C163)-N(F163),8)=0,1-N(Ввод!$J$19)/100&lt;=0),"",IF(N(C163)&gt;N(F163),(N(E163)-N(H163))/((N(C163)-N(F163))*(1-N(Ввод!$J$19)/100)),(N(H163)-N(E163))/((N(F163)-N(C163))*(1+N(Ввод!$J$19)/100))))</f>
        <v/>
      </c>
    </row>
    <row r="164" ht="22" customHeight="1">
      <c r="B164" s="245" t="n"/>
      <c r="C164" s="246" t="str">
        <f>IF(SUMIFS(Лэндинг!$F$5:$F$300,Лэндинг!$E$5:$E$300,$B164)+SUMIFS(Закрытые!$F$5:$F$300,Закрытые!$E$5:$E$300,$B164,Закрытые!$B$5:$B$300,"L-*")=0,"",SUMIFS(Лэндинг!$F$5:$F$300,Лэндинг!$E$5:$E$300,$B164)+SUMIFS(Закрытые!$F$5:$F$300,Закрытые!$E$5:$E$300,$B164,Закрытые!$B$5:$B$300,"L-*"))</f>
        <v/>
      </c>
      <c r="D164" s="183" t="str">
        <f>IF(C164="","",(SUMPRODUCT((Лэндинг!$E$5:$E$300=$B164)*Лэндинг!$F$5:$F$300*Лэндинг!$G$5:$G$300)+SUMPRODUCT((Закрытые!$E$5:$E$300=$B164)*(LEFT(Закрытые!$B$5:$B$300,2)="L-")*Закрытые!$F$5:$F$300*Закрытые!$G$5:$G$300))/C164)</f>
        <v/>
      </c>
      <c r="E164" s="247" t="str">
        <f>IF(C164="","",SUMIFS(Лэндинг!$H$5:$H$300,Лэндинг!$E$5:$E$300,$B164)+SUMIFS(Закрытые!$H$5:$H$300,Закрытые!$E$5:$E$300,$B164,Закрытые!$B$5:$B$300,"L-*"))</f>
        <v/>
      </c>
      <c r="F164" s="246" t="str">
        <f>IF(SUMIFS(Лэндинг!$I$5:$I$300,Лэндинг!$E$5:$E$300,$B164)+SUMIFS(Закрытые!$I$5:$I$300,Закрытые!$E$5:$E$300,$B164,Закрытые!$B$5:$B$300,"L-*")=0,"",SUMIFS(Лэндинг!$I$5:$I$300,Лэндинг!$E$5:$E$300,$B164)+SUMIFS(Закрытые!$I$5:$I$300,Закрытые!$E$5:$E$300,$B164,Закрытые!$B$5:$B$300,"L-*"))</f>
        <v/>
      </c>
      <c r="G164" s="183" t="str">
        <f>IF(F164="","",(SUMPRODUCT((Лэндинг!$E$5:$E$300=$B164)*Лэндинг!$I$5:$I$300*Лэндинг!$J$5:$J$300)+SUMPRODUCT((Закрытые!$E$5:$E$300=$B164)*(LEFT(Закрытые!$B$5:$B$300,2)="L-")*Закрытые!$I$5:$I$300*Закрытые!$J$5:$J$300))/F164)</f>
        <v/>
      </c>
      <c r="H164" s="247" t="str">
        <f>IF(F164="","",SUMIFS(Лэндинг!$K$5:$K$300,Лэндинг!$E$5:$E$300,$B164)+SUMIFS(Закрытые!$K$5:$K$300,Закрытые!$E$5:$E$300,$B164,Закрытые!$B$5:$B$300,"L-*"))</f>
        <v/>
      </c>
      <c r="I164" s="246" t="str">
        <f>IF($B164="","",IF(COUNTIFS(Лэндинг!$E$5:$E$300,$B164)+COUNTIFS(Закрытые!$E$5:$E$300,$B164,Закрытые!$B$5:$B$300,"L-*")=0,"",ROUND(SUMIFS(Лэндинг!$L$5:$L$300,Лэндинг!$E$5:$E$300,$B164)+SUMIFS(Закрытые!$L$5:$L$300,Закрытые!$E$5:$E$300,$B164,Закрытые!$B$5:$B$300,"L-*"),8)))</f>
        <v/>
      </c>
      <c r="J164" s="247" t="str">
        <f>IF($B164="","",IF(COUNTIFS(Лэндинг!$E$5:$E$300,$B164)+COUNTIFS(Закрытые!$E$5:$E$300,$B164,Закрытые!$B$5:$B$300,"L-*")=0,"",ROUND(SUMIFS(Лэндинг!$M$5:$M$300,Лэндинг!$E$5:$E$300,$B164)+SUMIFS(Закрытые!$M$5:$M$300,Закрытые!$E$5:$E$300,$B164,Закрытые!$B$5:$B$300,"L-*"),8)))</f>
        <v/>
      </c>
      <c r="K164" s="246" t="str">
        <f>IF(MIN(N(C164),N(F164))&lt;=0,"",ROUND(MIN(N(C164),N(F164))*(N(G164)-N(D164)),8))</f>
        <v/>
      </c>
      <c r="L164" s="183" t="str">
        <f>IF(MIN(N(C164),N(F164))&lt;=0,"",IF(N(D164)=0,"",ROUND((N(G164)/N(D164)-1)*100,2)))</f>
        <v/>
      </c>
      <c r="M164" s="183" t="str">
        <f>IF(OR(ROUND(N(C164)-N(F164),8)=0,1-N(Ввод!$J$19)/100&lt;=0),"",IF(N(C164)&gt;N(F164),(N(E164)-N(H164))/((N(C164)-N(F164))*(1-N(Ввод!$J$19)/100)),(N(H164)-N(E164))/((N(F164)-N(C164))*(1+N(Ввод!$J$19)/100))))</f>
        <v/>
      </c>
    </row>
    <row r="165" ht="22" customHeight="1">
      <c r="B165" s="239" t="n"/>
      <c r="C165" s="240" t="str">
        <f>IF(SUMIFS(Лэндинг!$F$5:$F$300,Лэндинг!$E$5:$E$300,$B165)+SUMIFS(Закрытые!$F$5:$F$300,Закрытые!$E$5:$E$300,$B165,Закрытые!$B$5:$B$300,"L-*")=0,"",SUMIFS(Лэндинг!$F$5:$F$300,Лэндинг!$E$5:$E$300,$B165)+SUMIFS(Закрытые!$F$5:$F$300,Закрытые!$E$5:$E$300,$B165,Закрытые!$B$5:$B$300,"L-*"))</f>
        <v/>
      </c>
      <c r="D165" s="177" t="str">
        <f>IF(C165="","",(SUMPRODUCT((Лэндинг!$E$5:$E$300=$B165)*Лэндинг!$F$5:$F$300*Лэндинг!$G$5:$G$300)+SUMPRODUCT((Закрытые!$E$5:$E$300=$B165)*(LEFT(Закрытые!$B$5:$B$300,2)="L-")*Закрытые!$F$5:$F$300*Закрытые!$G$5:$G$300))/C165)</f>
        <v/>
      </c>
      <c r="E165" s="241" t="str">
        <f>IF(C165="","",SUMIFS(Лэндинг!$H$5:$H$300,Лэндинг!$E$5:$E$300,$B165)+SUMIFS(Закрытые!$H$5:$H$300,Закрытые!$E$5:$E$300,$B165,Закрытые!$B$5:$B$300,"L-*"))</f>
        <v/>
      </c>
      <c r="F165" s="240" t="str">
        <f>IF(SUMIFS(Лэндинг!$I$5:$I$300,Лэндинг!$E$5:$E$300,$B165)+SUMIFS(Закрытые!$I$5:$I$300,Закрытые!$E$5:$E$300,$B165,Закрытые!$B$5:$B$300,"L-*")=0,"",SUMIFS(Лэндинг!$I$5:$I$300,Лэндинг!$E$5:$E$300,$B165)+SUMIFS(Закрытые!$I$5:$I$300,Закрытые!$E$5:$E$300,$B165,Закрытые!$B$5:$B$300,"L-*"))</f>
        <v/>
      </c>
      <c r="G165" s="177" t="str">
        <f>IF(F165="","",(SUMPRODUCT((Лэндинг!$E$5:$E$300=$B165)*Лэндинг!$I$5:$I$300*Лэндинг!$J$5:$J$300)+SUMPRODUCT((Закрытые!$E$5:$E$300=$B165)*(LEFT(Закрытые!$B$5:$B$300,2)="L-")*Закрытые!$I$5:$I$300*Закрытые!$J$5:$J$300))/F165)</f>
        <v/>
      </c>
      <c r="H165" s="241" t="str">
        <f>IF(F165="","",SUMIFS(Лэндинг!$K$5:$K$300,Лэндинг!$E$5:$E$300,$B165)+SUMIFS(Закрытые!$K$5:$K$300,Закрытые!$E$5:$E$300,$B165,Закрытые!$B$5:$B$300,"L-*"))</f>
        <v/>
      </c>
      <c r="I165" s="240" t="str">
        <f>IF($B165="","",IF(COUNTIFS(Лэндинг!$E$5:$E$300,$B165)+COUNTIFS(Закрытые!$E$5:$E$300,$B165,Закрытые!$B$5:$B$300,"L-*")=0,"",ROUND(SUMIFS(Лэндинг!$L$5:$L$300,Лэндинг!$E$5:$E$300,$B165)+SUMIFS(Закрытые!$L$5:$L$300,Закрытые!$E$5:$E$300,$B165,Закрытые!$B$5:$B$300,"L-*"),8)))</f>
        <v/>
      </c>
      <c r="J165" s="241" t="str">
        <f>IF($B165="","",IF(COUNTIFS(Лэндинг!$E$5:$E$300,$B165)+COUNTIFS(Закрытые!$E$5:$E$300,$B165,Закрытые!$B$5:$B$300,"L-*")=0,"",ROUND(SUMIFS(Лэндинг!$M$5:$M$300,Лэндинг!$E$5:$E$300,$B165)+SUMIFS(Закрытые!$M$5:$M$300,Закрытые!$E$5:$E$300,$B165,Закрытые!$B$5:$B$300,"L-*"),8)))</f>
        <v/>
      </c>
      <c r="K165" s="240" t="str">
        <f>IF(MIN(N(C165),N(F165))&lt;=0,"",ROUND(MIN(N(C165),N(F165))*(N(G165)-N(D165)),8))</f>
        <v/>
      </c>
      <c r="L165" s="177" t="str">
        <f>IF(MIN(N(C165),N(F165))&lt;=0,"",IF(N(D165)=0,"",ROUND((N(G165)/N(D165)-1)*100,2)))</f>
        <v/>
      </c>
      <c r="M165" s="177" t="str">
        <f>IF(OR(ROUND(N(C165)-N(F165),8)=0,1-N(Ввод!$J$19)/100&lt;=0),"",IF(N(C165)&gt;N(F165),(N(E165)-N(H165))/((N(C165)-N(F165))*(1-N(Ввод!$J$19)/100)),(N(H165)-N(E165))/((N(F165)-N(C165))*(1+N(Ввод!$J$19)/100))))</f>
        <v/>
      </c>
    </row>
    <row r="166" ht="22" customHeight="1">
      <c r="B166" s="245" t="n"/>
      <c r="C166" s="246" t="str">
        <f>IF(SUMIFS(Лэндинг!$F$5:$F$300,Лэндинг!$E$5:$E$300,$B166)+SUMIFS(Закрытые!$F$5:$F$300,Закрытые!$E$5:$E$300,$B166,Закрытые!$B$5:$B$300,"L-*")=0,"",SUMIFS(Лэндинг!$F$5:$F$300,Лэндинг!$E$5:$E$300,$B166)+SUMIFS(Закрытые!$F$5:$F$300,Закрытые!$E$5:$E$300,$B166,Закрытые!$B$5:$B$300,"L-*"))</f>
        <v/>
      </c>
      <c r="D166" s="183" t="str">
        <f>IF(C166="","",(SUMPRODUCT((Лэндинг!$E$5:$E$300=$B166)*Лэндинг!$F$5:$F$300*Лэндинг!$G$5:$G$300)+SUMPRODUCT((Закрытые!$E$5:$E$300=$B166)*(LEFT(Закрытые!$B$5:$B$300,2)="L-")*Закрытые!$F$5:$F$300*Закрытые!$G$5:$G$300))/C166)</f>
        <v/>
      </c>
      <c r="E166" s="247" t="str">
        <f>IF(C166="","",SUMIFS(Лэндинг!$H$5:$H$300,Лэндинг!$E$5:$E$300,$B166)+SUMIFS(Закрытые!$H$5:$H$300,Закрытые!$E$5:$E$300,$B166,Закрытые!$B$5:$B$300,"L-*"))</f>
        <v/>
      </c>
      <c r="F166" s="246" t="str">
        <f>IF(SUMIFS(Лэндинг!$I$5:$I$300,Лэндинг!$E$5:$E$300,$B166)+SUMIFS(Закрытые!$I$5:$I$300,Закрытые!$E$5:$E$300,$B166,Закрытые!$B$5:$B$300,"L-*")=0,"",SUMIFS(Лэндинг!$I$5:$I$300,Лэндинг!$E$5:$E$300,$B166)+SUMIFS(Закрытые!$I$5:$I$300,Закрытые!$E$5:$E$300,$B166,Закрытые!$B$5:$B$300,"L-*"))</f>
        <v/>
      </c>
      <c r="G166" s="183" t="str">
        <f>IF(F166="","",(SUMPRODUCT((Лэндинг!$E$5:$E$300=$B166)*Лэндинг!$I$5:$I$300*Лэндинг!$J$5:$J$300)+SUMPRODUCT((Закрытые!$E$5:$E$300=$B166)*(LEFT(Закрытые!$B$5:$B$300,2)="L-")*Закрытые!$I$5:$I$300*Закрытые!$J$5:$J$300))/F166)</f>
        <v/>
      </c>
      <c r="H166" s="247" t="str">
        <f>IF(F166="","",SUMIFS(Лэндинг!$K$5:$K$300,Лэндинг!$E$5:$E$300,$B166)+SUMIFS(Закрытые!$K$5:$K$300,Закрытые!$E$5:$E$300,$B166,Закрытые!$B$5:$B$300,"L-*"))</f>
        <v/>
      </c>
      <c r="I166" s="246" t="str">
        <f>IF($B166="","",IF(COUNTIFS(Лэндинг!$E$5:$E$300,$B166)+COUNTIFS(Закрытые!$E$5:$E$300,$B166,Закрытые!$B$5:$B$300,"L-*")=0,"",ROUND(SUMIFS(Лэндинг!$L$5:$L$300,Лэндинг!$E$5:$E$300,$B166)+SUMIFS(Закрытые!$L$5:$L$300,Закрытые!$E$5:$E$300,$B166,Закрытые!$B$5:$B$300,"L-*"),8)))</f>
        <v/>
      </c>
      <c r="J166" s="247" t="str">
        <f>IF($B166="","",IF(COUNTIFS(Лэндинг!$E$5:$E$300,$B166)+COUNTIFS(Закрытые!$E$5:$E$300,$B166,Закрытые!$B$5:$B$300,"L-*")=0,"",ROUND(SUMIFS(Лэндинг!$M$5:$M$300,Лэндинг!$E$5:$E$300,$B166)+SUMIFS(Закрытые!$M$5:$M$300,Закрытые!$E$5:$E$300,$B166,Закрытые!$B$5:$B$300,"L-*"),8)))</f>
        <v/>
      </c>
      <c r="K166" s="246" t="str">
        <f>IF(MIN(N(C166),N(F166))&lt;=0,"",ROUND(MIN(N(C166),N(F166))*(N(G166)-N(D166)),8))</f>
        <v/>
      </c>
      <c r="L166" s="183" t="str">
        <f>IF(MIN(N(C166),N(F166))&lt;=0,"",IF(N(D166)=0,"",ROUND((N(G166)/N(D166)-1)*100,2)))</f>
        <v/>
      </c>
      <c r="M166" s="183" t="str">
        <f>IF(OR(ROUND(N(C166)-N(F166),8)=0,1-N(Ввод!$J$19)/100&lt;=0),"",IF(N(C166)&gt;N(F166),(N(E166)-N(H166))/((N(C166)-N(F166))*(1-N(Ввод!$J$19)/100)),(N(H166)-N(E166))/((N(F166)-N(C166))*(1+N(Ввод!$J$19)/100))))</f>
        <v/>
      </c>
    </row>
    <row r="167" ht="22" customHeight="1">
      <c r="B167" s="239" t="n"/>
      <c r="C167" s="240" t="str">
        <f>IF(SUMIFS(Лэндинг!$F$5:$F$300,Лэндинг!$E$5:$E$300,$B167)+SUMIFS(Закрытые!$F$5:$F$300,Закрытые!$E$5:$E$300,$B167,Закрытые!$B$5:$B$300,"L-*")=0,"",SUMIFS(Лэндинг!$F$5:$F$300,Лэндинг!$E$5:$E$300,$B167)+SUMIFS(Закрытые!$F$5:$F$300,Закрытые!$E$5:$E$300,$B167,Закрытые!$B$5:$B$300,"L-*"))</f>
        <v/>
      </c>
      <c r="D167" s="177" t="str">
        <f>IF(C167="","",(SUMPRODUCT((Лэндинг!$E$5:$E$300=$B167)*Лэндинг!$F$5:$F$300*Лэндинг!$G$5:$G$300)+SUMPRODUCT((Закрытые!$E$5:$E$300=$B167)*(LEFT(Закрытые!$B$5:$B$300,2)="L-")*Закрытые!$F$5:$F$300*Закрытые!$G$5:$G$300))/C167)</f>
        <v/>
      </c>
      <c r="E167" s="241" t="str">
        <f>IF(C167="","",SUMIFS(Лэндинг!$H$5:$H$300,Лэндинг!$E$5:$E$300,$B167)+SUMIFS(Закрытые!$H$5:$H$300,Закрытые!$E$5:$E$300,$B167,Закрытые!$B$5:$B$300,"L-*"))</f>
        <v/>
      </c>
      <c r="F167" s="240" t="str">
        <f>IF(SUMIFS(Лэндинг!$I$5:$I$300,Лэндинг!$E$5:$E$300,$B167)+SUMIFS(Закрытые!$I$5:$I$300,Закрытые!$E$5:$E$300,$B167,Закрытые!$B$5:$B$300,"L-*")=0,"",SUMIFS(Лэндинг!$I$5:$I$300,Лэндинг!$E$5:$E$300,$B167)+SUMIFS(Закрытые!$I$5:$I$300,Закрытые!$E$5:$E$300,$B167,Закрытые!$B$5:$B$300,"L-*"))</f>
        <v/>
      </c>
      <c r="G167" s="177" t="str">
        <f>IF(F167="","",(SUMPRODUCT((Лэндинг!$E$5:$E$300=$B167)*Лэндинг!$I$5:$I$300*Лэндинг!$J$5:$J$300)+SUMPRODUCT((Закрытые!$E$5:$E$300=$B167)*(LEFT(Закрытые!$B$5:$B$300,2)="L-")*Закрытые!$I$5:$I$300*Закрытые!$J$5:$J$300))/F167)</f>
        <v/>
      </c>
      <c r="H167" s="241" t="str">
        <f>IF(F167="","",SUMIFS(Лэндинг!$K$5:$K$300,Лэндинг!$E$5:$E$300,$B167)+SUMIFS(Закрытые!$K$5:$K$300,Закрытые!$E$5:$E$300,$B167,Закрытые!$B$5:$B$300,"L-*"))</f>
        <v/>
      </c>
      <c r="I167" s="240" t="str">
        <f>IF($B167="","",IF(COUNTIFS(Лэндинг!$E$5:$E$300,$B167)+COUNTIFS(Закрытые!$E$5:$E$300,$B167,Закрытые!$B$5:$B$300,"L-*")=0,"",ROUND(SUMIFS(Лэндинг!$L$5:$L$300,Лэндинг!$E$5:$E$300,$B167)+SUMIFS(Закрытые!$L$5:$L$300,Закрытые!$E$5:$E$300,$B167,Закрытые!$B$5:$B$300,"L-*"),8)))</f>
        <v/>
      </c>
      <c r="J167" s="241" t="str">
        <f>IF($B167="","",IF(COUNTIFS(Лэндинг!$E$5:$E$300,$B167)+COUNTIFS(Закрытые!$E$5:$E$300,$B167,Закрытые!$B$5:$B$300,"L-*")=0,"",ROUND(SUMIFS(Лэндинг!$M$5:$M$300,Лэндинг!$E$5:$E$300,$B167)+SUMIFS(Закрытые!$M$5:$M$300,Закрытые!$E$5:$E$300,$B167,Закрытые!$B$5:$B$300,"L-*"),8)))</f>
        <v/>
      </c>
      <c r="K167" s="240" t="str">
        <f>IF(MIN(N(C167),N(F167))&lt;=0,"",ROUND(MIN(N(C167),N(F167))*(N(G167)-N(D167)),8))</f>
        <v/>
      </c>
      <c r="L167" s="177" t="str">
        <f>IF(MIN(N(C167),N(F167))&lt;=0,"",IF(N(D167)=0,"",ROUND((N(G167)/N(D167)-1)*100,2)))</f>
        <v/>
      </c>
      <c r="M167" s="177" t="str">
        <f>IF(OR(ROUND(N(C167)-N(F167),8)=0,1-N(Ввод!$J$19)/100&lt;=0),"",IF(N(C167)&gt;N(F167),(N(E167)-N(H167))/((N(C167)-N(F167))*(1-N(Ввод!$J$19)/100)),(N(H167)-N(E167))/((N(F167)-N(C167))*(1+N(Ввод!$J$19)/100))))</f>
        <v/>
      </c>
    </row>
    <row r="168" ht="22" customHeight="1">
      <c r="B168" s="245" t="n"/>
      <c r="C168" s="246" t="str">
        <f>IF(SUMIFS(Лэндинг!$F$5:$F$300,Лэндинг!$E$5:$E$300,$B168)+SUMIFS(Закрытые!$F$5:$F$300,Закрытые!$E$5:$E$300,$B168,Закрытые!$B$5:$B$300,"L-*")=0,"",SUMIFS(Лэндинг!$F$5:$F$300,Лэндинг!$E$5:$E$300,$B168)+SUMIFS(Закрытые!$F$5:$F$300,Закрытые!$E$5:$E$300,$B168,Закрытые!$B$5:$B$300,"L-*"))</f>
        <v/>
      </c>
      <c r="D168" s="183" t="str">
        <f>IF(C168="","",(SUMPRODUCT((Лэндинг!$E$5:$E$300=$B168)*Лэндинг!$F$5:$F$300*Лэндинг!$G$5:$G$300)+SUMPRODUCT((Закрытые!$E$5:$E$300=$B168)*(LEFT(Закрытые!$B$5:$B$300,2)="L-")*Закрытые!$F$5:$F$300*Закрытые!$G$5:$G$300))/C168)</f>
        <v/>
      </c>
      <c r="E168" s="247" t="str">
        <f>IF(C168="","",SUMIFS(Лэндинг!$H$5:$H$300,Лэндинг!$E$5:$E$300,$B168)+SUMIFS(Закрытые!$H$5:$H$300,Закрытые!$E$5:$E$300,$B168,Закрытые!$B$5:$B$300,"L-*"))</f>
        <v/>
      </c>
      <c r="F168" s="246" t="str">
        <f>IF(SUMIFS(Лэндинг!$I$5:$I$300,Лэндинг!$E$5:$E$300,$B168)+SUMIFS(Закрытые!$I$5:$I$300,Закрытые!$E$5:$E$300,$B168,Закрытые!$B$5:$B$300,"L-*")=0,"",SUMIFS(Лэндинг!$I$5:$I$300,Лэндинг!$E$5:$E$300,$B168)+SUMIFS(Закрытые!$I$5:$I$300,Закрытые!$E$5:$E$300,$B168,Закрытые!$B$5:$B$300,"L-*"))</f>
        <v/>
      </c>
      <c r="G168" s="183" t="str">
        <f>IF(F168="","",(SUMPRODUCT((Лэндинг!$E$5:$E$300=$B168)*Лэндинг!$I$5:$I$300*Лэндинг!$J$5:$J$300)+SUMPRODUCT((Закрытые!$E$5:$E$300=$B168)*(LEFT(Закрытые!$B$5:$B$300,2)="L-")*Закрытые!$I$5:$I$300*Закрытые!$J$5:$J$300))/F168)</f>
        <v/>
      </c>
      <c r="H168" s="247" t="str">
        <f>IF(F168="","",SUMIFS(Лэндинг!$K$5:$K$300,Лэндинг!$E$5:$E$300,$B168)+SUMIFS(Закрытые!$K$5:$K$300,Закрытые!$E$5:$E$300,$B168,Закрытые!$B$5:$B$300,"L-*"))</f>
        <v/>
      </c>
      <c r="I168" s="246" t="str">
        <f>IF($B168="","",IF(COUNTIFS(Лэндинг!$E$5:$E$300,$B168)+COUNTIFS(Закрытые!$E$5:$E$300,$B168,Закрытые!$B$5:$B$300,"L-*")=0,"",ROUND(SUMIFS(Лэндинг!$L$5:$L$300,Лэндинг!$E$5:$E$300,$B168)+SUMIFS(Закрытые!$L$5:$L$300,Закрытые!$E$5:$E$300,$B168,Закрытые!$B$5:$B$300,"L-*"),8)))</f>
        <v/>
      </c>
      <c r="J168" s="247" t="str">
        <f>IF($B168="","",IF(COUNTIFS(Лэндинг!$E$5:$E$300,$B168)+COUNTIFS(Закрытые!$E$5:$E$300,$B168,Закрытые!$B$5:$B$300,"L-*")=0,"",ROUND(SUMIFS(Лэндинг!$M$5:$M$300,Лэндинг!$E$5:$E$300,$B168)+SUMIFS(Закрытые!$M$5:$M$300,Закрытые!$E$5:$E$300,$B168,Закрытые!$B$5:$B$300,"L-*"),8)))</f>
        <v/>
      </c>
      <c r="K168" s="246" t="str">
        <f>IF(MIN(N(C168),N(F168))&lt;=0,"",ROUND(MIN(N(C168),N(F168))*(N(G168)-N(D168)),8))</f>
        <v/>
      </c>
      <c r="L168" s="183" t="str">
        <f>IF(MIN(N(C168),N(F168))&lt;=0,"",IF(N(D168)=0,"",ROUND((N(G168)/N(D168)-1)*100,2)))</f>
        <v/>
      </c>
      <c r="M168" s="183" t="str">
        <f>IF(OR(ROUND(N(C168)-N(F168),8)=0,1-N(Ввод!$J$19)/100&lt;=0),"",IF(N(C168)&gt;N(F168),(N(E168)-N(H168))/((N(C168)-N(F168))*(1-N(Ввод!$J$19)/100)),(N(H168)-N(E168))/((N(F168)-N(C168))*(1+N(Ввод!$J$19)/100))))</f>
        <v/>
      </c>
    </row>
    <row r="169" ht="22" customHeight="1">
      <c r="B169" s="239" t="n"/>
      <c r="C169" s="240" t="str">
        <f>IF(SUMIFS(Лэндинг!$F$5:$F$300,Лэндинг!$E$5:$E$300,$B169)+SUMIFS(Закрытые!$F$5:$F$300,Закрытые!$E$5:$E$300,$B169,Закрытые!$B$5:$B$300,"L-*")=0,"",SUMIFS(Лэндинг!$F$5:$F$300,Лэндинг!$E$5:$E$300,$B169)+SUMIFS(Закрытые!$F$5:$F$300,Закрытые!$E$5:$E$300,$B169,Закрытые!$B$5:$B$300,"L-*"))</f>
        <v/>
      </c>
      <c r="D169" s="177" t="str">
        <f>IF(C169="","",(SUMPRODUCT((Лэндинг!$E$5:$E$300=$B169)*Лэндинг!$F$5:$F$300*Лэндинг!$G$5:$G$300)+SUMPRODUCT((Закрытые!$E$5:$E$300=$B169)*(LEFT(Закрытые!$B$5:$B$300,2)="L-")*Закрытые!$F$5:$F$300*Закрытые!$G$5:$G$300))/C169)</f>
        <v/>
      </c>
      <c r="E169" s="241" t="str">
        <f>IF(C169="","",SUMIFS(Лэндинг!$H$5:$H$300,Лэндинг!$E$5:$E$300,$B169)+SUMIFS(Закрытые!$H$5:$H$300,Закрытые!$E$5:$E$300,$B169,Закрытые!$B$5:$B$300,"L-*"))</f>
        <v/>
      </c>
      <c r="F169" s="240" t="str">
        <f>IF(SUMIFS(Лэндинг!$I$5:$I$300,Лэндинг!$E$5:$E$300,$B169)+SUMIFS(Закрытые!$I$5:$I$300,Закрытые!$E$5:$E$300,$B169,Закрытые!$B$5:$B$300,"L-*")=0,"",SUMIFS(Лэндинг!$I$5:$I$300,Лэндинг!$E$5:$E$300,$B169)+SUMIFS(Закрытые!$I$5:$I$300,Закрытые!$E$5:$E$300,$B169,Закрытые!$B$5:$B$300,"L-*"))</f>
        <v/>
      </c>
      <c r="G169" s="177" t="str">
        <f>IF(F169="","",(SUMPRODUCT((Лэндинг!$E$5:$E$300=$B169)*Лэндинг!$I$5:$I$300*Лэндинг!$J$5:$J$300)+SUMPRODUCT((Закрытые!$E$5:$E$300=$B169)*(LEFT(Закрытые!$B$5:$B$300,2)="L-")*Закрытые!$I$5:$I$300*Закрытые!$J$5:$J$300))/F169)</f>
        <v/>
      </c>
      <c r="H169" s="241" t="str">
        <f>IF(F169="","",SUMIFS(Лэндинг!$K$5:$K$300,Лэндинг!$E$5:$E$300,$B169)+SUMIFS(Закрытые!$K$5:$K$300,Закрытые!$E$5:$E$300,$B169,Закрытые!$B$5:$B$300,"L-*"))</f>
        <v/>
      </c>
      <c r="I169" s="240" t="str">
        <f>IF($B169="","",IF(COUNTIFS(Лэндинг!$E$5:$E$300,$B169)+COUNTIFS(Закрытые!$E$5:$E$300,$B169,Закрытые!$B$5:$B$300,"L-*")=0,"",ROUND(SUMIFS(Лэндинг!$L$5:$L$300,Лэндинг!$E$5:$E$300,$B169)+SUMIFS(Закрытые!$L$5:$L$300,Закрытые!$E$5:$E$300,$B169,Закрытые!$B$5:$B$300,"L-*"),8)))</f>
        <v/>
      </c>
      <c r="J169" s="241" t="str">
        <f>IF($B169="","",IF(COUNTIFS(Лэндинг!$E$5:$E$300,$B169)+COUNTIFS(Закрытые!$E$5:$E$300,$B169,Закрытые!$B$5:$B$300,"L-*")=0,"",ROUND(SUMIFS(Лэндинг!$M$5:$M$300,Лэндинг!$E$5:$E$300,$B169)+SUMIFS(Закрытые!$M$5:$M$300,Закрытые!$E$5:$E$300,$B169,Закрытые!$B$5:$B$300,"L-*"),8)))</f>
        <v/>
      </c>
      <c r="K169" s="240" t="str">
        <f>IF(MIN(N(C169),N(F169))&lt;=0,"",ROUND(MIN(N(C169),N(F169))*(N(G169)-N(D169)),8))</f>
        <v/>
      </c>
      <c r="L169" s="177" t="str">
        <f>IF(MIN(N(C169),N(F169))&lt;=0,"",IF(N(D169)=0,"",ROUND((N(G169)/N(D169)-1)*100,2)))</f>
        <v/>
      </c>
      <c r="M169" s="177" t="str">
        <f>IF(OR(ROUND(N(C169)-N(F169),8)=0,1-N(Ввод!$J$19)/100&lt;=0),"",IF(N(C169)&gt;N(F169),(N(E169)-N(H169))/((N(C169)-N(F169))*(1-N(Ввод!$J$19)/100)),(N(H169)-N(E169))/((N(F169)-N(C169))*(1+N(Ввод!$J$19)/100))))</f>
        <v/>
      </c>
    </row>
    <row r="170" ht="22" customHeight="1">
      <c r="B170" s="245" t="n"/>
      <c r="C170" s="246" t="str">
        <f>IF(SUMIFS(Лэндинг!$F$5:$F$300,Лэндинг!$E$5:$E$300,$B170)+SUMIFS(Закрытые!$F$5:$F$300,Закрытые!$E$5:$E$300,$B170,Закрытые!$B$5:$B$300,"L-*")=0,"",SUMIFS(Лэндинг!$F$5:$F$300,Лэндинг!$E$5:$E$300,$B170)+SUMIFS(Закрытые!$F$5:$F$300,Закрытые!$E$5:$E$300,$B170,Закрытые!$B$5:$B$300,"L-*"))</f>
        <v/>
      </c>
      <c r="D170" s="183" t="str">
        <f>IF(C170="","",(SUMPRODUCT((Лэндинг!$E$5:$E$300=$B170)*Лэндинг!$F$5:$F$300*Лэндинг!$G$5:$G$300)+SUMPRODUCT((Закрытые!$E$5:$E$300=$B170)*(LEFT(Закрытые!$B$5:$B$300,2)="L-")*Закрытые!$F$5:$F$300*Закрытые!$G$5:$G$300))/C170)</f>
        <v/>
      </c>
      <c r="E170" s="247" t="str">
        <f>IF(C170="","",SUMIFS(Лэндинг!$H$5:$H$300,Лэндинг!$E$5:$E$300,$B170)+SUMIFS(Закрытые!$H$5:$H$300,Закрытые!$E$5:$E$300,$B170,Закрытые!$B$5:$B$300,"L-*"))</f>
        <v/>
      </c>
      <c r="F170" s="246" t="str">
        <f>IF(SUMIFS(Лэндинг!$I$5:$I$300,Лэндинг!$E$5:$E$300,$B170)+SUMIFS(Закрытые!$I$5:$I$300,Закрытые!$E$5:$E$300,$B170,Закрытые!$B$5:$B$300,"L-*")=0,"",SUMIFS(Лэндинг!$I$5:$I$300,Лэндинг!$E$5:$E$300,$B170)+SUMIFS(Закрытые!$I$5:$I$300,Закрытые!$E$5:$E$300,$B170,Закрытые!$B$5:$B$300,"L-*"))</f>
        <v/>
      </c>
      <c r="G170" s="183" t="str">
        <f>IF(F170="","",(SUMPRODUCT((Лэндинг!$E$5:$E$300=$B170)*Лэндинг!$I$5:$I$300*Лэндинг!$J$5:$J$300)+SUMPRODUCT((Закрытые!$E$5:$E$300=$B170)*(LEFT(Закрытые!$B$5:$B$300,2)="L-")*Закрытые!$I$5:$I$300*Закрытые!$J$5:$J$300))/F170)</f>
        <v/>
      </c>
      <c r="H170" s="247" t="str">
        <f>IF(F170="","",SUMIFS(Лэндинг!$K$5:$K$300,Лэндинг!$E$5:$E$300,$B170)+SUMIFS(Закрытые!$K$5:$K$300,Закрытые!$E$5:$E$300,$B170,Закрытые!$B$5:$B$300,"L-*"))</f>
        <v/>
      </c>
      <c r="I170" s="246" t="str">
        <f>IF($B170="","",IF(COUNTIFS(Лэндинг!$E$5:$E$300,$B170)+COUNTIFS(Закрытые!$E$5:$E$300,$B170,Закрытые!$B$5:$B$300,"L-*")=0,"",ROUND(SUMIFS(Лэндинг!$L$5:$L$300,Лэндинг!$E$5:$E$300,$B170)+SUMIFS(Закрытые!$L$5:$L$300,Закрытые!$E$5:$E$300,$B170,Закрытые!$B$5:$B$300,"L-*"),8)))</f>
        <v/>
      </c>
      <c r="J170" s="247" t="str">
        <f>IF($B170="","",IF(COUNTIFS(Лэндинг!$E$5:$E$300,$B170)+COUNTIFS(Закрытые!$E$5:$E$300,$B170,Закрытые!$B$5:$B$300,"L-*")=0,"",ROUND(SUMIFS(Лэндинг!$M$5:$M$300,Лэндинг!$E$5:$E$300,$B170)+SUMIFS(Закрытые!$M$5:$M$300,Закрытые!$E$5:$E$300,$B170,Закрытые!$B$5:$B$300,"L-*"),8)))</f>
        <v/>
      </c>
      <c r="K170" s="246" t="str">
        <f>IF(MIN(N(C170),N(F170))&lt;=0,"",ROUND(MIN(N(C170),N(F170))*(N(G170)-N(D170)),8))</f>
        <v/>
      </c>
      <c r="L170" s="183" t="str">
        <f>IF(MIN(N(C170),N(F170))&lt;=0,"",IF(N(D170)=0,"",ROUND((N(G170)/N(D170)-1)*100,2)))</f>
        <v/>
      </c>
      <c r="M170" s="183" t="str">
        <f>IF(OR(ROUND(N(C170)-N(F170),8)=0,1-N(Ввод!$J$19)/100&lt;=0),"",IF(N(C170)&gt;N(F170),(N(E170)-N(H170))/((N(C170)-N(F170))*(1-N(Ввод!$J$19)/100)),(N(H170)-N(E170))/((N(F170)-N(C170))*(1+N(Ввод!$J$19)/100))))</f>
        <v/>
      </c>
    </row>
    <row r="171" ht="22" customHeight="1">
      <c r="B171" s="239" t="n"/>
      <c r="C171" s="240" t="str">
        <f>IF(SUMIFS(Лэндинг!$F$5:$F$300,Лэндинг!$E$5:$E$300,$B171)+SUMIFS(Закрытые!$F$5:$F$300,Закрытые!$E$5:$E$300,$B171,Закрытые!$B$5:$B$300,"L-*")=0,"",SUMIFS(Лэндинг!$F$5:$F$300,Лэндинг!$E$5:$E$300,$B171)+SUMIFS(Закрытые!$F$5:$F$300,Закрытые!$E$5:$E$300,$B171,Закрытые!$B$5:$B$300,"L-*"))</f>
        <v/>
      </c>
      <c r="D171" s="177" t="str">
        <f>IF(C171="","",(SUMPRODUCT((Лэндинг!$E$5:$E$300=$B171)*Лэндинг!$F$5:$F$300*Лэндинг!$G$5:$G$300)+SUMPRODUCT((Закрытые!$E$5:$E$300=$B171)*(LEFT(Закрытые!$B$5:$B$300,2)="L-")*Закрытые!$F$5:$F$300*Закрытые!$G$5:$G$300))/C171)</f>
        <v/>
      </c>
      <c r="E171" s="241" t="str">
        <f>IF(C171="","",SUMIFS(Лэндинг!$H$5:$H$300,Лэндинг!$E$5:$E$300,$B171)+SUMIFS(Закрытые!$H$5:$H$300,Закрытые!$E$5:$E$300,$B171,Закрытые!$B$5:$B$300,"L-*"))</f>
        <v/>
      </c>
      <c r="F171" s="240" t="str">
        <f>IF(SUMIFS(Лэндинг!$I$5:$I$300,Лэндинг!$E$5:$E$300,$B171)+SUMIFS(Закрытые!$I$5:$I$300,Закрытые!$E$5:$E$300,$B171,Закрытые!$B$5:$B$300,"L-*")=0,"",SUMIFS(Лэндинг!$I$5:$I$300,Лэндинг!$E$5:$E$300,$B171)+SUMIFS(Закрытые!$I$5:$I$300,Закрытые!$E$5:$E$300,$B171,Закрытые!$B$5:$B$300,"L-*"))</f>
        <v/>
      </c>
      <c r="G171" s="177" t="str">
        <f>IF(F171="","",(SUMPRODUCT((Лэндинг!$E$5:$E$300=$B171)*Лэндинг!$I$5:$I$300*Лэндинг!$J$5:$J$300)+SUMPRODUCT((Закрытые!$E$5:$E$300=$B171)*(LEFT(Закрытые!$B$5:$B$300,2)="L-")*Закрытые!$I$5:$I$300*Закрытые!$J$5:$J$300))/F171)</f>
        <v/>
      </c>
      <c r="H171" s="241" t="str">
        <f>IF(F171="","",SUMIFS(Лэндинг!$K$5:$K$300,Лэндинг!$E$5:$E$300,$B171)+SUMIFS(Закрытые!$K$5:$K$300,Закрытые!$E$5:$E$300,$B171,Закрытые!$B$5:$B$300,"L-*"))</f>
        <v/>
      </c>
      <c r="I171" s="240" t="str">
        <f>IF($B171="","",IF(COUNTIFS(Лэндинг!$E$5:$E$300,$B171)+COUNTIFS(Закрытые!$E$5:$E$300,$B171,Закрытые!$B$5:$B$300,"L-*")=0,"",ROUND(SUMIFS(Лэндинг!$L$5:$L$300,Лэндинг!$E$5:$E$300,$B171)+SUMIFS(Закрытые!$L$5:$L$300,Закрытые!$E$5:$E$300,$B171,Закрытые!$B$5:$B$300,"L-*"),8)))</f>
        <v/>
      </c>
      <c r="J171" s="241" t="str">
        <f>IF($B171="","",IF(COUNTIFS(Лэндинг!$E$5:$E$300,$B171)+COUNTIFS(Закрытые!$E$5:$E$300,$B171,Закрытые!$B$5:$B$300,"L-*")=0,"",ROUND(SUMIFS(Лэндинг!$M$5:$M$300,Лэндинг!$E$5:$E$300,$B171)+SUMIFS(Закрытые!$M$5:$M$300,Закрытые!$E$5:$E$300,$B171,Закрытые!$B$5:$B$300,"L-*"),8)))</f>
        <v/>
      </c>
      <c r="K171" s="240" t="str">
        <f>IF(MIN(N(C171),N(F171))&lt;=0,"",ROUND(MIN(N(C171),N(F171))*(N(G171)-N(D171)),8))</f>
        <v/>
      </c>
      <c r="L171" s="177" t="str">
        <f>IF(MIN(N(C171),N(F171))&lt;=0,"",IF(N(D171)=0,"",ROUND((N(G171)/N(D171)-1)*100,2)))</f>
        <v/>
      </c>
      <c r="M171" s="177" t="str">
        <f>IF(OR(ROUND(N(C171)-N(F171),8)=0,1-N(Ввод!$J$19)/100&lt;=0),"",IF(N(C171)&gt;N(F171),(N(E171)-N(H171))/((N(C171)-N(F171))*(1-N(Ввод!$J$19)/100)),(N(H171)-N(E171))/((N(F171)-N(C171))*(1+N(Ввод!$J$19)/100))))</f>
        <v/>
      </c>
    </row>
    <row r="172" ht="22" customHeight="1">
      <c r="B172" s="245" t="n"/>
      <c r="C172" s="246" t="str">
        <f>IF(SUMIFS(Лэндинг!$F$5:$F$300,Лэндинг!$E$5:$E$300,$B172)+SUMIFS(Закрытые!$F$5:$F$300,Закрытые!$E$5:$E$300,$B172,Закрытые!$B$5:$B$300,"L-*")=0,"",SUMIFS(Лэндинг!$F$5:$F$300,Лэндинг!$E$5:$E$300,$B172)+SUMIFS(Закрытые!$F$5:$F$300,Закрытые!$E$5:$E$300,$B172,Закрытые!$B$5:$B$300,"L-*"))</f>
        <v/>
      </c>
      <c r="D172" s="183" t="str">
        <f>IF(C172="","",(SUMPRODUCT((Лэндинг!$E$5:$E$300=$B172)*Лэндинг!$F$5:$F$300*Лэндинг!$G$5:$G$300)+SUMPRODUCT((Закрытые!$E$5:$E$300=$B172)*(LEFT(Закрытые!$B$5:$B$300,2)="L-")*Закрытые!$F$5:$F$300*Закрытые!$G$5:$G$300))/C172)</f>
        <v/>
      </c>
      <c r="E172" s="247" t="str">
        <f>IF(C172="","",SUMIFS(Лэндинг!$H$5:$H$300,Лэндинг!$E$5:$E$300,$B172)+SUMIFS(Закрытые!$H$5:$H$300,Закрытые!$E$5:$E$300,$B172,Закрытые!$B$5:$B$300,"L-*"))</f>
        <v/>
      </c>
      <c r="F172" s="246" t="str">
        <f>IF(SUMIFS(Лэндинг!$I$5:$I$300,Лэндинг!$E$5:$E$300,$B172)+SUMIFS(Закрытые!$I$5:$I$300,Закрытые!$E$5:$E$300,$B172,Закрытые!$B$5:$B$300,"L-*")=0,"",SUMIFS(Лэндинг!$I$5:$I$300,Лэндинг!$E$5:$E$300,$B172)+SUMIFS(Закрытые!$I$5:$I$300,Закрытые!$E$5:$E$300,$B172,Закрытые!$B$5:$B$300,"L-*"))</f>
        <v/>
      </c>
      <c r="G172" s="183" t="str">
        <f>IF(F172="","",(SUMPRODUCT((Лэндинг!$E$5:$E$300=$B172)*Лэндинг!$I$5:$I$300*Лэндинг!$J$5:$J$300)+SUMPRODUCT((Закрытые!$E$5:$E$300=$B172)*(LEFT(Закрытые!$B$5:$B$300,2)="L-")*Закрытые!$I$5:$I$300*Закрытые!$J$5:$J$300))/F172)</f>
        <v/>
      </c>
      <c r="H172" s="247" t="str">
        <f>IF(F172="","",SUMIFS(Лэндинг!$K$5:$K$300,Лэндинг!$E$5:$E$300,$B172)+SUMIFS(Закрытые!$K$5:$K$300,Закрытые!$E$5:$E$300,$B172,Закрытые!$B$5:$B$300,"L-*"))</f>
        <v/>
      </c>
      <c r="I172" s="246" t="str">
        <f>IF($B172="","",IF(COUNTIFS(Лэндинг!$E$5:$E$300,$B172)+COUNTIFS(Закрытые!$E$5:$E$300,$B172,Закрытые!$B$5:$B$300,"L-*")=0,"",ROUND(SUMIFS(Лэндинг!$L$5:$L$300,Лэндинг!$E$5:$E$300,$B172)+SUMIFS(Закрытые!$L$5:$L$300,Закрытые!$E$5:$E$300,$B172,Закрытые!$B$5:$B$300,"L-*"),8)))</f>
        <v/>
      </c>
      <c r="J172" s="247" t="str">
        <f>IF($B172="","",IF(COUNTIFS(Лэндинг!$E$5:$E$300,$B172)+COUNTIFS(Закрытые!$E$5:$E$300,$B172,Закрытые!$B$5:$B$300,"L-*")=0,"",ROUND(SUMIFS(Лэндинг!$M$5:$M$300,Лэндинг!$E$5:$E$300,$B172)+SUMIFS(Закрытые!$M$5:$M$300,Закрытые!$E$5:$E$300,$B172,Закрытые!$B$5:$B$300,"L-*"),8)))</f>
        <v/>
      </c>
      <c r="K172" s="246" t="str">
        <f>IF(MIN(N(C172),N(F172))&lt;=0,"",ROUND(MIN(N(C172),N(F172))*(N(G172)-N(D172)),8))</f>
        <v/>
      </c>
      <c r="L172" s="183" t="str">
        <f>IF(MIN(N(C172),N(F172))&lt;=0,"",IF(N(D172)=0,"",ROUND((N(G172)/N(D172)-1)*100,2)))</f>
        <v/>
      </c>
      <c r="M172" s="183" t="str">
        <f>IF(OR(ROUND(N(C172)-N(F172),8)=0,1-N(Ввод!$J$19)/100&lt;=0),"",IF(N(C172)&gt;N(F172),(N(E172)-N(H172))/((N(C172)-N(F172))*(1-N(Ввод!$J$19)/100)),(N(H172)-N(E172))/((N(F172)-N(C172))*(1+N(Ввод!$J$19)/100))))</f>
        <v/>
      </c>
    </row>
    <row r="173" ht="22" customHeight="1">
      <c r="B173" s="239" t="n"/>
      <c r="C173" s="240" t="str">
        <f>IF(SUMIFS(Лэндинг!$F$5:$F$300,Лэндинг!$E$5:$E$300,$B173)+SUMIFS(Закрытые!$F$5:$F$300,Закрытые!$E$5:$E$300,$B173,Закрытые!$B$5:$B$300,"L-*")=0,"",SUMIFS(Лэндинг!$F$5:$F$300,Лэндинг!$E$5:$E$300,$B173)+SUMIFS(Закрытые!$F$5:$F$300,Закрытые!$E$5:$E$300,$B173,Закрытые!$B$5:$B$300,"L-*"))</f>
        <v/>
      </c>
      <c r="D173" s="177" t="str">
        <f>IF(C173="","",(SUMPRODUCT((Лэндинг!$E$5:$E$300=$B173)*Лэндинг!$F$5:$F$300*Лэндинг!$G$5:$G$300)+SUMPRODUCT((Закрытые!$E$5:$E$300=$B173)*(LEFT(Закрытые!$B$5:$B$300,2)="L-")*Закрытые!$F$5:$F$300*Закрытые!$G$5:$G$300))/C173)</f>
        <v/>
      </c>
      <c r="E173" s="241" t="str">
        <f>IF(C173="","",SUMIFS(Лэндинг!$H$5:$H$300,Лэндинг!$E$5:$E$300,$B173)+SUMIFS(Закрытые!$H$5:$H$300,Закрытые!$E$5:$E$300,$B173,Закрытые!$B$5:$B$300,"L-*"))</f>
        <v/>
      </c>
      <c r="F173" s="240" t="str">
        <f>IF(SUMIFS(Лэндинг!$I$5:$I$300,Лэндинг!$E$5:$E$300,$B173)+SUMIFS(Закрытые!$I$5:$I$300,Закрытые!$E$5:$E$300,$B173,Закрытые!$B$5:$B$300,"L-*")=0,"",SUMIFS(Лэндинг!$I$5:$I$300,Лэндинг!$E$5:$E$300,$B173)+SUMIFS(Закрытые!$I$5:$I$300,Закрытые!$E$5:$E$300,$B173,Закрытые!$B$5:$B$300,"L-*"))</f>
        <v/>
      </c>
      <c r="G173" s="177" t="str">
        <f>IF(F173="","",(SUMPRODUCT((Лэндинг!$E$5:$E$300=$B173)*Лэндинг!$I$5:$I$300*Лэндинг!$J$5:$J$300)+SUMPRODUCT((Закрытые!$E$5:$E$300=$B173)*(LEFT(Закрытые!$B$5:$B$300,2)="L-")*Закрытые!$I$5:$I$300*Закрытые!$J$5:$J$300))/F173)</f>
        <v/>
      </c>
      <c r="H173" s="241" t="str">
        <f>IF(F173="","",SUMIFS(Лэндинг!$K$5:$K$300,Лэндинг!$E$5:$E$300,$B173)+SUMIFS(Закрытые!$K$5:$K$300,Закрытые!$E$5:$E$300,$B173,Закрытые!$B$5:$B$300,"L-*"))</f>
        <v/>
      </c>
      <c r="I173" s="240" t="str">
        <f>IF($B173="","",IF(COUNTIFS(Лэндинг!$E$5:$E$300,$B173)+COUNTIFS(Закрытые!$E$5:$E$300,$B173,Закрытые!$B$5:$B$300,"L-*")=0,"",ROUND(SUMIFS(Лэндинг!$L$5:$L$300,Лэндинг!$E$5:$E$300,$B173)+SUMIFS(Закрытые!$L$5:$L$300,Закрытые!$E$5:$E$300,$B173,Закрытые!$B$5:$B$300,"L-*"),8)))</f>
        <v/>
      </c>
      <c r="J173" s="241" t="str">
        <f>IF($B173="","",IF(COUNTIFS(Лэндинг!$E$5:$E$300,$B173)+COUNTIFS(Закрытые!$E$5:$E$300,$B173,Закрытые!$B$5:$B$300,"L-*")=0,"",ROUND(SUMIFS(Лэндинг!$M$5:$M$300,Лэндинг!$E$5:$E$300,$B173)+SUMIFS(Закрытые!$M$5:$M$300,Закрытые!$E$5:$E$300,$B173,Закрытые!$B$5:$B$300,"L-*"),8)))</f>
        <v/>
      </c>
      <c r="K173" s="240" t="str">
        <f>IF(MIN(N(C173),N(F173))&lt;=0,"",ROUND(MIN(N(C173),N(F173))*(N(G173)-N(D173)),8))</f>
        <v/>
      </c>
      <c r="L173" s="177" t="str">
        <f>IF(MIN(N(C173),N(F173))&lt;=0,"",IF(N(D173)=0,"",ROUND((N(G173)/N(D173)-1)*100,2)))</f>
        <v/>
      </c>
      <c r="M173" s="177" t="str">
        <f>IF(OR(ROUND(N(C173)-N(F173),8)=0,1-N(Ввод!$J$19)/100&lt;=0),"",IF(N(C173)&gt;N(F173),(N(E173)-N(H173))/((N(C173)-N(F173))*(1-N(Ввод!$J$19)/100)),(N(H173)-N(E173))/((N(F173)-N(C173))*(1+N(Ввод!$J$19)/100))))</f>
        <v/>
      </c>
    </row>
    <row r="174" ht="22" customHeight="1">
      <c r="B174" s="245" t="n"/>
      <c r="C174" s="246" t="str">
        <f>IF(SUMIFS(Лэндинг!$F$5:$F$300,Лэндинг!$E$5:$E$300,$B174)+SUMIFS(Закрытые!$F$5:$F$300,Закрытые!$E$5:$E$300,$B174,Закрытые!$B$5:$B$300,"L-*")=0,"",SUMIFS(Лэндинг!$F$5:$F$300,Лэндинг!$E$5:$E$300,$B174)+SUMIFS(Закрытые!$F$5:$F$300,Закрытые!$E$5:$E$300,$B174,Закрытые!$B$5:$B$300,"L-*"))</f>
        <v/>
      </c>
      <c r="D174" s="183" t="str">
        <f>IF(C174="","",(SUMPRODUCT((Лэндинг!$E$5:$E$300=$B174)*Лэндинг!$F$5:$F$300*Лэндинг!$G$5:$G$300)+SUMPRODUCT((Закрытые!$E$5:$E$300=$B174)*(LEFT(Закрытые!$B$5:$B$300,2)="L-")*Закрытые!$F$5:$F$300*Закрытые!$G$5:$G$300))/C174)</f>
        <v/>
      </c>
      <c r="E174" s="247" t="str">
        <f>IF(C174="","",SUMIFS(Лэндинг!$H$5:$H$300,Лэндинг!$E$5:$E$300,$B174)+SUMIFS(Закрытые!$H$5:$H$300,Закрытые!$E$5:$E$300,$B174,Закрытые!$B$5:$B$300,"L-*"))</f>
        <v/>
      </c>
      <c r="F174" s="246" t="str">
        <f>IF(SUMIFS(Лэндинг!$I$5:$I$300,Лэндинг!$E$5:$E$300,$B174)+SUMIFS(Закрытые!$I$5:$I$300,Закрытые!$E$5:$E$300,$B174,Закрытые!$B$5:$B$300,"L-*")=0,"",SUMIFS(Лэндинг!$I$5:$I$300,Лэндинг!$E$5:$E$300,$B174)+SUMIFS(Закрытые!$I$5:$I$300,Закрытые!$E$5:$E$300,$B174,Закрытые!$B$5:$B$300,"L-*"))</f>
        <v/>
      </c>
      <c r="G174" s="183" t="str">
        <f>IF(F174="","",(SUMPRODUCT((Лэндинг!$E$5:$E$300=$B174)*Лэндинг!$I$5:$I$300*Лэндинг!$J$5:$J$300)+SUMPRODUCT((Закрытые!$E$5:$E$300=$B174)*(LEFT(Закрытые!$B$5:$B$300,2)="L-")*Закрытые!$I$5:$I$300*Закрытые!$J$5:$J$300))/F174)</f>
        <v/>
      </c>
      <c r="H174" s="247" t="str">
        <f>IF(F174="","",SUMIFS(Лэндинг!$K$5:$K$300,Лэндинг!$E$5:$E$300,$B174)+SUMIFS(Закрытые!$K$5:$K$300,Закрытые!$E$5:$E$300,$B174,Закрытые!$B$5:$B$300,"L-*"))</f>
        <v/>
      </c>
      <c r="I174" s="246" t="str">
        <f>IF($B174="","",IF(COUNTIFS(Лэндинг!$E$5:$E$300,$B174)+COUNTIFS(Закрытые!$E$5:$E$300,$B174,Закрытые!$B$5:$B$300,"L-*")=0,"",ROUND(SUMIFS(Лэндинг!$L$5:$L$300,Лэндинг!$E$5:$E$300,$B174)+SUMIFS(Закрытые!$L$5:$L$300,Закрытые!$E$5:$E$300,$B174,Закрытые!$B$5:$B$300,"L-*"),8)))</f>
        <v/>
      </c>
      <c r="J174" s="247" t="str">
        <f>IF($B174="","",IF(COUNTIFS(Лэндинг!$E$5:$E$300,$B174)+COUNTIFS(Закрытые!$E$5:$E$300,$B174,Закрытые!$B$5:$B$300,"L-*")=0,"",ROUND(SUMIFS(Лэндинг!$M$5:$M$300,Лэндинг!$E$5:$E$300,$B174)+SUMIFS(Закрытые!$M$5:$M$300,Закрытые!$E$5:$E$300,$B174,Закрытые!$B$5:$B$300,"L-*"),8)))</f>
        <v/>
      </c>
      <c r="K174" s="246" t="str">
        <f>IF(MIN(N(C174),N(F174))&lt;=0,"",ROUND(MIN(N(C174),N(F174))*(N(G174)-N(D174)),8))</f>
        <v/>
      </c>
      <c r="L174" s="183" t="str">
        <f>IF(MIN(N(C174),N(F174))&lt;=0,"",IF(N(D174)=0,"",ROUND((N(G174)/N(D174)-1)*100,2)))</f>
        <v/>
      </c>
      <c r="M174" s="183" t="str">
        <f>IF(OR(ROUND(N(C174)-N(F174),8)=0,1-N(Ввод!$J$19)/100&lt;=0),"",IF(N(C174)&gt;N(F174),(N(E174)-N(H174))/((N(C174)-N(F174))*(1-N(Ввод!$J$19)/100)),(N(H174)-N(E174))/((N(F174)-N(C174))*(1+N(Ввод!$J$19)/100))))</f>
        <v/>
      </c>
    </row>
    <row r="175" ht="22" customHeight="1">
      <c r="B175" s="239" t="n"/>
      <c r="C175" s="240" t="str">
        <f>IF(SUMIFS(Лэндинг!$F$5:$F$300,Лэндинг!$E$5:$E$300,$B175)+SUMIFS(Закрытые!$F$5:$F$300,Закрытые!$E$5:$E$300,$B175,Закрытые!$B$5:$B$300,"L-*")=0,"",SUMIFS(Лэндинг!$F$5:$F$300,Лэндинг!$E$5:$E$300,$B175)+SUMIFS(Закрытые!$F$5:$F$300,Закрытые!$E$5:$E$300,$B175,Закрытые!$B$5:$B$300,"L-*"))</f>
        <v/>
      </c>
      <c r="D175" s="177" t="str">
        <f>IF(C175="","",(SUMPRODUCT((Лэндинг!$E$5:$E$300=$B175)*Лэндинг!$F$5:$F$300*Лэндинг!$G$5:$G$300)+SUMPRODUCT((Закрытые!$E$5:$E$300=$B175)*(LEFT(Закрытые!$B$5:$B$300,2)="L-")*Закрытые!$F$5:$F$300*Закрытые!$G$5:$G$300))/C175)</f>
        <v/>
      </c>
      <c r="E175" s="241" t="str">
        <f>IF(C175="","",SUMIFS(Лэндинг!$H$5:$H$300,Лэндинг!$E$5:$E$300,$B175)+SUMIFS(Закрытые!$H$5:$H$300,Закрытые!$E$5:$E$300,$B175,Закрытые!$B$5:$B$300,"L-*"))</f>
        <v/>
      </c>
      <c r="F175" s="240" t="str">
        <f>IF(SUMIFS(Лэндинг!$I$5:$I$300,Лэндинг!$E$5:$E$300,$B175)+SUMIFS(Закрытые!$I$5:$I$300,Закрытые!$E$5:$E$300,$B175,Закрытые!$B$5:$B$300,"L-*")=0,"",SUMIFS(Лэндинг!$I$5:$I$300,Лэндинг!$E$5:$E$300,$B175)+SUMIFS(Закрытые!$I$5:$I$300,Закрытые!$E$5:$E$300,$B175,Закрытые!$B$5:$B$300,"L-*"))</f>
        <v/>
      </c>
      <c r="G175" s="177" t="str">
        <f>IF(F175="","",(SUMPRODUCT((Лэндинг!$E$5:$E$300=$B175)*Лэндинг!$I$5:$I$300*Лэндинг!$J$5:$J$300)+SUMPRODUCT((Закрытые!$E$5:$E$300=$B175)*(LEFT(Закрытые!$B$5:$B$300,2)="L-")*Закрытые!$I$5:$I$300*Закрытые!$J$5:$J$300))/F175)</f>
        <v/>
      </c>
      <c r="H175" s="241" t="str">
        <f>IF(F175="","",SUMIFS(Лэндинг!$K$5:$K$300,Лэндинг!$E$5:$E$300,$B175)+SUMIFS(Закрытые!$K$5:$K$300,Закрытые!$E$5:$E$300,$B175,Закрытые!$B$5:$B$300,"L-*"))</f>
        <v/>
      </c>
      <c r="I175" s="240" t="str">
        <f>IF($B175="","",IF(COUNTIFS(Лэндинг!$E$5:$E$300,$B175)+COUNTIFS(Закрытые!$E$5:$E$300,$B175,Закрытые!$B$5:$B$300,"L-*")=0,"",ROUND(SUMIFS(Лэндинг!$L$5:$L$300,Лэндинг!$E$5:$E$300,$B175)+SUMIFS(Закрытые!$L$5:$L$300,Закрытые!$E$5:$E$300,$B175,Закрытые!$B$5:$B$300,"L-*"),8)))</f>
        <v/>
      </c>
      <c r="J175" s="241" t="str">
        <f>IF($B175="","",IF(COUNTIFS(Лэндинг!$E$5:$E$300,$B175)+COUNTIFS(Закрытые!$E$5:$E$300,$B175,Закрытые!$B$5:$B$300,"L-*")=0,"",ROUND(SUMIFS(Лэндинг!$M$5:$M$300,Лэндинг!$E$5:$E$300,$B175)+SUMIFS(Закрытые!$M$5:$M$300,Закрытые!$E$5:$E$300,$B175,Закрытые!$B$5:$B$300,"L-*"),8)))</f>
        <v/>
      </c>
      <c r="K175" s="240" t="str">
        <f>IF(MIN(N(C175),N(F175))&lt;=0,"",ROUND(MIN(N(C175),N(F175))*(N(G175)-N(D175)),8))</f>
        <v/>
      </c>
      <c r="L175" s="177" t="str">
        <f>IF(MIN(N(C175),N(F175))&lt;=0,"",IF(N(D175)=0,"",ROUND((N(G175)/N(D175)-1)*100,2)))</f>
        <v/>
      </c>
      <c r="M175" s="177" t="str">
        <f>IF(OR(ROUND(N(C175)-N(F175),8)=0,1-N(Ввод!$J$19)/100&lt;=0),"",IF(N(C175)&gt;N(F175),(N(E175)-N(H175))/((N(C175)-N(F175))*(1-N(Ввод!$J$19)/100)),(N(H175)-N(E175))/((N(F175)-N(C175))*(1+N(Ввод!$J$19)/100))))</f>
        <v/>
      </c>
    </row>
    <row r="176" ht="22" customHeight="1">
      <c r="B176" s="245" t="n"/>
      <c r="C176" s="246" t="str">
        <f>IF(SUMIFS(Лэндинг!$F$5:$F$300,Лэндинг!$E$5:$E$300,$B176)+SUMIFS(Закрытые!$F$5:$F$300,Закрытые!$E$5:$E$300,$B176,Закрытые!$B$5:$B$300,"L-*")=0,"",SUMIFS(Лэндинг!$F$5:$F$300,Лэндинг!$E$5:$E$300,$B176)+SUMIFS(Закрытые!$F$5:$F$300,Закрытые!$E$5:$E$300,$B176,Закрытые!$B$5:$B$300,"L-*"))</f>
        <v/>
      </c>
      <c r="D176" s="183" t="str">
        <f>IF(C176="","",(SUMPRODUCT((Лэндинг!$E$5:$E$300=$B176)*Лэндинг!$F$5:$F$300*Лэндинг!$G$5:$G$300)+SUMPRODUCT((Закрытые!$E$5:$E$300=$B176)*(LEFT(Закрытые!$B$5:$B$300,2)="L-")*Закрытые!$F$5:$F$300*Закрытые!$G$5:$G$300))/C176)</f>
        <v/>
      </c>
      <c r="E176" s="247" t="str">
        <f>IF(C176="","",SUMIFS(Лэндинг!$H$5:$H$300,Лэндинг!$E$5:$E$300,$B176)+SUMIFS(Закрытые!$H$5:$H$300,Закрытые!$E$5:$E$300,$B176,Закрытые!$B$5:$B$300,"L-*"))</f>
        <v/>
      </c>
      <c r="F176" s="246" t="str">
        <f>IF(SUMIFS(Лэндинг!$I$5:$I$300,Лэндинг!$E$5:$E$300,$B176)+SUMIFS(Закрытые!$I$5:$I$300,Закрытые!$E$5:$E$300,$B176,Закрытые!$B$5:$B$300,"L-*")=0,"",SUMIFS(Лэндинг!$I$5:$I$300,Лэндинг!$E$5:$E$300,$B176)+SUMIFS(Закрытые!$I$5:$I$300,Закрытые!$E$5:$E$300,$B176,Закрытые!$B$5:$B$300,"L-*"))</f>
        <v/>
      </c>
      <c r="G176" s="183" t="str">
        <f>IF(F176="","",(SUMPRODUCT((Лэндинг!$E$5:$E$300=$B176)*Лэндинг!$I$5:$I$300*Лэндинг!$J$5:$J$300)+SUMPRODUCT((Закрытые!$E$5:$E$300=$B176)*(LEFT(Закрытые!$B$5:$B$300,2)="L-")*Закрытые!$I$5:$I$300*Закрытые!$J$5:$J$300))/F176)</f>
        <v/>
      </c>
      <c r="H176" s="247" t="str">
        <f>IF(F176="","",SUMIFS(Лэндинг!$K$5:$K$300,Лэндинг!$E$5:$E$300,$B176)+SUMIFS(Закрытые!$K$5:$K$300,Закрытые!$E$5:$E$300,$B176,Закрытые!$B$5:$B$300,"L-*"))</f>
        <v/>
      </c>
      <c r="I176" s="246" t="str">
        <f>IF($B176="","",IF(COUNTIFS(Лэндинг!$E$5:$E$300,$B176)+COUNTIFS(Закрытые!$E$5:$E$300,$B176,Закрытые!$B$5:$B$300,"L-*")=0,"",ROUND(SUMIFS(Лэндинг!$L$5:$L$300,Лэндинг!$E$5:$E$300,$B176)+SUMIFS(Закрытые!$L$5:$L$300,Закрытые!$E$5:$E$300,$B176,Закрытые!$B$5:$B$300,"L-*"),8)))</f>
        <v/>
      </c>
      <c r="J176" s="247" t="str">
        <f>IF($B176="","",IF(COUNTIFS(Лэндинг!$E$5:$E$300,$B176)+COUNTIFS(Закрытые!$E$5:$E$300,$B176,Закрытые!$B$5:$B$300,"L-*")=0,"",ROUND(SUMIFS(Лэндинг!$M$5:$M$300,Лэндинг!$E$5:$E$300,$B176)+SUMIFS(Закрытые!$M$5:$M$300,Закрытые!$E$5:$E$300,$B176,Закрытые!$B$5:$B$300,"L-*"),8)))</f>
        <v/>
      </c>
      <c r="K176" s="246" t="str">
        <f>IF(MIN(N(C176),N(F176))&lt;=0,"",ROUND(MIN(N(C176),N(F176))*(N(G176)-N(D176)),8))</f>
        <v/>
      </c>
      <c r="L176" s="183" t="str">
        <f>IF(MIN(N(C176),N(F176))&lt;=0,"",IF(N(D176)=0,"",ROUND((N(G176)/N(D176)-1)*100,2)))</f>
        <v/>
      </c>
      <c r="M176" s="183" t="str">
        <f>IF(OR(ROUND(N(C176)-N(F176),8)=0,1-N(Ввод!$J$19)/100&lt;=0),"",IF(N(C176)&gt;N(F176),(N(E176)-N(H176))/((N(C176)-N(F176))*(1-N(Ввод!$J$19)/100)),(N(H176)-N(E176))/((N(F176)-N(C176))*(1+N(Ввод!$J$19)/100))))</f>
        <v/>
      </c>
    </row>
    <row r="177" ht="22" customHeight="1">
      <c r="B177" s="239" t="n"/>
      <c r="C177" s="240" t="str">
        <f>IF(SUMIFS(Лэндинг!$F$5:$F$300,Лэндинг!$E$5:$E$300,$B177)+SUMIFS(Закрытые!$F$5:$F$300,Закрытые!$E$5:$E$300,$B177,Закрытые!$B$5:$B$300,"L-*")=0,"",SUMIFS(Лэндинг!$F$5:$F$300,Лэндинг!$E$5:$E$300,$B177)+SUMIFS(Закрытые!$F$5:$F$300,Закрытые!$E$5:$E$300,$B177,Закрытые!$B$5:$B$300,"L-*"))</f>
        <v/>
      </c>
      <c r="D177" s="177" t="str">
        <f>IF(C177="","",(SUMPRODUCT((Лэндинг!$E$5:$E$300=$B177)*Лэндинг!$F$5:$F$300*Лэндинг!$G$5:$G$300)+SUMPRODUCT((Закрытые!$E$5:$E$300=$B177)*(LEFT(Закрытые!$B$5:$B$300,2)="L-")*Закрытые!$F$5:$F$300*Закрытые!$G$5:$G$300))/C177)</f>
        <v/>
      </c>
      <c r="E177" s="241" t="str">
        <f>IF(C177="","",SUMIFS(Лэндинг!$H$5:$H$300,Лэндинг!$E$5:$E$300,$B177)+SUMIFS(Закрытые!$H$5:$H$300,Закрытые!$E$5:$E$300,$B177,Закрытые!$B$5:$B$300,"L-*"))</f>
        <v/>
      </c>
      <c r="F177" s="240" t="str">
        <f>IF(SUMIFS(Лэндинг!$I$5:$I$300,Лэндинг!$E$5:$E$300,$B177)+SUMIFS(Закрытые!$I$5:$I$300,Закрытые!$E$5:$E$300,$B177,Закрытые!$B$5:$B$300,"L-*")=0,"",SUMIFS(Лэндинг!$I$5:$I$300,Лэндинг!$E$5:$E$300,$B177)+SUMIFS(Закрытые!$I$5:$I$300,Закрытые!$E$5:$E$300,$B177,Закрытые!$B$5:$B$300,"L-*"))</f>
        <v/>
      </c>
      <c r="G177" s="177" t="str">
        <f>IF(F177="","",(SUMPRODUCT((Лэндинг!$E$5:$E$300=$B177)*Лэндинг!$I$5:$I$300*Лэндинг!$J$5:$J$300)+SUMPRODUCT((Закрытые!$E$5:$E$300=$B177)*(LEFT(Закрытые!$B$5:$B$300,2)="L-")*Закрытые!$I$5:$I$300*Закрытые!$J$5:$J$300))/F177)</f>
        <v/>
      </c>
      <c r="H177" s="241" t="str">
        <f>IF(F177="","",SUMIFS(Лэндинг!$K$5:$K$300,Лэндинг!$E$5:$E$300,$B177)+SUMIFS(Закрытые!$K$5:$K$300,Закрытые!$E$5:$E$300,$B177,Закрытые!$B$5:$B$300,"L-*"))</f>
        <v/>
      </c>
      <c r="I177" s="240" t="str">
        <f>IF($B177="","",IF(COUNTIFS(Лэндинг!$E$5:$E$300,$B177)+COUNTIFS(Закрытые!$E$5:$E$300,$B177,Закрытые!$B$5:$B$300,"L-*")=0,"",ROUND(SUMIFS(Лэндинг!$L$5:$L$300,Лэндинг!$E$5:$E$300,$B177)+SUMIFS(Закрытые!$L$5:$L$300,Закрытые!$E$5:$E$300,$B177,Закрытые!$B$5:$B$300,"L-*"),8)))</f>
        <v/>
      </c>
      <c r="J177" s="241" t="str">
        <f>IF($B177="","",IF(COUNTIFS(Лэндинг!$E$5:$E$300,$B177)+COUNTIFS(Закрытые!$E$5:$E$300,$B177,Закрытые!$B$5:$B$300,"L-*")=0,"",ROUND(SUMIFS(Лэндинг!$M$5:$M$300,Лэндинг!$E$5:$E$300,$B177)+SUMIFS(Закрытые!$M$5:$M$300,Закрытые!$E$5:$E$300,$B177,Закрытые!$B$5:$B$300,"L-*"),8)))</f>
        <v/>
      </c>
      <c r="K177" s="240" t="str">
        <f>IF(MIN(N(C177),N(F177))&lt;=0,"",ROUND(MIN(N(C177),N(F177))*(N(G177)-N(D177)),8))</f>
        <v/>
      </c>
      <c r="L177" s="177" t="str">
        <f>IF(MIN(N(C177),N(F177))&lt;=0,"",IF(N(D177)=0,"",ROUND((N(G177)/N(D177)-1)*100,2)))</f>
        <v/>
      </c>
      <c r="M177" s="177" t="str">
        <f>IF(OR(ROUND(N(C177)-N(F177),8)=0,1-N(Ввод!$J$19)/100&lt;=0),"",IF(N(C177)&gt;N(F177),(N(E177)-N(H177))/((N(C177)-N(F177))*(1-N(Ввод!$J$19)/100)),(N(H177)-N(E177))/((N(F177)-N(C177))*(1+N(Ввод!$J$19)/100))))</f>
        <v/>
      </c>
    </row>
    <row r="178" ht="22" customHeight="1">
      <c r="B178" s="245" t="n"/>
      <c r="C178" s="246" t="str">
        <f>IF(SUMIFS(Лэндинг!$F$5:$F$300,Лэндинг!$E$5:$E$300,$B178)+SUMIFS(Закрытые!$F$5:$F$300,Закрытые!$E$5:$E$300,$B178,Закрытые!$B$5:$B$300,"L-*")=0,"",SUMIFS(Лэндинг!$F$5:$F$300,Лэндинг!$E$5:$E$300,$B178)+SUMIFS(Закрытые!$F$5:$F$300,Закрытые!$E$5:$E$300,$B178,Закрытые!$B$5:$B$300,"L-*"))</f>
        <v/>
      </c>
      <c r="D178" s="183" t="str">
        <f>IF(C178="","",(SUMPRODUCT((Лэндинг!$E$5:$E$300=$B178)*Лэндинг!$F$5:$F$300*Лэндинг!$G$5:$G$300)+SUMPRODUCT((Закрытые!$E$5:$E$300=$B178)*(LEFT(Закрытые!$B$5:$B$300,2)="L-")*Закрытые!$F$5:$F$300*Закрытые!$G$5:$G$300))/C178)</f>
        <v/>
      </c>
      <c r="E178" s="247" t="str">
        <f>IF(C178="","",SUMIFS(Лэндинг!$H$5:$H$300,Лэндинг!$E$5:$E$300,$B178)+SUMIFS(Закрытые!$H$5:$H$300,Закрытые!$E$5:$E$300,$B178,Закрытые!$B$5:$B$300,"L-*"))</f>
        <v/>
      </c>
      <c r="F178" s="246" t="str">
        <f>IF(SUMIFS(Лэндинг!$I$5:$I$300,Лэндинг!$E$5:$E$300,$B178)+SUMIFS(Закрытые!$I$5:$I$300,Закрытые!$E$5:$E$300,$B178,Закрытые!$B$5:$B$300,"L-*")=0,"",SUMIFS(Лэндинг!$I$5:$I$300,Лэндинг!$E$5:$E$300,$B178)+SUMIFS(Закрытые!$I$5:$I$300,Закрытые!$E$5:$E$300,$B178,Закрытые!$B$5:$B$300,"L-*"))</f>
        <v/>
      </c>
      <c r="G178" s="183" t="str">
        <f>IF(F178="","",(SUMPRODUCT((Лэндинг!$E$5:$E$300=$B178)*Лэндинг!$I$5:$I$300*Лэндинг!$J$5:$J$300)+SUMPRODUCT((Закрытые!$E$5:$E$300=$B178)*(LEFT(Закрытые!$B$5:$B$300,2)="L-")*Закрытые!$I$5:$I$300*Закрытые!$J$5:$J$300))/F178)</f>
        <v/>
      </c>
      <c r="H178" s="247" t="str">
        <f>IF(F178="","",SUMIFS(Лэндинг!$K$5:$K$300,Лэндинг!$E$5:$E$300,$B178)+SUMIFS(Закрытые!$K$5:$K$300,Закрытые!$E$5:$E$300,$B178,Закрытые!$B$5:$B$300,"L-*"))</f>
        <v/>
      </c>
      <c r="I178" s="246" t="str">
        <f>IF($B178="","",IF(COUNTIFS(Лэндинг!$E$5:$E$300,$B178)+COUNTIFS(Закрытые!$E$5:$E$300,$B178,Закрытые!$B$5:$B$300,"L-*")=0,"",ROUND(SUMIFS(Лэндинг!$L$5:$L$300,Лэндинг!$E$5:$E$300,$B178)+SUMIFS(Закрытые!$L$5:$L$300,Закрытые!$E$5:$E$300,$B178,Закрытые!$B$5:$B$300,"L-*"),8)))</f>
        <v/>
      </c>
      <c r="J178" s="247" t="str">
        <f>IF($B178="","",IF(COUNTIFS(Лэндинг!$E$5:$E$300,$B178)+COUNTIFS(Закрытые!$E$5:$E$300,$B178,Закрытые!$B$5:$B$300,"L-*")=0,"",ROUND(SUMIFS(Лэндинг!$M$5:$M$300,Лэндинг!$E$5:$E$300,$B178)+SUMIFS(Закрытые!$M$5:$M$300,Закрытые!$E$5:$E$300,$B178,Закрытые!$B$5:$B$300,"L-*"),8)))</f>
        <v/>
      </c>
      <c r="K178" s="246" t="str">
        <f>IF(MIN(N(C178),N(F178))&lt;=0,"",ROUND(MIN(N(C178),N(F178))*(N(G178)-N(D178)),8))</f>
        <v/>
      </c>
      <c r="L178" s="183" t="str">
        <f>IF(MIN(N(C178),N(F178))&lt;=0,"",IF(N(D178)=0,"",ROUND((N(G178)/N(D178)-1)*100,2)))</f>
        <v/>
      </c>
      <c r="M178" s="183" t="str">
        <f>IF(OR(ROUND(N(C178)-N(F178),8)=0,1-N(Ввод!$J$19)/100&lt;=0),"",IF(N(C178)&gt;N(F178),(N(E178)-N(H178))/((N(C178)-N(F178))*(1-N(Ввод!$J$19)/100)),(N(H178)-N(E178))/((N(F178)-N(C178))*(1+N(Ввод!$J$19)/100))))</f>
        <v/>
      </c>
    </row>
    <row r="179" ht="22" customHeight="1">
      <c r="B179" s="239" t="n"/>
      <c r="C179" s="240" t="str">
        <f>IF(SUMIFS(Лэндинг!$F$5:$F$300,Лэндинг!$E$5:$E$300,$B179)+SUMIFS(Закрытые!$F$5:$F$300,Закрытые!$E$5:$E$300,$B179,Закрытые!$B$5:$B$300,"L-*")=0,"",SUMIFS(Лэндинг!$F$5:$F$300,Лэндинг!$E$5:$E$300,$B179)+SUMIFS(Закрытые!$F$5:$F$300,Закрытые!$E$5:$E$300,$B179,Закрытые!$B$5:$B$300,"L-*"))</f>
        <v/>
      </c>
      <c r="D179" s="177" t="str">
        <f>IF(C179="","",(SUMPRODUCT((Лэндинг!$E$5:$E$300=$B179)*Лэндинг!$F$5:$F$300*Лэндинг!$G$5:$G$300)+SUMPRODUCT((Закрытые!$E$5:$E$300=$B179)*(LEFT(Закрытые!$B$5:$B$300,2)="L-")*Закрытые!$F$5:$F$300*Закрытые!$G$5:$G$300))/C179)</f>
        <v/>
      </c>
      <c r="E179" s="241" t="str">
        <f>IF(C179="","",SUMIFS(Лэндинг!$H$5:$H$300,Лэндинг!$E$5:$E$300,$B179)+SUMIFS(Закрытые!$H$5:$H$300,Закрытые!$E$5:$E$300,$B179,Закрытые!$B$5:$B$300,"L-*"))</f>
        <v/>
      </c>
      <c r="F179" s="240" t="str">
        <f>IF(SUMIFS(Лэндинг!$I$5:$I$300,Лэндинг!$E$5:$E$300,$B179)+SUMIFS(Закрытые!$I$5:$I$300,Закрытые!$E$5:$E$300,$B179,Закрытые!$B$5:$B$300,"L-*")=0,"",SUMIFS(Лэндинг!$I$5:$I$300,Лэндинг!$E$5:$E$300,$B179)+SUMIFS(Закрытые!$I$5:$I$300,Закрытые!$E$5:$E$300,$B179,Закрытые!$B$5:$B$300,"L-*"))</f>
        <v/>
      </c>
      <c r="G179" s="177" t="str">
        <f>IF(F179="","",(SUMPRODUCT((Лэндинг!$E$5:$E$300=$B179)*Лэндинг!$I$5:$I$300*Лэндинг!$J$5:$J$300)+SUMPRODUCT((Закрытые!$E$5:$E$300=$B179)*(LEFT(Закрытые!$B$5:$B$300,2)="L-")*Закрытые!$I$5:$I$300*Закрытые!$J$5:$J$300))/F179)</f>
        <v/>
      </c>
      <c r="H179" s="241" t="str">
        <f>IF(F179="","",SUMIFS(Лэндинг!$K$5:$K$300,Лэндинг!$E$5:$E$300,$B179)+SUMIFS(Закрытые!$K$5:$K$300,Закрытые!$E$5:$E$300,$B179,Закрытые!$B$5:$B$300,"L-*"))</f>
        <v/>
      </c>
      <c r="I179" s="240" t="str">
        <f>IF($B179="","",IF(COUNTIFS(Лэндинг!$E$5:$E$300,$B179)+COUNTIFS(Закрытые!$E$5:$E$300,$B179,Закрытые!$B$5:$B$300,"L-*")=0,"",ROUND(SUMIFS(Лэндинг!$L$5:$L$300,Лэндинг!$E$5:$E$300,$B179)+SUMIFS(Закрытые!$L$5:$L$300,Закрытые!$E$5:$E$300,$B179,Закрытые!$B$5:$B$300,"L-*"),8)))</f>
        <v/>
      </c>
      <c r="J179" s="241" t="str">
        <f>IF($B179="","",IF(COUNTIFS(Лэндинг!$E$5:$E$300,$B179)+COUNTIFS(Закрытые!$E$5:$E$300,$B179,Закрытые!$B$5:$B$300,"L-*")=0,"",ROUND(SUMIFS(Лэндинг!$M$5:$M$300,Лэндинг!$E$5:$E$300,$B179)+SUMIFS(Закрытые!$M$5:$M$300,Закрытые!$E$5:$E$300,$B179,Закрытые!$B$5:$B$300,"L-*"),8)))</f>
        <v/>
      </c>
      <c r="K179" s="240" t="str">
        <f>IF(MIN(N(C179),N(F179))&lt;=0,"",ROUND(MIN(N(C179),N(F179))*(N(G179)-N(D179)),8))</f>
        <v/>
      </c>
      <c r="L179" s="177" t="str">
        <f>IF(MIN(N(C179),N(F179))&lt;=0,"",IF(N(D179)=0,"",ROUND((N(G179)/N(D179)-1)*100,2)))</f>
        <v/>
      </c>
      <c r="M179" s="177" t="str">
        <f>IF(OR(ROUND(N(C179)-N(F179),8)=0,1-N(Ввод!$J$19)/100&lt;=0),"",IF(N(C179)&gt;N(F179),(N(E179)-N(H179))/((N(C179)-N(F179))*(1-N(Ввод!$J$19)/100)),(N(H179)-N(E179))/((N(F179)-N(C179))*(1+N(Ввод!$J$19)/100))))</f>
        <v/>
      </c>
    </row>
    <row r="180" ht="22" customHeight="1">
      <c r="B180" s="245" t="n"/>
      <c r="C180" s="246" t="str">
        <f>IF(SUMIFS(Лэндинг!$F$5:$F$300,Лэндинг!$E$5:$E$300,$B180)+SUMIFS(Закрытые!$F$5:$F$300,Закрытые!$E$5:$E$300,$B180,Закрытые!$B$5:$B$300,"L-*")=0,"",SUMIFS(Лэндинг!$F$5:$F$300,Лэндинг!$E$5:$E$300,$B180)+SUMIFS(Закрытые!$F$5:$F$300,Закрытые!$E$5:$E$300,$B180,Закрытые!$B$5:$B$300,"L-*"))</f>
        <v/>
      </c>
      <c r="D180" s="183" t="str">
        <f>IF(C180="","",(SUMPRODUCT((Лэндинг!$E$5:$E$300=$B180)*Лэндинг!$F$5:$F$300*Лэндинг!$G$5:$G$300)+SUMPRODUCT((Закрытые!$E$5:$E$300=$B180)*(LEFT(Закрытые!$B$5:$B$300,2)="L-")*Закрытые!$F$5:$F$300*Закрытые!$G$5:$G$300))/C180)</f>
        <v/>
      </c>
      <c r="E180" s="247" t="str">
        <f>IF(C180="","",SUMIFS(Лэндинг!$H$5:$H$300,Лэндинг!$E$5:$E$300,$B180)+SUMIFS(Закрытые!$H$5:$H$300,Закрытые!$E$5:$E$300,$B180,Закрытые!$B$5:$B$300,"L-*"))</f>
        <v/>
      </c>
      <c r="F180" s="246" t="str">
        <f>IF(SUMIFS(Лэндинг!$I$5:$I$300,Лэндинг!$E$5:$E$300,$B180)+SUMIFS(Закрытые!$I$5:$I$300,Закрытые!$E$5:$E$300,$B180,Закрытые!$B$5:$B$300,"L-*")=0,"",SUMIFS(Лэндинг!$I$5:$I$300,Лэндинг!$E$5:$E$300,$B180)+SUMIFS(Закрытые!$I$5:$I$300,Закрытые!$E$5:$E$300,$B180,Закрытые!$B$5:$B$300,"L-*"))</f>
        <v/>
      </c>
      <c r="G180" s="183" t="str">
        <f>IF(F180="","",(SUMPRODUCT((Лэндинг!$E$5:$E$300=$B180)*Лэндинг!$I$5:$I$300*Лэндинг!$J$5:$J$300)+SUMPRODUCT((Закрытые!$E$5:$E$300=$B180)*(LEFT(Закрытые!$B$5:$B$300,2)="L-")*Закрытые!$I$5:$I$300*Закрытые!$J$5:$J$300))/F180)</f>
        <v/>
      </c>
      <c r="H180" s="247" t="str">
        <f>IF(F180="","",SUMIFS(Лэндинг!$K$5:$K$300,Лэндинг!$E$5:$E$300,$B180)+SUMIFS(Закрытые!$K$5:$K$300,Закрытые!$E$5:$E$300,$B180,Закрытые!$B$5:$B$300,"L-*"))</f>
        <v/>
      </c>
      <c r="I180" s="246" t="str">
        <f>IF($B180="","",IF(COUNTIFS(Лэндинг!$E$5:$E$300,$B180)+COUNTIFS(Закрытые!$E$5:$E$300,$B180,Закрытые!$B$5:$B$300,"L-*")=0,"",ROUND(SUMIFS(Лэндинг!$L$5:$L$300,Лэндинг!$E$5:$E$300,$B180)+SUMIFS(Закрытые!$L$5:$L$300,Закрытые!$E$5:$E$300,$B180,Закрытые!$B$5:$B$300,"L-*"),8)))</f>
        <v/>
      </c>
      <c r="J180" s="247" t="str">
        <f>IF($B180="","",IF(COUNTIFS(Лэндинг!$E$5:$E$300,$B180)+COUNTIFS(Закрытые!$E$5:$E$300,$B180,Закрытые!$B$5:$B$300,"L-*")=0,"",ROUND(SUMIFS(Лэндинг!$M$5:$M$300,Лэндинг!$E$5:$E$300,$B180)+SUMIFS(Закрытые!$M$5:$M$300,Закрытые!$E$5:$E$300,$B180,Закрытые!$B$5:$B$300,"L-*"),8)))</f>
        <v/>
      </c>
      <c r="K180" s="246" t="str">
        <f>IF(MIN(N(C180),N(F180))&lt;=0,"",ROUND(MIN(N(C180),N(F180))*(N(G180)-N(D180)),8))</f>
        <v/>
      </c>
      <c r="L180" s="183" t="str">
        <f>IF(MIN(N(C180),N(F180))&lt;=0,"",IF(N(D180)=0,"",ROUND((N(G180)/N(D180)-1)*100,2)))</f>
        <v/>
      </c>
      <c r="M180" s="183" t="str">
        <f>IF(OR(ROUND(N(C180)-N(F180),8)=0,1-N(Ввод!$J$19)/100&lt;=0),"",IF(N(C180)&gt;N(F180),(N(E180)-N(H180))/((N(C180)-N(F180))*(1-N(Ввод!$J$19)/100)),(N(H180)-N(E180))/((N(F180)-N(C180))*(1+N(Ввод!$J$19)/100))))</f>
        <v/>
      </c>
    </row>
    <row r="181" ht="22" customHeight="1">
      <c r="B181" s="239" t="n"/>
      <c r="C181" s="240" t="str">
        <f>IF(SUMIFS(Лэндинг!$F$5:$F$300,Лэндинг!$E$5:$E$300,$B181)+SUMIFS(Закрытые!$F$5:$F$300,Закрытые!$E$5:$E$300,$B181,Закрытые!$B$5:$B$300,"L-*")=0,"",SUMIFS(Лэндинг!$F$5:$F$300,Лэндинг!$E$5:$E$300,$B181)+SUMIFS(Закрытые!$F$5:$F$300,Закрытые!$E$5:$E$300,$B181,Закрытые!$B$5:$B$300,"L-*"))</f>
        <v/>
      </c>
      <c r="D181" s="177" t="str">
        <f>IF(C181="","",(SUMPRODUCT((Лэндинг!$E$5:$E$300=$B181)*Лэндинг!$F$5:$F$300*Лэндинг!$G$5:$G$300)+SUMPRODUCT((Закрытые!$E$5:$E$300=$B181)*(LEFT(Закрытые!$B$5:$B$300,2)="L-")*Закрытые!$F$5:$F$300*Закрытые!$G$5:$G$300))/C181)</f>
        <v/>
      </c>
      <c r="E181" s="241" t="str">
        <f>IF(C181="","",SUMIFS(Лэндинг!$H$5:$H$300,Лэндинг!$E$5:$E$300,$B181)+SUMIFS(Закрытые!$H$5:$H$300,Закрытые!$E$5:$E$300,$B181,Закрытые!$B$5:$B$300,"L-*"))</f>
        <v/>
      </c>
      <c r="F181" s="240" t="str">
        <f>IF(SUMIFS(Лэндинг!$I$5:$I$300,Лэндинг!$E$5:$E$300,$B181)+SUMIFS(Закрытые!$I$5:$I$300,Закрытые!$E$5:$E$300,$B181,Закрытые!$B$5:$B$300,"L-*")=0,"",SUMIFS(Лэндинг!$I$5:$I$300,Лэндинг!$E$5:$E$300,$B181)+SUMIFS(Закрытые!$I$5:$I$300,Закрытые!$E$5:$E$300,$B181,Закрытые!$B$5:$B$300,"L-*"))</f>
        <v/>
      </c>
      <c r="G181" s="177" t="str">
        <f>IF(F181="","",(SUMPRODUCT((Лэндинг!$E$5:$E$300=$B181)*Лэндинг!$I$5:$I$300*Лэндинг!$J$5:$J$300)+SUMPRODUCT((Закрытые!$E$5:$E$300=$B181)*(LEFT(Закрытые!$B$5:$B$300,2)="L-")*Закрытые!$I$5:$I$300*Закрытые!$J$5:$J$300))/F181)</f>
        <v/>
      </c>
      <c r="H181" s="241" t="str">
        <f>IF(F181="","",SUMIFS(Лэндинг!$K$5:$K$300,Лэндинг!$E$5:$E$300,$B181)+SUMIFS(Закрытые!$K$5:$K$300,Закрытые!$E$5:$E$300,$B181,Закрытые!$B$5:$B$300,"L-*"))</f>
        <v/>
      </c>
      <c r="I181" s="240" t="str">
        <f>IF($B181="","",IF(COUNTIFS(Лэндинг!$E$5:$E$300,$B181)+COUNTIFS(Закрытые!$E$5:$E$300,$B181,Закрытые!$B$5:$B$300,"L-*")=0,"",ROUND(SUMIFS(Лэндинг!$L$5:$L$300,Лэндинг!$E$5:$E$300,$B181)+SUMIFS(Закрытые!$L$5:$L$300,Закрытые!$E$5:$E$300,$B181,Закрытые!$B$5:$B$300,"L-*"),8)))</f>
        <v/>
      </c>
      <c r="J181" s="241" t="str">
        <f>IF($B181="","",IF(COUNTIFS(Лэндинг!$E$5:$E$300,$B181)+COUNTIFS(Закрытые!$E$5:$E$300,$B181,Закрытые!$B$5:$B$300,"L-*")=0,"",ROUND(SUMIFS(Лэндинг!$M$5:$M$300,Лэндинг!$E$5:$E$300,$B181)+SUMIFS(Закрытые!$M$5:$M$300,Закрытые!$E$5:$E$300,$B181,Закрытые!$B$5:$B$300,"L-*"),8)))</f>
        <v/>
      </c>
      <c r="K181" s="240" t="str">
        <f>IF(MIN(N(C181),N(F181))&lt;=0,"",ROUND(MIN(N(C181),N(F181))*(N(G181)-N(D181)),8))</f>
        <v/>
      </c>
      <c r="L181" s="177" t="str">
        <f>IF(MIN(N(C181),N(F181))&lt;=0,"",IF(N(D181)=0,"",ROUND((N(G181)/N(D181)-1)*100,2)))</f>
        <v/>
      </c>
      <c r="M181" s="177" t="str">
        <f>IF(OR(ROUND(N(C181)-N(F181),8)=0,1-N(Ввод!$J$19)/100&lt;=0),"",IF(N(C181)&gt;N(F181),(N(E181)-N(H181))/((N(C181)-N(F181))*(1-N(Ввод!$J$19)/100)),(N(H181)-N(E181))/((N(F181)-N(C181))*(1+N(Ввод!$J$19)/100))))</f>
        <v/>
      </c>
    </row>
    <row r="182" ht="22" customHeight="1">
      <c r="B182" s="245" t="n"/>
      <c r="C182" s="246" t="str">
        <f>IF(SUMIFS(Лэндинг!$F$5:$F$300,Лэндинг!$E$5:$E$300,$B182)+SUMIFS(Закрытые!$F$5:$F$300,Закрытые!$E$5:$E$300,$B182,Закрытые!$B$5:$B$300,"L-*")=0,"",SUMIFS(Лэндинг!$F$5:$F$300,Лэндинг!$E$5:$E$300,$B182)+SUMIFS(Закрытые!$F$5:$F$300,Закрытые!$E$5:$E$300,$B182,Закрытые!$B$5:$B$300,"L-*"))</f>
        <v/>
      </c>
      <c r="D182" s="183" t="str">
        <f>IF(C182="","",(SUMPRODUCT((Лэндинг!$E$5:$E$300=$B182)*Лэндинг!$F$5:$F$300*Лэндинг!$G$5:$G$300)+SUMPRODUCT((Закрытые!$E$5:$E$300=$B182)*(LEFT(Закрытые!$B$5:$B$300,2)="L-")*Закрытые!$F$5:$F$300*Закрытые!$G$5:$G$300))/C182)</f>
        <v/>
      </c>
      <c r="E182" s="247" t="str">
        <f>IF(C182="","",SUMIFS(Лэндинг!$H$5:$H$300,Лэндинг!$E$5:$E$300,$B182)+SUMIFS(Закрытые!$H$5:$H$300,Закрытые!$E$5:$E$300,$B182,Закрытые!$B$5:$B$300,"L-*"))</f>
        <v/>
      </c>
      <c r="F182" s="246" t="str">
        <f>IF(SUMIFS(Лэндинг!$I$5:$I$300,Лэндинг!$E$5:$E$300,$B182)+SUMIFS(Закрытые!$I$5:$I$300,Закрытые!$E$5:$E$300,$B182,Закрытые!$B$5:$B$300,"L-*")=0,"",SUMIFS(Лэндинг!$I$5:$I$300,Лэндинг!$E$5:$E$300,$B182)+SUMIFS(Закрытые!$I$5:$I$300,Закрытые!$E$5:$E$300,$B182,Закрытые!$B$5:$B$300,"L-*"))</f>
        <v/>
      </c>
      <c r="G182" s="183" t="str">
        <f>IF(F182="","",(SUMPRODUCT((Лэндинг!$E$5:$E$300=$B182)*Лэндинг!$I$5:$I$300*Лэндинг!$J$5:$J$300)+SUMPRODUCT((Закрытые!$E$5:$E$300=$B182)*(LEFT(Закрытые!$B$5:$B$300,2)="L-")*Закрытые!$I$5:$I$300*Закрытые!$J$5:$J$300))/F182)</f>
        <v/>
      </c>
      <c r="H182" s="247" t="str">
        <f>IF(F182="","",SUMIFS(Лэндинг!$K$5:$K$300,Лэндинг!$E$5:$E$300,$B182)+SUMIFS(Закрытые!$K$5:$K$300,Закрытые!$E$5:$E$300,$B182,Закрытые!$B$5:$B$300,"L-*"))</f>
        <v/>
      </c>
      <c r="I182" s="246" t="str">
        <f>IF($B182="","",IF(COUNTIFS(Лэндинг!$E$5:$E$300,$B182)+COUNTIFS(Закрытые!$E$5:$E$300,$B182,Закрытые!$B$5:$B$300,"L-*")=0,"",ROUND(SUMIFS(Лэндинг!$L$5:$L$300,Лэндинг!$E$5:$E$300,$B182)+SUMIFS(Закрытые!$L$5:$L$300,Закрытые!$E$5:$E$300,$B182,Закрытые!$B$5:$B$300,"L-*"),8)))</f>
        <v/>
      </c>
      <c r="J182" s="247" t="str">
        <f>IF($B182="","",IF(COUNTIFS(Лэндинг!$E$5:$E$300,$B182)+COUNTIFS(Закрытые!$E$5:$E$300,$B182,Закрытые!$B$5:$B$300,"L-*")=0,"",ROUND(SUMIFS(Лэндинг!$M$5:$M$300,Лэндинг!$E$5:$E$300,$B182)+SUMIFS(Закрытые!$M$5:$M$300,Закрытые!$E$5:$E$300,$B182,Закрытые!$B$5:$B$300,"L-*"),8)))</f>
        <v/>
      </c>
      <c r="K182" s="246" t="str">
        <f>IF(MIN(N(C182),N(F182))&lt;=0,"",ROUND(MIN(N(C182),N(F182))*(N(G182)-N(D182)),8))</f>
        <v/>
      </c>
      <c r="L182" s="183" t="str">
        <f>IF(MIN(N(C182),N(F182))&lt;=0,"",IF(N(D182)=0,"",ROUND((N(G182)/N(D182)-1)*100,2)))</f>
        <v/>
      </c>
      <c r="M182" s="183" t="str">
        <f>IF(OR(ROUND(N(C182)-N(F182),8)=0,1-N(Ввод!$J$19)/100&lt;=0),"",IF(N(C182)&gt;N(F182),(N(E182)-N(H182))/((N(C182)-N(F182))*(1-N(Ввод!$J$19)/100)),(N(H182)-N(E182))/((N(F182)-N(C182))*(1+N(Ввод!$J$19)/100))))</f>
        <v/>
      </c>
    </row>
    <row r="183" ht="22" customHeight="1">
      <c r="B183" s="239" t="n"/>
      <c r="C183" s="240" t="str">
        <f>IF(SUMIFS(Лэндинг!$F$5:$F$300,Лэндинг!$E$5:$E$300,$B183)+SUMIFS(Закрытые!$F$5:$F$300,Закрытые!$E$5:$E$300,$B183,Закрытые!$B$5:$B$300,"L-*")=0,"",SUMIFS(Лэндинг!$F$5:$F$300,Лэндинг!$E$5:$E$300,$B183)+SUMIFS(Закрытые!$F$5:$F$300,Закрытые!$E$5:$E$300,$B183,Закрытые!$B$5:$B$300,"L-*"))</f>
        <v/>
      </c>
      <c r="D183" s="177" t="str">
        <f>IF(C183="","",(SUMPRODUCT((Лэндинг!$E$5:$E$300=$B183)*Лэндинг!$F$5:$F$300*Лэндинг!$G$5:$G$300)+SUMPRODUCT((Закрытые!$E$5:$E$300=$B183)*(LEFT(Закрытые!$B$5:$B$300,2)="L-")*Закрытые!$F$5:$F$300*Закрытые!$G$5:$G$300))/C183)</f>
        <v/>
      </c>
      <c r="E183" s="241" t="str">
        <f>IF(C183="","",SUMIFS(Лэндинг!$H$5:$H$300,Лэндинг!$E$5:$E$300,$B183)+SUMIFS(Закрытые!$H$5:$H$300,Закрытые!$E$5:$E$300,$B183,Закрытые!$B$5:$B$300,"L-*"))</f>
        <v/>
      </c>
      <c r="F183" s="240" t="str">
        <f>IF(SUMIFS(Лэндинг!$I$5:$I$300,Лэндинг!$E$5:$E$300,$B183)+SUMIFS(Закрытые!$I$5:$I$300,Закрытые!$E$5:$E$300,$B183,Закрытые!$B$5:$B$300,"L-*")=0,"",SUMIFS(Лэндинг!$I$5:$I$300,Лэндинг!$E$5:$E$300,$B183)+SUMIFS(Закрытые!$I$5:$I$300,Закрытые!$E$5:$E$300,$B183,Закрытые!$B$5:$B$300,"L-*"))</f>
        <v/>
      </c>
      <c r="G183" s="177" t="str">
        <f>IF(F183="","",(SUMPRODUCT((Лэндинг!$E$5:$E$300=$B183)*Лэндинг!$I$5:$I$300*Лэндинг!$J$5:$J$300)+SUMPRODUCT((Закрытые!$E$5:$E$300=$B183)*(LEFT(Закрытые!$B$5:$B$300,2)="L-")*Закрытые!$I$5:$I$300*Закрытые!$J$5:$J$300))/F183)</f>
        <v/>
      </c>
      <c r="H183" s="241" t="str">
        <f>IF(F183="","",SUMIFS(Лэндинг!$K$5:$K$300,Лэндинг!$E$5:$E$300,$B183)+SUMIFS(Закрытые!$K$5:$K$300,Закрытые!$E$5:$E$300,$B183,Закрытые!$B$5:$B$300,"L-*"))</f>
        <v/>
      </c>
      <c r="I183" s="240" t="str">
        <f>IF($B183="","",IF(COUNTIFS(Лэндинг!$E$5:$E$300,$B183)+COUNTIFS(Закрытые!$E$5:$E$300,$B183,Закрытые!$B$5:$B$300,"L-*")=0,"",ROUND(SUMIFS(Лэндинг!$L$5:$L$300,Лэндинг!$E$5:$E$300,$B183)+SUMIFS(Закрытые!$L$5:$L$300,Закрытые!$E$5:$E$300,$B183,Закрытые!$B$5:$B$300,"L-*"),8)))</f>
        <v/>
      </c>
      <c r="J183" s="241" t="str">
        <f>IF($B183="","",IF(COUNTIFS(Лэндинг!$E$5:$E$300,$B183)+COUNTIFS(Закрытые!$E$5:$E$300,$B183,Закрытые!$B$5:$B$300,"L-*")=0,"",ROUND(SUMIFS(Лэндинг!$M$5:$M$300,Лэндинг!$E$5:$E$300,$B183)+SUMIFS(Закрытые!$M$5:$M$300,Закрытые!$E$5:$E$300,$B183,Закрытые!$B$5:$B$300,"L-*"),8)))</f>
        <v/>
      </c>
      <c r="K183" s="240" t="str">
        <f>IF(MIN(N(C183),N(F183))&lt;=0,"",ROUND(MIN(N(C183),N(F183))*(N(G183)-N(D183)),8))</f>
        <v/>
      </c>
      <c r="L183" s="177" t="str">
        <f>IF(MIN(N(C183),N(F183))&lt;=0,"",IF(N(D183)=0,"",ROUND((N(G183)/N(D183)-1)*100,2)))</f>
        <v/>
      </c>
      <c r="M183" s="177" t="str">
        <f>IF(OR(ROUND(N(C183)-N(F183),8)=0,1-N(Ввод!$J$19)/100&lt;=0),"",IF(N(C183)&gt;N(F183),(N(E183)-N(H183))/((N(C183)-N(F183))*(1-N(Ввод!$J$19)/100)),(N(H183)-N(E183))/((N(F183)-N(C183))*(1+N(Ввод!$J$19)/100))))</f>
        <v/>
      </c>
    </row>
    <row r="184" ht="22" customHeight="1">
      <c r="B184" s="245" t="n"/>
      <c r="C184" s="246" t="str">
        <f>IF(SUMIFS(Лэндинг!$F$5:$F$300,Лэндинг!$E$5:$E$300,$B184)+SUMIFS(Закрытые!$F$5:$F$300,Закрытые!$E$5:$E$300,$B184,Закрытые!$B$5:$B$300,"L-*")=0,"",SUMIFS(Лэндинг!$F$5:$F$300,Лэндинг!$E$5:$E$300,$B184)+SUMIFS(Закрытые!$F$5:$F$300,Закрытые!$E$5:$E$300,$B184,Закрытые!$B$5:$B$300,"L-*"))</f>
        <v/>
      </c>
      <c r="D184" s="183" t="str">
        <f>IF(C184="","",(SUMPRODUCT((Лэндинг!$E$5:$E$300=$B184)*Лэндинг!$F$5:$F$300*Лэндинг!$G$5:$G$300)+SUMPRODUCT((Закрытые!$E$5:$E$300=$B184)*(LEFT(Закрытые!$B$5:$B$300,2)="L-")*Закрытые!$F$5:$F$300*Закрытые!$G$5:$G$300))/C184)</f>
        <v/>
      </c>
      <c r="E184" s="247" t="str">
        <f>IF(C184="","",SUMIFS(Лэндинг!$H$5:$H$300,Лэндинг!$E$5:$E$300,$B184)+SUMIFS(Закрытые!$H$5:$H$300,Закрытые!$E$5:$E$300,$B184,Закрытые!$B$5:$B$300,"L-*"))</f>
        <v/>
      </c>
      <c r="F184" s="246" t="str">
        <f>IF(SUMIFS(Лэндинг!$I$5:$I$300,Лэндинг!$E$5:$E$300,$B184)+SUMIFS(Закрытые!$I$5:$I$300,Закрытые!$E$5:$E$300,$B184,Закрытые!$B$5:$B$300,"L-*")=0,"",SUMIFS(Лэндинг!$I$5:$I$300,Лэндинг!$E$5:$E$300,$B184)+SUMIFS(Закрытые!$I$5:$I$300,Закрытые!$E$5:$E$300,$B184,Закрытые!$B$5:$B$300,"L-*"))</f>
        <v/>
      </c>
      <c r="G184" s="183" t="str">
        <f>IF(F184="","",(SUMPRODUCT((Лэндинг!$E$5:$E$300=$B184)*Лэндинг!$I$5:$I$300*Лэндинг!$J$5:$J$300)+SUMPRODUCT((Закрытые!$E$5:$E$300=$B184)*(LEFT(Закрытые!$B$5:$B$300,2)="L-")*Закрытые!$I$5:$I$300*Закрытые!$J$5:$J$300))/F184)</f>
        <v/>
      </c>
      <c r="H184" s="247" t="str">
        <f>IF(F184="","",SUMIFS(Лэндинг!$K$5:$K$300,Лэндинг!$E$5:$E$300,$B184)+SUMIFS(Закрытые!$K$5:$K$300,Закрытые!$E$5:$E$300,$B184,Закрытые!$B$5:$B$300,"L-*"))</f>
        <v/>
      </c>
      <c r="I184" s="246" t="str">
        <f>IF($B184="","",IF(COUNTIFS(Лэндинг!$E$5:$E$300,$B184)+COUNTIFS(Закрытые!$E$5:$E$300,$B184,Закрытые!$B$5:$B$300,"L-*")=0,"",ROUND(SUMIFS(Лэндинг!$L$5:$L$300,Лэндинг!$E$5:$E$300,$B184)+SUMIFS(Закрытые!$L$5:$L$300,Закрытые!$E$5:$E$300,$B184,Закрытые!$B$5:$B$300,"L-*"),8)))</f>
        <v/>
      </c>
      <c r="J184" s="247" t="str">
        <f>IF($B184="","",IF(COUNTIFS(Лэндинг!$E$5:$E$300,$B184)+COUNTIFS(Закрытые!$E$5:$E$300,$B184,Закрытые!$B$5:$B$300,"L-*")=0,"",ROUND(SUMIFS(Лэндинг!$M$5:$M$300,Лэндинг!$E$5:$E$300,$B184)+SUMIFS(Закрытые!$M$5:$M$300,Закрытые!$E$5:$E$300,$B184,Закрытые!$B$5:$B$300,"L-*"),8)))</f>
        <v/>
      </c>
      <c r="K184" s="246" t="str">
        <f>IF(MIN(N(C184),N(F184))&lt;=0,"",ROUND(MIN(N(C184),N(F184))*(N(G184)-N(D184)),8))</f>
        <v/>
      </c>
      <c r="L184" s="183" t="str">
        <f>IF(MIN(N(C184),N(F184))&lt;=0,"",IF(N(D184)=0,"",ROUND((N(G184)/N(D184)-1)*100,2)))</f>
        <v/>
      </c>
      <c r="M184" s="183" t="str">
        <f>IF(OR(ROUND(N(C184)-N(F184),8)=0,1-N(Ввод!$J$19)/100&lt;=0),"",IF(N(C184)&gt;N(F184),(N(E184)-N(H184))/((N(C184)-N(F184))*(1-N(Ввод!$J$19)/100)),(N(H184)-N(E184))/((N(F184)-N(C184))*(1+N(Ввод!$J$19)/100))))</f>
        <v/>
      </c>
    </row>
    <row r="185" ht="22" customHeight="1">
      <c r="B185" s="239" t="n"/>
      <c r="C185" s="240" t="str">
        <f>IF(SUMIFS(Лэндинг!$F$5:$F$300,Лэндинг!$E$5:$E$300,$B185)+SUMIFS(Закрытые!$F$5:$F$300,Закрытые!$E$5:$E$300,$B185,Закрытые!$B$5:$B$300,"L-*")=0,"",SUMIFS(Лэндинг!$F$5:$F$300,Лэндинг!$E$5:$E$300,$B185)+SUMIFS(Закрытые!$F$5:$F$300,Закрытые!$E$5:$E$300,$B185,Закрытые!$B$5:$B$300,"L-*"))</f>
        <v/>
      </c>
      <c r="D185" s="177" t="str">
        <f>IF(C185="","",(SUMPRODUCT((Лэндинг!$E$5:$E$300=$B185)*Лэндинг!$F$5:$F$300*Лэндинг!$G$5:$G$300)+SUMPRODUCT((Закрытые!$E$5:$E$300=$B185)*(LEFT(Закрытые!$B$5:$B$300,2)="L-")*Закрытые!$F$5:$F$300*Закрытые!$G$5:$G$300))/C185)</f>
        <v/>
      </c>
      <c r="E185" s="241" t="str">
        <f>IF(C185="","",SUMIFS(Лэндинг!$H$5:$H$300,Лэндинг!$E$5:$E$300,$B185)+SUMIFS(Закрытые!$H$5:$H$300,Закрытые!$E$5:$E$300,$B185,Закрытые!$B$5:$B$300,"L-*"))</f>
        <v/>
      </c>
      <c r="F185" s="240" t="str">
        <f>IF(SUMIFS(Лэндинг!$I$5:$I$300,Лэндинг!$E$5:$E$300,$B185)+SUMIFS(Закрытые!$I$5:$I$300,Закрытые!$E$5:$E$300,$B185,Закрытые!$B$5:$B$300,"L-*")=0,"",SUMIFS(Лэндинг!$I$5:$I$300,Лэндинг!$E$5:$E$300,$B185)+SUMIFS(Закрытые!$I$5:$I$300,Закрытые!$E$5:$E$300,$B185,Закрытые!$B$5:$B$300,"L-*"))</f>
        <v/>
      </c>
      <c r="G185" s="177" t="str">
        <f>IF(F185="","",(SUMPRODUCT((Лэндинг!$E$5:$E$300=$B185)*Лэндинг!$I$5:$I$300*Лэндинг!$J$5:$J$300)+SUMPRODUCT((Закрытые!$E$5:$E$300=$B185)*(LEFT(Закрытые!$B$5:$B$300,2)="L-")*Закрытые!$I$5:$I$300*Закрытые!$J$5:$J$300))/F185)</f>
        <v/>
      </c>
      <c r="H185" s="241" t="str">
        <f>IF(F185="","",SUMIFS(Лэндинг!$K$5:$K$300,Лэндинг!$E$5:$E$300,$B185)+SUMIFS(Закрытые!$K$5:$K$300,Закрытые!$E$5:$E$300,$B185,Закрытые!$B$5:$B$300,"L-*"))</f>
        <v/>
      </c>
      <c r="I185" s="240" t="str">
        <f>IF($B185="","",IF(COUNTIFS(Лэндинг!$E$5:$E$300,$B185)+COUNTIFS(Закрытые!$E$5:$E$300,$B185,Закрытые!$B$5:$B$300,"L-*")=0,"",ROUND(SUMIFS(Лэндинг!$L$5:$L$300,Лэндинг!$E$5:$E$300,$B185)+SUMIFS(Закрытые!$L$5:$L$300,Закрытые!$E$5:$E$300,$B185,Закрытые!$B$5:$B$300,"L-*"),8)))</f>
        <v/>
      </c>
      <c r="J185" s="241" t="str">
        <f>IF($B185="","",IF(COUNTIFS(Лэндинг!$E$5:$E$300,$B185)+COUNTIFS(Закрытые!$E$5:$E$300,$B185,Закрытые!$B$5:$B$300,"L-*")=0,"",ROUND(SUMIFS(Лэндинг!$M$5:$M$300,Лэндинг!$E$5:$E$300,$B185)+SUMIFS(Закрытые!$M$5:$M$300,Закрытые!$E$5:$E$300,$B185,Закрытые!$B$5:$B$300,"L-*"),8)))</f>
        <v/>
      </c>
      <c r="K185" s="240" t="str">
        <f>IF(MIN(N(C185),N(F185))&lt;=0,"",ROUND(MIN(N(C185),N(F185))*(N(G185)-N(D185)),8))</f>
        <v/>
      </c>
      <c r="L185" s="177" t="str">
        <f>IF(MIN(N(C185),N(F185))&lt;=0,"",IF(N(D185)=0,"",ROUND((N(G185)/N(D185)-1)*100,2)))</f>
        <v/>
      </c>
      <c r="M185" s="177" t="str">
        <f>IF(OR(ROUND(N(C185)-N(F185),8)=0,1-N(Ввод!$J$19)/100&lt;=0),"",IF(N(C185)&gt;N(F185),(N(E185)-N(H185))/((N(C185)-N(F185))*(1-N(Ввод!$J$19)/100)),(N(H185)-N(E185))/((N(F185)-N(C185))*(1+N(Ввод!$J$19)/100))))</f>
        <v/>
      </c>
    </row>
    <row r="186" ht="22" customHeight="1">
      <c r="B186" s="245" t="n"/>
      <c r="C186" s="246" t="str">
        <f>IF(SUMIFS(Лэндинг!$F$5:$F$300,Лэндинг!$E$5:$E$300,$B186)+SUMIFS(Закрытые!$F$5:$F$300,Закрытые!$E$5:$E$300,$B186,Закрытые!$B$5:$B$300,"L-*")=0,"",SUMIFS(Лэндинг!$F$5:$F$300,Лэндинг!$E$5:$E$300,$B186)+SUMIFS(Закрытые!$F$5:$F$300,Закрытые!$E$5:$E$300,$B186,Закрытые!$B$5:$B$300,"L-*"))</f>
        <v/>
      </c>
      <c r="D186" s="183" t="str">
        <f>IF(C186="","",(SUMPRODUCT((Лэндинг!$E$5:$E$300=$B186)*Лэндинг!$F$5:$F$300*Лэндинг!$G$5:$G$300)+SUMPRODUCT((Закрытые!$E$5:$E$300=$B186)*(LEFT(Закрытые!$B$5:$B$300,2)="L-")*Закрытые!$F$5:$F$300*Закрытые!$G$5:$G$300))/C186)</f>
        <v/>
      </c>
      <c r="E186" s="247" t="str">
        <f>IF(C186="","",SUMIFS(Лэндинг!$H$5:$H$300,Лэндинг!$E$5:$E$300,$B186)+SUMIFS(Закрытые!$H$5:$H$300,Закрытые!$E$5:$E$300,$B186,Закрытые!$B$5:$B$300,"L-*"))</f>
        <v/>
      </c>
      <c r="F186" s="246" t="str">
        <f>IF(SUMIFS(Лэндинг!$I$5:$I$300,Лэндинг!$E$5:$E$300,$B186)+SUMIFS(Закрытые!$I$5:$I$300,Закрытые!$E$5:$E$300,$B186,Закрытые!$B$5:$B$300,"L-*")=0,"",SUMIFS(Лэндинг!$I$5:$I$300,Лэндинг!$E$5:$E$300,$B186)+SUMIFS(Закрытые!$I$5:$I$300,Закрытые!$E$5:$E$300,$B186,Закрытые!$B$5:$B$300,"L-*"))</f>
        <v/>
      </c>
      <c r="G186" s="183" t="str">
        <f>IF(F186="","",(SUMPRODUCT((Лэндинг!$E$5:$E$300=$B186)*Лэндинг!$I$5:$I$300*Лэндинг!$J$5:$J$300)+SUMPRODUCT((Закрытые!$E$5:$E$300=$B186)*(LEFT(Закрытые!$B$5:$B$300,2)="L-")*Закрытые!$I$5:$I$300*Закрытые!$J$5:$J$300))/F186)</f>
        <v/>
      </c>
      <c r="H186" s="247" t="str">
        <f>IF(F186="","",SUMIFS(Лэндинг!$K$5:$K$300,Лэндинг!$E$5:$E$300,$B186)+SUMIFS(Закрытые!$K$5:$K$300,Закрытые!$E$5:$E$300,$B186,Закрытые!$B$5:$B$300,"L-*"))</f>
        <v/>
      </c>
      <c r="I186" s="246" t="str">
        <f>IF($B186="","",IF(COUNTIFS(Лэндинг!$E$5:$E$300,$B186)+COUNTIFS(Закрытые!$E$5:$E$300,$B186,Закрытые!$B$5:$B$300,"L-*")=0,"",ROUND(SUMIFS(Лэндинг!$L$5:$L$300,Лэндинг!$E$5:$E$300,$B186)+SUMIFS(Закрытые!$L$5:$L$300,Закрытые!$E$5:$E$300,$B186,Закрытые!$B$5:$B$300,"L-*"),8)))</f>
        <v/>
      </c>
      <c r="J186" s="247" t="str">
        <f>IF($B186="","",IF(COUNTIFS(Лэндинг!$E$5:$E$300,$B186)+COUNTIFS(Закрытые!$E$5:$E$300,$B186,Закрытые!$B$5:$B$300,"L-*")=0,"",ROUND(SUMIFS(Лэндинг!$M$5:$M$300,Лэндинг!$E$5:$E$300,$B186)+SUMIFS(Закрытые!$M$5:$M$300,Закрытые!$E$5:$E$300,$B186,Закрытые!$B$5:$B$300,"L-*"),8)))</f>
        <v/>
      </c>
      <c r="K186" s="246" t="str">
        <f>IF(MIN(N(C186),N(F186))&lt;=0,"",ROUND(MIN(N(C186),N(F186))*(N(G186)-N(D186)),8))</f>
        <v/>
      </c>
      <c r="L186" s="183" t="str">
        <f>IF(MIN(N(C186),N(F186))&lt;=0,"",IF(N(D186)=0,"",ROUND((N(G186)/N(D186)-1)*100,2)))</f>
        <v/>
      </c>
      <c r="M186" s="183" t="str">
        <f>IF(OR(ROUND(N(C186)-N(F186),8)=0,1-N(Ввод!$J$19)/100&lt;=0),"",IF(N(C186)&gt;N(F186),(N(E186)-N(H186))/((N(C186)-N(F186))*(1-N(Ввод!$J$19)/100)),(N(H186)-N(E186))/((N(F186)-N(C186))*(1+N(Ввод!$J$19)/100))))</f>
        <v/>
      </c>
    </row>
    <row r="187" ht="22" customHeight="1">
      <c r="B187" s="239" t="n"/>
      <c r="C187" s="240" t="str">
        <f>IF(SUMIFS(Лэндинг!$F$5:$F$300,Лэндинг!$E$5:$E$300,$B187)+SUMIFS(Закрытые!$F$5:$F$300,Закрытые!$E$5:$E$300,$B187,Закрытые!$B$5:$B$300,"L-*")=0,"",SUMIFS(Лэндинг!$F$5:$F$300,Лэндинг!$E$5:$E$300,$B187)+SUMIFS(Закрытые!$F$5:$F$300,Закрытые!$E$5:$E$300,$B187,Закрытые!$B$5:$B$300,"L-*"))</f>
        <v/>
      </c>
      <c r="D187" s="177" t="str">
        <f>IF(C187="","",(SUMPRODUCT((Лэндинг!$E$5:$E$300=$B187)*Лэндинг!$F$5:$F$300*Лэндинг!$G$5:$G$300)+SUMPRODUCT((Закрытые!$E$5:$E$300=$B187)*(LEFT(Закрытые!$B$5:$B$300,2)="L-")*Закрытые!$F$5:$F$300*Закрытые!$G$5:$G$300))/C187)</f>
        <v/>
      </c>
      <c r="E187" s="241" t="str">
        <f>IF(C187="","",SUMIFS(Лэндинг!$H$5:$H$300,Лэндинг!$E$5:$E$300,$B187)+SUMIFS(Закрытые!$H$5:$H$300,Закрытые!$E$5:$E$300,$B187,Закрытые!$B$5:$B$300,"L-*"))</f>
        <v/>
      </c>
      <c r="F187" s="240" t="str">
        <f>IF(SUMIFS(Лэндинг!$I$5:$I$300,Лэндинг!$E$5:$E$300,$B187)+SUMIFS(Закрытые!$I$5:$I$300,Закрытые!$E$5:$E$300,$B187,Закрытые!$B$5:$B$300,"L-*")=0,"",SUMIFS(Лэндинг!$I$5:$I$300,Лэндинг!$E$5:$E$300,$B187)+SUMIFS(Закрытые!$I$5:$I$300,Закрытые!$E$5:$E$300,$B187,Закрытые!$B$5:$B$300,"L-*"))</f>
        <v/>
      </c>
      <c r="G187" s="177" t="str">
        <f>IF(F187="","",(SUMPRODUCT((Лэндинг!$E$5:$E$300=$B187)*Лэндинг!$I$5:$I$300*Лэндинг!$J$5:$J$300)+SUMPRODUCT((Закрытые!$E$5:$E$300=$B187)*(LEFT(Закрытые!$B$5:$B$300,2)="L-")*Закрытые!$I$5:$I$300*Закрытые!$J$5:$J$300))/F187)</f>
        <v/>
      </c>
      <c r="H187" s="241" t="str">
        <f>IF(F187="","",SUMIFS(Лэндинг!$K$5:$K$300,Лэндинг!$E$5:$E$300,$B187)+SUMIFS(Закрытые!$K$5:$K$300,Закрытые!$E$5:$E$300,$B187,Закрытые!$B$5:$B$300,"L-*"))</f>
        <v/>
      </c>
      <c r="I187" s="240" t="str">
        <f>IF($B187="","",IF(COUNTIFS(Лэндинг!$E$5:$E$300,$B187)+COUNTIFS(Закрытые!$E$5:$E$300,$B187,Закрытые!$B$5:$B$300,"L-*")=0,"",ROUND(SUMIFS(Лэндинг!$L$5:$L$300,Лэндинг!$E$5:$E$300,$B187)+SUMIFS(Закрытые!$L$5:$L$300,Закрытые!$E$5:$E$300,$B187,Закрытые!$B$5:$B$300,"L-*"),8)))</f>
        <v/>
      </c>
      <c r="J187" s="241" t="str">
        <f>IF($B187="","",IF(COUNTIFS(Лэндинг!$E$5:$E$300,$B187)+COUNTIFS(Закрытые!$E$5:$E$300,$B187,Закрытые!$B$5:$B$300,"L-*")=0,"",ROUND(SUMIFS(Лэндинг!$M$5:$M$300,Лэндинг!$E$5:$E$300,$B187)+SUMIFS(Закрытые!$M$5:$M$300,Закрытые!$E$5:$E$300,$B187,Закрытые!$B$5:$B$300,"L-*"),8)))</f>
        <v/>
      </c>
      <c r="K187" s="240" t="str">
        <f>IF(MIN(N(C187),N(F187))&lt;=0,"",ROUND(MIN(N(C187),N(F187))*(N(G187)-N(D187)),8))</f>
        <v/>
      </c>
      <c r="L187" s="177" t="str">
        <f>IF(MIN(N(C187),N(F187))&lt;=0,"",IF(N(D187)=0,"",ROUND((N(G187)/N(D187)-1)*100,2)))</f>
        <v/>
      </c>
      <c r="M187" s="177" t="str">
        <f>IF(OR(ROUND(N(C187)-N(F187),8)=0,1-N(Ввод!$J$19)/100&lt;=0),"",IF(N(C187)&gt;N(F187),(N(E187)-N(H187))/((N(C187)-N(F187))*(1-N(Ввод!$J$19)/100)),(N(H187)-N(E187))/((N(F187)-N(C187))*(1+N(Ввод!$J$19)/100))))</f>
        <v/>
      </c>
    </row>
    <row r="188" ht="22" customHeight="1">
      <c r="B188" s="245" t="n"/>
      <c r="C188" s="246" t="str">
        <f>IF(SUMIFS(Лэндинг!$F$5:$F$300,Лэндинг!$E$5:$E$300,$B188)+SUMIFS(Закрытые!$F$5:$F$300,Закрытые!$E$5:$E$300,$B188,Закрытые!$B$5:$B$300,"L-*")=0,"",SUMIFS(Лэндинг!$F$5:$F$300,Лэндинг!$E$5:$E$300,$B188)+SUMIFS(Закрытые!$F$5:$F$300,Закрытые!$E$5:$E$300,$B188,Закрытые!$B$5:$B$300,"L-*"))</f>
        <v/>
      </c>
      <c r="D188" s="183" t="str">
        <f>IF(C188="","",(SUMPRODUCT((Лэндинг!$E$5:$E$300=$B188)*Лэндинг!$F$5:$F$300*Лэндинг!$G$5:$G$300)+SUMPRODUCT((Закрытые!$E$5:$E$300=$B188)*(LEFT(Закрытые!$B$5:$B$300,2)="L-")*Закрытые!$F$5:$F$300*Закрытые!$G$5:$G$300))/C188)</f>
        <v/>
      </c>
      <c r="E188" s="247" t="str">
        <f>IF(C188="","",SUMIFS(Лэндинг!$H$5:$H$300,Лэндинг!$E$5:$E$300,$B188)+SUMIFS(Закрытые!$H$5:$H$300,Закрытые!$E$5:$E$300,$B188,Закрытые!$B$5:$B$300,"L-*"))</f>
        <v/>
      </c>
      <c r="F188" s="246" t="str">
        <f>IF(SUMIFS(Лэндинг!$I$5:$I$300,Лэндинг!$E$5:$E$300,$B188)+SUMIFS(Закрытые!$I$5:$I$300,Закрытые!$E$5:$E$300,$B188,Закрытые!$B$5:$B$300,"L-*")=0,"",SUMIFS(Лэндинг!$I$5:$I$300,Лэндинг!$E$5:$E$300,$B188)+SUMIFS(Закрытые!$I$5:$I$300,Закрытые!$E$5:$E$300,$B188,Закрытые!$B$5:$B$300,"L-*"))</f>
        <v/>
      </c>
      <c r="G188" s="183" t="str">
        <f>IF(F188="","",(SUMPRODUCT((Лэндинг!$E$5:$E$300=$B188)*Лэндинг!$I$5:$I$300*Лэндинг!$J$5:$J$300)+SUMPRODUCT((Закрытые!$E$5:$E$300=$B188)*(LEFT(Закрытые!$B$5:$B$300,2)="L-")*Закрытые!$I$5:$I$300*Закрытые!$J$5:$J$300))/F188)</f>
        <v/>
      </c>
      <c r="H188" s="247" t="str">
        <f>IF(F188="","",SUMIFS(Лэндинг!$K$5:$K$300,Лэндинг!$E$5:$E$300,$B188)+SUMIFS(Закрытые!$K$5:$K$300,Закрытые!$E$5:$E$300,$B188,Закрытые!$B$5:$B$300,"L-*"))</f>
        <v/>
      </c>
      <c r="I188" s="246" t="str">
        <f>IF($B188="","",IF(COUNTIFS(Лэндинг!$E$5:$E$300,$B188)+COUNTIFS(Закрытые!$E$5:$E$300,$B188,Закрытые!$B$5:$B$300,"L-*")=0,"",ROUND(SUMIFS(Лэндинг!$L$5:$L$300,Лэндинг!$E$5:$E$300,$B188)+SUMIFS(Закрытые!$L$5:$L$300,Закрытые!$E$5:$E$300,$B188,Закрытые!$B$5:$B$300,"L-*"),8)))</f>
        <v/>
      </c>
      <c r="J188" s="247" t="str">
        <f>IF($B188="","",IF(COUNTIFS(Лэндинг!$E$5:$E$300,$B188)+COUNTIFS(Закрытые!$E$5:$E$300,$B188,Закрытые!$B$5:$B$300,"L-*")=0,"",ROUND(SUMIFS(Лэндинг!$M$5:$M$300,Лэндинг!$E$5:$E$300,$B188)+SUMIFS(Закрытые!$M$5:$M$300,Закрытые!$E$5:$E$300,$B188,Закрытые!$B$5:$B$300,"L-*"),8)))</f>
        <v/>
      </c>
      <c r="K188" s="246" t="str">
        <f>IF(MIN(N(C188),N(F188))&lt;=0,"",ROUND(MIN(N(C188),N(F188))*(N(G188)-N(D188)),8))</f>
        <v/>
      </c>
      <c r="L188" s="183" t="str">
        <f>IF(MIN(N(C188),N(F188))&lt;=0,"",IF(N(D188)=0,"",ROUND((N(G188)/N(D188)-1)*100,2)))</f>
        <v/>
      </c>
      <c r="M188" s="183" t="str">
        <f>IF(OR(ROUND(N(C188)-N(F188),8)=0,1-N(Ввод!$J$19)/100&lt;=0),"",IF(N(C188)&gt;N(F188),(N(E188)-N(H188))/((N(C188)-N(F188))*(1-N(Ввод!$J$19)/100)),(N(H188)-N(E188))/((N(F188)-N(C188))*(1+N(Ввод!$J$19)/100))))</f>
        <v/>
      </c>
    </row>
    <row r="189" ht="22" customHeight="1">
      <c r="B189" s="239" t="n"/>
      <c r="C189" s="240" t="str">
        <f>IF(SUMIFS(Лэндинг!$F$5:$F$300,Лэндинг!$E$5:$E$300,$B189)+SUMIFS(Закрытые!$F$5:$F$300,Закрытые!$E$5:$E$300,$B189,Закрытые!$B$5:$B$300,"L-*")=0,"",SUMIFS(Лэндинг!$F$5:$F$300,Лэндинг!$E$5:$E$300,$B189)+SUMIFS(Закрытые!$F$5:$F$300,Закрытые!$E$5:$E$300,$B189,Закрытые!$B$5:$B$300,"L-*"))</f>
        <v/>
      </c>
      <c r="D189" s="177" t="str">
        <f>IF(C189="","",(SUMPRODUCT((Лэндинг!$E$5:$E$300=$B189)*Лэндинг!$F$5:$F$300*Лэндинг!$G$5:$G$300)+SUMPRODUCT((Закрытые!$E$5:$E$300=$B189)*(LEFT(Закрытые!$B$5:$B$300,2)="L-")*Закрытые!$F$5:$F$300*Закрытые!$G$5:$G$300))/C189)</f>
        <v/>
      </c>
      <c r="E189" s="241" t="str">
        <f>IF(C189="","",SUMIFS(Лэндинг!$H$5:$H$300,Лэндинг!$E$5:$E$300,$B189)+SUMIFS(Закрытые!$H$5:$H$300,Закрытые!$E$5:$E$300,$B189,Закрытые!$B$5:$B$300,"L-*"))</f>
        <v/>
      </c>
      <c r="F189" s="240" t="str">
        <f>IF(SUMIFS(Лэндинг!$I$5:$I$300,Лэндинг!$E$5:$E$300,$B189)+SUMIFS(Закрытые!$I$5:$I$300,Закрытые!$E$5:$E$300,$B189,Закрытые!$B$5:$B$300,"L-*")=0,"",SUMIFS(Лэндинг!$I$5:$I$300,Лэндинг!$E$5:$E$300,$B189)+SUMIFS(Закрытые!$I$5:$I$300,Закрытые!$E$5:$E$300,$B189,Закрытые!$B$5:$B$300,"L-*"))</f>
        <v/>
      </c>
      <c r="G189" s="177" t="str">
        <f>IF(F189="","",(SUMPRODUCT((Лэндинг!$E$5:$E$300=$B189)*Лэндинг!$I$5:$I$300*Лэндинг!$J$5:$J$300)+SUMPRODUCT((Закрытые!$E$5:$E$300=$B189)*(LEFT(Закрытые!$B$5:$B$300,2)="L-")*Закрытые!$I$5:$I$300*Закрытые!$J$5:$J$300))/F189)</f>
        <v/>
      </c>
      <c r="H189" s="241" t="str">
        <f>IF(F189="","",SUMIFS(Лэндинг!$K$5:$K$300,Лэндинг!$E$5:$E$300,$B189)+SUMIFS(Закрытые!$K$5:$K$300,Закрытые!$E$5:$E$300,$B189,Закрытые!$B$5:$B$300,"L-*"))</f>
        <v/>
      </c>
      <c r="I189" s="240" t="str">
        <f>IF($B189="","",IF(COUNTIFS(Лэндинг!$E$5:$E$300,$B189)+COUNTIFS(Закрытые!$E$5:$E$300,$B189,Закрытые!$B$5:$B$300,"L-*")=0,"",ROUND(SUMIFS(Лэндинг!$L$5:$L$300,Лэндинг!$E$5:$E$300,$B189)+SUMIFS(Закрытые!$L$5:$L$300,Закрытые!$E$5:$E$300,$B189,Закрытые!$B$5:$B$300,"L-*"),8)))</f>
        <v/>
      </c>
      <c r="J189" s="241" t="str">
        <f>IF($B189="","",IF(COUNTIFS(Лэндинг!$E$5:$E$300,$B189)+COUNTIFS(Закрытые!$E$5:$E$300,$B189,Закрытые!$B$5:$B$300,"L-*")=0,"",ROUND(SUMIFS(Лэндинг!$M$5:$M$300,Лэндинг!$E$5:$E$300,$B189)+SUMIFS(Закрытые!$M$5:$M$300,Закрытые!$E$5:$E$300,$B189,Закрытые!$B$5:$B$300,"L-*"),8)))</f>
        <v/>
      </c>
      <c r="K189" s="240" t="str">
        <f>IF(MIN(N(C189),N(F189))&lt;=0,"",ROUND(MIN(N(C189),N(F189))*(N(G189)-N(D189)),8))</f>
        <v/>
      </c>
      <c r="L189" s="177" t="str">
        <f>IF(MIN(N(C189),N(F189))&lt;=0,"",IF(N(D189)=0,"",ROUND((N(G189)/N(D189)-1)*100,2)))</f>
        <v/>
      </c>
      <c r="M189" s="177" t="str">
        <f>IF(OR(ROUND(N(C189)-N(F189),8)=0,1-N(Ввод!$J$19)/100&lt;=0),"",IF(N(C189)&gt;N(F189),(N(E189)-N(H189))/((N(C189)-N(F189))*(1-N(Ввод!$J$19)/100)),(N(H189)-N(E189))/((N(F189)-N(C189))*(1+N(Ввод!$J$19)/100))))</f>
        <v/>
      </c>
    </row>
    <row r="190" ht="22" customHeight="1">
      <c r="B190" s="245" t="n"/>
      <c r="C190" s="246" t="str">
        <f>IF(SUMIFS(Лэндинг!$F$5:$F$300,Лэндинг!$E$5:$E$300,$B190)+SUMIFS(Закрытые!$F$5:$F$300,Закрытые!$E$5:$E$300,$B190,Закрытые!$B$5:$B$300,"L-*")=0,"",SUMIFS(Лэндинг!$F$5:$F$300,Лэндинг!$E$5:$E$300,$B190)+SUMIFS(Закрытые!$F$5:$F$300,Закрытые!$E$5:$E$300,$B190,Закрытые!$B$5:$B$300,"L-*"))</f>
        <v/>
      </c>
      <c r="D190" s="183" t="str">
        <f>IF(C190="","",(SUMPRODUCT((Лэндинг!$E$5:$E$300=$B190)*Лэндинг!$F$5:$F$300*Лэндинг!$G$5:$G$300)+SUMPRODUCT((Закрытые!$E$5:$E$300=$B190)*(LEFT(Закрытые!$B$5:$B$300,2)="L-")*Закрытые!$F$5:$F$300*Закрытые!$G$5:$G$300))/C190)</f>
        <v/>
      </c>
      <c r="E190" s="247" t="str">
        <f>IF(C190="","",SUMIFS(Лэндинг!$H$5:$H$300,Лэндинг!$E$5:$E$300,$B190)+SUMIFS(Закрытые!$H$5:$H$300,Закрытые!$E$5:$E$300,$B190,Закрытые!$B$5:$B$300,"L-*"))</f>
        <v/>
      </c>
      <c r="F190" s="246" t="str">
        <f>IF(SUMIFS(Лэндинг!$I$5:$I$300,Лэндинг!$E$5:$E$300,$B190)+SUMIFS(Закрытые!$I$5:$I$300,Закрытые!$E$5:$E$300,$B190,Закрытые!$B$5:$B$300,"L-*")=0,"",SUMIFS(Лэндинг!$I$5:$I$300,Лэндинг!$E$5:$E$300,$B190)+SUMIFS(Закрытые!$I$5:$I$300,Закрытые!$E$5:$E$300,$B190,Закрытые!$B$5:$B$300,"L-*"))</f>
        <v/>
      </c>
      <c r="G190" s="183" t="str">
        <f>IF(F190="","",(SUMPRODUCT((Лэндинг!$E$5:$E$300=$B190)*Лэндинг!$I$5:$I$300*Лэндинг!$J$5:$J$300)+SUMPRODUCT((Закрытые!$E$5:$E$300=$B190)*(LEFT(Закрытые!$B$5:$B$300,2)="L-")*Закрытые!$I$5:$I$300*Закрытые!$J$5:$J$300))/F190)</f>
        <v/>
      </c>
      <c r="H190" s="247" t="str">
        <f>IF(F190="","",SUMIFS(Лэндинг!$K$5:$K$300,Лэндинг!$E$5:$E$300,$B190)+SUMIFS(Закрытые!$K$5:$K$300,Закрытые!$E$5:$E$300,$B190,Закрытые!$B$5:$B$300,"L-*"))</f>
        <v/>
      </c>
      <c r="I190" s="246" t="str">
        <f>IF($B190="","",IF(COUNTIFS(Лэндинг!$E$5:$E$300,$B190)+COUNTIFS(Закрытые!$E$5:$E$300,$B190,Закрытые!$B$5:$B$300,"L-*")=0,"",ROUND(SUMIFS(Лэндинг!$L$5:$L$300,Лэндинг!$E$5:$E$300,$B190)+SUMIFS(Закрытые!$L$5:$L$300,Закрытые!$E$5:$E$300,$B190,Закрытые!$B$5:$B$300,"L-*"),8)))</f>
        <v/>
      </c>
      <c r="J190" s="247" t="str">
        <f>IF($B190="","",IF(COUNTIFS(Лэндинг!$E$5:$E$300,$B190)+COUNTIFS(Закрытые!$E$5:$E$300,$B190,Закрытые!$B$5:$B$300,"L-*")=0,"",ROUND(SUMIFS(Лэндинг!$M$5:$M$300,Лэндинг!$E$5:$E$300,$B190)+SUMIFS(Закрытые!$M$5:$M$300,Закрытые!$E$5:$E$300,$B190,Закрытые!$B$5:$B$300,"L-*"),8)))</f>
        <v/>
      </c>
      <c r="K190" s="246" t="str">
        <f>IF(MIN(N(C190),N(F190))&lt;=0,"",ROUND(MIN(N(C190),N(F190))*(N(G190)-N(D190)),8))</f>
        <v/>
      </c>
      <c r="L190" s="183" t="str">
        <f>IF(MIN(N(C190),N(F190))&lt;=0,"",IF(N(D190)=0,"",ROUND((N(G190)/N(D190)-1)*100,2)))</f>
        <v/>
      </c>
      <c r="M190" s="183" t="str">
        <f>IF(OR(ROUND(N(C190)-N(F190),8)=0,1-N(Ввод!$J$19)/100&lt;=0),"",IF(N(C190)&gt;N(F190),(N(E190)-N(H190))/((N(C190)-N(F190))*(1-N(Ввод!$J$19)/100)),(N(H190)-N(E190))/((N(F190)-N(C190))*(1+N(Ввод!$J$19)/100))))</f>
        <v/>
      </c>
    </row>
    <row r="191" ht="22" customHeight="1">
      <c r="B191" s="239" t="n"/>
      <c r="C191" s="240" t="str">
        <f>IF(SUMIFS(Лэндинг!$F$5:$F$300,Лэндинг!$E$5:$E$300,$B191)+SUMIFS(Закрытые!$F$5:$F$300,Закрытые!$E$5:$E$300,$B191,Закрытые!$B$5:$B$300,"L-*")=0,"",SUMIFS(Лэндинг!$F$5:$F$300,Лэндинг!$E$5:$E$300,$B191)+SUMIFS(Закрытые!$F$5:$F$300,Закрытые!$E$5:$E$300,$B191,Закрытые!$B$5:$B$300,"L-*"))</f>
        <v/>
      </c>
      <c r="D191" s="177" t="str">
        <f>IF(C191="","",(SUMPRODUCT((Лэндинг!$E$5:$E$300=$B191)*Лэндинг!$F$5:$F$300*Лэндинг!$G$5:$G$300)+SUMPRODUCT((Закрытые!$E$5:$E$300=$B191)*(LEFT(Закрытые!$B$5:$B$300,2)="L-")*Закрытые!$F$5:$F$300*Закрытые!$G$5:$G$300))/C191)</f>
        <v/>
      </c>
      <c r="E191" s="241" t="str">
        <f>IF(C191="","",SUMIFS(Лэндинг!$H$5:$H$300,Лэндинг!$E$5:$E$300,$B191)+SUMIFS(Закрытые!$H$5:$H$300,Закрытые!$E$5:$E$300,$B191,Закрытые!$B$5:$B$300,"L-*"))</f>
        <v/>
      </c>
      <c r="F191" s="240" t="str">
        <f>IF(SUMIFS(Лэндинг!$I$5:$I$300,Лэндинг!$E$5:$E$300,$B191)+SUMIFS(Закрытые!$I$5:$I$300,Закрытые!$E$5:$E$300,$B191,Закрытые!$B$5:$B$300,"L-*")=0,"",SUMIFS(Лэндинг!$I$5:$I$300,Лэндинг!$E$5:$E$300,$B191)+SUMIFS(Закрытые!$I$5:$I$300,Закрытые!$E$5:$E$300,$B191,Закрытые!$B$5:$B$300,"L-*"))</f>
        <v/>
      </c>
      <c r="G191" s="177" t="str">
        <f>IF(F191="","",(SUMPRODUCT((Лэндинг!$E$5:$E$300=$B191)*Лэндинг!$I$5:$I$300*Лэндинг!$J$5:$J$300)+SUMPRODUCT((Закрытые!$E$5:$E$300=$B191)*(LEFT(Закрытые!$B$5:$B$300,2)="L-")*Закрытые!$I$5:$I$300*Закрытые!$J$5:$J$300))/F191)</f>
        <v/>
      </c>
      <c r="H191" s="241" t="str">
        <f>IF(F191="","",SUMIFS(Лэндинг!$K$5:$K$300,Лэндинг!$E$5:$E$300,$B191)+SUMIFS(Закрытые!$K$5:$K$300,Закрытые!$E$5:$E$300,$B191,Закрытые!$B$5:$B$300,"L-*"))</f>
        <v/>
      </c>
      <c r="I191" s="240" t="str">
        <f>IF($B191="","",IF(COUNTIFS(Лэндинг!$E$5:$E$300,$B191)+COUNTIFS(Закрытые!$E$5:$E$300,$B191,Закрытые!$B$5:$B$300,"L-*")=0,"",ROUND(SUMIFS(Лэндинг!$L$5:$L$300,Лэндинг!$E$5:$E$300,$B191)+SUMIFS(Закрытые!$L$5:$L$300,Закрытые!$E$5:$E$300,$B191,Закрытые!$B$5:$B$300,"L-*"),8)))</f>
        <v/>
      </c>
      <c r="J191" s="241" t="str">
        <f>IF($B191="","",IF(COUNTIFS(Лэндинг!$E$5:$E$300,$B191)+COUNTIFS(Закрытые!$E$5:$E$300,$B191,Закрытые!$B$5:$B$300,"L-*")=0,"",ROUND(SUMIFS(Лэндинг!$M$5:$M$300,Лэндинг!$E$5:$E$300,$B191)+SUMIFS(Закрытые!$M$5:$M$300,Закрытые!$E$5:$E$300,$B191,Закрытые!$B$5:$B$300,"L-*"),8)))</f>
        <v/>
      </c>
      <c r="K191" s="240" t="str">
        <f>IF(MIN(N(C191),N(F191))&lt;=0,"",ROUND(MIN(N(C191),N(F191))*(N(G191)-N(D191)),8))</f>
        <v/>
      </c>
      <c r="L191" s="177" t="str">
        <f>IF(MIN(N(C191),N(F191))&lt;=0,"",IF(N(D191)=0,"",ROUND((N(G191)/N(D191)-1)*100,2)))</f>
        <v/>
      </c>
      <c r="M191" s="177" t="str">
        <f>IF(OR(ROUND(N(C191)-N(F191),8)=0,1-N(Ввод!$J$19)/100&lt;=0),"",IF(N(C191)&gt;N(F191),(N(E191)-N(H191))/((N(C191)-N(F191))*(1-N(Ввод!$J$19)/100)),(N(H191)-N(E191))/((N(F191)-N(C191))*(1+N(Ввод!$J$19)/100))))</f>
        <v/>
      </c>
    </row>
    <row r="192" ht="22" customHeight="1">
      <c r="B192" s="245" t="n"/>
      <c r="C192" s="246" t="str">
        <f>IF(SUMIFS(Лэндинг!$F$5:$F$300,Лэндинг!$E$5:$E$300,$B192)+SUMIFS(Закрытые!$F$5:$F$300,Закрытые!$E$5:$E$300,$B192,Закрытые!$B$5:$B$300,"L-*")=0,"",SUMIFS(Лэндинг!$F$5:$F$300,Лэндинг!$E$5:$E$300,$B192)+SUMIFS(Закрытые!$F$5:$F$300,Закрытые!$E$5:$E$300,$B192,Закрытые!$B$5:$B$300,"L-*"))</f>
        <v/>
      </c>
      <c r="D192" s="183" t="str">
        <f>IF(C192="","",(SUMPRODUCT((Лэндинг!$E$5:$E$300=$B192)*Лэндинг!$F$5:$F$300*Лэндинг!$G$5:$G$300)+SUMPRODUCT((Закрытые!$E$5:$E$300=$B192)*(LEFT(Закрытые!$B$5:$B$300,2)="L-")*Закрытые!$F$5:$F$300*Закрытые!$G$5:$G$300))/C192)</f>
        <v/>
      </c>
      <c r="E192" s="247" t="str">
        <f>IF(C192="","",SUMIFS(Лэндинг!$H$5:$H$300,Лэндинг!$E$5:$E$300,$B192)+SUMIFS(Закрытые!$H$5:$H$300,Закрытые!$E$5:$E$300,$B192,Закрытые!$B$5:$B$300,"L-*"))</f>
        <v/>
      </c>
      <c r="F192" s="246" t="str">
        <f>IF(SUMIFS(Лэндинг!$I$5:$I$300,Лэндинг!$E$5:$E$300,$B192)+SUMIFS(Закрытые!$I$5:$I$300,Закрытые!$E$5:$E$300,$B192,Закрытые!$B$5:$B$300,"L-*")=0,"",SUMIFS(Лэндинг!$I$5:$I$300,Лэндинг!$E$5:$E$300,$B192)+SUMIFS(Закрытые!$I$5:$I$300,Закрытые!$E$5:$E$300,$B192,Закрытые!$B$5:$B$300,"L-*"))</f>
        <v/>
      </c>
      <c r="G192" s="183" t="str">
        <f>IF(F192="","",(SUMPRODUCT((Лэндинг!$E$5:$E$300=$B192)*Лэндинг!$I$5:$I$300*Лэндинг!$J$5:$J$300)+SUMPRODUCT((Закрытые!$E$5:$E$300=$B192)*(LEFT(Закрытые!$B$5:$B$300,2)="L-")*Закрытые!$I$5:$I$300*Закрытые!$J$5:$J$300))/F192)</f>
        <v/>
      </c>
      <c r="H192" s="247" t="str">
        <f>IF(F192="","",SUMIFS(Лэндинг!$K$5:$K$300,Лэндинг!$E$5:$E$300,$B192)+SUMIFS(Закрытые!$K$5:$K$300,Закрытые!$E$5:$E$300,$B192,Закрытые!$B$5:$B$300,"L-*"))</f>
        <v/>
      </c>
      <c r="I192" s="246" t="str">
        <f>IF($B192="","",IF(COUNTIFS(Лэндинг!$E$5:$E$300,$B192)+COUNTIFS(Закрытые!$E$5:$E$300,$B192,Закрытые!$B$5:$B$300,"L-*")=0,"",ROUND(SUMIFS(Лэндинг!$L$5:$L$300,Лэндинг!$E$5:$E$300,$B192)+SUMIFS(Закрытые!$L$5:$L$300,Закрытые!$E$5:$E$300,$B192,Закрытые!$B$5:$B$300,"L-*"),8)))</f>
        <v/>
      </c>
      <c r="J192" s="247" t="str">
        <f>IF($B192="","",IF(COUNTIFS(Лэндинг!$E$5:$E$300,$B192)+COUNTIFS(Закрытые!$E$5:$E$300,$B192,Закрытые!$B$5:$B$300,"L-*")=0,"",ROUND(SUMIFS(Лэндинг!$M$5:$M$300,Лэндинг!$E$5:$E$300,$B192)+SUMIFS(Закрытые!$M$5:$M$300,Закрытые!$E$5:$E$300,$B192,Закрытые!$B$5:$B$300,"L-*"),8)))</f>
        <v/>
      </c>
      <c r="K192" s="246" t="str">
        <f>IF(MIN(N(C192),N(F192))&lt;=0,"",ROUND(MIN(N(C192),N(F192))*(N(G192)-N(D192)),8))</f>
        <v/>
      </c>
      <c r="L192" s="183" t="str">
        <f>IF(MIN(N(C192),N(F192))&lt;=0,"",IF(N(D192)=0,"",ROUND((N(G192)/N(D192)-1)*100,2)))</f>
        <v/>
      </c>
      <c r="M192" s="183" t="str">
        <f>IF(OR(ROUND(N(C192)-N(F192),8)=0,1-N(Ввод!$J$19)/100&lt;=0),"",IF(N(C192)&gt;N(F192),(N(E192)-N(H192))/((N(C192)-N(F192))*(1-N(Ввод!$J$19)/100)),(N(H192)-N(E192))/((N(F192)-N(C192))*(1+N(Ввод!$J$19)/100))))</f>
        <v/>
      </c>
    </row>
    <row r="193" ht="22" customHeight="1">
      <c r="B193" s="239" t="n"/>
      <c r="C193" s="240" t="str">
        <f>IF(SUMIFS(Лэндинг!$F$5:$F$300,Лэндинг!$E$5:$E$300,$B193)+SUMIFS(Закрытые!$F$5:$F$300,Закрытые!$E$5:$E$300,$B193,Закрытые!$B$5:$B$300,"L-*")=0,"",SUMIFS(Лэндинг!$F$5:$F$300,Лэндинг!$E$5:$E$300,$B193)+SUMIFS(Закрытые!$F$5:$F$300,Закрытые!$E$5:$E$300,$B193,Закрытые!$B$5:$B$300,"L-*"))</f>
        <v/>
      </c>
      <c r="D193" s="177" t="str">
        <f>IF(C193="","",(SUMPRODUCT((Лэндинг!$E$5:$E$300=$B193)*Лэндинг!$F$5:$F$300*Лэндинг!$G$5:$G$300)+SUMPRODUCT((Закрытые!$E$5:$E$300=$B193)*(LEFT(Закрытые!$B$5:$B$300,2)="L-")*Закрытые!$F$5:$F$300*Закрытые!$G$5:$G$300))/C193)</f>
        <v/>
      </c>
      <c r="E193" s="241" t="str">
        <f>IF(C193="","",SUMIFS(Лэндинг!$H$5:$H$300,Лэндинг!$E$5:$E$300,$B193)+SUMIFS(Закрытые!$H$5:$H$300,Закрытые!$E$5:$E$300,$B193,Закрытые!$B$5:$B$300,"L-*"))</f>
        <v/>
      </c>
      <c r="F193" s="240" t="str">
        <f>IF(SUMIFS(Лэндинг!$I$5:$I$300,Лэндинг!$E$5:$E$300,$B193)+SUMIFS(Закрытые!$I$5:$I$300,Закрытые!$E$5:$E$300,$B193,Закрытые!$B$5:$B$300,"L-*")=0,"",SUMIFS(Лэндинг!$I$5:$I$300,Лэндинг!$E$5:$E$300,$B193)+SUMIFS(Закрытые!$I$5:$I$300,Закрытые!$E$5:$E$300,$B193,Закрытые!$B$5:$B$300,"L-*"))</f>
        <v/>
      </c>
      <c r="G193" s="177" t="str">
        <f>IF(F193="","",(SUMPRODUCT((Лэндинг!$E$5:$E$300=$B193)*Лэндинг!$I$5:$I$300*Лэндинг!$J$5:$J$300)+SUMPRODUCT((Закрытые!$E$5:$E$300=$B193)*(LEFT(Закрытые!$B$5:$B$300,2)="L-")*Закрытые!$I$5:$I$300*Закрытые!$J$5:$J$300))/F193)</f>
        <v/>
      </c>
      <c r="H193" s="241" t="str">
        <f>IF(F193="","",SUMIFS(Лэндинг!$K$5:$K$300,Лэндинг!$E$5:$E$300,$B193)+SUMIFS(Закрытые!$K$5:$K$300,Закрытые!$E$5:$E$300,$B193,Закрытые!$B$5:$B$300,"L-*"))</f>
        <v/>
      </c>
      <c r="I193" s="240" t="str">
        <f>IF($B193="","",IF(COUNTIFS(Лэндинг!$E$5:$E$300,$B193)+COUNTIFS(Закрытые!$E$5:$E$300,$B193,Закрытые!$B$5:$B$300,"L-*")=0,"",ROUND(SUMIFS(Лэндинг!$L$5:$L$300,Лэндинг!$E$5:$E$300,$B193)+SUMIFS(Закрытые!$L$5:$L$300,Закрытые!$E$5:$E$300,$B193,Закрытые!$B$5:$B$300,"L-*"),8)))</f>
        <v/>
      </c>
      <c r="J193" s="241" t="str">
        <f>IF($B193="","",IF(COUNTIFS(Лэндинг!$E$5:$E$300,$B193)+COUNTIFS(Закрытые!$E$5:$E$300,$B193,Закрытые!$B$5:$B$300,"L-*")=0,"",ROUND(SUMIFS(Лэндинг!$M$5:$M$300,Лэндинг!$E$5:$E$300,$B193)+SUMIFS(Закрытые!$M$5:$M$300,Закрытые!$E$5:$E$300,$B193,Закрытые!$B$5:$B$300,"L-*"),8)))</f>
        <v/>
      </c>
      <c r="K193" s="240" t="str">
        <f>IF(MIN(N(C193),N(F193))&lt;=0,"",ROUND(MIN(N(C193),N(F193))*(N(G193)-N(D193)),8))</f>
        <v/>
      </c>
      <c r="L193" s="177" t="str">
        <f>IF(MIN(N(C193),N(F193))&lt;=0,"",IF(N(D193)=0,"",ROUND((N(G193)/N(D193)-1)*100,2)))</f>
        <v/>
      </c>
      <c r="M193" s="177" t="str">
        <f>IF(OR(ROUND(N(C193)-N(F193),8)=0,1-N(Ввод!$J$19)/100&lt;=0),"",IF(N(C193)&gt;N(F193),(N(E193)-N(H193))/((N(C193)-N(F193))*(1-N(Ввод!$J$19)/100)),(N(H193)-N(E193))/((N(F193)-N(C193))*(1+N(Ввод!$J$19)/100))))</f>
        <v/>
      </c>
    </row>
    <row r="194" ht="22" customHeight="1">
      <c r="B194" s="245" t="n"/>
      <c r="C194" s="246" t="str">
        <f>IF(SUMIFS(Лэндинг!$F$5:$F$300,Лэндинг!$E$5:$E$300,$B194)+SUMIFS(Закрытые!$F$5:$F$300,Закрытые!$E$5:$E$300,$B194,Закрытые!$B$5:$B$300,"L-*")=0,"",SUMIFS(Лэндинг!$F$5:$F$300,Лэндинг!$E$5:$E$300,$B194)+SUMIFS(Закрытые!$F$5:$F$300,Закрытые!$E$5:$E$300,$B194,Закрытые!$B$5:$B$300,"L-*"))</f>
        <v/>
      </c>
      <c r="D194" s="183" t="str">
        <f>IF(C194="","",(SUMPRODUCT((Лэндинг!$E$5:$E$300=$B194)*Лэндинг!$F$5:$F$300*Лэндинг!$G$5:$G$300)+SUMPRODUCT((Закрытые!$E$5:$E$300=$B194)*(LEFT(Закрытые!$B$5:$B$300,2)="L-")*Закрытые!$F$5:$F$300*Закрытые!$G$5:$G$300))/C194)</f>
        <v/>
      </c>
      <c r="E194" s="247" t="str">
        <f>IF(C194="","",SUMIFS(Лэндинг!$H$5:$H$300,Лэндинг!$E$5:$E$300,$B194)+SUMIFS(Закрытые!$H$5:$H$300,Закрытые!$E$5:$E$300,$B194,Закрытые!$B$5:$B$300,"L-*"))</f>
        <v/>
      </c>
      <c r="F194" s="246" t="str">
        <f>IF(SUMIFS(Лэндинг!$I$5:$I$300,Лэндинг!$E$5:$E$300,$B194)+SUMIFS(Закрытые!$I$5:$I$300,Закрытые!$E$5:$E$300,$B194,Закрытые!$B$5:$B$300,"L-*")=0,"",SUMIFS(Лэндинг!$I$5:$I$300,Лэндинг!$E$5:$E$300,$B194)+SUMIFS(Закрытые!$I$5:$I$300,Закрытые!$E$5:$E$300,$B194,Закрытые!$B$5:$B$300,"L-*"))</f>
        <v/>
      </c>
      <c r="G194" s="183" t="str">
        <f>IF(F194="","",(SUMPRODUCT((Лэндинг!$E$5:$E$300=$B194)*Лэндинг!$I$5:$I$300*Лэндинг!$J$5:$J$300)+SUMPRODUCT((Закрытые!$E$5:$E$300=$B194)*(LEFT(Закрытые!$B$5:$B$300,2)="L-")*Закрытые!$I$5:$I$300*Закрытые!$J$5:$J$300))/F194)</f>
        <v/>
      </c>
      <c r="H194" s="247" t="str">
        <f>IF(F194="","",SUMIFS(Лэндинг!$K$5:$K$300,Лэндинг!$E$5:$E$300,$B194)+SUMIFS(Закрытые!$K$5:$K$300,Закрытые!$E$5:$E$300,$B194,Закрытые!$B$5:$B$300,"L-*"))</f>
        <v/>
      </c>
      <c r="I194" s="246" t="str">
        <f>IF($B194="","",IF(COUNTIFS(Лэндинг!$E$5:$E$300,$B194)+COUNTIFS(Закрытые!$E$5:$E$300,$B194,Закрытые!$B$5:$B$300,"L-*")=0,"",ROUND(SUMIFS(Лэндинг!$L$5:$L$300,Лэндинг!$E$5:$E$300,$B194)+SUMIFS(Закрытые!$L$5:$L$300,Закрытые!$E$5:$E$300,$B194,Закрытые!$B$5:$B$300,"L-*"),8)))</f>
        <v/>
      </c>
      <c r="J194" s="247" t="str">
        <f>IF($B194="","",IF(COUNTIFS(Лэндинг!$E$5:$E$300,$B194)+COUNTIFS(Закрытые!$E$5:$E$300,$B194,Закрытые!$B$5:$B$300,"L-*")=0,"",ROUND(SUMIFS(Лэндинг!$M$5:$M$300,Лэндинг!$E$5:$E$300,$B194)+SUMIFS(Закрытые!$M$5:$M$300,Закрытые!$E$5:$E$300,$B194,Закрытые!$B$5:$B$300,"L-*"),8)))</f>
        <v/>
      </c>
      <c r="K194" s="246" t="str">
        <f>IF(MIN(N(C194),N(F194))&lt;=0,"",ROUND(MIN(N(C194),N(F194))*(N(G194)-N(D194)),8))</f>
        <v/>
      </c>
      <c r="L194" s="183" t="str">
        <f>IF(MIN(N(C194),N(F194))&lt;=0,"",IF(N(D194)=0,"",ROUND((N(G194)/N(D194)-1)*100,2)))</f>
        <v/>
      </c>
      <c r="M194" s="183" t="str">
        <f>IF(OR(ROUND(N(C194)-N(F194),8)=0,1-N(Ввод!$J$19)/100&lt;=0),"",IF(N(C194)&gt;N(F194),(N(E194)-N(H194))/((N(C194)-N(F194))*(1-N(Ввод!$J$19)/100)),(N(H194)-N(E194))/((N(F194)-N(C194))*(1+N(Ввод!$J$19)/100))))</f>
        <v/>
      </c>
    </row>
    <row r="195" ht="22" customHeight="1">
      <c r="B195" s="239" t="n"/>
      <c r="C195" s="240" t="str">
        <f>IF(SUMIFS(Лэндинг!$F$5:$F$300,Лэндинг!$E$5:$E$300,$B195)+SUMIFS(Закрытые!$F$5:$F$300,Закрытые!$E$5:$E$300,$B195,Закрытые!$B$5:$B$300,"L-*")=0,"",SUMIFS(Лэндинг!$F$5:$F$300,Лэндинг!$E$5:$E$300,$B195)+SUMIFS(Закрытые!$F$5:$F$300,Закрытые!$E$5:$E$300,$B195,Закрытые!$B$5:$B$300,"L-*"))</f>
        <v/>
      </c>
      <c r="D195" s="177" t="str">
        <f>IF(C195="","",(SUMPRODUCT((Лэндинг!$E$5:$E$300=$B195)*Лэндинг!$F$5:$F$300*Лэндинг!$G$5:$G$300)+SUMPRODUCT((Закрытые!$E$5:$E$300=$B195)*(LEFT(Закрытые!$B$5:$B$300,2)="L-")*Закрытые!$F$5:$F$300*Закрытые!$G$5:$G$300))/C195)</f>
        <v/>
      </c>
      <c r="E195" s="241" t="str">
        <f>IF(C195="","",SUMIFS(Лэндинг!$H$5:$H$300,Лэндинг!$E$5:$E$300,$B195)+SUMIFS(Закрытые!$H$5:$H$300,Закрытые!$E$5:$E$300,$B195,Закрытые!$B$5:$B$300,"L-*"))</f>
        <v/>
      </c>
      <c r="F195" s="240" t="str">
        <f>IF(SUMIFS(Лэндинг!$I$5:$I$300,Лэндинг!$E$5:$E$300,$B195)+SUMIFS(Закрытые!$I$5:$I$300,Закрытые!$E$5:$E$300,$B195,Закрытые!$B$5:$B$300,"L-*")=0,"",SUMIFS(Лэндинг!$I$5:$I$300,Лэндинг!$E$5:$E$300,$B195)+SUMIFS(Закрытые!$I$5:$I$300,Закрытые!$E$5:$E$300,$B195,Закрытые!$B$5:$B$300,"L-*"))</f>
        <v/>
      </c>
      <c r="G195" s="177" t="str">
        <f>IF(F195="","",(SUMPRODUCT((Лэндинг!$E$5:$E$300=$B195)*Лэндинг!$I$5:$I$300*Лэндинг!$J$5:$J$300)+SUMPRODUCT((Закрытые!$E$5:$E$300=$B195)*(LEFT(Закрытые!$B$5:$B$300,2)="L-")*Закрытые!$I$5:$I$300*Закрытые!$J$5:$J$300))/F195)</f>
        <v/>
      </c>
      <c r="H195" s="241" t="str">
        <f>IF(F195="","",SUMIFS(Лэндинг!$K$5:$K$300,Лэндинг!$E$5:$E$300,$B195)+SUMIFS(Закрытые!$K$5:$K$300,Закрытые!$E$5:$E$300,$B195,Закрытые!$B$5:$B$300,"L-*"))</f>
        <v/>
      </c>
      <c r="I195" s="240" t="str">
        <f>IF($B195="","",IF(COUNTIFS(Лэндинг!$E$5:$E$300,$B195)+COUNTIFS(Закрытые!$E$5:$E$300,$B195,Закрытые!$B$5:$B$300,"L-*")=0,"",ROUND(SUMIFS(Лэндинг!$L$5:$L$300,Лэндинг!$E$5:$E$300,$B195)+SUMIFS(Закрытые!$L$5:$L$300,Закрытые!$E$5:$E$300,$B195,Закрытые!$B$5:$B$300,"L-*"),8)))</f>
        <v/>
      </c>
      <c r="J195" s="241" t="str">
        <f>IF($B195="","",IF(COUNTIFS(Лэндинг!$E$5:$E$300,$B195)+COUNTIFS(Закрытые!$E$5:$E$300,$B195,Закрытые!$B$5:$B$300,"L-*")=0,"",ROUND(SUMIFS(Лэндинг!$M$5:$M$300,Лэндинг!$E$5:$E$300,$B195)+SUMIFS(Закрытые!$M$5:$M$300,Закрытые!$E$5:$E$300,$B195,Закрытые!$B$5:$B$300,"L-*"),8)))</f>
        <v/>
      </c>
      <c r="K195" s="240" t="str">
        <f>IF(MIN(N(C195),N(F195))&lt;=0,"",ROUND(MIN(N(C195),N(F195))*(N(G195)-N(D195)),8))</f>
        <v/>
      </c>
      <c r="L195" s="177" t="str">
        <f>IF(MIN(N(C195),N(F195))&lt;=0,"",IF(N(D195)=0,"",ROUND((N(G195)/N(D195)-1)*100,2)))</f>
        <v/>
      </c>
      <c r="M195" s="177" t="str">
        <f>IF(OR(ROUND(N(C195)-N(F195),8)=0,1-N(Ввод!$J$19)/100&lt;=0),"",IF(N(C195)&gt;N(F195),(N(E195)-N(H195))/((N(C195)-N(F195))*(1-N(Ввод!$J$19)/100)),(N(H195)-N(E195))/((N(F195)-N(C195))*(1+N(Ввод!$J$19)/100))))</f>
        <v/>
      </c>
    </row>
    <row r="196" ht="22" customHeight="1">
      <c r="B196" s="245" t="n"/>
      <c r="C196" s="246" t="str">
        <f>IF(SUMIFS(Лэндинг!$F$5:$F$300,Лэндинг!$E$5:$E$300,$B196)+SUMIFS(Закрытые!$F$5:$F$300,Закрытые!$E$5:$E$300,$B196,Закрытые!$B$5:$B$300,"L-*")=0,"",SUMIFS(Лэндинг!$F$5:$F$300,Лэндинг!$E$5:$E$300,$B196)+SUMIFS(Закрытые!$F$5:$F$300,Закрытые!$E$5:$E$300,$B196,Закрытые!$B$5:$B$300,"L-*"))</f>
        <v/>
      </c>
      <c r="D196" s="183" t="str">
        <f>IF(C196="","",(SUMPRODUCT((Лэндинг!$E$5:$E$300=$B196)*Лэндинг!$F$5:$F$300*Лэндинг!$G$5:$G$300)+SUMPRODUCT((Закрытые!$E$5:$E$300=$B196)*(LEFT(Закрытые!$B$5:$B$300,2)="L-")*Закрытые!$F$5:$F$300*Закрытые!$G$5:$G$300))/C196)</f>
        <v/>
      </c>
      <c r="E196" s="247" t="str">
        <f>IF(C196="","",SUMIFS(Лэндинг!$H$5:$H$300,Лэндинг!$E$5:$E$300,$B196)+SUMIFS(Закрытые!$H$5:$H$300,Закрытые!$E$5:$E$300,$B196,Закрытые!$B$5:$B$300,"L-*"))</f>
        <v/>
      </c>
      <c r="F196" s="246" t="str">
        <f>IF(SUMIFS(Лэндинг!$I$5:$I$300,Лэндинг!$E$5:$E$300,$B196)+SUMIFS(Закрытые!$I$5:$I$300,Закрытые!$E$5:$E$300,$B196,Закрытые!$B$5:$B$300,"L-*")=0,"",SUMIFS(Лэндинг!$I$5:$I$300,Лэндинг!$E$5:$E$300,$B196)+SUMIFS(Закрытые!$I$5:$I$300,Закрытые!$E$5:$E$300,$B196,Закрытые!$B$5:$B$300,"L-*"))</f>
        <v/>
      </c>
      <c r="G196" s="183" t="str">
        <f>IF(F196="","",(SUMPRODUCT((Лэндинг!$E$5:$E$300=$B196)*Лэндинг!$I$5:$I$300*Лэндинг!$J$5:$J$300)+SUMPRODUCT((Закрытые!$E$5:$E$300=$B196)*(LEFT(Закрытые!$B$5:$B$300,2)="L-")*Закрытые!$I$5:$I$300*Закрытые!$J$5:$J$300))/F196)</f>
        <v/>
      </c>
      <c r="H196" s="247" t="str">
        <f>IF(F196="","",SUMIFS(Лэндинг!$K$5:$K$300,Лэндинг!$E$5:$E$300,$B196)+SUMIFS(Закрытые!$K$5:$K$300,Закрытые!$E$5:$E$300,$B196,Закрытые!$B$5:$B$300,"L-*"))</f>
        <v/>
      </c>
      <c r="I196" s="246" t="str">
        <f>IF($B196="","",IF(COUNTIFS(Лэндинг!$E$5:$E$300,$B196)+COUNTIFS(Закрытые!$E$5:$E$300,$B196,Закрытые!$B$5:$B$300,"L-*")=0,"",ROUND(SUMIFS(Лэндинг!$L$5:$L$300,Лэндинг!$E$5:$E$300,$B196)+SUMIFS(Закрытые!$L$5:$L$300,Закрытые!$E$5:$E$300,$B196,Закрытые!$B$5:$B$300,"L-*"),8)))</f>
        <v/>
      </c>
      <c r="J196" s="247" t="str">
        <f>IF($B196="","",IF(COUNTIFS(Лэндинг!$E$5:$E$300,$B196)+COUNTIFS(Закрытые!$E$5:$E$300,$B196,Закрытые!$B$5:$B$300,"L-*")=0,"",ROUND(SUMIFS(Лэндинг!$M$5:$M$300,Лэндинг!$E$5:$E$300,$B196)+SUMIFS(Закрытые!$M$5:$M$300,Закрытые!$E$5:$E$300,$B196,Закрытые!$B$5:$B$300,"L-*"),8)))</f>
        <v/>
      </c>
      <c r="K196" s="246" t="str">
        <f>IF(MIN(N(C196),N(F196))&lt;=0,"",ROUND(MIN(N(C196),N(F196))*(N(G196)-N(D196)),8))</f>
        <v/>
      </c>
      <c r="L196" s="183" t="str">
        <f>IF(MIN(N(C196),N(F196))&lt;=0,"",IF(N(D196)=0,"",ROUND((N(G196)/N(D196)-1)*100,2)))</f>
        <v/>
      </c>
      <c r="M196" s="183" t="str">
        <f>IF(OR(ROUND(N(C196)-N(F196),8)=0,1-N(Ввод!$J$19)/100&lt;=0),"",IF(N(C196)&gt;N(F196),(N(E196)-N(H196))/((N(C196)-N(F196))*(1-N(Ввод!$J$19)/100)),(N(H196)-N(E196))/((N(F196)-N(C196))*(1+N(Ввод!$J$19)/100))))</f>
        <v/>
      </c>
    </row>
    <row r="197" ht="22" customHeight="1">
      <c r="B197" s="239" t="n"/>
      <c r="C197" s="240" t="str">
        <f>IF(SUMIFS(Лэндинг!$F$5:$F$300,Лэндинг!$E$5:$E$300,$B197)+SUMIFS(Закрытые!$F$5:$F$300,Закрытые!$E$5:$E$300,$B197,Закрытые!$B$5:$B$300,"L-*")=0,"",SUMIFS(Лэндинг!$F$5:$F$300,Лэндинг!$E$5:$E$300,$B197)+SUMIFS(Закрытые!$F$5:$F$300,Закрытые!$E$5:$E$300,$B197,Закрытые!$B$5:$B$300,"L-*"))</f>
        <v/>
      </c>
      <c r="D197" s="177" t="str">
        <f>IF(C197="","",(SUMPRODUCT((Лэндинг!$E$5:$E$300=$B197)*Лэндинг!$F$5:$F$300*Лэндинг!$G$5:$G$300)+SUMPRODUCT((Закрытые!$E$5:$E$300=$B197)*(LEFT(Закрытые!$B$5:$B$300,2)="L-")*Закрытые!$F$5:$F$300*Закрытые!$G$5:$G$300))/C197)</f>
        <v/>
      </c>
      <c r="E197" s="241" t="str">
        <f>IF(C197="","",SUMIFS(Лэндинг!$H$5:$H$300,Лэндинг!$E$5:$E$300,$B197)+SUMIFS(Закрытые!$H$5:$H$300,Закрытые!$E$5:$E$300,$B197,Закрытые!$B$5:$B$300,"L-*"))</f>
        <v/>
      </c>
      <c r="F197" s="240" t="str">
        <f>IF(SUMIFS(Лэндинг!$I$5:$I$300,Лэндинг!$E$5:$E$300,$B197)+SUMIFS(Закрытые!$I$5:$I$300,Закрытые!$E$5:$E$300,$B197,Закрытые!$B$5:$B$300,"L-*")=0,"",SUMIFS(Лэндинг!$I$5:$I$300,Лэндинг!$E$5:$E$300,$B197)+SUMIFS(Закрытые!$I$5:$I$300,Закрытые!$E$5:$E$300,$B197,Закрытые!$B$5:$B$300,"L-*"))</f>
        <v/>
      </c>
      <c r="G197" s="177" t="str">
        <f>IF(F197="","",(SUMPRODUCT((Лэндинг!$E$5:$E$300=$B197)*Лэндинг!$I$5:$I$300*Лэндинг!$J$5:$J$300)+SUMPRODUCT((Закрытые!$E$5:$E$300=$B197)*(LEFT(Закрытые!$B$5:$B$300,2)="L-")*Закрытые!$I$5:$I$300*Закрытые!$J$5:$J$300))/F197)</f>
        <v/>
      </c>
      <c r="H197" s="241" t="str">
        <f>IF(F197="","",SUMIFS(Лэндинг!$K$5:$K$300,Лэндинг!$E$5:$E$300,$B197)+SUMIFS(Закрытые!$K$5:$K$300,Закрытые!$E$5:$E$300,$B197,Закрытые!$B$5:$B$300,"L-*"))</f>
        <v/>
      </c>
      <c r="I197" s="240" t="str">
        <f>IF($B197="","",IF(COUNTIFS(Лэндинг!$E$5:$E$300,$B197)+COUNTIFS(Закрытые!$E$5:$E$300,$B197,Закрытые!$B$5:$B$300,"L-*")=0,"",ROUND(SUMIFS(Лэндинг!$L$5:$L$300,Лэндинг!$E$5:$E$300,$B197)+SUMIFS(Закрытые!$L$5:$L$300,Закрытые!$E$5:$E$300,$B197,Закрытые!$B$5:$B$300,"L-*"),8)))</f>
        <v/>
      </c>
      <c r="J197" s="241" t="str">
        <f>IF($B197="","",IF(COUNTIFS(Лэндинг!$E$5:$E$300,$B197)+COUNTIFS(Закрытые!$E$5:$E$300,$B197,Закрытые!$B$5:$B$300,"L-*")=0,"",ROUND(SUMIFS(Лэндинг!$M$5:$M$300,Лэндинг!$E$5:$E$300,$B197)+SUMIFS(Закрытые!$M$5:$M$300,Закрытые!$E$5:$E$300,$B197,Закрытые!$B$5:$B$300,"L-*"),8)))</f>
        <v/>
      </c>
      <c r="K197" s="240" t="str">
        <f>IF(MIN(N(C197),N(F197))&lt;=0,"",ROUND(MIN(N(C197),N(F197))*(N(G197)-N(D197)),8))</f>
        <v/>
      </c>
      <c r="L197" s="177" t="str">
        <f>IF(MIN(N(C197),N(F197))&lt;=0,"",IF(N(D197)=0,"",ROUND((N(G197)/N(D197)-1)*100,2)))</f>
        <v/>
      </c>
      <c r="M197" s="177" t="str">
        <f>IF(OR(ROUND(N(C197)-N(F197),8)=0,1-N(Ввод!$J$19)/100&lt;=0),"",IF(N(C197)&gt;N(F197),(N(E197)-N(H197))/((N(C197)-N(F197))*(1-N(Ввод!$J$19)/100)),(N(H197)-N(E197))/((N(F197)-N(C197))*(1+N(Ввод!$J$19)/100))))</f>
        <v/>
      </c>
    </row>
    <row r="198" ht="22" customHeight="1">
      <c r="B198" s="245" t="n"/>
      <c r="C198" s="246" t="str">
        <f>IF(SUMIFS(Лэндинг!$F$5:$F$300,Лэндинг!$E$5:$E$300,$B198)+SUMIFS(Закрытые!$F$5:$F$300,Закрытые!$E$5:$E$300,$B198,Закрытые!$B$5:$B$300,"L-*")=0,"",SUMIFS(Лэндинг!$F$5:$F$300,Лэндинг!$E$5:$E$300,$B198)+SUMIFS(Закрытые!$F$5:$F$300,Закрытые!$E$5:$E$300,$B198,Закрытые!$B$5:$B$300,"L-*"))</f>
        <v/>
      </c>
      <c r="D198" s="183" t="str">
        <f>IF(C198="","",(SUMPRODUCT((Лэндинг!$E$5:$E$300=$B198)*Лэндинг!$F$5:$F$300*Лэндинг!$G$5:$G$300)+SUMPRODUCT((Закрытые!$E$5:$E$300=$B198)*(LEFT(Закрытые!$B$5:$B$300,2)="L-")*Закрытые!$F$5:$F$300*Закрытые!$G$5:$G$300))/C198)</f>
        <v/>
      </c>
      <c r="E198" s="247" t="str">
        <f>IF(C198="","",SUMIFS(Лэндинг!$H$5:$H$300,Лэндинг!$E$5:$E$300,$B198)+SUMIFS(Закрытые!$H$5:$H$300,Закрытые!$E$5:$E$300,$B198,Закрытые!$B$5:$B$300,"L-*"))</f>
        <v/>
      </c>
      <c r="F198" s="246" t="str">
        <f>IF(SUMIFS(Лэндинг!$I$5:$I$300,Лэндинг!$E$5:$E$300,$B198)+SUMIFS(Закрытые!$I$5:$I$300,Закрытые!$E$5:$E$300,$B198,Закрытые!$B$5:$B$300,"L-*")=0,"",SUMIFS(Лэндинг!$I$5:$I$300,Лэндинг!$E$5:$E$300,$B198)+SUMIFS(Закрытые!$I$5:$I$300,Закрытые!$E$5:$E$300,$B198,Закрытые!$B$5:$B$300,"L-*"))</f>
        <v/>
      </c>
      <c r="G198" s="183" t="str">
        <f>IF(F198="","",(SUMPRODUCT((Лэндинг!$E$5:$E$300=$B198)*Лэндинг!$I$5:$I$300*Лэндинг!$J$5:$J$300)+SUMPRODUCT((Закрытые!$E$5:$E$300=$B198)*(LEFT(Закрытые!$B$5:$B$300,2)="L-")*Закрытые!$I$5:$I$300*Закрытые!$J$5:$J$300))/F198)</f>
        <v/>
      </c>
      <c r="H198" s="247" t="str">
        <f>IF(F198="","",SUMIFS(Лэндинг!$K$5:$K$300,Лэндинг!$E$5:$E$300,$B198)+SUMIFS(Закрытые!$K$5:$K$300,Закрытые!$E$5:$E$300,$B198,Закрытые!$B$5:$B$300,"L-*"))</f>
        <v/>
      </c>
      <c r="I198" s="246" t="str">
        <f>IF($B198="","",IF(COUNTIFS(Лэндинг!$E$5:$E$300,$B198)+COUNTIFS(Закрытые!$E$5:$E$300,$B198,Закрытые!$B$5:$B$300,"L-*")=0,"",ROUND(SUMIFS(Лэндинг!$L$5:$L$300,Лэндинг!$E$5:$E$300,$B198)+SUMIFS(Закрытые!$L$5:$L$300,Закрытые!$E$5:$E$300,$B198,Закрытые!$B$5:$B$300,"L-*"),8)))</f>
        <v/>
      </c>
      <c r="J198" s="247" t="str">
        <f>IF($B198="","",IF(COUNTIFS(Лэндинг!$E$5:$E$300,$B198)+COUNTIFS(Закрытые!$E$5:$E$300,$B198,Закрытые!$B$5:$B$300,"L-*")=0,"",ROUND(SUMIFS(Лэндинг!$M$5:$M$300,Лэндинг!$E$5:$E$300,$B198)+SUMIFS(Закрытые!$M$5:$M$300,Закрытые!$E$5:$E$300,$B198,Закрытые!$B$5:$B$300,"L-*"),8)))</f>
        <v/>
      </c>
      <c r="K198" s="246" t="str">
        <f>IF(MIN(N(C198),N(F198))&lt;=0,"",ROUND(MIN(N(C198),N(F198))*(N(G198)-N(D198)),8))</f>
        <v/>
      </c>
      <c r="L198" s="183" t="str">
        <f>IF(MIN(N(C198),N(F198))&lt;=0,"",IF(N(D198)=0,"",ROUND((N(G198)/N(D198)-1)*100,2)))</f>
        <v/>
      </c>
      <c r="M198" s="183" t="str">
        <f>IF(OR(ROUND(N(C198)-N(F198),8)=0,1-N(Ввод!$J$19)/100&lt;=0),"",IF(N(C198)&gt;N(F198),(N(E198)-N(H198))/((N(C198)-N(F198))*(1-N(Ввод!$J$19)/100)),(N(H198)-N(E198))/((N(F198)-N(C198))*(1+N(Ввод!$J$19)/100))))</f>
        <v/>
      </c>
    </row>
    <row r="199" ht="22" customHeight="1">
      <c r="B199" s="239" t="n"/>
      <c r="C199" s="240" t="str">
        <f>IF(SUMIFS(Лэндинг!$F$5:$F$300,Лэндинг!$E$5:$E$300,$B199)+SUMIFS(Закрытые!$F$5:$F$300,Закрытые!$E$5:$E$300,$B199,Закрытые!$B$5:$B$300,"L-*")=0,"",SUMIFS(Лэндинг!$F$5:$F$300,Лэндинг!$E$5:$E$300,$B199)+SUMIFS(Закрытые!$F$5:$F$300,Закрытые!$E$5:$E$300,$B199,Закрытые!$B$5:$B$300,"L-*"))</f>
        <v/>
      </c>
      <c r="D199" s="177" t="str">
        <f>IF(C199="","",(SUMPRODUCT((Лэндинг!$E$5:$E$300=$B199)*Лэндинг!$F$5:$F$300*Лэндинг!$G$5:$G$300)+SUMPRODUCT((Закрытые!$E$5:$E$300=$B199)*(LEFT(Закрытые!$B$5:$B$300,2)="L-")*Закрытые!$F$5:$F$300*Закрытые!$G$5:$G$300))/C199)</f>
        <v/>
      </c>
      <c r="E199" s="241" t="str">
        <f>IF(C199="","",SUMIFS(Лэндинг!$H$5:$H$300,Лэндинг!$E$5:$E$300,$B199)+SUMIFS(Закрытые!$H$5:$H$300,Закрытые!$E$5:$E$300,$B199,Закрытые!$B$5:$B$300,"L-*"))</f>
        <v/>
      </c>
      <c r="F199" s="240" t="str">
        <f>IF(SUMIFS(Лэндинг!$I$5:$I$300,Лэндинг!$E$5:$E$300,$B199)+SUMIFS(Закрытые!$I$5:$I$300,Закрытые!$E$5:$E$300,$B199,Закрытые!$B$5:$B$300,"L-*")=0,"",SUMIFS(Лэндинг!$I$5:$I$300,Лэндинг!$E$5:$E$300,$B199)+SUMIFS(Закрытые!$I$5:$I$300,Закрытые!$E$5:$E$300,$B199,Закрытые!$B$5:$B$300,"L-*"))</f>
        <v/>
      </c>
      <c r="G199" s="177" t="str">
        <f>IF(F199="","",(SUMPRODUCT((Лэндинг!$E$5:$E$300=$B199)*Лэндинг!$I$5:$I$300*Лэндинг!$J$5:$J$300)+SUMPRODUCT((Закрытые!$E$5:$E$300=$B199)*(LEFT(Закрытые!$B$5:$B$300,2)="L-")*Закрытые!$I$5:$I$300*Закрытые!$J$5:$J$300))/F199)</f>
        <v/>
      </c>
      <c r="H199" s="241" t="str">
        <f>IF(F199="","",SUMIFS(Лэндинг!$K$5:$K$300,Лэндинг!$E$5:$E$300,$B199)+SUMIFS(Закрытые!$K$5:$K$300,Закрытые!$E$5:$E$300,$B199,Закрытые!$B$5:$B$300,"L-*"))</f>
        <v/>
      </c>
      <c r="I199" s="240" t="str">
        <f>IF($B199="","",IF(COUNTIFS(Лэндинг!$E$5:$E$300,$B199)+COUNTIFS(Закрытые!$E$5:$E$300,$B199,Закрытые!$B$5:$B$300,"L-*")=0,"",ROUND(SUMIFS(Лэндинг!$L$5:$L$300,Лэндинг!$E$5:$E$300,$B199)+SUMIFS(Закрытые!$L$5:$L$300,Закрытые!$E$5:$E$300,$B199,Закрытые!$B$5:$B$300,"L-*"),8)))</f>
        <v/>
      </c>
      <c r="J199" s="241" t="str">
        <f>IF($B199="","",IF(COUNTIFS(Лэндинг!$E$5:$E$300,$B199)+COUNTIFS(Закрытые!$E$5:$E$300,$B199,Закрытые!$B$5:$B$300,"L-*")=0,"",ROUND(SUMIFS(Лэндинг!$M$5:$M$300,Лэндинг!$E$5:$E$300,$B199)+SUMIFS(Закрытые!$M$5:$M$300,Закрытые!$E$5:$E$300,$B199,Закрытые!$B$5:$B$300,"L-*"),8)))</f>
        <v/>
      </c>
      <c r="K199" s="240" t="str">
        <f>IF(MIN(N(C199),N(F199))&lt;=0,"",ROUND(MIN(N(C199),N(F199))*(N(G199)-N(D199)),8))</f>
        <v/>
      </c>
      <c r="L199" s="177" t="str">
        <f>IF(MIN(N(C199),N(F199))&lt;=0,"",IF(N(D199)=0,"",ROUND((N(G199)/N(D199)-1)*100,2)))</f>
        <v/>
      </c>
      <c r="M199" s="177" t="str">
        <f>IF(OR(ROUND(N(C199)-N(F199),8)=0,1-N(Ввод!$J$19)/100&lt;=0),"",IF(N(C199)&gt;N(F199),(N(E199)-N(H199))/((N(C199)-N(F199))*(1-N(Ввод!$J$19)/100)),(N(H199)-N(E199))/((N(F199)-N(C199))*(1+N(Ввод!$J$19)/100))))</f>
        <v/>
      </c>
    </row>
    <row r="200" ht="22" customHeight="1">
      <c r="B200" s="245" t="n"/>
      <c r="C200" s="246" t="str">
        <f>IF(SUMIFS(Лэндинг!$F$5:$F$300,Лэндинг!$E$5:$E$300,$B200)+SUMIFS(Закрытые!$F$5:$F$300,Закрытые!$E$5:$E$300,$B200,Закрытые!$B$5:$B$300,"L-*")=0,"",SUMIFS(Лэндинг!$F$5:$F$300,Лэндинг!$E$5:$E$300,$B200)+SUMIFS(Закрытые!$F$5:$F$300,Закрытые!$E$5:$E$300,$B200,Закрытые!$B$5:$B$300,"L-*"))</f>
        <v/>
      </c>
      <c r="D200" s="183" t="str">
        <f>IF(C200="","",(SUMPRODUCT((Лэндинг!$E$5:$E$300=$B200)*Лэндинг!$F$5:$F$300*Лэндинг!$G$5:$G$300)+SUMPRODUCT((Закрытые!$E$5:$E$300=$B200)*(LEFT(Закрытые!$B$5:$B$300,2)="L-")*Закрытые!$F$5:$F$300*Закрытые!$G$5:$G$300))/C200)</f>
        <v/>
      </c>
      <c r="E200" s="247" t="str">
        <f>IF(C200="","",SUMIFS(Лэндинг!$H$5:$H$300,Лэндинг!$E$5:$E$300,$B200)+SUMIFS(Закрытые!$H$5:$H$300,Закрытые!$E$5:$E$300,$B200,Закрытые!$B$5:$B$300,"L-*"))</f>
        <v/>
      </c>
      <c r="F200" s="246" t="str">
        <f>IF(SUMIFS(Лэндинг!$I$5:$I$300,Лэндинг!$E$5:$E$300,$B200)+SUMIFS(Закрытые!$I$5:$I$300,Закрытые!$E$5:$E$300,$B200,Закрытые!$B$5:$B$300,"L-*")=0,"",SUMIFS(Лэндинг!$I$5:$I$300,Лэндинг!$E$5:$E$300,$B200)+SUMIFS(Закрытые!$I$5:$I$300,Закрытые!$E$5:$E$300,$B200,Закрытые!$B$5:$B$300,"L-*"))</f>
        <v/>
      </c>
      <c r="G200" s="183" t="str">
        <f>IF(F200="","",(SUMPRODUCT((Лэндинг!$E$5:$E$300=$B200)*Лэндинг!$I$5:$I$300*Лэндинг!$J$5:$J$300)+SUMPRODUCT((Закрытые!$E$5:$E$300=$B200)*(LEFT(Закрытые!$B$5:$B$300,2)="L-")*Закрытые!$I$5:$I$300*Закрытые!$J$5:$J$300))/F200)</f>
        <v/>
      </c>
      <c r="H200" s="247" t="str">
        <f>IF(F200="","",SUMIFS(Лэндинг!$K$5:$K$300,Лэндинг!$E$5:$E$300,$B200)+SUMIFS(Закрытые!$K$5:$K$300,Закрытые!$E$5:$E$300,$B200,Закрытые!$B$5:$B$300,"L-*"))</f>
        <v/>
      </c>
      <c r="I200" s="246" t="str">
        <f>IF($B200="","",IF(COUNTIFS(Лэндинг!$E$5:$E$300,$B200)+COUNTIFS(Закрытые!$E$5:$E$300,$B200,Закрытые!$B$5:$B$300,"L-*")=0,"",ROUND(SUMIFS(Лэндинг!$L$5:$L$300,Лэндинг!$E$5:$E$300,$B200)+SUMIFS(Закрытые!$L$5:$L$300,Закрытые!$E$5:$E$300,$B200,Закрытые!$B$5:$B$300,"L-*"),8)))</f>
        <v/>
      </c>
      <c r="J200" s="247" t="str">
        <f>IF($B200="","",IF(COUNTIFS(Лэндинг!$E$5:$E$300,$B200)+COUNTIFS(Закрытые!$E$5:$E$300,$B200,Закрытые!$B$5:$B$300,"L-*")=0,"",ROUND(SUMIFS(Лэндинг!$M$5:$M$300,Лэндинг!$E$5:$E$300,$B200)+SUMIFS(Закрытые!$M$5:$M$300,Закрытые!$E$5:$E$300,$B200,Закрытые!$B$5:$B$300,"L-*"),8)))</f>
        <v/>
      </c>
      <c r="K200" s="246" t="str">
        <f>IF(MIN(N(C200),N(F200))&lt;=0,"",ROUND(MIN(N(C200),N(F200))*(N(G200)-N(D200)),8))</f>
        <v/>
      </c>
      <c r="L200" s="183" t="str">
        <f>IF(MIN(N(C200),N(F200))&lt;=0,"",IF(N(D200)=0,"",ROUND((N(G200)/N(D200)-1)*100,2)))</f>
        <v/>
      </c>
      <c r="M200" s="183" t="str">
        <f>IF(OR(ROUND(N(C200)-N(F200),8)=0,1-N(Ввод!$J$19)/100&lt;=0),"",IF(N(C200)&gt;N(F200),(N(E200)-N(H200))/((N(C200)-N(F200))*(1-N(Ввод!$J$19)/100)),(N(H200)-N(E200))/((N(F200)-N(C200))*(1+N(Ввод!$J$19)/100))))</f>
        <v/>
      </c>
    </row>
    <row r="201" ht="22" customHeight="1">
      <c r="B201" s="239" t="n"/>
      <c r="C201" s="240" t="str">
        <f>IF(SUMIFS(Лэндинг!$F$5:$F$300,Лэндинг!$E$5:$E$300,$B201)+SUMIFS(Закрытые!$F$5:$F$300,Закрытые!$E$5:$E$300,$B201,Закрытые!$B$5:$B$300,"L-*")=0,"",SUMIFS(Лэндинг!$F$5:$F$300,Лэндинг!$E$5:$E$300,$B201)+SUMIFS(Закрытые!$F$5:$F$300,Закрытые!$E$5:$E$300,$B201,Закрытые!$B$5:$B$300,"L-*"))</f>
        <v/>
      </c>
      <c r="D201" s="177" t="str">
        <f>IF(C201="","",(SUMPRODUCT((Лэндинг!$E$5:$E$300=$B201)*Лэндинг!$F$5:$F$300*Лэндинг!$G$5:$G$300)+SUMPRODUCT((Закрытые!$E$5:$E$300=$B201)*(LEFT(Закрытые!$B$5:$B$300,2)="L-")*Закрытые!$F$5:$F$300*Закрытые!$G$5:$G$300))/C201)</f>
        <v/>
      </c>
      <c r="E201" s="241" t="str">
        <f>IF(C201="","",SUMIFS(Лэндинг!$H$5:$H$300,Лэндинг!$E$5:$E$300,$B201)+SUMIFS(Закрытые!$H$5:$H$300,Закрытые!$E$5:$E$300,$B201,Закрытые!$B$5:$B$300,"L-*"))</f>
        <v/>
      </c>
      <c r="F201" s="240" t="str">
        <f>IF(SUMIFS(Лэндинг!$I$5:$I$300,Лэндинг!$E$5:$E$300,$B201)+SUMIFS(Закрытые!$I$5:$I$300,Закрытые!$E$5:$E$300,$B201,Закрытые!$B$5:$B$300,"L-*")=0,"",SUMIFS(Лэндинг!$I$5:$I$300,Лэндинг!$E$5:$E$300,$B201)+SUMIFS(Закрытые!$I$5:$I$300,Закрытые!$E$5:$E$300,$B201,Закрытые!$B$5:$B$300,"L-*"))</f>
        <v/>
      </c>
      <c r="G201" s="177" t="str">
        <f>IF(F201="","",(SUMPRODUCT((Лэндинг!$E$5:$E$300=$B201)*Лэндинг!$I$5:$I$300*Лэндинг!$J$5:$J$300)+SUMPRODUCT((Закрытые!$E$5:$E$300=$B201)*(LEFT(Закрытые!$B$5:$B$300,2)="L-")*Закрытые!$I$5:$I$300*Закрытые!$J$5:$J$300))/F201)</f>
        <v/>
      </c>
      <c r="H201" s="241" t="str">
        <f>IF(F201="","",SUMIFS(Лэндинг!$K$5:$K$300,Лэндинг!$E$5:$E$300,$B201)+SUMIFS(Закрытые!$K$5:$K$300,Закрытые!$E$5:$E$300,$B201,Закрытые!$B$5:$B$300,"L-*"))</f>
        <v/>
      </c>
      <c r="I201" s="240" t="str">
        <f>IF($B201="","",IF(COUNTIFS(Лэндинг!$E$5:$E$300,$B201)+COUNTIFS(Закрытые!$E$5:$E$300,$B201,Закрытые!$B$5:$B$300,"L-*")=0,"",ROUND(SUMIFS(Лэндинг!$L$5:$L$300,Лэндинг!$E$5:$E$300,$B201)+SUMIFS(Закрытые!$L$5:$L$300,Закрытые!$E$5:$E$300,$B201,Закрытые!$B$5:$B$300,"L-*"),8)))</f>
        <v/>
      </c>
      <c r="J201" s="241" t="str">
        <f>IF($B201="","",IF(COUNTIFS(Лэндинг!$E$5:$E$300,$B201)+COUNTIFS(Закрытые!$E$5:$E$300,$B201,Закрытые!$B$5:$B$300,"L-*")=0,"",ROUND(SUMIFS(Лэндинг!$M$5:$M$300,Лэндинг!$E$5:$E$300,$B201)+SUMIFS(Закрытые!$M$5:$M$300,Закрытые!$E$5:$E$300,$B201,Закрытые!$B$5:$B$300,"L-*"),8)))</f>
        <v/>
      </c>
      <c r="K201" s="240" t="str">
        <f>IF(MIN(N(C201),N(F201))&lt;=0,"",ROUND(MIN(N(C201),N(F201))*(N(G201)-N(D201)),8))</f>
        <v/>
      </c>
      <c r="L201" s="177" t="str">
        <f>IF(MIN(N(C201),N(F201))&lt;=0,"",IF(N(D201)=0,"",ROUND((N(G201)/N(D201)-1)*100,2)))</f>
        <v/>
      </c>
      <c r="M201" s="177" t="str">
        <f>IF(OR(ROUND(N(C201)-N(F201),8)=0,1-N(Ввод!$J$19)/100&lt;=0),"",IF(N(C201)&gt;N(F201),(N(E201)-N(H201))/((N(C201)-N(F201))*(1-N(Ввод!$J$19)/100)),(N(H201)-N(E201))/((N(F201)-N(C201))*(1+N(Ввод!$J$19)/100))))</f>
        <v/>
      </c>
    </row>
    <row r="202" ht="22" customHeight="1">
      <c r="B202" s="245" t="n"/>
      <c r="C202" s="246" t="str">
        <f>IF(SUMIFS(Лэндинг!$F$5:$F$300,Лэндинг!$E$5:$E$300,$B202)+SUMIFS(Закрытые!$F$5:$F$300,Закрытые!$E$5:$E$300,$B202,Закрытые!$B$5:$B$300,"L-*")=0,"",SUMIFS(Лэндинг!$F$5:$F$300,Лэндинг!$E$5:$E$300,$B202)+SUMIFS(Закрытые!$F$5:$F$300,Закрытые!$E$5:$E$300,$B202,Закрытые!$B$5:$B$300,"L-*"))</f>
        <v/>
      </c>
      <c r="D202" s="183" t="str">
        <f>IF(C202="","",(SUMPRODUCT((Лэндинг!$E$5:$E$300=$B202)*Лэндинг!$F$5:$F$300*Лэндинг!$G$5:$G$300)+SUMPRODUCT((Закрытые!$E$5:$E$300=$B202)*(LEFT(Закрытые!$B$5:$B$300,2)="L-")*Закрытые!$F$5:$F$300*Закрытые!$G$5:$G$300))/C202)</f>
        <v/>
      </c>
      <c r="E202" s="247" t="str">
        <f>IF(C202="","",SUMIFS(Лэндинг!$H$5:$H$300,Лэндинг!$E$5:$E$300,$B202)+SUMIFS(Закрытые!$H$5:$H$300,Закрытые!$E$5:$E$300,$B202,Закрытые!$B$5:$B$300,"L-*"))</f>
        <v/>
      </c>
      <c r="F202" s="246" t="str">
        <f>IF(SUMIFS(Лэндинг!$I$5:$I$300,Лэндинг!$E$5:$E$300,$B202)+SUMIFS(Закрытые!$I$5:$I$300,Закрытые!$E$5:$E$300,$B202,Закрытые!$B$5:$B$300,"L-*")=0,"",SUMIFS(Лэндинг!$I$5:$I$300,Лэндинг!$E$5:$E$300,$B202)+SUMIFS(Закрытые!$I$5:$I$300,Закрытые!$E$5:$E$300,$B202,Закрытые!$B$5:$B$300,"L-*"))</f>
        <v/>
      </c>
      <c r="G202" s="183" t="str">
        <f>IF(F202="","",(SUMPRODUCT((Лэндинг!$E$5:$E$300=$B202)*Лэндинг!$I$5:$I$300*Лэндинг!$J$5:$J$300)+SUMPRODUCT((Закрытые!$E$5:$E$300=$B202)*(LEFT(Закрытые!$B$5:$B$300,2)="L-")*Закрытые!$I$5:$I$300*Закрытые!$J$5:$J$300))/F202)</f>
        <v/>
      </c>
      <c r="H202" s="247" t="str">
        <f>IF(F202="","",SUMIFS(Лэндинг!$K$5:$K$300,Лэндинг!$E$5:$E$300,$B202)+SUMIFS(Закрытые!$K$5:$K$300,Закрытые!$E$5:$E$300,$B202,Закрытые!$B$5:$B$300,"L-*"))</f>
        <v/>
      </c>
      <c r="I202" s="246" t="str">
        <f>IF($B202="","",IF(COUNTIFS(Лэндинг!$E$5:$E$300,$B202)+COUNTIFS(Закрытые!$E$5:$E$300,$B202,Закрытые!$B$5:$B$300,"L-*")=0,"",ROUND(SUMIFS(Лэндинг!$L$5:$L$300,Лэндинг!$E$5:$E$300,$B202)+SUMIFS(Закрытые!$L$5:$L$300,Закрытые!$E$5:$E$300,$B202,Закрытые!$B$5:$B$300,"L-*"),8)))</f>
        <v/>
      </c>
      <c r="J202" s="247" t="str">
        <f>IF($B202="","",IF(COUNTIFS(Лэндинг!$E$5:$E$300,$B202)+COUNTIFS(Закрытые!$E$5:$E$300,$B202,Закрытые!$B$5:$B$300,"L-*")=0,"",ROUND(SUMIFS(Лэндинг!$M$5:$M$300,Лэндинг!$E$5:$E$300,$B202)+SUMIFS(Закрытые!$M$5:$M$300,Закрытые!$E$5:$E$300,$B202,Закрытые!$B$5:$B$300,"L-*"),8)))</f>
        <v/>
      </c>
      <c r="K202" s="246" t="str">
        <f>IF(MIN(N(C202),N(F202))&lt;=0,"",ROUND(MIN(N(C202),N(F202))*(N(G202)-N(D202)),8))</f>
        <v/>
      </c>
      <c r="L202" s="183" t="str">
        <f>IF(MIN(N(C202),N(F202))&lt;=0,"",IF(N(D202)=0,"",ROUND((N(G202)/N(D202)-1)*100,2)))</f>
        <v/>
      </c>
      <c r="M202" s="183" t="str">
        <f>IF(OR(ROUND(N(C202)-N(F202),8)=0,1-N(Ввод!$J$19)/100&lt;=0),"",IF(N(C202)&gt;N(F202),(N(E202)-N(H202))/((N(C202)-N(F202))*(1-N(Ввод!$J$19)/100)),(N(H202)-N(E202))/((N(F202)-N(C202))*(1+N(Ввод!$J$19)/100))))</f>
        <v/>
      </c>
    </row>
    <row r="203" ht="22" customHeight="1">
      <c r="B203" s="239" t="n"/>
      <c r="C203" s="240" t="str">
        <f>IF(SUMIFS(Лэндинг!$F$5:$F$300,Лэндинг!$E$5:$E$300,$B203)+SUMIFS(Закрытые!$F$5:$F$300,Закрытые!$E$5:$E$300,$B203,Закрытые!$B$5:$B$300,"L-*")=0,"",SUMIFS(Лэндинг!$F$5:$F$300,Лэндинг!$E$5:$E$300,$B203)+SUMIFS(Закрытые!$F$5:$F$300,Закрытые!$E$5:$E$300,$B203,Закрытые!$B$5:$B$300,"L-*"))</f>
        <v/>
      </c>
      <c r="D203" s="177" t="str">
        <f>IF(C203="","",(SUMPRODUCT((Лэндинг!$E$5:$E$300=$B203)*Лэндинг!$F$5:$F$300*Лэндинг!$G$5:$G$300)+SUMPRODUCT((Закрытые!$E$5:$E$300=$B203)*(LEFT(Закрытые!$B$5:$B$300,2)="L-")*Закрытые!$F$5:$F$300*Закрытые!$G$5:$G$300))/C203)</f>
        <v/>
      </c>
      <c r="E203" s="241" t="str">
        <f>IF(C203="","",SUMIFS(Лэндинг!$H$5:$H$300,Лэндинг!$E$5:$E$300,$B203)+SUMIFS(Закрытые!$H$5:$H$300,Закрытые!$E$5:$E$300,$B203,Закрытые!$B$5:$B$300,"L-*"))</f>
        <v/>
      </c>
      <c r="F203" s="240" t="str">
        <f>IF(SUMIFS(Лэндинг!$I$5:$I$300,Лэндинг!$E$5:$E$300,$B203)+SUMIFS(Закрытые!$I$5:$I$300,Закрытые!$E$5:$E$300,$B203,Закрытые!$B$5:$B$300,"L-*")=0,"",SUMIFS(Лэндинг!$I$5:$I$300,Лэндинг!$E$5:$E$300,$B203)+SUMIFS(Закрытые!$I$5:$I$300,Закрытые!$E$5:$E$300,$B203,Закрытые!$B$5:$B$300,"L-*"))</f>
        <v/>
      </c>
      <c r="G203" s="177" t="str">
        <f>IF(F203="","",(SUMPRODUCT((Лэндинг!$E$5:$E$300=$B203)*Лэндинг!$I$5:$I$300*Лэндинг!$J$5:$J$300)+SUMPRODUCT((Закрытые!$E$5:$E$300=$B203)*(LEFT(Закрытые!$B$5:$B$300,2)="L-")*Закрытые!$I$5:$I$300*Закрытые!$J$5:$J$300))/F203)</f>
        <v/>
      </c>
      <c r="H203" s="241" t="str">
        <f>IF(F203="","",SUMIFS(Лэндинг!$K$5:$K$300,Лэндинг!$E$5:$E$300,$B203)+SUMIFS(Закрытые!$K$5:$K$300,Закрытые!$E$5:$E$300,$B203,Закрытые!$B$5:$B$300,"L-*"))</f>
        <v/>
      </c>
      <c r="I203" s="240" t="str">
        <f>IF($B203="","",IF(COUNTIFS(Лэндинг!$E$5:$E$300,$B203)+COUNTIFS(Закрытые!$E$5:$E$300,$B203,Закрытые!$B$5:$B$300,"L-*")=0,"",ROUND(SUMIFS(Лэндинг!$L$5:$L$300,Лэндинг!$E$5:$E$300,$B203)+SUMIFS(Закрытые!$L$5:$L$300,Закрытые!$E$5:$E$300,$B203,Закрытые!$B$5:$B$300,"L-*"),8)))</f>
        <v/>
      </c>
      <c r="J203" s="241" t="str">
        <f>IF($B203="","",IF(COUNTIFS(Лэндинг!$E$5:$E$300,$B203)+COUNTIFS(Закрытые!$E$5:$E$300,$B203,Закрытые!$B$5:$B$300,"L-*")=0,"",ROUND(SUMIFS(Лэндинг!$M$5:$M$300,Лэндинг!$E$5:$E$300,$B203)+SUMIFS(Закрытые!$M$5:$M$300,Закрытые!$E$5:$E$300,$B203,Закрытые!$B$5:$B$300,"L-*"),8)))</f>
        <v/>
      </c>
      <c r="K203" s="240" t="str">
        <f>IF(MIN(N(C203),N(F203))&lt;=0,"",ROUND(MIN(N(C203),N(F203))*(N(G203)-N(D203)),8))</f>
        <v/>
      </c>
      <c r="L203" s="177" t="str">
        <f>IF(MIN(N(C203),N(F203))&lt;=0,"",IF(N(D203)=0,"",ROUND((N(G203)/N(D203)-1)*100,2)))</f>
        <v/>
      </c>
      <c r="M203" s="177" t="str">
        <f>IF(OR(ROUND(N(C203)-N(F203),8)=0,1-N(Ввод!$J$19)/100&lt;=0),"",IF(N(C203)&gt;N(F203),(N(E203)-N(H203))/((N(C203)-N(F203))*(1-N(Ввод!$J$19)/100)),(N(H203)-N(E203))/((N(F203)-N(C203))*(1+N(Ввод!$J$19)/100))))</f>
        <v/>
      </c>
    </row>
    <row r="204" ht="22" customHeight="1">
      <c r="B204" s="245" t="n"/>
      <c r="C204" s="246" t="str">
        <f>IF(SUMIFS(Лэндинг!$F$5:$F$300,Лэндинг!$E$5:$E$300,$B204)+SUMIFS(Закрытые!$F$5:$F$300,Закрытые!$E$5:$E$300,$B204,Закрытые!$B$5:$B$300,"L-*")=0,"",SUMIFS(Лэндинг!$F$5:$F$300,Лэндинг!$E$5:$E$300,$B204)+SUMIFS(Закрытые!$F$5:$F$300,Закрытые!$E$5:$E$300,$B204,Закрытые!$B$5:$B$300,"L-*"))</f>
        <v/>
      </c>
      <c r="D204" s="183" t="str">
        <f>IF(C204="","",(SUMPRODUCT((Лэндинг!$E$5:$E$300=$B204)*Лэндинг!$F$5:$F$300*Лэндинг!$G$5:$G$300)+SUMPRODUCT((Закрытые!$E$5:$E$300=$B204)*(LEFT(Закрытые!$B$5:$B$300,2)="L-")*Закрытые!$F$5:$F$300*Закрытые!$G$5:$G$300))/C204)</f>
        <v/>
      </c>
      <c r="E204" s="247" t="str">
        <f>IF(C204="","",SUMIFS(Лэндинг!$H$5:$H$300,Лэндинг!$E$5:$E$300,$B204)+SUMIFS(Закрытые!$H$5:$H$300,Закрытые!$E$5:$E$300,$B204,Закрытые!$B$5:$B$300,"L-*"))</f>
        <v/>
      </c>
      <c r="F204" s="246" t="str">
        <f>IF(SUMIFS(Лэндинг!$I$5:$I$300,Лэндинг!$E$5:$E$300,$B204)+SUMIFS(Закрытые!$I$5:$I$300,Закрытые!$E$5:$E$300,$B204,Закрытые!$B$5:$B$300,"L-*")=0,"",SUMIFS(Лэндинг!$I$5:$I$300,Лэндинг!$E$5:$E$300,$B204)+SUMIFS(Закрытые!$I$5:$I$300,Закрытые!$E$5:$E$300,$B204,Закрытые!$B$5:$B$300,"L-*"))</f>
        <v/>
      </c>
      <c r="G204" s="183" t="str">
        <f>IF(F204="","",(SUMPRODUCT((Лэндинг!$E$5:$E$300=$B204)*Лэндинг!$I$5:$I$300*Лэндинг!$J$5:$J$300)+SUMPRODUCT((Закрытые!$E$5:$E$300=$B204)*(LEFT(Закрытые!$B$5:$B$300,2)="L-")*Закрытые!$I$5:$I$300*Закрытые!$J$5:$J$300))/F204)</f>
        <v/>
      </c>
      <c r="H204" s="247" t="str">
        <f>IF(F204="","",SUMIFS(Лэндинг!$K$5:$K$300,Лэндинг!$E$5:$E$300,$B204)+SUMIFS(Закрытые!$K$5:$K$300,Закрытые!$E$5:$E$300,$B204,Закрытые!$B$5:$B$300,"L-*"))</f>
        <v/>
      </c>
      <c r="I204" s="246" t="str">
        <f>IF($B204="","",IF(COUNTIFS(Лэндинг!$E$5:$E$300,$B204)+COUNTIFS(Закрытые!$E$5:$E$300,$B204,Закрытые!$B$5:$B$300,"L-*")=0,"",ROUND(SUMIFS(Лэндинг!$L$5:$L$300,Лэндинг!$E$5:$E$300,$B204)+SUMIFS(Закрытые!$L$5:$L$300,Закрытые!$E$5:$E$300,$B204,Закрытые!$B$5:$B$300,"L-*"),8)))</f>
        <v/>
      </c>
      <c r="J204" s="247" t="str">
        <f>IF($B204="","",IF(COUNTIFS(Лэндинг!$E$5:$E$300,$B204)+COUNTIFS(Закрытые!$E$5:$E$300,$B204,Закрытые!$B$5:$B$300,"L-*")=0,"",ROUND(SUMIFS(Лэндинг!$M$5:$M$300,Лэндинг!$E$5:$E$300,$B204)+SUMIFS(Закрытые!$M$5:$M$300,Закрытые!$E$5:$E$300,$B204,Закрытые!$B$5:$B$300,"L-*"),8)))</f>
        <v/>
      </c>
      <c r="K204" s="246" t="str">
        <f>IF(MIN(N(C204),N(F204))&lt;=0,"",ROUND(MIN(N(C204),N(F204))*(N(G204)-N(D204)),8))</f>
        <v/>
      </c>
      <c r="L204" s="183" t="str">
        <f>IF(MIN(N(C204),N(F204))&lt;=0,"",IF(N(D204)=0,"",ROUND((N(G204)/N(D204)-1)*100,2)))</f>
        <v/>
      </c>
      <c r="M204" s="183" t="str">
        <f>IF(OR(ROUND(N(C204)-N(F204),8)=0,1-N(Ввод!$J$19)/100&lt;=0),"",IF(N(C204)&gt;N(F204),(N(E204)-N(H204))/((N(C204)-N(F204))*(1-N(Ввод!$J$19)/100)),(N(H204)-N(E204))/((N(F204)-N(C204))*(1+N(Ввод!$J$19)/100))))</f>
        <v/>
      </c>
    </row>
    <row r="205" ht="22" customHeight="1">
      <c r="B205" s="239" t="n"/>
      <c r="C205" s="240" t="str">
        <f>IF(SUMIFS(Лэндинг!$F$5:$F$300,Лэндинг!$E$5:$E$300,$B205)+SUMIFS(Закрытые!$F$5:$F$300,Закрытые!$E$5:$E$300,$B205,Закрытые!$B$5:$B$300,"L-*")=0,"",SUMIFS(Лэндинг!$F$5:$F$300,Лэндинг!$E$5:$E$300,$B205)+SUMIFS(Закрытые!$F$5:$F$300,Закрытые!$E$5:$E$300,$B205,Закрытые!$B$5:$B$300,"L-*"))</f>
        <v/>
      </c>
      <c r="D205" s="177" t="str">
        <f>IF(C205="","",(SUMPRODUCT((Лэндинг!$E$5:$E$300=$B205)*Лэндинг!$F$5:$F$300*Лэндинг!$G$5:$G$300)+SUMPRODUCT((Закрытые!$E$5:$E$300=$B205)*(LEFT(Закрытые!$B$5:$B$300,2)="L-")*Закрытые!$F$5:$F$300*Закрытые!$G$5:$G$300))/C205)</f>
        <v/>
      </c>
      <c r="E205" s="241" t="str">
        <f>IF(C205="","",SUMIFS(Лэндинг!$H$5:$H$300,Лэндинг!$E$5:$E$300,$B205)+SUMIFS(Закрытые!$H$5:$H$300,Закрытые!$E$5:$E$300,$B205,Закрытые!$B$5:$B$300,"L-*"))</f>
        <v/>
      </c>
      <c r="F205" s="240" t="str">
        <f>IF(SUMIFS(Лэндинг!$I$5:$I$300,Лэндинг!$E$5:$E$300,$B205)+SUMIFS(Закрытые!$I$5:$I$300,Закрытые!$E$5:$E$300,$B205,Закрытые!$B$5:$B$300,"L-*")=0,"",SUMIFS(Лэндинг!$I$5:$I$300,Лэндинг!$E$5:$E$300,$B205)+SUMIFS(Закрытые!$I$5:$I$300,Закрытые!$E$5:$E$300,$B205,Закрытые!$B$5:$B$300,"L-*"))</f>
        <v/>
      </c>
      <c r="G205" s="177" t="str">
        <f>IF(F205="","",(SUMPRODUCT((Лэндинг!$E$5:$E$300=$B205)*Лэндинг!$I$5:$I$300*Лэндинг!$J$5:$J$300)+SUMPRODUCT((Закрытые!$E$5:$E$300=$B205)*(LEFT(Закрытые!$B$5:$B$300,2)="L-")*Закрытые!$I$5:$I$300*Закрытые!$J$5:$J$300))/F205)</f>
        <v/>
      </c>
      <c r="H205" s="241" t="str">
        <f>IF(F205="","",SUMIFS(Лэндинг!$K$5:$K$300,Лэндинг!$E$5:$E$300,$B205)+SUMIFS(Закрытые!$K$5:$K$300,Закрытые!$E$5:$E$300,$B205,Закрытые!$B$5:$B$300,"L-*"))</f>
        <v/>
      </c>
      <c r="I205" s="240" t="str">
        <f>IF($B205="","",IF(COUNTIFS(Лэндинг!$E$5:$E$300,$B205)+COUNTIFS(Закрытые!$E$5:$E$300,$B205,Закрытые!$B$5:$B$300,"L-*")=0,"",ROUND(SUMIFS(Лэндинг!$L$5:$L$300,Лэндинг!$E$5:$E$300,$B205)+SUMIFS(Закрытые!$L$5:$L$300,Закрытые!$E$5:$E$300,$B205,Закрытые!$B$5:$B$300,"L-*"),8)))</f>
        <v/>
      </c>
      <c r="J205" s="241" t="str">
        <f>IF($B205="","",IF(COUNTIFS(Лэндинг!$E$5:$E$300,$B205)+COUNTIFS(Закрытые!$E$5:$E$300,$B205,Закрытые!$B$5:$B$300,"L-*")=0,"",ROUND(SUMIFS(Лэндинг!$M$5:$M$300,Лэндинг!$E$5:$E$300,$B205)+SUMIFS(Закрытые!$M$5:$M$300,Закрытые!$E$5:$E$300,$B205,Закрытые!$B$5:$B$300,"L-*"),8)))</f>
        <v/>
      </c>
      <c r="K205" s="240" t="str">
        <f>IF(MIN(N(C205),N(F205))&lt;=0,"",ROUND(MIN(N(C205),N(F205))*(N(G205)-N(D205)),8))</f>
        <v/>
      </c>
      <c r="L205" s="177" t="str">
        <f>IF(MIN(N(C205),N(F205))&lt;=0,"",IF(N(D205)=0,"",ROUND((N(G205)/N(D205)-1)*100,2)))</f>
        <v/>
      </c>
      <c r="M205" s="177" t="str">
        <f>IF(OR(ROUND(N(C205)-N(F205),8)=0,1-N(Ввод!$J$19)/100&lt;=0),"",IF(N(C205)&gt;N(F205),(N(E205)-N(H205))/((N(C205)-N(F205))*(1-N(Ввод!$J$19)/100)),(N(H205)-N(E205))/((N(F205)-N(C205))*(1+N(Ввод!$J$19)/100))))</f>
        <v/>
      </c>
    </row>
    <row r="206" ht="22" customHeight="1">
      <c r="B206" s="245" t="n"/>
      <c r="C206" s="246" t="str">
        <f>IF(SUMIFS(Лэндинг!$F$5:$F$300,Лэндинг!$E$5:$E$300,$B206)+SUMIFS(Закрытые!$F$5:$F$300,Закрытые!$E$5:$E$300,$B206,Закрытые!$B$5:$B$300,"L-*")=0,"",SUMIFS(Лэндинг!$F$5:$F$300,Лэндинг!$E$5:$E$300,$B206)+SUMIFS(Закрытые!$F$5:$F$300,Закрытые!$E$5:$E$300,$B206,Закрытые!$B$5:$B$300,"L-*"))</f>
        <v/>
      </c>
      <c r="D206" s="183" t="str">
        <f>IF(C206="","",(SUMPRODUCT((Лэндинг!$E$5:$E$300=$B206)*Лэндинг!$F$5:$F$300*Лэндинг!$G$5:$G$300)+SUMPRODUCT((Закрытые!$E$5:$E$300=$B206)*(LEFT(Закрытые!$B$5:$B$300,2)="L-")*Закрытые!$F$5:$F$300*Закрытые!$G$5:$G$300))/C206)</f>
        <v/>
      </c>
      <c r="E206" s="247" t="str">
        <f>IF(C206="","",SUMIFS(Лэндинг!$H$5:$H$300,Лэндинг!$E$5:$E$300,$B206)+SUMIFS(Закрытые!$H$5:$H$300,Закрытые!$E$5:$E$300,$B206,Закрытые!$B$5:$B$300,"L-*"))</f>
        <v/>
      </c>
      <c r="F206" s="246" t="str">
        <f>IF(SUMIFS(Лэндинг!$I$5:$I$300,Лэндинг!$E$5:$E$300,$B206)+SUMIFS(Закрытые!$I$5:$I$300,Закрытые!$E$5:$E$300,$B206,Закрытые!$B$5:$B$300,"L-*")=0,"",SUMIFS(Лэндинг!$I$5:$I$300,Лэндинг!$E$5:$E$300,$B206)+SUMIFS(Закрытые!$I$5:$I$300,Закрытые!$E$5:$E$300,$B206,Закрытые!$B$5:$B$300,"L-*"))</f>
        <v/>
      </c>
      <c r="G206" s="183" t="str">
        <f>IF(F206="","",(SUMPRODUCT((Лэндинг!$E$5:$E$300=$B206)*Лэндинг!$I$5:$I$300*Лэндинг!$J$5:$J$300)+SUMPRODUCT((Закрытые!$E$5:$E$300=$B206)*(LEFT(Закрытые!$B$5:$B$300,2)="L-")*Закрытые!$I$5:$I$300*Закрытые!$J$5:$J$300))/F206)</f>
        <v/>
      </c>
      <c r="H206" s="247" t="str">
        <f>IF(F206="","",SUMIFS(Лэндинг!$K$5:$K$300,Лэндинг!$E$5:$E$300,$B206)+SUMIFS(Закрытые!$K$5:$K$300,Закрытые!$E$5:$E$300,$B206,Закрытые!$B$5:$B$300,"L-*"))</f>
        <v/>
      </c>
      <c r="I206" s="246" t="str">
        <f>IF($B206="","",IF(COUNTIFS(Лэндинг!$E$5:$E$300,$B206)+COUNTIFS(Закрытые!$E$5:$E$300,$B206,Закрытые!$B$5:$B$300,"L-*")=0,"",ROUND(SUMIFS(Лэндинг!$L$5:$L$300,Лэндинг!$E$5:$E$300,$B206)+SUMIFS(Закрытые!$L$5:$L$300,Закрытые!$E$5:$E$300,$B206,Закрытые!$B$5:$B$300,"L-*"),8)))</f>
        <v/>
      </c>
      <c r="J206" s="247" t="str">
        <f>IF($B206="","",IF(COUNTIFS(Лэндинг!$E$5:$E$300,$B206)+COUNTIFS(Закрытые!$E$5:$E$300,$B206,Закрытые!$B$5:$B$300,"L-*")=0,"",ROUND(SUMIFS(Лэндинг!$M$5:$M$300,Лэндинг!$E$5:$E$300,$B206)+SUMIFS(Закрытые!$M$5:$M$300,Закрытые!$E$5:$E$300,$B206,Закрытые!$B$5:$B$300,"L-*"),8)))</f>
        <v/>
      </c>
      <c r="K206" s="246" t="str">
        <f>IF(MIN(N(C206),N(F206))&lt;=0,"",ROUND(MIN(N(C206),N(F206))*(N(G206)-N(D206)),8))</f>
        <v/>
      </c>
      <c r="L206" s="183" t="str">
        <f>IF(MIN(N(C206),N(F206))&lt;=0,"",IF(N(D206)=0,"",ROUND((N(G206)/N(D206)-1)*100,2)))</f>
        <v/>
      </c>
      <c r="M206" s="183" t="str">
        <f>IF(OR(ROUND(N(C206)-N(F206),8)=0,1-N(Ввод!$J$19)/100&lt;=0),"",IF(N(C206)&gt;N(F206),(N(E206)-N(H206))/((N(C206)-N(F206))*(1-N(Ввод!$J$19)/100)),(N(H206)-N(E206))/((N(F206)-N(C206))*(1+N(Ввод!$J$19)/100))))</f>
        <v/>
      </c>
    </row>
    <row r="207" ht="22" customHeight="1">
      <c r="B207" s="239" t="n"/>
      <c r="C207" s="240" t="str">
        <f>IF(SUMIFS(Лэндинг!$F$5:$F$300,Лэндинг!$E$5:$E$300,$B207)+SUMIFS(Закрытые!$F$5:$F$300,Закрытые!$E$5:$E$300,$B207,Закрытые!$B$5:$B$300,"L-*")=0,"",SUMIFS(Лэндинг!$F$5:$F$300,Лэндинг!$E$5:$E$300,$B207)+SUMIFS(Закрытые!$F$5:$F$300,Закрытые!$E$5:$E$300,$B207,Закрытые!$B$5:$B$300,"L-*"))</f>
        <v/>
      </c>
      <c r="D207" s="177" t="str">
        <f>IF(C207="","",(SUMPRODUCT((Лэндинг!$E$5:$E$300=$B207)*Лэндинг!$F$5:$F$300*Лэндинг!$G$5:$G$300)+SUMPRODUCT((Закрытые!$E$5:$E$300=$B207)*(LEFT(Закрытые!$B$5:$B$300,2)="L-")*Закрытые!$F$5:$F$300*Закрытые!$G$5:$G$300))/C207)</f>
        <v/>
      </c>
      <c r="E207" s="241" t="str">
        <f>IF(C207="","",SUMIFS(Лэндинг!$H$5:$H$300,Лэндинг!$E$5:$E$300,$B207)+SUMIFS(Закрытые!$H$5:$H$300,Закрытые!$E$5:$E$300,$B207,Закрытые!$B$5:$B$300,"L-*"))</f>
        <v/>
      </c>
      <c r="F207" s="240" t="str">
        <f>IF(SUMIFS(Лэндинг!$I$5:$I$300,Лэндинг!$E$5:$E$300,$B207)+SUMIFS(Закрытые!$I$5:$I$300,Закрытые!$E$5:$E$300,$B207,Закрытые!$B$5:$B$300,"L-*")=0,"",SUMIFS(Лэндинг!$I$5:$I$300,Лэндинг!$E$5:$E$300,$B207)+SUMIFS(Закрытые!$I$5:$I$300,Закрытые!$E$5:$E$300,$B207,Закрытые!$B$5:$B$300,"L-*"))</f>
        <v/>
      </c>
      <c r="G207" s="177" t="str">
        <f>IF(F207="","",(SUMPRODUCT((Лэндинг!$E$5:$E$300=$B207)*Лэндинг!$I$5:$I$300*Лэндинг!$J$5:$J$300)+SUMPRODUCT((Закрытые!$E$5:$E$300=$B207)*(LEFT(Закрытые!$B$5:$B$300,2)="L-")*Закрытые!$I$5:$I$300*Закрытые!$J$5:$J$300))/F207)</f>
        <v/>
      </c>
      <c r="H207" s="241" t="str">
        <f>IF(F207="","",SUMIFS(Лэндинг!$K$5:$K$300,Лэндинг!$E$5:$E$300,$B207)+SUMIFS(Закрытые!$K$5:$K$300,Закрытые!$E$5:$E$300,$B207,Закрытые!$B$5:$B$300,"L-*"))</f>
        <v/>
      </c>
      <c r="I207" s="240" t="str">
        <f>IF($B207="","",IF(COUNTIFS(Лэндинг!$E$5:$E$300,$B207)+COUNTIFS(Закрытые!$E$5:$E$300,$B207,Закрытые!$B$5:$B$300,"L-*")=0,"",ROUND(SUMIFS(Лэндинг!$L$5:$L$300,Лэндинг!$E$5:$E$300,$B207)+SUMIFS(Закрытые!$L$5:$L$300,Закрытые!$E$5:$E$300,$B207,Закрытые!$B$5:$B$300,"L-*"),8)))</f>
        <v/>
      </c>
      <c r="J207" s="241" t="str">
        <f>IF($B207="","",IF(COUNTIFS(Лэндинг!$E$5:$E$300,$B207)+COUNTIFS(Закрытые!$E$5:$E$300,$B207,Закрытые!$B$5:$B$300,"L-*")=0,"",ROUND(SUMIFS(Лэндинг!$M$5:$M$300,Лэндинг!$E$5:$E$300,$B207)+SUMIFS(Закрытые!$M$5:$M$300,Закрытые!$E$5:$E$300,$B207,Закрытые!$B$5:$B$300,"L-*"),8)))</f>
        <v/>
      </c>
      <c r="K207" s="240" t="str">
        <f>IF(MIN(N(C207),N(F207))&lt;=0,"",ROUND(MIN(N(C207),N(F207))*(N(G207)-N(D207)),8))</f>
        <v/>
      </c>
      <c r="L207" s="177" t="str">
        <f>IF(MIN(N(C207),N(F207))&lt;=0,"",IF(N(D207)=0,"",ROUND((N(G207)/N(D207)-1)*100,2)))</f>
        <v/>
      </c>
      <c r="M207" s="177" t="str">
        <f>IF(OR(ROUND(N(C207)-N(F207),8)=0,1-N(Ввод!$J$19)/100&lt;=0),"",IF(N(C207)&gt;N(F207),(N(E207)-N(H207))/((N(C207)-N(F207))*(1-N(Ввод!$J$19)/100)),(N(H207)-N(E207))/((N(F207)-N(C207))*(1+N(Ввод!$J$19)/100))))</f>
        <v/>
      </c>
    </row>
    <row r="208" ht="22" customHeight="1">
      <c r="B208" s="245" t="n"/>
      <c r="C208" s="246" t="str">
        <f>IF(SUMIFS(Лэндинг!$F$5:$F$300,Лэндинг!$E$5:$E$300,$B208)+SUMIFS(Закрытые!$F$5:$F$300,Закрытые!$E$5:$E$300,$B208,Закрытые!$B$5:$B$300,"L-*")=0,"",SUMIFS(Лэндинг!$F$5:$F$300,Лэндинг!$E$5:$E$300,$B208)+SUMIFS(Закрытые!$F$5:$F$300,Закрытые!$E$5:$E$300,$B208,Закрытые!$B$5:$B$300,"L-*"))</f>
        <v/>
      </c>
      <c r="D208" s="183" t="str">
        <f>IF(C208="","",(SUMPRODUCT((Лэндинг!$E$5:$E$300=$B208)*Лэндинг!$F$5:$F$300*Лэндинг!$G$5:$G$300)+SUMPRODUCT((Закрытые!$E$5:$E$300=$B208)*(LEFT(Закрытые!$B$5:$B$300,2)="L-")*Закрытые!$F$5:$F$300*Закрытые!$G$5:$G$300))/C208)</f>
        <v/>
      </c>
      <c r="E208" s="247" t="str">
        <f>IF(C208="","",SUMIFS(Лэндинг!$H$5:$H$300,Лэндинг!$E$5:$E$300,$B208)+SUMIFS(Закрытые!$H$5:$H$300,Закрытые!$E$5:$E$300,$B208,Закрытые!$B$5:$B$300,"L-*"))</f>
        <v/>
      </c>
      <c r="F208" s="246" t="str">
        <f>IF(SUMIFS(Лэндинг!$I$5:$I$300,Лэндинг!$E$5:$E$300,$B208)+SUMIFS(Закрытые!$I$5:$I$300,Закрытые!$E$5:$E$300,$B208,Закрытые!$B$5:$B$300,"L-*")=0,"",SUMIFS(Лэндинг!$I$5:$I$300,Лэндинг!$E$5:$E$300,$B208)+SUMIFS(Закрытые!$I$5:$I$300,Закрытые!$E$5:$E$300,$B208,Закрытые!$B$5:$B$300,"L-*"))</f>
        <v/>
      </c>
      <c r="G208" s="183" t="str">
        <f>IF(F208="","",(SUMPRODUCT((Лэндинг!$E$5:$E$300=$B208)*Лэндинг!$I$5:$I$300*Лэндинг!$J$5:$J$300)+SUMPRODUCT((Закрытые!$E$5:$E$300=$B208)*(LEFT(Закрытые!$B$5:$B$300,2)="L-")*Закрытые!$I$5:$I$300*Закрытые!$J$5:$J$300))/F208)</f>
        <v/>
      </c>
      <c r="H208" s="247" t="str">
        <f>IF(F208="","",SUMIFS(Лэндинг!$K$5:$K$300,Лэндинг!$E$5:$E$300,$B208)+SUMIFS(Закрытые!$K$5:$K$300,Закрытые!$E$5:$E$300,$B208,Закрытые!$B$5:$B$300,"L-*"))</f>
        <v/>
      </c>
      <c r="I208" s="246" t="str">
        <f>IF($B208="","",IF(COUNTIFS(Лэндинг!$E$5:$E$300,$B208)+COUNTIFS(Закрытые!$E$5:$E$300,$B208,Закрытые!$B$5:$B$300,"L-*")=0,"",ROUND(SUMIFS(Лэндинг!$L$5:$L$300,Лэндинг!$E$5:$E$300,$B208)+SUMIFS(Закрытые!$L$5:$L$300,Закрытые!$E$5:$E$300,$B208,Закрытые!$B$5:$B$300,"L-*"),8)))</f>
        <v/>
      </c>
      <c r="J208" s="247" t="str">
        <f>IF($B208="","",IF(COUNTIFS(Лэндинг!$E$5:$E$300,$B208)+COUNTIFS(Закрытые!$E$5:$E$300,$B208,Закрытые!$B$5:$B$300,"L-*")=0,"",ROUND(SUMIFS(Лэндинг!$M$5:$M$300,Лэндинг!$E$5:$E$300,$B208)+SUMIFS(Закрытые!$M$5:$M$300,Закрытые!$E$5:$E$300,$B208,Закрытые!$B$5:$B$300,"L-*"),8)))</f>
        <v/>
      </c>
      <c r="K208" s="246" t="str">
        <f>IF(MIN(N(C208),N(F208))&lt;=0,"",ROUND(MIN(N(C208),N(F208))*(N(G208)-N(D208)),8))</f>
        <v/>
      </c>
      <c r="L208" s="183" t="str">
        <f>IF(MIN(N(C208),N(F208))&lt;=0,"",IF(N(D208)=0,"",ROUND((N(G208)/N(D208)-1)*100,2)))</f>
        <v/>
      </c>
      <c r="M208" s="183" t="str">
        <f>IF(OR(ROUND(N(C208)-N(F208),8)=0,1-N(Ввод!$J$19)/100&lt;=0),"",IF(N(C208)&gt;N(F208),(N(E208)-N(H208))/((N(C208)-N(F208))*(1-N(Ввод!$J$19)/100)),(N(H208)-N(E208))/((N(F208)-N(C208))*(1+N(Ввод!$J$19)/100))))</f>
        <v/>
      </c>
    </row>
    <row r="209" ht="22" customHeight="1">
      <c r="B209" s="239" t="n"/>
      <c r="C209" s="240" t="str">
        <f>IF(SUMIFS(Лэндинг!$F$5:$F$300,Лэндинг!$E$5:$E$300,$B209)+SUMIFS(Закрытые!$F$5:$F$300,Закрытые!$E$5:$E$300,$B209,Закрытые!$B$5:$B$300,"L-*")=0,"",SUMIFS(Лэндинг!$F$5:$F$300,Лэндинг!$E$5:$E$300,$B209)+SUMIFS(Закрытые!$F$5:$F$300,Закрытые!$E$5:$E$300,$B209,Закрытые!$B$5:$B$300,"L-*"))</f>
        <v/>
      </c>
      <c r="D209" s="177" t="str">
        <f>IF(C209="","",(SUMPRODUCT((Лэндинг!$E$5:$E$300=$B209)*Лэндинг!$F$5:$F$300*Лэндинг!$G$5:$G$300)+SUMPRODUCT((Закрытые!$E$5:$E$300=$B209)*(LEFT(Закрытые!$B$5:$B$300,2)="L-")*Закрытые!$F$5:$F$300*Закрытые!$G$5:$G$300))/C209)</f>
        <v/>
      </c>
      <c r="E209" s="241" t="str">
        <f>IF(C209="","",SUMIFS(Лэндинг!$H$5:$H$300,Лэндинг!$E$5:$E$300,$B209)+SUMIFS(Закрытые!$H$5:$H$300,Закрытые!$E$5:$E$300,$B209,Закрытые!$B$5:$B$300,"L-*"))</f>
        <v/>
      </c>
      <c r="F209" s="240" t="str">
        <f>IF(SUMIFS(Лэндинг!$I$5:$I$300,Лэндинг!$E$5:$E$300,$B209)+SUMIFS(Закрытые!$I$5:$I$300,Закрытые!$E$5:$E$300,$B209,Закрытые!$B$5:$B$300,"L-*")=0,"",SUMIFS(Лэндинг!$I$5:$I$300,Лэндинг!$E$5:$E$300,$B209)+SUMIFS(Закрытые!$I$5:$I$300,Закрытые!$E$5:$E$300,$B209,Закрытые!$B$5:$B$300,"L-*"))</f>
        <v/>
      </c>
      <c r="G209" s="177" t="str">
        <f>IF(F209="","",(SUMPRODUCT((Лэндинг!$E$5:$E$300=$B209)*Лэндинг!$I$5:$I$300*Лэндинг!$J$5:$J$300)+SUMPRODUCT((Закрытые!$E$5:$E$300=$B209)*(LEFT(Закрытые!$B$5:$B$300,2)="L-")*Закрытые!$I$5:$I$300*Закрытые!$J$5:$J$300))/F209)</f>
        <v/>
      </c>
      <c r="H209" s="241" t="str">
        <f>IF(F209="","",SUMIFS(Лэндинг!$K$5:$K$300,Лэндинг!$E$5:$E$300,$B209)+SUMIFS(Закрытые!$K$5:$K$300,Закрытые!$E$5:$E$300,$B209,Закрытые!$B$5:$B$300,"L-*"))</f>
        <v/>
      </c>
      <c r="I209" s="240" t="str">
        <f>IF($B209="","",IF(COUNTIFS(Лэндинг!$E$5:$E$300,$B209)+COUNTIFS(Закрытые!$E$5:$E$300,$B209,Закрытые!$B$5:$B$300,"L-*")=0,"",ROUND(SUMIFS(Лэндинг!$L$5:$L$300,Лэндинг!$E$5:$E$300,$B209)+SUMIFS(Закрытые!$L$5:$L$300,Закрытые!$E$5:$E$300,$B209,Закрытые!$B$5:$B$300,"L-*"),8)))</f>
        <v/>
      </c>
      <c r="J209" s="241" t="str">
        <f>IF($B209="","",IF(COUNTIFS(Лэндинг!$E$5:$E$300,$B209)+COUNTIFS(Закрытые!$E$5:$E$300,$B209,Закрытые!$B$5:$B$300,"L-*")=0,"",ROUND(SUMIFS(Лэндинг!$M$5:$M$300,Лэндинг!$E$5:$E$300,$B209)+SUMIFS(Закрытые!$M$5:$M$300,Закрытые!$E$5:$E$300,$B209,Закрытые!$B$5:$B$300,"L-*"),8)))</f>
        <v/>
      </c>
      <c r="K209" s="240" t="str">
        <f>IF(MIN(N(C209),N(F209))&lt;=0,"",ROUND(MIN(N(C209),N(F209))*(N(G209)-N(D209)),8))</f>
        <v/>
      </c>
      <c r="L209" s="177" t="str">
        <f>IF(MIN(N(C209),N(F209))&lt;=0,"",IF(N(D209)=0,"",ROUND((N(G209)/N(D209)-1)*100,2)))</f>
        <v/>
      </c>
      <c r="M209" s="177" t="str">
        <f>IF(OR(ROUND(N(C209)-N(F209),8)=0,1-N(Ввод!$J$19)/100&lt;=0),"",IF(N(C209)&gt;N(F209),(N(E209)-N(H209))/((N(C209)-N(F209))*(1-N(Ввод!$J$19)/100)),(N(H209)-N(E209))/((N(F209)-N(C209))*(1+N(Ввод!$J$19)/100))))</f>
        <v/>
      </c>
    </row>
    <row r="210" ht="22" customHeight="1">
      <c r="B210" s="245" t="n"/>
      <c r="C210" s="246" t="str">
        <f>IF(SUMIFS(Лэндинг!$F$5:$F$300,Лэндинг!$E$5:$E$300,$B210)+SUMIFS(Закрытые!$F$5:$F$300,Закрытые!$E$5:$E$300,$B210,Закрытые!$B$5:$B$300,"L-*")=0,"",SUMIFS(Лэндинг!$F$5:$F$300,Лэндинг!$E$5:$E$300,$B210)+SUMIFS(Закрытые!$F$5:$F$300,Закрытые!$E$5:$E$300,$B210,Закрытые!$B$5:$B$300,"L-*"))</f>
        <v/>
      </c>
      <c r="D210" s="183" t="str">
        <f>IF(C210="","",(SUMPRODUCT((Лэндинг!$E$5:$E$300=$B210)*Лэндинг!$F$5:$F$300*Лэндинг!$G$5:$G$300)+SUMPRODUCT((Закрытые!$E$5:$E$300=$B210)*(LEFT(Закрытые!$B$5:$B$300,2)="L-")*Закрытые!$F$5:$F$300*Закрытые!$G$5:$G$300))/C210)</f>
        <v/>
      </c>
      <c r="E210" s="247" t="str">
        <f>IF(C210="","",SUMIFS(Лэндинг!$H$5:$H$300,Лэндинг!$E$5:$E$300,$B210)+SUMIFS(Закрытые!$H$5:$H$300,Закрытые!$E$5:$E$300,$B210,Закрытые!$B$5:$B$300,"L-*"))</f>
        <v/>
      </c>
      <c r="F210" s="246" t="str">
        <f>IF(SUMIFS(Лэндинг!$I$5:$I$300,Лэндинг!$E$5:$E$300,$B210)+SUMIFS(Закрытые!$I$5:$I$300,Закрытые!$E$5:$E$300,$B210,Закрытые!$B$5:$B$300,"L-*")=0,"",SUMIFS(Лэндинг!$I$5:$I$300,Лэндинг!$E$5:$E$300,$B210)+SUMIFS(Закрытые!$I$5:$I$300,Закрытые!$E$5:$E$300,$B210,Закрытые!$B$5:$B$300,"L-*"))</f>
        <v/>
      </c>
      <c r="G210" s="183" t="str">
        <f>IF(F210="","",(SUMPRODUCT((Лэндинг!$E$5:$E$300=$B210)*Лэндинг!$I$5:$I$300*Лэндинг!$J$5:$J$300)+SUMPRODUCT((Закрытые!$E$5:$E$300=$B210)*(LEFT(Закрытые!$B$5:$B$300,2)="L-")*Закрытые!$I$5:$I$300*Закрытые!$J$5:$J$300))/F210)</f>
        <v/>
      </c>
      <c r="H210" s="247" t="str">
        <f>IF(F210="","",SUMIFS(Лэндинг!$K$5:$K$300,Лэндинг!$E$5:$E$300,$B210)+SUMIFS(Закрытые!$K$5:$K$300,Закрытые!$E$5:$E$300,$B210,Закрытые!$B$5:$B$300,"L-*"))</f>
        <v/>
      </c>
      <c r="I210" s="246" t="str">
        <f>IF($B210="","",IF(COUNTIFS(Лэндинг!$E$5:$E$300,$B210)+COUNTIFS(Закрытые!$E$5:$E$300,$B210,Закрытые!$B$5:$B$300,"L-*")=0,"",ROUND(SUMIFS(Лэндинг!$L$5:$L$300,Лэндинг!$E$5:$E$300,$B210)+SUMIFS(Закрытые!$L$5:$L$300,Закрытые!$E$5:$E$300,$B210,Закрытые!$B$5:$B$300,"L-*"),8)))</f>
        <v/>
      </c>
      <c r="J210" s="247" t="str">
        <f>IF($B210="","",IF(COUNTIFS(Лэндинг!$E$5:$E$300,$B210)+COUNTIFS(Закрытые!$E$5:$E$300,$B210,Закрытые!$B$5:$B$300,"L-*")=0,"",ROUND(SUMIFS(Лэндинг!$M$5:$M$300,Лэндинг!$E$5:$E$300,$B210)+SUMIFS(Закрытые!$M$5:$M$300,Закрытые!$E$5:$E$300,$B210,Закрытые!$B$5:$B$300,"L-*"),8)))</f>
        <v/>
      </c>
      <c r="K210" s="246" t="str">
        <f>IF(MIN(N(C210),N(F210))&lt;=0,"",ROUND(MIN(N(C210),N(F210))*(N(G210)-N(D210)),8))</f>
        <v/>
      </c>
      <c r="L210" s="183" t="str">
        <f>IF(MIN(N(C210),N(F210))&lt;=0,"",IF(N(D210)=0,"",ROUND((N(G210)/N(D210)-1)*100,2)))</f>
        <v/>
      </c>
      <c r="M210" s="183" t="str">
        <f>IF(OR(ROUND(N(C210)-N(F210),8)=0,1-N(Ввод!$J$19)/100&lt;=0),"",IF(N(C210)&gt;N(F210),(N(E210)-N(H210))/((N(C210)-N(F210))*(1-N(Ввод!$J$19)/100)),(N(H210)-N(E210))/((N(F210)-N(C210))*(1+N(Ввод!$J$19)/100))))</f>
        <v/>
      </c>
    </row>
    <row r="211" ht="22" customHeight="1">
      <c r="B211" s="239" t="n"/>
      <c r="C211" s="240" t="str">
        <f>IF(SUMIFS(Лэндинг!$F$5:$F$300,Лэндинг!$E$5:$E$300,$B211)+SUMIFS(Закрытые!$F$5:$F$300,Закрытые!$E$5:$E$300,$B211,Закрытые!$B$5:$B$300,"L-*")=0,"",SUMIFS(Лэндинг!$F$5:$F$300,Лэндинг!$E$5:$E$300,$B211)+SUMIFS(Закрытые!$F$5:$F$300,Закрытые!$E$5:$E$300,$B211,Закрытые!$B$5:$B$300,"L-*"))</f>
        <v/>
      </c>
      <c r="D211" s="177" t="str">
        <f>IF(C211="","",(SUMPRODUCT((Лэндинг!$E$5:$E$300=$B211)*Лэндинг!$F$5:$F$300*Лэндинг!$G$5:$G$300)+SUMPRODUCT((Закрытые!$E$5:$E$300=$B211)*(LEFT(Закрытые!$B$5:$B$300,2)="L-")*Закрытые!$F$5:$F$300*Закрытые!$G$5:$G$300))/C211)</f>
        <v/>
      </c>
      <c r="E211" s="241" t="str">
        <f>IF(C211="","",SUMIFS(Лэндинг!$H$5:$H$300,Лэндинг!$E$5:$E$300,$B211)+SUMIFS(Закрытые!$H$5:$H$300,Закрытые!$E$5:$E$300,$B211,Закрытые!$B$5:$B$300,"L-*"))</f>
        <v/>
      </c>
      <c r="F211" s="240" t="str">
        <f>IF(SUMIFS(Лэндинг!$I$5:$I$300,Лэндинг!$E$5:$E$300,$B211)+SUMIFS(Закрытые!$I$5:$I$300,Закрытые!$E$5:$E$300,$B211,Закрытые!$B$5:$B$300,"L-*")=0,"",SUMIFS(Лэндинг!$I$5:$I$300,Лэндинг!$E$5:$E$300,$B211)+SUMIFS(Закрытые!$I$5:$I$300,Закрытые!$E$5:$E$300,$B211,Закрытые!$B$5:$B$300,"L-*"))</f>
        <v/>
      </c>
      <c r="G211" s="177" t="str">
        <f>IF(F211="","",(SUMPRODUCT((Лэндинг!$E$5:$E$300=$B211)*Лэндинг!$I$5:$I$300*Лэндинг!$J$5:$J$300)+SUMPRODUCT((Закрытые!$E$5:$E$300=$B211)*(LEFT(Закрытые!$B$5:$B$300,2)="L-")*Закрытые!$I$5:$I$300*Закрытые!$J$5:$J$300))/F211)</f>
        <v/>
      </c>
      <c r="H211" s="241" t="str">
        <f>IF(F211="","",SUMIFS(Лэндинг!$K$5:$K$300,Лэндинг!$E$5:$E$300,$B211)+SUMIFS(Закрытые!$K$5:$K$300,Закрытые!$E$5:$E$300,$B211,Закрытые!$B$5:$B$300,"L-*"))</f>
        <v/>
      </c>
      <c r="I211" s="240" t="str">
        <f>IF($B211="","",IF(COUNTIFS(Лэндинг!$E$5:$E$300,$B211)+COUNTIFS(Закрытые!$E$5:$E$300,$B211,Закрытые!$B$5:$B$300,"L-*")=0,"",ROUND(SUMIFS(Лэндинг!$L$5:$L$300,Лэндинг!$E$5:$E$300,$B211)+SUMIFS(Закрытые!$L$5:$L$300,Закрытые!$E$5:$E$300,$B211,Закрытые!$B$5:$B$300,"L-*"),8)))</f>
        <v/>
      </c>
      <c r="J211" s="241" t="str">
        <f>IF($B211="","",IF(COUNTIFS(Лэндинг!$E$5:$E$300,$B211)+COUNTIFS(Закрытые!$E$5:$E$300,$B211,Закрытые!$B$5:$B$300,"L-*")=0,"",ROUND(SUMIFS(Лэндинг!$M$5:$M$300,Лэндинг!$E$5:$E$300,$B211)+SUMIFS(Закрытые!$M$5:$M$300,Закрытые!$E$5:$E$300,$B211,Закрытые!$B$5:$B$300,"L-*"),8)))</f>
        <v/>
      </c>
      <c r="K211" s="240" t="str">
        <f>IF(MIN(N(C211),N(F211))&lt;=0,"",ROUND(MIN(N(C211),N(F211))*(N(G211)-N(D211)),8))</f>
        <v/>
      </c>
      <c r="L211" s="177" t="str">
        <f>IF(MIN(N(C211),N(F211))&lt;=0,"",IF(N(D211)=0,"",ROUND((N(G211)/N(D211)-1)*100,2)))</f>
        <v/>
      </c>
      <c r="M211" s="177" t="str">
        <f>IF(OR(ROUND(N(C211)-N(F211),8)=0,1-N(Ввод!$J$19)/100&lt;=0),"",IF(N(C211)&gt;N(F211),(N(E211)-N(H211))/((N(C211)-N(F211))*(1-N(Ввод!$J$19)/100)),(N(H211)-N(E211))/((N(F211)-N(C211))*(1+N(Ввод!$J$19)/100))))</f>
        <v/>
      </c>
    </row>
    <row r="212" ht="22" customHeight="1">
      <c r="B212" s="245" t="n"/>
      <c r="C212" s="246" t="str">
        <f>IF(SUMIFS(Лэндинг!$F$5:$F$300,Лэндинг!$E$5:$E$300,$B212)+SUMIFS(Закрытые!$F$5:$F$300,Закрытые!$E$5:$E$300,$B212,Закрытые!$B$5:$B$300,"L-*")=0,"",SUMIFS(Лэндинг!$F$5:$F$300,Лэндинг!$E$5:$E$300,$B212)+SUMIFS(Закрытые!$F$5:$F$300,Закрытые!$E$5:$E$300,$B212,Закрытые!$B$5:$B$300,"L-*"))</f>
        <v/>
      </c>
      <c r="D212" s="183" t="str">
        <f>IF(C212="","",(SUMPRODUCT((Лэндинг!$E$5:$E$300=$B212)*Лэндинг!$F$5:$F$300*Лэндинг!$G$5:$G$300)+SUMPRODUCT((Закрытые!$E$5:$E$300=$B212)*(LEFT(Закрытые!$B$5:$B$300,2)="L-")*Закрытые!$F$5:$F$300*Закрытые!$G$5:$G$300))/C212)</f>
        <v/>
      </c>
      <c r="E212" s="247" t="str">
        <f>IF(C212="","",SUMIFS(Лэндинг!$H$5:$H$300,Лэндинг!$E$5:$E$300,$B212)+SUMIFS(Закрытые!$H$5:$H$300,Закрытые!$E$5:$E$300,$B212,Закрытые!$B$5:$B$300,"L-*"))</f>
        <v/>
      </c>
      <c r="F212" s="246" t="str">
        <f>IF(SUMIFS(Лэндинг!$I$5:$I$300,Лэндинг!$E$5:$E$300,$B212)+SUMIFS(Закрытые!$I$5:$I$300,Закрытые!$E$5:$E$300,$B212,Закрытые!$B$5:$B$300,"L-*")=0,"",SUMIFS(Лэндинг!$I$5:$I$300,Лэндинг!$E$5:$E$300,$B212)+SUMIFS(Закрытые!$I$5:$I$300,Закрытые!$E$5:$E$300,$B212,Закрытые!$B$5:$B$300,"L-*"))</f>
        <v/>
      </c>
      <c r="G212" s="183" t="str">
        <f>IF(F212="","",(SUMPRODUCT((Лэндинг!$E$5:$E$300=$B212)*Лэндинг!$I$5:$I$300*Лэндинг!$J$5:$J$300)+SUMPRODUCT((Закрытые!$E$5:$E$300=$B212)*(LEFT(Закрытые!$B$5:$B$300,2)="L-")*Закрытые!$I$5:$I$300*Закрытые!$J$5:$J$300))/F212)</f>
        <v/>
      </c>
      <c r="H212" s="247" t="str">
        <f>IF(F212="","",SUMIFS(Лэндинг!$K$5:$K$300,Лэндинг!$E$5:$E$300,$B212)+SUMIFS(Закрытые!$K$5:$K$300,Закрытые!$E$5:$E$300,$B212,Закрытые!$B$5:$B$300,"L-*"))</f>
        <v/>
      </c>
      <c r="I212" s="246" t="str">
        <f>IF($B212="","",IF(COUNTIFS(Лэндинг!$E$5:$E$300,$B212)+COUNTIFS(Закрытые!$E$5:$E$300,$B212,Закрытые!$B$5:$B$300,"L-*")=0,"",ROUND(SUMIFS(Лэндинг!$L$5:$L$300,Лэндинг!$E$5:$E$300,$B212)+SUMIFS(Закрытые!$L$5:$L$300,Закрытые!$E$5:$E$300,$B212,Закрытые!$B$5:$B$300,"L-*"),8)))</f>
        <v/>
      </c>
      <c r="J212" s="247" t="str">
        <f>IF($B212="","",IF(COUNTIFS(Лэндинг!$E$5:$E$300,$B212)+COUNTIFS(Закрытые!$E$5:$E$300,$B212,Закрытые!$B$5:$B$300,"L-*")=0,"",ROUND(SUMIFS(Лэндинг!$M$5:$M$300,Лэндинг!$E$5:$E$300,$B212)+SUMIFS(Закрытые!$M$5:$M$300,Закрытые!$E$5:$E$300,$B212,Закрытые!$B$5:$B$300,"L-*"),8)))</f>
        <v/>
      </c>
      <c r="K212" s="246" t="str">
        <f>IF(MIN(N(C212),N(F212))&lt;=0,"",ROUND(MIN(N(C212),N(F212))*(N(G212)-N(D212)),8))</f>
        <v/>
      </c>
      <c r="L212" s="183" t="str">
        <f>IF(MIN(N(C212),N(F212))&lt;=0,"",IF(N(D212)=0,"",ROUND((N(G212)/N(D212)-1)*100,2)))</f>
        <v/>
      </c>
      <c r="M212" s="183" t="str">
        <f>IF(OR(ROUND(N(C212)-N(F212),8)=0,1-N(Ввод!$J$19)/100&lt;=0),"",IF(N(C212)&gt;N(F212),(N(E212)-N(H212))/((N(C212)-N(F212))*(1-N(Ввод!$J$19)/100)),(N(H212)-N(E212))/((N(F212)-N(C212))*(1+N(Ввод!$J$19)/100))))</f>
        <v/>
      </c>
    </row>
    <row r="213" ht="22" customHeight="1">
      <c r="B213" s="239" t="n"/>
      <c r="C213" s="240" t="str">
        <f>IF(SUMIFS(Лэндинг!$F$5:$F$300,Лэндинг!$E$5:$E$300,$B213)+SUMIFS(Закрытые!$F$5:$F$300,Закрытые!$E$5:$E$300,$B213,Закрытые!$B$5:$B$300,"L-*")=0,"",SUMIFS(Лэндинг!$F$5:$F$300,Лэндинг!$E$5:$E$300,$B213)+SUMIFS(Закрытые!$F$5:$F$300,Закрытые!$E$5:$E$300,$B213,Закрытые!$B$5:$B$300,"L-*"))</f>
        <v/>
      </c>
      <c r="D213" s="177" t="str">
        <f>IF(C213="","",(SUMPRODUCT((Лэндинг!$E$5:$E$300=$B213)*Лэндинг!$F$5:$F$300*Лэндинг!$G$5:$G$300)+SUMPRODUCT((Закрытые!$E$5:$E$300=$B213)*(LEFT(Закрытые!$B$5:$B$300,2)="L-")*Закрытые!$F$5:$F$300*Закрытые!$G$5:$G$300))/C213)</f>
        <v/>
      </c>
      <c r="E213" s="241" t="str">
        <f>IF(C213="","",SUMIFS(Лэндинг!$H$5:$H$300,Лэндинг!$E$5:$E$300,$B213)+SUMIFS(Закрытые!$H$5:$H$300,Закрытые!$E$5:$E$300,$B213,Закрытые!$B$5:$B$300,"L-*"))</f>
        <v/>
      </c>
      <c r="F213" s="240" t="str">
        <f>IF(SUMIFS(Лэндинг!$I$5:$I$300,Лэндинг!$E$5:$E$300,$B213)+SUMIFS(Закрытые!$I$5:$I$300,Закрытые!$E$5:$E$300,$B213,Закрытые!$B$5:$B$300,"L-*")=0,"",SUMIFS(Лэндинг!$I$5:$I$300,Лэндинг!$E$5:$E$300,$B213)+SUMIFS(Закрытые!$I$5:$I$300,Закрытые!$E$5:$E$300,$B213,Закрытые!$B$5:$B$300,"L-*"))</f>
        <v/>
      </c>
      <c r="G213" s="177" t="str">
        <f>IF(F213="","",(SUMPRODUCT((Лэндинг!$E$5:$E$300=$B213)*Лэндинг!$I$5:$I$300*Лэндинг!$J$5:$J$300)+SUMPRODUCT((Закрытые!$E$5:$E$300=$B213)*(LEFT(Закрытые!$B$5:$B$300,2)="L-")*Закрытые!$I$5:$I$300*Закрытые!$J$5:$J$300))/F213)</f>
        <v/>
      </c>
      <c r="H213" s="241" t="str">
        <f>IF(F213="","",SUMIFS(Лэндинг!$K$5:$K$300,Лэндинг!$E$5:$E$300,$B213)+SUMIFS(Закрытые!$K$5:$K$300,Закрытые!$E$5:$E$300,$B213,Закрытые!$B$5:$B$300,"L-*"))</f>
        <v/>
      </c>
      <c r="I213" s="240" t="str">
        <f>IF($B213="","",IF(COUNTIFS(Лэндинг!$E$5:$E$300,$B213)+COUNTIFS(Закрытые!$E$5:$E$300,$B213,Закрытые!$B$5:$B$300,"L-*")=0,"",ROUND(SUMIFS(Лэндинг!$L$5:$L$300,Лэндинг!$E$5:$E$300,$B213)+SUMIFS(Закрытые!$L$5:$L$300,Закрытые!$E$5:$E$300,$B213,Закрытые!$B$5:$B$300,"L-*"),8)))</f>
        <v/>
      </c>
      <c r="J213" s="241" t="str">
        <f>IF($B213="","",IF(COUNTIFS(Лэндинг!$E$5:$E$300,$B213)+COUNTIFS(Закрытые!$E$5:$E$300,$B213,Закрытые!$B$5:$B$300,"L-*")=0,"",ROUND(SUMIFS(Лэндинг!$M$5:$M$300,Лэндинг!$E$5:$E$300,$B213)+SUMIFS(Закрытые!$M$5:$M$300,Закрытые!$E$5:$E$300,$B213,Закрытые!$B$5:$B$300,"L-*"),8)))</f>
        <v/>
      </c>
      <c r="K213" s="240" t="str">
        <f>IF(MIN(N(C213),N(F213))&lt;=0,"",ROUND(MIN(N(C213),N(F213))*(N(G213)-N(D213)),8))</f>
        <v/>
      </c>
      <c r="L213" s="177" t="str">
        <f>IF(MIN(N(C213),N(F213))&lt;=0,"",IF(N(D213)=0,"",ROUND((N(G213)/N(D213)-1)*100,2)))</f>
        <v/>
      </c>
      <c r="M213" s="177" t="str">
        <f>IF(OR(ROUND(N(C213)-N(F213),8)=0,1-N(Ввод!$J$19)/100&lt;=0),"",IF(N(C213)&gt;N(F213),(N(E213)-N(H213))/((N(C213)-N(F213))*(1-N(Ввод!$J$19)/100)),(N(H213)-N(E213))/((N(F213)-N(C213))*(1+N(Ввод!$J$19)/100))))</f>
        <v/>
      </c>
    </row>
    <row r="214" ht="22" customHeight="1">
      <c r="B214" s="245" t="n"/>
      <c r="C214" s="246" t="str">
        <f>IF(SUMIFS(Лэндинг!$F$5:$F$300,Лэндинг!$E$5:$E$300,$B214)+SUMIFS(Закрытые!$F$5:$F$300,Закрытые!$E$5:$E$300,$B214,Закрытые!$B$5:$B$300,"L-*")=0,"",SUMIFS(Лэндинг!$F$5:$F$300,Лэндинг!$E$5:$E$300,$B214)+SUMIFS(Закрытые!$F$5:$F$300,Закрытые!$E$5:$E$300,$B214,Закрытые!$B$5:$B$300,"L-*"))</f>
        <v/>
      </c>
      <c r="D214" s="183" t="str">
        <f>IF(C214="","",(SUMPRODUCT((Лэндинг!$E$5:$E$300=$B214)*Лэндинг!$F$5:$F$300*Лэндинг!$G$5:$G$300)+SUMPRODUCT((Закрытые!$E$5:$E$300=$B214)*(LEFT(Закрытые!$B$5:$B$300,2)="L-")*Закрытые!$F$5:$F$300*Закрытые!$G$5:$G$300))/C214)</f>
        <v/>
      </c>
      <c r="E214" s="247" t="str">
        <f>IF(C214="","",SUMIFS(Лэндинг!$H$5:$H$300,Лэндинг!$E$5:$E$300,$B214)+SUMIFS(Закрытые!$H$5:$H$300,Закрытые!$E$5:$E$300,$B214,Закрытые!$B$5:$B$300,"L-*"))</f>
        <v/>
      </c>
      <c r="F214" s="246" t="str">
        <f>IF(SUMIFS(Лэндинг!$I$5:$I$300,Лэндинг!$E$5:$E$300,$B214)+SUMIFS(Закрытые!$I$5:$I$300,Закрытые!$E$5:$E$300,$B214,Закрытые!$B$5:$B$300,"L-*")=0,"",SUMIFS(Лэндинг!$I$5:$I$300,Лэндинг!$E$5:$E$300,$B214)+SUMIFS(Закрытые!$I$5:$I$300,Закрытые!$E$5:$E$300,$B214,Закрытые!$B$5:$B$300,"L-*"))</f>
        <v/>
      </c>
      <c r="G214" s="183" t="str">
        <f>IF(F214="","",(SUMPRODUCT((Лэндинг!$E$5:$E$300=$B214)*Лэндинг!$I$5:$I$300*Лэндинг!$J$5:$J$300)+SUMPRODUCT((Закрытые!$E$5:$E$300=$B214)*(LEFT(Закрытые!$B$5:$B$300,2)="L-")*Закрытые!$I$5:$I$300*Закрытые!$J$5:$J$300))/F214)</f>
        <v/>
      </c>
      <c r="H214" s="247" t="str">
        <f>IF(F214="","",SUMIFS(Лэндинг!$K$5:$K$300,Лэндинг!$E$5:$E$300,$B214)+SUMIFS(Закрытые!$K$5:$K$300,Закрытые!$E$5:$E$300,$B214,Закрытые!$B$5:$B$300,"L-*"))</f>
        <v/>
      </c>
      <c r="I214" s="246" t="str">
        <f>IF($B214="","",IF(COUNTIFS(Лэндинг!$E$5:$E$300,$B214)+COUNTIFS(Закрытые!$E$5:$E$300,$B214,Закрытые!$B$5:$B$300,"L-*")=0,"",ROUND(SUMIFS(Лэндинг!$L$5:$L$300,Лэндинг!$E$5:$E$300,$B214)+SUMIFS(Закрытые!$L$5:$L$300,Закрытые!$E$5:$E$300,$B214,Закрытые!$B$5:$B$300,"L-*"),8)))</f>
        <v/>
      </c>
      <c r="J214" s="247" t="str">
        <f>IF($B214="","",IF(COUNTIFS(Лэндинг!$E$5:$E$300,$B214)+COUNTIFS(Закрытые!$E$5:$E$300,$B214,Закрытые!$B$5:$B$300,"L-*")=0,"",ROUND(SUMIFS(Лэндинг!$M$5:$M$300,Лэндинг!$E$5:$E$300,$B214)+SUMIFS(Закрытые!$M$5:$M$300,Закрытые!$E$5:$E$300,$B214,Закрытые!$B$5:$B$300,"L-*"),8)))</f>
        <v/>
      </c>
      <c r="K214" s="246" t="str">
        <f>IF(MIN(N(C214),N(F214))&lt;=0,"",ROUND(MIN(N(C214),N(F214))*(N(G214)-N(D214)),8))</f>
        <v/>
      </c>
      <c r="L214" s="183" t="str">
        <f>IF(MIN(N(C214),N(F214))&lt;=0,"",IF(N(D214)=0,"",ROUND((N(G214)/N(D214)-1)*100,2)))</f>
        <v/>
      </c>
      <c r="M214" s="183" t="str">
        <f>IF(OR(ROUND(N(C214)-N(F214),8)=0,1-N(Ввод!$J$19)/100&lt;=0),"",IF(N(C214)&gt;N(F214),(N(E214)-N(H214))/((N(C214)-N(F214))*(1-N(Ввод!$J$19)/100)),(N(H214)-N(E214))/((N(F214)-N(C214))*(1+N(Ввод!$J$19)/100))))</f>
        <v/>
      </c>
    </row>
    <row r="215" ht="22" customHeight="1">
      <c r="B215" s="239" t="n"/>
      <c r="C215" s="240" t="str">
        <f>IF(SUMIFS(Лэндинг!$F$5:$F$300,Лэндинг!$E$5:$E$300,$B215)+SUMIFS(Закрытые!$F$5:$F$300,Закрытые!$E$5:$E$300,$B215,Закрытые!$B$5:$B$300,"L-*")=0,"",SUMIFS(Лэндинг!$F$5:$F$300,Лэндинг!$E$5:$E$300,$B215)+SUMIFS(Закрытые!$F$5:$F$300,Закрытые!$E$5:$E$300,$B215,Закрытые!$B$5:$B$300,"L-*"))</f>
        <v/>
      </c>
      <c r="D215" s="177" t="str">
        <f>IF(C215="","",(SUMPRODUCT((Лэндинг!$E$5:$E$300=$B215)*Лэндинг!$F$5:$F$300*Лэндинг!$G$5:$G$300)+SUMPRODUCT((Закрытые!$E$5:$E$300=$B215)*(LEFT(Закрытые!$B$5:$B$300,2)="L-")*Закрытые!$F$5:$F$300*Закрытые!$G$5:$G$300))/C215)</f>
        <v/>
      </c>
      <c r="E215" s="241" t="str">
        <f>IF(C215="","",SUMIFS(Лэндинг!$H$5:$H$300,Лэндинг!$E$5:$E$300,$B215)+SUMIFS(Закрытые!$H$5:$H$300,Закрытые!$E$5:$E$300,$B215,Закрытые!$B$5:$B$300,"L-*"))</f>
        <v/>
      </c>
      <c r="F215" s="240" t="str">
        <f>IF(SUMIFS(Лэндинг!$I$5:$I$300,Лэндинг!$E$5:$E$300,$B215)+SUMIFS(Закрытые!$I$5:$I$300,Закрытые!$E$5:$E$300,$B215,Закрытые!$B$5:$B$300,"L-*")=0,"",SUMIFS(Лэндинг!$I$5:$I$300,Лэндинг!$E$5:$E$300,$B215)+SUMIFS(Закрытые!$I$5:$I$300,Закрытые!$E$5:$E$300,$B215,Закрытые!$B$5:$B$300,"L-*"))</f>
        <v/>
      </c>
      <c r="G215" s="177" t="str">
        <f>IF(F215="","",(SUMPRODUCT((Лэндинг!$E$5:$E$300=$B215)*Лэндинг!$I$5:$I$300*Лэндинг!$J$5:$J$300)+SUMPRODUCT((Закрытые!$E$5:$E$300=$B215)*(LEFT(Закрытые!$B$5:$B$300,2)="L-")*Закрытые!$I$5:$I$300*Закрытые!$J$5:$J$300))/F215)</f>
        <v/>
      </c>
      <c r="H215" s="241" t="str">
        <f>IF(F215="","",SUMIFS(Лэндинг!$K$5:$K$300,Лэндинг!$E$5:$E$300,$B215)+SUMIFS(Закрытые!$K$5:$K$300,Закрытые!$E$5:$E$300,$B215,Закрытые!$B$5:$B$300,"L-*"))</f>
        <v/>
      </c>
      <c r="I215" s="240" t="str">
        <f>IF($B215="","",IF(COUNTIFS(Лэндинг!$E$5:$E$300,$B215)+COUNTIFS(Закрытые!$E$5:$E$300,$B215,Закрытые!$B$5:$B$300,"L-*")=0,"",ROUND(SUMIFS(Лэндинг!$L$5:$L$300,Лэндинг!$E$5:$E$300,$B215)+SUMIFS(Закрытые!$L$5:$L$300,Закрытые!$E$5:$E$300,$B215,Закрытые!$B$5:$B$300,"L-*"),8)))</f>
        <v/>
      </c>
      <c r="J215" s="241" t="str">
        <f>IF($B215="","",IF(COUNTIFS(Лэндинг!$E$5:$E$300,$B215)+COUNTIFS(Закрытые!$E$5:$E$300,$B215,Закрытые!$B$5:$B$300,"L-*")=0,"",ROUND(SUMIFS(Лэндинг!$M$5:$M$300,Лэндинг!$E$5:$E$300,$B215)+SUMIFS(Закрытые!$M$5:$M$300,Закрытые!$E$5:$E$300,$B215,Закрытые!$B$5:$B$300,"L-*"),8)))</f>
        <v/>
      </c>
      <c r="K215" s="240" t="str">
        <f>IF(MIN(N(C215),N(F215))&lt;=0,"",ROUND(MIN(N(C215),N(F215))*(N(G215)-N(D215)),8))</f>
        <v/>
      </c>
      <c r="L215" s="177" t="str">
        <f>IF(MIN(N(C215),N(F215))&lt;=0,"",IF(N(D215)=0,"",ROUND((N(G215)/N(D215)-1)*100,2)))</f>
        <v/>
      </c>
      <c r="M215" s="177" t="str">
        <f>IF(OR(ROUND(N(C215)-N(F215),8)=0,1-N(Ввод!$J$19)/100&lt;=0),"",IF(N(C215)&gt;N(F215),(N(E215)-N(H215))/((N(C215)-N(F215))*(1-N(Ввод!$J$19)/100)),(N(H215)-N(E215))/((N(F215)-N(C215))*(1+N(Ввод!$J$19)/100))))</f>
        <v/>
      </c>
    </row>
    <row r="216" ht="22" customHeight="1">
      <c r="B216" s="245" t="n"/>
      <c r="C216" s="246" t="str">
        <f>IF(SUMIFS(Лэндинг!$F$5:$F$300,Лэндинг!$E$5:$E$300,$B216)+SUMIFS(Закрытые!$F$5:$F$300,Закрытые!$E$5:$E$300,$B216,Закрытые!$B$5:$B$300,"L-*")=0,"",SUMIFS(Лэндинг!$F$5:$F$300,Лэндинг!$E$5:$E$300,$B216)+SUMIFS(Закрытые!$F$5:$F$300,Закрытые!$E$5:$E$300,$B216,Закрытые!$B$5:$B$300,"L-*"))</f>
        <v/>
      </c>
      <c r="D216" s="183" t="str">
        <f>IF(C216="","",(SUMPRODUCT((Лэндинг!$E$5:$E$300=$B216)*Лэндинг!$F$5:$F$300*Лэндинг!$G$5:$G$300)+SUMPRODUCT((Закрытые!$E$5:$E$300=$B216)*(LEFT(Закрытые!$B$5:$B$300,2)="L-")*Закрытые!$F$5:$F$300*Закрытые!$G$5:$G$300))/C216)</f>
        <v/>
      </c>
      <c r="E216" s="247" t="str">
        <f>IF(C216="","",SUMIFS(Лэндинг!$H$5:$H$300,Лэндинг!$E$5:$E$300,$B216)+SUMIFS(Закрытые!$H$5:$H$300,Закрытые!$E$5:$E$300,$B216,Закрытые!$B$5:$B$300,"L-*"))</f>
        <v/>
      </c>
      <c r="F216" s="246" t="str">
        <f>IF(SUMIFS(Лэндинг!$I$5:$I$300,Лэндинг!$E$5:$E$300,$B216)+SUMIFS(Закрытые!$I$5:$I$300,Закрытые!$E$5:$E$300,$B216,Закрытые!$B$5:$B$300,"L-*")=0,"",SUMIFS(Лэндинг!$I$5:$I$300,Лэндинг!$E$5:$E$300,$B216)+SUMIFS(Закрытые!$I$5:$I$300,Закрытые!$E$5:$E$300,$B216,Закрытые!$B$5:$B$300,"L-*"))</f>
        <v/>
      </c>
      <c r="G216" s="183" t="str">
        <f>IF(F216="","",(SUMPRODUCT((Лэндинг!$E$5:$E$300=$B216)*Лэндинг!$I$5:$I$300*Лэндинг!$J$5:$J$300)+SUMPRODUCT((Закрытые!$E$5:$E$300=$B216)*(LEFT(Закрытые!$B$5:$B$300,2)="L-")*Закрытые!$I$5:$I$300*Закрытые!$J$5:$J$300))/F216)</f>
        <v/>
      </c>
      <c r="H216" s="247" t="str">
        <f>IF(F216="","",SUMIFS(Лэндинг!$K$5:$K$300,Лэндинг!$E$5:$E$300,$B216)+SUMIFS(Закрытые!$K$5:$K$300,Закрытые!$E$5:$E$300,$B216,Закрытые!$B$5:$B$300,"L-*"))</f>
        <v/>
      </c>
      <c r="I216" s="246" t="str">
        <f>IF($B216="","",IF(COUNTIFS(Лэндинг!$E$5:$E$300,$B216)+COUNTIFS(Закрытые!$E$5:$E$300,$B216,Закрытые!$B$5:$B$300,"L-*")=0,"",ROUND(SUMIFS(Лэндинг!$L$5:$L$300,Лэндинг!$E$5:$E$300,$B216)+SUMIFS(Закрытые!$L$5:$L$300,Закрытые!$E$5:$E$300,$B216,Закрытые!$B$5:$B$300,"L-*"),8)))</f>
        <v/>
      </c>
      <c r="J216" s="247" t="str">
        <f>IF($B216="","",IF(COUNTIFS(Лэндинг!$E$5:$E$300,$B216)+COUNTIFS(Закрытые!$E$5:$E$300,$B216,Закрытые!$B$5:$B$300,"L-*")=0,"",ROUND(SUMIFS(Лэндинг!$M$5:$M$300,Лэндинг!$E$5:$E$300,$B216)+SUMIFS(Закрытые!$M$5:$M$300,Закрытые!$E$5:$E$300,$B216,Закрытые!$B$5:$B$300,"L-*"),8)))</f>
        <v/>
      </c>
      <c r="K216" s="246" t="str">
        <f>IF(MIN(N(C216),N(F216))&lt;=0,"",ROUND(MIN(N(C216),N(F216))*(N(G216)-N(D216)),8))</f>
        <v/>
      </c>
      <c r="L216" s="183" t="str">
        <f>IF(MIN(N(C216),N(F216))&lt;=0,"",IF(N(D216)=0,"",ROUND((N(G216)/N(D216)-1)*100,2)))</f>
        <v/>
      </c>
      <c r="M216" s="183" t="str">
        <f>IF(OR(ROUND(N(C216)-N(F216),8)=0,1-N(Ввод!$J$19)/100&lt;=0),"",IF(N(C216)&gt;N(F216),(N(E216)-N(H216))/((N(C216)-N(F216))*(1-N(Ввод!$J$19)/100)),(N(H216)-N(E216))/((N(F216)-N(C216))*(1+N(Ввод!$J$19)/100))))</f>
        <v/>
      </c>
    </row>
    <row r="217" ht="22" customHeight="1">
      <c r="B217" s="239" t="n"/>
      <c r="C217" s="240" t="str">
        <f>IF(SUMIFS(Лэндинг!$F$5:$F$300,Лэндинг!$E$5:$E$300,$B217)+SUMIFS(Закрытые!$F$5:$F$300,Закрытые!$E$5:$E$300,$B217,Закрытые!$B$5:$B$300,"L-*")=0,"",SUMIFS(Лэндинг!$F$5:$F$300,Лэндинг!$E$5:$E$300,$B217)+SUMIFS(Закрытые!$F$5:$F$300,Закрытые!$E$5:$E$300,$B217,Закрытые!$B$5:$B$300,"L-*"))</f>
        <v/>
      </c>
      <c r="D217" s="177" t="str">
        <f>IF(C217="","",(SUMPRODUCT((Лэндинг!$E$5:$E$300=$B217)*Лэндинг!$F$5:$F$300*Лэндинг!$G$5:$G$300)+SUMPRODUCT((Закрытые!$E$5:$E$300=$B217)*(LEFT(Закрытые!$B$5:$B$300,2)="L-")*Закрытые!$F$5:$F$300*Закрытые!$G$5:$G$300))/C217)</f>
        <v/>
      </c>
      <c r="E217" s="241" t="str">
        <f>IF(C217="","",SUMIFS(Лэндинг!$H$5:$H$300,Лэндинг!$E$5:$E$300,$B217)+SUMIFS(Закрытые!$H$5:$H$300,Закрытые!$E$5:$E$300,$B217,Закрытые!$B$5:$B$300,"L-*"))</f>
        <v/>
      </c>
      <c r="F217" s="240" t="str">
        <f>IF(SUMIFS(Лэндинг!$I$5:$I$300,Лэндинг!$E$5:$E$300,$B217)+SUMIFS(Закрытые!$I$5:$I$300,Закрытые!$E$5:$E$300,$B217,Закрытые!$B$5:$B$300,"L-*")=0,"",SUMIFS(Лэндинг!$I$5:$I$300,Лэндинг!$E$5:$E$300,$B217)+SUMIFS(Закрытые!$I$5:$I$300,Закрытые!$E$5:$E$300,$B217,Закрытые!$B$5:$B$300,"L-*"))</f>
        <v/>
      </c>
      <c r="G217" s="177" t="str">
        <f>IF(F217="","",(SUMPRODUCT((Лэндинг!$E$5:$E$300=$B217)*Лэндинг!$I$5:$I$300*Лэндинг!$J$5:$J$300)+SUMPRODUCT((Закрытые!$E$5:$E$300=$B217)*(LEFT(Закрытые!$B$5:$B$300,2)="L-")*Закрытые!$I$5:$I$300*Закрытые!$J$5:$J$300))/F217)</f>
        <v/>
      </c>
      <c r="H217" s="241" t="str">
        <f>IF(F217="","",SUMIFS(Лэндинг!$K$5:$K$300,Лэндинг!$E$5:$E$300,$B217)+SUMIFS(Закрытые!$K$5:$K$300,Закрытые!$E$5:$E$300,$B217,Закрытые!$B$5:$B$300,"L-*"))</f>
        <v/>
      </c>
      <c r="I217" s="240" t="str">
        <f>IF($B217="","",IF(COUNTIFS(Лэндинг!$E$5:$E$300,$B217)+COUNTIFS(Закрытые!$E$5:$E$300,$B217,Закрытые!$B$5:$B$300,"L-*")=0,"",ROUND(SUMIFS(Лэндинг!$L$5:$L$300,Лэндинг!$E$5:$E$300,$B217)+SUMIFS(Закрытые!$L$5:$L$300,Закрытые!$E$5:$E$300,$B217,Закрытые!$B$5:$B$300,"L-*"),8)))</f>
        <v/>
      </c>
      <c r="J217" s="241" t="str">
        <f>IF($B217="","",IF(COUNTIFS(Лэндинг!$E$5:$E$300,$B217)+COUNTIFS(Закрытые!$E$5:$E$300,$B217,Закрытые!$B$5:$B$300,"L-*")=0,"",ROUND(SUMIFS(Лэндинг!$M$5:$M$300,Лэндинг!$E$5:$E$300,$B217)+SUMIFS(Закрытые!$M$5:$M$300,Закрытые!$E$5:$E$300,$B217,Закрытые!$B$5:$B$300,"L-*"),8)))</f>
        <v/>
      </c>
      <c r="K217" s="240" t="str">
        <f>IF(MIN(N(C217),N(F217))&lt;=0,"",ROUND(MIN(N(C217),N(F217))*(N(G217)-N(D217)),8))</f>
        <v/>
      </c>
      <c r="L217" s="177" t="str">
        <f>IF(MIN(N(C217),N(F217))&lt;=0,"",IF(N(D217)=0,"",ROUND((N(G217)/N(D217)-1)*100,2)))</f>
        <v/>
      </c>
      <c r="M217" s="177" t="str">
        <f>IF(OR(ROUND(N(C217)-N(F217),8)=0,1-N(Ввод!$J$19)/100&lt;=0),"",IF(N(C217)&gt;N(F217),(N(E217)-N(H217))/((N(C217)-N(F217))*(1-N(Ввод!$J$19)/100)),(N(H217)-N(E217))/((N(F217)-N(C217))*(1+N(Ввод!$J$19)/100))))</f>
        <v/>
      </c>
    </row>
    <row r="218" ht="22" customHeight="1">
      <c r="B218" s="245" t="n"/>
      <c r="C218" s="246" t="str">
        <f>IF(SUMIFS(Лэндинг!$F$5:$F$300,Лэндинг!$E$5:$E$300,$B218)+SUMIFS(Закрытые!$F$5:$F$300,Закрытые!$E$5:$E$300,$B218,Закрытые!$B$5:$B$300,"L-*")=0,"",SUMIFS(Лэндинг!$F$5:$F$300,Лэндинг!$E$5:$E$300,$B218)+SUMIFS(Закрытые!$F$5:$F$300,Закрытые!$E$5:$E$300,$B218,Закрытые!$B$5:$B$300,"L-*"))</f>
        <v/>
      </c>
      <c r="D218" s="183" t="str">
        <f>IF(C218="","",(SUMPRODUCT((Лэндинг!$E$5:$E$300=$B218)*Лэндинг!$F$5:$F$300*Лэндинг!$G$5:$G$300)+SUMPRODUCT((Закрытые!$E$5:$E$300=$B218)*(LEFT(Закрытые!$B$5:$B$300,2)="L-")*Закрытые!$F$5:$F$300*Закрытые!$G$5:$G$300))/C218)</f>
        <v/>
      </c>
      <c r="E218" s="247" t="str">
        <f>IF(C218="","",SUMIFS(Лэндинг!$H$5:$H$300,Лэндинг!$E$5:$E$300,$B218)+SUMIFS(Закрытые!$H$5:$H$300,Закрытые!$E$5:$E$300,$B218,Закрытые!$B$5:$B$300,"L-*"))</f>
        <v/>
      </c>
      <c r="F218" s="246" t="str">
        <f>IF(SUMIFS(Лэндинг!$I$5:$I$300,Лэндинг!$E$5:$E$300,$B218)+SUMIFS(Закрытые!$I$5:$I$300,Закрытые!$E$5:$E$300,$B218,Закрытые!$B$5:$B$300,"L-*")=0,"",SUMIFS(Лэндинг!$I$5:$I$300,Лэндинг!$E$5:$E$300,$B218)+SUMIFS(Закрытые!$I$5:$I$300,Закрытые!$E$5:$E$300,$B218,Закрытые!$B$5:$B$300,"L-*"))</f>
        <v/>
      </c>
      <c r="G218" s="183" t="str">
        <f>IF(F218="","",(SUMPRODUCT((Лэндинг!$E$5:$E$300=$B218)*Лэндинг!$I$5:$I$300*Лэндинг!$J$5:$J$300)+SUMPRODUCT((Закрытые!$E$5:$E$300=$B218)*(LEFT(Закрытые!$B$5:$B$300,2)="L-")*Закрытые!$I$5:$I$300*Закрытые!$J$5:$J$300))/F218)</f>
        <v/>
      </c>
      <c r="H218" s="247" t="str">
        <f>IF(F218="","",SUMIFS(Лэндинг!$K$5:$K$300,Лэндинг!$E$5:$E$300,$B218)+SUMIFS(Закрытые!$K$5:$K$300,Закрытые!$E$5:$E$300,$B218,Закрытые!$B$5:$B$300,"L-*"))</f>
        <v/>
      </c>
      <c r="I218" s="246" t="str">
        <f>IF($B218="","",IF(COUNTIFS(Лэндинг!$E$5:$E$300,$B218)+COUNTIFS(Закрытые!$E$5:$E$300,$B218,Закрытые!$B$5:$B$300,"L-*")=0,"",ROUND(SUMIFS(Лэндинг!$L$5:$L$300,Лэндинг!$E$5:$E$300,$B218)+SUMIFS(Закрытые!$L$5:$L$300,Закрытые!$E$5:$E$300,$B218,Закрытые!$B$5:$B$300,"L-*"),8)))</f>
        <v/>
      </c>
      <c r="J218" s="247" t="str">
        <f>IF($B218="","",IF(COUNTIFS(Лэндинг!$E$5:$E$300,$B218)+COUNTIFS(Закрытые!$E$5:$E$300,$B218,Закрытые!$B$5:$B$300,"L-*")=0,"",ROUND(SUMIFS(Лэндинг!$M$5:$M$300,Лэндинг!$E$5:$E$300,$B218)+SUMIFS(Закрытые!$M$5:$M$300,Закрытые!$E$5:$E$300,$B218,Закрытые!$B$5:$B$300,"L-*"),8)))</f>
        <v/>
      </c>
      <c r="K218" s="246" t="str">
        <f>IF(MIN(N(C218),N(F218))&lt;=0,"",ROUND(MIN(N(C218),N(F218))*(N(G218)-N(D218)),8))</f>
        <v/>
      </c>
      <c r="L218" s="183" t="str">
        <f>IF(MIN(N(C218),N(F218))&lt;=0,"",IF(N(D218)=0,"",ROUND((N(G218)/N(D218)-1)*100,2)))</f>
        <v/>
      </c>
      <c r="M218" s="183" t="str">
        <f>IF(OR(ROUND(N(C218)-N(F218),8)=0,1-N(Ввод!$J$19)/100&lt;=0),"",IF(N(C218)&gt;N(F218),(N(E218)-N(H218))/((N(C218)-N(F218))*(1-N(Ввод!$J$19)/100)),(N(H218)-N(E218))/((N(F218)-N(C218))*(1+N(Ввод!$J$19)/100))))</f>
        <v/>
      </c>
    </row>
    <row r="219" ht="22" customHeight="1">
      <c r="B219" s="239" t="n"/>
      <c r="C219" s="240" t="str">
        <f>IF(SUMIFS(Лэндинг!$F$5:$F$300,Лэндинг!$E$5:$E$300,$B219)+SUMIFS(Закрытые!$F$5:$F$300,Закрытые!$E$5:$E$300,$B219,Закрытые!$B$5:$B$300,"L-*")=0,"",SUMIFS(Лэндинг!$F$5:$F$300,Лэндинг!$E$5:$E$300,$B219)+SUMIFS(Закрытые!$F$5:$F$300,Закрытые!$E$5:$E$300,$B219,Закрытые!$B$5:$B$300,"L-*"))</f>
        <v/>
      </c>
      <c r="D219" s="177" t="str">
        <f>IF(C219="","",(SUMPRODUCT((Лэндинг!$E$5:$E$300=$B219)*Лэндинг!$F$5:$F$300*Лэндинг!$G$5:$G$300)+SUMPRODUCT((Закрытые!$E$5:$E$300=$B219)*(LEFT(Закрытые!$B$5:$B$300,2)="L-")*Закрытые!$F$5:$F$300*Закрытые!$G$5:$G$300))/C219)</f>
        <v/>
      </c>
      <c r="E219" s="241" t="str">
        <f>IF(C219="","",SUMIFS(Лэндинг!$H$5:$H$300,Лэндинг!$E$5:$E$300,$B219)+SUMIFS(Закрытые!$H$5:$H$300,Закрытые!$E$5:$E$300,$B219,Закрытые!$B$5:$B$300,"L-*"))</f>
        <v/>
      </c>
      <c r="F219" s="240" t="str">
        <f>IF(SUMIFS(Лэндинг!$I$5:$I$300,Лэндинг!$E$5:$E$300,$B219)+SUMIFS(Закрытые!$I$5:$I$300,Закрытые!$E$5:$E$300,$B219,Закрытые!$B$5:$B$300,"L-*")=0,"",SUMIFS(Лэндинг!$I$5:$I$300,Лэндинг!$E$5:$E$300,$B219)+SUMIFS(Закрытые!$I$5:$I$300,Закрытые!$E$5:$E$300,$B219,Закрытые!$B$5:$B$300,"L-*"))</f>
        <v/>
      </c>
      <c r="G219" s="177" t="str">
        <f>IF(F219="","",(SUMPRODUCT((Лэндинг!$E$5:$E$300=$B219)*Лэндинг!$I$5:$I$300*Лэндинг!$J$5:$J$300)+SUMPRODUCT((Закрытые!$E$5:$E$300=$B219)*(LEFT(Закрытые!$B$5:$B$300,2)="L-")*Закрытые!$I$5:$I$300*Закрытые!$J$5:$J$300))/F219)</f>
        <v/>
      </c>
      <c r="H219" s="241" t="str">
        <f>IF(F219="","",SUMIFS(Лэндинг!$K$5:$K$300,Лэндинг!$E$5:$E$300,$B219)+SUMIFS(Закрытые!$K$5:$K$300,Закрытые!$E$5:$E$300,$B219,Закрытые!$B$5:$B$300,"L-*"))</f>
        <v/>
      </c>
      <c r="I219" s="240" t="str">
        <f>IF($B219="","",IF(COUNTIFS(Лэндинг!$E$5:$E$300,$B219)+COUNTIFS(Закрытые!$E$5:$E$300,$B219,Закрытые!$B$5:$B$300,"L-*")=0,"",ROUND(SUMIFS(Лэндинг!$L$5:$L$300,Лэндинг!$E$5:$E$300,$B219)+SUMIFS(Закрытые!$L$5:$L$300,Закрытые!$E$5:$E$300,$B219,Закрытые!$B$5:$B$300,"L-*"),8)))</f>
        <v/>
      </c>
      <c r="J219" s="241" t="str">
        <f>IF($B219="","",IF(COUNTIFS(Лэндинг!$E$5:$E$300,$B219)+COUNTIFS(Закрытые!$E$5:$E$300,$B219,Закрытые!$B$5:$B$300,"L-*")=0,"",ROUND(SUMIFS(Лэндинг!$M$5:$M$300,Лэндинг!$E$5:$E$300,$B219)+SUMIFS(Закрытые!$M$5:$M$300,Закрытые!$E$5:$E$300,$B219,Закрытые!$B$5:$B$300,"L-*"),8)))</f>
        <v/>
      </c>
      <c r="K219" s="240" t="str">
        <f>IF(MIN(N(C219),N(F219))&lt;=0,"",ROUND(MIN(N(C219),N(F219))*(N(G219)-N(D219)),8))</f>
        <v/>
      </c>
      <c r="L219" s="177" t="str">
        <f>IF(MIN(N(C219),N(F219))&lt;=0,"",IF(N(D219)=0,"",ROUND((N(G219)/N(D219)-1)*100,2)))</f>
        <v/>
      </c>
      <c r="M219" s="177" t="str">
        <f>IF(OR(ROUND(N(C219)-N(F219),8)=0,1-N(Ввод!$J$19)/100&lt;=0),"",IF(N(C219)&gt;N(F219),(N(E219)-N(H219))/((N(C219)-N(F219))*(1-N(Ввод!$J$19)/100)),(N(H219)-N(E219))/((N(F219)-N(C219))*(1+N(Ввод!$J$19)/100))))</f>
        <v/>
      </c>
    </row>
    <row r="220" ht="22" customHeight="1">
      <c r="B220" s="245" t="n"/>
      <c r="C220" s="246" t="str">
        <f>IF(SUMIFS(Лэндинг!$F$5:$F$300,Лэндинг!$E$5:$E$300,$B220)+SUMIFS(Закрытые!$F$5:$F$300,Закрытые!$E$5:$E$300,$B220,Закрытые!$B$5:$B$300,"L-*")=0,"",SUMIFS(Лэндинг!$F$5:$F$300,Лэндинг!$E$5:$E$300,$B220)+SUMIFS(Закрытые!$F$5:$F$300,Закрытые!$E$5:$E$300,$B220,Закрытые!$B$5:$B$300,"L-*"))</f>
        <v/>
      </c>
      <c r="D220" s="183" t="str">
        <f>IF(C220="","",(SUMPRODUCT((Лэндинг!$E$5:$E$300=$B220)*Лэндинг!$F$5:$F$300*Лэндинг!$G$5:$G$300)+SUMPRODUCT((Закрытые!$E$5:$E$300=$B220)*(LEFT(Закрытые!$B$5:$B$300,2)="L-")*Закрытые!$F$5:$F$300*Закрытые!$G$5:$G$300))/C220)</f>
        <v/>
      </c>
      <c r="E220" s="247" t="str">
        <f>IF(C220="","",SUMIFS(Лэндинг!$H$5:$H$300,Лэндинг!$E$5:$E$300,$B220)+SUMIFS(Закрытые!$H$5:$H$300,Закрытые!$E$5:$E$300,$B220,Закрытые!$B$5:$B$300,"L-*"))</f>
        <v/>
      </c>
      <c r="F220" s="246" t="str">
        <f>IF(SUMIFS(Лэндинг!$I$5:$I$300,Лэндинг!$E$5:$E$300,$B220)+SUMIFS(Закрытые!$I$5:$I$300,Закрытые!$E$5:$E$300,$B220,Закрытые!$B$5:$B$300,"L-*")=0,"",SUMIFS(Лэндинг!$I$5:$I$300,Лэндинг!$E$5:$E$300,$B220)+SUMIFS(Закрытые!$I$5:$I$300,Закрытые!$E$5:$E$300,$B220,Закрытые!$B$5:$B$300,"L-*"))</f>
        <v/>
      </c>
      <c r="G220" s="183" t="str">
        <f>IF(F220="","",(SUMPRODUCT((Лэндинг!$E$5:$E$300=$B220)*Лэндинг!$I$5:$I$300*Лэндинг!$J$5:$J$300)+SUMPRODUCT((Закрытые!$E$5:$E$300=$B220)*(LEFT(Закрытые!$B$5:$B$300,2)="L-")*Закрытые!$I$5:$I$300*Закрытые!$J$5:$J$300))/F220)</f>
        <v/>
      </c>
      <c r="H220" s="247" t="str">
        <f>IF(F220="","",SUMIFS(Лэндинг!$K$5:$K$300,Лэндинг!$E$5:$E$300,$B220)+SUMIFS(Закрытые!$K$5:$K$300,Закрытые!$E$5:$E$300,$B220,Закрытые!$B$5:$B$300,"L-*"))</f>
        <v/>
      </c>
      <c r="I220" s="246" t="str">
        <f>IF($B220="","",IF(COUNTIFS(Лэндинг!$E$5:$E$300,$B220)+COUNTIFS(Закрытые!$E$5:$E$300,$B220,Закрытые!$B$5:$B$300,"L-*")=0,"",ROUND(SUMIFS(Лэндинг!$L$5:$L$300,Лэндинг!$E$5:$E$300,$B220)+SUMIFS(Закрытые!$L$5:$L$300,Закрытые!$E$5:$E$300,$B220,Закрытые!$B$5:$B$300,"L-*"),8)))</f>
        <v/>
      </c>
      <c r="J220" s="247" t="str">
        <f>IF($B220="","",IF(COUNTIFS(Лэндинг!$E$5:$E$300,$B220)+COUNTIFS(Закрытые!$E$5:$E$300,$B220,Закрытые!$B$5:$B$300,"L-*")=0,"",ROUND(SUMIFS(Лэндинг!$M$5:$M$300,Лэндинг!$E$5:$E$300,$B220)+SUMIFS(Закрытые!$M$5:$M$300,Закрытые!$E$5:$E$300,$B220,Закрытые!$B$5:$B$300,"L-*"),8)))</f>
        <v/>
      </c>
      <c r="K220" s="246" t="str">
        <f>IF(MIN(N(C220),N(F220))&lt;=0,"",ROUND(MIN(N(C220),N(F220))*(N(G220)-N(D220)),8))</f>
        <v/>
      </c>
      <c r="L220" s="183" t="str">
        <f>IF(MIN(N(C220),N(F220))&lt;=0,"",IF(N(D220)=0,"",ROUND((N(G220)/N(D220)-1)*100,2)))</f>
        <v/>
      </c>
      <c r="M220" s="183" t="str">
        <f>IF(OR(ROUND(N(C220)-N(F220),8)=0,1-N(Ввод!$J$19)/100&lt;=0),"",IF(N(C220)&gt;N(F220),(N(E220)-N(H220))/((N(C220)-N(F220))*(1-N(Ввод!$J$19)/100)),(N(H220)-N(E220))/((N(F220)-N(C220))*(1+N(Ввод!$J$19)/100))))</f>
        <v/>
      </c>
    </row>
    <row r="221" ht="22" customHeight="1">
      <c r="B221" s="239" t="n"/>
      <c r="C221" s="240" t="str">
        <f>IF(SUMIFS(Лэндинг!$F$5:$F$300,Лэндинг!$E$5:$E$300,$B221)+SUMIFS(Закрытые!$F$5:$F$300,Закрытые!$E$5:$E$300,$B221,Закрытые!$B$5:$B$300,"L-*")=0,"",SUMIFS(Лэндинг!$F$5:$F$300,Лэндинг!$E$5:$E$300,$B221)+SUMIFS(Закрытые!$F$5:$F$300,Закрытые!$E$5:$E$300,$B221,Закрытые!$B$5:$B$300,"L-*"))</f>
        <v/>
      </c>
      <c r="D221" s="177" t="str">
        <f>IF(C221="","",(SUMPRODUCT((Лэндинг!$E$5:$E$300=$B221)*Лэндинг!$F$5:$F$300*Лэндинг!$G$5:$G$300)+SUMPRODUCT((Закрытые!$E$5:$E$300=$B221)*(LEFT(Закрытые!$B$5:$B$300,2)="L-")*Закрытые!$F$5:$F$300*Закрытые!$G$5:$G$300))/C221)</f>
        <v/>
      </c>
      <c r="E221" s="241" t="str">
        <f>IF(C221="","",SUMIFS(Лэндинг!$H$5:$H$300,Лэндинг!$E$5:$E$300,$B221)+SUMIFS(Закрытые!$H$5:$H$300,Закрытые!$E$5:$E$300,$B221,Закрытые!$B$5:$B$300,"L-*"))</f>
        <v/>
      </c>
      <c r="F221" s="240" t="str">
        <f>IF(SUMIFS(Лэндинг!$I$5:$I$300,Лэндинг!$E$5:$E$300,$B221)+SUMIFS(Закрытые!$I$5:$I$300,Закрытые!$E$5:$E$300,$B221,Закрытые!$B$5:$B$300,"L-*")=0,"",SUMIFS(Лэндинг!$I$5:$I$300,Лэндинг!$E$5:$E$300,$B221)+SUMIFS(Закрытые!$I$5:$I$300,Закрытые!$E$5:$E$300,$B221,Закрытые!$B$5:$B$300,"L-*"))</f>
        <v/>
      </c>
      <c r="G221" s="177" t="str">
        <f>IF(F221="","",(SUMPRODUCT((Лэндинг!$E$5:$E$300=$B221)*Лэндинг!$I$5:$I$300*Лэндинг!$J$5:$J$300)+SUMPRODUCT((Закрытые!$E$5:$E$300=$B221)*(LEFT(Закрытые!$B$5:$B$300,2)="L-")*Закрытые!$I$5:$I$300*Закрытые!$J$5:$J$300))/F221)</f>
        <v/>
      </c>
      <c r="H221" s="241" t="str">
        <f>IF(F221="","",SUMIFS(Лэндинг!$K$5:$K$300,Лэндинг!$E$5:$E$300,$B221)+SUMIFS(Закрытые!$K$5:$K$300,Закрытые!$E$5:$E$300,$B221,Закрытые!$B$5:$B$300,"L-*"))</f>
        <v/>
      </c>
      <c r="I221" s="240" t="str">
        <f>IF($B221="","",IF(COUNTIFS(Лэндинг!$E$5:$E$300,$B221)+COUNTIFS(Закрытые!$E$5:$E$300,$B221,Закрытые!$B$5:$B$300,"L-*")=0,"",ROUND(SUMIFS(Лэндинг!$L$5:$L$300,Лэндинг!$E$5:$E$300,$B221)+SUMIFS(Закрытые!$L$5:$L$300,Закрытые!$E$5:$E$300,$B221,Закрытые!$B$5:$B$300,"L-*"),8)))</f>
        <v/>
      </c>
      <c r="J221" s="241" t="str">
        <f>IF($B221="","",IF(COUNTIFS(Лэндинг!$E$5:$E$300,$B221)+COUNTIFS(Закрытые!$E$5:$E$300,$B221,Закрытые!$B$5:$B$300,"L-*")=0,"",ROUND(SUMIFS(Лэндинг!$M$5:$M$300,Лэндинг!$E$5:$E$300,$B221)+SUMIFS(Закрытые!$M$5:$M$300,Закрытые!$E$5:$E$300,$B221,Закрытые!$B$5:$B$300,"L-*"),8)))</f>
        <v/>
      </c>
      <c r="K221" s="240" t="str">
        <f>IF(MIN(N(C221),N(F221))&lt;=0,"",ROUND(MIN(N(C221),N(F221))*(N(G221)-N(D221)),8))</f>
        <v/>
      </c>
      <c r="L221" s="177" t="str">
        <f>IF(MIN(N(C221),N(F221))&lt;=0,"",IF(N(D221)=0,"",ROUND((N(G221)/N(D221)-1)*100,2)))</f>
        <v/>
      </c>
      <c r="M221" s="177" t="str">
        <f>IF(OR(ROUND(N(C221)-N(F221),8)=0,1-N(Ввод!$J$19)/100&lt;=0),"",IF(N(C221)&gt;N(F221),(N(E221)-N(H221))/((N(C221)-N(F221))*(1-N(Ввод!$J$19)/100)),(N(H221)-N(E221))/((N(F221)-N(C221))*(1+N(Ввод!$J$19)/100))))</f>
        <v/>
      </c>
    </row>
    <row r="222" ht="22" customHeight="1">
      <c r="B222" s="245" t="n"/>
      <c r="C222" s="246" t="str">
        <f>IF(SUMIFS(Лэндинг!$F$5:$F$300,Лэндинг!$E$5:$E$300,$B222)+SUMIFS(Закрытые!$F$5:$F$300,Закрытые!$E$5:$E$300,$B222,Закрытые!$B$5:$B$300,"L-*")=0,"",SUMIFS(Лэндинг!$F$5:$F$300,Лэндинг!$E$5:$E$300,$B222)+SUMIFS(Закрытые!$F$5:$F$300,Закрытые!$E$5:$E$300,$B222,Закрытые!$B$5:$B$300,"L-*"))</f>
        <v/>
      </c>
      <c r="D222" s="183" t="str">
        <f>IF(C222="","",(SUMPRODUCT((Лэндинг!$E$5:$E$300=$B222)*Лэндинг!$F$5:$F$300*Лэндинг!$G$5:$G$300)+SUMPRODUCT((Закрытые!$E$5:$E$300=$B222)*(LEFT(Закрытые!$B$5:$B$300,2)="L-")*Закрытые!$F$5:$F$300*Закрытые!$G$5:$G$300))/C222)</f>
        <v/>
      </c>
      <c r="E222" s="247" t="str">
        <f>IF(C222="","",SUMIFS(Лэндинг!$H$5:$H$300,Лэндинг!$E$5:$E$300,$B222)+SUMIFS(Закрытые!$H$5:$H$300,Закрытые!$E$5:$E$300,$B222,Закрытые!$B$5:$B$300,"L-*"))</f>
        <v/>
      </c>
      <c r="F222" s="246" t="str">
        <f>IF(SUMIFS(Лэндинг!$I$5:$I$300,Лэндинг!$E$5:$E$300,$B222)+SUMIFS(Закрытые!$I$5:$I$300,Закрытые!$E$5:$E$300,$B222,Закрытые!$B$5:$B$300,"L-*")=0,"",SUMIFS(Лэндинг!$I$5:$I$300,Лэндинг!$E$5:$E$300,$B222)+SUMIFS(Закрытые!$I$5:$I$300,Закрытые!$E$5:$E$300,$B222,Закрытые!$B$5:$B$300,"L-*"))</f>
        <v/>
      </c>
      <c r="G222" s="183" t="str">
        <f>IF(F222="","",(SUMPRODUCT((Лэндинг!$E$5:$E$300=$B222)*Лэндинг!$I$5:$I$300*Лэндинг!$J$5:$J$300)+SUMPRODUCT((Закрытые!$E$5:$E$300=$B222)*(LEFT(Закрытые!$B$5:$B$300,2)="L-")*Закрытые!$I$5:$I$300*Закрытые!$J$5:$J$300))/F222)</f>
        <v/>
      </c>
      <c r="H222" s="247" t="str">
        <f>IF(F222="","",SUMIFS(Лэндинг!$K$5:$K$300,Лэндинг!$E$5:$E$300,$B222)+SUMIFS(Закрытые!$K$5:$K$300,Закрытые!$E$5:$E$300,$B222,Закрытые!$B$5:$B$300,"L-*"))</f>
        <v/>
      </c>
      <c r="I222" s="246" t="str">
        <f>IF($B222="","",IF(COUNTIFS(Лэндинг!$E$5:$E$300,$B222)+COUNTIFS(Закрытые!$E$5:$E$300,$B222,Закрытые!$B$5:$B$300,"L-*")=0,"",ROUND(SUMIFS(Лэндинг!$L$5:$L$300,Лэндинг!$E$5:$E$300,$B222)+SUMIFS(Закрытые!$L$5:$L$300,Закрытые!$E$5:$E$300,$B222,Закрытые!$B$5:$B$300,"L-*"),8)))</f>
        <v/>
      </c>
      <c r="J222" s="247" t="str">
        <f>IF($B222="","",IF(COUNTIFS(Лэндинг!$E$5:$E$300,$B222)+COUNTIFS(Закрытые!$E$5:$E$300,$B222,Закрытые!$B$5:$B$300,"L-*")=0,"",ROUND(SUMIFS(Лэндинг!$M$5:$M$300,Лэндинг!$E$5:$E$300,$B222)+SUMIFS(Закрытые!$M$5:$M$300,Закрытые!$E$5:$E$300,$B222,Закрытые!$B$5:$B$300,"L-*"),8)))</f>
        <v/>
      </c>
      <c r="K222" s="246" t="str">
        <f>IF(MIN(N(C222),N(F222))&lt;=0,"",ROUND(MIN(N(C222),N(F222))*(N(G222)-N(D222)),8))</f>
        <v/>
      </c>
      <c r="L222" s="183" t="str">
        <f>IF(MIN(N(C222),N(F222))&lt;=0,"",IF(N(D222)=0,"",ROUND((N(G222)/N(D222)-1)*100,2)))</f>
        <v/>
      </c>
      <c r="M222" s="183" t="str">
        <f>IF(OR(ROUND(N(C222)-N(F222),8)=0,1-N(Ввод!$J$19)/100&lt;=0),"",IF(N(C222)&gt;N(F222),(N(E222)-N(H222))/((N(C222)-N(F222))*(1-N(Ввод!$J$19)/100)),(N(H222)-N(E222))/((N(F222)-N(C222))*(1+N(Ввод!$J$19)/100))))</f>
        <v/>
      </c>
    </row>
    <row r="223" ht="22" customHeight="1">
      <c r="B223" s="239" t="n"/>
      <c r="C223" s="240" t="str">
        <f>IF(SUMIFS(Лэндинг!$F$5:$F$300,Лэндинг!$E$5:$E$300,$B223)+SUMIFS(Закрытые!$F$5:$F$300,Закрытые!$E$5:$E$300,$B223,Закрытые!$B$5:$B$300,"L-*")=0,"",SUMIFS(Лэндинг!$F$5:$F$300,Лэндинг!$E$5:$E$300,$B223)+SUMIFS(Закрытые!$F$5:$F$300,Закрытые!$E$5:$E$300,$B223,Закрытые!$B$5:$B$300,"L-*"))</f>
        <v/>
      </c>
      <c r="D223" s="177" t="str">
        <f>IF(C223="","",(SUMPRODUCT((Лэндинг!$E$5:$E$300=$B223)*Лэндинг!$F$5:$F$300*Лэндинг!$G$5:$G$300)+SUMPRODUCT((Закрытые!$E$5:$E$300=$B223)*(LEFT(Закрытые!$B$5:$B$300,2)="L-")*Закрытые!$F$5:$F$300*Закрытые!$G$5:$G$300))/C223)</f>
        <v/>
      </c>
      <c r="E223" s="241" t="str">
        <f>IF(C223="","",SUMIFS(Лэндинг!$H$5:$H$300,Лэндинг!$E$5:$E$300,$B223)+SUMIFS(Закрытые!$H$5:$H$300,Закрытые!$E$5:$E$300,$B223,Закрытые!$B$5:$B$300,"L-*"))</f>
        <v/>
      </c>
      <c r="F223" s="240" t="str">
        <f>IF(SUMIFS(Лэндинг!$I$5:$I$300,Лэндинг!$E$5:$E$300,$B223)+SUMIFS(Закрытые!$I$5:$I$300,Закрытые!$E$5:$E$300,$B223,Закрытые!$B$5:$B$300,"L-*")=0,"",SUMIFS(Лэндинг!$I$5:$I$300,Лэндинг!$E$5:$E$300,$B223)+SUMIFS(Закрытые!$I$5:$I$300,Закрытые!$E$5:$E$300,$B223,Закрытые!$B$5:$B$300,"L-*"))</f>
        <v/>
      </c>
      <c r="G223" s="177" t="str">
        <f>IF(F223="","",(SUMPRODUCT((Лэндинг!$E$5:$E$300=$B223)*Лэндинг!$I$5:$I$300*Лэндинг!$J$5:$J$300)+SUMPRODUCT((Закрытые!$E$5:$E$300=$B223)*(LEFT(Закрытые!$B$5:$B$300,2)="L-")*Закрытые!$I$5:$I$300*Закрытые!$J$5:$J$300))/F223)</f>
        <v/>
      </c>
      <c r="H223" s="241" t="str">
        <f>IF(F223="","",SUMIFS(Лэндинг!$K$5:$K$300,Лэндинг!$E$5:$E$300,$B223)+SUMIFS(Закрытые!$K$5:$K$300,Закрытые!$E$5:$E$300,$B223,Закрытые!$B$5:$B$300,"L-*"))</f>
        <v/>
      </c>
      <c r="I223" s="240" t="str">
        <f>IF($B223="","",IF(COUNTIFS(Лэндинг!$E$5:$E$300,$B223)+COUNTIFS(Закрытые!$E$5:$E$300,$B223,Закрытые!$B$5:$B$300,"L-*")=0,"",ROUND(SUMIFS(Лэндинг!$L$5:$L$300,Лэндинг!$E$5:$E$300,$B223)+SUMIFS(Закрытые!$L$5:$L$300,Закрытые!$E$5:$E$300,$B223,Закрытые!$B$5:$B$300,"L-*"),8)))</f>
        <v/>
      </c>
      <c r="J223" s="241" t="str">
        <f>IF($B223="","",IF(COUNTIFS(Лэндинг!$E$5:$E$300,$B223)+COUNTIFS(Закрытые!$E$5:$E$300,$B223,Закрытые!$B$5:$B$300,"L-*")=0,"",ROUND(SUMIFS(Лэндинг!$M$5:$M$300,Лэндинг!$E$5:$E$300,$B223)+SUMIFS(Закрытые!$M$5:$M$300,Закрытые!$E$5:$E$300,$B223,Закрытые!$B$5:$B$300,"L-*"),8)))</f>
        <v/>
      </c>
      <c r="K223" s="240" t="str">
        <f>IF(MIN(N(C223),N(F223))&lt;=0,"",ROUND(MIN(N(C223),N(F223))*(N(G223)-N(D223)),8))</f>
        <v/>
      </c>
      <c r="L223" s="177" t="str">
        <f>IF(MIN(N(C223),N(F223))&lt;=0,"",IF(N(D223)=0,"",ROUND((N(G223)/N(D223)-1)*100,2)))</f>
        <v/>
      </c>
      <c r="M223" s="177" t="str">
        <f>IF(OR(ROUND(N(C223)-N(F223),8)=0,1-N(Ввод!$J$19)/100&lt;=0),"",IF(N(C223)&gt;N(F223),(N(E223)-N(H223))/((N(C223)-N(F223))*(1-N(Ввод!$J$19)/100)),(N(H223)-N(E223))/((N(F223)-N(C223))*(1+N(Ввод!$J$19)/100))))</f>
        <v/>
      </c>
    </row>
    <row r="224" ht="22" customHeight="1">
      <c r="B224" s="245" t="n"/>
      <c r="C224" s="246" t="str">
        <f>IF(SUMIFS(Лэндинг!$F$5:$F$300,Лэндинг!$E$5:$E$300,$B224)+SUMIFS(Закрытые!$F$5:$F$300,Закрытые!$E$5:$E$300,$B224,Закрытые!$B$5:$B$300,"L-*")=0,"",SUMIFS(Лэндинг!$F$5:$F$300,Лэндинг!$E$5:$E$300,$B224)+SUMIFS(Закрытые!$F$5:$F$300,Закрытые!$E$5:$E$300,$B224,Закрытые!$B$5:$B$300,"L-*"))</f>
        <v/>
      </c>
      <c r="D224" s="183" t="str">
        <f>IF(C224="","",(SUMPRODUCT((Лэндинг!$E$5:$E$300=$B224)*Лэндинг!$F$5:$F$300*Лэндинг!$G$5:$G$300)+SUMPRODUCT((Закрытые!$E$5:$E$300=$B224)*(LEFT(Закрытые!$B$5:$B$300,2)="L-")*Закрытые!$F$5:$F$300*Закрытые!$G$5:$G$300))/C224)</f>
        <v/>
      </c>
      <c r="E224" s="247" t="str">
        <f>IF(C224="","",SUMIFS(Лэндинг!$H$5:$H$300,Лэндинг!$E$5:$E$300,$B224)+SUMIFS(Закрытые!$H$5:$H$300,Закрытые!$E$5:$E$300,$B224,Закрытые!$B$5:$B$300,"L-*"))</f>
        <v/>
      </c>
      <c r="F224" s="246" t="str">
        <f>IF(SUMIFS(Лэндинг!$I$5:$I$300,Лэндинг!$E$5:$E$300,$B224)+SUMIFS(Закрытые!$I$5:$I$300,Закрытые!$E$5:$E$300,$B224,Закрытые!$B$5:$B$300,"L-*")=0,"",SUMIFS(Лэндинг!$I$5:$I$300,Лэндинг!$E$5:$E$300,$B224)+SUMIFS(Закрытые!$I$5:$I$300,Закрытые!$E$5:$E$300,$B224,Закрытые!$B$5:$B$300,"L-*"))</f>
        <v/>
      </c>
      <c r="G224" s="183" t="str">
        <f>IF(F224="","",(SUMPRODUCT((Лэндинг!$E$5:$E$300=$B224)*Лэндинг!$I$5:$I$300*Лэндинг!$J$5:$J$300)+SUMPRODUCT((Закрытые!$E$5:$E$300=$B224)*(LEFT(Закрытые!$B$5:$B$300,2)="L-")*Закрытые!$I$5:$I$300*Закрытые!$J$5:$J$300))/F224)</f>
        <v/>
      </c>
      <c r="H224" s="247" t="str">
        <f>IF(F224="","",SUMIFS(Лэндинг!$K$5:$K$300,Лэндинг!$E$5:$E$300,$B224)+SUMIFS(Закрытые!$K$5:$K$300,Закрытые!$E$5:$E$300,$B224,Закрытые!$B$5:$B$300,"L-*"))</f>
        <v/>
      </c>
      <c r="I224" s="246" t="str">
        <f>IF($B224="","",IF(COUNTIFS(Лэндинг!$E$5:$E$300,$B224)+COUNTIFS(Закрытые!$E$5:$E$300,$B224,Закрытые!$B$5:$B$300,"L-*")=0,"",ROUND(SUMIFS(Лэндинг!$L$5:$L$300,Лэндинг!$E$5:$E$300,$B224)+SUMIFS(Закрытые!$L$5:$L$300,Закрытые!$E$5:$E$300,$B224,Закрытые!$B$5:$B$300,"L-*"),8)))</f>
        <v/>
      </c>
      <c r="J224" s="247" t="str">
        <f>IF($B224="","",IF(COUNTIFS(Лэндинг!$E$5:$E$300,$B224)+COUNTIFS(Закрытые!$E$5:$E$300,$B224,Закрытые!$B$5:$B$300,"L-*")=0,"",ROUND(SUMIFS(Лэндинг!$M$5:$M$300,Лэндинг!$E$5:$E$300,$B224)+SUMIFS(Закрытые!$M$5:$M$300,Закрытые!$E$5:$E$300,$B224,Закрытые!$B$5:$B$300,"L-*"),8)))</f>
        <v/>
      </c>
      <c r="K224" s="246" t="str">
        <f>IF(MIN(N(C224),N(F224))&lt;=0,"",ROUND(MIN(N(C224),N(F224))*(N(G224)-N(D224)),8))</f>
        <v/>
      </c>
      <c r="L224" s="183" t="str">
        <f>IF(MIN(N(C224),N(F224))&lt;=0,"",IF(N(D224)=0,"",ROUND((N(G224)/N(D224)-1)*100,2)))</f>
        <v/>
      </c>
      <c r="M224" s="183" t="str">
        <f>IF(OR(ROUND(N(C224)-N(F224),8)=0,1-N(Ввод!$J$19)/100&lt;=0),"",IF(N(C224)&gt;N(F224),(N(E224)-N(H224))/((N(C224)-N(F224))*(1-N(Ввод!$J$19)/100)),(N(H224)-N(E224))/((N(F224)-N(C224))*(1+N(Ввод!$J$19)/100))))</f>
        <v/>
      </c>
    </row>
    <row r="225" ht="22" customHeight="1">
      <c r="B225" s="239" t="n"/>
      <c r="C225" s="240" t="str">
        <f>IF(SUMIFS(Лэндинг!$F$5:$F$300,Лэндинг!$E$5:$E$300,$B225)+SUMIFS(Закрытые!$F$5:$F$300,Закрытые!$E$5:$E$300,$B225,Закрытые!$B$5:$B$300,"L-*")=0,"",SUMIFS(Лэндинг!$F$5:$F$300,Лэндинг!$E$5:$E$300,$B225)+SUMIFS(Закрытые!$F$5:$F$300,Закрытые!$E$5:$E$300,$B225,Закрытые!$B$5:$B$300,"L-*"))</f>
        <v/>
      </c>
      <c r="D225" s="177" t="str">
        <f>IF(C225="","",(SUMPRODUCT((Лэндинг!$E$5:$E$300=$B225)*Лэндинг!$F$5:$F$300*Лэндинг!$G$5:$G$300)+SUMPRODUCT((Закрытые!$E$5:$E$300=$B225)*(LEFT(Закрытые!$B$5:$B$300,2)="L-")*Закрытые!$F$5:$F$300*Закрытые!$G$5:$G$300))/C225)</f>
        <v/>
      </c>
      <c r="E225" s="241" t="str">
        <f>IF(C225="","",SUMIFS(Лэндинг!$H$5:$H$300,Лэндинг!$E$5:$E$300,$B225)+SUMIFS(Закрытые!$H$5:$H$300,Закрытые!$E$5:$E$300,$B225,Закрытые!$B$5:$B$300,"L-*"))</f>
        <v/>
      </c>
      <c r="F225" s="240" t="str">
        <f>IF(SUMIFS(Лэндинг!$I$5:$I$300,Лэндинг!$E$5:$E$300,$B225)+SUMIFS(Закрытые!$I$5:$I$300,Закрытые!$E$5:$E$300,$B225,Закрытые!$B$5:$B$300,"L-*")=0,"",SUMIFS(Лэндинг!$I$5:$I$300,Лэндинг!$E$5:$E$300,$B225)+SUMIFS(Закрытые!$I$5:$I$300,Закрытые!$E$5:$E$300,$B225,Закрытые!$B$5:$B$300,"L-*"))</f>
        <v/>
      </c>
      <c r="G225" s="177" t="str">
        <f>IF(F225="","",(SUMPRODUCT((Лэндинг!$E$5:$E$300=$B225)*Лэндинг!$I$5:$I$300*Лэндинг!$J$5:$J$300)+SUMPRODUCT((Закрытые!$E$5:$E$300=$B225)*(LEFT(Закрытые!$B$5:$B$300,2)="L-")*Закрытые!$I$5:$I$300*Закрытые!$J$5:$J$300))/F225)</f>
        <v/>
      </c>
      <c r="H225" s="241" t="str">
        <f>IF(F225="","",SUMIFS(Лэндинг!$K$5:$K$300,Лэндинг!$E$5:$E$300,$B225)+SUMIFS(Закрытые!$K$5:$K$300,Закрытые!$E$5:$E$300,$B225,Закрытые!$B$5:$B$300,"L-*"))</f>
        <v/>
      </c>
      <c r="I225" s="240" t="str">
        <f>IF($B225="","",IF(COUNTIFS(Лэндинг!$E$5:$E$300,$B225)+COUNTIFS(Закрытые!$E$5:$E$300,$B225,Закрытые!$B$5:$B$300,"L-*")=0,"",ROUND(SUMIFS(Лэндинг!$L$5:$L$300,Лэндинг!$E$5:$E$300,$B225)+SUMIFS(Закрытые!$L$5:$L$300,Закрытые!$E$5:$E$300,$B225,Закрытые!$B$5:$B$300,"L-*"),8)))</f>
        <v/>
      </c>
      <c r="J225" s="241" t="str">
        <f>IF($B225="","",IF(COUNTIFS(Лэндинг!$E$5:$E$300,$B225)+COUNTIFS(Закрытые!$E$5:$E$300,$B225,Закрытые!$B$5:$B$300,"L-*")=0,"",ROUND(SUMIFS(Лэндинг!$M$5:$M$300,Лэндинг!$E$5:$E$300,$B225)+SUMIFS(Закрытые!$M$5:$M$300,Закрытые!$E$5:$E$300,$B225,Закрытые!$B$5:$B$300,"L-*"),8)))</f>
        <v/>
      </c>
      <c r="K225" s="240" t="str">
        <f>IF(MIN(N(C225),N(F225))&lt;=0,"",ROUND(MIN(N(C225),N(F225))*(N(G225)-N(D225)),8))</f>
        <v/>
      </c>
      <c r="L225" s="177" t="str">
        <f>IF(MIN(N(C225),N(F225))&lt;=0,"",IF(N(D225)=0,"",ROUND((N(G225)/N(D225)-1)*100,2)))</f>
        <v/>
      </c>
      <c r="M225" s="177" t="str">
        <f>IF(OR(ROUND(N(C225)-N(F225),8)=0,1-N(Ввод!$J$19)/100&lt;=0),"",IF(N(C225)&gt;N(F225),(N(E225)-N(H225))/((N(C225)-N(F225))*(1-N(Ввод!$J$19)/100)),(N(H225)-N(E225))/((N(F225)-N(C225))*(1+N(Ввод!$J$19)/100))))</f>
        <v/>
      </c>
    </row>
    <row r="226" ht="22" customHeight="1">
      <c r="B226" s="245" t="n"/>
      <c r="C226" s="246" t="str">
        <f>IF(SUMIFS(Лэндинг!$F$5:$F$300,Лэндинг!$E$5:$E$300,$B226)+SUMIFS(Закрытые!$F$5:$F$300,Закрытые!$E$5:$E$300,$B226,Закрытые!$B$5:$B$300,"L-*")=0,"",SUMIFS(Лэндинг!$F$5:$F$300,Лэндинг!$E$5:$E$300,$B226)+SUMIFS(Закрытые!$F$5:$F$300,Закрытые!$E$5:$E$300,$B226,Закрытые!$B$5:$B$300,"L-*"))</f>
        <v/>
      </c>
      <c r="D226" s="183" t="str">
        <f>IF(C226="","",(SUMPRODUCT((Лэндинг!$E$5:$E$300=$B226)*Лэндинг!$F$5:$F$300*Лэндинг!$G$5:$G$300)+SUMPRODUCT((Закрытые!$E$5:$E$300=$B226)*(LEFT(Закрытые!$B$5:$B$300,2)="L-")*Закрытые!$F$5:$F$300*Закрытые!$G$5:$G$300))/C226)</f>
        <v/>
      </c>
      <c r="E226" s="247" t="str">
        <f>IF(C226="","",SUMIFS(Лэндинг!$H$5:$H$300,Лэндинг!$E$5:$E$300,$B226)+SUMIFS(Закрытые!$H$5:$H$300,Закрытые!$E$5:$E$300,$B226,Закрытые!$B$5:$B$300,"L-*"))</f>
        <v/>
      </c>
      <c r="F226" s="246" t="str">
        <f>IF(SUMIFS(Лэндинг!$I$5:$I$300,Лэндинг!$E$5:$E$300,$B226)+SUMIFS(Закрытые!$I$5:$I$300,Закрытые!$E$5:$E$300,$B226,Закрытые!$B$5:$B$300,"L-*")=0,"",SUMIFS(Лэндинг!$I$5:$I$300,Лэндинг!$E$5:$E$300,$B226)+SUMIFS(Закрытые!$I$5:$I$300,Закрытые!$E$5:$E$300,$B226,Закрытые!$B$5:$B$300,"L-*"))</f>
        <v/>
      </c>
      <c r="G226" s="183" t="str">
        <f>IF(F226="","",(SUMPRODUCT((Лэндинг!$E$5:$E$300=$B226)*Лэндинг!$I$5:$I$300*Лэндинг!$J$5:$J$300)+SUMPRODUCT((Закрытые!$E$5:$E$300=$B226)*(LEFT(Закрытые!$B$5:$B$300,2)="L-")*Закрытые!$I$5:$I$300*Закрытые!$J$5:$J$300))/F226)</f>
        <v/>
      </c>
      <c r="H226" s="247" t="str">
        <f>IF(F226="","",SUMIFS(Лэндинг!$K$5:$K$300,Лэндинг!$E$5:$E$300,$B226)+SUMIFS(Закрытые!$K$5:$K$300,Закрытые!$E$5:$E$300,$B226,Закрытые!$B$5:$B$300,"L-*"))</f>
        <v/>
      </c>
      <c r="I226" s="246" t="str">
        <f>IF($B226="","",IF(COUNTIFS(Лэндинг!$E$5:$E$300,$B226)+COUNTIFS(Закрытые!$E$5:$E$300,$B226,Закрытые!$B$5:$B$300,"L-*")=0,"",ROUND(SUMIFS(Лэндинг!$L$5:$L$300,Лэндинг!$E$5:$E$300,$B226)+SUMIFS(Закрытые!$L$5:$L$300,Закрытые!$E$5:$E$300,$B226,Закрытые!$B$5:$B$300,"L-*"),8)))</f>
        <v/>
      </c>
      <c r="J226" s="247" t="str">
        <f>IF($B226="","",IF(COUNTIFS(Лэндинг!$E$5:$E$300,$B226)+COUNTIFS(Закрытые!$E$5:$E$300,$B226,Закрытые!$B$5:$B$300,"L-*")=0,"",ROUND(SUMIFS(Лэндинг!$M$5:$M$300,Лэндинг!$E$5:$E$300,$B226)+SUMIFS(Закрытые!$M$5:$M$300,Закрытые!$E$5:$E$300,$B226,Закрытые!$B$5:$B$300,"L-*"),8)))</f>
        <v/>
      </c>
      <c r="K226" s="246" t="str">
        <f>IF(MIN(N(C226),N(F226))&lt;=0,"",ROUND(MIN(N(C226),N(F226))*(N(G226)-N(D226)),8))</f>
        <v/>
      </c>
      <c r="L226" s="183" t="str">
        <f>IF(MIN(N(C226),N(F226))&lt;=0,"",IF(N(D226)=0,"",ROUND((N(G226)/N(D226)-1)*100,2)))</f>
        <v/>
      </c>
      <c r="M226" s="183" t="str">
        <f>IF(OR(ROUND(N(C226)-N(F226),8)=0,1-N(Ввод!$J$19)/100&lt;=0),"",IF(N(C226)&gt;N(F226),(N(E226)-N(H226))/((N(C226)-N(F226))*(1-N(Ввод!$J$19)/100)),(N(H226)-N(E226))/((N(F226)-N(C226))*(1+N(Ввод!$J$19)/100))))</f>
        <v/>
      </c>
    </row>
    <row r="227" ht="22" customHeight="1">
      <c r="B227" s="239" t="n"/>
      <c r="C227" s="240" t="str">
        <f>IF(SUMIFS(Лэндинг!$F$5:$F$300,Лэндинг!$E$5:$E$300,$B227)+SUMIFS(Закрытые!$F$5:$F$300,Закрытые!$E$5:$E$300,$B227,Закрытые!$B$5:$B$300,"L-*")=0,"",SUMIFS(Лэндинг!$F$5:$F$300,Лэндинг!$E$5:$E$300,$B227)+SUMIFS(Закрытые!$F$5:$F$300,Закрытые!$E$5:$E$300,$B227,Закрытые!$B$5:$B$300,"L-*"))</f>
        <v/>
      </c>
      <c r="D227" s="177" t="str">
        <f>IF(C227="","",(SUMPRODUCT((Лэндинг!$E$5:$E$300=$B227)*Лэндинг!$F$5:$F$300*Лэндинг!$G$5:$G$300)+SUMPRODUCT((Закрытые!$E$5:$E$300=$B227)*(LEFT(Закрытые!$B$5:$B$300,2)="L-")*Закрытые!$F$5:$F$300*Закрытые!$G$5:$G$300))/C227)</f>
        <v/>
      </c>
      <c r="E227" s="241" t="str">
        <f>IF(C227="","",SUMIFS(Лэндинг!$H$5:$H$300,Лэндинг!$E$5:$E$300,$B227)+SUMIFS(Закрытые!$H$5:$H$300,Закрытые!$E$5:$E$300,$B227,Закрытые!$B$5:$B$300,"L-*"))</f>
        <v/>
      </c>
      <c r="F227" s="240" t="str">
        <f>IF(SUMIFS(Лэндинг!$I$5:$I$300,Лэндинг!$E$5:$E$300,$B227)+SUMIFS(Закрытые!$I$5:$I$300,Закрытые!$E$5:$E$300,$B227,Закрытые!$B$5:$B$300,"L-*")=0,"",SUMIFS(Лэндинг!$I$5:$I$300,Лэндинг!$E$5:$E$300,$B227)+SUMIFS(Закрытые!$I$5:$I$300,Закрытые!$E$5:$E$300,$B227,Закрытые!$B$5:$B$300,"L-*"))</f>
        <v/>
      </c>
      <c r="G227" s="177" t="str">
        <f>IF(F227="","",(SUMPRODUCT((Лэндинг!$E$5:$E$300=$B227)*Лэндинг!$I$5:$I$300*Лэндинг!$J$5:$J$300)+SUMPRODUCT((Закрытые!$E$5:$E$300=$B227)*(LEFT(Закрытые!$B$5:$B$300,2)="L-")*Закрытые!$I$5:$I$300*Закрытые!$J$5:$J$300))/F227)</f>
        <v/>
      </c>
      <c r="H227" s="241" t="str">
        <f>IF(F227="","",SUMIFS(Лэндинг!$K$5:$K$300,Лэндинг!$E$5:$E$300,$B227)+SUMIFS(Закрытые!$K$5:$K$300,Закрытые!$E$5:$E$300,$B227,Закрытые!$B$5:$B$300,"L-*"))</f>
        <v/>
      </c>
      <c r="I227" s="240" t="str">
        <f>IF($B227="","",IF(COUNTIFS(Лэндинг!$E$5:$E$300,$B227)+COUNTIFS(Закрытые!$E$5:$E$300,$B227,Закрытые!$B$5:$B$300,"L-*")=0,"",ROUND(SUMIFS(Лэндинг!$L$5:$L$300,Лэндинг!$E$5:$E$300,$B227)+SUMIFS(Закрытые!$L$5:$L$300,Закрытые!$E$5:$E$300,$B227,Закрытые!$B$5:$B$300,"L-*"),8)))</f>
        <v/>
      </c>
      <c r="J227" s="241" t="str">
        <f>IF($B227="","",IF(COUNTIFS(Лэндинг!$E$5:$E$300,$B227)+COUNTIFS(Закрытые!$E$5:$E$300,$B227,Закрытые!$B$5:$B$300,"L-*")=0,"",ROUND(SUMIFS(Лэндинг!$M$5:$M$300,Лэндинг!$E$5:$E$300,$B227)+SUMIFS(Закрытые!$M$5:$M$300,Закрытые!$E$5:$E$300,$B227,Закрытые!$B$5:$B$300,"L-*"),8)))</f>
        <v/>
      </c>
      <c r="K227" s="240" t="str">
        <f>IF(MIN(N(C227),N(F227))&lt;=0,"",ROUND(MIN(N(C227),N(F227))*(N(G227)-N(D227)),8))</f>
        <v/>
      </c>
      <c r="L227" s="177" t="str">
        <f>IF(MIN(N(C227),N(F227))&lt;=0,"",IF(N(D227)=0,"",ROUND((N(G227)/N(D227)-1)*100,2)))</f>
        <v/>
      </c>
      <c r="M227" s="177" t="str">
        <f>IF(OR(ROUND(N(C227)-N(F227),8)=0,1-N(Ввод!$J$19)/100&lt;=0),"",IF(N(C227)&gt;N(F227),(N(E227)-N(H227))/((N(C227)-N(F227))*(1-N(Ввод!$J$19)/100)),(N(H227)-N(E227))/((N(F227)-N(C227))*(1+N(Ввод!$J$19)/100))))</f>
        <v/>
      </c>
    </row>
    <row r="228" ht="22" customHeight="1">
      <c r="B228" s="245" t="n"/>
      <c r="C228" s="246" t="str">
        <f>IF(SUMIFS(Лэндинг!$F$5:$F$300,Лэндинг!$E$5:$E$300,$B228)+SUMIFS(Закрытые!$F$5:$F$300,Закрытые!$E$5:$E$300,$B228,Закрытые!$B$5:$B$300,"L-*")=0,"",SUMIFS(Лэндинг!$F$5:$F$300,Лэндинг!$E$5:$E$300,$B228)+SUMIFS(Закрытые!$F$5:$F$300,Закрытые!$E$5:$E$300,$B228,Закрытые!$B$5:$B$300,"L-*"))</f>
        <v/>
      </c>
      <c r="D228" s="183" t="str">
        <f>IF(C228="","",(SUMPRODUCT((Лэндинг!$E$5:$E$300=$B228)*Лэндинг!$F$5:$F$300*Лэндинг!$G$5:$G$300)+SUMPRODUCT((Закрытые!$E$5:$E$300=$B228)*(LEFT(Закрытые!$B$5:$B$300,2)="L-")*Закрытые!$F$5:$F$300*Закрытые!$G$5:$G$300))/C228)</f>
        <v/>
      </c>
      <c r="E228" s="247" t="str">
        <f>IF(C228="","",SUMIFS(Лэндинг!$H$5:$H$300,Лэндинг!$E$5:$E$300,$B228)+SUMIFS(Закрытые!$H$5:$H$300,Закрытые!$E$5:$E$300,$B228,Закрытые!$B$5:$B$300,"L-*"))</f>
        <v/>
      </c>
      <c r="F228" s="246" t="str">
        <f>IF(SUMIFS(Лэндинг!$I$5:$I$300,Лэндинг!$E$5:$E$300,$B228)+SUMIFS(Закрытые!$I$5:$I$300,Закрытые!$E$5:$E$300,$B228,Закрытые!$B$5:$B$300,"L-*")=0,"",SUMIFS(Лэндинг!$I$5:$I$300,Лэндинг!$E$5:$E$300,$B228)+SUMIFS(Закрытые!$I$5:$I$300,Закрытые!$E$5:$E$300,$B228,Закрытые!$B$5:$B$300,"L-*"))</f>
        <v/>
      </c>
      <c r="G228" s="183" t="str">
        <f>IF(F228="","",(SUMPRODUCT((Лэндинг!$E$5:$E$300=$B228)*Лэндинг!$I$5:$I$300*Лэндинг!$J$5:$J$300)+SUMPRODUCT((Закрытые!$E$5:$E$300=$B228)*(LEFT(Закрытые!$B$5:$B$300,2)="L-")*Закрытые!$I$5:$I$300*Закрытые!$J$5:$J$300))/F228)</f>
        <v/>
      </c>
      <c r="H228" s="247" t="str">
        <f>IF(F228="","",SUMIFS(Лэндинг!$K$5:$K$300,Лэндинг!$E$5:$E$300,$B228)+SUMIFS(Закрытые!$K$5:$K$300,Закрытые!$E$5:$E$300,$B228,Закрытые!$B$5:$B$300,"L-*"))</f>
        <v/>
      </c>
      <c r="I228" s="246" t="str">
        <f>IF($B228="","",IF(COUNTIFS(Лэндинг!$E$5:$E$300,$B228)+COUNTIFS(Закрытые!$E$5:$E$300,$B228,Закрытые!$B$5:$B$300,"L-*")=0,"",ROUND(SUMIFS(Лэндинг!$L$5:$L$300,Лэндинг!$E$5:$E$300,$B228)+SUMIFS(Закрытые!$L$5:$L$300,Закрытые!$E$5:$E$300,$B228,Закрытые!$B$5:$B$300,"L-*"),8)))</f>
        <v/>
      </c>
      <c r="J228" s="247" t="str">
        <f>IF($B228="","",IF(COUNTIFS(Лэндинг!$E$5:$E$300,$B228)+COUNTIFS(Закрытые!$E$5:$E$300,$B228,Закрытые!$B$5:$B$300,"L-*")=0,"",ROUND(SUMIFS(Лэндинг!$M$5:$M$300,Лэндинг!$E$5:$E$300,$B228)+SUMIFS(Закрытые!$M$5:$M$300,Закрытые!$E$5:$E$300,$B228,Закрытые!$B$5:$B$300,"L-*"),8)))</f>
        <v/>
      </c>
      <c r="K228" s="246" t="str">
        <f>IF(MIN(N(C228),N(F228))&lt;=0,"",ROUND(MIN(N(C228),N(F228))*(N(G228)-N(D228)),8))</f>
        <v/>
      </c>
      <c r="L228" s="183" t="str">
        <f>IF(MIN(N(C228),N(F228))&lt;=0,"",IF(N(D228)=0,"",ROUND((N(G228)/N(D228)-1)*100,2)))</f>
        <v/>
      </c>
      <c r="M228" s="183" t="str">
        <f>IF(OR(ROUND(N(C228)-N(F228),8)=0,1-N(Ввод!$J$19)/100&lt;=0),"",IF(N(C228)&gt;N(F228),(N(E228)-N(H228))/((N(C228)-N(F228))*(1-N(Ввод!$J$19)/100)),(N(H228)-N(E228))/((N(F228)-N(C228))*(1+N(Ввод!$J$19)/100))))</f>
        <v/>
      </c>
    </row>
    <row r="229" ht="22" customHeight="1">
      <c r="B229" s="239" t="n"/>
      <c r="C229" s="240" t="str">
        <f>IF(SUMIFS(Лэндинг!$F$5:$F$300,Лэндинг!$E$5:$E$300,$B229)+SUMIFS(Закрытые!$F$5:$F$300,Закрытые!$E$5:$E$300,$B229,Закрытые!$B$5:$B$300,"L-*")=0,"",SUMIFS(Лэндинг!$F$5:$F$300,Лэндинг!$E$5:$E$300,$B229)+SUMIFS(Закрытые!$F$5:$F$300,Закрытые!$E$5:$E$300,$B229,Закрытые!$B$5:$B$300,"L-*"))</f>
        <v/>
      </c>
      <c r="D229" s="177" t="str">
        <f>IF(C229="","",(SUMPRODUCT((Лэндинг!$E$5:$E$300=$B229)*Лэндинг!$F$5:$F$300*Лэндинг!$G$5:$G$300)+SUMPRODUCT((Закрытые!$E$5:$E$300=$B229)*(LEFT(Закрытые!$B$5:$B$300,2)="L-")*Закрытые!$F$5:$F$300*Закрытые!$G$5:$G$300))/C229)</f>
        <v/>
      </c>
      <c r="E229" s="241" t="str">
        <f>IF(C229="","",SUMIFS(Лэндинг!$H$5:$H$300,Лэндинг!$E$5:$E$300,$B229)+SUMIFS(Закрытые!$H$5:$H$300,Закрытые!$E$5:$E$300,$B229,Закрытые!$B$5:$B$300,"L-*"))</f>
        <v/>
      </c>
      <c r="F229" s="240" t="str">
        <f>IF(SUMIFS(Лэндинг!$I$5:$I$300,Лэндинг!$E$5:$E$300,$B229)+SUMIFS(Закрытые!$I$5:$I$300,Закрытые!$E$5:$E$300,$B229,Закрытые!$B$5:$B$300,"L-*")=0,"",SUMIFS(Лэндинг!$I$5:$I$300,Лэндинг!$E$5:$E$300,$B229)+SUMIFS(Закрытые!$I$5:$I$300,Закрытые!$E$5:$E$300,$B229,Закрытые!$B$5:$B$300,"L-*"))</f>
        <v/>
      </c>
      <c r="G229" s="177" t="str">
        <f>IF(F229="","",(SUMPRODUCT((Лэндинг!$E$5:$E$300=$B229)*Лэндинг!$I$5:$I$300*Лэндинг!$J$5:$J$300)+SUMPRODUCT((Закрытые!$E$5:$E$300=$B229)*(LEFT(Закрытые!$B$5:$B$300,2)="L-")*Закрытые!$I$5:$I$300*Закрытые!$J$5:$J$300))/F229)</f>
        <v/>
      </c>
      <c r="H229" s="241" t="str">
        <f>IF(F229="","",SUMIFS(Лэндинг!$K$5:$K$300,Лэндинг!$E$5:$E$300,$B229)+SUMIFS(Закрытые!$K$5:$K$300,Закрытые!$E$5:$E$300,$B229,Закрытые!$B$5:$B$300,"L-*"))</f>
        <v/>
      </c>
      <c r="I229" s="240" t="str">
        <f>IF($B229="","",IF(COUNTIFS(Лэндинг!$E$5:$E$300,$B229)+COUNTIFS(Закрытые!$E$5:$E$300,$B229,Закрытые!$B$5:$B$300,"L-*")=0,"",ROUND(SUMIFS(Лэндинг!$L$5:$L$300,Лэндинг!$E$5:$E$300,$B229)+SUMIFS(Закрытые!$L$5:$L$300,Закрытые!$E$5:$E$300,$B229,Закрытые!$B$5:$B$300,"L-*"),8)))</f>
        <v/>
      </c>
      <c r="J229" s="241" t="str">
        <f>IF($B229="","",IF(COUNTIFS(Лэндинг!$E$5:$E$300,$B229)+COUNTIFS(Закрытые!$E$5:$E$300,$B229,Закрытые!$B$5:$B$300,"L-*")=0,"",ROUND(SUMIFS(Лэндинг!$M$5:$M$300,Лэндинг!$E$5:$E$300,$B229)+SUMIFS(Закрытые!$M$5:$M$300,Закрытые!$E$5:$E$300,$B229,Закрытые!$B$5:$B$300,"L-*"),8)))</f>
        <v/>
      </c>
      <c r="K229" s="240" t="str">
        <f>IF(MIN(N(C229),N(F229))&lt;=0,"",ROUND(MIN(N(C229),N(F229))*(N(G229)-N(D229)),8))</f>
        <v/>
      </c>
      <c r="L229" s="177" t="str">
        <f>IF(MIN(N(C229),N(F229))&lt;=0,"",IF(N(D229)=0,"",ROUND((N(G229)/N(D229)-1)*100,2)))</f>
        <v/>
      </c>
      <c r="M229" s="177" t="str">
        <f>IF(OR(ROUND(N(C229)-N(F229),8)=0,1-N(Ввод!$J$19)/100&lt;=0),"",IF(N(C229)&gt;N(F229),(N(E229)-N(H229))/((N(C229)-N(F229))*(1-N(Ввод!$J$19)/100)),(N(H229)-N(E229))/((N(F229)-N(C229))*(1+N(Ввод!$J$19)/100))))</f>
        <v/>
      </c>
    </row>
    <row r="230" ht="22" customHeight="1">
      <c r="B230" s="245" t="n"/>
      <c r="C230" s="246" t="str">
        <f>IF(SUMIFS(Лэндинг!$F$5:$F$300,Лэндинг!$E$5:$E$300,$B230)+SUMIFS(Закрытые!$F$5:$F$300,Закрытые!$E$5:$E$300,$B230,Закрытые!$B$5:$B$300,"L-*")=0,"",SUMIFS(Лэндинг!$F$5:$F$300,Лэндинг!$E$5:$E$300,$B230)+SUMIFS(Закрытые!$F$5:$F$300,Закрытые!$E$5:$E$300,$B230,Закрытые!$B$5:$B$300,"L-*"))</f>
        <v/>
      </c>
      <c r="D230" s="183" t="str">
        <f>IF(C230="","",(SUMPRODUCT((Лэндинг!$E$5:$E$300=$B230)*Лэндинг!$F$5:$F$300*Лэндинг!$G$5:$G$300)+SUMPRODUCT((Закрытые!$E$5:$E$300=$B230)*(LEFT(Закрытые!$B$5:$B$300,2)="L-")*Закрытые!$F$5:$F$300*Закрытые!$G$5:$G$300))/C230)</f>
        <v/>
      </c>
      <c r="E230" s="247" t="str">
        <f>IF(C230="","",SUMIFS(Лэндинг!$H$5:$H$300,Лэндинг!$E$5:$E$300,$B230)+SUMIFS(Закрытые!$H$5:$H$300,Закрытые!$E$5:$E$300,$B230,Закрытые!$B$5:$B$300,"L-*"))</f>
        <v/>
      </c>
      <c r="F230" s="246" t="str">
        <f>IF(SUMIFS(Лэндинг!$I$5:$I$300,Лэндинг!$E$5:$E$300,$B230)+SUMIFS(Закрытые!$I$5:$I$300,Закрытые!$E$5:$E$300,$B230,Закрытые!$B$5:$B$300,"L-*")=0,"",SUMIFS(Лэндинг!$I$5:$I$300,Лэндинг!$E$5:$E$300,$B230)+SUMIFS(Закрытые!$I$5:$I$300,Закрытые!$E$5:$E$300,$B230,Закрытые!$B$5:$B$300,"L-*"))</f>
        <v/>
      </c>
      <c r="G230" s="183" t="str">
        <f>IF(F230="","",(SUMPRODUCT((Лэндинг!$E$5:$E$300=$B230)*Лэндинг!$I$5:$I$300*Лэндинг!$J$5:$J$300)+SUMPRODUCT((Закрытые!$E$5:$E$300=$B230)*(LEFT(Закрытые!$B$5:$B$300,2)="L-")*Закрытые!$I$5:$I$300*Закрытые!$J$5:$J$300))/F230)</f>
        <v/>
      </c>
      <c r="H230" s="247" t="str">
        <f>IF(F230="","",SUMIFS(Лэндинг!$K$5:$K$300,Лэндинг!$E$5:$E$300,$B230)+SUMIFS(Закрытые!$K$5:$K$300,Закрытые!$E$5:$E$300,$B230,Закрытые!$B$5:$B$300,"L-*"))</f>
        <v/>
      </c>
      <c r="I230" s="246" t="str">
        <f>IF($B230="","",IF(COUNTIFS(Лэндинг!$E$5:$E$300,$B230)+COUNTIFS(Закрытые!$E$5:$E$300,$B230,Закрытые!$B$5:$B$300,"L-*")=0,"",ROUND(SUMIFS(Лэндинг!$L$5:$L$300,Лэндинг!$E$5:$E$300,$B230)+SUMIFS(Закрытые!$L$5:$L$300,Закрытые!$E$5:$E$300,$B230,Закрытые!$B$5:$B$300,"L-*"),8)))</f>
        <v/>
      </c>
      <c r="J230" s="247" t="str">
        <f>IF($B230="","",IF(COUNTIFS(Лэндинг!$E$5:$E$300,$B230)+COUNTIFS(Закрытые!$E$5:$E$300,$B230,Закрытые!$B$5:$B$300,"L-*")=0,"",ROUND(SUMIFS(Лэндинг!$M$5:$M$300,Лэндинг!$E$5:$E$300,$B230)+SUMIFS(Закрытые!$M$5:$M$300,Закрытые!$E$5:$E$300,$B230,Закрытые!$B$5:$B$300,"L-*"),8)))</f>
        <v/>
      </c>
      <c r="K230" s="246" t="str">
        <f>IF(MIN(N(C230),N(F230))&lt;=0,"",ROUND(MIN(N(C230),N(F230))*(N(G230)-N(D230)),8))</f>
        <v/>
      </c>
      <c r="L230" s="183" t="str">
        <f>IF(MIN(N(C230),N(F230))&lt;=0,"",IF(N(D230)=0,"",ROUND((N(G230)/N(D230)-1)*100,2)))</f>
        <v/>
      </c>
      <c r="M230" s="183" t="str">
        <f>IF(OR(ROUND(N(C230)-N(F230),8)=0,1-N(Ввод!$J$19)/100&lt;=0),"",IF(N(C230)&gt;N(F230),(N(E230)-N(H230))/((N(C230)-N(F230))*(1-N(Ввод!$J$19)/100)),(N(H230)-N(E230))/((N(F230)-N(C230))*(1+N(Ввод!$J$19)/100))))</f>
        <v/>
      </c>
    </row>
    <row r="231" ht="22" customHeight="1">
      <c r="B231" s="239" t="n"/>
      <c r="C231" s="240" t="str">
        <f>IF(SUMIFS(Лэндинг!$F$5:$F$300,Лэндинг!$E$5:$E$300,$B231)+SUMIFS(Закрытые!$F$5:$F$300,Закрытые!$E$5:$E$300,$B231,Закрытые!$B$5:$B$300,"L-*")=0,"",SUMIFS(Лэндинг!$F$5:$F$300,Лэндинг!$E$5:$E$300,$B231)+SUMIFS(Закрытые!$F$5:$F$300,Закрытые!$E$5:$E$300,$B231,Закрытые!$B$5:$B$300,"L-*"))</f>
        <v/>
      </c>
      <c r="D231" s="177" t="str">
        <f>IF(C231="","",(SUMPRODUCT((Лэндинг!$E$5:$E$300=$B231)*Лэндинг!$F$5:$F$300*Лэндинг!$G$5:$G$300)+SUMPRODUCT((Закрытые!$E$5:$E$300=$B231)*(LEFT(Закрытые!$B$5:$B$300,2)="L-")*Закрытые!$F$5:$F$300*Закрытые!$G$5:$G$300))/C231)</f>
        <v/>
      </c>
      <c r="E231" s="241" t="str">
        <f>IF(C231="","",SUMIFS(Лэндинг!$H$5:$H$300,Лэндинг!$E$5:$E$300,$B231)+SUMIFS(Закрытые!$H$5:$H$300,Закрытые!$E$5:$E$300,$B231,Закрытые!$B$5:$B$300,"L-*"))</f>
        <v/>
      </c>
      <c r="F231" s="240" t="str">
        <f>IF(SUMIFS(Лэндинг!$I$5:$I$300,Лэндинг!$E$5:$E$300,$B231)+SUMIFS(Закрытые!$I$5:$I$300,Закрытые!$E$5:$E$300,$B231,Закрытые!$B$5:$B$300,"L-*")=0,"",SUMIFS(Лэндинг!$I$5:$I$300,Лэндинг!$E$5:$E$300,$B231)+SUMIFS(Закрытые!$I$5:$I$300,Закрытые!$E$5:$E$300,$B231,Закрытые!$B$5:$B$300,"L-*"))</f>
        <v/>
      </c>
      <c r="G231" s="177" t="str">
        <f>IF(F231="","",(SUMPRODUCT((Лэндинг!$E$5:$E$300=$B231)*Лэндинг!$I$5:$I$300*Лэндинг!$J$5:$J$300)+SUMPRODUCT((Закрытые!$E$5:$E$300=$B231)*(LEFT(Закрытые!$B$5:$B$300,2)="L-")*Закрытые!$I$5:$I$300*Закрытые!$J$5:$J$300))/F231)</f>
        <v/>
      </c>
      <c r="H231" s="241" t="str">
        <f>IF(F231="","",SUMIFS(Лэндинг!$K$5:$K$300,Лэндинг!$E$5:$E$300,$B231)+SUMIFS(Закрытые!$K$5:$K$300,Закрытые!$E$5:$E$300,$B231,Закрытые!$B$5:$B$300,"L-*"))</f>
        <v/>
      </c>
      <c r="I231" s="240" t="str">
        <f>IF($B231="","",IF(COUNTIFS(Лэндинг!$E$5:$E$300,$B231)+COUNTIFS(Закрытые!$E$5:$E$300,$B231,Закрытые!$B$5:$B$300,"L-*")=0,"",ROUND(SUMIFS(Лэндинг!$L$5:$L$300,Лэндинг!$E$5:$E$300,$B231)+SUMIFS(Закрытые!$L$5:$L$300,Закрытые!$E$5:$E$300,$B231,Закрытые!$B$5:$B$300,"L-*"),8)))</f>
        <v/>
      </c>
      <c r="J231" s="241" t="str">
        <f>IF($B231="","",IF(COUNTIFS(Лэндинг!$E$5:$E$300,$B231)+COUNTIFS(Закрытые!$E$5:$E$300,$B231,Закрытые!$B$5:$B$300,"L-*")=0,"",ROUND(SUMIFS(Лэндинг!$M$5:$M$300,Лэндинг!$E$5:$E$300,$B231)+SUMIFS(Закрытые!$M$5:$M$300,Закрытые!$E$5:$E$300,$B231,Закрытые!$B$5:$B$300,"L-*"),8)))</f>
        <v/>
      </c>
      <c r="K231" s="240" t="str">
        <f>IF(MIN(N(C231),N(F231))&lt;=0,"",ROUND(MIN(N(C231),N(F231))*(N(G231)-N(D231)),8))</f>
        <v/>
      </c>
      <c r="L231" s="177" t="str">
        <f>IF(MIN(N(C231),N(F231))&lt;=0,"",IF(N(D231)=0,"",ROUND((N(G231)/N(D231)-1)*100,2)))</f>
        <v/>
      </c>
      <c r="M231" s="177" t="str">
        <f>IF(OR(ROUND(N(C231)-N(F231),8)=0,1-N(Ввод!$J$19)/100&lt;=0),"",IF(N(C231)&gt;N(F231),(N(E231)-N(H231))/((N(C231)-N(F231))*(1-N(Ввод!$J$19)/100)),(N(H231)-N(E231))/((N(F231)-N(C231))*(1+N(Ввод!$J$19)/100))))</f>
        <v/>
      </c>
    </row>
    <row r="232" ht="22" customHeight="1">
      <c r="B232" s="245" t="n"/>
      <c r="C232" s="246" t="str">
        <f>IF(SUMIFS(Лэндинг!$F$5:$F$300,Лэндинг!$E$5:$E$300,$B232)+SUMIFS(Закрытые!$F$5:$F$300,Закрытые!$E$5:$E$300,$B232,Закрытые!$B$5:$B$300,"L-*")=0,"",SUMIFS(Лэндинг!$F$5:$F$300,Лэндинг!$E$5:$E$300,$B232)+SUMIFS(Закрытые!$F$5:$F$300,Закрытые!$E$5:$E$300,$B232,Закрытые!$B$5:$B$300,"L-*"))</f>
        <v/>
      </c>
      <c r="D232" s="183" t="str">
        <f>IF(C232="","",(SUMPRODUCT((Лэндинг!$E$5:$E$300=$B232)*Лэндинг!$F$5:$F$300*Лэндинг!$G$5:$G$300)+SUMPRODUCT((Закрытые!$E$5:$E$300=$B232)*(LEFT(Закрытые!$B$5:$B$300,2)="L-")*Закрытые!$F$5:$F$300*Закрытые!$G$5:$G$300))/C232)</f>
        <v/>
      </c>
      <c r="E232" s="247" t="str">
        <f>IF(C232="","",SUMIFS(Лэндинг!$H$5:$H$300,Лэндинг!$E$5:$E$300,$B232)+SUMIFS(Закрытые!$H$5:$H$300,Закрытые!$E$5:$E$300,$B232,Закрытые!$B$5:$B$300,"L-*"))</f>
        <v/>
      </c>
      <c r="F232" s="246" t="str">
        <f>IF(SUMIFS(Лэндинг!$I$5:$I$300,Лэндинг!$E$5:$E$300,$B232)+SUMIFS(Закрытые!$I$5:$I$300,Закрытые!$E$5:$E$300,$B232,Закрытые!$B$5:$B$300,"L-*")=0,"",SUMIFS(Лэндинг!$I$5:$I$300,Лэндинг!$E$5:$E$300,$B232)+SUMIFS(Закрытые!$I$5:$I$300,Закрытые!$E$5:$E$300,$B232,Закрытые!$B$5:$B$300,"L-*"))</f>
        <v/>
      </c>
      <c r="G232" s="183" t="str">
        <f>IF(F232="","",(SUMPRODUCT((Лэндинг!$E$5:$E$300=$B232)*Лэндинг!$I$5:$I$300*Лэндинг!$J$5:$J$300)+SUMPRODUCT((Закрытые!$E$5:$E$300=$B232)*(LEFT(Закрытые!$B$5:$B$300,2)="L-")*Закрытые!$I$5:$I$300*Закрытые!$J$5:$J$300))/F232)</f>
        <v/>
      </c>
      <c r="H232" s="247" t="str">
        <f>IF(F232="","",SUMIFS(Лэндинг!$K$5:$K$300,Лэндинг!$E$5:$E$300,$B232)+SUMIFS(Закрытые!$K$5:$K$300,Закрытые!$E$5:$E$300,$B232,Закрытые!$B$5:$B$300,"L-*"))</f>
        <v/>
      </c>
      <c r="I232" s="246" t="str">
        <f>IF($B232="","",IF(COUNTIFS(Лэндинг!$E$5:$E$300,$B232)+COUNTIFS(Закрытые!$E$5:$E$300,$B232,Закрытые!$B$5:$B$300,"L-*")=0,"",ROUND(SUMIFS(Лэндинг!$L$5:$L$300,Лэндинг!$E$5:$E$300,$B232)+SUMIFS(Закрытые!$L$5:$L$300,Закрытые!$E$5:$E$300,$B232,Закрытые!$B$5:$B$300,"L-*"),8)))</f>
        <v/>
      </c>
      <c r="J232" s="247" t="str">
        <f>IF($B232="","",IF(COUNTIFS(Лэндинг!$E$5:$E$300,$B232)+COUNTIFS(Закрытые!$E$5:$E$300,$B232,Закрытые!$B$5:$B$300,"L-*")=0,"",ROUND(SUMIFS(Лэндинг!$M$5:$M$300,Лэндинг!$E$5:$E$300,$B232)+SUMIFS(Закрытые!$M$5:$M$300,Закрытые!$E$5:$E$300,$B232,Закрытые!$B$5:$B$300,"L-*"),8)))</f>
        <v/>
      </c>
      <c r="K232" s="246" t="str">
        <f>IF(MIN(N(C232),N(F232))&lt;=0,"",ROUND(MIN(N(C232),N(F232))*(N(G232)-N(D232)),8))</f>
        <v/>
      </c>
      <c r="L232" s="183" t="str">
        <f>IF(MIN(N(C232),N(F232))&lt;=0,"",IF(N(D232)=0,"",ROUND((N(G232)/N(D232)-1)*100,2)))</f>
        <v/>
      </c>
      <c r="M232" s="183" t="str">
        <f>IF(OR(ROUND(N(C232)-N(F232),8)=0,1-N(Ввод!$J$19)/100&lt;=0),"",IF(N(C232)&gt;N(F232),(N(E232)-N(H232))/((N(C232)-N(F232))*(1-N(Ввод!$J$19)/100)),(N(H232)-N(E232))/((N(F232)-N(C232))*(1+N(Ввод!$J$19)/100))))</f>
        <v/>
      </c>
    </row>
    <row r="233" ht="22" customHeight="1">
      <c r="B233" s="239" t="n"/>
      <c r="C233" s="240" t="str">
        <f>IF(SUMIFS(Лэндинг!$F$5:$F$300,Лэндинг!$E$5:$E$300,$B233)+SUMIFS(Закрытые!$F$5:$F$300,Закрытые!$E$5:$E$300,$B233,Закрытые!$B$5:$B$300,"L-*")=0,"",SUMIFS(Лэндинг!$F$5:$F$300,Лэндинг!$E$5:$E$300,$B233)+SUMIFS(Закрытые!$F$5:$F$300,Закрытые!$E$5:$E$300,$B233,Закрытые!$B$5:$B$300,"L-*"))</f>
        <v/>
      </c>
      <c r="D233" s="177" t="str">
        <f>IF(C233="","",(SUMPRODUCT((Лэндинг!$E$5:$E$300=$B233)*Лэндинг!$F$5:$F$300*Лэндинг!$G$5:$G$300)+SUMPRODUCT((Закрытые!$E$5:$E$300=$B233)*(LEFT(Закрытые!$B$5:$B$300,2)="L-")*Закрытые!$F$5:$F$300*Закрытые!$G$5:$G$300))/C233)</f>
        <v/>
      </c>
      <c r="E233" s="241" t="str">
        <f>IF(C233="","",SUMIFS(Лэндинг!$H$5:$H$300,Лэндинг!$E$5:$E$300,$B233)+SUMIFS(Закрытые!$H$5:$H$300,Закрытые!$E$5:$E$300,$B233,Закрытые!$B$5:$B$300,"L-*"))</f>
        <v/>
      </c>
      <c r="F233" s="240" t="str">
        <f>IF(SUMIFS(Лэндинг!$I$5:$I$300,Лэндинг!$E$5:$E$300,$B233)+SUMIFS(Закрытые!$I$5:$I$300,Закрытые!$E$5:$E$300,$B233,Закрытые!$B$5:$B$300,"L-*")=0,"",SUMIFS(Лэндинг!$I$5:$I$300,Лэндинг!$E$5:$E$300,$B233)+SUMIFS(Закрытые!$I$5:$I$300,Закрытые!$E$5:$E$300,$B233,Закрытые!$B$5:$B$300,"L-*"))</f>
        <v/>
      </c>
      <c r="G233" s="177" t="str">
        <f>IF(F233="","",(SUMPRODUCT((Лэндинг!$E$5:$E$300=$B233)*Лэндинг!$I$5:$I$300*Лэндинг!$J$5:$J$300)+SUMPRODUCT((Закрытые!$E$5:$E$300=$B233)*(LEFT(Закрытые!$B$5:$B$300,2)="L-")*Закрытые!$I$5:$I$300*Закрытые!$J$5:$J$300))/F233)</f>
        <v/>
      </c>
      <c r="H233" s="241" t="str">
        <f>IF(F233="","",SUMIFS(Лэндинг!$K$5:$K$300,Лэндинг!$E$5:$E$300,$B233)+SUMIFS(Закрытые!$K$5:$K$300,Закрытые!$E$5:$E$300,$B233,Закрытые!$B$5:$B$300,"L-*"))</f>
        <v/>
      </c>
      <c r="I233" s="240" t="str">
        <f>IF($B233="","",IF(COUNTIFS(Лэндинг!$E$5:$E$300,$B233)+COUNTIFS(Закрытые!$E$5:$E$300,$B233,Закрытые!$B$5:$B$300,"L-*")=0,"",ROUND(SUMIFS(Лэндинг!$L$5:$L$300,Лэндинг!$E$5:$E$300,$B233)+SUMIFS(Закрытые!$L$5:$L$300,Закрытые!$E$5:$E$300,$B233,Закрытые!$B$5:$B$300,"L-*"),8)))</f>
        <v/>
      </c>
      <c r="J233" s="241" t="str">
        <f>IF($B233="","",IF(COUNTIFS(Лэндинг!$E$5:$E$300,$B233)+COUNTIFS(Закрытые!$E$5:$E$300,$B233,Закрытые!$B$5:$B$300,"L-*")=0,"",ROUND(SUMIFS(Лэндинг!$M$5:$M$300,Лэндинг!$E$5:$E$300,$B233)+SUMIFS(Закрытые!$M$5:$M$300,Закрытые!$E$5:$E$300,$B233,Закрытые!$B$5:$B$300,"L-*"),8)))</f>
        <v/>
      </c>
      <c r="K233" s="240" t="str">
        <f>IF(MIN(N(C233),N(F233))&lt;=0,"",ROUND(MIN(N(C233),N(F233))*(N(G233)-N(D233)),8))</f>
        <v/>
      </c>
      <c r="L233" s="177" t="str">
        <f>IF(MIN(N(C233),N(F233))&lt;=0,"",IF(N(D233)=0,"",ROUND((N(G233)/N(D233)-1)*100,2)))</f>
        <v/>
      </c>
      <c r="M233" s="177" t="str">
        <f>IF(OR(ROUND(N(C233)-N(F233),8)=0,1-N(Ввод!$J$19)/100&lt;=0),"",IF(N(C233)&gt;N(F233),(N(E233)-N(H233))/((N(C233)-N(F233))*(1-N(Ввод!$J$19)/100)),(N(H233)-N(E233))/((N(F233)-N(C233))*(1+N(Ввод!$J$19)/100))))</f>
        <v/>
      </c>
    </row>
    <row r="234" ht="22" customHeight="1">
      <c r="B234" s="245" t="n"/>
      <c r="C234" s="246" t="str">
        <f>IF(SUMIFS(Лэндинг!$F$5:$F$300,Лэндинг!$E$5:$E$300,$B234)+SUMIFS(Закрытые!$F$5:$F$300,Закрытые!$E$5:$E$300,$B234,Закрытые!$B$5:$B$300,"L-*")=0,"",SUMIFS(Лэндинг!$F$5:$F$300,Лэндинг!$E$5:$E$300,$B234)+SUMIFS(Закрытые!$F$5:$F$300,Закрытые!$E$5:$E$300,$B234,Закрытые!$B$5:$B$300,"L-*"))</f>
        <v/>
      </c>
      <c r="D234" s="183" t="str">
        <f>IF(C234="","",(SUMPRODUCT((Лэндинг!$E$5:$E$300=$B234)*Лэндинг!$F$5:$F$300*Лэндинг!$G$5:$G$300)+SUMPRODUCT((Закрытые!$E$5:$E$300=$B234)*(LEFT(Закрытые!$B$5:$B$300,2)="L-")*Закрытые!$F$5:$F$300*Закрытые!$G$5:$G$300))/C234)</f>
        <v/>
      </c>
      <c r="E234" s="247" t="str">
        <f>IF(C234="","",SUMIFS(Лэндинг!$H$5:$H$300,Лэндинг!$E$5:$E$300,$B234)+SUMIFS(Закрытые!$H$5:$H$300,Закрытые!$E$5:$E$300,$B234,Закрытые!$B$5:$B$300,"L-*"))</f>
        <v/>
      </c>
      <c r="F234" s="246" t="str">
        <f>IF(SUMIFS(Лэндинг!$I$5:$I$300,Лэндинг!$E$5:$E$300,$B234)+SUMIFS(Закрытые!$I$5:$I$300,Закрытые!$E$5:$E$300,$B234,Закрытые!$B$5:$B$300,"L-*")=0,"",SUMIFS(Лэндинг!$I$5:$I$300,Лэндинг!$E$5:$E$300,$B234)+SUMIFS(Закрытые!$I$5:$I$300,Закрытые!$E$5:$E$300,$B234,Закрытые!$B$5:$B$300,"L-*"))</f>
        <v/>
      </c>
      <c r="G234" s="183" t="str">
        <f>IF(F234="","",(SUMPRODUCT((Лэндинг!$E$5:$E$300=$B234)*Лэндинг!$I$5:$I$300*Лэндинг!$J$5:$J$300)+SUMPRODUCT((Закрытые!$E$5:$E$300=$B234)*(LEFT(Закрытые!$B$5:$B$300,2)="L-")*Закрытые!$I$5:$I$300*Закрытые!$J$5:$J$300))/F234)</f>
        <v/>
      </c>
      <c r="H234" s="247" t="str">
        <f>IF(F234="","",SUMIFS(Лэндинг!$K$5:$K$300,Лэндинг!$E$5:$E$300,$B234)+SUMIFS(Закрытые!$K$5:$K$300,Закрытые!$E$5:$E$300,$B234,Закрытые!$B$5:$B$300,"L-*"))</f>
        <v/>
      </c>
      <c r="I234" s="246" t="str">
        <f>IF($B234="","",IF(COUNTIFS(Лэндинг!$E$5:$E$300,$B234)+COUNTIFS(Закрытые!$E$5:$E$300,$B234,Закрытые!$B$5:$B$300,"L-*")=0,"",ROUND(SUMIFS(Лэндинг!$L$5:$L$300,Лэндинг!$E$5:$E$300,$B234)+SUMIFS(Закрытые!$L$5:$L$300,Закрытые!$E$5:$E$300,$B234,Закрытые!$B$5:$B$300,"L-*"),8)))</f>
        <v/>
      </c>
      <c r="J234" s="247" t="str">
        <f>IF($B234="","",IF(COUNTIFS(Лэндинг!$E$5:$E$300,$B234)+COUNTIFS(Закрытые!$E$5:$E$300,$B234,Закрытые!$B$5:$B$300,"L-*")=0,"",ROUND(SUMIFS(Лэндинг!$M$5:$M$300,Лэндинг!$E$5:$E$300,$B234)+SUMIFS(Закрытые!$M$5:$M$300,Закрытые!$E$5:$E$300,$B234,Закрытые!$B$5:$B$300,"L-*"),8)))</f>
        <v/>
      </c>
      <c r="K234" s="246" t="str">
        <f>IF(MIN(N(C234),N(F234))&lt;=0,"",ROUND(MIN(N(C234),N(F234))*(N(G234)-N(D234)),8))</f>
        <v/>
      </c>
      <c r="L234" s="183" t="str">
        <f>IF(MIN(N(C234),N(F234))&lt;=0,"",IF(N(D234)=0,"",ROUND((N(G234)/N(D234)-1)*100,2)))</f>
        <v/>
      </c>
      <c r="M234" s="183" t="str">
        <f>IF(OR(ROUND(N(C234)-N(F234),8)=0,1-N(Ввод!$J$19)/100&lt;=0),"",IF(N(C234)&gt;N(F234),(N(E234)-N(H234))/((N(C234)-N(F234))*(1-N(Ввод!$J$19)/100)),(N(H234)-N(E234))/((N(F234)-N(C234))*(1+N(Ввод!$J$19)/100))))</f>
        <v/>
      </c>
    </row>
    <row r="235" ht="22" customHeight="1">
      <c r="B235" s="239" t="n"/>
      <c r="C235" s="240" t="str">
        <f>IF(SUMIFS(Лэндинг!$F$5:$F$300,Лэндинг!$E$5:$E$300,$B235)+SUMIFS(Закрытые!$F$5:$F$300,Закрытые!$E$5:$E$300,$B235,Закрытые!$B$5:$B$300,"L-*")=0,"",SUMIFS(Лэндинг!$F$5:$F$300,Лэндинг!$E$5:$E$300,$B235)+SUMIFS(Закрытые!$F$5:$F$300,Закрытые!$E$5:$E$300,$B235,Закрытые!$B$5:$B$300,"L-*"))</f>
        <v/>
      </c>
      <c r="D235" s="177" t="str">
        <f>IF(C235="","",(SUMPRODUCT((Лэндинг!$E$5:$E$300=$B235)*Лэндинг!$F$5:$F$300*Лэндинг!$G$5:$G$300)+SUMPRODUCT((Закрытые!$E$5:$E$300=$B235)*(LEFT(Закрытые!$B$5:$B$300,2)="L-")*Закрытые!$F$5:$F$300*Закрытые!$G$5:$G$300))/C235)</f>
        <v/>
      </c>
      <c r="E235" s="241" t="str">
        <f>IF(C235="","",SUMIFS(Лэндинг!$H$5:$H$300,Лэндинг!$E$5:$E$300,$B235)+SUMIFS(Закрытые!$H$5:$H$300,Закрытые!$E$5:$E$300,$B235,Закрытые!$B$5:$B$300,"L-*"))</f>
        <v/>
      </c>
      <c r="F235" s="240" t="str">
        <f>IF(SUMIFS(Лэндинг!$I$5:$I$300,Лэндинг!$E$5:$E$300,$B235)+SUMIFS(Закрытые!$I$5:$I$300,Закрытые!$E$5:$E$300,$B235,Закрытые!$B$5:$B$300,"L-*")=0,"",SUMIFS(Лэндинг!$I$5:$I$300,Лэндинг!$E$5:$E$300,$B235)+SUMIFS(Закрытые!$I$5:$I$300,Закрытые!$E$5:$E$300,$B235,Закрытые!$B$5:$B$300,"L-*"))</f>
        <v/>
      </c>
      <c r="G235" s="177" t="str">
        <f>IF(F235="","",(SUMPRODUCT((Лэндинг!$E$5:$E$300=$B235)*Лэндинг!$I$5:$I$300*Лэндинг!$J$5:$J$300)+SUMPRODUCT((Закрытые!$E$5:$E$300=$B235)*(LEFT(Закрытые!$B$5:$B$300,2)="L-")*Закрытые!$I$5:$I$300*Закрытые!$J$5:$J$300))/F235)</f>
        <v/>
      </c>
      <c r="H235" s="241" t="str">
        <f>IF(F235="","",SUMIFS(Лэндинг!$K$5:$K$300,Лэндинг!$E$5:$E$300,$B235)+SUMIFS(Закрытые!$K$5:$K$300,Закрытые!$E$5:$E$300,$B235,Закрытые!$B$5:$B$300,"L-*"))</f>
        <v/>
      </c>
      <c r="I235" s="240" t="str">
        <f>IF($B235="","",IF(COUNTIFS(Лэндинг!$E$5:$E$300,$B235)+COUNTIFS(Закрытые!$E$5:$E$300,$B235,Закрытые!$B$5:$B$300,"L-*")=0,"",ROUND(SUMIFS(Лэндинг!$L$5:$L$300,Лэндинг!$E$5:$E$300,$B235)+SUMIFS(Закрытые!$L$5:$L$300,Закрытые!$E$5:$E$300,$B235,Закрытые!$B$5:$B$300,"L-*"),8)))</f>
        <v/>
      </c>
      <c r="J235" s="241" t="str">
        <f>IF($B235="","",IF(COUNTIFS(Лэндинг!$E$5:$E$300,$B235)+COUNTIFS(Закрытые!$E$5:$E$300,$B235,Закрытые!$B$5:$B$300,"L-*")=0,"",ROUND(SUMIFS(Лэндинг!$M$5:$M$300,Лэндинг!$E$5:$E$300,$B235)+SUMIFS(Закрытые!$M$5:$M$300,Закрытые!$E$5:$E$300,$B235,Закрытые!$B$5:$B$300,"L-*"),8)))</f>
        <v/>
      </c>
      <c r="K235" s="240" t="str">
        <f>IF(MIN(N(C235),N(F235))&lt;=0,"",ROUND(MIN(N(C235),N(F235))*(N(G235)-N(D235)),8))</f>
        <v/>
      </c>
      <c r="L235" s="177" t="str">
        <f>IF(MIN(N(C235),N(F235))&lt;=0,"",IF(N(D235)=0,"",ROUND((N(G235)/N(D235)-1)*100,2)))</f>
        <v/>
      </c>
      <c r="M235" s="177" t="str">
        <f>IF(OR(ROUND(N(C235)-N(F235),8)=0,1-N(Ввод!$J$19)/100&lt;=0),"",IF(N(C235)&gt;N(F235),(N(E235)-N(H235))/((N(C235)-N(F235))*(1-N(Ввод!$J$19)/100)),(N(H235)-N(E235))/((N(F235)-N(C235))*(1+N(Ввод!$J$19)/100))))</f>
        <v/>
      </c>
    </row>
    <row r="236" ht="22" customHeight="1">
      <c r="B236" s="245" t="n"/>
      <c r="C236" s="246" t="str">
        <f>IF(SUMIFS(Лэндинг!$F$5:$F$300,Лэндинг!$E$5:$E$300,$B236)+SUMIFS(Закрытые!$F$5:$F$300,Закрытые!$E$5:$E$300,$B236,Закрытые!$B$5:$B$300,"L-*")=0,"",SUMIFS(Лэндинг!$F$5:$F$300,Лэндинг!$E$5:$E$300,$B236)+SUMIFS(Закрытые!$F$5:$F$300,Закрытые!$E$5:$E$300,$B236,Закрытые!$B$5:$B$300,"L-*"))</f>
        <v/>
      </c>
      <c r="D236" s="183" t="str">
        <f>IF(C236="","",(SUMPRODUCT((Лэндинг!$E$5:$E$300=$B236)*Лэндинг!$F$5:$F$300*Лэндинг!$G$5:$G$300)+SUMPRODUCT((Закрытые!$E$5:$E$300=$B236)*(LEFT(Закрытые!$B$5:$B$300,2)="L-")*Закрытые!$F$5:$F$300*Закрытые!$G$5:$G$300))/C236)</f>
        <v/>
      </c>
      <c r="E236" s="247" t="str">
        <f>IF(C236="","",SUMIFS(Лэндинг!$H$5:$H$300,Лэндинг!$E$5:$E$300,$B236)+SUMIFS(Закрытые!$H$5:$H$300,Закрытые!$E$5:$E$300,$B236,Закрытые!$B$5:$B$300,"L-*"))</f>
        <v/>
      </c>
      <c r="F236" s="246" t="str">
        <f>IF(SUMIFS(Лэндинг!$I$5:$I$300,Лэндинг!$E$5:$E$300,$B236)+SUMIFS(Закрытые!$I$5:$I$300,Закрытые!$E$5:$E$300,$B236,Закрытые!$B$5:$B$300,"L-*")=0,"",SUMIFS(Лэндинг!$I$5:$I$300,Лэндинг!$E$5:$E$300,$B236)+SUMIFS(Закрытые!$I$5:$I$300,Закрытые!$E$5:$E$300,$B236,Закрытые!$B$5:$B$300,"L-*"))</f>
        <v/>
      </c>
      <c r="G236" s="183" t="str">
        <f>IF(F236="","",(SUMPRODUCT((Лэндинг!$E$5:$E$300=$B236)*Лэндинг!$I$5:$I$300*Лэндинг!$J$5:$J$300)+SUMPRODUCT((Закрытые!$E$5:$E$300=$B236)*(LEFT(Закрытые!$B$5:$B$300,2)="L-")*Закрытые!$I$5:$I$300*Закрытые!$J$5:$J$300))/F236)</f>
        <v/>
      </c>
      <c r="H236" s="247" t="str">
        <f>IF(F236="","",SUMIFS(Лэндинг!$K$5:$K$300,Лэндинг!$E$5:$E$300,$B236)+SUMIFS(Закрытые!$K$5:$K$300,Закрытые!$E$5:$E$300,$B236,Закрытые!$B$5:$B$300,"L-*"))</f>
        <v/>
      </c>
      <c r="I236" s="246" t="str">
        <f>IF($B236="","",IF(COUNTIFS(Лэндинг!$E$5:$E$300,$B236)+COUNTIFS(Закрытые!$E$5:$E$300,$B236,Закрытые!$B$5:$B$300,"L-*")=0,"",ROUND(SUMIFS(Лэндинг!$L$5:$L$300,Лэндинг!$E$5:$E$300,$B236)+SUMIFS(Закрытые!$L$5:$L$300,Закрытые!$E$5:$E$300,$B236,Закрытые!$B$5:$B$300,"L-*"),8)))</f>
        <v/>
      </c>
      <c r="J236" s="247" t="str">
        <f>IF($B236="","",IF(COUNTIFS(Лэндинг!$E$5:$E$300,$B236)+COUNTIFS(Закрытые!$E$5:$E$300,$B236,Закрытые!$B$5:$B$300,"L-*")=0,"",ROUND(SUMIFS(Лэндинг!$M$5:$M$300,Лэндинг!$E$5:$E$300,$B236)+SUMIFS(Закрытые!$M$5:$M$300,Закрытые!$E$5:$E$300,$B236,Закрытые!$B$5:$B$300,"L-*"),8)))</f>
        <v/>
      </c>
      <c r="K236" s="246" t="str">
        <f>IF(MIN(N(C236),N(F236))&lt;=0,"",ROUND(MIN(N(C236),N(F236))*(N(G236)-N(D236)),8))</f>
        <v/>
      </c>
      <c r="L236" s="183" t="str">
        <f>IF(MIN(N(C236),N(F236))&lt;=0,"",IF(N(D236)=0,"",ROUND((N(G236)/N(D236)-1)*100,2)))</f>
        <v/>
      </c>
      <c r="M236" s="183" t="str">
        <f>IF(OR(ROUND(N(C236)-N(F236),8)=0,1-N(Ввод!$J$19)/100&lt;=0),"",IF(N(C236)&gt;N(F236),(N(E236)-N(H236))/((N(C236)-N(F236))*(1-N(Ввод!$J$19)/100)),(N(H236)-N(E236))/((N(F236)-N(C236))*(1+N(Ввод!$J$19)/100))))</f>
        <v/>
      </c>
    </row>
    <row r="237" ht="22" customHeight="1">
      <c r="B237" s="239" t="n"/>
      <c r="C237" s="240" t="str">
        <f>IF(SUMIFS(Лэндинг!$F$5:$F$300,Лэндинг!$E$5:$E$300,$B237)+SUMIFS(Закрытые!$F$5:$F$300,Закрытые!$E$5:$E$300,$B237,Закрытые!$B$5:$B$300,"L-*")=0,"",SUMIFS(Лэндинг!$F$5:$F$300,Лэндинг!$E$5:$E$300,$B237)+SUMIFS(Закрытые!$F$5:$F$300,Закрытые!$E$5:$E$300,$B237,Закрытые!$B$5:$B$300,"L-*"))</f>
        <v/>
      </c>
      <c r="D237" s="177" t="str">
        <f>IF(C237="","",(SUMPRODUCT((Лэндинг!$E$5:$E$300=$B237)*Лэндинг!$F$5:$F$300*Лэндинг!$G$5:$G$300)+SUMPRODUCT((Закрытые!$E$5:$E$300=$B237)*(LEFT(Закрытые!$B$5:$B$300,2)="L-")*Закрытые!$F$5:$F$300*Закрытые!$G$5:$G$300))/C237)</f>
        <v/>
      </c>
      <c r="E237" s="241" t="str">
        <f>IF(C237="","",SUMIFS(Лэндинг!$H$5:$H$300,Лэндинг!$E$5:$E$300,$B237)+SUMIFS(Закрытые!$H$5:$H$300,Закрытые!$E$5:$E$300,$B237,Закрытые!$B$5:$B$300,"L-*"))</f>
        <v/>
      </c>
      <c r="F237" s="240" t="str">
        <f>IF(SUMIFS(Лэндинг!$I$5:$I$300,Лэндинг!$E$5:$E$300,$B237)+SUMIFS(Закрытые!$I$5:$I$300,Закрытые!$E$5:$E$300,$B237,Закрытые!$B$5:$B$300,"L-*")=0,"",SUMIFS(Лэндинг!$I$5:$I$300,Лэндинг!$E$5:$E$300,$B237)+SUMIFS(Закрытые!$I$5:$I$300,Закрытые!$E$5:$E$300,$B237,Закрытые!$B$5:$B$300,"L-*"))</f>
        <v/>
      </c>
      <c r="G237" s="177" t="str">
        <f>IF(F237="","",(SUMPRODUCT((Лэндинг!$E$5:$E$300=$B237)*Лэндинг!$I$5:$I$300*Лэндинг!$J$5:$J$300)+SUMPRODUCT((Закрытые!$E$5:$E$300=$B237)*(LEFT(Закрытые!$B$5:$B$300,2)="L-")*Закрытые!$I$5:$I$300*Закрытые!$J$5:$J$300))/F237)</f>
        <v/>
      </c>
      <c r="H237" s="241" t="str">
        <f>IF(F237="","",SUMIFS(Лэндинг!$K$5:$K$300,Лэндинг!$E$5:$E$300,$B237)+SUMIFS(Закрытые!$K$5:$K$300,Закрытые!$E$5:$E$300,$B237,Закрытые!$B$5:$B$300,"L-*"))</f>
        <v/>
      </c>
      <c r="I237" s="240" t="str">
        <f>IF($B237="","",IF(COUNTIFS(Лэндинг!$E$5:$E$300,$B237)+COUNTIFS(Закрытые!$E$5:$E$300,$B237,Закрытые!$B$5:$B$300,"L-*")=0,"",ROUND(SUMIFS(Лэндинг!$L$5:$L$300,Лэндинг!$E$5:$E$300,$B237)+SUMIFS(Закрытые!$L$5:$L$300,Закрытые!$E$5:$E$300,$B237,Закрытые!$B$5:$B$300,"L-*"),8)))</f>
        <v/>
      </c>
      <c r="J237" s="241" t="str">
        <f>IF($B237="","",IF(COUNTIFS(Лэндинг!$E$5:$E$300,$B237)+COUNTIFS(Закрытые!$E$5:$E$300,$B237,Закрытые!$B$5:$B$300,"L-*")=0,"",ROUND(SUMIFS(Лэндинг!$M$5:$M$300,Лэндинг!$E$5:$E$300,$B237)+SUMIFS(Закрытые!$M$5:$M$300,Закрытые!$E$5:$E$300,$B237,Закрытые!$B$5:$B$300,"L-*"),8)))</f>
        <v/>
      </c>
      <c r="K237" s="240" t="str">
        <f>IF(MIN(N(C237),N(F237))&lt;=0,"",ROUND(MIN(N(C237),N(F237))*(N(G237)-N(D237)),8))</f>
        <v/>
      </c>
      <c r="L237" s="177" t="str">
        <f>IF(MIN(N(C237),N(F237))&lt;=0,"",IF(N(D237)=0,"",ROUND((N(G237)/N(D237)-1)*100,2)))</f>
        <v/>
      </c>
      <c r="M237" s="177" t="str">
        <f>IF(OR(ROUND(N(C237)-N(F237),8)=0,1-N(Ввод!$J$19)/100&lt;=0),"",IF(N(C237)&gt;N(F237),(N(E237)-N(H237))/((N(C237)-N(F237))*(1-N(Ввод!$J$19)/100)),(N(H237)-N(E237))/((N(F237)-N(C237))*(1+N(Ввод!$J$19)/100))))</f>
        <v/>
      </c>
    </row>
    <row r="238" ht="22" customHeight="1">
      <c r="B238" s="245" t="n"/>
      <c r="C238" s="246" t="str">
        <f>IF(SUMIFS(Лэндинг!$F$5:$F$300,Лэндинг!$E$5:$E$300,$B238)+SUMIFS(Закрытые!$F$5:$F$300,Закрытые!$E$5:$E$300,$B238,Закрытые!$B$5:$B$300,"L-*")=0,"",SUMIFS(Лэндинг!$F$5:$F$300,Лэндинг!$E$5:$E$300,$B238)+SUMIFS(Закрытые!$F$5:$F$300,Закрытые!$E$5:$E$300,$B238,Закрытые!$B$5:$B$300,"L-*"))</f>
        <v/>
      </c>
      <c r="D238" s="183" t="str">
        <f>IF(C238="","",(SUMPRODUCT((Лэндинг!$E$5:$E$300=$B238)*Лэндинг!$F$5:$F$300*Лэндинг!$G$5:$G$300)+SUMPRODUCT((Закрытые!$E$5:$E$300=$B238)*(LEFT(Закрытые!$B$5:$B$300,2)="L-")*Закрытые!$F$5:$F$300*Закрытые!$G$5:$G$300))/C238)</f>
        <v/>
      </c>
      <c r="E238" s="247" t="str">
        <f>IF(C238="","",SUMIFS(Лэндинг!$H$5:$H$300,Лэндинг!$E$5:$E$300,$B238)+SUMIFS(Закрытые!$H$5:$H$300,Закрытые!$E$5:$E$300,$B238,Закрытые!$B$5:$B$300,"L-*"))</f>
        <v/>
      </c>
      <c r="F238" s="246" t="str">
        <f>IF(SUMIFS(Лэндинг!$I$5:$I$300,Лэндинг!$E$5:$E$300,$B238)+SUMIFS(Закрытые!$I$5:$I$300,Закрытые!$E$5:$E$300,$B238,Закрытые!$B$5:$B$300,"L-*")=0,"",SUMIFS(Лэндинг!$I$5:$I$300,Лэндинг!$E$5:$E$300,$B238)+SUMIFS(Закрытые!$I$5:$I$300,Закрытые!$E$5:$E$300,$B238,Закрытые!$B$5:$B$300,"L-*"))</f>
        <v/>
      </c>
      <c r="G238" s="183" t="str">
        <f>IF(F238="","",(SUMPRODUCT((Лэндинг!$E$5:$E$300=$B238)*Лэндинг!$I$5:$I$300*Лэндинг!$J$5:$J$300)+SUMPRODUCT((Закрытые!$E$5:$E$300=$B238)*(LEFT(Закрытые!$B$5:$B$300,2)="L-")*Закрытые!$I$5:$I$300*Закрытые!$J$5:$J$300))/F238)</f>
        <v/>
      </c>
      <c r="H238" s="247" t="str">
        <f>IF(F238="","",SUMIFS(Лэндинг!$K$5:$K$300,Лэндинг!$E$5:$E$300,$B238)+SUMIFS(Закрытые!$K$5:$K$300,Закрытые!$E$5:$E$300,$B238,Закрытые!$B$5:$B$300,"L-*"))</f>
        <v/>
      </c>
      <c r="I238" s="246" t="str">
        <f>IF($B238="","",IF(COUNTIFS(Лэндинг!$E$5:$E$300,$B238)+COUNTIFS(Закрытые!$E$5:$E$300,$B238,Закрытые!$B$5:$B$300,"L-*")=0,"",ROUND(SUMIFS(Лэндинг!$L$5:$L$300,Лэндинг!$E$5:$E$300,$B238)+SUMIFS(Закрытые!$L$5:$L$300,Закрытые!$E$5:$E$300,$B238,Закрытые!$B$5:$B$300,"L-*"),8)))</f>
        <v/>
      </c>
      <c r="J238" s="247" t="str">
        <f>IF($B238="","",IF(COUNTIFS(Лэндинг!$E$5:$E$300,$B238)+COUNTIFS(Закрытые!$E$5:$E$300,$B238,Закрытые!$B$5:$B$300,"L-*")=0,"",ROUND(SUMIFS(Лэндинг!$M$5:$M$300,Лэндинг!$E$5:$E$300,$B238)+SUMIFS(Закрытые!$M$5:$M$300,Закрытые!$E$5:$E$300,$B238,Закрытые!$B$5:$B$300,"L-*"),8)))</f>
        <v/>
      </c>
      <c r="K238" s="246" t="str">
        <f>IF(MIN(N(C238),N(F238))&lt;=0,"",ROUND(MIN(N(C238),N(F238))*(N(G238)-N(D238)),8))</f>
        <v/>
      </c>
      <c r="L238" s="183" t="str">
        <f>IF(MIN(N(C238),N(F238))&lt;=0,"",IF(N(D238)=0,"",ROUND((N(G238)/N(D238)-1)*100,2)))</f>
        <v/>
      </c>
      <c r="M238" s="183" t="str">
        <f>IF(OR(ROUND(N(C238)-N(F238),8)=0,1-N(Ввод!$J$19)/100&lt;=0),"",IF(N(C238)&gt;N(F238),(N(E238)-N(H238))/((N(C238)-N(F238))*(1-N(Ввод!$J$19)/100)),(N(H238)-N(E238))/((N(F238)-N(C238))*(1+N(Ввод!$J$19)/100))))</f>
        <v/>
      </c>
    </row>
    <row r="239" ht="22" customHeight="1">
      <c r="B239" s="239" t="n"/>
      <c r="C239" s="240" t="str">
        <f>IF(SUMIFS(Лэндинг!$F$5:$F$300,Лэндинг!$E$5:$E$300,$B239)+SUMIFS(Закрытые!$F$5:$F$300,Закрытые!$E$5:$E$300,$B239,Закрытые!$B$5:$B$300,"L-*")=0,"",SUMIFS(Лэндинг!$F$5:$F$300,Лэндинг!$E$5:$E$300,$B239)+SUMIFS(Закрытые!$F$5:$F$300,Закрытые!$E$5:$E$300,$B239,Закрытые!$B$5:$B$300,"L-*"))</f>
        <v/>
      </c>
      <c r="D239" s="177" t="str">
        <f>IF(C239="","",(SUMPRODUCT((Лэндинг!$E$5:$E$300=$B239)*Лэндинг!$F$5:$F$300*Лэндинг!$G$5:$G$300)+SUMPRODUCT((Закрытые!$E$5:$E$300=$B239)*(LEFT(Закрытые!$B$5:$B$300,2)="L-")*Закрытые!$F$5:$F$300*Закрытые!$G$5:$G$300))/C239)</f>
        <v/>
      </c>
      <c r="E239" s="241" t="str">
        <f>IF(C239="","",SUMIFS(Лэндинг!$H$5:$H$300,Лэндинг!$E$5:$E$300,$B239)+SUMIFS(Закрытые!$H$5:$H$300,Закрытые!$E$5:$E$300,$B239,Закрытые!$B$5:$B$300,"L-*"))</f>
        <v/>
      </c>
      <c r="F239" s="240" t="str">
        <f>IF(SUMIFS(Лэндинг!$I$5:$I$300,Лэндинг!$E$5:$E$300,$B239)+SUMIFS(Закрытые!$I$5:$I$300,Закрытые!$E$5:$E$300,$B239,Закрытые!$B$5:$B$300,"L-*")=0,"",SUMIFS(Лэндинг!$I$5:$I$300,Лэндинг!$E$5:$E$300,$B239)+SUMIFS(Закрытые!$I$5:$I$300,Закрытые!$E$5:$E$300,$B239,Закрытые!$B$5:$B$300,"L-*"))</f>
        <v/>
      </c>
      <c r="G239" s="177" t="str">
        <f>IF(F239="","",(SUMPRODUCT((Лэндинг!$E$5:$E$300=$B239)*Лэндинг!$I$5:$I$300*Лэндинг!$J$5:$J$300)+SUMPRODUCT((Закрытые!$E$5:$E$300=$B239)*(LEFT(Закрытые!$B$5:$B$300,2)="L-")*Закрытые!$I$5:$I$300*Закрытые!$J$5:$J$300))/F239)</f>
        <v/>
      </c>
      <c r="H239" s="241" t="str">
        <f>IF(F239="","",SUMIFS(Лэндинг!$K$5:$K$300,Лэндинг!$E$5:$E$300,$B239)+SUMIFS(Закрытые!$K$5:$K$300,Закрытые!$E$5:$E$300,$B239,Закрытые!$B$5:$B$300,"L-*"))</f>
        <v/>
      </c>
      <c r="I239" s="240" t="str">
        <f>IF($B239="","",IF(COUNTIFS(Лэндинг!$E$5:$E$300,$B239)+COUNTIFS(Закрытые!$E$5:$E$300,$B239,Закрытые!$B$5:$B$300,"L-*")=0,"",ROUND(SUMIFS(Лэндинг!$L$5:$L$300,Лэндинг!$E$5:$E$300,$B239)+SUMIFS(Закрытые!$L$5:$L$300,Закрытые!$E$5:$E$300,$B239,Закрытые!$B$5:$B$300,"L-*"),8)))</f>
        <v/>
      </c>
      <c r="J239" s="241" t="str">
        <f>IF($B239="","",IF(COUNTIFS(Лэндинг!$E$5:$E$300,$B239)+COUNTIFS(Закрытые!$E$5:$E$300,$B239,Закрытые!$B$5:$B$300,"L-*")=0,"",ROUND(SUMIFS(Лэндинг!$M$5:$M$300,Лэндинг!$E$5:$E$300,$B239)+SUMIFS(Закрытые!$M$5:$M$300,Закрытые!$E$5:$E$300,$B239,Закрытые!$B$5:$B$300,"L-*"),8)))</f>
        <v/>
      </c>
      <c r="K239" s="240" t="str">
        <f>IF(MIN(N(C239),N(F239))&lt;=0,"",ROUND(MIN(N(C239),N(F239))*(N(G239)-N(D239)),8))</f>
        <v/>
      </c>
      <c r="L239" s="177" t="str">
        <f>IF(MIN(N(C239),N(F239))&lt;=0,"",IF(N(D239)=0,"",ROUND((N(G239)/N(D239)-1)*100,2)))</f>
        <v/>
      </c>
      <c r="M239" s="177" t="str">
        <f>IF(OR(ROUND(N(C239)-N(F239),8)=0,1-N(Ввод!$J$19)/100&lt;=0),"",IF(N(C239)&gt;N(F239),(N(E239)-N(H239))/((N(C239)-N(F239))*(1-N(Ввод!$J$19)/100)),(N(H239)-N(E239))/((N(F239)-N(C239))*(1+N(Ввод!$J$19)/100))))</f>
        <v/>
      </c>
    </row>
    <row r="240" ht="22" customHeight="1">
      <c r="B240" s="245" t="n"/>
      <c r="C240" s="246" t="str">
        <f>IF(SUMIFS(Лэндинг!$F$5:$F$300,Лэндинг!$E$5:$E$300,$B240)+SUMIFS(Закрытые!$F$5:$F$300,Закрытые!$E$5:$E$300,$B240,Закрытые!$B$5:$B$300,"L-*")=0,"",SUMIFS(Лэндинг!$F$5:$F$300,Лэндинг!$E$5:$E$300,$B240)+SUMIFS(Закрытые!$F$5:$F$300,Закрытые!$E$5:$E$300,$B240,Закрытые!$B$5:$B$300,"L-*"))</f>
        <v/>
      </c>
      <c r="D240" s="183" t="str">
        <f>IF(C240="","",(SUMPRODUCT((Лэндинг!$E$5:$E$300=$B240)*Лэндинг!$F$5:$F$300*Лэндинг!$G$5:$G$300)+SUMPRODUCT((Закрытые!$E$5:$E$300=$B240)*(LEFT(Закрытые!$B$5:$B$300,2)="L-")*Закрытые!$F$5:$F$300*Закрытые!$G$5:$G$300))/C240)</f>
        <v/>
      </c>
      <c r="E240" s="247" t="str">
        <f>IF(C240="","",SUMIFS(Лэндинг!$H$5:$H$300,Лэндинг!$E$5:$E$300,$B240)+SUMIFS(Закрытые!$H$5:$H$300,Закрытые!$E$5:$E$300,$B240,Закрытые!$B$5:$B$300,"L-*"))</f>
        <v/>
      </c>
      <c r="F240" s="246" t="str">
        <f>IF(SUMIFS(Лэндинг!$I$5:$I$300,Лэндинг!$E$5:$E$300,$B240)+SUMIFS(Закрытые!$I$5:$I$300,Закрытые!$E$5:$E$300,$B240,Закрытые!$B$5:$B$300,"L-*")=0,"",SUMIFS(Лэндинг!$I$5:$I$300,Лэндинг!$E$5:$E$300,$B240)+SUMIFS(Закрытые!$I$5:$I$300,Закрытые!$E$5:$E$300,$B240,Закрытые!$B$5:$B$300,"L-*"))</f>
        <v/>
      </c>
      <c r="G240" s="183" t="str">
        <f>IF(F240="","",(SUMPRODUCT((Лэндинг!$E$5:$E$300=$B240)*Лэндинг!$I$5:$I$300*Лэндинг!$J$5:$J$300)+SUMPRODUCT((Закрытые!$E$5:$E$300=$B240)*(LEFT(Закрытые!$B$5:$B$300,2)="L-")*Закрытые!$I$5:$I$300*Закрытые!$J$5:$J$300))/F240)</f>
        <v/>
      </c>
      <c r="H240" s="247" t="str">
        <f>IF(F240="","",SUMIFS(Лэндинг!$K$5:$K$300,Лэндинг!$E$5:$E$300,$B240)+SUMIFS(Закрытые!$K$5:$K$300,Закрытые!$E$5:$E$300,$B240,Закрытые!$B$5:$B$300,"L-*"))</f>
        <v/>
      </c>
      <c r="I240" s="246" t="str">
        <f>IF($B240="","",IF(COUNTIFS(Лэндинг!$E$5:$E$300,$B240)+COUNTIFS(Закрытые!$E$5:$E$300,$B240,Закрытые!$B$5:$B$300,"L-*")=0,"",ROUND(SUMIFS(Лэндинг!$L$5:$L$300,Лэндинг!$E$5:$E$300,$B240)+SUMIFS(Закрытые!$L$5:$L$300,Закрытые!$E$5:$E$300,$B240,Закрытые!$B$5:$B$300,"L-*"),8)))</f>
        <v/>
      </c>
      <c r="J240" s="247" t="str">
        <f>IF($B240="","",IF(COUNTIFS(Лэндинг!$E$5:$E$300,$B240)+COUNTIFS(Закрытые!$E$5:$E$300,$B240,Закрытые!$B$5:$B$300,"L-*")=0,"",ROUND(SUMIFS(Лэндинг!$M$5:$M$300,Лэндинг!$E$5:$E$300,$B240)+SUMIFS(Закрытые!$M$5:$M$300,Закрытые!$E$5:$E$300,$B240,Закрытые!$B$5:$B$300,"L-*"),8)))</f>
        <v/>
      </c>
      <c r="K240" s="246" t="str">
        <f>IF(MIN(N(C240),N(F240))&lt;=0,"",ROUND(MIN(N(C240),N(F240))*(N(G240)-N(D240)),8))</f>
        <v/>
      </c>
      <c r="L240" s="183" t="str">
        <f>IF(MIN(N(C240),N(F240))&lt;=0,"",IF(N(D240)=0,"",ROUND((N(G240)/N(D240)-1)*100,2)))</f>
        <v/>
      </c>
      <c r="M240" s="183" t="str">
        <f>IF(OR(ROUND(N(C240)-N(F240),8)=0,1-N(Ввод!$J$19)/100&lt;=0),"",IF(N(C240)&gt;N(F240),(N(E240)-N(H240))/((N(C240)-N(F240))*(1-N(Ввод!$J$19)/100)),(N(H240)-N(E240))/((N(F240)-N(C240))*(1+N(Ввод!$J$19)/100))))</f>
        <v/>
      </c>
    </row>
    <row r="241" ht="22" customHeight="1">
      <c r="B241" s="239" t="n"/>
      <c r="C241" s="240" t="str">
        <f>IF(SUMIFS(Лэндинг!$F$5:$F$300,Лэндинг!$E$5:$E$300,$B241)+SUMIFS(Закрытые!$F$5:$F$300,Закрытые!$E$5:$E$300,$B241,Закрытые!$B$5:$B$300,"L-*")=0,"",SUMIFS(Лэндинг!$F$5:$F$300,Лэндинг!$E$5:$E$300,$B241)+SUMIFS(Закрытые!$F$5:$F$300,Закрытые!$E$5:$E$300,$B241,Закрытые!$B$5:$B$300,"L-*"))</f>
        <v/>
      </c>
      <c r="D241" s="177" t="str">
        <f>IF(C241="","",(SUMPRODUCT((Лэндинг!$E$5:$E$300=$B241)*Лэндинг!$F$5:$F$300*Лэндинг!$G$5:$G$300)+SUMPRODUCT((Закрытые!$E$5:$E$300=$B241)*(LEFT(Закрытые!$B$5:$B$300,2)="L-")*Закрытые!$F$5:$F$300*Закрытые!$G$5:$G$300))/C241)</f>
        <v/>
      </c>
      <c r="E241" s="241" t="str">
        <f>IF(C241="","",SUMIFS(Лэндинг!$H$5:$H$300,Лэндинг!$E$5:$E$300,$B241)+SUMIFS(Закрытые!$H$5:$H$300,Закрытые!$E$5:$E$300,$B241,Закрытые!$B$5:$B$300,"L-*"))</f>
        <v/>
      </c>
      <c r="F241" s="240" t="str">
        <f>IF(SUMIFS(Лэндинг!$I$5:$I$300,Лэндинг!$E$5:$E$300,$B241)+SUMIFS(Закрытые!$I$5:$I$300,Закрытые!$E$5:$E$300,$B241,Закрытые!$B$5:$B$300,"L-*")=0,"",SUMIFS(Лэндинг!$I$5:$I$300,Лэндинг!$E$5:$E$300,$B241)+SUMIFS(Закрытые!$I$5:$I$300,Закрытые!$E$5:$E$300,$B241,Закрытые!$B$5:$B$300,"L-*"))</f>
        <v/>
      </c>
      <c r="G241" s="177" t="str">
        <f>IF(F241="","",(SUMPRODUCT((Лэндинг!$E$5:$E$300=$B241)*Лэндинг!$I$5:$I$300*Лэндинг!$J$5:$J$300)+SUMPRODUCT((Закрытые!$E$5:$E$300=$B241)*(LEFT(Закрытые!$B$5:$B$300,2)="L-")*Закрытые!$I$5:$I$300*Закрытые!$J$5:$J$300))/F241)</f>
        <v/>
      </c>
      <c r="H241" s="241" t="str">
        <f>IF(F241="","",SUMIFS(Лэндинг!$K$5:$K$300,Лэндинг!$E$5:$E$300,$B241)+SUMIFS(Закрытые!$K$5:$K$300,Закрытые!$E$5:$E$300,$B241,Закрытые!$B$5:$B$300,"L-*"))</f>
        <v/>
      </c>
      <c r="I241" s="240" t="str">
        <f>IF($B241="","",IF(COUNTIFS(Лэндинг!$E$5:$E$300,$B241)+COUNTIFS(Закрытые!$E$5:$E$300,$B241,Закрытые!$B$5:$B$300,"L-*")=0,"",ROUND(SUMIFS(Лэндинг!$L$5:$L$300,Лэндинг!$E$5:$E$300,$B241)+SUMIFS(Закрытые!$L$5:$L$300,Закрытые!$E$5:$E$300,$B241,Закрытые!$B$5:$B$300,"L-*"),8)))</f>
        <v/>
      </c>
      <c r="J241" s="241" t="str">
        <f>IF($B241="","",IF(COUNTIFS(Лэндинг!$E$5:$E$300,$B241)+COUNTIFS(Закрытые!$E$5:$E$300,$B241,Закрытые!$B$5:$B$300,"L-*")=0,"",ROUND(SUMIFS(Лэндинг!$M$5:$M$300,Лэндинг!$E$5:$E$300,$B241)+SUMIFS(Закрытые!$M$5:$M$300,Закрытые!$E$5:$E$300,$B241,Закрытые!$B$5:$B$300,"L-*"),8)))</f>
        <v/>
      </c>
      <c r="K241" s="240" t="str">
        <f>IF(MIN(N(C241),N(F241))&lt;=0,"",ROUND(MIN(N(C241),N(F241))*(N(G241)-N(D241)),8))</f>
        <v/>
      </c>
      <c r="L241" s="177" t="str">
        <f>IF(MIN(N(C241),N(F241))&lt;=0,"",IF(N(D241)=0,"",ROUND((N(G241)/N(D241)-1)*100,2)))</f>
        <v/>
      </c>
      <c r="M241" s="177" t="str">
        <f>IF(OR(ROUND(N(C241)-N(F241),8)=0,1-N(Ввод!$J$19)/100&lt;=0),"",IF(N(C241)&gt;N(F241),(N(E241)-N(H241))/((N(C241)-N(F241))*(1-N(Ввод!$J$19)/100)),(N(H241)-N(E241))/((N(F241)-N(C241))*(1+N(Ввод!$J$19)/100))))</f>
        <v/>
      </c>
    </row>
    <row r="242" ht="22" customHeight="1">
      <c r="B242" s="245" t="n"/>
      <c r="C242" s="246" t="str">
        <f>IF(SUMIFS(Лэндинг!$F$5:$F$300,Лэндинг!$E$5:$E$300,$B242)+SUMIFS(Закрытые!$F$5:$F$300,Закрытые!$E$5:$E$300,$B242,Закрытые!$B$5:$B$300,"L-*")=0,"",SUMIFS(Лэндинг!$F$5:$F$300,Лэндинг!$E$5:$E$300,$B242)+SUMIFS(Закрытые!$F$5:$F$300,Закрытые!$E$5:$E$300,$B242,Закрытые!$B$5:$B$300,"L-*"))</f>
        <v/>
      </c>
      <c r="D242" s="183" t="str">
        <f>IF(C242="","",(SUMPRODUCT((Лэндинг!$E$5:$E$300=$B242)*Лэндинг!$F$5:$F$300*Лэндинг!$G$5:$G$300)+SUMPRODUCT((Закрытые!$E$5:$E$300=$B242)*(LEFT(Закрытые!$B$5:$B$300,2)="L-")*Закрытые!$F$5:$F$300*Закрытые!$G$5:$G$300))/C242)</f>
        <v/>
      </c>
      <c r="E242" s="247" t="str">
        <f>IF(C242="","",SUMIFS(Лэндинг!$H$5:$H$300,Лэндинг!$E$5:$E$300,$B242)+SUMIFS(Закрытые!$H$5:$H$300,Закрытые!$E$5:$E$300,$B242,Закрытые!$B$5:$B$300,"L-*"))</f>
        <v/>
      </c>
      <c r="F242" s="246" t="str">
        <f>IF(SUMIFS(Лэндинг!$I$5:$I$300,Лэндинг!$E$5:$E$300,$B242)+SUMIFS(Закрытые!$I$5:$I$300,Закрытые!$E$5:$E$300,$B242,Закрытые!$B$5:$B$300,"L-*")=0,"",SUMIFS(Лэндинг!$I$5:$I$300,Лэндинг!$E$5:$E$300,$B242)+SUMIFS(Закрытые!$I$5:$I$300,Закрытые!$E$5:$E$300,$B242,Закрытые!$B$5:$B$300,"L-*"))</f>
        <v/>
      </c>
      <c r="G242" s="183" t="str">
        <f>IF(F242="","",(SUMPRODUCT((Лэндинг!$E$5:$E$300=$B242)*Лэндинг!$I$5:$I$300*Лэндинг!$J$5:$J$300)+SUMPRODUCT((Закрытые!$E$5:$E$300=$B242)*(LEFT(Закрытые!$B$5:$B$300,2)="L-")*Закрытые!$I$5:$I$300*Закрытые!$J$5:$J$300))/F242)</f>
        <v/>
      </c>
      <c r="H242" s="247" t="str">
        <f>IF(F242="","",SUMIFS(Лэндинг!$K$5:$K$300,Лэндинг!$E$5:$E$300,$B242)+SUMIFS(Закрытые!$K$5:$K$300,Закрытые!$E$5:$E$300,$B242,Закрытые!$B$5:$B$300,"L-*"))</f>
        <v/>
      </c>
      <c r="I242" s="246" t="str">
        <f>IF($B242="","",IF(COUNTIFS(Лэндинг!$E$5:$E$300,$B242)+COUNTIFS(Закрытые!$E$5:$E$300,$B242,Закрытые!$B$5:$B$300,"L-*")=0,"",ROUND(SUMIFS(Лэндинг!$L$5:$L$300,Лэндинг!$E$5:$E$300,$B242)+SUMIFS(Закрытые!$L$5:$L$300,Закрытые!$E$5:$E$300,$B242,Закрытые!$B$5:$B$300,"L-*"),8)))</f>
        <v/>
      </c>
      <c r="J242" s="247" t="str">
        <f>IF($B242="","",IF(COUNTIFS(Лэндинг!$E$5:$E$300,$B242)+COUNTIFS(Закрытые!$E$5:$E$300,$B242,Закрытые!$B$5:$B$300,"L-*")=0,"",ROUND(SUMIFS(Лэндинг!$M$5:$M$300,Лэндинг!$E$5:$E$300,$B242)+SUMIFS(Закрытые!$M$5:$M$300,Закрытые!$E$5:$E$300,$B242,Закрытые!$B$5:$B$300,"L-*"),8)))</f>
        <v/>
      </c>
      <c r="K242" s="246" t="str">
        <f>IF(MIN(N(C242),N(F242))&lt;=0,"",ROUND(MIN(N(C242),N(F242))*(N(G242)-N(D242)),8))</f>
        <v/>
      </c>
      <c r="L242" s="183" t="str">
        <f>IF(MIN(N(C242),N(F242))&lt;=0,"",IF(N(D242)=0,"",ROUND((N(G242)/N(D242)-1)*100,2)))</f>
        <v/>
      </c>
      <c r="M242" s="183" t="str">
        <f>IF(OR(ROUND(N(C242)-N(F242),8)=0,1-N(Ввод!$J$19)/100&lt;=0),"",IF(N(C242)&gt;N(F242),(N(E242)-N(H242))/((N(C242)-N(F242))*(1-N(Ввод!$J$19)/100)),(N(H242)-N(E242))/((N(F242)-N(C242))*(1+N(Ввод!$J$19)/100))))</f>
        <v/>
      </c>
    </row>
    <row r="243" ht="22" customHeight="1">
      <c r="B243" s="239" t="n"/>
      <c r="C243" s="240" t="str">
        <f>IF(SUMIFS(Лэндинг!$F$5:$F$300,Лэндинг!$E$5:$E$300,$B243)+SUMIFS(Закрытые!$F$5:$F$300,Закрытые!$E$5:$E$300,$B243,Закрытые!$B$5:$B$300,"L-*")=0,"",SUMIFS(Лэндинг!$F$5:$F$300,Лэндинг!$E$5:$E$300,$B243)+SUMIFS(Закрытые!$F$5:$F$300,Закрытые!$E$5:$E$300,$B243,Закрытые!$B$5:$B$300,"L-*"))</f>
        <v/>
      </c>
      <c r="D243" s="177" t="str">
        <f>IF(C243="","",(SUMPRODUCT((Лэндинг!$E$5:$E$300=$B243)*Лэндинг!$F$5:$F$300*Лэндинг!$G$5:$G$300)+SUMPRODUCT((Закрытые!$E$5:$E$300=$B243)*(LEFT(Закрытые!$B$5:$B$300,2)="L-")*Закрытые!$F$5:$F$300*Закрытые!$G$5:$G$300))/C243)</f>
        <v/>
      </c>
      <c r="E243" s="241" t="str">
        <f>IF(C243="","",SUMIFS(Лэндинг!$H$5:$H$300,Лэндинг!$E$5:$E$300,$B243)+SUMIFS(Закрытые!$H$5:$H$300,Закрытые!$E$5:$E$300,$B243,Закрытые!$B$5:$B$300,"L-*"))</f>
        <v/>
      </c>
      <c r="F243" s="240" t="str">
        <f>IF(SUMIFS(Лэндинг!$I$5:$I$300,Лэндинг!$E$5:$E$300,$B243)+SUMIFS(Закрытые!$I$5:$I$300,Закрытые!$E$5:$E$300,$B243,Закрытые!$B$5:$B$300,"L-*")=0,"",SUMIFS(Лэндинг!$I$5:$I$300,Лэндинг!$E$5:$E$300,$B243)+SUMIFS(Закрытые!$I$5:$I$300,Закрытые!$E$5:$E$300,$B243,Закрытые!$B$5:$B$300,"L-*"))</f>
        <v/>
      </c>
      <c r="G243" s="177" t="str">
        <f>IF(F243="","",(SUMPRODUCT((Лэндинг!$E$5:$E$300=$B243)*Лэндинг!$I$5:$I$300*Лэндинг!$J$5:$J$300)+SUMPRODUCT((Закрытые!$E$5:$E$300=$B243)*(LEFT(Закрытые!$B$5:$B$300,2)="L-")*Закрытые!$I$5:$I$300*Закрытые!$J$5:$J$300))/F243)</f>
        <v/>
      </c>
      <c r="H243" s="241" t="str">
        <f>IF(F243="","",SUMIFS(Лэндинг!$K$5:$K$300,Лэндинг!$E$5:$E$300,$B243)+SUMIFS(Закрытые!$K$5:$K$300,Закрытые!$E$5:$E$300,$B243,Закрытые!$B$5:$B$300,"L-*"))</f>
        <v/>
      </c>
      <c r="I243" s="240" t="str">
        <f>IF($B243="","",IF(COUNTIFS(Лэндинг!$E$5:$E$300,$B243)+COUNTIFS(Закрытые!$E$5:$E$300,$B243,Закрытые!$B$5:$B$300,"L-*")=0,"",ROUND(SUMIFS(Лэндинг!$L$5:$L$300,Лэндинг!$E$5:$E$300,$B243)+SUMIFS(Закрытые!$L$5:$L$300,Закрытые!$E$5:$E$300,$B243,Закрытые!$B$5:$B$300,"L-*"),8)))</f>
        <v/>
      </c>
      <c r="J243" s="241" t="str">
        <f>IF($B243="","",IF(COUNTIFS(Лэндинг!$E$5:$E$300,$B243)+COUNTIFS(Закрытые!$E$5:$E$300,$B243,Закрытые!$B$5:$B$300,"L-*")=0,"",ROUND(SUMIFS(Лэндинг!$M$5:$M$300,Лэндинг!$E$5:$E$300,$B243)+SUMIFS(Закрытые!$M$5:$M$300,Закрытые!$E$5:$E$300,$B243,Закрытые!$B$5:$B$300,"L-*"),8)))</f>
        <v/>
      </c>
      <c r="K243" s="240" t="str">
        <f>IF(MIN(N(C243),N(F243))&lt;=0,"",ROUND(MIN(N(C243),N(F243))*(N(G243)-N(D243)),8))</f>
        <v/>
      </c>
      <c r="L243" s="177" t="str">
        <f>IF(MIN(N(C243),N(F243))&lt;=0,"",IF(N(D243)=0,"",ROUND((N(G243)/N(D243)-1)*100,2)))</f>
        <v/>
      </c>
      <c r="M243" s="177" t="str">
        <f>IF(OR(ROUND(N(C243)-N(F243),8)=0,1-N(Ввод!$J$19)/100&lt;=0),"",IF(N(C243)&gt;N(F243),(N(E243)-N(H243))/((N(C243)-N(F243))*(1-N(Ввод!$J$19)/100)),(N(H243)-N(E243))/((N(F243)-N(C243))*(1+N(Ввод!$J$19)/100))))</f>
        <v/>
      </c>
    </row>
    <row r="244" ht="22" customHeight="1">
      <c r="B244" s="245" t="n"/>
      <c r="C244" s="246" t="str">
        <f>IF(SUMIFS(Лэндинг!$F$5:$F$300,Лэндинг!$E$5:$E$300,$B244)+SUMIFS(Закрытые!$F$5:$F$300,Закрытые!$E$5:$E$300,$B244,Закрытые!$B$5:$B$300,"L-*")=0,"",SUMIFS(Лэндинг!$F$5:$F$300,Лэндинг!$E$5:$E$300,$B244)+SUMIFS(Закрытые!$F$5:$F$300,Закрытые!$E$5:$E$300,$B244,Закрытые!$B$5:$B$300,"L-*"))</f>
        <v/>
      </c>
      <c r="D244" s="183" t="str">
        <f>IF(C244="","",(SUMPRODUCT((Лэндинг!$E$5:$E$300=$B244)*Лэндинг!$F$5:$F$300*Лэндинг!$G$5:$G$300)+SUMPRODUCT((Закрытые!$E$5:$E$300=$B244)*(LEFT(Закрытые!$B$5:$B$300,2)="L-")*Закрытые!$F$5:$F$300*Закрытые!$G$5:$G$300))/C244)</f>
        <v/>
      </c>
      <c r="E244" s="247" t="str">
        <f>IF(C244="","",SUMIFS(Лэндинг!$H$5:$H$300,Лэндинг!$E$5:$E$300,$B244)+SUMIFS(Закрытые!$H$5:$H$300,Закрытые!$E$5:$E$300,$B244,Закрытые!$B$5:$B$300,"L-*"))</f>
        <v/>
      </c>
      <c r="F244" s="246" t="str">
        <f>IF(SUMIFS(Лэндинг!$I$5:$I$300,Лэндинг!$E$5:$E$300,$B244)+SUMIFS(Закрытые!$I$5:$I$300,Закрытые!$E$5:$E$300,$B244,Закрытые!$B$5:$B$300,"L-*")=0,"",SUMIFS(Лэндинг!$I$5:$I$300,Лэндинг!$E$5:$E$300,$B244)+SUMIFS(Закрытые!$I$5:$I$300,Закрытые!$E$5:$E$300,$B244,Закрытые!$B$5:$B$300,"L-*"))</f>
        <v/>
      </c>
      <c r="G244" s="183" t="str">
        <f>IF(F244="","",(SUMPRODUCT((Лэндинг!$E$5:$E$300=$B244)*Лэндинг!$I$5:$I$300*Лэндинг!$J$5:$J$300)+SUMPRODUCT((Закрытые!$E$5:$E$300=$B244)*(LEFT(Закрытые!$B$5:$B$300,2)="L-")*Закрытые!$I$5:$I$300*Закрытые!$J$5:$J$300))/F244)</f>
        <v/>
      </c>
      <c r="H244" s="247" t="str">
        <f>IF(F244="","",SUMIFS(Лэндинг!$K$5:$K$300,Лэндинг!$E$5:$E$300,$B244)+SUMIFS(Закрытые!$K$5:$K$300,Закрытые!$E$5:$E$300,$B244,Закрытые!$B$5:$B$300,"L-*"))</f>
        <v/>
      </c>
      <c r="I244" s="246" t="str">
        <f>IF($B244="","",IF(COUNTIFS(Лэндинг!$E$5:$E$300,$B244)+COUNTIFS(Закрытые!$E$5:$E$300,$B244,Закрытые!$B$5:$B$300,"L-*")=0,"",ROUND(SUMIFS(Лэндинг!$L$5:$L$300,Лэндинг!$E$5:$E$300,$B244)+SUMIFS(Закрытые!$L$5:$L$300,Закрытые!$E$5:$E$300,$B244,Закрытые!$B$5:$B$300,"L-*"),8)))</f>
        <v/>
      </c>
      <c r="J244" s="247" t="str">
        <f>IF($B244="","",IF(COUNTIFS(Лэндинг!$E$5:$E$300,$B244)+COUNTIFS(Закрытые!$E$5:$E$300,$B244,Закрытые!$B$5:$B$300,"L-*")=0,"",ROUND(SUMIFS(Лэндинг!$M$5:$M$300,Лэндинг!$E$5:$E$300,$B244)+SUMIFS(Закрытые!$M$5:$M$300,Закрытые!$E$5:$E$300,$B244,Закрытые!$B$5:$B$300,"L-*"),8)))</f>
        <v/>
      </c>
      <c r="K244" s="246" t="str">
        <f>IF(MIN(N(C244),N(F244))&lt;=0,"",ROUND(MIN(N(C244),N(F244))*(N(G244)-N(D244)),8))</f>
        <v/>
      </c>
      <c r="L244" s="183" t="str">
        <f>IF(MIN(N(C244),N(F244))&lt;=0,"",IF(N(D244)=0,"",ROUND((N(G244)/N(D244)-1)*100,2)))</f>
        <v/>
      </c>
      <c r="M244" s="183" t="str">
        <f>IF(OR(ROUND(N(C244)-N(F244),8)=0,1-N(Ввод!$J$19)/100&lt;=0),"",IF(N(C244)&gt;N(F244),(N(E244)-N(H244))/((N(C244)-N(F244))*(1-N(Ввод!$J$19)/100)),(N(H244)-N(E244))/((N(F244)-N(C244))*(1+N(Ввод!$J$19)/100))))</f>
        <v/>
      </c>
    </row>
    <row r="245" ht="22" customHeight="1">
      <c r="B245" s="239" t="n"/>
      <c r="C245" s="240" t="str">
        <f>IF(SUMIFS(Лэндинг!$F$5:$F$300,Лэндинг!$E$5:$E$300,$B245)+SUMIFS(Закрытые!$F$5:$F$300,Закрытые!$E$5:$E$300,$B245,Закрытые!$B$5:$B$300,"L-*")=0,"",SUMIFS(Лэндинг!$F$5:$F$300,Лэндинг!$E$5:$E$300,$B245)+SUMIFS(Закрытые!$F$5:$F$300,Закрытые!$E$5:$E$300,$B245,Закрытые!$B$5:$B$300,"L-*"))</f>
        <v/>
      </c>
      <c r="D245" s="177" t="str">
        <f>IF(C245="","",(SUMPRODUCT((Лэндинг!$E$5:$E$300=$B245)*Лэндинг!$F$5:$F$300*Лэндинг!$G$5:$G$300)+SUMPRODUCT((Закрытые!$E$5:$E$300=$B245)*(LEFT(Закрытые!$B$5:$B$300,2)="L-")*Закрытые!$F$5:$F$300*Закрытые!$G$5:$G$300))/C245)</f>
        <v/>
      </c>
      <c r="E245" s="241" t="str">
        <f>IF(C245="","",SUMIFS(Лэндинг!$H$5:$H$300,Лэндинг!$E$5:$E$300,$B245)+SUMIFS(Закрытые!$H$5:$H$300,Закрытые!$E$5:$E$300,$B245,Закрытые!$B$5:$B$300,"L-*"))</f>
        <v/>
      </c>
      <c r="F245" s="240" t="str">
        <f>IF(SUMIFS(Лэндинг!$I$5:$I$300,Лэндинг!$E$5:$E$300,$B245)+SUMIFS(Закрытые!$I$5:$I$300,Закрытые!$E$5:$E$300,$B245,Закрытые!$B$5:$B$300,"L-*")=0,"",SUMIFS(Лэндинг!$I$5:$I$300,Лэндинг!$E$5:$E$300,$B245)+SUMIFS(Закрытые!$I$5:$I$300,Закрытые!$E$5:$E$300,$B245,Закрытые!$B$5:$B$300,"L-*"))</f>
        <v/>
      </c>
      <c r="G245" s="177" t="str">
        <f>IF(F245="","",(SUMPRODUCT((Лэндинг!$E$5:$E$300=$B245)*Лэндинг!$I$5:$I$300*Лэндинг!$J$5:$J$300)+SUMPRODUCT((Закрытые!$E$5:$E$300=$B245)*(LEFT(Закрытые!$B$5:$B$300,2)="L-")*Закрытые!$I$5:$I$300*Закрытые!$J$5:$J$300))/F245)</f>
        <v/>
      </c>
      <c r="H245" s="241" t="str">
        <f>IF(F245="","",SUMIFS(Лэндинг!$K$5:$K$300,Лэндинг!$E$5:$E$300,$B245)+SUMIFS(Закрытые!$K$5:$K$300,Закрытые!$E$5:$E$300,$B245,Закрытые!$B$5:$B$300,"L-*"))</f>
        <v/>
      </c>
      <c r="I245" s="240" t="str">
        <f>IF($B245="","",IF(COUNTIFS(Лэндинг!$E$5:$E$300,$B245)+COUNTIFS(Закрытые!$E$5:$E$300,$B245,Закрытые!$B$5:$B$300,"L-*")=0,"",ROUND(SUMIFS(Лэндинг!$L$5:$L$300,Лэндинг!$E$5:$E$300,$B245)+SUMIFS(Закрытые!$L$5:$L$300,Закрытые!$E$5:$E$300,$B245,Закрытые!$B$5:$B$300,"L-*"),8)))</f>
        <v/>
      </c>
      <c r="J245" s="241" t="str">
        <f>IF($B245="","",IF(COUNTIFS(Лэндинг!$E$5:$E$300,$B245)+COUNTIFS(Закрытые!$E$5:$E$300,$B245,Закрытые!$B$5:$B$300,"L-*")=0,"",ROUND(SUMIFS(Лэндинг!$M$5:$M$300,Лэндинг!$E$5:$E$300,$B245)+SUMIFS(Закрытые!$M$5:$M$300,Закрытые!$E$5:$E$300,$B245,Закрытые!$B$5:$B$300,"L-*"),8)))</f>
        <v/>
      </c>
      <c r="K245" s="240" t="str">
        <f>IF(MIN(N(C245),N(F245))&lt;=0,"",ROUND(MIN(N(C245),N(F245))*(N(G245)-N(D245)),8))</f>
        <v/>
      </c>
      <c r="L245" s="177" t="str">
        <f>IF(MIN(N(C245),N(F245))&lt;=0,"",IF(N(D245)=0,"",ROUND((N(G245)/N(D245)-1)*100,2)))</f>
        <v/>
      </c>
      <c r="M245" s="177" t="str">
        <f>IF(OR(ROUND(N(C245)-N(F245),8)=0,1-N(Ввод!$J$19)/100&lt;=0),"",IF(N(C245)&gt;N(F245),(N(E245)-N(H245))/((N(C245)-N(F245))*(1-N(Ввод!$J$19)/100)),(N(H245)-N(E245))/((N(F245)-N(C245))*(1+N(Ввод!$J$19)/100))))</f>
        <v/>
      </c>
    </row>
    <row r="246" ht="22" customHeight="1">
      <c r="B246" s="245" t="n"/>
      <c r="C246" s="246" t="str">
        <f>IF(SUMIFS(Лэндинг!$F$5:$F$300,Лэндинг!$E$5:$E$300,$B246)+SUMIFS(Закрытые!$F$5:$F$300,Закрытые!$E$5:$E$300,$B246,Закрытые!$B$5:$B$300,"L-*")=0,"",SUMIFS(Лэндинг!$F$5:$F$300,Лэндинг!$E$5:$E$300,$B246)+SUMIFS(Закрытые!$F$5:$F$300,Закрытые!$E$5:$E$300,$B246,Закрытые!$B$5:$B$300,"L-*"))</f>
        <v/>
      </c>
      <c r="D246" s="183" t="str">
        <f>IF(C246="","",(SUMPRODUCT((Лэндинг!$E$5:$E$300=$B246)*Лэндинг!$F$5:$F$300*Лэндинг!$G$5:$G$300)+SUMPRODUCT((Закрытые!$E$5:$E$300=$B246)*(LEFT(Закрытые!$B$5:$B$300,2)="L-")*Закрытые!$F$5:$F$300*Закрытые!$G$5:$G$300))/C246)</f>
        <v/>
      </c>
      <c r="E246" s="247" t="str">
        <f>IF(C246="","",SUMIFS(Лэндинг!$H$5:$H$300,Лэндинг!$E$5:$E$300,$B246)+SUMIFS(Закрытые!$H$5:$H$300,Закрытые!$E$5:$E$300,$B246,Закрытые!$B$5:$B$300,"L-*"))</f>
        <v/>
      </c>
      <c r="F246" s="246" t="str">
        <f>IF(SUMIFS(Лэндинг!$I$5:$I$300,Лэндинг!$E$5:$E$300,$B246)+SUMIFS(Закрытые!$I$5:$I$300,Закрытые!$E$5:$E$300,$B246,Закрытые!$B$5:$B$300,"L-*")=0,"",SUMIFS(Лэндинг!$I$5:$I$300,Лэндинг!$E$5:$E$300,$B246)+SUMIFS(Закрытые!$I$5:$I$300,Закрытые!$E$5:$E$300,$B246,Закрытые!$B$5:$B$300,"L-*"))</f>
        <v/>
      </c>
      <c r="G246" s="183" t="str">
        <f>IF(F246="","",(SUMPRODUCT((Лэндинг!$E$5:$E$300=$B246)*Лэндинг!$I$5:$I$300*Лэндинг!$J$5:$J$300)+SUMPRODUCT((Закрытые!$E$5:$E$300=$B246)*(LEFT(Закрытые!$B$5:$B$300,2)="L-")*Закрытые!$I$5:$I$300*Закрытые!$J$5:$J$300))/F246)</f>
        <v/>
      </c>
      <c r="H246" s="247" t="str">
        <f>IF(F246="","",SUMIFS(Лэндинг!$K$5:$K$300,Лэндинг!$E$5:$E$300,$B246)+SUMIFS(Закрытые!$K$5:$K$300,Закрытые!$E$5:$E$300,$B246,Закрытые!$B$5:$B$300,"L-*"))</f>
        <v/>
      </c>
      <c r="I246" s="246" t="str">
        <f>IF($B246="","",IF(COUNTIFS(Лэндинг!$E$5:$E$300,$B246)+COUNTIFS(Закрытые!$E$5:$E$300,$B246,Закрытые!$B$5:$B$300,"L-*")=0,"",ROUND(SUMIFS(Лэндинг!$L$5:$L$300,Лэндинг!$E$5:$E$300,$B246)+SUMIFS(Закрытые!$L$5:$L$300,Закрытые!$E$5:$E$300,$B246,Закрытые!$B$5:$B$300,"L-*"),8)))</f>
        <v/>
      </c>
      <c r="J246" s="247" t="str">
        <f>IF($B246="","",IF(COUNTIFS(Лэндинг!$E$5:$E$300,$B246)+COUNTIFS(Закрытые!$E$5:$E$300,$B246,Закрытые!$B$5:$B$300,"L-*")=0,"",ROUND(SUMIFS(Лэндинг!$M$5:$M$300,Лэндинг!$E$5:$E$300,$B246)+SUMIFS(Закрытые!$M$5:$M$300,Закрытые!$E$5:$E$300,$B246,Закрытые!$B$5:$B$300,"L-*"),8)))</f>
        <v/>
      </c>
      <c r="K246" s="246" t="str">
        <f>IF(MIN(N(C246),N(F246))&lt;=0,"",ROUND(MIN(N(C246),N(F246))*(N(G246)-N(D246)),8))</f>
        <v/>
      </c>
      <c r="L246" s="183" t="str">
        <f>IF(MIN(N(C246),N(F246))&lt;=0,"",IF(N(D246)=0,"",ROUND((N(G246)/N(D246)-1)*100,2)))</f>
        <v/>
      </c>
      <c r="M246" s="183" t="str">
        <f>IF(OR(ROUND(N(C246)-N(F246),8)=0,1-N(Ввод!$J$19)/100&lt;=0),"",IF(N(C246)&gt;N(F246),(N(E246)-N(H246))/((N(C246)-N(F246))*(1-N(Ввод!$J$19)/100)),(N(H246)-N(E246))/((N(F246)-N(C246))*(1+N(Ввод!$J$19)/100))))</f>
        <v/>
      </c>
    </row>
    <row r="247" ht="22" customHeight="1">
      <c r="B247" s="239" t="n"/>
      <c r="C247" s="240" t="str">
        <f>IF(SUMIFS(Лэндинг!$F$5:$F$300,Лэндинг!$E$5:$E$300,$B247)+SUMIFS(Закрытые!$F$5:$F$300,Закрытые!$E$5:$E$300,$B247,Закрытые!$B$5:$B$300,"L-*")=0,"",SUMIFS(Лэндинг!$F$5:$F$300,Лэндинг!$E$5:$E$300,$B247)+SUMIFS(Закрытые!$F$5:$F$300,Закрытые!$E$5:$E$300,$B247,Закрытые!$B$5:$B$300,"L-*"))</f>
        <v/>
      </c>
      <c r="D247" s="177" t="str">
        <f>IF(C247="","",(SUMPRODUCT((Лэндинг!$E$5:$E$300=$B247)*Лэндинг!$F$5:$F$300*Лэндинг!$G$5:$G$300)+SUMPRODUCT((Закрытые!$E$5:$E$300=$B247)*(LEFT(Закрытые!$B$5:$B$300,2)="L-")*Закрытые!$F$5:$F$300*Закрытые!$G$5:$G$300))/C247)</f>
        <v/>
      </c>
      <c r="E247" s="241" t="str">
        <f>IF(C247="","",SUMIFS(Лэндинг!$H$5:$H$300,Лэндинг!$E$5:$E$300,$B247)+SUMIFS(Закрытые!$H$5:$H$300,Закрытые!$E$5:$E$300,$B247,Закрытые!$B$5:$B$300,"L-*"))</f>
        <v/>
      </c>
      <c r="F247" s="240" t="str">
        <f>IF(SUMIFS(Лэндинг!$I$5:$I$300,Лэндинг!$E$5:$E$300,$B247)+SUMIFS(Закрытые!$I$5:$I$300,Закрытые!$E$5:$E$300,$B247,Закрытые!$B$5:$B$300,"L-*")=0,"",SUMIFS(Лэндинг!$I$5:$I$300,Лэндинг!$E$5:$E$300,$B247)+SUMIFS(Закрытые!$I$5:$I$300,Закрытые!$E$5:$E$300,$B247,Закрытые!$B$5:$B$300,"L-*"))</f>
        <v/>
      </c>
      <c r="G247" s="177" t="str">
        <f>IF(F247="","",(SUMPRODUCT((Лэндинг!$E$5:$E$300=$B247)*Лэндинг!$I$5:$I$300*Лэндинг!$J$5:$J$300)+SUMPRODUCT((Закрытые!$E$5:$E$300=$B247)*(LEFT(Закрытые!$B$5:$B$300,2)="L-")*Закрытые!$I$5:$I$300*Закрытые!$J$5:$J$300))/F247)</f>
        <v/>
      </c>
      <c r="H247" s="241" t="str">
        <f>IF(F247="","",SUMIFS(Лэндинг!$K$5:$K$300,Лэндинг!$E$5:$E$300,$B247)+SUMIFS(Закрытые!$K$5:$K$300,Закрытые!$E$5:$E$300,$B247,Закрытые!$B$5:$B$300,"L-*"))</f>
        <v/>
      </c>
      <c r="I247" s="240" t="str">
        <f>IF($B247="","",IF(COUNTIFS(Лэндинг!$E$5:$E$300,$B247)+COUNTIFS(Закрытые!$E$5:$E$300,$B247,Закрытые!$B$5:$B$300,"L-*")=0,"",ROUND(SUMIFS(Лэндинг!$L$5:$L$300,Лэндинг!$E$5:$E$300,$B247)+SUMIFS(Закрытые!$L$5:$L$300,Закрытые!$E$5:$E$300,$B247,Закрытые!$B$5:$B$300,"L-*"),8)))</f>
        <v/>
      </c>
      <c r="J247" s="241" t="str">
        <f>IF($B247="","",IF(COUNTIFS(Лэндинг!$E$5:$E$300,$B247)+COUNTIFS(Закрытые!$E$5:$E$300,$B247,Закрытые!$B$5:$B$300,"L-*")=0,"",ROUND(SUMIFS(Лэндинг!$M$5:$M$300,Лэндинг!$E$5:$E$300,$B247)+SUMIFS(Закрытые!$M$5:$M$300,Закрытые!$E$5:$E$300,$B247,Закрытые!$B$5:$B$300,"L-*"),8)))</f>
        <v/>
      </c>
      <c r="K247" s="240" t="str">
        <f>IF(MIN(N(C247),N(F247))&lt;=0,"",ROUND(MIN(N(C247),N(F247))*(N(G247)-N(D247)),8))</f>
        <v/>
      </c>
      <c r="L247" s="177" t="str">
        <f>IF(MIN(N(C247),N(F247))&lt;=0,"",IF(N(D247)=0,"",ROUND((N(G247)/N(D247)-1)*100,2)))</f>
        <v/>
      </c>
      <c r="M247" s="177" t="str">
        <f>IF(OR(ROUND(N(C247)-N(F247),8)=0,1-N(Ввод!$J$19)/100&lt;=0),"",IF(N(C247)&gt;N(F247),(N(E247)-N(H247))/((N(C247)-N(F247))*(1-N(Ввод!$J$19)/100)),(N(H247)-N(E247))/((N(F247)-N(C247))*(1+N(Ввод!$J$19)/100))))</f>
        <v/>
      </c>
    </row>
    <row r="248" ht="22" customHeight="1">
      <c r="B248" s="245" t="n"/>
      <c r="C248" s="246" t="str">
        <f>IF(SUMIFS(Лэндинг!$F$5:$F$300,Лэндинг!$E$5:$E$300,$B248)+SUMIFS(Закрытые!$F$5:$F$300,Закрытые!$E$5:$E$300,$B248,Закрытые!$B$5:$B$300,"L-*")=0,"",SUMIFS(Лэндинг!$F$5:$F$300,Лэндинг!$E$5:$E$300,$B248)+SUMIFS(Закрытые!$F$5:$F$300,Закрытые!$E$5:$E$300,$B248,Закрытые!$B$5:$B$300,"L-*"))</f>
        <v/>
      </c>
      <c r="D248" s="183" t="str">
        <f>IF(C248="","",(SUMPRODUCT((Лэндинг!$E$5:$E$300=$B248)*Лэндинг!$F$5:$F$300*Лэндинг!$G$5:$G$300)+SUMPRODUCT((Закрытые!$E$5:$E$300=$B248)*(LEFT(Закрытые!$B$5:$B$300,2)="L-")*Закрытые!$F$5:$F$300*Закрытые!$G$5:$G$300))/C248)</f>
        <v/>
      </c>
      <c r="E248" s="247" t="str">
        <f>IF(C248="","",SUMIFS(Лэндинг!$H$5:$H$300,Лэндинг!$E$5:$E$300,$B248)+SUMIFS(Закрытые!$H$5:$H$300,Закрытые!$E$5:$E$300,$B248,Закрытые!$B$5:$B$300,"L-*"))</f>
        <v/>
      </c>
      <c r="F248" s="246" t="str">
        <f>IF(SUMIFS(Лэндинг!$I$5:$I$300,Лэндинг!$E$5:$E$300,$B248)+SUMIFS(Закрытые!$I$5:$I$300,Закрытые!$E$5:$E$300,$B248,Закрытые!$B$5:$B$300,"L-*")=0,"",SUMIFS(Лэндинг!$I$5:$I$300,Лэндинг!$E$5:$E$300,$B248)+SUMIFS(Закрытые!$I$5:$I$300,Закрытые!$E$5:$E$300,$B248,Закрытые!$B$5:$B$300,"L-*"))</f>
        <v/>
      </c>
      <c r="G248" s="183" t="str">
        <f>IF(F248="","",(SUMPRODUCT((Лэндинг!$E$5:$E$300=$B248)*Лэндинг!$I$5:$I$300*Лэндинг!$J$5:$J$300)+SUMPRODUCT((Закрытые!$E$5:$E$300=$B248)*(LEFT(Закрытые!$B$5:$B$300,2)="L-")*Закрытые!$I$5:$I$300*Закрытые!$J$5:$J$300))/F248)</f>
        <v/>
      </c>
      <c r="H248" s="247" t="str">
        <f>IF(F248="","",SUMIFS(Лэндинг!$K$5:$K$300,Лэндинг!$E$5:$E$300,$B248)+SUMIFS(Закрытые!$K$5:$K$300,Закрытые!$E$5:$E$300,$B248,Закрытые!$B$5:$B$300,"L-*"))</f>
        <v/>
      </c>
      <c r="I248" s="246" t="str">
        <f>IF($B248="","",IF(COUNTIFS(Лэндинг!$E$5:$E$300,$B248)+COUNTIFS(Закрытые!$E$5:$E$300,$B248,Закрытые!$B$5:$B$300,"L-*")=0,"",ROUND(SUMIFS(Лэндинг!$L$5:$L$300,Лэндинг!$E$5:$E$300,$B248)+SUMIFS(Закрытые!$L$5:$L$300,Закрытые!$E$5:$E$300,$B248,Закрытые!$B$5:$B$300,"L-*"),8)))</f>
        <v/>
      </c>
      <c r="J248" s="247" t="str">
        <f>IF($B248="","",IF(COUNTIFS(Лэндинг!$E$5:$E$300,$B248)+COUNTIFS(Закрытые!$E$5:$E$300,$B248,Закрытые!$B$5:$B$300,"L-*")=0,"",ROUND(SUMIFS(Лэндинг!$M$5:$M$300,Лэндинг!$E$5:$E$300,$B248)+SUMIFS(Закрытые!$M$5:$M$300,Закрытые!$E$5:$E$300,$B248,Закрытые!$B$5:$B$300,"L-*"),8)))</f>
        <v/>
      </c>
      <c r="K248" s="246" t="str">
        <f>IF(MIN(N(C248),N(F248))&lt;=0,"",ROUND(MIN(N(C248),N(F248))*(N(G248)-N(D248)),8))</f>
        <v/>
      </c>
      <c r="L248" s="183" t="str">
        <f>IF(MIN(N(C248),N(F248))&lt;=0,"",IF(N(D248)=0,"",ROUND((N(G248)/N(D248)-1)*100,2)))</f>
        <v/>
      </c>
      <c r="M248" s="183" t="str">
        <f>IF(OR(ROUND(N(C248)-N(F248),8)=0,1-N(Ввод!$J$19)/100&lt;=0),"",IF(N(C248)&gt;N(F248),(N(E248)-N(H248))/((N(C248)-N(F248))*(1-N(Ввод!$J$19)/100)),(N(H248)-N(E248))/((N(F248)-N(C248))*(1+N(Ввод!$J$19)/100))))</f>
        <v/>
      </c>
    </row>
    <row r="249" ht="22" customHeight="1">
      <c r="B249" s="239" t="n"/>
      <c r="C249" s="240" t="str">
        <f>IF(SUMIFS(Лэндинг!$F$5:$F$300,Лэндинг!$E$5:$E$300,$B249)+SUMIFS(Закрытые!$F$5:$F$300,Закрытые!$E$5:$E$300,$B249,Закрытые!$B$5:$B$300,"L-*")=0,"",SUMIFS(Лэндинг!$F$5:$F$300,Лэндинг!$E$5:$E$300,$B249)+SUMIFS(Закрытые!$F$5:$F$300,Закрытые!$E$5:$E$300,$B249,Закрытые!$B$5:$B$300,"L-*"))</f>
        <v/>
      </c>
      <c r="D249" s="177" t="str">
        <f>IF(C249="","",(SUMPRODUCT((Лэндинг!$E$5:$E$300=$B249)*Лэндинг!$F$5:$F$300*Лэндинг!$G$5:$G$300)+SUMPRODUCT((Закрытые!$E$5:$E$300=$B249)*(LEFT(Закрытые!$B$5:$B$300,2)="L-")*Закрытые!$F$5:$F$300*Закрытые!$G$5:$G$300))/C249)</f>
        <v/>
      </c>
      <c r="E249" s="241" t="str">
        <f>IF(C249="","",SUMIFS(Лэндинг!$H$5:$H$300,Лэндинг!$E$5:$E$300,$B249)+SUMIFS(Закрытые!$H$5:$H$300,Закрытые!$E$5:$E$300,$B249,Закрытые!$B$5:$B$300,"L-*"))</f>
        <v/>
      </c>
      <c r="F249" s="240" t="str">
        <f>IF(SUMIFS(Лэндинг!$I$5:$I$300,Лэндинг!$E$5:$E$300,$B249)+SUMIFS(Закрытые!$I$5:$I$300,Закрытые!$E$5:$E$300,$B249,Закрытые!$B$5:$B$300,"L-*")=0,"",SUMIFS(Лэндинг!$I$5:$I$300,Лэндинг!$E$5:$E$300,$B249)+SUMIFS(Закрытые!$I$5:$I$300,Закрытые!$E$5:$E$300,$B249,Закрытые!$B$5:$B$300,"L-*"))</f>
        <v/>
      </c>
      <c r="G249" s="177" t="str">
        <f>IF(F249="","",(SUMPRODUCT((Лэндинг!$E$5:$E$300=$B249)*Лэндинг!$I$5:$I$300*Лэндинг!$J$5:$J$300)+SUMPRODUCT((Закрытые!$E$5:$E$300=$B249)*(LEFT(Закрытые!$B$5:$B$300,2)="L-")*Закрытые!$I$5:$I$300*Закрытые!$J$5:$J$300))/F249)</f>
        <v/>
      </c>
      <c r="H249" s="241" t="str">
        <f>IF(F249="","",SUMIFS(Лэндинг!$K$5:$K$300,Лэндинг!$E$5:$E$300,$B249)+SUMIFS(Закрытые!$K$5:$K$300,Закрытые!$E$5:$E$300,$B249,Закрытые!$B$5:$B$300,"L-*"))</f>
        <v/>
      </c>
      <c r="I249" s="240" t="str">
        <f>IF($B249="","",IF(COUNTIFS(Лэндинг!$E$5:$E$300,$B249)+COUNTIFS(Закрытые!$E$5:$E$300,$B249,Закрытые!$B$5:$B$300,"L-*")=0,"",ROUND(SUMIFS(Лэндинг!$L$5:$L$300,Лэндинг!$E$5:$E$300,$B249)+SUMIFS(Закрытые!$L$5:$L$300,Закрытые!$E$5:$E$300,$B249,Закрытые!$B$5:$B$300,"L-*"),8)))</f>
        <v/>
      </c>
      <c r="J249" s="241" t="str">
        <f>IF($B249="","",IF(COUNTIFS(Лэндинг!$E$5:$E$300,$B249)+COUNTIFS(Закрытые!$E$5:$E$300,$B249,Закрытые!$B$5:$B$300,"L-*")=0,"",ROUND(SUMIFS(Лэндинг!$M$5:$M$300,Лэндинг!$E$5:$E$300,$B249)+SUMIFS(Закрытые!$M$5:$M$300,Закрытые!$E$5:$E$300,$B249,Закрытые!$B$5:$B$300,"L-*"),8)))</f>
        <v/>
      </c>
      <c r="K249" s="240" t="str">
        <f>IF(MIN(N(C249),N(F249))&lt;=0,"",ROUND(MIN(N(C249),N(F249))*(N(G249)-N(D249)),8))</f>
        <v/>
      </c>
      <c r="L249" s="177" t="str">
        <f>IF(MIN(N(C249),N(F249))&lt;=0,"",IF(N(D249)=0,"",ROUND((N(G249)/N(D249)-1)*100,2)))</f>
        <v/>
      </c>
      <c r="M249" s="177" t="str">
        <f>IF(OR(ROUND(N(C249)-N(F249),8)=0,1-N(Ввод!$J$19)/100&lt;=0),"",IF(N(C249)&gt;N(F249),(N(E249)-N(H249))/((N(C249)-N(F249))*(1-N(Ввод!$J$19)/100)),(N(H249)-N(E249))/((N(F249)-N(C249))*(1+N(Ввод!$J$19)/100))))</f>
        <v/>
      </c>
    </row>
    <row r="250" ht="22" customHeight="1">
      <c r="B250" s="245" t="n"/>
      <c r="C250" s="246" t="str">
        <f>IF(SUMIFS(Лэндинг!$F$5:$F$300,Лэндинг!$E$5:$E$300,$B250)+SUMIFS(Закрытые!$F$5:$F$300,Закрытые!$E$5:$E$300,$B250,Закрытые!$B$5:$B$300,"L-*")=0,"",SUMIFS(Лэндинг!$F$5:$F$300,Лэндинг!$E$5:$E$300,$B250)+SUMIFS(Закрытые!$F$5:$F$300,Закрытые!$E$5:$E$300,$B250,Закрытые!$B$5:$B$300,"L-*"))</f>
        <v/>
      </c>
      <c r="D250" s="183" t="str">
        <f>IF(C250="","",(SUMPRODUCT((Лэндинг!$E$5:$E$300=$B250)*Лэндинг!$F$5:$F$300*Лэндинг!$G$5:$G$300)+SUMPRODUCT((Закрытые!$E$5:$E$300=$B250)*(LEFT(Закрытые!$B$5:$B$300,2)="L-")*Закрытые!$F$5:$F$300*Закрытые!$G$5:$G$300))/C250)</f>
        <v/>
      </c>
      <c r="E250" s="247" t="str">
        <f>IF(C250="","",SUMIFS(Лэндинг!$H$5:$H$300,Лэндинг!$E$5:$E$300,$B250)+SUMIFS(Закрытые!$H$5:$H$300,Закрытые!$E$5:$E$300,$B250,Закрытые!$B$5:$B$300,"L-*"))</f>
        <v/>
      </c>
      <c r="F250" s="246" t="str">
        <f>IF(SUMIFS(Лэндинг!$I$5:$I$300,Лэндинг!$E$5:$E$300,$B250)+SUMIFS(Закрытые!$I$5:$I$300,Закрытые!$E$5:$E$300,$B250,Закрытые!$B$5:$B$300,"L-*")=0,"",SUMIFS(Лэндинг!$I$5:$I$300,Лэндинг!$E$5:$E$300,$B250)+SUMIFS(Закрытые!$I$5:$I$300,Закрытые!$E$5:$E$300,$B250,Закрытые!$B$5:$B$300,"L-*"))</f>
        <v/>
      </c>
      <c r="G250" s="183" t="str">
        <f>IF(F250="","",(SUMPRODUCT((Лэндинг!$E$5:$E$300=$B250)*Лэндинг!$I$5:$I$300*Лэндинг!$J$5:$J$300)+SUMPRODUCT((Закрытые!$E$5:$E$300=$B250)*(LEFT(Закрытые!$B$5:$B$300,2)="L-")*Закрытые!$I$5:$I$300*Закрытые!$J$5:$J$300))/F250)</f>
        <v/>
      </c>
      <c r="H250" s="247" t="str">
        <f>IF(F250="","",SUMIFS(Лэндинг!$K$5:$K$300,Лэндинг!$E$5:$E$300,$B250)+SUMIFS(Закрытые!$K$5:$K$300,Закрытые!$E$5:$E$300,$B250,Закрытые!$B$5:$B$300,"L-*"))</f>
        <v/>
      </c>
      <c r="I250" s="246" t="str">
        <f>IF($B250="","",IF(COUNTIFS(Лэндинг!$E$5:$E$300,$B250)+COUNTIFS(Закрытые!$E$5:$E$300,$B250,Закрытые!$B$5:$B$300,"L-*")=0,"",ROUND(SUMIFS(Лэндинг!$L$5:$L$300,Лэндинг!$E$5:$E$300,$B250)+SUMIFS(Закрытые!$L$5:$L$300,Закрытые!$E$5:$E$300,$B250,Закрытые!$B$5:$B$300,"L-*"),8)))</f>
        <v/>
      </c>
      <c r="J250" s="247" t="str">
        <f>IF($B250="","",IF(COUNTIFS(Лэндинг!$E$5:$E$300,$B250)+COUNTIFS(Закрытые!$E$5:$E$300,$B250,Закрытые!$B$5:$B$300,"L-*")=0,"",ROUND(SUMIFS(Лэндинг!$M$5:$M$300,Лэндинг!$E$5:$E$300,$B250)+SUMIFS(Закрытые!$M$5:$M$300,Закрытые!$E$5:$E$300,$B250,Закрытые!$B$5:$B$300,"L-*"),8)))</f>
        <v/>
      </c>
      <c r="K250" s="246" t="str">
        <f>IF(MIN(N(C250),N(F250))&lt;=0,"",ROUND(MIN(N(C250),N(F250))*(N(G250)-N(D250)),8))</f>
        <v/>
      </c>
      <c r="L250" s="183" t="str">
        <f>IF(MIN(N(C250),N(F250))&lt;=0,"",IF(N(D250)=0,"",ROUND((N(G250)/N(D250)-1)*100,2)))</f>
        <v/>
      </c>
      <c r="M250" s="183" t="str">
        <f>IF(OR(ROUND(N(C250)-N(F250),8)=0,1-N(Ввод!$J$19)/100&lt;=0),"",IF(N(C250)&gt;N(F250),(N(E250)-N(H250))/((N(C250)-N(F250))*(1-N(Ввод!$J$19)/100)),(N(H250)-N(E250))/((N(F250)-N(C250))*(1+N(Ввод!$J$19)/100))))</f>
        <v/>
      </c>
    </row>
    <row r="251" ht="22" customHeight="1">
      <c r="B251" s="239" t="n"/>
      <c r="C251" s="240" t="str">
        <f>IF(SUMIFS(Лэндинг!$F$5:$F$300,Лэндинг!$E$5:$E$300,$B251)+SUMIFS(Закрытые!$F$5:$F$300,Закрытые!$E$5:$E$300,$B251,Закрытые!$B$5:$B$300,"L-*")=0,"",SUMIFS(Лэндинг!$F$5:$F$300,Лэндинг!$E$5:$E$300,$B251)+SUMIFS(Закрытые!$F$5:$F$300,Закрытые!$E$5:$E$300,$B251,Закрытые!$B$5:$B$300,"L-*"))</f>
        <v/>
      </c>
      <c r="D251" s="177" t="str">
        <f>IF(C251="","",(SUMPRODUCT((Лэндинг!$E$5:$E$300=$B251)*Лэндинг!$F$5:$F$300*Лэндинг!$G$5:$G$300)+SUMPRODUCT((Закрытые!$E$5:$E$300=$B251)*(LEFT(Закрытые!$B$5:$B$300,2)="L-")*Закрытые!$F$5:$F$300*Закрытые!$G$5:$G$300))/C251)</f>
        <v/>
      </c>
      <c r="E251" s="241" t="str">
        <f>IF(C251="","",SUMIFS(Лэндинг!$H$5:$H$300,Лэндинг!$E$5:$E$300,$B251)+SUMIFS(Закрытые!$H$5:$H$300,Закрытые!$E$5:$E$300,$B251,Закрытые!$B$5:$B$300,"L-*"))</f>
        <v/>
      </c>
      <c r="F251" s="240" t="str">
        <f>IF(SUMIFS(Лэндинг!$I$5:$I$300,Лэндинг!$E$5:$E$300,$B251)+SUMIFS(Закрытые!$I$5:$I$300,Закрытые!$E$5:$E$300,$B251,Закрытые!$B$5:$B$300,"L-*")=0,"",SUMIFS(Лэндинг!$I$5:$I$300,Лэндинг!$E$5:$E$300,$B251)+SUMIFS(Закрытые!$I$5:$I$300,Закрытые!$E$5:$E$300,$B251,Закрытые!$B$5:$B$300,"L-*"))</f>
        <v/>
      </c>
      <c r="G251" s="177" t="str">
        <f>IF(F251="","",(SUMPRODUCT((Лэндинг!$E$5:$E$300=$B251)*Лэндинг!$I$5:$I$300*Лэндинг!$J$5:$J$300)+SUMPRODUCT((Закрытые!$E$5:$E$300=$B251)*(LEFT(Закрытые!$B$5:$B$300,2)="L-")*Закрытые!$I$5:$I$300*Закрытые!$J$5:$J$300))/F251)</f>
        <v/>
      </c>
      <c r="H251" s="241" t="str">
        <f>IF(F251="","",SUMIFS(Лэндинг!$K$5:$K$300,Лэндинг!$E$5:$E$300,$B251)+SUMIFS(Закрытые!$K$5:$K$300,Закрытые!$E$5:$E$300,$B251,Закрытые!$B$5:$B$300,"L-*"))</f>
        <v/>
      </c>
      <c r="I251" s="240" t="str">
        <f>IF($B251="","",IF(COUNTIFS(Лэндинг!$E$5:$E$300,$B251)+COUNTIFS(Закрытые!$E$5:$E$300,$B251,Закрытые!$B$5:$B$300,"L-*")=0,"",ROUND(SUMIFS(Лэндинг!$L$5:$L$300,Лэндинг!$E$5:$E$300,$B251)+SUMIFS(Закрытые!$L$5:$L$300,Закрытые!$E$5:$E$300,$B251,Закрытые!$B$5:$B$300,"L-*"),8)))</f>
        <v/>
      </c>
      <c r="J251" s="241" t="str">
        <f>IF($B251="","",IF(COUNTIFS(Лэндинг!$E$5:$E$300,$B251)+COUNTIFS(Закрытые!$E$5:$E$300,$B251,Закрытые!$B$5:$B$300,"L-*")=0,"",ROUND(SUMIFS(Лэндинг!$M$5:$M$300,Лэндинг!$E$5:$E$300,$B251)+SUMIFS(Закрытые!$M$5:$M$300,Закрытые!$E$5:$E$300,$B251,Закрытые!$B$5:$B$300,"L-*"),8)))</f>
        <v/>
      </c>
      <c r="K251" s="240" t="str">
        <f>IF(MIN(N(C251),N(F251))&lt;=0,"",ROUND(MIN(N(C251),N(F251))*(N(G251)-N(D251)),8))</f>
        <v/>
      </c>
      <c r="L251" s="177" t="str">
        <f>IF(MIN(N(C251),N(F251))&lt;=0,"",IF(N(D251)=0,"",ROUND((N(G251)/N(D251)-1)*100,2)))</f>
        <v/>
      </c>
      <c r="M251" s="177" t="str">
        <f>IF(OR(ROUND(N(C251)-N(F251),8)=0,1-N(Ввод!$J$19)/100&lt;=0),"",IF(N(C251)&gt;N(F251),(N(E251)-N(H251))/((N(C251)-N(F251))*(1-N(Ввод!$J$19)/100)),(N(H251)-N(E251))/((N(F251)-N(C251))*(1+N(Ввод!$J$19)/100))))</f>
        <v/>
      </c>
    </row>
    <row r="252" ht="22" customHeight="1">
      <c r="B252" s="245" t="n"/>
      <c r="C252" s="246" t="str">
        <f>IF(SUMIFS(Лэндинг!$F$5:$F$300,Лэндинг!$E$5:$E$300,$B252)+SUMIFS(Закрытые!$F$5:$F$300,Закрытые!$E$5:$E$300,$B252,Закрытые!$B$5:$B$300,"L-*")=0,"",SUMIFS(Лэндинг!$F$5:$F$300,Лэндинг!$E$5:$E$300,$B252)+SUMIFS(Закрытые!$F$5:$F$300,Закрытые!$E$5:$E$300,$B252,Закрытые!$B$5:$B$300,"L-*"))</f>
        <v/>
      </c>
      <c r="D252" s="183" t="str">
        <f>IF(C252="","",(SUMPRODUCT((Лэндинг!$E$5:$E$300=$B252)*Лэндинг!$F$5:$F$300*Лэндинг!$G$5:$G$300)+SUMPRODUCT((Закрытые!$E$5:$E$300=$B252)*(LEFT(Закрытые!$B$5:$B$300,2)="L-")*Закрытые!$F$5:$F$300*Закрытые!$G$5:$G$300))/C252)</f>
        <v/>
      </c>
      <c r="E252" s="247" t="str">
        <f>IF(C252="","",SUMIFS(Лэндинг!$H$5:$H$300,Лэндинг!$E$5:$E$300,$B252)+SUMIFS(Закрытые!$H$5:$H$300,Закрытые!$E$5:$E$300,$B252,Закрытые!$B$5:$B$300,"L-*"))</f>
        <v/>
      </c>
      <c r="F252" s="246" t="str">
        <f>IF(SUMIFS(Лэндинг!$I$5:$I$300,Лэндинг!$E$5:$E$300,$B252)+SUMIFS(Закрытые!$I$5:$I$300,Закрытые!$E$5:$E$300,$B252,Закрытые!$B$5:$B$300,"L-*")=0,"",SUMIFS(Лэндинг!$I$5:$I$300,Лэндинг!$E$5:$E$300,$B252)+SUMIFS(Закрытые!$I$5:$I$300,Закрытые!$E$5:$E$300,$B252,Закрытые!$B$5:$B$300,"L-*"))</f>
        <v/>
      </c>
      <c r="G252" s="183" t="str">
        <f>IF(F252="","",(SUMPRODUCT((Лэндинг!$E$5:$E$300=$B252)*Лэндинг!$I$5:$I$300*Лэндинг!$J$5:$J$300)+SUMPRODUCT((Закрытые!$E$5:$E$300=$B252)*(LEFT(Закрытые!$B$5:$B$300,2)="L-")*Закрытые!$I$5:$I$300*Закрытые!$J$5:$J$300))/F252)</f>
        <v/>
      </c>
      <c r="H252" s="247" t="str">
        <f>IF(F252="","",SUMIFS(Лэндинг!$K$5:$K$300,Лэндинг!$E$5:$E$300,$B252)+SUMIFS(Закрытые!$K$5:$K$300,Закрытые!$E$5:$E$300,$B252,Закрытые!$B$5:$B$300,"L-*"))</f>
        <v/>
      </c>
      <c r="I252" s="246" t="str">
        <f>IF($B252="","",IF(COUNTIFS(Лэндинг!$E$5:$E$300,$B252)+COUNTIFS(Закрытые!$E$5:$E$300,$B252,Закрытые!$B$5:$B$300,"L-*")=0,"",ROUND(SUMIFS(Лэндинг!$L$5:$L$300,Лэндинг!$E$5:$E$300,$B252)+SUMIFS(Закрытые!$L$5:$L$300,Закрытые!$E$5:$E$300,$B252,Закрытые!$B$5:$B$300,"L-*"),8)))</f>
        <v/>
      </c>
      <c r="J252" s="247" t="str">
        <f>IF($B252="","",IF(COUNTIFS(Лэндинг!$E$5:$E$300,$B252)+COUNTIFS(Закрытые!$E$5:$E$300,$B252,Закрытые!$B$5:$B$300,"L-*")=0,"",ROUND(SUMIFS(Лэндинг!$M$5:$M$300,Лэндинг!$E$5:$E$300,$B252)+SUMIFS(Закрытые!$M$5:$M$300,Закрытые!$E$5:$E$300,$B252,Закрытые!$B$5:$B$300,"L-*"),8)))</f>
        <v/>
      </c>
      <c r="K252" s="246" t="str">
        <f>IF(MIN(N(C252),N(F252))&lt;=0,"",ROUND(MIN(N(C252),N(F252))*(N(G252)-N(D252)),8))</f>
        <v/>
      </c>
      <c r="L252" s="183" t="str">
        <f>IF(MIN(N(C252),N(F252))&lt;=0,"",IF(N(D252)=0,"",ROUND((N(G252)/N(D252)-1)*100,2)))</f>
        <v/>
      </c>
      <c r="M252" s="183" t="str">
        <f>IF(OR(ROUND(N(C252)-N(F252),8)=0,1-N(Ввод!$J$19)/100&lt;=0),"",IF(N(C252)&gt;N(F252),(N(E252)-N(H252))/((N(C252)-N(F252))*(1-N(Ввод!$J$19)/100)),(N(H252)-N(E252))/((N(F252)-N(C252))*(1+N(Ввод!$J$19)/100))))</f>
        <v/>
      </c>
    </row>
    <row r="253" ht="22" customHeight="1">
      <c r="B253" s="239" t="n"/>
      <c r="C253" s="240" t="str">
        <f>IF(SUMIFS(Лэндинг!$F$5:$F$300,Лэндинг!$E$5:$E$300,$B253)+SUMIFS(Закрытые!$F$5:$F$300,Закрытые!$E$5:$E$300,$B253,Закрытые!$B$5:$B$300,"L-*")=0,"",SUMIFS(Лэндинг!$F$5:$F$300,Лэндинг!$E$5:$E$300,$B253)+SUMIFS(Закрытые!$F$5:$F$300,Закрытые!$E$5:$E$300,$B253,Закрытые!$B$5:$B$300,"L-*"))</f>
        <v/>
      </c>
      <c r="D253" s="177" t="str">
        <f>IF(C253="","",(SUMPRODUCT((Лэндинг!$E$5:$E$300=$B253)*Лэндинг!$F$5:$F$300*Лэндинг!$G$5:$G$300)+SUMPRODUCT((Закрытые!$E$5:$E$300=$B253)*(LEFT(Закрытые!$B$5:$B$300,2)="L-")*Закрытые!$F$5:$F$300*Закрытые!$G$5:$G$300))/C253)</f>
        <v/>
      </c>
      <c r="E253" s="241" t="str">
        <f>IF(C253="","",SUMIFS(Лэндинг!$H$5:$H$300,Лэндинг!$E$5:$E$300,$B253)+SUMIFS(Закрытые!$H$5:$H$300,Закрытые!$E$5:$E$300,$B253,Закрытые!$B$5:$B$300,"L-*"))</f>
        <v/>
      </c>
      <c r="F253" s="240" t="str">
        <f>IF(SUMIFS(Лэндинг!$I$5:$I$300,Лэндинг!$E$5:$E$300,$B253)+SUMIFS(Закрытые!$I$5:$I$300,Закрытые!$E$5:$E$300,$B253,Закрытые!$B$5:$B$300,"L-*")=0,"",SUMIFS(Лэндинг!$I$5:$I$300,Лэндинг!$E$5:$E$300,$B253)+SUMIFS(Закрытые!$I$5:$I$300,Закрытые!$E$5:$E$300,$B253,Закрытые!$B$5:$B$300,"L-*"))</f>
        <v/>
      </c>
      <c r="G253" s="177" t="str">
        <f>IF(F253="","",(SUMPRODUCT((Лэндинг!$E$5:$E$300=$B253)*Лэндинг!$I$5:$I$300*Лэндинг!$J$5:$J$300)+SUMPRODUCT((Закрытые!$E$5:$E$300=$B253)*(LEFT(Закрытые!$B$5:$B$300,2)="L-")*Закрытые!$I$5:$I$300*Закрытые!$J$5:$J$300))/F253)</f>
        <v/>
      </c>
      <c r="H253" s="241" t="str">
        <f>IF(F253="","",SUMIFS(Лэндинг!$K$5:$K$300,Лэндинг!$E$5:$E$300,$B253)+SUMIFS(Закрытые!$K$5:$K$300,Закрытые!$E$5:$E$300,$B253,Закрытые!$B$5:$B$300,"L-*"))</f>
        <v/>
      </c>
      <c r="I253" s="240" t="str">
        <f>IF($B253="","",IF(COUNTIFS(Лэндинг!$E$5:$E$300,$B253)+COUNTIFS(Закрытые!$E$5:$E$300,$B253,Закрытые!$B$5:$B$300,"L-*")=0,"",ROUND(SUMIFS(Лэндинг!$L$5:$L$300,Лэндинг!$E$5:$E$300,$B253)+SUMIFS(Закрытые!$L$5:$L$300,Закрытые!$E$5:$E$300,$B253,Закрытые!$B$5:$B$300,"L-*"),8)))</f>
        <v/>
      </c>
      <c r="J253" s="241" t="str">
        <f>IF($B253="","",IF(COUNTIFS(Лэндинг!$E$5:$E$300,$B253)+COUNTIFS(Закрытые!$E$5:$E$300,$B253,Закрытые!$B$5:$B$300,"L-*")=0,"",ROUND(SUMIFS(Лэндинг!$M$5:$M$300,Лэндинг!$E$5:$E$300,$B253)+SUMIFS(Закрытые!$M$5:$M$300,Закрытые!$E$5:$E$300,$B253,Закрытые!$B$5:$B$300,"L-*"),8)))</f>
        <v/>
      </c>
      <c r="K253" s="240" t="str">
        <f>IF(MIN(N(C253),N(F253))&lt;=0,"",ROUND(MIN(N(C253),N(F253))*(N(G253)-N(D253)),8))</f>
        <v/>
      </c>
      <c r="L253" s="177" t="str">
        <f>IF(MIN(N(C253),N(F253))&lt;=0,"",IF(N(D253)=0,"",ROUND((N(G253)/N(D253)-1)*100,2)))</f>
        <v/>
      </c>
      <c r="M253" s="177" t="str">
        <f>IF(OR(ROUND(N(C253)-N(F253),8)=0,1-N(Ввод!$J$19)/100&lt;=0),"",IF(N(C253)&gt;N(F253),(N(E253)-N(H253))/((N(C253)-N(F253))*(1-N(Ввод!$J$19)/100)),(N(H253)-N(E253))/((N(F253)-N(C253))*(1+N(Ввод!$J$19)/100))))</f>
        <v/>
      </c>
    </row>
    <row r="254" ht="22" customHeight="1">
      <c r="B254" s="245" t="n"/>
      <c r="C254" s="246" t="str">
        <f>IF(SUMIFS(Лэндинг!$F$5:$F$300,Лэндинг!$E$5:$E$300,$B254)+SUMIFS(Закрытые!$F$5:$F$300,Закрытые!$E$5:$E$300,$B254,Закрытые!$B$5:$B$300,"L-*")=0,"",SUMIFS(Лэндинг!$F$5:$F$300,Лэндинг!$E$5:$E$300,$B254)+SUMIFS(Закрытые!$F$5:$F$300,Закрытые!$E$5:$E$300,$B254,Закрытые!$B$5:$B$300,"L-*"))</f>
        <v/>
      </c>
      <c r="D254" s="183" t="str">
        <f>IF(C254="","",(SUMPRODUCT((Лэндинг!$E$5:$E$300=$B254)*Лэндинг!$F$5:$F$300*Лэндинг!$G$5:$G$300)+SUMPRODUCT((Закрытые!$E$5:$E$300=$B254)*(LEFT(Закрытые!$B$5:$B$300,2)="L-")*Закрытые!$F$5:$F$300*Закрытые!$G$5:$G$300))/C254)</f>
        <v/>
      </c>
      <c r="E254" s="247" t="str">
        <f>IF(C254="","",SUMIFS(Лэндинг!$H$5:$H$300,Лэндинг!$E$5:$E$300,$B254)+SUMIFS(Закрытые!$H$5:$H$300,Закрытые!$E$5:$E$300,$B254,Закрытые!$B$5:$B$300,"L-*"))</f>
        <v/>
      </c>
      <c r="F254" s="246" t="str">
        <f>IF(SUMIFS(Лэндинг!$I$5:$I$300,Лэндинг!$E$5:$E$300,$B254)+SUMIFS(Закрытые!$I$5:$I$300,Закрытые!$E$5:$E$300,$B254,Закрытые!$B$5:$B$300,"L-*")=0,"",SUMIFS(Лэндинг!$I$5:$I$300,Лэндинг!$E$5:$E$300,$B254)+SUMIFS(Закрытые!$I$5:$I$300,Закрытые!$E$5:$E$300,$B254,Закрытые!$B$5:$B$300,"L-*"))</f>
        <v/>
      </c>
      <c r="G254" s="183" t="str">
        <f>IF(F254="","",(SUMPRODUCT((Лэндинг!$E$5:$E$300=$B254)*Лэндинг!$I$5:$I$300*Лэндинг!$J$5:$J$300)+SUMPRODUCT((Закрытые!$E$5:$E$300=$B254)*(LEFT(Закрытые!$B$5:$B$300,2)="L-")*Закрытые!$I$5:$I$300*Закрытые!$J$5:$J$300))/F254)</f>
        <v/>
      </c>
      <c r="H254" s="247" t="str">
        <f>IF(F254="","",SUMIFS(Лэндинг!$K$5:$K$300,Лэндинг!$E$5:$E$300,$B254)+SUMIFS(Закрытые!$K$5:$K$300,Закрытые!$E$5:$E$300,$B254,Закрытые!$B$5:$B$300,"L-*"))</f>
        <v/>
      </c>
      <c r="I254" s="246" t="str">
        <f>IF($B254="","",IF(COUNTIFS(Лэндинг!$E$5:$E$300,$B254)+COUNTIFS(Закрытые!$E$5:$E$300,$B254,Закрытые!$B$5:$B$300,"L-*")=0,"",ROUND(SUMIFS(Лэндинг!$L$5:$L$300,Лэндинг!$E$5:$E$300,$B254)+SUMIFS(Закрытые!$L$5:$L$300,Закрытые!$E$5:$E$300,$B254,Закрытые!$B$5:$B$300,"L-*"),8)))</f>
        <v/>
      </c>
      <c r="J254" s="247" t="str">
        <f>IF($B254="","",IF(COUNTIFS(Лэндинг!$E$5:$E$300,$B254)+COUNTIFS(Закрытые!$E$5:$E$300,$B254,Закрытые!$B$5:$B$300,"L-*")=0,"",ROUND(SUMIFS(Лэндинг!$M$5:$M$300,Лэндинг!$E$5:$E$300,$B254)+SUMIFS(Закрытые!$M$5:$M$300,Закрытые!$E$5:$E$300,$B254,Закрытые!$B$5:$B$300,"L-*"),8)))</f>
        <v/>
      </c>
      <c r="K254" s="246" t="str">
        <f>IF(MIN(N(C254),N(F254))&lt;=0,"",ROUND(MIN(N(C254),N(F254))*(N(G254)-N(D254)),8))</f>
        <v/>
      </c>
      <c r="L254" s="183" t="str">
        <f>IF(MIN(N(C254),N(F254))&lt;=0,"",IF(N(D254)=0,"",ROUND((N(G254)/N(D254)-1)*100,2)))</f>
        <v/>
      </c>
      <c r="M254" s="183" t="str">
        <f>IF(OR(ROUND(N(C254)-N(F254),8)=0,1-N(Ввод!$J$19)/100&lt;=0),"",IF(N(C254)&gt;N(F254),(N(E254)-N(H254))/((N(C254)-N(F254))*(1-N(Ввод!$J$19)/100)),(N(H254)-N(E254))/((N(F254)-N(C254))*(1+N(Ввод!$J$19)/100))))</f>
        <v/>
      </c>
    </row>
    <row r="255" ht="22" customHeight="1">
      <c r="B255" s="239" t="n"/>
      <c r="C255" s="240" t="str">
        <f>IF(SUMIFS(Лэндинг!$F$5:$F$300,Лэндинг!$E$5:$E$300,$B255)+SUMIFS(Закрытые!$F$5:$F$300,Закрытые!$E$5:$E$300,$B255,Закрытые!$B$5:$B$300,"L-*")=0,"",SUMIFS(Лэндинг!$F$5:$F$300,Лэндинг!$E$5:$E$300,$B255)+SUMIFS(Закрытые!$F$5:$F$300,Закрытые!$E$5:$E$300,$B255,Закрытые!$B$5:$B$300,"L-*"))</f>
        <v/>
      </c>
      <c r="D255" s="177" t="str">
        <f>IF(C255="","",(SUMPRODUCT((Лэндинг!$E$5:$E$300=$B255)*Лэндинг!$F$5:$F$300*Лэндинг!$G$5:$G$300)+SUMPRODUCT((Закрытые!$E$5:$E$300=$B255)*(LEFT(Закрытые!$B$5:$B$300,2)="L-")*Закрытые!$F$5:$F$300*Закрытые!$G$5:$G$300))/C255)</f>
        <v/>
      </c>
      <c r="E255" s="241" t="str">
        <f>IF(C255="","",SUMIFS(Лэндинг!$H$5:$H$300,Лэндинг!$E$5:$E$300,$B255)+SUMIFS(Закрытые!$H$5:$H$300,Закрытые!$E$5:$E$300,$B255,Закрытые!$B$5:$B$300,"L-*"))</f>
        <v/>
      </c>
      <c r="F255" s="240" t="str">
        <f>IF(SUMIFS(Лэндинг!$I$5:$I$300,Лэндинг!$E$5:$E$300,$B255)+SUMIFS(Закрытые!$I$5:$I$300,Закрытые!$E$5:$E$300,$B255,Закрытые!$B$5:$B$300,"L-*")=0,"",SUMIFS(Лэндинг!$I$5:$I$300,Лэндинг!$E$5:$E$300,$B255)+SUMIFS(Закрытые!$I$5:$I$300,Закрытые!$E$5:$E$300,$B255,Закрытые!$B$5:$B$300,"L-*"))</f>
        <v/>
      </c>
      <c r="G255" s="177" t="str">
        <f>IF(F255="","",(SUMPRODUCT((Лэндинг!$E$5:$E$300=$B255)*Лэндинг!$I$5:$I$300*Лэндинг!$J$5:$J$300)+SUMPRODUCT((Закрытые!$E$5:$E$300=$B255)*(LEFT(Закрытые!$B$5:$B$300,2)="L-")*Закрытые!$I$5:$I$300*Закрытые!$J$5:$J$300))/F255)</f>
        <v/>
      </c>
      <c r="H255" s="241" t="str">
        <f>IF(F255="","",SUMIFS(Лэндинг!$K$5:$K$300,Лэндинг!$E$5:$E$300,$B255)+SUMIFS(Закрытые!$K$5:$K$300,Закрытые!$E$5:$E$300,$B255,Закрытые!$B$5:$B$300,"L-*"))</f>
        <v/>
      </c>
      <c r="I255" s="240" t="str">
        <f>IF($B255="","",IF(COUNTIFS(Лэндинг!$E$5:$E$300,$B255)+COUNTIFS(Закрытые!$E$5:$E$300,$B255,Закрытые!$B$5:$B$300,"L-*")=0,"",ROUND(SUMIFS(Лэндинг!$L$5:$L$300,Лэндинг!$E$5:$E$300,$B255)+SUMIFS(Закрытые!$L$5:$L$300,Закрытые!$E$5:$E$300,$B255,Закрытые!$B$5:$B$300,"L-*"),8)))</f>
        <v/>
      </c>
      <c r="J255" s="241" t="str">
        <f>IF($B255="","",IF(COUNTIFS(Лэндинг!$E$5:$E$300,$B255)+COUNTIFS(Закрытые!$E$5:$E$300,$B255,Закрытые!$B$5:$B$300,"L-*")=0,"",ROUND(SUMIFS(Лэндинг!$M$5:$M$300,Лэндинг!$E$5:$E$300,$B255)+SUMIFS(Закрытые!$M$5:$M$300,Закрытые!$E$5:$E$300,$B255,Закрытые!$B$5:$B$300,"L-*"),8)))</f>
        <v/>
      </c>
      <c r="K255" s="240" t="str">
        <f>IF(MIN(N(C255),N(F255))&lt;=0,"",ROUND(MIN(N(C255),N(F255))*(N(G255)-N(D255)),8))</f>
        <v/>
      </c>
      <c r="L255" s="177" t="str">
        <f>IF(MIN(N(C255),N(F255))&lt;=0,"",IF(N(D255)=0,"",ROUND((N(G255)/N(D255)-1)*100,2)))</f>
        <v/>
      </c>
      <c r="M255" s="177" t="str">
        <f>IF(OR(ROUND(N(C255)-N(F255),8)=0,1-N(Ввод!$J$19)/100&lt;=0),"",IF(N(C255)&gt;N(F255),(N(E255)-N(H255))/((N(C255)-N(F255))*(1-N(Ввод!$J$19)/100)),(N(H255)-N(E255))/((N(F255)-N(C255))*(1+N(Ввод!$J$19)/100))))</f>
        <v/>
      </c>
    </row>
    <row r="256" ht="22" customHeight="1">
      <c r="B256" s="245" t="n"/>
      <c r="C256" s="246" t="str">
        <f>IF(SUMIFS(Лэндинг!$F$5:$F$300,Лэндинг!$E$5:$E$300,$B256)+SUMIFS(Закрытые!$F$5:$F$300,Закрытые!$E$5:$E$300,$B256,Закрытые!$B$5:$B$300,"L-*")=0,"",SUMIFS(Лэндинг!$F$5:$F$300,Лэндинг!$E$5:$E$300,$B256)+SUMIFS(Закрытые!$F$5:$F$300,Закрытые!$E$5:$E$300,$B256,Закрытые!$B$5:$B$300,"L-*"))</f>
        <v/>
      </c>
      <c r="D256" s="183" t="str">
        <f>IF(C256="","",(SUMPRODUCT((Лэндинг!$E$5:$E$300=$B256)*Лэндинг!$F$5:$F$300*Лэндинг!$G$5:$G$300)+SUMPRODUCT((Закрытые!$E$5:$E$300=$B256)*(LEFT(Закрытые!$B$5:$B$300,2)="L-")*Закрытые!$F$5:$F$300*Закрытые!$G$5:$G$300))/C256)</f>
        <v/>
      </c>
      <c r="E256" s="247" t="str">
        <f>IF(C256="","",SUMIFS(Лэндинг!$H$5:$H$300,Лэндинг!$E$5:$E$300,$B256)+SUMIFS(Закрытые!$H$5:$H$300,Закрытые!$E$5:$E$300,$B256,Закрытые!$B$5:$B$300,"L-*"))</f>
        <v/>
      </c>
      <c r="F256" s="246" t="str">
        <f>IF(SUMIFS(Лэндинг!$I$5:$I$300,Лэндинг!$E$5:$E$300,$B256)+SUMIFS(Закрытые!$I$5:$I$300,Закрытые!$E$5:$E$300,$B256,Закрытые!$B$5:$B$300,"L-*")=0,"",SUMIFS(Лэндинг!$I$5:$I$300,Лэндинг!$E$5:$E$300,$B256)+SUMIFS(Закрытые!$I$5:$I$300,Закрытые!$E$5:$E$300,$B256,Закрытые!$B$5:$B$300,"L-*"))</f>
        <v/>
      </c>
      <c r="G256" s="183" t="str">
        <f>IF(F256="","",(SUMPRODUCT((Лэндинг!$E$5:$E$300=$B256)*Лэндинг!$I$5:$I$300*Лэндинг!$J$5:$J$300)+SUMPRODUCT((Закрытые!$E$5:$E$300=$B256)*(LEFT(Закрытые!$B$5:$B$300,2)="L-")*Закрытые!$I$5:$I$300*Закрытые!$J$5:$J$300))/F256)</f>
        <v/>
      </c>
      <c r="H256" s="247" t="str">
        <f>IF(F256="","",SUMIFS(Лэндинг!$K$5:$K$300,Лэндинг!$E$5:$E$300,$B256)+SUMIFS(Закрытые!$K$5:$K$300,Закрытые!$E$5:$E$300,$B256,Закрытые!$B$5:$B$300,"L-*"))</f>
        <v/>
      </c>
      <c r="I256" s="246" t="str">
        <f>IF($B256="","",IF(COUNTIFS(Лэндинг!$E$5:$E$300,$B256)+COUNTIFS(Закрытые!$E$5:$E$300,$B256,Закрытые!$B$5:$B$300,"L-*")=0,"",ROUND(SUMIFS(Лэндинг!$L$5:$L$300,Лэндинг!$E$5:$E$300,$B256)+SUMIFS(Закрытые!$L$5:$L$300,Закрытые!$E$5:$E$300,$B256,Закрытые!$B$5:$B$300,"L-*"),8)))</f>
        <v/>
      </c>
      <c r="J256" s="247" t="str">
        <f>IF($B256="","",IF(COUNTIFS(Лэндинг!$E$5:$E$300,$B256)+COUNTIFS(Закрытые!$E$5:$E$300,$B256,Закрытые!$B$5:$B$300,"L-*")=0,"",ROUND(SUMIFS(Лэндинг!$M$5:$M$300,Лэндинг!$E$5:$E$300,$B256)+SUMIFS(Закрытые!$M$5:$M$300,Закрытые!$E$5:$E$300,$B256,Закрытые!$B$5:$B$300,"L-*"),8)))</f>
        <v/>
      </c>
      <c r="K256" s="246" t="str">
        <f>IF(MIN(N(C256),N(F256))&lt;=0,"",ROUND(MIN(N(C256),N(F256))*(N(G256)-N(D256)),8))</f>
        <v/>
      </c>
      <c r="L256" s="183" t="str">
        <f>IF(MIN(N(C256),N(F256))&lt;=0,"",IF(N(D256)=0,"",ROUND((N(G256)/N(D256)-1)*100,2)))</f>
        <v/>
      </c>
      <c r="M256" s="183" t="str">
        <f>IF(OR(ROUND(N(C256)-N(F256),8)=0,1-N(Ввод!$J$19)/100&lt;=0),"",IF(N(C256)&gt;N(F256),(N(E256)-N(H256))/((N(C256)-N(F256))*(1-N(Ввод!$J$19)/100)),(N(H256)-N(E256))/((N(F256)-N(C256))*(1+N(Ввод!$J$19)/100))))</f>
        <v/>
      </c>
    </row>
    <row r="257" ht="22" customHeight="1">
      <c r="B257" s="239" t="n"/>
      <c r="C257" s="240" t="str">
        <f>IF(SUMIFS(Лэндинг!$F$5:$F$300,Лэндинг!$E$5:$E$300,$B257)+SUMIFS(Закрытые!$F$5:$F$300,Закрытые!$E$5:$E$300,$B257,Закрытые!$B$5:$B$300,"L-*")=0,"",SUMIFS(Лэндинг!$F$5:$F$300,Лэндинг!$E$5:$E$300,$B257)+SUMIFS(Закрытые!$F$5:$F$300,Закрытые!$E$5:$E$300,$B257,Закрытые!$B$5:$B$300,"L-*"))</f>
        <v/>
      </c>
      <c r="D257" s="177" t="str">
        <f>IF(C257="","",(SUMPRODUCT((Лэндинг!$E$5:$E$300=$B257)*Лэндинг!$F$5:$F$300*Лэндинг!$G$5:$G$300)+SUMPRODUCT((Закрытые!$E$5:$E$300=$B257)*(LEFT(Закрытые!$B$5:$B$300,2)="L-")*Закрытые!$F$5:$F$300*Закрытые!$G$5:$G$300))/C257)</f>
        <v/>
      </c>
      <c r="E257" s="241" t="str">
        <f>IF(C257="","",SUMIFS(Лэндинг!$H$5:$H$300,Лэндинг!$E$5:$E$300,$B257)+SUMIFS(Закрытые!$H$5:$H$300,Закрытые!$E$5:$E$300,$B257,Закрытые!$B$5:$B$300,"L-*"))</f>
        <v/>
      </c>
      <c r="F257" s="240" t="str">
        <f>IF(SUMIFS(Лэндинг!$I$5:$I$300,Лэндинг!$E$5:$E$300,$B257)+SUMIFS(Закрытые!$I$5:$I$300,Закрытые!$E$5:$E$300,$B257,Закрытые!$B$5:$B$300,"L-*")=0,"",SUMIFS(Лэндинг!$I$5:$I$300,Лэндинг!$E$5:$E$300,$B257)+SUMIFS(Закрытые!$I$5:$I$300,Закрытые!$E$5:$E$300,$B257,Закрытые!$B$5:$B$300,"L-*"))</f>
        <v/>
      </c>
      <c r="G257" s="177" t="str">
        <f>IF(F257="","",(SUMPRODUCT((Лэндинг!$E$5:$E$300=$B257)*Лэндинг!$I$5:$I$300*Лэндинг!$J$5:$J$300)+SUMPRODUCT((Закрытые!$E$5:$E$300=$B257)*(LEFT(Закрытые!$B$5:$B$300,2)="L-")*Закрытые!$I$5:$I$300*Закрытые!$J$5:$J$300))/F257)</f>
        <v/>
      </c>
      <c r="H257" s="241" t="str">
        <f>IF(F257="","",SUMIFS(Лэндинг!$K$5:$K$300,Лэндинг!$E$5:$E$300,$B257)+SUMIFS(Закрытые!$K$5:$K$300,Закрытые!$E$5:$E$300,$B257,Закрытые!$B$5:$B$300,"L-*"))</f>
        <v/>
      </c>
      <c r="I257" s="240" t="str">
        <f>IF($B257="","",IF(COUNTIFS(Лэндинг!$E$5:$E$300,$B257)+COUNTIFS(Закрытые!$E$5:$E$300,$B257,Закрытые!$B$5:$B$300,"L-*")=0,"",ROUND(SUMIFS(Лэндинг!$L$5:$L$300,Лэндинг!$E$5:$E$300,$B257)+SUMIFS(Закрытые!$L$5:$L$300,Закрытые!$E$5:$E$300,$B257,Закрытые!$B$5:$B$300,"L-*"),8)))</f>
        <v/>
      </c>
      <c r="J257" s="241" t="str">
        <f>IF($B257="","",IF(COUNTIFS(Лэндинг!$E$5:$E$300,$B257)+COUNTIFS(Закрытые!$E$5:$E$300,$B257,Закрытые!$B$5:$B$300,"L-*")=0,"",ROUND(SUMIFS(Лэндинг!$M$5:$M$300,Лэндинг!$E$5:$E$300,$B257)+SUMIFS(Закрытые!$M$5:$M$300,Закрытые!$E$5:$E$300,$B257,Закрытые!$B$5:$B$300,"L-*"),8)))</f>
        <v/>
      </c>
      <c r="K257" s="240" t="str">
        <f>IF(MIN(N(C257),N(F257))&lt;=0,"",ROUND(MIN(N(C257),N(F257))*(N(G257)-N(D257)),8))</f>
        <v/>
      </c>
      <c r="L257" s="177" t="str">
        <f>IF(MIN(N(C257),N(F257))&lt;=0,"",IF(N(D257)=0,"",ROUND((N(G257)/N(D257)-1)*100,2)))</f>
        <v/>
      </c>
      <c r="M257" s="177" t="str">
        <f>IF(OR(ROUND(N(C257)-N(F257),8)=0,1-N(Ввод!$J$19)/100&lt;=0),"",IF(N(C257)&gt;N(F257),(N(E257)-N(H257))/((N(C257)-N(F257))*(1-N(Ввод!$J$19)/100)),(N(H257)-N(E257))/((N(F257)-N(C257))*(1+N(Ввод!$J$19)/100))))</f>
        <v/>
      </c>
    </row>
    <row r="258" ht="22" customHeight="1">
      <c r="B258" s="245" t="n"/>
      <c r="C258" s="246" t="str">
        <f>IF(SUMIFS(Лэндинг!$F$5:$F$300,Лэндинг!$E$5:$E$300,$B258)+SUMIFS(Закрытые!$F$5:$F$300,Закрытые!$E$5:$E$300,$B258,Закрытые!$B$5:$B$300,"L-*")=0,"",SUMIFS(Лэндинг!$F$5:$F$300,Лэндинг!$E$5:$E$300,$B258)+SUMIFS(Закрытые!$F$5:$F$300,Закрытые!$E$5:$E$300,$B258,Закрытые!$B$5:$B$300,"L-*"))</f>
        <v/>
      </c>
      <c r="D258" s="183" t="str">
        <f>IF(C258="","",(SUMPRODUCT((Лэндинг!$E$5:$E$300=$B258)*Лэндинг!$F$5:$F$300*Лэндинг!$G$5:$G$300)+SUMPRODUCT((Закрытые!$E$5:$E$300=$B258)*(LEFT(Закрытые!$B$5:$B$300,2)="L-")*Закрытые!$F$5:$F$300*Закрытые!$G$5:$G$300))/C258)</f>
        <v/>
      </c>
      <c r="E258" s="247" t="str">
        <f>IF(C258="","",SUMIFS(Лэндинг!$H$5:$H$300,Лэндинг!$E$5:$E$300,$B258)+SUMIFS(Закрытые!$H$5:$H$300,Закрытые!$E$5:$E$300,$B258,Закрытые!$B$5:$B$300,"L-*"))</f>
        <v/>
      </c>
      <c r="F258" s="246" t="str">
        <f>IF(SUMIFS(Лэндинг!$I$5:$I$300,Лэндинг!$E$5:$E$300,$B258)+SUMIFS(Закрытые!$I$5:$I$300,Закрытые!$E$5:$E$300,$B258,Закрытые!$B$5:$B$300,"L-*")=0,"",SUMIFS(Лэндинг!$I$5:$I$300,Лэндинг!$E$5:$E$300,$B258)+SUMIFS(Закрытые!$I$5:$I$300,Закрытые!$E$5:$E$300,$B258,Закрытые!$B$5:$B$300,"L-*"))</f>
        <v/>
      </c>
      <c r="G258" s="183" t="str">
        <f>IF(F258="","",(SUMPRODUCT((Лэндинг!$E$5:$E$300=$B258)*Лэндинг!$I$5:$I$300*Лэндинг!$J$5:$J$300)+SUMPRODUCT((Закрытые!$E$5:$E$300=$B258)*(LEFT(Закрытые!$B$5:$B$300,2)="L-")*Закрытые!$I$5:$I$300*Закрытые!$J$5:$J$300))/F258)</f>
        <v/>
      </c>
      <c r="H258" s="247" t="str">
        <f>IF(F258="","",SUMIFS(Лэндинг!$K$5:$K$300,Лэндинг!$E$5:$E$300,$B258)+SUMIFS(Закрытые!$K$5:$K$300,Закрытые!$E$5:$E$300,$B258,Закрытые!$B$5:$B$300,"L-*"))</f>
        <v/>
      </c>
      <c r="I258" s="246" t="str">
        <f>IF($B258="","",IF(COUNTIFS(Лэндинг!$E$5:$E$300,$B258)+COUNTIFS(Закрытые!$E$5:$E$300,$B258,Закрытые!$B$5:$B$300,"L-*")=0,"",ROUND(SUMIFS(Лэндинг!$L$5:$L$300,Лэндинг!$E$5:$E$300,$B258)+SUMIFS(Закрытые!$L$5:$L$300,Закрытые!$E$5:$E$300,$B258,Закрытые!$B$5:$B$300,"L-*"),8)))</f>
        <v/>
      </c>
      <c r="J258" s="247" t="str">
        <f>IF($B258="","",IF(COUNTIFS(Лэндинг!$E$5:$E$300,$B258)+COUNTIFS(Закрытые!$E$5:$E$300,$B258,Закрытые!$B$5:$B$300,"L-*")=0,"",ROUND(SUMIFS(Лэндинг!$M$5:$M$300,Лэндинг!$E$5:$E$300,$B258)+SUMIFS(Закрытые!$M$5:$M$300,Закрытые!$E$5:$E$300,$B258,Закрытые!$B$5:$B$300,"L-*"),8)))</f>
        <v/>
      </c>
      <c r="K258" s="246" t="str">
        <f>IF(MIN(N(C258),N(F258))&lt;=0,"",ROUND(MIN(N(C258),N(F258))*(N(G258)-N(D258)),8))</f>
        <v/>
      </c>
      <c r="L258" s="183" t="str">
        <f>IF(MIN(N(C258),N(F258))&lt;=0,"",IF(N(D258)=0,"",ROUND((N(G258)/N(D258)-1)*100,2)))</f>
        <v/>
      </c>
      <c r="M258" s="183" t="str">
        <f>IF(OR(ROUND(N(C258)-N(F258),8)=0,1-N(Ввод!$J$19)/100&lt;=0),"",IF(N(C258)&gt;N(F258),(N(E258)-N(H258))/((N(C258)-N(F258))*(1-N(Ввод!$J$19)/100)),(N(H258)-N(E258))/((N(F258)-N(C258))*(1+N(Ввод!$J$19)/100))))</f>
        <v/>
      </c>
    </row>
    <row r="259" ht="22" customHeight="1">
      <c r="B259" s="239" t="n"/>
      <c r="C259" s="240" t="str">
        <f>IF(SUMIFS(Лэндинг!$F$5:$F$300,Лэндинг!$E$5:$E$300,$B259)+SUMIFS(Закрытые!$F$5:$F$300,Закрытые!$E$5:$E$300,$B259,Закрытые!$B$5:$B$300,"L-*")=0,"",SUMIFS(Лэндинг!$F$5:$F$300,Лэндинг!$E$5:$E$300,$B259)+SUMIFS(Закрытые!$F$5:$F$300,Закрытые!$E$5:$E$300,$B259,Закрытые!$B$5:$B$300,"L-*"))</f>
        <v/>
      </c>
      <c r="D259" s="177" t="str">
        <f>IF(C259="","",(SUMPRODUCT((Лэндинг!$E$5:$E$300=$B259)*Лэндинг!$F$5:$F$300*Лэндинг!$G$5:$G$300)+SUMPRODUCT((Закрытые!$E$5:$E$300=$B259)*(LEFT(Закрытые!$B$5:$B$300,2)="L-")*Закрытые!$F$5:$F$300*Закрытые!$G$5:$G$300))/C259)</f>
        <v/>
      </c>
      <c r="E259" s="241" t="str">
        <f>IF(C259="","",SUMIFS(Лэндинг!$H$5:$H$300,Лэндинг!$E$5:$E$300,$B259)+SUMIFS(Закрытые!$H$5:$H$300,Закрытые!$E$5:$E$300,$B259,Закрытые!$B$5:$B$300,"L-*"))</f>
        <v/>
      </c>
      <c r="F259" s="240" t="str">
        <f>IF(SUMIFS(Лэндинг!$I$5:$I$300,Лэндинг!$E$5:$E$300,$B259)+SUMIFS(Закрытые!$I$5:$I$300,Закрытые!$E$5:$E$300,$B259,Закрытые!$B$5:$B$300,"L-*")=0,"",SUMIFS(Лэндинг!$I$5:$I$300,Лэндинг!$E$5:$E$300,$B259)+SUMIFS(Закрытые!$I$5:$I$300,Закрытые!$E$5:$E$300,$B259,Закрытые!$B$5:$B$300,"L-*"))</f>
        <v/>
      </c>
      <c r="G259" s="177" t="str">
        <f>IF(F259="","",(SUMPRODUCT((Лэндинг!$E$5:$E$300=$B259)*Лэндинг!$I$5:$I$300*Лэндинг!$J$5:$J$300)+SUMPRODUCT((Закрытые!$E$5:$E$300=$B259)*(LEFT(Закрытые!$B$5:$B$300,2)="L-")*Закрытые!$I$5:$I$300*Закрытые!$J$5:$J$300))/F259)</f>
        <v/>
      </c>
      <c r="H259" s="241" t="str">
        <f>IF(F259="","",SUMIFS(Лэндинг!$K$5:$K$300,Лэндинг!$E$5:$E$300,$B259)+SUMIFS(Закрытые!$K$5:$K$300,Закрытые!$E$5:$E$300,$B259,Закрытые!$B$5:$B$300,"L-*"))</f>
        <v/>
      </c>
      <c r="I259" s="240" t="str">
        <f>IF($B259="","",IF(COUNTIFS(Лэндинг!$E$5:$E$300,$B259)+COUNTIFS(Закрытые!$E$5:$E$300,$B259,Закрытые!$B$5:$B$300,"L-*")=0,"",ROUND(SUMIFS(Лэндинг!$L$5:$L$300,Лэндинг!$E$5:$E$300,$B259)+SUMIFS(Закрытые!$L$5:$L$300,Закрытые!$E$5:$E$300,$B259,Закрытые!$B$5:$B$300,"L-*"),8)))</f>
        <v/>
      </c>
      <c r="J259" s="241" t="str">
        <f>IF($B259="","",IF(COUNTIFS(Лэндинг!$E$5:$E$300,$B259)+COUNTIFS(Закрытые!$E$5:$E$300,$B259,Закрытые!$B$5:$B$300,"L-*")=0,"",ROUND(SUMIFS(Лэндинг!$M$5:$M$300,Лэндинг!$E$5:$E$300,$B259)+SUMIFS(Закрытые!$M$5:$M$300,Закрытые!$E$5:$E$300,$B259,Закрытые!$B$5:$B$300,"L-*"),8)))</f>
        <v/>
      </c>
      <c r="K259" s="240" t="str">
        <f>IF(MIN(N(C259),N(F259))&lt;=0,"",ROUND(MIN(N(C259),N(F259))*(N(G259)-N(D259)),8))</f>
        <v/>
      </c>
      <c r="L259" s="177" t="str">
        <f>IF(MIN(N(C259),N(F259))&lt;=0,"",IF(N(D259)=0,"",ROUND((N(G259)/N(D259)-1)*100,2)))</f>
        <v/>
      </c>
      <c r="M259" s="177" t="str">
        <f>IF(OR(ROUND(N(C259)-N(F259),8)=0,1-N(Ввод!$J$19)/100&lt;=0),"",IF(N(C259)&gt;N(F259),(N(E259)-N(H259))/((N(C259)-N(F259))*(1-N(Ввод!$J$19)/100)),(N(H259)-N(E259))/((N(F259)-N(C259))*(1+N(Ввод!$J$19)/100))))</f>
        <v/>
      </c>
    </row>
    <row r="260" ht="22" customHeight="1">
      <c r="B260" s="245" t="n"/>
      <c r="C260" s="246" t="str">
        <f>IF(SUMIFS(Лэндинг!$F$5:$F$300,Лэндинг!$E$5:$E$300,$B260)+SUMIFS(Закрытые!$F$5:$F$300,Закрытые!$E$5:$E$300,$B260,Закрытые!$B$5:$B$300,"L-*")=0,"",SUMIFS(Лэндинг!$F$5:$F$300,Лэндинг!$E$5:$E$300,$B260)+SUMIFS(Закрытые!$F$5:$F$300,Закрытые!$E$5:$E$300,$B260,Закрытые!$B$5:$B$300,"L-*"))</f>
        <v/>
      </c>
      <c r="D260" s="183" t="str">
        <f>IF(C260="","",(SUMPRODUCT((Лэндинг!$E$5:$E$300=$B260)*Лэндинг!$F$5:$F$300*Лэндинг!$G$5:$G$300)+SUMPRODUCT((Закрытые!$E$5:$E$300=$B260)*(LEFT(Закрытые!$B$5:$B$300,2)="L-")*Закрытые!$F$5:$F$300*Закрытые!$G$5:$G$300))/C260)</f>
        <v/>
      </c>
      <c r="E260" s="247" t="str">
        <f>IF(C260="","",SUMIFS(Лэндинг!$H$5:$H$300,Лэндинг!$E$5:$E$300,$B260)+SUMIFS(Закрытые!$H$5:$H$300,Закрытые!$E$5:$E$300,$B260,Закрытые!$B$5:$B$300,"L-*"))</f>
        <v/>
      </c>
      <c r="F260" s="246" t="str">
        <f>IF(SUMIFS(Лэндинг!$I$5:$I$300,Лэндинг!$E$5:$E$300,$B260)+SUMIFS(Закрытые!$I$5:$I$300,Закрытые!$E$5:$E$300,$B260,Закрытые!$B$5:$B$300,"L-*")=0,"",SUMIFS(Лэндинг!$I$5:$I$300,Лэндинг!$E$5:$E$300,$B260)+SUMIFS(Закрытые!$I$5:$I$300,Закрытые!$E$5:$E$300,$B260,Закрытые!$B$5:$B$300,"L-*"))</f>
        <v/>
      </c>
      <c r="G260" s="183" t="str">
        <f>IF(F260="","",(SUMPRODUCT((Лэндинг!$E$5:$E$300=$B260)*Лэндинг!$I$5:$I$300*Лэндинг!$J$5:$J$300)+SUMPRODUCT((Закрытые!$E$5:$E$300=$B260)*(LEFT(Закрытые!$B$5:$B$300,2)="L-")*Закрытые!$I$5:$I$300*Закрытые!$J$5:$J$300))/F260)</f>
        <v/>
      </c>
      <c r="H260" s="247" t="str">
        <f>IF(F260="","",SUMIFS(Лэндинг!$K$5:$K$300,Лэндинг!$E$5:$E$300,$B260)+SUMIFS(Закрытые!$K$5:$K$300,Закрытые!$E$5:$E$300,$B260,Закрытые!$B$5:$B$300,"L-*"))</f>
        <v/>
      </c>
      <c r="I260" s="246" t="str">
        <f>IF($B260="","",IF(COUNTIFS(Лэндинг!$E$5:$E$300,$B260)+COUNTIFS(Закрытые!$E$5:$E$300,$B260,Закрытые!$B$5:$B$300,"L-*")=0,"",ROUND(SUMIFS(Лэндинг!$L$5:$L$300,Лэндинг!$E$5:$E$300,$B260)+SUMIFS(Закрытые!$L$5:$L$300,Закрытые!$E$5:$E$300,$B260,Закрытые!$B$5:$B$300,"L-*"),8)))</f>
        <v/>
      </c>
      <c r="J260" s="247" t="str">
        <f>IF($B260="","",IF(COUNTIFS(Лэндинг!$E$5:$E$300,$B260)+COUNTIFS(Закрытые!$E$5:$E$300,$B260,Закрытые!$B$5:$B$300,"L-*")=0,"",ROUND(SUMIFS(Лэндинг!$M$5:$M$300,Лэндинг!$E$5:$E$300,$B260)+SUMIFS(Закрытые!$M$5:$M$300,Закрытые!$E$5:$E$300,$B260,Закрытые!$B$5:$B$300,"L-*"),8)))</f>
        <v/>
      </c>
      <c r="K260" s="246" t="str">
        <f>IF(MIN(N(C260),N(F260))&lt;=0,"",ROUND(MIN(N(C260),N(F260))*(N(G260)-N(D260)),8))</f>
        <v/>
      </c>
      <c r="L260" s="183" t="str">
        <f>IF(MIN(N(C260),N(F260))&lt;=0,"",IF(N(D260)=0,"",ROUND((N(G260)/N(D260)-1)*100,2)))</f>
        <v/>
      </c>
      <c r="M260" s="183" t="str">
        <f>IF(OR(ROUND(N(C260)-N(F260),8)=0,1-N(Ввод!$J$19)/100&lt;=0),"",IF(N(C260)&gt;N(F260),(N(E260)-N(H260))/((N(C260)-N(F260))*(1-N(Ввод!$J$19)/100)),(N(H260)-N(E260))/((N(F260)-N(C260))*(1+N(Ввод!$J$19)/100))))</f>
        <v/>
      </c>
    </row>
    <row r="261" ht="22" customHeight="1">
      <c r="B261" s="239" t="n"/>
      <c r="C261" s="240" t="str">
        <f>IF(SUMIFS(Лэндинг!$F$5:$F$300,Лэндинг!$E$5:$E$300,$B261)+SUMIFS(Закрытые!$F$5:$F$300,Закрытые!$E$5:$E$300,$B261,Закрытые!$B$5:$B$300,"L-*")=0,"",SUMIFS(Лэндинг!$F$5:$F$300,Лэндинг!$E$5:$E$300,$B261)+SUMIFS(Закрытые!$F$5:$F$300,Закрытые!$E$5:$E$300,$B261,Закрытые!$B$5:$B$300,"L-*"))</f>
        <v/>
      </c>
      <c r="D261" s="177" t="str">
        <f>IF(C261="","",(SUMPRODUCT((Лэндинг!$E$5:$E$300=$B261)*Лэндинг!$F$5:$F$300*Лэндинг!$G$5:$G$300)+SUMPRODUCT((Закрытые!$E$5:$E$300=$B261)*(LEFT(Закрытые!$B$5:$B$300,2)="L-")*Закрытые!$F$5:$F$300*Закрытые!$G$5:$G$300))/C261)</f>
        <v/>
      </c>
      <c r="E261" s="241" t="str">
        <f>IF(C261="","",SUMIFS(Лэндинг!$H$5:$H$300,Лэндинг!$E$5:$E$300,$B261)+SUMIFS(Закрытые!$H$5:$H$300,Закрытые!$E$5:$E$300,$B261,Закрытые!$B$5:$B$300,"L-*"))</f>
        <v/>
      </c>
      <c r="F261" s="240" t="str">
        <f>IF(SUMIFS(Лэндинг!$I$5:$I$300,Лэндинг!$E$5:$E$300,$B261)+SUMIFS(Закрытые!$I$5:$I$300,Закрытые!$E$5:$E$300,$B261,Закрытые!$B$5:$B$300,"L-*")=0,"",SUMIFS(Лэндинг!$I$5:$I$300,Лэндинг!$E$5:$E$300,$B261)+SUMIFS(Закрытые!$I$5:$I$300,Закрытые!$E$5:$E$300,$B261,Закрытые!$B$5:$B$300,"L-*"))</f>
        <v/>
      </c>
      <c r="G261" s="177" t="str">
        <f>IF(F261="","",(SUMPRODUCT((Лэндинг!$E$5:$E$300=$B261)*Лэндинг!$I$5:$I$300*Лэндинг!$J$5:$J$300)+SUMPRODUCT((Закрытые!$E$5:$E$300=$B261)*(LEFT(Закрытые!$B$5:$B$300,2)="L-")*Закрытые!$I$5:$I$300*Закрытые!$J$5:$J$300))/F261)</f>
        <v/>
      </c>
      <c r="H261" s="241" t="str">
        <f>IF(F261="","",SUMIFS(Лэндинг!$K$5:$K$300,Лэндинг!$E$5:$E$300,$B261)+SUMIFS(Закрытые!$K$5:$K$300,Закрытые!$E$5:$E$300,$B261,Закрытые!$B$5:$B$300,"L-*"))</f>
        <v/>
      </c>
      <c r="I261" s="240" t="str">
        <f>IF($B261="","",IF(COUNTIFS(Лэндинг!$E$5:$E$300,$B261)+COUNTIFS(Закрытые!$E$5:$E$300,$B261,Закрытые!$B$5:$B$300,"L-*")=0,"",ROUND(SUMIFS(Лэндинг!$L$5:$L$300,Лэндинг!$E$5:$E$300,$B261)+SUMIFS(Закрытые!$L$5:$L$300,Закрытые!$E$5:$E$300,$B261,Закрытые!$B$5:$B$300,"L-*"),8)))</f>
        <v/>
      </c>
      <c r="J261" s="241" t="str">
        <f>IF($B261="","",IF(COUNTIFS(Лэндинг!$E$5:$E$300,$B261)+COUNTIFS(Закрытые!$E$5:$E$300,$B261,Закрытые!$B$5:$B$300,"L-*")=0,"",ROUND(SUMIFS(Лэндинг!$M$5:$M$300,Лэндинг!$E$5:$E$300,$B261)+SUMIFS(Закрытые!$M$5:$M$300,Закрытые!$E$5:$E$300,$B261,Закрытые!$B$5:$B$300,"L-*"),8)))</f>
        <v/>
      </c>
      <c r="K261" s="240" t="str">
        <f>IF(MIN(N(C261),N(F261))&lt;=0,"",ROUND(MIN(N(C261),N(F261))*(N(G261)-N(D261)),8))</f>
        <v/>
      </c>
      <c r="L261" s="177" t="str">
        <f>IF(MIN(N(C261),N(F261))&lt;=0,"",IF(N(D261)=0,"",ROUND((N(G261)/N(D261)-1)*100,2)))</f>
        <v/>
      </c>
      <c r="M261" s="177" t="str">
        <f>IF(OR(ROUND(N(C261)-N(F261),8)=0,1-N(Ввод!$J$19)/100&lt;=0),"",IF(N(C261)&gt;N(F261),(N(E261)-N(H261))/((N(C261)-N(F261))*(1-N(Ввод!$J$19)/100)),(N(H261)-N(E261))/((N(F261)-N(C261))*(1+N(Ввод!$J$19)/100))))</f>
        <v/>
      </c>
    </row>
    <row r="262" ht="22" customHeight="1">
      <c r="B262" s="245" t="n"/>
      <c r="C262" s="246" t="str">
        <f>IF(SUMIFS(Лэндинг!$F$5:$F$300,Лэндинг!$E$5:$E$300,$B262)+SUMIFS(Закрытые!$F$5:$F$300,Закрытые!$E$5:$E$300,$B262,Закрытые!$B$5:$B$300,"L-*")=0,"",SUMIFS(Лэндинг!$F$5:$F$300,Лэндинг!$E$5:$E$300,$B262)+SUMIFS(Закрытые!$F$5:$F$300,Закрытые!$E$5:$E$300,$B262,Закрытые!$B$5:$B$300,"L-*"))</f>
        <v/>
      </c>
      <c r="D262" s="183" t="str">
        <f>IF(C262="","",(SUMPRODUCT((Лэндинг!$E$5:$E$300=$B262)*Лэндинг!$F$5:$F$300*Лэндинг!$G$5:$G$300)+SUMPRODUCT((Закрытые!$E$5:$E$300=$B262)*(LEFT(Закрытые!$B$5:$B$300,2)="L-")*Закрытые!$F$5:$F$300*Закрытые!$G$5:$G$300))/C262)</f>
        <v/>
      </c>
      <c r="E262" s="247" t="str">
        <f>IF(C262="","",SUMIFS(Лэндинг!$H$5:$H$300,Лэндинг!$E$5:$E$300,$B262)+SUMIFS(Закрытые!$H$5:$H$300,Закрытые!$E$5:$E$300,$B262,Закрытые!$B$5:$B$300,"L-*"))</f>
        <v/>
      </c>
      <c r="F262" s="246" t="str">
        <f>IF(SUMIFS(Лэндинг!$I$5:$I$300,Лэндинг!$E$5:$E$300,$B262)+SUMIFS(Закрытые!$I$5:$I$300,Закрытые!$E$5:$E$300,$B262,Закрытые!$B$5:$B$300,"L-*")=0,"",SUMIFS(Лэндинг!$I$5:$I$300,Лэндинг!$E$5:$E$300,$B262)+SUMIFS(Закрытые!$I$5:$I$300,Закрытые!$E$5:$E$300,$B262,Закрытые!$B$5:$B$300,"L-*"))</f>
        <v/>
      </c>
      <c r="G262" s="183" t="str">
        <f>IF(F262="","",(SUMPRODUCT((Лэндинг!$E$5:$E$300=$B262)*Лэндинг!$I$5:$I$300*Лэндинг!$J$5:$J$300)+SUMPRODUCT((Закрытые!$E$5:$E$300=$B262)*(LEFT(Закрытые!$B$5:$B$300,2)="L-")*Закрытые!$I$5:$I$300*Закрытые!$J$5:$J$300))/F262)</f>
        <v/>
      </c>
      <c r="H262" s="247" t="str">
        <f>IF(F262="","",SUMIFS(Лэндинг!$K$5:$K$300,Лэндинг!$E$5:$E$300,$B262)+SUMIFS(Закрытые!$K$5:$K$300,Закрытые!$E$5:$E$300,$B262,Закрытые!$B$5:$B$300,"L-*"))</f>
        <v/>
      </c>
      <c r="I262" s="246" t="str">
        <f>IF($B262="","",IF(COUNTIFS(Лэндинг!$E$5:$E$300,$B262)+COUNTIFS(Закрытые!$E$5:$E$300,$B262,Закрытые!$B$5:$B$300,"L-*")=0,"",ROUND(SUMIFS(Лэндинг!$L$5:$L$300,Лэндинг!$E$5:$E$300,$B262)+SUMIFS(Закрытые!$L$5:$L$300,Закрытые!$E$5:$E$300,$B262,Закрытые!$B$5:$B$300,"L-*"),8)))</f>
        <v/>
      </c>
      <c r="J262" s="247" t="str">
        <f>IF($B262="","",IF(COUNTIFS(Лэндинг!$E$5:$E$300,$B262)+COUNTIFS(Закрытые!$E$5:$E$300,$B262,Закрытые!$B$5:$B$300,"L-*")=0,"",ROUND(SUMIFS(Лэндинг!$M$5:$M$300,Лэндинг!$E$5:$E$300,$B262)+SUMIFS(Закрытые!$M$5:$M$300,Закрытые!$E$5:$E$300,$B262,Закрытые!$B$5:$B$300,"L-*"),8)))</f>
        <v/>
      </c>
      <c r="K262" s="246" t="str">
        <f>IF(MIN(N(C262),N(F262))&lt;=0,"",ROUND(MIN(N(C262),N(F262))*(N(G262)-N(D262)),8))</f>
        <v/>
      </c>
      <c r="L262" s="183" t="str">
        <f>IF(MIN(N(C262),N(F262))&lt;=0,"",IF(N(D262)=0,"",ROUND((N(G262)/N(D262)-1)*100,2)))</f>
        <v/>
      </c>
      <c r="M262" s="183" t="str">
        <f>IF(OR(ROUND(N(C262)-N(F262),8)=0,1-N(Ввод!$J$19)/100&lt;=0),"",IF(N(C262)&gt;N(F262),(N(E262)-N(H262))/((N(C262)-N(F262))*(1-N(Ввод!$J$19)/100)),(N(H262)-N(E262))/((N(F262)-N(C262))*(1+N(Ввод!$J$19)/100))))</f>
        <v/>
      </c>
    </row>
    <row r="263" ht="22" customHeight="1">
      <c r="B263" s="239" t="n"/>
      <c r="C263" s="240" t="str">
        <f>IF(SUMIFS(Лэндинг!$F$5:$F$300,Лэндинг!$E$5:$E$300,$B263)+SUMIFS(Закрытые!$F$5:$F$300,Закрытые!$E$5:$E$300,$B263,Закрытые!$B$5:$B$300,"L-*")=0,"",SUMIFS(Лэндинг!$F$5:$F$300,Лэндинг!$E$5:$E$300,$B263)+SUMIFS(Закрытые!$F$5:$F$300,Закрытые!$E$5:$E$300,$B263,Закрытые!$B$5:$B$300,"L-*"))</f>
        <v/>
      </c>
      <c r="D263" s="177" t="str">
        <f>IF(C263="","",(SUMPRODUCT((Лэндинг!$E$5:$E$300=$B263)*Лэндинг!$F$5:$F$300*Лэндинг!$G$5:$G$300)+SUMPRODUCT((Закрытые!$E$5:$E$300=$B263)*(LEFT(Закрытые!$B$5:$B$300,2)="L-")*Закрытые!$F$5:$F$300*Закрытые!$G$5:$G$300))/C263)</f>
        <v/>
      </c>
      <c r="E263" s="241" t="str">
        <f>IF(C263="","",SUMIFS(Лэндинг!$H$5:$H$300,Лэндинг!$E$5:$E$300,$B263)+SUMIFS(Закрытые!$H$5:$H$300,Закрытые!$E$5:$E$300,$B263,Закрытые!$B$5:$B$300,"L-*"))</f>
        <v/>
      </c>
      <c r="F263" s="240" t="str">
        <f>IF(SUMIFS(Лэндинг!$I$5:$I$300,Лэндинг!$E$5:$E$300,$B263)+SUMIFS(Закрытые!$I$5:$I$300,Закрытые!$E$5:$E$300,$B263,Закрытые!$B$5:$B$300,"L-*")=0,"",SUMIFS(Лэндинг!$I$5:$I$300,Лэндинг!$E$5:$E$300,$B263)+SUMIFS(Закрытые!$I$5:$I$300,Закрытые!$E$5:$E$300,$B263,Закрытые!$B$5:$B$300,"L-*"))</f>
        <v/>
      </c>
      <c r="G263" s="177" t="str">
        <f>IF(F263="","",(SUMPRODUCT((Лэндинг!$E$5:$E$300=$B263)*Лэндинг!$I$5:$I$300*Лэндинг!$J$5:$J$300)+SUMPRODUCT((Закрытые!$E$5:$E$300=$B263)*(LEFT(Закрытые!$B$5:$B$300,2)="L-")*Закрытые!$I$5:$I$300*Закрытые!$J$5:$J$300))/F263)</f>
        <v/>
      </c>
      <c r="H263" s="241" t="str">
        <f>IF(F263="","",SUMIFS(Лэндинг!$K$5:$K$300,Лэндинг!$E$5:$E$300,$B263)+SUMIFS(Закрытые!$K$5:$K$300,Закрытые!$E$5:$E$300,$B263,Закрытые!$B$5:$B$300,"L-*"))</f>
        <v/>
      </c>
      <c r="I263" s="240" t="str">
        <f>IF($B263="","",IF(COUNTIFS(Лэндинг!$E$5:$E$300,$B263)+COUNTIFS(Закрытые!$E$5:$E$300,$B263,Закрытые!$B$5:$B$300,"L-*")=0,"",ROUND(SUMIFS(Лэндинг!$L$5:$L$300,Лэндинг!$E$5:$E$300,$B263)+SUMIFS(Закрытые!$L$5:$L$300,Закрытые!$E$5:$E$300,$B263,Закрытые!$B$5:$B$300,"L-*"),8)))</f>
        <v/>
      </c>
      <c r="J263" s="241" t="str">
        <f>IF($B263="","",IF(COUNTIFS(Лэндинг!$E$5:$E$300,$B263)+COUNTIFS(Закрытые!$E$5:$E$300,$B263,Закрытые!$B$5:$B$300,"L-*")=0,"",ROUND(SUMIFS(Лэндинг!$M$5:$M$300,Лэндинг!$E$5:$E$300,$B263)+SUMIFS(Закрытые!$M$5:$M$300,Закрытые!$E$5:$E$300,$B263,Закрытые!$B$5:$B$300,"L-*"),8)))</f>
        <v/>
      </c>
      <c r="K263" s="240" t="str">
        <f>IF(MIN(N(C263),N(F263))&lt;=0,"",ROUND(MIN(N(C263),N(F263))*(N(G263)-N(D263)),8))</f>
        <v/>
      </c>
      <c r="L263" s="177" t="str">
        <f>IF(MIN(N(C263),N(F263))&lt;=0,"",IF(N(D263)=0,"",ROUND((N(G263)/N(D263)-1)*100,2)))</f>
        <v/>
      </c>
      <c r="M263" s="177" t="str">
        <f>IF(OR(ROUND(N(C263)-N(F263),8)=0,1-N(Ввод!$J$19)/100&lt;=0),"",IF(N(C263)&gt;N(F263),(N(E263)-N(H263))/((N(C263)-N(F263))*(1-N(Ввод!$J$19)/100)),(N(H263)-N(E263))/((N(F263)-N(C263))*(1+N(Ввод!$J$19)/100))))</f>
        <v/>
      </c>
    </row>
    <row r="264" ht="22" customHeight="1">
      <c r="B264" s="245" t="n"/>
      <c r="C264" s="246" t="str">
        <f>IF(SUMIFS(Лэндинг!$F$5:$F$300,Лэндинг!$E$5:$E$300,$B264)+SUMIFS(Закрытые!$F$5:$F$300,Закрытые!$E$5:$E$300,$B264,Закрытые!$B$5:$B$300,"L-*")=0,"",SUMIFS(Лэндинг!$F$5:$F$300,Лэндинг!$E$5:$E$300,$B264)+SUMIFS(Закрытые!$F$5:$F$300,Закрытые!$E$5:$E$300,$B264,Закрытые!$B$5:$B$300,"L-*"))</f>
        <v/>
      </c>
      <c r="D264" s="183" t="str">
        <f>IF(C264="","",(SUMPRODUCT((Лэндинг!$E$5:$E$300=$B264)*Лэндинг!$F$5:$F$300*Лэндинг!$G$5:$G$300)+SUMPRODUCT((Закрытые!$E$5:$E$300=$B264)*(LEFT(Закрытые!$B$5:$B$300,2)="L-")*Закрытые!$F$5:$F$300*Закрытые!$G$5:$G$300))/C264)</f>
        <v/>
      </c>
      <c r="E264" s="247" t="str">
        <f>IF(C264="","",SUMIFS(Лэндинг!$H$5:$H$300,Лэндинг!$E$5:$E$300,$B264)+SUMIFS(Закрытые!$H$5:$H$300,Закрытые!$E$5:$E$300,$B264,Закрытые!$B$5:$B$300,"L-*"))</f>
        <v/>
      </c>
      <c r="F264" s="246" t="str">
        <f>IF(SUMIFS(Лэндинг!$I$5:$I$300,Лэндинг!$E$5:$E$300,$B264)+SUMIFS(Закрытые!$I$5:$I$300,Закрытые!$E$5:$E$300,$B264,Закрытые!$B$5:$B$300,"L-*")=0,"",SUMIFS(Лэндинг!$I$5:$I$300,Лэндинг!$E$5:$E$300,$B264)+SUMIFS(Закрытые!$I$5:$I$300,Закрытые!$E$5:$E$300,$B264,Закрытые!$B$5:$B$300,"L-*"))</f>
        <v/>
      </c>
      <c r="G264" s="183" t="str">
        <f>IF(F264="","",(SUMPRODUCT((Лэндинг!$E$5:$E$300=$B264)*Лэндинг!$I$5:$I$300*Лэндинг!$J$5:$J$300)+SUMPRODUCT((Закрытые!$E$5:$E$300=$B264)*(LEFT(Закрытые!$B$5:$B$300,2)="L-")*Закрытые!$I$5:$I$300*Закрытые!$J$5:$J$300))/F264)</f>
        <v/>
      </c>
      <c r="H264" s="247" t="str">
        <f>IF(F264="","",SUMIFS(Лэндинг!$K$5:$K$300,Лэндинг!$E$5:$E$300,$B264)+SUMIFS(Закрытые!$K$5:$K$300,Закрытые!$E$5:$E$300,$B264,Закрытые!$B$5:$B$300,"L-*"))</f>
        <v/>
      </c>
      <c r="I264" s="246" t="str">
        <f>IF($B264="","",IF(COUNTIFS(Лэндинг!$E$5:$E$300,$B264)+COUNTIFS(Закрытые!$E$5:$E$300,$B264,Закрытые!$B$5:$B$300,"L-*")=0,"",ROUND(SUMIFS(Лэндинг!$L$5:$L$300,Лэндинг!$E$5:$E$300,$B264)+SUMIFS(Закрытые!$L$5:$L$300,Закрытые!$E$5:$E$300,$B264,Закрытые!$B$5:$B$300,"L-*"),8)))</f>
        <v/>
      </c>
      <c r="J264" s="247" t="str">
        <f>IF($B264="","",IF(COUNTIFS(Лэндинг!$E$5:$E$300,$B264)+COUNTIFS(Закрытые!$E$5:$E$300,$B264,Закрытые!$B$5:$B$300,"L-*")=0,"",ROUND(SUMIFS(Лэндинг!$M$5:$M$300,Лэндинг!$E$5:$E$300,$B264)+SUMIFS(Закрытые!$M$5:$M$300,Закрытые!$E$5:$E$300,$B264,Закрытые!$B$5:$B$300,"L-*"),8)))</f>
        <v/>
      </c>
      <c r="K264" s="246" t="str">
        <f>IF(MIN(N(C264),N(F264))&lt;=0,"",ROUND(MIN(N(C264),N(F264))*(N(G264)-N(D264)),8))</f>
        <v/>
      </c>
      <c r="L264" s="183" t="str">
        <f>IF(MIN(N(C264),N(F264))&lt;=0,"",IF(N(D264)=0,"",ROUND((N(G264)/N(D264)-1)*100,2)))</f>
        <v/>
      </c>
      <c r="M264" s="183" t="str">
        <f>IF(OR(ROUND(N(C264)-N(F264),8)=0,1-N(Ввод!$J$19)/100&lt;=0),"",IF(N(C264)&gt;N(F264),(N(E264)-N(H264))/((N(C264)-N(F264))*(1-N(Ввод!$J$19)/100)),(N(H264)-N(E264))/((N(F264)-N(C264))*(1+N(Ввод!$J$19)/100))))</f>
        <v/>
      </c>
    </row>
    <row r="265" ht="22" customHeight="1">
      <c r="B265" s="239" t="n"/>
      <c r="C265" s="240" t="str">
        <f>IF(SUMIFS(Лэндинг!$F$5:$F$300,Лэндинг!$E$5:$E$300,$B265)+SUMIFS(Закрытые!$F$5:$F$300,Закрытые!$E$5:$E$300,$B265,Закрытые!$B$5:$B$300,"L-*")=0,"",SUMIFS(Лэндинг!$F$5:$F$300,Лэндинг!$E$5:$E$300,$B265)+SUMIFS(Закрытые!$F$5:$F$300,Закрытые!$E$5:$E$300,$B265,Закрытые!$B$5:$B$300,"L-*"))</f>
        <v/>
      </c>
      <c r="D265" s="177" t="str">
        <f>IF(C265="","",(SUMPRODUCT((Лэндинг!$E$5:$E$300=$B265)*Лэндинг!$F$5:$F$300*Лэндинг!$G$5:$G$300)+SUMPRODUCT((Закрытые!$E$5:$E$300=$B265)*(LEFT(Закрытые!$B$5:$B$300,2)="L-")*Закрытые!$F$5:$F$300*Закрытые!$G$5:$G$300))/C265)</f>
        <v/>
      </c>
      <c r="E265" s="241" t="str">
        <f>IF(C265="","",SUMIFS(Лэндинг!$H$5:$H$300,Лэндинг!$E$5:$E$300,$B265)+SUMIFS(Закрытые!$H$5:$H$300,Закрытые!$E$5:$E$300,$B265,Закрытые!$B$5:$B$300,"L-*"))</f>
        <v/>
      </c>
      <c r="F265" s="240" t="str">
        <f>IF(SUMIFS(Лэндинг!$I$5:$I$300,Лэндинг!$E$5:$E$300,$B265)+SUMIFS(Закрытые!$I$5:$I$300,Закрытые!$E$5:$E$300,$B265,Закрытые!$B$5:$B$300,"L-*")=0,"",SUMIFS(Лэндинг!$I$5:$I$300,Лэндинг!$E$5:$E$300,$B265)+SUMIFS(Закрытые!$I$5:$I$300,Закрытые!$E$5:$E$300,$B265,Закрытые!$B$5:$B$300,"L-*"))</f>
        <v/>
      </c>
      <c r="G265" s="177" t="str">
        <f>IF(F265="","",(SUMPRODUCT((Лэндинг!$E$5:$E$300=$B265)*Лэндинг!$I$5:$I$300*Лэндинг!$J$5:$J$300)+SUMPRODUCT((Закрытые!$E$5:$E$300=$B265)*(LEFT(Закрытые!$B$5:$B$300,2)="L-")*Закрытые!$I$5:$I$300*Закрытые!$J$5:$J$300))/F265)</f>
        <v/>
      </c>
      <c r="H265" s="241" t="str">
        <f>IF(F265="","",SUMIFS(Лэндинг!$K$5:$K$300,Лэндинг!$E$5:$E$300,$B265)+SUMIFS(Закрытые!$K$5:$K$300,Закрытые!$E$5:$E$300,$B265,Закрытые!$B$5:$B$300,"L-*"))</f>
        <v/>
      </c>
      <c r="I265" s="240" t="str">
        <f>IF($B265="","",IF(COUNTIFS(Лэндинг!$E$5:$E$300,$B265)+COUNTIFS(Закрытые!$E$5:$E$300,$B265,Закрытые!$B$5:$B$300,"L-*")=0,"",ROUND(SUMIFS(Лэндинг!$L$5:$L$300,Лэндинг!$E$5:$E$300,$B265)+SUMIFS(Закрытые!$L$5:$L$300,Закрытые!$E$5:$E$300,$B265,Закрытые!$B$5:$B$300,"L-*"),8)))</f>
        <v/>
      </c>
      <c r="J265" s="241" t="str">
        <f>IF($B265="","",IF(COUNTIFS(Лэндинг!$E$5:$E$300,$B265)+COUNTIFS(Закрытые!$E$5:$E$300,$B265,Закрытые!$B$5:$B$300,"L-*")=0,"",ROUND(SUMIFS(Лэндинг!$M$5:$M$300,Лэндинг!$E$5:$E$300,$B265)+SUMIFS(Закрытые!$M$5:$M$300,Закрытые!$E$5:$E$300,$B265,Закрытые!$B$5:$B$300,"L-*"),8)))</f>
        <v/>
      </c>
      <c r="K265" s="240" t="str">
        <f>IF(MIN(N(C265),N(F265))&lt;=0,"",ROUND(MIN(N(C265),N(F265))*(N(G265)-N(D265)),8))</f>
        <v/>
      </c>
      <c r="L265" s="177" t="str">
        <f>IF(MIN(N(C265),N(F265))&lt;=0,"",IF(N(D265)=0,"",ROUND((N(G265)/N(D265)-1)*100,2)))</f>
        <v/>
      </c>
      <c r="M265" s="177" t="str">
        <f>IF(OR(ROUND(N(C265)-N(F265),8)=0,1-N(Ввод!$J$19)/100&lt;=0),"",IF(N(C265)&gt;N(F265),(N(E265)-N(H265))/((N(C265)-N(F265))*(1-N(Ввод!$J$19)/100)),(N(H265)-N(E265))/((N(F265)-N(C265))*(1+N(Ввод!$J$19)/100))))</f>
        <v/>
      </c>
    </row>
    <row r="266" ht="22" customHeight="1">
      <c r="B266" s="245" t="n"/>
      <c r="C266" s="246" t="str">
        <f>IF(SUMIFS(Лэндинг!$F$5:$F$300,Лэндинг!$E$5:$E$300,$B266)+SUMIFS(Закрытые!$F$5:$F$300,Закрытые!$E$5:$E$300,$B266,Закрытые!$B$5:$B$300,"L-*")=0,"",SUMIFS(Лэндинг!$F$5:$F$300,Лэндинг!$E$5:$E$300,$B266)+SUMIFS(Закрытые!$F$5:$F$300,Закрытые!$E$5:$E$300,$B266,Закрытые!$B$5:$B$300,"L-*"))</f>
        <v/>
      </c>
      <c r="D266" s="183" t="str">
        <f>IF(C266="","",(SUMPRODUCT((Лэндинг!$E$5:$E$300=$B266)*Лэндинг!$F$5:$F$300*Лэндинг!$G$5:$G$300)+SUMPRODUCT((Закрытые!$E$5:$E$300=$B266)*(LEFT(Закрытые!$B$5:$B$300,2)="L-")*Закрытые!$F$5:$F$300*Закрытые!$G$5:$G$300))/C266)</f>
        <v/>
      </c>
      <c r="E266" s="247" t="str">
        <f>IF(C266="","",SUMIFS(Лэндинг!$H$5:$H$300,Лэндинг!$E$5:$E$300,$B266)+SUMIFS(Закрытые!$H$5:$H$300,Закрытые!$E$5:$E$300,$B266,Закрытые!$B$5:$B$300,"L-*"))</f>
        <v/>
      </c>
      <c r="F266" s="246" t="str">
        <f>IF(SUMIFS(Лэндинг!$I$5:$I$300,Лэндинг!$E$5:$E$300,$B266)+SUMIFS(Закрытые!$I$5:$I$300,Закрытые!$E$5:$E$300,$B266,Закрытые!$B$5:$B$300,"L-*")=0,"",SUMIFS(Лэндинг!$I$5:$I$300,Лэндинг!$E$5:$E$300,$B266)+SUMIFS(Закрытые!$I$5:$I$300,Закрытые!$E$5:$E$300,$B266,Закрытые!$B$5:$B$300,"L-*"))</f>
        <v/>
      </c>
      <c r="G266" s="183" t="str">
        <f>IF(F266="","",(SUMPRODUCT((Лэндинг!$E$5:$E$300=$B266)*Лэндинг!$I$5:$I$300*Лэндинг!$J$5:$J$300)+SUMPRODUCT((Закрытые!$E$5:$E$300=$B266)*(LEFT(Закрытые!$B$5:$B$300,2)="L-")*Закрытые!$I$5:$I$300*Закрытые!$J$5:$J$300))/F266)</f>
        <v/>
      </c>
      <c r="H266" s="247" t="str">
        <f>IF(F266="","",SUMIFS(Лэндинг!$K$5:$K$300,Лэндинг!$E$5:$E$300,$B266)+SUMIFS(Закрытые!$K$5:$K$300,Закрытые!$E$5:$E$300,$B266,Закрытые!$B$5:$B$300,"L-*"))</f>
        <v/>
      </c>
      <c r="I266" s="246" t="str">
        <f>IF($B266="","",IF(COUNTIFS(Лэндинг!$E$5:$E$300,$B266)+COUNTIFS(Закрытые!$E$5:$E$300,$B266,Закрытые!$B$5:$B$300,"L-*")=0,"",ROUND(SUMIFS(Лэндинг!$L$5:$L$300,Лэндинг!$E$5:$E$300,$B266)+SUMIFS(Закрытые!$L$5:$L$300,Закрытые!$E$5:$E$300,$B266,Закрытые!$B$5:$B$300,"L-*"),8)))</f>
        <v/>
      </c>
      <c r="J266" s="247" t="str">
        <f>IF($B266="","",IF(COUNTIFS(Лэндинг!$E$5:$E$300,$B266)+COUNTIFS(Закрытые!$E$5:$E$300,$B266,Закрытые!$B$5:$B$300,"L-*")=0,"",ROUND(SUMIFS(Лэндинг!$M$5:$M$300,Лэндинг!$E$5:$E$300,$B266)+SUMIFS(Закрытые!$M$5:$M$300,Закрытые!$E$5:$E$300,$B266,Закрытые!$B$5:$B$300,"L-*"),8)))</f>
        <v/>
      </c>
      <c r="K266" s="246" t="str">
        <f>IF(MIN(N(C266),N(F266))&lt;=0,"",ROUND(MIN(N(C266),N(F266))*(N(G266)-N(D266)),8))</f>
        <v/>
      </c>
      <c r="L266" s="183" t="str">
        <f>IF(MIN(N(C266),N(F266))&lt;=0,"",IF(N(D266)=0,"",ROUND((N(G266)/N(D266)-1)*100,2)))</f>
        <v/>
      </c>
      <c r="M266" s="183" t="str">
        <f>IF(OR(ROUND(N(C266)-N(F266),8)=0,1-N(Ввод!$J$19)/100&lt;=0),"",IF(N(C266)&gt;N(F266),(N(E266)-N(H266))/((N(C266)-N(F266))*(1-N(Ввод!$J$19)/100)),(N(H266)-N(E266))/((N(F266)-N(C266))*(1+N(Ввод!$J$19)/100))))</f>
        <v/>
      </c>
    </row>
    <row r="267" ht="22" customHeight="1">
      <c r="B267" s="239" t="n"/>
      <c r="C267" s="240" t="str">
        <f>IF(SUMIFS(Лэндинг!$F$5:$F$300,Лэндинг!$E$5:$E$300,$B267)+SUMIFS(Закрытые!$F$5:$F$300,Закрытые!$E$5:$E$300,$B267,Закрытые!$B$5:$B$300,"L-*")=0,"",SUMIFS(Лэндинг!$F$5:$F$300,Лэндинг!$E$5:$E$300,$B267)+SUMIFS(Закрытые!$F$5:$F$300,Закрытые!$E$5:$E$300,$B267,Закрытые!$B$5:$B$300,"L-*"))</f>
        <v/>
      </c>
      <c r="D267" s="177" t="str">
        <f>IF(C267="","",(SUMPRODUCT((Лэндинг!$E$5:$E$300=$B267)*Лэндинг!$F$5:$F$300*Лэндинг!$G$5:$G$300)+SUMPRODUCT((Закрытые!$E$5:$E$300=$B267)*(LEFT(Закрытые!$B$5:$B$300,2)="L-")*Закрытые!$F$5:$F$300*Закрытые!$G$5:$G$300))/C267)</f>
        <v/>
      </c>
      <c r="E267" s="241" t="str">
        <f>IF(C267="","",SUMIFS(Лэндинг!$H$5:$H$300,Лэндинг!$E$5:$E$300,$B267)+SUMIFS(Закрытые!$H$5:$H$300,Закрытые!$E$5:$E$300,$B267,Закрытые!$B$5:$B$300,"L-*"))</f>
        <v/>
      </c>
      <c r="F267" s="240" t="str">
        <f>IF(SUMIFS(Лэндинг!$I$5:$I$300,Лэндинг!$E$5:$E$300,$B267)+SUMIFS(Закрытые!$I$5:$I$300,Закрытые!$E$5:$E$300,$B267,Закрытые!$B$5:$B$300,"L-*")=0,"",SUMIFS(Лэндинг!$I$5:$I$300,Лэндинг!$E$5:$E$300,$B267)+SUMIFS(Закрытые!$I$5:$I$300,Закрытые!$E$5:$E$300,$B267,Закрытые!$B$5:$B$300,"L-*"))</f>
        <v/>
      </c>
      <c r="G267" s="177" t="str">
        <f>IF(F267="","",(SUMPRODUCT((Лэндинг!$E$5:$E$300=$B267)*Лэндинг!$I$5:$I$300*Лэндинг!$J$5:$J$300)+SUMPRODUCT((Закрытые!$E$5:$E$300=$B267)*(LEFT(Закрытые!$B$5:$B$300,2)="L-")*Закрытые!$I$5:$I$300*Закрытые!$J$5:$J$300))/F267)</f>
        <v/>
      </c>
      <c r="H267" s="241" t="str">
        <f>IF(F267="","",SUMIFS(Лэндинг!$K$5:$K$300,Лэндинг!$E$5:$E$300,$B267)+SUMIFS(Закрытые!$K$5:$K$300,Закрытые!$E$5:$E$300,$B267,Закрытые!$B$5:$B$300,"L-*"))</f>
        <v/>
      </c>
      <c r="I267" s="240" t="str">
        <f>IF($B267="","",IF(COUNTIFS(Лэндинг!$E$5:$E$300,$B267)+COUNTIFS(Закрытые!$E$5:$E$300,$B267,Закрытые!$B$5:$B$300,"L-*")=0,"",ROUND(SUMIFS(Лэндинг!$L$5:$L$300,Лэндинг!$E$5:$E$300,$B267)+SUMIFS(Закрытые!$L$5:$L$300,Закрытые!$E$5:$E$300,$B267,Закрытые!$B$5:$B$300,"L-*"),8)))</f>
        <v/>
      </c>
      <c r="J267" s="241" t="str">
        <f>IF($B267="","",IF(COUNTIFS(Лэндинг!$E$5:$E$300,$B267)+COUNTIFS(Закрытые!$E$5:$E$300,$B267,Закрытые!$B$5:$B$300,"L-*")=0,"",ROUND(SUMIFS(Лэндинг!$M$5:$M$300,Лэндинг!$E$5:$E$300,$B267)+SUMIFS(Закрытые!$M$5:$M$300,Закрытые!$E$5:$E$300,$B267,Закрытые!$B$5:$B$300,"L-*"),8)))</f>
        <v/>
      </c>
      <c r="K267" s="240" t="str">
        <f>IF(MIN(N(C267),N(F267))&lt;=0,"",ROUND(MIN(N(C267),N(F267))*(N(G267)-N(D267)),8))</f>
        <v/>
      </c>
      <c r="L267" s="177" t="str">
        <f>IF(MIN(N(C267),N(F267))&lt;=0,"",IF(N(D267)=0,"",ROUND((N(G267)/N(D267)-1)*100,2)))</f>
        <v/>
      </c>
      <c r="M267" s="177" t="str">
        <f>IF(OR(ROUND(N(C267)-N(F267),8)=0,1-N(Ввод!$J$19)/100&lt;=0),"",IF(N(C267)&gt;N(F267),(N(E267)-N(H267))/((N(C267)-N(F267))*(1-N(Ввод!$J$19)/100)),(N(H267)-N(E267))/((N(F267)-N(C267))*(1+N(Ввод!$J$19)/100))))</f>
        <v/>
      </c>
    </row>
    <row r="268" ht="22" customHeight="1">
      <c r="B268" s="245" t="n"/>
      <c r="C268" s="246" t="str">
        <f>IF(SUMIFS(Лэндинг!$F$5:$F$300,Лэндинг!$E$5:$E$300,$B268)+SUMIFS(Закрытые!$F$5:$F$300,Закрытые!$E$5:$E$300,$B268,Закрытые!$B$5:$B$300,"L-*")=0,"",SUMIFS(Лэндинг!$F$5:$F$300,Лэндинг!$E$5:$E$300,$B268)+SUMIFS(Закрытые!$F$5:$F$300,Закрытые!$E$5:$E$300,$B268,Закрытые!$B$5:$B$300,"L-*"))</f>
        <v/>
      </c>
      <c r="D268" s="183" t="str">
        <f>IF(C268="","",(SUMPRODUCT((Лэндинг!$E$5:$E$300=$B268)*Лэндинг!$F$5:$F$300*Лэндинг!$G$5:$G$300)+SUMPRODUCT((Закрытые!$E$5:$E$300=$B268)*(LEFT(Закрытые!$B$5:$B$300,2)="L-")*Закрытые!$F$5:$F$300*Закрытые!$G$5:$G$300))/C268)</f>
        <v/>
      </c>
      <c r="E268" s="247" t="str">
        <f>IF(C268="","",SUMIFS(Лэндинг!$H$5:$H$300,Лэндинг!$E$5:$E$300,$B268)+SUMIFS(Закрытые!$H$5:$H$300,Закрытые!$E$5:$E$300,$B268,Закрытые!$B$5:$B$300,"L-*"))</f>
        <v/>
      </c>
      <c r="F268" s="246" t="str">
        <f>IF(SUMIFS(Лэндинг!$I$5:$I$300,Лэндинг!$E$5:$E$300,$B268)+SUMIFS(Закрытые!$I$5:$I$300,Закрытые!$E$5:$E$300,$B268,Закрытые!$B$5:$B$300,"L-*")=0,"",SUMIFS(Лэндинг!$I$5:$I$300,Лэндинг!$E$5:$E$300,$B268)+SUMIFS(Закрытые!$I$5:$I$300,Закрытые!$E$5:$E$300,$B268,Закрытые!$B$5:$B$300,"L-*"))</f>
        <v/>
      </c>
      <c r="G268" s="183" t="str">
        <f>IF(F268="","",(SUMPRODUCT((Лэндинг!$E$5:$E$300=$B268)*Лэндинг!$I$5:$I$300*Лэндинг!$J$5:$J$300)+SUMPRODUCT((Закрытые!$E$5:$E$300=$B268)*(LEFT(Закрытые!$B$5:$B$300,2)="L-")*Закрытые!$I$5:$I$300*Закрытые!$J$5:$J$300))/F268)</f>
        <v/>
      </c>
      <c r="H268" s="247" t="str">
        <f>IF(F268="","",SUMIFS(Лэндинг!$K$5:$K$300,Лэндинг!$E$5:$E$300,$B268)+SUMIFS(Закрытые!$K$5:$K$300,Закрытые!$E$5:$E$300,$B268,Закрытые!$B$5:$B$300,"L-*"))</f>
        <v/>
      </c>
      <c r="I268" s="246" t="str">
        <f>IF($B268="","",IF(COUNTIFS(Лэндинг!$E$5:$E$300,$B268)+COUNTIFS(Закрытые!$E$5:$E$300,$B268,Закрытые!$B$5:$B$300,"L-*")=0,"",ROUND(SUMIFS(Лэндинг!$L$5:$L$300,Лэндинг!$E$5:$E$300,$B268)+SUMIFS(Закрытые!$L$5:$L$300,Закрытые!$E$5:$E$300,$B268,Закрытые!$B$5:$B$300,"L-*"),8)))</f>
        <v/>
      </c>
      <c r="J268" s="247" t="str">
        <f>IF($B268="","",IF(COUNTIFS(Лэндинг!$E$5:$E$300,$B268)+COUNTIFS(Закрытые!$E$5:$E$300,$B268,Закрытые!$B$5:$B$300,"L-*")=0,"",ROUND(SUMIFS(Лэндинг!$M$5:$M$300,Лэндинг!$E$5:$E$300,$B268)+SUMIFS(Закрытые!$M$5:$M$300,Закрытые!$E$5:$E$300,$B268,Закрытые!$B$5:$B$300,"L-*"),8)))</f>
        <v/>
      </c>
      <c r="K268" s="246" t="str">
        <f>IF(MIN(N(C268),N(F268))&lt;=0,"",ROUND(MIN(N(C268),N(F268))*(N(G268)-N(D268)),8))</f>
        <v/>
      </c>
      <c r="L268" s="183" t="str">
        <f>IF(MIN(N(C268),N(F268))&lt;=0,"",IF(N(D268)=0,"",ROUND((N(G268)/N(D268)-1)*100,2)))</f>
        <v/>
      </c>
      <c r="M268" s="183" t="str">
        <f>IF(OR(ROUND(N(C268)-N(F268),8)=0,1-N(Ввод!$J$19)/100&lt;=0),"",IF(N(C268)&gt;N(F268),(N(E268)-N(H268))/((N(C268)-N(F268))*(1-N(Ввод!$J$19)/100)),(N(H268)-N(E268))/((N(F268)-N(C268))*(1+N(Ввод!$J$19)/100))))</f>
        <v/>
      </c>
    </row>
    <row r="269" ht="22" customHeight="1">
      <c r="B269" s="239" t="n"/>
      <c r="C269" s="240" t="str">
        <f>IF(SUMIFS(Лэндинг!$F$5:$F$300,Лэндинг!$E$5:$E$300,$B269)+SUMIFS(Закрытые!$F$5:$F$300,Закрытые!$E$5:$E$300,$B269,Закрытые!$B$5:$B$300,"L-*")=0,"",SUMIFS(Лэндинг!$F$5:$F$300,Лэндинг!$E$5:$E$300,$B269)+SUMIFS(Закрытые!$F$5:$F$300,Закрытые!$E$5:$E$300,$B269,Закрытые!$B$5:$B$300,"L-*"))</f>
        <v/>
      </c>
      <c r="D269" s="177" t="str">
        <f>IF(C269="","",(SUMPRODUCT((Лэндинг!$E$5:$E$300=$B269)*Лэндинг!$F$5:$F$300*Лэндинг!$G$5:$G$300)+SUMPRODUCT((Закрытые!$E$5:$E$300=$B269)*(LEFT(Закрытые!$B$5:$B$300,2)="L-")*Закрытые!$F$5:$F$300*Закрытые!$G$5:$G$300))/C269)</f>
        <v/>
      </c>
      <c r="E269" s="241" t="str">
        <f>IF(C269="","",SUMIFS(Лэндинг!$H$5:$H$300,Лэндинг!$E$5:$E$300,$B269)+SUMIFS(Закрытые!$H$5:$H$300,Закрытые!$E$5:$E$300,$B269,Закрытые!$B$5:$B$300,"L-*"))</f>
        <v/>
      </c>
      <c r="F269" s="240" t="str">
        <f>IF(SUMIFS(Лэндинг!$I$5:$I$300,Лэндинг!$E$5:$E$300,$B269)+SUMIFS(Закрытые!$I$5:$I$300,Закрытые!$E$5:$E$300,$B269,Закрытые!$B$5:$B$300,"L-*")=0,"",SUMIFS(Лэндинг!$I$5:$I$300,Лэндинг!$E$5:$E$300,$B269)+SUMIFS(Закрытые!$I$5:$I$300,Закрытые!$E$5:$E$300,$B269,Закрытые!$B$5:$B$300,"L-*"))</f>
        <v/>
      </c>
      <c r="G269" s="177" t="str">
        <f>IF(F269="","",(SUMPRODUCT((Лэндинг!$E$5:$E$300=$B269)*Лэндинг!$I$5:$I$300*Лэндинг!$J$5:$J$300)+SUMPRODUCT((Закрытые!$E$5:$E$300=$B269)*(LEFT(Закрытые!$B$5:$B$300,2)="L-")*Закрытые!$I$5:$I$300*Закрытые!$J$5:$J$300))/F269)</f>
        <v/>
      </c>
      <c r="H269" s="241" t="str">
        <f>IF(F269="","",SUMIFS(Лэндинг!$K$5:$K$300,Лэндинг!$E$5:$E$300,$B269)+SUMIFS(Закрытые!$K$5:$K$300,Закрытые!$E$5:$E$300,$B269,Закрытые!$B$5:$B$300,"L-*"))</f>
        <v/>
      </c>
      <c r="I269" s="240" t="str">
        <f>IF($B269="","",IF(COUNTIFS(Лэндинг!$E$5:$E$300,$B269)+COUNTIFS(Закрытые!$E$5:$E$300,$B269,Закрытые!$B$5:$B$300,"L-*")=0,"",ROUND(SUMIFS(Лэндинг!$L$5:$L$300,Лэндинг!$E$5:$E$300,$B269)+SUMIFS(Закрытые!$L$5:$L$300,Закрытые!$E$5:$E$300,$B269,Закрытые!$B$5:$B$300,"L-*"),8)))</f>
        <v/>
      </c>
      <c r="J269" s="241" t="str">
        <f>IF($B269="","",IF(COUNTIFS(Лэндинг!$E$5:$E$300,$B269)+COUNTIFS(Закрытые!$E$5:$E$300,$B269,Закрытые!$B$5:$B$300,"L-*")=0,"",ROUND(SUMIFS(Лэндинг!$M$5:$M$300,Лэндинг!$E$5:$E$300,$B269)+SUMIFS(Закрытые!$M$5:$M$300,Закрытые!$E$5:$E$300,$B269,Закрытые!$B$5:$B$300,"L-*"),8)))</f>
        <v/>
      </c>
      <c r="K269" s="240" t="str">
        <f>IF(MIN(N(C269),N(F269))&lt;=0,"",ROUND(MIN(N(C269),N(F269))*(N(G269)-N(D269)),8))</f>
        <v/>
      </c>
      <c r="L269" s="177" t="str">
        <f>IF(MIN(N(C269),N(F269))&lt;=0,"",IF(N(D269)=0,"",ROUND((N(G269)/N(D269)-1)*100,2)))</f>
        <v/>
      </c>
      <c r="M269" s="177" t="str">
        <f>IF(OR(ROUND(N(C269)-N(F269),8)=0,1-N(Ввод!$J$19)/100&lt;=0),"",IF(N(C269)&gt;N(F269),(N(E269)-N(H269))/((N(C269)-N(F269))*(1-N(Ввод!$J$19)/100)),(N(H269)-N(E269))/((N(F269)-N(C269))*(1+N(Ввод!$J$19)/100))))</f>
        <v/>
      </c>
    </row>
    <row r="270" ht="22" customHeight="1">
      <c r="B270" s="245" t="n"/>
      <c r="C270" s="246" t="str">
        <f>IF(SUMIFS(Лэндинг!$F$5:$F$300,Лэндинг!$E$5:$E$300,$B270)+SUMIFS(Закрытые!$F$5:$F$300,Закрытые!$E$5:$E$300,$B270,Закрытые!$B$5:$B$300,"L-*")=0,"",SUMIFS(Лэндинг!$F$5:$F$300,Лэндинг!$E$5:$E$300,$B270)+SUMIFS(Закрытые!$F$5:$F$300,Закрытые!$E$5:$E$300,$B270,Закрытые!$B$5:$B$300,"L-*"))</f>
        <v/>
      </c>
      <c r="D270" s="183" t="str">
        <f>IF(C270="","",(SUMPRODUCT((Лэндинг!$E$5:$E$300=$B270)*Лэндинг!$F$5:$F$300*Лэндинг!$G$5:$G$300)+SUMPRODUCT((Закрытые!$E$5:$E$300=$B270)*(LEFT(Закрытые!$B$5:$B$300,2)="L-")*Закрытые!$F$5:$F$300*Закрытые!$G$5:$G$300))/C270)</f>
        <v/>
      </c>
      <c r="E270" s="247" t="str">
        <f>IF(C270="","",SUMIFS(Лэндинг!$H$5:$H$300,Лэндинг!$E$5:$E$300,$B270)+SUMIFS(Закрытые!$H$5:$H$300,Закрытые!$E$5:$E$300,$B270,Закрытые!$B$5:$B$300,"L-*"))</f>
        <v/>
      </c>
      <c r="F270" s="246" t="str">
        <f>IF(SUMIFS(Лэндинг!$I$5:$I$300,Лэндинг!$E$5:$E$300,$B270)+SUMIFS(Закрытые!$I$5:$I$300,Закрытые!$E$5:$E$300,$B270,Закрытые!$B$5:$B$300,"L-*")=0,"",SUMIFS(Лэндинг!$I$5:$I$300,Лэндинг!$E$5:$E$300,$B270)+SUMIFS(Закрытые!$I$5:$I$300,Закрытые!$E$5:$E$300,$B270,Закрытые!$B$5:$B$300,"L-*"))</f>
        <v/>
      </c>
      <c r="G270" s="183" t="str">
        <f>IF(F270="","",(SUMPRODUCT((Лэндинг!$E$5:$E$300=$B270)*Лэндинг!$I$5:$I$300*Лэндинг!$J$5:$J$300)+SUMPRODUCT((Закрытые!$E$5:$E$300=$B270)*(LEFT(Закрытые!$B$5:$B$300,2)="L-")*Закрытые!$I$5:$I$300*Закрытые!$J$5:$J$300))/F270)</f>
        <v/>
      </c>
      <c r="H270" s="247" t="str">
        <f>IF(F270="","",SUMIFS(Лэндинг!$K$5:$K$300,Лэндинг!$E$5:$E$300,$B270)+SUMIFS(Закрытые!$K$5:$K$300,Закрытые!$E$5:$E$300,$B270,Закрытые!$B$5:$B$300,"L-*"))</f>
        <v/>
      </c>
      <c r="I270" s="246" t="str">
        <f>IF($B270="","",IF(COUNTIFS(Лэндинг!$E$5:$E$300,$B270)+COUNTIFS(Закрытые!$E$5:$E$300,$B270,Закрытые!$B$5:$B$300,"L-*")=0,"",ROUND(SUMIFS(Лэндинг!$L$5:$L$300,Лэндинг!$E$5:$E$300,$B270)+SUMIFS(Закрытые!$L$5:$L$300,Закрытые!$E$5:$E$300,$B270,Закрытые!$B$5:$B$300,"L-*"),8)))</f>
        <v/>
      </c>
      <c r="J270" s="247" t="str">
        <f>IF($B270="","",IF(COUNTIFS(Лэндинг!$E$5:$E$300,$B270)+COUNTIFS(Закрытые!$E$5:$E$300,$B270,Закрытые!$B$5:$B$300,"L-*")=0,"",ROUND(SUMIFS(Лэндинг!$M$5:$M$300,Лэндинг!$E$5:$E$300,$B270)+SUMIFS(Закрытые!$M$5:$M$300,Закрытые!$E$5:$E$300,$B270,Закрытые!$B$5:$B$300,"L-*"),8)))</f>
        <v/>
      </c>
      <c r="K270" s="246" t="str">
        <f>IF(MIN(N(C270),N(F270))&lt;=0,"",ROUND(MIN(N(C270),N(F270))*(N(G270)-N(D270)),8))</f>
        <v/>
      </c>
      <c r="L270" s="183" t="str">
        <f>IF(MIN(N(C270),N(F270))&lt;=0,"",IF(N(D270)=0,"",ROUND((N(G270)/N(D270)-1)*100,2)))</f>
        <v/>
      </c>
      <c r="M270" s="183" t="str">
        <f>IF(OR(ROUND(N(C270)-N(F270),8)=0,1-N(Ввод!$J$19)/100&lt;=0),"",IF(N(C270)&gt;N(F270),(N(E270)-N(H270))/((N(C270)-N(F270))*(1-N(Ввод!$J$19)/100)),(N(H270)-N(E270))/((N(F270)-N(C270))*(1+N(Ввод!$J$19)/100))))</f>
        <v/>
      </c>
    </row>
    <row r="271" ht="22" customHeight="1">
      <c r="B271" s="239" t="n"/>
      <c r="C271" s="240" t="str">
        <f>IF(SUMIFS(Лэндинг!$F$5:$F$300,Лэндинг!$E$5:$E$300,$B271)+SUMIFS(Закрытые!$F$5:$F$300,Закрытые!$E$5:$E$300,$B271,Закрытые!$B$5:$B$300,"L-*")=0,"",SUMIFS(Лэндинг!$F$5:$F$300,Лэндинг!$E$5:$E$300,$B271)+SUMIFS(Закрытые!$F$5:$F$300,Закрытые!$E$5:$E$300,$B271,Закрытые!$B$5:$B$300,"L-*"))</f>
        <v/>
      </c>
      <c r="D271" s="177" t="str">
        <f>IF(C271="","",(SUMPRODUCT((Лэндинг!$E$5:$E$300=$B271)*Лэндинг!$F$5:$F$300*Лэндинг!$G$5:$G$300)+SUMPRODUCT((Закрытые!$E$5:$E$300=$B271)*(LEFT(Закрытые!$B$5:$B$300,2)="L-")*Закрытые!$F$5:$F$300*Закрытые!$G$5:$G$300))/C271)</f>
        <v/>
      </c>
      <c r="E271" s="241" t="str">
        <f>IF(C271="","",SUMIFS(Лэндинг!$H$5:$H$300,Лэндинг!$E$5:$E$300,$B271)+SUMIFS(Закрытые!$H$5:$H$300,Закрытые!$E$5:$E$300,$B271,Закрытые!$B$5:$B$300,"L-*"))</f>
        <v/>
      </c>
      <c r="F271" s="240" t="str">
        <f>IF(SUMIFS(Лэндинг!$I$5:$I$300,Лэндинг!$E$5:$E$300,$B271)+SUMIFS(Закрытые!$I$5:$I$300,Закрытые!$E$5:$E$300,$B271,Закрытые!$B$5:$B$300,"L-*")=0,"",SUMIFS(Лэндинг!$I$5:$I$300,Лэндинг!$E$5:$E$300,$B271)+SUMIFS(Закрытые!$I$5:$I$300,Закрытые!$E$5:$E$300,$B271,Закрытые!$B$5:$B$300,"L-*"))</f>
        <v/>
      </c>
      <c r="G271" s="177" t="str">
        <f>IF(F271="","",(SUMPRODUCT((Лэндинг!$E$5:$E$300=$B271)*Лэндинг!$I$5:$I$300*Лэндинг!$J$5:$J$300)+SUMPRODUCT((Закрытые!$E$5:$E$300=$B271)*(LEFT(Закрытые!$B$5:$B$300,2)="L-")*Закрытые!$I$5:$I$300*Закрытые!$J$5:$J$300))/F271)</f>
        <v/>
      </c>
      <c r="H271" s="241" t="str">
        <f>IF(F271="","",SUMIFS(Лэндинг!$K$5:$K$300,Лэндинг!$E$5:$E$300,$B271)+SUMIFS(Закрытые!$K$5:$K$300,Закрытые!$E$5:$E$300,$B271,Закрытые!$B$5:$B$300,"L-*"))</f>
        <v/>
      </c>
      <c r="I271" s="240" t="str">
        <f>IF($B271="","",IF(COUNTIFS(Лэндинг!$E$5:$E$300,$B271)+COUNTIFS(Закрытые!$E$5:$E$300,$B271,Закрытые!$B$5:$B$300,"L-*")=0,"",ROUND(SUMIFS(Лэндинг!$L$5:$L$300,Лэндинг!$E$5:$E$300,$B271)+SUMIFS(Закрытые!$L$5:$L$300,Закрытые!$E$5:$E$300,$B271,Закрытые!$B$5:$B$300,"L-*"),8)))</f>
        <v/>
      </c>
      <c r="J271" s="241" t="str">
        <f>IF($B271="","",IF(COUNTIFS(Лэндинг!$E$5:$E$300,$B271)+COUNTIFS(Закрытые!$E$5:$E$300,$B271,Закрытые!$B$5:$B$300,"L-*")=0,"",ROUND(SUMIFS(Лэндинг!$M$5:$M$300,Лэндинг!$E$5:$E$300,$B271)+SUMIFS(Закрытые!$M$5:$M$300,Закрытые!$E$5:$E$300,$B271,Закрытые!$B$5:$B$300,"L-*"),8)))</f>
        <v/>
      </c>
      <c r="K271" s="240" t="str">
        <f>IF(MIN(N(C271),N(F271))&lt;=0,"",ROUND(MIN(N(C271),N(F271))*(N(G271)-N(D271)),8))</f>
        <v/>
      </c>
      <c r="L271" s="177" t="str">
        <f>IF(MIN(N(C271),N(F271))&lt;=0,"",IF(N(D271)=0,"",ROUND((N(G271)/N(D271)-1)*100,2)))</f>
        <v/>
      </c>
      <c r="M271" s="177" t="str">
        <f>IF(OR(ROUND(N(C271)-N(F271),8)=0,1-N(Ввод!$J$19)/100&lt;=0),"",IF(N(C271)&gt;N(F271),(N(E271)-N(H271))/((N(C271)-N(F271))*(1-N(Ввод!$J$19)/100)),(N(H271)-N(E271))/((N(F271)-N(C271))*(1+N(Ввод!$J$19)/100))))</f>
        <v/>
      </c>
    </row>
    <row r="272" ht="22" customHeight="1">
      <c r="B272" s="245" t="n"/>
      <c r="C272" s="246" t="str">
        <f>IF(SUMIFS(Лэндинг!$F$5:$F$300,Лэндинг!$E$5:$E$300,$B272)+SUMIFS(Закрытые!$F$5:$F$300,Закрытые!$E$5:$E$300,$B272,Закрытые!$B$5:$B$300,"L-*")=0,"",SUMIFS(Лэндинг!$F$5:$F$300,Лэндинг!$E$5:$E$300,$B272)+SUMIFS(Закрытые!$F$5:$F$300,Закрытые!$E$5:$E$300,$B272,Закрытые!$B$5:$B$300,"L-*"))</f>
        <v/>
      </c>
      <c r="D272" s="183" t="str">
        <f>IF(C272="","",(SUMPRODUCT((Лэндинг!$E$5:$E$300=$B272)*Лэндинг!$F$5:$F$300*Лэндинг!$G$5:$G$300)+SUMPRODUCT((Закрытые!$E$5:$E$300=$B272)*(LEFT(Закрытые!$B$5:$B$300,2)="L-")*Закрытые!$F$5:$F$300*Закрытые!$G$5:$G$300))/C272)</f>
        <v/>
      </c>
      <c r="E272" s="247" t="str">
        <f>IF(C272="","",SUMIFS(Лэндинг!$H$5:$H$300,Лэндинг!$E$5:$E$300,$B272)+SUMIFS(Закрытые!$H$5:$H$300,Закрытые!$E$5:$E$300,$B272,Закрытые!$B$5:$B$300,"L-*"))</f>
        <v/>
      </c>
      <c r="F272" s="246" t="str">
        <f>IF(SUMIFS(Лэндинг!$I$5:$I$300,Лэндинг!$E$5:$E$300,$B272)+SUMIFS(Закрытые!$I$5:$I$300,Закрытые!$E$5:$E$300,$B272,Закрытые!$B$5:$B$300,"L-*")=0,"",SUMIFS(Лэндинг!$I$5:$I$300,Лэндинг!$E$5:$E$300,$B272)+SUMIFS(Закрытые!$I$5:$I$300,Закрытые!$E$5:$E$300,$B272,Закрытые!$B$5:$B$300,"L-*"))</f>
        <v/>
      </c>
      <c r="G272" s="183" t="str">
        <f>IF(F272="","",(SUMPRODUCT((Лэндинг!$E$5:$E$300=$B272)*Лэндинг!$I$5:$I$300*Лэндинг!$J$5:$J$300)+SUMPRODUCT((Закрытые!$E$5:$E$300=$B272)*(LEFT(Закрытые!$B$5:$B$300,2)="L-")*Закрытые!$I$5:$I$300*Закрытые!$J$5:$J$300))/F272)</f>
        <v/>
      </c>
      <c r="H272" s="247" t="str">
        <f>IF(F272="","",SUMIFS(Лэндинг!$K$5:$K$300,Лэндинг!$E$5:$E$300,$B272)+SUMIFS(Закрытые!$K$5:$K$300,Закрытые!$E$5:$E$300,$B272,Закрытые!$B$5:$B$300,"L-*"))</f>
        <v/>
      </c>
      <c r="I272" s="246" t="str">
        <f>IF($B272="","",IF(COUNTIFS(Лэндинг!$E$5:$E$300,$B272)+COUNTIFS(Закрытые!$E$5:$E$300,$B272,Закрытые!$B$5:$B$300,"L-*")=0,"",ROUND(SUMIFS(Лэндинг!$L$5:$L$300,Лэндинг!$E$5:$E$300,$B272)+SUMIFS(Закрытые!$L$5:$L$300,Закрытые!$E$5:$E$300,$B272,Закрытые!$B$5:$B$300,"L-*"),8)))</f>
        <v/>
      </c>
      <c r="J272" s="247" t="str">
        <f>IF($B272="","",IF(COUNTIFS(Лэндинг!$E$5:$E$300,$B272)+COUNTIFS(Закрытые!$E$5:$E$300,$B272,Закрытые!$B$5:$B$300,"L-*")=0,"",ROUND(SUMIFS(Лэндинг!$M$5:$M$300,Лэндинг!$E$5:$E$300,$B272)+SUMIFS(Закрытые!$M$5:$M$300,Закрытые!$E$5:$E$300,$B272,Закрытые!$B$5:$B$300,"L-*"),8)))</f>
        <v/>
      </c>
      <c r="K272" s="246" t="str">
        <f>IF(MIN(N(C272),N(F272))&lt;=0,"",ROUND(MIN(N(C272),N(F272))*(N(G272)-N(D272)),8))</f>
        <v/>
      </c>
      <c r="L272" s="183" t="str">
        <f>IF(MIN(N(C272),N(F272))&lt;=0,"",IF(N(D272)=0,"",ROUND((N(G272)/N(D272)-1)*100,2)))</f>
        <v/>
      </c>
      <c r="M272" s="183" t="str">
        <f>IF(OR(ROUND(N(C272)-N(F272),8)=0,1-N(Ввод!$J$19)/100&lt;=0),"",IF(N(C272)&gt;N(F272),(N(E272)-N(H272))/((N(C272)-N(F272))*(1-N(Ввод!$J$19)/100)),(N(H272)-N(E272))/((N(F272)-N(C272))*(1+N(Ввод!$J$19)/100))))</f>
        <v/>
      </c>
    </row>
    <row r="273" ht="22" customHeight="1">
      <c r="B273" s="239" t="n"/>
      <c r="C273" s="240" t="str">
        <f>IF(SUMIFS(Лэндинг!$F$5:$F$300,Лэндинг!$E$5:$E$300,$B273)+SUMIFS(Закрытые!$F$5:$F$300,Закрытые!$E$5:$E$300,$B273,Закрытые!$B$5:$B$300,"L-*")=0,"",SUMIFS(Лэндинг!$F$5:$F$300,Лэндинг!$E$5:$E$300,$B273)+SUMIFS(Закрытые!$F$5:$F$300,Закрытые!$E$5:$E$300,$B273,Закрытые!$B$5:$B$300,"L-*"))</f>
        <v/>
      </c>
      <c r="D273" s="177" t="str">
        <f>IF(C273="","",(SUMPRODUCT((Лэндинг!$E$5:$E$300=$B273)*Лэндинг!$F$5:$F$300*Лэндинг!$G$5:$G$300)+SUMPRODUCT((Закрытые!$E$5:$E$300=$B273)*(LEFT(Закрытые!$B$5:$B$300,2)="L-")*Закрытые!$F$5:$F$300*Закрытые!$G$5:$G$300))/C273)</f>
        <v/>
      </c>
      <c r="E273" s="241" t="str">
        <f>IF(C273="","",SUMIFS(Лэндинг!$H$5:$H$300,Лэндинг!$E$5:$E$300,$B273)+SUMIFS(Закрытые!$H$5:$H$300,Закрытые!$E$5:$E$300,$B273,Закрытые!$B$5:$B$300,"L-*"))</f>
        <v/>
      </c>
      <c r="F273" s="240" t="str">
        <f>IF(SUMIFS(Лэндинг!$I$5:$I$300,Лэндинг!$E$5:$E$300,$B273)+SUMIFS(Закрытые!$I$5:$I$300,Закрытые!$E$5:$E$300,$B273,Закрытые!$B$5:$B$300,"L-*")=0,"",SUMIFS(Лэндинг!$I$5:$I$300,Лэндинг!$E$5:$E$300,$B273)+SUMIFS(Закрытые!$I$5:$I$300,Закрытые!$E$5:$E$300,$B273,Закрытые!$B$5:$B$300,"L-*"))</f>
        <v/>
      </c>
      <c r="G273" s="177" t="str">
        <f>IF(F273="","",(SUMPRODUCT((Лэндинг!$E$5:$E$300=$B273)*Лэндинг!$I$5:$I$300*Лэндинг!$J$5:$J$300)+SUMPRODUCT((Закрытые!$E$5:$E$300=$B273)*(LEFT(Закрытые!$B$5:$B$300,2)="L-")*Закрытые!$I$5:$I$300*Закрытые!$J$5:$J$300))/F273)</f>
        <v/>
      </c>
      <c r="H273" s="241" t="str">
        <f>IF(F273="","",SUMIFS(Лэндинг!$K$5:$K$300,Лэндинг!$E$5:$E$300,$B273)+SUMIFS(Закрытые!$K$5:$K$300,Закрытые!$E$5:$E$300,$B273,Закрытые!$B$5:$B$300,"L-*"))</f>
        <v/>
      </c>
      <c r="I273" s="240" t="str">
        <f>IF($B273="","",IF(COUNTIFS(Лэндинг!$E$5:$E$300,$B273)+COUNTIFS(Закрытые!$E$5:$E$300,$B273,Закрытые!$B$5:$B$300,"L-*")=0,"",ROUND(SUMIFS(Лэндинг!$L$5:$L$300,Лэндинг!$E$5:$E$300,$B273)+SUMIFS(Закрытые!$L$5:$L$300,Закрытые!$E$5:$E$300,$B273,Закрытые!$B$5:$B$300,"L-*"),8)))</f>
        <v/>
      </c>
      <c r="J273" s="241" t="str">
        <f>IF($B273="","",IF(COUNTIFS(Лэндинг!$E$5:$E$300,$B273)+COUNTIFS(Закрытые!$E$5:$E$300,$B273,Закрытые!$B$5:$B$300,"L-*")=0,"",ROUND(SUMIFS(Лэндинг!$M$5:$M$300,Лэндинг!$E$5:$E$300,$B273)+SUMIFS(Закрытые!$M$5:$M$300,Закрытые!$E$5:$E$300,$B273,Закрытые!$B$5:$B$300,"L-*"),8)))</f>
        <v/>
      </c>
      <c r="K273" s="240" t="str">
        <f>IF(MIN(N(C273),N(F273))&lt;=0,"",ROUND(MIN(N(C273),N(F273))*(N(G273)-N(D273)),8))</f>
        <v/>
      </c>
      <c r="L273" s="177" t="str">
        <f>IF(MIN(N(C273),N(F273))&lt;=0,"",IF(N(D273)=0,"",ROUND((N(G273)/N(D273)-1)*100,2)))</f>
        <v/>
      </c>
      <c r="M273" s="177" t="str">
        <f>IF(OR(ROUND(N(C273)-N(F273),8)=0,1-N(Ввод!$J$19)/100&lt;=0),"",IF(N(C273)&gt;N(F273),(N(E273)-N(H273))/((N(C273)-N(F273))*(1-N(Ввод!$J$19)/100)),(N(H273)-N(E273))/((N(F273)-N(C273))*(1+N(Ввод!$J$19)/100))))</f>
        <v/>
      </c>
    </row>
    <row r="274" ht="22" customHeight="1">
      <c r="B274" s="245" t="n"/>
      <c r="C274" s="246" t="str">
        <f>IF(SUMIFS(Лэндинг!$F$5:$F$300,Лэндинг!$E$5:$E$300,$B274)+SUMIFS(Закрытые!$F$5:$F$300,Закрытые!$E$5:$E$300,$B274,Закрытые!$B$5:$B$300,"L-*")=0,"",SUMIFS(Лэндинг!$F$5:$F$300,Лэндинг!$E$5:$E$300,$B274)+SUMIFS(Закрытые!$F$5:$F$300,Закрытые!$E$5:$E$300,$B274,Закрытые!$B$5:$B$300,"L-*"))</f>
        <v/>
      </c>
      <c r="D274" s="183" t="str">
        <f>IF(C274="","",(SUMPRODUCT((Лэндинг!$E$5:$E$300=$B274)*Лэндинг!$F$5:$F$300*Лэндинг!$G$5:$G$300)+SUMPRODUCT((Закрытые!$E$5:$E$300=$B274)*(LEFT(Закрытые!$B$5:$B$300,2)="L-")*Закрытые!$F$5:$F$300*Закрытые!$G$5:$G$300))/C274)</f>
        <v/>
      </c>
      <c r="E274" s="247" t="str">
        <f>IF(C274="","",SUMIFS(Лэндинг!$H$5:$H$300,Лэндинг!$E$5:$E$300,$B274)+SUMIFS(Закрытые!$H$5:$H$300,Закрытые!$E$5:$E$300,$B274,Закрытые!$B$5:$B$300,"L-*"))</f>
        <v/>
      </c>
      <c r="F274" s="246" t="str">
        <f>IF(SUMIFS(Лэндинг!$I$5:$I$300,Лэндинг!$E$5:$E$300,$B274)+SUMIFS(Закрытые!$I$5:$I$300,Закрытые!$E$5:$E$300,$B274,Закрытые!$B$5:$B$300,"L-*")=0,"",SUMIFS(Лэндинг!$I$5:$I$300,Лэндинг!$E$5:$E$300,$B274)+SUMIFS(Закрытые!$I$5:$I$300,Закрытые!$E$5:$E$300,$B274,Закрытые!$B$5:$B$300,"L-*"))</f>
        <v/>
      </c>
      <c r="G274" s="183" t="str">
        <f>IF(F274="","",(SUMPRODUCT((Лэндинг!$E$5:$E$300=$B274)*Лэндинг!$I$5:$I$300*Лэндинг!$J$5:$J$300)+SUMPRODUCT((Закрытые!$E$5:$E$300=$B274)*(LEFT(Закрытые!$B$5:$B$300,2)="L-")*Закрытые!$I$5:$I$300*Закрытые!$J$5:$J$300))/F274)</f>
        <v/>
      </c>
      <c r="H274" s="247" t="str">
        <f>IF(F274="","",SUMIFS(Лэндинг!$K$5:$K$300,Лэндинг!$E$5:$E$300,$B274)+SUMIFS(Закрытые!$K$5:$K$300,Закрытые!$E$5:$E$300,$B274,Закрытые!$B$5:$B$300,"L-*"))</f>
        <v/>
      </c>
      <c r="I274" s="246" t="str">
        <f>IF($B274="","",IF(COUNTIFS(Лэндинг!$E$5:$E$300,$B274)+COUNTIFS(Закрытые!$E$5:$E$300,$B274,Закрытые!$B$5:$B$300,"L-*")=0,"",ROUND(SUMIFS(Лэндинг!$L$5:$L$300,Лэндинг!$E$5:$E$300,$B274)+SUMIFS(Закрытые!$L$5:$L$300,Закрытые!$E$5:$E$300,$B274,Закрытые!$B$5:$B$300,"L-*"),8)))</f>
        <v/>
      </c>
      <c r="J274" s="247" t="str">
        <f>IF($B274="","",IF(COUNTIFS(Лэндинг!$E$5:$E$300,$B274)+COUNTIFS(Закрытые!$E$5:$E$300,$B274,Закрытые!$B$5:$B$300,"L-*")=0,"",ROUND(SUMIFS(Лэндинг!$M$5:$M$300,Лэндинг!$E$5:$E$300,$B274)+SUMIFS(Закрытые!$M$5:$M$300,Закрытые!$E$5:$E$300,$B274,Закрытые!$B$5:$B$300,"L-*"),8)))</f>
        <v/>
      </c>
      <c r="K274" s="246" t="str">
        <f>IF(MIN(N(C274),N(F274))&lt;=0,"",ROUND(MIN(N(C274),N(F274))*(N(G274)-N(D274)),8))</f>
        <v/>
      </c>
      <c r="L274" s="183" t="str">
        <f>IF(MIN(N(C274),N(F274))&lt;=0,"",IF(N(D274)=0,"",ROUND((N(G274)/N(D274)-1)*100,2)))</f>
        <v/>
      </c>
      <c r="M274" s="183" t="str">
        <f>IF(OR(ROUND(N(C274)-N(F274),8)=0,1-N(Ввод!$J$19)/100&lt;=0),"",IF(N(C274)&gt;N(F274),(N(E274)-N(H274))/((N(C274)-N(F274))*(1-N(Ввод!$J$19)/100)),(N(H274)-N(E274))/((N(F274)-N(C274))*(1+N(Ввод!$J$19)/100))))</f>
        <v/>
      </c>
    </row>
    <row r="275" ht="22" customHeight="1">
      <c r="B275" s="239" t="n"/>
      <c r="C275" s="240" t="str">
        <f>IF(SUMIFS(Лэндинг!$F$5:$F$300,Лэндинг!$E$5:$E$300,$B275)+SUMIFS(Закрытые!$F$5:$F$300,Закрытые!$E$5:$E$300,$B275,Закрытые!$B$5:$B$300,"L-*")=0,"",SUMIFS(Лэндинг!$F$5:$F$300,Лэндинг!$E$5:$E$300,$B275)+SUMIFS(Закрытые!$F$5:$F$300,Закрытые!$E$5:$E$300,$B275,Закрытые!$B$5:$B$300,"L-*"))</f>
        <v/>
      </c>
      <c r="D275" s="177" t="str">
        <f>IF(C275="","",(SUMPRODUCT((Лэндинг!$E$5:$E$300=$B275)*Лэндинг!$F$5:$F$300*Лэндинг!$G$5:$G$300)+SUMPRODUCT((Закрытые!$E$5:$E$300=$B275)*(LEFT(Закрытые!$B$5:$B$300,2)="L-")*Закрытые!$F$5:$F$300*Закрытые!$G$5:$G$300))/C275)</f>
        <v/>
      </c>
      <c r="E275" s="241" t="str">
        <f>IF(C275="","",SUMIFS(Лэндинг!$H$5:$H$300,Лэндинг!$E$5:$E$300,$B275)+SUMIFS(Закрытые!$H$5:$H$300,Закрытые!$E$5:$E$300,$B275,Закрытые!$B$5:$B$300,"L-*"))</f>
        <v/>
      </c>
      <c r="F275" s="240" t="str">
        <f>IF(SUMIFS(Лэндинг!$I$5:$I$300,Лэндинг!$E$5:$E$300,$B275)+SUMIFS(Закрытые!$I$5:$I$300,Закрытые!$E$5:$E$300,$B275,Закрытые!$B$5:$B$300,"L-*")=0,"",SUMIFS(Лэндинг!$I$5:$I$300,Лэндинг!$E$5:$E$300,$B275)+SUMIFS(Закрытые!$I$5:$I$300,Закрытые!$E$5:$E$300,$B275,Закрытые!$B$5:$B$300,"L-*"))</f>
        <v/>
      </c>
      <c r="G275" s="177" t="str">
        <f>IF(F275="","",(SUMPRODUCT((Лэндинг!$E$5:$E$300=$B275)*Лэндинг!$I$5:$I$300*Лэндинг!$J$5:$J$300)+SUMPRODUCT((Закрытые!$E$5:$E$300=$B275)*(LEFT(Закрытые!$B$5:$B$300,2)="L-")*Закрытые!$I$5:$I$300*Закрытые!$J$5:$J$300))/F275)</f>
        <v/>
      </c>
      <c r="H275" s="241" t="str">
        <f>IF(F275="","",SUMIFS(Лэндинг!$K$5:$K$300,Лэндинг!$E$5:$E$300,$B275)+SUMIFS(Закрытые!$K$5:$K$300,Закрытые!$E$5:$E$300,$B275,Закрытые!$B$5:$B$300,"L-*"))</f>
        <v/>
      </c>
      <c r="I275" s="240" t="str">
        <f>IF($B275="","",IF(COUNTIFS(Лэндинг!$E$5:$E$300,$B275)+COUNTIFS(Закрытые!$E$5:$E$300,$B275,Закрытые!$B$5:$B$300,"L-*")=0,"",ROUND(SUMIFS(Лэндинг!$L$5:$L$300,Лэндинг!$E$5:$E$300,$B275)+SUMIFS(Закрытые!$L$5:$L$300,Закрытые!$E$5:$E$300,$B275,Закрытые!$B$5:$B$300,"L-*"),8)))</f>
        <v/>
      </c>
      <c r="J275" s="241" t="str">
        <f>IF($B275="","",IF(COUNTIFS(Лэндинг!$E$5:$E$300,$B275)+COUNTIFS(Закрытые!$E$5:$E$300,$B275,Закрытые!$B$5:$B$300,"L-*")=0,"",ROUND(SUMIFS(Лэндинг!$M$5:$M$300,Лэндинг!$E$5:$E$300,$B275)+SUMIFS(Закрытые!$M$5:$M$300,Закрытые!$E$5:$E$300,$B275,Закрытые!$B$5:$B$300,"L-*"),8)))</f>
        <v/>
      </c>
      <c r="K275" s="240" t="str">
        <f>IF(MIN(N(C275),N(F275))&lt;=0,"",ROUND(MIN(N(C275),N(F275))*(N(G275)-N(D275)),8))</f>
        <v/>
      </c>
      <c r="L275" s="177" t="str">
        <f>IF(MIN(N(C275),N(F275))&lt;=0,"",IF(N(D275)=0,"",ROUND((N(G275)/N(D275)-1)*100,2)))</f>
        <v/>
      </c>
      <c r="M275" s="177" t="str">
        <f>IF(OR(ROUND(N(C275)-N(F275),8)=0,1-N(Ввод!$J$19)/100&lt;=0),"",IF(N(C275)&gt;N(F275),(N(E275)-N(H275))/((N(C275)-N(F275))*(1-N(Ввод!$J$19)/100)),(N(H275)-N(E275))/((N(F275)-N(C275))*(1+N(Ввод!$J$19)/100))))</f>
        <v/>
      </c>
    </row>
    <row r="276" ht="22" customHeight="1">
      <c r="B276" s="245" t="n"/>
      <c r="C276" s="246" t="str">
        <f>IF(SUMIFS(Лэндинг!$F$5:$F$300,Лэндинг!$E$5:$E$300,$B276)+SUMIFS(Закрытые!$F$5:$F$300,Закрытые!$E$5:$E$300,$B276,Закрытые!$B$5:$B$300,"L-*")=0,"",SUMIFS(Лэндинг!$F$5:$F$300,Лэндинг!$E$5:$E$300,$B276)+SUMIFS(Закрытые!$F$5:$F$300,Закрытые!$E$5:$E$300,$B276,Закрытые!$B$5:$B$300,"L-*"))</f>
        <v/>
      </c>
      <c r="D276" s="183" t="str">
        <f>IF(C276="","",(SUMPRODUCT((Лэндинг!$E$5:$E$300=$B276)*Лэндинг!$F$5:$F$300*Лэндинг!$G$5:$G$300)+SUMPRODUCT((Закрытые!$E$5:$E$300=$B276)*(LEFT(Закрытые!$B$5:$B$300,2)="L-")*Закрытые!$F$5:$F$300*Закрытые!$G$5:$G$300))/C276)</f>
        <v/>
      </c>
      <c r="E276" s="247" t="str">
        <f>IF(C276="","",SUMIFS(Лэндинг!$H$5:$H$300,Лэндинг!$E$5:$E$300,$B276)+SUMIFS(Закрытые!$H$5:$H$300,Закрытые!$E$5:$E$300,$B276,Закрытые!$B$5:$B$300,"L-*"))</f>
        <v/>
      </c>
      <c r="F276" s="246" t="str">
        <f>IF(SUMIFS(Лэндинг!$I$5:$I$300,Лэндинг!$E$5:$E$300,$B276)+SUMIFS(Закрытые!$I$5:$I$300,Закрытые!$E$5:$E$300,$B276,Закрытые!$B$5:$B$300,"L-*")=0,"",SUMIFS(Лэндинг!$I$5:$I$300,Лэндинг!$E$5:$E$300,$B276)+SUMIFS(Закрытые!$I$5:$I$300,Закрытые!$E$5:$E$300,$B276,Закрытые!$B$5:$B$300,"L-*"))</f>
        <v/>
      </c>
      <c r="G276" s="183" t="str">
        <f>IF(F276="","",(SUMPRODUCT((Лэндинг!$E$5:$E$300=$B276)*Лэндинг!$I$5:$I$300*Лэндинг!$J$5:$J$300)+SUMPRODUCT((Закрытые!$E$5:$E$300=$B276)*(LEFT(Закрытые!$B$5:$B$300,2)="L-")*Закрытые!$I$5:$I$300*Закрытые!$J$5:$J$300))/F276)</f>
        <v/>
      </c>
      <c r="H276" s="247" t="str">
        <f>IF(F276="","",SUMIFS(Лэндинг!$K$5:$K$300,Лэндинг!$E$5:$E$300,$B276)+SUMIFS(Закрытые!$K$5:$K$300,Закрытые!$E$5:$E$300,$B276,Закрытые!$B$5:$B$300,"L-*"))</f>
        <v/>
      </c>
      <c r="I276" s="246" t="str">
        <f>IF($B276="","",IF(COUNTIFS(Лэндинг!$E$5:$E$300,$B276)+COUNTIFS(Закрытые!$E$5:$E$300,$B276,Закрытые!$B$5:$B$300,"L-*")=0,"",ROUND(SUMIFS(Лэндинг!$L$5:$L$300,Лэндинг!$E$5:$E$300,$B276)+SUMIFS(Закрытые!$L$5:$L$300,Закрытые!$E$5:$E$300,$B276,Закрытые!$B$5:$B$300,"L-*"),8)))</f>
        <v/>
      </c>
      <c r="J276" s="247" t="str">
        <f>IF($B276="","",IF(COUNTIFS(Лэндинг!$E$5:$E$300,$B276)+COUNTIFS(Закрытые!$E$5:$E$300,$B276,Закрытые!$B$5:$B$300,"L-*")=0,"",ROUND(SUMIFS(Лэндинг!$M$5:$M$300,Лэндинг!$E$5:$E$300,$B276)+SUMIFS(Закрытые!$M$5:$M$300,Закрытые!$E$5:$E$300,$B276,Закрытые!$B$5:$B$300,"L-*"),8)))</f>
        <v/>
      </c>
      <c r="K276" s="246" t="str">
        <f>IF(MIN(N(C276),N(F276))&lt;=0,"",ROUND(MIN(N(C276),N(F276))*(N(G276)-N(D276)),8))</f>
        <v/>
      </c>
      <c r="L276" s="183" t="str">
        <f>IF(MIN(N(C276),N(F276))&lt;=0,"",IF(N(D276)=0,"",ROUND((N(G276)/N(D276)-1)*100,2)))</f>
        <v/>
      </c>
      <c r="M276" s="183" t="str">
        <f>IF(OR(ROUND(N(C276)-N(F276),8)=0,1-N(Ввод!$J$19)/100&lt;=0),"",IF(N(C276)&gt;N(F276),(N(E276)-N(H276))/((N(C276)-N(F276))*(1-N(Ввод!$J$19)/100)),(N(H276)-N(E276))/((N(F276)-N(C276))*(1+N(Ввод!$J$19)/100))))</f>
        <v/>
      </c>
    </row>
    <row r="277" ht="22" customHeight="1">
      <c r="B277" s="239" t="n"/>
      <c r="C277" s="240" t="str">
        <f>IF(SUMIFS(Лэндинг!$F$5:$F$300,Лэндинг!$E$5:$E$300,$B277)+SUMIFS(Закрытые!$F$5:$F$300,Закрытые!$E$5:$E$300,$B277,Закрытые!$B$5:$B$300,"L-*")=0,"",SUMIFS(Лэндинг!$F$5:$F$300,Лэндинг!$E$5:$E$300,$B277)+SUMIFS(Закрытые!$F$5:$F$300,Закрытые!$E$5:$E$300,$B277,Закрытые!$B$5:$B$300,"L-*"))</f>
        <v/>
      </c>
      <c r="D277" s="177" t="str">
        <f>IF(C277="","",(SUMPRODUCT((Лэндинг!$E$5:$E$300=$B277)*Лэндинг!$F$5:$F$300*Лэндинг!$G$5:$G$300)+SUMPRODUCT((Закрытые!$E$5:$E$300=$B277)*(LEFT(Закрытые!$B$5:$B$300,2)="L-")*Закрытые!$F$5:$F$300*Закрытые!$G$5:$G$300))/C277)</f>
        <v/>
      </c>
      <c r="E277" s="241" t="str">
        <f>IF(C277="","",SUMIFS(Лэндинг!$H$5:$H$300,Лэндинг!$E$5:$E$300,$B277)+SUMIFS(Закрытые!$H$5:$H$300,Закрытые!$E$5:$E$300,$B277,Закрытые!$B$5:$B$300,"L-*"))</f>
        <v/>
      </c>
      <c r="F277" s="240" t="str">
        <f>IF(SUMIFS(Лэндинг!$I$5:$I$300,Лэндинг!$E$5:$E$300,$B277)+SUMIFS(Закрытые!$I$5:$I$300,Закрытые!$E$5:$E$300,$B277,Закрытые!$B$5:$B$300,"L-*")=0,"",SUMIFS(Лэндинг!$I$5:$I$300,Лэндинг!$E$5:$E$300,$B277)+SUMIFS(Закрытые!$I$5:$I$300,Закрытые!$E$5:$E$300,$B277,Закрытые!$B$5:$B$300,"L-*"))</f>
        <v/>
      </c>
      <c r="G277" s="177" t="str">
        <f>IF(F277="","",(SUMPRODUCT((Лэндинг!$E$5:$E$300=$B277)*Лэндинг!$I$5:$I$300*Лэндинг!$J$5:$J$300)+SUMPRODUCT((Закрытые!$E$5:$E$300=$B277)*(LEFT(Закрытые!$B$5:$B$300,2)="L-")*Закрытые!$I$5:$I$300*Закрытые!$J$5:$J$300))/F277)</f>
        <v/>
      </c>
      <c r="H277" s="241" t="str">
        <f>IF(F277="","",SUMIFS(Лэндинг!$K$5:$K$300,Лэндинг!$E$5:$E$300,$B277)+SUMIFS(Закрытые!$K$5:$K$300,Закрытые!$E$5:$E$300,$B277,Закрытые!$B$5:$B$300,"L-*"))</f>
        <v/>
      </c>
      <c r="I277" s="240" t="str">
        <f>IF($B277="","",IF(COUNTIFS(Лэндинг!$E$5:$E$300,$B277)+COUNTIFS(Закрытые!$E$5:$E$300,$B277,Закрытые!$B$5:$B$300,"L-*")=0,"",ROUND(SUMIFS(Лэндинг!$L$5:$L$300,Лэндинг!$E$5:$E$300,$B277)+SUMIFS(Закрытые!$L$5:$L$300,Закрытые!$E$5:$E$300,$B277,Закрытые!$B$5:$B$300,"L-*"),8)))</f>
        <v/>
      </c>
      <c r="J277" s="241" t="str">
        <f>IF($B277="","",IF(COUNTIFS(Лэндинг!$E$5:$E$300,$B277)+COUNTIFS(Закрытые!$E$5:$E$300,$B277,Закрытые!$B$5:$B$300,"L-*")=0,"",ROUND(SUMIFS(Лэндинг!$M$5:$M$300,Лэндинг!$E$5:$E$300,$B277)+SUMIFS(Закрытые!$M$5:$M$300,Закрытые!$E$5:$E$300,$B277,Закрытые!$B$5:$B$300,"L-*"),8)))</f>
        <v/>
      </c>
      <c r="K277" s="240" t="str">
        <f>IF(MIN(N(C277),N(F277))&lt;=0,"",ROUND(MIN(N(C277),N(F277))*(N(G277)-N(D277)),8))</f>
        <v/>
      </c>
      <c r="L277" s="177" t="str">
        <f>IF(MIN(N(C277),N(F277))&lt;=0,"",IF(N(D277)=0,"",ROUND((N(G277)/N(D277)-1)*100,2)))</f>
        <v/>
      </c>
      <c r="M277" s="177" t="str">
        <f>IF(OR(ROUND(N(C277)-N(F277),8)=0,1-N(Ввод!$J$19)/100&lt;=0),"",IF(N(C277)&gt;N(F277),(N(E277)-N(H277))/((N(C277)-N(F277))*(1-N(Ввод!$J$19)/100)),(N(H277)-N(E277))/((N(F277)-N(C277))*(1+N(Ввод!$J$19)/100))))</f>
        <v/>
      </c>
    </row>
    <row r="278" ht="22" customHeight="1">
      <c r="B278" s="245" t="n"/>
      <c r="C278" s="246" t="str">
        <f>IF(SUMIFS(Лэндинг!$F$5:$F$300,Лэндинг!$E$5:$E$300,$B278)+SUMIFS(Закрытые!$F$5:$F$300,Закрытые!$E$5:$E$300,$B278,Закрытые!$B$5:$B$300,"L-*")=0,"",SUMIFS(Лэндинг!$F$5:$F$300,Лэндинг!$E$5:$E$300,$B278)+SUMIFS(Закрытые!$F$5:$F$300,Закрытые!$E$5:$E$300,$B278,Закрытые!$B$5:$B$300,"L-*"))</f>
        <v/>
      </c>
      <c r="D278" s="183" t="str">
        <f>IF(C278="","",(SUMPRODUCT((Лэндинг!$E$5:$E$300=$B278)*Лэндинг!$F$5:$F$300*Лэндинг!$G$5:$G$300)+SUMPRODUCT((Закрытые!$E$5:$E$300=$B278)*(LEFT(Закрытые!$B$5:$B$300,2)="L-")*Закрытые!$F$5:$F$300*Закрытые!$G$5:$G$300))/C278)</f>
        <v/>
      </c>
      <c r="E278" s="247" t="str">
        <f>IF(C278="","",SUMIFS(Лэндинг!$H$5:$H$300,Лэндинг!$E$5:$E$300,$B278)+SUMIFS(Закрытые!$H$5:$H$300,Закрытые!$E$5:$E$300,$B278,Закрытые!$B$5:$B$300,"L-*"))</f>
        <v/>
      </c>
      <c r="F278" s="246" t="str">
        <f>IF(SUMIFS(Лэндинг!$I$5:$I$300,Лэндинг!$E$5:$E$300,$B278)+SUMIFS(Закрытые!$I$5:$I$300,Закрытые!$E$5:$E$300,$B278,Закрытые!$B$5:$B$300,"L-*")=0,"",SUMIFS(Лэндинг!$I$5:$I$300,Лэндинг!$E$5:$E$300,$B278)+SUMIFS(Закрытые!$I$5:$I$300,Закрытые!$E$5:$E$300,$B278,Закрытые!$B$5:$B$300,"L-*"))</f>
        <v/>
      </c>
      <c r="G278" s="183" t="str">
        <f>IF(F278="","",(SUMPRODUCT((Лэндинг!$E$5:$E$300=$B278)*Лэндинг!$I$5:$I$300*Лэндинг!$J$5:$J$300)+SUMPRODUCT((Закрытые!$E$5:$E$300=$B278)*(LEFT(Закрытые!$B$5:$B$300,2)="L-")*Закрытые!$I$5:$I$300*Закрытые!$J$5:$J$300))/F278)</f>
        <v/>
      </c>
      <c r="H278" s="247" t="str">
        <f>IF(F278="","",SUMIFS(Лэндинг!$K$5:$K$300,Лэндинг!$E$5:$E$300,$B278)+SUMIFS(Закрытые!$K$5:$K$300,Закрытые!$E$5:$E$300,$B278,Закрытые!$B$5:$B$300,"L-*"))</f>
        <v/>
      </c>
      <c r="I278" s="246" t="str">
        <f>IF($B278="","",IF(COUNTIFS(Лэндинг!$E$5:$E$300,$B278)+COUNTIFS(Закрытые!$E$5:$E$300,$B278,Закрытые!$B$5:$B$300,"L-*")=0,"",ROUND(SUMIFS(Лэндинг!$L$5:$L$300,Лэндинг!$E$5:$E$300,$B278)+SUMIFS(Закрытые!$L$5:$L$300,Закрытые!$E$5:$E$300,$B278,Закрытые!$B$5:$B$300,"L-*"),8)))</f>
        <v/>
      </c>
      <c r="J278" s="247" t="str">
        <f>IF($B278="","",IF(COUNTIFS(Лэндинг!$E$5:$E$300,$B278)+COUNTIFS(Закрытые!$E$5:$E$300,$B278,Закрытые!$B$5:$B$300,"L-*")=0,"",ROUND(SUMIFS(Лэндинг!$M$5:$M$300,Лэндинг!$E$5:$E$300,$B278)+SUMIFS(Закрытые!$M$5:$M$300,Закрытые!$E$5:$E$300,$B278,Закрытые!$B$5:$B$300,"L-*"),8)))</f>
        <v/>
      </c>
      <c r="K278" s="246" t="str">
        <f>IF(MIN(N(C278),N(F278))&lt;=0,"",ROUND(MIN(N(C278),N(F278))*(N(G278)-N(D278)),8))</f>
        <v/>
      </c>
      <c r="L278" s="183" t="str">
        <f>IF(MIN(N(C278),N(F278))&lt;=0,"",IF(N(D278)=0,"",ROUND((N(G278)/N(D278)-1)*100,2)))</f>
        <v/>
      </c>
      <c r="M278" s="183" t="str">
        <f>IF(OR(ROUND(N(C278)-N(F278),8)=0,1-N(Ввод!$J$19)/100&lt;=0),"",IF(N(C278)&gt;N(F278),(N(E278)-N(H278))/((N(C278)-N(F278))*(1-N(Ввод!$J$19)/100)),(N(H278)-N(E278))/((N(F278)-N(C278))*(1+N(Ввод!$J$19)/100))))</f>
        <v/>
      </c>
    </row>
    <row r="279" ht="22" customHeight="1">
      <c r="B279" s="239" t="n"/>
      <c r="C279" s="240" t="str">
        <f>IF(SUMIFS(Лэндинг!$F$5:$F$300,Лэндинг!$E$5:$E$300,$B279)+SUMIFS(Закрытые!$F$5:$F$300,Закрытые!$E$5:$E$300,$B279,Закрытые!$B$5:$B$300,"L-*")=0,"",SUMIFS(Лэндинг!$F$5:$F$300,Лэндинг!$E$5:$E$300,$B279)+SUMIFS(Закрытые!$F$5:$F$300,Закрытые!$E$5:$E$300,$B279,Закрытые!$B$5:$B$300,"L-*"))</f>
        <v/>
      </c>
      <c r="D279" s="177" t="str">
        <f>IF(C279="","",(SUMPRODUCT((Лэндинг!$E$5:$E$300=$B279)*Лэндинг!$F$5:$F$300*Лэндинг!$G$5:$G$300)+SUMPRODUCT((Закрытые!$E$5:$E$300=$B279)*(LEFT(Закрытые!$B$5:$B$300,2)="L-")*Закрытые!$F$5:$F$300*Закрытые!$G$5:$G$300))/C279)</f>
        <v/>
      </c>
      <c r="E279" s="241" t="str">
        <f>IF(C279="","",SUMIFS(Лэндинг!$H$5:$H$300,Лэндинг!$E$5:$E$300,$B279)+SUMIFS(Закрытые!$H$5:$H$300,Закрытые!$E$5:$E$300,$B279,Закрытые!$B$5:$B$300,"L-*"))</f>
        <v/>
      </c>
      <c r="F279" s="240" t="str">
        <f>IF(SUMIFS(Лэндинг!$I$5:$I$300,Лэндинг!$E$5:$E$300,$B279)+SUMIFS(Закрытые!$I$5:$I$300,Закрытые!$E$5:$E$300,$B279,Закрытые!$B$5:$B$300,"L-*")=0,"",SUMIFS(Лэндинг!$I$5:$I$300,Лэндинг!$E$5:$E$300,$B279)+SUMIFS(Закрытые!$I$5:$I$300,Закрытые!$E$5:$E$300,$B279,Закрытые!$B$5:$B$300,"L-*"))</f>
        <v/>
      </c>
      <c r="G279" s="177" t="str">
        <f>IF(F279="","",(SUMPRODUCT((Лэндинг!$E$5:$E$300=$B279)*Лэндинг!$I$5:$I$300*Лэндинг!$J$5:$J$300)+SUMPRODUCT((Закрытые!$E$5:$E$300=$B279)*(LEFT(Закрытые!$B$5:$B$300,2)="L-")*Закрытые!$I$5:$I$300*Закрытые!$J$5:$J$300))/F279)</f>
        <v/>
      </c>
      <c r="H279" s="241" t="str">
        <f>IF(F279="","",SUMIFS(Лэндинг!$K$5:$K$300,Лэндинг!$E$5:$E$300,$B279)+SUMIFS(Закрытые!$K$5:$K$300,Закрытые!$E$5:$E$300,$B279,Закрытые!$B$5:$B$300,"L-*"))</f>
        <v/>
      </c>
      <c r="I279" s="240" t="str">
        <f>IF($B279="","",IF(COUNTIFS(Лэндинг!$E$5:$E$300,$B279)+COUNTIFS(Закрытые!$E$5:$E$300,$B279,Закрытые!$B$5:$B$300,"L-*")=0,"",ROUND(SUMIFS(Лэндинг!$L$5:$L$300,Лэндинг!$E$5:$E$300,$B279)+SUMIFS(Закрытые!$L$5:$L$300,Закрытые!$E$5:$E$300,$B279,Закрытые!$B$5:$B$300,"L-*"),8)))</f>
        <v/>
      </c>
      <c r="J279" s="241" t="str">
        <f>IF($B279="","",IF(COUNTIFS(Лэндинг!$E$5:$E$300,$B279)+COUNTIFS(Закрытые!$E$5:$E$300,$B279,Закрытые!$B$5:$B$300,"L-*")=0,"",ROUND(SUMIFS(Лэндинг!$M$5:$M$300,Лэндинг!$E$5:$E$300,$B279)+SUMIFS(Закрытые!$M$5:$M$300,Закрытые!$E$5:$E$300,$B279,Закрытые!$B$5:$B$300,"L-*"),8)))</f>
        <v/>
      </c>
      <c r="K279" s="240" t="str">
        <f>IF(MIN(N(C279),N(F279))&lt;=0,"",ROUND(MIN(N(C279),N(F279))*(N(G279)-N(D279)),8))</f>
        <v/>
      </c>
      <c r="L279" s="177" t="str">
        <f>IF(MIN(N(C279),N(F279))&lt;=0,"",IF(N(D279)=0,"",ROUND((N(G279)/N(D279)-1)*100,2)))</f>
        <v/>
      </c>
      <c r="M279" s="177" t="str">
        <f>IF(OR(ROUND(N(C279)-N(F279),8)=0,1-N(Ввод!$J$19)/100&lt;=0),"",IF(N(C279)&gt;N(F279),(N(E279)-N(H279))/((N(C279)-N(F279))*(1-N(Ввод!$J$19)/100)),(N(H279)-N(E279))/((N(F279)-N(C279))*(1+N(Ввод!$J$19)/100))))</f>
        <v/>
      </c>
    </row>
    <row r="280" ht="22" customHeight="1">
      <c r="B280" s="245" t="n"/>
      <c r="C280" s="246" t="str">
        <f>IF(SUMIFS(Лэндинг!$F$5:$F$300,Лэндинг!$E$5:$E$300,$B280)+SUMIFS(Закрытые!$F$5:$F$300,Закрытые!$E$5:$E$300,$B280,Закрытые!$B$5:$B$300,"L-*")=0,"",SUMIFS(Лэндинг!$F$5:$F$300,Лэндинг!$E$5:$E$300,$B280)+SUMIFS(Закрытые!$F$5:$F$300,Закрытые!$E$5:$E$300,$B280,Закрытые!$B$5:$B$300,"L-*"))</f>
        <v/>
      </c>
      <c r="D280" s="183" t="str">
        <f>IF(C280="","",(SUMPRODUCT((Лэндинг!$E$5:$E$300=$B280)*Лэндинг!$F$5:$F$300*Лэндинг!$G$5:$G$300)+SUMPRODUCT((Закрытые!$E$5:$E$300=$B280)*(LEFT(Закрытые!$B$5:$B$300,2)="L-")*Закрытые!$F$5:$F$300*Закрытые!$G$5:$G$300))/C280)</f>
        <v/>
      </c>
      <c r="E280" s="247" t="str">
        <f>IF(C280="","",SUMIFS(Лэндинг!$H$5:$H$300,Лэндинг!$E$5:$E$300,$B280)+SUMIFS(Закрытые!$H$5:$H$300,Закрытые!$E$5:$E$300,$B280,Закрытые!$B$5:$B$300,"L-*"))</f>
        <v/>
      </c>
      <c r="F280" s="246" t="str">
        <f>IF(SUMIFS(Лэндинг!$I$5:$I$300,Лэндинг!$E$5:$E$300,$B280)+SUMIFS(Закрытые!$I$5:$I$300,Закрытые!$E$5:$E$300,$B280,Закрытые!$B$5:$B$300,"L-*")=0,"",SUMIFS(Лэндинг!$I$5:$I$300,Лэндинг!$E$5:$E$300,$B280)+SUMIFS(Закрытые!$I$5:$I$300,Закрытые!$E$5:$E$300,$B280,Закрытые!$B$5:$B$300,"L-*"))</f>
        <v/>
      </c>
      <c r="G280" s="183" t="str">
        <f>IF(F280="","",(SUMPRODUCT((Лэндинг!$E$5:$E$300=$B280)*Лэндинг!$I$5:$I$300*Лэндинг!$J$5:$J$300)+SUMPRODUCT((Закрытые!$E$5:$E$300=$B280)*(LEFT(Закрытые!$B$5:$B$300,2)="L-")*Закрытые!$I$5:$I$300*Закрытые!$J$5:$J$300))/F280)</f>
        <v/>
      </c>
      <c r="H280" s="247" t="str">
        <f>IF(F280="","",SUMIFS(Лэндинг!$K$5:$K$300,Лэндинг!$E$5:$E$300,$B280)+SUMIFS(Закрытые!$K$5:$K$300,Закрытые!$E$5:$E$300,$B280,Закрытые!$B$5:$B$300,"L-*"))</f>
        <v/>
      </c>
      <c r="I280" s="246" t="str">
        <f>IF($B280="","",IF(COUNTIFS(Лэндинг!$E$5:$E$300,$B280)+COUNTIFS(Закрытые!$E$5:$E$300,$B280,Закрытые!$B$5:$B$300,"L-*")=0,"",ROUND(SUMIFS(Лэндинг!$L$5:$L$300,Лэндинг!$E$5:$E$300,$B280)+SUMIFS(Закрытые!$L$5:$L$300,Закрытые!$E$5:$E$300,$B280,Закрытые!$B$5:$B$300,"L-*"),8)))</f>
        <v/>
      </c>
      <c r="J280" s="247" t="str">
        <f>IF($B280="","",IF(COUNTIFS(Лэндинг!$E$5:$E$300,$B280)+COUNTIFS(Закрытые!$E$5:$E$300,$B280,Закрытые!$B$5:$B$300,"L-*")=0,"",ROUND(SUMIFS(Лэндинг!$M$5:$M$300,Лэндинг!$E$5:$E$300,$B280)+SUMIFS(Закрытые!$M$5:$M$300,Закрытые!$E$5:$E$300,$B280,Закрытые!$B$5:$B$300,"L-*"),8)))</f>
        <v/>
      </c>
      <c r="K280" s="246" t="str">
        <f>IF(MIN(N(C280),N(F280))&lt;=0,"",ROUND(MIN(N(C280),N(F280))*(N(G280)-N(D280)),8))</f>
        <v/>
      </c>
      <c r="L280" s="183" t="str">
        <f>IF(MIN(N(C280),N(F280))&lt;=0,"",IF(N(D280)=0,"",ROUND((N(G280)/N(D280)-1)*100,2)))</f>
        <v/>
      </c>
      <c r="M280" s="183" t="str">
        <f>IF(OR(ROUND(N(C280)-N(F280),8)=0,1-N(Ввод!$J$19)/100&lt;=0),"",IF(N(C280)&gt;N(F280),(N(E280)-N(H280))/((N(C280)-N(F280))*(1-N(Ввод!$J$19)/100)),(N(H280)-N(E280))/((N(F280)-N(C280))*(1+N(Ввод!$J$19)/100))))</f>
        <v/>
      </c>
    </row>
    <row r="281" ht="22" customHeight="1">
      <c r="B281" s="239" t="n"/>
      <c r="C281" s="240" t="str">
        <f>IF(SUMIFS(Лэндинг!$F$5:$F$300,Лэндинг!$E$5:$E$300,$B281)+SUMIFS(Закрытые!$F$5:$F$300,Закрытые!$E$5:$E$300,$B281,Закрытые!$B$5:$B$300,"L-*")=0,"",SUMIFS(Лэндинг!$F$5:$F$300,Лэндинг!$E$5:$E$300,$B281)+SUMIFS(Закрытые!$F$5:$F$300,Закрытые!$E$5:$E$300,$B281,Закрытые!$B$5:$B$300,"L-*"))</f>
        <v/>
      </c>
      <c r="D281" s="177" t="str">
        <f>IF(C281="","",(SUMPRODUCT((Лэндинг!$E$5:$E$300=$B281)*Лэндинг!$F$5:$F$300*Лэндинг!$G$5:$G$300)+SUMPRODUCT((Закрытые!$E$5:$E$300=$B281)*(LEFT(Закрытые!$B$5:$B$300,2)="L-")*Закрытые!$F$5:$F$300*Закрытые!$G$5:$G$300))/C281)</f>
        <v/>
      </c>
      <c r="E281" s="241" t="str">
        <f>IF(C281="","",SUMIFS(Лэндинг!$H$5:$H$300,Лэндинг!$E$5:$E$300,$B281)+SUMIFS(Закрытые!$H$5:$H$300,Закрытые!$E$5:$E$300,$B281,Закрытые!$B$5:$B$300,"L-*"))</f>
        <v/>
      </c>
      <c r="F281" s="240" t="str">
        <f>IF(SUMIFS(Лэндинг!$I$5:$I$300,Лэндинг!$E$5:$E$300,$B281)+SUMIFS(Закрытые!$I$5:$I$300,Закрытые!$E$5:$E$300,$B281,Закрытые!$B$5:$B$300,"L-*")=0,"",SUMIFS(Лэндинг!$I$5:$I$300,Лэндинг!$E$5:$E$300,$B281)+SUMIFS(Закрытые!$I$5:$I$300,Закрытые!$E$5:$E$300,$B281,Закрытые!$B$5:$B$300,"L-*"))</f>
        <v/>
      </c>
      <c r="G281" s="177" t="str">
        <f>IF(F281="","",(SUMPRODUCT((Лэндинг!$E$5:$E$300=$B281)*Лэндинг!$I$5:$I$300*Лэндинг!$J$5:$J$300)+SUMPRODUCT((Закрытые!$E$5:$E$300=$B281)*(LEFT(Закрытые!$B$5:$B$300,2)="L-")*Закрытые!$I$5:$I$300*Закрытые!$J$5:$J$300))/F281)</f>
        <v/>
      </c>
      <c r="H281" s="241" t="str">
        <f>IF(F281="","",SUMIFS(Лэндинг!$K$5:$K$300,Лэндинг!$E$5:$E$300,$B281)+SUMIFS(Закрытые!$K$5:$K$300,Закрытые!$E$5:$E$300,$B281,Закрытые!$B$5:$B$300,"L-*"))</f>
        <v/>
      </c>
      <c r="I281" s="240" t="str">
        <f>IF($B281="","",IF(COUNTIFS(Лэндинг!$E$5:$E$300,$B281)+COUNTIFS(Закрытые!$E$5:$E$300,$B281,Закрытые!$B$5:$B$300,"L-*")=0,"",ROUND(SUMIFS(Лэндинг!$L$5:$L$300,Лэндинг!$E$5:$E$300,$B281)+SUMIFS(Закрытые!$L$5:$L$300,Закрытые!$E$5:$E$300,$B281,Закрытые!$B$5:$B$300,"L-*"),8)))</f>
        <v/>
      </c>
      <c r="J281" s="241" t="str">
        <f>IF($B281="","",IF(COUNTIFS(Лэндинг!$E$5:$E$300,$B281)+COUNTIFS(Закрытые!$E$5:$E$300,$B281,Закрытые!$B$5:$B$300,"L-*")=0,"",ROUND(SUMIFS(Лэндинг!$M$5:$M$300,Лэндинг!$E$5:$E$300,$B281)+SUMIFS(Закрытые!$M$5:$M$300,Закрытые!$E$5:$E$300,$B281,Закрытые!$B$5:$B$300,"L-*"),8)))</f>
        <v/>
      </c>
      <c r="K281" s="240" t="str">
        <f>IF(MIN(N(C281),N(F281))&lt;=0,"",ROUND(MIN(N(C281),N(F281))*(N(G281)-N(D281)),8))</f>
        <v/>
      </c>
      <c r="L281" s="177" t="str">
        <f>IF(MIN(N(C281),N(F281))&lt;=0,"",IF(N(D281)=0,"",ROUND((N(G281)/N(D281)-1)*100,2)))</f>
        <v/>
      </c>
      <c r="M281" s="177" t="str">
        <f>IF(OR(ROUND(N(C281)-N(F281),8)=0,1-N(Ввод!$J$19)/100&lt;=0),"",IF(N(C281)&gt;N(F281),(N(E281)-N(H281))/((N(C281)-N(F281))*(1-N(Ввод!$J$19)/100)),(N(H281)-N(E281))/((N(F281)-N(C281))*(1+N(Ввод!$J$19)/100))))</f>
        <v/>
      </c>
    </row>
    <row r="282" ht="22" customHeight="1">
      <c r="B282" s="245" t="n"/>
      <c r="C282" s="246" t="str">
        <f>IF(SUMIFS(Лэндинг!$F$5:$F$300,Лэндинг!$E$5:$E$300,$B282)+SUMIFS(Закрытые!$F$5:$F$300,Закрытые!$E$5:$E$300,$B282,Закрытые!$B$5:$B$300,"L-*")=0,"",SUMIFS(Лэндинг!$F$5:$F$300,Лэндинг!$E$5:$E$300,$B282)+SUMIFS(Закрытые!$F$5:$F$300,Закрытые!$E$5:$E$300,$B282,Закрытые!$B$5:$B$300,"L-*"))</f>
        <v/>
      </c>
      <c r="D282" s="183" t="str">
        <f>IF(C282="","",(SUMPRODUCT((Лэндинг!$E$5:$E$300=$B282)*Лэндинг!$F$5:$F$300*Лэндинг!$G$5:$G$300)+SUMPRODUCT((Закрытые!$E$5:$E$300=$B282)*(LEFT(Закрытые!$B$5:$B$300,2)="L-")*Закрытые!$F$5:$F$300*Закрытые!$G$5:$G$300))/C282)</f>
        <v/>
      </c>
      <c r="E282" s="247" t="str">
        <f>IF(C282="","",SUMIFS(Лэндинг!$H$5:$H$300,Лэндинг!$E$5:$E$300,$B282)+SUMIFS(Закрытые!$H$5:$H$300,Закрытые!$E$5:$E$300,$B282,Закрытые!$B$5:$B$300,"L-*"))</f>
        <v/>
      </c>
      <c r="F282" s="246" t="str">
        <f>IF(SUMIFS(Лэндинг!$I$5:$I$300,Лэндинг!$E$5:$E$300,$B282)+SUMIFS(Закрытые!$I$5:$I$300,Закрытые!$E$5:$E$300,$B282,Закрытые!$B$5:$B$300,"L-*")=0,"",SUMIFS(Лэндинг!$I$5:$I$300,Лэндинг!$E$5:$E$300,$B282)+SUMIFS(Закрытые!$I$5:$I$300,Закрытые!$E$5:$E$300,$B282,Закрытые!$B$5:$B$300,"L-*"))</f>
        <v/>
      </c>
      <c r="G282" s="183" t="str">
        <f>IF(F282="","",(SUMPRODUCT((Лэндинг!$E$5:$E$300=$B282)*Лэндинг!$I$5:$I$300*Лэндинг!$J$5:$J$300)+SUMPRODUCT((Закрытые!$E$5:$E$300=$B282)*(LEFT(Закрытые!$B$5:$B$300,2)="L-")*Закрытые!$I$5:$I$300*Закрытые!$J$5:$J$300))/F282)</f>
        <v/>
      </c>
      <c r="H282" s="247" t="str">
        <f>IF(F282="","",SUMIFS(Лэндинг!$K$5:$K$300,Лэндинг!$E$5:$E$300,$B282)+SUMIFS(Закрытые!$K$5:$K$300,Закрытые!$E$5:$E$300,$B282,Закрытые!$B$5:$B$300,"L-*"))</f>
        <v/>
      </c>
      <c r="I282" s="246" t="str">
        <f>IF($B282="","",IF(COUNTIFS(Лэндинг!$E$5:$E$300,$B282)+COUNTIFS(Закрытые!$E$5:$E$300,$B282,Закрытые!$B$5:$B$300,"L-*")=0,"",ROUND(SUMIFS(Лэндинг!$L$5:$L$300,Лэндинг!$E$5:$E$300,$B282)+SUMIFS(Закрытые!$L$5:$L$300,Закрытые!$E$5:$E$300,$B282,Закрытые!$B$5:$B$300,"L-*"),8)))</f>
        <v/>
      </c>
      <c r="J282" s="247" t="str">
        <f>IF($B282="","",IF(COUNTIFS(Лэндинг!$E$5:$E$300,$B282)+COUNTIFS(Закрытые!$E$5:$E$300,$B282,Закрытые!$B$5:$B$300,"L-*")=0,"",ROUND(SUMIFS(Лэндинг!$M$5:$M$300,Лэндинг!$E$5:$E$300,$B282)+SUMIFS(Закрытые!$M$5:$M$300,Закрытые!$E$5:$E$300,$B282,Закрытые!$B$5:$B$300,"L-*"),8)))</f>
        <v/>
      </c>
      <c r="K282" s="246" t="str">
        <f>IF(MIN(N(C282),N(F282))&lt;=0,"",ROUND(MIN(N(C282),N(F282))*(N(G282)-N(D282)),8))</f>
        <v/>
      </c>
      <c r="L282" s="183" t="str">
        <f>IF(MIN(N(C282),N(F282))&lt;=0,"",IF(N(D282)=0,"",ROUND((N(G282)/N(D282)-1)*100,2)))</f>
        <v/>
      </c>
      <c r="M282" s="183" t="str">
        <f>IF(OR(ROUND(N(C282)-N(F282),8)=0,1-N(Ввод!$J$19)/100&lt;=0),"",IF(N(C282)&gt;N(F282),(N(E282)-N(H282))/((N(C282)-N(F282))*(1-N(Ввод!$J$19)/100)),(N(H282)-N(E282))/((N(F282)-N(C282))*(1+N(Ввод!$J$19)/100))))</f>
        <v/>
      </c>
    </row>
    <row r="283" ht="22" customHeight="1">
      <c r="B283" s="239" t="n"/>
      <c r="C283" s="240" t="str">
        <f>IF(SUMIFS(Лэндинг!$F$5:$F$300,Лэндинг!$E$5:$E$300,$B283)+SUMIFS(Закрытые!$F$5:$F$300,Закрытые!$E$5:$E$300,$B283,Закрытые!$B$5:$B$300,"L-*")=0,"",SUMIFS(Лэндинг!$F$5:$F$300,Лэндинг!$E$5:$E$300,$B283)+SUMIFS(Закрытые!$F$5:$F$300,Закрытые!$E$5:$E$300,$B283,Закрытые!$B$5:$B$300,"L-*"))</f>
        <v/>
      </c>
      <c r="D283" s="177" t="str">
        <f>IF(C283="","",(SUMPRODUCT((Лэндинг!$E$5:$E$300=$B283)*Лэндинг!$F$5:$F$300*Лэндинг!$G$5:$G$300)+SUMPRODUCT((Закрытые!$E$5:$E$300=$B283)*(LEFT(Закрытые!$B$5:$B$300,2)="L-")*Закрытые!$F$5:$F$300*Закрытые!$G$5:$G$300))/C283)</f>
        <v/>
      </c>
      <c r="E283" s="241" t="str">
        <f>IF(C283="","",SUMIFS(Лэндинг!$H$5:$H$300,Лэндинг!$E$5:$E$300,$B283)+SUMIFS(Закрытые!$H$5:$H$300,Закрытые!$E$5:$E$300,$B283,Закрытые!$B$5:$B$300,"L-*"))</f>
        <v/>
      </c>
      <c r="F283" s="240" t="str">
        <f>IF(SUMIFS(Лэндинг!$I$5:$I$300,Лэндинг!$E$5:$E$300,$B283)+SUMIFS(Закрытые!$I$5:$I$300,Закрытые!$E$5:$E$300,$B283,Закрытые!$B$5:$B$300,"L-*")=0,"",SUMIFS(Лэндинг!$I$5:$I$300,Лэндинг!$E$5:$E$300,$B283)+SUMIFS(Закрытые!$I$5:$I$300,Закрытые!$E$5:$E$300,$B283,Закрытые!$B$5:$B$300,"L-*"))</f>
        <v/>
      </c>
      <c r="G283" s="177" t="str">
        <f>IF(F283="","",(SUMPRODUCT((Лэндинг!$E$5:$E$300=$B283)*Лэндинг!$I$5:$I$300*Лэндинг!$J$5:$J$300)+SUMPRODUCT((Закрытые!$E$5:$E$300=$B283)*(LEFT(Закрытые!$B$5:$B$300,2)="L-")*Закрытые!$I$5:$I$300*Закрытые!$J$5:$J$300))/F283)</f>
        <v/>
      </c>
      <c r="H283" s="241" t="str">
        <f>IF(F283="","",SUMIFS(Лэндинг!$K$5:$K$300,Лэндинг!$E$5:$E$300,$B283)+SUMIFS(Закрытые!$K$5:$K$300,Закрытые!$E$5:$E$300,$B283,Закрытые!$B$5:$B$300,"L-*"))</f>
        <v/>
      </c>
      <c r="I283" s="240" t="str">
        <f>IF($B283="","",IF(COUNTIFS(Лэндинг!$E$5:$E$300,$B283)+COUNTIFS(Закрытые!$E$5:$E$300,$B283,Закрытые!$B$5:$B$300,"L-*")=0,"",ROUND(SUMIFS(Лэндинг!$L$5:$L$300,Лэндинг!$E$5:$E$300,$B283)+SUMIFS(Закрытые!$L$5:$L$300,Закрытые!$E$5:$E$300,$B283,Закрытые!$B$5:$B$300,"L-*"),8)))</f>
        <v/>
      </c>
      <c r="J283" s="241" t="str">
        <f>IF($B283="","",IF(COUNTIFS(Лэндинг!$E$5:$E$300,$B283)+COUNTIFS(Закрытые!$E$5:$E$300,$B283,Закрытые!$B$5:$B$300,"L-*")=0,"",ROUND(SUMIFS(Лэндинг!$M$5:$M$300,Лэндинг!$E$5:$E$300,$B283)+SUMIFS(Закрытые!$M$5:$M$300,Закрытые!$E$5:$E$300,$B283,Закрытые!$B$5:$B$300,"L-*"),8)))</f>
        <v/>
      </c>
      <c r="K283" s="240" t="str">
        <f>IF(MIN(N(C283),N(F283))&lt;=0,"",ROUND(MIN(N(C283),N(F283))*(N(G283)-N(D283)),8))</f>
        <v/>
      </c>
      <c r="L283" s="177" t="str">
        <f>IF(MIN(N(C283),N(F283))&lt;=0,"",IF(N(D283)=0,"",ROUND((N(G283)/N(D283)-1)*100,2)))</f>
        <v/>
      </c>
      <c r="M283" s="177" t="str">
        <f>IF(OR(ROUND(N(C283)-N(F283),8)=0,1-N(Ввод!$J$19)/100&lt;=0),"",IF(N(C283)&gt;N(F283),(N(E283)-N(H283))/((N(C283)-N(F283))*(1-N(Ввод!$J$19)/100)),(N(H283)-N(E283))/((N(F283)-N(C283))*(1+N(Ввод!$J$19)/100))))</f>
        <v/>
      </c>
    </row>
    <row r="284" ht="22" customHeight="1">
      <c r="B284" s="245" t="n"/>
      <c r="C284" s="246" t="str">
        <f>IF(SUMIFS(Лэндинг!$F$5:$F$300,Лэндинг!$E$5:$E$300,$B284)+SUMIFS(Закрытые!$F$5:$F$300,Закрытые!$E$5:$E$300,$B284,Закрытые!$B$5:$B$300,"L-*")=0,"",SUMIFS(Лэндинг!$F$5:$F$300,Лэндинг!$E$5:$E$300,$B284)+SUMIFS(Закрытые!$F$5:$F$300,Закрытые!$E$5:$E$300,$B284,Закрытые!$B$5:$B$300,"L-*"))</f>
        <v/>
      </c>
      <c r="D284" s="183" t="str">
        <f>IF(C284="","",(SUMPRODUCT((Лэндинг!$E$5:$E$300=$B284)*Лэндинг!$F$5:$F$300*Лэндинг!$G$5:$G$300)+SUMPRODUCT((Закрытые!$E$5:$E$300=$B284)*(LEFT(Закрытые!$B$5:$B$300,2)="L-")*Закрытые!$F$5:$F$300*Закрытые!$G$5:$G$300))/C284)</f>
        <v/>
      </c>
      <c r="E284" s="247" t="str">
        <f>IF(C284="","",SUMIFS(Лэндинг!$H$5:$H$300,Лэндинг!$E$5:$E$300,$B284)+SUMIFS(Закрытые!$H$5:$H$300,Закрытые!$E$5:$E$300,$B284,Закрытые!$B$5:$B$300,"L-*"))</f>
        <v/>
      </c>
      <c r="F284" s="246" t="str">
        <f>IF(SUMIFS(Лэндинг!$I$5:$I$300,Лэндинг!$E$5:$E$300,$B284)+SUMIFS(Закрытые!$I$5:$I$300,Закрытые!$E$5:$E$300,$B284,Закрытые!$B$5:$B$300,"L-*")=0,"",SUMIFS(Лэндинг!$I$5:$I$300,Лэндинг!$E$5:$E$300,$B284)+SUMIFS(Закрытые!$I$5:$I$300,Закрытые!$E$5:$E$300,$B284,Закрытые!$B$5:$B$300,"L-*"))</f>
        <v/>
      </c>
      <c r="G284" s="183" t="str">
        <f>IF(F284="","",(SUMPRODUCT((Лэндинг!$E$5:$E$300=$B284)*Лэндинг!$I$5:$I$300*Лэндинг!$J$5:$J$300)+SUMPRODUCT((Закрытые!$E$5:$E$300=$B284)*(LEFT(Закрытые!$B$5:$B$300,2)="L-")*Закрытые!$I$5:$I$300*Закрытые!$J$5:$J$300))/F284)</f>
        <v/>
      </c>
      <c r="H284" s="247" t="str">
        <f>IF(F284="","",SUMIFS(Лэндинг!$K$5:$K$300,Лэндинг!$E$5:$E$300,$B284)+SUMIFS(Закрытые!$K$5:$K$300,Закрытые!$E$5:$E$300,$B284,Закрытые!$B$5:$B$300,"L-*"))</f>
        <v/>
      </c>
      <c r="I284" s="246" t="str">
        <f>IF($B284="","",IF(COUNTIFS(Лэндинг!$E$5:$E$300,$B284)+COUNTIFS(Закрытые!$E$5:$E$300,$B284,Закрытые!$B$5:$B$300,"L-*")=0,"",ROUND(SUMIFS(Лэндинг!$L$5:$L$300,Лэндинг!$E$5:$E$300,$B284)+SUMIFS(Закрытые!$L$5:$L$300,Закрытые!$E$5:$E$300,$B284,Закрытые!$B$5:$B$300,"L-*"),8)))</f>
        <v/>
      </c>
      <c r="J284" s="247" t="str">
        <f>IF($B284="","",IF(COUNTIFS(Лэндинг!$E$5:$E$300,$B284)+COUNTIFS(Закрытые!$E$5:$E$300,$B284,Закрытые!$B$5:$B$300,"L-*")=0,"",ROUND(SUMIFS(Лэндинг!$M$5:$M$300,Лэндинг!$E$5:$E$300,$B284)+SUMIFS(Закрытые!$M$5:$M$300,Закрытые!$E$5:$E$300,$B284,Закрытые!$B$5:$B$300,"L-*"),8)))</f>
        <v/>
      </c>
      <c r="K284" s="246" t="str">
        <f>IF(MIN(N(C284),N(F284))&lt;=0,"",ROUND(MIN(N(C284),N(F284))*(N(G284)-N(D284)),8))</f>
        <v/>
      </c>
      <c r="L284" s="183" t="str">
        <f>IF(MIN(N(C284),N(F284))&lt;=0,"",IF(N(D284)=0,"",ROUND((N(G284)/N(D284)-1)*100,2)))</f>
        <v/>
      </c>
      <c r="M284" s="183" t="str">
        <f>IF(OR(ROUND(N(C284)-N(F284),8)=0,1-N(Ввод!$J$19)/100&lt;=0),"",IF(N(C284)&gt;N(F284),(N(E284)-N(H284))/((N(C284)-N(F284))*(1-N(Ввод!$J$19)/100)),(N(H284)-N(E284))/((N(F284)-N(C284))*(1+N(Ввод!$J$19)/100))))</f>
        <v/>
      </c>
    </row>
    <row r="285" ht="22" customHeight="1">
      <c r="B285" s="239" t="n"/>
      <c r="C285" s="240" t="str">
        <f>IF(SUMIFS(Лэндинг!$F$5:$F$300,Лэндинг!$E$5:$E$300,$B285)+SUMIFS(Закрытые!$F$5:$F$300,Закрытые!$E$5:$E$300,$B285,Закрытые!$B$5:$B$300,"L-*")=0,"",SUMIFS(Лэндинг!$F$5:$F$300,Лэндинг!$E$5:$E$300,$B285)+SUMIFS(Закрытые!$F$5:$F$300,Закрытые!$E$5:$E$300,$B285,Закрытые!$B$5:$B$300,"L-*"))</f>
        <v/>
      </c>
      <c r="D285" s="177" t="str">
        <f>IF(C285="","",(SUMPRODUCT((Лэндинг!$E$5:$E$300=$B285)*Лэндинг!$F$5:$F$300*Лэндинг!$G$5:$G$300)+SUMPRODUCT((Закрытые!$E$5:$E$300=$B285)*(LEFT(Закрытые!$B$5:$B$300,2)="L-")*Закрытые!$F$5:$F$300*Закрытые!$G$5:$G$300))/C285)</f>
        <v/>
      </c>
      <c r="E285" s="241" t="str">
        <f>IF(C285="","",SUMIFS(Лэндинг!$H$5:$H$300,Лэндинг!$E$5:$E$300,$B285)+SUMIFS(Закрытые!$H$5:$H$300,Закрытые!$E$5:$E$300,$B285,Закрытые!$B$5:$B$300,"L-*"))</f>
        <v/>
      </c>
      <c r="F285" s="240" t="str">
        <f>IF(SUMIFS(Лэндинг!$I$5:$I$300,Лэндинг!$E$5:$E$300,$B285)+SUMIFS(Закрытые!$I$5:$I$300,Закрытые!$E$5:$E$300,$B285,Закрытые!$B$5:$B$300,"L-*")=0,"",SUMIFS(Лэндинг!$I$5:$I$300,Лэндинг!$E$5:$E$300,$B285)+SUMIFS(Закрытые!$I$5:$I$300,Закрытые!$E$5:$E$300,$B285,Закрытые!$B$5:$B$300,"L-*"))</f>
        <v/>
      </c>
      <c r="G285" s="177" t="str">
        <f>IF(F285="","",(SUMPRODUCT((Лэндинг!$E$5:$E$300=$B285)*Лэндинг!$I$5:$I$300*Лэндинг!$J$5:$J$300)+SUMPRODUCT((Закрытые!$E$5:$E$300=$B285)*(LEFT(Закрытые!$B$5:$B$300,2)="L-")*Закрытые!$I$5:$I$300*Закрытые!$J$5:$J$300))/F285)</f>
        <v/>
      </c>
      <c r="H285" s="241" t="str">
        <f>IF(F285="","",SUMIFS(Лэндинг!$K$5:$K$300,Лэндинг!$E$5:$E$300,$B285)+SUMIFS(Закрытые!$K$5:$K$300,Закрытые!$E$5:$E$300,$B285,Закрытые!$B$5:$B$300,"L-*"))</f>
        <v/>
      </c>
      <c r="I285" s="240" t="str">
        <f>IF($B285="","",IF(COUNTIFS(Лэндинг!$E$5:$E$300,$B285)+COUNTIFS(Закрытые!$E$5:$E$300,$B285,Закрытые!$B$5:$B$300,"L-*")=0,"",ROUND(SUMIFS(Лэндинг!$L$5:$L$300,Лэндинг!$E$5:$E$300,$B285)+SUMIFS(Закрытые!$L$5:$L$300,Закрытые!$E$5:$E$300,$B285,Закрытые!$B$5:$B$300,"L-*"),8)))</f>
        <v/>
      </c>
      <c r="J285" s="241" t="str">
        <f>IF($B285="","",IF(COUNTIFS(Лэндинг!$E$5:$E$300,$B285)+COUNTIFS(Закрытые!$E$5:$E$300,$B285,Закрытые!$B$5:$B$300,"L-*")=0,"",ROUND(SUMIFS(Лэндинг!$M$5:$M$300,Лэндинг!$E$5:$E$300,$B285)+SUMIFS(Закрытые!$M$5:$M$300,Закрытые!$E$5:$E$300,$B285,Закрытые!$B$5:$B$300,"L-*"),8)))</f>
        <v/>
      </c>
      <c r="K285" s="240" t="str">
        <f>IF(MIN(N(C285),N(F285))&lt;=0,"",ROUND(MIN(N(C285),N(F285))*(N(G285)-N(D285)),8))</f>
        <v/>
      </c>
      <c r="L285" s="177" t="str">
        <f>IF(MIN(N(C285),N(F285))&lt;=0,"",IF(N(D285)=0,"",ROUND((N(G285)/N(D285)-1)*100,2)))</f>
        <v/>
      </c>
      <c r="M285" s="177" t="str">
        <f>IF(OR(ROUND(N(C285)-N(F285),8)=0,1-N(Ввод!$J$19)/100&lt;=0),"",IF(N(C285)&gt;N(F285),(N(E285)-N(H285))/((N(C285)-N(F285))*(1-N(Ввод!$J$19)/100)),(N(H285)-N(E285))/((N(F285)-N(C285))*(1+N(Ввод!$J$19)/100))))</f>
        <v/>
      </c>
    </row>
    <row r="286" ht="22" customHeight="1">
      <c r="B286" s="245" t="n"/>
      <c r="C286" s="246" t="str">
        <f>IF(SUMIFS(Лэндинг!$F$5:$F$300,Лэндинг!$E$5:$E$300,$B286)+SUMIFS(Закрытые!$F$5:$F$300,Закрытые!$E$5:$E$300,$B286,Закрытые!$B$5:$B$300,"L-*")=0,"",SUMIFS(Лэндинг!$F$5:$F$300,Лэндинг!$E$5:$E$300,$B286)+SUMIFS(Закрытые!$F$5:$F$300,Закрытые!$E$5:$E$300,$B286,Закрытые!$B$5:$B$300,"L-*"))</f>
        <v/>
      </c>
      <c r="D286" s="183" t="str">
        <f>IF(C286="","",(SUMPRODUCT((Лэндинг!$E$5:$E$300=$B286)*Лэндинг!$F$5:$F$300*Лэндинг!$G$5:$G$300)+SUMPRODUCT((Закрытые!$E$5:$E$300=$B286)*(LEFT(Закрытые!$B$5:$B$300,2)="L-")*Закрытые!$F$5:$F$300*Закрытые!$G$5:$G$300))/C286)</f>
        <v/>
      </c>
      <c r="E286" s="247" t="str">
        <f>IF(C286="","",SUMIFS(Лэндинг!$H$5:$H$300,Лэндинг!$E$5:$E$300,$B286)+SUMIFS(Закрытые!$H$5:$H$300,Закрытые!$E$5:$E$300,$B286,Закрытые!$B$5:$B$300,"L-*"))</f>
        <v/>
      </c>
      <c r="F286" s="246" t="str">
        <f>IF(SUMIFS(Лэндинг!$I$5:$I$300,Лэндинг!$E$5:$E$300,$B286)+SUMIFS(Закрытые!$I$5:$I$300,Закрытые!$E$5:$E$300,$B286,Закрытые!$B$5:$B$300,"L-*")=0,"",SUMIFS(Лэндинг!$I$5:$I$300,Лэндинг!$E$5:$E$300,$B286)+SUMIFS(Закрытые!$I$5:$I$300,Закрытые!$E$5:$E$300,$B286,Закрытые!$B$5:$B$300,"L-*"))</f>
        <v/>
      </c>
      <c r="G286" s="183" t="str">
        <f>IF(F286="","",(SUMPRODUCT((Лэндинг!$E$5:$E$300=$B286)*Лэндинг!$I$5:$I$300*Лэндинг!$J$5:$J$300)+SUMPRODUCT((Закрытые!$E$5:$E$300=$B286)*(LEFT(Закрытые!$B$5:$B$300,2)="L-")*Закрытые!$I$5:$I$300*Закрытые!$J$5:$J$300))/F286)</f>
        <v/>
      </c>
      <c r="H286" s="247" t="str">
        <f>IF(F286="","",SUMIFS(Лэндинг!$K$5:$K$300,Лэндинг!$E$5:$E$300,$B286)+SUMIFS(Закрытые!$K$5:$K$300,Закрытые!$E$5:$E$300,$B286,Закрытые!$B$5:$B$300,"L-*"))</f>
        <v/>
      </c>
      <c r="I286" s="246" t="str">
        <f>IF($B286="","",IF(COUNTIFS(Лэндинг!$E$5:$E$300,$B286)+COUNTIFS(Закрытые!$E$5:$E$300,$B286,Закрытые!$B$5:$B$300,"L-*")=0,"",ROUND(SUMIFS(Лэндинг!$L$5:$L$300,Лэндинг!$E$5:$E$300,$B286)+SUMIFS(Закрытые!$L$5:$L$300,Закрытые!$E$5:$E$300,$B286,Закрытые!$B$5:$B$300,"L-*"),8)))</f>
        <v/>
      </c>
      <c r="J286" s="247" t="str">
        <f>IF($B286="","",IF(COUNTIFS(Лэндинг!$E$5:$E$300,$B286)+COUNTIFS(Закрытые!$E$5:$E$300,$B286,Закрытые!$B$5:$B$300,"L-*")=0,"",ROUND(SUMIFS(Лэндинг!$M$5:$M$300,Лэндинг!$E$5:$E$300,$B286)+SUMIFS(Закрытые!$M$5:$M$300,Закрытые!$E$5:$E$300,$B286,Закрытые!$B$5:$B$300,"L-*"),8)))</f>
        <v/>
      </c>
      <c r="K286" s="246" t="str">
        <f>IF(MIN(N(C286),N(F286))&lt;=0,"",ROUND(MIN(N(C286),N(F286))*(N(G286)-N(D286)),8))</f>
        <v/>
      </c>
      <c r="L286" s="183" t="str">
        <f>IF(MIN(N(C286),N(F286))&lt;=0,"",IF(N(D286)=0,"",ROUND((N(G286)/N(D286)-1)*100,2)))</f>
        <v/>
      </c>
      <c r="M286" s="183" t="str">
        <f>IF(OR(ROUND(N(C286)-N(F286),8)=0,1-N(Ввод!$J$19)/100&lt;=0),"",IF(N(C286)&gt;N(F286),(N(E286)-N(H286))/((N(C286)-N(F286))*(1-N(Ввод!$J$19)/100)),(N(H286)-N(E286))/((N(F286)-N(C286))*(1+N(Ввод!$J$19)/100))))</f>
        <v/>
      </c>
    </row>
    <row r="287" ht="22" customHeight="1">
      <c r="B287" s="239" t="n"/>
      <c r="C287" s="240" t="str">
        <f>IF(SUMIFS(Лэндинг!$F$5:$F$300,Лэндинг!$E$5:$E$300,$B287)+SUMIFS(Закрытые!$F$5:$F$300,Закрытые!$E$5:$E$300,$B287,Закрытые!$B$5:$B$300,"L-*")=0,"",SUMIFS(Лэндинг!$F$5:$F$300,Лэндинг!$E$5:$E$300,$B287)+SUMIFS(Закрытые!$F$5:$F$300,Закрытые!$E$5:$E$300,$B287,Закрытые!$B$5:$B$300,"L-*"))</f>
        <v/>
      </c>
      <c r="D287" s="177" t="str">
        <f>IF(C287="","",(SUMPRODUCT((Лэндинг!$E$5:$E$300=$B287)*Лэндинг!$F$5:$F$300*Лэндинг!$G$5:$G$300)+SUMPRODUCT((Закрытые!$E$5:$E$300=$B287)*(LEFT(Закрытые!$B$5:$B$300,2)="L-")*Закрытые!$F$5:$F$300*Закрытые!$G$5:$G$300))/C287)</f>
        <v/>
      </c>
      <c r="E287" s="241" t="str">
        <f>IF(C287="","",SUMIFS(Лэндинг!$H$5:$H$300,Лэндинг!$E$5:$E$300,$B287)+SUMIFS(Закрытые!$H$5:$H$300,Закрытые!$E$5:$E$300,$B287,Закрытые!$B$5:$B$300,"L-*"))</f>
        <v/>
      </c>
      <c r="F287" s="240" t="str">
        <f>IF(SUMIFS(Лэндинг!$I$5:$I$300,Лэндинг!$E$5:$E$300,$B287)+SUMIFS(Закрытые!$I$5:$I$300,Закрытые!$E$5:$E$300,$B287,Закрытые!$B$5:$B$300,"L-*")=0,"",SUMIFS(Лэндинг!$I$5:$I$300,Лэндинг!$E$5:$E$300,$B287)+SUMIFS(Закрытые!$I$5:$I$300,Закрытые!$E$5:$E$300,$B287,Закрытые!$B$5:$B$300,"L-*"))</f>
        <v/>
      </c>
      <c r="G287" s="177" t="str">
        <f>IF(F287="","",(SUMPRODUCT((Лэндинг!$E$5:$E$300=$B287)*Лэндинг!$I$5:$I$300*Лэндинг!$J$5:$J$300)+SUMPRODUCT((Закрытые!$E$5:$E$300=$B287)*(LEFT(Закрытые!$B$5:$B$300,2)="L-")*Закрытые!$I$5:$I$300*Закрытые!$J$5:$J$300))/F287)</f>
        <v/>
      </c>
      <c r="H287" s="241" t="str">
        <f>IF(F287="","",SUMIFS(Лэндинг!$K$5:$K$300,Лэндинг!$E$5:$E$300,$B287)+SUMIFS(Закрытые!$K$5:$K$300,Закрытые!$E$5:$E$300,$B287,Закрытые!$B$5:$B$300,"L-*"))</f>
        <v/>
      </c>
      <c r="I287" s="240" t="str">
        <f>IF($B287="","",IF(COUNTIFS(Лэндинг!$E$5:$E$300,$B287)+COUNTIFS(Закрытые!$E$5:$E$300,$B287,Закрытые!$B$5:$B$300,"L-*")=0,"",ROUND(SUMIFS(Лэндинг!$L$5:$L$300,Лэндинг!$E$5:$E$300,$B287)+SUMIFS(Закрытые!$L$5:$L$300,Закрытые!$E$5:$E$300,$B287,Закрытые!$B$5:$B$300,"L-*"),8)))</f>
        <v/>
      </c>
      <c r="J287" s="241" t="str">
        <f>IF($B287="","",IF(COUNTIFS(Лэндинг!$E$5:$E$300,$B287)+COUNTIFS(Закрытые!$E$5:$E$300,$B287,Закрытые!$B$5:$B$300,"L-*")=0,"",ROUND(SUMIFS(Лэндинг!$M$5:$M$300,Лэндинг!$E$5:$E$300,$B287)+SUMIFS(Закрытые!$M$5:$M$300,Закрытые!$E$5:$E$300,$B287,Закрытые!$B$5:$B$300,"L-*"),8)))</f>
        <v/>
      </c>
      <c r="K287" s="240" t="str">
        <f>IF(MIN(N(C287),N(F287))&lt;=0,"",ROUND(MIN(N(C287),N(F287))*(N(G287)-N(D287)),8))</f>
        <v/>
      </c>
      <c r="L287" s="177" t="str">
        <f>IF(MIN(N(C287),N(F287))&lt;=0,"",IF(N(D287)=0,"",ROUND((N(G287)/N(D287)-1)*100,2)))</f>
        <v/>
      </c>
      <c r="M287" s="177" t="str">
        <f>IF(OR(ROUND(N(C287)-N(F287),8)=0,1-N(Ввод!$J$19)/100&lt;=0),"",IF(N(C287)&gt;N(F287),(N(E287)-N(H287))/((N(C287)-N(F287))*(1-N(Ввод!$J$19)/100)),(N(H287)-N(E287))/((N(F287)-N(C287))*(1+N(Ввод!$J$19)/100))))</f>
        <v/>
      </c>
    </row>
    <row r="288" ht="22" customHeight="1">
      <c r="B288" s="245" t="n"/>
      <c r="C288" s="246" t="str">
        <f>IF(SUMIFS(Лэндинг!$F$5:$F$300,Лэндинг!$E$5:$E$300,$B288)+SUMIFS(Закрытые!$F$5:$F$300,Закрытые!$E$5:$E$300,$B288,Закрытые!$B$5:$B$300,"L-*")=0,"",SUMIFS(Лэндинг!$F$5:$F$300,Лэндинг!$E$5:$E$300,$B288)+SUMIFS(Закрытые!$F$5:$F$300,Закрытые!$E$5:$E$300,$B288,Закрытые!$B$5:$B$300,"L-*"))</f>
        <v/>
      </c>
      <c r="D288" s="183" t="str">
        <f>IF(C288="","",(SUMPRODUCT((Лэндинг!$E$5:$E$300=$B288)*Лэндинг!$F$5:$F$300*Лэндинг!$G$5:$G$300)+SUMPRODUCT((Закрытые!$E$5:$E$300=$B288)*(LEFT(Закрытые!$B$5:$B$300,2)="L-")*Закрытые!$F$5:$F$300*Закрытые!$G$5:$G$300))/C288)</f>
        <v/>
      </c>
      <c r="E288" s="247" t="str">
        <f>IF(C288="","",SUMIFS(Лэндинг!$H$5:$H$300,Лэндинг!$E$5:$E$300,$B288)+SUMIFS(Закрытые!$H$5:$H$300,Закрытые!$E$5:$E$300,$B288,Закрытые!$B$5:$B$300,"L-*"))</f>
        <v/>
      </c>
      <c r="F288" s="246" t="str">
        <f>IF(SUMIFS(Лэндинг!$I$5:$I$300,Лэндинг!$E$5:$E$300,$B288)+SUMIFS(Закрытые!$I$5:$I$300,Закрытые!$E$5:$E$300,$B288,Закрытые!$B$5:$B$300,"L-*")=0,"",SUMIFS(Лэндинг!$I$5:$I$300,Лэндинг!$E$5:$E$300,$B288)+SUMIFS(Закрытые!$I$5:$I$300,Закрытые!$E$5:$E$300,$B288,Закрытые!$B$5:$B$300,"L-*"))</f>
        <v/>
      </c>
      <c r="G288" s="183" t="str">
        <f>IF(F288="","",(SUMPRODUCT((Лэндинг!$E$5:$E$300=$B288)*Лэндинг!$I$5:$I$300*Лэндинг!$J$5:$J$300)+SUMPRODUCT((Закрытые!$E$5:$E$300=$B288)*(LEFT(Закрытые!$B$5:$B$300,2)="L-")*Закрытые!$I$5:$I$300*Закрытые!$J$5:$J$300))/F288)</f>
        <v/>
      </c>
      <c r="H288" s="247" t="str">
        <f>IF(F288="","",SUMIFS(Лэндинг!$K$5:$K$300,Лэндинг!$E$5:$E$300,$B288)+SUMIFS(Закрытые!$K$5:$K$300,Закрытые!$E$5:$E$300,$B288,Закрытые!$B$5:$B$300,"L-*"))</f>
        <v/>
      </c>
      <c r="I288" s="246" t="str">
        <f>IF($B288="","",IF(COUNTIFS(Лэндинг!$E$5:$E$300,$B288)+COUNTIFS(Закрытые!$E$5:$E$300,$B288,Закрытые!$B$5:$B$300,"L-*")=0,"",ROUND(SUMIFS(Лэндинг!$L$5:$L$300,Лэндинг!$E$5:$E$300,$B288)+SUMIFS(Закрытые!$L$5:$L$300,Закрытые!$E$5:$E$300,$B288,Закрытые!$B$5:$B$300,"L-*"),8)))</f>
        <v/>
      </c>
      <c r="J288" s="247" t="str">
        <f>IF($B288="","",IF(COUNTIFS(Лэндинг!$E$5:$E$300,$B288)+COUNTIFS(Закрытые!$E$5:$E$300,$B288,Закрытые!$B$5:$B$300,"L-*")=0,"",ROUND(SUMIFS(Лэндинг!$M$5:$M$300,Лэндинг!$E$5:$E$300,$B288)+SUMIFS(Закрытые!$M$5:$M$300,Закрытые!$E$5:$E$300,$B288,Закрытые!$B$5:$B$300,"L-*"),8)))</f>
        <v/>
      </c>
      <c r="K288" s="246" t="str">
        <f>IF(MIN(N(C288),N(F288))&lt;=0,"",ROUND(MIN(N(C288),N(F288))*(N(G288)-N(D288)),8))</f>
        <v/>
      </c>
      <c r="L288" s="183" t="str">
        <f>IF(MIN(N(C288),N(F288))&lt;=0,"",IF(N(D288)=0,"",ROUND((N(G288)/N(D288)-1)*100,2)))</f>
        <v/>
      </c>
      <c r="M288" s="183" t="str">
        <f>IF(OR(ROUND(N(C288)-N(F288),8)=0,1-N(Ввод!$J$19)/100&lt;=0),"",IF(N(C288)&gt;N(F288),(N(E288)-N(H288))/((N(C288)-N(F288))*(1-N(Ввод!$J$19)/100)),(N(H288)-N(E288))/((N(F288)-N(C288))*(1+N(Ввод!$J$19)/100))))</f>
        <v/>
      </c>
    </row>
    <row r="289" ht="22" customHeight="1">
      <c r="B289" s="239" t="n"/>
      <c r="C289" s="240" t="str">
        <f>IF(SUMIFS(Лэндинг!$F$5:$F$300,Лэндинг!$E$5:$E$300,$B289)+SUMIFS(Закрытые!$F$5:$F$300,Закрытые!$E$5:$E$300,$B289,Закрытые!$B$5:$B$300,"L-*")=0,"",SUMIFS(Лэндинг!$F$5:$F$300,Лэндинг!$E$5:$E$300,$B289)+SUMIFS(Закрытые!$F$5:$F$300,Закрытые!$E$5:$E$300,$B289,Закрытые!$B$5:$B$300,"L-*"))</f>
        <v/>
      </c>
      <c r="D289" s="177" t="str">
        <f>IF(C289="","",(SUMPRODUCT((Лэндинг!$E$5:$E$300=$B289)*Лэндинг!$F$5:$F$300*Лэндинг!$G$5:$G$300)+SUMPRODUCT((Закрытые!$E$5:$E$300=$B289)*(LEFT(Закрытые!$B$5:$B$300,2)="L-")*Закрытые!$F$5:$F$300*Закрытые!$G$5:$G$300))/C289)</f>
        <v/>
      </c>
      <c r="E289" s="241" t="str">
        <f>IF(C289="","",SUMIFS(Лэндинг!$H$5:$H$300,Лэндинг!$E$5:$E$300,$B289)+SUMIFS(Закрытые!$H$5:$H$300,Закрытые!$E$5:$E$300,$B289,Закрытые!$B$5:$B$300,"L-*"))</f>
        <v/>
      </c>
      <c r="F289" s="240" t="str">
        <f>IF(SUMIFS(Лэндинг!$I$5:$I$300,Лэндинг!$E$5:$E$300,$B289)+SUMIFS(Закрытые!$I$5:$I$300,Закрытые!$E$5:$E$300,$B289,Закрытые!$B$5:$B$300,"L-*")=0,"",SUMIFS(Лэндинг!$I$5:$I$300,Лэндинг!$E$5:$E$300,$B289)+SUMIFS(Закрытые!$I$5:$I$300,Закрытые!$E$5:$E$300,$B289,Закрытые!$B$5:$B$300,"L-*"))</f>
        <v/>
      </c>
      <c r="G289" s="177" t="str">
        <f>IF(F289="","",(SUMPRODUCT((Лэндинг!$E$5:$E$300=$B289)*Лэндинг!$I$5:$I$300*Лэндинг!$J$5:$J$300)+SUMPRODUCT((Закрытые!$E$5:$E$300=$B289)*(LEFT(Закрытые!$B$5:$B$300,2)="L-")*Закрытые!$I$5:$I$300*Закрытые!$J$5:$J$300))/F289)</f>
        <v/>
      </c>
      <c r="H289" s="241" t="str">
        <f>IF(F289="","",SUMIFS(Лэндинг!$K$5:$K$300,Лэндинг!$E$5:$E$300,$B289)+SUMIFS(Закрытые!$K$5:$K$300,Закрытые!$E$5:$E$300,$B289,Закрытые!$B$5:$B$300,"L-*"))</f>
        <v/>
      </c>
      <c r="I289" s="240" t="str">
        <f>IF($B289="","",IF(COUNTIFS(Лэндинг!$E$5:$E$300,$B289)+COUNTIFS(Закрытые!$E$5:$E$300,$B289,Закрытые!$B$5:$B$300,"L-*")=0,"",ROUND(SUMIFS(Лэндинг!$L$5:$L$300,Лэндинг!$E$5:$E$300,$B289)+SUMIFS(Закрытые!$L$5:$L$300,Закрытые!$E$5:$E$300,$B289,Закрытые!$B$5:$B$300,"L-*"),8)))</f>
        <v/>
      </c>
      <c r="J289" s="241" t="str">
        <f>IF($B289="","",IF(COUNTIFS(Лэндинг!$E$5:$E$300,$B289)+COUNTIFS(Закрытые!$E$5:$E$300,$B289,Закрытые!$B$5:$B$300,"L-*")=0,"",ROUND(SUMIFS(Лэндинг!$M$5:$M$300,Лэндинг!$E$5:$E$300,$B289)+SUMIFS(Закрытые!$M$5:$M$300,Закрытые!$E$5:$E$300,$B289,Закрытые!$B$5:$B$300,"L-*"),8)))</f>
        <v/>
      </c>
      <c r="K289" s="240" t="str">
        <f>IF(MIN(N(C289),N(F289))&lt;=0,"",ROUND(MIN(N(C289),N(F289))*(N(G289)-N(D289)),8))</f>
        <v/>
      </c>
      <c r="L289" s="177" t="str">
        <f>IF(MIN(N(C289),N(F289))&lt;=0,"",IF(N(D289)=0,"",ROUND((N(G289)/N(D289)-1)*100,2)))</f>
        <v/>
      </c>
      <c r="M289" s="177" t="str">
        <f>IF(OR(ROUND(N(C289)-N(F289),8)=0,1-N(Ввод!$J$19)/100&lt;=0),"",IF(N(C289)&gt;N(F289),(N(E289)-N(H289))/((N(C289)-N(F289))*(1-N(Ввод!$J$19)/100)),(N(H289)-N(E289))/((N(F289)-N(C289))*(1+N(Ввод!$J$19)/100))))</f>
        <v/>
      </c>
    </row>
    <row r="290" ht="22" customHeight="1">
      <c r="B290" s="245" t="n"/>
      <c r="C290" s="246" t="str">
        <f>IF(SUMIFS(Лэндинг!$F$5:$F$300,Лэндинг!$E$5:$E$300,$B290)+SUMIFS(Закрытые!$F$5:$F$300,Закрытые!$E$5:$E$300,$B290,Закрытые!$B$5:$B$300,"L-*")=0,"",SUMIFS(Лэндинг!$F$5:$F$300,Лэндинг!$E$5:$E$300,$B290)+SUMIFS(Закрытые!$F$5:$F$300,Закрытые!$E$5:$E$300,$B290,Закрытые!$B$5:$B$300,"L-*"))</f>
        <v/>
      </c>
      <c r="D290" s="183" t="str">
        <f>IF(C290="","",(SUMPRODUCT((Лэндинг!$E$5:$E$300=$B290)*Лэндинг!$F$5:$F$300*Лэндинг!$G$5:$G$300)+SUMPRODUCT((Закрытые!$E$5:$E$300=$B290)*(LEFT(Закрытые!$B$5:$B$300,2)="L-")*Закрытые!$F$5:$F$300*Закрытые!$G$5:$G$300))/C290)</f>
        <v/>
      </c>
      <c r="E290" s="247" t="str">
        <f>IF(C290="","",SUMIFS(Лэндинг!$H$5:$H$300,Лэндинг!$E$5:$E$300,$B290)+SUMIFS(Закрытые!$H$5:$H$300,Закрытые!$E$5:$E$300,$B290,Закрытые!$B$5:$B$300,"L-*"))</f>
        <v/>
      </c>
      <c r="F290" s="246" t="str">
        <f>IF(SUMIFS(Лэндинг!$I$5:$I$300,Лэндинг!$E$5:$E$300,$B290)+SUMIFS(Закрытые!$I$5:$I$300,Закрытые!$E$5:$E$300,$B290,Закрытые!$B$5:$B$300,"L-*")=0,"",SUMIFS(Лэндинг!$I$5:$I$300,Лэндинг!$E$5:$E$300,$B290)+SUMIFS(Закрытые!$I$5:$I$300,Закрытые!$E$5:$E$300,$B290,Закрытые!$B$5:$B$300,"L-*"))</f>
        <v/>
      </c>
      <c r="G290" s="183" t="str">
        <f>IF(F290="","",(SUMPRODUCT((Лэндинг!$E$5:$E$300=$B290)*Лэндинг!$I$5:$I$300*Лэндинг!$J$5:$J$300)+SUMPRODUCT((Закрытые!$E$5:$E$300=$B290)*(LEFT(Закрытые!$B$5:$B$300,2)="L-")*Закрытые!$I$5:$I$300*Закрытые!$J$5:$J$300))/F290)</f>
        <v/>
      </c>
      <c r="H290" s="247" t="str">
        <f>IF(F290="","",SUMIFS(Лэндинг!$K$5:$K$300,Лэндинг!$E$5:$E$300,$B290)+SUMIFS(Закрытые!$K$5:$K$300,Закрытые!$E$5:$E$300,$B290,Закрытые!$B$5:$B$300,"L-*"))</f>
        <v/>
      </c>
      <c r="I290" s="246" t="str">
        <f>IF($B290="","",IF(COUNTIFS(Лэндинг!$E$5:$E$300,$B290)+COUNTIFS(Закрытые!$E$5:$E$300,$B290,Закрытые!$B$5:$B$300,"L-*")=0,"",ROUND(SUMIFS(Лэндинг!$L$5:$L$300,Лэндинг!$E$5:$E$300,$B290)+SUMIFS(Закрытые!$L$5:$L$300,Закрытые!$E$5:$E$300,$B290,Закрытые!$B$5:$B$300,"L-*"),8)))</f>
        <v/>
      </c>
      <c r="J290" s="247" t="str">
        <f>IF($B290="","",IF(COUNTIFS(Лэндинг!$E$5:$E$300,$B290)+COUNTIFS(Закрытые!$E$5:$E$300,$B290,Закрытые!$B$5:$B$300,"L-*")=0,"",ROUND(SUMIFS(Лэндинг!$M$5:$M$300,Лэндинг!$E$5:$E$300,$B290)+SUMIFS(Закрытые!$M$5:$M$300,Закрытые!$E$5:$E$300,$B290,Закрытые!$B$5:$B$300,"L-*"),8)))</f>
        <v/>
      </c>
      <c r="K290" s="246" t="str">
        <f>IF(MIN(N(C290),N(F290))&lt;=0,"",ROUND(MIN(N(C290),N(F290))*(N(G290)-N(D290)),8))</f>
        <v/>
      </c>
      <c r="L290" s="183" t="str">
        <f>IF(MIN(N(C290),N(F290))&lt;=0,"",IF(N(D290)=0,"",ROUND((N(G290)/N(D290)-1)*100,2)))</f>
        <v/>
      </c>
      <c r="M290" s="183" t="str">
        <f>IF(OR(ROUND(N(C290)-N(F290),8)=0,1-N(Ввод!$J$19)/100&lt;=0),"",IF(N(C290)&gt;N(F290),(N(E290)-N(H290))/((N(C290)-N(F290))*(1-N(Ввод!$J$19)/100)),(N(H290)-N(E290))/((N(F290)-N(C290))*(1+N(Ввод!$J$19)/100))))</f>
        <v/>
      </c>
    </row>
    <row r="291" ht="22" customHeight="1">
      <c r="B291" s="239" t="n"/>
      <c r="C291" s="240" t="str">
        <f>IF(SUMIFS(Лэндинг!$F$5:$F$300,Лэндинг!$E$5:$E$300,$B291)+SUMIFS(Закрытые!$F$5:$F$300,Закрытые!$E$5:$E$300,$B291,Закрытые!$B$5:$B$300,"L-*")=0,"",SUMIFS(Лэндинг!$F$5:$F$300,Лэндинг!$E$5:$E$300,$B291)+SUMIFS(Закрытые!$F$5:$F$300,Закрытые!$E$5:$E$300,$B291,Закрытые!$B$5:$B$300,"L-*"))</f>
        <v/>
      </c>
      <c r="D291" s="177" t="str">
        <f>IF(C291="","",(SUMPRODUCT((Лэндинг!$E$5:$E$300=$B291)*Лэндинг!$F$5:$F$300*Лэндинг!$G$5:$G$300)+SUMPRODUCT((Закрытые!$E$5:$E$300=$B291)*(LEFT(Закрытые!$B$5:$B$300,2)="L-")*Закрытые!$F$5:$F$300*Закрытые!$G$5:$G$300))/C291)</f>
        <v/>
      </c>
      <c r="E291" s="241" t="str">
        <f>IF(C291="","",SUMIFS(Лэндинг!$H$5:$H$300,Лэндинг!$E$5:$E$300,$B291)+SUMIFS(Закрытые!$H$5:$H$300,Закрытые!$E$5:$E$300,$B291,Закрытые!$B$5:$B$300,"L-*"))</f>
        <v/>
      </c>
      <c r="F291" s="240" t="str">
        <f>IF(SUMIFS(Лэндинг!$I$5:$I$300,Лэндинг!$E$5:$E$300,$B291)+SUMIFS(Закрытые!$I$5:$I$300,Закрытые!$E$5:$E$300,$B291,Закрытые!$B$5:$B$300,"L-*")=0,"",SUMIFS(Лэндинг!$I$5:$I$300,Лэндинг!$E$5:$E$300,$B291)+SUMIFS(Закрытые!$I$5:$I$300,Закрытые!$E$5:$E$300,$B291,Закрытые!$B$5:$B$300,"L-*"))</f>
        <v/>
      </c>
      <c r="G291" s="177" t="str">
        <f>IF(F291="","",(SUMPRODUCT((Лэндинг!$E$5:$E$300=$B291)*Лэндинг!$I$5:$I$300*Лэндинг!$J$5:$J$300)+SUMPRODUCT((Закрытые!$E$5:$E$300=$B291)*(LEFT(Закрытые!$B$5:$B$300,2)="L-")*Закрытые!$I$5:$I$300*Закрытые!$J$5:$J$300))/F291)</f>
        <v/>
      </c>
      <c r="H291" s="241" t="str">
        <f>IF(F291="","",SUMIFS(Лэндинг!$K$5:$K$300,Лэндинг!$E$5:$E$300,$B291)+SUMIFS(Закрытые!$K$5:$K$300,Закрытые!$E$5:$E$300,$B291,Закрытые!$B$5:$B$300,"L-*"))</f>
        <v/>
      </c>
      <c r="I291" s="240" t="str">
        <f>IF($B291="","",IF(COUNTIFS(Лэндинг!$E$5:$E$300,$B291)+COUNTIFS(Закрытые!$E$5:$E$300,$B291,Закрытые!$B$5:$B$300,"L-*")=0,"",ROUND(SUMIFS(Лэндинг!$L$5:$L$300,Лэндинг!$E$5:$E$300,$B291)+SUMIFS(Закрытые!$L$5:$L$300,Закрытые!$E$5:$E$300,$B291,Закрытые!$B$5:$B$300,"L-*"),8)))</f>
        <v/>
      </c>
      <c r="J291" s="241" t="str">
        <f>IF($B291="","",IF(COUNTIFS(Лэндинг!$E$5:$E$300,$B291)+COUNTIFS(Закрытые!$E$5:$E$300,$B291,Закрытые!$B$5:$B$300,"L-*")=0,"",ROUND(SUMIFS(Лэндинг!$M$5:$M$300,Лэндинг!$E$5:$E$300,$B291)+SUMIFS(Закрытые!$M$5:$M$300,Закрытые!$E$5:$E$300,$B291,Закрытые!$B$5:$B$300,"L-*"),8)))</f>
        <v/>
      </c>
      <c r="K291" s="240" t="str">
        <f>IF(MIN(N(C291),N(F291))&lt;=0,"",ROUND(MIN(N(C291),N(F291))*(N(G291)-N(D291)),8))</f>
        <v/>
      </c>
      <c r="L291" s="177" t="str">
        <f>IF(MIN(N(C291),N(F291))&lt;=0,"",IF(N(D291)=0,"",ROUND((N(G291)/N(D291)-1)*100,2)))</f>
        <v/>
      </c>
      <c r="M291" s="177" t="str">
        <f>IF(OR(ROUND(N(C291)-N(F291),8)=0,1-N(Ввод!$J$19)/100&lt;=0),"",IF(N(C291)&gt;N(F291),(N(E291)-N(H291))/((N(C291)-N(F291))*(1-N(Ввод!$J$19)/100)),(N(H291)-N(E291))/((N(F291)-N(C291))*(1+N(Ввод!$J$19)/100))))</f>
        <v/>
      </c>
    </row>
    <row r="292" ht="22" customHeight="1">
      <c r="B292" s="245" t="n"/>
      <c r="C292" s="246" t="str">
        <f>IF(SUMIFS(Лэндинг!$F$5:$F$300,Лэндинг!$E$5:$E$300,$B292)+SUMIFS(Закрытые!$F$5:$F$300,Закрытые!$E$5:$E$300,$B292,Закрытые!$B$5:$B$300,"L-*")=0,"",SUMIFS(Лэндинг!$F$5:$F$300,Лэндинг!$E$5:$E$300,$B292)+SUMIFS(Закрытые!$F$5:$F$300,Закрытые!$E$5:$E$300,$B292,Закрытые!$B$5:$B$300,"L-*"))</f>
        <v/>
      </c>
      <c r="D292" s="183" t="str">
        <f>IF(C292="","",(SUMPRODUCT((Лэндинг!$E$5:$E$300=$B292)*Лэндинг!$F$5:$F$300*Лэндинг!$G$5:$G$300)+SUMPRODUCT((Закрытые!$E$5:$E$300=$B292)*(LEFT(Закрытые!$B$5:$B$300,2)="L-")*Закрытые!$F$5:$F$300*Закрытые!$G$5:$G$300))/C292)</f>
        <v/>
      </c>
      <c r="E292" s="247" t="str">
        <f>IF(C292="","",SUMIFS(Лэндинг!$H$5:$H$300,Лэндинг!$E$5:$E$300,$B292)+SUMIFS(Закрытые!$H$5:$H$300,Закрытые!$E$5:$E$300,$B292,Закрытые!$B$5:$B$300,"L-*"))</f>
        <v/>
      </c>
      <c r="F292" s="246" t="str">
        <f>IF(SUMIFS(Лэндинг!$I$5:$I$300,Лэндинг!$E$5:$E$300,$B292)+SUMIFS(Закрытые!$I$5:$I$300,Закрытые!$E$5:$E$300,$B292,Закрытые!$B$5:$B$300,"L-*")=0,"",SUMIFS(Лэндинг!$I$5:$I$300,Лэндинг!$E$5:$E$300,$B292)+SUMIFS(Закрытые!$I$5:$I$300,Закрытые!$E$5:$E$300,$B292,Закрытые!$B$5:$B$300,"L-*"))</f>
        <v/>
      </c>
      <c r="G292" s="183" t="str">
        <f>IF(F292="","",(SUMPRODUCT((Лэндинг!$E$5:$E$300=$B292)*Лэндинг!$I$5:$I$300*Лэндинг!$J$5:$J$300)+SUMPRODUCT((Закрытые!$E$5:$E$300=$B292)*(LEFT(Закрытые!$B$5:$B$300,2)="L-")*Закрытые!$I$5:$I$300*Закрытые!$J$5:$J$300))/F292)</f>
        <v/>
      </c>
      <c r="H292" s="247" t="str">
        <f>IF(F292="","",SUMIFS(Лэндинг!$K$5:$K$300,Лэндинг!$E$5:$E$300,$B292)+SUMIFS(Закрытые!$K$5:$K$300,Закрытые!$E$5:$E$300,$B292,Закрытые!$B$5:$B$300,"L-*"))</f>
        <v/>
      </c>
      <c r="I292" s="246" t="str">
        <f>IF($B292="","",IF(COUNTIFS(Лэндинг!$E$5:$E$300,$B292)+COUNTIFS(Закрытые!$E$5:$E$300,$B292,Закрытые!$B$5:$B$300,"L-*")=0,"",ROUND(SUMIFS(Лэндинг!$L$5:$L$300,Лэндинг!$E$5:$E$300,$B292)+SUMIFS(Закрытые!$L$5:$L$300,Закрытые!$E$5:$E$300,$B292,Закрытые!$B$5:$B$300,"L-*"),8)))</f>
        <v/>
      </c>
      <c r="J292" s="247" t="str">
        <f>IF($B292="","",IF(COUNTIFS(Лэндинг!$E$5:$E$300,$B292)+COUNTIFS(Закрытые!$E$5:$E$300,$B292,Закрытые!$B$5:$B$300,"L-*")=0,"",ROUND(SUMIFS(Лэндинг!$M$5:$M$300,Лэндинг!$E$5:$E$300,$B292)+SUMIFS(Закрытые!$M$5:$M$300,Закрытые!$E$5:$E$300,$B292,Закрытые!$B$5:$B$300,"L-*"),8)))</f>
        <v/>
      </c>
      <c r="K292" s="246" t="str">
        <f>IF(MIN(N(C292),N(F292))&lt;=0,"",ROUND(MIN(N(C292),N(F292))*(N(G292)-N(D292)),8))</f>
        <v/>
      </c>
      <c r="L292" s="183" t="str">
        <f>IF(MIN(N(C292),N(F292))&lt;=0,"",IF(N(D292)=0,"",ROUND((N(G292)/N(D292)-1)*100,2)))</f>
        <v/>
      </c>
      <c r="M292" s="183" t="str">
        <f>IF(OR(ROUND(N(C292)-N(F292),8)=0,1-N(Ввод!$J$19)/100&lt;=0),"",IF(N(C292)&gt;N(F292),(N(E292)-N(H292))/((N(C292)-N(F292))*(1-N(Ввод!$J$19)/100)),(N(H292)-N(E292))/((N(F292)-N(C292))*(1+N(Ввод!$J$19)/100))))</f>
        <v/>
      </c>
    </row>
    <row r="293" ht="22" customHeight="1">
      <c r="B293" s="239" t="n"/>
      <c r="C293" s="240" t="str">
        <f>IF(SUMIFS(Лэндинг!$F$5:$F$300,Лэндинг!$E$5:$E$300,$B293)+SUMIFS(Закрытые!$F$5:$F$300,Закрытые!$E$5:$E$300,$B293,Закрытые!$B$5:$B$300,"L-*")=0,"",SUMIFS(Лэндинг!$F$5:$F$300,Лэндинг!$E$5:$E$300,$B293)+SUMIFS(Закрытые!$F$5:$F$300,Закрытые!$E$5:$E$300,$B293,Закрытые!$B$5:$B$300,"L-*"))</f>
        <v/>
      </c>
      <c r="D293" s="177" t="str">
        <f>IF(C293="","",(SUMPRODUCT((Лэндинг!$E$5:$E$300=$B293)*Лэндинг!$F$5:$F$300*Лэндинг!$G$5:$G$300)+SUMPRODUCT((Закрытые!$E$5:$E$300=$B293)*(LEFT(Закрытые!$B$5:$B$300,2)="L-")*Закрытые!$F$5:$F$300*Закрытые!$G$5:$G$300))/C293)</f>
        <v/>
      </c>
      <c r="E293" s="241" t="str">
        <f>IF(C293="","",SUMIFS(Лэндинг!$H$5:$H$300,Лэндинг!$E$5:$E$300,$B293)+SUMIFS(Закрытые!$H$5:$H$300,Закрытые!$E$5:$E$300,$B293,Закрытые!$B$5:$B$300,"L-*"))</f>
        <v/>
      </c>
      <c r="F293" s="240" t="str">
        <f>IF(SUMIFS(Лэндинг!$I$5:$I$300,Лэндинг!$E$5:$E$300,$B293)+SUMIFS(Закрытые!$I$5:$I$300,Закрытые!$E$5:$E$300,$B293,Закрытые!$B$5:$B$300,"L-*")=0,"",SUMIFS(Лэндинг!$I$5:$I$300,Лэндинг!$E$5:$E$300,$B293)+SUMIFS(Закрытые!$I$5:$I$300,Закрытые!$E$5:$E$300,$B293,Закрытые!$B$5:$B$300,"L-*"))</f>
        <v/>
      </c>
      <c r="G293" s="177" t="str">
        <f>IF(F293="","",(SUMPRODUCT((Лэндинг!$E$5:$E$300=$B293)*Лэндинг!$I$5:$I$300*Лэндинг!$J$5:$J$300)+SUMPRODUCT((Закрытые!$E$5:$E$300=$B293)*(LEFT(Закрытые!$B$5:$B$300,2)="L-")*Закрытые!$I$5:$I$300*Закрытые!$J$5:$J$300))/F293)</f>
        <v/>
      </c>
      <c r="H293" s="241" t="str">
        <f>IF(F293="","",SUMIFS(Лэндинг!$K$5:$K$300,Лэндинг!$E$5:$E$300,$B293)+SUMIFS(Закрытые!$K$5:$K$300,Закрытые!$E$5:$E$300,$B293,Закрытые!$B$5:$B$300,"L-*"))</f>
        <v/>
      </c>
      <c r="I293" s="240" t="str">
        <f>IF($B293="","",IF(COUNTIFS(Лэндинг!$E$5:$E$300,$B293)+COUNTIFS(Закрытые!$E$5:$E$300,$B293,Закрытые!$B$5:$B$300,"L-*")=0,"",ROUND(SUMIFS(Лэндинг!$L$5:$L$300,Лэндинг!$E$5:$E$300,$B293)+SUMIFS(Закрытые!$L$5:$L$300,Закрытые!$E$5:$E$300,$B293,Закрытые!$B$5:$B$300,"L-*"),8)))</f>
        <v/>
      </c>
      <c r="J293" s="241" t="str">
        <f>IF($B293="","",IF(COUNTIFS(Лэндинг!$E$5:$E$300,$B293)+COUNTIFS(Закрытые!$E$5:$E$300,$B293,Закрытые!$B$5:$B$300,"L-*")=0,"",ROUND(SUMIFS(Лэндинг!$M$5:$M$300,Лэндинг!$E$5:$E$300,$B293)+SUMIFS(Закрытые!$M$5:$M$300,Закрытые!$E$5:$E$300,$B293,Закрытые!$B$5:$B$300,"L-*"),8)))</f>
        <v/>
      </c>
      <c r="K293" s="240" t="str">
        <f>IF(MIN(N(C293),N(F293))&lt;=0,"",ROUND(MIN(N(C293),N(F293))*(N(G293)-N(D293)),8))</f>
        <v/>
      </c>
      <c r="L293" s="177" t="str">
        <f>IF(MIN(N(C293),N(F293))&lt;=0,"",IF(N(D293)=0,"",ROUND((N(G293)/N(D293)-1)*100,2)))</f>
        <v/>
      </c>
      <c r="M293" s="177" t="str">
        <f>IF(OR(ROUND(N(C293)-N(F293),8)=0,1-N(Ввод!$J$19)/100&lt;=0),"",IF(N(C293)&gt;N(F293),(N(E293)-N(H293))/((N(C293)-N(F293))*(1-N(Ввод!$J$19)/100)),(N(H293)-N(E293))/((N(F293)-N(C293))*(1+N(Ввод!$J$19)/100))))</f>
        <v/>
      </c>
    </row>
    <row r="294" ht="22" customHeight="1">
      <c r="B294" s="245" t="n"/>
      <c r="C294" s="246" t="str">
        <f>IF(SUMIFS(Лэндинг!$F$5:$F$300,Лэндинг!$E$5:$E$300,$B294)+SUMIFS(Закрытые!$F$5:$F$300,Закрытые!$E$5:$E$300,$B294,Закрытые!$B$5:$B$300,"L-*")=0,"",SUMIFS(Лэндинг!$F$5:$F$300,Лэндинг!$E$5:$E$300,$B294)+SUMIFS(Закрытые!$F$5:$F$300,Закрытые!$E$5:$E$300,$B294,Закрытые!$B$5:$B$300,"L-*"))</f>
        <v/>
      </c>
      <c r="D294" s="183" t="str">
        <f>IF(C294="","",(SUMPRODUCT((Лэндинг!$E$5:$E$300=$B294)*Лэндинг!$F$5:$F$300*Лэндинг!$G$5:$G$300)+SUMPRODUCT((Закрытые!$E$5:$E$300=$B294)*(LEFT(Закрытые!$B$5:$B$300,2)="L-")*Закрытые!$F$5:$F$300*Закрытые!$G$5:$G$300))/C294)</f>
        <v/>
      </c>
      <c r="E294" s="247" t="str">
        <f>IF(C294="","",SUMIFS(Лэндинг!$H$5:$H$300,Лэндинг!$E$5:$E$300,$B294)+SUMIFS(Закрытые!$H$5:$H$300,Закрытые!$E$5:$E$300,$B294,Закрытые!$B$5:$B$300,"L-*"))</f>
        <v/>
      </c>
      <c r="F294" s="246" t="str">
        <f>IF(SUMIFS(Лэндинг!$I$5:$I$300,Лэндинг!$E$5:$E$300,$B294)+SUMIFS(Закрытые!$I$5:$I$300,Закрытые!$E$5:$E$300,$B294,Закрытые!$B$5:$B$300,"L-*")=0,"",SUMIFS(Лэндинг!$I$5:$I$300,Лэндинг!$E$5:$E$300,$B294)+SUMIFS(Закрытые!$I$5:$I$300,Закрытые!$E$5:$E$300,$B294,Закрытые!$B$5:$B$300,"L-*"))</f>
        <v/>
      </c>
      <c r="G294" s="183" t="str">
        <f>IF(F294="","",(SUMPRODUCT((Лэндинг!$E$5:$E$300=$B294)*Лэндинг!$I$5:$I$300*Лэндинг!$J$5:$J$300)+SUMPRODUCT((Закрытые!$E$5:$E$300=$B294)*(LEFT(Закрытые!$B$5:$B$300,2)="L-")*Закрытые!$I$5:$I$300*Закрытые!$J$5:$J$300))/F294)</f>
        <v/>
      </c>
      <c r="H294" s="247" t="str">
        <f>IF(F294="","",SUMIFS(Лэндинг!$K$5:$K$300,Лэндинг!$E$5:$E$300,$B294)+SUMIFS(Закрытые!$K$5:$K$300,Закрытые!$E$5:$E$300,$B294,Закрытые!$B$5:$B$300,"L-*"))</f>
        <v/>
      </c>
      <c r="I294" s="246" t="str">
        <f>IF($B294="","",IF(COUNTIFS(Лэндинг!$E$5:$E$300,$B294)+COUNTIFS(Закрытые!$E$5:$E$300,$B294,Закрытые!$B$5:$B$300,"L-*")=0,"",ROUND(SUMIFS(Лэндинг!$L$5:$L$300,Лэндинг!$E$5:$E$300,$B294)+SUMIFS(Закрытые!$L$5:$L$300,Закрытые!$E$5:$E$300,$B294,Закрытые!$B$5:$B$300,"L-*"),8)))</f>
        <v/>
      </c>
      <c r="J294" s="247" t="str">
        <f>IF($B294="","",IF(COUNTIFS(Лэндинг!$E$5:$E$300,$B294)+COUNTIFS(Закрытые!$E$5:$E$300,$B294,Закрытые!$B$5:$B$300,"L-*")=0,"",ROUND(SUMIFS(Лэндинг!$M$5:$M$300,Лэндинг!$E$5:$E$300,$B294)+SUMIFS(Закрытые!$M$5:$M$300,Закрытые!$E$5:$E$300,$B294,Закрытые!$B$5:$B$300,"L-*"),8)))</f>
        <v/>
      </c>
      <c r="K294" s="246" t="str">
        <f>IF(MIN(N(C294),N(F294))&lt;=0,"",ROUND(MIN(N(C294),N(F294))*(N(G294)-N(D294)),8))</f>
        <v/>
      </c>
      <c r="L294" s="183" t="str">
        <f>IF(MIN(N(C294),N(F294))&lt;=0,"",IF(N(D294)=0,"",ROUND((N(G294)/N(D294)-1)*100,2)))</f>
        <v/>
      </c>
      <c r="M294" s="183" t="str">
        <f>IF(OR(ROUND(N(C294)-N(F294),8)=0,1-N(Ввод!$J$19)/100&lt;=0),"",IF(N(C294)&gt;N(F294),(N(E294)-N(H294))/((N(C294)-N(F294))*(1-N(Ввод!$J$19)/100)),(N(H294)-N(E294))/((N(F294)-N(C294))*(1+N(Ввод!$J$19)/100))))</f>
        <v/>
      </c>
    </row>
    <row r="295" ht="22" customHeight="1">
      <c r="B295" s="239" t="n"/>
      <c r="C295" s="240" t="str">
        <f>IF(SUMIFS(Лэндинг!$F$5:$F$300,Лэндинг!$E$5:$E$300,$B295)+SUMIFS(Закрытые!$F$5:$F$300,Закрытые!$E$5:$E$300,$B295,Закрытые!$B$5:$B$300,"L-*")=0,"",SUMIFS(Лэндинг!$F$5:$F$300,Лэндинг!$E$5:$E$300,$B295)+SUMIFS(Закрытые!$F$5:$F$300,Закрытые!$E$5:$E$300,$B295,Закрытые!$B$5:$B$300,"L-*"))</f>
        <v/>
      </c>
      <c r="D295" s="177" t="str">
        <f>IF(C295="","",(SUMPRODUCT((Лэндинг!$E$5:$E$300=$B295)*Лэндинг!$F$5:$F$300*Лэндинг!$G$5:$G$300)+SUMPRODUCT((Закрытые!$E$5:$E$300=$B295)*(LEFT(Закрытые!$B$5:$B$300,2)="L-")*Закрытые!$F$5:$F$300*Закрытые!$G$5:$G$300))/C295)</f>
        <v/>
      </c>
      <c r="E295" s="241" t="str">
        <f>IF(C295="","",SUMIFS(Лэндинг!$H$5:$H$300,Лэндинг!$E$5:$E$300,$B295)+SUMIFS(Закрытые!$H$5:$H$300,Закрытые!$E$5:$E$300,$B295,Закрытые!$B$5:$B$300,"L-*"))</f>
        <v/>
      </c>
      <c r="F295" s="240" t="str">
        <f>IF(SUMIFS(Лэндинг!$I$5:$I$300,Лэндинг!$E$5:$E$300,$B295)+SUMIFS(Закрытые!$I$5:$I$300,Закрытые!$E$5:$E$300,$B295,Закрытые!$B$5:$B$300,"L-*")=0,"",SUMIFS(Лэндинг!$I$5:$I$300,Лэндинг!$E$5:$E$300,$B295)+SUMIFS(Закрытые!$I$5:$I$300,Закрытые!$E$5:$E$300,$B295,Закрытые!$B$5:$B$300,"L-*"))</f>
        <v/>
      </c>
      <c r="G295" s="177" t="str">
        <f>IF(F295="","",(SUMPRODUCT((Лэндинг!$E$5:$E$300=$B295)*Лэндинг!$I$5:$I$300*Лэндинг!$J$5:$J$300)+SUMPRODUCT((Закрытые!$E$5:$E$300=$B295)*(LEFT(Закрытые!$B$5:$B$300,2)="L-")*Закрытые!$I$5:$I$300*Закрытые!$J$5:$J$300))/F295)</f>
        <v/>
      </c>
      <c r="H295" s="241" t="str">
        <f>IF(F295="","",SUMIFS(Лэндинг!$K$5:$K$300,Лэндинг!$E$5:$E$300,$B295)+SUMIFS(Закрытые!$K$5:$K$300,Закрытые!$E$5:$E$300,$B295,Закрытые!$B$5:$B$300,"L-*"))</f>
        <v/>
      </c>
      <c r="I295" s="240" t="str">
        <f>IF($B295="","",IF(COUNTIFS(Лэндинг!$E$5:$E$300,$B295)+COUNTIFS(Закрытые!$E$5:$E$300,$B295,Закрытые!$B$5:$B$300,"L-*")=0,"",ROUND(SUMIFS(Лэндинг!$L$5:$L$300,Лэндинг!$E$5:$E$300,$B295)+SUMIFS(Закрытые!$L$5:$L$300,Закрытые!$E$5:$E$300,$B295,Закрытые!$B$5:$B$300,"L-*"),8)))</f>
        <v/>
      </c>
      <c r="J295" s="241" t="str">
        <f>IF($B295="","",IF(COUNTIFS(Лэндинг!$E$5:$E$300,$B295)+COUNTIFS(Закрытые!$E$5:$E$300,$B295,Закрытые!$B$5:$B$300,"L-*")=0,"",ROUND(SUMIFS(Лэндинг!$M$5:$M$300,Лэндинг!$E$5:$E$300,$B295)+SUMIFS(Закрытые!$M$5:$M$300,Закрытые!$E$5:$E$300,$B295,Закрытые!$B$5:$B$300,"L-*"),8)))</f>
        <v/>
      </c>
      <c r="K295" s="240" t="str">
        <f>IF(MIN(N(C295),N(F295))&lt;=0,"",ROUND(MIN(N(C295),N(F295))*(N(G295)-N(D295)),8))</f>
        <v/>
      </c>
      <c r="L295" s="177" t="str">
        <f>IF(MIN(N(C295),N(F295))&lt;=0,"",IF(N(D295)=0,"",ROUND((N(G295)/N(D295)-1)*100,2)))</f>
        <v/>
      </c>
      <c r="M295" s="177" t="str">
        <f>IF(OR(ROUND(N(C295)-N(F295),8)=0,1-N(Ввод!$J$19)/100&lt;=0),"",IF(N(C295)&gt;N(F295),(N(E295)-N(H295))/((N(C295)-N(F295))*(1-N(Ввод!$J$19)/100)),(N(H295)-N(E295))/((N(F295)-N(C295))*(1+N(Ввод!$J$19)/100))))</f>
        <v/>
      </c>
    </row>
    <row r="296" ht="22" customHeight="1">
      <c r="B296" s="245" t="n"/>
      <c r="C296" s="246" t="str">
        <f>IF(SUMIFS(Лэндинг!$F$5:$F$300,Лэндинг!$E$5:$E$300,$B296)+SUMIFS(Закрытые!$F$5:$F$300,Закрытые!$E$5:$E$300,$B296,Закрытые!$B$5:$B$300,"L-*")=0,"",SUMIFS(Лэндинг!$F$5:$F$300,Лэндинг!$E$5:$E$300,$B296)+SUMIFS(Закрытые!$F$5:$F$300,Закрытые!$E$5:$E$300,$B296,Закрытые!$B$5:$B$300,"L-*"))</f>
        <v/>
      </c>
      <c r="D296" s="183" t="str">
        <f>IF(C296="","",(SUMPRODUCT((Лэндинг!$E$5:$E$300=$B296)*Лэндинг!$F$5:$F$300*Лэндинг!$G$5:$G$300)+SUMPRODUCT((Закрытые!$E$5:$E$300=$B296)*(LEFT(Закрытые!$B$5:$B$300,2)="L-")*Закрытые!$F$5:$F$300*Закрытые!$G$5:$G$300))/C296)</f>
        <v/>
      </c>
      <c r="E296" s="247" t="str">
        <f>IF(C296="","",SUMIFS(Лэндинг!$H$5:$H$300,Лэндинг!$E$5:$E$300,$B296)+SUMIFS(Закрытые!$H$5:$H$300,Закрытые!$E$5:$E$300,$B296,Закрытые!$B$5:$B$300,"L-*"))</f>
        <v/>
      </c>
      <c r="F296" s="246" t="str">
        <f>IF(SUMIFS(Лэндинг!$I$5:$I$300,Лэндинг!$E$5:$E$300,$B296)+SUMIFS(Закрытые!$I$5:$I$300,Закрытые!$E$5:$E$300,$B296,Закрытые!$B$5:$B$300,"L-*")=0,"",SUMIFS(Лэндинг!$I$5:$I$300,Лэндинг!$E$5:$E$300,$B296)+SUMIFS(Закрытые!$I$5:$I$300,Закрытые!$E$5:$E$300,$B296,Закрытые!$B$5:$B$300,"L-*"))</f>
        <v/>
      </c>
      <c r="G296" s="183" t="str">
        <f>IF(F296="","",(SUMPRODUCT((Лэндинг!$E$5:$E$300=$B296)*Лэндинг!$I$5:$I$300*Лэндинг!$J$5:$J$300)+SUMPRODUCT((Закрытые!$E$5:$E$300=$B296)*(LEFT(Закрытые!$B$5:$B$300,2)="L-")*Закрытые!$I$5:$I$300*Закрытые!$J$5:$J$300))/F296)</f>
        <v/>
      </c>
      <c r="H296" s="247" t="str">
        <f>IF(F296="","",SUMIFS(Лэндинг!$K$5:$K$300,Лэндинг!$E$5:$E$300,$B296)+SUMIFS(Закрытые!$K$5:$K$300,Закрытые!$E$5:$E$300,$B296,Закрытые!$B$5:$B$300,"L-*"))</f>
        <v/>
      </c>
      <c r="I296" s="246" t="str">
        <f>IF($B296="","",IF(COUNTIFS(Лэндинг!$E$5:$E$300,$B296)+COUNTIFS(Закрытые!$E$5:$E$300,$B296,Закрытые!$B$5:$B$300,"L-*")=0,"",ROUND(SUMIFS(Лэндинг!$L$5:$L$300,Лэндинг!$E$5:$E$300,$B296)+SUMIFS(Закрытые!$L$5:$L$300,Закрытые!$E$5:$E$300,$B296,Закрытые!$B$5:$B$300,"L-*"),8)))</f>
        <v/>
      </c>
      <c r="J296" s="247" t="str">
        <f>IF($B296="","",IF(COUNTIFS(Лэндинг!$E$5:$E$300,$B296)+COUNTIFS(Закрытые!$E$5:$E$300,$B296,Закрытые!$B$5:$B$300,"L-*")=0,"",ROUND(SUMIFS(Лэндинг!$M$5:$M$300,Лэндинг!$E$5:$E$300,$B296)+SUMIFS(Закрытые!$M$5:$M$300,Закрытые!$E$5:$E$300,$B296,Закрытые!$B$5:$B$300,"L-*"),8)))</f>
        <v/>
      </c>
      <c r="K296" s="246" t="str">
        <f>IF(MIN(N(C296),N(F296))&lt;=0,"",ROUND(MIN(N(C296),N(F296))*(N(G296)-N(D296)),8))</f>
        <v/>
      </c>
      <c r="L296" s="183" t="str">
        <f>IF(MIN(N(C296),N(F296))&lt;=0,"",IF(N(D296)=0,"",ROUND((N(G296)/N(D296)-1)*100,2)))</f>
        <v/>
      </c>
      <c r="M296" s="183" t="str">
        <f>IF(OR(ROUND(N(C296)-N(F296),8)=0,1-N(Ввод!$J$19)/100&lt;=0),"",IF(N(C296)&gt;N(F296),(N(E296)-N(H296))/((N(C296)-N(F296))*(1-N(Ввод!$J$19)/100)),(N(H296)-N(E296))/((N(F296)-N(C296))*(1+N(Ввод!$J$19)/100))))</f>
        <v/>
      </c>
    </row>
    <row r="297" ht="22" customHeight="1">
      <c r="B297" s="239" t="n"/>
      <c r="C297" s="240" t="str">
        <f>IF(SUMIFS(Лэндинг!$F$5:$F$300,Лэндинг!$E$5:$E$300,$B297)+SUMIFS(Закрытые!$F$5:$F$300,Закрытые!$E$5:$E$300,$B297,Закрытые!$B$5:$B$300,"L-*")=0,"",SUMIFS(Лэндинг!$F$5:$F$300,Лэндинг!$E$5:$E$300,$B297)+SUMIFS(Закрытые!$F$5:$F$300,Закрытые!$E$5:$E$300,$B297,Закрытые!$B$5:$B$300,"L-*"))</f>
        <v/>
      </c>
      <c r="D297" s="177" t="str">
        <f>IF(C297="","",(SUMPRODUCT((Лэндинг!$E$5:$E$300=$B297)*Лэндинг!$F$5:$F$300*Лэндинг!$G$5:$G$300)+SUMPRODUCT((Закрытые!$E$5:$E$300=$B297)*(LEFT(Закрытые!$B$5:$B$300,2)="L-")*Закрытые!$F$5:$F$300*Закрытые!$G$5:$G$300))/C297)</f>
        <v/>
      </c>
      <c r="E297" s="241" t="str">
        <f>IF(C297="","",SUMIFS(Лэндинг!$H$5:$H$300,Лэндинг!$E$5:$E$300,$B297)+SUMIFS(Закрытые!$H$5:$H$300,Закрытые!$E$5:$E$300,$B297,Закрытые!$B$5:$B$300,"L-*"))</f>
        <v/>
      </c>
      <c r="F297" s="240" t="str">
        <f>IF(SUMIFS(Лэндинг!$I$5:$I$300,Лэндинг!$E$5:$E$300,$B297)+SUMIFS(Закрытые!$I$5:$I$300,Закрытые!$E$5:$E$300,$B297,Закрытые!$B$5:$B$300,"L-*")=0,"",SUMIFS(Лэндинг!$I$5:$I$300,Лэндинг!$E$5:$E$300,$B297)+SUMIFS(Закрытые!$I$5:$I$300,Закрытые!$E$5:$E$300,$B297,Закрытые!$B$5:$B$300,"L-*"))</f>
        <v/>
      </c>
      <c r="G297" s="177" t="str">
        <f>IF(F297="","",(SUMPRODUCT((Лэндинг!$E$5:$E$300=$B297)*Лэндинг!$I$5:$I$300*Лэндинг!$J$5:$J$300)+SUMPRODUCT((Закрытые!$E$5:$E$300=$B297)*(LEFT(Закрытые!$B$5:$B$300,2)="L-")*Закрытые!$I$5:$I$300*Закрытые!$J$5:$J$300))/F297)</f>
        <v/>
      </c>
      <c r="H297" s="241" t="str">
        <f>IF(F297="","",SUMIFS(Лэндинг!$K$5:$K$300,Лэндинг!$E$5:$E$300,$B297)+SUMIFS(Закрытые!$K$5:$K$300,Закрытые!$E$5:$E$300,$B297,Закрытые!$B$5:$B$300,"L-*"))</f>
        <v/>
      </c>
      <c r="I297" s="240" t="str">
        <f>IF($B297="","",IF(COUNTIFS(Лэндинг!$E$5:$E$300,$B297)+COUNTIFS(Закрытые!$E$5:$E$300,$B297,Закрытые!$B$5:$B$300,"L-*")=0,"",ROUND(SUMIFS(Лэндинг!$L$5:$L$300,Лэндинг!$E$5:$E$300,$B297)+SUMIFS(Закрытые!$L$5:$L$300,Закрытые!$E$5:$E$300,$B297,Закрытые!$B$5:$B$300,"L-*"),8)))</f>
        <v/>
      </c>
      <c r="J297" s="241" t="str">
        <f>IF($B297="","",IF(COUNTIFS(Лэндинг!$E$5:$E$300,$B297)+COUNTIFS(Закрытые!$E$5:$E$300,$B297,Закрытые!$B$5:$B$300,"L-*")=0,"",ROUND(SUMIFS(Лэндинг!$M$5:$M$300,Лэндинг!$E$5:$E$300,$B297)+SUMIFS(Закрытые!$M$5:$M$300,Закрытые!$E$5:$E$300,$B297,Закрытые!$B$5:$B$300,"L-*"),8)))</f>
        <v/>
      </c>
      <c r="K297" s="240" t="str">
        <f>IF(MIN(N(C297),N(F297))&lt;=0,"",ROUND(MIN(N(C297),N(F297))*(N(G297)-N(D297)),8))</f>
        <v/>
      </c>
      <c r="L297" s="177" t="str">
        <f>IF(MIN(N(C297),N(F297))&lt;=0,"",IF(N(D297)=0,"",ROUND((N(G297)/N(D297)-1)*100,2)))</f>
        <v/>
      </c>
      <c r="M297" s="177" t="str">
        <f>IF(OR(ROUND(N(C297)-N(F297),8)=0,1-N(Ввод!$J$19)/100&lt;=0),"",IF(N(C297)&gt;N(F297),(N(E297)-N(H297))/((N(C297)-N(F297))*(1-N(Ввод!$J$19)/100)),(N(H297)-N(E297))/((N(F297)-N(C297))*(1+N(Ввод!$J$19)/100))))</f>
        <v/>
      </c>
    </row>
    <row r="298" ht="22" customHeight="1">
      <c r="B298" s="245" t="n"/>
      <c r="C298" s="246" t="str">
        <f>IF(SUMIFS(Лэндинг!$F$5:$F$300,Лэндинг!$E$5:$E$300,$B298)+SUMIFS(Закрытые!$F$5:$F$300,Закрытые!$E$5:$E$300,$B298,Закрытые!$B$5:$B$300,"L-*")=0,"",SUMIFS(Лэндинг!$F$5:$F$300,Лэндинг!$E$5:$E$300,$B298)+SUMIFS(Закрытые!$F$5:$F$300,Закрытые!$E$5:$E$300,$B298,Закрытые!$B$5:$B$300,"L-*"))</f>
        <v/>
      </c>
      <c r="D298" s="183" t="str">
        <f>IF(C298="","",(SUMPRODUCT((Лэндинг!$E$5:$E$300=$B298)*Лэндинг!$F$5:$F$300*Лэндинг!$G$5:$G$300)+SUMPRODUCT((Закрытые!$E$5:$E$300=$B298)*(LEFT(Закрытые!$B$5:$B$300,2)="L-")*Закрытые!$F$5:$F$300*Закрытые!$G$5:$G$300))/C298)</f>
        <v/>
      </c>
      <c r="E298" s="247" t="str">
        <f>IF(C298="","",SUMIFS(Лэндинг!$H$5:$H$300,Лэндинг!$E$5:$E$300,$B298)+SUMIFS(Закрытые!$H$5:$H$300,Закрытые!$E$5:$E$300,$B298,Закрытые!$B$5:$B$300,"L-*"))</f>
        <v/>
      </c>
      <c r="F298" s="246" t="str">
        <f>IF(SUMIFS(Лэндинг!$I$5:$I$300,Лэндинг!$E$5:$E$300,$B298)+SUMIFS(Закрытые!$I$5:$I$300,Закрытые!$E$5:$E$300,$B298,Закрытые!$B$5:$B$300,"L-*")=0,"",SUMIFS(Лэндинг!$I$5:$I$300,Лэндинг!$E$5:$E$300,$B298)+SUMIFS(Закрытые!$I$5:$I$300,Закрытые!$E$5:$E$300,$B298,Закрытые!$B$5:$B$300,"L-*"))</f>
        <v/>
      </c>
      <c r="G298" s="183" t="str">
        <f>IF(F298="","",(SUMPRODUCT((Лэндинг!$E$5:$E$300=$B298)*Лэндинг!$I$5:$I$300*Лэндинг!$J$5:$J$300)+SUMPRODUCT((Закрытые!$E$5:$E$300=$B298)*(LEFT(Закрытые!$B$5:$B$300,2)="L-")*Закрытые!$I$5:$I$300*Закрытые!$J$5:$J$300))/F298)</f>
        <v/>
      </c>
      <c r="H298" s="247" t="str">
        <f>IF(F298="","",SUMIFS(Лэндинг!$K$5:$K$300,Лэндинг!$E$5:$E$300,$B298)+SUMIFS(Закрытые!$K$5:$K$300,Закрытые!$E$5:$E$300,$B298,Закрытые!$B$5:$B$300,"L-*"))</f>
        <v/>
      </c>
      <c r="I298" s="246" t="str">
        <f>IF($B298="","",IF(COUNTIFS(Лэндинг!$E$5:$E$300,$B298)+COUNTIFS(Закрытые!$E$5:$E$300,$B298,Закрытые!$B$5:$B$300,"L-*")=0,"",ROUND(SUMIFS(Лэндинг!$L$5:$L$300,Лэндинг!$E$5:$E$300,$B298)+SUMIFS(Закрытые!$L$5:$L$300,Закрытые!$E$5:$E$300,$B298,Закрытые!$B$5:$B$300,"L-*"),8)))</f>
        <v/>
      </c>
      <c r="J298" s="247" t="str">
        <f>IF($B298="","",IF(COUNTIFS(Лэндинг!$E$5:$E$300,$B298)+COUNTIFS(Закрытые!$E$5:$E$300,$B298,Закрытые!$B$5:$B$300,"L-*")=0,"",ROUND(SUMIFS(Лэндинг!$M$5:$M$300,Лэндинг!$E$5:$E$300,$B298)+SUMIFS(Закрытые!$M$5:$M$300,Закрытые!$E$5:$E$300,$B298,Закрытые!$B$5:$B$300,"L-*"),8)))</f>
        <v/>
      </c>
      <c r="K298" s="246" t="str">
        <f>IF(MIN(N(C298),N(F298))&lt;=0,"",ROUND(MIN(N(C298),N(F298))*(N(G298)-N(D298)),8))</f>
        <v/>
      </c>
      <c r="L298" s="183" t="str">
        <f>IF(MIN(N(C298),N(F298))&lt;=0,"",IF(N(D298)=0,"",ROUND((N(G298)/N(D298)-1)*100,2)))</f>
        <v/>
      </c>
      <c r="M298" s="183" t="str">
        <f>IF(OR(ROUND(N(C298)-N(F298),8)=0,1-N(Ввод!$J$19)/100&lt;=0),"",IF(N(C298)&gt;N(F298),(N(E298)-N(H298))/((N(C298)-N(F298))*(1-N(Ввод!$J$19)/100)),(N(H298)-N(E298))/((N(F298)-N(C298))*(1+N(Ввод!$J$19)/100))))</f>
        <v/>
      </c>
    </row>
    <row r="299" ht="22" customHeight="1">
      <c r="B299" s="239" t="n"/>
      <c r="C299" s="240" t="str">
        <f>IF(SUMIFS(Лэндинг!$F$5:$F$300,Лэндинг!$E$5:$E$300,$B299)+SUMIFS(Закрытые!$F$5:$F$300,Закрытые!$E$5:$E$300,$B299,Закрытые!$B$5:$B$300,"L-*")=0,"",SUMIFS(Лэндинг!$F$5:$F$300,Лэндинг!$E$5:$E$300,$B299)+SUMIFS(Закрытые!$F$5:$F$300,Закрытые!$E$5:$E$300,$B299,Закрытые!$B$5:$B$300,"L-*"))</f>
        <v/>
      </c>
      <c r="D299" s="177" t="str">
        <f>IF(C299="","",(SUMPRODUCT((Лэндинг!$E$5:$E$300=$B299)*Лэндинг!$F$5:$F$300*Лэндинг!$G$5:$G$300)+SUMPRODUCT((Закрытые!$E$5:$E$300=$B299)*(LEFT(Закрытые!$B$5:$B$300,2)="L-")*Закрытые!$F$5:$F$300*Закрытые!$G$5:$G$300))/C299)</f>
        <v/>
      </c>
      <c r="E299" s="241" t="str">
        <f>IF(C299="","",SUMIFS(Лэндинг!$H$5:$H$300,Лэндинг!$E$5:$E$300,$B299)+SUMIFS(Закрытые!$H$5:$H$300,Закрытые!$E$5:$E$300,$B299,Закрытые!$B$5:$B$300,"L-*"))</f>
        <v/>
      </c>
      <c r="F299" s="240" t="str">
        <f>IF(SUMIFS(Лэндинг!$I$5:$I$300,Лэндинг!$E$5:$E$300,$B299)+SUMIFS(Закрытые!$I$5:$I$300,Закрытые!$E$5:$E$300,$B299,Закрытые!$B$5:$B$300,"L-*")=0,"",SUMIFS(Лэндинг!$I$5:$I$300,Лэндинг!$E$5:$E$300,$B299)+SUMIFS(Закрытые!$I$5:$I$300,Закрытые!$E$5:$E$300,$B299,Закрытые!$B$5:$B$300,"L-*"))</f>
        <v/>
      </c>
      <c r="G299" s="177" t="str">
        <f>IF(F299="","",(SUMPRODUCT((Лэндинг!$E$5:$E$300=$B299)*Лэндинг!$I$5:$I$300*Лэндинг!$J$5:$J$300)+SUMPRODUCT((Закрытые!$E$5:$E$300=$B299)*(LEFT(Закрытые!$B$5:$B$300,2)="L-")*Закрытые!$I$5:$I$300*Закрытые!$J$5:$J$300))/F299)</f>
        <v/>
      </c>
      <c r="H299" s="241" t="str">
        <f>IF(F299="","",SUMIFS(Лэндинг!$K$5:$K$300,Лэндинг!$E$5:$E$300,$B299)+SUMIFS(Закрытые!$K$5:$K$300,Закрытые!$E$5:$E$300,$B299,Закрытые!$B$5:$B$300,"L-*"))</f>
        <v/>
      </c>
      <c r="I299" s="240" t="str">
        <f>IF($B299="","",IF(COUNTIFS(Лэндинг!$E$5:$E$300,$B299)+COUNTIFS(Закрытые!$E$5:$E$300,$B299,Закрытые!$B$5:$B$300,"L-*")=0,"",ROUND(SUMIFS(Лэндинг!$L$5:$L$300,Лэндинг!$E$5:$E$300,$B299)+SUMIFS(Закрытые!$L$5:$L$300,Закрытые!$E$5:$E$300,$B299,Закрытые!$B$5:$B$300,"L-*"),8)))</f>
        <v/>
      </c>
      <c r="J299" s="241" t="str">
        <f>IF($B299="","",IF(COUNTIFS(Лэндинг!$E$5:$E$300,$B299)+COUNTIFS(Закрытые!$E$5:$E$300,$B299,Закрытые!$B$5:$B$300,"L-*")=0,"",ROUND(SUMIFS(Лэндинг!$M$5:$M$300,Лэндинг!$E$5:$E$300,$B299)+SUMIFS(Закрытые!$M$5:$M$300,Закрытые!$E$5:$E$300,$B299,Закрытые!$B$5:$B$300,"L-*"),8)))</f>
        <v/>
      </c>
      <c r="K299" s="240" t="str">
        <f>IF(MIN(N(C299),N(F299))&lt;=0,"",ROUND(MIN(N(C299),N(F299))*(N(G299)-N(D299)),8))</f>
        <v/>
      </c>
      <c r="L299" s="177" t="str">
        <f>IF(MIN(N(C299),N(F299))&lt;=0,"",IF(N(D299)=0,"",ROUND((N(G299)/N(D299)-1)*100,2)))</f>
        <v/>
      </c>
      <c r="M299" s="177" t="str">
        <f>IF(OR(ROUND(N(C299)-N(F299),8)=0,1-N(Ввод!$J$19)/100&lt;=0),"",IF(N(C299)&gt;N(F299),(N(E299)-N(H299))/((N(C299)-N(F299))*(1-N(Ввод!$J$19)/100)),(N(H299)-N(E299))/((N(F299)-N(C299))*(1+N(Ввод!$J$19)/100))))</f>
        <v/>
      </c>
    </row>
    <row r="300" ht="22" customHeight="1">
      <c r="B300" s="245" t="n"/>
      <c r="C300" s="246" t="str">
        <f>IF(SUMIFS(Лэндинг!$F$5:$F$300,Лэндинг!$E$5:$E$300,$B300)+SUMIFS(Закрытые!$F$5:$F$300,Закрытые!$E$5:$E$300,$B300,Закрытые!$B$5:$B$300,"L-*")=0,"",SUMIFS(Лэндинг!$F$5:$F$300,Лэндинг!$E$5:$E$300,$B300)+SUMIFS(Закрытые!$F$5:$F$300,Закрытые!$E$5:$E$300,$B300,Закрытые!$B$5:$B$300,"L-*"))</f>
        <v/>
      </c>
      <c r="D300" s="183" t="str">
        <f>IF(C300="","",(SUMPRODUCT((Лэндинг!$E$5:$E$300=$B300)*Лэндинг!$F$5:$F$300*Лэндинг!$G$5:$G$300)+SUMPRODUCT((Закрытые!$E$5:$E$300=$B300)*(LEFT(Закрытые!$B$5:$B$300,2)="L-")*Закрытые!$F$5:$F$300*Закрытые!$G$5:$G$300))/C300)</f>
        <v/>
      </c>
      <c r="E300" s="247" t="str">
        <f>IF(C300="","",SUMIFS(Лэндинг!$H$5:$H$300,Лэндинг!$E$5:$E$300,$B300)+SUMIFS(Закрытые!$H$5:$H$300,Закрытые!$E$5:$E$300,$B300,Закрытые!$B$5:$B$300,"L-*"))</f>
        <v/>
      </c>
      <c r="F300" s="246" t="str">
        <f>IF(SUMIFS(Лэндинг!$I$5:$I$300,Лэндинг!$E$5:$E$300,$B300)+SUMIFS(Закрытые!$I$5:$I$300,Закрытые!$E$5:$E$300,$B300,Закрытые!$B$5:$B$300,"L-*")=0,"",SUMIFS(Лэндинг!$I$5:$I$300,Лэндинг!$E$5:$E$300,$B300)+SUMIFS(Закрытые!$I$5:$I$300,Закрытые!$E$5:$E$300,$B300,Закрытые!$B$5:$B$300,"L-*"))</f>
        <v/>
      </c>
      <c r="G300" s="183" t="str">
        <f>IF(F300="","",(SUMPRODUCT((Лэндинг!$E$5:$E$300=$B300)*Лэндинг!$I$5:$I$300*Лэндинг!$J$5:$J$300)+SUMPRODUCT((Закрытые!$E$5:$E$300=$B300)*(LEFT(Закрытые!$B$5:$B$300,2)="L-")*Закрытые!$I$5:$I$300*Закрытые!$J$5:$J$300))/F300)</f>
        <v/>
      </c>
      <c r="H300" s="247" t="str">
        <f>IF(F300="","",SUMIFS(Лэндинг!$K$5:$K$300,Лэндинг!$E$5:$E$300,$B300)+SUMIFS(Закрытые!$K$5:$K$300,Закрытые!$E$5:$E$300,$B300,Закрытые!$B$5:$B$300,"L-*"))</f>
        <v/>
      </c>
      <c r="I300" s="246" t="str">
        <f>IF($B300="","",IF(COUNTIFS(Лэндинг!$E$5:$E$300,$B300)+COUNTIFS(Закрытые!$E$5:$E$300,$B300,Закрытые!$B$5:$B$300,"L-*")=0,"",ROUND(SUMIFS(Лэндинг!$L$5:$L$300,Лэндинг!$E$5:$E$300,$B300)+SUMIFS(Закрытые!$L$5:$L$300,Закрытые!$E$5:$E$300,$B300,Закрытые!$B$5:$B$300,"L-*"),8)))</f>
        <v/>
      </c>
      <c r="J300" s="247" t="str">
        <f>IF($B300="","",IF(COUNTIFS(Лэндинг!$E$5:$E$300,$B300)+COUNTIFS(Закрытые!$E$5:$E$300,$B300,Закрытые!$B$5:$B$300,"L-*")=0,"",ROUND(SUMIFS(Лэндинг!$M$5:$M$300,Лэндинг!$E$5:$E$300,$B300)+SUMIFS(Закрытые!$M$5:$M$300,Закрытые!$E$5:$E$300,$B300,Закрытые!$B$5:$B$300,"L-*"),8)))</f>
        <v/>
      </c>
      <c r="K300" s="246" t="str">
        <f>IF(MIN(N(C300),N(F300))&lt;=0,"",ROUND(MIN(N(C300),N(F300))*(N(G300)-N(D300)),8))</f>
        <v/>
      </c>
      <c r="L300" s="183" t="str">
        <f>IF(MIN(N(C300),N(F300))&lt;=0,"",IF(N(D300)=0,"",ROUND((N(G300)/N(D300)-1)*100,2)))</f>
        <v/>
      </c>
      <c r="M300" s="183" t="str">
        <f>IF(OR(ROUND(N(C300)-N(F300),8)=0,1-N(Ввод!$J$19)/100&lt;=0),"",IF(N(C300)&gt;N(F300),(N(E300)-N(H300))/((N(C300)-N(F300))*(1-N(Ввод!$J$19)/100)),(N(H300)-N(E300))/((N(F300)-N(C300))*(1+N(Ввод!$J$19)/100))))</f>
        <v/>
      </c>
    </row>
  </sheetData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K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1" customWidth="1" min="9" max="9"/>
    <col width="13" customWidth="1" min="10" max="10"/>
    <col width="13" customWidth="1" min="11" max="11"/>
  </cols>
  <sheetData>
    <row r="1" ht="21" customHeight="1">
      <c r="B1" s="226" t="inlineStr">
        <is>
          <t>CRYPTO JOURNAL •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Открыто</t>
        </is>
      </c>
      <c r="G4" s="255" t="inlineStr">
        <is>
          <t>Актив 2</t>
        </is>
      </c>
      <c r="H4" s="256" t="inlineStr">
        <is>
          <t>Закрыто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</row>
    <row r="5" ht="22" customHeight="1">
      <c r="B5" s="236" t="inlineStr">
        <is>
          <t>P-0003</t>
        </is>
      </c>
      <c r="C5" s="237" t="n">
        <v>46297</v>
      </c>
      <c r="D5" s="238" t="inlineStr">
        <is>
          <t>PancakeSwap</t>
        </is>
      </c>
      <c r="E5" s="239" t="inlineStr">
        <is>
          <t>BNB/USDT</t>
        </is>
      </c>
      <c r="F5" s="240" t="n">
        <v>4</v>
      </c>
      <c r="G5" s="241" t="n">
        <v>2360</v>
      </c>
      <c r="H5" s="240" t="n">
        <v>4.2</v>
      </c>
      <c r="I5" s="241" t="n">
        <v>2300</v>
      </c>
      <c r="J5" s="240">
        <f>IF(AND(ISNUMBER(F5),ISNUMBER(H5)),ROUND(H5-F5,8),"")</f>
        <v>0.2</v>
      </c>
      <c r="K5" s="241">
        <f>IF(AND(ISNUMBER(G5),ISNUMBER(I5)),ROUND(I5-G5,8),"")</f>
        <v>-60</v>
      </c>
    </row>
    <row r="6" ht="22" customHeight="1">
      <c r="B6" s="242" t="inlineStr">
        <is>
          <t>P-0006</t>
        </is>
      </c>
      <c r="C6" s="243" t="n">
        <v>46299</v>
      </c>
      <c r="D6" s="244" t="inlineStr">
        <is>
          <t>Uniswap</t>
        </is>
      </c>
      <c r="E6" s="245" t="inlineStr">
        <is>
          <t>BTC/USDT</t>
        </is>
      </c>
      <c r="F6" s="246" t="n">
        <v>0.05</v>
      </c>
      <c r="G6" s="247" t="n">
        <v>3125</v>
      </c>
      <c r="H6" s="246" t="n"/>
      <c r="I6" s="247" t="n"/>
      <c r="J6" s="246" t="str">
        <f>IF(AND(ISNUMBER(F6),ISNUMBER(H6)),ROUND(H6-F6,8),"")</f>
        <v/>
      </c>
      <c r="K6" s="247" t="str">
        <f>IF(AND(ISNUMBER(G6),ISNUMBER(I6)),ROUND(I6-G6,8),"")</f>
        <v/>
      </c>
    </row>
    <row r="7" ht="22" customHeight="1">
      <c r="B7" s="236" t="inlineStr">
        <is>
          <t>P-0001</t>
        </is>
      </c>
      <c r="C7" s="237" t="n">
        <v>46296</v>
      </c>
      <c r="D7" s="238" t="inlineStr">
        <is>
          <t>Uniswap</t>
        </is>
      </c>
      <c r="E7" s="239" t="inlineStr">
        <is>
          <t>ETH/BTC</t>
        </is>
      </c>
      <c r="F7" s="240" t="n">
        <v>2</v>
      </c>
      <c r="G7" s="241" t="n">
        <v>0.104</v>
      </c>
      <c r="H7" s="240" t="n">
        <v>1.96</v>
      </c>
      <c r="I7" s="241" t="n">
        <v>0.1092</v>
      </c>
      <c r="J7" s="240">
        <f>IF(AND(ISNUMBER(F7),ISNUMBER(H7)),ROUND(H7-F7,8),"")</f>
        <v>-0.04</v>
      </c>
      <c r="K7" s="241">
        <f>IF(AND(ISNUMBER(G7),ISNUMBER(I7)),ROUND(I7-G7,8),"")</f>
        <v>0.0052</v>
      </c>
    </row>
    <row r="8" ht="22" customHeight="1">
      <c r="B8" s="242" t="inlineStr">
        <is>
          <t>P-0007</t>
        </is>
      </c>
      <c r="C8" s="243" t="n">
        <v>46299</v>
      </c>
      <c r="D8" s="244" t="inlineStr">
        <is>
          <t>PancakeSwap</t>
        </is>
      </c>
      <c r="E8" s="245" t="inlineStr">
        <is>
          <t>ETH/BTC</t>
        </is>
      </c>
      <c r="F8" s="246" t="n">
        <v>1.2</v>
      </c>
      <c r="G8" s="247" t="n">
        <v>0.0624</v>
      </c>
      <c r="H8" s="246" t="n"/>
      <c r="I8" s="247" t="n"/>
      <c r="J8" s="246" t="str">
        <f>IF(AND(ISNUMBER(F8),ISNUMBER(H8)),ROUND(H8-F8,8),"")</f>
        <v/>
      </c>
      <c r="K8" s="247" t="str">
        <f>IF(AND(ISNUMBER(G8),ISNUMBER(I8)),ROUND(I8-G8,8),"")</f>
        <v/>
      </c>
    </row>
    <row r="9" ht="22" customHeight="1">
      <c r="B9" s="236" t="inlineStr">
        <is>
          <t>P-0004</t>
        </is>
      </c>
      <c r="C9" s="237" t="n">
        <v>46298</v>
      </c>
      <c r="D9" s="238" t="inlineStr">
        <is>
          <t>Uniswap</t>
        </is>
      </c>
      <c r="E9" s="239" t="inlineStr">
        <is>
          <t>ETH/USDT</t>
        </is>
      </c>
      <c r="F9" s="240" t="n">
        <v>1.5</v>
      </c>
      <c r="G9" s="241" t="n">
        <v>4800</v>
      </c>
      <c r="H9" s="240" t="n"/>
      <c r="I9" s="241" t="n"/>
      <c r="J9" s="240" t="str">
        <f>IF(AND(ISNUMBER(F9),ISNUMBER(H9)),ROUND(H9-F9,8),"")</f>
        <v/>
      </c>
      <c r="K9" s="241" t="str">
        <f>IF(AND(ISNUMBER(G9),ISNUMBER(I9)),ROUND(I9-G9,8),"")</f>
        <v/>
      </c>
    </row>
    <row r="10" ht="22" customHeight="1">
      <c r="B10" s="242" t="inlineStr">
        <is>
          <t>P-0002</t>
        </is>
      </c>
      <c r="C10" s="243" t="n">
        <v>46296</v>
      </c>
      <c r="D10" s="244" t="inlineStr">
        <is>
          <t>Raydium</t>
        </is>
      </c>
      <c r="E10" s="245" t="inlineStr">
        <is>
          <t>SOL/USDT</t>
        </is>
      </c>
      <c r="F10" s="246" t="n">
        <v>30</v>
      </c>
      <c r="G10" s="247" t="n">
        <v>4350</v>
      </c>
      <c r="H10" s="246" t="n">
        <v>28.5</v>
      </c>
      <c r="I10" s="247" t="n">
        <v>4560</v>
      </c>
      <c r="J10" s="246">
        <f>IF(AND(ISNUMBER(F10),ISNUMBER(H10)),ROUND(H10-F10,8),"")</f>
        <v>-1.5</v>
      </c>
      <c r="K10" s="247">
        <f>IF(AND(ISNUMBER(G10),ISNUMBER(I10)),ROUND(I10-G10,8),"")</f>
        <v>210</v>
      </c>
    </row>
    <row r="11" ht="22" customHeight="1">
      <c r="B11" s="236" t="inlineStr">
        <is>
          <t>P-0005</t>
        </is>
      </c>
      <c r="C11" s="237" t="n">
        <v>46298</v>
      </c>
      <c r="D11" s="238" t="inlineStr">
        <is>
          <t>Orca</t>
        </is>
      </c>
      <c r="E11" s="239" t="inlineStr">
        <is>
          <t>SOL/USDT</t>
        </is>
      </c>
      <c r="F11" s="240" t="n">
        <v>12</v>
      </c>
      <c r="G11" s="241" t="n">
        <v>1740</v>
      </c>
      <c r="H11" s="240" t="n">
        <v>12.6</v>
      </c>
      <c r="I11" s="241" t="n">
        <v>1688</v>
      </c>
      <c r="J11" s="240">
        <f>IF(AND(ISNUMBER(F11),ISNUMBER(H11)),ROUND(H11-F11,8),"")</f>
        <v>0.6</v>
      </c>
      <c r="K11" s="241">
        <f>IF(AND(ISNUMBER(G11),ISNUMBER(I11)),ROUND(I11-G11,8),"")</f>
        <v>-52</v>
      </c>
    </row>
    <row r="12" ht="22" customHeight="1">
      <c r="B12" s="242" t="inlineStr">
        <is>
          <t>P-0008</t>
        </is>
      </c>
      <c r="C12" s="243" t="n">
        <v>46299</v>
      </c>
      <c r="D12" s="244" t="inlineStr">
        <is>
          <t>Raydium</t>
        </is>
      </c>
      <c r="E12" s="245" t="inlineStr">
        <is>
          <t>SOL/USDT</t>
        </is>
      </c>
      <c r="F12" s="246" t="n">
        <v>25</v>
      </c>
      <c r="G12" s="247" t="n">
        <v>3625</v>
      </c>
      <c r="H12" s="246" t="n"/>
      <c r="I12" s="247" t="n"/>
      <c r="J12" s="246" t="str">
        <f>IF(AND(ISNUMBER(F12),ISNUMBER(H12)),ROUND(H12-F12,8),"")</f>
        <v/>
      </c>
      <c r="K12" s="247" t="str">
        <f>IF(AND(ISNUMBER(G12),ISNUMBER(I12)),ROUND(I12-G12,8),"")</f>
        <v/>
      </c>
    </row>
  </sheetData>
  <autoFilter ref="B4:K12"/>
  <mergeCells count="1">
    <mergeCell ref="B1:K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162" t="inlineStr">
        <is>
          <t>Пара</t>
        </is>
      </c>
      <c r="C4" s="254" t="inlineStr">
        <is>
          <t>Открыто</t>
        </is>
      </c>
      <c r="D4" s="255" t="inlineStr">
        <is>
          <t>Актив 2</t>
        </is>
      </c>
      <c r="E4" s="256" t="inlineStr">
        <is>
          <t>Закрыто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239" t="inlineStr">
        <is>
          <t>BNB/USDT</t>
        </is>
      </c>
      <c r="C5" s="240">
        <f>IF($B5="","",IF(COUNTIFS(Пул!$E$5:$E$200,$B5,Пул!$F$5:$F$200,"&lt;&gt;")=0,"",ROUND(SUMIFS(Пул!$F$5:$F$200,Пул!$E$5:$E$200,$B5),8)))</f>
        <v>4</v>
      </c>
      <c r="D5" s="241">
        <f>IF($B5="","",IF(COUNTIFS(Пул!$E$5:$E$200,$B5,Пул!$G$5:$G$200,"&lt;&gt;")=0,"",ROUND(SUMIFS(Пул!$G$5:$G$200,Пул!$E$5:$E$200,$B5),8)))</f>
        <v>2360</v>
      </c>
      <c r="E5" s="240">
        <f>IF($B5="","",IF(COUNTIFS(Пул!$E$5:$E$200,$B5,Пул!$H$5:$H$200,"&lt;&gt;")=0,"",ROUND(SUMIFS(Пул!$H$5:$H$200,Пул!$E$5:$E$200,$B5),8)))</f>
        <v>4.2</v>
      </c>
      <c r="F5" s="241">
        <f>IF($B5="","",IF(COUNTIFS(Пул!$E$5:$E$200,$B5,Пул!$I$5:$I$200,"&lt;&gt;")=0,"",ROUND(SUMIFS(Пул!$I$5:$I$200,Пул!$E$5:$E$200,$B5),8)))</f>
        <v>2300</v>
      </c>
      <c r="G5" s="240">
        <f>IF($B5="","",IF(COUNTIFS(Пул!$E$5:$E$200,$B5,Пул!$H$5:$H$200,"&lt;&gt;")=0,"",ROUND(SUMIFS(Пул!$J$5:$J$200,Пул!$E$5:$E$200,$B5),8)))</f>
        <v>0.2</v>
      </c>
      <c r="H5" s="241">
        <f>IF($B5="","",IF(COUNTIFS(Пул!$E$5:$E$200,$B5,Пул!$I$5:$I$200,"&lt;&gt;")=0,"",ROUND(SUMIFS(Пул!$K$5:$K$200,Пул!$E$5:$E$200,$B5),8)))</f>
        <v>-60</v>
      </c>
      <c r="I5" s="236" t="str">
        <f>IF(AND(ISNUMBER(G5),ISNUMBER(H5)),IF(AND(G5&gt;0,H5&lt;0),"Buy",IF(AND(G5&lt;0,H5&gt;0),"Sell","")),"")</f>
        <v>Buy</v>
      </c>
      <c r="J5" s="177">
        <f>IF(I5="Buy",G5,IF(I5="Sell",-G5,""))</f>
        <v>0.2</v>
      </c>
      <c r="K5" s="177">
        <f>IF(AND(ISNUMBER(J5),ISNUMBER(L5),N(J5)&lt;&gt;0),ROUND(L5/J5,8),"")</f>
        <v>300</v>
      </c>
      <c r="L5" s="177">
        <f>IF(I5="Buy",-H5,IF(I5="Sell",H5,""))</f>
        <v>60</v>
      </c>
    </row>
    <row r="6" ht="22" customHeight="1">
      <c r="B6" s="245" t="inlineStr">
        <is>
          <t>BTC/USDT</t>
        </is>
      </c>
      <c r="C6" s="246">
        <f>IF($B6="","",IF(COUNTIFS(Пул!$E$5:$E$200,$B6,Пул!$F$5:$F$200,"&lt;&gt;")=0,"",ROUND(SUMIFS(Пул!$F$5:$F$200,Пул!$E$5:$E$200,$B6),8)))</f>
        <v>0.05</v>
      </c>
      <c r="D6" s="247">
        <f>IF($B6="","",IF(COUNTIFS(Пул!$E$5:$E$200,$B6,Пул!$G$5:$G$200,"&lt;&gt;")=0,"",ROUND(SUMIFS(Пул!$G$5:$G$200,Пул!$E$5:$E$200,$B6),8)))</f>
        <v>3125</v>
      </c>
      <c r="E6" s="246" t="str">
        <f>IF($B6="","",IF(COUNTIFS(Пул!$E$5:$E$200,$B6,Пул!$H$5:$H$200,"&lt;&gt;")=0,"",ROUND(SUMIFS(Пул!$H$5:$H$200,Пул!$E$5:$E$200,$B6),8)))</f>
        <v/>
      </c>
      <c r="F6" s="247" t="str">
        <f>IF($B6="","",IF(COUNTIFS(Пул!$E$5:$E$200,$B6,Пул!$I$5:$I$200,"&lt;&gt;")=0,"",ROUND(SUMIFS(Пул!$I$5:$I$200,Пул!$E$5:$E$200,$B6),8)))</f>
        <v/>
      </c>
      <c r="G6" s="246" t="str">
        <f>IF($B6="","",IF(COUNTIFS(Пул!$E$5:$E$200,$B6,Пул!$H$5:$H$200,"&lt;&gt;")=0,"",ROUND(SUMIFS(Пул!$J$5:$J$200,Пул!$E$5:$E$200,$B6),8)))</f>
        <v/>
      </c>
      <c r="H6" s="247" t="str">
        <f>IF($B6="","",IF(COUNTIFS(Пул!$E$5:$E$200,$B6,Пул!$I$5:$I$200,"&lt;&gt;")=0,"",ROUND(SUMIFS(Пул!$K$5:$K$200,Пул!$E$5:$E$200,$B6),8)))</f>
        <v/>
      </c>
      <c r="I6" s="242" t="str">
        <f>IF(AND(ISNUMBER(G6),ISNUMBER(H6)),IF(AND(G6&gt;0,H6&lt;0),"Buy",IF(AND(G6&lt;0,H6&gt;0),"Sell","")),"")</f>
        <v/>
      </c>
      <c r="J6" s="183" t="str">
        <f>IF(I6="Buy",G6,IF(I6="Sell",-G6,""))</f>
        <v/>
      </c>
      <c r="K6" s="183" t="str">
        <f>IF(AND(ISNUMBER(J6),ISNUMBER(L6),N(J6)&lt;&gt;0),ROUND(L6/J6,8),"")</f>
        <v/>
      </c>
      <c r="L6" s="183" t="str">
        <f>IF(I6="Buy",-H6,IF(I6="Sell",H6,""))</f>
        <v/>
      </c>
    </row>
    <row r="7" ht="22" customHeight="1">
      <c r="B7" s="239" t="inlineStr">
        <is>
          <t>ETH/BTC</t>
        </is>
      </c>
      <c r="C7" s="240">
        <f>IF($B7="","",IF(COUNTIFS(Пул!$E$5:$E$200,$B7,Пул!$F$5:$F$200,"&lt;&gt;")=0,"",ROUND(SUMIFS(Пул!$F$5:$F$200,Пул!$E$5:$E$200,$B7),8)))</f>
        <v>3.2</v>
      </c>
      <c r="D7" s="241">
        <f>IF($B7="","",IF(COUNTIFS(Пул!$E$5:$E$200,$B7,Пул!$G$5:$G$200,"&lt;&gt;")=0,"",ROUND(SUMIFS(Пул!$G$5:$G$200,Пул!$E$5:$E$200,$B7),8)))</f>
        <v>0.1664</v>
      </c>
      <c r="E7" s="240">
        <f>IF($B7="","",IF(COUNTIFS(Пул!$E$5:$E$200,$B7,Пул!$H$5:$H$200,"&lt;&gt;")=0,"",ROUND(SUMIFS(Пул!$H$5:$H$200,Пул!$E$5:$E$200,$B7),8)))</f>
        <v>1.96</v>
      </c>
      <c r="F7" s="241">
        <f>IF($B7="","",IF(COUNTIFS(Пул!$E$5:$E$200,$B7,Пул!$I$5:$I$200,"&lt;&gt;")=0,"",ROUND(SUMIFS(Пул!$I$5:$I$200,Пул!$E$5:$E$200,$B7),8)))</f>
        <v>0.1092</v>
      </c>
      <c r="G7" s="240">
        <f>IF($B7="","",IF(COUNTIFS(Пул!$E$5:$E$200,$B7,Пул!$H$5:$H$200,"&lt;&gt;")=0,"",ROUND(SUMIFS(Пул!$J$5:$J$200,Пул!$E$5:$E$200,$B7),8)))</f>
        <v>-0.04</v>
      </c>
      <c r="H7" s="241">
        <f>IF($B7="","",IF(COUNTIFS(Пул!$E$5:$E$200,$B7,Пул!$I$5:$I$200,"&lt;&gt;")=0,"",ROUND(SUMIFS(Пул!$K$5:$K$200,Пул!$E$5:$E$200,$B7),8)))</f>
        <v>0.0052</v>
      </c>
      <c r="I7" s="236" t="str">
        <f>IF(AND(ISNUMBER(G7),ISNUMBER(H7)),IF(AND(G7&gt;0,H7&lt;0),"Buy",IF(AND(G7&lt;0,H7&gt;0),"Sell","")),"")</f>
        <v>Sell</v>
      </c>
      <c r="J7" s="177">
        <f>IF(I7="Buy",G7,IF(I7="Sell",-G7,""))</f>
        <v>0.04</v>
      </c>
      <c r="K7" s="177">
        <f>IF(AND(ISNUMBER(J7),ISNUMBER(L7),N(J7)&lt;&gt;0),ROUND(L7/J7,8),"")</f>
        <v>0.13</v>
      </c>
      <c r="L7" s="177">
        <f>IF(I7="Buy",-H7,IF(I7="Sell",H7,""))</f>
        <v>0.0052</v>
      </c>
    </row>
    <row r="8" ht="22" customHeight="1">
      <c r="B8" s="245" t="inlineStr">
        <is>
          <t>ETH/USDT</t>
        </is>
      </c>
      <c r="C8" s="246">
        <f>IF($B8="","",IF(COUNTIFS(Пул!$E$5:$E$200,$B8,Пул!$F$5:$F$200,"&lt;&gt;")=0,"",ROUND(SUMIFS(Пул!$F$5:$F$200,Пул!$E$5:$E$200,$B8),8)))</f>
        <v>1.5</v>
      </c>
      <c r="D8" s="247">
        <f>IF($B8="","",IF(COUNTIFS(Пул!$E$5:$E$200,$B8,Пул!$G$5:$G$200,"&lt;&gt;")=0,"",ROUND(SUMIFS(Пул!$G$5:$G$200,Пул!$E$5:$E$200,$B8),8)))</f>
        <v>4800</v>
      </c>
      <c r="E8" s="246" t="str">
        <f>IF($B8="","",IF(COUNTIFS(Пул!$E$5:$E$200,$B8,Пул!$H$5:$H$200,"&lt;&gt;")=0,"",ROUND(SUMIFS(Пул!$H$5:$H$200,Пул!$E$5:$E$200,$B8),8)))</f>
        <v/>
      </c>
      <c r="F8" s="247" t="str">
        <f>IF($B8="","",IF(COUNTIFS(Пул!$E$5:$E$200,$B8,Пул!$I$5:$I$200,"&lt;&gt;")=0,"",ROUND(SUMIFS(Пул!$I$5:$I$200,Пул!$E$5:$E$200,$B8),8)))</f>
        <v/>
      </c>
      <c r="G8" s="246" t="str">
        <f>IF($B8="","",IF(COUNTIFS(Пул!$E$5:$E$200,$B8,Пул!$H$5:$H$200,"&lt;&gt;")=0,"",ROUND(SUMIFS(Пул!$J$5:$J$200,Пул!$E$5:$E$200,$B8),8)))</f>
        <v/>
      </c>
      <c r="H8" s="247" t="str">
        <f>IF($B8="","",IF(COUNTIFS(Пул!$E$5:$E$200,$B8,Пул!$I$5:$I$200,"&lt;&gt;")=0,"",ROUND(SUMIFS(Пул!$K$5:$K$200,Пул!$E$5:$E$200,$B8),8)))</f>
        <v/>
      </c>
      <c r="I8" s="242" t="str">
        <f>IF(AND(ISNUMBER(G8),ISNUMBER(H8)),IF(AND(G8&gt;0,H8&lt;0),"Buy",IF(AND(G8&lt;0,H8&gt;0),"Sell","")),"")</f>
        <v/>
      </c>
      <c r="J8" s="183" t="str">
        <f>IF(I8="Buy",G8,IF(I8="Sell",-G8,""))</f>
        <v/>
      </c>
      <c r="K8" s="183" t="str">
        <f>IF(AND(ISNUMBER(J8),ISNUMBER(L8),N(J8)&lt;&gt;0),ROUND(L8/J8,8),"")</f>
        <v/>
      </c>
      <c r="L8" s="183" t="str">
        <f>IF(I8="Buy",-H8,IF(I8="Sell",H8,""))</f>
        <v/>
      </c>
    </row>
    <row r="9" ht="22" customHeight="1">
      <c r="B9" s="239" t="inlineStr">
        <is>
          <t>SOL/USDT</t>
        </is>
      </c>
      <c r="C9" s="240">
        <f>IF($B9="","",IF(COUNTIFS(Пул!$E$5:$E$200,$B9,Пул!$F$5:$F$200,"&lt;&gt;")=0,"",ROUND(SUMIFS(Пул!$F$5:$F$200,Пул!$E$5:$E$200,$B9),8)))</f>
        <v>67</v>
      </c>
      <c r="D9" s="241">
        <f>IF($B9="","",IF(COUNTIFS(Пул!$E$5:$E$200,$B9,Пул!$G$5:$G$200,"&lt;&gt;")=0,"",ROUND(SUMIFS(Пул!$G$5:$G$200,Пул!$E$5:$E$200,$B9),8)))</f>
        <v>9715</v>
      </c>
      <c r="E9" s="240">
        <f>IF($B9="","",IF(COUNTIFS(Пул!$E$5:$E$200,$B9,Пул!$H$5:$H$200,"&lt;&gt;")=0,"",ROUND(SUMIFS(Пул!$H$5:$H$200,Пул!$E$5:$E$200,$B9),8)))</f>
        <v>41.1</v>
      </c>
      <c r="F9" s="241">
        <f>IF($B9="","",IF(COUNTIFS(Пул!$E$5:$E$200,$B9,Пул!$I$5:$I$200,"&lt;&gt;")=0,"",ROUND(SUMIFS(Пул!$I$5:$I$200,Пул!$E$5:$E$200,$B9),8)))</f>
        <v>6248</v>
      </c>
      <c r="G9" s="240">
        <f>IF($B9="","",IF(COUNTIFS(Пул!$E$5:$E$200,$B9,Пул!$H$5:$H$200,"&lt;&gt;")=0,"",ROUND(SUMIFS(Пул!$J$5:$J$200,Пул!$E$5:$E$200,$B9),8)))</f>
        <v>-0.9</v>
      </c>
      <c r="H9" s="241">
        <f>IF($B9="","",IF(COUNTIFS(Пул!$E$5:$E$200,$B9,Пул!$I$5:$I$200,"&lt;&gt;")=0,"",ROUND(SUMIFS(Пул!$K$5:$K$200,Пул!$E$5:$E$200,$B9),8)))</f>
        <v>158</v>
      </c>
      <c r="I9" s="236" t="str">
        <f>IF(AND(ISNUMBER(G9),ISNUMBER(H9)),IF(AND(G9&gt;0,H9&lt;0),"Buy",IF(AND(G9&lt;0,H9&gt;0),"Sell","")),"")</f>
        <v>Sell</v>
      </c>
      <c r="J9" s="177">
        <f>IF(I9="Buy",G9,IF(I9="Sell",-G9,""))</f>
        <v>0.9</v>
      </c>
      <c r="K9" s="177">
        <f>IF(AND(ISNUMBER(J9),ISNUMBER(L9),N(J9)&lt;&gt;0),ROUND(L9/J9,8),"")</f>
        <v>175.55555556</v>
      </c>
      <c r="L9" s="177">
        <f>IF(I9="Buy",-H9,IF(I9="Sell",H9,""))</f>
        <v>158</v>
      </c>
    </row>
    <row r="10" ht="22" customHeight="1">
      <c r="B10" s="245" t="n"/>
      <c r="C10" s="246" t="str">
        <f>IF($B10="","",IF(COUNTIFS(Пул!$E$5:$E$200,$B10,Пул!$F$5:$F$200,"&lt;&gt;")=0,"",ROUND(SUMIFS(Пул!$F$5:$F$200,Пул!$E$5:$E$200,$B10),8)))</f>
        <v/>
      </c>
      <c r="D10" s="247" t="str">
        <f>IF($B10="","",IF(COUNTIFS(Пул!$E$5:$E$200,$B10,Пул!$G$5:$G$200,"&lt;&gt;")=0,"",ROUND(SUMIFS(Пул!$G$5:$G$200,Пул!$E$5:$E$200,$B10),8)))</f>
        <v/>
      </c>
      <c r="E10" s="246" t="str">
        <f>IF($B10="","",IF(COUNTIFS(Пул!$E$5:$E$200,$B10,Пул!$H$5:$H$200,"&lt;&gt;")=0,"",ROUND(SUMIFS(Пул!$H$5:$H$200,Пул!$E$5:$E$200,$B10),8)))</f>
        <v/>
      </c>
      <c r="F10" s="247" t="str">
        <f>IF($B10="","",IF(COUNTIFS(Пул!$E$5:$E$200,$B10,Пул!$I$5:$I$200,"&lt;&gt;")=0,"",ROUND(SUMIFS(Пул!$I$5:$I$200,Пул!$E$5:$E$200,$B10),8)))</f>
        <v/>
      </c>
      <c r="G10" s="246" t="str">
        <f>IF($B10="","",IF(COUNTIFS(Пул!$E$5:$E$200,$B10,Пул!$H$5:$H$200,"&lt;&gt;")=0,"",ROUND(SUMIFS(Пул!$J$5:$J$200,Пул!$E$5:$E$200,$B10),8)))</f>
        <v/>
      </c>
      <c r="H10" s="247" t="str">
        <f>IF($B10="","",IF(COUNTIFS(Пул!$E$5:$E$200,$B10,Пул!$I$5:$I$200,"&lt;&gt;")=0,"",ROUND(SUMIFS(Пул!$K$5:$K$200,Пул!$E$5:$E$200,$B10),8)))</f>
        <v/>
      </c>
      <c r="I10" s="242" t="str">
        <f>IF(AND(ISNUMBER(G10),ISNUMBER(H10)),IF(AND(G10&gt;0,H10&lt;0),"Buy",IF(AND(G10&lt;0,H10&gt;0),"Sell","")),"")</f>
        <v/>
      </c>
      <c r="J10" s="183" t="str">
        <f>IF(I10="Buy",G10,IF(I10="Sell",-G10,""))</f>
        <v/>
      </c>
      <c r="K10" s="183" t="str">
        <f>IF(AND(ISNUMBER(J10),ISNUMBER(L10),N(J10)&lt;&gt;0),ROUND(L10/J10,8),"")</f>
        <v/>
      </c>
      <c r="L10" s="183" t="str">
        <f>IF(I10="Buy",-H10,IF(I10="Sell",H10,""))</f>
        <v/>
      </c>
    </row>
    <row r="11" ht="22" customHeight="1">
      <c r="B11" s="239" t="n"/>
      <c r="C11" s="240" t="str">
        <f>IF($B11="","",IF(COUNTIFS(Пул!$E$5:$E$200,$B11,Пул!$F$5:$F$200,"&lt;&gt;")=0,"",ROUND(SUMIFS(Пул!$F$5:$F$200,Пул!$E$5:$E$200,$B11),8)))</f>
        <v/>
      </c>
      <c r="D11" s="241" t="str">
        <f>IF($B11="","",IF(COUNTIFS(Пул!$E$5:$E$200,$B11,Пул!$G$5:$G$200,"&lt;&gt;")=0,"",ROUND(SUMIFS(Пул!$G$5:$G$200,Пул!$E$5:$E$200,$B11),8)))</f>
        <v/>
      </c>
      <c r="E11" s="240" t="str">
        <f>IF($B11="","",IF(COUNTIFS(Пул!$E$5:$E$200,$B11,Пул!$H$5:$H$200,"&lt;&gt;")=0,"",ROUND(SUMIFS(Пул!$H$5:$H$200,Пул!$E$5:$E$200,$B11),8)))</f>
        <v/>
      </c>
      <c r="F11" s="241" t="str">
        <f>IF($B11="","",IF(COUNTIFS(Пул!$E$5:$E$200,$B11,Пул!$I$5:$I$200,"&lt;&gt;")=0,"",ROUND(SUMIFS(Пул!$I$5:$I$200,Пул!$E$5:$E$200,$B11),8)))</f>
        <v/>
      </c>
      <c r="G11" s="240" t="str">
        <f>IF($B11="","",IF(COUNTIFS(Пул!$E$5:$E$200,$B11,Пул!$H$5:$H$200,"&lt;&gt;")=0,"",ROUND(SUMIFS(Пул!$J$5:$J$200,Пул!$E$5:$E$200,$B11),8)))</f>
        <v/>
      </c>
      <c r="H11" s="241" t="str">
        <f>IF($B11="","",IF(COUNTIFS(Пул!$E$5:$E$200,$B11,Пул!$I$5:$I$200,"&lt;&gt;")=0,"",ROUND(SUMIFS(Пул!$K$5:$K$200,Пул!$E$5:$E$200,$B11),8)))</f>
        <v/>
      </c>
      <c r="I11" s="236" t="str">
        <f>IF(AND(ISNUMBER(G11),ISNUMBER(H11)),IF(AND(G11&gt;0,H11&lt;0),"Buy",IF(AND(G11&lt;0,H11&gt;0),"Sell","")),"")</f>
        <v/>
      </c>
      <c r="J11" s="177" t="str">
        <f>IF(I11="Buy",G11,IF(I11="Sell",-G11,""))</f>
        <v/>
      </c>
      <c r="K11" s="177" t="str">
        <f>IF(AND(ISNUMBER(J11),ISNUMBER(L11),N(J11)&lt;&gt;0),ROUND(L11/J11,8),"")</f>
        <v/>
      </c>
      <c r="L11" s="177" t="str">
        <f>IF(I11="Buy",-H11,IF(I11="Sell",H11,""))</f>
        <v/>
      </c>
    </row>
    <row r="12" ht="22" customHeight="1">
      <c r="B12" s="245" t="n"/>
      <c r="C12" s="246" t="str">
        <f>IF($B12="","",IF(COUNTIFS(Пул!$E$5:$E$200,$B12,Пул!$F$5:$F$200,"&lt;&gt;")=0,"",ROUND(SUMIFS(Пул!$F$5:$F$200,Пул!$E$5:$E$200,$B12),8)))</f>
        <v/>
      </c>
      <c r="D12" s="247" t="str">
        <f>IF($B12="","",IF(COUNTIFS(Пул!$E$5:$E$200,$B12,Пул!$G$5:$G$200,"&lt;&gt;")=0,"",ROUND(SUMIFS(Пул!$G$5:$G$200,Пул!$E$5:$E$200,$B12),8)))</f>
        <v/>
      </c>
      <c r="E12" s="246" t="str">
        <f>IF($B12="","",IF(COUNTIFS(Пул!$E$5:$E$200,$B12,Пул!$H$5:$H$200,"&lt;&gt;")=0,"",ROUND(SUMIFS(Пул!$H$5:$H$200,Пул!$E$5:$E$200,$B12),8)))</f>
        <v/>
      </c>
      <c r="F12" s="247" t="str">
        <f>IF($B12="","",IF(COUNTIFS(Пул!$E$5:$E$200,$B12,Пул!$I$5:$I$200,"&lt;&gt;")=0,"",ROUND(SUMIFS(Пул!$I$5:$I$200,Пул!$E$5:$E$200,$B12),8)))</f>
        <v/>
      </c>
      <c r="G12" s="246" t="str">
        <f>IF($B12="","",IF(COUNTIFS(Пул!$E$5:$E$200,$B12,Пул!$H$5:$H$200,"&lt;&gt;")=0,"",ROUND(SUMIFS(Пул!$J$5:$J$200,Пул!$E$5:$E$200,$B12),8)))</f>
        <v/>
      </c>
      <c r="H12" s="247" t="str">
        <f>IF($B12="","",IF(COUNTIFS(Пул!$E$5:$E$200,$B12,Пул!$I$5:$I$200,"&lt;&gt;")=0,"",ROUND(SUMIFS(Пул!$K$5:$K$200,Пул!$E$5:$E$200,$B12),8)))</f>
        <v/>
      </c>
      <c r="I12" s="242" t="str">
        <f>IF(AND(ISNUMBER(G12),ISNUMBER(H12)),IF(AND(G12&gt;0,H12&lt;0),"Buy",IF(AND(G12&lt;0,H12&gt;0),"Sell","")),"")</f>
        <v/>
      </c>
      <c r="J12" s="183" t="str">
        <f>IF(I12="Buy",G12,IF(I12="Sell",-G12,""))</f>
        <v/>
      </c>
      <c r="K12" s="183" t="str">
        <f>IF(AND(ISNUMBER(J12),ISNUMBER(L12),N(J12)&lt;&gt;0),ROUND(L12/J12,8),"")</f>
        <v/>
      </c>
      <c r="L12" s="183" t="str">
        <f>IF(I12="Buy",-H12,IF(I12="Sell",H12,""))</f>
        <v/>
      </c>
    </row>
  </sheetData>
  <autoFilter ref="B4:L12"/>
  <mergeCells count="1">
    <mergeCell ref="B1:L2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3" customWidth="1" min="14" max="14"/>
    <col width="12" customWidth="1" min="15" max="15"/>
    <col width="8.43" customWidth="1" min="16" max="16"/>
    <col width="8.43" customWidth="1" min="17" max="17"/>
  </cols>
  <sheetData>
    <row r="1" ht="21" customHeight="1">
      <c r="B1" s="1" t="inlineStr">
        <is>
          <t>CRYPTO JOURNAL • ЗАКРЫТЫЕ</t>
        </is>
      </c>
      <c r="P1" s="207" t="n"/>
      <c r="Q1" s="207" t="n"/>
    </row>
    <row r="2" ht="21" customHeight="1">
      <c r="P2" s="207" t="n"/>
      <c r="Q2" s="207" t="n"/>
    </row>
    <row r="3" ht="10" customHeight="1">
      <c r="P3" s="207" t="n"/>
      <c r="Q3" s="207" t="n"/>
    </row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70" t="inlineStr">
        <is>
          <t>Дельта 2</t>
        </is>
      </c>
      <c r="N4" s="171" t="inlineStr">
        <is>
          <t>P&amp;L</t>
        </is>
      </c>
      <c r="O4" s="172" t="inlineStr">
        <is>
          <t>P&amp;L%</t>
        </is>
      </c>
      <c r="P4" s="207" t="n"/>
      <c r="Q4" s="207" t="n"/>
    </row>
    <row r="5" ht="22" customHeight="1">
      <c r="B5" s="238" t="inlineStr">
        <is>
          <t>T-0005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>
        <v>2</v>
      </c>
      <c r="G5" s="177" t="n">
        <v>586.17</v>
      </c>
      <c r="H5" s="271">
        <f>IF(AND(ISNUMBER(F5),ISNUMBER(G5)),F5*G5,"")</f>
        <v>1172.34</v>
      </c>
      <c r="I5" s="240" t="n">
        <v>2</v>
      </c>
      <c r="J5" s="177" t="n">
        <v>598.8</v>
      </c>
      <c r="K5" s="271">
        <f>IF(AND(ISNUMBER(I5),ISNUMBER(J5)),I5*J5,"")</f>
        <v>1197.6</v>
      </c>
      <c r="L5" s="240">
        <f>IF(COUNT(F5,I5)=0,"",N(F5)-N(I5))</f>
        <v>0</v>
      </c>
      <c r="M5" s="241">
        <f>IF(COUNT(H5,K5)=0,"",N(K5)-N(H5))</f>
        <v>25.26</v>
      </c>
      <c r="N5" s="240">
        <f>IF(AND(ISNUMBER(F5),ISNUMBER(I5),ISNUMBER(H5),ISNUMBER(K5),F5&gt;0,I5&gt;0,H5&lt;&gt;0),ROUND(MIN(F5,I5)*(K5/I5-H5/F5),8),"")</f>
        <v>25.26</v>
      </c>
      <c r="O5" s="177">
        <f>IF(ISNUMBER(N5),ROUND(N5/(MIN(F5,I5)*H5/F5)*100,2),"")</f>
        <v>2.15</v>
      </c>
      <c r="P5" s="207" t="n"/>
      <c r="Q5" s="207" t="n"/>
    </row>
    <row r="6" ht="22" customHeight="1">
      <c r="B6" s="244" t="inlineStr">
        <is>
          <t>T-0006</t>
        </is>
      </c>
      <c r="C6" s="243" t="n">
        <v>46299</v>
      </c>
      <c r="D6" s="244" t="inlineStr">
        <is>
          <t>OKX</t>
        </is>
      </c>
      <c r="E6" s="245" t="inlineStr">
        <is>
          <t>BTC/USDT</t>
        </is>
      </c>
      <c r="F6" s="246" t="n">
        <v>0.05</v>
      </c>
      <c r="G6" s="183" t="n">
        <v>62324.4</v>
      </c>
      <c r="H6" s="271">
        <f>IF(AND(ISNUMBER(F6),ISNUMBER(G6)),F6*G6,"")</f>
        <v>3116.22</v>
      </c>
      <c r="I6" s="246" t="n">
        <v>0.05</v>
      </c>
      <c r="J6" s="183" t="n">
        <v>62874</v>
      </c>
      <c r="K6" s="271">
        <f>IF(AND(ISNUMBER(I6),ISNUMBER(J6)),I6*J6,"")</f>
        <v>3143.7</v>
      </c>
      <c r="L6" s="246">
        <f>IF(COUNT(F6,I6)=0,"",N(F6)-N(I6))</f>
        <v>0</v>
      </c>
      <c r="M6" s="247">
        <f>IF(COUNT(H6,K6)=0,"",N(K6)-N(H6))</f>
        <v>27.48</v>
      </c>
      <c r="N6" s="246">
        <f>IF(AND(ISNUMBER(F6),ISNUMBER(I6),ISNUMBER(H6),ISNUMBER(K6),F6&gt;0,I6&gt;0,H6&lt;&gt;0),ROUND(MIN(F6,I6)*(K6/I6-H6/F6),8),"")</f>
        <v>27.48</v>
      </c>
      <c r="O6" s="183">
        <f>IF(ISNUMBER(N6),ROUND(N6/(MIN(F6,I6)*H6/F6)*100,2),"")</f>
        <v>0.88</v>
      </c>
      <c r="P6" s="207" t="n"/>
      <c r="Q6" s="207" t="n"/>
    </row>
    <row r="7" ht="22" customHeight="1">
      <c r="B7" s="238" t="inlineStr">
        <is>
          <t>T-0002</t>
        </is>
      </c>
      <c r="C7" s="237" t="n">
        <v>46297</v>
      </c>
      <c r="D7" s="238" t="inlineStr">
        <is>
          <t>Bybit</t>
        </is>
      </c>
      <c r="E7" s="239" t="inlineStr">
        <is>
          <t>ETH/USDT</t>
        </is>
      </c>
      <c r="F7" s="240" t="n">
        <v>1</v>
      </c>
      <c r="G7" s="177" t="n">
        <v>3206.4</v>
      </c>
      <c r="H7" s="271">
        <f>IF(AND(ISNUMBER(F7),ISNUMBER(G7)),F7*G7,"")</f>
        <v>3206.4</v>
      </c>
      <c r="I7" s="240" t="n">
        <v>1</v>
      </c>
      <c r="J7" s="177" t="n">
        <v>3343.3</v>
      </c>
      <c r="K7" s="271">
        <f>IF(AND(ISNUMBER(I7),ISNUMBER(J7)),I7*J7,"")</f>
        <v>3343.3</v>
      </c>
      <c r="L7" s="240">
        <f>IF(COUNT(F7,I7)=0,"",N(F7)-N(I7))</f>
        <v>0</v>
      </c>
      <c r="M7" s="241">
        <f>IF(COUNT(H7,K7)=0,"",N(K7)-N(H7))</f>
        <v>136.9</v>
      </c>
      <c r="N7" s="240">
        <f>IF(AND(ISNUMBER(F7),ISNUMBER(I7),ISNUMBER(H7),ISNUMBER(K7),F7&gt;0,I7&gt;0,H7&lt;&gt;0),ROUND(MIN(F7,I7)*(K7/I7-H7/F7),8),"")</f>
        <v>136.9</v>
      </c>
      <c r="O7" s="177">
        <f>IF(ISNUMBER(N7),ROUND(N7/(MIN(F7,I7)*H7/F7)*100,2),"")</f>
        <v>4.27</v>
      </c>
      <c r="P7" s="207" t="n"/>
      <c r="Q7" s="207" t="n"/>
    </row>
    <row r="8" ht="22" customHeight="1">
      <c r="B8" s="244" t="inlineStr">
        <is>
          <t>T-0003</t>
        </is>
      </c>
      <c r="C8" s="243" t="n">
        <v>46298</v>
      </c>
      <c r="D8" s="244" t="inlineStr">
        <is>
          <t>OKX</t>
        </is>
      </c>
      <c r="E8" s="245" t="inlineStr">
        <is>
          <t>SOL/USDT</t>
        </is>
      </c>
      <c r="F8" s="246" t="n">
        <v>20</v>
      </c>
      <c r="G8" s="183" t="n">
        <v>145.29</v>
      </c>
      <c r="H8" s="271">
        <f>IF(AND(ISNUMBER(F8),ISNUMBER(G8)),F8*G8,"")</f>
        <v>2905.8</v>
      </c>
      <c r="I8" s="246" t="n">
        <v>20</v>
      </c>
      <c r="J8" s="183" t="n">
        <v>151.696</v>
      </c>
      <c r="K8" s="271">
        <f>IF(AND(ISNUMBER(I8),ISNUMBER(J8)),I8*J8,"")</f>
        <v>3033.92</v>
      </c>
      <c r="L8" s="246">
        <f>IF(COUNT(F8,I8)=0,"",N(F8)-N(I8))</f>
        <v>0</v>
      </c>
      <c r="M8" s="247">
        <f>IF(COUNT(H8,K8)=0,"",N(K8)-N(H8))</f>
        <v>128.12</v>
      </c>
      <c r="N8" s="246">
        <f>IF(AND(ISNUMBER(F8),ISNUMBER(I8),ISNUMBER(H8),ISNUMBER(K8),F8&gt;0,I8&gt;0,H8&lt;&gt;0),ROUND(MIN(F8,I8)*(K8/I8-H8/F8),8),"")</f>
        <v>128.12</v>
      </c>
      <c r="O8" s="183">
        <f>IF(ISNUMBER(N8),ROUND(N8/(MIN(F8,I8)*H8/F8)*100,2),"")</f>
        <v>4.41</v>
      </c>
      <c r="P8" s="207" t="n"/>
      <c r="Q8" s="207" t="n"/>
    </row>
    <row r="9" ht="22" customHeight="1">
      <c r="B9" s="238" t="inlineStr">
        <is>
          <t>L-0013</t>
        </is>
      </c>
      <c r="C9" s="237" t="n">
        <v>46299</v>
      </c>
      <c r="D9" s="238" t="inlineStr">
        <is>
          <t>Binance</t>
        </is>
      </c>
      <c r="E9" s="239" t="inlineStr">
        <is>
          <t>BNB/USDT</t>
        </is>
      </c>
      <c r="F9" s="240" t="n">
        <v>1.5</v>
      </c>
      <c r="G9" s="177" t="n">
        <v>585</v>
      </c>
      <c r="H9" s="271">
        <f>IF(AND(ISNUMBER(F9),ISNUMBER(G9)),F9*G9,"")</f>
        <v>877.5</v>
      </c>
      <c r="I9" s="240" t="n">
        <v>1.5</v>
      </c>
      <c r="J9" s="177" t="n">
        <v>597</v>
      </c>
      <c r="K9" s="271">
        <f>IF(AND(ISNUMBER(I9),ISNUMBER(J9)),I9*J9,"")</f>
        <v>895.5</v>
      </c>
      <c r="L9" s="240">
        <f>IF(COUNT(F9,I9)=0,"",N(F9)-N(I9))</f>
        <v>0</v>
      </c>
      <c r="M9" s="241">
        <f>IF(COUNT(H9,K9)=0,"",N(K9)-N(H9))</f>
        <v>18</v>
      </c>
      <c r="N9" s="240">
        <f>IF(AND(ISNUMBER(F9),ISNUMBER(I9),ISNUMBER(H9),ISNUMBER(K9),F9&gt;0,I9&gt;0,H9&lt;&gt;0),ROUND(MIN(F9,I9)*(K9/I9-H9/F9),8),"")</f>
        <v>18</v>
      </c>
      <c r="O9" s="177">
        <f>IF(ISNUMBER(N9),ROUND(N9/(MIN(F9,I9)*H9/F9)*100,2),"")</f>
        <v>2.05</v>
      </c>
      <c r="P9" s="207" t="n"/>
      <c r="Q9" s="207" t="n"/>
    </row>
    <row r="10" ht="22" customHeight="1">
      <c r="B10" s="244" t="inlineStr">
        <is>
          <t>L-0014</t>
        </is>
      </c>
      <c r="C10" s="243" t="n">
        <v>46298</v>
      </c>
      <c r="D10" s="244" t="inlineStr">
        <is>
          <t>OKX</t>
        </is>
      </c>
      <c r="E10" s="245" t="inlineStr">
        <is>
          <t>ETH/USDT</t>
        </is>
      </c>
      <c r="F10" s="246" t="n">
        <v>0.5</v>
      </c>
      <c r="G10" s="183" t="n">
        <v>3210</v>
      </c>
      <c r="H10" s="271">
        <f>IF(AND(ISNUMBER(F10),ISNUMBER(G10)),F10*G10,"")</f>
        <v>1605</v>
      </c>
      <c r="I10" s="246" t="n">
        <v>0.5</v>
      </c>
      <c r="J10" s="183" t="n">
        <v>3340</v>
      </c>
      <c r="K10" s="271">
        <f>IF(AND(ISNUMBER(I10),ISNUMBER(J10)),I10*J10,"")</f>
        <v>1670</v>
      </c>
      <c r="L10" s="246">
        <f>IF(COUNT(F10,I10)=0,"",N(F10)-N(I10))</f>
        <v>0</v>
      </c>
      <c r="M10" s="247">
        <f>IF(COUNT(H10,K10)=0,"",N(K10)-N(H10))</f>
        <v>65</v>
      </c>
      <c r="N10" s="246">
        <f>IF(AND(ISNUMBER(F10),ISNUMBER(I10),ISNUMBER(H10),ISNUMBER(K10),F10&gt;0,I10&gt;0,H10&lt;&gt;0),ROUND(MIN(F10,I10)*(K10/I10-H10/F10),8),"")</f>
        <v>65</v>
      </c>
      <c r="O10" s="183">
        <f>IF(ISNUMBER(N10),ROUND(N10/(MIN(F10,I10)*H10/F10)*100,2),"")</f>
        <v>4.05</v>
      </c>
      <c r="P10" s="207" t="n"/>
      <c r="Q10" s="207" t="n"/>
    </row>
    <row r="11" ht="22" customHeight="1">
      <c r="B11" s="238" t="inlineStr">
        <is>
          <t>L-0015</t>
        </is>
      </c>
      <c r="C11" s="237" t="n">
        <v>46297</v>
      </c>
      <c r="D11" s="238" t="inlineStr">
        <is>
          <t>Bybit</t>
        </is>
      </c>
      <c r="E11" s="239" t="inlineStr">
        <is>
          <t>SOL/USDT</t>
        </is>
      </c>
      <c r="F11" s="240" t="n">
        <v>10</v>
      </c>
      <c r="G11" s="177" t="n">
        <v>145</v>
      </c>
      <c r="H11" s="271">
        <f>IF(AND(ISNUMBER(F11),ISNUMBER(G11)),F11*G11,"")</f>
        <v>1450</v>
      </c>
      <c r="I11" s="240" t="n">
        <v>10</v>
      </c>
      <c r="J11" s="177" t="n">
        <v>150.5</v>
      </c>
      <c r="K11" s="271">
        <f>IF(AND(ISNUMBER(I11),ISNUMBER(J11)),I11*J11,"")</f>
        <v>1505</v>
      </c>
      <c r="L11" s="240">
        <f>IF(COUNT(F11,I11)=0,"",N(F11)-N(I11))</f>
        <v>0</v>
      </c>
      <c r="M11" s="241">
        <f>IF(COUNT(H11,K11)=0,"",N(K11)-N(H11))</f>
        <v>55</v>
      </c>
      <c r="N11" s="240">
        <f>IF(AND(ISNUMBER(F11),ISNUMBER(I11),ISNUMBER(H11),ISNUMBER(K11),F11&gt;0,I11&gt;0,H11&lt;&gt;0),ROUND(MIN(F11,I11)*(K11/I11-H11/F11),8),"")</f>
        <v>55</v>
      </c>
      <c r="O11" s="177">
        <f>IF(ISNUMBER(N11),ROUND(N11/(MIN(F11,I11)*H11/F11)*100,2),"")</f>
        <v>3.79</v>
      </c>
      <c r="P11" s="207" t="n"/>
      <c r="Q11" s="207" t="n"/>
    </row>
    <row r="12" ht="22" customHeight="1">
      <c r="B12" s="244" t="n"/>
      <c r="C12" s="243" t="n"/>
      <c r="D12" s="244" t="n"/>
      <c r="E12" s="245" t="n"/>
      <c r="F12" s="246" t="n"/>
      <c r="G12" s="183" t="n"/>
      <c r="H12" s="271" t="str">
        <f>IF(AND(ISNUMBER(F12),ISNUMBER(G12)),F12*G12,"")</f>
        <v/>
      </c>
      <c r="I12" s="246" t="n"/>
      <c r="J12" s="183" t="n"/>
      <c r="K12" s="271" t="str">
        <f>IF(AND(ISNUMBER(I12),ISNUMBER(J12)),I12*J12,"")</f>
        <v/>
      </c>
      <c r="L12" s="246" t="str">
        <f>IF(COUNT(F12,I12)=0,"",N(F12)-N(I12))</f>
        <v/>
      </c>
      <c r="M12" s="247" t="str">
        <f>IF(COUNT(H12,K12)=0,"",N(K12)-N(H12))</f>
        <v/>
      </c>
      <c r="N12" s="246" t="str">
        <f>IF(AND(ISNUMBER(F12),ISNUMBER(I12),ISNUMBER(H12),ISNUMBER(K12),F12&gt;0,I12&gt;0,H12&lt;&gt;0),ROUND(MIN(F12,I12)*(K12/I12-H12/F12),8),"")</f>
        <v/>
      </c>
      <c r="O12" s="183" t="str">
        <f>IF(ISNUMBER(N12),ROUND(N12/(MIN(F12,I12)*H12/F12)*100,2),"")</f>
        <v/>
      </c>
      <c r="P12" s="207" t="n"/>
      <c r="Q12" s="207" t="n"/>
    </row>
    <row r="13" ht="22" customHeight="1">
      <c r="B13" s="238" t="n"/>
      <c r="C13" s="237" t="n"/>
      <c r="D13" s="238" t="n"/>
      <c r="E13" s="239" t="n"/>
      <c r="F13" s="240" t="n"/>
      <c r="G13" s="177" t="n"/>
      <c r="H13" s="271" t="str">
        <f>IF(AND(ISNUMBER(F13),ISNUMBER(G13)),F13*G13,"")</f>
        <v/>
      </c>
      <c r="I13" s="240" t="n"/>
      <c r="J13" s="177" t="n"/>
      <c r="K13" s="271" t="str">
        <f>IF(AND(ISNUMBER(I13),ISNUMBER(J13)),I13*J13,"")</f>
        <v/>
      </c>
      <c r="L13" s="240" t="str">
        <f>IF(COUNT(F13,I13)=0,"",N(F13)-N(I13))</f>
        <v/>
      </c>
      <c r="M13" s="241" t="str">
        <f>IF(COUNT(H13,K13)=0,"",N(K13)-N(H13))</f>
        <v/>
      </c>
      <c r="N13" s="240" t="str">
        <f>IF(AND(ISNUMBER(F13),ISNUMBER(I13),ISNUMBER(H13),ISNUMBER(K13),F13&gt;0,I13&gt;0,H13&lt;&gt;0),ROUND(MIN(F13,I13)*(K13/I13-H13/F13),8),"")</f>
        <v/>
      </c>
      <c r="O13" s="177" t="str">
        <f>IF(ISNUMBER(N13),ROUND(N13/(MIN(F13,I13)*H13/F13)*100,2),"")</f>
        <v/>
      </c>
    </row>
    <row r="14" ht="22" customHeight="1">
      <c r="B14" s="244" t="n"/>
      <c r="C14" s="243" t="n"/>
      <c r="D14" s="244" t="n"/>
      <c r="E14" s="245" t="n"/>
      <c r="F14" s="246" t="n"/>
      <c r="G14" s="183" t="n"/>
      <c r="H14" s="271" t="str">
        <f>IF(AND(ISNUMBER(F14),ISNUMBER(G14)),F14*G14,"")</f>
        <v/>
      </c>
      <c r="I14" s="246" t="n"/>
      <c r="J14" s="183" t="n"/>
      <c r="K14" s="271" t="str">
        <f>IF(AND(ISNUMBER(I14),ISNUMBER(J14)),I14*J14,"")</f>
        <v/>
      </c>
      <c r="L14" s="246" t="str">
        <f>IF(COUNT(F14,I14)=0,"",N(F14)-N(I14))</f>
        <v/>
      </c>
      <c r="M14" s="247" t="str">
        <f>IF(COUNT(H14,K14)=0,"",N(K14)-N(H14))</f>
        <v/>
      </c>
      <c r="N14" s="246" t="str">
        <f>IF(AND(ISNUMBER(F14),ISNUMBER(I14),ISNUMBER(H14),ISNUMBER(K14),F14&gt;0,I14&gt;0,H14&lt;&gt;0),ROUND(MIN(F14,I14)*(K14/I14-H14/F14),8),"")</f>
        <v/>
      </c>
      <c r="O14" s="183" t="str">
        <f>IF(ISNUMBER(N14),ROUND(N14/(MIN(F14,I14)*H14/F14)*100,2),"")</f>
        <v/>
      </c>
    </row>
    <row r="15" ht="22" customHeight="1">
      <c r="B15" s="238" t="n"/>
      <c r="C15" s="237" t="n"/>
      <c r="D15" s="238" t="n"/>
      <c r="E15" s="239" t="n"/>
      <c r="F15" s="240" t="n"/>
      <c r="G15" s="177" t="n"/>
      <c r="H15" s="271" t="str">
        <f>IF(AND(ISNUMBER(F15),ISNUMBER(G15)),F15*G15,"")</f>
        <v/>
      </c>
      <c r="I15" s="240" t="n"/>
      <c r="J15" s="177" t="n"/>
      <c r="K15" s="271" t="str">
        <f>IF(AND(ISNUMBER(I15),ISNUMBER(J15)),I15*J15,"")</f>
        <v/>
      </c>
      <c r="L15" s="240" t="str">
        <f>IF(COUNT(F15,I15)=0,"",N(F15)-N(I15))</f>
        <v/>
      </c>
      <c r="M15" s="241" t="str">
        <f>IF(COUNT(H15,K15)=0,"",N(K15)-N(H15))</f>
        <v/>
      </c>
      <c r="N15" s="240" t="str">
        <f>IF(AND(ISNUMBER(F15),ISNUMBER(I15),ISNUMBER(H15),ISNUMBER(K15),F15&gt;0,I15&gt;0,H15&lt;&gt;0),ROUND(MIN(F15,I15)*(K15/I15-H15/F15),8),"")</f>
        <v/>
      </c>
      <c r="O15" s="177" t="str">
        <f>IF(ISNUMBER(N15),ROUND(N15/(MIN(F15,I15)*H15/F15)*100,2),"")</f>
        <v/>
      </c>
    </row>
    <row r="16" ht="22" customHeight="1">
      <c r="B16" s="244" t="n"/>
      <c r="C16" s="243" t="n"/>
      <c r="D16" s="244" t="n"/>
      <c r="E16" s="245" t="n"/>
      <c r="F16" s="246" t="n"/>
      <c r="G16" s="183" t="n"/>
      <c r="H16" s="271" t="str">
        <f>IF(AND(ISNUMBER(F16),ISNUMBER(G16)),F16*G16,"")</f>
        <v/>
      </c>
      <c r="I16" s="246" t="n"/>
      <c r="J16" s="183" t="n"/>
      <c r="K16" s="271" t="str">
        <f>IF(AND(ISNUMBER(I16),ISNUMBER(J16)),I16*J16,"")</f>
        <v/>
      </c>
      <c r="L16" s="246" t="str">
        <f>IF(COUNT(F16,I16)=0,"",N(F16)-N(I16))</f>
        <v/>
      </c>
      <c r="M16" s="247" t="str">
        <f>IF(COUNT(H16,K16)=0,"",N(K16)-N(H16))</f>
        <v/>
      </c>
      <c r="N16" s="246" t="str">
        <f>IF(AND(ISNUMBER(F16),ISNUMBER(I16),ISNUMBER(H16),ISNUMBER(K16),F16&gt;0,I16&gt;0,H16&lt;&gt;0),ROUND(MIN(F16,I16)*(K16/I16-H16/F16),8),"")</f>
        <v/>
      </c>
      <c r="O16" s="183" t="str">
        <f>IF(ISNUMBER(N16),ROUND(N16/(MIN(F16,I16)*H16/F16)*100,2),"")</f>
        <v/>
      </c>
    </row>
    <row r="17" ht="22" customHeight="1">
      <c r="B17" s="238" t="n"/>
      <c r="C17" s="237" t="n"/>
      <c r="D17" s="238" t="n"/>
      <c r="E17" s="239" t="n"/>
      <c r="F17" s="240" t="n"/>
      <c r="G17" s="177" t="n"/>
      <c r="H17" s="271" t="str">
        <f>IF(AND(ISNUMBER(F17),ISNUMBER(G17)),F17*G17,"")</f>
        <v/>
      </c>
      <c r="I17" s="240" t="n"/>
      <c r="J17" s="177" t="n"/>
      <c r="K17" s="271" t="str">
        <f>IF(AND(ISNUMBER(I17),ISNUMBER(J17)),I17*J17,"")</f>
        <v/>
      </c>
      <c r="L17" s="240" t="str">
        <f>IF(COUNT(F17,I17)=0,"",N(F17)-N(I17))</f>
        <v/>
      </c>
      <c r="M17" s="241" t="str">
        <f>IF(COUNT(H17,K17)=0,"",N(K17)-N(H17))</f>
        <v/>
      </c>
      <c r="N17" s="240" t="str">
        <f>IF(AND(ISNUMBER(F17),ISNUMBER(I17),ISNUMBER(H17),ISNUMBER(K17),F17&gt;0,I17&gt;0,H17&lt;&gt;0),ROUND(MIN(F17,I17)*(K17/I17-H17/F17),8),"")</f>
        <v/>
      </c>
      <c r="O17" s="177" t="str">
        <f>IF(ISNUMBER(N17),ROUND(N17/(MIN(F17,I17)*H17/F17)*100,2),"")</f>
        <v/>
      </c>
    </row>
    <row r="18" ht="22" customHeight="1">
      <c r="B18" s="244" t="n"/>
      <c r="C18" s="243" t="n"/>
      <c r="D18" s="244" t="n"/>
      <c r="E18" s="245" t="n"/>
      <c r="F18" s="246" t="n"/>
      <c r="G18" s="183" t="n"/>
      <c r="H18" s="271" t="str">
        <f>IF(AND(ISNUMBER(F18),ISNUMBER(G18)),F18*G18,"")</f>
        <v/>
      </c>
      <c r="I18" s="246" t="n"/>
      <c r="J18" s="183" t="n"/>
      <c r="K18" s="271" t="str">
        <f>IF(AND(ISNUMBER(I18),ISNUMBER(J18)),I18*J18,"")</f>
        <v/>
      </c>
      <c r="L18" s="246" t="str">
        <f>IF(COUNT(F18,I18)=0,"",N(F18)-N(I18))</f>
        <v/>
      </c>
      <c r="M18" s="247" t="str">
        <f>IF(COUNT(H18,K18)=0,"",N(K18)-N(H18))</f>
        <v/>
      </c>
      <c r="N18" s="246" t="str">
        <f>IF(AND(ISNUMBER(F18),ISNUMBER(I18),ISNUMBER(H18),ISNUMBER(K18),F18&gt;0,I18&gt;0,H18&lt;&gt;0),ROUND(MIN(F18,I18)*(K18/I18-H18/F18),8),"")</f>
        <v/>
      </c>
      <c r="O18" s="183" t="str">
        <f>IF(ISNUMBER(N18),ROUND(N18/(MIN(F18,I18)*H18/F18)*100,2),"")</f>
        <v/>
      </c>
    </row>
    <row r="19" ht="22" customHeight="1">
      <c r="B19" s="238" t="n"/>
      <c r="C19" s="237" t="n"/>
      <c r="D19" s="238" t="n"/>
      <c r="E19" s="239" t="n"/>
      <c r="F19" s="240" t="n"/>
      <c r="G19" s="177" t="n"/>
      <c r="H19" s="271" t="str">
        <f>IF(AND(ISNUMBER(F19),ISNUMBER(G19)),F19*G19,"")</f>
        <v/>
      </c>
      <c r="I19" s="240" t="n"/>
      <c r="J19" s="177" t="n"/>
      <c r="K19" s="271" t="str">
        <f>IF(AND(ISNUMBER(I19),ISNUMBER(J19)),I19*J19,"")</f>
        <v/>
      </c>
      <c r="L19" s="240" t="str">
        <f>IF(COUNT(F19,I19)=0,"",N(F19)-N(I19))</f>
        <v/>
      </c>
      <c r="M19" s="241" t="str">
        <f>IF(COUNT(H19,K19)=0,"",N(K19)-N(H19))</f>
        <v/>
      </c>
      <c r="N19" s="240" t="str">
        <f>IF(AND(ISNUMBER(F19),ISNUMBER(I19),ISNUMBER(H19),ISNUMBER(K19),F19&gt;0,I19&gt;0,H19&lt;&gt;0),ROUND(MIN(F19,I19)*(K19/I19-H19/F19),8),"")</f>
        <v/>
      </c>
      <c r="O19" s="177" t="str">
        <f>IF(ISNUMBER(N19),ROUND(N19/(MIN(F19,I19)*H19/F19)*100,2),"")</f>
        <v/>
      </c>
    </row>
    <row r="20" ht="22" customHeight="1">
      <c r="B20" s="244" t="n"/>
      <c r="C20" s="243" t="n"/>
      <c r="D20" s="244" t="n"/>
      <c r="E20" s="245" t="n"/>
      <c r="F20" s="246" t="n"/>
      <c r="G20" s="183" t="n"/>
      <c r="H20" s="271" t="str">
        <f>IF(AND(ISNUMBER(F20),ISNUMBER(G20)),F20*G20,"")</f>
        <v/>
      </c>
      <c r="I20" s="246" t="n"/>
      <c r="J20" s="183" t="n"/>
      <c r="K20" s="271" t="str">
        <f>IF(AND(ISNUMBER(I20),ISNUMBER(J20)),I20*J20,"")</f>
        <v/>
      </c>
      <c r="L20" s="246" t="str">
        <f>IF(COUNT(F20,I20)=0,"",N(F20)-N(I20))</f>
        <v/>
      </c>
      <c r="M20" s="247" t="str">
        <f>IF(COUNT(H20,K20)=0,"",N(K20)-N(H20))</f>
        <v/>
      </c>
      <c r="N20" s="246" t="str">
        <f>IF(AND(ISNUMBER(F20),ISNUMBER(I20),ISNUMBER(H20),ISNUMBER(K20),F20&gt;0,I20&gt;0,H20&lt;&gt;0),ROUND(MIN(F20,I20)*(K20/I20-H20/F20),8),"")</f>
        <v/>
      </c>
      <c r="O20" s="183" t="str">
        <f>IF(ISNUMBER(N20),ROUND(N20/(MIN(F20,I20)*H20/F20)*100,2),"")</f>
        <v/>
      </c>
    </row>
    <row r="21" ht="22" customHeight="1">
      <c r="B21" s="238" t="n"/>
      <c r="C21" s="237" t="n"/>
      <c r="D21" s="238" t="n"/>
      <c r="E21" s="239" t="n"/>
      <c r="F21" s="240" t="n"/>
      <c r="G21" s="177" t="n"/>
      <c r="H21" s="271" t="str">
        <f>IF(AND(ISNUMBER(F21),ISNUMBER(G21)),F21*G21,"")</f>
        <v/>
      </c>
      <c r="I21" s="240" t="n"/>
      <c r="J21" s="177" t="n"/>
      <c r="K21" s="271" t="str">
        <f>IF(AND(ISNUMBER(I21),ISNUMBER(J21)),I21*J21,"")</f>
        <v/>
      </c>
      <c r="L21" s="240" t="str">
        <f>IF(COUNT(F21,I21)=0,"",N(F21)-N(I21))</f>
        <v/>
      </c>
      <c r="M21" s="241" t="str">
        <f>IF(COUNT(H21,K21)=0,"",N(K21)-N(H21))</f>
        <v/>
      </c>
      <c r="N21" s="240" t="str">
        <f>IF(AND(ISNUMBER(F21),ISNUMBER(I21),ISNUMBER(H21),ISNUMBER(K21),F21&gt;0,I21&gt;0,H21&lt;&gt;0),ROUND(MIN(F21,I21)*(K21/I21-H21/F21),8),"")</f>
        <v/>
      </c>
      <c r="O21" s="177" t="str">
        <f>IF(ISNUMBER(N21),ROUND(N21/(MIN(F21,I21)*H21/F21)*100,2),"")</f>
        <v/>
      </c>
    </row>
    <row r="22" ht="22" customHeight="1">
      <c r="B22" s="244" t="n"/>
      <c r="C22" s="243" t="n"/>
      <c r="D22" s="244" t="n"/>
      <c r="E22" s="245" t="n"/>
      <c r="F22" s="246" t="n"/>
      <c r="G22" s="183" t="n"/>
      <c r="H22" s="271" t="str">
        <f>IF(AND(ISNUMBER(F22),ISNUMBER(G22)),F22*G22,"")</f>
        <v/>
      </c>
      <c r="I22" s="246" t="n"/>
      <c r="J22" s="183" t="n"/>
      <c r="K22" s="271" t="str">
        <f>IF(AND(ISNUMBER(I22),ISNUMBER(J22)),I22*J22,"")</f>
        <v/>
      </c>
      <c r="L22" s="246" t="str">
        <f>IF(COUNT(F22,I22)=0,"",N(F22)-N(I22))</f>
        <v/>
      </c>
      <c r="M22" s="247" t="str">
        <f>IF(COUNT(H22,K22)=0,"",N(K22)-N(H22))</f>
        <v/>
      </c>
      <c r="N22" s="246" t="str">
        <f>IF(AND(ISNUMBER(F22),ISNUMBER(I22),ISNUMBER(H22),ISNUMBER(K22),F22&gt;0,I22&gt;0,H22&lt;&gt;0),ROUND(MIN(F22,I22)*(K22/I22-H22/F22),8),"")</f>
        <v/>
      </c>
      <c r="O22" s="183" t="str">
        <f>IF(ISNUMBER(N22),ROUND(N22/(MIN(F22,I22)*H22/F22)*100,2),"")</f>
        <v/>
      </c>
    </row>
    <row r="23" ht="22" customHeight="1">
      <c r="B23" s="238" t="n"/>
      <c r="C23" s="237" t="n"/>
      <c r="D23" s="238" t="n"/>
      <c r="E23" s="239" t="n"/>
      <c r="F23" s="240" t="n"/>
      <c r="G23" s="177" t="n"/>
      <c r="H23" s="271" t="str">
        <f>IF(AND(ISNUMBER(F23),ISNUMBER(G23)),F23*G23,"")</f>
        <v/>
      </c>
      <c r="I23" s="240" t="n"/>
      <c r="J23" s="177" t="n"/>
      <c r="K23" s="271" t="str">
        <f>IF(AND(ISNUMBER(I23),ISNUMBER(J23)),I23*J23,"")</f>
        <v/>
      </c>
      <c r="L23" s="240" t="str">
        <f>IF(COUNT(F23,I23)=0,"",N(F23)-N(I23))</f>
        <v/>
      </c>
      <c r="M23" s="241" t="str">
        <f>IF(COUNT(H23,K23)=0,"",N(K23)-N(H23))</f>
        <v/>
      </c>
      <c r="N23" s="240" t="str">
        <f>IF(AND(ISNUMBER(F23),ISNUMBER(I23),ISNUMBER(H23),ISNUMBER(K23),F23&gt;0,I23&gt;0,H23&lt;&gt;0),ROUND(MIN(F23,I23)*(K23/I23-H23/F23),8),"")</f>
        <v/>
      </c>
      <c r="O23" s="177" t="str">
        <f>IF(ISNUMBER(N23),ROUND(N23/(MIN(F23,I23)*H23/F23)*100,2),"")</f>
        <v/>
      </c>
    </row>
    <row r="24" ht="22" customHeight="1">
      <c r="B24" s="244" t="n"/>
      <c r="C24" s="243" t="n"/>
      <c r="D24" s="244" t="n"/>
      <c r="E24" s="245" t="n"/>
      <c r="F24" s="246" t="n"/>
      <c r="G24" s="183" t="n"/>
      <c r="H24" s="271" t="str">
        <f>IF(AND(ISNUMBER(F24),ISNUMBER(G24)),F24*G24,"")</f>
        <v/>
      </c>
      <c r="I24" s="246" t="n"/>
      <c r="J24" s="183" t="n"/>
      <c r="K24" s="271" t="str">
        <f>IF(AND(ISNUMBER(I24),ISNUMBER(J24)),I24*J24,"")</f>
        <v/>
      </c>
      <c r="L24" s="246" t="str">
        <f>IF(COUNT(F24,I24)=0,"",N(F24)-N(I24))</f>
        <v/>
      </c>
      <c r="M24" s="247" t="str">
        <f>IF(COUNT(H24,K24)=0,"",N(K24)-N(H24))</f>
        <v/>
      </c>
      <c r="N24" s="246" t="str">
        <f>IF(AND(ISNUMBER(F24),ISNUMBER(I24),ISNUMBER(H24),ISNUMBER(K24),F24&gt;0,I24&gt;0,H24&lt;&gt;0),ROUND(MIN(F24,I24)*(K24/I24-H24/F24),8),"")</f>
        <v/>
      </c>
      <c r="O24" s="183" t="str">
        <f>IF(ISNUMBER(N24),ROUND(N24/(MIN(F24,I24)*H24/F24)*100,2),"")</f>
        <v/>
      </c>
    </row>
    <row r="25" ht="22" customHeight="1">
      <c r="B25" s="238" t="n"/>
      <c r="C25" s="237" t="n"/>
      <c r="D25" s="238" t="n"/>
      <c r="E25" s="239" t="n"/>
      <c r="F25" s="240" t="n"/>
      <c r="G25" s="177" t="n"/>
      <c r="H25" s="271" t="str">
        <f>IF(AND(ISNUMBER(F25),ISNUMBER(G25)),F25*G25,"")</f>
        <v/>
      </c>
      <c r="I25" s="240" t="n"/>
      <c r="J25" s="177" t="n"/>
      <c r="K25" s="271" t="str">
        <f>IF(AND(ISNUMBER(I25),ISNUMBER(J25)),I25*J25,"")</f>
        <v/>
      </c>
      <c r="L25" s="240" t="str">
        <f>IF(COUNT(F25,I25)=0,"",N(F25)-N(I25))</f>
        <v/>
      </c>
      <c r="M25" s="241" t="str">
        <f>IF(COUNT(H25,K25)=0,"",N(K25)-N(H25))</f>
        <v/>
      </c>
      <c r="N25" s="240" t="str">
        <f>IF(AND(ISNUMBER(F25),ISNUMBER(I25),ISNUMBER(H25),ISNUMBER(K25),F25&gt;0,I25&gt;0,H25&lt;&gt;0),ROUND(MIN(F25,I25)*(K25/I25-H25/F25),8),"")</f>
        <v/>
      </c>
      <c r="O25" s="177" t="str">
        <f>IF(ISNUMBER(N25),ROUND(N25/(MIN(F25,I25)*H25/F25)*100,2),"")</f>
        <v/>
      </c>
    </row>
    <row r="26" ht="22" customHeight="1">
      <c r="B26" s="244" t="n"/>
      <c r="C26" s="243" t="n"/>
      <c r="D26" s="244" t="n"/>
      <c r="E26" s="245" t="n"/>
      <c r="F26" s="246" t="n"/>
      <c r="G26" s="183" t="n"/>
      <c r="H26" s="271" t="str">
        <f>IF(AND(ISNUMBER(F26),ISNUMBER(G26)),F26*G26,"")</f>
        <v/>
      </c>
      <c r="I26" s="246" t="n"/>
      <c r="J26" s="183" t="n"/>
      <c r="K26" s="271" t="str">
        <f>IF(AND(ISNUMBER(I26),ISNUMBER(J26)),I26*J26,"")</f>
        <v/>
      </c>
      <c r="L26" s="246" t="str">
        <f>IF(COUNT(F26,I26)=0,"",N(F26)-N(I26))</f>
        <v/>
      </c>
      <c r="M26" s="247" t="str">
        <f>IF(COUNT(H26,K26)=0,"",N(K26)-N(H26))</f>
        <v/>
      </c>
      <c r="N26" s="246" t="str">
        <f>IF(AND(ISNUMBER(F26),ISNUMBER(I26),ISNUMBER(H26),ISNUMBER(K26),F26&gt;0,I26&gt;0,H26&lt;&gt;0),ROUND(MIN(F26,I26)*(K26/I26-H26/F26),8),"")</f>
        <v/>
      </c>
      <c r="O26" s="183" t="str">
        <f>IF(ISNUMBER(N26),ROUND(N26/(MIN(F26,I26)*H26/F26)*100,2),"")</f>
        <v/>
      </c>
    </row>
    <row r="27" ht="22" customHeight="1">
      <c r="B27" s="238" t="n"/>
      <c r="C27" s="237" t="n"/>
      <c r="D27" s="238" t="n"/>
      <c r="E27" s="239" t="n"/>
      <c r="F27" s="240" t="n"/>
      <c r="G27" s="177" t="n"/>
      <c r="H27" s="271" t="str">
        <f>IF(AND(ISNUMBER(F27),ISNUMBER(G27)),F27*G27,"")</f>
        <v/>
      </c>
      <c r="I27" s="240" t="n"/>
      <c r="J27" s="177" t="n"/>
      <c r="K27" s="271" t="str">
        <f>IF(AND(ISNUMBER(I27),ISNUMBER(J27)),I27*J27,"")</f>
        <v/>
      </c>
      <c r="L27" s="240" t="str">
        <f>IF(COUNT(F27,I27)=0,"",N(F27)-N(I27))</f>
        <v/>
      </c>
      <c r="M27" s="241" t="str">
        <f>IF(COUNT(H27,K27)=0,"",N(K27)-N(H27))</f>
        <v/>
      </c>
      <c r="N27" s="240" t="str">
        <f>IF(AND(ISNUMBER(F27),ISNUMBER(I27),ISNUMBER(H27),ISNUMBER(K27),F27&gt;0,I27&gt;0,H27&lt;&gt;0),ROUND(MIN(F27,I27)*(K27/I27-H27/F27),8),"")</f>
        <v/>
      </c>
      <c r="O27" s="177" t="str">
        <f>IF(ISNUMBER(N27),ROUND(N27/(MIN(F27,I27)*H27/F27)*100,2),"")</f>
        <v/>
      </c>
    </row>
    <row r="28" ht="22" customHeight="1">
      <c r="B28" s="244" t="n"/>
      <c r="C28" s="243" t="n"/>
      <c r="D28" s="244" t="n"/>
      <c r="E28" s="245" t="n"/>
      <c r="F28" s="246" t="n"/>
      <c r="G28" s="183" t="n"/>
      <c r="H28" s="271" t="str">
        <f>IF(AND(ISNUMBER(F28),ISNUMBER(G28)),F28*G28,"")</f>
        <v/>
      </c>
      <c r="I28" s="246" t="n"/>
      <c r="J28" s="183" t="n"/>
      <c r="K28" s="271" t="str">
        <f>IF(AND(ISNUMBER(I28),ISNUMBER(J28)),I28*J28,"")</f>
        <v/>
      </c>
      <c r="L28" s="246" t="str">
        <f>IF(COUNT(F28,I28)=0,"",N(F28)-N(I28))</f>
        <v/>
      </c>
      <c r="M28" s="247" t="str">
        <f>IF(COUNT(H28,K28)=0,"",N(K28)-N(H28))</f>
        <v/>
      </c>
      <c r="N28" s="246" t="str">
        <f>IF(AND(ISNUMBER(F28),ISNUMBER(I28),ISNUMBER(H28),ISNUMBER(K28),F28&gt;0,I28&gt;0,H28&lt;&gt;0),ROUND(MIN(F28,I28)*(K28/I28-H28/F28),8),"")</f>
        <v/>
      </c>
      <c r="O28" s="183" t="str">
        <f>IF(ISNUMBER(N28),ROUND(N28/(MIN(F28,I28)*H28/F28)*100,2),"")</f>
        <v/>
      </c>
    </row>
    <row r="29" ht="22" customHeight="1">
      <c r="B29" s="238" t="n"/>
      <c r="C29" s="237" t="n"/>
      <c r="D29" s="238" t="n"/>
      <c r="E29" s="239" t="n"/>
      <c r="F29" s="240" t="n"/>
      <c r="G29" s="177" t="n"/>
      <c r="H29" s="271" t="str">
        <f>IF(AND(ISNUMBER(F29),ISNUMBER(G29)),F29*G29,"")</f>
        <v/>
      </c>
      <c r="I29" s="240" t="n"/>
      <c r="J29" s="177" t="n"/>
      <c r="K29" s="271" t="str">
        <f>IF(AND(ISNUMBER(I29),ISNUMBER(J29)),I29*J29,"")</f>
        <v/>
      </c>
      <c r="L29" s="240" t="str">
        <f>IF(COUNT(F29,I29)=0,"",N(F29)-N(I29))</f>
        <v/>
      </c>
      <c r="M29" s="241" t="str">
        <f>IF(COUNT(H29,K29)=0,"",N(K29)-N(H29))</f>
        <v/>
      </c>
      <c r="N29" s="240" t="str">
        <f>IF(AND(ISNUMBER(F29),ISNUMBER(I29),ISNUMBER(H29),ISNUMBER(K29),F29&gt;0,I29&gt;0,H29&lt;&gt;0),ROUND(MIN(F29,I29)*(K29/I29-H29/F29),8),"")</f>
        <v/>
      </c>
      <c r="O29" s="177" t="str">
        <f>IF(ISNUMBER(N29),ROUND(N29/(MIN(F29,I29)*H29/F29)*100,2),"")</f>
        <v/>
      </c>
    </row>
    <row r="30" ht="22" customHeight="1">
      <c r="B30" s="244" t="n"/>
      <c r="C30" s="243" t="n"/>
      <c r="D30" s="244" t="n"/>
      <c r="E30" s="245" t="n"/>
      <c r="F30" s="246" t="n"/>
      <c r="G30" s="183" t="n"/>
      <c r="H30" s="271" t="str">
        <f>IF(AND(ISNUMBER(F30),ISNUMBER(G30)),F30*G30,"")</f>
        <v/>
      </c>
      <c r="I30" s="246" t="n"/>
      <c r="J30" s="183" t="n"/>
      <c r="K30" s="271" t="str">
        <f>IF(AND(ISNUMBER(I30),ISNUMBER(J30)),I30*J30,"")</f>
        <v/>
      </c>
      <c r="L30" s="246" t="str">
        <f>IF(COUNT(F30,I30)=0,"",N(F30)-N(I30))</f>
        <v/>
      </c>
      <c r="M30" s="247" t="str">
        <f>IF(COUNT(H30,K30)=0,"",N(K30)-N(H30))</f>
        <v/>
      </c>
      <c r="N30" s="246" t="str">
        <f>IF(AND(ISNUMBER(F30),ISNUMBER(I30),ISNUMBER(H30),ISNUMBER(K30),F30&gt;0,I30&gt;0,H30&lt;&gt;0),ROUND(MIN(F30,I30)*(K30/I30-H30/F30),8),"")</f>
        <v/>
      </c>
      <c r="O30" s="183" t="str">
        <f>IF(ISNUMBER(N30),ROUND(N30/(MIN(F30,I30)*H30/F30)*100,2),"")</f>
        <v/>
      </c>
    </row>
    <row r="31" ht="22" customHeight="1">
      <c r="B31" s="238" t="n"/>
      <c r="C31" s="237" t="n"/>
      <c r="D31" s="238" t="n"/>
      <c r="E31" s="239" t="n"/>
      <c r="F31" s="240" t="n"/>
      <c r="G31" s="177" t="n"/>
      <c r="H31" s="271" t="str">
        <f>IF(AND(ISNUMBER(F31),ISNUMBER(G31)),F31*G31,"")</f>
        <v/>
      </c>
      <c r="I31" s="240" t="n"/>
      <c r="J31" s="177" t="n"/>
      <c r="K31" s="271" t="str">
        <f>IF(AND(ISNUMBER(I31),ISNUMBER(J31)),I31*J31,"")</f>
        <v/>
      </c>
      <c r="L31" s="240" t="str">
        <f>IF(COUNT(F31,I31)=0,"",N(F31)-N(I31))</f>
        <v/>
      </c>
      <c r="M31" s="241" t="str">
        <f>IF(COUNT(H31,K31)=0,"",N(K31)-N(H31))</f>
        <v/>
      </c>
      <c r="N31" s="240" t="str">
        <f>IF(AND(ISNUMBER(F31),ISNUMBER(I31),ISNUMBER(H31),ISNUMBER(K31),F31&gt;0,I31&gt;0,H31&lt;&gt;0),ROUND(MIN(F31,I31)*(K31/I31-H31/F31),8),"")</f>
        <v/>
      </c>
      <c r="O31" s="177" t="str">
        <f>IF(ISNUMBER(N31),ROUND(N31/(MIN(F31,I31)*H31/F31)*100,2),"")</f>
        <v/>
      </c>
    </row>
    <row r="32" ht="22" customHeight="1">
      <c r="B32" s="244" t="n"/>
      <c r="C32" s="243" t="n"/>
      <c r="D32" s="244" t="n"/>
      <c r="E32" s="245" t="n"/>
      <c r="F32" s="246" t="n"/>
      <c r="G32" s="183" t="n"/>
      <c r="H32" s="271" t="str">
        <f>IF(AND(ISNUMBER(F32),ISNUMBER(G32)),F32*G32,"")</f>
        <v/>
      </c>
      <c r="I32" s="246" t="n"/>
      <c r="J32" s="183" t="n"/>
      <c r="K32" s="271" t="str">
        <f>IF(AND(ISNUMBER(I32),ISNUMBER(J32)),I32*J32,"")</f>
        <v/>
      </c>
      <c r="L32" s="246" t="str">
        <f>IF(COUNT(F32,I32)=0,"",N(F32)-N(I32))</f>
        <v/>
      </c>
      <c r="M32" s="247" t="str">
        <f>IF(COUNT(H32,K32)=0,"",N(K32)-N(H32))</f>
        <v/>
      </c>
      <c r="N32" s="246" t="str">
        <f>IF(AND(ISNUMBER(F32),ISNUMBER(I32),ISNUMBER(H32),ISNUMBER(K32),F32&gt;0,I32&gt;0,H32&lt;&gt;0),ROUND(MIN(F32,I32)*(K32/I32-H32/F32),8),"")</f>
        <v/>
      </c>
      <c r="O32" s="183" t="str">
        <f>IF(ISNUMBER(N32),ROUND(N32/(MIN(F32,I32)*H32/F32)*100,2),"")</f>
        <v/>
      </c>
    </row>
    <row r="33" ht="22" customHeight="1">
      <c r="B33" s="238" t="n"/>
      <c r="C33" s="237" t="n"/>
      <c r="D33" s="238" t="n"/>
      <c r="E33" s="239" t="n"/>
      <c r="F33" s="240" t="n"/>
      <c r="G33" s="177" t="n"/>
      <c r="H33" s="271" t="str">
        <f>IF(AND(ISNUMBER(F33),ISNUMBER(G33)),F33*G33,"")</f>
        <v/>
      </c>
      <c r="I33" s="240" t="n"/>
      <c r="J33" s="177" t="n"/>
      <c r="K33" s="271" t="str">
        <f>IF(AND(ISNUMBER(I33),ISNUMBER(J33)),I33*J33,"")</f>
        <v/>
      </c>
      <c r="L33" s="240" t="str">
        <f>IF(COUNT(F33,I33)=0,"",N(F33)-N(I33))</f>
        <v/>
      </c>
      <c r="M33" s="241" t="str">
        <f>IF(COUNT(H33,K33)=0,"",N(K33)-N(H33))</f>
        <v/>
      </c>
      <c r="N33" s="240" t="str">
        <f>IF(AND(ISNUMBER(F33),ISNUMBER(I33),ISNUMBER(H33),ISNUMBER(K33),F33&gt;0,I33&gt;0,H33&lt;&gt;0),ROUND(MIN(F33,I33)*(K33/I33-H33/F33),8),"")</f>
        <v/>
      </c>
      <c r="O33" s="177" t="str">
        <f>IF(ISNUMBER(N33),ROUND(N33/(MIN(F33,I33)*H33/F33)*100,2),"")</f>
        <v/>
      </c>
    </row>
    <row r="34" ht="22" customHeight="1">
      <c r="B34" s="244" t="n"/>
      <c r="C34" s="243" t="n"/>
      <c r="D34" s="244" t="n"/>
      <c r="E34" s="245" t="n"/>
      <c r="F34" s="246" t="n"/>
      <c r="G34" s="183" t="n"/>
      <c r="H34" s="271" t="str">
        <f>IF(AND(ISNUMBER(F34),ISNUMBER(G34)),F34*G34,"")</f>
        <v/>
      </c>
      <c r="I34" s="246" t="n"/>
      <c r="J34" s="183" t="n"/>
      <c r="K34" s="271" t="str">
        <f>IF(AND(ISNUMBER(I34),ISNUMBER(J34)),I34*J34,"")</f>
        <v/>
      </c>
      <c r="L34" s="246" t="str">
        <f>IF(COUNT(F34,I34)=0,"",N(F34)-N(I34))</f>
        <v/>
      </c>
      <c r="M34" s="247" t="str">
        <f>IF(COUNT(H34,K34)=0,"",N(K34)-N(H34))</f>
        <v/>
      </c>
      <c r="N34" s="246" t="str">
        <f>IF(AND(ISNUMBER(F34),ISNUMBER(I34),ISNUMBER(H34),ISNUMBER(K34),F34&gt;0,I34&gt;0,H34&lt;&gt;0),ROUND(MIN(F34,I34)*(K34/I34-H34/F34),8),"")</f>
        <v/>
      </c>
      <c r="O34" s="183" t="str">
        <f>IF(ISNUMBER(N34),ROUND(N34/(MIN(F34,I34)*H34/F34)*100,2),"")</f>
        <v/>
      </c>
    </row>
    <row r="35" ht="22" customHeight="1">
      <c r="B35" s="238" t="n"/>
      <c r="C35" s="237" t="n"/>
      <c r="D35" s="238" t="n"/>
      <c r="E35" s="239" t="n"/>
      <c r="F35" s="240" t="n"/>
      <c r="G35" s="177" t="n"/>
      <c r="H35" s="271" t="str">
        <f>IF(AND(ISNUMBER(F35),ISNUMBER(G35)),F35*G35,"")</f>
        <v/>
      </c>
      <c r="I35" s="240" t="n"/>
      <c r="J35" s="177" t="n"/>
      <c r="K35" s="271" t="str">
        <f>IF(AND(ISNUMBER(I35),ISNUMBER(J35)),I35*J35,"")</f>
        <v/>
      </c>
      <c r="L35" s="240" t="str">
        <f>IF(COUNT(F35,I35)=0,"",N(F35)-N(I35))</f>
        <v/>
      </c>
      <c r="M35" s="241" t="str">
        <f>IF(COUNT(H35,K35)=0,"",N(K35)-N(H35))</f>
        <v/>
      </c>
      <c r="N35" s="240" t="str">
        <f>IF(AND(ISNUMBER(F35),ISNUMBER(I35),ISNUMBER(H35),ISNUMBER(K35),F35&gt;0,I35&gt;0,H35&lt;&gt;0),ROUND(MIN(F35,I35)*(K35/I35-H35/F35),8),"")</f>
        <v/>
      </c>
      <c r="O35" s="177" t="str">
        <f>IF(ISNUMBER(N35),ROUND(N35/(MIN(F35,I35)*H35/F35)*100,2),"")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71" t="str">
        <f>IF(AND(ISNUMBER(F36),ISNUMBER(G36)),F36*G36,"")</f>
        <v/>
      </c>
      <c r="I36" s="246" t="n"/>
      <c r="J36" s="183" t="n"/>
      <c r="K36" s="271" t="str">
        <f>IF(AND(ISNUMBER(I36),ISNUMBER(J36)),I36*J36,"")</f>
        <v/>
      </c>
      <c r="L36" s="246" t="str">
        <f>IF(COUNT(F36,I36)=0,"",N(F36)-N(I36))</f>
        <v/>
      </c>
      <c r="M36" s="247" t="str">
        <f>IF(COUNT(H36,K36)=0,"",N(K36)-N(H36))</f>
        <v/>
      </c>
      <c r="N36" s="246" t="str">
        <f>IF(AND(ISNUMBER(F36),ISNUMBER(I36),ISNUMBER(H36),ISNUMBER(K36),F36&gt;0,I36&gt;0,H36&lt;&gt;0),ROUND(MIN(F36,I36)*(K36/I36-H36/F36),8),"")</f>
        <v/>
      </c>
      <c r="O36" s="183" t="str">
        <f>IF(ISNUMBER(N36),ROUND(N36/(MIN(F36,I36)*H36/F36)*100,2),"")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71" t="str">
        <f>IF(AND(ISNUMBER(F37),ISNUMBER(G37)),F37*G37,"")</f>
        <v/>
      </c>
      <c r="I37" s="240" t="n"/>
      <c r="J37" s="177" t="n"/>
      <c r="K37" s="271" t="str">
        <f>IF(AND(ISNUMBER(I37),ISNUMBER(J37)),I37*J37,"")</f>
        <v/>
      </c>
      <c r="L37" s="240" t="str">
        <f>IF(COUNT(F37,I37)=0,"",N(F37)-N(I37))</f>
        <v/>
      </c>
      <c r="M37" s="241" t="str">
        <f>IF(COUNT(H37,K37)=0,"",N(K37)-N(H37))</f>
        <v/>
      </c>
      <c r="N37" s="240" t="str">
        <f>IF(AND(ISNUMBER(F37),ISNUMBER(I37),ISNUMBER(H37),ISNUMBER(K37),F37&gt;0,I37&gt;0,H37&lt;&gt;0),ROUND(MIN(F37,I37)*(K37/I37-H37/F37),8),"")</f>
        <v/>
      </c>
      <c r="O37" s="177" t="str">
        <f>IF(ISNUMBER(N37),ROUND(N37/(MIN(F37,I37)*H37/F37)*100,2),"")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71" t="str">
        <f>IF(AND(ISNUMBER(F38),ISNUMBER(G38)),F38*G38,"")</f>
        <v/>
      </c>
      <c r="I38" s="246" t="n"/>
      <c r="J38" s="183" t="n"/>
      <c r="K38" s="271" t="str">
        <f>IF(AND(ISNUMBER(I38),ISNUMBER(J38)),I38*J38,"")</f>
        <v/>
      </c>
      <c r="L38" s="246" t="str">
        <f>IF(COUNT(F38,I38)=0,"",N(F38)-N(I38))</f>
        <v/>
      </c>
      <c r="M38" s="247" t="str">
        <f>IF(COUNT(H38,K38)=0,"",N(K38)-N(H38))</f>
        <v/>
      </c>
      <c r="N38" s="246" t="str">
        <f>IF(AND(ISNUMBER(F38),ISNUMBER(I38),ISNUMBER(H38),ISNUMBER(K38),F38&gt;0,I38&gt;0,H38&lt;&gt;0),ROUND(MIN(F38,I38)*(K38/I38-H38/F38),8),"")</f>
        <v/>
      </c>
      <c r="O38" s="183" t="str">
        <f>IF(ISNUMBER(N38),ROUND(N38/(MIN(F38,I38)*H38/F38)*100,2),"")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71" t="str">
        <f>IF(AND(ISNUMBER(F39),ISNUMBER(G39)),F39*G39,"")</f>
        <v/>
      </c>
      <c r="I39" s="240" t="n"/>
      <c r="J39" s="177" t="n"/>
      <c r="K39" s="271" t="str">
        <f>IF(AND(ISNUMBER(I39),ISNUMBER(J39)),I39*J39,"")</f>
        <v/>
      </c>
      <c r="L39" s="240" t="str">
        <f>IF(COUNT(F39,I39)=0,"",N(F39)-N(I39))</f>
        <v/>
      </c>
      <c r="M39" s="241" t="str">
        <f>IF(COUNT(H39,K39)=0,"",N(K39)-N(H39))</f>
        <v/>
      </c>
      <c r="N39" s="240" t="str">
        <f>IF(AND(ISNUMBER(F39),ISNUMBER(I39),ISNUMBER(H39),ISNUMBER(K39),F39&gt;0,I39&gt;0,H39&lt;&gt;0),ROUND(MIN(F39,I39)*(K39/I39-H39/F39),8),"")</f>
        <v/>
      </c>
      <c r="O39" s="177" t="str">
        <f>IF(ISNUMBER(N39),ROUND(N39/(MIN(F39,I39)*H39/F39)*100,2),"")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71" t="str">
        <f>IF(AND(ISNUMBER(F40),ISNUMBER(G40)),F40*G40,"")</f>
        <v/>
      </c>
      <c r="I40" s="246" t="n"/>
      <c r="J40" s="183" t="n"/>
      <c r="K40" s="271" t="str">
        <f>IF(AND(ISNUMBER(I40),ISNUMBER(J40)),I40*J40,"")</f>
        <v/>
      </c>
      <c r="L40" s="246" t="str">
        <f>IF(COUNT(F40,I40)=0,"",N(F40)-N(I40))</f>
        <v/>
      </c>
      <c r="M40" s="247" t="str">
        <f>IF(COUNT(H40,K40)=0,"",N(K40)-N(H40))</f>
        <v/>
      </c>
      <c r="N40" s="246" t="str">
        <f>IF(AND(ISNUMBER(F40),ISNUMBER(I40),ISNUMBER(H40),ISNUMBER(K40),F40&gt;0,I40&gt;0,H40&lt;&gt;0),ROUND(MIN(F40,I40)*(K40/I40-H40/F40),8),"")</f>
        <v/>
      </c>
      <c r="O40" s="183" t="str">
        <f>IF(ISNUMBER(N40),ROUND(N40/(MIN(F40,I40)*H40/F40)*100,2),"")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71" t="str">
        <f>IF(AND(ISNUMBER(F41),ISNUMBER(G41)),F41*G41,"")</f>
        <v/>
      </c>
      <c r="I41" s="240" t="n"/>
      <c r="J41" s="177" t="n"/>
      <c r="K41" s="271" t="str">
        <f>IF(AND(ISNUMBER(I41),ISNUMBER(J41)),I41*J41,"")</f>
        <v/>
      </c>
      <c r="L41" s="240" t="str">
        <f>IF(COUNT(F41,I41)=0,"",N(F41)-N(I41))</f>
        <v/>
      </c>
      <c r="M41" s="241" t="str">
        <f>IF(COUNT(H41,K41)=0,"",N(K41)-N(H41))</f>
        <v/>
      </c>
      <c r="N41" s="240" t="str">
        <f>IF(AND(ISNUMBER(F41),ISNUMBER(I41),ISNUMBER(H41),ISNUMBER(K41),F41&gt;0,I41&gt;0,H41&lt;&gt;0),ROUND(MIN(F41,I41)*(K41/I41-H41/F41),8),"")</f>
        <v/>
      </c>
      <c r="O41" s="177" t="str">
        <f>IF(ISNUMBER(N41),ROUND(N41/(MIN(F41,I41)*H41/F41)*100,2),"")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71" t="str">
        <f>IF(AND(ISNUMBER(F42),ISNUMBER(G42)),F42*G42,"")</f>
        <v/>
      </c>
      <c r="I42" s="246" t="n"/>
      <c r="J42" s="183" t="n"/>
      <c r="K42" s="271" t="str">
        <f>IF(AND(ISNUMBER(I42),ISNUMBER(J42)),I42*J42,"")</f>
        <v/>
      </c>
      <c r="L42" s="246" t="str">
        <f>IF(COUNT(F42,I42)=0,"",N(F42)-N(I42))</f>
        <v/>
      </c>
      <c r="M42" s="247" t="str">
        <f>IF(COUNT(H42,K42)=0,"",N(K42)-N(H42))</f>
        <v/>
      </c>
      <c r="N42" s="246" t="str">
        <f>IF(AND(ISNUMBER(F42),ISNUMBER(I42),ISNUMBER(H42),ISNUMBER(K42),F42&gt;0,I42&gt;0,H42&lt;&gt;0),ROUND(MIN(F42,I42)*(K42/I42-H42/F42),8),"")</f>
        <v/>
      </c>
      <c r="O42" s="183" t="str">
        <f>IF(ISNUMBER(N42),ROUND(N42/(MIN(F42,I42)*H42/F42)*100,2),"")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71" t="str">
        <f>IF(AND(ISNUMBER(F43),ISNUMBER(G43)),F43*G43,"")</f>
        <v/>
      </c>
      <c r="I43" s="240" t="n"/>
      <c r="J43" s="177" t="n"/>
      <c r="K43" s="271" t="str">
        <f>IF(AND(ISNUMBER(I43),ISNUMBER(J43)),I43*J43,"")</f>
        <v/>
      </c>
      <c r="L43" s="240" t="str">
        <f>IF(COUNT(F43,I43)=0,"",N(F43)-N(I43))</f>
        <v/>
      </c>
      <c r="M43" s="241" t="str">
        <f>IF(COUNT(H43,K43)=0,"",N(K43)-N(H43))</f>
        <v/>
      </c>
      <c r="N43" s="240" t="str">
        <f>IF(AND(ISNUMBER(F43),ISNUMBER(I43),ISNUMBER(H43),ISNUMBER(K43),F43&gt;0,I43&gt;0,H43&lt;&gt;0),ROUND(MIN(F43,I43)*(K43/I43-H43/F43),8),"")</f>
        <v/>
      </c>
      <c r="O43" s="177" t="str">
        <f>IF(ISNUMBER(N43),ROUND(N43/(MIN(F43,I43)*H43/F43)*100,2),"")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71" t="str">
        <f>IF(AND(ISNUMBER(F44),ISNUMBER(G44)),F44*G44,"")</f>
        <v/>
      </c>
      <c r="I44" s="246" t="n"/>
      <c r="J44" s="183" t="n"/>
      <c r="K44" s="271" t="str">
        <f>IF(AND(ISNUMBER(I44),ISNUMBER(J44)),I44*J44,"")</f>
        <v/>
      </c>
      <c r="L44" s="246" t="str">
        <f>IF(COUNT(F44,I44)=0,"",N(F44)-N(I44))</f>
        <v/>
      </c>
      <c r="M44" s="247" t="str">
        <f>IF(COUNT(H44,K44)=0,"",N(K44)-N(H44))</f>
        <v/>
      </c>
      <c r="N44" s="246" t="str">
        <f>IF(AND(ISNUMBER(F44),ISNUMBER(I44),ISNUMBER(H44),ISNUMBER(K44),F44&gt;0,I44&gt;0,H44&lt;&gt;0),ROUND(MIN(F44,I44)*(K44/I44-H44/F44),8),"")</f>
        <v/>
      </c>
      <c r="O44" s="183" t="str">
        <f>IF(ISNUMBER(N44),ROUND(N44/(MIN(F44,I44)*H44/F44)*100,2),"")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71" t="str">
        <f>IF(AND(ISNUMBER(F45),ISNUMBER(G45)),F45*G45,"")</f>
        <v/>
      </c>
      <c r="I45" s="240" t="n"/>
      <c r="J45" s="177" t="n"/>
      <c r="K45" s="271" t="str">
        <f>IF(AND(ISNUMBER(I45),ISNUMBER(J45)),I45*J45,"")</f>
        <v/>
      </c>
      <c r="L45" s="240" t="str">
        <f>IF(COUNT(F45,I45)=0,"",N(F45)-N(I45))</f>
        <v/>
      </c>
      <c r="M45" s="241" t="str">
        <f>IF(COUNT(H45,K45)=0,"",N(K45)-N(H45))</f>
        <v/>
      </c>
      <c r="N45" s="240" t="str">
        <f>IF(AND(ISNUMBER(F45),ISNUMBER(I45),ISNUMBER(H45),ISNUMBER(K45),F45&gt;0,I45&gt;0,H45&lt;&gt;0),ROUND(MIN(F45,I45)*(K45/I45-H45/F45),8),"")</f>
        <v/>
      </c>
      <c r="O45" s="177" t="str">
        <f>IF(ISNUMBER(N45),ROUND(N45/(MIN(F45,I45)*H45/F45)*100,2),"")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71" t="str">
        <f>IF(AND(ISNUMBER(F46),ISNUMBER(G46)),F46*G46,"")</f>
        <v/>
      </c>
      <c r="I46" s="246" t="n"/>
      <c r="J46" s="183" t="n"/>
      <c r="K46" s="271" t="str">
        <f>IF(AND(ISNUMBER(I46),ISNUMBER(J46)),I46*J46,"")</f>
        <v/>
      </c>
      <c r="L46" s="246" t="str">
        <f>IF(COUNT(F46,I46)=0,"",N(F46)-N(I46))</f>
        <v/>
      </c>
      <c r="M46" s="247" t="str">
        <f>IF(COUNT(H46,K46)=0,"",N(K46)-N(H46))</f>
        <v/>
      </c>
      <c r="N46" s="246" t="str">
        <f>IF(AND(ISNUMBER(F46),ISNUMBER(I46),ISNUMBER(H46),ISNUMBER(K46),F46&gt;0,I46&gt;0,H46&lt;&gt;0),ROUND(MIN(F46,I46)*(K46/I46-H46/F46),8),"")</f>
        <v/>
      </c>
      <c r="O46" s="183" t="str">
        <f>IF(ISNUMBER(N46),ROUND(N46/(MIN(F46,I46)*H46/F46)*100,2),"")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71" t="str">
        <f>IF(AND(ISNUMBER(F47),ISNUMBER(G47)),F47*G47,"")</f>
        <v/>
      </c>
      <c r="I47" s="240" t="n"/>
      <c r="J47" s="177" t="n"/>
      <c r="K47" s="271" t="str">
        <f>IF(AND(ISNUMBER(I47),ISNUMBER(J47)),I47*J47,"")</f>
        <v/>
      </c>
      <c r="L47" s="240" t="str">
        <f>IF(COUNT(F47,I47)=0,"",N(F47)-N(I47))</f>
        <v/>
      </c>
      <c r="M47" s="241" t="str">
        <f>IF(COUNT(H47,K47)=0,"",N(K47)-N(H47))</f>
        <v/>
      </c>
      <c r="N47" s="240" t="str">
        <f>IF(AND(ISNUMBER(F47),ISNUMBER(I47),ISNUMBER(H47),ISNUMBER(K47),F47&gt;0,I47&gt;0,H47&lt;&gt;0),ROUND(MIN(F47,I47)*(K47/I47-H47/F47),8),"")</f>
        <v/>
      </c>
      <c r="O47" s="177" t="str">
        <f>IF(ISNUMBER(N47),ROUND(N47/(MIN(F47,I47)*H47/F47)*100,2),"")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71" t="str">
        <f>IF(AND(ISNUMBER(F48),ISNUMBER(G48)),F48*G48,"")</f>
        <v/>
      </c>
      <c r="I48" s="246" t="n"/>
      <c r="J48" s="183" t="n"/>
      <c r="K48" s="271" t="str">
        <f>IF(AND(ISNUMBER(I48),ISNUMBER(J48)),I48*J48,"")</f>
        <v/>
      </c>
      <c r="L48" s="246" t="str">
        <f>IF(COUNT(F48,I48)=0,"",N(F48)-N(I48))</f>
        <v/>
      </c>
      <c r="M48" s="247" t="str">
        <f>IF(COUNT(H48,K48)=0,"",N(K48)-N(H48))</f>
        <v/>
      </c>
      <c r="N48" s="246" t="str">
        <f>IF(AND(ISNUMBER(F48),ISNUMBER(I48),ISNUMBER(H48),ISNUMBER(K48),F48&gt;0,I48&gt;0,H48&lt;&gt;0),ROUND(MIN(F48,I48)*(K48/I48-H48/F48),8),"")</f>
        <v/>
      </c>
      <c r="O48" s="183" t="str">
        <f>IF(ISNUMBER(N48),ROUND(N48/(MIN(F48,I48)*H48/F48)*100,2),"")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71" t="str">
        <f>IF(AND(ISNUMBER(F49),ISNUMBER(G49)),F49*G49,"")</f>
        <v/>
      </c>
      <c r="I49" s="240" t="n"/>
      <c r="J49" s="177" t="n"/>
      <c r="K49" s="271" t="str">
        <f>IF(AND(ISNUMBER(I49),ISNUMBER(J49)),I49*J49,"")</f>
        <v/>
      </c>
      <c r="L49" s="240" t="str">
        <f>IF(COUNT(F49,I49)=0,"",N(F49)-N(I49))</f>
        <v/>
      </c>
      <c r="M49" s="241" t="str">
        <f>IF(COUNT(H49,K49)=0,"",N(K49)-N(H49))</f>
        <v/>
      </c>
      <c r="N49" s="240" t="str">
        <f>IF(AND(ISNUMBER(F49),ISNUMBER(I49),ISNUMBER(H49),ISNUMBER(K49),F49&gt;0,I49&gt;0,H49&lt;&gt;0),ROUND(MIN(F49,I49)*(K49/I49-H49/F49),8),"")</f>
        <v/>
      </c>
      <c r="O49" s="177" t="str">
        <f>IF(ISNUMBER(N49),ROUND(N49/(MIN(F49,I49)*H49/F49)*100,2),"")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71" t="str">
        <f>IF(AND(ISNUMBER(F50),ISNUMBER(G50)),F50*G50,"")</f>
        <v/>
      </c>
      <c r="I50" s="246" t="n"/>
      <c r="J50" s="183" t="n"/>
      <c r="K50" s="271" t="str">
        <f>IF(AND(ISNUMBER(I50),ISNUMBER(J50)),I50*J50,"")</f>
        <v/>
      </c>
      <c r="L50" s="246" t="str">
        <f>IF(COUNT(F50,I50)=0,"",N(F50)-N(I50))</f>
        <v/>
      </c>
      <c r="M50" s="247" t="str">
        <f>IF(COUNT(H50,K50)=0,"",N(K50)-N(H50))</f>
        <v/>
      </c>
      <c r="N50" s="246" t="str">
        <f>IF(AND(ISNUMBER(F50),ISNUMBER(I50),ISNUMBER(H50),ISNUMBER(K50),F50&gt;0,I50&gt;0,H50&lt;&gt;0),ROUND(MIN(F50,I50)*(K50/I50-H50/F50),8),"")</f>
        <v/>
      </c>
      <c r="O50" s="183" t="str">
        <f>IF(ISNUMBER(N50),ROUND(N50/(MIN(F50,I50)*H50/F50)*100,2),"")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71" t="str">
        <f>IF(AND(ISNUMBER(F51),ISNUMBER(G51)),F51*G51,"")</f>
        <v/>
      </c>
      <c r="I51" s="240" t="n"/>
      <c r="J51" s="177" t="n"/>
      <c r="K51" s="271" t="str">
        <f>IF(AND(ISNUMBER(I51),ISNUMBER(J51)),I51*J51,"")</f>
        <v/>
      </c>
      <c r="L51" s="240" t="str">
        <f>IF(COUNT(F51,I51)=0,"",N(F51)-N(I51))</f>
        <v/>
      </c>
      <c r="M51" s="241" t="str">
        <f>IF(COUNT(H51,K51)=0,"",N(K51)-N(H51))</f>
        <v/>
      </c>
      <c r="N51" s="240" t="str">
        <f>IF(AND(ISNUMBER(F51),ISNUMBER(I51),ISNUMBER(H51),ISNUMBER(K51),F51&gt;0,I51&gt;0,H51&lt;&gt;0),ROUND(MIN(F51,I51)*(K51/I51-H51/F51),8),"")</f>
        <v/>
      </c>
      <c r="O51" s="177" t="str">
        <f>IF(ISNUMBER(N51),ROUND(N51/(MIN(F51,I51)*H51/F51)*100,2),"")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71" t="str">
        <f>IF(AND(ISNUMBER(F52),ISNUMBER(G52)),F52*G52,"")</f>
        <v/>
      </c>
      <c r="I52" s="246" t="n"/>
      <c r="J52" s="183" t="n"/>
      <c r="K52" s="271" t="str">
        <f>IF(AND(ISNUMBER(I52),ISNUMBER(J52)),I52*J52,"")</f>
        <v/>
      </c>
      <c r="L52" s="246" t="str">
        <f>IF(COUNT(F52,I52)=0,"",N(F52)-N(I52))</f>
        <v/>
      </c>
      <c r="M52" s="247" t="str">
        <f>IF(COUNT(H52,K52)=0,"",N(K52)-N(H52))</f>
        <v/>
      </c>
      <c r="N52" s="246" t="str">
        <f>IF(AND(ISNUMBER(F52),ISNUMBER(I52),ISNUMBER(H52),ISNUMBER(K52),F52&gt;0,I52&gt;0,H52&lt;&gt;0),ROUND(MIN(F52,I52)*(K52/I52-H52/F52),8),"")</f>
        <v/>
      </c>
      <c r="O52" s="183" t="str">
        <f>IF(ISNUMBER(N52),ROUND(N52/(MIN(F52,I52)*H52/F52)*100,2),"")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71" t="str">
        <f>IF(AND(ISNUMBER(F53),ISNUMBER(G53)),F53*G53,"")</f>
        <v/>
      </c>
      <c r="I53" s="240" t="n"/>
      <c r="J53" s="177" t="n"/>
      <c r="K53" s="271" t="str">
        <f>IF(AND(ISNUMBER(I53),ISNUMBER(J53)),I53*J53,"")</f>
        <v/>
      </c>
      <c r="L53" s="240" t="str">
        <f>IF(COUNT(F53,I53)=0,"",N(F53)-N(I53))</f>
        <v/>
      </c>
      <c r="M53" s="241" t="str">
        <f>IF(COUNT(H53,K53)=0,"",N(K53)-N(H53))</f>
        <v/>
      </c>
      <c r="N53" s="240" t="str">
        <f>IF(AND(ISNUMBER(F53),ISNUMBER(I53),ISNUMBER(H53),ISNUMBER(K53),F53&gt;0,I53&gt;0,H53&lt;&gt;0),ROUND(MIN(F53,I53)*(K53/I53-H53/F53),8),"")</f>
        <v/>
      </c>
      <c r="O53" s="177" t="str">
        <f>IF(ISNUMBER(N53),ROUND(N53/(MIN(F53,I53)*H53/F53)*100,2),"")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71" t="str">
        <f>IF(AND(ISNUMBER(F54),ISNUMBER(G54)),F54*G54,"")</f>
        <v/>
      </c>
      <c r="I54" s="246" t="n"/>
      <c r="J54" s="183" t="n"/>
      <c r="K54" s="271" t="str">
        <f>IF(AND(ISNUMBER(I54),ISNUMBER(J54)),I54*J54,"")</f>
        <v/>
      </c>
      <c r="L54" s="246" t="str">
        <f>IF(COUNT(F54,I54)=0,"",N(F54)-N(I54))</f>
        <v/>
      </c>
      <c r="M54" s="247" t="str">
        <f>IF(COUNT(H54,K54)=0,"",N(K54)-N(H54))</f>
        <v/>
      </c>
      <c r="N54" s="246" t="str">
        <f>IF(AND(ISNUMBER(F54),ISNUMBER(I54),ISNUMBER(H54),ISNUMBER(K54),F54&gt;0,I54&gt;0,H54&lt;&gt;0),ROUND(MIN(F54,I54)*(K54/I54-H54/F54),8),"")</f>
        <v/>
      </c>
      <c r="O54" s="183" t="str">
        <f>IF(ISNUMBER(N54),ROUND(N54/(MIN(F54,I54)*H54/F54)*100,2),"")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71" t="str">
        <f>IF(AND(ISNUMBER(F55),ISNUMBER(G55)),F55*G55,"")</f>
        <v/>
      </c>
      <c r="I55" s="240" t="n"/>
      <c r="J55" s="177" t="n"/>
      <c r="K55" s="271" t="str">
        <f>IF(AND(ISNUMBER(I55),ISNUMBER(J55)),I55*J55,"")</f>
        <v/>
      </c>
      <c r="L55" s="240" t="str">
        <f>IF(COUNT(F55,I55)=0,"",N(F55)-N(I55))</f>
        <v/>
      </c>
      <c r="M55" s="241" t="str">
        <f>IF(COUNT(H55,K55)=0,"",N(K55)-N(H55))</f>
        <v/>
      </c>
      <c r="N55" s="240" t="str">
        <f>IF(AND(ISNUMBER(F55),ISNUMBER(I55),ISNUMBER(H55),ISNUMBER(K55),F55&gt;0,I55&gt;0,H55&lt;&gt;0),ROUND(MIN(F55,I55)*(K55/I55-H55/F55),8),"")</f>
        <v/>
      </c>
      <c r="O55" s="177" t="str">
        <f>IF(ISNUMBER(N55),ROUND(N55/(MIN(F55,I55)*H55/F55)*100,2),"")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71" t="str">
        <f>IF(AND(ISNUMBER(F56),ISNUMBER(G56)),F56*G56,"")</f>
        <v/>
      </c>
      <c r="I56" s="246" t="n"/>
      <c r="J56" s="183" t="n"/>
      <c r="K56" s="271" t="str">
        <f>IF(AND(ISNUMBER(I56),ISNUMBER(J56)),I56*J56,"")</f>
        <v/>
      </c>
      <c r="L56" s="246" t="str">
        <f>IF(COUNT(F56,I56)=0,"",N(F56)-N(I56))</f>
        <v/>
      </c>
      <c r="M56" s="247" t="str">
        <f>IF(COUNT(H56,K56)=0,"",N(K56)-N(H56))</f>
        <v/>
      </c>
      <c r="N56" s="246" t="str">
        <f>IF(AND(ISNUMBER(F56),ISNUMBER(I56),ISNUMBER(H56),ISNUMBER(K56),F56&gt;0,I56&gt;0,H56&lt;&gt;0),ROUND(MIN(F56,I56)*(K56/I56-H56/F56),8),"")</f>
        <v/>
      </c>
      <c r="O56" s="183" t="str">
        <f>IF(ISNUMBER(N56),ROUND(N56/(MIN(F56,I56)*H56/F56)*100,2),"")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71" t="str">
        <f>IF(AND(ISNUMBER(F57),ISNUMBER(G57)),F57*G57,"")</f>
        <v/>
      </c>
      <c r="I57" s="240" t="n"/>
      <c r="J57" s="177" t="n"/>
      <c r="K57" s="271" t="str">
        <f>IF(AND(ISNUMBER(I57),ISNUMBER(J57)),I57*J57,"")</f>
        <v/>
      </c>
      <c r="L57" s="240" t="str">
        <f>IF(COUNT(F57,I57)=0,"",N(F57)-N(I57))</f>
        <v/>
      </c>
      <c r="M57" s="241" t="str">
        <f>IF(COUNT(H57,K57)=0,"",N(K57)-N(H57))</f>
        <v/>
      </c>
      <c r="N57" s="240" t="str">
        <f>IF(AND(ISNUMBER(F57),ISNUMBER(I57),ISNUMBER(H57),ISNUMBER(K57),F57&gt;0,I57&gt;0,H57&lt;&gt;0),ROUND(MIN(F57,I57)*(K57/I57-H57/F57),8),"")</f>
        <v/>
      </c>
      <c r="O57" s="177" t="str">
        <f>IF(ISNUMBER(N57),ROUND(N57/(MIN(F57,I57)*H57/F57)*100,2),"")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71" t="str">
        <f>IF(AND(ISNUMBER(F58),ISNUMBER(G58)),F58*G58,"")</f>
        <v/>
      </c>
      <c r="I58" s="246" t="n"/>
      <c r="J58" s="183" t="n"/>
      <c r="K58" s="271" t="str">
        <f>IF(AND(ISNUMBER(I58),ISNUMBER(J58)),I58*J58,"")</f>
        <v/>
      </c>
      <c r="L58" s="246" t="str">
        <f>IF(COUNT(F58,I58)=0,"",N(F58)-N(I58))</f>
        <v/>
      </c>
      <c r="M58" s="247" t="str">
        <f>IF(COUNT(H58,K58)=0,"",N(K58)-N(H58))</f>
        <v/>
      </c>
      <c r="N58" s="246" t="str">
        <f>IF(AND(ISNUMBER(F58),ISNUMBER(I58),ISNUMBER(H58),ISNUMBER(K58),F58&gt;0,I58&gt;0,H58&lt;&gt;0),ROUND(MIN(F58,I58)*(K58/I58-H58/F58),8),"")</f>
        <v/>
      </c>
      <c r="O58" s="183" t="str">
        <f>IF(ISNUMBER(N58),ROUND(N58/(MIN(F58,I58)*H58/F58)*100,2),"")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71" t="str">
        <f>IF(AND(ISNUMBER(F59),ISNUMBER(G59)),F59*G59,"")</f>
        <v/>
      </c>
      <c r="I59" s="240" t="n"/>
      <c r="J59" s="177" t="n"/>
      <c r="K59" s="271" t="str">
        <f>IF(AND(ISNUMBER(I59),ISNUMBER(J59)),I59*J59,"")</f>
        <v/>
      </c>
      <c r="L59" s="240" t="str">
        <f>IF(COUNT(F59,I59)=0,"",N(F59)-N(I59))</f>
        <v/>
      </c>
      <c r="M59" s="241" t="str">
        <f>IF(COUNT(H59,K59)=0,"",N(K59)-N(H59))</f>
        <v/>
      </c>
      <c r="N59" s="240" t="str">
        <f>IF(AND(ISNUMBER(F59),ISNUMBER(I59),ISNUMBER(H59),ISNUMBER(K59),F59&gt;0,I59&gt;0,H59&lt;&gt;0),ROUND(MIN(F59,I59)*(K59/I59-H59/F59),8),"")</f>
        <v/>
      </c>
      <c r="O59" s="177" t="str">
        <f>IF(ISNUMBER(N59),ROUND(N59/(MIN(F59,I59)*H59/F59)*100,2),"")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71" t="str">
        <f>IF(AND(ISNUMBER(F60),ISNUMBER(G60)),F60*G60,"")</f>
        <v/>
      </c>
      <c r="I60" s="246" t="n"/>
      <c r="J60" s="183" t="n"/>
      <c r="K60" s="271" t="str">
        <f>IF(AND(ISNUMBER(I60),ISNUMBER(J60)),I60*J60,"")</f>
        <v/>
      </c>
      <c r="L60" s="246" t="str">
        <f>IF(COUNT(F60,I60)=0,"",N(F60)-N(I60))</f>
        <v/>
      </c>
      <c r="M60" s="247" t="str">
        <f>IF(COUNT(H60,K60)=0,"",N(K60)-N(H60))</f>
        <v/>
      </c>
      <c r="N60" s="246" t="str">
        <f>IF(AND(ISNUMBER(F60),ISNUMBER(I60),ISNUMBER(H60),ISNUMBER(K60),F60&gt;0,I60&gt;0,H60&lt;&gt;0),ROUND(MIN(F60,I60)*(K60/I60-H60/F60),8),"")</f>
        <v/>
      </c>
      <c r="O60" s="183" t="str">
        <f>IF(ISNUMBER(N60),ROUND(N60/(MIN(F60,I60)*H60/F60)*100,2),"")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71" t="str">
        <f>IF(AND(ISNUMBER(F61),ISNUMBER(G61)),F61*G61,"")</f>
        <v/>
      </c>
      <c r="I61" s="240" t="n"/>
      <c r="J61" s="177" t="n"/>
      <c r="K61" s="271" t="str">
        <f>IF(AND(ISNUMBER(I61),ISNUMBER(J61)),I61*J61,"")</f>
        <v/>
      </c>
      <c r="L61" s="240" t="str">
        <f>IF(COUNT(F61,I61)=0,"",N(F61)-N(I61))</f>
        <v/>
      </c>
      <c r="M61" s="241" t="str">
        <f>IF(COUNT(H61,K61)=0,"",N(K61)-N(H61))</f>
        <v/>
      </c>
      <c r="N61" s="240" t="str">
        <f>IF(AND(ISNUMBER(F61),ISNUMBER(I61),ISNUMBER(H61),ISNUMBER(K61),F61&gt;0,I61&gt;0,H61&lt;&gt;0),ROUND(MIN(F61,I61)*(K61/I61-H61/F61),8),"")</f>
        <v/>
      </c>
      <c r="O61" s="177" t="str">
        <f>IF(ISNUMBER(N61),ROUND(N61/(MIN(F61,I61)*H61/F61)*100,2),"")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71" t="str">
        <f>IF(AND(ISNUMBER(F62),ISNUMBER(G62)),F62*G62,"")</f>
        <v/>
      </c>
      <c r="I62" s="246" t="n"/>
      <c r="J62" s="183" t="n"/>
      <c r="K62" s="271" t="str">
        <f>IF(AND(ISNUMBER(I62),ISNUMBER(J62)),I62*J62,"")</f>
        <v/>
      </c>
      <c r="L62" s="246" t="str">
        <f>IF(COUNT(F62,I62)=0,"",N(F62)-N(I62))</f>
        <v/>
      </c>
      <c r="M62" s="247" t="str">
        <f>IF(COUNT(H62,K62)=0,"",N(K62)-N(H62))</f>
        <v/>
      </c>
      <c r="N62" s="246" t="str">
        <f>IF(AND(ISNUMBER(F62),ISNUMBER(I62),ISNUMBER(H62),ISNUMBER(K62),F62&gt;0,I62&gt;0,H62&lt;&gt;0),ROUND(MIN(F62,I62)*(K62/I62-H62/F62),8),"")</f>
        <v/>
      </c>
      <c r="O62" s="183" t="str">
        <f>IF(ISNUMBER(N62),ROUND(N62/(MIN(F62,I62)*H62/F62)*100,2),"")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71" t="str">
        <f>IF(AND(ISNUMBER(F63),ISNUMBER(G63)),F63*G63,"")</f>
        <v/>
      </c>
      <c r="I63" s="240" t="n"/>
      <c r="J63" s="177" t="n"/>
      <c r="K63" s="271" t="str">
        <f>IF(AND(ISNUMBER(I63),ISNUMBER(J63)),I63*J63,"")</f>
        <v/>
      </c>
      <c r="L63" s="240" t="str">
        <f>IF(COUNT(F63,I63)=0,"",N(F63)-N(I63))</f>
        <v/>
      </c>
      <c r="M63" s="241" t="str">
        <f>IF(COUNT(H63,K63)=0,"",N(K63)-N(H63))</f>
        <v/>
      </c>
      <c r="N63" s="240" t="str">
        <f>IF(AND(ISNUMBER(F63),ISNUMBER(I63),ISNUMBER(H63),ISNUMBER(K63),F63&gt;0,I63&gt;0,H63&lt;&gt;0),ROUND(MIN(F63,I63)*(K63/I63-H63/F63),8),"")</f>
        <v/>
      </c>
      <c r="O63" s="177" t="str">
        <f>IF(ISNUMBER(N63),ROUND(N63/(MIN(F63,I63)*H63/F63)*100,2),"")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71" t="str">
        <f>IF(AND(ISNUMBER(F64),ISNUMBER(G64)),F64*G64,"")</f>
        <v/>
      </c>
      <c r="I64" s="246" t="n"/>
      <c r="J64" s="183" t="n"/>
      <c r="K64" s="271" t="str">
        <f>IF(AND(ISNUMBER(I64),ISNUMBER(J64)),I64*J64,"")</f>
        <v/>
      </c>
      <c r="L64" s="246" t="str">
        <f>IF(COUNT(F64,I64)=0,"",N(F64)-N(I64))</f>
        <v/>
      </c>
      <c r="M64" s="247" t="str">
        <f>IF(COUNT(H64,K64)=0,"",N(K64)-N(H64))</f>
        <v/>
      </c>
      <c r="N64" s="246" t="str">
        <f>IF(AND(ISNUMBER(F64),ISNUMBER(I64),ISNUMBER(H64),ISNUMBER(K64),F64&gt;0,I64&gt;0,H64&lt;&gt;0),ROUND(MIN(F64,I64)*(K64/I64-H64/F64),8),"")</f>
        <v/>
      </c>
      <c r="O64" s="183" t="str">
        <f>IF(ISNUMBER(N64),ROUND(N64/(MIN(F64,I64)*H64/F64)*100,2),"")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71" t="str">
        <f>IF(AND(ISNUMBER(F65),ISNUMBER(G65)),F65*G65,"")</f>
        <v/>
      </c>
      <c r="I65" s="240" t="n"/>
      <c r="J65" s="177" t="n"/>
      <c r="K65" s="271" t="str">
        <f>IF(AND(ISNUMBER(I65),ISNUMBER(J65)),I65*J65,"")</f>
        <v/>
      </c>
      <c r="L65" s="240" t="str">
        <f>IF(COUNT(F65,I65)=0,"",N(F65)-N(I65))</f>
        <v/>
      </c>
      <c r="M65" s="241" t="str">
        <f>IF(COUNT(H65,K65)=0,"",N(K65)-N(H65))</f>
        <v/>
      </c>
      <c r="N65" s="240" t="str">
        <f>IF(AND(ISNUMBER(F65),ISNUMBER(I65),ISNUMBER(H65),ISNUMBER(K65),F65&gt;0,I65&gt;0,H65&lt;&gt;0),ROUND(MIN(F65,I65)*(K65/I65-H65/F65),8),"")</f>
        <v/>
      </c>
      <c r="O65" s="177" t="str">
        <f>IF(ISNUMBER(N65),ROUND(N65/(MIN(F65,I65)*H65/F65)*100,2),"")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71" t="str">
        <f>IF(AND(ISNUMBER(F66),ISNUMBER(G66)),F66*G66,"")</f>
        <v/>
      </c>
      <c r="I66" s="246" t="n"/>
      <c r="J66" s="183" t="n"/>
      <c r="K66" s="271" t="str">
        <f>IF(AND(ISNUMBER(I66),ISNUMBER(J66)),I66*J66,"")</f>
        <v/>
      </c>
      <c r="L66" s="246" t="str">
        <f>IF(COUNT(F66,I66)=0,"",N(F66)-N(I66))</f>
        <v/>
      </c>
      <c r="M66" s="247" t="str">
        <f>IF(COUNT(H66,K66)=0,"",N(K66)-N(H66))</f>
        <v/>
      </c>
      <c r="N66" s="246" t="str">
        <f>IF(AND(ISNUMBER(F66),ISNUMBER(I66),ISNUMBER(H66),ISNUMBER(K66),F66&gt;0,I66&gt;0,H66&lt;&gt;0),ROUND(MIN(F66,I66)*(K66/I66-H66/F66),8),"")</f>
        <v/>
      </c>
      <c r="O66" s="183" t="str">
        <f>IF(ISNUMBER(N66),ROUND(N66/(MIN(F66,I66)*H66/F66)*100,2),"")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71" t="str">
        <f>IF(AND(ISNUMBER(F67),ISNUMBER(G67)),F67*G67,"")</f>
        <v/>
      </c>
      <c r="I67" s="240" t="n"/>
      <c r="J67" s="177" t="n"/>
      <c r="K67" s="271" t="str">
        <f>IF(AND(ISNUMBER(I67),ISNUMBER(J67)),I67*J67,"")</f>
        <v/>
      </c>
      <c r="L67" s="240" t="str">
        <f>IF(COUNT(F67,I67)=0,"",N(F67)-N(I67))</f>
        <v/>
      </c>
      <c r="M67" s="241" t="str">
        <f>IF(COUNT(H67,K67)=0,"",N(K67)-N(H67))</f>
        <v/>
      </c>
      <c r="N67" s="240" t="str">
        <f>IF(AND(ISNUMBER(F67),ISNUMBER(I67),ISNUMBER(H67),ISNUMBER(K67),F67&gt;0,I67&gt;0,H67&lt;&gt;0),ROUND(MIN(F67,I67)*(K67/I67-H67/F67),8),"")</f>
        <v/>
      </c>
      <c r="O67" s="177" t="str">
        <f>IF(ISNUMBER(N67),ROUND(N67/(MIN(F67,I67)*H67/F67)*100,2),"")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71" t="str">
        <f>IF(AND(ISNUMBER(F68),ISNUMBER(G68)),F68*G68,"")</f>
        <v/>
      </c>
      <c r="I68" s="246" t="n"/>
      <c r="J68" s="183" t="n"/>
      <c r="K68" s="271" t="str">
        <f>IF(AND(ISNUMBER(I68),ISNUMBER(J68)),I68*J68,"")</f>
        <v/>
      </c>
      <c r="L68" s="246" t="str">
        <f>IF(COUNT(F68,I68)=0,"",N(F68)-N(I68))</f>
        <v/>
      </c>
      <c r="M68" s="247" t="str">
        <f>IF(COUNT(H68,K68)=0,"",N(K68)-N(H68))</f>
        <v/>
      </c>
      <c r="N68" s="246" t="str">
        <f>IF(AND(ISNUMBER(F68),ISNUMBER(I68),ISNUMBER(H68),ISNUMBER(K68),F68&gt;0,I68&gt;0,H68&lt;&gt;0),ROUND(MIN(F68,I68)*(K68/I68-H68/F68),8),"")</f>
        <v/>
      </c>
      <c r="O68" s="183" t="str">
        <f>IF(ISNUMBER(N68),ROUND(N68/(MIN(F68,I68)*H68/F68)*100,2),"")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71" t="str">
        <f>IF(AND(ISNUMBER(F69),ISNUMBER(G69)),F69*G69,"")</f>
        <v/>
      </c>
      <c r="I69" s="240" t="n"/>
      <c r="J69" s="177" t="n"/>
      <c r="K69" s="271" t="str">
        <f>IF(AND(ISNUMBER(I69),ISNUMBER(J69)),I69*J69,"")</f>
        <v/>
      </c>
      <c r="L69" s="240" t="str">
        <f>IF(COUNT(F69,I69)=0,"",N(F69)-N(I69))</f>
        <v/>
      </c>
      <c r="M69" s="241" t="str">
        <f>IF(COUNT(H69,K69)=0,"",N(K69)-N(H69))</f>
        <v/>
      </c>
      <c r="N69" s="240" t="str">
        <f>IF(AND(ISNUMBER(F69),ISNUMBER(I69),ISNUMBER(H69),ISNUMBER(K69),F69&gt;0,I69&gt;0,H69&lt;&gt;0),ROUND(MIN(F69,I69)*(K69/I69-H69/F69),8),"")</f>
        <v/>
      </c>
      <c r="O69" s="177" t="str">
        <f>IF(ISNUMBER(N69),ROUND(N69/(MIN(F69,I69)*H69/F69)*100,2),"")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71" t="str">
        <f>IF(AND(ISNUMBER(F70),ISNUMBER(G70)),F70*G70,"")</f>
        <v/>
      </c>
      <c r="I70" s="246" t="n"/>
      <c r="J70" s="183" t="n"/>
      <c r="K70" s="271" t="str">
        <f>IF(AND(ISNUMBER(I70),ISNUMBER(J70)),I70*J70,"")</f>
        <v/>
      </c>
      <c r="L70" s="246" t="str">
        <f>IF(COUNT(F70,I70)=0,"",N(F70)-N(I70))</f>
        <v/>
      </c>
      <c r="M70" s="247" t="str">
        <f>IF(COUNT(H70,K70)=0,"",N(K70)-N(H70))</f>
        <v/>
      </c>
      <c r="N70" s="246" t="str">
        <f>IF(AND(ISNUMBER(F70),ISNUMBER(I70),ISNUMBER(H70),ISNUMBER(K70),F70&gt;0,I70&gt;0,H70&lt;&gt;0),ROUND(MIN(F70,I70)*(K70/I70-H70/F70),8),"")</f>
        <v/>
      </c>
      <c r="O70" s="183" t="str">
        <f>IF(ISNUMBER(N70),ROUND(N70/(MIN(F70,I70)*H70/F70)*100,2),"")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71" t="str">
        <f>IF(AND(ISNUMBER(F71),ISNUMBER(G71)),F71*G71,"")</f>
        <v/>
      </c>
      <c r="I71" s="240" t="n"/>
      <c r="J71" s="177" t="n"/>
      <c r="K71" s="271" t="str">
        <f>IF(AND(ISNUMBER(I71),ISNUMBER(J71)),I71*J71,"")</f>
        <v/>
      </c>
      <c r="L71" s="240" t="str">
        <f>IF(COUNT(F71,I71)=0,"",N(F71)-N(I71))</f>
        <v/>
      </c>
      <c r="M71" s="241" t="str">
        <f>IF(COUNT(H71,K71)=0,"",N(K71)-N(H71))</f>
        <v/>
      </c>
      <c r="N71" s="240" t="str">
        <f>IF(AND(ISNUMBER(F71),ISNUMBER(I71),ISNUMBER(H71),ISNUMBER(K71),F71&gt;0,I71&gt;0,H71&lt;&gt;0),ROUND(MIN(F71,I71)*(K71/I71-H71/F71),8),"")</f>
        <v/>
      </c>
      <c r="O71" s="177" t="str">
        <f>IF(ISNUMBER(N71),ROUND(N71/(MIN(F71,I71)*H71/F71)*100,2),"")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71" t="str">
        <f>IF(AND(ISNUMBER(F72),ISNUMBER(G72)),F72*G72,"")</f>
        <v/>
      </c>
      <c r="I72" s="246" t="n"/>
      <c r="J72" s="183" t="n"/>
      <c r="K72" s="271" t="str">
        <f>IF(AND(ISNUMBER(I72),ISNUMBER(J72)),I72*J72,"")</f>
        <v/>
      </c>
      <c r="L72" s="246" t="str">
        <f>IF(COUNT(F72,I72)=0,"",N(F72)-N(I72))</f>
        <v/>
      </c>
      <c r="M72" s="247" t="str">
        <f>IF(COUNT(H72,K72)=0,"",N(K72)-N(H72))</f>
        <v/>
      </c>
      <c r="N72" s="246" t="str">
        <f>IF(AND(ISNUMBER(F72),ISNUMBER(I72),ISNUMBER(H72),ISNUMBER(K72),F72&gt;0,I72&gt;0,H72&lt;&gt;0),ROUND(MIN(F72,I72)*(K72/I72-H72/F72),8),"")</f>
        <v/>
      </c>
      <c r="O72" s="183" t="str">
        <f>IF(ISNUMBER(N72),ROUND(N72/(MIN(F72,I72)*H72/F72)*100,2),"")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71" t="str">
        <f>IF(AND(ISNUMBER(F73),ISNUMBER(G73)),F73*G73,"")</f>
        <v/>
      </c>
      <c r="I73" s="240" t="n"/>
      <c r="J73" s="177" t="n"/>
      <c r="K73" s="271" t="str">
        <f>IF(AND(ISNUMBER(I73),ISNUMBER(J73)),I73*J73,"")</f>
        <v/>
      </c>
      <c r="L73" s="240" t="str">
        <f>IF(COUNT(F73,I73)=0,"",N(F73)-N(I73))</f>
        <v/>
      </c>
      <c r="M73" s="241" t="str">
        <f>IF(COUNT(H73,K73)=0,"",N(K73)-N(H73))</f>
        <v/>
      </c>
      <c r="N73" s="240" t="str">
        <f>IF(AND(ISNUMBER(F73),ISNUMBER(I73),ISNUMBER(H73),ISNUMBER(K73),F73&gt;0,I73&gt;0,H73&lt;&gt;0),ROUND(MIN(F73,I73)*(K73/I73-H73/F73),8),"")</f>
        <v/>
      </c>
      <c r="O73" s="177" t="str">
        <f>IF(ISNUMBER(N73),ROUND(N73/(MIN(F73,I73)*H73/F73)*100,2),"")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71" t="str">
        <f>IF(AND(ISNUMBER(F74),ISNUMBER(G74)),F74*G74,"")</f>
        <v/>
      </c>
      <c r="I74" s="246" t="n"/>
      <c r="J74" s="183" t="n"/>
      <c r="K74" s="271" t="str">
        <f>IF(AND(ISNUMBER(I74),ISNUMBER(J74)),I74*J74,"")</f>
        <v/>
      </c>
      <c r="L74" s="246" t="str">
        <f>IF(COUNT(F74,I74)=0,"",N(F74)-N(I74))</f>
        <v/>
      </c>
      <c r="M74" s="247" t="str">
        <f>IF(COUNT(H74,K74)=0,"",N(K74)-N(H74))</f>
        <v/>
      </c>
      <c r="N74" s="246" t="str">
        <f>IF(AND(ISNUMBER(F74),ISNUMBER(I74),ISNUMBER(H74),ISNUMBER(K74),F74&gt;0,I74&gt;0,H74&lt;&gt;0),ROUND(MIN(F74,I74)*(K74/I74-H74/F74),8),"")</f>
        <v/>
      </c>
      <c r="O74" s="183" t="str">
        <f>IF(ISNUMBER(N74),ROUND(N74/(MIN(F74,I74)*H74/F74)*100,2),"")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71" t="str">
        <f>IF(AND(ISNUMBER(F75),ISNUMBER(G75)),F75*G75,"")</f>
        <v/>
      </c>
      <c r="I75" s="240" t="n"/>
      <c r="J75" s="177" t="n"/>
      <c r="K75" s="271" t="str">
        <f>IF(AND(ISNUMBER(I75),ISNUMBER(J75)),I75*J75,"")</f>
        <v/>
      </c>
      <c r="L75" s="240" t="str">
        <f>IF(COUNT(F75,I75)=0,"",N(F75)-N(I75))</f>
        <v/>
      </c>
      <c r="M75" s="241" t="str">
        <f>IF(COUNT(H75,K75)=0,"",N(K75)-N(H75))</f>
        <v/>
      </c>
      <c r="N75" s="240" t="str">
        <f>IF(AND(ISNUMBER(F75),ISNUMBER(I75),ISNUMBER(H75),ISNUMBER(K75),F75&gt;0,I75&gt;0,H75&lt;&gt;0),ROUND(MIN(F75,I75)*(K75/I75-H75/F75),8),"")</f>
        <v/>
      </c>
      <c r="O75" s="177" t="str">
        <f>IF(ISNUMBER(N75),ROUND(N75/(MIN(F75,I75)*H75/F75)*100,2),"")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71" t="str">
        <f>IF(AND(ISNUMBER(F76),ISNUMBER(G76)),F76*G76,"")</f>
        <v/>
      </c>
      <c r="I76" s="246" t="n"/>
      <c r="J76" s="183" t="n"/>
      <c r="K76" s="271" t="str">
        <f>IF(AND(ISNUMBER(I76),ISNUMBER(J76)),I76*J76,"")</f>
        <v/>
      </c>
      <c r="L76" s="246" t="str">
        <f>IF(COUNT(F76,I76)=0,"",N(F76)-N(I76))</f>
        <v/>
      </c>
      <c r="M76" s="247" t="str">
        <f>IF(COUNT(H76,K76)=0,"",N(K76)-N(H76))</f>
        <v/>
      </c>
      <c r="N76" s="246" t="str">
        <f>IF(AND(ISNUMBER(F76),ISNUMBER(I76),ISNUMBER(H76),ISNUMBER(K76),F76&gt;0,I76&gt;0,H76&lt;&gt;0),ROUND(MIN(F76,I76)*(K76/I76-H76/F76),8),"")</f>
        <v/>
      </c>
      <c r="O76" s="183" t="str">
        <f>IF(ISNUMBER(N76),ROUND(N76/(MIN(F76,I76)*H76/F76)*100,2),"")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71" t="str">
        <f>IF(AND(ISNUMBER(F77),ISNUMBER(G77)),F77*G77,"")</f>
        <v/>
      </c>
      <c r="I77" s="240" t="n"/>
      <c r="J77" s="177" t="n"/>
      <c r="K77" s="271" t="str">
        <f>IF(AND(ISNUMBER(I77),ISNUMBER(J77)),I77*J77,"")</f>
        <v/>
      </c>
      <c r="L77" s="240" t="str">
        <f>IF(COUNT(F77,I77)=0,"",N(F77)-N(I77))</f>
        <v/>
      </c>
      <c r="M77" s="241" t="str">
        <f>IF(COUNT(H77,K77)=0,"",N(K77)-N(H77))</f>
        <v/>
      </c>
      <c r="N77" s="240" t="str">
        <f>IF(AND(ISNUMBER(F77),ISNUMBER(I77),ISNUMBER(H77),ISNUMBER(K77),F77&gt;0,I77&gt;0,H77&lt;&gt;0),ROUND(MIN(F77,I77)*(K77/I77-H77/F77),8),"")</f>
        <v/>
      </c>
      <c r="O77" s="177" t="str">
        <f>IF(ISNUMBER(N77),ROUND(N77/(MIN(F77,I77)*H77/F77)*100,2),"")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71" t="str">
        <f>IF(AND(ISNUMBER(F78),ISNUMBER(G78)),F78*G78,"")</f>
        <v/>
      </c>
      <c r="I78" s="246" t="n"/>
      <c r="J78" s="183" t="n"/>
      <c r="K78" s="271" t="str">
        <f>IF(AND(ISNUMBER(I78),ISNUMBER(J78)),I78*J78,"")</f>
        <v/>
      </c>
      <c r="L78" s="246" t="str">
        <f>IF(COUNT(F78,I78)=0,"",N(F78)-N(I78))</f>
        <v/>
      </c>
      <c r="M78" s="247" t="str">
        <f>IF(COUNT(H78,K78)=0,"",N(K78)-N(H78))</f>
        <v/>
      </c>
      <c r="N78" s="246" t="str">
        <f>IF(AND(ISNUMBER(F78),ISNUMBER(I78),ISNUMBER(H78),ISNUMBER(K78),F78&gt;0,I78&gt;0,H78&lt;&gt;0),ROUND(MIN(F78,I78)*(K78/I78-H78/F78),8),"")</f>
        <v/>
      </c>
      <c r="O78" s="183" t="str">
        <f>IF(ISNUMBER(N78),ROUND(N78/(MIN(F78,I78)*H78/F78)*100,2),"")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71" t="str">
        <f>IF(AND(ISNUMBER(F79),ISNUMBER(G79)),F79*G79,"")</f>
        <v/>
      </c>
      <c r="I79" s="240" t="n"/>
      <c r="J79" s="177" t="n"/>
      <c r="K79" s="271" t="str">
        <f>IF(AND(ISNUMBER(I79),ISNUMBER(J79)),I79*J79,"")</f>
        <v/>
      </c>
      <c r="L79" s="240" t="str">
        <f>IF(COUNT(F79,I79)=0,"",N(F79)-N(I79))</f>
        <v/>
      </c>
      <c r="M79" s="241" t="str">
        <f>IF(COUNT(H79,K79)=0,"",N(K79)-N(H79))</f>
        <v/>
      </c>
      <c r="N79" s="240" t="str">
        <f>IF(AND(ISNUMBER(F79),ISNUMBER(I79),ISNUMBER(H79),ISNUMBER(K79),F79&gt;0,I79&gt;0,H79&lt;&gt;0),ROUND(MIN(F79,I79)*(K79/I79-H79/F79),8),"")</f>
        <v/>
      </c>
      <c r="O79" s="177" t="str">
        <f>IF(ISNUMBER(N79),ROUND(N79/(MIN(F79,I79)*H79/F79)*100,2),"")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71" t="str">
        <f>IF(AND(ISNUMBER(F80),ISNUMBER(G80)),F80*G80,"")</f>
        <v/>
      </c>
      <c r="I80" s="246" t="n"/>
      <c r="J80" s="183" t="n"/>
      <c r="K80" s="271" t="str">
        <f>IF(AND(ISNUMBER(I80),ISNUMBER(J80)),I80*J80,"")</f>
        <v/>
      </c>
      <c r="L80" s="246" t="str">
        <f>IF(COUNT(F80,I80)=0,"",N(F80)-N(I80))</f>
        <v/>
      </c>
      <c r="M80" s="247" t="str">
        <f>IF(COUNT(H80,K80)=0,"",N(K80)-N(H80))</f>
        <v/>
      </c>
      <c r="N80" s="246" t="str">
        <f>IF(AND(ISNUMBER(F80),ISNUMBER(I80),ISNUMBER(H80),ISNUMBER(K80),F80&gt;0,I80&gt;0,H80&lt;&gt;0),ROUND(MIN(F80,I80)*(K80/I80-H80/F80),8),"")</f>
        <v/>
      </c>
      <c r="O80" s="183" t="str">
        <f>IF(ISNUMBER(N80),ROUND(N80/(MIN(F80,I80)*H80/F80)*100,2),"")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71" t="str">
        <f>IF(AND(ISNUMBER(F81),ISNUMBER(G81)),F81*G81,"")</f>
        <v/>
      </c>
      <c r="I81" s="240" t="n"/>
      <c r="J81" s="177" t="n"/>
      <c r="K81" s="271" t="str">
        <f>IF(AND(ISNUMBER(I81),ISNUMBER(J81)),I81*J81,"")</f>
        <v/>
      </c>
      <c r="L81" s="240" t="str">
        <f>IF(COUNT(F81,I81)=0,"",N(F81)-N(I81))</f>
        <v/>
      </c>
      <c r="M81" s="241" t="str">
        <f>IF(COUNT(H81,K81)=0,"",N(K81)-N(H81))</f>
        <v/>
      </c>
      <c r="N81" s="240" t="str">
        <f>IF(AND(ISNUMBER(F81),ISNUMBER(I81),ISNUMBER(H81),ISNUMBER(K81),F81&gt;0,I81&gt;0,H81&lt;&gt;0),ROUND(MIN(F81,I81)*(K81/I81-H81/F81),8),"")</f>
        <v/>
      </c>
      <c r="O81" s="177" t="str">
        <f>IF(ISNUMBER(N81),ROUND(N81/(MIN(F81,I81)*H81/F81)*100,2),"")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71" t="str">
        <f>IF(AND(ISNUMBER(F82),ISNUMBER(G82)),F82*G82,"")</f>
        <v/>
      </c>
      <c r="I82" s="246" t="n"/>
      <c r="J82" s="183" t="n"/>
      <c r="K82" s="271" t="str">
        <f>IF(AND(ISNUMBER(I82),ISNUMBER(J82)),I82*J82,"")</f>
        <v/>
      </c>
      <c r="L82" s="246" t="str">
        <f>IF(COUNT(F82,I82)=0,"",N(F82)-N(I82))</f>
        <v/>
      </c>
      <c r="M82" s="247" t="str">
        <f>IF(COUNT(H82,K82)=0,"",N(K82)-N(H82))</f>
        <v/>
      </c>
      <c r="N82" s="246" t="str">
        <f>IF(AND(ISNUMBER(F82),ISNUMBER(I82),ISNUMBER(H82),ISNUMBER(K82),F82&gt;0,I82&gt;0,H82&lt;&gt;0),ROUND(MIN(F82,I82)*(K82/I82-H82/F82),8),"")</f>
        <v/>
      </c>
      <c r="O82" s="183" t="str">
        <f>IF(ISNUMBER(N82),ROUND(N82/(MIN(F82,I82)*H82/F82)*100,2),"")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71" t="str">
        <f>IF(AND(ISNUMBER(F83),ISNUMBER(G83)),F83*G83,"")</f>
        <v/>
      </c>
      <c r="I83" s="240" t="n"/>
      <c r="J83" s="177" t="n"/>
      <c r="K83" s="271" t="str">
        <f>IF(AND(ISNUMBER(I83),ISNUMBER(J83)),I83*J83,"")</f>
        <v/>
      </c>
      <c r="L83" s="240" t="str">
        <f>IF(COUNT(F83,I83)=0,"",N(F83)-N(I83))</f>
        <v/>
      </c>
      <c r="M83" s="241" t="str">
        <f>IF(COUNT(H83,K83)=0,"",N(K83)-N(H83))</f>
        <v/>
      </c>
      <c r="N83" s="240" t="str">
        <f>IF(AND(ISNUMBER(F83),ISNUMBER(I83),ISNUMBER(H83),ISNUMBER(K83),F83&gt;0,I83&gt;0,H83&lt;&gt;0),ROUND(MIN(F83,I83)*(K83/I83-H83/F83),8),"")</f>
        <v/>
      </c>
      <c r="O83" s="177" t="str">
        <f>IF(ISNUMBER(N83),ROUND(N83/(MIN(F83,I83)*H83/F83)*100,2),"")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71" t="str">
        <f>IF(AND(ISNUMBER(F84),ISNUMBER(G84)),F84*G84,"")</f>
        <v/>
      </c>
      <c r="I84" s="246" t="n"/>
      <c r="J84" s="183" t="n"/>
      <c r="K84" s="271" t="str">
        <f>IF(AND(ISNUMBER(I84),ISNUMBER(J84)),I84*J84,"")</f>
        <v/>
      </c>
      <c r="L84" s="246" t="str">
        <f>IF(COUNT(F84,I84)=0,"",N(F84)-N(I84))</f>
        <v/>
      </c>
      <c r="M84" s="247" t="str">
        <f>IF(COUNT(H84,K84)=0,"",N(K84)-N(H84))</f>
        <v/>
      </c>
      <c r="N84" s="246" t="str">
        <f>IF(AND(ISNUMBER(F84),ISNUMBER(I84),ISNUMBER(H84),ISNUMBER(K84),F84&gt;0,I84&gt;0,H84&lt;&gt;0),ROUND(MIN(F84,I84)*(K84/I84-H84/F84),8),"")</f>
        <v/>
      </c>
      <c r="O84" s="183" t="str">
        <f>IF(ISNUMBER(N84),ROUND(N84/(MIN(F84,I84)*H84/F84)*100,2),"")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71" t="str">
        <f>IF(AND(ISNUMBER(F85),ISNUMBER(G85)),F85*G85,"")</f>
        <v/>
      </c>
      <c r="I85" s="240" t="n"/>
      <c r="J85" s="177" t="n"/>
      <c r="K85" s="271" t="str">
        <f>IF(AND(ISNUMBER(I85),ISNUMBER(J85)),I85*J85,"")</f>
        <v/>
      </c>
      <c r="L85" s="240" t="str">
        <f>IF(COUNT(F85,I85)=0,"",N(F85)-N(I85))</f>
        <v/>
      </c>
      <c r="M85" s="241" t="str">
        <f>IF(COUNT(H85,K85)=0,"",N(K85)-N(H85))</f>
        <v/>
      </c>
      <c r="N85" s="240" t="str">
        <f>IF(AND(ISNUMBER(F85),ISNUMBER(I85),ISNUMBER(H85),ISNUMBER(K85),F85&gt;0,I85&gt;0,H85&lt;&gt;0),ROUND(MIN(F85,I85)*(K85/I85-H85/F85),8),"")</f>
        <v/>
      </c>
      <c r="O85" s="177" t="str">
        <f>IF(ISNUMBER(N85),ROUND(N85/(MIN(F85,I85)*H85/F85)*100,2),"")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71" t="str">
        <f>IF(AND(ISNUMBER(F86),ISNUMBER(G86)),F86*G86,"")</f>
        <v/>
      </c>
      <c r="I86" s="246" t="n"/>
      <c r="J86" s="183" t="n"/>
      <c r="K86" s="271" t="str">
        <f>IF(AND(ISNUMBER(I86),ISNUMBER(J86)),I86*J86,"")</f>
        <v/>
      </c>
      <c r="L86" s="246" t="str">
        <f>IF(COUNT(F86,I86)=0,"",N(F86)-N(I86))</f>
        <v/>
      </c>
      <c r="M86" s="247" t="str">
        <f>IF(COUNT(H86,K86)=0,"",N(K86)-N(H86))</f>
        <v/>
      </c>
      <c r="N86" s="246" t="str">
        <f>IF(AND(ISNUMBER(F86),ISNUMBER(I86),ISNUMBER(H86),ISNUMBER(K86),F86&gt;0,I86&gt;0,H86&lt;&gt;0),ROUND(MIN(F86,I86)*(K86/I86-H86/F86),8),"")</f>
        <v/>
      </c>
      <c r="O86" s="183" t="str">
        <f>IF(ISNUMBER(N86),ROUND(N86/(MIN(F86,I86)*H86/F86)*100,2),"")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71" t="str">
        <f>IF(AND(ISNUMBER(F87),ISNUMBER(G87)),F87*G87,"")</f>
        <v/>
      </c>
      <c r="I87" s="240" t="n"/>
      <c r="J87" s="177" t="n"/>
      <c r="K87" s="271" t="str">
        <f>IF(AND(ISNUMBER(I87),ISNUMBER(J87)),I87*J87,"")</f>
        <v/>
      </c>
      <c r="L87" s="240" t="str">
        <f>IF(COUNT(F87,I87)=0,"",N(F87)-N(I87))</f>
        <v/>
      </c>
      <c r="M87" s="241" t="str">
        <f>IF(COUNT(H87,K87)=0,"",N(K87)-N(H87))</f>
        <v/>
      </c>
      <c r="N87" s="240" t="str">
        <f>IF(AND(ISNUMBER(F87),ISNUMBER(I87),ISNUMBER(H87),ISNUMBER(K87),F87&gt;0,I87&gt;0,H87&lt;&gt;0),ROUND(MIN(F87,I87)*(K87/I87-H87/F87),8),"")</f>
        <v/>
      </c>
      <c r="O87" s="177" t="str">
        <f>IF(ISNUMBER(N87),ROUND(N87/(MIN(F87,I87)*H87/F87)*100,2),"")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71" t="str">
        <f>IF(AND(ISNUMBER(F88),ISNUMBER(G88)),F88*G88,"")</f>
        <v/>
      </c>
      <c r="I88" s="246" t="n"/>
      <c r="J88" s="183" t="n"/>
      <c r="K88" s="271" t="str">
        <f>IF(AND(ISNUMBER(I88),ISNUMBER(J88)),I88*J88,"")</f>
        <v/>
      </c>
      <c r="L88" s="246" t="str">
        <f>IF(COUNT(F88,I88)=0,"",N(F88)-N(I88))</f>
        <v/>
      </c>
      <c r="M88" s="247" t="str">
        <f>IF(COUNT(H88,K88)=0,"",N(K88)-N(H88))</f>
        <v/>
      </c>
      <c r="N88" s="246" t="str">
        <f>IF(AND(ISNUMBER(F88),ISNUMBER(I88),ISNUMBER(H88),ISNUMBER(K88),F88&gt;0,I88&gt;0,H88&lt;&gt;0),ROUND(MIN(F88,I88)*(K88/I88-H88/F88),8),"")</f>
        <v/>
      </c>
      <c r="O88" s="183" t="str">
        <f>IF(ISNUMBER(N88),ROUND(N88/(MIN(F88,I88)*H88/F88)*100,2),"")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71" t="str">
        <f>IF(AND(ISNUMBER(F89),ISNUMBER(G89)),F89*G89,"")</f>
        <v/>
      </c>
      <c r="I89" s="240" t="n"/>
      <c r="J89" s="177" t="n"/>
      <c r="K89" s="271" t="str">
        <f>IF(AND(ISNUMBER(I89),ISNUMBER(J89)),I89*J89,"")</f>
        <v/>
      </c>
      <c r="L89" s="240" t="str">
        <f>IF(COUNT(F89,I89)=0,"",N(F89)-N(I89))</f>
        <v/>
      </c>
      <c r="M89" s="241" t="str">
        <f>IF(COUNT(H89,K89)=0,"",N(K89)-N(H89))</f>
        <v/>
      </c>
      <c r="N89" s="240" t="str">
        <f>IF(AND(ISNUMBER(F89),ISNUMBER(I89),ISNUMBER(H89),ISNUMBER(K89),F89&gt;0,I89&gt;0,H89&lt;&gt;0),ROUND(MIN(F89,I89)*(K89/I89-H89/F89),8),"")</f>
        <v/>
      </c>
      <c r="O89" s="177" t="str">
        <f>IF(ISNUMBER(N89),ROUND(N89/(MIN(F89,I89)*H89/F89)*100,2),"")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71" t="str">
        <f>IF(AND(ISNUMBER(F90),ISNUMBER(G90)),F90*G90,"")</f>
        <v/>
      </c>
      <c r="I90" s="246" t="n"/>
      <c r="J90" s="183" t="n"/>
      <c r="K90" s="271" t="str">
        <f>IF(AND(ISNUMBER(I90),ISNUMBER(J90)),I90*J90,"")</f>
        <v/>
      </c>
      <c r="L90" s="246" t="str">
        <f>IF(COUNT(F90,I90)=0,"",N(F90)-N(I90))</f>
        <v/>
      </c>
      <c r="M90" s="247" t="str">
        <f>IF(COUNT(H90,K90)=0,"",N(K90)-N(H90))</f>
        <v/>
      </c>
      <c r="N90" s="246" t="str">
        <f>IF(AND(ISNUMBER(F90),ISNUMBER(I90),ISNUMBER(H90),ISNUMBER(K90),F90&gt;0,I90&gt;0,H90&lt;&gt;0),ROUND(MIN(F90,I90)*(K90/I90-H90/F90),8),"")</f>
        <v/>
      </c>
      <c r="O90" s="183" t="str">
        <f>IF(ISNUMBER(N90),ROUND(N90/(MIN(F90,I90)*H90/F90)*100,2),"")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71" t="str">
        <f>IF(AND(ISNUMBER(F91),ISNUMBER(G91)),F91*G91,"")</f>
        <v/>
      </c>
      <c r="I91" s="240" t="n"/>
      <c r="J91" s="177" t="n"/>
      <c r="K91" s="271" t="str">
        <f>IF(AND(ISNUMBER(I91),ISNUMBER(J91)),I91*J91,"")</f>
        <v/>
      </c>
      <c r="L91" s="240" t="str">
        <f>IF(COUNT(F91,I91)=0,"",N(F91)-N(I91))</f>
        <v/>
      </c>
      <c r="M91" s="241" t="str">
        <f>IF(COUNT(H91,K91)=0,"",N(K91)-N(H91))</f>
        <v/>
      </c>
      <c r="N91" s="240" t="str">
        <f>IF(AND(ISNUMBER(F91),ISNUMBER(I91),ISNUMBER(H91),ISNUMBER(K91),F91&gt;0,I91&gt;0,H91&lt;&gt;0),ROUND(MIN(F91,I91)*(K91/I91-H91/F91),8),"")</f>
        <v/>
      </c>
      <c r="O91" s="177" t="str">
        <f>IF(ISNUMBER(N91),ROUND(N91/(MIN(F91,I91)*H91/F91)*100,2),"")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71" t="str">
        <f>IF(AND(ISNUMBER(F92),ISNUMBER(G92)),F92*G92,"")</f>
        <v/>
      </c>
      <c r="I92" s="246" t="n"/>
      <c r="J92" s="183" t="n"/>
      <c r="K92" s="271" t="str">
        <f>IF(AND(ISNUMBER(I92),ISNUMBER(J92)),I92*J92,"")</f>
        <v/>
      </c>
      <c r="L92" s="246" t="str">
        <f>IF(COUNT(F92,I92)=0,"",N(F92)-N(I92))</f>
        <v/>
      </c>
      <c r="M92" s="247" t="str">
        <f>IF(COUNT(H92,K92)=0,"",N(K92)-N(H92))</f>
        <v/>
      </c>
      <c r="N92" s="246" t="str">
        <f>IF(AND(ISNUMBER(F92),ISNUMBER(I92),ISNUMBER(H92),ISNUMBER(K92),F92&gt;0,I92&gt;0,H92&lt;&gt;0),ROUND(MIN(F92,I92)*(K92/I92-H92/F92),8),"")</f>
        <v/>
      </c>
      <c r="O92" s="183" t="str">
        <f>IF(ISNUMBER(N92),ROUND(N92/(MIN(F92,I92)*H92/F92)*100,2),"")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71" t="str">
        <f>IF(AND(ISNUMBER(F93),ISNUMBER(G93)),F93*G93,"")</f>
        <v/>
      </c>
      <c r="I93" s="240" t="n"/>
      <c r="J93" s="177" t="n"/>
      <c r="K93" s="271" t="str">
        <f>IF(AND(ISNUMBER(I93),ISNUMBER(J93)),I93*J93,"")</f>
        <v/>
      </c>
      <c r="L93" s="240" t="str">
        <f>IF(COUNT(F93,I93)=0,"",N(F93)-N(I93))</f>
        <v/>
      </c>
      <c r="M93" s="241" t="str">
        <f>IF(COUNT(H93,K93)=0,"",N(K93)-N(H93))</f>
        <v/>
      </c>
      <c r="N93" s="240" t="str">
        <f>IF(AND(ISNUMBER(F93),ISNUMBER(I93),ISNUMBER(H93),ISNUMBER(K93),F93&gt;0,I93&gt;0,H93&lt;&gt;0),ROUND(MIN(F93,I93)*(K93/I93-H93/F93),8),"")</f>
        <v/>
      </c>
      <c r="O93" s="177" t="str">
        <f>IF(ISNUMBER(N93),ROUND(N93/(MIN(F93,I93)*H93/F93)*100,2),"")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71" t="str">
        <f>IF(AND(ISNUMBER(F94),ISNUMBER(G94)),F94*G94,"")</f>
        <v/>
      </c>
      <c r="I94" s="246" t="n"/>
      <c r="J94" s="183" t="n"/>
      <c r="K94" s="271" t="str">
        <f>IF(AND(ISNUMBER(I94),ISNUMBER(J94)),I94*J94,"")</f>
        <v/>
      </c>
      <c r="L94" s="246" t="str">
        <f>IF(COUNT(F94,I94)=0,"",N(F94)-N(I94))</f>
        <v/>
      </c>
      <c r="M94" s="247" t="str">
        <f>IF(COUNT(H94,K94)=0,"",N(K94)-N(H94))</f>
        <v/>
      </c>
      <c r="N94" s="246" t="str">
        <f>IF(AND(ISNUMBER(F94),ISNUMBER(I94),ISNUMBER(H94),ISNUMBER(K94),F94&gt;0,I94&gt;0,H94&lt;&gt;0),ROUND(MIN(F94,I94)*(K94/I94-H94/F94),8),"")</f>
        <v/>
      </c>
      <c r="O94" s="183" t="str">
        <f>IF(ISNUMBER(N94),ROUND(N94/(MIN(F94,I94)*H94/F94)*100,2),"")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71" t="str">
        <f>IF(AND(ISNUMBER(F95),ISNUMBER(G95)),F95*G95,"")</f>
        <v/>
      </c>
      <c r="I95" s="240" t="n"/>
      <c r="J95" s="177" t="n"/>
      <c r="K95" s="271" t="str">
        <f>IF(AND(ISNUMBER(I95),ISNUMBER(J95)),I95*J95,"")</f>
        <v/>
      </c>
      <c r="L95" s="240" t="str">
        <f>IF(COUNT(F95,I95)=0,"",N(F95)-N(I95))</f>
        <v/>
      </c>
      <c r="M95" s="241" t="str">
        <f>IF(COUNT(H95,K95)=0,"",N(K95)-N(H95))</f>
        <v/>
      </c>
      <c r="N95" s="240" t="str">
        <f>IF(AND(ISNUMBER(F95),ISNUMBER(I95),ISNUMBER(H95),ISNUMBER(K95),F95&gt;0,I95&gt;0,H95&lt;&gt;0),ROUND(MIN(F95,I95)*(K95/I95-H95/F95),8),"")</f>
        <v/>
      </c>
      <c r="O95" s="177" t="str">
        <f>IF(ISNUMBER(N95),ROUND(N95/(MIN(F95,I95)*H95/F95)*100,2),"")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71" t="str">
        <f>IF(AND(ISNUMBER(F96),ISNUMBER(G96)),F96*G96,"")</f>
        <v/>
      </c>
      <c r="I96" s="246" t="n"/>
      <c r="J96" s="183" t="n"/>
      <c r="K96" s="271" t="str">
        <f>IF(AND(ISNUMBER(I96),ISNUMBER(J96)),I96*J96,"")</f>
        <v/>
      </c>
      <c r="L96" s="246" t="str">
        <f>IF(COUNT(F96,I96)=0,"",N(F96)-N(I96))</f>
        <v/>
      </c>
      <c r="M96" s="247" t="str">
        <f>IF(COUNT(H96,K96)=0,"",N(K96)-N(H96))</f>
        <v/>
      </c>
      <c r="N96" s="246" t="str">
        <f>IF(AND(ISNUMBER(F96),ISNUMBER(I96),ISNUMBER(H96),ISNUMBER(K96),F96&gt;0,I96&gt;0,H96&lt;&gt;0),ROUND(MIN(F96,I96)*(K96/I96-H96/F96),8),"")</f>
        <v/>
      </c>
      <c r="O96" s="183" t="str">
        <f>IF(ISNUMBER(N96),ROUND(N96/(MIN(F96,I96)*H96/F96)*100,2),"")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71" t="str">
        <f>IF(AND(ISNUMBER(F97),ISNUMBER(G97)),F97*G97,"")</f>
        <v/>
      </c>
      <c r="I97" s="240" t="n"/>
      <c r="J97" s="177" t="n"/>
      <c r="K97" s="271" t="str">
        <f>IF(AND(ISNUMBER(I97),ISNUMBER(J97)),I97*J97,"")</f>
        <v/>
      </c>
      <c r="L97" s="240" t="str">
        <f>IF(COUNT(F97,I97)=0,"",N(F97)-N(I97))</f>
        <v/>
      </c>
      <c r="M97" s="241" t="str">
        <f>IF(COUNT(H97,K97)=0,"",N(K97)-N(H97))</f>
        <v/>
      </c>
      <c r="N97" s="240" t="str">
        <f>IF(AND(ISNUMBER(F97),ISNUMBER(I97),ISNUMBER(H97),ISNUMBER(K97),F97&gt;0,I97&gt;0,H97&lt;&gt;0),ROUND(MIN(F97,I97)*(K97/I97-H97/F97),8),"")</f>
        <v/>
      </c>
      <c r="O97" s="177" t="str">
        <f>IF(ISNUMBER(N97),ROUND(N97/(MIN(F97,I97)*H97/F97)*100,2),"")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71" t="str">
        <f>IF(AND(ISNUMBER(F98),ISNUMBER(G98)),F98*G98,"")</f>
        <v/>
      </c>
      <c r="I98" s="246" t="n"/>
      <c r="J98" s="183" t="n"/>
      <c r="K98" s="271" t="str">
        <f>IF(AND(ISNUMBER(I98),ISNUMBER(J98)),I98*J98,"")</f>
        <v/>
      </c>
      <c r="L98" s="246" t="str">
        <f>IF(COUNT(F98,I98)=0,"",N(F98)-N(I98))</f>
        <v/>
      </c>
      <c r="M98" s="247" t="str">
        <f>IF(COUNT(H98,K98)=0,"",N(K98)-N(H98))</f>
        <v/>
      </c>
      <c r="N98" s="246" t="str">
        <f>IF(AND(ISNUMBER(F98),ISNUMBER(I98),ISNUMBER(H98),ISNUMBER(K98),F98&gt;0,I98&gt;0,H98&lt;&gt;0),ROUND(MIN(F98,I98)*(K98/I98-H98/F98),8),"")</f>
        <v/>
      </c>
      <c r="O98" s="183" t="str">
        <f>IF(ISNUMBER(N98),ROUND(N98/(MIN(F98,I98)*H98/F98)*100,2),"")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71" t="str">
        <f>IF(AND(ISNUMBER(F99),ISNUMBER(G99)),F99*G99,"")</f>
        <v/>
      </c>
      <c r="I99" s="240" t="n"/>
      <c r="J99" s="177" t="n"/>
      <c r="K99" s="271" t="str">
        <f>IF(AND(ISNUMBER(I99),ISNUMBER(J99)),I99*J99,"")</f>
        <v/>
      </c>
      <c r="L99" s="240" t="str">
        <f>IF(COUNT(F99,I99)=0,"",N(F99)-N(I99))</f>
        <v/>
      </c>
      <c r="M99" s="241" t="str">
        <f>IF(COUNT(H99,K99)=0,"",N(K99)-N(H99))</f>
        <v/>
      </c>
      <c r="N99" s="240" t="str">
        <f>IF(AND(ISNUMBER(F99),ISNUMBER(I99),ISNUMBER(H99),ISNUMBER(K99),F99&gt;0,I99&gt;0,H99&lt;&gt;0),ROUND(MIN(F99,I99)*(K99/I99-H99/F99),8),"")</f>
        <v/>
      </c>
      <c r="O99" s="177" t="str">
        <f>IF(ISNUMBER(N99),ROUND(N99/(MIN(F99,I99)*H99/F99)*100,2),"")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71" t="str">
        <f>IF(AND(ISNUMBER(F100),ISNUMBER(G100)),F100*G100,"")</f>
        <v/>
      </c>
      <c r="I100" s="246" t="n"/>
      <c r="J100" s="183" t="n"/>
      <c r="K100" s="271" t="str">
        <f>IF(AND(ISNUMBER(I100),ISNUMBER(J100)),I100*J100,"")</f>
        <v/>
      </c>
      <c r="L100" s="246" t="str">
        <f>IF(COUNT(F100,I100)=0,"",N(F100)-N(I100))</f>
        <v/>
      </c>
      <c r="M100" s="247" t="str">
        <f>IF(COUNT(H100,K100)=0,"",N(K100)-N(H100))</f>
        <v/>
      </c>
      <c r="N100" s="246" t="str">
        <f>IF(AND(ISNUMBER(F100),ISNUMBER(I100),ISNUMBER(H100),ISNUMBER(K100),F100&gt;0,I100&gt;0,H100&lt;&gt;0),ROUND(MIN(F100,I100)*(K100/I100-H100/F100),8),"")</f>
        <v/>
      </c>
      <c r="O100" s="183" t="str">
        <f>IF(ISNUMBER(N100),ROUND(N100/(MIN(F100,I100)*H100/F100)*100,2),"")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71" t="str">
        <f>IF(AND(ISNUMBER(F101),ISNUMBER(G101)),F101*G101,"")</f>
        <v/>
      </c>
      <c r="I101" s="240" t="n"/>
      <c r="J101" s="177" t="n"/>
      <c r="K101" s="271" t="str">
        <f>IF(AND(ISNUMBER(I101),ISNUMBER(J101)),I101*J101,"")</f>
        <v/>
      </c>
      <c r="L101" s="240" t="str">
        <f>IF(COUNT(F101,I101)=0,"",N(F101)-N(I101))</f>
        <v/>
      </c>
      <c r="M101" s="241" t="str">
        <f>IF(COUNT(H101,K101)=0,"",N(K101)-N(H101))</f>
        <v/>
      </c>
      <c r="N101" s="240" t="str">
        <f>IF(AND(ISNUMBER(F101),ISNUMBER(I101),ISNUMBER(H101),ISNUMBER(K101),F101&gt;0,I101&gt;0,H101&lt;&gt;0),ROUND(MIN(F101,I101)*(K101/I101-H101/F101),8),"")</f>
        <v/>
      </c>
      <c r="O101" s="177" t="str">
        <f>IF(ISNUMBER(N101),ROUND(N101/(MIN(F101,I101)*H101/F101)*100,2),"")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71" t="str">
        <f>IF(AND(ISNUMBER(F102),ISNUMBER(G102)),F102*G102,"")</f>
        <v/>
      </c>
      <c r="I102" s="246" t="n"/>
      <c r="J102" s="183" t="n"/>
      <c r="K102" s="271" t="str">
        <f>IF(AND(ISNUMBER(I102),ISNUMBER(J102)),I102*J102,"")</f>
        <v/>
      </c>
      <c r="L102" s="246" t="str">
        <f>IF(COUNT(F102,I102)=0,"",N(F102)-N(I102))</f>
        <v/>
      </c>
      <c r="M102" s="247" t="str">
        <f>IF(COUNT(H102,K102)=0,"",N(K102)-N(H102))</f>
        <v/>
      </c>
      <c r="N102" s="246" t="str">
        <f>IF(AND(ISNUMBER(F102),ISNUMBER(I102),ISNUMBER(H102),ISNUMBER(K102),F102&gt;0,I102&gt;0,H102&lt;&gt;0),ROUND(MIN(F102,I102)*(K102/I102-H102/F102),8),"")</f>
        <v/>
      </c>
      <c r="O102" s="183" t="str">
        <f>IF(ISNUMBER(N102),ROUND(N102/(MIN(F102,I102)*H102/F102)*100,2),"")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71" t="str">
        <f>IF(AND(ISNUMBER(F103),ISNUMBER(G103)),F103*G103,"")</f>
        <v/>
      </c>
      <c r="I103" s="240" t="n"/>
      <c r="J103" s="177" t="n"/>
      <c r="K103" s="271" t="str">
        <f>IF(AND(ISNUMBER(I103),ISNUMBER(J103)),I103*J103,"")</f>
        <v/>
      </c>
      <c r="L103" s="240" t="str">
        <f>IF(COUNT(F103,I103)=0,"",N(F103)-N(I103))</f>
        <v/>
      </c>
      <c r="M103" s="241" t="str">
        <f>IF(COUNT(H103,K103)=0,"",N(K103)-N(H103))</f>
        <v/>
      </c>
      <c r="N103" s="240" t="str">
        <f>IF(AND(ISNUMBER(F103),ISNUMBER(I103),ISNUMBER(H103),ISNUMBER(K103),F103&gt;0,I103&gt;0,H103&lt;&gt;0),ROUND(MIN(F103,I103)*(K103/I103-H103/F103),8),"")</f>
        <v/>
      </c>
      <c r="O103" s="177" t="str">
        <f>IF(ISNUMBER(N103),ROUND(N103/(MIN(F103,I103)*H103/F103)*100,2),"")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71" t="str">
        <f>IF(AND(ISNUMBER(F104),ISNUMBER(G104)),F104*G104,"")</f>
        <v/>
      </c>
      <c r="I104" s="246" t="n"/>
      <c r="J104" s="183" t="n"/>
      <c r="K104" s="271" t="str">
        <f>IF(AND(ISNUMBER(I104),ISNUMBER(J104)),I104*J104,"")</f>
        <v/>
      </c>
      <c r="L104" s="246" t="str">
        <f>IF(COUNT(F104,I104)=0,"",N(F104)-N(I104))</f>
        <v/>
      </c>
      <c r="M104" s="247" t="str">
        <f>IF(COUNT(H104,K104)=0,"",N(K104)-N(H104))</f>
        <v/>
      </c>
      <c r="N104" s="246" t="str">
        <f>IF(AND(ISNUMBER(F104),ISNUMBER(I104),ISNUMBER(H104),ISNUMBER(K104),F104&gt;0,I104&gt;0,H104&lt;&gt;0),ROUND(MIN(F104,I104)*(K104/I104-H104/F104),8),"")</f>
        <v/>
      </c>
      <c r="O104" s="183" t="str">
        <f>IF(ISNUMBER(N104),ROUND(N104/(MIN(F104,I104)*H104/F104)*100,2),"")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71" t="str">
        <f>IF(AND(ISNUMBER(F105),ISNUMBER(G105)),F105*G105,"")</f>
        <v/>
      </c>
      <c r="I105" s="240" t="n"/>
      <c r="J105" s="177" t="n"/>
      <c r="K105" s="271" t="str">
        <f>IF(AND(ISNUMBER(I105),ISNUMBER(J105)),I105*J105,"")</f>
        <v/>
      </c>
      <c r="L105" s="240" t="str">
        <f>IF(COUNT(F105,I105)=0,"",N(F105)-N(I105))</f>
        <v/>
      </c>
      <c r="M105" s="241" t="str">
        <f>IF(COUNT(H105,K105)=0,"",N(K105)-N(H105))</f>
        <v/>
      </c>
      <c r="N105" s="240" t="str">
        <f>IF(AND(ISNUMBER(F105),ISNUMBER(I105),ISNUMBER(H105),ISNUMBER(K105),F105&gt;0,I105&gt;0,H105&lt;&gt;0),ROUND(MIN(F105,I105)*(K105/I105-H105/F105),8),"")</f>
        <v/>
      </c>
      <c r="O105" s="177" t="str">
        <f>IF(ISNUMBER(N105),ROUND(N105/(MIN(F105,I105)*H105/F105)*100,2),"")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71" t="str">
        <f>IF(AND(ISNUMBER(F106),ISNUMBER(G106)),F106*G106,"")</f>
        <v/>
      </c>
      <c r="I106" s="246" t="n"/>
      <c r="J106" s="183" t="n"/>
      <c r="K106" s="271" t="str">
        <f>IF(AND(ISNUMBER(I106),ISNUMBER(J106)),I106*J106,"")</f>
        <v/>
      </c>
      <c r="L106" s="246" t="str">
        <f>IF(COUNT(F106,I106)=0,"",N(F106)-N(I106))</f>
        <v/>
      </c>
      <c r="M106" s="247" t="str">
        <f>IF(COUNT(H106,K106)=0,"",N(K106)-N(H106))</f>
        <v/>
      </c>
      <c r="N106" s="246" t="str">
        <f>IF(AND(ISNUMBER(F106),ISNUMBER(I106),ISNUMBER(H106),ISNUMBER(K106),F106&gt;0,I106&gt;0,H106&lt;&gt;0),ROUND(MIN(F106,I106)*(K106/I106-H106/F106),8),"")</f>
        <v/>
      </c>
      <c r="O106" s="183" t="str">
        <f>IF(ISNUMBER(N106),ROUND(N106/(MIN(F106,I106)*H106/F106)*100,2),"")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71" t="str">
        <f>IF(AND(ISNUMBER(F107),ISNUMBER(G107)),F107*G107,"")</f>
        <v/>
      </c>
      <c r="I107" s="240" t="n"/>
      <c r="J107" s="177" t="n"/>
      <c r="K107" s="271" t="str">
        <f>IF(AND(ISNUMBER(I107),ISNUMBER(J107)),I107*J107,"")</f>
        <v/>
      </c>
      <c r="L107" s="240" t="str">
        <f>IF(COUNT(F107,I107)=0,"",N(F107)-N(I107))</f>
        <v/>
      </c>
      <c r="M107" s="241" t="str">
        <f>IF(COUNT(H107,K107)=0,"",N(K107)-N(H107))</f>
        <v/>
      </c>
      <c r="N107" s="240" t="str">
        <f>IF(AND(ISNUMBER(F107),ISNUMBER(I107),ISNUMBER(H107),ISNUMBER(K107),F107&gt;0,I107&gt;0,H107&lt;&gt;0),ROUND(MIN(F107,I107)*(K107/I107-H107/F107),8),"")</f>
        <v/>
      </c>
      <c r="O107" s="177" t="str">
        <f>IF(ISNUMBER(N107),ROUND(N107/(MIN(F107,I107)*H107/F107)*100,2),"")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71" t="str">
        <f>IF(AND(ISNUMBER(F108),ISNUMBER(G108)),F108*G108,"")</f>
        <v/>
      </c>
      <c r="I108" s="246" t="n"/>
      <c r="J108" s="183" t="n"/>
      <c r="K108" s="271" t="str">
        <f>IF(AND(ISNUMBER(I108),ISNUMBER(J108)),I108*J108,"")</f>
        <v/>
      </c>
      <c r="L108" s="246" t="str">
        <f>IF(COUNT(F108,I108)=0,"",N(F108)-N(I108))</f>
        <v/>
      </c>
      <c r="M108" s="247" t="str">
        <f>IF(COUNT(H108,K108)=0,"",N(K108)-N(H108))</f>
        <v/>
      </c>
      <c r="N108" s="246" t="str">
        <f>IF(AND(ISNUMBER(F108),ISNUMBER(I108),ISNUMBER(H108),ISNUMBER(K108),F108&gt;0,I108&gt;0,H108&lt;&gt;0),ROUND(MIN(F108,I108)*(K108/I108-H108/F108),8),"")</f>
        <v/>
      </c>
      <c r="O108" s="183" t="str">
        <f>IF(ISNUMBER(N108),ROUND(N108/(MIN(F108,I108)*H108/F108)*100,2),"")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71" t="str">
        <f>IF(AND(ISNUMBER(F109),ISNUMBER(G109)),F109*G109,"")</f>
        <v/>
      </c>
      <c r="I109" s="240" t="n"/>
      <c r="J109" s="177" t="n"/>
      <c r="K109" s="271" t="str">
        <f>IF(AND(ISNUMBER(I109),ISNUMBER(J109)),I109*J109,"")</f>
        <v/>
      </c>
      <c r="L109" s="240" t="str">
        <f>IF(COUNT(F109,I109)=0,"",N(F109)-N(I109))</f>
        <v/>
      </c>
      <c r="M109" s="241" t="str">
        <f>IF(COUNT(H109,K109)=0,"",N(K109)-N(H109))</f>
        <v/>
      </c>
      <c r="N109" s="240" t="str">
        <f>IF(AND(ISNUMBER(F109),ISNUMBER(I109),ISNUMBER(H109),ISNUMBER(K109),F109&gt;0,I109&gt;0,H109&lt;&gt;0),ROUND(MIN(F109,I109)*(K109/I109-H109/F109),8),"")</f>
        <v/>
      </c>
      <c r="O109" s="177" t="str">
        <f>IF(ISNUMBER(N109),ROUND(N109/(MIN(F109,I109)*H109/F109)*100,2),"")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71" t="str">
        <f>IF(AND(ISNUMBER(F110),ISNUMBER(G110)),F110*G110,"")</f>
        <v/>
      </c>
      <c r="I110" s="246" t="n"/>
      <c r="J110" s="183" t="n"/>
      <c r="K110" s="271" t="str">
        <f>IF(AND(ISNUMBER(I110),ISNUMBER(J110)),I110*J110,"")</f>
        <v/>
      </c>
      <c r="L110" s="246" t="str">
        <f>IF(COUNT(F110,I110)=0,"",N(F110)-N(I110))</f>
        <v/>
      </c>
      <c r="M110" s="247" t="str">
        <f>IF(COUNT(H110,K110)=0,"",N(K110)-N(H110))</f>
        <v/>
      </c>
      <c r="N110" s="246" t="str">
        <f>IF(AND(ISNUMBER(F110),ISNUMBER(I110),ISNUMBER(H110),ISNUMBER(K110),F110&gt;0,I110&gt;0,H110&lt;&gt;0),ROUND(MIN(F110,I110)*(K110/I110-H110/F110),8),"")</f>
        <v/>
      </c>
      <c r="O110" s="183" t="str">
        <f>IF(ISNUMBER(N110),ROUND(N110/(MIN(F110,I110)*H110/F110)*100,2),"")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71" t="str">
        <f>IF(AND(ISNUMBER(F111),ISNUMBER(G111)),F111*G111,"")</f>
        <v/>
      </c>
      <c r="I111" s="240" t="n"/>
      <c r="J111" s="177" t="n"/>
      <c r="K111" s="271" t="str">
        <f>IF(AND(ISNUMBER(I111),ISNUMBER(J111)),I111*J111,"")</f>
        <v/>
      </c>
      <c r="L111" s="240" t="str">
        <f>IF(COUNT(F111,I111)=0,"",N(F111)-N(I111))</f>
        <v/>
      </c>
      <c r="M111" s="241" t="str">
        <f>IF(COUNT(H111,K111)=0,"",N(K111)-N(H111))</f>
        <v/>
      </c>
      <c r="N111" s="240" t="str">
        <f>IF(AND(ISNUMBER(F111),ISNUMBER(I111),ISNUMBER(H111),ISNUMBER(K111),F111&gt;0,I111&gt;0,H111&lt;&gt;0),ROUND(MIN(F111,I111)*(K111/I111-H111/F111),8),"")</f>
        <v/>
      </c>
      <c r="O111" s="177" t="str">
        <f>IF(ISNUMBER(N111),ROUND(N111/(MIN(F111,I111)*H111/F111)*100,2),"")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71" t="str">
        <f>IF(AND(ISNUMBER(F112),ISNUMBER(G112)),F112*G112,"")</f>
        <v/>
      </c>
      <c r="I112" s="246" t="n"/>
      <c r="J112" s="183" t="n"/>
      <c r="K112" s="271" t="str">
        <f>IF(AND(ISNUMBER(I112),ISNUMBER(J112)),I112*J112,"")</f>
        <v/>
      </c>
      <c r="L112" s="246" t="str">
        <f>IF(COUNT(F112,I112)=0,"",N(F112)-N(I112))</f>
        <v/>
      </c>
      <c r="M112" s="247" t="str">
        <f>IF(COUNT(H112,K112)=0,"",N(K112)-N(H112))</f>
        <v/>
      </c>
      <c r="N112" s="246" t="str">
        <f>IF(AND(ISNUMBER(F112),ISNUMBER(I112),ISNUMBER(H112),ISNUMBER(K112),F112&gt;0,I112&gt;0,H112&lt;&gt;0),ROUND(MIN(F112,I112)*(K112/I112-H112/F112),8),"")</f>
        <v/>
      </c>
      <c r="O112" s="183" t="str">
        <f>IF(ISNUMBER(N112),ROUND(N112/(MIN(F112,I112)*H112/F112)*100,2),"")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71" t="str">
        <f>IF(AND(ISNUMBER(F113),ISNUMBER(G113)),F113*G113,"")</f>
        <v/>
      </c>
      <c r="I113" s="240" t="n"/>
      <c r="J113" s="177" t="n"/>
      <c r="K113" s="271" t="str">
        <f>IF(AND(ISNUMBER(I113),ISNUMBER(J113)),I113*J113,"")</f>
        <v/>
      </c>
      <c r="L113" s="240" t="str">
        <f>IF(COUNT(F113,I113)=0,"",N(F113)-N(I113))</f>
        <v/>
      </c>
      <c r="M113" s="241" t="str">
        <f>IF(COUNT(H113,K113)=0,"",N(K113)-N(H113))</f>
        <v/>
      </c>
      <c r="N113" s="240" t="str">
        <f>IF(AND(ISNUMBER(F113),ISNUMBER(I113),ISNUMBER(H113),ISNUMBER(K113),F113&gt;0,I113&gt;0,H113&lt;&gt;0),ROUND(MIN(F113,I113)*(K113/I113-H113/F113),8),"")</f>
        <v/>
      </c>
      <c r="O113" s="177" t="str">
        <f>IF(ISNUMBER(N113),ROUND(N113/(MIN(F113,I113)*H113/F113)*100,2),"")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71" t="str">
        <f>IF(AND(ISNUMBER(F114),ISNUMBER(G114)),F114*G114,"")</f>
        <v/>
      </c>
      <c r="I114" s="246" t="n"/>
      <c r="J114" s="183" t="n"/>
      <c r="K114" s="271" t="str">
        <f>IF(AND(ISNUMBER(I114),ISNUMBER(J114)),I114*J114,"")</f>
        <v/>
      </c>
      <c r="L114" s="246" t="str">
        <f>IF(COUNT(F114,I114)=0,"",N(F114)-N(I114))</f>
        <v/>
      </c>
      <c r="M114" s="247" t="str">
        <f>IF(COUNT(H114,K114)=0,"",N(K114)-N(H114))</f>
        <v/>
      </c>
      <c r="N114" s="246" t="str">
        <f>IF(AND(ISNUMBER(F114),ISNUMBER(I114),ISNUMBER(H114),ISNUMBER(K114),F114&gt;0,I114&gt;0,H114&lt;&gt;0),ROUND(MIN(F114,I114)*(K114/I114-H114/F114),8),"")</f>
        <v/>
      </c>
      <c r="O114" s="183" t="str">
        <f>IF(ISNUMBER(N114),ROUND(N114/(MIN(F114,I114)*H114/F114)*100,2),"")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71" t="str">
        <f>IF(AND(ISNUMBER(F115),ISNUMBER(G115)),F115*G115,"")</f>
        <v/>
      </c>
      <c r="I115" s="240" t="n"/>
      <c r="J115" s="177" t="n"/>
      <c r="K115" s="271" t="str">
        <f>IF(AND(ISNUMBER(I115),ISNUMBER(J115)),I115*J115,"")</f>
        <v/>
      </c>
      <c r="L115" s="240" t="str">
        <f>IF(COUNT(F115,I115)=0,"",N(F115)-N(I115))</f>
        <v/>
      </c>
      <c r="M115" s="241" t="str">
        <f>IF(COUNT(H115,K115)=0,"",N(K115)-N(H115))</f>
        <v/>
      </c>
      <c r="N115" s="240" t="str">
        <f>IF(AND(ISNUMBER(F115),ISNUMBER(I115),ISNUMBER(H115),ISNUMBER(K115),F115&gt;0,I115&gt;0,H115&lt;&gt;0),ROUND(MIN(F115,I115)*(K115/I115-H115/F115),8),"")</f>
        <v/>
      </c>
      <c r="O115" s="177" t="str">
        <f>IF(ISNUMBER(N115),ROUND(N115/(MIN(F115,I115)*H115/F115)*100,2),"")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71" t="str">
        <f>IF(AND(ISNUMBER(F116),ISNUMBER(G116)),F116*G116,"")</f>
        <v/>
      </c>
      <c r="I116" s="246" t="n"/>
      <c r="J116" s="183" t="n"/>
      <c r="K116" s="271" t="str">
        <f>IF(AND(ISNUMBER(I116),ISNUMBER(J116)),I116*J116,"")</f>
        <v/>
      </c>
      <c r="L116" s="246" t="str">
        <f>IF(COUNT(F116,I116)=0,"",N(F116)-N(I116))</f>
        <v/>
      </c>
      <c r="M116" s="247" t="str">
        <f>IF(COUNT(H116,K116)=0,"",N(K116)-N(H116))</f>
        <v/>
      </c>
      <c r="N116" s="246" t="str">
        <f>IF(AND(ISNUMBER(F116),ISNUMBER(I116),ISNUMBER(H116),ISNUMBER(K116),F116&gt;0,I116&gt;0,H116&lt;&gt;0),ROUND(MIN(F116,I116)*(K116/I116-H116/F116),8),"")</f>
        <v/>
      </c>
      <c r="O116" s="183" t="str">
        <f>IF(ISNUMBER(N116),ROUND(N116/(MIN(F116,I116)*H116/F116)*100,2),"")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71" t="str">
        <f>IF(AND(ISNUMBER(F117),ISNUMBER(G117)),F117*G117,"")</f>
        <v/>
      </c>
      <c r="I117" s="240" t="n"/>
      <c r="J117" s="177" t="n"/>
      <c r="K117" s="271" t="str">
        <f>IF(AND(ISNUMBER(I117),ISNUMBER(J117)),I117*J117,"")</f>
        <v/>
      </c>
      <c r="L117" s="240" t="str">
        <f>IF(COUNT(F117,I117)=0,"",N(F117)-N(I117))</f>
        <v/>
      </c>
      <c r="M117" s="241" t="str">
        <f>IF(COUNT(H117,K117)=0,"",N(K117)-N(H117))</f>
        <v/>
      </c>
      <c r="N117" s="240" t="str">
        <f>IF(AND(ISNUMBER(F117),ISNUMBER(I117),ISNUMBER(H117),ISNUMBER(K117),F117&gt;0,I117&gt;0,H117&lt;&gt;0),ROUND(MIN(F117,I117)*(K117/I117-H117/F117),8),"")</f>
        <v/>
      </c>
      <c r="O117" s="177" t="str">
        <f>IF(ISNUMBER(N117),ROUND(N117/(MIN(F117,I117)*H117/F117)*100,2),"")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71" t="str">
        <f>IF(AND(ISNUMBER(F118),ISNUMBER(G118)),F118*G118,"")</f>
        <v/>
      </c>
      <c r="I118" s="246" t="n"/>
      <c r="J118" s="183" t="n"/>
      <c r="K118" s="271" t="str">
        <f>IF(AND(ISNUMBER(I118),ISNUMBER(J118)),I118*J118,"")</f>
        <v/>
      </c>
      <c r="L118" s="246" t="str">
        <f>IF(COUNT(F118,I118)=0,"",N(F118)-N(I118))</f>
        <v/>
      </c>
      <c r="M118" s="247" t="str">
        <f>IF(COUNT(H118,K118)=0,"",N(K118)-N(H118))</f>
        <v/>
      </c>
      <c r="N118" s="246" t="str">
        <f>IF(AND(ISNUMBER(F118),ISNUMBER(I118),ISNUMBER(H118),ISNUMBER(K118),F118&gt;0,I118&gt;0,H118&lt;&gt;0),ROUND(MIN(F118,I118)*(K118/I118-H118/F118),8),"")</f>
        <v/>
      </c>
      <c r="O118" s="183" t="str">
        <f>IF(ISNUMBER(N118),ROUND(N118/(MIN(F118,I118)*H118/F118)*100,2),"")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71" t="str">
        <f>IF(AND(ISNUMBER(F119),ISNUMBER(G119)),F119*G119,"")</f>
        <v/>
      </c>
      <c r="I119" s="240" t="n"/>
      <c r="J119" s="177" t="n"/>
      <c r="K119" s="271" t="str">
        <f>IF(AND(ISNUMBER(I119),ISNUMBER(J119)),I119*J119,"")</f>
        <v/>
      </c>
      <c r="L119" s="240" t="str">
        <f>IF(COUNT(F119,I119)=0,"",N(F119)-N(I119))</f>
        <v/>
      </c>
      <c r="M119" s="241" t="str">
        <f>IF(COUNT(H119,K119)=0,"",N(K119)-N(H119))</f>
        <v/>
      </c>
      <c r="N119" s="240" t="str">
        <f>IF(AND(ISNUMBER(F119),ISNUMBER(I119),ISNUMBER(H119),ISNUMBER(K119),F119&gt;0,I119&gt;0,H119&lt;&gt;0),ROUND(MIN(F119,I119)*(K119/I119-H119/F119),8),"")</f>
        <v/>
      </c>
      <c r="O119" s="177" t="str">
        <f>IF(ISNUMBER(N119),ROUND(N119/(MIN(F119,I119)*H119/F119)*100,2),"")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71" t="str">
        <f>IF(AND(ISNUMBER(F120),ISNUMBER(G120)),F120*G120,"")</f>
        <v/>
      </c>
      <c r="I120" s="246" t="n"/>
      <c r="J120" s="183" t="n"/>
      <c r="K120" s="271" t="str">
        <f>IF(AND(ISNUMBER(I120),ISNUMBER(J120)),I120*J120,"")</f>
        <v/>
      </c>
      <c r="L120" s="246" t="str">
        <f>IF(COUNT(F120,I120)=0,"",N(F120)-N(I120))</f>
        <v/>
      </c>
      <c r="M120" s="247" t="str">
        <f>IF(COUNT(H120,K120)=0,"",N(K120)-N(H120))</f>
        <v/>
      </c>
      <c r="N120" s="246" t="str">
        <f>IF(AND(ISNUMBER(F120),ISNUMBER(I120),ISNUMBER(H120),ISNUMBER(K120),F120&gt;0,I120&gt;0,H120&lt;&gt;0),ROUND(MIN(F120,I120)*(K120/I120-H120/F120),8),"")</f>
        <v/>
      </c>
      <c r="O120" s="183" t="str">
        <f>IF(ISNUMBER(N120),ROUND(N120/(MIN(F120,I120)*H120/F120)*100,2),"")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71" t="str">
        <f>IF(AND(ISNUMBER(F121),ISNUMBER(G121)),F121*G121,"")</f>
        <v/>
      </c>
      <c r="I121" s="240" t="n"/>
      <c r="J121" s="177" t="n"/>
      <c r="K121" s="271" t="str">
        <f>IF(AND(ISNUMBER(I121),ISNUMBER(J121)),I121*J121,"")</f>
        <v/>
      </c>
      <c r="L121" s="240" t="str">
        <f>IF(COUNT(F121,I121)=0,"",N(F121)-N(I121))</f>
        <v/>
      </c>
      <c r="M121" s="241" t="str">
        <f>IF(COUNT(H121,K121)=0,"",N(K121)-N(H121))</f>
        <v/>
      </c>
      <c r="N121" s="240" t="str">
        <f>IF(AND(ISNUMBER(F121),ISNUMBER(I121),ISNUMBER(H121),ISNUMBER(K121),F121&gt;0,I121&gt;0,H121&lt;&gt;0),ROUND(MIN(F121,I121)*(K121/I121-H121/F121),8),"")</f>
        <v/>
      </c>
      <c r="O121" s="177" t="str">
        <f>IF(ISNUMBER(N121),ROUND(N121/(MIN(F121,I121)*H121/F121)*100,2),"")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71" t="str">
        <f>IF(AND(ISNUMBER(F122),ISNUMBER(G122)),F122*G122,"")</f>
        <v/>
      </c>
      <c r="I122" s="246" t="n"/>
      <c r="J122" s="183" t="n"/>
      <c r="K122" s="271" t="str">
        <f>IF(AND(ISNUMBER(I122),ISNUMBER(J122)),I122*J122,"")</f>
        <v/>
      </c>
      <c r="L122" s="246" t="str">
        <f>IF(COUNT(F122,I122)=0,"",N(F122)-N(I122))</f>
        <v/>
      </c>
      <c r="M122" s="247" t="str">
        <f>IF(COUNT(H122,K122)=0,"",N(K122)-N(H122))</f>
        <v/>
      </c>
      <c r="N122" s="246" t="str">
        <f>IF(AND(ISNUMBER(F122),ISNUMBER(I122),ISNUMBER(H122),ISNUMBER(K122),F122&gt;0,I122&gt;0,H122&lt;&gt;0),ROUND(MIN(F122,I122)*(K122/I122-H122/F122),8),"")</f>
        <v/>
      </c>
      <c r="O122" s="183" t="str">
        <f>IF(ISNUMBER(N122),ROUND(N122/(MIN(F122,I122)*H122/F122)*100,2),"")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71" t="str">
        <f>IF(AND(ISNUMBER(F123),ISNUMBER(G123)),F123*G123,"")</f>
        <v/>
      </c>
      <c r="I123" s="240" t="n"/>
      <c r="J123" s="177" t="n"/>
      <c r="K123" s="271" t="str">
        <f>IF(AND(ISNUMBER(I123),ISNUMBER(J123)),I123*J123,"")</f>
        <v/>
      </c>
      <c r="L123" s="240" t="str">
        <f>IF(COUNT(F123,I123)=0,"",N(F123)-N(I123))</f>
        <v/>
      </c>
      <c r="M123" s="241" t="str">
        <f>IF(COUNT(H123,K123)=0,"",N(K123)-N(H123))</f>
        <v/>
      </c>
      <c r="N123" s="240" t="str">
        <f>IF(AND(ISNUMBER(F123),ISNUMBER(I123),ISNUMBER(H123),ISNUMBER(K123),F123&gt;0,I123&gt;0,H123&lt;&gt;0),ROUND(MIN(F123,I123)*(K123/I123-H123/F123),8),"")</f>
        <v/>
      </c>
      <c r="O123" s="177" t="str">
        <f>IF(ISNUMBER(N123),ROUND(N123/(MIN(F123,I123)*H123/F123)*100,2),"")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71" t="str">
        <f>IF(AND(ISNUMBER(F124),ISNUMBER(G124)),F124*G124,"")</f>
        <v/>
      </c>
      <c r="I124" s="246" t="n"/>
      <c r="J124" s="183" t="n"/>
      <c r="K124" s="271" t="str">
        <f>IF(AND(ISNUMBER(I124),ISNUMBER(J124)),I124*J124,"")</f>
        <v/>
      </c>
      <c r="L124" s="246" t="str">
        <f>IF(COUNT(F124,I124)=0,"",N(F124)-N(I124))</f>
        <v/>
      </c>
      <c r="M124" s="247" t="str">
        <f>IF(COUNT(H124,K124)=0,"",N(K124)-N(H124))</f>
        <v/>
      </c>
      <c r="N124" s="246" t="str">
        <f>IF(AND(ISNUMBER(F124),ISNUMBER(I124),ISNUMBER(H124),ISNUMBER(K124),F124&gt;0,I124&gt;0,H124&lt;&gt;0),ROUND(MIN(F124,I124)*(K124/I124-H124/F124),8),"")</f>
        <v/>
      </c>
      <c r="O124" s="183" t="str">
        <f>IF(ISNUMBER(N124),ROUND(N124/(MIN(F124,I124)*H124/F124)*100,2),"")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71" t="str">
        <f>IF(AND(ISNUMBER(F125),ISNUMBER(G125)),F125*G125,"")</f>
        <v/>
      </c>
      <c r="I125" s="240" t="n"/>
      <c r="J125" s="177" t="n"/>
      <c r="K125" s="271" t="str">
        <f>IF(AND(ISNUMBER(I125),ISNUMBER(J125)),I125*J125,"")</f>
        <v/>
      </c>
      <c r="L125" s="240" t="str">
        <f>IF(COUNT(F125,I125)=0,"",N(F125)-N(I125))</f>
        <v/>
      </c>
      <c r="M125" s="241" t="str">
        <f>IF(COUNT(H125,K125)=0,"",N(K125)-N(H125))</f>
        <v/>
      </c>
      <c r="N125" s="240" t="str">
        <f>IF(AND(ISNUMBER(F125),ISNUMBER(I125),ISNUMBER(H125),ISNUMBER(K125),F125&gt;0,I125&gt;0,H125&lt;&gt;0),ROUND(MIN(F125,I125)*(K125/I125-H125/F125),8),"")</f>
        <v/>
      </c>
      <c r="O125" s="177" t="str">
        <f>IF(ISNUMBER(N125),ROUND(N125/(MIN(F125,I125)*H125/F125)*100,2),"")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71" t="str">
        <f>IF(AND(ISNUMBER(F126),ISNUMBER(G126)),F126*G126,"")</f>
        <v/>
      </c>
      <c r="I126" s="246" t="n"/>
      <c r="J126" s="183" t="n"/>
      <c r="K126" s="271" t="str">
        <f>IF(AND(ISNUMBER(I126),ISNUMBER(J126)),I126*J126,"")</f>
        <v/>
      </c>
      <c r="L126" s="246" t="str">
        <f>IF(COUNT(F126,I126)=0,"",N(F126)-N(I126))</f>
        <v/>
      </c>
      <c r="M126" s="247" t="str">
        <f>IF(COUNT(H126,K126)=0,"",N(K126)-N(H126))</f>
        <v/>
      </c>
      <c r="N126" s="246" t="str">
        <f>IF(AND(ISNUMBER(F126),ISNUMBER(I126),ISNUMBER(H126),ISNUMBER(K126),F126&gt;0,I126&gt;0,H126&lt;&gt;0),ROUND(MIN(F126,I126)*(K126/I126-H126/F126),8),"")</f>
        <v/>
      </c>
      <c r="O126" s="183" t="str">
        <f>IF(ISNUMBER(N126),ROUND(N126/(MIN(F126,I126)*H126/F126)*100,2),"")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71" t="str">
        <f>IF(AND(ISNUMBER(F127),ISNUMBER(G127)),F127*G127,"")</f>
        <v/>
      </c>
      <c r="I127" s="240" t="n"/>
      <c r="J127" s="177" t="n"/>
      <c r="K127" s="271" t="str">
        <f>IF(AND(ISNUMBER(I127),ISNUMBER(J127)),I127*J127,"")</f>
        <v/>
      </c>
      <c r="L127" s="240" t="str">
        <f>IF(COUNT(F127,I127)=0,"",N(F127)-N(I127))</f>
        <v/>
      </c>
      <c r="M127" s="241" t="str">
        <f>IF(COUNT(H127,K127)=0,"",N(K127)-N(H127))</f>
        <v/>
      </c>
      <c r="N127" s="240" t="str">
        <f>IF(AND(ISNUMBER(F127),ISNUMBER(I127),ISNUMBER(H127),ISNUMBER(K127),F127&gt;0,I127&gt;0,H127&lt;&gt;0),ROUND(MIN(F127,I127)*(K127/I127-H127/F127),8),"")</f>
        <v/>
      </c>
      <c r="O127" s="177" t="str">
        <f>IF(ISNUMBER(N127),ROUND(N127/(MIN(F127,I127)*H127/F127)*100,2),"")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71" t="str">
        <f>IF(AND(ISNUMBER(F128),ISNUMBER(G128)),F128*G128,"")</f>
        <v/>
      </c>
      <c r="I128" s="246" t="n"/>
      <c r="J128" s="183" t="n"/>
      <c r="K128" s="271" t="str">
        <f>IF(AND(ISNUMBER(I128),ISNUMBER(J128)),I128*J128,"")</f>
        <v/>
      </c>
      <c r="L128" s="246" t="str">
        <f>IF(COUNT(F128,I128)=0,"",N(F128)-N(I128))</f>
        <v/>
      </c>
      <c r="M128" s="247" t="str">
        <f>IF(COUNT(H128,K128)=0,"",N(K128)-N(H128))</f>
        <v/>
      </c>
      <c r="N128" s="246" t="str">
        <f>IF(AND(ISNUMBER(F128),ISNUMBER(I128),ISNUMBER(H128),ISNUMBER(K128),F128&gt;0,I128&gt;0,H128&lt;&gt;0),ROUND(MIN(F128,I128)*(K128/I128-H128/F128),8),"")</f>
        <v/>
      </c>
      <c r="O128" s="183" t="str">
        <f>IF(ISNUMBER(N128),ROUND(N128/(MIN(F128,I128)*H128/F128)*100,2),"")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71" t="str">
        <f>IF(AND(ISNUMBER(F129),ISNUMBER(G129)),F129*G129,"")</f>
        <v/>
      </c>
      <c r="I129" s="240" t="n"/>
      <c r="J129" s="177" t="n"/>
      <c r="K129" s="271" t="str">
        <f>IF(AND(ISNUMBER(I129),ISNUMBER(J129)),I129*J129,"")</f>
        <v/>
      </c>
      <c r="L129" s="240" t="str">
        <f>IF(COUNT(F129,I129)=0,"",N(F129)-N(I129))</f>
        <v/>
      </c>
      <c r="M129" s="241" t="str">
        <f>IF(COUNT(H129,K129)=0,"",N(K129)-N(H129))</f>
        <v/>
      </c>
      <c r="N129" s="240" t="str">
        <f>IF(AND(ISNUMBER(F129),ISNUMBER(I129),ISNUMBER(H129),ISNUMBER(K129),F129&gt;0,I129&gt;0,H129&lt;&gt;0),ROUND(MIN(F129,I129)*(K129/I129-H129/F129),8),"")</f>
        <v/>
      </c>
      <c r="O129" s="177" t="str">
        <f>IF(ISNUMBER(N129),ROUND(N129/(MIN(F129,I129)*H129/F129)*100,2),"")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71" t="str">
        <f>IF(AND(ISNUMBER(F130),ISNUMBER(G130)),F130*G130,"")</f>
        <v/>
      </c>
      <c r="I130" s="246" t="n"/>
      <c r="J130" s="183" t="n"/>
      <c r="K130" s="271" t="str">
        <f>IF(AND(ISNUMBER(I130),ISNUMBER(J130)),I130*J130,"")</f>
        <v/>
      </c>
      <c r="L130" s="246" t="str">
        <f>IF(COUNT(F130,I130)=0,"",N(F130)-N(I130))</f>
        <v/>
      </c>
      <c r="M130" s="247" t="str">
        <f>IF(COUNT(H130,K130)=0,"",N(K130)-N(H130))</f>
        <v/>
      </c>
      <c r="N130" s="246" t="str">
        <f>IF(AND(ISNUMBER(F130),ISNUMBER(I130),ISNUMBER(H130),ISNUMBER(K130),F130&gt;0,I130&gt;0,H130&lt;&gt;0),ROUND(MIN(F130,I130)*(K130/I130-H130/F130),8),"")</f>
        <v/>
      </c>
      <c r="O130" s="183" t="str">
        <f>IF(ISNUMBER(N130),ROUND(N130/(MIN(F130,I130)*H130/F130)*100,2),"")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71" t="str">
        <f>IF(AND(ISNUMBER(F131),ISNUMBER(G131)),F131*G131,"")</f>
        <v/>
      </c>
      <c r="I131" s="240" t="n"/>
      <c r="J131" s="177" t="n"/>
      <c r="K131" s="271" t="str">
        <f>IF(AND(ISNUMBER(I131),ISNUMBER(J131)),I131*J131,"")</f>
        <v/>
      </c>
      <c r="L131" s="240" t="str">
        <f>IF(COUNT(F131,I131)=0,"",N(F131)-N(I131))</f>
        <v/>
      </c>
      <c r="M131" s="241" t="str">
        <f>IF(COUNT(H131,K131)=0,"",N(K131)-N(H131))</f>
        <v/>
      </c>
      <c r="N131" s="240" t="str">
        <f>IF(AND(ISNUMBER(F131),ISNUMBER(I131),ISNUMBER(H131),ISNUMBER(K131),F131&gt;0,I131&gt;0,H131&lt;&gt;0),ROUND(MIN(F131,I131)*(K131/I131-H131/F131),8),"")</f>
        <v/>
      </c>
      <c r="O131" s="177" t="str">
        <f>IF(ISNUMBER(N131),ROUND(N131/(MIN(F131,I131)*H131/F131)*100,2),"")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71" t="str">
        <f>IF(AND(ISNUMBER(F132),ISNUMBER(G132)),F132*G132,"")</f>
        <v/>
      </c>
      <c r="I132" s="246" t="n"/>
      <c r="J132" s="183" t="n"/>
      <c r="K132" s="271" t="str">
        <f>IF(AND(ISNUMBER(I132),ISNUMBER(J132)),I132*J132,"")</f>
        <v/>
      </c>
      <c r="L132" s="246" t="str">
        <f>IF(COUNT(F132,I132)=0,"",N(F132)-N(I132))</f>
        <v/>
      </c>
      <c r="M132" s="247" t="str">
        <f>IF(COUNT(H132,K132)=0,"",N(K132)-N(H132))</f>
        <v/>
      </c>
      <c r="N132" s="246" t="str">
        <f>IF(AND(ISNUMBER(F132),ISNUMBER(I132),ISNUMBER(H132),ISNUMBER(K132),F132&gt;0,I132&gt;0,H132&lt;&gt;0),ROUND(MIN(F132,I132)*(K132/I132-H132/F132),8),"")</f>
        <v/>
      </c>
      <c r="O132" s="183" t="str">
        <f>IF(ISNUMBER(N132),ROUND(N132/(MIN(F132,I132)*H132/F132)*100,2),"")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71" t="str">
        <f>IF(AND(ISNUMBER(F133),ISNUMBER(G133)),F133*G133,"")</f>
        <v/>
      </c>
      <c r="I133" s="240" t="n"/>
      <c r="J133" s="177" t="n"/>
      <c r="K133" s="271" t="str">
        <f>IF(AND(ISNUMBER(I133),ISNUMBER(J133)),I133*J133,"")</f>
        <v/>
      </c>
      <c r="L133" s="240" t="str">
        <f>IF(COUNT(F133,I133)=0,"",N(F133)-N(I133))</f>
        <v/>
      </c>
      <c r="M133" s="241" t="str">
        <f>IF(COUNT(H133,K133)=0,"",N(K133)-N(H133))</f>
        <v/>
      </c>
      <c r="N133" s="240" t="str">
        <f>IF(AND(ISNUMBER(F133),ISNUMBER(I133),ISNUMBER(H133),ISNUMBER(K133),F133&gt;0,I133&gt;0,H133&lt;&gt;0),ROUND(MIN(F133,I133)*(K133/I133-H133/F133),8),"")</f>
        <v/>
      </c>
      <c r="O133" s="177" t="str">
        <f>IF(ISNUMBER(N133),ROUND(N133/(MIN(F133,I133)*H133/F133)*100,2),"")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71" t="str">
        <f>IF(AND(ISNUMBER(F134),ISNUMBER(G134)),F134*G134,"")</f>
        <v/>
      </c>
      <c r="I134" s="246" t="n"/>
      <c r="J134" s="183" t="n"/>
      <c r="K134" s="271" t="str">
        <f>IF(AND(ISNUMBER(I134),ISNUMBER(J134)),I134*J134,"")</f>
        <v/>
      </c>
      <c r="L134" s="246" t="str">
        <f>IF(COUNT(F134,I134)=0,"",N(F134)-N(I134))</f>
        <v/>
      </c>
      <c r="M134" s="247" t="str">
        <f>IF(COUNT(H134,K134)=0,"",N(K134)-N(H134))</f>
        <v/>
      </c>
      <c r="N134" s="246" t="str">
        <f>IF(AND(ISNUMBER(F134),ISNUMBER(I134),ISNUMBER(H134),ISNUMBER(K134),F134&gt;0,I134&gt;0,H134&lt;&gt;0),ROUND(MIN(F134,I134)*(K134/I134-H134/F134),8),"")</f>
        <v/>
      </c>
      <c r="O134" s="183" t="str">
        <f>IF(ISNUMBER(N134),ROUND(N134/(MIN(F134,I134)*H134/F134)*100,2),"")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71" t="str">
        <f>IF(AND(ISNUMBER(F135),ISNUMBER(G135)),F135*G135,"")</f>
        <v/>
      </c>
      <c r="I135" s="240" t="n"/>
      <c r="J135" s="177" t="n"/>
      <c r="K135" s="271" t="str">
        <f>IF(AND(ISNUMBER(I135),ISNUMBER(J135)),I135*J135,"")</f>
        <v/>
      </c>
      <c r="L135" s="240" t="str">
        <f>IF(COUNT(F135,I135)=0,"",N(F135)-N(I135))</f>
        <v/>
      </c>
      <c r="M135" s="241" t="str">
        <f>IF(COUNT(H135,K135)=0,"",N(K135)-N(H135))</f>
        <v/>
      </c>
      <c r="N135" s="240" t="str">
        <f>IF(AND(ISNUMBER(F135),ISNUMBER(I135),ISNUMBER(H135),ISNUMBER(K135),F135&gt;0,I135&gt;0,H135&lt;&gt;0),ROUND(MIN(F135,I135)*(K135/I135-H135/F135),8),"")</f>
        <v/>
      </c>
      <c r="O135" s="177" t="str">
        <f>IF(ISNUMBER(N135),ROUND(N135/(MIN(F135,I135)*H135/F135)*100,2),"")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71" t="str">
        <f>IF(AND(ISNUMBER(F136),ISNUMBER(G136)),F136*G136,"")</f>
        <v/>
      </c>
      <c r="I136" s="246" t="n"/>
      <c r="J136" s="183" t="n"/>
      <c r="K136" s="271" t="str">
        <f>IF(AND(ISNUMBER(I136),ISNUMBER(J136)),I136*J136,"")</f>
        <v/>
      </c>
      <c r="L136" s="246" t="str">
        <f>IF(COUNT(F136,I136)=0,"",N(F136)-N(I136))</f>
        <v/>
      </c>
      <c r="M136" s="247" t="str">
        <f>IF(COUNT(H136,K136)=0,"",N(K136)-N(H136))</f>
        <v/>
      </c>
      <c r="N136" s="246" t="str">
        <f>IF(AND(ISNUMBER(F136),ISNUMBER(I136),ISNUMBER(H136),ISNUMBER(K136),F136&gt;0,I136&gt;0,H136&lt;&gt;0),ROUND(MIN(F136,I136)*(K136/I136-H136/F136),8),"")</f>
        <v/>
      </c>
      <c r="O136" s="183" t="str">
        <f>IF(ISNUMBER(N136),ROUND(N136/(MIN(F136,I136)*H136/F136)*100,2),"")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71" t="str">
        <f>IF(AND(ISNUMBER(F137),ISNUMBER(G137)),F137*G137,"")</f>
        <v/>
      </c>
      <c r="I137" s="240" t="n"/>
      <c r="J137" s="177" t="n"/>
      <c r="K137" s="271" t="str">
        <f>IF(AND(ISNUMBER(I137),ISNUMBER(J137)),I137*J137,"")</f>
        <v/>
      </c>
      <c r="L137" s="240" t="str">
        <f>IF(COUNT(F137,I137)=0,"",N(F137)-N(I137))</f>
        <v/>
      </c>
      <c r="M137" s="241" t="str">
        <f>IF(COUNT(H137,K137)=0,"",N(K137)-N(H137))</f>
        <v/>
      </c>
      <c r="N137" s="240" t="str">
        <f>IF(AND(ISNUMBER(F137),ISNUMBER(I137),ISNUMBER(H137),ISNUMBER(K137),F137&gt;0,I137&gt;0,H137&lt;&gt;0),ROUND(MIN(F137,I137)*(K137/I137-H137/F137),8),"")</f>
        <v/>
      </c>
      <c r="O137" s="177" t="str">
        <f>IF(ISNUMBER(N137),ROUND(N137/(MIN(F137,I137)*H137/F137)*100,2),"")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71" t="str">
        <f>IF(AND(ISNUMBER(F138),ISNUMBER(G138)),F138*G138,"")</f>
        <v/>
      </c>
      <c r="I138" s="246" t="n"/>
      <c r="J138" s="183" t="n"/>
      <c r="K138" s="271" t="str">
        <f>IF(AND(ISNUMBER(I138),ISNUMBER(J138)),I138*J138,"")</f>
        <v/>
      </c>
      <c r="L138" s="246" t="str">
        <f>IF(COUNT(F138,I138)=0,"",N(F138)-N(I138))</f>
        <v/>
      </c>
      <c r="M138" s="247" t="str">
        <f>IF(COUNT(H138,K138)=0,"",N(K138)-N(H138))</f>
        <v/>
      </c>
      <c r="N138" s="246" t="str">
        <f>IF(AND(ISNUMBER(F138),ISNUMBER(I138),ISNUMBER(H138),ISNUMBER(K138),F138&gt;0,I138&gt;0,H138&lt;&gt;0),ROUND(MIN(F138,I138)*(K138/I138-H138/F138),8),"")</f>
        <v/>
      </c>
      <c r="O138" s="183" t="str">
        <f>IF(ISNUMBER(N138),ROUND(N138/(MIN(F138,I138)*H138/F138)*100,2),"")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71" t="str">
        <f>IF(AND(ISNUMBER(F139),ISNUMBER(G139)),F139*G139,"")</f>
        <v/>
      </c>
      <c r="I139" s="240" t="n"/>
      <c r="J139" s="177" t="n"/>
      <c r="K139" s="271" t="str">
        <f>IF(AND(ISNUMBER(I139),ISNUMBER(J139)),I139*J139,"")</f>
        <v/>
      </c>
      <c r="L139" s="240" t="str">
        <f>IF(COUNT(F139,I139)=0,"",N(F139)-N(I139))</f>
        <v/>
      </c>
      <c r="M139" s="241" t="str">
        <f>IF(COUNT(H139,K139)=0,"",N(K139)-N(H139))</f>
        <v/>
      </c>
      <c r="N139" s="240" t="str">
        <f>IF(AND(ISNUMBER(F139),ISNUMBER(I139),ISNUMBER(H139),ISNUMBER(K139),F139&gt;0,I139&gt;0,H139&lt;&gt;0),ROUND(MIN(F139,I139)*(K139/I139-H139/F139),8),"")</f>
        <v/>
      </c>
      <c r="O139" s="177" t="str">
        <f>IF(ISNUMBER(N139),ROUND(N139/(MIN(F139,I139)*H139/F139)*100,2),"")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71" t="str">
        <f>IF(AND(ISNUMBER(F140),ISNUMBER(G140)),F140*G140,"")</f>
        <v/>
      </c>
      <c r="I140" s="246" t="n"/>
      <c r="J140" s="183" t="n"/>
      <c r="K140" s="271" t="str">
        <f>IF(AND(ISNUMBER(I140),ISNUMBER(J140)),I140*J140,"")</f>
        <v/>
      </c>
      <c r="L140" s="246" t="str">
        <f>IF(COUNT(F140,I140)=0,"",N(F140)-N(I140))</f>
        <v/>
      </c>
      <c r="M140" s="247" t="str">
        <f>IF(COUNT(H140,K140)=0,"",N(K140)-N(H140))</f>
        <v/>
      </c>
      <c r="N140" s="246" t="str">
        <f>IF(AND(ISNUMBER(F140),ISNUMBER(I140),ISNUMBER(H140),ISNUMBER(K140),F140&gt;0,I140&gt;0,H140&lt;&gt;0),ROUND(MIN(F140,I140)*(K140/I140-H140/F140),8),"")</f>
        <v/>
      </c>
      <c r="O140" s="183" t="str">
        <f>IF(ISNUMBER(N140),ROUND(N140/(MIN(F140,I140)*H140/F140)*100,2),"")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71" t="str">
        <f>IF(AND(ISNUMBER(F141),ISNUMBER(G141)),F141*G141,"")</f>
        <v/>
      </c>
      <c r="I141" s="240" t="n"/>
      <c r="J141" s="177" t="n"/>
      <c r="K141" s="271" t="str">
        <f>IF(AND(ISNUMBER(I141),ISNUMBER(J141)),I141*J141,"")</f>
        <v/>
      </c>
      <c r="L141" s="240" t="str">
        <f>IF(COUNT(F141,I141)=0,"",N(F141)-N(I141))</f>
        <v/>
      </c>
      <c r="M141" s="241" t="str">
        <f>IF(COUNT(H141,K141)=0,"",N(K141)-N(H141))</f>
        <v/>
      </c>
      <c r="N141" s="240" t="str">
        <f>IF(AND(ISNUMBER(F141),ISNUMBER(I141),ISNUMBER(H141),ISNUMBER(K141),F141&gt;0,I141&gt;0,H141&lt;&gt;0),ROUND(MIN(F141,I141)*(K141/I141-H141/F141),8),"")</f>
        <v/>
      </c>
      <c r="O141" s="177" t="str">
        <f>IF(ISNUMBER(N141),ROUND(N141/(MIN(F141,I141)*H141/F141)*100,2),"")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71" t="str">
        <f>IF(AND(ISNUMBER(F142),ISNUMBER(G142)),F142*G142,"")</f>
        <v/>
      </c>
      <c r="I142" s="246" t="n"/>
      <c r="J142" s="183" t="n"/>
      <c r="K142" s="271" t="str">
        <f>IF(AND(ISNUMBER(I142),ISNUMBER(J142)),I142*J142,"")</f>
        <v/>
      </c>
      <c r="L142" s="246" t="str">
        <f>IF(COUNT(F142,I142)=0,"",N(F142)-N(I142))</f>
        <v/>
      </c>
      <c r="M142" s="247" t="str">
        <f>IF(COUNT(H142,K142)=0,"",N(K142)-N(H142))</f>
        <v/>
      </c>
      <c r="N142" s="246" t="str">
        <f>IF(AND(ISNUMBER(F142),ISNUMBER(I142),ISNUMBER(H142),ISNUMBER(K142),F142&gt;0,I142&gt;0,H142&lt;&gt;0),ROUND(MIN(F142,I142)*(K142/I142-H142/F142),8),"")</f>
        <v/>
      </c>
      <c r="O142" s="183" t="str">
        <f>IF(ISNUMBER(N142),ROUND(N142/(MIN(F142,I142)*H142/F142)*100,2),"")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71" t="str">
        <f>IF(AND(ISNUMBER(F143),ISNUMBER(G143)),F143*G143,"")</f>
        <v/>
      </c>
      <c r="I143" s="240" t="n"/>
      <c r="J143" s="177" t="n"/>
      <c r="K143" s="271" t="str">
        <f>IF(AND(ISNUMBER(I143),ISNUMBER(J143)),I143*J143,"")</f>
        <v/>
      </c>
      <c r="L143" s="240" t="str">
        <f>IF(COUNT(F143,I143)=0,"",N(F143)-N(I143))</f>
        <v/>
      </c>
      <c r="M143" s="241" t="str">
        <f>IF(COUNT(H143,K143)=0,"",N(K143)-N(H143))</f>
        <v/>
      </c>
      <c r="N143" s="240" t="str">
        <f>IF(AND(ISNUMBER(F143),ISNUMBER(I143),ISNUMBER(H143),ISNUMBER(K143),F143&gt;0,I143&gt;0,H143&lt;&gt;0),ROUND(MIN(F143,I143)*(K143/I143-H143/F143),8),"")</f>
        <v/>
      </c>
      <c r="O143" s="177" t="str">
        <f>IF(ISNUMBER(N143),ROUND(N143/(MIN(F143,I143)*H143/F143)*100,2),"")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71" t="str">
        <f>IF(AND(ISNUMBER(F144),ISNUMBER(G144)),F144*G144,"")</f>
        <v/>
      </c>
      <c r="I144" s="246" t="n"/>
      <c r="J144" s="183" t="n"/>
      <c r="K144" s="271" t="str">
        <f>IF(AND(ISNUMBER(I144),ISNUMBER(J144)),I144*J144,"")</f>
        <v/>
      </c>
      <c r="L144" s="246" t="str">
        <f>IF(COUNT(F144,I144)=0,"",N(F144)-N(I144))</f>
        <v/>
      </c>
      <c r="M144" s="247" t="str">
        <f>IF(COUNT(H144,K144)=0,"",N(K144)-N(H144))</f>
        <v/>
      </c>
      <c r="N144" s="246" t="str">
        <f>IF(AND(ISNUMBER(F144),ISNUMBER(I144),ISNUMBER(H144),ISNUMBER(K144),F144&gt;0,I144&gt;0,H144&lt;&gt;0),ROUND(MIN(F144,I144)*(K144/I144-H144/F144),8),"")</f>
        <v/>
      </c>
      <c r="O144" s="183" t="str">
        <f>IF(ISNUMBER(N144),ROUND(N144/(MIN(F144,I144)*H144/F144)*100,2),"")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71" t="str">
        <f>IF(AND(ISNUMBER(F145),ISNUMBER(G145)),F145*G145,"")</f>
        <v/>
      </c>
      <c r="I145" s="240" t="n"/>
      <c r="J145" s="177" t="n"/>
      <c r="K145" s="271" t="str">
        <f>IF(AND(ISNUMBER(I145),ISNUMBER(J145)),I145*J145,"")</f>
        <v/>
      </c>
      <c r="L145" s="240" t="str">
        <f>IF(COUNT(F145,I145)=0,"",N(F145)-N(I145))</f>
        <v/>
      </c>
      <c r="M145" s="241" t="str">
        <f>IF(COUNT(H145,K145)=0,"",N(K145)-N(H145))</f>
        <v/>
      </c>
      <c r="N145" s="240" t="str">
        <f>IF(AND(ISNUMBER(F145),ISNUMBER(I145),ISNUMBER(H145),ISNUMBER(K145),F145&gt;0,I145&gt;0,H145&lt;&gt;0),ROUND(MIN(F145,I145)*(K145/I145-H145/F145),8),"")</f>
        <v/>
      </c>
      <c r="O145" s="177" t="str">
        <f>IF(ISNUMBER(N145),ROUND(N145/(MIN(F145,I145)*H145/F145)*100,2),"")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71" t="str">
        <f>IF(AND(ISNUMBER(F146),ISNUMBER(G146)),F146*G146,"")</f>
        <v/>
      </c>
      <c r="I146" s="246" t="n"/>
      <c r="J146" s="183" t="n"/>
      <c r="K146" s="271" t="str">
        <f>IF(AND(ISNUMBER(I146),ISNUMBER(J146)),I146*J146,"")</f>
        <v/>
      </c>
      <c r="L146" s="246" t="str">
        <f>IF(COUNT(F146,I146)=0,"",N(F146)-N(I146))</f>
        <v/>
      </c>
      <c r="M146" s="247" t="str">
        <f>IF(COUNT(H146,K146)=0,"",N(K146)-N(H146))</f>
        <v/>
      </c>
      <c r="N146" s="246" t="str">
        <f>IF(AND(ISNUMBER(F146),ISNUMBER(I146),ISNUMBER(H146),ISNUMBER(K146),F146&gt;0,I146&gt;0,H146&lt;&gt;0),ROUND(MIN(F146,I146)*(K146/I146-H146/F146),8),"")</f>
        <v/>
      </c>
      <c r="O146" s="183" t="str">
        <f>IF(ISNUMBER(N146),ROUND(N146/(MIN(F146,I146)*H146/F146)*100,2),"")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71" t="str">
        <f>IF(AND(ISNUMBER(F147),ISNUMBER(G147)),F147*G147,"")</f>
        <v/>
      </c>
      <c r="I147" s="240" t="n"/>
      <c r="J147" s="177" t="n"/>
      <c r="K147" s="271" t="str">
        <f>IF(AND(ISNUMBER(I147),ISNUMBER(J147)),I147*J147,"")</f>
        <v/>
      </c>
      <c r="L147" s="240" t="str">
        <f>IF(COUNT(F147,I147)=0,"",N(F147)-N(I147))</f>
        <v/>
      </c>
      <c r="M147" s="241" t="str">
        <f>IF(COUNT(H147,K147)=0,"",N(K147)-N(H147))</f>
        <v/>
      </c>
      <c r="N147" s="240" t="str">
        <f>IF(AND(ISNUMBER(F147),ISNUMBER(I147),ISNUMBER(H147),ISNUMBER(K147),F147&gt;0,I147&gt;0,H147&lt;&gt;0),ROUND(MIN(F147,I147)*(K147/I147-H147/F147),8),"")</f>
        <v/>
      </c>
      <c r="O147" s="177" t="str">
        <f>IF(ISNUMBER(N147),ROUND(N147/(MIN(F147,I147)*H147/F147)*100,2),"")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71" t="str">
        <f>IF(AND(ISNUMBER(F148),ISNUMBER(G148)),F148*G148,"")</f>
        <v/>
      </c>
      <c r="I148" s="246" t="n"/>
      <c r="J148" s="183" t="n"/>
      <c r="K148" s="271" t="str">
        <f>IF(AND(ISNUMBER(I148),ISNUMBER(J148)),I148*J148,"")</f>
        <v/>
      </c>
      <c r="L148" s="246" t="str">
        <f>IF(COUNT(F148,I148)=0,"",N(F148)-N(I148))</f>
        <v/>
      </c>
      <c r="M148" s="247" t="str">
        <f>IF(COUNT(H148,K148)=0,"",N(K148)-N(H148))</f>
        <v/>
      </c>
      <c r="N148" s="246" t="str">
        <f>IF(AND(ISNUMBER(F148),ISNUMBER(I148),ISNUMBER(H148),ISNUMBER(K148),F148&gt;0,I148&gt;0,H148&lt;&gt;0),ROUND(MIN(F148,I148)*(K148/I148-H148/F148),8),"")</f>
        <v/>
      </c>
      <c r="O148" s="183" t="str">
        <f>IF(ISNUMBER(N148),ROUND(N148/(MIN(F148,I148)*H148/F148)*100,2),"")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71" t="str">
        <f>IF(AND(ISNUMBER(F149),ISNUMBER(G149)),F149*G149,"")</f>
        <v/>
      </c>
      <c r="I149" s="240" t="n"/>
      <c r="J149" s="177" t="n"/>
      <c r="K149" s="271" t="str">
        <f>IF(AND(ISNUMBER(I149),ISNUMBER(J149)),I149*J149,"")</f>
        <v/>
      </c>
      <c r="L149" s="240" t="str">
        <f>IF(COUNT(F149,I149)=0,"",N(F149)-N(I149))</f>
        <v/>
      </c>
      <c r="M149" s="241" t="str">
        <f>IF(COUNT(H149,K149)=0,"",N(K149)-N(H149))</f>
        <v/>
      </c>
      <c r="N149" s="240" t="str">
        <f>IF(AND(ISNUMBER(F149),ISNUMBER(I149),ISNUMBER(H149),ISNUMBER(K149),F149&gt;0,I149&gt;0,H149&lt;&gt;0),ROUND(MIN(F149,I149)*(K149/I149-H149/F149),8),"")</f>
        <v/>
      </c>
      <c r="O149" s="177" t="str">
        <f>IF(ISNUMBER(N149),ROUND(N149/(MIN(F149,I149)*H149/F149)*100,2),"")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71" t="str">
        <f>IF(AND(ISNUMBER(F150),ISNUMBER(G150)),F150*G150,"")</f>
        <v/>
      </c>
      <c r="I150" s="246" t="n"/>
      <c r="J150" s="183" t="n"/>
      <c r="K150" s="271" t="str">
        <f>IF(AND(ISNUMBER(I150),ISNUMBER(J150)),I150*J150,"")</f>
        <v/>
      </c>
      <c r="L150" s="246" t="str">
        <f>IF(COUNT(F150,I150)=0,"",N(F150)-N(I150))</f>
        <v/>
      </c>
      <c r="M150" s="247" t="str">
        <f>IF(COUNT(H150,K150)=0,"",N(K150)-N(H150))</f>
        <v/>
      </c>
      <c r="N150" s="246" t="str">
        <f>IF(AND(ISNUMBER(F150),ISNUMBER(I150),ISNUMBER(H150),ISNUMBER(K150),F150&gt;0,I150&gt;0,H150&lt;&gt;0),ROUND(MIN(F150,I150)*(K150/I150-H150/F150),8),"")</f>
        <v/>
      </c>
      <c r="O150" s="183" t="str">
        <f>IF(ISNUMBER(N150),ROUND(N150/(MIN(F150,I150)*H150/F150)*100,2),"")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71" t="str">
        <f>IF(AND(ISNUMBER(F151),ISNUMBER(G151)),F151*G151,"")</f>
        <v/>
      </c>
      <c r="I151" s="240" t="n"/>
      <c r="J151" s="177" t="n"/>
      <c r="K151" s="271" t="str">
        <f>IF(AND(ISNUMBER(I151),ISNUMBER(J151)),I151*J151,"")</f>
        <v/>
      </c>
      <c r="L151" s="240" t="str">
        <f>IF(COUNT(F151,I151)=0,"",N(F151)-N(I151))</f>
        <v/>
      </c>
      <c r="M151" s="241" t="str">
        <f>IF(COUNT(H151,K151)=0,"",N(K151)-N(H151))</f>
        <v/>
      </c>
      <c r="N151" s="240" t="str">
        <f>IF(AND(ISNUMBER(F151),ISNUMBER(I151),ISNUMBER(H151),ISNUMBER(K151),F151&gt;0,I151&gt;0,H151&lt;&gt;0),ROUND(MIN(F151,I151)*(K151/I151-H151/F151),8),"")</f>
        <v/>
      </c>
      <c r="O151" s="177" t="str">
        <f>IF(ISNUMBER(N151),ROUND(N151/(MIN(F151,I151)*H151/F151)*100,2),"")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71" t="str">
        <f>IF(AND(ISNUMBER(F152),ISNUMBER(G152)),F152*G152,"")</f>
        <v/>
      </c>
      <c r="I152" s="246" t="n"/>
      <c r="J152" s="183" t="n"/>
      <c r="K152" s="271" t="str">
        <f>IF(AND(ISNUMBER(I152),ISNUMBER(J152)),I152*J152,"")</f>
        <v/>
      </c>
      <c r="L152" s="246" t="str">
        <f>IF(COUNT(F152,I152)=0,"",N(F152)-N(I152))</f>
        <v/>
      </c>
      <c r="M152" s="247" t="str">
        <f>IF(COUNT(H152,K152)=0,"",N(K152)-N(H152))</f>
        <v/>
      </c>
      <c r="N152" s="246" t="str">
        <f>IF(AND(ISNUMBER(F152),ISNUMBER(I152),ISNUMBER(H152),ISNUMBER(K152),F152&gt;0,I152&gt;0,H152&lt;&gt;0),ROUND(MIN(F152,I152)*(K152/I152-H152/F152),8),"")</f>
        <v/>
      </c>
      <c r="O152" s="183" t="str">
        <f>IF(ISNUMBER(N152),ROUND(N152/(MIN(F152,I152)*H152/F152)*100,2),"")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71" t="str">
        <f>IF(AND(ISNUMBER(F153),ISNUMBER(G153)),F153*G153,"")</f>
        <v/>
      </c>
      <c r="I153" s="240" t="n"/>
      <c r="J153" s="177" t="n"/>
      <c r="K153" s="271" t="str">
        <f>IF(AND(ISNUMBER(I153),ISNUMBER(J153)),I153*J153,"")</f>
        <v/>
      </c>
      <c r="L153" s="240" t="str">
        <f>IF(COUNT(F153,I153)=0,"",N(F153)-N(I153))</f>
        <v/>
      </c>
      <c r="M153" s="241" t="str">
        <f>IF(COUNT(H153,K153)=0,"",N(K153)-N(H153))</f>
        <v/>
      </c>
      <c r="N153" s="240" t="str">
        <f>IF(AND(ISNUMBER(F153),ISNUMBER(I153),ISNUMBER(H153),ISNUMBER(K153),F153&gt;0,I153&gt;0,H153&lt;&gt;0),ROUND(MIN(F153,I153)*(K153/I153-H153/F153),8),"")</f>
        <v/>
      </c>
      <c r="O153" s="177" t="str">
        <f>IF(ISNUMBER(N153),ROUND(N153/(MIN(F153,I153)*H153/F153)*100,2),"")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71" t="str">
        <f>IF(AND(ISNUMBER(F154),ISNUMBER(G154)),F154*G154,"")</f>
        <v/>
      </c>
      <c r="I154" s="246" t="n"/>
      <c r="J154" s="183" t="n"/>
      <c r="K154" s="271" t="str">
        <f>IF(AND(ISNUMBER(I154),ISNUMBER(J154)),I154*J154,"")</f>
        <v/>
      </c>
      <c r="L154" s="246" t="str">
        <f>IF(COUNT(F154,I154)=0,"",N(F154)-N(I154))</f>
        <v/>
      </c>
      <c r="M154" s="247" t="str">
        <f>IF(COUNT(H154,K154)=0,"",N(K154)-N(H154))</f>
        <v/>
      </c>
      <c r="N154" s="246" t="str">
        <f>IF(AND(ISNUMBER(F154),ISNUMBER(I154),ISNUMBER(H154),ISNUMBER(K154),F154&gt;0,I154&gt;0,H154&lt;&gt;0),ROUND(MIN(F154,I154)*(K154/I154-H154/F154),8),"")</f>
        <v/>
      </c>
      <c r="O154" s="183" t="str">
        <f>IF(ISNUMBER(N154),ROUND(N154/(MIN(F154,I154)*H154/F154)*100,2),"")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71" t="str">
        <f>IF(AND(ISNUMBER(F155),ISNUMBER(G155)),F155*G155,"")</f>
        <v/>
      </c>
      <c r="I155" s="240" t="n"/>
      <c r="J155" s="177" t="n"/>
      <c r="K155" s="271" t="str">
        <f>IF(AND(ISNUMBER(I155),ISNUMBER(J155)),I155*J155,"")</f>
        <v/>
      </c>
      <c r="L155" s="240" t="str">
        <f>IF(COUNT(F155,I155)=0,"",N(F155)-N(I155))</f>
        <v/>
      </c>
      <c r="M155" s="241" t="str">
        <f>IF(COUNT(H155,K155)=0,"",N(K155)-N(H155))</f>
        <v/>
      </c>
      <c r="N155" s="240" t="str">
        <f>IF(AND(ISNUMBER(F155),ISNUMBER(I155),ISNUMBER(H155),ISNUMBER(K155),F155&gt;0,I155&gt;0,H155&lt;&gt;0),ROUND(MIN(F155,I155)*(K155/I155-H155/F155),8),"")</f>
        <v/>
      </c>
      <c r="O155" s="177" t="str">
        <f>IF(ISNUMBER(N155),ROUND(N155/(MIN(F155,I155)*H155/F155)*100,2),"")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71" t="str">
        <f>IF(AND(ISNUMBER(F156),ISNUMBER(G156)),F156*G156,"")</f>
        <v/>
      </c>
      <c r="I156" s="246" t="n"/>
      <c r="J156" s="183" t="n"/>
      <c r="K156" s="271" t="str">
        <f>IF(AND(ISNUMBER(I156),ISNUMBER(J156)),I156*J156,"")</f>
        <v/>
      </c>
      <c r="L156" s="246" t="str">
        <f>IF(COUNT(F156,I156)=0,"",N(F156)-N(I156))</f>
        <v/>
      </c>
      <c r="M156" s="247" t="str">
        <f>IF(COUNT(H156,K156)=0,"",N(K156)-N(H156))</f>
        <v/>
      </c>
      <c r="N156" s="246" t="str">
        <f>IF(AND(ISNUMBER(F156),ISNUMBER(I156),ISNUMBER(H156),ISNUMBER(K156),F156&gt;0,I156&gt;0,H156&lt;&gt;0),ROUND(MIN(F156,I156)*(K156/I156-H156/F156),8),"")</f>
        <v/>
      </c>
      <c r="O156" s="183" t="str">
        <f>IF(ISNUMBER(N156),ROUND(N156/(MIN(F156,I156)*H156/F156)*100,2),"")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71" t="str">
        <f>IF(AND(ISNUMBER(F157),ISNUMBER(G157)),F157*G157,"")</f>
        <v/>
      </c>
      <c r="I157" s="240" t="n"/>
      <c r="J157" s="177" t="n"/>
      <c r="K157" s="271" t="str">
        <f>IF(AND(ISNUMBER(I157),ISNUMBER(J157)),I157*J157,"")</f>
        <v/>
      </c>
      <c r="L157" s="240" t="str">
        <f>IF(COUNT(F157,I157)=0,"",N(F157)-N(I157))</f>
        <v/>
      </c>
      <c r="M157" s="241" t="str">
        <f>IF(COUNT(H157,K157)=0,"",N(K157)-N(H157))</f>
        <v/>
      </c>
      <c r="N157" s="240" t="str">
        <f>IF(AND(ISNUMBER(F157),ISNUMBER(I157),ISNUMBER(H157),ISNUMBER(K157),F157&gt;0,I157&gt;0,H157&lt;&gt;0),ROUND(MIN(F157,I157)*(K157/I157-H157/F157),8),"")</f>
        <v/>
      </c>
      <c r="O157" s="177" t="str">
        <f>IF(ISNUMBER(N157),ROUND(N157/(MIN(F157,I157)*H157/F157)*100,2),"")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71" t="str">
        <f>IF(AND(ISNUMBER(F158),ISNUMBER(G158)),F158*G158,"")</f>
        <v/>
      </c>
      <c r="I158" s="246" t="n"/>
      <c r="J158" s="183" t="n"/>
      <c r="K158" s="271" t="str">
        <f>IF(AND(ISNUMBER(I158),ISNUMBER(J158)),I158*J158,"")</f>
        <v/>
      </c>
      <c r="L158" s="246" t="str">
        <f>IF(COUNT(F158,I158)=0,"",N(F158)-N(I158))</f>
        <v/>
      </c>
      <c r="M158" s="247" t="str">
        <f>IF(COUNT(H158,K158)=0,"",N(K158)-N(H158))</f>
        <v/>
      </c>
      <c r="N158" s="246" t="str">
        <f>IF(AND(ISNUMBER(F158),ISNUMBER(I158),ISNUMBER(H158),ISNUMBER(K158),F158&gt;0,I158&gt;0,H158&lt;&gt;0),ROUND(MIN(F158,I158)*(K158/I158-H158/F158),8),"")</f>
        <v/>
      </c>
      <c r="O158" s="183" t="str">
        <f>IF(ISNUMBER(N158),ROUND(N158/(MIN(F158,I158)*H158/F158)*100,2),"")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71" t="str">
        <f>IF(AND(ISNUMBER(F159),ISNUMBER(G159)),F159*G159,"")</f>
        <v/>
      </c>
      <c r="I159" s="240" t="n"/>
      <c r="J159" s="177" t="n"/>
      <c r="K159" s="271" t="str">
        <f>IF(AND(ISNUMBER(I159),ISNUMBER(J159)),I159*J159,"")</f>
        <v/>
      </c>
      <c r="L159" s="240" t="str">
        <f>IF(COUNT(F159,I159)=0,"",N(F159)-N(I159))</f>
        <v/>
      </c>
      <c r="M159" s="241" t="str">
        <f>IF(COUNT(H159,K159)=0,"",N(K159)-N(H159))</f>
        <v/>
      </c>
      <c r="N159" s="240" t="str">
        <f>IF(AND(ISNUMBER(F159),ISNUMBER(I159),ISNUMBER(H159),ISNUMBER(K159),F159&gt;0,I159&gt;0,H159&lt;&gt;0),ROUND(MIN(F159,I159)*(K159/I159-H159/F159),8),"")</f>
        <v/>
      </c>
      <c r="O159" s="177" t="str">
        <f>IF(ISNUMBER(N159),ROUND(N159/(MIN(F159,I159)*H159/F159)*100,2),"")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71" t="str">
        <f>IF(AND(ISNUMBER(F160),ISNUMBER(G160)),F160*G160,"")</f>
        <v/>
      </c>
      <c r="I160" s="246" t="n"/>
      <c r="J160" s="183" t="n"/>
      <c r="K160" s="271" t="str">
        <f>IF(AND(ISNUMBER(I160),ISNUMBER(J160)),I160*J160,"")</f>
        <v/>
      </c>
      <c r="L160" s="246" t="str">
        <f>IF(COUNT(F160,I160)=0,"",N(F160)-N(I160))</f>
        <v/>
      </c>
      <c r="M160" s="247" t="str">
        <f>IF(COUNT(H160,K160)=0,"",N(K160)-N(H160))</f>
        <v/>
      </c>
      <c r="N160" s="246" t="str">
        <f>IF(AND(ISNUMBER(F160),ISNUMBER(I160),ISNUMBER(H160),ISNUMBER(K160),F160&gt;0,I160&gt;0,H160&lt;&gt;0),ROUND(MIN(F160,I160)*(K160/I160-H160/F160),8),"")</f>
        <v/>
      </c>
      <c r="O160" s="183" t="str">
        <f>IF(ISNUMBER(N160),ROUND(N160/(MIN(F160,I160)*H160/F160)*100,2),"")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71" t="str">
        <f>IF(AND(ISNUMBER(F161),ISNUMBER(G161)),F161*G161,"")</f>
        <v/>
      </c>
      <c r="I161" s="240" t="n"/>
      <c r="J161" s="177" t="n"/>
      <c r="K161" s="271" t="str">
        <f>IF(AND(ISNUMBER(I161),ISNUMBER(J161)),I161*J161,"")</f>
        <v/>
      </c>
      <c r="L161" s="240" t="str">
        <f>IF(COUNT(F161,I161)=0,"",N(F161)-N(I161))</f>
        <v/>
      </c>
      <c r="M161" s="241" t="str">
        <f>IF(COUNT(H161,K161)=0,"",N(K161)-N(H161))</f>
        <v/>
      </c>
      <c r="N161" s="240" t="str">
        <f>IF(AND(ISNUMBER(F161),ISNUMBER(I161),ISNUMBER(H161),ISNUMBER(K161),F161&gt;0,I161&gt;0,H161&lt;&gt;0),ROUND(MIN(F161,I161)*(K161/I161-H161/F161),8),"")</f>
        <v/>
      </c>
      <c r="O161" s="177" t="str">
        <f>IF(ISNUMBER(N161),ROUND(N161/(MIN(F161,I161)*H161/F161)*100,2),"")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71" t="str">
        <f>IF(AND(ISNUMBER(F162),ISNUMBER(G162)),F162*G162,"")</f>
        <v/>
      </c>
      <c r="I162" s="246" t="n"/>
      <c r="J162" s="183" t="n"/>
      <c r="K162" s="271" t="str">
        <f>IF(AND(ISNUMBER(I162),ISNUMBER(J162)),I162*J162,"")</f>
        <v/>
      </c>
      <c r="L162" s="246" t="str">
        <f>IF(COUNT(F162,I162)=0,"",N(F162)-N(I162))</f>
        <v/>
      </c>
      <c r="M162" s="247" t="str">
        <f>IF(COUNT(H162,K162)=0,"",N(K162)-N(H162))</f>
        <v/>
      </c>
      <c r="N162" s="246" t="str">
        <f>IF(AND(ISNUMBER(F162),ISNUMBER(I162),ISNUMBER(H162),ISNUMBER(K162),F162&gt;0,I162&gt;0,H162&lt;&gt;0),ROUND(MIN(F162,I162)*(K162/I162-H162/F162),8),"")</f>
        <v/>
      </c>
      <c r="O162" s="183" t="str">
        <f>IF(ISNUMBER(N162),ROUND(N162/(MIN(F162,I162)*H162/F162)*100,2),"")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71" t="str">
        <f>IF(AND(ISNUMBER(F163),ISNUMBER(G163)),F163*G163,"")</f>
        <v/>
      </c>
      <c r="I163" s="240" t="n"/>
      <c r="J163" s="177" t="n"/>
      <c r="K163" s="271" t="str">
        <f>IF(AND(ISNUMBER(I163),ISNUMBER(J163)),I163*J163,"")</f>
        <v/>
      </c>
      <c r="L163" s="240" t="str">
        <f>IF(COUNT(F163,I163)=0,"",N(F163)-N(I163))</f>
        <v/>
      </c>
      <c r="M163" s="241" t="str">
        <f>IF(COUNT(H163,K163)=0,"",N(K163)-N(H163))</f>
        <v/>
      </c>
      <c r="N163" s="240" t="str">
        <f>IF(AND(ISNUMBER(F163),ISNUMBER(I163),ISNUMBER(H163),ISNUMBER(K163),F163&gt;0,I163&gt;0,H163&lt;&gt;0),ROUND(MIN(F163,I163)*(K163/I163-H163/F163),8),"")</f>
        <v/>
      </c>
      <c r="O163" s="177" t="str">
        <f>IF(ISNUMBER(N163),ROUND(N163/(MIN(F163,I163)*H163/F163)*100,2),"")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71" t="str">
        <f>IF(AND(ISNUMBER(F164),ISNUMBER(G164)),F164*G164,"")</f>
        <v/>
      </c>
      <c r="I164" s="246" t="n"/>
      <c r="J164" s="183" t="n"/>
      <c r="K164" s="271" t="str">
        <f>IF(AND(ISNUMBER(I164),ISNUMBER(J164)),I164*J164,"")</f>
        <v/>
      </c>
      <c r="L164" s="246" t="str">
        <f>IF(COUNT(F164,I164)=0,"",N(F164)-N(I164))</f>
        <v/>
      </c>
      <c r="M164" s="247" t="str">
        <f>IF(COUNT(H164,K164)=0,"",N(K164)-N(H164))</f>
        <v/>
      </c>
      <c r="N164" s="246" t="str">
        <f>IF(AND(ISNUMBER(F164),ISNUMBER(I164),ISNUMBER(H164),ISNUMBER(K164),F164&gt;0,I164&gt;0,H164&lt;&gt;0),ROUND(MIN(F164,I164)*(K164/I164-H164/F164),8),"")</f>
        <v/>
      </c>
      <c r="O164" s="183" t="str">
        <f>IF(ISNUMBER(N164),ROUND(N164/(MIN(F164,I164)*H164/F164)*100,2),"")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71" t="str">
        <f>IF(AND(ISNUMBER(F165),ISNUMBER(G165)),F165*G165,"")</f>
        <v/>
      </c>
      <c r="I165" s="240" t="n"/>
      <c r="J165" s="177" t="n"/>
      <c r="K165" s="271" t="str">
        <f>IF(AND(ISNUMBER(I165),ISNUMBER(J165)),I165*J165,"")</f>
        <v/>
      </c>
      <c r="L165" s="240" t="str">
        <f>IF(COUNT(F165,I165)=0,"",N(F165)-N(I165))</f>
        <v/>
      </c>
      <c r="M165" s="241" t="str">
        <f>IF(COUNT(H165,K165)=0,"",N(K165)-N(H165))</f>
        <v/>
      </c>
      <c r="N165" s="240" t="str">
        <f>IF(AND(ISNUMBER(F165),ISNUMBER(I165),ISNUMBER(H165),ISNUMBER(K165),F165&gt;0,I165&gt;0,H165&lt;&gt;0),ROUND(MIN(F165,I165)*(K165/I165-H165/F165),8),"")</f>
        <v/>
      </c>
      <c r="O165" s="177" t="str">
        <f>IF(ISNUMBER(N165),ROUND(N165/(MIN(F165,I165)*H165/F165)*100,2),"")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71" t="str">
        <f>IF(AND(ISNUMBER(F166),ISNUMBER(G166)),F166*G166,"")</f>
        <v/>
      </c>
      <c r="I166" s="246" t="n"/>
      <c r="J166" s="183" t="n"/>
      <c r="K166" s="271" t="str">
        <f>IF(AND(ISNUMBER(I166),ISNUMBER(J166)),I166*J166,"")</f>
        <v/>
      </c>
      <c r="L166" s="246" t="str">
        <f>IF(COUNT(F166,I166)=0,"",N(F166)-N(I166))</f>
        <v/>
      </c>
      <c r="M166" s="247" t="str">
        <f>IF(COUNT(H166,K166)=0,"",N(K166)-N(H166))</f>
        <v/>
      </c>
      <c r="N166" s="246" t="str">
        <f>IF(AND(ISNUMBER(F166),ISNUMBER(I166),ISNUMBER(H166),ISNUMBER(K166),F166&gt;0,I166&gt;0,H166&lt;&gt;0),ROUND(MIN(F166,I166)*(K166/I166-H166/F166),8),"")</f>
        <v/>
      </c>
      <c r="O166" s="183" t="str">
        <f>IF(ISNUMBER(N166),ROUND(N166/(MIN(F166,I166)*H166/F166)*100,2),"")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71" t="str">
        <f>IF(AND(ISNUMBER(F167),ISNUMBER(G167)),F167*G167,"")</f>
        <v/>
      </c>
      <c r="I167" s="240" t="n"/>
      <c r="J167" s="177" t="n"/>
      <c r="K167" s="271" t="str">
        <f>IF(AND(ISNUMBER(I167),ISNUMBER(J167)),I167*J167,"")</f>
        <v/>
      </c>
      <c r="L167" s="240" t="str">
        <f>IF(COUNT(F167,I167)=0,"",N(F167)-N(I167))</f>
        <v/>
      </c>
      <c r="M167" s="241" t="str">
        <f>IF(COUNT(H167,K167)=0,"",N(K167)-N(H167))</f>
        <v/>
      </c>
      <c r="N167" s="240" t="str">
        <f>IF(AND(ISNUMBER(F167),ISNUMBER(I167),ISNUMBER(H167),ISNUMBER(K167),F167&gt;0,I167&gt;0,H167&lt;&gt;0),ROUND(MIN(F167,I167)*(K167/I167-H167/F167),8),"")</f>
        <v/>
      </c>
      <c r="O167" s="177" t="str">
        <f>IF(ISNUMBER(N167),ROUND(N167/(MIN(F167,I167)*H167/F167)*100,2),"")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71" t="str">
        <f>IF(AND(ISNUMBER(F168),ISNUMBER(G168)),F168*G168,"")</f>
        <v/>
      </c>
      <c r="I168" s="246" t="n"/>
      <c r="J168" s="183" t="n"/>
      <c r="K168" s="271" t="str">
        <f>IF(AND(ISNUMBER(I168),ISNUMBER(J168)),I168*J168,"")</f>
        <v/>
      </c>
      <c r="L168" s="246" t="str">
        <f>IF(COUNT(F168,I168)=0,"",N(F168)-N(I168))</f>
        <v/>
      </c>
      <c r="M168" s="247" t="str">
        <f>IF(COUNT(H168,K168)=0,"",N(K168)-N(H168))</f>
        <v/>
      </c>
      <c r="N168" s="246" t="str">
        <f>IF(AND(ISNUMBER(F168),ISNUMBER(I168),ISNUMBER(H168),ISNUMBER(K168),F168&gt;0,I168&gt;0,H168&lt;&gt;0),ROUND(MIN(F168,I168)*(K168/I168-H168/F168),8),"")</f>
        <v/>
      </c>
      <c r="O168" s="183" t="str">
        <f>IF(ISNUMBER(N168),ROUND(N168/(MIN(F168,I168)*H168/F168)*100,2),"")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71" t="str">
        <f>IF(AND(ISNUMBER(F169),ISNUMBER(G169)),F169*G169,"")</f>
        <v/>
      </c>
      <c r="I169" s="240" t="n"/>
      <c r="J169" s="177" t="n"/>
      <c r="K169" s="271" t="str">
        <f>IF(AND(ISNUMBER(I169),ISNUMBER(J169)),I169*J169,"")</f>
        <v/>
      </c>
      <c r="L169" s="240" t="str">
        <f>IF(COUNT(F169,I169)=0,"",N(F169)-N(I169))</f>
        <v/>
      </c>
      <c r="M169" s="241" t="str">
        <f>IF(COUNT(H169,K169)=0,"",N(K169)-N(H169))</f>
        <v/>
      </c>
      <c r="N169" s="240" t="str">
        <f>IF(AND(ISNUMBER(F169),ISNUMBER(I169),ISNUMBER(H169),ISNUMBER(K169),F169&gt;0,I169&gt;0,H169&lt;&gt;0),ROUND(MIN(F169,I169)*(K169/I169-H169/F169),8),"")</f>
        <v/>
      </c>
      <c r="O169" s="177" t="str">
        <f>IF(ISNUMBER(N169),ROUND(N169/(MIN(F169,I169)*H169/F169)*100,2),"")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71" t="str">
        <f>IF(AND(ISNUMBER(F170),ISNUMBER(G170)),F170*G170,"")</f>
        <v/>
      </c>
      <c r="I170" s="246" t="n"/>
      <c r="J170" s="183" t="n"/>
      <c r="K170" s="271" t="str">
        <f>IF(AND(ISNUMBER(I170),ISNUMBER(J170)),I170*J170,"")</f>
        <v/>
      </c>
      <c r="L170" s="246" t="str">
        <f>IF(COUNT(F170,I170)=0,"",N(F170)-N(I170))</f>
        <v/>
      </c>
      <c r="M170" s="247" t="str">
        <f>IF(COUNT(H170,K170)=0,"",N(K170)-N(H170))</f>
        <v/>
      </c>
      <c r="N170" s="246" t="str">
        <f>IF(AND(ISNUMBER(F170),ISNUMBER(I170),ISNUMBER(H170),ISNUMBER(K170),F170&gt;0,I170&gt;0,H170&lt;&gt;0),ROUND(MIN(F170,I170)*(K170/I170-H170/F170),8),"")</f>
        <v/>
      </c>
      <c r="O170" s="183" t="str">
        <f>IF(ISNUMBER(N170),ROUND(N170/(MIN(F170,I170)*H170/F170)*100,2),"")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71" t="str">
        <f>IF(AND(ISNUMBER(F171),ISNUMBER(G171)),F171*G171,"")</f>
        <v/>
      </c>
      <c r="I171" s="240" t="n"/>
      <c r="J171" s="177" t="n"/>
      <c r="K171" s="271" t="str">
        <f>IF(AND(ISNUMBER(I171),ISNUMBER(J171)),I171*J171,"")</f>
        <v/>
      </c>
      <c r="L171" s="240" t="str">
        <f>IF(COUNT(F171,I171)=0,"",N(F171)-N(I171))</f>
        <v/>
      </c>
      <c r="M171" s="241" t="str">
        <f>IF(COUNT(H171,K171)=0,"",N(K171)-N(H171))</f>
        <v/>
      </c>
      <c r="N171" s="240" t="str">
        <f>IF(AND(ISNUMBER(F171),ISNUMBER(I171),ISNUMBER(H171),ISNUMBER(K171),F171&gt;0,I171&gt;0,H171&lt;&gt;0),ROUND(MIN(F171,I171)*(K171/I171-H171/F171),8),"")</f>
        <v/>
      </c>
      <c r="O171" s="177" t="str">
        <f>IF(ISNUMBER(N171),ROUND(N171/(MIN(F171,I171)*H171/F171)*100,2),"")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71" t="str">
        <f>IF(AND(ISNUMBER(F172),ISNUMBER(G172)),F172*G172,"")</f>
        <v/>
      </c>
      <c r="I172" s="246" t="n"/>
      <c r="J172" s="183" t="n"/>
      <c r="K172" s="271" t="str">
        <f>IF(AND(ISNUMBER(I172),ISNUMBER(J172)),I172*J172,"")</f>
        <v/>
      </c>
      <c r="L172" s="246" t="str">
        <f>IF(COUNT(F172,I172)=0,"",N(F172)-N(I172))</f>
        <v/>
      </c>
      <c r="M172" s="247" t="str">
        <f>IF(COUNT(H172,K172)=0,"",N(K172)-N(H172))</f>
        <v/>
      </c>
      <c r="N172" s="246" t="str">
        <f>IF(AND(ISNUMBER(F172),ISNUMBER(I172),ISNUMBER(H172),ISNUMBER(K172),F172&gt;0,I172&gt;0,H172&lt;&gt;0),ROUND(MIN(F172,I172)*(K172/I172-H172/F172),8),"")</f>
        <v/>
      </c>
      <c r="O172" s="183" t="str">
        <f>IF(ISNUMBER(N172),ROUND(N172/(MIN(F172,I172)*H172/F172)*100,2),"")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71" t="str">
        <f>IF(AND(ISNUMBER(F173),ISNUMBER(G173)),F173*G173,"")</f>
        <v/>
      </c>
      <c r="I173" s="240" t="n"/>
      <c r="J173" s="177" t="n"/>
      <c r="K173" s="271" t="str">
        <f>IF(AND(ISNUMBER(I173),ISNUMBER(J173)),I173*J173,"")</f>
        <v/>
      </c>
      <c r="L173" s="240" t="str">
        <f>IF(COUNT(F173,I173)=0,"",N(F173)-N(I173))</f>
        <v/>
      </c>
      <c r="M173" s="241" t="str">
        <f>IF(COUNT(H173,K173)=0,"",N(K173)-N(H173))</f>
        <v/>
      </c>
      <c r="N173" s="240" t="str">
        <f>IF(AND(ISNUMBER(F173),ISNUMBER(I173),ISNUMBER(H173),ISNUMBER(K173),F173&gt;0,I173&gt;0,H173&lt;&gt;0),ROUND(MIN(F173,I173)*(K173/I173-H173/F173),8),"")</f>
        <v/>
      </c>
      <c r="O173" s="177" t="str">
        <f>IF(ISNUMBER(N173),ROUND(N173/(MIN(F173,I173)*H173/F173)*100,2),"")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71" t="str">
        <f>IF(AND(ISNUMBER(F174),ISNUMBER(G174)),F174*G174,"")</f>
        <v/>
      </c>
      <c r="I174" s="246" t="n"/>
      <c r="J174" s="183" t="n"/>
      <c r="K174" s="271" t="str">
        <f>IF(AND(ISNUMBER(I174),ISNUMBER(J174)),I174*J174,"")</f>
        <v/>
      </c>
      <c r="L174" s="246" t="str">
        <f>IF(COUNT(F174,I174)=0,"",N(F174)-N(I174))</f>
        <v/>
      </c>
      <c r="M174" s="247" t="str">
        <f>IF(COUNT(H174,K174)=0,"",N(K174)-N(H174))</f>
        <v/>
      </c>
      <c r="N174" s="246" t="str">
        <f>IF(AND(ISNUMBER(F174),ISNUMBER(I174),ISNUMBER(H174),ISNUMBER(K174),F174&gt;0,I174&gt;0,H174&lt;&gt;0),ROUND(MIN(F174,I174)*(K174/I174-H174/F174),8),"")</f>
        <v/>
      </c>
      <c r="O174" s="183" t="str">
        <f>IF(ISNUMBER(N174),ROUND(N174/(MIN(F174,I174)*H174/F174)*100,2),"")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71" t="str">
        <f>IF(AND(ISNUMBER(F175),ISNUMBER(G175)),F175*G175,"")</f>
        <v/>
      </c>
      <c r="I175" s="240" t="n"/>
      <c r="J175" s="177" t="n"/>
      <c r="K175" s="271" t="str">
        <f>IF(AND(ISNUMBER(I175),ISNUMBER(J175)),I175*J175,"")</f>
        <v/>
      </c>
      <c r="L175" s="240" t="str">
        <f>IF(COUNT(F175,I175)=0,"",N(F175)-N(I175))</f>
        <v/>
      </c>
      <c r="M175" s="241" t="str">
        <f>IF(COUNT(H175,K175)=0,"",N(K175)-N(H175))</f>
        <v/>
      </c>
      <c r="N175" s="240" t="str">
        <f>IF(AND(ISNUMBER(F175),ISNUMBER(I175),ISNUMBER(H175),ISNUMBER(K175),F175&gt;0,I175&gt;0,H175&lt;&gt;0),ROUND(MIN(F175,I175)*(K175/I175-H175/F175),8),"")</f>
        <v/>
      </c>
      <c r="O175" s="177" t="str">
        <f>IF(ISNUMBER(N175),ROUND(N175/(MIN(F175,I175)*H175/F175)*100,2),"")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71" t="str">
        <f>IF(AND(ISNUMBER(F176),ISNUMBER(G176)),F176*G176,"")</f>
        <v/>
      </c>
      <c r="I176" s="246" t="n"/>
      <c r="J176" s="183" t="n"/>
      <c r="K176" s="271" t="str">
        <f>IF(AND(ISNUMBER(I176),ISNUMBER(J176)),I176*J176,"")</f>
        <v/>
      </c>
      <c r="L176" s="246" t="str">
        <f>IF(COUNT(F176,I176)=0,"",N(F176)-N(I176))</f>
        <v/>
      </c>
      <c r="M176" s="247" t="str">
        <f>IF(COUNT(H176,K176)=0,"",N(K176)-N(H176))</f>
        <v/>
      </c>
      <c r="N176" s="246" t="str">
        <f>IF(AND(ISNUMBER(F176),ISNUMBER(I176),ISNUMBER(H176),ISNUMBER(K176),F176&gt;0,I176&gt;0,H176&lt;&gt;0),ROUND(MIN(F176,I176)*(K176/I176-H176/F176),8),"")</f>
        <v/>
      </c>
      <c r="O176" s="183" t="str">
        <f>IF(ISNUMBER(N176),ROUND(N176/(MIN(F176,I176)*H176/F176)*100,2),"")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71" t="str">
        <f>IF(AND(ISNUMBER(F177),ISNUMBER(G177)),F177*G177,"")</f>
        <v/>
      </c>
      <c r="I177" s="240" t="n"/>
      <c r="J177" s="177" t="n"/>
      <c r="K177" s="271" t="str">
        <f>IF(AND(ISNUMBER(I177),ISNUMBER(J177)),I177*J177,"")</f>
        <v/>
      </c>
      <c r="L177" s="240" t="str">
        <f>IF(COUNT(F177,I177)=0,"",N(F177)-N(I177))</f>
        <v/>
      </c>
      <c r="M177" s="241" t="str">
        <f>IF(COUNT(H177,K177)=0,"",N(K177)-N(H177))</f>
        <v/>
      </c>
      <c r="N177" s="240" t="str">
        <f>IF(AND(ISNUMBER(F177),ISNUMBER(I177),ISNUMBER(H177),ISNUMBER(K177),F177&gt;0,I177&gt;0,H177&lt;&gt;0),ROUND(MIN(F177,I177)*(K177/I177-H177/F177),8),"")</f>
        <v/>
      </c>
      <c r="O177" s="177" t="str">
        <f>IF(ISNUMBER(N177),ROUND(N177/(MIN(F177,I177)*H177/F177)*100,2),"")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71" t="str">
        <f>IF(AND(ISNUMBER(F178),ISNUMBER(G178)),F178*G178,"")</f>
        <v/>
      </c>
      <c r="I178" s="246" t="n"/>
      <c r="J178" s="183" t="n"/>
      <c r="K178" s="271" t="str">
        <f>IF(AND(ISNUMBER(I178),ISNUMBER(J178)),I178*J178,"")</f>
        <v/>
      </c>
      <c r="L178" s="246" t="str">
        <f>IF(COUNT(F178,I178)=0,"",N(F178)-N(I178))</f>
        <v/>
      </c>
      <c r="M178" s="247" t="str">
        <f>IF(COUNT(H178,K178)=0,"",N(K178)-N(H178))</f>
        <v/>
      </c>
      <c r="N178" s="246" t="str">
        <f>IF(AND(ISNUMBER(F178),ISNUMBER(I178),ISNUMBER(H178),ISNUMBER(K178),F178&gt;0,I178&gt;0,H178&lt;&gt;0),ROUND(MIN(F178,I178)*(K178/I178-H178/F178),8),"")</f>
        <v/>
      </c>
      <c r="O178" s="183" t="str">
        <f>IF(ISNUMBER(N178),ROUND(N178/(MIN(F178,I178)*H178/F178)*100,2),"")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71" t="str">
        <f>IF(AND(ISNUMBER(F179),ISNUMBER(G179)),F179*G179,"")</f>
        <v/>
      </c>
      <c r="I179" s="240" t="n"/>
      <c r="J179" s="177" t="n"/>
      <c r="K179" s="271" t="str">
        <f>IF(AND(ISNUMBER(I179),ISNUMBER(J179)),I179*J179,"")</f>
        <v/>
      </c>
      <c r="L179" s="240" t="str">
        <f>IF(COUNT(F179,I179)=0,"",N(F179)-N(I179))</f>
        <v/>
      </c>
      <c r="M179" s="241" t="str">
        <f>IF(COUNT(H179,K179)=0,"",N(K179)-N(H179))</f>
        <v/>
      </c>
      <c r="N179" s="240" t="str">
        <f>IF(AND(ISNUMBER(F179),ISNUMBER(I179),ISNUMBER(H179),ISNUMBER(K179),F179&gt;0,I179&gt;0,H179&lt;&gt;0),ROUND(MIN(F179,I179)*(K179/I179-H179/F179),8),"")</f>
        <v/>
      </c>
      <c r="O179" s="177" t="str">
        <f>IF(ISNUMBER(N179),ROUND(N179/(MIN(F179,I179)*H179/F179)*100,2),"")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71" t="str">
        <f>IF(AND(ISNUMBER(F180),ISNUMBER(G180)),F180*G180,"")</f>
        <v/>
      </c>
      <c r="I180" s="246" t="n"/>
      <c r="J180" s="183" t="n"/>
      <c r="K180" s="271" t="str">
        <f>IF(AND(ISNUMBER(I180),ISNUMBER(J180)),I180*J180,"")</f>
        <v/>
      </c>
      <c r="L180" s="246" t="str">
        <f>IF(COUNT(F180,I180)=0,"",N(F180)-N(I180))</f>
        <v/>
      </c>
      <c r="M180" s="247" t="str">
        <f>IF(COUNT(H180,K180)=0,"",N(K180)-N(H180))</f>
        <v/>
      </c>
      <c r="N180" s="246" t="str">
        <f>IF(AND(ISNUMBER(F180),ISNUMBER(I180),ISNUMBER(H180),ISNUMBER(K180),F180&gt;0,I180&gt;0,H180&lt;&gt;0),ROUND(MIN(F180,I180)*(K180/I180-H180/F180),8),"")</f>
        <v/>
      </c>
      <c r="O180" s="183" t="str">
        <f>IF(ISNUMBER(N180),ROUND(N180/(MIN(F180,I180)*H180/F180)*100,2),"")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71" t="str">
        <f>IF(AND(ISNUMBER(F181),ISNUMBER(G181)),F181*G181,"")</f>
        <v/>
      </c>
      <c r="I181" s="240" t="n"/>
      <c r="J181" s="177" t="n"/>
      <c r="K181" s="271" t="str">
        <f>IF(AND(ISNUMBER(I181),ISNUMBER(J181)),I181*J181,"")</f>
        <v/>
      </c>
      <c r="L181" s="240" t="str">
        <f>IF(COUNT(F181,I181)=0,"",N(F181)-N(I181))</f>
        <v/>
      </c>
      <c r="M181" s="241" t="str">
        <f>IF(COUNT(H181,K181)=0,"",N(K181)-N(H181))</f>
        <v/>
      </c>
      <c r="N181" s="240" t="str">
        <f>IF(AND(ISNUMBER(F181),ISNUMBER(I181),ISNUMBER(H181),ISNUMBER(K181),F181&gt;0,I181&gt;0,H181&lt;&gt;0),ROUND(MIN(F181,I181)*(K181/I181-H181/F181),8),"")</f>
        <v/>
      </c>
      <c r="O181" s="177" t="str">
        <f>IF(ISNUMBER(N181),ROUND(N181/(MIN(F181,I181)*H181/F181)*100,2),"")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71" t="str">
        <f>IF(AND(ISNUMBER(F182),ISNUMBER(G182)),F182*G182,"")</f>
        <v/>
      </c>
      <c r="I182" s="246" t="n"/>
      <c r="J182" s="183" t="n"/>
      <c r="K182" s="271" t="str">
        <f>IF(AND(ISNUMBER(I182),ISNUMBER(J182)),I182*J182,"")</f>
        <v/>
      </c>
      <c r="L182" s="246" t="str">
        <f>IF(COUNT(F182,I182)=0,"",N(F182)-N(I182))</f>
        <v/>
      </c>
      <c r="M182" s="247" t="str">
        <f>IF(COUNT(H182,K182)=0,"",N(K182)-N(H182))</f>
        <v/>
      </c>
      <c r="N182" s="246" t="str">
        <f>IF(AND(ISNUMBER(F182),ISNUMBER(I182),ISNUMBER(H182),ISNUMBER(K182),F182&gt;0,I182&gt;0,H182&lt;&gt;0),ROUND(MIN(F182,I182)*(K182/I182-H182/F182),8),"")</f>
        <v/>
      </c>
      <c r="O182" s="183" t="str">
        <f>IF(ISNUMBER(N182),ROUND(N182/(MIN(F182,I182)*H182/F182)*100,2),"")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71" t="str">
        <f>IF(AND(ISNUMBER(F183),ISNUMBER(G183)),F183*G183,"")</f>
        <v/>
      </c>
      <c r="I183" s="240" t="n"/>
      <c r="J183" s="177" t="n"/>
      <c r="K183" s="271" t="str">
        <f>IF(AND(ISNUMBER(I183),ISNUMBER(J183)),I183*J183,"")</f>
        <v/>
      </c>
      <c r="L183" s="240" t="str">
        <f>IF(COUNT(F183,I183)=0,"",N(F183)-N(I183))</f>
        <v/>
      </c>
      <c r="M183" s="241" t="str">
        <f>IF(COUNT(H183,K183)=0,"",N(K183)-N(H183))</f>
        <v/>
      </c>
      <c r="N183" s="240" t="str">
        <f>IF(AND(ISNUMBER(F183),ISNUMBER(I183),ISNUMBER(H183),ISNUMBER(K183),F183&gt;0,I183&gt;0,H183&lt;&gt;0),ROUND(MIN(F183,I183)*(K183/I183-H183/F183),8),"")</f>
        <v/>
      </c>
      <c r="O183" s="177" t="str">
        <f>IF(ISNUMBER(N183),ROUND(N183/(MIN(F183,I183)*H183/F183)*100,2),"")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71" t="str">
        <f>IF(AND(ISNUMBER(F184),ISNUMBER(G184)),F184*G184,"")</f>
        <v/>
      </c>
      <c r="I184" s="246" t="n"/>
      <c r="J184" s="183" t="n"/>
      <c r="K184" s="271" t="str">
        <f>IF(AND(ISNUMBER(I184),ISNUMBER(J184)),I184*J184,"")</f>
        <v/>
      </c>
      <c r="L184" s="246" t="str">
        <f>IF(COUNT(F184,I184)=0,"",N(F184)-N(I184))</f>
        <v/>
      </c>
      <c r="M184" s="247" t="str">
        <f>IF(COUNT(H184,K184)=0,"",N(K184)-N(H184))</f>
        <v/>
      </c>
      <c r="N184" s="246" t="str">
        <f>IF(AND(ISNUMBER(F184),ISNUMBER(I184),ISNUMBER(H184),ISNUMBER(K184),F184&gt;0,I184&gt;0,H184&lt;&gt;0),ROUND(MIN(F184,I184)*(K184/I184-H184/F184),8),"")</f>
        <v/>
      </c>
      <c r="O184" s="183" t="str">
        <f>IF(ISNUMBER(N184),ROUND(N184/(MIN(F184,I184)*H184/F184)*100,2),"")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71" t="str">
        <f>IF(AND(ISNUMBER(F185),ISNUMBER(G185)),F185*G185,"")</f>
        <v/>
      </c>
      <c r="I185" s="240" t="n"/>
      <c r="J185" s="177" t="n"/>
      <c r="K185" s="271" t="str">
        <f>IF(AND(ISNUMBER(I185),ISNUMBER(J185)),I185*J185,"")</f>
        <v/>
      </c>
      <c r="L185" s="240" t="str">
        <f>IF(COUNT(F185,I185)=0,"",N(F185)-N(I185))</f>
        <v/>
      </c>
      <c r="M185" s="241" t="str">
        <f>IF(COUNT(H185,K185)=0,"",N(K185)-N(H185))</f>
        <v/>
      </c>
      <c r="N185" s="240" t="str">
        <f>IF(AND(ISNUMBER(F185),ISNUMBER(I185),ISNUMBER(H185),ISNUMBER(K185),F185&gt;0,I185&gt;0,H185&lt;&gt;0),ROUND(MIN(F185,I185)*(K185/I185-H185/F185),8),"")</f>
        <v/>
      </c>
      <c r="O185" s="177" t="str">
        <f>IF(ISNUMBER(N185),ROUND(N185/(MIN(F185,I185)*H185/F185)*100,2),"")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71" t="str">
        <f>IF(AND(ISNUMBER(F186),ISNUMBER(G186)),F186*G186,"")</f>
        <v/>
      </c>
      <c r="I186" s="246" t="n"/>
      <c r="J186" s="183" t="n"/>
      <c r="K186" s="271" t="str">
        <f>IF(AND(ISNUMBER(I186),ISNUMBER(J186)),I186*J186,"")</f>
        <v/>
      </c>
      <c r="L186" s="246" t="str">
        <f>IF(COUNT(F186,I186)=0,"",N(F186)-N(I186))</f>
        <v/>
      </c>
      <c r="M186" s="247" t="str">
        <f>IF(COUNT(H186,K186)=0,"",N(K186)-N(H186))</f>
        <v/>
      </c>
      <c r="N186" s="246" t="str">
        <f>IF(AND(ISNUMBER(F186),ISNUMBER(I186),ISNUMBER(H186),ISNUMBER(K186),F186&gt;0,I186&gt;0,H186&lt;&gt;0),ROUND(MIN(F186,I186)*(K186/I186-H186/F186),8),"")</f>
        <v/>
      </c>
      <c r="O186" s="183" t="str">
        <f>IF(ISNUMBER(N186),ROUND(N186/(MIN(F186,I186)*H186/F186)*100,2),"")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71" t="str">
        <f>IF(AND(ISNUMBER(F187),ISNUMBER(G187)),F187*G187,"")</f>
        <v/>
      </c>
      <c r="I187" s="240" t="n"/>
      <c r="J187" s="177" t="n"/>
      <c r="K187" s="271" t="str">
        <f>IF(AND(ISNUMBER(I187),ISNUMBER(J187)),I187*J187,"")</f>
        <v/>
      </c>
      <c r="L187" s="240" t="str">
        <f>IF(COUNT(F187,I187)=0,"",N(F187)-N(I187))</f>
        <v/>
      </c>
      <c r="M187" s="241" t="str">
        <f>IF(COUNT(H187,K187)=0,"",N(K187)-N(H187))</f>
        <v/>
      </c>
      <c r="N187" s="240" t="str">
        <f>IF(AND(ISNUMBER(F187),ISNUMBER(I187),ISNUMBER(H187),ISNUMBER(K187),F187&gt;0,I187&gt;0,H187&lt;&gt;0),ROUND(MIN(F187,I187)*(K187/I187-H187/F187),8),"")</f>
        <v/>
      </c>
      <c r="O187" s="177" t="str">
        <f>IF(ISNUMBER(N187),ROUND(N187/(MIN(F187,I187)*H187/F187)*100,2),"")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71" t="str">
        <f>IF(AND(ISNUMBER(F188),ISNUMBER(G188)),F188*G188,"")</f>
        <v/>
      </c>
      <c r="I188" s="246" t="n"/>
      <c r="J188" s="183" t="n"/>
      <c r="K188" s="271" t="str">
        <f>IF(AND(ISNUMBER(I188),ISNUMBER(J188)),I188*J188,"")</f>
        <v/>
      </c>
      <c r="L188" s="246" t="str">
        <f>IF(COUNT(F188,I188)=0,"",N(F188)-N(I188))</f>
        <v/>
      </c>
      <c r="M188" s="247" t="str">
        <f>IF(COUNT(H188,K188)=0,"",N(K188)-N(H188))</f>
        <v/>
      </c>
      <c r="N188" s="246" t="str">
        <f>IF(AND(ISNUMBER(F188),ISNUMBER(I188),ISNUMBER(H188),ISNUMBER(K188),F188&gt;0,I188&gt;0,H188&lt;&gt;0),ROUND(MIN(F188,I188)*(K188/I188-H188/F188),8),"")</f>
        <v/>
      </c>
      <c r="O188" s="183" t="str">
        <f>IF(ISNUMBER(N188),ROUND(N188/(MIN(F188,I188)*H188/F188)*100,2),"")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71" t="str">
        <f>IF(AND(ISNUMBER(F189),ISNUMBER(G189)),F189*G189,"")</f>
        <v/>
      </c>
      <c r="I189" s="240" t="n"/>
      <c r="J189" s="177" t="n"/>
      <c r="K189" s="271" t="str">
        <f>IF(AND(ISNUMBER(I189),ISNUMBER(J189)),I189*J189,"")</f>
        <v/>
      </c>
      <c r="L189" s="240" t="str">
        <f>IF(COUNT(F189,I189)=0,"",N(F189)-N(I189))</f>
        <v/>
      </c>
      <c r="M189" s="241" t="str">
        <f>IF(COUNT(H189,K189)=0,"",N(K189)-N(H189))</f>
        <v/>
      </c>
      <c r="N189" s="240" t="str">
        <f>IF(AND(ISNUMBER(F189),ISNUMBER(I189),ISNUMBER(H189),ISNUMBER(K189),F189&gt;0,I189&gt;0,H189&lt;&gt;0),ROUND(MIN(F189,I189)*(K189/I189-H189/F189),8),"")</f>
        <v/>
      </c>
      <c r="O189" s="177" t="str">
        <f>IF(ISNUMBER(N189),ROUND(N189/(MIN(F189,I189)*H189/F189)*100,2),"")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71" t="str">
        <f>IF(AND(ISNUMBER(F190),ISNUMBER(G190)),F190*G190,"")</f>
        <v/>
      </c>
      <c r="I190" s="246" t="n"/>
      <c r="J190" s="183" t="n"/>
      <c r="K190" s="271" t="str">
        <f>IF(AND(ISNUMBER(I190),ISNUMBER(J190)),I190*J190,"")</f>
        <v/>
      </c>
      <c r="L190" s="246" t="str">
        <f>IF(COUNT(F190,I190)=0,"",N(F190)-N(I190))</f>
        <v/>
      </c>
      <c r="M190" s="247" t="str">
        <f>IF(COUNT(H190,K190)=0,"",N(K190)-N(H190))</f>
        <v/>
      </c>
      <c r="N190" s="246" t="str">
        <f>IF(AND(ISNUMBER(F190),ISNUMBER(I190),ISNUMBER(H190),ISNUMBER(K190),F190&gt;0,I190&gt;0,H190&lt;&gt;0),ROUND(MIN(F190,I190)*(K190/I190-H190/F190),8),"")</f>
        <v/>
      </c>
      <c r="O190" s="183" t="str">
        <f>IF(ISNUMBER(N190),ROUND(N190/(MIN(F190,I190)*H190/F190)*100,2),"")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71" t="str">
        <f>IF(AND(ISNUMBER(F191),ISNUMBER(G191)),F191*G191,"")</f>
        <v/>
      </c>
      <c r="I191" s="240" t="n"/>
      <c r="J191" s="177" t="n"/>
      <c r="K191" s="271" t="str">
        <f>IF(AND(ISNUMBER(I191),ISNUMBER(J191)),I191*J191,"")</f>
        <v/>
      </c>
      <c r="L191" s="240" t="str">
        <f>IF(COUNT(F191,I191)=0,"",N(F191)-N(I191))</f>
        <v/>
      </c>
      <c r="M191" s="241" t="str">
        <f>IF(COUNT(H191,K191)=0,"",N(K191)-N(H191))</f>
        <v/>
      </c>
      <c r="N191" s="240" t="str">
        <f>IF(AND(ISNUMBER(F191),ISNUMBER(I191),ISNUMBER(H191),ISNUMBER(K191),F191&gt;0,I191&gt;0,H191&lt;&gt;0),ROUND(MIN(F191,I191)*(K191/I191-H191/F191),8),"")</f>
        <v/>
      </c>
      <c r="O191" s="177" t="str">
        <f>IF(ISNUMBER(N191),ROUND(N191/(MIN(F191,I191)*H191/F191)*100,2),"")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71" t="str">
        <f>IF(AND(ISNUMBER(F192),ISNUMBER(G192)),F192*G192,"")</f>
        <v/>
      </c>
      <c r="I192" s="246" t="n"/>
      <c r="J192" s="183" t="n"/>
      <c r="K192" s="271" t="str">
        <f>IF(AND(ISNUMBER(I192),ISNUMBER(J192)),I192*J192,"")</f>
        <v/>
      </c>
      <c r="L192" s="246" t="str">
        <f>IF(COUNT(F192,I192)=0,"",N(F192)-N(I192))</f>
        <v/>
      </c>
      <c r="M192" s="247" t="str">
        <f>IF(COUNT(H192,K192)=0,"",N(K192)-N(H192))</f>
        <v/>
      </c>
      <c r="N192" s="246" t="str">
        <f>IF(AND(ISNUMBER(F192),ISNUMBER(I192),ISNUMBER(H192),ISNUMBER(K192),F192&gt;0,I192&gt;0,H192&lt;&gt;0),ROUND(MIN(F192,I192)*(K192/I192-H192/F192),8),"")</f>
        <v/>
      </c>
      <c r="O192" s="183" t="str">
        <f>IF(ISNUMBER(N192),ROUND(N192/(MIN(F192,I192)*H192/F192)*100,2),"")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71" t="str">
        <f>IF(AND(ISNUMBER(F193),ISNUMBER(G193)),F193*G193,"")</f>
        <v/>
      </c>
      <c r="I193" s="240" t="n"/>
      <c r="J193" s="177" t="n"/>
      <c r="K193" s="271" t="str">
        <f>IF(AND(ISNUMBER(I193),ISNUMBER(J193)),I193*J193,"")</f>
        <v/>
      </c>
      <c r="L193" s="240" t="str">
        <f>IF(COUNT(F193,I193)=0,"",N(F193)-N(I193))</f>
        <v/>
      </c>
      <c r="M193" s="241" t="str">
        <f>IF(COUNT(H193,K193)=0,"",N(K193)-N(H193))</f>
        <v/>
      </c>
      <c r="N193" s="240" t="str">
        <f>IF(AND(ISNUMBER(F193),ISNUMBER(I193),ISNUMBER(H193),ISNUMBER(K193),F193&gt;0,I193&gt;0,H193&lt;&gt;0),ROUND(MIN(F193,I193)*(K193/I193-H193/F193),8),"")</f>
        <v/>
      </c>
      <c r="O193" s="177" t="str">
        <f>IF(ISNUMBER(N193),ROUND(N193/(MIN(F193,I193)*H193/F193)*100,2),"")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71" t="str">
        <f>IF(AND(ISNUMBER(F194),ISNUMBER(G194)),F194*G194,"")</f>
        <v/>
      </c>
      <c r="I194" s="246" t="n"/>
      <c r="J194" s="183" t="n"/>
      <c r="K194" s="271" t="str">
        <f>IF(AND(ISNUMBER(I194),ISNUMBER(J194)),I194*J194,"")</f>
        <v/>
      </c>
      <c r="L194" s="246" t="str">
        <f>IF(COUNT(F194,I194)=0,"",N(F194)-N(I194))</f>
        <v/>
      </c>
      <c r="M194" s="247" t="str">
        <f>IF(COUNT(H194,K194)=0,"",N(K194)-N(H194))</f>
        <v/>
      </c>
      <c r="N194" s="246" t="str">
        <f>IF(AND(ISNUMBER(F194),ISNUMBER(I194),ISNUMBER(H194),ISNUMBER(K194),F194&gt;0,I194&gt;0,H194&lt;&gt;0),ROUND(MIN(F194,I194)*(K194/I194-H194/F194),8),"")</f>
        <v/>
      </c>
      <c r="O194" s="183" t="str">
        <f>IF(ISNUMBER(N194),ROUND(N194/(MIN(F194,I194)*H194/F194)*100,2),"")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71" t="str">
        <f>IF(AND(ISNUMBER(F195),ISNUMBER(G195)),F195*G195,"")</f>
        <v/>
      </c>
      <c r="I195" s="240" t="n"/>
      <c r="J195" s="177" t="n"/>
      <c r="K195" s="271" t="str">
        <f>IF(AND(ISNUMBER(I195),ISNUMBER(J195)),I195*J195,"")</f>
        <v/>
      </c>
      <c r="L195" s="240" t="str">
        <f>IF(COUNT(F195,I195)=0,"",N(F195)-N(I195))</f>
        <v/>
      </c>
      <c r="M195" s="241" t="str">
        <f>IF(COUNT(H195,K195)=0,"",N(K195)-N(H195))</f>
        <v/>
      </c>
      <c r="N195" s="240" t="str">
        <f>IF(AND(ISNUMBER(F195),ISNUMBER(I195),ISNUMBER(H195),ISNUMBER(K195),F195&gt;0,I195&gt;0,H195&lt;&gt;0),ROUND(MIN(F195,I195)*(K195/I195-H195/F195),8),"")</f>
        <v/>
      </c>
      <c r="O195" s="177" t="str">
        <f>IF(ISNUMBER(N195),ROUND(N195/(MIN(F195,I195)*H195/F195)*100,2),"")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71" t="str">
        <f>IF(AND(ISNUMBER(F196),ISNUMBER(G196)),F196*G196,"")</f>
        <v/>
      </c>
      <c r="I196" s="246" t="n"/>
      <c r="J196" s="183" t="n"/>
      <c r="K196" s="271" t="str">
        <f>IF(AND(ISNUMBER(I196),ISNUMBER(J196)),I196*J196,"")</f>
        <v/>
      </c>
      <c r="L196" s="246" t="str">
        <f>IF(COUNT(F196,I196)=0,"",N(F196)-N(I196))</f>
        <v/>
      </c>
      <c r="M196" s="247" t="str">
        <f>IF(COUNT(H196,K196)=0,"",N(K196)-N(H196))</f>
        <v/>
      </c>
      <c r="N196" s="246" t="str">
        <f>IF(AND(ISNUMBER(F196),ISNUMBER(I196),ISNUMBER(H196),ISNUMBER(K196),F196&gt;0,I196&gt;0,H196&lt;&gt;0),ROUND(MIN(F196,I196)*(K196/I196-H196/F196),8),"")</f>
        <v/>
      </c>
      <c r="O196" s="183" t="str">
        <f>IF(ISNUMBER(N196),ROUND(N196/(MIN(F196,I196)*H196/F196)*100,2),"")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71" t="str">
        <f>IF(AND(ISNUMBER(F197),ISNUMBER(G197)),F197*G197,"")</f>
        <v/>
      </c>
      <c r="I197" s="240" t="n"/>
      <c r="J197" s="177" t="n"/>
      <c r="K197" s="271" t="str">
        <f>IF(AND(ISNUMBER(I197),ISNUMBER(J197)),I197*J197,"")</f>
        <v/>
      </c>
      <c r="L197" s="240" t="str">
        <f>IF(COUNT(F197,I197)=0,"",N(F197)-N(I197))</f>
        <v/>
      </c>
      <c r="M197" s="241" t="str">
        <f>IF(COUNT(H197,K197)=0,"",N(K197)-N(H197))</f>
        <v/>
      </c>
      <c r="N197" s="240" t="str">
        <f>IF(AND(ISNUMBER(F197),ISNUMBER(I197),ISNUMBER(H197),ISNUMBER(K197),F197&gt;0,I197&gt;0,H197&lt;&gt;0),ROUND(MIN(F197,I197)*(K197/I197-H197/F197),8),"")</f>
        <v/>
      </c>
      <c r="O197" s="177" t="str">
        <f>IF(ISNUMBER(N197),ROUND(N197/(MIN(F197,I197)*H197/F197)*100,2),"")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71" t="str">
        <f>IF(AND(ISNUMBER(F198),ISNUMBER(G198)),F198*G198,"")</f>
        <v/>
      </c>
      <c r="I198" s="246" t="n"/>
      <c r="J198" s="183" t="n"/>
      <c r="K198" s="271" t="str">
        <f>IF(AND(ISNUMBER(I198),ISNUMBER(J198)),I198*J198,"")</f>
        <v/>
      </c>
      <c r="L198" s="246" t="str">
        <f>IF(COUNT(F198,I198)=0,"",N(F198)-N(I198))</f>
        <v/>
      </c>
      <c r="M198" s="247" t="str">
        <f>IF(COUNT(H198,K198)=0,"",N(K198)-N(H198))</f>
        <v/>
      </c>
      <c r="N198" s="246" t="str">
        <f>IF(AND(ISNUMBER(F198),ISNUMBER(I198),ISNUMBER(H198),ISNUMBER(K198),F198&gt;0,I198&gt;0,H198&lt;&gt;0),ROUND(MIN(F198,I198)*(K198/I198-H198/F198),8),"")</f>
        <v/>
      </c>
      <c r="O198" s="183" t="str">
        <f>IF(ISNUMBER(N198),ROUND(N198/(MIN(F198,I198)*H198/F198)*100,2),"")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71" t="str">
        <f>IF(AND(ISNUMBER(F199),ISNUMBER(G199)),F199*G199,"")</f>
        <v/>
      </c>
      <c r="I199" s="240" t="n"/>
      <c r="J199" s="177" t="n"/>
      <c r="K199" s="271" t="str">
        <f>IF(AND(ISNUMBER(I199),ISNUMBER(J199)),I199*J199,"")</f>
        <v/>
      </c>
      <c r="L199" s="240" t="str">
        <f>IF(COUNT(F199,I199)=0,"",N(F199)-N(I199))</f>
        <v/>
      </c>
      <c r="M199" s="241" t="str">
        <f>IF(COUNT(H199,K199)=0,"",N(K199)-N(H199))</f>
        <v/>
      </c>
      <c r="N199" s="240" t="str">
        <f>IF(AND(ISNUMBER(F199),ISNUMBER(I199),ISNUMBER(H199),ISNUMBER(K199),F199&gt;0,I199&gt;0,H199&lt;&gt;0),ROUND(MIN(F199,I199)*(K199/I199-H199/F199),8),"")</f>
        <v/>
      </c>
      <c r="O199" s="177" t="str">
        <f>IF(ISNUMBER(N199),ROUND(N199/(MIN(F199,I199)*H199/F199)*100,2),"")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71" t="str">
        <f>IF(AND(ISNUMBER(F200),ISNUMBER(G200)),F200*G200,"")</f>
        <v/>
      </c>
      <c r="I200" s="246" t="n"/>
      <c r="J200" s="183" t="n"/>
      <c r="K200" s="271" t="str">
        <f>IF(AND(ISNUMBER(I200),ISNUMBER(J200)),I200*J200,"")</f>
        <v/>
      </c>
      <c r="L200" s="246" t="str">
        <f>IF(COUNT(F200,I200)=0,"",N(F200)-N(I200))</f>
        <v/>
      </c>
      <c r="M200" s="247" t="str">
        <f>IF(COUNT(H200,K200)=0,"",N(K200)-N(H200))</f>
        <v/>
      </c>
      <c r="N200" s="246" t="str">
        <f>IF(AND(ISNUMBER(F200),ISNUMBER(I200),ISNUMBER(H200),ISNUMBER(K200),F200&gt;0,I200&gt;0,H200&lt;&gt;0),ROUND(MIN(F200,I200)*(K200/I200-H200/F200),8),"")</f>
        <v/>
      </c>
      <c r="O200" s="183" t="str">
        <f>IF(ISNUMBER(N200),ROUND(N200/(MIN(F200,I200)*H200/F200)*100,2),"")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71" t="str">
        <f>IF(AND(ISNUMBER(F201),ISNUMBER(G201)),F201*G201,"")</f>
        <v/>
      </c>
      <c r="I201" s="240" t="n"/>
      <c r="J201" s="177" t="n"/>
      <c r="K201" s="271" t="str">
        <f>IF(AND(ISNUMBER(I201),ISNUMBER(J201)),I201*J201,"")</f>
        <v/>
      </c>
      <c r="L201" s="240" t="str">
        <f>IF(COUNT(F201,I201)=0,"",N(F201)-N(I201))</f>
        <v/>
      </c>
      <c r="M201" s="241" t="str">
        <f>IF(COUNT(H201,K201)=0,"",N(K201)-N(H201))</f>
        <v/>
      </c>
      <c r="N201" s="240" t="str">
        <f>IF(AND(ISNUMBER(F201),ISNUMBER(I201),ISNUMBER(H201),ISNUMBER(K201),F201&gt;0,I201&gt;0,H201&lt;&gt;0),ROUND(MIN(F201,I201)*(K201/I201-H201/F201),8),"")</f>
        <v/>
      </c>
      <c r="O201" s="177" t="str">
        <f>IF(ISNUMBER(N201),ROUND(N201/(MIN(F201,I201)*H201/F201)*100,2),"")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71" t="str">
        <f>IF(AND(ISNUMBER(F202),ISNUMBER(G202)),F202*G202,"")</f>
        <v/>
      </c>
      <c r="I202" s="246" t="n"/>
      <c r="J202" s="183" t="n"/>
      <c r="K202" s="271" t="str">
        <f>IF(AND(ISNUMBER(I202),ISNUMBER(J202)),I202*J202,"")</f>
        <v/>
      </c>
      <c r="L202" s="246" t="str">
        <f>IF(COUNT(F202,I202)=0,"",N(F202)-N(I202))</f>
        <v/>
      </c>
      <c r="M202" s="247" t="str">
        <f>IF(COUNT(H202,K202)=0,"",N(K202)-N(H202))</f>
        <v/>
      </c>
      <c r="N202" s="246" t="str">
        <f>IF(AND(ISNUMBER(F202),ISNUMBER(I202),ISNUMBER(H202),ISNUMBER(K202),F202&gt;0,I202&gt;0,H202&lt;&gt;0),ROUND(MIN(F202,I202)*(K202/I202-H202/F202),8),"")</f>
        <v/>
      </c>
      <c r="O202" s="183" t="str">
        <f>IF(ISNUMBER(N202),ROUND(N202/(MIN(F202,I202)*H202/F202)*100,2),"")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71" t="str">
        <f>IF(AND(ISNUMBER(F203),ISNUMBER(G203)),F203*G203,"")</f>
        <v/>
      </c>
      <c r="I203" s="240" t="n"/>
      <c r="J203" s="177" t="n"/>
      <c r="K203" s="271" t="str">
        <f>IF(AND(ISNUMBER(I203),ISNUMBER(J203)),I203*J203,"")</f>
        <v/>
      </c>
      <c r="L203" s="240" t="str">
        <f>IF(COUNT(F203,I203)=0,"",N(F203)-N(I203))</f>
        <v/>
      </c>
      <c r="M203" s="241" t="str">
        <f>IF(COUNT(H203,K203)=0,"",N(K203)-N(H203))</f>
        <v/>
      </c>
      <c r="N203" s="240" t="str">
        <f>IF(AND(ISNUMBER(F203),ISNUMBER(I203),ISNUMBER(H203),ISNUMBER(K203),F203&gt;0,I203&gt;0,H203&lt;&gt;0),ROUND(MIN(F203,I203)*(K203/I203-H203/F203),8),"")</f>
        <v/>
      </c>
      <c r="O203" s="177" t="str">
        <f>IF(ISNUMBER(N203),ROUND(N203/(MIN(F203,I203)*H203/F203)*100,2),"")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71" t="str">
        <f>IF(AND(ISNUMBER(F204),ISNUMBER(G204)),F204*G204,"")</f>
        <v/>
      </c>
      <c r="I204" s="246" t="n"/>
      <c r="J204" s="183" t="n"/>
      <c r="K204" s="271" t="str">
        <f>IF(AND(ISNUMBER(I204),ISNUMBER(J204)),I204*J204,"")</f>
        <v/>
      </c>
      <c r="L204" s="246" t="str">
        <f>IF(COUNT(F204,I204)=0,"",N(F204)-N(I204))</f>
        <v/>
      </c>
      <c r="M204" s="247" t="str">
        <f>IF(COUNT(H204,K204)=0,"",N(K204)-N(H204))</f>
        <v/>
      </c>
      <c r="N204" s="246" t="str">
        <f>IF(AND(ISNUMBER(F204),ISNUMBER(I204),ISNUMBER(H204),ISNUMBER(K204),F204&gt;0,I204&gt;0,H204&lt;&gt;0),ROUND(MIN(F204,I204)*(K204/I204-H204/F204),8),"")</f>
        <v/>
      </c>
      <c r="O204" s="183" t="str">
        <f>IF(ISNUMBER(N204),ROUND(N204/(MIN(F204,I204)*H204/F204)*100,2),"")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71" t="str">
        <f>IF(AND(ISNUMBER(F205),ISNUMBER(G205)),F205*G205,"")</f>
        <v/>
      </c>
      <c r="I205" s="240" t="n"/>
      <c r="J205" s="177" t="n"/>
      <c r="K205" s="271" t="str">
        <f>IF(AND(ISNUMBER(I205),ISNUMBER(J205)),I205*J205,"")</f>
        <v/>
      </c>
      <c r="L205" s="240" t="str">
        <f>IF(COUNT(F205,I205)=0,"",N(F205)-N(I205))</f>
        <v/>
      </c>
      <c r="M205" s="241" t="str">
        <f>IF(COUNT(H205,K205)=0,"",N(K205)-N(H205))</f>
        <v/>
      </c>
      <c r="N205" s="240" t="str">
        <f>IF(AND(ISNUMBER(F205),ISNUMBER(I205),ISNUMBER(H205),ISNUMBER(K205),F205&gt;0,I205&gt;0,H205&lt;&gt;0),ROUND(MIN(F205,I205)*(K205/I205-H205/F205),8),"")</f>
        <v/>
      </c>
      <c r="O205" s="177" t="str">
        <f>IF(ISNUMBER(N205),ROUND(N205/(MIN(F205,I205)*H205/F205)*100,2),"")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71" t="str">
        <f>IF(AND(ISNUMBER(F206),ISNUMBER(G206)),F206*G206,"")</f>
        <v/>
      </c>
      <c r="I206" s="246" t="n"/>
      <c r="J206" s="183" t="n"/>
      <c r="K206" s="271" t="str">
        <f>IF(AND(ISNUMBER(I206),ISNUMBER(J206)),I206*J206,"")</f>
        <v/>
      </c>
      <c r="L206" s="246" t="str">
        <f>IF(COUNT(F206,I206)=0,"",N(F206)-N(I206))</f>
        <v/>
      </c>
      <c r="M206" s="247" t="str">
        <f>IF(COUNT(H206,K206)=0,"",N(K206)-N(H206))</f>
        <v/>
      </c>
      <c r="N206" s="246" t="str">
        <f>IF(AND(ISNUMBER(F206),ISNUMBER(I206),ISNUMBER(H206),ISNUMBER(K206),F206&gt;0,I206&gt;0,H206&lt;&gt;0),ROUND(MIN(F206,I206)*(K206/I206-H206/F206),8),"")</f>
        <v/>
      </c>
      <c r="O206" s="183" t="str">
        <f>IF(ISNUMBER(N206),ROUND(N206/(MIN(F206,I206)*H206/F206)*100,2),"")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71" t="str">
        <f>IF(AND(ISNUMBER(F207),ISNUMBER(G207)),F207*G207,"")</f>
        <v/>
      </c>
      <c r="I207" s="240" t="n"/>
      <c r="J207" s="177" t="n"/>
      <c r="K207" s="271" t="str">
        <f>IF(AND(ISNUMBER(I207),ISNUMBER(J207)),I207*J207,"")</f>
        <v/>
      </c>
      <c r="L207" s="240" t="str">
        <f>IF(COUNT(F207,I207)=0,"",N(F207)-N(I207))</f>
        <v/>
      </c>
      <c r="M207" s="241" t="str">
        <f>IF(COUNT(H207,K207)=0,"",N(K207)-N(H207))</f>
        <v/>
      </c>
      <c r="N207" s="240" t="str">
        <f>IF(AND(ISNUMBER(F207),ISNUMBER(I207),ISNUMBER(H207),ISNUMBER(K207),F207&gt;0,I207&gt;0,H207&lt;&gt;0),ROUND(MIN(F207,I207)*(K207/I207-H207/F207),8),"")</f>
        <v/>
      </c>
      <c r="O207" s="177" t="str">
        <f>IF(ISNUMBER(N207),ROUND(N207/(MIN(F207,I207)*H207/F207)*100,2),"")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71" t="str">
        <f>IF(AND(ISNUMBER(F208),ISNUMBER(G208)),F208*G208,"")</f>
        <v/>
      </c>
      <c r="I208" s="246" t="n"/>
      <c r="J208" s="183" t="n"/>
      <c r="K208" s="271" t="str">
        <f>IF(AND(ISNUMBER(I208),ISNUMBER(J208)),I208*J208,"")</f>
        <v/>
      </c>
      <c r="L208" s="246" t="str">
        <f>IF(COUNT(F208,I208)=0,"",N(F208)-N(I208))</f>
        <v/>
      </c>
      <c r="M208" s="247" t="str">
        <f>IF(COUNT(H208,K208)=0,"",N(K208)-N(H208))</f>
        <v/>
      </c>
      <c r="N208" s="246" t="str">
        <f>IF(AND(ISNUMBER(F208),ISNUMBER(I208),ISNUMBER(H208),ISNUMBER(K208),F208&gt;0,I208&gt;0,H208&lt;&gt;0),ROUND(MIN(F208,I208)*(K208/I208-H208/F208),8),"")</f>
        <v/>
      </c>
      <c r="O208" s="183" t="str">
        <f>IF(ISNUMBER(N208),ROUND(N208/(MIN(F208,I208)*H208/F208)*100,2),"")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71" t="str">
        <f>IF(AND(ISNUMBER(F209),ISNUMBER(G209)),F209*G209,"")</f>
        <v/>
      </c>
      <c r="I209" s="240" t="n"/>
      <c r="J209" s="177" t="n"/>
      <c r="K209" s="271" t="str">
        <f>IF(AND(ISNUMBER(I209),ISNUMBER(J209)),I209*J209,"")</f>
        <v/>
      </c>
      <c r="L209" s="240" t="str">
        <f>IF(COUNT(F209,I209)=0,"",N(F209)-N(I209))</f>
        <v/>
      </c>
      <c r="M209" s="241" t="str">
        <f>IF(COUNT(H209,K209)=0,"",N(K209)-N(H209))</f>
        <v/>
      </c>
      <c r="N209" s="240" t="str">
        <f>IF(AND(ISNUMBER(F209),ISNUMBER(I209),ISNUMBER(H209),ISNUMBER(K209),F209&gt;0,I209&gt;0,H209&lt;&gt;0),ROUND(MIN(F209,I209)*(K209/I209-H209/F209),8),"")</f>
        <v/>
      </c>
      <c r="O209" s="177" t="str">
        <f>IF(ISNUMBER(N209),ROUND(N209/(MIN(F209,I209)*H209/F209)*100,2),"")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71" t="str">
        <f>IF(AND(ISNUMBER(F210),ISNUMBER(G210)),F210*G210,"")</f>
        <v/>
      </c>
      <c r="I210" s="246" t="n"/>
      <c r="J210" s="183" t="n"/>
      <c r="K210" s="271" t="str">
        <f>IF(AND(ISNUMBER(I210),ISNUMBER(J210)),I210*J210,"")</f>
        <v/>
      </c>
      <c r="L210" s="246" t="str">
        <f>IF(COUNT(F210,I210)=0,"",N(F210)-N(I210))</f>
        <v/>
      </c>
      <c r="M210" s="247" t="str">
        <f>IF(COUNT(H210,K210)=0,"",N(K210)-N(H210))</f>
        <v/>
      </c>
      <c r="N210" s="246" t="str">
        <f>IF(AND(ISNUMBER(F210),ISNUMBER(I210),ISNUMBER(H210),ISNUMBER(K210),F210&gt;0,I210&gt;0,H210&lt;&gt;0),ROUND(MIN(F210,I210)*(K210/I210-H210/F210),8),"")</f>
        <v/>
      </c>
      <c r="O210" s="183" t="str">
        <f>IF(ISNUMBER(N210),ROUND(N210/(MIN(F210,I210)*H210/F210)*100,2),"")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71" t="str">
        <f>IF(AND(ISNUMBER(F211),ISNUMBER(G211)),F211*G211,"")</f>
        <v/>
      </c>
      <c r="I211" s="240" t="n"/>
      <c r="J211" s="177" t="n"/>
      <c r="K211" s="271" t="str">
        <f>IF(AND(ISNUMBER(I211),ISNUMBER(J211)),I211*J211,"")</f>
        <v/>
      </c>
      <c r="L211" s="240" t="str">
        <f>IF(COUNT(F211,I211)=0,"",N(F211)-N(I211))</f>
        <v/>
      </c>
      <c r="M211" s="241" t="str">
        <f>IF(COUNT(H211,K211)=0,"",N(K211)-N(H211))</f>
        <v/>
      </c>
      <c r="N211" s="240" t="str">
        <f>IF(AND(ISNUMBER(F211),ISNUMBER(I211),ISNUMBER(H211),ISNUMBER(K211),F211&gt;0,I211&gt;0,H211&lt;&gt;0),ROUND(MIN(F211,I211)*(K211/I211-H211/F211),8),"")</f>
        <v/>
      </c>
      <c r="O211" s="177" t="str">
        <f>IF(ISNUMBER(N211),ROUND(N211/(MIN(F211,I211)*H211/F211)*100,2),"")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71" t="str">
        <f>IF(AND(ISNUMBER(F212),ISNUMBER(G212)),F212*G212,"")</f>
        <v/>
      </c>
      <c r="I212" s="246" t="n"/>
      <c r="J212" s="183" t="n"/>
      <c r="K212" s="271" t="str">
        <f>IF(AND(ISNUMBER(I212),ISNUMBER(J212)),I212*J212,"")</f>
        <v/>
      </c>
      <c r="L212" s="246" t="str">
        <f>IF(COUNT(F212,I212)=0,"",N(F212)-N(I212))</f>
        <v/>
      </c>
      <c r="M212" s="247" t="str">
        <f>IF(COUNT(H212,K212)=0,"",N(K212)-N(H212))</f>
        <v/>
      </c>
      <c r="N212" s="246" t="str">
        <f>IF(AND(ISNUMBER(F212),ISNUMBER(I212),ISNUMBER(H212),ISNUMBER(K212),F212&gt;0,I212&gt;0,H212&lt;&gt;0),ROUND(MIN(F212,I212)*(K212/I212-H212/F212),8),"")</f>
        <v/>
      </c>
      <c r="O212" s="183" t="str">
        <f>IF(ISNUMBER(N212),ROUND(N212/(MIN(F212,I212)*H212/F212)*100,2),"")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71" t="str">
        <f>IF(AND(ISNUMBER(F213),ISNUMBER(G213)),F213*G213,"")</f>
        <v/>
      </c>
      <c r="I213" s="240" t="n"/>
      <c r="J213" s="177" t="n"/>
      <c r="K213" s="271" t="str">
        <f>IF(AND(ISNUMBER(I213),ISNUMBER(J213)),I213*J213,"")</f>
        <v/>
      </c>
      <c r="L213" s="240" t="str">
        <f>IF(COUNT(F213,I213)=0,"",N(F213)-N(I213))</f>
        <v/>
      </c>
      <c r="M213" s="241" t="str">
        <f>IF(COUNT(H213,K213)=0,"",N(K213)-N(H213))</f>
        <v/>
      </c>
      <c r="N213" s="240" t="str">
        <f>IF(AND(ISNUMBER(F213),ISNUMBER(I213),ISNUMBER(H213),ISNUMBER(K213),F213&gt;0,I213&gt;0,H213&lt;&gt;0),ROUND(MIN(F213,I213)*(K213/I213-H213/F213),8),"")</f>
        <v/>
      </c>
      <c r="O213" s="177" t="str">
        <f>IF(ISNUMBER(N213),ROUND(N213/(MIN(F213,I213)*H213/F213)*100,2),"")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71" t="str">
        <f>IF(AND(ISNUMBER(F214),ISNUMBER(G214)),F214*G214,"")</f>
        <v/>
      </c>
      <c r="I214" s="246" t="n"/>
      <c r="J214" s="183" t="n"/>
      <c r="K214" s="271" t="str">
        <f>IF(AND(ISNUMBER(I214),ISNUMBER(J214)),I214*J214,"")</f>
        <v/>
      </c>
      <c r="L214" s="246" t="str">
        <f>IF(COUNT(F214,I214)=0,"",N(F214)-N(I214))</f>
        <v/>
      </c>
      <c r="M214" s="247" t="str">
        <f>IF(COUNT(H214,K214)=0,"",N(K214)-N(H214))</f>
        <v/>
      </c>
      <c r="N214" s="246" t="str">
        <f>IF(AND(ISNUMBER(F214),ISNUMBER(I214),ISNUMBER(H214),ISNUMBER(K214),F214&gt;0,I214&gt;0,H214&lt;&gt;0),ROUND(MIN(F214,I214)*(K214/I214-H214/F214),8),"")</f>
        <v/>
      </c>
      <c r="O214" s="183" t="str">
        <f>IF(ISNUMBER(N214),ROUND(N214/(MIN(F214,I214)*H214/F214)*100,2),"")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71" t="str">
        <f>IF(AND(ISNUMBER(F215),ISNUMBER(G215)),F215*G215,"")</f>
        <v/>
      </c>
      <c r="I215" s="240" t="n"/>
      <c r="J215" s="177" t="n"/>
      <c r="K215" s="271" t="str">
        <f>IF(AND(ISNUMBER(I215),ISNUMBER(J215)),I215*J215,"")</f>
        <v/>
      </c>
      <c r="L215" s="240" t="str">
        <f>IF(COUNT(F215,I215)=0,"",N(F215)-N(I215))</f>
        <v/>
      </c>
      <c r="M215" s="241" t="str">
        <f>IF(COUNT(H215,K215)=0,"",N(K215)-N(H215))</f>
        <v/>
      </c>
      <c r="N215" s="240" t="str">
        <f>IF(AND(ISNUMBER(F215),ISNUMBER(I215),ISNUMBER(H215),ISNUMBER(K215),F215&gt;0,I215&gt;0,H215&lt;&gt;0),ROUND(MIN(F215,I215)*(K215/I215-H215/F215),8),"")</f>
        <v/>
      </c>
      <c r="O215" s="177" t="str">
        <f>IF(ISNUMBER(N215),ROUND(N215/(MIN(F215,I215)*H215/F215)*100,2),"")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71" t="str">
        <f>IF(AND(ISNUMBER(F216),ISNUMBER(G216)),F216*G216,"")</f>
        <v/>
      </c>
      <c r="I216" s="246" t="n"/>
      <c r="J216" s="183" t="n"/>
      <c r="K216" s="271" t="str">
        <f>IF(AND(ISNUMBER(I216),ISNUMBER(J216)),I216*J216,"")</f>
        <v/>
      </c>
      <c r="L216" s="246" t="str">
        <f>IF(COUNT(F216,I216)=0,"",N(F216)-N(I216))</f>
        <v/>
      </c>
      <c r="M216" s="247" t="str">
        <f>IF(COUNT(H216,K216)=0,"",N(K216)-N(H216))</f>
        <v/>
      </c>
      <c r="N216" s="246" t="str">
        <f>IF(AND(ISNUMBER(F216),ISNUMBER(I216),ISNUMBER(H216),ISNUMBER(K216),F216&gt;0,I216&gt;0,H216&lt;&gt;0),ROUND(MIN(F216,I216)*(K216/I216-H216/F216),8),"")</f>
        <v/>
      </c>
      <c r="O216" s="183" t="str">
        <f>IF(ISNUMBER(N216),ROUND(N216/(MIN(F216,I216)*H216/F216)*100,2),"")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71" t="str">
        <f>IF(AND(ISNUMBER(F217),ISNUMBER(G217)),F217*G217,"")</f>
        <v/>
      </c>
      <c r="I217" s="240" t="n"/>
      <c r="J217" s="177" t="n"/>
      <c r="K217" s="271" t="str">
        <f>IF(AND(ISNUMBER(I217),ISNUMBER(J217)),I217*J217,"")</f>
        <v/>
      </c>
      <c r="L217" s="240" t="str">
        <f>IF(COUNT(F217,I217)=0,"",N(F217)-N(I217))</f>
        <v/>
      </c>
      <c r="M217" s="241" t="str">
        <f>IF(COUNT(H217,K217)=0,"",N(K217)-N(H217))</f>
        <v/>
      </c>
      <c r="N217" s="240" t="str">
        <f>IF(AND(ISNUMBER(F217),ISNUMBER(I217),ISNUMBER(H217),ISNUMBER(K217),F217&gt;0,I217&gt;0,H217&lt;&gt;0),ROUND(MIN(F217,I217)*(K217/I217-H217/F217),8),"")</f>
        <v/>
      </c>
      <c r="O217" s="177" t="str">
        <f>IF(ISNUMBER(N217),ROUND(N217/(MIN(F217,I217)*H217/F217)*100,2),"")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71" t="str">
        <f>IF(AND(ISNUMBER(F218),ISNUMBER(G218)),F218*G218,"")</f>
        <v/>
      </c>
      <c r="I218" s="246" t="n"/>
      <c r="J218" s="183" t="n"/>
      <c r="K218" s="271" t="str">
        <f>IF(AND(ISNUMBER(I218),ISNUMBER(J218)),I218*J218,"")</f>
        <v/>
      </c>
      <c r="L218" s="246" t="str">
        <f>IF(COUNT(F218,I218)=0,"",N(F218)-N(I218))</f>
        <v/>
      </c>
      <c r="M218" s="247" t="str">
        <f>IF(COUNT(H218,K218)=0,"",N(K218)-N(H218))</f>
        <v/>
      </c>
      <c r="N218" s="246" t="str">
        <f>IF(AND(ISNUMBER(F218),ISNUMBER(I218),ISNUMBER(H218),ISNUMBER(K218),F218&gt;0,I218&gt;0,H218&lt;&gt;0),ROUND(MIN(F218,I218)*(K218/I218-H218/F218),8),"")</f>
        <v/>
      </c>
      <c r="O218" s="183" t="str">
        <f>IF(ISNUMBER(N218),ROUND(N218/(MIN(F218,I218)*H218/F218)*100,2),"")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71" t="str">
        <f>IF(AND(ISNUMBER(F219),ISNUMBER(G219)),F219*G219,"")</f>
        <v/>
      </c>
      <c r="I219" s="240" t="n"/>
      <c r="J219" s="177" t="n"/>
      <c r="K219" s="271" t="str">
        <f>IF(AND(ISNUMBER(I219),ISNUMBER(J219)),I219*J219,"")</f>
        <v/>
      </c>
      <c r="L219" s="240" t="str">
        <f>IF(COUNT(F219,I219)=0,"",N(F219)-N(I219))</f>
        <v/>
      </c>
      <c r="M219" s="241" t="str">
        <f>IF(COUNT(H219,K219)=0,"",N(K219)-N(H219))</f>
        <v/>
      </c>
      <c r="N219" s="240" t="str">
        <f>IF(AND(ISNUMBER(F219),ISNUMBER(I219),ISNUMBER(H219),ISNUMBER(K219),F219&gt;0,I219&gt;0,H219&lt;&gt;0),ROUND(MIN(F219,I219)*(K219/I219-H219/F219),8),"")</f>
        <v/>
      </c>
      <c r="O219" s="177" t="str">
        <f>IF(ISNUMBER(N219),ROUND(N219/(MIN(F219,I219)*H219/F219)*100,2),"")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71" t="str">
        <f>IF(AND(ISNUMBER(F220),ISNUMBER(G220)),F220*G220,"")</f>
        <v/>
      </c>
      <c r="I220" s="246" t="n"/>
      <c r="J220" s="183" t="n"/>
      <c r="K220" s="271" t="str">
        <f>IF(AND(ISNUMBER(I220),ISNUMBER(J220)),I220*J220,"")</f>
        <v/>
      </c>
      <c r="L220" s="246" t="str">
        <f>IF(COUNT(F220,I220)=0,"",N(F220)-N(I220))</f>
        <v/>
      </c>
      <c r="M220" s="247" t="str">
        <f>IF(COUNT(H220,K220)=0,"",N(K220)-N(H220))</f>
        <v/>
      </c>
      <c r="N220" s="246" t="str">
        <f>IF(AND(ISNUMBER(F220),ISNUMBER(I220),ISNUMBER(H220),ISNUMBER(K220),F220&gt;0,I220&gt;0,H220&lt;&gt;0),ROUND(MIN(F220,I220)*(K220/I220-H220/F220),8),"")</f>
        <v/>
      </c>
      <c r="O220" s="183" t="str">
        <f>IF(ISNUMBER(N220),ROUND(N220/(MIN(F220,I220)*H220/F220)*100,2),"")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71" t="str">
        <f>IF(AND(ISNUMBER(F221),ISNUMBER(G221)),F221*G221,"")</f>
        <v/>
      </c>
      <c r="I221" s="240" t="n"/>
      <c r="J221" s="177" t="n"/>
      <c r="K221" s="271" t="str">
        <f>IF(AND(ISNUMBER(I221),ISNUMBER(J221)),I221*J221,"")</f>
        <v/>
      </c>
      <c r="L221" s="240" t="str">
        <f>IF(COUNT(F221,I221)=0,"",N(F221)-N(I221))</f>
        <v/>
      </c>
      <c r="M221" s="241" t="str">
        <f>IF(COUNT(H221,K221)=0,"",N(K221)-N(H221))</f>
        <v/>
      </c>
      <c r="N221" s="240" t="str">
        <f>IF(AND(ISNUMBER(F221),ISNUMBER(I221),ISNUMBER(H221),ISNUMBER(K221),F221&gt;0,I221&gt;0,H221&lt;&gt;0),ROUND(MIN(F221,I221)*(K221/I221-H221/F221),8),"")</f>
        <v/>
      </c>
      <c r="O221" s="177" t="str">
        <f>IF(ISNUMBER(N221),ROUND(N221/(MIN(F221,I221)*H221/F221)*100,2),"")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71" t="str">
        <f>IF(AND(ISNUMBER(F222),ISNUMBER(G222)),F222*G222,"")</f>
        <v/>
      </c>
      <c r="I222" s="246" t="n"/>
      <c r="J222" s="183" t="n"/>
      <c r="K222" s="271" t="str">
        <f>IF(AND(ISNUMBER(I222),ISNUMBER(J222)),I222*J222,"")</f>
        <v/>
      </c>
      <c r="L222" s="246" t="str">
        <f>IF(COUNT(F222,I222)=0,"",N(F222)-N(I222))</f>
        <v/>
      </c>
      <c r="M222" s="247" t="str">
        <f>IF(COUNT(H222,K222)=0,"",N(K222)-N(H222))</f>
        <v/>
      </c>
      <c r="N222" s="246" t="str">
        <f>IF(AND(ISNUMBER(F222),ISNUMBER(I222),ISNUMBER(H222),ISNUMBER(K222),F222&gt;0,I222&gt;0,H222&lt;&gt;0),ROUND(MIN(F222,I222)*(K222/I222-H222/F222),8),"")</f>
        <v/>
      </c>
      <c r="O222" s="183" t="str">
        <f>IF(ISNUMBER(N222),ROUND(N222/(MIN(F222,I222)*H222/F222)*100,2),"")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71" t="str">
        <f>IF(AND(ISNUMBER(F223),ISNUMBER(G223)),F223*G223,"")</f>
        <v/>
      </c>
      <c r="I223" s="240" t="n"/>
      <c r="J223" s="177" t="n"/>
      <c r="K223" s="271" t="str">
        <f>IF(AND(ISNUMBER(I223),ISNUMBER(J223)),I223*J223,"")</f>
        <v/>
      </c>
      <c r="L223" s="240" t="str">
        <f>IF(COUNT(F223,I223)=0,"",N(F223)-N(I223))</f>
        <v/>
      </c>
      <c r="M223" s="241" t="str">
        <f>IF(COUNT(H223,K223)=0,"",N(K223)-N(H223))</f>
        <v/>
      </c>
      <c r="N223" s="240" t="str">
        <f>IF(AND(ISNUMBER(F223),ISNUMBER(I223),ISNUMBER(H223),ISNUMBER(K223),F223&gt;0,I223&gt;0,H223&lt;&gt;0),ROUND(MIN(F223,I223)*(K223/I223-H223/F223),8),"")</f>
        <v/>
      </c>
      <c r="O223" s="177" t="str">
        <f>IF(ISNUMBER(N223),ROUND(N223/(MIN(F223,I223)*H223/F223)*100,2),"")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71" t="str">
        <f>IF(AND(ISNUMBER(F224),ISNUMBER(G224)),F224*G224,"")</f>
        <v/>
      </c>
      <c r="I224" s="246" t="n"/>
      <c r="J224" s="183" t="n"/>
      <c r="K224" s="271" t="str">
        <f>IF(AND(ISNUMBER(I224),ISNUMBER(J224)),I224*J224,"")</f>
        <v/>
      </c>
      <c r="L224" s="246" t="str">
        <f>IF(COUNT(F224,I224)=0,"",N(F224)-N(I224))</f>
        <v/>
      </c>
      <c r="M224" s="247" t="str">
        <f>IF(COUNT(H224,K224)=0,"",N(K224)-N(H224))</f>
        <v/>
      </c>
      <c r="N224" s="246" t="str">
        <f>IF(AND(ISNUMBER(F224),ISNUMBER(I224),ISNUMBER(H224),ISNUMBER(K224),F224&gt;0,I224&gt;0,H224&lt;&gt;0),ROUND(MIN(F224,I224)*(K224/I224-H224/F224),8),"")</f>
        <v/>
      </c>
      <c r="O224" s="183" t="str">
        <f>IF(ISNUMBER(N224),ROUND(N224/(MIN(F224,I224)*H224/F224)*100,2),"")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71" t="str">
        <f>IF(AND(ISNUMBER(F225),ISNUMBER(G225)),F225*G225,"")</f>
        <v/>
      </c>
      <c r="I225" s="240" t="n"/>
      <c r="J225" s="177" t="n"/>
      <c r="K225" s="271" t="str">
        <f>IF(AND(ISNUMBER(I225),ISNUMBER(J225)),I225*J225,"")</f>
        <v/>
      </c>
      <c r="L225" s="240" t="str">
        <f>IF(COUNT(F225,I225)=0,"",N(F225)-N(I225))</f>
        <v/>
      </c>
      <c r="M225" s="241" t="str">
        <f>IF(COUNT(H225,K225)=0,"",N(K225)-N(H225))</f>
        <v/>
      </c>
      <c r="N225" s="240" t="str">
        <f>IF(AND(ISNUMBER(F225),ISNUMBER(I225),ISNUMBER(H225),ISNUMBER(K225),F225&gt;0,I225&gt;0,H225&lt;&gt;0),ROUND(MIN(F225,I225)*(K225/I225-H225/F225),8),"")</f>
        <v/>
      </c>
      <c r="O225" s="177" t="str">
        <f>IF(ISNUMBER(N225),ROUND(N225/(MIN(F225,I225)*H225/F225)*100,2),"")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71" t="str">
        <f>IF(AND(ISNUMBER(F226),ISNUMBER(G226)),F226*G226,"")</f>
        <v/>
      </c>
      <c r="I226" s="246" t="n"/>
      <c r="J226" s="183" t="n"/>
      <c r="K226" s="271" t="str">
        <f>IF(AND(ISNUMBER(I226),ISNUMBER(J226)),I226*J226,"")</f>
        <v/>
      </c>
      <c r="L226" s="246" t="str">
        <f>IF(COUNT(F226,I226)=0,"",N(F226)-N(I226))</f>
        <v/>
      </c>
      <c r="M226" s="247" t="str">
        <f>IF(COUNT(H226,K226)=0,"",N(K226)-N(H226))</f>
        <v/>
      </c>
      <c r="N226" s="246" t="str">
        <f>IF(AND(ISNUMBER(F226),ISNUMBER(I226),ISNUMBER(H226),ISNUMBER(K226),F226&gt;0,I226&gt;0,H226&lt;&gt;0),ROUND(MIN(F226,I226)*(K226/I226-H226/F226),8),"")</f>
        <v/>
      </c>
      <c r="O226" s="183" t="str">
        <f>IF(ISNUMBER(N226),ROUND(N226/(MIN(F226,I226)*H226/F226)*100,2),"")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71" t="str">
        <f>IF(AND(ISNUMBER(F227),ISNUMBER(G227)),F227*G227,"")</f>
        <v/>
      </c>
      <c r="I227" s="240" t="n"/>
      <c r="J227" s="177" t="n"/>
      <c r="K227" s="271" t="str">
        <f>IF(AND(ISNUMBER(I227),ISNUMBER(J227)),I227*J227,"")</f>
        <v/>
      </c>
      <c r="L227" s="240" t="str">
        <f>IF(COUNT(F227,I227)=0,"",N(F227)-N(I227))</f>
        <v/>
      </c>
      <c r="M227" s="241" t="str">
        <f>IF(COUNT(H227,K227)=0,"",N(K227)-N(H227))</f>
        <v/>
      </c>
      <c r="N227" s="240" t="str">
        <f>IF(AND(ISNUMBER(F227),ISNUMBER(I227),ISNUMBER(H227),ISNUMBER(K227),F227&gt;0,I227&gt;0,H227&lt;&gt;0),ROUND(MIN(F227,I227)*(K227/I227-H227/F227),8),"")</f>
        <v/>
      </c>
      <c r="O227" s="177" t="str">
        <f>IF(ISNUMBER(N227),ROUND(N227/(MIN(F227,I227)*H227/F227)*100,2),"")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71" t="str">
        <f>IF(AND(ISNUMBER(F228),ISNUMBER(G228)),F228*G228,"")</f>
        <v/>
      </c>
      <c r="I228" s="246" t="n"/>
      <c r="J228" s="183" t="n"/>
      <c r="K228" s="271" t="str">
        <f>IF(AND(ISNUMBER(I228),ISNUMBER(J228)),I228*J228,"")</f>
        <v/>
      </c>
      <c r="L228" s="246" t="str">
        <f>IF(COUNT(F228,I228)=0,"",N(F228)-N(I228))</f>
        <v/>
      </c>
      <c r="M228" s="247" t="str">
        <f>IF(COUNT(H228,K228)=0,"",N(K228)-N(H228))</f>
        <v/>
      </c>
      <c r="N228" s="246" t="str">
        <f>IF(AND(ISNUMBER(F228),ISNUMBER(I228),ISNUMBER(H228),ISNUMBER(K228),F228&gt;0,I228&gt;0,H228&lt;&gt;0),ROUND(MIN(F228,I228)*(K228/I228-H228/F228),8),"")</f>
        <v/>
      </c>
      <c r="O228" s="183" t="str">
        <f>IF(ISNUMBER(N228),ROUND(N228/(MIN(F228,I228)*H228/F228)*100,2),"")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71" t="str">
        <f>IF(AND(ISNUMBER(F229),ISNUMBER(G229)),F229*G229,"")</f>
        <v/>
      </c>
      <c r="I229" s="240" t="n"/>
      <c r="J229" s="177" t="n"/>
      <c r="K229" s="271" t="str">
        <f>IF(AND(ISNUMBER(I229),ISNUMBER(J229)),I229*J229,"")</f>
        <v/>
      </c>
      <c r="L229" s="240" t="str">
        <f>IF(COUNT(F229,I229)=0,"",N(F229)-N(I229))</f>
        <v/>
      </c>
      <c r="M229" s="241" t="str">
        <f>IF(COUNT(H229,K229)=0,"",N(K229)-N(H229))</f>
        <v/>
      </c>
      <c r="N229" s="240" t="str">
        <f>IF(AND(ISNUMBER(F229),ISNUMBER(I229),ISNUMBER(H229),ISNUMBER(K229),F229&gt;0,I229&gt;0,H229&lt;&gt;0),ROUND(MIN(F229,I229)*(K229/I229-H229/F229),8),"")</f>
        <v/>
      </c>
      <c r="O229" s="177" t="str">
        <f>IF(ISNUMBER(N229),ROUND(N229/(MIN(F229,I229)*H229/F229)*100,2),"")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71" t="str">
        <f>IF(AND(ISNUMBER(F230),ISNUMBER(G230)),F230*G230,"")</f>
        <v/>
      </c>
      <c r="I230" s="246" t="n"/>
      <c r="J230" s="183" t="n"/>
      <c r="K230" s="271" t="str">
        <f>IF(AND(ISNUMBER(I230),ISNUMBER(J230)),I230*J230,"")</f>
        <v/>
      </c>
      <c r="L230" s="246" t="str">
        <f>IF(COUNT(F230,I230)=0,"",N(F230)-N(I230))</f>
        <v/>
      </c>
      <c r="M230" s="247" t="str">
        <f>IF(COUNT(H230,K230)=0,"",N(K230)-N(H230))</f>
        <v/>
      </c>
      <c r="N230" s="246" t="str">
        <f>IF(AND(ISNUMBER(F230),ISNUMBER(I230),ISNUMBER(H230),ISNUMBER(K230),F230&gt;0,I230&gt;0,H230&lt;&gt;0),ROUND(MIN(F230,I230)*(K230/I230-H230/F230),8),"")</f>
        <v/>
      </c>
      <c r="O230" s="183" t="str">
        <f>IF(ISNUMBER(N230),ROUND(N230/(MIN(F230,I230)*H230/F230)*100,2),"")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71" t="str">
        <f>IF(AND(ISNUMBER(F231),ISNUMBER(G231)),F231*G231,"")</f>
        <v/>
      </c>
      <c r="I231" s="240" t="n"/>
      <c r="J231" s="177" t="n"/>
      <c r="K231" s="271" t="str">
        <f>IF(AND(ISNUMBER(I231),ISNUMBER(J231)),I231*J231,"")</f>
        <v/>
      </c>
      <c r="L231" s="240" t="str">
        <f>IF(COUNT(F231,I231)=0,"",N(F231)-N(I231))</f>
        <v/>
      </c>
      <c r="M231" s="241" t="str">
        <f>IF(COUNT(H231,K231)=0,"",N(K231)-N(H231))</f>
        <v/>
      </c>
      <c r="N231" s="240" t="str">
        <f>IF(AND(ISNUMBER(F231),ISNUMBER(I231),ISNUMBER(H231),ISNUMBER(K231),F231&gt;0,I231&gt;0,H231&lt;&gt;0),ROUND(MIN(F231,I231)*(K231/I231-H231/F231),8),"")</f>
        <v/>
      </c>
      <c r="O231" s="177" t="str">
        <f>IF(ISNUMBER(N231),ROUND(N231/(MIN(F231,I231)*H231/F231)*100,2),"")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71" t="str">
        <f>IF(AND(ISNUMBER(F232),ISNUMBER(G232)),F232*G232,"")</f>
        <v/>
      </c>
      <c r="I232" s="246" t="n"/>
      <c r="J232" s="183" t="n"/>
      <c r="K232" s="271" t="str">
        <f>IF(AND(ISNUMBER(I232),ISNUMBER(J232)),I232*J232,"")</f>
        <v/>
      </c>
      <c r="L232" s="246" t="str">
        <f>IF(COUNT(F232,I232)=0,"",N(F232)-N(I232))</f>
        <v/>
      </c>
      <c r="M232" s="247" t="str">
        <f>IF(COUNT(H232,K232)=0,"",N(K232)-N(H232))</f>
        <v/>
      </c>
      <c r="N232" s="246" t="str">
        <f>IF(AND(ISNUMBER(F232),ISNUMBER(I232),ISNUMBER(H232),ISNUMBER(K232),F232&gt;0,I232&gt;0,H232&lt;&gt;0),ROUND(MIN(F232,I232)*(K232/I232-H232/F232),8),"")</f>
        <v/>
      </c>
      <c r="O232" s="183" t="str">
        <f>IF(ISNUMBER(N232),ROUND(N232/(MIN(F232,I232)*H232/F232)*100,2),"")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71" t="str">
        <f>IF(AND(ISNUMBER(F233),ISNUMBER(G233)),F233*G233,"")</f>
        <v/>
      </c>
      <c r="I233" s="240" t="n"/>
      <c r="J233" s="177" t="n"/>
      <c r="K233" s="271" t="str">
        <f>IF(AND(ISNUMBER(I233),ISNUMBER(J233)),I233*J233,"")</f>
        <v/>
      </c>
      <c r="L233" s="240" t="str">
        <f>IF(COUNT(F233,I233)=0,"",N(F233)-N(I233))</f>
        <v/>
      </c>
      <c r="M233" s="241" t="str">
        <f>IF(COUNT(H233,K233)=0,"",N(K233)-N(H233))</f>
        <v/>
      </c>
      <c r="N233" s="240" t="str">
        <f>IF(AND(ISNUMBER(F233),ISNUMBER(I233),ISNUMBER(H233),ISNUMBER(K233),F233&gt;0,I233&gt;0,H233&lt;&gt;0),ROUND(MIN(F233,I233)*(K233/I233-H233/F233),8),"")</f>
        <v/>
      </c>
      <c r="O233" s="177" t="str">
        <f>IF(ISNUMBER(N233),ROUND(N233/(MIN(F233,I233)*H233/F233)*100,2),"")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71" t="str">
        <f>IF(AND(ISNUMBER(F234),ISNUMBER(G234)),F234*G234,"")</f>
        <v/>
      </c>
      <c r="I234" s="246" t="n"/>
      <c r="J234" s="183" t="n"/>
      <c r="K234" s="271" t="str">
        <f>IF(AND(ISNUMBER(I234),ISNUMBER(J234)),I234*J234,"")</f>
        <v/>
      </c>
      <c r="L234" s="246" t="str">
        <f>IF(COUNT(F234,I234)=0,"",N(F234)-N(I234))</f>
        <v/>
      </c>
      <c r="M234" s="247" t="str">
        <f>IF(COUNT(H234,K234)=0,"",N(K234)-N(H234))</f>
        <v/>
      </c>
      <c r="N234" s="246" t="str">
        <f>IF(AND(ISNUMBER(F234),ISNUMBER(I234),ISNUMBER(H234),ISNUMBER(K234),F234&gt;0,I234&gt;0,H234&lt;&gt;0),ROUND(MIN(F234,I234)*(K234/I234-H234/F234),8),"")</f>
        <v/>
      </c>
      <c r="O234" s="183" t="str">
        <f>IF(ISNUMBER(N234),ROUND(N234/(MIN(F234,I234)*H234/F234)*100,2),"")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71" t="str">
        <f>IF(AND(ISNUMBER(F235),ISNUMBER(G235)),F235*G235,"")</f>
        <v/>
      </c>
      <c r="I235" s="240" t="n"/>
      <c r="J235" s="177" t="n"/>
      <c r="K235" s="271" t="str">
        <f>IF(AND(ISNUMBER(I235),ISNUMBER(J235)),I235*J235,"")</f>
        <v/>
      </c>
      <c r="L235" s="240" t="str">
        <f>IF(COUNT(F235,I235)=0,"",N(F235)-N(I235))</f>
        <v/>
      </c>
      <c r="M235" s="241" t="str">
        <f>IF(COUNT(H235,K235)=0,"",N(K235)-N(H235))</f>
        <v/>
      </c>
      <c r="N235" s="240" t="str">
        <f>IF(AND(ISNUMBER(F235),ISNUMBER(I235),ISNUMBER(H235),ISNUMBER(K235),F235&gt;0,I235&gt;0,H235&lt;&gt;0),ROUND(MIN(F235,I235)*(K235/I235-H235/F235),8),"")</f>
        <v/>
      </c>
      <c r="O235" s="177" t="str">
        <f>IF(ISNUMBER(N235),ROUND(N235/(MIN(F235,I235)*H235/F235)*100,2),"")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71" t="str">
        <f>IF(AND(ISNUMBER(F236),ISNUMBER(G236)),F236*G236,"")</f>
        <v/>
      </c>
      <c r="I236" s="246" t="n"/>
      <c r="J236" s="183" t="n"/>
      <c r="K236" s="271" t="str">
        <f>IF(AND(ISNUMBER(I236),ISNUMBER(J236)),I236*J236,"")</f>
        <v/>
      </c>
      <c r="L236" s="246" t="str">
        <f>IF(COUNT(F236,I236)=0,"",N(F236)-N(I236))</f>
        <v/>
      </c>
      <c r="M236" s="247" t="str">
        <f>IF(COUNT(H236,K236)=0,"",N(K236)-N(H236))</f>
        <v/>
      </c>
      <c r="N236" s="246" t="str">
        <f>IF(AND(ISNUMBER(F236),ISNUMBER(I236),ISNUMBER(H236),ISNUMBER(K236),F236&gt;0,I236&gt;0,H236&lt;&gt;0),ROUND(MIN(F236,I236)*(K236/I236-H236/F236),8),"")</f>
        <v/>
      </c>
      <c r="O236" s="183" t="str">
        <f>IF(ISNUMBER(N236),ROUND(N236/(MIN(F236,I236)*H236/F236)*100,2),"")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71" t="str">
        <f>IF(AND(ISNUMBER(F237),ISNUMBER(G237)),F237*G237,"")</f>
        <v/>
      </c>
      <c r="I237" s="240" t="n"/>
      <c r="J237" s="177" t="n"/>
      <c r="K237" s="271" t="str">
        <f>IF(AND(ISNUMBER(I237),ISNUMBER(J237)),I237*J237,"")</f>
        <v/>
      </c>
      <c r="L237" s="240" t="str">
        <f>IF(COUNT(F237,I237)=0,"",N(F237)-N(I237))</f>
        <v/>
      </c>
      <c r="M237" s="241" t="str">
        <f>IF(COUNT(H237,K237)=0,"",N(K237)-N(H237))</f>
        <v/>
      </c>
      <c r="N237" s="240" t="str">
        <f>IF(AND(ISNUMBER(F237),ISNUMBER(I237),ISNUMBER(H237),ISNUMBER(K237),F237&gt;0,I237&gt;0,H237&lt;&gt;0),ROUND(MIN(F237,I237)*(K237/I237-H237/F237),8),"")</f>
        <v/>
      </c>
      <c r="O237" s="177" t="str">
        <f>IF(ISNUMBER(N237),ROUND(N237/(MIN(F237,I237)*H237/F237)*100,2),"")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71" t="str">
        <f>IF(AND(ISNUMBER(F238),ISNUMBER(G238)),F238*G238,"")</f>
        <v/>
      </c>
      <c r="I238" s="246" t="n"/>
      <c r="J238" s="183" t="n"/>
      <c r="K238" s="271" t="str">
        <f>IF(AND(ISNUMBER(I238),ISNUMBER(J238)),I238*J238,"")</f>
        <v/>
      </c>
      <c r="L238" s="246" t="str">
        <f>IF(COUNT(F238,I238)=0,"",N(F238)-N(I238))</f>
        <v/>
      </c>
      <c r="M238" s="247" t="str">
        <f>IF(COUNT(H238,K238)=0,"",N(K238)-N(H238))</f>
        <v/>
      </c>
      <c r="N238" s="246" t="str">
        <f>IF(AND(ISNUMBER(F238),ISNUMBER(I238),ISNUMBER(H238),ISNUMBER(K238),F238&gt;0,I238&gt;0,H238&lt;&gt;0),ROUND(MIN(F238,I238)*(K238/I238-H238/F238),8),"")</f>
        <v/>
      </c>
      <c r="O238" s="183" t="str">
        <f>IF(ISNUMBER(N238),ROUND(N238/(MIN(F238,I238)*H238/F238)*100,2),"")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71" t="str">
        <f>IF(AND(ISNUMBER(F239),ISNUMBER(G239)),F239*G239,"")</f>
        <v/>
      </c>
      <c r="I239" s="240" t="n"/>
      <c r="J239" s="177" t="n"/>
      <c r="K239" s="271" t="str">
        <f>IF(AND(ISNUMBER(I239),ISNUMBER(J239)),I239*J239,"")</f>
        <v/>
      </c>
      <c r="L239" s="240" t="str">
        <f>IF(COUNT(F239,I239)=0,"",N(F239)-N(I239))</f>
        <v/>
      </c>
      <c r="M239" s="241" t="str">
        <f>IF(COUNT(H239,K239)=0,"",N(K239)-N(H239))</f>
        <v/>
      </c>
      <c r="N239" s="240" t="str">
        <f>IF(AND(ISNUMBER(F239),ISNUMBER(I239),ISNUMBER(H239),ISNUMBER(K239),F239&gt;0,I239&gt;0,H239&lt;&gt;0),ROUND(MIN(F239,I239)*(K239/I239-H239/F239),8),"")</f>
        <v/>
      </c>
      <c r="O239" s="177" t="str">
        <f>IF(ISNUMBER(N239),ROUND(N239/(MIN(F239,I239)*H239/F239)*100,2),"")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71" t="str">
        <f>IF(AND(ISNUMBER(F240),ISNUMBER(G240)),F240*G240,"")</f>
        <v/>
      </c>
      <c r="I240" s="246" t="n"/>
      <c r="J240" s="183" t="n"/>
      <c r="K240" s="271" t="str">
        <f>IF(AND(ISNUMBER(I240),ISNUMBER(J240)),I240*J240,"")</f>
        <v/>
      </c>
      <c r="L240" s="246" t="str">
        <f>IF(COUNT(F240,I240)=0,"",N(F240)-N(I240))</f>
        <v/>
      </c>
      <c r="M240" s="247" t="str">
        <f>IF(COUNT(H240,K240)=0,"",N(K240)-N(H240))</f>
        <v/>
      </c>
      <c r="N240" s="246" t="str">
        <f>IF(AND(ISNUMBER(F240),ISNUMBER(I240),ISNUMBER(H240),ISNUMBER(K240),F240&gt;0,I240&gt;0,H240&lt;&gt;0),ROUND(MIN(F240,I240)*(K240/I240-H240/F240),8),"")</f>
        <v/>
      </c>
      <c r="O240" s="183" t="str">
        <f>IF(ISNUMBER(N240),ROUND(N240/(MIN(F240,I240)*H240/F240)*100,2),"")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71" t="str">
        <f>IF(AND(ISNUMBER(F241),ISNUMBER(G241)),F241*G241,"")</f>
        <v/>
      </c>
      <c r="I241" s="240" t="n"/>
      <c r="J241" s="177" t="n"/>
      <c r="K241" s="271" t="str">
        <f>IF(AND(ISNUMBER(I241),ISNUMBER(J241)),I241*J241,"")</f>
        <v/>
      </c>
      <c r="L241" s="240" t="str">
        <f>IF(COUNT(F241,I241)=0,"",N(F241)-N(I241))</f>
        <v/>
      </c>
      <c r="M241" s="241" t="str">
        <f>IF(COUNT(H241,K241)=0,"",N(K241)-N(H241))</f>
        <v/>
      </c>
      <c r="N241" s="240" t="str">
        <f>IF(AND(ISNUMBER(F241),ISNUMBER(I241),ISNUMBER(H241),ISNUMBER(K241),F241&gt;0,I241&gt;0,H241&lt;&gt;0),ROUND(MIN(F241,I241)*(K241/I241-H241/F241),8),"")</f>
        <v/>
      </c>
      <c r="O241" s="177" t="str">
        <f>IF(ISNUMBER(N241),ROUND(N241/(MIN(F241,I241)*H241/F241)*100,2),"")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71" t="str">
        <f>IF(AND(ISNUMBER(F242),ISNUMBER(G242)),F242*G242,"")</f>
        <v/>
      </c>
      <c r="I242" s="246" t="n"/>
      <c r="J242" s="183" t="n"/>
      <c r="K242" s="271" t="str">
        <f>IF(AND(ISNUMBER(I242),ISNUMBER(J242)),I242*J242,"")</f>
        <v/>
      </c>
      <c r="L242" s="246" t="str">
        <f>IF(COUNT(F242,I242)=0,"",N(F242)-N(I242))</f>
        <v/>
      </c>
      <c r="M242" s="247" t="str">
        <f>IF(COUNT(H242,K242)=0,"",N(K242)-N(H242))</f>
        <v/>
      </c>
      <c r="N242" s="246" t="str">
        <f>IF(AND(ISNUMBER(F242),ISNUMBER(I242),ISNUMBER(H242),ISNUMBER(K242),F242&gt;0,I242&gt;0,H242&lt;&gt;0),ROUND(MIN(F242,I242)*(K242/I242-H242/F242),8),"")</f>
        <v/>
      </c>
      <c r="O242" s="183" t="str">
        <f>IF(ISNUMBER(N242),ROUND(N242/(MIN(F242,I242)*H242/F242)*100,2),"")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71" t="str">
        <f>IF(AND(ISNUMBER(F243),ISNUMBER(G243)),F243*G243,"")</f>
        <v/>
      </c>
      <c r="I243" s="240" t="n"/>
      <c r="J243" s="177" t="n"/>
      <c r="K243" s="271" t="str">
        <f>IF(AND(ISNUMBER(I243),ISNUMBER(J243)),I243*J243,"")</f>
        <v/>
      </c>
      <c r="L243" s="240" t="str">
        <f>IF(COUNT(F243,I243)=0,"",N(F243)-N(I243))</f>
        <v/>
      </c>
      <c r="M243" s="241" t="str">
        <f>IF(COUNT(H243,K243)=0,"",N(K243)-N(H243))</f>
        <v/>
      </c>
      <c r="N243" s="240" t="str">
        <f>IF(AND(ISNUMBER(F243),ISNUMBER(I243),ISNUMBER(H243),ISNUMBER(K243),F243&gt;0,I243&gt;0,H243&lt;&gt;0),ROUND(MIN(F243,I243)*(K243/I243-H243/F243),8),"")</f>
        <v/>
      </c>
      <c r="O243" s="177" t="str">
        <f>IF(ISNUMBER(N243),ROUND(N243/(MIN(F243,I243)*H243/F243)*100,2),"")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71" t="str">
        <f>IF(AND(ISNUMBER(F244),ISNUMBER(G244)),F244*G244,"")</f>
        <v/>
      </c>
      <c r="I244" s="246" t="n"/>
      <c r="J244" s="183" t="n"/>
      <c r="K244" s="271" t="str">
        <f>IF(AND(ISNUMBER(I244),ISNUMBER(J244)),I244*J244,"")</f>
        <v/>
      </c>
      <c r="L244" s="246" t="str">
        <f>IF(COUNT(F244,I244)=0,"",N(F244)-N(I244))</f>
        <v/>
      </c>
      <c r="M244" s="247" t="str">
        <f>IF(COUNT(H244,K244)=0,"",N(K244)-N(H244))</f>
        <v/>
      </c>
      <c r="N244" s="246" t="str">
        <f>IF(AND(ISNUMBER(F244),ISNUMBER(I244),ISNUMBER(H244),ISNUMBER(K244),F244&gt;0,I244&gt;0,H244&lt;&gt;0),ROUND(MIN(F244,I244)*(K244/I244-H244/F244),8),"")</f>
        <v/>
      </c>
      <c r="O244" s="183" t="str">
        <f>IF(ISNUMBER(N244),ROUND(N244/(MIN(F244,I244)*H244/F244)*100,2),"")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71" t="str">
        <f>IF(AND(ISNUMBER(F245),ISNUMBER(G245)),F245*G245,"")</f>
        <v/>
      </c>
      <c r="I245" s="240" t="n"/>
      <c r="J245" s="177" t="n"/>
      <c r="K245" s="271" t="str">
        <f>IF(AND(ISNUMBER(I245),ISNUMBER(J245)),I245*J245,"")</f>
        <v/>
      </c>
      <c r="L245" s="240" t="str">
        <f>IF(COUNT(F245,I245)=0,"",N(F245)-N(I245))</f>
        <v/>
      </c>
      <c r="M245" s="241" t="str">
        <f>IF(COUNT(H245,K245)=0,"",N(K245)-N(H245))</f>
        <v/>
      </c>
      <c r="N245" s="240" t="str">
        <f>IF(AND(ISNUMBER(F245),ISNUMBER(I245),ISNUMBER(H245),ISNUMBER(K245),F245&gt;0,I245&gt;0,H245&lt;&gt;0),ROUND(MIN(F245,I245)*(K245/I245-H245/F245),8),"")</f>
        <v/>
      </c>
      <c r="O245" s="177" t="str">
        <f>IF(ISNUMBER(N245),ROUND(N245/(MIN(F245,I245)*H245/F245)*100,2),"")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71" t="str">
        <f>IF(AND(ISNUMBER(F246),ISNUMBER(G246)),F246*G246,"")</f>
        <v/>
      </c>
      <c r="I246" s="246" t="n"/>
      <c r="J246" s="183" t="n"/>
      <c r="K246" s="271" t="str">
        <f>IF(AND(ISNUMBER(I246),ISNUMBER(J246)),I246*J246,"")</f>
        <v/>
      </c>
      <c r="L246" s="246" t="str">
        <f>IF(COUNT(F246,I246)=0,"",N(F246)-N(I246))</f>
        <v/>
      </c>
      <c r="M246" s="247" t="str">
        <f>IF(COUNT(H246,K246)=0,"",N(K246)-N(H246))</f>
        <v/>
      </c>
      <c r="N246" s="246" t="str">
        <f>IF(AND(ISNUMBER(F246),ISNUMBER(I246),ISNUMBER(H246),ISNUMBER(K246),F246&gt;0,I246&gt;0,H246&lt;&gt;0),ROUND(MIN(F246,I246)*(K246/I246-H246/F246),8),"")</f>
        <v/>
      </c>
      <c r="O246" s="183" t="str">
        <f>IF(ISNUMBER(N246),ROUND(N246/(MIN(F246,I246)*H246/F246)*100,2),"")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71" t="str">
        <f>IF(AND(ISNUMBER(F247),ISNUMBER(G247)),F247*G247,"")</f>
        <v/>
      </c>
      <c r="I247" s="240" t="n"/>
      <c r="J247" s="177" t="n"/>
      <c r="K247" s="271" t="str">
        <f>IF(AND(ISNUMBER(I247),ISNUMBER(J247)),I247*J247,"")</f>
        <v/>
      </c>
      <c r="L247" s="240" t="str">
        <f>IF(COUNT(F247,I247)=0,"",N(F247)-N(I247))</f>
        <v/>
      </c>
      <c r="M247" s="241" t="str">
        <f>IF(COUNT(H247,K247)=0,"",N(K247)-N(H247))</f>
        <v/>
      </c>
      <c r="N247" s="240" t="str">
        <f>IF(AND(ISNUMBER(F247),ISNUMBER(I247),ISNUMBER(H247),ISNUMBER(K247),F247&gt;0,I247&gt;0,H247&lt;&gt;0),ROUND(MIN(F247,I247)*(K247/I247-H247/F247),8),"")</f>
        <v/>
      </c>
      <c r="O247" s="177" t="str">
        <f>IF(ISNUMBER(N247),ROUND(N247/(MIN(F247,I247)*H247/F247)*100,2),"")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71" t="str">
        <f>IF(AND(ISNUMBER(F248),ISNUMBER(G248)),F248*G248,"")</f>
        <v/>
      </c>
      <c r="I248" s="246" t="n"/>
      <c r="J248" s="183" t="n"/>
      <c r="K248" s="271" t="str">
        <f>IF(AND(ISNUMBER(I248),ISNUMBER(J248)),I248*J248,"")</f>
        <v/>
      </c>
      <c r="L248" s="246" t="str">
        <f>IF(COUNT(F248,I248)=0,"",N(F248)-N(I248))</f>
        <v/>
      </c>
      <c r="M248" s="247" t="str">
        <f>IF(COUNT(H248,K248)=0,"",N(K248)-N(H248))</f>
        <v/>
      </c>
      <c r="N248" s="246" t="str">
        <f>IF(AND(ISNUMBER(F248),ISNUMBER(I248),ISNUMBER(H248),ISNUMBER(K248),F248&gt;0,I248&gt;0,H248&lt;&gt;0),ROUND(MIN(F248,I248)*(K248/I248-H248/F248),8),"")</f>
        <v/>
      </c>
      <c r="O248" s="183" t="str">
        <f>IF(ISNUMBER(N248),ROUND(N248/(MIN(F248,I248)*H248/F248)*100,2),"")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71" t="str">
        <f>IF(AND(ISNUMBER(F249),ISNUMBER(G249)),F249*G249,"")</f>
        <v/>
      </c>
      <c r="I249" s="240" t="n"/>
      <c r="J249" s="177" t="n"/>
      <c r="K249" s="271" t="str">
        <f>IF(AND(ISNUMBER(I249),ISNUMBER(J249)),I249*J249,"")</f>
        <v/>
      </c>
      <c r="L249" s="240" t="str">
        <f>IF(COUNT(F249,I249)=0,"",N(F249)-N(I249))</f>
        <v/>
      </c>
      <c r="M249" s="241" t="str">
        <f>IF(COUNT(H249,K249)=0,"",N(K249)-N(H249))</f>
        <v/>
      </c>
      <c r="N249" s="240" t="str">
        <f>IF(AND(ISNUMBER(F249),ISNUMBER(I249),ISNUMBER(H249),ISNUMBER(K249),F249&gt;0,I249&gt;0,H249&lt;&gt;0),ROUND(MIN(F249,I249)*(K249/I249-H249/F249),8),"")</f>
        <v/>
      </c>
      <c r="O249" s="177" t="str">
        <f>IF(ISNUMBER(N249),ROUND(N249/(MIN(F249,I249)*H249/F249)*100,2),"")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71" t="str">
        <f>IF(AND(ISNUMBER(F250),ISNUMBER(G250)),F250*G250,"")</f>
        <v/>
      </c>
      <c r="I250" s="246" t="n"/>
      <c r="J250" s="183" t="n"/>
      <c r="K250" s="271" t="str">
        <f>IF(AND(ISNUMBER(I250),ISNUMBER(J250)),I250*J250,"")</f>
        <v/>
      </c>
      <c r="L250" s="246" t="str">
        <f>IF(COUNT(F250,I250)=0,"",N(F250)-N(I250))</f>
        <v/>
      </c>
      <c r="M250" s="247" t="str">
        <f>IF(COUNT(H250,K250)=0,"",N(K250)-N(H250))</f>
        <v/>
      </c>
      <c r="N250" s="246" t="str">
        <f>IF(AND(ISNUMBER(F250),ISNUMBER(I250),ISNUMBER(H250),ISNUMBER(K250),F250&gt;0,I250&gt;0,H250&lt;&gt;0),ROUND(MIN(F250,I250)*(K250/I250-H250/F250),8),"")</f>
        <v/>
      </c>
      <c r="O250" s="183" t="str">
        <f>IF(ISNUMBER(N250),ROUND(N250/(MIN(F250,I250)*H250/F250)*100,2),"")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71" t="str">
        <f>IF(AND(ISNUMBER(F251),ISNUMBER(G251)),F251*G251,"")</f>
        <v/>
      </c>
      <c r="I251" s="240" t="n"/>
      <c r="J251" s="177" t="n"/>
      <c r="K251" s="271" t="str">
        <f>IF(AND(ISNUMBER(I251),ISNUMBER(J251)),I251*J251,"")</f>
        <v/>
      </c>
      <c r="L251" s="240" t="str">
        <f>IF(COUNT(F251,I251)=0,"",N(F251)-N(I251))</f>
        <v/>
      </c>
      <c r="M251" s="241" t="str">
        <f>IF(COUNT(H251,K251)=0,"",N(K251)-N(H251))</f>
        <v/>
      </c>
      <c r="N251" s="240" t="str">
        <f>IF(AND(ISNUMBER(F251),ISNUMBER(I251),ISNUMBER(H251),ISNUMBER(K251),F251&gt;0,I251&gt;0,H251&lt;&gt;0),ROUND(MIN(F251,I251)*(K251/I251-H251/F251),8),"")</f>
        <v/>
      </c>
      <c r="O251" s="177" t="str">
        <f>IF(ISNUMBER(N251),ROUND(N251/(MIN(F251,I251)*H251/F251)*100,2),"")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71" t="str">
        <f>IF(AND(ISNUMBER(F252),ISNUMBER(G252)),F252*G252,"")</f>
        <v/>
      </c>
      <c r="I252" s="246" t="n"/>
      <c r="J252" s="183" t="n"/>
      <c r="K252" s="271" t="str">
        <f>IF(AND(ISNUMBER(I252),ISNUMBER(J252)),I252*J252,"")</f>
        <v/>
      </c>
      <c r="L252" s="246" t="str">
        <f>IF(COUNT(F252,I252)=0,"",N(F252)-N(I252))</f>
        <v/>
      </c>
      <c r="M252" s="247" t="str">
        <f>IF(COUNT(H252,K252)=0,"",N(K252)-N(H252))</f>
        <v/>
      </c>
      <c r="N252" s="246" t="str">
        <f>IF(AND(ISNUMBER(F252),ISNUMBER(I252),ISNUMBER(H252),ISNUMBER(K252),F252&gt;0,I252&gt;0,H252&lt;&gt;0),ROUND(MIN(F252,I252)*(K252/I252-H252/F252),8),"")</f>
        <v/>
      </c>
      <c r="O252" s="183" t="str">
        <f>IF(ISNUMBER(N252),ROUND(N252/(MIN(F252,I252)*H252/F252)*100,2),"")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71" t="str">
        <f>IF(AND(ISNUMBER(F253),ISNUMBER(G253)),F253*G253,"")</f>
        <v/>
      </c>
      <c r="I253" s="240" t="n"/>
      <c r="J253" s="177" t="n"/>
      <c r="K253" s="271" t="str">
        <f>IF(AND(ISNUMBER(I253),ISNUMBER(J253)),I253*J253,"")</f>
        <v/>
      </c>
      <c r="L253" s="240" t="str">
        <f>IF(COUNT(F253,I253)=0,"",N(F253)-N(I253))</f>
        <v/>
      </c>
      <c r="M253" s="241" t="str">
        <f>IF(COUNT(H253,K253)=0,"",N(K253)-N(H253))</f>
        <v/>
      </c>
      <c r="N253" s="240" t="str">
        <f>IF(AND(ISNUMBER(F253),ISNUMBER(I253),ISNUMBER(H253),ISNUMBER(K253),F253&gt;0,I253&gt;0,H253&lt;&gt;0),ROUND(MIN(F253,I253)*(K253/I253-H253/F253),8),"")</f>
        <v/>
      </c>
      <c r="O253" s="177" t="str">
        <f>IF(ISNUMBER(N253),ROUND(N253/(MIN(F253,I253)*H253/F253)*100,2),"")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71" t="str">
        <f>IF(AND(ISNUMBER(F254),ISNUMBER(G254)),F254*G254,"")</f>
        <v/>
      </c>
      <c r="I254" s="246" t="n"/>
      <c r="J254" s="183" t="n"/>
      <c r="K254" s="271" t="str">
        <f>IF(AND(ISNUMBER(I254),ISNUMBER(J254)),I254*J254,"")</f>
        <v/>
      </c>
      <c r="L254" s="246" t="str">
        <f>IF(COUNT(F254,I254)=0,"",N(F254)-N(I254))</f>
        <v/>
      </c>
      <c r="M254" s="247" t="str">
        <f>IF(COUNT(H254,K254)=0,"",N(K254)-N(H254))</f>
        <v/>
      </c>
      <c r="N254" s="246" t="str">
        <f>IF(AND(ISNUMBER(F254),ISNUMBER(I254),ISNUMBER(H254),ISNUMBER(K254),F254&gt;0,I254&gt;0,H254&lt;&gt;0),ROUND(MIN(F254,I254)*(K254/I254-H254/F254),8),"")</f>
        <v/>
      </c>
      <c r="O254" s="183" t="str">
        <f>IF(ISNUMBER(N254),ROUND(N254/(MIN(F254,I254)*H254/F254)*100,2),"")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71" t="str">
        <f>IF(AND(ISNUMBER(F255),ISNUMBER(G255)),F255*G255,"")</f>
        <v/>
      </c>
      <c r="I255" s="240" t="n"/>
      <c r="J255" s="177" t="n"/>
      <c r="K255" s="271" t="str">
        <f>IF(AND(ISNUMBER(I255),ISNUMBER(J255)),I255*J255,"")</f>
        <v/>
      </c>
      <c r="L255" s="240" t="str">
        <f>IF(COUNT(F255,I255)=0,"",N(F255)-N(I255))</f>
        <v/>
      </c>
      <c r="M255" s="241" t="str">
        <f>IF(COUNT(H255,K255)=0,"",N(K255)-N(H255))</f>
        <v/>
      </c>
      <c r="N255" s="240" t="str">
        <f>IF(AND(ISNUMBER(F255),ISNUMBER(I255),ISNUMBER(H255),ISNUMBER(K255),F255&gt;0,I255&gt;0,H255&lt;&gt;0),ROUND(MIN(F255,I255)*(K255/I255-H255/F255),8),"")</f>
        <v/>
      </c>
      <c r="O255" s="177" t="str">
        <f>IF(ISNUMBER(N255),ROUND(N255/(MIN(F255,I255)*H255/F255)*100,2),"")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71" t="str">
        <f>IF(AND(ISNUMBER(F256),ISNUMBER(G256)),F256*G256,"")</f>
        <v/>
      </c>
      <c r="I256" s="246" t="n"/>
      <c r="J256" s="183" t="n"/>
      <c r="K256" s="271" t="str">
        <f>IF(AND(ISNUMBER(I256),ISNUMBER(J256)),I256*J256,"")</f>
        <v/>
      </c>
      <c r="L256" s="246" t="str">
        <f>IF(COUNT(F256,I256)=0,"",N(F256)-N(I256))</f>
        <v/>
      </c>
      <c r="M256" s="247" t="str">
        <f>IF(COUNT(H256,K256)=0,"",N(K256)-N(H256))</f>
        <v/>
      </c>
      <c r="N256" s="246" t="str">
        <f>IF(AND(ISNUMBER(F256),ISNUMBER(I256),ISNUMBER(H256),ISNUMBER(K256),F256&gt;0,I256&gt;0,H256&lt;&gt;0),ROUND(MIN(F256,I256)*(K256/I256-H256/F256),8),"")</f>
        <v/>
      </c>
      <c r="O256" s="183" t="str">
        <f>IF(ISNUMBER(N256),ROUND(N256/(MIN(F256,I256)*H256/F256)*100,2),"")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71" t="str">
        <f>IF(AND(ISNUMBER(F257),ISNUMBER(G257)),F257*G257,"")</f>
        <v/>
      </c>
      <c r="I257" s="240" t="n"/>
      <c r="J257" s="177" t="n"/>
      <c r="K257" s="271" t="str">
        <f>IF(AND(ISNUMBER(I257),ISNUMBER(J257)),I257*J257,"")</f>
        <v/>
      </c>
      <c r="L257" s="240" t="str">
        <f>IF(COUNT(F257,I257)=0,"",N(F257)-N(I257))</f>
        <v/>
      </c>
      <c r="M257" s="241" t="str">
        <f>IF(COUNT(H257,K257)=0,"",N(K257)-N(H257))</f>
        <v/>
      </c>
      <c r="N257" s="240" t="str">
        <f>IF(AND(ISNUMBER(F257),ISNUMBER(I257),ISNUMBER(H257),ISNUMBER(K257),F257&gt;0,I257&gt;0,H257&lt;&gt;0),ROUND(MIN(F257,I257)*(K257/I257-H257/F257),8),"")</f>
        <v/>
      </c>
      <c r="O257" s="177" t="str">
        <f>IF(ISNUMBER(N257),ROUND(N257/(MIN(F257,I257)*H257/F257)*100,2),"")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71" t="str">
        <f>IF(AND(ISNUMBER(F258),ISNUMBER(G258)),F258*G258,"")</f>
        <v/>
      </c>
      <c r="I258" s="246" t="n"/>
      <c r="J258" s="183" t="n"/>
      <c r="K258" s="271" t="str">
        <f>IF(AND(ISNUMBER(I258),ISNUMBER(J258)),I258*J258,"")</f>
        <v/>
      </c>
      <c r="L258" s="246" t="str">
        <f>IF(COUNT(F258,I258)=0,"",N(F258)-N(I258))</f>
        <v/>
      </c>
      <c r="M258" s="247" t="str">
        <f>IF(COUNT(H258,K258)=0,"",N(K258)-N(H258))</f>
        <v/>
      </c>
      <c r="N258" s="246" t="str">
        <f>IF(AND(ISNUMBER(F258),ISNUMBER(I258),ISNUMBER(H258),ISNUMBER(K258),F258&gt;0,I258&gt;0,H258&lt;&gt;0),ROUND(MIN(F258,I258)*(K258/I258-H258/F258),8),"")</f>
        <v/>
      </c>
      <c r="O258" s="183" t="str">
        <f>IF(ISNUMBER(N258),ROUND(N258/(MIN(F258,I258)*H258/F258)*100,2),"")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71" t="str">
        <f>IF(AND(ISNUMBER(F259),ISNUMBER(G259)),F259*G259,"")</f>
        <v/>
      </c>
      <c r="I259" s="240" t="n"/>
      <c r="J259" s="177" t="n"/>
      <c r="K259" s="271" t="str">
        <f>IF(AND(ISNUMBER(I259),ISNUMBER(J259)),I259*J259,"")</f>
        <v/>
      </c>
      <c r="L259" s="240" t="str">
        <f>IF(COUNT(F259,I259)=0,"",N(F259)-N(I259))</f>
        <v/>
      </c>
      <c r="M259" s="241" t="str">
        <f>IF(COUNT(H259,K259)=0,"",N(K259)-N(H259))</f>
        <v/>
      </c>
      <c r="N259" s="240" t="str">
        <f>IF(AND(ISNUMBER(F259),ISNUMBER(I259),ISNUMBER(H259),ISNUMBER(K259),F259&gt;0,I259&gt;0,H259&lt;&gt;0),ROUND(MIN(F259,I259)*(K259/I259-H259/F259),8),"")</f>
        <v/>
      </c>
      <c r="O259" s="177" t="str">
        <f>IF(ISNUMBER(N259),ROUND(N259/(MIN(F259,I259)*H259/F259)*100,2),"")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71" t="str">
        <f>IF(AND(ISNUMBER(F260),ISNUMBER(G260)),F260*G260,"")</f>
        <v/>
      </c>
      <c r="I260" s="246" t="n"/>
      <c r="J260" s="183" t="n"/>
      <c r="K260" s="271" t="str">
        <f>IF(AND(ISNUMBER(I260),ISNUMBER(J260)),I260*J260,"")</f>
        <v/>
      </c>
      <c r="L260" s="246" t="str">
        <f>IF(COUNT(F260,I260)=0,"",N(F260)-N(I260))</f>
        <v/>
      </c>
      <c r="M260" s="247" t="str">
        <f>IF(COUNT(H260,K260)=0,"",N(K260)-N(H260))</f>
        <v/>
      </c>
      <c r="N260" s="246" t="str">
        <f>IF(AND(ISNUMBER(F260),ISNUMBER(I260),ISNUMBER(H260),ISNUMBER(K260),F260&gt;0,I260&gt;0,H260&lt;&gt;0),ROUND(MIN(F260,I260)*(K260/I260-H260/F260),8),"")</f>
        <v/>
      </c>
      <c r="O260" s="183" t="str">
        <f>IF(ISNUMBER(N260),ROUND(N260/(MIN(F260,I260)*H260/F260)*100,2),"")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71" t="str">
        <f>IF(AND(ISNUMBER(F261),ISNUMBER(G261)),F261*G261,"")</f>
        <v/>
      </c>
      <c r="I261" s="240" t="n"/>
      <c r="J261" s="177" t="n"/>
      <c r="K261" s="271" t="str">
        <f>IF(AND(ISNUMBER(I261),ISNUMBER(J261)),I261*J261,"")</f>
        <v/>
      </c>
      <c r="L261" s="240" t="str">
        <f>IF(COUNT(F261,I261)=0,"",N(F261)-N(I261))</f>
        <v/>
      </c>
      <c r="M261" s="241" t="str">
        <f>IF(COUNT(H261,K261)=0,"",N(K261)-N(H261))</f>
        <v/>
      </c>
      <c r="N261" s="240" t="str">
        <f>IF(AND(ISNUMBER(F261),ISNUMBER(I261),ISNUMBER(H261),ISNUMBER(K261),F261&gt;0,I261&gt;0,H261&lt;&gt;0),ROUND(MIN(F261,I261)*(K261/I261-H261/F261),8),"")</f>
        <v/>
      </c>
      <c r="O261" s="177" t="str">
        <f>IF(ISNUMBER(N261),ROUND(N261/(MIN(F261,I261)*H261/F261)*100,2),"")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71" t="str">
        <f>IF(AND(ISNUMBER(F262),ISNUMBER(G262)),F262*G262,"")</f>
        <v/>
      </c>
      <c r="I262" s="246" t="n"/>
      <c r="J262" s="183" t="n"/>
      <c r="K262" s="271" t="str">
        <f>IF(AND(ISNUMBER(I262),ISNUMBER(J262)),I262*J262,"")</f>
        <v/>
      </c>
      <c r="L262" s="246" t="str">
        <f>IF(COUNT(F262,I262)=0,"",N(F262)-N(I262))</f>
        <v/>
      </c>
      <c r="M262" s="247" t="str">
        <f>IF(COUNT(H262,K262)=0,"",N(K262)-N(H262))</f>
        <v/>
      </c>
      <c r="N262" s="246" t="str">
        <f>IF(AND(ISNUMBER(F262),ISNUMBER(I262),ISNUMBER(H262),ISNUMBER(K262),F262&gt;0,I262&gt;0,H262&lt;&gt;0),ROUND(MIN(F262,I262)*(K262/I262-H262/F262),8),"")</f>
        <v/>
      </c>
      <c r="O262" s="183" t="str">
        <f>IF(ISNUMBER(N262),ROUND(N262/(MIN(F262,I262)*H262/F262)*100,2),"")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71" t="str">
        <f>IF(AND(ISNUMBER(F263),ISNUMBER(G263)),F263*G263,"")</f>
        <v/>
      </c>
      <c r="I263" s="240" t="n"/>
      <c r="J263" s="177" t="n"/>
      <c r="K263" s="271" t="str">
        <f>IF(AND(ISNUMBER(I263),ISNUMBER(J263)),I263*J263,"")</f>
        <v/>
      </c>
      <c r="L263" s="240" t="str">
        <f>IF(COUNT(F263,I263)=0,"",N(F263)-N(I263))</f>
        <v/>
      </c>
      <c r="M263" s="241" t="str">
        <f>IF(COUNT(H263,K263)=0,"",N(K263)-N(H263))</f>
        <v/>
      </c>
      <c r="N263" s="240" t="str">
        <f>IF(AND(ISNUMBER(F263),ISNUMBER(I263),ISNUMBER(H263),ISNUMBER(K263),F263&gt;0,I263&gt;0,H263&lt;&gt;0),ROUND(MIN(F263,I263)*(K263/I263-H263/F263),8),"")</f>
        <v/>
      </c>
      <c r="O263" s="177" t="str">
        <f>IF(ISNUMBER(N263),ROUND(N263/(MIN(F263,I263)*H263/F263)*100,2),"")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71" t="str">
        <f>IF(AND(ISNUMBER(F264),ISNUMBER(G264)),F264*G264,"")</f>
        <v/>
      </c>
      <c r="I264" s="246" t="n"/>
      <c r="J264" s="183" t="n"/>
      <c r="K264" s="271" t="str">
        <f>IF(AND(ISNUMBER(I264),ISNUMBER(J264)),I264*J264,"")</f>
        <v/>
      </c>
      <c r="L264" s="246" t="str">
        <f>IF(COUNT(F264,I264)=0,"",N(F264)-N(I264))</f>
        <v/>
      </c>
      <c r="M264" s="247" t="str">
        <f>IF(COUNT(H264,K264)=0,"",N(K264)-N(H264))</f>
        <v/>
      </c>
      <c r="N264" s="246" t="str">
        <f>IF(AND(ISNUMBER(F264),ISNUMBER(I264),ISNUMBER(H264),ISNUMBER(K264),F264&gt;0,I264&gt;0,H264&lt;&gt;0),ROUND(MIN(F264,I264)*(K264/I264-H264/F264),8),"")</f>
        <v/>
      </c>
      <c r="O264" s="183" t="str">
        <f>IF(ISNUMBER(N264),ROUND(N264/(MIN(F264,I264)*H264/F264)*100,2),"")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71" t="str">
        <f>IF(AND(ISNUMBER(F265),ISNUMBER(G265)),F265*G265,"")</f>
        <v/>
      </c>
      <c r="I265" s="240" t="n"/>
      <c r="J265" s="177" t="n"/>
      <c r="K265" s="271" t="str">
        <f>IF(AND(ISNUMBER(I265),ISNUMBER(J265)),I265*J265,"")</f>
        <v/>
      </c>
      <c r="L265" s="240" t="str">
        <f>IF(COUNT(F265,I265)=0,"",N(F265)-N(I265))</f>
        <v/>
      </c>
      <c r="M265" s="241" t="str">
        <f>IF(COUNT(H265,K265)=0,"",N(K265)-N(H265))</f>
        <v/>
      </c>
      <c r="N265" s="240" t="str">
        <f>IF(AND(ISNUMBER(F265),ISNUMBER(I265),ISNUMBER(H265),ISNUMBER(K265),F265&gt;0,I265&gt;0,H265&lt;&gt;0),ROUND(MIN(F265,I265)*(K265/I265-H265/F265),8),"")</f>
        <v/>
      </c>
      <c r="O265" s="177" t="str">
        <f>IF(ISNUMBER(N265),ROUND(N265/(MIN(F265,I265)*H265/F265)*100,2),"")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71" t="str">
        <f>IF(AND(ISNUMBER(F266),ISNUMBER(G266)),F266*G266,"")</f>
        <v/>
      </c>
      <c r="I266" s="246" t="n"/>
      <c r="J266" s="183" t="n"/>
      <c r="K266" s="271" t="str">
        <f>IF(AND(ISNUMBER(I266),ISNUMBER(J266)),I266*J266,"")</f>
        <v/>
      </c>
      <c r="L266" s="246" t="str">
        <f>IF(COUNT(F266,I266)=0,"",N(F266)-N(I266))</f>
        <v/>
      </c>
      <c r="M266" s="247" t="str">
        <f>IF(COUNT(H266,K266)=0,"",N(K266)-N(H266))</f>
        <v/>
      </c>
      <c r="N266" s="246" t="str">
        <f>IF(AND(ISNUMBER(F266),ISNUMBER(I266),ISNUMBER(H266),ISNUMBER(K266),F266&gt;0,I266&gt;0,H266&lt;&gt;0),ROUND(MIN(F266,I266)*(K266/I266-H266/F266),8),"")</f>
        <v/>
      </c>
      <c r="O266" s="183" t="str">
        <f>IF(ISNUMBER(N266),ROUND(N266/(MIN(F266,I266)*H266/F266)*100,2),"")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71" t="str">
        <f>IF(AND(ISNUMBER(F267),ISNUMBER(G267)),F267*G267,"")</f>
        <v/>
      </c>
      <c r="I267" s="240" t="n"/>
      <c r="J267" s="177" t="n"/>
      <c r="K267" s="271" t="str">
        <f>IF(AND(ISNUMBER(I267),ISNUMBER(J267)),I267*J267,"")</f>
        <v/>
      </c>
      <c r="L267" s="240" t="str">
        <f>IF(COUNT(F267,I267)=0,"",N(F267)-N(I267))</f>
        <v/>
      </c>
      <c r="M267" s="241" t="str">
        <f>IF(COUNT(H267,K267)=0,"",N(K267)-N(H267))</f>
        <v/>
      </c>
      <c r="N267" s="240" t="str">
        <f>IF(AND(ISNUMBER(F267),ISNUMBER(I267),ISNUMBER(H267),ISNUMBER(K267),F267&gt;0,I267&gt;0,H267&lt;&gt;0),ROUND(MIN(F267,I267)*(K267/I267-H267/F267),8),"")</f>
        <v/>
      </c>
      <c r="O267" s="177" t="str">
        <f>IF(ISNUMBER(N267),ROUND(N267/(MIN(F267,I267)*H267/F267)*100,2),"")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71" t="str">
        <f>IF(AND(ISNUMBER(F268),ISNUMBER(G268)),F268*G268,"")</f>
        <v/>
      </c>
      <c r="I268" s="246" t="n"/>
      <c r="J268" s="183" t="n"/>
      <c r="K268" s="271" t="str">
        <f>IF(AND(ISNUMBER(I268),ISNUMBER(J268)),I268*J268,"")</f>
        <v/>
      </c>
      <c r="L268" s="246" t="str">
        <f>IF(COUNT(F268,I268)=0,"",N(F268)-N(I268))</f>
        <v/>
      </c>
      <c r="M268" s="247" t="str">
        <f>IF(COUNT(H268,K268)=0,"",N(K268)-N(H268))</f>
        <v/>
      </c>
      <c r="N268" s="246" t="str">
        <f>IF(AND(ISNUMBER(F268),ISNUMBER(I268),ISNUMBER(H268),ISNUMBER(K268),F268&gt;0,I268&gt;0,H268&lt;&gt;0),ROUND(MIN(F268,I268)*(K268/I268-H268/F268),8),"")</f>
        <v/>
      </c>
      <c r="O268" s="183" t="str">
        <f>IF(ISNUMBER(N268),ROUND(N268/(MIN(F268,I268)*H268/F268)*100,2),"")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71" t="str">
        <f>IF(AND(ISNUMBER(F269),ISNUMBER(G269)),F269*G269,"")</f>
        <v/>
      </c>
      <c r="I269" s="240" t="n"/>
      <c r="J269" s="177" t="n"/>
      <c r="K269" s="271" t="str">
        <f>IF(AND(ISNUMBER(I269),ISNUMBER(J269)),I269*J269,"")</f>
        <v/>
      </c>
      <c r="L269" s="240" t="str">
        <f>IF(COUNT(F269,I269)=0,"",N(F269)-N(I269))</f>
        <v/>
      </c>
      <c r="M269" s="241" t="str">
        <f>IF(COUNT(H269,K269)=0,"",N(K269)-N(H269))</f>
        <v/>
      </c>
      <c r="N269" s="240" t="str">
        <f>IF(AND(ISNUMBER(F269),ISNUMBER(I269),ISNUMBER(H269),ISNUMBER(K269),F269&gt;0,I269&gt;0,H269&lt;&gt;0),ROUND(MIN(F269,I269)*(K269/I269-H269/F269),8),"")</f>
        <v/>
      </c>
      <c r="O269" s="177" t="str">
        <f>IF(ISNUMBER(N269),ROUND(N269/(MIN(F269,I269)*H269/F269)*100,2),"")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71" t="str">
        <f>IF(AND(ISNUMBER(F270),ISNUMBER(G270)),F270*G270,"")</f>
        <v/>
      </c>
      <c r="I270" s="246" t="n"/>
      <c r="J270" s="183" t="n"/>
      <c r="K270" s="271" t="str">
        <f>IF(AND(ISNUMBER(I270),ISNUMBER(J270)),I270*J270,"")</f>
        <v/>
      </c>
      <c r="L270" s="246" t="str">
        <f>IF(COUNT(F270,I270)=0,"",N(F270)-N(I270))</f>
        <v/>
      </c>
      <c r="M270" s="247" t="str">
        <f>IF(COUNT(H270,K270)=0,"",N(K270)-N(H270))</f>
        <v/>
      </c>
      <c r="N270" s="246" t="str">
        <f>IF(AND(ISNUMBER(F270),ISNUMBER(I270),ISNUMBER(H270),ISNUMBER(K270),F270&gt;0,I270&gt;0,H270&lt;&gt;0),ROUND(MIN(F270,I270)*(K270/I270-H270/F270),8),"")</f>
        <v/>
      </c>
      <c r="O270" s="183" t="str">
        <f>IF(ISNUMBER(N270),ROUND(N270/(MIN(F270,I270)*H270/F270)*100,2),"")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71" t="str">
        <f>IF(AND(ISNUMBER(F271),ISNUMBER(G271)),F271*G271,"")</f>
        <v/>
      </c>
      <c r="I271" s="240" t="n"/>
      <c r="J271" s="177" t="n"/>
      <c r="K271" s="271" t="str">
        <f>IF(AND(ISNUMBER(I271),ISNUMBER(J271)),I271*J271,"")</f>
        <v/>
      </c>
      <c r="L271" s="240" t="str">
        <f>IF(COUNT(F271,I271)=0,"",N(F271)-N(I271))</f>
        <v/>
      </c>
      <c r="M271" s="241" t="str">
        <f>IF(COUNT(H271,K271)=0,"",N(K271)-N(H271))</f>
        <v/>
      </c>
      <c r="N271" s="240" t="str">
        <f>IF(AND(ISNUMBER(F271),ISNUMBER(I271),ISNUMBER(H271),ISNUMBER(K271),F271&gt;0,I271&gt;0,H271&lt;&gt;0),ROUND(MIN(F271,I271)*(K271/I271-H271/F271),8),"")</f>
        <v/>
      </c>
      <c r="O271" s="177" t="str">
        <f>IF(ISNUMBER(N271),ROUND(N271/(MIN(F271,I271)*H271/F271)*100,2),"")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71" t="str">
        <f>IF(AND(ISNUMBER(F272),ISNUMBER(G272)),F272*G272,"")</f>
        <v/>
      </c>
      <c r="I272" s="246" t="n"/>
      <c r="J272" s="183" t="n"/>
      <c r="K272" s="271" t="str">
        <f>IF(AND(ISNUMBER(I272),ISNUMBER(J272)),I272*J272,"")</f>
        <v/>
      </c>
      <c r="L272" s="246" t="str">
        <f>IF(COUNT(F272,I272)=0,"",N(F272)-N(I272))</f>
        <v/>
      </c>
      <c r="M272" s="247" t="str">
        <f>IF(COUNT(H272,K272)=0,"",N(K272)-N(H272))</f>
        <v/>
      </c>
      <c r="N272" s="246" t="str">
        <f>IF(AND(ISNUMBER(F272),ISNUMBER(I272),ISNUMBER(H272),ISNUMBER(K272),F272&gt;0,I272&gt;0,H272&lt;&gt;0),ROUND(MIN(F272,I272)*(K272/I272-H272/F272),8),"")</f>
        <v/>
      </c>
      <c r="O272" s="183" t="str">
        <f>IF(ISNUMBER(N272),ROUND(N272/(MIN(F272,I272)*H272/F272)*100,2),"")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71" t="str">
        <f>IF(AND(ISNUMBER(F273),ISNUMBER(G273)),F273*G273,"")</f>
        <v/>
      </c>
      <c r="I273" s="240" t="n"/>
      <c r="J273" s="177" t="n"/>
      <c r="K273" s="271" t="str">
        <f>IF(AND(ISNUMBER(I273),ISNUMBER(J273)),I273*J273,"")</f>
        <v/>
      </c>
      <c r="L273" s="240" t="str">
        <f>IF(COUNT(F273,I273)=0,"",N(F273)-N(I273))</f>
        <v/>
      </c>
      <c r="M273" s="241" t="str">
        <f>IF(COUNT(H273,K273)=0,"",N(K273)-N(H273))</f>
        <v/>
      </c>
      <c r="N273" s="240" t="str">
        <f>IF(AND(ISNUMBER(F273),ISNUMBER(I273),ISNUMBER(H273),ISNUMBER(K273),F273&gt;0,I273&gt;0,H273&lt;&gt;0),ROUND(MIN(F273,I273)*(K273/I273-H273/F273),8),"")</f>
        <v/>
      </c>
      <c r="O273" s="177" t="str">
        <f>IF(ISNUMBER(N273),ROUND(N273/(MIN(F273,I273)*H273/F273)*100,2),"")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71" t="str">
        <f>IF(AND(ISNUMBER(F274),ISNUMBER(G274)),F274*G274,"")</f>
        <v/>
      </c>
      <c r="I274" s="246" t="n"/>
      <c r="J274" s="183" t="n"/>
      <c r="K274" s="271" t="str">
        <f>IF(AND(ISNUMBER(I274),ISNUMBER(J274)),I274*J274,"")</f>
        <v/>
      </c>
      <c r="L274" s="246" t="str">
        <f>IF(COUNT(F274,I274)=0,"",N(F274)-N(I274))</f>
        <v/>
      </c>
      <c r="M274" s="247" t="str">
        <f>IF(COUNT(H274,K274)=0,"",N(K274)-N(H274))</f>
        <v/>
      </c>
      <c r="N274" s="246" t="str">
        <f>IF(AND(ISNUMBER(F274),ISNUMBER(I274),ISNUMBER(H274),ISNUMBER(K274),F274&gt;0,I274&gt;0,H274&lt;&gt;0),ROUND(MIN(F274,I274)*(K274/I274-H274/F274),8),"")</f>
        <v/>
      </c>
      <c r="O274" s="183" t="str">
        <f>IF(ISNUMBER(N274),ROUND(N274/(MIN(F274,I274)*H274/F274)*100,2),"")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71" t="str">
        <f>IF(AND(ISNUMBER(F275),ISNUMBER(G275)),F275*G275,"")</f>
        <v/>
      </c>
      <c r="I275" s="240" t="n"/>
      <c r="J275" s="177" t="n"/>
      <c r="K275" s="271" t="str">
        <f>IF(AND(ISNUMBER(I275),ISNUMBER(J275)),I275*J275,"")</f>
        <v/>
      </c>
      <c r="L275" s="240" t="str">
        <f>IF(COUNT(F275,I275)=0,"",N(F275)-N(I275))</f>
        <v/>
      </c>
      <c r="M275" s="241" t="str">
        <f>IF(COUNT(H275,K275)=0,"",N(K275)-N(H275))</f>
        <v/>
      </c>
      <c r="N275" s="240" t="str">
        <f>IF(AND(ISNUMBER(F275),ISNUMBER(I275),ISNUMBER(H275),ISNUMBER(K275),F275&gt;0,I275&gt;0,H275&lt;&gt;0),ROUND(MIN(F275,I275)*(K275/I275-H275/F275),8),"")</f>
        <v/>
      </c>
      <c r="O275" s="177" t="str">
        <f>IF(ISNUMBER(N275),ROUND(N275/(MIN(F275,I275)*H275/F275)*100,2),"")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71" t="str">
        <f>IF(AND(ISNUMBER(F276),ISNUMBER(G276)),F276*G276,"")</f>
        <v/>
      </c>
      <c r="I276" s="246" t="n"/>
      <c r="J276" s="183" t="n"/>
      <c r="K276" s="271" t="str">
        <f>IF(AND(ISNUMBER(I276),ISNUMBER(J276)),I276*J276,"")</f>
        <v/>
      </c>
      <c r="L276" s="246" t="str">
        <f>IF(COUNT(F276,I276)=0,"",N(F276)-N(I276))</f>
        <v/>
      </c>
      <c r="M276" s="247" t="str">
        <f>IF(COUNT(H276,K276)=0,"",N(K276)-N(H276))</f>
        <v/>
      </c>
      <c r="N276" s="246" t="str">
        <f>IF(AND(ISNUMBER(F276),ISNUMBER(I276),ISNUMBER(H276),ISNUMBER(K276),F276&gt;0,I276&gt;0,H276&lt;&gt;0),ROUND(MIN(F276,I276)*(K276/I276-H276/F276),8),"")</f>
        <v/>
      </c>
      <c r="O276" s="183" t="str">
        <f>IF(ISNUMBER(N276),ROUND(N276/(MIN(F276,I276)*H276/F276)*100,2),"")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71" t="str">
        <f>IF(AND(ISNUMBER(F277),ISNUMBER(G277)),F277*G277,"")</f>
        <v/>
      </c>
      <c r="I277" s="240" t="n"/>
      <c r="J277" s="177" t="n"/>
      <c r="K277" s="271" t="str">
        <f>IF(AND(ISNUMBER(I277),ISNUMBER(J277)),I277*J277,"")</f>
        <v/>
      </c>
      <c r="L277" s="240" t="str">
        <f>IF(COUNT(F277,I277)=0,"",N(F277)-N(I277))</f>
        <v/>
      </c>
      <c r="M277" s="241" t="str">
        <f>IF(COUNT(H277,K277)=0,"",N(K277)-N(H277))</f>
        <v/>
      </c>
      <c r="N277" s="240" t="str">
        <f>IF(AND(ISNUMBER(F277),ISNUMBER(I277),ISNUMBER(H277),ISNUMBER(K277),F277&gt;0,I277&gt;0,H277&lt;&gt;0),ROUND(MIN(F277,I277)*(K277/I277-H277/F277),8),"")</f>
        <v/>
      </c>
      <c r="O277" s="177" t="str">
        <f>IF(ISNUMBER(N277),ROUND(N277/(MIN(F277,I277)*H277/F277)*100,2),"")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71" t="str">
        <f>IF(AND(ISNUMBER(F278),ISNUMBER(G278)),F278*G278,"")</f>
        <v/>
      </c>
      <c r="I278" s="246" t="n"/>
      <c r="J278" s="183" t="n"/>
      <c r="K278" s="271" t="str">
        <f>IF(AND(ISNUMBER(I278),ISNUMBER(J278)),I278*J278,"")</f>
        <v/>
      </c>
      <c r="L278" s="246" t="str">
        <f>IF(COUNT(F278,I278)=0,"",N(F278)-N(I278))</f>
        <v/>
      </c>
      <c r="M278" s="247" t="str">
        <f>IF(COUNT(H278,K278)=0,"",N(K278)-N(H278))</f>
        <v/>
      </c>
      <c r="N278" s="246" t="str">
        <f>IF(AND(ISNUMBER(F278),ISNUMBER(I278),ISNUMBER(H278),ISNUMBER(K278),F278&gt;0,I278&gt;0,H278&lt;&gt;0),ROUND(MIN(F278,I278)*(K278/I278-H278/F278),8),"")</f>
        <v/>
      </c>
      <c r="O278" s="183" t="str">
        <f>IF(ISNUMBER(N278),ROUND(N278/(MIN(F278,I278)*H278/F278)*100,2),"")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71" t="str">
        <f>IF(AND(ISNUMBER(F279),ISNUMBER(G279)),F279*G279,"")</f>
        <v/>
      </c>
      <c r="I279" s="240" t="n"/>
      <c r="J279" s="177" t="n"/>
      <c r="K279" s="271" t="str">
        <f>IF(AND(ISNUMBER(I279),ISNUMBER(J279)),I279*J279,"")</f>
        <v/>
      </c>
      <c r="L279" s="240" t="str">
        <f>IF(COUNT(F279,I279)=0,"",N(F279)-N(I279))</f>
        <v/>
      </c>
      <c r="M279" s="241" t="str">
        <f>IF(COUNT(H279,K279)=0,"",N(K279)-N(H279))</f>
        <v/>
      </c>
      <c r="N279" s="240" t="str">
        <f>IF(AND(ISNUMBER(F279),ISNUMBER(I279),ISNUMBER(H279),ISNUMBER(K279),F279&gt;0,I279&gt;0,H279&lt;&gt;0),ROUND(MIN(F279,I279)*(K279/I279-H279/F279),8),"")</f>
        <v/>
      </c>
      <c r="O279" s="177" t="str">
        <f>IF(ISNUMBER(N279),ROUND(N279/(MIN(F279,I279)*H279/F279)*100,2),"")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71" t="str">
        <f>IF(AND(ISNUMBER(F280),ISNUMBER(G280)),F280*G280,"")</f>
        <v/>
      </c>
      <c r="I280" s="246" t="n"/>
      <c r="J280" s="183" t="n"/>
      <c r="K280" s="271" t="str">
        <f>IF(AND(ISNUMBER(I280),ISNUMBER(J280)),I280*J280,"")</f>
        <v/>
      </c>
      <c r="L280" s="246" t="str">
        <f>IF(COUNT(F280,I280)=0,"",N(F280)-N(I280))</f>
        <v/>
      </c>
      <c r="M280" s="247" t="str">
        <f>IF(COUNT(H280,K280)=0,"",N(K280)-N(H280))</f>
        <v/>
      </c>
      <c r="N280" s="246" t="str">
        <f>IF(AND(ISNUMBER(F280),ISNUMBER(I280),ISNUMBER(H280),ISNUMBER(K280),F280&gt;0,I280&gt;0,H280&lt;&gt;0),ROUND(MIN(F280,I280)*(K280/I280-H280/F280),8),"")</f>
        <v/>
      </c>
      <c r="O280" s="183" t="str">
        <f>IF(ISNUMBER(N280),ROUND(N280/(MIN(F280,I280)*H280/F280)*100,2),"")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71" t="str">
        <f>IF(AND(ISNUMBER(F281),ISNUMBER(G281)),F281*G281,"")</f>
        <v/>
      </c>
      <c r="I281" s="240" t="n"/>
      <c r="J281" s="177" t="n"/>
      <c r="K281" s="271" t="str">
        <f>IF(AND(ISNUMBER(I281),ISNUMBER(J281)),I281*J281,"")</f>
        <v/>
      </c>
      <c r="L281" s="240" t="str">
        <f>IF(COUNT(F281,I281)=0,"",N(F281)-N(I281))</f>
        <v/>
      </c>
      <c r="M281" s="241" t="str">
        <f>IF(COUNT(H281,K281)=0,"",N(K281)-N(H281))</f>
        <v/>
      </c>
      <c r="N281" s="240" t="str">
        <f>IF(AND(ISNUMBER(F281),ISNUMBER(I281),ISNUMBER(H281),ISNUMBER(K281),F281&gt;0,I281&gt;0,H281&lt;&gt;0),ROUND(MIN(F281,I281)*(K281/I281-H281/F281),8),"")</f>
        <v/>
      </c>
      <c r="O281" s="177" t="str">
        <f>IF(ISNUMBER(N281),ROUND(N281/(MIN(F281,I281)*H281/F281)*100,2),"")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71" t="str">
        <f>IF(AND(ISNUMBER(F282),ISNUMBER(G282)),F282*G282,"")</f>
        <v/>
      </c>
      <c r="I282" s="246" t="n"/>
      <c r="J282" s="183" t="n"/>
      <c r="K282" s="271" t="str">
        <f>IF(AND(ISNUMBER(I282),ISNUMBER(J282)),I282*J282,"")</f>
        <v/>
      </c>
      <c r="L282" s="246" t="str">
        <f>IF(COUNT(F282,I282)=0,"",N(F282)-N(I282))</f>
        <v/>
      </c>
      <c r="M282" s="247" t="str">
        <f>IF(COUNT(H282,K282)=0,"",N(K282)-N(H282))</f>
        <v/>
      </c>
      <c r="N282" s="246" t="str">
        <f>IF(AND(ISNUMBER(F282),ISNUMBER(I282),ISNUMBER(H282),ISNUMBER(K282),F282&gt;0,I282&gt;0,H282&lt;&gt;0),ROUND(MIN(F282,I282)*(K282/I282-H282/F282),8),"")</f>
        <v/>
      </c>
      <c r="O282" s="183" t="str">
        <f>IF(ISNUMBER(N282),ROUND(N282/(MIN(F282,I282)*H282/F282)*100,2),"")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71" t="str">
        <f>IF(AND(ISNUMBER(F283),ISNUMBER(G283)),F283*G283,"")</f>
        <v/>
      </c>
      <c r="I283" s="240" t="n"/>
      <c r="J283" s="177" t="n"/>
      <c r="K283" s="271" t="str">
        <f>IF(AND(ISNUMBER(I283),ISNUMBER(J283)),I283*J283,"")</f>
        <v/>
      </c>
      <c r="L283" s="240" t="str">
        <f>IF(COUNT(F283,I283)=0,"",N(F283)-N(I283))</f>
        <v/>
      </c>
      <c r="M283" s="241" t="str">
        <f>IF(COUNT(H283,K283)=0,"",N(K283)-N(H283))</f>
        <v/>
      </c>
      <c r="N283" s="240" t="str">
        <f>IF(AND(ISNUMBER(F283),ISNUMBER(I283),ISNUMBER(H283),ISNUMBER(K283),F283&gt;0,I283&gt;0,H283&lt;&gt;0),ROUND(MIN(F283,I283)*(K283/I283-H283/F283),8),"")</f>
        <v/>
      </c>
      <c r="O283" s="177" t="str">
        <f>IF(ISNUMBER(N283),ROUND(N283/(MIN(F283,I283)*H283/F283)*100,2),"")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71" t="str">
        <f>IF(AND(ISNUMBER(F284),ISNUMBER(G284)),F284*G284,"")</f>
        <v/>
      </c>
      <c r="I284" s="246" t="n"/>
      <c r="J284" s="183" t="n"/>
      <c r="K284" s="271" t="str">
        <f>IF(AND(ISNUMBER(I284),ISNUMBER(J284)),I284*J284,"")</f>
        <v/>
      </c>
      <c r="L284" s="246" t="str">
        <f>IF(COUNT(F284,I284)=0,"",N(F284)-N(I284))</f>
        <v/>
      </c>
      <c r="M284" s="247" t="str">
        <f>IF(COUNT(H284,K284)=0,"",N(K284)-N(H284))</f>
        <v/>
      </c>
      <c r="N284" s="246" t="str">
        <f>IF(AND(ISNUMBER(F284),ISNUMBER(I284),ISNUMBER(H284),ISNUMBER(K284),F284&gt;0,I284&gt;0,H284&lt;&gt;0),ROUND(MIN(F284,I284)*(K284/I284-H284/F284),8),"")</f>
        <v/>
      </c>
      <c r="O284" s="183" t="str">
        <f>IF(ISNUMBER(N284),ROUND(N284/(MIN(F284,I284)*H284/F284)*100,2),"")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71" t="str">
        <f>IF(AND(ISNUMBER(F285),ISNUMBER(G285)),F285*G285,"")</f>
        <v/>
      </c>
      <c r="I285" s="240" t="n"/>
      <c r="J285" s="177" t="n"/>
      <c r="K285" s="271" t="str">
        <f>IF(AND(ISNUMBER(I285),ISNUMBER(J285)),I285*J285,"")</f>
        <v/>
      </c>
      <c r="L285" s="240" t="str">
        <f>IF(COUNT(F285,I285)=0,"",N(F285)-N(I285))</f>
        <v/>
      </c>
      <c r="M285" s="241" t="str">
        <f>IF(COUNT(H285,K285)=0,"",N(K285)-N(H285))</f>
        <v/>
      </c>
      <c r="N285" s="240" t="str">
        <f>IF(AND(ISNUMBER(F285),ISNUMBER(I285),ISNUMBER(H285),ISNUMBER(K285),F285&gt;0,I285&gt;0,H285&lt;&gt;0),ROUND(MIN(F285,I285)*(K285/I285-H285/F285),8),"")</f>
        <v/>
      </c>
      <c r="O285" s="177" t="str">
        <f>IF(ISNUMBER(N285),ROUND(N285/(MIN(F285,I285)*H285/F285)*100,2),"")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71" t="str">
        <f>IF(AND(ISNUMBER(F286),ISNUMBER(G286)),F286*G286,"")</f>
        <v/>
      </c>
      <c r="I286" s="246" t="n"/>
      <c r="J286" s="183" t="n"/>
      <c r="K286" s="271" t="str">
        <f>IF(AND(ISNUMBER(I286),ISNUMBER(J286)),I286*J286,"")</f>
        <v/>
      </c>
      <c r="L286" s="246" t="str">
        <f>IF(COUNT(F286,I286)=0,"",N(F286)-N(I286))</f>
        <v/>
      </c>
      <c r="M286" s="247" t="str">
        <f>IF(COUNT(H286,K286)=0,"",N(K286)-N(H286))</f>
        <v/>
      </c>
      <c r="N286" s="246" t="str">
        <f>IF(AND(ISNUMBER(F286),ISNUMBER(I286),ISNUMBER(H286),ISNUMBER(K286),F286&gt;0,I286&gt;0,H286&lt;&gt;0),ROUND(MIN(F286,I286)*(K286/I286-H286/F286),8),"")</f>
        <v/>
      </c>
      <c r="O286" s="183" t="str">
        <f>IF(ISNUMBER(N286),ROUND(N286/(MIN(F286,I286)*H286/F286)*100,2),"")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71" t="str">
        <f>IF(AND(ISNUMBER(F287),ISNUMBER(G287)),F287*G287,"")</f>
        <v/>
      </c>
      <c r="I287" s="240" t="n"/>
      <c r="J287" s="177" t="n"/>
      <c r="K287" s="271" t="str">
        <f>IF(AND(ISNUMBER(I287),ISNUMBER(J287)),I287*J287,"")</f>
        <v/>
      </c>
      <c r="L287" s="240" t="str">
        <f>IF(COUNT(F287,I287)=0,"",N(F287)-N(I287))</f>
        <v/>
      </c>
      <c r="M287" s="241" t="str">
        <f>IF(COUNT(H287,K287)=0,"",N(K287)-N(H287))</f>
        <v/>
      </c>
      <c r="N287" s="240" t="str">
        <f>IF(AND(ISNUMBER(F287),ISNUMBER(I287),ISNUMBER(H287),ISNUMBER(K287),F287&gt;0,I287&gt;0,H287&lt;&gt;0),ROUND(MIN(F287,I287)*(K287/I287-H287/F287),8),"")</f>
        <v/>
      </c>
      <c r="O287" s="177" t="str">
        <f>IF(ISNUMBER(N287),ROUND(N287/(MIN(F287,I287)*H287/F287)*100,2),"")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71" t="str">
        <f>IF(AND(ISNUMBER(F288),ISNUMBER(G288)),F288*G288,"")</f>
        <v/>
      </c>
      <c r="I288" s="246" t="n"/>
      <c r="J288" s="183" t="n"/>
      <c r="K288" s="271" t="str">
        <f>IF(AND(ISNUMBER(I288),ISNUMBER(J288)),I288*J288,"")</f>
        <v/>
      </c>
      <c r="L288" s="246" t="str">
        <f>IF(COUNT(F288,I288)=0,"",N(F288)-N(I288))</f>
        <v/>
      </c>
      <c r="M288" s="247" t="str">
        <f>IF(COUNT(H288,K288)=0,"",N(K288)-N(H288))</f>
        <v/>
      </c>
      <c r="N288" s="246" t="str">
        <f>IF(AND(ISNUMBER(F288),ISNUMBER(I288),ISNUMBER(H288),ISNUMBER(K288),F288&gt;0,I288&gt;0,H288&lt;&gt;0),ROUND(MIN(F288,I288)*(K288/I288-H288/F288),8),"")</f>
        <v/>
      </c>
      <c r="O288" s="183" t="str">
        <f>IF(ISNUMBER(N288),ROUND(N288/(MIN(F288,I288)*H288/F288)*100,2),"")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71" t="str">
        <f>IF(AND(ISNUMBER(F289),ISNUMBER(G289)),F289*G289,"")</f>
        <v/>
      </c>
      <c r="I289" s="240" t="n"/>
      <c r="J289" s="177" t="n"/>
      <c r="K289" s="271" t="str">
        <f>IF(AND(ISNUMBER(I289),ISNUMBER(J289)),I289*J289,"")</f>
        <v/>
      </c>
      <c r="L289" s="240" t="str">
        <f>IF(COUNT(F289,I289)=0,"",N(F289)-N(I289))</f>
        <v/>
      </c>
      <c r="M289" s="241" t="str">
        <f>IF(COUNT(H289,K289)=0,"",N(K289)-N(H289))</f>
        <v/>
      </c>
      <c r="N289" s="240" t="str">
        <f>IF(AND(ISNUMBER(F289),ISNUMBER(I289),ISNUMBER(H289),ISNUMBER(K289),F289&gt;0,I289&gt;0,H289&lt;&gt;0),ROUND(MIN(F289,I289)*(K289/I289-H289/F289),8),"")</f>
        <v/>
      </c>
      <c r="O289" s="177" t="str">
        <f>IF(ISNUMBER(N289),ROUND(N289/(MIN(F289,I289)*H289/F289)*100,2),"")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71" t="str">
        <f>IF(AND(ISNUMBER(F290),ISNUMBER(G290)),F290*G290,"")</f>
        <v/>
      </c>
      <c r="I290" s="246" t="n"/>
      <c r="J290" s="183" t="n"/>
      <c r="K290" s="271" t="str">
        <f>IF(AND(ISNUMBER(I290),ISNUMBER(J290)),I290*J290,"")</f>
        <v/>
      </c>
      <c r="L290" s="246" t="str">
        <f>IF(COUNT(F290,I290)=0,"",N(F290)-N(I290))</f>
        <v/>
      </c>
      <c r="M290" s="247" t="str">
        <f>IF(COUNT(H290,K290)=0,"",N(K290)-N(H290))</f>
        <v/>
      </c>
      <c r="N290" s="246" t="str">
        <f>IF(AND(ISNUMBER(F290),ISNUMBER(I290),ISNUMBER(H290),ISNUMBER(K290),F290&gt;0,I290&gt;0,H290&lt;&gt;0),ROUND(MIN(F290,I290)*(K290/I290-H290/F290),8),"")</f>
        <v/>
      </c>
      <c r="O290" s="183" t="str">
        <f>IF(ISNUMBER(N290),ROUND(N290/(MIN(F290,I290)*H290/F290)*100,2),"")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71" t="str">
        <f>IF(AND(ISNUMBER(F291),ISNUMBER(G291)),F291*G291,"")</f>
        <v/>
      </c>
      <c r="I291" s="240" t="n"/>
      <c r="J291" s="177" t="n"/>
      <c r="K291" s="271" t="str">
        <f>IF(AND(ISNUMBER(I291),ISNUMBER(J291)),I291*J291,"")</f>
        <v/>
      </c>
      <c r="L291" s="240" t="str">
        <f>IF(COUNT(F291,I291)=0,"",N(F291)-N(I291))</f>
        <v/>
      </c>
      <c r="M291" s="241" t="str">
        <f>IF(COUNT(H291,K291)=0,"",N(K291)-N(H291))</f>
        <v/>
      </c>
      <c r="N291" s="240" t="str">
        <f>IF(AND(ISNUMBER(F291),ISNUMBER(I291),ISNUMBER(H291),ISNUMBER(K291),F291&gt;0,I291&gt;0,H291&lt;&gt;0),ROUND(MIN(F291,I291)*(K291/I291-H291/F291),8),"")</f>
        <v/>
      </c>
      <c r="O291" s="177" t="str">
        <f>IF(ISNUMBER(N291),ROUND(N291/(MIN(F291,I291)*H291/F291)*100,2),"")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71" t="str">
        <f>IF(AND(ISNUMBER(F292),ISNUMBER(G292)),F292*G292,"")</f>
        <v/>
      </c>
      <c r="I292" s="246" t="n"/>
      <c r="J292" s="183" t="n"/>
      <c r="K292" s="271" t="str">
        <f>IF(AND(ISNUMBER(I292),ISNUMBER(J292)),I292*J292,"")</f>
        <v/>
      </c>
      <c r="L292" s="246" t="str">
        <f>IF(COUNT(F292,I292)=0,"",N(F292)-N(I292))</f>
        <v/>
      </c>
      <c r="M292" s="247" t="str">
        <f>IF(COUNT(H292,K292)=0,"",N(K292)-N(H292))</f>
        <v/>
      </c>
      <c r="N292" s="246" t="str">
        <f>IF(AND(ISNUMBER(F292),ISNUMBER(I292),ISNUMBER(H292),ISNUMBER(K292),F292&gt;0,I292&gt;0,H292&lt;&gt;0),ROUND(MIN(F292,I292)*(K292/I292-H292/F292),8),"")</f>
        <v/>
      </c>
      <c r="O292" s="183" t="str">
        <f>IF(ISNUMBER(N292),ROUND(N292/(MIN(F292,I292)*H292/F292)*100,2),"")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71" t="str">
        <f>IF(AND(ISNUMBER(F293),ISNUMBER(G293)),F293*G293,"")</f>
        <v/>
      </c>
      <c r="I293" s="240" t="n"/>
      <c r="J293" s="177" t="n"/>
      <c r="K293" s="271" t="str">
        <f>IF(AND(ISNUMBER(I293),ISNUMBER(J293)),I293*J293,"")</f>
        <v/>
      </c>
      <c r="L293" s="240" t="str">
        <f>IF(COUNT(F293,I293)=0,"",N(F293)-N(I293))</f>
        <v/>
      </c>
      <c r="M293" s="241" t="str">
        <f>IF(COUNT(H293,K293)=0,"",N(K293)-N(H293))</f>
        <v/>
      </c>
      <c r="N293" s="240" t="str">
        <f>IF(AND(ISNUMBER(F293),ISNUMBER(I293),ISNUMBER(H293),ISNUMBER(K293),F293&gt;0,I293&gt;0,H293&lt;&gt;0),ROUND(MIN(F293,I293)*(K293/I293-H293/F293),8),"")</f>
        <v/>
      </c>
      <c r="O293" s="177" t="str">
        <f>IF(ISNUMBER(N293),ROUND(N293/(MIN(F293,I293)*H293/F293)*100,2),"")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71" t="str">
        <f>IF(AND(ISNUMBER(F294),ISNUMBER(G294)),F294*G294,"")</f>
        <v/>
      </c>
      <c r="I294" s="246" t="n"/>
      <c r="J294" s="183" t="n"/>
      <c r="K294" s="271" t="str">
        <f>IF(AND(ISNUMBER(I294),ISNUMBER(J294)),I294*J294,"")</f>
        <v/>
      </c>
      <c r="L294" s="246" t="str">
        <f>IF(COUNT(F294,I294)=0,"",N(F294)-N(I294))</f>
        <v/>
      </c>
      <c r="M294" s="247" t="str">
        <f>IF(COUNT(H294,K294)=0,"",N(K294)-N(H294))</f>
        <v/>
      </c>
      <c r="N294" s="246" t="str">
        <f>IF(AND(ISNUMBER(F294),ISNUMBER(I294),ISNUMBER(H294),ISNUMBER(K294),F294&gt;0,I294&gt;0,H294&lt;&gt;0),ROUND(MIN(F294,I294)*(K294/I294-H294/F294),8),"")</f>
        <v/>
      </c>
      <c r="O294" s="183" t="str">
        <f>IF(ISNUMBER(N294),ROUND(N294/(MIN(F294,I294)*H294/F294)*100,2),"")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71" t="str">
        <f>IF(AND(ISNUMBER(F295),ISNUMBER(G295)),F295*G295,"")</f>
        <v/>
      </c>
      <c r="I295" s="240" t="n"/>
      <c r="J295" s="177" t="n"/>
      <c r="K295" s="271" t="str">
        <f>IF(AND(ISNUMBER(I295),ISNUMBER(J295)),I295*J295,"")</f>
        <v/>
      </c>
      <c r="L295" s="240" t="str">
        <f>IF(COUNT(F295,I295)=0,"",N(F295)-N(I295))</f>
        <v/>
      </c>
      <c r="M295" s="241" t="str">
        <f>IF(COUNT(H295,K295)=0,"",N(K295)-N(H295))</f>
        <v/>
      </c>
      <c r="N295" s="240" t="str">
        <f>IF(AND(ISNUMBER(F295),ISNUMBER(I295),ISNUMBER(H295),ISNUMBER(K295),F295&gt;0,I295&gt;0,H295&lt;&gt;0),ROUND(MIN(F295,I295)*(K295/I295-H295/F295),8),"")</f>
        <v/>
      </c>
      <c r="O295" s="177" t="str">
        <f>IF(ISNUMBER(N295),ROUND(N295/(MIN(F295,I295)*H295/F295)*100,2),"")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71" t="str">
        <f>IF(AND(ISNUMBER(F296),ISNUMBER(G296)),F296*G296,"")</f>
        <v/>
      </c>
      <c r="I296" s="246" t="n"/>
      <c r="J296" s="183" t="n"/>
      <c r="K296" s="271" t="str">
        <f>IF(AND(ISNUMBER(I296),ISNUMBER(J296)),I296*J296,"")</f>
        <v/>
      </c>
      <c r="L296" s="246" t="str">
        <f>IF(COUNT(F296,I296)=0,"",N(F296)-N(I296))</f>
        <v/>
      </c>
      <c r="M296" s="247" t="str">
        <f>IF(COUNT(H296,K296)=0,"",N(K296)-N(H296))</f>
        <v/>
      </c>
      <c r="N296" s="246" t="str">
        <f>IF(AND(ISNUMBER(F296),ISNUMBER(I296),ISNUMBER(H296),ISNUMBER(K296),F296&gt;0,I296&gt;0,H296&lt;&gt;0),ROUND(MIN(F296,I296)*(K296/I296-H296/F296),8),"")</f>
        <v/>
      </c>
      <c r="O296" s="183" t="str">
        <f>IF(ISNUMBER(N296),ROUND(N296/(MIN(F296,I296)*H296/F296)*100,2),"")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71" t="str">
        <f>IF(AND(ISNUMBER(F297),ISNUMBER(G297)),F297*G297,"")</f>
        <v/>
      </c>
      <c r="I297" s="240" t="n"/>
      <c r="J297" s="177" t="n"/>
      <c r="K297" s="271" t="str">
        <f>IF(AND(ISNUMBER(I297),ISNUMBER(J297)),I297*J297,"")</f>
        <v/>
      </c>
      <c r="L297" s="240" t="str">
        <f>IF(COUNT(F297,I297)=0,"",N(F297)-N(I297))</f>
        <v/>
      </c>
      <c r="M297" s="241" t="str">
        <f>IF(COUNT(H297,K297)=0,"",N(K297)-N(H297))</f>
        <v/>
      </c>
      <c r="N297" s="240" t="str">
        <f>IF(AND(ISNUMBER(F297),ISNUMBER(I297),ISNUMBER(H297),ISNUMBER(K297),F297&gt;0,I297&gt;0,H297&lt;&gt;0),ROUND(MIN(F297,I297)*(K297/I297-H297/F297),8),"")</f>
        <v/>
      </c>
      <c r="O297" s="177" t="str">
        <f>IF(ISNUMBER(N297),ROUND(N297/(MIN(F297,I297)*H297/F297)*100,2),"")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71" t="str">
        <f>IF(AND(ISNUMBER(F298),ISNUMBER(G298)),F298*G298,"")</f>
        <v/>
      </c>
      <c r="I298" s="246" t="n"/>
      <c r="J298" s="183" t="n"/>
      <c r="K298" s="271" t="str">
        <f>IF(AND(ISNUMBER(I298),ISNUMBER(J298)),I298*J298,"")</f>
        <v/>
      </c>
      <c r="L298" s="246" t="str">
        <f>IF(COUNT(F298,I298)=0,"",N(F298)-N(I298))</f>
        <v/>
      </c>
      <c r="M298" s="247" t="str">
        <f>IF(COUNT(H298,K298)=0,"",N(K298)-N(H298))</f>
        <v/>
      </c>
      <c r="N298" s="246" t="str">
        <f>IF(AND(ISNUMBER(F298),ISNUMBER(I298),ISNUMBER(H298),ISNUMBER(K298),F298&gt;0,I298&gt;0,H298&lt;&gt;0),ROUND(MIN(F298,I298)*(K298/I298-H298/F298),8),"")</f>
        <v/>
      </c>
      <c r="O298" s="183" t="str">
        <f>IF(ISNUMBER(N298),ROUND(N298/(MIN(F298,I298)*H298/F298)*100,2),"")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71" t="str">
        <f>IF(AND(ISNUMBER(F299),ISNUMBER(G299)),F299*G299,"")</f>
        <v/>
      </c>
      <c r="I299" s="240" t="n"/>
      <c r="J299" s="177" t="n"/>
      <c r="K299" s="271" t="str">
        <f>IF(AND(ISNUMBER(I299),ISNUMBER(J299)),I299*J299,"")</f>
        <v/>
      </c>
      <c r="L299" s="240" t="str">
        <f>IF(COUNT(F299,I299)=0,"",N(F299)-N(I299))</f>
        <v/>
      </c>
      <c r="M299" s="241" t="str">
        <f>IF(COUNT(H299,K299)=0,"",N(K299)-N(H299))</f>
        <v/>
      </c>
      <c r="N299" s="240" t="str">
        <f>IF(AND(ISNUMBER(F299),ISNUMBER(I299),ISNUMBER(H299),ISNUMBER(K299),F299&gt;0,I299&gt;0,H299&lt;&gt;0),ROUND(MIN(F299,I299)*(K299/I299-H299/F299),8),"")</f>
        <v/>
      </c>
      <c r="O299" s="177" t="str">
        <f>IF(ISNUMBER(N299),ROUND(N299/(MIN(F299,I299)*H299/F299)*100,2),"")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71" t="str">
        <f>IF(AND(ISNUMBER(F300),ISNUMBER(G300)),F300*G300,"")</f>
        <v/>
      </c>
      <c r="I300" s="246" t="n"/>
      <c r="J300" s="183" t="n"/>
      <c r="K300" s="271" t="str">
        <f>IF(AND(ISNUMBER(I300),ISNUMBER(J300)),I300*J300,"")</f>
        <v/>
      </c>
      <c r="L300" s="246" t="str">
        <f>IF(COUNT(F300,I300)=0,"",N(F300)-N(I300))</f>
        <v/>
      </c>
      <c r="M300" s="247" t="str">
        <f>IF(COUNT(H300,K300)=0,"",N(K300)-N(H300))</f>
        <v/>
      </c>
      <c r="N300" s="246" t="str">
        <f>IF(AND(ISNUMBER(F300),ISNUMBER(I300),ISNUMBER(H300),ISNUMBER(K300),F300&gt;0,I300&gt;0,H300&lt;&gt;0),ROUND(MIN(F300,I300)*(K300/I300-H300/F300),8),"")</f>
        <v/>
      </c>
      <c r="O300" s="183" t="str">
        <f>IF(ISNUMBER(N300),ROUND(N300/(MIN(F300,I300)*H300/F300)*100,2),"")</f>
        <v/>
      </c>
    </row>
  </sheetData>
  <autoFilter ref="B4:O300"/>
  <mergeCells count="1">
    <mergeCell ref="B1:O2"/>
  </mergeCells>
  <conditionalFormatting sqref="B5:O300">
    <cfRule type="expression" priority="1" dxfId="0">
      <formula>AND($B5&lt;&gt;"",COUNTIF(Торговля!$B$5:$B$300,$B5)+COUNTIF(Лэндинг!$B$5:$B$300,$B5)&gt;0)</formula>
    </cfRule>
  </conditionalFormatting>
  <conditionalFormatting sqref="B5:G300 I5:J300 L5:O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BNB/USDT</t>
        </is>
      </c>
      <c r="C5" s="240">
        <f>IF($B5="","",IF(SUMIFS('ИТОГО Торговля'!$C$5:$C$300,'ИТОГО Торговля'!$B$5:$B$300,$B5)+SUMIFS('ИТОГО Лэндинг'!$C$5:$C$300,'ИТОГО Лэндинг'!$B$5:$B$300,$B5)=0,"",SUMIFS('ИТОГО Торговля'!$C$5:$C$300,'ИТОГО Торговля'!$B$5:$B$300,$B5)+SUMIFS('ИТОГО Лэндинг'!$C$5:$C$300,'ИТОГО Лэндинг'!$B$5:$B$300,$B5)))</f>
        <v>3.5</v>
      </c>
      <c r="D5" s="177">
        <f>IF(C5="","",E5/C5)</f>
        <v>585.668571428572</v>
      </c>
      <c r="E5" s="241">
        <f>IF(C5="","",SUMIFS('ИТОГО Торговля'!$E$5:$E$300,'ИТОГО Торговля'!$B$5:$B$300,$B5)+SUMIFS('ИТОГО Лэндинг'!$E$5:$E$300,'ИТОГО Лэндинг'!$B$5:$B$300,$B5))</f>
        <v>2049.84</v>
      </c>
      <c r="F5" s="240">
        <f>IF($B5="","",IF(SUMIFS('ИТОГО Торговля'!$F$5:$F$300,'ИТОГО Торговля'!$B$5:$B$300,$B5)+SUMIFS('ИТОГО Лэндинг'!$F$5:$F$300,'ИТОГО Лэндинг'!$B$5:$B$300,$B5)=0,"",SUMIFS('ИТОГО Торговля'!$F$5:$F$300,'ИТОГО Торговля'!$B$5:$B$300,$B5)+SUMIFS('ИТОГО Лэндинг'!$F$5:$F$300,'ИТОГО Лэндинг'!$B$5:$B$300,$B5)))</f>
        <v>9.5</v>
      </c>
      <c r="G5" s="177">
        <f>IF(F5="","",H5/F5)</f>
        <v>598.515789473684</v>
      </c>
      <c r="H5" s="241">
        <f>IF(F5="","",SUMIFS('ИТОГО Торговля'!$H$5:$H$300,'ИТОГО Торговля'!$B$5:$B$300,$B5)+SUMIFS('ИТОГО Лэндинг'!$H$5:$H$300,'ИТОГО Лэндинг'!$B$5:$B$300,$B5))</f>
        <v>5685.9</v>
      </c>
      <c r="I5" s="240">
        <f>IF($B5="","",IF(AND(C5="",F5=""),"",ROUND(SUMIFS('ИТОГО Торговля'!$I$5:$I$300,'ИТОГО Торговля'!$B$5:$B$300,$B5)+SUMIFS('ИТОГО Лэндинг'!$I$5:$I$300,'ИТОГО Лэндинг'!$B$5:$B$300,$B5),8)))</f>
        <v>-6</v>
      </c>
      <c r="J5" s="241">
        <f>IF($B5="","",IF(AND(C5="",F5=""),"",ROUND(SUMIFS('ИТОГО Торговля'!$J$5:$J$300,'ИТОГО Торговля'!$B$5:$B$300,$B5)+SUMIFS('ИТОГО Лэндинг'!$J$5:$J$300,'ИТОГО Лэндинг'!$B$5:$B$300,$B5),8)))</f>
        <v>3636.06</v>
      </c>
      <c r="K5" s="240">
        <f>IF(MIN(N(C5),N(F5))&lt;=0,"",ROUND(MIN(N(C5),N(F5))*(N(G5)-N(D5)),8))</f>
        <v>44.96526316</v>
      </c>
      <c r="L5" s="177">
        <f>IF(MIN(N(C5),N(F5))&lt;=0,"",IF(N(D5)=0,"",ROUND((N(G5)/N(D5)-1)*100,2)))</f>
        <v>2.19</v>
      </c>
      <c r="M5" s="177">
        <f>IF(OR(ROUND(N(C5)-N(F5),8)=0,1-N(Ввод!$J$19)/100&lt;=0),"",IF(N(C5)&gt;N(F5),(N(E5)-N(H5))/((N(C5)-N(F5))*(1-N(Ввод!$J$19)/100)),(N(H5)-N(E5))/((N(F5)-N(C5))*(1+N(Ввод!$J$19)/100))))</f>
        <v>604.800399201597</v>
      </c>
    </row>
    <row r="6" ht="22" customHeight="1">
      <c r="B6" s="245" t="inlineStr">
        <is>
          <t>BTC/USDT</t>
        </is>
      </c>
      <c r="C6" s="246">
        <f>IF($B6="","",IF(SUMIFS('ИТОГО Торговля'!$C$5:$C$300,'ИТОГО Торговля'!$B$5:$B$300,$B6)+SUMIFS('ИТОГО Лэндинг'!$C$5:$C$300,'ИТОГО Лэндинг'!$B$5:$B$300,$B6)=0,"",SUMIFS('ИТОГО Торговля'!$C$5:$C$300,'ИТОГО Торговля'!$B$5:$B$300,$B6)+SUMIFS('ИТОГО Лэндинг'!$C$5:$C$300,'ИТОГО Лэндинг'!$B$5:$B$300,$B6)))</f>
        <v>0.25</v>
      </c>
      <c r="D6" s="183">
        <f>IF(C6="","",E6/C6)</f>
        <v>62164.08</v>
      </c>
      <c r="E6" s="247">
        <f>IF(C6="","",SUMIFS('ИТОГО Торговля'!$E$5:$E$300,'ИТОГО Торговля'!$B$5:$B$300,$B6)+SUMIFS('ИТОГО Лэндинг'!$E$5:$E$300,'ИТОГО Лэндинг'!$B$5:$B$300,$B6))</f>
        <v>15541.02</v>
      </c>
      <c r="F6" s="246">
        <f>IF($B6="","",IF(SUMIFS('ИТОГО Торговля'!$F$5:$F$300,'ИТОГО Торговля'!$B$5:$B$300,$B6)+SUMIFS('ИТОГО Лэндинг'!$F$5:$F$300,'ИТОГО Лэндинг'!$B$5:$B$300,$B6)=0,"",SUMIFS('ИТОГО Торговля'!$F$5:$F$300,'ИТОГО Торговля'!$B$5:$B$300,$B6)+SUMIFS('ИТОГО Лэндинг'!$F$5:$F$300,'ИТОГО Лэндинг'!$B$5:$B$300,$B6)))</f>
        <v>0.05</v>
      </c>
      <c r="G6" s="183">
        <f>IF(F6="","",H6/F6)</f>
        <v>62874</v>
      </c>
      <c r="H6" s="247">
        <f>IF(F6="","",SUMIFS('ИТОГО Торговля'!$H$5:$H$300,'ИТОГО Торговля'!$B$5:$B$300,$B6)+SUMIFS('ИТОГО Лэндинг'!$H$5:$H$300,'ИТОГО Лэндинг'!$B$5:$B$300,$B6))</f>
        <v>3143.7</v>
      </c>
      <c r="I6" s="246">
        <f>IF($B6="","",IF(AND(C6="",F6=""),"",ROUND(SUMIFS('ИТОГО Торговля'!$I$5:$I$300,'ИТОГО Торговля'!$B$5:$B$300,$B6)+SUMIFS('ИТОГО Лэндинг'!$I$5:$I$300,'ИТОГО Лэндинг'!$B$5:$B$300,$B6),8)))</f>
        <v>0.2</v>
      </c>
      <c r="J6" s="247">
        <f>IF($B6="","",IF(AND(C6="",F6=""),"",ROUND(SUMIFS('ИТОГО Торговля'!$J$5:$J$300,'ИТОГО Торговля'!$B$5:$B$300,$B6)+SUMIFS('ИТОГО Лэндинг'!$J$5:$J$300,'ИТОГО Лэндинг'!$B$5:$B$300,$B6),8)))</f>
        <v>-12397.32</v>
      </c>
      <c r="K6" s="246">
        <f>IF(MIN(N(C6),N(F6))&lt;=0,"",ROUND(MIN(N(C6),N(F6))*(N(G6)-N(D6)),8))</f>
        <v>35.496</v>
      </c>
      <c r="L6" s="183">
        <f>IF(MIN(N(C6),N(F6))&lt;=0,"",IF(N(D6)=0,"",ROUND((N(G6)/N(D6)-1)*100,2)))</f>
        <v>1.14</v>
      </c>
      <c r="M6" s="183">
        <f>IF(OR(ROUND(N(C6)-N(F6),8)=0,1-N(Ввод!$J$19)/100&lt;=0),"",IF(N(C6)&gt;N(F6),(N(E6)-N(H6))/((N(C6)-N(F6))*(1-N(Ввод!$J$19)/100)),(N(H6)-N(E6))/((N(F6)-N(C6))*(1+N(Ввод!$J$19)/100))))</f>
        <v>62110.8216432866</v>
      </c>
    </row>
    <row r="7" ht="22" customHeight="1">
      <c r="B7" s="239" t="inlineStr">
        <is>
          <t>ETH/BTC</t>
        </is>
      </c>
      <c r="C7" s="240" t="str">
        <f>IF($B7="","",IF(SUMIFS('ИТОГО Торговля'!$C$5:$C$300,'ИТОГО Торговля'!$B$5:$B$300,$B7)+SUMIFS('ИТОГО Лэндинг'!$C$5:$C$300,'ИТОГО Лэндинг'!$B$5:$B$300,$B7)=0,"",SUMIFS('ИТОГО Торговля'!$C$5:$C$300,'ИТОГО Торговля'!$B$5:$B$300,$B7)+SUMIFS('ИТОГО Лэндинг'!$C$5:$C$300,'ИТОГО Лэндинг'!$B$5:$B$300,$B7)))</f>
        <v/>
      </c>
      <c r="D7" s="177" t="str">
        <f>IF(C7="","",E7/C7)</f>
        <v/>
      </c>
      <c r="E7" s="241" t="str">
        <f>IF(C7="","",SUMIFS('ИТОГО Торговля'!$E$5:$E$300,'ИТОГО Торговля'!$B$5:$B$300,$B7)+SUMIFS('ИТОГО Лэндинг'!$E$5:$E$300,'ИТОГО Лэндинг'!$B$5:$B$300,$B7))</f>
        <v/>
      </c>
      <c r="F7" s="240">
        <f>IF($B7="","",IF(SUMIFS('ИТОГО Торговля'!$F$5:$F$300,'ИТОГО Торговля'!$B$5:$B$300,$B7)+SUMIFS('ИТОГО Лэндинг'!$F$5:$F$300,'ИТОГО Лэндинг'!$B$5:$B$300,$B7)=0,"",SUMIFS('ИТОГО Торговля'!$F$5:$F$300,'ИТОГО Торговля'!$B$5:$B$300,$B7)+SUMIFS('ИТОГО Лэндинг'!$F$5:$F$300,'ИТОГО Лэндинг'!$B$5:$B$300,$B7)))</f>
        <v>3</v>
      </c>
      <c r="G7" s="177">
        <f>IF(F7="","",H7/F7)</f>
        <v>0.052395</v>
      </c>
      <c r="H7" s="241">
        <f>IF(F7="","",SUMIFS('ИТОГО Торговля'!$H$5:$H$300,'ИТОГО Торговля'!$B$5:$B$300,$B7)+SUMIFS('ИТОГО Лэндинг'!$H$5:$H$300,'ИТОГО Лэндинг'!$B$5:$B$300,$B7))</f>
        <v>0.157185</v>
      </c>
      <c r="I7" s="240">
        <f>IF($B7="","",IF(AND(C7="",F7=""),"",ROUND(SUMIFS('ИТОГО Торговля'!$I$5:$I$300,'ИТОГО Торговля'!$B$5:$B$300,$B7)+SUMIFS('ИТОГО Лэндинг'!$I$5:$I$300,'ИТОГО Лэндинг'!$B$5:$B$300,$B7),8)))</f>
        <v>-3</v>
      </c>
      <c r="J7" s="241">
        <f>IF($B7="","",IF(AND(C7="",F7=""),"",ROUND(SUMIFS('ИТОГО Торговля'!$J$5:$J$300,'ИТОГО Торговля'!$B$5:$B$300,$B7)+SUMIFS('ИТОГО Лэндинг'!$J$5:$J$300,'ИТОГО Лэндинг'!$B$5:$B$300,$B7),8)))</f>
        <v>0.157185</v>
      </c>
      <c r="K7" s="240" t="str">
        <f>IF(MIN(N(C7),N(F7))&lt;=0,"",ROUND(MIN(N(C7),N(F7))*(N(G7)-N(D7)),8))</f>
        <v/>
      </c>
      <c r="L7" s="177" t="str">
        <f>IF(MIN(N(C7),N(F7))&lt;=0,"",IF(N(D7)=0,"",ROUND((N(G7)/N(D7)-1)*100,2)))</f>
        <v/>
      </c>
      <c r="M7" s="177">
        <f>IF(OR(ROUND(N(C7)-N(F7),8)=0,1-N(Ввод!$J$19)/100&lt;=0),"",IF(N(C7)&gt;N(F7),(N(E7)-N(H7))/((N(C7)-N(F7))*(1-N(Ввод!$J$19)/100)),(N(H7)-N(E7))/((N(F7)-N(C7))*(1+N(Ввод!$J$19)/100))))</f>
        <v>0.0522904191616766</v>
      </c>
    </row>
    <row r="8" ht="22" customHeight="1">
      <c r="B8" s="245" t="inlineStr">
        <is>
          <t>ETH/USDT</t>
        </is>
      </c>
      <c r="C8" s="246">
        <f>IF($B8="","",IF(SUMIFS('ИТОГО Торговля'!$C$5:$C$300,'ИТОГО Торговля'!$B$5:$B$300,$B8)+SUMIFS('ИТОГО Лэндинг'!$C$5:$C$300,'ИТОГО Лэндинг'!$B$5:$B$300,$B8)=0,"",SUMIFS('ИТОГО Торговля'!$C$5:$C$300,'ИТОГО Торговля'!$B$5:$B$300,$B8)+SUMIFS('ИТОГО Лэндинг'!$C$5:$C$300,'ИТОГО Лэндинг'!$B$5:$B$300,$B8)))</f>
        <v>7.5</v>
      </c>
      <c r="D8" s="183">
        <f>IF(C8="","",E8/C8)</f>
        <v>3210.9152</v>
      </c>
      <c r="E8" s="247">
        <f>IF(C8="","",SUMIFS('ИТОГО Торговля'!$E$5:$E$300,'ИТОГО Торговля'!$B$5:$B$300,$B8)+SUMIFS('ИТОГО Лэндинг'!$E$5:$E$300,'ИТОГО Лэндинг'!$B$5:$B$300,$B8))</f>
        <v>24081.864</v>
      </c>
      <c r="F8" s="246">
        <f>IF($B8="","",IF(SUMIFS('ИТОГО Торговля'!$F$5:$F$300,'ИТОГО Торговля'!$B$5:$B$300,$B8)+SUMIFS('ИТОГО Лэндинг'!$F$5:$F$300,'ИТОГО Лэндинг'!$B$5:$B$300,$B8)=0,"",SUMIFS('ИТОГО Торговля'!$F$5:$F$300,'ИТОГО Торговля'!$B$5:$B$300,$B8)+SUMIFS('ИТОГО Лэндинг'!$F$5:$F$300,'ИТОГО Лэндинг'!$B$5:$B$300,$B8)))</f>
        <v>4.5</v>
      </c>
      <c r="G8" s="183">
        <f>IF(F8="","",H8/F8)</f>
        <v>3376.2</v>
      </c>
      <c r="H8" s="247">
        <f>IF(F8="","",SUMIFS('ИТОГО Торговля'!$H$5:$H$300,'ИТОГО Торговля'!$B$5:$B$300,$B8)+SUMIFS('ИТОГО Лэндинг'!$H$5:$H$300,'ИТОГО Лэндинг'!$B$5:$B$300,$B8))</f>
        <v>15192.9</v>
      </c>
      <c r="I8" s="246">
        <f>IF($B8="","",IF(AND(C8="",F8=""),"",ROUND(SUMIFS('ИТОГО Торговля'!$I$5:$I$300,'ИТОГО Торговля'!$B$5:$B$300,$B8)+SUMIFS('ИТОГО Лэндинг'!$I$5:$I$300,'ИТОГО Лэндинг'!$B$5:$B$300,$B8),8)))</f>
        <v>3</v>
      </c>
      <c r="J8" s="247">
        <f>IF($B8="","",IF(AND(C8="",F8=""),"",ROUND(SUMIFS('ИТОГО Торговля'!$J$5:$J$300,'ИТОГО Торговля'!$B$5:$B$300,$B8)+SUMIFS('ИТОГО Лэндинг'!$J$5:$J$300,'ИТОГО Лэндинг'!$B$5:$B$300,$B8),8)))</f>
        <v>-8888.964</v>
      </c>
      <c r="K8" s="246">
        <f>IF(MIN(N(C8),N(F8))&lt;=0,"",ROUND(MIN(N(C8),N(F8))*(N(G8)-N(D8)),8))</f>
        <v>743.7816</v>
      </c>
      <c r="L8" s="183">
        <f>IF(MIN(N(C8),N(F8))&lt;=0,"",IF(N(D8)=0,"",ROUND((N(G8)/N(D8)-1)*100,2)))</f>
        <v>5.15</v>
      </c>
      <c r="M8" s="183">
        <f>IF(OR(ROUND(N(C8)-N(F8),8)=0,1-N(Ввод!$J$19)/100&lt;=0),"",IF(N(C8)&gt;N(F8),(N(E8)-N(H8))/((N(C8)-N(F8))*(1-N(Ввод!$J$19)/100)),(N(H8)-N(E8))/((N(F8)-N(C8))*(1+N(Ввод!$J$19)/100))))</f>
        <v>2968.92585170341</v>
      </c>
    </row>
    <row r="9" ht="22" customHeight="1">
      <c r="B9" s="239" t="inlineStr">
        <is>
          <t>SOL/USDT</t>
        </is>
      </c>
      <c r="C9" s="240">
        <f>IF($B9="","",IF(SUMIFS('ИТОГО Торговля'!$C$5:$C$300,'ИТОГО Торговля'!$B$5:$B$300,$B9)+SUMIFS('ИТОГО Лэндинг'!$C$5:$C$300,'ИТОГО Лэндинг'!$B$5:$B$300,$B9)=0,"",SUMIFS('ИТОГО Торговля'!$C$5:$C$300,'ИТОГО Торговля'!$B$5:$B$300,$B9)+SUMIFS('ИТОГО Лэндинг'!$C$5:$C$300,'ИТОГО Лэндинг'!$B$5:$B$300,$B9)))</f>
        <v>80</v>
      </c>
      <c r="D9" s="177">
        <f>IF(C9="","",E9/C9)</f>
        <v>145.88</v>
      </c>
      <c r="E9" s="241">
        <f>IF(C9="","",SUMIFS('ИТОГО Торговля'!$E$5:$E$300,'ИТОГО Торговля'!$B$5:$B$300,$B9)+SUMIFS('ИТОГО Лэндинг'!$E$5:$E$300,'ИТОГО Лэндинг'!$B$5:$B$300,$B9))</f>
        <v>11670.4</v>
      </c>
      <c r="F9" s="240">
        <f>IF($B9="","",IF(SUMIFS('ИТОГО Торговля'!$F$5:$F$300,'ИТОГО Торговля'!$B$5:$B$300,$B9)+SUMIFS('ИТОГО Лэндинг'!$F$5:$F$300,'ИТОГО Лэндинг'!$B$5:$B$300,$B9)=0,"",SUMIFS('ИТОГО Торговля'!$F$5:$F$300,'ИТОГО Торговля'!$B$5:$B$300,$B9)+SUMIFS('ИТОГО Лэндинг'!$F$5:$F$300,'ИТОГО Лэндинг'!$B$5:$B$300,$B9)))</f>
        <v>110</v>
      </c>
      <c r="G9" s="177">
        <f>IF(F9="","",H9/F9)</f>
        <v>150.498545454545</v>
      </c>
      <c r="H9" s="241">
        <f>IF(F9="","",SUMIFS('ИТОГО Торговля'!$H$5:$H$300,'ИТОГО Торговля'!$B$5:$B$300,$B9)+SUMIFS('ИТОГО Лэндинг'!$H$5:$H$300,'ИТОГО Лэндинг'!$B$5:$B$300,$B9))</f>
        <v>16554.84</v>
      </c>
      <c r="I9" s="240">
        <f>IF($B9="","",IF(AND(C9="",F9=""),"",ROUND(SUMIFS('ИТОГО Торговля'!$I$5:$I$300,'ИТОГО Торговля'!$B$5:$B$300,$B9)+SUMIFS('ИТОГО Лэндинг'!$I$5:$I$300,'ИТОГО Лэндинг'!$B$5:$B$300,$B9),8)))</f>
        <v>-30</v>
      </c>
      <c r="J9" s="241">
        <f>IF($B9="","",IF(AND(C9="",F9=""),"",ROUND(SUMIFS('ИТОГО Торговля'!$J$5:$J$300,'ИТОГО Торговля'!$B$5:$B$300,$B9)+SUMIFS('ИТОГО Лэндинг'!$J$5:$J$300,'ИТОГО Лэндинг'!$B$5:$B$300,$B9),8)))</f>
        <v>4884.44</v>
      </c>
      <c r="K9" s="240">
        <f>IF(MIN(N(C9),N(F9))&lt;=0,"",ROUND(MIN(N(C9),N(F9))*(N(G9)-N(D9)),8))</f>
        <v>369.48363636</v>
      </c>
      <c r="L9" s="177">
        <f>IF(MIN(N(C9),N(F9))&lt;=0,"",IF(N(D9)=0,"",ROUND((N(G9)/N(D9)-1)*100,2)))</f>
        <v>3.17</v>
      </c>
      <c r="M9" s="177">
        <f>IF(OR(ROUND(N(C9)-N(F9),8)=0,1-N(Ввод!$J$19)/100&lt;=0),"",IF(N(C9)&gt;N(F9),(N(E9)-N(H9))/((N(C9)-N(F9))*(1-N(Ввод!$J$19)/100)),(N(H9)-N(E9))/((N(F9)-N(C9))*(1+N(Ввод!$J$19)/100))))</f>
        <v>162.489687292082</v>
      </c>
    </row>
    <row r="10" ht="22" customHeight="1">
      <c r="B10" s="245"/>
      <c r="C10" s="246" t="str">
        <f>IF($B10="","",IF(SUMIFS('ИТОГО Торговля'!$C$5:$C$300,'ИТОГО Торговля'!$B$5:$B$300,$B10)+SUMIFS('ИТОГО Лэндинг'!$C$5:$C$300,'ИТОГО Лэндинг'!$B$5:$B$300,$B10)=0,"",SUMIFS('ИТОГО Торговля'!$C$5:$C$300,'ИТОГО Торговля'!$B$5:$B$300,$B10)+SUMIFS('ИТОГО Лэндинг'!$C$5:$C$300,'ИТОГО Лэндинг'!$B$5:$B$300,$B10)))</f>
        <v/>
      </c>
      <c r="D10" s="183" t="str">
        <f>IF(C10="","",E10/C10)</f>
        <v/>
      </c>
      <c r="E10" s="247" t="str">
        <f>IF(C10="","",SUMIFS('ИТОГО Торговля'!$E$5:$E$300,'ИТОГО Торговля'!$B$5:$B$300,$B10)+SUMIFS('ИТОГО Лэндинг'!$E$5:$E$300,'ИТОГО Лэндинг'!$B$5:$B$300,$B10))</f>
        <v/>
      </c>
      <c r="F10" s="246" t="str">
        <f>IF($B10="","",IF(SUMIFS('ИТОГО Торговля'!$F$5:$F$300,'ИТОГО Торговля'!$B$5:$B$300,$B10)+SUMIFS('ИТОГО Лэндинг'!$F$5:$F$300,'ИТОГО Лэндинг'!$B$5:$B$300,$B10)=0,"",SUMIFS('ИТОГО Торговля'!$F$5:$F$300,'ИТОГО Торговля'!$B$5:$B$300,$B10)+SUMIFS('ИТОГО Лэндинг'!$F$5:$F$300,'ИТОГО Лэндинг'!$B$5:$B$300,$B10)))</f>
        <v/>
      </c>
      <c r="G10" s="183" t="str">
        <f>IF(F10="","",H10/F10)</f>
        <v/>
      </c>
      <c r="H10" s="247" t="str">
        <f>IF(F10="","",SUMIFS('ИТОГО Торговля'!$H$5:$H$300,'ИТОГО Торговля'!$B$5:$B$300,$B10)+SUMIFS('ИТОГО Лэндинг'!$H$5:$H$300,'ИТОГО Лэндинг'!$B$5:$B$300,$B10))</f>
        <v/>
      </c>
      <c r="I10" s="246" t="str">
        <f>IF($B10="","",IF(AND(C10="",F10=""),"",ROUND(SUMIFS('ИТОГО Торговля'!$I$5:$I$300,'ИТОГО Торговля'!$B$5:$B$300,$B10)+SUMIFS('ИТОГО Лэндинг'!$I$5:$I$300,'ИТОГО Лэндинг'!$B$5:$B$300,$B10),8)))</f>
        <v/>
      </c>
      <c r="J10" s="247" t="str">
        <f>IF($B10="","",IF(AND(C10="",F10=""),"",ROUND(SUMIFS('ИТОГО Торговля'!$J$5:$J$300,'ИТОГО Торговля'!$B$5:$B$300,$B10)+SUMIFS('ИТОГО Лэндинг'!$J$5:$J$300,'ИТОГО Лэндинг'!$B$5:$B$300,$B10),8)))</f>
        <v/>
      </c>
      <c r="K10" s="246" t="str">
        <f>IF(MIN(N(C10),N(F10))&lt;=0,"",ROUND(MIN(N(C10),N(F10))*(N(G10)-N(D10)),8))</f>
        <v/>
      </c>
      <c r="L10" s="183" t="str">
        <f>IF(MIN(N(C10),N(F10))&lt;=0,"",IF(N(D10)=0,"",ROUND((N(G10)/N(D10)-1)*100,2)))</f>
        <v/>
      </c>
      <c r="M10" s="183" t="str">
        <f>IF(OR(ROUND(N(C10)-N(F10),8)=0,1-N(Ввод!$J$19)/100&lt;=0),"",IF(N(C10)&gt;N(F10),(N(E10)-N(H10))/((N(C10)-N(F10))*(1-N(Ввод!$J$19)/100)),(N(H10)-N(E10))/((N(F10)-N(C10))*(1+N(Ввод!$J$19)/100))))</f>
        <v/>
      </c>
    </row>
    <row r="11" ht="22" customHeight="1">
      <c r="B11" s="239"/>
      <c r="C11" s="240" t="str">
        <f>IF($B11="","",IF(SUMIFS('ИТОГО Торговля'!$C$5:$C$300,'ИТОГО Торговля'!$B$5:$B$300,$B11)+SUMIFS('ИТОГО Лэндинг'!$C$5:$C$300,'ИТОГО Лэндинг'!$B$5:$B$300,$B11)=0,"",SUMIFS('ИТОГО Торговля'!$C$5:$C$300,'ИТОГО Торговля'!$B$5:$B$300,$B11)+SUMIFS('ИТОГО Лэндинг'!$C$5:$C$300,'ИТОГО Лэндинг'!$B$5:$B$300,$B11)))</f>
        <v/>
      </c>
      <c r="D11" s="177" t="str">
        <f>IF(C11="","",E11/C11)</f>
        <v/>
      </c>
      <c r="E11" s="241" t="str">
        <f>IF(C11="","",SUMIFS('ИТОГО Торговля'!$E$5:$E$300,'ИТОГО Торговля'!$B$5:$B$300,$B11)+SUMIFS('ИТОГО Лэндинг'!$E$5:$E$300,'ИТОГО Лэндинг'!$B$5:$B$300,$B11))</f>
        <v/>
      </c>
      <c r="F11" s="240" t="str">
        <f>IF($B11="","",IF(SUMIFS('ИТОГО Торговля'!$F$5:$F$300,'ИТОГО Торговля'!$B$5:$B$300,$B11)+SUMIFS('ИТОГО Лэндинг'!$F$5:$F$300,'ИТОГО Лэндинг'!$B$5:$B$300,$B11)=0,"",SUMIFS('ИТОГО Торговля'!$F$5:$F$300,'ИТОГО Торговля'!$B$5:$B$300,$B11)+SUMIFS('ИТОГО Лэндинг'!$F$5:$F$300,'ИТОГО Лэндинг'!$B$5:$B$300,$B11)))</f>
        <v/>
      </c>
      <c r="G11" s="177" t="str">
        <f>IF(F11="","",H11/F11)</f>
        <v/>
      </c>
      <c r="H11" s="241" t="str">
        <f>IF(F11="","",SUMIFS('ИТОГО Торговля'!$H$5:$H$300,'ИТОГО Торговля'!$B$5:$B$300,$B11)+SUMIFS('ИТОГО Лэндинг'!$H$5:$H$300,'ИТОГО Лэндинг'!$B$5:$B$300,$B11))</f>
        <v/>
      </c>
      <c r="I11" s="240" t="str">
        <f>IF($B11="","",IF(AND(C11="",F11=""),"",ROUND(SUMIFS('ИТОГО Торговля'!$I$5:$I$300,'ИТОГО Торговля'!$B$5:$B$300,$B11)+SUMIFS('ИТОГО Лэндинг'!$I$5:$I$300,'ИТОГО Лэндинг'!$B$5:$B$300,$B11),8)))</f>
        <v/>
      </c>
      <c r="J11" s="241" t="str">
        <f>IF($B11="","",IF(AND(C11="",F11=""),"",ROUND(SUMIFS('ИТОГО Торговля'!$J$5:$J$300,'ИТОГО Торговля'!$B$5:$B$300,$B11)+SUMIFS('ИТОГО Лэндинг'!$J$5:$J$300,'ИТОГО Лэндинг'!$B$5:$B$300,$B11),8)))</f>
        <v/>
      </c>
      <c r="K11" s="240" t="str">
        <f>IF(MIN(N(C11),N(F11))&lt;=0,"",ROUND(MIN(N(C11),N(F11))*(N(G11)-N(D11)),8))</f>
        <v/>
      </c>
      <c r="L11" s="177" t="str">
        <f>IF(MIN(N(C11),N(F11))&lt;=0,"",IF(N(D11)=0,"",ROUND((N(G11)/N(D11)-1)*100,2)))</f>
        <v/>
      </c>
      <c r="M11" s="177" t="str">
        <f>IF(OR(ROUND(N(C11)-N(F11),8)=0,1-N(Ввод!$J$19)/100&lt;=0),"",IF(N(C11)&gt;N(F11),(N(E11)-N(H11))/((N(C11)-N(F11))*(1-N(Ввод!$J$19)/100)),(N(H11)-N(E11))/((N(F11)-N(C11))*(1+N(Ввод!$J$19)/100))))</f>
        <v/>
      </c>
    </row>
    <row r="12" ht="22" customHeight="1">
      <c r="B12" s="245"/>
      <c r="C12" s="246" t="str">
        <f>IF($B12="","",IF(SUMIFS('ИТОГО Торговля'!$C$5:$C$300,'ИТОГО Торговля'!$B$5:$B$300,$B12)+SUMIFS('ИТОГО Лэндинг'!$C$5:$C$300,'ИТОГО Лэндинг'!$B$5:$B$300,$B12)=0,"",SUMIFS('ИТОГО Торговля'!$C$5:$C$300,'ИТОГО Торговля'!$B$5:$B$300,$B12)+SUMIFS('ИТОГО Лэндинг'!$C$5:$C$300,'ИТОГО Лэндинг'!$B$5:$B$300,$B12)))</f>
        <v/>
      </c>
      <c r="D12" s="183" t="str">
        <f>IF(C12="","",E12/C12)</f>
        <v/>
      </c>
      <c r="E12" s="247" t="str">
        <f>IF(C12="","",SUMIFS('ИТОГО Торговля'!$E$5:$E$300,'ИТОГО Торговля'!$B$5:$B$300,$B12)+SUMIFS('ИТОГО Лэндинг'!$E$5:$E$300,'ИТОГО Лэндинг'!$B$5:$B$300,$B12))</f>
        <v/>
      </c>
      <c r="F12" s="246" t="str">
        <f>IF($B12="","",IF(SUMIFS('ИТОГО Торговля'!$F$5:$F$300,'ИТОГО Торговля'!$B$5:$B$300,$B12)+SUMIFS('ИТОГО Лэндинг'!$F$5:$F$300,'ИТОГО Лэндинг'!$B$5:$B$300,$B12)=0,"",SUMIFS('ИТОГО Торговля'!$F$5:$F$300,'ИТОГО Торговля'!$B$5:$B$300,$B12)+SUMIFS('ИТОГО Лэндинг'!$F$5:$F$300,'ИТОГО Лэндинг'!$B$5:$B$300,$B12)))</f>
        <v/>
      </c>
      <c r="G12" s="183" t="str">
        <f>IF(F12="","",H12/F12)</f>
        <v/>
      </c>
      <c r="H12" s="247" t="str">
        <f>IF(F12="","",SUMIFS('ИТОГО Торговля'!$H$5:$H$300,'ИТОГО Торговля'!$B$5:$B$300,$B12)+SUMIFS('ИТОГО Лэндинг'!$H$5:$H$300,'ИТОГО Лэндинг'!$B$5:$B$300,$B12))</f>
        <v/>
      </c>
      <c r="I12" s="246" t="str">
        <f>IF($B12="","",IF(AND(C12="",F12=""),"",ROUND(SUMIFS('ИТОГО Торговля'!$I$5:$I$300,'ИТОГО Торговля'!$B$5:$B$300,$B12)+SUMIFS('ИТОГО Лэндинг'!$I$5:$I$300,'ИТОГО Лэндинг'!$B$5:$B$300,$B12),8)))</f>
        <v/>
      </c>
      <c r="J12" s="247" t="str">
        <f>IF($B12="","",IF(AND(C12="",F12=""),"",ROUND(SUMIFS('ИТОГО Торговля'!$J$5:$J$300,'ИТОГО Торговля'!$B$5:$B$300,$B12)+SUMIFS('ИТОГО Лэндинг'!$J$5:$J$300,'ИТОГО Лэндинг'!$B$5:$B$300,$B12),8)))</f>
        <v/>
      </c>
      <c r="K12" s="246" t="str">
        <f>IF(MIN(N(C12),N(F12))&lt;=0,"",ROUND(MIN(N(C12),N(F12))*(N(G12)-N(D12)),8))</f>
        <v/>
      </c>
      <c r="L12" s="183" t="str">
        <f>IF(MIN(N(C12),N(F12))&lt;=0,"",IF(N(D12)=0,"",ROUND((N(G12)/N(D12)-1)*100,2)))</f>
        <v/>
      </c>
      <c r="M12" s="183" t="str">
        <f>IF(OR(ROUND(N(C12)-N(F12),8)=0,1-N(Ввод!$J$19)/100&lt;=0),"",IF(N(C12)&gt;N(F12),(N(E12)-N(H12))/((N(C12)-N(F12))*(1-N(Ввод!$J$19)/100)),(N(H12)-N(E12))/((N(F12)-N(C12))*(1+N(Ввод!$J$19)/100))))</f>
        <v/>
      </c>
    </row>
    <row r="13" ht="22" customHeight="1">
      <c r="B13" s="239" t="n"/>
      <c r="C13" s="240" t="str">
        <f>IF($B13="","",IF(SUMIFS('ИТОГО Торговля'!$C$5:$C$300,'ИТОГО Торговля'!$B$5:$B$300,$B13)+SUMIFS('ИТОГО Лэндинг'!$C$5:$C$300,'ИТОГО Лэндинг'!$B$5:$B$300,$B13)=0,"",SUMIFS('ИТОГО Торговля'!$C$5:$C$300,'ИТОГО Торговля'!$B$5:$B$300,$B13)+SUMIFS('ИТОГО Лэндинг'!$C$5:$C$300,'ИТОГО Лэндинг'!$B$5:$B$300,$B13)))</f>
        <v/>
      </c>
      <c r="D13" s="177" t="str">
        <f>IF(C13="","",E13/C13)</f>
        <v/>
      </c>
      <c r="E13" s="241" t="str">
        <f>IF(C13="","",SUMIFS('ИТОГО Торговля'!$E$5:$E$300,'ИТОГО Торговля'!$B$5:$B$300,$B13)+SUMIFS('ИТОГО Лэндинг'!$E$5:$E$300,'ИТОГО Лэндинг'!$B$5:$B$300,$B13))</f>
        <v/>
      </c>
      <c r="F13" s="240" t="str">
        <f>IF($B13="","",IF(SUMIFS('ИТОГО Торговля'!$F$5:$F$300,'ИТОГО Торговля'!$B$5:$B$300,$B13)+SUMIFS('ИТОГО Лэндинг'!$F$5:$F$300,'ИТОГО Лэндинг'!$B$5:$B$300,$B13)=0,"",SUMIFS('ИТОГО Торговля'!$F$5:$F$300,'ИТОГО Торговля'!$B$5:$B$300,$B13)+SUMIFS('ИТОГО Лэндинг'!$F$5:$F$300,'ИТОГО Лэндинг'!$B$5:$B$300,$B13)))</f>
        <v/>
      </c>
      <c r="G13" s="177" t="str">
        <f>IF(F13="","",H13/F13)</f>
        <v/>
      </c>
      <c r="H13" s="241" t="str">
        <f>IF(F13="","",SUMIFS('ИТОГО Торговля'!$H$5:$H$300,'ИТОГО Торговля'!$B$5:$B$300,$B13)+SUMIFS('ИТОГО Лэндинг'!$H$5:$H$300,'ИТОГО Лэндинг'!$B$5:$B$300,$B13))</f>
        <v/>
      </c>
      <c r="I13" s="240" t="str">
        <f>IF($B13="","",IF(AND(C13="",F13=""),"",ROUND(SUMIFS('ИТОГО Торговля'!$I$5:$I$300,'ИТОГО Торговля'!$B$5:$B$300,$B13)+SUMIFS('ИТОГО Лэндинг'!$I$5:$I$300,'ИТОГО Лэндинг'!$B$5:$B$300,$B13),8)))</f>
        <v/>
      </c>
      <c r="J13" s="241" t="str">
        <f>IF($B13="","",IF(AND(C13="",F13=""),"",ROUND(SUMIFS('ИТОГО Торговля'!$J$5:$J$300,'ИТОГО Торговля'!$B$5:$B$300,$B13)+SUMIFS('ИТОГО Лэндинг'!$J$5:$J$300,'ИТОГО Лэндинг'!$B$5:$B$300,$B13),8)))</f>
        <v/>
      </c>
      <c r="K13" s="240" t="str">
        <f>IF(MIN(N(C13),N(F13))&lt;=0,"",ROUND(MIN(N(C13),N(F13))*(N(G13)-N(D13)),8))</f>
        <v/>
      </c>
      <c r="L13" s="177" t="str">
        <f>IF(MIN(N(C13),N(F13))&lt;=0,"",IF(N(D13)=0,"",ROUND((N(G13)/N(D13)-1)*100,2)))</f>
        <v/>
      </c>
      <c r="M13" s="177" t="str">
        <f>IF(OR(ROUND(N(C13)-N(F13),8)=0,1-N(Ввод!$J$19)/100&lt;=0),"",IF(N(C13)&gt;N(F13),(N(E13)-N(H13))/((N(C13)-N(F13))*(1-N(Ввод!$J$19)/100)),(N(H13)-N(E13))/((N(F13)-N(C13))*(1+N(Ввод!$J$19)/100))))</f>
        <v/>
      </c>
    </row>
    <row r="14" ht="22" customHeight="1">
      <c r="B14" s="245" t="n"/>
      <c r="C14" s="246" t="str">
        <f>IF($B14="","",IF(SUMIFS('ИТОГО Торговля'!$C$5:$C$300,'ИТОГО Торговля'!$B$5:$B$300,$B14)+SUMIFS('ИТОГО Лэндинг'!$C$5:$C$300,'ИТОГО Лэндинг'!$B$5:$B$300,$B14)=0,"",SUMIFS('ИТОГО Торговля'!$C$5:$C$300,'ИТОГО Торговля'!$B$5:$B$300,$B14)+SUMIFS('ИТОГО Лэндинг'!$C$5:$C$300,'ИТОГО Лэндинг'!$B$5:$B$300,$B14)))</f>
        <v/>
      </c>
      <c r="D14" s="183" t="str">
        <f>IF(C14="","",E14/C14)</f>
        <v/>
      </c>
      <c r="E14" s="247" t="str">
        <f>IF(C14="","",SUMIFS('ИТОГО Торговля'!$E$5:$E$300,'ИТОГО Торговля'!$B$5:$B$300,$B14)+SUMIFS('ИТОГО Лэндинг'!$E$5:$E$300,'ИТОГО Лэндинг'!$B$5:$B$300,$B14))</f>
        <v/>
      </c>
      <c r="F14" s="246" t="str">
        <f>IF($B14="","",IF(SUMIFS('ИТОГО Торговля'!$F$5:$F$300,'ИТОГО Торговля'!$B$5:$B$300,$B14)+SUMIFS('ИТОГО Лэндинг'!$F$5:$F$300,'ИТОГО Лэндинг'!$B$5:$B$300,$B14)=0,"",SUMIFS('ИТОГО Торговля'!$F$5:$F$300,'ИТОГО Торговля'!$B$5:$B$300,$B14)+SUMIFS('ИТОГО Лэндинг'!$F$5:$F$300,'ИТОГО Лэндинг'!$B$5:$B$300,$B14)))</f>
        <v/>
      </c>
      <c r="G14" s="183" t="str">
        <f>IF(F14="","",H14/F14)</f>
        <v/>
      </c>
      <c r="H14" s="247" t="str">
        <f>IF(F14="","",SUMIFS('ИТОГО Торговля'!$H$5:$H$300,'ИТОГО Торговля'!$B$5:$B$300,$B14)+SUMIFS('ИТОГО Лэндинг'!$H$5:$H$300,'ИТОГО Лэндинг'!$B$5:$B$300,$B14))</f>
        <v/>
      </c>
      <c r="I14" s="246" t="str">
        <f>IF($B14="","",IF(AND(C14="",F14=""),"",ROUND(SUMIFS('ИТОГО Торговля'!$I$5:$I$300,'ИТОГО Торговля'!$B$5:$B$300,$B14)+SUMIFS('ИТОГО Лэндинг'!$I$5:$I$300,'ИТОГО Лэндинг'!$B$5:$B$300,$B14),8)))</f>
        <v/>
      </c>
      <c r="J14" s="247" t="str">
        <f>IF($B14="","",IF(AND(C14="",F14=""),"",ROUND(SUMIFS('ИТОГО Торговля'!$J$5:$J$300,'ИТОГО Торговля'!$B$5:$B$300,$B14)+SUMIFS('ИТОГО Лэндинг'!$J$5:$J$300,'ИТОГО Лэндинг'!$B$5:$B$300,$B14),8)))</f>
        <v/>
      </c>
      <c r="K14" s="246" t="str">
        <f>IF(MIN(N(C14),N(F14))&lt;=0,"",ROUND(MIN(N(C14),N(F14))*(N(G14)-N(D14)),8))</f>
        <v/>
      </c>
      <c r="L14" s="183" t="str">
        <f>IF(MIN(N(C14),N(F14))&lt;=0,"",IF(N(D14)=0,"",ROUND((N(G14)/N(D14)-1)*100,2)))</f>
        <v/>
      </c>
      <c r="M14" s="183" t="str">
        <f>IF(OR(ROUND(N(C14)-N(F14),8)=0,1-N(Ввод!$J$19)/100&lt;=0),"",IF(N(C14)&gt;N(F14),(N(E14)-N(H14))/((N(C14)-N(F14))*(1-N(Ввод!$J$19)/100)),(N(H14)-N(E14))/((N(F14)-N(C14))*(1+N(Ввод!$J$19)/100))))</f>
        <v/>
      </c>
    </row>
    <row r="15" ht="22" customHeight="1">
      <c r="B15" s="239" t="n"/>
      <c r="C15" s="240" t="str">
        <f>IF($B15="","",IF(SUMIFS('ИТОГО Торговля'!$C$5:$C$300,'ИТОГО Торговля'!$B$5:$B$300,$B15)+SUMIFS('ИТОГО Лэндинг'!$C$5:$C$300,'ИТОГО Лэндинг'!$B$5:$B$300,$B15)=0,"",SUMIFS('ИТОГО Торговля'!$C$5:$C$300,'ИТОГО Торговля'!$B$5:$B$300,$B15)+SUMIFS('ИТОГО Лэндинг'!$C$5:$C$300,'ИТОГО Лэндинг'!$B$5:$B$300,$B15)))</f>
        <v/>
      </c>
      <c r="D15" s="177" t="str">
        <f>IF(C15="","",E15/C15)</f>
        <v/>
      </c>
      <c r="E15" s="241" t="str">
        <f>IF(C15="","",SUMIFS('ИТОГО Торговля'!$E$5:$E$300,'ИТОГО Торговля'!$B$5:$B$300,$B15)+SUMIFS('ИТОГО Лэндинг'!$E$5:$E$300,'ИТОГО Лэндинг'!$B$5:$B$300,$B15))</f>
        <v/>
      </c>
      <c r="F15" s="240" t="str">
        <f>IF($B15="","",IF(SUMIFS('ИТОГО Торговля'!$F$5:$F$300,'ИТОГО Торговля'!$B$5:$B$300,$B15)+SUMIFS('ИТОГО Лэндинг'!$F$5:$F$300,'ИТОГО Лэндинг'!$B$5:$B$300,$B15)=0,"",SUMIFS('ИТОГО Торговля'!$F$5:$F$300,'ИТОГО Торговля'!$B$5:$B$300,$B15)+SUMIFS('ИТОГО Лэндинг'!$F$5:$F$300,'ИТОГО Лэндинг'!$B$5:$B$300,$B15)))</f>
        <v/>
      </c>
      <c r="G15" s="177" t="str">
        <f>IF(F15="","",H15/F15)</f>
        <v/>
      </c>
      <c r="H15" s="241" t="str">
        <f>IF(F15="","",SUMIFS('ИТОГО Торговля'!$H$5:$H$300,'ИТОГО Торговля'!$B$5:$B$300,$B15)+SUMIFS('ИТОГО Лэндинг'!$H$5:$H$300,'ИТОГО Лэндинг'!$B$5:$B$300,$B15))</f>
        <v/>
      </c>
      <c r="I15" s="240" t="str">
        <f>IF($B15="","",IF(AND(C15="",F15=""),"",ROUND(SUMIFS('ИТОГО Торговля'!$I$5:$I$300,'ИТОГО Торговля'!$B$5:$B$300,$B15)+SUMIFS('ИТОГО Лэндинг'!$I$5:$I$300,'ИТОГО Лэндинг'!$B$5:$B$300,$B15),8)))</f>
        <v/>
      </c>
      <c r="J15" s="241" t="str">
        <f>IF($B15="","",IF(AND(C15="",F15=""),"",ROUND(SUMIFS('ИТОГО Торговля'!$J$5:$J$300,'ИТОГО Торговля'!$B$5:$B$300,$B15)+SUMIFS('ИТОГО Лэндинг'!$J$5:$J$300,'ИТОГО Лэндинг'!$B$5:$B$300,$B15),8)))</f>
        <v/>
      </c>
      <c r="K15" s="240" t="str">
        <f>IF(MIN(N(C15),N(F15))&lt;=0,"",ROUND(MIN(N(C15),N(F15))*(N(G15)-N(D15)),8))</f>
        <v/>
      </c>
      <c r="L15" s="177" t="str">
        <f>IF(MIN(N(C15),N(F15))&lt;=0,"",IF(N(D15)=0,"",ROUND((N(G15)/N(D15)-1)*100,2)))</f>
        <v/>
      </c>
      <c r="M15" s="177" t="str">
        <f>IF(OR(ROUND(N(C15)-N(F15),8)=0,1-N(Ввод!$J$19)/100&lt;=0),"",IF(N(C15)&gt;N(F15),(N(E15)-N(H15))/((N(C15)-N(F15))*(1-N(Ввод!$J$19)/100)),(N(H15)-N(E15))/((N(F15)-N(C15))*(1+N(Ввод!$J$19)/100))))</f>
        <v/>
      </c>
    </row>
    <row r="16" ht="22" customHeight="1">
      <c r="B16" s="245" t="n"/>
      <c r="C16" s="246" t="str">
        <f>IF($B16="","",IF(SUMIFS('ИТОГО Торговля'!$C$5:$C$300,'ИТОГО Торговля'!$B$5:$B$300,$B16)+SUMIFS('ИТОГО Лэндинг'!$C$5:$C$300,'ИТОГО Лэндинг'!$B$5:$B$300,$B16)=0,"",SUMIFS('ИТОГО Торговля'!$C$5:$C$300,'ИТОГО Торговля'!$B$5:$B$300,$B16)+SUMIFS('ИТОГО Лэндинг'!$C$5:$C$300,'ИТОГО Лэндинг'!$B$5:$B$300,$B16)))</f>
        <v/>
      </c>
      <c r="D16" s="183" t="str">
        <f>IF(C16="","",E16/C16)</f>
        <v/>
      </c>
      <c r="E16" s="247" t="str">
        <f>IF(C16="","",SUMIFS('ИТОГО Торговля'!$E$5:$E$300,'ИТОГО Торговля'!$B$5:$B$300,$B16)+SUMIFS('ИТОГО Лэндинг'!$E$5:$E$300,'ИТОГО Лэндинг'!$B$5:$B$300,$B16))</f>
        <v/>
      </c>
      <c r="F16" s="246" t="str">
        <f>IF($B16="","",IF(SUMIFS('ИТОГО Торговля'!$F$5:$F$300,'ИТОГО Торговля'!$B$5:$B$300,$B16)+SUMIFS('ИТОГО Лэндинг'!$F$5:$F$300,'ИТОГО Лэндинг'!$B$5:$B$300,$B16)=0,"",SUMIFS('ИТОГО Торговля'!$F$5:$F$300,'ИТОГО Торговля'!$B$5:$B$300,$B16)+SUMIFS('ИТОГО Лэндинг'!$F$5:$F$300,'ИТОГО Лэндинг'!$B$5:$B$300,$B16)))</f>
        <v/>
      </c>
      <c r="G16" s="183" t="str">
        <f>IF(F16="","",H16/F16)</f>
        <v/>
      </c>
      <c r="H16" s="247" t="str">
        <f>IF(F16="","",SUMIFS('ИТОГО Торговля'!$H$5:$H$300,'ИТОГО Торговля'!$B$5:$B$300,$B16)+SUMIFS('ИТОГО Лэндинг'!$H$5:$H$300,'ИТОГО Лэндинг'!$B$5:$B$300,$B16))</f>
        <v/>
      </c>
      <c r="I16" s="246" t="str">
        <f>IF($B16="","",IF(AND(C16="",F16=""),"",ROUND(SUMIFS('ИТОГО Торговля'!$I$5:$I$300,'ИТОГО Торговля'!$B$5:$B$300,$B16)+SUMIFS('ИТОГО Лэндинг'!$I$5:$I$300,'ИТОГО Лэндинг'!$B$5:$B$300,$B16),8)))</f>
        <v/>
      </c>
      <c r="J16" s="247" t="str">
        <f>IF($B16="","",IF(AND(C16="",F16=""),"",ROUND(SUMIFS('ИТОГО Торговля'!$J$5:$J$300,'ИТОГО Торговля'!$B$5:$B$300,$B16)+SUMIFS('ИТОГО Лэндинг'!$J$5:$J$300,'ИТОГО Лэндинг'!$B$5:$B$300,$B16),8)))</f>
        <v/>
      </c>
      <c r="K16" s="246" t="str">
        <f>IF(MIN(N(C16),N(F16))&lt;=0,"",ROUND(MIN(N(C16),N(F16))*(N(G16)-N(D16)),8))</f>
        <v/>
      </c>
      <c r="L16" s="183" t="str">
        <f>IF(MIN(N(C16),N(F16))&lt;=0,"",IF(N(D16)=0,"",ROUND((N(G16)/N(D16)-1)*100,2)))</f>
        <v/>
      </c>
      <c r="M16" s="183" t="str">
        <f>IF(OR(ROUND(N(C16)-N(F16),8)=0,1-N(Ввод!$J$19)/100&lt;=0),"",IF(N(C16)&gt;N(F16),(N(E16)-N(H16))/((N(C16)-N(F16))*(1-N(Ввод!$J$19)/100)),(N(H16)-N(E16))/((N(F16)-N(C16))*(1+N(Ввод!$J$19)/100))))</f>
        <v/>
      </c>
    </row>
    <row r="17" ht="22" customHeight="1">
      <c r="B17" s="239" t="n"/>
      <c r="C17" s="240" t="str">
        <f>IF($B17="","",IF(SUMIFS('ИТОГО Торговля'!$C$5:$C$300,'ИТОГО Торговля'!$B$5:$B$300,$B17)+SUMIFS('ИТОГО Лэндинг'!$C$5:$C$300,'ИТОГО Лэндинг'!$B$5:$B$300,$B17)=0,"",SUMIFS('ИТОГО Торговля'!$C$5:$C$300,'ИТОГО Торговля'!$B$5:$B$300,$B17)+SUMIFS('ИТОГО Лэндинг'!$C$5:$C$300,'ИТОГО Лэндинг'!$B$5:$B$300,$B17)))</f>
        <v/>
      </c>
      <c r="D17" s="177" t="str">
        <f>IF(C17="","",E17/C17)</f>
        <v/>
      </c>
      <c r="E17" s="241" t="str">
        <f>IF(C17="","",SUMIFS('ИТОГО Торговля'!$E$5:$E$300,'ИТОГО Торговля'!$B$5:$B$300,$B17)+SUMIFS('ИТОГО Лэндинг'!$E$5:$E$300,'ИТОГО Лэндинг'!$B$5:$B$300,$B17))</f>
        <v/>
      </c>
      <c r="F17" s="240" t="str">
        <f>IF($B17="","",IF(SUMIFS('ИТОГО Торговля'!$F$5:$F$300,'ИТОГО Торговля'!$B$5:$B$300,$B17)+SUMIFS('ИТОГО Лэндинг'!$F$5:$F$300,'ИТОГО Лэндинг'!$B$5:$B$300,$B17)=0,"",SUMIFS('ИТОГО Торговля'!$F$5:$F$300,'ИТОГО Торговля'!$B$5:$B$300,$B17)+SUMIFS('ИТОГО Лэндинг'!$F$5:$F$300,'ИТОГО Лэндинг'!$B$5:$B$300,$B17)))</f>
        <v/>
      </c>
      <c r="G17" s="177" t="str">
        <f>IF(F17="","",H17/F17)</f>
        <v/>
      </c>
      <c r="H17" s="241" t="str">
        <f>IF(F17="","",SUMIFS('ИТОГО Торговля'!$H$5:$H$300,'ИТОГО Торговля'!$B$5:$B$300,$B17)+SUMIFS('ИТОГО Лэндинг'!$H$5:$H$300,'ИТОГО Лэндинг'!$B$5:$B$300,$B17))</f>
        <v/>
      </c>
      <c r="I17" s="240" t="str">
        <f>IF($B17="","",IF(AND(C17="",F17=""),"",ROUND(SUMIFS('ИТОГО Торговля'!$I$5:$I$300,'ИТОГО Торговля'!$B$5:$B$300,$B17)+SUMIFS('ИТОГО Лэндинг'!$I$5:$I$300,'ИТОГО Лэндинг'!$B$5:$B$300,$B17),8)))</f>
        <v/>
      </c>
      <c r="J17" s="241" t="str">
        <f>IF($B17="","",IF(AND(C17="",F17=""),"",ROUND(SUMIFS('ИТОГО Торговля'!$J$5:$J$300,'ИТОГО Торговля'!$B$5:$B$300,$B17)+SUMIFS('ИТОГО Лэндинг'!$J$5:$J$300,'ИТОГО Лэндинг'!$B$5:$B$300,$B17),8)))</f>
        <v/>
      </c>
      <c r="K17" s="240" t="str">
        <f>IF(MIN(N(C17),N(F17))&lt;=0,"",ROUND(MIN(N(C17),N(F17))*(N(G17)-N(D17)),8))</f>
        <v/>
      </c>
      <c r="L17" s="177" t="str">
        <f>IF(MIN(N(C17),N(F17))&lt;=0,"",IF(N(D17)=0,"",ROUND((N(G17)/N(D17)-1)*100,2)))</f>
        <v/>
      </c>
      <c r="M17" s="177" t="str">
        <f>IF(OR(ROUND(N(C17)-N(F17),8)=0,1-N(Ввод!$J$19)/100&lt;=0),"",IF(N(C17)&gt;N(F17),(N(E17)-N(H17))/((N(C17)-N(F17))*(1-N(Ввод!$J$19)/100)),(N(H17)-N(E17))/((N(F17)-N(C17))*(1+N(Ввод!$J$19)/100))))</f>
        <v/>
      </c>
    </row>
    <row r="18" ht="22" customHeight="1">
      <c r="B18" s="245" t="n"/>
      <c r="C18" s="246" t="str">
        <f>IF($B18="","",IF(SUMIFS('ИТОГО Торговля'!$C$5:$C$300,'ИТОГО Торговля'!$B$5:$B$300,$B18)+SUMIFS('ИТОГО Лэндинг'!$C$5:$C$300,'ИТОГО Лэндинг'!$B$5:$B$300,$B18)=0,"",SUMIFS('ИТОГО Торговля'!$C$5:$C$300,'ИТОГО Торговля'!$B$5:$B$300,$B18)+SUMIFS('ИТОГО Лэндинг'!$C$5:$C$300,'ИТОГО Лэндинг'!$B$5:$B$300,$B18)))</f>
        <v/>
      </c>
      <c r="D18" s="183" t="str">
        <f>IF(C18="","",E18/C18)</f>
        <v/>
      </c>
      <c r="E18" s="247" t="str">
        <f>IF(C18="","",SUMIFS('ИТОГО Торговля'!$E$5:$E$300,'ИТОГО Торговля'!$B$5:$B$300,$B18)+SUMIFS('ИТОГО Лэндинг'!$E$5:$E$300,'ИТОГО Лэндинг'!$B$5:$B$300,$B18))</f>
        <v/>
      </c>
      <c r="F18" s="246" t="str">
        <f>IF($B18="","",IF(SUMIFS('ИТОГО Торговля'!$F$5:$F$300,'ИТОГО Торговля'!$B$5:$B$300,$B18)+SUMIFS('ИТОГО Лэндинг'!$F$5:$F$300,'ИТОГО Лэндинг'!$B$5:$B$300,$B18)=0,"",SUMIFS('ИТОГО Торговля'!$F$5:$F$300,'ИТОГО Торговля'!$B$5:$B$300,$B18)+SUMIFS('ИТОГО Лэндинг'!$F$5:$F$300,'ИТОГО Лэндинг'!$B$5:$B$300,$B18)))</f>
        <v/>
      </c>
      <c r="G18" s="183" t="str">
        <f>IF(F18="","",H18/F18)</f>
        <v/>
      </c>
      <c r="H18" s="247" t="str">
        <f>IF(F18="","",SUMIFS('ИТОГО Торговля'!$H$5:$H$300,'ИТОГО Торговля'!$B$5:$B$300,$B18)+SUMIFS('ИТОГО Лэндинг'!$H$5:$H$300,'ИТОГО Лэндинг'!$B$5:$B$300,$B18))</f>
        <v/>
      </c>
      <c r="I18" s="246" t="str">
        <f>IF($B18="","",IF(AND(C18="",F18=""),"",ROUND(SUMIFS('ИТОГО Торговля'!$I$5:$I$300,'ИТОГО Торговля'!$B$5:$B$300,$B18)+SUMIFS('ИТОГО Лэндинг'!$I$5:$I$300,'ИТОГО Лэндинг'!$B$5:$B$300,$B18),8)))</f>
        <v/>
      </c>
      <c r="J18" s="247" t="str">
        <f>IF($B18="","",IF(AND(C18="",F18=""),"",ROUND(SUMIFS('ИТОГО Торговля'!$J$5:$J$300,'ИТОГО Торговля'!$B$5:$B$300,$B18)+SUMIFS('ИТОГО Лэндинг'!$J$5:$J$300,'ИТОГО Лэндинг'!$B$5:$B$300,$B18),8)))</f>
        <v/>
      </c>
      <c r="K18" s="246" t="str">
        <f>IF(MIN(N(C18),N(F18))&lt;=0,"",ROUND(MIN(N(C18),N(F18))*(N(G18)-N(D18)),8))</f>
        <v/>
      </c>
      <c r="L18" s="183" t="str">
        <f>IF(MIN(N(C18),N(F18))&lt;=0,"",IF(N(D18)=0,"",ROUND((N(G18)/N(D18)-1)*100,2)))</f>
        <v/>
      </c>
      <c r="M18" s="183" t="str">
        <f>IF(OR(ROUND(N(C18)-N(F18),8)=0,1-N(Ввод!$J$19)/100&lt;=0),"",IF(N(C18)&gt;N(F18),(N(E18)-N(H18))/((N(C18)-N(F18))*(1-N(Ввод!$J$19)/100)),(N(H18)-N(E18))/((N(F18)-N(C18))*(1+N(Ввод!$J$19)/100))))</f>
        <v/>
      </c>
    </row>
    <row r="19" ht="22" customHeight="1">
      <c r="B19" s="239" t="n"/>
      <c r="C19" s="240" t="str">
        <f>IF($B19="","",IF(SUMIFS('ИТОГО Торговля'!$C$5:$C$300,'ИТОГО Торговля'!$B$5:$B$300,$B19)+SUMIFS('ИТОГО Лэндинг'!$C$5:$C$300,'ИТОГО Лэндинг'!$B$5:$B$300,$B19)=0,"",SUMIFS('ИТОГО Торговля'!$C$5:$C$300,'ИТОГО Торговля'!$B$5:$B$300,$B19)+SUMIFS('ИТОГО Лэндинг'!$C$5:$C$300,'ИТОГО Лэндинг'!$B$5:$B$300,$B19)))</f>
        <v/>
      </c>
      <c r="D19" s="177" t="str">
        <f>IF(C19="","",E19/C19)</f>
        <v/>
      </c>
      <c r="E19" s="241" t="str">
        <f>IF(C19="","",SUMIFS('ИТОГО Торговля'!$E$5:$E$300,'ИТОГО Торговля'!$B$5:$B$300,$B19)+SUMIFS('ИТОГО Лэндинг'!$E$5:$E$300,'ИТОГО Лэндинг'!$B$5:$B$300,$B19))</f>
        <v/>
      </c>
      <c r="F19" s="240" t="str">
        <f>IF($B19="","",IF(SUMIFS('ИТОГО Торговля'!$F$5:$F$300,'ИТОГО Торговля'!$B$5:$B$300,$B19)+SUMIFS('ИТОГО Лэндинг'!$F$5:$F$300,'ИТОГО Лэндинг'!$B$5:$B$300,$B19)=0,"",SUMIFS('ИТОГО Торговля'!$F$5:$F$300,'ИТОГО Торговля'!$B$5:$B$300,$B19)+SUMIFS('ИТОГО Лэндинг'!$F$5:$F$300,'ИТОГО Лэндинг'!$B$5:$B$300,$B19)))</f>
        <v/>
      </c>
      <c r="G19" s="177" t="str">
        <f>IF(F19="","",H19/F19)</f>
        <v/>
      </c>
      <c r="H19" s="241" t="str">
        <f>IF(F19="","",SUMIFS('ИТОГО Торговля'!$H$5:$H$300,'ИТОГО Торговля'!$B$5:$B$300,$B19)+SUMIFS('ИТОГО Лэндинг'!$H$5:$H$300,'ИТОГО Лэндинг'!$B$5:$B$300,$B19))</f>
        <v/>
      </c>
      <c r="I19" s="240" t="str">
        <f>IF($B19="","",IF(AND(C19="",F19=""),"",ROUND(SUMIFS('ИТОГО Торговля'!$I$5:$I$300,'ИТОГО Торговля'!$B$5:$B$300,$B19)+SUMIFS('ИТОГО Лэндинг'!$I$5:$I$300,'ИТОГО Лэндинг'!$B$5:$B$300,$B19),8)))</f>
        <v/>
      </c>
      <c r="J19" s="241" t="str">
        <f>IF($B19="","",IF(AND(C19="",F19=""),"",ROUND(SUMIFS('ИТОГО Торговля'!$J$5:$J$300,'ИТОГО Торговля'!$B$5:$B$300,$B19)+SUMIFS('ИТОГО Лэндинг'!$J$5:$J$300,'ИТОГО Лэндинг'!$B$5:$B$300,$B19),8)))</f>
        <v/>
      </c>
      <c r="K19" s="240" t="str">
        <f>IF(MIN(N(C19),N(F19))&lt;=0,"",ROUND(MIN(N(C19),N(F19))*(N(G19)-N(D19)),8))</f>
        <v/>
      </c>
      <c r="L19" s="177" t="str">
        <f>IF(MIN(N(C19),N(F19))&lt;=0,"",IF(N(D19)=0,"",ROUND((N(G19)/N(D19)-1)*100,2)))</f>
        <v/>
      </c>
      <c r="M19" s="177" t="str">
        <f>IF(OR(ROUND(N(C19)-N(F19),8)=0,1-N(Ввод!$J$19)/100&lt;=0),"",IF(N(C19)&gt;N(F19),(N(E19)-N(H19))/((N(C19)-N(F19))*(1-N(Ввод!$J$19)/100)),(N(H19)-N(E19))/((N(F19)-N(C19))*(1+N(Ввод!$J$19)/100))))</f>
        <v/>
      </c>
    </row>
    <row r="20" ht="22" customHeight="1">
      <c r="B20" s="245" t="n"/>
      <c r="C20" s="246" t="str">
        <f>IF($B20="","",IF(SUMIFS('ИТОГО Торговля'!$C$5:$C$300,'ИТОГО Торговля'!$B$5:$B$300,$B20)+SUMIFS('ИТОГО Лэндинг'!$C$5:$C$300,'ИТОГО Лэндинг'!$B$5:$B$300,$B20)=0,"",SUMIFS('ИТОГО Торговля'!$C$5:$C$300,'ИТОГО Торговля'!$B$5:$B$300,$B20)+SUMIFS('ИТОГО Лэндинг'!$C$5:$C$300,'ИТОГО Лэндинг'!$B$5:$B$300,$B20)))</f>
        <v/>
      </c>
      <c r="D20" s="183" t="str">
        <f>IF(C20="","",E20/C20)</f>
        <v/>
      </c>
      <c r="E20" s="247" t="str">
        <f>IF(C20="","",SUMIFS('ИТОГО Торговля'!$E$5:$E$300,'ИТОГО Торговля'!$B$5:$B$300,$B20)+SUMIFS('ИТОГО Лэндинг'!$E$5:$E$300,'ИТОГО Лэндинг'!$B$5:$B$300,$B20))</f>
        <v/>
      </c>
      <c r="F20" s="246" t="str">
        <f>IF($B20="","",IF(SUMIFS('ИТОГО Торговля'!$F$5:$F$300,'ИТОГО Торговля'!$B$5:$B$300,$B20)+SUMIFS('ИТОГО Лэндинг'!$F$5:$F$300,'ИТОГО Лэндинг'!$B$5:$B$300,$B20)=0,"",SUMIFS('ИТОГО Торговля'!$F$5:$F$300,'ИТОГО Торговля'!$B$5:$B$300,$B20)+SUMIFS('ИТОГО Лэндинг'!$F$5:$F$300,'ИТОГО Лэндинг'!$B$5:$B$300,$B20)))</f>
        <v/>
      </c>
      <c r="G20" s="183" t="str">
        <f>IF(F20="","",H20/F20)</f>
        <v/>
      </c>
      <c r="H20" s="247" t="str">
        <f>IF(F20="","",SUMIFS('ИТОГО Торговля'!$H$5:$H$300,'ИТОГО Торговля'!$B$5:$B$300,$B20)+SUMIFS('ИТОГО Лэндинг'!$H$5:$H$300,'ИТОГО Лэндинг'!$B$5:$B$300,$B20))</f>
        <v/>
      </c>
      <c r="I20" s="246" t="str">
        <f>IF($B20="","",IF(AND(C20="",F20=""),"",ROUND(SUMIFS('ИТОГО Торговля'!$I$5:$I$300,'ИТОГО Торговля'!$B$5:$B$300,$B20)+SUMIFS('ИТОГО Лэндинг'!$I$5:$I$300,'ИТОГО Лэндинг'!$B$5:$B$300,$B20),8)))</f>
        <v/>
      </c>
      <c r="J20" s="247" t="str">
        <f>IF($B20="","",IF(AND(C20="",F20=""),"",ROUND(SUMIFS('ИТОГО Торговля'!$J$5:$J$300,'ИТОГО Торговля'!$B$5:$B$300,$B20)+SUMIFS('ИТОГО Лэндинг'!$J$5:$J$300,'ИТОГО Лэндинг'!$B$5:$B$300,$B20),8)))</f>
        <v/>
      </c>
      <c r="K20" s="246" t="str">
        <f>IF(MIN(N(C20),N(F20))&lt;=0,"",ROUND(MIN(N(C20),N(F20))*(N(G20)-N(D20)),8))</f>
        <v/>
      </c>
      <c r="L20" s="183" t="str">
        <f>IF(MIN(N(C20),N(F20))&lt;=0,"",IF(N(D20)=0,"",ROUND((N(G20)/N(D20)-1)*100,2)))</f>
        <v/>
      </c>
      <c r="M20" s="183" t="str">
        <f>IF(OR(ROUND(N(C20)-N(F20),8)=0,1-N(Ввод!$J$19)/100&lt;=0),"",IF(N(C20)&gt;N(F20),(N(E20)-N(H20))/((N(C20)-N(F20))*(1-N(Ввод!$J$19)/100)),(N(H20)-N(E20))/((N(F20)-N(C20))*(1+N(Ввод!$J$19)/100))))</f>
        <v/>
      </c>
    </row>
    <row r="21" ht="22" customHeight="1">
      <c r="B21" s="239" t="n"/>
      <c r="C21" s="240" t="str">
        <f>IF($B21="","",IF(SUMIFS('ИТОГО Торговля'!$C$5:$C$300,'ИТОГО Торговля'!$B$5:$B$300,$B21)+SUMIFS('ИТОГО Лэндинг'!$C$5:$C$300,'ИТОГО Лэндинг'!$B$5:$B$300,$B21)=0,"",SUMIFS('ИТОГО Торговля'!$C$5:$C$300,'ИТОГО Торговля'!$B$5:$B$300,$B21)+SUMIFS('ИТОГО Лэндинг'!$C$5:$C$300,'ИТОГО Лэндинг'!$B$5:$B$300,$B21)))</f>
        <v/>
      </c>
      <c r="D21" s="177" t="str">
        <f>IF(C21="","",E21/C21)</f>
        <v/>
      </c>
      <c r="E21" s="241" t="str">
        <f>IF(C21="","",SUMIFS('ИТОГО Торговля'!$E$5:$E$300,'ИТОГО Торговля'!$B$5:$B$300,$B21)+SUMIFS('ИТОГО Лэндинг'!$E$5:$E$300,'ИТОГО Лэндинг'!$B$5:$B$300,$B21))</f>
        <v/>
      </c>
      <c r="F21" s="240" t="str">
        <f>IF($B21="","",IF(SUMIFS('ИТОГО Торговля'!$F$5:$F$300,'ИТОГО Торговля'!$B$5:$B$300,$B21)+SUMIFS('ИТОГО Лэндинг'!$F$5:$F$300,'ИТОГО Лэндинг'!$B$5:$B$300,$B21)=0,"",SUMIFS('ИТОГО Торговля'!$F$5:$F$300,'ИТОГО Торговля'!$B$5:$B$300,$B21)+SUMIFS('ИТОГО Лэндинг'!$F$5:$F$300,'ИТОГО Лэндинг'!$B$5:$B$300,$B21)))</f>
        <v/>
      </c>
      <c r="G21" s="177" t="str">
        <f>IF(F21="","",H21/F21)</f>
        <v/>
      </c>
      <c r="H21" s="241" t="str">
        <f>IF(F21="","",SUMIFS('ИТОГО Торговля'!$H$5:$H$300,'ИТОГО Торговля'!$B$5:$B$300,$B21)+SUMIFS('ИТОГО Лэндинг'!$H$5:$H$300,'ИТОГО Лэндинг'!$B$5:$B$300,$B21))</f>
        <v/>
      </c>
      <c r="I21" s="240" t="str">
        <f>IF($B21="","",IF(AND(C21="",F21=""),"",ROUND(SUMIFS('ИТОГО Торговля'!$I$5:$I$300,'ИТОГО Торговля'!$B$5:$B$300,$B21)+SUMIFS('ИТОГО Лэндинг'!$I$5:$I$300,'ИТОГО Лэндинг'!$B$5:$B$300,$B21),8)))</f>
        <v/>
      </c>
      <c r="J21" s="241" t="str">
        <f>IF($B21="","",IF(AND(C21="",F21=""),"",ROUND(SUMIFS('ИТОГО Торговля'!$J$5:$J$300,'ИТОГО Торговля'!$B$5:$B$300,$B21)+SUMIFS('ИТОГО Лэндинг'!$J$5:$J$300,'ИТОГО Лэндинг'!$B$5:$B$300,$B21),8)))</f>
        <v/>
      </c>
      <c r="K21" s="240" t="str">
        <f>IF(MIN(N(C21),N(F21))&lt;=0,"",ROUND(MIN(N(C21),N(F21))*(N(G21)-N(D21)),8))</f>
        <v/>
      </c>
      <c r="L21" s="177" t="str">
        <f>IF(MIN(N(C21),N(F21))&lt;=0,"",IF(N(D21)=0,"",ROUND((N(G21)/N(D21)-1)*100,2)))</f>
        <v/>
      </c>
      <c r="M21" s="177" t="str">
        <f>IF(OR(ROUND(N(C21)-N(F21),8)=0,1-N(Ввод!$J$19)/100&lt;=0),"",IF(N(C21)&gt;N(F21),(N(E21)-N(H21))/((N(C21)-N(F21))*(1-N(Ввод!$J$19)/100)),(N(H21)-N(E21))/((N(F21)-N(C21))*(1+N(Ввод!$J$19)/100))))</f>
        <v/>
      </c>
    </row>
    <row r="22" ht="22" customHeight="1">
      <c r="B22" s="245" t="n"/>
      <c r="C22" s="246" t="str">
        <f>IF($B22="","",IF(SUMIFS('ИТОГО Торговля'!$C$5:$C$300,'ИТОГО Торговля'!$B$5:$B$300,$B22)+SUMIFS('ИТОГО Лэндинг'!$C$5:$C$300,'ИТОГО Лэндинг'!$B$5:$B$300,$B22)=0,"",SUMIFS('ИТОГО Торговля'!$C$5:$C$300,'ИТОГО Торговля'!$B$5:$B$300,$B22)+SUMIFS('ИТОГО Лэндинг'!$C$5:$C$300,'ИТОГО Лэндинг'!$B$5:$B$300,$B22)))</f>
        <v/>
      </c>
      <c r="D22" s="183" t="str">
        <f>IF(C22="","",E22/C22)</f>
        <v/>
      </c>
      <c r="E22" s="247" t="str">
        <f>IF(C22="","",SUMIFS('ИТОГО Торговля'!$E$5:$E$300,'ИТОГО Торговля'!$B$5:$B$300,$B22)+SUMIFS('ИТОГО Лэндинг'!$E$5:$E$300,'ИТОГО Лэндинг'!$B$5:$B$300,$B22))</f>
        <v/>
      </c>
      <c r="F22" s="246" t="str">
        <f>IF($B22="","",IF(SUMIFS('ИТОГО Торговля'!$F$5:$F$300,'ИТОГО Торговля'!$B$5:$B$300,$B22)+SUMIFS('ИТОГО Лэндинг'!$F$5:$F$300,'ИТОГО Лэндинг'!$B$5:$B$300,$B22)=0,"",SUMIFS('ИТОГО Торговля'!$F$5:$F$300,'ИТОГО Торговля'!$B$5:$B$300,$B22)+SUMIFS('ИТОГО Лэндинг'!$F$5:$F$300,'ИТОГО Лэндинг'!$B$5:$B$300,$B22)))</f>
        <v/>
      </c>
      <c r="G22" s="183" t="str">
        <f>IF(F22="","",H22/F22)</f>
        <v/>
      </c>
      <c r="H22" s="247" t="str">
        <f>IF(F22="","",SUMIFS('ИТОГО Торговля'!$H$5:$H$300,'ИТОГО Торговля'!$B$5:$B$300,$B22)+SUMIFS('ИТОГО Лэндинг'!$H$5:$H$300,'ИТОГО Лэндинг'!$B$5:$B$300,$B22))</f>
        <v/>
      </c>
      <c r="I22" s="246" t="str">
        <f>IF($B22="","",IF(AND(C22="",F22=""),"",ROUND(SUMIFS('ИТОГО Торговля'!$I$5:$I$300,'ИТОГО Торговля'!$B$5:$B$300,$B22)+SUMIFS('ИТОГО Лэндинг'!$I$5:$I$300,'ИТОГО Лэндинг'!$B$5:$B$300,$B22),8)))</f>
        <v/>
      </c>
      <c r="J22" s="247" t="str">
        <f>IF($B22="","",IF(AND(C22="",F22=""),"",ROUND(SUMIFS('ИТОГО Торговля'!$J$5:$J$300,'ИТОГО Торговля'!$B$5:$B$300,$B22)+SUMIFS('ИТОГО Лэндинг'!$J$5:$J$300,'ИТОГО Лэндинг'!$B$5:$B$300,$B22),8)))</f>
        <v/>
      </c>
      <c r="K22" s="246" t="str">
        <f>IF(MIN(N(C22),N(F22))&lt;=0,"",ROUND(MIN(N(C22),N(F22))*(N(G22)-N(D22)),8))</f>
        <v/>
      </c>
      <c r="L22" s="183" t="str">
        <f>IF(MIN(N(C22),N(F22))&lt;=0,"",IF(N(D22)=0,"",ROUND((N(G22)/N(D22)-1)*100,2)))</f>
        <v/>
      </c>
      <c r="M22" s="183" t="str">
        <f>IF(OR(ROUND(N(C22)-N(F22),8)=0,1-N(Ввод!$J$19)/100&lt;=0),"",IF(N(C22)&gt;N(F22),(N(E22)-N(H22))/((N(C22)-N(F22))*(1-N(Ввод!$J$19)/100)),(N(H22)-N(E22))/((N(F22)-N(C22))*(1+N(Ввод!$J$19)/100))))</f>
        <v/>
      </c>
    </row>
    <row r="23" ht="22" customHeight="1">
      <c r="B23" s="239" t="n"/>
      <c r="C23" s="240" t="str">
        <f>IF($B23="","",IF(SUMIFS('ИТОГО Торговля'!$C$5:$C$300,'ИТОГО Торговля'!$B$5:$B$300,$B23)+SUMIFS('ИТОГО Лэндинг'!$C$5:$C$300,'ИТОГО Лэндинг'!$B$5:$B$300,$B23)=0,"",SUMIFS('ИТОГО Торговля'!$C$5:$C$300,'ИТОГО Торговля'!$B$5:$B$300,$B23)+SUMIFS('ИТОГО Лэндинг'!$C$5:$C$300,'ИТОГО Лэндинг'!$B$5:$B$300,$B23)))</f>
        <v/>
      </c>
      <c r="D23" s="177" t="str">
        <f>IF(C23="","",E23/C23)</f>
        <v/>
      </c>
      <c r="E23" s="241" t="str">
        <f>IF(C23="","",SUMIFS('ИТОГО Торговля'!$E$5:$E$300,'ИТОГО Торговля'!$B$5:$B$300,$B23)+SUMIFS('ИТОГО Лэндинг'!$E$5:$E$300,'ИТОГО Лэндинг'!$B$5:$B$300,$B23))</f>
        <v/>
      </c>
      <c r="F23" s="240" t="str">
        <f>IF($B23="","",IF(SUMIFS('ИТОГО Торговля'!$F$5:$F$300,'ИТОГО Торговля'!$B$5:$B$300,$B23)+SUMIFS('ИТОГО Лэндинг'!$F$5:$F$300,'ИТОГО Лэндинг'!$B$5:$B$300,$B23)=0,"",SUMIFS('ИТОГО Торговля'!$F$5:$F$300,'ИТОГО Торговля'!$B$5:$B$300,$B23)+SUMIFS('ИТОГО Лэндинг'!$F$5:$F$300,'ИТОГО Лэндинг'!$B$5:$B$300,$B23)))</f>
        <v/>
      </c>
      <c r="G23" s="177" t="str">
        <f>IF(F23="","",H23/F23)</f>
        <v/>
      </c>
      <c r="H23" s="241" t="str">
        <f>IF(F23="","",SUMIFS('ИТОГО Торговля'!$H$5:$H$300,'ИТОГО Торговля'!$B$5:$B$300,$B23)+SUMIFS('ИТОГО Лэндинг'!$H$5:$H$300,'ИТОГО Лэндинг'!$B$5:$B$300,$B23))</f>
        <v/>
      </c>
      <c r="I23" s="240" t="str">
        <f>IF($B23="","",IF(AND(C23="",F23=""),"",ROUND(SUMIFS('ИТОГО Торговля'!$I$5:$I$300,'ИТОГО Торговля'!$B$5:$B$300,$B23)+SUMIFS('ИТОГО Лэндинг'!$I$5:$I$300,'ИТОГО Лэндинг'!$B$5:$B$300,$B23),8)))</f>
        <v/>
      </c>
      <c r="J23" s="241" t="str">
        <f>IF($B23="","",IF(AND(C23="",F23=""),"",ROUND(SUMIFS('ИТОГО Торговля'!$J$5:$J$300,'ИТОГО Торговля'!$B$5:$B$300,$B23)+SUMIFS('ИТОГО Лэндинг'!$J$5:$J$300,'ИТОГО Лэндинг'!$B$5:$B$300,$B23),8)))</f>
        <v/>
      </c>
      <c r="K23" s="240" t="str">
        <f>IF(MIN(N(C23),N(F23))&lt;=0,"",ROUND(MIN(N(C23),N(F23))*(N(G23)-N(D23)),8))</f>
        <v/>
      </c>
      <c r="L23" s="177" t="str">
        <f>IF(MIN(N(C23),N(F23))&lt;=0,"",IF(N(D23)=0,"",ROUND((N(G23)/N(D23)-1)*100,2)))</f>
        <v/>
      </c>
      <c r="M23" s="177" t="str">
        <f>IF(OR(ROUND(N(C23)-N(F23),8)=0,1-N(Ввод!$J$19)/100&lt;=0),"",IF(N(C23)&gt;N(F23),(N(E23)-N(H23))/((N(C23)-N(F23))*(1-N(Ввод!$J$19)/100)),(N(H23)-N(E23))/((N(F23)-N(C23))*(1+N(Ввод!$J$19)/100))))</f>
        <v/>
      </c>
    </row>
    <row r="24" ht="22" customHeight="1">
      <c r="B24" s="245" t="n"/>
      <c r="C24" s="246" t="str">
        <f>IF($B24="","",IF(SUMIFS('ИТОГО Торговля'!$C$5:$C$300,'ИТОГО Торговля'!$B$5:$B$300,$B24)+SUMIFS('ИТОГО Лэндинг'!$C$5:$C$300,'ИТОГО Лэндинг'!$B$5:$B$300,$B24)=0,"",SUMIFS('ИТОГО Торговля'!$C$5:$C$300,'ИТОГО Торговля'!$B$5:$B$300,$B24)+SUMIFS('ИТОГО Лэндинг'!$C$5:$C$300,'ИТОГО Лэндинг'!$B$5:$B$300,$B24)))</f>
        <v/>
      </c>
      <c r="D24" s="183" t="str">
        <f>IF(C24="","",E24/C24)</f>
        <v/>
      </c>
      <c r="E24" s="247" t="str">
        <f>IF(C24="","",SUMIFS('ИТОГО Торговля'!$E$5:$E$300,'ИТОГО Торговля'!$B$5:$B$300,$B24)+SUMIFS('ИТОГО Лэндинг'!$E$5:$E$300,'ИТОГО Лэндинг'!$B$5:$B$300,$B24))</f>
        <v/>
      </c>
      <c r="F24" s="246" t="str">
        <f>IF($B24="","",IF(SUMIFS('ИТОГО Торговля'!$F$5:$F$300,'ИТОГО Торговля'!$B$5:$B$300,$B24)+SUMIFS('ИТОГО Лэндинг'!$F$5:$F$300,'ИТОГО Лэндинг'!$B$5:$B$300,$B24)=0,"",SUMIFS('ИТОГО Торговля'!$F$5:$F$300,'ИТОГО Торговля'!$B$5:$B$300,$B24)+SUMIFS('ИТОГО Лэндинг'!$F$5:$F$300,'ИТОГО Лэндинг'!$B$5:$B$300,$B24)))</f>
        <v/>
      </c>
      <c r="G24" s="183" t="str">
        <f>IF(F24="","",H24/F24)</f>
        <v/>
      </c>
      <c r="H24" s="247" t="str">
        <f>IF(F24="","",SUMIFS('ИТОГО Торговля'!$H$5:$H$300,'ИТОГО Торговля'!$B$5:$B$300,$B24)+SUMIFS('ИТОГО Лэндинг'!$H$5:$H$300,'ИТОГО Лэндинг'!$B$5:$B$300,$B24))</f>
        <v/>
      </c>
      <c r="I24" s="246" t="str">
        <f>IF($B24="","",IF(AND(C24="",F24=""),"",ROUND(SUMIFS('ИТОГО Торговля'!$I$5:$I$300,'ИТОГО Торговля'!$B$5:$B$300,$B24)+SUMIFS('ИТОГО Лэндинг'!$I$5:$I$300,'ИТОГО Лэндинг'!$B$5:$B$300,$B24),8)))</f>
        <v/>
      </c>
      <c r="J24" s="247" t="str">
        <f>IF($B24="","",IF(AND(C24="",F24=""),"",ROUND(SUMIFS('ИТОГО Торговля'!$J$5:$J$300,'ИТОГО Торговля'!$B$5:$B$300,$B24)+SUMIFS('ИТОГО Лэндинг'!$J$5:$J$300,'ИТОГО Лэндинг'!$B$5:$B$300,$B24),8)))</f>
        <v/>
      </c>
      <c r="K24" s="246" t="str">
        <f>IF(MIN(N(C24),N(F24))&lt;=0,"",ROUND(MIN(N(C24),N(F24))*(N(G24)-N(D24)),8))</f>
        <v/>
      </c>
      <c r="L24" s="183" t="str">
        <f>IF(MIN(N(C24),N(F24))&lt;=0,"",IF(N(D24)=0,"",ROUND((N(G24)/N(D24)-1)*100,2)))</f>
        <v/>
      </c>
      <c r="M24" s="183" t="str">
        <f>IF(OR(ROUND(N(C24)-N(F24),8)=0,1-N(Ввод!$J$19)/100&lt;=0),"",IF(N(C24)&gt;N(F24),(N(E24)-N(H24))/((N(C24)-N(F24))*(1-N(Ввод!$J$19)/100)),(N(H24)-N(E24))/((N(F24)-N(C24))*(1+N(Ввод!$J$19)/100))))</f>
        <v/>
      </c>
    </row>
    <row r="25" ht="22" customHeight="1">
      <c r="B25" s="239" t="n"/>
      <c r="C25" s="240" t="str">
        <f>IF($B25="","",IF(SUMIFS('ИТОГО Торговля'!$C$5:$C$300,'ИТОГО Торговля'!$B$5:$B$300,$B25)+SUMIFS('ИТОГО Лэндинг'!$C$5:$C$300,'ИТОГО Лэндинг'!$B$5:$B$300,$B25)=0,"",SUMIFS('ИТОГО Торговля'!$C$5:$C$300,'ИТОГО Торговля'!$B$5:$B$300,$B25)+SUMIFS('ИТОГО Лэндинг'!$C$5:$C$300,'ИТОГО Лэндинг'!$B$5:$B$300,$B25)))</f>
        <v/>
      </c>
      <c r="D25" s="177" t="str">
        <f>IF(C25="","",E25/C25)</f>
        <v/>
      </c>
      <c r="E25" s="241" t="str">
        <f>IF(C25="","",SUMIFS('ИТОГО Торговля'!$E$5:$E$300,'ИТОГО Торговля'!$B$5:$B$300,$B25)+SUMIFS('ИТОГО Лэндинг'!$E$5:$E$300,'ИТОГО Лэндинг'!$B$5:$B$300,$B25))</f>
        <v/>
      </c>
      <c r="F25" s="240" t="str">
        <f>IF($B25="","",IF(SUMIFS('ИТОГО Торговля'!$F$5:$F$300,'ИТОГО Торговля'!$B$5:$B$300,$B25)+SUMIFS('ИТОГО Лэндинг'!$F$5:$F$300,'ИТОГО Лэндинг'!$B$5:$B$300,$B25)=0,"",SUMIFS('ИТОГО Торговля'!$F$5:$F$300,'ИТОГО Торговля'!$B$5:$B$300,$B25)+SUMIFS('ИТОГО Лэндинг'!$F$5:$F$300,'ИТОГО Лэндинг'!$B$5:$B$300,$B25)))</f>
        <v/>
      </c>
      <c r="G25" s="177" t="str">
        <f>IF(F25="","",H25/F25)</f>
        <v/>
      </c>
      <c r="H25" s="241" t="str">
        <f>IF(F25="","",SUMIFS('ИТОГО Торговля'!$H$5:$H$300,'ИТОГО Торговля'!$B$5:$B$300,$B25)+SUMIFS('ИТОГО Лэндинг'!$H$5:$H$300,'ИТОГО Лэндинг'!$B$5:$B$300,$B25))</f>
        <v/>
      </c>
      <c r="I25" s="240" t="str">
        <f>IF($B25="","",IF(AND(C25="",F25=""),"",ROUND(SUMIFS('ИТОГО Торговля'!$I$5:$I$300,'ИТОГО Торговля'!$B$5:$B$300,$B25)+SUMIFS('ИТОГО Лэндинг'!$I$5:$I$300,'ИТОГО Лэндинг'!$B$5:$B$300,$B25),8)))</f>
        <v/>
      </c>
      <c r="J25" s="241" t="str">
        <f>IF($B25="","",IF(AND(C25="",F25=""),"",ROUND(SUMIFS('ИТОГО Торговля'!$J$5:$J$300,'ИТОГО Торговля'!$B$5:$B$300,$B25)+SUMIFS('ИТОГО Лэндинг'!$J$5:$J$300,'ИТОГО Лэндинг'!$B$5:$B$300,$B25),8)))</f>
        <v/>
      </c>
      <c r="K25" s="240" t="str">
        <f>IF(MIN(N(C25),N(F25))&lt;=0,"",ROUND(MIN(N(C25),N(F25))*(N(G25)-N(D25)),8))</f>
        <v/>
      </c>
      <c r="L25" s="177" t="str">
        <f>IF(MIN(N(C25),N(F25))&lt;=0,"",IF(N(D25)=0,"",ROUND((N(G25)/N(D25)-1)*100,2)))</f>
        <v/>
      </c>
      <c r="M25" s="177" t="str">
        <f>IF(OR(ROUND(N(C25)-N(F25),8)=0,1-N(Ввод!$J$19)/100&lt;=0),"",IF(N(C25)&gt;N(F25),(N(E25)-N(H25))/((N(C25)-N(F25))*(1-N(Ввод!$J$19)/100)),(N(H25)-N(E25))/((N(F25)-N(C25))*(1+N(Ввод!$J$19)/100))))</f>
        <v/>
      </c>
    </row>
    <row r="26" ht="22" customHeight="1">
      <c r="B26" s="245" t="n"/>
      <c r="C26" s="246" t="str">
        <f>IF($B26="","",IF(SUMIFS('ИТОГО Торговля'!$C$5:$C$300,'ИТОГО Торговля'!$B$5:$B$300,$B26)+SUMIFS('ИТОГО Лэндинг'!$C$5:$C$300,'ИТОГО Лэндинг'!$B$5:$B$300,$B26)=0,"",SUMIFS('ИТОГО Торговля'!$C$5:$C$300,'ИТОГО Торговля'!$B$5:$B$300,$B26)+SUMIFS('ИТОГО Лэндинг'!$C$5:$C$300,'ИТОГО Лэндинг'!$B$5:$B$300,$B26)))</f>
        <v/>
      </c>
      <c r="D26" s="183" t="str">
        <f>IF(C26="","",E26/C26)</f>
        <v/>
      </c>
      <c r="E26" s="247" t="str">
        <f>IF(C26="","",SUMIFS('ИТОГО Торговля'!$E$5:$E$300,'ИТОГО Торговля'!$B$5:$B$300,$B26)+SUMIFS('ИТОГО Лэндинг'!$E$5:$E$300,'ИТОГО Лэндинг'!$B$5:$B$300,$B26))</f>
        <v/>
      </c>
      <c r="F26" s="246" t="str">
        <f>IF($B26="","",IF(SUMIFS('ИТОГО Торговля'!$F$5:$F$300,'ИТОГО Торговля'!$B$5:$B$300,$B26)+SUMIFS('ИТОГО Лэндинг'!$F$5:$F$300,'ИТОГО Лэндинг'!$B$5:$B$300,$B26)=0,"",SUMIFS('ИТОГО Торговля'!$F$5:$F$300,'ИТОГО Торговля'!$B$5:$B$300,$B26)+SUMIFS('ИТОГО Лэндинг'!$F$5:$F$300,'ИТОГО Лэндинг'!$B$5:$B$300,$B26)))</f>
        <v/>
      </c>
      <c r="G26" s="183" t="str">
        <f>IF(F26="","",H26/F26)</f>
        <v/>
      </c>
      <c r="H26" s="247" t="str">
        <f>IF(F26="","",SUMIFS('ИТОГО Торговля'!$H$5:$H$300,'ИТОГО Торговля'!$B$5:$B$300,$B26)+SUMIFS('ИТОГО Лэндинг'!$H$5:$H$300,'ИТОГО Лэндинг'!$B$5:$B$300,$B26))</f>
        <v/>
      </c>
      <c r="I26" s="246" t="str">
        <f>IF($B26="","",IF(AND(C26="",F26=""),"",ROUND(SUMIFS('ИТОГО Торговля'!$I$5:$I$300,'ИТОГО Торговля'!$B$5:$B$300,$B26)+SUMIFS('ИТОГО Лэндинг'!$I$5:$I$300,'ИТОГО Лэндинг'!$B$5:$B$300,$B26),8)))</f>
        <v/>
      </c>
      <c r="J26" s="247" t="str">
        <f>IF($B26="","",IF(AND(C26="",F26=""),"",ROUND(SUMIFS('ИТОГО Торговля'!$J$5:$J$300,'ИТОГО Торговля'!$B$5:$B$300,$B26)+SUMIFS('ИТОГО Лэндинг'!$J$5:$J$300,'ИТОГО Лэндинг'!$B$5:$B$300,$B26),8)))</f>
        <v/>
      </c>
      <c r="K26" s="246" t="str">
        <f>IF(MIN(N(C26),N(F26))&lt;=0,"",ROUND(MIN(N(C26),N(F26))*(N(G26)-N(D26)),8))</f>
        <v/>
      </c>
      <c r="L26" s="183" t="str">
        <f>IF(MIN(N(C26),N(F26))&lt;=0,"",IF(N(D26)=0,"",ROUND((N(G26)/N(D26)-1)*100,2)))</f>
        <v/>
      </c>
      <c r="M26" s="183" t="str">
        <f>IF(OR(ROUND(N(C26)-N(F26),8)=0,1-N(Ввод!$J$19)/100&lt;=0),"",IF(N(C26)&gt;N(F26),(N(E26)-N(H26))/((N(C26)-N(F26))*(1-N(Ввод!$J$19)/100)),(N(H26)-N(E26))/((N(F26)-N(C26))*(1+N(Ввод!$J$19)/100))))</f>
        <v/>
      </c>
    </row>
    <row r="27" ht="22" customHeight="1">
      <c r="B27" s="239" t="n"/>
      <c r="C27" s="240" t="str">
        <f>IF($B27="","",IF(SUMIFS('ИТОГО Торговля'!$C$5:$C$300,'ИТОГО Торговля'!$B$5:$B$300,$B27)+SUMIFS('ИТОГО Лэндинг'!$C$5:$C$300,'ИТОГО Лэндинг'!$B$5:$B$300,$B27)=0,"",SUMIFS('ИТОГО Торговля'!$C$5:$C$300,'ИТОГО Торговля'!$B$5:$B$300,$B27)+SUMIFS('ИТОГО Лэндинг'!$C$5:$C$300,'ИТОГО Лэндинг'!$B$5:$B$300,$B27)))</f>
        <v/>
      </c>
      <c r="D27" s="177" t="str">
        <f>IF(C27="","",E27/C27)</f>
        <v/>
      </c>
      <c r="E27" s="241" t="str">
        <f>IF(C27="","",SUMIFS('ИТОГО Торговля'!$E$5:$E$300,'ИТОГО Торговля'!$B$5:$B$300,$B27)+SUMIFS('ИТОГО Лэндинг'!$E$5:$E$300,'ИТОГО Лэндинг'!$B$5:$B$300,$B27))</f>
        <v/>
      </c>
      <c r="F27" s="240" t="str">
        <f>IF($B27="","",IF(SUMIFS('ИТОГО Торговля'!$F$5:$F$300,'ИТОГО Торговля'!$B$5:$B$300,$B27)+SUMIFS('ИТОГО Лэндинг'!$F$5:$F$300,'ИТОГО Лэндинг'!$B$5:$B$300,$B27)=0,"",SUMIFS('ИТОГО Торговля'!$F$5:$F$300,'ИТОГО Торговля'!$B$5:$B$300,$B27)+SUMIFS('ИТОГО Лэндинг'!$F$5:$F$300,'ИТОГО Лэндинг'!$B$5:$B$300,$B27)))</f>
        <v/>
      </c>
      <c r="G27" s="177" t="str">
        <f>IF(F27="","",H27/F27)</f>
        <v/>
      </c>
      <c r="H27" s="241" t="str">
        <f>IF(F27="","",SUMIFS('ИТОГО Торговля'!$H$5:$H$300,'ИТОГО Торговля'!$B$5:$B$300,$B27)+SUMIFS('ИТОГО Лэндинг'!$H$5:$H$300,'ИТОГО Лэндинг'!$B$5:$B$300,$B27))</f>
        <v/>
      </c>
      <c r="I27" s="240" t="str">
        <f>IF($B27="","",IF(AND(C27="",F27=""),"",ROUND(SUMIFS('ИТОГО Торговля'!$I$5:$I$300,'ИТОГО Торговля'!$B$5:$B$300,$B27)+SUMIFS('ИТОГО Лэндинг'!$I$5:$I$300,'ИТОГО Лэндинг'!$B$5:$B$300,$B27),8)))</f>
        <v/>
      </c>
      <c r="J27" s="241" t="str">
        <f>IF($B27="","",IF(AND(C27="",F27=""),"",ROUND(SUMIFS('ИТОГО Торговля'!$J$5:$J$300,'ИТОГО Торговля'!$B$5:$B$300,$B27)+SUMIFS('ИТОГО Лэндинг'!$J$5:$J$300,'ИТОГО Лэндинг'!$B$5:$B$300,$B27),8)))</f>
        <v/>
      </c>
      <c r="K27" s="240" t="str">
        <f>IF(MIN(N(C27),N(F27))&lt;=0,"",ROUND(MIN(N(C27),N(F27))*(N(G27)-N(D27)),8))</f>
        <v/>
      </c>
      <c r="L27" s="177" t="str">
        <f>IF(MIN(N(C27),N(F27))&lt;=0,"",IF(N(D27)=0,"",ROUND((N(G27)/N(D27)-1)*100,2)))</f>
        <v/>
      </c>
      <c r="M27" s="177" t="str">
        <f>IF(OR(ROUND(N(C27)-N(F27),8)=0,1-N(Ввод!$J$19)/100&lt;=0),"",IF(N(C27)&gt;N(F27),(N(E27)-N(H27))/((N(C27)-N(F27))*(1-N(Ввод!$J$19)/100)),(N(H27)-N(E27))/((N(F27)-N(C27))*(1+N(Ввод!$J$19)/100))))</f>
        <v/>
      </c>
    </row>
    <row r="28" ht="22" customHeight="1">
      <c r="B28" s="245" t="n"/>
      <c r="C28" s="246" t="str">
        <f>IF($B28="","",IF(SUMIFS('ИТОГО Торговля'!$C$5:$C$300,'ИТОГО Торговля'!$B$5:$B$300,$B28)+SUMIFS('ИТОГО Лэндинг'!$C$5:$C$300,'ИТОГО Лэндинг'!$B$5:$B$300,$B28)=0,"",SUMIFS('ИТОГО Торговля'!$C$5:$C$300,'ИТОГО Торговля'!$B$5:$B$300,$B28)+SUMIFS('ИТОГО Лэндинг'!$C$5:$C$300,'ИТОГО Лэндинг'!$B$5:$B$300,$B28)))</f>
        <v/>
      </c>
      <c r="D28" s="183" t="str">
        <f>IF(C28="","",E28/C28)</f>
        <v/>
      </c>
      <c r="E28" s="247" t="str">
        <f>IF(C28="","",SUMIFS('ИТОГО Торговля'!$E$5:$E$300,'ИТОГО Торговля'!$B$5:$B$300,$B28)+SUMIFS('ИТОГО Лэндинг'!$E$5:$E$300,'ИТОГО Лэндинг'!$B$5:$B$300,$B28))</f>
        <v/>
      </c>
      <c r="F28" s="246" t="str">
        <f>IF($B28="","",IF(SUMIFS('ИТОГО Торговля'!$F$5:$F$300,'ИТОГО Торговля'!$B$5:$B$300,$B28)+SUMIFS('ИТОГО Лэндинг'!$F$5:$F$300,'ИТОГО Лэндинг'!$B$5:$B$300,$B28)=0,"",SUMIFS('ИТОГО Торговля'!$F$5:$F$300,'ИТОГО Торговля'!$B$5:$B$300,$B28)+SUMIFS('ИТОГО Лэндинг'!$F$5:$F$300,'ИТОГО Лэндинг'!$B$5:$B$300,$B28)))</f>
        <v/>
      </c>
      <c r="G28" s="183" t="str">
        <f>IF(F28="","",H28/F28)</f>
        <v/>
      </c>
      <c r="H28" s="247" t="str">
        <f>IF(F28="","",SUMIFS('ИТОГО Торговля'!$H$5:$H$300,'ИТОГО Торговля'!$B$5:$B$300,$B28)+SUMIFS('ИТОГО Лэндинг'!$H$5:$H$300,'ИТОГО Лэндинг'!$B$5:$B$300,$B28))</f>
        <v/>
      </c>
      <c r="I28" s="246" t="str">
        <f>IF($B28="","",IF(AND(C28="",F28=""),"",ROUND(SUMIFS('ИТОГО Торговля'!$I$5:$I$300,'ИТОГО Торговля'!$B$5:$B$300,$B28)+SUMIFS('ИТОГО Лэндинг'!$I$5:$I$300,'ИТОГО Лэндинг'!$B$5:$B$300,$B28),8)))</f>
        <v/>
      </c>
      <c r="J28" s="247" t="str">
        <f>IF($B28="","",IF(AND(C28="",F28=""),"",ROUND(SUMIFS('ИТОГО Торговля'!$J$5:$J$300,'ИТОГО Торговля'!$B$5:$B$300,$B28)+SUMIFS('ИТОГО Лэндинг'!$J$5:$J$300,'ИТОГО Лэндинг'!$B$5:$B$300,$B28),8)))</f>
        <v/>
      </c>
      <c r="K28" s="246" t="str">
        <f>IF(MIN(N(C28),N(F28))&lt;=0,"",ROUND(MIN(N(C28),N(F28))*(N(G28)-N(D28)),8))</f>
        <v/>
      </c>
      <c r="L28" s="183" t="str">
        <f>IF(MIN(N(C28),N(F28))&lt;=0,"",IF(N(D28)=0,"",ROUND((N(G28)/N(D28)-1)*100,2)))</f>
        <v/>
      </c>
      <c r="M28" s="183" t="str">
        <f>IF(OR(ROUND(N(C28)-N(F28),8)=0,1-N(Ввод!$J$19)/100&lt;=0),"",IF(N(C28)&gt;N(F28),(N(E28)-N(H28))/((N(C28)-N(F28))*(1-N(Ввод!$J$19)/100)),(N(H28)-N(E28))/((N(F28)-N(C28))*(1+N(Ввод!$J$19)/100))))</f>
        <v/>
      </c>
    </row>
    <row r="29" ht="22" customHeight="1">
      <c r="B29" s="239" t="n"/>
      <c r="C29" s="240" t="str">
        <f>IF($B29="","",IF(SUMIFS('ИТОГО Торговля'!$C$5:$C$300,'ИТОГО Торговля'!$B$5:$B$300,$B29)+SUMIFS('ИТОГО Лэндинг'!$C$5:$C$300,'ИТОГО Лэндинг'!$B$5:$B$300,$B29)=0,"",SUMIFS('ИТОГО Торговля'!$C$5:$C$300,'ИТОГО Торговля'!$B$5:$B$300,$B29)+SUMIFS('ИТОГО Лэндинг'!$C$5:$C$300,'ИТОГО Лэндинг'!$B$5:$B$300,$B29)))</f>
        <v/>
      </c>
      <c r="D29" s="177" t="str">
        <f>IF(C29="","",E29/C29)</f>
        <v/>
      </c>
      <c r="E29" s="241" t="str">
        <f>IF(C29="","",SUMIFS('ИТОГО Торговля'!$E$5:$E$300,'ИТОГО Торговля'!$B$5:$B$300,$B29)+SUMIFS('ИТОГО Лэндинг'!$E$5:$E$300,'ИТОГО Лэндинг'!$B$5:$B$300,$B29))</f>
        <v/>
      </c>
      <c r="F29" s="240" t="str">
        <f>IF($B29="","",IF(SUMIFS('ИТОГО Торговля'!$F$5:$F$300,'ИТОГО Торговля'!$B$5:$B$300,$B29)+SUMIFS('ИТОГО Лэндинг'!$F$5:$F$300,'ИТОГО Лэндинг'!$B$5:$B$300,$B29)=0,"",SUMIFS('ИТОГО Торговля'!$F$5:$F$300,'ИТОГО Торговля'!$B$5:$B$300,$B29)+SUMIFS('ИТОГО Лэндинг'!$F$5:$F$300,'ИТОГО Лэндинг'!$B$5:$B$300,$B29)))</f>
        <v/>
      </c>
      <c r="G29" s="177" t="str">
        <f>IF(F29="","",H29/F29)</f>
        <v/>
      </c>
      <c r="H29" s="241" t="str">
        <f>IF(F29="","",SUMIFS('ИТОГО Торговля'!$H$5:$H$300,'ИТОГО Торговля'!$B$5:$B$300,$B29)+SUMIFS('ИТОГО Лэндинг'!$H$5:$H$300,'ИТОГО Лэндинг'!$B$5:$B$300,$B29))</f>
        <v/>
      </c>
      <c r="I29" s="240" t="str">
        <f>IF($B29="","",IF(AND(C29="",F29=""),"",ROUND(SUMIFS('ИТОГО Торговля'!$I$5:$I$300,'ИТОГО Торговля'!$B$5:$B$300,$B29)+SUMIFS('ИТОГО Лэндинг'!$I$5:$I$300,'ИТОГО Лэндинг'!$B$5:$B$300,$B29),8)))</f>
        <v/>
      </c>
      <c r="J29" s="241" t="str">
        <f>IF($B29="","",IF(AND(C29="",F29=""),"",ROUND(SUMIFS('ИТОГО Торговля'!$J$5:$J$300,'ИТОГО Торговля'!$B$5:$B$300,$B29)+SUMIFS('ИТОГО Лэндинг'!$J$5:$J$300,'ИТОГО Лэндинг'!$B$5:$B$300,$B29),8)))</f>
        <v/>
      </c>
      <c r="K29" s="240" t="str">
        <f>IF(MIN(N(C29),N(F29))&lt;=0,"",ROUND(MIN(N(C29),N(F29))*(N(G29)-N(D29)),8))</f>
        <v/>
      </c>
      <c r="L29" s="177" t="str">
        <f>IF(MIN(N(C29),N(F29))&lt;=0,"",IF(N(D29)=0,"",ROUND((N(G29)/N(D29)-1)*100,2)))</f>
        <v/>
      </c>
      <c r="M29" s="177" t="str">
        <f>IF(OR(ROUND(N(C29)-N(F29),8)=0,1-N(Ввод!$J$19)/100&lt;=0),"",IF(N(C29)&gt;N(F29),(N(E29)-N(H29))/((N(C29)-N(F29))*(1-N(Ввод!$J$19)/100)),(N(H29)-N(E29))/((N(F29)-N(C29))*(1+N(Ввод!$J$19)/100))))</f>
        <v/>
      </c>
    </row>
    <row r="30" ht="22" customHeight="1">
      <c r="B30" s="245" t="n"/>
      <c r="C30" s="246" t="str">
        <f>IF($B30="","",IF(SUMIFS('ИТОГО Торговля'!$C$5:$C$300,'ИТОГО Торговля'!$B$5:$B$300,$B30)+SUMIFS('ИТОГО Лэндинг'!$C$5:$C$300,'ИТОГО Лэндинг'!$B$5:$B$300,$B30)=0,"",SUMIFS('ИТОГО Торговля'!$C$5:$C$300,'ИТОГО Торговля'!$B$5:$B$300,$B30)+SUMIFS('ИТОГО Лэндинг'!$C$5:$C$300,'ИТОГО Лэндинг'!$B$5:$B$300,$B30)))</f>
        <v/>
      </c>
      <c r="D30" s="183" t="str">
        <f>IF(C30="","",E30/C30)</f>
        <v/>
      </c>
      <c r="E30" s="247" t="str">
        <f>IF(C30="","",SUMIFS('ИТОГО Торговля'!$E$5:$E$300,'ИТОГО Торговля'!$B$5:$B$300,$B30)+SUMIFS('ИТОГО Лэндинг'!$E$5:$E$300,'ИТОГО Лэндинг'!$B$5:$B$300,$B30))</f>
        <v/>
      </c>
      <c r="F30" s="246" t="str">
        <f>IF($B30="","",IF(SUMIFS('ИТОГО Торговля'!$F$5:$F$300,'ИТОГО Торговля'!$B$5:$B$300,$B30)+SUMIFS('ИТОГО Лэндинг'!$F$5:$F$300,'ИТОГО Лэндинг'!$B$5:$B$300,$B30)=0,"",SUMIFS('ИТОГО Торговля'!$F$5:$F$300,'ИТОГО Торговля'!$B$5:$B$300,$B30)+SUMIFS('ИТОГО Лэндинг'!$F$5:$F$300,'ИТОГО Лэндинг'!$B$5:$B$300,$B30)))</f>
        <v/>
      </c>
      <c r="G30" s="183" t="str">
        <f>IF(F30="","",H30/F30)</f>
        <v/>
      </c>
      <c r="H30" s="247" t="str">
        <f>IF(F30="","",SUMIFS('ИТОГО Торговля'!$H$5:$H$300,'ИТОГО Торговля'!$B$5:$B$300,$B30)+SUMIFS('ИТОГО Лэндинг'!$H$5:$H$300,'ИТОГО Лэндинг'!$B$5:$B$300,$B30))</f>
        <v/>
      </c>
      <c r="I30" s="246" t="str">
        <f>IF($B30="","",IF(AND(C30="",F30=""),"",ROUND(SUMIFS('ИТОГО Торговля'!$I$5:$I$300,'ИТОГО Торговля'!$B$5:$B$300,$B30)+SUMIFS('ИТОГО Лэндинг'!$I$5:$I$300,'ИТОГО Лэндинг'!$B$5:$B$300,$B30),8)))</f>
        <v/>
      </c>
      <c r="J30" s="247" t="str">
        <f>IF($B30="","",IF(AND(C30="",F30=""),"",ROUND(SUMIFS('ИТОГО Торговля'!$J$5:$J$300,'ИТОГО Торговля'!$B$5:$B$300,$B30)+SUMIFS('ИТОГО Лэндинг'!$J$5:$J$300,'ИТОГО Лэндинг'!$B$5:$B$300,$B30),8)))</f>
        <v/>
      </c>
      <c r="K30" s="246" t="str">
        <f>IF(MIN(N(C30),N(F30))&lt;=0,"",ROUND(MIN(N(C30),N(F30))*(N(G30)-N(D30)),8))</f>
        <v/>
      </c>
      <c r="L30" s="183" t="str">
        <f>IF(MIN(N(C30),N(F30))&lt;=0,"",IF(N(D30)=0,"",ROUND((N(G30)/N(D30)-1)*100,2)))</f>
        <v/>
      </c>
      <c r="M30" s="183" t="str">
        <f>IF(OR(ROUND(N(C30)-N(F30),8)=0,1-N(Ввод!$J$19)/100&lt;=0),"",IF(N(C30)&gt;N(F30),(N(E30)-N(H30))/((N(C30)-N(F30))*(1-N(Ввод!$J$19)/100)),(N(H30)-N(E30))/((N(F30)-N(C30))*(1+N(Ввод!$J$19)/100))))</f>
        <v/>
      </c>
    </row>
    <row r="31" ht="22" customHeight="1">
      <c r="B31" s="239" t="n"/>
      <c r="C31" s="240" t="str">
        <f>IF($B31="","",IF(SUMIFS('ИТОГО Торговля'!$C$5:$C$300,'ИТОГО Торговля'!$B$5:$B$300,$B31)+SUMIFS('ИТОГО Лэндинг'!$C$5:$C$300,'ИТОГО Лэндинг'!$B$5:$B$300,$B31)=0,"",SUMIFS('ИТОГО Торговля'!$C$5:$C$300,'ИТОГО Торговля'!$B$5:$B$300,$B31)+SUMIFS('ИТОГО Лэндинг'!$C$5:$C$300,'ИТОГО Лэндинг'!$B$5:$B$300,$B31)))</f>
        <v/>
      </c>
      <c r="D31" s="177" t="str">
        <f>IF(C31="","",E31/C31)</f>
        <v/>
      </c>
      <c r="E31" s="241" t="str">
        <f>IF(C31="","",SUMIFS('ИТОГО Торговля'!$E$5:$E$300,'ИТОГО Торговля'!$B$5:$B$300,$B31)+SUMIFS('ИТОГО Лэндинг'!$E$5:$E$300,'ИТОГО Лэндинг'!$B$5:$B$300,$B31))</f>
        <v/>
      </c>
      <c r="F31" s="240" t="str">
        <f>IF($B31="","",IF(SUMIFS('ИТОГО Торговля'!$F$5:$F$300,'ИТОГО Торговля'!$B$5:$B$300,$B31)+SUMIFS('ИТОГО Лэндинг'!$F$5:$F$300,'ИТОГО Лэндинг'!$B$5:$B$300,$B31)=0,"",SUMIFS('ИТОГО Торговля'!$F$5:$F$300,'ИТОГО Торговля'!$B$5:$B$300,$B31)+SUMIFS('ИТОГО Лэндинг'!$F$5:$F$300,'ИТОГО Лэндинг'!$B$5:$B$300,$B31)))</f>
        <v/>
      </c>
      <c r="G31" s="177" t="str">
        <f>IF(F31="","",H31/F31)</f>
        <v/>
      </c>
      <c r="H31" s="241" t="str">
        <f>IF(F31="","",SUMIFS('ИТОГО Торговля'!$H$5:$H$300,'ИТОГО Торговля'!$B$5:$B$300,$B31)+SUMIFS('ИТОГО Лэндинг'!$H$5:$H$300,'ИТОГО Лэндинг'!$B$5:$B$300,$B31))</f>
        <v/>
      </c>
      <c r="I31" s="240" t="str">
        <f>IF($B31="","",IF(AND(C31="",F31=""),"",ROUND(SUMIFS('ИТОГО Торговля'!$I$5:$I$300,'ИТОГО Торговля'!$B$5:$B$300,$B31)+SUMIFS('ИТОГО Лэндинг'!$I$5:$I$300,'ИТОГО Лэндинг'!$B$5:$B$300,$B31),8)))</f>
        <v/>
      </c>
      <c r="J31" s="241" t="str">
        <f>IF($B31="","",IF(AND(C31="",F31=""),"",ROUND(SUMIFS('ИТОГО Торговля'!$J$5:$J$300,'ИТОГО Торговля'!$B$5:$B$300,$B31)+SUMIFS('ИТОГО Лэндинг'!$J$5:$J$300,'ИТОГО Лэндинг'!$B$5:$B$300,$B31),8)))</f>
        <v/>
      </c>
      <c r="K31" s="240" t="str">
        <f>IF(MIN(N(C31),N(F31))&lt;=0,"",ROUND(MIN(N(C31),N(F31))*(N(G31)-N(D31)),8))</f>
        <v/>
      </c>
      <c r="L31" s="177" t="str">
        <f>IF(MIN(N(C31),N(F31))&lt;=0,"",IF(N(D31)=0,"",ROUND((N(G31)/N(D31)-1)*100,2)))</f>
        <v/>
      </c>
      <c r="M31" s="177" t="str">
        <f>IF(OR(ROUND(N(C31)-N(F31),8)=0,1-N(Ввод!$J$19)/100&lt;=0),"",IF(N(C31)&gt;N(F31),(N(E31)-N(H31))/((N(C31)-N(F31))*(1-N(Ввод!$J$19)/100)),(N(H31)-N(E31))/((N(F31)-N(C31))*(1+N(Ввод!$J$19)/100))))</f>
        <v/>
      </c>
    </row>
    <row r="32" ht="22" customHeight="1">
      <c r="B32" s="245" t="n"/>
      <c r="C32" s="246" t="str">
        <f>IF($B32="","",IF(SUMIFS('ИТОГО Торговля'!$C$5:$C$300,'ИТОГО Торговля'!$B$5:$B$300,$B32)+SUMIFS('ИТОГО Лэндинг'!$C$5:$C$300,'ИТОГО Лэндинг'!$B$5:$B$300,$B32)=0,"",SUMIFS('ИТОГО Торговля'!$C$5:$C$300,'ИТОГО Торговля'!$B$5:$B$300,$B32)+SUMIFS('ИТОГО Лэндинг'!$C$5:$C$300,'ИТОГО Лэндинг'!$B$5:$B$300,$B32)))</f>
        <v/>
      </c>
      <c r="D32" s="183" t="str">
        <f>IF(C32="","",E32/C32)</f>
        <v/>
      </c>
      <c r="E32" s="247" t="str">
        <f>IF(C32="","",SUMIFS('ИТОГО Торговля'!$E$5:$E$300,'ИТОГО Торговля'!$B$5:$B$300,$B32)+SUMIFS('ИТОГО Лэндинг'!$E$5:$E$300,'ИТОГО Лэндинг'!$B$5:$B$300,$B32))</f>
        <v/>
      </c>
      <c r="F32" s="246" t="str">
        <f>IF($B32="","",IF(SUMIFS('ИТОГО Торговля'!$F$5:$F$300,'ИТОГО Торговля'!$B$5:$B$300,$B32)+SUMIFS('ИТОГО Лэндинг'!$F$5:$F$300,'ИТОГО Лэндинг'!$B$5:$B$300,$B32)=0,"",SUMIFS('ИТОГО Торговля'!$F$5:$F$300,'ИТОГО Торговля'!$B$5:$B$300,$B32)+SUMIFS('ИТОГО Лэндинг'!$F$5:$F$300,'ИТОГО Лэндинг'!$B$5:$B$300,$B32)))</f>
        <v/>
      </c>
      <c r="G32" s="183" t="str">
        <f>IF(F32="","",H32/F32)</f>
        <v/>
      </c>
      <c r="H32" s="247" t="str">
        <f>IF(F32="","",SUMIFS('ИТОГО Торговля'!$H$5:$H$300,'ИТОГО Торговля'!$B$5:$B$300,$B32)+SUMIFS('ИТОГО Лэндинг'!$H$5:$H$300,'ИТОГО Лэндинг'!$B$5:$B$300,$B32))</f>
        <v/>
      </c>
      <c r="I32" s="246" t="str">
        <f>IF($B32="","",IF(AND(C32="",F32=""),"",ROUND(SUMIFS('ИТОГО Торговля'!$I$5:$I$300,'ИТОГО Торговля'!$B$5:$B$300,$B32)+SUMIFS('ИТОГО Лэндинг'!$I$5:$I$300,'ИТОГО Лэндинг'!$B$5:$B$300,$B32),8)))</f>
        <v/>
      </c>
      <c r="J32" s="247" t="str">
        <f>IF($B32="","",IF(AND(C32="",F32=""),"",ROUND(SUMIFS('ИТОГО Торговля'!$J$5:$J$300,'ИТОГО Торговля'!$B$5:$B$300,$B32)+SUMIFS('ИТОГО Лэндинг'!$J$5:$J$300,'ИТОГО Лэндинг'!$B$5:$B$300,$B32),8)))</f>
        <v/>
      </c>
      <c r="K32" s="246" t="str">
        <f>IF(MIN(N(C32),N(F32))&lt;=0,"",ROUND(MIN(N(C32),N(F32))*(N(G32)-N(D32)),8))</f>
        <v/>
      </c>
      <c r="L32" s="183" t="str">
        <f>IF(MIN(N(C32),N(F32))&lt;=0,"",IF(N(D32)=0,"",ROUND((N(G32)/N(D32)-1)*100,2)))</f>
        <v/>
      </c>
      <c r="M32" s="183" t="str">
        <f>IF(OR(ROUND(N(C32)-N(F32),8)=0,1-N(Ввод!$J$19)/100&lt;=0),"",IF(N(C32)&gt;N(F32),(N(E32)-N(H32))/((N(C32)-N(F32))*(1-N(Ввод!$J$19)/100)),(N(H32)-N(E32))/((N(F32)-N(C32))*(1+N(Ввод!$J$19)/100))))</f>
        <v/>
      </c>
    </row>
    <row r="33" ht="22" customHeight="1">
      <c r="B33" s="239" t="n"/>
      <c r="C33" s="240" t="str">
        <f>IF($B33="","",IF(SUMIFS('ИТОГО Торговля'!$C$5:$C$300,'ИТОГО Торговля'!$B$5:$B$300,$B33)+SUMIFS('ИТОГО Лэндинг'!$C$5:$C$300,'ИТОГО Лэндинг'!$B$5:$B$300,$B33)=0,"",SUMIFS('ИТОГО Торговля'!$C$5:$C$300,'ИТОГО Торговля'!$B$5:$B$300,$B33)+SUMIFS('ИТОГО Лэндинг'!$C$5:$C$300,'ИТОГО Лэндинг'!$B$5:$B$300,$B33)))</f>
        <v/>
      </c>
      <c r="D33" s="177" t="str">
        <f>IF(C33="","",E33/C33)</f>
        <v/>
      </c>
      <c r="E33" s="241" t="str">
        <f>IF(C33="","",SUMIFS('ИТОГО Торговля'!$E$5:$E$300,'ИТОГО Торговля'!$B$5:$B$300,$B33)+SUMIFS('ИТОГО Лэндинг'!$E$5:$E$300,'ИТОГО Лэндинг'!$B$5:$B$300,$B33))</f>
        <v/>
      </c>
      <c r="F33" s="240" t="str">
        <f>IF($B33="","",IF(SUMIFS('ИТОГО Торговля'!$F$5:$F$300,'ИТОГО Торговля'!$B$5:$B$300,$B33)+SUMIFS('ИТОГО Лэндинг'!$F$5:$F$300,'ИТОГО Лэндинг'!$B$5:$B$300,$B33)=0,"",SUMIFS('ИТОГО Торговля'!$F$5:$F$300,'ИТОГО Торговля'!$B$5:$B$300,$B33)+SUMIFS('ИТОГО Лэндинг'!$F$5:$F$300,'ИТОГО Лэндинг'!$B$5:$B$300,$B33)))</f>
        <v/>
      </c>
      <c r="G33" s="177" t="str">
        <f>IF(F33="","",H33/F33)</f>
        <v/>
      </c>
      <c r="H33" s="241" t="str">
        <f>IF(F33="","",SUMIFS('ИТОГО Торговля'!$H$5:$H$300,'ИТОГО Торговля'!$B$5:$B$300,$B33)+SUMIFS('ИТОГО Лэндинг'!$H$5:$H$300,'ИТОГО Лэндинг'!$B$5:$B$300,$B33))</f>
        <v/>
      </c>
      <c r="I33" s="240" t="str">
        <f>IF($B33="","",IF(AND(C33="",F33=""),"",ROUND(SUMIFS('ИТОГО Торговля'!$I$5:$I$300,'ИТОГО Торговля'!$B$5:$B$300,$B33)+SUMIFS('ИТОГО Лэндинг'!$I$5:$I$300,'ИТОГО Лэндинг'!$B$5:$B$300,$B33),8)))</f>
        <v/>
      </c>
      <c r="J33" s="241" t="str">
        <f>IF($B33="","",IF(AND(C33="",F33=""),"",ROUND(SUMIFS('ИТОГО Торговля'!$J$5:$J$300,'ИТОГО Торговля'!$B$5:$B$300,$B33)+SUMIFS('ИТОГО Лэндинг'!$J$5:$J$300,'ИТОГО Лэндинг'!$B$5:$B$300,$B33),8)))</f>
        <v/>
      </c>
      <c r="K33" s="240" t="str">
        <f>IF(MIN(N(C33),N(F33))&lt;=0,"",ROUND(MIN(N(C33),N(F33))*(N(G33)-N(D33)),8))</f>
        <v/>
      </c>
      <c r="L33" s="177" t="str">
        <f>IF(MIN(N(C33),N(F33))&lt;=0,"",IF(N(D33)=0,"",ROUND((N(G33)/N(D33)-1)*100,2)))</f>
        <v/>
      </c>
      <c r="M33" s="177" t="str">
        <f>IF(OR(ROUND(N(C33)-N(F33),8)=0,1-N(Ввод!$J$19)/100&lt;=0),"",IF(N(C33)&gt;N(F33),(N(E33)-N(H33))/((N(C33)-N(F33))*(1-N(Ввод!$J$19)/100)),(N(H33)-N(E33))/((N(F33)-N(C33))*(1+N(Ввод!$J$19)/100))))</f>
        <v/>
      </c>
    </row>
    <row r="34" ht="22" customHeight="1">
      <c r="B34" s="245" t="n"/>
      <c r="C34" s="246" t="str">
        <f>IF($B34="","",IF(SUMIFS('ИТОГО Торговля'!$C$5:$C$300,'ИТОГО Торговля'!$B$5:$B$300,$B34)+SUMIFS('ИТОГО Лэндинг'!$C$5:$C$300,'ИТОГО Лэндинг'!$B$5:$B$300,$B34)=0,"",SUMIFS('ИТОГО Торговля'!$C$5:$C$300,'ИТОГО Торговля'!$B$5:$B$300,$B34)+SUMIFS('ИТОГО Лэндинг'!$C$5:$C$300,'ИТОГО Лэндинг'!$B$5:$B$300,$B34)))</f>
        <v/>
      </c>
      <c r="D34" s="183" t="str">
        <f>IF(C34="","",E34/C34)</f>
        <v/>
      </c>
      <c r="E34" s="247" t="str">
        <f>IF(C34="","",SUMIFS('ИТОГО Торговля'!$E$5:$E$300,'ИТОГО Торговля'!$B$5:$B$300,$B34)+SUMIFS('ИТОГО Лэндинг'!$E$5:$E$300,'ИТОГО Лэндинг'!$B$5:$B$300,$B34))</f>
        <v/>
      </c>
      <c r="F34" s="246" t="str">
        <f>IF($B34="","",IF(SUMIFS('ИТОГО Торговля'!$F$5:$F$300,'ИТОГО Торговля'!$B$5:$B$300,$B34)+SUMIFS('ИТОГО Лэндинг'!$F$5:$F$300,'ИТОГО Лэндинг'!$B$5:$B$300,$B34)=0,"",SUMIFS('ИТОГО Торговля'!$F$5:$F$300,'ИТОГО Торговля'!$B$5:$B$300,$B34)+SUMIFS('ИТОГО Лэндинг'!$F$5:$F$300,'ИТОГО Лэндинг'!$B$5:$B$300,$B34)))</f>
        <v/>
      </c>
      <c r="G34" s="183" t="str">
        <f>IF(F34="","",H34/F34)</f>
        <v/>
      </c>
      <c r="H34" s="247" t="str">
        <f>IF(F34="","",SUMIFS('ИТОГО Торговля'!$H$5:$H$300,'ИТОГО Торговля'!$B$5:$B$300,$B34)+SUMIFS('ИТОГО Лэндинг'!$H$5:$H$300,'ИТОГО Лэндинг'!$B$5:$B$300,$B34))</f>
        <v/>
      </c>
      <c r="I34" s="246" t="str">
        <f>IF($B34="","",IF(AND(C34="",F34=""),"",ROUND(SUMIFS('ИТОГО Торговля'!$I$5:$I$300,'ИТОГО Торговля'!$B$5:$B$300,$B34)+SUMIFS('ИТОГО Лэндинг'!$I$5:$I$300,'ИТОГО Лэндинг'!$B$5:$B$300,$B34),8)))</f>
        <v/>
      </c>
      <c r="J34" s="247" t="str">
        <f>IF($B34="","",IF(AND(C34="",F34=""),"",ROUND(SUMIFS('ИТОГО Торговля'!$J$5:$J$300,'ИТОГО Торговля'!$B$5:$B$300,$B34)+SUMIFS('ИТОГО Лэндинг'!$J$5:$J$300,'ИТОГО Лэндинг'!$B$5:$B$300,$B34),8)))</f>
        <v/>
      </c>
      <c r="K34" s="246" t="str">
        <f>IF(MIN(N(C34),N(F34))&lt;=0,"",ROUND(MIN(N(C34),N(F34))*(N(G34)-N(D34)),8))</f>
        <v/>
      </c>
      <c r="L34" s="183" t="str">
        <f>IF(MIN(N(C34),N(F34))&lt;=0,"",IF(N(D34)=0,"",ROUND((N(G34)/N(D34)-1)*100,2)))</f>
        <v/>
      </c>
      <c r="M34" s="183" t="str">
        <f>IF(OR(ROUND(N(C34)-N(F34),8)=0,1-N(Ввод!$J$19)/100&lt;=0),"",IF(N(C34)&gt;N(F34),(N(E34)-N(H34))/((N(C34)-N(F34))*(1-N(Ввод!$J$19)/100)),(N(H34)-N(E34))/((N(F34)-N(C34))*(1+N(Ввод!$J$19)/100))))</f>
        <v/>
      </c>
    </row>
    <row r="35" ht="22" customHeight="1">
      <c r="B35" s="239" t="n"/>
      <c r="C35" s="240" t="str">
        <f>IF($B35="","",IF(SUMIFS('ИТОГО Торговля'!$C$5:$C$300,'ИТОГО Торговля'!$B$5:$B$300,$B35)+SUMIFS('ИТОГО Лэндинг'!$C$5:$C$300,'ИТОГО Лэндинг'!$B$5:$B$300,$B35)=0,"",SUMIFS('ИТОГО Торговля'!$C$5:$C$300,'ИТОГО Торговля'!$B$5:$B$300,$B35)+SUMIFS('ИТОГО Лэндинг'!$C$5:$C$300,'ИТОГО Лэндинг'!$B$5:$B$300,$B35)))</f>
        <v/>
      </c>
      <c r="D35" s="177" t="str">
        <f>IF(C35="","",E35/C35)</f>
        <v/>
      </c>
      <c r="E35" s="241" t="str">
        <f>IF(C35="","",SUMIFS('ИТОГО Торговля'!$E$5:$E$300,'ИТОГО Торговля'!$B$5:$B$300,$B35)+SUMIFS('ИТОГО Лэндинг'!$E$5:$E$300,'ИТОГО Лэндинг'!$B$5:$B$300,$B35))</f>
        <v/>
      </c>
      <c r="F35" s="240" t="str">
        <f>IF($B35="","",IF(SUMIFS('ИТОГО Торговля'!$F$5:$F$300,'ИТОГО Торговля'!$B$5:$B$300,$B35)+SUMIFS('ИТОГО Лэндинг'!$F$5:$F$300,'ИТОГО Лэндинг'!$B$5:$B$300,$B35)=0,"",SUMIFS('ИТОГО Торговля'!$F$5:$F$300,'ИТОГО Торговля'!$B$5:$B$300,$B35)+SUMIFS('ИТОГО Лэндинг'!$F$5:$F$300,'ИТОГО Лэндинг'!$B$5:$B$300,$B35)))</f>
        <v/>
      </c>
      <c r="G35" s="177" t="str">
        <f>IF(F35="","",H35/F35)</f>
        <v/>
      </c>
      <c r="H35" s="241" t="str">
        <f>IF(F35="","",SUMIFS('ИТОГО Торговля'!$H$5:$H$300,'ИТОГО Торговля'!$B$5:$B$300,$B35)+SUMIFS('ИТОГО Лэндинг'!$H$5:$H$300,'ИТОГО Лэндинг'!$B$5:$B$300,$B35))</f>
        <v/>
      </c>
      <c r="I35" s="240" t="str">
        <f>IF($B35="","",IF(AND(C35="",F35=""),"",ROUND(SUMIFS('ИТОГО Торговля'!$I$5:$I$300,'ИТОГО Торговля'!$B$5:$B$300,$B35)+SUMIFS('ИТОГО Лэндинг'!$I$5:$I$300,'ИТОГО Лэндинг'!$B$5:$B$300,$B35),8)))</f>
        <v/>
      </c>
      <c r="J35" s="241" t="str">
        <f>IF($B35="","",IF(AND(C35="",F35=""),"",ROUND(SUMIFS('ИТОГО Торговля'!$J$5:$J$300,'ИТОГО Торговля'!$B$5:$B$300,$B35)+SUMIFS('ИТОГО Лэндинг'!$J$5:$J$300,'ИТОГО Лэндинг'!$B$5:$B$300,$B35),8)))</f>
        <v/>
      </c>
      <c r="K35" s="240" t="str">
        <f>IF(MIN(N(C35),N(F35))&lt;=0,"",ROUND(MIN(N(C35),N(F35))*(N(G35)-N(D35)),8))</f>
        <v/>
      </c>
      <c r="L35" s="177" t="str">
        <f>IF(MIN(N(C35),N(F35))&lt;=0,"",IF(N(D35)=0,"",ROUND((N(G35)/N(D35)-1)*100,2)))</f>
        <v/>
      </c>
      <c r="M35" s="177" t="str">
        <f>IF(OR(ROUND(N(C35)-N(F35),8)=0,1-N(Ввод!$J$19)/100&lt;=0),"",IF(N(C35)&gt;N(F35),(N(E35)-N(H35))/((N(C35)-N(F35))*(1-N(Ввод!$J$19)/100)),(N(H35)-N(E35))/((N(F35)-N(C35))*(1+N(Ввод!$J$19)/100))))</f>
        <v/>
      </c>
    </row>
    <row r="36" ht="22" customHeight="1">
      <c r="B36" s="245" t="n"/>
      <c r="C36" s="246" t="str">
        <f>IF($B36="","",IF(SUMIFS('ИТОГО Торговля'!$C$5:$C$300,'ИТОГО Торговля'!$B$5:$B$300,$B36)+SUMIFS('ИТОГО Лэндинг'!$C$5:$C$300,'ИТОГО Лэндинг'!$B$5:$B$300,$B36)=0,"",SUMIFS('ИТОГО Торговля'!$C$5:$C$300,'ИТОГО Торговля'!$B$5:$B$300,$B36)+SUMIFS('ИТОГО Лэндинг'!$C$5:$C$300,'ИТОГО Лэндинг'!$B$5:$B$300,$B36)))</f>
        <v/>
      </c>
      <c r="D36" s="183" t="str">
        <f>IF(C36="","",E36/C36)</f>
        <v/>
      </c>
      <c r="E36" s="247" t="str">
        <f>IF(C36="","",SUMIFS('ИТОГО Торговля'!$E$5:$E$300,'ИТОГО Торговля'!$B$5:$B$300,$B36)+SUMIFS('ИТОГО Лэндинг'!$E$5:$E$300,'ИТОГО Лэндинг'!$B$5:$B$300,$B36))</f>
        <v/>
      </c>
      <c r="F36" s="246" t="str">
        <f>IF($B36="","",IF(SUMIFS('ИТОГО Торговля'!$F$5:$F$300,'ИТОГО Торговля'!$B$5:$B$300,$B36)+SUMIFS('ИТОГО Лэндинг'!$F$5:$F$300,'ИТОГО Лэндинг'!$B$5:$B$300,$B36)=0,"",SUMIFS('ИТОГО Торговля'!$F$5:$F$300,'ИТОГО Торговля'!$B$5:$B$300,$B36)+SUMIFS('ИТОГО Лэндинг'!$F$5:$F$300,'ИТОГО Лэндинг'!$B$5:$B$300,$B36)))</f>
        <v/>
      </c>
      <c r="G36" s="183" t="str">
        <f>IF(F36="","",H36/F36)</f>
        <v/>
      </c>
      <c r="H36" s="247" t="str">
        <f>IF(F36="","",SUMIFS('ИТОГО Торговля'!$H$5:$H$300,'ИТОГО Торговля'!$B$5:$B$300,$B36)+SUMIFS('ИТОГО Лэндинг'!$H$5:$H$300,'ИТОГО Лэндинг'!$B$5:$B$300,$B36))</f>
        <v/>
      </c>
      <c r="I36" s="246" t="str">
        <f>IF($B36="","",IF(AND(C36="",F36=""),"",ROUND(SUMIFS('ИТОГО Торговля'!$I$5:$I$300,'ИТОГО Торговля'!$B$5:$B$300,$B36)+SUMIFS('ИТОГО Лэндинг'!$I$5:$I$300,'ИТОГО Лэндинг'!$B$5:$B$300,$B36),8)))</f>
        <v/>
      </c>
      <c r="J36" s="247" t="str">
        <f>IF($B36="","",IF(AND(C36="",F36=""),"",ROUND(SUMIFS('ИТОГО Торговля'!$J$5:$J$300,'ИТОГО Торговля'!$B$5:$B$300,$B36)+SUMIFS('ИТОГО Лэндинг'!$J$5:$J$300,'ИТОГО Лэндинг'!$B$5:$B$300,$B36),8)))</f>
        <v/>
      </c>
      <c r="K36" s="246" t="str">
        <f>IF(MIN(N(C36),N(F36))&lt;=0,"",ROUND(MIN(N(C36),N(F36))*(N(G36)-N(D36)),8))</f>
        <v/>
      </c>
      <c r="L36" s="183" t="str">
        <f>IF(MIN(N(C36),N(F36))&lt;=0,"",IF(N(D36)=0,"",ROUND((N(G36)/N(D36)-1)*100,2)))</f>
        <v/>
      </c>
      <c r="M36" s="183" t="str">
        <f>IF(OR(ROUND(N(C36)-N(F36),8)=0,1-N(Ввод!$J$19)/100&lt;=0),"",IF(N(C36)&gt;N(F36),(N(E36)-N(H36))/((N(C36)-N(F36))*(1-N(Ввод!$J$19)/100)),(N(H36)-N(E36))/((N(F36)-N(C36))*(1+N(Ввод!$J$19)/100))))</f>
        <v/>
      </c>
    </row>
    <row r="37" ht="22" customHeight="1">
      <c r="B37" s="239" t="n"/>
      <c r="C37" s="240" t="str">
        <f>IF($B37="","",IF(SUMIFS('ИТОГО Торговля'!$C$5:$C$300,'ИТОГО Торговля'!$B$5:$B$300,$B37)+SUMIFS('ИТОГО Лэндинг'!$C$5:$C$300,'ИТОГО Лэндинг'!$B$5:$B$300,$B37)=0,"",SUMIFS('ИТОГО Торговля'!$C$5:$C$300,'ИТОГО Торговля'!$B$5:$B$300,$B37)+SUMIFS('ИТОГО Лэндинг'!$C$5:$C$300,'ИТОГО Лэндинг'!$B$5:$B$300,$B37)))</f>
        <v/>
      </c>
      <c r="D37" s="177" t="str">
        <f>IF(C37="","",E37/C37)</f>
        <v/>
      </c>
      <c r="E37" s="241" t="str">
        <f>IF(C37="","",SUMIFS('ИТОГО Торговля'!$E$5:$E$300,'ИТОГО Торговля'!$B$5:$B$300,$B37)+SUMIFS('ИТОГО Лэндинг'!$E$5:$E$300,'ИТОГО Лэндинг'!$B$5:$B$300,$B37))</f>
        <v/>
      </c>
      <c r="F37" s="240" t="str">
        <f>IF($B37="","",IF(SUMIFS('ИТОГО Торговля'!$F$5:$F$300,'ИТОГО Торговля'!$B$5:$B$300,$B37)+SUMIFS('ИТОГО Лэндинг'!$F$5:$F$300,'ИТОГО Лэндинг'!$B$5:$B$300,$B37)=0,"",SUMIFS('ИТОГО Торговля'!$F$5:$F$300,'ИТОГО Торговля'!$B$5:$B$300,$B37)+SUMIFS('ИТОГО Лэндинг'!$F$5:$F$300,'ИТОГО Лэндинг'!$B$5:$B$300,$B37)))</f>
        <v/>
      </c>
      <c r="G37" s="177" t="str">
        <f>IF(F37="","",H37/F37)</f>
        <v/>
      </c>
      <c r="H37" s="241" t="str">
        <f>IF(F37="","",SUMIFS('ИТОГО Торговля'!$H$5:$H$300,'ИТОГО Торговля'!$B$5:$B$300,$B37)+SUMIFS('ИТОГО Лэндинг'!$H$5:$H$300,'ИТОГО Лэндинг'!$B$5:$B$300,$B37))</f>
        <v/>
      </c>
      <c r="I37" s="240" t="str">
        <f>IF($B37="","",IF(AND(C37="",F37=""),"",ROUND(SUMIFS('ИТОГО Торговля'!$I$5:$I$300,'ИТОГО Торговля'!$B$5:$B$300,$B37)+SUMIFS('ИТОГО Лэндинг'!$I$5:$I$300,'ИТОГО Лэндинг'!$B$5:$B$300,$B37),8)))</f>
        <v/>
      </c>
      <c r="J37" s="241" t="str">
        <f>IF($B37="","",IF(AND(C37="",F37=""),"",ROUND(SUMIFS('ИТОГО Торговля'!$J$5:$J$300,'ИТОГО Торговля'!$B$5:$B$300,$B37)+SUMIFS('ИТОГО Лэндинг'!$J$5:$J$300,'ИТОГО Лэндинг'!$B$5:$B$300,$B37),8)))</f>
        <v/>
      </c>
      <c r="K37" s="240" t="str">
        <f>IF(MIN(N(C37),N(F37))&lt;=0,"",ROUND(MIN(N(C37),N(F37))*(N(G37)-N(D37)),8))</f>
        <v/>
      </c>
      <c r="L37" s="177" t="str">
        <f>IF(MIN(N(C37),N(F37))&lt;=0,"",IF(N(D37)=0,"",ROUND((N(G37)/N(D37)-1)*100,2)))</f>
        <v/>
      </c>
      <c r="M37" s="177" t="str">
        <f>IF(OR(ROUND(N(C37)-N(F37),8)=0,1-N(Ввод!$J$19)/100&lt;=0),"",IF(N(C37)&gt;N(F37),(N(E37)-N(H37))/((N(C37)-N(F37))*(1-N(Ввод!$J$19)/100)),(N(H37)-N(E37))/((N(F37)-N(C37))*(1+N(Ввод!$J$19)/100))))</f>
        <v/>
      </c>
    </row>
    <row r="38" ht="22" customHeight="1">
      <c r="B38" s="245" t="n"/>
      <c r="C38" s="246" t="str">
        <f>IF($B38="","",IF(SUMIFS('ИТОГО Торговля'!$C$5:$C$300,'ИТОГО Торговля'!$B$5:$B$300,$B38)+SUMIFS('ИТОГО Лэндинг'!$C$5:$C$300,'ИТОГО Лэндинг'!$B$5:$B$300,$B38)=0,"",SUMIFS('ИТОГО Торговля'!$C$5:$C$300,'ИТОГО Торговля'!$B$5:$B$300,$B38)+SUMIFS('ИТОГО Лэндинг'!$C$5:$C$300,'ИТОГО Лэндинг'!$B$5:$B$300,$B38)))</f>
        <v/>
      </c>
      <c r="D38" s="183" t="str">
        <f>IF(C38="","",E38/C38)</f>
        <v/>
      </c>
      <c r="E38" s="247" t="str">
        <f>IF(C38="","",SUMIFS('ИТОГО Торговля'!$E$5:$E$300,'ИТОГО Торговля'!$B$5:$B$300,$B38)+SUMIFS('ИТОГО Лэндинг'!$E$5:$E$300,'ИТОГО Лэндинг'!$B$5:$B$300,$B38))</f>
        <v/>
      </c>
      <c r="F38" s="246" t="str">
        <f>IF($B38="","",IF(SUMIFS('ИТОГО Торговля'!$F$5:$F$300,'ИТОГО Торговля'!$B$5:$B$300,$B38)+SUMIFS('ИТОГО Лэндинг'!$F$5:$F$300,'ИТОГО Лэндинг'!$B$5:$B$300,$B38)=0,"",SUMIFS('ИТОГО Торговля'!$F$5:$F$300,'ИТОГО Торговля'!$B$5:$B$300,$B38)+SUMIFS('ИТОГО Лэндинг'!$F$5:$F$300,'ИТОГО Лэндинг'!$B$5:$B$300,$B38)))</f>
        <v/>
      </c>
      <c r="G38" s="183" t="str">
        <f>IF(F38="","",H38/F38)</f>
        <v/>
      </c>
      <c r="H38" s="247" t="str">
        <f>IF(F38="","",SUMIFS('ИТОГО Торговля'!$H$5:$H$300,'ИТОГО Торговля'!$B$5:$B$300,$B38)+SUMIFS('ИТОГО Лэндинг'!$H$5:$H$300,'ИТОГО Лэндинг'!$B$5:$B$300,$B38))</f>
        <v/>
      </c>
      <c r="I38" s="246" t="str">
        <f>IF($B38="","",IF(AND(C38="",F38=""),"",ROUND(SUMIFS('ИТОГО Торговля'!$I$5:$I$300,'ИТОГО Торговля'!$B$5:$B$300,$B38)+SUMIFS('ИТОГО Лэндинг'!$I$5:$I$300,'ИТОГО Лэндинг'!$B$5:$B$300,$B38),8)))</f>
        <v/>
      </c>
      <c r="J38" s="247" t="str">
        <f>IF($B38="","",IF(AND(C38="",F38=""),"",ROUND(SUMIFS('ИТОГО Торговля'!$J$5:$J$300,'ИТОГО Торговля'!$B$5:$B$300,$B38)+SUMIFS('ИТОГО Лэндинг'!$J$5:$J$300,'ИТОГО Лэндинг'!$B$5:$B$300,$B38),8)))</f>
        <v/>
      </c>
      <c r="K38" s="246" t="str">
        <f>IF(MIN(N(C38),N(F38))&lt;=0,"",ROUND(MIN(N(C38),N(F38))*(N(G38)-N(D38)),8))</f>
        <v/>
      </c>
      <c r="L38" s="183" t="str">
        <f>IF(MIN(N(C38),N(F38))&lt;=0,"",IF(N(D38)=0,"",ROUND((N(G38)/N(D38)-1)*100,2)))</f>
        <v/>
      </c>
      <c r="M38" s="183" t="str">
        <f>IF(OR(ROUND(N(C38)-N(F38),8)=0,1-N(Ввод!$J$19)/100&lt;=0),"",IF(N(C38)&gt;N(F38),(N(E38)-N(H38))/((N(C38)-N(F38))*(1-N(Ввод!$J$19)/100)),(N(H38)-N(E38))/((N(F38)-N(C38))*(1+N(Ввод!$J$19)/100))))</f>
        <v/>
      </c>
    </row>
    <row r="39" ht="22" customHeight="1">
      <c r="B39" s="239" t="n"/>
      <c r="C39" s="240" t="str">
        <f>IF($B39="","",IF(SUMIFS('ИТОГО Торговля'!$C$5:$C$300,'ИТОГО Торговля'!$B$5:$B$300,$B39)+SUMIFS('ИТОГО Лэндинг'!$C$5:$C$300,'ИТОГО Лэндинг'!$B$5:$B$300,$B39)=0,"",SUMIFS('ИТОГО Торговля'!$C$5:$C$300,'ИТОГО Торговля'!$B$5:$B$300,$B39)+SUMIFS('ИТОГО Лэндинг'!$C$5:$C$300,'ИТОГО Лэндинг'!$B$5:$B$300,$B39)))</f>
        <v/>
      </c>
      <c r="D39" s="177" t="str">
        <f>IF(C39="","",E39/C39)</f>
        <v/>
      </c>
      <c r="E39" s="241" t="str">
        <f>IF(C39="","",SUMIFS('ИТОГО Торговля'!$E$5:$E$300,'ИТОГО Торговля'!$B$5:$B$300,$B39)+SUMIFS('ИТОГО Лэндинг'!$E$5:$E$300,'ИТОГО Лэндинг'!$B$5:$B$300,$B39))</f>
        <v/>
      </c>
      <c r="F39" s="240" t="str">
        <f>IF($B39="","",IF(SUMIFS('ИТОГО Торговля'!$F$5:$F$300,'ИТОГО Торговля'!$B$5:$B$300,$B39)+SUMIFS('ИТОГО Лэндинг'!$F$5:$F$300,'ИТОГО Лэндинг'!$B$5:$B$300,$B39)=0,"",SUMIFS('ИТОГО Торговля'!$F$5:$F$300,'ИТОГО Торговля'!$B$5:$B$300,$B39)+SUMIFS('ИТОГО Лэндинг'!$F$5:$F$300,'ИТОГО Лэндинг'!$B$5:$B$300,$B39)))</f>
        <v/>
      </c>
      <c r="G39" s="177" t="str">
        <f>IF(F39="","",H39/F39)</f>
        <v/>
      </c>
      <c r="H39" s="241" t="str">
        <f>IF(F39="","",SUMIFS('ИТОГО Торговля'!$H$5:$H$300,'ИТОГО Торговля'!$B$5:$B$300,$B39)+SUMIFS('ИТОГО Лэндинг'!$H$5:$H$300,'ИТОГО Лэндинг'!$B$5:$B$300,$B39))</f>
        <v/>
      </c>
      <c r="I39" s="240" t="str">
        <f>IF($B39="","",IF(AND(C39="",F39=""),"",ROUND(SUMIFS('ИТОГО Торговля'!$I$5:$I$300,'ИТОГО Торговля'!$B$5:$B$300,$B39)+SUMIFS('ИТОГО Лэндинг'!$I$5:$I$300,'ИТОГО Лэндинг'!$B$5:$B$300,$B39),8)))</f>
        <v/>
      </c>
      <c r="J39" s="241" t="str">
        <f>IF($B39="","",IF(AND(C39="",F39=""),"",ROUND(SUMIFS('ИТОГО Торговля'!$J$5:$J$300,'ИТОГО Торговля'!$B$5:$B$300,$B39)+SUMIFS('ИТОГО Лэндинг'!$J$5:$J$300,'ИТОГО Лэндинг'!$B$5:$B$300,$B39),8)))</f>
        <v/>
      </c>
      <c r="K39" s="240" t="str">
        <f>IF(MIN(N(C39),N(F39))&lt;=0,"",ROUND(MIN(N(C39),N(F39))*(N(G39)-N(D39)),8))</f>
        <v/>
      </c>
      <c r="L39" s="177" t="str">
        <f>IF(MIN(N(C39),N(F39))&lt;=0,"",IF(N(D39)=0,"",ROUND((N(G39)/N(D39)-1)*100,2)))</f>
        <v/>
      </c>
      <c r="M39" s="177" t="str">
        <f>IF(OR(ROUND(N(C39)-N(F39),8)=0,1-N(Ввод!$J$19)/100&lt;=0),"",IF(N(C39)&gt;N(F39),(N(E39)-N(H39))/((N(C39)-N(F39))*(1-N(Ввод!$J$19)/100)),(N(H39)-N(E39))/((N(F39)-N(C39))*(1+N(Ввод!$J$19)/100))))</f>
        <v/>
      </c>
    </row>
    <row r="40" ht="22" customHeight="1">
      <c r="B40" s="245" t="n"/>
      <c r="C40" s="246" t="str">
        <f>IF($B40="","",IF(SUMIFS('ИТОГО Торговля'!$C$5:$C$300,'ИТОГО Торговля'!$B$5:$B$300,$B40)+SUMIFS('ИТОГО Лэндинг'!$C$5:$C$300,'ИТОГО Лэндинг'!$B$5:$B$300,$B40)=0,"",SUMIFS('ИТОГО Торговля'!$C$5:$C$300,'ИТОГО Торговля'!$B$5:$B$300,$B40)+SUMIFS('ИТОГО Лэндинг'!$C$5:$C$300,'ИТОГО Лэндинг'!$B$5:$B$300,$B40)))</f>
        <v/>
      </c>
      <c r="D40" s="183" t="str">
        <f>IF(C40="","",E40/C40)</f>
        <v/>
      </c>
      <c r="E40" s="247" t="str">
        <f>IF(C40="","",SUMIFS('ИТОГО Торговля'!$E$5:$E$300,'ИТОГО Торговля'!$B$5:$B$300,$B40)+SUMIFS('ИТОГО Лэндинг'!$E$5:$E$300,'ИТОГО Лэндинг'!$B$5:$B$300,$B40))</f>
        <v/>
      </c>
      <c r="F40" s="246" t="str">
        <f>IF($B40="","",IF(SUMIFS('ИТОГО Торговля'!$F$5:$F$300,'ИТОГО Торговля'!$B$5:$B$300,$B40)+SUMIFS('ИТОГО Лэндинг'!$F$5:$F$300,'ИТОГО Лэндинг'!$B$5:$B$300,$B40)=0,"",SUMIFS('ИТОГО Торговля'!$F$5:$F$300,'ИТОГО Торговля'!$B$5:$B$300,$B40)+SUMIFS('ИТОГО Лэндинг'!$F$5:$F$300,'ИТОГО Лэндинг'!$B$5:$B$300,$B40)))</f>
        <v/>
      </c>
      <c r="G40" s="183" t="str">
        <f>IF(F40="","",H40/F40)</f>
        <v/>
      </c>
      <c r="H40" s="247" t="str">
        <f>IF(F40="","",SUMIFS('ИТОГО Торговля'!$H$5:$H$300,'ИТОГО Торговля'!$B$5:$B$300,$B40)+SUMIFS('ИТОГО Лэндинг'!$H$5:$H$300,'ИТОГО Лэндинг'!$B$5:$B$300,$B40))</f>
        <v/>
      </c>
      <c r="I40" s="246" t="str">
        <f>IF($B40="","",IF(AND(C40="",F40=""),"",ROUND(SUMIFS('ИТОГО Торговля'!$I$5:$I$300,'ИТОГО Торговля'!$B$5:$B$300,$B40)+SUMIFS('ИТОГО Лэндинг'!$I$5:$I$300,'ИТОГО Лэндинг'!$B$5:$B$300,$B40),8)))</f>
        <v/>
      </c>
      <c r="J40" s="247" t="str">
        <f>IF($B40="","",IF(AND(C40="",F40=""),"",ROUND(SUMIFS('ИТОГО Торговля'!$J$5:$J$300,'ИТОГО Торговля'!$B$5:$B$300,$B40)+SUMIFS('ИТОГО Лэндинг'!$J$5:$J$300,'ИТОГО Лэндинг'!$B$5:$B$300,$B40),8)))</f>
        <v/>
      </c>
      <c r="K40" s="246" t="str">
        <f>IF(MIN(N(C40),N(F40))&lt;=0,"",ROUND(MIN(N(C40),N(F40))*(N(G40)-N(D40)),8))</f>
        <v/>
      </c>
      <c r="L40" s="183" t="str">
        <f>IF(MIN(N(C40),N(F40))&lt;=0,"",IF(N(D40)=0,"",ROUND((N(G40)/N(D40)-1)*100,2)))</f>
        <v/>
      </c>
      <c r="M40" s="183" t="str">
        <f>IF(OR(ROUND(N(C40)-N(F40),8)=0,1-N(Ввод!$J$19)/100&lt;=0),"",IF(N(C40)&gt;N(F40),(N(E40)-N(H40))/((N(C40)-N(F40))*(1-N(Ввод!$J$19)/100)),(N(H40)-N(E40))/((N(F40)-N(C40))*(1+N(Ввод!$J$19)/100))))</f>
        <v/>
      </c>
    </row>
    <row r="41" ht="22" customHeight="1">
      <c r="B41" s="239" t="n"/>
      <c r="C41" s="240" t="str">
        <f>IF($B41="","",IF(SUMIFS('ИТОГО Торговля'!$C$5:$C$300,'ИТОГО Торговля'!$B$5:$B$300,$B41)+SUMIFS('ИТОГО Лэндинг'!$C$5:$C$300,'ИТОГО Лэндинг'!$B$5:$B$300,$B41)=0,"",SUMIFS('ИТОГО Торговля'!$C$5:$C$300,'ИТОГО Торговля'!$B$5:$B$300,$B41)+SUMIFS('ИТОГО Лэндинг'!$C$5:$C$300,'ИТОГО Лэндинг'!$B$5:$B$300,$B41)))</f>
        <v/>
      </c>
      <c r="D41" s="177" t="str">
        <f>IF(C41="","",E41/C41)</f>
        <v/>
      </c>
      <c r="E41" s="241" t="str">
        <f>IF(C41="","",SUMIFS('ИТОГО Торговля'!$E$5:$E$300,'ИТОГО Торговля'!$B$5:$B$300,$B41)+SUMIFS('ИТОГО Лэндинг'!$E$5:$E$300,'ИТОГО Лэндинг'!$B$5:$B$300,$B41))</f>
        <v/>
      </c>
      <c r="F41" s="240" t="str">
        <f>IF($B41="","",IF(SUMIFS('ИТОГО Торговля'!$F$5:$F$300,'ИТОГО Торговля'!$B$5:$B$300,$B41)+SUMIFS('ИТОГО Лэндинг'!$F$5:$F$300,'ИТОГО Лэндинг'!$B$5:$B$300,$B41)=0,"",SUMIFS('ИТОГО Торговля'!$F$5:$F$300,'ИТОГО Торговля'!$B$5:$B$300,$B41)+SUMIFS('ИТОГО Лэндинг'!$F$5:$F$300,'ИТОГО Лэндинг'!$B$5:$B$300,$B41)))</f>
        <v/>
      </c>
      <c r="G41" s="177" t="str">
        <f>IF(F41="","",H41/F41)</f>
        <v/>
      </c>
      <c r="H41" s="241" t="str">
        <f>IF(F41="","",SUMIFS('ИТОГО Торговля'!$H$5:$H$300,'ИТОГО Торговля'!$B$5:$B$300,$B41)+SUMIFS('ИТОГО Лэндинг'!$H$5:$H$300,'ИТОГО Лэндинг'!$B$5:$B$300,$B41))</f>
        <v/>
      </c>
      <c r="I41" s="240" t="str">
        <f>IF($B41="","",IF(AND(C41="",F41=""),"",ROUND(SUMIFS('ИТОГО Торговля'!$I$5:$I$300,'ИТОГО Торговля'!$B$5:$B$300,$B41)+SUMIFS('ИТОГО Лэндинг'!$I$5:$I$300,'ИТОГО Лэндинг'!$B$5:$B$300,$B41),8)))</f>
        <v/>
      </c>
      <c r="J41" s="241" t="str">
        <f>IF($B41="","",IF(AND(C41="",F41=""),"",ROUND(SUMIFS('ИТОГО Торговля'!$J$5:$J$300,'ИТОГО Торговля'!$B$5:$B$300,$B41)+SUMIFS('ИТОГО Лэндинг'!$J$5:$J$300,'ИТОГО Лэндинг'!$B$5:$B$300,$B41),8)))</f>
        <v/>
      </c>
      <c r="K41" s="240" t="str">
        <f>IF(MIN(N(C41),N(F41))&lt;=0,"",ROUND(MIN(N(C41),N(F41))*(N(G41)-N(D41)),8))</f>
        <v/>
      </c>
      <c r="L41" s="177" t="str">
        <f>IF(MIN(N(C41),N(F41))&lt;=0,"",IF(N(D41)=0,"",ROUND((N(G41)/N(D41)-1)*100,2)))</f>
        <v/>
      </c>
      <c r="M41" s="177" t="str">
        <f>IF(OR(ROUND(N(C41)-N(F41),8)=0,1-N(Ввод!$J$19)/100&lt;=0),"",IF(N(C41)&gt;N(F41),(N(E41)-N(H41))/((N(C41)-N(F41))*(1-N(Ввод!$J$19)/100)),(N(H41)-N(E41))/((N(F41)-N(C41))*(1+N(Ввод!$J$19)/100))))</f>
        <v/>
      </c>
    </row>
    <row r="42" ht="22" customHeight="1">
      <c r="B42" s="245" t="n"/>
      <c r="C42" s="246" t="str">
        <f>IF($B42="","",IF(SUMIFS('ИТОГО Торговля'!$C$5:$C$300,'ИТОГО Торговля'!$B$5:$B$300,$B42)+SUMIFS('ИТОГО Лэндинг'!$C$5:$C$300,'ИТОГО Лэндинг'!$B$5:$B$300,$B42)=0,"",SUMIFS('ИТОГО Торговля'!$C$5:$C$300,'ИТОГО Торговля'!$B$5:$B$300,$B42)+SUMIFS('ИТОГО Лэндинг'!$C$5:$C$300,'ИТОГО Лэндинг'!$B$5:$B$300,$B42)))</f>
        <v/>
      </c>
      <c r="D42" s="183" t="str">
        <f>IF(C42="","",E42/C42)</f>
        <v/>
      </c>
      <c r="E42" s="247" t="str">
        <f>IF(C42="","",SUMIFS('ИТОГО Торговля'!$E$5:$E$300,'ИТОГО Торговля'!$B$5:$B$300,$B42)+SUMIFS('ИТОГО Лэндинг'!$E$5:$E$300,'ИТОГО Лэндинг'!$B$5:$B$300,$B42))</f>
        <v/>
      </c>
      <c r="F42" s="246" t="str">
        <f>IF($B42="","",IF(SUMIFS('ИТОГО Торговля'!$F$5:$F$300,'ИТОГО Торговля'!$B$5:$B$300,$B42)+SUMIFS('ИТОГО Лэндинг'!$F$5:$F$300,'ИТОГО Лэндинг'!$B$5:$B$300,$B42)=0,"",SUMIFS('ИТОГО Торговля'!$F$5:$F$300,'ИТОГО Торговля'!$B$5:$B$300,$B42)+SUMIFS('ИТОГО Лэндинг'!$F$5:$F$300,'ИТОГО Лэндинг'!$B$5:$B$300,$B42)))</f>
        <v/>
      </c>
      <c r="G42" s="183" t="str">
        <f>IF(F42="","",H42/F42)</f>
        <v/>
      </c>
      <c r="H42" s="247" t="str">
        <f>IF(F42="","",SUMIFS('ИТОГО Торговля'!$H$5:$H$300,'ИТОГО Торговля'!$B$5:$B$300,$B42)+SUMIFS('ИТОГО Лэндинг'!$H$5:$H$300,'ИТОГО Лэндинг'!$B$5:$B$300,$B42))</f>
        <v/>
      </c>
      <c r="I42" s="246" t="str">
        <f>IF($B42="","",IF(AND(C42="",F42=""),"",ROUND(SUMIFS('ИТОГО Торговля'!$I$5:$I$300,'ИТОГО Торговля'!$B$5:$B$300,$B42)+SUMIFS('ИТОГО Лэндинг'!$I$5:$I$300,'ИТОГО Лэндинг'!$B$5:$B$300,$B42),8)))</f>
        <v/>
      </c>
      <c r="J42" s="247" t="str">
        <f>IF($B42="","",IF(AND(C42="",F42=""),"",ROUND(SUMIFS('ИТОГО Торговля'!$J$5:$J$300,'ИТОГО Торговля'!$B$5:$B$300,$B42)+SUMIFS('ИТОГО Лэндинг'!$J$5:$J$300,'ИТОГО Лэндинг'!$B$5:$B$300,$B42),8)))</f>
        <v/>
      </c>
      <c r="K42" s="246" t="str">
        <f>IF(MIN(N(C42),N(F42))&lt;=0,"",ROUND(MIN(N(C42),N(F42))*(N(G42)-N(D42)),8))</f>
        <v/>
      </c>
      <c r="L42" s="183" t="str">
        <f>IF(MIN(N(C42),N(F42))&lt;=0,"",IF(N(D42)=0,"",ROUND((N(G42)/N(D42)-1)*100,2)))</f>
        <v/>
      </c>
      <c r="M42" s="183" t="str">
        <f>IF(OR(ROUND(N(C42)-N(F42),8)=0,1-N(Ввод!$J$19)/100&lt;=0),"",IF(N(C42)&gt;N(F42),(N(E42)-N(H42))/((N(C42)-N(F42))*(1-N(Ввод!$J$19)/100)),(N(H42)-N(E42))/((N(F42)-N(C42))*(1+N(Ввод!$J$19)/100))))</f>
        <v/>
      </c>
    </row>
    <row r="43" ht="22" customHeight="1">
      <c r="B43" s="239" t="n"/>
      <c r="C43" s="240" t="str">
        <f>IF($B43="","",IF(SUMIFS('ИТОГО Торговля'!$C$5:$C$300,'ИТОГО Торговля'!$B$5:$B$300,$B43)+SUMIFS('ИТОГО Лэндинг'!$C$5:$C$300,'ИТОГО Лэндинг'!$B$5:$B$300,$B43)=0,"",SUMIFS('ИТОГО Торговля'!$C$5:$C$300,'ИТОГО Торговля'!$B$5:$B$300,$B43)+SUMIFS('ИТОГО Лэндинг'!$C$5:$C$300,'ИТОГО Лэндинг'!$B$5:$B$300,$B43)))</f>
        <v/>
      </c>
      <c r="D43" s="177" t="str">
        <f>IF(C43="","",E43/C43)</f>
        <v/>
      </c>
      <c r="E43" s="241" t="str">
        <f>IF(C43="","",SUMIFS('ИТОГО Торговля'!$E$5:$E$300,'ИТОГО Торговля'!$B$5:$B$300,$B43)+SUMIFS('ИТОГО Лэндинг'!$E$5:$E$300,'ИТОГО Лэндинг'!$B$5:$B$300,$B43))</f>
        <v/>
      </c>
      <c r="F43" s="240" t="str">
        <f>IF($B43="","",IF(SUMIFS('ИТОГО Торговля'!$F$5:$F$300,'ИТОГО Торговля'!$B$5:$B$300,$B43)+SUMIFS('ИТОГО Лэндинг'!$F$5:$F$300,'ИТОГО Лэндинг'!$B$5:$B$300,$B43)=0,"",SUMIFS('ИТОГО Торговля'!$F$5:$F$300,'ИТОГО Торговля'!$B$5:$B$300,$B43)+SUMIFS('ИТОГО Лэндинг'!$F$5:$F$300,'ИТОГО Лэндинг'!$B$5:$B$300,$B43)))</f>
        <v/>
      </c>
      <c r="G43" s="177" t="str">
        <f>IF(F43="","",H43/F43)</f>
        <v/>
      </c>
      <c r="H43" s="241" t="str">
        <f>IF(F43="","",SUMIFS('ИТОГО Торговля'!$H$5:$H$300,'ИТОГО Торговля'!$B$5:$B$300,$B43)+SUMIFS('ИТОГО Лэндинг'!$H$5:$H$300,'ИТОГО Лэндинг'!$B$5:$B$300,$B43))</f>
        <v/>
      </c>
      <c r="I43" s="240" t="str">
        <f>IF($B43="","",IF(AND(C43="",F43=""),"",ROUND(SUMIFS('ИТОГО Торговля'!$I$5:$I$300,'ИТОГО Торговля'!$B$5:$B$300,$B43)+SUMIFS('ИТОГО Лэндинг'!$I$5:$I$300,'ИТОГО Лэндинг'!$B$5:$B$300,$B43),8)))</f>
        <v/>
      </c>
      <c r="J43" s="241" t="str">
        <f>IF($B43="","",IF(AND(C43="",F43=""),"",ROUND(SUMIFS('ИТОГО Торговля'!$J$5:$J$300,'ИТОГО Торговля'!$B$5:$B$300,$B43)+SUMIFS('ИТОГО Лэндинг'!$J$5:$J$300,'ИТОГО Лэндинг'!$B$5:$B$300,$B43),8)))</f>
        <v/>
      </c>
      <c r="K43" s="240" t="str">
        <f>IF(MIN(N(C43),N(F43))&lt;=0,"",ROUND(MIN(N(C43),N(F43))*(N(G43)-N(D43)),8))</f>
        <v/>
      </c>
      <c r="L43" s="177" t="str">
        <f>IF(MIN(N(C43),N(F43))&lt;=0,"",IF(N(D43)=0,"",ROUND((N(G43)/N(D43)-1)*100,2)))</f>
        <v/>
      </c>
      <c r="M43" s="177" t="str">
        <f>IF(OR(ROUND(N(C43)-N(F43),8)=0,1-N(Ввод!$J$19)/100&lt;=0),"",IF(N(C43)&gt;N(F43),(N(E43)-N(H43))/((N(C43)-N(F43))*(1-N(Ввод!$J$19)/100)),(N(H43)-N(E43))/((N(F43)-N(C43))*(1+N(Ввод!$J$19)/100))))</f>
        <v/>
      </c>
    </row>
    <row r="44" ht="22" customHeight="1">
      <c r="B44" s="245" t="n"/>
      <c r="C44" s="246" t="str">
        <f>IF($B44="","",IF(SUMIFS('ИТОГО Торговля'!$C$5:$C$300,'ИТОГО Торговля'!$B$5:$B$300,$B44)+SUMIFS('ИТОГО Лэндинг'!$C$5:$C$300,'ИТОГО Лэндинг'!$B$5:$B$300,$B44)=0,"",SUMIFS('ИТОГО Торговля'!$C$5:$C$300,'ИТОГО Торговля'!$B$5:$B$300,$B44)+SUMIFS('ИТОГО Лэндинг'!$C$5:$C$300,'ИТОГО Лэндинг'!$B$5:$B$300,$B44)))</f>
        <v/>
      </c>
      <c r="D44" s="183" t="str">
        <f>IF(C44="","",E44/C44)</f>
        <v/>
      </c>
      <c r="E44" s="247" t="str">
        <f>IF(C44="","",SUMIFS('ИТОГО Торговля'!$E$5:$E$300,'ИТОГО Торговля'!$B$5:$B$300,$B44)+SUMIFS('ИТОГО Лэндинг'!$E$5:$E$300,'ИТОГО Лэндинг'!$B$5:$B$300,$B44))</f>
        <v/>
      </c>
      <c r="F44" s="246" t="str">
        <f>IF($B44="","",IF(SUMIFS('ИТОГО Торговля'!$F$5:$F$300,'ИТОГО Торговля'!$B$5:$B$300,$B44)+SUMIFS('ИТОГО Лэндинг'!$F$5:$F$300,'ИТОГО Лэндинг'!$B$5:$B$300,$B44)=0,"",SUMIFS('ИТОГО Торговля'!$F$5:$F$300,'ИТОГО Торговля'!$B$5:$B$300,$B44)+SUMIFS('ИТОГО Лэндинг'!$F$5:$F$300,'ИТОГО Лэндинг'!$B$5:$B$300,$B44)))</f>
        <v/>
      </c>
      <c r="G44" s="183" t="str">
        <f>IF(F44="","",H44/F44)</f>
        <v/>
      </c>
      <c r="H44" s="247" t="str">
        <f>IF(F44="","",SUMIFS('ИТОГО Торговля'!$H$5:$H$300,'ИТОГО Торговля'!$B$5:$B$300,$B44)+SUMIFS('ИТОГО Лэндинг'!$H$5:$H$300,'ИТОГО Лэндинг'!$B$5:$B$300,$B44))</f>
        <v/>
      </c>
      <c r="I44" s="246" t="str">
        <f>IF($B44="","",IF(AND(C44="",F44=""),"",ROUND(SUMIFS('ИТОГО Торговля'!$I$5:$I$300,'ИТОГО Торговля'!$B$5:$B$300,$B44)+SUMIFS('ИТОГО Лэндинг'!$I$5:$I$300,'ИТОГО Лэндинг'!$B$5:$B$300,$B44),8)))</f>
        <v/>
      </c>
      <c r="J44" s="247" t="str">
        <f>IF($B44="","",IF(AND(C44="",F44=""),"",ROUND(SUMIFS('ИТОГО Торговля'!$J$5:$J$300,'ИТОГО Торговля'!$B$5:$B$300,$B44)+SUMIFS('ИТОГО Лэндинг'!$J$5:$J$300,'ИТОГО Лэндинг'!$B$5:$B$300,$B44),8)))</f>
        <v/>
      </c>
      <c r="K44" s="246" t="str">
        <f>IF(MIN(N(C44),N(F44))&lt;=0,"",ROUND(MIN(N(C44),N(F44))*(N(G44)-N(D44)),8))</f>
        <v/>
      </c>
      <c r="L44" s="183" t="str">
        <f>IF(MIN(N(C44),N(F44))&lt;=0,"",IF(N(D44)=0,"",ROUND((N(G44)/N(D44)-1)*100,2)))</f>
        <v/>
      </c>
      <c r="M44" s="183" t="str">
        <f>IF(OR(ROUND(N(C44)-N(F44),8)=0,1-N(Ввод!$J$19)/100&lt;=0),"",IF(N(C44)&gt;N(F44),(N(E44)-N(H44))/((N(C44)-N(F44))*(1-N(Ввод!$J$19)/100)),(N(H44)-N(E44))/((N(F44)-N(C44))*(1+N(Ввод!$J$19)/100))))</f>
        <v/>
      </c>
    </row>
    <row r="45" ht="22" customHeight="1">
      <c r="B45" s="239" t="n"/>
      <c r="C45" s="240" t="str">
        <f>IF($B45="","",IF(SUMIFS('ИТОГО Торговля'!$C$5:$C$300,'ИТОГО Торговля'!$B$5:$B$300,$B45)+SUMIFS('ИТОГО Лэндинг'!$C$5:$C$300,'ИТОГО Лэндинг'!$B$5:$B$300,$B45)=0,"",SUMIFS('ИТОГО Торговля'!$C$5:$C$300,'ИТОГО Торговля'!$B$5:$B$300,$B45)+SUMIFS('ИТОГО Лэндинг'!$C$5:$C$300,'ИТОГО Лэндинг'!$B$5:$B$300,$B45)))</f>
        <v/>
      </c>
      <c r="D45" s="177" t="str">
        <f>IF(C45="","",E45/C45)</f>
        <v/>
      </c>
      <c r="E45" s="241" t="str">
        <f>IF(C45="","",SUMIFS('ИТОГО Торговля'!$E$5:$E$300,'ИТОГО Торговля'!$B$5:$B$300,$B45)+SUMIFS('ИТОГО Лэндинг'!$E$5:$E$300,'ИТОГО Лэндинг'!$B$5:$B$300,$B45))</f>
        <v/>
      </c>
      <c r="F45" s="240" t="str">
        <f>IF($B45="","",IF(SUMIFS('ИТОГО Торговля'!$F$5:$F$300,'ИТОГО Торговля'!$B$5:$B$300,$B45)+SUMIFS('ИТОГО Лэндинг'!$F$5:$F$300,'ИТОГО Лэндинг'!$B$5:$B$300,$B45)=0,"",SUMIFS('ИТОГО Торговля'!$F$5:$F$300,'ИТОГО Торговля'!$B$5:$B$300,$B45)+SUMIFS('ИТОГО Лэндинг'!$F$5:$F$300,'ИТОГО Лэндинг'!$B$5:$B$300,$B45)))</f>
        <v/>
      </c>
      <c r="G45" s="177" t="str">
        <f>IF(F45="","",H45/F45)</f>
        <v/>
      </c>
      <c r="H45" s="241" t="str">
        <f>IF(F45="","",SUMIFS('ИТОГО Торговля'!$H$5:$H$300,'ИТОГО Торговля'!$B$5:$B$300,$B45)+SUMIFS('ИТОГО Лэндинг'!$H$5:$H$300,'ИТОГО Лэндинг'!$B$5:$B$300,$B45))</f>
        <v/>
      </c>
      <c r="I45" s="240" t="str">
        <f>IF($B45="","",IF(AND(C45="",F45=""),"",ROUND(SUMIFS('ИТОГО Торговля'!$I$5:$I$300,'ИТОГО Торговля'!$B$5:$B$300,$B45)+SUMIFS('ИТОГО Лэндинг'!$I$5:$I$300,'ИТОГО Лэндинг'!$B$5:$B$300,$B45),8)))</f>
        <v/>
      </c>
      <c r="J45" s="241" t="str">
        <f>IF($B45="","",IF(AND(C45="",F45=""),"",ROUND(SUMIFS('ИТОГО Торговля'!$J$5:$J$300,'ИТОГО Торговля'!$B$5:$B$300,$B45)+SUMIFS('ИТОГО Лэндинг'!$J$5:$J$300,'ИТОГО Лэндинг'!$B$5:$B$300,$B45),8)))</f>
        <v/>
      </c>
      <c r="K45" s="240" t="str">
        <f>IF(MIN(N(C45),N(F45))&lt;=0,"",ROUND(MIN(N(C45),N(F45))*(N(G45)-N(D45)),8))</f>
        <v/>
      </c>
      <c r="L45" s="177" t="str">
        <f>IF(MIN(N(C45),N(F45))&lt;=0,"",IF(N(D45)=0,"",ROUND((N(G45)/N(D45)-1)*100,2)))</f>
        <v/>
      </c>
      <c r="M45" s="177" t="str">
        <f>IF(OR(ROUND(N(C45)-N(F45),8)=0,1-N(Ввод!$J$19)/100&lt;=0),"",IF(N(C45)&gt;N(F45),(N(E45)-N(H45))/((N(C45)-N(F45))*(1-N(Ввод!$J$19)/100)),(N(H45)-N(E45))/((N(F45)-N(C45))*(1+N(Ввод!$J$19)/100))))</f>
        <v/>
      </c>
    </row>
    <row r="46" ht="22" customHeight="1">
      <c r="B46" s="245" t="n"/>
      <c r="C46" s="246" t="str">
        <f>IF($B46="","",IF(SUMIFS('ИТОГО Торговля'!$C$5:$C$300,'ИТОГО Торговля'!$B$5:$B$300,$B46)+SUMIFS('ИТОГО Лэндинг'!$C$5:$C$300,'ИТОГО Лэндинг'!$B$5:$B$300,$B46)=0,"",SUMIFS('ИТОГО Торговля'!$C$5:$C$300,'ИТОГО Торговля'!$B$5:$B$300,$B46)+SUMIFS('ИТОГО Лэндинг'!$C$5:$C$300,'ИТОГО Лэндинг'!$B$5:$B$300,$B46)))</f>
        <v/>
      </c>
      <c r="D46" s="183" t="str">
        <f>IF(C46="","",E46/C46)</f>
        <v/>
      </c>
      <c r="E46" s="247" t="str">
        <f>IF(C46="","",SUMIFS('ИТОГО Торговля'!$E$5:$E$300,'ИТОГО Торговля'!$B$5:$B$300,$B46)+SUMIFS('ИТОГО Лэндинг'!$E$5:$E$300,'ИТОГО Лэндинг'!$B$5:$B$300,$B46))</f>
        <v/>
      </c>
      <c r="F46" s="246" t="str">
        <f>IF($B46="","",IF(SUMIFS('ИТОГО Торговля'!$F$5:$F$300,'ИТОГО Торговля'!$B$5:$B$300,$B46)+SUMIFS('ИТОГО Лэндинг'!$F$5:$F$300,'ИТОГО Лэндинг'!$B$5:$B$300,$B46)=0,"",SUMIFS('ИТОГО Торговля'!$F$5:$F$300,'ИТОГО Торговля'!$B$5:$B$300,$B46)+SUMIFS('ИТОГО Лэндинг'!$F$5:$F$300,'ИТОГО Лэндинг'!$B$5:$B$300,$B46)))</f>
        <v/>
      </c>
      <c r="G46" s="183" t="str">
        <f>IF(F46="","",H46/F46)</f>
        <v/>
      </c>
      <c r="H46" s="247" t="str">
        <f>IF(F46="","",SUMIFS('ИТОГО Торговля'!$H$5:$H$300,'ИТОГО Торговля'!$B$5:$B$300,$B46)+SUMIFS('ИТОГО Лэндинг'!$H$5:$H$300,'ИТОГО Лэндинг'!$B$5:$B$300,$B46))</f>
        <v/>
      </c>
      <c r="I46" s="246" t="str">
        <f>IF($B46="","",IF(AND(C46="",F46=""),"",ROUND(SUMIFS('ИТОГО Торговля'!$I$5:$I$300,'ИТОГО Торговля'!$B$5:$B$300,$B46)+SUMIFS('ИТОГО Лэндинг'!$I$5:$I$300,'ИТОГО Лэндинг'!$B$5:$B$300,$B46),8)))</f>
        <v/>
      </c>
      <c r="J46" s="247" t="str">
        <f>IF($B46="","",IF(AND(C46="",F46=""),"",ROUND(SUMIFS('ИТОГО Торговля'!$J$5:$J$300,'ИТОГО Торговля'!$B$5:$B$300,$B46)+SUMIFS('ИТОГО Лэндинг'!$J$5:$J$300,'ИТОГО Лэндинг'!$B$5:$B$300,$B46),8)))</f>
        <v/>
      </c>
      <c r="K46" s="246" t="str">
        <f>IF(MIN(N(C46),N(F46))&lt;=0,"",ROUND(MIN(N(C46),N(F46))*(N(G46)-N(D46)),8))</f>
        <v/>
      </c>
      <c r="L46" s="183" t="str">
        <f>IF(MIN(N(C46),N(F46))&lt;=0,"",IF(N(D46)=0,"",ROUND((N(G46)/N(D46)-1)*100,2)))</f>
        <v/>
      </c>
      <c r="M46" s="183" t="str">
        <f>IF(OR(ROUND(N(C46)-N(F46),8)=0,1-N(Ввод!$J$19)/100&lt;=0),"",IF(N(C46)&gt;N(F46),(N(E46)-N(H46))/((N(C46)-N(F46))*(1-N(Ввод!$J$19)/100)),(N(H46)-N(E46))/((N(F46)-N(C46))*(1+N(Ввод!$J$19)/100))))</f>
        <v/>
      </c>
    </row>
    <row r="47" ht="22" customHeight="1">
      <c r="B47" s="239" t="n"/>
      <c r="C47" s="240" t="str">
        <f>IF($B47="","",IF(SUMIFS('ИТОГО Торговля'!$C$5:$C$300,'ИТОГО Торговля'!$B$5:$B$300,$B47)+SUMIFS('ИТОГО Лэндинг'!$C$5:$C$300,'ИТОГО Лэндинг'!$B$5:$B$300,$B47)=0,"",SUMIFS('ИТОГО Торговля'!$C$5:$C$300,'ИТОГО Торговля'!$B$5:$B$300,$B47)+SUMIFS('ИТОГО Лэндинг'!$C$5:$C$300,'ИТОГО Лэндинг'!$B$5:$B$300,$B47)))</f>
        <v/>
      </c>
      <c r="D47" s="177" t="str">
        <f>IF(C47="","",E47/C47)</f>
        <v/>
      </c>
      <c r="E47" s="241" t="str">
        <f>IF(C47="","",SUMIFS('ИТОГО Торговля'!$E$5:$E$300,'ИТОГО Торговля'!$B$5:$B$300,$B47)+SUMIFS('ИТОГО Лэндинг'!$E$5:$E$300,'ИТОГО Лэндинг'!$B$5:$B$300,$B47))</f>
        <v/>
      </c>
      <c r="F47" s="240" t="str">
        <f>IF($B47="","",IF(SUMIFS('ИТОГО Торговля'!$F$5:$F$300,'ИТОГО Торговля'!$B$5:$B$300,$B47)+SUMIFS('ИТОГО Лэндинг'!$F$5:$F$300,'ИТОГО Лэндинг'!$B$5:$B$300,$B47)=0,"",SUMIFS('ИТОГО Торговля'!$F$5:$F$300,'ИТОГО Торговля'!$B$5:$B$300,$B47)+SUMIFS('ИТОГО Лэндинг'!$F$5:$F$300,'ИТОГО Лэндинг'!$B$5:$B$300,$B47)))</f>
        <v/>
      </c>
      <c r="G47" s="177" t="str">
        <f>IF(F47="","",H47/F47)</f>
        <v/>
      </c>
      <c r="H47" s="241" t="str">
        <f>IF(F47="","",SUMIFS('ИТОГО Торговля'!$H$5:$H$300,'ИТОГО Торговля'!$B$5:$B$300,$B47)+SUMIFS('ИТОГО Лэндинг'!$H$5:$H$300,'ИТОГО Лэндинг'!$B$5:$B$300,$B47))</f>
        <v/>
      </c>
      <c r="I47" s="240" t="str">
        <f>IF($B47="","",IF(AND(C47="",F47=""),"",ROUND(SUMIFS('ИТОГО Торговля'!$I$5:$I$300,'ИТОГО Торговля'!$B$5:$B$300,$B47)+SUMIFS('ИТОГО Лэндинг'!$I$5:$I$300,'ИТОГО Лэндинг'!$B$5:$B$300,$B47),8)))</f>
        <v/>
      </c>
      <c r="J47" s="241" t="str">
        <f>IF($B47="","",IF(AND(C47="",F47=""),"",ROUND(SUMIFS('ИТОГО Торговля'!$J$5:$J$300,'ИТОГО Торговля'!$B$5:$B$300,$B47)+SUMIFS('ИТОГО Лэндинг'!$J$5:$J$300,'ИТОГО Лэндинг'!$B$5:$B$300,$B47),8)))</f>
        <v/>
      </c>
      <c r="K47" s="240" t="str">
        <f>IF(MIN(N(C47),N(F47))&lt;=0,"",ROUND(MIN(N(C47),N(F47))*(N(G47)-N(D47)),8))</f>
        <v/>
      </c>
      <c r="L47" s="177" t="str">
        <f>IF(MIN(N(C47),N(F47))&lt;=0,"",IF(N(D47)=0,"",ROUND((N(G47)/N(D47)-1)*100,2)))</f>
        <v/>
      </c>
      <c r="M47" s="177" t="str">
        <f>IF(OR(ROUND(N(C47)-N(F47),8)=0,1-N(Ввод!$J$19)/100&lt;=0),"",IF(N(C47)&gt;N(F47),(N(E47)-N(H47))/((N(C47)-N(F47))*(1-N(Ввод!$J$19)/100)),(N(H47)-N(E47))/((N(F47)-N(C47))*(1+N(Ввод!$J$19)/100))))</f>
        <v/>
      </c>
    </row>
    <row r="48" ht="22" customHeight="1">
      <c r="B48" s="245" t="n"/>
      <c r="C48" s="246" t="str">
        <f>IF($B48="","",IF(SUMIFS('ИТОГО Торговля'!$C$5:$C$300,'ИТОГО Торговля'!$B$5:$B$300,$B48)+SUMIFS('ИТОГО Лэндинг'!$C$5:$C$300,'ИТОГО Лэндинг'!$B$5:$B$300,$B48)=0,"",SUMIFS('ИТОГО Торговля'!$C$5:$C$300,'ИТОГО Торговля'!$B$5:$B$300,$B48)+SUMIFS('ИТОГО Лэндинг'!$C$5:$C$300,'ИТОГО Лэндинг'!$B$5:$B$300,$B48)))</f>
        <v/>
      </c>
      <c r="D48" s="183" t="str">
        <f>IF(C48="","",E48/C48)</f>
        <v/>
      </c>
      <c r="E48" s="247" t="str">
        <f>IF(C48="","",SUMIFS('ИТОГО Торговля'!$E$5:$E$300,'ИТОГО Торговля'!$B$5:$B$300,$B48)+SUMIFS('ИТОГО Лэндинг'!$E$5:$E$300,'ИТОГО Лэндинг'!$B$5:$B$300,$B48))</f>
        <v/>
      </c>
      <c r="F48" s="246" t="str">
        <f>IF($B48="","",IF(SUMIFS('ИТОГО Торговля'!$F$5:$F$300,'ИТОГО Торговля'!$B$5:$B$300,$B48)+SUMIFS('ИТОГО Лэндинг'!$F$5:$F$300,'ИТОГО Лэндинг'!$B$5:$B$300,$B48)=0,"",SUMIFS('ИТОГО Торговля'!$F$5:$F$300,'ИТОГО Торговля'!$B$5:$B$300,$B48)+SUMIFS('ИТОГО Лэндинг'!$F$5:$F$300,'ИТОГО Лэндинг'!$B$5:$B$300,$B48)))</f>
        <v/>
      </c>
      <c r="G48" s="183" t="str">
        <f>IF(F48="","",H48/F48)</f>
        <v/>
      </c>
      <c r="H48" s="247" t="str">
        <f>IF(F48="","",SUMIFS('ИТОГО Торговля'!$H$5:$H$300,'ИТОГО Торговля'!$B$5:$B$300,$B48)+SUMIFS('ИТОГО Лэндинг'!$H$5:$H$300,'ИТОГО Лэндинг'!$B$5:$B$300,$B48))</f>
        <v/>
      </c>
      <c r="I48" s="246" t="str">
        <f>IF($B48="","",IF(AND(C48="",F48=""),"",ROUND(SUMIFS('ИТОГО Торговля'!$I$5:$I$300,'ИТОГО Торговля'!$B$5:$B$300,$B48)+SUMIFS('ИТОГО Лэндинг'!$I$5:$I$300,'ИТОГО Лэндинг'!$B$5:$B$300,$B48),8)))</f>
        <v/>
      </c>
      <c r="J48" s="247" t="str">
        <f>IF($B48="","",IF(AND(C48="",F48=""),"",ROUND(SUMIFS('ИТОГО Торговля'!$J$5:$J$300,'ИТОГО Торговля'!$B$5:$B$300,$B48)+SUMIFS('ИТОГО Лэндинг'!$J$5:$J$300,'ИТОГО Лэндинг'!$B$5:$B$300,$B48),8)))</f>
        <v/>
      </c>
      <c r="K48" s="246" t="str">
        <f>IF(MIN(N(C48),N(F48))&lt;=0,"",ROUND(MIN(N(C48),N(F48))*(N(G48)-N(D48)),8))</f>
        <v/>
      </c>
      <c r="L48" s="183" t="str">
        <f>IF(MIN(N(C48),N(F48))&lt;=0,"",IF(N(D48)=0,"",ROUND((N(G48)/N(D48)-1)*100,2)))</f>
        <v/>
      </c>
      <c r="M48" s="183" t="str">
        <f>IF(OR(ROUND(N(C48)-N(F48),8)=0,1-N(Ввод!$J$19)/100&lt;=0),"",IF(N(C48)&gt;N(F48),(N(E48)-N(H48))/((N(C48)-N(F48))*(1-N(Ввод!$J$19)/100)),(N(H48)-N(E48))/((N(F48)-N(C48))*(1+N(Ввод!$J$19)/100))))</f>
        <v/>
      </c>
    </row>
    <row r="49" ht="22" customHeight="1">
      <c r="B49" s="239" t="n"/>
      <c r="C49" s="240" t="str">
        <f>IF($B49="","",IF(SUMIFS('ИТОГО Торговля'!$C$5:$C$300,'ИТОГО Торговля'!$B$5:$B$300,$B49)+SUMIFS('ИТОГО Лэндинг'!$C$5:$C$300,'ИТОГО Лэндинг'!$B$5:$B$300,$B49)=0,"",SUMIFS('ИТОГО Торговля'!$C$5:$C$300,'ИТОГО Торговля'!$B$5:$B$300,$B49)+SUMIFS('ИТОГО Лэндинг'!$C$5:$C$300,'ИТОГО Лэндинг'!$B$5:$B$300,$B49)))</f>
        <v/>
      </c>
      <c r="D49" s="177" t="str">
        <f>IF(C49="","",E49/C49)</f>
        <v/>
      </c>
      <c r="E49" s="241" t="str">
        <f>IF(C49="","",SUMIFS('ИТОГО Торговля'!$E$5:$E$300,'ИТОГО Торговля'!$B$5:$B$300,$B49)+SUMIFS('ИТОГО Лэндинг'!$E$5:$E$300,'ИТОГО Лэндинг'!$B$5:$B$300,$B49))</f>
        <v/>
      </c>
      <c r="F49" s="240" t="str">
        <f>IF($B49="","",IF(SUMIFS('ИТОГО Торговля'!$F$5:$F$300,'ИТОГО Торговля'!$B$5:$B$300,$B49)+SUMIFS('ИТОГО Лэндинг'!$F$5:$F$300,'ИТОГО Лэндинг'!$B$5:$B$300,$B49)=0,"",SUMIFS('ИТОГО Торговля'!$F$5:$F$300,'ИТОГО Торговля'!$B$5:$B$300,$B49)+SUMIFS('ИТОГО Лэндинг'!$F$5:$F$300,'ИТОГО Лэндинг'!$B$5:$B$300,$B49)))</f>
        <v/>
      </c>
      <c r="G49" s="177" t="str">
        <f>IF(F49="","",H49/F49)</f>
        <v/>
      </c>
      <c r="H49" s="241" t="str">
        <f>IF(F49="","",SUMIFS('ИТОГО Торговля'!$H$5:$H$300,'ИТОГО Торговля'!$B$5:$B$300,$B49)+SUMIFS('ИТОГО Лэндинг'!$H$5:$H$300,'ИТОГО Лэндинг'!$B$5:$B$300,$B49))</f>
        <v/>
      </c>
      <c r="I49" s="240" t="str">
        <f>IF($B49="","",IF(AND(C49="",F49=""),"",ROUND(SUMIFS('ИТОГО Торговля'!$I$5:$I$300,'ИТОГО Торговля'!$B$5:$B$300,$B49)+SUMIFS('ИТОГО Лэндинг'!$I$5:$I$300,'ИТОГО Лэндинг'!$B$5:$B$300,$B49),8)))</f>
        <v/>
      </c>
      <c r="J49" s="241" t="str">
        <f>IF($B49="","",IF(AND(C49="",F49=""),"",ROUND(SUMIFS('ИТОГО Торговля'!$J$5:$J$300,'ИТОГО Торговля'!$B$5:$B$300,$B49)+SUMIFS('ИТОГО Лэндинг'!$J$5:$J$300,'ИТОГО Лэндинг'!$B$5:$B$300,$B49),8)))</f>
        <v/>
      </c>
      <c r="K49" s="240" t="str">
        <f>IF(MIN(N(C49),N(F49))&lt;=0,"",ROUND(MIN(N(C49),N(F49))*(N(G49)-N(D49)),8))</f>
        <v/>
      </c>
      <c r="L49" s="177" t="str">
        <f>IF(MIN(N(C49),N(F49))&lt;=0,"",IF(N(D49)=0,"",ROUND((N(G49)/N(D49)-1)*100,2)))</f>
        <v/>
      </c>
      <c r="M49" s="177" t="str">
        <f>IF(OR(ROUND(N(C49)-N(F49),8)=0,1-N(Ввод!$J$19)/100&lt;=0),"",IF(N(C49)&gt;N(F49),(N(E49)-N(H49))/((N(C49)-N(F49))*(1-N(Ввод!$J$19)/100)),(N(H49)-N(E49))/((N(F49)-N(C49))*(1+N(Ввод!$J$19)/100))))</f>
        <v/>
      </c>
    </row>
    <row r="50" ht="22" customHeight="1">
      <c r="B50" s="245" t="n"/>
      <c r="C50" s="246" t="str">
        <f>IF($B50="","",IF(SUMIFS('ИТОГО Торговля'!$C$5:$C$300,'ИТОГО Торговля'!$B$5:$B$300,$B50)+SUMIFS('ИТОГО Лэндинг'!$C$5:$C$300,'ИТОГО Лэндинг'!$B$5:$B$300,$B50)=0,"",SUMIFS('ИТОГО Торговля'!$C$5:$C$300,'ИТОГО Торговля'!$B$5:$B$300,$B50)+SUMIFS('ИТОГО Лэндинг'!$C$5:$C$300,'ИТОГО Лэндинг'!$B$5:$B$300,$B50)))</f>
        <v/>
      </c>
      <c r="D50" s="183" t="str">
        <f>IF(C50="","",E50/C50)</f>
        <v/>
      </c>
      <c r="E50" s="247" t="str">
        <f>IF(C50="","",SUMIFS('ИТОГО Торговля'!$E$5:$E$300,'ИТОГО Торговля'!$B$5:$B$300,$B50)+SUMIFS('ИТОГО Лэндинг'!$E$5:$E$300,'ИТОГО Лэндинг'!$B$5:$B$300,$B50))</f>
        <v/>
      </c>
      <c r="F50" s="246" t="str">
        <f>IF($B50="","",IF(SUMIFS('ИТОГО Торговля'!$F$5:$F$300,'ИТОГО Торговля'!$B$5:$B$300,$B50)+SUMIFS('ИТОГО Лэндинг'!$F$5:$F$300,'ИТОГО Лэндинг'!$B$5:$B$300,$B50)=0,"",SUMIFS('ИТОГО Торговля'!$F$5:$F$300,'ИТОГО Торговля'!$B$5:$B$300,$B50)+SUMIFS('ИТОГО Лэндинг'!$F$5:$F$300,'ИТОГО Лэндинг'!$B$5:$B$300,$B50)))</f>
        <v/>
      </c>
      <c r="G50" s="183" t="str">
        <f>IF(F50="","",H50/F50)</f>
        <v/>
      </c>
      <c r="H50" s="247" t="str">
        <f>IF(F50="","",SUMIFS('ИТОГО Торговля'!$H$5:$H$300,'ИТОГО Торговля'!$B$5:$B$300,$B50)+SUMIFS('ИТОГО Лэндинг'!$H$5:$H$300,'ИТОГО Лэндинг'!$B$5:$B$300,$B50))</f>
        <v/>
      </c>
      <c r="I50" s="246" t="str">
        <f>IF($B50="","",IF(AND(C50="",F50=""),"",ROUND(SUMIFS('ИТОГО Торговля'!$I$5:$I$300,'ИТОГО Торговля'!$B$5:$B$300,$B50)+SUMIFS('ИТОГО Лэндинг'!$I$5:$I$300,'ИТОГО Лэндинг'!$B$5:$B$300,$B50),8)))</f>
        <v/>
      </c>
      <c r="J50" s="247" t="str">
        <f>IF($B50="","",IF(AND(C50="",F50=""),"",ROUND(SUMIFS('ИТОГО Торговля'!$J$5:$J$300,'ИТОГО Торговля'!$B$5:$B$300,$B50)+SUMIFS('ИТОГО Лэндинг'!$J$5:$J$300,'ИТОГО Лэндинг'!$B$5:$B$300,$B50),8)))</f>
        <v/>
      </c>
      <c r="K50" s="246" t="str">
        <f>IF(MIN(N(C50),N(F50))&lt;=0,"",ROUND(MIN(N(C50),N(F50))*(N(G50)-N(D50)),8))</f>
        <v/>
      </c>
      <c r="L50" s="183" t="str">
        <f>IF(MIN(N(C50),N(F50))&lt;=0,"",IF(N(D50)=0,"",ROUND((N(G50)/N(D50)-1)*100,2)))</f>
        <v/>
      </c>
      <c r="M50" s="183" t="str">
        <f>IF(OR(ROUND(N(C50)-N(F50),8)=0,1-N(Ввод!$J$19)/100&lt;=0),"",IF(N(C50)&gt;N(F50),(N(E50)-N(H50))/((N(C50)-N(F50))*(1-N(Ввод!$J$19)/100)),(N(H50)-N(E50))/((N(F50)-N(C50))*(1+N(Ввод!$J$19)/100))))</f>
        <v/>
      </c>
    </row>
    <row r="51" ht="22" customHeight="1">
      <c r="B51" s="239" t="n"/>
      <c r="C51" s="240" t="str">
        <f>IF($B51="","",IF(SUMIFS('ИТОГО Торговля'!$C$5:$C$300,'ИТОГО Торговля'!$B$5:$B$300,$B51)+SUMIFS('ИТОГО Лэндинг'!$C$5:$C$300,'ИТОГО Лэндинг'!$B$5:$B$300,$B51)=0,"",SUMIFS('ИТОГО Торговля'!$C$5:$C$300,'ИТОГО Торговля'!$B$5:$B$300,$B51)+SUMIFS('ИТОГО Лэндинг'!$C$5:$C$300,'ИТОГО Лэндинг'!$B$5:$B$300,$B51)))</f>
        <v/>
      </c>
      <c r="D51" s="177" t="str">
        <f>IF(C51="","",E51/C51)</f>
        <v/>
      </c>
      <c r="E51" s="241" t="str">
        <f>IF(C51="","",SUMIFS('ИТОГО Торговля'!$E$5:$E$300,'ИТОГО Торговля'!$B$5:$B$300,$B51)+SUMIFS('ИТОГО Лэндинг'!$E$5:$E$300,'ИТОГО Лэндинг'!$B$5:$B$300,$B51))</f>
        <v/>
      </c>
      <c r="F51" s="240" t="str">
        <f>IF($B51="","",IF(SUMIFS('ИТОГО Торговля'!$F$5:$F$300,'ИТОГО Торговля'!$B$5:$B$300,$B51)+SUMIFS('ИТОГО Лэндинг'!$F$5:$F$300,'ИТОГО Лэндинг'!$B$5:$B$300,$B51)=0,"",SUMIFS('ИТОГО Торговля'!$F$5:$F$300,'ИТОГО Торговля'!$B$5:$B$300,$B51)+SUMIFS('ИТОГО Лэндинг'!$F$5:$F$300,'ИТОГО Лэндинг'!$B$5:$B$300,$B51)))</f>
        <v/>
      </c>
      <c r="G51" s="177" t="str">
        <f>IF(F51="","",H51/F51)</f>
        <v/>
      </c>
      <c r="H51" s="241" t="str">
        <f>IF(F51="","",SUMIFS('ИТОГО Торговля'!$H$5:$H$300,'ИТОГО Торговля'!$B$5:$B$300,$B51)+SUMIFS('ИТОГО Лэндинг'!$H$5:$H$300,'ИТОГО Лэндинг'!$B$5:$B$300,$B51))</f>
        <v/>
      </c>
      <c r="I51" s="240" t="str">
        <f>IF($B51="","",IF(AND(C51="",F51=""),"",ROUND(SUMIFS('ИТОГО Торговля'!$I$5:$I$300,'ИТОГО Торговля'!$B$5:$B$300,$B51)+SUMIFS('ИТОГО Лэндинг'!$I$5:$I$300,'ИТОГО Лэндинг'!$B$5:$B$300,$B51),8)))</f>
        <v/>
      </c>
      <c r="J51" s="241" t="str">
        <f>IF($B51="","",IF(AND(C51="",F51=""),"",ROUND(SUMIFS('ИТОГО Торговля'!$J$5:$J$300,'ИТОГО Торговля'!$B$5:$B$300,$B51)+SUMIFS('ИТОГО Лэндинг'!$J$5:$J$300,'ИТОГО Лэндинг'!$B$5:$B$300,$B51),8)))</f>
        <v/>
      </c>
      <c r="K51" s="240" t="str">
        <f>IF(MIN(N(C51),N(F51))&lt;=0,"",ROUND(MIN(N(C51),N(F51))*(N(G51)-N(D51)),8))</f>
        <v/>
      </c>
      <c r="L51" s="177" t="str">
        <f>IF(MIN(N(C51),N(F51))&lt;=0,"",IF(N(D51)=0,"",ROUND((N(G51)/N(D51)-1)*100,2)))</f>
        <v/>
      </c>
      <c r="M51" s="177" t="str">
        <f>IF(OR(ROUND(N(C51)-N(F51),8)=0,1-N(Ввод!$J$19)/100&lt;=0),"",IF(N(C51)&gt;N(F51),(N(E51)-N(H51))/((N(C51)-N(F51))*(1-N(Ввод!$J$19)/100)),(N(H51)-N(E51))/((N(F51)-N(C51))*(1+N(Ввод!$J$19)/100))))</f>
        <v/>
      </c>
    </row>
    <row r="52" ht="22" customHeight="1">
      <c r="B52" s="245" t="n"/>
      <c r="C52" s="246" t="str">
        <f>IF($B52="","",IF(SUMIFS('ИТОГО Торговля'!$C$5:$C$300,'ИТОГО Торговля'!$B$5:$B$300,$B52)+SUMIFS('ИТОГО Лэндинг'!$C$5:$C$300,'ИТОГО Лэндинг'!$B$5:$B$300,$B52)=0,"",SUMIFS('ИТОГО Торговля'!$C$5:$C$300,'ИТОГО Торговля'!$B$5:$B$300,$B52)+SUMIFS('ИТОГО Лэндинг'!$C$5:$C$300,'ИТОГО Лэндинг'!$B$5:$B$300,$B52)))</f>
        <v/>
      </c>
      <c r="D52" s="183" t="str">
        <f>IF(C52="","",E52/C52)</f>
        <v/>
      </c>
      <c r="E52" s="247" t="str">
        <f>IF(C52="","",SUMIFS('ИТОГО Торговля'!$E$5:$E$300,'ИТОГО Торговля'!$B$5:$B$300,$B52)+SUMIFS('ИТОГО Лэндинг'!$E$5:$E$300,'ИТОГО Лэндинг'!$B$5:$B$300,$B52))</f>
        <v/>
      </c>
      <c r="F52" s="246" t="str">
        <f>IF($B52="","",IF(SUMIFS('ИТОГО Торговля'!$F$5:$F$300,'ИТОГО Торговля'!$B$5:$B$300,$B52)+SUMIFS('ИТОГО Лэндинг'!$F$5:$F$300,'ИТОГО Лэндинг'!$B$5:$B$300,$B52)=0,"",SUMIFS('ИТОГО Торговля'!$F$5:$F$300,'ИТОГО Торговля'!$B$5:$B$300,$B52)+SUMIFS('ИТОГО Лэндинг'!$F$5:$F$300,'ИТОГО Лэндинг'!$B$5:$B$300,$B52)))</f>
        <v/>
      </c>
      <c r="G52" s="183" t="str">
        <f>IF(F52="","",H52/F52)</f>
        <v/>
      </c>
      <c r="H52" s="247" t="str">
        <f>IF(F52="","",SUMIFS('ИТОГО Торговля'!$H$5:$H$300,'ИТОГО Торговля'!$B$5:$B$300,$B52)+SUMIFS('ИТОГО Лэндинг'!$H$5:$H$300,'ИТОГО Лэндинг'!$B$5:$B$300,$B52))</f>
        <v/>
      </c>
      <c r="I52" s="246" t="str">
        <f>IF($B52="","",IF(AND(C52="",F52=""),"",ROUND(SUMIFS('ИТОГО Торговля'!$I$5:$I$300,'ИТОГО Торговля'!$B$5:$B$300,$B52)+SUMIFS('ИТОГО Лэндинг'!$I$5:$I$300,'ИТОГО Лэндинг'!$B$5:$B$300,$B52),8)))</f>
        <v/>
      </c>
      <c r="J52" s="247" t="str">
        <f>IF($B52="","",IF(AND(C52="",F52=""),"",ROUND(SUMIFS('ИТОГО Торговля'!$J$5:$J$300,'ИТОГО Торговля'!$B$5:$B$300,$B52)+SUMIFS('ИТОГО Лэндинг'!$J$5:$J$300,'ИТОГО Лэндинг'!$B$5:$B$300,$B52),8)))</f>
        <v/>
      </c>
      <c r="K52" s="246" t="str">
        <f>IF(MIN(N(C52),N(F52))&lt;=0,"",ROUND(MIN(N(C52),N(F52))*(N(G52)-N(D52)),8))</f>
        <v/>
      </c>
      <c r="L52" s="183" t="str">
        <f>IF(MIN(N(C52),N(F52))&lt;=0,"",IF(N(D52)=0,"",ROUND((N(G52)/N(D52)-1)*100,2)))</f>
        <v/>
      </c>
      <c r="M52" s="183" t="str">
        <f>IF(OR(ROUND(N(C52)-N(F52),8)=0,1-N(Ввод!$J$19)/100&lt;=0),"",IF(N(C52)&gt;N(F52),(N(E52)-N(H52))/((N(C52)-N(F52))*(1-N(Ввод!$J$19)/100)),(N(H52)-N(E52))/((N(F52)-N(C52))*(1+N(Ввод!$J$19)/100))))</f>
        <v/>
      </c>
    </row>
    <row r="53" ht="22" customHeight="1">
      <c r="B53" s="239" t="n"/>
      <c r="C53" s="240" t="str">
        <f>IF($B53="","",IF(SUMIFS('ИТОГО Торговля'!$C$5:$C$300,'ИТОГО Торговля'!$B$5:$B$300,$B53)+SUMIFS('ИТОГО Лэндинг'!$C$5:$C$300,'ИТОГО Лэндинг'!$B$5:$B$300,$B53)=0,"",SUMIFS('ИТОГО Торговля'!$C$5:$C$300,'ИТОГО Торговля'!$B$5:$B$300,$B53)+SUMIFS('ИТОГО Лэндинг'!$C$5:$C$300,'ИТОГО Лэндинг'!$B$5:$B$300,$B53)))</f>
        <v/>
      </c>
      <c r="D53" s="177" t="str">
        <f>IF(C53="","",E53/C53)</f>
        <v/>
      </c>
      <c r="E53" s="241" t="str">
        <f>IF(C53="","",SUMIFS('ИТОГО Торговля'!$E$5:$E$300,'ИТОГО Торговля'!$B$5:$B$300,$B53)+SUMIFS('ИТОГО Лэндинг'!$E$5:$E$300,'ИТОГО Лэндинг'!$B$5:$B$300,$B53))</f>
        <v/>
      </c>
      <c r="F53" s="240" t="str">
        <f>IF($B53="","",IF(SUMIFS('ИТОГО Торговля'!$F$5:$F$300,'ИТОГО Торговля'!$B$5:$B$300,$B53)+SUMIFS('ИТОГО Лэндинг'!$F$5:$F$300,'ИТОГО Лэндинг'!$B$5:$B$300,$B53)=0,"",SUMIFS('ИТОГО Торговля'!$F$5:$F$300,'ИТОГО Торговля'!$B$5:$B$300,$B53)+SUMIFS('ИТОГО Лэндинг'!$F$5:$F$300,'ИТОГО Лэндинг'!$B$5:$B$300,$B53)))</f>
        <v/>
      </c>
      <c r="G53" s="177" t="str">
        <f>IF(F53="","",H53/F53)</f>
        <v/>
      </c>
      <c r="H53" s="241" t="str">
        <f>IF(F53="","",SUMIFS('ИТОГО Торговля'!$H$5:$H$300,'ИТОГО Торговля'!$B$5:$B$300,$B53)+SUMIFS('ИТОГО Лэндинг'!$H$5:$H$300,'ИТОГО Лэндинг'!$B$5:$B$300,$B53))</f>
        <v/>
      </c>
      <c r="I53" s="240" t="str">
        <f>IF($B53="","",IF(AND(C53="",F53=""),"",ROUND(SUMIFS('ИТОГО Торговля'!$I$5:$I$300,'ИТОГО Торговля'!$B$5:$B$300,$B53)+SUMIFS('ИТОГО Лэндинг'!$I$5:$I$300,'ИТОГО Лэндинг'!$B$5:$B$300,$B53),8)))</f>
        <v/>
      </c>
      <c r="J53" s="241" t="str">
        <f>IF($B53="","",IF(AND(C53="",F53=""),"",ROUND(SUMIFS('ИТОГО Торговля'!$J$5:$J$300,'ИТОГО Торговля'!$B$5:$B$300,$B53)+SUMIFS('ИТОГО Лэндинг'!$J$5:$J$300,'ИТОГО Лэндинг'!$B$5:$B$300,$B53),8)))</f>
        <v/>
      </c>
      <c r="K53" s="240" t="str">
        <f>IF(MIN(N(C53),N(F53))&lt;=0,"",ROUND(MIN(N(C53),N(F53))*(N(G53)-N(D53)),8))</f>
        <v/>
      </c>
      <c r="L53" s="177" t="str">
        <f>IF(MIN(N(C53),N(F53))&lt;=0,"",IF(N(D53)=0,"",ROUND((N(G53)/N(D53)-1)*100,2)))</f>
        <v/>
      </c>
      <c r="M53" s="177" t="str">
        <f>IF(OR(ROUND(N(C53)-N(F53),8)=0,1-N(Ввод!$J$19)/100&lt;=0),"",IF(N(C53)&gt;N(F53),(N(E53)-N(H53))/((N(C53)-N(F53))*(1-N(Ввод!$J$19)/100)),(N(H53)-N(E53))/((N(F53)-N(C53))*(1+N(Ввод!$J$19)/100))))</f>
        <v/>
      </c>
    </row>
    <row r="54" ht="22" customHeight="1">
      <c r="B54" s="245" t="n"/>
      <c r="C54" s="246" t="str">
        <f>IF($B54="","",IF(SUMIFS('ИТОГО Торговля'!$C$5:$C$300,'ИТОГО Торговля'!$B$5:$B$300,$B54)+SUMIFS('ИТОГО Лэндинг'!$C$5:$C$300,'ИТОГО Лэндинг'!$B$5:$B$300,$B54)=0,"",SUMIFS('ИТОГО Торговля'!$C$5:$C$300,'ИТОГО Торговля'!$B$5:$B$300,$B54)+SUMIFS('ИТОГО Лэндинг'!$C$5:$C$300,'ИТОГО Лэндинг'!$B$5:$B$300,$B54)))</f>
        <v/>
      </c>
      <c r="D54" s="183" t="str">
        <f>IF(C54="","",E54/C54)</f>
        <v/>
      </c>
      <c r="E54" s="247" t="str">
        <f>IF(C54="","",SUMIFS('ИТОГО Торговля'!$E$5:$E$300,'ИТОГО Торговля'!$B$5:$B$300,$B54)+SUMIFS('ИТОГО Лэндинг'!$E$5:$E$300,'ИТОГО Лэндинг'!$B$5:$B$300,$B54))</f>
        <v/>
      </c>
      <c r="F54" s="246" t="str">
        <f>IF($B54="","",IF(SUMIFS('ИТОГО Торговля'!$F$5:$F$300,'ИТОГО Торговля'!$B$5:$B$300,$B54)+SUMIFS('ИТОГО Лэндинг'!$F$5:$F$300,'ИТОГО Лэндинг'!$B$5:$B$300,$B54)=0,"",SUMIFS('ИТОГО Торговля'!$F$5:$F$300,'ИТОГО Торговля'!$B$5:$B$300,$B54)+SUMIFS('ИТОГО Лэндинг'!$F$5:$F$300,'ИТОГО Лэндинг'!$B$5:$B$300,$B54)))</f>
        <v/>
      </c>
      <c r="G54" s="183" t="str">
        <f>IF(F54="","",H54/F54)</f>
        <v/>
      </c>
      <c r="H54" s="247" t="str">
        <f>IF(F54="","",SUMIFS('ИТОГО Торговля'!$H$5:$H$300,'ИТОГО Торговля'!$B$5:$B$300,$B54)+SUMIFS('ИТОГО Лэндинг'!$H$5:$H$300,'ИТОГО Лэндинг'!$B$5:$B$300,$B54))</f>
        <v/>
      </c>
      <c r="I54" s="246" t="str">
        <f>IF($B54="","",IF(AND(C54="",F54=""),"",ROUND(SUMIFS('ИТОГО Торговля'!$I$5:$I$300,'ИТОГО Торговля'!$B$5:$B$300,$B54)+SUMIFS('ИТОГО Лэндинг'!$I$5:$I$300,'ИТОГО Лэндинг'!$B$5:$B$300,$B54),8)))</f>
        <v/>
      </c>
      <c r="J54" s="247" t="str">
        <f>IF($B54="","",IF(AND(C54="",F54=""),"",ROUND(SUMIFS('ИТОГО Торговля'!$J$5:$J$300,'ИТОГО Торговля'!$B$5:$B$300,$B54)+SUMIFS('ИТОГО Лэндинг'!$J$5:$J$300,'ИТОГО Лэндинг'!$B$5:$B$300,$B54),8)))</f>
        <v/>
      </c>
      <c r="K54" s="246" t="str">
        <f>IF(MIN(N(C54),N(F54))&lt;=0,"",ROUND(MIN(N(C54),N(F54))*(N(G54)-N(D54)),8))</f>
        <v/>
      </c>
      <c r="L54" s="183" t="str">
        <f>IF(MIN(N(C54),N(F54))&lt;=0,"",IF(N(D54)=0,"",ROUND((N(G54)/N(D54)-1)*100,2)))</f>
        <v/>
      </c>
      <c r="M54" s="183" t="str">
        <f>IF(OR(ROUND(N(C54)-N(F54),8)=0,1-N(Ввод!$J$19)/100&lt;=0),"",IF(N(C54)&gt;N(F54),(N(E54)-N(H54))/((N(C54)-N(F54))*(1-N(Ввод!$J$19)/100)),(N(H54)-N(E54))/((N(F54)-N(C54))*(1+N(Ввод!$J$19)/100))))</f>
        <v/>
      </c>
    </row>
    <row r="55" ht="22" customHeight="1">
      <c r="B55" s="239" t="n"/>
      <c r="C55" s="240" t="str">
        <f>IF($B55="","",IF(SUMIFS('ИТОГО Торговля'!$C$5:$C$300,'ИТОГО Торговля'!$B$5:$B$300,$B55)+SUMIFS('ИТОГО Лэндинг'!$C$5:$C$300,'ИТОГО Лэндинг'!$B$5:$B$300,$B55)=0,"",SUMIFS('ИТОГО Торговля'!$C$5:$C$300,'ИТОГО Торговля'!$B$5:$B$300,$B55)+SUMIFS('ИТОГО Лэндинг'!$C$5:$C$300,'ИТОГО Лэндинг'!$B$5:$B$300,$B55)))</f>
        <v/>
      </c>
      <c r="D55" s="177" t="str">
        <f>IF(C55="","",E55/C55)</f>
        <v/>
      </c>
      <c r="E55" s="241" t="str">
        <f>IF(C55="","",SUMIFS('ИТОГО Торговля'!$E$5:$E$300,'ИТОГО Торговля'!$B$5:$B$300,$B55)+SUMIFS('ИТОГО Лэндинг'!$E$5:$E$300,'ИТОГО Лэндинг'!$B$5:$B$300,$B55))</f>
        <v/>
      </c>
      <c r="F55" s="240" t="str">
        <f>IF($B55="","",IF(SUMIFS('ИТОГО Торговля'!$F$5:$F$300,'ИТОГО Торговля'!$B$5:$B$300,$B55)+SUMIFS('ИТОГО Лэндинг'!$F$5:$F$300,'ИТОГО Лэндинг'!$B$5:$B$300,$B55)=0,"",SUMIFS('ИТОГО Торговля'!$F$5:$F$300,'ИТОГО Торговля'!$B$5:$B$300,$B55)+SUMIFS('ИТОГО Лэндинг'!$F$5:$F$300,'ИТОГО Лэндинг'!$B$5:$B$300,$B55)))</f>
        <v/>
      </c>
      <c r="G55" s="177" t="str">
        <f>IF(F55="","",H55/F55)</f>
        <v/>
      </c>
      <c r="H55" s="241" t="str">
        <f>IF(F55="","",SUMIFS('ИТОГО Торговля'!$H$5:$H$300,'ИТОГО Торговля'!$B$5:$B$300,$B55)+SUMIFS('ИТОГО Лэндинг'!$H$5:$H$300,'ИТОГО Лэндинг'!$B$5:$B$300,$B55))</f>
        <v/>
      </c>
      <c r="I55" s="240" t="str">
        <f>IF($B55="","",IF(AND(C55="",F55=""),"",ROUND(SUMIFS('ИТОГО Торговля'!$I$5:$I$300,'ИТОГО Торговля'!$B$5:$B$300,$B55)+SUMIFS('ИТОГО Лэндинг'!$I$5:$I$300,'ИТОГО Лэндинг'!$B$5:$B$300,$B55),8)))</f>
        <v/>
      </c>
      <c r="J55" s="241" t="str">
        <f>IF($B55="","",IF(AND(C55="",F55=""),"",ROUND(SUMIFS('ИТОГО Торговля'!$J$5:$J$300,'ИТОГО Торговля'!$B$5:$B$300,$B55)+SUMIFS('ИТОГО Лэндинг'!$J$5:$J$300,'ИТОГО Лэндинг'!$B$5:$B$300,$B55),8)))</f>
        <v/>
      </c>
      <c r="K55" s="240" t="str">
        <f>IF(MIN(N(C55),N(F55))&lt;=0,"",ROUND(MIN(N(C55),N(F55))*(N(G55)-N(D55)),8))</f>
        <v/>
      </c>
      <c r="L55" s="177" t="str">
        <f>IF(MIN(N(C55),N(F55))&lt;=0,"",IF(N(D55)=0,"",ROUND((N(G55)/N(D55)-1)*100,2)))</f>
        <v/>
      </c>
      <c r="M55" s="177" t="str">
        <f>IF(OR(ROUND(N(C55)-N(F55),8)=0,1-N(Ввод!$J$19)/100&lt;=0),"",IF(N(C55)&gt;N(F55),(N(E55)-N(H55))/((N(C55)-N(F55))*(1-N(Ввод!$J$19)/100)),(N(H55)-N(E55))/((N(F55)-N(C55))*(1+N(Ввод!$J$19)/100))))</f>
        <v/>
      </c>
    </row>
    <row r="56" ht="22" customHeight="1">
      <c r="B56" s="245" t="n"/>
      <c r="C56" s="246" t="str">
        <f>IF($B56="","",IF(SUMIFS('ИТОГО Торговля'!$C$5:$C$300,'ИТОГО Торговля'!$B$5:$B$300,$B56)+SUMIFS('ИТОГО Лэндинг'!$C$5:$C$300,'ИТОГО Лэндинг'!$B$5:$B$300,$B56)=0,"",SUMIFS('ИТОГО Торговля'!$C$5:$C$300,'ИТОГО Торговля'!$B$5:$B$300,$B56)+SUMIFS('ИТОГО Лэндинг'!$C$5:$C$300,'ИТОГО Лэндинг'!$B$5:$B$300,$B56)))</f>
        <v/>
      </c>
      <c r="D56" s="183" t="str">
        <f>IF(C56="","",E56/C56)</f>
        <v/>
      </c>
      <c r="E56" s="247" t="str">
        <f>IF(C56="","",SUMIFS('ИТОГО Торговля'!$E$5:$E$300,'ИТОГО Торговля'!$B$5:$B$300,$B56)+SUMIFS('ИТОГО Лэндинг'!$E$5:$E$300,'ИТОГО Лэндинг'!$B$5:$B$300,$B56))</f>
        <v/>
      </c>
      <c r="F56" s="246" t="str">
        <f>IF($B56="","",IF(SUMIFS('ИТОГО Торговля'!$F$5:$F$300,'ИТОГО Торговля'!$B$5:$B$300,$B56)+SUMIFS('ИТОГО Лэндинг'!$F$5:$F$300,'ИТОГО Лэндинг'!$B$5:$B$300,$B56)=0,"",SUMIFS('ИТОГО Торговля'!$F$5:$F$300,'ИТОГО Торговля'!$B$5:$B$300,$B56)+SUMIFS('ИТОГО Лэндинг'!$F$5:$F$300,'ИТОГО Лэндинг'!$B$5:$B$300,$B56)))</f>
        <v/>
      </c>
      <c r="G56" s="183" t="str">
        <f>IF(F56="","",H56/F56)</f>
        <v/>
      </c>
      <c r="H56" s="247" t="str">
        <f>IF(F56="","",SUMIFS('ИТОГО Торговля'!$H$5:$H$300,'ИТОГО Торговля'!$B$5:$B$300,$B56)+SUMIFS('ИТОГО Лэндинг'!$H$5:$H$300,'ИТОГО Лэндинг'!$B$5:$B$300,$B56))</f>
        <v/>
      </c>
      <c r="I56" s="246" t="str">
        <f>IF($B56="","",IF(AND(C56="",F56=""),"",ROUND(SUMIFS('ИТОГО Торговля'!$I$5:$I$300,'ИТОГО Торговля'!$B$5:$B$300,$B56)+SUMIFS('ИТОГО Лэндинг'!$I$5:$I$300,'ИТОГО Лэндинг'!$B$5:$B$300,$B56),8)))</f>
        <v/>
      </c>
      <c r="J56" s="247" t="str">
        <f>IF($B56="","",IF(AND(C56="",F56=""),"",ROUND(SUMIFS('ИТОГО Торговля'!$J$5:$J$300,'ИТОГО Торговля'!$B$5:$B$300,$B56)+SUMIFS('ИТОГО Лэндинг'!$J$5:$J$300,'ИТОГО Лэндинг'!$B$5:$B$300,$B56),8)))</f>
        <v/>
      </c>
      <c r="K56" s="246" t="str">
        <f>IF(MIN(N(C56),N(F56))&lt;=0,"",ROUND(MIN(N(C56),N(F56))*(N(G56)-N(D56)),8))</f>
        <v/>
      </c>
      <c r="L56" s="183" t="str">
        <f>IF(MIN(N(C56),N(F56))&lt;=0,"",IF(N(D56)=0,"",ROUND((N(G56)/N(D56)-1)*100,2)))</f>
        <v/>
      </c>
      <c r="M56" s="183" t="str">
        <f>IF(OR(ROUND(N(C56)-N(F56),8)=0,1-N(Ввод!$J$19)/100&lt;=0),"",IF(N(C56)&gt;N(F56),(N(E56)-N(H56))/((N(C56)-N(F56))*(1-N(Ввод!$J$19)/100)),(N(H56)-N(E56))/((N(F56)-N(C56))*(1+N(Ввод!$J$19)/100))))</f>
        <v/>
      </c>
    </row>
    <row r="57" ht="22" customHeight="1">
      <c r="B57" s="239" t="n"/>
      <c r="C57" s="240" t="str">
        <f>IF($B57="","",IF(SUMIFS('ИТОГО Торговля'!$C$5:$C$300,'ИТОГО Торговля'!$B$5:$B$300,$B57)+SUMIFS('ИТОГО Лэндинг'!$C$5:$C$300,'ИТОГО Лэндинг'!$B$5:$B$300,$B57)=0,"",SUMIFS('ИТОГО Торговля'!$C$5:$C$300,'ИТОГО Торговля'!$B$5:$B$300,$B57)+SUMIFS('ИТОГО Лэндинг'!$C$5:$C$300,'ИТОГО Лэндинг'!$B$5:$B$300,$B57)))</f>
        <v/>
      </c>
      <c r="D57" s="177" t="str">
        <f>IF(C57="","",E57/C57)</f>
        <v/>
      </c>
      <c r="E57" s="241" t="str">
        <f>IF(C57="","",SUMIFS('ИТОГО Торговля'!$E$5:$E$300,'ИТОГО Торговля'!$B$5:$B$300,$B57)+SUMIFS('ИТОГО Лэндинг'!$E$5:$E$300,'ИТОГО Лэндинг'!$B$5:$B$300,$B57))</f>
        <v/>
      </c>
      <c r="F57" s="240" t="str">
        <f>IF($B57="","",IF(SUMIFS('ИТОГО Торговля'!$F$5:$F$300,'ИТОГО Торговля'!$B$5:$B$300,$B57)+SUMIFS('ИТОГО Лэндинг'!$F$5:$F$300,'ИТОГО Лэндинг'!$B$5:$B$300,$B57)=0,"",SUMIFS('ИТОГО Торговля'!$F$5:$F$300,'ИТОГО Торговля'!$B$5:$B$300,$B57)+SUMIFS('ИТОГО Лэндинг'!$F$5:$F$300,'ИТОГО Лэндинг'!$B$5:$B$300,$B57)))</f>
        <v/>
      </c>
      <c r="G57" s="177" t="str">
        <f>IF(F57="","",H57/F57)</f>
        <v/>
      </c>
      <c r="H57" s="241" t="str">
        <f>IF(F57="","",SUMIFS('ИТОГО Торговля'!$H$5:$H$300,'ИТОГО Торговля'!$B$5:$B$300,$B57)+SUMIFS('ИТОГО Лэндинг'!$H$5:$H$300,'ИТОГО Лэндинг'!$B$5:$B$300,$B57))</f>
        <v/>
      </c>
      <c r="I57" s="240" t="str">
        <f>IF($B57="","",IF(AND(C57="",F57=""),"",ROUND(SUMIFS('ИТОГО Торговля'!$I$5:$I$300,'ИТОГО Торговля'!$B$5:$B$300,$B57)+SUMIFS('ИТОГО Лэндинг'!$I$5:$I$300,'ИТОГО Лэндинг'!$B$5:$B$300,$B57),8)))</f>
        <v/>
      </c>
      <c r="J57" s="241" t="str">
        <f>IF($B57="","",IF(AND(C57="",F57=""),"",ROUND(SUMIFS('ИТОГО Торговля'!$J$5:$J$300,'ИТОГО Торговля'!$B$5:$B$300,$B57)+SUMIFS('ИТОГО Лэндинг'!$J$5:$J$300,'ИТОГО Лэндинг'!$B$5:$B$300,$B57),8)))</f>
        <v/>
      </c>
      <c r="K57" s="240" t="str">
        <f>IF(MIN(N(C57),N(F57))&lt;=0,"",ROUND(MIN(N(C57),N(F57))*(N(G57)-N(D57)),8))</f>
        <v/>
      </c>
      <c r="L57" s="177" t="str">
        <f>IF(MIN(N(C57),N(F57))&lt;=0,"",IF(N(D57)=0,"",ROUND((N(G57)/N(D57)-1)*100,2)))</f>
        <v/>
      </c>
      <c r="M57" s="177" t="str">
        <f>IF(OR(ROUND(N(C57)-N(F57),8)=0,1-N(Ввод!$J$19)/100&lt;=0),"",IF(N(C57)&gt;N(F57),(N(E57)-N(H57))/((N(C57)-N(F57))*(1-N(Ввод!$J$19)/100)),(N(H57)-N(E57))/((N(F57)-N(C57))*(1+N(Ввод!$J$19)/100))))</f>
        <v/>
      </c>
    </row>
    <row r="58" ht="22" customHeight="1">
      <c r="B58" s="245" t="n"/>
      <c r="C58" s="246" t="str">
        <f>IF($B58="","",IF(SUMIFS('ИТОГО Торговля'!$C$5:$C$300,'ИТОГО Торговля'!$B$5:$B$300,$B58)+SUMIFS('ИТОГО Лэндинг'!$C$5:$C$300,'ИТОГО Лэндинг'!$B$5:$B$300,$B58)=0,"",SUMIFS('ИТОГО Торговля'!$C$5:$C$300,'ИТОГО Торговля'!$B$5:$B$300,$B58)+SUMIFS('ИТОГО Лэндинг'!$C$5:$C$300,'ИТОГО Лэндинг'!$B$5:$B$300,$B58)))</f>
        <v/>
      </c>
      <c r="D58" s="183" t="str">
        <f>IF(C58="","",E58/C58)</f>
        <v/>
      </c>
      <c r="E58" s="247" t="str">
        <f>IF(C58="","",SUMIFS('ИТОГО Торговля'!$E$5:$E$300,'ИТОГО Торговля'!$B$5:$B$300,$B58)+SUMIFS('ИТОГО Лэндинг'!$E$5:$E$300,'ИТОГО Лэндинг'!$B$5:$B$300,$B58))</f>
        <v/>
      </c>
      <c r="F58" s="246" t="str">
        <f>IF($B58="","",IF(SUMIFS('ИТОГО Торговля'!$F$5:$F$300,'ИТОГО Торговля'!$B$5:$B$300,$B58)+SUMIFS('ИТОГО Лэндинг'!$F$5:$F$300,'ИТОГО Лэндинг'!$B$5:$B$300,$B58)=0,"",SUMIFS('ИТОГО Торговля'!$F$5:$F$300,'ИТОГО Торговля'!$B$5:$B$300,$B58)+SUMIFS('ИТОГО Лэндинг'!$F$5:$F$300,'ИТОГО Лэндинг'!$B$5:$B$300,$B58)))</f>
        <v/>
      </c>
      <c r="G58" s="183" t="str">
        <f>IF(F58="","",H58/F58)</f>
        <v/>
      </c>
      <c r="H58" s="247" t="str">
        <f>IF(F58="","",SUMIFS('ИТОГО Торговля'!$H$5:$H$300,'ИТОГО Торговля'!$B$5:$B$300,$B58)+SUMIFS('ИТОГО Лэндинг'!$H$5:$H$300,'ИТОГО Лэндинг'!$B$5:$B$300,$B58))</f>
        <v/>
      </c>
      <c r="I58" s="246" t="str">
        <f>IF($B58="","",IF(AND(C58="",F58=""),"",ROUND(SUMIFS('ИТОГО Торговля'!$I$5:$I$300,'ИТОГО Торговля'!$B$5:$B$300,$B58)+SUMIFS('ИТОГО Лэндинг'!$I$5:$I$300,'ИТОГО Лэндинг'!$B$5:$B$300,$B58),8)))</f>
        <v/>
      </c>
      <c r="J58" s="247" t="str">
        <f>IF($B58="","",IF(AND(C58="",F58=""),"",ROUND(SUMIFS('ИТОГО Торговля'!$J$5:$J$300,'ИТОГО Торговля'!$B$5:$B$300,$B58)+SUMIFS('ИТОГО Лэндинг'!$J$5:$J$300,'ИТОГО Лэндинг'!$B$5:$B$300,$B58),8)))</f>
        <v/>
      </c>
      <c r="K58" s="246" t="str">
        <f>IF(MIN(N(C58),N(F58))&lt;=0,"",ROUND(MIN(N(C58),N(F58))*(N(G58)-N(D58)),8))</f>
        <v/>
      </c>
      <c r="L58" s="183" t="str">
        <f>IF(MIN(N(C58),N(F58))&lt;=0,"",IF(N(D58)=0,"",ROUND((N(G58)/N(D58)-1)*100,2)))</f>
        <v/>
      </c>
      <c r="M58" s="183" t="str">
        <f>IF(OR(ROUND(N(C58)-N(F58),8)=0,1-N(Ввод!$J$19)/100&lt;=0),"",IF(N(C58)&gt;N(F58),(N(E58)-N(H58))/((N(C58)-N(F58))*(1-N(Ввод!$J$19)/100)),(N(H58)-N(E58))/((N(F58)-N(C58))*(1+N(Ввод!$J$19)/100))))</f>
        <v/>
      </c>
    </row>
    <row r="59" ht="22" customHeight="1">
      <c r="B59" s="239" t="n"/>
      <c r="C59" s="240" t="str">
        <f>IF($B59="","",IF(SUMIFS('ИТОГО Торговля'!$C$5:$C$300,'ИТОГО Торговля'!$B$5:$B$300,$B59)+SUMIFS('ИТОГО Лэндинг'!$C$5:$C$300,'ИТОГО Лэндинг'!$B$5:$B$300,$B59)=0,"",SUMIFS('ИТОГО Торговля'!$C$5:$C$300,'ИТОГО Торговля'!$B$5:$B$300,$B59)+SUMIFS('ИТОГО Лэндинг'!$C$5:$C$300,'ИТОГО Лэндинг'!$B$5:$B$300,$B59)))</f>
        <v/>
      </c>
      <c r="D59" s="177" t="str">
        <f>IF(C59="","",E59/C59)</f>
        <v/>
      </c>
      <c r="E59" s="241" t="str">
        <f>IF(C59="","",SUMIFS('ИТОГО Торговля'!$E$5:$E$300,'ИТОГО Торговля'!$B$5:$B$300,$B59)+SUMIFS('ИТОГО Лэндинг'!$E$5:$E$300,'ИТОГО Лэндинг'!$B$5:$B$300,$B59))</f>
        <v/>
      </c>
      <c r="F59" s="240" t="str">
        <f>IF($B59="","",IF(SUMIFS('ИТОГО Торговля'!$F$5:$F$300,'ИТОГО Торговля'!$B$5:$B$300,$B59)+SUMIFS('ИТОГО Лэндинг'!$F$5:$F$300,'ИТОГО Лэндинг'!$B$5:$B$300,$B59)=0,"",SUMIFS('ИТОГО Торговля'!$F$5:$F$300,'ИТОГО Торговля'!$B$5:$B$300,$B59)+SUMIFS('ИТОГО Лэндинг'!$F$5:$F$300,'ИТОГО Лэндинг'!$B$5:$B$300,$B59)))</f>
        <v/>
      </c>
      <c r="G59" s="177" t="str">
        <f>IF(F59="","",H59/F59)</f>
        <v/>
      </c>
      <c r="H59" s="241" t="str">
        <f>IF(F59="","",SUMIFS('ИТОГО Торговля'!$H$5:$H$300,'ИТОГО Торговля'!$B$5:$B$300,$B59)+SUMIFS('ИТОГО Лэндинг'!$H$5:$H$300,'ИТОГО Лэндинг'!$B$5:$B$300,$B59))</f>
        <v/>
      </c>
      <c r="I59" s="240" t="str">
        <f>IF($B59="","",IF(AND(C59="",F59=""),"",ROUND(SUMIFS('ИТОГО Торговля'!$I$5:$I$300,'ИТОГО Торговля'!$B$5:$B$300,$B59)+SUMIFS('ИТОГО Лэндинг'!$I$5:$I$300,'ИТОГО Лэндинг'!$B$5:$B$300,$B59),8)))</f>
        <v/>
      </c>
      <c r="J59" s="241" t="str">
        <f>IF($B59="","",IF(AND(C59="",F59=""),"",ROUND(SUMIFS('ИТОГО Торговля'!$J$5:$J$300,'ИТОГО Торговля'!$B$5:$B$300,$B59)+SUMIFS('ИТОГО Лэндинг'!$J$5:$J$300,'ИТОГО Лэндинг'!$B$5:$B$300,$B59),8)))</f>
        <v/>
      </c>
      <c r="K59" s="240" t="str">
        <f>IF(MIN(N(C59),N(F59))&lt;=0,"",ROUND(MIN(N(C59),N(F59))*(N(G59)-N(D59)),8))</f>
        <v/>
      </c>
      <c r="L59" s="177" t="str">
        <f>IF(MIN(N(C59),N(F59))&lt;=0,"",IF(N(D59)=0,"",ROUND((N(G59)/N(D59)-1)*100,2)))</f>
        <v/>
      </c>
      <c r="M59" s="177" t="str">
        <f>IF(OR(ROUND(N(C59)-N(F59),8)=0,1-N(Ввод!$J$19)/100&lt;=0),"",IF(N(C59)&gt;N(F59),(N(E59)-N(H59))/((N(C59)-N(F59))*(1-N(Ввод!$J$19)/100)),(N(H59)-N(E59))/((N(F59)-N(C59))*(1+N(Ввод!$J$19)/100))))</f>
        <v/>
      </c>
    </row>
    <row r="60" ht="22" customHeight="1">
      <c r="B60" s="245" t="n"/>
      <c r="C60" s="246" t="str">
        <f>IF($B60="","",IF(SUMIFS('ИТОГО Торговля'!$C$5:$C$300,'ИТОГО Торговля'!$B$5:$B$300,$B60)+SUMIFS('ИТОГО Лэндинг'!$C$5:$C$300,'ИТОГО Лэндинг'!$B$5:$B$300,$B60)=0,"",SUMIFS('ИТОГО Торговля'!$C$5:$C$300,'ИТОГО Торговля'!$B$5:$B$300,$B60)+SUMIFS('ИТОГО Лэндинг'!$C$5:$C$300,'ИТОГО Лэндинг'!$B$5:$B$300,$B60)))</f>
        <v/>
      </c>
      <c r="D60" s="183" t="str">
        <f>IF(C60="","",E60/C60)</f>
        <v/>
      </c>
      <c r="E60" s="247" t="str">
        <f>IF(C60="","",SUMIFS('ИТОГО Торговля'!$E$5:$E$300,'ИТОГО Торговля'!$B$5:$B$300,$B60)+SUMIFS('ИТОГО Лэндинг'!$E$5:$E$300,'ИТОГО Лэндинг'!$B$5:$B$300,$B60))</f>
        <v/>
      </c>
      <c r="F60" s="246" t="str">
        <f>IF($B60="","",IF(SUMIFS('ИТОГО Торговля'!$F$5:$F$300,'ИТОГО Торговля'!$B$5:$B$300,$B60)+SUMIFS('ИТОГО Лэндинг'!$F$5:$F$300,'ИТОГО Лэндинг'!$B$5:$B$300,$B60)=0,"",SUMIFS('ИТОГО Торговля'!$F$5:$F$300,'ИТОГО Торговля'!$B$5:$B$300,$B60)+SUMIFS('ИТОГО Лэндинг'!$F$5:$F$300,'ИТОГО Лэндинг'!$B$5:$B$300,$B60)))</f>
        <v/>
      </c>
      <c r="G60" s="183" t="str">
        <f>IF(F60="","",H60/F60)</f>
        <v/>
      </c>
      <c r="H60" s="247" t="str">
        <f>IF(F60="","",SUMIFS('ИТОГО Торговля'!$H$5:$H$300,'ИТОГО Торговля'!$B$5:$B$300,$B60)+SUMIFS('ИТОГО Лэндинг'!$H$5:$H$300,'ИТОГО Лэндинг'!$B$5:$B$300,$B60))</f>
        <v/>
      </c>
      <c r="I60" s="246" t="str">
        <f>IF($B60="","",IF(AND(C60="",F60=""),"",ROUND(SUMIFS('ИТОГО Торговля'!$I$5:$I$300,'ИТОГО Торговля'!$B$5:$B$300,$B60)+SUMIFS('ИТОГО Лэндинг'!$I$5:$I$300,'ИТОГО Лэндинг'!$B$5:$B$300,$B60),8)))</f>
        <v/>
      </c>
      <c r="J60" s="247" t="str">
        <f>IF($B60="","",IF(AND(C60="",F60=""),"",ROUND(SUMIFS('ИТОГО Торговля'!$J$5:$J$300,'ИТОГО Торговля'!$B$5:$B$300,$B60)+SUMIFS('ИТОГО Лэндинг'!$J$5:$J$300,'ИТОГО Лэндинг'!$B$5:$B$300,$B60),8)))</f>
        <v/>
      </c>
      <c r="K60" s="246" t="str">
        <f>IF(MIN(N(C60),N(F60))&lt;=0,"",ROUND(MIN(N(C60),N(F60))*(N(G60)-N(D60)),8))</f>
        <v/>
      </c>
      <c r="L60" s="183" t="str">
        <f>IF(MIN(N(C60),N(F60))&lt;=0,"",IF(N(D60)=0,"",ROUND((N(G60)/N(D60)-1)*100,2)))</f>
        <v/>
      </c>
      <c r="M60" s="183" t="str">
        <f>IF(OR(ROUND(N(C60)-N(F60),8)=0,1-N(Ввод!$J$19)/100&lt;=0),"",IF(N(C60)&gt;N(F60),(N(E60)-N(H60))/((N(C60)-N(F60))*(1-N(Ввод!$J$19)/100)),(N(H60)-N(E60))/((N(F60)-N(C60))*(1+N(Ввод!$J$19)/100))))</f>
        <v/>
      </c>
    </row>
    <row r="61" ht="22" customHeight="1">
      <c r="B61" s="239" t="n"/>
      <c r="C61" s="240" t="str">
        <f>IF($B61="","",IF(SUMIFS('ИТОГО Торговля'!$C$5:$C$300,'ИТОГО Торговля'!$B$5:$B$300,$B61)+SUMIFS('ИТОГО Лэндинг'!$C$5:$C$300,'ИТОГО Лэндинг'!$B$5:$B$300,$B61)=0,"",SUMIFS('ИТОГО Торговля'!$C$5:$C$300,'ИТОГО Торговля'!$B$5:$B$300,$B61)+SUMIFS('ИТОГО Лэндинг'!$C$5:$C$300,'ИТОГО Лэндинг'!$B$5:$B$300,$B61)))</f>
        <v/>
      </c>
      <c r="D61" s="177" t="str">
        <f>IF(C61="","",E61/C61)</f>
        <v/>
      </c>
      <c r="E61" s="241" t="str">
        <f>IF(C61="","",SUMIFS('ИТОГО Торговля'!$E$5:$E$300,'ИТОГО Торговля'!$B$5:$B$300,$B61)+SUMIFS('ИТОГО Лэндинг'!$E$5:$E$300,'ИТОГО Лэндинг'!$B$5:$B$300,$B61))</f>
        <v/>
      </c>
      <c r="F61" s="240" t="str">
        <f>IF($B61="","",IF(SUMIFS('ИТОГО Торговля'!$F$5:$F$300,'ИТОГО Торговля'!$B$5:$B$300,$B61)+SUMIFS('ИТОГО Лэндинг'!$F$5:$F$300,'ИТОГО Лэндинг'!$B$5:$B$300,$B61)=0,"",SUMIFS('ИТОГО Торговля'!$F$5:$F$300,'ИТОГО Торговля'!$B$5:$B$300,$B61)+SUMIFS('ИТОГО Лэндинг'!$F$5:$F$300,'ИТОГО Лэндинг'!$B$5:$B$300,$B61)))</f>
        <v/>
      </c>
      <c r="G61" s="177" t="str">
        <f>IF(F61="","",H61/F61)</f>
        <v/>
      </c>
      <c r="H61" s="241" t="str">
        <f>IF(F61="","",SUMIFS('ИТОГО Торговля'!$H$5:$H$300,'ИТОГО Торговля'!$B$5:$B$300,$B61)+SUMIFS('ИТОГО Лэндинг'!$H$5:$H$300,'ИТОГО Лэндинг'!$B$5:$B$300,$B61))</f>
        <v/>
      </c>
      <c r="I61" s="240" t="str">
        <f>IF($B61="","",IF(AND(C61="",F61=""),"",ROUND(SUMIFS('ИТОГО Торговля'!$I$5:$I$300,'ИТОГО Торговля'!$B$5:$B$300,$B61)+SUMIFS('ИТОГО Лэндинг'!$I$5:$I$300,'ИТОГО Лэндинг'!$B$5:$B$300,$B61),8)))</f>
        <v/>
      </c>
      <c r="J61" s="241" t="str">
        <f>IF($B61="","",IF(AND(C61="",F61=""),"",ROUND(SUMIFS('ИТОГО Торговля'!$J$5:$J$300,'ИТОГО Торговля'!$B$5:$B$300,$B61)+SUMIFS('ИТОГО Лэндинг'!$J$5:$J$300,'ИТОГО Лэндинг'!$B$5:$B$300,$B61),8)))</f>
        <v/>
      </c>
      <c r="K61" s="240" t="str">
        <f>IF(MIN(N(C61),N(F61))&lt;=0,"",ROUND(MIN(N(C61),N(F61))*(N(G61)-N(D61)),8))</f>
        <v/>
      </c>
      <c r="L61" s="177" t="str">
        <f>IF(MIN(N(C61),N(F61))&lt;=0,"",IF(N(D61)=0,"",ROUND((N(G61)/N(D61)-1)*100,2)))</f>
        <v/>
      </c>
      <c r="M61" s="177" t="str">
        <f>IF(OR(ROUND(N(C61)-N(F61),8)=0,1-N(Ввод!$J$19)/100&lt;=0),"",IF(N(C61)&gt;N(F61),(N(E61)-N(H61))/((N(C61)-N(F61))*(1-N(Ввод!$J$19)/100)),(N(H61)-N(E61))/((N(F61)-N(C61))*(1+N(Ввод!$J$19)/100))))</f>
        <v/>
      </c>
    </row>
    <row r="62" ht="22" customHeight="1">
      <c r="B62" s="245" t="n"/>
      <c r="C62" s="246" t="str">
        <f>IF($B62="","",IF(SUMIFS('ИТОГО Торговля'!$C$5:$C$300,'ИТОГО Торговля'!$B$5:$B$300,$B62)+SUMIFS('ИТОГО Лэндинг'!$C$5:$C$300,'ИТОГО Лэндинг'!$B$5:$B$300,$B62)=0,"",SUMIFS('ИТОГО Торговля'!$C$5:$C$300,'ИТОГО Торговля'!$B$5:$B$300,$B62)+SUMIFS('ИТОГО Лэндинг'!$C$5:$C$300,'ИТОГО Лэндинг'!$B$5:$B$300,$B62)))</f>
        <v/>
      </c>
      <c r="D62" s="183" t="str">
        <f>IF(C62="","",E62/C62)</f>
        <v/>
      </c>
      <c r="E62" s="247" t="str">
        <f>IF(C62="","",SUMIFS('ИТОГО Торговля'!$E$5:$E$300,'ИТОГО Торговля'!$B$5:$B$300,$B62)+SUMIFS('ИТОГО Лэндинг'!$E$5:$E$300,'ИТОГО Лэндинг'!$B$5:$B$300,$B62))</f>
        <v/>
      </c>
      <c r="F62" s="246" t="str">
        <f>IF($B62="","",IF(SUMIFS('ИТОГО Торговля'!$F$5:$F$300,'ИТОГО Торговля'!$B$5:$B$300,$B62)+SUMIFS('ИТОГО Лэндинг'!$F$5:$F$300,'ИТОГО Лэндинг'!$B$5:$B$300,$B62)=0,"",SUMIFS('ИТОГО Торговля'!$F$5:$F$300,'ИТОГО Торговля'!$B$5:$B$300,$B62)+SUMIFS('ИТОГО Лэндинг'!$F$5:$F$300,'ИТОГО Лэндинг'!$B$5:$B$300,$B62)))</f>
        <v/>
      </c>
      <c r="G62" s="183" t="str">
        <f>IF(F62="","",H62/F62)</f>
        <v/>
      </c>
      <c r="H62" s="247" t="str">
        <f>IF(F62="","",SUMIFS('ИТОГО Торговля'!$H$5:$H$300,'ИТОГО Торговля'!$B$5:$B$300,$B62)+SUMIFS('ИТОГО Лэндинг'!$H$5:$H$300,'ИТОГО Лэндинг'!$B$5:$B$300,$B62))</f>
        <v/>
      </c>
      <c r="I62" s="246" t="str">
        <f>IF($B62="","",IF(AND(C62="",F62=""),"",ROUND(SUMIFS('ИТОГО Торговля'!$I$5:$I$300,'ИТОГО Торговля'!$B$5:$B$300,$B62)+SUMIFS('ИТОГО Лэндинг'!$I$5:$I$300,'ИТОГО Лэндинг'!$B$5:$B$300,$B62),8)))</f>
        <v/>
      </c>
      <c r="J62" s="247" t="str">
        <f>IF($B62="","",IF(AND(C62="",F62=""),"",ROUND(SUMIFS('ИТОГО Торговля'!$J$5:$J$300,'ИТОГО Торговля'!$B$5:$B$300,$B62)+SUMIFS('ИТОГО Лэндинг'!$J$5:$J$300,'ИТОГО Лэндинг'!$B$5:$B$300,$B62),8)))</f>
        <v/>
      </c>
      <c r="K62" s="246" t="str">
        <f>IF(MIN(N(C62),N(F62))&lt;=0,"",ROUND(MIN(N(C62),N(F62))*(N(G62)-N(D62)),8))</f>
        <v/>
      </c>
      <c r="L62" s="183" t="str">
        <f>IF(MIN(N(C62),N(F62))&lt;=0,"",IF(N(D62)=0,"",ROUND((N(G62)/N(D62)-1)*100,2)))</f>
        <v/>
      </c>
      <c r="M62" s="183" t="str">
        <f>IF(OR(ROUND(N(C62)-N(F62),8)=0,1-N(Ввод!$J$19)/100&lt;=0),"",IF(N(C62)&gt;N(F62),(N(E62)-N(H62))/((N(C62)-N(F62))*(1-N(Ввод!$J$19)/100)),(N(H62)-N(E62))/((N(F62)-N(C62))*(1+N(Ввод!$J$19)/100))))</f>
        <v/>
      </c>
    </row>
    <row r="63" ht="22" customHeight="1">
      <c r="B63" s="239" t="n"/>
      <c r="C63" s="240" t="str">
        <f>IF($B63="","",IF(SUMIFS('ИТОГО Торговля'!$C$5:$C$300,'ИТОГО Торговля'!$B$5:$B$300,$B63)+SUMIFS('ИТОГО Лэндинг'!$C$5:$C$300,'ИТОГО Лэндинг'!$B$5:$B$300,$B63)=0,"",SUMIFS('ИТОГО Торговля'!$C$5:$C$300,'ИТОГО Торговля'!$B$5:$B$300,$B63)+SUMIFS('ИТОГО Лэндинг'!$C$5:$C$300,'ИТОГО Лэндинг'!$B$5:$B$300,$B63)))</f>
        <v/>
      </c>
      <c r="D63" s="177" t="str">
        <f>IF(C63="","",E63/C63)</f>
        <v/>
      </c>
      <c r="E63" s="241" t="str">
        <f>IF(C63="","",SUMIFS('ИТОГО Торговля'!$E$5:$E$300,'ИТОГО Торговля'!$B$5:$B$300,$B63)+SUMIFS('ИТОГО Лэндинг'!$E$5:$E$300,'ИТОГО Лэндинг'!$B$5:$B$300,$B63))</f>
        <v/>
      </c>
      <c r="F63" s="240" t="str">
        <f>IF($B63="","",IF(SUMIFS('ИТОГО Торговля'!$F$5:$F$300,'ИТОГО Торговля'!$B$5:$B$300,$B63)+SUMIFS('ИТОГО Лэндинг'!$F$5:$F$300,'ИТОГО Лэндинг'!$B$5:$B$300,$B63)=0,"",SUMIFS('ИТОГО Торговля'!$F$5:$F$300,'ИТОГО Торговля'!$B$5:$B$300,$B63)+SUMIFS('ИТОГО Лэндинг'!$F$5:$F$300,'ИТОГО Лэндинг'!$B$5:$B$300,$B63)))</f>
        <v/>
      </c>
      <c r="G63" s="177" t="str">
        <f>IF(F63="","",H63/F63)</f>
        <v/>
      </c>
      <c r="H63" s="241" t="str">
        <f>IF(F63="","",SUMIFS('ИТОГО Торговля'!$H$5:$H$300,'ИТОГО Торговля'!$B$5:$B$300,$B63)+SUMIFS('ИТОГО Лэндинг'!$H$5:$H$300,'ИТОГО Лэндинг'!$B$5:$B$300,$B63))</f>
        <v/>
      </c>
      <c r="I63" s="240" t="str">
        <f>IF($B63="","",IF(AND(C63="",F63=""),"",ROUND(SUMIFS('ИТОГО Торговля'!$I$5:$I$300,'ИТОГО Торговля'!$B$5:$B$300,$B63)+SUMIFS('ИТОГО Лэндинг'!$I$5:$I$300,'ИТОГО Лэндинг'!$B$5:$B$300,$B63),8)))</f>
        <v/>
      </c>
      <c r="J63" s="241" t="str">
        <f>IF($B63="","",IF(AND(C63="",F63=""),"",ROUND(SUMIFS('ИТОГО Торговля'!$J$5:$J$300,'ИТОГО Торговля'!$B$5:$B$300,$B63)+SUMIFS('ИТОГО Лэндинг'!$J$5:$J$300,'ИТОГО Лэндинг'!$B$5:$B$300,$B63),8)))</f>
        <v/>
      </c>
      <c r="K63" s="240" t="str">
        <f>IF(MIN(N(C63),N(F63))&lt;=0,"",ROUND(MIN(N(C63),N(F63))*(N(G63)-N(D63)),8))</f>
        <v/>
      </c>
      <c r="L63" s="177" t="str">
        <f>IF(MIN(N(C63),N(F63))&lt;=0,"",IF(N(D63)=0,"",ROUND((N(G63)/N(D63)-1)*100,2)))</f>
        <v/>
      </c>
      <c r="M63" s="177" t="str">
        <f>IF(OR(ROUND(N(C63)-N(F63),8)=0,1-N(Ввод!$J$19)/100&lt;=0),"",IF(N(C63)&gt;N(F63),(N(E63)-N(H63))/((N(C63)-N(F63))*(1-N(Ввод!$J$19)/100)),(N(H63)-N(E63))/((N(F63)-N(C63))*(1+N(Ввод!$J$19)/100))))</f>
        <v/>
      </c>
    </row>
    <row r="64" ht="22" customHeight="1">
      <c r="B64" s="245" t="n"/>
      <c r="C64" s="246" t="str">
        <f>IF($B64="","",IF(SUMIFS('ИТОГО Торговля'!$C$5:$C$300,'ИТОГО Торговля'!$B$5:$B$300,$B64)+SUMIFS('ИТОГО Лэндинг'!$C$5:$C$300,'ИТОГО Лэндинг'!$B$5:$B$300,$B64)=0,"",SUMIFS('ИТОГО Торговля'!$C$5:$C$300,'ИТОГО Торговля'!$B$5:$B$300,$B64)+SUMIFS('ИТОГО Лэндинг'!$C$5:$C$300,'ИТОГО Лэндинг'!$B$5:$B$300,$B64)))</f>
        <v/>
      </c>
      <c r="D64" s="183" t="str">
        <f>IF(C64="","",E64/C64)</f>
        <v/>
      </c>
      <c r="E64" s="247" t="str">
        <f>IF(C64="","",SUMIFS('ИТОГО Торговля'!$E$5:$E$300,'ИТОГО Торговля'!$B$5:$B$300,$B64)+SUMIFS('ИТОГО Лэндинг'!$E$5:$E$300,'ИТОГО Лэндинг'!$B$5:$B$300,$B64))</f>
        <v/>
      </c>
      <c r="F64" s="246" t="str">
        <f>IF($B64="","",IF(SUMIFS('ИТОГО Торговля'!$F$5:$F$300,'ИТОГО Торговля'!$B$5:$B$300,$B64)+SUMIFS('ИТОГО Лэндинг'!$F$5:$F$300,'ИТОГО Лэндинг'!$B$5:$B$300,$B64)=0,"",SUMIFS('ИТОГО Торговля'!$F$5:$F$300,'ИТОГО Торговля'!$B$5:$B$300,$B64)+SUMIFS('ИТОГО Лэндинг'!$F$5:$F$300,'ИТОГО Лэндинг'!$B$5:$B$300,$B64)))</f>
        <v/>
      </c>
      <c r="G64" s="183" t="str">
        <f>IF(F64="","",H64/F64)</f>
        <v/>
      </c>
      <c r="H64" s="247" t="str">
        <f>IF(F64="","",SUMIFS('ИТОГО Торговля'!$H$5:$H$300,'ИТОГО Торговля'!$B$5:$B$300,$B64)+SUMIFS('ИТОГО Лэндинг'!$H$5:$H$300,'ИТОГО Лэндинг'!$B$5:$B$300,$B64))</f>
        <v/>
      </c>
      <c r="I64" s="246" t="str">
        <f>IF($B64="","",IF(AND(C64="",F64=""),"",ROUND(SUMIFS('ИТОГО Торговля'!$I$5:$I$300,'ИТОГО Торговля'!$B$5:$B$300,$B64)+SUMIFS('ИТОГО Лэндинг'!$I$5:$I$300,'ИТОГО Лэндинг'!$B$5:$B$300,$B64),8)))</f>
        <v/>
      </c>
      <c r="J64" s="247" t="str">
        <f>IF($B64="","",IF(AND(C64="",F64=""),"",ROUND(SUMIFS('ИТОГО Торговля'!$J$5:$J$300,'ИТОГО Торговля'!$B$5:$B$300,$B64)+SUMIFS('ИТОГО Лэндинг'!$J$5:$J$300,'ИТОГО Лэндинг'!$B$5:$B$300,$B64),8)))</f>
        <v/>
      </c>
      <c r="K64" s="246" t="str">
        <f>IF(MIN(N(C64),N(F64))&lt;=0,"",ROUND(MIN(N(C64),N(F64))*(N(G64)-N(D64)),8))</f>
        <v/>
      </c>
      <c r="L64" s="183" t="str">
        <f>IF(MIN(N(C64),N(F64))&lt;=0,"",IF(N(D64)=0,"",ROUND((N(G64)/N(D64)-1)*100,2)))</f>
        <v/>
      </c>
      <c r="M64" s="183" t="str">
        <f>IF(OR(ROUND(N(C64)-N(F64),8)=0,1-N(Ввод!$J$19)/100&lt;=0),"",IF(N(C64)&gt;N(F64),(N(E64)-N(H64))/((N(C64)-N(F64))*(1-N(Ввод!$J$19)/100)),(N(H64)-N(E64))/((N(F64)-N(C64))*(1+N(Ввод!$J$19)/100))))</f>
        <v/>
      </c>
    </row>
    <row r="65" ht="22" customHeight="1">
      <c r="B65" s="239" t="n"/>
      <c r="C65" s="240" t="str">
        <f>IF($B65="","",IF(SUMIFS('ИТОГО Торговля'!$C$5:$C$300,'ИТОГО Торговля'!$B$5:$B$300,$B65)+SUMIFS('ИТОГО Лэндинг'!$C$5:$C$300,'ИТОГО Лэндинг'!$B$5:$B$300,$B65)=0,"",SUMIFS('ИТОГО Торговля'!$C$5:$C$300,'ИТОГО Торговля'!$B$5:$B$300,$B65)+SUMIFS('ИТОГО Лэндинг'!$C$5:$C$300,'ИТОГО Лэндинг'!$B$5:$B$300,$B65)))</f>
        <v/>
      </c>
      <c r="D65" s="177" t="str">
        <f>IF(C65="","",E65/C65)</f>
        <v/>
      </c>
      <c r="E65" s="241" t="str">
        <f>IF(C65="","",SUMIFS('ИТОГО Торговля'!$E$5:$E$300,'ИТОГО Торговля'!$B$5:$B$300,$B65)+SUMIFS('ИТОГО Лэндинг'!$E$5:$E$300,'ИТОГО Лэндинг'!$B$5:$B$300,$B65))</f>
        <v/>
      </c>
      <c r="F65" s="240" t="str">
        <f>IF($B65="","",IF(SUMIFS('ИТОГО Торговля'!$F$5:$F$300,'ИТОГО Торговля'!$B$5:$B$300,$B65)+SUMIFS('ИТОГО Лэндинг'!$F$5:$F$300,'ИТОГО Лэндинг'!$B$5:$B$300,$B65)=0,"",SUMIFS('ИТОГО Торговля'!$F$5:$F$300,'ИТОГО Торговля'!$B$5:$B$300,$B65)+SUMIFS('ИТОГО Лэндинг'!$F$5:$F$300,'ИТОГО Лэндинг'!$B$5:$B$300,$B65)))</f>
        <v/>
      </c>
      <c r="G65" s="177" t="str">
        <f>IF(F65="","",H65/F65)</f>
        <v/>
      </c>
      <c r="H65" s="241" t="str">
        <f>IF(F65="","",SUMIFS('ИТОГО Торговля'!$H$5:$H$300,'ИТОГО Торговля'!$B$5:$B$300,$B65)+SUMIFS('ИТОГО Лэндинг'!$H$5:$H$300,'ИТОГО Лэндинг'!$B$5:$B$300,$B65))</f>
        <v/>
      </c>
      <c r="I65" s="240" t="str">
        <f>IF($B65="","",IF(AND(C65="",F65=""),"",ROUND(SUMIFS('ИТОГО Торговля'!$I$5:$I$300,'ИТОГО Торговля'!$B$5:$B$300,$B65)+SUMIFS('ИТОГО Лэндинг'!$I$5:$I$300,'ИТОГО Лэндинг'!$B$5:$B$300,$B65),8)))</f>
        <v/>
      </c>
      <c r="J65" s="241" t="str">
        <f>IF($B65="","",IF(AND(C65="",F65=""),"",ROUND(SUMIFS('ИТОГО Торговля'!$J$5:$J$300,'ИТОГО Торговля'!$B$5:$B$300,$B65)+SUMIFS('ИТОГО Лэндинг'!$J$5:$J$300,'ИТОГО Лэндинг'!$B$5:$B$300,$B65),8)))</f>
        <v/>
      </c>
      <c r="K65" s="240" t="str">
        <f>IF(MIN(N(C65),N(F65))&lt;=0,"",ROUND(MIN(N(C65),N(F65))*(N(G65)-N(D65)),8))</f>
        <v/>
      </c>
      <c r="L65" s="177" t="str">
        <f>IF(MIN(N(C65),N(F65))&lt;=0,"",IF(N(D65)=0,"",ROUND((N(G65)/N(D65)-1)*100,2)))</f>
        <v/>
      </c>
      <c r="M65" s="177" t="str">
        <f>IF(OR(ROUND(N(C65)-N(F65),8)=0,1-N(Ввод!$J$19)/100&lt;=0),"",IF(N(C65)&gt;N(F65),(N(E65)-N(H65))/((N(C65)-N(F65))*(1-N(Ввод!$J$19)/100)),(N(H65)-N(E65))/((N(F65)-N(C65))*(1+N(Ввод!$J$19)/100))))</f>
        <v/>
      </c>
    </row>
    <row r="66" ht="22" customHeight="1">
      <c r="B66" s="245" t="n"/>
      <c r="C66" s="246" t="str">
        <f>IF($B66="","",IF(SUMIFS('ИТОГО Торговля'!$C$5:$C$300,'ИТОГО Торговля'!$B$5:$B$300,$B66)+SUMIFS('ИТОГО Лэндинг'!$C$5:$C$300,'ИТОГО Лэндинг'!$B$5:$B$300,$B66)=0,"",SUMIFS('ИТОГО Торговля'!$C$5:$C$300,'ИТОГО Торговля'!$B$5:$B$300,$B66)+SUMIFS('ИТОГО Лэндинг'!$C$5:$C$300,'ИТОГО Лэндинг'!$B$5:$B$300,$B66)))</f>
        <v/>
      </c>
      <c r="D66" s="183" t="str">
        <f>IF(C66="","",E66/C66)</f>
        <v/>
      </c>
      <c r="E66" s="247" t="str">
        <f>IF(C66="","",SUMIFS('ИТОГО Торговля'!$E$5:$E$300,'ИТОГО Торговля'!$B$5:$B$300,$B66)+SUMIFS('ИТОГО Лэндинг'!$E$5:$E$300,'ИТОГО Лэндинг'!$B$5:$B$300,$B66))</f>
        <v/>
      </c>
      <c r="F66" s="246" t="str">
        <f>IF($B66="","",IF(SUMIFS('ИТОГО Торговля'!$F$5:$F$300,'ИТОГО Торговля'!$B$5:$B$300,$B66)+SUMIFS('ИТОГО Лэндинг'!$F$5:$F$300,'ИТОГО Лэндинг'!$B$5:$B$300,$B66)=0,"",SUMIFS('ИТОГО Торговля'!$F$5:$F$300,'ИТОГО Торговля'!$B$5:$B$300,$B66)+SUMIFS('ИТОГО Лэндинг'!$F$5:$F$300,'ИТОГО Лэндинг'!$B$5:$B$300,$B66)))</f>
        <v/>
      </c>
      <c r="G66" s="183" t="str">
        <f>IF(F66="","",H66/F66)</f>
        <v/>
      </c>
      <c r="H66" s="247" t="str">
        <f>IF(F66="","",SUMIFS('ИТОГО Торговля'!$H$5:$H$300,'ИТОГО Торговля'!$B$5:$B$300,$B66)+SUMIFS('ИТОГО Лэндинг'!$H$5:$H$300,'ИТОГО Лэндинг'!$B$5:$B$300,$B66))</f>
        <v/>
      </c>
      <c r="I66" s="246" t="str">
        <f>IF($B66="","",IF(AND(C66="",F66=""),"",ROUND(SUMIFS('ИТОГО Торговля'!$I$5:$I$300,'ИТОГО Торговля'!$B$5:$B$300,$B66)+SUMIFS('ИТОГО Лэндинг'!$I$5:$I$300,'ИТОГО Лэндинг'!$B$5:$B$300,$B66),8)))</f>
        <v/>
      </c>
      <c r="J66" s="247" t="str">
        <f>IF($B66="","",IF(AND(C66="",F66=""),"",ROUND(SUMIFS('ИТОГО Торговля'!$J$5:$J$300,'ИТОГО Торговля'!$B$5:$B$300,$B66)+SUMIFS('ИТОГО Лэндинг'!$J$5:$J$300,'ИТОГО Лэндинг'!$B$5:$B$300,$B66),8)))</f>
        <v/>
      </c>
      <c r="K66" s="246" t="str">
        <f>IF(MIN(N(C66),N(F66))&lt;=0,"",ROUND(MIN(N(C66),N(F66))*(N(G66)-N(D66)),8))</f>
        <v/>
      </c>
      <c r="L66" s="183" t="str">
        <f>IF(MIN(N(C66),N(F66))&lt;=0,"",IF(N(D66)=0,"",ROUND((N(G66)/N(D66)-1)*100,2)))</f>
        <v/>
      </c>
      <c r="M66" s="183" t="str">
        <f>IF(OR(ROUND(N(C66)-N(F66),8)=0,1-N(Ввод!$J$19)/100&lt;=0),"",IF(N(C66)&gt;N(F66),(N(E66)-N(H66))/((N(C66)-N(F66))*(1-N(Ввод!$J$19)/100)),(N(H66)-N(E66))/((N(F66)-N(C66))*(1+N(Ввод!$J$19)/100))))</f>
        <v/>
      </c>
    </row>
    <row r="67" ht="22" customHeight="1">
      <c r="B67" s="239" t="n"/>
      <c r="C67" s="240" t="str">
        <f>IF($B67="","",IF(SUMIFS('ИТОГО Торговля'!$C$5:$C$300,'ИТОГО Торговля'!$B$5:$B$300,$B67)+SUMIFS('ИТОГО Лэндинг'!$C$5:$C$300,'ИТОГО Лэндинг'!$B$5:$B$300,$B67)=0,"",SUMIFS('ИТОГО Торговля'!$C$5:$C$300,'ИТОГО Торговля'!$B$5:$B$300,$B67)+SUMIFS('ИТОГО Лэндинг'!$C$5:$C$300,'ИТОГО Лэндинг'!$B$5:$B$300,$B67)))</f>
        <v/>
      </c>
      <c r="D67" s="177" t="str">
        <f>IF(C67="","",E67/C67)</f>
        <v/>
      </c>
      <c r="E67" s="241" t="str">
        <f>IF(C67="","",SUMIFS('ИТОГО Торговля'!$E$5:$E$300,'ИТОГО Торговля'!$B$5:$B$300,$B67)+SUMIFS('ИТОГО Лэндинг'!$E$5:$E$300,'ИТОГО Лэндинг'!$B$5:$B$300,$B67))</f>
        <v/>
      </c>
      <c r="F67" s="240" t="str">
        <f>IF($B67="","",IF(SUMIFS('ИТОГО Торговля'!$F$5:$F$300,'ИТОГО Торговля'!$B$5:$B$300,$B67)+SUMIFS('ИТОГО Лэндинг'!$F$5:$F$300,'ИТОГО Лэндинг'!$B$5:$B$300,$B67)=0,"",SUMIFS('ИТОГО Торговля'!$F$5:$F$300,'ИТОГО Торговля'!$B$5:$B$300,$B67)+SUMIFS('ИТОГО Лэндинг'!$F$5:$F$300,'ИТОГО Лэндинг'!$B$5:$B$300,$B67)))</f>
        <v/>
      </c>
      <c r="G67" s="177" t="str">
        <f>IF(F67="","",H67/F67)</f>
        <v/>
      </c>
      <c r="H67" s="241" t="str">
        <f>IF(F67="","",SUMIFS('ИТОГО Торговля'!$H$5:$H$300,'ИТОГО Торговля'!$B$5:$B$300,$B67)+SUMIFS('ИТОГО Лэндинг'!$H$5:$H$300,'ИТОГО Лэндинг'!$B$5:$B$300,$B67))</f>
        <v/>
      </c>
      <c r="I67" s="240" t="str">
        <f>IF($B67="","",IF(AND(C67="",F67=""),"",ROUND(SUMIFS('ИТОГО Торговля'!$I$5:$I$300,'ИТОГО Торговля'!$B$5:$B$300,$B67)+SUMIFS('ИТОГО Лэндинг'!$I$5:$I$300,'ИТОГО Лэндинг'!$B$5:$B$300,$B67),8)))</f>
        <v/>
      </c>
      <c r="J67" s="241" t="str">
        <f>IF($B67="","",IF(AND(C67="",F67=""),"",ROUND(SUMIFS('ИТОГО Торговля'!$J$5:$J$300,'ИТОГО Торговля'!$B$5:$B$300,$B67)+SUMIFS('ИТОГО Лэндинг'!$J$5:$J$300,'ИТОГО Лэндинг'!$B$5:$B$300,$B67),8)))</f>
        <v/>
      </c>
      <c r="K67" s="240" t="str">
        <f>IF(MIN(N(C67),N(F67))&lt;=0,"",ROUND(MIN(N(C67),N(F67))*(N(G67)-N(D67)),8))</f>
        <v/>
      </c>
      <c r="L67" s="177" t="str">
        <f>IF(MIN(N(C67),N(F67))&lt;=0,"",IF(N(D67)=0,"",ROUND((N(G67)/N(D67)-1)*100,2)))</f>
        <v/>
      </c>
      <c r="M67" s="177" t="str">
        <f>IF(OR(ROUND(N(C67)-N(F67),8)=0,1-N(Ввод!$J$19)/100&lt;=0),"",IF(N(C67)&gt;N(F67),(N(E67)-N(H67))/((N(C67)-N(F67))*(1-N(Ввод!$J$19)/100)),(N(H67)-N(E67))/((N(F67)-N(C67))*(1+N(Ввод!$J$19)/100))))</f>
        <v/>
      </c>
    </row>
    <row r="68" ht="22" customHeight="1">
      <c r="B68" s="245" t="n"/>
      <c r="C68" s="246" t="str">
        <f>IF($B68="","",IF(SUMIFS('ИТОГО Торговля'!$C$5:$C$300,'ИТОГО Торговля'!$B$5:$B$300,$B68)+SUMIFS('ИТОГО Лэндинг'!$C$5:$C$300,'ИТОГО Лэндинг'!$B$5:$B$300,$B68)=0,"",SUMIFS('ИТОГО Торговля'!$C$5:$C$300,'ИТОГО Торговля'!$B$5:$B$300,$B68)+SUMIFS('ИТОГО Лэндинг'!$C$5:$C$300,'ИТОГО Лэндинг'!$B$5:$B$300,$B68)))</f>
        <v/>
      </c>
      <c r="D68" s="183" t="str">
        <f>IF(C68="","",E68/C68)</f>
        <v/>
      </c>
      <c r="E68" s="247" t="str">
        <f>IF(C68="","",SUMIFS('ИТОГО Торговля'!$E$5:$E$300,'ИТОГО Торговля'!$B$5:$B$300,$B68)+SUMIFS('ИТОГО Лэндинг'!$E$5:$E$300,'ИТОГО Лэндинг'!$B$5:$B$300,$B68))</f>
        <v/>
      </c>
      <c r="F68" s="246" t="str">
        <f>IF($B68="","",IF(SUMIFS('ИТОГО Торговля'!$F$5:$F$300,'ИТОГО Торговля'!$B$5:$B$300,$B68)+SUMIFS('ИТОГО Лэндинг'!$F$5:$F$300,'ИТОГО Лэндинг'!$B$5:$B$300,$B68)=0,"",SUMIFS('ИТОГО Торговля'!$F$5:$F$300,'ИТОГО Торговля'!$B$5:$B$300,$B68)+SUMIFS('ИТОГО Лэндинг'!$F$5:$F$300,'ИТОГО Лэндинг'!$B$5:$B$300,$B68)))</f>
        <v/>
      </c>
      <c r="G68" s="183" t="str">
        <f>IF(F68="","",H68/F68)</f>
        <v/>
      </c>
      <c r="H68" s="247" t="str">
        <f>IF(F68="","",SUMIFS('ИТОГО Торговля'!$H$5:$H$300,'ИТОГО Торговля'!$B$5:$B$300,$B68)+SUMIFS('ИТОГО Лэндинг'!$H$5:$H$300,'ИТОГО Лэндинг'!$B$5:$B$300,$B68))</f>
        <v/>
      </c>
      <c r="I68" s="246" t="str">
        <f>IF($B68="","",IF(AND(C68="",F68=""),"",ROUND(SUMIFS('ИТОГО Торговля'!$I$5:$I$300,'ИТОГО Торговля'!$B$5:$B$300,$B68)+SUMIFS('ИТОГО Лэндинг'!$I$5:$I$300,'ИТОГО Лэндинг'!$B$5:$B$300,$B68),8)))</f>
        <v/>
      </c>
      <c r="J68" s="247" t="str">
        <f>IF($B68="","",IF(AND(C68="",F68=""),"",ROUND(SUMIFS('ИТОГО Торговля'!$J$5:$J$300,'ИТОГО Торговля'!$B$5:$B$300,$B68)+SUMIFS('ИТОГО Лэндинг'!$J$5:$J$300,'ИТОГО Лэндинг'!$B$5:$B$300,$B68),8)))</f>
        <v/>
      </c>
      <c r="K68" s="246" t="str">
        <f>IF(MIN(N(C68),N(F68))&lt;=0,"",ROUND(MIN(N(C68),N(F68))*(N(G68)-N(D68)),8))</f>
        <v/>
      </c>
      <c r="L68" s="183" t="str">
        <f>IF(MIN(N(C68),N(F68))&lt;=0,"",IF(N(D68)=0,"",ROUND((N(G68)/N(D68)-1)*100,2)))</f>
        <v/>
      </c>
      <c r="M68" s="183" t="str">
        <f>IF(OR(ROUND(N(C68)-N(F68),8)=0,1-N(Ввод!$J$19)/100&lt;=0),"",IF(N(C68)&gt;N(F68),(N(E68)-N(H68))/((N(C68)-N(F68))*(1-N(Ввод!$J$19)/100)),(N(H68)-N(E68))/((N(F68)-N(C68))*(1+N(Ввод!$J$19)/100))))</f>
        <v/>
      </c>
    </row>
    <row r="69" ht="22" customHeight="1">
      <c r="B69" s="239" t="n"/>
      <c r="C69" s="240" t="str">
        <f>IF($B69="","",IF(SUMIFS('ИТОГО Торговля'!$C$5:$C$300,'ИТОГО Торговля'!$B$5:$B$300,$B69)+SUMIFS('ИТОГО Лэндинг'!$C$5:$C$300,'ИТОГО Лэндинг'!$B$5:$B$300,$B69)=0,"",SUMIFS('ИТОГО Торговля'!$C$5:$C$300,'ИТОГО Торговля'!$B$5:$B$300,$B69)+SUMIFS('ИТОГО Лэндинг'!$C$5:$C$300,'ИТОГО Лэндинг'!$B$5:$B$300,$B69)))</f>
        <v/>
      </c>
      <c r="D69" s="177" t="str">
        <f>IF(C69="","",E69/C69)</f>
        <v/>
      </c>
      <c r="E69" s="241" t="str">
        <f>IF(C69="","",SUMIFS('ИТОГО Торговля'!$E$5:$E$300,'ИТОГО Торговля'!$B$5:$B$300,$B69)+SUMIFS('ИТОГО Лэндинг'!$E$5:$E$300,'ИТОГО Лэндинг'!$B$5:$B$300,$B69))</f>
        <v/>
      </c>
      <c r="F69" s="240" t="str">
        <f>IF($B69="","",IF(SUMIFS('ИТОГО Торговля'!$F$5:$F$300,'ИТОГО Торговля'!$B$5:$B$300,$B69)+SUMIFS('ИТОГО Лэндинг'!$F$5:$F$300,'ИТОГО Лэндинг'!$B$5:$B$300,$B69)=0,"",SUMIFS('ИТОГО Торговля'!$F$5:$F$300,'ИТОГО Торговля'!$B$5:$B$300,$B69)+SUMIFS('ИТОГО Лэндинг'!$F$5:$F$300,'ИТОГО Лэндинг'!$B$5:$B$300,$B69)))</f>
        <v/>
      </c>
      <c r="G69" s="177" t="str">
        <f>IF(F69="","",H69/F69)</f>
        <v/>
      </c>
      <c r="H69" s="241" t="str">
        <f>IF(F69="","",SUMIFS('ИТОГО Торговля'!$H$5:$H$300,'ИТОГО Торговля'!$B$5:$B$300,$B69)+SUMIFS('ИТОГО Лэндинг'!$H$5:$H$300,'ИТОГО Лэндинг'!$B$5:$B$300,$B69))</f>
        <v/>
      </c>
      <c r="I69" s="240" t="str">
        <f>IF($B69="","",IF(AND(C69="",F69=""),"",ROUND(SUMIFS('ИТОГО Торговля'!$I$5:$I$300,'ИТОГО Торговля'!$B$5:$B$300,$B69)+SUMIFS('ИТОГО Лэндинг'!$I$5:$I$300,'ИТОГО Лэндинг'!$B$5:$B$300,$B69),8)))</f>
        <v/>
      </c>
      <c r="J69" s="241" t="str">
        <f>IF($B69="","",IF(AND(C69="",F69=""),"",ROUND(SUMIFS('ИТОГО Торговля'!$J$5:$J$300,'ИТОГО Торговля'!$B$5:$B$300,$B69)+SUMIFS('ИТОГО Лэндинг'!$J$5:$J$300,'ИТОГО Лэндинг'!$B$5:$B$300,$B69),8)))</f>
        <v/>
      </c>
      <c r="K69" s="240" t="str">
        <f>IF(MIN(N(C69),N(F69))&lt;=0,"",ROUND(MIN(N(C69),N(F69))*(N(G69)-N(D69)),8))</f>
        <v/>
      </c>
      <c r="L69" s="177" t="str">
        <f>IF(MIN(N(C69),N(F69))&lt;=0,"",IF(N(D69)=0,"",ROUND((N(G69)/N(D69)-1)*100,2)))</f>
        <v/>
      </c>
      <c r="M69" s="177" t="str">
        <f>IF(OR(ROUND(N(C69)-N(F69),8)=0,1-N(Ввод!$J$19)/100&lt;=0),"",IF(N(C69)&gt;N(F69),(N(E69)-N(H69))/((N(C69)-N(F69))*(1-N(Ввод!$J$19)/100)),(N(H69)-N(E69))/((N(F69)-N(C69))*(1+N(Ввод!$J$19)/100))))</f>
        <v/>
      </c>
    </row>
    <row r="70" ht="22" customHeight="1">
      <c r="B70" s="245" t="n"/>
      <c r="C70" s="246" t="str">
        <f>IF($B70="","",IF(SUMIFS('ИТОГО Торговля'!$C$5:$C$300,'ИТОГО Торговля'!$B$5:$B$300,$B70)+SUMIFS('ИТОГО Лэндинг'!$C$5:$C$300,'ИТОГО Лэндинг'!$B$5:$B$300,$B70)=0,"",SUMIFS('ИТОГО Торговля'!$C$5:$C$300,'ИТОГО Торговля'!$B$5:$B$300,$B70)+SUMIFS('ИТОГО Лэндинг'!$C$5:$C$300,'ИТОГО Лэндинг'!$B$5:$B$300,$B70)))</f>
        <v/>
      </c>
      <c r="D70" s="183" t="str">
        <f>IF(C70="","",E70/C70)</f>
        <v/>
      </c>
      <c r="E70" s="247" t="str">
        <f>IF(C70="","",SUMIFS('ИТОГО Торговля'!$E$5:$E$300,'ИТОГО Торговля'!$B$5:$B$300,$B70)+SUMIFS('ИТОГО Лэндинг'!$E$5:$E$300,'ИТОГО Лэндинг'!$B$5:$B$300,$B70))</f>
        <v/>
      </c>
      <c r="F70" s="246" t="str">
        <f>IF($B70="","",IF(SUMIFS('ИТОГО Торговля'!$F$5:$F$300,'ИТОГО Торговля'!$B$5:$B$300,$B70)+SUMIFS('ИТОГО Лэндинг'!$F$5:$F$300,'ИТОГО Лэндинг'!$B$5:$B$300,$B70)=0,"",SUMIFS('ИТОГО Торговля'!$F$5:$F$300,'ИТОГО Торговля'!$B$5:$B$300,$B70)+SUMIFS('ИТОГО Лэндинг'!$F$5:$F$300,'ИТОГО Лэндинг'!$B$5:$B$300,$B70)))</f>
        <v/>
      </c>
      <c r="G70" s="183" t="str">
        <f>IF(F70="","",H70/F70)</f>
        <v/>
      </c>
      <c r="H70" s="247" t="str">
        <f>IF(F70="","",SUMIFS('ИТОГО Торговля'!$H$5:$H$300,'ИТОГО Торговля'!$B$5:$B$300,$B70)+SUMIFS('ИТОГО Лэндинг'!$H$5:$H$300,'ИТОГО Лэндинг'!$B$5:$B$300,$B70))</f>
        <v/>
      </c>
      <c r="I70" s="246" t="str">
        <f>IF($B70="","",IF(AND(C70="",F70=""),"",ROUND(SUMIFS('ИТОГО Торговля'!$I$5:$I$300,'ИТОГО Торговля'!$B$5:$B$300,$B70)+SUMIFS('ИТОГО Лэндинг'!$I$5:$I$300,'ИТОГО Лэндинг'!$B$5:$B$300,$B70),8)))</f>
        <v/>
      </c>
      <c r="J70" s="247" t="str">
        <f>IF($B70="","",IF(AND(C70="",F70=""),"",ROUND(SUMIFS('ИТОГО Торговля'!$J$5:$J$300,'ИТОГО Торговля'!$B$5:$B$300,$B70)+SUMIFS('ИТОГО Лэндинг'!$J$5:$J$300,'ИТОГО Лэндинг'!$B$5:$B$300,$B70),8)))</f>
        <v/>
      </c>
      <c r="K70" s="246" t="str">
        <f>IF(MIN(N(C70),N(F70))&lt;=0,"",ROUND(MIN(N(C70),N(F70))*(N(G70)-N(D70)),8))</f>
        <v/>
      </c>
      <c r="L70" s="183" t="str">
        <f>IF(MIN(N(C70),N(F70))&lt;=0,"",IF(N(D70)=0,"",ROUND((N(G70)/N(D70)-1)*100,2)))</f>
        <v/>
      </c>
      <c r="M70" s="183" t="str">
        <f>IF(OR(ROUND(N(C70)-N(F70),8)=0,1-N(Ввод!$J$19)/100&lt;=0),"",IF(N(C70)&gt;N(F70),(N(E70)-N(H70))/((N(C70)-N(F70))*(1-N(Ввод!$J$19)/100)),(N(H70)-N(E70))/((N(F70)-N(C70))*(1+N(Ввод!$J$19)/100))))</f>
        <v/>
      </c>
    </row>
    <row r="71" ht="22" customHeight="1">
      <c r="B71" s="239" t="n"/>
      <c r="C71" s="240" t="str">
        <f>IF($B71="","",IF(SUMIFS('ИТОГО Торговля'!$C$5:$C$300,'ИТОГО Торговля'!$B$5:$B$300,$B71)+SUMIFS('ИТОГО Лэндинг'!$C$5:$C$300,'ИТОГО Лэндинг'!$B$5:$B$300,$B71)=0,"",SUMIFS('ИТОГО Торговля'!$C$5:$C$300,'ИТОГО Торговля'!$B$5:$B$300,$B71)+SUMIFS('ИТОГО Лэндинг'!$C$5:$C$300,'ИТОГО Лэндинг'!$B$5:$B$300,$B71)))</f>
        <v/>
      </c>
      <c r="D71" s="177" t="str">
        <f>IF(C71="","",E71/C71)</f>
        <v/>
      </c>
      <c r="E71" s="241" t="str">
        <f>IF(C71="","",SUMIFS('ИТОГО Торговля'!$E$5:$E$300,'ИТОГО Торговля'!$B$5:$B$300,$B71)+SUMIFS('ИТОГО Лэндинг'!$E$5:$E$300,'ИТОГО Лэндинг'!$B$5:$B$300,$B71))</f>
        <v/>
      </c>
      <c r="F71" s="240" t="str">
        <f>IF($B71="","",IF(SUMIFS('ИТОГО Торговля'!$F$5:$F$300,'ИТОГО Торговля'!$B$5:$B$300,$B71)+SUMIFS('ИТОГО Лэндинг'!$F$5:$F$300,'ИТОГО Лэндинг'!$B$5:$B$300,$B71)=0,"",SUMIFS('ИТОГО Торговля'!$F$5:$F$300,'ИТОГО Торговля'!$B$5:$B$300,$B71)+SUMIFS('ИТОГО Лэндинг'!$F$5:$F$300,'ИТОГО Лэндинг'!$B$5:$B$300,$B71)))</f>
        <v/>
      </c>
      <c r="G71" s="177" t="str">
        <f>IF(F71="","",H71/F71)</f>
        <v/>
      </c>
      <c r="H71" s="241" t="str">
        <f>IF(F71="","",SUMIFS('ИТОГО Торговля'!$H$5:$H$300,'ИТОГО Торговля'!$B$5:$B$300,$B71)+SUMIFS('ИТОГО Лэндинг'!$H$5:$H$300,'ИТОГО Лэндинг'!$B$5:$B$300,$B71))</f>
        <v/>
      </c>
      <c r="I71" s="240" t="str">
        <f>IF($B71="","",IF(AND(C71="",F71=""),"",ROUND(SUMIFS('ИТОГО Торговля'!$I$5:$I$300,'ИТОГО Торговля'!$B$5:$B$300,$B71)+SUMIFS('ИТОГО Лэндинг'!$I$5:$I$300,'ИТОГО Лэндинг'!$B$5:$B$300,$B71),8)))</f>
        <v/>
      </c>
      <c r="J71" s="241" t="str">
        <f>IF($B71="","",IF(AND(C71="",F71=""),"",ROUND(SUMIFS('ИТОГО Торговля'!$J$5:$J$300,'ИТОГО Торговля'!$B$5:$B$300,$B71)+SUMIFS('ИТОГО Лэндинг'!$J$5:$J$300,'ИТОГО Лэндинг'!$B$5:$B$300,$B71),8)))</f>
        <v/>
      </c>
      <c r="K71" s="240" t="str">
        <f>IF(MIN(N(C71),N(F71))&lt;=0,"",ROUND(MIN(N(C71),N(F71))*(N(G71)-N(D71)),8))</f>
        <v/>
      </c>
      <c r="L71" s="177" t="str">
        <f>IF(MIN(N(C71),N(F71))&lt;=0,"",IF(N(D71)=0,"",ROUND((N(G71)/N(D71)-1)*100,2)))</f>
        <v/>
      </c>
      <c r="M71" s="177" t="str">
        <f>IF(OR(ROUND(N(C71)-N(F71),8)=0,1-N(Ввод!$J$19)/100&lt;=0),"",IF(N(C71)&gt;N(F71),(N(E71)-N(H71))/((N(C71)-N(F71))*(1-N(Ввод!$J$19)/100)),(N(H71)-N(E71))/((N(F71)-N(C71))*(1+N(Ввод!$J$19)/100))))</f>
        <v/>
      </c>
    </row>
    <row r="72" ht="22" customHeight="1">
      <c r="B72" s="245" t="n"/>
      <c r="C72" s="246" t="str">
        <f>IF($B72="","",IF(SUMIFS('ИТОГО Торговля'!$C$5:$C$300,'ИТОГО Торговля'!$B$5:$B$300,$B72)+SUMIFS('ИТОГО Лэндинг'!$C$5:$C$300,'ИТОГО Лэндинг'!$B$5:$B$300,$B72)=0,"",SUMIFS('ИТОГО Торговля'!$C$5:$C$300,'ИТОГО Торговля'!$B$5:$B$300,$B72)+SUMIFS('ИТОГО Лэндинг'!$C$5:$C$300,'ИТОГО Лэндинг'!$B$5:$B$300,$B72)))</f>
        <v/>
      </c>
      <c r="D72" s="183" t="str">
        <f>IF(C72="","",E72/C72)</f>
        <v/>
      </c>
      <c r="E72" s="247" t="str">
        <f>IF(C72="","",SUMIFS('ИТОГО Торговля'!$E$5:$E$300,'ИТОГО Торговля'!$B$5:$B$300,$B72)+SUMIFS('ИТОГО Лэндинг'!$E$5:$E$300,'ИТОГО Лэндинг'!$B$5:$B$300,$B72))</f>
        <v/>
      </c>
      <c r="F72" s="246" t="str">
        <f>IF($B72="","",IF(SUMIFS('ИТОГО Торговля'!$F$5:$F$300,'ИТОГО Торговля'!$B$5:$B$300,$B72)+SUMIFS('ИТОГО Лэндинг'!$F$5:$F$300,'ИТОГО Лэндинг'!$B$5:$B$300,$B72)=0,"",SUMIFS('ИТОГО Торговля'!$F$5:$F$300,'ИТОГО Торговля'!$B$5:$B$300,$B72)+SUMIFS('ИТОГО Лэндинг'!$F$5:$F$300,'ИТОГО Лэндинг'!$B$5:$B$300,$B72)))</f>
        <v/>
      </c>
      <c r="G72" s="183" t="str">
        <f>IF(F72="","",H72/F72)</f>
        <v/>
      </c>
      <c r="H72" s="247" t="str">
        <f>IF(F72="","",SUMIFS('ИТОГО Торговля'!$H$5:$H$300,'ИТОГО Торговля'!$B$5:$B$300,$B72)+SUMIFS('ИТОГО Лэндинг'!$H$5:$H$300,'ИТОГО Лэндинг'!$B$5:$B$300,$B72))</f>
        <v/>
      </c>
      <c r="I72" s="246" t="str">
        <f>IF($B72="","",IF(AND(C72="",F72=""),"",ROUND(SUMIFS('ИТОГО Торговля'!$I$5:$I$300,'ИТОГО Торговля'!$B$5:$B$300,$B72)+SUMIFS('ИТОГО Лэндинг'!$I$5:$I$300,'ИТОГО Лэндинг'!$B$5:$B$300,$B72),8)))</f>
        <v/>
      </c>
      <c r="J72" s="247" t="str">
        <f>IF($B72="","",IF(AND(C72="",F72=""),"",ROUND(SUMIFS('ИТОГО Торговля'!$J$5:$J$300,'ИТОГО Торговля'!$B$5:$B$300,$B72)+SUMIFS('ИТОГО Лэндинг'!$J$5:$J$300,'ИТОГО Лэндинг'!$B$5:$B$300,$B72),8)))</f>
        <v/>
      </c>
      <c r="K72" s="246" t="str">
        <f>IF(MIN(N(C72),N(F72))&lt;=0,"",ROUND(MIN(N(C72),N(F72))*(N(G72)-N(D72)),8))</f>
        <v/>
      </c>
      <c r="L72" s="183" t="str">
        <f>IF(MIN(N(C72),N(F72))&lt;=0,"",IF(N(D72)=0,"",ROUND((N(G72)/N(D72)-1)*100,2)))</f>
        <v/>
      </c>
      <c r="M72" s="183" t="str">
        <f>IF(OR(ROUND(N(C72)-N(F72),8)=0,1-N(Ввод!$J$19)/100&lt;=0),"",IF(N(C72)&gt;N(F72),(N(E72)-N(H72))/((N(C72)-N(F72))*(1-N(Ввод!$J$19)/100)),(N(H72)-N(E72))/((N(F72)-N(C72))*(1+N(Ввод!$J$19)/100))))</f>
        <v/>
      </c>
    </row>
    <row r="73" ht="22" customHeight="1">
      <c r="B73" s="239" t="n"/>
      <c r="C73" s="240" t="str">
        <f>IF($B73="","",IF(SUMIFS('ИТОГО Торговля'!$C$5:$C$300,'ИТОГО Торговля'!$B$5:$B$300,$B73)+SUMIFS('ИТОГО Лэндинг'!$C$5:$C$300,'ИТОГО Лэндинг'!$B$5:$B$300,$B73)=0,"",SUMIFS('ИТОГО Торговля'!$C$5:$C$300,'ИТОГО Торговля'!$B$5:$B$300,$B73)+SUMIFS('ИТОГО Лэндинг'!$C$5:$C$300,'ИТОГО Лэндинг'!$B$5:$B$300,$B73)))</f>
        <v/>
      </c>
      <c r="D73" s="177" t="str">
        <f>IF(C73="","",E73/C73)</f>
        <v/>
      </c>
      <c r="E73" s="241" t="str">
        <f>IF(C73="","",SUMIFS('ИТОГО Торговля'!$E$5:$E$300,'ИТОГО Торговля'!$B$5:$B$300,$B73)+SUMIFS('ИТОГО Лэндинг'!$E$5:$E$300,'ИТОГО Лэндинг'!$B$5:$B$300,$B73))</f>
        <v/>
      </c>
      <c r="F73" s="240" t="str">
        <f>IF($B73="","",IF(SUMIFS('ИТОГО Торговля'!$F$5:$F$300,'ИТОГО Торговля'!$B$5:$B$300,$B73)+SUMIFS('ИТОГО Лэндинг'!$F$5:$F$300,'ИТОГО Лэндинг'!$B$5:$B$300,$B73)=0,"",SUMIFS('ИТОГО Торговля'!$F$5:$F$300,'ИТОГО Торговля'!$B$5:$B$300,$B73)+SUMIFS('ИТОГО Лэндинг'!$F$5:$F$300,'ИТОГО Лэндинг'!$B$5:$B$300,$B73)))</f>
        <v/>
      </c>
      <c r="G73" s="177" t="str">
        <f>IF(F73="","",H73/F73)</f>
        <v/>
      </c>
      <c r="H73" s="241" t="str">
        <f>IF(F73="","",SUMIFS('ИТОГО Торговля'!$H$5:$H$300,'ИТОГО Торговля'!$B$5:$B$300,$B73)+SUMIFS('ИТОГО Лэндинг'!$H$5:$H$300,'ИТОГО Лэндинг'!$B$5:$B$300,$B73))</f>
        <v/>
      </c>
      <c r="I73" s="240" t="str">
        <f>IF($B73="","",IF(AND(C73="",F73=""),"",ROUND(SUMIFS('ИТОГО Торговля'!$I$5:$I$300,'ИТОГО Торговля'!$B$5:$B$300,$B73)+SUMIFS('ИТОГО Лэндинг'!$I$5:$I$300,'ИТОГО Лэндинг'!$B$5:$B$300,$B73),8)))</f>
        <v/>
      </c>
      <c r="J73" s="241" t="str">
        <f>IF($B73="","",IF(AND(C73="",F73=""),"",ROUND(SUMIFS('ИТОГО Торговля'!$J$5:$J$300,'ИТОГО Торговля'!$B$5:$B$300,$B73)+SUMIFS('ИТОГО Лэндинг'!$J$5:$J$300,'ИТОГО Лэндинг'!$B$5:$B$300,$B73),8)))</f>
        <v/>
      </c>
      <c r="K73" s="240" t="str">
        <f>IF(MIN(N(C73),N(F73))&lt;=0,"",ROUND(MIN(N(C73),N(F73))*(N(G73)-N(D73)),8))</f>
        <v/>
      </c>
      <c r="L73" s="177" t="str">
        <f>IF(MIN(N(C73),N(F73))&lt;=0,"",IF(N(D73)=0,"",ROUND((N(G73)/N(D73)-1)*100,2)))</f>
        <v/>
      </c>
      <c r="M73" s="177" t="str">
        <f>IF(OR(ROUND(N(C73)-N(F73),8)=0,1-N(Ввод!$J$19)/100&lt;=0),"",IF(N(C73)&gt;N(F73),(N(E73)-N(H73))/((N(C73)-N(F73))*(1-N(Ввод!$J$19)/100)),(N(H73)-N(E73))/((N(F73)-N(C73))*(1+N(Ввод!$J$19)/100))))</f>
        <v/>
      </c>
    </row>
    <row r="74" ht="22" customHeight="1">
      <c r="B74" s="245" t="n"/>
      <c r="C74" s="246" t="str">
        <f>IF($B74="","",IF(SUMIFS('ИТОГО Торговля'!$C$5:$C$300,'ИТОГО Торговля'!$B$5:$B$300,$B74)+SUMIFS('ИТОГО Лэндинг'!$C$5:$C$300,'ИТОГО Лэндинг'!$B$5:$B$300,$B74)=0,"",SUMIFS('ИТОГО Торговля'!$C$5:$C$300,'ИТОГО Торговля'!$B$5:$B$300,$B74)+SUMIFS('ИТОГО Лэндинг'!$C$5:$C$300,'ИТОГО Лэндинг'!$B$5:$B$300,$B74)))</f>
        <v/>
      </c>
      <c r="D74" s="183" t="str">
        <f>IF(C74="","",E74/C74)</f>
        <v/>
      </c>
      <c r="E74" s="247" t="str">
        <f>IF(C74="","",SUMIFS('ИТОГО Торговля'!$E$5:$E$300,'ИТОГО Торговля'!$B$5:$B$300,$B74)+SUMIFS('ИТОГО Лэндинг'!$E$5:$E$300,'ИТОГО Лэндинг'!$B$5:$B$300,$B74))</f>
        <v/>
      </c>
      <c r="F74" s="246" t="str">
        <f>IF($B74="","",IF(SUMIFS('ИТОГО Торговля'!$F$5:$F$300,'ИТОГО Торговля'!$B$5:$B$300,$B74)+SUMIFS('ИТОГО Лэндинг'!$F$5:$F$300,'ИТОГО Лэндинг'!$B$5:$B$300,$B74)=0,"",SUMIFS('ИТОГО Торговля'!$F$5:$F$300,'ИТОГО Торговля'!$B$5:$B$300,$B74)+SUMIFS('ИТОГО Лэндинг'!$F$5:$F$300,'ИТОГО Лэндинг'!$B$5:$B$300,$B74)))</f>
        <v/>
      </c>
      <c r="G74" s="183" t="str">
        <f>IF(F74="","",H74/F74)</f>
        <v/>
      </c>
      <c r="H74" s="247" t="str">
        <f>IF(F74="","",SUMIFS('ИТОГО Торговля'!$H$5:$H$300,'ИТОГО Торговля'!$B$5:$B$300,$B74)+SUMIFS('ИТОГО Лэндинг'!$H$5:$H$300,'ИТОГО Лэндинг'!$B$5:$B$300,$B74))</f>
        <v/>
      </c>
      <c r="I74" s="246" t="str">
        <f>IF($B74="","",IF(AND(C74="",F74=""),"",ROUND(SUMIFS('ИТОГО Торговля'!$I$5:$I$300,'ИТОГО Торговля'!$B$5:$B$300,$B74)+SUMIFS('ИТОГО Лэндинг'!$I$5:$I$300,'ИТОГО Лэндинг'!$B$5:$B$300,$B74),8)))</f>
        <v/>
      </c>
      <c r="J74" s="247" t="str">
        <f>IF($B74="","",IF(AND(C74="",F74=""),"",ROUND(SUMIFS('ИТОГО Торговля'!$J$5:$J$300,'ИТОГО Торговля'!$B$5:$B$300,$B74)+SUMIFS('ИТОГО Лэндинг'!$J$5:$J$300,'ИТОГО Лэндинг'!$B$5:$B$300,$B74),8)))</f>
        <v/>
      </c>
      <c r="K74" s="246" t="str">
        <f>IF(MIN(N(C74),N(F74))&lt;=0,"",ROUND(MIN(N(C74),N(F74))*(N(G74)-N(D74)),8))</f>
        <v/>
      </c>
      <c r="L74" s="183" t="str">
        <f>IF(MIN(N(C74),N(F74))&lt;=0,"",IF(N(D74)=0,"",ROUND((N(G74)/N(D74)-1)*100,2)))</f>
        <v/>
      </c>
      <c r="M74" s="183" t="str">
        <f>IF(OR(ROUND(N(C74)-N(F74),8)=0,1-N(Ввод!$J$19)/100&lt;=0),"",IF(N(C74)&gt;N(F74),(N(E74)-N(H74))/((N(C74)-N(F74))*(1-N(Ввод!$J$19)/100)),(N(H74)-N(E74))/((N(F74)-N(C74))*(1+N(Ввод!$J$19)/100))))</f>
        <v/>
      </c>
    </row>
    <row r="75" ht="22" customHeight="1">
      <c r="B75" s="239" t="n"/>
      <c r="C75" s="240" t="str">
        <f>IF($B75="","",IF(SUMIFS('ИТОГО Торговля'!$C$5:$C$300,'ИТОГО Торговля'!$B$5:$B$300,$B75)+SUMIFS('ИТОГО Лэндинг'!$C$5:$C$300,'ИТОГО Лэндинг'!$B$5:$B$300,$B75)=0,"",SUMIFS('ИТОГО Торговля'!$C$5:$C$300,'ИТОГО Торговля'!$B$5:$B$300,$B75)+SUMIFS('ИТОГО Лэндинг'!$C$5:$C$300,'ИТОГО Лэндинг'!$B$5:$B$300,$B75)))</f>
        <v/>
      </c>
      <c r="D75" s="177" t="str">
        <f>IF(C75="","",E75/C75)</f>
        <v/>
      </c>
      <c r="E75" s="241" t="str">
        <f>IF(C75="","",SUMIFS('ИТОГО Торговля'!$E$5:$E$300,'ИТОГО Торговля'!$B$5:$B$300,$B75)+SUMIFS('ИТОГО Лэндинг'!$E$5:$E$300,'ИТОГО Лэндинг'!$B$5:$B$300,$B75))</f>
        <v/>
      </c>
      <c r="F75" s="240" t="str">
        <f>IF($B75="","",IF(SUMIFS('ИТОГО Торговля'!$F$5:$F$300,'ИТОГО Торговля'!$B$5:$B$300,$B75)+SUMIFS('ИТОГО Лэндинг'!$F$5:$F$300,'ИТОГО Лэндинг'!$B$5:$B$300,$B75)=0,"",SUMIFS('ИТОГО Торговля'!$F$5:$F$300,'ИТОГО Торговля'!$B$5:$B$300,$B75)+SUMIFS('ИТОГО Лэндинг'!$F$5:$F$300,'ИТОГО Лэндинг'!$B$5:$B$300,$B75)))</f>
        <v/>
      </c>
      <c r="G75" s="177" t="str">
        <f>IF(F75="","",H75/F75)</f>
        <v/>
      </c>
      <c r="H75" s="241" t="str">
        <f>IF(F75="","",SUMIFS('ИТОГО Торговля'!$H$5:$H$300,'ИТОГО Торговля'!$B$5:$B$300,$B75)+SUMIFS('ИТОГО Лэндинг'!$H$5:$H$300,'ИТОГО Лэндинг'!$B$5:$B$300,$B75))</f>
        <v/>
      </c>
      <c r="I75" s="240" t="str">
        <f>IF($B75="","",IF(AND(C75="",F75=""),"",ROUND(SUMIFS('ИТОГО Торговля'!$I$5:$I$300,'ИТОГО Торговля'!$B$5:$B$300,$B75)+SUMIFS('ИТОГО Лэндинг'!$I$5:$I$300,'ИТОГО Лэндинг'!$B$5:$B$300,$B75),8)))</f>
        <v/>
      </c>
      <c r="J75" s="241" t="str">
        <f>IF($B75="","",IF(AND(C75="",F75=""),"",ROUND(SUMIFS('ИТОГО Торговля'!$J$5:$J$300,'ИТОГО Торговля'!$B$5:$B$300,$B75)+SUMIFS('ИТОГО Лэндинг'!$J$5:$J$300,'ИТОГО Лэндинг'!$B$5:$B$300,$B75),8)))</f>
        <v/>
      </c>
      <c r="K75" s="240" t="str">
        <f>IF(MIN(N(C75),N(F75))&lt;=0,"",ROUND(MIN(N(C75),N(F75))*(N(G75)-N(D75)),8))</f>
        <v/>
      </c>
      <c r="L75" s="177" t="str">
        <f>IF(MIN(N(C75),N(F75))&lt;=0,"",IF(N(D75)=0,"",ROUND((N(G75)/N(D75)-1)*100,2)))</f>
        <v/>
      </c>
      <c r="M75" s="177" t="str">
        <f>IF(OR(ROUND(N(C75)-N(F75),8)=0,1-N(Ввод!$J$19)/100&lt;=0),"",IF(N(C75)&gt;N(F75),(N(E75)-N(H75))/((N(C75)-N(F75))*(1-N(Ввод!$J$19)/100)),(N(H75)-N(E75))/((N(F75)-N(C75))*(1+N(Ввод!$J$19)/100))))</f>
        <v/>
      </c>
    </row>
    <row r="76" ht="22" customHeight="1">
      <c r="B76" s="245" t="n"/>
      <c r="C76" s="246" t="str">
        <f>IF($B76="","",IF(SUMIFS('ИТОГО Торговля'!$C$5:$C$300,'ИТОГО Торговля'!$B$5:$B$300,$B76)+SUMIFS('ИТОГО Лэндинг'!$C$5:$C$300,'ИТОГО Лэндинг'!$B$5:$B$300,$B76)=0,"",SUMIFS('ИТОГО Торговля'!$C$5:$C$300,'ИТОГО Торговля'!$B$5:$B$300,$B76)+SUMIFS('ИТОГО Лэндинг'!$C$5:$C$300,'ИТОГО Лэндинг'!$B$5:$B$300,$B76)))</f>
        <v/>
      </c>
      <c r="D76" s="183" t="str">
        <f>IF(C76="","",E76/C76)</f>
        <v/>
      </c>
      <c r="E76" s="247" t="str">
        <f>IF(C76="","",SUMIFS('ИТОГО Торговля'!$E$5:$E$300,'ИТОГО Торговля'!$B$5:$B$300,$B76)+SUMIFS('ИТОГО Лэндинг'!$E$5:$E$300,'ИТОГО Лэндинг'!$B$5:$B$300,$B76))</f>
        <v/>
      </c>
      <c r="F76" s="246" t="str">
        <f>IF($B76="","",IF(SUMIFS('ИТОГО Торговля'!$F$5:$F$300,'ИТОГО Торговля'!$B$5:$B$300,$B76)+SUMIFS('ИТОГО Лэндинг'!$F$5:$F$300,'ИТОГО Лэндинг'!$B$5:$B$300,$B76)=0,"",SUMIFS('ИТОГО Торговля'!$F$5:$F$300,'ИТОГО Торговля'!$B$5:$B$300,$B76)+SUMIFS('ИТОГО Лэндинг'!$F$5:$F$300,'ИТОГО Лэндинг'!$B$5:$B$300,$B76)))</f>
        <v/>
      </c>
      <c r="G76" s="183" t="str">
        <f>IF(F76="","",H76/F76)</f>
        <v/>
      </c>
      <c r="H76" s="247" t="str">
        <f>IF(F76="","",SUMIFS('ИТОГО Торговля'!$H$5:$H$300,'ИТОГО Торговля'!$B$5:$B$300,$B76)+SUMIFS('ИТОГО Лэндинг'!$H$5:$H$300,'ИТОГО Лэндинг'!$B$5:$B$300,$B76))</f>
        <v/>
      </c>
      <c r="I76" s="246" t="str">
        <f>IF($B76="","",IF(AND(C76="",F76=""),"",ROUND(SUMIFS('ИТОГО Торговля'!$I$5:$I$300,'ИТОГО Торговля'!$B$5:$B$300,$B76)+SUMIFS('ИТОГО Лэндинг'!$I$5:$I$300,'ИТОГО Лэндинг'!$B$5:$B$300,$B76),8)))</f>
        <v/>
      </c>
      <c r="J76" s="247" t="str">
        <f>IF($B76="","",IF(AND(C76="",F76=""),"",ROUND(SUMIFS('ИТОГО Торговля'!$J$5:$J$300,'ИТОГО Торговля'!$B$5:$B$300,$B76)+SUMIFS('ИТОГО Лэндинг'!$J$5:$J$300,'ИТОГО Лэндинг'!$B$5:$B$300,$B76),8)))</f>
        <v/>
      </c>
      <c r="K76" s="246" t="str">
        <f>IF(MIN(N(C76),N(F76))&lt;=0,"",ROUND(MIN(N(C76),N(F76))*(N(G76)-N(D76)),8))</f>
        <v/>
      </c>
      <c r="L76" s="183" t="str">
        <f>IF(MIN(N(C76),N(F76))&lt;=0,"",IF(N(D76)=0,"",ROUND((N(G76)/N(D76)-1)*100,2)))</f>
        <v/>
      </c>
      <c r="M76" s="183" t="str">
        <f>IF(OR(ROUND(N(C76)-N(F76),8)=0,1-N(Ввод!$J$19)/100&lt;=0),"",IF(N(C76)&gt;N(F76),(N(E76)-N(H76))/((N(C76)-N(F76))*(1-N(Ввод!$J$19)/100)),(N(H76)-N(E76))/((N(F76)-N(C76))*(1+N(Ввод!$J$19)/100))))</f>
        <v/>
      </c>
    </row>
    <row r="77" ht="22" customHeight="1">
      <c r="B77" s="239" t="n"/>
      <c r="C77" s="240" t="str">
        <f>IF($B77="","",IF(SUMIFS('ИТОГО Торговля'!$C$5:$C$300,'ИТОГО Торговля'!$B$5:$B$300,$B77)+SUMIFS('ИТОГО Лэндинг'!$C$5:$C$300,'ИТОГО Лэндинг'!$B$5:$B$300,$B77)=0,"",SUMIFS('ИТОГО Торговля'!$C$5:$C$300,'ИТОГО Торговля'!$B$5:$B$300,$B77)+SUMIFS('ИТОГО Лэндинг'!$C$5:$C$300,'ИТОГО Лэндинг'!$B$5:$B$300,$B77)))</f>
        <v/>
      </c>
      <c r="D77" s="177" t="str">
        <f>IF(C77="","",E77/C77)</f>
        <v/>
      </c>
      <c r="E77" s="241" t="str">
        <f>IF(C77="","",SUMIFS('ИТОГО Торговля'!$E$5:$E$300,'ИТОГО Торговля'!$B$5:$B$300,$B77)+SUMIFS('ИТОГО Лэндинг'!$E$5:$E$300,'ИТОГО Лэндинг'!$B$5:$B$300,$B77))</f>
        <v/>
      </c>
      <c r="F77" s="240" t="str">
        <f>IF($B77="","",IF(SUMIFS('ИТОГО Торговля'!$F$5:$F$300,'ИТОГО Торговля'!$B$5:$B$300,$B77)+SUMIFS('ИТОГО Лэндинг'!$F$5:$F$300,'ИТОГО Лэндинг'!$B$5:$B$300,$B77)=0,"",SUMIFS('ИТОГО Торговля'!$F$5:$F$300,'ИТОГО Торговля'!$B$5:$B$300,$B77)+SUMIFS('ИТОГО Лэндинг'!$F$5:$F$300,'ИТОГО Лэндинг'!$B$5:$B$300,$B77)))</f>
        <v/>
      </c>
      <c r="G77" s="177" t="str">
        <f>IF(F77="","",H77/F77)</f>
        <v/>
      </c>
      <c r="H77" s="241" t="str">
        <f>IF(F77="","",SUMIFS('ИТОГО Торговля'!$H$5:$H$300,'ИТОГО Торговля'!$B$5:$B$300,$B77)+SUMIFS('ИТОГО Лэндинг'!$H$5:$H$300,'ИТОГО Лэндинг'!$B$5:$B$300,$B77))</f>
        <v/>
      </c>
      <c r="I77" s="240" t="str">
        <f>IF($B77="","",IF(AND(C77="",F77=""),"",ROUND(SUMIFS('ИТОГО Торговля'!$I$5:$I$300,'ИТОГО Торговля'!$B$5:$B$300,$B77)+SUMIFS('ИТОГО Лэндинг'!$I$5:$I$300,'ИТОГО Лэндинг'!$B$5:$B$300,$B77),8)))</f>
        <v/>
      </c>
      <c r="J77" s="241" t="str">
        <f>IF($B77="","",IF(AND(C77="",F77=""),"",ROUND(SUMIFS('ИТОГО Торговля'!$J$5:$J$300,'ИТОГО Торговля'!$B$5:$B$300,$B77)+SUMIFS('ИТОГО Лэндинг'!$J$5:$J$300,'ИТОГО Лэндинг'!$B$5:$B$300,$B77),8)))</f>
        <v/>
      </c>
      <c r="K77" s="240" t="str">
        <f>IF(MIN(N(C77),N(F77))&lt;=0,"",ROUND(MIN(N(C77),N(F77))*(N(G77)-N(D77)),8))</f>
        <v/>
      </c>
      <c r="L77" s="177" t="str">
        <f>IF(MIN(N(C77),N(F77))&lt;=0,"",IF(N(D77)=0,"",ROUND((N(G77)/N(D77)-1)*100,2)))</f>
        <v/>
      </c>
      <c r="M77" s="177" t="str">
        <f>IF(OR(ROUND(N(C77)-N(F77),8)=0,1-N(Ввод!$J$19)/100&lt;=0),"",IF(N(C77)&gt;N(F77),(N(E77)-N(H77))/((N(C77)-N(F77))*(1-N(Ввод!$J$19)/100)),(N(H77)-N(E77))/((N(F77)-N(C77))*(1+N(Ввод!$J$19)/100))))</f>
        <v/>
      </c>
    </row>
    <row r="78" ht="22" customHeight="1">
      <c r="B78" s="245" t="n"/>
      <c r="C78" s="246" t="str">
        <f>IF($B78="","",IF(SUMIFS('ИТОГО Торговля'!$C$5:$C$300,'ИТОГО Торговля'!$B$5:$B$300,$B78)+SUMIFS('ИТОГО Лэндинг'!$C$5:$C$300,'ИТОГО Лэндинг'!$B$5:$B$300,$B78)=0,"",SUMIFS('ИТОГО Торговля'!$C$5:$C$300,'ИТОГО Торговля'!$B$5:$B$300,$B78)+SUMIFS('ИТОГО Лэндинг'!$C$5:$C$300,'ИТОГО Лэндинг'!$B$5:$B$300,$B78)))</f>
        <v/>
      </c>
      <c r="D78" s="183" t="str">
        <f>IF(C78="","",E78/C78)</f>
        <v/>
      </c>
      <c r="E78" s="247" t="str">
        <f>IF(C78="","",SUMIFS('ИТОГО Торговля'!$E$5:$E$300,'ИТОГО Торговля'!$B$5:$B$300,$B78)+SUMIFS('ИТОГО Лэндинг'!$E$5:$E$300,'ИТОГО Лэндинг'!$B$5:$B$300,$B78))</f>
        <v/>
      </c>
      <c r="F78" s="246" t="str">
        <f>IF($B78="","",IF(SUMIFS('ИТОГО Торговля'!$F$5:$F$300,'ИТОГО Торговля'!$B$5:$B$300,$B78)+SUMIFS('ИТОГО Лэндинг'!$F$5:$F$300,'ИТОГО Лэндинг'!$B$5:$B$300,$B78)=0,"",SUMIFS('ИТОГО Торговля'!$F$5:$F$300,'ИТОГО Торговля'!$B$5:$B$300,$B78)+SUMIFS('ИТОГО Лэндинг'!$F$5:$F$300,'ИТОГО Лэндинг'!$B$5:$B$300,$B78)))</f>
        <v/>
      </c>
      <c r="G78" s="183" t="str">
        <f>IF(F78="","",H78/F78)</f>
        <v/>
      </c>
      <c r="H78" s="247" t="str">
        <f>IF(F78="","",SUMIFS('ИТОГО Торговля'!$H$5:$H$300,'ИТОГО Торговля'!$B$5:$B$300,$B78)+SUMIFS('ИТОГО Лэндинг'!$H$5:$H$300,'ИТОГО Лэндинг'!$B$5:$B$300,$B78))</f>
        <v/>
      </c>
      <c r="I78" s="246" t="str">
        <f>IF($B78="","",IF(AND(C78="",F78=""),"",ROUND(SUMIFS('ИТОГО Торговля'!$I$5:$I$300,'ИТОГО Торговля'!$B$5:$B$300,$B78)+SUMIFS('ИТОГО Лэндинг'!$I$5:$I$300,'ИТОГО Лэндинг'!$B$5:$B$300,$B78),8)))</f>
        <v/>
      </c>
      <c r="J78" s="247" t="str">
        <f>IF($B78="","",IF(AND(C78="",F78=""),"",ROUND(SUMIFS('ИТОГО Торговля'!$J$5:$J$300,'ИТОГО Торговля'!$B$5:$B$300,$B78)+SUMIFS('ИТОГО Лэндинг'!$J$5:$J$300,'ИТОГО Лэндинг'!$B$5:$B$300,$B78),8)))</f>
        <v/>
      </c>
      <c r="K78" s="246" t="str">
        <f>IF(MIN(N(C78),N(F78))&lt;=0,"",ROUND(MIN(N(C78),N(F78))*(N(G78)-N(D78)),8))</f>
        <v/>
      </c>
      <c r="L78" s="183" t="str">
        <f>IF(MIN(N(C78),N(F78))&lt;=0,"",IF(N(D78)=0,"",ROUND((N(G78)/N(D78)-1)*100,2)))</f>
        <v/>
      </c>
      <c r="M78" s="183" t="str">
        <f>IF(OR(ROUND(N(C78)-N(F78),8)=0,1-N(Ввод!$J$19)/100&lt;=0),"",IF(N(C78)&gt;N(F78),(N(E78)-N(H78))/((N(C78)-N(F78))*(1-N(Ввод!$J$19)/100)),(N(H78)-N(E78))/((N(F78)-N(C78))*(1+N(Ввод!$J$19)/100))))</f>
        <v/>
      </c>
    </row>
    <row r="79" ht="22" customHeight="1">
      <c r="B79" s="239" t="n"/>
      <c r="C79" s="240" t="str">
        <f>IF($B79="","",IF(SUMIFS('ИТОГО Торговля'!$C$5:$C$300,'ИТОГО Торговля'!$B$5:$B$300,$B79)+SUMIFS('ИТОГО Лэндинг'!$C$5:$C$300,'ИТОГО Лэндинг'!$B$5:$B$300,$B79)=0,"",SUMIFS('ИТОГО Торговля'!$C$5:$C$300,'ИТОГО Торговля'!$B$5:$B$300,$B79)+SUMIFS('ИТОГО Лэндинг'!$C$5:$C$300,'ИТОГО Лэндинг'!$B$5:$B$300,$B79)))</f>
        <v/>
      </c>
      <c r="D79" s="177" t="str">
        <f>IF(C79="","",E79/C79)</f>
        <v/>
      </c>
      <c r="E79" s="241" t="str">
        <f>IF(C79="","",SUMIFS('ИТОГО Торговля'!$E$5:$E$300,'ИТОГО Торговля'!$B$5:$B$300,$B79)+SUMIFS('ИТОГО Лэндинг'!$E$5:$E$300,'ИТОГО Лэндинг'!$B$5:$B$300,$B79))</f>
        <v/>
      </c>
      <c r="F79" s="240" t="str">
        <f>IF($B79="","",IF(SUMIFS('ИТОГО Торговля'!$F$5:$F$300,'ИТОГО Торговля'!$B$5:$B$300,$B79)+SUMIFS('ИТОГО Лэндинг'!$F$5:$F$300,'ИТОГО Лэндинг'!$B$5:$B$300,$B79)=0,"",SUMIFS('ИТОГО Торговля'!$F$5:$F$300,'ИТОГО Торговля'!$B$5:$B$300,$B79)+SUMIFS('ИТОГО Лэндинг'!$F$5:$F$300,'ИТОГО Лэндинг'!$B$5:$B$300,$B79)))</f>
        <v/>
      </c>
      <c r="G79" s="177" t="str">
        <f>IF(F79="","",H79/F79)</f>
        <v/>
      </c>
      <c r="H79" s="241" t="str">
        <f>IF(F79="","",SUMIFS('ИТОГО Торговля'!$H$5:$H$300,'ИТОГО Торговля'!$B$5:$B$300,$B79)+SUMIFS('ИТОГО Лэндинг'!$H$5:$H$300,'ИТОГО Лэндинг'!$B$5:$B$300,$B79))</f>
        <v/>
      </c>
      <c r="I79" s="240" t="str">
        <f>IF($B79="","",IF(AND(C79="",F79=""),"",ROUND(SUMIFS('ИТОГО Торговля'!$I$5:$I$300,'ИТОГО Торговля'!$B$5:$B$300,$B79)+SUMIFS('ИТОГО Лэндинг'!$I$5:$I$300,'ИТОГО Лэндинг'!$B$5:$B$300,$B79),8)))</f>
        <v/>
      </c>
      <c r="J79" s="241" t="str">
        <f>IF($B79="","",IF(AND(C79="",F79=""),"",ROUND(SUMIFS('ИТОГО Торговля'!$J$5:$J$300,'ИТОГО Торговля'!$B$5:$B$300,$B79)+SUMIFS('ИТОГО Лэндинг'!$J$5:$J$300,'ИТОГО Лэндинг'!$B$5:$B$300,$B79),8)))</f>
        <v/>
      </c>
      <c r="K79" s="240" t="str">
        <f>IF(MIN(N(C79),N(F79))&lt;=0,"",ROUND(MIN(N(C79),N(F79))*(N(G79)-N(D79)),8))</f>
        <v/>
      </c>
      <c r="L79" s="177" t="str">
        <f>IF(MIN(N(C79),N(F79))&lt;=0,"",IF(N(D79)=0,"",ROUND((N(G79)/N(D79)-1)*100,2)))</f>
        <v/>
      </c>
      <c r="M79" s="177" t="str">
        <f>IF(OR(ROUND(N(C79)-N(F79),8)=0,1-N(Ввод!$J$19)/100&lt;=0),"",IF(N(C79)&gt;N(F79),(N(E79)-N(H79))/((N(C79)-N(F79))*(1-N(Ввод!$J$19)/100)),(N(H79)-N(E79))/((N(F79)-N(C79))*(1+N(Ввод!$J$19)/100))))</f>
        <v/>
      </c>
    </row>
    <row r="80" ht="22" customHeight="1">
      <c r="B80" s="245" t="n"/>
      <c r="C80" s="246" t="str">
        <f>IF($B80="","",IF(SUMIFS('ИТОГО Торговля'!$C$5:$C$300,'ИТОГО Торговля'!$B$5:$B$300,$B80)+SUMIFS('ИТОГО Лэндинг'!$C$5:$C$300,'ИТОГО Лэндинг'!$B$5:$B$300,$B80)=0,"",SUMIFS('ИТОГО Торговля'!$C$5:$C$300,'ИТОГО Торговля'!$B$5:$B$300,$B80)+SUMIFS('ИТОГО Лэндинг'!$C$5:$C$300,'ИТОГО Лэндинг'!$B$5:$B$300,$B80)))</f>
        <v/>
      </c>
      <c r="D80" s="183" t="str">
        <f>IF(C80="","",E80/C80)</f>
        <v/>
      </c>
      <c r="E80" s="247" t="str">
        <f>IF(C80="","",SUMIFS('ИТОГО Торговля'!$E$5:$E$300,'ИТОГО Торговля'!$B$5:$B$300,$B80)+SUMIFS('ИТОГО Лэндинг'!$E$5:$E$300,'ИТОГО Лэндинг'!$B$5:$B$300,$B80))</f>
        <v/>
      </c>
      <c r="F80" s="246" t="str">
        <f>IF($B80="","",IF(SUMIFS('ИТОГО Торговля'!$F$5:$F$300,'ИТОГО Торговля'!$B$5:$B$300,$B80)+SUMIFS('ИТОГО Лэндинг'!$F$5:$F$300,'ИТОГО Лэндинг'!$B$5:$B$300,$B80)=0,"",SUMIFS('ИТОГО Торговля'!$F$5:$F$300,'ИТОГО Торговля'!$B$5:$B$300,$B80)+SUMIFS('ИТОГО Лэндинг'!$F$5:$F$300,'ИТОГО Лэндинг'!$B$5:$B$300,$B80)))</f>
        <v/>
      </c>
      <c r="G80" s="183" t="str">
        <f>IF(F80="","",H80/F80)</f>
        <v/>
      </c>
      <c r="H80" s="247" t="str">
        <f>IF(F80="","",SUMIFS('ИТОГО Торговля'!$H$5:$H$300,'ИТОГО Торговля'!$B$5:$B$300,$B80)+SUMIFS('ИТОГО Лэндинг'!$H$5:$H$300,'ИТОГО Лэндинг'!$B$5:$B$300,$B80))</f>
        <v/>
      </c>
      <c r="I80" s="246" t="str">
        <f>IF($B80="","",IF(AND(C80="",F80=""),"",ROUND(SUMIFS('ИТОГО Торговля'!$I$5:$I$300,'ИТОГО Торговля'!$B$5:$B$300,$B80)+SUMIFS('ИТОГО Лэндинг'!$I$5:$I$300,'ИТОГО Лэндинг'!$B$5:$B$300,$B80),8)))</f>
        <v/>
      </c>
      <c r="J80" s="247" t="str">
        <f>IF($B80="","",IF(AND(C80="",F80=""),"",ROUND(SUMIFS('ИТОГО Торговля'!$J$5:$J$300,'ИТОГО Торговля'!$B$5:$B$300,$B80)+SUMIFS('ИТОГО Лэндинг'!$J$5:$J$300,'ИТОГО Лэндинг'!$B$5:$B$300,$B80),8)))</f>
        <v/>
      </c>
      <c r="K80" s="246" t="str">
        <f>IF(MIN(N(C80),N(F80))&lt;=0,"",ROUND(MIN(N(C80),N(F80))*(N(G80)-N(D80)),8))</f>
        <v/>
      </c>
      <c r="L80" s="183" t="str">
        <f>IF(MIN(N(C80),N(F80))&lt;=0,"",IF(N(D80)=0,"",ROUND((N(G80)/N(D80)-1)*100,2)))</f>
        <v/>
      </c>
      <c r="M80" s="183" t="str">
        <f>IF(OR(ROUND(N(C80)-N(F80),8)=0,1-N(Ввод!$J$19)/100&lt;=0),"",IF(N(C80)&gt;N(F80),(N(E80)-N(H80))/((N(C80)-N(F80))*(1-N(Ввод!$J$19)/100)),(N(H80)-N(E80))/((N(F80)-N(C80))*(1+N(Ввод!$J$19)/100))))</f>
        <v/>
      </c>
    </row>
    <row r="81" ht="22" customHeight="1">
      <c r="B81" s="239" t="n"/>
      <c r="C81" s="240" t="str">
        <f>IF($B81="","",IF(SUMIFS('ИТОГО Торговля'!$C$5:$C$300,'ИТОГО Торговля'!$B$5:$B$300,$B81)+SUMIFS('ИТОГО Лэндинг'!$C$5:$C$300,'ИТОГО Лэндинг'!$B$5:$B$300,$B81)=0,"",SUMIFS('ИТОГО Торговля'!$C$5:$C$300,'ИТОГО Торговля'!$B$5:$B$300,$B81)+SUMIFS('ИТОГО Лэндинг'!$C$5:$C$300,'ИТОГО Лэндинг'!$B$5:$B$300,$B81)))</f>
        <v/>
      </c>
      <c r="D81" s="177" t="str">
        <f>IF(C81="","",E81/C81)</f>
        <v/>
      </c>
      <c r="E81" s="241" t="str">
        <f>IF(C81="","",SUMIFS('ИТОГО Торговля'!$E$5:$E$300,'ИТОГО Торговля'!$B$5:$B$300,$B81)+SUMIFS('ИТОГО Лэндинг'!$E$5:$E$300,'ИТОГО Лэндинг'!$B$5:$B$300,$B81))</f>
        <v/>
      </c>
      <c r="F81" s="240" t="str">
        <f>IF($B81="","",IF(SUMIFS('ИТОГО Торговля'!$F$5:$F$300,'ИТОГО Торговля'!$B$5:$B$300,$B81)+SUMIFS('ИТОГО Лэндинг'!$F$5:$F$300,'ИТОГО Лэндинг'!$B$5:$B$300,$B81)=0,"",SUMIFS('ИТОГО Торговля'!$F$5:$F$300,'ИТОГО Торговля'!$B$5:$B$300,$B81)+SUMIFS('ИТОГО Лэндинг'!$F$5:$F$300,'ИТОГО Лэндинг'!$B$5:$B$300,$B81)))</f>
        <v/>
      </c>
      <c r="G81" s="177" t="str">
        <f>IF(F81="","",H81/F81)</f>
        <v/>
      </c>
      <c r="H81" s="241" t="str">
        <f>IF(F81="","",SUMIFS('ИТОГО Торговля'!$H$5:$H$300,'ИТОГО Торговля'!$B$5:$B$300,$B81)+SUMIFS('ИТОГО Лэндинг'!$H$5:$H$300,'ИТОГО Лэндинг'!$B$5:$B$300,$B81))</f>
        <v/>
      </c>
      <c r="I81" s="240" t="str">
        <f>IF($B81="","",IF(AND(C81="",F81=""),"",ROUND(SUMIFS('ИТОГО Торговля'!$I$5:$I$300,'ИТОГО Торговля'!$B$5:$B$300,$B81)+SUMIFS('ИТОГО Лэндинг'!$I$5:$I$300,'ИТОГО Лэндинг'!$B$5:$B$300,$B81),8)))</f>
        <v/>
      </c>
      <c r="J81" s="241" t="str">
        <f>IF($B81="","",IF(AND(C81="",F81=""),"",ROUND(SUMIFS('ИТОГО Торговля'!$J$5:$J$300,'ИТОГО Торговля'!$B$5:$B$300,$B81)+SUMIFS('ИТОГО Лэндинг'!$J$5:$J$300,'ИТОГО Лэндинг'!$B$5:$B$300,$B81),8)))</f>
        <v/>
      </c>
      <c r="K81" s="240" t="str">
        <f>IF(MIN(N(C81),N(F81))&lt;=0,"",ROUND(MIN(N(C81),N(F81))*(N(G81)-N(D81)),8))</f>
        <v/>
      </c>
      <c r="L81" s="177" t="str">
        <f>IF(MIN(N(C81),N(F81))&lt;=0,"",IF(N(D81)=0,"",ROUND((N(G81)/N(D81)-1)*100,2)))</f>
        <v/>
      </c>
      <c r="M81" s="177" t="str">
        <f>IF(OR(ROUND(N(C81)-N(F81),8)=0,1-N(Ввод!$J$19)/100&lt;=0),"",IF(N(C81)&gt;N(F81),(N(E81)-N(H81))/((N(C81)-N(F81))*(1-N(Ввод!$J$19)/100)),(N(H81)-N(E81))/((N(F81)-N(C81))*(1+N(Ввод!$J$19)/100))))</f>
        <v/>
      </c>
    </row>
    <row r="82" ht="22" customHeight="1">
      <c r="B82" s="245" t="n"/>
      <c r="C82" s="246" t="str">
        <f>IF($B82="","",IF(SUMIFS('ИТОГО Торговля'!$C$5:$C$300,'ИТОГО Торговля'!$B$5:$B$300,$B82)+SUMIFS('ИТОГО Лэндинг'!$C$5:$C$300,'ИТОГО Лэндинг'!$B$5:$B$300,$B82)=0,"",SUMIFS('ИТОГО Торговля'!$C$5:$C$300,'ИТОГО Торговля'!$B$5:$B$300,$B82)+SUMIFS('ИТОГО Лэндинг'!$C$5:$C$300,'ИТОГО Лэндинг'!$B$5:$B$300,$B82)))</f>
        <v/>
      </c>
      <c r="D82" s="183" t="str">
        <f>IF(C82="","",E82/C82)</f>
        <v/>
      </c>
      <c r="E82" s="247" t="str">
        <f>IF(C82="","",SUMIFS('ИТОГО Торговля'!$E$5:$E$300,'ИТОГО Торговля'!$B$5:$B$300,$B82)+SUMIFS('ИТОГО Лэндинг'!$E$5:$E$300,'ИТОГО Лэндинг'!$B$5:$B$300,$B82))</f>
        <v/>
      </c>
      <c r="F82" s="246" t="str">
        <f>IF($B82="","",IF(SUMIFS('ИТОГО Торговля'!$F$5:$F$300,'ИТОГО Торговля'!$B$5:$B$300,$B82)+SUMIFS('ИТОГО Лэндинг'!$F$5:$F$300,'ИТОГО Лэндинг'!$B$5:$B$300,$B82)=0,"",SUMIFS('ИТОГО Торговля'!$F$5:$F$300,'ИТОГО Торговля'!$B$5:$B$300,$B82)+SUMIFS('ИТОГО Лэндинг'!$F$5:$F$300,'ИТОГО Лэндинг'!$B$5:$B$300,$B82)))</f>
        <v/>
      </c>
      <c r="G82" s="183" t="str">
        <f>IF(F82="","",H82/F82)</f>
        <v/>
      </c>
      <c r="H82" s="247" t="str">
        <f>IF(F82="","",SUMIFS('ИТОГО Торговля'!$H$5:$H$300,'ИТОГО Торговля'!$B$5:$B$300,$B82)+SUMIFS('ИТОГО Лэндинг'!$H$5:$H$300,'ИТОГО Лэндинг'!$B$5:$B$300,$B82))</f>
        <v/>
      </c>
      <c r="I82" s="246" t="str">
        <f>IF($B82="","",IF(AND(C82="",F82=""),"",ROUND(SUMIFS('ИТОГО Торговля'!$I$5:$I$300,'ИТОГО Торговля'!$B$5:$B$300,$B82)+SUMIFS('ИТОГО Лэндинг'!$I$5:$I$300,'ИТОГО Лэндинг'!$B$5:$B$300,$B82),8)))</f>
        <v/>
      </c>
      <c r="J82" s="247" t="str">
        <f>IF($B82="","",IF(AND(C82="",F82=""),"",ROUND(SUMIFS('ИТОГО Торговля'!$J$5:$J$300,'ИТОГО Торговля'!$B$5:$B$300,$B82)+SUMIFS('ИТОГО Лэндинг'!$J$5:$J$300,'ИТОГО Лэндинг'!$B$5:$B$300,$B82),8)))</f>
        <v/>
      </c>
      <c r="K82" s="246" t="str">
        <f>IF(MIN(N(C82),N(F82))&lt;=0,"",ROUND(MIN(N(C82),N(F82))*(N(G82)-N(D82)),8))</f>
        <v/>
      </c>
      <c r="L82" s="183" t="str">
        <f>IF(MIN(N(C82),N(F82))&lt;=0,"",IF(N(D82)=0,"",ROUND((N(G82)/N(D82)-1)*100,2)))</f>
        <v/>
      </c>
      <c r="M82" s="183" t="str">
        <f>IF(OR(ROUND(N(C82)-N(F82),8)=0,1-N(Ввод!$J$19)/100&lt;=0),"",IF(N(C82)&gt;N(F82),(N(E82)-N(H82))/((N(C82)-N(F82))*(1-N(Ввод!$J$19)/100)),(N(H82)-N(E82))/((N(F82)-N(C82))*(1+N(Ввод!$J$19)/100))))</f>
        <v/>
      </c>
    </row>
    <row r="83" ht="22" customHeight="1">
      <c r="B83" s="239" t="n"/>
      <c r="C83" s="240" t="str">
        <f>IF($B83="","",IF(SUMIFS('ИТОГО Торговля'!$C$5:$C$300,'ИТОГО Торговля'!$B$5:$B$300,$B83)+SUMIFS('ИТОГО Лэндинг'!$C$5:$C$300,'ИТОГО Лэндинг'!$B$5:$B$300,$B83)=0,"",SUMIFS('ИТОГО Торговля'!$C$5:$C$300,'ИТОГО Торговля'!$B$5:$B$300,$B83)+SUMIFS('ИТОГО Лэндинг'!$C$5:$C$300,'ИТОГО Лэндинг'!$B$5:$B$300,$B83)))</f>
        <v/>
      </c>
      <c r="D83" s="177" t="str">
        <f>IF(C83="","",E83/C83)</f>
        <v/>
      </c>
      <c r="E83" s="241" t="str">
        <f>IF(C83="","",SUMIFS('ИТОГО Торговля'!$E$5:$E$300,'ИТОГО Торговля'!$B$5:$B$300,$B83)+SUMIFS('ИТОГО Лэндинг'!$E$5:$E$300,'ИТОГО Лэндинг'!$B$5:$B$300,$B83))</f>
        <v/>
      </c>
      <c r="F83" s="240" t="str">
        <f>IF($B83="","",IF(SUMIFS('ИТОГО Торговля'!$F$5:$F$300,'ИТОГО Торговля'!$B$5:$B$300,$B83)+SUMIFS('ИТОГО Лэндинг'!$F$5:$F$300,'ИТОГО Лэндинг'!$B$5:$B$300,$B83)=0,"",SUMIFS('ИТОГО Торговля'!$F$5:$F$300,'ИТОГО Торговля'!$B$5:$B$300,$B83)+SUMIFS('ИТОГО Лэндинг'!$F$5:$F$300,'ИТОГО Лэндинг'!$B$5:$B$300,$B83)))</f>
        <v/>
      </c>
      <c r="G83" s="177" t="str">
        <f>IF(F83="","",H83/F83)</f>
        <v/>
      </c>
      <c r="H83" s="241" t="str">
        <f>IF(F83="","",SUMIFS('ИТОГО Торговля'!$H$5:$H$300,'ИТОГО Торговля'!$B$5:$B$300,$B83)+SUMIFS('ИТОГО Лэндинг'!$H$5:$H$300,'ИТОГО Лэндинг'!$B$5:$B$300,$B83))</f>
        <v/>
      </c>
      <c r="I83" s="240" t="str">
        <f>IF($B83="","",IF(AND(C83="",F83=""),"",ROUND(SUMIFS('ИТОГО Торговля'!$I$5:$I$300,'ИТОГО Торговля'!$B$5:$B$300,$B83)+SUMIFS('ИТОГО Лэндинг'!$I$5:$I$300,'ИТОГО Лэндинг'!$B$5:$B$300,$B83),8)))</f>
        <v/>
      </c>
      <c r="J83" s="241" t="str">
        <f>IF($B83="","",IF(AND(C83="",F83=""),"",ROUND(SUMIFS('ИТОГО Торговля'!$J$5:$J$300,'ИТОГО Торговля'!$B$5:$B$300,$B83)+SUMIFS('ИТОГО Лэндинг'!$J$5:$J$300,'ИТОГО Лэндинг'!$B$5:$B$300,$B83),8)))</f>
        <v/>
      </c>
      <c r="K83" s="240" t="str">
        <f>IF(MIN(N(C83),N(F83))&lt;=0,"",ROUND(MIN(N(C83),N(F83))*(N(G83)-N(D83)),8))</f>
        <v/>
      </c>
      <c r="L83" s="177" t="str">
        <f>IF(MIN(N(C83),N(F83))&lt;=0,"",IF(N(D83)=0,"",ROUND((N(G83)/N(D83)-1)*100,2)))</f>
        <v/>
      </c>
      <c r="M83" s="177" t="str">
        <f>IF(OR(ROUND(N(C83)-N(F83),8)=0,1-N(Ввод!$J$19)/100&lt;=0),"",IF(N(C83)&gt;N(F83),(N(E83)-N(H83))/((N(C83)-N(F83))*(1-N(Ввод!$J$19)/100)),(N(H83)-N(E83))/((N(F83)-N(C83))*(1+N(Ввод!$J$19)/100))))</f>
        <v/>
      </c>
    </row>
    <row r="84" ht="22" customHeight="1">
      <c r="B84" s="245" t="n"/>
      <c r="C84" s="246" t="str">
        <f>IF($B84="","",IF(SUMIFS('ИТОГО Торговля'!$C$5:$C$300,'ИТОГО Торговля'!$B$5:$B$300,$B84)+SUMIFS('ИТОГО Лэндинг'!$C$5:$C$300,'ИТОГО Лэндинг'!$B$5:$B$300,$B84)=0,"",SUMIFS('ИТОГО Торговля'!$C$5:$C$300,'ИТОГО Торговля'!$B$5:$B$300,$B84)+SUMIFS('ИТОГО Лэндинг'!$C$5:$C$300,'ИТОГО Лэндинг'!$B$5:$B$300,$B84)))</f>
        <v/>
      </c>
      <c r="D84" s="183" t="str">
        <f>IF(C84="","",E84/C84)</f>
        <v/>
      </c>
      <c r="E84" s="247" t="str">
        <f>IF(C84="","",SUMIFS('ИТОГО Торговля'!$E$5:$E$300,'ИТОГО Торговля'!$B$5:$B$300,$B84)+SUMIFS('ИТОГО Лэндинг'!$E$5:$E$300,'ИТОГО Лэндинг'!$B$5:$B$300,$B84))</f>
        <v/>
      </c>
      <c r="F84" s="246" t="str">
        <f>IF($B84="","",IF(SUMIFS('ИТОГО Торговля'!$F$5:$F$300,'ИТОГО Торговля'!$B$5:$B$300,$B84)+SUMIFS('ИТОГО Лэндинг'!$F$5:$F$300,'ИТОГО Лэндинг'!$B$5:$B$300,$B84)=0,"",SUMIFS('ИТОГО Торговля'!$F$5:$F$300,'ИТОГО Торговля'!$B$5:$B$300,$B84)+SUMIFS('ИТОГО Лэндинг'!$F$5:$F$300,'ИТОГО Лэндинг'!$B$5:$B$300,$B84)))</f>
        <v/>
      </c>
      <c r="G84" s="183" t="str">
        <f>IF(F84="","",H84/F84)</f>
        <v/>
      </c>
      <c r="H84" s="247" t="str">
        <f>IF(F84="","",SUMIFS('ИТОГО Торговля'!$H$5:$H$300,'ИТОГО Торговля'!$B$5:$B$300,$B84)+SUMIFS('ИТОГО Лэндинг'!$H$5:$H$300,'ИТОГО Лэндинг'!$B$5:$B$300,$B84))</f>
        <v/>
      </c>
      <c r="I84" s="246" t="str">
        <f>IF($B84="","",IF(AND(C84="",F84=""),"",ROUND(SUMIFS('ИТОГО Торговля'!$I$5:$I$300,'ИТОГО Торговля'!$B$5:$B$300,$B84)+SUMIFS('ИТОГО Лэндинг'!$I$5:$I$300,'ИТОГО Лэндинг'!$B$5:$B$300,$B84),8)))</f>
        <v/>
      </c>
      <c r="J84" s="247" t="str">
        <f>IF($B84="","",IF(AND(C84="",F84=""),"",ROUND(SUMIFS('ИТОГО Торговля'!$J$5:$J$300,'ИТОГО Торговля'!$B$5:$B$300,$B84)+SUMIFS('ИТОГО Лэндинг'!$J$5:$J$300,'ИТОГО Лэндинг'!$B$5:$B$300,$B84),8)))</f>
        <v/>
      </c>
      <c r="K84" s="246" t="str">
        <f>IF(MIN(N(C84),N(F84))&lt;=0,"",ROUND(MIN(N(C84),N(F84))*(N(G84)-N(D84)),8))</f>
        <v/>
      </c>
      <c r="L84" s="183" t="str">
        <f>IF(MIN(N(C84),N(F84))&lt;=0,"",IF(N(D84)=0,"",ROUND((N(G84)/N(D84)-1)*100,2)))</f>
        <v/>
      </c>
      <c r="M84" s="183" t="str">
        <f>IF(OR(ROUND(N(C84)-N(F84),8)=0,1-N(Ввод!$J$19)/100&lt;=0),"",IF(N(C84)&gt;N(F84),(N(E84)-N(H84))/((N(C84)-N(F84))*(1-N(Ввод!$J$19)/100)),(N(H84)-N(E84))/((N(F84)-N(C84))*(1+N(Ввод!$J$19)/100))))</f>
        <v/>
      </c>
    </row>
    <row r="85" ht="22" customHeight="1">
      <c r="B85" s="239" t="n"/>
      <c r="C85" s="240" t="str">
        <f>IF($B85="","",IF(SUMIFS('ИТОГО Торговля'!$C$5:$C$300,'ИТОГО Торговля'!$B$5:$B$300,$B85)+SUMIFS('ИТОГО Лэндинг'!$C$5:$C$300,'ИТОГО Лэндинг'!$B$5:$B$300,$B85)=0,"",SUMIFS('ИТОГО Торговля'!$C$5:$C$300,'ИТОГО Торговля'!$B$5:$B$300,$B85)+SUMIFS('ИТОГО Лэндинг'!$C$5:$C$300,'ИТОГО Лэндинг'!$B$5:$B$300,$B85)))</f>
        <v/>
      </c>
      <c r="D85" s="177" t="str">
        <f>IF(C85="","",E85/C85)</f>
        <v/>
      </c>
      <c r="E85" s="241" t="str">
        <f>IF(C85="","",SUMIFS('ИТОГО Торговля'!$E$5:$E$300,'ИТОГО Торговля'!$B$5:$B$300,$B85)+SUMIFS('ИТОГО Лэндинг'!$E$5:$E$300,'ИТОГО Лэндинг'!$B$5:$B$300,$B85))</f>
        <v/>
      </c>
      <c r="F85" s="240" t="str">
        <f>IF($B85="","",IF(SUMIFS('ИТОГО Торговля'!$F$5:$F$300,'ИТОГО Торговля'!$B$5:$B$300,$B85)+SUMIFS('ИТОГО Лэндинг'!$F$5:$F$300,'ИТОГО Лэндинг'!$B$5:$B$300,$B85)=0,"",SUMIFS('ИТОГО Торговля'!$F$5:$F$300,'ИТОГО Торговля'!$B$5:$B$300,$B85)+SUMIFS('ИТОГО Лэндинг'!$F$5:$F$300,'ИТОГО Лэндинг'!$B$5:$B$300,$B85)))</f>
        <v/>
      </c>
      <c r="G85" s="177" t="str">
        <f>IF(F85="","",H85/F85)</f>
        <v/>
      </c>
      <c r="H85" s="241" t="str">
        <f>IF(F85="","",SUMIFS('ИТОГО Торговля'!$H$5:$H$300,'ИТОГО Торговля'!$B$5:$B$300,$B85)+SUMIFS('ИТОГО Лэндинг'!$H$5:$H$300,'ИТОГО Лэндинг'!$B$5:$B$300,$B85))</f>
        <v/>
      </c>
      <c r="I85" s="240" t="str">
        <f>IF($B85="","",IF(AND(C85="",F85=""),"",ROUND(SUMIFS('ИТОГО Торговля'!$I$5:$I$300,'ИТОГО Торговля'!$B$5:$B$300,$B85)+SUMIFS('ИТОГО Лэндинг'!$I$5:$I$300,'ИТОГО Лэндинг'!$B$5:$B$300,$B85),8)))</f>
        <v/>
      </c>
      <c r="J85" s="241" t="str">
        <f>IF($B85="","",IF(AND(C85="",F85=""),"",ROUND(SUMIFS('ИТОГО Торговля'!$J$5:$J$300,'ИТОГО Торговля'!$B$5:$B$300,$B85)+SUMIFS('ИТОГО Лэндинг'!$J$5:$J$300,'ИТОГО Лэндинг'!$B$5:$B$300,$B85),8)))</f>
        <v/>
      </c>
      <c r="K85" s="240" t="str">
        <f>IF(MIN(N(C85),N(F85))&lt;=0,"",ROUND(MIN(N(C85),N(F85))*(N(G85)-N(D85)),8))</f>
        <v/>
      </c>
      <c r="L85" s="177" t="str">
        <f>IF(MIN(N(C85),N(F85))&lt;=0,"",IF(N(D85)=0,"",ROUND((N(G85)/N(D85)-1)*100,2)))</f>
        <v/>
      </c>
      <c r="M85" s="177" t="str">
        <f>IF(OR(ROUND(N(C85)-N(F85),8)=0,1-N(Ввод!$J$19)/100&lt;=0),"",IF(N(C85)&gt;N(F85),(N(E85)-N(H85))/((N(C85)-N(F85))*(1-N(Ввод!$J$19)/100)),(N(H85)-N(E85))/((N(F85)-N(C85))*(1+N(Ввод!$J$19)/100))))</f>
        <v/>
      </c>
    </row>
    <row r="86" ht="22" customHeight="1">
      <c r="B86" s="245" t="n"/>
      <c r="C86" s="246" t="str">
        <f>IF($B86="","",IF(SUMIFS('ИТОГО Торговля'!$C$5:$C$300,'ИТОГО Торговля'!$B$5:$B$300,$B86)+SUMIFS('ИТОГО Лэндинг'!$C$5:$C$300,'ИТОГО Лэндинг'!$B$5:$B$300,$B86)=0,"",SUMIFS('ИТОГО Торговля'!$C$5:$C$300,'ИТОГО Торговля'!$B$5:$B$300,$B86)+SUMIFS('ИТОГО Лэндинг'!$C$5:$C$300,'ИТОГО Лэндинг'!$B$5:$B$300,$B86)))</f>
        <v/>
      </c>
      <c r="D86" s="183" t="str">
        <f>IF(C86="","",E86/C86)</f>
        <v/>
      </c>
      <c r="E86" s="247" t="str">
        <f>IF(C86="","",SUMIFS('ИТОГО Торговля'!$E$5:$E$300,'ИТОГО Торговля'!$B$5:$B$300,$B86)+SUMIFS('ИТОГО Лэндинг'!$E$5:$E$300,'ИТОГО Лэндинг'!$B$5:$B$300,$B86))</f>
        <v/>
      </c>
      <c r="F86" s="246" t="str">
        <f>IF($B86="","",IF(SUMIFS('ИТОГО Торговля'!$F$5:$F$300,'ИТОГО Торговля'!$B$5:$B$300,$B86)+SUMIFS('ИТОГО Лэндинг'!$F$5:$F$300,'ИТОГО Лэндинг'!$B$5:$B$300,$B86)=0,"",SUMIFS('ИТОГО Торговля'!$F$5:$F$300,'ИТОГО Торговля'!$B$5:$B$300,$B86)+SUMIFS('ИТОГО Лэндинг'!$F$5:$F$300,'ИТОГО Лэндинг'!$B$5:$B$300,$B86)))</f>
        <v/>
      </c>
      <c r="G86" s="183" t="str">
        <f>IF(F86="","",H86/F86)</f>
        <v/>
      </c>
      <c r="H86" s="247" t="str">
        <f>IF(F86="","",SUMIFS('ИТОГО Торговля'!$H$5:$H$300,'ИТОГО Торговля'!$B$5:$B$300,$B86)+SUMIFS('ИТОГО Лэндинг'!$H$5:$H$300,'ИТОГО Лэндинг'!$B$5:$B$300,$B86))</f>
        <v/>
      </c>
      <c r="I86" s="246" t="str">
        <f>IF($B86="","",IF(AND(C86="",F86=""),"",ROUND(SUMIFS('ИТОГО Торговля'!$I$5:$I$300,'ИТОГО Торговля'!$B$5:$B$300,$B86)+SUMIFS('ИТОГО Лэндинг'!$I$5:$I$300,'ИТОГО Лэндинг'!$B$5:$B$300,$B86),8)))</f>
        <v/>
      </c>
      <c r="J86" s="247" t="str">
        <f>IF($B86="","",IF(AND(C86="",F86=""),"",ROUND(SUMIFS('ИТОГО Торговля'!$J$5:$J$300,'ИТОГО Торговля'!$B$5:$B$300,$B86)+SUMIFS('ИТОГО Лэндинг'!$J$5:$J$300,'ИТОГО Лэндинг'!$B$5:$B$300,$B86),8)))</f>
        <v/>
      </c>
      <c r="K86" s="246" t="str">
        <f>IF(MIN(N(C86),N(F86))&lt;=0,"",ROUND(MIN(N(C86),N(F86))*(N(G86)-N(D86)),8))</f>
        <v/>
      </c>
      <c r="L86" s="183" t="str">
        <f>IF(MIN(N(C86),N(F86))&lt;=0,"",IF(N(D86)=0,"",ROUND((N(G86)/N(D86)-1)*100,2)))</f>
        <v/>
      </c>
      <c r="M86" s="183" t="str">
        <f>IF(OR(ROUND(N(C86)-N(F86),8)=0,1-N(Ввод!$J$19)/100&lt;=0),"",IF(N(C86)&gt;N(F86),(N(E86)-N(H86))/((N(C86)-N(F86))*(1-N(Ввод!$J$19)/100)),(N(H86)-N(E86))/((N(F86)-N(C86))*(1+N(Ввод!$J$19)/100))))</f>
        <v/>
      </c>
    </row>
    <row r="87" ht="22" customHeight="1">
      <c r="B87" s="239" t="n"/>
      <c r="C87" s="240" t="str">
        <f>IF($B87="","",IF(SUMIFS('ИТОГО Торговля'!$C$5:$C$300,'ИТОГО Торговля'!$B$5:$B$300,$B87)+SUMIFS('ИТОГО Лэндинг'!$C$5:$C$300,'ИТОГО Лэндинг'!$B$5:$B$300,$B87)=0,"",SUMIFS('ИТОГО Торговля'!$C$5:$C$300,'ИТОГО Торговля'!$B$5:$B$300,$B87)+SUMIFS('ИТОГО Лэндинг'!$C$5:$C$300,'ИТОГО Лэндинг'!$B$5:$B$300,$B87)))</f>
        <v/>
      </c>
      <c r="D87" s="177" t="str">
        <f>IF(C87="","",E87/C87)</f>
        <v/>
      </c>
      <c r="E87" s="241" t="str">
        <f>IF(C87="","",SUMIFS('ИТОГО Торговля'!$E$5:$E$300,'ИТОГО Торговля'!$B$5:$B$300,$B87)+SUMIFS('ИТОГО Лэндинг'!$E$5:$E$300,'ИТОГО Лэндинг'!$B$5:$B$300,$B87))</f>
        <v/>
      </c>
      <c r="F87" s="240" t="str">
        <f>IF($B87="","",IF(SUMIFS('ИТОГО Торговля'!$F$5:$F$300,'ИТОГО Торговля'!$B$5:$B$300,$B87)+SUMIFS('ИТОГО Лэндинг'!$F$5:$F$300,'ИТОГО Лэндинг'!$B$5:$B$300,$B87)=0,"",SUMIFS('ИТОГО Торговля'!$F$5:$F$300,'ИТОГО Торговля'!$B$5:$B$300,$B87)+SUMIFS('ИТОГО Лэндинг'!$F$5:$F$300,'ИТОГО Лэндинг'!$B$5:$B$300,$B87)))</f>
        <v/>
      </c>
      <c r="G87" s="177" t="str">
        <f>IF(F87="","",H87/F87)</f>
        <v/>
      </c>
      <c r="H87" s="241" t="str">
        <f>IF(F87="","",SUMIFS('ИТОГО Торговля'!$H$5:$H$300,'ИТОГО Торговля'!$B$5:$B$300,$B87)+SUMIFS('ИТОГО Лэндинг'!$H$5:$H$300,'ИТОГО Лэндинг'!$B$5:$B$300,$B87))</f>
        <v/>
      </c>
      <c r="I87" s="240" t="str">
        <f>IF($B87="","",IF(AND(C87="",F87=""),"",ROUND(SUMIFS('ИТОГО Торговля'!$I$5:$I$300,'ИТОГО Торговля'!$B$5:$B$300,$B87)+SUMIFS('ИТОГО Лэндинг'!$I$5:$I$300,'ИТОГО Лэндинг'!$B$5:$B$300,$B87),8)))</f>
        <v/>
      </c>
      <c r="J87" s="241" t="str">
        <f>IF($B87="","",IF(AND(C87="",F87=""),"",ROUND(SUMIFS('ИТОГО Торговля'!$J$5:$J$300,'ИТОГО Торговля'!$B$5:$B$300,$B87)+SUMIFS('ИТОГО Лэндинг'!$J$5:$J$300,'ИТОГО Лэндинг'!$B$5:$B$300,$B87),8)))</f>
        <v/>
      </c>
      <c r="K87" s="240" t="str">
        <f>IF(MIN(N(C87),N(F87))&lt;=0,"",ROUND(MIN(N(C87),N(F87))*(N(G87)-N(D87)),8))</f>
        <v/>
      </c>
      <c r="L87" s="177" t="str">
        <f>IF(MIN(N(C87),N(F87))&lt;=0,"",IF(N(D87)=0,"",ROUND((N(G87)/N(D87)-1)*100,2)))</f>
        <v/>
      </c>
      <c r="M87" s="177" t="str">
        <f>IF(OR(ROUND(N(C87)-N(F87),8)=0,1-N(Ввод!$J$19)/100&lt;=0),"",IF(N(C87)&gt;N(F87),(N(E87)-N(H87))/((N(C87)-N(F87))*(1-N(Ввод!$J$19)/100)),(N(H87)-N(E87))/((N(F87)-N(C87))*(1+N(Ввод!$J$19)/100))))</f>
        <v/>
      </c>
    </row>
    <row r="88" ht="22" customHeight="1">
      <c r="B88" s="245" t="n"/>
      <c r="C88" s="246" t="str">
        <f>IF($B88="","",IF(SUMIFS('ИТОГО Торговля'!$C$5:$C$300,'ИТОГО Торговля'!$B$5:$B$300,$B88)+SUMIFS('ИТОГО Лэндинг'!$C$5:$C$300,'ИТОГО Лэндинг'!$B$5:$B$300,$B88)=0,"",SUMIFS('ИТОГО Торговля'!$C$5:$C$300,'ИТОГО Торговля'!$B$5:$B$300,$B88)+SUMIFS('ИТОГО Лэндинг'!$C$5:$C$300,'ИТОГО Лэндинг'!$B$5:$B$300,$B88)))</f>
        <v/>
      </c>
      <c r="D88" s="183" t="str">
        <f>IF(C88="","",E88/C88)</f>
        <v/>
      </c>
      <c r="E88" s="247" t="str">
        <f>IF(C88="","",SUMIFS('ИТОГО Торговля'!$E$5:$E$300,'ИТОГО Торговля'!$B$5:$B$300,$B88)+SUMIFS('ИТОГО Лэндинг'!$E$5:$E$300,'ИТОГО Лэндинг'!$B$5:$B$300,$B88))</f>
        <v/>
      </c>
      <c r="F88" s="246" t="str">
        <f>IF($B88="","",IF(SUMIFS('ИТОГО Торговля'!$F$5:$F$300,'ИТОГО Торговля'!$B$5:$B$300,$B88)+SUMIFS('ИТОГО Лэндинг'!$F$5:$F$300,'ИТОГО Лэндинг'!$B$5:$B$300,$B88)=0,"",SUMIFS('ИТОГО Торговля'!$F$5:$F$300,'ИТОГО Торговля'!$B$5:$B$300,$B88)+SUMIFS('ИТОГО Лэндинг'!$F$5:$F$300,'ИТОГО Лэндинг'!$B$5:$B$300,$B88)))</f>
        <v/>
      </c>
      <c r="G88" s="183" t="str">
        <f>IF(F88="","",H88/F88)</f>
        <v/>
      </c>
      <c r="H88" s="247" t="str">
        <f>IF(F88="","",SUMIFS('ИТОГО Торговля'!$H$5:$H$300,'ИТОГО Торговля'!$B$5:$B$300,$B88)+SUMIFS('ИТОГО Лэндинг'!$H$5:$H$300,'ИТОГО Лэндинг'!$B$5:$B$300,$B88))</f>
        <v/>
      </c>
      <c r="I88" s="246" t="str">
        <f>IF($B88="","",IF(AND(C88="",F88=""),"",ROUND(SUMIFS('ИТОГО Торговля'!$I$5:$I$300,'ИТОГО Торговля'!$B$5:$B$300,$B88)+SUMIFS('ИТОГО Лэндинг'!$I$5:$I$300,'ИТОГО Лэндинг'!$B$5:$B$300,$B88),8)))</f>
        <v/>
      </c>
      <c r="J88" s="247" t="str">
        <f>IF($B88="","",IF(AND(C88="",F88=""),"",ROUND(SUMIFS('ИТОГО Торговля'!$J$5:$J$300,'ИТОГО Торговля'!$B$5:$B$300,$B88)+SUMIFS('ИТОГО Лэндинг'!$J$5:$J$300,'ИТОГО Лэндинг'!$B$5:$B$300,$B88),8)))</f>
        <v/>
      </c>
      <c r="K88" s="246" t="str">
        <f>IF(MIN(N(C88),N(F88))&lt;=0,"",ROUND(MIN(N(C88),N(F88))*(N(G88)-N(D88)),8))</f>
        <v/>
      </c>
      <c r="L88" s="183" t="str">
        <f>IF(MIN(N(C88),N(F88))&lt;=0,"",IF(N(D88)=0,"",ROUND((N(G88)/N(D88)-1)*100,2)))</f>
        <v/>
      </c>
      <c r="M88" s="183" t="str">
        <f>IF(OR(ROUND(N(C88)-N(F88),8)=0,1-N(Ввод!$J$19)/100&lt;=0),"",IF(N(C88)&gt;N(F88),(N(E88)-N(H88))/((N(C88)-N(F88))*(1-N(Ввод!$J$19)/100)),(N(H88)-N(E88))/((N(F88)-N(C88))*(1+N(Ввод!$J$19)/100))))</f>
        <v/>
      </c>
    </row>
    <row r="89" ht="22" customHeight="1">
      <c r="B89" s="239" t="n"/>
      <c r="C89" s="240" t="str">
        <f>IF($B89="","",IF(SUMIFS('ИТОГО Торговля'!$C$5:$C$300,'ИТОГО Торговля'!$B$5:$B$300,$B89)+SUMIFS('ИТОГО Лэндинг'!$C$5:$C$300,'ИТОГО Лэндинг'!$B$5:$B$300,$B89)=0,"",SUMIFS('ИТОГО Торговля'!$C$5:$C$300,'ИТОГО Торговля'!$B$5:$B$300,$B89)+SUMIFS('ИТОГО Лэндинг'!$C$5:$C$300,'ИТОГО Лэндинг'!$B$5:$B$300,$B89)))</f>
        <v/>
      </c>
      <c r="D89" s="177" t="str">
        <f>IF(C89="","",E89/C89)</f>
        <v/>
      </c>
      <c r="E89" s="241" t="str">
        <f>IF(C89="","",SUMIFS('ИТОГО Торговля'!$E$5:$E$300,'ИТОГО Торговля'!$B$5:$B$300,$B89)+SUMIFS('ИТОГО Лэндинг'!$E$5:$E$300,'ИТОГО Лэндинг'!$B$5:$B$300,$B89))</f>
        <v/>
      </c>
      <c r="F89" s="240" t="str">
        <f>IF($B89="","",IF(SUMIFS('ИТОГО Торговля'!$F$5:$F$300,'ИТОГО Торговля'!$B$5:$B$300,$B89)+SUMIFS('ИТОГО Лэндинг'!$F$5:$F$300,'ИТОГО Лэндинг'!$B$5:$B$300,$B89)=0,"",SUMIFS('ИТОГО Торговля'!$F$5:$F$300,'ИТОГО Торговля'!$B$5:$B$300,$B89)+SUMIFS('ИТОГО Лэндинг'!$F$5:$F$300,'ИТОГО Лэндинг'!$B$5:$B$300,$B89)))</f>
        <v/>
      </c>
      <c r="G89" s="177" t="str">
        <f>IF(F89="","",H89/F89)</f>
        <v/>
      </c>
      <c r="H89" s="241" t="str">
        <f>IF(F89="","",SUMIFS('ИТОГО Торговля'!$H$5:$H$300,'ИТОГО Торговля'!$B$5:$B$300,$B89)+SUMIFS('ИТОГО Лэндинг'!$H$5:$H$300,'ИТОГО Лэндинг'!$B$5:$B$300,$B89))</f>
        <v/>
      </c>
      <c r="I89" s="240" t="str">
        <f>IF($B89="","",IF(AND(C89="",F89=""),"",ROUND(SUMIFS('ИТОГО Торговля'!$I$5:$I$300,'ИТОГО Торговля'!$B$5:$B$300,$B89)+SUMIFS('ИТОГО Лэндинг'!$I$5:$I$300,'ИТОГО Лэндинг'!$B$5:$B$300,$B89),8)))</f>
        <v/>
      </c>
      <c r="J89" s="241" t="str">
        <f>IF($B89="","",IF(AND(C89="",F89=""),"",ROUND(SUMIFS('ИТОГО Торговля'!$J$5:$J$300,'ИТОГО Торговля'!$B$5:$B$300,$B89)+SUMIFS('ИТОГО Лэндинг'!$J$5:$J$300,'ИТОГО Лэндинг'!$B$5:$B$300,$B89),8)))</f>
        <v/>
      </c>
      <c r="K89" s="240" t="str">
        <f>IF(MIN(N(C89),N(F89))&lt;=0,"",ROUND(MIN(N(C89),N(F89))*(N(G89)-N(D89)),8))</f>
        <v/>
      </c>
      <c r="L89" s="177" t="str">
        <f>IF(MIN(N(C89),N(F89))&lt;=0,"",IF(N(D89)=0,"",ROUND((N(G89)/N(D89)-1)*100,2)))</f>
        <v/>
      </c>
      <c r="M89" s="177" t="str">
        <f>IF(OR(ROUND(N(C89)-N(F89),8)=0,1-N(Ввод!$J$19)/100&lt;=0),"",IF(N(C89)&gt;N(F89),(N(E89)-N(H89))/((N(C89)-N(F89))*(1-N(Ввод!$J$19)/100)),(N(H89)-N(E89))/((N(F89)-N(C89))*(1+N(Ввод!$J$19)/100))))</f>
        <v/>
      </c>
    </row>
    <row r="90" ht="22" customHeight="1">
      <c r="B90" s="245" t="n"/>
      <c r="C90" s="246" t="str">
        <f>IF($B90="","",IF(SUMIFS('ИТОГО Торговля'!$C$5:$C$300,'ИТОГО Торговля'!$B$5:$B$300,$B90)+SUMIFS('ИТОГО Лэндинг'!$C$5:$C$300,'ИТОГО Лэндинг'!$B$5:$B$300,$B90)=0,"",SUMIFS('ИТОГО Торговля'!$C$5:$C$300,'ИТОГО Торговля'!$B$5:$B$300,$B90)+SUMIFS('ИТОГО Лэндинг'!$C$5:$C$300,'ИТОГО Лэндинг'!$B$5:$B$300,$B90)))</f>
        <v/>
      </c>
      <c r="D90" s="183" t="str">
        <f>IF(C90="","",E90/C90)</f>
        <v/>
      </c>
      <c r="E90" s="247" t="str">
        <f>IF(C90="","",SUMIFS('ИТОГО Торговля'!$E$5:$E$300,'ИТОГО Торговля'!$B$5:$B$300,$B90)+SUMIFS('ИТОГО Лэндинг'!$E$5:$E$300,'ИТОГО Лэндинг'!$B$5:$B$300,$B90))</f>
        <v/>
      </c>
      <c r="F90" s="246" t="str">
        <f>IF($B90="","",IF(SUMIFS('ИТОГО Торговля'!$F$5:$F$300,'ИТОГО Торговля'!$B$5:$B$300,$B90)+SUMIFS('ИТОГО Лэндинг'!$F$5:$F$300,'ИТОГО Лэндинг'!$B$5:$B$300,$B90)=0,"",SUMIFS('ИТОГО Торговля'!$F$5:$F$300,'ИТОГО Торговля'!$B$5:$B$300,$B90)+SUMIFS('ИТОГО Лэндинг'!$F$5:$F$300,'ИТОГО Лэндинг'!$B$5:$B$300,$B90)))</f>
        <v/>
      </c>
      <c r="G90" s="183" t="str">
        <f>IF(F90="","",H90/F90)</f>
        <v/>
      </c>
      <c r="H90" s="247" t="str">
        <f>IF(F90="","",SUMIFS('ИТОГО Торговля'!$H$5:$H$300,'ИТОГО Торговля'!$B$5:$B$300,$B90)+SUMIFS('ИТОГО Лэндинг'!$H$5:$H$300,'ИТОГО Лэндинг'!$B$5:$B$300,$B90))</f>
        <v/>
      </c>
      <c r="I90" s="246" t="str">
        <f>IF($B90="","",IF(AND(C90="",F90=""),"",ROUND(SUMIFS('ИТОГО Торговля'!$I$5:$I$300,'ИТОГО Торговля'!$B$5:$B$300,$B90)+SUMIFS('ИТОГО Лэндинг'!$I$5:$I$300,'ИТОГО Лэндинг'!$B$5:$B$300,$B90),8)))</f>
        <v/>
      </c>
      <c r="J90" s="247" t="str">
        <f>IF($B90="","",IF(AND(C90="",F90=""),"",ROUND(SUMIFS('ИТОГО Торговля'!$J$5:$J$300,'ИТОГО Торговля'!$B$5:$B$300,$B90)+SUMIFS('ИТОГО Лэндинг'!$J$5:$J$300,'ИТОГО Лэндинг'!$B$5:$B$300,$B90),8)))</f>
        <v/>
      </c>
      <c r="K90" s="246" t="str">
        <f>IF(MIN(N(C90),N(F90))&lt;=0,"",ROUND(MIN(N(C90),N(F90))*(N(G90)-N(D90)),8))</f>
        <v/>
      </c>
      <c r="L90" s="183" t="str">
        <f>IF(MIN(N(C90),N(F90))&lt;=0,"",IF(N(D90)=0,"",ROUND((N(G90)/N(D90)-1)*100,2)))</f>
        <v/>
      </c>
      <c r="M90" s="183" t="str">
        <f>IF(OR(ROUND(N(C90)-N(F90),8)=0,1-N(Ввод!$J$19)/100&lt;=0),"",IF(N(C90)&gt;N(F90),(N(E90)-N(H90))/((N(C90)-N(F90))*(1-N(Ввод!$J$19)/100)),(N(H90)-N(E90))/((N(F90)-N(C90))*(1+N(Ввод!$J$19)/100))))</f>
        <v/>
      </c>
    </row>
    <row r="91" ht="22" customHeight="1">
      <c r="B91" s="239" t="n"/>
      <c r="C91" s="240" t="str">
        <f>IF($B91="","",IF(SUMIFS('ИТОГО Торговля'!$C$5:$C$300,'ИТОГО Торговля'!$B$5:$B$300,$B91)+SUMIFS('ИТОГО Лэндинг'!$C$5:$C$300,'ИТОГО Лэндинг'!$B$5:$B$300,$B91)=0,"",SUMIFS('ИТОГО Торговля'!$C$5:$C$300,'ИТОГО Торговля'!$B$5:$B$300,$B91)+SUMIFS('ИТОГО Лэндинг'!$C$5:$C$300,'ИТОГО Лэндинг'!$B$5:$B$300,$B91)))</f>
        <v/>
      </c>
      <c r="D91" s="177" t="str">
        <f>IF(C91="","",E91/C91)</f>
        <v/>
      </c>
      <c r="E91" s="241" t="str">
        <f>IF(C91="","",SUMIFS('ИТОГО Торговля'!$E$5:$E$300,'ИТОГО Торговля'!$B$5:$B$300,$B91)+SUMIFS('ИТОГО Лэндинг'!$E$5:$E$300,'ИТОГО Лэндинг'!$B$5:$B$300,$B91))</f>
        <v/>
      </c>
      <c r="F91" s="240" t="str">
        <f>IF($B91="","",IF(SUMIFS('ИТОГО Торговля'!$F$5:$F$300,'ИТОГО Торговля'!$B$5:$B$300,$B91)+SUMIFS('ИТОГО Лэндинг'!$F$5:$F$300,'ИТОГО Лэндинг'!$B$5:$B$300,$B91)=0,"",SUMIFS('ИТОГО Торговля'!$F$5:$F$300,'ИТОГО Торговля'!$B$5:$B$300,$B91)+SUMIFS('ИТОГО Лэндинг'!$F$5:$F$300,'ИТОГО Лэндинг'!$B$5:$B$300,$B91)))</f>
        <v/>
      </c>
      <c r="G91" s="177" t="str">
        <f>IF(F91="","",H91/F91)</f>
        <v/>
      </c>
      <c r="H91" s="241" t="str">
        <f>IF(F91="","",SUMIFS('ИТОГО Торговля'!$H$5:$H$300,'ИТОГО Торговля'!$B$5:$B$300,$B91)+SUMIFS('ИТОГО Лэндинг'!$H$5:$H$300,'ИТОГО Лэндинг'!$B$5:$B$300,$B91))</f>
        <v/>
      </c>
      <c r="I91" s="240" t="str">
        <f>IF($B91="","",IF(AND(C91="",F91=""),"",ROUND(SUMIFS('ИТОГО Торговля'!$I$5:$I$300,'ИТОГО Торговля'!$B$5:$B$300,$B91)+SUMIFS('ИТОГО Лэндинг'!$I$5:$I$300,'ИТОГО Лэндинг'!$B$5:$B$300,$B91),8)))</f>
        <v/>
      </c>
      <c r="J91" s="241" t="str">
        <f>IF($B91="","",IF(AND(C91="",F91=""),"",ROUND(SUMIFS('ИТОГО Торговля'!$J$5:$J$300,'ИТОГО Торговля'!$B$5:$B$300,$B91)+SUMIFS('ИТОГО Лэндинг'!$J$5:$J$300,'ИТОГО Лэндинг'!$B$5:$B$300,$B91),8)))</f>
        <v/>
      </c>
      <c r="K91" s="240" t="str">
        <f>IF(MIN(N(C91),N(F91))&lt;=0,"",ROUND(MIN(N(C91),N(F91))*(N(G91)-N(D91)),8))</f>
        <v/>
      </c>
      <c r="L91" s="177" t="str">
        <f>IF(MIN(N(C91),N(F91))&lt;=0,"",IF(N(D91)=0,"",ROUND((N(G91)/N(D91)-1)*100,2)))</f>
        <v/>
      </c>
      <c r="M91" s="177" t="str">
        <f>IF(OR(ROUND(N(C91)-N(F91),8)=0,1-N(Ввод!$J$19)/100&lt;=0),"",IF(N(C91)&gt;N(F91),(N(E91)-N(H91))/((N(C91)-N(F91))*(1-N(Ввод!$J$19)/100)),(N(H91)-N(E91))/((N(F91)-N(C91))*(1+N(Ввод!$J$19)/100))))</f>
        <v/>
      </c>
    </row>
    <row r="92" ht="22" customHeight="1">
      <c r="B92" s="245" t="n"/>
      <c r="C92" s="246" t="str">
        <f>IF($B92="","",IF(SUMIFS('ИТОГО Торговля'!$C$5:$C$300,'ИТОГО Торговля'!$B$5:$B$300,$B92)+SUMIFS('ИТОГО Лэндинг'!$C$5:$C$300,'ИТОГО Лэндинг'!$B$5:$B$300,$B92)=0,"",SUMIFS('ИТОГО Торговля'!$C$5:$C$300,'ИТОГО Торговля'!$B$5:$B$300,$B92)+SUMIFS('ИТОГО Лэндинг'!$C$5:$C$300,'ИТОГО Лэндинг'!$B$5:$B$300,$B92)))</f>
        <v/>
      </c>
      <c r="D92" s="183" t="str">
        <f>IF(C92="","",E92/C92)</f>
        <v/>
      </c>
      <c r="E92" s="247" t="str">
        <f>IF(C92="","",SUMIFS('ИТОГО Торговля'!$E$5:$E$300,'ИТОГО Торговля'!$B$5:$B$300,$B92)+SUMIFS('ИТОГО Лэндинг'!$E$5:$E$300,'ИТОГО Лэндинг'!$B$5:$B$300,$B92))</f>
        <v/>
      </c>
      <c r="F92" s="246" t="str">
        <f>IF($B92="","",IF(SUMIFS('ИТОГО Торговля'!$F$5:$F$300,'ИТОГО Торговля'!$B$5:$B$300,$B92)+SUMIFS('ИТОГО Лэндинг'!$F$5:$F$300,'ИТОГО Лэндинг'!$B$5:$B$300,$B92)=0,"",SUMIFS('ИТОГО Торговля'!$F$5:$F$300,'ИТОГО Торговля'!$B$5:$B$300,$B92)+SUMIFS('ИТОГО Лэндинг'!$F$5:$F$300,'ИТОГО Лэндинг'!$B$5:$B$300,$B92)))</f>
        <v/>
      </c>
      <c r="G92" s="183" t="str">
        <f>IF(F92="","",H92/F92)</f>
        <v/>
      </c>
      <c r="H92" s="247" t="str">
        <f>IF(F92="","",SUMIFS('ИТОГО Торговля'!$H$5:$H$300,'ИТОГО Торговля'!$B$5:$B$300,$B92)+SUMIFS('ИТОГО Лэндинг'!$H$5:$H$300,'ИТОГО Лэндинг'!$B$5:$B$300,$B92))</f>
        <v/>
      </c>
      <c r="I92" s="246" t="str">
        <f>IF($B92="","",IF(AND(C92="",F92=""),"",ROUND(SUMIFS('ИТОГО Торговля'!$I$5:$I$300,'ИТОГО Торговля'!$B$5:$B$300,$B92)+SUMIFS('ИТОГО Лэндинг'!$I$5:$I$300,'ИТОГО Лэндинг'!$B$5:$B$300,$B92),8)))</f>
        <v/>
      </c>
      <c r="J92" s="247" t="str">
        <f>IF($B92="","",IF(AND(C92="",F92=""),"",ROUND(SUMIFS('ИТОГО Торговля'!$J$5:$J$300,'ИТОГО Торговля'!$B$5:$B$300,$B92)+SUMIFS('ИТОГО Лэндинг'!$J$5:$J$300,'ИТОГО Лэндинг'!$B$5:$B$300,$B92),8)))</f>
        <v/>
      </c>
      <c r="K92" s="246" t="str">
        <f>IF(MIN(N(C92),N(F92))&lt;=0,"",ROUND(MIN(N(C92),N(F92))*(N(G92)-N(D92)),8))</f>
        <v/>
      </c>
      <c r="L92" s="183" t="str">
        <f>IF(MIN(N(C92),N(F92))&lt;=0,"",IF(N(D92)=0,"",ROUND((N(G92)/N(D92)-1)*100,2)))</f>
        <v/>
      </c>
      <c r="M92" s="183" t="str">
        <f>IF(OR(ROUND(N(C92)-N(F92),8)=0,1-N(Ввод!$J$19)/100&lt;=0),"",IF(N(C92)&gt;N(F92),(N(E92)-N(H92))/((N(C92)-N(F92))*(1-N(Ввод!$J$19)/100)),(N(H92)-N(E92))/((N(F92)-N(C92))*(1+N(Ввод!$J$19)/100))))</f>
        <v/>
      </c>
    </row>
    <row r="93" ht="22" customHeight="1">
      <c r="B93" s="239" t="n"/>
      <c r="C93" s="240" t="str">
        <f>IF($B93="","",IF(SUMIFS('ИТОГО Торговля'!$C$5:$C$300,'ИТОГО Торговля'!$B$5:$B$300,$B93)+SUMIFS('ИТОГО Лэндинг'!$C$5:$C$300,'ИТОГО Лэндинг'!$B$5:$B$300,$B93)=0,"",SUMIFS('ИТОГО Торговля'!$C$5:$C$300,'ИТОГО Торговля'!$B$5:$B$300,$B93)+SUMIFS('ИТОГО Лэндинг'!$C$5:$C$300,'ИТОГО Лэндинг'!$B$5:$B$300,$B93)))</f>
        <v/>
      </c>
      <c r="D93" s="177" t="str">
        <f>IF(C93="","",E93/C93)</f>
        <v/>
      </c>
      <c r="E93" s="241" t="str">
        <f>IF(C93="","",SUMIFS('ИТОГО Торговля'!$E$5:$E$300,'ИТОГО Торговля'!$B$5:$B$300,$B93)+SUMIFS('ИТОГО Лэндинг'!$E$5:$E$300,'ИТОГО Лэндинг'!$B$5:$B$300,$B93))</f>
        <v/>
      </c>
      <c r="F93" s="240" t="str">
        <f>IF($B93="","",IF(SUMIFS('ИТОГО Торговля'!$F$5:$F$300,'ИТОГО Торговля'!$B$5:$B$300,$B93)+SUMIFS('ИТОГО Лэндинг'!$F$5:$F$300,'ИТОГО Лэндинг'!$B$5:$B$300,$B93)=0,"",SUMIFS('ИТОГО Торговля'!$F$5:$F$300,'ИТОГО Торговля'!$B$5:$B$300,$B93)+SUMIFS('ИТОГО Лэндинг'!$F$5:$F$300,'ИТОГО Лэндинг'!$B$5:$B$300,$B93)))</f>
        <v/>
      </c>
      <c r="G93" s="177" t="str">
        <f>IF(F93="","",H93/F93)</f>
        <v/>
      </c>
      <c r="H93" s="241" t="str">
        <f>IF(F93="","",SUMIFS('ИТОГО Торговля'!$H$5:$H$300,'ИТОГО Торговля'!$B$5:$B$300,$B93)+SUMIFS('ИТОГО Лэндинг'!$H$5:$H$300,'ИТОГО Лэндинг'!$B$5:$B$300,$B93))</f>
        <v/>
      </c>
      <c r="I93" s="240" t="str">
        <f>IF($B93="","",IF(AND(C93="",F93=""),"",ROUND(SUMIFS('ИТОГО Торговля'!$I$5:$I$300,'ИТОГО Торговля'!$B$5:$B$300,$B93)+SUMIFS('ИТОГО Лэндинг'!$I$5:$I$300,'ИТОГО Лэндинг'!$B$5:$B$300,$B93),8)))</f>
        <v/>
      </c>
      <c r="J93" s="241" t="str">
        <f>IF($B93="","",IF(AND(C93="",F93=""),"",ROUND(SUMIFS('ИТОГО Торговля'!$J$5:$J$300,'ИТОГО Торговля'!$B$5:$B$300,$B93)+SUMIFS('ИТОГО Лэндинг'!$J$5:$J$300,'ИТОГО Лэндинг'!$B$5:$B$300,$B93),8)))</f>
        <v/>
      </c>
      <c r="K93" s="240" t="str">
        <f>IF(MIN(N(C93),N(F93))&lt;=0,"",ROUND(MIN(N(C93),N(F93))*(N(G93)-N(D93)),8))</f>
        <v/>
      </c>
      <c r="L93" s="177" t="str">
        <f>IF(MIN(N(C93),N(F93))&lt;=0,"",IF(N(D93)=0,"",ROUND((N(G93)/N(D93)-1)*100,2)))</f>
        <v/>
      </c>
      <c r="M93" s="177" t="str">
        <f>IF(OR(ROUND(N(C93)-N(F93),8)=0,1-N(Ввод!$J$19)/100&lt;=0),"",IF(N(C93)&gt;N(F93),(N(E93)-N(H93))/((N(C93)-N(F93))*(1-N(Ввод!$J$19)/100)),(N(H93)-N(E93))/((N(F93)-N(C93))*(1+N(Ввод!$J$19)/100))))</f>
        <v/>
      </c>
    </row>
    <row r="94" ht="22" customHeight="1">
      <c r="B94" s="245" t="n"/>
      <c r="C94" s="246" t="str">
        <f>IF($B94="","",IF(SUMIFS('ИТОГО Торговля'!$C$5:$C$300,'ИТОГО Торговля'!$B$5:$B$300,$B94)+SUMIFS('ИТОГО Лэндинг'!$C$5:$C$300,'ИТОГО Лэндинг'!$B$5:$B$300,$B94)=0,"",SUMIFS('ИТОГО Торговля'!$C$5:$C$300,'ИТОГО Торговля'!$B$5:$B$300,$B94)+SUMIFS('ИТОГО Лэндинг'!$C$5:$C$300,'ИТОГО Лэндинг'!$B$5:$B$300,$B94)))</f>
        <v/>
      </c>
      <c r="D94" s="183" t="str">
        <f>IF(C94="","",E94/C94)</f>
        <v/>
      </c>
      <c r="E94" s="247" t="str">
        <f>IF(C94="","",SUMIFS('ИТОГО Торговля'!$E$5:$E$300,'ИТОГО Торговля'!$B$5:$B$300,$B94)+SUMIFS('ИТОГО Лэндинг'!$E$5:$E$300,'ИТОГО Лэндинг'!$B$5:$B$300,$B94))</f>
        <v/>
      </c>
      <c r="F94" s="246" t="str">
        <f>IF($B94="","",IF(SUMIFS('ИТОГО Торговля'!$F$5:$F$300,'ИТОГО Торговля'!$B$5:$B$300,$B94)+SUMIFS('ИТОГО Лэндинг'!$F$5:$F$300,'ИТОГО Лэндинг'!$B$5:$B$300,$B94)=0,"",SUMIFS('ИТОГО Торговля'!$F$5:$F$300,'ИТОГО Торговля'!$B$5:$B$300,$B94)+SUMIFS('ИТОГО Лэндинг'!$F$5:$F$300,'ИТОГО Лэндинг'!$B$5:$B$300,$B94)))</f>
        <v/>
      </c>
      <c r="G94" s="183" t="str">
        <f>IF(F94="","",H94/F94)</f>
        <v/>
      </c>
      <c r="H94" s="247" t="str">
        <f>IF(F94="","",SUMIFS('ИТОГО Торговля'!$H$5:$H$300,'ИТОГО Торговля'!$B$5:$B$300,$B94)+SUMIFS('ИТОГО Лэндинг'!$H$5:$H$300,'ИТОГО Лэндинг'!$B$5:$B$300,$B94))</f>
        <v/>
      </c>
      <c r="I94" s="246" t="str">
        <f>IF($B94="","",IF(AND(C94="",F94=""),"",ROUND(SUMIFS('ИТОГО Торговля'!$I$5:$I$300,'ИТОГО Торговля'!$B$5:$B$300,$B94)+SUMIFS('ИТОГО Лэндинг'!$I$5:$I$300,'ИТОГО Лэндинг'!$B$5:$B$300,$B94),8)))</f>
        <v/>
      </c>
      <c r="J94" s="247" t="str">
        <f>IF($B94="","",IF(AND(C94="",F94=""),"",ROUND(SUMIFS('ИТОГО Торговля'!$J$5:$J$300,'ИТОГО Торговля'!$B$5:$B$300,$B94)+SUMIFS('ИТОГО Лэндинг'!$J$5:$J$300,'ИТОГО Лэндинг'!$B$5:$B$300,$B94),8)))</f>
        <v/>
      </c>
      <c r="K94" s="246" t="str">
        <f>IF(MIN(N(C94),N(F94))&lt;=0,"",ROUND(MIN(N(C94),N(F94))*(N(G94)-N(D94)),8))</f>
        <v/>
      </c>
      <c r="L94" s="183" t="str">
        <f>IF(MIN(N(C94),N(F94))&lt;=0,"",IF(N(D94)=0,"",ROUND((N(G94)/N(D94)-1)*100,2)))</f>
        <v/>
      </c>
      <c r="M94" s="183" t="str">
        <f>IF(OR(ROUND(N(C94)-N(F94),8)=0,1-N(Ввод!$J$19)/100&lt;=0),"",IF(N(C94)&gt;N(F94),(N(E94)-N(H94))/((N(C94)-N(F94))*(1-N(Ввод!$J$19)/100)),(N(H94)-N(E94))/((N(F94)-N(C94))*(1+N(Ввод!$J$19)/100))))</f>
        <v/>
      </c>
    </row>
    <row r="95" ht="22" customHeight="1">
      <c r="B95" s="239" t="n"/>
      <c r="C95" s="240" t="str">
        <f>IF($B95="","",IF(SUMIFS('ИТОГО Торговля'!$C$5:$C$300,'ИТОГО Торговля'!$B$5:$B$300,$B95)+SUMIFS('ИТОГО Лэндинг'!$C$5:$C$300,'ИТОГО Лэндинг'!$B$5:$B$300,$B95)=0,"",SUMIFS('ИТОГО Торговля'!$C$5:$C$300,'ИТОГО Торговля'!$B$5:$B$300,$B95)+SUMIFS('ИТОГО Лэндинг'!$C$5:$C$300,'ИТОГО Лэндинг'!$B$5:$B$300,$B95)))</f>
        <v/>
      </c>
      <c r="D95" s="177" t="str">
        <f>IF(C95="","",E95/C95)</f>
        <v/>
      </c>
      <c r="E95" s="241" t="str">
        <f>IF(C95="","",SUMIFS('ИТОГО Торговля'!$E$5:$E$300,'ИТОГО Торговля'!$B$5:$B$300,$B95)+SUMIFS('ИТОГО Лэндинг'!$E$5:$E$300,'ИТОГО Лэндинг'!$B$5:$B$300,$B95))</f>
        <v/>
      </c>
      <c r="F95" s="240" t="str">
        <f>IF($B95="","",IF(SUMIFS('ИТОГО Торговля'!$F$5:$F$300,'ИТОГО Торговля'!$B$5:$B$300,$B95)+SUMIFS('ИТОГО Лэндинг'!$F$5:$F$300,'ИТОГО Лэндинг'!$B$5:$B$300,$B95)=0,"",SUMIFS('ИТОГО Торговля'!$F$5:$F$300,'ИТОГО Торговля'!$B$5:$B$300,$B95)+SUMIFS('ИТОГО Лэндинг'!$F$5:$F$300,'ИТОГО Лэндинг'!$B$5:$B$300,$B95)))</f>
        <v/>
      </c>
      <c r="G95" s="177" t="str">
        <f>IF(F95="","",H95/F95)</f>
        <v/>
      </c>
      <c r="H95" s="241" t="str">
        <f>IF(F95="","",SUMIFS('ИТОГО Торговля'!$H$5:$H$300,'ИТОГО Торговля'!$B$5:$B$300,$B95)+SUMIFS('ИТОГО Лэндинг'!$H$5:$H$300,'ИТОГО Лэндинг'!$B$5:$B$300,$B95))</f>
        <v/>
      </c>
      <c r="I95" s="240" t="str">
        <f>IF($B95="","",IF(AND(C95="",F95=""),"",ROUND(SUMIFS('ИТОГО Торговля'!$I$5:$I$300,'ИТОГО Торговля'!$B$5:$B$300,$B95)+SUMIFS('ИТОГО Лэндинг'!$I$5:$I$300,'ИТОГО Лэндинг'!$B$5:$B$300,$B95),8)))</f>
        <v/>
      </c>
      <c r="J95" s="241" t="str">
        <f>IF($B95="","",IF(AND(C95="",F95=""),"",ROUND(SUMIFS('ИТОГО Торговля'!$J$5:$J$300,'ИТОГО Торговля'!$B$5:$B$300,$B95)+SUMIFS('ИТОГО Лэндинг'!$J$5:$J$300,'ИТОГО Лэндинг'!$B$5:$B$300,$B95),8)))</f>
        <v/>
      </c>
      <c r="K95" s="240" t="str">
        <f>IF(MIN(N(C95),N(F95))&lt;=0,"",ROUND(MIN(N(C95),N(F95))*(N(G95)-N(D95)),8))</f>
        <v/>
      </c>
      <c r="L95" s="177" t="str">
        <f>IF(MIN(N(C95),N(F95))&lt;=0,"",IF(N(D95)=0,"",ROUND((N(G95)/N(D95)-1)*100,2)))</f>
        <v/>
      </c>
      <c r="M95" s="177" t="str">
        <f>IF(OR(ROUND(N(C95)-N(F95),8)=0,1-N(Ввод!$J$19)/100&lt;=0),"",IF(N(C95)&gt;N(F95),(N(E95)-N(H95))/((N(C95)-N(F95))*(1-N(Ввод!$J$19)/100)),(N(H95)-N(E95))/((N(F95)-N(C95))*(1+N(Ввод!$J$19)/100))))</f>
        <v/>
      </c>
    </row>
    <row r="96" ht="22" customHeight="1">
      <c r="B96" s="245" t="n"/>
      <c r="C96" s="246" t="str">
        <f>IF($B96="","",IF(SUMIFS('ИТОГО Торговля'!$C$5:$C$300,'ИТОГО Торговля'!$B$5:$B$300,$B96)+SUMIFS('ИТОГО Лэндинг'!$C$5:$C$300,'ИТОГО Лэндинг'!$B$5:$B$300,$B96)=0,"",SUMIFS('ИТОГО Торговля'!$C$5:$C$300,'ИТОГО Торговля'!$B$5:$B$300,$B96)+SUMIFS('ИТОГО Лэндинг'!$C$5:$C$300,'ИТОГО Лэндинг'!$B$5:$B$300,$B96)))</f>
        <v/>
      </c>
      <c r="D96" s="183" t="str">
        <f>IF(C96="","",E96/C96)</f>
        <v/>
      </c>
      <c r="E96" s="247" t="str">
        <f>IF(C96="","",SUMIFS('ИТОГО Торговля'!$E$5:$E$300,'ИТОГО Торговля'!$B$5:$B$300,$B96)+SUMIFS('ИТОГО Лэндинг'!$E$5:$E$300,'ИТОГО Лэндинг'!$B$5:$B$300,$B96))</f>
        <v/>
      </c>
      <c r="F96" s="246" t="str">
        <f>IF($B96="","",IF(SUMIFS('ИТОГО Торговля'!$F$5:$F$300,'ИТОГО Торговля'!$B$5:$B$300,$B96)+SUMIFS('ИТОГО Лэндинг'!$F$5:$F$300,'ИТОГО Лэндинг'!$B$5:$B$300,$B96)=0,"",SUMIFS('ИТОГО Торговля'!$F$5:$F$300,'ИТОГО Торговля'!$B$5:$B$300,$B96)+SUMIFS('ИТОГО Лэндинг'!$F$5:$F$300,'ИТОГО Лэндинг'!$B$5:$B$300,$B96)))</f>
        <v/>
      </c>
      <c r="G96" s="183" t="str">
        <f>IF(F96="","",H96/F96)</f>
        <v/>
      </c>
      <c r="H96" s="247" t="str">
        <f>IF(F96="","",SUMIFS('ИТОГО Торговля'!$H$5:$H$300,'ИТОГО Торговля'!$B$5:$B$300,$B96)+SUMIFS('ИТОГО Лэндинг'!$H$5:$H$300,'ИТОГО Лэндинг'!$B$5:$B$300,$B96))</f>
        <v/>
      </c>
      <c r="I96" s="246" t="str">
        <f>IF($B96="","",IF(AND(C96="",F96=""),"",ROUND(SUMIFS('ИТОГО Торговля'!$I$5:$I$300,'ИТОГО Торговля'!$B$5:$B$300,$B96)+SUMIFS('ИТОГО Лэндинг'!$I$5:$I$300,'ИТОГО Лэндинг'!$B$5:$B$300,$B96),8)))</f>
        <v/>
      </c>
      <c r="J96" s="247" t="str">
        <f>IF($B96="","",IF(AND(C96="",F96=""),"",ROUND(SUMIFS('ИТОГО Торговля'!$J$5:$J$300,'ИТОГО Торговля'!$B$5:$B$300,$B96)+SUMIFS('ИТОГО Лэндинг'!$J$5:$J$300,'ИТОГО Лэндинг'!$B$5:$B$300,$B96),8)))</f>
        <v/>
      </c>
      <c r="K96" s="246" t="str">
        <f>IF(MIN(N(C96),N(F96))&lt;=0,"",ROUND(MIN(N(C96),N(F96))*(N(G96)-N(D96)),8))</f>
        <v/>
      </c>
      <c r="L96" s="183" t="str">
        <f>IF(MIN(N(C96),N(F96))&lt;=0,"",IF(N(D96)=0,"",ROUND((N(G96)/N(D96)-1)*100,2)))</f>
        <v/>
      </c>
      <c r="M96" s="183" t="str">
        <f>IF(OR(ROUND(N(C96)-N(F96),8)=0,1-N(Ввод!$J$19)/100&lt;=0),"",IF(N(C96)&gt;N(F96),(N(E96)-N(H96))/((N(C96)-N(F96))*(1-N(Ввод!$J$19)/100)),(N(H96)-N(E96))/((N(F96)-N(C96))*(1+N(Ввод!$J$19)/100))))</f>
        <v/>
      </c>
    </row>
    <row r="97" ht="22" customHeight="1">
      <c r="B97" s="239" t="n"/>
      <c r="C97" s="240" t="str">
        <f>IF($B97="","",IF(SUMIFS('ИТОГО Торговля'!$C$5:$C$300,'ИТОГО Торговля'!$B$5:$B$300,$B97)+SUMIFS('ИТОГО Лэндинг'!$C$5:$C$300,'ИТОГО Лэндинг'!$B$5:$B$300,$B97)=0,"",SUMIFS('ИТОГО Торговля'!$C$5:$C$300,'ИТОГО Торговля'!$B$5:$B$300,$B97)+SUMIFS('ИТОГО Лэндинг'!$C$5:$C$300,'ИТОГО Лэндинг'!$B$5:$B$300,$B97)))</f>
        <v/>
      </c>
      <c r="D97" s="177" t="str">
        <f>IF(C97="","",E97/C97)</f>
        <v/>
      </c>
      <c r="E97" s="241" t="str">
        <f>IF(C97="","",SUMIFS('ИТОГО Торговля'!$E$5:$E$300,'ИТОГО Торговля'!$B$5:$B$300,$B97)+SUMIFS('ИТОГО Лэндинг'!$E$5:$E$300,'ИТОГО Лэндинг'!$B$5:$B$300,$B97))</f>
        <v/>
      </c>
      <c r="F97" s="240" t="str">
        <f>IF($B97="","",IF(SUMIFS('ИТОГО Торговля'!$F$5:$F$300,'ИТОГО Торговля'!$B$5:$B$300,$B97)+SUMIFS('ИТОГО Лэндинг'!$F$5:$F$300,'ИТОГО Лэндинг'!$B$5:$B$300,$B97)=0,"",SUMIFS('ИТОГО Торговля'!$F$5:$F$300,'ИТОГО Торговля'!$B$5:$B$300,$B97)+SUMIFS('ИТОГО Лэндинг'!$F$5:$F$300,'ИТОГО Лэндинг'!$B$5:$B$300,$B97)))</f>
        <v/>
      </c>
      <c r="G97" s="177" t="str">
        <f>IF(F97="","",H97/F97)</f>
        <v/>
      </c>
      <c r="H97" s="241" t="str">
        <f>IF(F97="","",SUMIFS('ИТОГО Торговля'!$H$5:$H$300,'ИТОГО Торговля'!$B$5:$B$300,$B97)+SUMIFS('ИТОГО Лэндинг'!$H$5:$H$300,'ИТОГО Лэндинг'!$B$5:$B$300,$B97))</f>
        <v/>
      </c>
      <c r="I97" s="240" t="str">
        <f>IF($B97="","",IF(AND(C97="",F97=""),"",ROUND(SUMIFS('ИТОГО Торговля'!$I$5:$I$300,'ИТОГО Торговля'!$B$5:$B$300,$B97)+SUMIFS('ИТОГО Лэндинг'!$I$5:$I$300,'ИТОГО Лэндинг'!$B$5:$B$300,$B97),8)))</f>
        <v/>
      </c>
      <c r="J97" s="241" t="str">
        <f>IF($B97="","",IF(AND(C97="",F97=""),"",ROUND(SUMIFS('ИТОГО Торговля'!$J$5:$J$300,'ИТОГО Торговля'!$B$5:$B$300,$B97)+SUMIFS('ИТОГО Лэндинг'!$J$5:$J$300,'ИТОГО Лэндинг'!$B$5:$B$300,$B97),8)))</f>
        <v/>
      </c>
      <c r="K97" s="240" t="str">
        <f>IF(MIN(N(C97),N(F97))&lt;=0,"",ROUND(MIN(N(C97),N(F97))*(N(G97)-N(D97)),8))</f>
        <v/>
      </c>
      <c r="L97" s="177" t="str">
        <f>IF(MIN(N(C97),N(F97))&lt;=0,"",IF(N(D97)=0,"",ROUND((N(G97)/N(D97)-1)*100,2)))</f>
        <v/>
      </c>
      <c r="M97" s="177" t="str">
        <f>IF(OR(ROUND(N(C97)-N(F97),8)=0,1-N(Ввод!$J$19)/100&lt;=0),"",IF(N(C97)&gt;N(F97),(N(E97)-N(H97))/((N(C97)-N(F97))*(1-N(Ввод!$J$19)/100)),(N(H97)-N(E97))/((N(F97)-N(C97))*(1+N(Ввод!$J$19)/100))))</f>
        <v/>
      </c>
    </row>
    <row r="98" ht="22" customHeight="1">
      <c r="B98" s="245" t="n"/>
      <c r="C98" s="246" t="str">
        <f>IF($B98="","",IF(SUMIFS('ИТОГО Торговля'!$C$5:$C$300,'ИТОГО Торговля'!$B$5:$B$300,$B98)+SUMIFS('ИТОГО Лэндинг'!$C$5:$C$300,'ИТОГО Лэндинг'!$B$5:$B$300,$B98)=0,"",SUMIFS('ИТОГО Торговля'!$C$5:$C$300,'ИТОГО Торговля'!$B$5:$B$300,$B98)+SUMIFS('ИТОГО Лэндинг'!$C$5:$C$300,'ИТОГО Лэндинг'!$B$5:$B$300,$B98)))</f>
        <v/>
      </c>
      <c r="D98" s="183" t="str">
        <f>IF(C98="","",E98/C98)</f>
        <v/>
      </c>
      <c r="E98" s="247" t="str">
        <f>IF(C98="","",SUMIFS('ИТОГО Торговля'!$E$5:$E$300,'ИТОГО Торговля'!$B$5:$B$300,$B98)+SUMIFS('ИТОГО Лэндинг'!$E$5:$E$300,'ИТОГО Лэндинг'!$B$5:$B$300,$B98))</f>
        <v/>
      </c>
      <c r="F98" s="246" t="str">
        <f>IF($B98="","",IF(SUMIFS('ИТОГО Торговля'!$F$5:$F$300,'ИТОГО Торговля'!$B$5:$B$300,$B98)+SUMIFS('ИТОГО Лэндинг'!$F$5:$F$300,'ИТОГО Лэндинг'!$B$5:$B$300,$B98)=0,"",SUMIFS('ИТОГО Торговля'!$F$5:$F$300,'ИТОГО Торговля'!$B$5:$B$300,$B98)+SUMIFS('ИТОГО Лэндинг'!$F$5:$F$300,'ИТОГО Лэндинг'!$B$5:$B$300,$B98)))</f>
        <v/>
      </c>
      <c r="G98" s="183" t="str">
        <f>IF(F98="","",H98/F98)</f>
        <v/>
      </c>
      <c r="H98" s="247" t="str">
        <f>IF(F98="","",SUMIFS('ИТОГО Торговля'!$H$5:$H$300,'ИТОГО Торговля'!$B$5:$B$300,$B98)+SUMIFS('ИТОГО Лэндинг'!$H$5:$H$300,'ИТОГО Лэндинг'!$B$5:$B$300,$B98))</f>
        <v/>
      </c>
      <c r="I98" s="246" t="str">
        <f>IF($B98="","",IF(AND(C98="",F98=""),"",ROUND(SUMIFS('ИТОГО Торговля'!$I$5:$I$300,'ИТОГО Торговля'!$B$5:$B$300,$B98)+SUMIFS('ИТОГО Лэндинг'!$I$5:$I$300,'ИТОГО Лэндинг'!$B$5:$B$300,$B98),8)))</f>
        <v/>
      </c>
      <c r="J98" s="247" t="str">
        <f>IF($B98="","",IF(AND(C98="",F98=""),"",ROUND(SUMIFS('ИТОГО Торговля'!$J$5:$J$300,'ИТОГО Торговля'!$B$5:$B$300,$B98)+SUMIFS('ИТОГО Лэндинг'!$J$5:$J$300,'ИТОГО Лэндинг'!$B$5:$B$300,$B98),8)))</f>
        <v/>
      </c>
      <c r="K98" s="246" t="str">
        <f>IF(MIN(N(C98),N(F98))&lt;=0,"",ROUND(MIN(N(C98),N(F98))*(N(G98)-N(D98)),8))</f>
        <v/>
      </c>
      <c r="L98" s="183" t="str">
        <f>IF(MIN(N(C98),N(F98))&lt;=0,"",IF(N(D98)=0,"",ROUND((N(G98)/N(D98)-1)*100,2)))</f>
        <v/>
      </c>
      <c r="M98" s="183" t="str">
        <f>IF(OR(ROUND(N(C98)-N(F98),8)=0,1-N(Ввод!$J$19)/100&lt;=0),"",IF(N(C98)&gt;N(F98),(N(E98)-N(H98))/((N(C98)-N(F98))*(1-N(Ввод!$J$19)/100)),(N(H98)-N(E98))/((N(F98)-N(C98))*(1+N(Ввод!$J$19)/100))))</f>
        <v/>
      </c>
    </row>
    <row r="99" ht="22" customHeight="1">
      <c r="B99" s="239" t="n"/>
      <c r="C99" s="240" t="str">
        <f>IF($B99="","",IF(SUMIFS('ИТОГО Торговля'!$C$5:$C$300,'ИТОГО Торговля'!$B$5:$B$300,$B99)+SUMIFS('ИТОГО Лэндинг'!$C$5:$C$300,'ИТОГО Лэндинг'!$B$5:$B$300,$B99)=0,"",SUMIFS('ИТОГО Торговля'!$C$5:$C$300,'ИТОГО Торговля'!$B$5:$B$300,$B99)+SUMIFS('ИТОГО Лэндинг'!$C$5:$C$300,'ИТОГО Лэндинг'!$B$5:$B$300,$B99)))</f>
        <v/>
      </c>
      <c r="D99" s="177" t="str">
        <f>IF(C99="","",E99/C99)</f>
        <v/>
      </c>
      <c r="E99" s="241" t="str">
        <f>IF(C99="","",SUMIFS('ИТОГО Торговля'!$E$5:$E$300,'ИТОГО Торговля'!$B$5:$B$300,$B99)+SUMIFS('ИТОГО Лэндинг'!$E$5:$E$300,'ИТОГО Лэндинг'!$B$5:$B$300,$B99))</f>
        <v/>
      </c>
      <c r="F99" s="240" t="str">
        <f>IF($B99="","",IF(SUMIFS('ИТОГО Торговля'!$F$5:$F$300,'ИТОГО Торговля'!$B$5:$B$300,$B99)+SUMIFS('ИТОГО Лэндинг'!$F$5:$F$300,'ИТОГО Лэндинг'!$B$5:$B$300,$B99)=0,"",SUMIFS('ИТОГО Торговля'!$F$5:$F$300,'ИТОГО Торговля'!$B$5:$B$300,$B99)+SUMIFS('ИТОГО Лэндинг'!$F$5:$F$300,'ИТОГО Лэндинг'!$B$5:$B$300,$B99)))</f>
        <v/>
      </c>
      <c r="G99" s="177" t="str">
        <f>IF(F99="","",H99/F99)</f>
        <v/>
      </c>
      <c r="H99" s="241" t="str">
        <f>IF(F99="","",SUMIFS('ИТОГО Торговля'!$H$5:$H$300,'ИТОГО Торговля'!$B$5:$B$300,$B99)+SUMIFS('ИТОГО Лэндинг'!$H$5:$H$300,'ИТОГО Лэндинг'!$B$5:$B$300,$B99))</f>
        <v/>
      </c>
      <c r="I99" s="240" t="str">
        <f>IF($B99="","",IF(AND(C99="",F99=""),"",ROUND(SUMIFS('ИТОГО Торговля'!$I$5:$I$300,'ИТОГО Торговля'!$B$5:$B$300,$B99)+SUMIFS('ИТОГО Лэндинг'!$I$5:$I$300,'ИТОГО Лэндинг'!$B$5:$B$300,$B99),8)))</f>
        <v/>
      </c>
      <c r="J99" s="241" t="str">
        <f>IF($B99="","",IF(AND(C99="",F99=""),"",ROUND(SUMIFS('ИТОГО Торговля'!$J$5:$J$300,'ИТОГО Торговля'!$B$5:$B$300,$B99)+SUMIFS('ИТОГО Лэндинг'!$J$5:$J$300,'ИТОГО Лэндинг'!$B$5:$B$300,$B99),8)))</f>
        <v/>
      </c>
      <c r="K99" s="240" t="str">
        <f>IF(MIN(N(C99),N(F99))&lt;=0,"",ROUND(MIN(N(C99),N(F99))*(N(G99)-N(D99)),8))</f>
        <v/>
      </c>
      <c r="L99" s="177" t="str">
        <f>IF(MIN(N(C99),N(F99))&lt;=0,"",IF(N(D99)=0,"",ROUND((N(G99)/N(D99)-1)*100,2)))</f>
        <v/>
      </c>
      <c r="M99" s="177" t="str">
        <f>IF(OR(ROUND(N(C99)-N(F99),8)=0,1-N(Ввод!$J$19)/100&lt;=0),"",IF(N(C99)&gt;N(F99),(N(E99)-N(H99))/((N(C99)-N(F99))*(1-N(Ввод!$J$19)/100)),(N(H99)-N(E99))/((N(F99)-N(C99))*(1+N(Ввод!$J$19)/100))))</f>
        <v/>
      </c>
    </row>
    <row r="100" ht="22" customHeight="1">
      <c r="B100" s="245" t="n"/>
      <c r="C100" s="246" t="str">
        <f>IF($B100="","",IF(SUMIFS('ИТОГО Торговля'!$C$5:$C$300,'ИТОГО Торговля'!$B$5:$B$300,$B100)+SUMIFS('ИТОГО Лэндинг'!$C$5:$C$300,'ИТОГО Лэндинг'!$B$5:$B$300,$B100)=0,"",SUMIFS('ИТОГО Торговля'!$C$5:$C$300,'ИТОГО Торговля'!$B$5:$B$300,$B100)+SUMIFS('ИТОГО Лэндинг'!$C$5:$C$300,'ИТОГО Лэндинг'!$B$5:$B$300,$B100)))</f>
        <v/>
      </c>
      <c r="D100" s="183" t="str">
        <f>IF(C100="","",E100/C100)</f>
        <v/>
      </c>
      <c r="E100" s="247" t="str">
        <f>IF(C100="","",SUMIFS('ИТОГО Торговля'!$E$5:$E$300,'ИТОГО Торговля'!$B$5:$B$300,$B100)+SUMIFS('ИТОГО Лэндинг'!$E$5:$E$300,'ИТОГО Лэндинг'!$B$5:$B$300,$B100))</f>
        <v/>
      </c>
      <c r="F100" s="246" t="str">
        <f>IF($B100="","",IF(SUMIFS('ИТОГО Торговля'!$F$5:$F$300,'ИТОГО Торговля'!$B$5:$B$300,$B100)+SUMIFS('ИТОГО Лэндинг'!$F$5:$F$300,'ИТОГО Лэндинг'!$B$5:$B$300,$B100)=0,"",SUMIFS('ИТОГО Торговля'!$F$5:$F$300,'ИТОГО Торговля'!$B$5:$B$300,$B100)+SUMIFS('ИТОГО Лэндинг'!$F$5:$F$300,'ИТОГО Лэндинг'!$B$5:$B$300,$B100)))</f>
        <v/>
      </c>
      <c r="G100" s="183" t="str">
        <f>IF(F100="","",H100/F100)</f>
        <v/>
      </c>
      <c r="H100" s="247" t="str">
        <f>IF(F100="","",SUMIFS('ИТОГО Торговля'!$H$5:$H$300,'ИТОГО Торговля'!$B$5:$B$300,$B100)+SUMIFS('ИТОГО Лэндинг'!$H$5:$H$300,'ИТОГО Лэндинг'!$B$5:$B$300,$B100))</f>
        <v/>
      </c>
      <c r="I100" s="246" t="str">
        <f>IF($B100="","",IF(AND(C100="",F100=""),"",ROUND(SUMIFS('ИТОГО Торговля'!$I$5:$I$300,'ИТОГО Торговля'!$B$5:$B$300,$B100)+SUMIFS('ИТОГО Лэндинг'!$I$5:$I$300,'ИТОГО Лэндинг'!$B$5:$B$300,$B100),8)))</f>
        <v/>
      </c>
      <c r="J100" s="247" t="str">
        <f>IF($B100="","",IF(AND(C100="",F100=""),"",ROUND(SUMIFS('ИТОГО Торговля'!$J$5:$J$300,'ИТОГО Торговля'!$B$5:$B$300,$B100)+SUMIFS('ИТОГО Лэндинг'!$J$5:$J$300,'ИТОГО Лэндинг'!$B$5:$B$300,$B100),8)))</f>
        <v/>
      </c>
      <c r="K100" s="246" t="str">
        <f>IF(MIN(N(C100),N(F100))&lt;=0,"",ROUND(MIN(N(C100),N(F100))*(N(G100)-N(D100)),8))</f>
        <v/>
      </c>
      <c r="L100" s="183" t="str">
        <f>IF(MIN(N(C100),N(F100))&lt;=0,"",IF(N(D100)=0,"",ROUND((N(G100)/N(D100)-1)*100,2)))</f>
        <v/>
      </c>
      <c r="M100" s="183" t="str">
        <f>IF(OR(ROUND(N(C100)-N(F100),8)=0,1-N(Ввод!$J$19)/100&lt;=0),"",IF(N(C100)&gt;N(F100),(N(E100)-N(H100))/((N(C100)-N(F100))*(1-N(Ввод!$J$19)/100)),(N(H100)-N(E100))/((N(F100)-N(C100))*(1+N(Ввод!$J$19)/100))))</f>
        <v/>
      </c>
    </row>
    <row r="101" ht="22" customHeight="1">
      <c r="B101" s="239" t="n"/>
      <c r="C101" s="240" t="str">
        <f>IF($B101="","",IF(SUMIFS('ИТОГО Торговля'!$C$5:$C$300,'ИТОГО Торговля'!$B$5:$B$300,$B101)+SUMIFS('ИТОГО Лэндинг'!$C$5:$C$300,'ИТОГО Лэндинг'!$B$5:$B$300,$B101)=0,"",SUMIFS('ИТОГО Торговля'!$C$5:$C$300,'ИТОГО Торговля'!$B$5:$B$300,$B101)+SUMIFS('ИТОГО Лэндинг'!$C$5:$C$300,'ИТОГО Лэндинг'!$B$5:$B$300,$B101)))</f>
        <v/>
      </c>
      <c r="D101" s="177" t="str">
        <f>IF(C101="","",E101/C101)</f>
        <v/>
      </c>
      <c r="E101" s="241" t="str">
        <f>IF(C101="","",SUMIFS('ИТОГО Торговля'!$E$5:$E$300,'ИТОГО Торговля'!$B$5:$B$300,$B101)+SUMIFS('ИТОГО Лэндинг'!$E$5:$E$300,'ИТОГО Лэндинг'!$B$5:$B$300,$B101))</f>
        <v/>
      </c>
      <c r="F101" s="240" t="str">
        <f>IF($B101="","",IF(SUMIFS('ИТОГО Торговля'!$F$5:$F$300,'ИТОГО Торговля'!$B$5:$B$300,$B101)+SUMIFS('ИТОГО Лэндинг'!$F$5:$F$300,'ИТОГО Лэндинг'!$B$5:$B$300,$B101)=0,"",SUMIFS('ИТОГО Торговля'!$F$5:$F$300,'ИТОГО Торговля'!$B$5:$B$300,$B101)+SUMIFS('ИТОГО Лэндинг'!$F$5:$F$300,'ИТОГО Лэндинг'!$B$5:$B$300,$B101)))</f>
        <v/>
      </c>
      <c r="G101" s="177" t="str">
        <f>IF(F101="","",H101/F101)</f>
        <v/>
      </c>
      <c r="H101" s="241" t="str">
        <f>IF(F101="","",SUMIFS('ИТОГО Торговля'!$H$5:$H$300,'ИТОГО Торговля'!$B$5:$B$300,$B101)+SUMIFS('ИТОГО Лэндинг'!$H$5:$H$300,'ИТОГО Лэндинг'!$B$5:$B$300,$B101))</f>
        <v/>
      </c>
      <c r="I101" s="240" t="str">
        <f>IF($B101="","",IF(AND(C101="",F101=""),"",ROUND(SUMIFS('ИТОГО Торговля'!$I$5:$I$300,'ИТОГО Торговля'!$B$5:$B$300,$B101)+SUMIFS('ИТОГО Лэндинг'!$I$5:$I$300,'ИТОГО Лэндинг'!$B$5:$B$300,$B101),8)))</f>
        <v/>
      </c>
      <c r="J101" s="241" t="str">
        <f>IF($B101="","",IF(AND(C101="",F101=""),"",ROUND(SUMIFS('ИТОГО Торговля'!$J$5:$J$300,'ИТОГО Торговля'!$B$5:$B$300,$B101)+SUMIFS('ИТОГО Лэндинг'!$J$5:$J$300,'ИТОГО Лэндинг'!$B$5:$B$300,$B101),8)))</f>
        <v/>
      </c>
      <c r="K101" s="240" t="str">
        <f>IF(MIN(N(C101),N(F101))&lt;=0,"",ROUND(MIN(N(C101),N(F101))*(N(G101)-N(D101)),8))</f>
        <v/>
      </c>
      <c r="L101" s="177" t="str">
        <f>IF(MIN(N(C101),N(F101))&lt;=0,"",IF(N(D101)=0,"",ROUND((N(G101)/N(D101)-1)*100,2)))</f>
        <v/>
      </c>
      <c r="M101" s="177" t="str">
        <f>IF(OR(ROUND(N(C101)-N(F101),8)=0,1-N(Ввод!$J$19)/100&lt;=0),"",IF(N(C101)&gt;N(F101),(N(E101)-N(H101))/((N(C101)-N(F101))*(1-N(Ввод!$J$19)/100)),(N(H101)-N(E101))/((N(F101)-N(C101))*(1+N(Ввод!$J$19)/100))))</f>
        <v/>
      </c>
    </row>
    <row r="102" ht="22" customHeight="1">
      <c r="B102" s="245" t="n"/>
      <c r="C102" s="246" t="str">
        <f>IF($B102="","",IF(SUMIFS('ИТОГО Торговля'!$C$5:$C$300,'ИТОГО Торговля'!$B$5:$B$300,$B102)+SUMIFS('ИТОГО Лэндинг'!$C$5:$C$300,'ИТОГО Лэндинг'!$B$5:$B$300,$B102)=0,"",SUMIFS('ИТОГО Торговля'!$C$5:$C$300,'ИТОГО Торговля'!$B$5:$B$300,$B102)+SUMIFS('ИТОГО Лэндинг'!$C$5:$C$300,'ИТОГО Лэндинг'!$B$5:$B$300,$B102)))</f>
        <v/>
      </c>
      <c r="D102" s="183" t="str">
        <f>IF(C102="","",E102/C102)</f>
        <v/>
      </c>
      <c r="E102" s="247" t="str">
        <f>IF(C102="","",SUMIFS('ИТОГО Торговля'!$E$5:$E$300,'ИТОГО Торговля'!$B$5:$B$300,$B102)+SUMIFS('ИТОГО Лэндинг'!$E$5:$E$300,'ИТОГО Лэндинг'!$B$5:$B$300,$B102))</f>
        <v/>
      </c>
      <c r="F102" s="246" t="str">
        <f>IF($B102="","",IF(SUMIFS('ИТОГО Торговля'!$F$5:$F$300,'ИТОГО Торговля'!$B$5:$B$300,$B102)+SUMIFS('ИТОГО Лэндинг'!$F$5:$F$300,'ИТОГО Лэндинг'!$B$5:$B$300,$B102)=0,"",SUMIFS('ИТОГО Торговля'!$F$5:$F$300,'ИТОГО Торговля'!$B$5:$B$300,$B102)+SUMIFS('ИТОГО Лэндинг'!$F$5:$F$300,'ИТОГО Лэндинг'!$B$5:$B$300,$B102)))</f>
        <v/>
      </c>
      <c r="G102" s="183" t="str">
        <f>IF(F102="","",H102/F102)</f>
        <v/>
      </c>
      <c r="H102" s="247" t="str">
        <f>IF(F102="","",SUMIFS('ИТОГО Торговля'!$H$5:$H$300,'ИТОГО Торговля'!$B$5:$B$300,$B102)+SUMIFS('ИТОГО Лэндинг'!$H$5:$H$300,'ИТОГО Лэндинг'!$B$5:$B$300,$B102))</f>
        <v/>
      </c>
      <c r="I102" s="246" t="str">
        <f>IF($B102="","",IF(AND(C102="",F102=""),"",ROUND(SUMIFS('ИТОГО Торговля'!$I$5:$I$300,'ИТОГО Торговля'!$B$5:$B$300,$B102)+SUMIFS('ИТОГО Лэндинг'!$I$5:$I$300,'ИТОГО Лэндинг'!$B$5:$B$300,$B102),8)))</f>
        <v/>
      </c>
      <c r="J102" s="247" t="str">
        <f>IF($B102="","",IF(AND(C102="",F102=""),"",ROUND(SUMIFS('ИТОГО Торговля'!$J$5:$J$300,'ИТОГО Торговля'!$B$5:$B$300,$B102)+SUMIFS('ИТОГО Лэндинг'!$J$5:$J$300,'ИТОГО Лэндинг'!$B$5:$B$300,$B102),8)))</f>
        <v/>
      </c>
      <c r="K102" s="246" t="str">
        <f>IF(MIN(N(C102),N(F102))&lt;=0,"",ROUND(MIN(N(C102),N(F102))*(N(G102)-N(D102)),8))</f>
        <v/>
      </c>
      <c r="L102" s="183" t="str">
        <f>IF(MIN(N(C102),N(F102))&lt;=0,"",IF(N(D102)=0,"",ROUND((N(G102)/N(D102)-1)*100,2)))</f>
        <v/>
      </c>
      <c r="M102" s="183" t="str">
        <f>IF(OR(ROUND(N(C102)-N(F102),8)=0,1-N(Ввод!$J$19)/100&lt;=0),"",IF(N(C102)&gt;N(F102),(N(E102)-N(H102))/((N(C102)-N(F102))*(1-N(Ввод!$J$19)/100)),(N(H102)-N(E102))/((N(F102)-N(C102))*(1+N(Ввод!$J$19)/100))))</f>
        <v/>
      </c>
    </row>
    <row r="103" ht="22" customHeight="1">
      <c r="B103" s="239" t="n"/>
      <c r="C103" s="240" t="str">
        <f>IF($B103="","",IF(SUMIFS('ИТОГО Торговля'!$C$5:$C$300,'ИТОГО Торговля'!$B$5:$B$300,$B103)+SUMIFS('ИТОГО Лэндинг'!$C$5:$C$300,'ИТОГО Лэндинг'!$B$5:$B$300,$B103)=0,"",SUMIFS('ИТОГО Торговля'!$C$5:$C$300,'ИТОГО Торговля'!$B$5:$B$300,$B103)+SUMIFS('ИТОГО Лэндинг'!$C$5:$C$300,'ИТОГО Лэндинг'!$B$5:$B$300,$B103)))</f>
        <v/>
      </c>
      <c r="D103" s="177" t="str">
        <f>IF(C103="","",E103/C103)</f>
        <v/>
      </c>
      <c r="E103" s="241" t="str">
        <f>IF(C103="","",SUMIFS('ИТОГО Торговля'!$E$5:$E$300,'ИТОГО Торговля'!$B$5:$B$300,$B103)+SUMIFS('ИТОГО Лэндинг'!$E$5:$E$300,'ИТОГО Лэндинг'!$B$5:$B$300,$B103))</f>
        <v/>
      </c>
      <c r="F103" s="240" t="str">
        <f>IF($B103="","",IF(SUMIFS('ИТОГО Торговля'!$F$5:$F$300,'ИТОГО Торговля'!$B$5:$B$300,$B103)+SUMIFS('ИТОГО Лэндинг'!$F$5:$F$300,'ИТОГО Лэндинг'!$B$5:$B$300,$B103)=0,"",SUMIFS('ИТОГО Торговля'!$F$5:$F$300,'ИТОГО Торговля'!$B$5:$B$300,$B103)+SUMIFS('ИТОГО Лэндинг'!$F$5:$F$300,'ИТОГО Лэндинг'!$B$5:$B$300,$B103)))</f>
        <v/>
      </c>
      <c r="G103" s="177" t="str">
        <f>IF(F103="","",H103/F103)</f>
        <v/>
      </c>
      <c r="H103" s="241" t="str">
        <f>IF(F103="","",SUMIFS('ИТОГО Торговля'!$H$5:$H$300,'ИТОГО Торговля'!$B$5:$B$300,$B103)+SUMIFS('ИТОГО Лэндинг'!$H$5:$H$300,'ИТОГО Лэндинг'!$B$5:$B$300,$B103))</f>
        <v/>
      </c>
      <c r="I103" s="240" t="str">
        <f>IF($B103="","",IF(AND(C103="",F103=""),"",ROUND(SUMIFS('ИТОГО Торговля'!$I$5:$I$300,'ИТОГО Торговля'!$B$5:$B$300,$B103)+SUMIFS('ИТОГО Лэндинг'!$I$5:$I$300,'ИТОГО Лэндинг'!$B$5:$B$300,$B103),8)))</f>
        <v/>
      </c>
      <c r="J103" s="241" t="str">
        <f>IF($B103="","",IF(AND(C103="",F103=""),"",ROUND(SUMIFS('ИТОГО Торговля'!$J$5:$J$300,'ИТОГО Торговля'!$B$5:$B$300,$B103)+SUMIFS('ИТОГО Лэндинг'!$J$5:$J$300,'ИТОГО Лэндинг'!$B$5:$B$300,$B103),8)))</f>
        <v/>
      </c>
      <c r="K103" s="240" t="str">
        <f>IF(MIN(N(C103),N(F103))&lt;=0,"",ROUND(MIN(N(C103),N(F103))*(N(G103)-N(D103)),8))</f>
        <v/>
      </c>
      <c r="L103" s="177" t="str">
        <f>IF(MIN(N(C103),N(F103))&lt;=0,"",IF(N(D103)=0,"",ROUND((N(G103)/N(D103)-1)*100,2)))</f>
        <v/>
      </c>
      <c r="M103" s="177" t="str">
        <f>IF(OR(ROUND(N(C103)-N(F103),8)=0,1-N(Ввод!$J$19)/100&lt;=0),"",IF(N(C103)&gt;N(F103),(N(E103)-N(H103))/((N(C103)-N(F103))*(1-N(Ввод!$J$19)/100)),(N(H103)-N(E103))/((N(F103)-N(C103))*(1+N(Ввод!$J$19)/100))))</f>
        <v/>
      </c>
    </row>
    <row r="104" ht="22" customHeight="1">
      <c r="B104" s="245" t="n"/>
      <c r="C104" s="246" t="str">
        <f>IF($B104="","",IF(SUMIFS('ИТОГО Торговля'!$C$5:$C$300,'ИТОГО Торговля'!$B$5:$B$300,$B104)+SUMIFS('ИТОГО Лэндинг'!$C$5:$C$300,'ИТОГО Лэндинг'!$B$5:$B$300,$B104)=0,"",SUMIFS('ИТОГО Торговля'!$C$5:$C$300,'ИТОГО Торговля'!$B$5:$B$300,$B104)+SUMIFS('ИТОГО Лэндинг'!$C$5:$C$300,'ИТОГО Лэндинг'!$B$5:$B$300,$B104)))</f>
        <v/>
      </c>
      <c r="D104" s="183" t="str">
        <f>IF(C104="","",E104/C104)</f>
        <v/>
      </c>
      <c r="E104" s="247" t="str">
        <f>IF(C104="","",SUMIFS('ИТОГО Торговля'!$E$5:$E$300,'ИТОГО Торговля'!$B$5:$B$300,$B104)+SUMIFS('ИТОГО Лэндинг'!$E$5:$E$300,'ИТОГО Лэндинг'!$B$5:$B$300,$B104))</f>
        <v/>
      </c>
      <c r="F104" s="246" t="str">
        <f>IF($B104="","",IF(SUMIFS('ИТОГО Торговля'!$F$5:$F$300,'ИТОГО Торговля'!$B$5:$B$300,$B104)+SUMIFS('ИТОГО Лэндинг'!$F$5:$F$300,'ИТОГО Лэндинг'!$B$5:$B$300,$B104)=0,"",SUMIFS('ИТОГО Торговля'!$F$5:$F$300,'ИТОГО Торговля'!$B$5:$B$300,$B104)+SUMIFS('ИТОГО Лэндинг'!$F$5:$F$300,'ИТОГО Лэндинг'!$B$5:$B$300,$B104)))</f>
        <v/>
      </c>
      <c r="G104" s="183" t="str">
        <f>IF(F104="","",H104/F104)</f>
        <v/>
      </c>
      <c r="H104" s="247" t="str">
        <f>IF(F104="","",SUMIFS('ИТОГО Торговля'!$H$5:$H$300,'ИТОГО Торговля'!$B$5:$B$300,$B104)+SUMIFS('ИТОГО Лэндинг'!$H$5:$H$300,'ИТОГО Лэндинг'!$B$5:$B$300,$B104))</f>
        <v/>
      </c>
      <c r="I104" s="246" t="str">
        <f>IF($B104="","",IF(AND(C104="",F104=""),"",ROUND(SUMIFS('ИТОГО Торговля'!$I$5:$I$300,'ИТОГО Торговля'!$B$5:$B$300,$B104)+SUMIFS('ИТОГО Лэндинг'!$I$5:$I$300,'ИТОГО Лэндинг'!$B$5:$B$300,$B104),8)))</f>
        <v/>
      </c>
      <c r="J104" s="247" t="str">
        <f>IF($B104="","",IF(AND(C104="",F104=""),"",ROUND(SUMIFS('ИТОГО Торговля'!$J$5:$J$300,'ИТОГО Торговля'!$B$5:$B$300,$B104)+SUMIFS('ИТОГО Лэндинг'!$J$5:$J$300,'ИТОГО Лэндинг'!$B$5:$B$300,$B104),8)))</f>
        <v/>
      </c>
      <c r="K104" s="246" t="str">
        <f>IF(MIN(N(C104),N(F104))&lt;=0,"",ROUND(MIN(N(C104),N(F104))*(N(G104)-N(D104)),8))</f>
        <v/>
      </c>
      <c r="L104" s="183" t="str">
        <f>IF(MIN(N(C104),N(F104))&lt;=0,"",IF(N(D104)=0,"",ROUND((N(G104)/N(D104)-1)*100,2)))</f>
        <v/>
      </c>
      <c r="M104" s="183" t="str">
        <f>IF(OR(ROUND(N(C104)-N(F104),8)=0,1-N(Ввод!$J$19)/100&lt;=0),"",IF(N(C104)&gt;N(F104),(N(E104)-N(H104))/((N(C104)-N(F104))*(1-N(Ввод!$J$19)/100)),(N(H104)-N(E104))/((N(F104)-N(C104))*(1+N(Ввод!$J$19)/100))))</f>
        <v/>
      </c>
    </row>
    <row r="105" ht="22" customHeight="1">
      <c r="B105" s="239" t="n"/>
      <c r="C105" s="240" t="str">
        <f>IF($B105="","",IF(SUMIFS('ИТОГО Торговля'!$C$5:$C$300,'ИТОГО Торговля'!$B$5:$B$300,$B105)+SUMIFS('ИТОГО Лэндинг'!$C$5:$C$300,'ИТОГО Лэндинг'!$B$5:$B$300,$B105)=0,"",SUMIFS('ИТОГО Торговля'!$C$5:$C$300,'ИТОГО Торговля'!$B$5:$B$300,$B105)+SUMIFS('ИТОГО Лэндинг'!$C$5:$C$300,'ИТОГО Лэндинг'!$B$5:$B$300,$B105)))</f>
        <v/>
      </c>
      <c r="D105" s="177" t="str">
        <f>IF(C105="","",E105/C105)</f>
        <v/>
      </c>
      <c r="E105" s="241" t="str">
        <f>IF(C105="","",SUMIFS('ИТОГО Торговля'!$E$5:$E$300,'ИТОГО Торговля'!$B$5:$B$300,$B105)+SUMIFS('ИТОГО Лэндинг'!$E$5:$E$300,'ИТОГО Лэндинг'!$B$5:$B$300,$B105))</f>
        <v/>
      </c>
      <c r="F105" s="240" t="str">
        <f>IF($B105="","",IF(SUMIFS('ИТОГО Торговля'!$F$5:$F$300,'ИТОГО Торговля'!$B$5:$B$300,$B105)+SUMIFS('ИТОГО Лэндинг'!$F$5:$F$300,'ИТОГО Лэндинг'!$B$5:$B$300,$B105)=0,"",SUMIFS('ИТОГО Торговля'!$F$5:$F$300,'ИТОГО Торговля'!$B$5:$B$300,$B105)+SUMIFS('ИТОГО Лэндинг'!$F$5:$F$300,'ИТОГО Лэндинг'!$B$5:$B$300,$B105)))</f>
        <v/>
      </c>
      <c r="G105" s="177" t="str">
        <f>IF(F105="","",H105/F105)</f>
        <v/>
      </c>
      <c r="H105" s="241" t="str">
        <f>IF(F105="","",SUMIFS('ИТОГО Торговля'!$H$5:$H$300,'ИТОГО Торговля'!$B$5:$B$300,$B105)+SUMIFS('ИТОГО Лэндинг'!$H$5:$H$300,'ИТОГО Лэндинг'!$B$5:$B$300,$B105))</f>
        <v/>
      </c>
      <c r="I105" s="240" t="str">
        <f>IF($B105="","",IF(AND(C105="",F105=""),"",ROUND(SUMIFS('ИТОГО Торговля'!$I$5:$I$300,'ИТОГО Торговля'!$B$5:$B$300,$B105)+SUMIFS('ИТОГО Лэндинг'!$I$5:$I$300,'ИТОГО Лэндинг'!$B$5:$B$300,$B105),8)))</f>
        <v/>
      </c>
      <c r="J105" s="241" t="str">
        <f>IF($B105="","",IF(AND(C105="",F105=""),"",ROUND(SUMIFS('ИТОГО Торговля'!$J$5:$J$300,'ИТОГО Торговля'!$B$5:$B$300,$B105)+SUMIFS('ИТОГО Лэндинг'!$J$5:$J$300,'ИТОГО Лэндинг'!$B$5:$B$300,$B105),8)))</f>
        <v/>
      </c>
      <c r="K105" s="240" t="str">
        <f>IF(MIN(N(C105),N(F105))&lt;=0,"",ROUND(MIN(N(C105),N(F105))*(N(G105)-N(D105)),8))</f>
        <v/>
      </c>
      <c r="L105" s="177" t="str">
        <f>IF(MIN(N(C105),N(F105))&lt;=0,"",IF(N(D105)=0,"",ROUND((N(G105)/N(D105)-1)*100,2)))</f>
        <v/>
      </c>
      <c r="M105" s="177" t="str">
        <f>IF(OR(ROUND(N(C105)-N(F105),8)=0,1-N(Ввод!$J$19)/100&lt;=0),"",IF(N(C105)&gt;N(F105),(N(E105)-N(H105))/((N(C105)-N(F105))*(1-N(Ввод!$J$19)/100)),(N(H105)-N(E105))/((N(F105)-N(C105))*(1+N(Ввод!$J$19)/100))))</f>
        <v/>
      </c>
    </row>
    <row r="106" ht="22" customHeight="1">
      <c r="B106" s="245" t="n"/>
      <c r="C106" s="246" t="str">
        <f>IF($B106="","",IF(SUMIFS('ИТОГО Торговля'!$C$5:$C$300,'ИТОГО Торговля'!$B$5:$B$300,$B106)+SUMIFS('ИТОГО Лэндинг'!$C$5:$C$300,'ИТОГО Лэндинг'!$B$5:$B$300,$B106)=0,"",SUMIFS('ИТОГО Торговля'!$C$5:$C$300,'ИТОГО Торговля'!$B$5:$B$300,$B106)+SUMIFS('ИТОГО Лэндинг'!$C$5:$C$300,'ИТОГО Лэндинг'!$B$5:$B$300,$B106)))</f>
        <v/>
      </c>
      <c r="D106" s="183" t="str">
        <f>IF(C106="","",E106/C106)</f>
        <v/>
      </c>
      <c r="E106" s="247" t="str">
        <f>IF(C106="","",SUMIFS('ИТОГО Торговля'!$E$5:$E$300,'ИТОГО Торговля'!$B$5:$B$300,$B106)+SUMIFS('ИТОГО Лэндинг'!$E$5:$E$300,'ИТОГО Лэндинг'!$B$5:$B$300,$B106))</f>
        <v/>
      </c>
      <c r="F106" s="246" t="str">
        <f>IF($B106="","",IF(SUMIFS('ИТОГО Торговля'!$F$5:$F$300,'ИТОГО Торговля'!$B$5:$B$300,$B106)+SUMIFS('ИТОГО Лэндинг'!$F$5:$F$300,'ИТОГО Лэндинг'!$B$5:$B$300,$B106)=0,"",SUMIFS('ИТОГО Торговля'!$F$5:$F$300,'ИТОГО Торговля'!$B$5:$B$300,$B106)+SUMIFS('ИТОГО Лэндинг'!$F$5:$F$300,'ИТОГО Лэндинг'!$B$5:$B$300,$B106)))</f>
        <v/>
      </c>
      <c r="G106" s="183" t="str">
        <f>IF(F106="","",H106/F106)</f>
        <v/>
      </c>
      <c r="H106" s="247" t="str">
        <f>IF(F106="","",SUMIFS('ИТОГО Торговля'!$H$5:$H$300,'ИТОГО Торговля'!$B$5:$B$300,$B106)+SUMIFS('ИТОГО Лэндинг'!$H$5:$H$300,'ИТОГО Лэндинг'!$B$5:$B$300,$B106))</f>
        <v/>
      </c>
      <c r="I106" s="246" t="str">
        <f>IF($B106="","",IF(AND(C106="",F106=""),"",ROUND(SUMIFS('ИТОГО Торговля'!$I$5:$I$300,'ИТОГО Торговля'!$B$5:$B$300,$B106)+SUMIFS('ИТОГО Лэндинг'!$I$5:$I$300,'ИТОГО Лэндинг'!$B$5:$B$300,$B106),8)))</f>
        <v/>
      </c>
      <c r="J106" s="247" t="str">
        <f>IF($B106="","",IF(AND(C106="",F106=""),"",ROUND(SUMIFS('ИТОГО Торговля'!$J$5:$J$300,'ИТОГО Торговля'!$B$5:$B$300,$B106)+SUMIFS('ИТОГО Лэндинг'!$J$5:$J$300,'ИТОГО Лэндинг'!$B$5:$B$300,$B106),8)))</f>
        <v/>
      </c>
      <c r="K106" s="246" t="str">
        <f>IF(MIN(N(C106),N(F106))&lt;=0,"",ROUND(MIN(N(C106),N(F106))*(N(G106)-N(D106)),8))</f>
        <v/>
      </c>
      <c r="L106" s="183" t="str">
        <f>IF(MIN(N(C106),N(F106))&lt;=0,"",IF(N(D106)=0,"",ROUND((N(G106)/N(D106)-1)*100,2)))</f>
        <v/>
      </c>
      <c r="M106" s="183" t="str">
        <f>IF(OR(ROUND(N(C106)-N(F106),8)=0,1-N(Ввод!$J$19)/100&lt;=0),"",IF(N(C106)&gt;N(F106),(N(E106)-N(H106))/((N(C106)-N(F106))*(1-N(Ввод!$J$19)/100)),(N(H106)-N(E106))/((N(F106)-N(C106))*(1+N(Ввод!$J$19)/100))))</f>
        <v/>
      </c>
    </row>
    <row r="107" ht="22" customHeight="1">
      <c r="B107" s="239" t="n"/>
      <c r="C107" s="240" t="str">
        <f>IF($B107="","",IF(SUMIFS('ИТОГО Торговля'!$C$5:$C$300,'ИТОГО Торговля'!$B$5:$B$300,$B107)+SUMIFS('ИТОГО Лэндинг'!$C$5:$C$300,'ИТОГО Лэндинг'!$B$5:$B$300,$B107)=0,"",SUMIFS('ИТОГО Торговля'!$C$5:$C$300,'ИТОГО Торговля'!$B$5:$B$300,$B107)+SUMIFS('ИТОГО Лэндинг'!$C$5:$C$300,'ИТОГО Лэндинг'!$B$5:$B$300,$B107)))</f>
        <v/>
      </c>
      <c r="D107" s="177" t="str">
        <f>IF(C107="","",E107/C107)</f>
        <v/>
      </c>
      <c r="E107" s="241" t="str">
        <f>IF(C107="","",SUMIFS('ИТОГО Торговля'!$E$5:$E$300,'ИТОГО Торговля'!$B$5:$B$300,$B107)+SUMIFS('ИТОГО Лэндинг'!$E$5:$E$300,'ИТОГО Лэндинг'!$B$5:$B$300,$B107))</f>
        <v/>
      </c>
      <c r="F107" s="240" t="str">
        <f>IF($B107="","",IF(SUMIFS('ИТОГО Торговля'!$F$5:$F$300,'ИТОГО Торговля'!$B$5:$B$300,$B107)+SUMIFS('ИТОГО Лэндинг'!$F$5:$F$300,'ИТОГО Лэндинг'!$B$5:$B$300,$B107)=0,"",SUMIFS('ИТОГО Торговля'!$F$5:$F$300,'ИТОГО Торговля'!$B$5:$B$300,$B107)+SUMIFS('ИТОГО Лэндинг'!$F$5:$F$300,'ИТОГО Лэндинг'!$B$5:$B$300,$B107)))</f>
        <v/>
      </c>
      <c r="G107" s="177" t="str">
        <f>IF(F107="","",H107/F107)</f>
        <v/>
      </c>
      <c r="H107" s="241" t="str">
        <f>IF(F107="","",SUMIFS('ИТОГО Торговля'!$H$5:$H$300,'ИТОГО Торговля'!$B$5:$B$300,$B107)+SUMIFS('ИТОГО Лэндинг'!$H$5:$H$300,'ИТОГО Лэндинг'!$B$5:$B$300,$B107))</f>
        <v/>
      </c>
      <c r="I107" s="240" t="str">
        <f>IF($B107="","",IF(AND(C107="",F107=""),"",ROUND(SUMIFS('ИТОГО Торговля'!$I$5:$I$300,'ИТОГО Торговля'!$B$5:$B$300,$B107)+SUMIFS('ИТОГО Лэндинг'!$I$5:$I$300,'ИТОГО Лэндинг'!$B$5:$B$300,$B107),8)))</f>
        <v/>
      </c>
      <c r="J107" s="241" t="str">
        <f>IF($B107="","",IF(AND(C107="",F107=""),"",ROUND(SUMIFS('ИТОГО Торговля'!$J$5:$J$300,'ИТОГО Торговля'!$B$5:$B$300,$B107)+SUMIFS('ИТОГО Лэндинг'!$J$5:$J$300,'ИТОГО Лэндинг'!$B$5:$B$300,$B107),8)))</f>
        <v/>
      </c>
      <c r="K107" s="240" t="str">
        <f>IF(MIN(N(C107),N(F107))&lt;=0,"",ROUND(MIN(N(C107),N(F107))*(N(G107)-N(D107)),8))</f>
        <v/>
      </c>
      <c r="L107" s="177" t="str">
        <f>IF(MIN(N(C107),N(F107))&lt;=0,"",IF(N(D107)=0,"",ROUND((N(G107)/N(D107)-1)*100,2)))</f>
        <v/>
      </c>
      <c r="M107" s="177" t="str">
        <f>IF(OR(ROUND(N(C107)-N(F107),8)=0,1-N(Ввод!$J$19)/100&lt;=0),"",IF(N(C107)&gt;N(F107),(N(E107)-N(H107))/((N(C107)-N(F107))*(1-N(Ввод!$J$19)/100)),(N(H107)-N(E107))/((N(F107)-N(C107))*(1+N(Ввод!$J$19)/100))))</f>
        <v/>
      </c>
    </row>
    <row r="108" ht="22" customHeight="1">
      <c r="B108" s="245" t="n"/>
      <c r="C108" s="246" t="str">
        <f>IF($B108="","",IF(SUMIFS('ИТОГО Торговля'!$C$5:$C$300,'ИТОГО Торговля'!$B$5:$B$300,$B108)+SUMIFS('ИТОГО Лэндинг'!$C$5:$C$300,'ИТОГО Лэндинг'!$B$5:$B$300,$B108)=0,"",SUMIFS('ИТОГО Торговля'!$C$5:$C$300,'ИТОГО Торговля'!$B$5:$B$300,$B108)+SUMIFS('ИТОГО Лэндинг'!$C$5:$C$300,'ИТОГО Лэндинг'!$B$5:$B$300,$B108)))</f>
        <v/>
      </c>
      <c r="D108" s="183" t="str">
        <f>IF(C108="","",E108/C108)</f>
        <v/>
      </c>
      <c r="E108" s="247" t="str">
        <f>IF(C108="","",SUMIFS('ИТОГО Торговля'!$E$5:$E$300,'ИТОГО Торговля'!$B$5:$B$300,$B108)+SUMIFS('ИТОГО Лэндинг'!$E$5:$E$300,'ИТОГО Лэндинг'!$B$5:$B$300,$B108))</f>
        <v/>
      </c>
      <c r="F108" s="246" t="str">
        <f>IF($B108="","",IF(SUMIFS('ИТОГО Торговля'!$F$5:$F$300,'ИТОГО Торговля'!$B$5:$B$300,$B108)+SUMIFS('ИТОГО Лэндинг'!$F$5:$F$300,'ИТОГО Лэндинг'!$B$5:$B$300,$B108)=0,"",SUMIFS('ИТОГО Торговля'!$F$5:$F$300,'ИТОГО Торговля'!$B$5:$B$300,$B108)+SUMIFS('ИТОГО Лэндинг'!$F$5:$F$300,'ИТОГО Лэндинг'!$B$5:$B$300,$B108)))</f>
        <v/>
      </c>
      <c r="G108" s="183" t="str">
        <f>IF(F108="","",H108/F108)</f>
        <v/>
      </c>
      <c r="H108" s="247" t="str">
        <f>IF(F108="","",SUMIFS('ИТОГО Торговля'!$H$5:$H$300,'ИТОГО Торговля'!$B$5:$B$300,$B108)+SUMIFS('ИТОГО Лэндинг'!$H$5:$H$300,'ИТОГО Лэндинг'!$B$5:$B$300,$B108))</f>
        <v/>
      </c>
      <c r="I108" s="246" t="str">
        <f>IF($B108="","",IF(AND(C108="",F108=""),"",ROUND(SUMIFS('ИТОГО Торговля'!$I$5:$I$300,'ИТОГО Торговля'!$B$5:$B$300,$B108)+SUMIFS('ИТОГО Лэндинг'!$I$5:$I$300,'ИТОГО Лэндинг'!$B$5:$B$300,$B108),8)))</f>
        <v/>
      </c>
      <c r="J108" s="247" t="str">
        <f>IF($B108="","",IF(AND(C108="",F108=""),"",ROUND(SUMIFS('ИТОГО Торговля'!$J$5:$J$300,'ИТОГО Торговля'!$B$5:$B$300,$B108)+SUMIFS('ИТОГО Лэндинг'!$J$5:$J$300,'ИТОГО Лэндинг'!$B$5:$B$300,$B108),8)))</f>
        <v/>
      </c>
      <c r="K108" s="246" t="str">
        <f>IF(MIN(N(C108),N(F108))&lt;=0,"",ROUND(MIN(N(C108),N(F108))*(N(G108)-N(D108)),8))</f>
        <v/>
      </c>
      <c r="L108" s="183" t="str">
        <f>IF(MIN(N(C108),N(F108))&lt;=0,"",IF(N(D108)=0,"",ROUND((N(G108)/N(D108)-1)*100,2)))</f>
        <v/>
      </c>
      <c r="M108" s="183" t="str">
        <f>IF(OR(ROUND(N(C108)-N(F108),8)=0,1-N(Ввод!$J$19)/100&lt;=0),"",IF(N(C108)&gt;N(F108),(N(E108)-N(H108))/((N(C108)-N(F108))*(1-N(Ввод!$J$19)/100)),(N(H108)-N(E108))/((N(F108)-N(C108))*(1+N(Ввод!$J$19)/100))))</f>
        <v/>
      </c>
    </row>
    <row r="109" ht="22" customHeight="1">
      <c r="B109" s="239" t="n"/>
      <c r="C109" s="240" t="str">
        <f>IF($B109="","",IF(SUMIFS('ИТОГО Торговля'!$C$5:$C$300,'ИТОГО Торговля'!$B$5:$B$300,$B109)+SUMIFS('ИТОГО Лэндинг'!$C$5:$C$300,'ИТОГО Лэндинг'!$B$5:$B$300,$B109)=0,"",SUMIFS('ИТОГО Торговля'!$C$5:$C$300,'ИТОГО Торговля'!$B$5:$B$300,$B109)+SUMIFS('ИТОГО Лэндинг'!$C$5:$C$300,'ИТОГО Лэндинг'!$B$5:$B$300,$B109)))</f>
        <v/>
      </c>
      <c r="D109" s="177" t="str">
        <f>IF(C109="","",E109/C109)</f>
        <v/>
      </c>
      <c r="E109" s="241" t="str">
        <f>IF(C109="","",SUMIFS('ИТОГО Торговля'!$E$5:$E$300,'ИТОГО Торговля'!$B$5:$B$300,$B109)+SUMIFS('ИТОГО Лэндинг'!$E$5:$E$300,'ИТОГО Лэндинг'!$B$5:$B$300,$B109))</f>
        <v/>
      </c>
      <c r="F109" s="240" t="str">
        <f>IF($B109="","",IF(SUMIFS('ИТОГО Торговля'!$F$5:$F$300,'ИТОГО Торговля'!$B$5:$B$300,$B109)+SUMIFS('ИТОГО Лэндинг'!$F$5:$F$300,'ИТОГО Лэндинг'!$B$5:$B$300,$B109)=0,"",SUMIFS('ИТОГО Торговля'!$F$5:$F$300,'ИТОГО Торговля'!$B$5:$B$300,$B109)+SUMIFS('ИТОГО Лэндинг'!$F$5:$F$300,'ИТОГО Лэндинг'!$B$5:$B$300,$B109)))</f>
        <v/>
      </c>
      <c r="G109" s="177" t="str">
        <f>IF(F109="","",H109/F109)</f>
        <v/>
      </c>
      <c r="H109" s="241" t="str">
        <f>IF(F109="","",SUMIFS('ИТОГО Торговля'!$H$5:$H$300,'ИТОГО Торговля'!$B$5:$B$300,$B109)+SUMIFS('ИТОГО Лэндинг'!$H$5:$H$300,'ИТОГО Лэндинг'!$B$5:$B$300,$B109))</f>
        <v/>
      </c>
      <c r="I109" s="240" t="str">
        <f>IF($B109="","",IF(AND(C109="",F109=""),"",ROUND(SUMIFS('ИТОГО Торговля'!$I$5:$I$300,'ИТОГО Торговля'!$B$5:$B$300,$B109)+SUMIFS('ИТОГО Лэндинг'!$I$5:$I$300,'ИТОГО Лэндинг'!$B$5:$B$300,$B109),8)))</f>
        <v/>
      </c>
      <c r="J109" s="241" t="str">
        <f>IF($B109="","",IF(AND(C109="",F109=""),"",ROUND(SUMIFS('ИТОГО Торговля'!$J$5:$J$300,'ИТОГО Торговля'!$B$5:$B$300,$B109)+SUMIFS('ИТОГО Лэндинг'!$J$5:$J$300,'ИТОГО Лэндинг'!$B$5:$B$300,$B109),8)))</f>
        <v/>
      </c>
      <c r="K109" s="240" t="str">
        <f>IF(MIN(N(C109),N(F109))&lt;=0,"",ROUND(MIN(N(C109),N(F109))*(N(G109)-N(D109)),8))</f>
        <v/>
      </c>
      <c r="L109" s="177" t="str">
        <f>IF(MIN(N(C109),N(F109))&lt;=0,"",IF(N(D109)=0,"",ROUND((N(G109)/N(D109)-1)*100,2)))</f>
        <v/>
      </c>
      <c r="M109" s="177" t="str">
        <f>IF(OR(ROUND(N(C109)-N(F109),8)=0,1-N(Ввод!$J$19)/100&lt;=0),"",IF(N(C109)&gt;N(F109),(N(E109)-N(H109))/((N(C109)-N(F109))*(1-N(Ввод!$J$19)/100)),(N(H109)-N(E109))/((N(F109)-N(C109))*(1+N(Ввод!$J$19)/100))))</f>
        <v/>
      </c>
    </row>
    <row r="110" ht="22" customHeight="1">
      <c r="B110" s="245" t="n"/>
      <c r="C110" s="246" t="str">
        <f>IF($B110="","",IF(SUMIFS('ИТОГО Торговля'!$C$5:$C$300,'ИТОГО Торговля'!$B$5:$B$300,$B110)+SUMIFS('ИТОГО Лэндинг'!$C$5:$C$300,'ИТОГО Лэндинг'!$B$5:$B$300,$B110)=0,"",SUMIFS('ИТОГО Торговля'!$C$5:$C$300,'ИТОГО Торговля'!$B$5:$B$300,$B110)+SUMIFS('ИТОГО Лэндинг'!$C$5:$C$300,'ИТОГО Лэндинг'!$B$5:$B$300,$B110)))</f>
        <v/>
      </c>
      <c r="D110" s="183" t="str">
        <f>IF(C110="","",E110/C110)</f>
        <v/>
      </c>
      <c r="E110" s="247" t="str">
        <f>IF(C110="","",SUMIFS('ИТОГО Торговля'!$E$5:$E$300,'ИТОГО Торговля'!$B$5:$B$300,$B110)+SUMIFS('ИТОГО Лэндинг'!$E$5:$E$300,'ИТОГО Лэндинг'!$B$5:$B$300,$B110))</f>
        <v/>
      </c>
      <c r="F110" s="246" t="str">
        <f>IF($B110="","",IF(SUMIFS('ИТОГО Торговля'!$F$5:$F$300,'ИТОГО Торговля'!$B$5:$B$300,$B110)+SUMIFS('ИТОГО Лэндинг'!$F$5:$F$300,'ИТОГО Лэндинг'!$B$5:$B$300,$B110)=0,"",SUMIFS('ИТОГО Торговля'!$F$5:$F$300,'ИТОГО Торговля'!$B$5:$B$300,$B110)+SUMIFS('ИТОГО Лэндинг'!$F$5:$F$300,'ИТОГО Лэндинг'!$B$5:$B$300,$B110)))</f>
        <v/>
      </c>
      <c r="G110" s="183" t="str">
        <f>IF(F110="","",H110/F110)</f>
        <v/>
      </c>
      <c r="H110" s="247" t="str">
        <f>IF(F110="","",SUMIFS('ИТОГО Торговля'!$H$5:$H$300,'ИТОГО Торговля'!$B$5:$B$300,$B110)+SUMIFS('ИТОГО Лэндинг'!$H$5:$H$300,'ИТОГО Лэндинг'!$B$5:$B$300,$B110))</f>
        <v/>
      </c>
      <c r="I110" s="246" t="str">
        <f>IF($B110="","",IF(AND(C110="",F110=""),"",ROUND(SUMIFS('ИТОГО Торговля'!$I$5:$I$300,'ИТОГО Торговля'!$B$5:$B$300,$B110)+SUMIFS('ИТОГО Лэндинг'!$I$5:$I$300,'ИТОГО Лэндинг'!$B$5:$B$300,$B110),8)))</f>
        <v/>
      </c>
      <c r="J110" s="247" t="str">
        <f>IF($B110="","",IF(AND(C110="",F110=""),"",ROUND(SUMIFS('ИТОГО Торговля'!$J$5:$J$300,'ИТОГО Торговля'!$B$5:$B$300,$B110)+SUMIFS('ИТОГО Лэндинг'!$J$5:$J$300,'ИТОГО Лэндинг'!$B$5:$B$300,$B110),8)))</f>
        <v/>
      </c>
      <c r="K110" s="246" t="str">
        <f>IF(MIN(N(C110),N(F110))&lt;=0,"",ROUND(MIN(N(C110),N(F110))*(N(G110)-N(D110)),8))</f>
        <v/>
      </c>
      <c r="L110" s="183" t="str">
        <f>IF(MIN(N(C110),N(F110))&lt;=0,"",IF(N(D110)=0,"",ROUND((N(G110)/N(D110)-1)*100,2)))</f>
        <v/>
      </c>
      <c r="M110" s="183" t="str">
        <f>IF(OR(ROUND(N(C110)-N(F110),8)=0,1-N(Ввод!$J$19)/100&lt;=0),"",IF(N(C110)&gt;N(F110),(N(E110)-N(H110))/((N(C110)-N(F110))*(1-N(Ввод!$J$19)/100)),(N(H110)-N(E110))/((N(F110)-N(C110))*(1+N(Ввод!$J$19)/100))))</f>
        <v/>
      </c>
    </row>
    <row r="111" ht="22" customHeight="1">
      <c r="B111" s="239" t="n"/>
      <c r="C111" s="240" t="str">
        <f>IF($B111="","",IF(SUMIFS('ИТОГО Торговля'!$C$5:$C$300,'ИТОГО Торговля'!$B$5:$B$300,$B111)+SUMIFS('ИТОГО Лэндинг'!$C$5:$C$300,'ИТОГО Лэндинг'!$B$5:$B$300,$B111)=0,"",SUMIFS('ИТОГО Торговля'!$C$5:$C$300,'ИТОГО Торговля'!$B$5:$B$300,$B111)+SUMIFS('ИТОГО Лэндинг'!$C$5:$C$300,'ИТОГО Лэндинг'!$B$5:$B$300,$B111)))</f>
        <v/>
      </c>
      <c r="D111" s="177" t="str">
        <f>IF(C111="","",E111/C111)</f>
        <v/>
      </c>
      <c r="E111" s="241" t="str">
        <f>IF(C111="","",SUMIFS('ИТОГО Торговля'!$E$5:$E$300,'ИТОГО Торговля'!$B$5:$B$300,$B111)+SUMIFS('ИТОГО Лэндинг'!$E$5:$E$300,'ИТОГО Лэндинг'!$B$5:$B$300,$B111))</f>
        <v/>
      </c>
      <c r="F111" s="240" t="str">
        <f>IF($B111="","",IF(SUMIFS('ИТОГО Торговля'!$F$5:$F$300,'ИТОГО Торговля'!$B$5:$B$300,$B111)+SUMIFS('ИТОГО Лэндинг'!$F$5:$F$300,'ИТОГО Лэндинг'!$B$5:$B$300,$B111)=0,"",SUMIFS('ИТОГО Торговля'!$F$5:$F$300,'ИТОГО Торговля'!$B$5:$B$300,$B111)+SUMIFS('ИТОГО Лэндинг'!$F$5:$F$300,'ИТОГО Лэндинг'!$B$5:$B$300,$B111)))</f>
        <v/>
      </c>
      <c r="G111" s="177" t="str">
        <f>IF(F111="","",H111/F111)</f>
        <v/>
      </c>
      <c r="H111" s="241" t="str">
        <f>IF(F111="","",SUMIFS('ИТОГО Торговля'!$H$5:$H$300,'ИТОГО Торговля'!$B$5:$B$300,$B111)+SUMIFS('ИТОГО Лэндинг'!$H$5:$H$300,'ИТОГО Лэндинг'!$B$5:$B$300,$B111))</f>
        <v/>
      </c>
      <c r="I111" s="240" t="str">
        <f>IF($B111="","",IF(AND(C111="",F111=""),"",ROUND(SUMIFS('ИТОГО Торговля'!$I$5:$I$300,'ИТОГО Торговля'!$B$5:$B$300,$B111)+SUMIFS('ИТОГО Лэндинг'!$I$5:$I$300,'ИТОГО Лэндинг'!$B$5:$B$300,$B111),8)))</f>
        <v/>
      </c>
      <c r="J111" s="241" t="str">
        <f>IF($B111="","",IF(AND(C111="",F111=""),"",ROUND(SUMIFS('ИТОГО Торговля'!$J$5:$J$300,'ИТОГО Торговля'!$B$5:$B$300,$B111)+SUMIFS('ИТОГО Лэндинг'!$J$5:$J$300,'ИТОГО Лэндинг'!$B$5:$B$300,$B111),8)))</f>
        <v/>
      </c>
      <c r="K111" s="240" t="str">
        <f>IF(MIN(N(C111),N(F111))&lt;=0,"",ROUND(MIN(N(C111),N(F111))*(N(G111)-N(D111)),8))</f>
        <v/>
      </c>
      <c r="L111" s="177" t="str">
        <f>IF(MIN(N(C111),N(F111))&lt;=0,"",IF(N(D111)=0,"",ROUND((N(G111)/N(D111)-1)*100,2)))</f>
        <v/>
      </c>
      <c r="M111" s="177" t="str">
        <f>IF(OR(ROUND(N(C111)-N(F111),8)=0,1-N(Ввод!$J$19)/100&lt;=0),"",IF(N(C111)&gt;N(F111),(N(E111)-N(H111))/((N(C111)-N(F111))*(1-N(Ввод!$J$19)/100)),(N(H111)-N(E111))/((N(F111)-N(C111))*(1+N(Ввод!$J$19)/100))))</f>
        <v/>
      </c>
    </row>
    <row r="112" ht="22" customHeight="1">
      <c r="B112" s="245" t="n"/>
      <c r="C112" s="246" t="str">
        <f>IF($B112="","",IF(SUMIFS('ИТОГО Торговля'!$C$5:$C$300,'ИТОГО Торговля'!$B$5:$B$300,$B112)+SUMIFS('ИТОГО Лэндинг'!$C$5:$C$300,'ИТОГО Лэндинг'!$B$5:$B$300,$B112)=0,"",SUMIFS('ИТОГО Торговля'!$C$5:$C$300,'ИТОГО Торговля'!$B$5:$B$300,$B112)+SUMIFS('ИТОГО Лэндинг'!$C$5:$C$300,'ИТОГО Лэндинг'!$B$5:$B$300,$B112)))</f>
        <v/>
      </c>
      <c r="D112" s="183" t="str">
        <f>IF(C112="","",E112/C112)</f>
        <v/>
      </c>
      <c r="E112" s="247" t="str">
        <f>IF(C112="","",SUMIFS('ИТОГО Торговля'!$E$5:$E$300,'ИТОГО Торговля'!$B$5:$B$300,$B112)+SUMIFS('ИТОГО Лэндинг'!$E$5:$E$300,'ИТОГО Лэндинг'!$B$5:$B$300,$B112))</f>
        <v/>
      </c>
      <c r="F112" s="246" t="str">
        <f>IF($B112="","",IF(SUMIFS('ИТОГО Торговля'!$F$5:$F$300,'ИТОГО Торговля'!$B$5:$B$300,$B112)+SUMIFS('ИТОГО Лэндинг'!$F$5:$F$300,'ИТОГО Лэндинг'!$B$5:$B$300,$B112)=0,"",SUMIFS('ИТОГО Торговля'!$F$5:$F$300,'ИТОГО Торговля'!$B$5:$B$300,$B112)+SUMIFS('ИТОГО Лэндинг'!$F$5:$F$300,'ИТОГО Лэндинг'!$B$5:$B$300,$B112)))</f>
        <v/>
      </c>
      <c r="G112" s="183" t="str">
        <f>IF(F112="","",H112/F112)</f>
        <v/>
      </c>
      <c r="H112" s="247" t="str">
        <f>IF(F112="","",SUMIFS('ИТОГО Торговля'!$H$5:$H$300,'ИТОГО Торговля'!$B$5:$B$300,$B112)+SUMIFS('ИТОГО Лэндинг'!$H$5:$H$300,'ИТОГО Лэндинг'!$B$5:$B$300,$B112))</f>
        <v/>
      </c>
      <c r="I112" s="246" t="str">
        <f>IF($B112="","",IF(AND(C112="",F112=""),"",ROUND(SUMIFS('ИТОГО Торговля'!$I$5:$I$300,'ИТОГО Торговля'!$B$5:$B$300,$B112)+SUMIFS('ИТОГО Лэндинг'!$I$5:$I$300,'ИТОГО Лэндинг'!$B$5:$B$300,$B112),8)))</f>
        <v/>
      </c>
      <c r="J112" s="247" t="str">
        <f>IF($B112="","",IF(AND(C112="",F112=""),"",ROUND(SUMIFS('ИТОГО Торговля'!$J$5:$J$300,'ИТОГО Торговля'!$B$5:$B$300,$B112)+SUMIFS('ИТОГО Лэндинг'!$J$5:$J$300,'ИТОГО Лэндинг'!$B$5:$B$300,$B112),8)))</f>
        <v/>
      </c>
      <c r="K112" s="246" t="str">
        <f>IF(MIN(N(C112),N(F112))&lt;=0,"",ROUND(MIN(N(C112),N(F112))*(N(G112)-N(D112)),8))</f>
        <v/>
      </c>
      <c r="L112" s="183" t="str">
        <f>IF(MIN(N(C112),N(F112))&lt;=0,"",IF(N(D112)=0,"",ROUND((N(G112)/N(D112)-1)*100,2)))</f>
        <v/>
      </c>
      <c r="M112" s="183" t="str">
        <f>IF(OR(ROUND(N(C112)-N(F112),8)=0,1-N(Ввод!$J$19)/100&lt;=0),"",IF(N(C112)&gt;N(F112),(N(E112)-N(H112))/((N(C112)-N(F112))*(1-N(Ввод!$J$19)/100)),(N(H112)-N(E112))/((N(F112)-N(C112))*(1+N(Ввод!$J$19)/100))))</f>
        <v/>
      </c>
    </row>
    <row r="113" ht="22" customHeight="1">
      <c r="B113" s="239" t="n"/>
      <c r="C113" s="240" t="str">
        <f>IF($B113="","",IF(SUMIFS('ИТОГО Торговля'!$C$5:$C$300,'ИТОГО Торговля'!$B$5:$B$300,$B113)+SUMIFS('ИТОГО Лэндинг'!$C$5:$C$300,'ИТОГО Лэндинг'!$B$5:$B$300,$B113)=0,"",SUMIFS('ИТОГО Торговля'!$C$5:$C$300,'ИТОГО Торговля'!$B$5:$B$300,$B113)+SUMIFS('ИТОГО Лэндинг'!$C$5:$C$300,'ИТОГО Лэндинг'!$B$5:$B$300,$B113)))</f>
        <v/>
      </c>
      <c r="D113" s="177" t="str">
        <f>IF(C113="","",E113/C113)</f>
        <v/>
      </c>
      <c r="E113" s="241" t="str">
        <f>IF(C113="","",SUMIFS('ИТОГО Торговля'!$E$5:$E$300,'ИТОГО Торговля'!$B$5:$B$300,$B113)+SUMIFS('ИТОГО Лэндинг'!$E$5:$E$300,'ИТОГО Лэндинг'!$B$5:$B$300,$B113))</f>
        <v/>
      </c>
      <c r="F113" s="240" t="str">
        <f>IF($B113="","",IF(SUMIFS('ИТОГО Торговля'!$F$5:$F$300,'ИТОГО Торговля'!$B$5:$B$300,$B113)+SUMIFS('ИТОГО Лэндинг'!$F$5:$F$300,'ИТОГО Лэндинг'!$B$5:$B$300,$B113)=0,"",SUMIFS('ИТОГО Торговля'!$F$5:$F$300,'ИТОГО Торговля'!$B$5:$B$300,$B113)+SUMIFS('ИТОГО Лэндинг'!$F$5:$F$300,'ИТОГО Лэндинг'!$B$5:$B$300,$B113)))</f>
        <v/>
      </c>
      <c r="G113" s="177" t="str">
        <f>IF(F113="","",H113/F113)</f>
        <v/>
      </c>
      <c r="H113" s="241" t="str">
        <f>IF(F113="","",SUMIFS('ИТОГО Торговля'!$H$5:$H$300,'ИТОГО Торговля'!$B$5:$B$300,$B113)+SUMIFS('ИТОГО Лэндинг'!$H$5:$H$300,'ИТОГО Лэндинг'!$B$5:$B$300,$B113))</f>
        <v/>
      </c>
      <c r="I113" s="240" t="str">
        <f>IF($B113="","",IF(AND(C113="",F113=""),"",ROUND(SUMIFS('ИТОГО Торговля'!$I$5:$I$300,'ИТОГО Торговля'!$B$5:$B$300,$B113)+SUMIFS('ИТОГО Лэндинг'!$I$5:$I$300,'ИТОГО Лэндинг'!$B$5:$B$300,$B113),8)))</f>
        <v/>
      </c>
      <c r="J113" s="241" t="str">
        <f>IF($B113="","",IF(AND(C113="",F113=""),"",ROUND(SUMIFS('ИТОГО Торговля'!$J$5:$J$300,'ИТОГО Торговля'!$B$5:$B$300,$B113)+SUMIFS('ИТОГО Лэндинг'!$J$5:$J$300,'ИТОГО Лэндинг'!$B$5:$B$300,$B113),8)))</f>
        <v/>
      </c>
      <c r="K113" s="240" t="str">
        <f>IF(MIN(N(C113),N(F113))&lt;=0,"",ROUND(MIN(N(C113),N(F113))*(N(G113)-N(D113)),8))</f>
        <v/>
      </c>
      <c r="L113" s="177" t="str">
        <f>IF(MIN(N(C113),N(F113))&lt;=0,"",IF(N(D113)=0,"",ROUND((N(G113)/N(D113)-1)*100,2)))</f>
        <v/>
      </c>
      <c r="M113" s="177" t="str">
        <f>IF(OR(ROUND(N(C113)-N(F113),8)=0,1-N(Ввод!$J$19)/100&lt;=0),"",IF(N(C113)&gt;N(F113),(N(E113)-N(H113))/((N(C113)-N(F113))*(1-N(Ввод!$J$19)/100)),(N(H113)-N(E113))/((N(F113)-N(C113))*(1+N(Ввод!$J$19)/100))))</f>
        <v/>
      </c>
    </row>
    <row r="114" ht="22" customHeight="1">
      <c r="B114" s="245" t="n"/>
      <c r="C114" s="246" t="str">
        <f>IF($B114="","",IF(SUMIFS('ИТОГО Торговля'!$C$5:$C$300,'ИТОГО Торговля'!$B$5:$B$300,$B114)+SUMIFS('ИТОГО Лэндинг'!$C$5:$C$300,'ИТОГО Лэндинг'!$B$5:$B$300,$B114)=0,"",SUMIFS('ИТОГО Торговля'!$C$5:$C$300,'ИТОГО Торговля'!$B$5:$B$300,$B114)+SUMIFS('ИТОГО Лэндинг'!$C$5:$C$300,'ИТОГО Лэндинг'!$B$5:$B$300,$B114)))</f>
        <v/>
      </c>
      <c r="D114" s="183" t="str">
        <f>IF(C114="","",E114/C114)</f>
        <v/>
      </c>
      <c r="E114" s="247" t="str">
        <f>IF(C114="","",SUMIFS('ИТОГО Торговля'!$E$5:$E$300,'ИТОГО Торговля'!$B$5:$B$300,$B114)+SUMIFS('ИТОГО Лэндинг'!$E$5:$E$300,'ИТОГО Лэндинг'!$B$5:$B$300,$B114))</f>
        <v/>
      </c>
      <c r="F114" s="246" t="str">
        <f>IF($B114="","",IF(SUMIFS('ИТОГО Торговля'!$F$5:$F$300,'ИТОГО Торговля'!$B$5:$B$300,$B114)+SUMIFS('ИТОГО Лэндинг'!$F$5:$F$300,'ИТОГО Лэндинг'!$B$5:$B$300,$B114)=0,"",SUMIFS('ИТОГО Торговля'!$F$5:$F$300,'ИТОГО Торговля'!$B$5:$B$300,$B114)+SUMIFS('ИТОГО Лэндинг'!$F$5:$F$300,'ИТОГО Лэндинг'!$B$5:$B$300,$B114)))</f>
        <v/>
      </c>
      <c r="G114" s="183" t="str">
        <f>IF(F114="","",H114/F114)</f>
        <v/>
      </c>
      <c r="H114" s="247" t="str">
        <f>IF(F114="","",SUMIFS('ИТОГО Торговля'!$H$5:$H$300,'ИТОГО Торговля'!$B$5:$B$300,$B114)+SUMIFS('ИТОГО Лэндинг'!$H$5:$H$300,'ИТОГО Лэндинг'!$B$5:$B$300,$B114))</f>
        <v/>
      </c>
      <c r="I114" s="246" t="str">
        <f>IF($B114="","",IF(AND(C114="",F114=""),"",ROUND(SUMIFS('ИТОГО Торговля'!$I$5:$I$300,'ИТОГО Торговля'!$B$5:$B$300,$B114)+SUMIFS('ИТОГО Лэндинг'!$I$5:$I$300,'ИТОГО Лэндинг'!$B$5:$B$300,$B114),8)))</f>
        <v/>
      </c>
      <c r="J114" s="247" t="str">
        <f>IF($B114="","",IF(AND(C114="",F114=""),"",ROUND(SUMIFS('ИТОГО Торговля'!$J$5:$J$300,'ИТОГО Торговля'!$B$5:$B$300,$B114)+SUMIFS('ИТОГО Лэндинг'!$J$5:$J$300,'ИТОГО Лэндинг'!$B$5:$B$300,$B114),8)))</f>
        <v/>
      </c>
      <c r="K114" s="246" t="str">
        <f>IF(MIN(N(C114),N(F114))&lt;=0,"",ROUND(MIN(N(C114),N(F114))*(N(G114)-N(D114)),8))</f>
        <v/>
      </c>
      <c r="L114" s="183" t="str">
        <f>IF(MIN(N(C114),N(F114))&lt;=0,"",IF(N(D114)=0,"",ROUND((N(G114)/N(D114)-1)*100,2)))</f>
        <v/>
      </c>
      <c r="M114" s="183" t="str">
        <f>IF(OR(ROUND(N(C114)-N(F114),8)=0,1-N(Ввод!$J$19)/100&lt;=0),"",IF(N(C114)&gt;N(F114),(N(E114)-N(H114))/((N(C114)-N(F114))*(1-N(Ввод!$J$19)/100)),(N(H114)-N(E114))/((N(F114)-N(C114))*(1+N(Ввод!$J$19)/100))))</f>
        <v/>
      </c>
    </row>
    <row r="115" ht="22" customHeight="1">
      <c r="B115" s="239" t="n"/>
      <c r="C115" s="240" t="str">
        <f>IF($B115="","",IF(SUMIFS('ИТОГО Торговля'!$C$5:$C$300,'ИТОГО Торговля'!$B$5:$B$300,$B115)+SUMIFS('ИТОГО Лэндинг'!$C$5:$C$300,'ИТОГО Лэндинг'!$B$5:$B$300,$B115)=0,"",SUMIFS('ИТОГО Торговля'!$C$5:$C$300,'ИТОГО Торговля'!$B$5:$B$300,$B115)+SUMIFS('ИТОГО Лэндинг'!$C$5:$C$300,'ИТОГО Лэндинг'!$B$5:$B$300,$B115)))</f>
        <v/>
      </c>
      <c r="D115" s="177" t="str">
        <f>IF(C115="","",E115/C115)</f>
        <v/>
      </c>
      <c r="E115" s="241" t="str">
        <f>IF(C115="","",SUMIFS('ИТОГО Торговля'!$E$5:$E$300,'ИТОГО Торговля'!$B$5:$B$300,$B115)+SUMIFS('ИТОГО Лэндинг'!$E$5:$E$300,'ИТОГО Лэндинг'!$B$5:$B$300,$B115))</f>
        <v/>
      </c>
      <c r="F115" s="240" t="str">
        <f>IF($B115="","",IF(SUMIFS('ИТОГО Торговля'!$F$5:$F$300,'ИТОГО Торговля'!$B$5:$B$300,$B115)+SUMIFS('ИТОГО Лэндинг'!$F$5:$F$300,'ИТОГО Лэндинг'!$B$5:$B$300,$B115)=0,"",SUMIFS('ИТОГО Торговля'!$F$5:$F$300,'ИТОГО Торговля'!$B$5:$B$300,$B115)+SUMIFS('ИТОГО Лэндинг'!$F$5:$F$300,'ИТОГО Лэндинг'!$B$5:$B$300,$B115)))</f>
        <v/>
      </c>
      <c r="G115" s="177" t="str">
        <f>IF(F115="","",H115/F115)</f>
        <v/>
      </c>
      <c r="H115" s="241" t="str">
        <f>IF(F115="","",SUMIFS('ИТОГО Торговля'!$H$5:$H$300,'ИТОГО Торговля'!$B$5:$B$300,$B115)+SUMIFS('ИТОГО Лэндинг'!$H$5:$H$300,'ИТОГО Лэндинг'!$B$5:$B$300,$B115))</f>
        <v/>
      </c>
      <c r="I115" s="240" t="str">
        <f>IF($B115="","",IF(AND(C115="",F115=""),"",ROUND(SUMIFS('ИТОГО Торговля'!$I$5:$I$300,'ИТОГО Торговля'!$B$5:$B$300,$B115)+SUMIFS('ИТОГО Лэндинг'!$I$5:$I$300,'ИТОГО Лэндинг'!$B$5:$B$300,$B115),8)))</f>
        <v/>
      </c>
      <c r="J115" s="241" t="str">
        <f>IF($B115="","",IF(AND(C115="",F115=""),"",ROUND(SUMIFS('ИТОГО Торговля'!$J$5:$J$300,'ИТОГО Торговля'!$B$5:$B$300,$B115)+SUMIFS('ИТОГО Лэндинг'!$J$5:$J$300,'ИТОГО Лэндинг'!$B$5:$B$300,$B115),8)))</f>
        <v/>
      </c>
      <c r="K115" s="240" t="str">
        <f>IF(MIN(N(C115),N(F115))&lt;=0,"",ROUND(MIN(N(C115),N(F115))*(N(G115)-N(D115)),8))</f>
        <v/>
      </c>
      <c r="L115" s="177" t="str">
        <f>IF(MIN(N(C115),N(F115))&lt;=0,"",IF(N(D115)=0,"",ROUND((N(G115)/N(D115)-1)*100,2)))</f>
        <v/>
      </c>
      <c r="M115" s="177" t="str">
        <f>IF(OR(ROUND(N(C115)-N(F115),8)=0,1-N(Ввод!$J$19)/100&lt;=0),"",IF(N(C115)&gt;N(F115),(N(E115)-N(H115))/((N(C115)-N(F115))*(1-N(Ввод!$J$19)/100)),(N(H115)-N(E115))/((N(F115)-N(C115))*(1+N(Ввод!$J$19)/100))))</f>
        <v/>
      </c>
    </row>
    <row r="116" ht="22" customHeight="1">
      <c r="B116" s="245" t="n"/>
      <c r="C116" s="246" t="str">
        <f>IF($B116="","",IF(SUMIFS('ИТОГО Торговля'!$C$5:$C$300,'ИТОГО Торговля'!$B$5:$B$300,$B116)+SUMIFS('ИТОГО Лэндинг'!$C$5:$C$300,'ИТОГО Лэндинг'!$B$5:$B$300,$B116)=0,"",SUMIFS('ИТОГО Торговля'!$C$5:$C$300,'ИТОГО Торговля'!$B$5:$B$300,$B116)+SUMIFS('ИТОГО Лэндинг'!$C$5:$C$300,'ИТОГО Лэндинг'!$B$5:$B$300,$B116)))</f>
        <v/>
      </c>
      <c r="D116" s="183" t="str">
        <f>IF(C116="","",E116/C116)</f>
        <v/>
      </c>
      <c r="E116" s="247" t="str">
        <f>IF(C116="","",SUMIFS('ИТОГО Торговля'!$E$5:$E$300,'ИТОГО Торговля'!$B$5:$B$300,$B116)+SUMIFS('ИТОГО Лэндинг'!$E$5:$E$300,'ИТОГО Лэндинг'!$B$5:$B$300,$B116))</f>
        <v/>
      </c>
      <c r="F116" s="246" t="str">
        <f>IF($B116="","",IF(SUMIFS('ИТОГО Торговля'!$F$5:$F$300,'ИТОГО Торговля'!$B$5:$B$300,$B116)+SUMIFS('ИТОГО Лэндинг'!$F$5:$F$300,'ИТОГО Лэндинг'!$B$5:$B$300,$B116)=0,"",SUMIFS('ИТОГО Торговля'!$F$5:$F$300,'ИТОГО Торговля'!$B$5:$B$300,$B116)+SUMIFS('ИТОГО Лэндинг'!$F$5:$F$300,'ИТОГО Лэндинг'!$B$5:$B$300,$B116)))</f>
        <v/>
      </c>
      <c r="G116" s="183" t="str">
        <f>IF(F116="","",H116/F116)</f>
        <v/>
      </c>
      <c r="H116" s="247" t="str">
        <f>IF(F116="","",SUMIFS('ИТОГО Торговля'!$H$5:$H$300,'ИТОГО Торговля'!$B$5:$B$300,$B116)+SUMIFS('ИТОГО Лэндинг'!$H$5:$H$300,'ИТОГО Лэндинг'!$B$5:$B$300,$B116))</f>
        <v/>
      </c>
      <c r="I116" s="246" t="str">
        <f>IF($B116="","",IF(AND(C116="",F116=""),"",ROUND(SUMIFS('ИТОГО Торговля'!$I$5:$I$300,'ИТОГО Торговля'!$B$5:$B$300,$B116)+SUMIFS('ИТОГО Лэндинг'!$I$5:$I$300,'ИТОГО Лэндинг'!$B$5:$B$300,$B116),8)))</f>
        <v/>
      </c>
      <c r="J116" s="247" t="str">
        <f>IF($B116="","",IF(AND(C116="",F116=""),"",ROUND(SUMIFS('ИТОГО Торговля'!$J$5:$J$300,'ИТОГО Торговля'!$B$5:$B$300,$B116)+SUMIFS('ИТОГО Лэндинг'!$J$5:$J$300,'ИТОГО Лэндинг'!$B$5:$B$300,$B116),8)))</f>
        <v/>
      </c>
      <c r="K116" s="246" t="str">
        <f>IF(MIN(N(C116),N(F116))&lt;=0,"",ROUND(MIN(N(C116),N(F116))*(N(G116)-N(D116)),8))</f>
        <v/>
      </c>
      <c r="L116" s="183" t="str">
        <f>IF(MIN(N(C116),N(F116))&lt;=0,"",IF(N(D116)=0,"",ROUND((N(G116)/N(D116)-1)*100,2)))</f>
        <v/>
      </c>
      <c r="M116" s="183" t="str">
        <f>IF(OR(ROUND(N(C116)-N(F116),8)=0,1-N(Ввод!$J$19)/100&lt;=0),"",IF(N(C116)&gt;N(F116),(N(E116)-N(H116))/((N(C116)-N(F116))*(1-N(Ввод!$J$19)/100)),(N(H116)-N(E116))/((N(F116)-N(C116))*(1+N(Ввод!$J$19)/100))))</f>
        <v/>
      </c>
    </row>
    <row r="117" ht="22" customHeight="1">
      <c r="B117" s="239" t="n"/>
      <c r="C117" s="240" t="str">
        <f>IF($B117="","",IF(SUMIFS('ИТОГО Торговля'!$C$5:$C$300,'ИТОГО Торговля'!$B$5:$B$300,$B117)+SUMIFS('ИТОГО Лэндинг'!$C$5:$C$300,'ИТОГО Лэндинг'!$B$5:$B$300,$B117)=0,"",SUMIFS('ИТОГО Торговля'!$C$5:$C$300,'ИТОГО Торговля'!$B$5:$B$300,$B117)+SUMIFS('ИТОГО Лэндинг'!$C$5:$C$300,'ИТОГО Лэндинг'!$B$5:$B$300,$B117)))</f>
        <v/>
      </c>
      <c r="D117" s="177" t="str">
        <f>IF(C117="","",E117/C117)</f>
        <v/>
      </c>
      <c r="E117" s="241" t="str">
        <f>IF(C117="","",SUMIFS('ИТОГО Торговля'!$E$5:$E$300,'ИТОГО Торговля'!$B$5:$B$300,$B117)+SUMIFS('ИТОГО Лэндинг'!$E$5:$E$300,'ИТОГО Лэндинг'!$B$5:$B$300,$B117))</f>
        <v/>
      </c>
      <c r="F117" s="240" t="str">
        <f>IF($B117="","",IF(SUMIFS('ИТОГО Торговля'!$F$5:$F$300,'ИТОГО Торговля'!$B$5:$B$300,$B117)+SUMIFS('ИТОГО Лэндинг'!$F$5:$F$300,'ИТОГО Лэндинг'!$B$5:$B$300,$B117)=0,"",SUMIFS('ИТОГО Торговля'!$F$5:$F$300,'ИТОГО Торговля'!$B$5:$B$300,$B117)+SUMIFS('ИТОГО Лэндинг'!$F$5:$F$300,'ИТОГО Лэндинг'!$B$5:$B$300,$B117)))</f>
        <v/>
      </c>
      <c r="G117" s="177" t="str">
        <f>IF(F117="","",H117/F117)</f>
        <v/>
      </c>
      <c r="H117" s="241" t="str">
        <f>IF(F117="","",SUMIFS('ИТОГО Торговля'!$H$5:$H$300,'ИТОГО Торговля'!$B$5:$B$300,$B117)+SUMIFS('ИТОГО Лэндинг'!$H$5:$H$300,'ИТОГО Лэндинг'!$B$5:$B$300,$B117))</f>
        <v/>
      </c>
      <c r="I117" s="240" t="str">
        <f>IF($B117="","",IF(AND(C117="",F117=""),"",ROUND(SUMIFS('ИТОГО Торговля'!$I$5:$I$300,'ИТОГО Торговля'!$B$5:$B$300,$B117)+SUMIFS('ИТОГО Лэндинг'!$I$5:$I$300,'ИТОГО Лэндинг'!$B$5:$B$300,$B117),8)))</f>
        <v/>
      </c>
      <c r="J117" s="241" t="str">
        <f>IF($B117="","",IF(AND(C117="",F117=""),"",ROUND(SUMIFS('ИТОГО Торговля'!$J$5:$J$300,'ИТОГО Торговля'!$B$5:$B$300,$B117)+SUMIFS('ИТОГО Лэндинг'!$J$5:$J$300,'ИТОГО Лэндинг'!$B$5:$B$300,$B117),8)))</f>
        <v/>
      </c>
      <c r="K117" s="240" t="str">
        <f>IF(MIN(N(C117),N(F117))&lt;=0,"",ROUND(MIN(N(C117),N(F117))*(N(G117)-N(D117)),8))</f>
        <v/>
      </c>
      <c r="L117" s="177" t="str">
        <f>IF(MIN(N(C117),N(F117))&lt;=0,"",IF(N(D117)=0,"",ROUND((N(G117)/N(D117)-1)*100,2)))</f>
        <v/>
      </c>
      <c r="M117" s="177" t="str">
        <f>IF(OR(ROUND(N(C117)-N(F117),8)=0,1-N(Ввод!$J$19)/100&lt;=0),"",IF(N(C117)&gt;N(F117),(N(E117)-N(H117))/((N(C117)-N(F117))*(1-N(Ввод!$J$19)/100)),(N(H117)-N(E117))/((N(F117)-N(C117))*(1+N(Ввод!$J$19)/100))))</f>
        <v/>
      </c>
    </row>
    <row r="118" ht="22" customHeight="1">
      <c r="B118" s="245" t="n"/>
      <c r="C118" s="246" t="str">
        <f>IF($B118="","",IF(SUMIFS('ИТОГО Торговля'!$C$5:$C$300,'ИТОГО Торговля'!$B$5:$B$300,$B118)+SUMIFS('ИТОГО Лэндинг'!$C$5:$C$300,'ИТОГО Лэндинг'!$B$5:$B$300,$B118)=0,"",SUMIFS('ИТОГО Торговля'!$C$5:$C$300,'ИТОГО Торговля'!$B$5:$B$300,$B118)+SUMIFS('ИТОГО Лэндинг'!$C$5:$C$300,'ИТОГО Лэндинг'!$B$5:$B$300,$B118)))</f>
        <v/>
      </c>
      <c r="D118" s="183" t="str">
        <f>IF(C118="","",E118/C118)</f>
        <v/>
      </c>
      <c r="E118" s="247" t="str">
        <f>IF(C118="","",SUMIFS('ИТОГО Торговля'!$E$5:$E$300,'ИТОГО Торговля'!$B$5:$B$300,$B118)+SUMIFS('ИТОГО Лэндинг'!$E$5:$E$300,'ИТОГО Лэндинг'!$B$5:$B$300,$B118))</f>
        <v/>
      </c>
      <c r="F118" s="246" t="str">
        <f>IF($B118="","",IF(SUMIFS('ИТОГО Торговля'!$F$5:$F$300,'ИТОГО Торговля'!$B$5:$B$300,$B118)+SUMIFS('ИТОГО Лэндинг'!$F$5:$F$300,'ИТОГО Лэндинг'!$B$5:$B$300,$B118)=0,"",SUMIFS('ИТОГО Торговля'!$F$5:$F$300,'ИТОГО Торговля'!$B$5:$B$300,$B118)+SUMIFS('ИТОГО Лэндинг'!$F$5:$F$300,'ИТОГО Лэндинг'!$B$5:$B$300,$B118)))</f>
        <v/>
      </c>
      <c r="G118" s="183" t="str">
        <f>IF(F118="","",H118/F118)</f>
        <v/>
      </c>
      <c r="H118" s="247" t="str">
        <f>IF(F118="","",SUMIFS('ИТОГО Торговля'!$H$5:$H$300,'ИТОГО Торговля'!$B$5:$B$300,$B118)+SUMIFS('ИТОГО Лэндинг'!$H$5:$H$300,'ИТОГО Лэндинг'!$B$5:$B$300,$B118))</f>
        <v/>
      </c>
      <c r="I118" s="246" t="str">
        <f>IF($B118="","",IF(AND(C118="",F118=""),"",ROUND(SUMIFS('ИТОГО Торговля'!$I$5:$I$300,'ИТОГО Торговля'!$B$5:$B$300,$B118)+SUMIFS('ИТОГО Лэндинг'!$I$5:$I$300,'ИТОГО Лэндинг'!$B$5:$B$300,$B118),8)))</f>
        <v/>
      </c>
      <c r="J118" s="247" t="str">
        <f>IF($B118="","",IF(AND(C118="",F118=""),"",ROUND(SUMIFS('ИТОГО Торговля'!$J$5:$J$300,'ИТОГО Торговля'!$B$5:$B$300,$B118)+SUMIFS('ИТОГО Лэндинг'!$J$5:$J$300,'ИТОГО Лэндинг'!$B$5:$B$300,$B118),8)))</f>
        <v/>
      </c>
      <c r="K118" s="246" t="str">
        <f>IF(MIN(N(C118),N(F118))&lt;=0,"",ROUND(MIN(N(C118),N(F118))*(N(G118)-N(D118)),8))</f>
        <v/>
      </c>
      <c r="L118" s="183" t="str">
        <f>IF(MIN(N(C118),N(F118))&lt;=0,"",IF(N(D118)=0,"",ROUND((N(G118)/N(D118)-1)*100,2)))</f>
        <v/>
      </c>
      <c r="M118" s="183" t="str">
        <f>IF(OR(ROUND(N(C118)-N(F118),8)=0,1-N(Ввод!$J$19)/100&lt;=0),"",IF(N(C118)&gt;N(F118),(N(E118)-N(H118))/((N(C118)-N(F118))*(1-N(Ввод!$J$19)/100)),(N(H118)-N(E118))/((N(F118)-N(C118))*(1+N(Ввод!$J$19)/100))))</f>
        <v/>
      </c>
    </row>
    <row r="119" ht="22" customHeight="1">
      <c r="B119" s="239" t="n"/>
      <c r="C119" s="240" t="str">
        <f>IF($B119="","",IF(SUMIFS('ИТОГО Торговля'!$C$5:$C$300,'ИТОГО Торговля'!$B$5:$B$300,$B119)+SUMIFS('ИТОГО Лэндинг'!$C$5:$C$300,'ИТОГО Лэндинг'!$B$5:$B$300,$B119)=0,"",SUMIFS('ИТОГО Торговля'!$C$5:$C$300,'ИТОГО Торговля'!$B$5:$B$300,$B119)+SUMIFS('ИТОГО Лэндинг'!$C$5:$C$300,'ИТОГО Лэндинг'!$B$5:$B$300,$B119)))</f>
        <v/>
      </c>
      <c r="D119" s="177" t="str">
        <f>IF(C119="","",E119/C119)</f>
        <v/>
      </c>
      <c r="E119" s="241" t="str">
        <f>IF(C119="","",SUMIFS('ИТОГО Торговля'!$E$5:$E$300,'ИТОГО Торговля'!$B$5:$B$300,$B119)+SUMIFS('ИТОГО Лэндинг'!$E$5:$E$300,'ИТОГО Лэндинг'!$B$5:$B$300,$B119))</f>
        <v/>
      </c>
      <c r="F119" s="240" t="str">
        <f>IF($B119="","",IF(SUMIFS('ИТОГО Торговля'!$F$5:$F$300,'ИТОГО Торговля'!$B$5:$B$300,$B119)+SUMIFS('ИТОГО Лэндинг'!$F$5:$F$300,'ИТОГО Лэндинг'!$B$5:$B$300,$B119)=0,"",SUMIFS('ИТОГО Торговля'!$F$5:$F$300,'ИТОГО Торговля'!$B$5:$B$300,$B119)+SUMIFS('ИТОГО Лэндинг'!$F$5:$F$300,'ИТОГО Лэндинг'!$B$5:$B$300,$B119)))</f>
        <v/>
      </c>
      <c r="G119" s="177" t="str">
        <f>IF(F119="","",H119/F119)</f>
        <v/>
      </c>
      <c r="H119" s="241" t="str">
        <f>IF(F119="","",SUMIFS('ИТОГО Торговля'!$H$5:$H$300,'ИТОГО Торговля'!$B$5:$B$300,$B119)+SUMIFS('ИТОГО Лэндинг'!$H$5:$H$300,'ИТОГО Лэндинг'!$B$5:$B$300,$B119))</f>
        <v/>
      </c>
      <c r="I119" s="240" t="str">
        <f>IF($B119="","",IF(AND(C119="",F119=""),"",ROUND(SUMIFS('ИТОГО Торговля'!$I$5:$I$300,'ИТОГО Торговля'!$B$5:$B$300,$B119)+SUMIFS('ИТОГО Лэндинг'!$I$5:$I$300,'ИТОГО Лэндинг'!$B$5:$B$300,$B119),8)))</f>
        <v/>
      </c>
      <c r="J119" s="241" t="str">
        <f>IF($B119="","",IF(AND(C119="",F119=""),"",ROUND(SUMIFS('ИТОГО Торговля'!$J$5:$J$300,'ИТОГО Торговля'!$B$5:$B$300,$B119)+SUMIFS('ИТОГО Лэндинг'!$J$5:$J$300,'ИТОГО Лэндинг'!$B$5:$B$300,$B119),8)))</f>
        <v/>
      </c>
      <c r="K119" s="240" t="str">
        <f>IF(MIN(N(C119),N(F119))&lt;=0,"",ROUND(MIN(N(C119),N(F119))*(N(G119)-N(D119)),8))</f>
        <v/>
      </c>
      <c r="L119" s="177" t="str">
        <f>IF(MIN(N(C119),N(F119))&lt;=0,"",IF(N(D119)=0,"",ROUND((N(G119)/N(D119)-1)*100,2)))</f>
        <v/>
      </c>
      <c r="M119" s="177" t="str">
        <f>IF(OR(ROUND(N(C119)-N(F119),8)=0,1-N(Ввод!$J$19)/100&lt;=0),"",IF(N(C119)&gt;N(F119),(N(E119)-N(H119))/((N(C119)-N(F119))*(1-N(Ввод!$J$19)/100)),(N(H119)-N(E119))/((N(F119)-N(C119))*(1+N(Ввод!$J$19)/100))))</f>
        <v/>
      </c>
    </row>
    <row r="120" ht="22" customHeight="1">
      <c r="B120" s="245" t="n"/>
      <c r="C120" s="246" t="str">
        <f>IF($B120="","",IF(SUMIFS('ИТОГО Торговля'!$C$5:$C$300,'ИТОГО Торговля'!$B$5:$B$300,$B120)+SUMIFS('ИТОГО Лэндинг'!$C$5:$C$300,'ИТОГО Лэндинг'!$B$5:$B$300,$B120)=0,"",SUMIFS('ИТОГО Торговля'!$C$5:$C$300,'ИТОГО Торговля'!$B$5:$B$300,$B120)+SUMIFS('ИТОГО Лэндинг'!$C$5:$C$300,'ИТОГО Лэндинг'!$B$5:$B$300,$B120)))</f>
        <v/>
      </c>
      <c r="D120" s="183" t="str">
        <f>IF(C120="","",E120/C120)</f>
        <v/>
      </c>
      <c r="E120" s="247" t="str">
        <f>IF(C120="","",SUMIFS('ИТОГО Торговля'!$E$5:$E$300,'ИТОГО Торговля'!$B$5:$B$300,$B120)+SUMIFS('ИТОГО Лэндинг'!$E$5:$E$300,'ИТОГО Лэндинг'!$B$5:$B$300,$B120))</f>
        <v/>
      </c>
      <c r="F120" s="246" t="str">
        <f>IF($B120="","",IF(SUMIFS('ИТОГО Торговля'!$F$5:$F$300,'ИТОГО Торговля'!$B$5:$B$300,$B120)+SUMIFS('ИТОГО Лэндинг'!$F$5:$F$300,'ИТОГО Лэндинг'!$B$5:$B$300,$B120)=0,"",SUMIFS('ИТОГО Торговля'!$F$5:$F$300,'ИТОГО Торговля'!$B$5:$B$300,$B120)+SUMIFS('ИТОГО Лэндинг'!$F$5:$F$300,'ИТОГО Лэндинг'!$B$5:$B$300,$B120)))</f>
        <v/>
      </c>
      <c r="G120" s="183" t="str">
        <f>IF(F120="","",H120/F120)</f>
        <v/>
      </c>
      <c r="H120" s="247" t="str">
        <f>IF(F120="","",SUMIFS('ИТОГО Торговля'!$H$5:$H$300,'ИТОГО Торговля'!$B$5:$B$300,$B120)+SUMIFS('ИТОГО Лэндинг'!$H$5:$H$300,'ИТОГО Лэндинг'!$B$5:$B$300,$B120))</f>
        <v/>
      </c>
      <c r="I120" s="246" t="str">
        <f>IF($B120="","",IF(AND(C120="",F120=""),"",ROUND(SUMIFS('ИТОГО Торговля'!$I$5:$I$300,'ИТОГО Торговля'!$B$5:$B$300,$B120)+SUMIFS('ИТОГО Лэндинг'!$I$5:$I$300,'ИТОГО Лэндинг'!$B$5:$B$300,$B120),8)))</f>
        <v/>
      </c>
      <c r="J120" s="247" t="str">
        <f>IF($B120="","",IF(AND(C120="",F120=""),"",ROUND(SUMIFS('ИТОГО Торговля'!$J$5:$J$300,'ИТОГО Торговля'!$B$5:$B$300,$B120)+SUMIFS('ИТОГО Лэндинг'!$J$5:$J$300,'ИТОГО Лэндинг'!$B$5:$B$300,$B120),8)))</f>
        <v/>
      </c>
      <c r="K120" s="246" t="str">
        <f>IF(MIN(N(C120),N(F120))&lt;=0,"",ROUND(MIN(N(C120),N(F120))*(N(G120)-N(D120)),8))</f>
        <v/>
      </c>
      <c r="L120" s="183" t="str">
        <f>IF(MIN(N(C120),N(F120))&lt;=0,"",IF(N(D120)=0,"",ROUND((N(G120)/N(D120)-1)*100,2)))</f>
        <v/>
      </c>
      <c r="M120" s="183" t="str">
        <f>IF(OR(ROUND(N(C120)-N(F120),8)=0,1-N(Ввод!$J$19)/100&lt;=0),"",IF(N(C120)&gt;N(F120),(N(E120)-N(H120))/((N(C120)-N(F120))*(1-N(Ввод!$J$19)/100)),(N(H120)-N(E120))/((N(F120)-N(C120))*(1+N(Ввод!$J$19)/100))))</f>
        <v/>
      </c>
    </row>
    <row r="121" ht="22" customHeight="1">
      <c r="B121" s="239" t="n"/>
      <c r="C121" s="240" t="str">
        <f>IF($B121="","",IF(SUMIFS('ИТОГО Торговля'!$C$5:$C$300,'ИТОГО Торговля'!$B$5:$B$300,$B121)+SUMIFS('ИТОГО Лэндинг'!$C$5:$C$300,'ИТОГО Лэндинг'!$B$5:$B$300,$B121)=0,"",SUMIFS('ИТОГО Торговля'!$C$5:$C$300,'ИТОГО Торговля'!$B$5:$B$300,$B121)+SUMIFS('ИТОГО Лэндинг'!$C$5:$C$300,'ИТОГО Лэндинг'!$B$5:$B$300,$B121)))</f>
        <v/>
      </c>
      <c r="D121" s="177" t="str">
        <f>IF(C121="","",E121/C121)</f>
        <v/>
      </c>
      <c r="E121" s="241" t="str">
        <f>IF(C121="","",SUMIFS('ИТОГО Торговля'!$E$5:$E$300,'ИТОГО Торговля'!$B$5:$B$300,$B121)+SUMIFS('ИТОГО Лэндинг'!$E$5:$E$300,'ИТОГО Лэндинг'!$B$5:$B$300,$B121))</f>
        <v/>
      </c>
      <c r="F121" s="240" t="str">
        <f>IF($B121="","",IF(SUMIFS('ИТОГО Торговля'!$F$5:$F$300,'ИТОГО Торговля'!$B$5:$B$300,$B121)+SUMIFS('ИТОГО Лэндинг'!$F$5:$F$300,'ИТОГО Лэндинг'!$B$5:$B$300,$B121)=0,"",SUMIFS('ИТОГО Торговля'!$F$5:$F$300,'ИТОГО Торговля'!$B$5:$B$300,$B121)+SUMIFS('ИТОГО Лэндинг'!$F$5:$F$300,'ИТОГО Лэндинг'!$B$5:$B$300,$B121)))</f>
        <v/>
      </c>
      <c r="G121" s="177" t="str">
        <f>IF(F121="","",H121/F121)</f>
        <v/>
      </c>
      <c r="H121" s="241" t="str">
        <f>IF(F121="","",SUMIFS('ИТОГО Торговля'!$H$5:$H$300,'ИТОГО Торговля'!$B$5:$B$300,$B121)+SUMIFS('ИТОГО Лэндинг'!$H$5:$H$300,'ИТОГО Лэндинг'!$B$5:$B$300,$B121))</f>
        <v/>
      </c>
      <c r="I121" s="240" t="str">
        <f>IF($B121="","",IF(AND(C121="",F121=""),"",ROUND(SUMIFS('ИТОГО Торговля'!$I$5:$I$300,'ИТОГО Торговля'!$B$5:$B$300,$B121)+SUMIFS('ИТОГО Лэндинг'!$I$5:$I$300,'ИТОГО Лэндинг'!$B$5:$B$300,$B121),8)))</f>
        <v/>
      </c>
      <c r="J121" s="241" t="str">
        <f>IF($B121="","",IF(AND(C121="",F121=""),"",ROUND(SUMIFS('ИТОГО Торговля'!$J$5:$J$300,'ИТОГО Торговля'!$B$5:$B$300,$B121)+SUMIFS('ИТОГО Лэндинг'!$J$5:$J$300,'ИТОГО Лэндинг'!$B$5:$B$300,$B121),8)))</f>
        <v/>
      </c>
      <c r="K121" s="240" t="str">
        <f>IF(MIN(N(C121),N(F121))&lt;=0,"",ROUND(MIN(N(C121),N(F121))*(N(G121)-N(D121)),8))</f>
        <v/>
      </c>
      <c r="L121" s="177" t="str">
        <f>IF(MIN(N(C121),N(F121))&lt;=0,"",IF(N(D121)=0,"",ROUND((N(G121)/N(D121)-1)*100,2)))</f>
        <v/>
      </c>
      <c r="M121" s="177" t="str">
        <f>IF(OR(ROUND(N(C121)-N(F121),8)=0,1-N(Ввод!$J$19)/100&lt;=0),"",IF(N(C121)&gt;N(F121),(N(E121)-N(H121))/((N(C121)-N(F121))*(1-N(Ввод!$J$19)/100)),(N(H121)-N(E121))/((N(F121)-N(C121))*(1+N(Ввод!$J$19)/100))))</f>
        <v/>
      </c>
    </row>
    <row r="122" ht="22" customHeight="1">
      <c r="B122" s="245" t="n"/>
      <c r="C122" s="246" t="str">
        <f>IF($B122="","",IF(SUMIFS('ИТОГО Торговля'!$C$5:$C$300,'ИТОГО Торговля'!$B$5:$B$300,$B122)+SUMIFS('ИТОГО Лэндинг'!$C$5:$C$300,'ИТОГО Лэндинг'!$B$5:$B$300,$B122)=0,"",SUMIFS('ИТОГО Торговля'!$C$5:$C$300,'ИТОГО Торговля'!$B$5:$B$300,$B122)+SUMIFS('ИТОГО Лэндинг'!$C$5:$C$300,'ИТОГО Лэндинг'!$B$5:$B$300,$B122)))</f>
        <v/>
      </c>
      <c r="D122" s="183" t="str">
        <f>IF(C122="","",E122/C122)</f>
        <v/>
      </c>
      <c r="E122" s="247" t="str">
        <f>IF(C122="","",SUMIFS('ИТОГО Торговля'!$E$5:$E$300,'ИТОГО Торговля'!$B$5:$B$300,$B122)+SUMIFS('ИТОГО Лэндинг'!$E$5:$E$300,'ИТОГО Лэндинг'!$B$5:$B$300,$B122))</f>
        <v/>
      </c>
      <c r="F122" s="246" t="str">
        <f>IF($B122="","",IF(SUMIFS('ИТОГО Торговля'!$F$5:$F$300,'ИТОГО Торговля'!$B$5:$B$300,$B122)+SUMIFS('ИТОГО Лэндинг'!$F$5:$F$300,'ИТОГО Лэндинг'!$B$5:$B$300,$B122)=0,"",SUMIFS('ИТОГО Торговля'!$F$5:$F$300,'ИТОГО Торговля'!$B$5:$B$300,$B122)+SUMIFS('ИТОГО Лэндинг'!$F$5:$F$300,'ИТОГО Лэндинг'!$B$5:$B$300,$B122)))</f>
        <v/>
      </c>
      <c r="G122" s="183" t="str">
        <f>IF(F122="","",H122/F122)</f>
        <v/>
      </c>
      <c r="H122" s="247" t="str">
        <f>IF(F122="","",SUMIFS('ИТОГО Торговля'!$H$5:$H$300,'ИТОГО Торговля'!$B$5:$B$300,$B122)+SUMIFS('ИТОГО Лэндинг'!$H$5:$H$300,'ИТОГО Лэндинг'!$B$5:$B$300,$B122))</f>
        <v/>
      </c>
      <c r="I122" s="246" t="str">
        <f>IF($B122="","",IF(AND(C122="",F122=""),"",ROUND(SUMIFS('ИТОГО Торговля'!$I$5:$I$300,'ИТОГО Торговля'!$B$5:$B$300,$B122)+SUMIFS('ИТОГО Лэндинг'!$I$5:$I$300,'ИТОГО Лэндинг'!$B$5:$B$300,$B122),8)))</f>
        <v/>
      </c>
      <c r="J122" s="247" t="str">
        <f>IF($B122="","",IF(AND(C122="",F122=""),"",ROUND(SUMIFS('ИТОГО Торговля'!$J$5:$J$300,'ИТОГО Торговля'!$B$5:$B$300,$B122)+SUMIFS('ИТОГО Лэндинг'!$J$5:$J$300,'ИТОГО Лэндинг'!$B$5:$B$300,$B122),8)))</f>
        <v/>
      </c>
      <c r="K122" s="246" t="str">
        <f>IF(MIN(N(C122),N(F122))&lt;=0,"",ROUND(MIN(N(C122),N(F122))*(N(G122)-N(D122)),8))</f>
        <v/>
      </c>
      <c r="L122" s="183" t="str">
        <f>IF(MIN(N(C122),N(F122))&lt;=0,"",IF(N(D122)=0,"",ROUND((N(G122)/N(D122)-1)*100,2)))</f>
        <v/>
      </c>
      <c r="M122" s="183" t="str">
        <f>IF(OR(ROUND(N(C122)-N(F122),8)=0,1-N(Ввод!$J$19)/100&lt;=0),"",IF(N(C122)&gt;N(F122),(N(E122)-N(H122))/((N(C122)-N(F122))*(1-N(Ввод!$J$19)/100)),(N(H122)-N(E122))/((N(F122)-N(C122))*(1+N(Ввод!$J$19)/100))))</f>
        <v/>
      </c>
    </row>
    <row r="123" ht="22" customHeight="1">
      <c r="B123" s="239" t="n"/>
      <c r="C123" s="240" t="str">
        <f>IF($B123="","",IF(SUMIFS('ИТОГО Торговля'!$C$5:$C$300,'ИТОГО Торговля'!$B$5:$B$300,$B123)+SUMIFS('ИТОГО Лэндинг'!$C$5:$C$300,'ИТОГО Лэндинг'!$B$5:$B$300,$B123)=0,"",SUMIFS('ИТОГО Торговля'!$C$5:$C$300,'ИТОГО Торговля'!$B$5:$B$300,$B123)+SUMIFS('ИТОГО Лэндинг'!$C$5:$C$300,'ИТОГО Лэндинг'!$B$5:$B$300,$B123)))</f>
        <v/>
      </c>
      <c r="D123" s="177" t="str">
        <f>IF(C123="","",E123/C123)</f>
        <v/>
      </c>
      <c r="E123" s="241" t="str">
        <f>IF(C123="","",SUMIFS('ИТОГО Торговля'!$E$5:$E$300,'ИТОГО Торговля'!$B$5:$B$300,$B123)+SUMIFS('ИТОГО Лэндинг'!$E$5:$E$300,'ИТОГО Лэндинг'!$B$5:$B$300,$B123))</f>
        <v/>
      </c>
      <c r="F123" s="240" t="str">
        <f>IF($B123="","",IF(SUMIFS('ИТОГО Торговля'!$F$5:$F$300,'ИТОГО Торговля'!$B$5:$B$300,$B123)+SUMIFS('ИТОГО Лэндинг'!$F$5:$F$300,'ИТОГО Лэндинг'!$B$5:$B$300,$B123)=0,"",SUMIFS('ИТОГО Торговля'!$F$5:$F$300,'ИТОГО Торговля'!$B$5:$B$300,$B123)+SUMIFS('ИТОГО Лэндинг'!$F$5:$F$300,'ИТОГО Лэндинг'!$B$5:$B$300,$B123)))</f>
        <v/>
      </c>
      <c r="G123" s="177" t="str">
        <f>IF(F123="","",H123/F123)</f>
        <v/>
      </c>
      <c r="H123" s="241" t="str">
        <f>IF(F123="","",SUMIFS('ИТОГО Торговля'!$H$5:$H$300,'ИТОГО Торговля'!$B$5:$B$300,$B123)+SUMIFS('ИТОГО Лэндинг'!$H$5:$H$300,'ИТОГО Лэндинг'!$B$5:$B$300,$B123))</f>
        <v/>
      </c>
      <c r="I123" s="240" t="str">
        <f>IF($B123="","",IF(AND(C123="",F123=""),"",ROUND(SUMIFS('ИТОГО Торговля'!$I$5:$I$300,'ИТОГО Торговля'!$B$5:$B$300,$B123)+SUMIFS('ИТОГО Лэндинг'!$I$5:$I$300,'ИТОГО Лэндинг'!$B$5:$B$300,$B123),8)))</f>
        <v/>
      </c>
      <c r="J123" s="241" t="str">
        <f>IF($B123="","",IF(AND(C123="",F123=""),"",ROUND(SUMIFS('ИТОГО Торговля'!$J$5:$J$300,'ИТОГО Торговля'!$B$5:$B$300,$B123)+SUMIFS('ИТОГО Лэндинг'!$J$5:$J$300,'ИТОГО Лэндинг'!$B$5:$B$300,$B123),8)))</f>
        <v/>
      </c>
      <c r="K123" s="240" t="str">
        <f>IF(MIN(N(C123),N(F123))&lt;=0,"",ROUND(MIN(N(C123),N(F123))*(N(G123)-N(D123)),8))</f>
        <v/>
      </c>
      <c r="L123" s="177" t="str">
        <f>IF(MIN(N(C123),N(F123))&lt;=0,"",IF(N(D123)=0,"",ROUND((N(G123)/N(D123)-1)*100,2)))</f>
        <v/>
      </c>
      <c r="M123" s="177" t="str">
        <f>IF(OR(ROUND(N(C123)-N(F123),8)=0,1-N(Ввод!$J$19)/100&lt;=0),"",IF(N(C123)&gt;N(F123),(N(E123)-N(H123))/((N(C123)-N(F123))*(1-N(Ввод!$J$19)/100)),(N(H123)-N(E123))/((N(F123)-N(C123))*(1+N(Ввод!$J$19)/100))))</f>
        <v/>
      </c>
    </row>
    <row r="124" ht="22" customHeight="1">
      <c r="B124" s="245" t="n"/>
      <c r="C124" s="246" t="str">
        <f>IF($B124="","",IF(SUMIFS('ИТОГО Торговля'!$C$5:$C$300,'ИТОГО Торговля'!$B$5:$B$300,$B124)+SUMIFS('ИТОГО Лэндинг'!$C$5:$C$300,'ИТОГО Лэндинг'!$B$5:$B$300,$B124)=0,"",SUMIFS('ИТОГО Торговля'!$C$5:$C$300,'ИТОГО Торговля'!$B$5:$B$300,$B124)+SUMIFS('ИТОГО Лэндинг'!$C$5:$C$300,'ИТОГО Лэндинг'!$B$5:$B$300,$B124)))</f>
        <v/>
      </c>
      <c r="D124" s="183" t="str">
        <f>IF(C124="","",E124/C124)</f>
        <v/>
      </c>
      <c r="E124" s="247" t="str">
        <f>IF(C124="","",SUMIFS('ИТОГО Торговля'!$E$5:$E$300,'ИТОГО Торговля'!$B$5:$B$300,$B124)+SUMIFS('ИТОГО Лэндинг'!$E$5:$E$300,'ИТОГО Лэндинг'!$B$5:$B$300,$B124))</f>
        <v/>
      </c>
      <c r="F124" s="246" t="str">
        <f>IF($B124="","",IF(SUMIFS('ИТОГО Торговля'!$F$5:$F$300,'ИТОГО Торговля'!$B$5:$B$300,$B124)+SUMIFS('ИТОГО Лэндинг'!$F$5:$F$300,'ИТОГО Лэндинг'!$B$5:$B$300,$B124)=0,"",SUMIFS('ИТОГО Торговля'!$F$5:$F$300,'ИТОГО Торговля'!$B$5:$B$300,$B124)+SUMIFS('ИТОГО Лэндинг'!$F$5:$F$300,'ИТОГО Лэндинг'!$B$5:$B$300,$B124)))</f>
        <v/>
      </c>
      <c r="G124" s="183" t="str">
        <f>IF(F124="","",H124/F124)</f>
        <v/>
      </c>
      <c r="H124" s="247" t="str">
        <f>IF(F124="","",SUMIFS('ИТОГО Торговля'!$H$5:$H$300,'ИТОГО Торговля'!$B$5:$B$300,$B124)+SUMIFS('ИТОГО Лэндинг'!$H$5:$H$300,'ИТОГО Лэндинг'!$B$5:$B$300,$B124))</f>
        <v/>
      </c>
      <c r="I124" s="246" t="str">
        <f>IF($B124="","",IF(AND(C124="",F124=""),"",ROUND(SUMIFS('ИТОГО Торговля'!$I$5:$I$300,'ИТОГО Торговля'!$B$5:$B$300,$B124)+SUMIFS('ИТОГО Лэндинг'!$I$5:$I$300,'ИТОГО Лэндинг'!$B$5:$B$300,$B124),8)))</f>
        <v/>
      </c>
      <c r="J124" s="247" t="str">
        <f>IF($B124="","",IF(AND(C124="",F124=""),"",ROUND(SUMIFS('ИТОГО Торговля'!$J$5:$J$300,'ИТОГО Торговля'!$B$5:$B$300,$B124)+SUMIFS('ИТОГО Лэндинг'!$J$5:$J$300,'ИТОГО Лэндинг'!$B$5:$B$300,$B124),8)))</f>
        <v/>
      </c>
      <c r="K124" s="246" t="str">
        <f>IF(MIN(N(C124),N(F124))&lt;=0,"",ROUND(MIN(N(C124),N(F124))*(N(G124)-N(D124)),8))</f>
        <v/>
      </c>
      <c r="L124" s="183" t="str">
        <f>IF(MIN(N(C124),N(F124))&lt;=0,"",IF(N(D124)=0,"",ROUND((N(G124)/N(D124)-1)*100,2)))</f>
        <v/>
      </c>
      <c r="M124" s="183" t="str">
        <f>IF(OR(ROUND(N(C124)-N(F124),8)=0,1-N(Ввод!$J$19)/100&lt;=0),"",IF(N(C124)&gt;N(F124),(N(E124)-N(H124))/((N(C124)-N(F124))*(1-N(Ввод!$J$19)/100)),(N(H124)-N(E124))/((N(F124)-N(C124))*(1+N(Ввод!$J$19)/100))))</f>
        <v/>
      </c>
    </row>
    <row r="125" ht="22" customHeight="1">
      <c r="B125" s="239" t="n"/>
      <c r="C125" s="240" t="str">
        <f>IF($B125="","",IF(SUMIFS('ИТОГО Торговля'!$C$5:$C$300,'ИТОГО Торговля'!$B$5:$B$300,$B125)+SUMIFS('ИТОГО Лэндинг'!$C$5:$C$300,'ИТОГО Лэндинг'!$B$5:$B$300,$B125)=0,"",SUMIFS('ИТОГО Торговля'!$C$5:$C$300,'ИТОГО Торговля'!$B$5:$B$300,$B125)+SUMIFS('ИТОГО Лэндинг'!$C$5:$C$300,'ИТОГО Лэндинг'!$B$5:$B$300,$B125)))</f>
        <v/>
      </c>
      <c r="D125" s="177" t="str">
        <f>IF(C125="","",E125/C125)</f>
        <v/>
      </c>
      <c r="E125" s="241" t="str">
        <f>IF(C125="","",SUMIFS('ИТОГО Торговля'!$E$5:$E$300,'ИТОГО Торговля'!$B$5:$B$300,$B125)+SUMIFS('ИТОГО Лэндинг'!$E$5:$E$300,'ИТОГО Лэндинг'!$B$5:$B$300,$B125))</f>
        <v/>
      </c>
      <c r="F125" s="240" t="str">
        <f>IF($B125="","",IF(SUMIFS('ИТОГО Торговля'!$F$5:$F$300,'ИТОГО Торговля'!$B$5:$B$300,$B125)+SUMIFS('ИТОГО Лэндинг'!$F$5:$F$300,'ИТОГО Лэндинг'!$B$5:$B$300,$B125)=0,"",SUMIFS('ИТОГО Торговля'!$F$5:$F$300,'ИТОГО Торговля'!$B$5:$B$300,$B125)+SUMIFS('ИТОГО Лэндинг'!$F$5:$F$300,'ИТОГО Лэндинг'!$B$5:$B$300,$B125)))</f>
        <v/>
      </c>
      <c r="G125" s="177" t="str">
        <f>IF(F125="","",H125/F125)</f>
        <v/>
      </c>
      <c r="H125" s="241" t="str">
        <f>IF(F125="","",SUMIFS('ИТОГО Торговля'!$H$5:$H$300,'ИТОГО Торговля'!$B$5:$B$300,$B125)+SUMIFS('ИТОГО Лэндинг'!$H$5:$H$300,'ИТОГО Лэндинг'!$B$5:$B$300,$B125))</f>
        <v/>
      </c>
      <c r="I125" s="240" t="str">
        <f>IF($B125="","",IF(AND(C125="",F125=""),"",ROUND(SUMIFS('ИТОГО Торговля'!$I$5:$I$300,'ИТОГО Торговля'!$B$5:$B$300,$B125)+SUMIFS('ИТОГО Лэндинг'!$I$5:$I$300,'ИТОГО Лэндинг'!$B$5:$B$300,$B125),8)))</f>
        <v/>
      </c>
      <c r="J125" s="241" t="str">
        <f>IF($B125="","",IF(AND(C125="",F125=""),"",ROUND(SUMIFS('ИТОГО Торговля'!$J$5:$J$300,'ИТОГО Торговля'!$B$5:$B$300,$B125)+SUMIFS('ИТОГО Лэндинг'!$J$5:$J$300,'ИТОГО Лэндинг'!$B$5:$B$300,$B125),8)))</f>
        <v/>
      </c>
      <c r="K125" s="240" t="str">
        <f>IF(MIN(N(C125),N(F125))&lt;=0,"",ROUND(MIN(N(C125),N(F125))*(N(G125)-N(D125)),8))</f>
        <v/>
      </c>
      <c r="L125" s="177" t="str">
        <f>IF(MIN(N(C125),N(F125))&lt;=0,"",IF(N(D125)=0,"",ROUND((N(G125)/N(D125)-1)*100,2)))</f>
        <v/>
      </c>
      <c r="M125" s="177" t="str">
        <f>IF(OR(ROUND(N(C125)-N(F125),8)=0,1-N(Ввод!$J$19)/100&lt;=0),"",IF(N(C125)&gt;N(F125),(N(E125)-N(H125))/((N(C125)-N(F125))*(1-N(Ввод!$J$19)/100)),(N(H125)-N(E125))/((N(F125)-N(C125))*(1+N(Ввод!$J$19)/100))))</f>
        <v/>
      </c>
    </row>
    <row r="126" ht="22" customHeight="1">
      <c r="B126" s="245" t="n"/>
      <c r="C126" s="246" t="str">
        <f>IF($B126="","",IF(SUMIFS('ИТОГО Торговля'!$C$5:$C$300,'ИТОГО Торговля'!$B$5:$B$300,$B126)+SUMIFS('ИТОГО Лэндинг'!$C$5:$C$300,'ИТОГО Лэндинг'!$B$5:$B$300,$B126)=0,"",SUMIFS('ИТОГО Торговля'!$C$5:$C$300,'ИТОГО Торговля'!$B$5:$B$300,$B126)+SUMIFS('ИТОГО Лэндинг'!$C$5:$C$300,'ИТОГО Лэндинг'!$B$5:$B$300,$B126)))</f>
        <v/>
      </c>
      <c r="D126" s="183" t="str">
        <f>IF(C126="","",E126/C126)</f>
        <v/>
      </c>
      <c r="E126" s="247" t="str">
        <f>IF(C126="","",SUMIFS('ИТОГО Торговля'!$E$5:$E$300,'ИТОГО Торговля'!$B$5:$B$300,$B126)+SUMIFS('ИТОГО Лэндинг'!$E$5:$E$300,'ИТОГО Лэндинг'!$B$5:$B$300,$B126))</f>
        <v/>
      </c>
      <c r="F126" s="246" t="str">
        <f>IF($B126="","",IF(SUMIFS('ИТОГО Торговля'!$F$5:$F$300,'ИТОГО Торговля'!$B$5:$B$300,$B126)+SUMIFS('ИТОГО Лэндинг'!$F$5:$F$300,'ИТОГО Лэндинг'!$B$5:$B$300,$B126)=0,"",SUMIFS('ИТОГО Торговля'!$F$5:$F$300,'ИТОГО Торговля'!$B$5:$B$300,$B126)+SUMIFS('ИТОГО Лэндинг'!$F$5:$F$300,'ИТОГО Лэндинг'!$B$5:$B$300,$B126)))</f>
        <v/>
      </c>
      <c r="G126" s="183" t="str">
        <f>IF(F126="","",H126/F126)</f>
        <v/>
      </c>
      <c r="H126" s="247" t="str">
        <f>IF(F126="","",SUMIFS('ИТОГО Торговля'!$H$5:$H$300,'ИТОГО Торговля'!$B$5:$B$300,$B126)+SUMIFS('ИТОГО Лэндинг'!$H$5:$H$300,'ИТОГО Лэндинг'!$B$5:$B$300,$B126))</f>
        <v/>
      </c>
      <c r="I126" s="246" t="str">
        <f>IF($B126="","",IF(AND(C126="",F126=""),"",ROUND(SUMIFS('ИТОГО Торговля'!$I$5:$I$300,'ИТОГО Торговля'!$B$5:$B$300,$B126)+SUMIFS('ИТОГО Лэндинг'!$I$5:$I$300,'ИТОГО Лэндинг'!$B$5:$B$300,$B126),8)))</f>
        <v/>
      </c>
      <c r="J126" s="247" t="str">
        <f>IF($B126="","",IF(AND(C126="",F126=""),"",ROUND(SUMIFS('ИТОГО Торговля'!$J$5:$J$300,'ИТОГО Торговля'!$B$5:$B$300,$B126)+SUMIFS('ИТОГО Лэндинг'!$J$5:$J$300,'ИТОГО Лэндинг'!$B$5:$B$300,$B126),8)))</f>
        <v/>
      </c>
      <c r="K126" s="246" t="str">
        <f>IF(MIN(N(C126),N(F126))&lt;=0,"",ROUND(MIN(N(C126),N(F126))*(N(G126)-N(D126)),8))</f>
        <v/>
      </c>
      <c r="L126" s="183" t="str">
        <f>IF(MIN(N(C126),N(F126))&lt;=0,"",IF(N(D126)=0,"",ROUND((N(G126)/N(D126)-1)*100,2)))</f>
        <v/>
      </c>
      <c r="M126" s="183" t="str">
        <f>IF(OR(ROUND(N(C126)-N(F126),8)=0,1-N(Ввод!$J$19)/100&lt;=0),"",IF(N(C126)&gt;N(F126),(N(E126)-N(H126))/((N(C126)-N(F126))*(1-N(Ввод!$J$19)/100)),(N(H126)-N(E126))/((N(F126)-N(C126))*(1+N(Ввод!$J$19)/100))))</f>
        <v/>
      </c>
    </row>
    <row r="127" ht="22" customHeight="1">
      <c r="B127" s="239" t="n"/>
      <c r="C127" s="240" t="str">
        <f>IF($B127="","",IF(SUMIFS('ИТОГО Торговля'!$C$5:$C$300,'ИТОГО Торговля'!$B$5:$B$300,$B127)+SUMIFS('ИТОГО Лэндинг'!$C$5:$C$300,'ИТОГО Лэндинг'!$B$5:$B$300,$B127)=0,"",SUMIFS('ИТОГО Торговля'!$C$5:$C$300,'ИТОГО Торговля'!$B$5:$B$300,$B127)+SUMIFS('ИТОГО Лэндинг'!$C$5:$C$300,'ИТОГО Лэндинг'!$B$5:$B$300,$B127)))</f>
        <v/>
      </c>
      <c r="D127" s="177" t="str">
        <f>IF(C127="","",E127/C127)</f>
        <v/>
      </c>
      <c r="E127" s="241" t="str">
        <f>IF(C127="","",SUMIFS('ИТОГО Торговля'!$E$5:$E$300,'ИТОГО Торговля'!$B$5:$B$300,$B127)+SUMIFS('ИТОГО Лэндинг'!$E$5:$E$300,'ИТОГО Лэндинг'!$B$5:$B$300,$B127))</f>
        <v/>
      </c>
      <c r="F127" s="240" t="str">
        <f>IF($B127="","",IF(SUMIFS('ИТОГО Торговля'!$F$5:$F$300,'ИТОГО Торговля'!$B$5:$B$300,$B127)+SUMIFS('ИТОГО Лэндинг'!$F$5:$F$300,'ИТОГО Лэндинг'!$B$5:$B$300,$B127)=0,"",SUMIFS('ИТОГО Торговля'!$F$5:$F$300,'ИТОГО Торговля'!$B$5:$B$300,$B127)+SUMIFS('ИТОГО Лэндинг'!$F$5:$F$300,'ИТОГО Лэндинг'!$B$5:$B$300,$B127)))</f>
        <v/>
      </c>
      <c r="G127" s="177" t="str">
        <f>IF(F127="","",H127/F127)</f>
        <v/>
      </c>
      <c r="H127" s="241" t="str">
        <f>IF(F127="","",SUMIFS('ИТОГО Торговля'!$H$5:$H$300,'ИТОГО Торговля'!$B$5:$B$300,$B127)+SUMIFS('ИТОГО Лэндинг'!$H$5:$H$300,'ИТОГО Лэндинг'!$B$5:$B$300,$B127))</f>
        <v/>
      </c>
      <c r="I127" s="240" t="str">
        <f>IF($B127="","",IF(AND(C127="",F127=""),"",ROUND(SUMIFS('ИТОГО Торговля'!$I$5:$I$300,'ИТОГО Торговля'!$B$5:$B$300,$B127)+SUMIFS('ИТОГО Лэндинг'!$I$5:$I$300,'ИТОГО Лэндинг'!$B$5:$B$300,$B127),8)))</f>
        <v/>
      </c>
      <c r="J127" s="241" t="str">
        <f>IF($B127="","",IF(AND(C127="",F127=""),"",ROUND(SUMIFS('ИТОГО Торговля'!$J$5:$J$300,'ИТОГО Торговля'!$B$5:$B$300,$B127)+SUMIFS('ИТОГО Лэндинг'!$J$5:$J$300,'ИТОГО Лэндинг'!$B$5:$B$300,$B127),8)))</f>
        <v/>
      </c>
      <c r="K127" s="240" t="str">
        <f>IF(MIN(N(C127),N(F127))&lt;=0,"",ROUND(MIN(N(C127),N(F127))*(N(G127)-N(D127)),8))</f>
        <v/>
      </c>
      <c r="L127" s="177" t="str">
        <f>IF(MIN(N(C127),N(F127))&lt;=0,"",IF(N(D127)=0,"",ROUND((N(G127)/N(D127)-1)*100,2)))</f>
        <v/>
      </c>
      <c r="M127" s="177" t="str">
        <f>IF(OR(ROUND(N(C127)-N(F127),8)=0,1-N(Ввод!$J$19)/100&lt;=0),"",IF(N(C127)&gt;N(F127),(N(E127)-N(H127))/((N(C127)-N(F127))*(1-N(Ввод!$J$19)/100)),(N(H127)-N(E127))/((N(F127)-N(C127))*(1+N(Ввод!$J$19)/100))))</f>
        <v/>
      </c>
    </row>
    <row r="128" ht="22" customHeight="1">
      <c r="B128" s="245" t="n"/>
      <c r="C128" s="246" t="str">
        <f>IF($B128="","",IF(SUMIFS('ИТОГО Торговля'!$C$5:$C$300,'ИТОГО Торговля'!$B$5:$B$300,$B128)+SUMIFS('ИТОГО Лэндинг'!$C$5:$C$300,'ИТОГО Лэндинг'!$B$5:$B$300,$B128)=0,"",SUMIFS('ИТОГО Торговля'!$C$5:$C$300,'ИТОГО Торговля'!$B$5:$B$300,$B128)+SUMIFS('ИТОГО Лэндинг'!$C$5:$C$300,'ИТОГО Лэндинг'!$B$5:$B$300,$B128)))</f>
        <v/>
      </c>
      <c r="D128" s="183" t="str">
        <f>IF(C128="","",E128/C128)</f>
        <v/>
      </c>
      <c r="E128" s="247" t="str">
        <f>IF(C128="","",SUMIFS('ИТОГО Торговля'!$E$5:$E$300,'ИТОГО Торговля'!$B$5:$B$300,$B128)+SUMIFS('ИТОГО Лэндинг'!$E$5:$E$300,'ИТОГО Лэндинг'!$B$5:$B$300,$B128))</f>
        <v/>
      </c>
      <c r="F128" s="246" t="str">
        <f>IF($B128="","",IF(SUMIFS('ИТОГО Торговля'!$F$5:$F$300,'ИТОГО Торговля'!$B$5:$B$300,$B128)+SUMIFS('ИТОГО Лэндинг'!$F$5:$F$300,'ИТОГО Лэндинг'!$B$5:$B$300,$B128)=0,"",SUMIFS('ИТОГО Торговля'!$F$5:$F$300,'ИТОГО Торговля'!$B$5:$B$300,$B128)+SUMIFS('ИТОГО Лэндинг'!$F$5:$F$300,'ИТОГО Лэндинг'!$B$5:$B$300,$B128)))</f>
        <v/>
      </c>
      <c r="G128" s="183" t="str">
        <f>IF(F128="","",H128/F128)</f>
        <v/>
      </c>
      <c r="H128" s="247" t="str">
        <f>IF(F128="","",SUMIFS('ИТОГО Торговля'!$H$5:$H$300,'ИТОГО Торговля'!$B$5:$B$300,$B128)+SUMIFS('ИТОГО Лэндинг'!$H$5:$H$300,'ИТОГО Лэндинг'!$B$5:$B$300,$B128))</f>
        <v/>
      </c>
      <c r="I128" s="246" t="str">
        <f>IF($B128="","",IF(AND(C128="",F128=""),"",ROUND(SUMIFS('ИТОГО Торговля'!$I$5:$I$300,'ИТОГО Торговля'!$B$5:$B$300,$B128)+SUMIFS('ИТОГО Лэндинг'!$I$5:$I$300,'ИТОГО Лэндинг'!$B$5:$B$300,$B128),8)))</f>
        <v/>
      </c>
      <c r="J128" s="247" t="str">
        <f>IF($B128="","",IF(AND(C128="",F128=""),"",ROUND(SUMIFS('ИТОГО Торговля'!$J$5:$J$300,'ИТОГО Торговля'!$B$5:$B$300,$B128)+SUMIFS('ИТОГО Лэндинг'!$J$5:$J$300,'ИТОГО Лэндинг'!$B$5:$B$300,$B128),8)))</f>
        <v/>
      </c>
      <c r="K128" s="246" t="str">
        <f>IF(MIN(N(C128),N(F128))&lt;=0,"",ROUND(MIN(N(C128),N(F128))*(N(G128)-N(D128)),8))</f>
        <v/>
      </c>
      <c r="L128" s="183" t="str">
        <f>IF(MIN(N(C128),N(F128))&lt;=0,"",IF(N(D128)=0,"",ROUND((N(G128)/N(D128)-1)*100,2)))</f>
        <v/>
      </c>
      <c r="M128" s="183" t="str">
        <f>IF(OR(ROUND(N(C128)-N(F128),8)=0,1-N(Ввод!$J$19)/100&lt;=0),"",IF(N(C128)&gt;N(F128),(N(E128)-N(H128))/((N(C128)-N(F128))*(1-N(Ввод!$J$19)/100)),(N(H128)-N(E128))/((N(F128)-N(C128))*(1+N(Ввод!$J$19)/100))))</f>
        <v/>
      </c>
    </row>
    <row r="129" ht="22" customHeight="1">
      <c r="B129" s="239" t="n"/>
      <c r="C129" s="240" t="str">
        <f>IF($B129="","",IF(SUMIFS('ИТОГО Торговля'!$C$5:$C$300,'ИТОГО Торговля'!$B$5:$B$300,$B129)+SUMIFS('ИТОГО Лэндинг'!$C$5:$C$300,'ИТОГО Лэндинг'!$B$5:$B$300,$B129)=0,"",SUMIFS('ИТОГО Торговля'!$C$5:$C$300,'ИТОГО Торговля'!$B$5:$B$300,$B129)+SUMIFS('ИТОГО Лэндинг'!$C$5:$C$300,'ИТОГО Лэндинг'!$B$5:$B$300,$B129)))</f>
        <v/>
      </c>
      <c r="D129" s="177" t="str">
        <f>IF(C129="","",E129/C129)</f>
        <v/>
      </c>
      <c r="E129" s="241" t="str">
        <f>IF(C129="","",SUMIFS('ИТОГО Торговля'!$E$5:$E$300,'ИТОГО Торговля'!$B$5:$B$300,$B129)+SUMIFS('ИТОГО Лэндинг'!$E$5:$E$300,'ИТОГО Лэндинг'!$B$5:$B$300,$B129))</f>
        <v/>
      </c>
      <c r="F129" s="240" t="str">
        <f>IF($B129="","",IF(SUMIFS('ИТОГО Торговля'!$F$5:$F$300,'ИТОГО Торговля'!$B$5:$B$300,$B129)+SUMIFS('ИТОГО Лэндинг'!$F$5:$F$300,'ИТОГО Лэндинг'!$B$5:$B$300,$B129)=0,"",SUMIFS('ИТОГО Торговля'!$F$5:$F$300,'ИТОГО Торговля'!$B$5:$B$300,$B129)+SUMIFS('ИТОГО Лэндинг'!$F$5:$F$300,'ИТОГО Лэндинг'!$B$5:$B$300,$B129)))</f>
        <v/>
      </c>
      <c r="G129" s="177" t="str">
        <f>IF(F129="","",H129/F129)</f>
        <v/>
      </c>
      <c r="H129" s="241" t="str">
        <f>IF(F129="","",SUMIFS('ИТОГО Торговля'!$H$5:$H$300,'ИТОГО Торговля'!$B$5:$B$300,$B129)+SUMIFS('ИТОГО Лэндинг'!$H$5:$H$300,'ИТОГО Лэндинг'!$B$5:$B$300,$B129))</f>
        <v/>
      </c>
      <c r="I129" s="240" t="str">
        <f>IF($B129="","",IF(AND(C129="",F129=""),"",ROUND(SUMIFS('ИТОГО Торговля'!$I$5:$I$300,'ИТОГО Торговля'!$B$5:$B$300,$B129)+SUMIFS('ИТОГО Лэндинг'!$I$5:$I$300,'ИТОГО Лэндинг'!$B$5:$B$300,$B129),8)))</f>
        <v/>
      </c>
      <c r="J129" s="241" t="str">
        <f>IF($B129="","",IF(AND(C129="",F129=""),"",ROUND(SUMIFS('ИТОГО Торговля'!$J$5:$J$300,'ИТОГО Торговля'!$B$5:$B$300,$B129)+SUMIFS('ИТОГО Лэндинг'!$J$5:$J$300,'ИТОГО Лэндинг'!$B$5:$B$300,$B129),8)))</f>
        <v/>
      </c>
      <c r="K129" s="240" t="str">
        <f>IF(MIN(N(C129),N(F129))&lt;=0,"",ROUND(MIN(N(C129),N(F129))*(N(G129)-N(D129)),8))</f>
        <v/>
      </c>
      <c r="L129" s="177" t="str">
        <f>IF(MIN(N(C129),N(F129))&lt;=0,"",IF(N(D129)=0,"",ROUND((N(G129)/N(D129)-1)*100,2)))</f>
        <v/>
      </c>
      <c r="M129" s="177" t="str">
        <f>IF(OR(ROUND(N(C129)-N(F129),8)=0,1-N(Ввод!$J$19)/100&lt;=0),"",IF(N(C129)&gt;N(F129),(N(E129)-N(H129))/((N(C129)-N(F129))*(1-N(Ввод!$J$19)/100)),(N(H129)-N(E129))/((N(F129)-N(C129))*(1+N(Ввод!$J$19)/100))))</f>
        <v/>
      </c>
    </row>
    <row r="130" ht="22" customHeight="1">
      <c r="B130" s="245" t="n"/>
      <c r="C130" s="246" t="str">
        <f>IF($B130="","",IF(SUMIFS('ИТОГО Торговля'!$C$5:$C$300,'ИТОГО Торговля'!$B$5:$B$300,$B130)+SUMIFS('ИТОГО Лэндинг'!$C$5:$C$300,'ИТОГО Лэндинг'!$B$5:$B$300,$B130)=0,"",SUMIFS('ИТОГО Торговля'!$C$5:$C$300,'ИТОГО Торговля'!$B$5:$B$300,$B130)+SUMIFS('ИТОГО Лэндинг'!$C$5:$C$300,'ИТОГО Лэндинг'!$B$5:$B$300,$B130)))</f>
        <v/>
      </c>
      <c r="D130" s="183" t="str">
        <f>IF(C130="","",E130/C130)</f>
        <v/>
      </c>
      <c r="E130" s="247" t="str">
        <f>IF(C130="","",SUMIFS('ИТОГО Торговля'!$E$5:$E$300,'ИТОГО Торговля'!$B$5:$B$300,$B130)+SUMIFS('ИТОГО Лэндинг'!$E$5:$E$300,'ИТОГО Лэндинг'!$B$5:$B$300,$B130))</f>
        <v/>
      </c>
      <c r="F130" s="246" t="str">
        <f>IF($B130="","",IF(SUMIFS('ИТОГО Торговля'!$F$5:$F$300,'ИТОГО Торговля'!$B$5:$B$300,$B130)+SUMIFS('ИТОГО Лэндинг'!$F$5:$F$300,'ИТОГО Лэндинг'!$B$5:$B$300,$B130)=0,"",SUMIFS('ИТОГО Торговля'!$F$5:$F$300,'ИТОГО Торговля'!$B$5:$B$300,$B130)+SUMIFS('ИТОГО Лэндинг'!$F$5:$F$300,'ИТОГО Лэндинг'!$B$5:$B$300,$B130)))</f>
        <v/>
      </c>
      <c r="G130" s="183" t="str">
        <f>IF(F130="","",H130/F130)</f>
        <v/>
      </c>
      <c r="H130" s="247" t="str">
        <f>IF(F130="","",SUMIFS('ИТОГО Торговля'!$H$5:$H$300,'ИТОГО Торговля'!$B$5:$B$300,$B130)+SUMIFS('ИТОГО Лэндинг'!$H$5:$H$300,'ИТОГО Лэндинг'!$B$5:$B$300,$B130))</f>
        <v/>
      </c>
      <c r="I130" s="246" t="str">
        <f>IF($B130="","",IF(AND(C130="",F130=""),"",ROUND(SUMIFS('ИТОГО Торговля'!$I$5:$I$300,'ИТОГО Торговля'!$B$5:$B$300,$B130)+SUMIFS('ИТОГО Лэндинг'!$I$5:$I$300,'ИТОГО Лэндинг'!$B$5:$B$300,$B130),8)))</f>
        <v/>
      </c>
      <c r="J130" s="247" t="str">
        <f>IF($B130="","",IF(AND(C130="",F130=""),"",ROUND(SUMIFS('ИТОГО Торговля'!$J$5:$J$300,'ИТОГО Торговля'!$B$5:$B$300,$B130)+SUMIFS('ИТОГО Лэндинг'!$J$5:$J$300,'ИТОГО Лэндинг'!$B$5:$B$300,$B130),8)))</f>
        <v/>
      </c>
      <c r="K130" s="246" t="str">
        <f>IF(MIN(N(C130),N(F130))&lt;=0,"",ROUND(MIN(N(C130),N(F130))*(N(G130)-N(D130)),8))</f>
        <v/>
      </c>
      <c r="L130" s="183" t="str">
        <f>IF(MIN(N(C130),N(F130))&lt;=0,"",IF(N(D130)=0,"",ROUND((N(G130)/N(D130)-1)*100,2)))</f>
        <v/>
      </c>
      <c r="M130" s="183" t="str">
        <f>IF(OR(ROUND(N(C130)-N(F130),8)=0,1-N(Ввод!$J$19)/100&lt;=0),"",IF(N(C130)&gt;N(F130),(N(E130)-N(H130))/((N(C130)-N(F130))*(1-N(Ввод!$J$19)/100)),(N(H130)-N(E130))/((N(F130)-N(C130))*(1+N(Ввод!$J$19)/100))))</f>
        <v/>
      </c>
    </row>
    <row r="131" ht="22" customHeight="1">
      <c r="B131" s="239" t="n"/>
      <c r="C131" s="240" t="str">
        <f>IF($B131="","",IF(SUMIFS('ИТОГО Торговля'!$C$5:$C$300,'ИТОГО Торговля'!$B$5:$B$300,$B131)+SUMIFS('ИТОГО Лэндинг'!$C$5:$C$300,'ИТОГО Лэндинг'!$B$5:$B$300,$B131)=0,"",SUMIFS('ИТОГО Торговля'!$C$5:$C$300,'ИТОГО Торговля'!$B$5:$B$300,$B131)+SUMIFS('ИТОГО Лэндинг'!$C$5:$C$300,'ИТОГО Лэндинг'!$B$5:$B$300,$B131)))</f>
        <v/>
      </c>
      <c r="D131" s="177" t="str">
        <f>IF(C131="","",E131/C131)</f>
        <v/>
      </c>
      <c r="E131" s="241" t="str">
        <f>IF(C131="","",SUMIFS('ИТОГО Торговля'!$E$5:$E$300,'ИТОГО Торговля'!$B$5:$B$300,$B131)+SUMIFS('ИТОГО Лэндинг'!$E$5:$E$300,'ИТОГО Лэндинг'!$B$5:$B$300,$B131))</f>
        <v/>
      </c>
      <c r="F131" s="240" t="str">
        <f>IF($B131="","",IF(SUMIFS('ИТОГО Торговля'!$F$5:$F$300,'ИТОГО Торговля'!$B$5:$B$300,$B131)+SUMIFS('ИТОГО Лэндинг'!$F$5:$F$300,'ИТОГО Лэндинг'!$B$5:$B$300,$B131)=0,"",SUMIFS('ИТОГО Торговля'!$F$5:$F$300,'ИТОГО Торговля'!$B$5:$B$300,$B131)+SUMIFS('ИТОГО Лэндинг'!$F$5:$F$300,'ИТОГО Лэндинг'!$B$5:$B$300,$B131)))</f>
        <v/>
      </c>
      <c r="G131" s="177" t="str">
        <f>IF(F131="","",H131/F131)</f>
        <v/>
      </c>
      <c r="H131" s="241" t="str">
        <f>IF(F131="","",SUMIFS('ИТОГО Торговля'!$H$5:$H$300,'ИТОГО Торговля'!$B$5:$B$300,$B131)+SUMIFS('ИТОГО Лэндинг'!$H$5:$H$300,'ИТОГО Лэндинг'!$B$5:$B$300,$B131))</f>
        <v/>
      </c>
      <c r="I131" s="240" t="str">
        <f>IF($B131="","",IF(AND(C131="",F131=""),"",ROUND(SUMIFS('ИТОГО Торговля'!$I$5:$I$300,'ИТОГО Торговля'!$B$5:$B$300,$B131)+SUMIFS('ИТОГО Лэндинг'!$I$5:$I$300,'ИТОГО Лэндинг'!$B$5:$B$300,$B131),8)))</f>
        <v/>
      </c>
      <c r="J131" s="241" t="str">
        <f>IF($B131="","",IF(AND(C131="",F131=""),"",ROUND(SUMIFS('ИТОГО Торговля'!$J$5:$J$300,'ИТОГО Торговля'!$B$5:$B$300,$B131)+SUMIFS('ИТОГО Лэндинг'!$J$5:$J$300,'ИТОГО Лэндинг'!$B$5:$B$300,$B131),8)))</f>
        <v/>
      </c>
      <c r="K131" s="240" t="str">
        <f>IF(MIN(N(C131),N(F131))&lt;=0,"",ROUND(MIN(N(C131),N(F131))*(N(G131)-N(D131)),8))</f>
        <v/>
      </c>
      <c r="L131" s="177" t="str">
        <f>IF(MIN(N(C131),N(F131))&lt;=0,"",IF(N(D131)=0,"",ROUND((N(G131)/N(D131)-1)*100,2)))</f>
        <v/>
      </c>
      <c r="M131" s="177" t="str">
        <f>IF(OR(ROUND(N(C131)-N(F131),8)=0,1-N(Ввод!$J$19)/100&lt;=0),"",IF(N(C131)&gt;N(F131),(N(E131)-N(H131))/((N(C131)-N(F131))*(1-N(Ввод!$J$19)/100)),(N(H131)-N(E131))/((N(F131)-N(C131))*(1+N(Ввод!$J$19)/100))))</f>
        <v/>
      </c>
    </row>
    <row r="132" ht="22" customHeight="1">
      <c r="B132" s="245" t="n"/>
      <c r="C132" s="246" t="str">
        <f>IF($B132="","",IF(SUMIFS('ИТОГО Торговля'!$C$5:$C$300,'ИТОГО Торговля'!$B$5:$B$300,$B132)+SUMIFS('ИТОГО Лэндинг'!$C$5:$C$300,'ИТОГО Лэндинг'!$B$5:$B$300,$B132)=0,"",SUMIFS('ИТОГО Торговля'!$C$5:$C$300,'ИТОГО Торговля'!$B$5:$B$300,$B132)+SUMIFS('ИТОГО Лэндинг'!$C$5:$C$300,'ИТОГО Лэндинг'!$B$5:$B$300,$B132)))</f>
        <v/>
      </c>
      <c r="D132" s="183" t="str">
        <f>IF(C132="","",E132/C132)</f>
        <v/>
      </c>
      <c r="E132" s="247" t="str">
        <f>IF(C132="","",SUMIFS('ИТОГО Торговля'!$E$5:$E$300,'ИТОГО Торговля'!$B$5:$B$300,$B132)+SUMIFS('ИТОГО Лэндинг'!$E$5:$E$300,'ИТОГО Лэндинг'!$B$5:$B$300,$B132))</f>
        <v/>
      </c>
      <c r="F132" s="246" t="str">
        <f>IF($B132="","",IF(SUMIFS('ИТОГО Торговля'!$F$5:$F$300,'ИТОГО Торговля'!$B$5:$B$300,$B132)+SUMIFS('ИТОГО Лэндинг'!$F$5:$F$300,'ИТОГО Лэндинг'!$B$5:$B$300,$B132)=0,"",SUMIFS('ИТОГО Торговля'!$F$5:$F$300,'ИТОГО Торговля'!$B$5:$B$300,$B132)+SUMIFS('ИТОГО Лэндинг'!$F$5:$F$300,'ИТОГО Лэндинг'!$B$5:$B$300,$B132)))</f>
        <v/>
      </c>
      <c r="G132" s="183" t="str">
        <f>IF(F132="","",H132/F132)</f>
        <v/>
      </c>
      <c r="H132" s="247" t="str">
        <f>IF(F132="","",SUMIFS('ИТОГО Торговля'!$H$5:$H$300,'ИТОГО Торговля'!$B$5:$B$300,$B132)+SUMIFS('ИТОГО Лэндинг'!$H$5:$H$300,'ИТОГО Лэндинг'!$B$5:$B$300,$B132))</f>
        <v/>
      </c>
      <c r="I132" s="246" t="str">
        <f>IF($B132="","",IF(AND(C132="",F132=""),"",ROUND(SUMIFS('ИТОГО Торговля'!$I$5:$I$300,'ИТОГО Торговля'!$B$5:$B$300,$B132)+SUMIFS('ИТОГО Лэндинг'!$I$5:$I$300,'ИТОГО Лэндинг'!$B$5:$B$300,$B132),8)))</f>
        <v/>
      </c>
      <c r="J132" s="247" t="str">
        <f>IF($B132="","",IF(AND(C132="",F132=""),"",ROUND(SUMIFS('ИТОГО Торговля'!$J$5:$J$300,'ИТОГО Торговля'!$B$5:$B$300,$B132)+SUMIFS('ИТОГО Лэндинг'!$J$5:$J$300,'ИТОГО Лэндинг'!$B$5:$B$300,$B132),8)))</f>
        <v/>
      </c>
      <c r="K132" s="246" t="str">
        <f>IF(MIN(N(C132),N(F132))&lt;=0,"",ROUND(MIN(N(C132),N(F132))*(N(G132)-N(D132)),8))</f>
        <v/>
      </c>
      <c r="L132" s="183" t="str">
        <f>IF(MIN(N(C132),N(F132))&lt;=0,"",IF(N(D132)=0,"",ROUND((N(G132)/N(D132)-1)*100,2)))</f>
        <v/>
      </c>
      <c r="M132" s="183" t="str">
        <f>IF(OR(ROUND(N(C132)-N(F132),8)=0,1-N(Ввод!$J$19)/100&lt;=0),"",IF(N(C132)&gt;N(F132),(N(E132)-N(H132))/((N(C132)-N(F132))*(1-N(Ввод!$J$19)/100)),(N(H132)-N(E132))/((N(F132)-N(C132))*(1+N(Ввод!$J$19)/100))))</f>
        <v/>
      </c>
    </row>
    <row r="133" ht="22" customHeight="1">
      <c r="B133" s="239" t="n"/>
      <c r="C133" s="240" t="str">
        <f>IF($B133="","",IF(SUMIFS('ИТОГО Торговля'!$C$5:$C$300,'ИТОГО Торговля'!$B$5:$B$300,$B133)+SUMIFS('ИТОГО Лэндинг'!$C$5:$C$300,'ИТОГО Лэндинг'!$B$5:$B$300,$B133)=0,"",SUMIFS('ИТОГО Торговля'!$C$5:$C$300,'ИТОГО Торговля'!$B$5:$B$300,$B133)+SUMIFS('ИТОГО Лэндинг'!$C$5:$C$300,'ИТОГО Лэндинг'!$B$5:$B$300,$B133)))</f>
        <v/>
      </c>
      <c r="D133" s="177" t="str">
        <f>IF(C133="","",E133/C133)</f>
        <v/>
      </c>
      <c r="E133" s="241" t="str">
        <f>IF(C133="","",SUMIFS('ИТОГО Торговля'!$E$5:$E$300,'ИТОГО Торговля'!$B$5:$B$300,$B133)+SUMIFS('ИТОГО Лэндинг'!$E$5:$E$300,'ИТОГО Лэндинг'!$B$5:$B$300,$B133))</f>
        <v/>
      </c>
      <c r="F133" s="240" t="str">
        <f>IF($B133="","",IF(SUMIFS('ИТОГО Торговля'!$F$5:$F$300,'ИТОГО Торговля'!$B$5:$B$300,$B133)+SUMIFS('ИТОГО Лэндинг'!$F$5:$F$300,'ИТОГО Лэндинг'!$B$5:$B$300,$B133)=0,"",SUMIFS('ИТОГО Торговля'!$F$5:$F$300,'ИТОГО Торговля'!$B$5:$B$300,$B133)+SUMIFS('ИТОГО Лэндинг'!$F$5:$F$300,'ИТОГО Лэндинг'!$B$5:$B$300,$B133)))</f>
        <v/>
      </c>
      <c r="G133" s="177" t="str">
        <f>IF(F133="","",H133/F133)</f>
        <v/>
      </c>
      <c r="H133" s="241" t="str">
        <f>IF(F133="","",SUMIFS('ИТОГО Торговля'!$H$5:$H$300,'ИТОГО Торговля'!$B$5:$B$300,$B133)+SUMIFS('ИТОГО Лэндинг'!$H$5:$H$300,'ИТОГО Лэндинг'!$B$5:$B$300,$B133))</f>
        <v/>
      </c>
      <c r="I133" s="240" t="str">
        <f>IF($B133="","",IF(AND(C133="",F133=""),"",ROUND(SUMIFS('ИТОГО Торговля'!$I$5:$I$300,'ИТОГО Торговля'!$B$5:$B$300,$B133)+SUMIFS('ИТОГО Лэндинг'!$I$5:$I$300,'ИТОГО Лэндинг'!$B$5:$B$300,$B133),8)))</f>
        <v/>
      </c>
      <c r="J133" s="241" t="str">
        <f>IF($B133="","",IF(AND(C133="",F133=""),"",ROUND(SUMIFS('ИТОГО Торговля'!$J$5:$J$300,'ИТОГО Торговля'!$B$5:$B$300,$B133)+SUMIFS('ИТОГО Лэндинг'!$J$5:$J$300,'ИТОГО Лэндинг'!$B$5:$B$300,$B133),8)))</f>
        <v/>
      </c>
      <c r="K133" s="240" t="str">
        <f>IF(MIN(N(C133),N(F133))&lt;=0,"",ROUND(MIN(N(C133),N(F133))*(N(G133)-N(D133)),8))</f>
        <v/>
      </c>
      <c r="L133" s="177" t="str">
        <f>IF(MIN(N(C133),N(F133))&lt;=0,"",IF(N(D133)=0,"",ROUND((N(G133)/N(D133)-1)*100,2)))</f>
        <v/>
      </c>
      <c r="M133" s="177" t="str">
        <f>IF(OR(ROUND(N(C133)-N(F133),8)=0,1-N(Ввод!$J$19)/100&lt;=0),"",IF(N(C133)&gt;N(F133),(N(E133)-N(H133))/((N(C133)-N(F133))*(1-N(Ввод!$J$19)/100)),(N(H133)-N(E133))/((N(F133)-N(C133))*(1+N(Ввод!$J$19)/100))))</f>
        <v/>
      </c>
    </row>
    <row r="134" ht="22" customHeight="1">
      <c r="B134" s="245" t="n"/>
      <c r="C134" s="246" t="str">
        <f>IF($B134="","",IF(SUMIFS('ИТОГО Торговля'!$C$5:$C$300,'ИТОГО Торговля'!$B$5:$B$300,$B134)+SUMIFS('ИТОГО Лэндинг'!$C$5:$C$300,'ИТОГО Лэндинг'!$B$5:$B$300,$B134)=0,"",SUMIFS('ИТОГО Торговля'!$C$5:$C$300,'ИТОГО Торговля'!$B$5:$B$300,$B134)+SUMIFS('ИТОГО Лэндинг'!$C$5:$C$300,'ИТОГО Лэндинг'!$B$5:$B$300,$B134)))</f>
        <v/>
      </c>
      <c r="D134" s="183" t="str">
        <f>IF(C134="","",E134/C134)</f>
        <v/>
      </c>
      <c r="E134" s="247" t="str">
        <f>IF(C134="","",SUMIFS('ИТОГО Торговля'!$E$5:$E$300,'ИТОГО Торговля'!$B$5:$B$300,$B134)+SUMIFS('ИТОГО Лэндинг'!$E$5:$E$300,'ИТОГО Лэндинг'!$B$5:$B$300,$B134))</f>
        <v/>
      </c>
      <c r="F134" s="246" t="str">
        <f>IF($B134="","",IF(SUMIFS('ИТОГО Торговля'!$F$5:$F$300,'ИТОГО Торговля'!$B$5:$B$300,$B134)+SUMIFS('ИТОГО Лэндинг'!$F$5:$F$300,'ИТОГО Лэндинг'!$B$5:$B$300,$B134)=0,"",SUMIFS('ИТОГО Торговля'!$F$5:$F$300,'ИТОГО Торговля'!$B$5:$B$300,$B134)+SUMIFS('ИТОГО Лэндинг'!$F$5:$F$300,'ИТОГО Лэндинг'!$B$5:$B$300,$B134)))</f>
        <v/>
      </c>
      <c r="G134" s="183" t="str">
        <f>IF(F134="","",H134/F134)</f>
        <v/>
      </c>
      <c r="H134" s="247" t="str">
        <f>IF(F134="","",SUMIFS('ИТОГО Торговля'!$H$5:$H$300,'ИТОГО Торговля'!$B$5:$B$300,$B134)+SUMIFS('ИТОГО Лэндинг'!$H$5:$H$300,'ИТОГО Лэндинг'!$B$5:$B$300,$B134))</f>
        <v/>
      </c>
      <c r="I134" s="246" t="str">
        <f>IF($B134="","",IF(AND(C134="",F134=""),"",ROUND(SUMIFS('ИТОГО Торговля'!$I$5:$I$300,'ИТОГО Торговля'!$B$5:$B$300,$B134)+SUMIFS('ИТОГО Лэндинг'!$I$5:$I$300,'ИТОГО Лэндинг'!$B$5:$B$300,$B134),8)))</f>
        <v/>
      </c>
      <c r="J134" s="247" t="str">
        <f>IF($B134="","",IF(AND(C134="",F134=""),"",ROUND(SUMIFS('ИТОГО Торговля'!$J$5:$J$300,'ИТОГО Торговля'!$B$5:$B$300,$B134)+SUMIFS('ИТОГО Лэндинг'!$J$5:$J$300,'ИТОГО Лэндинг'!$B$5:$B$300,$B134),8)))</f>
        <v/>
      </c>
      <c r="K134" s="246" t="str">
        <f>IF(MIN(N(C134),N(F134))&lt;=0,"",ROUND(MIN(N(C134),N(F134))*(N(G134)-N(D134)),8))</f>
        <v/>
      </c>
      <c r="L134" s="183" t="str">
        <f>IF(MIN(N(C134),N(F134))&lt;=0,"",IF(N(D134)=0,"",ROUND((N(G134)/N(D134)-1)*100,2)))</f>
        <v/>
      </c>
      <c r="M134" s="183" t="str">
        <f>IF(OR(ROUND(N(C134)-N(F134),8)=0,1-N(Ввод!$J$19)/100&lt;=0),"",IF(N(C134)&gt;N(F134),(N(E134)-N(H134))/((N(C134)-N(F134))*(1-N(Ввод!$J$19)/100)),(N(H134)-N(E134))/((N(F134)-N(C134))*(1+N(Ввод!$J$19)/100))))</f>
        <v/>
      </c>
    </row>
    <row r="135" ht="22" customHeight="1">
      <c r="B135" s="239" t="n"/>
      <c r="C135" s="240" t="str">
        <f>IF($B135="","",IF(SUMIFS('ИТОГО Торговля'!$C$5:$C$300,'ИТОГО Торговля'!$B$5:$B$300,$B135)+SUMIFS('ИТОГО Лэндинг'!$C$5:$C$300,'ИТОГО Лэндинг'!$B$5:$B$300,$B135)=0,"",SUMIFS('ИТОГО Торговля'!$C$5:$C$300,'ИТОГО Торговля'!$B$5:$B$300,$B135)+SUMIFS('ИТОГО Лэндинг'!$C$5:$C$300,'ИТОГО Лэндинг'!$B$5:$B$300,$B135)))</f>
        <v/>
      </c>
      <c r="D135" s="177" t="str">
        <f>IF(C135="","",E135/C135)</f>
        <v/>
      </c>
      <c r="E135" s="241" t="str">
        <f>IF(C135="","",SUMIFS('ИТОГО Торговля'!$E$5:$E$300,'ИТОГО Торговля'!$B$5:$B$300,$B135)+SUMIFS('ИТОГО Лэндинг'!$E$5:$E$300,'ИТОГО Лэндинг'!$B$5:$B$300,$B135))</f>
        <v/>
      </c>
      <c r="F135" s="240" t="str">
        <f>IF($B135="","",IF(SUMIFS('ИТОГО Торговля'!$F$5:$F$300,'ИТОГО Торговля'!$B$5:$B$300,$B135)+SUMIFS('ИТОГО Лэндинг'!$F$5:$F$300,'ИТОГО Лэндинг'!$B$5:$B$300,$B135)=0,"",SUMIFS('ИТОГО Торговля'!$F$5:$F$300,'ИТОГО Торговля'!$B$5:$B$300,$B135)+SUMIFS('ИТОГО Лэндинг'!$F$5:$F$300,'ИТОГО Лэндинг'!$B$5:$B$300,$B135)))</f>
        <v/>
      </c>
      <c r="G135" s="177" t="str">
        <f>IF(F135="","",H135/F135)</f>
        <v/>
      </c>
      <c r="H135" s="241" t="str">
        <f>IF(F135="","",SUMIFS('ИТОГО Торговля'!$H$5:$H$300,'ИТОГО Торговля'!$B$5:$B$300,$B135)+SUMIFS('ИТОГО Лэндинг'!$H$5:$H$300,'ИТОГО Лэндинг'!$B$5:$B$300,$B135))</f>
        <v/>
      </c>
      <c r="I135" s="240" t="str">
        <f>IF($B135="","",IF(AND(C135="",F135=""),"",ROUND(SUMIFS('ИТОГО Торговля'!$I$5:$I$300,'ИТОГО Торговля'!$B$5:$B$300,$B135)+SUMIFS('ИТОГО Лэндинг'!$I$5:$I$300,'ИТОГО Лэндинг'!$B$5:$B$300,$B135),8)))</f>
        <v/>
      </c>
      <c r="J135" s="241" t="str">
        <f>IF($B135="","",IF(AND(C135="",F135=""),"",ROUND(SUMIFS('ИТОГО Торговля'!$J$5:$J$300,'ИТОГО Торговля'!$B$5:$B$300,$B135)+SUMIFS('ИТОГО Лэндинг'!$J$5:$J$300,'ИТОГО Лэндинг'!$B$5:$B$300,$B135),8)))</f>
        <v/>
      </c>
      <c r="K135" s="240" t="str">
        <f>IF(MIN(N(C135),N(F135))&lt;=0,"",ROUND(MIN(N(C135),N(F135))*(N(G135)-N(D135)),8))</f>
        <v/>
      </c>
      <c r="L135" s="177" t="str">
        <f>IF(MIN(N(C135),N(F135))&lt;=0,"",IF(N(D135)=0,"",ROUND((N(G135)/N(D135)-1)*100,2)))</f>
        <v/>
      </c>
      <c r="M135" s="177" t="str">
        <f>IF(OR(ROUND(N(C135)-N(F135),8)=0,1-N(Ввод!$J$19)/100&lt;=0),"",IF(N(C135)&gt;N(F135),(N(E135)-N(H135))/((N(C135)-N(F135))*(1-N(Ввод!$J$19)/100)),(N(H135)-N(E135))/((N(F135)-N(C135))*(1+N(Ввод!$J$19)/100))))</f>
        <v/>
      </c>
    </row>
    <row r="136" ht="22" customHeight="1">
      <c r="B136" s="245" t="n"/>
      <c r="C136" s="246" t="str">
        <f>IF($B136="","",IF(SUMIFS('ИТОГО Торговля'!$C$5:$C$300,'ИТОГО Торговля'!$B$5:$B$300,$B136)+SUMIFS('ИТОГО Лэндинг'!$C$5:$C$300,'ИТОГО Лэндинг'!$B$5:$B$300,$B136)=0,"",SUMIFS('ИТОГО Торговля'!$C$5:$C$300,'ИТОГО Торговля'!$B$5:$B$300,$B136)+SUMIFS('ИТОГО Лэндинг'!$C$5:$C$300,'ИТОГО Лэндинг'!$B$5:$B$300,$B136)))</f>
        <v/>
      </c>
      <c r="D136" s="183" t="str">
        <f>IF(C136="","",E136/C136)</f>
        <v/>
      </c>
      <c r="E136" s="247" t="str">
        <f>IF(C136="","",SUMIFS('ИТОГО Торговля'!$E$5:$E$300,'ИТОГО Торговля'!$B$5:$B$300,$B136)+SUMIFS('ИТОГО Лэндинг'!$E$5:$E$300,'ИТОГО Лэндинг'!$B$5:$B$300,$B136))</f>
        <v/>
      </c>
      <c r="F136" s="246" t="str">
        <f>IF($B136="","",IF(SUMIFS('ИТОГО Торговля'!$F$5:$F$300,'ИТОГО Торговля'!$B$5:$B$300,$B136)+SUMIFS('ИТОГО Лэндинг'!$F$5:$F$300,'ИТОГО Лэндинг'!$B$5:$B$300,$B136)=0,"",SUMIFS('ИТОГО Торговля'!$F$5:$F$300,'ИТОГО Торговля'!$B$5:$B$300,$B136)+SUMIFS('ИТОГО Лэндинг'!$F$5:$F$300,'ИТОГО Лэндинг'!$B$5:$B$300,$B136)))</f>
        <v/>
      </c>
      <c r="G136" s="183" t="str">
        <f>IF(F136="","",H136/F136)</f>
        <v/>
      </c>
      <c r="H136" s="247" t="str">
        <f>IF(F136="","",SUMIFS('ИТОГО Торговля'!$H$5:$H$300,'ИТОГО Торговля'!$B$5:$B$300,$B136)+SUMIFS('ИТОГО Лэндинг'!$H$5:$H$300,'ИТОГО Лэндинг'!$B$5:$B$300,$B136))</f>
        <v/>
      </c>
      <c r="I136" s="246" t="str">
        <f>IF($B136="","",IF(AND(C136="",F136=""),"",ROUND(SUMIFS('ИТОГО Торговля'!$I$5:$I$300,'ИТОГО Торговля'!$B$5:$B$300,$B136)+SUMIFS('ИТОГО Лэндинг'!$I$5:$I$300,'ИТОГО Лэндинг'!$B$5:$B$300,$B136),8)))</f>
        <v/>
      </c>
      <c r="J136" s="247" t="str">
        <f>IF($B136="","",IF(AND(C136="",F136=""),"",ROUND(SUMIFS('ИТОГО Торговля'!$J$5:$J$300,'ИТОГО Торговля'!$B$5:$B$300,$B136)+SUMIFS('ИТОГО Лэндинг'!$J$5:$J$300,'ИТОГО Лэндинг'!$B$5:$B$300,$B136),8)))</f>
        <v/>
      </c>
      <c r="K136" s="246" t="str">
        <f>IF(MIN(N(C136),N(F136))&lt;=0,"",ROUND(MIN(N(C136),N(F136))*(N(G136)-N(D136)),8))</f>
        <v/>
      </c>
      <c r="L136" s="183" t="str">
        <f>IF(MIN(N(C136),N(F136))&lt;=0,"",IF(N(D136)=0,"",ROUND((N(G136)/N(D136)-1)*100,2)))</f>
        <v/>
      </c>
      <c r="M136" s="183" t="str">
        <f>IF(OR(ROUND(N(C136)-N(F136),8)=0,1-N(Ввод!$J$19)/100&lt;=0),"",IF(N(C136)&gt;N(F136),(N(E136)-N(H136))/((N(C136)-N(F136))*(1-N(Ввод!$J$19)/100)),(N(H136)-N(E136))/((N(F136)-N(C136))*(1+N(Ввод!$J$19)/100))))</f>
        <v/>
      </c>
    </row>
    <row r="137" ht="22" customHeight="1">
      <c r="B137" s="239" t="n"/>
      <c r="C137" s="240" t="str">
        <f>IF($B137="","",IF(SUMIFS('ИТОГО Торговля'!$C$5:$C$300,'ИТОГО Торговля'!$B$5:$B$300,$B137)+SUMIFS('ИТОГО Лэндинг'!$C$5:$C$300,'ИТОГО Лэндинг'!$B$5:$B$300,$B137)=0,"",SUMIFS('ИТОГО Торговля'!$C$5:$C$300,'ИТОГО Торговля'!$B$5:$B$300,$B137)+SUMIFS('ИТОГО Лэндинг'!$C$5:$C$300,'ИТОГО Лэндинг'!$B$5:$B$300,$B137)))</f>
        <v/>
      </c>
      <c r="D137" s="177" t="str">
        <f>IF(C137="","",E137/C137)</f>
        <v/>
      </c>
      <c r="E137" s="241" t="str">
        <f>IF(C137="","",SUMIFS('ИТОГО Торговля'!$E$5:$E$300,'ИТОГО Торговля'!$B$5:$B$300,$B137)+SUMIFS('ИТОГО Лэндинг'!$E$5:$E$300,'ИТОГО Лэндинг'!$B$5:$B$300,$B137))</f>
        <v/>
      </c>
      <c r="F137" s="240" t="str">
        <f>IF($B137="","",IF(SUMIFS('ИТОГО Торговля'!$F$5:$F$300,'ИТОГО Торговля'!$B$5:$B$300,$B137)+SUMIFS('ИТОГО Лэндинг'!$F$5:$F$300,'ИТОГО Лэндинг'!$B$5:$B$300,$B137)=0,"",SUMIFS('ИТОГО Торговля'!$F$5:$F$300,'ИТОГО Торговля'!$B$5:$B$300,$B137)+SUMIFS('ИТОГО Лэндинг'!$F$5:$F$300,'ИТОГО Лэндинг'!$B$5:$B$300,$B137)))</f>
        <v/>
      </c>
      <c r="G137" s="177" t="str">
        <f>IF(F137="","",H137/F137)</f>
        <v/>
      </c>
      <c r="H137" s="241" t="str">
        <f>IF(F137="","",SUMIFS('ИТОГО Торговля'!$H$5:$H$300,'ИТОГО Торговля'!$B$5:$B$300,$B137)+SUMIFS('ИТОГО Лэндинг'!$H$5:$H$300,'ИТОГО Лэндинг'!$B$5:$B$300,$B137))</f>
        <v/>
      </c>
      <c r="I137" s="240" t="str">
        <f>IF($B137="","",IF(AND(C137="",F137=""),"",ROUND(SUMIFS('ИТОГО Торговля'!$I$5:$I$300,'ИТОГО Торговля'!$B$5:$B$300,$B137)+SUMIFS('ИТОГО Лэндинг'!$I$5:$I$300,'ИТОГО Лэндинг'!$B$5:$B$300,$B137),8)))</f>
        <v/>
      </c>
      <c r="J137" s="241" t="str">
        <f>IF($B137="","",IF(AND(C137="",F137=""),"",ROUND(SUMIFS('ИТОГО Торговля'!$J$5:$J$300,'ИТОГО Торговля'!$B$5:$B$300,$B137)+SUMIFS('ИТОГО Лэндинг'!$J$5:$J$300,'ИТОГО Лэндинг'!$B$5:$B$300,$B137),8)))</f>
        <v/>
      </c>
      <c r="K137" s="240" t="str">
        <f>IF(MIN(N(C137),N(F137))&lt;=0,"",ROUND(MIN(N(C137),N(F137))*(N(G137)-N(D137)),8))</f>
        <v/>
      </c>
      <c r="L137" s="177" t="str">
        <f>IF(MIN(N(C137),N(F137))&lt;=0,"",IF(N(D137)=0,"",ROUND((N(G137)/N(D137)-1)*100,2)))</f>
        <v/>
      </c>
      <c r="M137" s="177" t="str">
        <f>IF(OR(ROUND(N(C137)-N(F137),8)=0,1-N(Ввод!$J$19)/100&lt;=0),"",IF(N(C137)&gt;N(F137),(N(E137)-N(H137))/((N(C137)-N(F137))*(1-N(Ввод!$J$19)/100)),(N(H137)-N(E137))/((N(F137)-N(C137))*(1+N(Ввод!$J$19)/100))))</f>
        <v/>
      </c>
    </row>
    <row r="138" ht="22" customHeight="1">
      <c r="B138" s="245" t="n"/>
      <c r="C138" s="246" t="str">
        <f>IF($B138="","",IF(SUMIFS('ИТОГО Торговля'!$C$5:$C$300,'ИТОГО Торговля'!$B$5:$B$300,$B138)+SUMIFS('ИТОГО Лэндинг'!$C$5:$C$300,'ИТОГО Лэндинг'!$B$5:$B$300,$B138)=0,"",SUMIFS('ИТОГО Торговля'!$C$5:$C$300,'ИТОГО Торговля'!$B$5:$B$300,$B138)+SUMIFS('ИТОГО Лэндинг'!$C$5:$C$300,'ИТОГО Лэндинг'!$B$5:$B$300,$B138)))</f>
        <v/>
      </c>
      <c r="D138" s="183" t="str">
        <f>IF(C138="","",E138/C138)</f>
        <v/>
      </c>
      <c r="E138" s="247" t="str">
        <f>IF(C138="","",SUMIFS('ИТОГО Торговля'!$E$5:$E$300,'ИТОГО Торговля'!$B$5:$B$300,$B138)+SUMIFS('ИТОГО Лэндинг'!$E$5:$E$300,'ИТОГО Лэндинг'!$B$5:$B$300,$B138))</f>
        <v/>
      </c>
      <c r="F138" s="246" t="str">
        <f>IF($B138="","",IF(SUMIFS('ИТОГО Торговля'!$F$5:$F$300,'ИТОГО Торговля'!$B$5:$B$300,$B138)+SUMIFS('ИТОГО Лэндинг'!$F$5:$F$300,'ИТОГО Лэндинг'!$B$5:$B$300,$B138)=0,"",SUMIFS('ИТОГО Торговля'!$F$5:$F$300,'ИТОГО Торговля'!$B$5:$B$300,$B138)+SUMIFS('ИТОГО Лэндинг'!$F$5:$F$300,'ИТОГО Лэндинг'!$B$5:$B$300,$B138)))</f>
        <v/>
      </c>
      <c r="G138" s="183" t="str">
        <f>IF(F138="","",H138/F138)</f>
        <v/>
      </c>
      <c r="H138" s="247" t="str">
        <f>IF(F138="","",SUMIFS('ИТОГО Торговля'!$H$5:$H$300,'ИТОГО Торговля'!$B$5:$B$300,$B138)+SUMIFS('ИТОГО Лэндинг'!$H$5:$H$300,'ИТОГО Лэндинг'!$B$5:$B$300,$B138))</f>
        <v/>
      </c>
      <c r="I138" s="246" t="str">
        <f>IF($B138="","",IF(AND(C138="",F138=""),"",ROUND(SUMIFS('ИТОГО Торговля'!$I$5:$I$300,'ИТОГО Торговля'!$B$5:$B$300,$B138)+SUMIFS('ИТОГО Лэндинг'!$I$5:$I$300,'ИТОГО Лэндинг'!$B$5:$B$300,$B138),8)))</f>
        <v/>
      </c>
      <c r="J138" s="247" t="str">
        <f>IF($B138="","",IF(AND(C138="",F138=""),"",ROUND(SUMIFS('ИТОГО Торговля'!$J$5:$J$300,'ИТОГО Торговля'!$B$5:$B$300,$B138)+SUMIFS('ИТОГО Лэндинг'!$J$5:$J$300,'ИТОГО Лэндинг'!$B$5:$B$300,$B138),8)))</f>
        <v/>
      </c>
      <c r="K138" s="246" t="str">
        <f>IF(MIN(N(C138),N(F138))&lt;=0,"",ROUND(MIN(N(C138),N(F138))*(N(G138)-N(D138)),8))</f>
        <v/>
      </c>
      <c r="L138" s="183" t="str">
        <f>IF(MIN(N(C138),N(F138))&lt;=0,"",IF(N(D138)=0,"",ROUND((N(G138)/N(D138)-1)*100,2)))</f>
        <v/>
      </c>
      <c r="M138" s="183" t="str">
        <f>IF(OR(ROUND(N(C138)-N(F138),8)=0,1-N(Ввод!$J$19)/100&lt;=0),"",IF(N(C138)&gt;N(F138),(N(E138)-N(H138))/((N(C138)-N(F138))*(1-N(Ввод!$J$19)/100)),(N(H138)-N(E138))/((N(F138)-N(C138))*(1+N(Ввод!$J$19)/100))))</f>
        <v/>
      </c>
    </row>
    <row r="139" ht="22" customHeight="1">
      <c r="B139" s="239" t="n"/>
      <c r="C139" s="240" t="str">
        <f>IF($B139="","",IF(SUMIFS('ИТОГО Торговля'!$C$5:$C$300,'ИТОГО Торговля'!$B$5:$B$300,$B139)+SUMIFS('ИТОГО Лэндинг'!$C$5:$C$300,'ИТОГО Лэндинг'!$B$5:$B$300,$B139)=0,"",SUMIFS('ИТОГО Торговля'!$C$5:$C$300,'ИТОГО Торговля'!$B$5:$B$300,$B139)+SUMIFS('ИТОГО Лэндинг'!$C$5:$C$300,'ИТОГО Лэндинг'!$B$5:$B$300,$B139)))</f>
        <v/>
      </c>
      <c r="D139" s="177" t="str">
        <f>IF(C139="","",E139/C139)</f>
        <v/>
      </c>
      <c r="E139" s="241" t="str">
        <f>IF(C139="","",SUMIFS('ИТОГО Торговля'!$E$5:$E$300,'ИТОГО Торговля'!$B$5:$B$300,$B139)+SUMIFS('ИТОГО Лэндинг'!$E$5:$E$300,'ИТОГО Лэндинг'!$B$5:$B$300,$B139))</f>
        <v/>
      </c>
      <c r="F139" s="240" t="str">
        <f>IF($B139="","",IF(SUMIFS('ИТОГО Торговля'!$F$5:$F$300,'ИТОГО Торговля'!$B$5:$B$300,$B139)+SUMIFS('ИТОГО Лэндинг'!$F$5:$F$300,'ИТОГО Лэндинг'!$B$5:$B$300,$B139)=0,"",SUMIFS('ИТОГО Торговля'!$F$5:$F$300,'ИТОГО Торговля'!$B$5:$B$300,$B139)+SUMIFS('ИТОГО Лэндинг'!$F$5:$F$300,'ИТОГО Лэндинг'!$B$5:$B$300,$B139)))</f>
        <v/>
      </c>
      <c r="G139" s="177" t="str">
        <f>IF(F139="","",H139/F139)</f>
        <v/>
      </c>
      <c r="H139" s="241" t="str">
        <f>IF(F139="","",SUMIFS('ИТОГО Торговля'!$H$5:$H$300,'ИТОГО Торговля'!$B$5:$B$300,$B139)+SUMIFS('ИТОГО Лэндинг'!$H$5:$H$300,'ИТОГО Лэндинг'!$B$5:$B$300,$B139))</f>
        <v/>
      </c>
      <c r="I139" s="240" t="str">
        <f>IF($B139="","",IF(AND(C139="",F139=""),"",ROUND(SUMIFS('ИТОГО Торговля'!$I$5:$I$300,'ИТОГО Торговля'!$B$5:$B$300,$B139)+SUMIFS('ИТОГО Лэндинг'!$I$5:$I$300,'ИТОГО Лэндинг'!$B$5:$B$300,$B139),8)))</f>
        <v/>
      </c>
      <c r="J139" s="241" t="str">
        <f>IF($B139="","",IF(AND(C139="",F139=""),"",ROUND(SUMIFS('ИТОГО Торговля'!$J$5:$J$300,'ИТОГО Торговля'!$B$5:$B$300,$B139)+SUMIFS('ИТОГО Лэндинг'!$J$5:$J$300,'ИТОГО Лэндинг'!$B$5:$B$300,$B139),8)))</f>
        <v/>
      </c>
      <c r="K139" s="240" t="str">
        <f>IF(MIN(N(C139),N(F139))&lt;=0,"",ROUND(MIN(N(C139),N(F139))*(N(G139)-N(D139)),8))</f>
        <v/>
      </c>
      <c r="L139" s="177" t="str">
        <f>IF(MIN(N(C139),N(F139))&lt;=0,"",IF(N(D139)=0,"",ROUND((N(G139)/N(D139)-1)*100,2)))</f>
        <v/>
      </c>
      <c r="M139" s="177" t="str">
        <f>IF(OR(ROUND(N(C139)-N(F139),8)=0,1-N(Ввод!$J$19)/100&lt;=0),"",IF(N(C139)&gt;N(F139),(N(E139)-N(H139))/((N(C139)-N(F139))*(1-N(Ввод!$J$19)/100)),(N(H139)-N(E139))/((N(F139)-N(C139))*(1+N(Ввод!$J$19)/100))))</f>
        <v/>
      </c>
    </row>
    <row r="140" ht="22" customHeight="1">
      <c r="B140" s="245" t="n"/>
      <c r="C140" s="246" t="str">
        <f>IF($B140="","",IF(SUMIFS('ИТОГО Торговля'!$C$5:$C$300,'ИТОГО Торговля'!$B$5:$B$300,$B140)+SUMIFS('ИТОГО Лэндинг'!$C$5:$C$300,'ИТОГО Лэндинг'!$B$5:$B$300,$B140)=0,"",SUMIFS('ИТОГО Торговля'!$C$5:$C$300,'ИТОГО Торговля'!$B$5:$B$300,$B140)+SUMIFS('ИТОГО Лэндинг'!$C$5:$C$300,'ИТОГО Лэндинг'!$B$5:$B$300,$B140)))</f>
        <v/>
      </c>
      <c r="D140" s="183" t="str">
        <f>IF(C140="","",E140/C140)</f>
        <v/>
      </c>
      <c r="E140" s="247" t="str">
        <f>IF(C140="","",SUMIFS('ИТОГО Торговля'!$E$5:$E$300,'ИТОГО Торговля'!$B$5:$B$300,$B140)+SUMIFS('ИТОГО Лэндинг'!$E$5:$E$300,'ИТОГО Лэндинг'!$B$5:$B$300,$B140))</f>
        <v/>
      </c>
      <c r="F140" s="246" t="str">
        <f>IF($B140="","",IF(SUMIFS('ИТОГО Торговля'!$F$5:$F$300,'ИТОГО Торговля'!$B$5:$B$300,$B140)+SUMIFS('ИТОГО Лэндинг'!$F$5:$F$300,'ИТОГО Лэндинг'!$B$5:$B$300,$B140)=0,"",SUMIFS('ИТОГО Торговля'!$F$5:$F$300,'ИТОГО Торговля'!$B$5:$B$300,$B140)+SUMIFS('ИТОГО Лэндинг'!$F$5:$F$300,'ИТОГО Лэндинг'!$B$5:$B$300,$B140)))</f>
        <v/>
      </c>
      <c r="G140" s="183" t="str">
        <f>IF(F140="","",H140/F140)</f>
        <v/>
      </c>
      <c r="H140" s="247" t="str">
        <f>IF(F140="","",SUMIFS('ИТОГО Торговля'!$H$5:$H$300,'ИТОГО Торговля'!$B$5:$B$300,$B140)+SUMIFS('ИТОГО Лэндинг'!$H$5:$H$300,'ИТОГО Лэндинг'!$B$5:$B$300,$B140))</f>
        <v/>
      </c>
      <c r="I140" s="246" t="str">
        <f>IF($B140="","",IF(AND(C140="",F140=""),"",ROUND(SUMIFS('ИТОГО Торговля'!$I$5:$I$300,'ИТОГО Торговля'!$B$5:$B$300,$B140)+SUMIFS('ИТОГО Лэндинг'!$I$5:$I$300,'ИТОГО Лэндинг'!$B$5:$B$300,$B140),8)))</f>
        <v/>
      </c>
      <c r="J140" s="247" t="str">
        <f>IF($B140="","",IF(AND(C140="",F140=""),"",ROUND(SUMIFS('ИТОГО Торговля'!$J$5:$J$300,'ИТОГО Торговля'!$B$5:$B$300,$B140)+SUMIFS('ИТОГО Лэндинг'!$J$5:$J$300,'ИТОГО Лэндинг'!$B$5:$B$300,$B140),8)))</f>
        <v/>
      </c>
      <c r="K140" s="246" t="str">
        <f>IF(MIN(N(C140),N(F140))&lt;=0,"",ROUND(MIN(N(C140),N(F140))*(N(G140)-N(D140)),8))</f>
        <v/>
      </c>
      <c r="L140" s="183" t="str">
        <f>IF(MIN(N(C140),N(F140))&lt;=0,"",IF(N(D140)=0,"",ROUND((N(G140)/N(D140)-1)*100,2)))</f>
        <v/>
      </c>
      <c r="M140" s="183" t="str">
        <f>IF(OR(ROUND(N(C140)-N(F140),8)=0,1-N(Ввод!$J$19)/100&lt;=0),"",IF(N(C140)&gt;N(F140),(N(E140)-N(H140))/((N(C140)-N(F140))*(1-N(Ввод!$J$19)/100)),(N(H140)-N(E140))/((N(F140)-N(C140))*(1+N(Ввод!$J$19)/100))))</f>
        <v/>
      </c>
    </row>
    <row r="141" ht="22" customHeight="1">
      <c r="B141" s="239" t="n"/>
      <c r="C141" s="240" t="str">
        <f>IF($B141="","",IF(SUMIFS('ИТОГО Торговля'!$C$5:$C$300,'ИТОГО Торговля'!$B$5:$B$300,$B141)+SUMIFS('ИТОГО Лэндинг'!$C$5:$C$300,'ИТОГО Лэндинг'!$B$5:$B$300,$B141)=0,"",SUMIFS('ИТОГО Торговля'!$C$5:$C$300,'ИТОГО Торговля'!$B$5:$B$300,$B141)+SUMIFS('ИТОГО Лэндинг'!$C$5:$C$300,'ИТОГО Лэндинг'!$B$5:$B$300,$B141)))</f>
        <v/>
      </c>
      <c r="D141" s="177" t="str">
        <f>IF(C141="","",E141/C141)</f>
        <v/>
      </c>
      <c r="E141" s="241" t="str">
        <f>IF(C141="","",SUMIFS('ИТОГО Торговля'!$E$5:$E$300,'ИТОГО Торговля'!$B$5:$B$300,$B141)+SUMIFS('ИТОГО Лэндинг'!$E$5:$E$300,'ИТОГО Лэндинг'!$B$5:$B$300,$B141))</f>
        <v/>
      </c>
      <c r="F141" s="240" t="str">
        <f>IF($B141="","",IF(SUMIFS('ИТОГО Торговля'!$F$5:$F$300,'ИТОГО Торговля'!$B$5:$B$300,$B141)+SUMIFS('ИТОГО Лэндинг'!$F$5:$F$300,'ИТОГО Лэндинг'!$B$5:$B$300,$B141)=0,"",SUMIFS('ИТОГО Торговля'!$F$5:$F$300,'ИТОГО Торговля'!$B$5:$B$300,$B141)+SUMIFS('ИТОГО Лэндинг'!$F$5:$F$300,'ИТОГО Лэндинг'!$B$5:$B$300,$B141)))</f>
        <v/>
      </c>
      <c r="G141" s="177" t="str">
        <f>IF(F141="","",H141/F141)</f>
        <v/>
      </c>
      <c r="H141" s="241" t="str">
        <f>IF(F141="","",SUMIFS('ИТОГО Торговля'!$H$5:$H$300,'ИТОГО Торговля'!$B$5:$B$300,$B141)+SUMIFS('ИТОГО Лэндинг'!$H$5:$H$300,'ИТОГО Лэндинг'!$B$5:$B$300,$B141))</f>
        <v/>
      </c>
      <c r="I141" s="240" t="str">
        <f>IF($B141="","",IF(AND(C141="",F141=""),"",ROUND(SUMIFS('ИТОГО Торговля'!$I$5:$I$300,'ИТОГО Торговля'!$B$5:$B$300,$B141)+SUMIFS('ИТОГО Лэндинг'!$I$5:$I$300,'ИТОГО Лэндинг'!$B$5:$B$300,$B141),8)))</f>
        <v/>
      </c>
      <c r="J141" s="241" t="str">
        <f>IF($B141="","",IF(AND(C141="",F141=""),"",ROUND(SUMIFS('ИТОГО Торговля'!$J$5:$J$300,'ИТОГО Торговля'!$B$5:$B$300,$B141)+SUMIFS('ИТОГО Лэндинг'!$J$5:$J$300,'ИТОГО Лэндинг'!$B$5:$B$300,$B141),8)))</f>
        <v/>
      </c>
      <c r="K141" s="240" t="str">
        <f>IF(MIN(N(C141),N(F141))&lt;=0,"",ROUND(MIN(N(C141),N(F141))*(N(G141)-N(D141)),8))</f>
        <v/>
      </c>
      <c r="L141" s="177" t="str">
        <f>IF(MIN(N(C141),N(F141))&lt;=0,"",IF(N(D141)=0,"",ROUND((N(G141)/N(D141)-1)*100,2)))</f>
        <v/>
      </c>
      <c r="M141" s="177" t="str">
        <f>IF(OR(ROUND(N(C141)-N(F141),8)=0,1-N(Ввод!$J$19)/100&lt;=0),"",IF(N(C141)&gt;N(F141),(N(E141)-N(H141))/((N(C141)-N(F141))*(1-N(Ввод!$J$19)/100)),(N(H141)-N(E141))/((N(F141)-N(C141))*(1+N(Ввод!$J$19)/100))))</f>
        <v/>
      </c>
    </row>
    <row r="142" ht="22" customHeight="1">
      <c r="B142" s="245" t="n"/>
      <c r="C142" s="246" t="str">
        <f>IF($B142="","",IF(SUMIFS('ИТОГО Торговля'!$C$5:$C$300,'ИТОГО Торговля'!$B$5:$B$300,$B142)+SUMIFS('ИТОГО Лэндинг'!$C$5:$C$300,'ИТОГО Лэндинг'!$B$5:$B$300,$B142)=0,"",SUMIFS('ИТОГО Торговля'!$C$5:$C$300,'ИТОГО Торговля'!$B$5:$B$300,$B142)+SUMIFS('ИТОГО Лэндинг'!$C$5:$C$300,'ИТОГО Лэндинг'!$B$5:$B$300,$B142)))</f>
        <v/>
      </c>
      <c r="D142" s="183" t="str">
        <f>IF(C142="","",E142/C142)</f>
        <v/>
      </c>
      <c r="E142" s="247" t="str">
        <f>IF(C142="","",SUMIFS('ИТОГО Торговля'!$E$5:$E$300,'ИТОГО Торговля'!$B$5:$B$300,$B142)+SUMIFS('ИТОГО Лэндинг'!$E$5:$E$300,'ИТОГО Лэндинг'!$B$5:$B$300,$B142))</f>
        <v/>
      </c>
      <c r="F142" s="246" t="str">
        <f>IF($B142="","",IF(SUMIFS('ИТОГО Торговля'!$F$5:$F$300,'ИТОГО Торговля'!$B$5:$B$300,$B142)+SUMIFS('ИТОГО Лэндинг'!$F$5:$F$300,'ИТОГО Лэндинг'!$B$5:$B$300,$B142)=0,"",SUMIFS('ИТОГО Торговля'!$F$5:$F$300,'ИТОГО Торговля'!$B$5:$B$300,$B142)+SUMIFS('ИТОГО Лэндинг'!$F$5:$F$300,'ИТОГО Лэндинг'!$B$5:$B$300,$B142)))</f>
        <v/>
      </c>
      <c r="G142" s="183" t="str">
        <f>IF(F142="","",H142/F142)</f>
        <v/>
      </c>
      <c r="H142" s="247" t="str">
        <f>IF(F142="","",SUMIFS('ИТОГО Торговля'!$H$5:$H$300,'ИТОГО Торговля'!$B$5:$B$300,$B142)+SUMIFS('ИТОГО Лэндинг'!$H$5:$H$300,'ИТОГО Лэндинг'!$B$5:$B$300,$B142))</f>
        <v/>
      </c>
      <c r="I142" s="246" t="str">
        <f>IF($B142="","",IF(AND(C142="",F142=""),"",ROUND(SUMIFS('ИТОГО Торговля'!$I$5:$I$300,'ИТОГО Торговля'!$B$5:$B$300,$B142)+SUMIFS('ИТОГО Лэндинг'!$I$5:$I$300,'ИТОГО Лэндинг'!$B$5:$B$300,$B142),8)))</f>
        <v/>
      </c>
      <c r="J142" s="247" t="str">
        <f>IF($B142="","",IF(AND(C142="",F142=""),"",ROUND(SUMIFS('ИТОГО Торговля'!$J$5:$J$300,'ИТОГО Торговля'!$B$5:$B$300,$B142)+SUMIFS('ИТОГО Лэндинг'!$J$5:$J$300,'ИТОГО Лэндинг'!$B$5:$B$300,$B142),8)))</f>
        <v/>
      </c>
      <c r="K142" s="246" t="str">
        <f>IF(MIN(N(C142),N(F142))&lt;=0,"",ROUND(MIN(N(C142),N(F142))*(N(G142)-N(D142)),8))</f>
        <v/>
      </c>
      <c r="L142" s="183" t="str">
        <f>IF(MIN(N(C142),N(F142))&lt;=0,"",IF(N(D142)=0,"",ROUND((N(G142)/N(D142)-1)*100,2)))</f>
        <v/>
      </c>
      <c r="M142" s="183" t="str">
        <f>IF(OR(ROUND(N(C142)-N(F142),8)=0,1-N(Ввод!$J$19)/100&lt;=0),"",IF(N(C142)&gt;N(F142),(N(E142)-N(H142))/((N(C142)-N(F142))*(1-N(Ввод!$J$19)/100)),(N(H142)-N(E142))/((N(F142)-N(C142))*(1+N(Ввод!$J$19)/100))))</f>
        <v/>
      </c>
    </row>
    <row r="143" ht="22" customHeight="1">
      <c r="B143" s="239" t="n"/>
      <c r="C143" s="240" t="str">
        <f>IF($B143="","",IF(SUMIFS('ИТОГО Торговля'!$C$5:$C$300,'ИТОГО Торговля'!$B$5:$B$300,$B143)+SUMIFS('ИТОГО Лэндинг'!$C$5:$C$300,'ИТОГО Лэндинг'!$B$5:$B$300,$B143)=0,"",SUMIFS('ИТОГО Торговля'!$C$5:$C$300,'ИТОГО Торговля'!$B$5:$B$300,$B143)+SUMIFS('ИТОГО Лэндинг'!$C$5:$C$300,'ИТОГО Лэндинг'!$B$5:$B$300,$B143)))</f>
        <v/>
      </c>
      <c r="D143" s="177" t="str">
        <f>IF(C143="","",E143/C143)</f>
        <v/>
      </c>
      <c r="E143" s="241" t="str">
        <f>IF(C143="","",SUMIFS('ИТОГО Торговля'!$E$5:$E$300,'ИТОГО Торговля'!$B$5:$B$300,$B143)+SUMIFS('ИТОГО Лэндинг'!$E$5:$E$300,'ИТОГО Лэндинг'!$B$5:$B$300,$B143))</f>
        <v/>
      </c>
      <c r="F143" s="240" t="str">
        <f>IF($B143="","",IF(SUMIFS('ИТОГО Торговля'!$F$5:$F$300,'ИТОГО Торговля'!$B$5:$B$300,$B143)+SUMIFS('ИТОГО Лэндинг'!$F$5:$F$300,'ИТОГО Лэндинг'!$B$5:$B$300,$B143)=0,"",SUMIFS('ИТОГО Торговля'!$F$5:$F$300,'ИТОГО Торговля'!$B$5:$B$300,$B143)+SUMIFS('ИТОГО Лэндинг'!$F$5:$F$300,'ИТОГО Лэндинг'!$B$5:$B$300,$B143)))</f>
        <v/>
      </c>
      <c r="G143" s="177" t="str">
        <f>IF(F143="","",H143/F143)</f>
        <v/>
      </c>
      <c r="H143" s="241" t="str">
        <f>IF(F143="","",SUMIFS('ИТОГО Торговля'!$H$5:$H$300,'ИТОГО Торговля'!$B$5:$B$300,$B143)+SUMIFS('ИТОГО Лэндинг'!$H$5:$H$300,'ИТОГО Лэндинг'!$B$5:$B$300,$B143))</f>
        <v/>
      </c>
      <c r="I143" s="240" t="str">
        <f>IF($B143="","",IF(AND(C143="",F143=""),"",ROUND(SUMIFS('ИТОГО Торговля'!$I$5:$I$300,'ИТОГО Торговля'!$B$5:$B$300,$B143)+SUMIFS('ИТОГО Лэндинг'!$I$5:$I$300,'ИТОГО Лэндинг'!$B$5:$B$300,$B143),8)))</f>
        <v/>
      </c>
      <c r="J143" s="241" t="str">
        <f>IF($B143="","",IF(AND(C143="",F143=""),"",ROUND(SUMIFS('ИТОГО Торговля'!$J$5:$J$300,'ИТОГО Торговля'!$B$5:$B$300,$B143)+SUMIFS('ИТОГО Лэндинг'!$J$5:$J$300,'ИТОГО Лэндинг'!$B$5:$B$300,$B143),8)))</f>
        <v/>
      </c>
      <c r="K143" s="240" t="str">
        <f>IF(MIN(N(C143),N(F143))&lt;=0,"",ROUND(MIN(N(C143),N(F143))*(N(G143)-N(D143)),8))</f>
        <v/>
      </c>
      <c r="L143" s="177" t="str">
        <f>IF(MIN(N(C143),N(F143))&lt;=0,"",IF(N(D143)=0,"",ROUND((N(G143)/N(D143)-1)*100,2)))</f>
        <v/>
      </c>
      <c r="M143" s="177" t="str">
        <f>IF(OR(ROUND(N(C143)-N(F143),8)=0,1-N(Ввод!$J$19)/100&lt;=0),"",IF(N(C143)&gt;N(F143),(N(E143)-N(H143))/((N(C143)-N(F143))*(1-N(Ввод!$J$19)/100)),(N(H143)-N(E143))/((N(F143)-N(C143))*(1+N(Ввод!$J$19)/100))))</f>
        <v/>
      </c>
    </row>
    <row r="144" ht="22" customHeight="1">
      <c r="B144" s="245" t="n"/>
      <c r="C144" s="246" t="str">
        <f>IF($B144="","",IF(SUMIFS('ИТОГО Торговля'!$C$5:$C$300,'ИТОГО Торговля'!$B$5:$B$300,$B144)+SUMIFS('ИТОГО Лэндинг'!$C$5:$C$300,'ИТОГО Лэндинг'!$B$5:$B$300,$B144)=0,"",SUMIFS('ИТОГО Торговля'!$C$5:$C$300,'ИТОГО Торговля'!$B$5:$B$300,$B144)+SUMIFS('ИТОГО Лэндинг'!$C$5:$C$300,'ИТОГО Лэндинг'!$B$5:$B$300,$B144)))</f>
        <v/>
      </c>
      <c r="D144" s="183" t="str">
        <f>IF(C144="","",E144/C144)</f>
        <v/>
      </c>
      <c r="E144" s="247" t="str">
        <f>IF(C144="","",SUMIFS('ИТОГО Торговля'!$E$5:$E$300,'ИТОГО Торговля'!$B$5:$B$300,$B144)+SUMIFS('ИТОГО Лэндинг'!$E$5:$E$300,'ИТОГО Лэндинг'!$B$5:$B$300,$B144))</f>
        <v/>
      </c>
      <c r="F144" s="246" t="str">
        <f>IF($B144="","",IF(SUMIFS('ИТОГО Торговля'!$F$5:$F$300,'ИТОГО Торговля'!$B$5:$B$300,$B144)+SUMIFS('ИТОГО Лэндинг'!$F$5:$F$300,'ИТОГО Лэндинг'!$B$5:$B$300,$B144)=0,"",SUMIFS('ИТОГО Торговля'!$F$5:$F$300,'ИТОГО Торговля'!$B$5:$B$300,$B144)+SUMIFS('ИТОГО Лэндинг'!$F$5:$F$300,'ИТОГО Лэндинг'!$B$5:$B$300,$B144)))</f>
        <v/>
      </c>
      <c r="G144" s="183" t="str">
        <f>IF(F144="","",H144/F144)</f>
        <v/>
      </c>
      <c r="H144" s="247" t="str">
        <f>IF(F144="","",SUMIFS('ИТОГО Торговля'!$H$5:$H$300,'ИТОГО Торговля'!$B$5:$B$300,$B144)+SUMIFS('ИТОГО Лэндинг'!$H$5:$H$300,'ИТОГО Лэндинг'!$B$5:$B$300,$B144))</f>
        <v/>
      </c>
      <c r="I144" s="246" t="str">
        <f>IF($B144="","",IF(AND(C144="",F144=""),"",ROUND(SUMIFS('ИТОГО Торговля'!$I$5:$I$300,'ИТОГО Торговля'!$B$5:$B$300,$B144)+SUMIFS('ИТОГО Лэндинг'!$I$5:$I$300,'ИТОГО Лэндинг'!$B$5:$B$300,$B144),8)))</f>
        <v/>
      </c>
      <c r="J144" s="247" t="str">
        <f>IF($B144="","",IF(AND(C144="",F144=""),"",ROUND(SUMIFS('ИТОГО Торговля'!$J$5:$J$300,'ИТОГО Торговля'!$B$5:$B$300,$B144)+SUMIFS('ИТОГО Лэндинг'!$J$5:$J$300,'ИТОГО Лэндинг'!$B$5:$B$300,$B144),8)))</f>
        <v/>
      </c>
      <c r="K144" s="246" t="str">
        <f>IF(MIN(N(C144),N(F144))&lt;=0,"",ROUND(MIN(N(C144),N(F144))*(N(G144)-N(D144)),8))</f>
        <v/>
      </c>
      <c r="L144" s="183" t="str">
        <f>IF(MIN(N(C144),N(F144))&lt;=0,"",IF(N(D144)=0,"",ROUND((N(G144)/N(D144)-1)*100,2)))</f>
        <v/>
      </c>
      <c r="M144" s="183" t="str">
        <f>IF(OR(ROUND(N(C144)-N(F144),8)=0,1-N(Ввод!$J$19)/100&lt;=0),"",IF(N(C144)&gt;N(F144),(N(E144)-N(H144))/((N(C144)-N(F144))*(1-N(Ввод!$J$19)/100)),(N(H144)-N(E144))/((N(F144)-N(C144))*(1+N(Ввод!$J$19)/100))))</f>
        <v/>
      </c>
    </row>
    <row r="145" ht="22" customHeight="1">
      <c r="B145" s="239" t="n"/>
      <c r="C145" s="240" t="str">
        <f>IF($B145="","",IF(SUMIFS('ИТОГО Торговля'!$C$5:$C$300,'ИТОГО Торговля'!$B$5:$B$300,$B145)+SUMIFS('ИТОГО Лэндинг'!$C$5:$C$300,'ИТОГО Лэндинг'!$B$5:$B$300,$B145)=0,"",SUMIFS('ИТОГО Торговля'!$C$5:$C$300,'ИТОГО Торговля'!$B$5:$B$300,$B145)+SUMIFS('ИТОГО Лэндинг'!$C$5:$C$300,'ИТОГО Лэндинг'!$B$5:$B$300,$B145)))</f>
        <v/>
      </c>
      <c r="D145" s="177" t="str">
        <f>IF(C145="","",E145/C145)</f>
        <v/>
      </c>
      <c r="E145" s="241" t="str">
        <f>IF(C145="","",SUMIFS('ИТОГО Торговля'!$E$5:$E$300,'ИТОГО Торговля'!$B$5:$B$300,$B145)+SUMIFS('ИТОГО Лэндинг'!$E$5:$E$300,'ИТОГО Лэндинг'!$B$5:$B$300,$B145))</f>
        <v/>
      </c>
      <c r="F145" s="240" t="str">
        <f>IF($B145="","",IF(SUMIFS('ИТОГО Торговля'!$F$5:$F$300,'ИТОГО Торговля'!$B$5:$B$300,$B145)+SUMIFS('ИТОГО Лэндинг'!$F$5:$F$300,'ИТОГО Лэндинг'!$B$5:$B$300,$B145)=0,"",SUMIFS('ИТОГО Торговля'!$F$5:$F$300,'ИТОГО Торговля'!$B$5:$B$300,$B145)+SUMIFS('ИТОГО Лэндинг'!$F$5:$F$300,'ИТОГО Лэндинг'!$B$5:$B$300,$B145)))</f>
        <v/>
      </c>
      <c r="G145" s="177" t="str">
        <f>IF(F145="","",H145/F145)</f>
        <v/>
      </c>
      <c r="H145" s="241" t="str">
        <f>IF(F145="","",SUMIFS('ИТОГО Торговля'!$H$5:$H$300,'ИТОГО Торговля'!$B$5:$B$300,$B145)+SUMIFS('ИТОГО Лэндинг'!$H$5:$H$300,'ИТОГО Лэндинг'!$B$5:$B$300,$B145))</f>
        <v/>
      </c>
      <c r="I145" s="240" t="str">
        <f>IF($B145="","",IF(AND(C145="",F145=""),"",ROUND(SUMIFS('ИТОГО Торговля'!$I$5:$I$300,'ИТОГО Торговля'!$B$5:$B$300,$B145)+SUMIFS('ИТОГО Лэндинг'!$I$5:$I$300,'ИТОГО Лэндинг'!$B$5:$B$300,$B145),8)))</f>
        <v/>
      </c>
      <c r="J145" s="241" t="str">
        <f>IF($B145="","",IF(AND(C145="",F145=""),"",ROUND(SUMIFS('ИТОГО Торговля'!$J$5:$J$300,'ИТОГО Торговля'!$B$5:$B$300,$B145)+SUMIFS('ИТОГО Лэндинг'!$J$5:$J$300,'ИТОГО Лэндинг'!$B$5:$B$300,$B145),8)))</f>
        <v/>
      </c>
      <c r="K145" s="240" t="str">
        <f>IF(MIN(N(C145),N(F145))&lt;=0,"",ROUND(MIN(N(C145),N(F145))*(N(G145)-N(D145)),8))</f>
        <v/>
      </c>
      <c r="L145" s="177" t="str">
        <f>IF(MIN(N(C145),N(F145))&lt;=0,"",IF(N(D145)=0,"",ROUND((N(G145)/N(D145)-1)*100,2)))</f>
        <v/>
      </c>
      <c r="M145" s="177" t="str">
        <f>IF(OR(ROUND(N(C145)-N(F145),8)=0,1-N(Ввод!$J$19)/100&lt;=0),"",IF(N(C145)&gt;N(F145),(N(E145)-N(H145))/((N(C145)-N(F145))*(1-N(Ввод!$J$19)/100)),(N(H145)-N(E145))/((N(F145)-N(C145))*(1+N(Ввод!$J$19)/100))))</f>
        <v/>
      </c>
    </row>
    <row r="146" ht="22" customHeight="1">
      <c r="B146" s="245" t="n"/>
      <c r="C146" s="246" t="str">
        <f>IF($B146="","",IF(SUMIFS('ИТОГО Торговля'!$C$5:$C$300,'ИТОГО Торговля'!$B$5:$B$300,$B146)+SUMIFS('ИТОГО Лэндинг'!$C$5:$C$300,'ИТОГО Лэндинг'!$B$5:$B$300,$B146)=0,"",SUMIFS('ИТОГО Торговля'!$C$5:$C$300,'ИТОГО Торговля'!$B$5:$B$300,$B146)+SUMIFS('ИТОГО Лэндинг'!$C$5:$C$300,'ИТОГО Лэндинг'!$B$5:$B$300,$B146)))</f>
        <v/>
      </c>
      <c r="D146" s="183" t="str">
        <f>IF(C146="","",E146/C146)</f>
        <v/>
      </c>
      <c r="E146" s="247" t="str">
        <f>IF(C146="","",SUMIFS('ИТОГО Торговля'!$E$5:$E$300,'ИТОГО Торговля'!$B$5:$B$300,$B146)+SUMIFS('ИТОГО Лэндинг'!$E$5:$E$300,'ИТОГО Лэндинг'!$B$5:$B$300,$B146))</f>
        <v/>
      </c>
      <c r="F146" s="246" t="str">
        <f>IF($B146="","",IF(SUMIFS('ИТОГО Торговля'!$F$5:$F$300,'ИТОГО Торговля'!$B$5:$B$300,$B146)+SUMIFS('ИТОГО Лэндинг'!$F$5:$F$300,'ИТОГО Лэндинг'!$B$5:$B$300,$B146)=0,"",SUMIFS('ИТОГО Торговля'!$F$5:$F$300,'ИТОГО Торговля'!$B$5:$B$300,$B146)+SUMIFS('ИТОГО Лэндинг'!$F$5:$F$300,'ИТОГО Лэндинг'!$B$5:$B$300,$B146)))</f>
        <v/>
      </c>
      <c r="G146" s="183" t="str">
        <f>IF(F146="","",H146/F146)</f>
        <v/>
      </c>
      <c r="H146" s="247" t="str">
        <f>IF(F146="","",SUMIFS('ИТОГО Торговля'!$H$5:$H$300,'ИТОГО Торговля'!$B$5:$B$300,$B146)+SUMIFS('ИТОГО Лэндинг'!$H$5:$H$300,'ИТОГО Лэндинг'!$B$5:$B$300,$B146))</f>
        <v/>
      </c>
      <c r="I146" s="246" t="str">
        <f>IF($B146="","",IF(AND(C146="",F146=""),"",ROUND(SUMIFS('ИТОГО Торговля'!$I$5:$I$300,'ИТОГО Торговля'!$B$5:$B$300,$B146)+SUMIFS('ИТОГО Лэндинг'!$I$5:$I$300,'ИТОГО Лэндинг'!$B$5:$B$300,$B146),8)))</f>
        <v/>
      </c>
      <c r="J146" s="247" t="str">
        <f>IF($B146="","",IF(AND(C146="",F146=""),"",ROUND(SUMIFS('ИТОГО Торговля'!$J$5:$J$300,'ИТОГО Торговля'!$B$5:$B$300,$B146)+SUMIFS('ИТОГО Лэндинг'!$J$5:$J$300,'ИТОГО Лэндинг'!$B$5:$B$300,$B146),8)))</f>
        <v/>
      </c>
      <c r="K146" s="246" t="str">
        <f>IF(MIN(N(C146),N(F146))&lt;=0,"",ROUND(MIN(N(C146),N(F146))*(N(G146)-N(D146)),8))</f>
        <v/>
      </c>
      <c r="L146" s="183" t="str">
        <f>IF(MIN(N(C146),N(F146))&lt;=0,"",IF(N(D146)=0,"",ROUND((N(G146)/N(D146)-1)*100,2)))</f>
        <v/>
      </c>
      <c r="M146" s="183" t="str">
        <f>IF(OR(ROUND(N(C146)-N(F146),8)=0,1-N(Ввод!$J$19)/100&lt;=0),"",IF(N(C146)&gt;N(F146),(N(E146)-N(H146))/((N(C146)-N(F146))*(1-N(Ввод!$J$19)/100)),(N(H146)-N(E146))/((N(F146)-N(C146))*(1+N(Ввод!$J$19)/100))))</f>
        <v/>
      </c>
    </row>
    <row r="147" ht="22" customHeight="1">
      <c r="B147" s="239" t="n"/>
      <c r="C147" s="240" t="str">
        <f>IF($B147="","",IF(SUMIFS('ИТОГО Торговля'!$C$5:$C$300,'ИТОГО Торговля'!$B$5:$B$300,$B147)+SUMIFS('ИТОГО Лэндинг'!$C$5:$C$300,'ИТОГО Лэндинг'!$B$5:$B$300,$B147)=0,"",SUMIFS('ИТОГО Торговля'!$C$5:$C$300,'ИТОГО Торговля'!$B$5:$B$300,$B147)+SUMIFS('ИТОГО Лэндинг'!$C$5:$C$300,'ИТОГО Лэндинг'!$B$5:$B$300,$B147)))</f>
        <v/>
      </c>
      <c r="D147" s="177" t="str">
        <f>IF(C147="","",E147/C147)</f>
        <v/>
      </c>
      <c r="E147" s="241" t="str">
        <f>IF(C147="","",SUMIFS('ИТОГО Торговля'!$E$5:$E$300,'ИТОГО Торговля'!$B$5:$B$300,$B147)+SUMIFS('ИТОГО Лэндинг'!$E$5:$E$300,'ИТОГО Лэндинг'!$B$5:$B$300,$B147))</f>
        <v/>
      </c>
      <c r="F147" s="240" t="str">
        <f>IF($B147="","",IF(SUMIFS('ИТОГО Торговля'!$F$5:$F$300,'ИТОГО Торговля'!$B$5:$B$300,$B147)+SUMIFS('ИТОГО Лэндинг'!$F$5:$F$300,'ИТОГО Лэндинг'!$B$5:$B$300,$B147)=0,"",SUMIFS('ИТОГО Торговля'!$F$5:$F$300,'ИТОГО Торговля'!$B$5:$B$300,$B147)+SUMIFS('ИТОГО Лэндинг'!$F$5:$F$300,'ИТОГО Лэндинг'!$B$5:$B$300,$B147)))</f>
        <v/>
      </c>
      <c r="G147" s="177" t="str">
        <f>IF(F147="","",H147/F147)</f>
        <v/>
      </c>
      <c r="H147" s="241" t="str">
        <f>IF(F147="","",SUMIFS('ИТОГО Торговля'!$H$5:$H$300,'ИТОГО Торговля'!$B$5:$B$300,$B147)+SUMIFS('ИТОГО Лэндинг'!$H$5:$H$300,'ИТОГО Лэндинг'!$B$5:$B$300,$B147))</f>
        <v/>
      </c>
      <c r="I147" s="240" t="str">
        <f>IF($B147="","",IF(AND(C147="",F147=""),"",ROUND(SUMIFS('ИТОГО Торговля'!$I$5:$I$300,'ИТОГО Торговля'!$B$5:$B$300,$B147)+SUMIFS('ИТОГО Лэндинг'!$I$5:$I$300,'ИТОГО Лэндинг'!$B$5:$B$300,$B147),8)))</f>
        <v/>
      </c>
      <c r="J147" s="241" t="str">
        <f>IF($B147="","",IF(AND(C147="",F147=""),"",ROUND(SUMIFS('ИТОГО Торговля'!$J$5:$J$300,'ИТОГО Торговля'!$B$5:$B$300,$B147)+SUMIFS('ИТОГО Лэндинг'!$J$5:$J$300,'ИТОГО Лэндинг'!$B$5:$B$300,$B147),8)))</f>
        <v/>
      </c>
      <c r="K147" s="240" t="str">
        <f>IF(MIN(N(C147),N(F147))&lt;=0,"",ROUND(MIN(N(C147),N(F147))*(N(G147)-N(D147)),8))</f>
        <v/>
      </c>
      <c r="L147" s="177" t="str">
        <f>IF(MIN(N(C147),N(F147))&lt;=0,"",IF(N(D147)=0,"",ROUND((N(G147)/N(D147)-1)*100,2)))</f>
        <v/>
      </c>
      <c r="M147" s="177" t="str">
        <f>IF(OR(ROUND(N(C147)-N(F147),8)=0,1-N(Ввод!$J$19)/100&lt;=0),"",IF(N(C147)&gt;N(F147),(N(E147)-N(H147))/((N(C147)-N(F147))*(1-N(Ввод!$J$19)/100)),(N(H147)-N(E147))/((N(F147)-N(C147))*(1+N(Ввод!$J$19)/100))))</f>
        <v/>
      </c>
    </row>
    <row r="148" ht="22" customHeight="1">
      <c r="B148" s="245" t="n"/>
      <c r="C148" s="246" t="str">
        <f>IF($B148="","",IF(SUMIFS('ИТОГО Торговля'!$C$5:$C$300,'ИТОГО Торговля'!$B$5:$B$300,$B148)+SUMIFS('ИТОГО Лэндинг'!$C$5:$C$300,'ИТОГО Лэндинг'!$B$5:$B$300,$B148)=0,"",SUMIFS('ИТОГО Торговля'!$C$5:$C$300,'ИТОГО Торговля'!$B$5:$B$300,$B148)+SUMIFS('ИТОГО Лэндинг'!$C$5:$C$300,'ИТОГО Лэндинг'!$B$5:$B$300,$B148)))</f>
        <v/>
      </c>
      <c r="D148" s="183" t="str">
        <f>IF(C148="","",E148/C148)</f>
        <v/>
      </c>
      <c r="E148" s="247" t="str">
        <f>IF(C148="","",SUMIFS('ИТОГО Торговля'!$E$5:$E$300,'ИТОГО Торговля'!$B$5:$B$300,$B148)+SUMIFS('ИТОГО Лэндинг'!$E$5:$E$300,'ИТОГО Лэндинг'!$B$5:$B$300,$B148))</f>
        <v/>
      </c>
      <c r="F148" s="246" t="str">
        <f>IF($B148="","",IF(SUMIFS('ИТОГО Торговля'!$F$5:$F$300,'ИТОГО Торговля'!$B$5:$B$300,$B148)+SUMIFS('ИТОГО Лэндинг'!$F$5:$F$300,'ИТОГО Лэндинг'!$B$5:$B$300,$B148)=0,"",SUMIFS('ИТОГО Торговля'!$F$5:$F$300,'ИТОГО Торговля'!$B$5:$B$300,$B148)+SUMIFS('ИТОГО Лэндинг'!$F$5:$F$300,'ИТОГО Лэндинг'!$B$5:$B$300,$B148)))</f>
        <v/>
      </c>
      <c r="G148" s="183" t="str">
        <f>IF(F148="","",H148/F148)</f>
        <v/>
      </c>
      <c r="H148" s="247" t="str">
        <f>IF(F148="","",SUMIFS('ИТОГО Торговля'!$H$5:$H$300,'ИТОГО Торговля'!$B$5:$B$300,$B148)+SUMIFS('ИТОГО Лэндинг'!$H$5:$H$300,'ИТОГО Лэндинг'!$B$5:$B$300,$B148))</f>
        <v/>
      </c>
      <c r="I148" s="246" t="str">
        <f>IF($B148="","",IF(AND(C148="",F148=""),"",ROUND(SUMIFS('ИТОГО Торговля'!$I$5:$I$300,'ИТОГО Торговля'!$B$5:$B$300,$B148)+SUMIFS('ИТОГО Лэндинг'!$I$5:$I$300,'ИТОГО Лэндинг'!$B$5:$B$300,$B148),8)))</f>
        <v/>
      </c>
      <c r="J148" s="247" t="str">
        <f>IF($B148="","",IF(AND(C148="",F148=""),"",ROUND(SUMIFS('ИТОГО Торговля'!$J$5:$J$300,'ИТОГО Торговля'!$B$5:$B$300,$B148)+SUMIFS('ИТОГО Лэндинг'!$J$5:$J$300,'ИТОГО Лэндинг'!$B$5:$B$300,$B148),8)))</f>
        <v/>
      </c>
      <c r="K148" s="246" t="str">
        <f>IF(MIN(N(C148),N(F148))&lt;=0,"",ROUND(MIN(N(C148),N(F148))*(N(G148)-N(D148)),8))</f>
        <v/>
      </c>
      <c r="L148" s="183" t="str">
        <f>IF(MIN(N(C148),N(F148))&lt;=0,"",IF(N(D148)=0,"",ROUND((N(G148)/N(D148)-1)*100,2)))</f>
        <v/>
      </c>
      <c r="M148" s="183" t="str">
        <f>IF(OR(ROUND(N(C148)-N(F148),8)=0,1-N(Ввод!$J$19)/100&lt;=0),"",IF(N(C148)&gt;N(F148),(N(E148)-N(H148))/((N(C148)-N(F148))*(1-N(Ввод!$J$19)/100)),(N(H148)-N(E148))/((N(F148)-N(C148))*(1+N(Ввод!$J$19)/100))))</f>
        <v/>
      </c>
    </row>
    <row r="149" ht="22" customHeight="1">
      <c r="B149" s="239" t="n"/>
      <c r="C149" s="240" t="str">
        <f>IF($B149="","",IF(SUMIFS('ИТОГО Торговля'!$C$5:$C$300,'ИТОГО Торговля'!$B$5:$B$300,$B149)+SUMIFS('ИТОГО Лэндинг'!$C$5:$C$300,'ИТОГО Лэндинг'!$B$5:$B$300,$B149)=0,"",SUMIFS('ИТОГО Торговля'!$C$5:$C$300,'ИТОГО Торговля'!$B$5:$B$300,$B149)+SUMIFS('ИТОГО Лэндинг'!$C$5:$C$300,'ИТОГО Лэндинг'!$B$5:$B$300,$B149)))</f>
        <v/>
      </c>
      <c r="D149" s="177" t="str">
        <f>IF(C149="","",E149/C149)</f>
        <v/>
      </c>
      <c r="E149" s="241" t="str">
        <f>IF(C149="","",SUMIFS('ИТОГО Торговля'!$E$5:$E$300,'ИТОГО Торговля'!$B$5:$B$300,$B149)+SUMIFS('ИТОГО Лэндинг'!$E$5:$E$300,'ИТОГО Лэндинг'!$B$5:$B$300,$B149))</f>
        <v/>
      </c>
      <c r="F149" s="240" t="str">
        <f>IF($B149="","",IF(SUMIFS('ИТОГО Торговля'!$F$5:$F$300,'ИТОГО Торговля'!$B$5:$B$300,$B149)+SUMIFS('ИТОГО Лэндинг'!$F$5:$F$300,'ИТОГО Лэндинг'!$B$5:$B$300,$B149)=0,"",SUMIFS('ИТОГО Торговля'!$F$5:$F$300,'ИТОГО Торговля'!$B$5:$B$300,$B149)+SUMIFS('ИТОГО Лэндинг'!$F$5:$F$300,'ИТОГО Лэндинг'!$B$5:$B$300,$B149)))</f>
        <v/>
      </c>
      <c r="G149" s="177" t="str">
        <f>IF(F149="","",H149/F149)</f>
        <v/>
      </c>
      <c r="H149" s="241" t="str">
        <f>IF(F149="","",SUMIFS('ИТОГО Торговля'!$H$5:$H$300,'ИТОГО Торговля'!$B$5:$B$300,$B149)+SUMIFS('ИТОГО Лэндинг'!$H$5:$H$300,'ИТОГО Лэндинг'!$B$5:$B$300,$B149))</f>
        <v/>
      </c>
      <c r="I149" s="240" t="str">
        <f>IF($B149="","",IF(AND(C149="",F149=""),"",ROUND(SUMIFS('ИТОГО Торговля'!$I$5:$I$300,'ИТОГО Торговля'!$B$5:$B$300,$B149)+SUMIFS('ИТОГО Лэндинг'!$I$5:$I$300,'ИТОГО Лэндинг'!$B$5:$B$300,$B149),8)))</f>
        <v/>
      </c>
      <c r="J149" s="241" t="str">
        <f>IF($B149="","",IF(AND(C149="",F149=""),"",ROUND(SUMIFS('ИТОГО Торговля'!$J$5:$J$300,'ИТОГО Торговля'!$B$5:$B$300,$B149)+SUMIFS('ИТОГО Лэндинг'!$J$5:$J$300,'ИТОГО Лэндинг'!$B$5:$B$300,$B149),8)))</f>
        <v/>
      </c>
      <c r="K149" s="240" t="str">
        <f>IF(MIN(N(C149),N(F149))&lt;=0,"",ROUND(MIN(N(C149),N(F149))*(N(G149)-N(D149)),8))</f>
        <v/>
      </c>
      <c r="L149" s="177" t="str">
        <f>IF(MIN(N(C149),N(F149))&lt;=0,"",IF(N(D149)=0,"",ROUND((N(G149)/N(D149)-1)*100,2)))</f>
        <v/>
      </c>
      <c r="M149" s="177" t="str">
        <f>IF(OR(ROUND(N(C149)-N(F149),8)=0,1-N(Ввод!$J$19)/100&lt;=0),"",IF(N(C149)&gt;N(F149),(N(E149)-N(H149))/((N(C149)-N(F149))*(1-N(Ввод!$J$19)/100)),(N(H149)-N(E149))/((N(F149)-N(C149))*(1+N(Ввод!$J$19)/100))))</f>
        <v/>
      </c>
    </row>
    <row r="150" ht="22" customHeight="1">
      <c r="B150" s="245" t="n"/>
      <c r="C150" s="246" t="str">
        <f>IF($B150="","",IF(SUMIFS('ИТОГО Торговля'!$C$5:$C$300,'ИТОГО Торговля'!$B$5:$B$300,$B150)+SUMIFS('ИТОГО Лэндинг'!$C$5:$C$300,'ИТОГО Лэндинг'!$B$5:$B$300,$B150)=0,"",SUMIFS('ИТОГО Торговля'!$C$5:$C$300,'ИТОГО Торговля'!$B$5:$B$300,$B150)+SUMIFS('ИТОГО Лэндинг'!$C$5:$C$300,'ИТОГО Лэндинг'!$B$5:$B$300,$B150)))</f>
        <v/>
      </c>
      <c r="D150" s="183" t="str">
        <f>IF(C150="","",E150/C150)</f>
        <v/>
      </c>
      <c r="E150" s="247" t="str">
        <f>IF(C150="","",SUMIFS('ИТОГО Торговля'!$E$5:$E$300,'ИТОГО Торговля'!$B$5:$B$300,$B150)+SUMIFS('ИТОГО Лэндинг'!$E$5:$E$300,'ИТОГО Лэндинг'!$B$5:$B$300,$B150))</f>
        <v/>
      </c>
      <c r="F150" s="246" t="str">
        <f>IF($B150="","",IF(SUMIFS('ИТОГО Торговля'!$F$5:$F$300,'ИТОГО Торговля'!$B$5:$B$300,$B150)+SUMIFS('ИТОГО Лэндинг'!$F$5:$F$300,'ИТОГО Лэндинг'!$B$5:$B$300,$B150)=0,"",SUMIFS('ИТОГО Торговля'!$F$5:$F$300,'ИТОГО Торговля'!$B$5:$B$300,$B150)+SUMIFS('ИТОГО Лэндинг'!$F$5:$F$300,'ИТОГО Лэндинг'!$B$5:$B$300,$B150)))</f>
        <v/>
      </c>
      <c r="G150" s="183" t="str">
        <f>IF(F150="","",H150/F150)</f>
        <v/>
      </c>
      <c r="H150" s="247" t="str">
        <f>IF(F150="","",SUMIFS('ИТОГО Торговля'!$H$5:$H$300,'ИТОГО Торговля'!$B$5:$B$300,$B150)+SUMIFS('ИТОГО Лэндинг'!$H$5:$H$300,'ИТОГО Лэндинг'!$B$5:$B$300,$B150))</f>
        <v/>
      </c>
      <c r="I150" s="246" t="str">
        <f>IF($B150="","",IF(AND(C150="",F150=""),"",ROUND(SUMIFS('ИТОГО Торговля'!$I$5:$I$300,'ИТОГО Торговля'!$B$5:$B$300,$B150)+SUMIFS('ИТОГО Лэндинг'!$I$5:$I$300,'ИТОГО Лэндинг'!$B$5:$B$300,$B150),8)))</f>
        <v/>
      </c>
      <c r="J150" s="247" t="str">
        <f>IF($B150="","",IF(AND(C150="",F150=""),"",ROUND(SUMIFS('ИТОГО Торговля'!$J$5:$J$300,'ИТОГО Торговля'!$B$5:$B$300,$B150)+SUMIFS('ИТОГО Лэндинг'!$J$5:$J$300,'ИТОГО Лэндинг'!$B$5:$B$300,$B150),8)))</f>
        <v/>
      </c>
      <c r="K150" s="246" t="str">
        <f>IF(MIN(N(C150),N(F150))&lt;=0,"",ROUND(MIN(N(C150),N(F150))*(N(G150)-N(D150)),8))</f>
        <v/>
      </c>
      <c r="L150" s="183" t="str">
        <f>IF(MIN(N(C150),N(F150))&lt;=0,"",IF(N(D150)=0,"",ROUND((N(G150)/N(D150)-1)*100,2)))</f>
        <v/>
      </c>
      <c r="M150" s="183" t="str">
        <f>IF(OR(ROUND(N(C150)-N(F150),8)=0,1-N(Ввод!$J$19)/100&lt;=0),"",IF(N(C150)&gt;N(F150),(N(E150)-N(H150))/((N(C150)-N(F150))*(1-N(Ввод!$J$19)/100)),(N(H150)-N(E150))/((N(F150)-N(C150))*(1+N(Ввод!$J$19)/100))))</f>
        <v/>
      </c>
    </row>
    <row r="151" ht="22" customHeight="1">
      <c r="B151" s="239" t="n"/>
      <c r="C151" s="240" t="str">
        <f>IF($B151="","",IF(SUMIFS('ИТОГО Торговля'!$C$5:$C$300,'ИТОГО Торговля'!$B$5:$B$300,$B151)+SUMIFS('ИТОГО Лэндинг'!$C$5:$C$300,'ИТОГО Лэндинг'!$B$5:$B$300,$B151)=0,"",SUMIFS('ИТОГО Торговля'!$C$5:$C$300,'ИТОГО Торговля'!$B$5:$B$300,$B151)+SUMIFS('ИТОГО Лэндинг'!$C$5:$C$300,'ИТОГО Лэндинг'!$B$5:$B$300,$B151)))</f>
        <v/>
      </c>
      <c r="D151" s="177" t="str">
        <f>IF(C151="","",E151/C151)</f>
        <v/>
      </c>
      <c r="E151" s="241" t="str">
        <f>IF(C151="","",SUMIFS('ИТОГО Торговля'!$E$5:$E$300,'ИТОГО Торговля'!$B$5:$B$300,$B151)+SUMIFS('ИТОГО Лэндинг'!$E$5:$E$300,'ИТОГО Лэндинг'!$B$5:$B$300,$B151))</f>
        <v/>
      </c>
      <c r="F151" s="240" t="str">
        <f>IF($B151="","",IF(SUMIFS('ИТОГО Торговля'!$F$5:$F$300,'ИТОГО Торговля'!$B$5:$B$300,$B151)+SUMIFS('ИТОГО Лэндинг'!$F$5:$F$300,'ИТОГО Лэндинг'!$B$5:$B$300,$B151)=0,"",SUMIFS('ИТОГО Торговля'!$F$5:$F$300,'ИТОГО Торговля'!$B$5:$B$300,$B151)+SUMIFS('ИТОГО Лэндинг'!$F$5:$F$300,'ИТОГО Лэндинг'!$B$5:$B$300,$B151)))</f>
        <v/>
      </c>
      <c r="G151" s="177" t="str">
        <f>IF(F151="","",H151/F151)</f>
        <v/>
      </c>
      <c r="H151" s="241" t="str">
        <f>IF(F151="","",SUMIFS('ИТОГО Торговля'!$H$5:$H$300,'ИТОГО Торговля'!$B$5:$B$300,$B151)+SUMIFS('ИТОГО Лэндинг'!$H$5:$H$300,'ИТОГО Лэндинг'!$B$5:$B$300,$B151))</f>
        <v/>
      </c>
      <c r="I151" s="240" t="str">
        <f>IF($B151="","",IF(AND(C151="",F151=""),"",ROUND(SUMIFS('ИТОГО Торговля'!$I$5:$I$300,'ИТОГО Торговля'!$B$5:$B$300,$B151)+SUMIFS('ИТОГО Лэндинг'!$I$5:$I$300,'ИТОГО Лэндинг'!$B$5:$B$300,$B151),8)))</f>
        <v/>
      </c>
      <c r="J151" s="241" t="str">
        <f>IF($B151="","",IF(AND(C151="",F151=""),"",ROUND(SUMIFS('ИТОГО Торговля'!$J$5:$J$300,'ИТОГО Торговля'!$B$5:$B$300,$B151)+SUMIFS('ИТОГО Лэндинг'!$J$5:$J$300,'ИТОГО Лэндинг'!$B$5:$B$300,$B151),8)))</f>
        <v/>
      </c>
      <c r="K151" s="240" t="str">
        <f>IF(MIN(N(C151),N(F151))&lt;=0,"",ROUND(MIN(N(C151),N(F151))*(N(G151)-N(D151)),8))</f>
        <v/>
      </c>
      <c r="L151" s="177" t="str">
        <f>IF(MIN(N(C151),N(F151))&lt;=0,"",IF(N(D151)=0,"",ROUND((N(G151)/N(D151)-1)*100,2)))</f>
        <v/>
      </c>
      <c r="M151" s="177" t="str">
        <f>IF(OR(ROUND(N(C151)-N(F151),8)=0,1-N(Ввод!$J$19)/100&lt;=0),"",IF(N(C151)&gt;N(F151),(N(E151)-N(H151))/((N(C151)-N(F151))*(1-N(Ввод!$J$19)/100)),(N(H151)-N(E151))/((N(F151)-N(C151))*(1+N(Ввод!$J$19)/100))))</f>
        <v/>
      </c>
    </row>
    <row r="152" ht="22" customHeight="1">
      <c r="B152" s="245" t="n"/>
      <c r="C152" s="246" t="str">
        <f>IF($B152="","",IF(SUMIFS('ИТОГО Торговля'!$C$5:$C$300,'ИТОГО Торговля'!$B$5:$B$300,$B152)+SUMIFS('ИТОГО Лэндинг'!$C$5:$C$300,'ИТОГО Лэндинг'!$B$5:$B$300,$B152)=0,"",SUMIFS('ИТОГО Торговля'!$C$5:$C$300,'ИТОГО Торговля'!$B$5:$B$300,$B152)+SUMIFS('ИТОГО Лэндинг'!$C$5:$C$300,'ИТОГО Лэндинг'!$B$5:$B$300,$B152)))</f>
        <v/>
      </c>
      <c r="D152" s="183" t="str">
        <f>IF(C152="","",E152/C152)</f>
        <v/>
      </c>
      <c r="E152" s="247" t="str">
        <f>IF(C152="","",SUMIFS('ИТОГО Торговля'!$E$5:$E$300,'ИТОГО Торговля'!$B$5:$B$300,$B152)+SUMIFS('ИТОГО Лэндинг'!$E$5:$E$300,'ИТОГО Лэндинг'!$B$5:$B$300,$B152))</f>
        <v/>
      </c>
      <c r="F152" s="246" t="str">
        <f>IF($B152="","",IF(SUMIFS('ИТОГО Торговля'!$F$5:$F$300,'ИТОГО Торговля'!$B$5:$B$300,$B152)+SUMIFS('ИТОГО Лэндинг'!$F$5:$F$300,'ИТОГО Лэндинг'!$B$5:$B$300,$B152)=0,"",SUMIFS('ИТОГО Торговля'!$F$5:$F$300,'ИТОГО Торговля'!$B$5:$B$300,$B152)+SUMIFS('ИТОГО Лэндинг'!$F$5:$F$300,'ИТОГО Лэндинг'!$B$5:$B$300,$B152)))</f>
        <v/>
      </c>
      <c r="G152" s="183" t="str">
        <f>IF(F152="","",H152/F152)</f>
        <v/>
      </c>
      <c r="H152" s="247" t="str">
        <f>IF(F152="","",SUMIFS('ИТОГО Торговля'!$H$5:$H$300,'ИТОГО Торговля'!$B$5:$B$300,$B152)+SUMIFS('ИТОГО Лэндинг'!$H$5:$H$300,'ИТОГО Лэндинг'!$B$5:$B$300,$B152))</f>
        <v/>
      </c>
      <c r="I152" s="246" t="str">
        <f>IF($B152="","",IF(AND(C152="",F152=""),"",ROUND(SUMIFS('ИТОГО Торговля'!$I$5:$I$300,'ИТОГО Торговля'!$B$5:$B$300,$B152)+SUMIFS('ИТОГО Лэндинг'!$I$5:$I$300,'ИТОГО Лэндинг'!$B$5:$B$300,$B152),8)))</f>
        <v/>
      </c>
      <c r="J152" s="247" t="str">
        <f>IF($B152="","",IF(AND(C152="",F152=""),"",ROUND(SUMIFS('ИТОГО Торговля'!$J$5:$J$300,'ИТОГО Торговля'!$B$5:$B$300,$B152)+SUMIFS('ИТОГО Лэндинг'!$J$5:$J$300,'ИТОГО Лэндинг'!$B$5:$B$300,$B152),8)))</f>
        <v/>
      </c>
      <c r="K152" s="246" t="str">
        <f>IF(MIN(N(C152),N(F152))&lt;=0,"",ROUND(MIN(N(C152),N(F152))*(N(G152)-N(D152)),8))</f>
        <v/>
      </c>
      <c r="L152" s="183" t="str">
        <f>IF(MIN(N(C152),N(F152))&lt;=0,"",IF(N(D152)=0,"",ROUND((N(G152)/N(D152)-1)*100,2)))</f>
        <v/>
      </c>
      <c r="M152" s="183" t="str">
        <f>IF(OR(ROUND(N(C152)-N(F152),8)=0,1-N(Ввод!$J$19)/100&lt;=0),"",IF(N(C152)&gt;N(F152),(N(E152)-N(H152))/((N(C152)-N(F152))*(1-N(Ввод!$J$19)/100)),(N(H152)-N(E152))/((N(F152)-N(C152))*(1+N(Ввод!$J$19)/100))))</f>
        <v/>
      </c>
    </row>
    <row r="153" ht="22" customHeight="1">
      <c r="B153" s="239" t="n"/>
      <c r="C153" s="240" t="str">
        <f>IF($B153="","",IF(SUMIFS('ИТОГО Торговля'!$C$5:$C$300,'ИТОГО Торговля'!$B$5:$B$300,$B153)+SUMIFS('ИТОГО Лэндинг'!$C$5:$C$300,'ИТОГО Лэндинг'!$B$5:$B$300,$B153)=0,"",SUMIFS('ИТОГО Торговля'!$C$5:$C$300,'ИТОГО Торговля'!$B$5:$B$300,$B153)+SUMIFS('ИТОГО Лэндинг'!$C$5:$C$300,'ИТОГО Лэндинг'!$B$5:$B$300,$B153)))</f>
        <v/>
      </c>
      <c r="D153" s="177" t="str">
        <f>IF(C153="","",E153/C153)</f>
        <v/>
      </c>
      <c r="E153" s="241" t="str">
        <f>IF(C153="","",SUMIFS('ИТОГО Торговля'!$E$5:$E$300,'ИТОГО Торговля'!$B$5:$B$300,$B153)+SUMIFS('ИТОГО Лэндинг'!$E$5:$E$300,'ИТОГО Лэндинг'!$B$5:$B$300,$B153))</f>
        <v/>
      </c>
      <c r="F153" s="240" t="str">
        <f>IF($B153="","",IF(SUMIFS('ИТОГО Торговля'!$F$5:$F$300,'ИТОГО Торговля'!$B$5:$B$300,$B153)+SUMIFS('ИТОГО Лэндинг'!$F$5:$F$300,'ИТОГО Лэндинг'!$B$5:$B$300,$B153)=0,"",SUMIFS('ИТОГО Торговля'!$F$5:$F$300,'ИТОГО Торговля'!$B$5:$B$300,$B153)+SUMIFS('ИТОГО Лэндинг'!$F$5:$F$300,'ИТОГО Лэндинг'!$B$5:$B$300,$B153)))</f>
        <v/>
      </c>
      <c r="G153" s="177" t="str">
        <f>IF(F153="","",H153/F153)</f>
        <v/>
      </c>
      <c r="H153" s="241" t="str">
        <f>IF(F153="","",SUMIFS('ИТОГО Торговля'!$H$5:$H$300,'ИТОГО Торговля'!$B$5:$B$300,$B153)+SUMIFS('ИТОГО Лэндинг'!$H$5:$H$300,'ИТОГО Лэндинг'!$B$5:$B$300,$B153))</f>
        <v/>
      </c>
      <c r="I153" s="240" t="str">
        <f>IF($B153="","",IF(AND(C153="",F153=""),"",ROUND(SUMIFS('ИТОГО Торговля'!$I$5:$I$300,'ИТОГО Торговля'!$B$5:$B$300,$B153)+SUMIFS('ИТОГО Лэндинг'!$I$5:$I$300,'ИТОГО Лэндинг'!$B$5:$B$300,$B153),8)))</f>
        <v/>
      </c>
      <c r="J153" s="241" t="str">
        <f>IF($B153="","",IF(AND(C153="",F153=""),"",ROUND(SUMIFS('ИТОГО Торговля'!$J$5:$J$300,'ИТОГО Торговля'!$B$5:$B$300,$B153)+SUMIFS('ИТОГО Лэндинг'!$J$5:$J$300,'ИТОГО Лэндинг'!$B$5:$B$300,$B153),8)))</f>
        <v/>
      </c>
      <c r="K153" s="240" t="str">
        <f>IF(MIN(N(C153),N(F153))&lt;=0,"",ROUND(MIN(N(C153),N(F153))*(N(G153)-N(D153)),8))</f>
        <v/>
      </c>
      <c r="L153" s="177" t="str">
        <f>IF(MIN(N(C153),N(F153))&lt;=0,"",IF(N(D153)=0,"",ROUND((N(G153)/N(D153)-1)*100,2)))</f>
        <v/>
      </c>
      <c r="M153" s="177" t="str">
        <f>IF(OR(ROUND(N(C153)-N(F153),8)=0,1-N(Ввод!$J$19)/100&lt;=0),"",IF(N(C153)&gt;N(F153),(N(E153)-N(H153))/((N(C153)-N(F153))*(1-N(Ввод!$J$19)/100)),(N(H153)-N(E153))/((N(F153)-N(C153))*(1+N(Ввод!$J$19)/100))))</f>
        <v/>
      </c>
    </row>
    <row r="154" ht="22" customHeight="1">
      <c r="B154" s="245" t="n"/>
      <c r="C154" s="246" t="str">
        <f>IF($B154="","",IF(SUMIFS('ИТОГО Торговля'!$C$5:$C$300,'ИТОГО Торговля'!$B$5:$B$300,$B154)+SUMIFS('ИТОГО Лэндинг'!$C$5:$C$300,'ИТОГО Лэндинг'!$B$5:$B$300,$B154)=0,"",SUMIFS('ИТОГО Торговля'!$C$5:$C$300,'ИТОГО Торговля'!$B$5:$B$300,$B154)+SUMIFS('ИТОГО Лэндинг'!$C$5:$C$300,'ИТОГО Лэндинг'!$B$5:$B$300,$B154)))</f>
        <v/>
      </c>
      <c r="D154" s="183" t="str">
        <f>IF(C154="","",E154/C154)</f>
        <v/>
      </c>
      <c r="E154" s="247" t="str">
        <f>IF(C154="","",SUMIFS('ИТОГО Торговля'!$E$5:$E$300,'ИТОГО Торговля'!$B$5:$B$300,$B154)+SUMIFS('ИТОГО Лэндинг'!$E$5:$E$300,'ИТОГО Лэндинг'!$B$5:$B$300,$B154))</f>
        <v/>
      </c>
      <c r="F154" s="246" t="str">
        <f>IF($B154="","",IF(SUMIFS('ИТОГО Торговля'!$F$5:$F$300,'ИТОГО Торговля'!$B$5:$B$300,$B154)+SUMIFS('ИТОГО Лэндинг'!$F$5:$F$300,'ИТОГО Лэндинг'!$B$5:$B$300,$B154)=0,"",SUMIFS('ИТОГО Торговля'!$F$5:$F$300,'ИТОГО Торговля'!$B$5:$B$300,$B154)+SUMIFS('ИТОГО Лэндинг'!$F$5:$F$300,'ИТОГО Лэндинг'!$B$5:$B$300,$B154)))</f>
        <v/>
      </c>
      <c r="G154" s="183" t="str">
        <f>IF(F154="","",H154/F154)</f>
        <v/>
      </c>
      <c r="H154" s="247" t="str">
        <f>IF(F154="","",SUMIFS('ИТОГО Торговля'!$H$5:$H$300,'ИТОГО Торговля'!$B$5:$B$300,$B154)+SUMIFS('ИТОГО Лэндинг'!$H$5:$H$300,'ИТОГО Лэндинг'!$B$5:$B$300,$B154))</f>
        <v/>
      </c>
      <c r="I154" s="246" t="str">
        <f>IF($B154="","",IF(AND(C154="",F154=""),"",ROUND(SUMIFS('ИТОГО Торговля'!$I$5:$I$300,'ИТОГО Торговля'!$B$5:$B$300,$B154)+SUMIFS('ИТОГО Лэндинг'!$I$5:$I$300,'ИТОГО Лэндинг'!$B$5:$B$300,$B154),8)))</f>
        <v/>
      </c>
      <c r="J154" s="247" t="str">
        <f>IF($B154="","",IF(AND(C154="",F154=""),"",ROUND(SUMIFS('ИТОГО Торговля'!$J$5:$J$300,'ИТОГО Торговля'!$B$5:$B$300,$B154)+SUMIFS('ИТОГО Лэндинг'!$J$5:$J$300,'ИТОГО Лэндинг'!$B$5:$B$300,$B154),8)))</f>
        <v/>
      </c>
      <c r="K154" s="246" t="str">
        <f>IF(MIN(N(C154),N(F154))&lt;=0,"",ROUND(MIN(N(C154),N(F154))*(N(G154)-N(D154)),8))</f>
        <v/>
      </c>
      <c r="L154" s="183" t="str">
        <f>IF(MIN(N(C154),N(F154))&lt;=0,"",IF(N(D154)=0,"",ROUND((N(G154)/N(D154)-1)*100,2)))</f>
        <v/>
      </c>
      <c r="M154" s="183" t="str">
        <f>IF(OR(ROUND(N(C154)-N(F154),8)=0,1-N(Ввод!$J$19)/100&lt;=0),"",IF(N(C154)&gt;N(F154),(N(E154)-N(H154))/((N(C154)-N(F154))*(1-N(Ввод!$J$19)/100)),(N(H154)-N(E154))/((N(F154)-N(C154))*(1+N(Ввод!$J$19)/100))))</f>
        <v/>
      </c>
    </row>
    <row r="155" ht="22" customHeight="1">
      <c r="B155" s="239" t="n"/>
      <c r="C155" s="240" t="str">
        <f>IF($B155="","",IF(SUMIFS('ИТОГО Торговля'!$C$5:$C$300,'ИТОГО Торговля'!$B$5:$B$300,$B155)+SUMIFS('ИТОГО Лэндинг'!$C$5:$C$300,'ИТОГО Лэндинг'!$B$5:$B$300,$B155)=0,"",SUMIFS('ИТОГО Торговля'!$C$5:$C$300,'ИТОГО Торговля'!$B$5:$B$300,$B155)+SUMIFS('ИТОГО Лэндинг'!$C$5:$C$300,'ИТОГО Лэндинг'!$B$5:$B$300,$B155)))</f>
        <v/>
      </c>
      <c r="D155" s="177" t="str">
        <f>IF(C155="","",E155/C155)</f>
        <v/>
      </c>
      <c r="E155" s="241" t="str">
        <f>IF(C155="","",SUMIFS('ИТОГО Торговля'!$E$5:$E$300,'ИТОГО Торговля'!$B$5:$B$300,$B155)+SUMIFS('ИТОГО Лэндинг'!$E$5:$E$300,'ИТОГО Лэндинг'!$B$5:$B$300,$B155))</f>
        <v/>
      </c>
      <c r="F155" s="240" t="str">
        <f>IF($B155="","",IF(SUMIFS('ИТОГО Торговля'!$F$5:$F$300,'ИТОГО Торговля'!$B$5:$B$300,$B155)+SUMIFS('ИТОГО Лэндинг'!$F$5:$F$300,'ИТОГО Лэндинг'!$B$5:$B$300,$B155)=0,"",SUMIFS('ИТОГО Торговля'!$F$5:$F$300,'ИТОГО Торговля'!$B$5:$B$300,$B155)+SUMIFS('ИТОГО Лэндинг'!$F$5:$F$300,'ИТОГО Лэндинг'!$B$5:$B$300,$B155)))</f>
        <v/>
      </c>
      <c r="G155" s="177" t="str">
        <f>IF(F155="","",H155/F155)</f>
        <v/>
      </c>
      <c r="H155" s="241" t="str">
        <f>IF(F155="","",SUMIFS('ИТОГО Торговля'!$H$5:$H$300,'ИТОГО Торговля'!$B$5:$B$300,$B155)+SUMIFS('ИТОГО Лэндинг'!$H$5:$H$300,'ИТОГО Лэндинг'!$B$5:$B$300,$B155))</f>
        <v/>
      </c>
      <c r="I155" s="240" t="str">
        <f>IF($B155="","",IF(AND(C155="",F155=""),"",ROUND(SUMIFS('ИТОГО Торговля'!$I$5:$I$300,'ИТОГО Торговля'!$B$5:$B$300,$B155)+SUMIFS('ИТОГО Лэндинг'!$I$5:$I$300,'ИТОГО Лэндинг'!$B$5:$B$300,$B155),8)))</f>
        <v/>
      </c>
      <c r="J155" s="241" t="str">
        <f>IF($B155="","",IF(AND(C155="",F155=""),"",ROUND(SUMIFS('ИТОГО Торговля'!$J$5:$J$300,'ИТОГО Торговля'!$B$5:$B$300,$B155)+SUMIFS('ИТОГО Лэндинг'!$J$5:$J$300,'ИТОГО Лэндинг'!$B$5:$B$300,$B155),8)))</f>
        <v/>
      </c>
      <c r="K155" s="240" t="str">
        <f>IF(MIN(N(C155),N(F155))&lt;=0,"",ROUND(MIN(N(C155),N(F155))*(N(G155)-N(D155)),8))</f>
        <v/>
      </c>
      <c r="L155" s="177" t="str">
        <f>IF(MIN(N(C155),N(F155))&lt;=0,"",IF(N(D155)=0,"",ROUND((N(G155)/N(D155)-1)*100,2)))</f>
        <v/>
      </c>
      <c r="M155" s="177" t="str">
        <f>IF(OR(ROUND(N(C155)-N(F155),8)=0,1-N(Ввод!$J$19)/100&lt;=0),"",IF(N(C155)&gt;N(F155),(N(E155)-N(H155))/((N(C155)-N(F155))*(1-N(Ввод!$J$19)/100)),(N(H155)-N(E155))/((N(F155)-N(C155))*(1+N(Ввод!$J$19)/100))))</f>
        <v/>
      </c>
    </row>
    <row r="156" ht="22" customHeight="1">
      <c r="B156" s="245" t="n"/>
      <c r="C156" s="246" t="str">
        <f>IF($B156="","",IF(SUMIFS('ИТОГО Торговля'!$C$5:$C$300,'ИТОГО Торговля'!$B$5:$B$300,$B156)+SUMIFS('ИТОГО Лэндинг'!$C$5:$C$300,'ИТОГО Лэндинг'!$B$5:$B$300,$B156)=0,"",SUMIFS('ИТОГО Торговля'!$C$5:$C$300,'ИТОГО Торговля'!$B$5:$B$300,$B156)+SUMIFS('ИТОГО Лэндинг'!$C$5:$C$300,'ИТОГО Лэндинг'!$B$5:$B$300,$B156)))</f>
        <v/>
      </c>
      <c r="D156" s="183" t="str">
        <f>IF(C156="","",E156/C156)</f>
        <v/>
      </c>
      <c r="E156" s="247" t="str">
        <f>IF(C156="","",SUMIFS('ИТОГО Торговля'!$E$5:$E$300,'ИТОГО Торговля'!$B$5:$B$300,$B156)+SUMIFS('ИТОГО Лэндинг'!$E$5:$E$300,'ИТОГО Лэндинг'!$B$5:$B$300,$B156))</f>
        <v/>
      </c>
      <c r="F156" s="246" t="str">
        <f>IF($B156="","",IF(SUMIFS('ИТОГО Торговля'!$F$5:$F$300,'ИТОГО Торговля'!$B$5:$B$300,$B156)+SUMIFS('ИТОГО Лэндинг'!$F$5:$F$300,'ИТОГО Лэндинг'!$B$5:$B$300,$B156)=0,"",SUMIFS('ИТОГО Торговля'!$F$5:$F$300,'ИТОГО Торговля'!$B$5:$B$300,$B156)+SUMIFS('ИТОГО Лэндинг'!$F$5:$F$300,'ИТОГО Лэндинг'!$B$5:$B$300,$B156)))</f>
        <v/>
      </c>
      <c r="G156" s="183" t="str">
        <f>IF(F156="","",H156/F156)</f>
        <v/>
      </c>
      <c r="H156" s="247" t="str">
        <f>IF(F156="","",SUMIFS('ИТОГО Торговля'!$H$5:$H$300,'ИТОГО Торговля'!$B$5:$B$300,$B156)+SUMIFS('ИТОГО Лэндинг'!$H$5:$H$300,'ИТОГО Лэндинг'!$B$5:$B$300,$B156))</f>
        <v/>
      </c>
      <c r="I156" s="246" t="str">
        <f>IF($B156="","",IF(AND(C156="",F156=""),"",ROUND(SUMIFS('ИТОГО Торговля'!$I$5:$I$300,'ИТОГО Торговля'!$B$5:$B$300,$B156)+SUMIFS('ИТОГО Лэндинг'!$I$5:$I$300,'ИТОГО Лэндинг'!$B$5:$B$300,$B156),8)))</f>
        <v/>
      </c>
      <c r="J156" s="247" t="str">
        <f>IF($B156="","",IF(AND(C156="",F156=""),"",ROUND(SUMIFS('ИТОГО Торговля'!$J$5:$J$300,'ИТОГО Торговля'!$B$5:$B$300,$B156)+SUMIFS('ИТОГО Лэндинг'!$J$5:$J$300,'ИТОГО Лэндинг'!$B$5:$B$300,$B156),8)))</f>
        <v/>
      </c>
      <c r="K156" s="246" t="str">
        <f>IF(MIN(N(C156),N(F156))&lt;=0,"",ROUND(MIN(N(C156),N(F156))*(N(G156)-N(D156)),8))</f>
        <v/>
      </c>
      <c r="L156" s="183" t="str">
        <f>IF(MIN(N(C156),N(F156))&lt;=0,"",IF(N(D156)=0,"",ROUND((N(G156)/N(D156)-1)*100,2)))</f>
        <v/>
      </c>
      <c r="M156" s="183" t="str">
        <f>IF(OR(ROUND(N(C156)-N(F156),8)=0,1-N(Ввод!$J$19)/100&lt;=0),"",IF(N(C156)&gt;N(F156),(N(E156)-N(H156))/((N(C156)-N(F156))*(1-N(Ввод!$J$19)/100)),(N(H156)-N(E156))/((N(F156)-N(C156))*(1+N(Ввод!$J$19)/100))))</f>
        <v/>
      </c>
    </row>
    <row r="157" ht="22" customHeight="1">
      <c r="B157" s="239" t="n"/>
      <c r="C157" s="240" t="str">
        <f>IF($B157="","",IF(SUMIFS('ИТОГО Торговля'!$C$5:$C$300,'ИТОГО Торговля'!$B$5:$B$300,$B157)+SUMIFS('ИТОГО Лэндинг'!$C$5:$C$300,'ИТОГО Лэндинг'!$B$5:$B$300,$B157)=0,"",SUMIFS('ИТОГО Торговля'!$C$5:$C$300,'ИТОГО Торговля'!$B$5:$B$300,$B157)+SUMIFS('ИТОГО Лэндинг'!$C$5:$C$300,'ИТОГО Лэндинг'!$B$5:$B$300,$B157)))</f>
        <v/>
      </c>
      <c r="D157" s="177" t="str">
        <f>IF(C157="","",E157/C157)</f>
        <v/>
      </c>
      <c r="E157" s="241" t="str">
        <f>IF(C157="","",SUMIFS('ИТОГО Торговля'!$E$5:$E$300,'ИТОГО Торговля'!$B$5:$B$300,$B157)+SUMIFS('ИТОГО Лэндинг'!$E$5:$E$300,'ИТОГО Лэндинг'!$B$5:$B$300,$B157))</f>
        <v/>
      </c>
      <c r="F157" s="240" t="str">
        <f>IF($B157="","",IF(SUMIFS('ИТОГО Торговля'!$F$5:$F$300,'ИТОГО Торговля'!$B$5:$B$300,$B157)+SUMIFS('ИТОГО Лэндинг'!$F$5:$F$300,'ИТОГО Лэндинг'!$B$5:$B$300,$B157)=0,"",SUMIFS('ИТОГО Торговля'!$F$5:$F$300,'ИТОГО Торговля'!$B$5:$B$300,$B157)+SUMIFS('ИТОГО Лэндинг'!$F$5:$F$300,'ИТОГО Лэндинг'!$B$5:$B$300,$B157)))</f>
        <v/>
      </c>
      <c r="G157" s="177" t="str">
        <f>IF(F157="","",H157/F157)</f>
        <v/>
      </c>
      <c r="H157" s="241" t="str">
        <f>IF(F157="","",SUMIFS('ИТОГО Торговля'!$H$5:$H$300,'ИТОГО Торговля'!$B$5:$B$300,$B157)+SUMIFS('ИТОГО Лэндинг'!$H$5:$H$300,'ИТОГО Лэндинг'!$B$5:$B$300,$B157))</f>
        <v/>
      </c>
      <c r="I157" s="240" t="str">
        <f>IF($B157="","",IF(AND(C157="",F157=""),"",ROUND(SUMIFS('ИТОГО Торговля'!$I$5:$I$300,'ИТОГО Торговля'!$B$5:$B$300,$B157)+SUMIFS('ИТОГО Лэндинг'!$I$5:$I$300,'ИТОГО Лэндинг'!$B$5:$B$300,$B157),8)))</f>
        <v/>
      </c>
      <c r="J157" s="241" t="str">
        <f>IF($B157="","",IF(AND(C157="",F157=""),"",ROUND(SUMIFS('ИТОГО Торговля'!$J$5:$J$300,'ИТОГО Торговля'!$B$5:$B$300,$B157)+SUMIFS('ИТОГО Лэндинг'!$J$5:$J$300,'ИТОГО Лэндинг'!$B$5:$B$300,$B157),8)))</f>
        <v/>
      </c>
      <c r="K157" s="240" t="str">
        <f>IF(MIN(N(C157),N(F157))&lt;=0,"",ROUND(MIN(N(C157),N(F157))*(N(G157)-N(D157)),8))</f>
        <v/>
      </c>
      <c r="L157" s="177" t="str">
        <f>IF(MIN(N(C157),N(F157))&lt;=0,"",IF(N(D157)=0,"",ROUND((N(G157)/N(D157)-1)*100,2)))</f>
        <v/>
      </c>
      <c r="M157" s="177" t="str">
        <f>IF(OR(ROUND(N(C157)-N(F157),8)=0,1-N(Ввод!$J$19)/100&lt;=0),"",IF(N(C157)&gt;N(F157),(N(E157)-N(H157))/((N(C157)-N(F157))*(1-N(Ввод!$J$19)/100)),(N(H157)-N(E157))/((N(F157)-N(C157))*(1+N(Ввод!$J$19)/100))))</f>
        <v/>
      </c>
    </row>
    <row r="158" ht="22" customHeight="1">
      <c r="B158" s="245" t="n"/>
      <c r="C158" s="246" t="str">
        <f>IF($B158="","",IF(SUMIFS('ИТОГО Торговля'!$C$5:$C$300,'ИТОГО Торговля'!$B$5:$B$300,$B158)+SUMIFS('ИТОГО Лэндинг'!$C$5:$C$300,'ИТОГО Лэндинг'!$B$5:$B$300,$B158)=0,"",SUMIFS('ИТОГО Торговля'!$C$5:$C$300,'ИТОГО Торговля'!$B$5:$B$300,$B158)+SUMIFS('ИТОГО Лэндинг'!$C$5:$C$300,'ИТОГО Лэндинг'!$B$5:$B$300,$B158)))</f>
        <v/>
      </c>
      <c r="D158" s="183" t="str">
        <f>IF(C158="","",E158/C158)</f>
        <v/>
      </c>
      <c r="E158" s="247" t="str">
        <f>IF(C158="","",SUMIFS('ИТОГО Торговля'!$E$5:$E$300,'ИТОГО Торговля'!$B$5:$B$300,$B158)+SUMIFS('ИТОГО Лэндинг'!$E$5:$E$300,'ИТОГО Лэндинг'!$B$5:$B$300,$B158))</f>
        <v/>
      </c>
      <c r="F158" s="246" t="str">
        <f>IF($B158="","",IF(SUMIFS('ИТОГО Торговля'!$F$5:$F$300,'ИТОГО Торговля'!$B$5:$B$300,$B158)+SUMIFS('ИТОГО Лэндинг'!$F$5:$F$300,'ИТОГО Лэндинг'!$B$5:$B$300,$B158)=0,"",SUMIFS('ИТОГО Торговля'!$F$5:$F$300,'ИТОГО Торговля'!$B$5:$B$300,$B158)+SUMIFS('ИТОГО Лэндинг'!$F$5:$F$300,'ИТОГО Лэндинг'!$B$5:$B$300,$B158)))</f>
        <v/>
      </c>
      <c r="G158" s="183" t="str">
        <f>IF(F158="","",H158/F158)</f>
        <v/>
      </c>
      <c r="H158" s="247" t="str">
        <f>IF(F158="","",SUMIFS('ИТОГО Торговля'!$H$5:$H$300,'ИТОГО Торговля'!$B$5:$B$300,$B158)+SUMIFS('ИТОГО Лэндинг'!$H$5:$H$300,'ИТОГО Лэндинг'!$B$5:$B$300,$B158))</f>
        <v/>
      </c>
      <c r="I158" s="246" t="str">
        <f>IF($B158="","",IF(AND(C158="",F158=""),"",ROUND(SUMIFS('ИТОГО Торговля'!$I$5:$I$300,'ИТОГО Торговля'!$B$5:$B$300,$B158)+SUMIFS('ИТОГО Лэндинг'!$I$5:$I$300,'ИТОГО Лэндинг'!$B$5:$B$300,$B158),8)))</f>
        <v/>
      </c>
      <c r="J158" s="247" t="str">
        <f>IF($B158="","",IF(AND(C158="",F158=""),"",ROUND(SUMIFS('ИТОГО Торговля'!$J$5:$J$300,'ИТОГО Торговля'!$B$5:$B$300,$B158)+SUMIFS('ИТОГО Лэндинг'!$J$5:$J$300,'ИТОГО Лэндинг'!$B$5:$B$300,$B158),8)))</f>
        <v/>
      </c>
      <c r="K158" s="246" t="str">
        <f>IF(MIN(N(C158),N(F158))&lt;=0,"",ROUND(MIN(N(C158),N(F158))*(N(G158)-N(D158)),8))</f>
        <v/>
      </c>
      <c r="L158" s="183" t="str">
        <f>IF(MIN(N(C158),N(F158))&lt;=0,"",IF(N(D158)=0,"",ROUND((N(G158)/N(D158)-1)*100,2)))</f>
        <v/>
      </c>
      <c r="M158" s="183" t="str">
        <f>IF(OR(ROUND(N(C158)-N(F158),8)=0,1-N(Ввод!$J$19)/100&lt;=0),"",IF(N(C158)&gt;N(F158),(N(E158)-N(H158))/((N(C158)-N(F158))*(1-N(Ввод!$J$19)/100)),(N(H158)-N(E158))/((N(F158)-N(C158))*(1+N(Ввод!$J$19)/100))))</f>
        <v/>
      </c>
    </row>
    <row r="159" ht="22" customHeight="1">
      <c r="B159" s="239" t="n"/>
      <c r="C159" s="240" t="str">
        <f>IF($B159="","",IF(SUMIFS('ИТОГО Торговля'!$C$5:$C$300,'ИТОГО Торговля'!$B$5:$B$300,$B159)+SUMIFS('ИТОГО Лэндинг'!$C$5:$C$300,'ИТОГО Лэндинг'!$B$5:$B$300,$B159)=0,"",SUMIFS('ИТОГО Торговля'!$C$5:$C$300,'ИТОГО Торговля'!$B$5:$B$300,$B159)+SUMIFS('ИТОГО Лэндинг'!$C$5:$C$300,'ИТОГО Лэндинг'!$B$5:$B$300,$B159)))</f>
        <v/>
      </c>
      <c r="D159" s="177" t="str">
        <f>IF(C159="","",E159/C159)</f>
        <v/>
      </c>
      <c r="E159" s="241" t="str">
        <f>IF(C159="","",SUMIFS('ИТОГО Торговля'!$E$5:$E$300,'ИТОГО Торговля'!$B$5:$B$300,$B159)+SUMIFS('ИТОГО Лэндинг'!$E$5:$E$300,'ИТОГО Лэндинг'!$B$5:$B$300,$B159))</f>
        <v/>
      </c>
      <c r="F159" s="240" t="str">
        <f>IF($B159="","",IF(SUMIFS('ИТОГО Торговля'!$F$5:$F$300,'ИТОГО Торговля'!$B$5:$B$300,$B159)+SUMIFS('ИТОГО Лэндинг'!$F$5:$F$300,'ИТОГО Лэндинг'!$B$5:$B$300,$B159)=0,"",SUMIFS('ИТОГО Торговля'!$F$5:$F$300,'ИТОГО Торговля'!$B$5:$B$300,$B159)+SUMIFS('ИТОГО Лэндинг'!$F$5:$F$300,'ИТОГО Лэндинг'!$B$5:$B$300,$B159)))</f>
        <v/>
      </c>
      <c r="G159" s="177" t="str">
        <f>IF(F159="","",H159/F159)</f>
        <v/>
      </c>
      <c r="H159" s="241" t="str">
        <f>IF(F159="","",SUMIFS('ИТОГО Торговля'!$H$5:$H$300,'ИТОГО Торговля'!$B$5:$B$300,$B159)+SUMIFS('ИТОГО Лэндинг'!$H$5:$H$300,'ИТОГО Лэндинг'!$B$5:$B$300,$B159))</f>
        <v/>
      </c>
      <c r="I159" s="240" t="str">
        <f>IF($B159="","",IF(AND(C159="",F159=""),"",ROUND(SUMIFS('ИТОГО Торговля'!$I$5:$I$300,'ИТОГО Торговля'!$B$5:$B$300,$B159)+SUMIFS('ИТОГО Лэндинг'!$I$5:$I$300,'ИТОГО Лэндинг'!$B$5:$B$300,$B159),8)))</f>
        <v/>
      </c>
      <c r="J159" s="241" t="str">
        <f>IF($B159="","",IF(AND(C159="",F159=""),"",ROUND(SUMIFS('ИТОГО Торговля'!$J$5:$J$300,'ИТОГО Торговля'!$B$5:$B$300,$B159)+SUMIFS('ИТОГО Лэндинг'!$J$5:$J$300,'ИТОГО Лэндинг'!$B$5:$B$300,$B159),8)))</f>
        <v/>
      </c>
      <c r="K159" s="240" t="str">
        <f>IF(MIN(N(C159),N(F159))&lt;=0,"",ROUND(MIN(N(C159),N(F159))*(N(G159)-N(D159)),8))</f>
        <v/>
      </c>
      <c r="L159" s="177" t="str">
        <f>IF(MIN(N(C159),N(F159))&lt;=0,"",IF(N(D159)=0,"",ROUND((N(G159)/N(D159)-1)*100,2)))</f>
        <v/>
      </c>
      <c r="M159" s="177" t="str">
        <f>IF(OR(ROUND(N(C159)-N(F159),8)=0,1-N(Ввод!$J$19)/100&lt;=0),"",IF(N(C159)&gt;N(F159),(N(E159)-N(H159))/((N(C159)-N(F159))*(1-N(Ввод!$J$19)/100)),(N(H159)-N(E159))/((N(F159)-N(C159))*(1+N(Ввод!$J$19)/100))))</f>
        <v/>
      </c>
    </row>
    <row r="160" ht="22" customHeight="1">
      <c r="B160" s="245" t="n"/>
      <c r="C160" s="246" t="str">
        <f>IF($B160="","",IF(SUMIFS('ИТОГО Торговля'!$C$5:$C$300,'ИТОГО Торговля'!$B$5:$B$300,$B160)+SUMIFS('ИТОГО Лэндинг'!$C$5:$C$300,'ИТОГО Лэндинг'!$B$5:$B$300,$B160)=0,"",SUMIFS('ИТОГО Торговля'!$C$5:$C$300,'ИТОГО Торговля'!$B$5:$B$300,$B160)+SUMIFS('ИТОГО Лэндинг'!$C$5:$C$300,'ИТОГО Лэндинг'!$B$5:$B$300,$B160)))</f>
        <v/>
      </c>
      <c r="D160" s="183" t="str">
        <f>IF(C160="","",E160/C160)</f>
        <v/>
      </c>
      <c r="E160" s="247" t="str">
        <f>IF(C160="","",SUMIFS('ИТОГО Торговля'!$E$5:$E$300,'ИТОГО Торговля'!$B$5:$B$300,$B160)+SUMIFS('ИТОГО Лэндинг'!$E$5:$E$300,'ИТОГО Лэндинг'!$B$5:$B$300,$B160))</f>
        <v/>
      </c>
      <c r="F160" s="246" t="str">
        <f>IF($B160="","",IF(SUMIFS('ИТОГО Торговля'!$F$5:$F$300,'ИТОГО Торговля'!$B$5:$B$300,$B160)+SUMIFS('ИТОГО Лэндинг'!$F$5:$F$300,'ИТОГО Лэндинг'!$B$5:$B$300,$B160)=0,"",SUMIFS('ИТОГО Торговля'!$F$5:$F$300,'ИТОГО Торговля'!$B$5:$B$300,$B160)+SUMIFS('ИТОГО Лэндинг'!$F$5:$F$300,'ИТОГО Лэндинг'!$B$5:$B$300,$B160)))</f>
        <v/>
      </c>
      <c r="G160" s="183" t="str">
        <f>IF(F160="","",H160/F160)</f>
        <v/>
      </c>
      <c r="H160" s="247" t="str">
        <f>IF(F160="","",SUMIFS('ИТОГО Торговля'!$H$5:$H$300,'ИТОГО Торговля'!$B$5:$B$300,$B160)+SUMIFS('ИТОГО Лэндинг'!$H$5:$H$300,'ИТОГО Лэндинг'!$B$5:$B$300,$B160))</f>
        <v/>
      </c>
      <c r="I160" s="246" t="str">
        <f>IF($B160="","",IF(AND(C160="",F160=""),"",ROUND(SUMIFS('ИТОГО Торговля'!$I$5:$I$300,'ИТОГО Торговля'!$B$5:$B$300,$B160)+SUMIFS('ИТОГО Лэндинг'!$I$5:$I$300,'ИТОГО Лэндинг'!$B$5:$B$300,$B160),8)))</f>
        <v/>
      </c>
      <c r="J160" s="247" t="str">
        <f>IF($B160="","",IF(AND(C160="",F160=""),"",ROUND(SUMIFS('ИТОГО Торговля'!$J$5:$J$300,'ИТОГО Торговля'!$B$5:$B$300,$B160)+SUMIFS('ИТОГО Лэндинг'!$J$5:$J$300,'ИТОГО Лэндинг'!$B$5:$B$300,$B160),8)))</f>
        <v/>
      </c>
      <c r="K160" s="246" t="str">
        <f>IF(MIN(N(C160),N(F160))&lt;=0,"",ROUND(MIN(N(C160),N(F160))*(N(G160)-N(D160)),8))</f>
        <v/>
      </c>
      <c r="L160" s="183" t="str">
        <f>IF(MIN(N(C160),N(F160))&lt;=0,"",IF(N(D160)=0,"",ROUND((N(G160)/N(D160)-1)*100,2)))</f>
        <v/>
      </c>
      <c r="M160" s="183" t="str">
        <f>IF(OR(ROUND(N(C160)-N(F160),8)=0,1-N(Ввод!$J$19)/100&lt;=0),"",IF(N(C160)&gt;N(F160),(N(E160)-N(H160))/((N(C160)-N(F160))*(1-N(Ввод!$J$19)/100)),(N(H160)-N(E160))/((N(F160)-N(C160))*(1+N(Ввод!$J$19)/100))))</f>
        <v/>
      </c>
    </row>
    <row r="161" ht="22" customHeight="1">
      <c r="B161" s="239" t="n"/>
      <c r="C161" s="240" t="str">
        <f>IF($B161="","",IF(SUMIFS('ИТОГО Торговля'!$C$5:$C$300,'ИТОГО Торговля'!$B$5:$B$300,$B161)+SUMIFS('ИТОГО Лэндинг'!$C$5:$C$300,'ИТОГО Лэндинг'!$B$5:$B$300,$B161)=0,"",SUMIFS('ИТОГО Торговля'!$C$5:$C$300,'ИТОГО Торговля'!$B$5:$B$300,$B161)+SUMIFS('ИТОГО Лэндинг'!$C$5:$C$300,'ИТОГО Лэндинг'!$B$5:$B$300,$B161)))</f>
        <v/>
      </c>
      <c r="D161" s="177" t="str">
        <f>IF(C161="","",E161/C161)</f>
        <v/>
      </c>
      <c r="E161" s="241" t="str">
        <f>IF(C161="","",SUMIFS('ИТОГО Торговля'!$E$5:$E$300,'ИТОГО Торговля'!$B$5:$B$300,$B161)+SUMIFS('ИТОГО Лэндинг'!$E$5:$E$300,'ИТОГО Лэндинг'!$B$5:$B$300,$B161))</f>
        <v/>
      </c>
      <c r="F161" s="240" t="str">
        <f>IF($B161="","",IF(SUMIFS('ИТОГО Торговля'!$F$5:$F$300,'ИТОГО Торговля'!$B$5:$B$300,$B161)+SUMIFS('ИТОГО Лэндинг'!$F$5:$F$300,'ИТОГО Лэндинг'!$B$5:$B$300,$B161)=0,"",SUMIFS('ИТОГО Торговля'!$F$5:$F$300,'ИТОГО Торговля'!$B$5:$B$300,$B161)+SUMIFS('ИТОГО Лэндинг'!$F$5:$F$300,'ИТОГО Лэндинг'!$B$5:$B$300,$B161)))</f>
        <v/>
      </c>
      <c r="G161" s="177" t="str">
        <f>IF(F161="","",H161/F161)</f>
        <v/>
      </c>
      <c r="H161" s="241" t="str">
        <f>IF(F161="","",SUMIFS('ИТОГО Торговля'!$H$5:$H$300,'ИТОГО Торговля'!$B$5:$B$300,$B161)+SUMIFS('ИТОГО Лэндинг'!$H$5:$H$300,'ИТОГО Лэндинг'!$B$5:$B$300,$B161))</f>
        <v/>
      </c>
      <c r="I161" s="240" t="str">
        <f>IF($B161="","",IF(AND(C161="",F161=""),"",ROUND(SUMIFS('ИТОГО Торговля'!$I$5:$I$300,'ИТОГО Торговля'!$B$5:$B$300,$B161)+SUMIFS('ИТОГО Лэндинг'!$I$5:$I$300,'ИТОГО Лэндинг'!$B$5:$B$300,$B161),8)))</f>
        <v/>
      </c>
      <c r="J161" s="241" t="str">
        <f>IF($B161="","",IF(AND(C161="",F161=""),"",ROUND(SUMIFS('ИТОГО Торговля'!$J$5:$J$300,'ИТОГО Торговля'!$B$5:$B$300,$B161)+SUMIFS('ИТОГО Лэндинг'!$J$5:$J$300,'ИТОГО Лэндинг'!$B$5:$B$300,$B161),8)))</f>
        <v/>
      </c>
      <c r="K161" s="240" t="str">
        <f>IF(MIN(N(C161),N(F161))&lt;=0,"",ROUND(MIN(N(C161),N(F161))*(N(G161)-N(D161)),8))</f>
        <v/>
      </c>
      <c r="L161" s="177" t="str">
        <f>IF(MIN(N(C161),N(F161))&lt;=0,"",IF(N(D161)=0,"",ROUND((N(G161)/N(D161)-1)*100,2)))</f>
        <v/>
      </c>
      <c r="M161" s="177" t="str">
        <f>IF(OR(ROUND(N(C161)-N(F161),8)=0,1-N(Ввод!$J$19)/100&lt;=0),"",IF(N(C161)&gt;N(F161),(N(E161)-N(H161))/((N(C161)-N(F161))*(1-N(Ввод!$J$19)/100)),(N(H161)-N(E161))/((N(F161)-N(C161))*(1+N(Ввод!$J$19)/100))))</f>
        <v/>
      </c>
    </row>
    <row r="162" ht="22" customHeight="1">
      <c r="B162" s="245" t="n"/>
      <c r="C162" s="246" t="str">
        <f>IF($B162="","",IF(SUMIFS('ИТОГО Торговля'!$C$5:$C$300,'ИТОГО Торговля'!$B$5:$B$300,$B162)+SUMIFS('ИТОГО Лэндинг'!$C$5:$C$300,'ИТОГО Лэндинг'!$B$5:$B$300,$B162)=0,"",SUMIFS('ИТОГО Торговля'!$C$5:$C$300,'ИТОГО Торговля'!$B$5:$B$300,$B162)+SUMIFS('ИТОГО Лэндинг'!$C$5:$C$300,'ИТОГО Лэндинг'!$B$5:$B$300,$B162)))</f>
        <v/>
      </c>
      <c r="D162" s="183" t="str">
        <f>IF(C162="","",E162/C162)</f>
        <v/>
      </c>
      <c r="E162" s="247" t="str">
        <f>IF(C162="","",SUMIFS('ИТОГО Торговля'!$E$5:$E$300,'ИТОГО Торговля'!$B$5:$B$300,$B162)+SUMIFS('ИТОГО Лэндинг'!$E$5:$E$300,'ИТОГО Лэндинг'!$B$5:$B$300,$B162))</f>
        <v/>
      </c>
      <c r="F162" s="246" t="str">
        <f>IF($B162="","",IF(SUMIFS('ИТОГО Торговля'!$F$5:$F$300,'ИТОГО Торговля'!$B$5:$B$300,$B162)+SUMIFS('ИТОГО Лэндинг'!$F$5:$F$300,'ИТОГО Лэндинг'!$B$5:$B$300,$B162)=0,"",SUMIFS('ИТОГО Торговля'!$F$5:$F$300,'ИТОГО Торговля'!$B$5:$B$300,$B162)+SUMIFS('ИТОГО Лэндинг'!$F$5:$F$300,'ИТОГО Лэндинг'!$B$5:$B$300,$B162)))</f>
        <v/>
      </c>
      <c r="G162" s="183" t="str">
        <f>IF(F162="","",H162/F162)</f>
        <v/>
      </c>
      <c r="H162" s="247" t="str">
        <f>IF(F162="","",SUMIFS('ИТОГО Торговля'!$H$5:$H$300,'ИТОГО Торговля'!$B$5:$B$300,$B162)+SUMIFS('ИТОГО Лэндинг'!$H$5:$H$300,'ИТОГО Лэндинг'!$B$5:$B$300,$B162))</f>
        <v/>
      </c>
      <c r="I162" s="246" t="str">
        <f>IF($B162="","",IF(AND(C162="",F162=""),"",ROUND(SUMIFS('ИТОГО Торговля'!$I$5:$I$300,'ИТОГО Торговля'!$B$5:$B$300,$B162)+SUMIFS('ИТОГО Лэндинг'!$I$5:$I$300,'ИТОГО Лэндинг'!$B$5:$B$300,$B162),8)))</f>
        <v/>
      </c>
      <c r="J162" s="247" t="str">
        <f>IF($B162="","",IF(AND(C162="",F162=""),"",ROUND(SUMIFS('ИТОГО Торговля'!$J$5:$J$300,'ИТОГО Торговля'!$B$5:$B$300,$B162)+SUMIFS('ИТОГО Лэндинг'!$J$5:$J$300,'ИТОГО Лэндинг'!$B$5:$B$300,$B162),8)))</f>
        <v/>
      </c>
      <c r="K162" s="246" t="str">
        <f>IF(MIN(N(C162),N(F162))&lt;=0,"",ROUND(MIN(N(C162),N(F162))*(N(G162)-N(D162)),8))</f>
        <v/>
      </c>
      <c r="L162" s="183" t="str">
        <f>IF(MIN(N(C162),N(F162))&lt;=0,"",IF(N(D162)=0,"",ROUND((N(G162)/N(D162)-1)*100,2)))</f>
        <v/>
      </c>
      <c r="M162" s="183" t="str">
        <f>IF(OR(ROUND(N(C162)-N(F162),8)=0,1-N(Ввод!$J$19)/100&lt;=0),"",IF(N(C162)&gt;N(F162),(N(E162)-N(H162))/((N(C162)-N(F162))*(1-N(Ввод!$J$19)/100)),(N(H162)-N(E162))/((N(F162)-N(C162))*(1+N(Ввод!$J$19)/100))))</f>
        <v/>
      </c>
    </row>
    <row r="163" ht="22" customHeight="1">
      <c r="B163" s="239" t="n"/>
      <c r="C163" s="240" t="str">
        <f>IF($B163="","",IF(SUMIFS('ИТОГО Торговля'!$C$5:$C$300,'ИТОГО Торговля'!$B$5:$B$300,$B163)+SUMIFS('ИТОГО Лэндинг'!$C$5:$C$300,'ИТОГО Лэндинг'!$B$5:$B$300,$B163)=0,"",SUMIFS('ИТОГО Торговля'!$C$5:$C$300,'ИТОГО Торговля'!$B$5:$B$300,$B163)+SUMIFS('ИТОГО Лэндинг'!$C$5:$C$300,'ИТОГО Лэндинг'!$B$5:$B$300,$B163)))</f>
        <v/>
      </c>
      <c r="D163" s="177" t="str">
        <f>IF(C163="","",E163/C163)</f>
        <v/>
      </c>
      <c r="E163" s="241" t="str">
        <f>IF(C163="","",SUMIFS('ИТОГО Торговля'!$E$5:$E$300,'ИТОГО Торговля'!$B$5:$B$300,$B163)+SUMIFS('ИТОГО Лэндинг'!$E$5:$E$300,'ИТОГО Лэндинг'!$B$5:$B$300,$B163))</f>
        <v/>
      </c>
      <c r="F163" s="240" t="str">
        <f>IF($B163="","",IF(SUMIFS('ИТОГО Торговля'!$F$5:$F$300,'ИТОГО Торговля'!$B$5:$B$300,$B163)+SUMIFS('ИТОГО Лэндинг'!$F$5:$F$300,'ИТОГО Лэндинг'!$B$5:$B$300,$B163)=0,"",SUMIFS('ИТОГО Торговля'!$F$5:$F$300,'ИТОГО Торговля'!$B$5:$B$300,$B163)+SUMIFS('ИТОГО Лэндинг'!$F$5:$F$300,'ИТОГО Лэндинг'!$B$5:$B$300,$B163)))</f>
        <v/>
      </c>
      <c r="G163" s="177" t="str">
        <f>IF(F163="","",H163/F163)</f>
        <v/>
      </c>
      <c r="H163" s="241" t="str">
        <f>IF(F163="","",SUMIFS('ИТОГО Торговля'!$H$5:$H$300,'ИТОГО Торговля'!$B$5:$B$300,$B163)+SUMIFS('ИТОГО Лэндинг'!$H$5:$H$300,'ИТОГО Лэндинг'!$B$5:$B$300,$B163))</f>
        <v/>
      </c>
      <c r="I163" s="240" t="str">
        <f>IF($B163="","",IF(AND(C163="",F163=""),"",ROUND(SUMIFS('ИТОГО Торговля'!$I$5:$I$300,'ИТОГО Торговля'!$B$5:$B$300,$B163)+SUMIFS('ИТОГО Лэндинг'!$I$5:$I$300,'ИТОГО Лэндинг'!$B$5:$B$300,$B163),8)))</f>
        <v/>
      </c>
      <c r="J163" s="241" t="str">
        <f>IF($B163="","",IF(AND(C163="",F163=""),"",ROUND(SUMIFS('ИТОГО Торговля'!$J$5:$J$300,'ИТОГО Торговля'!$B$5:$B$300,$B163)+SUMIFS('ИТОГО Лэндинг'!$J$5:$J$300,'ИТОГО Лэндинг'!$B$5:$B$300,$B163),8)))</f>
        <v/>
      </c>
      <c r="K163" s="240" t="str">
        <f>IF(MIN(N(C163),N(F163))&lt;=0,"",ROUND(MIN(N(C163),N(F163))*(N(G163)-N(D163)),8))</f>
        <v/>
      </c>
      <c r="L163" s="177" t="str">
        <f>IF(MIN(N(C163),N(F163))&lt;=0,"",IF(N(D163)=0,"",ROUND((N(G163)/N(D163)-1)*100,2)))</f>
        <v/>
      </c>
      <c r="M163" s="177" t="str">
        <f>IF(OR(ROUND(N(C163)-N(F163),8)=0,1-N(Ввод!$J$19)/100&lt;=0),"",IF(N(C163)&gt;N(F163),(N(E163)-N(H163))/((N(C163)-N(F163))*(1-N(Ввод!$J$19)/100)),(N(H163)-N(E163))/((N(F163)-N(C163))*(1+N(Ввод!$J$19)/100))))</f>
        <v/>
      </c>
    </row>
    <row r="164" ht="22" customHeight="1">
      <c r="B164" s="245" t="n"/>
      <c r="C164" s="246" t="str">
        <f>IF($B164="","",IF(SUMIFS('ИТОГО Торговля'!$C$5:$C$300,'ИТОГО Торговля'!$B$5:$B$300,$B164)+SUMIFS('ИТОГО Лэндинг'!$C$5:$C$300,'ИТОГО Лэндинг'!$B$5:$B$300,$B164)=0,"",SUMIFS('ИТОГО Торговля'!$C$5:$C$300,'ИТОГО Торговля'!$B$5:$B$300,$B164)+SUMIFS('ИТОГО Лэндинг'!$C$5:$C$300,'ИТОГО Лэндинг'!$B$5:$B$300,$B164)))</f>
        <v/>
      </c>
      <c r="D164" s="183" t="str">
        <f>IF(C164="","",E164/C164)</f>
        <v/>
      </c>
      <c r="E164" s="247" t="str">
        <f>IF(C164="","",SUMIFS('ИТОГО Торговля'!$E$5:$E$300,'ИТОГО Торговля'!$B$5:$B$300,$B164)+SUMIFS('ИТОГО Лэндинг'!$E$5:$E$300,'ИТОГО Лэндинг'!$B$5:$B$300,$B164))</f>
        <v/>
      </c>
      <c r="F164" s="246" t="str">
        <f>IF($B164="","",IF(SUMIFS('ИТОГО Торговля'!$F$5:$F$300,'ИТОГО Торговля'!$B$5:$B$300,$B164)+SUMIFS('ИТОГО Лэндинг'!$F$5:$F$300,'ИТОГО Лэндинг'!$B$5:$B$300,$B164)=0,"",SUMIFS('ИТОГО Торговля'!$F$5:$F$300,'ИТОГО Торговля'!$B$5:$B$300,$B164)+SUMIFS('ИТОГО Лэндинг'!$F$5:$F$300,'ИТОГО Лэндинг'!$B$5:$B$300,$B164)))</f>
        <v/>
      </c>
      <c r="G164" s="183" t="str">
        <f>IF(F164="","",H164/F164)</f>
        <v/>
      </c>
      <c r="H164" s="247" t="str">
        <f>IF(F164="","",SUMIFS('ИТОГО Торговля'!$H$5:$H$300,'ИТОГО Торговля'!$B$5:$B$300,$B164)+SUMIFS('ИТОГО Лэндинг'!$H$5:$H$300,'ИТОГО Лэндинг'!$B$5:$B$300,$B164))</f>
        <v/>
      </c>
      <c r="I164" s="246" t="str">
        <f>IF($B164="","",IF(AND(C164="",F164=""),"",ROUND(SUMIFS('ИТОГО Торговля'!$I$5:$I$300,'ИТОГО Торговля'!$B$5:$B$300,$B164)+SUMIFS('ИТОГО Лэндинг'!$I$5:$I$300,'ИТОГО Лэндинг'!$B$5:$B$300,$B164),8)))</f>
        <v/>
      </c>
      <c r="J164" s="247" t="str">
        <f>IF($B164="","",IF(AND(C164="",F164=""),"",ROUND(SUMIFS('ИТОГО Торговля'!$J$5:$J$300,'ИТОГО Торговля'!$B$5:$B$300,$B164)+SUMIFS('ИТОГО Лэндинг'!$J$5:$J$300,'ИТОГО Лэндинг'!$B$5:$B$300,$B164),8)))</f>
        <v/>
      </c>
      <c r="K164" s="246" t="str">
        <f>IF(MIN(N(C164),N(F164))&lt;=0,"",ROUND(MIN(N(C164),N(F164))*(N(G164)-N(D164)),8))</f>
        <v/>
      </c>
      <c r="L164" s="183" t="str">
        <f>IF(MIN(N(C164),N(F164))&lt;=0,"",IF(N(D164)=0,"",ROUND((N(G164)/N(D164)-1)*100,2)))</f>
        <v/>
      </c>
      <c r="M164" s="183" t="str">
        <f>IF(OR(ROUND(N(C164)-N(F164),8)=0,1-N(Ввод!$J$19)/100&lt;=0),"",IF(N(C164)&gt;N(F164),(N(E164)-N(H164))/((N(C164)-N(F164))*(1-N(Ввод!$J$19)/100)),(N(H164)-N(E164))/((N(F164)-N(C164))*(1+N(Ввод!$J$19)/100))))</f>
        <v/>
      </c>
    </row>
    <row r="165" ht="22" customHeight="1">
      <c r="B165" s="239" t="n"/>
      <c r="C165" s="240" t="str">
        <f>IF($B165="","",IF(SUMIFS('ИТОГО Торговля'!$C$5:$C$300,'ИТОГО Торговля'!$B$5:$B$300,$B165)+SUMIFS('ИТОГО Лэндинг'!$C$5:$C$300,'ИТОГО Лэндинг'!$B$5:$B$300,$B165)=0,"",SUMIFS('ИТОГО Торговля'!$C$5:$C$300,'ИТОГО Торговля'!$B$5:$B$300,$B165)+SUMIFS('ИТОГО Лэндинг'!$C$5:$C$300,'ИТОГО Лэндинг'!$B$5:$B$300,$B165)))</f>
        <v/>
      </c>
      <c r="D165" s="177" t="str">
        <f>IF(C165="","",E165/C165)</f>
        <v/>
      </c>
      <c r="E165" s="241" t="str">
        <f>IF(C165="","",SUMIFS('ИТОГО Торговля'!$E$5:$E$300,'ИТОГО Торговля'!$B$5:$B$300,$B165)+SUMIFS('ИТОГО Лэндинг'!$E$5:$E$300,'ИТОГО Лэндинг'!$B$5:$B$300,$B165))</f>
        <v/>
      </c>
      <c r="F165" s="240" t="str">
        <f>IF($B165="","",IF(SUMIFS('ИТОГО Торговля'!$F$5:$F$300,'ИТОГО Торговля'!$B$5:$B$300,$B165)+SUMIFS('ИТОГО Лэндинг'!$F$5:$F$300,'ИТОГО Лэндинг'!$B$5:$B$300,$B165)=0,"",SUMIFS('ИТОГО Торговля'!$F$5:$F$300,'ИТОГО Торговля'!$B$5:$B$300,$B165)+SUMIFS('ИТОГО Лэндинг'!$F$5:$F$300,'ИТОГО Лэндинг'!$B$5:$B$300,$B165)))</f>
        <v/>
      </c>
      <c r="G165" s="177" t="str">
        <f>IF(F165="","",H165/F165)</f>
        <v/>
      </c>
      <c r="H165" s="241" t="str">
        <f>IF(F165="","",SUMIFS('ИТОГО Торговля'!$H$5:$H$300,'ИТОГО Торговля'!$B$5:$B$300,$B165)+SUMIFS('ИТОГО Лэндинг'!$H$5:$H$300,'ИТОГО Лэндинг'!$B$5:$B$300,$B165))</f>
        <v/>
      </c>
      <c r="I165" s="240" t="str">
        <f>IF($B165="","",IF(AND(C165="",F165=""),"",ROUND(SUMIFS('ИТОГО Торговля'!$I$5:$I$300,'ИТОГО Торговля'!$B$5:$B$300,$B165)+SUMIFS('ИТОГО Лэндинг'!$I$5:$I$300,'ИТОГО Лэндинг'!$B$5:$B$300,$B165),8)))</f>
        <v/>
      </c>
      <c r="J165" s="241" t="str">
        <f>IF($B165="","",IF(AND(C165="",F165=""),"",ROUND(SUMIFS('ИТОГО Торговля'!$J$5:$J$300,'ИТОГО Торговля'!$B$5:$B$300,$B165)+SUMIFS('ИТОГО Лэндинг'!$J$5:$J$300,'ИТОГО Лэндинг'!$B$5:$B$300,$B165),8)))</f>
        <v/>
      </c>
      <c r="K165" s="240" t="str">
        <f>IF(MIN(N(C165),N(F165))&lt;=0,"",ROUND(MIN(N(C165),N(F165))*(N(G165)-N(D165)),8))</f>
        <v/>
      </c>
      <c r="L165" s="177" t="str">
        <f>IF(MIN(N(C165),N(F165))&lt;=0,"",IF(N(D165)=0,"",ROUND((N(G165)/N(D165)-1)*100,2)))</f>
        <v/>
      </c>
      <c r="M165" s="177" t="str">
        <f>IF(OR(ROUND(N(C165)-N(F165),8)=0,1-N(Ввод!$J$19)/100&lt;=0),"",IF(N(C165)&gt;N(F165),(N(E165)-N(H165))/((N(C165)-N(F165))*(1-N(Ввод!$J$19)/100)),(N(H165)-N(E165))/((N(F165)-N(C165))*(1+N(Ввод!$J$19)/100))))</f>
        <v/>
      </c>
    </row>
    <row r="166" ht="22" customHeight="1">
      <c r="B166" s="245" t="n"/>
      <c r="C166" s="246" t="str">
        <f>IF($B166="","",IF(SUMIFS('ИТОГО Торговля'!$C$5:$C$300,'ИТОГО Торговля'!$B$5:$B$300,$B166)+SUMIFS('ИТОГО Лэндинг'!$C$5:$C$300,'ИТОГО Лэндинг'!$B$5:$B$300,$B166)=0,"",SUMIFS('ИТОГО Торговля'!$C$5:$C$300,'ИТОГО Торговля'!$B$5:$B$300,$B166)+SUMIFS('ИТОГО Лэндинг'!$C$5:$C$300,'ИТОГО Лэндинг'!$B$5:$B$300,$B166)))</f>
        <v/>
      </c>
      <c r="D166" s="183" t="str">
        <f>IF(C166="","",E166/C166)</f>
        <v/>
      </c>
      <c r="E166" s="247" t="str">
        <f>IF(C166="","",SUMIFS('ИТОГО Торговля'!$E$5:$E$300,'ИТОГО Торговля'!$B$5:$B$300,$B166)+SUMIFS('ИТОГО Лэндинг'!$E$5:$E$300,'ИТОГО Лэндинг'!$B$5:$B$300,$B166))</f>
        <v/>
      </c>
      <c r="F166" s="246" t="str">
        <f>IF($B166="","",IF(SUMIFS('ИТОГО Торговля'!$F$5:$F$300,'ИТОГО Торговля'!$B$5:$B$300,$B166)+SUMIFS('ИТОГО Лэндинг'!$F$5:$F$300,'ИТОГО Лэндинг'!$B$5:$B$300,$B166)=0,"",SUMIFS('ИТОГО Торговля'!$F$5:$F$300,'ИТОГО Торговля'!$B$5:$B$300,$B166)+SUMIFS('ИТОГО Лэндинг'!$F$5:$F$300,'ИТОГО Лэндинг'!$B$5:$B$300,$B166)))</f>
        <v/>
      </c>
      <c r="G166" s="183" t="str">
        <f>IF(F166="","",H166/F166)</f>
        <v/>
      </c>
      <c r="H166" s="247" t="str">
        <f>IF(F166="","",SUMIFS('ИТОГО Торговля'!$H$5:$H$300,'ИТОГО Торговля'!$B$5:$B$300,$B166)+SUMIFS('ИТОГО Лэндинг'!$H$5:$H$300,'ИТОГО Лэндинг'!$B$5:$B$300,$B166))</f>
        <v/>
      </c>
      <c r="I166" s="246" t="str">
        <f>IF($B166="","",IF(AND(C166="",F166=""),"",ROUND(SUMIFS('ИТОГО Торговля'!$I$5:$I$300,'ИТОГО Торговля'!$B$5:$B$300,$B166)+SUMIFS('ИТОГО Лэндинг'!$I$5:$I$300,'ИТОГО Лэндинг'!$B$5:$B$300,$B166),8)))</f>
        <v/>
      </c>
      <c r="J166" s="247" t="str">
        <f>IF($B166="","",IF(AND(C166="",F166=""),"",ROUND(SUMIFS('ИТОГО Торговля'!$J$5:$J$300,'ИТОГО Торговля'!$B$5:$B$300,$B166)+SUMIFS('ИТОГО Лэндинг'!$J$5:$J$300,'ИТОГО Лэндинг'!$B$5:$B$300,$B166),8)))</f>
        <v/>
      </c>
      <c r="K166" s="246" t="str">
        <f>IF(MIN(N(C166),N(F166))&lt;=0,"",ROUND(MIN(N(C166),N(F166))*(N(G166)-N(D166)),8))</f>
        <v/>
      </c>
      <c r="L166" s="183" t="str">
        <f>IF(MIN(N(C166),N(F166))&lt;=0,"",IF(N(D166)=0,"",ROUND((N(G166)/N(D166)-1)*100,2)))</f>
        <v/>
      </c>
      <c r="M166" s="183" t="str">
        <f>IF(OR(ROUND(N(C166)-N(F166),8)=0,1-N(Ввод!$J$19)/100&lt;=0),"",IF(N(C166)&gt;N(F166),(N(E166)-N(H166))/((N(C166)-N(F166))*(1-N(Ввод!$J$19)/100)),(N(H166)-N(E166))/((N(F166)-N(C166))*(1+N(Ввод!$J$19)/100))))</f>
        <v/>
      </c>
    </row>
    <row r="167" ht="22" customHeight="1">
      <c r="B167" s="239" t="n"/>
      <c r="C167" s="240" t="str">
        <f>IF($B167="","",IF(SUMIFS('ИТОГО Торговля'!$C$5:$C$300,'ИТОГО Торговля'!$B$5:$B$300,$B167)+SUMIFS('ИТОГО Лэндинг'!$C$5:$C$300,'ИТОГО Лэндинг'!$B$5:$B$300,$B167)=0,"",SUMIFS('ИТОГО Торговля'!$C$5:$C$300,'ИТОГО Торговля'!$B$5:$B$300,$B167)+SUMIFS('ИТОГО Лэндинг'!$C$5:$C$300,'ИТОГО Лэндинг'!$B$5:$B$300,$B167)))</f>
        <v/>
      </c>
      <c r="D167" s="177" t="str">
        <f>IF(C167="","",E167/C167)</f>
        <v/>
      </c>
      <c r="E167" s="241" t="str">
        <f>IF(C167="","",SUMIFS('ИТОГО Торговля'!$E$5:$E$300,'ИТОГО Торговля'!$B$5:$B$300,$B167)+SUMIFS('ИТОГО Лэндинг'!$E$5:$E$300,'ИТОГО Лэндинг'!$B$5:$B$300,$B167))</f>
        <v/>
      </c>
      <c r="F167" s="240" t="str">
        <f>IF($B167="","",IF(SUMIFS('ИТОГО Торговля'!$F$5:$F$300,'ИТОГО Торговля'!$B$5:$B$300,$B167)+SUMIFS('ИТОГО Лэндинг'!$F$5:$F$300,'ИТОГО Лэндинг'!$B$5:$B$300,$B167)=0,"",SUMIFS('ИТОГО Торговля'!$F$5:$F$300,'ИТОГО Торговля'!$B$5:$B$300,$B167)+SUMIFS('ИТОГО Лэндинг'!$F$5:$F$300,'ИТОГО Лэндинг'!$B$5:$B$300,$B167)))</f>
        <v/>
      </c>
      <c r="G167" s="177" t="str">
        <f>IF(F167="","",H167/F167)</f>
        <v/>
      </c>
      <c r="H167" s="241" t="str">
        <f>IF(F167="","",SUMIFS('ИТОГО Торговля'!$H$5:$H$300,'ИТОГО Торговля'!$B$5:$B$300,$B167)+SUMIFS('ИТОГО Лэндинг'!$H$5:$H$300,'ИТОГО Лэндинг'!$B$5:$B$300,$B167))</f>
        <v/>
      </c>
      <c r="I167" s="240" t="str">
        <f>IF($B167="","",IF(AND(C167="",F167=""),"",ROUND(SUMIFS('ИТОГО Торговля'!$I$5:$I$300,'ИТОГО Торговля'!$B$5:$B$300,$B167)+SUMIFS('ИТОГО Лэндинг'!$I$5:$I$300,'ИТОГО Лэндинг'!$B$5:$B$300,$B167),8)))</f>
        <v/>
      </c>
      <c r="J167" s="241" t="str">
        <f>IF($B167="","",IF(AND(C167="",F167=""),"",ROUND(SUMIFS('ИТОГО Торговля'!$J$5:$J$300,'ИТОГО Торговля'!$B$5:$B$300,$B167)+SUMIFS('ИТОГО Лэндинг'!$J$5:$J$300,'ИТОГО Лэндинг'!$B$5:$B$300,$B167),8)))</f>
        <v/>
      </c>
      <c r="K167" s="240" t="str">
        <f>IF(MIN(N(C167),N(F167))&lt;=0,"",ROUND(MIN(N(C167),N(F167))*(N(G167)-N(D167)),8))</f>
        <v/>
      </c>
      <c r="L167" s="177" t="str">
        <f>IF(MIN(N(C167),N(F167))&lt;=0,"",IF(N(D167)=0,"",ROUND((N(G167)/N(D167)-1)*100,2)))</f>
        <v/>
      </c>
      <c r="M167" s="177" t="str">
        <f>IF(OR(ROUND(N(C167)-N(F167),8)=0,1-N(Ввод!$J$19)/100&lt;=0),"",IF(N(C167)&gt;N(F167),(N(E167)-N(H167))/((N(C167)-N(F167))*(1-N(Ввод!$J$19)/100)),(N(H167)-N(E167))/((N(F167)-N(C167))*(1+N(Ввод!$J$19)/100))))</f>
        <v/>
      </c>
    </row>
    <row r="168" ht="22" customHeight="1">
      <c r="B168" s="245" t="n"/>
      <c r="C168" s="246" t="str">
        <f>IF($B168="","",IF(SUMIFS('ИТОГО Торговля'!$C$5:$C$300,'ИТОГО Торговля'!$B$5:$B$300,$B168)+SUMIFS('ИТОГО Лэндинг'!$C$5:$C$300,'ИТОГО Лэндинг'!$B$5:$B$300,$B168)=0,"",SUMIFS('ИТОГО Торговля'!$C$5:$C$300,'ИТОГО Торговля'!$B$5:$B$300,$B168)+SUMIFS('ИТОГО Лэндинг'!$C$5:$C$300,'ИТОГО Лэндинг'!$B$5:$B$300,$B168)))</f>
        <v/>
      </c>
      <c r="D168" s="183" t="str">
        <f>IF(C168="","",E168/C168)</f>
        <v/>
      </c>
      <c r="E168" s="247" t="str">
        <f>IF(C168="","",SUMIFS('ИТОГО Торговля'!$E$5:$E$300,'ИТОГО Торговля'!$B$5:$B$300,$B168)+SUMIFS('ИТОГО Лэндинг'!$E$5:$E$300,'ИТОГО Лэндинг'!$B$5:$B$300,$B168))</f>
        <v/>
      </c>
      <c r="F168" s="246" t="str">
        <f>IF($B168="","",IF(SUMIFS('ИТОГО Торговля'!$F$5:$F$300,'ИТОГО Торговля'!$B$5:$B$300,$B168)+SUMIFS('ИТОГО Лэндинг'!$F$5:$F$300,'ИТОГО Лэндинг'!$B$5:$B$300,$B168)=0,"",SUMIFS('ИТОГО Торговля'!$F$5:$F$300,'ИТОГО Торговля'!$B$5:$B$300,$B168)+SUMIFS('ИТОГО Лэндинг'!$F$5:$F$300,'ИТОГО Лэндинг'!$B$5:$B$300,$B168)))</f>
        <v/>
      </c>
      <c r="G168" s="183" t="str">
        <f>IF(F168="","",H168/F168)</f>
        <v/>
      </c>
      <c r="H168" s="247" t="str">
        <f>IF(F168="","",SUMIFS('ИТОГО Торговля'!$H$5:$H$300,'ИТОГО Торговля'!$B$5:$B$300,$B168)+SUMIFS('ИТОГО Лэндинг'!$H$5:$H$300,'ИТОГО Лэндинг'!$B$5:$B$300,$B168))</f>
        <v/>
      </c>
      <c r="I168" s="246" t="str">
        <f>IF($B168="","",IF(AND(C168="",F168=""),"",ROUND(SUMIFS('ИТОГО Торговля'!$I$5:$I$300,'ИТОГО Торговля'!$B$5:$B$300,$B168)+SUMIFS('ИТОГО Лэндинг'!$I$5:$I$300,'ИТОГО Лэндинг'!$B$5:$B$300,$B168),8)))</f>
        <v/>
      </c>
      <c r="J168" s="247" t="str">
        <f>IF($B168="","",IF(AND(C168="",F168=""),"",ROUND(SUMIFS('ИТОГО Торговля'!$J$5:$J$300,'ИТОГО Торговля'!$B$5:$B$300,$B168)+SUMIFS('ИТОГО Лэндинг'!$J$5:$J$300,'ИТОГО Лэндинг'!$B$5:$B$300,$B168),8)))</f>
        <v/>
      </c>
      <c r="K168" s="246" t="str">
        <f>IF(MIN(N(C168),N(F168))&lt;=0,"",ROUND(MIN(N(C168),N(F168))*(N(G168)-N(D168)),8))</f>
        <v/>
      </c>
      <c r="L168" s="183" t="str">
        <f>IF(MIN(N(C168),N(F168))&lt;=0,"",IF(N(D168)=0,"",ROUND((N(G168)/N(D168)-1)*100,2)))</f>
        <v/>
      </c>
      <c r="M168" s="183" t="str">
        <f>IF(OR(ROUND(N(C168)-N(F168),8)=0,1-N(Ввод!$J$19)/100&lt;=0),"",IF(N(C168)&gt;N(F168),(N(E168)-N(H168))/((N(C168)-N(F168))*(1-N(Ввод!$J$19)/100)),(N(H168)-N(E168))/((N(F168)-N(C168))*(1+N(Ввод!$J$19)/100))))</f>
        <v/>
      </c>
    </row>
    <row r="169" ht="22" customHeight="1">
      <c r="B169" s="239" t="n"/>
      <c r="C169" s="240" t="str">
        <f>IF($B169="","",IF(SUMIFS('ИТОГО Торговля'!$C$5:$C$300,'ИТОГО Торговля'!$B$5:$B$300,$B169)+SUMIFS('ИТОГО Лэндинг'!$C$5:$C$300,'ИТОГО Лэндинг'!$B$5:$B$300,$B169)=0,"",SUMIFS('ИТОГО Торговля'!$C$5:$C$300,'ИТОГО Торговля'!$B$5:$B$300,$B169)+SUMIFS('ИТОГО Лэндинг'!$C$5:$C$300,'ИТОГО Лэндинг'!$B$5:$B$300,$B169)))</f>
        <v/>
      </c>
      <c r="D169" s="177" t="str">
        <f>IF(C169="","",E169/C169)</f>
        <v/>
      </c>
      <c r="E169" s="241" t="str">
        <f>IF(C169="","",SUMIFS('ИТОГО Торговля'!$E$5:$E$300,'ИТОГО Торговля'!$B$5:$B$300,$B169)+SUMIFS('ИТОГО Лэндинг'!$E$5:$E$300,'ИТОГО Лэндинг'!$B$5:$B$300,$B169))</f>
        <v/>
      </c>
      <c r="F169" s="240" t="str">
        <f>IF($B169="","",IF(SUMIFS('ИТОГО Торговля'!$F$5:$F$300,'ИТОГО Торговля'!$B$5:$B$300,$B169)+SUMIFS('ИТОГО Лэндинг'!$F$5:$F$300,'ИТОГО Лэндинг'!$B$5:$B$300,$B169)=0,"",SUMIFS('ИТОГО Торговля'!$F$5:$F$300,'ИТОГО Торговля'!$B$5:$B$300,$B169)+SUMIFS('ИТОГО Лэндинг'!$F$5:$F$300,'ИТОГО Лэндинг'!$B$5:$B$300,$B169)))</f>
        <v/>
      </c>
      <c r="G169" s="177" t="str">
        <f>IF(F169="","",H169/F169)</f>
        <v/>
      </c>
      <c r="H169" s="241" t="str">
        <f>IF(F169="","",SUMIFS('ИТОГО Торговля'!$H$5:$H$300,'ИТОГО Торговля'!$B$5:$B$300,$B169)+SUMIFS('ИТОГО Лэндинг'!$H$5:$H$300,'ИТОГО Лэндинг'!$B$5:$B$300,$B169))</f>
        <v/>
      </c>
      <c r="I169" s="240" t="str">
        <f>IF($B169="","",IF(AND(C169="",F169=""),"",ROUND(SUMIFS('ИТОГО Торговля'!$I$5:$I$300,'ИТОГО Торговля'!$B$5:$B$300,$B169)+SUMIFS('ИТОГО Лэндинг'!$I$5:$I$300,'ИТОГО Лэндинг'!$B$5:$B$300,$B169),8)))</f>
        <v/>
      </c>
      <c r="J169" s="241" t="str">
        <f>IF($B169="","",IF(AND(C169="",F169=""),"",ROUND(SUMIFS('ИТОГО Торговля'!$J$5:$J$300,'ИТОГО Торговля'!$B$5:$B$300,$B169)+SUMIFS('ИТОГО Лэндинг'!$J$5:$J$300,'ИТОГО Лэндинг'!$B$5:$B$300,$B169),8)))</f>
        <v/>
      </c>
      <c r="K169" s="240" t="str">
        <f>IF(MIN(N(C169),N(F169))&lt;=0,"",ROUND(MIN(N(C169),N(F169))*(N(G169)-N(D169)),8))</f>
        <v/>
      </c>
      <c r="L169" s="177" t="str">
        <f>IF(MIN(N(C169),N(F169))&lt;=0,"",IF(N(D169)=0,"",ROUND((N(G169)/N(D169)-1)*100,2)))</f>
        <v/>
      </c>
      <c r="M169" s="177" t="str">
        <f>IF(OR(ROUND(N(C169)-N(F169),8)=0,1-N(Ввод!$J$19)/100&lt;=0),"",IF(N(C169)&gt;N(F169),(N(E169)-N(H169))/((N(C169)-N(F169))*(1-N(Ввод!$J$19)/100)),(N(H169)-N(E169))/((N(F169)-N(C169))*(1+N(Ввод!$J$19)/100))))</f>
        <v/>
      </c>
    </row>
    <row r="170" ht="22" customHeight="1">
      <c r="B170" s="245" t="n"/>
      <c r="C170" s="246" t="str">
        <f>IF($B170="","",IF(SUMIFS('ИТОГО Торговля'!$C$5:$C$300,'ИТОГО Торговля'!$B$5:$B$300,$B170)+SUMIFS('ИТОГО Лэндинг'!$C$5:$C$300,'ИТОГО Лэндинг'!$B$5:$B$300,$B170)=0,"",SUMIFS('ИТОГО Торговля'!$C$5:$C$300,'ИТОГО Торговля'!$B$5:$B$300,$B170)+SUMIFS('ИТОГО Лэндинг'!$C$5:$C$300,'ИТОГО Лэндинг'!$B$5:$B$300,$B170)))</f>
        <v/>
      </c>
      <c r="D170" s="183" t="str">
        <f>IF(C170="","",E170/C170)</f>
        <v/>
      </c>
      <c r="E170" s="247" t="str">
        <f>IF(C170="","",SUMIFS('ИТОГО Торговля'!$E$5:$E$300,'ИТОГО Торговля'!$B$5:$B$300,$B170)+SUMIFS('ИТОГО Лэндинг'!$E$5:$E$300,'ИТОГО Лэндинг'!$B$5:$B$300,$B170))</f>
        <v/>
      </c>
      <c r="F170" s="246" t="str">
        <f>IF($B170="","",IF(SUMIFS('ИТОГО Торговля'!$F$5:$F$300,'ИТОГО Торговля'!$B$5:$B$300,$B170)+SUMIFS('ИТОГО Лэндинг'!$F$5:$F$300,'ИТОГО Лэндинг'!$B$5:$B$300,$B170)=0,"",SUMIFS('ИТОГО Торговля'!$F$5:$F$300,'ИТОГО Торговля'!$B$5:$B$300,$B170)+SUMIFS('ИТОГО Лэндинг'!$F$5:$F$300,'ИТОГО Лэндинг'!$B$5:$B$300,$B170)))</f>
        <v/>
      </c>
      <c r="G170" s="183" t="str">
        <f>IF(F170="","",H170/F170)</f>
        <v/>
      </c>
      <c r="H170" s="247" t="str">
        <f>IF(F170="","",SUMIFS('ИТОГО Торговля'!$H$5:$H$300,'ИТОГО Торговля'!$B$5:$B$300,$B170)+SUMIFS('ИТОГО Лэндинг'!$H$5:$H$300,'ИТОГО Лэндинг'!$B$5:$B$300,$B170))</f>
        <v/>
      </c>
      <c r="I170" s="246" t="str">
        <f>IF($B170="","",IF(AND(C170="",F170=""),"",ROUND(SUMIFS('ИТОГО Торговля'!$I$5:$I$300,'ИТОГО Торговля'!$B$5:$B$300,$B170)+SUMIFS('ИТОГО Лэндинг'!$I$5:$I$300,'ИТОГО Лэндинг'!$B$5:$B$300,$B170),8)))</f>
        <v/>
      </c>
      <c r="J170" s="247" t="str">
        <f>IF($B170="","",IF(AND(C170="",F170=""),"",ROUND(SUMIFS('ИТОГО Торговля'!$J$5:$J$300,'ИТОГО Торговля'!$B$5:$B$300,$B170)+SUMIFS('ИТОГО Лэндинг'!$J$5:$J$300,'ИТОГО Лэндинг'!$B$5:$B$300,$B170),8)))</f>
        <v/>
      </c>
      <c r="K170" s="246" t="str">
        <f>IF(MIN(N(C170),N(F170))&lt;=0,"",ROUND(MIN(N(C170),N(F170))*(N(G170)-N(D170)),8))</f>
        <v/>
      </c>
      <c r="L170" s="183" t="str">
        <f>IF(MIN(N(C170),N(F170))&lt;=0,"",IF(N(D170)=0,"",ROUND((N(G170)/N(D170)-1)*100,2)))</f>
        <v/>
      </c>
      <c r="M170" s="183" t="str">
        <f>IF(OR(ROUND(N(C170)-N(F170),8)=0,1-N(Ввод!$J$19)/100&lt;=0),"",IF(N(C170)&gt;N(F170),(N(E170)-N(H170))/((N(C170)-N(F170))*(1-N(Ввод!$J$19)/100)),(N(H170)-N(E170))/((N(F170)-N(C170))*(1+N(Ввод!$J$19)/100))))</f>
        <v/>
      </c>
    </row>
    <row r="171" ht="22" customHeight="1">
      <c r="B171" s="239" t="n"/>
      <c r="C171" s="240" t="str">
        <f>IF($B171="","",IF(SUMIFS('ИТОГО Торговля'!$C$5:$C$300,'ИТОГО Торговля'!$B$5:$B$300,$B171)+SUMIFS('ИТОГО Лэндинг'!$C$5:$C$300,'ИТОГО Лэндинг'!$B$5:$B$300,$B171)=0,"",SUMIFS('ИТОГО Торговля'!$C$5:$C$300,'ИТОГО Торговля'!$B$5:$B$300,$B171)+SUMIFS('ИТОГО Лэндинг'!$C$5:$C$300,'ИТОГО Лэндинг'!$B$5:$B$300,$B171)))</f>
        <v/>
      </c>
      <c r="D171" s="177" t="str">
        <f>IF(C171="","",E171/C171)</f>
        <v/>
      </c>
      <c r="E171" s="241" t="str">
        <f>IF(C171="","",SUMIFS('ИТОГО Торговля'!$E$5:$E$300,'ИТОГО Торговля'!$B$5:$B$300,$B171)+SUMIFS('ИТОГО Лэндинг'!$E$5:$E$300,'ИТОГО Лэндинг'!$B$5:$B$300,$B171))</f>
        <v/>
      </c>
      <c r="F171" s="240" t="str">
        <f>IF($B171="","",IF(SUMIFS('ИТОГО Торговля'!$F$5:$F$300,'ИТОГО Торговля'!$B$5:$B$300,$B171)+SUMIFS('ИТОГО Лэндинг'!$F$5:$F$300,'ИТОГО Лэндинг'!$B$5:$B$300,$B171)=0,"",SUMIFS('ИТОГО Торговля'!$F$5:$F$300,'ИТОГО Торговля'!$B$5:$B$300,$B171)+SUMIFS('ИТОГО Лэндинг'!$F$5:$F$300,'ИТОГО Лэндинг'!$B$5:$B$300,$B171)))</f>
        <v/>
      </c>
      <c r="G171" s="177" t="str">
        <f>IF(F171="","",H171/F171)</f>
        <v/>
      </c>
      <c r="H171" s="241" t="str">
        <f>IF(F171="","",SUMIFS('ИТОГО Торговля'!$H$5:$H$300,'ИТОГО Торговля'!$B$5:$B$300,$B171)+SUMIFS('ИТОГО Лэндинг'!$H$5:$H$300,'ИТОГО Лэндинг'!$B$5:$B$300,$B171))</f>
        <v/>
      </c>
      <c r="I171" s="240" t="str">
        <f>IF($B171="","",IF(AND(C171="",F171=""),"",ROUND(SUMIFS('ИТОГО Торговля'!$I$5:$I$300,'ИТОГО Торговля'!$B$5:$B$300,$B171)+SUMIFS('ИТОГО Лэндинг'!$I$5:$I$300,'ИТОГО Лэндинг'!$B$5:$B$300,$B171),8)))</f>
        <v/>
      </c>
      <c r="J171" s="241" t="str">
        <f>IF($B171="","",IF(AND(C171="",F171=""),"",ROUND(SUMIFS('ИТОГО Торговля'!$J$5:$J$300,'ИТОГО Торговля'!$B$5:$B$300,$B171)+SUMIFS('ИТОГО Лэндинг'!$J$5:$J$300,'ИТОГО Лэндинг'!$B$5:$B$300,$B171),8)))</f>
        <v/>
      </c>
      <c r="K171" s="240" t="str">
        <f>IF(MIN(N(C171),N(F171))&lt;=0,"",ROUND(MIN(N(C171),N(F171))*(N(G171)-N(D171)),8))</f>
        <v/>
      </c>
      <c r="L171" s="177" t="str">
        <f>IF(MIN(N(C171),N(F171))&lt;=0,"",IF(N(D171)=0,"",ROUND((N(G171)/N(D171)-1)*100,2)))</f>
        <v/>
      </c>
      <c r="M171" s="177" t="str">
        <f>IF(OR(ROUND(N(C171)-N(F171),8)=0,1-N(Ввод!$J$19)/100&lt;=0),"",IF(N(C171)&gt;N(F171),(N(E171)-N(H171))/((N(C171)-N(F171))*(1-N(Ввод!$J$19)/100)),(N(H171)-N(E171))/((N(F171)-N(C171))*(1+N(Ввод!$J$19)/100))))</f>
        <v/>
      </c>
    </row>
    <row r="172" ht="22" customHeight="1">
      <c r="B172" s="245" t="n"/>
      <c r="C172" s="246" t="str">
        <f>IF($B172="","",IF(SUMIFS('ИТОГО Торговля'!$C$5:$C$300,'ИТОГО Торговля'!$B$5:$B$300,$B172)+SUMIFS('ИТОГО Лэндинг'!$C$5:$C$300,'ИТОГО Лэндинг'!$B$5:$B$300,$B172)=0,"",SUMIFS('ИТОГО Торговля'!$C$5:$C$300,'ИТОГО Торговля'!$B$5:$B$300,$B172)+SUMIFS('ИТОГО Лэндинг'!$C$5:$C$300,'ИТОГО Лэндинг'!$B$5:$B$300,$B172)))</f>
        <v/>
      </c>
      <c r="D172" s="183" t="str">
        <f>IF(C172="","",E172/C172)</f>
        <v/>
      </c>
      <c r="E172" s="247" t="str">
        <f>IF(C172="","",SUMIFS('ИТОГО Торговля'!$E$5:$E$300,'ИТОГО Торговля'!$B$5:$B$300,$B172)+SUMIFS('ИТОГО Лэндинг'!$E$5:$E$300,'ИТОГО Лэндинг'!$B$5:$B$300,$B172))</f>
        <v/>
      </c>
      <c r="F172" s="246" t="str">
        <f>IF($B172="","",IF(SUMIFS('ИТОГО Торговля'!$F$5:$F$300,'ИТОГО Торговля'!$B$5:$B$300,$B172)+SUMIFS('ИТОГО Лэндинг'!$F$5:$F$300,'ИТОГО Лэндинг'!$B$5:$B$300,$B172)=0,"",SUMIFS('ИТОГО Торговля'!$F$5:$F$300,'ИТОГО Торговля'!$B$5:$B$300,$B172)+SUMIFS('ИТОГО Лэндинг'!$F$5:$F$300,'ИТОГО Лэндинг'!$B$5:$B$300,$B172)))</f>
        <v/>
      </c>
      <c r="G172" s="183" t="str">
        <f>IF(F172="","",H172/F172)</f>
        <v/>
      </c>
      <c r="H172" s="247" t="str">
        <f>IF(F172="","",SUMIFS('ИТОГО Торговля'!$H$5:$H$300,'ИТОГО Торговля'!$B$5:$B$300,$B172)+SUMIFS('ИТОГО Лэндинг'!$H$5:$H$300,'ИТОГО Лэндинг'!$B$5:$B$300,$B172))</f>
        <v/>
      </c>
      <c r="I172" s="246" t="str">
        <f>IF($B172="","",IF(AND(C172="",F172=""),"",ROUND(SUMIFS('ИТОГО Торговля'!$I$5:$I$300,'ИТОГО Торговля'!$B$5:$B$300,$B172)+SUMIFS('ИТОГО Лэндинг'!$I$5:$I$300,'ИТОГО Лэндинг'!$B$5:$B$300,$B172),8)))</f>
        <v/>
      </c>
      <c r="J172" s="247" t="str">
        <f>IF($B172="","",IF(AND(C172="",F172=""),"",ROUND(SUMIFS('ИТОГО Торговля'!$J$5:$J$300,'ИТОГО Торговля'!$B$5:$B$300,$B172)+SUMIFS('ИТОГО Лэндинг'!$J$5:$J$300,'ИТОГО Лэндинг'!$B$5:$B$300,$B172),8)))</f>
        <v/>
      </c>
      <c r="K172" s="246" t="str">
        <f>IF(MIN(N(C172),N(F172))&lt;=0,"",ROUND(MIN(N(C172),N(F172))*(N(G172)-N(D172)),8))</f>
        <v/>
      </c>
      <c r="L172" s="183" t="str">
        <f>IF(MIN(N(C172),N(F172))&lt;=0,"",IF(N(D172)=0,"",ROUND((N(G172)/N(D172)-1)*100,2)))</f>
        <v/>
      </c>
      <c r="M172" s="183" t="str">
        <f>IF(OR(ROUND(N(C172)-N(F172),8)=0,1-N(Ввод!$J$19)/100&lt;=0),"",IF(N(C172)&gt;N(F172),(N(E172)-N(H172))/((N(C172)-N(F172))*(1-N(Ввод!$J$19)/100)),(N(H172)-N(E172))/((N(F172)-N(C172))*(1+N(Ввод!$J$19)/100))))</f>
        <v/>
      </c>
    </row>
    <row r="173" ht="22" customHeight="1">
      <c r="B173" s="239" t="n"/>
      <c r="C173" s="240" t="str">
        <f>IF($B173="","",IF(SUMIFS('ИТОГО Торговля'!$C$5:$C$300,'ИТОГО Торговля'!$B$5:$B$300,$B173)+SUMIFS('ИТОГО Лэндинг'!$C$5:$C$300,'ИТОГО Лэндинг'!$B$5:$B$300,$B173)=0,"",SUMIFS('ИТОГО Торговля'!$C$5:$C$300,'ИТОГО Торговля'!$B$5:$B$300,$B173)+SUMIFS('ИТОГО Лэндинг'!$C$5:$C$300,'ИТОГО Лэндинг'!$B$5:$B$300,$B173)))</f>
        <v/>
      </c>
      <c r="D173" s="177" t="str">
        <f>IF(C173="","",E173/C173)</f>
        <v/>
      </c>
      <c r="E173" s="241" t="str">
        <f>IF(C173="","",SUMIFS('ИТОГО Торговля'!$E$5:$E$300,'ИТОГО Торговля'!$B$5:$B$300,$B173)+SUMIFS('ИТОГО Лэндинг'!$E$5:$E$300,'ИТОГО Лэндинг'!$B$5:$B$300,$B173))</f>
        <v/>
      </c>
      <c r="F173" s="240" t="str">
        <f>IF($B173="","",IF(SUMIFS('ИТОГО Торговля'!$F$5:$F$300,'ИТОГО Торговля'!$B$5:$B$300,$B173)+SUMIFS('ИТОГО Лэндинг'!$F$5:$F$300,'ИТОГО Лэндинг'!$B$5:$B$300,$B173)=0,"",SUMIFS('ИТОГО Торговля'!$F$5:$F$300,'ИТОГО Торговля'!$B$5:$B$300,$B173)+SUMIFS('ИТОГО Лэндинг'!$F$5:$F$300,'ИТОГО Лэндинг'!$B$5:$B$300,$B173)))</f>
        <v/>
      </c>
      <c r="G173" s="177" t="str">
        <f>IF(F173="","",H173/F173)</f>
        <v/>
      </c>
      <c r="H173" s="241" t="str">
        <f>IF(F173="","",SUMIFS('ИТОГО Торговля'!$H$5:$H$300,'ИТОГО Торговля'!$B$5:$B$300,$B173)+SUMIFS('ИТОГО Лэндинг'!$H$5:$H$300,'ИТОГО Лэндинг'!$B$5:$B$300,$B173))</f>
        <v/>
      </c>
      <c r="I173" s="240" t="str">
        <f>IF($B173="","",IF(AND(C173="",F173=""),"",ROUND(SUMIFS('ИТОГО Торговля'!$I$5:$I$300,'ИТОГО Торговля'!$B$5:$B$300,$B173)+SUMIFS('ИТОГО Лэндинг'!$I$5:$I$300,'ИТОГО Лэндинг'!$B$5:$B$300,$B173),8)))</f>
        <v/>
      </c>
      <c r="J173" s="241" t="str">
        <f>IF($B173="","",IF(AND(C173="",F173=""),"",ROUND(SUMIFS('ИТОГО Торговля'!$J$5:$J$300,'ИТОГО Торговля'!$B$5:$B$300,$B173)+SUMIFS('ИТОГО Лэндинг'!$J$5:$J$300,'ИТОГО Лэндинг'!$B$5:$B$300,$B173),8)))</f>
        <v/>
      </c>
      <c r="K173" s="240" t="str">
        <f>IF(MIN(N(C173),N(F173))&lt;=0,"",ROUND(MIN(N(C173),N(F173))*(N(G173)-N(D173)),8))</f>
        <v/>
      </c>
      <c r="L173" s="177" t="str">
        <f>IF(MIN(N(C173),N(F173))&lt;=0,"",IF(N(D173)=0,"",ROUND((N(G173)/N(D173)-1)*100,2)))</f>
        <v/>
      </c>
      <c r="M173" s="177" t="str">
        <f>IF(OR(ROUND(N(C173)-N(F173),8)=0,1-N(Ввод!$J$19)/100&lt;=0),"",IF(N(C173)&gt;N(F173),(N(E173)-N(H173))/((N(C173)-N(F173))*(1-N(Ввод!$J$19)/100)),(N(H173)-N(E173))/((N(F173)-N(C173))*(1+N(Ввод!$J$19)/100))))</f>
        <v/>
      </c>
    </row>
    <row r="174" ht="22" customHeight="1">
      <c r="B174" s="245" t="n"/>
      <c r="C174" s="246" t="str">
        <f>IF($B174="","",IF(SUMIFS('ИТОГО Торговля'!$C$5:$C$300,'ИТОГО Торговля'!$B$5:$B$300,$B174)+SUMIFS('ИТОГО Лэндинг'!$C$5:$C$300,'ИТОГО Лэндинг'!$B$5:$B$300,$B174)=0,"",SUMIFS('ИТОГО Торговля'!$C$5:$C$300,'ИТОГО Торговля'!$B$5:$B$300,$B174)+SUMIFS('ИТОГО Лэндинг'!$C$5:$C$300,'ИТОГО Лэндинг'!$B$5:$B$300,$B174)))</f>
        <v/>
      </c>
      <c r="D174" s="183" t="str">
        <f>IF(C174="","",E174/C174)</f>
        <v/>
      </c>
      <c r="E174" s="247" t="str">
        <f>IF(C174="","",SUMIFS('ИТОГО Торговля'!$E$5:$E$300,'ИТОГО Торговля'!$B$5:$B$300,$B174)+SUMIFS('ИТОГО Лэндинг'!$E$5:$E$300,'ИТОГО Лэндинг'!$B$5:$B$300,$B174))</f>
        <v/>
      </c>
      <c r="F174" s="246" t="str">
        <f>IF($B174="","",IF(SUMIFS('ИТОГО Торговля'!$F$5:$F$300,'ИТОГО Торговля'!$B$5:$B$300,$B174)+SUMIFS('ИТОГО Лэндинг'!$F$5:$F$300,'ИТОГО Лэндинг'!$B$5:$B$300,$B174)=0,"",SUMIFS('ИТОГО Торговля'!$F$5:$F$300,'ИТОГО Торговля'!$B$5:$B$300,$B174)+SUMIFS('ИТОГО Лэндинг'!$F$5:$F$300,'ИТОГО Лэндинг'!$B$5:$B$300,$B174)))</f>
        <v/>
      </c>
      <c r="G174" s="183" t="str">
        <f>IF(F174="","",H174/F174)</f>
        <v/>
      </c>
      <c r="H174" s="247" t="str">
        <f>IF(F174="","",SUMIFS('ИТОГО Торговля'!$H$5:$H$300,'ИТОГО Торговля'!$B$5:$B$300,$B174)+SUMIFS('ИТОГО Лэндинг'!$H$5:$H$300,'ИТОГО Лэндинг'!$B$5:$B$300,$B174))</f>
        <v/>
      </c>
      <c r="I174" s="246" t="str">
        <f>IF($B174="","",IF(AND(C174="",F174=""),"",ROUND(SUMIFS('ИТОГО Торговля'!$I$5:$I$300,'ИТОГО Торговля'!$B$5:$B$300,$B174)+SUMIFS('ИТОГО Лэндинг'!$I$5:$I$300,'ИТОГО Лэндинг'!$B$5:$B$300,$B174),8)))</f>
        <v/>
      </c>
      <c r="J174" s="247" t="str">
        <f>IF($B174="","",IF(AND(C174="",F174=""),"",ROUND(SUMIFS('ИТОГО Торговля'!$J$5:$J$300,'ИТОГО Торговля'!$B$5:$B$300,$B174)+SUMIFS('ИТОГО Лэндинг'!$J$5:$J$300,'ИТОГО Лэндинг'!$B$5:$B$300,$B174),8)))</f>
        <v/>
      </c>
      <c r="K174" s="246" t="str">
        <f>IF(MIN(N(C174),N(F174))&lt;=0,"",ROUND(MIN(N(C174),N(F174))*(N(G174)-N(D174)),8))</f>
        <v/>
      </c>
      <c r="L174" s="183" t="str">
        <f>IF(MIN(N(C174),N(F174))&lt;=0,"",IF(N(D174)=0,"",ROUND((N(G174)/N(D174)-1)*100,2)))</f>
        <v/>
      </c>
      <c r="M174" s="183" t="str">
        <f>IF(OR(ROUND(N(C174)-N(F174),8)=0,1-N(Ввод!$J$19)/100&lt;=0),"",IF(N(C174)&gt;N(F174),(N(E174)-N(H174))/((N(C174)-N(F174))*(1-N(Ввод!$J$19)/100)),(N(H174)-N(E174))/((N(F174)-N(C174))*(1+N(Ввод!$J$19)/100))))</f>
        <v/>
      </c>
    </row>
    <row r="175" ht="22" customHeight="1">
      <c r="B175" s="239" t="n"/>
      <c r="C175" s="240" t="str">
        <f>IF($B175="","",IF(SUMIFS('ИТОГО Торговля'!$C$5:$C$300,'ИТОГО Торговля'!$B$5:$B$300,$B175)+SUMIFS('ИТОГО Лэндинг'!$C$5:$C$300,'ИТОГО Лэндинг'!$B$5:$B$300,$B175)=0,"",SUMIFS('ИТОГО Торговля'!$C$5:$C$300,'ИТОГО Торговля'!$B$5:$B$300,$B175)+SUMIFS('ИТОГО Лэндинг'!$C$5:$C$300,'ИТОГО Лэндинг'!$B$5:$B$300,$B175)))</f>
        <v/>
      </c>
      <c r="D175" s="177" t="str">
        <f>IF(C175="","",E175/C175)</f>
        <v/>
      </c>
      <c r="E175" s="241" t="str">
        <f>IF(C175="","",SUMIFS('ИТОГО Торговля'!$E$5:$E$300,'ИТОГО Торговля'!$B$5:$B$300,$B175)+SUMIFS('ИТОГО Лэндинг'!$E$5:$E$300,'ИТОГО Лэндинг'!$B$5:$B$300,$B175))</f>
        <v/>
      </c>
      <c r="F175" s="240" t="str">
        <f>IF($B175="","",IF(SUMIFS('ИТОГО Торговля'!$F$5:$F$300,'ИТОГО Торговля'!$B$5:$B$300,$B175)+SUMIFS('ИТОГО Лэндинг'!$F$5:$F$300,'ИТОГО Лэндинг'!$B$5:$B$300,$B175)=0,"",SUMIFS('ИТОГО Торговля'!$F$5:$F$300,'ИТОГО Торговля'!$B$5:$B$300,$B175)+SUMIFS('ИТОГО Лэндинг'!$F$5:$F$300,'ИТОГО Лэндинг'!$B$5:$B$300,$B175)))</f>
        <v/>
      </c>
      <c r="G175" s="177" t="str">
        <f>IF(F175="","",H175/F175)</f>
        <v/>
      </c>
      <c r="H175" s="241" t="str">
        <f>IF(F175="","",SUMIFS('ИТОГО Торговля'!$H$5:$H$300,'ИТОГО Торговля'!$B$5:$B$300,$B175)+SUMIFS('ИТОГО Лэндинг'!$H$5:$H$300,'ИТОГО Лэндинг'!$B$5:$B$300,$B175))</f>
        <v/>
      </c>
      <c r="I175" s="240" t="str">
        <f>IF($B175="","",IF(AND(C175="",F175=""),"",ROUND(SUMIFS('ИТОГО Торговля'!$I$5:$I$300,'ИТОГО Торговля'!$B$5:$B$300,$B175)+SUMIFS('ИТОГО Лэндинг'!$I$5:$I$300,'ИТОГО Лэндинг'!$B$5:$B$300,$B175),8)))</f>
        <v/>
      </c>
      <c r="J175" s="241" t="str">
        <f>IF($B175="","",IF(AND(C175="",F175=""),"",ROUND(SUMIFS('ИТОГО Торговля'!$J$5:$J$300,'ИТОГО Торговля'!$B$5:$B$300,$B175)+SUMIFS('ИТОГО Лэндинг'!$J$5:$J$300,'ИТОГО Лэндинг'!$B$5:$B$300,$B175),8)))</f>
        <v/>
      </c>
      <c r="K175" s="240" t="str">
        <f>IF(MIN(N(C175),N(F175))&lt;=0,"",ROUND(MIN(N(C175),N(F175))*(N(G175)-N(D175)),8))</f>
        <v/>
      </c>
      <c r="L175" s="177" t="str">
        <f>IF(MIN(N(C175),N(F175))&lt;=0,"",IF(N(D175)=0,"",ROUND((N(G175)/N(D175)-1)*100,2)))</f>
        <v/>
      </c>
      <c r="M175" s="177" t="str">
        <f>IF(OR(ROUND(N(C175)-N(F175),8)=0,1-N(Ввод!$J$19)/100&lt;=0),"",IF(N(C175)&gt;N(F175),(N(E175)-N(H175))/((N(C175)-N(F175))*(1-N(Ввод!$J$19)/100)),(N(H175)-N(E175))/((N(F175)-N(C175))*(1+N(Ввод!$J$19)/100))))</f>
        <v/>
      </c>
    </row>
    <row r="176" ht="22" customHeight="1">
      <c r="B176" s="245" t="n"/>
      <c r="C176" s="246" t="str">
        <f>IF($B176="","",IF(SUMIFS('ИТОГО Торговля'!$C$5:$C$300,'ИТОГО Торговля'!$B$5:$B$300,$B176)+SUMIFS('ИТОГО Лэндинг'!$C$5:$C$300,'ИТОГО Лэндинг'!$B$5:$B$300,$B176)=0,"",SUMIFS('ИТОГО Торговля'!$C$5:$C$300,'ИТОГО Торговля'!$B$5:$B$300,$B176)+SUMIFS('ИТОГО Лэндинг'!$C$5:$C$300,'ИТОГО Лэндинг'!$B$5:$B$300,$B176)))</f>
        <v/>
      </c>
      <c r="D176" s="183" t="str">
        <f>IF(C176="","",E176/C176)</f>
        <v/>
      </c>
      <c r="E176" s="247" t="str">
        <f>IF(C176="","",SUMIFS('ИТОГО Торговля'!$E$5:$E$300,'ИТОГО Торговля'!$B$5:$B$300,$B176)+SUMIFS('ИТОГО Лэндинг'!$E$5:$E$300,'ИТОГО Лэндинг'!$B$5:$B$300,$B176))</f>
        <v/>
      </c>
      <c r="F176" s="246" t="str">
        <f>IF($B176="","",IF(SUMIFS('ИТОГО Торговля'!$F$5:$F$300,'ИТОГО Торговля'!$B$5:$B$300,$B176)+SUMIFS('ИТОГО Лэндинг'!$F$5:$F$300,'ИТОГО Лэндинг'!$B$5:$B$300,$B176)=0,"",SUMIFS('ИТОГО Торговля'!$F$5:$F$300,'ИТОГО Торговля'!$B$5:$B$300,$B176)+SUMIFS('ИТОГО Лэндинг'!$F$5:$F$300,'ИТОГО Лэндинг'!$B$5:$B$300,$B176)))</f>
        <v/>
      </c>
      <c r="G176" s="183" t="str">
        <f>IF(F176="","",H176/F176)</f>
        <v/>
      </c>
      <c r="H176" s="247" t="str">
        <f>IF(F176="","",SUMIFS('ИТОГО Торговля'!$H$5:$H$300,'ИТОГО Торговля'!$B$5:$B$300,$B176)+SUMIFS('ИТОГО Лэндинг'!$H$5:$H$300,'ИТОГО Лэндинг'!$B$5:$B$300,$B176))</f>
        <v/>
      </c>
      <c r="I176" s="246" t="str">
        <f>IF($B176="","",IF(AND(C176="",F176=""),"",ROUND(SUMIFS('ИТОГО Торговля'!$I$5:$I$300,'ИТОГО Торговля'!$B$5:$B$300,$B176)+SUMIFS('ИТОГО Лэндинг'!$I$5:$I$300,'ИТОГО Лэндинг'!$B$5:$B$300,$B176),8)))</f>
        <v/>
      </c>
      <c r="J176" s="247" t="str">
        <f>IF($B176="","",IF(AND(C176="",F176=""),"",ROUND(SUMIFS('ИТОГО Торговля'!$J$5:$J$300,'ИТОГО Торговля'!$B$5:$B$300,$B176)+SUMIFS('ИТОГО Лэндинг'!$J$5:$J$300,'ИТОГО Лэндинг'!$B$5:$B$300,$B176),8)))</f>
        <v/>
      </c>
      <c r="K176" s="246" t="str">
        <f>IF(MIN(N(C176),N(F176))&lt;=0,"",ROUND(MIN(N(C176),N(F176))*(N(G176)-N(D176)),8))</f>
        <v/>
      </c>
      <c r="L176" s="183" t="str">
        <f>IF(MIN(N(C176),N(F176))&lt;=0,"",IF(N(D176)=0,"",ROUND((N(G176)/N(D176)-1)*100,2)))</f>
        <v/>
      </c>
      <c r="M176" s="183" t="str">
        <f>IF(OR(ROUND(N(C176)-N(F176),8)=0,1-N(Ввод!$J$19)/100&lt;=0),"",IF(N(C176)&gt;N(F176),(N(E176)-N(H176))/((N(C176)-N(F176))*(1-N(Ввод!$J$19)/100)),(N(H176)-N(E176))/((N(F176)-N(C176))*(1+N(Ввод!$J$19)/100))))</f>
        <v/>
      </c>
    </row>
    <row r="177" ht="22" customHeight="1">
      <c r="B177" s="239" t="n"/>
      <c r="C177" s="240" t="str">
        <f>IF($B177="","",IF(SUMIFS('ИТОГО Торговля'!$C$5:$C$300,'ИТОГО Торговля'!$B$5:$B$300,$B177)+SUMIFS('ИТОГО Лэндинг'!$C$5:$C$300,'ИТОГО Лэндинг'!$B$5:$B$300,$B177)=0,"",SUMIFS('ИТОГО Торговля'!$C$5:$C$300,'ИТОГО Торговля'!$B$5:$B$300,$B177)+SUMIFS('ИТОГО Лэндинг'!$C$5:$C$300,'ИТОГО Лэндинг'!$B$5:$B$300,$B177)))</f>
        <v/>
      </c>
      <c r="D177" s="177" t="str">
        <f>IF(C177="","",E177/C177)</f>
        <v/>
      </c>
      <c r="E177" s="241" t="str">
        <f>IF(C177="","",SUMIFS('ИТОГО Торговля'!$E$5:$E$300,'ИТОГО Торговля'!$B$5:$B$300,$B177)+SUMIFS('ИТОГО Лэндинг'!$E$5:$E$300,'ИТОГО Лэндинг'!$B$5:$B$300,$B177))</f>
        <v/>
      </c>
      <c r="F177" s="240" t="str">
        <f>IF($B177="","",IF(SUMIFS('ИТОГО Торговля'!$F$5:$F$300,'ИТОГО Торговля'!$B$5:$B$300,$B177)+SUMIFS('ИТОГО Лэндинг'!$F$5:$F$300,'ИТОГО Лэндинг'!$B$5:$B$300,$B177)=0,"",SUMIFS('ИТОГО Торговля'!$F$5:$F$300,'ИТОГО Торговля'!$B$5:$B$300,$B177)+SUMIFS('ИТОГО Лэндинг'!$F$5:$F$300,'ИТОГО Лэндинг'!$B$5:$B$300,$B177)))</f>
        <v/>
      </c>
      <c r="G177" s="177" t="str">
        <f>IF(F177="","",H177/F177)</f>
        <v/>
      </c>
      <c r="H177" s="241" t="str">
        <f>IF(F177="","",SUMIFS('ИТОГО Торговля'!$H$5:$H$300,'ИТОГО Торговля'!$B$5:$B$300,$B177)+SUMIFS('ИТОГО Лэндинг'!$H$5:$H$300,'ИТОГО Лэндинг'!$B$5:$B$300,$B177))</f>
        <v/>
      </c>
      <c r="I177" s="240" t="str">
        <f>IF($B177="","",IF(AND(C177="",F177=""),"",ROUND(SUMIFS('ИТОГО Торговля'!$I$5:$I$300,'ИТОГО Торговля'!$B$5:$B$300,$B177)+SUMIFS('ИТОГО Лэндинг'!$I$5:$I$300,'ИТОГО Лэндинг'!$B$5:$B$300,$B177),8)))</f>
        <v/>
      </c>
      <c r="J177" s="241" t="str">
        <f>IF($B177="","",IF(AND(C177="",F177=""),"",ROUND(SUMIFS('ИТОГО Торговля'!$J$5:$J$300,'ИТОГО Торговля'!$B$5:$B$300,$B177)+SUMIFS('ИТОГО Лэндинг'!$J$5:$J$300,'ИТОГО Лэндинг'!$B$5:$B$300,$B177),8)))</f>
        <v/>
      </c>
      <c r="K177" s="240" t="str">
        <f>IF(MIN(N(C177),N(F177))&lt;=0,"",ROUND(MIN(N(C177),N(F177))*(N(G177)-N(D177)),8))</f>
        <v/>
      </c>
      <c r="L177" s="177" t="str">
        <f>IF(MIN(N(C177),N(F177))&lt;=0,"",IF(N(D177)=0,"",ROUND((N(G177)/N(D177)-1)*100,2)))</f>
        <v/>
      </c>
      <c r="M177" s="177" t="str">
        <f>IF(OR(ROUND(N(C177)-N(F177),8)=0,1-N(Ввод!$J$19)/100&lt;=0),"",IF(N(C177)&gt;N(F177),(N(E177)-N(H177))/((N(C177)-N(F177))*(1-N(Ввод!$J$19)/100)),(N(H177)-N(E177))/((N(F177)-N(C177))*(1+N(Ввод!$J$19)/100))))</f>
        <v/>
      </c>
    </row>
    <row r="178" ht="22" customHeight="1">
      <c r="B178" s="245" t="n"/>
      <c r="C178" s="246" t="str">
        <f>IF($B178="","",IF(SUMIFS('ИТОГО Торговля'!$C$5:$C$300,'ИТОГО Торговля'!$B$5:$B$300,$B178)+SUMIFS('ИТОГО Лэндинг'!$C$5:$C$300,'ИТОГО Лэндинг'!$B$5:$B$300,$B178)=0,"",SUMIFS('ИТОГО Торговля'!$C$5:$C$300,'ИТОГО Торговля'!$B$5:$B$300,$B178)+SUMIFS('ИТОГО Лэндинг'!$C$5:$C$300,'ИТОГО Лэндинг'!$B$5:$B$300,$B178)))</f>
        <v/>
      </c>
      <c r="D178" s="183" t="str">
        <f>IF(C178="","",E178/C178)</f>
        <v/>
      </c>
      <c r="E178" s="247" t="str">
        <f>IF(C178="","",SUMIFS('ИТОГО Торговля'!$E$5:$E$300,'ИТОГО Торговля'!$B$5:$B$300,$B178)+SUMIFS('ИТОГО Лэндинг'!$E$5:$E$300,'ИТОГО Лэндинг'!$B$5:$B$300,$B178))</f>
        <v/>
      </c>
      <c r="F178" s="246" t="str">
        <f>IF($B178="","",IF(SUMIFS('ИТОГО Торговля'!$F$5:$F$300,'ИТОГО Торговля'!$B$5:$B$300,$B178)+SUMIFS('ИТОГО Лэндинг'!$F$5:$F$300,'ИТОГО Лэндинг'!$B$5:$B$300,$B178)=0,"",SUMIFS('ИТОГО Торговля'!$F$5:$F$300,'ИТОГО Торговля'!$B$5:$B$300,$B178)+SUMIFS('ИТОГО Лэндинг'!$F$5:$F$300,'ИТОГО Лэндинг'!$B$5:$B$300,$B178)))</f>
        <v/>
      </c>
      <c r="G178" s="183" t="str">
        <f>IF(F178="","",H178/F178)</f>
        <v/>
      </c>
      <c r="H178" s="247" t="str">
        <f>IF(F178="","",SUMIFS('ИТОГО Торговля'!$H$5:$H$300,'ИТОГО Торговля'!$B$5:$B$300,$B178)+SUMIFS('ИТОГО Лэндинг'!$H$5:$H$300,'ИТОГО Лэндинг'!$B$5:$B$300,$B178))</f>
        <v/>
      </c>
      <c r="I178" s="246" t="str">
        <f>IF($B178="","",IF(AND(C178="",F178=""),"",ROUND(SUMIFS('ИТОГО Торговля'!$I$5:$I$300,'ИТОГО Торговля'!$B$5:$B$300,$B178)+SUMIFS('ИТОГО Лэндинг'!$I$5:$I$300,'ИТОГО Лэндинг'!$B$5:$B$300,$B178),8)))</f>
        <v/>
      </c>
      <c r="J178" s="247" t="str">
        <f>IF($B178="","",IF(AND(C178="",F178=""),"",ROUND(SUMIFS('ИТОГО Торговля'!$J$5:$J$300,'ИТОГО Торговля'!$B$5:$B$300,$B178)+SUMIFS('ИТОГО Лэндинг'!$J$5:$J$300,'ИТОГО Лэндинг'!$B$5:$B$300,$B178),8)))</f>
        <v/>
      </c>
      <c r="K178" s="246" t="str">
        <f>IF(MIN(N(C178),N(F178))&lt;=0,"",ROUND(MIN(N(C178),N(F178))*(N(G178)-N(D178)),8))</f>
        <v/>
      </c>
      <c r="L178" s="183" t="str">
        <f>IF(MIN(N(C178),N(F178))&lt;=0,"",IF(N(D178)=0,"",ROUND((N(G178)/N(D178)-1)*100,2)))</f>
        <v/>
      </c>
      <c r="M178" s="183" t="str">
        <f>IF(OR(ROUND(N(C178)-N(F178),8)=0,1-N(Ввод!$J$19)/100&lt;=0),"",IF(N(C178)&gt;N(F178),(N(E178)-N(H178))/((N(C178)-N(F178))*(1-N(Ввод!$J$19)/100)),(N(H178)-N(E178))/((N(F178)-N(C178))*(1+N(Ввод!$J$19)/100))))</f>
        <v/>
      </c>
    </row>
    <row r="179" ht="22" customHeight="1">
      <c r="B179" s="239" t="n"/>
      <c r="C179" s="240" t="str">
        <f>IF($B179="","",IF(SUMIFS('ИТОГО Торговля'!$C$5:$C$300,'ИТОГО Торговля'!$B$5:$B$300,$B179)+SUMIFS('ИТОГО Лэндинг'!$C$5:$C$300,'ИТОГО Лэндинг'!$B$5:$B$300,$B179)=0,"",SUMIFS('ИТОГО Торговля'!$C$5:$C$300,'ИТОГО Торговля'!$B$5:$B$300,$B179)+SUMIFS('ИТОГО Лэндинг'!$C$5:$C$300,'ИТОГО Лэндинг'!$B$5:$B$300,$B179)))</f>
        <v/>
      </c>
      <c r="D179" s="177" t="str">
        <f>IF(C179="","",E179/C179)</f>
        <v/>
      </c>
      <c r="E179" s="241" t="str">
        <f>IF(C179="","",SUMIFS('ИТОГО Торговля'!$E$5:$E$300,'ИТОГО Торговля'!$B$5:$B$300,$B179)+SUMIFS('ИТОГО Лэндинг'!$E$5:$E$300,'ИТОГО Лэндинг'!$B$5:$B$300,$B179))</f>
        <v/>
      </c>
      <c r="F179" s="240" t="str">
        <f>IF($B179="","",IF(SUMIFS('ИТОГО Торговля'!$F$5:$F$300,'ИТОГО Торговля'!$B$5:$B$300,$B179)+SUMIFS('ИТОГО Лэндинг'!$F$5:$F$300,'ИТОГО Лэндинг'!$B$5:$B$300,$B179)=0,"",SUMIFS('ИТОГО Торговля'!$F$5:$F$300,'ИТОГО Торговля'!$B$5:$B$300,$B179)+SUMIFS('ИТОГО Лэндинг'!$F$5:$F$300,'ИТОГО Лэндинг'!$B$5:$B$300,$B179)))</f>
        <v/>
      </c>
      <c r="G179" s="177" t="str">
        <f>IF(F179="","",H179/F179)</f>
        <v/>
      </c>
      <c r="H179" s="241" t="str">
        <f>IF(F179="","",SUMIFS('ИТОГО Торговля'!$H$5:$H$300,'ИТОГО Торговля'!$B$5:$B$300,$B179)+SUMIFS('ИТОГО Лэндинг'!$H$5:$H$300,'ИТОГО Лэндинг'!$B$5:$B$300,$B179))</f>
        <v/>
      </c>
      <c r="I179" s="240" t="str">
        <f>IF($B179="","",IF(AND(C179="",F179=""),"",ROUND(SUMIFS('ИТОГО Торговля'!$I$5:$I$300,'ИТОГО Торговля'!$B$5:$B$300,$B179)+SUMIFS('ИТОГО Лэндинг'!$I$5:$I$300,'ИТОГО Лэндинг'!$B$5:$B$300,$B179),8)))</f>
        <v/>
      </c>
      <c r="J179" s="241" t="str">
        <f>IF($B179="","",IF(AND(C179="",F179=""),"",ROUND(SUMIFS('ИТОГО Торговля'!$J$5:$J$300,'ИТОГО Торговля'!$B$5:$B$300,$B179)+SUMIFS('ИТОГО Лэндинг'!$J$5:$J$300,'ИТОГО Лэндинг'!$B$5:$B$300,$B179),8)))</f>
        <v/>
      </c>
      <c r="K179" s="240" t="str">
        <f>IF(MIN(N(C179),N(F179))&lt;=0,"",ROUND(MIN(N(C179),N(F179))*(N(G179)-N(D179)),8))</f>
        <v/>
      </c>
      <c r="L179" s="177" t="str">
        <f>IF(MIN(N(C179),N(F179))&lt;=0,"",IF(N(D179)=0,"",ROUND((N(G179)/N(D179)-1)*100,2)))</f>
        <v/>
      </c>
      <c r="M179" s="177" t="str">
        <f>IF(OR(ROUND(N(C179)-N(F179),8)=0,1-N(Ввод!$J$19)/100&lt;=0),"",IF(N(C179)&gt;N(F179),(N(E179)-N(H179))/((N(C179)-N(F179))*(1-N(Ввод!$J$19)/100)),(N(H179)-N(E179))/((N(F179)-N(C179))*(1+N(Ввод!$J$19)/100))))</f>
        <v/>
      </c>
    </row>
    <row r="180" ht="22" customHeight="1">
      <c r="B180" s="245" t="n"/>
      <c r="C180" s="246" t="str">
        <f>IF($B180="","",IF(SUMIFS('ИТОГО Торговля'!$C$5:$C$300,'ИТОГО Торговля'!$B$5:$B$300,$B180)+SUMIFS('ИТОГО Лэндинг'!$C$5:$C$300,'ИТОГО Лэндинг'!$B$5:$B$300,$B180)=0,"",SUMIFS('ИТОГО Торговля'!$C$5:$C$300,'ИТОГО Торговля'!$B$5:$B$300,$B180)+SUMIFS('ИТОГО Лэндинг'!$C$5:$C$300,'ИТОГО Лэндинг'!$B$5:$B$300,$B180)))</f>
        <v/>
      </c>
      <c r="D180" s="183" t="str">
        <f>IF(C180="","",E180/C180)</f>
        <v/>
      </c>
      <c r="E180" s="247" t="str">
        <f>IF(C180="","",SUMIFS('ИТОГО Торговля'!$E$5:$E$300,'ИТОГО Торговля'!$B$5:$B$300,$B180)+SUMIFS('ИТОГО Лэндинг'!$E$5:$E$300,'ИТОГО Лэндинг'!$B$5:$B$300,$B180))</f>
        <v/>
      </c>
      <c r="F180" s="246" t="str">
        <f>IF($B180="","",IF(SUMIFS('ИТОГО Торговля'!$F$5:$F$300,'ИТОГО Торговля'!$B$5:$B$300,$B180)+SUMIFS('ИТОГО Лэндинг'!$F$5:$F$300,'ИТОГО Лэндинг'!$B$5:$B$300,$B180)=0,"",SUMIFS('ИТОГО Торговля'!$F$5:$F$300,'ИТОГО Торговля'!$B$5:$B$300,$B180)+SUMIFS('ИТОГО Лэндинг'!$F$5:$F$300,'ИТОГО Лэндинг'!$B$5:$B$300,$B180)))</f>
        <v/>
      </c>
      <c r="G180" s="183" t="str">
        <f>IF(F180="","",H180/F180)</f>
        <v/>
      </c>
      <c r="H180" s="247" t="str">
        <f>IF(F180="","",SUMIFS('ИТОГО Торговля'!$H$5:$H$300,'ИТОГО Торговля'!$B$5:$B$300,$B180)+SUMIFS('ИТОГО Лэндинг'!$H$5:$H$300,'ИТОГО Лэндинг'!$B$5:$B$300,$B180))</f>
        <v/>
      </c>
      <c r="I180" s="246" t="str">
        <f>IF($B180="","",IF(AND(C180="",F180=""),"",ROUND(SUMIFS('ИТОГО Торговля'!$I$5:$I$300,'ИТОГО Торговля'!$B$5:$B$300,$B180)+SUMIFS('ИТОГО Лэндинг'!$I$5:$I$300,'ИТОГО Лэндинг'!$B$5:$B$300,$B180),8)))</f>
        <v/>
      </c>
      <c r="J180" s="247" t="str">
        <f>IF($B180="","",IF(AND(C180="",F180=""),"",ROUND(SUMIFS('ИТОГО Торговля'!$J$5:$J$300,'ИТОГО Торговля'!$B$5:$B$300,$B180)+SUMIFS('ИТОГО Лэндинг'!$J$5:$J$300,'ИТОГО Лэндинг'!$B$5:$B$300,$B180),8)))</f>
        <v/>
      </c>
      <c r="K180" s="246" t="str">
        <f>IF(MIN(N(C180),N(F180))&lt;=0,"",ROUND(MIN(N(C180),N(F180))*(N(G180)-N(D180)),8))</f>
        <v/>
      </c>
      <c r="L180" s="183" t="str">
        <f>IF(MIN(N(C180),N(F180))&lt;=0,"",IF(N(D180)=0,"",ROUND((N(G180)/N(D180)-1)*100,2)))</f>
        <v/>
      </c>
      <c r="M180" s="183" t="str">
        <f>IF(OR(ROUND(N(C180)-N(F180),8)=0,1-N(Ввод!$J$19)/100&lt;=0),"",IF(N(C180)&gt;N(F180),(N(E180)-N(H180))/((N(C180)-N(F180))*(1-N(Ввод!$J$19)/100)),(N(H180)-N(E180))/((N(F180)-N(C180))*(1+N(Ввод!$J$19)/100))))</f>
        <v/>
      </c>
    </row>
    <row r="181" ht="22" customHeight="1">
      <c r="B181" s="239" t="n"/>
      <c r="C181" s="240" t="str">
        <f>IF($B181="","",IF(SUMIFS('ИТОГО Торговля'!$C$5:$C$300,'ИТОГО Торговля'!$B$5:$B$300,$B181)+SUMIFS('ИТОГО Лэндинг'!$C$5:$C$300,'ИТОГО Лэндинг'!$B$5:$B$300,$B181)=0,"",SUMIFS('ИТОГО Торговля'!$C$5:$C$300,'ИТОГО Торговля'!$B$5:$B$300,$B181)+SUMIFS('ИТОГО Лэндинг'!$C$5:$C$300,'ИТОГО Лэндинг'!$B$5:$B$300,$B181)))</f>
        <v/>
      </c>
      <c r="D181" s="177" t="str">
        <f>IF(C181="","",E181/C181)</f>
        <v/>
      </c>
      <c r="E181" s="241" t="str">
        <f>IF(C181="","",SUMIFS('ИТОГО Торговля'!$E$5:$E$300,'ИТОГО Торговля'!$B$5:$B$300,$B181)+SUMIFS('ИТОГО Лэндинг'!$E$5:$E$300,'ИТОГО Лэндинг'!$B$5:$B$300,$B181))</f>
        <v/>
      </c>
      <c r="F181" s="240" t="str">
        <f>IF($B181="","",IF(SUMIFS('ИТОГО Торговля'!$F$5:$F$300,'ИТОГО Торговля'!$B$5:$B$300,$B181)+SUMIFS('ИТОГО Лэндинг'!$F$5:$F$300,'ИТОГО Лэндинг'!$B$5:$B$300,$B181)=0,"",SUMIFS('ИТОГО Торговля'!$F$5:$F$300,'ИТОГО Торговля'!$B$5:$B$300,$B181)+SUMIFS('ИТОГО Лэндинг'!$F$5:$F$300,'ИТОГО Лэндинг'!$B$5:$B$300,$B181)))</f>
        <v/>
      </c>
      <c r="G181" s="177" t="str">
        <f>IF(F181="","",H181/F181)</f>
        <v/>
      </c>
      <c r="H181" s="241" t="str">
        <f>IF(F181="","",SUMIFS('ИТОГО Торговля'!$H$5:$H$300,'ИТОГО Торговля'!$B$5:$B$300,$B181)+SUMIFS('ИТОГО Лэндинг'!$H$5:$H$300,'ИТОГО Лэндинг'!$B$5:$B$300,$B181))</f>
        <v/>
      </c>
      <c r="I181" s="240" t="str">
        <f>IF($B181="","",IF(AND(C181="",F181=""),"",ROUND(SUMIFS('ИТОГО Торговля'!$I$5:$I$300,'ИТОГО Торговля'!$B$5:$B$300,$B181)+SUMIFS('ИТОГО Лэндинг'!$I$5:$I$300,'ИТОГО Лэндинг'!$B$5:$B$300,$B181),8)))</f>
        <v/>
      </c>
      <c r="J181" s="241" t="str">
        <f>IF($B181="","",IF(AND(C181="",F181=""),"",ROUND(SUMIFS('ИТОГО Торговля'!$J$5:$J$300,'ИТОГО Торговля'!$B$5:$B$300,$B181)+SUMIFS('ИТОГО Лэндинг'!$J$5:$J$300,'ИТОГО Лэндинг'!$B$5:$B$300,$B181),8)))</f>
        <v/>
      </c>
      <c r="K181" s="240" t="str">
        <f>IF(MIN(N(C181),N(F181))&lt;=0,"",ROUND(MIN(N(C181),N(F181))*(N(G181)-N(D181)),8))</f>
        <v/>
      </c>
      <c r="L181" s="177" t="str">
        <f>IF(MIN(N(C181),N(F181))&lt;=0,"",IF(N(D181)=0,"",ROUND((N(G181)/N(D181)-1)*100,2)))</f>
        <v/>
      </c>
      <c r="M181" s="177" t="str">
        <f>IF(OR(ROUND(N(C181)-N(F181),8)=0,1-N(Ввод!$J$19)/100&lt;=0),"",IF(N(C181)&gt;N(F181),(N(E181)-N(H181))/((N(C181)-N(F181))*(1-N(Ввод!$J$19)/100)),(N(H181)-N(E181))/((N(F181)-N(C181))*(1+N(Ввод!$J$19)/100))))</f>
        <v/>
      </c>
    </row>
    <row r="182" ht="22" customHeight="1">
      <c r="B182" s="245" t="n"/>
      <c r="C182" s="246" t="str">
        <f>IF($B182="","",IF(SUMIFS('ИТОГО Торговля'!$C$5:$C$300,'ИТОГО Торговля'!$B$5:$B$300,$B182)+SUMIFS('ИТОГО Лэндинг'!$C$5:$C$300,'ИТОГО Лэндинг'!$B$5:$B$300,$B182)=0,"",SUMIFS('ИТОГО Торговля'!$C$5:$C$300,'ИТОГО Торговля'!$B$5:$B$300,$B182)+SUMIFS('ИТОГО Лэндинг'!$C$5:$C$300,'ИТОГО Лэндинг'!$B$5:$B$300,$B182)))</f>
        <v/>
      </c>
      <c r="D182" s="183" t="str">
        <f>IF(C182="","",E182/C182)</f>
        <v/>
      </c>
      <c r="E182" s="247" t="str">
        <f>IF(C182="","",SUMIFS('ИТОГО Торговля'!$E$5:$E$300,'ИТОГО Торговля'!$B$5:$B$300,$B182)+SUMIFS('ИТОГО Лэндинг'!$E$5:$E$300,'ИТОГО Лэндинг'!$B$5:$B$300,$B182))</f>
        <v/>
      </c>
      <c r="F182" s="246" t="str">
        <f>IF($B182="","",IF(SUMIFS('ИТОГО Торговля'!$F$5:$F$300,'ИТОГО Торговля'!$B$5:$B$300,$B182)+SUMIFS('ИТОГО Лэндинг'!$F$5:$F$300,'ИТОГО Лэндинг'!$B$5:$B$300,$B182)=0,"",SUMIFS('ИТОГО Торговля'!$F$5:$F$300,'ИТОГО Торговля'!$B$5:$B$300,$B182)+SUMIFS('ИТОГО Лэндинг'!$F$5:$F$300,'ИТОГО Лэндинг'!$B$5:$B$300,$B182)))</f>
        <v/>
      </c>
      <c r="G182" s="183" t="str">
        <f>IF(F182="","",H182/F182)</f>
        <v/>
      </c>
      <c r="H182" s="247" t="str">
        <f>IF(F182="","",SUMIFS('ИТОГО Торговля'!$H$5:$H$300,'ИТОГО Торговля'!$B$5:$B$300,$B182)+SUMIFS('ИТОГО Лэндинг'!$H$5:$H$300,'ИТОГО Лэндинг'!$B$5:$B$300,$B182))</f>
        <v/>
      </c>
      <c r="I182" s="246" t="str">
        <f>IF($B182="","",IF(AND(C182="",F182=""),"",ROUND(SUMIFS('ИТОГО Торговля'!$I$5:$I$300,'ИТОГО Торговля'!$B$5:$B$300,$B182)+SUMIFS('ИТОГО Лэндинг'!$I$5:$I$300,'ИТОГО Лэндинг'!$B$5:$B$300,$B182),8)))</f>
        <v/>
      </c>
      <c r="J182" s="247" t="str">
        <f>IF($B182="","",IF(AND(C182="",F182=""),"",ROUND(SUMIFS('ИТОГО Торговля'!$J$5:$J$300,'ИТОГО Торговля'!$B$5:$B$300,$B182)+SUMIFS('ИТОГО Лэндинг'!$J$5:$J$300,'ИТОГО Лэндинг'!$B$5:$B$300,$B182),8)))</f>
        <v/>
      </c>
      <c r="K182" s="246" t="str">
        <f>IF(MIN(N(C182),N(F182))&lt;=0,"",ROUND(MIN(N(C182),N(F182))*(N(G182)-N(D182)),8))</f>
        <v/>
      </c>
      <c r="L182" s="183" t="str">
        <f>IF(MIN(N(C182),N(F182))&lt;=0,"",IF(N(D182)=0,"",ROUND((N(G182)/N(D182)-1)*100,2)))</f>
        <v/>
      </c>
      <c r="M182" s="183" t="str">
        <f>IF(OR(ROUND(N(C182)-N(F182),8)=0,1-N(Ввод!$J$19)/100&lt;=0),"",IF(N(C182)&gt;N(F182),(N(E182)-N(H182))/((N(C182)-N(F182))*(1-N(Ввод!$J$19)/100)),(N(H182)-N(E182))/((N(F182)-N(C182))*(1+N(Ввод!$J$19)/100))))</f>
        <v/>
      </c>
    </row>
    <row r="183" ht="22" customHeight="1">
      <c r="B183" s="239" t="n"/>
      <c r="C183" s="240" t="str">
        <f>IF($B183="","",IF(SUMIFS('ИТОГО Торговля'!$C$5:$C$300,'ИТОГО Торговля'!$B$5:$B$300,$B183)+SUMIFS('ИТОГО Лэндинг'!$C$5:$C$300,'ИТОГО Лэндинг'!$B$5:$B$300,$B183)=0,"",SUMIFS('ИТОГО Торговля'!$C$5:$C$300,'ИТОГО Торговля'!$B$5:$B$300,$B183)+SUMIFS('ИТОГО Лэндинг'!$C$5:$C$300,'ИТОГО Лэндинг'!$B$5:$B$300,$B183)))</f>
        <v/>
      </c>
      <c r="D183" s="177" t="str">
        <f>IF(C183="","",E183/C183)</f>
        <v/>
      </c>
      <c r="E183" s="241" t="str">
        <f>IF(C183="","",SUMIFS('ИТОГО Торговля'!$E$5:$E$300,'ИТОГО Торговля'!$B$5:$B$300,$B183)+SUMIFS('ИТОГО Лэндинг'!$E$5:$E$300,'ИТОГО Лэндинг'!$B$5:$B$300,$B183))</f>
        <v/>
      </c>
      <c r="F183" s="240" t="str">
        <f>IF($B183="","",IF(SUMIFS('ИТОГО Торговля'!$F$5:$F$300,'ИТОГО Торговля'!$B$5:$B$300,$B183)+SUMIFS('ИТОГО Лэндинг'!$F$5:$F$300,'ИТОГО Лэндинг'!$B$5:$B$300,$B183)=0,"",SUMIFS('ИТОГО Торговля'!$F$5:$F$300,'ИТОГО Торговля'!$B$5:$B$300,$B183)+SUMIFS('ИТОГО Лэндинг'!$F$5:$F$300,'ИТОГО Лэндинг'!$B$5:$B$300,$B183)))</f>
        <v/>
      </c>
      <c r="G183" s="177" t="str">
        <f>IF(F183="","",H183/F183)</f>
        <v/>
      </c>
      <c r="H183" s="241" t="str">
        <f>IF(F183="","",SUMIFS('ИТОГО Торговля'!$H$5:$H$300,'ИТОГО Торговля'!$B$5:$B$300,$B183)+SUMIFS('ИТОГО Лэндинг'!$H$5:$H$300,'ИТОГО Лэндинг'!$B$5:$B$300,$B183))</f>
        <v/>
      </c>
      <c r="I183" s="240" t="str">
        <f>IF($B183="","",IF(AND(C183="",F183=""),"",ROUND(SUMIFS('ИТОГО Торговля'!$I$5:$I$300,'ИТОГО Торговля'!$B$5:$B$300,$B183)+SUMIFS('ИТОГО Лэндинг'!$I$5:$I$300,'ИТОГО Лэндинг'!$B$5:$B$300,$B183),8)))</f>
        <v/>
      </c>
      <c r="J183" s="241" t="str">
        <f>IF($B183="","",IF(AND(C183="",F183=""),"",ROUND(SUMIFS('ИТОГО Торговля'!$J$5:$J$300,'ИТОГО Торговля'!$B$5:$B$300,$B183)+SUMIFS('ИТОГО Лэндинг'!$J$5:$J$300,'ИТОГО Лэндинг'!$B$5:$B$300,$B183),8)))</f>
        <v/>
      </c>
      <c r="K183" s="240" t="str">
        <f>IF(MIN(N(C183),N(F183))&lt;=0,"",ROUND(MIN(N(C183),N(F183))*(N(G183)-N(D183)),8))</f>
        <v/>
      </c>
      <c r="L183" s="177" t="str">
        <f>IF(MIN(N(C183),N(F183))&lt;=0,"",IF(N(D183)=0,"",ROUND((N(G183)/N(D183)-1)*100,2)))</f>
        <v/>
      </c>
      <c r="M183" s="177" t="str">
        <f>IF(OR(ROUND(N(C183)-N(F183),8)=0,1-N(Ввод!$J$19)/100&lt;=0),"",IF(N(C183)&gt;N(F183),(N(E183)-N(H183))/((N(C183)-N(F183))*(1-N(Ввод!$J$19)/100)),(N(H183)-N(E183))/((N(F183)-N(C183))*(1+N(Ввод!$J$19)/100))))</f>
        <v/>
      </c>
    </row>
    <row r="184" ht="22" customHeight="1">
      <c r="B184" s="245" t="n"/>
      <c r="C184" s="246" t="str">
        <f>IF($B184="","",IF(SUMIFS('ИТОГО Торговля'!$C$5:$C$300,'ИТОГО Торговля'!$B$5:$B$300,$B184)+SUMIFS('ИТОГО Лэндинг'!$C$5:$C$300,'ИТОГО Лэндинг'!$B$5:$B$300,$B184)=0,"",SUMIFS('ИТОГО Торговля'!$C$5:$C$300,'ИТОГО Торговля'!$B$5:$B$300,$B184)+SUMIFS('ИТОГО Лэндинг'!$C$5:$C$300,'ИТОГО Лэндинг'!$B$5:$B$300,$B184)))</f>
        <v/>
      </c>
      <c r="D184" s="183" t="str">
        <f>IF(C184="","",E184/C184)</f>
        <v/>
      </c>
      <c r="E184" s="247" t="str">
        <f>IF(C184="","",SUMIFS('ИТОГО Торговля'!$E$5:$E$300,'ИТОГО Торговля'!$B$5:$B$300,$B184)+SUMIFS('ИТОГО Лэндинг'!$E$5:$E$300,'ИТОГО Лэндинг'!$B$5:$B$300,$B184))</f>
        <v/>
      </c>
      <c r="F184" s="246" t="str">
        <f>IF($B184="","",IF(SUMIFS('ИТОГО Торговля'!$F$5:$F$300,'ИТОГО Торговля'!$B$5:$B$300,$B184)+SUMIFS('ИТОГО Лэндинг'!$F$5:$F$300,'ИТОГО Лэндинг'!$B$5:$B$300,$B184)=0,"",SUMIFS('ИТОГО Торговля'!$F$5:$F$300,'ИТОГО Торговля'!$B$5:$B$300,$B184)+SUMIFS('ИТОГО Лэндинг'!$F$5:$F$300,'ИТОГО Лэндинг'!$B$5:$B$300,$B184)))</f>
        <v/>
      </c>
      <c r="G184" s="183" t="str">
        <f>IF(F184="","",H184/F184)</f>
        <v/>
      </c>
      <c r="H184" s="247" t="str">
        <f>IF(F184="","",SUMIFS('ИТОГО Торговля'!$H$5:$H$300,'ИТОГО Торговля'!$B$5:$B$300,$B184)+SUMIFS('ИТОГО Лэндинг'!$H$5:$H$300,'ИТОГО Лэндинг'!$B$5:$B$300,$B184))</f>
        <v/>
      </c>
      <c r="I184" s="246" t="str">
        <f>IF($B184="","",IF(AND(C184="",F184=""),"",ROUND(SUMIFS('ИТОГО Торговля'!$I$5:$I$300,'ИТОГО Торговля'!$B$5:$B$300,$B184)+SUMIFS('ИТОГО Лэндинг'!$I$5:$I$300,'ИТОГО Лэндинг'!$B$5:$B$300,$B184),8)))</f>
        <v/>
      </c>
      <c r="J184" s="247" t="str">
        <f>IF($B184="","",IF(AND(C184="",F184=""),"",ROUND(SUMIFS('ИТОГО Торговля'!$J$5:$J$300,'ИТОГО Торговля'!$B$5:$B$300,$B184)+SUMIFS('ИТОГО Лэндинг'!$J$5:$J$300,'ИТОГО Лэндинг'!$B$5:$B$300,$B184),8)))</f>
        <v/>
      </c>
      <c r="K184" s="246" t="str">
        <f>IF(MIN(N(C184),N(F184))&lt;=0,"",ROUND(MIN(N(C184),N(F184))*(N(G184)-N(D184)),8))</f>
        <v/>
      </c>
      <c r="L184" s="183" t="str">
        <f>IF(MIN(N(C184),N(F184))&lt;=0,"",IF(N(D184)=0,"",ROUND((N(G184)/N(D184)-1)*100,2)))</f>
        <v/>
      </c>
      <c r="M184" s="183" t="str">
        <f>IF(OR(ROUND(N(C184)-N(F184),8)=0,1-N(Ввод!$J$19)/100&lt;=0),"",IF(N(C184)&gt;N(F184),(N(E184)-N(H184))/((N(C184)-N(F184))*(1-N(Ввод!$J$19)/100)),(N(H184)-N(E184))/((N(F184)-N(C184))*(1+N(Ввод!$J$19)/100))))</f>
        <v/>
      </c>
    </row>
    <row r="185" ht="22" customHeight="1">
      <c r="B185" s="239" t="n"/>
      <c r="C185" s="240" t="str">
        <f>IF($B185="","",IF(SUMIFS('ИТОГО Торговля'!$C$5:$C$300,'ИТОГО Торговля'!$B$5:$B$300,$B185)+SUMIFS('ИТОГО Лэндинг'!$C$5:$C$300,'ИТОГО Лэндинг'!$B$5:$B$300,$B185)=0,"",SUMIFS('ИТОГО Торговля'!$C$5:$C$300,'ИТОГО Торговля'!$B$5:$B$300,$B185)+SUMIFS('ИТОГО Лэндинг'!$C$5:$C$300,'ИТОГО Лэндинг'!$B$5:$B$300,$B185)))</f>
        <v/>
      </c>
      <c r="D185" s="177" t="str">
        <f>IF(C185="","",E185/C185)</f>
        <v/>
      </c>
      <c r="E185" s="241" t="str">
        <f>IF(C185="","",SUMIFS('ИТОГО Торговля'!$E$5:$E$300,'ИТОГО Торговля'!$B$5:$B$300,$B185)+SUMIFS('ИТОГО Лэндинг'!$E$5:$E$300,'ИТОГО Лэндинг'!$B$5:$B$300,$B185))</f>
        <v/>
      </c>
      <c r="F185" s="240" t="str">
        <f>IF($B185="","",IF(SUMIFS('ИТОГО Торговля'!$F$5:$F$300,'ИТОГО Торговля'!$B$5:$B$300,$B185)+SUMIFS('ИТОГО Лэндинг'!$F$5:$F$300,'ИТОГО Лэндинг'!$B$5:$B$300,$B185)=0,"",SUMIFS('ИТОГО Торговля'!$F$5:$F$300,'ИТОГО Торговля'!$B$5:$B$300,$B185)+SUMIFS('ИТОГО Лэндинг'!$F$5:$F$300,'ИТОГО Лэндинг'!$B$5:$B$300,$B185)))</f>
        <v/>
      </c>
      <c r="G185" s="177" t="str">
        <f>IF(F185="","",H185/F185)</f>
        <v/>
      </c>
      <c r="H185" s="241" t="str">
        <f>IF(F185="","",SUMIFS('ИТОГО Торговля'!$H$5:$H$300,'ИТОГО Торговля'!$B$5:$B$300,$B185)+SUMIFS('ИТОГО Лэндинг'!$H$5:$H$300,'ИТОГО Лэндинг'!$B$5:$B$300,$B185))</f>
        <v/>
      </c>
      <c r="I185" s="240" t="str">
        <f>IF($B185="","",IF(AND(C185="",F185=""),"",ROUND(SUMIFS('ИТОГО Торговля'!$I$5:$I$300,'ИТОГО Торговля'!$B$5:$B$300,$B185)+SUMIFS('ИТОГО Лэндинг'!$I$5:$I$300,'ИТОГО Лэндинг'!$B$5:$B$300,$B185),8)))</f>
        <v/>
      </c>
      <c r="J185" s="241" t="str">
        <f>IF($B185="","",IF(AND(C185="",F185=""),"",ROUND(SUMIFS('ИТОГО Торговля'!$J$5:$J$300,'ИТОГО Торговля'!$B$5:$B$300,$B185)+SUMIFS('ИТОГО Лэндинг'!$J$5:$J$300,'ИТОГО Лэндинг'!$B$5:$B$300,$B185),8)))</f>
        <v/>
      </c>
      <c r="K185" s="240" t="str">
        <f>IF(MIN(N(C185),N(F185))&lt;=0,"",ROUND(MIN(N(C185),N(F185))*(N(G185)-N(D185)),8))</f>
        <v/>
      </c>
      <c r="L185" s="177" t="str">
        <f>IF(MIN(N(C185),N(F185))&lt;=0,"",IF(N(D185)=0,"",ROUND((N(G185)/N(D185)-1)*100,2)))</f>
        <v/>
      </c>
      <c r="M185" s="177" t="str">
        <f>IF(OR(ROUND(N(C185)-N(F185),8)=0,1-N(Ввод!$J$19)/100&lt;=0),"",IF(N(C185)&gt;N(F185),(N(E185)-N(H185))/((N(C185)-N(F185))*(1-N(Ввод!$J$19)/100)),(N(H185)-N(E185))/((N(F185)-N(C185))*(1+N(Ввод!$J$19)/100))))</f>
        <v/>
      </c>
    </row>
    <row r="186" ht="22" customHeight="1">
      <c r="B186" s="245" t="n"/>
      <c r="C186" s="246" t="str">
        <f>IF($B186="","",IF(SUMIFS('ИТОГО Торговля'!$C$5:$C$300,'ИТОГО Торговля'!$B$5:$B$300,$B186)+SUMIFS('ИТОГО Лэндинг'!$C$5:$C$300,'ИТОГО Лэндинг'!$B$5:$B$300,$B186)=0,"",SUMIFS('ИТОГО Торговля'!$C$5:$C$300,'ИТОГО Торговля'!$B$5:$B$300,$B186)+SUMIFS('ИТОГО Лэндинг'!$C$5:$C$300,'ИТОГО Лэндинг'!$B$5:$B$300,$B186)))</f>
        <v/>
      </c>
      <c r="D186" s="183" t="str">
        <f>IF(C186="","",E186/C186)</f>
        <v/>
      </c>
      <c r="E186" s="247" t="str">
        <f>IF(C186="","",SUMIFS('ИТОГО Торговля'!$E$5:$E$300,'ИТОГО Торговля'!$B$5:$B$300,$B186)+SUMIFS('ИТОГО Лэндинг'!$E$5:$E$300,'ИТОГО Лэндинг'!$B$5:$B$300,$B186))</f>
        <v/>
      </c>
      <c r="F186" s="246" t="str">
        <f>IF($B186="","",IF(SUMIFS('ИТОГО Торговля'!$F$5:$F$300,'ИТОГО Торговля'!$B$5:$B$300,$B186)+SUMIFS('ИТОГО Лэндинг'!$F$5:$F$300,'ИТОГО Лэндинг'!$B$5:$B$300,$B186)=0,"",SUMIFS('ИТОГО Торговля'!$F$5:$F$300,'ИТОГО Торговля'!$B$5:$B$300,$B186)+SUMIFS('ИТОГО Лэндинг'!$F$5:$F$300,'ИТОГО Лэндинг'!$B$5:$B$300,$B186)))</f>
        <v/>
      </c>
      <c r="G186" s="183" t="str">
        <f>IF(F186="","",H186/F186)</f>
        <v/>
      </c>
      <c r="H186" s="247" t="str">
        <f>IF(F186="","",SUMIFS('ИТОГО Торговля'!$H$5:$H$300,'ИТОГО Торговля'!$B$5:$B$300,$B186)+SUMIFS('ИТОГО Лэндинг'!$H$5:$H$300,'ИТОГО Лэндинг'!$B$5:$B$300,$B186))</f>
        <v/>
      </c>
      <c r="I186" s="246" t="str">
        <f>IF($B186="","",IF(AND(C186="",F186=""),"",ROUND(SUMIFS('ИТОГО Торговля'!$I$5:$I$300,'ИТОГО Торговля'!$B$5:$B$300,$B186)+SUMIFS('ИТОГО Лэндинг'!$I$5:$I$300,'ИТОГО Лэндинг'!$B$5:$B$300,$B186),8)))</f>
        <v/>
      </c>
      <c r="J186" s="247" t="str">
        <f>IF($B186="","",IF(AND(C186="",F186=""),"",ROUND(SUMIFS('ИТОГО Торговля'!$J$5:$J$300,'ИТОГО Торговля'!$B$5:$B$300,$B186)+SUMIFS('ИТОГО Лэндинг'!$J$5:$J$300,'ИТОГО Лэндинг'!$B$5:$B$300,$B186),8)))</f>
        <v/>
      </c>
      <c r="K186" s="246" t="str">
        <f>IF(MIN(N(C186),N(F186))&lt;=0,"",ROUND(MIN(N(C186),N(F186))*(N(G186)-N(D186)),8))</f>
        <v/>
      </c>
      <c r="L186" s="183" t="str">
        <f>IF(MIN(N(C186),N(F186))&lt;=0,"",IF(N(D186)=0,"",ROUND((N(G186)/N(D186)-1)*100,2)))</f>
        <v/>
      </c>
      <c r="M186" s="183" t="str">
        <f>IF(OR(ROUND(N(C186)-N(F186),8)=0,1-N(Ввод!$J$19)/100&lt;=0),"",IF(N(C186)&gt;N(F186),(N(E186)-N(H186))/((N(C186)-N(F186))*(1-N(Ввод!$J$19)/100)),(N(H186)-N(E186))/((N(F186)-N(C186))*(1+N(Ввод!$J$19)/100))))</f>
        <v/>
      </c>
    </row>
    <row r="187" ht="22" customHeight="1">
      <c r="B187" s="239" t="n"/>
      <c r="C187" s="240" t="str">
        <f>IF($B187="","",IF(SUMIFS('ИТОГО Торговля'!$C$5:$C$300,'ИТОГО Торговля'!$B$5:$B$300,$B187)+SUMIFS('ИТОГО Лэндинг'!$C$5:$C$300,'ИТОГО Лэндинг'!$B$5:$B$300,$B187)=0,"",SUMIFS('ИТОГО Торговля'!$C$5:$C$300,'ИТОГО Торговля'!$B$5:$B$300,$B187)+SUMIFS('ИТОГО Лэндинг'!$C$5:$C$300,'ИТОГО Лэндинг'!$B$5:$B$300,$B187)))</f>
        <v/>
      </c>
      <c r="D187" s="177" t="str">
        <f>IF(C187="","",E187/C187)</f>
        <v/>
      </c>
      <c r="E187" s="241" t="str">
        <f>IF(C187="","",SUMIFS('ИТОГО Торговля'!$E$5:$E$300,'ИТОГО Торговля'!$B$5:$B$300,$B187)+SUMIFS('ИТОГО Лэндинг'!$E$5:$E$300,'ИТОГО Лэндинг'!$B$5:$B$300,$B187))</f>
        <v/>
      </c>
      <c r="F187" s="240" t="str">
        <f>IF($B187="","",IF(SUMIFS('ИТОГО Торговля'!$F$5:$F$300,'ИТОГО Торговля'!$B$5:$B$300,$B187)+SUMIFS('ИТОГО Лэндинг'!$F$5:$F$300,'ИТОГО Лэндинг'!$B$5:$B$300,$B187)=0,"",SUMIFS('ИТОГО Торговля'!$F$5:$F$300,'ИТОГО Торговля'!$B$5:$B$300,$B187)+SUMIFS('ИТОГО Лэндинг'!$F$5:$F$300,'ИТОГО Лэндинг'!$B$5:$B$300,$B187)))</f>
        <v/>
      </c>
      <c r="G187" s="177" t="str">
        <f>IF(F187="","",H187/F187)</f>
        <v/>
      </c>
      <c r="H187" s="241" t="str">
        <f>IF(F187="","",SUMIFS('ИТОГО Торговля'!$H$5:$H$300,'ИТОГО Торговля'!$B$5:$B$300,$B187)+SUMIFS('ИТОГО Лэндинг'!$H$5:$H$300,'ИТОГО Лэндинг'!$B$5:$B$300,$B187))</f>
        <v/>
      </c>
      <c r="I187" s="240" t="str">
        <f>IF($B187="","",IF(AND(C187="",F187=""),"",ROUND(SUMIFS('ИТОГО Торговля'!$I$5:$I$300,'ИТОГО Торговля'!$B$5:$B$300,$B187)+SUMIFS('ИТОГО Лэндинг'!$I$5:$I$300,'ИТОГО Лэндинг'!$B$5:$B$300,$B187),8)))</f>
        <v/>
      </c>
      <c r="J187" s="241" t="str">
        <f>IF($B187="","",IF(AND(C187="",F187=""),"",ROUND(SUMIFS('ИТОГО Торговля'!$J$5:$J$300,'ИТОГО Торговля'!$B$5:$B$300,$B187)+SUMIFS('ИТОГО Лэндинг'!$J$5:$J$300,'ИТОГО Лэндинг'!$B$5:$B$300,$B187),8)))</f>
        <v/>
      </c>
      <c r="K187" s="240" t="str">
        <f>IF(MIN(N(C187),N(F187))&lt;=0,"",ROUND(MIN(N(C187),N(F187))*(N(G187)-N(D187)),8))</f>
        <v/>
      </c>
      <c r="L187" s="177" t="str">
        <f>IF(MIN(N(C187),N(F187))&lt;=0,"",IF(N(D187)=0,"",ROUND((N(G187)/N(D187)-1)*100,2)))</f>
        <v/>
      </c>
      <c r="M187" s="177" t="str">
        <f>IF(OR(ROUND(N(C187)-N(F187),8)=0,1-N(Ввод!$J$19)/100&lt;=0),"",IF(N(C187)&gt;N(F187),(N(E187)-N(H187))/((N(C187)-N(F187))*(1-N(Ввод!$J$19)/100)),(N(H187)-N(E187))/((N(F187)-N(C187))*(1+N(Ввод!$J$19)/100))))</f>
        <v/>
      </c>
    </row>
    <row r="188" ht="22" customHeight="1">
      <c r="B188" s="245" t="n"/>
      <c r="C188" s="246" t="str">
        <f>IF($B188="","",IF(SUMIFS('ИТОГО Торговля'!$C$5:$C$300,'ИТОГО Торговля'!$B$5:$B$300,$B188)+SUMIFS('ИТОГО Лэндинг'!$C$5:$C$300,'ИТОГО Лэндинг'!$B$5:$B$300,$B188)=0,"",SUMIFS('ИТОГО Торговля'!$C$5:$C$300,'ИТОГО Торговля'!$B$5:$B$300,$B188)+SUMIFS('ИТОГО Лэндинг'!$C$5:$C$300,'ИТОГО Лэндинг'!$B$5:$B$300,$B188)))</f>
        <v/>
      </c>
      <c r="D188" s="183" t="str">
        <f>IF(C188="","",E188/C188)</f>
        <v/>
      </c>
      <c r="E188" s="247" t="str">
        <f>IF(C188="","",SUMIFS('ИТОГО Торговля'!$E$5:$E$300,'ИТОГО Торговля'!$B$5:$B$300,$B188)+SUMIFS('ИТОГО Лэндинг'!$E$5:$E$300,'ИТОГО Лэндинг'!$B$5:$B$300,$B188))</f>
        <v/>
      </c>
      <c r="F188" s="246" t="str">
        <f>IF($B188="","",IF(SUMIFS('ИТОГО Торговля'!$F$5:$F$300,'ИТОГО Торговля'!$B$5:$B$300,$B188)+SUMIFS('ИТОГО Лэндинг'!$F$5:$F$300,'ИТОГО Лэндинг'!$B$5:$B$300,$B188)=0,"",SUMIFS('ИТОГО Торговля'!$F$5:$F$300,'ИТОГО Торговля'!$B$5:$B$300,$B188)+SUMIFS('ИТОГО Лэндинг'!$F$5:$F$300,'ИТОГО Лэндинг'!$B$5:$B$300,$B188)))</f>
        <v/>
      </c>
      <c r="G188" s="183" t="str">
        <f>IF(F188="","",H188/F188)</f>
        <v/>
      </c>
      <c r="H188" s="247" t="str">
        <f>IF(F188="","",SUMIFS('ИТОГО Торговля'!$H$5:$H$300,'ИТОГО Торговля'!$B$5:$B$300,$B188)+SUMIFS('ИТОГО Лэндинг'!$H$5:$H$300,'ИТОГО Лэндинг'!$B$5:$B$300,$B188))</f>
        <v/>
      </c>
      <c r="I188" s="246" t="str">
        <f>IF($B188="","",IF(AND(C188="",F188=""),"",ROUND(SUMIFS('ИТОГО Торговля'!$I$5:$I$300,'ИТОГО Торговля'!$B$5:$B$300,$B188)+SUMIFS('ИТОГО Лэндинг'!$I$5:$I$300,'ИТОГО Лэндинг'!$B$5:$B$300,$B188),8)))</f>
        <v/>
      </c>
      <c r="J188" s="247" t="str">
        <f>IF($B188="","",IF(AND(C188="",F188=""),"",ROUND(SUMIFS('ИТОГО Торговля'!$J$5:$J$300,'ИТОГО Торговля'!$B$5:$B$300,$B188)+SUMIFS('ИТОГО Лэндинг'!$J$5:$J$300,'ИТОГО Лэндинг'!$B$5:$B$300,$B188),8)))</f>
        <v/>
      </c>
      <c r="K188" s="246" t="str">
        <f>IF(MIN(N(C188),N(F188))&lt;=0,"",ROUND(MIN(N(C188),N(F188))*(N(G188)-N(D188)),8))</f>
        <v/>
      </c>
      <c r="L188" s="183" t="str">
        <f>IF(MIN(N(C188),N(F188))&lt;=0,"",IF(N(D188)=0,"",ROUND((N(G188)/N(D188)-1)*100,2)))</f>
        <v/>
      </c>
      <c r="M188" s="183" t="str">
        <f>IF(OR(ROUND(N(C188)-N(F188),8)=0,1-N(Ввод!$J$19)/100&lt;=0),"",IF(N(C188)&gt;N(F188),(N(E188)-N(H188))/((N(C188)-N(F188))*(1-N(Ввод!$J$19)/100)),(N(H188)-N(E188))/((N(F188)-N(C188))*(1+N(Ввод!$J$19)/100))))</f>
        <v/>
      </c>
    </row>
    <row r="189" ht="22" customHeight="1">
      <c r="B189" s="239" t="n"/>
      <c r="C189" s="240" t="str">
        <f>IF($B189="","",IF(SUMIFS('ИТОГО Торговля'!$C$5:$C$300,'ИТОГО Торговля'!$B$5:$B$300,$B189)+SUMIFS('ИТОГО Лэндинг'!$C$5:$C$300,'ИТОГО Лэндинг'!$B$5:$B$300,$B189)=0,"",SUMIFS('ИТОГО Торговля'!$C$5:$C$300,'ИТОГО Торговля'!$B$5:$B$300,$B189)+SUMIFS('ИТОГО Лэндинг'!$C$5:$C$300,'ИТОГО Лэндинг'!$B$5:$B$300,$B189)))</f>
        <v/>
      </c>
      <c r="D189" s="177" t="str">
        <f>IF(C189="","",E189/C189)</f>
        <v/>
      </c>
      <c r="E189" s="241" t="str">
        <f>IF(C189="","",SUMIFS('ИТОГО Торговля'!$E$5:$E$300,'ИТОГО Торговля'!$B$5:$B$300,$B189)+SUMIFS('ИТОГО Лэндинг'!$E$5:$E$300,'ИТОГО Лэндинг'!$B$5:$B$300,$B189))</f>
        <v/>
      </c>
      <c r="F189" s="240" t="str">
        <f>IF($B189="","",IF(SUMIFS('ИТОГО Торговля'!$F$5:$F$300,'ИТОГО Торговля'!$B$5:$B$300,$B189)+SUMIFS('ИТОГО Лэндинг'!$F$5:$F$300,'ИТОГО Лэндинг'!$B$5:$B$300,$B189)=0,"",SUMIFS('ИТОГО Торговля'!$F$5:$F$300,'ИТОГО Торговля'!$B$5:$B$300,$B189)+SUMIFS('ИТОГО Лэндинг'!$F$5:$F$300,'ИТОГО Лэндинг'!$B$5:$B$300,$B189)))</f>
        <v/>
      </c>
      <c r="G189" s="177" t="str">
        <f>IF(F189="","",H189/F189)</f>
        <v/>
      </c>
      <c r="H189" s="241" t="str">
        <f>IF(F189="","",SUMIFS('ИТОГО Торговля'!$H$5:$H$300,'ИТОГО Торговля'!$B$5:$B$300,$B189)+SUMIFS('ИТОГО Лэндинг'!$H$5:$H$300,'ИТОГО Лэндинг'!$B$5:$B$300,$B189))</f>
        <v/>
      </c>
      <c r="I189" s="240" t="str">
        <f>IF($B189="","",IF(AND(C189="",F189=""),"",ROUND(SUMIFS('ИТОГО Торговля'!$I$5:$I$300,'ИТОГО Торговля'!$B$5:$B$300,$B189)+SUMIFS('ИТОГО Лэндинг'!$I$5:$I$300,'ИТОГО Лэндинг'!$B$5:$B$300,$B189),8)))</f>
        <v/>
      </c>
      <c r="J189" s="241" t="str">
        <f>IF($B189="","",IF(AND(C189="",F189=""),"",ROUND(SUMIFS('ИТОГО Торговля'!$J$5:$J$300,'ИТОГО Торговля'!$B$5:$B$300,$B189)+SUMIFS('ИТОГО Лэндинг'!$J$5:$J$300,'ИТОГО Лэндинг'!$B$5:$B$300,$B189),8)))</f>
        <v/>
      </c>
      <c r="K189" s="240" t="str">
        <f>IF(MIN(N(C189),N(F189))&lt;=0,"",ROUND(MIN(N(C189),N(F189))*(N(G189)-N(D189)),8))</f>
        <v/>
      </c>
      <c r="L189" s="177" t="str">
        <f>IF(MIN(N(C189),N(F189))&lt;=0,"",IF(N(D189)=0,"",ROUND((N(G189)/N(D189)-1)*100,2)))</f>
        <v/>
      </c>
      <c r="M189" s="177" t="str">
        <f>IF(OR(ROUND(N(C189)-N(F189),8)=0,1-N(Ввод!$J$19)/100&lt;=0),"",IF(N(C189)&gt;N(F189),(N(E189)-N(H189))/((N(C189)-N(F189))*(1-N(Ввод!$J$19)/100)),(N(H189)-N(E189))/((N(F189)-N(C189))*(1+N(Ввод!$J$19)/100))))</f>
        <v/>
      </c>
    </row>
    <row r="190" ht="22" customHeight="1">
      <c r="B190" s="245" t="n"/>
      <c r="C190" s="246" t="str">
        <f>IF($B190="","",IF(SUMIFS('ИТОГО Торговля'!$C$5:$C$300,'ИТОГО Торговля'!$B$5:$B$300,$B190)+SUMIFS('ИТОГО Лэндинг'!$C$5:$C$300,'ИТОГО Лэндинг'!$B$5:$B$300,$B190)=0,"",SUMIFS('ИТОГО Торговля'!$C$5:$C$300,'ИТОГО Торговля'!$B$5:$B$300,$B190)+SUMIFS('ИТОГО Лэндинг'!$C$5:$C$300,'ИТОГО Лэндинг'!$B$5:$B$300,$B190)))</f>
        <v/>
      </c>
      <c r="D190" s="183" t="str">
        <f>IF(C190="","",E190/C190)</f>
        <v/>
      </c>
      <c r="E190" s="247" t="str">
        <f>IF(C190="","",SUMIFS('ИТОГО Торговля'!$E$5:$E$300,'ИТОГО Торговля'!$B$5:$B$300,$B190)+SUMIFS('ИТОГО Лэндинг'!$E$5:$E$300,'ИТОГО Лэндинг'!$B$5:$B$300,$B190))</f>
        <v/>
      </c>
      <c r="F190" s="246" t="str">
        <f>IF($B190="","",IF(SUMIFS('ИТОГО Торговля'!$F$5:$F$300,'ИТОГО Торговля'!$B$5:$B$300,$B190)+SUMIFS('ИТОГО Лэндинг'!$F$5:$F$300,'ИТОГО Лэндинг'!$B$5:$B$300,$B190)=0,"",SUMIFS('ИТОГО Торговля'!$F$5:$F$300,'ИТОГО Торговля'!$B$5:$B$300,$B190)+SUMIFS('ИТОГО Лэндинг'!$F$5:$F$300,'ИТОГО Лэндинг'!$B$5:$B$300,$B190)))</f>
        <v/>
      </c>
      <c r="G190" s="183" t="str">
        <f>IF(F190="","",H190/F190)</f>
        <v/>
      </c>
      <c r="H190" s="247" t="str">
        <f>IF(F190="","",SUMIFS('ИТОГО Торговля'!$H$5:$H$300,'ИТОГО Торговля'!$B$5:$B$300,$B190)+SUMIFS('ИТОГО Лэндинг'!$H$5:$H$300,'ИТОГО Лэндинг'!$B$5:$B$300,$B190))</f>
        <v/>
      </c>
      <c r="I190" s="246" t="str">
        <f>IF($B190="","",IF(AND(C190="",F190=""),"",ROUND(SUMIFS('ИТОГО Торговля'!$I$5:$I$300,'ИТОГО Торговля'!$B$5:$B$300,$B190)+SUMIFS('ИТОГО Лэндинг'!$I$5:$I$300,'ИТОГО Лэндинг'!$B$5:$B$300,$B190),8)))</f>
        <v/>
      </c>
      <c r="J190" s="247" t="str">
        <f>IF($B190="","",IF(AND(C190="",F190=""),"",ROUND(SUMIFS('ИТОГО Торговля'!$J$5:$J$300,'ИТОГО Торговля'!$B$5:$B$300,$B190)+SUMIFS('ИТОГО Лэндинг'!$J$5:$J$300,'ИТОГО Лэндинг'!$B$5:$B$300,$B190),8)))</f>
        <v/>
      </c>
      <c r="K190" s="246" t="str">
        <f>IF(MIN(N(C190),N(F190))&lt;=0,"",ROUND(MIN(N(C190),N(F190))*(N(G190)-N(D190)),8))</f>
        <v/>
      </c>
      <c r="L190" s="183" t="str">
        <f>IF(MIN(N(C190),N(F190))&lt;=0,"",IF(N(D190)=0,"",ROUND((N(G190)/N(D190)-1)*100,2)))</f>
        <v/>
      </c>
      <c r="M190" s="183" t="str">
        <f>IF(OR(ROUND(N(C190)-N(F190),8)=0,1-N(Ввод!$J$19)/100&lt;=0),"",IF(N(C190)&gt;N(F190),(N(E190)-N(H190))/((N(C190)-N(F190))*(1-N(Ввод!$J$19)/100)),(N(H190)-N(E190))/((N(F190)-N(C190))*(1+N(Ввод!$J$19)/100))))</f>
        <v/>
      </c>
    </row>
    <row r="191" ht="22" customHeight="1">
      <c r="B191" s="239" t="n"/>
      <c r="C191" s="240" t="str">
        <f>IF($B191="","",IF(SUMIFS('ИТОГО Торговля'!$C$5:$C$300,'ИТОГО Торговля'!$B$5:$B$300,$B191)+SUMIFS('ИТОГО Лэндинг'!$C$5:$C$300,'ИТОГО Лэндинг'!$B$5:$B$300,$B191)=0,"",SUMIFS('ИТОГО Торговля'!$C$5:$C$300,'ИТОГО Торговля'!$B$5:$B$300,$B191)+SUMIFS('ИТОГО Лэндинг'!$C$5:$C$300,'ИТОГО Лэндинг'!$B$5:$B$300,$B191)))</f>
        <v/>
      </c>
      <c r="D191" s="177" t="str">
        <f>IF(C191="","",E191/C191)</f>
        <v/>
      </c>
      <c r="E191" s="241" t="str">
        <f>IF(C191="","",SUMIFS('ИТОГО Торговля'!$E$5:$E$300,'ИТОГО Торговля'!$B$5:$B$300,$B191)+SUMIFS('ИТОГО Лэндинг'!$E$5:$E$300,'ИТОГО Лэндинг'!$B$5:$B$300,$B191))</f>
        <v/>
      </c>
      <c r="F191" s="240" t="str">
        <f>IF($B191="","",IF(SUMIFS('ИТОГО Торговля'!$F$5:$F$300,'ИТОГО Торговля'!$B$5:$B$300,$B191)+SUMIFS('ИТОГО Лэндинг'!$F$5:$F$300,'ИТОГО Лэндинг'!$B$5:$B$300,$B191)=0,"",SUMIFS('ИТОГО Торговля'!$F$5:$F$300,'ИТОГО Торговля'!$B$5:$B$300,$B191)+SUMIFS('ИТОГО Лэндинг'!$F$5:$F$300,'ИТОГО Лэндинг'!$B$5:$B$300,$B191)))</f>
        <v/>
      </c>
      <c r="G191" s="177" t="str">
        <f>IF(F191="","",H191/F191)</f>
        <v/>
      </c>
      <c r="H191" s="241" t="str">
        <f>IF(F191="","",SUMIFS('ИТОГО Торговля'!$H$5:$H$300,'ИТОГО Торговля'!$B$5:$B$300,$B191)+SUMIFS('ИТОГО Лэндинг'!$H$5:$H$300,'ИТОГО Лэндинг'!$B$5:$B$300,$B191))</f>
        <v/>
      </c>
      <c r="I191" s="240" t="str">
        <f>IF($B191="","",IF(AND(C191="",F191=""),"",ROUND(SUMIFS('ИТОГО Торговля'!$I$5:$I$300,'ИТОГО Торговля'!$B$5:$B$300,$B191)+SUMIFS('ИТОГО Лэндинг'!$I$5:$I$300,'ИТОГО Лэндинг'!$B$5:$B$300,$B191),8)))</f>
        <v/>
      </c>
      <c r="J191" s="241" t="str">
        <f>IF($B191="","",IF(AND(C191="",F191=""),"",ROUND(SUMIFS('ИТОГО Торговля'!$J$5:$J$300,'ИТОГО Торговля'!$B$5:$B$300,$B191)+SUMIFS('ИТОГО Лэндинг'!$J$5:$J$300,'ИТОГО Лэндинг'!$B$5:$B$300,$B191),8)))</f>
        <v/>
      </c>
      <c r="K191" s="240" t="str">
        <f>IF(MIN(N(C191),N(F191))&lt;=0,"",ROUND(MIN(N(C191),N(F191))*(N(G191)-N(D191)),8))</f>
        <v/>
      </c>
      <c r="L191" s="177" t="str">
        <f>IF(MIN(N(C191),N(F191))&lt;=0,"",IF(N(D191)=0,"",ROUND((N(G191)/N(D191)-1)*100,2)))</f>
        <v/>
      </c>
      <c r="M191" s="177" t="str">
        <f>IF(OR(ROUND(N(C191)-N(F191),8)=0,1-N(Ввод!$J$19)/100&lt;=0),"",IF(N(C191)&gt;N(F191),(N(E191)-N(H191))/((N(C191)-N(F191))*(1-N(Ввод!$J$19)/100)),(N(H191)-N(E191))/((N(F191)-N(C191))*(1+N(Ввод!$J$19)/100))))</f>
        <v/>
      </c>
    </row>
    <row r="192" ht="22" customHeight="1">
      <c r="B192" s="245" t="n"/>
      <c r="C192" s="246" t="str">
        <f>IF($B192="","",IF(SUMIFS('ИТОГО Торговля'!$C$5:$C$300,'ИТОГО Торговля'!$B$5:$B$300,$B192)+SUMIFS('ИТОГО Лэндинг'!$C$5:$C$300,'ИТОГО Лэндинг'!$B$5:$B$300,$B192)=0,"",SUMIFS('ИТОГО Торговля'!$C$5:$C$300,'ИТОГО Торговля'!$B$5:$B$300,$B192)+SUMIFS('ИТОГО Лэндинг'!$C$5:$C$300,'ИТОГО Лэндинг'!$B$5:$B$300,$B192)))</f>
        <v/>
      </c>
      <c r="D192" s="183" t="str">
        <f>IF(C192="","",E192/C192)</f>
        <v/>
      </c>
      <c r="E192" s="247" t="str">
        <f>IF(C192="","",SUMIFS('ИТОГО Торговля'!$E$5:$E$300,'ИТОГО Торговля'!$B$5:$B$300,$B192)+SUMIFS('ИТОГО Лэндинг'!$E$5:$E$300,'ИТОГО Лэндинг'!$B$5:$B$300,$B192))</f>
        <v/>
      </c>
      <c r="F192" s="246" t="str">
        <f>IF($B192="","",IF(SUMIFS('ИТОГО Торговля'!$F$5:$F$300,'ИТОГО Торговля'!$B$5:$B$300,$B192)+SUMIFS('ИТОГО Лэндинг'!$F$5:$F$300,'ИТОГО Лэндинг'!$B$5:$B$300,$B192)=0,"",SUMIFS('ИТОГО Торговля'!$F$5:$F$300,'ИТОГО Торговля'!$B$5:$B$300,$B192)+SUMIFS('ИТОГО Лэндинг'!$F$5:$F$300,'ИТОГО Лэндинг'!$B$5:$B$300,$B192)))</f>
        <v/>
      </c>
      <c r="G192" s="183" t="str">
        <f>IF(F192="","",H192/F192)</f>
        <v/>
      </c>
      <c r="H192" s="247" t="str">
        <f>IF(F192="","",SUMIFS('ИТОГО Торговля'!$H$5:$H$300,'ИТОГО Торговля'!$B$5:$B$300,$B192)+SUMIFS('ИТОГО Лэндинг'!$H$5:$H$300,'ИТОГО Лэндинг'!$B$5:$B$300,$B192))</f>
        <v/>
      </c>
      <c r="I192" s="246" t="str">
        <f>IF($B192="","",IF(AND(C192="",F192=""),"",ROUND(SUMIFS('ИТОГО Торговля'!$I$5:$I$300,'ИТОГО Торговля'!$B$5:$B$300,$B192)+SUMIFS('ИТОГО Лэндинг'!$I$5:$I$300,'ИТОГО Лэндинг'!$B$5:$B$300,$B192),8)))</f>
        <v/>
      </c>
      <c r="J192" s="247" t="str">
        <f>IF($B192="","",IF(AND(C192="",F192=""),"",ROUND(SUMIFS('ИТОГО Торговля'!$J$5:$J$300,'ИТОГО Торговля'!$B$5:$B$300,$B192)+SUMIFS('ИТОГО Лэндинг'!$J$5:$J$300,'ИТОГО Лэндинг'!$B$5:$B$300,$B192),8)))</f>
        <v/>
      </c>
      <c r="K192" s="246" t="str">
        <f>IF(MIN(N(C192),N(F192))&lt;=0,"",ROUND(MIN(N(C192),N(F192))*(N(G192)-N(D192)),8))</f>
        <v/>
      </c>
      <c r="L192" s="183" t="str">
        <f>IF(MIN(N(C192),N(F192))&lt;=0,"",IF(N(D192)=0,"",ROUND((N(G192)/N(D192)-1)*100,2)))</f>
        <v/>
      </c>
      <c r="M192" s="183" t="str">
        <f>IF(OR(ROUND(N(C192)-N(F192),8)=0,1-N(Ввод!$J$19)/100&lt;=0),"",IF(N(C192)&gt;N(F192),(N(E192)-N(H192))/((N(C192)-N(F192))*(1-N(Ввод!$J$19)/100)),(N(H192)-N(E192))/((N(F192)-N(C192))*(1+N(Ввод!$J$19)/100))))</f>
        <v/>
      </c>
    </row>
    <row r="193" ht="22" customHeight="1">
      <c r="B193" s="239" t="n"/>
      <c r="C193" s="240" t="str">
        <f>IF($B193="","",IF(SUMIFS('ИТОГО Торговля'!$C$5:$C$300,'ИТОГО Торговля'!$B$5:$B$300,$B193)+SUMIFS('ИТОГО Лэндинг'!$C$5:$C$300,'ИТОГО Лэндинг'!$B$5:$B$300,$B193)=0,"",SUMIFS('ИТОГО Торговля'!$C$5:$C$300,'ИТОГО Торговля'!$B$5:$B$300,$B193)+SUMIFS('ИТОГО Лэндинг'!$C$5:$C$300,'ИТОГО Лэндинг'!$B$5:$B$300,$B193)))</f>
        <v/>
      </c>
      <c r="D193" s="177" t="str">
        <f>IF(C193="","",E193/C193)</f>
        <v/>
      </c>
      <c r="E193" s="241" t="str">
        <f>IF(C193="","",SUMIFS('ИТОГО Торговля'!$E$5:$E$300,'ИТОГО Торговля'!$B$5:$B$300,$B193)+SUMIFS('ИТОГО Лэндинг'!$E$5:$E$300,'ИТОГО Лэндинг'!$B$5:$B$300,$B193))</f>
        <v/>
      </c>
      <c r="F193" s="240" t="str">
        <f>IF($B193="","",IF(SUMIFS('ИТОГО Торговля'!$F$5:$F$300,'ИТОГО Торговля'!$B$5:$B$300,$B193)+SUMIFS('ИТОГО Лэндинг'!$F$5:$F$300,'ИТОГО Лэндинг'!$B$5:$B$300,$B193)=0,"",SUMIFS('ИТОГО Торговля'!$F$5:$F$300,'ИТОГО Торговля'!$B$5:$B$300,$B193)+SUMIFS('ИТОГО Лэндинг'!$F$5:$F$300,'ИТОГО Лэндинг'!$B$5:$B$300,$B193)))</f>
        <v/>
      </c>
      <c r="G193" s="177" t="str">
        <f>IF(F193="","",H193/F193)</f>
        <v/>
      </c>
      <c r="H193" s="241" t="str">
        <f>IF(F193="","",SUMIFS('ИТОГО Торговля'!$H$5:$H$300,'ИТОГО Торговля'!$B$5:$B$300,$B193)+SUMIFS('ИТОГО Лэндинг'!$H$5:$H$300,'ИТОГО Лэндинг'!$B$5:$B$300,$B193))</f>
        <v/>
      </c>
      <c r="I193" s="240" t="str">
        <f>IF($B193="","",IF(AND(C193="",F193=""),"",ROUND(SUMIFS('ИТОГО Торговля'!$I$5:$I$300,'ИТОГО Торговля'!$B$5:$B$300,$B193)+SUMIFS('ИТОГО Лэндинг'!$I$5:$I$300,'ИТОГО Лэндинг'!$B$5:$B$300,$B193),8)))</f>
        <v/>
      </c>
      <c r="J193" s="241" t="str">
        <f>IF($B193="","",IF(AND(C193="",F193=""),"",ROUND(SUMIFS('ИТОГО Торговля'!$J$5:$J$300,'ИТОГО Торговля'!$B$5:$B$300,$B193)+SUMIFS('ИТОГО Лэндинг'!$J$5:$J$300,'ИТОГО Лэндинг'!$B$5:$B$300,$B193),8)))</f>
        <v/>
      </c>
      <c r="K193" s="240" t="str">
        <f>IF(MIN(N(C193),N(F193))&lt;=0,"",ROUND(MIN(N(C193),N(F193))*(N(G193)-N(D193)),8))</f>
        <v/>
      </c>
      <c r="L193" s="177" t="str">
        <f>IF(MIN(N(C193),N(F193))&lt;=0,"",IF(N(D193)=0,"",ROUND((N(G193)/N(D193)-1)*100,2)))</f>
        <v/>
      </c>
      <c r="M193" s="177" t="str">
        <f>IF(OR(ROUND(N(C193)-N(F193),8)=0,1-N(Ввод!$J$19)/100&lt;=0),"",IF(N(C193)&gt;N(F193),(N(E193)-N(H193))/((N(C193)-N(F193))*(1-N(Ввод!$J$19)/100)),(N(H193)-N(E193))/((N(F193)-N(C193))*(1+N(Ввод!$J$19)/100))))</f>
        <v/>
      </c>
    </row>
    <row r="194" ht="22" customHeight="1">
      <c r="B194" s="245" t="n"/>
      <c r="C194" s="246" t="str">
        <f>IF($B194="","",IF(SUMIFS('ИТОГО Торговля'!$C$5:$C$300,'ИТОГО Торговля'!$B$5:$B$300,$B194)+SUMIFS('ИТОГО Лэндинг'!$C$5:$C$300,'ИТОГО Лэндинг'!$B$5:$B$300,$B194)=0,"",SUMIFS('ИТОГО Торговля'!$C$5:$C$300,'ИТОГО Торговля'!$B$5:$B$300,$B194)+SUMIFS('ИТОГО Лэндинг'!$C$5:$C$300,'ИТОГО Лэндинг'!$B$5:$B$300,$B194)))</f>
        <v/>
      </c>
      <c r="D194" s="183" t="str">
        <f>IF(C194="","",E194/C194)</f>
        <v/>
      </c>
      <c r="E194" s="247" t="str">
        <f>IF(C194="","",SUMIFS('ИТОГО Торговля'!$E$5:$E$300,'ИТОГО Торговля'!$B$5:$B$300,$B194)+SUMIFS('ИТОГО Лэндинг'!$E$5:$E$300,'ИТОГО Лэндинг'!$B$5:$B$300,$B194))</f>
        <v/>
      </c>
      <c r="F194" s="246" t="str">
        <f>IF($B194="","",IF(SUMIFS('ИТОГО Торговля'!$F$5:$F$300,'ИТОГО Торговля'!$B$5:$B$300,$B194)+SUMIFS('ИТОГО Лэндинг'!$F$5:$F$300,'ИТОГО Лэндинг'!$B$5:$B$300,$B194)=0,"",SUMIFS('ИТОГО Торговля'!$F$5:$F$300,'ИТОГО Торговля'!$B$5:$B$300,$B194)+SUMIFS('ИТОГО Лэндинг'!$F$5:$F$300,'ИТОГО Лэндинг'!$B$5:$B$300,$B194)))</f>
        <v/>
      </c>
      <c r="G194" s="183" t="str">
        <f>IF(F194="","",H194/F194)</f>
        <v/>
      </c>
      <c r="H194" s="247" t="str">
        <f>IF(F194="","",SUMIFS('ИТОГО Торговля'!$H$5:$H$300,'ИТОГО Торговля'!$B$5:$B$300,$B194)+SUMIFS('ИТОГО Лэндинг'!$H$5:$H$300,'ИТОГО Лэндинг'!$B$5:$B$300,$B194))</f>
        <v/>
      </c>
      <c r="I194" s="246" t="str">
        <f>IF($B194="","",IF(AND(C194="",F194=""),"",ROUND(SUMIFS('ИТОГО Торговля'!$I$5:$I$300,'ИТОГО Торговля'!$B$5:$B$300,$B194)+SUMIFS('ИТОГО Лэндинг'!$I$5:$I$300,'ИТОГО Лэндинг'!$B$5:$B$300,$B194),8)))</f>
        <v/>
      </c>
      <c r="J194" s="247" t="str">
        <f>IF($B194="","",IF(AND(C194="",F194=""),"",ROUND(SUMIFS('ИТОГО Торговля'!$J$5:$J$300,'ИТОГО Торговля'!$B$5:$B$300,$B194)+SUMIFS('ИТОГО Лэндинг'!$J$5:$J$300,'ИТОГО Лэндинг'!$B$5:$B$300,$B194),8)))</f>
        <v/>
      </c>
      <c r="K194" s="246" t="str">
        <f>IF(MIN(N(C194),N(F194))&lt;=0,"",ROUND(MIN(N(C194),N(F194))*(N(G194)-N(D194)),8))</f>
        <v/>
      </c>
      <c r="L194" s="183" t="str">
        <f>IF(MIN(N(C194),N(F194))&lt;=0,"",IF(N(D194)=0,"",ROUND((N(G194)/N(D194)-1)*100,2)))</f>
        <v/>
      </c>
      <c r="M194" s="183" t="str">
        <f>IF(OR(ROUND(N(C194)-N(F194),8)=0,1-N(Ввод!$J$19)/100&lt;=0),"",IF(N(C194)&gt;N(F194),(N(E194)-N(H194))/((N(C194)-N(F194))*(1-N(Ввод!$J$19)/100)),(N(H194)-N(E194))/((N(F194)-N(C194))*(1+N(Ввод!$J$19)/100))))</f>
        <v/>
      </c>
    </row>
    <row r="195" ht="22" customHeight="1">
      <c r="B195" s="239" t="n"/>
      <c r="C195" s="240" t="str">
        <f>IF($B195="","",IF(SUMIFS('ИТОГО Торговля'!$C$5:$C$300,'ИТОГО Торговля'!$B$5:$B$300,$B195)+SUMIFS('ИТОГО Лэндинг'!$C$5:$C$300,'ИТОГО Лэндинг'!$B$5:$B$300,$B195)=0,"",SUMIFS('ИТОГО Торговля'!$C$5:$C$300,'ИТОГО Торговля'!$B$5:$B$300,$B195)+SUMIFS('ИТОГО Лэндинг'!$C$5:$C$300,'ИТОГО Лэндинг'!$B$5:$B$300,$B195)))</f>
        <v/>
      </c>
      <c r="D195" s="177" t="str">
        <f>IF(C195="","",E195/C195)</f>
        <v/>
      </c>
      <c r="E195" s="241" t="str">
        <f>IF(C195="","",SUMIFS('ИТОГО Торговля'!$E$5:$E$300,'ИТОГО Торговля'!$B$5:$B$300,$B195)+SUMIFS('ИТОГО Лэндинг'!$E$5:$E$300,'ИТОГО Лэндинг'!$B$5:$B$300,$B195))</f>
        <v/>
      </c>
      <c r="F195" s="240" t="str">
        <f>IF($B195="","",IF(SUMIFS('ИТОГО Торговля'!$F$5:$F$300,'ИТОГО Торговля'!$B$5:$B$300,$B195)+SUMIFS('ИТОГО Лэндинг'!$F$5:$F$300,'ИТОГО Лэндинг'!$B$5:$B$300,$B195)=0,"",SUMIFS('ИТОГО Торговля'!$F$5:$F$300,'ИТОГО Торговля'!$B$5:$B$300,$B195)+SUMIFS('ИТОГО Лэндинг'!$F$5:$F$300,'ИТОГО Лэндинг'!$B$5:$B$300,$B195)))</f>
        <v/>
      </c>
      <c r="G195" s="177" t="str">
        <f>IF(F195="","",H195/F195)</f>
        <v/>
      </c>
      <c r="H195" s="241" t="str">
        <f>IF(F195="","",SUMIFS('ИТОГО Торговля'!$H$5:$H$300,'ИТОГО Торговля'!$B$5:$B$300,$B195)+SUMIFS('ИТОГО Лэндинг'!$H$5:$H$300,'ИТОГО Лэндинг'!$B$5:$B$300,$B195))</f>
        <v/>
      </c>
      <c r="I195" s="240" t="str">
        <f>IF($B195="","",IF(AND(C195="",F195=""),"",ROUND(SUMIFS('ИТОГО Торговля'!$I$5:$I$300,'ИТОГО Торговля'!$B$5:$B$300,$B195)+SUMIFS('ИТОГО Лэндинг'!$I$5:$I$300,'ИТОГО Лэндинг'!$B$5:$B$300,$B195),8)))</f>
        <v/>
      </c>
      <c r="J195" s="241" t="str">
        <f>IF($B195="","",IF(AND(C195="",F195=""),"",ROUND(SUMIFS('ИТОГО Торговля'!$J$5:$J$300,'ИТОГО Торговля'!$B$5:$B$300,$B195)+SUMIFS('ИТОГО Лэндинг'!$J$5:$J$300,'ИТОГО Лэндинг'!$B$5:$B$300,$B195),8)))</f>
        <v/>
      </c>
      <c r="K195" s="240" t="str">
        <f>IF(MIN(N(C195),N(F195))&lt;=0,"",ROUND(MIN(N(C195),N(F195))*(N(G195)-N(D195)),8))</f>
        <v/>
      </c>
      <c r="L195" s="177" t="str">
        <f>IF(MIN(N(C195),N(F195))&lt;=0,"",IF(N(D195)=0,"",ROUND((N(G195)/N(D195)-1)*100,2)))</f>
        <v/>
      </c>
      <c r="M195" s="177" t="str">
        <f>IF(OR(ROUND(N(C195)-N(F195),8)=0,1-N(Ввод!$J$19)/100&lt;=0),"",IF(N(C195)&gt;N(F195),(N(E195)-N(H195))/((N(C195)-N(F195))*(1-N(Ввод!$J$19)/100)),(N(H195)-N(E195))/((N(F195)-N(C195))*(1+N(Ввод!$J$19)/100))))</f>
        <v/>
      </c>
    </row>
    <row r="196" ht="22" customHeight="1">
      <c r="B196" s="245" t="n"/>
      <c r="C196" s="246" t="str">
        <f>IF($B196="","",IF(SUMIFS('ИТОГО Торговля'!$C$5:$C$300,'ИТОГО Торговля'!$B$5:$B$300,$B196)+SUMIFS('ИТОГО Лэндинг'!$C$5:$C$300,'ИТОГО Лэндинг'!$B$5:$B$300,$B196)=0,"",SUMIFS('ИТОГО Торговля'!$C$5:$C$300,'ИТОГО Торговля'!$B$5:$B$300,$B196)+SUMIFS('ИТОГО Лэндинг'!$C$5:$C$300,'ИТОГО Лэндинг'!$B$5:$B$300,$B196)))</f>
        <v/>
      </c>
      <c r="D196" s="183" t="str">
        <f>IF(C196="","",E196/C196)</f>
        <v/>
      </c>
      <c r="E196" s="247" t="str">
        <f>IF(C196="","",SUMIFS('ИТОГО Торговля'!$E$5:$E$300,'ИТОГО Торговля'!$B$5:$B$300,$B196)+SUMIFS('ИТОГО Лэндинг'!$E$5:$E$300,'ИТОГО Лэндинг'!$B$5:$B$300,$B196))</f>
        <v/>
      </c>
      <c r="F196" s="246" t="str">
        <f>IF($B196="","",IF(SUMIFS('ИТОГО Торговля'!$F$5:$F$300,'ИТОГО Торговля'!$B$5:$B$300,$B196)+SUMIFS('ИТОГО Лэндинг'!$F$5:$F$300,'ИТОГО Лэндинг'!$B$5:$B$300,$B196)=0,"",SUMIFS('ИТОГО Торговля'!$F$5:$F$300,'ИТОГО Торговля'!$B$5:$B$300,$B196)+SUMIFS('ИТОГО Лэндинг'!$F$5:$F$300,'ИТОГО Лэндинг'!$B$5:$B$300,$B196)))</f>
        <v/>
      </c>
      <c r="G196" s="183" t="str">
        <f>IF(F196="","",H196/F196)</f>
        <v/>
      </c>
      <c r="H196" s="247" t="str">
        <f>IF(F196="","",SUMIFS('ИТОГО Торговля'!$H$5:$H$300,'ИТОГО Торговля'!$B$5:$B$300,$B196)+SUMIFS('ИТОГО Лэндинг'!$H$5:$H$300,'ИТОГО Лэндинг'!$B$5:$B$300,$B196))</f>
        <v/>
      </c>
      <c r="I196" s="246" t="str">
        <f>IF($B196="","",IF(AND(C196="",F196=""),"",ROUND(SUMIFS('ИТОГО Торговля'!$I$5:$I$300,'ИТОГО Торговля'!$B$5:$B$300,$B196)+SUMIFS('ИТОГО Лэндинг'!$I$5:$I$300,'ИТОГО Лэндинг'!$B$5:$B$300,$B196),8)))</f>
        <v/>
      </c>
      <c r="J196" s="247" t="str">
        <f>IF($B196="","",IF(AND(C196="",F196=""),"",ROUND(SUMIFS('ИТОГО Торговля'!$J$5:$J$300,'ИТОГО Торговля'!$B$5:$B$300,$B196)+SUMIFS('ИТОГО Лэндинг'!$J$5:$J$300,'ИТОГО Лэндинг'!$B$5:$B$300,$B196),8)))</f>
        <v/>
      </c>
      <c r="K196" s="246" t="str">
        <f>IF(MIN(N(C196),N(F196))&lt;=0,"",ROUND(MIN(N(C196),N(F196))*(N(G196)-N(D196)),8))</f>
        <v/>
      </c>
      <c r="L196" s="183" t="str">
        <f>IF(MIN(N(C196),N(F196))&lt;=0,"",IF(N(D196)=0,"",ROUND((N(G196)/N(D196)-1)*100,2)))</f>
        <v/>
      </c>
      <c r="M196" s="183" t="str">
        <f>IF(OR(ROUND(N(C196)-N(F196),8)=0,1-N(Ввод!$J$19)/100&lt;=0),"",IF(N(C196)&gt;N(F196),(N(E196)-N(H196))/((N(C196)-N(F196))*(1-N(Ввод!$J$19)/100)),(N(H196)-N(E196))/((N(F196)-N(C196))*(1+N(Ввод!$J$19)/100))))</f>
        <v/>
      </c>
    </row>
    <row r="197" ht="22" customHeight="1">
      <c r="B197" s="239" t="n"/>
      <c r="C197" s="240" t="str">
        <f>IF($B197="","",IF(SUMIFS('ИТОГО Торговля'!$C$5:$C$300,'ИТОГО Торговля'!$B$5:$B$300,$B197)+SUMIFS('ИТОГО Лэндинг'!$C$5:$C$300,'ИТОГО Лэндинг'!$B$5:$B$300,$B197)=0,"",SUMIFS('ИТОГО Торговля'!$C$5:$C$300,'ИТОГО Торговля'!$B$5:$B$300,$B197)+SUMIFS('ИТОГО Лэндинг'!$C$5:$C$300,'ИТОГО Лэндинг'!$B$5:$B$300,$B197)))</f>
        <v/>
      </c>
      <c r="D197" s="177" t="str">
        <f>IF(C197="","",E197/C197)</f>
        <v/>
      </c>
      <c r="E197" s="241" t="str">
        <f>IF(C197="","",SUMIFS('ИТОГО Торговля'!$E$5:$E$300,'ИТОГО Торговля'!$B$5:$B$300,$B197)+SUMIFS('ИТОГО Лэндинг'!$E$5:$E$300,'ИТОГО Лэндинг'!$B$5:$B$300,$B197))</f>
        <v/>
      </c>
      <c r="F197" s="240" t="str">
        <f>IF($B197="","",IF(SUMIFS('ИТОГО Торговля'!$F$5:$F$300,'ИТОГО Торговля'!$B$5:$B$300,$B197)+SUMIFS('ИТОГО Лэндинг'!$F$5:$F$300,'ИТОГО Лэндинг'!$B$5:$B$300,$B197)=0,"",SUMIFS('ИТОГО Торговля'!$F$5:$F$300,'ИТОГО Торговля'!$B$5:$B$300,$B197)+SUMIFS('ИТОГО Лэндинг'!$F$5:$F$300,'ИТОГО Лэндинг'!$B$5:$B$300,$B197)))</f>
        <v/>
      </c>
      <c r="G197" s="177" t="str">
        <f>IF(F197="","",H197/F197)</f>
        <v/>
      </c>
      <c r="H197" s="241" t="str">
        <f>IF(F197="","",SUMIFS('ИТОГО Торговля'!$H$5:$H$300,'ИТОГО Торговля'!$B$5:$B$300,$B197)+SUMIFS('ИТОГО Лэндинг'!$H$5:$H$300,'ИТОГО Лэндинг'!$B$5:$B$300,$B197))</f>
        <v/>
      </c>
      <c r="I197" s="240" t="str">
        <f>IF($B197="","",IF(AND(C197="",F197=""),"",ROUND(SUMIFS('ИТОГО Торговля'!$I$5:$I$300,'ИТОГО Торговля'!$B$5:$B$300,$B197)+SUMIFS('ИТОГО Лэндинг'!$I$5:$I$300,'ИТОГО Лэндинг'!$B$5:$B$300,$B197),8)))</f>
        <v/>
      </c>
      <c r="J197" s="241" t="str">
        <f>IF($B197="","",IF(AND(C197="",F197=""),"",ROUND(SUMIFS('ИТОГО Торговля'!$J$5:$J$300,'ИТОГО Торговля'!$B$5:$B$300,$B197)+SUMIFS('ИТОГО Лэндинг'!$J$5:$J$300,'ИТОГО Лэндинг'!$B$5:$B$300,$B197),8)))</f>
        <v/>
      </c>
      <c r="K197" s="240" t="str">
        <f>IF(MIN(N(C197),N(F197))&lt;=0,"",ROUND(MIN(N(C197),N(F197))*(N(G197)-N(D197)),8))</f>
        <v/>
      </c>
      <c r="L197" s="177" t="str">
        <f>IF(MIN(N(C197),N(F197))&lt;=0,"",IF(N(D197)=0,"",ROUND((N(G197)/N(D197)-1)*100,2)))</f>
        <v/>
      </c>
      <c r="M197" s="177" t="str">
        <f>IF(OR(ROUND(N(C197)-N(F197),8)=0,1-N(Ввод!$J$19)/100&lt;=0),"",IF(N(C197)&gt;N(F197),(N(E197)-N(H197))/((N(C197)-N(F197))*(1-N(Ввод!$J$19)/100)),(N(H197)-N(E197))/((N(F197)-N(C197))*(1+N(Ввод!$J$19)/100))))</f>
        <v/>
      </c>
    </row>
    <row r="198" ht="22" customHeight="1">
      <c r="B198" s="245" t="n"/>
      <c r="C198" s="246" t="str">
        <f>IF($B198="","",IF(SUMIFS('ИТОГО Торговля'!$C$5:$C$300,'ИТОГО Торговля'!$B$5:$B$300,$B198)+SUMIFS('ИТОГО Лэндинг'!$C$5:$C$300,'ИТОГО Лэндинг'!$B$5:$B$300,$B198)=0,"",SUMIFS('ИТОГО Торговля'!$C$5:$C$300,'ИТОГО Торговля'!$B$5:$B$300,$B198)+SUMIFS('ИТОГО Лэндинг'!$C$5:$C$300,'ИТОГО Лэндинг'!$B$5:$B$300,$B198)))</f>
        <v/>
      </c>
      <c r="D198" s="183" t="str">
        <f>IF(C198="","",E198/C198)</f>
        <v/>
      </c>
      <c r="E198" s="247" t="str">
        <f>IF(C198="","",SUMIFS('ИТОГО Торговля'!$E$5:$E$300,'ИТОГО Торговля'!$B$5:$B$300,$B198)+SUMIFS('ИТОГО Лэндинг'!$E$5:$E$300,'ИТОГО Лэндинг'!$B$5:$B$300,$B198))</f>
        <v/>
      </c>
      <c r="F198" s="246" t="str">
        <f>IF($B198="","",IF(SUMIFS('ИТОГО Торговля'!$F$5:$F$300,'ИТОГО Торговля'!$B$5:$B$300,$B198)+SUMIFS('ИТОГО Лэндинг'!$F$5:$F$300,'ИТОГО Лэндинг'!$B$5:$B$300,$B198)=0,"",SUMIFS('ИТОГО Торговля'!$F$5:$F$300,'ИТОГО Торговля'!$B$5:$B$300,$B198)+SUMIFS('ИТОГО Лэндинг'!$F$5:$F$300,'ИТОГО Лэндинг'!$B$5:$B$300,$B198)))</f>
        <v/>
      </c>
      <c r="G198" s="183" t="str">
        <f>IF(F198="","",H198/F198)</f>
        <v/>
      </c>
      <c r="H198" s="247" t="str">
        <f>IF(F198="","",SUMIFS('ИТОГО Торговля'!$H$5:$H$300,'ИТОГО Торговля'!$B$5:$B$300,$B198)+SUMIFS('ИТОГО Лэндинг'!$H$5:$H$300,'ИТОГО Лэндинг'!$B$5:$B$300,$B198))</f>
        <v/>
      </c>
      <c r="I198" s="246" t="str">
        <f>IF($B198="","",IF(AND(C198="",F198=""),"",ROUND(SUMIFS('ИТОГО Торговля'!$I$5:$I$300,'ИТОГО Торговля'!$B$5:$B$300,$B198)+SUMIFS('ИТОГО Лэндинг'!$I$5:$I$300,'ИТОГО Лэндинг'!$B$5:$B$300,$B198),8)))</f>
        <v/>
      </c>
      <c r="J198" s="247" t="str">
        <f>IF($B198="","",IF(AND(C198="",F198=""),"",ROUND(SUMIFS('ИТОГО Торговля'!$J$5:$J$300,'ИТОГО Торговля'!$B$5:$B$300,$B198)+SUMIFS('ИТОГО Лэндинг'!$J$5:$J$300,'ИТОГО Лэндинг'!$B$5:$B$300,$B198),8)))</f>
        <v/>
      </c>
      <c r="K198" s="246" t="str">
        <f>IF(MIN(N(C198),N(F198))&lt;=0,"",ROUND(MIN(N(C198),N(F198))*(N(G198)-N(D198)),8))</f>
        <v/>
      </c>
      <c r="L198" s="183" t="str">
        <f>IF(MIN(N(C198),N(F198))&lt;=0,"",IF(N(D198)=0,"",ROUND((N(G198)/N(D198)-1)*100,2)))</f>
        <v/>
      </c>
      <c r="M198" s="183" t="str">
        <f>IF(OR(ROUND(N(C198)-N(F198),8)=0,1-N(Ввод!$J$19)/100&lt;=0),"",IF(N(C198)&gt;N(F198),(N(E198)-N(H198))/((N(C198)-N(F198))*(1-N(Ввод!$J$19)/100)),(N(H198)-N(E198))/((N(F198)-N(C198))*(1+N(Ввод!$J$19)/100))))</f>
        <v/>
      </c>
    </row>
    <row r="199" ht="22" customHeight="1">
      <c r="B199" s="239" t="n"/>
      <c r="C199" s="240" t="str">
        <f>IF($B199="","",IF(SUMIFS('ИТОГО Торговля'!$C$5:$C$300,'ИТОГО Торговля'!$B$5:$B$300,$B199)+SUMIFS('ИТОГО Лэндинг'!$C$5:$C$300,'ИТОГО Лэндинг'!$B$5:$B$300,$B199)=0,"",SUMIFS('ИТОГО Торговля'!$C$5:$C$300,'ИТОГО Торговля'!$B$5:$B$300,$B199)+SUMIFS('ИТОГО Лэндинг'!$C$5:$C$300,'ИТОГО Лэндинг'!$B$5:$B$300,$B199)))</f>
        <v/>
      </c>
      <c r="D199" s="177" t="str">
        <f>IF(C199="","",E199/C199)</f>
        <v/>
      </c>
      <c r="E199" s="241" t="str">
        <f>IF(C199="","",SUMIFS('ИТОГО Торговля'!$E$5:$E$300,'ИТОГО Торговля'!$B$5:$B$300,$B199)+SUMIFS('ИТОГО Лэндинг'!$E$5:$E$300,'ИТОГО Лэндинг'!$B$5:$B$300,$B199))</f>
        <v/>
      </c>
      <c r="F199" s="240" t="str">
        <f>IF($B199="","",IF(SUMIFS('ИТОГО Торговля'!$F$5:$F$300,'ИТОГО Торговля'!$B$5:$B$300,$B199)+SUMIFS('ИТОГО Лэндинг'!$F$5:$F$300,'ИТОГО Лэндинг'!$B$5:$B$300,$B199)=0,"",SUMIFS('ИТОГО Торговля'!$F$5:$F$300,'ИТОГО Торговля'!$B$5:$B$300,$B199)+SUMIFS('ИТОГО Лэндинг'!$F$5:$F$300,'ИТОГО Лэндинг'!$B$5:$B$300,$B199)))</f>
        <v/>
      </c>
      <c r="G199" s="177" t="str">
        <f>IF(F199="","",H199/F199)</f>
        <v/>
      </c>
      <c r="H199" s="241" t="str">
        <f>IF(F199="","",SUMIFS('ИТОГО Торговля'!$H$5:$H$300,'ИТОГО Торговля'!$B$5:$B$300,$B199)+SUMIFS('ИТОГО Лэндинг'!$H$5:$H$300,'ИТОГО Лэндинг'!$B$5:$B$300,$B199))</f>
        <v/>
      </c>
      <c r="I199" s="240" t="str">
        <f>IF($B199="","",IF(AND(C199="",F199=""),"",ROUND(SUMIFS('ИТОГО Торговля'!$I$5:$I$300,'ИТОГО Торговля'!$B$5:$B$300,$B199)+SUMIFS('ИТОГО Лэндинг'!$I$5:$I$300,'ИТОГО Лэндинг'!$B$5:$B$300,$B199),8)))</f>
        <v/>
      </c>
      <c r="J199" s="241" t="str">
        <f>IF($B199="","",IF(AND(C199="",F199=""),"",ROUND(SUMIFS('ИТОГО Торговля'!$J$5:$J$300,'ИТОГО Торговля'!$B$5:$B$300,$B199)+SUMIFS('ИТОГО Лэндинг'!$J$5:$J$300,'ИТОГО Лэндинг'!$B$5:$B$300,$B199),8)))</f>
        <v/>
      </c>
      <c r="K199" s="240" t="str">
        <f>IF(MIN(N(C199),N(F199))&lt;=0,"",ROUND(MIN(N(C199),N(F199))*(N(G199)-N(D199)),8))</f>
        <v/>
      </c>
      <c r="L199" s="177" t="str">
        <f>IF(MIN(N(C199),N(F199))&lt;=0,"",IF(N(D199)=0,"",ROUND((N(G199)/N(D199)-1)*100,2)))</f>
        <v/>
      </c>
      <c r="M199" s="177" t="str">
        <f>IF(OR(ROUND(N(C199)-N(F199),8)=0,1-N(Ввод!$J$19)/100&lt;=0),"",IF(N(C199)&gt;N(F199),(N(E199)-N(H199))/((N(C199)-N(F199))*(1-N(Ввод!$J$19)/100)),(N(H199)-N(E199))/((N(F199)-N(C199))*(1+N(Ввод!$J$19)/100))))</f>
        <v/>
      </c>
    </row>
    <row r="200" ht="22" customHeight="1">
      <c r="B200" s="245" t="n"/>
      <c r="C200" s="246" t="str">
        <f>IF($B200="","",IF(SUMIFS('ИТОГО Торговля'!$C$5:$C$300,'ИТОГО Торговля'!$B$5:$B$300,$B200)+SUMIFS('ИТОГО Лэндинг'!$C$5:$C$300,'ИТОГО Лэндинг'!$B$5:$B$300,$B200)=0,"",SUMIFS('ИТОГО Торговля'!$C$5:$C$300,'ИТОГО Торговля'!$B$5:$B$300,$B200)+SUMIFS('ИТОГО Лэндинг'!$C$5:$C$300,'ИТОГО Лэндинг'!$B$5:$B$300,$B200)))</f>
        <v/>
      </c>
      <c r="D200" s="183" t="str">
        <f>IF(C200="","",E200/C200)</f>
        <v/>
      </c>
      <c r="E200" s="247" t="str">
        <f>IF(C200="","",SUMIFS('ИТОГО Торговля'!$E$5:$E$300,'ИТОГО Торговля'!$B$5:$B$300,$B200)+SUMIFS('ИТОГО Лэндинг'!$E$5:$E$300,'ИТОГО Лэндинг'!$B$5:$B$300,$B200))</f>
        <v/>
      </c>
      <c r="F200" s="246" t="str">
        <f>IF($B200="","",IF(SUMIFS('ИТОГО Торговля'!$F$5:$F$300,'ИТОГО Торговля'!$B$5:$B$300,$B200)+SUMIFS('ИТОГО Лэндинг'!$F$5:$F$300,'ИТОГО Лэндинг'!$B$5:$B$300,$B200)=0,"",SUMIFS('ИТОГО Торговля'!$F$5:$F$300,'ИТОГО Торговля'!$B$5:$B$300,$B200)+SUMIFS('ИТОГО Лэндинг'!$F$5:$F$300,'ИТОГО Лэндинг'!$B$5:$B$300,$B200)))</f>
        <v/>
      </c>
      <c r="G200" s="183" t="str">
        <f>IF(F200="","",H200/F200)</f>
        <v/>
      </c>
      <c r="H200" s="247" t="str">
        <f>IF(F200="","",SUMIFS('ИТОГО Торговля'!$H$5:$H$300,'ИТОГО Торговля'!$B$5:$B$300,$B200)+SUMIFS('ИТОГО Лэндинг'!$H$5:$H$300,'ИТОГО Лэндинг'!$B$5:$B$300,$B200))</f>
        <v/>
      </c>
      <c r="I200" s="246" t="str">
        <f>IF($B200="","",IF(AND(C200="",F200=""),"",ROUND(SUMIFS('ИТОГО Торговля'!$I$5:$I$300,'ИТОГО Торговля'!$B$5:$B$300,$B200)+SUMIFS('ИТОГО Лэндинг'!$I$5:$I$300,'ИТОГО Лэндинг'!$B$5:$B$300,$B200),8)))</f>
        <v/>
      </c>
      <c r="J200" s="247" t="str">
        <f>IF($B200="","",IF(AND(C200="",F200=""),"",ROUND(SUMIFS('ИТОГО Торговля'!$J$5:$J$300,'ИТОГО Торговля'!$B$5:$B$300,$B200)+SUMIFS('ИТОГО Лэндинг'!$J$5:$J$300,'ИТОГО Лэндинг'!$B$5:$B$300,$B200),8)))</f>
        <v/>
      </c>
      <c r="K200" s="246" t="str">
        <f>IF(MIN(N(C200),N(F200))&lt;=0,"",ROUND(MIN(N(C200),N(F200))*(N(G200)-N(D200)),8))</f>
        <v/>
      </c>
      <c r="L200" s="183" t="str">
        <f>IF(MIN(N(C200),N(F200))&lt;=0,"",IF(N(D200)=0,"",ROUND((N(G200)/N(D200)-1)*100,2)))</f>
        <v/>
      </c>
      <c r="M200" s="183" t="str">
        <f>IF(OR(ROUND(N(C200)-N(F200),8)=0,1-N(Ввод!$J$19)/100&lt;=0),"",IF(N(C200)&gt;N(F200),(N(E200)-N(H200))/((N(C200)-N(F200))*(1-N(Ввод!$J$19)/100)),(N(H200)-N(E200))/((N(F200)-N(C200))*(1+N(Ввод!$J$19)/100))))</f>
        <v/>
      </c>
    </row>
    <row r="201" ht="22" customHeight="1">
      <c r="B201" s="239" t="n"/>
      <c r="C201" s="240" t="str">
        <f>IF($B201="","",IF(SUMIFS('ИТОГО Торговля'!$C$5:$C$300,'ИТОГО Торговля'!$B$5:$B$300,$B201)+SUMIFS('ИТОГО Лэндинг'!$C$5:$C$300,'ИТОГО Лэндинг'!$B$5:$B$300,$B201)=0,"",SUMIFS('ИТОГО Торговля'!$C$5:$C$300,'ИТОГО Торговля'!$B$5:$B$300,$B201)+SUMIFS('ИТОГО Лэндинг'!$C$5:$C$300,'ИТОГО Лэндинг'!$B$5:$B$300,$B201)))</f>
        <v/>
      </c>
      <c r="D201" s="177" t="str">
        <f>IF(C201="","",E201/C201)</f>
        <v/>
      </c>
      <c r="E201" s="241" t="str">
        <f>IF(C201="","",SUMIFS('ИТОГО Торговля'!$E$5:$E$300,'ИТОГО Торговля'!$B$5:$B$300,$B201)+SUMIFS('ИТОГО Лэндинг'!$E$5:$E$300,'ИТОГО Лэндинг'!$B$5:$B$300,$B201))</f>
        <v/>
      </c>
      <c r="F201" s="240" t="str">
        <f>IF($B201="","",IF(SUMIFS('ИТОГО Торговля'!$F$5:$F$300,'ИТОГО Торговля'!$B$5:$B$300,$B201)+SUMIFS('ИТОГО Лэндинг'!$F$5:$F$300,'ИТОГО Лэндинг'!$B$5:$B$300,$B201)=0,"",SUMIFS('ИТОГО Торговля'!$F$5:$F$300,'ИТОГО Торговля'!$B$5:$B$300,$B201)+SUMIFS('ИТОГО Лэндинг'!$F$5:$F$300,'ИТОГО Лэндинг'!$B$5:$B$300,$B201)))</f>
        <v/>
      </c>
      <c r="G201" s="177" t="str">
        <f>IF(F201="","",H201/F201)</f>
        <v/>
      </c>
      <c r="H201" s="241" t="str">
        <f>IF(F201="","",SUMIFS('ИТОГО Торговля'!$H$5:$H$300,'ИТОГО Торговля'!$B$5:$B$300,$B201)+SUMIFS('ИТОГО Лэндинг'!$H$5:$H$300,'ИТОГО Лэндинг'!$B$5:$B$300,$B201))</f>
        <v/>
      </c>
      <c r="I201" s="240" t="str">
        <f>IF($B201="","",IF(AND(C201="",F201=""),"",ROUND(SUMIFS('ИТОГО Торговля'!$I$5:$I$300,'ИТОГО Торговля'!$B$5:$B$300,$B201)+SUMIFS('ИТОГО Лэндинг'!$I$5:$I$300,'ИТОГО Лэндинг'!$B$5:$B$300,$B201),8)))</f>
        <v/>
      </c>
      <c r="J201" s="241" t="str">
        <f>IF($B201="","",IF(AND(C201="",F201=""),"",ROUND(SUMIFS('ИТОГО Торговля'!$J$5:$J$300,'ИТОГО Торговля'!$B$5:$B$300,$B201)+SUMIFS('ИТОГО Лэндинг'!$J$5:$J$300,'ИТОГО Лэндинг'!$B$5:$B$300,$B201),8)))</f>
        <v/>
      </c>
      <c r="K201" s="240" t="str">
        <f>IF(MIN(N(C201),N(F201))&lt;=0,"",ROUND(MIN(N(C201),N(F201))*(N(G201)-N(D201)),8))</f>
        <v/>
      </c>
      <c r="L201" s="177" t="str">
        <f>IF(MIN(N(C201),N(F201))&lt;=0,"",IF(N(D201)=0,"",ROUND((N(G201)/N(D201)-1)*100,2)))</f>
        <v/>
      </c>
      <c r="M201" s="177" t="str">
        <f>IF(OR(ROUND(N(C201)-N(F201),8)=0,1-N(Ввод!$J$19)/100&lt;=0),"",IF(N(C201)&gt;N(F201),(N(E201)-N(H201))/((N(C201)-N(F201))*(1-N(Ввод!$J$19)/100)),(N(H201)-N(E201))/((N(F201)-N(C201))*(1+N(Ввод!$J$19)/100))))</f>
        <v/>
      </c>
    </row>
    <row r="202" ht="22" customHeight="1">
      <c r="B202" s="245" t="n"/>
      <c r="C202" s="246" t="str">
        <f>IF($B202="","",IF(SUMIFS('ИТОГО Торговля'!$C$5:$C$300,'ИТОГО Торговля'!$B$5:$B$300,$B202)+SUMIFS('ИТОГО Лэндинг'!$C$5:$C$300,'ИТОГО Лэндинг'!$B$5:$B$300,$B202)=0,"",SUMIFS('ИТОГО Торговля'!$C$5:$C$300,'ИТОГО Торговля'!$B$5:$B$300,$B202)+SUMIFS('ИТОГО Лэндинг'!$C$5:$C$300,'ИТОГО Лэндинг'!$B$5:$B$300,$B202)))</f>
        <v/>
      </c>
      <c r="D202" s="183" t="str">
        <f>IF(C202="","",E202/C202)</f>
        <v/>
      </c>
      <c r="E202" s="247" t="str">
        <f>IF(C202="","",SUMIFS('ИТОГО Торговля'!$E$5:$E$300,'ИТОГО Торговля'!$B$5:$B$300,$B202)+SUMIFS('ИТОГО Лэндинг'!$E$5:$E$300,'ИТОГО Лэндинг'!$B$5:$B$300,$B202))</f>
        <v/>
      </c>
      <c r="F202" s="246" t="str">
        <f>IF($B202="","",IF(SUMIFS('ИТОГО Торговля'!$F$5:$F$300,'ИТОГО Торговля'!$B$5:$B$300,$B202)+SUMIFS('ИТОГО Лэндинг'!$F$5:$F$300,'ИТОГО Лэндинг'!$B$5:$B$300,$B202)=0,"",SUMIFS('ИТОГО Торговля'!$F$5:$F$300,'ИТОГО Торговля'!$B$5:$B$300,$B202)+SUMIFS('ИТОГО Лэндинг'!$F$5:$F$300,'ИТОГО Лэндинг'!$B$5:$B$300,$B202)))</f>
        <v/>
      </c>
      <c r="G202" s="183" t="str">
        <f>IF(F202="","",H202/F202)</f>
        <v/>
      </c>
      <c r="H202" s="247" t="str">
        <f>IF(F202="","",SUMIFS('ИТОГО Торговля'!$H$5:$H$300,'ИТОГО Торговля'!$B$5:$B$300,$B202)+SUMIFS('ИТОГО Лэндинг'!$H$5:$H$300,'ИТОГО Лэндинг'!$B$5:$B$300,$B202))</f>
        <v/>
      </c>
      <c r="I202" s="246" t="str">
        <f>IF($B202="","",IF(AND(C202="",F202=""),"",ROUND(SUMIFS('ИТОГО Торговля'!$I$5:$I$300,'ИТОГО Торговля'!$B$5:$B$300,$B202)+SUMIFS('ИТОГО Лэндинг'!$I$5:$I$300,'ИТОГО Лэндинг'!$B$5:$B$300,$B202),8)))</f>
        <v/>
      </c>
      <c r="J202" s="247" t="str">
        <f>IF($B202="","",IF(AND(C202="",F202=""),"",ROUND(SUMIFS('ИТОГО Торговля'!$J$5:$J$300,'ИТОГО Торговля'!$B$5:$B$300,$B202)+SUMIFS('ИТОГО Лэндинг'!$J$5:$J$300,'ИТОГО Лэндинг'!$B$5:$B$300,$B202),8)))</f>
        <v/>
      </c>
      <c r="K202" s="246" t="str">
        <f>IF(MIN(N(C202),N(F202))&lt;=0,"",ROUND(MIN(N(C202),N(F202))*(N(G202)-N(D202)),8))</f>
        <v/>
      </c>
      <c r="L202" s="183" t="str">
        <f>IF(MIN(N(C202),N(F202))&lt;=0,"",IF(N(D202)=0,"",ROUND((N(G202)/N(D202)-1)*100,2)))</f>
        <v/>
      </c>
      <c r="M202" s="183" t="str">
        <f>IF(OR(ROUND(N(C202)-N(F202),8)=0,1-N(Ввод!$J$19)/100&lt;=0),"",IF(N(C202)&gt;N(F202),(N(E202)-N(H202))/((N(C202)-N(F202))*(1-N(Ввод!$J$19)/100)),(N(H202)-N(E202))/((N(F202)-N(C202))*(1+N(Ввод!$J$19)/100))))</f>
        <v/>
      </c>
    </row>
    <row r="203" ht="22" customHeight="1">
      <c r="B203" s="239" t="n"/>
      <c r="C203" s="240" t="str">
        <f>IF($B203="","",IF(SUMIFS('ИТОГО Торговля'!$C$5:$C$300,'ИТОГО Торговля'!$B$5:$B$300,$B203)+SUMIFS('ИТОГО Лэндинг'!$C$5:$C$300,'ИТОГО Лэндинг'!$B$5:$B$300,$B203)=0,"",SUMIFS('ИТОГО Торговля'!$C$5:$C$300,'ИТОГО Торговля'!$B$5:$B$300,$B203)+SUMIFS('ИТОГО Лэндинг'!$C$5:$C$300,'ИТОГО Лэндинг'!$B$5:$B$300,$B203)))</f>
        <v/>
      </c>
      <c r="D203" s="177" t="str">
        <f>IF(C203="","",E203/C203)</f>
        <v/>
      </c>
      <c r="E203" s="241" t="str">
        <f>IF(C203="","",SUMIFS('ИТОГО Торговля'!$E$5:$E$300,'ИТОГО Торговля'!$B$5:$B$300,$B203)+SUMIFS('ИТОГО Лэндинг'!$E$5:$E$300,'ИТОГО Лэндинг'!$B$5:$B$300,$B203))</f>
        <v/>
      </c>
      <c r="F203" s="240" t="str">
        <f>IF($B203="","",IF(SUMIFS('ИТОГО Торговля'!$F$5:$F$300,'ИТОГО Торговля'!$B$5:$B$300,$B203)+SUMIFS('ИТОГО Лэндинг'!$F$5:$F$300,'ИТОГО Лэндинг'!$B$5:$B$300,$B203)=0,"",SUMIFS('ИТОГО Торговля'!$F$5:$F$300,'ИТОГО Торговля'!$B$5:$B$300,$B203)+SUMIFS('ИТОГО Лэндинг'!$F$5:$F$300,'ИТОГО Лэндинг'!$B$5:$B$300,$B203)))</f>
        <v/>
      </c>
      <c r="G203" s="177" t="str">
        <f>IF(F203="","",H203/F203)</f>
        <v/>
      </c>
      <c r="H203" s="241" t="str">
        <f>IF(F203="","",SUMIFS('ИТОГО Торговля'!$H$5:$H$300,'ИТОГО Торговля'!$B$5:$B$300,$B203)+SUMIFS('ИТОГО Лэндинг'!$H$5:$H$300,'ИТОГО Лэндинг'!$B$5:$B$300,$B203))</f>
        <v/>
      </c>
      <c r="I203" s="240" t="str">
        <f>IF($B203="","",IF(AND(C203="",F203=""),"",ROUND(SUMIFS('ИТОГО Торговля'!$I$5:$I$300,'ИТОГО Торговля'!$B$5:$B$300,$B203)+SUMIFS('ИТОГО Лэндинг'!$I$5:$I$300,'ИТОГО Лэндинг'!$B$5:$B$300,$B203),8)))</f>
        <v/>
      </c>
      <c r="J203" s="241" t="str">
        <f>IF($B203="","",IF(AND(C203="",F203=""),"",ROUND(SUMIFS('ИТОГО Торговля'!$J$5:$J$300,'ИТОГО Торговля'!$B$5:$B$300,$B203)+SUMIFS('ИТОГО Лэндинг'!$J$5:$J$300,'ИТОГО Лэндинг'!$B$5:$B$300,$B203),8)))</f>
        <v/>
      </c>
      <c r="K203" s="240" t="str">
        <f>IF(MIN(N(C203),N(F203))&lt;=0,"",ROUND(MIN(N(C203),N(F203))*(N(G203)-N(D203)),8))</f>
        <v/>
      </c>
      <c r="L203" s="177" t="str">
        <f>IF(MIN(N(C203),N(F203))&lt;=0,"",IF(N(D203)=0,"",ROUND((N(G203)/N(D203)-1)*100,2)))</f>
        <v/>
      </c>
      <c r="M203" s="177" t="str">
        <f>IF(OR(ROUND(N(C203)-N(F203),8)=0,1-N(Ввод!$J$19)/100&lt;=0),"",IF(N(C203)&gt;N(F203),(N(E203)-N(H203))/((N(C203)-N(F203))*(1-N(Ввод!$J$19)/100)),(N(H203)-N(E203))/((N(F203)-N(C203))*(1+N(Ввод!$J$19)/100))))</f>
        <v/>
      </c>
    </row>
    <row r="204" ht="22" customHeight="1">
      <c r="B204" s="245" t="n"/>
      <c r="C204" s="246" t="str">
        <f>IF($B204="","",IF(SUMIFS('ИТОГО Торговля'!$C$5:$C$300,'ИТОГО Торговля'!$B$5:$B$300,$B204)+SUMIFS('ИТОГО Лэндинг'!$C$5:$C$300,'ИТОГО Лэндинг'!$B$5:$B$300,$B204)=0,"",SUMIFS('ИТОГО Торговля'!$C$5:$C$300,'ИТОГО Торговля'!$B$5:$B$300,$B204)+SUMIFS('ИТОГО Лэндинг'!$C$5:$C$300,'ИТОГО Лэндинг'!$B$5:$B$300,$B204)))</f>
        <v/>
      </c>
      <c r="D204" s="183" t="str">
        <f>IF(C204="","",E204/C204)</f>
        <v/>
      </c>
      <c r="E204" s="247" t="str">
        <f>IF(C204="","",SUMIFS('ИТОГО Торговля'!$E$5:$E$300,'ИТОГО Торговля'!$B$5:$B$300,$B204)+SUMIFS('ИТОГО Лэндинг'!$E$5:$E$300,'ИТОГО Лэндинг'!$B$5:$B$300,$B204))</f>
        <v/>
      </c>
      <c r="F204" s="246" t="str">
        <f>IF($B204="","",IF(SUMIFS('ИТОГО Торговля'!$F$5:$F$300,'ИТОГО Торговля'!$B$5:$B$300,$B204)+SUMIFS('ИТОГО Лэндинг'!$F$5:$F$300,'ИТОГО Лэндинг'!$B$5:$B$300,$B204)=0,"",SUMIFS('ИТОГО Торговля'!$F$5:$F$300,'ИТОГО Торговля'!$B$5:$B$300,$B204)+SUMIFS('ИТОГО Лэндинг'!$F$5:$F$300,'ИТОГО Лэндинг'!$B$5:$B$300,$B204)))</f>
        <v/>
      </c>
      <c r="G204" s="183" t="str">
        <f>IF(F204="","",H204/F204)</f>
        <v/>
      </c>
      <c r="H204" s="247" t="str">
        <f>IF(F204="","",SUMIFS('ИТОГО Торговля'!$H$5:$H$300,'ИТОГО Торговля'!$B$5:$B$300,$B204)+SUMIFS('ИТОГО Лэндинг'!$H$5:$H$300,'ИТОГО Лэндинг'!$B$5:$B$300,$B204))</f>
        <v/>
      </c>
      <c r="I204" s="246" t="str">
        <f>IF($B204="","",IF(AND(C204="",F204=""),"",ROUND(SUMIFS('ИТОГО Торговля'!$I$5:$I$300,'ИТОГО Торговля'!$B$5:$B$300,$B204)+SUMIFS('ИТОГО Лэндинг'!$I$5:$I$300,'ИТОГО Лэндинг'!$B$5:$B$300,$B204),8)))</f>
        <v/>
      </c>
      <c r="J204" s="247" t="str">
        <f>IF($B204="","",IF(AND(C204="",F204=""),"",ROUND(SUMIFS('ИТОГО Торговля'!$J$5:$J$300,'ИТОГО Торговля'!$B$5:$B$300,$B204)+SUMIFS('ИТОГО Лэндинг'!$J$5:$J$300,'ИТОГО Лэндинг'!$B$5:$B$300,$B204),8)))</f>
        <v/>
      </c>
      <c r="K204" s="246" t="str">
        <f>IF(MIN(N(C204),N(F204))&lt;=0,"",ROUND(MIN(N(C204),N(F204))*(N(G204)-N(D204)),8))</f>
        <v/>
      </c>
      <c r="L204" s="183" t="str">
        <f>IF(MIN(N(C204),N(F204))&lt;=0,"",IF(N(D204)=0,"",ROUND((N(G204)/N(D204)-1)*100,2)))</f>
        <v/>
      </c>
      <c r="M204" s="183" t="str">
        <f>IF(OR(ROUND(N(C204)-N(F204),8)=0,1-N(Ввод!$J$19)/100&lt;=0),"",IF(N(C204)&gt;N(F204),(N(E204)-N(H204))/((N(C204)-N(F204))*(1-N(Ввод!$J$19)/100)),(N(H204)-N(E204))/((N(F204)-N(C204))*(1+N(Ввод!$J$19)/100))))</f>
        <v/>
      </c>
    </row>
    <row r="205" ht="22" customHeight="1">
      <c r="B205" s="239" t="n"/>
      <c r="C205" s="240" t="str">
        <f>IF($B205="","",IF(SUMIFS('ИТОГО Торговля'!$C$5:$C$300,'ИТОГО Торговля'!$B$5:$B$300,$B205)+SUMIFS('ИТОГО Лэндинг'!$C$5:$C$300,'ИТОГО Лэндинг'!$B$5:$B$300,$B205)=0,"",SUMIFS('ИТОГО Торговля'!$C$5:$C$300,'ИТОГО Торговля'!$B$5:$B$300,$B205)+SUMIFS('ИТОГО Лэндинг'!$C$5:$C$300,'ИТОГО Лэндинг'!$B$5:$B$300,$B205)))</f>
        <v/>
      </c>
      <c r="D205" s="177" t="str">
        <f>IF(C205="","",E205/C205)</f>
        <v/>
      </c>
      <c r="E205" s="241" t="str">
        <f>IF(C205="","",SUMIFS('ИТОГО Торговля'!$E$5:$E$300,'ИТОГО Торговля'!$B$5:$B$300,$B205)+SUMIFS('ИТОГО Лэндинг'!$E$5:$E$300,'ИТОГО Лэндинг'!$B$5:$B$300,$B205))</f>
        <v/>
      </c>
      <c r="F205" s="240" t="str">
        <f>IF($B205="","",IF(SUMIFS('ИТОГО Торговля'!$F$5:$F$300,'ИТОГО Торговля'!$B$5:$B$300,$B205)+SUMIFS('ИТОГО Лэндинг'!$F$5:$F$300,'ИТОГО Лэндинг'!$B$5:$B$300,$B205)=0,"",SUMIFS('ИТОГО Торговля'!$F$5:$F$300,'ИТОГО Торговля'!$B$5:$B$300,$B205)+SUMIFS('ИТОГО Лэндинг'!$F$5:$F$300,'ИТОГО Лэндинг'!$B$5:$B$300,$B205)))</f>
        <v/>
      </c>
      <c r="G205" s="177" t="str">
        <f>IF(F205="","",H205/F205)</f>
        <v/>
      </c>
      <c r="H205" s="241" t="str">
        <f>IF(F205="","",SUMIFS('ИТОГО Торговля'!$H$5:$H$300,'ИТОГО Торговля'!$B$5:$B$300,$B205)+SUMIFS('ИТОГО Лэндинг'!$H$5:$H$300,'ИТОГО Лэндинг'!$B$5:$B$300,$B205))</f>
        <v/>
      </c>
      <c r="I205" s="240" t="str">
        <f>IF($B205="","",IF(AND(C205="",F205=""),"",ROUND(SUMIFS('ИТОГО Торговля'!$I$5:$I$300,'ИТОГО Торговля'!$B$5:$B$300,$B205)+SUMIFS('ИТОГО Лэндинг'!$I$5:$I$300,'ИТОГО Лэндинг'!$B$5:$B$300,$B205),8)))</f>
        <v/>
      </c>
      <c r="J205" s="241" t="str">
        <f>IF($B205="","",IF(AND(C205="",F205=""),"",ROUND(SUMIFS('ИТОГО Торговля'!$J$5:$J$300,'ИТОГО Торговля'!$B$5:$B$300,$B205)+SUMIFS('ИТОГО Лэндинг'!$J$5:$J$300,'ИТОГО Лэндинг'!$B$5:$B$300,$B205),8)))</f>
        <v/>
      </c>
      <c r="K205" s="240" t="str">
        <f>IF(MIN(N(C205),N(F205))&lt;=0,"",ROUND(MIN(N(C205),N(F205))*(N(G205)-N(D205)),8))</f>
        <v/>
      </c>
      <c r="L205" s="177" t="str">
        <f>IF(MIN(N(C205),N(F205))&lt;=0,"",IF(N(D205)=0,"",ROUND((N(G205)/N(D205)-1)*100,2)))</f>
        <v/>
      </c>
      <c r="M205" s="177" t="str">
        <f>IF(OR(ROUND(N(C205)-N(F205),8)=0,1-N(Ввод!$J$19)/100&lt;=0),"",IF(N(C205)&gt;N(F205),(N(E205)-N(H205))/((N(C205)-N(F205))*(1-N(Ввод!$J$19)/100)),(N(H205)-N(E205))/((N(F205)-N(C205))*(1+N(Ввод!$J$19)/100))))</f>
        <v/>
      </c>
    </row>
    <row r="206" ht="22" customHeight="1">
      <c r="B206" s="245" t="n"/>
      <c r="C206" s="246" t="str">
        <f>IF($B206="","",IF(SUMIFS('ИТОГО Торговля'!$C$5:$C$300,'ИТОГО Торговля'!$B$5:$B$300,$B206)+SUMIFS('ИТОГО Лэндинг'!$C$5:$C$300,'ИТОГО Лэндинг'!$B$5:$B$300,$B206)=0,"",SUMIFS('ИТОГО Торговля'!$C$5:$C$300,'ИТОГО Торговля'!$B$5:$B$300,$B206)+SUMIFS('ИТОГО Лэндинг'!$C$5:$C$300,'ИТОГО Лэндинг'!$B$5:$B$300,$B206)))</f>
        <v/>
      </c>
      <c r="D206" s="183" t="str">
        <f>IF(C206="","",E206/C206)</f>
        <v/>
      </c>
      <c r="E206" s="247" t="str">
        <f>IF(C206="","",SUMIFS('ИТОГО Торговля'!$E$5:$E$300,'ИТОГО Торговля'!$B$5:$B$300,$B206)+SUMIFS('ИТОГО Лэндинг'!$E$5:$E$300,'ИТОГО Лэндинг'!$B$5:$B$300,$B206))</f>
        <v/>
      </c>
      <c r="F206" s="246" t="str">
        <f>IF($B206="","",IF(SUMIFS('ИТОГО Торговля'!$F$5:$F$300,'ИТОГО Торговля'!$B$5:$B$300,$B206)+SUMIFS('ИТОГО Лэндинг'!$F$5:$F$300,'ИТОГО Лэндинг'!$B$5:$B$300,$B206)=0,"",SUMIFS('ИТОГО Торговля'!$F$5:$F$300,'ИТОГО Торговля'!$B$5:$B$300,$B206)+SUMIFS('ИТОГО Лэндинг'!$F$5:$F$300,'ИТОГО Лэндинг'!$B$5:$B$300,$B206)))</f>
        <v/>
      </c>
      <c r="G206" s="183" t="str">
        <f>IF(F206="","",H206/F206)</f>
        <v/>
      </c>
      <c r="H206" s="247" t="str">
        <f>IF(F206="","",SUMIFS('ИТОГО Торговля'!$H$5:$H$300,'ИТОГО Торговля'!$B$5:$B$300,$B206)+SUMIFS('ИТОГО Лэндинг'!$H$5:$H$300,'ИТОГО Лэндинг'!$B$5:$B$300,$B206))</f>
        <v/>
      </c>
      <c r="I206" s="246" t="str">
        <f>IF($B206="","",IF(AND(C206="",F206=""),"",ROUND(SUMIFS('ИТОГО Торговля'!$I$5:$I$300,'ИТОГО Торговля'!$B$5:$B$300,$B206)+SUMIFS('ИТОГО Лэндинг'!$I$5:$I$300,'ИТОГО Лэндинг'!$B$5:$B$300,$B206),8)))</f>
        <v/>
      </c>
      <c r="J206" s="247" t="str">
        <f>IF($B206="","",IF(AND(C206="",F206=""),"",ROUND(SUMIFS('ИТОГО Торговля'!$J$5:$J$300,'ИТОГО Торговля'!$B$5:$B$300,$B206)+SUMIFS('ИТОГО Лэндинг'!$J$5:$J$300,'ИТОГО Лэндинг'!$B$5:$B$300,$B206),8)))</f>
        <v/>
      </c>
      <c r="K206" s="246" t="str">
        <f>IF(MIN(N(C206),N(F206))&lt;=0,"",ROUND(MIN(N(C206),N(F206))*(N(G206)-N(D206)),8))</f>
        <v/>
      </c>
      <c r="L206" s="183" t="str">
        <f>IF(MIN(N(C206),N(F206))&lt;=0,"",IF(N(D206)=0,"",ROUND((N(G206)/N(D206)-1)*100,2)))</f>
        <v/>
      </c>
      <c r="M206" s="183" t="str">
        <f>IF(OR(ROUND(N(C206)-N(F206),8)=0,1-N(Ввод!$J$19)/100&lt;=0),"",IF(N(C206)&gt;N(F206),(N(E206)-N(H206))/((N(C206)-N(F206))*(1-N(Ввод!$J$19)/100)),(N(H206)-N(E206))/((N(F206)-N(C206))*(1+N(Ввод!$J$19)/100))))</f>
        <v/>
      </c>
    </row>
    <row r="207" ht="22" customHeight="1">
      <c r="B207" s="239" t="n"/>
      <c r="C207" s="240" t="str">
        <f>IF($B207="","",IF(SUMIFS('ИТОГО Торговля'!$C$5:$C$300,'ИТОГО Торговля'!$B$5:$B$300,$B207)+SUMIFS('ИТОГО Лэндинг'!$C$5:$C$300,'ИТОГО Лэндинг'!$B$5:$B$300,$B207)=0,"",SUMIFS('ИТОГО Торговля'!$C$5:$C$300,'ИТОГО Торговля'!$B$5:$B$300,$B207)+SUMIFS('ИТОГО Лэндинг'!$C$5:$C$300,'ИТОГО Лэндинг'!$B$5:$B$300,$B207)))</f>
        <v/>
      </c>
      <c r="D207" s="177" t="str">
        <f>IF(C207="","",E207/C207)</f>
        <v/>
      </c>
      <c r="E207" s="241" t="str">
        <f>IF(C207="","",SUMIFS('ИТОГО Торговля'!$E$5:$E$300,'ИТОГО Торговля'!$B$5:$B$300,$B207)+SUMIFS('ИТОГО Лэндинг'!$E$5:$E$300,'ИТОГО Лэндинг'!$B$5:$B$300,$B207))</f>
        <v/>
      </c>
      <c r="F207" s="240" t="str">
        <f>IF($B207="","",IF(SUMIFS('ИТОГО Торговля'!$F$5:$F$300,'ИТОГО Торговля'!$B$5:$B$300,$B207)+SUMIFS('ИТОГО Лэндинг'!$F$5:$F$300,'ИТОГО Лэндинг'!$B$5:$B$300,$B207)=0,"",SUMIFS('ИТОГО Торговля'!$F$5:$F$300,'ИТОГО Торговля'!$B$5:$B$300,$B207)+SUMIFS('ИТОГО Лэндинг'!$F$5:$F$300,'ИТОГО Лэндинг'!$B$5:$B$300,$B207)))</f>
        <v/>
      </c>
      <c r="G207" s="177" t="str">
        <f>IF(F207="","",H207/F207)</f>
        <v/>
      </c>
      <c r="H207" s="241" t="str">
        <f>IF(F207="","",SUMIFS('ИТОГО Торговля'!$H$5:$H$300,'ИТОГО Торговля'!$B$5:$B$300,$B207)+SUMIFS('ИТОГО Лэндинг'!$H$5:$H$300,'ИТОГО Лэндинг'!$B$5:$B$300,$B207))</f>
        <v/>
      </c>
      <c r="I207" s="240" t="str">
        <f>IF($B207="","",IF(AND(C207="",F207=""),"",ROUND(SUMIFS('ИТОГО Торговля'!$I$5:$I$300,'ИТОГО Торговля'!$B$5:$B$300,$B207)+SUMIFS('ИТОГО Лэндинг'!$I$5:$I$300,'ИТОГО Лэндинг'!$B$5:$B$300,$B207),8)))</f>
        <v/>
      </c>
      <c r="J207" s="241" t="str">
        <f>IF($B207="","",IF(AND(C207="",F207=""),"",ROUND(SUMIFS('ИТОГО Торговля'!$J$5:$J$300,'ИТОГО Торговля'!$B$5:$B$300,$B207)+SUMIFS('ИТОГО Лэндинг'!$J$5:$J$300,'ИТОГО Лэндинг'!$B$5:$B$300,$B207),8)))</f>
        <v/>
      </c>
      <c r="K207" s="240" t="str">
        <f>IF(MIN(N(C207),N(F207))&lt;=0,"",ROUND(MIN(N(C207),N(F207))*(N(G207)-N(D207)),8))</f>
        <v/>
      </c>
      <c r="L207" s="177" t="str">
        <f>IF(MIN(N(C207),N(F207))&lt;=0,"",IF(N(D207)=0,"",ROUND((N(G207)/N(D207)-1)*100,2)))</f>
        <v/>
      </c>
      <c r="M207" s="177" t="str">
        <f>IF(OR(ROUND(N(C207)-N(F207),8)=0,1-N(Ввод!$J$19)/100&lt;=0),"",IF(N(C207)&gt;N(F207),(N(E207)-N(H207))/((N(C207)-N(F207))*(1-N(Ввод!$J$19)/100)),(N(H207)-N(E207))/((N(F207)-N(C207))*(1+N(Ввод!$J$19)/100))))</f>
        <v/>
      </c>
    </row>
    <row r="208" ht="22" customHeight="1">
      <c r="B208" s="245" t="n"/>
      <c r="C208" s="246" t="str">
        <f>IF($B208="","",IF(SUMIFS('ИТОГО Торговля'!$C$5:$C$300,'ИТОГО Торговля'!$B$5:$B$300,$B208)+SUMIFS('ИТОГО Лэндинг'!$C$5:$C$300,'ИТОГО Лэндинг'!$B$5:$B$300,$B208)=0,"",SUMIFS('ИТОГО Торговля'!$C$5:$C$300,'ИТОГО Торговля'!$B$5:$B$300,$B208)+SUMIFS('ИТОГО Лэндинг'!$C$5:$C$300,'ИТОГО Лэндинг'!$B$5:$B$300,$B208)))</f>
        <v/>
      </c>
      <c r="D208" s="183" t="str">
        <f>IF(C208="","",E208/C208)</f>
        <v/>
      </c>
      <c r="E208" s="247" t="str">
        <f>IF(C208="","",SUMIFS('ИТОГО Торговля'!$E$5:$E$300,'ИТОГО Торговля'!$B$5:$B$300,$B208)+SUMIFS('ИТОГО Лэндинг'!$E$5:$E$300,'ИТОГО Лэндинг'!$B$5:$B$300,$B208))</f>
        <v/>
      </c>
      <c r="F208" s="246" t="str">
        <f>IF($B208="","",IF(SUMIFS('ИТОГО Торговля'!$F$5:$F$300,'ИТОГО Торговля'!$B$5:$B$300,$B208)+SUMIFS('ИТОГО Лэндинг'!$F$5:$F$300,'ИТОГО Лэндинг'!$B$5:$B$300,$B208)=0,"",SUMIFS('ИТОГО Торговля'!$F$5:$F$300,'ИТОГО Торговля'!$B$5:$B$300,$B208)+SUMIFS('ИТОГО Лэндинг'!$F$5:$F$300,'ИТОГО Лэндинг'!$B$5:$B$300,$B208)))</f>
        <v/>
      </c>
      <c r="G208" s="183" t="str">
        <f>IF(F208="","",H208/F208)</f>
        <v/>
      </c>
      <c r="H208" s="247" t="str">
        <f>IF(F208="","",SUMIFS('ИТОГО Торговля'!$H$5:$H$300,'ИТОГО Торговля'!$B$5:$B$300,$B208)+SUMIFS('ИТОГО Лэндинг'!$H$5:$H$300,'ИТОГО Лэндинг'!$B$5:$B$300,$B208))</f>
        <v/>
      </c>
      <c r="I208" s="246" t="str">
        <f>IF($B208="","",IF(AND(C208="",F208=""),"",ROUND(SUMIFS('ИТОГО Торговля'!$I$5:$I$300,'ИТОГО Торговля'!$B$5:$B$300,$B208)+SUMIFS('ИТОГО Лэндинг'!$I$5:$I$300,'ИТОГО Лэндинг'!$B$5:$B$300,$B208),8)))</f>
        <v/>
      </c>
      <c r="J208" s="247" t="str">
        <f>IF($B208="","",IF(AND(C208="",F208=""),"",ROUND(SUMIFS('ИТОГО Торговля'!$J$5:$J$300,'ИТОГО Торговля'!$B$5:$B$300,$B208)+SUMIFS('ИТОГО Лэндинг'!$J$5:$J$300,'ИТОГО Лэндинг'!$B$5:$B$300,$B208),8)))</f>
        <v/>
      </c>
      <c r="K208" s="246" t="str">
        <f>IF(MIN(N(C208),N(F208))&lt;=0,"",ROUND(MIN(N(C208),N(F208))*(N(G208)-N(D208)),8))</f>
        <v/>
      </c>
      <c r="L208" s="183" t="str">
        <f>IF(MIN(N(C208),N(F208))&lt;=0,"",IF(N(D208)=0,"",ROUND((N(G208)/N(D208)-1)*100,2)))</f>
        <v/>
      </c>
      <c r="M208" s="183" t="str">
        <f>IF(OR(ROUND(N(C208)-N(F208),8)=0,1-N(Ввод!$J$19)/100&lt;=0),"",IF(N(C208)&gt;N(F208),(N(E208)-N(H208))/((N(C208)-N(F208))*(1-N(Ввод!$J$19)/100)),(N(H208)-N(E208))/((N(F208)-N(C208))*(1+N(Ввод!$J$19)/100))))</f>
        <v/>
      </c>
    </row>
    <row r="209" ht="22" customHeight="1">
      <c r="B209" s="239" t="n"/>
      <c r="C209" s="240" t="str">
        <f>IF($B209="","",IF(SUMIFS('ИТОГО Торговля'!$C$5:$C$300,'ИТОГО Торговля'!$B$5:$B$300,$B209)+SUMIFS('ИТОГО Лэндинг'!$C$5:$C$300,'ИТОГО Лэндинг'!$B$5:$B$300,$B209)=0,"",SUMIFS('ИТОГО Торговля'!$C$5:$C$300,'ИТОГО Торговля'!$B$5:$B$300,$B209)+SUMIFS('ИТОГО Лэндинг'!$C$5:$C$300,'ИТОГО Лэндинг'!$B$5:$B$300,$B209)))</f>
        <v/>
      </c>
      <c r="D209" s="177" t="str">
        <f>IF(C209="","",E209/C209)</f>
        <v/>
      </c>
      <c r="E209" s="241" t="str">
        <f>IF(C209="","",SUMIFS('ИТОГО Торговля'!$E$5:$E$300,'ИТОГО Торговля'!$B$5:$B$300,$B209)+SUMIFS('ИТОГО Лэндинг'!$E$5:$E$300,'ИТОГО Лэндинг'!$B$5:$B$300,$B209))</f>
        <v/>
      </c>
      <c r="F209" s="240" t="str">
        <f>IF($B209="","",IF(SUMIFS('ИТОГО Торговля'!$F$5:$F$300,'ИТОГО Торговля'!$B$5:$B$300,$B209)+SUMIFS('ИТОГО Лэндинг'!$F$5:$F$300,'ИТОГО Лэндинг'!$B$5:$B$300,$B209)=0,"",SUMIFS('ИТОГО Торговля'!$F$5:$F$300,'ИТОГО Торговля'!$B$5:$B$300,$B209)+SUMIFS('ИТОГО Лэндинг'!$F$5:$F$300,'ИТОГО Лэндинг'!$B$5:$B$300,$B209)))</f>
        <v/>
      </c>
      <c r="G209" s="177" t="str">
        <f>IF(F209="","",H209/F209)</f>
        <v/>
      </c>
      <c r="H209" s="241" t="str">
        <f>IF(F209="","",SUMIFS('ИТОГО Торговля'!$H$5:$H$300,'ИТОГО Торговля'!$B$5:$B$300,$B209)+SUMIFS('ИТОГО Лэндинг'!$H$5:$H$300,'ИТОГО Лэндинг'!$B$5:$B$300,$B209))</f>
        <v/>
      </c>
      <c r="I209" s="240" t="str">
        <f>IF($B209="","",IF(AND(C209="",F209=""),"",ROUND(SUMIFS('ИТОГО Торговля'!$I$5:$I$300,'ИТОГО Торговля'!$B$5:$B$300,$B209)+SUMIFS('ИТОГО Лэндинг'!$I$5:$I$300,'ИТОГО Лэндинг'!$B$5:$B$300,$B209),8)))</f>
        <v/>
      </c>
      <c r="J209" s="241" t="str">
        <f>IF($B209="","",IF(AND(C209="",F209=""),"",ROUND(SUMIFS('ИТОГО Торговля'!$J$5:$J$300,'ИТОГО Торговля'!$B$5:$B$300,$B209)+SUMIFS('ИТОГО Лэндинг'!$J$5:$J$300,'ИТОГО Лэндинг'!$B$5:$B$300,$B209),8)))</f>
        <v/>
      </c>
      <c r="K209" s="240" t="str">
        <f>IF(MIN(N(C209),N(F209))&lt;=0,"",ROUND(MIN(N(C209),N(F209))*(N(G209)-N(D209)),8))</f>
        <v/>
      </c>
      <c r="L209" s="177" t="str">
        <f>IF(MIN(N(C209),N(F209))&lt;=0,"",IF(N(D209)=0,"",ROUND((N(G209)/N(D209)-1)*100,2)))</f>
        <v/>
      </c>
      <c r="M209" s="177" t="str">
        <f>IF(OR(ROUND(N(C209)-N(F209),8)=0,1-N(Ввод!$J$19)/100&lt;=0),"",IF(N(C209)&gt;N(F209),(N(E209)-N(H209))/((N(C209)-N(F209))*(1-N(Ввод!$J$19)/100)),(N(H209)-N(E209))/((N(F209)-N(C209))*(1+N(Ввод!$J$19)/100))))</f>
        <v/>
      </c>
    </row>
    <row r="210" ht="22" customHeight="1">
      <c r="B210" s="245" t="n"/>
      <c r="C210" s="246" t="str">
        <f>IF($B210="","",IF(SUMIFS('ИТОГО Торговля'!$C$5:$C$300,'ИТОГО Торговля'!$B$5:$B$300,$B210)+SUMIFS('ИТОГО Лэндинг'!$C$5:$C$300,'ИТОГО Лэндинг'!$B$5:$B$300,$B210)=0,"",SUMIFS('ИТОГО Торговля'!$C$5:$C$300,'ИТОГО Торговля'!$B$5:$B$300,$B210)+SUMIFS('ИТОГО Лэндинг'!$C$5:$C$300,'ИТОГО Лэндинг'!$B$5:$B$300,$B210)))</f>
        <v/>
      </c>
      <c r="D210" s="183" t="str">
        <f>IF(C210="","",E210/C210)</f>
        <v/>
      </c>
      <c r="E210" s="247" t="str">
        <f>IF(C210="","",SUMIFS('ИТОГО Торговля'!$E$5:$E$300,'ИТОГО Торговля'!$B$5:$B$300,$B210)+SUMIFS('ИТОГО Лэндинг'!$E$5:$E$300,'ИТОГО Лэндинг'!$B$5:$B$300,$B210))</f>
        <v/>
      </c>
      <c r="F210" s="246" t="str">
        <f>IF($B210="","",IF(SUMIFS('ИТОГО Торговля'!$F$5:$F$300,'ИТОГО Торговля'!$B$5:$B$300,$B210)+SUMIFS('ИТОГО Лэндинг'!$F$5:$F$300,'ИТОГО Лэндинг'!$B$5:$B$300,$B210)=0,"",SUMIFS('ИТОГО Торговля'!$F$5:$F$300,'ИТОГО Торговля'!$B$5:$B$300,$B210)+SUMIFS('ИТОГО Лэндинг'!$F$5:$F$300,'ИТОГО Лэндинг'!$B$5:$B$300,$B210)))</f>
        <v/>
      </c>
      <c r="G210" s="183" t="str">
        <f>IF(F210="","",H210/F210)</f>
        <v/>
      </c>
      <c r="H210" s="247" t="str">
        <f>IF(F210="","",SUMIFS('ИТОГО Торговля'!$H$5:$H$300,'ИТОГО Торговля'!$B$5:$B$300,$B210)+SUMIFS('ИТОГО Лэндинг'!$H$5:$H$300,'ИТОГО Лэндинг'!$B$5:$B$300,$B210))</f>
        <v/>
      </c>
      <c r="I210" s="246" t="str">
        <f>IF($B210="","",IF(AND(C210="",F210=""),"",ROUND(SUMIFS('ИТОГО Торговля'!$I$5:$I$300,'ИТОГО Торговля'!$B$5:$B$300,$B210)+SUMIFS('ИТОГО Лэндинг'!$I$5:$I$300,'ИТОГО Лэндинг'!$B$5:$B$300,$B210),8)))</f>
        <v/>
      </c>
      <c r="J210" s="247" t="str">
        <f>IF($B210="","",IF(AND(C210="",F210=""),"",ROUND(SUMIFS('ИТОГО Торговля'!$J$5:$J$300,'ИТОГО Торговля'!$B$5:$B$300,$B210)+SUMIFS('ИТОГО Лэндинг'!$J$5:$J$300,'ИТОГО Лэндинг'!$B$5:$B$300,$B210),8)))</f>
        <v/>
      </c>
      <c r="K210" s="246" t="str">
        <f>IF(MIN(N(C210),N(F210))&lt;=0,"",ROUND(MIN(N(C210),N(F210))*(N(G210)-N(D210)),8))</f>
        <v/>
      </c>
      <c r="L210" s="183" t="str">
        <f>IF(MIN(N(C210),N(F210))&lt;=0,"",IF(N(D210)=0,"",ROUND((N(G210)/N(D210)-1)*100,2)))</f>
        <v/>
      </c>
      <c r="M210" s="183" t="str">
        <f>IF(OR(ROUND(N(C210)-N(F210),8)=0,1-N(Ввод!$J$19)/100&lt;=0),"",IF(N(C210)&gt;N(F210),(N(E210)-N(H210))/((N(C210)-N(F210))*(1-N(Ввод!$J$19)/100)),(N(H210)-N(E210))/((N(F210)-N(C210))*(1+N(Ввод!$J$19)/100))))</f>
        <v/>
      </c>
    </row>
    <row r="211" ht="22" customHeight="1">
      <c r="B211" s="239" t="n"/>
      <c r="C211" s="240" t="str">
        <f>IF($B211="","",IF(SUMIFS('ИТОГО Торговля'!$C$5:$C$300,'ИТОГО Торговля'!$B$5:$B$300,$B211)+SUMIFS('ИТОГО Лэндинг'!$C$5:$C$300,'ИТОГО Лэндинг'!$B$5:$B$300,$B211)=0,"",SUMIFS('ИТОГО Торговля'!$C$5:$C$300,'ИТОГО Торговля'!$B$5:$B$300,$B211)+SUMIFS('ИТОГО Лэндинг'!$C$5:$C$300,'ИТОГО Лэндинг'!$B$5:$B$300,$B211)))</f>
        <v/>
      </c>
      <c r="D211" s="177" t="str">
        <f>IF(C211="","",E211/C211)</f>
        <v/>
      </c>
      <c r="E211" s="241" t="str">
        <f>IF(C211="","",SUMIFS('ИТОГО Торговля'!$E$5:$E$300,'ИТОГО Торговля'!$B$5:$B$300,$B211)+SUMIFS('ИТОГО Лэндинг'!$E$5:$E$300,'ИТОГО Лэндинг'!$B$5:$B$300,$B211))</f>
        <v/>
      </c>
      <c r="F211" s="240" t="str">
        <f>IF($B211="","",IF(SUMIFS('ИТОГО Торговля'!$F$5:$F$300,'ИТОГО Торговля'!$B$5:$B$300,$B211)+SUMIFS('ИТОГО Лэндинг'!$F$5:$F$300,'ИТОГО Лэндинг'!$B$5:$B$300,$B211)=0,"",SUMIFS('ИТОГО Торговля'!$F$5:$F$300,'ИТОГО Торговля'!$B$5:$B$300,$B211)+SUMIFS('ИТОГО Лэндинг'!$F$5:$F$300,'ИТОГО Лэндинг'!$B$5:$B$300,$B211)))</f>
        <v/>
      </c>
      <c r="G211" s="177" t="str">
        <f>IF(F211="","",H211/F211)</f>
        <v/>
      </c>
      <c r="H211" s="241" t="str">
        <f>IF(F211="","",SUMIFS('ИТОГО Торговля'!$H$5:$H$300,'ИТОГО Торговля'!$B$5:$B$300,$B211)+SUMIFS('ИТОГО Лэндинг'!$H$5:$H$300,'ИТОГО Лэндинг'!$B$5:$B$300,$B211))</f>
        <v/>
      </c>
      <c r="I211" s="240" t="str">
        <f>IF($B211="","",IF(AND(C211="",F211=""),"",ROUND(SUMIFS('ИТОГО Торговля'!$I$5:$I$300,'ИТОГО Торговля'!$B$5:$B$300,$B211)+SUMIFS('ИТОГО Лэндинг'!$I$5:$I$300,'ИТОГО Лэндинг'!$B$5:$B$300,$B211),8)))</f>
        <v/>
      </c>
      <c r="J211" s="241" t="str">
        <f>IF($B211="","",IF(AND(C211="",F211=""),"",ROUND(SUMIFS('ИТОГО Торговля'!$J$5:$J$300,'ИТОГО Торговля'!$B$5:$B$300,$B211)+SUMIFS('ИТОГО Лэндинг'!$J$5:$J$300,'ИТОГО Лэндинг'!$B$5:$B$300,$B211),8)))</f>
        <v/>
      </c>
      <c r="K211" s="240" t="str">
        <f>IF(MIN(N(C211),N(F211))&lt;=0,"",ROUND(MIN(N(C211),N(F211))*(N(G211)-N(D211)),8))</f>
        <v/>
      </c>
      <c r="L211" s="177" t="str">
        <f>IF(MIN(N(C211),N(F211))&lt;=0,"",IF(N(D211)=0,"",ROUND((N(G211)/N(D211)-1)*100,2)))</f>
        <v/>
      </c>
      <c r="M211" s="177" t="str">
        <f>IF(OR(ROUND(N(C211)-N(F211),8)=0,1-N(Ввод!$J$19)/100&lt;=0),"",IF(N(C211)&gt;N(F211),(N(E211)-N(H211))/((N(C211)-N(F211))*(1-N(Ввод!$J$19)/100)),(N(H211)-N(E211))/((N(F211)-N(C211))*(1+N(Ввод!$J$19)/100))))</f>
        <v/>
      </c>
    </row>
    <row r="212" ht="22" customHeight="1">
      <c r="B212" s="245" t="n"/>
      <c r="C212" s="246" t="str">
        <f>IF($B212="","",IF(SUMIFS('ИТОГО Торговля'!$C$5:$C$300,'ИТОГО Торговля'!$B$5:$B$300,$B212)+SUMIFS('ИТОГО Лэндинг'!$C$5:$C$300,'ИТОГО Лэндинг'!$B$5:$B$300,$B212)=0,"",SUMIFS('ИТОГО Торговля'!$C$5:$C$300,'ИТОГО Торговля'!$B$5:$B$300,$B212)+SUMIFS('ИТОГО Лэндинг'!$C$5:$C$300,'ИТОГО Лэндинг'!$B$5:$B$300,$B212)))</f>
        <v/>
      </c>
      <c r="D212" s="183" t="str">
        <f>IF(C212="","",E212/C212)</f>
        <v/>
      </c>
      <c r="E212" s="247" t="str">
        <f>IF(C212="","",SUMIFS('ИТОГО Торговля'!$E$5:$E$300,'ИТОГО Торговля'!$B$5:$B$300,$B212)+SUMIFS('ИТОГО Лэндинг'!$E$5:$E$300,'ИТОГО Лэндинг'!$B$5:$B$300,$B212))</f>
        <v/>
      </c>
      <c r="F212" s="246" t="str">
        <f>IF($B212="","",IF(SUMIFS('ИТОГО Торговля'!$F$5:$F$300,'ИТОГО Торговля'!$B$5:$B$300,$B212)+SUMIFS('ИТОГО Лэндинг'!$F$5:$F$300,'ИТОГО Лэндинг'!$B$5:$B$300,$B212)=0,"",SUMIFS('ИТОГО Торговля'!$F$5:$F$300,'ИТОГО Торговля'!$B$5:$B$300,$B212)+SUMIFS('ИТОГО Лэндинг'!$F$5:$F$300,'ИТОГО Лэндинг'!$B$5:$B$300,$B212)))</f>
        <v/>
      </c>
      <c r="G212" s="183" t="str">
        <f>IF(F212="","",H212/F212)</f>
        <v/>
      </c>
      <c r="H212" s="247" t="str">
        <f>IF(F212="","",SUMIFS('ИТОГО Торговля'!$H$5:$H$300,'ИТОГО Торговля'!$B$5:$B$300,$B212)+SUMIFS('ИТОГО Лэндинг'!$H$5:$H$300,'ИТОГО Лэндинг'!$B$5:$B$300,$B212))</f>
        <v/>
      </c>
      <c r="I212" s="246" t="str">
        <f>IF($B212="","",IF(AND(C212="",F212=""),"",ROUND(SUMIFS('ИТОГО Торговля'!$I$5:$I$300,'ИТОГО Торговля'!$B$5:$B$300,$B212)+SUMIFS('ИТОГО Лэндинг'!$I$5:$I$300,'ИТОГО Лэндинг'!$B$5:$B$300,$B212),8)))</f>
        <v/>
      </c>
      <c r="J212" s="247" t="str">
        <f>IF($B212="","",IF(AND(C212="",F212=""),"",ROUND(SUMIFS('ИТОГО Торговля'!$J$5:$J$300,'ИТОГО Торговля'!$B$5:$B$300,$B212)+SUMIFS('ИТОГО Лэндинг'!$J$5:$J$300,'ИТОГО Лэндинг'!$B$5:$B$300,$B212),8)))</f>
        <v/>
      </c>
      <c r="K212" s="246" t="str">
        <f>IF(MIN(N(C212),N(F212))&lt;=0,"",ROUND(MIN(N(C212),N(F212))*(N(G212)-N(D212)),8))</f>
        <v/>
      </c>
      <c r="L212" s="183" t="str">
        <f>IF(MIN(N(C212),N(F212))&lt;=0,"",IF(N(D212)=0,"",ROUND((N(G212)/N(D212)-1)*100,2)))</f>
        <v/>
      </c>
      <c r="M212" s="183" t="str">
        <f>IF(OR(ROUND(N(C212)-N(F212),8)=0,1-N(Ввод!$J$19)/100&lt;=0),"",IF(N(C212)&gt;N(F212),(N(E212)-N(H212))/((N(C212)-N(F212))*(1-N(Ввод!$J$19)/100)),(N(H212)-N(E212))/((N(F212)-N(C212))*(1+N(Ввод!$J$19)/100))))</f>
        <v/>
      </c>
    </row>
    <row r="213" ht="22" customHeight="1">
      <c r="B213" s="239" t="n"/>
      <c r="C213" s="240" t="str">
        <f>IF($B213="","",IF(SUMIFS('ИТОГО Торговля'!$C$5:$C$300,'ИТОГО Торговля'!$B$5:$B$300,$B213)+SUMIFS('ИТОГО Лэндинг'!$C$5:$C$300,'ИТОГО Лэндинг'!$B$5:$B$300,$B213)=0,"",SUMIFS('ИТОГО Торговля'!$C$5:$C$300,'ИТОГО Торговля'!$B$5:$B$300,$B213)+SUMIFS('ИТОГО Лэндинг'!$C$5:$C$300,'ИТОГО Лэндинг'!$B$5:$B$300,$B213)))</f>
        <v/>
      </c>
      <c r="D213" s="177" t="str">
        <f>IF(C213="","",E213/C213)</f>
        <v/>
      </c>
      <c r="E213" s="241" t="str">
        <f>IF(C213="","",SUMIFS('ИТОГО Торговля'!$E$5:$E$300,'ИТОГО Торговля'!$B$5:$B$300,$B213)+SUMIFS('ИТОГО Лэндинг'!$E$5:$E$300,'ИТОГО Лэндинг'!$B$5:$B$300,$B213))</f>
        <v/>
      </c>
      <c r="F213" s="240" t="str">
        <f>IF($B213="","",IF(SUMIFS('ИТОГО Торговля'!$F$5:$F$300,'ИТОГО Торговля'!$B$5:$B$300,$B213)+SUMIFS('ИТОГО Лэндинг'!$F$5:$F$300,'ИТОГО Лэндинг'!$B$5:$B$300,$B213)=0,"",SUMIFS('ИТОГО Торговля'!$F$5:$F$300,'ИТОГО Торговля'!$B$5:$B$300,$B213)+SUMIFS('ИТОГО Лэндинг'!$F$5:$F$300,'ИТОГО Лэндинг'!$B$5:$B$300,$B213)))</f>
        <v/>
      </c>
      <c r="G213" s="177" t="str">
        <f>IF(F213="","",H213/F213)</f>
        <v/>
      </c>
      <c r="H213" s="241" t="str">
        <f>IF(F213="","",SUMIFS('ИТОГО Торговля'!$H$5:$H$300,'ИТОГО Торговля'!$B$5:$B$300,$B213)+SUMIFS('ИТОГО Лэндинг'!$H$5:$H$300,'ИТОГО Лэндинг'!$B$5:$B$300,$B213))</f>
        <v/>
      </c>
      <c r="I213" s="240" t="str">
        <f>IF($B213="","",IF(AND(C213="",F213=""),"",ROUND(SUMIFS('ИТОГО Торговля'!$I$5:$I$300,'ИТОГО Торговля'!$B$5:$B$300,$B213)+SUMIFS('ИТОГО Лэндинг'!$I$5:$I$300,'ИТОГО Лэндинг'!$B$5:$B$300,$B213),8)))</f>
        <v/>
      </c>
      <c r="J213" s="241" t="str">
        <f>IF($B213="","",IF(AND(C213="",F213=""),"",ROUND(SUMIFS('ИТОГО Торговля'!$J$5:$J$300,'ИТОГО Торговля'!$B$5:$B$300,$B213)+SUMIFS('ИТОГО Лэндинг'!$J$5:$J$300,'ИТОГО Лэндинг'!$B$5:$B$300,$B213),8)))</f>
        <v/>
      </c>
      <c r="K213" s="240" t="str">
        <f>IF(MIN(N(C213),N(F213))&lt;=0,"",ROUND(MIN(N(C213),N(F213))*(N(G213)-N(D213)),8))</f>
        <v/>
      </c>
      <c r="L213" s="177" t="str">
        <f>IF(MIN(N(C213),N(F213))&lt;=0,"",IF(N(D213)=0,"",ROUND((N(G213)/N(D213)-1)*100,2)))</f>
        <v/>
      </c>
      <c r="M213" s="177" t="str">
        <f>IF(OR(ROUND(N(C213)-N(F213),8)=0,1-N(Ввод!$J$19)/100&lt;=0),"",IF(N(C213)&gt;N(F213),(N(E213)-N(H213))/((N(C213)-N(F213))*(1-N(Ввод!$J$19)/100)),(N(H213)-N(E213))/((N(F213)-N(C213))*(1+N(Ввод!$J$19)/100))))</f>
        <v/>
      </c>
    </row>
    <row r="214" ht="22" customHeight="1">
      <c r="B214" s="245" t="n"/>
      <c r="C214" s="246" t="str">
        <f>IF($B214="","",IF(SUMIFS('ИТОГО Торговля'!$C$5:$C$300,'ИТОГО Торговля'!$B$5:$B$300,$B214)+SUMIFS('ИТОГО Лэндинг'!$C$5:$C$300,'ИТОГО Лэндинг'!$B$5:$B$300,$B214)=0,"",SUMIFS('ИТОГО Торговля'!$C$5:$C$300,'ИТОГО Торговля'!$B$5:$B$300,$B214)+SUMIFS('ИТОГО Лэндинг'!$C$5:$C$300,'ИТОГО Лэндинг'!$B$5:$B$300,$B214)))</f>
        <v/>
      </c>
      <c r="D214" s="183" t="str">
        <f>IF(C214="","",E214/C214)</f>
        <v/>
      </c>
      <c r="E214" s="247" t="str">
        <f>IF(C214="","",SUMIFS('ИТОГО Торговля'!$E$5:$E$300,'ИТОГО Торговля'!$B$5:$B$300,$B214)+SUMIFS('ИТОГО Лэндинг'!$E$5:$E$300,'ИТОГО Лэндинг'!$B$5:$B$300,$B214))</f>
        <v/>
      </c>
      <c r="F214" s="246" t="str">
        <f>IF($B214="","",IF(SUMIFS('ИТОГО Торговля'!$F$5:$F$300,'ИТОГО Торговля'!$B$5:$B$300,$B214)+SUMIFS('ИТОГО Лэндинг'!$F$5:$F$300,'ИТОГО Лэндинг'!$B$5:$B$300,$B214)=0,"",SUMIFS('ИТОГО Торговля'!$F$5:$F$300,'ИТОГО Торговля'!$B$5:$B$300,$B214)+SUMIFS('ИТОГО Лэндинг'!$F$5:$F$300,'ИТОГО Лэндинг'!$B$5:$B$300,$B214)))</f>
        <v/>
      </c>
      <c r="G214" s="183" t="str">
        <f>IF(F214="","",H214/F214)</f>
        <v/>
      </c>
      <c r="H214" s="247" t="str">
        <f>IF(F214="","",SUMIFS('ИТОГО Торговля'!$H$5:$H$300,'ИТОГО Торговля'!$B$5:$B$300,$B214)+SUMIFS('ИТОГО Лэндинг'!$H$5:$H$300,'ИТОГО Лэндинг'!$B$5:$B$300,$B214))</f>
        <v/>
      </c>
      <c r="I214" s="246" t="str">
        <f>IF($B214="","",IF(AND(C214="",F214=""),"",ROUND(SUMIFS('ИТОГО Торговля'!$I$5:$I$300,'ИТОГО Торговля'!$B$5:$B$300,$B214)+SUMIFS('ИТОГО Лэндинг'!$I$5:$I$300,'ИТОГО Лэндинг'!$B$5:$B$300,$B214),8)))</f>
        <v/>
      </c>
      <c r="J214" s="247" t="str">
        <f>IF($B214="","",IF(AND(C214="",F214=""),"",ROUND(SUMIFS('ИТОГО Торговля'!$J$5:$J$300,'ИТОГО Торговля'!$B$5:$B$300,$B214)+SUMIFS('ИТОГО Лэндинг'!$J$5:$J$300,'ИТОГО Лэндинг'!$B$5:$B$300,$B214),8)))</f>
        <v/>
      </c>
      <c r="K214" s="246" t="str">
        <f>IF(MIN(N(C214),N(F214))&lt;=0,"",ROUND(MIN(N(C214),N(F214))*(N(G214)-N(D214)),8))</f>
        <v/>
      </c>
      <c r="L214" s="183" t="str">
        <f>IF(MIN(N(C214),N(F214))&lt;=0,"",IF(N(D214)=0,"",ROUND((N(G214)/N(D214)-1)*100,2)))</f>
        <v/>
      </c>
      <c r="M214" s="183" t="str">
        <f>IF(OR(ROUND(N(C214)-N(F214),8)=0,1-N(Ввод!$J$19)/100&lt;=0),"",IF(N(C214)&gt;N(F214),(N(E214)-N(H214))/((N(C214)-N(F214))*(1-N(Ввод!$J$19)/100)),(N(H214)-N(E214))/((N(F214)-N(C214))*(1+N(Ввод!$J$19)/100))))</f>
        <v/>
      </c>
    </row>
    <row r="215" ht="22" customHeight="1">
      <c r="B215" s="239" t="n"/>
      <c r="C215" s="240" t="str">
        <f>IF($B215="","",IF(SUMIFS('ИТОГО Торговля'!$C$5:$C$300,'ИТОГО Торговля'!$B$5:$B$300,$B215)+SUMIFS('ИТОГО Лэндинг'!$C$5:$C$300,'ИТОГО Лэндинг'!$B$5:$B$300,$B215)=0,"",SUMIFS('ИТОГО Торговля'!$C$5:$C$300,'ИТОГО Торговля'!$B$5:$B$300,$B215)+SUMIFS('ИТОГО Лэндинг'!$C$5:$C$300,'ИТОГО Лэндинг'!$B$5:$B$300,$B215)))</f>
        <v/>
      </c>
      <c r="D215" s="177" t="str">
        <f>IF(C215="","",E215/C215)</f>
        <v/>
      </c>
      <c r="E215" s="241" t="str">
        <f>IF(C215="","",SUMIFS('ИТОГО Торговля'!$E$5:$E$300,'ИТОГО Торговля'!$B$5:$B$300,$B215)+SUMIFS('ИТОГО Лэндинг'!$E$5:$E$300,'ИТОГО Лэндинг'!$B$5:$B$300,$B215))</f>
        <v/>
      </c>
      <c r="F215" s="240" t="str">
        <f>IF($B215="","",IF(SUMIFS('ИТОГО Торговля'!$F$5:$F$300,'ИТОГО Торговля'!$B$5:$B$300,$B215)+SUMIFS('ИТОГО Лэндинг'!$F$5:$F$300,'ИТОГО Лэндинг'!$B$5:$B$300,$B215)=0,"",SUMIFS('ИТОГО Торговля'!$F$5:$F$300,'ИТОГО Торговля'!$B$5:$B$300,$B215)+SUMIFS('ИТОГО Лэндинг'!$F$5:$F$300,'ИТОГО Лэндинг'!$B$5:$B$300,$B215)))</f>
        <v/>
      </c>
      <c r="G215" s="177" t="str">
        <f>IF(F215="","",H215/F215)</f>
        <v/>
      </c>
      <c r="H215" s="241" t="str">
        <f>IF(F215="","",SUMIFS('ИТОГО Торговля'!$H$5:$H$300,'ИТОГО Торговля'!$B$5:$B$300,$B215)+SUMIFS('ИТОГО Лэндинг'!$H$5:$H$300,'ИТОГО Лэндинг'!$B$5:$B$300,$B215))</f>
        <v/>
      </c>
      <c r="I215" s="240" t="str">
        <f>IF($B215="","",IF(AND(C215="",F215=""),"",ROUND(SUMIFS('ИТОГО Торговля'!$I$5:$I$300,'ИТОГО Торговля'!$B$5:$B$300,$B215)+SUMIFS('ИТОГО Лэндинг'!$I$5:$I$300,'ИТОГО Лэндинг'!$B$5:$B$300,$B215),8)))</f>
        <v/>
      </c>
      <c r="J215" s="241" t="str">
        <f>IF($B215="","",IF(AND(C215="",F215=""),"",ROUND(SUMIFS('ИТОГО Торговля'!$J$5:$J$300,'ИТОГО Торговля'!$B$5:$B$300,$B215)+SUMIFS('ИТОГО Лэндинг'!$J$5:$J$300,'ИТОГО Лэндинг'!$B$5:$B$300,$B215),8)))</f>
        <v/>
      </c>
      <c r="K215" s="240" t="str">
        <f>IF(MIN(N(C215),N(F215))&lt;=0,"",ROUND(MIN(N(C215),N(F215))*(N(G215)-N(D215)),8))</f>
        <v/>
      </c>
      <c r="L215" s="177" t="str">
        <f>IF(MIN(N(C215),N(F215))&lt;=0,"",IF(N(D215)=0,"",ROUND((N(G215)/N(D215)-1)*100,2)))</f>
        <v/>
      </c>
      <c r="M215" s="177" t="str">
        <f>IF(OR(ROUND(N(C215)-N(F215),8)=0,1-N(Ввод!$J$19)/100&lt;=0),"",IF(N(C215)&gt;N(F215),(N(E215)-N(H215))/((N(C215)-N(F215))*(1-N(Ввод!$J$19)/100)),(N(H215)-N(E215))/((N(F215)-N(C215))*(1+N(Ввод!$J$19)/100))))</f>
        <v/>
      </c>
    </row>
    <row r="216" ht="22" customHeight="1">
      <c r="B216" s="245" t="n"/>
      <c r="C216" s="246" t="str">
        <f>IF($B216="","",IF(SUMIFS('ИТОГО Торговля'!$C$5:$C$300,'ИТОГО Торговля'!$B$5:$B$300,$B216)+SUMIFS('ИТОГО Лэндинг'!$C$5:$C$300,'ИТОГО Лэндинг'!$B$5:$B$300,$B216)=0,"",SUMIFS('ИТОГО Торговля'!$C$5:$C$300,'ИТОГО Торговля'!$B$5:$B$300,$B216)+SUMIFS('ИТОГО Лэндинг'!$C$5:$C$300,'ИТОГО Лэндинг'!$B$5:$B$300,$B216)))</f>
        <v/>
      </c>
      <c r="D216" s="183" t="str">
        <f>IF(C216="","",E216/C216)</f>
        <v/>
      </c>
      <c r="E216" s="247" t="str">
        <f>IF(C216="","",SUMIFS('ИТОГО Торговля'!$E$5:$E$300,'ИТОГО Торговля'!$B$5:$B$300,$B216)+SUMIFS('ИТОГО Лэндинг'!$E$5:$E$300,'ИТОГО Лэндинг'!$B$5:$B$300,$B216))</f>
        <v/>
      </c>
      <c r="F216" s="246" t="str">
        <f>IF($B216="","",IF(SUMIFS('ИТОГО Торговля'!$F$5:$F$300,'ИТОГО Торговля'!$B$5:$B$300,$B216)+SUMIFS('ИТОГО Лэндинг'!$F$5:$F$300,'ИТОГО Лэндинг'!$B$5:$B$300,$B216)=0,"",SUMIFS('ИТОГО Торговля'!$F$5:$F$300,'ИТОГО Торговля'!$B$5:$B$300,$B216)+SUMIFS('ИТОГО Лэндинг'!$F$5:$F$300,'ИТОГО Лэндинг'!$B$5:$B$300,$B216)))</f>
        <v/>
      </c>
      <c r="G216" s="183" t="str">
        <f>IF(F216="","",H216/F216)</f>
        <v/>
      </c>
      <c r="H216" s="247" t="str">
        <f>IF(F216="","",SUMIFS('ИТОГО Торговля'!$H$5:$H$300,'ИТОГО Торговля'!$B$5:$B$300,$B216)+SUMIFS('ИТОГО Лэндинг'!$H$5:$H$300,'ИТОГО Лэндинг'!$B$5:$B$300,$B216))</f>
        <v/>
      </c>
      <c r="I216" s="246" t="str">
        <f>IF($B216="","",IF(AND(C216="",F216=""),"",ROUND(SUMIFS('ИТОГО Торговля'!$I$5:$I$300,'ИТОГО Торговля'!$B$5:$B$300,$B216)+SUMIFS('ИТОГО Лэндинг'!$I$5:$I$300,'ИТОГО Лэндинг'!$B$5:$B$300,$B216),8)))</f>
        <v/>
      </c>
      <c r="J216" s="247" t="str">
        <f>IF($B216="","",IF(AND(C216="",F216=""),"",ROUND(SUMIFS('ИТОГО Торговля'!$J$5:$J$300,'ИТОГО Торговля'!$B$5:$B$300,$B216)+SUMIFS('ИТОГО Лэндинг'!$J$5:$J$300,'ИТОГО Лэндинг'!$B$5:$B$300,$B216),8)))</f>
        <v/>
      </c>
      <c r="K216" s="246" t="str">
        <f>IF(MIN(N(C216),N(F216))&lt;=0,"",ROUND(MIN(N(C216),N(F216))*(N(G216)-N(D216)),8))</f>
        <v/>
      </c>
      <c r="L216" s="183" t="str">
        <f>IF(MIN(N(C216),N(F216))&lt;=0,"",IF(N(D216)=0,"",ROUND((N(G216)/N(D216)-1)*100,2)))</f>
        <v/>
      </c>
      <c r="M216" s="183" t="str">
        <f>IF(OR(ROUND(N(C216)-N(F216),8)=0,1-N(Ввод!$J$19)/100&lt;=0),"",IF(N(C216)&gt;N(F216),(N(E216)-N(H216))/((N(C216)-N(F216))*(1-N(Ввод!$J$19)/100)),(N(H216)-N(E216))/((N(F216)-N(C216))*(1+N(Ввод!$J$19)/100))))</f>
        <v/>
      </c>
    </row>
    <row r="217" ht="22" customHeight="1">
      <c r="B217" s="239" t="n"/>
      <c r="C217" s="240" t="str">
        <f>IF($B217="","",IF(SUMIFS('ИТОГО Торговля'!$C$5:$C$300,'ИТОГО Торговля'!$B$5:$B$300,$B217)+SUMIFS('ИТОГО Лэндинг'!$C$5:$C$300,'ИТОГО Лэндинг'!$B$5:$B$300,$B217)=0,"",SUMIFS('ИТОГО Торговля'!$C$5:$C$300,'ИТОГО Торговля'!$B$5:$B$300,$B217)+SUMIFS('ИТОГО Лэндинг'!$C$5:$C$300,'ИТОГО Лэндинг'!$B$5:$B$300,$B217)))</f>
        <v/>
      </c>
      <c r="D217" s="177" t="str">
        <f>IF(C217="","",E217/C217)</f>
        <v/>
      </c>
      <c r="E217" s="241" t="str">
        <f>IF(C217="","",SUMIFS('ИТОГО Торговля'!$E$5:$E$300,'ИТОГО Торговля'!$B$5:$B$300,$B217)+SUMIFS('ИТОГО Лэндинг'!$E$5:$E$300,'ИТОГО Лэндинг'!$B$5:$B$300,$B217))</f>
        <v/>
      </c>
      <c r="F217" s="240" t="str">
        <f>IF($B217="","",IF(SUMIFS('ИТОГО Торговля'!$F$5:$F$300,'ИТОГО Торговля'!$B$5:$B$300,$B217)+SUMIFS('ИТОГО Лэндинг'!$F$5:$F$300,'ИТОГО Лэндинг'!$B$5:$B$300,$B217)=0,"",SUMIFS('ИТОГО Торговля'!$F$5:$F$300,'ИТОГО Торговля'!$B$5:$B$300,$B217)+SUMIFS('ИТОГО Лэндинг'!$F$5:$F$300,'ИТОГО Лэндинг'!$B$5:$B$300,$B217)))</f>
        <v/>
      </c>
      <c r="G217" s="177" t="str">
        <f>IF(F217="","",H217/F217)</f>
        <v/>
      </c>
      <c r="H217" s="241" t="str">
        <f>IF(F217="","",SUMIFS('ИТОГО Торговля'!$H$5:$H$300,'ИТОГО Торговля'!$B$5:$B$300,$B217)+SUMIFS('ИТОГО Лэндинг'!$H$5:$H$300,'ИТОГО Лэндинг'!$B$5:$B$300,$B217))</f>
        <v/>
      </c>
      <c r="I217" s="240" t="str">
        <f>IF($B217="","",IF(AND(C217="",F217=""),"",ROUND(SUMIFS('ИТОГО Торговля'!$I$5:$I$300,'ИТОГО Торговля'!$B$5:$B$300,$B217)+SUMIFS('ИТОГО Лэндинг'!$I$5:$I$300,'ИТОГО Лэндинг'!$B$5:$B$300,$B217),8)))</f>
        <v/>
      </c>
      <c r="J217" s="241" t="str">
        <f>IF($B217="","",IF(AND(C217="",F217=""),"",ROUND(SUMIFS('ИТОГО Торговля'!$J$5:$J$300,'ИТОГО Торговля'!$B$5:$B$300,$B217)+SUMIFS('ИТОГО Лэндинг'!$J$5:$J$300,'ИТОГО Лэндинг'!$B$5:$B$300,$B217),8)))</f>
        <v/>
      </c>
      <c r="K217" s="240" t="str">
        <f>IF(MIN(N(C217),N(F217))&lt;=0,"",ROUND(MIN(N(C217),N(F217))*(N(G217)-N(D217)),8))</f>
        <v/>
      </c>
      <c r="L217" s="177" t="str">
        <f>IF(MIN(N(C217),N(F217))&lt;=0,"",IF(N(D217)=0,"",ROUND((N(G217)/N(D217)-1)*100,2)))</f>
        <v/>
      </c>
      <c r="M217" s="177" t="str">
        <f>IF(OR(ROUND(N(C217)-N(F217),8)=0,1-N(Ввод!$J$19)/100&lt;=0),"",IF(N(C217)&gt;N(F217),(N(E217)-N(H217))/((N(C217)-N(F217))*(1-N(Ввод!$J$19)/100)),(N(H217)-N(E217))/((N(F217)-N(C217))*(1+N(Ввод!$J$19)/100))))</f>
        <v/>
      </c>
    </row>
    <row r="218" ht="22" customHeight="1">
      <c r="B218" s="245" t="n"/>
      <c r="C218" s="246" t="str">
        <f>IF($B218="","",IF(SUMIFS('ИТОГО Торговля'!$C$5:$C$300,'ИТОГО Торговля'!$B$5:$B$300,$B218)+SUMIFS('ИТОГО Лэндинг'!$C$5:$C$300,'ИТОГО Лэндинг'!$B$5:$B$300,$B218)=0,"",SUMIFS('ИТОГО Торговля'!$C$5:$C$300,'ИТОГО Торговля'!$B$5:$B$300,$B218)+SUMIFS('ИТОГО Лэндинг'!$C$5:$C$300,'ИТОГО Лэндинг'!$B$5:$B$300,$B218)))</f>
        <v/>
      </c>
      <c r="D218" s="183" t="str">
        <f>IF(C218="","",E218/C218)</f>
        <v/>
      </c>
      <c r="E218" s="247" t="str">
        <f>IF(C218="","",SUMIFS('ИТОГО Торговля'!$E$5:$E$300,'ИТОГО Торговля'!$B$5:$B$300,$B218)+SUMIFS('ИТОГО Лэндинг'!$E$5:$E$300,'ИТОГО Лэндинг'!$B$5:$B$300,$B218))</f>
        <v/>
      </c>
      <c r="F218" s="246" t="str">
        <f>IF($B218="","",IF(SUMIFS('ИТОГО Торговля'!$F$5:$F$300,'ИТОГО Торговля'!$B$5:$B$300,$B218)+SUMIFS('ИТОГО Лэндинг'!$F$5:$F$300,'ИТОГО Лэндинг'!$B$5:$B$300,$B218)=0,"",SUMIFS('ИТОГО Торговля'!$F$5:$F$300,'ИТОГО Торговля'!$B$5:$B$300,$B218)+SUMIFS('ИТОГО Лэндинг'!$F$5:$F$300,'ИТОГО Лэндинг'!$B$5:$B$300,$B218)))</f>
        <v/>
      </c>
      <c r="G218" s="183" t="str">
        <f>IF(F218="","",H218/F218)</f>
        <v/>
      </c>
      <c r="H218" s="247" t="str">
        <f>IF(F218="","",SUMIFS('ИТОГО Торговля'!$H$5:$H$300,'ИТОГО Торговля'!$B$5:$B$300,$B218)+SUMIFS('ИТОГО Лэндинг'!$H$5:$H$300,'ИТОГО Лэндинг'!$B$5:$B$300,$B218))</f>
        <v/>
      </c>
      <c r="I218" s="246" t="str">
        <f>IF($B218="","",IF(AND(C218="",F218=""),"",ROUND(SUMIFS('ИТОГО Торговля'!$I$5:$I$300,'ИТОГО Торговля'!$B$5:$B$300,$B218)+SUMIFS('ИТОГО Лэндинг'!$I$5:$I$300,'ИТОГО Лэндинг'!$B$5:$B$300,$B218),8)))</f>
        <v/>
      </c>
      <c r="J218" s="247" t="str">
        <f>IF($B218="","",IF(AND(C218="",F218=""),"",ROUND(SUMIFS('ИТОГО Торговля'!$J$5:$J$300,'ИТОГО Торговля'!$B$5:$B$300,$B218)+SUMIFS('ИТОГО Лэндинг'!$J$5:$J$300,'ИТОГО Лэндинг'!$B$5:$B$300,$B218),8)))</f>
        <v/>
      </c>
      <c r="K218" s="246" t="str">
        <f>IF(MIN(N(C218),N(F218))&lt;=0,"",ROUND(MIN(N(C218),N(F218))*(N(G218)-N(D218)),8))</f>
        <v/>
      </c>
      <c r="L218" s="183" t="str">
        <f>IF(MIN(N(C218),N(F218))&lt;=0,"",IF(N(D218)=0,"",ROUND((N(G218)/N(D218)-1)*100,2)))</f>
        <v/>
      </c>
      <c r="M218" s="183" t="str">
        <f>IF(OR(ROUND(N(C218)-N(F218),8)=0,1-N(Ввод!$J$19)/100&lt;=0),"",IF(N(C218)&gt;N(F218),(N(E218)-N(H218))/((N(C218)-N(F218))*(1-N(Ввод!$J$19)/100)),(N(H218)-N(E218))/((N(F218)-N(C218))*(1+N(Ввод!$J$19)/100))))</f>
        <v/>
      </c>
    </row>
    <row r="219" ht="22" customHeight="1">
      <c r="B219" s="239" t="n"/>
      <c r="C219" s="240" t="str">
        <f>IF($B219="","",IF(SUMIFS('ИТОГО Торговля'!$C$5:$C$300,'ИТОГО Торговля'!$B$5:$B$300,$B219)+SUMIFS('ИТОГО Лэндинг'!$C$5:$C$300,'ИТОГО Лэндинг'!$B$5:$B$300,$B219)=0,"",SUMIFS('ИТОГО Торговля'!$C$5:$C$300,'ИТОГО Торговля'!$B$5:$B$300,$B219)+SUMIFS('ИТОГО Лэндинг'!$C$5:$C$300,'ИТОГО Лэндинг'!$B$5:$B$300,$B219)))</f>
        <v/>
      </c>
      <c r="D219" s="177" t="str">
        <f>IF(C219="","",E219/C219)</f>
        <v/>
      </c>
      <c r="E219" s="241" t="str">
        <f>IF(C219="","",SUMIFS('ИТОГО Торговля'!$E$5:$E$300,'ИТОГО Торговля'!$B$5:$B$300,$B219)+SUMIFS('ИТОГО Лэндинг'!$E$5:$E$300,'ИТОГО Лэндинг'!$B$5:$B$300,$B219))</f>
        <v/>
      </c>
      <c r="F219" s="240" t="str">
        <f>IF($B219="","",IF(SUMIFS('ИТОГО Торговля'!$F$5:$F$300,'ИТОГО Торговля'!$B$5:$B$300,$B219)+SUMIFS('ИТОГО Лэндинг'!$F$5:$F$300,'ИТОГО Лэндинг'!$B$5:$B$300,$B219)=0,"",SUMIFS('ИТОГО Торговля'!$F$5:$F$300,'ИТОГО Торговля'!$B$5:$B$300,$B219)+SUMIFS('ИТОГО Лэндинг'!$F$5:$F$300,'ИТОГО Лэндинг'!$B$5:$B$300,$B219)))</f>
        <v/>
      </c>
      <c r="G219" s="177" t="str">
        <f>IF(F219="","",H219/F219)</f>
        <v/>
      </c>
      <c r="H219" s="241" t="str">
        <f>IF(F219="","",SUMIFS('ИТОГО Торговля'!$H$5:$H$300,'ИТОГО Торговля'!$B$5:$B$300,$B219)+SUMIFS('ИТОГО Лэндинг'!$H$5:$H$300,'ИТОГО Лэндинг'!$B$5:$B$300,$B219))</f>
        <v/>
      </c>
      <c r="I219" s="240" t="str">
        <f>IF($B219="","",IF(AND(C219="",F219=""),"",ROUND(SUMIFS('ИТОГО Торговля'!$I$5:$I$300,'ИТОГО Торговля'!$B$5:$B$300,$B219)+SUMIFS('ИТОГО Лэндинг'!$I$5:$I$300,'ИТОГО Лэндинг'!$B$5:$B$300,$B219),8)))</f>
        <v/>
      </c>
      <c r="J219" s="241" t="str">
        <f>IF($B219="","",IF(AND(C219="",F219=""),"",ROUND(SUMIFS('ИТОГО Торговля'!$J$5:$J$300,'ИТОГО Торговля'!$B$5:$B$300,$B219)+SUMIFS('ИТОГО Лэндинг'!$J$5:$J$300,'ИТОГО Лэндинг'!$B$5:$B$300,$B219),8)))</f>
        <v/>
      </c>
      <c r="K219" s="240" t="str">
        <f>IF(MIN(N(C219),N(F219))&lt;=0,"",ROUND(MIN(N(C219),N(F219))*(N(G219)-N(D219)),8))</f>
        <v/>
      </c>
      <c r="L219" s="177" t="str">
        <f>IF(MIN(N(C219),N(F219))&lt;=0,"",IF(N(D219)=0,"",ROUND((N(G219)/N(D219)-1)*100,2)))</f>
        <v/>
      </c>
      <c r="M219" s="177" t="str">
        <f>IF(OR(ROUND(N(C219)-N(F219),8)=0,1-N(Ввод!$J$19)/100&lt;=0),"",IF(N(C219)&gt;N(F219),(N(E219)-N(H219))/((N(C219)-N(F219))*(1-N(Ввод!$J$19)/100)),(N(H219)-N(E219))/((N(F219)-N(C219))*(1+N(Ввод!$J$19)/100))))</f>
        <v/>
      </c>
    </row>
    <row r="220" ht="22" customHeight="1">
      <c r="B220" s="245" t="n"/>
      <c r="C220" s="246" t="str">
        <f>IF($B220="","",IF(SUMIFS('ИТОГО Торговля'!$C$5:$C$300,'ИТОГО Торговля'!$B$5:$B$300,$B220)+SUMIFS('ИТОГО Лэндинг'!$C$5:$C$300,'ИТОГО Лэндинг'!$B$5:$B$300,$B220)=0,"",SUMIFS('ИТОГО Торговля'!$C$5:$C$300,'ИТОГО Торговля'!$B$5:$B$300,$B220)+SUMIFS('ИТОГО Лэндинг'!$C$5:$C$300,'ИТОГО Лэндинг'!$B$5:$B$300,$B220)))</f>
        <v/>
      </c>
      <c r="D220" s="183" t="str">
        <f>IF(C220="","",E220/C220)</f>
        <v/>
      </c>
      <c r="E220" s="247" t="str">
        <f>IF(C220="","",SUMIFS('ИТОГО Торговля'!$E$5:$E$300,'ИТОГО Торговля'!$B$5:$B$300,$B220)+SUMIFS('ИТОГО Лэндинг'!$E$5:$E$300,'ИТОГО Лэндинг'!$B$5:$B$300,$B220))</f>
        <v/>
      </c>
      <c r="F220" s="246" t="str">
        <f>IF($B220="","",IF(SUMIFS('ИТОГО Торговля'!$F$5:$F$300,'ИТОГО Торговля'!$B$5:$B$300,$B220)+SUMIFS('ИТОГО Лэндинг'!$F$5:$F$300,'ИТОГО Лэндинг'!$B$5:$B$300,$B220)=0,"",SUMIFS('ИТОГО Торговля'!$F$5:$F$300,'ИТОГО Торговля'!$B$5:$B$300,$B220)+SUMIFS('ИТОГО Лэндинг'!$F$5:$F$300,'ИТОГО Лэндинг'!$B$5:$B$300,$B220)))</f>
        <v/>
      </c>
      <c r="G220" s="183" t="str">
        <f>IF(F220="","",H220/F220)</f>
        <v/>
      </c>
      <c r="H220" s="247" t="str">
        <f>IF(F220="","",SUMIFS('ИТОГО Торговля'!$H$5:$H$300,'ИТОГО Торговля'!$B$5:$B$300,$B220)+SUMIFS('ИТОГО Лэндинг'!$H$5:$H$300,'ИТОГО Лэндинг'!$B$5:$B$300,$B220))</f>
        <v/>
      </c>
      <c r="I220" s="246" t="str">
        <f>IF($B220="","",IF(AND(C220="",F220=""),"",ROUND(SUMIFS('ИТОГО Торговля'!$I$5:$I$300,'ИТОГО Торговля'!$B$5:$B$300,$B220)+SUMIFS('ИТОГО Лэндинг'!$I$5:$I$300,'ИТОГО Лэндинг'!$B$5:$B$300,$B220),8)))</f>
        <v/>
      </c>
      <c r="J220" s="247" t="str">
        <f>IF($B220="","",IF(AND(C220="",F220=""),"",ROUND(SUMIFS('ИТОГО Торговля'!$J$5:$J$300,'ИТОГО Торговля'!$B$5:$B$300,$B220)+SUMIFS('ИТОГО Лэндинг'!$J$5:$J$300,'ИТОГО Лэндинг'!$B$5:$B$300,$B220),8)))</f>
        <v/>
      </c>
      <c r="K220" s="246" t="str">
        <f>IF(MIN(N(C220),N(F220))&lt;=0,"",ROUND(MIN(N(C220),N(F220))*(N(G220)-N(D220)),8))</f>
        <v/>
      </c>
      <c r="L220" s="183" t="str">
        <f>IF(MIN(N(C220),N(F220))&lt;=0,"",IF(N(D220)=0,"",ROUND((N(G220)/N(D220)-1)*100,2)))</f>
        <v/>
      </c>
      <c r="M220" s="183" t="str">
        <f>IF(OR(ROUND(N(C220)-N(F220),8)=0,1-N(Ввод!$J$19)/100&lt;=0),"",IF(N(C220)&gt;N(F220),(N(E220)-N(H220))/((N(C220)-N(F220))*(1-N(Ввод!$J$19)/100)),(N(H220)-N(E220))/((N(F220)-N(C220))*(1+N(Ввод!$J$19)/100))))</f>
        <v/>
      </c>
    </row>
    <row r="221" ht="22" customHeight="1">
      <c r="B221" s="239" t="n"/>
      <c r="C221" s="240" t="str">
        <f>IF($B221="","",IF(SUMIFS('ИТОГО Торговля'!$C$5:$C$300,'ИТОГО Торговля'!$B$5:$B$300,$B221)+SUMIFS('ИТОГО Лэндинг'!$C$5:$C$300,'ИТОГО Лэндинг'!$B$5:$B$300,$B221)=0,"",SUMIFS('ИТОГО Торговля'!$C$5:$C$300,'ИТОГО Торговля'!$B$5:$B$300,$B221)+SUMIFS('ИТОГО Лэндинг'!$C$5:$C$300,'ИТОГО Лэндинг'!$B$5:$B$300,$B221)))</f>
        <v/>
      </c>
      <c r="D221" s="177" t="str">
        <f>IF(C221="","",E221/C221)</f>
        <v/>
      </c>
      <c r="E221" s="241" t="str">
        <f>IF(C221="","",SUMIFS('ИТОГО Торговля'!$E$5:$E$300,'ИТОГО Торговля'!$B$5:$B$300,$B221)+SUMIFS('ИТОГО Лэндинг'!$E$5:$E$300,'ИТОГО Лэндинг'!$B$5:$B$300,$B221))</f>
        <v/>
      </c>
      <c r="F221" s="240" t="str">
        <f>IF($B221="","",IF(SUMIFS('ИТОГО Торговля'!$F$5:$F$300,'ИТОГО Торговля'!$B$5:$B$300,$B221)+SUMIFS('ИТОГО Лэндинг'!$F$5:$F$300,'ИТОГО Лэндинг'!$B$5:$B$300,$B221)=0,"",SUMIFS('ИТОГО Торговля'!$F$5:$F$300,'ИТОГО Торговля'!$B$5:$B$300,$B221)+SUMIFS('ИТОГО Лэндинг'!$F$5:$F$300,'ИТОГО Лэндинг'!$B$5:$B$300,$B221)))</f>
        <v/>
      </c>
      <c r="G221" s="177" t="str">
        <f>IF(F221="","",H221/F221)</f>
        <v/>
      </c>
      <c r="H221" s="241" t="str">
        <f>IF(F221="","",SUMIFS('ИТОГО Торговля'!$H$5:$H$300,'ИТОГО Торговля'!$B$5:$B$300,$B221)+SUMIFS('ИТОГО Лэндинг'!$H$5:$H$300,'ИТОГО Лэндинг'!$B$5:$B$300,$B221))</f>
        <v/>
      </c>
      <c r="I221" s="240" t="str">
        <f>IF($B221="","",IF(AND(C221="",F221=""),"",ROUND(SUMIFS('ИТОГО Торговля'!$I$5:$I$300,'ИТОГО Торговля'!$B$5:$B$300,$B221)+SUMIFS('ИТОГО Лэндинг'!$I$5:$I$300,'ИТОГО Лэндинг'!$B$5:$B$300,$B221),8)))</f>
        <v/>
      </c>
      <c r="J221" s="241" t="str">
        <f>IF($B221="","",IF(AND(C221="",F221=""),"",ROUND(SUMIFS('ИТОГО Торговля'!$J$5:$J$300,'ИТОГО Торговля'!$B$5:$B$300,$B221)+SUMIFS('ИТОГО Лэндинг'!$J$5:$J$300,'ИТОГО Лэндинг'!$B$5:$B$300,$B221),8)))</f>
        <v/>
      </c>
      <c r="K221" s="240" t="str">
        <f>IF(MIN(N(C221),N(F221))&lt;=0,"",ROUND(MIN(N(C221),N(F221))*(N(G221)-N(D221)),8))</f>
        <v/>
      </c>
      <c r="L221" s="177" t="str">
        <f>IF(MIN(N(C221),N(F221))&lt;=0,"",IF(N(D221)=0,"",ROUND((N(G221)/N(D221)-1)*100,2)))</f>
        <v/>
      </c>
      <c r="M221" s="177" t="str">
        <f>IF(OR(ROUND(N(C221)-N(F221),8)=0,1-N(Ввод!$J$19)/100&lt;=0),"",IF(N(C221)&gt;N(F221),(N(E221)-N(H221))/((N(C221)-N(F221))*(1-N(Ввод!$J$19)/100)),(N(H221)-N(E221))/((N(F221)-N(C221))*(1+N(Ввод!$J$19)/100))))</f>
        <v/>
      </c>
    </row>
    <row r="222" ht="22" customHeight="1">
      <c r="B222" s="245" t="n"/>
      <c r="C222" s="246" t="str">
        <f>IF($B222="","",IF(SUMIFS('ИТОГО Торговля'!$C$5:$C$300,'ИТОГО Торговля'!$B$5:$B$300,$B222)+SUMIFS('ИТОГО Лэндинг'!$C$5:$C$300,'ИТОГО Лэндинг'!$B$5:$B$300,$B222)=0,"",SUMIFS('ИТОГО Торговля'!$C$5:$C$300,'ИТОГО Торговля'!$B$5:$B$300,$B222)+SUMIFS('ИТОГО Лэндинг'!$C$5:$C$300,'ИТОГО Лэндинг'!$B$5:$B$300,$B222)))</f>
        <v/>
      </c>
      <c r="D222" s="183" t="str">
        <f>IF(C222="","",E222/C222)</f>
        <v/>
      </c>
      <c r="E222" s="247" t="str">
        <f>IF(C222="","",SUMIFS('ИТОГО Торговля'!$E$5:$E$300,'ИТОГО Торговля'!$B$5:$B$300,$B222)+SUMIFS('ИТОГО Лэндинг'!$E$5:$E$300,'ИТОГО Лэндинг'!$B$5:$B$300,$B222))</f>
        <v/>
      </c>
      <c r="F222" s="246" t="str">
        <f>IF($B222="","",IF(SUMIFS('ИТОГО Торговля'!$F$5:$F$300,'ИТОГО Торговля'!$B$5:$B$300,$B222)+SUMIFS('ИТОГО Лэндинг'!$F$5:$F$300,'ИТОГО Лэндинг'!$B$5:$B$300,$B222)=0,"",SUMIFS('ИТОГО Торговля'!$F$5:$F$300,'ИТОГО Торговля'!$B$5:$B$300,$B222)+SUMIFS('ИТОГО Лэндинг'!$F$5:$F$300,'ИТОГО Лэндинг'!$B$5:$B$300,$B222)))</f>
        <v/>
      </c>
      <c r="G222" s="183" t="str">
        <f>IF(F222="","",H222/F222)</f>
        <v/>
      </c>
      <c r="H222" s="247" t="str">
        <f>IF(F222="","",SUMIFS('ИТОГО Торговля'!$H$5:$H$300,'ИТОГО Торговля'!$B$5:$B$300,$B222)+SUMIFS('ИТОГО Лэндинг'!$H$5:$H$300,'ИТОГО Лэндинг'!$B$5:$B$300,$B222))</f>
        <v/>
      </c>
      <c r="I222" s="246" t="str">
        <f>IF($B222="","",IF(AND(C222="",F222=""),"",ROUND(SUMIFS('ИТОГО Торговля'!$I$5:$I$300,'ИТОГО Торговля'!$B$5:$B$300,$B222)+SUMIFS('ИТОГО Лэндинг'!$I$5:$I$300,'ИТОГО Лэндинг'!$B$5:$B$300,$B222),8)))</f>
        <v/>
      </c>
      <c r="J222" s="247" t="str">
        <f>IF($B222="","",IF(AND(C222="",F222=""),"",ROUND(SUMIFS('ИТОГО Торговля'!$J$5:$J$300,'ИТОГО Торговля'!$B$5:$B$300,$B222)+SUMIFS('ИТОГО Лэндинг'!$J$5:$J$300,'ИТОГО Лэндинг'!$B$5:$B$300,$B222),8)))</f>
        <v/>
      </c>
      <c r="K222" s="246" t="str">
        <f>IF(MIN(N(C222),N(F222))&lt;=0,"",ROUND(MIN(N(C222),N(F222))*(N(G222)-N(D222)),8))</f>
        <v/>
      </c>
      <c r="L222" s="183" t="str">
        <f>IF(MIN(N(C222),N(F222))&lt;=0,"",IF(N(D222)=0,"",ROUND((N(G222)/N(D222)-1)*100,2)))</f>
        <v/>
      </c>
      <c r="M222" s="183" t="str">
        <f>IF(OR(ROUND(N(C222)-N(F222),8)=0,1-N(Ввод!$J$19)/100&lt;=0),"",IF(N(C222)&gt;N(F222),(N(E222)-N(H222))/((N(C222)-N(F222))*(1-N(Ввод!$J$19)/100)),(N(H222)-N(E222))/((N(F222)-N(C222))*(1+N(Ввод!$J$19)/100))))</f>
        <v/>
      </c>
    </row>
    <row r="223" ht="22" customHeight="1">
      <c r="B223" s="239" t="n"/>
      <c r="C223" s="240" t="str">
        <f>IF($B223="","",IF(SUMIFS('ИТОГО Торговля'!$C$5:$C$300,'ИТОГО Торговля'!$B$5:$B$300,$B223)+SUMIFS('ИТОГО Лэндинг'!$C$5:$C$300,'ИТОГО Лэндинг'!$B$5:$B$300,$B223)=0,"",SUMIFS('ИТОГО Торговля'!$C$5:$C$300,'ИТОГО Торговля'!$B$5:$B$300,$B223)+SUMIFS('ИТОГО Лэндинг'!$C$5:$C$300,'ИТОГО Лэндинг'!$B$5:$B$300,$B223)))</f>
        <v/>
      </c>
      <c r="D223" s="177" t="str">
        <f>IF(C223="","",E223/C223)</f>
        <v/>
      </c>
      <c r="E223" s="241" t="str">
        <f>IF(C223="","",SUMIFS('ИТОГО Торговля'!$E$5:$E$300,'ИТОГО Торговля'!$B$5:$B$300,$B223)+SUMIFS('ИТОГО Лэндинг'!$E$5:$E$300,'ИТОГО Лэндинг'!$B$5:$B$300,$B223))</f>
        <v/>
      </c>
      <c r="F223" s="240" t="str">
        <f>IF($B223="","",IF(SUMIFS('ИТОГО Торговля'!$F$5:$F$300,'ИТОГО Торговля'!$B$5:$B$300,$B223)+SUMIFS('ИТОГО Лэндинг'!$F$5:$F$300,'ИТОГО Лэндинг'!$B$5:$B$300,$B223)=0,"",SUMIFS('ИТОГО Торговля'!$F$5:$F$300,'ИТОГО Торговля'!$B$5:$B$300,$B223)+SUMIFS('ИТОГО Лэндинг'!$F$5:$F$300,'ИТОГО Лэндинг'!$B$5:$B$300,$B223)))</f>
        <v/>
      </c>
      <c r="G223" s="177" t="str">
        <f>IF(F223="","",H223/F223)</f>
        <v/>
      </c>
      <c r="H223" s="241" t="str">
        <f>IF(F223="","",SUMIFS('ИТОГО Торговля'!$H$5:$H$300,'ИТОГО Торговля'!$B$5:$B$300,$B223)+SUMIFS('ИТОГО Лэндинг'!$H$5:$H$300,'ИТОГО Лэндинг'!$B$5:$B$300,$B223))</f>
        <v/>
      </c>
      <c r="I223" s="240" t="str">
        <f>IF($B223="","",IF(AND(C223="",F223=""),"",ROUND(SUMIFS('ИТОГО Торговля'!$I$5:$I$300,'ИТОГО Торговля'!$B$5:$B$300,$B223)+SUMIFS('ИТОГО Лэндинг'!$I$5:$I$300,'ИТОГО Лэндинг'!$B$5:$B$300,$B223),8)))</f>
        <v/>
      </c>
      <c r="J223" s="241" t="str">
        <f>IF($B223="","",IF(AND(C223="",F223=""),"",ROUND(SUMIFS('ИТОГО Торговля'!$J$5:$J$300,'ИТОГО Торговля'!$B$5:$B$300,$B223)+SUMIFS('ИТОГО Лэндинг'!$J$5:$J$300,'ИТОГО Лэндинг'!$B$5:$B$300,$B223),8)))</f>
        <v/>
      </c>
      <c r="K223" s="240" t="str">
        <f>IF(MIN(N(C223),N(F223))&lt;=0,"",ROUND(MIN(N(C223),N(F223))*(N(G223)-N(D223)),8))</f>
        <v/>
      </c>
      <c r="L223" s="177" t="str">
        <f>IF(MIN(N(C223),N(F223))&lt;=0,"",IF(N(D223)=0,"",ROUND((N(G223)/N(D223)-1)*100,2)))</f>
        <v/>
      </c>
      <c r="M223" s="177" t="str">
        <f>IF(OR(ROUND(N(C223)-N(F223),8)=0,1-N(Ввод!$J$19)/100&lt;=0),"",IF(N(C223)&gt;N(F223),(N(E223)-N(H223))/((N(C223)-N(F223))*(1-N(Ввод!$J$19)/100)),(N(H223)-N(E223))/((N(F223)-N(C223))*(1+N(Ввод!$J$19)/100))))</f>
        <v/>
      </c>
    </row>
    <row r="224" ht="22" customHeight="1">
      <c r="B224" s="245" t="n"/>
      <c r="C224" s="246" t="str">
        <f>IF($B224="","",IF(SUMIFS('ИТОГО Торговля'!$C$5:$C$300,'ИТОГО Торговля'!$B$5:$B$300,$B224)+SUMIFS('ИТОГО Лэндинг'!$C$5:$C$300,'ИТОГО Лэндинг'!$B$5:$B$300,$B224)=0,"",SUMIFS('ИТОГО Торговля'!$C$5:$C$300,'ИТОГО Торговля'!$B$5:$B$300,$B224)+SUMIFS('ИТОГО Лэндинг'!$C$5:$C$300,'ИТОГО Лэндинг'!$B$5:$B$300,$B224)))</f>
        <v/>
      </c>
      <c r="D224" s="183" t="str">
        <f>IF(C224="","",E224/C224)</f>
        <v/>
      </c>
      <c r="E224" s="247" t="str">
        <f>IF(C224="","",SUMIFS('ИТОГО Торговля'!$E$5:$E$300,'ИТОГО Торговля'!$B$5:$B$300,$B224)+SUMIFS('ИТОГО Лэндинг'!$E$5:$E$300,'ИТОГО Лэндинг'!$B$5:$B$300,$B224))</f>
        <v/>
      </c>
      <c r="F224" s="246" t="str">
        <f>IF($B224="","",IF(SUMIFS('ИТОГО Торговля'!$F$5:$F$300,'ИТОГО Торговля'!$B$5:$B$300,$B224)+SUMIFS('ИТОГО Лэндинг'!$F$5:$F$300,'ИТОГО Лэндинг'!$B$5:$B$300,$B224)=0,"",SUMIFS('ИТОГО Торговля'!$F$5:$F$300,'ИТОГО Торговля'!$B$5:$B$300,$B224)+SUMIFS('ИТОГО Лэндинг'!$F$5:$F$300,'ИТОГО Лэндинг'!$B$5:$B$300,$B224)))</f>
        <v/>
      </c>
      <c r="G224" s="183" t="str">
        <f>IF(F224="","",H224/F224)</f>
        <v/>
      </c>
      <c r="H224" s="247" t="str">
        <f>IF(F224="","",SUMIFS('ИТОГО Торговля'!$H$5:$H$300,'ИТОГО Торговля'!$B$5:$B$300,$B224)+SUMIFS('ИТОГО Лэндинг'!$H$5:$H$300,'ИТОГО Лэндинг'!$B$5:$B$300,$B224))</f>
        <v/>
      </c>
      <c r="I224" s="246" t="str">
        <f>IF($B224="","",IF(AND(C224="",F224=""),"",ROUND(SUMIFS('ИТОГО Торговля'!$I$5:$I$300,'ИТОГО Торговля'!$B$5:$B$300,$B224)+SUMIFS('ИТОГО Лэндинг'!$I$5:$I$300,'ИТОГО Лэндинг'!$B$5:$B$300,$B224),8)))</f>
        <v/>
      </c>
      <c r="J224" s="247" t="str">
        <f>IF($B224="","",IF(AND(C224="",F224=""),"",ROUND(SUMIFS('ИТОГО Торговля'!$J$5:$J$300,'ИТОГО Торговля'!$B$5:$B$300,$B224)+SUMIFS('ИТОГО Лэндинг'!$J$5:$J$300,'ИТОГО Лэндинг'!$B$5:$B$300,$B224),8)))</f>
        <v/>
      </c>
      <c r="K224" s="246" t="str">
        <f>IF(MIN(N(C224),N(F224))&lt;=0,"",ROUND(MIN(N(C224),N(F224))*(N(G224)-N(D224)),8))</f>
        <v/>
      </c>
      <c r="L224" s="183" t="str">
        <f>IF(MIN(N(C224),N(F224))&lt;=0,"",IF(N(D224)=0,"",ROUND((N(G224)/N(D224)-1)*100,2)))</f>
        <v/>
      </c>
      <c r="M224" s="183" t="str">
        <f>IF(OR(ROUND(N(C224)-N(F224),8)=0,1-N(Ввод!$J$19)/100&lt;=0),"",IF(N(C224)&gt;N(F224),(N(E224)-N(H224))/((N(C224)-N(F224))*(1-N(Ввод!$J$19)/100)),(N(H224)-N(E224))/((N(F224)-N(C224))*(1+N(Ввод!$J$19)/100))))</f>
        <v/>
      </c>
    </row>
    <row r="225" ht="22" customHeight="1">
      <c r="B225" s="239" t="n"/>
      <c r="C225" s="240" t="str">
        <f>IF($B225="","",IF(SUMIFS('ИТОГО Торговля'!$C$5:$C$300,'ИТОГО Торговля'!$B$5:$B$300,$B225)+SUMIFS('ИТОГО Лэндинг'!$C$5:$C$300,'ИТОГО Лэндинг'!$B$5:$B$300,$B225)=0,"",SUMIFS('ИТОГО Торговля'!$C$5:$C$300,'ИТОГО Торговля'!$B$5:$B$300,$B225)+SUMIFS('ИТОГО Лэндинг'!$C$5:$C$300,'ИТОГО Лэндинг'!$B$5:$B$300,$B225)))</f>
        <v/>
      </c>
      <c r="D225" s="177" t="str">
        <f>IF(C225="","",E225/C225)</f>
        <v/>
      </c>
      <c r="E225" s="241" t="str">
        <f>IF(C225="","",SUMIFS('ИТОГО Торговля'!$E$5:$E$300,'ИТОГО Торговля'!$B$5:$B$300,$B225)+SUMIFS('ИТОГО Лэндинг'!$E$5:$E$300,'ИТОГО Лэндинг'!$B$5:$B$300,$B225))</f>
        <v/>
      </c>
      <c r="F225" s="240" t="str">
        <f>IF($B225="","",IF(SUMIFS('ИТОГО Торговля'!$F$5:$F$300,'ИТОГО Торговля'!$B$5:$B$300,$B225)+SUMIFS('ИТОГО Лэндинг'!$F$5:$F$300,'ИТОГО Лэндинг'!$B$5:$B$300,$B225)=0,"",SUMIFS('ИТОГО Торговля'!$F$5:$F$300,'ИТОГО Торговля'!$B$5:$B$300,$B225)+SUMIFS('ИТОГО Лэндинг'!$F$5:$F$300,'ИТОГО Лэндинг'!$B$5:$B$300,$B225)))</f>
        <v/>
      </c>
      <c r="G225" s="177" t="str">
        <f>IF(F225="","",H225/F225)</f>
        <v/>
      </c>
      <c r="H225" s="241" t="str">
        <f>IF(F225="","",SUMIFS('ИТОГО Торговля'!$H$5:$H$300,'ИТОГО Торговля'!$B$5:$B$300,$B225)+SUMIFS('ИТОГО Лэндинг'!$H$5:$H$300,'ИТОГО Лэндинг'!$B$5:$B$300,$B225))</f>
        <v/>
      </c>
      <c r="I225" s="240" t="str">
        <f>IF($B225="","",IF(AND(C225="",F225=""),"",ROUND(SUMIFS('ИТОГО Торговля'!$I$5:$I$300,'ИТОГО Торговля'!$B$5:$B$300,$B225)+SUMIFS('ИТОГО Лэндинг'!$I$5:$I$300,'ИТОГО Лэндинг'!$B$5:$B$300,$B225),8)))</f>
        <v/>
      </c>
      <c r="J225" s="241" t="str">
        <f>IF($B225="","",IF(AND(C225="",F225=""),"",ROUND(SUMIFS('ИТОГО Торговля'!$J$5:$J$300,'ИТОГО Торговля'!$B$5:$B$300,$B225)+SUMIFS('ИТОГО Лэндинг'!$J$5:$J$300,'ИТОГО Лэндинг'!$B$5:$B$300,$B225),8)))</f>
        <v/>
      </c>
      <c r="K225" s="240" t="str">
        <f>IF(MIN(N(C225),N(F225))&lt;=0,"",ROUND(MIN(N(C225),N(F225))*(N(G225)-N(D225)),8))</f>
        <v/>
      </c>
      <c r="L225" s="177" t="str">
        <f>IF(MIN(N(C225),N(F225))&lt;=0,"",IF(N(D225)=0,"",ROUND((N(G225)/N(D225)-1)*100,2)))</f>
        <v/>
      </c>
      <c r="M225" s="177" t="str">
        <f>IF(OR(ROUND(N(C225)-N(F225),8)=0,1-N(Ввод!$J$19)/100&lt;=0),"",IF(N(C225)&gt;N(F225),(N(E225)-N(H225))/((N(C225)-N(F225))*(1-N(Ввод!$J$19)/100)),(N(H225)-N(E225))/((N(F225)-N(C225))*(1+N(Ввод!$J$19)/100))))</f>
        <v/>
      </c>
    </row>
    <row r="226" ht="22" customHeight="1">
      <c r="B226" s="245" t="n"/>
      <c r="C226" s="246" t="str">
        <f>IF($B226="","",IF(SUMIFS('ИТОГО Торговля'!$C$5:$C$300,'ИТОГО Торговля'!$B$5:$B$300,$B226)+SUMIFS('ИТОГО Лэндинг'!$C$5:$C$300,'ИТОГО Лэндинг'!$B$5:$B$300,$B226)=0,"",SUMIFS('ИТОГО Торговля'!$C$5:$C$300,'ИТОГО Торговля'!$B$5:$B$300,$B226)+SUMIFS('ИТОГО Лэндинг'!$C$5:$C$300,'ИТОГО Лэндинг'!$B$5:$B$300,$B226)))</f>
        <v/>
      </c>
      <c r="D226" s="183" t="str">
        <f>IF(C226="","",E226/C226)</f>
        <v/>
      </c>
      <c r="E226" s="247" t="str">
        <f>IF(C226="","",SUMIFS('ИТОГО Торговля'!$E$5:$E$300,'ИТОГО Торговля'!$B$5:$B$300,$B226)+SUMIFS('ИТОГО Лэндинг'!$E$5:$E$300,'ИТОГО Лэндинг'!$B$5:$B$300,$B226))</f>
        <v/>
      </c>
      <c r="F226" s="246" t="str">
        <f>IF($B226="","",IF(SUMIFS('ИТОГО Торговля'!$F$5:$F$300,'ИТОГО Торговля'!$B$5:$B$300,$B226)+SUMIFS('ИТОГО Лэндинг'!$F$5:$F$300,'ИТОГО Лэндинг'!$B$5:$B$300,$B226)=0,"",SUMIFS('ИТОГО Торговля'!$F$5:$F$300,'ИТОГО Торговля'!$B$5:$B$300,$B226)+SUMIFS('ИТОГО Лэндинг'!$F$5:$F$300,'ИТОГО Лэндинг'!$B$5:$B$300,$B226)))</f>
        <v/>
      </c>
      <c r="G226" s="183" t="str">
        <f>IF(F226="","",H226/F226)</f>
        <v/>
      </c>
      <c r="H226" s="247" t="str">
        <f>IF(F226="","",SUMIFS('ИТОГО Торговля'!$H$5:$H$300,'ИТОГО Торговля'!$B$5:$B$300,$B226)+SUMIFS('ИТОГО Лэндинг'!$H$5:$H$300,'ИТОГО Лэндинг'!$B$5:$B$300,$B226))</f>
        <v/>
      </c>
      <c r="I226" s="246" t="str">
        <f>IF($B226="","",IF(AND(C226="",F226=""),"",ROUND(SUMIFS('ИТОГО Торговля'!$I$5:$I$300,'ИТОГО Торговля'!$B$5:$B$300,$B226)+SUMIFS('ИТОГО Лэндинг'!$I$5:$I$300,'ИТОГО Лэндинг'!$B$5:$B$300,$B226),8)))</f>
        <v/>
      </c>
      <c r="J226" s="247" t="str">
        <f>IF($B226="","",IF(AND(C226="",F226=""),"",ROUND(SUMIFS('ИТОГО Торговля'!$J$5:$J$300,'ИТОГО Торговля'!$B$5:$B$300,$B226)+SUMIFS('ИТОГО Лэндинг'!$J$5:$J$300,'ИТОГО Лэндинг'!$B$5:$B$300,$B226),8)))</f>
        <v/>
      </c>
      <c r="K226" s="246" t="str">
        <f>IF(MIN(N(C226),N(F226))&lt;=0,"",ROUND(MIN(N(C226),N(F226))*(N(G226)-N(D226)),8))</f>
        <v/>
      </c>
      <c r="L226" s="183" t="str">
        <f>IF(MIN(N(C226),N(F226))&lt;=0,"",IF(N(D226)=0,"",ROUND((N(G226)/N(D226)-1)*100,2)))</f>
        <v/>
      </c>
      <c r="M226" s="183" t="str">
        <f>IF(OR(ROUND(N(C226)-N(F226),8)=0,1-N(Ввод!$J$19)/100&lt;=0),"",IF(N(C226)&gt;N(F226),(N(E226)-N(H226))/((N(C226)-N(F226))*(1-N(Ввод!$J$19)/100)),(N(H226)-N(E226))/((N(F226)-N(C226))*(1+N(Ввод!$J$19)/100))))</f>
        <v/>
      </c>
    </row>
    <row r="227" ht="22" customHeight="1">
      <c r="B227" s="239" t="n"/>
      <c r="C227" s="240" t="str">
        <f>IF($B227="","",IF(SUMIFS('ИТОГО Торговля'!$C$5:$C$300,'ИТОГО Торговля'!$B$5:$B$300,$B227)+SUMIFS('ИТОГО Лэндинг'!$C$5:$C$300,'ИТОГО Лэндинг'!$B$5:$B$300,$B227)=0,"",SUMIFS('ИТОГО Торговля'!$C$5:$C$300,'ИТОГО Торговля'!$B$5:$B$300,$B227)+SUMIFS('ИТОГО Лэндинг'!$C$5:$C$300,'ИТОГО Лэндинг'!$B$5:$B$300,$B227)))</f>
        <v/>
      </c>
      <c r="D227" s="177" t="str">
        <f>IF(C227="","",E227/C227)</f>
        <v/>
      </c>
      <c r="E227" s="241" t="str">
        <f>IF(C227="","",SUMIFS('ИТОГО Торговля'!$E$5:$E$300,'ИТОГО Торговля'!$B$5:$B$300,$B227)+SUMIFS('ИТОГО Лэндинг'!$E$5:$E$300,'ИТОГО Лэндинг'!$B$5:$B$300,$B227))</f>
        <v/>
      </c>
      <c r="F227" s="240" t="str">
        <f>IF($B227="","",IF(SUMIFS('ИТОГО Торговля'!$F$5:$F$300,'ИТОГО Торговля'!$B$5:$B$300,$B227)+SUMIFS('ИТОГО Лэндинг'!$F$5:$F$300,'ИТОГО Лэндинг'!$B$5:$B$300,$B227)=0,"",SUMIFS('ИТОГО Торговля'!$F$5:$F$300,'ИТОГО Торговля'!$B$5:$B$300,$B227)+SUMIFS('ИТОГО Лэндинг'!$F$5:$F$300,'ИТОГО Лэндинг'!$B$5:$B$300,$B227)))</f>
        <v/>
      </c>
      <c r="G227" s="177" t="str">
        <f>IF(F227="","",H227/F227)</f>
        <v/>
      </c>
      <c r="H227" s="241" t="str">
        <f>IF(F227="","",SUMIFS('ИТОГО Торговля'!$H$5:$H$300,'ИТОГО Торговля'!$B$5:$B$300,$B227)+SUMIFS('ИТОГО Лэндинг'!$H$5:$H$300,'ИТОГО Лэндинг'!$B$5:$B$300,$B227))</f>
        <v/>
      </c>
      <c r="I227" s="240" t="str">
        <f>IF($B227="","",IF(AND(C227="",F227=""),"",ROUND(SUMIFS('ИТОГО Торговля'!$I$5:$I$300,'ИТОГО Торговля'!$B$5:$B$300,$B227)+SUMIFS('ИТОГО Лэндинг'!$I$5:$I$300,'ИТОГО Лэндинг'!$B$5:$B$300,$B227),8)))</f>
        <v/>
      </c>
      <c r="J227" s="241" t="str">
        <f>IF($B227="","",IF(AND(C227="",F227=""),"",ROUND(SUMIFS('ИТОГО Торговля'!$J$5:$J$300,'ИТОГО Торговля'!$B$5:$B$300,$B227)+SUMIFS('ИТОГО Лэндинг'!$J$5:$J$300,'ИТОГО Лэндинг'!$B$5:$B$300,$B227),8)))</f>
        <v/>
      </c>
      <c r="K227" s="240" t="str">
        <f>IF(MIN(N(C227),N(F227))&lt;=0,"",ROUND(MIN(N(C227),N(F227))*(N(G227)-N(D227)),8))</f>
        <v/>
      </c>
      <c r="L227" s="177" t="str">
        <f>IF(MIN(N(C227),N(F227))&lt;=0,"",IF(N(D227)=0,"",ROUND((N(G227)/N(D227)-1)*100,2)))</f>
        <v/>
      </c>
      <c r="M227" s="177" t="str">
        <f>IF(OR(ROUND(N(C227)-N(F227),8)=0,1-N(Ввод!$J$19)/100&lt;=0),"",IF(N(C227)&gt;N(F227),(N(E227)-N(H227))/((N(C227)-N(F227))*(1-N(Ввод!$J$19)/100)),(N(H227)-N(E227))/((N(F227)-N(C227))*(1+N(Ввод!$J$19)/100))))</f>
        <v/>
      </c>
    </row>
    <row r="228" ht="22" customHeight="1">
      <c r="B228" s="245" t="n"/>
      <c r="C228" s="246" t="str">
        <f>IF($B228="","",IF(SUMIFS('ИТОГО Торговля'!$C$5:$C$300,'ИТОГО Торговля'!$B$5:$B$300,$B228)+SUMIFS('ИТОГО Лэндинг'!$C$5:$C$300,'ИТОГО Лэндинг'!$B$5:$B$300,$B228)=0,"",SUMIFS('ИТОГО Торговля'!$C$5:$C$300,'ИТОГО Торговля'!$B$5:$B$300,$B228)+SUMIFS('ИТОГО Лэндинг'!$C$5:$C$300,'ИТОГО Лэндинг'!$B$5:$B$300,$B228)))</f>
        <v/>
      </c>
      <c r="D228" s="183" t="str">
        <f>IF(C228="","",E228/C228)</f>
        <v/>
      </c>
      <c r="E228" s="247" t="str">
        <f>IF(C228="","",SUMIFS('ИТОГО Торговля'!$E$5:$E$300,'ИТОГО Торговля'!$B$5:$B$300,$B228)+SUMIFS('ИТОГО Лэндинг'!$E$5:$E$300,'ИТОГО Лэндинг'!$B$5:$B$300,$B228))</f>
        <v/>
      </c>
      <c r="F228" s="246" t="str">
        <f>IF($B228="","",IF(SUMIFS('ИТОГО Торговля'!$F$5:$F$300,'ИТОГО Торговля'!$B$5:$B$300,$B228)+SUMIFS('ИТОГО Лэндинг'!$F$5:$F$300,'ИТОГО Лэндинг'!$B$5:$B$300,$B228)=0,"",SUMIFS('ИТОГО Торговля'!$F$5:$F$300,'ИТОГО Торговля'!$B$5:$B$300,$B228)+SUMIFS('ИТОГО Лэндинг'!$F$5:$F$300,'ИТОГО Лэндинг'!$B$5:$B$300,$B228)))</f>
        <v/>
      </c>
      <c r="G228" s="183" t="str">
        <f>IF(F228="","",H228/F228)</f>
        <v/>
      </c>
      <c r="H228" s="247" t="str">
        <f>IF(F228="","",SUMIFS('ИТОГО Торговля'!$H$5:$H$300,'ИТОГО Торговля'!$B$5:$B$300,$B228)+SUMIFS('ИТОГО Лэндинг'!$H$5:$H$300,'ИТОГО Лэндинг'!$B$5:$B$300,$B228))</f>
        <v/>
      </c>
      <c r="I228" s="246" t="str">
        <f>IF($B228="","",IF(AND(C228="",F228=""),"",ROUND(SUMIFS('ИТОГО Торговля'!$I$5:$I$300,'ИТОГО Торговля'!$B$5:$B$300,$B228)+SUMIFS('ИТОГО Лэндинг'!$I$5:$I$300,'ИТОГО Лэндинг'!$B$5:$B$300,$B228),8)))</f>
        <v/>
      </c>
      <c r="J228" s="247" t="str">
        <f>IF($B228="","",IF(AND(C228="",F228=""),"",ROUND(SUMIFS('ИТОГО Торговля'!$J$5:$J$300,'ИТОГО Торговля'!$B$5:$B$300,$B228)+SUMIFS('ИТОГО Лэндинг'!$J$5:$J$300,'ИТОГО Лэндинг'!$B$5:$B$300,$B228),8)))</f>
        <v/>
      </c>
      <c r="K228" s="246" t="str">
        <f>IF(MIN(N(C228),N(F228))&lt;=0,"",ROUND(MIN(N(C228),N(F228))*(N(G228)-N(D228)),8))</f>
        <v/>
      </c>
      <c r="L228" s="183" t="str">
        <f>IF(MIN(N(C228),N(F228))&lt;=0,"",IF(N(D228)=0,"",ROUND((N(G228)/N(D228)-1)*100,2)))</f>
        <v/>
      </c>
      <c r="M228" s="183" t="str">
        <f>IF(OR(ROUND(N(C228)-N(F228),8)=0,1-N(Ввод!$J$19)/100&lt;=0),"",IF(N(C228)&gt;N(F228),(N(E228)-N(H228))/((N(C228)-N(F228))*(1-N(Ввод!$J$19)/100)),(N(H228)-N(E228))/((N(F228)-N(C228))*(1+N(Ввод!$J$19)/100))))</f>
        <v/>
      </c>
    </row>
    <row r="229" ht="22" customHeight="1">
      <c r="B229" s="239" t="n"/>
      <c r="C229" s="240" t="str">
        <f>IF($B229="","",IF(SUMIFS('ИТОГО Торговля'!$C$5:$C$300,'ИТОГО Торговля'!$B$5:$B$300,$B229)+SUMIFS('ИТОГО Лэндинг'!$C$5:$C$300,'ИТОГО Лэндинг'!$B$5:$B$300,$B229)=0,"",SUMIFS('ИТОГО Торговля'!$C$5:$C$300,'ИТОГО Торговля'!$B$5:$B$300,$B229)+SUMIFS('ИТОГО Лэндинг'!$C$5:$C$300,'ИТОГО Лэндинг'!$B$5:$B$300,$B229)))</f>
        <v/>
      </c>
      <c r="D229" s="177" t="str">
        <f>IF(C229="","",E229/C229)</f>
        <v/>
      </c>
      <c r="E229" s="241" t="str">
        <f>IF(C229="","",SUMIFS('ИТОГО Торговля'!$E$5:$E$300,'ИТОГО Торговля'!$B$5:$B$300,$B229)+SUMIFS('ИТОГО Лэндинг'!$E$5:$E$300,'ИТОГО Лэндинг'!$B$5:$B$300,$B229))</f>
        <v/>
      </c>
      <c r="F229" s="240" t="str">
        <f>IF($B229="","",IF(SUMIFS('ИТОГО Торговля'!$F$5:$F$300,'ИТОГО Торговля'!$B$5:$B$300,$B229)+SUMIFS('ИТОГО Лэндинг'!$F$5:$F$300,'ИТОГО Лэндинг'!$B$5:$B$300,$B229)=0,"",SUMIFS('ИТОГО Торговля'!$F$5:$F$300,'ИТОГО Торговля'!$B$5:$B$300,$B229)+SUMIFS('ИТОГО Лэндинг'!$F$5:$F$300,'ИТОГО Лэндинг'!$B$5:$B$300,$B229)))</f>
        <v/>
      </c>
      <c r="G229" s="177" t="str">
        <f>IF(F229="","",H229/F229)</f>
        <v/>
      </c>
      <c r="H229" s="241" t="str">
        <f>IF(F229="","",SUMIFS('ИТОГО Торговля'!$H$5:$H$300,'ИТОГО Торговля'!$B$5:$B$300,$B229)+SUMIFS('ИТОГО Лэндинг'!$H$5:$H$300,'ИТОГО Лэндинг'!$B$5:$B$300,$B229))</f>
        <v/>
      </c>
      <c r="I229" s="240" t="str">
        <f>IF($B229="","",IF(AND(C229="",F229=""),"",ROUND(SUMIFS('ИТОГО Торговля'!$I$5:$I$300,'ИТОГО Торговля'!$B$5:$B$300,$B229)+SUMIFS('ИТОГО Лэндинг'!$I$5:$I$300,'ИТОГО Лэндинг'!$B$5:$B$300,$B229),8)))</f>
        <v/>
      </c>
      <c r="J229" s="241" t="str">
        <f>IF($B229="","",IF(AND(C229="",F229=""),"",ROUND(SUMIFS('ИТОГО Торговля'!$J$5:$J$300,'ИТОГО Торговля'!$B$5:$B$300,$B229)+SUMIFS('ИТОГО Лэндинг'!$J$5:$J$300,'ИТОГО Лэндинг'!$B$5:$B$300,$B229),8)))</f>
        <v/>
      </c>
      <c r="K229" s="240" t="str">
        <f>IF(MIN(N(C229),N(F229))&lt;=0,"",ROUND(MIN(N(C229),N(F229))*(N(G229)-N(D229)),8))</f>
        <v/>
      </c>
      <c r="L229" s="177" t="str">
        <f>IF(MIN(N(C229),N(F229))&lt;=0,"",IF(N(D229)=0,"",ROUND((N(G229)/N(D229)-1)*100,2)))</f>
        <v/>
      </c>
      <c r="M229" s="177" t="str">
        <f>IF(OR(ROUND(N(C229)-N(F229),8)=0,1-N(Ввод!$J$19)/100&lt;=0),"",IF(N(C229)&gt;N(F229),(N(E229)-N(H229))/((N(C229)-N(F229))*(1-N(Ввод!$J$19)/100)),(N(H229)-N(E229))/((N(F229)-N(C229))*(1+N(Ввод!$J$19)/100))))</f>
        <v/>
      </c>
    </row>
    <row r="230" ht="22" customHeight="1">
      <c r="B230" s="245" t="n"/>
      <c r="C230" s="246" t="str">
        <f>IF($B230="","",IF(SUMIFS('ИТОГО Торговля'!$C$5:$C$300,'ИТОГО Торговля'!$B$5:$B$300,$B230)+SUMIFS('ИТОГО Лэндинг'!$C$5:$C$300,'ИТОГО Лэндинг'!$B$5:$B$300,$B230)=0,"",SUMIFS('ИТОГО Торговля'!$C$5:$C$300,'ИТОГО Торговля'!$B$5:$B$300,$B230)+SUMIFS('ИТОГО Лэндинг'!$C$5:$C$300,'ИТОГО Лэндинг'!$B$5:$B$300,$B230)))</f>
        <v/>
      </c>
      <c r="D230" s="183" t="str">
        <f>IF(C230="","",E230/C230)</f>
        <v/>
      </c>
      <c r="E230" s="247" t="str">
        <f>IF(C230="","",SUMIFS('ИТОГО Торговля'!$E$5:$E$300,'ИТОГО Торговля'!$B$5:$B$300,$B230)+SUMIFS('ИТОГО Лэндинг'!$E$5:$E$300,'ИТОГО Лэндинг'!$B$5:$B$300,$B230))</f>
        <v/>
      </c>
      <c r="F230" s="246" t="str">
        <f>IF($B230="","",IF(SUMIFS('ИТОГО Торговля'!$F$5:$F$300,'ИТОГО Торговля'!$B$5:$B$300,$B230)+SUMIFS('ИТОГО Лэндинг'!$F$5:$F$300,'ИТОГО Лэндинг'!$B$5:$B$300,$B230)=0,"",SUMIFS('ИТОГО Торговля'!$F$5:$F$300,'ИТОГО Торговля'!$B$5:$B$300,$B230)+SUMIFS('ИТОГО Лэндинг'!$F$5:$F$300,'ИТОГО Лэндинг'!$B$5:$B$300,$B230)))</f>
        <v/>
      </c>
      <c r="G230" s="183" t="str">
        <f>IF(F230="","",H230/F230)</f>
        <v/>
      </c>
      <c r="H230" s="247" t="str">
        <f>IF(F230="","",SUMIFS('ИТОГО Торговля'!$H$5:$H$300,'ИТОГО Торговля'!$B$5:$B$300,$B230)+SUMIFS('ИТОГО Лэндинг'!$H$5:$H$300,'ИТОГО Лэндинг'!$B$5:$B$300,$B230))</f>
        <v/>
      </c>
      <c r="I230" s="246" t="str">
        <f>IF($B230="","",IF(AND(C230="",F230=""),"",ROUND(SUMIFS('ИТОГО Торговля'!$I$5:$I$300,'ИТОГО Торговля'!$B$5:$B$300,$B230)+SUMIFS('ИТОГО Лэндинг'!$I$5:$I$300,'ИТОГО Лэндинг'!$B$5:$B$300,$B230),8)))</f>
        <v/>
      </c>
      <c r="J230" s="247" t="str">
        <f>IF($B230="","",IF(AND(C230="",F230=""),"",ROUND(SUMIFS('ИТОГО Торговля'!$J$5:$J$300,'ИТОГО Торговля'!$B$5:$B$300,$B230)+SUMIFS('ИТОГО Лэндинг'!$J$5:$J$300,'ИТОГО Лэндинг'!$B$5:$B$300,$B230),8)))</f>
        <v/>
      </c>
      <c r="K230" s="246" t="str">
        <f>IF(MIN(N(C230),N(F230))&lt;=0,"",ROUND(MIN(N(C230),N(F230))*(N(G230)-N(D230)),8))</f>
        <v/>
      </c>
      <c r="L230" s="183" t="str">
        <f>IF(MIN(N(C230),N(F230))&lt;=0,"",IF(N(D230)=0,"",ROUND((N(G230)/N(D230)-1)*100,2)))</f>
        <v/>
      </c>
      <c r="M230" s="183" t="str">
        <f>IF(OR(ROUND(N(C230)-N(F230),8)=0,1-N(Ввод!$J$19)/100&lt;=0),"",IF(N(C230)&gt;N(F230),(N(E230)-N(H230))/((N(C230)-N(F230))*(1-N(Ввод!$J$19)/100)),(N(H230)-N(E230))/((N(F230)-N(C230))*(1+N(Ввод!$J$19)/100))))</f>
        <v/>
      </c>
    </row>
    <row r="231" ht="22" customHeight="1">
      <c r="B231" s="239" t="n"/>
      <c r="C231" s="240" t="str">
        <f>IF($B231="","",IF(SUMIFS('ИТОГО Торговля'!$C$5:$C$300,'ИТОГО Торговля'!$B$5:$B$300,$B231)+SUMIFS('ИТОГО Лэндинг'!$C$5:$C$300,'ИТОГО Лэндинг'!$B$5:$B$300,$B231)=0,"",SUMIFS('ИТОГО Торговля'!$C$5:$C$300,'ИТОГО Торговля'!$B$5:$B$300,$B231)+SUMIFS('ИТОГО Лэндинг'!$C$5:$C$300,'ИТОГО Лэндинг'!$B$5:$B$300,$B231)))</f>
        <v/>
      </c>
      <c r="D231" s="177" t="str">
        <f>IF(C231="","",E231/C231)</f>
        <v/>
      </c>
      <c r="E231" s="241" t="str">
        <f>IF(C231="","",SUMIFS('ИТОГО Торговля'!$E$5:$E$300,'ИТОГО Торговля'!$B$5:$B$300,$B231)+SUMIFS('ИТОГО Лэндинг'!$E$5:$E$300,'ИТОГО Лэндинг'!$B$5:$B$300,$B231))</f>
        <v/>
      </c>
      <c r="F231" s="240" t="str">
        <f>IF($B231="","",IF(SUMIFS('ИТОГО Торговля'!$F$5:$F$300,'ИТОГО Торговля'!$B$5:$B$300,$B231)+SUMIFS('ИТОГО Лэндинг'!$F$5:$F$300,'ИТОГО Лэндинг'!$B$5:$B$300,$B231)=0,"",SUMIFS('ИТОГО Торговля'!$F$5:$F$300,'ИТОГО Торговля'!$B$5:$B$300,$B231)+SUMIFS('ИТОГО Лэндинг'!$F$5:$F$300,'ИТОГО Лэндинг'!$B$5:$B$300,$B231)))</f>
        <v/>
      </c>
      <c r="G231" s="177" t="str">
        <f>IF(F231="","",H231/F231)</f>
        <v/>
      </c>
      <c r="H231" s="241" t="str">
        <f>IF(F231="","",SUMIFS('ИТОГО Торговля'!$H$5:$H$300,'ИТОГО Торговля'!$B$5:$B$300,$B231)+SUMIFS('ИТОГО Лэндинг'!$H$5:$H$300,'ИТОГО Лэндинг'!$B$5:$B$300,$B231))</f>
        <v/>
      </c>
      <c r="I231" s="240" t="str">
        <f>IF($B231="","",IF(AND(C231="",F231=""),"",ROUND(SUMIFS('ИТОГО Торговля'!$I$5:$I$300,'ИТОГО Торговля'!$B$5:$B$300,$B231)+SUMIFS('ИТОГО Лэндинг'!$I$5:$I$300,'ИТОГО Лэндинг'!$B$5:$B$300,$B231),8)))</f>
        <v/>
      </c>
      <c r="J231" s="241" t="str">
        <f>IF($B231="","",IF(AND(C231="",F231=""),"",ROUND(SUMIFS('ИТОГО Торговля'!$J$5:$J$300,'ИТОГО Торговля'!$B$5:$B$300,$B231)+SUMIFS('ИТОГО Лэндинг'!$J$5:$J$300,'ИТОГО Лэндинг'!$B$5:$B$300,$B231),8)))</f>
        <v/>
      </c>
      <c r="K231" s="240" t="str">
        <f>IF(MIN(N(C231),N(F231))&lt;=0,"",ROUND(MIN(N(C231),N(F231))*(N(G231)-N(D231)),8))</f>
        <v/>
      </c>
      <c r="L231" s="177" t="str">
        <f>IF(MIN(N(C231),N(F231))&lt;=0,"",IF(N(D231)=0,"",ROUND((N(G231)/N(D231)-1)*100,2)))</f>
        <v/>
      </c>
      <c r="M231" s="177" t="str">
        <f>IF(OR(ROUND(N(C231)-N(F231),8)=0,1-N(Ввод!$J$19)/100&lt;=0),"",IF(N(C231)&gt;N(F231),(N(E231)-N(H231))/((N(C231)-N(F231))*(1-N(Ввод!$J$19)/100)),(N(H231)-N(E231))/((N(F231)-N(C231))*(1+N(Ввод!$J$19)/100))))</f>
        <v/>
      </c>
    </row>
    <row r="232" ht="22" customHeight="1">
      <c r="B232" s="245" t="n"/>
      <c r="C232" s="246" t="str">
        <f>IF($B232="","",IF(SUMIFS('ИТОГО Торговля'!$C$5:$C$300,'ИТОГО Торговля'!$B$5:$B$300,$B232)+SUMIFS('ИТОГО Лэндинг'!$C$5:$C$300,'ИТОГО Лэндинг'!$B$5:$B$300,$B232)=0,"",SUMIFS('ИТОГО Торговля'!$C$5:$C$300,'ИТОГО Торговля'!$B$5:$B$300,$B232)+SUMIFS('ИТОГО Лэндинг'!$C$5:$C$300,'ИТОГО Лэндинг'!$B$5:$B$300,$B232)))</f>
        <v/>
      </c>
      <c r="D232" s="183" t="str">
        <f>IF(C232="","",E232/C232)</f>
        <v/>
      </c>
      <c r="E232" s="247" t="str">
        <f>IF(C232="","",SUMIFS('ИТОГО Торговля'!$E$5:$E$300,'ИТОГО Торговля'!$B$5:$B$300,$B232)+SUMIFS('ИТОГО Лэндинг'!$E$5:$E$300,'ИТОГО Лэндинг'!$B$5:$B$300,$B232))</f>
        <v/>
      </c>
      <c r="F232" s="246" t="str">
        <f>IF($B232="","",IF(SUMIFS('ИТОГО Торговля'!$F$5:$F$300,'ИТОГО Торговля'!$B$5:$B$300,$B232)+SUMIFS('ИТОГО Лэндинг'!$F$5:$F$300,'ИТОГО Лэндинг'!$B$5:$B$300,$B232)=0,"",SUMIFS('ИТОГО Торговля'!$F$5:$F$300,'ИТОГО Торговля'!$B$5:$B$300,$B232)+SUMIFS('ИТОГО Лэндинг'!$F$5:$F$300,'ИТОГО Лэндинг'!$B$5:$B$300,$B232)))</f>
        <v/>
      </c>
      <c r="G232" s="183" t="str">
        <f>IF(F232="","",H232/F232)</f>
        <v/>
      </c>
      <c r="H232" s="247" t="str">
        <f>IF(F232="","",SUMIFS('ИТОГО Торговля'!$H$5:$H$300,'ИТОГО Торговля'!$B$5:$B$300,$B232)+SUMIFS('ИТОГО Лэндинг'!$H$5:$H$300,'ИТОГО Лэндинг'!$B$5:$B$300,$B232))</f>
        <v/>
      </c>
      <c r="I232" s="246" t="str">
        <f>IF($B232="","",IF(AND(C232="",F232=""),"",ROUND(SUMIFS('ИТОГО Торговля'!$I$5:$I$300,'ИТОГО Торговля'!$B$5:$B$300,$B232)+SUMIFS('ИТОГО Лэндинг'!$I$5:$I$300,'ИТОГО Лэндинг'!$B$5:$B$300,$B232),8)))</f>
        <v/>
      </c>
      <c r="J232" s="247" t="str">
        <f>IF($B232="","",IF(AND(C232="",F232=""),"",ROUND(SUMIFS('ИТОГО Торговля'!$J$5:$J$300,'ИТОГО Торговля'!$B$5:$B$300,$B232)+SUMIFS('ИТОГО Лэндинг'!$J$5:$J$300,'ИТОГО Лэндинг'!$B$5:$B$300,$B232),8)))</f>
        <v/>
      </c>
      <c r="K232" s="246" t="str">
        <f>IF(MIN(N(C232),N(F232))&lt;=0,"",ROUND(MIN(N(C232),N(F232))*(N(G232)-N(D232)),8))</f>
        <v/>
      </c>
      <c r="L232" s="183" t="str">
        <f>IF(MIN(N(C232),N(F232))&lt;=0,"",IF(N(D232)=0,"",ROUND((N(G232)/N(D232)-1)*100,2)))</f>
        <v/>
      </c>
      <c r="M232" s="183" t="str">
        <f>IF(OR(ROUND(N(C232)-N(F232),8)=0,1-N(Ввод!$J$19)/100&lt;=0),"",IF(N(C232)&gt;N(F232),(N(E232)-N(H232))/((N(C232)-N(F232))*(1-N(Ввод!$J$19)/100)),(N(H232)-N(E232))/((N(F232)-N(C232))*(1+N(Ввод!$J$19)/100))))</f>
        <v/>
      </c>
    </row>
    <row r="233" ht="22" customHeight="1">
      <c r="B233" s="239" t="n"/>
      <c r="C233" s="240" t="str">
        <f>IF($B233="","",IF(SUMIFS('ИТОГО Торговля'!$C$5:$C$300,'ИТОГО Торговля'!$B$5:$B$300,$B233)+SUMIFS('ИТОГО Лэндинг'!$C$5:$C$300,'ИТОГО Лэндинг'!$B$5:$B$300,$B233)=0,"",SUMIFS('ИТОГО Торговля'!$C$5:$C$300,'ИТОГО Торговля'!$B$5:$B$300,$B233)+SUMIFS('ИТОГО Лэндинг'!$C$5:$C$300,'ИТОГО Лэндинг'!$B$5:$B$300,$B233)))</f>
        <v/>
      </c>
      <c r="D233" s="177" t="str">
        <f>IF(C233="","",E233/C233)</f>
        <v/>
      </c>
      <c r="E233" s="241" t="str">
        <f>IF(C233="","",SUMIFS('ИТОГО Торговля'!$E$5:$E$300,'ИТОГО Торговля'!$B$5:$B$300,$B233)+SUMIFS('ИТОГО Лэндинг'!$E$5:$E$300,'ИТОГО Лэндинг'!$B$5:$B$300,$B233))</f>
        <v/>
      </c>
      <c r="F233" s="240" t="str">
        <f>IF($B233="","",IF(SUMIFS('ИТОГО Торговля'!$F$5:$F$300,'ИТОГО Торговля'!$B$5:$B$300,$B233)+SUMIFS('ИТОГО Лэндинг'!$F$5:$F$300,'ИТОГО Лэндинг'!$B$5:$B$300,$B233)=0,"",SUMIFS('ИТОГО Торговля'!$F$5:$F$300,'ИТОГО Торговля'!$B$5:$B$300,$B233)+SUMIFS('ИТОГО Лэндинг'!$F$5:$F$300,'ИТОГО Лэндинг'!$B$5:$B$300,$B233)))</f>
        <v/>
      </c>
      <c r="G233" s="177" t="str">
        <f>IF(F233="","",H233/F233)</f>
        <v/>
      </c>
      <c r="H233" s="241" t="str">
        <f>IF(F233="","",SUMIFS('ИТОГО Торговля'!$H$5:$H$300,'ИТОГО Торговля'!$B$5:$B$300,$B233)+SUMIFS('ИТОГО Лэндинг'!$H$5:$H$300,'ИТОГО Лэндинг'!$B$5:$B$300,$B233))</f>
        <v/>
      </c>
      <c r="I233" s="240" t="str">
        <f>IF($B233="","",IF(AND(C233="",F233=""),"",ROUND(SUMIFS('ИТОГО Торговля'!$I$5:$I$300,'ИТОГО Торговля'!$B$5:$B$300,$B233)+SUMIFS('ИТОГО Лэндинг'!$I$5:$I$300,'ИТОГО Лэндинг'!$B$5:$B$300,$B233),8)))</f>
        <v/>
      </c>
      <c r="J233" s="241" t="str">
        <f>IF($B233="","",IF(AND(C233="",F233=""),"",ROUND(SUMIFS('ИТОГО Торговля'!$J$5:$J$300,'ИТОГО Торговля'!$B$5:$B$300,$B233)+SUMIFS('ИТОГО Лэндинг'!$J$5:$J$300,'ИТОГО Лэндинг'!$B$5:$B$300,$B233),8)))</f>
        <v/>
      </c>
      <c r="K233" s="240" t="str">
        <f>IF(MIN(N(C233),N(F233))&lt;=0,"",ROUND(MIN(N(C233),N(F233))*(N(G233)-N(D233)),8))</f>
        <v/>
      </c>
      <c r="L233" s="177" t="str">
        <f>IF(MIN(N(C233),N(F233))&lt;=0,"",IF(N(D233)=0,"",ROUND((N(G233)/N(D233)-1)*100,2)))</f>
        <v/>
      </c>
      <c r="M233" s="177" t="str">
        <f>IF(OR(ROUND(N(C233)-N(F233),8)=0,1-N(Ввод!$J$19)/100&lt;=0),"",IF(N(C233)&gt;N(F233),(N(E233)-N(H233))/((N(C233)-N(F233))*(1-N(Ввод!$J$19)/100)),(N(H233)-N(E233))/((N(F233)-N(C233))*(1+N(Ввод!$J$19)/100))))</f>
        <v/>
      </c>
    </row>
    <row r="234" ht="22" customHeight="1">
      <c r="B234" s="245" t="n"/>
      <c r="C234" s="246" t="str">
        <f>IF($B234="","",IF(SUMIFS('ИТОГО Торговля'!$C$5:$C$300,'ИТОГО Торговля'!$B$5:$B$300,$B234)+SUMIFS('ИТОГО Лэндинг'!$C$5:$C$300,'ИТОГО Лэндинг'!$B$5:$B$300,$B234)=0,"",SUMIFS('ИТОГО Торговля'!$C$5:$C$300,'ИТОГО Торговля'!$B$5:$B$300,$B234)+SUMIFS('ИТОГО Лэндинг'!$C$5:$C$300,'ИТОГО Лэндинг'!$B$5:$B$300,$B234)))</f>
        <v/>
      </c>
      <c r="D234" s="183" t="str">
        <f>IF(C234="","",E234/C234)</f>
        <v/>
      </c>
      <c r="E234" s="247" t="str">
        <f>IF(C234="","",SUMIFS('ИТОГО Торговля'!$E$5:$E$300,'ИТОГО Торговля'!$B$5:$B$300,$B234)+SUMIFS('ИТОГО Лэндинг'!$E$5:$E$300,'ИТОГО Лэндинг'!$B$5:$B$300,$B234))</f>
        <v/>
      </c>
      <c r="F234" s="246" t="str">
        <f>IF($B234="","",IF(SUMIFS('ИТОГО Торговля'!$F$5:$F$300,'ИТОГО Торговля'!$B$5:$B$300,$B234)+SUMIFS('ИТОГО Лэндинг'!$F$5:$F$300,'ИТОГО Лэндинг'!$B$5:$B$300,$B234)=0,"",SUMIFS('ИТОГО Торговля'!$F$5:$F$300,'ИТОГО Торговля'!$B$5:$B$300,$B234)+SUMIFS('ИТОГО Лэндинг'!$F$5:$F$300,'ИТОГО Лэндинг'!$B$5:$B$300,$B234)))</f>
        <v/>
      </c>
      <c r="G234" s="183" t="str">
        <f>IF(F234="","",H234/F234)</f>
        <v/>
      </c>
      <c r="H234" s="247" t="str">
        <f>IF(F234="","",SUMIFS('ИТОГО Торговля'!$H$5:$H$300,'ИТОГО Торговля'!$B$5:$B$300,$B234)+SUMIFS('ИТОГО Лэндинг'!$H$5:$H$300,'ИТОГО Лэндинг'!$B$5:$B$300,$B234))</f>
        <v/>
      </c>
      <c r="I234" s="246" t="str">
        <f>IF($B234="","",IF(AND(C234="",F234=""),"",ROUND(SUMIFS('ИТОГО Торговля'!$I$5:$I$300,'ИТОГО Торговля'!$B$5:$B$300,$B234)+SUMIFS('ИТОГО Лэндинг'!$I$5:$I$300,'ИТОГО Лэндинг'!$B$5:$B$300,$B234),8)))</f>
        <v/>
      </c>
      <c r="J234" s="247" t="str">
        <f>IF($B234="","",IF(AND(C234="",F234=""),"",ROUND(SUMIFS('ИТОГО Торговля'!$J$5:$J$300,'ИТОГО Торговля'!$B$5:$B$300,$B234)+SUMIFS('ИТОГО Лэндинг'!$J$5:$J$300,'ИТОГО Лэндинг'!$B$5:$B$300,$B234),8)))</f>
        <v/>
      </c>
      <c r="K234" s="246" t="str">
        <f>IF(MIN(N(C234),N(F234))&lt;=0,"",ROUND(MIN(N(C234),N(F234))*(N(G234)-N(D234)),8))</f>
        <v/>
      </c>
      <c r="L234" s="183" t="str">
        <f>IF(MIN(N(C234),N(F234))&lt;=0,"",IF(N(D234)=0,"",ROUND((N(G234)/N(D234)-1)*100,2)))</f>
        <v/>
      </c>
      <c r="M234" s="183" t="str">
        <f>IF(OR(ROUND(N(C234)-N(F234),8)=0,1-N(Ввод!$J$19)/100&lt;=0),"",IF(N(C234)&gt;N(F234),(N(E234)-N(H234))/((N(C234)-N(F234))*(1-N(Ввод!$J$19)/100)),(N(H234)-N(E234))/((N(F234)-N(C234))*(1+N(Ввод!$J$19)/100))))</f>
        <v/>
      </c>
    </row>
    <row r="235" ht="22" customHeight="1">
      <c r="B235" s="239" t="n"/>
      <c r="C235" s="240" t="str">
        <f>IF($B235="","",IF(SUMIFS('ИТОГО Торговля'!$C$5:$C$300,'ИТОГО Торговля'!$B$5:$B$300,$B235)+SUMIFS('ИТОГО Лэндинг'!$C$5:$C$300,'ИТОГО Лэндинг'!$B$5:$B$300,$B235)=0,"",SUMIFS('ИТОГО Торговля'!$C$5:$C$300,'ИТОГО Торговля'!$B$5:$B$300,$B235)+SUMIFS('ИТОГО Лэндинг'!$C$5:$C$300,'ИТОГО Лэндинг'!$B$5:$B$300,$B235)))</f>
        <v/>
      </c>
      <c r="D235" s="177" t="str">
        <f>IF(C235="","",E235/C235)</f>
        <v/>
      </c>
      <c r="E235" s="241" t="str">
        <f>IF(C235="","",SUMIFS('ИТОГО Торговля'!$E$5:$E$300,'ИТОГО Торговля'!$B$5:$B$300,$B235)+SUMIFS('ИТОГО Лэндинг'!$E$5:$E$300,'ИТОГО Лэндинг'!$B$5:$B$300,$B235))</f>
        <v/>
      </c>
      <c r="F235" s="240" t="str">
        <f>IF($B235="","",IF(SUMIFS('ИТОГО Торговля'!$F$5:$F$300,'ИТОГО Торговля'!$B$5:$B$300,$B235)+SUMIFS('ИТОГО Лэндинг'!$F$5:$F$300,'ИТОГО Лэндинг'!$B$5:$B$300,$B235)=0,"",SUMIFS('ИТОГО Торговля'!$F$5:$F$300,'ИТОГО Торговля'!$B$5:$B$300,$B235)+SUMIFS('ИТОГО Лэндинг'!$F$5:$F$300,'ИТОГО Лэндинг'!$B$5:$B$300,$B235)))</f>
        <v/>
      </c>
      <c r="G235" s="177" t="str">
        <f>IF(F235="","",H235/F235)</f>
        <v/>
      </c>
      <c r="H235" s="241" t="str">
        <f>IF(F235="","",SUMIFS('ИТОГО Торговля'!$H$5:$H$300,'ИТОГО Торговля'!$B$5:$B$300,$B235)+SUMIFS('ИТОГО Лэндинг'!$H$5:$H$300,'ИТОГО Лэндинг'!$B$5:$B$300,$B235))</f>
        <v/>
      </c>
      <c r="I235" s="240" t="str">
        <f>IF($B235="","",IF(AND(C235="",F235=""),"",ROUND(SUMIFS('ИТОГО Торговля'!$I$5:$I$300,'ИТОГО Торговля'!$B$5:$B$300,$B235)+SUMIFS('ИТОГО Лэндинг'!$I$5:$I$300,'ИТОГО Лэндинг'!$B$5:$B$300,$B235),8)))</f>
        <v/>
      </c>
      <c r="J235" s="241" t="str">
        <f>IF($B235="","",IF(AND(C235="",F235=""),"",ROUND(SUMIFS('ИТОГО Торговля'!$J$5:$J$300,'ИТОГО Торговля'!$B$5:$B$300,$B235)+SUMIFS('ИТОГО Лэндинг'!$J$5:$J$300,'ИТОГО Лэндинг'!$B$5:$B$300,$B235),8)))</f>
        <v/>
      </c>
      <c r="K235" s="240" t="str">
        <f>IF(MIN(N(C235),N(F235))&lt;=0,"",ROUND(MIN(N(C235),N(F235))*(N(G235)-N(D235)),8))</f>
        <v/>
      </c>
      <c r="L235" s="177" t="str">
        <f>IF(MIN(N(C235),N(F235))&lt;=0,"",IF(N(D235)=0,"",ROUND((N(G235)/N(D235)-1)*100,2)))</f>
        <v/>
      </c>
      <c r="M235" s="177" t="str">
        <f>IF(OR(ROUND(N(C235)-N(F235),8)=0,1-N(Ввод!$J$19)/100&lt;=0),"",IF(N(C235)&gt;N(F235),(N(E235)-N(H235))/((N(C235)-N(F235))*(1-N(Ввод!$J$19)/100)),(N(H235)-N(E235))/((N(F235)-N(C235))*(1+N(Ввод!$J$19)/100))))</f>
        <v/>
      </c>
    </row>
    <row r="236" ht="22" customHeight="1">
      <c r="B236" s="245" t="n"/>
      <c r="C236" s="246" t="str">
        <f>IF($B236="","",IF(SUMIFS('ИТОГО Торговля'!$C$5:$C$300,'ИТОГО Торговля'!$B$5:$B$300,$B236)+SUMIFS('ИТОГО Лэндинг'!$C$5:$C$300,'ИТОГО Лэндинг'!$B$5:$B$300,$B236)=0,"",SUMIFS('ИТОГО Торговля'!$C$5:$C$300,'ИТОГО Торговля'!$B$5:$B$300,$B236)+SUMIFS('ИТОГО Лэндинг'!$C$5:$C$300,'ИТОГО Лэндинг'!$B$5:$B$300,$B236)))</f>
        <v/>
      </c>
      <c r="D236" s="183" t="str">
        <f>IF(C236="","",E236/C236)</f>
        <v/>
      </c>
      <c r="E236" s="247" t="str">
        <f>IF(C236="","",SUMIFS('ИТОГО Торговля'!$E$5:$E$300,'ИТОГО Торговля'!$B$5:$B$300,$B236)+SUMIFS('ИТОГО Лэндинг'!$E$5:$E$300,'ИТОГО Лэндинг'!$B$5:$B$300,$B236))</f>
        <v/>
      </c>
      <c r="F236" s="246" t="str">
        <f>IF($B236="","",IF(SUMIFS('ИТОГО Торговля'!$F$5:$F$300,'ИТОГО Торговля'!$B$5:$B$300,$B236)+SUMIFS('ИТОГО Лэндинг'!$F$5:$F$300,'ИТОГО Лэндинг'!$B$5:$B$300,$B236)=0,"",SUMIFS('ИТОГО Торговля'!$F$5:$F$300,'ИТОГО Торговля'!$B$5:$B$300,$B236)+SUMIFS('ИТОГО Лэндинг'!$F$5:$F$300,'ИТОГО Лэндинг'!$B$5:$B$300,$B236)))</f>
        <v/>
      </c>
      <c r="G236" s="183" t="str">
        <f>IF(F236="","",H236/F236)</f>
        <v/>
      </c>
      <c r="H236" s="247" t="str">
        <f>IF(F236="","",SUMIFS('ИТОГО Торговля'!$H$5:$H$300,'ИТОГО Торговля'!$B$5:$B$300,$B236)+SUMIFS('ИТОГО Лэндинг'!$H$5:$H$300,'ИТОГО Лэндинг'!$B$5:$B$300,$B236))</f>
        <v/>
      </c>
      <c r="I236" s="246" t="str">
        <f>IF($B236="","",IF(AND(C236="",F236=""),"",ROUND(SUMIFS('ИТОГО Торговля'!$I$5:$I$300,'ИТОГО Торговля'!$B$5:$B$300,$B236)+SUMIFS('ИТОГО Лэндинг'!$I$5:$I$300,'ИТОГО Лэндинг'!$B$5:$B$300,$B236),8)))</f>
        <v/>
      </c>
      <c r="J236" s="247" t="str">
        <f>IF($B236="","",IF(AND(C236="",F236=""),"",ROUND(SUMIFS('ИТОГО Торговля'!$J$5:$J$300,'ИТОГО Торговля'!$B$5:$B$300,$B236)+SUMIFS('ИТОГО Лэндинг'!$J$5:$J$300,'ИТОГО Лэндинг'!$B$5:$B$300,$B236),8)))</f>
        <v/>
      </c>
      <c r="K236" s="246" t="str">
        <f>IF(MIN(N(C236),N(F236))&lt;=0,"",ROUND(MIN(N(C236),N(F236))*(N(G236)-N(D236)),8))</f>
        <v/>
      </c>
      <c r="L236" s="183" t="str">
        <f>IF(MIN(N(C236),N(F236))&lt;=0,"",IF(N(D236)=0,"",ROUND((N(G236)/N(D236)-1)*100,2)))</f>
        <v/>
      </c>
      <c r="M236" s="183" t="str">
        <f>IF(OR(ROUND(N(C236)-N(F236),8)=0,1-N(Ввод!$J$19)/100&lt;=0),"",IF(N(C236)&gt;N(F236),(N(E236)-N(H236))/((N(C236)-N(F236))*(1-N(Ввод!$J$19)/100)),(N(H236)-N(E236))/((N(F236)-N(C236))*(1+N(Ввод!$J$19)/100))))</f>
        <v/>
      </c>
    </row>
    <row r="237" ht="22" customHeight="1">
      <c r="B237" s="239" t="n"/>
      <c r="C237" s="240" t="str">
        <f>IF($B237="","",IF(SUMIFS('ИТОГО Торговля'!$C$5:$C$300,'ИТОГО Торговля'!$B$5:$B$300,$B237)+SUMIFS('ИТОГО Лэндинг'!$C$5:$C$300,'ИТОГО Лэндинг'!$B$5:$B$300,$B237)=0,"",SUMIFS('ИТОГО Торговля'!$C$5:$C$300,'ИТОГО Торговля'!$B$5:$B$300,$B237)+SUMIFS('ИТОГО Лэндинг'!$C$5:$C$300,'ИТОГО Лэндинг'!$B$5:$B$300,$B237)))</f>
        <v/>
      </c>
      <c r="D237" s="177" t="str">
        <f>IF(C237="","",E237/C237)</f>
        <v/>
      </c>
      <c r="E237" s="241" t="str">
        <f>IF(C237="","",SUMIFS('ИТОГО Торговля'!$E$5:$E$300,'ИТОГО Торговля'!$B$5:$B$300,$B237)+SUMIFS('ИТОГО Лэндинг'!$E$5:$E$300,'ИТОГО Лэндинг'!$B$5:$B$300,$B237))</f>
        <v/>
      </c>
      <c r="F237" s="240" t="str">
        <f>IF($B237="","",IF(SUMIFS('ИТОГО Торговля'!$F$5:$F$300,'ИТОГО Торговля'!$B$5:$B$300,$B237)+SUMIFS('ИТОГО Лэндинг'!$F$5:$F$300,'ИТОГО Лэндинг'!$B$5:$B$300,$B237)=0,"",SUMIFS('ИТОГО Торговля'!$F$5:$F$300,'ИТОГО Торговля'!$B$5:$B$300,$B237)+SUMIFS('ИТОГО Лэндинг'!$F$5:$F$300,'ИТОГО Лэндинг'!$B$5:$B$300,$B237)))</f>
        <v/>
      </c>
      <c r="G237" s="177" t="str">
        <f>IF(F237="","",H237/F237)</f>
        <v/>
      </c>
      <c r="H237" s="241" t="str">
        <f>IF(F237="","",SUMIFS('ИТОГО Торговля'!$H$5:$H$300,'ИТОГО Торговля'!$B$5:$B$300,$B237)+SUMIFS('ИТОГО Лэндинг'!$H$5:$H$300,'ИТОГО Лэндинг'!$B$5:$B$300,$B237))</f>
        <v/>
      </c>
      <c r="I237" s="240" t="str">
        <f>IF($B237="","",IF(AND(C237="",F237=""),"",ROUND(SUMIFS('ИТОГО Торговля'!$I$5:$I$300,'ИТОГО Торговля'!$B$5:$B$300,$B237)+SUMIFS('ИТОГО Лэндинг'!$I$5:$I$300,'ИТОГО Лэндинг'!$B$5:$B$300,$B237),8)))</f>
        <v/>
      </c>
      <c r="J237" s="241" t="str">
        <f>IF($B237="","",IF(AND(C237="",F237=""),"",ROUND(SUMIFS('ИТОГО Торговля'!$J$5:$J$300,'ИТОГО Торговля'!$B$5:$B$300,$B237)+SUMIFS('ИТОГО Лэндинг'!$J$5:$J$300,'ИТОГО Лэндинг'!$B$5:$B$300,$B237),8)))</f>
        <v/>
      </c>
      <c r="K237" s="240" t="str">
        <f>IF(MIN(N(C237),N(F237))&lt;=0,"",ROUND(MIN(N(C237),N(F237))*(N(G237)-N(D237)),8))</f>
        <v/>
      </c>
      <c r="L237" s="177" t="str">
        <f>IF(MIN(N(C237),N(F237))&lt;=0,"",IF(N(D237)=0,"",ROUND((N(G237)/N(D237)-1)*100,2)))</f>
        <v/>
      </c>
      <c r="M237" s="177" t="str">
        <f>IF(OR(ROUND(N(C237)-N(F237),8)=0,1-N(Ввод!$J$19)/100&lt;=0),"",IF(N(C237)&gt;N(F237),(N(E237)-N(H237))/((N(C237)-N(F237))*(1-N(Ввод!$J$19)/100)),(N(H237)-N(E237))/((N(F237)-N(C237))*(1+N(Ввод!$J$19)/100))))</f>
        <v/>
      </c>
    </row>
    <row r="238" ht="22" customHeight="1">
      <c r="B238" s="245" t="n"/>
      <c r="C238" s="246" t="str">
        <f>IF($B238="","",IF(SUMIFS('ИТОГО Торговля'!$C$5:$C$300,'ИТОГО Торговля'!$B$5:$B$300,$B238)+SUMIFS('ИТОГО Лэндинг'!$C$5:$C$300,'ИТОГО Лэндинг'!$B$5:$B$300,$B238)=0,"",SUMIFS('ИТОГО Торговля'!$C$5:$C$300,'ИТОГО Торговля'!$B$5:$B$300,$B238)+SUMIFS('ИТОГО Лэндинг'!$C$5:$C$300,'ИТОГО Лэндинг'!$B$5:$B$300,$B238)))</f>
        <v/>
      </c>
      <c r="D238" s="183" t="str">
        <f>IF(C238="","",E238/C238)</f>
        <v/>
      </c>
      <c r="E238" s="247" t="str">
        <f>IF(C238="","",SUMIFS('ИТОГО Торговля'!$E$5:$E$300,'ИТОГО Торговля'!$B$5:$B$300,$B238)+SUMIFS('ИТОГО Лэндинг'!$E$5:$E$300,'ИТОГО Лэндинг'!$B$5:$B$300,$B238))</f>
        <v/>
      </c>
      <c r="F238" s="246" t="str">
        <f>IF($B238="","",IF(SUMIFS('ИТОГО Торговля'!$F$5:$F$300,'ИТОГО Торговля'!$B$5:$B$300,$B238)+SUMIFS('ИТОГО Лэндинг'!$F$5:$F$300,'ИТОГО Лэндинг'!$B$5:$B$300,$B238)=0,"",SUMIFS('ИТОГО Торговля'!$F$5:$F$300,'ИТОГО Торговля'!$B$5:$B$300,$B238)+SUMIFS('ИТОГО Лэндинг'!$F$5:$F$300,'ИТОГО Лэндинг'!$B$5:$B$300,$B238)))</f>
        <v/>
      </c>
      <c r="G238" s="183" t="str">
        <f>IF(F238="","",H238/F238)</f>
        <v/>
      </c>
      <c r="H238" s="247" t="str">
        <f>IF(F238="","",SUMIFS('ИТОГО Торговля'!$H$5:$H$300,'ИТОГО Торговля'!$B$5:$B$300,$B238)+SUMIFS('ИТОГО Лэндинг'!$H$5:$H$300,'ИТОГО Лэндинг'!$B$5:$B$300,$B238))</f>
        <v/>
      </c>
      <c r="I238" s="246" t="str">
        <f>IF($B238="","",IF(AND(C238="",F238=""),"",ROUND(SUMIFS('ИТОГО Торговля'!$I$5:$I$300,'ИТОГО Торговля'!$B$5:$B$300,$B238)+SUMIFS('ИТОГО Лэндинг'!$I$5:$I$300,'ИТОГО Лэндинг'!$B$5:$B$300,$B238),8)))</f>
        <v/>
      </c>
      <c r="J238" s="247" t="str">
        <f>IF($B238="","",IF(AND(C238="",F238=""),"",ROUND(SUMIFS('ИТОГО Торговля'!$J$5:$J$300,'ИТОГО Торговля'!$B$5:$B$300,$B238)+SUMIFS('ИТОГО Лэндинг'!$J$5:$J$300,'ИТОГО Лэндинг'!$B$5:$B$300,$B238),8)))</f>
        <v/>
      </c>
      <c r="K238" s="246" t="str">
        <f>IF(MIN(N(C238),N(F238))&lt;=0,"",ROUND(MIN(N(C238),N(F238))*(N(G238)-N(D238)),8))</f>
        <v/>
      </c>
      <c r="L238" s="183" t="str">
        <f>IF(MIN(N(C238),N(F238))&lt;=0,"",IF(N(D238)=0,"",ROUND((N(G238)/N(D238)-1)*100,2)))</f>
        <v/>
      </c>
      <c r="M238" s="183" t="str">
        <f>IF(OR(ROUND(N(C238)-N(F238),8)=0,1-N(Ввод!$J$19)/100&lt;=0),"",IF(N(C238)&gt;N(F238),(N(E238)-N(H238))/((N(C238)-N(F238))*(1-N(Ввод!$J$19)/100)),(N(H238)-N(E238))/((N(F238)-N(C238))*(1+N(Ввод!$J$19)/100))))</f>
        <v/>
      </c>
    </row>
    <row r="239" ht="22" customHeight="1">
      <c r="B239" s="239" t="n"/>
      <c r="C239" s="240" t="str">
        <f>IF($B239="","",IF(SUMIFS('ИТОГО Торговля'!$C$5:$C$300,'ИТОГО Торговля'!$B$5:$B$300,$B239)+SUMIFS('ИТОГО Лэндинг'!$C$5:$C$300,'ИТОГО Лэндинг'!$B$5:$B$300,$B239)=0,"",SUMIFS('ИТОГО Торговля'!$C$5:$C$300,'ИТОГО Торговля'!$B$5:$B$300,$B239)+SUMIFS('ИТОГО Лэндинг'!$C$5:$C$300,'ИТОГО Лэндинг'!$B$5:$B$300,$B239)))</f>
        <v/>
      </c>
      <c r="D239" s="177" t="str">
        <f>IF(C239="","",E239/C239)</f>
        <v/>
      </c>
      <c r="E239" s="241" t="str">
        <f>IF(C239="","",SUMIFS('ИТОГО Торговля'!$E$5:$E$300,'ИТОГО Торговля'!$B$5:$B$300,$B239)+SUMIFS('ИТОГО Лэндинг'!$E$5:$E$300,'ИТОГО Лэндинг'!$B$5:$B$300,$B239))</f>
        <v/>
      </c>
      <c r="F239" s="240" t="str">
        <f>IF($B239="","",IF(SUMIFS('ИТОГО Торговля'!$F$5:$F$300,'ИТОГО Торговля'!$B$5:$B$300,$B239)+SUMIFS('ИТОГО Лэндинг'!$F$5:$F$300,'ИТОГО Лэндинг'!$B$5:$B$300,$B239)=0,"",SUMIFS('ИТОГО Торговля'!$F$5:$F$300,'ИТОГО Торговля'!$B$5:$B$300,$B239)+SUMIFS('ИТОГО Лэндинг'!$F$5:$F$300,'ИТОГО Лэндинг'!$B$5:$B$300,$B239)))</f>
        <v/>
      </c>
      <c r="G239" s="177" t="str">
        <f>IF(F239="","",H239/F239)</f>
        <v/>
      </c>
      <c r="H239" s="241" t="str">
        <f>IF(F239="","",SUMIFS('ИТОГО Торговля'!$H$5:$H$300,'ИТОГО Торговля'!$B$5:$B$300,$B239)+SUMIFS('ИТОГО Лэндинг'!$H$5:$H$300,'ИТОГО Лэндинг'!$B$5:$B$300,$B239))</f>
        <v/>
      </c>
      <c r="I239" s="240" t="str">
        <f>IF($B239="","",IF(AND(C239="",F239=""),"",ROUND(SUMIFS('ИТОГО Торговля'!$I$5:$I$300,'ИТОГО Торговля'!$B$5:$B$300,$B239)+SUMIFS('ИТОГО Лэндинг'!$I$5:$I$300,'ИТОГО Лэндинг'!$B$5:$B$300,$B239),8)))</f>
        <v/>
      </c>
      <c r="J239" s="241" t="str">
        <f>IF($B239="","",IF(AND(C239="",F239=""),"",ROUND(SUMIFS('ИТОГО Торговля'!$J$5:$J$300,'ИТОГО Торговля'!$B$5:$B$300,$B239)+SUMIFS('ИТОГО Лэндинг'!$J$5:$J$300,'ИТОГО Лэндинг'!$B$5:$B$300,$B239),8)))</f>
        <v/>
      </c>
      <c r="K239" s="240" t="str">
        <f>IF(MIN(N(C239),N(F239))&lt;=0,"",ROUND(MIN(N(C239),N(F239))*(N(G239)-N(D239)),8))</f>
        <v/>
      </c>
      <c r="L239" s="177" t="str">
        <f>IF(MIN(N(C239),N(F239))&lt;=0,"",IF(N(D239)=0,"",ROUND((N(G239)/N(D239)-1)*100,2)))</f>
        <v/>
      </c>
      <c r="M239" s="177" t="str">
        <f>IF(OR(ROUND(N(C239)-N(F239),8)=0,1-N(Ввод!$J$19)/100&lt;=0),"",IF(N(C239)&gt;N(F239),(N(E239)-N(H239))/((N(C239)-N(F239))*(1-N(Ввод!$J$19)/100)),(N(H239)-N(E239))/((N(F239)-N(C239))*(1+N(Ввод!$J$19)/100))))</f>
        <v/>
      </c>
    </row>
    <row r="240" ht="22" customHeight="1">
      <c r="B240" s="245" t="n"/>
      <c r="C240" s="246" t="str">
        <f>IF($B240="","",IF(SUMIFS('ИТОГО Торговля'!$C$5:$C$300,'ИТОГО Торговля'!$B$5:$B$300,$B240)+SUMIFS('ИТОГО Лэндинг'!$C$5:$C$300,'ИТОГО Лэндинг'!$B$5:$B$300,$B240)=0,"",SUMIFS('ИТОГО Торговля'!$C$5:$C$300,'ИТОГО Торговля'!$B$5:$B$300,$B240)+SUMIFS('ИТОГО Лэндинг'!$C$5:$C$300,'ИТОГО Лэндинг'!$B$5:$B$300,$B240)))</f>
        <v/>
      </c>
      <c r="D240" s="183" t="str">
        <f>IF(C240="","",E240/C240)</f>
        <v/>
      </c>
      <c r="E240" s="247" t="str">
        <f>IF(C240="","",SUMIFS('ИТОГО Торговля'!$E$5:$E$300,'ИТОГО Торговля'!$B$5:$B$300,$B240)+SUMIFS('ИТОГО Лэндинг'!$E$5:$E$300,'ИТОГО Лэндинг'!$B$5:$B$300,$B240))</f>
        <v/>
      </c>
      <c r="F240" s="246" t="str">
        <f>IF($B240="","",IF(SUMIFS('ИТОГО Торговля'!$F$5:$F$300,'ИТОГО Торговля'!$B$5:$B$300,$B240)+SUMIFS('ИТОГО Лэндинг'!$F$5:$F$300,'ИТОГО Лэндинг'!$B$5:$B$300,$B240)=0,"",SUMIFS('ИТОГО Торговля'!$F$5:$F$300,'ИТОГО Торговля'!$B$5:$B$300,$B240)+SUMIFS('ИТОГО Лэндинг'!$F$5:$F$300,'ИТОГО Лэндинг'!$B$5:$B$300,$B240)))</f>
        <v/>
      </c>
      <c r="G240" s="183" t="str">
        <f>IF(F240="","",H240/F240)</f>
        <v/>
      </c>
      <c r="H240" s="247" t="str">
        <f>IF(F240="","",SUMIFS('ИТОГО Торговля'!$H$5:$H$300,'ИТОГО Торговля'!$B$5:$B$300,$B240)+SUMIFS('ИТОГО Лэндинг'!$H$5:$H$300,'ИТОГО Лэндинг'!$B$5:$B$300,$B240))</f>
        <v/>
      </c>
      <c r="I240" s="246" t="str">
        <f>IF($B240="","",IF(AND(C240="",F240=""),"",ROUND(SUMIFS('ИТОГО Торговля'!$I$5:$I$300,'ИТОГО Торговля'!$B$5:$B$300,$B240)+SUMIFS('ИТОГО Лэндинг'!$I$5:$I$300,'ИТОГО Лэндинг'!$B$5:$B$300,$B240),8)))</f>
        <v/>
      </c>
      <c r="J240" s="247" t="str">
        <f>IF($B240="","",IF(AND(C240="",F240=""),"",ROUND(SUMIFS('ИТОГО Торговля'!$J$5:$J$300,'ИТОГО Торговля'!$B$5:$B$300,$B240)+SUMIFS('ИТОГО Лэндинг'!$J$5:$J$300,'ИТОГО Лэндинг'!$B$5:$B$300,$B240),8)))</f>
        <v/>
      </c>
      <c r="K240" s="246" t="str">
        <f>IF(MIN(N(C240),N(F240))&lt;=0,"",ROUND(MIN(N(C240),N(F240))*(N(G240)-N(D240)),8))</f>
        <v/>
      </c>
      <c r="L240" s="183" t="str">
        <f>IF(MIN(N(C240),N(F240))&lt;=0,"",IF(N(D240)=0,"",ROUND((N(G240)/N(D240)-1)*100,2)))</f>
        <v/>
      </c>
      <c r="M240" s="183" t="str">
        <f>IF(OR(ROUND(N(C240)-N(F240),8)=0,1-N(Ввод!$J$19)/100&lt;=0),"",IF(N(C240)&gt;N(F240),(N(E240)-N(H240))/((N(C240)-N(F240))*(1-N(Ввод!$J$19)/100)),(N(H240)-N(E240))/((N(F240)-N(C240))*(1+N(Ввод!$J$19)/100))))</f>
        <v/>
      </c>
    </row>
    <row r="241" ht="22" customHeight="1">
      <c r="B241" s="239" t="n"/>
      <c r="C241" s="240" t="str">
        <f>IF($B241="","",IF(SUMIFS('ИТОГО Торговля'!$C$5:$C$300,'ИТОГО Торговля'!$B$5:$B$300,$B241)+SUMIFS('ИТОГО Лэндинг'!$C$5:$C$300,'ИТОГО Лэндинг'!$B$5:$B$300,$B241)=0,"",SUMIFS('ИТОГО Торговля'!$C$5:$C$300,'ИТОГО Торговля'!$B$5:$B$300,$B241)+SUMIFS('ИТОГО Лэндинг'!$C$5:$C$300,'ИТОГО Лэндинг'!$B$5:$B$300,$B241)))</f>
        <v/>
      </c>
      <c r="D241" s="177" t="str">
        <f>IF(C241="","",E241/C241)</f>
        <v/>
      </c>
      <c r="E241" s="241" t="str">
        <f>IF(C241="","",SUMIFS('ИТОГО Торговля'!$E$5:$E$300,'ИТОГО Торговля'!$B$5:$B$300,$B241)+SUMIFS('ИТОГО Лэндинг'!$E$5:$E$300,'ИТОГО Лэндинг'!$B$5:$B$300,$B241))</f>
        <v/>
      </c>
      <c r="F241" s="240" t="str">
        <f>IF($B241="","",IF(SUMIFS('ИТОГО Торговля'!$F$5:$F$300,'ИТОГО Торговля'!$B$5:$B$300,$B241)+SUMIFS('ИТОГО Лэндинг'!$F$5:$F$300,'ИТОГО Лэндинг'!$B$5:$B$300,$B241)=0,"",SUMIFS('ИТОГО Торговля'!$F$5:$F$300,'ИТОГО Торговля'!$B$5:$B$300,$B241)+SUMIFS('ИТОГО Лэндинг'!$F$5:$F$300,'ИТОГО Лэндинг'!$B$5:$B$300,$B241)))</f>
        <v/>
      </c>
      <c r="G241" s="177" t="str">
        <f>IF(F241="","",H241/F241)</f>
        <v/>
      </c>
      <c r="H241" s="241" t="str">
        <f>IF(F241="","",SUMIFS('ИТОГО Торговля'!$H$5:$H$300,'ИТОГО Торговля'!$B$5:$B$300,$B241)+SUMIFS('ИТОГО Лэндинг'!$H$5:$H$300,'ИТОГО Лэндинг'!$B$5:$B$300,$B241))</f>
        <v/>
      </c>
      <c r="I241" s="240" t="str">
        <f>IF($B241="","",IF(AND(C241="",F241=""),"",ROUND(SUMIFS('ИТОГО Торговля'!$I$5:$I$300,'ИТОГО Торговля'!$B$5:$B$300,$B241)+SUMIFS('ИТОГО Лэндинг'!$I$5:$I$300,'ИТОГО Лэндинг'!$B$5:$B$300,$B241),8)))</f>
        <v/>
      </c>
      <c r="J241" s="241" t="str">
        <f>IF($B241="","",IF(AND(C241="",F241=""),"",ROUND(SUMIFS('ИТОГО Торговля'!$J$5:$J$300,'ИТОГО Торговля'!$B$5:$B$300,$B241)+SUMIFS('ИТОГО Лэндинг'!$J$5:$J$300,'ИТОГО Лэндинг'!$B$5:$B$300,$B241),8)))</f>
        <v/>
      </c>
      <c r="K241" s="240" t="str">
        <f>IF(MIN(N(C241),N(F241))&lt;=0,"",ROUND(MIN(N(C241),N(F241))*(N(G241)-N(D241)),8))</f>
        <v/>
      </c>
      <c r="L241" s="177" t="str">
        <f>IF(MIN(N(C241),N(F241))&lt;=0,"",IF(N(D241)=0,"",ROUND((N(G241)/N(D241)-1)*100,2)))</f>
        <v/>
      </c>
      <c r="M241" s="177" t="str">
        <f>IF(OR(ROUND(N(C241)-N(F241),8)=0,1-N(Ввод!$J$19)/100&lt;=0),"",IF(N(C241)&gt;N(F241),(N(E241)-N(H241))/((N(C241)-N(F241))*(1-N(Ввод!$J$19)/100)),(N(H241)-N(E241))/((N(F241)-N(C241))*(1+N(Ввод!$J$19)/100))))</f>
        <v/>
      </c>
    </row>
    <row r="242" ht="22" customHeight="1">
      <c r="B242" s="245" t="n"/>
      <c r="C242" s="246" t="str">
        <f>IF($B242="","",IF(SUMIFS('ИТОГО Торговля'!$C$5:$C$300,'ИТОГО Торговля'!$B$5:$B$300,$B242)+SUMIFS('ИТОГО Лэндинг'!$C$5:$C$300,'ИТОГО Лэндинг'!$B$5:$B$300,$B242)=0,"",SUMIFS('ИТОГО Торговля'!$C$5:$C$300,'ИТОГО Торговля'!$B$5:$B$300,$B242)+SUMIFS('ИТОГО Лэндинг'!$C$5:$C$300,'ИТОГО Лэндинг'!$B$5:$B$300,$B242)))</f>
        <v/>
      </c>
      <c r="D242" s="183" t="str">
        <f>IF(C242="","",E242/C242)</f>
        <v/>
      </c>
      <c r="E242" s="247" t="str">
        <f>IF(C242="","",SUMIFS('ИТОГО Торговля'!$E$5:$E$300,'ИТОГО Торговля'!$B$5:$B$300,$B242)+SUMIFS('ИТОГО Лэндинг'!$E$5:$E$300,'ИТОГО Лэндинг'!$B$5:$B$300,$B242))</f>
        <v/>
      </c>
      <c r="F242" s="246" t="str">
        <f>IF($B242="","",IF(SUMIFS('ИТОГО Торговля'!$F$5:$F$300,'ИТОГО Торговля'!$B$5:$B$300,$B242)+SUMIFS('ИТОГО Лэндинг'!$F$5:$F$300,'ИТОГО Лэндинг'!$B$5:$B$300,$B242)=0,"",SUMIFS('ИТОГО Торговля'!$F$5:$F$300,'ИТОГО Торговля'!$B$5:$B$300,$B242)+SUMIFS('ИТОГО Лэндинг'!$F$5:$F$300,'ИТОГО Лэндинг'!$B$5:$B$300,$B242)))</f>
        <v/>
      </c>
      <c r="G242" s="183" t="str">
        <f>IF(F242="","",H242/F242)</f>
        <v/>
      </c>
      <c r="H242" s="247" t="str">
        <f>IF(F242="","",SUMIFS('ИТОГО Торговля'!$H$5:$H$300,'ИТОГО Торговля'!$B$5:$B$300,$B242)+SUMIFS('ИТОГО Лэндинг'!$H$5:$H$300,'ИТОГО Лэндинг'!$B$5:$B$300,$B242))</f>
        <v/>
      </c>
      <c r="I242" s="246" t="str">
        <f>IF($B242="","",IF(AND(C242="",F242=""),"",ROUND(SUMIFS('ИТОГО Торговля'!$I$5:$I$300,'ИТОГО Торговля'!$B$5:$B$300,$B242)+SUMIFS('ИТОГО Лэндинг'!$I$5:$I$300,'ИТОГО Лэндинг'!$B$5:$B$300,$B242),8)))</f>
        <v/>
      </c>
      <c r="J242" s="247" t="str">
        <f>IF($B242="","",IF(AND(C242="",F242=""),"",ROUND(SUMIFS('ИТОГО Торговля'!$J$5:$J$300,'ИТОГО Торговля'!$B$5:$B$300,$B242)+SUMIFS('ИТОГО Лэндинг'!$J$5:$J$300,'ИТОГО Лэндинг'!$B$5:$B$300,$B242),8)))</f>
        <v/>
      </c>
      <c r="K242" s="246" t="str">
        <f>IF(MIN(N(C242),N(F242))&lt;=0,"",ROUND(MIN(N(C242),N(F242))*(N(G242)-N(D242)),8))</f>
        <v/>
      </c>
      <c r="L242" s="183" t="str">
        <f>IF(MIN(N(C242),N(F242))&lt;=0,"",IF(N(D242)=0,"",ROUND((N(G242)/N(D242)-1)*100,2)))</f>
        <v/>
      </c>
      <c r="M242" s="183" t="str">
        <f>IF(OR(ROUND(N(C242)-N(F242),8)=0,1-N(Ввод!$J$19)/100&lt;=0),"",IF(N(C242)&gt;N(F242),(N(E242)-N(H242))/((N(C242)-N(F242))*(1-N(Ввод!$J$19)/100)),(N(H242)-N(E242))/((N(F242)-N(C242))*(1+N(Ввод!$J$19)/100))))</f>
        <v/>
      </c>
    </row>
    <row r="243" ht="22" customHeight="1">
      <c r="B243" s="239" t="n"/>
      <c r="C243" s="240" t="str">
        <f>IF($B243="","",IF(SUMIFS('ИТОГО Торговля'!$C$5:$C$300,'ИТОГО Торговля'!$B$5:$B$300,$B243)+SUMIFS('ИТОГО Лэндинг'!$C$5:$C$300,'ИТОГО Лэндинг'!$B$5:$B$300,$B243)=0,"",SUMIFS('ИТОГО Торговля'!$C$5:$C$300,'ИТОГО Торговля'!$B$5:$B$300,$B243)+SUMIFS('ИТОГО Лэндинг'!$C$5:$C$300,'ИТОГО Лэндинг'!$B$5:$B$300,$B243)))</f>
        <v/>
      </c>
      <c r="D243" s="177" t="str">
        <f>IF(C243="","",E243/C243)</f>
        <v/>
      </c>
      <c r="E243" s="241" t="str">
        <f>IF(C243="","",SUMIFS('ИТОГО Торговля'!$E$5:$E$300,'ИТОГО Торговля'!$B$5:$B$300,$B243)+SUMIFS('ИТОГО Лэндинг'!$E$5:$E$300,'ИТОГО Лэндинг'!$B$5:$B$300,$B243))</f>
        <v/>
      </c>
      <c r="F243" s="240" t="str">
        <f>IF($B243="","",IF(SUMIFS('ИТОГО Торговля'!$F$5:$F$300,'ИТОГО Торговля'!$B$5:$B$300,$B243)+SUMIFS('ИТОГО Лэндинг'!$F$5:$F$300,'ИТОГО Лэндинг'!$B$5:$B$300,$B243)=0,"",SUMIFS('ИТОГО Торговля'!$F$5:$F$300,'ИТОГО Торговля'!$B$5:$B$300,$B243)+SUMIFS('ИТОГО Лэндинг'!$F$5:$F$300,'ИТОГО Лэндинг'!$B$5:$B$300,$B243)))</f>
        <v/>
      </c>
      <c r="G243" s="177" t="str">
        <f>IF(F243="","",H243/F243)</f>
        <v/>
      </c>
      <c r="H243" s="241" t="str">
        <f>IF(F243="","",SUMIFS('ИТОГО Торговля'!$H$5:$H$300,'ИТОГО Торговля'!$B$5:$B$300,$B243)+SUMIFS('ИТОГО Лэндинг'!$H$5:$H$300,'ИТОГО Лэндинг'!$B$5:$B$300,$B243))</f>
        <v/>
      </c>
      <c r="I243" s="240" t="str">
        <f>IF($B243="","",IF(AND(C243="",F243=""),"",ROUND(SUMIFS('ИТОГО Торговля'!$I$5:$I$300,'ИТОГО Торговля'!$B$5:$B$300,$B243)+SUMIFS('ИТОГО Лэндинг'!$I$5:$I$300,'ИТОГО Лэндинг'!$B$5:$B$300,$B243),8)))</f>
        <v/>
      </c>
      <c r="J243" s="241" t="str">
        <f>IF($B243="","",IF(AND(C243="",F243=""),"",ROUND(SUMIFS('ИТОГО Торговля'!$J$5:$J$300,'ИТОГО Торговля'!$B$5:$B$300,$B243)+SUMIFS('ИТОГО Лэндинг'!$J$5:$J$300,'ИТОГО Лэндинг'!$B$5:$B$300,$B243),8)))</f>
        <v/>
      </c>
      <c r="K243" s="240" t="str">
        <f>IF(MIN(N(C243),N(F243))&lt;=0,"",ROUND(MIN(N(C243),N(F243))*(N(G243)-N(D243)),8))</f>
        <v/>
      </c>
      <c r="L243" s="177" t="str">
        <f>IF(MIN(N(C243),N(F243))&lt;=0,"",IF(N(D243)=0,"",ROUND((N(G243)/N(D243)-1)*100,2)))</f>
        <v/>
      </c>
      <c r="M243" s="177" t="str">
        <f>IF(OR(ROUND(N(C243)-N(F243),8)=0,1-N(Ввод!$J$19)/100&lt;=0),"",IF(N(C243)&gt;N(F243),(N(E243)-N(H243))/((N(C243)-N(F243))*(1-N(Ввод!$J$19)/100)),(N(H243)-N(E243))/((N(F243)-N(C243))*(1+N(Ввод!$J$19)/100))))</f>
        <v/>
      </c>
    </row>
    <row r="244" ht="22" customHeight="1">
      <c r="B244" s="245" t="n"/>
      <c r="C244" s="246" t="str">
        <f>IF($B244="","",IF(SUMIFS('ИТОГО Торговля'!$C$5:$C$300,'ИТОГО Торговля'!$B$5:$B$300,$B244)+SUMIFS('ИТОГО Лэндинг'!$C$5:$C$300,'ИТОГО Лэндинг'!$B$5:$B$300,$B244)=0,"",SUMIFS('ИТОГО Торговля'!$C$5:$C$300,'ИТОГО Торговля'!$B$5:$B$300,$B244)+SUMIFS('ИТОГО Лэндинг'!$C$5:$C$300,'ИТОГО Лэндинг'!$B$5:$B$300,$B244)))</f>
        <v/>
      </c>
      <c r="D244" s="183" t="str">
        <f>IF(C244="","",E244/C244)</f>
        <v/>
      </c>
      <c r="E244" s="247" t="str">
        <f>IF(C244="","",SUMIFS('ИТОГО Торговля'!$E$5:$E$300,'ИТОГО Торговля'!$B$5:$B$300,$B244)+SUMIFS('ИТОГО Лэндинг'!$E$5:$E$300,'ИТОГО Лэндинг'!$B$5:$B$300,$B244))</f>
        <v/>
      </c>
      <c r="F244" s="246" t="str">
        <f>IF($B244="","",IF(SUMIFS('ИТОГО Торговля'!$F$5:$F$300,'ИТОГО Торговля'!$B$5:$B$300,$B244)+SUMIFS('ИТОГО Лэндинг'!$F$5:$F$300,'ИТОГО Лэндинг'!$B$5:$B$300,$B244)=0,"",SUMIFS('ИТОГО Торговля'!$F$5:$F$300,'ИТОГО Торговля'!$B$5:$B$300,$B244)+SUMIFS('ИТОГО Лэндинг'!$F$5:$F$300,'ИТОГО Лэндинг'!$B$5:$B$300,$B244)))</f>
        <v/>
      </c>
      <c r="G244" s="183" t="str">
        <f>IF(F244="","",H244/F244)</f>
        <v/>
      </c>
      <c r="H244" s="247" t="str">
        <f>IF(F244="","",SUMIFS('ИТОГО Торговля'!$H$5:$H$300,'ИТОГО Торговля'!$B$5:$B$300,$B244)+SUMIFS('ИТОГО Лэндинг'!$H$5:$H$300,'ИТОГО Лэндинг'!$B$5:$B$300,$B244))</f>
        <v/>
      </c>
      <c r="I244" s="246" t="str">
        <f>IF($B244="","",IF(AND(C244="",F244=""),"",ROUND(SUMIFS('ИТОГО Торговля'!$I$5:$I$300,'ИТОГО Торговля'!$B$5:$B$300,$B244)+SUMIFS('ИТОГО Лэндинг'!$I$5:$I$300,'ИТОГО Лэндинг'!$B$5:$B$300,$B244),8)))</f>
        <v/>
      </c>
      <c r="J244" s="247" t="str">
        <f>IF($B244="","",IF(AND(C244="",F244=""),"",ROUND(SUMIFS('ИТОГО Торговля'!$J$5:$J$300,'ИТОГО Торговля'!$B$5:$B$300,$B244)+SUMIFS('ИТОГО Лэндинг'!$J$5:$J$300,'ИТОГО Лэндинг'!$B$5:$B$300,$B244),8)))</f>
        <v/>
      </c>
      <c r="K244" s="246" t="str">
        <f>IF(MIN(N(C244),N(F244))&lt;=0,"",ROUND(MIN(N(C244),N(F244))*(N(G244)-N(D244)),8))</f>
        <v/>
      </c>
      <c r="L244" s="183" t="str">
        <f>IF(MIN(N(C244),N(F244))&lt;=0,"",IF(N(D244)=0,"",ROUND((N(G244)/N(D244)-1)*100,2)))</f>
        <v/>
      </c>
      <c r="M244" s="183" t="str">
        <f>IF(OR(ROUND(N(C244)-N(F244),8)=0,1-N(Ввод!$J$19)/100&lt;=0),"",IF(N(C244)&gt;N(F244),(N(E244)-N(H244))/((N(C244)-N(F244))*(1-N(Ввод!$J$19)/100)),(N(H244)-N(E244))/((N(F244)-N(C244))*(1+N(Ввод!$J$19)/100))))</f>
        <v/>
      </c>
    </row>
    <row r="245" ht="22" customHeight="1">
      <c r="B245" s="239" t="n"/>
      <c r="C245" s="240" t="str">
        <f>IF($B245="","",IF(SUMIFS('ИТОГО Торговля'!$C$5:$C$300,'ИТОГО Торговля'!$B$5:$B$300,$B245)+SUMIFS('ИТОГО Лэндинг'!$C$5:$C$300,'ИТОГО Лэндинг'!$B$5:$B$300,$B245)=0,"",SUMIFS('ИТОГО Торговля'!$C$5:$C$300,'ИТОГО Торговля'!$B$5:$B$300,$B245)+SUMIFS('ИТОГО Лэндинг'!$C$5:$C$300,'ИТОГО Лэндинг'!$B$5:$B$300,$B245)))</f>
        <v/>
      </c>
      <c r="D245" s="177" t="str">
        <f>IF(C245="","",E245/C245)</f>
        <v/>
      </c>
      <c r="E245" s="241" t="str">
        <f>IF(C245="","",SUMIFS('ИТОГО Торговля'!$E$5:$E$300,'ИТОГО Торговля'!$B$5:$B$300,$B245)+SUMIFS('ИТОГО Лэндинг'!$E$5:$E$300,'ИТОГО Лэндинг'!$B$5:$B$300,$B245))</f>
        <v/>
      </c>
      <c r="F245" s="240" t="str">
        <f>IF($B245="","",IF(SUMIFS('ИТОГО Торговля'!$F$5:$F$300,'ИТОГО Торговля'!$B$5:$B$300,$B245)+SUMIFS('ИТОГО Лэндинг'!$F$5:$F$300,'ИТОГО Лэндинг'!$B$5:$B$300,$B245)=0,"",SUMIFS('ИТОГО Торговля'!$F$5:$F$300,'ИТОГО Торговля'!$B$5:$B$300,$B245)+SUMIFS('ИТОГО Лэндинг'!$F$5:$F$300,'ИТОГО Лэндинг'!$B$5:$B$300,$B245)))</f>
        <v/>
      </c>
      <c r="G245" s="177" t="str">
        <f>IF(F245="","",H245/F245)</f>
        <v/>
      </c>
      <c r="H245" s="241" t="str">
        <f>IF(F245="","",SUMIFS('ИТОГО Торговля'!$H$5:$H$300,'ИТОГО Торговля'!$B$5:$B$300,$B245)+SUMIFS('ИТОГО Лэндинг'!$H$5:$H$300,'ИТОГО Лэндинг'!$B$5:$B$300,$B245))</f>
        <v/>
      </c>
      <c r="I245" s="240" t="str">
        <f>IF($B245="","",IF(AND(C245="",F245=""),"",ROUND(SUMIFS('ИТОГО Торговля'!$I$5:$I$300,'ИТОГО Торговля'!$B$5:$B$300,$B245)+SUMIFS('ИТОГО Лэндинг'!$I$5:$I$300,'ИТОГО Лэндинг'!$B$5:$B$300,$B245),8)))</f>
        <v/>
      </c>
      <c r="J245" s="241" t="str">
        <f>IF($B245="","",IF(AND(C245="",F245=""),"",ROUND(SUMIFS('ИТОГО Торговля'!$J$5:$J$300,'ИТОГО Торговля'!$B$5:$B$300,$B245)+SUMIFS('ИТОГО Лэндинг'!$J$5:$J$300,'ИТОГО Лэндинг'!$B$5:$B$300,$B245),8)))</f>
        <v/>
      </c>
      <c r="K245" s="240" t="str">
        <f>IF(MIN(N(C245),N(F245))&lt;=0,"",ROUND(MIN(N(C245),N(F245))*(N(G245)-N(D245)),8))</f>
        <v/>
      </c>
      <c r="L245" s="177" t="str">
        <f>IF(MIN(N(C245),N(F245))&lt;=0,"",IF(N(D245)=0,"",ROUND((N(G245)/N(D245)-1)*100,2)))</f>
        <v/>
      </c>
      <c r="M245" s="177" t="str">
        <f>IF(OR(ROUND(N(C245)-N(F245),8)=0,1-N(Ввод!$J$19)/100&lt;=0),"",IF(N(C245)&gt;N(F245),(N(E245)-N(H245))/((N(C245)-N(F245))*(1-N(Ввод!$J$19)/100)),(N(H245)-N(E245))/((N(F245)-N(C245))*(1+N(Ввод!$J$19)/100))))</f>
        <v/>
      </c>
    </row>
    <row r="246" ht="22" customHeight="1">
      <c r="B246" s="245" t="n"/>
      <c r="C246" s="246" t="str">
        <f>IF($B246="","",IF(SUMIFS('ИТОГО Торговля'!$C$5:$C$300,'ИТОГО Торговля'!$B$5:$B$300,$B246)+SUMIFS('ИТОГО Лэндинг'!$C$5:$C$300,'ИТОГО Лэндинг'!$B$5:$B$300,$B246)=0,"",SUMIFS('ИТОГО Торговля'!$C$5:$C$300,'ИТОГО Торговля'!$B$5:$B$300,$B246)+SUMIFS('ИТОГО Лэндинг'!$C$5:$C$300,'ИТОГО Лэндинг'!$B$5:$B$300,$B246)))</f>
        <v/>
      </c>
      <c r="D246" s="183" t="str">
        <f>IF(C246="","",E246/C246)</f>
        <v/>
      </c>
      <c r="E246" s="247" t="str">
        <f>IF(C246="","",SUMIFS('ИТОГО Торговля'!$E$5:$E$300,'ИТОГО Торговля'!$B$5:$B$300,$B246)+SUMIFS('ИТОГО Лэндинг'!$E$5:$E$300,'ИТОГО Лэндинг'!$B$5:$B$300,$B246))</f>
        <v/>
      </c>
      <c r="F246" s="246" t="str">
        <f>IF($B246="","",IF(SUMIFS('ИТОГО Торговля'!$F$5:$F$300,'ИТОГО Торговля'!$B$5:$B$300,$B246)+SUMIFS('ИТОГО Лэндинг'!$F$5:$F$300,'ИТОГО Лэндинг'!$B$5:$B$300,$B246)=0,"",SUMIFS('ИТОГО Торговля'!$F$5:$F$300,'ИТОГО Торговля'!$B$5:$B$300,$B246)+SUMIFS('ИТОГО Лэндинг'!$F$5:$F$300,'ИТОГО Лэндинг'!$B$5:$B$300,$B246)))</f>
        <v/>
      </c>
      <c r="G246" s="183" t="str">
        <f>IF(F246="","",H246/F246)</f>
        <v/>
      </c>
      <c r="H246" s="247" t="str">
        <f>IF(F246="","",SUMIFS('ИТОГО Торговля'!$H$5:$H$300,'ИТОГО Торговля'!$B$5:$B$300,$B246)+SUMIFS('ИТОГО Лэндинг'!$H$5:$H$300,'ИТОГО Лэндинг'!$B$5:$B$300,$B246))</f>
        <v/>
      </c>
      <c r="I246" s="246" t="str">
        <f>IF($B246="","",IF(AND(C246="",F246=""),"",ROUND(SUMIFS('ИТОГО Торговля'!$I$5:$I$300,'ИТОГО Торговля'!$B$5:$B$300,$B246)+SUMIFS('ИТОГО Лэндинг'!$I$5:$I$300,'ИТОГО Лэндинг'!$B$5:$B$300,$B246),8)))</f>
        <v/>
      </c>
      <c r="J246" s="247" t="str">
        <f>IF($B246="","",IF(AND(C246="",F246=""),"",ROUND(SUMIFS('ИТОГО Торговля'!$J$5:$J$300,'ИТОГО Торговля'!$B$5:$B$300,$B246)+SUMIFS('ИТОГО Лэндинг'!$J$5:$J$300,'ИТОГО Лэндинг'!$B$5:$B$300,$B246),8)))</f>
        <v/>
      </c>
      <c r="K246" s="246" t="str">
        <f>IF(MIN(N(C246),N(F246))&lt;=0,"",ROUND(MIN(N(C246),N(F246))*(N(G246)-N(D246)),8))</f>
        <v/>
      </c>
      <c r="L246" s="183" t="str">
        <f>IF(MIN(N(C246),N(F246))&lt;=0,"",IF(N(D246)=0,"",ROUND((N(G246)/N(D246)-1)*100,2)))</f>
        <v/>
      </c>
      <c r="M246" s="183" t="str">
        <f>IF(OR(ROUND(N(C246)-N(F246),8)=0,1-N(Ввод!$J$19)/100&lt;=0),"",IF(N(C246)&gt;N(F246),(N(E246)-N(H246))/((N(C246)-N(F246))*(1-N(Ввод!$J$19)/100)),(N(H246)-N(E246))/((N(F246)-N(C246))*(1+N(Ввод!$J$19)/100))))</f>
        <v/>
      </c>
    </row>
    <row r="247" ht="22" customHeight="1">
      <c r="B247" s="239" t="n"/>
      <c r="C247" s="240" t="str">
        <f>IF($B247="","",IF(SUMIFS('ИТОГО Торговля'!$C$5:$C$300,'ИТОГО Торговля'!$B$5:$B$300,$B247)+SUMIFS('ИТОГО Лэндинг'!$C$5:$C$300,'ИТОГО Лэндинг'!$B$5:$B$300,$B247)=0,"",SUMIFS('ИТОГО Торговля'!$C$5:$C$300,'ИТОГО Торговля'!$B$5:$B$300,$B247)+SUMIFS('ИТОГО Лэндинг'!$C$5:$C$300,'ИТОГО Лэндинг'!$B$5:$B$300,$B247)))</f>
        <v/>
      </c>
      <c r="D247" s="177" t="str">
        <f>IF(C247="","",E247/C247)</f>
        <v/>
      </c>
      <c r="E247" s="241" t="str">
        <f>IF(C247="","",SUMIFS('ИТОГО Торговля'!$E$5:$E$300,'ИТОГО Торговля'!$B$5:$B$300,$B247)+SUMIFS('ИТОГО Лэндинг'!$E$5:$E$300,'ИТОГО Лэндинг'!$B$5:$B$300,$B247))</f>
        <v/>
      </c>
      <c r="F247" s="240" t="str">
        <f>IF($B247="","",IF(SUMIFS('ИТОГО Торговля'!$F$5:$F$300,'ИТОГО Торговля'!$B$5:$B$300,$B247)+SUMIFS('ИТОГО Лэндинг'!$F$5:$F$300,'ИТОГО Лэндинг'!$B$5:$B$300,$B247)=0,"",SUMIFS('ИТОГО Торговля'!$F$5:$F$300,'ИТОГО Торговля'!$B$5:$B$300,$B247)+SUMIFS('ИТОГО Лэндинг'!$F$5:$F$300,'ИТОГО Лэндинг'!$B$5:$B$300,$B247)))</f>
        <v/>
      </c>
      <c r="G247" s="177" t="str">
        <f>IF(F247="","",H247/F247)</f>
        <v/>
      </c>
      <c r="H247" s="241" t="str">
        <f>IF(F247="","",SUMIFS('ИТОГО Торговля'!$H$5:$H$300,'ИТОГО Торговля'!$B$5:$B$300,$B247)+SUMIFS('ИТОГО Лэндинг'!$H$5:$H$300,'ИТОГО Лэндинг'!$B$5:$B$300,$B247))</f>
        <v/>
      </c>
      <c r="I247" s="240" t="str">
        <f>IF($B247="","",IF(AND(C247="",F247=""),"",ROUND(SUMIFS('ИТОГО Торговля'!$I$5:$I$300,'ИТОГО Торговля'!$B$5:$B$300,$B247)+SUMIFS('ИТОГО Лэндинг'!$I$5:$I$300,'ИТОГО Лэндинг'!$B$5:$B$300,$B247),8)))</f>
        <v/>
      </c>
      <c r="J247" s="241" t="str">
        <f>IF($B247="","",IF(AND(C247="",F247=""),"",ROUND(SUMIFS('ИТОГО Торговля'!$J$5:$J$300,'ИТОГО Торговля'!$B$5:$B$300,$B247)+SUMIFS('ИТОГО Лэндинг'!$J$5:$J$300,'ИТОГО Лэндинг'!$B$5:$B$300,$B247),8)))</f>
        <v/>
      </c>
      <c r="K247" s="240" t="str">
        <f>IF(MIN(N(C247),N(F247))&lt;=0,"",ROUND(MIN(N(C247),N(F247))*(N(G247)-N(D247)),8))</f>
        <v/>
      </c>
      <c r="L247" s="177" t="str">
        <f>IF(MIN(N(C247),N(F247))&lt;=0,"",IF(N(D247)=0,"",ROUND((N(G247)/N(D247)-1)*100,2)))</f>
        <v/>
      </c>
      <c r="M247" s="177" t="str">
        <f>IF(OR(ROUND(N(C247)-N(F247),8)=0,1-N(Ввод!$J$19)/100&lt;=0),"",IF(N(C247)&gt;N(F247),(N(E247)-N(H247))/((N(C247)-N(F247))*(1-N(Ввод!$J$19)/100)),(N(H247)-N(E247))/((N(F247)-N(C247))*(1+N(Ввод!$J$19)/100))))</f>
        <v/>
      </c>
    </row>
    <row r="248" ht="22" customHeight="1">
      <c r="B248" s="245" t="n"/>
      <c r="C248" s="246" t="str">
        <f>IF($B248="","",IF(SUMIFS('ИТОГО Торговля'!$C$5:$C$300,'ИТОГО Торговля'!$B$5:$B$300,$B248)+SUMIFS('ИТОГО Лэндинг'!$C$5:$C$300,'ИТОГО Лэндинг'!$B$5:$B$300,$B248)=0,"",SUMIFS('ИТОГО Торговля'!$C$5:$C$300,'ИТОГО Торговля'!$B$5:$B$300,$B248)+SUMIFS('ИТОГО Лэндинг'!$C$5:$C$300,'ИТОГО Лэндинг'!$B$5:$B$300,$B248)))</f>
        <v/>
      </c>
      <c r="D248" s="183" t="str">
        <f>IF(C248="","",E248/C248)</f>
        <v/>
      </c>
      <c r="E248" s="247" t="str">
        <f>IF(C248="","",SUMIFS('ИТОГО Торговля'!$E$5:$E$300,'ИТОГО Торговля'!$B$5:$B$300,$B248)+SUMIFS('ИТОГО Лэндинг'!$E$5:$E$300,'ИТОГО Лэндинг'!$B$5:$B$300,$B248))</f>
        <v/>
      </c>
      <c r="F248" s="246" t="str">
        <f>IF($B248="","",IF(SUMIFS('ИТОГО Торговля'!$F$5:$F$300,'ИТОГО Торговля'!$B$5:$B$300,$B248)+SUMIFS('ИТОГО Лэндинг'!$F$5:$F$300,'ИТОГО Лэндинг'!$B$5:$B$300,$B248)=0,"",SUMIFS('ИТОГО Торговля'!$F$5:$F$300,'ИТОГО Торговля'!$B$5:$B$300,$B248)+SUMIFS('ИТОГО Лэндинг'!$F$5:$F$300,'ИТОГО Лэндинг'!$B$5:$B$300,$B248)))</f>
        <v/>
      </c>
      <c r="G248" s="183" t="str">
        <f>IF(F248="","",H248/F248)</f>
        <v/>
      </c>
      <c r="H248" s="247" t="str">
        <f>IF(F248="","",SUMIFS('ИТОГО Торговля'!$H$5:$H$300,'ИТОГО Торговля'!$B$5:$B$300,$B248)+SUMIFS('ИТОГО Лэндинг'!$H$5:$H$300,'ИТОГО Лэндинг'!$B$5:$B$300,$B248))</f>
        <v/>
      </c>
      <c r="I248" s="246" t="str">
        <f>IF($B248="","",IF(AND(C248="",F248=""),"",ROUND(SUMIFS('ИТОГО Торговля'!$I$5:$I$300,'ИТОГО Торговля'!$B$5:$B$300,$B248)+SUMIFS('ИТОГО Лэндинг'!$I$5:$I$300,'ИТОГО Лэндинг'!$B$5:$B$300,$B248),8)))</f>
        <v/>
      </c>
      <c r="J248" s="247" t="str">
        <f>IF($B248="","",IF(AND(C248="",F248=""),"",ROUND(SUMIFS('ИТОГО Торговля'!$J$5:$J$300,'ИТОГО Торговля'!$B$5:$B$300,$B248)+SUMIFS('ИТОГО Лэндинг'!$J$5:$J$300,'ИТОГО Лэндинг'!$B$5:$B$300,$B248),8)))</f>
        <v/>
      </c>
      <c r="K248" s="246" t="str">
        <f>IF(MIN(N(C248),N(F248))&lt;=0,"",ROUND(MIN(N(C248),N(F248))*(N(G248)-N(D248)),8))</f>
        <v/>
      </c>
      <c r="L248" s="183" t="str">
        <f>IF(MIN(N(C248),N(F248))&lt;=0,"",IF(N(D248)=0,"",ROUND((N(G248)/N(D248)-1)*100,2)))</f>
        <v/>
      </c>
      <c r="M248" s="183" t="str">
        <f>IF(OR(ROUND(N(C248)-N(F248),8)=0,1-N(Ввод!$J$19)/100&lt;=0),"",IF(N(C248)&gt;N(F248),(N(E248)-N(H248))/((N(C248)-N(F248))*(1-N(Ввод!$J$19)/100)),(N(H248)-N(E248))/((N(F248)-N(C248))*(1+N(Ввод!$J$19)/100))))</f>
        <v/>
      </c>
    </row>
    <row r="249" ht="22" customHeight="1">
      <c r="B249" s="239" t="n"/>
      <c r="C249" s="240" t="str">
        <f>IF($B249="","",IF(SUMIFS('ИТОГО Торговля'!$C$5:$C$300,'ИТОГО Торговля'!$B$5:$B$300,$B249)+SUMIFS('ИТОГО Лэндинг'!$C$5:$C$300,'ИТОГО Лэндинг'!$B$5:$B$300,$B249)=0,"",SUMIFS('ИТОГО Торговля'!$C$5:$C$300,'ИТОГО Торговля'!$B$5:$B$300,$B249)+SUMIFS('ИТОГО Лэндинг'!$C$5:$C$300,'ИТОГО Лэндинг'!$B$5:$B$300,$B249)))</f>
        <v/>
      </c>
      <c r="D249" s="177" t="str">
        <f>IF(C249="","",E249/C249)</f>
        <v/>
      </c>
      <c r="E249" s="241" t="str">
        <f>IF(C249="","",SUMIFS('ИТОГО Торговля'!$E$5:$E$300,'ИТОГО Торговля'!$B$5:$B$300,$B249)+SUMIFS('ИТОГО Лэндинг'!$E$5:$E$300,'ИТОГО Лэндинг'!$B$5:$B$300,$B249))</f>
        <v/>
      </c>
      <c r="F249" s="240" t="str">
        <f>IF($B249="","",IF(SUMIFS('ИТОГО Торговля'!$F$5:$F$300,'ИТОГО Торговля'!$B$5:$B$300,$B249)+SUMIFS('ИТОГО Лэндинг'!$F$5:$F$300,'ИТОГО Лэндинг'!$B$5:$B$300,$B249)=0,"",SUMIFS('ИТОГО Торговля'!$F$5:$F$300,'ИТОГО Торговля'!$B$5:$B$300,$B249)+SUMIFS('ИТОГО Лэндинг'!$F$5:$F$300,'ИТОГО Лэндинг'!$B$5:$B$300,$B249)))</f>
        <v/>
      </c>
      <c r="G249" s="177" t="str">
        <f>IF(F249="","",H249/F249)</f>
        <v/>
      </c>
      <c r="H249" s="241" t="str">
        <f>IF(F249="","",SUMIFS('ИТОГО Торговля'!$H$5:$H$300,'ИТОГО Торговля'!$B$5:$B$300,$B249)+SUMIFS('ИТОГО Лэндинг'!$H$5:$H$300,'ИТОГО Лэндинг'!$B$5:$B$300,$B249))</f>
        <v/>
      </c>
      <c r="I249" s="240" t="str">
        <f>IF($B249="","",IF(AND(C249="",F249=""),"",ROUND(SUMIFS('ИТОГО Торговля'!$I$5:$I$300,'ИТОГО Торговля'!$B$5:$B$300,$B249)+SUMIFS('ИТОГО Лэндинг'!$I$5:$I$300,'ИТОГО Лэндинг'!$B$5:$B$300,$B249),8)))</f>
        <v/>
      </c>
      <c r="J249" s="241" t="str">
        <f>IF($B249="","",IF(AND(C249="",F249=""),"",ROUND(SUMIFS('ИТОГО Торговля'!$J$5:$J$300,'ИТОГО Торговля'!$B$5:$B$300,$B249)+SUMIFS('ИТОГО Лэндинг'!$J$5:$J$300,'ИТОГО Лэндинг'!$B$5:$B$300,$B249),8)))</f>
        <v/>
      </c>
      <c r="K249" s="240" t="str">
        <f>IF(MIN(N(C249),N(F249))&lt;=0,"",ROUND(MIN(N(C249),N(F249))*(N(G249)-N(D249)),8))</f>
        <v/>
      </c>
      <c r="L249" s="177" t="str">
        <f>IF(MIN(N(C249),N(F249))&lt;=0,"",IF(N(D249)=0,"",ROUND((N(G249)/N(D249)-1)*100,2)))</f>
        <v/>
      </c>
      <c r="M249" s="177" t="str">
        <f>IF(OR(ROUND(N(C249)-N(F249),8)=0,1-N(Ввод!$J$19)/100&lt;=0),"",IF(N(C249)&gt;N(F249),(N(E249)-N(H249))/((N(C249)-N(F249))*(1-N(Ввод!$J$19)/100)),(N(H249)-N(E249))/((N(F249)-N(C249))*(1+N(Ввод!$J$19)/100))))</f>
        <v/>
      </c>
    </row>
    <row r="250" ht="22" customHeight="1">
      <c r="B250" s="245" t="n"/>
      <c r="C250" s="246" t="str">
        <f>IF($B250="","",IF(SUMIFS('ИТОГО Торговля'!$C$5:$C$300,'ИТОГО Торговля'!$B$5:$B$300,$B250)+SUMIFS('ИТОГО Лэндинг'!$C$5:$C$300,'ИТОГО Лэндинг'!$B$5:$B$300,$B250)=0,"",SUMIFS('ИТОГО Торговля'!$C$5:$C$300,'ИТОГО Торговля'!$B$5:$B$300,$B250)+SUMIFS('ИТОГО Лэндинг'!$C$5:$C$300,'ИТОГО Лэндинг'!$B$5:$B$300,$B250)))</f>
        <v/>
      </c>
      <c r="D250" s="183" t="str">
        <f>IF(C250="","",E250/C250)</f>
        <v/>
      </c>
      <c r="E250" s="247" t="str">
        <f>IF(C250="","",SUMIFS('ИТОГО Торговля'!$E$5:$E$300,'ИТОГО Торговля'!$B$5:$B$300,$B250)+SUMIFS('ИТОГО Лэндинг'!$E$5:$E$300,'ИТОГО Лэндинг'!$B$5:$B$300,$B250))</f>
        <v/>
      </c>
      <c r="F250" s="246" t="str">
        <f>IF($B250="","",IF(SUMIFS('ИТОГО Торговля'!$F$5:$F$300,'ИТОГО Торговля'!$B$5:$B$300,$B250)+SUMIFS('ИТОГО Лэндинг'!$F$5:$F$300,'ИТОГО Лэндинг'!$B$5:$B$300,$B250)=0,"",SUMIFS('ИТОГО Торговля'!$F$5:$F$300,'ИТОГО Торговля'!$B$5:$B$300,$B250)+SUMIFS('ИТОГО Лэндинг'!$F$5:$F$300,'ИТОГО Лэндинг'!$B$5:$B$300,$B250)))</f>
        <v/>
      </c>
      <c r="G250" s="183" t="str">
        <f>IF(F250="","",H250/F250)</f>
        <v/>
      </c>
      <c r="H250" s="247" t="str">
        <f>IF(F250="","",SUMIFS('ИТОГО Торговля'!$H$5:$H$300,'ИТОГО Торговля'!$B$5:$B$300,$B250)+SUMIFS('ИТОГО Лэндинг'!$H$5:$H$300,'ИТОГО Лэндинг'!$B$5:$B$300,$B250))</f>
        <v/>
      </c>
      <c r="I250" s="246" t="str">
        <f>IF($B250="","",IF(AND(C250="",F250=""),"",ROUND(SUMIFS('ИТОГО Торговля'!$I$5:$I$300,'ИТОГО Торговля'!$B$5:$B$300,$B250)+SUMIFS('ИТОГО Лэндинг'!$I$5:$I$300,'ИТОГО Лэндинг'!$B$5:$B$300,$B250),8)))</f>
        <v/>
      </c>
      <c r="J250" s="247" t="str">
        <f>IF($B250="","",IF(AND(C250="",F250=""),"",ROUND(SUMIFS('ИТОГО Торговля'!$J$5:$J$300,'ИТОГО Торговля'!$B$5:$B$300,$B250)+SUMIFS('ИТОГО Лэндинг'!$J$5:$J$300,'ИТОГО Лэндинг'!$B$5:$B$300,$B250),8)))</f>
        <v/>
      </c>
      <c r="K250" s="246" t="str">
        <f>IF(MIN(N(C250),N(F250))&lt;=0,"",ROUND(MIN(N(C250),N(F250))*(N(G250)-N(D250)),8))</f>
        <v/>
      </c>
      <c r="L250" s="183" t="str">
        <f>IF(MIN(N(C250),N(F250))&lt;=0,"",IF(N(D250)=0,"",ROUND((N(G250)/N(D250)-1)*100,2)))</f>
        <v/>
      </c>
      <c r="M250" s="183" t="str">
        <f>IF(OR(ROUND(N(C250)-N(F250),8)=0,1-N(Ввод!$J$19)/100&lt;=0),"",IF(N(C250)&gt;N(F250),(N(E250)-N(H250))/((N(C250)-N(F250))*(1-N(Ввод!$J$19)/100)),(N(H250)-N(E250))/((N(F250)-N(C250))*(1+N(Ввод!$J$19)/100))))</f>
        <v/>
      </c>
    </row>
    <row r="251" ht="22" customHeight="1">
      <c r="B251" s="239" t="n"/>
      <c r="C251" s="240" t="str">
        <f>IF($B251="","",IF(SUMIFS('ИТОГО Торговля'!$C$5:$C$300,'ИТОГО Торговля'!$B$5:$B$300,$B251)+SUMIFS('ИТОГО Лэндинг'!$C$5:$C$300,'ИТОГО Лэндинг'!$B$5:$B$300,$B251)=0,"",SUMIFS('ИТОГО Торговля'!$C$5:$C$300,'ИТОГО Торговля'!$B$5:$B$300,$B251)+SUMIFS('ИТОГО Лэндинг'!$C$5:$C$300,'ИТОГО Лэндинг'!$B$5:$B$300,$B251)))</f>
        <v/>
      </c>
      <c r="D251" s="177" t="str">
        <f>IF(C251="","",E251/C251)</f>
        <v/>
      </c>
      <c r="E251" s="241" t="str">
        <f>IF(C251="","",SUMIFS('ИТОГО Торговля'!$E$5:$E$300,'ИТОГО Торговля'!$B$5:$B$300,$B251)+SUMIFS('ИТОГО Лэндинг'!$E$5:$E$300,'ИТОГО Лэндинг'!$B$5:$B$300,$B251))</f>
        <v/>
      </c>
      <c r="F251" s="240" t="str">
        <f>IF($B251="","",IF(SUMIFS('ИТОГО Торговля'!$F$5:$F$300,'ИТОГО Торговля'!$B$5:$B$300,$B251)+SUMIFS('ИТОГО Лэндинг'!$F$5:$F$300,'ИТОГО Лэндинг'!$B$5:$B$300,$B251)=0,"",SUMIFS('ИТОГО Торговля'!$F$5:$F$300,'ИТОГО Торговля'!$B$5:$B$300,$B251)+SUMIFS('ИТОГО Лэндинг'!$F$5:$F$300,'ИТОГО Лэндинг'!$B$5:$B$300,$B251)))</f>
        <v/>
      </c>
      <c r="G251" s="177" t="str">
        <f>IF(F251="","",H251/F251)</f>
        <v/>
      </c>
      <c r="H251" s="241" t="str">
        <f>IF(F251="","",SUMIFS('ИТОГО Торговля'!$H$5:$H$300,'ИТОГО Торговля'!$B$5:$B$300,$B251)+SUMIFS('ИТОГО Лэндинг'!$H$5:$H$300,'ИТОГО Лэндинг'!$B$5:$B$300,$B251))</f>
        <v/>
      </c>
      <c r="I251" s="240" t="str">
        <f>IF($B251="","",IF(AND(C251="",F251=""),"",ROUND(SUMIFS('ИТОГО Торговля'!$I$5:$I$300,'ИТОГО Торговля'!$B$5:$B$300,$B251)+SUMIFS('ИТОГО Лэндинг'!$I$5:$I$300,'ИТОГО Лэндинг'!$B$5:$B$300,$B251),8)))</f>
        <v/>
      </c>
      <c r="J251" s="241" t="str">
        <f>IF($B251="","",IF(AND(C251="",F251=""),"",ROUND(SUMIFS('ИТОГО Торговля'!$J$5:$J$300,'ИТОГО Торговля'!$B$5:$B$300,$B251)+SUMIFS('ИТОГО Лэндинг'!$J$5:$J$300,'ИТОГО Лэндинг'!$B$5:$B$300,$B251),8)))</f>
        <v/>
      </c>
      <c r="K251" s="240" t="str">
        <f>IF(MIN(N(C251),N(F251))&lt;=0,"",ROUND(MIN(N(C251),N(F251))*(N(G251)-N(D251)),8))</f>
        <v/>
      </c>
      <c r="L251" s="177" t="str">
        <f>IF(MIN(N(C251),N(F251))&lt;=0,"",IF(N(D251)=0,"",ROUND((N(G251)/N(D251)-1)*100,2)))</f>
        <v/>
      </c>
      <c r="M251" s="177" t="str">
        <f>IF(OR(ROUND(N(C251)-N(F251),8)=0,1-N(Ввод!$J$19)/100&lt;=0),"",IF(N(C251)&gt;N(F251),(N(E251)-N(H251))/((N(C251)-N(F251))*(1-N(Ввод!$J$19)/100)),(N(H251)-N(E251))/((N(F251)-N(C251))*(1+N(Ввод!$J$19)/100))))</f>
        <v/>
      </c>
    </row>
    <row r="252" ht="22" customHeight="1">
      <c r="B252" s="245" t="n"/>
      <c r="C252" s="246" t="str">
        <f>IF($B252="","",IF(SUMIFS('ИТОГО Торговля'!$C$5:$C$300,'ИТОГО Торговля'!$B$5:$B$300,$B252)+SUMIFS('ИТОГО Лэндинг'!$C$5:$C$300,'ИТОГО Лэндинг'!$B$5:$B$300,$B252)=0,"",SUMIFS('ИТОГО Торговля'!$C$5:$C$300,'ИТОГО Торговля'!$B$5:$B$300,$B252)+SUMIFS('ИТОГО Лэндинг'!$C$5:$C$300,'ИТОГО Лэндинг'!$B$5:$B$300,$B252)))</f>
        <v/>
      </c>
      <c r="D252" s="183" t="str">
        <f>IF(C252="","",E252/C252)</f>
        <v/>
      </c>
      <c r="E252" s="247" t="str">
        <f>IF(C252="","",SUMIFS('ИТОГО Торговля'!$E$5:$E$300,'ИТОГО Торговля'!$B$5:$B$300,$B252)+SUMIFS('ИТОГО Лэндинг'!$E$5:$E$300,'ИТОГО Лэндинг'!$B$5:$B$300,$B252))</f>
        <v/>
      </c>
      <c r="F252" s="246" t="str">
        <f>IF($B252="","",IF(SUMIFS('ИТОГО Торговля'!$F$5:$F$300,'ИТОГО Торговля'!$B$5:$B$300,$B252)+SUMIFS('ИТОГО Лэндинг'!$F$5:$F$300,'ИТОГО Лэндинг'!$B$5:$B$300,$B252)=0,"",SUMIFS('ИТОГО Торговля'!$F$5:$F$300,'ИТОГО Торговля'!$B$5:$B$300,$B252)+SUMIFS('ИТОГО Лэндинг'!$F$5:$F$300,'ИТОГО Лэндинг'!$B$5:$B$300,$B252)))</f>
        <v/>
      </c>
      <c r="G252" s="183" t="str">
        <f>IF(F252="","",H252/F252)</f>
        <v/>
      </c>
      <c r="H252" s="247" t="str">
        <f>IF(F252="","",SUMIFS('ИТОГО Торговля'!$H$5:$H$300,'ИТОГО Торговля'!$B$5:$B$300,$B252)+SUMIFS('ИТОГО Лэндинг'!$H$5:$H$300,'ИТОГО Лэндинг'!$B$5:$B$300,$B252))</f>
        <v/>
      </c>
      <c r="I252" s="246" t="str">
        <f>IF($B252="","",IF(AND(C252="",F252=""),"",ROUND(SUMIFS('ИТОГО Торговля'!$I$5:$I$300,'ИТОГО Торговля'!$B$5:$B$300,$B252)+SUMIFS('ИТОГО Лэндинг'!$I$5:$I$300,'ИТОГО Лэндинг'!$B$5:$B$300,$B252),8)))</f>
        <v/>
      </c>
      <c r="J252" s="247" t="str">
        <f>IF($B252="","",IF(AND(C252="",F252=""),"",ROUND(SUMIFS('ИТОГО Торговля'!$J$5:$J$300,'ИТОГО Торговля'!$B$5:$B$300,$B252)+SUMIFS('ИТОГО Лэндинг'!$J$5:$J$300,'ИТОГО Лэндинг'!$B$5:$B$300,$B252),8)))</f>
        <v/>
      </c>
      <c r="K252" s="246" t="str">
        <f>IF(MIN(N(C252),N(F252))&lt;=0,"",ROUND(MIN(N(C252),N(F252))*(N(G252)-N(D252)),8))</f>
        <v/>
      </c>
      <c r="L252" s="183" t="str">
        <f>IF(MIN(N(C252),N(F252))&lt;=0,"",IF(N(D252)=0,"",ROUND((N(G252)/N(D252)-1)*100,2)))</f>
        <v/>
      </c>
      <c r="M252" s="183" t="str">
        <f>IF(OR(ROUND(N(C252)-N(F252),8)=0,1-N(Ввод!$J$19)/100&lt;=0),"",IF(N(C252)&gt;N(F252),(N(E252)-N(H252))/((N(C252)-N(F252))*(1-N(Ввод!$J$19)/100)),(N(H252)-N(E252))/((N(F252)-N(C252))*(1+N(Ввод!$J$19)/100))))</f>
        <v/>
      </c>
    </row>
    <row r="253" ht="22" customHeight="1">
      <c r="B253" s="239" t="n"/>
      <c r="C253" s="240" t="str">
        <f>IF($B253="","",IF(SUMIFS('ИТОГО Торговля'!$C$5:$C$300,'ИТОГО Торговля'!$B$5:$B$300,$B253)+SUMIFS('ИТОГО Лэндинг'!$C$5:$C$300,'ИТОГО Лэндинг'!$B$5:$B$300,$B253)=0,"",SUMIFS('ИТОГО Торговля'!$C$5:$C$300,'ИТОГО Торговля'!$B$5:$B$300,$B253)+SUMIFS('ИТОГО Лэндинг'!$C$5:$C$300,'ИТОГО Лэндинг'!$B$5:$B$300,$B253)))</f>
        <v/>
      </c>
      <c r="D253" s="177" t="str">
        <f>IF(C253="","",E253/C253)</f>
        <v/>
      </c>
      <c r="E253" s="241" t="str">
        <f>IF(C253="","",SUMIFS('ИТОГО Торговля'!$E$5:$E$300,'ИТОГО Торговля'!$B$5:$B$300,$B253)+SUMIFS('ИТОГО Лэндинг'!$E$5:$E$300,'ИТОГО Лэндинг'!$B$5:$B$300,$B253))</f>
        <v/>
      </c>
      <c r="F253" s="240" t="str">
        <f>IF($B253="","",IF(SUMIFS('ИТОГО Торговля'!$F$5:$F$300,'ИТОГО Торговля'!$B$5:$B$300,$B253)+SUMIFS('ИТОГО Лэндинг'!$F$5:$F$300,'ИТОГО Лэндинг'!$B$5:$B$300,$B253)=0,"",SUMIFS('ИТОГО Торговля'!$F$5:$F$300,'ИТОГО Торговля'!$B$5:$B$300,$B253)+SUMIFS('ИТОГО Лэндинг'!$F$5:$F$300,'ИТОГО Лэндинг'!$B$5:$B$300,$B253)))</f>
        <v/>
      </c>
      <c r="G253" s="177" t="str">
        <f>IF(F253="","",H253/F253)</f>
        <v/>
      </c>
      <c r="H253" s="241" t="str">
        <f>IF(F253="","",SUMIFS('ИТОГО Торговля'!$H$5:$H$300,'ИТОГО Торговля'!$B$5:$B$300,$B253)+SUMIFS('ИТОГО Лэндинг'!$H$5:$H$300,'ИТОГО Лэндинг'!$B$5:$B$300,$B253))</f>
        <v/>
      </c>
      <c r="I253" s="240" t="str">
        <f>IF($B253="","",IF(AND(C253="",F253=""),"",ROUND(SUMIFS('ИТОГО Торговля'!$I$5:$I$300,'ИТОГО Торговля'!$B$5:$B$300,$B253)+SUMIFS('ИТОГО Лэндинг'!$I$5:$I$300,'ИТОГО Лэндинг'!$B$5:$B$300,$B253),8)))</f>
        <v/>
      </c>
      <c r="J253" s="241" t="str">
        <f>IF($B253="","",IF(AND(C253="",F253=""),"",ROUND(SUMIFS('ИТОГО Торговля'!$J$5:$J$300,'ИТОГО Торговля'!$B$5:$B$300,$B253)+SUMIFS('ИТОГО Лэндинг'!$J$5:$J$300,'ИТОГО Лэндинг'!$B$5:$B$300,$B253),8)))</f>
        <v/>
      </c>
      <c r="K253" s="240" t="str">
        <f>IF(MIN(N(C253),N(F253))&lt;=0,"",ROUND(MIN(N(C253),N(F253))*(N(G253)-N(D253)),8))</f>
        <v/>
      </c>
      <c r="L253" s="177" t="str">
        <f>IF(MIN(N(C253),N(F253))&lt;=0,"",IF(N(D253)=0,"",ROUND((N(G253)/N(D253)-1)*100,2)))</f>
        <v/>
      </c>
      <c r="M253" s="177" t="str">
        <f>IF(OR(ROUND(N(C253)-N(F253),8)=0,1-N(Ввод!$J$19)/100&lt;=0),"",IF(N(C253)&gt;N(F253),(N(E253)-N(H253))/((N(C253)-N(F253))*(1-N(Ввод!$J$19)/100)),(N(H253)-N(E253))/((N(F253)-N(C253))*(1+N(Ввод!$J$19)/100))))</f>
        <v/>
      </c>
    </row>
    <row r="254" ht="22" customHeight="1">
      <c r="B254" s="245" t="n"/>
      <c r="C254" s="246" t="str">
        <f>IF($B254="","",IF(SUMIFS('ИТОГО Торговля'!$C$5:$C$300,'ИТОГО Торговля'!$B$5:$B$300,$B254)+SUMIFS('ИТОГО Лэндинг'!$C$5:$C$300,'ИТОГО Лэндинг'!$B$5:$B$300,$B254)=0,"",SUMIFS('ИТОГО Торговля'!$C$5:$C$300,'ИТОГО Торговля'!$B$5:$B$300,$B254)+SUMIFS('ИТОГО Лэндинг'!$C$5:$C$300,'ИТОГО Лэндинг'!$B$5:$B$300,$B254)))</f>
        <v/>
      </c>
      <c r="D254" s="183" t="str">
        <f>IF(C254="","",E254/C254)</f>
        <v/>
      </c>
      <c r="E254" s="247" t="str">
        <f>IF(C254="","",SUMIFS('ИТОГО Торговля'!$E$5:$E$300,'ИТОГО Торговля'!$B$5:$B$300,$B254)+SUMIFS('ИТОГО Лэндинг'!$E$5:$E$300,'ИТОГО Лэндинг'!$B$5:$B$300,$B254))</f>
        <v/>
      </c>
      <c r="F254" s="246" t="str">
        <f>IF($B254="","",IF(SUMIFS('ИТОГО Торговля'!$F$5:$F$300,'ИТОГО Торговля'!$B$5:$B$300,$B254)+SUMIFS('ИТОГО Лэндинг'!$F$5:$F$300,'ИТОГО Лэндинг'!$B$5:$B$300,$B254)=0,"",SUMIFS('ИТОГО Торговля'!$F$5:$F$300,'ИТОГО Торговля'!$B$5:$B$300,$B254)+SUMIFS('ИТОГО Лэндинг'!$F$5:$F$300,'ИТОГО Лэндинг'!$B$5:$B$300,$B254)))</f>
        <v/>
      </c>
      <c r="G254" s="183" t="str">
        <f>IF(F254="","",H254/F254)</f>
        <v/>
      </c>
      <c r="H254" s="247" t="str">
        <f>IF(F254="","",SUMIFS('ИТОГО Торговля'!$H$5:$H$300,'ИТОГО Торговля'!$B$5:$B$300,$B254)+SUMIFS('ИТОГО Лэндинг'!$H$5:$H$300,'ИТОГО Лэндинг'!$B$5:$B$300,$B254))</f>
        <v/>
      </c>
      <c r="I254" s="246" t="str">
        <f>IF($B254="","",IF(AND(C254="",F254=""),"",ROUND(SUMIFS('ИТОГО Торговля'!$I$5:$I$300,'ИТОГО Торговля'!$B$5:$B$300,$B254)+SUMIFS('ИТОГО Лэндинг'!$I$5:$I$300,'ИТОГО Лэндинг'!$B$5:$B$300,$B254),8)))</f>
        <v/>
      </c>
      <c r="J254" s="247" t="str">
        <f>IF($B254="","",IF(AND(C254="",F254=""),"",ROUND(SUMIFS('ИТОГО Торговля'!$J$5:$J$300,'ИТОГО Торговля'!$B$5:$B$300,$B254)+SUMIFS('ИТОГО Лэндинг'!$J$5:$J$300,'ИТОГО Лэндинг'!$B$5:$B$300,$B254),8)))</f>
        <v/>
      </c>
      <c r="K254" s="246" t="str">
        <f>IF(MIN(N(C254),N(F254))&lt;=0,"",ROUND(MIN(N(C254),N(F254))*(N(G254)-N(D254)),8))</f>
        <v/>
      </c>
      <c r="L254" s="183" t="str">
        <f>IF(MIN(N(C254),N(F254))&lt;=0,"",IF(N(D254)=0,"",ROUND((N(G254)/N(D254)-1)*100,2)))</f>
        <v/>
      </c>
      <c r="M254" s="183" t="str">
        <f>IF(OR(ROUND(N(C254)-N(F254),8)=0,1-N(Ввод!$J$19)/100&lt;=0),"",IF(N(C254)&gt;N(F254),(N(E254)-N(H254))/((N(C254)-N(F254))*(1-N(Ввод!$J$19)/100)),(N(H254)-N(E254))/((N(F254)-N(C254))*(1+N(Ввод!$J$19)/100))))</f>
        <v/>
      </c>
    </row>
    <row r="255" ht="22" customHeight="1">
      <c r="B255" s="239" t="n"/>
      <c r="C255" s="240" t="str">
        <f>IF($B255="","",IF(SUMIFS('ИТОГО Торговля'!$C$5:$C$300,'ИТОГО Торговля'!$B$5:$B$300,$B255)+SUMIFS('ИТОГО Лэндинг'!$C$5:$C$300,'ИТОГО Лэндинг'!$B$5:$B$300,$B255)=0,"",SUMIFS('ИТОГО Торговля'!$C$5:$C$300,'ИТОГО Торговля'!$B$5:$B$300,$B255)+SUMIFS('ИТОГО Лэндинг'!$C$5:$C$300,'ИТОГО Лэндинг'!$B$5:$B$300,$B255)))</f>
        <v/>
      </c>
      <c r="D255" s="177" t="str">
        <f>IF(C255="","",E255/C255)</f>
        <v/>
      </c>
      <c r="E255" s="241" t="str">
        <f>IF(C255="","",SUMIFS('ИТОГО Торговля'!$E$5:$E$300,'ИТОГО Торговля'!$B$5:$B$300,$B255)+SUMIFS('ИТОГО Лэндинг'!$E$5:$E$300,'ИТОГО Лэндинг'!$B$5:$B$300,$B255))</f>
        <v/>
      </c>
      <c r="F255" s="240" t="str">
        <f>IF($B255="","",IF(SUMIFS('ИТОГО Торговля'!$F$5:$F$300,'ИТОГО Торговля'!$B$5:$B$300,$B255)+SUMIFS('ИТОГО Лэндинг'!$F$5:$F$300,'ИТОГО Лэндинг'!$B$5:$B$300,$B255)=0,"",SUMIFS('ИТОГО Торговля'!$F$5:$F$300,'ИТОГО Торговля'!$B$5:$B$300,$B255)+SUMIFS('ИТОГО Лэндинг'!$F$5:$F$300,'ИТОГО Лэндинг'!$B$5:$B$300,$B255)))</f>
        <v/>
      </c>
      <c r="G255" s="177" t="str">
        <f>IF(F255="","",H255/F255)</f>
        <v/>
      </c>
      <c r="H255" s="241" t="str">
        <f>IF(F255="","",SUMIFS('ИТОГО Торговля'!$H$5:$H$300,'ИТОГО Торговля'!$B$5:$B$300,$B255)+SUMIFS('ИТОГО Лэндинг'!$H$5:$H$300,'ИТОГО Лэндинг'!$B$5:$B$300,$B255))</f>
        <v/>
      </c>
      <c r="I255" s="240" t="str">
        <f>IF($B255="","",IF(AND(C255="",F255=""),"",ROUND(SUMIFS('ИТОГО Торговля'!$I$5:$I$300,'ИТОГО Торговля'!$B$5:$B$300,$B255)+SUMIFS('ИТОГО Лэндинг'!$I$5:$I$300,'ИТОГО Лэндинг'!$B$5:$B$300,$B255),8)))</f>
        <v/>
      </c>
      <c r="J255" s="241" t="str">
        <f>IF($B255="","",IF(AND(C255="",F255=""),"",ROUND(SUMIFS('ИТОГО Торговля'!$J$5:$J$300,'ИТОГО Торговля'!$B$5:$B$300,$B255)+SUMIFS('ИТОГО Лэндинг'!$J$5:$J$300,'ИТОГО Лэндинг'!$B$5:$B$300,$B255),8)))</f>
        <v/>
      </c>
      <c r="K255" s="240" t="str">
        <f>IF(MIN(N(C255),N(F255))&lt;=0,"",ROUND(MIN(N(C255),N(F255))*(N(G255)-N(D255)),8))</f>
        <v/>
      </c>
      <c r="L255" s="177" t="str">
        <f>IF(MIN(N(C255),N(F255))&lt;=0,"",IF(N(D255)=0,"",ROUND((N(G255)/N(D255)-1)*100,2)))</f>
        <v/>
      </c>
      <c r="M255" s="177" t="str">
        <f>IF(OR(ROUND(N(C255)-N(F255),8)=0,1-N(Ввод!$J$19)/100&lt;=0),"",IF(N(C255)&gt;N(F255),(N(E255)-N(H255))/((N(C255)-N(F255))*(1-N(Ввод!$J$19)/100)),(N(H255)-N(E255))/((N(F255)-N(C255))*(1+N(Ввод!$J$19)/100))))</f>
        <v/>
      </c>
    </row>
    <row r="256" ht="22" customHeight="1">
      <c r="B256" s="245" t="n"/>
      <c r="C256" s="246" t="str">
        <f>IF($B256="","",IF(SUMIFS('ИТОГО Торговля'!$C$5:$C$300,'ИТОГО Торговля'!$B$5:$B$300,$B256)+SUMIFS('ИТОГО Лэндинг'!$C$5:$C$300,'ИТОГО Лэндинг'!$B$5:$B$300,$B256)=0,"",SUMIFS('ИТОГО Торговля'!$C$5:$C$300,'ИТОГО Торговля'!$B$5:$B$300,$B256)+SUMIFS('ИТОГО Лэндинг'!$C$5:$C$300,'ИТОГО Лэндинг'!$B$5:$B$300,$B256)))</f>
        <v/>
      </c>
      <c r="D256" s="183" t="str">
        <f>IF(C256="","",E256/C256)</f>
        <v/>
      </c>
      <c r="E256" s="247" t="str">
        <f>IF(C256="","",SUMIFS('ИТОГО Торговля'!$E$5:$E$300,'ИТОГО Торговля'!$B$5:$B$300,$B256)+SUMIFS('ИТОГО Лэндинг'!$E$5:$E$300,'ИТОГО Лэндинг'!$B$5:$B$300,$B256))</f>
        <v/>
      </c>
      <c r="F256" s="246" t="str">
        <f>IF($B256="","",IF(SUMIFS('ИТОГО Торговля'!$F$5:$F$300,'ИТОГО Торговля'!$B$5:$B$300,$B256)+SUMIFS('ИТОГО Лэндинг'!$F$5:$F$300,'ИТОГО Лэндинг'!$B$5:$B$300,$B256)=0,"",SUMIFS('ИТОГО Торговля'!$F$5:$F$300,'ИТОГО Торговля'!$B$5:$B$300,$B256)+SUMIFS('ИТОГО Лэндинг'!$F$5:$F$300,'ИТОГО Лэндинг'!$B$5:$B$300,$B256)))</f>
        <v/>
      </c>
      <c r="G256" s="183" t="str">
        <f>IF(F256="","",H256/F256)</f>
        <v/>
      </c>
      <c r="H256" s="247" t="str">
        <f>IF(F256="","",SUMIFS('ИТОГО Торговля'!$H$5:$H$300,'ИТОГО Торговля'!$B$5:$B$300,$B256)+SUMIFS('ИТОГО Лэндинг'!$H$5:$H$300,'ИТОГО Лэндинг'!$B$5:$B$300,$B256))</f>
        <v/>
      </c>
      <c r="I256" s="246" t="str">
        <f>IF($B256="","",IF(AND(C256="",F256=""),"",ROUND(SUMIFS('ИТОГО Торговля'!$I$5:$I$300,'ИТОГО Торговля'!$B$5:$B$300,$B256)+SUMIFS('ИТОГО Лэндинг'!$I$5:$I$300,'ИТОГО Лэндинг'!$B$5:$B$300,$B256),8)))</f>
        <v/>
      </c>
      <c r="J256" s="247" t="str">
        <f>IF($B256="","",IF(AND(C256="",F256=""),"",ROUND(SUMIFS('ИТОГО Торговля'!$J$5:$J$300,'ИТОГО Торговля'!$B$5:$B$300,$B256)+SUMIFS('ИТОГО Лэндинг'!$J$5:$J$300,'ИТОГО Лэндинг'!$B$5:$B$300,$B256),8)))</f>
        <v/>
      </c>
      <c r="K256" s="246" t="str">
        <f>IF(MIN(N(C256),N(F256))&lt;=0,"",ROUND(MIN(N(C256),N(F256))*(N(G256)-N(D256)),8))</f>
        <v/>
      </c>
      <c r="L256" s="183" t="str">
        <f>IF(MIN(N(C256),N(F256))&lt;=0,"",IF(N(D256)=0,"",ROUND((N(G256)/N(D256)-1)*100,2)))</f>
        <v/>
      </c>
      <c r="M256" s="183" t="str">
        <f>IF(OR(ROUND(N(C256)-N(F256),8)=0,1-N(Ввод!$J$19)/100&lt;=0),"",IF(N(C256)&gt;N(F256),(N(E256)-N(H256))/((N(C256)-N(F256))*(1-N(Ввод!$J$19)/100)),(N(H256)-N(E256))/((N(F256)-N(C256))*(1+N(Ввод!$J$19)/100))))</f>
        <v/>
      </c>
    </row>
    <row r="257" ht="22" customHeight="1">
      <c r="B257" s="239" t="n"/>
      <c r="C257" s="240" t="str">
        <f>IF($B257="","",IF(SUMIFS('ИТОГО Торговля'!$C$5:$C$300,'ИТОГО Торговля'!$B$5:$B$300,$B257)+SUMIFS('ИТОГО Лэндинг'!$C$5:$C$300,'ИТОГО Лэндинг'!$B$5:$B$300,$B257)=0,"",SUMIFS('ИТОГО Торговля'!$C$5:$C$300,'ИТОГО Торговля'!$B$5:$B$300,$B257)+SUMIFS('ИТОГО Лэндинг'!$C$5:$C$300,'ИТОГО Лэндинг'!$B$5:$B$300,$B257)))</f>
        <v/>
      </c>
      <c r="D257" s="177" t="str">
        <f>IF(C257="","",E257/C257)</f>
        <v/>
      </c>
      <c r="E257" s="241" t="str">
        <f>IF(C257="","",SUMIFS('ИТОГО Торговля'!$E$5:$E$300,'ИТОГО Торговля'!$B$5:$B$300,$B257)+SUMIFS('ИТОГО Лэндинг'!$E$5:$E$300,'ИТОГО Лэндинг'!$B$5:$B$300,$B257))</f>
        <v/>
      </c>
      <c r="F257" s="240" t="str">
        <f>IF($B257="","",IF(SUMIFS('ИТОГО Торговля'!$F$5:$F$300,'ИТОГО Торговля'!$B$5:$B$300,$B257)+SUMIFS('ИТОГО Лэндинг'!$F$5:$F$300,'ИТОГО Лэндинг'!$B$5:$B$300,$B257)=0,"",SUMIFS('ИТОГО Торговля'!$F$5:$F$300,'ИТОГО Торговля'!$B$5:$B$300,$B257)+SUMIFS('ИТОГО Лэндинг'!$F$5:$F$300,'ИТОГО Лэндинг'!$B$5:$B$300,$B257)))</f>
        <v/>
      </c>
      <c r="G257" s="177" t="str">
        <f>IF(F257="","",H257/F257)</f>
        <v/>
      </c>
      <c r="H257" s="241" t="str">
        <f>IF(F257="","",SUMIFS('ИТОГО Торговля'!$H$5:$H$300,'ИТОГО Торговля'!$B$5:$B$300,$B257)+SUMIFS('ИТОГО Лэндинг'!$H$5:$H$300,'ИТОГО Лэндинг'!$B$5:$B$300,$B257))</f>
        <v/>
      </c>
      <c r="I257" s="240" t="str">
        <f>IF($B257="","",IF(AND(C257="",F257=""),"",ROUND(SUMIFS('ИТОГО Торговля'!$I$5:$I$300,'ИТОГО Торговля'!$B$5:$B$300,$B257)+SUMIFS('ИТОГО Лэндинг'!$I$5:$I$300,'ИТОГО Лэндинг'!$B$5:$B$300,$B257),8)))</f>
        <v/>
      </c>
      <c r="J257" s="241" t="str">
        <f>IF($B257="","",IF(AND(C257="",F257=""),"",ROUND(SUMIFS('ИТОГО Торговля'!$J$5:$J$300,'ИТОГО Торговля'!$B$5:$B$300,$B257)+SUMIFS('ИТОГО Лэндинг'!$J$5:$J$300,'ИТОГО Лэндинг'!$B$5:$B$300,$B257),8)))</f>
        <v/>
      </c>
      <c r="K257" s="240" t="str">
        <f>IF(MIN(N(C257),N(F257))&lt;=0,"",ROUND(MIN(N(C257),N(F257))*(N(G257)-N(D257)),8))</f>
        <v/>
      </c>
      <c r="L257" s="177" t="str">
        <f>IF(MIN(N(C257),N(F257))&lt;=0,"",IF(N(D257)=0,"",ROUND((N(G257)/N(D257)-1)*100,2)))</f>
        <v/>
      </c>
      <c r="M257" s="177" t="str">
        <f>IF(OR(ROUND(N(C257)-N(F257),8)=0,1-N(Ввод!$J$19)/100&lt;=0),"",IF(N(C257)&gt;N(F257),(N(E257)-N(H257))/((N(C257)-N(F257))*(1-N(Ввод!$J$19)/100)),(N(H257)-N(E257))/((N(F257)-N(C257))*(1+N(Ввод!$J$19)/100))))</f>
        <v/>
      </c>
    </row>
    <row r="258" ht="22" customHeight="1">
      <c r="B258" s="245" t="n"/>
      <c r="C258" s="246" t="str">
        <f>IF($B258="","",IF(SUMIFS('ИТОГО Торговля'!$C$5:$C$300,'ИТОГО Торговля'!$B$5:$B$300,$B258)+SUMIFS('ИТОГО Лэндинг'!$C$5:$C$300,'ИТОГО Лэндинг'!$B$5:$B$300,$B258)=0,"",SUMIFS('ИТОГО Торговля'!$C$5:$C$300,'ИТОГО Торговля'!$B$5:$B$300,$B258)+SUMIFS('ИТОГО Лэндинг'!$C$5:$C$300,'ИТОГО Лэндинг'!$B$5:$B$300,$B258)))</f>
        <v/>
      </c>
      <c r="D258" s="183" t="str">
        <f>IF(C258="","",E258/C258)</f>
        <v/>
      </c>
      <c r="E258" s="247" t="str">
        <f>IF(C258="","",SUMIFS('ИТОГО Торговля'!$E$5:$E$300,'ИТОГО Торговля'!$B$5:$B$300,$B258)+SUMIFS('ИТОГО Лэндинг'!$E$5:$E$300,'ИТОГО Лэндинг'!$B$5:$B$300,$B258))</f>
        <v/>
      </c>
      <c r="F258" s="246" t="str">
        <f>IF($B258="","",IF(SUMIFS('ИТОГО Торговля'!$F$5:$F$300,'ИТОГО Торговля'!$B$5:$B$300,$B258)+SUMIFS('ИТОГО Лэндинг'!$F$5:$F$300,'ИТОГО Лэндинг'!$B$5:$B$300,$B258)=0,"",SUMIFS('ИТОГО Торговля'!$F$5:$F$300,'ИТОГО Торговля'!$B$5:$B$300,$B258)+SUMIFS('ИТОГО Лэндинг'!$F$5:$F$300,'ИТОГО Лэндинг'!$B$5:$B$300,$B258)))</f>
        <v/>
      </c>
      <c r="G258" s="183" t="str">
        <f>IF(F258="","",H258/F258)</f>
        <v/>
      </c>
      <c r="H258" s="247" t="str">
        <f>IF(F258="","",SUMIFS('ИТОГО Торговля'!$H$5:$H$300,'ИТОГО Торговля'!$B$5:$B$300,$B258)+SUMIFS('ИТОГО Лэндинг'!$H$5:$H$300,'ИТОГО Лэндинг'!$B$5:$B$300,$B258))</f>
        <v/>
      </c>
      <c r="I258" s="246" t="str">
        <f>IF($B258="","",IF(AND(C258="",F258=""),"",ROUND(SUMIFS('ИТОГО Торговля'!$I$5:$I$300,'ИТОГО Торговля'!$B$5:$B$300,$B258)+SUMIFS('ИТОГО Лэндинг'!$I$5:$I$300,'ИТОГО Лэндинг'!$B$5:$B$300,$B258),8)))</f>
        <v/>
      </c>
      <c r="J258" s="247" t="str">
        <f>IF($B258="","",IF(AND(C258="",F258=""),"",ROUND(SUMIFS('ИТОГО Торговля'!$J$5:$J$300,'ИТОГО Торговля'!$B$5:$B$300,$B258)+SUMIFS('ИТОГО Лэндинг'!$J$5:$J$300,'ИТОГО Лэндинг'!$B$5:$B$300,$B258),8)))</f>
        <v/>
      </c>
      <c r="K258" s="246" t="str">
        <f>IF(MIN(N(C258),N(F258))&lt;=0,"",ROUND(MIN(N(C258),N(F258))*(N(G258)-N(D258)),8))</f>
        <v/>
      </c>
      <c r="L258" s="183" t="str">
        <f>IF(MIN(N(C258),N(F258))&lt;=0,"",IF(N(D258)=0,"",ROUND((N(G258)/N(D258)-1)*100,2)))</f>
        <v/>
      </c>
      <c r="M258" s="183" t="str">
        <f>IF(OR(ROUND(N(C258)-N(F258),8)=0,1-N(Ввод!$J$19)/100&lt;=0),"",IF(N(C258)&gt;N(F258),(N(E258)-N(H258))/((N(C258)-N(F258))*(1-N(Ввод!$J$19)/100)),(N(H258)-N(E258))/((N(F258)-N(C258))*(1+N(Ввод!$J$19)/100))))</f>
        <v/>
      </c>
    </row>
    <row r="259" ht="22" customHeight="1">
      <c r="B259" s="239" t="n"/>
      <c r="C259" s="240" t="str">
        <f>IF($B259="","",IF(SUMIFS('ИТОГО Торговля'!$C$5:$C$300,'ИТОГО Торговля'!$B$5:$B$300,$B259)+SUMIFS('ИТОГО Лэндинг'!$C$5:$C$300,'ИТОГО Лэндинг'!$B$5:$B$300,$B259)=0,"",SUMIFS('ИТОГО Торговля'!$C$5:$C$300,'ИТОГО Торговля'!$B$5:$B$300,$B259)+SUMIFS('ИТОГО Лэндинг'!$C$5:$C$300,'ИТОГО Лэндинг'!$B$5:$B$300,$B259)))</f>
        <v/>
      </c>
      <c r="D259" s="177" t="str">
        <f>IF(C259="","",E259/C259)</f>
        <v/>
      </c>
      <c r="E259" s="241" t="str">
        <f>IF(C259="","",SUMIFS('ИТОГО Торговля'!$E$5:$E$300,'ИТОГО Торговля'!$B$5:$B$300,$B259)+SUMIFS('ИТОГО Лэндинг'!$E$5:$E$300,'ИТОГО Лэндинг'!$B$5:$B$300,$B259))</f>
        <v/>
      </c>
      <c r="F259" s="240" t="str">
        <f>IF($B259="","",IF(SUMIFS('ИТОГО Торговля'!$F$5:$F$300,'ИТОГО Торговля'!$B$5:$B$300,$B259)+SUMIFS('ИТОГО Лэндинг'!$F$5:$F$300,'ИТОГО Лэндинг'!$B$5:$B$300,$B259)=0,"",SUMIFS('ИТОГО Торговля'!$F$5:$F$300,'ИТОГО Торговля'!$B$5:$B$300,$B259)+SUMIFS('ИТОГО Лэндинг'!$F$5:$F$300,'ИТОГО Лэндинг'!$B$5:$B$300,$B259)))</f>
        <v/>
      </c>
      <c r="G259" s="177" t="str">
        <f>IF(F259="","",H259/F259)</f>
        <v/>
      </c>
      <c r="H259" s="241" t="str">
        <f>IF(F259="","",SUMIFS('ИТОГО Торговля'!$H$5:$H$300,'ИТОГО Торговля'!$B$5:$B$300,$B259)+SUMIFS('ИТОГО Лэндинг'!$H$5:$H$300,'ИТОГО Лэндинг'!$B$5:$B$300,$B259))</f>
        <v/>
      </c>
      <c r="I259" s="240" t="str">
        <f>IF($B259="","",IF(AND(C259="",F259=""),"",ROUND(SUMIFS('ИТОГО Торговля'!$I$5:$I$300,'ИТОГО Торговля'!$B$5:$B$300,$B259)+SUMIFS('ИТОГО Лэндинг'!$I$5:$I$300,'ИТОГО Лэндинг'!$B$5:$B$300,$B259),8)))</f>
        <v/>
      </c>
      <c r="J259" s="241" t="str">
        <f>IF($B259="","",IF(AND(C259="",F259=""),"",ROUND(SUMIFS('ИТОГО Торговля'!$J$5:$J$300,'ИТОГО Торговля'!$B$5:$B$300,$B259)+SUMIFS('ИТОГО Лэндинг'!$J$5:$J$300,'ИТОГО Лэндинг'!$B$5:$B$300,$B259),8)))</f>
        <v/>
      </c>
      <c r="K259" s="240" t="str">
        <f>IF(MIN(N(C259),N(F259))&lt;=0,"",ROUND(MIN(N(C259),N(F259))*(N(G259)-N(D259)),8))</f>
        <v/>
      </c>
      <c r="L259" s="177" t="str">
        <f>IF(MIN(N(C259),N(F259))&lt;=0,"",IF(N(D259)=0,"",ROUND((N(G259)/N(D259)-1)*100,2)))</f>
        <v/>
      </c>
      <c r="M259" s="177" t="str">
        <f>IF(OR(ROUND(N(C259)-N(F259),8)=0,1-N(Ввод!$J$19)/100&lt;=0),"",IF(N(C259)&gt;N(F259),(N(E259)-N(H259))/((N(C259)-N(F259))*(1-N(Ввод!$J$19)/100)),(N(H259)-N(E259))/((N(F259)-N(C259))*(1+N(Ввод!$J$19)/100))))</f>
        <v/>
      </c>
    </row>
    <row r="260" ht="22" customHeight="1">
      <c r="B260" s="245" t="n"/>
      <c r="C260" s="246" t="str">
        <f>IF($B260="","",IF(SUMIFS('ИТОГО Торговля'!$C$5:$C$300,'ИТОГО Торговля'!$B$5:$B$300,$B260)+SUMIFS('ИТОГО Лэндинг'!$C$5:$C$300,'ИТОГО Лэндинг'!$B$5:$B$300,$B260)=0,"",SUMIFS('ИТОГО Торговля'!$C$5:$C$300,'ИТОГО Торговля'!$B$5:$B$300,$B260)+SUMIFS('ИТОГО Лэндинг'!$C$5:$C$300,'ИТОГО Лэндинг'!$B$5:$B$300,$B260)))</f>
        <v/>
      </c>
      <c r="D260" s="183" t="str">
        <f>IF(C260="","",E260/C260)</f>
        <v/>
      </c>
      <c r="E260" s="247" t="str">
        <f>IF(C260="","",SUMIFS('ИТОГО Торговля'!$E$5:$E$300,'ИТОГО Торговля'!$B$5:$B$300,$B260)+SUMIFS('ИТОГО Лэндинг'!$E$5:$E$300,'ИТОГО Лэндинг'!$B$5:$B$300,$B260))</f>
        <v/>
      </c>
      <c r="F260" s="246" t="str">
        <f>IF($B260="","",IF(SUMIFS('ИТОГО Торговля'!$F$5:$F$300,'ИТОГО Торговля'!$B$5:$B$300,$B260)+SUMIFS('ИТОГО Лэндинг'!$F$5:$F$300,'ИТОГО Лэндинг'!$B$5:$B$300,$B260)=0,"",SUMIFS('ИТОГО Торговля'!$F$5:$F$300,'ИТОГО Торговля'!$B$5:$B$300,$B260)+SUMIFS('ИТОГО Лэндинг'!$F$5:$F$300,'ИТОГО Лэндинг'!$B$5:$B$300,$B260)))</f>
        <v/>
      </c>
      <c r="G260" s="183" t="str">
        <f>IF(F260="","",H260/F260)</f>
        <v/>
      </c>
      <c r="H260" s="247" t="str">
        <f>IF(F260="","",SUMIFS('ИТОГО Торговля'!$H$5:$H$300,'ИТОГО Торговля'!$B$5:$B$300,$B260)+SUMIFS('ИТОГО Лэндинг'!$H$5:$H$300,'ИТОГО Лэндинг'!$B$5:$B$300,$B260))</f>
        <v/>
      </c>
      <c r="I260" s="246" t="str">
        <f>IF($B260="","",IF(AND(C260="",F260=""),"",ROUND(SUMIFS('ИТОГО Торговля'!$I$5:$I$300,'ИТОГО Торговля'!$B$5:$B$300,$B260)+SUMIFS('ИТОГО Лэндинг'!$I$5:$I$300,'ИТОГО Лэндинг'!$B$5:$B$300,$B260),8)))</f>
        <v/>
      </c>
      <c r="J260" s="247" t="str">
        <f>IF($B260="","",IF(AND(C260="",F260=""),"",ROUND(SUMIFS('ИТОГО Торговля'!$J$5:$J$300,'ИТОГО Торговля'!$B$5:$B$300,$B260)+SUMIFS('ИТОГО Лэндинг'!$J$5:$J$300,'ИТОГО Лэндинг'!$B$5:$B$300,$B260),8)))</f>
        <v/>
      </c>
      <c r="K260" s="246" t="str">
        <f>IF(MIN(N(C260),N(F260))&lt;=0,"",ROUND(MIN(N(C260),N(F260))*(N(G260)-N(D260)),8))</f>
        <v/>
      </c>
      <c r="L260" s="183" t="str">
        <f>IF(MIN(N(C260),N(F260))&lt;=0,"",IF(N(D260)=0,"",ROUND((N(G260)/N(D260)-1)*100,2)))</f>
        <v/>
      </c>
      <c r="M260" s="183" t="str">
        <f>IF(OR(ROUND(N(C260)-N(F260),8)=0,1-N(Ввод!$J$19)/100&lt;=0),"",IF(N(C260)&gt;N(F260),(N(E260)-N(H260))/((N(C260)-N(F260))*(1-N(Ввод!$J$19)/100)),(N(H260)-N(E260))/((N(F260)-N(C260))*(1+N(Ввод!$J$19)/100))))</f>
        <v/>
      </c>
    </row>
    <row r="261" ht="22" customHeight="1">
      <c r="B261" s="239" t="n"/>
      <c r="C261" s="240" t="str">
        <f>IF($B261="","",IF(SUMIFS('ИТОГО Торговля'!$C$5:$C$300,'ИТОГО Торговля'!$B$5:$B$300,$B261)+SUMIFS('ИТОГО Лэндинг'!$C$5:$C$300,'ИТОГО Лэндинг'!$B$5:$B$300,$B261)=0,"",SUMIFS('ИТОГО Торговля'!$C$5:$C$300,'ИТОГО Торговля'!$B$5:$B$300,$B261)+SUMIFS('ИТОГО Лэндинг'!$C$5:$C$300,'ИТОГО Лэндинг'!$B$5:$B$300,$B261)))</f>
        <v/>
      </c>
      <c r="D261" s="177" t="str">
        <f>IF(C261="","",E261/C261)</f>
        <v/>
      </c>
      <c r="E261" s="241" t="str">
        <f>IF(C261="","",SUMIFS('ИТОГО Торговля'!$E$5:$E$300,'ИТОГО Торговля'!$B$5:$B$300,$B261)+SUMIFS('ИТОГО Лэндинг'!$E$5:$E$300,'ИТОГО Лэндинг'!$B$5:$B$300,$B261))</f>
        <v/>
      </c>
      <c r="F261" s="240" t="str">
        <f>IF($B261="","",IF(SUMIFS('ИТОГО Торговля'!$F$5:$F$300,'ИТОГО Торговля'!$B$5:$B$300,$B261)+SUMIFS('ИТОГО Лэндинг'!$F$5:$F$300,'ИТОГО Лэндинг'!$B$5:$B$300,$B261)=0,"",SUMIFS('ИТОГО Торговля'!$F$5:$F$300,'ИТОГО Торговля'!$B$5:$B$300,$B261)+SUMIFS('ИТОГО Лэндинг'!$F$5:$F$300,'ИТОГО Лэндинг'!$B$5:$B$300,$B261)))</f>
        <v/>
      </c>
      <c r="G261" s="177" t="str">
        <f>IF(F261="","",H261/F261)</f>
        <v/>
      </c>
      <c r="H261" s="241" t="str">
        <f>IF(F261="","",SUMIFS('ИТОГО Торговля'!$H$5:$H$300,'ИТОГО Торговля'!$B$5:$B$300,$B261)+SUMIFS('ИТОГО Лэндинг'!$H$5:$H$300,'ИТОГО Лэндинг'!$B$5:$B$300,$B261))</f>
        <v/>
      </c>
      <c r="I261" s="240" t="str">
        <f>IF($B261="","",IF(AND(C261="",F261=""),"",ROUND(SUMIFS('ИТОГО Торговля'!$I$5:$I$300,'ИТОГО Торговля'!$B$5:$B$300,$B261)+SUMIFS('ИТОГО Лэндинг'!$I$5:$I$300,'ИТОГО Лэндинг'!$B$5:$B$300,$B261),8)))</f>
        <v/>
      </c>
      <c r="J261" s="241" t="str">
        <f>IF($B261="","",IF(AND(C261="",F261=""),"",ROUND(SUMIFS('ИТОГО Торговля'!$J$5:$J$300,'ИТОГО Торговля'!$B$5:$B$300,$B261)+SUMIFS('ИТОГО Лэндинг'!$J$5:$J$300,'ИТОГО Лэндинг'!$B$5:$B$300,$B261),8)))</f>
        <v/>
      </c>
      <c r="K261" s="240" t="str">
        <f>IF(MIN(N(C261),N(F261))&lt;=0,"",ROUND(MIN(N(C261),N(F261))*(N(G261)-N(D261)),8))</f>
        <v/>
      </c>
      <c r="L261" s="177" t="str">
        <f>IF(MIN(N(C261),N(F261))&lt;=0,"",IF(N(D261)=0,"",ROUND((N(G261)/N(D261)-1)*100,2)))</f>
        <v/>
      </c>
      <c r="M261" s="177" t="str">
        <f>IF(OR(ROUND(N(C261)-N(F261),8)=0,1-N(Ввод!$J$19)/100&lt;=0),"",IF(N(C261)&gt;N(F261),(N(E261)-N(H261))/((N(C261)-N(F261))*(1-N(Ввод!$J$19)/100)),(N(H261)-N(E261))/((N(F261)-N(C261))*(1+N(Ввод!$J$19)/100))))</f>
        <v/>
      </c>
    </row>
    <row r="262" ht="22" customHeight="1">
      <c r="B262" s="245" t="n"/>
      <c r="C262" s="246" t="str">
        <f>IF($B262="","",IF(SUMIFS('ИТОГО Торговля'!$C$5:$C$300,'ИТОГО Торговля'!$B$5:$B$300,$B262)+SUMIFS('ИТОГО Лэндинг'!$C$5:$C$300,'ИТОГО Лэндинг'!$B$5:$B$300,$B262)=0,"",SUMIFS('ИТОГО Торговля'!$C$5:$C$300,'ИТОГО Торговля'!$B$5:$B$300,$B262)+SUMIFS('ИТОГО Лэндинг'!$C$5:$C$300,'ИТОГО Лэндинг'!$B$5:$B$300,$B262)))</f>
        <v/>
      </c>
      <c r="D262" s="183" t="str">
        <f>IF(C262="","",E262/C262)</f>
        <v/>
      </c>
      <c r="E262" s="247" t="str">
        <f>IF(C262="","",SUMIFS('ИТОГО Торговля'!$E$5:$E$300,'ИТОГО Торговля'!$B$5:$B$300,$B262)+SUMIFS('ИТОГО Лэндинг'!$E$5:$E$300,'ИТОГО Лэндинг'!$B$5:$B$300,$B262))</f>
        <v/>
      </c>
      <c r="F262" s="246" t="str">
        <f>IF($B262="","",IF(SUMIFS('ИТОГО Торговля'!$F$5:$F$300,'ИТОГО Торговля'!$B$5:$B$300,$B262)+SUMIFS('ИТОГО Лэндинг'!$F$5:$F$300,'ИТОГО Лэндинг'!$B$5:$B$300,$B262)=0,"",SUMIFS('ИТОГО Торговля'!$F$5:$F$300,'ИТОГО Торговля'!$B$5:$B$300,$B262)+SUMIFS('ИТОГО Лэндинг'!$F$5:$F$300,'ИТОГО Лэндинг'!$B$5:$B$300,$B262)))</f>
        <v/>
      </c>
      <c r="G262" s="183" t="str">
        <f>IF(F262="","",H262/F262)</f>
        <v/>
      </c>
      <c r="H262" s="247" t="str">
        <f>IF(F262="","",SUMIFS('ИТОГО Торговля'!$H$5:$H$300,'ИТОГО Торговля'!$B$5:$B$300,$B262)+SUMIFS('ИТОГО Лэндинг'!$H$5:$H$300,'ИТОГО Лэндинг'!$B$5:$B$300,$B262))</f>
        <v/>
      </c>
      <c r="I262" s="246" t="str">
        <f>IF($B262="","",IF(AND(C262="",F262=""),"",ROUND(SUMIFS('ИТОГО Торговля'!$I$5:$I$300,'ИТОГО Торговля'!$B$5:$B$300,$B262)+SUMIFS('ИТОГО Лэндинг'!$I$5:$I$300,'ИТОГО Лэндинг'!$B$5:$B$300,$B262),8)))</f>
        <v/>
      </c>
      <c r="J262" s="247" t="str">
        <f>IF($B262="","",IF(AND(C262="",F262=""),"",ROUND(SUMIFS('ИТОГО Торговля'!$J$5:$J$300,'ИТОГО Торговля'!$B$5:$B$300,$B262)+SUMIFS('ИТОГО Лэндинг'!$J$5:$J$300,'ИТОГО Лэндинг'!$B$5:$B$300,$B262),8)))</f>
        <v/>
      </c>
      <c r="K262" s="246" t="str">
        <f>IF(MIN(N(C262),N(F262))&lt;=0,"",ROUND(MIN(N(C262),N(F262))*(N(G262)-N(D262)),8))</f>
        <v/>
      </c>
      <c r="L262" s="183" t="str">
        <f>IF(MIN(N(C262),N(F262))&lt;=0,"",IF(N(D262)=0,"",ROUND((N(G262)/N(D262)-1)*100,2)))</f>
        <v/>
      </c>
      <c r="M262" s="183" t="str">
        <f>IF(OR(ROUND(N(C262)-N(F262),8)=0,1-N(Ввод!$J$19)/100&lt;=0),"",IF(N(C262)&gt;N(F262),(N(E262)-N(H262))/((N(C262)-N(F262))*(1-N(Ввод!$J$19)/100)),(N(H262)-N(E262))/((N(F262)-N(C262))*(1+N(Ввод!$J$19)/100))))</f>
        <v/>
      </c>
    </row>
    <row r="263" ht="22" customHeight="1">
      <c r="B263" s="239" t="n"/>
      <c r="C263" s="240" t="str">
        <f>IF($B263="","",IF(SUMIFS('ИТОГО Торговля'!$C$5:$C$300,'ИТОГО Торговля'!$B$5:$B$300,$B263)+SUMIFS('ИТОГО Лэндинг'!$C$5:$C$300,'ИТОГО Лэндинг'!$B$5:$B$300,$B263)=0,"",SUMIFS('ИТОГО Торговля'!$C$5:$C$300,'ИТОГО Торговля'!$B$5:$B$300,$B263)+SUMIFS('ИТОГО Лэндинг'!$C$5:$C$300,'ИТОГО Лэндинг'!$B$5:$B$300,$B263)))</f>
        <v/>
      </c>
      <c r="D263" s="177" t="str">
        <f>IF(C263="","",E263/C263)</f>
        <v/>
      </c>
      <c r="E263" s="241" t="str">
        <f>IF(C263="","",SUMIFS('ИТОГО Торговля'!$E$5:$E$300,'ИТОГО Торговля'!$B$5:$B$300,$B263)+SUMIFS('ИТОГО Лэндинг'!$E$5:$E$300,'ИТОГО Лэндинг'!$B$5:$B$300,$B263))</f>
        <v/>
      </c>
      <c r="F263" s="240" t="str">
        <f>IF($B263="","",IF(SUMIFS('ИТОГО Торговля'!$F$5:$F$300,'ИТОГО Торговля'!$B$5:$B$300,$B263)+SUMIFS('ИТОГО Лэндинг'!$F$5:$F$300,'ИТОГО Лэндинг'!$B$5:$B$300,$B263)=0,"",SUMIFS('ИТОГО Торговля'!$F$5:$F$300,'ИТОГО Торговля'!$B$5:$B$300,$B263)+SUMIFS('ИТОГО Лэндинг'!$F$5:$F$300,'ИТОГО Лэндинг'!$B$5:$B$300,$B263)))</f>
        <v/>
      </c>
      <c r="G263" s="177" t="str">
        <f>IF(F263="","",H263/F263)</f>
        <v/>
      </c>
      <c r="H263" s="241" t="str">
        <f>IF(F263="","",SUMIFS('ИТОГО Торговля'!$H$5:$H$300,'ИТОГО Торговля'!$B$5:$B$300,$B263)+SUMIFS('ИТОГО Лэндинг'!$H$5:$H$300,'ИТОГО Лэндинг'!$B$5:$B$300,$B263))</f>
        <v/>
      </c>
      <c r="I263" s="240" t="str">
        <f>IF($B263="","",IF(AND(C263="",F263=""),"",ROUND(SUMIFS('ИТОГО Торговля'!$I$5:$I$300,'ИТОГО Торговля'!$B$5:$B$300,$B263)+SUMIFS('ИТОГО Лэндинг'!$I$5:$I$300,'ИТОГО Лэндинг'!$B$5:$B$300,$B263),8)))</f>
        <v/>
      </c>
      <c r="J263" s="241" t="str">
        <f>IF($B263="","",IF(AND(C263="",F263=""),"",ROUND(SUMIFS('ИТОГО Торговля'!$J$5:$J$300,'ИТОГО Торговля'!$B$5:$B$300,$B263)+SUMIFS('ИТОГО Лэндинг'!$J$5:$J$300,'ИТОГО Лэндинг'!$B$5:$B$300,$B263),8)))</f>
        <v/>
      </c>
      <c r="K263" s="240" t="str">
        <f>IF(MIN(N(C263),N(F263))&lt;=0,"",ROUND(MIN(N(C263),N(F263))*(N(G263)-N(D263)),8))</f>
        <v/>
      </c>
      <c r="L263" s="177" t="str">
        <f>IF(MIN(N(C263),N(F263))&lt;=0,"",IF(N(D263)=0,"",ROUND((N(G263)/N(D263)-1)*100,2)))</f>
        <v/>
      </c>
      <c r="M263" s="177" t="str">
        <f>IF(OR(ROUND(N(C263)-N(F263),8)=0,1-N(Ввод!$J$19)/100&lt;=0),"",IF(N(C263)&gt;N(F263),(N(E263)-N(H263))/((N(C263)-N(F263))*(1-N(Ввод!$J$19)/100)),(N(H263)-N(E263))/((N(F263)-N(C263))*(1+N(Ввод!$J$19)/100))))</f>
        <v/>
      </c>
    </row>
    <row r="264" ht="22" customHeight="1">
      <c r="B264" s="245" t="n"/>
      <c r="C264" s="246" t="str">
        <f>IF($B264="","",IF(SUMIFS('ИТОГО Торговля'!$C$5:$C$300,'ИТОГО Торговля'!$B$5:$B$300,$B264)+SUMIFS('ИТОГО Лэндинг'!$C$5:$C$300,'ИТОГО Лэндинг'!$B$5:$B$300,$B264)=0,"",SUMIFS('ИТОГО Торговля'!$C$5:$C$300,'ИТОГО Торговля'!$B$5:$B$300,$B264)+SUMIFS('ИТОГО Лэндинг'!$C$5:$C$300,'ИТОГО Лэндинг'!$B$5:$B$300,$B264)))</f>
        <v/>
      </c>
      <c r="D264" s="183" t="str">
        <f>IF(C264="","",E264/C264)</f>
        <v/>
      </c>
      <c r="E264" s="247" t="str">
        <f>IF(C264="","",SUMIFS('ИТОГО Торговля'!$E$5:$E$300,'ИТОГО Торговля'!$B$5:$B$300,$B264)+SUMIFS('ИТОГО Лэндинг'!$E$5:$E$300,'ИТОГО Лэндинг'!$B$5:$B$300,$B264))</f>
        <v/>
      </c>
      <c r="F264" s="246" t="str">
        <f>IF($B264="","",IF(SUMIFS('ИТОГО Торговля'!$F$5:$F$300,'ИТОГО Торговля'!$B$5:$B$300,$B264)+SUMIFS('ИТОГО Лэндинг'!$F$5:$F$300,'ИТОГО Лэндинг'!$B$5:$B$300,$B264)=0,"",SUMIFS('ИТОГО Торговля'!$F$5:$F$300,'ИТОГО Торговля'!$B$5:$B$300,$B264)+SUMIFS('ИТОГО Лэндинг'!$F$5:$F$300,'ИТОГО Лэндинг'!$B$5:$B$300,$B264)))</f>
        <v/>
      </c>
      <c r="G264" s="183" t="str">
        <f>IF(F264="","",H264/F264)</f>
        <v/>
      </c>
      <c r="H264" s="247" t="str">
        <f>IF(F264="","",SUMIFS('ИТОГО Торговля'!$H$5:$H$300,'ИТОГО Торговля'!$B$5:$B$300,$B264)+SUMIFS('ИТОГО Лэндинг'!$H$5:$H$300,'ИТОГО Лэндинг'!$B$5:$B$300,$B264))</f>
        <v/>
      </c>
      <c r="I264" s="246" t="str">
        <f>IF($B264="","",IF(AND(C264="",F264=""),"",ROUND(SUMIFS('ИТОГО Торговля'!$I$5:$I$300,'ИТОГО Торговля'!$B$5:$B$300,$B264)+SUMIFS('ИТОГО Лэндинг'!$I$5:$I$300,'ИТОГО Лэндинг'!$B$5:$B$300,$B264),8)))</f>
        <v/>
      </c>
      <c r="J264" s="247" t="str">
        <f>IF($B264="","",IF(AND(C264="",F264=""),"",ROUND(SUMIFS('ИТОГО Торговля'!$J$5:$J$300,'ИТОГО Торговля'!$B$5:$B$300,$B264)+SUMIFS('ИТОГО Лэндинг'!$J$5:$J$300,'ИТОГО Лэндинг'!$B$5:$B$300,$B264),8)))</f>
        <v/>
      </c>
      <c r="K264" s="246" t="str">
        <f>IF(MIN(N(C264),N(F264))&lt;=0,"",ROUND(MIN(N(C264),N(F264))*(N(G264)-N(D264)),8))</f>
        <v/>
      </c>
      <c r="L264" s="183" t="str">
        <f>IF(MIN(N(C264),N(F264))&lt;=0,"",IF(N(D264)=0,"",ROUND((N(G264)/N(D264)-1)*100,2)))</f>
        <v/>
      </c>
      <c r="M264" s="183" t="str">
        <f>IF(OR(ROUND(N(C264)-N(F264),8)=0,1-N(Ввод!$J$19)/100&lt;=0),"",IF(N(C264)&gt;N(F264),(N(E264)-N(H264))/((N(C264)-N(F264))*(1-N(Ввод!$J$19)/100)),(N(H264)-N(E264))/((N(F264)-N(C264))*(1+N(Ввод!$J$19)/100))))</f>
        <v/>
      </c>
    </row>
    <row r="265" ht="22" customHeight="1">
      <c r="B265" s="239" t="n"/>
      <c r="C265" s="240" t="str">
        <f>IF($B265="","",IF(SUMIFS('ИТОГО Торговля'!$C$5:$C$300,'ИТОГО Торговля'!$B$5:$B$300,$B265)+SUMIFS('ИТОГО Лэндинг'!$C$5:$C$300,'ИТОГО Лэндинг'!$B$5:$B$300,$B265)=0,"",SUMIFS('ИТОГО Торговля'!$C$5:$C$300,'ИТОГО Торговля'!$B$5:$B$300,$B265)+SUMIFS('ИТОГО Лэндинг'!$C$5:$C$300,'ИТОГО Лэндинг'!$B$5:$B$300,$B265)))</f>
        <v/>
      </c>
      <c r="D265" s="177" t="str">
        <f>IF(C265="","",E265/C265)</f>
        <v/>
      </c>
      <c r="E265" s="241" t="str">
        <f>IF(C265="","",SUMIFS('ИТОГО Торговля'!$E$5:$E$300,'ИТОГО Торговля'!$B$5:$B$300,$B265)+SUMIFS('ИТОГО Лэндинг'!$E$5:$E$300,'ИТОГО Лэндинг'!$B$5:$B$300,$B265))</f>
        <v/>
      </c>
      <c r="F265" s="240" t="str">
        <f>IF($B265="","",IF(SUMIFS('ИТОГО Торговля'!$F$5:$F$300,'ИТОГО Торговля'!$B$5:$B$300,$B265)+SUMIFS('ИТОГО Лэндинг'!$F$5:$F$300,'ИТОГО Лэндинг'!$B$5:$B$300,$B265)=0,"",SUMIFS('ИТОГО Торговля'!$F$5:$F$300,'ИТОГО Торговля'!$B$5:$B$300,$B265)+SUMIFS('ИТОГО Лэндинг'!$F$5:$F$300,'ИТОГО Лэндинг'!$B$5:$B$300,$B265)))</f>
        <v/>
      </c>
      <c r="G265" s="177" t="str">
        <f>IF(F265="","",H265/F265)</f>
        <v/>
      </c>
      <c r="H265" s="241" t="str">
        <f>IF(F265="","",SUMIFS('ИТОГО Торговля'!$H$5:$H$300,'ИТОГО Торговля'!$B$5:$B$300,$B265)+SUMIFS('ИТОГО Лэндинг'!$H$5:$H$300,'ИТОГО Лэндинг'!$B$5:$B$300,$B265))</f>
        <v/>
      </c>
      <c r="I265" s="240" t="str">
        <f>IF($B265="","",IF(AND(C265="",F265=""),"",ROUND(SUMIFS('ИТОГО Торговля'!$I$5:$I$300,'ИТОГО Торговля'!$B$5:$B$300,$B265)+SUMIFS('ИТОГО Лэндинг'!$I$5:$I$300,'ИТОГО Лэндинг'!$B$5:$B$300,$B265),8)))</f>
        <v/>
      </c>
      <c r="J265" s="241" t="str">
        <f>IF($B265="","",IF(AND(C265="",F265=""),"",ROUND(SUMIFS('ИТОГО Торговля'!$J$5:$J$300,'ИТОГО Торговля'!$B$5:$B$300,$B265)+SUMIFS('ИТОГО Лэндинг'!$J$5:$J$300,'ИТОГО Лэндинг'!$B$5:$B$300,$B265),8)))</f>
        <v/>
      </c>
      <c r="K265" s="240" t="str">
        <f>IF(MIN(N(C265),N(F265))&lt;=0,"",ROUND(MIN(N(C265),N(F265))*(N(G265)-N(D265)),8))</f>
        <v/>
      </c>
      <c r="L265" s="177" t="str">
        <f>IF(MIN(N(C265),N(F265))&lt;=0,"",IF(N(D265)=0,"",ROUND((N(G265)/N(D265)-1)*100,2)))</f>
        <v/>
      </c>
      <c r="M265" s="177" t="str">
        <f>IF(OR(ROUND(N(C265)-N(F265),8)=0,1-N(Ввод!$J$19)/100&lt;=0),"",IF(N(C265)&gt;N(F265),(N(E265)-N(H265))/((N(C265)-N(F265))*(1-N(Ввод!$J$19)/100)),(N(H265)-N(E265))/((N(F265)-N(C265))*(1+N(Ввод!$J$19)/100))))</f>
        <v/>
      </c>
    </row>
    <row r="266" ht="22" customHeight="1">
      <c r="B266" s="245" t="n"/>
      <c r="C266" s="246" t="str">
        <f>IF($B266="","",IF(SUMIFS('ИТОГО Торговля'!$C$5:$C$300,'ИТОГО Торговля'!$B$5:$B$300,$B266)+SUMIFS('ИТОГО Лэндинг'!$C$5:$C$300,'ИТОГО Лэндинг'!$B$5:$B$300,$B266)=0,"",SUMIFS('ИТОГО Торговля'!$C$5:$C$300,'ИТОГО Торговля'!$B$5:$B$300,$B266)+SUMIFS('ИТОГО Лэндинг'!$C$5:$C$300,'ИТОГО Лэндинг'!$B$5:$B$300,$B266)))</f>
        <v/>
      </c>
      <c r="D266" s="183" t="str">
        <f>IF(C266="","",E266/C266)</f>
        <v/>
      </c>
      <c r="E266" s="247" t="str">
        <f>IF(C266="","",SUMIFS('ИТОГО Торговля'!$E$5:$E$300,'ИТОГО Торговля'!$B$5:$B$300,$B266)+SUMIFS('ИТОГО Лэндинг'!$E$5:$E$300,'ИТОГО Лэндинг'!$B$5:$B$300,$B266))</f>
        <v/>
      </c>
      <c r="F266" s="246" t="str">
        <f>IF($B266="","",IF(SUMIFS('ИТОГО Торговля'!$F$5:$F$300,'ИТОГО Торговля'!$B$5:$B$300,$B266)+SUMIFS('ИТОГО Лэндинг'!$F$5:$F$300,'ИТОГО Лэндинг'!$B$5:$B$300,$B266)=0,"",SUMIFS('ИТОГО Торговля'!$F$5:$F$300,'ИТОГО Торговля'!$B$5:$B$300,$B266)+SUMIFS('ИТОГО Лэндинг'!$F$5:$F$300,'ИТОГО Лэндинг'!$B$5:$B$300,$B266)))</f>
        <v/>
      </c>
      <c r="G266" s="183" t="str">
        <f>IF(F266="","",H266/F266)</f>
        <v/>
      </c>
      <c r="H266" s="247" t="str">
        <f>IF(F266="","",SUMIFS('ИТОГО Торговля'!$H$5:$H$300,'ИТОГО Торговля'!$B$5:$B$300,$B266)+SUMIFS('ИТОГО Лэндинг'!$H$5:$H$300,'ИТОГО Лэндинг'!$B$5:$B$300,$B266))</f>
        <v/>
      </c>
      <c r="I266" s="246" t="str">
        <f>IF($B266="","",IF(AND(C266="",F266=""),"",ROUND(SUMIFS('ИТОГО Торговля'!$I$5:$I$300,'ИТОГО Торговля'!$B$5:$B$300,$B266)+SUMIFS('ИТОГО Лэндинг'!$I$5:$I$300,'ИТОГО Лэндинг'!$B$5:$B$300,$B266),8)))</f>
        <v/>
      </c>
      <c r="J266" s="247" t="str">
        <f>IF($B266="","",IF(AND(C266="",F266=""),"",ROUND(SUMIFS('ИТОГО Торговля'!$J$5:$J$300,'ИТОГО Торговля'!$B$5:$B$300,$B266)+SUMIFS('ИТОГО Лэндинг'!$J$5:$J$300,'ИТОГО Лэндинг'!$B$5:$B$300,$B266),8)))</f>
        <v/>
      </c>
      <c r="K266" s="246" t="str">
        <f>IF(MIN(N(C266),N(F266))&lt;=0,"",ROUND(MIN(N(C266),N(F266))*(N(G266)-N(D266)),8))</f>
        <v/>
      </c>
      <c r="L266" s="183" t="str">
        <f>IF(MIN(N(C266),N(F266))&lt;=0,"",IF(N(D266)=0,"",ROUND((N(G266)/N(D266)-1)*100,2)))</f>
        <v/>
      </c>
      <c r="M266" s="183" t="str">
        <f>IF(OR(ROUND(N(C266)-N(F266),8)=0,1-N(Ввод!$J$19)/100&lt;=0),"",IF(N(C266)&gt;N(F266),(N(E266)-N(H266))/((N(C266)-N(F266))*(1-N(Ввод!$J$19)/100)),(N(H266)-N(E266))/((N(F266)-N(C266))*(1+N(Ввод!$J$19)/100))))</f>
        <v/>
      </c>
    </row>
    <row r="267" ht="22" customHeight="1">
      <c r="B267" s="239" t="n"/>
      <c r="C267" s="240" t="str">
        <f>IF($B267="","",IF(SUMIFS('ИТОГО Торговля'!$C$5:$C$300,'ИТОГО Торговля'!$B$5:$B$300,$B267)+SUMIFS('ИТОГО Лэндинг'!$C$5:$C$300,'ИТОГО Лэндинг'!$B$5:$B$300,$B267)=0,"",SUMIFS('ИТОГО Торговля'!$C$5:$C$300,'ИТОГО Торговля'!$B$5:$B$300,$B267)+SUMIFS('ИТОГО Лэндинг'!$C$5:$C$300,'ИТОГО Лэндинг'!$B$5:$B$300,$B267)))</f>
        <v/>
      </c>
      <c r="D267" s="177" t="str">
        <f>IF(C267="","",E267/C267)</f>
        <v/>
      </c>
      <c r="E267" s="241" t="str">
        <f>IF(C267="","",SUMIFS('ИТОГО Торговля'!$E$5:$E$300,'ИТОГО Торговля'!$B$5:$B$300,$B267)+SUMIFS('ИТОГО Лэндинг'!$E$5:$E$300,'ИТОГО Лэндинг'!$B$5:$B$300,$B267))</f>
        <v/>
      </c>
      <c r="F267" s="240" t="str">
        <f>IF($B267="","",IF(SUMIFS('ИТОГО Торговля'!$F$5:$F$300,'ИТОГО Торговля'!$B$5:$B$300,$B267)+SUMIFS('ИТОГО Лэндинг'!$F$5:$F$300,'ИТОГО Лэндинг'!$B$5:$B$300,$B267)=0,"",SUMIFS('ИТОГО Торговля'!$F$5:$F$300,'ИТОГО Торговля'!$B$5:$B$300,$B267)+SUMIFS('ИТОГО Лэндинг'!$F$5:$F$300,'ИТОГО Лэндинг'!$B$5:$B$300,$B267)))</f>
        <v/>
      </c>
      <c r="G267" s="177" t="str">
        <f>IF(F267="","",H267/F267)</f>
        <v/>
      </c>
      <c r="H267" s="241" t="str">
        <f>IF(F267="","",SUMIFS('ИТОГО Торговля'!$H$5:$H$300,'ИТОГО Торговля'!$B$5:$B$300,$B267)+SUMIFS('ИТОГО Лэндинг'!$H$5:$H$300,'ИТОГО Лэндинг'!$B$5:$B$300,$B267))</f>
        <v/>
      </c>
      <c r="I267" s="240" t="str">
        <f>IF($B267="","",IF(AND(C267="",F267=""),"",ROUND(SUMIFS('ИТОГО Торговля'!$I$5:$I$300,'ИТОГО Торговля'!$B$5:$B$300,$B267)+SUMIFS('ИТОГО Лэндинг'!$I$5:$I$300,'ИТОГО Лэндинг'!$B$5:$B$300,$B267),8)))</f>
        <v/>
      </c>
      <c r="J267" s="241" t="str">
        <f>IF($B267="","",IF(AND(C267="",F267=""),"",ROUND(SUMIFS('ИТОГО Торговля'!$J$5:$J$300,'ИТОГО Торговля'!$B$5:$B$300,$B267)+SUMIFS('ИТОГО Лэндинг'!$J$5:$J$300,'ИТОГО Лэндинг'!$B$5:$B$300,$B267),8)))</f>
        <v/>
      </c>
      <c r="K267" s="240" t="str">
        <f>IF(MIN(N(C267),N(F267))&lt;=0,"",ROUND(MIN(N(C267),N(F267))*(N(G267)-N(D267)),8))</f>
        <v/>
      </c>
      <c r="L267" s="177" t="str">
        <f>IF(MIN(N(C267),N(F267))&lt;=0,"",IF(N(D267)=0,"",ROUND((N(G267)/N(D267)-1)*100,2)))</f>
        <v/>
      </c>
      <c r="M267" s="177" t="str">
        <f>IF(OR(ROUND(N(C267)-N(F267),8)=0,1-N(Ввод!$J$19)/100&lt;=0),"",IF(N(C267)&gt;N(F267),(N(E267)-N(H267))/((N(C267)-N(F267))*(1-N(Ввод!$J$19)/100)),(N(H267)-N(E267))/((N(F267)-N(C267))*(1+N(Ввод!$J$19)/100))))</f>
        <v/>
      </c>
    </row>
    <row r="268" ht="22" customHeight="1">
      <c r="B268" s="245" t="n"/>
      <c r="C268" s="246" t="str">
        <f>IF($B268="","",IF(SUMIFS('ИТОГО Торговля'!$C$5:$C$300,'ИТОГО Торговля'!$B$5:$B$300,$B268)+SUMIFS('ИТОГО Лэндинг'!$C$5:$C$300,'ИТОГО Лэндинг'!$B$5:$B$300,$B268)=0,"",SUMIFS('ИТОГО Торговля'!$C$5:$C$300,'ИТОГО Торговля'!$B$5:$B$300,$B268)+SUMIFS('ИТОГО Лэндинг'!$C$5:$C$300,'ИТОГО Лэндинг'!$B$5:$B$300,$B268)))</f>
        <v/>
      </c>
      <c r="D268" s="183" t="str">
        <f>IF(C268="","",E268/C268)</f>
        <v/>
      </c>
      <c r="E268" s="247" t="str">
        <f>IF(C268="","",SUMIFS('ИТОГО Торговля'!$E$5:$E$300,'ИТОГО Торговля'!$B$5:$B$300,$B268)+SUMIFS('ИТОГО Лэндинг'!$E$5:$E$300,'ИТОГО Лэндинг'!$B$5:$B$300,$B268))</f>
        <v/>
      </c>
      <c r="F268" s="246" t="str">
        <f>IF($B268="","",IF(SUMIFS('ИТОГО Торговля'!$F$5:$F$300,'ИТОГО Торговля'!$B$5:$B$300,$B268)+SUMIFS('ИТОГО Лэндинг'!$F$5:$F$300,'ИТОГО Лэндинг'!$B$5:$B$300,$B268)=0,"",SUMIFS('ИТОГО Торговля'!$F$5:$F$300,'ИТОГО Торговля'!$B$5:$B$300,$B268)+SUMIFS('ИТОГО Лэндинг'!$F$5:$F$300,'ИТОГО Лэндинг'!$B$5:$B$300,$B268)))</f>
        <v/>
      </c>
      <c r="G268" s="183" t="str">
        <f>IF(F268="","",H268/F268)</f>
        <v/>
      </c>
      <c r="H268" s="247" t="str">
        <f>IF(F268="","",SUMIFS('ИТОГО Торговля'!$H$5:$H$300,'ИТОГО Торговля'!$B$5:$B$300,$B268)+SUMIFS('ИТОГО Лэндинг'!$H$5:$H$300,'ИТОГО Лэндинг'!$B$5:$B$300,$B268))</f>
        <v/>
      </c>
      <c r="I268" s="246" t="str">
        <f>IF($B268="","",IF(AND(C268="",F268=""),"",ROUND(SUMIFS('ИТОГО Торговля'!$I$5:$I$300,'ИТОГО Торговля'!$B$5:$B$300,$B268)+SUMIFS('ИТОГО Лэндинг'!$I$5:$I$300,'ИТОГО Лэндинг'!$B$5:$B$300,$B268),8)))</f>
        <v/>
      </c>
      <c r="J268" s="247" t="str">
        <f>IF($B268="","",IF(AND(C268="",F268=""),"",ROUND(SUMIFS('ИТОГО Торговля'!$J$5:$J$300,'ИТОГО Торговля'!$B$5:$B$300,$B268)+SUMIFS('ИТОГО Лэндинг'!$J$5:$J$300,'ИТОГО Лэндинг'!$B$5:$B$300,$B268),8)))</f>
        <v/>
      </c>
      <c r="K268" s="246" t="str">
        <f>IF(MIN(N(C268),N(F268))&lt;=0,"",ROUND(MIN(N(C268),N(F268))*(N(G268)-N(D268)),8))</f>
        <v/>
      </c>
      <c r="L268" s="183" t="str">
        <f>IF(MIN(N(C268),N(F268))&lt;=0,"",IF(N(D268)=0,"",ROUND((N(G268)/N(D268)-1)*100,2)))</f>
        <v/>
      </c>
      <c r="M268" s="183" t="str">
        <f>IF(OR(ROUND(N(C268)-N(F268),8)=0,1-N(Ввод!$J$19)/100&lt;=0),"",IF(N(C268)&gt;N(F268),(N(E268)-N(H268))/((N(C268)-N(F268))*(1-N(Ввод!$J$19)/100)),(N(H268)-N(E268))/((N(F268)-N(C268))*(1+N(Ввод!$J$19)/100))))</f>
        <v/>
      </c>
    </row>
    <row r="269" ht="22" customHeight="1">
      <c r="B269" s="239" t="n"/>
      <c r="C269" s="240" t="str">
        <f>IF($B269="","",IF(SUMIFS('ИТОГО Торговля'!$C$5:$C$300,'ИТОГО Торговля'!$B$5:$B$300,$B269)+SUMIFS('ИТОГО Лэндинг'!$C$5:$C$300,'ИТОГО Лэндинг'!$B$5:$B$300,$B269)=0,"",SUMIFS('ИТОГО Торговля'!$C$5:$C$300,'ИТОГО Торговля'!$B$5:$B$300,$B269)+SUMIFS('ИТОГО Лэндинг'!$C$5:$C$300,'ИТОГО Лэндинг'!$B$5:$B$300,$B269)))</f>
        <v/>
      </c>
      <c r="D269" s="177" t="str">
        <f>IF(C269="","",E269/C269)</f>
        <v/>
      </c>
      <c r="E269" s="241" t="str">
        <f>IF(C269="","",SUMIFS('ИТОГО Торговля'!$E$5:$E$300,'ИТОГО Торговля'!$B$5:$B$300,$B269)+SUMIFS('ИТОГО Лэндинг'!$E$5:$E$300,'ИТОГО Лэндинг'!$B$5:$B$300,$B269))</f>
        <v/>
      </c>
      <c r="F269" s="240" t="str">
        <f>IF($B269="","",IF(SUMIFS('ИТОГО Торговля'!$F$5:$F$300,'ИТОГО Торговля'!$B$5:$B$300,$B269)+SUMIFS('ИТОГО Лэндинг'!$F$5:$F$300,'ИТОГО Лэндинг'!$B$5:$B$300,$B269)=0,"",SUMIFS('ИТОГО Торговля'!$F$5:$F$300,'ИТОГО Торговля'!$B$5:$B$300,$B269)+SUMIFS('ИТОГО Лэндинг'!$F$5:$F$300,'ИТОГО Лэндинг'!$B$5:$B$300,$B269)))</f>
        <v/>
      </c>
      <c r="G269" s="177" t="str">
        <f>IF(F269="","",H269/F269)</f>
        <v/>
      </c>
      <c r="H269" s="241" t="str">
        <f>IF(F269="","",SUMIFS('ИТОГО Торговля'!$H$5:$H$300,'ИТОГО Торговля'!$B$5:$B$300,$B269)+SUMIFS('ИТОГО Лэндинг'!$H$5:$H$300,'ИТОГО Лэндинг'!$B$5:$B$300,$B269))</f>
        <v/>
      </c>
      <c r="I269" s="240" t="str">
        <f>IF($B269="","",IF(AND(C269="",F269=""),"",ROUND(SUMIFS('ИТОГО Торговля'!$I$5:$I$300,'ИТОГО Торговля'!$B$5:$B$300,$B269)+SUMIFS('ИТОГО Лэндинг'!$I$5:$I$300,'ИТОГО Лэндинг'!$B$5:$B$300,$B269),8)))</f>
        <v/>
      </c>
      <c r="J269" s="241" t="str">
        <f>IF($B269="","",IF(AND(C269="",F269=""),"",ROUND(SUMIFS('ИТОГО Торговля'!$J$5:$J$300,'ИТОГО Торговля'!$B$5:$B$300,$B269)+SUMIFS('ИТОГО Лэндинг'!$J$5:$J$300,'ИТОГО Лэндинг'!$B$5:$B$300,$B269),8)))</f>
        <v/>
      </c>
      <c r="K269" s="240" t="str">
        <f>IF(MIN(N(C269),N(F269))&lt;=0,"",ROUND(MIN(N(C269),N(F269))*(N(G269)-N(D269)),8))</f>
        <v/>
      </c>
      <c r="L269" s="177" t="str">
        <f>IF(MIN(N(C269),N(F269))&lt;=0,"",IF(N(D269)=0,"",ROUND((N(G269)/N(D269)-1)*100,2)))</f>
        <v/>
      </c>
      <c r="M269" s="177" t="str">
        <f>IF(OR(ROUND(N(C269)-N(F269),8)=0,1-N(Ввод!$J$19)/100&lt;=0),"",IF(N(C269)&gt;N(F269),(N(E269)-N(H269))/((N(C269)-N(F269))*(1-N(Ввод!$J$19)/100)),(N(H269)-N(E269))/((N(F269)-N(C269))*(1+N(Ввод!$J$19)/100))))</f>
        <v/>
      </c>
    </row>
    <row r="270" ht="22" customHeight="1">
      <c r="B270" s="245" t="n"/>
      <c r="C270" s="246" t="str">
        <f>IF($B270="","",IF(SUMIFS('ИТОГО Торговля'!$C$5:$C$300,'ИТОГО Торговля'!$B$5:$B$300,$B270)+SUMIFS('ИТОГО Лэндинг'!$C$5:$C$300,'ИТОГО Лэндинг'!$B$5:$B$300,$B270)=0,"",SUMIFS('ИТОГО Торговля'!$C$5:$C$300,'ИТОГО Торговля'!$B$5:$B$300,$B270)+SUMIFS('ИТОГО Лэндинг'!$C$5:$C$300,'ИТОГО Лэндинг'!$B$5:$B$300,$B270)))</f>
        <v/>
      </c>
      <c r="D270" s="183" t="str">
        <f>IF(C270="","",E270/C270)</f>
        <v/>
      </c>
      <c r="E270" s="247" t="str">
        <f>IF(C270="","",SUMIFS('ИТОГО Торговля'!$E$5:$E$300,'ИТОГО Торговля'!$B$5:$B$300,$B270)+SUMIFS('ИТОГО Лэндинг'!$E$5:$E$300,'ИТОГО Лэндинг'!$B$5:$B$300,$B270))</f>
        <v/>
      </c>
      <c r="F270" s="246" t="str">
        <f>IF($B270="","",IF(SUMIFS('ИТОГО Торговля'!$F$5:$F$300,'ИТОГО Торговля'!$B$5:$B$300,$B270)+SUMIFS('ИТОГО Лэндинг'!$F$5:$F$300,'ИТОГО Лэндинг'!$B$5:$B$300,$B270)=0,"",SUMIFS('ИТОГО Торговля'!$F$5:$F$300,'ИТОГО Торговля'!$B$5:$B$300,$B270)+SUMIFS('ИТОГО Лэндинг'!$F$5:$F$300,'ИТОГО Лэндинг'!$B$5:$B$300,$B270)))</f>
        <v/>
      </c>
      <c r="G270" s="183" t="str">
        <f>IF(F270="","",H270/F270)</f>
        <v/>
      </c>
      <c r="H270" s="247" t="str">
        <f>IF(F270="","",SUMIFS('ИТОГО Торговля'!$H$5:$H$300,'ИТОГО Торговля'!$B$5:$B$300,$B270)+SUMIFS('ИТОГО Лэндинг'!$H$5:$H$300,'ИТОГО Лэндинг'!$B$5:$B$300,$B270))</f>
        <v/>
      </c>
      <c r="I270" s="246" t="str">
        <f>IF($B270="","",IF(AND(C270="",F270=""),"",ROUND(SUMIFS('ИТОГО Торговля'!$I$5:$I$300,'ИТОГО Торговля'!$B$5:$B$300,$B270)+SUMIFS('ИТОГО Лэндинг'!$I$5:$I$300,'ИТОГО Лэндинг'!$B$5:$B$300,$B270),8)))</f>
        <v/>
      </c>
      <c r="J270" s="247" t="str">
        <f>IF($B270="","",IF(AND(C270="",F270=""),"",ROUND(SUMIFS('ИТОГО Торговля'!$J$5:$J$300,'ИТОГО Торговля'!$B$5:$B$300,$B270)+SUMIFS('ИТОГО Лэндинг'!$J$5:$J$300,'ИТОГО Лэндинг'!$B$5:$B$300,$B270),8)))</f>
        <v/>
      </c>
      <c r="K270" s="246" t="str">
        <f>IF(MIN(N(C270),N(F270))&lt;=0,"",ROUND(MIN(N(C270),N(F270))*(N(G270)-N(D270)),8))</f>
        <v/>
      </c>
      <c r="L270" s="183" t="str">
        <f>IF(MIN(N(C270),N(F270))&lt;=0,"",IF(N(D270)=0,"",ROUND((N(G270)/N(D270)-1)*100,2)))</f>
        <v/>
      </c>
      <c r="M270" s="183" t="str">
        <f>IF(OR(ROUND(N(C270)-N(F270),8)=0,1-N(Ввод!$J$19)/100&lt;=0),"",IF(N(C270)&gt;N(F270),(N(E270)-N(H270))/((N(C270)-N(F270))*(1-N(Ввод!$J$19)/100)),(N(H270)-N(E270))/((N(F270)-N(C270))*(1+N(Ввод!$J$19)/100))))</f>
        <v/>
      </c>
    </row>
    <row r="271" ht="22" customHeight="1">
      <c r="B271" s="239" t="n"/>
      <c r="C271" s="240" t="str">
        <f>IF($B271="","",IF(SUMIFS('ИТОГО Торговля'!$C$5:$C$300,'ИТОГО Торговля'!$B$5:$B$300,$B271)+SUMIFS('ИТОГО Лэндинг'!$C$5:$C$300,'ИТОГО Лэндинг'!$B$5:$B$300,$B271)=0,"",SUMIFS('ИТОГО Торговля'!$C$5:$C$300,'ИТОГО Торговля'!$B$5:$B$300,$B271)+SUMIFS('ИТОГО Лэндинг'!$C$5:$C$300,'ИТОГО Лэндинг'!$B$5:$B$300,$B271)))</f>
        <v/>
      </c>
      <c r="D271" s="177" t="str">
        <f>IF(C271="","",E271/C271)</f>
        <v/>
      </c>
      <c r="E271" s="241" t="str">
        <f>IF(C271="","",SUMIFS('ИТОГО Торговля'!$E$5:$E$300,'ИТОГО Торговля'!$B$5:$B$300,$B271)+SUMIFS('ИТОГО Лэндинг'!$E$5:$E$300,'ИТОГО Лэндинг'!$B$5:$B$300,$B271))</f>
        <v/>
      </c>
      <c r="F271" s="240" t="str">
        <f>IF($B271="","",IF(SUMIFS('ИТОГО Торговля'!$F$5:$F$300,'ИТОГО Торговля'!$B$5:$B$300,$B271)+SUMIFS('ИТОГО Лэндинг'!$F$5:$F$300,'ИТОГО Лэндинг'!$B$5:$B$300,$B271)=0,"",SUMIFS('ИТОГО Торговля'!$F$5:$F$300,'ИТОГО Торговля'!$B$5:$B$300,$B271)+SUMIFS('ИТОГО Лэндинг'!$F$5:$F$300,'ИТОГО Лэндинг'!$B$5:$B$300,$B271)))</f>
        <v/>
      </c>
      <c r="G271" s="177" t="str">
        <f>IF(F271="","",H271/F271)</f>
        <v/>
      </c>
      <c r="H271" s="241" t="str">
        <f>IF(F271="","",SUMIFS('ИТОГО Торговля'!$H$5:$H$300,'ИТОГО Торговля'!$B$5:$B$300,$B271)+SUMIFS('ИТОГО Лэндинг'!$H$5:$H$300,'ИТОГО Лэндинг'!$B$5:$B$300,$B271))</f>
        <v/>
      </c>
      <c r="I271" s="240" t="str">
        <f>IF($B271="","",IF(AND(C271="",F271=""),"",ROUND(SUMIFS('ИТОГО Торговля'!$I$5:$I$300,'ИТОГО Торговля'!$B$5:$B$300,$B271)+SUMIFS('ИТОГО Лэндинг'!$I$5:$I$300,'ИТОГО Лэндинг'!$B$5:$B$300,$B271),8)))</f>
        <v/>
      </c>
      <c r="J271" s="241" t="str">
        <f>IF($B271="","",IF(AND(C271="",F271=""),"",ROUND(SUMIFS('ИТОГО Торговля'!$J$5:$J$300,'ИТОГО Торговля'!$B$5:$B$300,$B271)+SUMIFS('ИТОГО Лэндинг'!$J$5:$J$300,'ИТОГО Лэндинг'!$B$5:$B$300,$B271),8)))</f>
        <v/>
      </c>
      <c r="K271" s="240" t="str">
        <f>IF(MIN(N(C271),N(F271))&lt;=0,"",ROUND(MIN(N(C271),N(F271))*(N(G271)-N(D271)),8))</f>
        <v/>
      </c>
      <c r="L271" s="177" t="str">
        <f>IF(MIN(N(C271),N(F271))&lt;=0,"",IF(N(D271)=0,"",ROUND((N(G271)/N(D271)-1)*100,2)))</f>
        <v/>
      </c>
      <c r="M271" s="177" t="str">
        <f>IF(OR(ROUND(N(C271)-N(F271),8)=0,1-N(Ввод!$J$19)/100&lt;=0),"",IF(N(C271)&gt;N(F271),(N(E271)-N(H271))/((N(C271)-N(F271))*(1-N(Ввод!$J$19)/100)),(N(H271)-N(E271))/((N(F271)-N(C271))*(1+N(Ввод!$J$19)/100))))</f>
        <v/>
      </c>
    </row>
    <row r="272" ht="22" customHeight="1">
      <c r="B272" s="245" t="n"/>
      <c r="C272" s="246" t="str">
        <f>IF($B272="","",IF(SUMIFS('ИТОГО Торговля'!$C$5:$C$300,'ИТОГО Торговля'!$B$5:$B$300,$B272)+SUMIFS('ИТОГО Лэндинг'!$C$5:$C$300,'ИТОГО Лэндинг'!$B$5:$B$300,$B272)=0,"",SUMIFS('ИТОГО Торговля'!$C$5:$C$300,'ИТОГО Торговля'!$B$5:$B$300,$B272)+SUMIFS('ИТОГО Лэндинг'!$C$5:$C$300,'ИТОГО Лэндинг'!$B$5:$B$300,$B272)))</f>
        <v/>
      </c>
      <c r="D272" s="183" t="str">
        <f>IF(C272="","",E272/C272)</f>
        <v/>
      </c>
      <c r="E272" s="247" t="str">
        <f>IF(C272="","",SUMIFS('ИТОГО Торговля'!$E$5:$E$300,'ИТОГО Торговля'!$B$5:$B$300,$B272)+SUMIFS('ИТОГО Лэндинг'!$E$5:$E$300,'ИТОГО Лэндинг'!$B$5:$B$300,$B272))</f>
        <v/>
      </c>
      <c r="F272" s="246" t="str">
        <f>IF($B272="","",IF(SUMIFS('ИТОГО Торговля'!$F$5:$F$300,'ИТОГО Торговля'!$B$5:$B$300,$B272)+SUMIFS('ИТОГО Лэндинг'!$F$5:$F$300,'ИТОГО Лэндинг'!$B$5:$B$300,$B272)=0,"",SUMIFS('ИТОГО Торговля'!$F$5:$F$300,'ИТОГО Торговля'!$B$5:$B$300,$B272)+SUMIFS('ИТОГО Лэндинг'!$F$5:$F$300,'ИТОГО Лэндинг'!$B$5:$B$300,$B272)))</f>
        <v/>
      </c>
      <c r="G272" s="183" t="str">
        <f>IF(F272="","",H272/F272)</f>
        <v/>
      </c>
      <c r="H272" s="247" t="str">
        <f>IF(F272="","",SUMIFS('ИТОГО Торговля'!$H$5:$H$300,'ИТОГО Торговля'!$B$5:$B$300,$B272)+SUMIFS('ИТОГО Лэндинг'!$H$5:$H$300,'ИТОГО Лэндинг'!$B$5:$B$300,$B272))</f>
        <v/>
      </c>
      <c r="I272" s="246" t="str">
        <f>IF($B272="","",IF(AND(C272="",F272=""),"",ROUND(SUMIFS('ИТОГО Торговля'!$I$5:$I$300,'ИТОГО Торговля'!$B$5:$B$300,$B272)+SUMIFS('ИТОГО Лэндинг'!$I$5:$I$300,'ИТОГО Лэндинг'!$B$5:$B$300,$B272),8)))</f>
        <v/>
      </c>
      <c r="J272" s="247" t="str">
        <f>IF($B272="","",IF(AND(C272="",F272=""),"",ROUND(SUMIFS('ИТОГО Торговля'!$J$5:$J$300,'ИТОГО Торговля'!$B$5:$B$300,$B272)+SUMIFS('ИТОГО Лэндинг'!$J$5:$J$300,'ИТОГО Лэндинг'!$B$5:$B$300,$B272),8)))</f>
        <v/>
      </c>
      <c r="K272" s="246" t="str">
        <f>IF(MIN(N(C272),N(F272))&lt;=0,"",ROUND(MIN(N(C272),N(F272))*(N(G272)-N(D272)),8))</f>
        <v/>
      </c>
      <c r="L272" s="183" t="str">
        <f>IF(MIN(N(C272),N(F272))&lt;=0,"",IF(N(D272)=0,"",ROUND((N(G272)/N(D272)-1)*100,2)))</f>
        <v/>
      </c>
      <c r="M272" s="183" t="str">
        <f>IF(OR(ROUND(N(C272)-N(F272),8)=0,1-N(Ввод!$J$19)/100&lt;=0),"",IF(N(C272)&gt;N(F272),(N(E272)-N(H272))/((N(C272)-N(F272))*(1-N(Ввод!$J$19)/100)),(N(H272)-N(E272))/((N(F272)-N(C272))*(1+N(Ввод!$J$19)/100))))</f>
        <v/>
      </c>
    </row>
    <row r="273" ht="22" customHeight="1">
      <c r="B273" s="239" t="n"/>
      <c r="C273" s="240" t="str">
        <f>IF($B273="","",IF(SUMIFS('ИТОГО Торговля'!$C$5:$C$300,'ИТОГО Торговля'!$B$5:$B$300,$B273)+SUMIFS('ИТОГО Лэндинг'!$C$5:$C$300,'ИТОГО Лэндинг'!$B$5:$B$300,$B273)=0,"",SUMIFS('ИТОГО Торговля'!$C$5:$C$300,'ИТОГО Торговля'!$B$5:$B$300,$B273)+SUMIFS('ИТОГО Лэндинг'!$C$5:$C$300,'ИТОГО Лэндинг'!$B$5:$B$300,$B273)))</f>
        <v/>
      </c>
      <c r="D273" s="177" t="str">
        <f>IF(C273="","",E273/C273)</f>
        <v/>
      </c>
      <c r="E273" s="241" t="str">
        <f>IF(C273="","",SUMIFS('ИТОГО Торговля'!$E$5:$E$300,'ИТОГО Торговля'!$B$5:$B$300,$B273)+SUMIFS('ИТОГО Лэндинг'!$E$5:$E$300,'ИТОГО Лэндинг'!$B$5:$B$300,$B273))</f>
        <v/>
      </c>
      <c r="F273" s="240" t="str">
        <f>IF($B273="","",IF(SUMIFS('ИТОГО Торговля'!$F$5:$F$300,'ИТОГО Торговля'!$B$5:$B$300,$B273)+SUMIFS('ИТОГО Лэндинг'!$F$5:$F$300,'ИТОГО Лэндинг'!$B$5:$B$300,$B273)=0,"",SUMIFS('ИТОГО Торговля'!$F$5:$F$300,'ИТОГО Торговля'!$B$5:$B$300,$B273)+SUMIFS('ИТОГО Лэндинг'!$F$5:$F$300,'ИТОГО Лэндинг'!$B$5:$B$300,$B273)))</f>
        <v/>
      </c>
      <c r="G273" s="177" t="str">
        <f>IF(F273="","",H273/F273)</f>
        <v/>
      </c>
      <c r="H273" s="241" t="str">
        <f>IF(F273="","",SUMIFS('ИТОГО Торговля'!$H$5:$H$300,'ИТОГО Торговля'!$B$5:$B$300,$B273)+SUMIFS('ИТОГО Лэндинг'!$H$5:$H$300,'ИТОГО Лэндинг'!$B$5:$B$300,$B273))</f>
        <v/>
      </c>
      <c r="I273" s="240" t="str">
        <f>IF($B273="","",IF(AND(C273="",F273=""),"",ROUND(SUMIFS('ИТОГО Торговля'!$I$5:$I$300,'ИТОГО Торговля'!$B$5:$B$300,$B273)+SUMIFS('ИТОГО Лэндинг'!$I$5:$I$300,'ИТОГО Лэндинг'!$B$5:$B$300,$B273),8)))</f>
        <v/>
      </c>
      <c r="J273" s="241" t="str">
        <f>IF($B273="","",IF(AND(C273="",F273=""),"",ROUND(SUMIFS('ИТОГО Торговля'!$J$5:$J$300,'ИТОГО Торговля'!$B$5:$B$300,$B273)+SUMIFS('ИТОГО Лэндинг'!$J$5:$J$300,'ИТОГО Лэндинг'!$B$5:$B$300,$B273),8)))</f>
        <v/>
      </c>
      <c r="K273" s="240" t="str">
        <f>IF(MIN(N(C273),N(F273))&lt;=0,"",ROUND(MIN(N(C273),N(F273))*(N(G273)-N(D273)),8))</f>
        <v/>
      </c>
      <c r="L273" s="177" t="str">
        <f>IF(MIN(N(C273),N(F273))&lt;=0,"",IF(N(D273)=0,"",ROUND((N(G273)/N(D273)-1)*100,2)))</f>
        <v/>
      </c>
      <c r="M273" s="177" t="str">
        <f>IF(OR(ROUND(N(C273)-N(F273),8)=0,1-N(Ввод!$J$19)/100&lt;=0),"",IF(N(C273)&gt;N(F273),(N(E273)-N(H273))/((N(C273)-N(F273))*(1-N(Ввод!$J$19)/100)),(N(H273)-N(E273))/((N(F273)-N(C273))*(1+N(Ввод!$J$19)/100))))</f>
        <v/>
      </c>
    </row>
    <row r="274" ht="22" customHeight="1">
      <c r="B274" s="245" t="n"/>
      <c r="C274" s="246" t="str">
        <f>IF($B274="","",IF(SUMIFS('ИТОГО Торговля'!$C$5:$C$300,'ИТОГО Торговля'!$B$5:$B$300,$B274)+SUMIFS('ИТОГО Лэндинг'!$C$5:$C$300,'ИТОГО Лэндинг'!$B$5:$B$300,$B274)=0,"",SUMIFS('ИТОГО Торговля'!$C$5:$C$300,'ИТОГО Торговля'!$B$5:$B$300,$B274)+SUMIFS('ИТОГО Лэндинг'!$C$5:$C$300,'ИТОГО Лэндинг'!$B$5:$B$300,$B274)))</f>
        <v/>
      </c>
      <c r="D274" s="183" t="str">
        <f>IF(C274="","",E274/C274)</f>
        <v/>
      </c>
      <c r="E274" s="247" t="str">
        <f>IF(C274="","",SUMIFS('ИТОГО Торговля'!$E$5:$E$300,'ИТОГО Торговля'!$B$5:$B$300,$B274)+SUMIFS('ИТОГО Лэндинг'!$E$5:$E$300,'ИТОГО Лэндинг'!$B$5:$B$300,$B274))</f>
        <v/>
      </c>
      <c r="F274" s="246" t="str">
        <f>IF($B274="","",IF(SUMIFS('ИТОГО Торговля'!$F$5:$F$300,'ИТОГО Торговля'!$B$5:$B$300,$B274)+SUMIFS('ИТОГО Лэндинг'!$F$5:$F$300,'ИТОГО Лэндинг'!$B$5:$B$300,$B274)=0,"",SUMIFS('ИТОГО Торговля'!$F$5:$F$300,'ИТОГО Торговля'!$B$5:$B$300,$B274)+SUMIFS('ИТОГО Лэндинг'!$F$5:$F$300,'ИТОГО Лэндинг'!$B$5:$B$300,$B274)))</f>
        <v/>
      </c>
      <c r="G274" s="183" t="str">
        <f>IF(F274="","",H274/F274)</f>
        <v/>
      </c>
      <c r="H274" s="247" t="str">
        <f>IF(F274="","",SUMIFS('ИТОГО Торговля'!$H$5:$H$300,'ИТОГО Торговля'!$B$5:$B$300,$B274)+SUMIFS('ИТОГО Лэндинг'!$H$5:$H$300,'ИТОГО Лэндинг'!$B$5:$B$300,$B274))</f>
        <v/>
      </c>
      <c r="I274" s="246" t="str">
        <f>IF($B274="","",IF(AND(C274="",F274=""),"",ROUND(SUMIFS('ИТОГО Торговля'!$I$5:$I$300,'ИТОГО Торговля'!$B$5:$B$300,$B274)+SUMIFS('ИТОГО Лэндинг'!$I$5:$I$300,'ИТОГО Лэндинг'!$B$5:$B$300,$B274),8)))</f>
        <v/>
      </c>
      <c r="J274" s="247" t="str">
        <f>IF($B274="","",IF(AND(C274="",F274=""),"",ROUND(SUMIFS('ИТОГО Торговля'!$J$5:$J$300,'ИТОГО Торговля'!$B$5:$B$300,$B274)+SUMIFS('ИТОГО Лэндинг'!$J$5:$J$300,'ИТОГО Лэндинг'!$B$5:$B$300,$B274),8)))</f>
        <v/>
      </c>
      <c r="K274" s="246" t="str">
        <f>IF(MIN(N(C274),N(F274))&lt;=0,"",ROUND(MIN(N(C274),N(F274))*(N(G274)-N(D274)),8))</f>
        <v/>
      </c>
      <c r="L274" s="183" t="str">
        <f>IF(MIN(N(C274),N(F274))&lt;=0,"",IF(N(D274)=0,"",ROUND((N(G274)/N(D274)-1)*100,2)))</f>
        <v/>
      </c>
      <c r="M274" s="183" t="str">
        <f>IF(OR(ROUND(N(C274)-N(F274),8)=0,1-N(Ввод!$J$19)/100&lt;=0),"",IF(N(C274)&gt;N(F274),(N(E274)-N(H274))/((N(C274)-N(F274))*(1-N(Ввод!$J$19)/100)),(N(H274)-N(E274))/((N(F274)-N(C274))*(1+N(Ввод!$J$19)/100))))</f>
        <v/>
      </c>
    </row>
    <row r="275" ht="22" customHeight="1">
      <c r="B275" s="239" t="n"/>
      <c r="C275" s="240" t="str">
        <f>IF($B275="","",IF(SUMIFS('ИТОГО Торговля'!$C$5:$C$300,'ИТОГО Торговля'!$B$5:$B$300,$B275)+SUMIFS('ИТОГО Лэндинг'!$C$5:$C$300,'ИТОГО Лэндинг'!$B$5:$B$300,$B275)=0,"",SUMIFS('ИТОГО Торговля'!$C$5:$C$300,'ИТОГО Торговля'!$B$5:$B$300,$B275)+SUMIFS('ИТОГО Лэндинг'!$C$5:$C$300,'ИТОГО Лэндинг'!$B$5:$B$300,$B275)))</f>
        <v/>
      </c>
      <c r="D275" s="177" t="str">
        <f>IF(C275="","",E275/C275)</f>
        <v/>
      </c>
      <c r="E275" s="241" t="str">
        <f>IF(C275="","",SUMIFS('ИТОГО Торговля'!$E$5:$E$300,'ИТОГО Торговля'!$B$5:$B$300,$B275)+SUMIFS('ИТОГО Лэндинг'!$E$5:$E$300,'ИТОГО Лэндинг'!$B$5:$B$300,$B275))</f>
        <v/>
      </c>
      <c r="F275" s="240" t="str">
        <f>IF($B275="","",IF(SUMIFS('ИТОГО Торговля'!$F$5:$F$300,'ИТОГО Торговля'!$B$5:$B$300,$B275)+SUMIFS('ИТОГО Лэндинг'!$F$5:$F$300,'ИТОГО Лэндинг'!$B$5:$B$300,$B275)=0,"",SUMIFS('ИТОГО Торговля'!$F$5:$F$300,'ИТОГО Торговля'!$B$5:$B$300,$B275)+SUMIFS('ИТОГО Лэндинг'!$F$5:$F$300,'ИТОГО Лэндинг'!$B$5:$B$300,$B275)))</f>
        <v/>
      </c>
      <c r="G275" s="177" t="str">
        <f>IF(F275="","",H275/F275)</f>
        <v/>
      </c>
      <c r="H275" s="241" t="str">
        <f>IF(F275="","",SUMIFS('ИТОГО Торговля'!$H$5:$H$300,'ИТОГО Торговля'!$B$5:$B$300,$B275)+SUMIFS('ИТОГО Лэндинг'!$H$5:$H$300,'ИТОГО Лэндинг'!$B$5:$B$300,$B275))</f>
        <v/>
      </c>
      <c r="I275" s="240" t="str">
        <f>IF($B275="","",IF(AND(C275="",F275=""),"",ROUND(SUMIFS('ИТОГО Торговля'!$I$5:$I$300,'ИТОГО Торговля'!$B$5:$B$300,$B275)+SUMIFS('ИТОГО Лэндинг'!$I$5:$I$300,'ИТОГО Лэндинг'!$B$5:$B$300,$B275),8)))</f>
        <v/>
      </c>
      <c r="J275" s="241" t="str">
        <f>IF($B275="","",IF(AND(C275="",F275=""),"",ROUND(SUMIFS('ИТОГО Торговля'!$J$5:$J$300,'ИТОГО Торговля'!$B$5:$B$300,$B275)+SUMIFS('ИТОГО Лэндинг'!$J$5:$J$300,'ИТОГО Лэндинг'!$B$5:$B$300,$B275),8)))</f>
        <v/>
      </c>
      <c r="K275" s="240" t="str">
        <f>IF(MIN(N(C275),N(F275))&lt;=0,"",ROUND(MIN(N(C275),N(F275))*(N(G275)-N(D275)),8))</f>
        <v/>
      </c>
      <c r="L275" s="177" t="str">
        <f>IF(MIN(N(C275),N(F275))&lt;=0,"",IF(N(D275)=0,"",ROUND((N(G275)/N(D275)-1)*100,2)))</f>
        <v/>
      </c>
      <c r="M275" s="177" t="str">
        <f>IF(OR(ROUND(N(C275)-N(F275),8)=0,1-N(Ввод!$J$19)/100&lt;=0),"",IF(N(C275)&gt;N(F275),(N(E275)-N(H275))/((N(C275)-N(F275))*(1-N(Ввод!$J$19)/100)),(N(H275)-N(E275))/((N(F275)-N(C275))*(1+N(Ввод!$J$19)/100))))</f>
        <v/>
      </c>
    </row>
    <row r="276" ht="22" customHeight="1">
      <c r="B276" s="245" t="n"/>
      <c r="C276" s="246" t="str">
        <f>IF($B276="","",IF(SUMIFS('ИТОГО Торговля'!$C$5:$C$300,'ИТОГО Торговля'!$B$5:$B$300,$B276)+SUMIFS('ИТОГО Лэндинг'!$C$5:$C$300,'ИТОГО Лэндинг'!$B$5:$B$300,$B276)=0,"",SUMIFS('ИТОГО Торговля'!$C$5:$C$300,'ИТОГО Торговля'!$B$5:$B$300,$B276)+SUMIFS('ИТОГО Лэндинг'!$C$5:$C$300,'ИТОГО Лэндинг'!$B$5:$B$300,$B276)))</f>
        <v/>
      </c>
      <c r="D276" s="183" t="str">
        <f>IF(C276="","",E276/C276)</f>
        <v/>
      </c>
      <c r="E276" s="247" t="str">
        <f>IF(C276="","",SUMIFS('ИТОГО Торговля'!$E$5:$E$300,'ИТОГО Торговля'!$B$5:$B$300,$B276)+SUMIFS('ИТОГО Лэндинг'!$E$5:$E$300,'ИТОГО Лэндинг'!$B$5:$B$300,$B276))</f>
        <v/>
      </c>
      <c r="F276" s="246" t="str">
        <f>IF($B276="","",IF(SUMIFS('ИТОГО Торговля'!$F$5:$F$300,'ИТОГО Торговля'!$B$5:$B$300,$B276)+SUMIFS('ИТОГО Лэндинг'!$F$5:$F$300,'ИТОГО Лэндинг'!$B$5:$B$300,$B276)=0,"",SUMIFS('ИТОГО Торговля'!$F$5:$F$300,'ИТОГО Торговля'!$B$5:$B$300,$B276)+SUMIFS('ИТОГО Лэндинг'!$F$5:$F$300,'ИТОГО Лэндинг'!$B$5:$B$300,$B276)))</f>
        <v/>
      </c>
      <c r="G276" s="183" t="str">
        <f>IF(F276="","",H276/F276)</f>
        <v/>
      </c>
      <c r="H276" s="247" t="str">
        <f>IF(F276="","",SUMIFS('ИТОГО Торговля'!$H$5:$H$300,'ИТОГО Торговля'!$B$5:$B$300,$B276)+SUMIFS('ИТОГО Лэндинг'!$H$5:$H$300,'ИТОГО Лэндинг'!$B$5:$B$300,$B276))</f>
        <v/>
      </c>
      <c r="I276" s="246" t="str">
        <f>IF($B276="","",IF(AND(C276="",F276=""),"",ROUND(SUMIFS('ИТОГО Торговля'!$I$5:$I$300,'ИТОГО Торговля'!$B$5:$B$300,$B276)+SUMIFS('ИТОГО Лэндинг'!$I$5:$I$300,'ИТОГО Лэндинг'!$B$5:$B$300,$B276),8)))</f>
        <v/>
      </c>
      <c r="J276" s="247" t="str">
        <f>IF($B276="","",IF(AND(C276="",F276=""),"",ROUND(SUMIFS('ИТОГО Торговля'!$J$5:$J$300,'ИТОГО Торговля'!$B$5:$B$300,$B276)+SUMIFS('ИТОГО Лэндинг'!$J$5:$J$300,'ИТОГО Лэндинг'!$B$5:$B$300,$B276),8)))</f>
        <v/>
      </c>
      <c r="K276" s="246" t="str">
        <f>IF(MIN(N(C276),N(F276))&lt;=0,"",ROUND(MIN(N(C276),N(F276))*(N(G276)-N(D276)),8))</f>
        <v/>
      </c>
      <c r="L276" s="183" t="str">
        <f>IF(MIN(N(C276),N(F276))&lt;=0,"",IF(N(D276)=0,"",ROUND((N(G276)/N(D276)-1)*100,2)))</f>
        <v/>
      </c>
      <c r="M276" s="183" t="str">
        <f>IF(OR(ROUND(N(C276)-N(F276),8)=0,1-N(Ввод!$J$19)/100&lt;=0),"",IF(N(C276)&gt;N(F276),(N(E276)-N(H276))/((N(C276)-N(F276))*(1-N(Ввод!$J$19)/100)),(N(H276)-N(E276))/((N(F276)-N(C276))*(1+N(Ввод!$J$19)/100))))</f>
        <v/>
      </c>
    </row>
    <row r="277" ht="22" customHeight="1">
      <c r="B277" s="239" t="n"/>
      <c r="C277" s="240" t="str">
        <f>IF($B277="","",IF(SUMIFS('ИТОГО Торговля'!$C$5:$C$300,'ИТОГО Торговля'!$B$5:$B$300,$B277)+SUMIFS('ИТОГО Лэндинг'!$C$5:$C$300,'ИТОГО Лэндинг'!$B$5:$B$300,$B277)=0,"",SUMIFS('ИТОГО Торговля'!$C$5:$C$300,'ИТОГО Торговля'!$B$5:$B$300,$B277)+SUMIFS('ИТОГО Лэндинг'!$C$5:$C$300,'ИТОГО Лэндинг'!$B$5:$B$300,$B277)))</f>
        <v/>
      </c>
      <c r="D277" s="177" t="str">
        <f>IF(C277="","",E277/C277)</f>
        <v/>
      </c>
      <c r="E277" s="241" t="str">
        <f>IF(C277="","",SUMIFS('ИТОГО Торговля'!$E$5:$E$300,'ИТОГО Торговля'!$B$5:$B$300,$B277)+SUMIFS('ИТОГО Лэндинг'!$E$5:$E$300,'ИТОГО Лэндинг'!$B$5:$B$300,$B277))</f>
        <v/>
      </c>
      <c r="F277" s="240" t="str">
        <f>IF($B277="","",IF(SUMIFS('ИТОГО Торговля'!$F$5:$F$300,'ИТОГО Торговля'!$B$5:$B$300,$B277)+SUMIFS('ИТОГО Лэндинг'!$F$5:$F$300,'ИТОГО Лэндинг'!$B$5:$B$300,$B277)=0,"",SUMIFS('ИТОГО Торговля'!$F$5:$F$300,'ИТОГО Торговля'!$B$5:$B$300,$B277)+SUMIFS('ИТОГО Лэндинг'!$F$5:$F$300,'ИТОГО Лэндинг'!$B$5:$B$300,$B277)))</f>
        <v/>
      </c>
      <c r="G277" s="177" t="str">
        <f>IF(F277="","",H277/F277)</f>
        <v/>
      </c>
      <c r="H277" s="241" t="str">
        <f>IF(F277="","",SUMIFS('ИТОГО Торговля'!$H$5:$H$300,'ИТОГО Торговля'!$B$5:$B$300,$B277)+SUMIFS('ИТОГО Лэндинг'!$H$5:$H$300,'ИТОГО Лэндинг'!$B$5:$B$300,$B277))</f>
        <v/>
      </c>
      <c r="I277" s="240" t="str">
        <f>IF($B277="","",IF(AND(C277="",F277=""),"",ROUND(SUMIFS('ИТОГО Торговля'!$I$5:$I$300,'ИТОГО Торговля'!$B$5:$B$300,$B277)+SUMIFS('ИТОГО Лэндинг'!$I$5:$I$300,'ИТОГО Лэндинг'!$B$5:$B$300,$B277),8)))</f>
        <v/>
      </c>
      <c r="J277" s="241" t="str">
        <f>IF($B277="","",IF(AND(C277="",F277=""),"",ROUND(SUMIFS('ИТОГО Торговля'!$J$5:$J$300,'ИТОГО Торговля'!$B$5:$B$300,$B277)+SUMIFS('ИТОГО Лэндинг'!$J$5:$J$300,'ИТОГО Лэндинг'!$B$5:$B$300,$B277),8)))</f>
        <v/>
      </c>
      <c r="K277" s="240" t="str">
        <f>IF(MIN(N(C277),N(F277))&lt;=0,"",ROUND(MIN(N(C277),N(F277))*(N(G277)-N(D277)),8))</f>
        <v/>
      </c>
      <c r="L277" s="177" t="str">
        <f>IF(MIN(N(C277),N(F277))&lt;=0,"",IF(N(D277)=0,"",ROUND((N(G277)/N(D277)-1)*100,2)))</f>
        <v/>
      </c>
      <c r="M277" s="177" t="str">
        <f>IF(OR(ROUND(N(C277)-N(F277),8)=0,1-N(Ввод!$J$19)/100&lt;=0),"",IF(N(C277)&gt;N(F277),(N(E277)-N(H277))/((N(C277)-N(F277))*(1-N(Ввод!$J$19)/100)),(N(H277)-N(E277))/((N(F277)-N(C277))*(1+N(Ввод!$J$19)/100))))</f>
        <v/>
      </c>
    </row>
    <row r="278" ht="22" customHeight="1">
      <c r="B278" s="245" t="n"/>
      <c r="C278" s="246" t="str">
        <f>IF($B278="","",IF(SUMIFS('ИТОГО Торговля'!$C$5:$C$300,'ИТОГО Торговля'!$B$5:$B$300,$B278)+SUMIFS('ИТОГО Лэндинг'!$C$5:$C$300,'ИТОГО Лэндинг'!$B$5:$B$300,$B278)=0,"",SUMIFS('ИТОГО Торговля'!$C$5:$C$300,'ИТОГО Торговля'!$B$5:$B$300,$B278)+SUMIFS('ИТОГО Лэндинг'!$C$5:$C$300,'ИТОГО Лэндинг'!$B$5:$B$300,$B278)))</f>
        <v/>
      </c>
      <c r="D278" s="183" t="str">
        <f>IF(C278="","",E278/C278)</f>
        <v/>
      </c>
      <c r="E278" s="247" t="str">
        <f>IF(C278="","",SUMIFS('ИТОГО Торговля'!$E$5:$E$300,'ИТОГО Торговля'!$B$5:$B$300,$B278)+SUMIFS('ИТОГО Лэндинг'!$E$5:$E$300,'ИТОГО Лэндинг'!$B$5:$B$300,$B278))</f>
        <v/>
      </c>
      <c r="F278" s="246" t="str">
        <f>IF($B278="","",IF(SUMIFS('ИТОГО Торговля'!$F$5:$F$300,'ИТОГО Торговля'!$B$5:$B$300,$B278)+SUMIFS('ИТОГО Лэндинг'!$F$5:$F$300,'ИТОГО Лэндинг'!$B$5:$B$300,$B278)=0,"",SUMIFS('ИТОГО Торговля'!$F$5:$F$300,'ИТОГО Торговля'!$B$5:$B$300,$B278)+SUMIFS('ИТОГО Лэндинг'!$F$5:$F$300,'ИТОГО Лэндинг'!$B$5:$B$300,$B278)))</f>
        <v/>
      </c>
      <c r="G278" s="183" t="str">
        <f>IF(F278="","",H278/F278)</f>
        <v/>
      </c>
      <c r="H278" s="247" t="str">
        <f>IF(F278="","",SUMIFS('ИТОГО Торговля'!$H$5:$H$300,'ИТОГО Торговля'!$B$5:$B$300,$B278)+SUMIFS('ИТОГО Лэндинг'!$H$5:$H$300,'ИТОГО Лэндинг'!$B$5:$B$300,$B278))</f>
        <v/>
      </c>
      <c r="I278" s="246" t="str">
        <f>IF($B278="","",IF(AND(C278="",F278=""),"",ROUND(SUMIFS('ИТОГО Торговля'!$I$5:$I$300,'ИТОГО Торговля'!$B$5:$B$300,$B278)+SUMIFS('ИТОГО Лэндинг'!$I$5:$I$300,'ИТОГО Лэндинг'!$B$5:$B$300,$B278),8)))</f>
        <v/>
      </c>
      <c r="J278" s="247" t="str">
        <f>IF($B278="","",IF(AND(C278="",F278=""),"",ROUND(SUMIFS('ИТОГО Торговля'!$J$5:$J$300,'ИТОГО Торговля'!$B$5:$B$300,$B278)+SUMIFS('ИТОГО Лэндинг'!$J$5:$J$300,'ИТОГО Лэндинг'!$B$5:$B$300,$B278),8)))</f>
        <v/>
      </c>
      <c r="K278" s="246" t="str">
        <f>IF(MIN(N(C278),N(F278))&lt;=0,"",ROUND(MIN(N(C278),N(F278))*(N(G278)-N(D278)),8))</f>
        <v/>
      </c>
      <c r="L278" s="183" t="str">
        <f>IF(MIN(N(C278),N(F278))&lt;=0,"",IF(N(D278)=0,"",ROUND((N(G278)/N(D278)-1)*100,2)))</f>
        <v/>
      </c>
      <c r="M278" s="183" t="str">
        <f>IF(OR(ROUND(N(C278)-N(F278),8)=0,1-N(Ввод!$J$19)/100&lt;=0),"",IF(N(C278)&gt;N(F278),(N(E278)-N(H278))/((N(C278)-N(F278))*(1-N(Ввод!$J$19)/100)),(N(H278)-N(E278))/((N(F278)-N(C278))*(1+N(Ввод!$J$19)/100))))</f>
        <v/>
      </c>
    </row>
    <row r="279" ht="22" customHeight="1">
      <c r="B279" s="239" t="n"/>
      <c r="C279" s="240" t="str">
        <f>IF($B279="","",IF(SUMIFS('ИТОГО Торговля'!$C$5:$C$300,'ИТОГО Торговля'!$B$5:$B$300,$B279)+SUMIFS('ИТОГО Лэндинг'!$C$5:$C$300,'ИТОГО Лэндинг'!$B$5:$B$300,$B279)=0,"",SUMIFS('ИТОГО Торговля'!$C$5:$C$300,'ИТОГО Торговля'!$B$5:$B$300,$B279)+SUMIFS('ИТОГО Лэндинг'!$C$5:$C$300,'ИТОГО Лэндинг'!$B$5:$B$300,$B279)))</f>
        <v/>
      </c>
      <c r="D279" s="177" t="str">
        <f>IF(C279="","",E279/C279)</f>
        <v/>
      </c>
      <c r="E279" s="241" t="str">
        <f>IF(C279="","",SUMIFS('ИТОГО Торговля'!$E$5:$E$300,'ИТОГО Торговля'!$B$5:$B$300,$B279)+SUMIFS('ИТОГО Лэндинг'!$E$5:$E$300,'ИТОГО Лэндинг'!$B$5:$B$300,$B279))</f>
        <v/>
      </c>
      <c r="F279" s="240" t="str">
        <f>IF($B279="","",IF(SUMIFS('ИТОГО Торговля'!$F$5:$F$300,'ИТОГО Торговля'!$B$5:$B$300,$B279)+SUMIFS('ИТОГО Лэндинг'!$F$5:$F$300,'ИТОГО Лэндинг'!$B$5:$B$300,$B279)=0,"",SUMIFS('ИТОГО Торговля'!$F$5:$F$300,'ИТОГО Торговля'!$B$5:$B$300,$B279)+SUMIFS('ИТОГО Лэндинг'!$F$5:$F$300,'ИТОГО Лэндинг'!$B$5:$B$300,$B279)))</f>
        <v/>
      </c>
      <c r="G279" s="177" t="str">
        <f>IF(F279="","",H279/F279)</f>
        <v/>
      </c>
      <c r="H279" s="241" t="str">
        <f>IF(F279="","",SUMIFS('ИТОГО Торговля'!$H$5:$H$300,'ИТОГО Торговля'!$B$5:$B$300,$B279)+SUMIFS('ИТОГО Лэндинг'!$H$5:$H$300,'ИТОГО Лэндинг'!$B$5:$B$300,$B279))</f>
        <v/>
      </c>
      <c r="I279" s="240" t="str">
        <f>IF($B279="","",IF(AND(C279="",F279=""),"",ROUND(SUMIFS('ИТОГО Торговля'!$I$5:$I$300,'ИТОГО Торговля'!$B$5:$B$300,$B279)+SUMIFS('ИТОГО Лэндинг'!$I$5:$I$300,'ИТОГО Лэндинг'!$B$5:$B$300,$B279),8)))</f>
        <v/>
      </c>
      <c r="J279" s="241" t="str">
        <f>IF($B279="","",IF(AND(C279="",F279=""),"",ROUND(SUMIFS('ИТОГО Торговля'!$J$5:$J$300,'ИТОГО Торговля'!$B$5:$B$300,$B279)+SUMIFS('ИТОГО Лэндинг'!$J$5:$J$300,'ИТОГО Лэндинг'!$B$5:$B$300,$B279),8)))</f>
        <v/>
      </c>
      <c r="K279" s="240" t="str">
        <f>IF(MIN(N(C279),N(F279))&lt;=0,"",ROUND(MIN(N(C279),N(F279))*(N(G279)-N(D279)),8))</f>
        <v/>
      </c>
      <c r="L279" s="177" t="str">
        <f>IF(MIN(N(C279),N(F279))&lt;=0,"",IF(N(D279)=0,"",ROUND((N(G279)/N(D279)-1)*100,2)))</f>
        <v/>
      </c>
      <c r="M279" s="177" t="str">
        <f>IF(OR(ROUND(N(C279)-N(F279),8)=0,1-N(Ввод!$J$19)/100&lt;=0),"",IF(N(C279)&gt;N(F279),(N(E279)-N(H279))/((N(C279)-N(F279))*(1-N(Ввод!$J$19)/100)),(N(H279)-N(E279))/((N(F279)-N(C279))*(1+N(Ввод!$J$19)/100))))</f>
        <v/>
      </c>
    </row>
    <row r="280" ht="22" customHeight="1">
      <c r="B280" s="245" t="n"/>
      <c r="C280" s="246" t="str">
        <f>IF($B280="","",IF(SUMIFS('ИТОГО Торговля'!$C$5:$C$300,'ИТОГО Торговля'!$B$5:$B$300,$B280)+SUMIFS('ИТОГО Лэндинг'!$C$5:$C$300,'ИТОГО Лэндинг'!$B$5:$B$300,$B280)=0,"",SUMIFS('ИТОГО Торговля'!$C$5:$C$300,'ИТОГО Торговля'!$B$5:$B$300,$B280)+SUMIFS('ИТОГО Лэндинг'!$C$5:$C$300,'ИТОГО Лэндинг'!$B$5:$B$300,$B280)))</f>
        <v/>
      </c>
      <c r="D280" s="183" t="str">
        <f>IF(C280="","",E280/C280)</f>
        <v/>
      </c>
      <c r="E280" s="247" t="str">
        <f>IF(C280="","",SUMIFS('ИТОГО Торговля'!$E$5:$E$300,'ИТОГО Торговля'!$B$5:$B$300,$B280)+SUMIFS('ИТОГО Лэндинг'!$E$5:$E$300,'ИТОГО Лэндинг'!$B$5:$B$300,$B280))</f>
        <v/>
      </c>
      <c r="F280" s="246" t="str">
        <f>IF($B280="","",IF(SUMIFS('ИТОГО Торговля'!$F$5:$F$300,'ИТОГО Торговля'!$B$5:$B$300,$B280)+SUMIFS('ИТОГО Лэндинг'!$F$5:$F$300,'ИТОГО Лэндинг'!$B$5:$B$300,$B280)=0,"",SUMIFS('ИТОГО Торговля'!$F$5:$F$300,'ИТОГО Торговля'!$B$5:$B$300,$B280)+SUMIFS('ИТОГО Лэндинг'!$F$5:$F$300,'ИТОГО Лэндинг'!$B$5:$B$300,$B280)))</f>
        <v/>
      </c>
      <c r="G280" s="183" t="str">
        <f>IF(F280="","",H280/F280)</f>
        <v/>
      </c>
      <c r="H280" s="247" t="str">
        <f>IF(F280="","",SUMIFS('ИТОГО Торговля'!$H$5:$H$300,'ИТОГО Торговля'!$B$5:$B$300,$B280)+SUMIFS('ИТОГО Лэндинг'!$H$5:$H$300,'ИТОГО Лэндинг'!$B$5:$B$300,$B280))</f>
        <v/>
      </c>
      <c r="I280" s="246" t="str">
        <f>IF($B280="","",IF(AND(C280="",F280=""),"",ROUND(SUMIFS('ИТОГО Торговля'!$I$5:$I$300,'ИТОГО Торговля'!$B$5:$B$300,$B280)+SUMIFS('ИТОГО Лэндинг'!$I$5:$I$300,'ИТОГО Лэндинг'!$B$5:$B$300,$B280),8)))</f>
        <v/>
      </c>
      <c r="J280" s="247" t="str">
        <f>IF($B280="","",IF(AND(C280="",F280=""),"",ROUND(SUMIFS('ИТОГО Торговля'!$J$5:$J$300,'ИТОГО Торговля'!$B$5:$B$300,$B280)+SUMIFS('ИТОГО Лэндинг'!$J$5:$J$300,'ИТОГО Лэндинг'!$B$5:$B$300,$B280),8)))</f>
        <v/>
      </c>
      <c r="K280" s="246" t="str">
        <f>IF(MIN(N(C280),N(F280))&lt;=0,"",ROUND(MIN(N(C280),N(F280))*(N(G280)-N(D280)),8))</f>
        <v/>
      </c>
      <c r="L280" s="183" t="str">
        <f>IF(MIN(N(C280),N(F280))&lt;=0,"",IF(N(D280)=0,"",ROUND((N(G280)/N(D280)-1)*100,2)))</f>
        <v/>
      </c>
      <c r="M280" s="183" t="str">
        <f>IF(OR(ROUND(N(C280)-N(F280),8)=0,1-N(Ввод!$J$19)/100&lt;=0),"",IF(N(C280)&gt;N(F280),(N(E280)-N(H280))/((N(C280)-N(F280))*(1-N(Ввод!$J$19)/100)),(N(H280)-N(E280))/((N(F280)-N(C280))*(1+N(Ввод!$J$19)/100))))</f>
        <v/>
      </c>
    </row>
    <row r="281" ht="22" customHeight="1">
      <c r="B281" s="239" t="n"/>
      <c r="C281" s="240" t="str">
        <f>IF($B281="","",IF(SUMIFS('ИТОГО Торговля'!$C$5:$C$300,'ИТОГО Торговля'!$B$5:$B$300,$B281)+SUMIFS('ИТОГО Лэндинг'!$C$5:$C$300,'ИТОГО Лэндинг'!$B$5:$B$300,$B281)=0,"",SUMIFS('ИТОГО Торговля'!$C$5:$C$300,'ИТОГО Торговля'!$B$5:$B$300,$B281)+SUMIFS('ИТОГО Лэндинг'!$C$5:$C$300,'ИТОГО Лэндинг'!$B$5:$B$300,$B281)))</f>
        <v/>
      </c>
      <c r="D281" s="177" t="str">
        <f>IF(C281="","",E281/C281)</f>
        <v/>
      </c>
      <c r="E281" s="241" t="str">
        <f>IF(C281="","",SUMIFS('ИТОГО Торговля'!$E$5:$E$300,'ИТОГО Торговля'!$B$5:$B$300,$B281)+SUMIFS('ИТОГО Лэндинг'!$E$5:$E$300,'ИТОГО Лэндинг'!$B$5:$B$300,$B281))</f>
        <v/>
      </c>
      <c r="F281" s="240" t="str">
        <f>IF($B281="","",IF(SUMIFS('ИТОГО Торговля'!$F$5:$F$300,'ИТОГО Торговля'!$B$5:$B$300,$B281)+SUMIFS('ИТОГО Лэндинг'!$F$5:$F$300,'ИТОГО Лэндинг'!$B$5:$B$300,$B281)=0,"",SUMIFS('ИТОГО Торговля'!$F$5:$F$300,'ИТОГО Торговля'!$B$5:$B$300,$B281)+SUMIFS('ИТОГО Лэндинг'!$F$5:$F$300,'ИТОГО Лэндинг'!$B$5:$B$300,$B281)))</f>
        <v/>
      </c>
      <c r="G281" s="177" t="str">
        <f>IF(F281="","",H281/F281)</f>
        <v/>
      </c>
      <c r="H281" s="241" t="str">
        <f>IF(F281="","",SUMIFS('ИТОГО Торговля'!$H$5:$H$300,'ИТОГО Торговля'!$B$5:$B$300,$B281)+SUMIFS('ИТОГО Лэндинг'!$H$5:$H$300,'ИТОГО Лэндинг'!$B$5:$B$300,$B281))</f>
        <v/>
      </c>
      <c r="I281" s="240" t="str">
        <f>IF($B281="","",IF(AND(C281="",F281=""),"",ROUND(SUMIFS('ИТОГО Торговля'!$I$5:$I$300,'ИТОГО Торговля'!$B$5:$B$300,$B281)+SUMIFS('ИТОГО Лэндинг'!$I$5:$I$300,'ИТОГО Лэндинг'!$B$5:$B$300,$B281),8)))</f>
        <v/>
      </c>
      <c r="J281" s="241" t="str">
        <f>IF($B281="","",IF(AND(C281="",F281=""),"",ROUND(SUMIFS('ИТОГО Торговля'!$J$5:$J$300,'ИТОГО Торговля'!$B$5:$B$300,$B281)+SUMIFS('ИТОГО Лэндинг'!$J$5:$J$300,'ИТОГО Лэндинг'!$B$5:$B$300,$B281),8)))</f>
        <v/>
      </c>
      <c r="K281" s="240" t="str">
        <f>IF(MIN(N(C281),N(F281))&lt;=0,"",ROUND(MIN(N(C281),N(F281))*(N(G281)-N(D281)),8))</f>
        <v/>
      </c>
      <c r="L281" s="177" t="str">
        <f>IF(MIN(N(C281),N(F281))&lt;=0,"",IF(N(D281)=0,"",ROUND((N(G281)/N(D281)-1)*100,2)))</f>
        <v/>
      </c>
      <c r="M281" s="177" t="str">
        <f>IF(OR(ROUND(N(C281)-N(F281),8)=0,1-N(Ввод!$J$19)/100&lt;=0),"",IF(N(C281)&gt;N(F281),(N(E281)-N(H281))/((N(C281)-N(F281))*(1-N(Ввод!$J$19)/100)),(N(H281)-N(E281))/((N(F281)-N(C281))*(1+N(Ввод!$J$19)/100))))</f>
        <v/>
      </c>
    </row>
    <row r="282" ht="22" customHeight="1">
      <c r="B282" s="245" t="n"/>
      <c r="C282" s="246" t="str">
        <f>IF($B282="","",IF(SUMIFS('ИТОГО Торговля'!$C$5:$C$300,'ИТОГО Торговля'!$B$5:$B$300,$B282)+SUMIFS('ИТОГО Лэндинг'!$C$5:$C$300,'ИТОГО Лэндинг'!$B$5:$B$300,$B282)=0,"",SUMIFS('ИТОГО Торговля'!$C$5:$C$300,'ИТОГО Торговля'!$B$5:$B$300,$B282)+SUMIFS('ИТОГО Лэндинг'!$C$5:$C$300,'ИТОГО Лэндинг'!$B$5:$B$300,$B282)))</f>
        <v/>
      </c>
      <c r="D282" s="183" t="str">
        <f>IF(C282="","",E282/C282)</f>
        <v/>
      </c>
      <c r="E282" s="247" t="str">
        <f>IF(C282="","",SUMIFS('ИТОГО Торговля'!$E$5:$E$300,'ИТОГО Торговля'!$B$5:$B$300,$B282)+SUMIFS('ИТОГО Лэндинг'!$E$5:$E$300,'ИТОГО Лэндинг'!$B$5:$B$300,$B282))</f>
        <v/>
      </c>
      <c r="F282" s="246" t="str">
        <f>IF($B282="","",IF(SUMIFS('ИТОГО Торговля'!$F$5:$F$300,'ИТОГО Торговля'!$B$5:$B$300,$B282)+SUMIFS('ИТОГО Лэндинг'!$F$5:$F$300,'ИТОГО Лэндинг'!$B$5:$B$300,$B282)=0,"",SUMIFS('ИТОГО Торговля'!$F$5:$F$300,'ИТОГО Торговля'!$B$5:$B$300,$B282)+SUMIFS('ИТОГО Лэндинг'!$F$5:$F$300,'ИТОГО Лэндинг'!$B$5:$B$300,$B282)))</f>
        <v/>
      </c>
      <c r="G282" s="183" t="str">
        <f>IF(F282="","",H282/F282)</f>
        <v/>
      </c>
      <c r="H282" s="247" t="str">
        <f>IF(F282="","",SUMIFS('ИТОГО Торговля'!$H$5:$H$300,'ИТОГО Торговля'!$B$5:$B$300,$B282)+SUMIFS('ИТОГО Лэндинг'!$H$5:$H$300,'ИТОГО Лэндинг'!$B$5:$B$300,$B282))</f>
        <v/>
      </c>
      <c r="I282" s="246" t="str">
        <f>IF($B282="","",IF(AND(C282="",F282=""),"",ROUND(SUMIFS('ИТОГО Торговля'!$I$5:$I$300,'ИТОГО Торговля'!$B$5:$B$300,$B282)+SUMIFS('ИТОГО Лэндинг'!$I$5:$I$300,'ИТОГО Лэндинг'!$B$5:$B$300,$B282),8)))</f>
        <v/>
      </c>
      <c r="J282" s="247" t="str">
        <f>IF($B282="","",IF(AND(C282="",F282=""),"",ROUND(SUMIFS('ИТОГО Торговля'!$J$5:$J$300,'ИТОГО Торговля'!$B$5:$B$300,$B282)+SUMIFS('ИТОГО Лэндинг'!$J$5:$J$300,'ИТОГО Лэндинг'!$B$5:$B$300,$B282),8)))</f>
        <v/>
      </c>
      <c r="K282" s="246" t="str">
        <f>IF(MIN(N(C282),N(F282))&lt;=0,"",ROUND(MIN(N(C282),N(F282))*(N(G282)-N(D282)),8))</f>
        <v/>
      </c>
      <c r="L282" s="183" t="str">
        <f>IF(MIN(N(C282),N(F282))&lt;=0,"",IF(N(D282)=0,"",ROUND((N(G282)/N(D282)-1)*100,2)))</f>
        <v/>
      </c>
      <c r="M282" s="183" t="str">
        <f>IF(OR(ROUND(N(C282)-N(F282),8)=0,1-N(Ввод!$J$19)/100&lt;=0),"",IF(N(C282)&gt;N(F282),(N(E282)-N(H282))/((N(C282)-N(F282))*(1-N(Ввод!$J$19)/100)),(N(H282)-N(E282))/((N(F282)-N(C282))*(1+N(Ввод!$J$19)/100))))</f>
        <v/>
      </c>
    </row>
    <row r="283" ht="22" customHeight="1">
      <c r="B283" s="239" t="n"/>
      <c r="C283" s="240" t="str">
        <f>IF($B283="","",IF(SUMIFS('ИТОГО Торговля'!$C$5:$C$300,'ИТОГО Торговля'!$B$5:$B$300,$B283)+SUMIFS('ИТОГО Лэндинг'!$C$5:$C$300,'ИТОГО Лэндинг'!$B$5:$B$300,$B283)=0,"",SUMIFS('ИТОГО Торговля'!$C$5:$C$300,'ИТОГО Торговля'!$B$5:$B$300,$B283)+SUMIFS('ИТОГО Лэндинг'!$C$5:$C$300,'ИТОГО Лэндинг'!$B$5:$B$300,$B283)))</f>
        <v/>
      </c>
      <c r="D283" s="177" t="str">
        <f>IF(C283="","",E283/C283)</f>
        <v/>
      </c>
      <c r="E283" s="241" t="str">
        <f>IF(C283="","",SUMIFS('ИТОГО Торговля'!$E$5:$E$300,'ИТОГО Торговля'!$B$5:$B$300,$B283)+SUMIFS('ИТОГО Лэндинг'!$E$5:$E$300,'ИТОГО Лэндинг'!$B$5:$B$300,$B283))</f>
        <v/>
      </c>
      <c r="F283" s="240" t="str">
        <f>IF($B283="","",IF(SUMIFS('ИТОГО Торговля'!$F$5:$F$300,'ИТОГО Торговля'!$B$5:$B$300,$B283)+SUMIFS('ИТОГО Лэндинг'!$F$5:$F$300,'ИТОГО Лэндинг'!$B$5:$B$300,$B283)=0,"",SUMIFS('ИТОГО Торговля'!$F$5:$F$300,'ИТОГО Торговля'!$B$5:$B$300,$B283)+SUMIFS('ИТОГО Лэндинг'!$F$5:$F$300,'ИТОГО Лэндинг'!$B$5:$B$300,$B283)))</f>
        <v/>
      </c>
      <c r="G283" s="177" t="str">
        <f>IF(F283="","",H283/F283)</f>
        <v/>
      </c>
      <c r="H283" s="241" t="str">
        <f>IF(F283="","",SUMIFS('ИТОГО Торговля'!$H$5:$H$300,'ИТОГО Торговля'!$B$5:$B$300,$B283)+SUMIFS('ИТОГО Лэндинг'!$H$5:$H$300,'ИТОГО Лэндинг'!$B$5:$B$300,$B283))</f>
        <v/>
      </c>
      <c r="I283" s="240" t="str">
        <f>IF($B283="","",IF(AND(C283="",F283=""),"",ROUND(SUMIFS('ИТОГО Торговля'!$I$5:$I$300,'ИТОГО Торговля'!$B$5:$B$300,$B283)+SUMIFS('ИТОГО Лэндинг'!$I$5:$I$300,'ИТОГО Лэндинг'!$B$5:$B$300,$B283),8)))</f>
        <v/>
      </c>
      <c r="J283" s="241" t="str">
        <f>IF($B283="","",IF(AND(C283="",F283=""),"",ROUND(SUMIFS('ИТОГО Торговля'!$J$5:$J$300,'ИТОГО Торговля'!$B$5:$B$300,$B283)+SUMIFS('ИТОГО Лэндинг'!$J$5:$J$300,'ИТОГО Лэндинг'!$B$5:$B$300,$B283),8)))</f>
        <v/>
      </c>
      <c r="K283" s="240" t="str">
        <f>IF(MIN(N(C283),N(F283))&lt;=0,"",ROUND(MIN(N(C283),N(F283))*(N(G283)-N(D283)),8))</f>
        <v/>
      </c>
      <c r="L283" s="177" t="str">
        <f>IF(MIN(N(C283),N(F283))&lt;=0,"",IF(N(D283)=0,"",ROUND((N(G283)/N(D283)-1)*100,2)))</f>
        <v/>
      </c>
      <c r="M283" s="177" t="str">
        <f>IF(OR(ROUND(N(C283)-N(F283),8)=0,1-N(Ввод!$J$19)/100&lt;=0),"",IF(N(C283)&gt;N(F283),(N(E283)-N(H283))/((N(C283)-N(F283))*(1-N(Ввод!$J$19)/100)),(N(H283)-N(E283))/((N(F283)-N(C283))*(1+N(Ввод!$J$19)/100))))</f>
        <v/>
      </c>
    </row>
    <row r="284" ht="22" customHeight="1">
      <c r="B284" s="245" t="n"/>
      <c r="C284" s="246" t="str">
        <f>IF($B284="","",IF(SUMIFS('ИТОГО Торговля'!$C$5:$C$300,'ИТОГО Торговля'!$B$5:$B$300,$B284)+SUMIFS('ИТОГО Лэндинг'!$C$5:$C$300,'ИТОГО Лэндинг'!$B$5:$B$300,$B284)=0,"",SUMIFS('ИТОГО Торговля'!$C$5:$C$300,'ИТОГО Торговля'!$B$5:$B$300,$B284)+SUMIFS('ИТОГО Лэндинг'!$C$5:$C$300,'ИТОГО Лэндинг'!$B$5:$B$300,$B284)))</f>
        <v/>
      </c>
      <c r="D284" s="183" t="str">
        <f>IF(C284="","",E284/C284)</f>
        <v/>
      </c>
      <c r="E284" s="247" t="str">
        <f>IF(C284="","",SUMIFS('ИТОГО Торговля'!$E$5:$E$300,'ИТОГО Торговля'!$B$5:$B$300,$B284)+SUMIFS('ИТОГО Лэндинг'!$E$5:$E$300,'ИТОГО Лэндинг'!$B$5:$B$300,$B284))</f>
        <v/>
      </c>
      <c r="F284" s="246" t="str">
        <f>IF($B284="","",IF(SUMIFS('ИТОГО Торговля'!$F$5:$F$300,'ИТОГО Торговля'!$B$5:$B$300,$B284)+SUMIFS('ИТОГО Лэндинг'!$F$5:$F$300,'ИТОГО Лэндинг'!$B$5:$B$300,$B284)=0,"",SUMIFS('ИТОГО Торговля'!$F$5:$F$300,'ИТОГО Торговля'!$B$5:$B$300,$B284)+SUMIFS('ИТОГО Лэндинг'!$F$5:$F$300,'ИТОГО Лэндинг'!$B$5:$B$300,$B284)))</f>
        <v/>
      </c>
      <c r="G284" s="183" t="str">
        <f>IF(F284="","",H284/F284)</f>
        <v/>
      </c>
      <c r="H284" s="247" t="str">
        <f>IF(F284="","",SUMIFS('ИТОГО Торговля'!$H$5:$H$300,'ИТОГО Торговля'!$B$5:$B$300,$B284)+SUMIFS('ИТОГО Лэндинг'!$H$5:$H$300,'ИТОГО Лэндинг'!$B$5:$B$300,$B284))</f>
        <v/>
      </c>
      <c r="I284" s="246" t="str">
        <f>IF($B284="","",IF(AND(C284="",F284=""),"",ROUND(SUMIFS('ИТОГО Торговля'!$I$5:$I$300,'ИТОГО Торговля'!$B$5:$B$300,$B284)+SUMIFS('ИТОГО Лэндинг'!$I$5:$I$300,'ИТОГО Лэндинг'!$B$5:$B$300,$B284),8)))</f>
        <v/>
      </c>
      <c r="J284" s="247" t="str">
        <f>IF($B284="","",IF(AND(C284="",F284=""),"",ROUND(SUMIFS('ИТОГО Торговля'!$J$5:$J$300,'ИТОГО Торговля'!$B$5:$B$300,$B284)+SUMIFS('ИТОГО Лэндинг'!$J$5:$J$300,'ИТОГО Лэндинг'!$B$5:$B$300,$B284),8)))</f>
        <v/>
      </c>
      <c r="K284" s="246" t="str">
        <f>IF(MIN(N(C284),N(F284))&lt;=0,"",ROUND(MIN(N(C284),N(F284))*(N(G284)-N(D284)),8))</f>
        <v/>
      </c>
      <c r="L284" s="183" t="str">
        <f>IF(MIN(N(C284),N(F284))&lt;=0,"",IF(N(D284)=0,"",ROUND((N(G284)/N(D284)-1)*100,2)))</f>
        <v/>
      </c>
      <c r="M284" s="183" t="str">
        <f>IF(OR(ROUND(N(C284)-N(F284),8)=0,1-N(Ввод!$J$19)/100&lt;=0),"",IF(N(C284)&gt;N(F284),(N(E284)-N(H284))/((N(C284)-N(F284))*(1-N(Ввод!$J$19)/100)),(N(H284)-N(E284))/((N(F284)-N(C284))*(1+N(Ввод!$J$19)/100))))</f>
        <v/>
      </c>
    </row>
    <row r="285" ht="22" customHeight="1">
      <c r="B285" s="239" t="n"/>
      <c r="C285" s="240" t="str">
        <f>IF($B285="","",IF(SUMIFS('ИТОГО Торговля'!$C$5:$C$300,'ИТОГО Торговля'!$B$5:$B$300,$B285)+SUMIFS('ИТОГО Лэндинг'!$C$5:$C$300,'ИТОГО Лэндинг'!$B$5:$B$300,$B285)=0,"",SUMIFS('ИТОГО Торговля'!$C$5:$C$300,'ИТОГО Торговля'!$B$5:$B$300,$B285)+SUMIFS('ИТОГО Лэндинг'!$C$5:$C$300,'ИТОГО Лэндинг'!$B$5:$B$300,$B285)))</f>
        <v/>
      </c>
      <c r="D285" s="177" t="str">
        <f>IF(C285="","",E285/C285)</f>
        <v/>
      </c>
      <c r="E285" s="241" t="str">
        <f>IF(C285="","",SUMIFS('ИТОГО Торговля'!$E$5:$E$300,'ИТОГО Торговля'!$B$5:$B$300,$B285)+SUMIFS('ИТОГО Лэндинг'!$E$5:$E$300,'ИТОГО Лэндинг'!$B$5:$B$300,$B285))</f>
        <v/>
      </c>
      <c r="F285" s="240" t="str">
        <f>IF($B285="","",IF(SUMIFS('ИТОГО Торговля'!$F$5:$F$300,'ИТОГО Торговля'!$B$5:$B$300,$B285)+SUMIFS('ИТОГО Лэндинг'!$F$5:$F$300,'ИТОГО Лэндинг'!$B$5:$B$300,$B285)=0,"",SUMIFS('ИТОГО Торговля'!$F$5:$F$300,'ИТОГО Торговля'!$B$5:$B$300,$B285)+SUMIFS('ИТОГО Лэндинг'!$F$5:$F$300,'ИТОГО Лэндинг'!$B$5:$B$300,$B285)))</f>
        <v/>
      </c>
      <c r="G285" s="177" t="str">
        <f>IF(F285="","",H285/F285)</f>
        <v/>
      </c>
      <c r="H285" s="241" t="str">
        <f>IF(F285="","",SUMIFS('ИТОГО Торговля'!$H$5:$H$300,'ИТОГО Торговля'!$B$5:$B$300,$B285)+SUMIFS('ИТОГО Лэндинг'!$H$5:$H$300,'ИТОГО Лэндинг'!$B$5:$B$300,$B285))</f>
        <v/>
      </c>
      <c r="I285" s="240" t="str">
        <f>IF($B285="","",IF(AND(C285="",F285=""),"",ROUND(SUMIFS('ИТОГО Торговля'!$I$5:$I$300,'ИТОГО Торговля'!$B$5:$B$300,$B285)+SUMIFS('ИТОГО Лэндинг'!$I$5:$I$300,'ИТОГО Лэндинг'!$B$5:$B$300,$B285),8)))</f>
        <v/>
      </c>
      <c r="J285" s="241" t="str">
        <f>IF($B285="","",IF(AND(C285="",F285=""),"",ROUND(SUMIFS('ИТОГО Торговля'!$J$5:$J$300,'ИТОГО Торговля'!$B$5:$B$300,$B285)+SUMIFS('ИТОГО Лэндинг'!$J$5:$J$300,'ИТОГО Лэндинг'!$B$5:$B$300,$B285),8)))</f>
        <v/>
      </c>
      <c r="K285" s="240" t="str">
        <f>IF(MIN(N(C285),N(F285))&lt;=0,"",ROUND(MIN(N(C285),N(F285))*(N(G285)-N(D285)),8))</f>
        <v/>
      </c>
      <c r="L285" s="177" t="str">
        <f>IF(MIN(N(C285),N(F285))&lt;=0,"",IF(N(D285)=0,"",ROUND((N(G285)/N(D285)-1)*100,2)))</f>
        <v/>
      </c>
      <c r="M285" s="177" t="str">
        <f>IF(OR(ROUND(N(C285)-N(F285),8)=0,1-N(Ввод!$J$19)/100&lt;=0),"",IF(N(C285)&gt;N(F285),(N(E285)-N(H285))/((N(C285)-N(F285))*(1-N(Ввод!$J$19)/100)),(N(H285)-N(E285))/((N(F285)-N(C285))*(1+N(Ввод!$J$19)/100))))</f>
        <v/>
      </c>
    </row>
    <row r="286" ht="22" customHeight="1">
      <c r="B286" s="245" t="n"/>
      <c r="C286" s="246" t="str">
        <f>IF($B286="","",IF(SUMIFS('ИТОГО Торговля'!$C$5:$C$300,'ИТОГО Торговля'!$B$5:$B$300,$B286)+SUMIFS('ИТОГО Лэндинг'!$C$5:$C$300,'ИТОГО Лэндинг'!$B$5:$B$300,$B286)=0,"",SUMIFS('ИТОГО Торговля'!$C$5:$C$300,'ИТОГО Торговля'!$B$5:$B$300,$B286)+SUMIFS('ИТОГО Лэндинг'!$C$5:$C$300,'ИТОГО Лэндинг'!$B$5:$B$300,$B286)))</f>
        <v/>
      </c>
      <c r="D286" s="183" t="str">
        <f>IF(C286="","",E286/C286)</f>
        <v/>
      </c>
      <c r="E286" s="247" t="str">
        <f>IF(C286="","",SUMIFS('ИТОГО Торговля'!$E$5:$E$300,'ИТОГО Торговля'!$B$5:$B$300,$B286)+SUMIFS('ИТОГО Лэндинг'!$E$5:$E$300,'ИТОГО Лэндинг'!$B$5:$B$300,$B286))</f>
        <v/>
      </c>
      <c r="F286" s="246" t="str">
        <f>IF($B286="","",IF(SUMIFS('ИТОГО Торговля'!$F$5:$F$300,'ИТОГО Торговля'!$B$5:$B$300,$B286)+SUMIFS('ИТОГО Лэндинг'!$F$5:$F$300,'ИТОГО Лэндинг'!$B$5:$B$300,$B286)=0,"",SUMIFS('ИТОГО Торговля'!$F$5:$F$300,'ИТОГО Торговля'!$B$5:$B$300,$B286)+SUMIFS('ИТОГО Лэндинг'!$F$5:$F$300,'ИТОГО Лэндинг'!$B$5:$B$300,$B286)))</f>
        <v/>
      </c>
      <c r="G286" s="183" t="str">
        <f>IF(F286="","",H286/F286)</f>
        <v/>
      </c>
      <c r="H286" s="247" t="str">
        <f>IF(F286="","",SUMIFS('ИТОГО Торговля'!$H$5:$H$300,'ИТОГО Торговля'!$B$5:$B$300,$B286)+SUMIFS('ИТОГО Лэндинг'!$H$5:$H$300,'ИТОГО Лэндинг'!$B$5:$B$300,$B286))</f>
        <v/>
      </c>
      <c r="I286" s="246" t="str">
        <f>IF($B286="","",IF(AND(C286="",F286=""),"",ROUND(SUMIFS('ИТОГО Торговля'!$I$5:$I$300,'ИТОГО Торговля'!$B$5:$B$300,$B286)+SUMIFS('ИТОГО Лэндинг'!$I$5:$I$300,'ИТОГО Лэндинг'!$B$5:$B$300,$B286),8)))</f>
        <v/>
      </c>
      <c r="J286" s="247" t="str">
        <f>IF($B286="","",IF(AND(C286="",F286=""),"",ROUND(SUMIFS('ИТОГО Торговля'!$J$5:$J$300,'ИТОГО Торговля'!$B$5:$B$300,$B286)+SUMIFS('ИТОГО Лэндинг'!$J$5:$J$300,'ИТОГО Лэндинг'!$B$5:$B$300,$B286),8)))</f>
        <v/>
      </c>
      <c r="K286" s="246" t="str">
        <f>IF(MIN(N(C286),N(F286))&lt;=0,"",ROUND(MIN(N(C286),N(F286))*(N(G286)-N(D286)),8))</f>
        <v/>
      </c>
      <c r="L286" s="183" t="str">
        <f>IF(MIN(N(C286),N(F286))&lt;=0,"",IF(N(D286)=0,"",ROUND((N(G286)/N(D286)-1)*100,2)))</f>
        <v/>
      </c>
      <c r="M286" s="183" t="str">
        <f>IF(OR(ROUND(N(C286)-N(F286),8)=0,1-N(Ввод!$J$19)/100&lt;=0),"",IF(N(C286)&gt;N(F286),(N(E286)-N(H286))/((N(C286)-N(F286))*(1-N(Ввод!$J$19)/100)),(N(H286)-N(E286))/((N(F286)-N(C286))*(1+N(Ввод!$J$19)/100))))</f>
        <v/>
      </c>
    </row>
    <row r="287" ht="22" customHeight="1">
      <c r="B287" s="239" t="n"/>
      <c r="C287" s="240" t="str">
        <f>IF($B287="","",IF(SUMIFS('ИТОГО Торговля'!$C$5:$C$300,'ИТОГО Торговля'!$B$5:$B$300,$B287)+SUMIFS('ИТОГО Лэндинг'!$C$5:$C$300,'ИТОГО Лэндинг'!$B$5:$B$300,$B287)=0,"",SUMIFS('ИТОГО Торговля'!$C$5:$C$300,'ИТОГО Торговля'!$B$5:$B$300,$B287)+SUMIFS('ИТОГО Лэндинг'!$C$5:$C$300,'ИТОГО Лэндинг'!$B$5:$B$300,$B287)))</f>
        <v/>
      </c>
      <c r="D287" s="177" t="str">
        <f>IF(C287="","",E287/C287)</f>
        <v/>
      </c>
      <c r="E287" s="241" t="str">
        <f>IF(C287="","",SUMIFS('ИТОГО Торговля'!$E$5:$E$300,'ИТОГО Торговля'!$B$5:$B$300,$B287)+SUMIFS('ИТОГО Лэндинг'!$E$5:$E$300,'ИТОГО Лэндинг'!$B$5:$B$300,$B287))</f>
        <v/>
      </c>
      <c r="F287" s="240" t="str">
        <f>IF($B287="","",IF(SUMIFS('ИТОГО Торговля'!$F$5:$F$300,'ИТОГО Торговля'!$B$5:$B$300,$B287)+SUMIFS('ИТОГО Лэндинг'!$F$5:$F$300,'ИТОГО Лэндинг'!$B$5:$B$300,$B287)=0,"",SUMIFS('ИТОГО Торговля'!$F$5:$F$300,'ИТОГО Торговля'!$B$5:$B$300,$B287)+SUMIFS('ИТОГО Лэндинг'!$F$5:$F$300,'ИТОГО Лэндинг'!$B$5:$B$300,$B287)))</f>
        <v/>
      </c>
      <c r="G287" s="177" t="str">
        <f>IF(F287="","",H287/F287)</f>
        <v/>
      </c>
      <c r="H287" s="241" t="str">
        <f>IF(F287="","",SUMIFS('ИТОГО Торговля'!$H$5:$H$300,'ИТОГО Торговля'!$B$5:$B$300,$B287)+SUMIFS('ИТОГО Лэндинг'!$H$5:$H$300,'ИТОГО Лэндинг'!$B$5:$B$300,$B287))</f>
        <v/>
      </c>
      <c r="I287" s="240" t="str">
        <f>IF($B287="","",IF(AND(C287="",F287=""),"",ROUND(SUMIFS('ИТОГО Торговля'!$I$5:$I$300,'ИТОГО Торговля'!$B$5:$B$300,$B287)+SUMIFS('ИТОГО Лэндинг'!$I$5:$I$300,'ИТОГО Лэндинг'!$B$5:$B$300,$B287),8)))</f>
        <v/>
      </c>
      <c r="J287" s="241" t="str">
        <f>IF($B287="","",IF(AND(C287="",F287=""),"",ROUND(SUMIFS('ИТОГО Торговля'!$J$5:$J$300,'ИТОГО Торговля'!$B$5:$B$300,$B287)+SUMIFS('ИТОГО Лэндинг'!$J$5:$J$300,'ИТОГО Лэндинг'!$B$5:$B$300,$B287),8)))</f>
        <v/>
      </c>
      <c r="K287" s="240" t="str">
        <f>IF(MIN(N(C287),N(F287))&lt;=0,"",ROUND(MIN(N(C287),N(F287))*(N(G287)-N(D287)),8))</f>
        <v/>
      </c>
      <c r="L287" s="177" t="str">
        <f>IF(MIN(N(C287),N(F287))&lt;=0,"",IF(N(D287)=0,"",ROUND((N(G287)/N(D287)-1)*100,2)))</f>
        <v/>
      </c>
      <c r="M287" s="177" t="str">
        <f>IF(OR(ROUND(N(C287)-N(F287),8)=0,1-N(Ввод!$J$19)/100&lt;=0),"",IF(N(C287)&gt;N(F287),(N(E287)-N(H287))/((N(C287)-N(F287))*(1-N(Ввод!$J$19)/100)),(N(H287)-N(E287))/((N(F287)-N(C287))*(1+N(Ввод!$J$19)/100))))</f>
        <v/>
      </c>
    </row>
    <row r="288" ht="22" customHeight="1">
      <c r="B288" s="245" t="n"/>
      <c r="C288" s="246" t="str">
        <f>IF($B288="","",IF(SUMIFS('ИТОГО Торговля'!$C$5:$C$300,'ИТОГО Торговля'!$B$5:$B$300,$B288)+SUMIFS('ИТОГО Лэндинг'!$C$5:$C$300,'ИТОГО Лэндинг'!$B$5:$B$300,$B288)=0,"",SUMIFS('ИТОГО Торговля'!$C$5:$C$300,'ИТОГО Торговля'!$B$5:$B$300,$B288)+SUMIFS('ИТОГО Лэндинг'!$C$5:$C$300,'ИТОГО Лэндинг'!$B$5:$B$300,$B288)))</f>
        <v/>
      </c>
      <c r="D288" s="183" t="str">
        <f>IF(C288="","",E288/C288)</f>
        <v/>
      </c>
      <c r="E288" s="247" t="str">
        <f>IF(C288="","",SUMIFS('ИТОГО Торговля'!$E$5:$E$300,'ИТОГО Торговля'!$B$5:$B$300,$B288)+SUMIFS('ИТОГО Лэндинг'!$E$5:$E$300,'ИТОГО Лэндинг'!$B$5:$B$300,$B288))</f>
        <v/>
      </c>
      <c r="F288" s="246" t="str">
        <f>IF($B288="","",IF(SUMIFS('ИТОГО Торговля'!$F$5:$F$300,'ИТОГО Торговля'!$B$5:$B$300,$B288)+SUMIFS('ИТОГО Лэндинг'!$F$5:$F$300,'ИТОГО Лэндинг'!$B$5:$B$300,$B288)=0,"",SUMIFS('ИТОГО Торговля'!$F$5:$F$300,'ИТОГО Торговля'!$B$5:$B$300,$B288)+SUMIFS('ИТОГО Лэндинг'!$F$5:$F$300,'ИТОГО Лэндинг'!$B$5:$B$300,$B288)))</f>
        <v/>
      </c>
      <c r="G288" s="183" t="str">
        <f>IF(F288="","",H288/F288)</f>
        <v/>
      </c>
      <c r="H288" s="247" t="str">
        <f>IF(F288="","",SUMIFS('ИТОГО Торговля'!$H$5:$H$300,'ИТОГО Торговля'!$B$5:$B$300,$B288)+SUMIFS('ИТОГО Лэндинг'!$H$5:$H$300,'ИТОГО Лэндинг'!$B$5:$B$300,$B288))</f>
        <v/>
      </c>
      <c r="I288" s="246" t="str">
        <f>IF($B288="","",IF(AND(C288="",F288=""),"",ROUND(SUMIFS('ИТОГО Торговля'!$I$5:$I$300,'ИТОГО Торговля'!$B$5:$B$300,$B288)+SUMIFS('ИТОГО Лэндинг'!$I$5:$I$300,'ИТОГО Лэндинг'!$B$5:$B$300,$B288),8)))</f>
        <v/>
      </c>
      <c r="J288" s="247" t="str">
        <f>IF($B288="","",IF(AND(C288="",F288=""),"",ROUND(SUMIFS('ИТОГО Торговля'!$J$5:$J$300,'ИТОГО Торговля'!$B$5:$B$300,$B288)+SUMIFS('ИТОГО Лэндинг'!$J$5:$J$300,'ИТОГО Лэндинг'!$B$5:$B$300,$B288),8)))</f>
        <v/>
      </c>
      <c r="K288" s="246" t="str">
        <f>IF(MIN(N(C288),N(F288))&lt;=0,"",ROUND(MIN(N(C288),N(F288))*(N(G288)-N(D288)),8))</f>
        <v/>
      </c>
      <c r="L288" s="183" t="str">
        <f>IF(MIN(N(C288),N(F288))&lt;=0,"",IF(N(D288)=0,"",ROUND((N(G288)/N(D288)-1)*100,2)))</f>
        <v/>
      </c>
      <c r="M288" s="183" t="str">
        <f>IF(OR(ROUND(N(C288)-N(F288),8)=0,1-N(Ввод!$J$19)/100&lt;=0),"",IF(N(C288)&gt;N(F288),(N(E288)-N(H288))/((N(C288)-N(F288))*(1-N(Ввод!$J$19)/100)),(N(H288)-N(E288))/((N(F288)-N(C288))*(1+N(Ввод!$J$19)/100))))</f>
        <v/>
      </c>
    </row>
    <row r="289" ht="22" customHeight="1">
      <c r="B289" s="239" t="n"/>
      <c r="C289" s="240" t="str">
        <f>IF($B289="","",IF(SUMIFS('ИТОГО Торговля'!$C$5:$C$300,'ИТОГО Торговля'!$B$5:$B$300,$B289)+SUMIFS('ИТОГО Лэндинг'!$C$5:$C$300,'ИТОГО Лэндинг'!$B$5:$B$300,$B289)=0,"",SUMIFS('ИТОГО Торговля'!$C$5:$C$300,'ИТОГО Торговля'!$B$5:$B$300,$B289)+SUMIFS('ИТОГО Лэндинг'!$C$5:$C$300,'ИТОГО Лэндинг'!$B$5:$B$300,$B289)))</f>
        <v/>
      </c>
      <c r="D289" s="177" t="str">
        <f>IF(C289="","",E289/C289)</f>
        <v/>
      </c>
      <c r="E289" s="241" t="str">
        <f>IF(C289="","",SUMIFS('ИТОГО Торговля'!$E$5:$E$300,'ИТОГО Торговля'!$B$5:$B$300,$B289)+SUMIFS('ИТОГО Лэндинг'!$E$5:$E$300,'ИТОГО Лэндинг'!$B$5:$B$300,$B289))</f>
        <v/>
      </c>
      <c r="F289" s="240" t="str">
        <f>IF($B289="","",IF(SUMIFS('ИТОГО Торговля'!$F$5:$F$300,'ИТОГО Торговля'!$B$5:$B$300,$B289)+SUMIFS('ИТОГО Лэндинг'!$F$5:$F$300,'ИТОГО Лэндинг'!$B$5:$B$300,$B289)=0,"",SUMIFS('ИТОГО Торговля'!$F$5:$F$300,'ИТОГО Торговля'!$B$5:$B$300,$B289)+SUMIFS('ИТОГО Лэндинг'!$F$5:$F$300,'ИТОГО Лэндинг'!$B$5:$B$300,$B289)))</f>
        <v/>
      </c>
      <c r="G289" s="177" t="str">
        <f>IF(F289="","",H289/F289)</f>
        <v/>
      </c>
      <c r="H289" s="241" t="str">
        <f>IF(F289="","",SUMIFS('ИТОГО Торговля'!$H$5:$H$300,'ИТОГО Торговля'!$B$5:$B$300,$B289)+SUMIFS('ИТОГО Лэндинг'!$H$5:$H$300,'ИТОГО Лэндинг'!$B$5:$B$300,$B289))</f>
        <v/>
      </c>
      <c r="I289" s="240" t="str">
        <f>IF($B289="","",IF(AND(C289="",F289=""),"",ROUND(SUMIFS('ИТОГО Торговля'!$I$5:$I$300,'ИТОГО Торговля'!$B$5:$B$300,$B289)+SUMIFS('ИТОГО Лэндинг'!$I$5:$I$300,'ИТОГО Лэндинг'!$B$5:$B$300,$B289),8)))</f>
        <v/>
      </c>
      <c r="J289" s="241" t="str">
        <f>IF($B289="","",IF(AND(C289="",F289=""),"",ROUND(SUMIFS('ИТОГО Торговля'!$J$5:$J$300,'ИТОГО Торговля'!$B$5:$B$300,$B289)+SUMIFS('ИТОГО Лэндинг'!$J$5:$J$300,'ИТОГО Лэндинг'!$B$5:$B$300,$B289),8)))</f>
        <v/>
      </c>
      <c r="K289" s="240" t="str">
        <f>IF(MIN(N(C289),N(F289))&lt;=0,"",ROUND(MIN(N(C289),N(F289))*(N(G289)-N(D289)),8))</f>
        <v/>
      </c>
      <c r="L289" s="177" t="str">
        <f>IF(MIN(N(C289),N(F289))&lt;=0,"",IF(N(D289)=0,"",ROUND((N(G289)/N(D289)-1)*100,2)))</f>
        <v/>
      </c>
      <c r="M289" s="177" t="str">
        <f>IF(OR(ROUND(N(C289)-N(F289),8)=0,1-N(Ввод!$J$19)/100&lt;=0),"",IF(N(C289)&gt;N(F289),(N(E289)-N(H289))/((N(C289)-N(F289))*(1-N(Ввод!$J$19)/100)),(N(H289)-N(E289))/((N(F289)-N(C289))*(1+N(Ввод!$J$19)/100))))</f>
        <v/>
      </c>
    </row>
    <row r="290" ht="22" customHeight="1">
      <c r="B290" s="245" t="n"/>
      <c r="C290" s="246" t="str">
        <f>IF($B290="","",IF(SUMIFS('ИТОГО Торговля'!$C$5:$C$300,'ИТОГО Торговля'!$B$5:$B$300,$B290)+SUMIFS('ИТОГО Лэндинг'!$C$5:$C$300,'ИТОГО Лэндинг'!$B$5:$B$300,$B290)=0,"",SUMIFS('ИТОГО Торговля'!$C$5:$C$300,'ИТОГО Торговля'!$B$5:$B$300,$B290)+SUMIFS('ИТОГО Лэндинг'!$C$5:$C$300,'ИТОГО Лэндинг'!$B$5:$B$300,$B290)))</f>
        <v/>
      </c>
      <c r="D290" s="183" t="str">
        <f>IF(C290="","",E290/C290)</f>
        <v/>
      </c>
      <c r="E290" s="247" t="str">
        <f>IF(C290="","",SUMIFS('ИТОГО Торговля'!$E$5:$E$300,'ИТОГО Торговля'!$B$5:$B$300,$B290)+SUMIFS('ИТОГО Лэндинг'!$E$5:$E$300,'ИТОГО Лэндинг'!$B$5:$B$300,$B290))</f>
        <v/>
      </c>
      <c r="F290" s="246" t="str">
        <f>IF($B290="","",IF(SUMIFS('ИТОГО Торговля'!$F$5:$F$300,'ИТОГО Торговля'!$B$5:$B$300,$B290)+SUMIFS('ИТОГО Лэндинг'!$F$5:$F$300,'ИТОГО Лэндинг'!$B$5:$B$300,$B290)=0,"",SUMIFS('ИТОГО Торговля'!$F$5:$F$300,'ИТОГО Торговля'!$B$5:$B$300,$B290)+SUMIFS('ИТОГО Лэндинг'!$F$5:$F$300,'ИТОГО Лэндинг'!$B$5:$B$300,$B290)))</f>
        <v/>
      </c>
      <c r="G290" s="183" t="str">
        <f>IF(F290="","",H290/F290)</f>
        <v/>
      </c>
      <c r="H290" s="247" t="str">
        <f>IF(F290="","",SUMIFS('ИТОГО Торговля'!$H$5:$H$300,'ИТОГО Торговля'!$B$5:$B$300,$B290)+SUMIFS('ИТОГО Лэндинг'!$H$5:$H$300,'ИТОГО Лэндинг'!$B$5:$B$300,$B290))</f>
        <v/>
      </c>
      <c r="I290" s="246" t="str">
        <f>IF($B290="","",IF(AND(C290="",F290=""),"",ROUND(SUMIFS('ИТОГО Торговля'!$I$5:$I$300,'ИТОГО Торговля'!$B$5:$B$300,$B290)+SUMIFS('ИТОГО Лэндинг'!$I$5:$I$300,'ИТОГО Лэндинг'!$B$5:$B$300,$B290),8)))</f>
        <v/>
      </c>
      <c r="J290" s="247" t="str">
        <f>IF($B290="","",IF(AND(C290="",F290=""),"",ROUND(SUMIFS('ИТОГО Торговля'!$J$5:$J$300,'ИТОГО Торговля'!$B$5:$B$300,$B290)+SUMIFS('ИТОГО Лэндинг'!$J$5:$J$300,'ИТОГО Лэндинг'!$B$5:$B$300,$B290),8)))</f>
        <v/>
      </c>
      <c r="K290" s="246" t="str">
        <f>IF(MIN(N(C290),N(F290))&lt;=0,"",ROUND(MIN(N(C290),N(F290))*(N(G290)-N(D290)),8))</f>
        <v/>
      </c>
      <c r="L290" s="183" t="str">
        <f>IF(MIN(N(C290),N(F290))&lt;=0,"",IF(N(D290)=0,"",ROUND((N(G290)/N(D290)-1)*100,2)))</f>
        <v/>
      </c>
      <c r="M290" s="183" t="str">
        <f>IF(OR(ROUND(N(C290)-N(F290),8)=0,1-N(Ввод!$J$19)/100&lt;=0),"",IF(N(C290)&gt;N(F290),(N(E290)-N(H290))/((N(C290)-N(F290))*(1-N(Ввод!$J$19)/100)),(N(H290)-N(E290))/((N(F290)-N(C290))*(1+N(Ввод!$J$19)/100))))</f>
        <v/>
      </c>
    </row>
    <row r="291" ht="22" customHeight="1">
      <c r="B291" s="239" t="n"/>
      <c r="C291" s="240" t="str">
        <f>IF($B291="","",IF(SUMIFS('ИТОГО Торговля'!$C$5:$C$300,'ИТОГО Торговля'!$B$5:$B$300,$B291)+SUMIFS('ИТОГО Лэндинг'!$C$5:$C$300,'ИТОГО Лэндинг'!$B$5:$B$300,$B291)=0,"",SUMIFS('ИТОГО Торговля'!$C$5:$C$300,'ИТОГО Торговля'!$B$5:$B$300,$B291)+SUMIFS('ИТОГО Лэндинг'!$C$5:$C$300,'ИТОГО Лэндинг'!$B$5:$B$300,$B291)))</f>
        <v/>
      </c>
      <c r="D291" s="177" t="str">
        <f>IF(C291="","",E291/C291)</f>
        <v/>
      </c>
      <c r="E291" s="241" t="str">
        <f>IF(C291="","",SUMIFS('ИТОГО Торговля'!$E$5:$E$300,'ИТОГО Торговля'!$B$5:$B$300,$B291)+SUMIFS('ИТОГО Лэндинг'!$E$5:$E$300,'ИТОГО Лэндинг'!$B$5:$B$300,$B291))</f>
        <v/>
      </c>
      <c r="F291" s="240" t="str">
        <f>IF($B291="","",IF(SUMIFS('ИТОГО Торговля'!$F$5:$F$300,'ИТОГО Торговля'!$B$5:$B$300,$B291)+SUMIFS('ИТОГО Лэндинг'!$F$5:$F$300,'ИТОГО Лэндинг'!$B$5:$B$300,$B291)=0,"",SUMIFS('ИТОГО Торговля'!$F$5:$F$300,'ИТОГО Торговля'!$B$5:$B$300,$B291)+SUMIFS('ИТОГО Лэндинг'!$F$5:$F$300,'ИТОГО Лэндинг'!$B$5:$B$300,$B291)))</f>
        <v/>
      </c>
      <c r="G291" s="177" t="str">
        <f>IF(F291="","",H291/F291)</f>
        <v/>
      </c>
      <c r="H291" s="241" t="str">
        <f>IF(F291="","",SUMIFS('ИТОГО Торговля'!$H$5:$H$300,'ИТОГО Торговля'!$B$5:$B$300,$B291)+SUMIFS('ИТОГО Лэндинг'!$H$5:$H$300,'ИТОГО Лэндинг'!$B$5:$B$300,$B291))</f>
        <v/>
      </c>
      <c r="I291" s="240" t="str">
        <f>IF($B291="","",IF(AND(C291="",F291=""),"",ROUND(SUMIFS('ИТОГО Торговля'!$I$5:$I$300,'ИТОГО Торговля'!$B$5:$B$300,$B291)+SUMIFS('ИТОГО Лэндинг'!$I$5:$I$300,'ИТОГО Лэндинг'!$B$5:$B$300,$B291),8)))</f>
        <v/>
      </c>
      <c r="J291" s="241" t="str">
        <f>IF($B291="","",IF(AND(C291="",F291=""),"",ROUND(SUMIFS('ИТОГО Торговля'!$J$5:$J$300,'ИТОГО Торговля'!$B$5:$B$300,$B291)+SUMIFS('ИТОГО Лэндинг'!$J$5:$J$300,'ИТОГО Лэндинг'!$B$5:$B$300,$B291),8)))</f>
        <v/>
      </c>
      <c r="K291" s="240" t="str">
        <f>IF(MIN(N(C291),N(F291))&lt;=0,"",ROUND(MIN(N(C291),N(F291))*(N(G291)-N(D291)),8))</f>
        <v/>
      </c>
      <c r="L291" s="177" t="str">
        <f>IF(MIN(N(C291),N(F291))&lt;=0,"",IF(N(D291)=0,"",ROUND((N(G291)/N(D291)-1)*100,2)))</f>
        <v/>
      </c>
      <c r="M291" s="177" t="str">
        <f>IF(OR(ROUND(N(C291)-N(F291),8)=0,1-N(Ввод!$J$19)/100&lt;=0),"",IF(N(C291)&gt;N(F291),(N(E291)-N(H291))/((N(C291)-N(F291))*(1-N(Ввод!$J$19)/100)),(N(H291)-N(E291))/((N(F291)-N(C291))*(1+N(Ввод!$J$19)/100))))</f>
        <v/>
      </c>
    </row>
    <row r="292" ht="22" customHeight="1">
      <c r="B292" s="245" t="n"/>
      <c r="C292" s="246" t="str">
        <f>IF($B292="","",IF(SUMIFS('ИТОГО Торговля'!$C$5:$C$300,'ИТОГО Торговля'!$B$5:$B$300,$B292)+SUMIFS('ИТОГО Лэндинг'!$C$5:$C$300,'ИТОГО Лэндинг'!$B$5:$B$300,$B292)=0,"",SUMIFS('ИТОГО Торговля'!$C$5:$C$300,'ИТОГО Торговля'!$B$5:$B$300,$B292)+SUMIFS('ИТОГО Лэндинг'!$C$5:$C$300,'ИТОГО Лэндинг'!$B$5:$B$300,$B292)))</f>
        <v/>
      </c>
      <c r="D292" s="183" t="str">
        <f>IF(C292="","",E292/C292)</f>
        <v/>
      </c>
      <c r="E292" s="247" t="str">
        <f>IF(C292="","",SUMIFS('ИТОГО Торговля'!$E$5:$E$300,'ИТОГО Торговля'!$B$5:$B$300,$B292)+SUMIFS('ИТОГО Лэндинг'!$E$5:$E$300,'ИТОГО Лэндинг'!$B$5:$B$300,$B292))</f>
        <v/>
      </c>
      <c r="F292" s="246" t="str">
        <f>IF($B292="","",IF(SUMIFS('ИТОГО Торговля'!$F$5:$F$300,'ИТОГО Торговля'!$B$5:$B$300,$B292)+SUMIFS('ИТОГО Лэндинг'!$F$5:$F$300,'ИТОГО Лэндинг'!$B$5:$B$300,$B292)=0,"",SUMIFS('ИТОГО Торговля'!$F$5:$F$300,'ИТОГО Торговля'!$B$5:$B$300,$B292)+SUMIFS('ИТОГО Лэндинг'!$F$5:$F$300,'ИТОГО Лэндинг'!$B$5:$B$300,$B292)))</f>
        <v/>
      </c>
      <c r="G292" s="183" t="str">
        <f>IF(F292="","",H292/F292)</f>
        <v/>
      </c>
      <c r="H292" s="247" t="str">
        <f>IF(F292="","",SUMIFS('ИТОГО Торговля'!$H$5:$H$300,'ИТОГО Торговля'!$B$5:$B$300,$B292)+SUMIFS('ИТОГО Лэндинг'!$H$5:$H$300,'ИТОГО Лэндинг'!$B$5:$B$300,$B292))</f>
        <v/>
      </c>
      <c r="I292" s="246" t="str">
        <f>IF($B292="","",IF(AND(C292="",F292=""),"",ROUND(SUMIFS('ИТОГО Торговля'!$I$5:$I$300,'ИТОГО Торговля'!$B$5:$B$300,$B292)+SUMIFS('ИТОГО Лэндинг'!$I$5:$I$300,'ИТОГО Лэндинг'!$B$5:$B$300,$B292),8)))</f>
        <v/>
      </c>
      <c r="J292" s="247" t="str">
        <f>IF($B292="","",IF(AND(C292="",F292=""),"",ROUND(SUMIFS('ИТОГО Торговля'!$J$5:$J$300,'ИТОГО Торговля'!$B$5:$B$300,$B292)+SUMIFS('ИТОГО Лэндинг'!$J$5:$J$300,'ИТОГО Лэндинг'!$B$5:$B$300,$B292),8)))</f>
        <v/>
      </c>
      <c r="K292" s="246" t="str">
        <f>IF(MIN(N(C292),N(F292))&lt;=0,"",ROUND(MIN(N(C292),N(F292))*(N(G292)-N(D292)),8))</f>
        <v/>
      </c>
      <c r="L292" s="183" t="str">
        <f>IF(MIN(N(C292),N(F292))&lt;=0,"",IF(N(D292)=0,"",ROUND((N(G292)/N(D292)-1)*100,2)))</f>
        <v/>
      </c>
      <c r="M292" s="183" t="str">
        <f>IF(OR(ROUND(N(C292)-N(F292),8)=0,1-N(Ввод!$J$19)/100&lt;=0),"",IF(N(C292)&gt;N(F292),(N(E292)-N(H292))/((N(C292)-N(F292))*(1-N(Ввод!$J$19)/100)),(N(H292)-N(E292))/((N(F292)-N(C292))*(1+N(Ввод!$J$19)/100))))</f>
        <v/>
      </c>
    </row>
    <row r="293" ht="22" customHeight="1">
      <c r="B293" s="239" t="n"/>
      <c r="C293" s="240" t="str">
        <f>IF($B293="","",IF(SUMIFS('ИТОГО Торговля'!$C$5:$C$300,'ИТОГО Торговля'!$B$5:$B$300,$B293)+SUMIFS('ИТОГО Лэндинг'!$C$5:$C$300,'ИТОГО Лэндинг'!$B$5:$B$300,$B293)=0,"",SUMIFS('ИТОГО Торговля'!$C$5:$C$300,'ИТОГО Торговля'!$B$5:$B$300,$B293)+SUMIFS('ИТОГО Лэндинг'!$C$5:$C$300,'ИТОГО Лэндинг'!$B$5:$B$300,$B293)))</f>
        <v/>
      </c>
      <c r="D293" s="177" t="str">
        <f>IF(C293="","",E293/C293)</f>
        <v/>
      </c>
      <c r="E293" s="241" t="str">
        <f>IF(C293="","",SUMIFS('ИТОГО Торговля'!$E$5:$E$300,'ИТОГО Торговля'!$B$5:$B$300,$B293)+SUMIFS('ИТОГО Лэндинг'!$E$5:$E$300,'ИТОГО Лэндинг'!$B$5:$B$300,$B293))</f>
        <v/>
      </c>
      <c r="F293" s="240" t="str">
        <f>IF($B293="","",IF(SUMIFS('ИТОГО Торговля'!$F$5:$F$300,'ИТОГО Торговля'!$B$5:$B$300,$B293)+SUMIFS('ИТОГО Лэндинг'!$F$5:$F$300,'ИТОГО Лэндинг'!$B$5:$B$300,$B293)=0,"",SUMIFS('ИТОГО Торговля'!$F$5:$F$300,'ИТОГО Торговля'!$B$5:$B$300,$B293)+SUMIFS('ИТОГО Лэндинг'!$F$5:$F$300,'ИТОГО Лэндинг'!$B$5:$B$300,$B293)))</f>
        <v/>
      </c>
      <c r="G293" s="177" t="str">
        <f>IF(F293="","",H293/F293)</f>
        <v/>
      </c>
      <c r="H293" s="241" t="str">
        <f>IF(F293="","",SUMIFS('ИТОГО Торговля'!$H$5:$H$300,'ИТОГО Торговля'!$B$5:$B$300,$B293)+SUMIFS('ИТОГО Лэндинг'!$H$5:$H$300,'ИТОГО Лэндинг'!$B$5:$B$300,$B293))</f>
        <v/>
      </c>
      <c r="I293" s="240" t="str">
        <f>IF($B293="","",IF(AND(C293="",F293=""),"",ROUND(SUMIFS('ИТОГО Торговля'!$I$5:$I$300,'ИТОГО Торговля'!$B$5:$B$300,$B293)+SUMIFS('ИТОГО Лэндинг'!$I$5:$I$300,'ИТОГО Лэндинг'!$B$5:$B$300,$B293),8)))</f>
        <v/>
      </c>
      <c r="J293" s="241" t="str">
        <f>IF($B293="","",IF(AND(C293="",F293=""),"",ROUND(SUMIFS('ИТОГО Торговля'!$J$5:$J$300,'ИТОГО Торговля'!$B$5:$B$300,$B293)+SUMIFS('ИТОГО Лэндинг'!$J$5:$J$300,'ИТОГО Лэндинг'!$B$5:$B$300,$B293),8)))</f>
        <v/>
      </c>
      <c r="K293" s="240" t="str">
        <f>IF(MIN(N(C293),N(F293))&lt;=0,"",ROUND(MIN(N(C293),N(F293))*(N(G293)-N(D293)),8))</f>
        <v/>
      </c>
      <c r="L293" s="177" t="str">
        <f>IF(MIN(N(C293),N(F293))&lt;=0,"",IF(N(D293)=0,"",ROUND((N(G293)/N(D293)-1)*100,2)))</f>
        <v/>
      </c>
      <c r="M293" s="177" t="str">
        <f>IF(OR(ROUND(N(C293)-N(F293),8)=0,1-N(Ввод!$J$19)/100&lt;=0),"",IF(N(C293)&gt;N(F293),(N(E293)-N(H293))/((N(C293)-N(F293))*(1-N(Ввод!$J$19)/100)),(N(H293)-N(E293))/((N(F293)-N(C293))*(1+N(Ввод!$J$19)/100))))</f>
        <v/>
      </c>
    </row>
    <row r="294" ht="22" customHeight="1">
      <c r="B294" s="245" t="n"/>
      <c r="C294" s="246" t="str">
        <f>IF($B294="","",IF(SUMIFS('ИТОГО Торговля'!$C$5:$C$300,'ИТОГО Торговля'!$B$5:$B$300,$B294)+SUMIFS('ИТОГО Лэндинг'!$C$5:$C$300,'ИТОГО Лэндинг'!$B$5:$B$300,$B294)=0,"",SUMIFS('ИТОГО Торговля'!$C$5:$C$300,'ИТОГО Торговля'!$B$5:$B$300,$B294)+SUMIFS('ИТОГО Лэндинг'!$C$5:$C$300,'ИТОГО Лэндинг'!$B$5:$B$300,$B294)))</f>
        <v/>
      </c>
      <c r="D294" s="183" t="str">
        <f>IF(C294="","",E294/C294)</f>
        <v/>
      </c>
      <c r="E294" s="247" t="str">
        <f>IF(C294="","",SUMIFS('ИТОГО Торговля'!$E$5:$E$300,'ИТОГО Торговля'!$B$5:$B$300,$B294)+SUMIFS('ИТОГО Лэндинг'!$E$5:$E$300,'ИТОГО Лэндинг'!$B$5:$B$300,$B294))</f>
        <v/>
      </c>
      <c r="F294" s="246" t="str">
        <f>IF($B294="","",IF(SUMIFS('ИТОГО Торговля'!$F$5:$F$300,'ИТОГО Торговля'!$B$5:$B$300,$B294)+SUMIFS('ИТОГО Лэндинг'!$F$5:$F$300,'ИТОГО Лэндинг'!$B$5:$B$300,$B294)=0,"",SUMIFS('ИТОГО Торговля'!$F$5:$F$300,'ИТОГО Торговля'!$B$5:$B$300,$B294)+SUMIFS('ИТОГО Лэндинг'!$F$5:$F$300,'ИТОГО Лэндинг'!$B$5:$B$300,$B294)))</f>
        <v/>
      </c>
      <c r="G294" s="183" t="str">
        <f>IF(F294="","",H294/F294)</f>
        <v/>
      </c>
      <c r="H294" s="247" t="str">
        <f>IF(F294="","",SUMIFS('ИТОГО Торговля'!$H$5:$H$300,'ИТОГО Торговля'!$B$5:$B$300,$B294)+SUMIFS('ИТОГО Лэндинг'!$H$5:$H$300,'ИТОГО Лэндинг'!$B$5:$B$300,$B294))</f>
        <v/>
      </c>
      <c r="I294" s="246" t="str">
        <f>IF($B294="","",IF(AND(C294="",F294=""),"",ROUND(SUMIFS('ИТОГО Торговля'!$I$5:$I$300,'ИТОГО Торговля'!$B$5:$B$300,$B294)+SUMIFS('ИТОГО Лэндинг'!$I$5:$I$300,'ИТОГО Лэндинг'!$B$5:$B$300,$B294),8)))</f>
        <v/>
      </c>
      <c r="J294" s="247" t="str">
        <f>IF($B294="","",IF(AND(C294="",F294=""),"",ROUND(SUMIFS('ИТОГО Торговля'!$J$5:$J$300,'ИТОГО Торговля'!$B$5:$B$300,$B294)+SUMIFS('ИТОГО Лэндинг'!$J$5:$J$300,'ИТОГО Лэндинг'!$B$5:$B$300,$B294),8)))</f>
        <v/>
      </c>
      <c r="K294" s="246" t="str">
        <f>IF(MIN(N(C294),N(F294))&lt;=0,"",ROUND(MIN(N(C294),N(F294))*(N(G294)-N(D294)),8))</f>
        <v/>
      </c>
      <c r="L294" s="183" t="str">
        <f>IF(MIN(N(C294),N(F294))&lt;=0,"",IF(N(D294)=0,"",ROUND((N(G294)/N(D294)-1)*100,2)))</f>
        <v/>
      </c>
      <c r="M294" s="183" t="str">
        <f>IF(OR(ROUND(N(C294)-N(F294),8)=0,1-N(Ввод!$J$19)/100&lt;=0),"",IF(N(C294)&gt;N(F294),(N(E294)-N(H294))/((N(C294)-N(F294))*(1-N(Ввод!$J$19)/100)),(N(H294)-N(E294))/((N(F294)-N(C294))*(1+N(Ввод!$J$19)/100))))</f>
        <v/>
      </c>
    </row>
    <row r="295" ht="22" customHeight="1">
      <c r="B295" s="239" t="n"/>
      <c r="C295" s="240" t="str">
        <f>IF($B295="","",IF(SUMIFS('ИТОГО Торговля'!$C$5:$C$300,'ИТОГО Торговля'!$B$5:$B$300,$B295)+SUMIFS('ИТОГО Лэндинг'!$C$5:$C$300,'ИТОГО Лэндинг'!$B$5:$B$300,$B295)=0,"",SUMIFS('ИТОГО Торговля'!$C$5:$C$300,'ИТОГО Торговля'!$B$5:$B$300,$B295)+SUMIFS('ИТОГО Лэндинг'!$C$5:$C$300,'ИТОГО Лэндинг'!$B$5:$B$300,$B295)))</f>
        <v/>
      </c>
      <c r="D295" s="177" t="str">
        <f>IF(C295="","",E295/C295)</f>
        <v/>
      </c>
      <c r="E295" s="241" t="str">
        <f>IF(C295="","",SUMIFS('ИТОГО Торговля'!$E$5:$E$300,'ИТОГО Торговля'!$B$5:$B$300,$B295)+SUMIFS('ИТОГО Лэндинг'!$E$5:$E$300,'ИТОГО Лэндинг'!$B$5:$B$300,$B295))</f>
        <v/>
      </c>
      <c r="F295" s="240" t="str">
        <f>IF($B295="","",IF(SUMIFS('ИТОГО Торговля'!$F$5:$F$300,'ИТОГО Торговля'!$B$5:$B$300,$B295)+SUMIFS('ИТОГО Лэндинг'!$F$5:$F$300,'ИТОГО Лэндинг'!$B$5:$B$300,$B295)=0,"",SUMIFS('ИТОГО Торговля'!$F$5:$F$300,'ИТОГО Торговля'!$B$5:$B$300,$B295)+SUMIFS('ИТОГО Лэндинг'!$F$5:$F$300,'ИТОГО Лэндинг'!$B$5:$B$300,$B295)))</f>
        <v/>
      </c>
      <c r="G295" s="177" t="str">
        <f>IF(F295="","",H295/F295)</f>
        <v/>
      </c>
      <c r="H295" s="241" t="str">
        <f>IF(F295="","",SUMIFS('ИТОГО Торговля'!$H$5:$H$300,'ИТОГО Торговля'!$B$5:$B$300,$B295)+SUMIFS('ИТОГО Лэндинг'!$H$5:$H$300,'ИТОГО Лэндинг'!$B$5:$B$300,$B295))</f>
        <v/>
      </c>
      <c r="I295" s="240" t="str">
        <f>IF($B295="","",IF(AND(C295="",F295=""),"",ROUND(SUMIFS('ИТОГО Торговля'!$I$5:$I$300,'ИТОГО Торговля'!$B$5:$B$300,$B295)+SUMIFS('ИТОГО Лэндинг'!$I$5:$I$300,'ИТОГО Лэндинг'!$B$5:$B$300,$B295),8)))</f>
        <v/>
      </c>
      <c r="J295" s="241" t="str">
        <f>IF($B295="","",IF(AND(C295="",F295=""),"",ROUND(SUMIFS('ИТОГО Торговля'!$J$5:$J$300,'ИТОГО Торговля'!$B$5:$B$300,$B295)+SUMIFS('ИТОГО Лэндинг'!$J$5:$J$300,'ИТОГО Лэндинг'!$B$5:$B$300,$B295),8)))</f>
        <v/>
      </c>
      <c r="K295" s="240" t="str">
        <f>IF(MIN(N(C295),N(F295))&lt;=0,"",ROUND(MIN(N(C295),N(F295))*(N(G295)-N(D295)),8))</f>
        <v/>
      </c>
      <c r="L295" s="177" t="str">
        <f>IF(MIN(N(C295),N(F295))&lt;=0,"",IF(N(D295)=0,"",ROUND((N(G295)/N(D295)-1)*100,2)))</f>
        <v/>
      </c>
      <c r="M295" s="177" t="str">
        <f>IF(OR(ROUND(N(C295)-N(F295),8)=0,1-N(Ввод!$J$19)/100&lt;=0),"",IF(N(C295)&gt;N(F295),(N(E295)-N(H295))/((N(C295)-N(F295))*(1-N(Ввод!$J$19)/100)),(N(H295)-N(E295))/((N(F295)-N(C295))*(1+N(Ввод!$J$19)/100))))</f>
        <v/>
      </c>
    </row>
    <row r="296" ht="22" customHeight="1">
      <c r="B296" s="245" t="n"/>
      <c r="C296" s="246" t="str">
        <f>IF($B296="","",IF(SUMIFS('ИТОГО Торговля'!$C$5:$C$300,'ИТОГО Торговля'!$B$5:$B$300,$B296)+SUMIFS('ИТОГО Лэндинг'!$C$5:$C$300,'ИТОГО Лэндинг'!$B$5:$B$300,$B296)=0,"",SUMIFS('ИТОГО Торговля'!$C$5:$C$300,'ИТОГО Торговля'!$B$5:$B$300,$B296)+SUMIFS('ИТОГО Лэндинг'!$C$5:$C$300,'ИТОГО Лэндинг'!$B$5:$B$300,$B296)))</f>
        <v/>
      </c>
      <c r="D296" s="183" t="str">
        <f>IF(C296="","",E296/C296)</f>
        <v/>
      </c>
      <c r="E296" s="247" t="str">
        <f>IF(C296="","",SUMIFS('ИТОГО Торговля'!$E$5:$E$300,'ИТОГО Торговля'!$B$5:$B$300,$B296)+SUMIFS('ИТОГО Лэндинг'!$E$5:$E$300,'ИТОГО Лэндинг'!$B$5:$B$300,$B296))</f>
        <v/>
      </c>
      <c r="F296" s="246" t="str">
        <f>IF($B296="","",IF(SUMIFS('ИТОГО Торговля'!$F$5:$F$300,'ИТОГО Торговля'!$B$5:$B$300,$B296)+SUMIFS('ИТОГО Лэндинг'!$F$5:$F$300,'ИТОГО Лэндинг'!$B$5:$B$300,$B296)=0,"",SUMIFS('ИТОГО Торговля'!$F$5:$F$300,'ИТОГО Торговля'!$B$5:$B$300,$B296)+SUMIFS('ИТОГО Лэндинг'!$F$5:$F$300,'ИТОГО Лэндинг'!$B$5:$B$300,$B296)))</f>
        <v/>
      </c>
      <c r="G296" s="183" t="str">
        <f>IF(F296="","",H296/F296)</f>
        <v/>
      </c>
      <c r="H296" s="247" t="str">
        <f>IF(F296="","",SUMIFS('ИТОГО Торговля'!$H$5:$H$300,'ИТОГО Торговля'!$B$5:$B$300,$B296)+SUMIFS('ИТОГО Лэндинг'!$H$5:$H$300,'ИТОГО Лэндинг'!$B$5:$B$300,$B296))</f>
        <v/>
      </c>
      <c r="I296" s="246" t="str">
        <f>IF($B296="","",IF(AND(C296="",F296=""),"",ROUND(SUMIFS('ИТОГО Торговля'!$I$5:$I$300,'ИТОГО Торговля'!$B$5:$B$300,$B296)+SUMIFS('ИТОГО Лэндинг'!$I$5:$I$300,'ИТОГО Лэндинг'!$B$5:$B$300,$B296),8)))</f>
        <v/>
      </c>
      <c r="J296" s="247" t="str">
        <f>IF($B296="","",IF(AND(C296="",F296=""),"",ROUND(SUMIFS('ИТОГО Торговля'!$J$5:$J$300,'ИТОГО Торговля'!$B$5:$B$300,$B296)+SUMIFS('ИТОГО Лэндинг'!$J$5:$J$300,'ИТОГО Лэндинг'!$B$5:$B$300,$B296),8)))</f>
        <v/>
      </c>
      <c r="K296" s="246" t="str">
        <f>IF(MIN(N(C296),N(F296))&lt;=0,"",ROUND(MIN(N(C296),N(F296))*(N(G296)-N(D296)),8))</f>
        <v/>
      </c>
      <c r="L296" s="183" t="str">
        <f>IF(MIN(N(C296),N(F296))&lt;=0,"",IF(N(D296)=0,"",ROUND((N(G296)/N(D296)-1)*100,2)))</f>
        <v/>
      </c>
      <c r="M296" s="183" t="str">
        <f>IF(OR(ROUND(N(C296)-N(F296),8)=0,1-N(Ввод!$J$19)/100&lt;=0),"",IF(N(C296)&gt;N(F296),(N(E296)-N(H296))/((N(C296)-N(F296))*(1-N(Ввод!$J$19)/100)),(N(H296)-N(E296))/((N(F296)-N(C296))*(1+N(Ввод!$J$19)/100))))</f>
        <v/>
      </c>
    </row>
    <row r="297" ht="22" customHeight="1">
      <c r="B297" s="239" t="n"/>
      <c r="C297" s="240" t="str">
        <f>IF($B297="","",IF(SUMIFS('ИТОГО Торговля'!$C$5:$C$300,'ИТОГО Торговля'!$B$5:$B$300,$B297)+SUMIFS('ИТОГО Лэндинг'!$C$5:$C$300,'ИТОГО Лэндинг'!$B$5:$B$300,$B297)=0,"",SUMIFS('ИТОГО Торговля'!$C$5:$C$300,'ИТОГО Торговля'!$B$5:$B$300,$B297)+SUMIFS('ИТОГО Лэндинг'!$C$5:$C$300,'ИТОГО Лэндинг'!$B$5:$B$300,$B297)))</f>
        <v/>
      </c>
      <c r="D297" s="177" t="str">
        <f>IF(C297="","",E297/C297)</f>
        <v/>
      </c>
      <c r="E297" s="241" t="str">
        <f>IF(C297="","",SUMIFS('ИТОГО Торговля'!$E$5:$E$300,'ИТОГО Торговля'!$B$5:$B$300,$B297)+SUMIFS('ИТОГО Лэндинг'!$E$5:$E$300,'ИТОГО Лэндинг'!$B$5:$B$300,$B297))</f>
        <v/>
      </c>
      <c r="F297" s="240" t="str">
        <f>IF($B297="","",IF(SUMIFS('ИТОГО Торговля'!$F$5:$F$300,'ИТОГО Торговля'!$B$5:$B$300,$B297)+SUMIFS('ИТОГО Лэндинг'!$F$5:$F$300,'ИТОГО Лэндинг'!$B$5:$B$300,$B297)=0,"",SUMIFS('ИТОГО Торговля'!$F$5:$F$300,'ИТОГО Торговля'!$B$5:$B$300,$B297)+SUMIFS('ИТОГО Лэндинг'!$F$5:$F$300,'ИТОГО Лэндинг'!$B$5:$B$300,$B297)))</f>
        <v/>
      </c>
      <c r="G297" s="177" t="str">
        <f>IF(F297="","",H297/F297)</f>
        <v/>
      </c>
      <c r="H297" s="241" t="str">
        <f>IF(F297="","",SUMIFS('ИТОГО Торговля'!$H$5:$H$300,'ИТОГО Торговля'!$B$5:$B$300,$B297)+SUMIFS('ИТОГО Лэндинг'!$H$5:$H$300,'ИТОГО Лэндинг'!$B$5:$B$300,$B297))</f>
        <v/>
      </c>
      <c r="I297" s="240" t="str">
        <f>IF($B297="","",IF(AND(C297="",F297=""),"",ROUND(SUMIFS('ИТОГО Торговля'!$I$5:$I$300,'ИТОГО Торговля'!$B$5:$B$300,$B297)+SUMIFS('ИТОГО Лэндинг'!$I$5:$I$300,'ИТОГО Лэндинг'!$B$5:$B$300,$B297),8)))</f>
        <v/>
      </c>
      <c r="J297" s="241" t="str">
        <f>IF($B297="","",IF(AND(C297="",F297=""),"",ROUND(SUMIFS('ИТОГО Торговля'!$J$5:$J$300,'ИТОГО Торговля'!$B$5:$B$300,$B297)+SUMIFS('ИТОГО Лэндинг'!$J$5:$J$300,'ИТОГО Лэндинг'!$B$5:$B$300,$B297),8)))</f>
        <v/>
      </c>
      <c r="K297" s="240" t="str">
        <f>IF(MIN(N(C297),N(F297))&lt;=0,"",ROUND(MIN(N(C297),N(F297))*(N(G297)-N(D297)),8))</f>
        <v/>
      </c>
      <c r="L297" s="177" t="str">
        <f>IF(MIN(N(C297),N(F297))&lt;=0,"",IF(N(D297)=0,"",ROUND((N(G297)/N(D297)-1)*100,2)))</f>
        <v/>
      </c>
      <c r="M297" s="177" t="str">
        <f>IF(OR(ROUND(N(C297)-N(F297),8)=0,1-N(Ввод!$J$19)/100&lt;=0),"",IF(N(C297)&gt;N(F297),(N(E297)-N(H297))/((N(C297)-N(F297))*(1-N(Ввод!$J$19)/100)),(N(H297)-N(E297))/((N(F297)-N(C297))*(1+N(Ввод!$J$19)/100))))</f>
        <v/>
      </c>
    </row>
    <row r="298" ht="22" customHeight="1">
      <c r="B298" s="245" t="n"/>
      <c r="C298" s="246" t="str">
        <f>IF($B298="","",IF(SUMIFS('ИТОГО Торговля'!$C$5:$C$300,'ИТОГО Торговля'!$B$5:$B$300,$B298)+SUMIFS('ИТОГО Лэндинг'!$C$5:$C$300,'ИТОГО Лэндинг'!$B$5:$B$300,$B298)=0,"",SUMIFS('ИТОГО Торговля'!$C$5:$C$300,'ИТОГО Торговля'!$B$5:$B$300,$B298)+SUMIFS('ИТОГО Лэндинг'!$C$5:$C$300,'ИТОГО Лэндинг'!$B$5:$B$300,$B298)))</f>
        <v/>
      </c>
      <c r="D298" s="183" t="str">
        <f>IF(C298="","",E298/C298)</f>
        <v/>
      </c>
      <c r="E298" s="247" t="str">
        <f>IF(C298="","",SUMIFS('ИТОГО Торговля'!$E$5:$E$300,'ИТОГО Торговля'!$B$5:$B$300,$B298)+SUMIFS('ИТОГО Лэндинг'!$E$5:$E$300,'ИТОГО Лэндинг'!$B$5:$B$300,$B298))</f>
        <v/>
      </c>
      <c r="F298" s="246" t="str">
        <f>IF($B298="","",IF(SUMIFS('ИТОГО Торговля'!$F$5:$F$300,'ИТОГО Торговля'!$B$5:$B$300,$B298)+SUMIFS('ИТОГО Лэндинг'!$F$5:$F$300,'ИТОГО Лэндинг'!$B$5:$B$300,$B298)=0,"",SUMIFS('ИТОГО Торговля'!$F$5:$F$300,'ИТОГО Торговля'!$B$5:$B$300,$B298)+SUMIFS('ИТОГО Лэндинг'!$F$5:$F$300,'ИТОГО Лэндинг'!$B$5:$B$300,$B298)))</f>
        <v/>
      </c>
      <c r="G298" s="183" t="str">
        <f>IF(F298="","",H298/F298)</f>
        <v/>
      </c>
      <c r="H298" s="247" t="str">
        <f>IF(F298="","",SUMIFS('ИТОГО Торговля'!$H$5:$H$300,'ИТОГО Торговля'!$B$5:$B$300,$B298)+SUMIFS('ИТОГО Лэндинг'!$H$5:$H$300,'ИТОГО Лэндинг'!$B$5:$B$300,$B298))</f>
        <v/>
      </c>
      <c r="I298" s="246" t="str">
        <f>IF($B298="","",IF(AND(C298="",F298=""),"",ROUND(SUMIFS('ИТОГО Торговля'!$I$5:$I$300,'ИТОГО Торговля'!$B$5:$B$300,$B298)+SUMIFS('ИТОГО Лэндинг'!$I$5:$I$300,'ИТОГО Лэндинг'!$B$5:$B$300,$B298),8)))</f>
        <v/>
      </c>
      <c r="J298" s="247" t="str">
        <f>IF($B298="","",IF(AND(C298="",F298=""),"",ROUND(SUMIFS('ИТОГО Торговля'!$J$5:$J$300,'ИТОГО Торговля'!$B$5:$B$300,$B298)+SUMIFS('ИТОГО Лэндинг'!$J$5:$J$300,'ИТОГО Лэндинг'!$B$5:$B$300,$B298),8)))</f>
        <v/>
      </c>
      <c r="K298" s="246" t="str">
        <f>IF(MIN(N(C298),N(F298))&lt;=0,"",ROUND(MIN(N(C298),N(F298))*(N(G298)-N(D298)),8))</f>
        <v/>
      </c>
      <c r="L298" s="183" t="str">
        <f>IF(MIN(N(C298),N(F298))&lt;=0,"",IF(N(D298)=0,"",ROUND((N(G298)/N(D298)-1)*100,2)))</f>
        <v/>
      </c>
      <c r="M298" s="183" t="str">
        <f>IF(OR(ROUND(N(C298)-N(F298),8)=0,1-N(Ввод!$J$19)/100&lt;=0),"",IF(N(C298)&gt;N(F298),(N(E298)-N(H298))/((N(C298)-N(F298))*(1-N(Ввод!$J$19)/100)),(N(H298)-N(E298))/((N(F298)-N(C298))*(1+N(Ввод!$J$19)/100))))</f>
        <v/>
      </c>
    </row>
    <row r="299" ht="22" customHeight="1">
      <c r="B299" s="239" t="n"/>
      <c r="C299" s="240" t="str">
        <f>IF($B299="","",IF(SUMIFS('ИТОГО Торговля'!$C$5:$C$300,'ИТОГО Торговля'!$B$5:$B$300,$B299)+SUMIFS('ИТОГО Лэндинг'!$C$5:$C$300,'ИТОГО Лэндинг'!$B$5:$B$300,$B299)=0,"",SUMIFS('ИТОГО Торговля'!$C$5:$C$300,'ИТОГО Торговля'!$B$5:$B$300,$B299)+SUMIFS('ИТОГО Лэндинг'!$C$5:$C$300,'ИТОГО Лэндинг'!$B$5:$B$300,$B299)))</f>
        <v/>
      </c>
      <c r="D299" s="177" t="str">
        <f>IF(C299="","",E299/C299)</f>
        <v/>
      </c>
      <c r="E299" s="241" t="str">
        <f>IF(C299="","",SUMIFS('ИТОГО Торговля'!$E$5:$E$300,'ИТОГО Торговля'!$B$5:$B$300,$B299)+SUMIFS('ИТОГО Лэндинг'!$E$5:$E$300,'ИТОГО Лэндинг'!$B$5:$B$300,$B299))</f>
        <v/>
      </c>
      <c r="F299" s="240" t="str">
        <f>IF($B299="","",IF(SUMIFS('ИТОГО Торговля'!$F$5:$F$300,'ИТОГО Торговля'!$B$5:$B$300,$B299)+SUMIFS('ИТОГО Лэндинг'!$F$5:$F$300,'ИТОГО Лэндинг'!$B$5:$B$300,$B299)=0,"",SUMIFS('ИТОГО Торговля'!$F$5:$F$300,'ИТОГО Торговля'!$B$5:$B$300,$B299)+SUMIFS('ИТОГО Лэндинг'!$F$5:$F$300,'ИТОГО Лэндинг'!$B$5:$B$300,$B299)))</f>
        <v/>
      </c>
      <c r="G299" s="177" t="str">
        <f>IF(F299="","",H299/F299)</f>
        <v/>
      </c>
      <c r="H299" s="241" t="str">
        <f>IF(F299="","",SUMIFS('ИТОГО Торговля'!$H$5:$H$300,'ИТОГО Торговля'!$B$5:$B$300,$B299)+SUMIFS('ИТОГО Лэндинг'!$H$5:$H$300,'ИТОГО Лэндинг'!$B$5:$B$300,$B299))</f>
        <v/>
      </c>
      <c r="I299" s="240" t="str">
        <f>IF($B299="","",IF(AND(C299="",F299=""),"",ROUND(SUMIFS('ИТОГО Торговля'!$I$5:$I$300,'ИТОГО Торговля'!$B$5:$B$300,$B299)+SUMIFS('ИТОГО Лэндинг'!$I$5:$I$300,'ИТОГО Лэндинг'!$B$5:$B$300,$B299),8)))</f>
        <v/>
      </c>
      <c r="J299" s="241" t="str">
        <f>IF($B299="","",IF(AND(C299="",F299=""),"",ROUND(SUMIFS('ИТОГО Торговля'!$J$5:$J$300,'ИТОГО Торговля'!$B$5:$B$300,$B299)+SUMIFS('ИТОГО Лэндинг'!$J$5:$J$300,'ИТОГО Лэндинг'!$B$5:$B$300,$B299),8)))</f>
        <v/>
      </c>
      <c r="K299" s="240" t="str">
        <f>IF(MIN(N(C299),N(F299))&lt;=0,"",ROUND(MIN(N(C299),N(F299))*(N(G299)-N(D299)),8))</f>
        <v/>
      </c>
      <c r="L299" s="177" t="str">
        <f>IF(MIN(N(C299),N(F299))&lt;=0,"",IF(N(D299)=0,"",ROUND((N(G299)/N(D299)-1)*100,2)))</f>
        <v/>
      </c>
      <c r="M299" s="177" t="str">
        <f>IF(OR(ROUND(N(C299)-N(F299),8)=0,1-N(Ввод!$J$19)/100&lt;=0),"",IF(N(C299)&gt;N(F299),(N(E299)-N(H299))/((N(C299)-N(F299))*(1-N(Ввод!$J$19)/100)),(N(H299)-N(E299))/((N(F299)-N(C299))*(1+N(Ввод!$J$19)/100))))</f>
        <v/>
      </c>
    </row>
    <row r="300" ht="22" customHeight="1">
      <c r="B300" s="245" t="n"/>
      <c r="C300" s="246" t="str">
        <f>IF($B300="","",IF(SUMIFS('ИТОГО Торговля'!$C$5:$C$300,'ИТОГО Торговля'!$B$5:$B$300,$B300)+SUMIFS('ИТОГО Лэндинг'!$C$5:$C$300,'ИТОГО Лэндинг'!$B$5:$B$300,$B300)=0,"",SUMIFS('ИТОГО Торговля'!$C$5:$C$300,'ИТОГО Торговля'!$B$5:$B$300,$B300)+SUMIFS('ИТОГО Лэндинг'!$C$5:$C$300,'ИТОГО Лэндинг'!$B$5:$B$300,$B300)))</f>
        <v/>
      </c>
      <c r="D300" s="183" t="str">
        <f>IF(C300="","",E300/C300)</f>
        <v/>
      </c>
      <c r="E300" s="247" t="str">
        <f>IF(C300="","",SUMIFS('ИТОГО Торговля'!$E$5:$E$300,'ИТОГО Торговля'!$B$5:$B$300,$B300)+SUMIFS('ИТОГО Лэндинг'!$E$5:$E$300,'ИТОГО Лэндинг'!$B$5:$B$300,$B300))</f>
        <v/>
      </c>
      <c r="F300" s="246" t="str">
        <f>IF($B300="","",IF(SUMIFS('ИТОГО Торговля'!$F$5:$F$300,'ИТОГО Торговля'!$B$5:$B$300,$B300)+SUMIFS('ИТОГО Лэндинг'!$F$5:$F$300,'ИТОГО Лэндинг'!$B$5:$B$300,$B300)=0,"",SUMIFS('ИТОГО Торговля'!$F$5:$F$300,'ИТОГО Торговля'!$B$5:$B$300,$B300)+SUMIFS('ИТОГО Лэндинг'!$F$5:$F$300,'ИТОГО Лэндинг'!$B$5:$B$300,$B300)))</f>
        <v/>
      </c>
      <c r="G300" s="183" t="str">
        <f>IF(F300="","",H300/F300)</f>
        <v/>
      </c>
      <c r="H300" s="247" t="str">
        <f>IF(F300="","",SUMIFS('ИТОГО Торговля'!$H$5:$H$300,'ИТОГО Торговля'!$B$5:$B$300,$B300)+SUMIFS('ИТОГО Лэндинг'!$H$5:$H$300,'ИТОГО Лэндинг'!$B$5:$B$300,$B300))</f>
        <v/>
      </c>
      <c r="I300" s="246" t="str">
        <f>IF($B300="","",IF(AND(C300="",F300=""),"",ROUND(SUMIFS('ИТОГО Торговля'!$I$5:$I$300,'ИТОГО Торговля'!$B$5:$B$300,$B300)+SUMIFS('ИТОГО Лэндинг'!$I$5:$I$300,'ИТОГО Лэндинг'!$B$5:$B$300,$B300),8)))</f>
        <v/>
      </c>
      <c r="J300" s="247" t="str">
        <f>IF($B300="","",IF(AND(C300="",F300=""),"",ROUND(SUMIFS('ИТОГО Торговля'!$J$5:$J$300,'ИТОГО Торговля'!$B$5:$B$300,$B300)+SUMIFS('ИТОГО Лэндинг'!$J$5:$J$300,'ИТОГО Лэндинг'!$B$5:$B$300,$B300),8)))</f>
        <v/>
      </c>
      <c r="K300" s="246" t="str">
        <f>IF(MIN(N(C300),N(F300))&lt;=0,"",ROUND(MIN(N(C300),N(F300))*(N(G300)-N(D300)),8))</f>
        <v/>
      </c>
      <c r="L300" s="183" t="str">
        <f>IF(MIN(N(C300),N(F300))&lt;=0,"",IF(N(D300)=0,"",ROUND((N(G300)/N(D300)-1)*100,2)))</f>
        <v/>
      </c>
      <c r="M300" s="183" t="str">
        <f>IF(OR(ROUND(N(C300)-N(F300),8)=0,1-N(Ввод!$J$19)/100&lt;=0),"",IF(N(C300)&gt;N(F300),(N(E300)-N(H300))/((N(C300)-N(F300))*(1-N(Ввод!$J$19)/100)),(N(H300)-N(E300))/((N(F300)-N(C300))*(1+N(Ввод!$J$19)/100))))</f>
        <v/>
      </c>
    </row>
  </sheetData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H1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1" customHeight="1">
      <c r="B1" s="1" t="inlineStr">
        <is>
          <t>CRYPTO JOURNAL • СПРАВОЧНИКИ</t>
        </is>
      </c>
    </row>
    <row r="2" ht="21" customHeight="1"/>
    <row r="3" ht="22" customHeight="1">
      <c r="E3" s="205" t="inlineStr">
        <is>
          <t>Счётчики ID</t>
        </is>
      </c>
      <c r="F3" s="205"/>
      <c r="G3" s="205"/>
    </row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  <c r="E4" s="205" t="inlineStr">
        <is>
          <t>Раздел</t>
        </is>
      </c>
      <c r="F4" s="205" t="inlineStr">
        <is>
          <t>Буква</t>
        </is>
      </c>
      <c r="G4" s="205" t="inlineStr">
        <is>
          <t>Последний номер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  <c r="E5" s="206" t="inlineStr">
        <is>
          <t>Торговля</t>
        </is>
      </c>
      <c r="F5" s="206" t="inlineStr">
        <is>
          <t>T</t>
        </is>
      </c>
      <c r="G5" s="206">
        <v>12</v>
      </c>
    </row>
    <row r="6" ht="22" customHeight="1">
      <c r="B6" s="206" t="inlineStr">
        <is>
          <t>Bybit</t>
        </is>
      </c>
      <c r="C6" s="206" t="inlineStr">
        <is>
          <t>Sell</t>
        </is>
      </c>
      <c r="E6" s="206" t="inlineStr">
        <is>
          <t>Лэндинг</t>
        </is>
      </c>
      <c r="F6" s="206" t="inlineStr">
        <is>
          <t>L</t>
        </is>
      </c>
      <c r="G6" s="206">
        <v>15</v>
      </c>
    </row>
    <row r="7" ht="22" customHeight="1">
      <c r="B7" s="206" t="inlineStr">
        <is>
          <t>OKX</t>
        </is>
      </c>
      <c r="C7" s="207" t="n"/>
      <c r="E7" s="206" t="inlineStr">
        <is>
          <t>Пулы</t>
        </is>
      </c>
      <c r="F7" s="206" t="inlineStr">
        <is>
          <t>P</t>
        </is>
      </c>
      <c r="G7" s="206">
        <v>8</v>
      </c>
    </row>
    <row r="8" ht="22" customHeight="1">
      <c r="B8" s="206" t="inlineStr">
        <is>
          <t>Uniswap</t>
        </is>
      </c>
      <c r="C8" s="207" t="n"/>
    </row>
    <row r="9" ht="22" customHeight="1">
      <c r="B9" s="206" t="inlineStr">
        <is>
          <t>AAVE</t>
        </is>
      </c>
      <c r="C9" s="207" t="n"/>
    </row>
    <row r="10" ht="22" customHeight="1">
      <c r="B10" s="206" t="inlineStr">
        <is>
          <t>Raydium</t>
        </is>
      </c>
      <c r="C10" s="207" t="n"/>
    </row>
    <row r="11" ht="22" customHeight="1">
      <c r="B11" s="206" t="inlineStr">
        <is>
          <t>PancakeSwap</t>
        </is>
      </c>
      <c r="C11" s="207" t="n"/>
    </row>
    <row r="12" ht="22" customHeight="1">
      <c r="B12" s="206" t="inlineStr">
        <is>
          <t>Orca</t>
        </is>
      </c>
      <c r="C12" s="207" t="n"/>
    </row>
  </sheetData>
  <mergeCells count="2">
    <mergeCell ref="B1:H2"/>
    <mergeCell ref="E3:G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2026-10-07T08:56:46Z</dcterms:modified>
</cp:coreProperties>
</file>