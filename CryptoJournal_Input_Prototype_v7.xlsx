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вод" sheetId="1" state="visible" r:id="rId1"/>
    <sheet xmlns:r="http://schemas.openxmlformats.org/officeDocument/2006/relationships" name="Торговля" sheetId="2" state="visible" r:id="rId2"/>
    <sheet xmlns:r="http://schemas.openxmlformats.org/officeDocument/2006/relationships" name="ИТОГО Торговля" sheetId="3" state="visible" r:id="rId3"/>
    <sheet xmlns:r="http://schemas.openxmlformats.org/officeDocument/2006/relationships" name="Лэндинг" sheetId="4" state="visible" r:id="rId4"/>
    <sheet xmlns:r="http://schemas.openxmlformats.org/officeDocument/2006/relationships" name="ИТОГО Лэндинг" sheetId="5" state="visible" r:id="rId5"/>
    <sheet xmlns:r="http://schemas.openxmlformats.org/officeDocument/2006/relationships" name="Пул" sheetId="6" state="visible" r:id="rId6"/>
    <sheet xmlns:r="http://schemas.openxmlformats.org/officeDocument/2006/relationships" name="ИТОГО ПУЛ" sheetId="7" state="visible" r:id="rId7"/>
    <sheet xmlns:r="http://schemas.openxmlformats.org/officeDocument/2006/relationships" name="Закрытые" sheetId="8" state="visible" r:id="rId8"/>
    <sheet xmlns:r="http://schemas.openxmlformats.org/officeDocument/2006/relationships" name="ИТОГО" sheetId="9" state="visible" r:id="rId9"/>
    <sheet xmlns:r="http://schemas.openxmlformats.org/officeDocument/2006/relationships" name="Справочники" sheetId="10" state="visible" r:id="rId10"/>
  </sheets>
  <definedNames>
    <definedName name="Список_Протокол">OFFSET(Справочники!$B$5,0,0,MAX(1,COUNTA(Справочники!$B$5:$B$104)),1)</definedName>
    <definedName name="Список_Действие_Торговля">OFFSET(Справочники!$C$5,0,0,MAX(1,COUNTA(Справочники!$C$5:$C$104)),1)</definedName>
    <definedName name="_xlnm.Print_Area" localSheetId="0">'Ввод'!$A$1:$K$25</definedName>
    <definedName name="_xlnm._FilterDatabase" localSheetId="1" hidden="1">'Торговля'!$B$4:$N$300</definedName>
    <definedName name="_xlnm.Print_Area" localSheetId="1">'Торговля'!$A$1:$N$17</definedName>
    <definedName name="_xlnm._FilterDatabase" localSheetId="2" hidden="1">'ИТОГО Торговля'!$B$4:$M$12</definedName>
    <definedName name="_xlnm.Print_Area" localSheetId="2">'ИТОГО Торговля'!$A$1:$N$13</definedName>
    <definedName name="_xlnm._FilterDatabase" localSheetId="3" hidden="1">'Лэндинг'!$B$4:$N$300</definedName>
    <definedName name="_xlnm.Print_Area" localSheetId="3">'Лэндинг'!$A$1:$N$17</definedName>
    <definedName name="_xlnm._FilterDatabase" localSheetId="4" hidden="1">'ИТОГО Лэндинг'!$B$4:$M$12</definedName>
    <definedName name="_xlnm.Print_Area" localSheetId="4">'ИТОГО Лэндинг'!$A$1:$N$13</definedName>
    <definedName name="_xlnm._FilterDatabase" localSheetId="5" hidden="1">'Пул'!$B$4:$K$12</definedName>
    <definedName name="_xlnm.Print_Area" localSheetId="5">'Пул'!$A$1:$K$13</definedName>
    <definedName name="_xlnm._FilterDatabase" localSheetId="6" hidden="1">'ИТОГО ПУЛ'!$B$4:$L$12</definedName>
    <definedName name="_xlnm.Print_Area" localSheetId="6">'ИТОГО ПУЛ'!$A$1:$M$13</definedName>
    <definedName name="_xlnm._FilterDatabase" localSheetId="7" hidden="1">'Закрытые'!$B$4:$O$300</definedName>
    <definedName name="_xlnm.Print_Area" localSheetId="7">'Закрытые'!$A$1:$P$13</definedName>
    <definedName name="_xlnm._FilterDatabase" localSheetId="8" hidden="1">'ИТОГО'!$B$4:$M$12</definedName>
    <definedName name="_xlnm.Print_Area" localSheetId="8">'ИТОГО'!$A$1:$N$13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.MM.YYYY"/>
    <numFmt numFmtId="165" formatCode="#,##0.00######;[Red]-#,##0.00######"/>
    <numFmt numFmtId="166" formatCode="yyyy.mm.dd"/>
    <numFmt numFmtId="167" formatCode="#,##0.00######"/>
    <numFmt numFmtId="168" formatCode="0.0##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i val="1"/>
      <color rgb="00FFFFFF"/>
      <sz val="12"/>
    </font>
    <font>
      <name val="Calibri"/>
      <b val="1"/>
      <i val="1"/>
      <color rgb="00FFFFFF"/>
      <sz val="10"/>
    </font>
    <font>
      <name val="Calibri"/>
      <color rgb="00244E62"/>
      <sz val="11"/>
    </font>
    <font>
      <name val="Calibri"/>
      <b val="1"/>
      <color rgb="00244E62"/>
      <sz val="11"/>
    </font>
    <font>
      <name val="Calibri"/>
      <b val="1"/>
      <color rgb="00FFFFFF"/>
      <sz val="14"/>
    </font>
    <font>
      <name val="Calibri"/>
      <i val="1"/>
      <color rgb="006F9EB3"/>
      <sz val="9"/>
    </font>
    <font>
      <name val="Calibri"/>
      <b val="1"/>
      <i val="1"/>
      <color rgb="00FFFFFF"/>
      <sz val="11"/>
    </font>
    <font>
      <name val="Calibri"/>
      <sz val="11"/>
    </font>
  </fonts>
  <fills count="19">
    <fill>
      <patternFill/>
    </fill>
    <fill>
      <patternFill patternType="gray125"/>
    </fill>
    <fill>
      <patternFill patternType="solid">
        <fgColor rgb="00255B78"/>
        <bgColor rgb="00255B78"/>
      </patternFill>
    </fill>
    <fill>
      <patternFill patternType="solid">
        <fgColor rgb="002F6F93"/>
        <bgColor rgb="002F6F93"/>
      </patternFill>
    </fill>
    <fill>
      <patternFill patternType="solid">
        <fgColor rgb="00FFFDF3"/>
        <bgColor rgb="00FFFDF3"/>
      </patternFill>
    </fill>
    <fill>
      <patternFill patternType="solid">
        <fgColor rgb="005E9E72"/>
        <bgColor rgb="005E9E72"/>
      </patternFill>
    </fill>
    <fill>
      <patternFill patternType="solid">
        <fgColor rgb="008064A2"/>
        <bgColor rgb="008064A2"/>
      </patternFill>
    </fill>
    <fill>
      <patternFill patternType="solid">
        <fgColor rgb="00FFFFFF"/>
        <bgColor rgb="00FFFFFF"/>
      </patternFill>
    </fill>
    <fill>
      <patternFill patternType="solid">
        <fgColor rgb="00722F37"/>
        <bgColor rgb="00722F37"/>
      </patternFill>
    </fill>
    <fill>
      <patternFill patternType="solid">
        <fgColor rgb="006D568F"/>
        <bgColor rgb="006D568F"/>
      </patternFill>
    </fill>
    <fill>
      <patternFill patternType="solid">
        <fgColor rgb="002F6F93"/>
      </patternFill>
    </fill>
    <fill>
      <patternFill patternType="solid">
        <fgColor rgb="00FFFDF3"/>
      </patternFill>
    </fill>
    <fill>
      <patternFill patternType="solid">
        <fgColor rgb="00FFF2CC"/>
      </patternFill>
    </fill>
    <fill>
      <patternFill patternType="solid">
        <fgColor rgb="00255B78"/>
      </patternFill>
    </fill>
    <fill>
      <patternFill patternType="solid">
        <fgColor rgb="008064A2"/>
      </patternFill>
    </fill>
    <fill>
      <patternFill patternType="solid">
        <fgColor rgb="006D568F"/>
      </patternFill>
    </fill>
    <fill>
      <patternFill patternType="solid">
        <fgColor rgb="005E9E72"/>
      </patternFill>
    </fill>
    <fill>
      <patternFill patternType="solid">
        <fgColor rgb="00722F37"/>
      </patternFill>
    </fill>
    <fill>
      <patternFill patternType="solid">
        <fgColor rgb="FFFFF2CC"/>
        <bgColor rgb="FFFFF2CC"/>
      </patternFill>
    </fill>
  </fills>
  <borders count="51">
    <border>
      <left/>
      <right/>
      <top/>
      <bottom/>
      <diagonal/>
    </border>
    <border>
      <left style="thin">
        <color rgb="006F9EB3"/>
      </left>
      <right style="thin">
        <color rgb="006F9EB3"/>
      </right>
      <top style="thin">
        <color rgb="006F9EB3"/>
      </top>
      <bottom style="thin">
        <color rgb="006F9EB3"/>
      </bottom>
    </border>
    <border>
      <left style="thin">
        <color rgb="006F9EB3"/>
      </left>
      <top style="thin">
        <color rgb="006F9EB3"/>
      </top>
      <bottom style="thin">
        <color rgb="006F9EB3"/>
      </bottom>
    </border>
    <border>
      <top style="thin">
        <color rgb="006F9EB3"/>
      </top>
      <bottom style="thin">
        <color rgb="006F9EB3"/>
      </bottom>
    </border>
    <border>
      <right style="thin">
        <color rgb="006F9EB3"/>
      </right>
      <top style="thin">
        <color rgb="006F9EB3"/>
      </top>
      <bottom style="thin">
        <color rgb="006F9EB3"/>
      </bottom>
    </border>
    <border>
      <left style="medium">
        <color rgb="00FFFFFF"/>
      </left>
    </border>
    <border>
      <left style="thin">
        <color rgb="006F9EB3"/>
      </left>
      <top style="thin">
        <color rgb="006F9EB3"/>
      </top>
    </border>
    <border>
      <top style="thin">
        <color rgb="006F9EB3"/>
      </top>
    </border>
    <border>
      <right style="thin">
        <color rgb="006F9EB3"/>
      </right>
      <top style="thin">
        <color rgb="006F9EB3"/>
      </top>
    </border>
    <border>
      <left style="thin">
        <color rgb="006F9EB3"/>
      </left>
      <bottom style="thin">
        <color rgb="006F9EB3"/>
      </bottom>
    </border>
    <border>
      <bottom style="thin">
        <color rgb="006F9EB3"/>
      </bottom>
    </border>
    <border>
      <right style="thin">
        <color rgb="006F9EB3"/>
      </right>
      <bottom style="thin">
        <color rgb="006F9EB3"/>
      </bottom>
    </border>
    <border>
      <bottom style="medium">
        <color rgb="005E9E72"/>
      </bottom>
    </border>
    <border>
      <left style="medium">
        <color rgb="00FFFFFF"/>
      </left>
      <bottom style="medium">
        <color rgb="005E9E72"/>
      </bottom>
    </border>
    <border>
      <left style="medium">
        <color rgb="00FFFFFF"/>
      </left>
      <bottom/>
    </border>
    <border>
      <bottom style="medium">
        <color rgb="008064A2"/>
      </bottom>
    </border>
    <border>
      <bottom style="medium">
        <color rgb="00255B78"/>
      </bottom>
    </border>
    <border>
      <left style="medium">
        <color rgb="00FFFFFF"/>
      </left>
      <right style="medium">
        <color rgb="00FFFFFF"/>
      </right>
    </border>
    <border>
      <left style="medium">
        <color rgb="00FFFFFF"/>
      </left>
      <right style="thick">
        <color rgb="00FFFFFF"/>
      </right>
    </border>
    <border>
      <left style="thick">
        <color rgb="00FFFFFF"/>
      </left>
      <right style="medium">
        <color rgb="00FFFFFF"/>
      </right>
    </border>
    <border>
      <left style="thin">
        <color rgb="006F9EB3"/>
      </left>
      <right style="medium">
        <color rgb="00255B78"/>
      </right>
      <top style="thin">
        <color rgb="006F9EB3"/>
      </top>
      <bottom style="thin">
        <color rgb="006F9EB3"/>
      </bottom>
    </border>
    <border>
      <left style="medium">
        <color rgb="00255B78"/>
      </left>
      <right style="thin">
        <color rgb="006F9EB3"/>
      </right>
      <top style="thin">
        <color rgb="006F9EB3"/>
      </top>
      <bottom style="thin">
        <color rgb="006F9EB3"/>
      </bottom>
    </border>
    <border>
      <left/>
      <right/>
      <top style="thin">
        <color rgb="006F9EB3"/>
      </top>
      <bottom/>
      <diagonal/>
    </border>
    <border>
      <left/>
      <right style="thin">
        <color rgb="006F9EB3"/>
      </right>
      <top style="thin">
        <color rgb="006F9EB3"/>
      </top>
      <bottom/>
      <diagonal/>
    </border>
    <border>
      <left/>
      <right/>
      <top style="thin">
        <color rgb="006F9EB3"/>
      </top>
      <bottom style="thin">
        <color rgb="006F9EB3"/>
      </bottom>
      <diagonal/>
    </border>
    <border>
      <left/>
      <right style="thin">
        <color rgb="006F9EB3"/>
      </right>
      <top style="thin">
        <color rgb="006F9EB3"/>
      </top>
      <bottom style="thin">
        <color rgb="006F9EB3"/>
      </bottom>
      <diagonal/>
    </border>
    <border>
      <left style="thin">
        <color rgb="006F9EB3"/>
      </left>
      <right/>
      <top/>
      <bottom/>
      <diagonal/>
    </border>
    <border>
      <left/>
      <right style="thin">
        <color rgb="006F9EB3"/>
      </right>
      <top/>
      <bottom/>
      <diagonal/>
    </border>
    <border>
      <left style="thin">
        <color rgb="006F9EB3"/>
      </left>
      <right/>
      <top/>
      <bottom style="thin">
        <color rgb="006F9EB3"/>
      </bottom>
      <diagonal/>
    </border>
    <border>
      <left/>
      <right/>
      <top/>
      <bottom style="thin">
        <color rgb="006F9EB3"/>
      </bottom>
      <diagonal/>
    </border>
    <border>
      <left/>
      <right style="thin">
        <color rgb="006F9EB3"/>
      </right>
      <top/>
      <bottom style="thin">
        <color rgb="006F9EB3"/>
      </bottom>
      <diagonal/>
    </border>
    <border>
      <left/>
      <right/>
      <top/>
      <bottom style="medium">
        <color rgb="008064A2"/>
      </bottom>
      <diagonal/>
    </border>
    <border>
      <left/>
      <right/>
      <top/>
      <bottom style="medium">
        <color rgb="005E9E72"/>
      </bottom>
      <diagonal/>
    </border>
    <border>
      <left style="medium">
        <color rgb="00FFFFFF"/>
      </left>
      <right/>
      <bottom/>
    </border>
    <border>
      <left/>
      <right/>
      <top/>
      <bottom style="medium">
        <color rgb="00255B78"/>
      </bottom>
      <diagonal/>
    </border>
    <border>
      <left style="medium">
        <color rgb="00FFFFFF"/>
      </left>
      <right/>
      <top/>
      <bottom/>
      <diagonal/>
    </border>
    <border>
      <right/>
      <bottom style="medium">
        <color rgb="008064A2"/>
      </bottom>
    </border>
    <border>
      <right/>
      <bottom style="medium">
        <color rgb="005E9E72"/>
      </bottom>
    </border>
    <border>
      <left style="medium">
        <color rgb="00FFFFFF"/>
      </left>
      <right/>
      <bottom style="medium">
        <color rgb="005E9E72"/>
      </bottom>
    </border>
    <border>
      <right/>
      <bottom style="medium">
        <color rgb="00255B78"/>
      </bottom>
    </border>
    <border/>
    <border>
      <left style="thin">
        <color rgb="006F9EB3"/>
      </left>
    </border>
    <border>
      <right style="thin">
        <color rgb="006F9EB3"/>
      </right>
    </border>
    <border>
      <left style="thick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medium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medium">
        <color rgb="00FFFFFF"/>
      </left>
      <right style="thick">
        <color rgb="00FFFFFF"/>
      </right>
      <top style="medium">
        <color rgb="00FFFFFF"/>
      </top>
      <bottom style="medium">
        <color rgb="00FFFFFF"/>
      </bottom>
    </border>
    <border>
      <left/>
      <right/>
      <top style="medium">
        <color rgb="00FFFFFF"/>
      </top>
      <bottom/>
      <diagonal/>
    </border>
    <border>
      <left/>
      <right style="medium">
        <color rgb="00FFFFFF"/>
      </right>
      <top style="medium">
        <color rgb="00FFFFFF"/>
      </top>
      <bottom/>
      <diagonal/>
    </border>
    <border>
      <left/>
      <right style="medium">
        <color rgb="00FFFFFF"/>
      </right>
      <top style="medium">
        <color rgb="00FFFFFF"/>
      </top>
      <bottom style="medium">
        <color rgb="00FFFFFF"/>
      </bottom>
      <diagonal/>
    </border>
    <border>
      <left style="thick">
        <color rgb="FFFFFFFF"/>
      </left>
      <right style="medium">
        <color rgb="FFFFFFFF"/>
      </right>
    </border>
    <border>
      <left style="medium">
        <color rgb="00FFFFFF"/>
      </left>
      <right style="thick">
        <color rgb="FFFFFFFF"/>
      </right>
    </border>
  </borders>
  <cellStyleXfs count="1">
    <xf numFmtId="0" fontId="0" fillId="0" borderId="0"/>
  </cellStyleXfs>
  <cellXfs count="27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3" borderId="0" applyAlignment="1" pivotButton="0" quotePrefix="0" xfId="0">
      <alignment horizontal="left" vertical="center" indent="1"/>
    </xf>
    <xf numFmtId="0" fontId="2" fillId="5" borderId="12" applyAlignment="1" pivotButton="0" quotePrefix="0" xfId="0">
      <alignment horizontal="left" vertical="center" indent="1"/>
    </xf>
    <xf numFmtId="0" fontId="2" fillId="5" borderId="13" applyAlignment="1" pivotButton="0" quotePrefix="0" xfId="0">
      <alignment horizontal="left" vertical="center" indent="1"/>
    </xf>
    <xf numFmtId="0" fontId="4" fillId="4" borderId="2" applyAlignment="1" pivotButton="0" quotePrefix="0" xfId="0">
      <alignment horizontal="left" vertical="center" indent="1"/>
    </xf>
    <xf numFmtId="0" fontId="4" fillId="4" borderId="3" applyAlignment="1" pivotButton="0" quotePrefix="0" xfId="0">
      <alignment horizontal="left" vertical="center" indent="1"/>
    </xf>
    <xf numFmtId="0" fontId="4" fillId="4" borderId="4" applyAlignment="1" pivotButton="0" quotePrefix="0" xfId="0">
      <alignment horizontal="left" vertical="center" indent="1"/>
    </xf>
    <xf numFmtId="0" fontId="3" fillId="3" borderId="14" applyAlignment="1" pivotButton="0" quotePrefix="0" xfId="0">
      <alignment horizontal="left" vertical="center" indent="1"/>
    </xf>
    <xf numFmtId="2" fontId="4" fillId="4" borderId="2" applyAlignment="1" pivotButton="0" quotePrefix="0" xfId="0">
      <alignment horizontal="right" vertical="center" indent="1"/>
    </xf>
    <xf numFmtId="0" fontId="4" fillId="4" borderId="4" applyAlignment="1" pivotButton="0" quotePrefix="0" xfId="0">
      <alignment horizontal="right" vertical="center" indent="1"/>
    </xf>
    <xf numFmtId="3" fontId="4" fillId="4" borderId="2" applyAlignment="1" pivotButton="0" quotePrefix="0" xfId="0">
      <alignment horizontal="right" vertical="center" indent="1"/>
    </xf>
    <xf numFmtId="1" fontId="4" fillId="4" borderId="2" applyAlignment="1" pivotButton="0" quotePrefix="0" xfId="0">
      <alignment horizontal="right" vertical="center" indent="1"/>
    </xf>
    <xf numFmtId="0" fontId="3" fillId="3" borderId="5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left" vertical="center" indent="1"/>
    </xf>
    <xf numFmtId="0" fontId="5" fillId="4" borderId="2" applyAlignment="1" pivotButton="0" quotePrefix="0" xfId="0">
      <alignment horizontal="left" vertical="center" indent="1"/>
    </xf>
    <xf numFmtId="0" fontId="5" fillId="4" borderId="4" applyAlignment="1" pivotButton="0" quotePrefix="0" xfId="0">
      <alignment horizontal="left" vertical="center" indent="1"/>
    </xf>
    <xf numFmtId="0" fontId="2" fillId="6" borderId="15" applyAlignment="1" pivotButton="0" quotePrefix="0" xfId="0">
      <alignment horizontal="left" vertical="center" indent="1"/>
    </xf>
    <xf numFmtId="0" fontId="2" fillId="3" borderId="16" applyAlignment="1" pivotButton="0" quotePrefix="0" xfId="0">
      <alignment horizontal="left" vertical="center" indent="1"/>
    </xf>
    <xf numFmtId="0" fontId="4" fillId="4" borderId="6" applyAlignment="1" pivotButton="0" quotePrefix="0" xfId="0">
      <alignment horizontal="left" vertical="top" wrapText="1" indent="1"/>
    </xf>
    <xf numFmtId="0" fontId="4" fillId="4" borderId="7" applyAlignment="1" pivotButton="0" quotePrefix="0" xfId="0">
      <alignment horizontal="left" vertical="top" wrapText="1" indent="1"/>
    </xf>
    <xf numFmtId="0" fontId="4" fillId="4" borderId="8" applyAlignment="1" pivotButton="0" quotePrefix="0" xfId="0">
      <alignment horizontal="left" vertical="top" wrapText="1" indent="1"/>
    </xf>
    <xf numFmtId="0" fontId="4" fillId="4" borderId="9" applyAlignment="1" pivotButton="0" quotePrefix="0" xfId="0">
      <alignment horizontal="left" vertical="top" wrapText="1" indent="1"/>
    </xf>
    <xf numFmtId="0" fontId="4" fillId="4" borderId="10" applyAlignment="1" pivotButton="0" quotePrefix="0" xfId="0">
      <alignment horizontal="left" vertical="top" wrapText="1" indent="1"/>
    </xf>
    <xf numFmtId="0" fontId="4" fillId="4" borderId="11" applyAlignment="1" pivotButton="0" quotePrefix="0" xfId="0">
      <alignment horizontal="left" vertical="top" wrapText="1" indent="1"/>
    </xf>
    <xf numFmtId="0" fontId="6" fillId="5" borderId="0" applyAlignment="1" pivotButton="0" quotePrefix="0" xfId="0">
      <alignment horizontal="center" vertical="center"/>
    </xf>
    <xf numFmtId="0" fontId="6" fillId="3" borderId="5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7" fillId="0" borderId="0" pivotButton="0" quotePrefix="0" xfId="0"/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24" pivotButton="0" quotePrefix="0" xfId="0"/>
    <xf numFmtId="0" fontId="0" fillId="0" borderId="25" pivotButton="0" quotePrefix="0" xfId="0"/>
    <xf numFmtId="2" fontId="4" fillId="4" borderId="1" applyAlignment="1" pivotButton="0" quotePrefix="0" xfId="0">
      <alignment horizontal="right" vertical="center" indent="1"/>
    </xf>
    <xf numFmtId="3" fontId="4" fillId="4" borderId="1" applyAlignment="1" pivotButton="0" quotePrefix="0" xfId="0">
      <alignment horizontal="right" vertical="center" indent="1"/>
    </xf>
    <xf numFmtId="1" fontId="4" fillId="4" borderId="1" applyAlignment="1" pivotButton="0" quotePrefix="0" xfId="0">
      <alignment horizontal="right" vertical="center" indent="1"/>
    </xf>
    <xf numFmtId="0" fontId="3" fillId="3" borderId="33" applyAlignment="1" pivotButton="0" quotePrefix="0" xfId="0">
      <alignment horizontal="left" vertical="center" indent="1"/>
    </xf>
    <xf numFmtId="0" fontId="5" fillId="4" borderId="1" applyAlignment="1" pivotButton="0" quotePrefix="0" xfId="0">
      <alignment horizontal="left" vertical="center" indent="1"/>
    </xf>
    <xf numFmtId="0" fontId="0" fillId="0" borderId="31" pivotButton="0" quotePrefix="0" xfId="0"/>
    <xf numFmtId="0" fontId="0" fillId="0" borderId="34" pivotButton="0" quotePrefix="0" xfId="0"/>
    <xf numFmtId="0" fontId="4" fillId="4" borderId="1" applyAlignment="1" pivotButton="0" quotePrefix="0" xfId="0">
      <alignment horizontal="left" vertical="top" wrapText="1" indent="1"/>
    </xf>
    <xf numFmtId="0" fontId="0" fillId="0" borderId="22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6" fillId="3" borderId="33" applyAlignment="1" pivotButton="0" quotePrefix="0" xfId="0">
      <alignment horizontal="center" vertical="center"/>
    </xf>
    <xf numFmtId="0" fontId="0" fillId="0" borderId="35" pivotButton="0" quotePrefix="0" xfId="0"/>
    <xf numFmtId="164" fontId="4" fillId="4" borderId="1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2" fillId="5" borderId="37" applyAlignment="1" pivotButton="0" quotePrefix="0" xfId="0">
      <alignment horizontal="left" vertical="center" indent="1"/>
    </xf>
    <xf numFmtId="0" fontId="2" fillId="5" borderId="38" applyAlignment="1" pivotButton="0" quotePrefix="0" xfId="0">
      <alignment horizontal="left" vertical="center" indent="1"/>
    </xf>
    <xf numFmtId="0" fontId="2" fillId="6" borderId="36" applyAlignment="1" pivotButton="0" quotePrefix="0" xfId="0">
      <alignment horizontal="left" vertical="center" indent="1"/>
    </xf>
    <xf numFmtId="0" fontId="2" fillId="3" borderId="39" applyAlignment="1" pivotButton="0" quotePrefix="0" xfId="0">
      <alignment horizontal="left" vertical="center" indent="1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9" borderId="19" applyAlignment="1" pivotButton="0" quotePrefix="0" xfId="0">
      <alignment horizontal="center" vertical="center"/>
    </xf>
    <xf numFmtId="0" fontId="8" fillId="9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6" fontId="4" fillId="4" borderId="1" applyAlignment="1" applyProtection="1" pivotButton="0" quotePrefix="0" xfId="0">
      <alignment horizontal="left" vertical="center" indent="1"/>
      <protection locked="0" hidden="0"/>
    </xf>
    <xf numFmtId="0" fontId="0" fillId="0" borderId="24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4" fillId="4" borderId="1" applyAlignment="1" applyProtection="1" pivotButton="0" quotePrefix="0" xfId="0">
      <alignment horizontal="left" vertical="center" indent="1"/>
      <protection locked="0" hidden="0"/>
    </xf>
    <xf numFmtId="2" fontId="4" fillId="4" borderId="1" applyAlignment="1" applyProtection="1" pivotButton="0" quotePrefix="0" xfId="0">
      <alignment horizontal="right" vertical="center" indent="1"/>
      <protection locked="0" hidden="0"/>
    </xf>
    <xf numFmtId="3" fontId="4" fillId="4" borderId="1" applyAlignment="1" applyProtection="1" pivotButton="0" quotePrefix="0" xfId="0">
      <alignment horizontal="right" vertical="center" indent="1"/>
      <protection locked="0" hidden="0"/>
    </xf>
    <xf numFmtId="1" fontId="4" fillId="4" borderId="1" applyAlignment="1" applyProtection="1" pivotButton="0" quotePrefix="0" xfId="0">
      <alignment horizontal="right" vertical="center" indent="1"/>
      <protection locked="0" hidden="0"/>
    </xf>
    <xf numFmtId="0" fontId="5" fillId="12" borderId="1" applyAlignment="1" pivotButton="0" quotePrefix="0" xfId="0">
      <alignment horizontal="left" vertical="center" indent="1"/>
    </xf>
    <xf numFmtId="0" fontId="0" fillId="12" borderId="25" pivotButton="0" quotePrefix="0" xfId="0"/>
    <xf numFmtId="0" fontId="4" fillId="4" borderId="1" applyAlignment="1" applyProtection="1" pivotButton="0" quotePrefix="0" xfId="0">
      <alignment horizontal="left" vertical="top" wrapText="1" indent="1"/>
      <protection locked="0" hidden="0"/>
    </xf>
    <xf numFmtId="0" fontId="0" fillId="0" borderId="22" applyProtection="1" pivotButton="0" quotePrefix="0" xfId="0">
      <protection locked="0" hidden="0"/>
    </xf>
    <xf numFmtId="0" fontId="0" fillId="0" borderId="23" applyProtection="1" pivotButton="0" quotePrefix="0" xfId="0">
      <protection locked="0" hidden="0"/>
    </xf>
    <xf numFmtId="0" fontId="0" fillId="0" borderId="28" applyProtection="1" pivotButton="0" quotePrefix="0" xfId="0">
      <protection locked="0" hidden="0"/>
    </xf>
    <xf numFmtId="0" fontId="0" fillId="0" borderId="29" applyProtection="1" pivotButton="0" quotePrefix="0" xfId="0">
      <protection locked="0" hidden="0"/>
    </xf>
    <xf numFmtId="0" fontId="0" fillId="0" borderId="30" applyProtection="1" pivotButton="0" quotePrefix="0" xfId="0">
      <protection locked="0" hidden="0"/>
    </xf>
    <xf numFmtId="166" fontId="4" fillId="4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9" fillId="0" borderId="40" pivotButton="0" quotePrefix="0" xfId="0"/>
    <xf numFmtId="166" fontId="4" fillId="4" borderId="1" applyAlignment="1" applyProtection="1" pivotButton="0" quotePrefix="0" xfId="0">
      <alignment horizontal="left" vertical="center" indent="1"/>
      <protection locked="0" hidden="0"/>
    </xf>
    <xf numFmtId="166" fontId="4" fillId="4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167" fontId="4" fillId="12" borderId="1" applyAlignment="1" pivotButton="0" quotePrefix="0" xfId="0">
      <alignment horizontal="right" vertical="center" indent="1"/>
    </xf>
    <xf numFmtId="0" fontId="4" fillId="4" borderId="6" applyAlignment="1" applyProtection="1" pivotButton="0" quotePrefix="0" xfId="0">
      <alignment horizontal="left" vertical="top" wrapText="1" indent="1"/>
      <protection locked="0" hidden="0"/>
    </xf>
    <xf numFmtId="0" fontId="4" fillId="4" borderId="7" applyAlignment="1" applyProtection="1" pivotButton="0" quotePrefix="0" xfId="0">
      <alignment horizontal="left" vertical="top" wrapText="1" indent="1"/>
      <protection locked="0" hidden="0"/>
    </xf>
    <xf numFmtId="0" fontId="4" fillId="4" borderId="8" applyAlignment="1" applyProtection="1" pivotButton="0" quotePrefix="0" xfId="0">
      <alignment horizontal="left" vertical="top" wrapText="1" indent="1"/>
      <protection locked="0" hidden="0"/>
    </xf>
    <xf numFmtId="0" fontId="4" fillId="4" borderId="41" applyAlignment="1" applyProtection="1" pivotButton="0" quotePrefix="0" xfId="0">
      <alignment horizontal="left" vertical="top" wrapText="1" indent="1"/>
      <protection locked="0" hidden="0"/>
    </xf>
    <xf numFmtId="0" fontId="4" fillId="4" borderId="40" applyAlignment="1" applyProtection="1" pivotButton="0" quotePrefix="0" xfId="0">
      <alignment horizontal="left" vertical="top" wrapText="1" indent="1"/>
      <protection locked="0" hidden="0"/>
    </xf>
    <xf numFmtId="0" fontId="4" fillId="4" borderId="42" applyAlignment="1" applyProtection="1" pivotButton="0" quotePrefix="0" xfId="0">
      <alignment horizontal="left" vertical="top" wrapText="1" indent="1"/>
      <protection locked="0" hidden="0"/>
    </xf>
    <xf numFmtId="0" fontId="4" fillId="4" borderId="9" applyAlignment="1" applyProtection="1" pivotButton="0" quotePrefix="0" xfId="0">
      <alignment horizontal="left" vertical="top" wrapText="1" indent="1"/>
      <protection locked="0" hidden="0"/>
    </xf>
    <xf numFmtId="0" fontId="4" fillId="4" borderId="10" applyAlignment="1" applyProtection="1" pivotButton="0" quotePrefix="0" xfId="0">
      <alignment horizontal="left" vertical="top" wrapText="1" indent="1"/>
      <protection locked="0" hidden="0"/>
    </xf>
    <xf numFmtId="0" fontId="4" fillId="4" borderId="11" applyAlignment="1" applyProtection="1" pivotButton="0" quotePrefix="0" xfId="0">
      <alignment horizontal="left" vertical="top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27" applyProtection="1" pivotButton="0" quotePrefix="0" xfId="0">
      <protection locked="0" hidden="0"/>
    </xf>
    <xf numFmtId="168" fontId="4" fillId="4" borderId="1" applyAlignment="1" applyProtection="1" pivotButton="0" quotePrefix="0" xfId="0">
      <alignment horizontal="right" vertical="center" indent="1"/>
      <protection locked="0" hidden="0"/>
    </xf>
    <xf numFmtId="167" fontId="4" fillId="4" borderId="1" applyAlignment="1" applyProtection="1" pivotButton="0" quotePrefix="0" xfId="0">
      <alignment horizontal="right" vertical="center" indent="1"/>
      <protection locked="0" hidden="0"/>
    </xf>
    <xf numFmtId="0" fontId="1" fillId="2" borderId="0" applyAlignment="1" pivotButton="0" quotePrefix="0" xfId="0">
      <alignment horizontal="left" vertical="center"/>
    </xf>
    <xf numFmtId="0" fontId="8" fillId="13" borderId="43" applyAlignment="1" pivotButton="0" quotePrefix="0" xfId="0">
      <alignment horizontal="center" vertical="center"/>
    </xf>
    <xf numFmtId="0" fontId="8" fillId="13" borderId="44" applyAlignment="1" pivotButton="0" quotePrefix="0" xfId="0">
      <alignment horizontal="center" vertical="center"/>
    </xf>
    <xf numFmtId="0" fontId="8" fillId="13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5" borderId="43" applyAlignment="1" pivotButton="0" quotePrefix="0" xfId="0">
      <alignment horizontal="center" vertical="center"/>
    </xf>
    <xf numFmtId="0" fontId="8" fillId="15" borderId="45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4" fillId="4" borderId="2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2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8" fillId="16" borderId="43" applyAlignment="1" pivotButton="0" quotePrefix="0" xfId="0">
      <alignment horizontal="center" vertical="center"/>
    </xf>
    <xf numFmtId="0" fontId="8" fillId="16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8" fillId="16" borderId="43" applyAlignment="1" pivotButton="0" quotePrefix="0" xfId="0">
      <alignment horizontal="center" vertical="center"/>
    </xf>
    <xf numFmtId="0" fontId="8" fillId="16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7" borderId="43" applyAlignment="1" pivotButton="0" quotePrefix="0" xfId="0">
      <alignment horizontal="center" vertical="center"/>
    </xf>
    <xf numFmtId="0" fontId="8" fillId="17" borderId="44" applyAlignment="1" pivotButton="0" quotePrefix="0" xfId="0">
      <alignment horizontal="center" vertical="center"/>
    </xf>
    <xf numFmtId="0" fontId="8" fillId="17" borderId="45" applyAlignment="1" pivotButton="0" quotePrefix="0" xfId="0">
      <alignment horizontal="center" vertical="center"/>
    </xf>
    <xf numFmtId="167" fontId="4" fillId="12" borderId="1" applyAlignment="1" applyProtection="1" pivotButton="0" quotePrefix="0" xfId="0">
      <alignment horizontal="right" vertical="center" indent="1"/>
      <protection locked="0" hidden="0"/>
    </xf>
    <xf numFmtId="0" fontId="8" fillId="10" borderId="0" applyAlignment="1" pivotButton="0" quotePrefix="0" xfId="0">
      <alignment horizontal="center" vertical="center"/>
    </xf>
    <xf numFmtId="0" fontId="8" fillId="10" borderId="33" applyAlignment="1" pivotButton="0" quotePrefix="0" xfId="0">
      <alignment horizontal="center" vertical="center"/>
    </xf>
    <xf numFmtId="0" fontId="4" fillId="11" borderId="1" applyAlignment="1" applyProtection="1" pivotButton="0" quotePrefix="0" xfId="0">
      <alignment horizontal="center" vertical="center"/>
      <protection locked="0" hidden="0"/>
    </xf>
    <xf numFmtId="0" fontId="4" fillId="12" borderId="1" applyAlignment="1" pivotButton="0" quotePrefix="0" xfId="0">
      <alignment horizontal="center" vertical="center"/>
    </xf>
    <xf numFmtId="168" fontId="4" fillId="11" borderId="1" applyAlignment="1" applyProtection="1" pivotButton="0" quotePrefix="0" xfId="0">
      <alignment horizontal="center" vertical="center"/>
      <protection locked="0" hidden="0"/>
    </xf>
    <xf numFmtId="167" fontId="4" fillId="12" borderId="1" applyAlignment="1" pivotButton="0" quotePrefix="0" xfId="0">
      <alignment horizontal="center" vertical="center"/>
    </xf>
    <xf numFmtId="0" fontId="0" fillId="0" borderId="48" pivotButton="0" quotePrefix="0" xfId="0"/>
    <xf numFmtId="165" fontId="4" fillId="18" borderId="20" applyAlignment="1" pivotButton="0" quotePrefix="0" xfId="0">
      <alignment horizontal="center" vertical="center"/>
    </xf>
    <xf numFmtId="0" fontId="8" fillId="6" borderId="50" applyAlignment="1" pivotButton="0" quotePrefix="0" xfId="0">
      <alignment horizontal="center" vertical="center"/>
    </xf>
    <xf numFmtId="0" fontId="8" fillId="17" borderId="49" applyAlignment="1" pivotButton="0" quotePrefix="0" xfId="0">
      <alignment horizontal="center" vertical="center"/>
    </xf>
  </cellXfs>
  <cellStyles count="1">
    <cellStyle name="Normal" xfId="0" builtinId="0" hidden="0"/>
  </cellStyles>
  <dxfs count="4">
    <dxf>
      <fill>
        <patternFill patternType="solid">
          <fgColor rgb="00FDE9D9"/>
          <bgColor rgb="00FDE9D9"/>
        </patternFill>
      </fill>
    </dxf>
    <dxf>
      <fill>
        <patternFill patternType="solid">
          <fgColor rgb="FFFDE9D9"/>
          <bgColor rgb="FFFDE9D9"/>
        </patternFill>
      </fill>
    </dxf>
    <dxf>
      <fill>
        <patternFill patternType="solid">
          <fgColor rgb="FFFFFDF3"/>
          <bgColor rgb="FFFFFDF3"/>
        </patternFill>
      </fill>
    </dxf>
    <dxf>
      <fill>
        <patternFill patternType="solid">
          <fgColor rgb="FFFFFFFF"/>
          <bgColor rgb="FFFFFF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55B78"/>
    <outlinePr summaryBelow="1" summaryRight="1"/>
    <pageSetUpPr fitToPage="1"/>
  </sheetPr>
  <dimension ref="B1:L24"/>
  <sheetViews>
    <sheetView showGridLines="0" zoomScale="100" zoomScaleNormal="100" workbookViewId="0">
      <selection activeCell="A1" sqref="A1"/>
    </sheetView>
  </sheetViews>
  <sheetFormatPr baseColWidth="8" defaultRowHeight="15"/>
  <cols>
    <col width="2.5" customWidth="1" min="1" max="1"/>
    <col width="11" customWidth="1" min="2" max="2"/>
    <col width="11" customWidth="1" min="3" max="3"/>
    <col width="11" customWidth="1" min="4" max="4"/>
    <col width="11" customWidth="1" min="5" max="5"/>
    <col width="3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 ht="21" customHeight="1">
      <c r="B1" s="1" t="inlineStr">
        <is>
          <t>CRYPTO JOURNAL • ВВОД</t>
        </is>
      </c>
      <c r="K1" s="207" t="n"/>
      <c r="L1" s="207" t="n"/>
    </row>
    <row r="2" ht="21" customHeight="1">
      <c r="K2" s="207" t="n"/>
      <c r="L2" s="207" t="n"/>
    </row>
    <row r="3" ht="22" customHeight="1">
      <c r="B3" s="2" t="inlineStr">
        <is>
          <t>ОСНОВНЫЕ ДАННЫЕ</t>
        </is>
      </c>
      <c r="G3" s="2" t="inlineStr">
        <is>
          <t>РАЗДЕЛЫ</t>
        </is>
      </c>
      <c r="K3" s="207" t="n"/>
      <c r="L3" s="207" t="n"/>
    </row>
    <row r="4" ht="22" customHeight="1">
      <c r="G4" s="207" t="n"/>
      <c r="H4" s="207" t="n"/>
      <c r="I4" s="207" t="n"/>
      <c r="J4" s="207" t="n"/>
      <c r="K4" s="207" t="n"/>
      <c r="L4" s="207" t="n"/>
    </row>
    <row r="5" ht="22" customHeight="1">
      <c r="B5" s="3" t="inlineStr">
        <is>
          <t>Дата</t>
        </is>
      </c>
      <c r="G5" s="100" t="inlineStr">
        <is>
          <t>ТОРГОВЛЯ</t>
        </is>
      </c>
      <c r="H5" s="55" t="n"/>
      <c r="I5" s="101" t="inlineStr">
        <is>
          <t>ЛЭНДИНГ</t>
        </is>
      </c>
      <c r="J5" s="55" t="n"/>
      <c r="K5" s="207" t="n"/>
      <c r="L5" s="207" t="n"/>
    </row>
    <row r="6" ht="22" customHeight="1">
      <c r="B6" s="208" t="n">
        <v>46299</v>
      </c>
      <c r="C6" s="189" t="n"/>
      <c r="D6" s="189" t="n"/>
      <c r="E6" s="190" t="n"/>
      <c r="G6" s="3" t="inlineStr">
        <is>
          <t>Действие</t>
        </is>
      </c>
      <c r="H6" s="191" t="inlineStr">
        <is>
          <t>Buy</t>
        </is>
      </c>
      <c r="I6" s="9" t="inlineStr">
        <is>
          <t>Действие</t>
        </is>
      </c>
      <c r="J6" s="191" t="inlineStr">
        <is>
          <t>Операция</t>
        </is>
      </c>
      <c r="K6" s="207" t="n"/>
      <c r="L6" s="207" t="n"/>
    </row>
    <row r="7" ht="22" customHeight="1">
      <c r="G7" s="3" t="inlineStr">
        <is>
          <t>Кол-во</t>
        </is>
      </c>
      <c r="H7" s="225" t="n">
        <v>0.5</v>
      </c>
      <c r="I7" s="9" t="inlineStr">
        <is>
          <t>Кол-во</t>
        </is>
      </c>
      <c r="J7" s="193" t="n">
        <v>1000</v>
      </c>
      <c r="K7" s="207" t="n"/>
      <c r="L7" s="207" t="n"/>
    </row>
    <row r="8" ht="22" customHeight="1">
      <c r="B8" s="3" t="inlineStr">
        <is>
          <t>Актив 1</t>
        </is>
      </c>
      <c r="C8" s="14" t="inlineStr">
        <is>
          <t>Актив 2</t>
        </is>
      </c>
      <c r="D8" s="61" t="inlineStr">
        <is>
          <t>Пара (авто)</t>
        </is>
      </c>
      <c r="G8" s="3" t="inlineStr">
        <is>
          <t>Курс</t>
        </is>
      </c>
      <c r="H8" s="225" t="n">
        <v>62000</v>
      </c>
      <c r="I8" s="9" t="inlineStr">
        <is>
          <t>Курс (авто)</t>
        </is>
      </c>
      <c r="J8" s="211">
        <f>IF(AND(ISNUMBER(J7),ISNUMBER(J9),J7&lt;&gt;0,1-N(J19)/100&lt;&gt;0),J9/(J7*(1-N(J19)/100)),"")</f>
        <v>1.00200400801603</v>
      </c>
      <c r="K8" s="207" t="n"/>
      <c r="L8" s="207" t="n"/>
    </row>
    <row r="9" ht="22" customHeight="1">
      <c r="B9" s="191" t="inlineStr">
        <is>
          <t>ETH</t>
        </is>
      </c>
      <c r="C9" s="191" t="inlineStr">
        <is>
          <t>BTC</t>
        </is>
      </c>
      <c r="D9" s="195" t="str">
        <f>IF(AND(TRIM(B9)&lt;&gt;"",TRIM(C9)&lt;&gt;""),UPPER(TRIM(B9))&amp;"/"&amp;UPPER(TRIM(C9)),"")</f>
        <v>ETH/BTC</v>
      </c>
      <c r="E9" s="57" t="n"/>
      <c r="G9" s="3" t="inlineStr">
        <is>
          <t>Сумма (авто)</t>
        </is>
      </c>
      <c r="H9" s="211">
        <f>IF(AND(ISNUMBER(H7),ISNUMBER(H8),OR(H6="Buy",H6="Sell")),H7*H8*(1+IF(H6="Buy",1,-1)*N(J19)/100),"")</f>
        <v>31062</v>
      </c>
      <c r="I9" s="9" t="inlineStr">
        <is>
          <t>Сумма</t>
        </is>
      </c>
      <c r="J9" s="193" t="n">
        <v>1000</v>
      </c>
      <c r="K9" s="207" t="n"/>
      <c r="L9" s="207" t="n"/>
    </row>
    <row r="10" ht="22" customHeight="1">
      <c r="B10" s="207" t="n"/>
      <c r="C10" s="207" t="n"/>
      <c r="D10" s="207" t="n"/>
      <c r="E10" s="207" t="n"/>
      <c r="G10" s="3" t="inlineStr">
        <is>
          <t>ID закрыть</t>
        </is>
      </c>
      <c r="H10" s="194" t="inlineStr">
        <is>
          <t>T-0001</t>
        </is>
      </c>
      <c r="I10" s="9" t="inlineStr">
        <is>
          <t>ID закрыть</t>
        </is>
      </c>
      <c r="J10" s="194" t="inlineStr">
        <is>
          <t>L-0001</t>
        </is>
      </c>
      <c r="K10" s="207" t="n"/>
      <c r="L10" s="207" t="n"/>
    </row>
    <row r="11" ht="22" customHeight="1">
      <c r="B11" s="3" t="inlineStr">
        <is>
          <t>Протокол</t>
        </is>
      </c>
      <c r="G11" s="3" t="inlineStr">
        <is>
          <t>Сумма закрыть</t>
        </is>
      </c>
      <c r="H11" s="193" t="n">
        <v>15500</v>
      </c>
      <c r="I11" s="9" t="inlineStr">
        <is>
          <t>Сумма закрыть</t>
        </is>
      </c>
      <c r="J11" s="193" t="n">
        <v>500</v>
      </c>
      <c r="K11" s="207" t="n"/>
      <c r="L11" s="207" t="n"/>
    </row>
    <row r="12" ht="22" customHeight="1">
      <c r="B12" s="191" t="inlineStr">
        <is>
          <t>Binance</t>
        </is>
      </c>
      <c r="C12" s="189" t="n"/>
      <c r="D12" s="189" t="n"/>
      <c r="E12" s="190" t="n"/>
      <c r="G12" s="207" t="n"/>
      <c r="H12" s="207" t="n"/>
      <c r="I12" s="207" t="n"/>
      <c r="J12" s="207" t="n"/>
      <c r="K12" s="207" t="n"/>
      <c r="L12" s="207" t="n"/>
    </row>
    <row r="13" ht="22" customHeight="1">
      <c r="B13" s="207" t="n"/>
      <c r="C13" s="207" t="n"/>
      <c r="D13" s="207" t="n"/>
      <c r="E13" s="207" t="n"/>
      <c r="G13" s="102" t="inlineStr">
        <is>
          <t>ПУЛЫ</t>
        </is>
      </c>
      <c r="H13" s="63" t="n"/>
      <c r="I13" s="63" t="n"/>
      <c r="J13" s="63" t="n"/>
      <c r="K13" s="207" t="n"/>
      <c r="L13" s="207" t="n"/>
    </row>
    <row r="14" ht="22" customHeight="1">
      <c r="B14" s="3" t="inlineStr">
        <is>
          <t>Комментарий</t>
        </is>
      </c>
      <c r="G14" s="3" t="inlineStr">
        <is>
          <t>Действие</t>
        </is>
      </c>
      <c r="H14" s="191" t="inlineStr">
        <is>
          <t>Добавить</t>
        </is>
      </c>
      <c r="I14" s="14" t="inlineStr">
        <is>
          <t>Кол-во 1</t>
        </is>
      </c>
      <c r="J14" s="192" t="n">
        <v>0.1</v>
      </c>
      <c r="K14" s="207" t="n"/>
      <c r="L14" s="207" t="n"/>
    </row>
    <row r="15" ht="22" customHeight="1">
      <c r="B15" s="197" t="inlineStr">
        <is>
          <t>Пробная операция</t>
        </is>
      </c>
      <c r="C15" s="198" t="n"/>
      <c r="D15" s="198" t="n"/>
      <c r="E15" s="199" t="n"/>
      <c r="G15" s="3" t="inlineStr">
        <is>
          <t>ID позиции</t>
        </is>
      </c>
      <c r="H15" s="194" t="inlineStr">
        <is>
          <t>P-0001</t>
        </is>
      </c>
      <c r="I15" s="14" t="inlineStr">
        <is>
          <t>Кол-во 2</t>
        </is>
      </c>
      <c r="J15" s="193" t="n">
        <v>6200</v>
      </c>
      <c r="K15" s="207" t="n"/>
      <c r="L15" s="207" t="n"/>
    </row>
    <row r="16" ht="22" customHeight="1">
      <c r="B16" s="221" t="n"/>
      <c r="C16" s="222" t="n"/>
      <c r="D16" s="222" t="n"/>
      <c r="E16" s="223" t="n"/>
      <c r="G16" s="207" t="n"/>
      <c r="H16" s="207" t="n"/>
      <c r="I16" s="207" t="n"/>
      <c r="J16" s="207" t="n"/>
      <c r="K16" s="207" t="n"/>
      <c r="L16" s="207" t="n"/>
    </row>
    <row r="17" ht="22" customHeight="1">
      <c r="B17" s="221" t="n"/>
      <c r="C17" s="222" t="n"/>
      <c r="D17" s="222" t="n"/>
      <c r="E17" s="223" t="n"/>
      <c r="G17" s="103" t="inlineStr">
        <is>
          <t>Обратный расчёт</t>
        </is>
      </c>
      <c r="H17" s="64" t="n"/>
      <c r="I17" s="64" t="n"/>
      <c r="J17" s="64" t="n"/>
      <c r="K17" s="207" t="n"/>
      <c r="L17" s="207" t="n"/>
    </row>
    <row r="18" ht="22" customHeight="1">
      <c r="B18" s="221" t="n"/>
      <c r="C18" s="222" t="n"/>
      <c r="D18" s="222" t="n"/>
      <c r="E18" s="223" t="n"/>
      <c r="G18" s="264" t="inlineStr">
        <is>
          <t>Сумма</t>
        </is>
      </c>
      <c r="H18" s="265" t="inlineStr">
        <is>
          <t>Курс</t>
        </is>
      </c>
      <c r="I18" s="265" t="inlineStr">
        <is>
          <t>Кол-во (авто)</t>
        </is>
      </c>
      <c r="J18" s="265" t="inlineStr">
        <is>
          <t>Комиссия</t>
        </is>
      </c>
      <c r="K18" s="207" t="n"/>
      <c r="L18" s="207" t="n"/>
    </row>
    <row r="19" ht="22" customHeight="1">
      <c r="B19" s="200" t="n"/>
      <c r="C19" s="201" t="n"/>
      <c r="D19" s="201" t="n"/>
      <c r="E19" s="202" t="n"/>
      <c r="G19" s="266" t="n">
        <v>31000</v>
      </c>
      <c r="H19" s="266" t="n">
        <v>62000</v>
      </c>
      <c r="I19" s="269">
        <f>IF(AND(ISNUMBER(G19),ISNUMBER(H19),H19&lt;&gt;0,1-N(J19)/100&lt;&gt;0),G19/(H19*(1-N(J19)/100)),"")</f>
        <v>0.501002004008016</v>
      </c>
      <c r="J19" s="266" t="n">
        <v>0.2</v>
      </c>
      <c r="K19" s="207" t="n"/>
      <c r="L19" s="207" t="n"/>
    </row>
    <row r="20" ht="22" customHeight="1">
      <c r="G20" s="207" t="n"/>
      <c r="H20" s="207" t="n"/>
      <c r="I20" s="207" t="n"/>
      <c r="J20" s="207" t="n"/>
      <c r="K20" s="207" t="n"/>
      <c r="L20" s="207" t="n"/>
    </row>
    <row r="21" ht="26" customHeight="1">
      <c r="B21" s="3" t="inlineStr">
        <is>
          <t>СТАТУС</t>
        </is>
      </c>
      <c r="G21" s="26" t="inlineStr">
        <is>
          <t>ЗАПИСАТЬ</t>
        </is>
      </c>
      <c r="I21" s="71" t="inlineStr">
        <is>
          <t>ОЧИСТИТЬ</t>
        </is>
      </c>
      <c r="K21" s="207" t="n"/>
      <c r="L21" s="207" t="n"/>
    </row>
    <row r="22" ht="26" customHeight="1">
      <c r="B22" s="15" t="inlineStr">
        <is>
          <t>Готово к вводу</t>
        </is>
      </c>
      <c r="C22" s="56" t="n"/>
      <c r="D22" s="56" t="n"/>
      <c r="E22" s="57" t="n"/>
      <c r="I22" s="72" t="n"/>
      <c r="K22" s="207" t="n"/>
      <c r="L22" s="207" t="n"/>
    </row>
    <row r="23" ht="22" customHeight="1"/>
    <row r="24" ht="22" customHeight="1">
      <c r="B24" s="29" t="inlineStr">
        <is>
          <t>Прототип v7: Обратный расчёт — Сумма и Курс вручную, Кол-во (авто) с учётом комиссии. Макросов и рабочих кнопок нет.</t>
        </is>
      </c>
    </row>
    <row r="25" ht="22" customHeight="1"/>
    <row r="26" ht="22" customHeight="1"/>
    <row r="27" ht="22" customHeight="1"/>
    <row r="28" ht="22" customHeight="1"/>
    <row r="29" ht="22" customHeight="1"/>
    <row r="30" ht="22" customHeight="1"/>
    <row r="31" ht="22" customHeight="1"/>
    <row r="32" ht="22" customHeight="1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9">
    <mergeCell ref="I21:J22"/>
    <mergeCell ref="B6:E6"/>
    <mergeCell ref="B5:E5"/>
    <mergeCell ref="B15:E19"/>
    <mergeCell ref="B3:E3"/>
    <mergeCell ref="B22:E22"/>
    <mergeCell ref="G21:H22"/>
    <mergeCell ref="G17:J17"/>
    <mergeCell ref="B12:E12"/>
    <mergeCell ref="B21:E21"/>
    <mergeCell ref="G5:H5"/>
    <mergeCell ref="I5:J5"/>
    <mergeCell ref="B11:E11"/>
    <mergeCell ref="D9:E9"/>
    <mergeCell ref="B14:E14"/>
    <mergeCell ref="D8:E8"/>
    <mergeCell ref="G13:J13"/>
    <mergeCell ref="B1:J2"/>
    <mergeCell ref="G3:J3"/>
  </mergeCells>
  <dataValidations count="11">
    <dataValidation sqref="H14" showDropDown="0" showInputMessage="0" showErrorMessage="0" allowBlank="1" type="list">
      <formula1>"Добавить,Закрыть"</formula1>
    </dataValidation>
    <dataValidation sqref="B6" showDropDown="0" showInputMessage="0" showErrorMessage="1" allowBlank="1" errorTitle="Дата" error="Введите корректную дату (ГГГГ.ММ.ДД)." type="date" operator="greaterThan">
      <formula1>36526</formula1>
    </dataValidation>
    <dataValidation sqref="B12" showDropDown="0" showInputMessage="0" showErrorMessage="1" allowBlank="1" errorTitle="Протокол" error="Выберите значение из списка." type="list">
      <formula1>=Список_Протокол</formula1>
    </dataValidation>
    <dataValidation sqref="H6" showDropDown="0" showInputMessage="0" showErrorMessage="1" allowBlank="1" errorTitle="Действие" error="Выберите значение из списка." type="list">
      <formula1>=Список_Действие_Торговля</formula1>
    </dataValidation>
    <dataValidation sqref="B9" showDropDown="0" showInputMessage="0" showErrorMessage="1" allowBlank="1" errorTitle="Актив" error="Актив 1 и Актив 2 не могут совпадать, символ «/» в тикере не допускается." type="custom">
      <formula1>=AND(ISERROR(FIND("/",B9)),UPPER(TRIM(B9))&lt;&gt;UPPER(TRIM(C9)))</formula1>
    </dataValidation>
    <dataValidation sqref="C9" showDropDown="0" showInputMessage="0" showErrorMessage="1" allowBlank="1" errorTitle="Актив" error="Актив 1 и Актив 2 не могут совпадать, символ «/» в тикере не допускается." type="custom">
      <formula1>=AND(ISERROR(FIND("/",C9)),UPPER(TRIM(C9))&lt;&gt;UPPER(TRIM(B9)))</formula1>
    </dataValidation>
    <dataValidation sqref="J19" showDropDown="0" showInputMessage="0" showErrorMessage="1" allowBlank="1" errorTitle="Комиссия" error="Введите число от 0 до 100 (например, 0.2 — это 0,2%)." type="decimal" operator="between">
      <formula1>0</formula1>
      <formula2>100</formula2>
    </dataValidation>
    <dataValidation sqref="H7 H8" showDropDown="0" showInputMessage="0" showErrorMessage="1" allowBlank="1" errorTitle="Число" error="Введите число больше нуля." type="decimal" operator="greaterThan">
      <formula1>0</formula1>
    </dataValidation>
    <dataValidation sqref="H10" showDropDown="0" showInputMessage="0" showErrorMessage="1" allowBlank="1" errorTitle="ID закрыть" error="Формат ID: T-0001 (буква T, дефис и номер минимум из четырёх цифр)." type="custom">
      <formula1>=IFERROR(AND(EXACT(LEFT(H10,2),"T-"),ISNUMBER(--MID(H10,3,20)),MID(H10,3,20)=TEXT(--MID(H10,3,20),"0000")),FALSE)</formula1>
    </dataValidation>
    <dataValidation sqref="J10" showDropDown="0" showInputMessage="0" showErrorMessage="1" allowBlank="1" errorTitle="ID закрыть" error="Формат ID: L-0001 (буква L, дефис и номер минимум из четырёх цифр)." type="custom">
      <formula1>=IFERROR(AND(EXACT(LEFT(J10,2),"L-"),ISNUMBER(--MID(J10,3,20)),MID(J10,3,20)=TEXT(--MID(J10,3,20),"0000")),FALSE)</formula1>
    </dataValidation>
    <dataValidation sqref="H15" showDropDown="0" showInputMessage="0" showErrorMessage="1" allowBlank="1" errorTitle="ID позиции" error="Формат ID: P-0001 (буква P, дефис и номер минимум из четырёх цифр)." type="custom">
      <formula1>=IFERROR(AND(EXACT(LEFT(H15,2),"P-"),ISNUMBER(--MID(H15,3,20)),MID(H15,3,20)=TEXT(--MID(H15,3,20),"0000")),FALSE)</formula1>
    </dataValidation>
  </dataValidation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5E9E72"/>
    <outlinePr summaryBelow="1" summaryRight="1"/>
    <pageSetUpPr fitToPage="1"/>
  </sheetPr>
  <dimension ref="B1:N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  <col width="17" customWidth="1" min="14" max="14"/>
  </cols>
  <sheetData>
    <row r="1" ht="21" customHeight="1">
      <c r="B1" s="1" t="inlineStr">
        <is>
          <t>CRYPTO JOURNAL • ТОРГОВЛЯ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Покупка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Продажа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272" t="inlineStr">
        <is>
          <t>Дельта 2</t>
        </is>
      </c>
      <c r="N4" s="273" t="inlineStr">
        <is>
          <t>Break even</t>
        </is>
      </c>
    </row>
    <row r="5" ht="22" customHeight="1">
      <c r="B5" s="238" t="inlineStr">
        <is>
          <t>T-0005</t>
        </is>
      </c>
      <c r="C5" s="237" t="n">
        <v>46299</v>
      </c>
      <c r="D5" s="238" t="inlineStr">
        <is>
          <t>Bybit</t>
        </is>
      </c>
      <c r="E5" s="239" t="inlineStr">
        <is>
          <t>BNB/USDT</t>
        </is>
      </c>
      <c r="F5" s="240" t="n"/>
      <c r="G5" s="177" t="n"/>
      <c r="H5" s="271" t="str">
        <f>IF(AND(ISNUMBER(F5),ISNUMBER(G5)),F5*G5,"")</f>
        <v/>
      </c>
      <c r="I5" s="240" t="n">
        <v>3</v>
      </c>
      <c r="J5" s="177" t="n">
        <v>598.8</v>
      </c>
      <c r="K5" s="271">
        <f>IF(AND(ISNUMBER(I5),ISNUMBER(J5)),I5*J5,"")</f>
        <v>1796.4</v>
      </c>
      <c r="L5" s="240">
        <f>IF(COUNT(F5,I5)=0,"",N(F5)-N(I5))</f>
        <v>-3</v>
      </c>
      <c r="M5" s="241">
        <f>IF(COUNT(H5,K5)=0,"",N(K5)-N(H5))</f>
        <v>1796.4</v>
      </c>
      <c r="N5" s="240">
        <f>IF(AND(ISNUMBER(F5),ISNUMBER(G5),F5&gt;0,1-N(Ввод!$J$19)/100&gt;0),G5/(1-N(Ввод!$J$19)/100),IF(AND(ISNUMBER(I5),ISNUMBER(J5),I5&gt;0),J5/(1+N(Ввод!$J$19)/100),""))</f>
        <v>597.604790419162</v>
      </c>
    </row>
    <row r="6" ht="22" customHeight="1">
      <c r="B6" s="244" t="inlineStr">
        <is>
          <t>T-0001</t>
        </is>
      </c>
      <c r="C6" s="243" t="n">
        <v>46296</v>
      </c>
      <c r="D6" s="244" t="inlineStr">
        <is>
          <t>Binance</t>
        </is>
      </c>
      <c r="E6" s="245" t="inlineStr">
        <is>
          <t>BTC/USDT</t>
        </is>
      </c>
      <c r="F6" s="246" t="n">
        <v>0.1</v>
      </c>
      <c r="G6" s="183" t="n">
        <v>62124</v>
      </c>
      <c r="H6" s="271">
        <f>IF(AND(ISNUMBER(F6),ISNUMBER(G6)),F6*G6,"")</f>
        <v>6212.4</v>
      </c>
      <c r="I6" s="246" t="n"/>
      <c r="J6" s="183" t="n"/>
      <c r="K6" s="271" t="str">
        <f>IF(AND(ISNUMBER(I6),ISNUMBER(J6)),I6*J6,"")</f>
        <v/>
      </c>
      <c r="L6" s="246">
        <f>IF(COUNT(F6,I6)=0,"",N(F6)-N(I6))</f>
        <v>0.1</v>
      </c>
      <c r="M6" s="247">
        <f>IF(COUNT(H6,K6)=0,"",N(K6)-N(H6))</f>
        <v>-6212.4</v>
      </c>
      <c r="N6" s="246">
        <f>IF(AND(ISNUMBER(F6),ISNUMBER(G6),F6&gt;0,1-N(Ввод!$J$19)/100&gt;0),G6/(1-N(Ввод!$J$19)/100),IF(AND(ISNUMBER(I6),ISNUMBER(J6),I6&gt;0),J6/(1+N(Ввод!$J$19)/100),""))</f>
        <v>62248.496993988</v>
      </c>
    </row>
    <row r="7" ht="22" customHeight="1">
      <c r="B7" s="238" t="inlineStr">
        <is>
          <t>T-0004</t>
        </is>
      </c>
      <c r="C7" s="237" t="n">
        <v>46298</v>
      </c>
      <c r="D7" s="238" t="inlineStr">
        <is>
          <t>Binance</t>
        </is>
      </c>
      <c r="E7" s="239" t="inlineStr">
        <is>
          <t>ETH/BTC</t>
        </is>
      </c>
      <c r="F7" s="240" t="n"/>
      <c r="G7" s="177" t="n"/>
      <c r="H7" s="271" t="str">
        <f>IF(AND(ISNUMBER(F7),ISNUMBER(G7)),F7*G7,"")</f>
        <v/>
      </c>
      <c r="I7" s="240" t="n">
        <v>1.5</v>
      </c>
      <c r="J7" s="177" t="n">
        <v>0.052395</v>
      </c>
      <c r="K7" s="271">
        <f>IF(AND(ISNUMBER(I7),ISNUMBER(J7)),I7*J7,"")</f>
        <v>0.0785925</v>
      </c>
      <c r="L7" s="240">
        <f>IF(COUNT(F7,I7)=0,"",N(F7)-N(I7))</f>
        <v>-1.5</v>
      </c>
      <c r="M7" s="241">
        <f>IF(COUNT(H7,K7)=0,"",N(K7)-N(H7))</f>
        <v>0.0785925</v>
      </c>
      <c r="N7" s="240">
        <f>IF(AND(ISNUMBER(F7),ISNUMBER(G7),F7&gt;0,1-N(Ввод!$J$19)/100&gt;0),G7/(1-N(Ввод!$J$19)/100),IF(AND(ISNUMBER(I7),ISNUMBER(J7),I7&gt;0),J7/(1+N(Ввод!$J$19)/100),""))</f>
        <v>0.0522904191616766</v>
      </c>
    </row>
    <row r="8" ht="22" customHeight="1">
      <c r="B8" s="244" t="inlineStr">
        <is>
          <t>T-0002</t>
        </is>
      </c>
      <c r="C8" s="243" t="n">
        <v>46297</v>
      </c>
      <c r="D8" s="244" t="inlineStr">
        <is>
          <t>Bybit</t>
        </is>
      </c>
      <c r="E8" s="245" t="inlineStr">
        <is>
          <t>ETH/USDT</t>
        </is>
      </c>
      <c r="F8" s="246" t="n">
        <v>1</v>
      </c>
      <c r="G8" s="183" t="n">
        <v>3206.4</v>
      </c>
      <c r="H8" s="271">
        <f>IF(AND(ISNUMBER(F8),ISNUMBER(G8)),F8*G8,"")</f>
        <v>3206.4</v>
      </c>
      <c r="I8" s="246" t="n"/>
      <c r="J8" s="183" t="n"/>
      <c r="K8" s="271" t="str">
        <f>IF(AND(ISNUMBER(I8),ISNUMBER(J8)),I8*J8,"")</f>
        <v/>
      </c>
      <c r="L8" s="246">
        <f>IF(COUNT(F8,I8)=0,"",N(F8)-N(I8))</f>
        <v>1</v>
      </c>
      <c r="M8" s="247">
        <f>IF(COUNT(H8,K8)=0,"",N(K8)-N(H8))</f>
        <v>-3206.4</v>
      </c>
      <c r="N8" s="246">
        <f>IF(AND(ISNUMBER(F8),ISNUMBER(G8),F8&gt;0,1-N(Ввод!$J$19)/100&gt;0),G8/(1-N(Ввод!$J$19)/100),IF(AND(ISNUMBER(I8),ISNUMBER(J8),I8&gt;0),J8/(1+N(Ввод!$J$19)/100),""))</f>
        <v>3212.82565130261</v>
      </c>
    </row>
    <row r="9" ht="22" customHeight="1">
      <c r="B9" s="238" t="inlineStr">
        <is>
          <t>T-0007</t>
        </is>
      </c>
      <c r="C9" s="237" t="n">
        <v>46300</v>
      </c>
      <c r="D9" s="238" t="inlineStr">
        <is>
          <t>Binance</t>
        </is>
      </c>
      <c r="E9" s="239" t="inlineStr">
        <is>
          <t>ETH/USDT</t>
        </is>
      </c>
      <c r="F9" s="240" t="n">
        <v>1.2</v>
      </c>
      <c r="G9" s="177" t="n">
        <v>3186.36</v>
      </c>
      <c r="H9" s="271">
        <f>IF(AND(ISNUMBER(F9),ISNUMBER(G9)),F9*G9,"")</f>
        <v>3823.632</v>
      </c>
      <c r="I9" s="240" t="n"/>
      <c r="J9" s="177" t="n"/>
      <c r="K9" s="271" t="str">
        <f>IF(AND(ISNUMBER(I9),ISNUMBER(J9)),I9*J9,"")</f>
        <v/>
      </c>
      <c r="L9" s="240">
        <f>IF(COUNT(F9,I9)=0,"",N(F9)-N(I9))</f>
        <v>1.2</v>
      </c>
      <c r="M9" s="241">
        <f>IF(COUNT(H9,K9)=0,"",N(K9)-N(H9))</f>
        <v>-3823.632</v>
      </c>
      <c r="N9" s="240">
        <f>IF(AND(ISNUMBER(F9),ISNUMBER(G9),F9&gt;0,1-N(Ввод!$J$19)/100&gt;0),G9/(1-N(Ввод!$J$19)/100),IF(AND(ISNUMBER(I9),ISNUMBER(J9),I9&gt;0),J9/(1+N(Ввод!$J$19)/100),""))</f>
        <v>3192.74549098196</v>
      </c>
    </row>
    <row r="10" ht="22" customHeight="1">
      <c r="B10" s="244" t="inlineStr">
        <is>
          <t>T-0008</t>
        </is>
      </c>
      <c r="C10" s="243" t="n">
        <v>46300</v>
      </c>
      <c r="D10" s="244" t="inlineStr">
        <is>
          <t>Bybit</t>
        </is>
      </c>
      <c r="E10" s="245" t="inlineStr">
        <is>
          <t>ETH/USDT</t>
        </is>
      </c>
      <c r="F10" s="246" t="n">
        <v>0.8</v>
      </c>
      <c r="G10" s="183" t="n">
        <v>3256.5</v>
      </c>
      <c r="H10" s="271">
        <f>IF(AND(ISNUMBER(F10),ISNUMBER(G10)),F10*G10,"")</f>
        <v>2605.2</v>
      </c>
      <c r="I10" s="246" t="n"/>
      <c r="J10" s="183" t="n"/>
      <c r="K10" s="271" t="str">
        <f>IF(AND(ISNUMBER(I10),ISNUMBER(J10)),I10*J10,"")</f>
        <v/>
      </c>
      <c r="L10" s="246">
        <f>IF(COUNT(F10,I10)=0,"",N(F10)-N(I10))</f>
        <v>0.8</v>
      </c>
      <c r="M10" s="247">
        <f>IF(COUNT(H10,K10)=0,"",N(K10)-N(H10))</f>
        <v>-2605.2</v>
      </c>
      <c r="N10" s="246">
        <f>IF(AND(ISNUMBER(F10),ISNUMBER(G10),F10&gt;0,1-N(Ввод!$J$19)/100&gt;0),G10/(1-N(Ввод!$J$19)/100),IF(AND(ISNUMBER(I10),ISNUMBER(J10),I10&gt;0),J10/(1+N(Ввод!$J$19)/100),""))</f>
        <v>3263.02605210421</v>
      </c>
    </row>
    <row r="11" ht="22" customHeight="1">
      <c r="B11" s="238" t="inlineStr">
        <is>
          <t>T-0009</t>
        </is>
      </c>
      <c r="C11" s="237" t="n">
        <v>46301</v>
      </c>
      <c r="D11" s="238" t="inlineStr">
        <is>
          <t>OKX</t>
        </is>
      </c>
      <c r="E11" s="239" t="inlineStr">
        <is>
          <t>ETH/USDT</t>
        </is>
      </c>
      <c r="F11" s="240" t="n"/>
      <c r="G11" s="177" t="n"/>
      <c r="H11" s="271" t="str">
        <f>IF(AND(ISNUMBER(F11),ISNUMBER(G11)),F11*G11,"")</f>
        <v/>
      </c>
      <c r="I11" s="240" t="n">
        <v>1.5</v>
      </c>
      <c r="J11" s="177" t="n">
        <v>3393.2</v>
      </c>
      <c r="K11" s="271">
        <f>IF(AND(ISNUMBER(I11),ISNUMBER(J11)),I11*J11,"")</f>
        <v>5089.8</v>
      </c>
      <c r="L11" s="240">
        <f>IF(COUNT(F11,I11)=0,"",N(F11)-N(I11))</f>
        <v>-1.5</v>
      </c>
      <c r="M11" s="241">
        <f>IF(COUNT(H11,K11)=0,"",N(K11)-N(H11))</f>
        <v>5089.8</v>
      </c>
      <c r="N11" s="240">
        <f>IF(AND(ISNUMBER(F11),ISNUMBER(G11),F11&gt;0,1-N(Ввод!$J$19)/100&gt;0),G11/(1-N(Ввод!$J$19)/100),IF(AND(ISNUMBER(I11),ISNUMBER(J11),I11&gt;0),J11/(1+N(Ввод!$J$19)/100),""))</f>
        <v>3386.42714570858</v>
      </c>
    </row>
    <row r="12" ht="22" customHeight="1">
      <c r="B12" s="244" t="inlineStr">
        <is>
          <t>T-0010</t>
        </is>
      </c>
      <c r="C12" s="243" t="n">
        <v>46300</v>
      </c>
      <c r="D12" s="244" t="inlineStr">
        <is>
          <t>Binance</t>
        </is>
      </c>
      <c r="E12" s="245" t="inlineStr">
        <is>
          <t>SOL/USDT</t>
        </is>
      </c>
      <c r="F12" s="246" t="n"/>
      <c r="G12" s="183" t="n"/>
      <c r="H12" s="271" t="str">
        <f>IF(AND(ISNUMBER(F12),ISNUMBER(G12)),F12*G12,"")</f>
        <v/>
      </c>
      <c r="I12" s="246" t="n">
        <v>30</v>
      </c>
      <c r="J12" s="183" t="n">
        <v>149.7</v>
      </c>
      <c r="K12" s="271">
        <f>IF(AND(ISNUMBER(I12),ISNUMBER(J12)),I12*J12,"")</f>
        <v>4491</v>
      </c>
      <c r="L12" s="246">
        <f>IF(COUNT(F12,I12)=0,"",N(F12)-N(I12))</f>
        <v>-30</v>
      </c>
      <c r="M12" s="247">
        <f>IF(COUNT(H12,K12)=0,"",N(K12)-N(H12))</f>
        <v>4491</v>
      </c>
      <c r="N12" s="246">
        <f>IF(AND(ISNUMBER(F12),ISNUMBER(G12),F12&gt;0,1-N(Ввод!$J$19)/100&gt;0),G12/(1-N(Ввод!$J$19)/100),IF(AND(ISNUMBER(I12),ISNUMBER(J12),I12&gt;0),J12/(1+N(Ввод!$J$19)/100),""))</f>
        <v>149.40119760479</v>
      </c>
    </row>
    <row r="13" ht="22" customHeight="1">
      <c r="B13" s="238" t="inlineStr">
        <is>
          <t>T-0011</t>
        </is>
      </c>
      <c r="C13" s="237" t="n">
        <v>46301</v>
      </c>
      <c r="D13" s="238" t="inlineStr">
        <is>
          <t>Bybit</t>
        </is>
      </c>
      <c r="E13" s="239" t="inlineStr">
        <is>
          <t>SOL/USDT</t>
        </is>
      </c>
      <c r="F13" s="240" t="n"/>
      <c r="G13" s="177" t="n"/>
      <c r="H13" s="271" t="str">
        <f>IF(AND(ISNUMBER(F13),ISNUMBER(G13)),F13*G13,"")</f>
        <v/>
      </c>
      <c r="I13" s="240" t="n">
        <v>10</v>
      </c>
      <c r="J13" s="177" t="n">
        <v>151.696</v>
      </c>
      <c r="K13" s="271">
        <f>IF(AND(ISNUMBER(I13),ISNUMBER(J13)),I13*J13,"")</f>
        <v>1516.96</v>
      </c>
      <c r="L13" s="240">
        <f>IF(COUNT(F13,I13)=0,"",N(F13)-N(I13))</f>
        <v>-10</v>
      </c>
      <c r="M13" s="241">
        <f>IF(COUNT(H13,K13)=0,"",N(K13)-N(H13))</f>
        <v>1516.96</v>
      </c>
      <c r="N13" s="240">
        <f>IF(AND(ISNUMBER(F13),ISNUMBER(G13),F13&gt;0,1-N(Ввод!$J$19)/100&gt;0),G13/(1-N(Ввод!$J$19)/100),IF(AND(ISNUMBER(I13),ISNUMBER(J13),I13&gt;0),J13/(1+N(Ввод!$J$19)/100),""))</f>
        <v>151.393213572854</v>
      </c>
    </row>
    <row r="14" ht="22" customHeight="1">
      <c r="B14" s="244" t="inlineStr">
        <is>
          <t>T-0012</t>
        </is>
      </c>
      <c r="C14" s="243" t="n">
        <v>46301</v>
      </c>
      <c r="D14" s="244" t="inlineStr">
        <is>
          <t>OKX</t>
        </is>
      </c>
      <c r="E14" s="245" t="inlineStr">
        <is>
          <t>SOL/USDT</t>
        </is>
      </c>
      <c r="F14" s="246" t="n">
        <v>25</v>
      </c>
      <c r="G14" s="183" t="n">
        <v>146.292</v>
      </c>
      <c r="H14" s="271">
        <f>IF(AND(ISNUMBER(F14),ISNUMBER(G14)),F14*G14,"")</f>
        <v>3657.3</v>
      </c>
      <c r="I14" s="246" t="n"/>
      <c r="J14" s="183" t="n"/>
      <c r="K14" s="271" t="str">
        <f>IF(AND(ISNUMBER(I14),ISNUMBER(J14)),I14*J14,"")</f>
        <v/>
      </c>
      <c r="L14" s="246">
        <f>IF(COUNT(F14,I14)=0,"",N(F14)-N(I14))</f>
        <v>25</v>
      </c>
      <c r="M14" s="247">
        <f>IF(COUNT(H14,K14)=0,"",N(K14)-N(H14))</f>
        <v>-3657.3</v>
      </c>
      <c r="N14" s="246">
        <f>IF(AND(ISNUMBER(F14),ISNUMBER(G14),F14&gt;0,1-N(Ввод!$J$19)/100&gt;0),G14/(1-N(Ввод!$J$19)/100),IF(AND(ISNUMBER(I14),ISNUMBER(J14),I14&gt;0),J14/(1+N(Ввод!$J$19)/100),""))</f>
        <v>146.585170340681</v>
      </c>
    </row>
    <row r="15" ht="22" customHeight="1">
      <c r="B15" s="238" t="n"/>
      <c r="C15" s="237" t="n"/>
      <c r="D15" s="238" t="n"/>
      <c r="E15" s="239" t="n"/>
      <c r="F15" s="240" t="n"/>
      <c r="G15" s="177" t="n"/>
      <c r="H15" s="271" t="str">
        <f>IF(AND(ISNUMBER(F15),ISNUMBER(G15)),F15*G15,"")</f>
        <v/>
      </c>
      <c r="I15" s="240" t="n"/>
      <c r="J15" s="177" t="n"/>
      <c r="K15" s="271" t="str">
        <f>IF(AND(ISNUMBER(I15),ISNUMBER(J15)),I15*J15,"")</f>
        <v/>
      </c>
      <c r="L15" s="240" t="str">
        <f>IF(COUNT(F15,I15)=0,"",N(F15)-N(I15))</f>
        <v/>
      </c>
      <c r="M15" s="241" t="str">
        <f>IF(COUNT(H15,K15)=0,"",N(K15)-N(H15))</f>
        <v/>
      </c>
      <c r="N15" s="240" t="str">
        <f>IF(AND(ISNUMBER(F15),ISNUMBER(G15),F15&gt;0,1-N(Ввод!$J$19)/100&gt;0),G15/(1-N(Ввод!$J$19)/100),IF(AND(ISNUMBER(I15),ISNUMBER(J15),I15&gt;0),J15/(1+N(Ввод!$J$19)/100),""))</f>
        <v/>
      </c>
    </row>
    <row r="16" ht="22" customHeight="1">
      <c r="B16" s="244" t="n"/>
      <c r="C16" s="243" t="n"/>
      <c r="D16" s="244" t="n"/>
      <c r="E16" s="245" t="n"/>
      <c r="F16" s="246" t="n"/>
      <c r="G16" s="183" t="n"/>
      <c r="H16" s="271" t="str">
        <f>IF(AND(ISNUMBER(F16),ISNUMBER(G16)),F16*G16,"")</f>
        <v/>
      </c>
      <c r="I16" s="246" t="n"/>
      <c r="J16" s="183" t="n"/>
      <c r="K16" s="271" t="str">
        <f>IF(AND(ISNUMBER(I16),ISNUMBER(J16)),I16*J16,"")</f>
        <v/>
      </c>
      <c r="L16" s="246" t="str">
        <f>IF(COUNT(F16,I16)=0,"",N(F16)-N(I16))</f>
        <v/>
      </c>
      <c r="M16" s="247" t="str">
        <f>IF(COUNT(H16,K16)=0,"",N(K16)-N(H16))</f>
        <v/>
      </c>
      <c r="N16" s="246" t="str">
        <f>IF(AND(ISNUMBER(F16),ISNUMBER(G16),F16&gt;0,1-N(Ввод!$J$19)/100&gt;0),G16/(1-N(Ввод!$J$19)/100),IF(AND(ISNUMBER(I16),ISNUMBER(J16),I16&gt;0),J16/(1+N(Ввод!$J$19)/100),""))</f>
        <v/>
      </c>
    </row>
    <row r="17" ht="22" customHeight="1">
      <c r="B17" s="238" t="n"/>
      <c r="C17" s="237" t="n"/>
      <c r="D17" s="238" t="n"/>
      <c r="E17" s="239" t="n"/>
      <c r="F17" s="240" t="n"/>
      <c r="G17" s="177" t="n"/>
      <c r="H17" s="271" t="str">
        <f>IF(AND(ISNUMBER(F17),ISNUMBER(G17)),F17*G17,"")</f>
        <v/>
      </c>
      <c r="I17" s="240" t="n"/>
      <c r="J17" s="177" t="n"/>
      <c r="K17" s="271" t="str">
        <f>IF(AND(ISNUMBER(I17),ISNUMBER(J17)),I17*J17,"")</f>
        <v/>
      </c>
      <c r="L17" s="240" t="str">
        <f>IF(COUNT(F17,I17)=0,"",N(F17)-N(I17))</f>
        <v/>
      </c>
      <c r="M17" s="241" t="str">
        <f>IF(COUNT(H17,K17)=0,"",N(K17)-N(H17))</f>
        <v/>
      </c>
      <c r="N17" s="240" t="str">
        <f>IF(AND(ISNUMBER(F17),ISNUMBER(G17),F17&gt;0,1-N(Ввод!$J$19)/100&gt;0),G17/(1-N(Ввод!$J$19)/100),IF(AND(ISNUMBER(I17),ISNUMBER(J17),I17&gt;0),J17/(1+N(Ввод!$J$19)/100),""))</f>
        <v/>
      </c>
    </row>
    <row r="18" ht="22" customHeight="1">
      <c r="B18" s="244" t="n"/>
      <c r="C18" s="243" t="n"/>
      <c r="D18" s="244" t="n"/>
      <c r="E18" s="245" t="n"/>
      <c r="F18" s="246" t="n"/>
      <c r="G18" s="183" t="n"/>
      <c r="H18" s="271" t="str">
        <f>IF(AND(ISNUMBER(F18),ISNUMBER(G18)),F18*G18,"")</f>
        <v/>
      </c>
      <c r="I18" s="246" t="n"/>
      <c r="J18" s="183" t="n"/>
      <c r="K18" s="271" t="str">
        <f>IF(AND(ISNUMBER(I18),ISNUMBER(J18)),I18*J18,"")</f>
        <v/>
      </c>
      <c r="L18" s="246" t="str">
        <f>IF(COUNT(F18,I18)=0,"",N(F18)-N(I18))</f>
        <v/>
      </c>
      <c r="M18" s="247" t="str">
        <f>IF(COUNT(H18,K18)=0,"",N(K18)-N(H18))</f>
        <v/>
      </c>
      <c r="N18" s="246" t="str">
        <f>IF(AND(ISNUMBER(F18),ISNUMBER(G18),F18&gt;0,1-N(Ввод!$J$19)/100&gt;0),G18/(1-N(Ввод!$J$19)/100),IF(AND(ISNUMBER(I18),ISNUMBER(J18),I18&gt;0),J18/(1+N(Ввод!$J$19)/100),""))</f>
        <v/>
      </c>
    </row>
    <row r="19" ht="22" customHeight="1">
      <c r="B19" s="238" t="n"/>
      <c r="C19" s="237" t="n"/>
      <c r="D19" s="238" t="n"/>
      <c r="E19" s="239" t="n"/>
      <c r="F19" s="240" t="n"/>
      <c r="G19" s="177" t="n"/>
      <c r="H19" s="271" t="str">
        <f>IF(AND(ISNUMBER(F19),ISNUMBER(G19)),F19*G19,"")</f>
        <v/>
      </c>
      <c r="I19" s="240" t="n"/>
      <c r="J19" s="177" t="n"/>
      <c r="K19" s="271" t="str">
        <f>IF(AND(ISNUMBER(I19),ISNUMBER(J19)),I19*J19,"")</f>
        <v/>
      </c>
      <c r="L19" s="240" t="str">
        <f>IF(COUNT(F19,I19)=0,"",N(F19)-N(I19))</f>
        <v/>
      </c>
      <c r="M19" s="241" t="str">
        <f>IF(COUNT(H19,K19)=0,"",N(K19)-N(H19))</f>
        <v/>
      </c>
      <c r="N19" s="240" t="str">
        <f>IF(AND(ISNUMBER(F19),ISNUMBER(G19),F19&gt;0,1-N(Ввод!$J$19)/100&gt;0),G19/(1-N(Ввод!$J$19)/100),IF(AND(ISNUMBER(I19),ISNUMBER(J19),I19&gt;0),J19/(1+N(Ввод!$J$19)/100),""))</f>
        <v/>
      </c>
    </row>
    <row r="20" ht="22" customHeight="1">
      <c r="B20" s="244" t="n"/>
      <c r="C20" s="243" t="n"/>
      <c r="D20" s="244" t="n"/>
      <c r="E20" s="245" t="n"/>
      <c r="F20" s="246" t="n"/>
      <c r="G20" s="183" t="n"/>
      <c r="H20" s="271" t="str">
        <f>IF(AND(ISNUMBER(F20),ISNUMBER(G20)),F20*G20,"")</f>
        <v/>
      </c>
      <c r="I20" s="246" t="n"/>
      <c r="J20" s="183" t="n"/>
      <c r="K20" s="271" t="str">
        <f>IF(AND(ISNUMBER(I20),ISNUMBER(J20)),I20*J20,"")</f>
        <v/>
      </c>
      <c r="L20" s="246" t="str">
        <f>IF(COUNT(F20,I20)=0,"",N(F20)-N(I20))</f>
        <v/>
      </c>
      <c r="M20" s="247" t="str">
        <f>IF(COUNT(H20,K20)=0,"",N(K20)-N(H20))</f>
        <v/>
      </c>
      <c r="N20" s="246" t="str">
        <f>IF(AND(ISNUMBER(F20),ISNUMBER(G20),F20&gt;0,1-N(Ввод!$J$19)/100&gt;0),G20/(1-N(Ввод!$J$19)/100),IF(AND(ISNUMBER(I20),ISNUMBER(J20),I20&gt;0),J20/(1+N(Ввод!$J$19)/100),""))</f>
        <v/>
      </c>
    </row>
    <row r="21" ht="22" customHeight="1">
      <c r="B21" s="238" t="n"/>
      <c r="C21" s="237" t="n"/>
      <c r="D21" s="238" t="n"/>
      <c r="E21" s="239" t="n"/>
      <c r="F21" s="240" t="n"/>
      <c r="G21" s="177" t="n"/>
      <c r="H21" s="271" t="str">
        <f>IF(AND(ISNUMBER(F21),ISNUMBER(G21)),F21*G21,"")</f>
        <v/>
      </c>
      <c r="I21" s="240" t="n"/>
      <c r="J21" s="177" t="n"/>
      <c r="K21" s="271" t="str">
        <f>IF(AND(ISNUMBER(I21),ISNUMBER(J21)),I21*J21,"")</f>
        <v/>
      </c>
      <c r="L21" s="240" t="str">
        <f>IF(COUNT(F21,I21)=0,"",N(F21)-N(I21))</f>
        <v/>
      </c>
      <c r="M21" s="241" t="str">
        <f>IF(COUNT(H21,K21)=0,"",N(K21)-N(H21))</f>
        <v/>
      </c>
      <c r="N21" s="240" t="str">
        <f>IF(AND(ISNUMBER(F21),ISNUMBER(G21),F21&gt;0,1-N(Ввод!$J$19)/100&gt;0),G21/(1-N(Ввод!$J$19)/100),IF(AND(ISNUMBER(I21),ISNUMBER(J21),I21&gt;0),J21/(1+N(Ввод!$J$19)/100),""))</f>
        <v/>
      </c>
    </row>
    <row r="22" ht="22" customHeight="1">
      <c r="B22" s="244" t="n"/>
      <c r="C22" s="243" t="n"/>
      <c r="D22" s="244" t="n"/>
      <c r="E22" s="245" t="n"/>
      <c r="F22" s="246" t="n"/>
      <c r="G22" s="183" t="n"/>
      <c r="H22" s="271" t="str">
        <f>IF(AND(ISNUMBER(F22),ISNUMBER(G22)),F22*G22,"")</f>
        <v/>
      </c>
      <c r="I22" s="246" t="n"/>
      <c r="J22" s="183" t="n"/>
      <c r="K22" s="271" t="str">
        <f>IF(AND(ISNUMBER(I22),ISNUMBER(J22)),I22*J22,"")</f>
        <v/>
      </c>
      <c r="L22" s="246" t="str">
        <f>IF(COUNT(F22,I22)=0,"",N(F22)-N(I22))</f>
        <v/>
      </c>
      <c r="M22" s="247" t="str">
        <f>IF(COUNT(H22,K22)=0,"",N(K22)-N(H22))</f>
        <v/>
      </c>
      <c r="N22" s="246" t="str">
        <f>IF(AND(ISNUMBER(F22),ISNUMBER(G22),F22&gt;0,1-N(Ввод!$J$19)/100&gt;0),G22/(1-N(Ввод!$J$19)/100),IF(AND(ISNUMBER(I22),ISNUMBER(J22),I22&gt;0),J22/(1+N(Ввод!$J$19)/100),""))</f>
        <v/>
      </c>
    </row>
    <row r="23" ht="22" customHeight="1">
      <c r="B23" s="238" t="n"/>
      <c r="C23" s="237" t="n"/>
      <c r="D23" s="238" t="n"/>
      <c r="E23" s="239" t="n"/>
      <c r="F23" s="240" t="n"/>
      <c r="G23" s="177" t="n"/>
      <c r="H23" s="271" t="str">
        <f>IF(AND(ISNUMBER(F23),ISNUMBER(G23)),F23*G23,"")</f>
        <v/>
      </c>
      <c r="I23" s="240" t="n"/>
      <c r="J23" s="177" t="n"/>
      <c r="K23" s="271" t="str">
        <f>IF(AND(ISNUMBER(I23),ISNUMBER(J23)),I23*J23,"")</f>
        <v/>
      </c>
      <c r="L23" s="240" t="str">
        <f>IF(COUNT(F23,I23)=0,"",N(F23)-N(I23))</f>
        <v/>
      </c>
      <c r="M23" s="241" t="str">
        <f>IF(COUNT(H23,K23)=0,"",N(K23)-N(H23))</f>
        <v/>
      </c>
      <c r="N23" s="240" t="str">
        <f>IF(AND(ISNUMBER(F23),ISNUMBER(G23),F23&gt;0,1-N(Ввод!$J$19)/100&gt;0),G23/(1-N(Ввод!$J$19)/100),IF(AND(ISNUMBER(I23),ISNUMBER(J23),I23&gt;0),J23/(1+N(Ввод!$J$19)/100),""))</f>
        <v/>
      </c>
    </row>
    <row r="24" ht="22" customHeight="1">
      <c r="B24" s="244" t="n"/>
      <c r="C24" s="243" t="n"/>
      <c r="D24" s="244" t="n"/>
      <c r="E24" s="245" t="n"/>
      <c r="F24" s="246" t="n"/>
      <c r="G24" s="183" t="n"/>
      <c r="H24" s="271" t="str">
        <f>IF(AND(ISNUMBER(F24),ISNUMBER(G24)),F24*G24,"")</f>
        <v/>
      </c>
      <c r="I24" s="246" t="n"/>
      <c r="J24" s="183" t="n"/>
      <c r="K24" s="271" t="str">
        <f>IF(AND(ISNUMBER(I24),ISNUMBER(J24)),I24*J24,"")</f>
        <v/>
      </c>
      <c r="L24" s="246" t="str">
        <f>IF(COUNT(F24,I24)=0,"",N(F24)-N(I24))</f>
        <v/>
      </c>
      <c r="M24" s="247" t="str">
        <f>IF(COUNT(H24,K24)=0,"",N(K24)-N(H24))</f>
        <v/>
      </c>
      <c r="N24" s="246" t="str">
        <f>IF(AND(ISNUMBER(F24),ISNUMBER(G24),F24&gt;0,1-N(Ввод!$J$19)/100&gt;0),G24/(1-N(Ввод!$J$19)/100),IF(AND(ISNUMBER(I24),ISNUMBER(J24),I24&gt;0),J24/(1+N(Ввод!$J$19)/100),""))</f>
        <v/>
      </c>
    </row>
    <row r="25" ht="22" customHeight="1">
      <c r="B25" s="238" t="n"/>
      <c r="C25" s="237" t="n"/>
      <c r="D25" s="238" t="n"/>
      <c r="E25" s="239" t="n"/>
      <c r="F25" s="240" t="n"/>
      <c r="G25" s="177" t="n"/>
      <c r="H25" s="271" t="str">
        <f>IF(AND(ISNUMBER(F25),ISNUMBER(G25)),F25*G25,"")</f>
        <v/>
      </c>
      <c r="I25" s="240" t="n"/>
      <c r="J25" s="177" t="n"/>
      <c r="K25" s="271" t="str">
        <f>IF(AND(ISNUMBER(I25),ISNUMBER(J25)),I25*J25,"")</f>
        <v/>
      </c>
      <c r="L25" s="240" t="str">
        <f>IF(COUNT(F25,I25)=0,"",N(F25)-N(I25))</f>
        <v/>
      </c>
      <c r="M25" s="241" t="str">
        <f>IF(COUNT(H25,K25)=0,"",N(K25)-N(H25))</f>
        <v/>
      </c>
      <c r="N25" s="240" t="str">
        <f>IF(AND(ISNUMBER(F25),ISNUMBER(G25),F25&gt;0,1-N(Ввод!$J$19)/100&gt;0),G25/(1-N(Ввод!$J$19)/100),IF(AND(ISNUMBER(I25),ISNUMBER(J25),I25&gt;0),J25/(1+N(Ввод!$J$19)/100),""))</f>
        <v/>
      </c>
    </row>
    <row r="26" ht="22" customHeight="1">
      <c r="B26" s="244" t="n"/>
      <c r="C26" s="243" t="n"/>
      <c r="D26" s="244" t="n"/>
      <c r="E26" s="245" t="n"/>
      <c r="F26" s="246" t="n"/>
      <c r="G26" s="183" t="n"/>
      <c r="H26" s="271" t="str">
        <f>IF(AND(ISNUMBER(F26),ISNUMBER(G26)),F26*G26,"")</f>
        <v/>
      </c>
      <c r="I26" s="246" t="n"/>
      <c r="J26" s="183" t="n"/>
      <c r="K26" s="271" t="str">
        <f>IF(AND(ISNUMBER(I26),ISNUMBER(J26)),I26*J26,"")</f>
        <v/>
      </c>
      <c r="L26" s="246" t="str">
        <f>IF(COUNT(F26,I26)=0,"",N(F26)-N(I26))</f>
        <v/>
      </c>
      <c r="M26" s="247" t="str">
        <f>IF(COUNT(H26,K26)=0,"",N(K26)-N(H26))</f>
        <v/>
      </c>
      <c r="N26" s="246" t="str">
        <f>IF(AND(ISNUMBER(F26),ISNUMBER(G26),F26&gt;0,1-N(Ввод!$J$19)/100&gt;0),G26/(1-N(Ввод!$J$19)/100),IF(AND(ISNUMBER(I26),ISNUMBER(J26),I26&gt;0),J26/(1+N(Ввод!$J$19)/100),""))</f>
        <v/>
      </c>
    </row>
    <row r="27" ht="22" customHeight="1">
      <c r="B27" s="238" t="n"/>
      <c r="C27" s="237" t="n"/>
      <c r="D27" s="238" t="n"/>
      <c r="E27" s="239" t="n"/>
      <c r="F27" s="240" t="n"/>
      <c r="G27" s="177" t="n"/>
      <c r="H27" s="271" t="str">
        <f>IF(AND(ISNUMBER(F27),ISNUMBER(G27)),F27*G27,"")</f>
        <v/>
      </c>
      <c r="I27" s="240" t="n"/>
      <c r="J27" s="177" t="n"/>
      <c r="K27" s="271" t="str">
        <f>IF(AND(ISNUMBER(I27),ISNUMBER(J27)),I27*J27,"")</f>
        <v/>
      </c>
      <c r="L27" s="240" t="str">
        <f>IF(COUNT(F27,I27)=0,"",N(F27)-N(I27))</f>
        <v/>
      </c>
      <c r="M27" s="241" t="str">
        <f>IF(COUNT(H27,K27)=0,"",N(K27)-N(H27))</f>
        <v/>
      </c>
      <c r="N27" s="240" t="str">
        <f>IF(AND(ISNUMBER(F27),ISNUMBER(G27),F27&gt;0,1-N(Ввод!$J$19)/100&gt;0),G27/(1-N(Ввод!$J$19)/100),IF(AND(ISNUMBER(I27),ISNUMBER(J27),I27&gt;0),J27/(1+N(Ввод!$J$19)/100),""))</f>
        <v/>
      </c>
    </row>
    <row r="28" ht="22" customHeight="1">
      <c r="B28" s="244" t="n"/>
      <c r="C28" s="243" t="n"/>
      <c r="D28" s="244" t="n"/>
      <c r="E28" s="245" t="n"/>
      <c r="F28" s="246" t="n"/>
      <c r="G28" s="183" t="n"/>
      <c r="H28" s="271" t="str">
        <f>IF(AND(ISNUMBER(F28),ISNUMBER(G28)),F28*G28,"")</f>
        <v/>
      </c>
      <c r="I28" s="246" t="n"/>
      <c r="J28" s="183" t="n"/>
      <c r="K28" s="271" t="str">
        <f>IF(AND(ISNUMBER(I28),ISNUMBER(J28)),I28*J28,"")</f>
        <v/>
      </c>
      <c r="L28" s="246" t="str">
        <f>IF(COUNT(F28,I28)=0,"",N(F28)-N(I28))</f>
        <v/>
      </c>
      <c r="M28" s="247" t="str">
        <f>IF(COUNT(H28,K28)=0,"",N(K28)-N(H28))</f>
        <v/>
      </c>
      <c r="N28" s="246" t="str">
        <f>IF(AND(ISNUMBER(F28),ISNUMBER(G28),F28&gt;0,1-N(Ввод!$J$19)/100&gt;0),G28/(1-N(Ввод!$J$19)/100),IF(AND(ISNUMBER(I28),ISNUMBER(J28),I28&gt;0),J28/(1+N(Ввод!$J$19)/100),""))</f>
        <v/>
      </c>
    </row>
    <row r="29" ht="22" customHeight="1">
      <c r="B29" s="238" t="n"/>
      <c r="C29" s="237" t="n"/>
      <c r="D29" s="238" t="n"/>
      <c r="E29" s="239" t="n"/>
      <c r="F29" s="240" t="n"/>
      <c r="G29" s="177" t="n"/>
      <c r="H29" s="271" t="str">
        <f>IF(AND(ISNUMBER(F29),ISNUMBER(G29)),F29*G29,"")</f>
        <v/>
      </c>
      <c r="I29" s="240" t="n"/>
      <c r="J29" s="177" t="n"/>
      <c r="K29" s="271" t="str">
        <f>IF(AND(ISNUMBER(I29),ISNUMBER(J29)),I29*J29,"")</f>
        <v/>
      </c>
      <c r="L29" s="240" t="str">
        <f>IF(COUNT(F29,I29)=0,"",N(F29)-N(I29))</f>
        <v/>
      </c>
      <c r="M29" s="241" t="str">
        <f>IF(COUNT(H29,K29)=0,"",N(K29)-N(H29))</f>
        <v/>
      </c>
      <c r="N29" s="240" t="str">
        <f>IF(AND(ISNUMBER(F29),ISNUMBER(G29),F29&gt;0,1-N(Ввод!$J$19)/100&gt;0),G29/(1-N(Ввод!$J$19)/100),IF(AND(ISNUMBER(I29),ISNUMBER(J29),I29&gt;0),J29/(1+N(Ввод!$J$19)/100),""))</f>
        <v/>
      </c>
    </row>
    <row r="30" ht="22" customHeight="1">
      <c r="B30" s="244" t="n"/>
      <c r="C30" s="243" t="n"/>
      <c r="D30" s="244" t="n"/>
      <c r="E30" s="245" t="n"/>
      <c r="F30" s="246" t="n"/>
      <c r="G30" s="183" t="n"/>
      <c r="H30" s="271" t="str">
        <f>IF(AND(ISNUMBER(F30),ISNUMBER(G30)),F30*G30,"")</f>
        <v/>
      </c>
      <c r="I30" s="246" t="n"/>
      <c r="J30" s="183" t="n"/>
      <c r="K30" s="271" t="str">
        <f>IF(AND(ISNUMBER(I30),ISNUMBER(J30)),I30*J30,"")</f>
        <v/>
      </c>
      <c r="L30" s="246" t="str">
        <f>IF(COUNT(F30,I30)=0,"",N(F30)-N(I30))</f>
        <v/>
      </c>
      <c r="M30" s="247" t="str">
        <f>IF(COUNT(H30,K30)=0,"",N(K30)-N(H30))</f>
        <v/>
      </c>
      <c r="N30" s="246" t="str">
        <f>IF(AND(ISNUMBER(F30),ISNUMBER(G30),F30&gt;0,1-N(Ввод!$J$19)/100&gt;0),G30/(1-N(Ввод!$J$19)/100),IF(AND(ISNUMBER(I30),ISNUMBER(J30),I30&gt;0),J30/(1+N(Ввод!$J$19)/100),""))</f>
        <v/>
      </c>
    </row>
    <row r="31" ht="22" customHeight="1">
      <c r="B31" s="238" t="n"/>
      <c r="C31" s="237" t="n"/>
      <c r="D31" s="238" t="n"/>
      <c r="E31" s="239" t="n"/>
      <c r="F31" s="240" t="n"/>
      <c r="G31" s="177" t="n"/>
      <c r="H31" s="271" t="str">
        <f>IF(AND(ISNUMBER(F31),ISNUMBER(G31)),F31*G31,"")</f>
        <v/>
      </c>
      <c r="I31" s="240" t="n"/>
      <c r="J31" s="177" t="n"/>
      <c r="K31" s="271" t="str">
        <f>IF(AND(ISNUMBER(I31),ISNUMBER(J31)),I31*J31,"")</f>
        <v/>
      </c>
      <c r="L31" s="240" t="str">
        <f>IF(COUNT(F31,I31)=0,"",N(F31)-N(I31))</f>
        <v/>
      </c>
      <c r="M31" s="241" t="str">
        <f>IF(COUNT(H31,K31)=0,"",N(K31)-N(H31))</f>
        <v/>
      </c>
      <c r="N31" s="240" t="str">
        <f>IF(AND(ISNUMBER(F31),ISNUMBER(G31),F31&gt;0,1-N(Ввод!$J$19)/100&gt;0),G31/(1-N(Ввод!$J$19)/100),IF(AND(ISNUMBER(I31),ISNUMBER(J31),I31&gt;0),J31/(1+N(Ввод!$J$19)/100),""))</f>
        <v/>
      </c>
    </row>
    <row r="32" ht="22" customHeight="1">
      <c r="B32" s="244" t="n"/>
      <c r="C32" s="243" t="n"/>
      <c r="D32" s="244" t="n"/>
      <c r="E32" s="245" t="n"/>
      <c r="F32" s="246" t="n"/>
      <c r="G32" s="183" t="n"/>
      <c r="H32" s="271" t="str">
        <f>IF(AND(ISNUMBER(F32),ISNUMBER(G32)),F32*G32,"")</f>
        <v/>
      </c>
      <c r="I32" s="246" t="n"/>
      <c r="J32" s="183" t="n"/>
      <c r="K32" s="271" t="str">
        <f>IF(AND(ISNUMBER(I32),ISNUMBER(J32)),I32*J32,"")</f>
        <v/>
      </c>
      <c r="L32" s="246" t="str">
        <f>IF(COUNT(F32,I32)=0,"",N(F32)-N(I32))</f>
        <v/>
      </c>
      <c r="M32" s="247" t="str">
        <f>IF(COUNT(H32,K32)=0,"",N(K32)-N(H32))</f>
        <v/>
      </c>
      <c r="N32" s="246" t="str">
        <f>IF(AND(ISNUMBER(F32),ISNUMBER(G32),F32&gt;0,1-N(Ввод!$J$19)/100&gt;0),G32/(1-N(Ввод!$J$19)/100),IF(AND(ISNUMBER(I32),ISNUMBER(J32),I32&gt;0),J32/(1+N(Ввод!$J$19)/100),""))</f>
        <v/>
      </c>
    </row>
    <row r="33" ht="22" customHeight="1">
      <c r="B33" s="238" t="n"/>
      <c r="C33" s="237" t="n"/>
      <c r="D33" s="238" t="n"/>
      <c r="E33" s="239" t="n"/>
      <c r="F33" s="240" t="n"/>
      <c r="G33" s="177" t="n"/>
      <c r="H33" s="271" t="str">
        <f>IF(AND(ISNUMBER(F33),ISNUMBER(G33)),F33*G33,"")</f>
        <v/>
      </c>
      <c r="I33" s="240" t="n"/>
      <c r="J33" s="177" t="n"/>
      <c r="K33" s="271" t="str">
        <f>IF(AND(ISNUMBER(I33),ISNUMBER(J33)),I33*J33,"")</f>
        <v/>
      </c>
      <c r="L33" s="240" t="str">
        <f>IF(COUNT(F33,I33)=0,"",N(F33)-N(I33))</f>
        <v/>
      </c>
      <c r="M33" s="241" t="str">
        <f>IF(COUNT(H33,K33)=0,"",N(K33)-N(H33))</f>
        <v/>
      </c>
      <c r="N33" s="240" t="str">
        <f>IF(AND(ISNUMBER(F33),ISNUMBER(G33),F33&gt;0,1-N(Ввод!$J$19)/100&gt;0),G33/(1-N(Ввод!$J$19)/100),IF(AND(ISNUMBER(I33),ISNUMBER(J33),I33&gt;0),J33/(1+N(Ввод!$J$19)/100),""))</f>
        <v/>
      </c>
    </row>
    <row r="34" ht="22" customHeight="1">
      <c r="B34" s="244" t="n"/>
      <c r="C34" s="243" t="n"/>
      <c r="D34" s="244" t="n"/>
      <c r="E34" s="245" t="n"/>
      <c r="F34" s="246" t="n"/>
      <c r="G34" s="183" t="n"/>
      <c r="H34" s="271" t="str">
        <f>IF(AND(ISNUMBER(F34),ISNUMBER(G34)),F34*G34,"")</f>
        <v/>
      </c>
      <c r="I34" s="246" t="n"/>
      <c r="J34" s="183" t="n"/>
      <c r="K34" s="271" t="str">
        <f>IF(AND(ISNUMBER(I34),ISNUMBER(J34)),I34*J34,"")</f>
        <v/>
      </c>
      <c r="L34" s="246" t="str">
        <f>IF(COUNT(F34,I34)=0,"",N(F34)-N(I34))</f>
        <v/>
      </c>
      <c r="M34" s="247" t="str">
        <f>IF(COUNT(H34,K34)=0,"",N(K34)-N(H34))</f>
        <v/>
      </c>
      <c r="N34" s="246" t="str">
        <f>IF(AND(ISNUMBER(F34),ISNUMBER(G34),F34&gt;0,1-N(Ввод!$J$19)/100&gt;0),G34/(1-N(Ввод!$J$19)/100),IF(AND(ISNUMBER(I34),ISNUMBER(J34),I34&gt;0),J34/(1+N(Ввод!$J$19)/100),""))</f>
        <v/>
      </c>
    </row>
    <row r="35" ht="22" customHeight="1">
      <c r="B35" s="238" t="n"/>
      <c r="C35" s="237" t="n"/>
      <c r="D35" s="238" t="n"/>
      <c r="E35" s="239" t="n"/>
      <c r="F35" s="240" t="n"/>
      <c r="G35" s="177" t="n"/>
      <c r="H35" s="271" t="str">
        <f>IF(AND(ISNUMBER(F35),ISNUMBER(G35)),F35*G35,"")</f>
        <v/>
      </c>
      <c r="I35" s="240" t="n"/>
      <c r="J35" s="177" t="n"/>
      <c r="K35" s="271" t="str">
        <f>IF(AND(ISNUMBER(I35),ISNUMBER(J35)),I35*J35,"")</f>
        <v/>
      </c>
      <c r="L35" s="240" t="str">
        <f>IF(COUNT(F35,I35)=0,"",N(F35)-N(I35))</f>
        <v/>
      </c>
      <c r="M35" s="241" t="str">
        <f>IF(COUNT(H35,K35)=0,"",N(K35)-N(H35))</f>
        <v/>
      </c>
      <c r="N35" s="240" t="str">
        <f>IF(AND(ISNUMBER(F35),ISNUMBER(G35),F35&gt;0,1-N(Ввод!$J$19)/100&gt;0),G35/(1-N(Ввод!$J$19)/100),IF(AND(ISNUMBER(I35),ISNUMBER(J35),I35&gt;0),J35/(1+N(Ввод!$J$19)/100),""))</f>
        <v/>
      </c>
    </row>
    <row r="36" ht="22" customHeight="1">
      <c r="B36" s="244" t="n"/>
      <c r="C36" s="243" t="n"/>
      <c r="D36" s="244" t="n"/>
      <c r="E36" s="245" t="n"/>
      <c r="F36" s="246" t="n"/>
      <c r="G36" s="183" t="n"/>
      <c r="H36" s="271" t="str">
        <f>IF(AND(ISNUMBER(F36),ISNUMBER(G36)),F36*G36,"")</f>
        <v/>
      </c>
      <c r="I36" s="246" t="n"/>
      <c r="J36" s="183" t="n"/>
      <c r="K36" s="271" t="str">
        <f>IF(AND(ISNUMBER(I36),ISNUMBER(J36)),I36*J36,"")</f>
        <v/>
      </c>
      <c r="L36" s="246" t="str">
        <f>IF(COUNT(F36,I36)=0,"",N(F36)-N(I36))</f>
        <v/>
      </c>
      <c r="M36" s="247" t="str">
        <f>IF(COUNT(H36,K36)=0,"",N(K36)-N(H36))</f>
        <v/>
      </c>
      <c r="N36" s="246" t="str">
        <f>IF(AND(ISNUMBER(F36),ISNUMBER(G36),F36&gt;0,1-N(Ввод!$J$19)/100&gt;0),G36/(1-N(Ввод!$J$19)/100),IF(AND(ISNUMBER(I36),ISNUMBER(J36),I36&gt;0),J36/(1+N(Ввод!$J$19)/100),""))</f>
        <v/>
      </c>
    </row>
    <row r="37" ht="22" customHeight="1">
      <c r="B37" s="238" t="n"/>
      <c r="C37" s="237" t="n"/>
      <c r="D37" s="238" t="n"/>
      <c r="E37" s="239" t="n"/>
      <c r="F37" s="240" t="n"/>
      <c r="G37" s="177" t="n"/>
      <c r="H37" s="271" t="str">
        <f>IF(AND(ISNUMBER(F37),ISNUMBER(G37)),F37*G37,"")</f>
        <v/>
      </c>
      <c r="I37" s="240" t="n"/>
      <c r="J37" s="177" t="n"/>
      <c r="K37" s="271" t="str">
        <f>IF(AND(ISNUMBER(I37),ISNUMBER(J37)),I37*J37,"")</f>
        <v/>
      </c>
      <c r="L37" s="240" t="str">
        <f>IF(COUNT(F37,I37)=0,"",N(F37)-N(I37))</f>
        <v/>
      </c>
      <c r="M37" s="241" t="str">
        <f>IF(COUNT(H37,K37)=0,"",N(K37)-N(H37))</f>
        <v/>
      </c>
      <c r="N37" s="240" t="str">
        <f>IF(AND(ISNUMBER(F37),ISNUMBER(G37),F37&gt;0,1-N(Ввод!$J$19)/100&gt;0),G37/(1-N(Ввод!$J$19)/100),IF(AND(ISNUMBER(I37),ISNUMBER(J37),I37&gt;0),J37/(1+N(Ввод!$J$19)/100),""))</f>
        <v/>
      </c>
    </row>
    <row r="38" ht="22" customHeight="1">
      <c r="B38" s="244" t="n"/>
      <c r="C38" s="243" t="n"/>
      <c r="D38" s="244" t="n"/>
      <c r="E38" s="245" t="n"/>
      <c r="F38" s="246" t="n"/>
      <c r="G38" s="183" t="n"/>
      <c r="H38" s="271" t="str">
        <f>IF(AND(ISNUMBER(F38),ISNUMBER(G38)),F38*G38,"")</f>
        <v/>
      </c>
      <c r="I38" s="246" t="n"/>
      <c r="J38" s="183" t="n"/>
      <c r="K38" s="271" t="str">
        <f>IF(AND(ISNUMBER(I38),ISNUMBER(J38)),I38*J38,"")</f>
        <v/>
      </c>
      <c r="L38" s="246" t="str">
        <f>IF(COUNT(F38,I38)=0,"",N(F38)-N(I38))</f>
        <v/>
      </c>
      <c r="M38" s="247" t="str">
        <f>IF(COUNT(H38,K38)=0,"",N(K38)-N(H38))</f>
        <v/>
      </c>
      <c r="N38" s="246" t="str">
        <f>IF(AND(ISNUMBER(F38),ISNUMBER(G38),F38&gt;0,1-N(Ввод!$J$19)/100&gt;0),G38/(1-N(Ввод!$J$19)/100),IF(AND(ISNUMBER(I38),ISNUMBER(J38),I38&gt;0),J38/(1+N(Ввод!$J$19)/100),""))</f>
        <v/>
      </c>
    </row>
    <row r="39" ht="22" customHeight="1">
      <c r="B39" s="238" t="n"/>
      <c r="C39" s="237" t="n"/>
      <c r="D39" s="238" t="n"/>
      <c r="E39" s="239" t="n"/>
      <c r="F39" s="240" t="n"/>
      <c r="G39" s="177" t="n"/>
      <c r="H39" s="271" t="str">
        <f>IF(AND(ISNUMBER(F39),ISNUMBER(G39)),F39*G39,"")</f>
        <v/>
      </c>
      <c r="I39" s="240" t="n"/>
      <c r="J39" s="177" t="n"/>
      <c r="K39" s="271" t="str">
        <f>IF(AND(ISNUMBER(I39),ISNUMBER(J39)),I39*J39,"")</f>
        <v/>
      </c>
      <c r="L39" s="240" t="str">
        <f>IF(COUNT(F39,I39)=0,"",N(F39)-N(I39))</f>
        <v/>
      </c>
      <c r="M39" s="241" t="str">
        <f>IF(COUNT(H39,K39)=0,"",N(K39)-N(H39))</f>
        <v/>
      </c>
      <c r="N39" s="240" t="str">
        <f>IF(AND(ISNUMBER(F39),ISNUMBER(G39),F39&gt;0,1-N(Ввод!$J$19)/100&gt;0),G39/(1-N(Ввод!$J$19)/100),IF(AND(ISNUMBER(I39),ISNUMBER(J39),I39&gt;0),J39/(1+N(Ввод!$J$19)/100),""))</f>
        <v/>
      </c>
    </row>
    <row r="40" ht="22" customHeight="1">
      <c r="B40" s="244" t="n"/>
      <c r="C40" s="243" t="n"/>
      <c r="D40" s="244" t="n"/>
      <c r="E40" s="245" t="n"/>
      <c r="F40" s="246" t="n"/>
      <c r="G40" s="183" t="n"/>
      <c r="H40" s="271" t="str">
        <f>IF(AND(ISNUMBER(F40),ISNUMBER(G40)),F40*G40,"")</f>
        <v/>
      </c>
      <c r="I40" s="246" t="n"/>
      <c r="J40" s="183" t="n"/>
      <c r="K40" s="271" t="str">
        <f>IF(AND(ISNUMBER(I40),ISNUMBER(J40)),I40*J40,"")</f>
        <v/>
      </c>
      <c r="L40" s="246" t="str">
        <f>IF(COUNT(F40,I40)=0,"",N(F40)-N(I40))</f>
        <v/>
      </c>
      <c r="M40" s="247" t="str">
        <f>IF(COUNT(H40,K40)=0,"",N(K40)-N(H40))</f>
        <v/>
      </c>
      <c r="N40" s="246" t="str">
        <f>IF(AND(ISNUMBER(F40),ISNUMBER(G40),F40&gt;0,1-N(Ввод!$J$19)/100&gt;0),G40/(1-N(Ввод!$J$19)/100),IF(AND(ISNUMBER(I40),ISNUMBER(J40),I40&gt;0),J40/(1+N(Ввод!$J$19)/100),""))</f>
        <v/>
      </c>
    </row>
    <row r="41" ht="22" customHeight="1">
      <c r="B41" s="238" t="n"/>
      <c r="C41" s="237" t="n"/>
      <c r="D41" s="238" t="n"/>
      <c r="E41" s="239" t="n"/>
      <c r="F41" s="240" t="n"/>
      <c r="G41" s="177" t="n"/>
      <c r="H41" s="271" t="str">
        <f>IF(AND(ISNUMBER(F41),ISNUMBER(G41)),F41*G41,"")</f>
        <v/>
      </c>
      <c r="I41" s="240" t="n"/>
      <c r="J41" s="177" t="n"/>
      <c r="K41" s="271" t="str">
        <f>IF(AND(ISNUMBER(I41),ISNUMBER(J41)),I41*J41,"")</f>
        <v/>
      </c>
      <c r="L41" s="240" t="str">
        <f>IF(COUNT(F41,I41)=0,"",N(F41)-N(I41))</f>
        <v/>
      </c>
      <c r="M41" s="241" t="str">
        <f>IF(COUNT(H41,K41)=0,"",N(K41)-N(H41))</f>
        <v/>
      </c>
      <c r="N41" s="240" t="str">
        <f>IF(AND(ISNUMBER(F41),ISNUMBER(G41),F41&gt;0,1-N(Ввод!$J$19)/100&gt;0),G41/(1-N(Ввод!$J$19)/100),IF(AND(ISNUMBER(I41),ISNUMBER(J41),I41&gt;0),J41/(1+N(Ввод!$J$19)/100),""))</f>
        <v/>
      </c>
    </row>
    <row r="42" ht="22" customHeight="1">
      <c r="B42" s="244" t="n"/>
      <c r="C42" s="243" t="n"/>
      <c r="D42" s="244" t="n"/>
      <c r="E42" s="245" t="n"/>
      <c r="F42" s="246" t="n"/>
      <c r="G42" s="183" t="n"/>
      <c r="H42" s="271" t="str">
        <f>IF(AND(ISNUMBER(F42),ISNUMBER(G42)),F42*G42,"")</f>
        <v/>
      </c>
      <c r="I42" s="246" t="n"/>
      <c r="J42" s="183" t="n"/>
      <c r="K42" s="271" t="str">
        <f>IF(AND(ISNUMBER(I42),ISNUMBER(J42)),I42*J42,"")</f>
        <v/>
      </c>
      <c r="L42" s="246" t="str">
        <f>IF(COUNT(F42,I42)=0,"",N(F42)-N(I42))</f>
        <v/>
      </c>
      <c r="M42" s="247" t="str">
        <f>IF(COUNT(H42,K42)=0,"",N(K42)-N(H42))</f>
        <v/>
      </c>
      <c r="N42" s="246" t="str">
        <f>IF(AND(ISNUMBER(F42),ISNUMBER(G42),F42&gt;0,1-N(Ввод!$J$19)/100&gt;0),G42/(1-N(Ввод!$J$19)/100),IF(AND(ISNUMBER(I42),ISNUMBER(J42),I42&gt;0),J42/(1+N(Ввод!$J$19)/100),""))</f>
        <v/>
      </c>
    </row>
    <row r="43" ht="22" customHeight="1">
      <c r="B43" s="238" t="n"/>
      <c r="C43" s="237" t="n"/>
      <c r="D43" s="238" t="n"/>
      <c r="E43" s="239" t="n"/>
      <c r="F43" s="240" t="n"/>
      <c r="G43" s="177" t="n"/>
      <c r="H43" s="271" t="str">
        <f>IF(AND(ISNUMBER(F43),ISNUMBER(G43)),F43*G43,"")</f>
        <v/>
      </c>
      <c r="I43" s="240" t="n"/>
      <c r="J43" s="177" t="n"/>
      <c r="K43" s="271" t="str">
        <f>IF(AND(ISNUMBER(I43),ISNUMBER(J43)),I43*J43,"")</f>
        <v/>
      </c>
      <c r="L43" s="240" t="str">
        <f>IF(COUNT(F43,I43)=0,"",N(F43)-N(I43))</f>
        <v/>
      </c>
      <c r="M43" s="241" t="str">
        <f>IF(COUNT(H43,K43)=0,"",N(K43)-N(H43))</f>
        <v/>
      </c>
      <c r="N43" s="240" t="str">
        <f>IF(AND(ISNUMBER(F43),ISNUMBER(G43),F43&gt;0,1-N(Ввод!$J$19)/100&gt;0),G43/(1-N(Ввод!$J$19)/100),IF(AND(ISNUMBER(I43),ISNUMBER(J43),I43&gt;0),J43/(1+N(Ввод!$J$19)/100),""))</f>
        <v/>
      </c>
    </row>
    <row r="44" ht="22" customHeight="1">
      <c r="B44" s="244" t="n"/>
      <c r="C44" s="243" t="n"/>
      <c r="D44" s="244" t="n"/>
      <c r="E44" s="245" t="n"/>
      <c r="F44" s="246" t="n"/>
      <c r="G44" s="183" t="n"/>
      <c r="H44" s="271" t="str">
        <f>IF(AND(ISNUMBER(F44),ISNUMBER(G44)),F44*G44,"")</f>
        <v/>
      </c>
      <c r="I44" s="246" t="n"/>
      <c r="J44" s="183" t="n"/>
      <c r="K44" s="271" t="str">
        <f>IF(AND(ISNUMBER(I44),ISNUMBER(J44)),I44*J44,"")</f>
        <v/>
      </c>
      <c r="L44" s="246" t="str">
        <f>IF(COUNT(F44,I44)=0,"",N(F44)-N(I44))</f>
        <v/>
      </c>
      <c r="M44" s="247" t="str">
        <f>IF(COUNT(H44,K44)=0,"",N(K44)-N(H44))</f>
        <v/>
      </c>
      <c r="N44" s="246" t="str">
        <f>IF(AND(ISNUMBER(F44),ISNUMBER(G44),F44&gt;0,1-N(Ввод!$J$19)/100&gt;0),G44/(1-N(Ввод!$J$19)/100),IF(AND(ISNUMBER(I44),ISNUMBER(J44),I44&gt;0),J44/(1+N(Ввод!$J$19)/100),""))</f>
        <v/>
      </c>
    </row>
    <row r="45" ht="22" customHeight="1">
      <c r="B45" s="238" t="n"/>
      <c r="C45" s="237" t="n"/>
      <c r="D45" s="238" t="n"/>
      <c r="E45" s="239" t="n"/>
      <c r="F45" s="240" t="n"/>
      <c r="G45" s="177" t="n"/>
      <c r="H45" s="271" t="str">
        <f>IF(AND(ISNUMBER(F45),ISNUMBER(G45)),F45*G45,"")</f>
        <v/>
      </c>
      <c r="I45" s="240" t="n"/>
      <c r="J45" s="177" t="n"/>
      <c r="K45" s="271" t="str">
        <f>IF(AND(ISNUMBER(I45),ISNUMBER(J45)),I45*J45,"")</f>
        <v/>
      </c>
      <c r="L45" s="240" t="str">
        <f>IF(COUNT(F45,I45)=0,"",N(F45)-N(I45))</f>
        <v/>
      </c>
      <c r="M45" s="241" t="str">
        <f>IF(COUNT(H45,K45)=0,"",N(K45)-N(H45))</f>
        <v/>
      </c>
      <c r="N45" s="240" t="str">
        <f>IF(AND(ISNUMBER(F45),ISNUMBER(G45),F45&gt;0,1-N(Ввод!$J$19)/100&gt;0),G45/(1-N(Ввод!$J$19)/100),IF(AND(ISNUMBER(I45),ISNUMBER(J45),I45&gt;0),J45/(1+N(Ввод!$J$19)/100),""))</f>
        <v/>
      </c>
    </row>
    <row r="46" ht="22" customHeight="1">
      <c r="B46" s="244" t="n"/>
      <c r="C46" s="243" t="n"/>
      <c r="D46" s="244" t="n"/>
      <c r="E46" s="245" t="n"/>
      <c r="F46" s="246" t="n"/>
      <c r="G46" s="183" t="n"/>
      <c r="H46" s="271" t="str">
        <f>IF(AND(ISNUMBER(F46),ISNUMBER(G46)),F46*G46,"")</f>
        <v/>
      </c>
      <c r="I46" s="246" t="n"/>
      <c r="J46" s="183" t="n"/>
      <c r="K46" s="271" t="str">
        <f>IF(AND(ISNUMBER(I46),ISNUMBER(J46)),I46*J46,"")</f>
        <v/>
      </c>
      <c r="L46" s="246" t="str">
        <f>IF(COUNT(F46,I46)=0,"",N(F46)-N(I46))</f>
        <v/>
      </c>
      <c r="M46" s="247" t="str">
        <f>IF(COUNT(H46,K46)=0,"",N(K46)-N(H46))</f>
        <v/>
      </c>
      <c r="N46" s="246" t="str">
        <f>IF(AND(ISNUMBER(F46),ISNUMBER(G46),F46&gt;0,1-N(Ввод!$J$19)/100&gt;0),G46/(1-N(Ввод!$J$19)/100),IF(AND(ISNUMBER(I46),ISNUMBER(J46),I46&gt;0),J46/(1+N(Ввод!$J$19)/100),""))</f>
        <v/>
      </c>
    </row>
    <row r="47" ht="22" customHeight="1">
      <c r="B47" s="238" t="n"/>
      <c r="C47" s="237" t="n"/>
      <c r="D47" s="238" t="n"/>
      <c r="E47" s="239" t="n"/>
      <c r="F47" s="240" t="n"/>
      <c r="G47" s="177" t="n"/>
      <c r="H47" s="271" t="str">
        <f>IF(AND(ISNUMBER(F47),ISNUMBER(G47)),F47*G47,"")</f>
        <v/>
      </c>
      <c r="I47" s="240" t="n"/>
      <c r="J47" s="177" t="n"/>
      <c r="K47" s="271" t="str">
        <f>IF(AND(ISNUMBER(I47),ISNUMBER(J47)),I47*J47,"")</f>
        <v/>
      </c>
      <c r="L47" s="240" t="str">
        <f>IF(COUNT(F47,I47)=0,"",N(F47)-N(I47))</f>
        <v/>
      </c>
      <c r="M47" s="241" t="str">
        <f>IF(COUNT(H47,K47)=0,"",N(K47)-N(H47))</f>
        <v/>
      </c>
      <c r="N47" s="240" t="str">
        <f>IF(AND(ISNUMBER(F47),ISNUMBER(G47),F47&gt;0,1-N(Ввод!$J$19)/100&gt;0),G47/(1-N(Ввод!$J$19)/100),IF(AND(ISNUMBER(I47),ISNUMBER(J47),I47&gt;0),J47/(1+N(Ввод!$J$19)/100),""))</f>
        <v/>
      </c>
    </row>
    <row r="48" ht="22" customHeight="1">
      <c r="B48" s="244" t="n"/>
      <c r="C48" s="243" t="n"/>
      <c r="D48" s="244" t="n"/>
      <c r="E48" s="245" t="n"/>
      <c r="F48" s="246" t="n"/>
      <c r="G48" s="183" t="n"/>
      <c r="H48" s="271" t="str">
        <f>IF(AND(ISNUMBER(F48),ISNUMBER(G48)),F48*G48,"")</f>
        <v/>
      </c>
      <c r="I48" s="246" t="n"/>
      <c r="J48" s="183" t="n"/>
      <c r="K48" s="271" t="str">
        <f>IF(AND(ISNUMBER(I48),ISNUMBER(J48)),I48*J48,"")</f>
        <v/>
      </c>
      <c r="L48" s="246" t="str">
        <f>IF(COUNT(F48,I48)=0,"",N(F48)-N(I48))</f>
        <v/>
      </c>
      <c r="M48" s="247" t="str">
        <f>IF(COUNT(H48,K48)=0,"",N(K48)-N(H48))</f>
        <v/>
      </c>
      <c r="N48" s="246" t="str">
        <f>IF(AND(ISNUMBER(F48),ISNUMBER(G48),F48&gt;0,1-N(Ввод!$J$19)/100&gt;0),G48/(1-N(Ввод!$J$19)/100),IF(AND(ISNUMBER(I48),ISNUMBER(J48),I48&gt;0),J48/(1+N(Ввод!$J$19)/100),""))</f>
        <v/>
      </c>
    </row>
    <row r="49" ht="22" customHeight="1">
      <c r="B49" s="238" t="n"/>
      <c r="C49" s="237" t="n"/>
      <c r="D49" s="238" t="n"/>
      <c r="E49" s="239" t="n"/>
      <c r="F49" s="240" t="n"/>
      <c r="G49" s="177" t="n"/>
      <c r="H49" s="271" t="str">
        <f>IF(AND(ISNUMBER(F49),ISNUMBER(G49)),F49*G49,"")</f>
        <v/>
      </c>
      <c r="I49" s="240" t="n"/>
      <c r="J49" s="177" t="n"/>
      <c r="K49" s="271" t="str">
        <f>IF(AND(ISNUMBER(I49),ISNUMBER(J49)),I49*J49,"")</f>
        <v/>
      </c>
      <c r="L49" s="240" t="str">
        <f>IF(COUNT(F49,I49)=0,"",N(F49)-N(I49))</f>
        <v/>
      </c>
      <c r="M49" s="241" t="str">
        <f>IF(COUNT(H49,K49)=0,"",N(K49)-N(H49))</f>
        <v/>
      </c>
      <c r="N49" s="240" t="str">
        <f>IF(AND(ISNUMBER(F49),ISNUMBER(G49),F49&gt;0,1-N(Ввод!$J$19)/100&gt;0),G49/(1-N(Ввод!$J$19)/100),IF(AND(ISNUMBER(I49),ISNUMBER(J49),I49&gt;0),J49/(1+N(Ввод!$J$19)/100),""))</f>
        <v/>
      </c>
    </row>
    <row r="50" ht="22" customHeight="1">
      <c r="B50" s="244" t="n"/>
      <c r="C50" s="243" t="n"/>
      <c r="D50" s="244" t="n"/>
      <c r="E50" s="245" t="n"/>
      <c r="F50" s="246" t="n"/>
      <c r="G50" s="183" t="n"/>
      <c r="H50" s="271" t="str">
        <f>IF(AND(ISNUMBER(F50),ISNUMBER(G50)),F50*G50,"")</f>
        <v/>
      </c>
      <c r="I50" s="246" t="n"/>
      <c r="J50" s="183" t="n"/>
      <c r="K50" s="271" t="str">
        <f>IF(AND(ISNUMBER(I50),ISNUMBER(J50)),I50*J50,"")</f>
        <v/>
      </c>
      <c r="L50" s="246" t="str">
        <f>IF(COUNT(F50,I50)=0,"",N(F50)-N(I50))</f>
        <v/>
      </c>
      <c r="M50" s="247" t="str">
        <f>IF(COUNT(H50,K50)=0,"",N(K50)-N(H50))</f>
        <v/>
      </c>
      <c r="N50" s="246" t="str">
        <f>IF(AND(ISNUMBER(F50),ISNUMBER(G50),F50&gt;0,1-N(Ввод!$J$19)/100&gt;0),G50/(1-N(Ввод!$J$19)/100),IF(AND(ISNUMBER(I50),ISNUMBER(J50),I50&gt;0),J50/(1+N(Ввод!$J$19)/100),""))</f>
        <v/>
      </c>
    </row>
    <row r="51" ht="22" customHeight="1">
      <c r="B51" s="238" t="n"/>
      <c r="C51" s="237" t="n"/>
      <c r="D51" s="238" t="n"/>
      <c r="E51" s="239" t="n"/>
      <c r="F51" s="240" t="n"/>
      <c r="G51" s="177" t="n"/>
      <c r="H51" s="271" t="str">
        <f>IF(AND(ISNUMBER(F51),ISNUMBER(G51)),F51*G51,"")</f>
        <v/>
      </c>
      <c r="I51" s="240" t="n"/>
      <c r="J51" s="177" t="n"/>
      <c r="K51" s="271" t="str">
        <f>IF(AND(ISNUMBER(I51),ISNUMBER(J51)),I51*J51,"")</f>
        <v/>
      </c>
      <c r="L51" s="240" t="str">
        <f>IF(COUNT(F51,I51)=0,"",N(F51)-N(I51))</f>
        <v/>
      </c>
      <c r="M51" s="241" t="str">
        <f>IF(COUNT(H51,K51)=0,"",N(K51)-N(H51))</f>
        <v/>
      </c>
      <c r="N51" s="240" t="str">
        <f>IF(AND(ISNUMBER(F51),ISNUMBER(G51),F51&gt;0,1-N(Ввод!$J$19)/100&gt;0),G51/(1-N(Ввод!$J$19)/100),IF(AND(ISNUMBER(I51),ISNUMBER(J51),I51&gt;0),J51/(1+N(Ввод!$J$19)/100),""))</f>
        <v/>
      </c>
    </row>
    <row r="52" ht="22" customHeight="1">
      <c r="B52" s="244" t="n"/>
      <c r="C52" s="243" t="n"/>
      <c r="D52" s="244" t="n"/>
      <c r="E52" s="245" t="n"/>
      <c r="F52" s="246" t="n"/>
      <c r="G52" s="183" t="n"/>
      <c r="H52" s="271" t="str">
        <f>IF(AND(ISNUMBER(F52),ISNUMBER(G52)),F52*G52,"")</f>
        <v/>
      </c>
      <c r="I52" s="246" t="n"/>
      <c r="J52" s="183" t="n"/>
      <c r="K52" s="271" t="str">
        <f>IF(AND(ISNUMBER(I52),ISNUMBER(J52)),I52*J52,"")</f>
        <v/>
      </c>
      <c r="L52" s="246" t="str">
        <f>IF(COUNT(F52,I52)=0,"",N(F52)-N(I52))</f>
        <v/>
      </c>
      <c r="M52" s="247" t="str">
        <f>IF(COUNT(H52,K52)=0,"",N(K52)-N(H52))</f>
        <v/>
      </c>
      <c r="N52" s="246" t="str">
        <f>IF(AND(ISNUMBER(F52),ISNUMBER(G52),F52&gt;0,1-N(Ввод!$J$19)/100&gt;0),G52/(1-N(Ввод!$J$19)/100),IF(AND(ISNUMBER(I52),ISNUMBER(J52),I52&gt;0),J52/(1+N(Ввод!$J$19)/100),""))</f>
        <v/>
      </c>
    </row>
    <row r="53" ht="22" customHeight="1">
      <c r="B53" s="238" t="n"/>
      <c r="C53" s="237" t="n"/>
      <c r="D53" s="238" t="n"/>
      <c r="E53" s="239" t="n"/>
      <c r="F53" s="240" t="n"/>
      <c r="G53" s="177" t="n"/>
      <c r="H53" s="271" t="str">
        <f>IF(AND(ISNUMBER(F53),ISNUMBER(G53)),F53*G53,"")</f>
        <v/>
      </c>
      <c r="I53" s="240" t="n"/>
      <c r="J53" s="177" t="n"/>
      <c r="K53" s="271" t="str">
        <f>IF(AND(ISNUMBER(I53),ISNUMBER(J53)),I53*J53,"")</f>
        <v/>
      </c>
      <c r="L53" s="240" t="str">
        <f>IF(COUNT(F53,I53)=0,"",N(F53)-N(I53))</f>
        <v/>
      </c>
      <c r="M53" s="241" t="str">
        <f>IF(COUNT(H53,K53)=0,"",N(K53)-N(H53))</f>
        <v/>
      </c>
      <c r="N53" s="240" t="str">
        <f>IF(AND(ISNUMBER(F53),ISNUMBER(G53),F53&gt;0,1-N(Ввод!$J$19)/100&gt;0),G53/(1-N(Ввод!$J$19)/100),IF(AND(ISNUMBER(I53),ISNUMBER(J53),I53&gt;0),J53/(1+N(Ввод!$J$19)/100),""))</f>
        <v/>
      </c>
    </row>
    <row r="54" ht="22" customHeight="1">
      <c r="B54" s="244" t="n"/>
      <c r="C54" s="243" t="n"/>
      <c r="D54" s="244" t="n"/>
      <c r="E54" s="245" t="n"/>
      <c r="F54" s="246" t="n"/>
      <c r="G54" s="183" t="n"/>
      <c r="H54" s="271" t="str">
        <f>IF(AND(ISNUMBER(F54),ISNUMBER(G54)),F54*G54,"")</f>
        <v/>
      </c>
      <c r="I54" s="246" t="n"/>
      <c r="J54" s="183" t="n"/>
      <c r="K54" s="271" t="str">
        <f>IF(AND(ISNUMBER(I54),ISNUMBER(J54)),I54*J54,"")</f>
        <v/>
      </c>
      <c r="L54" s="246" t="str">
        <f>IF(COUNT(F54,I54)=0,"",N(F54)-N(I54))</f>
        <v/>
      </c>
      <c r="M54" s="247" t="str">
        <f>IF(COUNT(H54,K54)=0,"",N(K54)-N(H54))</f>
        <v/>
      </c>
      <c r="N54" s="246" t="str">
        <f>IF(AND(ISNUMBER(F54),ISNUMBER(G54),F54&gt;0,1-N(Ввод!$J$19)/100&gt;0),G54/(1-N(Ввод!$J$19)/100),IF(AND(ISNUMBER(I54),ISNUMBER(J54),I54&gt;0),J54/(1+N(Ввод!$J$19)/100),""))</f>
        <v/>
      </c>
    </row>
    <row r="55" ht="22" customHeight="1">
      <c r="B55" s="238" t="n"/>
      <c r="C55" s="237" t="n"/>
      <c r="D55" s="238" t="n"/>
      <c r="E55" s="239" t="n"/>
      <c r="F55" s="240" t="n"/>
      <c r="G55" s="177" t="n"/>
      <c r="H55" s="271" t="str">
        <f>IF(AND(ISNUMBER(F55),ISNUMBER(G55)),F55*G55,"")</f>
        <v/>
      </c>
      <c r="I55" s="240" t="n"/>
      <c r="J55" s="177" t="n"/>
      <c r="K55" s="271" t="str">
        <f>IF(AND(ISNUMBER(I55),ISNUMBER(J55)),I55*J55,"")</f>
        <v/>
      </c>
      <c r="L55" s="240" t="str">
        <f>IF(COUNT(F55,I55)=0,"",N(F55)-N(I55))</f>
        <v/>
      </c>
      <c r="M55" s="241" t="str">
        <f>IF(COUNT(H55,K55)=0,"",N(K55)-N(H55))</f>
        <v/>
      </c>
      <c r="N55" s="240" t="str">
        <f>IF(AND(ISNUMBER(F55),ISNUMBER(G55),F55&gt;0,1-N(Ввод!$J$19)/100&gt;0),G55/(1-N(Ввод!$J$19)/100),IF(AND(ISNUMBER(I55),ISNUMBER(J55),I55&gt;0),J55/(1+N(Ввод!$J$19)/100),""))</f>
        <v/>
      </c>
    </row>
    <row r="56" ht="22" customHeight="1">
      <c r="B56" s="244" t="n"/>
      <c r="C56" s="243" t="n"/>
      <c r="D56" s="244" t="n"/>
      <c r="E56" s="245" t="n"/>
      <c r="F56" s="246" t="n"/>
      <c r="G56" s="183" t="n"/>
      <c r="H56" s="271" t="str">
        <f>IF(AND(ISNUMBER(F56),ISNUMBER(G56)),F56*G56,"")</f>
        <v/>
      </c>
      <c r="I56" s="246" t="n"/>
      <c r="J56" s="183" t="n"/>
      <c r="K56" s="271" t="str">
        <f>IF(AND(ISNUMBER(I56),ISNUMBER(J56)),I56*J56,"")</f>
        <v/>
      </c>
      <c r="L56" s="246" t="str">
        <f>IF(COUNT(F56,I56)=0,"",N(F56)-N(I56))</f>
        <v/>
      </c>
      <c r="M56" s="247" t="str">
        <f>IF(COUNT(H56,K56)=0,"",N(K56)-N(H56))</f>
        <v/>
      </c>
      <c r="N56" s="246" t="str">
        <f>IF(AND(ISNUMBER(F56),ISNUMBER(G56),F56&gt;0,1-N(Ввод!$J$19)/100&gt;0),G56/(1-N(Ввод!$J$19)/100),IF(AND(ISNUMBER(I56),ISNUMBER(J56),I56&gt;0),J56/(1+N(Ввод!$J$19)/100),""))</f>
        <v/>
      </c>
    </row>
    <row r="57" ht="22" customHeight="1">
      <c r="B57" s="238" t="n"/>
      <c r="C57" s="237" t="n"/>
      <c r="D57" s="238" t="n"/>
      <c r="E57" s="239" t="n"/>
      <c r="F57" s="240" t="n"/>
      <c r="G57" s="177" t="n"/>
      <c r="H57" s="271" t="str">
        <f>IF(AND(ISNUMBER(F57),ISNUMBER(G57)),F57*G57,"")</f>
        <v/>
      </c>
      <c r="I57" s="240" t="n"/>
      <c r="J57" s="177" t="n"/>
      <c r="K57" s="271" t="str">
        <f>IF(AND(ISNUMBER(I57),ISNUMBER(J57)),I57*J57,"")</f>
        <v/>
      </c>
      <c r="L57" s="240" t="str">
        <f>IF(COUNT(F57,I57)=0,"",N(F57)-N(I57))</f>
        <v/>
      </c>
      <c r="M57" s="241" t="str">
        <f>IF(COUNT(H57,K57)=0,"",N(K57)-N(H57))</f>
        <v/>
      </c>
      <c r="N57" s="240" t="str">
        <f>IF(AND(ISNUMBER(F57),ISNUMBER(G57),F57&gt;0,1-N(Ввод!$J$19)/100&gt;0),G57/(1-N(Ввод!$J$19)/100),IF(AND(ISNUMBER(I57),ISNUMBER(J57),I57&gt;0),J57/(1+N(Ввод!$J$19)/100),""))</f>
        <v/>
      </c>
    </row>
    <row r="58" ht="22" customHeight="1">
      <c r="B58" s="244" t="n"/>
      <c r="C58" s="243" t="n"/>
      <c r="D58" s="244" t="n"/>
      <c r="E58" s="245" t="n"/>
      <c r="F58" s="246" t="n"/>
      <c r="G58" s="183" t="n"/>
      <c r="H58" s="271" t="str">
        <f>IF(AND(ISNUMBER(F58),ISNUMBER(G58)),F58*G58,"")</f>
        <v/>
      </c>
      <c r="I58" s="246" t="n"/>
      <c r="J58" s="183" t="n"/>
      <c r="K58" s="271" t="str">
        <f>IF(AND(ISNUMBER(I58),ISNUMBER(J58)),I58*J58,"")</f>
        <v/>
      </c>
      <c r="L58" s="246" t="str">
        <f>IF(COUNT(F58,I58)=0,"",N(F58)-N(I58))</f>
        <v/>
      </c>
      <c r="M58" s="247" t="str">
        <f>IF(COUNT(H58,K58)=0,"",N(K58)-N(H58))</f>
        <v/>
      </c>
      <c r="N58" s="246" t="str">
        <f>IF(AND(ISNUMBER(F58),ISNUMBER(G58),F58&gt;0,1-N(Ввод!$J$19)/100&gt;0),G58/(1-N(Ввод!$J$19)/100),IF(AND(ISNUMBER(I58),ISNUMBER(J58),I58&gt;0),J58/(1+N(Ввод!$J$19)/100),""))</f>
        <v/>
      </c>
    </row>
    <row r="59" ht="22" customHeight="1">
      <c r="B59" s="238" t="n"/>
      <c r="C59" s="237" t="n"/>
      <c r="D59" s="238" t="n"/>
      <c r="E59" s="239" t="n"/>
      <c r="F59" s="240" t="n"/>
      <c r="G59" s="177" t="n"/>
      <c r="H59" s="271" t="str">
        <f>IF(AND(ISNUMBER(F59),ISNUMBER(G59)),F59*G59,"")</f>
        <v/>
      </c>
      <c r="I59" s="240" t="n"/>
      <c r="J59" s="177" t="n"/>
      <c r="K59" s="271" t="str">
        <f>IF(AND(ISNUMBER(I59),ISNUMBER(J59)),I59*J59,"")</f>
        <v/>
      </c>
      <c r="L59" s="240" t="str">
        <f>IF(COUNT(F59,I59)=0,"",N(F59)-N(I59))</f>
        <v/>
      </c>
      <c r="M59" s="241" t="str">
        <f>IF(COUNT(H59,K59)=0,"",N(K59)-N(H59))</f>
        <v/>
      </c>
      <c r="N59" s="240" t="str">
        <f>IF(AND(ISNUMBER(F59),ISNUMBER(G59),F59&gt;0,1-N(Ввод!$J$19)/100&gt;0),G59/(1-N(Ввод!$J$19)/100),IF(AND(ISNUMBER(I59),ISNUMBER(J59),I59&gt;0),J59/(1+N(Ввод!$J$19)/100),""))</f>
        <v/>
      </c>
    </row>
    <row r="60" ht="22" customHeight="1">
      <c r="B60" s="244" t="n"/>
      <c r="C60" s="243" t="n"/>
      <c r="D60" s="244" t="n"/>
      <c r="E60" s="245" t="n"/>
      <c r="F60" s="246" t="n"/>
      <c r="G60" s="183" t="n"/>
      <c r="H60" s="271" t="str">
        <f>IF(AND(ISNUMBER(F60),ISNUMBER(G60)),F60*G60,"")</f>
        <v/>
      </c>
      <c r="I60" s="246" t="n"/>
      <c r="J60" s="183" t="n"/>
      <c r="K60" s="271" t="str">
        <f>IF(AND(ISNUMBER(I60),ISNUMBER(J60)),I60*J60,"")</f>
        <v/>
      </c>
      <c r="L60" s="246" t="str">
        <f>IF(COUNT(F60,I60)=0,"",N(F60)-N(I60))</f>
        <v/>
      </c>
      <c r="M60" s="247" t="str">
        <f>IF(COUNT(H60,K60)=0,"",N(K60)-N(H60))</f>
        <v/>
      </c>
      <c r="N60" s="246" t="str">
        <f>IF(AND(ISNUMBER(F60),ISNUMBER(G60),F60&gt;0,1-N(Ввод!$J$19)/100&gt;0),G60/(1-N(Ввод!$J$19)/100),IF(AND(ISNUMBER(I60),ISNUMBER(J60),I60&gt;0),J60/(1+N(Ввод!$J$19)/100),""))</f>
        <v/>
      </c>
    </row>
    <row r="61" ht="22" customHeight="1">
      <c r="B61" s="238" t="n"/>
      <c r="C61" s="237" t="n"/>
      <c r="D61" s="238" t="n"/>
      <c r="E61" s="239" t="n"/>
      <c r="F61" s="240" t="n"/>
      <c r="G61" s="177" t="n"/>
      <c r="H61" s="271" t="str">
        <f>IF(AND(ISNUMBER(F61),ISNUMBER(G61)),F61*G61,"")</f>
        <v/>
      </c>
      <c r="I61" s="240" t="n"/>
      <c r="J61" s="177" t="n"/>
      <c r="K61" s="271" t="str">
        <f>IF(AND(ISNUMBER(I61),ISNUMBER(J61)),I61*J61,"")</f>
        <v/>
      </c>
      <c r="L61" s="240" t="str">
        <f>IF(COUNT(F61,I61)=0,"",N(F61)-N(I61))</f>
        <v/>
      </c>
      <c r="M61" s="241" t="str">
        <f>IF(COUNT(H61,K61)=0,"",N(K61)-N(H61))</f>
        <v/>
      </c>
      <c r="N61" s="240" t="str">
        <f>IF(AND(ISNUMBER(F61),ISNUMBER(G61),F61&gt;0,1-N(Ввод!$J$19)/100&gt;0),G61/(1-N(Ввод!$J$19)/100),IF(AND(ISNUMBER(I61),ISNUMBER(J61),I61&gt;0),J61/(1+N(Ввод!$J$19)/100),""))</f>
        <v/>
      </c>
    </row>
    <row r="62" ht="22" customHeight="1">
      <c r="B62" s="244" t="n"/>
      <c r="C62" s="243" t="n"/>
      <c r="D62" s="244" t="n"/>
      <c r="E62" s="245" t="n"/>
      <c r="F62" s="246" t="n"/>
      <c r="G62" s="183" t="n"/>
      <c r="H62" s="271" t="str">
        <f>IF(AND(ISNUMBER(F62),ISNUMBER(G62)),F62*G62,"")</f>
        <v/>
      </c>
      <c r="I62" s="246" t="n"/>
      <c r="J62" s="183" t="n"/>
      <c r="K62" s="271" t="str">
        <f>IF(AND(ISNUMBER(I62),ISNUMBER(J62)),I62*J62,"")</f>
        <v/>
      </c>
      <c r="L62" s="246" t="str">
        <f>IF(COUNT(F62,I62)=0,"",N(F62)-N(I62))</f>
        <v/>
      </c>
      <c r="M62" s="247" t="str">
        <f>IF(COUNT(H62,K62)=0,"",N(K62)-N(H62))</f>
        <v/>
      </c>
      <c r="N62" s="246" t="str">
        <f>IF(AND(ISNUMBER(F62),ISNUMBER(G62),F62&gt;0,1-N(Ввод!$J$19)/100&gt;0),G62/(1-N(Ввод!$J$19)/100),IF(AND(ISNUMBER(I62),ISNUMBER(J62),I62&gt;0),J62/(1+N(Ввод!$J$19)/100),""))</f>
        <v/>
      </c>
    </row>
    <row r="63" ht="22" customHeight="1">
      <c r="B63" s="238" t="n"/>
      <c r="C63" s="237" t="n"/>
      <c r="D63" s="238" t="n"/>
      <c r="E63" s="239" t="n"/>
      <c r="F63" s="240" t="n"/>
      <c r="G63" s="177" t="n"/>
      <c r="H63" s="271" t="str">
        <f>IF(AND(ISNUMBER(F63),ISNUMBER(G63)),F63*G63,"")</f>
        <v/>
      </c>
      <c r="I63" s="240" t="n"/>
      <c r="J63" s="177" t="n"/>
      <c r="K63" s="271" t="str">
        <f>IF(AND(ISNUMBER(I63),ISNUMBER(J63)),I63*J63,"")</f>
        <v/>
      </c>
      <c r="L63" s="240" t="str">
        <f>IF(COUNT(F63,I63)=0,"",N(F63)-N(I63))</f>
        <v/>
      </c>
      <c r="M63" s="241" t="str">
        <f>IF(COUNT(H63,K63)=0,"",N(K63)-N(H63))</f>
        <v/>
      </c>
      <c r="N63" s="240" t="str">
        <f>IF(AND(ISNUMBER(F63),ISNUMBER(G63),F63&gt;0,1-N(Ввод!$J$19)/100&gt;0),G63/(1-N(Ввод!$J$19)/100),IF(AND(ISNUMBER(I63),ISNUMBER(J63),I63&gt;0),J63/(1+N(Ввод!$J$19)/100),""))</f>
        <v/>
      </c>
    </row>
    <row r="64" ht="22" customHeight="1">
      <c r="B64" s="244" t="n"/>
      <c r="C64" s="243" t="n"/>
      <c r="D64" s="244" t="n"/>
      <c r="E64" s="245" t="n"/>
      <c r="F64" s="246" t="n"/>
      <c r="G64" s="183" t="n"/>
      <c r="H64" s="271" t="str">
        <f>IF(AND(ISNUMBER(F64),ISNUMBER(G64)),F64*G64,"")</f>
        <v/>
      </c>
      <c r="I64" s="246" t="n"/>
      <c r="J64" s="183" t="n"/>
      <c r="K64" s="271" t="str">
        <f>IF(AND(ISNUMBER(I64),ISNUMBER(J64)),I64*J64,"")</f>
        <v/>
      </c>
      <c r="L64" s="246" t="str">
        <f>IF(COUNT(F64,I64)=0,"",N(F64)-N(I64))</f>
        <v/>
      </c>
      <c r="M64" s="247" t="str">
        <f>IF(COUNT(H64,K64)=0,"",N(K64)-N(H64))</f>
        <v/>
      </c>
      <c r="N64" s="246" t="str">
        <f>IF(AND(ISNUMBER(F64),ISNUMBER(G64),F64&gt;0,1-N(Ввод!$J$19)/100&gt;0),G64/(1-N(Ввод!$J$19)/100),IF(AND(ISNUMBER(I64),ISNUMBER(J64),I64&gt;0),J64/(1+N(Ввод!$J$19)/100),""))</f>
        <v/>
      </c>
    </row>
    <row r="65" ht="22" customHeight="1">
      <c r="B65" s="238" t="n"/>
      <c r="C65" s="237" t="n"/>
      <c r="D65" s="238" t="n"/>
      <c r="E65" s="239" t="n"/>
      <c r="F65" s="240" t="n"/>
      <c r="G65" s="177" t="n"/>
      <c r="H65" s="271" t="str">
        <f>IF(AND(ISNUMBER(F65),ISNUMBER(G65)),F65*G65,"")</f>
        <v/>
      </c>
      <c r="I65" s="240" t="n"/>
      <c r="J65" s="177" t="n"/>
      <c r="K65" s="271" t="str">
        <f>IF(AND(ISNUMBER(I65),ISNUMBER(J65)),I65*J65,"")</f>
        <v/>
      </c>
      <c r="L65" s="240" t="str">
        <f>IF(COUNT(F65,I65)=0,"",N(F65)-N(I65))</f>
        <v/>
      </c>
      <c r="M65" s="241" t="str">
        <f>IF(COUNT(H65,K65)=0,"",N(K65)-N(H65))</f>
        <v/>
      </c>
      <c r="N65" s="240" t="str">
        <f>IF(AND(ISNUMBER(F65),ISNUMBER(G65),F65&gt;0,1-N(Ввод!$J$19)/100&gt;0),G65/(1-N(Ввод!$J$19)/100),IF(AND(ISNUMBER(I65),ISNUMBER(J65),I65&gt;0),J65/(1+N(Ввод!$J$19)/100),""))</f>
        <v/>
      </c>
    </row>
    <row r="66" ht="22" customHeight="1">
      <c r="B66" s="244" t="n"/>
      <c r="C66" s="243" t="n"/>
      <c r="D66" s="244" t="n"/>
      <c r="E66" s="245" t="n"/>
      <c r="F66" s="246" t="n"/>
      <c r="G66" s="183" t="n"/>
      <c r="H66" s="271" t="str">
        <f>IF(AND(ISNUMBER(F66),ISNUMBER(G66)),F66*G66,"")</f>
        <v/>
      </c>
      <c r="I66" s="246" t="n"/>
      <c r="J66" s="183" t="n"/>
      <c r="K66" s="271" t="str">
        <f>IF(AND(ISNUMBER(I66),ISNUMBER(J66)),I66*J66,"")</f>
        <v/>
      </c>
      <c r="L66" s="246" t="str">
        <f>IF(COUNT(F66,I66)=0,"",N(F66)-N(I66))</f>
        <v/>
      </c>
      <c r="M66" s="247" t="str">
        <f>IF(COUNT(H66,K66)=0,"",N(K66)-N(H66))</f>
        <v/>
      </c>
      <c r="N66" s="246" t="str">
        <f>IF(AND(ISNUMBER(F66),ISNUMBER(G66),F66&gt;0,1-N(Ввод!$J$19)/100&gt;0),G66/(1-N(Ввод!$J$19)/100),IF(AND(ISNUMBER(I66),ISNUMBER(J66),I66&gt;0),J66/(1+N(Ввод!$J$19)/100),""))</f>
        <v/>
      </c>
    </row>
    <row r="67" ht="22" customHeight="1">
      <c r="B67" s="238" t="n"/>
      <c r="C67" s="237" t="n"/>
      <c r="D67" s="238" t="n"/>
      <c r="E67" s="239" t="n"/>
      <c r="F67" s="240" t="n"/>
      <c r="G67" s="177" t="n"/>
      <c r="H67" s="271" t="str">
        <f>IF(AND(ISNUMBER(F67),ISNUMBER(G67)),F67*G67,"")</f>
        <v/>
      </c>
      <c r="I67" s="240" t="n"/>
      <c r="J67" s="177" t="n"/>
      <c r="K67" s="271" t="str">
        <f>IF(AND(ISNUMBER(I67),ISNUMBER(J67)),I67*J67,"")</f>
        <v/>
      </c>
      <c r="L67" s="240" t="str">
        <f>IF(COUNT(F67,I67)=0,"",N(F67)-N(I67))</f>
        <v/>
      </c>
      <c r="M67" s="241" t="str">
        <f>IF(COUNT(H67,K67)=0,"",N(K67)-N(H67))</f>
        <v/>
      </c>
      <c r="N67" s="240" t="str">
        <f>IF(AND(ISNUMBER(F67),ISNUMBER(G67),F67&gt;0,1-N(Ввод!$J$19)/100&gt;0),G67/(1-N(Ввод!$J$19)/100),IF(AND(ISNUMBER(I67),ISNUMBER(J67),I67&gt;0),J67/(1+N(Ввод!$J$19)/100),""))</f>
        <v/>
      </c>
    </row>
    <row r="68" ht="22" customHeight="1">
      <c r="B68" s="244" t="n"/>
      <c r="C68" s="243" t="n"/>
      <c r="D68" s="244" t="n"/>
      <c r="E68" s="245" t="n"/>
      <c r="F68" s="246" t="n"/>
      <c r="G68" s="183" t="n"/>
      <c r="H68" s="271" t="str">
        <f>IF(AND(ISNUMBER(F68),ISNUMBER(G68)),F68*G68,"")</f>
        <v/>
      </c>
      <c r="I68" s="246" t="n"/>
      <c r="J68" s="183" t="n"/>
      <c r="K68" s="271" t="str">
        <f>IF(AND(ISNUMBER(I68),ISNUMBER(J68)),I68*J68,"")</f>
        <v/>
      </c>
      <c r="L68" s="246" t="str">
        <f>IF(COUNT(F68,I68)=0,"",N(F68)-N(I68))</f>
        <v/>
      </c>
      <c r="M68" s="247" t="str">
        <f>IF(COUNT(H68,K68)=0,"",N(K68)-N(H68))</f>
        <v/>
      </c>
      <c r="N68" s="246" t="str">
        <f>IF(AND(ISNUMBER(F68),ISNUMBER(G68),F68&gt;0,1-N(Ввод!$J$19)/100&gt;0),G68/(1-N(Ввод!$J$19)/100),IF(AND(ISNUMBER(I68),ISNUMBER(J68),I68&gt;0),J68/(1+N(Ввод!$J$19)/100),""))</f>
        <v/>
      </c>
    </row>
    <row r="69" ht="22" customHeight="1">
      <c r="B69" s="238" t="n"/>
      <c r="C69" s="237" t="n"/>
      <c r="D69" s="238" t="n"/>
      <c r="E69" s="239" t="n"/>
      <c r="F69" s="240" t="n"/>
      <c r="G69" s="177" t="n"/>
      <c r="H69" s="271" t="str">
        <f>IF(AND(ISNUMBER(F69),ISNUMBER(G69)),F69*G69,"")</f>
        <v/>
      </c>
      <c r="I69" s="240" t="n"/>
      <c r="J69" s="177" t="n"/>
      <c r="K69" s="271" t="str">
        <f>IF(AND(ISNUMBER(I69),ISNUMBER(J69)),I69*J69,"")</f>
        <v/>
      </c>
      <c r="L69" s="240" t="str">
        <f>IF(COUNT(F69,I69)=0,"",N(F69)-N(I69))</f>
        <v/>
      </c>
      <c r="M69" s="241" t="str">
        <f>IF(COUNT(H69,K69)=0,"",N(K69)-N(H69))</f>
        <v/>
      </c>
      <c r="N69" s="240" t="str">
        <f>IF(AND(ISNUMBER(F69),ISNUMBER(G69),F69&gt;0,1-N(Ввод!$J$19)/100&gt;0),G69/(1-N(Ввод!$J$19)/100),IF(AND(ISNUMBER(I69),ISNUMBER(J69),I69&gt;0),J69/(1+N(Ввод!$J$19)/100),""))</f>
        <v/>
      </c>
    </row>
    <row r="70" ht="22" customHeight="1">
      <c r="B70" s="244" t="n"/>
      <c r="C70" s="243" t="n"/>
      <c r="D70" s="244" t="n"/>
      <c r="E70" s="245" t="n"/>
      <c r="F70" s="246" t="n"/>
      <c r="G70" s="183" t="n"/>
      <c r="H70" s="271" t="str">
        <f>IF(AND(ISNUMBER(F70),ISNUMBER(G70)),F70*G70,"")</f>
        <v/>
      </c>
      <c r="I70" s="246" t="n"/>
      <c r="J70" s="183" t="n"/>
      <c r="K70" s="271" t="str">
        <f>IF(AND(ISNUMBER(I70),ISNUMBER(J70)),I70*J70,"")</f>
        <v/>
      </c>
      <c r="L70" s="246" t="str">
        <f>IF(COUNT(F70,I70)=0,"",N(F70)-N(I70))</f>
        <v/>
      </c>
      <c r="M70" s="247" t="str">
        <f>IF(COUNT(H70,K70)=0,"",N(K70)-N(H70))</f>
        <v/>
      </c>
      <c r="N70" s="246" t="str">
        <f>IF(AND(ISNUMBER(F70),ISNUMBER(G70),F70&gt;0,1-N(Ввод!$J$19)/100&gt;0),G70/(1-N(Ввод!$J$19)/100),IF(AND(ISNUMBER(I70),ISNUMBER(J70),I70&gt;0),J70/(1+N(Ввод!$J$19)/100),""))</f>
        <v/>
      </c>
    </row>
    <row r="71" ht="22" customHeight="1">
      <c r="B71" s="238" t="n"/>
      <c r="C71" s="237" t="n"/>
      <c r="D71" s="238" t="n"/>
      <c r="E71" s="239" t="n"/>
      <c r="F71" s="240" t="n"/>
      <c r="G71" s="177" t="n"/>
      <c r="H71" s="271" t="str">
        <f>IF(AND(ISNUMBER(F71),ISNUMBER(G71)),F71*G71,"")</f>
        <v/>
      </c>
      <c r="I71" s="240" t="n"/>
      <c r="J71" s="177" t="n"/>
      <c r="K71" s="271" t="str">
        <f>IF(AND(ISNUMBER(I71),ISNUMBER(J71)),I71*J71,"")</f>
        <v/>
      </c>
      <c r="L71" s="240" t="str">
        <f>IF(COUNT(F71,I71)=0,"",N(F71)-N(I71))</f>
        <v/>
      </c>
      <c r="M71" s="241" t="str">
        <f>IF(COUNT(H71,K71)=0,"",N(K71)-N(H71))</f>
        <v/>
      </c>
      <c r="N71" s="240" t="str">
        <f>IF(AND(ISNUMBER(F71),ISNUMBER(G71),F71&gt;0,1-N(Ввод!$J$19)/100&gt;0),G71/(1-N(Ввод!$J$19)/100),IF(AND(ISNUMBER(I71),ISNUMBER(J71),I71&gt;0),J71/(1+N(Ввод!$J$19)/100),""))</f>
        <v/>
      </c>
    </row>
    <row r="72" ht="22" customHeight="1">
      <c r="B72" s="244" t="n"/>
      <c r="C72" s="243" t="n"/>
      <c r="D72" s="244" t="n"/>
      <c r="E72" s="245" t="n"/>
      <c r="F72" s="246" t="n"/>
      <c r="G72" s="183" t="n"/>
      <c r="H72" s="271" t="str">
        <f>IF(AND(ISNUMBER(F72),ISNUMBER(G72)),F72*G72,"")</f>
        <v/>
      </c>
      <c r="I72" s="246" t="n"/>
      <c r="J72" s="183" t="n"/>
      <c r="K72" s="271" t="str">
        <f>IF(AND(ISNUMBER(I72),ISNUMBER(J72)),I72*J72,"")</f>
        <v/>
      </c>
      <c r="L72" s="246" t="str">
        <f>IF(COUNT(F72,I72)=0,"",N(F72)-N(I72))</f>
        <v/>
      </c>
      <c r="M72" s="247" t="str">
        <f>IF(COUNT(H72,K72)=0,"",N(K72)-N(H72))</f>
        <v/>
      </c>
      <c r="N72" s="246" t="str">
        <f>IF(AND(ISNUMBER(F72),ISNUMBER(G72),F72&gt;0,1-N(Ввод!$J$19)/100&gt;0),G72/(1-N(Ввод!$J$19)/100),IF(AND(ISNUMBER(I72),ISNUMBER(J72),I72&gt;0),J72/(1+N(Ввод!$J$19)/100),""))</f>
        <v/>
      </c>
    </row>
    <row r="73" ht="22" customHeight="1">
      <c r="B73" s="238" t="n"/>
      <c r="C73" s="237" t="n"/>
      <c r="D73" s="238" t="n"/>
      <c r="E73" s="239" t="n"/>
      <c r="F73" s="240" t="n"/>
      <c r="G73" s="177" t="n"/>
      <c r="H73" s="271" t="str">
        <f>IF(AND(ISNUMBER(F73),ISNUMBER(G73)),F73*G73,"")</f>
        <v/>
      </c>
      <c r="I73" s="240" t="n"/>
      <c r="J73" s="177" t="n"/>
      <c r="K73" s="271" t="str">
        <f>IF(AND(ISNUMBER(I73),ISNUMBER(J73)),I73*J73,"")</f>
        <v/>
      </c>
      <c r="L73" s="240" t="str">
        <f>IF(COUNT(F73,I73)=0,"",N(F73)-N(I73))</f>
        <v/>
      </c>
      <c r="M73" s="241" t="str">
        <f>IF(COUNT(H73,K73)=0,"",N(K73)-N(H73))</f>
        <v/>
      </c>
      <c r="N73" s="240" t="str">
        <f>IF(AND(ISNUMBER(F73),ISNUMBER(G73),F73&gt;0,1-N(Ввод!$J$19)/100&gt;0),G73/(1-N(Ввод!$J$19)/100),IF(AND(ISNUMBER(I73),ISNUMBER(J73),I73&gt;0),J73/(1+N(Ввод!$J$19)/100),""))</f>
        <v/>
      </c>
    </row>
    <row r="74" ht="22" customHeight="1">
      <c r="B74" s="244" t="n"/>
      <c r="C74" s="243" t="n"/>
      <c r="D74" s="244" t="n"/>
      <c r="E74" s="245" t="n"/>
      <c r="F74" s="246" t="n"/>
      <c r="G74" s="183" t="n"/>
      <c r="H74" s="271" t="str">
        <f>IF(AND(ISNUMBER(F74),ISNUMBER(G74)),F74*G74,"")</f>
        <v/>
      </c>
      <c r="I74" s="246" t="n"/>
      <c r="J74" s="183" t="n"/>
      <c r="K74" s="271" t="str">
        <f>IF(AND(ISNUMBER(I74),ISNUMBER(J74)),I74*J74,"")</f>
        <v/>
      </c>
      <c r="L74" s="246" t="str">
        <f>IF(COUNT(F74,I74)=0,"",N(F74)-N(I74))</f>
        <v/>
      </c>
      <c r="M74" s="247" t="str">
        <f>IF(COUNT(H74,K74)=0,"",N(K74)-N(H74))</f>
        <v/>
      </c>
      <c r="N74" s="246" t="str">
        <f>IF(AND(ISNUMBER(F74),ISNUMBER(G74),F74&gt;0,1-N(Ввод!$J$19)/100&gt;0),G74/(1-N(Ввод!$J$19)/100),IF(AND(ISNUMBER(I74),ISNUMBER(J74),I74&gt;0),J74/(1+N(Ввод!$J$19)/100),""))</f>
        <v/>
      </c>
    </row>
    <row r="75" ht="22" customHeight="1">
      <c r="B75" s="238" t="n"/>
      <c r="C75" s="237" t="n"/>
      <c r="D75" s="238" t="n"/>
      <c r="E75" s="239" t="n"/>
      <c r="F75" s="240" t="n"/>
      <c r="G75" s="177" t="n"/>
      <c r="H75" s="271" t="str">
        <f>IF(AND(ISNUMBER(F75),ISNUMBER(G75)),F75*G75,"")</f>
        <v/>
      </c>
      <c r="I75" s="240" t="n"/>
      <c r="J75" s="177" t="n"/>
      <c r="K75" s="271" t="str">
        <f>IF(AND(ISNUMBER(I75),ISNUMBER(J75)),I75*J75,"")</f>
        <v/>
      </c>
      <c r="L75" s="240" t="str">
        <f>IF(COUNT(F75,I75)=0,"",N(F75)-N(I75))</f>
        <v/>
      </c>
      <c r="M75" s="241" t="str">
        <f>IF(COUNT(H75,K75)=0,"",N(K75)-N(H75))</f>
        <v/>
      </c>
      <c r="N75" s="240" t="str">
        <f>IF(AND(ISNUMBER(F75),ISNUMBER(G75),F75&gt;0,1-N(Ввод!$J$19)/100&gt;0),G75/(1-N(Ввод!$J$19)/100),IF(AND(ISNUMBER(I75),ISNUMBER(J75),I75&gt;0),J75/(1+N(Ввод!$J$19)/100),""))</f>
        <v/>
      </c>
    </row>
    <row r="76" ht="22" customHeight="1">
      <c r="B76" s="244" t="n"/>
      <c r="C76" s="243" t="n"/>
      <c r="D76" s="244" t="n"/>
      <c r="E76" s="245" t="n"/>
      <c r="F76" s="246" t="n"/>
      <c r="G76" s="183" t="n"/>
      <c r="H76" s="271" t="str">
        <f>IF(AND(ISNUMBER(F76),ISNUMBER(G76)),F76*G76,"")</f>
        <v/>
      </c>
      <c r="I76" s="246" t="n"/>
      <c r="J76" s="183" t="n"/>
      <c r="K76" s="271" t="str">
        <f>IF(AND(ISNUMBER(I76),ISNUMBER(J76)),I76*J76,"")</f>
        <v/>
      </c>
      <c r="L76" s="246" t="str">
        <f>IF(COUNT(F76,I76)=0,"",N(F76)-N(I76))</f>
        <v/>
      </c>
      <c r="M76" s="247" t="str">
        <f>IF(COUNT(H76,K76)=0,"",N(K76)-N(H76))</f>
        <v/>
      </c>
      <c r="N76" s="246" t="str">
        <f>IF(AND(ISNUMBER(F76),ISNUMBER(G76),F76&gt;0,1-N(Ввод!$J$19)/100&gt;0),G76/(1-N(Ввод!$J$19)/100),IF(AND(ISNUMBER(I76),ISNUMBER(J76),I76&gt;0),J76/(1+N(Ввод!$J$19)/100),""))</f>
        <v/>
      </c>
    </row>
    <row r="77" ht="22" customHeight="1">
      <c r="B77" s="238" t="n"/>
      <c r="C77" s="237" t="n"/>
      <c r="D77" s="238" t="n"/>
      <c r="E77" s="239" t="n"/>
      <c r="F77" s="240" t="n"/>
      <c r="G77" s="177" t="n"/>
      <c r="H77" s="271" t="str">
        <f>IF(AND(ISNUMBER(F77),ISNUMBER(G77)),F77*G77,"")</f>
        <v/>
      </c>
      <c r="I77" s="240" t="n"/>
      <c r="J77" s="177" t="n"/>
      <c r="K77" s="271" t="str">
        <f>IF(AND(ISNUMBER(I77),ISNUMBER(J77)),I77*J77,"")</f>
        <v/>
      </c>
      <c r="L77" s="240" t="str">
        <f>IF(COUNT(F77,I77)=0,"",N(F77)-N(I77))</f>
        <v/>
      </c>
      <c r="M77" s="241" t="str">
        <f>IF(COUNT(H77,K77)=0,"",N(K77)-N(H77))</f>
        <v/>
      </c>
      <c r="N77" s="240" t="str">
        <f>IF(AND(ISNUMBER(F77),ISNUMBER(G77),F77&gt;0,1-N(Ввод!$J$19)/100&gt;0),G77/(1-N(Ввод!$J$19)/100),IF(AND(ISNUMBER(I77),ISNUMBER(J77),I77&gt;0),J77/(1+N(Ввод!$J$19)/100),""))</f>
        <v/>
      </c>
    </row>
    <row r="78" ht="22" customHeight="1">
      <c r="B78" s="244" t="n"/>
      <c r="C78" s="243" t="n"/>
      <c r="D78" s="244" t="n"/>
      <c r="E78" s="245" t="n"/>
      <c r="F78" s="246" t="n"/>
      <c r="G78" s="183" t="n"/>
      <c r="H78" s="271" t="str">
        <f>IF(AND(ISNUMBER(F78),ISNUMBER(G78)),F78*G78,"")</f>
        <v/>
      </c>
      <c r="I78" s="246" t="n"/>
      <c r="J78" s="183" t="n"/>
      <c r="K78" s="271" t="str">
        <f>IF(AND(ISNUMBER(I78),ISNUMBER(J78)),I78*J78,"")</f>
        <v/>
      </c>
      <c r="L78" s="246" t="str">
        <f>IF(COUNT(F78,I78)=0,"",N(F78)-N(I78))</f>
        <v/>
      </c>
      <c r="M78" s="247" t="str">
        <f>IF(COUNT(H78,K78)=0,"",N(K78)-N(H78))</f>
        <v/>
      </c>
      <c r="N78" s="246" t="str">
        <f>IF(AND(ISNUMBER(F78),ISNUMBER(G78),F78&gt;0,1-N(Ввод!$J$19)/100&gt;0),G78/(1-N(Ввод!$J$19)/100),IF(AND(ISNUMBER(I78),ISNUMBER(J78),I78&gt;0),J78/(1+N(Ввод!$J$19)/100),""))</f>
        <v/>
      </c>
    </row>
    <row r="79" ht="22" customHeight="1">
      <c r="B79" s="238" t="n"/>
      <c r="C79" s="237" t="n"/>
      <c r="D79" s="238" t="n"/>
      <c r="E79" s="239" t="n"/>
      <c r="F79" s="240" t="n"/>
      <c r="G79" s="177" t="n"/>
      <c r="H79" s="271" t="str">
        <f>IF(AND(ISNUMBER(F79),ISNUMBER(G79)),F79*G79,"")</f>
        <v/>
      </c>
      <c r="I79" s="240" t="n"/>
      <c r="J79" s="177" t="n"/>
      <c r="K79" s="271" t="str">
        <f>IF(AND(ISNUMBER(I79),ISNUMBER(J79)),I79*J79,"")</f>
        <v/>
      </c>
      <c r="L79" s="240" t="str">
        <f>IF(COUNT(F79,I79)=0,"",N(F79)-N(I79))</f>
        <v/>
      </c>
      <c r="M79" s="241" t="str">
        <f>IF(COUNT(H79,K79)=0,"",N(K79)-N(H79))</f>
        <v/>
      </c>
      <c r="N79" s="240" t="str">
        <f>IF(AND(ISNUMBER(F79),ISNUMBER(G79),F79&gt;0,1-N(Ввод!$J$19)/100&gt;0),G79/(1-N(Ввод!$J$19)/100),IF(AND(ISNUMBER(I79),ISNUMBER(J79),I79&gt;0),J79/(1+N(Ввод!$J$19)/100),""))</f>
        <v/>
      </c>
    </row>
    <row r="80" ht="22" customHeight="1">
      <c r="B80" s="244" t="n"/>
      <c r="C80" s="243" t="n"/>
      <c r="D80" s="244" t="n"/>
      <c r="E80" s="245" t="n"/>
      <c r="F80" s="246" t="n"/>
      <c r="G80" s="183" t="n"/>
      <c r="H80" s="271" t="str">
        <f>IF(AND(ISNUMBER(F80),ISNUMBER(G80)),F80*G80,"")</f>
        <v/>
      </c>
      <c r="I80" s="246" t="n"/>
      <c r="J80" s="183" t="n"/>
      <c r="K80" s="271" t="str">
        <f>IF(AND(ISNUMBER(I80),ISNUMBER(J80)),I80*J80,"")</f>
        <v/>
      </c>
      <c r="L80" s="246" t="str">
        <f>IF(COUNT(F80,I80)=0,"",N(F80)-N(I80))</f>
        <v/>
      </c>
      <c r="M80" s="247" t="str">
        <f>IF(COUNT(H80,K80)=0,"",N(K80)-N(H80))</f>
        <v/>
      </c>
      <c r="N80" s="246" t="str">
        <f>IF(AND(ISNUMBER(F80),ISNUMBER(G80),F80&gt;0,1-N(Ввод!$J$19)/100&gt;0),G80/(1-N(Ввод!$J$19)/100),IF(AND(ISNUMBER(I80),ISNUMBER(J80),I80&gt;0),J80/(1+N(Ввод!$J$19)/100),""))</f>
        <v/>
      </c>
    </row>
    <row r="81" ht="22" customHeight="1">
      <c r="B81" s="238" t="n"/>
      <c r="C81" s="237" t="n"/>
      <c r="D81" s="238" t="n"/>
      <c r="E81" s="239" t="n"/>
      <c r="F81" s="240" t="n"/>
      <c r="G81" s="177" t="n"/>
      <c r="H81" s="271" t="str">
        <f>IF(AND(ISNUMBER(F81),ISNUMBER(G81)),F81*G81,"")</f>
        <v/>
      </c>
      <c r="I81" s="240" t="n"/>
      <c r="J81" s="177" t="n"/>
      <c r="K81" s="271" t="str">
        <f>IF(AND(ISNUMBER(I81),ISNUMBER(J81)),I81*J81,"")</f>
        <v/>
      </c>
      <c r="L81" s="240" t="str">
        <f>IF(COUNT(F81,I81)=0,"",N(F81)-N(I81))</f>
        <v/>
      </c>
      <c r="M81" s="241" t="str">
        <f>IF(COUNT(H81,K81)=0,"",N(K81)-N(H81))</f>
        <v/>
      </c>
      <c r="N81" s="240" t="str">
        <f>IF(AND(ISNUMBER(F81),ISNUMBER(G81),F81&gt;0,1-N(Ввод!$J$19)/100&gt;0),G81/(1-N(Ввод!$J$19)/100),IF(AND(ISNUMBER(I81),ISNUMBER(J81),I81&gt;0),J81/(1+N(Ввод!$J$19)/100),""))</f>
        <v/>
      </c>
    </row>
    <row r="82" ht="22" customHeight="1">
      <c r="B82" s="244" t="n"/>
      <c r="C82" s="243" t="n"/>
      <c r="D82" s="244" t="n"/>
      <c r="E82" s="245" t="n"/>
      <c r="F82" s="246" t="n"/>
      <c r="G82" s="183" t="n"/>
      <c r="H82" s="271" t="str">
        <f>IF(AND(ISNUMBER(F82),ISNUMBER(G82)),F82*G82,"")</f>
        <v/>
      </c>
      <c r="I82" s="246" t="n"/>
      <c r="J82" s="183" t="n"/>
      <c r="K82" s="271" t="str">
        <f>IF(AND(ISNUMBER(I82),ISNUMBER(J82)),I82*J82,"")</f>
        <v/>
      </c>
      <c r="L82" s="246" t="str">
        <f>IF(COUNT(F82,I82)=0,"",N(F82)-N(I82))</f>
        <v/>
      </c>
      <c r="M82" s="247" t="str">
        <f>IF(COUNT(H82,K82)=0,"",N(K82)-N(H82))</f>
        <v/>
      </c>
      <c r="N82" s="246" t="str">
        <f>IF(AND(ISNUMBER(F82),ISNUMBER(G82),F82&gt;0,1-N(Ввод!$J$19)/100&gt;0),G82/(1-N(Ввод!$J$19)/100),IF(AND(ISNUMBER(I82),ISNUMBER(J82),I82&gt;0),J82/(1+N(Ввод!$J$19)/100),""))</f>
        <v/>
      </c>
    </row>
    <row r="83" ht="22" customHeight="1">
      <c r="B83" s="238" t="n"/>
      <c r="C83" s="237" t="n"/>
      <c r="D83" s="238" t="n"/>
      <c r="E83" s="239" t="n"/>
      <c r="F83" s="240" t="n"/>
      <c r="G83" s="177" t="n"/>
      <c r="H83" s="271" t="str">
        <f>IF(AND(ISNUMBER(F83),ISNUMBER(G83)),F83*G83,"")</f>
        <v/>
      </c>
      <c r="I83" s="240" t="n"/>
      <c r="J83" s="177" t="n"/>
      <c r="K83" s="271" t="str">
        <f>IF(AND(ISNUMBER(I83),ISNUMBER(J83)),I83*J83,"")</f>
        <v/>
      </c>
      <c r="L83" s="240" t="str">
        <f>IF(COUNT(F83,I83)=0,"",N(F83)-N(I83))</f>
        <v/>
      </c>
      <c r="M83" s="241" t="str">
        <f>IF(COUNT(H83,K83)=0,"",N(K83)-N(H83))</f>
        <v/>
      </c>
      <c r="N83" s="240" t="str">
        <f>IF(AND(ISNUMBER(F83),ISNUMBER(G83),F83&gt;0,1-N(Ввод!$J$19)/100&gt;0),G83/(1-N(Ввод!$J$19)/100),IF(AND(ISNUMBER(I83),ISNUMBER(J83),I83&gt;0),J83/(1+N(Ввод!$J$19)/100),""))</f>
        <v/>
      </c>
    </row>
    <row r="84" ht="22" customHeight="1">
      <c r="B84" s="244" t="n"/>
      <c r="C84" s="243" t="n"/>
      <c r="D84" s="244" t="n"/>
      <c r="E84" s="245" t="n"/>
      <c r="F84" s="246" t="n"/>
      <c r="G84" s="183" t="n"/>
      <c r="H84" s="271" t="str">
        <f>IF(AND(ISNUMBER(F84),ISNUMBER(G84)),F84*G84,"")</f>
        <v/>
      </c>
      <c r="I84" s="246" t="n"/>
      <c r="J84" s="183" t="n"/>
      <c r="K84" s="271" t="str">
        <f>IF(AND(ISNUMBER(I84),ISNUMBER(J84)),I84*J84,"")</f>
        <v/>
      </c>
      <c r="L84" s="246" t="str">
        <f>IF(COUNT(F84,I84)=0,"",N(F84)-N(I84))</f>
        <v/>
      </c>
      <c r="M84" s="247" t="str">
        <f>IF(COUNT(H84,K84)=0,"",N(K84)-N(H84))</f>
        <v/>
      </c>
      <c r="N84" s="246" t="str">
        <f>IF(AND(ISNUMBER(F84),ISNUMBER(G84),F84&gt;0,1-N(Ввод!$J$19)/100&gt;0),G84/(1-N(Ввод!$J$19)/100),IF(AND(ISNUMBER(I84),ISNUMBER(J84),I84&gt;0),J84/(1+N(Ввод!$J$19)/100),""))</f>
        <v/>
      </c>
    </row>
    <row r="85" ht="22" customHeight="1">
      <c r="B85" s="238" t="n"/>
      <c r="C85" s="237" t="n"/>
      <c r="D85" s="238" t="n"/>
      <c r="E85" s="239" t="n"/>
      <c r="F85" s="240" t="n"/>
      <c r="G85" s="177" t="n"/>
      <c r="H85" s="271" t="str">
        <f>IF(AND(ISNUMBER(F85),ISNUMBER(G85)),F85*G85,"")</f>
        <v/>
      </c>
      <c r="I85" s="240" t="n"/>
      <c r="J85" s="177" t="n"/>
      <c r="K85" s="271" t="str">
        <f>IF(AND(ISNUMBER(I85),ISNUMBER(J85)),I85*J85,"")</f>
        <v/>
      </c>
      <c r="L85" s="240" t="str">
        <f>IF(COUNT(F85,I85)=0,"",N(F85)-N(I85))</f>
        <v/>
      </c>
      <c r="M85" s="241" t="str">
        <f>IF(COUNT(H85,K85)=0,"",N(K85)-N(H85))</f>
        <v/>
      </c>
      <c r="N85" s="240" t="str">
        <f>IF(AND(ISNUMBER(F85),ISNUMBER(G85),F85&gt;0,1-N(Ввод!$J$19)/100&gt;0),G85/(1-N(Ввод!$J$19)/100),IF(AND(ISNUMBER(I85),ISNUMBER(J85),I85&gt;0),J85/(1+N(Ввод!$J$19)/100),""))</f>
        <v/>
      </c>
    </row>
    <row r="86" ht="22" customHeight="1">
      <c r="B86" s="244" t="n"/>
      <c r="C86" s="243" t="n"/>
      <c r="D86" s="244" t="n"/>
      <c r="E86" s="245" t="n"/>
      <c r="F86" s="246" t="n"/>
      <c r="G86" s="183" t="n"/>
      <c r="H86" s="271" t="str">
        <f>IF(AND(ISNUMBER(F86),ISNUMBER(G86)),F86*G86,"")</f>
        <v/>
      </c>
      <c r="I86" s="246" t="n"/>
      <c r="J86" s="183" t="n"/>
      <c r="K86" s="271" t="str">
        <f>IF(AND(ISNUMBER(I86),ISNUMBER(J86)),I86*J86,"")</f>
        <v/>
      </c>
      <c r="L86" s="246" t="str">
        <f>IF(COUNT(F86,I86)=0,"",N(F86)-N(I86))</f>
        <v/>
      </c>
      <c r="M86" s="247" t="str">
        <f>IF(COUNT(H86,K86)=0,"",N(K86)-N(H86))</f>
        <v/>
      </c>
      <c r="N86" s="246" t="str">
        <f>IF(AND(ISNUMBER(F86),ISNUMBER(G86),F86&gt;0,1-N(Ввод!$J$19)/100&gt;0),G86/(1-N(Ввод!$J$19)/100),IF(AND(ISNUMBER(I86),ISNUMBER(J86),I86&gt;0),J86/(1+N(Ввод!$J$19)/100),""))</f>
        <v/>
      </c>
    </row>
    <row r="87" ht="22" customHeight="1">
      <c r="B87" s="238" t="n"/>
      <c r="C87" s="237" t="n"/>
      <c r="D87" s="238" t="n"/>
      <c r="E87" s="239" t="n"/>
      <c r="F87" s="240" t="n"/>
      <c r="G87" s="177" t="n"/>
      <c r="H87" s="271" t="str">
        <f>IF(AND(ISNUMBER(F87),ISNUMBER(G87)),F87*G87,"")</f>
        <v/>
      </c>
      <c r="I87" s="240" t="n"/>
      <c r="J87" s="177" t="n"/>
      <c r="K87" s="271" t="str">
        <f>IF(AND(ISNUMBER(I87),ISNUMBER(J87)),I87*J87,"")</f>
        <v/>
      </c>
      <c r="L87" s="240" t="str">
        <f>IF(COUNT(F87,I87)=0,"",N(F87)-N(I87))</f>
        <v/>
      </c>
      <c r="M87" s="241" t="str">
        <f>IF(COUNT(H87,K87)=0,"",N(K87)-N(H87))</f>
        <v/>
      </c>
      <c r="N87" s="240" t="str">
        <f>IF(AND(ISNUMBER(F87),ISNUMBER(G87),F87&gt;0,1-N(Ввод!$J$19)/100&gt;0),G87/(1-N(Ввод!$J$19)/100),IF(AND(ISNUMBER(I87),ISNUMBER(J87),I87&gt;0),J87/(1+N(Ввод!$J$19)/100),""))</f>
        <v/>
      </c>
    </row>
    <row r="88" ht="22" customHeight="1">
      <c r="B88" s="244" t="n"/>
      <c r="C88" s="243" t="n"/>
      <c r="D88" s="244" t="n"/>
      <c r="E88" s="245" t="n"/>
      <c r="F88" s="246" t="n"/>
      <c r="G88" s="183" t="n"/>
      <c r="H88" s="271" t="str">
        <f>IF(AND(ISNUMBER(F88),ISNUMBER(G88)),F88*G88,"")</f>
        <v/>
      </c>
      <c r="I88" s="246" t="n"/>
      <c r="J88" s="183" t="n"/>
      <c r="K88" s="271" t="str">
        <f>IF(AND(ISNUMBER(I88),ISNUMBER(J88)),I88*J88,"")</f>
        <v/>
      </c>
      <c r="L88" s="246" t="str">
        <f>IF(COUNT(F88,I88)=0,"",N(F88)-N(I88))</f>
        <v/>
      </c>
      <c r="M88" s="247" t="str">
        <f>IF(COUNT(H88,K88)=0,"",N(K88)-N(H88))</f>
        <v/>
      </c>
      <c r="N88" s="246" t="str">
        <f>IF(AND(ISNUMBER(F88),ISNUMBER(G88),F88&gt;0,1-N(Ввод!$J$19)/100&gt;0),G88/(1-N(Ввод!$J$19)/100),IF(AND(ISNUMBER(I88),ISNUMBER(J88),I88&gt;0),J88/(1+N(Ввод!$J$19)/100),""))</f>
        <v/>
      </c>
    </row>
    <row r="89" ht="22" customHeight="1">
      <c r="B89" s="238" t="n"/>
      <c r="C89" s="237" t="n"/>
      <c r="D89" s="238" t="n"/>
      <c r="E89" s="239" t="n"/>
      <c r="F89" s="240" t="n"/>
      <c r="G89" s="177" t="n"/>
      <c r="H89" s="271" t="str">
        <f>IF(AND(ISNUMBER(F89),ISNUMBER(G89)),F89*G89,"")</f>
        <v/>
      </c>
      <c r="I89" s="240" t="n"/>
      <c r="J89" s="177" t="n"/>
      <c r="K89" s="271" t="str">
        <f>IF(AND(ISNUMBER(I89),ISNUMBER(J89)),I89*J89,"")</f>
        <v/>
      </c>
      <c r="L89" s="240" t="str">
        <f>IF(COUNT(F89,I89)=0,"",N(F89)-N(I89))</f>
        <v/>
      </c>
      <c r="M89" s="241" t="str">
        <f>IF(COUNT(H89,K89)=0,"",N(K89)-N(H89))</f>
        <v/>
      </c>
      <c r="N89" s="240" t="str">
        <f>IF(AND(ISNUMBER(F89),ISNUMBER(G89),F89&gt;0,1-N(Ввод!$J$19)/100&gt;0),G89/(1-N(Ввод!$J$19)/100),IF(AND(ISNUMBER(I89),ISNUMBER(J89),I89&gt;0),J89/(1+N(Ввод!$J$19)/100),""))</f>
        <v/>
      </c>
    </row>
    <row r="90" ht="22" customHeight="1">
      <c r="B90" s="244" t="n"/>
      <c r="C90" s="243" t="n"/>
      <c r="D90" s="244" t="n"/>
      <c r="E90" s="245" t="n"/>
      <c r="F90" s="246" t="n"/>
      <c r="G90" s="183" t="n"/>
      <c r="H90" s="271" t="str">
        <f>IF(AND(ISNUMBER(F90),ISNUMBER(G90)),F90*G90,"")</f>
        <v/>
      </c>
      <c r="I90" s="246" t="n"/>
      <c r="J90" s="183" t="n"/>
      <c r="K90" s="271" t="str">
        <f>IF(AND(ISNUMBER(I90),ISNUMBER(J90)),I90*J90,"")</f>
        <v/>
      </c>
      <c r="L90" s="246" t="str">
        <f>IF(COUNT(F90,I90)=0,"",N(F90)-N(I90))</f>
        <v/>
      </c>
      <c r="M90" s="247" t="str">
        <f>IF(COUNT(H90,K90)=0,"",N(K90)-N(H90))</f>
        <v/>
      </c>
      <c r="N90" s="246" t="str">
        <f>IF(AND(ISNUMBER(F90),ISNUMBER(G90),F90&gt;0,1-N(Ввод!$J$19)/100&gt;0),G90/(1-N(Ввод!$J$19)/100),IF(AND(ISNUMBER(I90),ISNUMBER(J90),I90&gt;0),J90/(1+N(Ввод!$J$19)/100),""))</f>
        <v/>
      </c>
    </row>
    <row r="91" ht="22" customHeight="1">
      <c r="B91" s="238" t="n"/>
      <c r="C91" s="237" t="n"/>
      <c r="D91" s="238" t="n"/>
      <c r="E91" s="239" t="n"/>
      <c r="F91" s="240" t="n"/>
      <c r="G91" s="177" t="n"/>
      <c r="H91" s="271" t="str">
        <f>IF(AND(ISNUMBER(F91),ISNUMBER(G91)),F91*G91,"")</f>
        <v/>
      </c>
      <c r="I91" s="240" t="n"/>
      <c r="J91" s="177" t="n"/>
      <c r="K91" s="271" t="str">
        <f>IF(AND(ISNUMBER(I91),ISNUMBER(J91)),I91*J91,"")</f>
        <v/>
      </c>
      <c r="L91" s="240" t="str">
        <f>IF(COUNT(F91,I91)=0,"",N(F91)-N(I91))</f>
        <v/>
      </c>
      <c r="M91" s="241" t="str">
        <f>IF(COUNT(H91,K91)=0,"",N(K91)-N(H91))</f>
        <v/>
      </c>
      <c r="N91" s="240" t="str">
        <f>IF(AND(ISNUMBER(F91),ISNUMBER(G91),F91&gt;0,1-N(Ввод!$J$19)/100&gt;0),G91/(1-N(Ввод!$J$19)/100),IF(AND(ISNUMBER(I91),ISNUMBER(J91),I91&gt;0),J91/(1+N(Ввод!$J$19)/100),""))</f>
        <v/>
      </c>
    </row>
    <row r="92" ht="22" customHeight="1">
      <c r="B92" s="244" t="n"/>
      <c r="C92" s="243" t="n"/>
      <c r="D92" s="244" t="n"/>
      <c r="E92" s="245" t="n"/>
      <c r="F92" s="246" t="n"/>
      <c r="G92" s="183" t="n"/>
      <c r="H92" s="271" t="str">
        <f>IF(AND(ISNUMBER(F92),ISNUMBER(G92)),F92*G92,"")</f>
        <v/>
      </c>
      <c r="I92" s="246" t="n"/>
      <c r="J92" s="183" t="n"/>
      <c r="K92" s="271" t="str">
        <f>IF(AND(ISNUMBER(I92),ISNUMBER(J92)),I92*J92,"")</f>
        <v/>
      </c>
      <c r="L92" s="246" t="str">
        <f>IF(COUNT(F92,I92)=0,"",N(F92)-N(I92))</f>
        <v/>
      </c>
      <c r="M92" s="247" t="str">
        <f>IF(COUNT(H92,K92)=0,"",N(K92)-N(H92))</f>
        <v/>
      </c>
      <c r="N92" s="246" t="str">
        <f>IF(AND(ISNUMBER(F92),ISNUMBER(G92),F92&gt;0,1-N(Ввод!$J$19)/100&gt;0),G92/(1-N(Ввод!$J$19)/100),IF(AND(ISNUMBER(I92),ISNUMBER(J92),I92&gt;0),J92/(1+N(Ввод!$J$19)/100),""))</f>
        <v/>
      </c>
    </row>
    <row r="93" ht="22" customHeight="1">
      <c r="B93" s="238" t="n"/>
      <c r="C93" s="237" t="n"/>
      <c r="D93" s="238" t="n"/>
      <c r="E93" s="239" t="n"/>
      <c r="F93" s="240" t="n"/>
      <c r="G93" s="177" t="n"/>
      <c r="H93" s="271" t="str">
        <f>IF(AND(ISNUMBER(F93),ISNUMBER(G93)),F93*G93,"")</f>
        <v/>
      </c>
      <c r="I93" s="240" t="n"/>
      <c r="J93" s="177" t="n"/>
      <c r="K93" s="271" t="str">
        <f>IF(AND(ISNUMBER(I93),ISNUMBER(J93)),I93*J93,"")</f>
        <v/>
      </c>
      <c r="L93" s="240" t="str">
        <f>IF(COUNT(F93,I93)=0,"",N(F93)-N(I93))</f>
        <v/>
      </c>
      <c r="M93" s="241" t="str">
        <f>IF(COUNT(H93,K93)=0,"",N(K93)-N(H93))</f>
        <v/>
      </c>
      <c r="N93" s="240" t="str">
        <f>IF(AND(ISNUMBER(F93),ISNUMBER(G93),F93&gt;0,1-N(Ввод!$J$19)/100&gt;0),G93/(1-N(Ввод!$J$19)/100),IF(AND(ISNUMBER(I93),ISNUMBER(J93),I93&gt;0),J93/(1+N(Ввод!$J$19)/100),""))</f>
        <v/>
      </c>
    </row>
    <row r="94" ht="22" customHeight="1">
      <c r="B94" s="244" t="n"/>
      <c r="C94" s="243" t="n"/>
      <c r="D94" s="244" t="n"/>
      <c r="E94" s="245" t="n"/>
      <c r="F94" s="246" t="n"/>
      <c r="G94" s="183" t="n"/>
      <c r="H94" s="271" t="str">
        <f>IF(AND(ISNUMBER(F94),ISNUMBER(G94)),F94*G94,"")</f>
        <v/>
      </c>
      <c r="I94" s="246" t="n"/>
      <c r="J94" s="183" t="n"/>
      <c r="K94" s="271" t="str">
        <f>IF(AND(ISNUMBER(I94),ISNUMBER(J94)),I94*J94,"")</f>
        <v/>
      </c>
      <c r="L94" s="246" t="str">
        <f>IF(COUNT(F94,I94)=0,"",N(F94)-N(I94))</f>
        <v/>
      </c>
      <c r="M94" s="247" t="str">
        <f>IF(COUNT(H94,K94)=0,"",N(K94)-N(H94))</f>
        <v/>
      </c>
      <c r="N94" s="246" t="str">
        <f>IF(AND(ISNUMBER(F94),ISNUMBER(G94),F94&gt;0,1-N(Ввод!$J$19)/100&gt;0),G94/(1-N(Ввод!$J$19)/100),IF(AND(ISNUMBER(I94),ISNUMBER(J94),I94&gt;0),J94/(1+N(Ввод!$J$19)/100),""))</f>
        <v/>
      </c>
    </row>
    <row r="95" ht="22" customHeight="1">
      <c r="B95" s="238" t="n"/>
      <c r="C95" s="237" t="n"/>
      <c r="D95" s="238" t="n"/>
      <c r="E95" s="239" t="n"/>
      <c r="F95" s="240" t="n"/>
      <c r="G95" s="177" t="n"/>
      <c r="H95" s="271" t="str">
        <f>IF(AND(ISNUMBER(F95),ISNUMBER(G95)),F95*G95,"")</f>
        <v/>
      </c>
      <c r="I95" s="240" t="n"/>
      <c r="J95" s="177" t="n"/>
      <c r="K95" s="271" t="str">
        <f>IF(AND(ISNUMBER(I95),ISNUMBER(J95)),I95*J95,"")</f>
        <v/>
      </c>
      <c r="L95" s="240" t="str">
        <f>IF(COUNT(F95,I95)=0,"",N(F95)-N(I95))</f>
        <v/>
      </c>
      <c r="M95" s="241" t="str">
        <f>IF(COUNT(H95,K95)=0,"",N(K95)-N(H95))</f>
        <v/>
      </c>
      <c r="N95" s="240" t="str">
        <f>IF(AND(ISNUMBER(F95),ISNUMBER(G95),F95&gt;0,1-N(Ввод!$J$19)/100&gt;0),G95/(1-N(Ввод!$J$19)/100),IF(AND(ISNUMBER(I95),ISNUMBER(J95),I95&gt;0),J95/(1+N(Ввод!$J$19)/100),""))</f>
        <v/>
      </c>
    </row>
    <row r="96" ht="22" customHeight="1">
      <c r="B96" s="244" t="n"/>
      <c r="C96" s="243" t="n"/>
      <c r="D96" s="244" t="n"/>
      <c r="E96" s="245" t="n"/>
      <c r="F96" s="246" t="n"/>
      <c r="G96" s="183" t="n"/>
      <c r="H96" s="271" t="str">
        <f>IF(AND(ISNUMBER(F96),ISNUMBER(G96)),F96*G96,"")</f>
        <v/>
      </c>
      <c r="I96" s="246" t="n"/>
      <c r="J96" s="183" t="n"/>
      <c r="K96" s="271" t="str">
        <f>IF(AND(ISNUMBER(I96),ISNUMBER(J96)),I96*J96,"")</f>
        <v/>
      </c>
      <c r="L96" s="246" t="str">
        <f>IF(COUNT(F96,I96)=0,"",N(F96)-N(I96))</f>
        <v/>
      </c>
      <c r="M96" s="247" t="str">
        <f>IF(COUNT(H96,K96)=0,"",N(K96)-N(H96))</f>
        <v/>
      </c>
      <c r="N96" s="246" t="str">
        <f>IF(AND(ISNUMBER(F96),ISNUMBER(G96),F96&gt;0,1-N(Ввод!$J$19)/100&gt;0),G96/(1-N(Ввод!$J$19)/100),IF(AND(ISNUMBER(I96),ISNUMBER(J96),I96&gt;0),J96/(1+N(Ввод!$J$19)/100),""))</f>
        <v/>
      </c>
    </row>
    <row r="97" ht="22" customHeight="1">
      <c r="B97" s="238" t="n"/>
      <c r="C97" s="237" t="n"/>
      <c r="D97" s="238" t="n"/>
      <c r="E97" s="239" t="n"/>
      <c r="F97" s="240" t="n"/>
      <c r="G97" s="177" t="n"/>
      <c r="H97" s="271" t="str">
        <f>IF(AND(ISNUMBER(F97),ISNUMBER(G97)),F97*G97,"")</f>
        <v/>
      </c>
      <c r="I97" s="240" t="n"/>
      <c r="J97" s="177" t="n"/>
      <c r="K97" s="271" t="str">
        <f>IF(AND(ISNUMBER(I97),ISNUMBER(J97)),I97*J97,"")</f>
        <v/>
      </c>
      <c r="L97" s="240" t="str">
        <f>IF(COUNT(F97,I97)=0,"",N(F97)-N(I97))</f>
        <v/>
      </c>
      <c r="M97" s="241" t="str">
        <f>IF(COUNT(H97,K97)=0,"",N(K97)-N(H97))</f>
        <v/>
      </c>
      <c r="N97" s="240" t="str">
        <f>IF(AND(ISNUMBER(F97),ISNUMBER(G97),F97&gt;0,1-N(Ввод!$J$19)/100&gt;0),G97/(1-N(Ввод!$J$19)/100),IF(AND(ISNUMBER(I97),ISNUMBER(J97),I97&gt;0),J97/(1+N(Ввод!$J$19)/100),""))</f>
        <v/>
      </c>
    </row>
    <row r="98" ht="22" customHeight="1">
      <c r="B98" s="244" t="n"/>
      <c r="C98" s="243" t="n"/>
      <c r="D98" s="244" t="n"/>
      <c r="E98" s="245" t="n"/>
      <c r="F98" s="246" t="n"/>
      <c r="G98" s="183" t="n"/>
      <c r="H98" s="271" t="str">
        <f>IF(AND(ISNUMBER(F98),ISNUMBER(G98)),F98*G98,"")</f>
        <v/>
      </c>
      <c r="I98" s="246" t="n"/>
      <c r="J98" s="183" t="n"/>
      <c r="K98" s="271" t="str">
        <f>IF(AND(ISNUMBER(I98),ISNUMBER(J98)),I98*J98,"")</f>
        <v/>
      </c>
      <c r="L98" s="246" t="str">
        <f>IF(COUNT(F98,I98)=0,"",N(F98)-N(I98))</f>
        <v/>
      </c>
      <c r="M98" s="247" t="str">
        <f>IF(COUNT(H98,K98)=0,"",N(K98)-N(H98))</f>
        <v/>
      </c>
      <c r="N98" s="246" t="str">
        <f>IF(AND(ISNUMBER(F98),ISNUMBER(G98),F98&gt;0,1-N(Ввод!$J$19)/100&gt;0),G98/(1-N(Ввод!$J$19)/100),IF(AND(ISNUMBER(I98),ISNUMBER(J98),I98&gt;0),J98/(1+N(Ввод!$J$19)/100),""))</f>
        <v/>
      </c>
    </row>
    <row r="99" ht="22" customHeight="1">
      <c r="B99" s="238" t="n"/>
      <c r="C99" s="237" t="n"/>
      <c r="D99" s="238" t="n"/>
      <c r="E99" s="239" t="n"/>
      <c r="F99" s="240" t="n"/>
      <c r="G99" s="177" t="n"/>
      <c r="H99" s="271" t="str">
        <f>IF(AND(ISNUMBER(F99),ISNUMBER(G99)),F99*G99,"")</f>
        <v/>
      </c>
      <c r="I99" s="240" t="n"/>
      <c r="J99" s="177" t="n"/>
      <c r="K99" s="271" t="str">
        <f>IF(AND(ISNUMBER(I99),ISNUMBER(J99)),I99*J99,"")</f>
        <v/>
      </c>
      <c r="L99" s="240" t="str">
        <f>IF(COUNT(F99,I99)=0,"",N(F99)-N(I99))</f>
        <v/>
      </c>
      <c r="M99" s="241" t="str">
        <f>IF(COUNT(H99,K99)=0,"",N(K99)-N(H99))</f>
        <v/>
      </c>
      <c r="N99" s="240" t="str">
        <f>IF(AND(ISNUMBER(F99),ISNUMBER(G99),F99&gt;0,1-N(Ввод!$J$19)/100&gt;0),G99/(1-N(Ввод!$J$19)/100),IF(AND(ISNUMBER(I99),ISNUMBER(J99),I99&gt;0),J99/(1+N(Ввод!$J$19)/100),""))</f>
        <v/>
      </c>
    </row>
    <row r="100" ht="22" customHeight="1">
      <c r="B100" s="244" t="n"/>
      <c r="C100" s="243" t="n"/>
      <c r="D100" s="244" t="n"/>
      <c r="E100" s="245" t="n"/>
      <c r="F100" s="246" t="n"/>
      <c r="G100" s="183" t="n"/>
      <c r="H100" s="271" t="str">
        <f>IF(AND(ISNUMBER(F100),ISNUMBER(G100)),F100*G100,"")</f>
        <v/>
      </c>
      <c r="I100" s="246" t="n"/>
      <c r="J100" s="183" t="n"/>
      <c r="K100" s="271" t="str">
        <f>IF(AND(ISNUMBER(I100),ISNUMBER(J100)),I100*J100,"")</f>
        <v/>
      </c>
      <c r="L100" s="246" t="str">
        <f>IF(COUNT(F100,I100)=0,"",N(F100)-N(I100))</f>
        <v/>
      </c>
      <c r="M100" s="247" t="str">
        <f>IF(COUNT(H100,K100)=0,"",N(K100)-N(H100))</f>
        <v/>
      </c>
      <c r="N100" s="246" t="str">
        <f>IF(AND(ISNUMBER(F100),ISNUMBER(G100),F100&gt;0,1-N(Ввод!$J$19)/100&gt;0),G100/(1-N(Ввод!$J$19)/100),IF(AND(ISNUMBER(I100),ISNUMBER(J100),I100&gt;0),J100/(1+N(Ввод!$J$19)/100),""))</f>
        <v/>
      </c>
    </row>
    <row r="101" ht="22" customHeight="1">
      <c r="B101" s="238" t="n"/>
      <c r="C101" s="237" t="n"/>
      <c r="D101" s="238" t="n"/>
      <c r="E101" s="239" t="n"/>
      <c r="F101" s="240" t="n"/>
      <c r="G101" s="177" t="n"/>
      <c r="H101" s="271" t="str">
        <f>IF(AND(ISNUMBER(F101),ISNUMBER(G101)),F101*G101,"")</f>
        <v/>
      </c>
      <c r="I101" s="240" t="n"/>
      <c r="J101" s="177" t="n"/>
      <c r="K101" s="271" t="str">
        <f>IF(AND(ISNUMBER(I101),ISNUMBER(J101)),I101*J101,"")</f>
        <v/>
      </c>
      <c r="L101" s="240" t="str">
        <f>IF(COUNT(F101,I101)=0,"",N(F101)-N(I101))</f>
        <v/>
      </c>
      <c r="M101" s="241" t="str">
        <f>IF(COUNT(H101,K101)=0,"",N(K101)-N(H101))</f>
        <v/>
      </c>
      <c r="N101" s="240" t="str">
        <f>IF(AND(ISNUMBER(F101),ISNUMBER(G101),F101&gt;0,1-N(Ввод!$J$19)/100&gt;0),G101/(1-N(Ввод!$J$19)/100),IF(AND(ISNUMBER(I101),ISNUMBER(J101),I101&gt;0),J101/(1+N(Ввод!$J$19)/100),""))</f>
        <v/>
      </c>
    </row>
    <row r="102" ht="22" customHeight="1">
      <c r="B102" s="244" t="n"/>
      <c r="C102" s="243" t="n"/>
      <c r="D102" s="244" t="n"/>
      <c r="E102" s="245" t="n"/>
      <c r="F102" s="246" t="n"/>
      <c r="G102" s="183" t="n"/>
      <c r="H102" s="271" t="str">
        <f>IF(AND(ISNUMBER(F102),ISNUMBER(G102)),F102*G102,"")</f>
        <v/>
      </c>
      <c r="I102" s="246" t="n"/>
      <c r="J102" s="183" t="n"/>
      <c r="K102" s="271" t="str">
        <f>IF(AND(ISNUMBER(I102),ISNUMBER(J102)),I102*J102,"")</f>
        <v/>
      </c>
      <c r="L102" s="246" t="str">
        <f>IF(COUNT(F102,I102)=0,"",N(F102)-N(I102))</f>
        <v/>
      </c>
      <c r="M102" s="247" t="str">
        <f>IF(COUNT(H102,K102)=0,"",N(K102)-N(H102))</f>
        <v/>
      </c>
      <c r="N102" s="246" t="str">
        <f>IF(AND(ISNUMBER(F102),ISNUMBER(G102),F102&gt;0,1-N(Ввод!$J$19)/100&gt;0),G102/(1-N(Ввод!$J$19)/100),IF(AND(ISNUMBER(I102),ISNUMBER(J102),I102&gt;0),J102/(1+N(Ввод!$J$19)/100),""))</f>
        <v/>
      </c>
    </row>
    <row r="103" ht="22" customHeight="1">
      <c r="B103" s="238" t="n"/>
      <c r="C103" s="237" t="n"/>
      <c r="D103" s="238" t="n"/>
      <c r="E103" s="239" t="n"/>
      <c r="F103" s="240" t="n"/>
      <c r="G103" s="177" t="n"/>
      <c r="H103" s="271" t="str">
        <f>IF(AND(ISNUMBER(F103),ISNUMBER(G103)),F103*G103,"")</f>
        <v/>
      </c>
      <c r="I103" s="240" t="n"/>
      <c r="J103" s="177" t="n"/>
      <c r="K103" s="271" t="str">
        <f>IF(AND(ISNUMBER(I103),ISNUMBER(J103)),I103*J103,"")</f>
        <v/>
      </c>
      <c r="L103" s="240" t="str">
        <f>IF(COUNT(F103,I103)=0,"",N(F103)-N(I103))</f>
        <v/>
      </c>
      <c r="M103" s="241" t="str">
        <f>IF(COUNT(H103,K103)=0,"",N(K103)-N(H103))</f>
        <v/>
      </c>
      <c r="N103" s="240" t="str">
        <f>IF(AND(ISNUMBER(F103),ISNUMBER(G103),F103&gt;0,1-N(Ввод!$J$19)/100&gt;0),G103/(1-N(Ввод!$J$19)/100),IF(AND(ISNUMBER(I103),ISNUMBER(J103),I103&gt;0),J103/(1+N(Ввод!$J$19)/100),""))</f>
        <v/>
      </c>
    </row>
    <row r="104" ht="22" customHeight="1">
      <c r="B104" s="244" t="n"/>
      <c r="C104" s="243" t="n"/>
      <c r="D104" s="244" t="n"/>
      <c r="E104" s="245" t="n"/>
      <c r="F104" s="246" t="n"/>
      <c r="G104" s="183" t="n"/>
      <c r="H104" s="271" t="str">
        <f>IF(AND(ISNUMBER(F104),ISNUMBER(G104)),F104*G104,"")</f>
        <v/>
      </c>
      <c r="I104" s="246" t="n"/>
      <c r="J104" s="183" t="n"/>
      <c r="K104" s="271" t="str">
        <f>IF(AND(ISNUMBER(I104),ISNUMBER(J104)),I104*J104,"")</f>
        <v/>
      </c>
      <c r="L104" s="246" t="str">
        <f>IF(COUNT(F104,I104)=0,"",N(F104)-N(I104))</f>
        <v/>
      </c>
      <c r="M104" s="247" t="str">
        <f>IF(COUNT(H104,K104)=0,"",N(K104)-N(H104))</f>
        <v/>
      </c>
      <c r="N104" s="246" t="str">
        <f>IF(AND(ISNUMBER(F104),ISNUMBER(G104),F104&gt;0,1-N(Ввод!$J$19)/100&gt;0),G104/(1-N(Ввод!$J$19)/100),IF(AND(ISNUMBER(I104),ISNUMBER(J104),I104&gt;0),J104/(1+N(Ввод!$J$19)/100),""))</f>
        <v/>
      </c>
    </row>
    <row r="105" ht="22" customHeight="1">
      <c r="B105" s="238" t="n"/>
      <c r="C105" s="237" t="n"/>
      <c r="D105" s="238" t="n"/>
      <c r="E105" s="239" t="n"/>
      <c r="F105" s="240" t="n"/>
      <c r="G105" s="177" t="n"/>
      <c r="H105" s="271" t="str">
        <f>IF(AND(ISNUMBER(F105),ISNUMBER(G105)),F105*G105,"")</f>
        <v/>
      </c>
      <c r="I105" s="240" t="n"/>
      <c r="J105" s="177" t="n"/>
      <c r="K105" s="271" t="str">
        <f>IF(AND(ISNUMBER(I105),ISNUMBER(J105)),I105*J105,"")</f>
        <v/>
      </c>
      <c r="L105" s="240" t="str">
        <f>IF(COUNT(F105,I105)=0,"",N(F105)-N(I105))</f>
        <v/>
      </c>
      <c r="M105" s="241" t="str">
        <f>IF(COUNT(H105,K105)=0,"",N(K105)-N(H105))</f>
        <v/>
      </c>
      <c r="N105" s="240" t="str">
        <f>IF(AND(ISNUMBER(F105),ISNUMBER(G105),F105&gt;0,1-N(Ввод!$J$19)/100&gt;0),G105/(1-N(Ввод!$J$19)/100),IF(AND(ISNUMBER(I105),ISNUMBER(J105),I105&gt;0),J105/(1+N(Ввод!$J$19)/100),""))</f>
        <v/>
      </c>
    </row>
    <row r="106" ht="22" customHeight="1">
      <c r="B106" s="244" t="n"/>
      <c r="C106" s="243" t="n"/>
      <c r="D106" s="244" t="n"/>
      <c r="E106" s="245" t="n"/>
      <c r="F106" s="246" t="n"/>
      <c r="G106" s="183" t="n"/>
      <c r="H106" s="271" t="str">
        <f>IF(AND(ISNUMBER(F106),ISNUMBER(G106)),F106*G106,"")</f>
        <v/>
      </c>
      <c r="I106" s="246" t="n"/>
      <c r="J106" s="183" t="n"/>
      <c r="K106" s="271" t="str">
        <f>IF(AND(ISNUMBER(I106),ISNUMBER(J106)),I106*J106,"")</f>
        <v/>
      </c>
      <c r="L106" s="246" t="str">
        <f>IF(COUNT(F106,I106)=0,"",N(F106)-N(I106))</f>
        <v/>
      </c>
      <c r="M106" s="247" t="str">
        <f>IF(COUNT(H106,K106)=0,"",N(K106)-N(H106))</f>
        <v/>
      </c>
      <c r="N106" s="246" t="str">
        <f>IF(AND(ISNUMBER(F106),ISNUMBER(G106),F106&gt;0,1-N(Ввод!$J$19)/100&gt;0),G106/(1-N(Ввод!$J$19)/100),IF(AND(ISNUMBER(I106),ISNUMBER(J106),I106&gt;0),J106/(1+N(Ввод!$J$19)/100),""))</f>
        <v/>
      </c>
    </row>
    <row r="107" ht="22" customHeight="1">
      <c r="B107" s="238" t="n"/>
      <c r="C107" s="237" t="n"/>
      <c r="D107" s="238" t="n"/>
      <c r="E107" s="239" t="n"/>
      <c r="F107" s="240" t="n"/>
      <c r="G107" s="177" t="n"/>
      <c r="H107" s="271" t="str">
        <f>IF(AND(ISNUMBER(F107),ISNUMBER(G107)),F107*G107,"")</f>
        <v/>
      </c>
      <c r="I107" s="240" t="n"/>
      <c r="J107" s="177" t="n"/>
      <c r="K107" s="271" t="str">
        <f>IF(AND(ISNUMBER(I107),ISNUMBER(J107)),I107*J107,"")</f>
        <v/>
      </c>
      <c r="L107" s="240" t="str">
        <f>IF(COUNT(F107,I107)=0,"",N(F107)-N(I107))</f>
        <v/>
      </c>
      <c r="M107" s="241" t="str">
        <f>IF(COUNT(H107,K107)=0,"",N(K107)-N(H107))</f>
        <v/>
      </c>
      <c r="N107" s="240" t="str">
        <f>IF(AND(ISNUMBER(F107),ISNUMBER(G107),F107&gt;0,1-N(Ввод!$J$19)/100&gt;0),G107/(1-N(Ввод!$J$19)/100),IF(AND(ISNUMBER(I107),ISNUMBER(J107),I107&gt;0),J107/(1+N(Ввод!$J$19)/100),""))</f>
        <v/>
      </c>
    </row>
    <row r="108" ht="22" customHeight="1">
      <c r="B108" s="244" t="n"/>
      <c r="C108" s="243" t="n"/>
      <c r="D108" s="244" t="n"/>
      <c r="E108" s="245" t="n"/>
      <c r="F108" s="246" t="n"/>
      <c r="G108" s="183" t="n"/>
      <c r="H108" s="271" t="str">
        <f>IF(AND(ISNUMBER(F108),ISNUMBER(G108)),F108*G108,"")</f>
        <v/>
      </c>
      <c r="I108" s="246" t="n"/>
      <c r="J108" s="183" t="n"/>
      <c r="K108" s="271" t="str">
        <f>IF(AND(ISNUMBER(I108),ISNUMBER(J108)),I108*J108,"")</f>
        <v/>
      </c>
      <c r="L108" s="246" t="str">
        <f>IF(COUNT(F108,I108)=0,"",N(F108)-N(I108))</f>
        <v/>
      </c>
      <c r="M108" s="247" t="str">
        <f>IF(COUNT(H108,K108)=0,"",N(K108)-N(H108))</f>
        <v/>
      </c>
      <c r="N108" s="246" t="str">
        <f>IF(AND(ISNUMBER(F108),ISNUMBER(G108),F108&gt;0,1-N(Ввод!$J$19)/100&gt;0),G108/(1-N(Ввод!$J$19)/100),IF(AND(ISNUMBER(I108),ISNUMBER(J108),I108&gt;0),J108/(1+N(Ввод!$J$19)/100),""))</f>
        <v/>
      </c>
    </row>
    <row r="109" ht="22" customHeight="1">
      <c r="B109" s="238" t="n"/>
      <c r="C109" s="237" t="n"/>
      <c r="D109" s="238" t="n"/>
      <c r="E109" s="239" t="n"/>
      <c r="F109" s="240" t="n"/>
      <c r="G109" s="177" t="n"/>
      <c r="H109" s="271" t="str">
        <f>IF(AND(ISNUMBER(F109),ISNUMBER(G109)),F109*G109,"")</f>
        <v/>
      </c>
      <c r="I109" s="240" t="n"/>
      <c r="J109" s="177" t="n"/>
      <c r="K109" s="271" t="str">
        <f>IF(AND(ISNUMBER(I109),ISNUMBER(J109)),I109*J109,"")</f>
        <v/>
      </c>
      <c r="L109" s="240" t="str">
        <f>IF(COUNT(F109,I109)=0,"",N(F109)-N(I109))</f>
        <v/>
      </c>
      <c r="M109" s="241" t="str">
        <f>IF(COUNT(H109,K109)=0,"",N(K109)-N(H109))</f>
        <v/>
      </c>
      <c r="N109" s="240" t="str">
        <f>IF(AND(ISNUMBER(F109),ISNUMBER(G109),F109&gt;0,1-N(Ввод!$J$19)/100&gt;0),G109/(1-N(Ввод!$J$19)/100),IF(AND(ISNUMBER(I109),ISNUMBER(J109),I109&gt;0),J109/(1+N(Ввод!$J$19)/100),""))</f>
        <v/>
      </c>
    </row>
    <row r="110" ht="22" customHeight="1">
      <c r="B110" s="244" t="n"/>
      <c r="C110" s="243" t="n"/>
      <c r="D110" s="244" t="n"/>
      <c r="E110" s="245" t="n"/>
      <c r="F110" s="246" t="n"/>
      <c r="G110" s="183" t="n"/>
      <c r="H110" s="271" t="str">
        <f>IF(AND(ISNUMBER(F110),ISNUMBER(G110)),F110*G110,"")</f>
        <v/>
      </c>
      <c r="I110" s="246" t="n"/>
      <c r="J110" s="183" t="n"/>
      <c r="K110" s="271" t="str">
        <f>IF(AND(ISNUMBER(I110),ISNUMBER(J110)),I110*J110,"")</f>
        <v/>
      </c>
      <c r="L110" s="246" t="str">
        <f>IF(COUNT(F110,I110)=0,"",N(F110)-N(I110))</f>
        <v/>
      </c>
      <c r="M110" s="247" t="str">
        <f>IF(COUNT(H110,K110)=0,"",N(K110)-N(H110))</f>
        <v/>
      </c>
      <c r="N110" s="246" t="str">
        <f>IF(AND(ISNUMBER(F110),ISNUMBER(G110),F110&gt;0,1-N(Ввод!$J$19)/100&gt;0),G110/(1-N(Ввод!$J$19)/100),IF(AND(ISNUMBER(I110),ISNUMBER(J110),I110&gt;0),J110/(1+N(Ввод!$J$19)/100),""))</f>
        <v/>
      </c>
    </row>
    <row r="111" ht="22" customHeight="1">
      <c r="B111" s="238" t="n"/>
      <c r="C111" s="237" t="n"/>
      <c r="D111" s="238" t="n"/>
      <c r="E111" s="239" t="n"/>
      <c r="F111" s="240" t="n"/>
      <c r="G111" s="177" t="n"/>
      <c r="H111" s="271" t="str">
        <f>IF(AND(ISNUMBER(F111),ISNUMBER(G111)),F111*G111,"")</f>
        <v/>
      </c>
      <c r="I111" s="240" t="n"/>
      <c r="J111" s="177" t="n"/>
      <c r="K111" s="271" t="str">
        <f>IF(AND(ISNUMBER(I111),ISNUMBER(J111)),I111*J111,"")</f>
        <v/>
      </c>
      <c r="L111" s="240" t="str">
        <f>IF(COUNT(F111,I111)=0,"",N(F111)-N(I111))</f>
        <v/>
      </c>
      <c r="M111" s="241" t="str">
        <f>IF(COUNT(H111,K111)=0,"",N(K111)-N(H111))</f>
        <v/>
      </c>
      <c r="N111" s="240" t="str">
        <f>IF(AND(ISNUMBER(F111),ISNUMBER(G111),F111&gt;0,1-N(Ввод!$J$19)/100&gt;0),G111/(1-N(Ввод!$J$19)/100),IF(AND(ISNUMBER(I111),ISNUMBER(J111),I111&gt;0),J111/(1+N(Ввод!$J$19)/100),""))</f>
        <v/>
      </c>
    </row>
    <row r="112" ht="22" customHeight="1">
      <c r="B112" s="244" t="n"/>
      <c r="C112" s="243" t="n"/>
      <c r="D112" s="244" t="n"/>
      <c r="E112" s="245" t="n"/>
      <c r="F112" s="246" t="n"/>
      <c r="G112" s="183" t="n"/>
      <c r="H112" s="271" t="str">
        <f>IF(AND(ISNUMBER(F112),ISNUMBER(G112)),F112*G112,"")</f>
        <v/>
      </c>
      <c r="I112" s="246" t="n"/>
      <c r="J112" s="183" t="n"/>
      <c r="K112" s="271" t="str">
        <f>IF(AND(ISNUMBER(I112),ISNUMBER(J112)),I112*J112,"")</f>
        <v/>
      </c>
      <c r="L112" s="246" t="str">
        <f>IF(COUNT(F112,I112)=0,"",N(F112)-N(I112))</f>
        <v/>
      </c>
      <c r="M112" s="247" t="str">
        <f>IF(COUNT(H112,K112)=0,"",N(K112)-N(H112))</f>
        <v/>
      </c>
      <c r="N112" s="246" t="str">
        <f>IF(AND(ISNUMBER(F112),ISNUMBER(G112),F112&gt;0,1-N(Ввод!$J$19)/100&gt;0),G112/(1-N(Ввод!$J$19)/100),IF(AND(ISNUMBER(I112),ISNUMBER(J112),I112&gt;0),J112/(1+N(Ввод!$J$19)/100),""))</f>
        <v/>
      </c>
    </row>
    <row r="113" ht="22" customHeight="1">
      <c r="B113" s="238" t="n"/>
      <c r="C113" s="237" t="n"/>
      <c r="D113" s="238" t="n"/>
      <c r="E113" s="239" t="n"/>
      <c r="F113" s="240" t="n"/>
      <c r="G113" s="177" t="n"/>
      <c r="H113" s="271" t="str">
        <f>IF(AND(ISNUMBER(F113),ISNUMBER(G113)),F113*G113,"")</f>
        <v/>
      </c>
      <c r="I113" s="240" t="n"/>
      <c r="J113" s="177" t="n"/>
      <c r="K113" s="271" t="str">
        <f>IF(AND(ISNUMBER(I113),ISNUMBER(J113)),I113*J113,"")</f>
        <v/>
      </c>
      <c r="L113" s="240" t="str">
        <f>IF(COUNT(F113,I113)=0,"",N(F113)-N(I113))</f>
        <v/>
      </c>
      <c r="M113" s="241" t="str">
        <f>IF(COUNT(H113,K113)=0,"",N(K113)-N(H113))</f>
        <v/>
      </c>
      <c r="N113" s="240" t="str">
        <f>IF(AND(ISNUMBER(F113),ISNUMBER(G113),F113&gt;0,1-N(Ввод!$J$19)/100&gt;0),G113/(1-N(Ввод!$J$19)/100),IF(AND(ISNUMBER(I113),ISNUMBER(J113),I113&gt;0),J113/(1+N(Ввод!$J$19)/100),""))</f>
        <v/>
      </c>
    </row>
    <row r="114" ht="22" customHeight="1">
      <c r="B114" s="244" t="n"/>
      <c r="C114" s="243" t="n"/>
      <c r="D114" s="244" t="n"/>
      <c r="E114" s="245" t="n"/>
      <c r="F114" s="246" t="n"/>
      <c r="G114" s="183" t="n"/>
      <c r="H114" s="271" t="str">
        <f>IF(AND(ISNUMBER(F114),ISNUMBER(G114)),F114*G114,"")</f>
        <v/>
      </c>
      <c r="I114" s="246" t="n"/>
      <c r="J114" s="183" t="n"/>
      <c r="K114" s="271" t="str">
        <f>IF(AND(ISNUMBER(I114),ISNUMBER(J114)),I114*J114,"")</f>
        <v/>
      </c>
      <c r="L114" s="246" t="str">
        <f>IF(COUNT(F114,I114)=0,"",N(F114)-N(I114))</f>
        <v/>
      </c>
      <c r="M114" s="247" t="str">
        <f>IF(COUNT(H114,K114)=0,"",N(K114)-N(H114))</f>
        <v/>
      </c>
      <c r="N114" s="246" t="str">
        <f>IF(AND(ISNUMBER(F114),ISNUMBER(G114),F114&gt;0,1-N(Ввод!$J$19)/100&gt;0),G114/(1-N(Ввод!$J$19)/100),IF(AND(ISNUMBER(I114),ISNUMBER(J114),I114&gt;0),J114/(1+N(Ввод!$J$19)/100),""))</f>
        <v/>
      </c>
    </row>
    <row r="115" ht="22" customHeight="1">
      <c r="B115" s="238" t="n"/>
      <c r="C115" s="237" t="n"/>
      <c r="D115" s="238" t="n"/>
      <c r="E115" s="239" t="n"/>
      <c r="F115" s="240" t="n"/>
      <c r="G115" s="177" t="n"/>
      <c r="H115" s="271" t="str">
        <f>IF(AND(ISNUMBER(F115),ISNUMBER(G115)),F115*G115,"")</f>
        <v/>
      </c>
      <c r="I115" s="240" t="n"/>
      <c r="J115" s="177" t="n"/>
      <c r="K115" s="271" t="str">
        <f>IF(AND(ISNUMBER(I115),ISNUMBER(J115)),I115*J115,"")</f>
        <v/>
      </c>
      <c r="L115" s="240" t="str">
        <f>IF(COUNT(F115,I115)=0,"",N(F115)-N(I115))</f>
        <v/>
      </c>
      <c r="M115" s="241" t="str">
        <f>IF(COUNT(H115,K115)=0,"",N(K115)-N(H115))</f>
        <v/>
      </c>
      <c r="N115" s="240" t="str">
        <f>IF(AND(ISNUMBER(F115),ISNUMBER(G115),F115&gt;0,1-N(Ввод!$J$19)/100&gt;0),G115/(1-N(Ввод!$J$19)/100),IF(AND(ISNUMBER(I115),ISNUMBER(J115),I115&gt;0),J115/(1+N(Ввод!$J$19)/100),""))</f>
        <v/>
      </c>
    </row>
    <row r="116" ht="22" customHeight="1">
      <c r="B116" s="244" t="n"/>
      <c r="C116" s="243" t="n"/>
      <c r="D116" s="244" t="n"/>
      <c r="E116" s="245" t="n"/>
      <c r="F116" s="246" t="n"/>
      <c r="G116" s="183" t="n"/>
      <c r="H116" s="271" t="str">
        <f>IF(AND(ISNUMBER(F116),ISNUMBER(G116)),F116*G116,"")</f>
        <v/>
      </c>
      <c r="I116" s="246" t="n"/>
      <c r="J116" s="183" t="n"/>
      <c r="K116" s="271" t="str">
        <f>IF(AND(ISNUMBER(I116),ISNUMBER(J116)),I116*J116,"")</f>
        <v/>
      </c>
      <c r="L116" s="246" t="str">
        <f>IF(COUNT(F116,I116)=0,"",N(F116)-N(I116))</f>
        <v/>
      </c>
      <c r="M116" s="247" t="str">
        <f>IF(COUNT(H116,K116)=0,"",N(K116)-N(H116))</f>
        <v/>
      </c>
      <c r="N116" s="246" t="str">
        <f>IF(AND(ISNUMBER(F116),ISNUMBER(G116),F116&gt;0,1-N(Ввод!$J$19)/100&gt;0),G116/(1-N(Ввод!$J$19)/100),IF(AND(ISNUMBER(I116),ISNUMBER(J116),I116&gt;0),J116/(1+N(Ввод!$J$19)/100),""))</f>
        <v/>
      </c>
    </row>
    <row r="117" ht="22" customHeight="1">
      <c r="B117" s="238" t="n"/>
      <c r="C117" s="237" t="n"/>
      <c r="D117" s="238" t="n"/>
      <c r="E117" s="239" t="n"/>
      <c r="F117" s="240" t="n"/>
      <c r="G117" s="177" t="n"/>
      <c r="H117" s="271" t="str">
        <f>IF(AND(ISNUMBER(F117),ISNUMBER(G117)),F117*G117,"")</f>
        <v/>
      </c>
      <c r="I117" s="240" t="n"/>
      <c r="J117" s="177" t="n"/>
      <c r="K117" s="271" t="str">
        <f>IF(AND(ISNUMBER(I117),ISNUMBER(J117)),I117*J117,"")</f>
        <v/>
      </c>
      <c r="L117" s="240" t="str">
        <f>IF(COUNT(F117,I117)=0,"",N(F117)-N(I117))</f>
        <v/>
      </c>
      <c r="M117" s="241" t="str">
        <f>IF(COUNT(H117,K117)=0,"",N(K117)-N(H117))</f>
        <v/>
      </c>
      <c r="N117" s="240" t="str">
        <f>IF(AND(ISNUMBER(F117),ISNUMBER(G117),F117&gt;0,1-N(Ввод!$J$19)/100&gt;0),G117/(1-N(Ввод!$J$19)/100),IF(AND(ISNUMBER(I117),ISNUMBER(J117),I117&gt;0),J117/(1+N(Ввод!$J$19)/100),""))</f>
        <v/>
      </c>
    </row>
    <row r="118" ht="22" customHeight="1">
      <c r="B118" s="244" t="n"/>
      <c r="C118" s="243" t="n"/>
      <c r="D118" s="244" t="n"/>
      <c r="E118" s="245" t="n"/>
      <c r="F118" s="246" t="n"/>
      <c r="G118" s="183" t="n"/>
      <c r="H118" s="271" t="str">
        <f>IF(AND(ISNUMBER(F118),ISNUMBER(G118)),F118*G118,"")</f>
        <v/>
      </c>
      <c r="I118" s="246" t="n"/>
      <c r="J118" s="183" t="n"/>
      <c r="K118" s="271" t="str">
        <f>IF(AND(ISNUMBER(I118),ISNUMBER(J118)),I118*J118,"")</f>
        <v/>
      </c>
      <c r="L118" s="246" t="str">
        <f>IF(COUNT(F118,I118)=0,"",N(F118)-N(I118))</f>
        <v/>
      </c>
      <c r="M118" s="247" t="str">
        <f>IF(COUNT(H118,K118)=0,"",N(K118)-N(H118))</f>
        <v/>
      </c>
      <c r="N118" s="246" t="str">
        <f>IF(AND(ISNUMBER(F118),ISNUMBER(G118),F118&gt;0,1-N(Ввод!$J$19)/100&gt;0),G118/(1-N(Ввод!$J$19)/100),IF(AND(ISNUMBER(I118),ISNUMBER(J118),I118&gt;0),J118/(1+N(Ввод!$J$19)/100),""))</f>
        <v/>
      </c>
    </row>
    <row r="119" ht="22" customHeight="1">
      <c r="B119" s="238" t="n"/>
      <c r="C119" s="237" t="n"/>
      <c r="D119" s="238" t="n"/>
      <c r="E119" s="239" t="n"/>
      <c r="F119" s="240" t="n"/>
      <c r="G119" s="177" t="n"/>
      <c r="H119" s="271" t="str">
        <f>IF(AND(ISNUMBER(F119),ISNUMBER(G119)),F119*G119,"")</f>
        <v/>
      </c>
      <c r="I119" s="240" t="n"/>
      <c r="J119" s="177" t="n"/>
      <c r="K119" s="271" t="str">
        <f>IF(AND(ISNUMBER(I119),ISNUMBER(J119)),I119*J119,"")</f>
        <v/>
      </c>
      <c r="L119" s="240" t="str">
        <f>IF(COUNT(F119,I119)=0,"",N(F119)-N(I119))</f>
        <v/>
      </c>
      <c r="M119" s="241" t="str">
        <f>IF(COUNT(H119,K119)=0,"",N(K119)-N(H119))</f>
        <v/>
      </c>
      <c r="N119" s="240" t="str">
        <f>IF(AND(ISNUMBER(F119),ISNUMBER(G119),F119&gt;0,1-N(Ввод!$J$19)/100&gt;0),G119/(1-N(Ввод!$J$19)/100),IF(AND(ISNUMBER(I119),ISNUMBER(J119),I119&gt;0),J119/(1+N(Ввод!$J$19)/100),""))</f>
        <v/>
      </c>
    </row>
    <row r="120" ht="22" customHeight="1">
      <c r="B120" s="244" t="n"/>
      <c r="C120" s="243" t="n"/>
      <c r="D120" s="244" t="n"/>
      <c r="E120" s="245" t="n"/>
      <c r="F120" s="246" t="n"/>
      <c r="G120" s="183" t="n"/>
      <c r="H120" s="271" t="str">
        <f>IF(AND(ISNUMBER(F120),ISNUMBER(G120)),F120*G120,"")</f>
        <v/>
      </c>
      <c r="I120" s="246" t="n"/>
      <c r="J120" s="183" t="n"/>
      <c r="K120" s="271" t="str">
        <f>IF(AND(ISNUMBER(I120),ISNUMBER(J120)),I120*J120,"")</f>
        <v/>
      </c>
      <c r="L120" s="246" t="str">
        <f>IF(COUNT(F120,I120)=0,"",N(F120)-N(I120))</f>
        <v/>
      </c>
      <c r="M120" s="247" t="str">
        <f>IF(COUNT(H120,K120)=0,"",N(K120)-N(H120))</f>
        <v/>
      </c>
      <c r="N120" s="246" t="str">
        <f>IF(AND(ISNUMBER(F120),ISNUMBER(G120),F120&gt;0,1-N(Ввод!$J$19)/100&gt;0),G120/(1-N(Ввод!$J$19)/100),IF(AND(ISNUMBER(I120),ISNUMBER(J120),I120&gt;0),J120/(1+N(Ввод!$J$19)/100),""))</f>
        <v/>
      </c>
    </row>
    <row r="121" ht="22" customHeight="1">
      <c r="B121" s="238" t="n"/>
      <c r="C121" s="237" t="n"/>
      <c r="D121" s="238" t="n"/>
      <c r="E121" s="239" t="n"/>
      <c r="F121" s="240" t="n"/>
      <c r="G121" s="177" t="n"/>
      <c r="H121" s="271" t="str">
        <f>IF(AND(ISNUMBER(F121),ISNUMBER(G121)),F121*G121,"")</f>
        <v/>
      </c>
      <c r="I121" s="240" t="n"/>
      <c r="J121" s="177" t="n"/>
      <c r="K121" s="271" t="str">
        <f>IF(AND(ISNUMBER(I121),ISNUMBER(J121)),I121*J121,"")</f>
        <v/>
      </c>
      <c r="L121" s="240" t="str">
        <f>IF(COUNT(F121,I121)=0,"",N(F121)-N(I121))</f>
        <v/>
      </c>
      <c r="M121" s="241" t="str">
        <f>IF(COUNT(H121,K121)=0,"",N(K121)-N(H121))</f>
        <v/>
      </c>
      <c r="N121" s="240" t="str">
        <f>IF(AND(ISNUMBER(F121),ISNUMBER(G121),F121&gt;0,1-N(Ввод!$J$19)/100&gt;0),G121/(1-N(Ввод!$J$19)/100),IF(AND(ISNUMBER(I121),ISNUMBER(J121),I121&gt;0),J121/(1+N(Ввод!$J$19)/100),""))</f>
        <v/>
      </c>
    </row>
    <row r="122" ht="22" customHeight="1">
      <c r="B122" s="244" t="n"/>
      <c r="C122" s="243" t="n"/>
      <c r="D122" s="244" t="n"/>
      <c r="E122" s="245" t="n"/>
      <c r="F122" s="246" t="n"/>
      <c r="G122" s="183" t="n"/>
      <c r="H122" s="271" t="str">
        <f>IF(AND(ISNUMBER(F122),ISNUMBER(G122)),F122*G122,"")</f>
        <v/>
      </c>
      <c r="I122" s="246" t="n"/>
      <c r="J122" s="183" t="n"/>
      <c r="K122" s="271" t="str">
        <f>IF(AND(ISNUMBER(I122),ISNUMBER(J122)),I122*J122,"")</f>
        <v/>
      </c>
      <c r="L122" s="246" t="str">
        <f>IF(COUNT(F122,I122)=0,"",N(F122)-N(I122))</f>
        <v/>
      </c>
      <c r="M122" s="247" t="str">
        <f>IF(COUNT(H122,K122)=0,"",N(K122)-N(H122))</f>
        <v/>
      </c>
      <c r="N122" s="246" t="str">
        <f>IF(AND(ISNUMBER(F122),ISNUMBER(G122),F122&gt;0,1-N(Ввод!$J$19)/100&gt;0),G122/(1-N(Ввод!$J$19)/100),IF(AND(ISNUMBER(I122),ISNUMBER(J122),I122&gt;0),J122/(1+N(Ввод!$J$19)/100),""))</f>
        <v/>
      </c>
    </row>
    <row r="123" ht="22" customHeight="1">
      <c r="B123" s="238" t="n"/>
      <c r="C123" s="237" t="n"/>
      <c r="D123" s="238" t="n"/>
      <c r="E123" s="239" t="n"/>
      <c r="F123" s="240" t="n"/>
      <c r="G123" s="177" t="n"/>
      <c r="H123" s="271" t="str">
        <f>IF(AND(ISNUMBER(F123),ISNUMBER(G123)),F123*G123,"")</f>
        <v/>
      </c>
      <c r="I123" s="240" t="n"/>
      <c r="J123" s="177" t="n"/>
      <c r="K123" s="271" t="str">
        <f>IF(AND(ISNUMBER(I123),ISNUMBER(J123)),I123*J123,"")</f>
        <v/>
      </c>
      <c r="L123" s="240" t="str">
        <f>IF(COUNT(F123,I123)=0,"",N(F123)-N(I123))</f>
        <v/>
      </c>
      <c r="M123" s="241" t="str">
        <f>IF(COUNT(H123,K123)=0,"",N(K123)-N(H123))</f>
        <v/>
      </c>
      <c r="N123" s="240" t="str">
        <f>IF(AND(ISNUMBER(F123),ISNUMBER(G123),F123&gt;0,1-N(Ввод!$J$19)/100&gt;0),G123/(1-N(Ввод!$J$19)/100),IF(AND(ISNUMBER(I123),ISNUMBER(J123),I123&gt;0),J123/(1+N(Ввод!$J$19)/100),""))</f>
        <v/>
      </c>
    </row>
    <row r="124" ht="22" customHeight="1">
      <c r="B124" s="244" t="n"/>
      <c r="C124" s="243" t="n"/>
      <c r="D124" s="244" t="n"/>
      <c r="E124" s="245" t="n"/>
      <c r="F124" s="246" t="n"/>
      <c r="G124" s="183" t="n"/>
      <c r="H124" s="271" t="str">
        <f>IF(AND(ISNUMBER(F124),ISNUMBER(G124)),F124*G124,"")</f>
        <v/>
      </c>
      <c r="I124" s="246" t="n"/>
      <c r="J124" s="183" t="n"/>
      <c r="K124" s="271" t="str">
        <f>IF(AND(ISNUMBER(I124),ISNUMBER(J124)),I124*J124,"")</f>
        <v/>
      </c>
      <c r="L124" s="246" t="str">
        <f>IF(COUNT(F124,I124)=0,"",N(F124)-N(I124))</f>
        <v/>
      </c>
      <c r="M124" s="247" t="str">
        <f>IF(COUNT(H124,K124)=0,"",N(K124)-N(H124))</f>
        <v/>
      </c>
      <c r="N124" s="246" t="str">
        <f>IF(AND(ISNUMBER(F124),ISNUMBER(G124),F124&gt;0,1-N(Ввод!$J$19)/100&gt;0),G124/(1-N(Ввод!$J$19)/100),IF(AND(ISNUMBER(I124),ISNUMBER(J124),I124&gt;0),J124/(1+N(Ввод!$J$19)/100),""))</f>
        <v/>
      </c>
    </row>
    <row r="125" ht="22" customHeight="1">
      <c r="B125" s="238" t="n"/>
      <c r="C125" s="237" t="n"/>
      <c r="D125" s="238" t="n"/>
      <c r="E125" s="239" t="n"/>
      <c r="F125" s="240" t="n"/>
      <c r="G125" s="177" t="n"/>
      <c r="H125" s="271" t="str">
        <f>IF(AND(ISNUMBER(F125),ISNUMBER(G125)),F125*G125,"")</f>
        <v/>
      </c>
      <c r="I125" s="240" t="n"/>
      <c r="J125" s="177" t="n"/>
      <c r="K125" s="271" t="str">
        <f>IF(AND(ISNUMBER(I125),ISNUMBER(J125)),I125*J125,"")</f>
        <v/>
      </c>
      <c r="L125" s="240" t="str">
        <f>IF(COUNT(F125,I125)=0,"",N(F125)-N(I125))</f>
        <v/>
      </c>
      <c r="M125" s="241" t="str">
        <f>IF(COUNT(H125,K125)=0,"",N(K125)-N(H125))</f>
        <v/>
      </c>
      <c r="N125" s="240" t="str">
        <f>IF(AND(ISNUMBER(F125),ISNUMBER(G125),F125&gt;0,1-N(Ввод!$J$19)/100&gt;0),G125/(1-N(Ввод!$J$19)/100),IF(AND(ISNUMBER(I125),ISNUMBER(J125),I125&gt;0),J125/(1+N(Ввод!$J$19)/100),""))</f>
        <v/>
      </c>
    </row>
    <row r="126" ht="22" customHeight="1">
      <c r="B126" s="244" t="n"/>
      <c r="C126" s="243" t="n"/>
      <c r="D126" s="244" t="n"/>
      <c r="E126" s="245" t="n"/>
      <c r="F126" s="246" t="n"/>
      <c r="G126" s="183" t="n"/>
      <c r="H126" s="271" t="str">
        <f>IF(AND(ISNUMBER(F126),ISNUMBER(G126)),F126*G126,"")</f>
        <v/>
      </c>
      <c r="I126" s="246" t="n"/>
      <c r="J126" s="183" t="n"/>
      <c r="K126" s="271" t="str">
        <f>IF(AND(ISNUMBER(I126),ISNUMBER(J126)),I126*J126,"")</f>
        <v/>
      </c>
      <c r="L126" s="246" t="str">
        <f>IF(COUNT(F126,I126)=0,"",N(F126)-N(I126))</f>
        <v/>
      </c>
      <c r="M126" s="247" t="str">
        <f>IF(COUNT(H126,K126)=0,"",N(K126)-N(H126))</f>
        <v/>
      </c>
      <c r="N126" s="246" t="str">
        <f>IF(AND(ISNUMBER(F126),ISNUMBER(G126),F126&gt;0,1-N(Ввод!$J$19)/100&gt;0),G126/(1-N(Ввод!$J$19)/100),IF(AND(ISNUMBER(I126),ISNUMBER(J126),I126&gt;0),J126/(1+N(Ввод!$J$19)/100),""))</f>
        <v/>
      </c>
    </row>
    <row r="127" ht="22" customHeight="1">
      <c r="B127" s="238" t="n"/>
      <c r="C127" s="237" t="n"/>
      <c r="D127" s="238" t="n"/>
      <c r="E127" s="239" t="n"/>
      <c r="F127" s="240" t="n"/>
      <c r="G127" s="177" t="n"/>
      <c r="H127" s="271" t="str">
        <f>IF(AND(ISNUMBER(F127),ISNUMBER(G127)),F127*G127,"")</f>
        <v/>
      </c>
      <c r="I127" s="240" t="n"/>
      <c r="J127" s="177" t="n"/>
      <c r="K127" s="271" t="str">
        <f>IF(AND(ISNUMBER(I127),ISNUMBER(J127)),I127*J127,"")</f>
        <v/>
      </c>
      <c r="L127" s="240" t="str">
        <f>IF(COUNT(F127,I127)=0,"",N(F127)-N(I127))</f>
        <v/>
      </c>
      <c r="M127" s="241" t="str">
        <f>IF(COUNT(H127,K127)=0,"",N(K127)-N(H127))</f>
        <v/>
      </c>
      <c r="N127" s="240" t="str">
        <f>IF(AND(ISNUMBER(F127),ISNUMBER(G127),F127&gt;0,1-N(Ввод!$J$19)/100&gt;0),G127/(1-N(Ввод!$J$19)/100),IF(AND(ISNUMBER(I127),ISNUMBER(J127),I127&gt;0),J127/(1+N(Ввод!$J$19)/100),""))</f>
        <v/>
      </c>
    </row>
    <row r="128" ht="22" customHeight="1">
      <c r="B128" s="244" t="n"/>
      <c r="C128" s="243" t="n"/>
      <c r="D128" s="244" t="n"/>
      <c r="E128" s="245" t="n"/>
      <c r="F128" s="246" t="n"/>
      <c r="G128" s="183" t="n"/>
      <c r="H128" s="271" t="str">
        <f>IF(AND(ISNUMBER(F128),ISNUMBER(G128)),F128*G128,"")</f>
        <v/>
      </c>
      <c r="I128" s="246" t="n"/>
      <c r="J128" s="183" t="n"/>
      <c r="K128" s="271" t="str">
        <f>IF(AND(ISNUMBER(I128),ISNUMBER(J128)),I128*J128,"")</f>
        <v/>
      </c>
      <c r="L128" s="246" t="str">
        <f>IF(COUNT(F128,I128)=0,"",N(F128)-N(I128))</f>
        <v/>
      </c>
      <c r="M128" s="247" t="str">
        <f>IF(COUNT(H128,K128)=0,"",N(K128)-N(H128))</f>
        <v/>
      </c>
      <c r="N128" s="246" t="str">
        <f>IF(AND(ISNUMBER(F128),ISNUMBER(G128),F128&gt;0,1-N(Ввод!$J$19)/100&gt;0),G128/(1-N(Ввод!$J$19)/100),IF(AND(ISNUMBER(I128),ISNUMBER(J128),I128&gt;0),J128/(1+N(Ввод!$J$19)/100),""))</f>
        <v/>
      </c>
    </row>
    <row r="129" ht="22" customHeight="1">
      <c r="B129" s="238" t="n"/>
      <c r="C129" s="237" t="n"/>
      <c r="D129" s="238" t="n"/>
      <c r="E129" s="239" t="n"/>
      <c r="F129" s="240" t="n"/>
      <c r="G129" s="177" t="n"/>
      <c r="H129" s="271" t="str">
        <f>IF(AND(ISNUMBER(F129),ISNUMBER(G129)),F129*G129,"")</f>
        <v/>
      </c>
      <c r="I129" s="240" t="n"/>
      <c r="J129" s="177" t="n"/>
      <c r="K129" s="271" t="str">
        <f>IF(AND(ISNUMBER(I129),ISNUMBER(J129)),I129*J129,"")</f>
        <v/>
      </c>
      <c r="L129" s="240" t="str">
        <f>IF(COUNT(F129,I129)=0,"",N(F129)-N(I129))</f>
        <v/>
      </c>
      <c r="M129" s="241" t="str">
        <f>IF(COUNT(H129,K129)=0,"",N(K129)-N(H129))</f>
        <v/>
      </c>
      <c r="N129" s="240" t="str">
        <f>IF(AND(ISNUMBER(F129),ISNUMBER(G129),F129&gt;0,1-N(Ввод!$J$19)/100&gt;0),G129/(1-N(Ввод!$J$19)/100),IF(AND(ISNUMBER(I129),ISNUMBER(J129),I129&gt;0),J129/(1+N(Ввод!$J$19)/100),""))</f>
        <v/>
      </c>
    </row>
    <row r="130" ht="22" customHeight="1">
      <c r="B130" s="244" t="n"/>
      <c r="C130" s="243" t="n"/>
      <c r="D130" s="244" t="n"/>
      <c r="E130" s="245" t="n"/>
      <c r="F130" s="246" t="n"/>
      <c r="G130" s="183" t="n"/>
      <c r="H130" s="271" t="str">
        <f>IF(AND(ISNUMBER(F130),ISNUMBER(G130)),F130*G130,"")</f>
        <v/>
      </c>
      <c r="I130" s="246" t="n"/>
      <c r="J130" s="183" t="n"/>
      <c r="K130" s="271" t="str">
        <f>IF(AND(ISNUMBER(I130),ISNUMBER(J130)),I130*J130,"")</f>
        <v/>
      </c>
      <c r="L130" s="246" t="str">
        <f>IF(COUNT(F130,I130)=0,"",N(F130)-N(I130))</f>
        <v/>
      </c>
      <c r="M130" s="247" t="str">
        <f>IF(COUNT(H130,K130)=0,"",N(K130)-N(H130))</f>
        <v/>
      </c>
      <c r="N130" s="246" t="str">
        <f>IF(AND(ISNUMBER(F130),ISNUMBER(G130),F130&gt;0,1-N(Ввод!$J$19)/100&gt;0),G130/(1-N(Ввод!$J$19)/100),IF(AND(ISNUMBER(I130),ISNUMBER(J130),I130&gt;0),J130/(1+N(Ввод!$J$19)/100),""))</f>
        <v/>
      </c>
    </row>
    <row r="131" ht="22" customHeight="1">
      <c r="B131" s="238" t="n"/>
      <c r="C131" s="237" t="n"/>
      <c r="D131" s="238" t="n"/>
      <c r="E131" s="239" t="n"/>
      <c r="F131" s="240" t="n"/>
      <c r="G131" s="177" t="n"/>
      <c r="H131" s="271" t="str">
        <f>IF(AND(ISNUMBER(F131),ISNUMBER(G131)),F131*G131,"")</f>
        <v/>
      </c>
      <c r="I131" s="240" t="n"/>
      <c r="J131" s="177" t="n"/>
      <c r="K131" s="271" t="str">
        <f>IF(AND(ISNUMBER(I131),ISNUMBER(J131)),I131*J131,"")</f>
        <v/>
      </c>
      <c r="L131" s="240" t="str">
        <f>IF(COUNT(F131,I131)=0,"",N(F131)-N(I131))</f>
        <v/>
      </c>
      <c r="M131" s="241" t="str">
        <f>IF(COUNT(H131,K131)=0,"",N(K131)-N(H131))</f>
        <v/>
      </c>
      <c r="N131" s="240" t="str">
        <f>IF(AND(ISNUMBER(F131),ISNUMBER(G131),F131&gt;0,1-N(Ввод!$J$19)/100&gt;0),G131/(1-N(Ввод!$J$19)/100),IF(AND(ISNUMBER(I131),ISNUMBER(J131),I131&gt;0),J131/(1+N(Ввод!$J$19)/100),""))</f>
        <v/>
      </c>
    </row>
    <row r="132" ht="22" customHeight="1">
      <c r="B132" s="244" t="n"/>
      <c r="C132" s="243" t="n"/>
      <c r="D132" s="244" t="n"/>
      <c r="E132" s="245" t="n"/>
      <c r="F132" s="246" t="n"/>
      <c r="G132" s="183" t="n"/>
      <c r="H132" s="271" t="str">
        <f>IF(AND(ISNUMBER(F132),ISNUMBER(G132)),F132*G132,"")</f>
        <v/>
      </c>
      <c r="I132" s="246" t="n"/>
      <c r="J132" s="183" t="n"/>
      <c r="K132" s="271" t="str">
        <f>IF(AND(ISNUMBER(I132),ISNUMBER(J132)),I132*J132,"")</f>
        <v/>
      </c>
      <c r="L132" s="246" t="str">
        <f>IF(COUNT(F132,I132)=0,"",N(F132)-N(I132))</f>
        <v/>
      </c>
      <c r="M132" s="247" t="str">
        <f>IF(COUNT(H132,K132)=0,"",N(K132)-N(H132))</f>
        <v/>
      </c>
      <c r="N132" s="246" t="str">
        <f>IF(AND(ISNUMBER(F132),ISNUMBER(G132),F132&gt;0,1-N(Ввод!$J$19)/100&gt;0),G132/(1-N(Ввод!$J$19)/100),IF(AND(ISNUMBER(I132),ISNUMBER(J132),I132&gt;0),J132/(1+N(Ввод!$J$19)/100),""))</f>
        <v/>
      </c>
    </row>
    <row r="133" ht="22" customHeight="1">
      <c r="B133" s="238" t="n"/>
      <c r="C133" s="237" t="n"/>
      <c r="D133" s="238" t="n"/>
      <c r="E133" s="239" t="n"/>
      <c r="F133" s="240" t="n"/>
      <c r="G133" s="177" t="n"/>
      <c r="H133" s="271" t="str">
        <f>IF(AND(ISNUMBER(F133),ISNUMBER(G133)),F133*G133,"")</f>
        <v/>
      </c>
      <c r="I133" s="240" t="n"/>
      <c r="J133" s="177" t="n"/>
      <c r="K133" s="271" t="str">
        <f>IF(AND(ISNUMBER(I133),ISNUMBER(J133)),I133*J133,"")</f>
        <v/>
      </c>
      <c r="L133" s="240" t="str">
        <f>IF(COUNT(F133,I133)=0,"",N(F133)-N(I133))</f>
        <v/>
      </c>
      <c r="M133" s="241" t="str">
        <f>IF(COUNT(H133,K133)=0,"",N(K133)-N(H133))</f>
        <v/>
      </c>
      <c r="N133" s="240" t="str">
        <f>IF(AND(ISNUMBER(F133),ISNUMBER(G133),F133&gt;0,1-N(Ввод!$J$19)/100&gt;0),G133/(1-N(Ввод!$J$19)/100),IF(AND(ISNUMBER(I133),ISNUMBER(J133),I133&gt;0),J133/(1+N(Ввод!$J$19)/100),""))</f>
        <v/>
      </c>
    </row>
    <row r="134" ht="22" customHeight="1">
      <c r="B134" s="244" t="n"/>
      <c r="C134" s="243" t="n"/>
      <c r="D134" s="244" t="n"/>
      <c r="E134" s="245" t="n"/>
      <c r="F134" s="246" t="n"/>
      <c r="G134" s="183" t="n"/>
      <c r="H134" s="271" t="str">
        <f>IF(AND(ISNUMBER(F134),ISNUMBER(G134)),F134*G134,"")</f>
        <v/>
      </c>
      <c r="I134" s="246" t="n"/>
      <c r="J134" s="183" t="n"/>
      <c r="K134" s="271" t="str">
        <f>IF(AND(ISNUMBER(I134),ISNUMBER(J134)),I134*J134,"")</f>
        <v/>
      </c>
      <c r="L134" s="246" t="str">
        <f>IF(COUNT(F134,I134)=0,"",N(F134)-N(I134))</f>
        <v/>
      </c>
      <c r="M134" s="247" t="str">
        <f>IF(COUNT(H134,K134)=0,"",N(K134)-N(H134))</f>
        <v/>
      </c>
      <c r="N134" s="246" t="str">
        <f>IF(AND(ISNUMBER(F134),ISNUMBER(G134),F134&gt;0,1-N(Ввод!$J$19)/100&gt;0),G134/(1-N(Ввод!$J$19)/100),IF(AND(ISNUMBER(I134),ISNUMBER(J134),I134&gt;0),J134/(1+N(Ввод!$J$19)/100),""))</f>
        <v/>
      </c>
    </row>
    <row r="135" ht="22" customHeight="1">
      <c r="B135" s="238" t="n"/>
      <c r="C135" s="237" t="n"/>
      <c r="D135" s="238" t="n"/>
      <c r="E135" s="239" t="n"/>
      <c r="F135" s="240" t="n"/>
      <c r="G135" s="177" t="n"/>
      <c r="H135" s="271" t="str">
        <f>IF(AND(ISNUMBER(F135),ISNUMBER(G135)),F135*G135,"")</f>
        <v/>
      </c>
      <c r="I135" s="240" t="n"/>
      <c r="J135" s="177" t="n"/>
      <c r="K135" s="271" t="str">
        <f>IF(AND(ISNUMBER(I135),ISNUMBER(J135)),I135*J135,"")</f>
        <v/>
      </c>
      <c r="L135" s="240" t="str">
        <f>IF(COUNT(F135,I135)=0,"",N(F135)-N(I135))</f>
        <v/>
      </c>
      <c r="M135" s="241" t="str">
        <f>IF(COUNT(H135,K135)=0,"",N(K135)-N(H135))</f>
        <v/>
      </c>
      <c r="N135" s="240" t="str">
        <f>IF(AND(ISNUMBER(F135),ISNUMBER(G135),F135&gt;0,1-N(Ввод!$J$19)/100&gt;0),G135/(1-N(Ввод!$J$19)/100),IF(AND(ISNUMBER(I135),ISNUMBER(J135),I135&gt;0),J135/(1+N(Ввод!$J$19)/100),""))</f>
        <v/>
      </c>
    </row>
    <row r="136" ht="22" customHeight="1">
      <c r="B136" s="244" t="n"/>
      <c r="C136" s="243" t="n"/>
      <c r="D136" s="244" t="n"/>
      <c r="E136" s="245" t="n"/>
      <c r="F136" s="246" t="n"/>
      <c r="G136" s="183" t="n"/>
      <c r="H136" s="271" t="str">
        <f>IF(AND(ISNUMBER(F136),ISNUMBER(G136)),F136*G136,"")</f>
        <v/>
      </c>
      <c r="I136" s="246" t="n"/>
      <c r="J136" s="183" t="n"/>
      <c r="K136" s="271" t="str">
        <f>IF(AND(ISNUMBER(I136),ISNUMBER(J136)),I136*J136,"")</f>
        <v/>
      </c>
      <c r="L136" s="246" t="str">
        <f>IF(COUNT(F136,I136)=0,"",N(F136)-N(I136))</f>
        <v/>
      </c>
      <c r="M136" s="247" t="str">
        <f>IF(COUNT(H136,K136)=0,"",N(K136)-N(H136))</f>
        <v/>
      </c>
      <c r="N136" s="246" t="str">
        <f>IF(AND(ISNUMBER(F136),ISNUMBER(G136),F136&gt;0,1-N(Ввод!$J$19)/100&gt;0),G136/(1-N(Ввод!$J$19)/100),IF(AND(ISNUMBER(I136),ISNUMBER(J136),I136&gt;0),J136/(1+N(Ввод!$J$19)/100),""))</f>
        <v/>
      </c>
    </row>
    <row r="137" ht="22" customHeight="1">
      <c r="B137" s="238" t="n"/>
      <c r="C137" s="237" t="n"/>
      <c r="D137" s="238" t="n"/>
      <c r="E137" s="239" t="n"/>
      <c r="F137" s="240" t="n"/>
      <c r="G137" s="177" t="n"/>
      <c r="H137" s="271" t="str">
        <f>IF(AND(ISNUMBER(F137),ISNUMBER(G137)),F137*G137,"")</f>
        <v/>
      </c>
      <c r="I137" s="240" t="n"/>
      <c r="J137" s="177" t="n"/>
      <c r="K137" s="271" t="str">
        <f>IF(AND(ISNUMBER(I137),ISNUMBER(J137)),I137*J137,"")</f>
        <v/>
      </c>
      <c r="L137" s="240" t="str">
        <f>IF(COUNT(F137,I137)=0,"",N(F137)-N(I137))</f>
        <v/>
      </c>
      <c r="M137" s="241" t="str">
        <f>IF(COUNT(H137,K137)=0,"",N(K137)-N(H137))</f>
        <v/>
      </c>
      <c r="N137" s="240" t="str">
        <f>IF(AND(ISNUMBER(F137),ISNUMBER(G137),F137&gt;0,1-N(Ввод!$J$19)/100&gt;0),G137/(1-N(Ввод!$J$19)/100),IF(AND(ISNUMBER(I137),ISNUMBER(J137),I137&gt;0),J137/(1+N(Ввод!$J$19)/100),""))</f>
        <v/>
      </c>
    </row>
    <row r="138" ht="22" customHeight="1">
      <c r="B138" s="244" t="n"/>
      <c r="C138" s="243" t="n"/>
      <c r="D138" s="244" t="n"/>
      <c r="E138" s="245" t="n"/>
      <c r="F138" s="246" t="n"/>
      <c r="G138" s="183" t="n"/>
      <c r="H138" s="271" t="str">
        <f>IF(AND(ISNUMBER(F138),ISNUMBER(G138)),F138*G138,"")</f>
        <v/>
      </c>
      <c r="I138" s="246" t="n"/>
      <c r="J138" s="183" t="n"/>
      <c r="K138" s="271" t="str">
        <f>IF(AND(ISNUMBER(I138),ISNUMBER(J138)),I138*J138,"")</f>
        <v/>
      </c>
      <c r="L138" s="246" t="str">
        <f>IF(COUNT(F138,I138)=0,"",N(F138)-N(I138))</f>
        <v/>
      </c>
      <c r="M138" s="247" t="str">
        <f>IF(COUNT(H138,K138)=0,"",N(K138)-N(H138))</f>
        <v/>
      </c>
      <c r="N138" s="246" t="str">
        <f>IF(AND(ISNUMBER(F138),ISNUMBER(G138),F138&gt;0,1-N(Ввод!$J$19)/100&gt;0),G138/(1-N(Ввод!$J$19)/100),IF(AND(ISNUMBER(I138),ISNUMBER(J138),I138&gt;0),J138/(1+N(Ввод!$J$19)/100),""))</f>
        <v/>
      </c>
    </row>
    <row r="139" ht="22" customHeight="1">
      <c r="B139" s="238" t="n"/>
      <c r="C139" s="237" t="n"/>
      <c r="D139" s="238" t="n"/>
      <c r="E139" s="239" t="n"/>
      <c r="F139" s="240" t="n"/>
      <c r="G139" s="177" t="n"/>
      <c r="H139" s="271" t="str">
        <f>IF(AND(ISNUMBER(F139),ISNUMBER(G139)),F139*G139,"")</f>
        <v/>
      </c>
      <c r="I139" s="240" t="n"/>
      <c r="J139" s="177" t="n"/>
      <c r="K139" s="271" t="str">
        <f>IF(AND(ISNUMBER(I139),ISNUMBER(J139)),I139*J139,"")</f>
        <v/>
      </c>
      <c r="L139" s="240" t="str">
        <f>IF(COUNT(F139,I139)=0,"",N(F139)-N(I139))</f>
        <v/>
      </c>
      <c r="M139" s="241" t="str">
        <f>IF(COUNT(H139,K139)=0,"",N(K139)-N(H139))</f>
        <v/>
      </c>
      <c r="N139" s="240" t="str">
        <f>IF(AND(ISNUMBER(F139),ISNUMBER(G139),F139&gt;0,1-N(Ввод!$J$19)/100&gt;0),G139/(1-N(Ввод!$J$19)/100),IF(AND(ISNUMBER(I139),ISNUMBER(J139),I139&gt;0),J139/(1+N(Ввод!$J$19)/100),""))</f>
        <v/>
      </c>
    </row>
    <row r="140" ht="22" customHeight="1">
      <c r="B140" s="244" t="n"/>
      <c r="C140" s="243" t="n"/>
      <c r="D140" s="244" t="n"/>
      <c r="E140" s="245" t="n"/>
      <c r="F140" s="246" t="n"/>
      <c r="G140" s="183" t="n"/>
      <c r="H140" s="271" t="str">
        <f>IF(AND(ISNUMBER(F140),ISNUMBER(G140)),F140*G140,"")</f>
        <v/>
      </c>
      <c r="I140" s="246" t="n"/>
      <c r="J140" s="183" t="n"/>
      <c r="K140" s="271" t="str">
        <f>IF(AND(ISNUMBER(I140),ISNUMBER(J140)),I140*J140,"")</f>
        <v/>
      </c>
      <c r="L140" s="246" t="str">
        <f>IF(COUNT(F140,I140)=0,"",N(F140)-N(I140))</f>
        <v/>
      </c>
      <c r="M140" s="247" t="str">
        <f>IF(COUNT(H140,K140)=0,"",N(K140)-N(H140))</f>
        <v/>
      </c>
      <c r="N140" s="246" t="str">
        <f>IF(AND(ISNUMBER(F140),ISNUMBER(G140),F140&gt;0,1-N(Ввод!$J$19)/100&gt;0),G140/(1-N(Ввод!$J$19)/100),IF(AND(ISNUMBER(I140),ISNUMBER(J140),I140&gt;0),J140/(1+N(Ввод!$J$19)/100),""))</f>
        <v/>
      </c>
    </row>
    <row r="141" ht="22" customHeight="1">
      <c r="B141" s="238" t="n"/>
      <c r="C141" s="237" t="n"/>
      <c r="D141" s="238" t="n"/>
      <c r="E141" s="239" t="n"/>
      <c r="F141" s="240" t="n"/>
      <c r="G141" s="177" t="n"/>
      <c r="H141" s="271" t="str">
        <f>IF(AND(ISNUMBER(F141),ISNUMBER(G141)),F141*G141,"")</f>
        <v/>
      </c>
      <c r="I141" s="240" t="n"/>
      <c r="J141" s="177" t="n"/>
      <c r="K141" s="271" t="str">
        <f>IF(AND(ISNUMBER(I141),ISNUMBER(J141)),I141*J141,"")</f>
        <v/>
      </c>
      <c r="L141" s="240" t="str">
        <f>IF(COUNT(F141,I141)=0,"",N(F141)-N(I141))</f>
        <v/>
      </c>
      <c r="M141" s="241" t="str">
        <f>IF(COUNT(H141,K141)=0,"",N(K141)-N(H141))</f>
        <v/>
      </c>
      <c r="N141" s="240" t="str">
        <f>IF(AND(ISNUMBER(F141),ISNUMBER(G141),F141&gt;0,1-N(Ввод!$J$19)/100&gt;0),G141/(1-N(Ввод!$J$19)/100),IF(AND(ISNUMBER(I141),ISNUMBER(J141),I141&gt;0),J141/(1+N(Ввод!$J$19)/100),""))</f>
        <v/>
      </c>
    </row>
    <row r="142" ht="22" customHeight="1">
      <c r="B142" s="244" t="n"/>
      <c r="C142" s="243" t="n"/>
      <c r="D142" s="244" t="n"/>
      <c r="E142" s="245" t="n"/>
      <c r="F142" s="246" t="n"/>
      <c r="G142" s="183" t="n"/>
      <c r="H142" s="271" t="str">
        <f>IF(AND(ISNUMBER(F142),ISNUMBER(G142)),F142*G142,"")</f>
        <v/>
      </c>
      <c r="I142" s="246" t="n"/>
      <c r="J142" s="183" t="n"/>
      <c r="K142" s="271" t="str">
        <f>IF(AND(ISNUMBER(I142),ISNUMBER(J142)),I142*J142,"")</f>
        <v/>
      </c>
      <c r="L142" s="246" t="str">
        <f>IF(COUNT(F142,I142)=0,"",N(F142)-N(I142))</f>
        <v/>
      </c>
      <c r="M142" s="247" t="str">
        <f>IF(COUNT(H142,K142)=0,"",N(K142)-N(H142))</f>
        <v/>
      </c>
      <c r="N142" s="246" t="str">
        <f>IF(AND(ISNUMBER(F142),ISNUMBER(G142),F142&gt;0,1-N(Ввод!$J$19)/100&gt;0),G142/(1-N(Ввод!$J$19)/100),IF(AND(ISNUMBER(I142),ISNUMBER(J142),I142&gt;0),J142/(1+N(Ввод!$J$19)/100),""))</f>
        <v/>
      </c>
    </row>
    <row r="143" ht="22" customHeight="1">
      <c r="B143" s="238" t="n"/>
      <c r="C143" s="237" t="n"/>
      <c r="D143" s="238" t="n"/>
      <c r="E143" s="239" t="n"/>
      <c r="F143" s="240" t="n"/>
      <c r="G143" s="177" t="n"/>
      <c r="H143" s="271" t="str">
        <f>IF(AND(ISNUMBER(F143),ISNUMBER(G143)),F143*G143,"")</f>
        <v/>
      </c>
      <c r="I143" s="240" t="n"/>
      <c r="J143" s="177" t="n"/>
      <c r="K143" s="271" t="str">
        <f>IF(AND(ISNUMBER(I143),ISNUMBER(J143)),I143*J143,"")</f>
        <v/>
      </c>
      <c r="L143" s="240" t="str">
        <f>IF(COUNT(F143,I143)=0,"",N(F143)-N(I143))</f>
        <v/>
      </c>
      <c r="M143" s="241" t="str">
        <f>IF(COUNT(H143,K143)=0,"",N(K143)-N(H143))</f>
        <v/>
      </c>
      <c r="N143" s="240" t="str">
        <f>IF(AND(ISNUMBER(F143),ISNUMBER(G143),F143&gt;0,1-N(Ввод!$J$19)/100&gt;0),G143/(1-N(Ввод!$J$19)/100),IF(AND(ISNUMBER(I143),ISNUMBER(J143),I143&gt;0),J143/(1+N(Ввод!$J$19)/100),""))</f>
        <v/>
      </c>
    </row>
    <row r="144" ht="22" customHeight="1">
      <c r="B144" s="244" t="n"/>
      <c r="C144" s="243" t="n"/>
      <c r="D144" s="244" t="n"/>
      <c r="E144" s="245" t="n"/>
      <c r="F144" s="246" t="n"/>
      <c r="G144" s="183" t="n"/>
      <c r="H144" s="271" t="str">
        <f>IF(AND(ISNUMBER(F144),ISNUMBER(G144)),F144*G144,"")</f>
        <v/>
      </c>
      <c r="I144" s="246" t="n"/>
      <c r="J144" s="183" t="n"/>
      <c r="K144" s="271" t="str">
        <f>IF(AND(ISNUMBER(I144),ISNUMBER(J144)),I144*J144,"")</f>
        <v/>
      </c>
      <c r="L144" s="246" t="str">
        <f>IF(COUNT(F144,I144)=0,"",N(F144)-N(I144))</f>
        <v/>
      </c>
      <c r="M144" s="247" t="str">
        <f>IF(COUNT(H144,K144)=0,"",N(K144)-N(H144))</f>
        <v/>
      </c>
      <c r="N144" s="246" t="str">
        <f>IF(AND(ISNUMBER(F144),ISNUMBER(G144),F144&gt;0,1-N(Ввод!$J$19)/100&gt;0),G144/(1-N(Ввод!$J$19)/100),IF(AND(ISNUMBER(I144),ISNUMBER(J144),I144&gt;0),J144/(1+N(Ввод!$J$19)/100),""))</f>
        <v/>
      </c>
    </row>
    <row r="145" ht="22" customHeight="1">
      <c r="B145" s="238" t="n"/>
      <c r="C145" s="237" t="n"/>
      <c r="D145" s="238" t="n"/>
      <c r="E145" s="239" t="n"/>
      <c r="F145" s="240" t="n"/>
      <c r="G145" s="177" t="n"/>
      <c r="H145" s="271" t="str">
        <f>IF(AND(ISNUMBER(F145),ISNUMBER(G145)),F145*G145,"")</f>
        <v/>
      </c>
      <c r="I145" s="240" t="n"/>
      <c r="J145" s="177" t="n"/>
      <c r="K145" s="271" t="str">
        <f>IF(AND(ISNUMBER(I145),ISNUMBER(J145)),I145*J145,"")</f>
        <v/>
      </c>
      <c r="L145" s="240" t="str">
        <f>IF(COUNT(F145,I145)=0,"",N(F145)-N(I145))</f>
        <v/>
      </c>
      <c r="M145" s="241" t="str">
        <f>IF(COUNT(H145,K145)=0,"",N(K145)-N(H145))</f>
        <v/>
      </c>
      <c r="N145" s="240" t="str">
        <f>IF(AND(ISNUMBER(F145),ISNUMBER(G145),F145&gt;0,1-N(Ввод!$J$19)/100&gt;0),G145/(1-N(Ввод!$J$19)/100),IF(AND(ISNUMBER(I145),ISNUMBER(J145),I145&gt;0),J145/(1+N(Ввод!$J$19)/100),""))</f>
        <v/>
      </c>
    </row>
    <row r="146" ht="22" customHeight="1">
      <c r="B146" s="244" t="n"/>
      <c r="C146" s="243" t="n"/>
      <c r="D146" s="244" t="n"/>
      <c r="E146" s="245" t="n"/>
      <c r="F146" s="246" t="n"/>
      <c r="G146" s="183" t="n"/>
      <c r="H146" s="271" t="str">
        <f>IF(AND(ISNUMBER(F146),ISNUMBER(G146)),F146*G146,"")</f>
        <v/>
      </c>
      <c r="I146" s="246" t="n"/>
      <c r="J146" s="183" t="n"/>
      <c r="K146" s="271" t="str">
        <f>IF(AND(ISNUMBER(I146),ISNUMBER(J146)),I146*J146,"")</f>
        <v/>
      </c>
      <c r="L146" s="246" t="str">
        <f>IF(COUNT(F146,I146)=0,"",N(F146)-N(I146))</f>
        <v/>
      </c>
      <c r="M146" s="247" t="str">
        <f>IF(COUNT(H146,K146)=0,"",N(K146)-N(H146))</f>
        <v/>
      </c>
      <c r="N146" s="246" t="str">
        <f>IF(AND(ISNUMBER(F146),ISNUMBER(G146),F146&gt;0,1-N(Ввод!$J$19)/100&gt;0),G146/(1-N(Ввод!$J$19)/100),IF(AND(ISNUMBER(I146),ISNUMBER(J146),I146&gt;0),J146/(1+N(Ввод!$J$19)/100),""))</f>
        <v/>
      </c>
    </row>
    <row r="147" ht="22" customHeight="1">
      <c r="B147" s="238" t="n"/>
      <c r="C147" s="237" t="n"/>
      <c r="D147" s="238" t="n"/>
      <c r="E147" s="239" t="n"/>
      <c r="F147" s="240" t="n"/>
      <c r="G147" s="177" t="n"/>
      <c r="H147" s="271" t="str">
        <f>IF(AND(ISNUMBER(F147),ISNUMBER(G147)),F147*G147,"")</f>
        <v/>
      </c>
      <c r="I147" s="240" t="n"/>
      <c r="J147" s="177" t="n"/>
      <c r="K147" s="271" t="str">
        <f>IF(AND(ISNUMBER(I147),ISNUMBER(J147)),I147*J147,"")</f>
        <v/>
      </c>
      <c r="L147" s="240" t="str">
        <f>IF(COUNT(F147,I147)=0,"",N(F147)-N(I147))</f>
        <v/>
      </c>
      <c r="M147" s="241" t="str">
        <f>IF(COUNT(H147,K147)=0,"",N(K147)-N(H147))</f>
        <v/>
      </c>
      <c r="N147" s="240" t="str">
        <f>IF(AND(ISNUMBER(F147),ISNUMBER(G147),F147&gt;0,1-N(Ввод!$J$19)/100&gt;0),G147/(1-N(Ввод!$J$19)/100),IF(AND(ISNUMBER(I147),ISNUMBER(J147),I147&gt;0),J147/(1+N(Ввод!$J$19)/100),""))</f>
        <v/>
      </c>
    </row>
    <row r="148" ht="22" customHeight="1">
      <c r="B148" s="244" t="n"/>
      <c r="C148" s="243" t="n"/>
      <c r="D148" s="244" t="n"/>
      <c r="E148" s="245" t="n"/>
      <c r="F148" s="246" t="n"/>
      <c r="G148" s="183" t="n"/>
      <c r="H148" s="271" t="str">
        <f>IF(AND(ISNUMBER(F148),ISNUMBER(G148)),F148*G148,"")</f>
        <v/>
      </c>
      <c r="I148" s="246" t="n"/>
      <c r="J148" s="183" t="n"/>
      <c r="K148" s="271" t="str">
        <f>IF(AND(ISNUMBER(I148),ISNUMBER(J148)),I148*J148,"")</f>
        <v/>
      </c>
      <c r="L148" s="246" t="str">
        <f>IF(COUNT(F148,I148)=0,"",N(F148)-N(I148))</f>
        <v/>
      </c>
      <c r="M148" s="247" t="str">
        <f>IF(COUNT(H148,K148)=0,"",N(K148)-N(H148))</f>
        <v/>
      </c>
      <c r="N148" s="246" t="str">
        <f>IF(AND(ISNUMBER(F148),ISNUMBER(G148),F148&gt;0,1-N(Ввод!$J$19)/100&gt;0),G148/(1-N(Ввод!$J$19)/100),IF(AND(ISNUMBER(I148),ISNUMBER(J148),I148&gt;0),J148/(1+N(Ввод!$J$19)/100),""))</f>
        <v/>
      </c>
    </row>
    <row r="149" ht="22" customHeight="1">
      <c r="B149" s="238" t="n"/>
      <c r="C149" s="237" t="n"/>
      <c r="D149" s="238" t="n"/>
      <c r="E149" s="239" t="n"/>
      <c r="F149" s="240" t="n"/>
      <c r="G149" s="177" t="n"/>
      <c r="H149" s="271" t="str">
        <f>IF(AND(ISNUMBER(F149),ISNUMBER(G149)),F149*G149,"")</f>
        <v/>
      </c>
      <c r="I149" s="240" t="n"/>
      <c r="J149" s="177" t="n"/>
      <c r="K149" s="271" t="str">
        <f>IF(AND(ISNUMBER(I149),ISNUMBER(J149)),I149*J149,"")</f>
        <v/>
      </c>
      <c r="L149" s="240" t="str">
        <f>IF(COUNT(F149,I149)=0,"",N(F149)-N(I149))</f>
        <v/>
      </c>
      <c r="M149" s="241" t="str">
        <f>IF(COUNT(H149,K149)=0,"",N(K149)-N(H149))</f>
        <v/>
      </c>
      <c r="N149" s="240" t="str">
        <f>IF(AND(ISNUMBER(F149),ISNUMBER(G149),F149&gt;0,1-N(Ввод!$J$19)/100&gt;0),G149/(1-N(Ввод!$J$19)/100),IF(AND(ISNUMBER(I149),ISNUMBER(J149),I149&gt;0),J149/(1+N(Ввод!$J$19)/100),""))</f>
        <v/>
      </c>
    </row>
    <row r="150" ht="22" customHeight="1">
      <c r="B150" s="244" t="n"/>
      <c r="C150" s="243" t="n"/>
      <c r="D150" s="244" t="n"/>
      <c r="E150" s="245" t="n"/>
      <c r="F150" s="246" t="n"/>
      <c r="G150" s="183" t="n"/>
      <c r="H150" s="271" t="str">
        <f>IF(AND(ISNUMBER(F150),ISNUMBER(G150)),F150*G150,"")</f>
        <v/>
      </c>
      <c r="I150" s="246" t="n"/>
      <c r="J150" s="183" t="n"/>
      <c r="K150" s="271" t="str">
        <f>IF(AND(ISNUMBER(I150),ISNUMBER(J150)),I150*J150,"")</f>
        <v/>
      </c>
      <c r="L150" s="246" t="str">
        <f>IF(COUNT(F150,I150)=0,"",N(F150)-N(I150))</f>
        <v/>
      </c>
      <c r="M150" s="247" t="str">
        <f>IF(COUNT(H150,K150)=0,"",N(K150)-N(H150))</f>
        <v/>
      </c>
      <c r="N150" s="246" t="str">
        <f>IF(AND(ISNUMBER(F150),ISNUMBER(G150),F150&gt;0,1-N(Ввод!$J$19)/100&gt;0),G150/(1-N(Ввод!$J$19)/100),IF(AND(ISNUMBER(I150),ISNUMBER(J150),I150&gt;0),J150/(1+N(Ввод!$J$19)/100),""))</f>
        <v/>
      </c>
    </row>
    <row r="151" ht="22" customHeight="1">
      <c r="B151" s="238" t="n"/>
      <c r="C151" s="237" t="n"/>
      <c r="D151" s="238" t="n"/>
      <c r="E151" s="239" t="n"/>
      <c r="F151" s="240" t="n"/>
      <c r="G151" s="177" t="n"/>
      <c r="H151" s="271" t="str">
        <f>IF(AND(ISNUMBER(F151),ISNUMBER(G151)),F151*G151,"")</f>
        <v/>
      </c>
      <c r="I151" s="240" t="n"/>
      <c r="J151" s="177" t="n"/>
      <c r="K151" s="271" t="str">
        <f>IF(AND(ISNUMBER(I151),ISNUMBER(J151)),I151*J151,"")</f>
        <v/>
      </c>
      <c r="L151" s="240" t="str">
        <f>IF(COUNT(F151,I151)=0,"",N(F151)-N(I151))</f>
        <v/>
      </c>
      <c r="M151" s="241" t="str">
        <f>IF(COUNT(H151,K151)=0,"",N(K151)-N(H151))</f>
        <v/>
      </c>
      <c r="N151" s="240" t="str">
        <f>IF(AND(ISNUMBER(F151),ISNUMBER(G151),F151&gt;0,1-N(Ввод!$J$19)/100&gt;0),G151/(1-N(Ввод!$J$19)/100),IF(AND(ISNUMBER(I151),ISNUMBER(J151),I151&gt;0),J151/(1+N(Ввод!$J$19)/100),""))</f>
        <v/>
      </c>
    </row>
    <row r="152" ht="22" customHeight="1">
      <c r="B152" s="244" t="n"/>
      <c r="C152" s="243" t="n"/>
      <c r="D152" s="244" t="n"/>
      <c r="E152" s="245" t="n"/>
      <c r="F152" s="246" t="n"/>
      <c r="G152" s="183" t="n"/>
      <c r="H152" s="271" t="str">
        <f>IF(AND(ISNUMBER(F152),ISNUMBER(G152)),F152*G152,"")</f>
        <v/>
      </c>
      <c r="I152" s="246" t="n"/>
      <c r="J152" s="183" t="n"/>
      <c r="K152" s="271" t="str">
        <f>IF(AND(ISNUMBER(I152),ISNUMBER(J152)),I152*J152,"")</f>
        <v/>
      </c>
      <c r="L152" s="246" t="str">
        <f>IF(COUNT(F152,I152)=0,"",N(F152)-N(I152))</f>
        <v/>
      </c>
      <c r="M152" s="247" t="str">
        <f>IF(COUNT(H152,K152)=0,"",N(K152)-N(H152))</f>
        <v/>
      </c>
      <c r="N152" s="246" t="str">
        <f>IF(AND(ISNUMBER(F152),ISNUMBER(G152),F152&gt;0,1-N(Ввод!$J$19)/100&gt;0),G152/(1-N(Ввод!$J$19)/100),IF(AND(ISNUMBER(I152),ISNUMBER(J152),I152&gt;0),J152/(1+N(Ввод!$J$19)/100),""))</f>
        <v/>
      </c>
    </row>
    <row r="153" ht="22" customHeight="1">
      <c r="B153" s="238" t="n"/>
      <c r="C153" s="237" t="n"/>
      <c r="D153" s="238" t="n"/>
      <c r="E153" s="239" t="n"/>
      <c r="F153" s="240" t="n"/>
      <c r="G153" s="177" t="n"/>
      <c r="H153" s="271" t="str">
        <f>IF(AND(ISNUMBER(F153),ISNUMBER(G153)),F153*G153,"")</f>
        <v/>
      </c>
      <c r="I153" s="240" t="n"/>
      <c r="J153" s="177" t="n"/>
      <c r="K153" s="271" t="str">
        <f>IF(AND(ISNUMBER(I153),ISNUMBER(J153)),I153*J153,"")</f>
        <v/>
      </c>
      <c r="L153" s="240" t="str">
        <f>IF(COUNT(F153,I153)=0,"",N(F153)-N(I153))</f>
        <v/>
      </c>
      <c r="M153" s="241" t="str">
        <f>IF(COUNT(H153,K153)=0,"",N(K153)-N(H153))</f>
        <v/>
      </c>
      <c r="N153" s="240" t="str">
        <f>IF(AND(ISNUMBER(F153),ISNUMBER(G153),F153&gt;0,1-N(Ввод!$J$19)/100&gt;0),G153/(1-N(Ввод!$J$19)/100),IF(AND(ISNUMBER(I153),ISNUMBER(J153),I153&gt;0),J153/(1+N(Ввод!$J$19)/100),""))</f>
        <v/>
      </c>
    </row>
    <row r="154" ht="22" customHeight="1">
      <c r="B154" s="244" t="n"/>
      <c r="C154" s="243" t="n"/>
      <c r="D154" s="244" t="n"/>
      <c r="E154" s="245" t="n"/>
      <c r="F154" s="246" t="n"/>
      <c r="G154" s="183" t="n"/>
      <c r="H154" s="271" t="str">
        <f>IF(AND(ISNUMBER(F154),ISNUMBER(G154)),F154*G154,"")</f>
        <v/>
      </c>
      <c r="I154" s="246" t="n"/>
      <c r="J154" s="183" t="n"/>
      <c r="K154" s="271" t="str">
        <f>IF(AND(ISNUMBER(I154),ISNUMBER(J154)),I154*J154,"")</f>
        <v/>
      </c>
      <c r="L154" s="246" t="str">
        <f>IF(COUNT(F154,I154)=0,"",N(F154)-N(I154))</f>
        <v/>
      </c>
      <c r="M154" s="247" t="str">
        <f>IF(COUNT(H154,K154)=0,"",N(K154)-N(H154))</f>
        <v/>
      </c>
      <c r="N154" s="246" t="str">
        <f>IF(AND(ISNUMBER(F154),ISNUMBER(G154),F154&gt;0,1-N(Ввод!$J$19)/100&gt;0),G154/(1-N(Ввод!$J$19)/100),IF(AND(ISNUMBER(I154),ISNUMBER(J154),I154&gt;0),J154/(1+N(Ввод!$J$19)/100),""))</f>
        <v/>
      </c>
    </row>
    <row r="155" ht="22" customHeight="1">
      <c r="B155" s="238" t="n"/>
      <c r="C155" s="237" t="n"/>
      <c r="D155" s="238" t="n"/>
      <c r="E155" s="239" t="n"/>
      <c r="F155" s="240" t="n"/>
      <c r="G155" s="177" t="n"/>
      <c r="H155" s="271" t="str">
        <f>IF(AND(ISNUMBER(F155),ISNUMBER(G155)),F155*G155,"")</f>
        <v/>
      </c>
      <c r="I155" s="240" t="n"/>
      <c r="J155" s="177" t="n"/>
      <c r="K155" s="271" t="str">
        <f>IF(AND(ISNUMBER(I155),ISNUMBER(J155)),I155*J155,"")</f>
        <v/>
      </c>
      <c r="L155" s="240" t="str">
        <f>IF(COUNT(F155,I155)=0,"",N(F155)-N(I155))</f>
        <v/>
      </c>
      <c r="M155" s="241" t="str">
        <f>IF(COUNT(H155,K155)=0,"",N(K155)-N(H155))</f>
        <v/>
      </c>
      <c r="N155" s="240" t="str">
        <f>IF(AND(ISNUMBER(F155),ISNUMBER(G155),F155&gt;0,1-N(Ввод!$J$19)/100&gt;0),G155/(1-N(Ввод!$J$19)/100),IF(AND(ISNUMBER(I155),ISNUMBER(J155),I155&gt;0),J155/(1+N(Ввод!$J$19)/100),""))</f>
        <v/>
      </c>
    </row>
    <row r="156" ht="22" customHeight="1">
      <c r="B156" s="244" t="n"/>
      <c r="C156" s="243" t="n"/>
      <c r="D156" s="244" t="n"/>
      <c r="E156" s="245" t="n"/>
      <c r="F156" s="246" t="n"/>
      <c r="G156" s="183" t="n"/>
      <c r="H156" s="271" t="str">
        <f>IF(AND(ISNUMBER(F156),ISNUMBER(G156)),F156*G156,"")</f>
        <v/>
      </c>
      <c r="I156" s="246" t="n"/>
      <c r="J156" s="183" t="n"/>
      <c r="K156" s="271" t="str">
        <f>IF(AND(ISNUMBER(I156),ISNUMBER(J156)),I156*J156,"")</f>
        <v/>
      </c>
      <c r="L156" s="246" t="str">
        <f>IF(COUNT(F156,I156)=0,"",N(F156)-N(I156))</f>
        <v/>
      </c>
      <c r="M156" s="247" t="str">
        <f>IF(COUNT(H156,K156)=0,"",N(K156)-N(H156))</f>
        <v/>
      </c>
      <c r="N156" s="246" t="str">
        <f>IF(AND(ISNUMBER(F156),ISNUMBER(G156),F156&gt;0,1-N(Ввод!$J$19)/100&gt;0),G156/(1-N(Ввод!$J$19)/100),IF(AND(ISNUMBER(I156),ISNUMBER(J156),I156&gt;0),J156/(1+N(Ввод!$J$19)/100),""))</f>
        <v/>
      </c>
    </row>
    <row r="157" ht="22" customHeight="1">
      <c r="B157" s="238" t="n"/>
      <c r="C157" s="237" t="n"/>
      <c r="D157" s="238" t="n"/>
      <c r="E157" s="239" t="n"/>
      <c r="F157" s="240" t="n"/>
      <c r="G157" s="177" t="n"/>
      <c r="H157" s="271" t="str">
        <f>IF(AND(ISNUMBER(F157),ISNUMBER(G157)),F157*G157,"")</f>
        <v/>
      </c>
      <c r="I157" s="240" t="n"/>
      <c r="J157" s="177" t="n"/>
      <c r="K157" s="271" t="str">
        <f>IF(AND(ISNUMBER(I157),ISNUMBER(J157)),I157*J157,"")</f>
        <v/>
      </c>
      <c r="L157" s="240" t="str">
        <f>IF(COUNT(F157,I157)=0,"",N(F157)-N(I157))</f>
        <v/>
      </c>
      <c r="M157" s="241" t="str">
        <f>IF(COUNT(H157,K157)=0,"",N(K157)-N(H157))</f>
        <v/>
      </c>
      <c r="N157" s="240" t="str">
        <f>IF(AND(ISNUMBER(F157),ISNUMBER(G157),F157&gt;0,1-N(Ввод!$J$19)/100&gt;0),G157/(1-N(Ввод!$J$19)/100),IF(AND(ISNUMBER(I157),ISNUMBER(J157),I157&gt;0),J157/(1+N(Ввод!$J$19)/100),""))</f>
        <v/>
      </c>
    </row>
    <row r="158" ht="22" customHeight="1">
      <c r="B158" s="244" t="n"/>
      <c r="C158" s="243" t="n"/>
      <c r="D158" s="244" t="n"/>
      <c r="E158" s="245" t="n"/>
      <c r="F158" s="246" t="n"/>
      <c r="G158" s="183" t="n"/>
      <c r="H158" s="271" t="str">
        <f>IF(AND(ISNUMBER(F158),ISNUMBER(G158)),F158*G158,"")</f>
        <v/>
      </c>
      <c r="I158" s="246" t="n"/>
      <c r="J158" s="183" t="n"/>
      <c r="K158" s="271" t="str">
        <f>IF(AND(ISNUMBER(I158),ISNUMBER(J158)),I158*J158,"")</f>
        <v/>
      </c>
      <c r="L158" s="246" t="str">
        <f>IF(COUNT(F158,I158)=0,"",N(F158)-N(I158))</f>
        <v/>
      </c>
      <c r="M158" s="247" t="str">
        <f>IF(COUNT(H158,K158)=0,"",N(K158)-N(H158))</f>
        <v/>
      </c>
      <c r="N158" s="246" t="str">
        <f>IF(AND(ISNUMBER(F158),ISNUMBER(G158),F158&gt;0,1-N(Ввод!$J$19)/100&gt;0),G158/(1-N(Ввод!$J$19)/100),IF(AND(ISNUMBER(I158),ISNUMBER(J158),I158&gt;0),J158/(1+N(Ввод!$J$19)/100),""))</f>
        <v/>
      </c>
    </row>
    <row r="159" ht="22" customHeight="1">
      <c r="B159" s="238" t="n"/>
      <c r="C159" s="237" t="n"/>
      <c r="D159" s="238" t="n"/>
      <c r="E159" s="239" t="n"/>
      <c r="F159" s="240" t="n"/>
      <c r="G159" s="177" t="n"/>
      <c r="H159" s="271" t="str">
        <f>IF(AND(ISNUMBER(F159),ISNUMBER(G159)),F159*G159,"")</f>
        <v/>
      </c>
      <c r="I159" s="240" t="n"/>
      <c r="J159" s="177" t="n"/>
      <c r="K159" s="271" t="str">
        <f>IF(AND(ISNUMBER(I159),ISNUMBER(J159)),I159*J159,"")</f>
        <v/>
      </c>
      <c r="L159" s="240" t="str">
        <f>IF(COUNT(F159,I159)=0,"",N(F159)-N(I159))</f>
        <v/>
      </c>
      <c r="M159" s="241" t="str">
        <f>IF(COUNT(H159,K159)=0,"",N(K159)-N(H159))</f>
        <v/>
      </c>
      <c r="N159" s="240" t="str">
        <f>IF(AND(ISNUMBER(F159),ISNUMBER(G159),F159&gt;0,1-N(Ввод!$J$19)/100&gt;0),G159/(1-N(Ввод!$J$19)/100),IF(AND(ISNUMBER(I159),ISNUMBER(J159),I159&gt;0),J159/(1+N(Ввод!$J$19)/100),""))</f>
        <v/>
      </c>
    </row>
    <row r="160" ht="22" customHeight="1">
      <c r="B160" s="244" t="n"/>
      <c r="C160" s="243" t="n"/>
      <c r="D160" s="244" t="n"/>
      <c r="E160" s="245" t="n"/>
      <c r="F160" s="246" t="n"/>
      <c r="G160" s="183" t="n"/>
      <c r="H160" s="271" t="str">
        <f>IF(AND(ISNUMBER(F160),ISNUMBER(G160)),F160*G160,"")</f>
        <v/>
      </c>
      <c r="I160" s="246" t="n"/>
      <c r="J160" s="183" t="n"/>
      <c r="K160" s="271" t="str">
        <f>IF(AND(ISNUMBER(I160),ISNUMBER(J160)),I160*J160,"")</f>
        <v/>
      </c>
      <c r="L160" s="246" t="str">
        <f>IF(COUNT(F160,I160)=0,"",N(F160)-N(I160))</f>
        <v/>
      </c>
      <c r="M160" s="247" t="str">
        <f>IF(COUNT(H160,K160)=0,"",N(K160)-N(H160))</f>
        <v/>
      </c>
      <c r="N160" s="246" t="str">
        <f>IF(AND(ISNUMBER(F160),ISNUMBER(G160),F160&gt;0,1-N(Ввод!$J$19)/100&gt;0),G160/(1-N(Ввод!$J$19)/100),IF(AND(ISNUMBER(I160),ISNUMBER(J160),I160&gt;0),J160/(1+N(Ввод!$J$19)/100),""))</f>
        <v/>
      </c>
    </row>
    <row r="161" ht="22" customHeight="1">
      <c r="B161" s="238" t="n"/>
      <c r="C161" s="237" t="n"/>
      <c r="D161" s="238" t="n"/>
      <c r="E161" s="239" t="n"/>
      <c r="F161" s="240" t="n"/>
      <c r="G161" s="177" t="n"/>
      <c r="H161" s="271" t="str">
        <f>IF(AND(ISNUMBER(F161),ISNUMBER(G161)),F161*G161,"")</f>
        <v/>
      </c>
      <c r="I161" s="240" t="n"/>
      <c r="J161" s="177" t="n"/>
      <c r="K161" s="271" t="str">
        <f>IF(AND(ISNUMBER(I161),ISNUMBER(J161)),I161*J161,"")</f>
        <v/>
      </c>
      <c r="L161" s="240" t="str">
        <f>IF(COUNT(F161,I161)=0,"",N(F161)-N(I161))</f>
        <v/>
      </c>
      <c r="M161" s="241" t="str">
        <f>IF(COUNT(H161,K161)=0,"",N(K161)-N(H161))</f>
        <v/>
      </c>
      <c r="N161" s="240" t="str">
        <f>IF(AND(ISNUMBER(F161),ISNUMBER(G161),F161&gt;0,1-N(Ввод!$J$19)/100&gt;0),G161/(1-N(Ввод!$J$19)/100),IF(AND(ISNUMBER(I161),ISNUMBER(J161),I161&gt;0),J161/(1+N(Ввод!$J$19)/100),""))</f>
        <v/>
      </c>
    </row>
    <row r="162" ht="22" customHeight="1">
      <c r="B162" s="244" t="n"/>
      <c r="C162" s="243" t="n"/>
      <c r="D162" s="244" t="n"/>
      <c r="E162" s="245" t="n"/>
      <c r="F162" s="246" t="n"/>
      <c r="G162" s="183" t="n"/>
      <c r="H162" s="271" t="str">
        <f>IF(AND(ISNUMBER(F162),ISNUMBER(G162)),F162*G162,"")</f>
        <v/>
      </c>
      <c r="I162" s="246" t="n"/>
      <c r="J162" s="183" t="n"/>
      <c r="K162" s="271" t="str">
        <f>IF(AND(ISNUMBER(I162),ISNUMBER(J162)),I162*J162,"")</f>
        <v/>
      </c>
      <c r="L162" s="246" t="str">
        <f>IF(COUNT(F162,I162)=0,"",N(F162)-N(I162))</f>
        <v/>
      </c>
      <c r="M162" s="247" t="str">
        <f>IF(COUNT(H162,K162)=0,"",N(K162)-N(H162))</f>
        <v/>
      </c>
      <c r="N162" s="246" t="str">
        <f>IF(AND(ISNUMBER(F162),ISNUMBER(G162),F162&gt;0,1-N(Ввод!$J$19)/100&gt;0),G162/(1-N(Ввод!$J$19)/100),IF(AND(ISNUMBER(I162),ISNUMBER(J162),I162&gt;0),J162/(1+N(Ввод!$J$19)/100),""))</f>
        <v/>
      </c>
    </row>
    <row r="163" ht="22" customHeight="1">
      <c r="B163" s="238" t="n"/>
      <c r="C163" s="237" t="n"/>
      <c r="D163" s="238" t="n"/>
      <c r="E163" s="239" t="n"/>
      <c r="F163" s="240" t="n"/>
      <c r="G163" s="177" t="n"/>
      <c r="H163" s="271" t="str">
        <f>IF(AND(ISNUMBER(F163),ISNUMBER(G163)),F163*G163,"")</f>
        <v/>
      </c>
      <c r="I163" s="240" t="n"/>
      <c r="J163" s="177" t="n"/>
      <c r="K163" s="271" t="str">
        <f>IF(AND(ISNUMBER(I163),ISNUMBER(J163)),I163*J163,"")</f>
        <v/>
      </c>
      <c r="L163" s="240" t="str">
        <f>IF(COUNT(F163,I163)=0,"",N(F163)-N(I163))</f>
        <v/>
      </c>
      <c r="M163" s="241" t="str">
        <f>IF(COUNT(H163,K163)=0,"",N(K163)-N(H163))</f>
        <v/>
      </c>
      <c r="N163" s="240" t="str">
        <f>IF(AND(ISNUMBER(F163),ISNUMBER(G163),F163&gt;0,1-N(Ввод!$J$19)/100&gt;0),G163/(1-N(Ввод!$J$19)/100),IF(AND(ISNUMBER(I163),ISNUMBER(J163),I163&gt;0),J163/(1+N(Ввод!$J$19)/100),""))</f>
        <v/>
      </c>
    </row>
    <row r="164" ht="22" customHeight="1">
      <c r="B164" s="244" t="n"/>
      <c r="C164" s="243" t="n"/>
      <c r="D164" s="244" t="n"/>
      <c r="E164" s="245" t="n"/>
      <c r="F164" s="246" t="n"/>
      <c r="G164" s="183" t="n"/>
      <c r="H164" s="271" t="str">
        <f>IF(AND(ISNUMBER(F164),ISNUMBER(G164)),F164*G164,"")</f>
        <v/>
      </c>
      <c r="I164" s="246" t="n"/>
      <c r="J164" s="183" t="n"/>
      <c r="K164" s="271" t="str">
        <f>IF(AND(ISNUMBER(I164),ISNUMBER(J164)),I164*J164,"")</f>
        <v/>
      </c>
      <c r="L164" s="246" t="str">
        <f>IF(COUNT(F164,I164)=0,"",N(F164)-N(I164))</f>
        <v/>
      </c>
      <c r="M164" s="247" t="str">
        <f>IF(COUNT(H164,K164)=0,"",N(K164)-N(H164))</f>
        <v/>
      </c>
      <c r="N164" s="246" t="str">
        <f>IF(AND(ISNUMBER(F164),ISNUMBER(G164),F164&gt;0,1-N(Ввод!$J$19)/100&gt;0),G164/(1-N(Ввод!$J$19)/100),IF(AND(ISNUMBER(I164),ISNUMBER(J164),I164&gt;0),J164/(1+N(Ввод!$J$19)/100),""))</f>
        <v/>
      </c>
    </row>
    <row r="165" ht="22" customHeight="1">
      <c r="B165" s="238" t="n"/>
      <c r="C165" s="237" t="n"/>
      <c r="D165" s="238" t="n"/>
      <c r="E165" s="239" t="n"/>
      <c r="F165" s="240" t="n"/>
      <c r="G165" s="177" t="n"/>
      <c r="H165" s="271" t="str">
        <f>IF(AND(ISNUMBER(F165),ISNUMBER(G165)),F165*G165,"")</f>
        <v/>
      </c>
      <c r="I165" s="240" t="n"/>
      <c r="J165" s="177" t="n"/>
      <c r="K165" s="271" t="str">
        <f>IF(AND(ISNUMBER(I165),ISNUMBER(J165)),I165*J165,"")</f>
        <v/>
      </c>
      <c r="L165" s="240" t="str">
        <f>IF(COUNT(F165,I165)=0,"",N(F165)-N(I165))</f>
        <v/>
      </c>
      <c r="M165" s="241" t="str">
        <f>IF(COUNT(H165,K165)=0,"",N(K165)-N(H165))</f>
        <v/>
      </c>
      <c r="N165" s="240" t="str">
        <f>IF(AND(ISNUMBER(F165),ISNUMBER(G165),F165&gt;0,1-N(Ввод!$J$19)/100&gt;0),G165/(1-N(Ввод!$J$19)/100),IF(AND(ISNUMBER(I165),ISNUMBER(J165),I165&gt;0),J165/(1+N(Ввод!$J$19)/100),""))</f>
        <v/>
      </c>
    </row>
    <row r="166" ht="22" customHeight="1">
      <c r="B166" s="244" t="n"/>
      <c r="C166" s="243" t="n"/>
      <c r="D166" s="244" t="n"/>
      <c r="E166" s="245" t="n"/>
      <c r="F166" s="246" t="n"/>
      <c r="G166" s="183" t="n"/>
      <c r="H166" s="271" t="str">
        <f>IF(AND(ISNUMBER(F166),ISNUMBER(G166)),F166*G166,"")</f>
        <v/>
      </c>
      <c r="I166" s="246" t="n"/>
      <c r="J166" s="183" t="n"/>
      <c r="K166" s="271" t="str">
        <f>IF(AND(ISNUMBER(I166),ISNUMBER(J166)),I166*J166,"")</f>
        <v/>
      </c>
      <c r="L166" s="246" t="str">
        <f>IF(COUNT(F166,I166)=0,"",N(F166)-N(I166))</f>
        <v/>
      </c>
      <c r="M166" s="247" t="str">
        <f>IF(COUNT(H166,K166)=0,"",N(K166)-N(H166))</f>
        <v/>
      </c>
      <c r="N166" s="246" t="str">
        <f>IF(AND(ISNUMBER(F166),ISNUMBER(G166),F166&gt;0,1-N(Ввод!$J$19)/100&gt;0),G166/(1-N(Ввод!$J$19)/100),IF(AND(ISNUMBER(I166),ISNUMBER(J166),I166&gt;0),J166/(1+N(Ввод!$J$19)/100),""))</f>
        <v/>
      </c>
    </row>
    <row r="167" ht="22" customHeight="1">
      <c r="B167" s="238" t="n"/>
      <c r="C167" s="237" t="n"/>
      <c r="D167" s="238" t="n"/>
      <c r="E167" s="239" t="n"/>
      <c r="F167" s="240" t="n"/>
      <c r="G167" s="177" t="n"/>
      <c r="H167" s="271" t="str">
        <f>IF(AND(ISNUMBER(F167),ISNUMBER(G167)),F167*G167,"")</f>
        <v/>
      </c>
      <c r="I167" s="240" t="n"/>
      <c r="J167" s="177" t="n"/>
      <c r="K167" s="271" t="str">
        <f>IF(AND(ISNUMBER(I167),ISNUMBER(J167)),I167*J167,"")</f>
        <v/>
      </c>
      <c r="L167" s="240" t="str">
        <f>IF(COUNT(F167,I167)=0,"",N(F167)-N(I167))</f>
        <v/>
      </c>
      <c r="M167" s="241" t="str">
        <f>IF(COUNT(H167,K167)=0,"",N(K167)-N(H167))</f>
        <v/>
      </c>
      <c r="N167" s="240" t="str">
        <f>IF(AND(ISNUMBER(F167),ISNUMBER(G167),F167&gt;0,1-N(Ввод!$J$19)/100&gt;0),G167/(1-N(Ввод!$J$19)/100),IF(AND(ISNUMBER(I167),ISNUMBER(J167),I167&gt;0),J167/(1+N(Ввод!$J$19)/100),""))</f>
        <v/>
      </c>
    </row>
    <row r="168" ht="22" customHeight="1">
      <c r="B168" s="244" t="n"/>
      <c r="C168" s="243" t="n"/>
      <c r="D168" s="244" t="n"/>
      <c r="E168" s="245" t="n"/>
      <c r="F168" s="246" t="n"/>
      <c r="G168" s="183" t="n"/>
      <c r="H168" s="271" t="str">
        <f>IF(AND(ISNUMBER(F168),ISNUMBER(G168)),F168*G168,"")</f>
        <v/>
      </c>
      <c r="I168" s="246" t="n"/>
      <c r="J168" s="183" t="n"/>
      <c r="K168" s="271" t="str">
        <f>IF(AND(ISNUMBER(I168),ISNUMBER(J168)),I168*J168,"")</f>
        <v/>
      </c>
      <c r="L168" s="246" t="str">
        <f>IF(COUNT(F168,I168)=0,"",N(F168)-N(I168))</f>
        <v/>
      </c>
      <c r="M168" s="247" t="str">
        <f>IF(COUNT(H168,K168)=0,"",N(K168)-N(H168))</f>
        <v/>
      </c>
      <c r="N168" s="246" t="str">
        <f>IF(AND(ISNUMBER(F168),ISNUMBER(G168),F168&gt;0,1-N(Ввод!$J$19)/100&gt;0),G168/(1-N(Ввод!$J$19)/100),IF(AND(ISNUMBER(I168),ISNUMBER(J168),I168&gt;0),J168/(1+N(Ввод!$J$19)/100),""))</f>
        <v/>
      </c>
    </row>
    <row r="169" ht="22" customHeight="1">
      <c r="B169" s="238" t="n"/>
      <c r="C169" s="237" t="n"/>
      <c r="D169" s="238" t="n"/>
      <c r="E169" s="239" t="n"/>
      <c r="F169" s="240" t="n"/>
      <c r="G169" s="177" t="n"/>
      <c r="H169" s="271" t="str">
        <f>IF(AND(ISNUMBER(F169),ISNUMBER(G169)),F169*G169,"")</f>
        <v/>
      </c>
      <c r="I169" s="240" t="n"/>
      <c r="J169" s="177" t="n"/>
      <c r="K169" s="271" t="str">
        <f>IF(AND(ISNUMBER(I169),ISNUMBER(J169)),I169*J169,"")</f>
        <v/>
      </c>
      <c r="L169" s="240" t="str">
        <f>IF(COUNT(F169,I169)=0,"",N(F169)-N(I169))</f>
        <v/>
      </c>
      <c r="M169" s="241" t="str">
        <f>IF(COUNT(H169,K169)=0,"",N(K169)-N(H169))</f>
        <v/>
      </c>
      <c r="N169" s="240" t="str">
        <f>IF(AND(ISNUMBER(F169),ISNUMBER(G169),F169&gt;0,1-N(Ввод!$J$19)/100&gt;0),G169/(1-N(Ввод!$J$19)/100),IF(AND(ISNUMBER(I169),ISNUMBER(J169),I169&gt;0),J169/(1+N(Ввод!$J$19)/100),""))</f>
        <v/>
      </c>
    </row>
    <row r="170" ht="22" customHeight="1">
      <c r="B170" s="244" t="n"/>
      <c r="C170" s="243" t="n"/>
      <c r="D170" s="244" t="n"/>
      <c r="E170" s="245" t="n"/>
      <c r="F170" s="246" t="n"/>
      <c r="G170" s="183" t="n"/>
      <c r="H170" s="271" t="str">
        <f>IF(AND(ISNUMBER(F170),ISNUMBER(G170)),F170*G170,"")</f>
        <v/>
      </c>
      <c r="I170" s="246" t="n"/>
      <c r="J170" s="183" t="n"/>
      <c r="K170" s="271" t="str">
        <f>IF(AND(ISNUMBER(I170),ISNUMBER(J170)),I170*J170,"")</f>
        <v/>
      </c>
      <c r="L170" s="246" t="str">
        <f>IF(COUNT(F170,I170)=0,"",N(F170)-N(I170))</f>
        <v/>
      </c>
      <c r="M170" s="247" t="str">
        <f>IF(COUNT(H170,K170)=0,"",N(K170)-N(H170))</f>
        <v/>
      </c>
      <c r="N170" s="246" t="str">
        <f>IF(AND(ISNUMBER(F170),ISNUMBER(G170),F170&gt;0,1-N(Ввод!$J$19)/100&gt;0),G170/(1-N(Ввод!$J$19)/100),IF(AND(ISNUMBER(I170),ISNUMBER(J170),I170&gt;0),J170/(1+N(Ввод!$J$19)/100),""))</f>
        <v/>
      </c>
    </row>
    <row r="171" ht="22" customHeight="1">
      <c r="B171" s="238" t="n"/>
      <c r="C171" s="237" t="n"/>
      <c r="D171" s="238" t="n"/>
      <c r="E171" s="239" t="n"/>
      <c r="F171" s="240" t="n"/>
      <c r="G171" s="177" t="n"/>
      <c r="H171" s="271" t="str">
        <f>IF(AND(ISNUMBER(F171),ISNUMBER(G171)),F171*G171,"")</f>
        <v/>
      </c>
      <c r="I171" s="240" t="n"/>
      <c r="J171" s="177" t="n"/>
      <c r="K171" s="271" t="str">
        <f>IF(AND(ISNUMBER(I171),ISNUMBER(J171)),I171*J171,"")</f>
        <v/>
      </c>
      <c r="L171" s="240" t="str">
        <f>IF(COUNT(F171,I171)=0,"",N(F171)-N(I171))</f>
        <v/>
      </c>
      <c r="M171" s="241" t="str">
        <f>IF(COUNT(H171,K171)=0,"",N(K171)-N(H171))</f>
        <v/>
      </c>
      <c r="N171" s="240" t="str">
        <f>IF(AND(ISNUMBER(F171),ISNUMBER(G171),F171&gt;0,1-N(Ввод!$J$19)/100&gt;0),G171/(1-N(Ввод!$J$19)/100),IF(AND(ISNUMBER(I171),ISNUMBER(J171),I171&gt;0),J171/(1+N(Ввод!$J$19)/100),""))</f>
        <v/>
      </c>
    </row>
    <row r="172" ht="22" customHeight="1">
      <c r="B172" s="244" t="n"/>
      <c r="C172" s="243" t="n"/>
      <c r="D172" s="244" t="n"/>
      <c r="E172" s="245" t="n"/>
      <c r="F172" s="246" t="n"/>
      <c r="G172" s="183" t="n"/>
      <c r="H172" s="271" t="str">
        <f>IF(AND(ISNUMBER(F172),ISNUMBER(G172)),F172*G172,"")</f>
        <v/>
      </c>
      <c r="I172" s="246" t="n"/>
      <c r="J172" s="183" t="n"/>
      <c r="K172" s="271" t="str">
        <f>IF(AND(ISNUMBER(I172),ISNUMBER(J172)),I172*J172,"")</f>
        <v/>
      </c>
      <c r="L172" s="246" t="str">
        <f>IF(COUNT(F172,I172)=0,"",N(F172)-N(I172))</f>
        <v/>
      </c>
      <c r="M172" s="247" t="str">
        <f>IF(COUNT(H172,K172)=0,"",N(K172)-N(H172))</f>
        <v/>
      </c>
      <c r="N172" s="246" t="str">
        <f>IF(AND(ISNUMBER(F172),ISNUMBER(G172),F172&gt;0,1-N(Ввод!$J$19)/100&gt;0),G172/(1-N(Ввод!$J$19)/100),IF(AND(ISNUMBER(I172),ISNUMBER(J172),I172&gt;0),J172/(1+N(Ввод!$J$19)/100),""))</f>
        <v/>
      </c>
    </row>
    <row r="173" ht="22" customHeight="1">
      <c r="B173" s="238" t="n"/>
      <c r="C173" s="237" t="n"/>
      <c r="D173" s="238" t="n"/>
      <c r="E173" s="239" t="n"/>
      <c r="F173" s="240" t="n"/>
      <c r="G173" s="177" t="n"/>
      <c r="H173" s="271" t="str">
        <f>IF(AND(ISNUMBER(F173),ISNUMBER(G173)),F173*G173,"")</f>
        <v/>
      </c>
      <c r="I173" s="240" t="n"/>
      <c r="J173" s="177" t="n"/>
      <c r="K173" s="271" t="str">
        <f>IF(AND(ISNUMBER(I173),ISNUMBER(J173)),I173*J173,"")</f>
        <v/>
      </c>
      <c r="L173" s="240" t="str">
        <f>IF(COUNT(F173,I173)=0,"",N(F173)-N(I173))</f>
        <v/>
      </c>
      <c r="M173" s="241" t="str">
        <f>IF(COUNT(H173,K173)=0,"",N(K173)-N(H173))</f>
        <v/>
      </c>
      <c r="N173" s="240" t="str">
        <f>IF(AND(ISNUMBER(F173),ISNUMBER(G173),F173&gt;0,1-N(Ввод!$J$19)/100&gt;0),G173/(1-N(Ввод!$J$19)/100),IF(AND(ISNUMBER(I173),ISNUMBER(J173),I173&gt;0),J173/(1+N(Ввод!$J$19)/100),""))</f>
        <v/>
      </c>
    </row>
    <row r="174" ht="22" customHeight="1">
      <c r="B174" s="244" t="n"/>
      <c r="C174" s="243" t="n"/>
      <c r="D174" s="244" t="n"/>
      <c r="E174" s="245" t="n"/>
      <c r="F174" s="246" t="n"/>
      <c r="G174" s="183" t="n"/>
      <c r="H174" s="271" t="str">
        <f>IF(AND(ISNUMBER(F174),ISNUMBER(G174)),F174*G174,"")</f>
        <v/>
      </c>
      <c r="I174" s="246" t="n"/>
      <c r="J174" s="183" t="n"/>
      <c r="K174" s="271" t="str">
        <f>IF(AND(ISNUMBER(I174),ISNUMBER(J174)),I174*J174,"")</f>
        <v/>
      </c>
      <c r="L174" s="246" t="str">
        <f>IF(COUNT(F174,I174)=0,"",N(F174)-N(I174))</f>
        <v/>
      </c>
      <c r="M174" s="247" t="str">
        <f>IF(COUNT(H174,K174)=0,"",N(K174)-N(H174))</f>
        <v/>
      </c>
      <c r="N174" s="246" t="str">
        <f>IF(AND(ISNUMBER(F174),ISNUMBER(G174),F174&gt;0,1-N(Ввод!$J$19)/100&gt;0),G174/(1-N(Ввод!$J$19)/100),IF(AND(ISNUMBER(I174),ISNUMBER(J174),I174&gt;0),J174/(1+N(Ввод!$J$19)/100),""))</f>
        <v/>
      </c>
    </row>
    <row r="175" ht="22" customHeight="1">
      <c r="B175" s="238" t="n"/>
      <c r="C175" s="237" t="n"/>
      <c r="D175" s="238" t="n"/>
      <c r="E175" s="239" t="n"/>
      <c r="F175" s="240" t="n"/>
      <c r="G175" s="177" t="n"/>
      <c r="H175" s="271" t="str">
        <f>IF(AND(ISNUMBER(F175),ISNUMBER(G175)),F175*G175,"")</f>
        <v/>
      </c>
      <c r="I175" s="240" t="n"/>
      <c r="J175" s="177" t="n"/>
      <c r="K175" s="271" t="str">
        <f>IF(AND(ISNUMBER(I175),ISNUMBER(J175)),I175*J175,"")</f>
        <v/>
      </c>
      <c r="L175" s="240" t="str">
        <f>IF(COUNT(F175,I175)=0,"",N(F175)-N(I175))</f>
        <v/>
      </c>
      <c r="M175" s="241" t="str">
        <f>IF(COUNT(H175,K175)=0,"",N(K175)-N(H175))</f>
        <v/>
      </c>
      <c r="N175" s="240" t="str">
        <f>IF(AND(ISNUMBER(F175),ISNUMBER(G175),F175&gt;0,1-N(Ввод!$J$19)/100&gt;0),G175/(1-N(Ввод!$J$19)/100),IF(AND(ISNUMBER(I175),ISNUMBER(J175),I175&gt;0),J175/(1+N(Ввод!$J$19)/100),""))</f>
        <v/>
      </c>
    </row>
    <row r="176" ht="22" customHeight="1">
      <c r="B176" s="244" t="n"/>
      <c r="C176" s="243" t="n"/>
      <c r="D176" s="244" t="n"/>
      <c r="E176" s="245" t="n"/>
      <c r="F176" s="246" t="n"/>
      <c r="G176" s="183" t="n"/>
      <c r="H176" s="271" t="str">
        <f>IF(AND(ISNUMBER(F176),ISNUMBER(G176)),F176*G176,"")</f>
        <v/>
      </c>
      <c r="I176" s="246" t="n"/>
      <c r="J176" s="183" t="n"/>
      <c r="K176" s="271" t="str">
        <f>IF(AND(ISNUMBER(I176),ISNUMBER(J176)),I176*J176,"")</f>
        <v/>
      </c>
      <c r="L176" s="246" t="str">
        <f>IF(COUNT(F176,I176)=0,"",N(F176)-N(I176))</f>
        <v/>
      </c>
      <c r="M176" s="247" t="str">
        <f>IF(COUNT(H176,K176)=0,"",N(K176)-N(H176))</f>
        <v/>
      </c>
      <c r="N176" s="246" t="str">
        <f>IF(AND(ISNUMBER(F176),ISNUMBER(G176),F176&gt;0,1-N(Ввод!$J$19)/100&gt;0),G176/(1-N(Ввод!$J$19)/100),IF(AND(ISNUMBER(I176),ISNUMBER(J176),I176&gt;0),J176/(1+N(Ввод!$J$19)/100),""))</f>
        <v/>
      </c>
    </row>
    <row r="177" ht="22" customHeight="1">
      <c r="B177" s="238" t="n"/>
      <c r="C177" s="237" t="n"/>
      <c r="D177" s="238" t="n"/>
      <c r="E177" s="239" t="n"/>
      <c r="F177" s="240" t="n"/>
      <c r="G177" s="177" t="n"/>
      <c r="H177" s="271" t="str">
        <f>IF(AND(ISNUMBER(F177),ISNUMBER(G177)),F177*G177,"")</f>
        <v/>
      </c>
      <c r="I177" s="240" t="n"/>
      <c r="J177" s="177" t="n"/>
      <c r="K177" s="271" t="str">
        <f>IF(AND(ISNUMBER(I177),ISNUMBER(J177)),I177*J177,"")</f>
        <v/>
      </c>
      <c r="L177" s="240" t="str">
        <f>IF(COUNT(F177,I177)=0,"",N(F177)-N(I177))</f>
        <v/>
      </c>
      <c r="M177" s="241" t="str">
        <f>IF(COUNT(H177,K177)=0,"",N(K177)-N(H177))</f>
        <v/>
      </c>
      <c r="N177" s="240" t="str">
        <f>IF(AND(ISNUMBER(F177),ISNUMBER(G177),F177&gt;0,1-N(Ввод!$J$19)/100&gt;0),G177/(1-N(Ввод!$J$19)/100),IF(AND(ISNUMBER(I177),ISNUMBER(J177),I177&gt;0),J177/(1+N(Ввод!$J$19)/100),""))</f>
        <v/>
      </c>
    </row>
    <row r="178" ht="22" customHeight="1">
      <c r="B178" s="244" t="n"/>
      <c r="C178" s="243" t="n"/>
      <c r="D178" s="244" t="n"/>
      <c r="E178" s="245" t="n"/>
      <c r="F178" s="246" t="n"/>
      <c r="G178" s="183" t="n"/>
      <c r="H178" s="271" t="str">
        <f>IF(AND(ISNUMBER(F178),ISNUMBER(G178)),F178*G178,"")</f>
        <v/>
      </c>
      <c r="I178" s="246" t="n"/>
      <c r="J178" s="183" t="n"/>
      <c r="K178" s="271" t="str">
        <f>IF(AND(ISNUMBER(I178),ISNUMBER(J178)),I178*J178,"")</f>
        <v/>
      </c>
      <c r="L178" s="246" t="str">
        <f>IF(COUNT(F178,I178)=0,"",N(F178)-N(I178))</f>
        <v/>
      </c>
      <c r="M178" s="247" t="str">
        <f>IF(COUNT(H178,K178)=0,"",N(K178)-N(H178))</f>
        <v/>
      </c>
      <c r="N178" s="246" t="str">
        <f>IF(AND(ISNUMBER(F178),ISNUMBER(G178),F178&gt;0,1-N(Ввод!$J$19)/100&gt;0),G178/(1-N(Ввод!$J$19)/100),IF(AND(ISNUMBER(I178),ISNUMBER(J178),I178&gt;0),J178/(1+N(Ввод!$J$19)/100),""))</f>
        <v/>
      </c>
    </row>
    <row r="179" ht="22" customHeight="1">
      <c r="B179" s="238" t="n"/>
      <c r="C179" s="237" t="n"/>
      <c r="D179" s="238" t="n"/>
      <c r="E179" s="239" t="n"/>
      <c r="F179" s="240" t="n"/>
      <c r="G179" s="177" t="n"/>
      <c r="H179" s="271" t="str">
        <f>IF(AND(ISNUMBER(F179),ISNUMBER(G179)),F179*G179,"")</f>
        <v/>
      </c>
      <c r="I179" s="240" t="n"/>
      <c r="J179" s="177" t="n"/>
      <c r="K179" s="271" t="str">
        <f>IF(AND(ISNUMBER(I179),ISNUMBER(J179)),I179*J179,"")</f>
        <v/>
      </c>
      <c r="L179" s="240" t="str">
        <f>IF(COUNT(F179,I179)=0,"",N(F179)-N(I179))</f>
        <v/>
      </c>
      <c r="M179" s="241" t="str">
        <f>IF(COUNT(H179,K179)=0,"",N(K179)-N(H179))</f>
        <v/>
      </c>
      <c r="N179" s="240" t="str">
        <f>IF(AND(ISNUMBER(F179),ISNUMBER(G179),F179&gt;0,1-N(Ввод!$J$19)/100&gt;0),G179/(1-N(Ввод!$J$19)/100),IF(AND(ISNUMBER(I179),ISNUMBER(J179),I179&gt;0),J179/(1+N(Ввод!$J$19)/100),""))</f>
        <v/>
      </c>
    </row>
    <row r="180" ht="22" customHeight="1">
      <c r="B180" s="244" t="n"/>
      <c r="C180" s="243" t="n"/>
      <c r="D180" s="244" t="n"/>
      <c r="E180" s="245" t="n"/>
      <c r="F180" s="246" t="n"/>
      <c r="G180" s="183" t="n"/>
      <c r="H180" s="271" t="str">
        <f>IF(AND(ISNUMBER(F180),ISNUMBER(G180)),F180*G180,"")</f>
        <v/>
      </c>
      <c r="I180" s="246" t="n"/>
      <c r="J180" s="183" t="n"/>
      <c r="K180" s="271" t="str">
        <f>IF(AND(ISNUMBER(I180),ISNUMBER(J180)),I180*J180,"")</f>
        <v/>
      </c>
      <c r="L180" s="246" t="str">
        <f>IF(COUNT(F180,I180)=0,"",N(F180)-N(I180))</f>
        <v/>
      </c>
      <c r="M180" s="247" t="str">
        <f>IF(COUNT(H180,K180)=0,"",N(K180)-N(H180))</f>
        <v/>
      </c>
      <c r="N180" s="246" t="str">
        <f>IF(AND(ISNUMBER(F180),ISNUMBER(G180),F180&gt;0,1-N(Ввод!$J$19)/100&gt;0),G180/(1-N(Ввод!$J$19)/100),IF(AND(ISNUMBER(I180),ISNUMBER(J180),I180&gt;0),J180/(1+N(Ввод!$J$19)/100),""))</f>
        <v/>
      </c>
    </row>
    <row r="181" ht="22" customHeight="1">
      <c r="B181" s="238" t="n"/>
      <c r="C181" s="237" t="n"/>
      <c r="D181" s="238" t="n"/>
      <c r="E181" s="239" t="n"/>
      <c r="F181" s="240" t="n"/>
      <c r="G181" s="177" t="n"/>
      <c r="H181" s="271" t="str">
        <f>IF(AND(ISNUMBER(F181),ISNUMBER(G181)),F181*G181,"")</f>
        <v/>
      </c>
      <c r="I181" s="240" t="n"/>
      <c r="J181" s="177" t="n"/>
      <c r="K181" s="271" t="str">
        <f>IF(AND(ISNUMBER(I181),ISNUMBER(J181)),I181*J181,"")</f>
        <v/>
      </c>
      <c r="L181" s="240" t="str">
        <f>IF(COUNT(F181,I181)=0,"",N(F181)-N(I181))</f>
        <v/>
      </c>
      <c r="M181" s="241" t="str">
        <f>IF(COUNT(H181,K181)=0,"",N(K181)-N(H181))</f>
        <v/>
      </c>
      <c r="N181" s="240" t="str">
        <f>IF(AND(ISNUMBER(F181),ISNUMBER(G181),F181&gt;0,1-N(Ввод!$J$19)/100&gt;0),G181/(1-N(Ввод!$J$19)/100),IF(AND(ISNUMBER(I181),ISNUMBER(J181),I181&gt;0),J181/(1+N(Ввод!$J$19)/100),""))</f>
        <v/>
      </c>
    </row>
    <row r="182" ht="22" customHeight="1">
      <c r="B182" s="244" t="n"/>
      <c r="C182" s="243" t="n"/>
      <c r="D182" s="244" t="n"/>
      <c r="E182" s="245" t="n"/>
      <c r="F182" s="246" t="n"/>
      <c r="G182" s="183" t="n"/>
      <c r="H182" s="271" t="str">
        <f>IF(AND(ISNUMBER(F182),ISNUMBER(G182)),F182*G182,"")</f>
        <v/>
      </c>
      <c r="I182" s="246" t="n"/>
      <c r="J182" s="183" t="n"/>
      <c r="K182" s="271" t="str">
        <f>IF(AND(ISNUMBER(I182),ISNUMBER(J182)),I182*J182,"")</f>
        <v/>
      </c>
      <c r="L182" s="246" t="str">
        <f>IF(COUNT(F182,I182)=0,"",N(F182)-N(I182))</f>
        <v/>
      </c>
      <c r="M182" s="247" t="str">
        <f>IF(COUNT(H182,K182)=0,"",N(K182)-N(H182))</f>
        <v/>
      </c>
      <c r="N182" s="246" t="str">
        <f>IF(AND(ISNUMBER(F182),ISNUMBER(G182),F182&gt;0,1-N(Ввод!$J$19)/100&gt;0),G182/(1-N(Ввод!$J$19)/100),IF(AND(ISNUMBER(I182),ISNUMBER(J182),I182&gt;0),J182/(1+N(Ввод!$J$19)/100),""))</f>
        <v/>
      </c>
    </row>
    <row r="183" ht="22" customHeight="1">
      <c r="B183" s="238" t="n"/>
      <c r="C183" s="237" t="n"/>
      <c r="D183" s="238" t="n"/>
      <c r="E183" s="239" t="n"/>
      <c r="F183" s="240" t="n"/>
      <c r="G183" s="177" t="n"/>
      <c r="H183" s="271" t="str">
        <f>IF(AND(ISNUMBER(F183),ISNUMBER(G183)),F183*G183,"")</f>
        <v/>
      </c>
      <c r="I183" s="240" t="n"/>
      <c r="J183" s="177" t="n"/>
      <c r="K183" s="271" t="str">
        <f>IF(AND(ISNUMBER(I183),ISNUMBER(J183)),I183*J183,"")</f>
        <v/>
      </c>
      <c r="L183" s="240" t="str">
        <f>IF(COUNT(F183,I183)=0,"",N(F183)-N(I183))</f>
        <v/>
      </c>
      <c r="M183" s="241" t="str">
        <f>IF(COUNT(H183,K183)=0,"",N(K183)-N(H183))</f>
        <v/>
      </c>
      <c r="N183" s="240" t="str">
        <f>IF(AND(ISNUMBER(F183),ISNUMBER(G183),F183&gt;0,1-N(Ввод!$J$19)/100&gt;0),G183/(1-N(Ввод!$J$19)/100),IF(AND(ISNUMBER(I183),ISNUMBER(J183),I183&gt;0),J183/(1+N(Ввод!$J$19)/100),""))</f>
        <v/>
      </c>
    </row>
    <row r="184" ht="22" customHeight="1">
      <c r="B184" s="244" t="n"/>
      <c r="C184" s="243" t="n"/>
      <c r="D184" s="244" t="n"/>
      <c r="E184" s="245" t="n"/>
      <c r="F184" s="246" t="n"/>
      <c r="G184" s="183" t="n"/>
      <c r="H184" s="271" t="str">
        <f>IF(AND(ISNUMBER(F184),ISNUMBER(G184)),F184*G184,"")</f>
        <v/>
      </c>
      <c r="I184" s="246" t="n"/>
      <c r="J184" s="183" t="n"/>
      <c r="K184" s="271" t="str">
        <f>IF(AND(ISNUMBER(I184),ISNUMBER(J184)),I184*J184,"")</f>
        <v/>
      </c>
      <c r="L184" s="246" t="str">
        <f>IF(COUNT(F184,I184)=0,"",N(F184)-N(I184))</f>
        <v/>
      </c>
      <c r="M184" s="247" t="str">
        <f>IF(COUNT(H184,K184)=0,"",N(K184)-N(H184))</f>
        <v/>
      </c>
      <c r="N184" s="246" t="str">
        <f>IF(AND(ISNUMBER(F184),ISNUMBER(G184),F184&gt;0,1-N(Ввод!$J$19)/100&gt;0),G184/(1-N(Ввод!$J$19)/100),IF(AND(ISNUMBER(I184),ISNUMBER(J184),I184&gt;0),J184/(1+N(Ввод!$J$19)/100),""))</f>
        <v/>
      </c>
    </row>
    <row r="185" ht="22" customHeight="1">
      <c r="B185" s="238" t="n"/>
      <c r="C185" s="237" t="n"/>
      <c r="D185" s="238" t="n"/>
      <c r="E185" s="239" t="n"/>
      <c r="F185" s="240" t="n"/>
      <c r="G185" s="177" t="n"/>
      <c r="H185" s="271" t="str">
        <f>IF(AND(ISNUMBER(F185),ISNUMBER(G185)),F185*G185,"")</f>
        <v/>
      </c>
      <c r="I185" s="240" t="n"/>
      <c r="J185" s="177" t="n"/>
      <c r="K185" s="271" t="str">
        <f>IF(AND(ISNUMBER(I185),ISNUMBER(J185)),I185*J185,"")</f>
        <v/>
      </c>
      <c r="L185" s="240" t="str">
        <f>IF(COUNT(F185,I185)=0,"",N(F185)-N(I185))</f>
        <v/>
      </c>
      <c r="M185" s="241" t="str">
        <f>IF(COUNT(H185,K185)=0,"",N(K185)-N(H185))</f>
        <v/>
      </c>
      <c r="N185" s="240" t="str">
        <f>IF(AND(ISNUMBER(F185),ISNUMBER(G185),F185&gt;0,1-N(Ввод!$J$19)/100&gt;0),G185/(1-N(Ввод!$J$19)/100),IF(AND(ISNUMBER(I185),ISNUMBER(J185),I185&gt;0),J185/(1+N(Ввод!$J$19)/100),""))</f>
        <v/>
      </c>
    </row>
    <row r="186" ht="22" customHeight="1">
      <c r="B186" s="244" t="n"/>
      <c r="C186" s="243" t="n"/>
      <c r="D186" s="244" t="n"/>
      <c r="E186" s="245" t="n"/>
      <c r="F186" s="246" t="n"/>
      <c r="G186" s="183" t="n"/>
      <c r="H186" s="271" t="str">
        <f>IF(AND(ISNUMBER(F186),ISNUMBER(G186)),F186*G186,"")</f>
        <v/>
      </c>
      <c r="I186" s="246" t="n"/>
      <c r="J186" s="183" t="n"/>
      <c r="K186" s="271" t="str">
        <f>IF(AND(ISNUMBER(I186),ISNUMBER(J186)),I186*J186,"")</f>
        <v/>
      </c>
      <c r="L186" s="246" t="str">
        <f>IF(COUNT(F186,I186)=0,"",N(F186)-N(I186))</f>
        <v/>
      </c>
      <c r="M186" s="247" t="str">
        <f>IF(COUNT(H186,K186)=0,"",N(K186)-N(H186))</f>
        <v/>
      </c>
      <c r="N186" s="246" t="str">
        <f>IF(AND(ISNUMBER(F186),ISNUMBER(G186),F186&gt;0,1-N(Ввод!$J$19)/100&gt;0),G186/(1-N(Ввод!$J$19)/100),IF(AND(ISNUMBER(I186),ISNUMBER(J186),I186&gt;0),J186/(1+N(Ввод!$J$19)/100),""))</f>
        <v/>
      </c>
    </row>
    <row r="187" ht="22" customHeight="1">
      <c r="B187" s="238" t="n"/>
      <c r="C187" s="237" t="n"/>
      <c r="D187" s="238" t="n"/>
      <c r="E187" s="239" t="n"/>
      <c r="F187" s="240" t="n"/>
      <c r="G187" s="177" t="n"/>
      <c r="H187" s="271" t="str">
        <f>IF(AND(ISNUMBER(F187),ISNUMBER(G187)),F187*G187,"")</f>
        <v/>
      </c>
      <c r="I187" s="240" t="n"/>
      <c r="J187" s="177" t="n"/>
      <c r="K187" s="271" t="str">
        <f>IF(AND(ISNUMBER(I187),ISNUMBER(J187)),I187*J187,"")</f>
        <v/>
      </c>
      <c r="L187" s="240" t="str">
        <f>IF(COUNT(F187,I187)=0,"",N(F187)-N(I187))</f>
        <v/>
      </c>
      <c r="M187" s="241" t="str">
        <f>IF(COUNT(H187,K187)=0,"",N(K187)-N(H187))</f>
        <v/>
      </c>
      <c r="N187" s="240" t="str">
        <f>IF(AND(ISNUMBER(F187),ISNUMBER(G187),F187&gt;0,1-N(Ввод!$J$19)/100&gt;0),G187/(1-N(Ввод!$J$19)/100),IF(AND(ISNUMBER(I187),ISNUMBER(J187),I187&gt;0),J187/(1+N(Ввод!$J$19)/100),""))</f>
        <v/>
      </c>
    </row>
    <row r="188" ht="22" customHeight="1">
      <c r="B188" s="244" t="n"/>
      <c r="C188" s="243" t="n"/>
      <c r="D188" s="244" t="n"/>
      <c r="E188" s="245" t="n"/>
      <c r="F188" s="246" t="n"/>
      <c r="G188" s="183" t="n"/>
      <c r="H188" s="271" t="str">
        <f>IF(AND(ISNUMBER(F188),ISNUMBER(G188)),F188*G188,"")</f>
        <v/>
      </c>
      <c r="I188" s="246" t="n"/>
      <c r="J188" s="183" t="n"/>
      <c r="K188" s="271" t="str">
        <f>IF(AND(ISNUMBER(I188),ISNUMBER(J188)),I188*J188,"")</f>
        <v/>
      </c>
      <c r="L188" s="246" t="str">
        <f>IF(COUNT(F188,I188)=0,"",N(F188)-N(I188))</f>
        <v/>
      </c>
      <c r="M188" s="247" t="str">
        <f>IF(COUNT(H188,K188)=0,"",N(K188)-N(H188))</f>
        <v/>
      </c>
      <c r="N188" s="246" t="str">
        <f>IF(AND(ISNUMBER(F188),ISNUMBER(G188),F188&gt;0,1-N(Ввод!$J$19)/100&gt;0),G188/(1-N(Ввод!$J$19)/100),IF(AND(ISNUMBER(I188),ISNUMBER(J188),I188&gt;0),J188/(1+N(Ввод!$J$19)/100),""))</f>
        <v/>
      </c>
    </row>
    <row r="189" ht="22" customHeight="1">
      <c r="B189" s="238" t="n"/>
      <c r="C189" s="237" t="n"/>
      <c r="D189" s="238" t="n"/>
      <c r="E189" s="239" t="n"/>
      <c r="F189" s="240" t="n"/>
      <c r="G189" s="177" t="n"/>
      <c r="H189" s="271" t="str">
        <f>IF(AND(ISNUMBER(F189),ISNUMBER(G189)),F189*G189,"")</f>
        <v/>
      </c>
      <c r="I189" s="240" t="n"/>
      <c r="J189" s="177" t="n"/>
      <c r="K189" s="271" t="str">
        <f>IF(AND(ISNUMBER(I189),ISNUMBER(J189)),I189*J189,"")</f>
        <v/>
      </c>
      <c r="L189" s="240" t="str">
        <f>IF(COUNT(F189,I189)=0,"",N(F189)-N(I189))</f>
        <v/>
      </c>
      <c r="M189" s="241" t="str">
        <f>IF(COUNT(H189,K189)=0,"",N(K189)-N(H189))</f>
        <v/>
      </c>
      <c r="N189" s="240" t="str">
        <f>IF(AND(ISNUMBER(F189),ISNUMBER(G189),F189&gt;0,1-N(Ввод!$J$19)/100&gt;0),G189/(1-N(Ввод!$J$19)/100),IF(AND(ISNUMBER(I189),ISNUMBER(J189),I189&gt;0),J189/(1+N(Ввод!$J$19)/100),""))</f>
        <v/>
      </c>
    </row>
    <row r="190" ht="22" customHeight="1">
      <c r="B190" s="244" t="n"/>
      <c r="C190" s="243" t="n"/>
      <c r="D190" s="244" t="n"/>
      <c r="E190" s="245" t="n"/>
      <c r="F190" s="246" t="n"/>
      <c r="G190" s="183" t="n"/>
      <c r="H190" s="271" t="str">
        <f>IF(AND(ISNUMBER(F190),ISNUMBER(G190)),F190*G190,"")</f>
        <v/>
      </c>
      <c r="I190" s="246" t="n"/>
      <c r="J190" s="183" t="n"/>
      <c r="K190" s="271" t="str">
        <f>IF(AND(ISNUMBER(I190),ISNUMBER(J190)),I190*J190,"")</f>
        <v/>
      </c>
      <c r="L190" s="246" t="str">
        <f>IF(COUNT(F190,I190)=0,"",N(F190)-N(I190))</f>
        <v/>
      </c>
      <c r="M190" s="247" t="str">
        <f>IF(COUNT(H190,K190)=0,"",N(K190)-N(H190))</f>
        <v/>
      </c>
      <c r="N190" s="246" t="str">
        <f>IF(AND(ISNUMBER(F190),ISNUMBER(G190),F190&gt;0,1-N(Ввод!$J$19)/100&gt;0),G190/(1-N(Ввод!$J$19)/100),IF(AND(ISNUMBER(I190),ISNUMBER(J190),I190&gt;0),J190/(1+N(Ввод!$J$19)/100),""))</f>
        <v/>
      </c>
    </row>
    <row r="191" ht="22" customHeight="1">
      <c r="B191" s="238" t="n"/>
      <c r="C191" s="237" t="n"/>
      <c r="D191" s="238" t="n"/>
      <c r="E191" s="239" t="n"/>
      <c r="F191" s="240" t="n"/>
      <c r="G191" s="177" t="n"/>
      <c r="H191" s="271" t="str">
        <f>IF(AND(ISNUMBER(F191),ISNUMBER(G191)),F191*G191,"")</f>
        <v/>
      </c>
      <c r="I191" s="240" t="n"/>
      <c r="J191" s="177" t="n"/>
      <c r="K191" s="271" t="str">
        <f>IF(AND(ISNUMBER(I191),ISNUMBER(J191)),I191*J191,"")</f>
        <v/>
      </c>
      <c r="L191" s="240" t="str">
        <f>IF(COUNT(F191,I191)=0,"",N(F191)-N(I191))</f>
        <v/>
      </c>
      <c r="M191" s="241" t="str">
        <f>IF(COUNT(H191,K191)=0,"",N(K191)-N(H191))</f>
        <v/>
      </c>
      <c r="N191" s="240" t="str">
        <f>IF(AND(ISNUMBER(F191),ISNUMBER(G191),F191&gt;0,1-N(Ввод!$J$19)/100&gt;0),G191/(1-N(Ввод!$J$19)/100),IF(AND(ISNUMBER(I191),ISNUMBER(J191),I191&gt;0),J191/(1+N(Ввод!$J$19)/100),""))</f>
        <v/>
      </c>
    </row>
    <row r="192" ht="22" customHeight="1">
      <c r="B192" s="244" t="n"/>
      <c r="C192" s="243" t="n"/>
      <c r="D192" s="244" t="n"/>
      <c r="E192" s="245" t="n"/>
      <c r="F192" s="246" t="n"/>
      <c r="G192" s="183" t="n"/>
      <c r="H192" s="271" t="str">
        <f>IF(AND(ISNUMBER(F192),ISNUMBER(G192)),F192*G192,"")</f>
        <v/>
      </c>
      <c r="I192" s="246" t="n"/>
      <c r="J192" s="183" t="n"/>
      <c r="K192" s="271" t="str">
        <f>IF(AND(ISNUMBER(I192),ISNUMBER(J192)),I192*J192,"")</f>
        <v/>
      </c>
      <c r="L192" s="246" t="str">
        <f>IF(COUNT(F192,I192)=0,"",N(F192)-N(I192))</f>
        <v/>
      </c>
      <c r="M192" s="247" t="str">
        <f>IF(COUNT(H192,K192)=0,"",N(K192)-N(H192))</f>
        <v/>
      </c>
      <c r="N192" s="246" t="str">
        <f>IF(AND(ISNUMBER(F192),ISNUMBER(G192),F192&gt;0,1-N(Ввод!$J$19)/100&gt;0),G192/(1-N(Ввод!$J$19)/100),IF(AND(ISNUMBER(I192),ISNUMBER(J192),I192&gt;0),J192/(1+N(Ввод!$J$19)/100),""))</f>
        <v/>
      </c>
    </row>
    <row r="193" ht="22" customHeight="1">
      <c r="B193" s="238" t="n"/>
      <c r="C193" s="237" t="n"/>
      <c r="D193" s="238" t="n"/>
      <c r="E193" s="239" t="n"/>
      <c r="F193" s="240" t="n"/>
      <c r="G193" s="177" t="n"/>
      <c r="H193" s="271" t="str">
        <f>IF(AND(ISNUMBER(F193),ISNUMBER(G193)),F193*G193,"")</f>
        <v/>
      </c>
      <c r="I193" s="240" t="n"/>
      <c r="J193" s="177" t="n"/>
      <c r="K193" s="271" t="str">
        <f>IF(AND(ISNUMBER(I193),ISNUMBER(J193)),I193*J193,"")</f>
        <v/>
      </c>
      <c r="L193" s="240" t="str">
        <f>IF(COUNT(F193,I193)=0,"",N(F193)-N(I193))</f>
        <v/>
      </c>
      <c r="M193" s="241" t="str">
        <f>IF(COUNT(H193,K193)=0,"",N(K193)-N(H193))</f>
        <v/>
      </c>
      <c r="N193" s="240" t="str">
        <f>IF(AND(ISNUMBER(F193),ISNUMBER(G193),F193&gt;0,1-N(Ввод!$J$19)/100&gt;0),G193/(1-N(Ввод!$J$19)/100),IF(AND(ISNUMBER(I193),ISNUMBER(J193),I193&gt;0),J193/(1+N(Ввод!$J$19)/100),""))</f>
        <v/>
      </c>
    </row>
    <row r="194" ht="22" customHeight="1">
      <c r="B194" s="244" t="n"/>
      <c r="C194" s="243" t="n"/>
      <c r="D194" s="244" t="n"/>
      <c r="E194" s="245" t="n"/>
      <c r="F194" s="246" t="n"/>
      <c r="G194" s="183" t="n"/>
      <c r="H194" s="271" t="str">
        <f>IF(AND(ISNUMBER(F194),ISNUMBER(G194)),F194*G194,"")</f>
        <v/>
      </c>
      <c r="I194" s="246" t="n"/>
      <c r="J194" s="183" t="n"/>
      <c r="K194" s="271" t="str">
        <f>IF(AND(ISNUMBER(I194),ISNUMBER(J194)),I194*J194,"")</f>
        <v/>
      </c>
      <c r="L194" s="246" t="str">
        <f>IF(COUNT(F194,I194)=0,"",N(F194)-N(I194))</f>
        <v/>
      </c>
      <c r="M194" s="247" t="str">
        <f>IF(COUNT(H194,K194)=0,"",N(K194)-N(H194))</f>
        <v/>
      </c>
      <c r="N194" s="246" t="str">
        <f>IF(AND(ISNUMBER(F194),ISNUMBER(G194),F194&gt;0,1-N(Ввод!$J$19)/100&gt;0),G194/(1-N(Ввод!$J$19)/100),IF(AND(ISNUMBER(I194),ISNUMBER(J194),I194&gt;0),J194/(1+N(Ввод!$J$19)/100),""))</f>
        <v/>
      </c>
    </row>
    <row r="195" ht="22" customHeight="1">
      <c r="B195" s="238" t="n"/>
      <c r="C195" s="237" t="n"/>
      <c r="D195" s="238" t="n"/>
      <c r="E195" s="239" t="n"/>
      <c r="F195" s="240" t="n"/>
      <c r="G195" s="177" t="n"/>
      <c r="H195" s="271" t="str">
        <f>IF(AND(ISNUMBER(F195),ISNUMBER(G195)),F195*G195,"")</f>
        <v/>
      </c>
      <c r="I195" s="240" t="n"/>
      <c r="J195" s="177" t="n"/>
      <c r="K195" s="271" t="str">
        <f>IF(AND(ISNUMBER(I195),ISNUMBER(J195)),I195*J195,"")</f>
        <v/>
      </c>
      <c r="L195" s="240" t="str">
        <f>IF(COUNT(F195,I195)=0,"",N(F195)-N(I195))</f>
        <v/>
      </c>
      <c r="M195" s="241" t="str">
        <f>IF(COUNT(H195,K195)=0,"",N(K195)-N(H195))</f>
        <v/>
      </c>
      <c r="N195" s="240" t="str">
        <f>IF(AND(ISNUMBER(F195),ISNUMBER(G195),F195&gt;0,1-N(Ввод!$J$19)/100&gt;0),G195/(1-N(Ввод!$J$19)/100),IF(AND(ISNUMBER(I195),ISNUMBER(J195),I195&gt;0),J195/(1+N(Ввод!$J$19)/100),""))</f>
        <v/>
      </c>
    </row>
    <row r="196" ht="22" customHeight="1">
      <c r="B196" s="244" t="n"/>
      <c r="C196" s="243" t="n"/>
      <c r="D196" s="244" t="n"/>
      <c r="E196" s="245" t="n"/>
      <c r="F196" s="246" t="n"/>
      <c r="G196" s="183" t="n"/>
      <c r="H196" s="271" t="str">
        <f>IF(AND(ISNUMBER(F196),ISNUMBER(G196)),F196*G196,"")</f>
        <v/>
      </c>
      <c r="I196" s="246" t="n"/>
      <c r="J196" s="183" t="n"/>
      <c r="K196" s="271" t="str">
        <f>IF(AND(ISNUMBER(I196),ISNUMBER(J196)),I196*J196,"")</f>
        <v/>
      </c>
      <c r="L196" s="246" t="str">
        <f>IF(COUNT(F196,I196)=0,"",N(F196)-N(I196))</f>
        <v/>
      </c>
      <c r="M196" s="247" t="str">
        <f>IF(COUNT(H196,K196)=0,"",N(K196)-N(H196))</f>
        <v/>
      </c>
      <c r="N196" s="246" t="str">
        <f>IF(AND(ISNUMBER(F196),ISNUMBER(G196),F196&gt;0,1-N(Ввод!$J$19)/100&gt;0),G196/(1-N(Ввод!$J$19)/100),IF(AND(ISNUMBER(I196),ISNUMBER(J196),I196&gt;0),J196/(1+N(Ввод!$J$19)/100),""))</f>
        <v/>
      </c>
    </row>
    <row r="197" ht="22" customHeight="1">
      <c r="B197" s="238" t="n"/>
      <c r="C197" s="237" t="n"/>
      <c r="D197" s="238" t="n"/>
      <c r="E197" s="239" t="n"/>
      <c r="F197" s="240" t="n"/>
      <c r="G197" s="177" t="n"/>
      <c r="H197" s="271" t="str">
        <f>IF(AND(ISNUMBER(F197),ISNUMBER(G197)),F197*G197,"")</f>
        <v/>
      </c>
      <c r="I197" s="240" t="n"/>
      <c r="J197" s="177" t="n"/>
      <c r="K197" s="271" t="str">
        <f>IF(AND(ISNUMBER(I197),ISNUMBER(J197)),I197*J197,"")</f>
        <v/>
      </c>
      <c r="L197" s="240" t="str">
        <f>IF(COUNT(F197,I197)=0,"",N(F197)-N(I197))</f>
        <v/>
      </c>
      <c r="M197" s="241" t="str">
        <f>IF(COUNT(H197,K197)=0,"",N(K197)-N(H197))</f>
        <v/>
      </c>
      <c r="N197" s="240" t="str">
        <f>IF(AND(ISNUMBER(F197),ISNUMBER(G197),F197&gt;0,1-N(Ввод!$J$19)/100&gt;0),G197/(1-N(Ввод!$J$19)/100),IF(AND(ISNUMBER(I197),ISNUMBER(J197),I197&gt;0),J197/(1+N(Ввод!$J$19)/100),""))</f>
        <v/>
      </c>
    </row>
    <row r="198" ht="22" customHeight="1">
      <c r="B198" s="244" t="n"/>
      <c r="C198" s="243" t="n"/>
      <c r="D198" s="244" t="n"/>
      <c r="E198" s="245" t="n"/>
      <c r="F198" s="246" t="n"/>
      <c r="G198" s="183" t="n"/>
      <c r="H198" s="271" t="str">
        <f>IF(AND(ISNUMBER(F198),ISNUMBER(G198)),F198*G198,"")</f>
        <v/>
      </c>
      <c r="I198" s="246" t="n"/>
      <c r="J198" s="183" t="n"/>
      <c r="K198" s="271" t="str">
        <f>IF(AND(ISNUMBER(I198),ISNUMBER(J198)),I198*J198,"")</f>
        <v/>
      </c>
      <c r="L198" s="246" t="str">
        <f>IF(COUNT(F198,I198)=0,"",N(F198)-N(I198))</f>
        <v/>
      </c>
      <c r="M198" s="247" t="str">
        <f>IF(COUNT(H198,K198)=0,"",N(K198)-N(H198))</f>
        <v/>
      </c>
      <c r="N198" s="246" t="str">
        <f>IF(AND(ISNUMBER(F198),ISNUMBER(G198),F198&gt;0,1-N(Ввод!$J$19)/100&gt;0),G198/(1-N(Ввод!$J$19)/100),IF(AND(ISNUMBER(I198),ISNUMBER(J198),I198&gt;0),J198/(1+N(Ввод!$J$19)/100),""))</f>
        <v/>
      </c>
    </row>
    <row r="199" ht="22" customHeight="1">
      <c r="B199" s="238" t="n"/>
      <c r="C199" s="237" t="n"/>
      <c r="D199" s="238" t="n"/>
      <c r="E199" s="239" t="n"/>
      <c r="F199" s="240" t="n"/>
      <c r="G199" s="177" t="n"/>
      <c r="H199" s="271" t="str">
        <f>IF(AND(ISNUMBER(F199),ISNUMBER(G199)),F199*G199,"")</f>
        <v/>
      </c>
      <c r="I199" s="240" t="n"/>
      <c r="J199" s="177" t="n"/>
      <c r="K199" s="271" t="str">
        <f>IF(AND(ISNUMBER(I199),ISNUMBER(J199)),I199*J199,"")</f>
        <v/>
      </c>
      <c r="L199" s="240" t="str">
        <f>IF(COUNT(F199,I199)=0,"",N(F199)-N(I199))</f>
        <v/>
      </c>
      <c r="M199" s="241" t="str">
        <f>IF(COUNT(H199,K199)=0,"",N(K199)-N(H199))</f>
        <v/>
      </c>
      <c r="N199" s="240" t="str">
        <f>IF(AND(ISNUMBER(F199),ISNUMBER(G199),F199&gt;0,1-N(Ввод!$J$19)/100&gt;0),G199/(1-N(Ввод!$J$19)/100),IF(AND(ISNUMBER(I199),ISNUMBER(J199),I199&gt;0),J199/(1+N(Ввод!$J$19)/100),""))</f>
        <v/>
      </c>
    </row>
    <row r="200" ht="22" customHeight="1">
      <c r="B200" s="244" t="n"/>
      <c r="C200" s="243" t="n"/>
      <c r="D200" s="244" t="n"/>
      <c r="E200" s="245" t="n"/>
      <c r="F200" s="246" t="n"/>
      <c r="G200" s="183" t="n"/>
      <c r="H200" s="271" t="str">
        <f>IF(AND(ISNUMBER(F200),ISNUMBER(G200)),F200*G200,"")</f>
        <v/>
      </c>
      <c r="I200" s="246" t="n"/>
      <c r="J200" s="183" t="n"/>
      <c r="K200" s="271" t="str">
        <f>IF(AND(ISNUMBER(I200),ISNUMBER(J200)),I200*J200,"")</f>
        <v/>
      </c>
      <c r="L200" s="246" t="str">
        <f>IF(COUNT(F200,I200)=0,"",N(F200)-N(I200))</f>
        <v/>
      </c>
      <c r="M200" s="247" t="str">
        <f>IF(COUNT(H200,K200)=0,"",N(K200)-N(H200))</f>
        <v/>
      </c>
      <c r="N200" s="246" t="str">
        <f>IF(AND(ISNUMBER(F200),ISNUMBER(G200),F200&gt;0,1-N(Ввод!$J$19)/100&gt;0),G200/(1-N(Ввод!$J$19)/100),IF(AND(ISNUMBER(I200),ISNUMBER(J200),I200&gt;0),J200/(1+N(Ввод!$J$19)/100),""))</f>
        <v/>
      </c>
    </row>
    <row r="201" ht="22" customHeight="1">
      <c r="B201" s="238" t="n"/>
      <c r="C201" s="237" t="n"/>
      <c r="D201" s="238" t="n"/>
      <c r="E201" s="239" t="n"/>
      <c r="F201" s="240" t="n"/>
      <c r="G201" s="177" t="n"/>
      <c r="H201" s="271" t="str">
        <f>IF(AND(ISNUMBER(F201),ISNUMBER(G201)),F201*G201,"")</f>
        <v/>
      </c>
      <c r="I201" s="240" t="n"/>
      <c r="J201" s="177" t="n"/>
      <c r="K201" s="271" t="str">
        <f>IF(AND(ISNUMBER(I201),ISNUMBER(J201)),I201*J201,"")</f>
        <v/>
      </c>
      <c r="L201" s="240" t="str">
        <f>IF(COUNT(F201,I201)=0,"",N(F201)-N(I201))</f>
        <v/>
      </c>
      <c r="M201" s="241" t="str">
        <f>IF(COUNT(H201,K201)=0,"",N(K201)-N(H201))</f>
        <v/>
      </c>
      <c r="N201" s="240" t="str">
        <f>IF(AND(ISNUMBER(F201),ISNUMBER(G201),F201&gt;0,1-N(Ввод!$J$19)/100&gt;0),G201/(1-N(Ввод!$J$19)/100),IF(AND(ISNUMBER(I201),ISNUMBER(J201),I201&gt;0),J201/(1+N(Ввод!$J$19)/100),""))</f>
        <v/>
      </c>
    </row>
    <row r="202" ht="22" customHeight="1">
      <c r="B202" s="244" t="n"/>
      <c r="C202" s="243" t="n"/>
      <c r="D202" s="244" t="n"/>
      <c r="E202" s="245" t="n"/>
      <c r="F202" s="246" t="n"/>
      <c r="G202" s="183" t="n"/>
      <c r="H202" s="271" t="str">
        <f>IF(AND(ISNUMBER(F202),ISNUMBER(G202)),F202*G202,"")</f>
        <v/>
      </c>
      <c r="I202" s="246" t="n"/>
      <c r="J202" s="183" t="n"/>
      <c r="K202" s="271" t="str">
        <f>IF(AND(ISNUMBER(I202),ISNUMBER(J202)),I202*J202,"")</f>
        <v/>
      </c>
      <c r="L202" s="246" t="str">
        <f>IF(COUNT(F202,I202)=0,"",N(F202)-N(I202))</f>
        <v/>
      </c>
      <c r="M202" s="247" t="str">
        <f>IF(COUNT(H202,K202)=0,"",N(K202)-N(H202))</f>
        <v/>
      </c>
      <c r="N202" s="246" t="str">
        <f>IF(AND(ISNUMBER(F202),ISNUMBER(G202),F202&gt;0,1-N(Ввод!$J$19)/100&gt;0),G202/(1-N(Ввод!$J$19)/100),IF(AND(ISNUMBER(I202),ISNUMBER(J202),I202&gt;0),J202/(1+N(Ввод!$J$19)/100),""))</f>
        <v/>
      </c>
    </row>
    <row r="203" ht="22" customHeight="1">
      <c r="B203" s="238" t="n"/>
      <c r="C203" s="237" t="n"/>
      <c r="D203" s="238" t="n"/>
      <c r="E203" s="239" t="n"/>
      <c r="F203" s="240" t="n"/>
      <c r="G203" s="177" t="n"/>
      <c r="H203" s="271" t="str">
        <f>IF(AND(ISNUMBER(F203),ISNUMBER(G203)),F203*G203,"")</f>
        <v/>
      </c>
      <c r="I203" s="240" t="n"/>
      <c r="J203" s="177" t="n"/>
      <c r="K203" s="271" t="str">
        <f>IF(AND(ISNUMBER(I203),ISNUMBER(J203)),I203*J203,"")</f>
        <v/>
      </c>
      <c r="L203" s="240" t="str">
        <f>IF(COUNT(F203,I203)=0,"",N(F203)-N(I203))</f>
        <v/>
      </c>
      <c r="M203" s="241" t="str">
        <f>IF(COUNT(H203,K203)=0,"",N(K203)-N(H203))</f>
        <v/>
      </c>
      <c r="N203" s="240" t="str">
        <f>IF(AND(ISNUMBER(F203),ISNUMBER(G203),F203&gt;0,1-N(Ввод!$J$19)/100&gt;0),G203/(1-N(Ввод!$J$19)/100),IF(AND(ISNUMBER(I203),ISNUMBER(J203),I203&gt;0),J203/(1+N(Ввод!$J$19)/100),""))</f>
        <v/>
      </c>
    </row>
    <row r="204" ht="22" customHeight="1">
      <c r="B204" s="244" t="n"/>
      <c r="C204" s="243" t="n"/>
      <c r="D204" s="244" t="n"/>
      <c r="E204" s="245" t="n"/>
      <c r="F204" s="246" t="n"/>
      <c r="G204" s="183" t="n"/>
      <c r="H204" s="271" t="str">
        <f>IF(AND(ISNUMBER(F204),ISNUMBER(G204)),F204*G204,"")</f>
        <v/>
      </c>
      <c r="I204" s="246" t="n"/>
      <c r="J204" s="183" t="n"/>
      <c r="K204" s="271" t="str">
        <f>IF(AND(ISNUMBER(I204),ISNUMBER(J204)),I204*J204,"")</f>
        <v/>
      </c>
      <c r="L204" s="246" t="str">
        <f>IF(COUNT(F204,I204)=0,"",N(F204)-N(I204))</f>
        <v/>
      </c>
      <c r="M204" s="247" t="str">
        <f>IF(COUNT(H204,K204)=0,"",N(K204)-N(H204))</f>
        <v/>
      </c>
      <c r="N204" s="246" t="str">
        <f>IF(AND(ISNUMBER(F204),ISNUMBER(G204),F204&gt;0,1-N(Ввод!$J$19)/100&gt;0),G204/(1-N(Ввод!$J$19)/100),IF(AND(ISNUMBER(I204),ISNUMBER(J204),I204&gt;0),J204/(1+N(Ввод!$J$19)/100),""))</f>
        <v/>
      </c>
    </row>
    <row r="205" ht="22" customHeight="1">
      <c r="B205" s="238" t="n"/>
      <c r="C205" s="237" t="n"/>
      <c r="D205" s="238" t="n"/>
      <c r="E205" s="239" t="n"/>
      <c r="F205" s="240" t="n"/>
      <c r="G205" s="177" t="n"/>
      <c r="H205" s="271" t="str">
        <f>IF(AND(ISNUMBER(F205),ISNUMBER(G205)),F205*G205,"")</f>
        <v/>
      </c>
      <c r="I205" s="240" t="n"/>
      <c r="J205" s="177" t="n"/>
      <c r="K205" s="271" t="str">
        <f>IF(AND(ISNUMBER(I205),ISNUMBER(J205)),I205*J205,"")</f>
        <v/>
      </c>
      <c r="L205" s="240" t="str">
        <f>IF(COUNT(F205,I205)=0,"",N(F205)-N(I205))</f>
        <v/>
      </c>
      <c r="M205" s="241" t="str">
        <f>IF(COUNT(H205,K205)=0,"",N(K205)-N(H205))</f>
        <v/>
      </c>
      <c r="N205" s="240" t="str">
        <f>IF(AND(ISNUMBER(F205),ISNUMBER(G205),F205&gt;0,1-N(Ввод!$J$19)/100&gt;0),G205/(1-N(Ввод!$J$19)/100),IF(AND(ISNUMBER(I205),ISNUMBER(J205),I205&gt;0),J205/(1+N(Ввод!$J$19)/100),""))</f>
        <v/>
      </c>
    </row>
    <row r="206" ht="22" customHeight="1">
      <c r="B206" s="244" t="n"/>
      <c r="C206" s="243" t="n"/>
      <c r="D206" s="244" t="n"/>
      <c r="E206" s="245" t="n"/>
      <c r="F206" s="246" t="n"/>
      <c r="G206" s="183" t="n"/>
      <c r="H206" s="271" t="str">
        <f>IF(AND(ISNUMBER(F206),ISNUMBER(G206)),F206*G206,"")</f>
        <v/>
      </c>
      <c r="I206" s="246" t="n"/>
      <c r="J206" s="183" t="n"/>
      <c r="K206" s="271" t="str">
        <f>IF(AND(ISNUMBER(I206),ISNUMBER(J206)),I206*J206,"")</f>
        <v/>
      </c>
      <c r="L206" s="246" t="str">
        <f>IF(COUNT(F206,I206)=0,"",N(F206)-N(I206))</f>
        <v/>
      </c>
      <c r="M206" s="247" t="str">
        <f>IF(COUNT(H206,K206)=0,"",N(K206)-N(H206))</f>
        <v/>
      </c>
      <c r="N206" s="246" t="str">
        <f>IF(AND(ISNUMBER(F206),ISNUMBER(G206),F206&gt;0,1-N(Ввод!$J$19)/100&gt;0),G206/(1-N(Ввод!$J$19)/100),IF(AND(ISNUMBER(I206),ISNUMBER(J206),I206&gt;0),J206/(1+N(Ввод!$J$19)/100),""))</f>
        <v/>
      </c>
    </row>
    <row r="207" ht="22" customHeight="1">
      <c r="B207" s="238" t="n"/>
      <c r="C207" s="237" t="n"/>
      <c r="D207" s="238" t="n"/>
      <c r="E207" s="239" t="n"/>
      <c r="F207" s="240" t="n"/>
      <c r="G207" s="177" t="n"/>
      <c r="H207" s="271" t="str">
        <f>IF(AND(ISNUMBER(F207),ISNUMBER(G207)),F207*G207,"")</f>
        <v/>
      </c>
      <c r="I207" s="240" t="n"/>
      <c r="J207" s="177" t="n"/>
      <c r="K207" s="271" t="str">
        <f>IF(AND(ISNUMBER(I207),ISNUMBER(J207)),I207*J207,"")</f>
        <v/>
      </c>
      <c r="L207" s="240" t="str">
        <f>IF(COUNT(F207,I207)=0,"",N(F207)-N(I207))</f>
        <v/>
      </c>
      <c r="M207" s="241" t="str">
        <f>IF(COUNT(H207,K207)=0,"",N(K207)-N(H207))</f>
        <v/>
      </c>
      <c r="N207" s="240" t="str">
        <f>IF(AND(ISNUMBER(F207),ISNUMBER(G207),F207&gt;0,1-N(Ввод!$J$19)/100&gt;0),G207/(1-N(Ввод!$J$19)/100),IF(AND(ISNUMBER(I207),ISNUMBER(J207),I207&gt;0),J207/(1+N(Ввод!$J$19)/100),""))</f>
        <v/>
      </c>
    </row>
    <row r="208" ht="22" customHeight="1">
      <c r="B208" s="244" t="n"/>
      <c r="C208" s="243" t="n"/>
      <c r="D208" s="244" t="n"/>
      <c r="E208" s="245" t="n"/>
      <c r="F208" s="246" t="n"/>
      <c r="G208" s="183" t="n"/>
      <c r="H208" s="271" t="str">
        <f>IF(AND(ISNUMBER(F208),ISNUMBER(G208)),F208*G208,"")</f>
        <v/>
      </c>
      <c r="I208" s="246" t="n"/>
      <c r="J208" s="183" t="n"/>
      <c r="K208" s="271" t="str">
        <f>IF(AND(ISNUMBER(I208),ISNUMBER(J208)),I208*J208,"")</f>
        <v/>
      </c>
      <c r="L208" s="246" t="str">
        <f>IF(COUNT(F208,I208)=0,"",N(F208)-N(I208))</f>
        <v/>
      </c>
      <c r="M208" s="247" t="str">
        <f>IF(COUNT(H208,K208)=0,"",N(K208)-N(H208))</f>
        <v/>
      </c>
      <c r="N208" s="246" t="str">
        <f>IF(AND(ISNUMBER(F208),ISNUMBER(G208),F208&gt;0,1-N(Ввод!$J$19)/100&gt;0),G208/(1-N(Ввод!$J$19)/100),IF(AND(ISNUMBER(I208),ISNUMBER(J208),I208&gt;0),J208/(1+N(Ввод!$J$19)/100),""))</f>
        <v/>
      </c>
    </row>
    <row r="209" ht="22" customHeight="1">
      <c r="B209" s="238" t="n"/>
      <c r="C209" s="237" t="n"/>
      <c r="D209" s="238" t="n"/>
      <c r="E209" s="239" t="n"/>
      <c r="F209" s="240" t="n"/>
      <c r="G209" s="177" t="n"/>
      <c r="H209" s="271" t="str">
        <f>IF(AND(ISNUMBER(F209),ISNUMBER(G209)),F209*G209,"")</f>
        <v/>
      </c>
      <c r="I209" s="240" t="n"/>
      <c r="J209" s="177" t="n"/>
      <c r="K209" s="271" t="str">
        <f>IF(AND(ISNUMBER(I209),ISNUMBER(J209)),I209*J209,"")</f>
        <v/>
      </c>
      <c r="L209" s="240" t="str">
        <f>IF(COUNT(F209,I209)=0,"",N(F209)-N(I209))</f>
        <v/>
      </c>
      <c r="M209" s="241" t="str">
        <f>IF(COUNT(H209,K209)=0,"",N(K209)-N(H209))</f>
        <v/>
      </c>
      <c r="N209" s="240" t="str">
        <f>IF(AND(ISNUMBER(F209),ISNUMBER(G209),F209&gt;0,1-N(Ввод!$J$19)/100&gt;0),G209/(1-N(Ввод!$J$19)/100),IF(AND(ISNUMBER(I209),ISNUMBER(J209),I209&gt;0),J209/(1+N(Ввод!$J$19)/100),""))</f>
        <v/>
      </c>
    </row>
    <row r="210" ht="22" customHeight="1">
      <c r="B210" s="244" t="n"/>
      <c r="C210" s="243" t="n"/>
      <c r="D210" s="244" t="n"/>
      <c r="E210" s="245" t="n"/>
      <c r="F210" s="246" t="n"/>
      <c r="G210" s="183" t="n"/>
      <c r="H210" s="271" t="str">
        <f>IF(AND(ISNUMBER(F210),ISNUMBER(G210)),F210*G210,"")</f>
        <v/>
      </c>
      <c r="I210" s="246" t="n"/>
      <c r="J210" s="183" t="n"/>
      <c r="K210" s="271" t="str">
        <f>IF(AND(ISNUMBER(I210),ISNUMBER(J210)),I210*J210,"")</f>
        <v/>
      </c>
      <c r="L210" s="246" t="str">
        <f>IF(COUNT(F210,I210)=0,"",N(F210)-N(I210))</f>
        <v/>
      </c>
      <c r="M210" s="247" t="str">
        <f>IF(COUNT(H210,K210)=0,"",N(K210)-N(H210))</f>
        <v/>
      </c>
      <c r="N210" s="246" t="str">
        <f>IF(AND(ISNUMBER(F210),ISNUMBER(G210),F210&gt;0,1-N(Ввод!$J$19)/100&gt;0),G210/(1-N(Ввод!$J$19)/100),IF(AND(ISNUMBER(I210),ISNUMBER(J210),I210&gt;0),J210/(1+N(Ввод!$J$19)/100),""))</f>
        <v/>
      </c>
    </row>
    <row r="211" ht="22" customHeight="1">
      <c r="B211" s="238" t="n"/>
      <c r="C211" s="237" t="n"/>
      <c r="D211" s="238" t="n"/>
      <c r="E211" s="239" t="n"/>
      <c r="F211" s="240" t="n"/>
      <c r="G211" s="177" t="n"/>
      <c r="H211" s="271" t="str">
        <f>IF(AND(ISNUMBER(F211),ISNUMBER(G211)),F211*G211,"")</f>
        <v/>
      </c>
      <c r="I211" s="240" t="n"/>
      <c r="J211" s="177" t="n"/>
      <c r="K211" s="271" t="str">
        <f>IF(AND(ISNUMBER(I211),ISNUMBER(J211)),I211*J211,"")</f>
        <v/>
      </c>
      <c r="L211" s="240" t="str">
        <f>IF(COUNT(F211,I211)=0,"",N(F211)-N(I211))</f>
        <v/>
      </c>
      <c r="M211" s="241" t="str">
        <f>IF(COUNT(H211,K211)=0,"",N(K211)-N(H211))</f>
        <v/>
      </c>
      <c r="N211" s="240" t="str">
        <f>IF(AND(ISNUMBER(F211),ISNUMBER(G211),F211&gt;0,1-N(Ввод!$J$19)/100&gt;0),G211/(1-N(Ввод!$J$19)/100),IF(AND(ISNUMBER(I211),ISNUMBER(J211),I211&gt;0),J211/(1+N(Ввод!$J$19)/100),""))</f>
        <v/>
      </c>
    </row>
    <row r="212" ht="22" customHeight="1">
      <c r="B212" s="244" t="n"/>
      <c r="C212" s="243" t="n"/>
      <c r="D212" s="244" t="n"/>
      <c r="E212" s="245" t="n"/>
      <c r="F212" s="246" t="n"/>
      <c r="G212" s="183" t="n"/>
      <c r="H212" s="271" t="str">
        <f>IF(AND(ISNUMBER(F212),ISNUMBER(G212)),F212*G212,"")</f>
        <v/>
      </c>
      <c r="I212" s="246" t="n"/>
      <c r="J212" s="183" t="n"/>
      <c r="K212" s="271" t="str">
        <f>IF(AND(ISNUMBER(I212),ISNUMBER(J212)),I212*J212,"")</f>
        <v/>
      </c>
      <c r="L212" s="246" t="str">
        <f>IF(COUNT(F212,I212)=0,"",N(F212)-N(I212))</f>
        <v/>
      </c>
      <c r="M212" s="247" t="str">
        <f>IF(COUNT(H212,K212)=0,"",N(K212)-N(H212))</f>
        <v/>
      </c>
      <c r="N212" s="246" t="str">
        <f>IF(AND(ISNUMBER(F212),ISNUMBER(G212),F212&gt;0,1-N(Ввод!$J$19)/100&gt;0),G212/(1-N(Ввод!$J$19)/100),IF(AND(ISNUMBER(I212),ISNUMBER(J212),I212&gt;0),J212/(1+N(Ввод!$J$19)/100),""))</f>
        <v/>
      </c>
    </row>
    <row r="213" ht="22" customHeight="1">
      <c r="B213" s="238" t="n"/>
      <c r="C213" s="237" t="n"/>
      <c r="D213" s="238" t="n"/>
      <c r="E213" s="239" t="n"/>
      <c r="F213" s="240" t="n"/>
      <c r="G213" s="177" t="n"/>
      <c r="H213" s="271" t="str">
        <f>IF(AND(ISNUMBER(F213),ISNUMBER(G213)),F213*G213,"")</f>
        <v/>
      </c>
      <c r="I213" s="240" t="n"/>
      <c r="J213" s="177" t="n"/>
      <c r="K213" s="271" t="str">
        <f>IF(AND(ISNUMBER(I213),ISNUMBER(J213)),I213*J213,"")</f>
        <v/>
      </c>
      <c r="L213" s="240" t="str">
        <f>IF(COUNT(F213,I213)=0,"",N(F213)-N(I213))</f>
        <v/>
      </c>
      <c r="M213" s="241" t="str">
        <f>IF(COUNT(H213,K213)=0,"",N(K213)-N(H213))</f>
        <v/>
      </c>
      <c r="N213" s="240" t="str">
        <f>IF(AND(ISNUMBER(F213),ISNUMBER(G213),F213&gt;0,1-N(Ввод!$J$19)/100&gt;0),G213/(1-N(Ввод!$J$19)/100),IF(AND(ISNUMBER(I213),ISNUMBER(J213),I213&gt;0),J213/(1+N(Ввод!$J$19)/100),""))</f>
        <v/>
      </c>
    </row>
    <row r="214" ht="22" customHeight="1">
      <c r="B214" s="244" t="n"/>
      <c r="C214" s="243" t="n"/>
      <c r="D214" s="244" t="n"/>
      <c r="E214" s="245" t="n"/>
      <c r="F214" s="246" t="n"/>
      <c r="G214" s="183" t="n"/>
      <c r="H214" s="271" t="str">
        <f>IF(AND(ISNUMBER(F214),ISNUMBER(G214)),F214*G214,"")</f>
        <v/>
      </c>
      <c r="I214" s="246" t="n"/>
      <c r="J214" s="183" t="n"/>
      <c r="K214" s="271" t="str">
        <f>IF(AND(ISNUMBER(I214),ISNUMBER(J214)),I214*J214,"")</f>
        <v/>
      </c>
      <c r="L214" s="246" t="str">
        <f>IF(COUNT(F214,I214)=0,"",N(F214)-N(I214))</f>
        <v/>
      </c>
      <c r="M214" s="247" t="str">
        <f>IF(COUNT(H214,K214)=0,"",N(K214)-N(H214))</f>
        <v/>
      </c>
      <c r="N214" s="246" t="str">
        <f>IF(AND(ISNUMBER(F214),ISNUMBER(G214),F214&gt;0,1-N(Ввод!$J$19)/100&gt;0),G214/(1-N(Ввод!$J$19)/100),IF(AND(ISNUMBER(I214),ISNUMBER(J214),I214&gt;0),J214/(1+N(Ввод!$J$19)/100),""))</f>
        <v/>
      </c>
    </row>
    <row r="215" ht="22" customHeight="1">
      <c r="B215" s="238" t="n"/>
      <c r="C215" s="237" t="n"/>
      <c r="D215" s="238" t="n"/>
      <c r="E215" s="239" t="n"/>
      <c r="F215" s="240" t="n"/>
      <c r="G215" s="177" t="n"/>
      <c r="H215" s="271" t="str">
        <f>IF(AND(ISNUMBER(F215),ISNUMBER(G215)),F215*G215,"")</f>
        <v/>
      </c>
      <c r="I215" s="240" t="n"/>
      <c r="J215" s="177" t="n"/>
      <c r="K215" s="271" t="str">
        <f>IF(AND(ISNUMBER(I215),ISNUMBER(J215)),I215*J215,"")</f>
        <v/>
      </c>
      <c r="L215" s="240" t="str">
        <f>IF(COUNT(F215,I215)=0,"",N(F215)-N(I215))</f>
        <v/>
      </c>
      <c r="M215" s="241" t="str">
        <f>IF(COUNT(H215,K215)=0,"",N(K215)-N(H215))</f>
        <v/>
      </c>
      <c r="N215" s="240" t="str">
        <f>IF(AND(ISNUMBER(F215),ISNUMBER(G215),F215&gt;0,1-N(Ввод!$J$19)/100&gt;0),G215/(1-N(Ввод!$J$19)/100),IF(AND(ISNUMBER(I215),ISNUMBER(J215),I215&gt;0),J215/(1+N(Ввод!$J$19)/100),""))</f>
        <v/>
      </c>
    </row>
    <row r="216" ht="22" customHeight="1">
      <c r="B216" s="244" t="n"/>
      <c r="C216" s="243" t="n"/>
      <c r="D216" s="244" t="n"/>
      <c r="E216" s="245" t="n"/>
      <c r="F216" s="246" t="n"/>
      <c r="G216" s="183" t="n"/>
      <c r="H216" s="271" t="str">
        <f>IF(AND(ISNUMBER(F216),ISNUMBER(G216)),F216*G216,"")</f>
        <v/>
      </c>
      <c r="I216" s="246" t="n"/>
      <c r="J216" s="183" t="n"/>
      <c r="K216" s="271" t="str">
        <f>IF(AND(ISNUMBER(I216),ISNUMBER(J216)),I216*J216,"")</f>
        <v/>
      </c>
      <c r="L216" s="246" t="str">
        <f>IF(COUNT(F216,I216)=0,"",N(F216)-N(I216))</f>
        <v/>
      </c>
      <c r="M216" s="247" t="str">
        <f>IF(COUNT(H216,K216)=0,"",N(K216)-N(H216))</f>
        <v/>
      </c>
      <c r="N216" s="246" t="str">
        <f>IF(AND(ISNUMBER(F216),ISNUMBER(G216),F216&gt;0,1-N(Ввод!$J$19)/100&gt;0),G216/(1-N(Ввод!$J$19)/100),IF(AND(ISNUMBER(I216),ISNUMBER(J216),I216&gt;0),J216/(1+N(Ввод!$J$19)/100),""))</f>
        <v/>
      </c>
    </row>
    <row r="217" ht="22" customHeight="1">
      <c r="B217" s="238" t="n"/>
      <c r="C217" s="237" t="n"/>
      <c r="D217" s="238" t="n"/>
      <c r="E217" s="239" t="n"/>
      <c r="F217" s="240" t="n"/>
      <c r="G217" s="177" t="n"/>
      <c r="H217" s="271" t="str">
        <f>IF(AND(ISNUMBER(F217),ISNUMBER(G217)),F217*G217,"")</f>
        <v/>
      </c>
      <c r="I217" s="240" t="n"/>
      <c r="J217" s="177" t="n"/>
      <c r="K217" s="271" t="str">
        <f>IF(AND(ISNUMBER(I217),ISNUMBER(J217)),I217*J217,"")</f>
        <v/>
      </c>
      <c r="L217" s="240" t="str">
        <f>IF(COUNT(F217,I217)=0,"",N(F217)-N(I217))</f>
        <v/>
      </c>
      <c r="M217" s="241" t="str">
        <f>IF(COUNT(H217,K217)=0,"",N(K217)-N(H217))</f>
        <v/>
      </c>
      <c r="N217" s="240" t="str">
        <f>IF(AND(ISNUMBER(F217),ISNUMBER(G217),F217&gt;0,1-N(Ввод!$J$19)/100&gt;0),G217/(1-N(Ввод!$J$19)/100),IF(AND(ISNUMBER(I217),ISNUMBER(J217),I217&gt;0),J217/(1+N(Ввод!$J$19)/100),""))</f>
        <v/>
      </c>
    </row>
    <row r="218" ht="22" customHeight="1">
      <c r="B218" s="244" t="n"/>
      <c r="C218" s="243" t="n"/>
      <c r="D218" s="244" t="n"/>
      <c r="E218" s="245" t="n"/>
      <c r="F218" s="246" t="n"/>
      <c r="G218" s="183" t="n"/>
      <c r="H218" s="271" t="str">
        <f>IF(AND(ISNUMBER(F218),ISNUMBER(G218)),F218*G218,"")</f>
        <v/>
      </c>
      <c r="I218" s="246" t="n"/>
      <c r="J218" s="183" t="n"/>
      <c r="K218" s="271" t="str">
        <f>IF(AND(ISNUMBER(I218),ISNUMBER(J218)),I218*J218,"")</f>
        <v/>
      </c>
      <c r="L218" s="246" t="str">
        <f>IF(COUNT(F218,I218)=0,"",N(F218)-N(I218))</f>
        <v/>
      </c>
      <c r="M218" s="247" t="str">
        <f>IF(COUNT(H218,K218)=0,"",N(K218)-N(H218))</f>
        <v/>
      </c>
      <c r="N218" s="246" t="str">
        <f>IF(AND(ISNUMBER(F218),ISNUMBER(G218),F218&gt;0,1-N(Ввод!$J$19)/100&gt;0),G218/(1-N(Ввод!$J$19)/100),IF(AND(ISNUMBER(I218),ISNUMBER(J218),I218&gt;0),J218/(1+N(Ввод!$J$19)/100),""))</f>
        <v/>
      </c>
    </row>
    <row r="219" ht="22" customHeight="1">
      <c r="B219" s="238" t="n"/>
      <c r="C219" s="237" t="n"/>
      <c r="D219" s="238" t="n"/>
      <c r="E219" s="239" t="n"/>
      <c r="F219" s="240" t="n"/>
      <c r="G219" s="177" t="n"/>
      <c r="H219" s="271" t="str">
        <f>IF(AND(ISNUMBER(F219),ISNUMBER(G219)),F219*G219,"")</f>
        <v/>
      </c>
      <c r="I219" s="240" t="n"/>
      <c r="J219" s="177" t="n"/>
      <c r="K219" s="271" t="str">
        <f>IF(AND(ISNUMBER(I219),ISNUMBER(J219)),I219*J219,"")</f>
        <v/>
      </c>
      <c r="L219" s="240" t="str">
        <f>IF(COUNT(F219,I219)=0,"",N(F219)-N(I219))</f>
        <v/>
      </c>
      <c r="M219" s="241" t="str">
        <f>IF(COUNT(H219,K219)=0,"",N(K219)-N(H219))</f>
        <v/>
      </c>
      <c r="N219" s="240" t="str">
        <f>IF(AND(ISNUMBER(F219),ISNUMBER(G219),F219&gt;0,1-N(Ввод!$J$19)/100&gt;0),G219/(1-N(Ввод!$J$19)/100),IF(AND(ISNUMBER(I219),ISNUMBER(J219),I219&gt;0),J219/(1+N(Ввод!$J$19)/100),""))</f>
        <v/>
      </c>
    </row>
    <row r="220" ht="22" customHeight="1">
      <c r="B220" s="244" t="n"/>
      <c r="C220" s="243" t="n"/>
      <c r="D220" s="244" t="n"/>
      <c r="E220" s="245" t="n"/>
      <c r="F220" s="246" t="n"/>
      <c r="G220" s="183" t="n"/>
      <c r="H220" s="271" t="str">
        <f>IF(AND(ISNUMBER(F220),ISNUMBER(G220)),F220*G220,"")</f>
        <v/>
      </c>
      <c r="I220" s="246" t="n"/>
      <c r="J220" s="183" t="n"/>
      <c r="K220" s="271" t="str">
        <f>IF(AND(ISNUMBER(I220),ISNUMBER(J220)),I220*J220,"")</f>
        <v/>
      </c>
      <c r="L220" s="246" t="str">
        <f>IF(COUNT(F220,I220)=0,"",N(F220)-N(I220))</f>
        <v/>
      </c>
      <c r="M220" s="247" t="str">
        <f>IF(COUNT(H220,K220)=0,"",N(K220)-N(H220))</f>
        <v/>
      </c>
      <c r="N220" s="246" t="str">
        <f>IF(AND(ISNUMBER(F220),ISNUMBER(G220),F220&gt;0,1-N(Ввод!$J$19)/100&gt;0),G220/(1-N(Ввод!$J$19)/100),IF(AND(ISNUMBER(I220),ISNUMBER(J220),I220&gt;0),J220/(1+N(Ввод!$J$19)/100),""))</f>
        <v/>
      </c>
    </row>
    <row r="221" ht="22" customHeight="1">
      <c r="B221" s="238" t="n"/>
      <c r="C221" s="237" t="n"/>
      <c r="D221" s="238" t="n"/>
      <c r="E221" s="239" t="n"/>
      <c r="F221" s="240" t="n"/>
      <c r="G221" s="177" t="n"/>
      <c r="H221" s="271" t="str">
        <f>IF(AND(ISNUMBER(F221),ISNUMBER(G221)),F221*G221,"")</f>
        <v/>
      </c>
      <c r="I221" s="240" t="n"/>
      <c r="J221" s="177" t="n"/>
      <c r="K221" s="271" t="str">
        <f>IF(AND(ISNUMBER(I221),ISNUMBER(J221)),I221*J221,"")</f>
        <v/>
      </c>
      <c r="L221" s="240" t="str">
        <f>IF(COUNT(F221,I221)=0,"",N(F221)-N(I221))</f>
        <v/>
      </c>
      <c r="M221" s="241" t="str">
        <f>IF(COUNT(H221,K221)=0,"",N(K221)-N(H221))</f>
        <v/>
      </c>
      <c r="N221" s="240" t="str">
        <f>IF(AND(ISNUMBER(F221),ISNUMBER(G221),F221&gt;0,1-N(Ввод!$J$19)/100&gt;0),G221/(1-N(Ввод!$J$19)/100),IF(AND(ISNUMBER(I221),ISNUMBER(J221),I221&gt;0),J221/(1+N(Ввод!$J$19)/100),""))</f>
        <v/>
      </c>
    </row>
    <row r="222" ht="22" customHeight="1">
      <c r="B222" s="244" t="n"/>
      <c r="C222" s="243" t="n"/>
      <c r="D222" s="244" t="n"/>
      <c r="E222" s="245" t="n"/>
      <c r="F222" s="246" t="n"/>
      <c r="G222" s="183" t="n"/>
      <c r="H222" s="271" t="str">
        <f>IF(AND(ISNUMBER(F222),ISNUMBER(G222)),F222*G222,"")</f>
        <v/>
      </c>
      <c r="I222" s="246" t="n"/>
      <c r="J222" s="183" t="n"/>
      <c r="K222" s="271" t="str">
        <f>IF(AND(ISNUMBER(I222),ISNUMBER(J222)),I222*J222,"")</f>
        <v/>
      </c>
      <c r="L222" s="246" t="str">
        <f>IF(COUNT(F222,I222)=0,"",N(F222)-N(I222))</f>
        <v/>
      </c>
      <c r="M222" s="247" t="str">
        <f>IF(COUNT(H222,K222)=0,"",N(K222)-N(H222))</f>
        <v/>
      </c>
      <c r="N222" s="246" t="str">
        <f>IF(AND(ISNUMBER(F222),ISNUMBER(G222),F222&gt;0,1-N(Ввод!$J$19)/100&gt;0),G222/(1-N(Ввод!$J$19)/100),IF(AND(ISNUMBER(I222),ISNUMBER(J222),I222&gt;0),J222/(1+N(Ввод!$J$19)/100),""))</f>
        <v/>
      </c>
    </row>
    <row r="223" ht="22" customHeight="1">
      <c r="B223" s="238" t="n"/>
      <c r="C223" s="237" t="n"/>
      <c r="D223" s="238" t="n"/>
      <c r="E223" s="239" t="n"/>
      <c r="F223" s="240" t="n"/>
      <c r="G223" s="177" t="n"/>
      <c r="H223" s="271" t="str">
        <f>IF(AND(ISNUMBER(F223),ISNUMBER(G223)),F223*G223,"")</f>
        <v/>
      </c>
      <c r="I223" s="240" t="n"/>
      <c r="J223" s="177" t="n"/>
      <c r="K223" s="271" t="str">
        <f>IF(AND(ISNUMBER(I223),ISNUMBER(J223)),I223*J223,"")</f>
        <v/>
      </c>
      <c r="L223" s="240" t="str">
        <f>IF(COUNT(F223,I223)=0,"",N(F223)-N(I223))</f>
        <v/>
      </c>
      <c r="M223" s="241" t="str">
        <f>IF(COUNT(H223,K223)=0,"",N(K223)-N(H223))</f>
        <v/>
      </c>
      <c r="N223" s="240" t="str">
        <f>IF(AND(ISNUMBER(F223),ISNUMBER(G223),F223&gt;0,1-N(Ввод!$J$19)/100&gt;0),G223/(1-N(Ввод!$J$19)/100),IF(AND(ISNUMBER(I223),ISNUMBER(J223),I223&gt;0),J223/(1+N(Ввод!$J$19)/100),""))</f>
        <v/>
      </c>
    </row>
    <row r="224" ht="22" customHeight="1">
      <c r="B224" s="244" t="n"/>
      <c r="C224" s="243" t="n"/>
      <c r="D224" s="244" t="n"/>
      <c r="E224" s="245" t="n"/>
      <c r="F224" s="246" t="n"/>
      <c r="G224" s="183" t="n"/>
      <c r="H224" s="271" t="str">
        <f>IF(AND(ISNUMBER(F224),ISNUMBER(G224)),F224*G224,"")</f>
        <v/>
      </c>
      <c r="I224" s="246" t="n"/>
      <c r="J224" s="183" t="n"/>
      <c r="K224" s="271" t="str">
        <f>IF(AND(ISNUMBER(I224),ISNUMBER(J224)),I224*J224,"")</f>
        <v/>
      </c>
      <c r="L224" s="246" t="str">
        <f>IF(COUNT(F224,I224)=0,"",N(F224)-N(I224))</f>
        <v/>
      </c>
      <c r="M224" s="247" t="str">
        <f>IF(COUNT(H224,K224)=0,"",N(K224)-N(H224))</f>
        <v/>
      </c>
      <c r="N224" s="246" t="str">
        <f>IF(AND(ISNUMBER(F224),ISNUMBER(G224),F224&gt;0,1-N(Ввод!$J$19)/100&gt;0),G224/(1-N(Ввод!$J$19)/100),IF(AND(ISNUMBER(I224),ISNUMBER(J224),I224&gt;0),J224/(1+N(Ввод!$J$19)/100),""))</f>
        <v/>
      </c>
    </row>
    <row r="225" ht="22" customHeight="1">
      <c r="B225" s="238" t="n"/>
      <c r="C225" s="237" t="n"/>
      <c r="D225" s="238" t="n"/>
      <c r="E225" s="239" t="n"/>
      <c r="F225" s="240" t="n"/>
      <c r="G225" s="177" t="n"/>
      <c r="H225" s="271" t="str">
        <f>IF(AND(ISNUMBER(F225),ISNUMBER(G225)),F225*G225,"")</f>
        <v/>
      </c>
      <c r="I225" s="240" t="n"/>
      <c r="J225" s="177" t="n"/>
      <c r="K225" s="271" t="str">
        <f>IF(AND(ISNUMBER(I225),ISNUMBER(J225)),I225*J225,"")</f>
        <v/>
      </c>
      <c r="L225" s="240" t="str">
        <f>IF(COUNT(F225,I225)=0,"",N(F225)-N(I225))</f>
        <v/>
      </c>
      <c r="M225" s="241" t="str">
        <f>IF(COUNT(H225,K225)=0,"",N(K225)-N(H225))</f>
        <v/>
      </c>
      <c r="N225" s="240" t="str">
        <f>IF(AND(ISNUMBER(F225),ISNUMBER(G225),F225&gt;0,1-N(Ввод!$J$19)/100&gt;0),G225/(1-N(Ввод!$J$19)/100),IF(AND(ISNUMBER(I225),ISNUMBER(J225),I225&gt;0),J225/(1+N(Ввод!$J$19)/100),""))</f>
        <v/>
      </c>
    </row>
    <row r="226" ht="22" customHeight="1">
      <c r="B226" s="244" t="n"/>
      <c r="C226" s="243" t="n"/>
      <c r="D226" s="244" t="n"/>
      <c r="E226" s="245" t="n"/>
      <c r="F226" s="246" t="n"/>
      <c r="G226" s="183" t="n"/>
      <c r="H226" s="271" t="str">
        <f>IF(AND(ISNUMBER(F226),ISNUMBER(G226)),F226*G226,"")</f>
        <v/>
      </c>
      <c r="I226" s="246" t="n"/>
      <c r="J226" s="183" t="n"/>
      <c r="K226" s="271" t="str">
        <f>IF(AND(ISNUMBER(I226),ISNUMBER(J226)),I226*J226,"")</f>
        <v/>
      </c>
      <c r="L226" s="246" t="str">
        <f>IF(COUNT(F226,I226)=0,"",N(F226)-N(I226))</f>
        <v/>
      </c>
      <c r="M226" s="247" t="str">
        <f>IF(COUNT(H226,K226)=0,"",N(K226)-N(H226))</f>
        <v/>
      </c>
      <c r="N226" s="246" t="str">
        <f>IF(AND(ISNUMBER(F226),ISNUMBER(G226),F226&gt;0,1-N(Ввод!$J$19)/100&gt;0),G226/(1-N(Ввод!$J$19)/100),IF(AND(ISNUMBER(I226),ISNUMBER(J226),I226&gt;0),J226/(1+N(Ввод!$J$19)/100),""))</f>
        <v/>
      </c>
    </row>
    <row r="227" ht="22" customHeight="1">
      <c r="B227" s="238" t="n"/>
      <c r="C227" s="237" t="n"/>
      <c r="D227" s="238" t="n"/>
      <c r="E227" s="239" t="n"/>
      <c r="F227" s="240" t="n"/>
      <c r="G227" s="177" t="n"/>
      <c r="H227" s="271" t="str">
        <f>IF(AND(ISNUMBER(F227),ISNUMBER(G227)),F227*G227,"")</f>
        <v/>
      </c>
      <c r="I227" s="240" t="n"/>
      <c r="J227" s="177" t="n"/>
      <c r="K227" s="271" t="str">
        <f>IF(AND(ISNUMBER(I227),ISNUMBER(J227)),I227*J227,"")</f>
        <v/>
      </c>
      <c r="L227" s="240" t="str">
        <f>IF(COUNT(F227,I227)=0,"",N(F227)-N(I227))</f>
        <v/>
      </c>
      <c r="M227" s="241" t="str">
        <f>IF(COUNT(H227,K227)=0,"",N(K227)-N(H227))</f>
        <v/>
      </c>
      <c r="N227" s="240" t="str">
        <f>IF(AND(ISNUMBER(F227),ISNUMBER(G227),F227&gt;0,1-N(Ввод!$J$19)/100&gt;0),G227/(1-N(Ввод!$J$19)/100),IF(AND(ISNUMBER(I227),ISNUMBER(J227),I227&gt;0),J227/(1+N(Ввод!$J$19)/100),""))</f>
        <v/>
      </c>
    </row>
    <row r="228" ht="22" customHeight="1">
      <c r="B228" s="244" t="n"/>
      <c r="C228" s="243" t="n"/>
      <c r="D228" s="244" t="n"/>
      <c r="E228" s="245" t="n"/>
      <c r="F228" s="246" t="n"/>
      <c r="G228" s="183" t="n"/>
      <c r="H228" s="271" t="str">
        <f>IF(AND(ISNUMBER(F228),ISNUMBER(G228)),F228*G228,"")</f>
        <v/>
      </c>
      <c r="I228" s="246" t="n"/>
      <c r="J228" s="183" t="n"/>
      <c r="K228" s="271" t="str">
        <f>IF(AND(ISNUMBER(I228),ISNUMBER(J228)),I228*J228,"")</f>
        <v/>
      </c>
      <c r="L228" s="246" t="str">
        <f>IF(COUNT(F228,I228)=0,"",N(F228)-N(I228))</f>
        <v/>
      </c>
      <c r="M228" s="247" t="str">
        <f>IF(COUNT(H228,K228)=0,"",N(K228)-N(H228))</f>
        <v/>
      </c>
      <c r="N228" s="246" t="str">
        <f>IF(AND(ISNUMBER(F228),ISNUMBER(G228),F228&gt;0,1-N(Ввод!$J$19)/100&gt;0),G228/(1-N(Ввод!$J$19)/100),IF(AND(ISNUMBER(I228),ISNUMBER(J228),I228&gt;0),J228/(1+N(Ввод!$J$19)/100),""))</f>
        <v/>
      </c>
    </row>
    <row r="229" ht="22" customHeight="1">
      <c r="B229" s="238" t="n"/>
      <c r="C229" s="237" t="n"/>
      <c r="D229" s="238" t="n"/>
      <c r="E229" s="239" t="n"/>
      <c r="F229" s="240" t="n"/>
      <c r="G229" s="177" t="n"/>
      <c r="H229" s="271" t="str">
        <f>IF(AND(ISNUMBER(F229),ISNUMBER(G229)),F229*G229,"")</f>
        <v/>
      </c>
      <c r="I229" s="240" t="n"/>
      <c r="J229" s="177" t="n"/>
      <c r="K229" s="271" t="str">
        <f>IF(AND(ISNUMBER(I229),ISNUMBER(J229)),I229*J229,"")</f>
        <v/>
      </c>
      <c r="L229" s="240" t="str">
        <f>IF(COUNT(F229,I229)=0,"",N(F229)-N(I229))</f>
        <v/>
      </c>
      <c r="M229" s="241" t="str">
        <f>IF(COUNT(H229,K229)=0,"",N(K229)-N(H229))</f>
        <v/>
      </c>
      <c r="N229" s="240" t="str">
        <f>IF(AND(ISNUMBER(F229),ISNUMBER(G229),F229&gt;0,1-N(Ввод!$J$19)/100&gt;0),G229/(1-N(Ввод!$J$19)/100),IF(AND(ISNUMBER(I229),ISNUMBER(J229),I229&gt;0),J229/(1+N(Ввод!$J$19)/100),""))</f>
        <v/>
      </c>
    </row>
    <row r="230" ht="22" customHeight="1">
      <c r="B230" s="244" t="n"/>
      <c r="C230" s="243" t="n"/>
      <c r="D230" s="244" t="n"/>
      <c r="E230" s="245" t="n"/>
      <c r="F230" s="246" t="n"/>
      <c r="G230" s="183" t="n"/>
      <c r="H230" s="271" t="str">
        <f>IF(AND(ISNUMBER(F230),ISNUMBER(G230)),F230*G230,"")</f>
        <v/>
      </c>
      <c r="I230" s="246" t="n"/>
      <c r="J230" s="183" t="n"/>
      <c r="K230" s="271" t="str">
        <f>IF(AND(ISNUMBER(I230),ISNUMBER(J230)),I230*J230,"")</f>
        <v/>
      </c>
      <c r="L230" s="246" t="str">
        <f>IF(COUNT(F230,I230)=0,"",N(F230)-N(I230))</f>
        <v/>
      </c>
      <c r="M230" s="247" t="str">
        <f>IF(COUNT(H230,K230)=0,"",N(K230)-N(H230))</f>
        <v/>
      </c>
      <c r="N230" s="246" t="str">
        <f>IF(AND(ISNUMBER(F230),ISNUMBER(G230),F230&gt;0,1-N(Ввод!$J$19)/100&gt;0),G230/(1-N(Ввод!$J$19)/100),IF(AND(ISNUMBER(I230),ISNUMBER(J230),I230&gt;0),J230/(1+N(Ввод!$J$19)/100),""))</f>
        <v/>
      </c>
    </row>
    <row r="231" ht="22" customHeight="1">
      <c r="B231" s="238" t="n"/>
      <c r="C231" s="237" t="n"/>
      <c r="D231" s="238" t="n"/>
      <c r="E231" s="239" t="n"/>
      <c r="F231" s="240" t="n"/>
      <c r="G231" s="177" t="n"/>
      <c r="H231" s="271" t="str">
        <f>IF(AND(ISNUMBER(F231),ISNUMBER(G231)),F231*G231,"")</f>
        <v/>
      </c>
      <c r="I231" s="240" t="n"/>
      <c r="J231" s="177" t="n"/>
      <c r="K231" s="271" t="str">
        <f>IF(AND(ISNUMBER(I231),ISNUMBER(J231)),I231*J231,"")</f>
        <v/>
      </c>
      <c r="L231" s="240" t="str">
        <f>IF(COUNT(F231,I231)=0,"",N(F231)-N(I231))</f>
        <v/>
      </c>
      <c r="M231" s="241" t="str">
        <f>IF(COUNT(H231,K231)=0,"",N(K231)-N(H231))</f>
        <v/>
      </c>
      <c r="N231" s="240" t="str">
        <f>IF(AND(ISNUMBER(F231),ISNUMBER(G231),F231&gt;0,1-N(Ввод!$J$19)/100&gt;0),G231/(1-N(Ввод!$J$19)/100),IF(AND(ISNUMBER(I231),ISNUMBER(J231),I231&gt;0),J231/(1+N(Ввод!$J$19)/100),""))</f>
        <v/>
      </c>
    </row>
    <row r="232" ht="22" customHeight="1">
      <c r="B232" s="244" t="n"/>
      <c r="C232" s="243" t="n"/>
      <c r="D232" s="244" t="n"/>
      <c r="E232" s="245" t="n"/>
      <c r="F232" s="246" t="n"/>
      <c r="G232" s="183" t="n"/>
      <c r="H232" s="271" t="str">
        <f>IF(AND(ISNUMBER(F232),ISNUMBER(G232)),F232*G232,"")</f>
        <v/>
      </c>
      <c r="I232" s="246" t="n"/>
      <c r="J232" s="183" t="n"/>
      <c r="K232" s="271" t="str">
        <f>IF(AND(ISNUMBER(I232),ISNUMBER(J232)),I232*J232,"")</f>
        <v/>
      </c>
      <c r="L232" s="246" t="str">
        <f>IF(COUNT(F232,I232)=0,"",N(F232)-N(I232))</f>
        <v/>
      </c>
      <c r="M232" s="247" t="str">
        <f>IF(COUNT(H232,K232)=0,"",N(K232)-N(H232))</f>
        <v/>
      </c>
      <c r="N232" s="246" t="str">
        <f>IF(AND(ISNUMBER(F232),ISNUMBER(G232),F232&gt;0,1-N(Ввод!$J$19)/100&gt;0),G232/(1-N(Ввод!$J$19)/100),IF(AND(ISNUMBER(I232),ISNUMBER(J232),I232&gt;0),J232/(1+N(Ввод!$J$19)/100),""))</f>
        <v/>
      </c>
    </row>
    <row r="233" ht="22" customHeight="1">
      <c r="B233" s="238" t="n"/>
      <c r="C233" s="237" t="n"/>
      <c r="D233" s="238" t="n"/>
      <c r="E233" s="239" t="n"/>
      <c r="F233" s="240" t="n"/>
      <c r="G233" s="177" t="n"/>
      <c r="H233" s="271" t="str">
        <f>IF(AND(ISNUMBER(F233),ISNUMBER(G233)),F233*G233,"")</f>
        <v/>
      </c>
      <c r="I233" s="240" t="n"/>
      <c r="J233" s="177" t="n"/>
      <c r="K233" s="271" t="str">
        <f>IF(AND(ISNUMBER(I233),ISNUMBER(J233)),I233*J233,"")</f>
        <v/>
      </c>
      <c r="L233" s="240" t="str">
        <f>IF(COUNT(F233,I233)=0,"",N(F233)-N(I233))</f>
        <v/>
      </c>
      <c r="M233" s="241" t="str">
        <f>IF(COUNT(H233,K233)=0,"",N(K233)-N(H233))</f>
        <v/>
      </c>
      <c r="N233" s="240" t="str">
        <f>IF(AND(ISNUMBER(F233),ISNUMBER(G233),F233&gt;0,1-N(Ввод!$J$19)/100&gt;0),G233/(1-N(Ввод!$J$19)/100),IF(AND(ISNUMBER(I233),ISNUMBER(J233),I233&gt;0),J233/(1+N(Ввод!$J$19)/100),""))</f>
        <v/>
      </c>
    </row>
    <row r="234" ht="22" customHeight="1">
      <c r="B234" s="244" t="n"/>
      <c r="C234" s="243" t="n"/>
      <c r="D234" s="244" t="n"/>
      <c r="E234" s="245" t="n"/>
      <c r="F234" s="246" t="n"/>
      <c r="G234" s="183" t="n"/>
      <c r="H234" s="271" t="str">
        <f>IF(AND(ISNUMBER(F234),ISNUMBER(G234)),F234*G234,"")</f>
        <v/>
      </c>
      <c r="I234" s="246" t="n"/>
      <c r="J234" s="183" t="n"/>
      <c r="K234" s="271" t="str">
        <f>IF(AND(ISNUMBER(I234),ISNUMBER(J234)),I234*J234,"")</f>
        <v/>
      </c>
      <c r="L234" s="246" t="str">
        <f>IF(COUNT(F234,I234)=0,"",N(F234)-N(I234))</f>
        <v/>
      </c>
      <c r="M234" s="247" t="str">
        <f>IF(COUNT(H234,K234)=0,"",N(K234)-N(H234))</f>
        <v/>
      </c>
      <c r="N234" s="246" t="str">
        <f>IF(AND(ISNUMBER(F234),ISNUMBER(G234),F234&gt;0,1-N(Ввод!$J$19)/100&gt;0),G234/(1-N(Ввод!$J$19)/100),IF(AND(ISNUMBER(I234),ISNUMBER(J234),I234&gt;0),J234/(1+N(Ввод!$J$19)/100),""))</f>
        <v/>
      </c>
    </row>
    <row r="235" ht="22" customHeight="1">
      <c r="B235" s="238" t="n"/>
      <c r="C235" s="237" t="n"/>
      <c r="D235" s="238" t="n"/>
      <c r="E235" s="239" t="n"/>
      <c r="F235" s="240" t="n"/>
      <c r="G235" s="177" t="n"/>
      <c r="H235" s="271" t="str">
        <f>IF(AND(ISNUMBER(F235),ISNUMBER(G235)),F235*G235,"")</f>
        <v/>
      </c>
      <c r="I235" s="240" t="n"/>
      <c r="J235" s="177" t="n"/>
      <c r="K235" s="271" t="str">
        <f>IF(AND(ISNUMBER(I235),ISNUMBER(J235)),I235*J235,"")</f>
        <v/>
      </c>
      <c r="L235" s="240" t="str">
        <f>IF(COUNT(F235,I235)=0,"",N(F235)-N(I235))</f>
        <v/>
      </c>
      <c r="M235" s="241" t="str">
        <f>IF(COUNT(H235,K235)=0,"",N(K235)-N(H235))</f>
        <v/>
      </c>
      <c r="N235" s="240" t="str">
        <f>IF(AND(ISNUMBER(F235),ISNUMBER(G235),F235&gt;0,1-N(Ввод!$J$19)/100&gt;0),G235/(1-N(Ввод!$J$19)/100),IF(AND(ISNUMBER(I235),ISNUMBER(J235),I235&gt;0),J235/(1+N(Ввод!$J$19)/100),""))</f>
        <v/>
      </c>
    </row>
    <row r="236" ht="22" customHeight="1">
      <c r="B236" s="244" t="n"/>
      <c r="C236" s="243" t="n"/>
      <c r="D236" s="244" t="n"/>
      <c r="E236" s="245" t="n"/>
      <c r="F236" s="246" t="n"/>
      <c r="G236" s="183" t="n"/>
      <c r="H236" s="271" t="str">
        <f>IF(AND(ISNUMBER(F236),ISNUMBER(G236)),F236*G236,"")</f>
        <v/>
      </c>
      <c r="I236" s="246" t="n"/>
      <c r="J236" s="183" t="n"/>
      <c r="K236" s="271" t="str">
        <f>IF(AND(ISNUMBER(I236),ISNUMBER(J236)),I236*J236,"")</f>
        <v/>
      </c>
      <c r="L236" s="246" t="str">
        <f>IF(COUNT(F236,I236)=0,"",N(F236)-N(I236))</f>
        <v/>
      </c>
      <c r="M236" s="247" t="str">
        <f>IF(COUNT(H236,K236)=0,"",N(K236)-N(H236))</f>
        <v/>
      </c>
      <c r="N236" s="246" t="str">
        <f>IF(AND(ISNUMBER(F236),ISNUMBER(G236),F236&gt;0,1-N(Ввод!$J$19)/100&gt;0),G236/(1-N(Ввод!$J$19)/100),IF(AND(ISNUMBER(I236),ISNUMBER(J236),I236&gt;0),J236/(1+N(Ввод!$J$19)/100),""))</f>
        <v/>
      </c>
    </row>
    <row r="237" ht="22" customHeight="1">
      <c r="B237" s="238" t="n"/>
      <c r="C237" s="237" t="n"/>
      <c r="D237" s="238" t="n"/>
      <c r="E237" s="239" t="n"/>
      <c r="F237" s="240" t="n"/>
      <c r="G237" s="177" t="n"/>
      <c r="H237" s="271" t="str">
        <f>IF(AND(ISNUMBER(F237),ISNUMBER(G237)),F237*G237,"")</f>
        <v/>
      </c>
      <c r="I237" s="240" t="n"/>
      <c r="J237" s="177" t="n"/>
      <c r="K237" s="271" t="str">
        <f>IF(AND(ISNUMBER(I237),ISNUMBER(J237)),I237*J237,"")</f>
        <v/>
      </c>
      <c r="L237" s="240" t="str">
        <f>IF(COUNT(F237,I237)=0,"",N(F237)-N(I237))</f>
        <v/>
      </c>
      <c r="M237" s="241" t="str">
        <f>IF(COUNT(H237,K237)=0,"",N(K237)-N(H237))</f>
        <v/>
      </c>
      <c r="N237" s="240" t="str">
        <f>IF(AND(ISNUMBER(F237),ISNUMBER(G237),F237&gt;0,1-N(Ввод!$J$19)/100&gt;0),G237/(1-N(Ввод!$J$19)/100),IF(AND(ISNUMBER(I237),ISNUMBER(J237),I237&gt;0),J237/(1+N(Ввод!$J$19)/100),""))</f>
        <v/>
      </c>
    </row>
    <row r="238" ht="22" customHeight="1">
      <c r="B238" s="244" t="n"/>
      <c r="C238" s="243" t="n"/>
      <c r="D238" s="244" t="n"/>
      <c r="E238" s="245" t="n"/>
      <c r="F238" s="246" t="n"/>
      <c r="G238" s="183" t="n"/>
      <c r="H238" s="271" t="str">
        <f>IF(AND(ISNUMBER(F238),ISNUMBER(G238)),F238*G238,"")</f>
        <v/>
      </c>
      <c r="I238" s="246" t="n"/>
      <c r="J238" s="183" t="n"/>
      <c r="K238" s="271" t="str">
        <f>IF(AND(ISNUMBER(I238),ISNUMBER(J238)),I238*J238,"")</f>
        <v/>
      </c>
      <c r="L238" s="246" t="str">
        <f>IF(COUNT(F238,I238)=0,"",N(F238)-N(I238))</f>
        <v/>
      </c>
      <c r="M238" s="247" t="str">
        <f>IF(COUNT(H238,K238)=0,"",N(K238)-N(H238))</f>
        <v/>
      </c>
      <c r="N238" s="246" t="str">
        <f>IF(AND(ISNUMBER(F238),ISNUMBER(G238),F238&gt;0,1-N(Ввод!$J$19)/100&gt;0),G238/(1-N(Ввод!$J$19)/100),IF(AND(ISNUMBER(I238),ISNUMBER(J238),I238&gt;0),J238/(1+N(Ввод!$J$19)/100),""))</f>
        <v/>
      </c>
    </row>
    <row r="239" ht="22" customHeight="1">
      <c r="B239" s="238" t="n"/>
      <c r="C239" s="237" t="n"/>
      <c r="D239" s="238" t="n"/>
      <c r="E239" s="239" t="n"/>
      <c r="F239" s="240" t="n"/>
      <c r="G239" s="177" t="n"/>
      <c r="H239" s="271" t="str">
        <f>IF(AND(ISNUMBER(F239),ISNUMBER(G239)),F239*G239,"")</f>
        <v/>
      </c>
      <c r="I239" s="240" t="n"/>
      <c r="J239" s="177" t="n"/>
      <c r="K239" s="271" t="str">
        <f>IF(AND(ISNUMBER(I239),ISNUMBER(J239)),I239*J239,"")</f>
        <v/>
      </c>
      <c r="L239" s="240" t="str">
        <f>IF(COUNT(F239,I239)=0,"",N(F239)-N(I239))</f>
        <v/>
      </c>
      <c r="M239" s="241" t="str">
        <f>IF(COUNT(H239,K239)=0,"",N(K239)-N(H239))</f>
        <v/>
      </c>
      <c r="N239" s="240" t="str">
        <f>IF(AND(ISNUMBER(F239),ISNUMBER(G239),F239&gt;0,1-N(Ввод!$J$19)/100&gt;0),G239/(1-N(Ввод!$J$19)/100),IF(AND(ISNUMBER(I239),ISNUMBER(J239),I239&gt;0),J239/(1+N(Ввод!$J$19)/100),""))</f>
        <v/>
      </c>
    </row>
    <row r="240" ht="22" customHeight="1">
      <c r="B240" s="244" t="n"/>
      <c r="C240" s="243" t="n"/>
      <c r="D240" s="244" t="n"/>
      <c r="E240" s="245" t="n"/>
      <c r="F240" s="246" t="n"/>
      <c r="G240" s="183" t="n"/>
      <c r="H240" s="271" t="str">
        <f>IF(AND(ISNUMBER(F240),ISNUMBER(G240)),F240*G240,"")</f>
        <v/>
      </c>
      <c r="I240" s="246" t="n"/>
      <c r="J240" s="183" t="n"/>
      <c r="K240" s="271" t="str">
        <f>IF(AND(ISNUMBER(I240),ISNUMBER(J240)),I240*J240,"")</f>
        <v/>
      </c>
      <c r="L240" s="246" t="str">
        <f>IF(COUNT(F240,I240)=0,"",N(F240)-N(I240))</f>
        <v/>
      </c>
      <c r="M240" s="247" t="str">
        <f>IF(COUNT(H240,K240)=0,"",N(K240)-N(H240))</f>
        <v/>
      </c>
      <c r="N240" s="246" t="str">
        <f>IF(AND(ISNUMBER(F240),ISNUMBER(G240),F240&gt;0,1-N(Ввод!$J$19)/100&gt;0),G240/(1-N(Ввод!$J$19)/100),IF(AND(ISNUMBER(I240),ISNUMBER(J240),I240&gt;0),J240/(1+N(Ввод!$J$19)/100),""))</f>
        <v/>
      </c>
    </row>
    <row r="241" ht="22" customHeight="1">
      <c r="B241" s="238" t="n"/>
      <c r="C241" s="237" t="n"/>
      <c r="D241" s="238" t="n"/>
      <c r="E241" s="239" t="n"/>
      <c r="F241" s="240" t="n"/>
      <c r="G241" s="177" t="n"/>
      <c r="H241" s="271" t="str">
        <f>IF(AND(ISNUMBER(F241),ISNUMBER(G241)),F241*G241,"")</f>
        <v/>
      </c>
      <c r="I241" s="240" t="n"/>
      <c r="J241" s="177" t="n"/>
      <c r="K241" s="271" t="str">
        <f>IF(AND(ISNUMBER(I241),ISNUMBER(J241)),I241*J241,"")</f>
        <v/>
      </c>
      <c r="L241" s="240" t="str">
        <f>IF(COUNT(F241,I241)=0,"",N(F241)-N(I241))</f>
        <v/>
      </c>
      <c r="M241" s="241" t="str">
        <f>IF(COUNT(H241,K241)=0,"",N(K241)-N(H241))</f>
        <v/>
      </c>
      <c r="N241" s="240" t="str">
        <f>IF(AND(ISNUMBER(F241),ISNUMBER(G241),F241&gt;0,1-N(Ввод!$J$19)/100&gt;0),G241/(1-N(Ввод!$J$19)/100),IF(AND(ISNUMBER(I241),ISNUMBER(J241),I241&gt;0),J241/(1+N(Ввод!$J$19)/100),""))</f>
        <v/>
      </c>
    </row>
    <row r="242" ht="22" customHeight="1">
      <c r="B242" s="244" t="n"/>
      <c r="C242" s="243" t="n"/>
      <c r="D242" s="244" t="n"/>
      <c r="E242" s="245" t="n"/>
      <c r="F242" s="246" t="n"/>
      <c r="G242" s="183" t="n"/>
      <c r="H242" s="271" t="str">
        <f>IF(AND(ISNUMBER(F242),ISNUMBER(G242)),F242*G242,"")</f>
        <v/>
      </c>
      <c r="I242" s="246" t="n"/>
      <c r="J242" s="183" t="n"/>
      <c r="K242" s="271" t="str">
        <f>IF(AND(ISNUMBER(I242),ISNUMBER(J242)),I242*J242,"")</f>
        <v/>
      </c>
      <c r="L242" s="246" t="str">
        <f>IF(COUNT(F242,I242)=0,"",N(F242)-N(I242))</f>
        <v/>
      </c>
      <c r="M242" s="247" t="str">
        <f>IF(COUNT(H242,K242)=0,"",N(K242)-N(H242))</f>
        <v/>
      </c>
      <c r="N242" s="246" t="str">
        <f>IF(AND(ISNUMBER(F242),ISNUMBER(G242),F242&gt;0,1-N(Ввод!$J$19)/100&gt;0),G242/(1-N(Ввод!$J$19)/100),IF(AND(ISNUMBER(I242),ISNUMBER(J242),I242&gt;0),J242/(1+N(Ввод!$J$19)/100),""))</f>
        <v/>
      </c>
    </row>
    <row r="243" ht="22" customHeight="1">
      <c r="B243" s="238" t="n"/>
      <c r="C243" s="237" t="n"/>
      <c r="D243" s="238" t="n"/>
      <c r="E243" s="239" t="n"/>
      <c r="F243" s="240" t="n"/>
      <c r="G243" s="177" t="n"/>
      <c r="H243" s="271" t="str">
        <f>IF(AND(ISNUMBER(F243),ISNUMBER(G243)),F243*G243,"")</f>
        <v/>
      </c>
      <c r="I243" s="240" t="n"/>
      <c r="J243" s="177" t="n"/>
      <c r="K243" s="271" t="str">
        <f>IF(AND(ISNUMBER(I243),ISNUMBER(J243)),I243*J243,"")</f>
        <v/>
      </c>
      <c r="L243" s="240" t="str">
        <f>IF(COUNT(F243,I243)=0,"",N(F243)-N(I243))</f>
        <v/>
      </c>
      <c r="M243" s="241" t="str">
        <f>IF(COUNT(H243,K243)=0,"",N(K243)-N(H243))</f>
        <v/>
      </c>
      <c r="N243" s="240" t="str">
        <f>IF(AND(ISNUMBER(F243),ISNUMBER(G243),F243&gt;0,1-N(Ввод!$J$19)/100&gt;0),G243/(1-N(Ввод!$J$19)/100),IF(AND(ISNUMBER(I243),ISNUMBER(J243),I243&gt;0),J243/(1+N(Ввод!$J$19)/100),""))</f>
        <v/>
      </c>
    </row>
    <row r="244" ht="22" customHeight="1">
      <c r="B244" s="244" t="n"/>
      <c r="C244" s="243" t="n"/>
      <c r="D244" s="244" t="n"/>
      <c r="E244" s="245" t="n"/>
      <c r="F244" s="246" t="n"/>
      <c r="G244" s="183" t="n"/>
      <c r="H244" s="271" t="str">
        <f>IF(AND(ISNUMBER(F244),ISNUMBER(G244)),F244*G244,"")</f>
        <v/>
      </c>
      <c r="I244" s="246" t="n"/>
      <c r="J244" s="183" t="n"/>
      <c r="K244" s="271" t="str">
        <f>IF(AND(ISNUMBER(I244),ISNUMBER(J244)),I244*J244,"")</f>
        <v/>
      </c>
      <c r="L244" s="246" t="str">
        <f>IF(COUNT(F244,I244)=0,"",N(F244)-N(I244))</f>
        <v/>
      </c>
      <c r="M244" s="247" t="str">
        <f>IF(COUNT(H244,K244)=0,"",N(K244)-N(H244))</f>
        <v/>
      </c>
      <c r="N244" s="246" t="str">
        <f>IF(AND(ISNUMBER(F244),ISNUMBER(G244),F244&gt;0,1-N(Ввод!$J$19)/100&gt;0),G244/(1-N(Ввод!$J$19)/100),IF(AND(ISNUMBER(I244),ISNUMBER(J244),I244&gt;0),J244/(1+N(Ввод!$J$19)/100),""))</f>
        <v/>
      </c>
    </row>
    <row r="245" ht="22" customHeight="1">
      <c r="B245" s="238" t="n"/>
      <c r="C245" s="237" t="n"/>
      <c r="D245" s="238" t="n"/>
      <c r="E245" s="239" t="n"/>
      <c r="F245" s="240" t="n"/>
      <c r="G245" s="177" t="n"/>
      <c r="H245" s="271" t="str">
        <f>IF(AND(ISNUMBER(F245),ISNUMBER(G245)),F245*G245,"")</f>
        <v/>
      </c>
      <c r="I245" s="240" t="n"/>
      <c r="J245" s="177" t="n"/>
      <c r="K245" s="271" t="str">
        <f>IF(AND(ISNUMBER(I245),ISNUMBER(J245)),I245*J245,"")</f>
        <v/>
      </c>
      <c r="L245" s="240" t="str">
        <f>IF(COUNT(F245,I245)=0,"",N(F245)-N(I245))</f>
        <v/>
      </c>
      <c r="M245" s="241" t="str">
        <f>IF(COUNT(H245,K245)=0,"",N(K245)-N(H245))</f>
        <v/>
      </c>
      <c r="N245" s="240" t="str">
        <f>IF(AND(ISNUMBER(F245),ISNUMBER(G245),F245&gt;0,1-N(Ввод!$J$19)/100&gt;0),G245/(1-N(Ввод!$J$19)/100),IF(AND(ISNUMBER(I245),ISNUMBER(J245),I245&gt;0),J245/(1+N(Ввод!$J$19)/100),""))</f>
        <v/>
      </c>
    </row>
    <row r="246" ht="22" customHeight="1">
      <c r="B246" s="244" t="n"/>
      <c r="C246" s="243" t="n"/>
      <c r="D246" s="244" t="n"/>
      <c r="E246" s="245" t="n"/>
      <c r="F246" s="246" t="n"/>
      <c r="G246" s="183" t="n"/>
      <c r="H246" s="271" t="str">
        <f>IF(AND(ISNUMBER(F246),ISNUMBER(G246)),F246*G246,"")</f>
        <v/>
      </c>
      <c r="I246" s="246" t="n"/>
      <c r="J246" s="183" t="n"/>
      <c r="K246" s="271" t="str">
        <f>IF(AND(ISNUMBER(I246),ISNUMBER(J246)),I246*J246,"")</f>
        <v/>
      </c>
      <c r="L246" s="246" t="str">
        <f>IF(COUNT(F246,I246)=0,"",N(F246)-N(I246))</f>
        <v/>
      </c>
      <c r="M246" s="247" t="str">
        <f>IF(COUNT(H246,K246)=0,"",N(K246)-N(H246))</f>
        <v/>
      </c>
      <c r="N246" s="246" t="str">
        <f>IF(AND(ISNUMBER(F246),ISNUMBER(G246),F246&gt;0,1-N(Ввод!$J$19)/100&gt;0),G246/(1-N(Ввод!$J$19)/100),IF(AND(ISNUMBER(I246),ISNUMBER(J246),I246&gt;0),J246/(1+N(Ввод!$J$19)/100),""))</f>
        <v/>
      </c>
    </row>
    <row r="247" ht="22" customHeight="1">
      <c r="B247" s="238" t="n"/>
      <c r="C247" s="237" t="n"/>
      <c r="D247" s="238" t="n"/>
      <c r="E247" s="239" t="n"/>
      <c r="F247" s="240" t="n"/>
      <c r="G247" s="177" t="n"/>
      <c r="H247" s="271" t="str">
        <f>IF(AND(ISNUMBER(F247),ISNUMBER(G247)),F247*G247,"")</f>
        <v/>
      </c>
      <c r="I247" s="240" t="n"/>
      <c r="J247" s="177" t="n"/>
      <c r="K247" s="271" t="str">
        <f>IF(AND(ISNUMBER(I247),ISNUMBER(J247)),I247*J247,"")</f>
        <v/>
      </c>
      <c r="L247" s="240" t="str">
        <f>IF(COUNT(F247,I247)=0,"",N(F247)-N(I247))</f>
        <v/>
      </c>
      <c r="M247" s="241" t="str">
        <f>IF(COUNT(H247,K247)=0,"",N(K247)-N(H247))</f>
        <v/>
      </c>
      <c r="N247" s="240" t="str">
        <f>IF(AND(ISNUMBER(F247),ISNUMBER(G247),F247&gt;0,1-N(Ввод!$J$19)/100&gt;0),G247/(1-N(Ввод!$J$19)/100),IF(AND(ISNUMBER(I247),ISNUMBER(J247),I247&gt;0),J247/(1+N(Ввод!$J$19)/100),""))</f>
        <v/>
      </c>
    </row>
    <row r="248" ht="22" customHeight="1">
      <c r="B248" s="244" t="n"/>
      <c r="C248" s="243" t="n"/>
      <c r="D248" s="244" t="n"/>
      <c r="E248" s="245" t="n"/>
      <c r="F248" s="246" t="n"/>
      <c r="G248" s="183" t="n"/>
      <c r="H248" s="271" t="str">
        <f>IF(AND(ISNUMBER(F248),ISNUMBER(G248)),F248*G248,"")</f>
        <v/>
      </c>
      <c r="I248" s="246" t="n"/>
      <c r="J248" s="183" t="n"/>
      <c r="K248" s="271" t="str">
        <f>IF(AND(ISNUMBER(I248),ISNUMBER(J248)),I248*J248,"")</f>
        <v/>
      </c>
      <c r="L248" s="246" t="str">
        <f>IF(COUNT(F248,I248)=0,"",N(F248)-N(I248))</f>
        <v/>
      </c>
      <c r="M248" s="247" t="str">
        <f>IF(COUNT(H248,K248)=0,"",N(K248)-N(H248))</f>
        <v/>
      </c>
      <c r="N248" s="246" t="str">
        <f>IF(AND(ISNUMBER(F248),ISNUMBER(G248),F248&gt;0,1-N(Ввод!$J$19)/100&gt;0),G248/(1-N(Ввод!$J$19)/100),IF(AND(ISNUMBER(I248),ISNUMBER(J248),I248&gt;0),J248/(1+N(Ввод!$J$19)/100),""))</f>
        <v/>
      </c>
    </row>
    <row r="249" ht="22" customHeight="1">
      <c r="B249" s="238" t="n"/>
      <c r="C249" s="237" t="n"/>
      <c r="D249" s="238" t="n"/>
      <c r="E249" s="239" t="n"/>
      <c r="F249" s="240" t="n"/>
      <c r="G249" s="177" t="n"/>
      <c r="H249" s="271" t="str">
        <f>IF(AND(ISNUMBER(F249),ISNUMBER(G249)),F249*G249,"")</f>
        <v/>
      </c>
      <c r="I249" s="240" t="n"/>
      <c r="J249" s="177" t="n"/>
      <c r="K249" s="271" t="str">
        <f>IF(AND(ISNUMBER(I249),ISNUMBER(J249)),I249*J249,"")</f>
        <v/>
      </c>
      <c r="L249" s="240" t="str">
        <f>IF(COUNT(F249,I249)=0,"",N(F249)-N(I249))</f>
        <v/>
      </c>
      <c r="M249" s="241" t="str">
        <f>IF(COUNT(H249,K249)=0,"",N(K249)-N(H249))</f>
        <v/>
      </c>
      <c r="N249" s="240" t="str">
        <f>IF(AND(ISNUMBER(F249),ISNUMBER(G249),F249&gt;0,1-N(Ввод!$J$19)/100&gt;0),G249/(1-N(Ввод!$J$19)/100),IF(AND(ISNUMBER(I249),ISNUMBER(J249),I249&gt;0),J249/(1+N(Ввод!$J$19)/100),""))</f>
        <v/>
      </c>
    </row>
    <row r="250" ht="22" customHeight="1">
      <c r="B250" s="244" t="n"/>
      <c r="C250" s="243" t="n"/>
      <c r="D250" s="244" t="n"/>
      <c r="E250" s="245" t="n"/>
      <c r="F250" s="246" t="n"/>
      <c r="G250" s="183" t="n"/>
      <c r="H250" s="271" t="str">
        <f>IF(AND(ISNUMBER(F250),ISNUMBER(G250)),F250*G250,"")</f>
        <v/>
      </c>
      <c r="I250" s="246" t="n"/>
      <c r="J250" s="183" t="n"/>
      <c r="K250" s="271" t="str">
        <f>IF(AND(ISNUMBER(I250),ISNUMBER(J250)),I250*J250,"")</f>
        <v/>
      </c>
      <c r="L250" s="246" t="str">
        <f>IF(COUNT(F250,I250)=0,"",N(F250)-N(I250))</f>
        <v/>
      </c>
      <c r="M250" s="247" t="str">
        <f>IF(COUNT(H250,K250)=0,"",N(K250)-N(H250))</f>
        <v/>
      </c>
      <c r="N250" s="246" t="str">
        <f>IF(AND(ISNUMBER(F250),ISNUMBER(G250),F250&gt;0,1-N(Ввод!$J$19)/100&gt;0),G250/(1-N(Ввод!$J$19)/100),IF(AND(ISNUMBER(I250),ISNUMBER(J250),I250&gt;0),J250/(1+N(Ввод!$J$19)/100),""))</f>
        <v/>
      </c>
    </row>
    <row r="251" ht="22" customHeight="1">
      <c r="B251" s="238" t="n"/>
      <c r="C251" s="237" t="n"/>
      <c r="D251" s="238" t="n"/>
      <c r="E251" s="239" t="n"/>
      <c r="F251" s="240" t="n"/>
      <c r="G251" s="177" t="n"/>
      <c r="H251" s="271" t="str">
        <f>IF(AND(ISNUMBER(F251),ISNUMBER(G251)),F251*G251,"")</f>
        <v/>
      </c>
      <c r="I251" s="240" t="n"/>
      <c r="J251" s="177" t="n"/>
      <c r="K251" s="271" t="str">
        <f>IF(AND(ISNUMBER(I251),ISNUMBER(J251)),I251*J251,"")</f>
        <v/>
      </c>
      <c r="L251" s="240" t="str">
        <f>IF(COUNT(F251,I251)=0,"",N(F251)-N(I251))</f>
        <v/>
      </c>
      <c r="M251" s="241" t="str">
        <f>IF(COUNT(H251,K251)=0,"",N(K251)-N(H251))</f>
        <v/>
      </c>
      <c r="N251" s="240" t="str">
        <f>IF(AND(ISNUMBER(F251),ISNUMBER(G251),F251&gt;0,1-N(Ввод!$J$19)/100&gt;0),G251/(1-N(Ввод!$J$19)/100),IF(AND(ISNUMBER(I251),ISNUMBER(J251),I251&gt;0),J251/(1+N(Ввод!$J$19)/100),""))</f>
        <v/>
      </c>
    </row>
    <row r="252" ht="22" customHeight="1">
      <c r="B252" s="244" t="n"/>
      <c r="C252" s="243" t="n"/>
      <c r="D252" s="244" t="n"/>
      <c r="E252" s="245" t="n"/>
      <c r="F252" s="246" t="n"/>
      <c r="G252" s="183" t="n"/>
      <c r="H252" s="271" t="str">
        <f>IF(AND(ISNUMBER(F252),ISNUMBER(G252)),F252*G252,"")</f>
        <v/>
      </c>
      <c r="I252" s="246" t="n"/>
      <c r="J252" s="183" t="n"/>
      <c r="K252" s="271" t="str">
        <f>IF(AND(ISNUMBER(I252),ISNUMBER(J252)),I252*J252,"")</f>
        <v/>
      </c>
      <c r="L252" s="246" t="str">
        <f>IF(COUNT(F252,I252)=0,"",N(F252)-N(I252))</f>
        <v/>
      </c>
      <c r="M252" s="247" t="str">
        <f>IF(COUNT(H252,K252)=0,"",N(K252)-N(H252))</f>
        <v/>
      </c>
      <c r="N252" s="246" t="str">
        <f>IF(AND(ISNUMBER(F252),ISNUMBER(G252),F252&gt;0,1-N(Ввод!$J$19)/100&gt;0),G252/(1-N(Ввод!$J$19)/100),IF(AND(ISNUMBER(I252),ISNUMBER(J252),I252&gt;0),J252/(1+N(Ввод!$J$19)/100),""))</f>
        <v/>
      </c>
    </row>
    <row r="253" ht="22" customHeight="1">
      <c r="B253" s="238" t="n"/>
      <c r="C253" s="237" t="n"/>
      <c r="D253" s="238" t="n"/>
      <c r="E253" s="239" t="n"/>
      <c r="F253" s="240" t="n"/>
      <c r="G253" s="177" t="n"/>
      <c r="H253" s="271" t="str">
        <f>IF(AND(ISNUMBER(F253),ISNUMBER(G253)),F253*G253,"")</f>
        <v/>
      </c>
      <c r="I253" s="240" t="n"/>
      <c r="J253" s="177" t="n"/>
      <c r="K253" s="271" t="str">
        <f>IF(AND(ISNUMBER(I253),ISNUMBER(J253)),I253*J253,"")</f>
        <v/>
      </c>
      <c r="L253" s="240" t="str">
        <f>IF(COUNT(F253,I253)=0,"",N(F253)-N(I253))</f>
        <v/>
      </c>
      <c r="M253" s="241" t="str">
        <f>IF(COUNT(H253,K253)=0,"",N(K253)-N(H253))</f>
        <v/>
      </c>
      <c r="N253" s="240" t="str">
        <f>IF(AND(ISNUMBER(F253),ISNUMBER(G253),F253&gt;0,1-N(Ввод!$J$19)/100&gt;0),G253/(1-N(Ввод!$J$19)/100),IF(AND(ISNUMBER(I253),ISNUMBER(J253),I253&gt;0),J253/(1+N(Ввод!$J$19)/100),""))</f>
        <v/>
      </c>
    </row>
    <row r="254" ht="22" customHeight="1">
      <c r="B254" s="244" t="n"/>
      <c r="C254" s="243" t="n"/>
      <c r="D254" s="244" t="n"/>
      <c r="E254" s="245" t="n"/>
      <c r="F254" s="246" t="n"/>
      <c r="G254" s="183" t="n"/>
      <c r="H254" s="271" t="str">
        <f>IF(AND(ISNUMBER(F254),ISNUMBER(G254)),F254*G254,"")</f>
        <v/>
      </c>
      <c r="I254" s="246" t="n"/>
      <c r="J254" s="183" t="n"/>
      <c r="K254" s="271" t="str">
        <f>IF(AND(ISNUMBER(I254),ISNUMBER(J254)),I254*J254,"")</f>
        <v/>
      </c>
      <c r="L254" s="246" t="str">
        <f>IF(COUNT(F254,I254)=0,"",N(F254)-N(I254))</f>
        <v/>
      </c>
      <c r="M254" s="247" t="str">
        <f>IF(COUNT(H254,K254)=0,"",N(K254)-N(H254))</f>
        <v/>
      </c>
      <c r="N254" s="246" t="str">
        <f>IF(AND(ISNUMBER(F254),ISNUMBER(G254),F254&gt;0,1-N(Ввод!$J$19)/100&gt;0),G254/(1-N(Ввод!$J$19)/100),IF(AND(ISNUMBER(I254),ISNUMBER(J254),I254&gt;0),J254/(1+N(Ввод!$J$19)/100),""))</f>
        <v/>
      </c>
    </row>
    <row r="255" ht="22" customHeight="1">
      <c r="B255" s="238" t="n"/>
      <c r="C255" s="237" t="n"/>
      <c r="D255" s="238" t="n"/>
      <c r="E255" s="239" t="n"/>
      <c r="F255" s="240" t="n"/>
      <c r="G255" s="177" t="n"/>
      <c r="H255" s="271" t="str">
        <f>IF(AND(ISNUMBER(F255),ISNUMBER(G255)),F255*G255,"")</f>
        <v/>
      </c>
      <c r="I255" s="240" t="n"/>
      <c r="J255" s="177" t="n"/>
      <c r="K255" s="271" t="str">
        <f>IF(AND(ISNUMBER(I255),ISNUMBER(J255)),I255*J255,"")</f>
        <v/>
      </c>
      <c r="L255" s="240" t="str">
        <f>IF(COUNT(F255,I255)=0,"",N(F255)-N(I255))</f>
        <v/>
      </c>
      <c r="M255" s="241" t="str">
        <f>IF(COUNT(H255,K255)=0,"",N(K255)-N(H255))</f>
        <v/>
      </c>
      <c r="N255" s="240" t="str">
        <f>IF(AND(ISNUMBER(F255),ISNUMBER(G255),F255&gt;0,1-N(Ввод!$J$19)/100&gt;0),G255/(1-N(Ввод!$J$19)/100),IF(AND(ISNUMBER(I255),ISNUMBER(J255),I255&gt;0),J255/(1+N(Ввод!$J$19)/100),""))</f>
        <v/>
      </c>
    </row>
    <row r="256" ht="22" customHeight="1">
      <c r="B256" s="244" t="n"/>
      <c r="C256" s="243" t="n"/>
      <c r="D256" s="244" t="n"/>
      <c r="E256" s="245" t="n"/>
      <c r="F256" s="246" t="n"/>
      <c r="G256" s="183" t="n"/>
      <c r="H256" s="271" t="str">
        <f>IF(AND(ISNUMBER(F256),ISNUMBER(G256)),F256*G256,"")</f>
        <v/>
      </c>
      <c r="I256" s="246" t="n"/>
      <c r="J256" s="183" t="n"/>
      <c r="K256" s="271" t="str">
        <f>IF(AND(ISNUMBER(I256),ISNUMBER(J256)),I256*J256,"")</f>
        <v/>
      </c>
      <c r="L256" s="246" t="str">
        <f>IF(COUNT(F256,I256)=0,"",N(F256)-N(I256))</f>
        <v/>
      </c>
      <c r="M256" s="247" t="str">
        <f>IF(COUNT(H256,K256)=0,"",N(K256)-N(H256))</f>
        <v/>
      </c>
      <c r="N256" s="246" t="str">
        <f>IF(AND(ISNUMBER(F256),ISNUMBER(G256),F256&gt;0,1-N(Ввод!$J$19)/100&gt;0),G256/(1-N(Ввод!$J$19)/100),IF(AND(ISNUMBER(I256),ISNUMBER(J256),I256&gt;0),J256/(1+N(Ввод!$J$19)/100),""))</f>
        <v/>
      </c>
    </row>
    <row r="257" ht="22" customHeight="1">
      <c r="B257" s="238" t="n"/>
      <c r="C257" s="237" t="n"/>
      <c r="D257" s="238" t="n"/>
      <c r="E257" s="239" t="n"/>
      <c r="F257" s="240" t="n"/>
      <c r="G257" s="177" t="n"/>
      <c r="H257" s="271" t="str">
        <f>IF(AND(ISNUMBER(F257),ISNUMBER(G257)),F257*G257,"")</f>
        <v/>
      </c>
      <c r="I257" s="240" t="n"/>
      <c r="J257" s="177" t="n"/>
      <c r="K257" s="271" t="str">
        <f>IF(AND(ISNUMBER(I257),ISNUMBER(J257)),I257*J257,"")</f>
        <v/>
      </c>
      <c r="L257" s="240" t="str">
        <f>IF(COUNT(F257,I257)=0,"",N(F257)-N(I257))</f>
        <v/>
      </c>
      <c r="M257" s="241" t="str">
        <f>IF(COUNT(H257,K257)=0,"",N(K257)-N(H257))</f>
        <v/>
      </c>
      <c r="N257" s="240" t="str">
        <f>IF(AND(ISNUMBER(F257),ISNUMBER(G257),F257&gt;0,1-N(Ввод!$J$19)/100&gt;0),G257/(1-N(Ввод!$J$19)/100),IF(AND(ISNUMBER(I257),ISNUMBER(J257),I257&gt;0),J257/(1+N(Ввод!$J$19)/100),""))</f>
        <v/>
      </c>
    </row>
    <row r="258" ht="22" customHeight="1">
      <c r="B258" s="244" t="n"/>
      <c r="C258" s="243" t="n"/>
      <c r="D258" s="244" t="n"/>
      <c r="E258" s="245" t="n"/>
      <c r="F258" s="246" t="n"/>
      <c r="G258" s="183" t="n"/>
      <c r="H258" s="271" t="str">
        <f>IF(AND(ISNUMBER(F258),ISNUMBER(G258)),F258*G258,"")</f>
        <v/>
      </c>
      <c r="I258" s="246" t="n"/>
      <c r="J258" s="183" t="n"/>
      <c r="K258" s="271" t="str">
        <f>IF(AND(ISNUMBER(I258),ISNUMBER(J258)),I258*J258,"")</f>
        <v/>
      </c>
      <c r="L258" s="246" t="str">
        <f>IF(COUNT(F258,I258)=0,"",N(F258)-N(I258))</f>
        <v/>
      </c>
      <c r="M258" s="247" t="str">
        <f>IF(COUNT(H258,K258)=0,"",N(K258)-N(H258))</f>
        <v/>
      </c>
      <c r="N258" s="246" t="str">
        <f>IF(AND(ISNUMBER(F258),ISNUMBER(G258),F258&gt;0,1-N(Ввод!$J$19)/100&gt;0),G258/(1-N(Ввод!$J$19)/100),IF(AND(ISNUMBER(I258),ISNUMBER(J258),I258&gt;0),J258/(1+N(Ввод!$J$19)/100),""))</f>
        <v/>
      </c>
    </row>
    <row r="259" ht="22" customHeight="1">
      <c r="B259" s="238" t="n"/>
      <c r="C259" s="237" t="n"/>
      <c r="D259" s="238" t="n"/>
      <c r="E259" s="239" t="n"/>
      <c r="F259" s="240" t="n"/>
      <c r="G259" s="177" t="n"/>
      <c r="H259" s="271" t="str">
        <f>IF(AND(ISNUMBER(F259),ISNUMBER(G259)),F259*G259,"")</f>
        <v/>
      </c>
      <c r="I259" s="240" t="n"/>
      <c r="J259" s="177" t="n"/>
      <c r="K259" s="271" t="str">
        <f>IF(AND(ISNUMBER(I259),ISNUMBER(J259)),I259*J259,"")</f>
        <v/>
      </c>
      <c r="L259" s="240" t="str">
        <f>IF(COUNT(F259,I259)=0,"",N(F259)-N(I259))</f>
        <v/>
      </c>
      <c r="M259" s="241" t="str">
        <f>IF(COUNT(H259,K259)=0,"",N(K259)-N(H259))</f>
        <v/>
      </c>
      <c r="N259" s="240" t="str">
        <f>IF(AND(ISNUMBER(F259),ISNUMBER(G259),F259&gt;0,1-N(Ввод!$J$19)/100&gt;0),G259/(1-N(Ввод!$J$19)/100),IF(AND(ISNUMBER(I259),ISNUMBER(J259),I259&gt;0),J259/(1+N(Ввод!$J$19)/100),""))</f>
        <v/>
      </c>
    </row>
    <row r="260" ht="22" customHeight="1">
      <c r="B260" s="244" t="n"/>
      <c r="C260" s="243" t="n"/>
      <c r="D260" s="244" t="n"/>
      <c r="E260" s="245" t="n"/>
      <c r="F260" s="246" t="n"/>
      <c r="G260" s="183" t="n"/>
      <c r="H260" s="271" t="str">
        <f>IF(AND(ISNUMBER(F260),ISNUMBER(G260)),F260*G260,"")</f>
        <v/>
      </c>
      <c r="I260" s="246" t="n"/>
      <c r="J260" s="183" t="n"/>
      <c r="K260" s="271" t="str">
        <f>IF(AND(ISNUMBER(I260),ISNUMBER(J260)),I260*J260,"")</f>
        <v/>
      </c>
      <c r="L260" s="246" t="str">
        <f>IF(COUNT(F260,I260)=0,"",N(F260)-N(I260))</f>
        <v/>
      </c>
      <c r="M260" s="247" t="str">
        <f>IF(COUNT(H260,K260)=0,"",N(K260)-N(H260))</f>
        <v/>
      </c>
      <c r="N260" s="246" t="str">
        <f>IF(AND(ISNUMBER(F260),ISNUMBER(G260),F260&gt;0,1-N(Ввод!$J$19)/100&gt;0),G260/(1-N(Ввод!$J$19)/100),IF(AND(ISNUMBER(I260),ISNUMBER(J260),I260&gt;0),J260/(1+N(Ввод!$J$19)/100),""))</f>
        <v/>
      </c>
    </row>
    <row r="261" ht="22" customHeight="1">
      <c r="B261" s="238" t="n"/>
      <c r="C261" s="237" t="n"/>
      <c r="D261" s="238" t="n"/>
      <c r="E261" s="239" t="n"/>
      <c r="F261" s="240" t="n"/>
      <c r="G261" s="177" t="n"/>
      <c r="H261" s="271" t="str">
        <f>IF(AND(ISNUMBER(F261),ISNUMBER(G261)),F261*G261,"")</f>
        <v/>
      </c>
      <c r="I261" s="240" t="n"/>
      <c r="J261" s="177" t="n"/>
      <c r="K261" s="271" t="str">
        <f>IF(AND(ISNUMBER(I261),ISNUMBER(J261)),I261*J261,"")</f>
        <v/>
      </c>
      <c r="L261" s="240" t="str">
        <f>IF(COUNT(F261,I261)=0,"",N(F261)-N(I261))</f>
        <v/>
      </c>
      <c r="M261" s="241" t="str">
        <f>IF(COUNT(H261,K261)=0,"",N(K261)-N(H261))</f>
        <v/>
      </c>
      <c r="N261" s="240" t="str">
        <f>IF(AND(ISNUMBER(F261),ISNUMBER(G261),F261&gt;0,1-N(Ввод!$J$19)/100&gt;0),G261/(1-N(Ввод!$J$19)/100),IF(AND(ISNUMBER(I261),ISNUMBER(J261),I261&gt;0),J261/(1+N(Ввод!$J$19)/100),""))</f>
        <v/>
      </c>
    </row>
    <row r="262" ht="22" customHeight="1">
      <c r="B262" s="244" t="n"/>
      <c r="C262" s="243" t="n"/>
      <c r="D262" s="244" t="n"/>
      <c r="E262" s="245" t="n"/>
      <c r="F262" s="246" t="n"/>
      <c r="G262" s="183" t="n"/>
      <c r="H262" s="271" t="str">
        <f>IF(AND(ISNUMBER(F262),ISNUMBER(G262)),F262*G262,"")</f>
        <v/>
      </c>
      <c r="I262" s="246" t="n"/>
      <c r="J262" s="183" t="n"/>
      <c r="K262" s="271" t="str">
        <f>IF(AND(ISNUMBER(I262),ISNUMBER(J262)),I262*J262,"")</f>
        <v/>
      </c>
      <c r="L262" s="246" t="str">
        <f>IF(COUNT(F262,I262)=0,"",N(F262)-N(I262))</f>
        <v/>
      </c>
      <c r="M262" s="247" t="str">
        <f>IF(COUNT(H262,K262)=0,"",N(K262)-N(H262))</f>
        <v/>
      </c>
      <c r="N262" s="246" t="str">
        <f>IF(AND(ISNUMBER(F262),ISNUMBER(G262),F262&gt;0,1-N(Ввод!$J$19)/100&gt;0),G262/(1-N(Ввод!$J$19)/100),IF(AND(ISNUMBER(I262),ISNUMBER(J262),I262&gt;0),J262/(1+N(Ввод!$J$19)/100),""))</f>
        <v/>
      </c>
    </row>
    <row r="263" ht="22" customHeight="1">
      <c r="B263" s="238" t="n"/>
      <c r="C263" s="237" t="n"/>
      <c r="D263" s="238" t="n"/>
      <c r="E263" s="239" t="n"/>
      <c r="F263" s="240" t="n"/>
      <c r="G263" s="177" t="n"/>
      <c r="H263" s="271" t="str">
        <f>IF(AND(ISNUMBER(F263),ISNUMBER(G263)),F263*G263,"")</f>
        <v/>
      </c>
      <c r="I263" s="240" t="n"/>
      <c r="J263" s="177" t="n"/>
      <c r="K263" s="271" t="str">
        <f>IF(AND(ISNUMBER(I263),ISNUMBER(J263)),I263*J263,"")</f>
        <v/>
      </c>
      <c r="L263" s="240" t="str">
        <f>IF(COUNT(F263,I263)=0,"",N(F263)-N(I263))</f>
        <v/>
      </c>
      <c r="M263" s="241" t="str">
        <f>IF(COUNT(H263,K263)=0,"",N(K263)-N(H263))</f>
        <v/>
      </c>
      <c r="N263" s="240" t="str">
        <f>IF(AND(ISNUMBER(F263),ISNUMBER(G263),F263&gt;0,1-N(Ввод!$J$19)/100&gt;0),G263/(1-N(Ввод!$J$19)/100),IF(AND(ISNUMBER(I263),ISNUMBER(J263),I263&gt;0),J263/(1+N(Ввод!$J$19)/100),""))</f>
        <v/>
      </c>
    </row>
    <row r="264" ht="22" customHeight="1">
      <c r="B264" s="244" t="n"/>
      <c r="C264" s="243" t="n"/>
      <c r="D264" s="244" t="n"/>
      <c r="E264" s="245" t="n"/>
      <c r="F264" s="246" t="n"/>
      <c r="G264" s="183" t="n"/>
      <c r="H264" s="271" t="str">
        <f>IF(AND(ISNUMBER(F264),ISNUMBER(G264)),F264*G264,"")</f>
        <v/>
      </c>
      <c r="I264" s="246" t="n"/>
      <c r="J264" s="183" t="n"/>
      <c r="K264" s="271" t="str">
        <f>IF(AND(ISNUMBER(I264),ISNUMBER(J264)),I264*J264,"")</f>
        <v/>
      </c>
      <c r="L264" s="246" t="str">
        <f>IF(COUNT(F264,I264)=0,"",N(F264)-N(I264))</f>
        <v/>
      </c>
      <c r="M264" s="247" t="str">
        <f>IF(COUNT(H264,K264)=0,"",N(K264)-N(H264))</f>
        <v/>
      </c>
      <c r="N264" s="246" t="str">
        <f>IF(AND(ISNUMBER(F264),ISNUMBER(G264),F264&gt;0,1-N(Ввод!$J$19)/100&gt;0),G264/(1-N(Ввод!$J$19)/100),IF(AND(ISNUMBER(I264),ISNUMBER(J264),I264&gt;0),J264/(1+N(Ввод!$J$19)/100),""))</f>
        <v/>
      </c>
    </row>
    <row r="265" ht="22" customHeight="1">
      <c r="B265" s="238" t="n"/>
      <c r="C265" s="237" t="n"/>
      <c r="D265" s="238" t="n"/>
      <c r="E265" s="239" t="n"/>
      <c r="F265" s="240" t="n"/>
      <c r="G265" s="177" t="n"/>
      <c r="H265" s="271" t="str">
        <f>IF(AND(ISNUMBER(F265),ISNUMBER(G265)),F265*G265,"")</f>
        <v/>
      </c>
      <c r="I265" s="240" t="n"/>
      <c r="J265" s="177" t="n"/>
      <c r="K265" s="271" t="str">
        <f>IF(AND(ISNUMBER(I265),ISNUMBER(J265)),I265*J265,"")</f>
        <v/>
      </c>
      <c r="L265" s="240" t="str">
        <f>IF(COUNT(F265,I265)=0,"",N(F265)-N(I265))</f>
        <v/>
      </c>
      <c r="M265" s="241" t="str">
        <f>IF(COUNT(H265,K265)=0,"",N(K265)-N(H265))</f>
        <v/>
      </c>
      <c r="N265" s="240" t="str">
        <f>IF(AND(ISNUMBER(F265),ISNUMBER(G265),F265&gt;0,1-N(Ввод!$J$19)/100&gt;0),G265/(1-N(Ввод!$J$19)/100),IF(AND(ISNUMBER(I265),ISNUMBER(J265),I265&gt;0),J265/(1+N(Ввод!$J$19)/100),""))</f>
        <v/>
      </c>
    </row>
    <row r="266" ht="22" customHeight="1">
      <c r="B266" s="244" t="n"/>
      <c r="C266" s="243" t="n"/>
      <c r="D266" s="244" t="n"/>
      <c r="E266" s="245" t="n"/>
      <c r="F266" s="246" t="n"/>
      <c r="G266" s="183" t="n"/>
      <c r="H266" s="271" t="str">
        <f>IF(AND(ISNUMBER(F266),ISNUMBER(G266)),F266*G266,"")</f>
        <v/>
      </c>
      <c r="I266" s="246" t="n"/>
      <c r="J266" s="183" t="n"/>
      <c r="K266" s="271" t="str">
        <f>IF(AND(ISNUMBER(I266),ISNUMBER(J266)),I266*J266,"")</f>
        <v/>
      </c>
      <c r="L266" s="246" t="str">
        <f>IF(COUNT(F266,I266)=0,"",N(F266)-N(I266))</f>
        <v/>
      </c>
      <c r="M266" s="247" t="str">
        <f>IF(COUNT(H266,K266)=0,"",N(K266)-N(H266))</f>
        <v/>
      </c>
      <c r="N266" s="246" t="str">
        <f>IF(AND(ISNUMBER(F266),ISNUMBER(G266),F266&gt;0,1-N(Ввод!$J$19)/100&gt;0),G266/(1-N(Ввод!$J$19)/100),IF(AND(ISNUMBER(I266),ISNUMBER(J266),I266&gt;0),J266/(1+N(Ввод!$J$19)/100),""))</f>
        <v/>
      </c>
    </row>
    <row r="267" ht="22" customHeight="1">
      <c r="B267" s="238" t="n"/>
      <c r="C267" s="237" t="n"/>
      <c r="D267" s="238" t="n"/>
      <c r="E267" s="239" t="n"/>
      <c r="F267" s="240" t="n"/>
      <c r="G267" s="177" t="n"/>
      <c r="H267" s="271" t="str">
        <f>IF(AND(ISNUMBER(F267),ISNUMBER(G267)),F267*G267,"")</f>
        <v/>
      </c>
      <c r="I267" s="240" t="n"/>
      <c r="J267" s="177" t="n"/>
      <c r="K267" s="271" t="str">
        <f>IF(AND(ISNUMBER(I267),ISNUMBER(J267)),I267*J267,"")</f>
        <v/>
      </c>
      <c r="L267" s="240" t="str">
        <f>IF(COUNT(F267,I267)=0,"",N(F267)-N(I267))</f>
        <v/>
      </c>
      <c r="M267" s="241" t="str">
        <f>IF(COUNT(H267,K267)=0,"",N(K267)-N(H267))</f>
        <v/>
      </c>
      <c r="N267" s="240" t="str">
        <f>IF(AND(ISNUMBER(F267),ISNUMBER(G267),F267&gt;0,1-N(Ввод!$J$19)/100&gt;0),G267/(1-N(Ввод!$J$19)/100),IF(AND(ISNUMBER(I267),ISNUMBER(J267),I267&gt;0),J267/(1+N(Ввод!$J$19)/100),""))</f>
        <v/>
      </c>
    </row>
    <row r="268" ht="22" customHeight="1">
      <c r="B268" s="244" t="n"/>
      <c r="C268" s="243" t="n"/>
      <c r="D268" s="244" t="n"/>
      <c r="E268" s="245" t="n"/>
      <c r="F268" s="246" t="n"/>
      <c r="G268" s="183" t="n"/>
      <c r="H268" s="271" t="str">
        <f>IF(AND(ISNUMBER(F268),ISNUMBER(G268)),F268*G268,"")</f>
        <v/>
      </c>
      <c r="I268" s="246" t="n"/>
      <c r="J268" s="183" t="n"/>
      <c r="K268" s="271" t="str">
        <f>IF(AND(ISNUMBER(I268),ISNUMBER(J268)),I268*J268,"")</f>
        <v/>
      </c>
      <c r="L268" s="246" t="str">
        <f>IF(COUNT(F268,I268)=0,"",N(F268)-N(I268))</f>
        <v/>
      </c>
      <c r="M268" s="247" t="str">
        <f>IF(COUNT(H268,K268)=0,"",N(K268)-N(H268))</f>
        <v/>
      </c>
      <c r="N268" s="246" t="str">
        <f>IF(AND(ISNUMBER(F268),ISNUMBER(G268),F268&gt;0,1-N(Ввод!$J$19)/100&gt;0),G268/(1-N(Ввод!$J$19)/100),IF(AND(ISNUMBER(I268),ISNUMBER(J268),I268&gt;0),J268/(1+N(Ввод!$J$19)/100),""))</f>
        <v/>
      </c>
    </row>
    <row r="269" ht="22" customHeight="1">
      <c r="B269" s="238" t="n"/>
      <c r="C269" s="237" t="n"/>
      <c r="D269" s="238" t="n"/>
      <c r="E269" s="239" t="n"/>
      <c r="F269" s="240" t="n"/>
      <c r="G269" s="177" t="n"/>
      <c r="H269" s="271" t="str">
        <f>IF(AND(ISNUMBER(F269),ISNUMBER(G269)),F269*G269,"")</f>
        <v/>
      </c>
      <c r="I269" s="240" t="n"/>
      <c r="J269" s="177" t="n"/>
      <c r="K269" s="271" t="str">
        <f>IF(AND(ISNUMBER(I269),ISNUMBER(J269)),I269*J269,"")</f>
        <v/>
      </c>
      <c r="L269" s="240" t="str">
        <f>IF(COUNT(F269,I269)=0,"",N(F269)-N(I269))</f>
        <v/>
      </c>
      <c r="M269" s="241" t="str">
        <f>IF(COUNT(H269,K269)=0,"",N(K269)-N(H269))</f>
        <v/>
      </c>
      <c r="N269" s="240" t="str">
        <f>IF(AND(ISNUMBER(F269),ISNUMBER(G269),F269&gt;0,1-N(Ввод!$J$19)/100&gt;0),G269/(1-N(Ввод!$J$19)/100),IF(AND(ISNUMBER(I269),ISNUMBER(J269),I269&gt;0),J269/(1+N(Ввод!$J$19)/100),""))</f>
        <v/>
      </c>
    </row>
    <row r="270" ht="22" customHeight="1">
      <c r="B270" s="244" t="n"/>
      <c r="C270" s="243" t="n"/>
      <c r="D270" s="244" t="n"/>
      <c r="E270" s="245" t="n"/>
      <c r="F270" s="246" t="n"/>
      <c r="G270" s="183" t="n"/>
      <c r="H270" s="271" t="str">
        <f>IF(AND(ISNUMBER(F270),ISNUMBER(G270)),F270*G270,"")</f>
        <v/>
      </c>
      <c r="I270" s="246" t="n"/>
      <c r="J270" s="183" t="n"/>
      <c r="K270" s="271" t="str">
        <f>IF(AND(ISNUMBER(I270),ISNUMBER(J270)),I270*J270,"")</f>
        <v/>
      </c>
      <c r="L270" s="246" t="str">
        <f>IF(COUNT(F270,I270)=0,"",N(F270)-N(I270))</f>
        <v/>
      </c>
      <c r="M270" s="247" t="str">
        <f>IF(COUNT(H270,K270)=0,"",N(K270)-N(H270))</f>
        <v/>
      </c>
      <c r="N270" s="246" t="str">
        <f>IF(AND(ISNUMBER(F270),ISNUMBER(G270),F270&gt;0,1-N(Ввод!$J$19)/100&gt;0),G270/(1-N(Ввод!$J$19)/100),IF(AND(ISNUMBER(I270),ISNUMBER(J270),I270&gt;0),J270/(1+N(Ввод!$J$19)/100),""))</f>
        <v/>
      </c>
    </row>
    <row r="271" ht="22" customHeight="1">
      <c r="B271" s="238" t="n"/>
      <c r="C271" s="237" t="n"/>
      <c r="D271" s="238" t="n"/>
      <c r="E271" s="239" t="n"/>
      <c r="F271" s="240" t="n"/>
      <c r="G271" s="177" t="n"/>
      <c r="H271" s="271" t="str">
        <f>IF(AND(ISNUMBER(F271),ISNUMBER(G271)),F271*G271,"")</f>
        <v/>
      </c>
      <c r="I271" s="240" t="n"/>
      <c r="J271" s="177" t="n"/>
      <c r="K271" s="271" t="str">
        <f>IF(AND(ISNUMBER(I271),ISNUMBER(J271)),I271*J271,"")</f>
        <v/>
      </c>
      <c r="L271" s="240" t="str">
        <f>IF(COUNT(F271,I271)=0,"",N(F271)-N(I271))</f>
        <v/>
      </c>
      <c r="M271" s="241" t="str">
        <f>IF(COUNT(H271,K271)=0,"",N(K271)-N(H271))</f>
        <v/>
      </c>
      <c r="N271" s="240" t="str">
        <f>IF(AND(ISNUMBER(F271),ISNUMBER(G271),F271&gt;0,1-N(Ввод!$J$19)/100&gt;0),G271/(1-N(Ввод!$J$19)/100),IF(AND(ISNUMBER(I271),ISNUMBER(J271),I271&gt;0),J271/(1+N(Ввод!$J$19)/100),""))</f>
        <v/>
      </c>
    </row>
    <row r="272" ht="22" customHeight="1">
      <c r="B272" s="244" t="n"/>
      <c r="C272" s="243" t="n"/>
      <c r="D272" s="244" t="n"/>
      <c r="E272" s="245" t="n"/>
      <c r="F272" s="246" t="n"/>
      <c r="G272" s="183" t="n"/>
      <c r="H272" s="271" t="str">
        <f>IF(AND(ISNUMBER(F272),ISNUMBER(G272)),F272*G272,"")</f>
        <v/>
      </c>
      <c r="I272" s="246" t="n"/>
      <c r="J272" s="183" t="n"/>
      <c r="K272" s="271" t="str">
        <f>IF(AND(ISNUMBER(I272),ISNUMBER(J272)),I272*J272,"")</f>
        <v/>
      </c>
      <c r="L272" s="246" t="str">
        <f>IF(COUNT(F272,I272)=0,"",N(F272)-N(I272))</f>
        <v/>
      </c>
      <c r="M272" s="247" t="str">
        <f>IF(COUNT(H272,K272)=0,"",N(K272)-N(H272))</f>
        <v/>
      </c>
      <c r="N272" s="246" t="str">
        <f>IF(AND(ISNUMBER(F272),ISNUMBER(G272),F272&gt;0,1-N(Ввод!$J$19)/100&gt;0),G272/(1-N(Ввод!$J$19)/100),IF(AND(ISNUMBER(I272),ISNUMBER(J272),I272&gt;0),J272/(1+N(Ввод!$J$19)/100),""))</f>
        <v/>
      </c>
    </row>
    <row r="273" ht="22" customHeight="1">
      <c r="B273" s="238" t="n"/>
      <c r="C273" s="237" t="n"/>
      <c r="D273" s="238" t="n"/>
      <c r="E273" s="239" t="n"/>
      <c r="F273" s="240" t="n"/>
      <c r="G273" s="177" t="n"/>
      <c r="H273" s="271" t="str">
        <f>IF(AND(ISNUMBER(F273),ISNUMBER(G273)),F273*G273,"")</f>
        <v/>
      </c>
      <c r="I273" s="240" t="n"/>
      <c r="J273" s="177" t="n"/>
      <c r="K273" s="271" t="str">
        <f>IF(AND(ISNUMBER(I273),ISNUMBER(J273)),I273*J273,"")</f>
        <v/>
      </c>
      <c r="L273" s="240" t="str">
        <f>IF(COUNT(F273,I273)=0,"",N(F273)-N(I273))</f>
        <v/>
      </c>
      <c r="M273" s="241" t="str">
        <f>IF(COUNT(H273,K273)=0,"",N(K273)-N(H273))</f>
        <v/>
      </c>
      <c r="N273" s="240" t="str">
        <f>IF(AND(ISNUMBER(F273),ISNUMBER(G273),F273&gt;0,1-N(Ввод!$J$19)/100&gt;0),G273/(1-N(Ввод!$J$19)/100),IF(AND(ISNUMBER(I273),ISNUMBER(J273),I273&gt;0),J273/(1+N(Ввод!$J$19)/100),""))</f>
        <v/>
      </c>
    </row>
    <row r="274" ht="22" customHeight="1">
      <c r="B274" s="244" t="n"/>
      <c r="C274" s="243" t="n"/>
      <c r="D274" s="244" t="n"/>
      <c r="E274" s="245" t="n"/>
      <c r="F274" s="246" t="n"/>
      <c r="G274" s="183" t="n"/>
      <c r="H274" s="271" t="str">
        <f>IF(AND(ISNUMBER(F274),ISNUMBER(G274)),F274*G274,"")</f>
        <v/>
      </c>
      <c r="I274" s="246" t="n"/>
      <c r="J274" s="183" t="n"/>
      <c r="K274" s="271" t="str">
        <f>IF(AND(ISNUMBER(I274),ISNUMBER(J274)),I274*J274,"")</f>
        <v/>
      </c>
      <c r="L274" s="246" t="str">
        <f>IF(COUNT(F274,I274)=0,"",N(F274)-N(I274))</f>
        <v/>
      </c>
      <c r="M274" s="247" t="str">
        <f>IF(COUNT(H274,K274)=0,"",N(K274)-N(H274))</f>
        <v/>
      </c>
      <c r="N274" s="246" t="str">
        <f>IF(AND(ISNUMBER(F274),ISNUMBER(G274),F274&gt;0,1-N(Ввод!$J$19)/100&gt;0),G274/(1-N(Ввод!$J$19)/100),IF(AND(ISNUMBER(I274),ISNUMBER(J274),I274&gt;0),J274/(1+N(Ввод!$J$19)/100),""))</f>
        <v/>
      </c>
    </row>
    <row r="275" ht="22" customHeight="1">
      <c r="B275" s="238" t="n"/>
      <c r="C275" s="237" t="n"/>
      <c r="D275" s="238" t="n"/>
      <c r="E275" s="239" t="n"/>
      <c r="F275" s="240" t="n"/>
      <c r="G275" s="177" t="n"/>
      <c r="H275" s="271" t="str">
        <f>IF(AND(ISNUMBER(F275),ISNUMBER(G275)),F275*G275,"")</f>
        <v/>
      </c>
      <c r="I275" s="240" t="n"/>
      <c r="J275" s="177" t="n"/>
      <c r="K275" s="271" t="str">
        <f>IF(AND(ISNUMBER(I275),ISNUMBER(J275)),I275*J275,"")</f>
        <v/>
      </c>
      <c r="L275" s="240" t="str">
        <f>IF(COUNT(F275,I275)=0,"",N(F275)-N(I275))</f>
        <v/>
      </c>
      <c r="M275" s="241" t="str">
        <f>IF(COUNT(H275,K275)=0,"",N(K275)-N(H275))</f>
        <v/>
      </c>
      <c r="N275" s="240" t="str">
        <f>IF(AND(ISNUMBER(F275),ISNUMBER(G275),F275&gt;0,1-N(Ввод!$J$19)/100&gt;0),G275/(1-N(Ввод!$J$19)/100),IF(AND(ISNUMBER(I275),ISNUMBER(J275),I275&gt;0),J275/(1+N(Ввод!$J$19)/100),""))</f>
        <v/>
      </c>
    </row>
    <row r="276" ht="22" customHeight="1">
      <c r="B276" s="244" t="n"/>
      <c r="C276" s="243" t="n"/>
      <c r="D276" s="244" t="n"/>
      <c r="E276" s="245" t="n"/>
      <c r="F276" s="246" t="n"/>
      <c r="G276" s="183" t="n"/>
      <c r="H276" s="271" t="str">
        <f>IF(AND(ISNUMBER(F276),ISNUMBER(G276)),F276*G276,"")</f>
        <v/>
      </c>
      <c r="I276" s="246" t="n"/>
      <c r="J276" s="183" t="n"/>
      <c r="K276" s="271" t="str">
        <f>IF(AND(ISNUMBER(I276),ISNUMBER(J276)),I276*J276,"")</f>
        <v/>
      </c>
      <c r="L276" s="246" t="str">
        <f>IF(COUNT(F276,I276)=0,"",N(F276)-N(I276))</f>
        <v/>
      </c>
      <c r="M276" s="247" t="str">
        <f>IF(COUNT(H276,K276)=0,"",N(K276)-N(H276))</f>
        <v/>
      </c>
      <c r="N276" s="246" t="str">
        <f>IF(AND(ISNUMBER(F276),ISNUMBER(G276),F276&gt;0,1-N(Ввод!$J$19)/100&gt;0),G276/(1-N(Ввод!$J$19)/100),IF(AND(ISNUMBER(I276),ISNUMBER(J276),I276&gt;0),J276/(1+N(Ввод!$J$19)/100),""))</f>
        <v/>
      </c>
    </row>
    <row r="277" ht="22" customHeight="1">
      <c r="B277" s="238" t="n"/>
      <c r="C277" s="237" t="n"/>
      <c r="D277" s="238" t="n"/>
      <c r="E277" s="239" t="n"/>
      <c r="F277" s="240" t="n"/>
      <c r="G277" s="177" t="n"/>
      <c r="H277" s="271" t="str">
        <f>IF(AND(ISNUMBER(F277),ISNUMBER(G277)),F277*G277,"")</f>
        <v/>
      </c>
      <c r="I277" s="240" t="n"/>
      <c r="J277" s="177" t="n"/>
      <c r="K277" s="271" t="str">
        <f>IF(AND(ISNUMBER(I277),ISNUMBER(J277)),I277*J277,"")</f>
        <v/>
      </c>
      <c r="L277" s="240" t="str">
        <f>IF(COUNT(F277,I277)=0,"",N(F277)-N(I277))</f>
        <v/>
      </c>
      <c r="M277" s="241" t="str">
        <f>IF(COUNT(H277,K277)=0,"",N(K277)-N(H277))</f>
        <v/>
      </c>
      <c r="N277" s="240" t="str">
        <f>IF(AND(ISNUMBER(F277),ISNUMBER(G277),F277&gt;0,1-N(Ввод!$J$19)/100&gt;0),G277/(1-N(Ввод!$J$19)/100),IF(AND(ISNUMBER(I277),ISNUMBER(J277),I277&gt;0),J277/(1+N(Ввод!$J$19)/100),""))</f>
        <v/>
      </c>
    </row>
    <row r="278" ht="22" customHeight="1">
      <c r="B278" s="244" t="n"/>
      <c r="C278" s="243" t="n"/>
      <c r="D278" s="244" t="n"/>
      <c r="E278" s="245" t="n"/>
      <c r="F278" s="246" t="n"/>
      <c r="G278" s="183" t="n"/>
      <c r="H278" s="271" t="str">
        <f>IF(AND(ISNUMBER(F278),ISNUMBER(G278)),F278*G278,"")</f>
        <v/>
      </c>
      <c r="I278" s="246" t="n"/>
      <c r="J278" s="183" t="n"/>
      <c r="K278" s="271" t="str">
        <f>IF(AND(ISNUMBER(I278),ISNUMBER(J278)),I278*J278,"")</f>
        <v/>
      </c>
      <c r="L278" s="246" t="str">
        <f>IF(COUNT(F278,I278)=0,"",N(F278)-N(I278))</f>
        <v/>
      </c>
      <c r="M278" s="247" t="str">
        <f>IF(COUNT(H278,K278)=0,"",N(K278)-N(H278))</f>
        <v/>
      </c>
      <c r="N278" s="246" t="str">
        <f>IF(AND(ISNUMBER(F278),ISNUMBER(G278),F278&gt;0,1-N(Ввод!$J$19)/100&gt;0),G278/(1-N(Ввод!$J$19)/100),IF(AND(ISNUMBER(I278),ISNUMBER(J278),I278&gt;0),J278/(1+N(Ввод!$J$19)/100),""))</f>
        <v/>
      </c>
    </row>
    <row r="279" ht="22" customHeight="1">
      <c r="B279" s="238" t="n"/>
      <c r="C279" s="237" t="n"/>
      <c r="D279" s="238" t="n"/>
      <c r="E279" s="239" t="n"/>
      <c r="F279" s="240" t="n"/>
      <c r="G279" s="177" t="n"/>
      <c r="H279" s="271" t="str">
        <f>IF(AND(ISNUMBER(F279),ISNUMBER(G279)),F279*G279,"")</f>
        <v/>
      </c>
      <c r="I279" s="240" t="n"/>
      <c r="J279" s="177" t="n"/>
      <c r="K279" s="271" t="str">
        <f>IF(AND(ISNUMBER(I279),ISNUMBER(J279)),I279*J279,"")</f>
        <v/>
      </c>
      <c r="L279" s="240" t="str">
        <f>IF(COUNT(F279,I279)=0,"",N(F279)-N(I279))</f>
        <v/>
      </c>
      <c r="M279" s="241" t="str">
        <f>IF(COUNT(H279,K279)=0,"",N(K279)-N(H279))</f>
        <v/>
      </c>
      <c r="N279" s="240" t="str">
        <f>IF(AND(ISNUMBER(F279),ISNUMBER(G279),F279&gt;0,1-N(Ввод!$J$19)/100&gt;0),G279/(1-N(Ввод!$J$19)/100),IF(AND(ISNUMBER(I279),ISNUMBER(J279),I279&gt;0),J279/(1+N(Ввод!$J$19)/100),""))</f>
        <v/>
      </c>
    </row>
    <row r="280" ht="22" customHeight="1">
      <c r="B280" s="244" t="n"/>
      <c r="C280" s="243" t="n"/>
      <c r="D280" s="244" t="n"/>
      <c r="E280" s="245" t="n"/>
      <c r="F280" s="246" t="n"/>
      <c r="G280" s="183" t="n"/>
      <c r="H280" s="271" t="str">
        <f>IF(AND(ISNUMBER(F280),ISNUMBER(G280)),F280*G280,"")</f>
        <v/>
      </c>
      <c r="I280" s="246" t="n"/>
      <c r="J280" s="183" t="n"/>
      <c r="K280" s="271" t="str">
        <f>IF(AND(ISNUMBER(I280),ISNUMBER(J280)),I280*J280,"")</f>
        <v/>
      </c>
      <c r="L280" s="246" t="str">
        <f>IF(COUNT(F280,I280)=0,"",N(F280)-N(I280))</f>
        <v/>
      </c>
      <c r="M280" s="247" t="str">
        <f>IF(COUNT(H280,K280)=0,"",N(K280)-N(H280))</f>
        <v/>
      </c>
      <c r="N280" s="246" t="str">
        <f>IF(AND(ISNUMBER(F280),ISNUMBER(G280),F280&gt;0,1-N(Ввод!$J$19)/100&gt;0),G280/(1-N(Ввод!$J$19)/100),IF(AND(ISNUMBER(I280),ISNUMBER(J280),I280&gt;0),J280/(1+N(Ввод!$J$19)/100),""))</f>
        <v/>
      </c>
    </row>
    <row r="281" ht="22" customHeight="1">
      <c r="B281" s="238" t="n"/>
      <c r="C281" s="237" t="n"/>
      <c r="D281" s="238" t="n"/>
      <c r="E281" s="239" t="n"/>
      <c r="F281" s="240" t="n"/>
      <c r="G281" s="177" t="n"/>
      <c r="H281" s="271" t="str">
        <f>IF(AND(ISNUMBER(F281),ISNUMBER(G281)),F281*G281,"")</f>
        <v/>
      </c>
      <c r="I281" s="240" t="n"/>
      <c r="J281" s="177" t="n"/>
      <c r="K281" s="271" t="str">
        <f>IF(AND(ISNUMBER(I281),ISNUMBER(J281)),I281*J281,"")</f>
        <v/>
      </c>
      <c r="L281" s="240" t="str">
        <f>IF(COUNT(F281,I281)=0,"",N(F281)-N(I281))</f>
        <v/>
      </c>
      <c r="M281" s="241" t="str">
        <f>IF(COUNT(H281,K281)=0,"",N(K281)-N(H281))</f>
        <v/>
      </c>
      <c r="N281" s="240" t="str">
        <f>IF(AND(ISNUMBER(F281),ISNUMBER(G281),F281&gt;0,1-N(Ввод!$J$19)/100&gt;0),G281/(1-N(Ввод!$J$19)/100),IF(AND(ISNUMBER(I281),ISNUMBER(J281),I281&gt;0),J281/(1+N(Ввод!$J$19)/100),""))</f>
        <v/>
      </c>
    </row>
    <row r="282" ht="22" customHeight="1">
      <c r="B282" s="244" t="n"/>
      <c r="C282" s="243" t="n"/>
      <c r="D282" s="244" t="n"/>
      <c r="E282" s="245" t="n"/>
      <c r="F282" s="246" t="n"/>
      <c r="G282" s="183" t="n"/>
      <c r="H282" s="271" t="str">
        <f>IF(AND(ISNUMBER(F282),ISNUMBER(G282)),F282*G282,"")</f>
        <v/>
      </c>
      <c r="I282" s="246" t="n"/>
      <c r="J282" s="183" t="n"/>
      <c r="K282" s="271" t="str">
        <f>IF(AND(ISNUMBER(I282),ISNUMBER(J282)),I282*J282,"")</f>
        <v/>
      </c>
      <c r="L282" s="246" t="str">
        <f>IF(COUNT(F282,I282)=0,"",N(F282)-N(I282))</f>
        <v/>
      </c>
      <c r="M282" s="247" t="str">
        <f>IF(COUNT(H282,K282)=0,"",N(K282)-N(H282))</f>
        <v/>
      </c>
      <c r="N282" s="246" t="str">
        <f>IF(AND(ISNUMBER(F282),ISNUMBER(G282),F282&gt;0,1-N(Ввод!$J$19)/100&gt;0),G282/(1-N(Ввод!$J$19)/100),IF(AND(ISNUMBER(I282),ISNUMBER(J282),I282&gt;0),J282/(1+N(Ввод!$J$19)/100),""))</f>
        <v/>
      </c>
    </row>
    <row r="283" ht="22" customHeight="1">
      <c r="B283" s="238" t="n"/>
      <c r="C283" s="237" t="n"/>
      <c r="D283" s="238" t="n"/>
      <c r="E283" s="239" t="n"/>
      <c r="F283" s="240" t="n"/>
      <c r="G283" s="177" t="n"/>
      <c r="H283" s="271" t="str">
        <f>IF(AND(ISNUMBER(F283),ISNUMBER(G283)),F283*G283,"")</f>
        <v/>
      </c>
      <c r="I283" s="240" t="n"/>
      <c r="J283" s="177" t="n"/>
      <c r="K283" s="271" t="str">
        <f>IF(AND(ISNUMBER(I283),ISNUMBER(J283)),I283*J283,"")</f>
        <v/>
      </c>
      <c r="L283" s="240" t="str">
        <f>IF(COUNT(F283,I283)=0,"",N(F283)-N(I283))</f>
        <v/>
      </c>
      <c r="M283" s="241" t="str">
        <f>IF(COUNT(H283,K283)=0,"",N(K283)-N(H283))</f>
        <v/>
      </c>
      <c r="N283" s="240" t="str">
        <f>IF(AND(ISNUMBER(F283),ISNUMBER(G283),F283&gt;0,1-N(Ввод!$J$19)/100&gt;0),G283/(1-N(Ввод!$J$19)/100),IF(AND(ISNUMBER(I283),ISNUMBER(J283),I283&gt;0),J283/(1+N(Ввод!$J$19)/100),""))</f>
        <v/>
      </c>
    </row>
    <row r="284" ht="22" customHeight="1">
      <c r="B284" s="244" t="n"/>
      <c r="C284" s="243" t="n"/>
      <c r="D284" s="244" t="n"/>
      <c r="E284" s="245" t="n"/>
      <c r="F284" s="246" t="n"/>
      <c r="G284" s="183" t="n"/>
      <c r="H284" s="271" t="str">
        <f>IF(AND(ISNUMBER(F284),ISNUMBER(G284)),F284*G284,"")</f>
        <v/>
      </c>
      <c r="I284" s="246" t="n"/>
      <c r="J284" s="183" t="n"/>
      <c r="K284" s="271" t="str">
        <f>IF(AND(ISNUMBER(I284),ISNUMBER(J284)),I284*J284,"")</f>
        <v/>
      </c>
      <c r="L284" s="246" t="str">
        <f>IF(COUNT(F284,I284)=0,"",N(F284)-N(I284))</f>
        <v/>
      </c>
      <c r="M284" s="247" t="str">
        <f>IF(COUNT(H284,K284)=0,"",N(K284)-N(H284))</f>
        <v/>
      </c>
      <c r="N284" s="246" t="str">
        <f>IF(AND(ISNUMBER(F284),ISNUMBER(G284),F284&gt;0,1-N(Ввод!$J$19)/100&gt;0),G284/(1-N(Ввод!$J$19)/100),IF(AND(ISNUMBER(I284),ISNUMBER(J284),I284&gt;0),J284/(1+N(Ввод!$J$19)/100),""))</f>
        <v/>
      </c>
    </row>
    <row r="285" ht="22" customHeight="1">
      <c r="B285" s="238" t="n"/>
      <c r="C285" s="237" t="n"/>
      <c r="D285" s="238" t="n"/>
      <c r="E285" s="239" t="n"/>
      <c r="F285" s="240" t="n"/>
      <c r="G285" s="177" t="n"/>
      <c r="H285" s="271" t="str">
        <f>IF(AND(ISNUMBER(F285),ISNUMBER(G285)),F285*G285,"")</f>
        <v/>
      </c>
      <c r="I285" s="240" t="n"/>
      <c r="J285" s="177" t="n"/>
      <c r="K285" s="271" t="str">
        <f>IF(AND(ISNUMBER(I285),ISNUMBER(J285)),I285*J285,"")</f>
        <v/>
      </c>
      <c r="L285" s="240" t="str">
        <f>IF(COUNT(F285,I285)=0,"",N(F285)-N(I285))</f>
        <v/>
      </c>
      <c r="M285" s="241" t="str">
        <f>IF(COUNT(H285,K285)=0,"",N(K285)-N(H285))</f>
        <v/>
      </c>
      <c r="N285" s="240" t="str">
        <f>IF(AND(ISNUMBER(F285),ISNUMBER(G285),F285&gt;0,1-N(Ввод!$J$19)/100&gt;0),G285/(1-N(Ввод!$J$19)/100),IF(AND(ISNUMBER(I285),ISNUMBER(J285),I285&gt;0),J285/(1+N(Ввод!$J$19)/100),""))</f>
        <v/>
      </c>
    </row>
    <row r="286" ht="22" customHeight="1">
      <c r="B286" s="244" t="n"/>
      <c r="C286" s="243" t="n"/>
      <c r="D286" s="244" t="n"/>
      <c r="E286" s="245" t="n"/>
      <c r="F286" s="246" t="n"/>
      <c r="G286" s="183" t="n"/>
      <c r="H286" s="271" t="str">
        <f>IF(AND(ISNUMBER(F286),ISNUMBER(G286)),F286*G286,"")</f>
        <v/>
      </c>
      <c r="I286" s="246" t="n"/>
      <c r="J286" s="183" t="n"/>
      <c r="K286" s="271" t="str">
        <f>IF(AND(ISNUMBER(I286),ISNUMBER(J286)),I286*J286,"")</f>
        <v/>
      </c>
      <c r="L286" s="246" t="str">
        <f>IF(COUNT(F286,I286)=0,"",N(F286)-N(I286))</f>
        <v/>
      </c>
      <c r="M286" s="247" t="str">
        <f>IF(COUNT(H286,K286)=0,"",N(K286)-N(H286))</f>
        <v/>
      </c>
      <c r="N286" s="246" t="str">
        <f>IF(AND(ISNUMBER(F286),ISNUMBER(G286),F286&gt;0,1-N(Ввод!$J$19)/100&gt;0),G286/(1-N(Ввод!$J$19)/100),IF(AND(ISNUMBER(I286),ISNUMBER(J286),I286&gt;0),J286/(1+N(Ввод!$J$19)/100),""))</f>
        <v/>
      </c>
    </row>
    <row r="287" ht="22" customHeight="1">
      <c r="B287" s="238" t="n"/>
      <c r="C287" s="237" t="n"/>
      <c r="D287" s="238" t="n"/>
      <c r="E287" s="239" t="n"/>
      <c r="F287" s="240" t="n"/>
      <c r="G287" s="177" t="n"/>
      <c r="H287" s="271" t="str">
        <f>IF(AND(ISNUMBER(F287),ISNUMBER(G287)),F287*G287,"")</f>
        <v/>
      </c>
      <c r="I287" s="240" t="n"/>
      <c r="J287" s="177" t="n"/>
      <c r="K287" s="271" t="str">
        <f>IF(AND(ISNUMBER(I287),ISNUMBER(J287)),I287*J287,"")</f>
        <v/>
      </c>
      <c r="L287" s="240" t="str">
        <f>IF(COUNT(F287,I287)=0,"",N(F287)-N(I287))</f>
        <v/>
      </c>
      <c r="M287" s="241" t="str">
        <f>IF(COUNT(H287,K287)=0,"",N(K287)-N(H287))</f>
        <v/>
      </c>
      <c r="N287" s="240" t="str">
        <f>IF(AND(ISNUMBER(F287),ISNUMBER(G287),F287&gt;0,1-N(Ввод!$J$19)/100&gt;0),G287/(1-N(Ввод!$J$19)/100),IF(AND(ISNUMBER(I287),ISNUMBER(J287),I287&gt;0),J287/(1+N(Ввод!$J$19)/100),""))</f>
        <v/>
      </c>
    </row>
    <row r="288" ht="22" customHeight="1">
      <c r="B288" s="244" t="n"/>
      <c r="C288" s="243" t="n"/>
      <c r="D288" s="244" t="n"/>
      <c r="E288" s="245" t="n"/>
      <c r="F288" s="246" t="n"/>
      <c r="G288" s="183" t="n"/>
      <c r="H288" s="271" t="str">
        <f>IF(AND(ISNUMBER(F288),ISNUMBER(G288)),F288*G288,"")</f>
        <v/>
      </c>
      <c r="I288" s="246" t="n"/>
      <c r="J288" s="183" t="n"/>
      <c r="K288" s="271" t="str">
        <f>IF(AND(ISNUMBER(I288),ISNUMBER(J288)),I288*J288,"")</f>
        <v/>
      </c>
      <c r="L288" s="246" t="str">
        <f>IF(COUNT(F288,I288)=0,"",N(F288)-N(I288))</f>
        <v/>
      </c>
      <c r="M288" s="247" t="str">
        <f>IF(COUNT(H288,K288)=0,"",N(K288)-N(H288))</f>
        <v/>
      </c>
      <c r="N288" s="246" t="str">
        <f>IF(AND(ISNUMBER(F288),ISNUMBER(G288),F288&gt;0,1-N(Ввод!$J$19)/100&gt;0),G288/(1-N(Ввод!$J$19)/100),IF(AND(ISNUMBER(I288),ISNUMBER(J288),I288&gt;0),J288/(1+N(Ввод!$J$19)/100),""))</f>
        <v/>
      </c>
    </row>
    <row r="289" ht="22" customHeight="1">
      <c r="B289" s="238" t="n"/>
      <c r="C289" s="237" t="n"/>
      <c r="D289" s="238" t="n"/>
      <c r="E289" s="239" t="n"/>
      <c r="F289" s="240" t="n"/>
      <c r="G289" s="177" t="n"/>
      <c r="H289" s="271" t="str">
        <f>IF(AND(ISNUMBER(F289),ISNUMBER(G289)),F289*G289,"")</f>
        <v/>
      </c>
      <c r="I289" s="240" t="n"/>
      <c r="J289" s="177" t="n"/>
      <c r="K289" s="271" t="str">
        <f>IF(AND(ISNUMBER(I289),ISNUMBER(J289)),I289*J289,"")</f>
        <v/>
      </c>
      <c r="L289" s="240" t="str">
        <f>IF(COUNT(F289,I289)=0,"",N(F289)-N(I289))</f>
        <v/>
      </c>
      <c r="M289" s="241" t="str">
        <f>IF(COUNT(H289,K289)=0,"",N(K289)-N(H289))</f>
        <v/>
      </c>
      <c r="N289" s="240" t="str">
        <f>IF(AND(ISNUMBER(F289),ISNUMBER(G289),F289&gt;0,1-N(Ввод!$J$19)/100&gt;0),G289/(1-N(Ввод!$J$19)/100),IF(AND(ISNUMBER(I289),ISNUMBER(J289),I289&gt;0),J289/(1+N(Ввод!$J$19)/100),""))</f>
        <v/>
      </c>
    </row>
    <row r="290" ht="22" customHeight="1">
      <c r="B290" s="244" t="n"/>
      <c r="C290" s="243" t="n"/>
      <c r="D290" s="244" t="n"/>
      <c r="E290" s="245" t="n"/>
      <c r="F290" s="246" t="n"/>
      <c r="G290" s="183" t="n"/>
      <c r="H290" s="271" t="str">
        <f>IF(AND(ISNUMBER(F290),ISNUMBER(G290)),F290*G290,"")</f>
        <v/>
      </c>
      <c r="I290" s="246" t="n"/>
      <c r="J290" s="183" t="n"/>
      <c r="K290" s="271" t="str">
        <f>IF(AND(ISNUMBER(I290),ISNUMBER(J290)),I290*J290,"")</f>
        <v/>
      </c>
      <c r="L290" s="246" t="str">
        <f>IF(COUNT(F290,I290)=0,"",N(F290)-N(I290))</f>
        <v/>
      </c>
      <c r="M290" s="247" t="str">
        <f>IF(COUNT(H290,K290)=0,"",N(K290)-N(H290))</f>
        <v/>
      </c>
      <c r="N290" s="246" t="str">
        <f>IF(AND(ISNUMBER(F290),ISNUMBER(G290),F290&gt;0,1-N(Ввод!$J$19)/100&gt;0),G290/(1-N(Ввод!$J$19)/100),IF(AND(ISNUMBER(I290),ISNUMBER(J290),I290&gt;0),J290/(1+N(Ввод!$J$19)/100),""))</f>
        <v/>
      </c>
    </row>
    <row r="291" ht="22" customHeight="1">
      <c r="B291" s="238" t="n"/>
      <c r="C291" s="237" t="n"/>
      <c r="D291" s="238" t="n"/>
      <c r="E291" s="239" t="n"/>
      <c r="F291" s="240" t="n"/>
      <c r="G291" s="177" t="n"/>
      <c r="H291" s="271" t="str">
        <f>IF(AND(ISNUMBER(F291),ISNUMBER(G291)),F291*G291,"")</f>
        <v/>
      </c>
      <c r="I291" s="240" t="n"/>
      <c r="J291" s="177" t="n"/>
      <c r="K291" s="271" t="str">
        <f>IF(AND(ISNUMBER(I291),ISNUMBER(J291)),I291*J291,"")</f>
        <v/>
      </c>
      <c r="L291" s="240" t="str">
        <f>IF(COUNT(F291,I291)=0,"",N(F291)-N(I291))</f>
        <v/>
      </c>
      <c r="M291" s="241" t="str">
        <f>IF(COUNT(H291,K291)=0,"",N(K291)-N(H291))</f>
        <v/>
      </c>
      <c r="N291" s="240" t="str">
        <f>IF(AND(ISNUMBER(F291),ISNUMBER(G291),F291&gt;0,1-N(Ввод!$J$19)/100&gt;0),G291/(1-N(Ввод!$J$19)/100),IF(AND(ISNUMBER(I291),ISNUMBER(J291),I291&gt;0),J291/(1+N(Ввод!$J$19)/100),""))</f>
        <v/>
      </c>
    </row>
    <row r="292" ht="22" customHeight="1">
      <c r="B292" s="244" t="n"/>
      <c r="C292" s="243" t="n"/>
      <c r="D292" s="244" t="n"/>
      <c r="E292" s="245" t="n"/>
      <c r="F292" s="246" t="n"/>
      <c r="G292" s="183" t="n"/>
      <c r="H292" s="271" t="str">
        <f>IF(AND(ISNUMBER(F292),ISNUMBER(G292)),F292*G292,"")</f>
        <v/>
      </c>
      <c r="I292" s="246" t="n"/>
      <c r="J292" s="183" t="n"/>
      <c r="K292" s="271" t="str">
        <f>IF(AND(ISNUMBER(I292),ISNUMBER(J292)),I292*J292,"")</f>
        <v/>
      </c>
      <c r="L292" s="246" t="str">
        <f>IF(COUNT(F292,I292)=0,"",N(F292)-N(I292))</f>
        <v/>
      </c>
      <c r="M292" s="247" t="str">
        <f>IF(COUNT(H292,K292)=0,"",N(K292)-N(H292))</f>
        <v/>
      </c>
      <c r="N292" s="246" t="str">
        <f>IF(AND(ISNUMBER(F292),ISNUMBER(G292),F292&gt;0,1-N(Ввод!$J$19)/100&gt;0),G292/(1-N(Ввод!$J$19)/100),IF(AND(ISNUMBER(I292),ISNUMBER(J292),I292&gt;0),J292/(1+N(Ввод!$J$19)/100),""))</f>
        <v/>
      </c>
    </row>
    <row r="293" ht="22" customHeight="1">
      <c r="B293" s="238" t="n"/>
      <c r="C293" s="237" t="n"/>
      <c r="D293" s="238" t="n"/>
      <c r="E293" s="239" t="n"/>
      <c r="F293" s="240" t="n"/>
      <c r="G293" s="177" t="n"/>
      <c r="H293" s="271" t="str">
        <f>IF(AND(ISNUMBER(F293),ISNUMBER(G293)),F293*G293,"")</f>
        <v/>
      </c>
      <c r="I293" s="240" t="n"/>
      <c r="J293" s="177" t="n"/>
      <c r="K293" s="271" t="str">
        <f>IF(AND(ISNUMBER(I293),ISNUMBER(J293)),I293*J293,"")</f>
        <v/>
      </c>
      <c r="L293" s="240" t="str">
        <f>IF(COUNT(F293,I293)=0,"",N(F293)-N(I293))</f>
        <v/>
      </c>
      <c r="M293" s="241" t="str">
        <f>IF(COUNT(H293,K293)=0,"",N(K293)-N(H293))</f>
        <v/>
      </c>
      <c r="N293" s="240" t="str">
        <f>IF(AND(ISNUMBER(F293),ISNUMBER(G293),F293&gt;0,1-N(Ввод!$J$19)/100&gt;0),G293/(1-N(Ввод!$J$19)/100),IF(AND(ISNUMBER(I293),ISNUMBER(J293),I293&gt;0),J293/(1+N(Ввод!$J$19)/100),""))</f>
        <v/>
      </c>
    </row>
    <row r="294" ht="22" customHeight="1">
      <c r="B294" s="244" t="n"/>
      <c r="C294" s="243" t="n"/>
      <c r="D294" s="244" t="n"/>
      <c r="E294" s="245" t="n"/>
      <c r="F294" s="246" t="n"/>
      <c r="G294" s="183" t="n"/>
      <c r="H294" s="271" t="str">
        <f>IF(AND(ISNUMBER(F294),ISNUMBER(G294)),F294*G294,"")</f>
        <v/>
      </c>
      <c r="I294" s="246" t="n"/>
      <c r="J294" s="183" t="n"/>
      <c r="K294" s="271" t="str">
        <f>IF(AND(ISNUMBER(I294),ISNUMBER(J294)),I294*J294,"")</f>
        <v/>
      </c>
      <c r="L294" s="246" t="str">
        <f>IF(COUNT(F294,I294)=0,"",N(F294)-N(I294))</f>
        <v/>
      </c>
      <c r="M294" s="247" t="str">
        <f>IF(COUNT(H294,K294)=0,"",N(K294)-N(H294))</f>
        <v/>
      </c>
      <c r="N294" s="246" t="str">
        <f>IF(AND(ISNUMBER(F294),ISNUMBER(G294),F294&gt;0,1-N(Ввод!$J$19)/100&gt;0),G294/(1-N(Ввод!$J$19)/100),IF(AND(ISNUMBER(I294),ISNUMBER(J294),I294&gt;0),J294/(1+N(Ввод!$J$19)/100),""))</f>
        <v/>
      </c>
    </row>
    <row r="295" ht="22" customHeight="1">
      <c r="B295" s="238" t="n"/>
      <c r="C295" s="237" t="n"/>
      <c r="D295" s="238" t="n"/>
      <c r="E295" s="239" t="n"/>
      <c r="F295" s="240" t="n"/>
      <c r="G295" s="177" t="n"/>
      <c r="H295" s="271" t="str">
        <f>IF(AND(ISNUMBER(F295),ISNUMBER(G295)),F295*G295,"")</f>
        <v/>
      </c>
      <c r="I295" s="240" t="n"/>
      <c r="J295" s="177" t="n"/>
      <c r="K295" s="271" t="str">
        <f>IF(AND(ISNUMBER(I295),ISNUMBER(J295)),I295*J295,"")</f>
        <v/>
      </c>
      <c r="L295" s="240" t="str">
        <f>IF(COUNT(F295,I295)=0,"",N(F295)-N(I295))</f>
        <v/>
      </c>
      <c r="M295" s="241" t="str">
        <f>IF(COUNT(H295,K295)=0,"",N(K295)-N(H295))</f>
        <v/>
      </c>
      <c r="N295" s="240" t="str">
        <f>IF(AND(ISNUMBER(F295),ISNUMBER(G295),F295&gt;0,1-N(Ввод!$J$19)/100&gt;0),G295/(1-N(Ввод!$J$19)/100),IF(AND(ISNUMBER(I295),ISNUMBER(J295),I295&gt;0),J295/(1+N(Ввод!$J$19)/100),""))</f>
        <v/>
      </c>
    </row>
    <row r="296" ht="22" customHeight="1">
      <c r="B296" s="244" t="n"/>
      <c r="C296" s="243" t="n"/>
      <c r="D296" s="244" t="n"/>
      <c r="E296" s="245" t="n"/>
      <c r="F296" s="246" t="n"/>
      <c r="G296" s="183" t="n"/>
      <c r="H296" s="271" t="str">
        <f>IF(AND(ISNUMBER(F296),ISNUMBER(G296)),F296*G296,"")</f>
        <v/>
      </c>
      <c r="I296" s="246" t="n"/>
      <c r="J296" s="183" t="n"/>
      <c r="K296" s="271" t="str">
        <f>IF(AND(ISNUMBER(I296),ISNUMBER(J296)),I296*J296,"")</f>
        <v/>
      </c>
      <c r="L296" s="246" t="str">
        <f>IF(COUNT(F296,I296)=0,"",N(F296)-N(I296))</f>
        <v/>
      </c>
      <c r="M296" s="247" t="str">
        <f>IF(COUNT(H296,K296)=0,"",N(K296)-N(H296))</f>
        <v/>
      </c>
      <c r="N296" s="246" t="str">
        <f>IF(AND(ISNUMBER(F296),ISNUMBER(G296),F296&gt;0,1-N(Ввод!$J$19)/100&gt;0),G296/(1-N(Ввод!$J$19)/100),IF(AND(ISNUMBER(I296),ISNUMBER(J296),I296&gt;0),J296/(1+N(Ввод!$J$19)/100),""))</f>
        <v/>
      </c>
    </row>
    <row r="297" ht="22" customHeight="1">
      <c r="B297" s="238" t="n"/>
      <c r="C297" s="237" t="n"/>
      <c r="D297" s="238" t="n"/>
      <c r="E297" s="239" t="n"/>
      <c r="F297" s="240" t="n"/>
      <c r="G297" s="177" t="n"/>
      <c r="H297" s="271" t="str">
        <f>IF(AND(ISNUMBER(F297),ISNUMBER(G297)),F297*G297,"")</f>
        <v/>
      </c>
      <c r="I297" s="240" t="n"/>
      <c r="J297" s="177" t="n"/>
      <c r="K297" s="271" t="str">
        <f>IF(AND(ISNUMBER(I297),ISNUMBER(J297)),I297*J297,"")</f>
        <v/>
      </c>
      <c r="L297" s="240" t="str">
        <f>IF(COUNT(F297,I297)=0,"",N(F297)-N(I297))</f>
        <v/>
      </c>
      <c r="M297" s="241" t="str">
        <f>IF(COUNT(H297,K297)=0,"",N(K297)-N(H297))</f>
        <v/>
      </c>
      <c r="N297" s="240" t="str">
        <f>IF(AND(ISNUMBER(F297),ISNUMBER(G297),F297&gt;0,1-N(Ввод!$J$19)/100&gt;0),G297/(1-N(Ввод!$J$19)/100),IF(AND(ISNUMBER(I297),ISNUMBER(J297),I297&gt;0),J297/(1+N(Ввод!$J$19)/100),""))</f>
        <v/>
      </c>
    </row>
    <row r="298" ht="22" customHeight="1">
      <c r="B298" s="244" t="n"/>
      <c r="C298" s="243" t="n"/>
      <c r="D298" s="244" t="n"/>
      <c r="E298" s="245" t="n"/>
      <c r="F298" s="246" t="n"/>
      <c r="G298" s="183" t="n"/>
      <c r="H298" s="271" t="str">
        <f>IF(AND(ISNUMBER(F298),ISNUMBER(G298)),F298*G298,"")</f>
        <v/>
      </c>
      <c r="I298" s="246" t="n"/>
      <c r="J298" s="183" t="n"/>
      <c r="K298" s="271" t="str">
        <f>IF(AND(ISNUMBER(I298),ISNUMBER(J298)),I298*J298,"")</f>
        <v/>
      </c>
      <c r="L298" s="246" t="str">
        <f>IF(COUNT(F298,I298)=0,"",N(F298)-N(I298))</f>
        <v/>
      </c>
      <c r="M298" s="247" t="str">
        <f>IF(COUNT(H298,K298)=0,"",N(K298)-N(H298))</f>
        <v/>
      </c>
      <c r="N298" s="246" t="str">
        <f>IF(AND(ISNUMBER(F298),ISNUMBER(G298),F298&gt;0,1-N(Ввод!$J$19)/100&gt;0),G298/(1-N(Ввод!$J$19)/100),IF(AND(ISNUMBER(I298),ISNUMBER(J298),I298&gt;0),J298/(1+N(Ввод!$J$19)/100),""))</f>
        <v/>
      </c>
    </row>
    <row r="299" ht="22" customHeight="1">
      <c r="B299" s="238" t="n"/>
      <c r="C299" s="237" t="n"/>
      <c r="D299" s="238" t="n"/>
      <c r="E299" s="239" t="n"/>
      <c r="F299" s="240" t="n"/>
      <c r="G299" s="177" t="n"/>
      <c r="H299" s="271" t="str">
        <f>IF(AND(ISNUMBER(F299),ISNUMBER(G299)),F299*G299,"")</f>
        <v/>
      </c>
      <c r="I299" s="240" t="n"/>
      <c r="J299" s="177" t="n"/>
      <c r="K299" s="271" t="str">
        <f>IF(AND(ISNUMBER(I299),ISNUMBER(J299)),I299*J299,"")</f>
        <v/>
      </c>
      <c r="L299" s="240" t="str">
        <f>IF(COUNT(F299,I299)=0,"",N(F299)-N(I299))</f>
        <v/>
      </c>
      <c r="M299" s="241" t="str">
        <f>IF(COUNT(H299,K299)=0,"",N(K299)-N(H299))</f>
        <v/>
      </c>
      <c r="N299" s="240" t="str">
        <f>IF(AND(ISNUMBER(F299),ISNUMBER(G299),F299&gt;0,1-N(Ввод!$J$19)/100&gt;0),G299/(1-N(Ввод!$J$19)/100),IF(AND(ISNUMBER(I299),ISNUMBER(J299),I299&gt;0),J299/(1+N(Ввод!$J$19)/100),""))</f>
        <v/>
      </c>
    </row>
    <row r="300" ht="22" customHeight="1">
      <c r="B300" s="244" t="n"/>
      <c r="C300" s="243" t="n"/>
      <c r="D300" s="244" t="n"/>
      <c r="E300" s="245" t="n"/>
      <c r="F300" s="246" t="n"/>
      <c r="G300" s="183" t="n"/>
      <c r="H300" s="271" t="str">
        <f>IF(AND(ISNUMBER(F300),ISNUMBER(G300)),F300*G300,"")</f>
        <v/>
      </c>
      <c r="I300" s="246" t="n"/>
      <c r="J300" s="183" t="n"/>
      <c r="K300" s="271" t="str">
        <f>IF(AND(ISNUMBER(I300),ISNUMBER(J300)),I300*J300,"")</f>
        <v/>
      </c>
      <c r="L300" s="246" t="str">
        <f>IF(COUNT(F300,I300)=0,"",N(F300)-N(I300))</f>
        <v/>
      </c>
      <c r="M300" s="247" t="str">
        <f>IF(COUNT(H300,K300)=0,"",N(K300)-N(H300))</f>
        <v/>
      </c>
      <c r="N300" s="246" t="str">
        <f>IF(AND(ISNUMBER(F300),ISNUMBER(G300),F300&gt;0,1-N(Ввод!$J$19)/100&gt;0),G300/(1-N(Ввод!$J$19)/100),IF(AND(ISNUMBER(I300),ISNUMBER(J300),I300&gt;0),J300/(1+N(Ввод!$J$19)/100),""))</f>
        <v/>
      </c>
    </row>
  </sheetData>
  <autoFilter ref="B4:N300"/>
  <mergeCells count="1">
    <mergeCell ref="B1:N2"/>
  </mergeCells>
  <conditionalFormatting sqref="B5:N300">
    <cfRule type="expression" priority="1" dxfId="0">
      <formula>AND($B5&lt;&gt;"",COUNTIF(Закрытые!$B$5:$B$300,$B5)&gt;0)</formula>
    </cfRule>
  </conditionalFormatting>
  <conditionalFormatting sqref="B5:G300 I5:J300 L5:N300">
    <cfRule type="expression" priority="2" dxfId="2">
      <formula>MOD(ROW(),2)=1</formula>
    </cfRule>
    <cfRule type="expression" priority="3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5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7" customWidth="1" min="13" max="13"/>
  </cols>
  <sheetData>
    <row r="1" ht="21" customHeight="1">
      <c r="B1" s="1" t="inlineStr">
        <is>
          <t>CRYPTO JOURNAL • ИТОГО ТОРГОВЛЯ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Покупка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Продажа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239" t="inlineStr">
        <is>
          <t>BNB/USDT</t>
        </is>
      </c>
      <c r="C5" s="240">
        <f>IF(SUMIFS(Торговля!$F$5:$F$300,Торговля!$E$5:$E$300,$B5)+SUMIFS(Закрытые!$F$5:$F$300,Закрытые!$E$5:$E$300,$B5,Закрытые!$B$5:$B$300,"T-*")=0,"",SUMIFS(Торговля!$F$5:$F$300,Торговля!$E$5:$E$300,$B5)+SUMIFS(Закрытые!$F$5:$F$300,Закрытые!$E$5:$E$300,$B5,Закрытые!$B$5:$B$300,"T-*"))</f>
        <v>2</v>
      </c>
      <c r="D5" s="177">
        <f>IF(C5="","",(SUMPRODUCT((Торговля!$E$5:$E$300=$B5)*Торговля!$F$5:$F$300*Торговля!$G$5:$G$300)+SUMPRODUCT((Закрытые!$E$5:$E$300=$B5)*(LEFT(Закрытые!$B$5:$B$300,2)="T-")*Закрытые!$F$5:$F$300*Закрытые!$G$5:$G$300))/C5)</f>
        <v>586.17</v>
      </c>
      <c r="E5" s="241">
        <f>IF(C5="","",SUMIFS(Торговля!$H$5:$H$300,Торговля!$E$5:$E$300,$B5)+SUMIFS(Закрытые!$H$5:$H$300,Закрытые!$E$5:$E$300,$B5,Закрытые!$B$5:$B$300,"T-*"))</f>
        <v>1172.34</v>
      </c>
      <c r="F5" s="240">
        <f>IF(SUMIFS(Торговля!$I$5:$I$300,Торговля!$E$5:$E$300,$B5)+SUMIFS(Закрытые!$I$5:$I$300,Закрытые!$E$5:$E$300,$B5,Закрытые!$B$5:$B$300,"T-*")=0,"",SUMIFS(Торговля!$I$5:$I$300,Торговля!$E$5:$E$300,$B5)+SUMIFS(Закрытые!$I$5:$I$300,Закрытые!$E$5:$E$300,$B5,Закрытые!$B$5:$B$300,"T-*"))</f>
        <v>5</v>
      </c>
      <c r="G5" s="177">
        <f>IF(F5="","",(SUMPRODUCT((Торговля!$E$5:$E$300=$B5)*Торговля!$I$5:$I$300*Торговля!$J$5:$J$300)+SUMPRODUCT((Закрытые!$E$5:$E$300=$B5)*(LEFT(Закрытые!$B$5:$B$300,2)="T-")*Закрытые!$I$5:$I$300*Закрытые!$J$5:$J$300))/F5)</f>
        <v>598.8</v>
      </c>
      <c r="H5" s="241">
        <f>IF(F5="","",SUMIFS(Торговля!$K$5:$K$300,Торговля!$E$5:$E$300,$B5)+SUMIFS(Закрытые!$K$5:$K$300,Закрытые!$E$5:$E$300,$B5,Закрытые!$B$5:$B$300,"T-*"))</f>
        <v>2994</v>
      </c>
      <c r="I5" s="240">
        <f>IF($B5="","",IF(COUNTIFS(Торговля!$E$5:$E$300,$B5)+COUNTIFS(Закрытые!$E$5:$E$300,$B5,Закрытые!$B$5:$B$300,"T-*")=0,"",ROUND(SUMIFS(Торговля!$L$5:$L$300,Торговля!$E$5:$E$300,$B5)+SUMIFS(Закрытые!$L$5:$L$300,Закрытые!$E$5:$E$300,$B5,Закрытые!$B$5:$B$300,"T-*"),8)))</f>
        <v>-3</v>
      </c>
      <c r="J5" s="241">
        <f>IF($B5="","",IF(COUNTIFS(Торговля!$E$5:$E$300,$B5)+COUNTIFS(Закрытые!$E$5:$E$300,$B5,Закрытые!$B$5:$B$300,"T-*")=0,"",ROUND(SUMIFS(Торговля!$M$5:$M$300,Торговля!$E$5:$E$300,$B5)+SUMIFS(Закрытые!$M$5:$M$300,Закрытые!$E$5:$E$300,$B5,Закрытые!$B$5:$B$300,"T-*"),8)))</f>
        <v>1821.66</v>
      </c>
      <c r="K5" s="240">
        <f>IF(MIN(N(C5),N(F5))&lt;=0,"",ROUND(MIN(N(C5),N(F5))*(N(G5)-N(D5)),8))</f>
        <v>25.26</v>
      </c>
      <c r="L5" s="177">
        <f>IF(MIN(N(C5),N(F5))&lt;=0,"",IF(N(D5)=0,"",ROUND((N(G5)/N(D5)-1)*100,2)))</f>
        <v>2.15</v>
      </c>
      <c r="M5" s="177">
        <f>IF(OR(ROUND(N(C5)-N(F5),8)=0,1-N(Ввод!$J$19)/100&lt;=0),"",IF(N(C5)&gt;N(F5),(N(E5)-N(H5))/((N(C5)-N(F5))*(1-N(Ввод!$J$19)/100)),(N(H5)-N(E5))/((N(F5)-N(C5))*(1+N(Ввод!$J$19)/100))))</f>
        <v>606.007984031936</v>
      </c>
    </row>
    <row r="6" ht="22" customHeight="1">
      <c r="B6" s="245" t="inlineStr">
        <is>
          <t>BTC/USDT</t>
        </is>
      </c>
      <c r="C6" s="246">
        <f>IF(SUMIFS(Торговля!$F$5:$F$300,Торговля!$E$5:$E$300,$B6)+SUMIFS(Закрытые!$F$5:$F$300,Закрытые!$E$5:$E$300,$B6,Закрытые!$B$5:$B$300,"T-*")=0,"",SUMIFS(Торговля!$F$5:$F$300,Торговля!$E$5:$E$300,$B6)+SUMIFS(Закрытые!$F$5:$F$300,Закрытые!$E$5:$E$300,$B6,Закрытые!$B$5:$B$300,"T-*"))</f>
        <v>0.15</v>
      </c>
      <c r="D6" s="183">
        <f>IF(C6="","",(SUMPRODUCT((Торговля!$E$5:$E$300=$B6)*Торговля!$F$5:$F$300*Торговля!$G$5:$G$300)+SUMPRODUCT((Закрытые!$E$5:$E$300=$B6)*(LEFT(Закрытые!$B$5:$B$300,2)="T-")*Закрытые!$F$5:$F$300*Закрытые!$G$5:$G$300))/C6)</f>
        <v>62190.8</v>
      </c>
      <c r="E6" s="247">
        <f>IF(C6="","",SUMIFS(Торговля!$H$5:$H$300,Торговля!$E$5:$E$300,$B6)+SUMIFS(Закрытые!$H$5:$H$300,Закрытые!$E$5:$E$300,$B6,Закрытые!$B$5:$B$300,"T-*"))</f>
        <v>9328.62</v>
      </c>
      <c r="F6" s="246">
        <f>IF(SUMIFS(Торговля!$I$5:$I$300,Торговля!$E$5:$E$300,$B6)+SUMIFS(Закрытые!$I$5:$I$300,Закрытые!$E$5:$E$300,$B6,Закрытые!$B$5:$B$300,"T-*")=0,"",SUMIFS(Торговля!$I$5:$I$300,Торговля!$E$5:$E$300,$B6)+SUMIFS(Закрытые!$I$5:$I$300,Закрытые!$E$5:$E$300,$B6,Закрытые!$B$5:$B$300,"T-*"))</f>
        <v>0.05</v>
      </c>
      <c r="G6" s="183">
        <f>IF(F6="","",(SUMPRODUCT((Торговля!$E$5:$E$300=$B6)*Торговля!$I$5:$I$300*Торговля!$J$5:$J$300)+SUMPRODUCT((Закрытые!$E$5:$E$300=$B6)*(LEFT(Закрытые!$B$5:$B$300,2)="T-")*Закрытые!$I$5:$I$300*Закрытые!$J$5:$J$300))/F6)</f>
        <v>62874</v>
      </c>
      <c r="H6" s="247">
        <f>IF(F6="","",SUMIFS(Торговля!$K$5:$K$300,Торговля!$E$5:$E$300,$B6)+SUMIFS(Закрытые!$K$5:$K$300,Закрытые!$E$5:$E$300,$B6,Закрытые!$B$5:$B$300,"T-*"))</f>
        <v>3143.7</v>
      </c>
      <c r="I6" s="246">
        <f>IF($B6="","",IF(COUNTIFS(Торговля!$E$5:$E$300,$B6)+COUNTIFS(Закрытые!$E$5:$E$300,$B6,Закрытые!$B$5:$B$300,"T-*")=0,"",ROUND(SUMIFS(Торговля!$L$5:$L$300,Торговля!$E$5:$E$300,$B6)+SUMIFS(Закрытые!$L$5:$L$300,Закрытые!$E$5:$E$300,$B6,Закрытые!$B$5:$B$300,"T-*"),8)))</f>
        <v>0.1</v>
      </c>
      <c r="J6" s="247">
        <f>IF($B6="","",IF(COUNTIFS(Торговля!$E$5:$E$300,$B6)+COUNTIFS(Закрытые!$E$5:$E$300,$B6,Закрытые!$B$5:$B$300,"T-*")=0,"",ROUND(SUMIFS(Торговля!$M$5:$M$300,Торговля!$E$5:$E$300,$B6)+SUMIFS(Закрытые!$M$5:$M$300,Закрытые!$E$5:$E$300,$B6,Закрытые!$B$5:$B$300,"T-*"),8)))</f>
        <v>-6184.92</v>
      </c>
      <c r="K6" s="246">
        <f>IF(MIN(N(C6),N(F6))&lt;=0,"",ROUND(MIN(N(C6),N(F6))*(N(G6)-N(D6)),8))</f>
        <v>34.16</v>
      </c>
      <c r="L6" s="183">
        <f>IF(MIN(N(C6),N(F6))&lt;=0,"",IF(N(D6)=0,"",ROUND((N(G6)/N(D6)-1)*100,2)))</f>
        <v>1.1</v>
      </c>
      <c r="M6" s="183">
        <f>IF(OR(ROUND(N(C6)-N(F6),8)=0,1-N(Ввод!$J$19)/100&lt;=0),"",IF(N(C6)&gt;N(F6),(N(E6)-N(H6))/((N(C6)-N(F6))*(1-N(Ввод!$J$19)/100)),(N(H6)-N(E6))/((N(F6)-N(C6))*(1+N(Ввод!$J$19)/100))))</f>
        <v>61973.1462925852</v>
      </c>
    </row>
    <row r="7" ht="22" customHeight="1">
      <c r="B7" s="239" t="inlineStr">
        <is>
          <t>ETH/BTC</t>
        </is>
      </c>
      <c r="C7" s="240" t="str">
        <f>IF(SUMIFS(Торговля!$F$5:$F$300,Торговля!$E$5:$E$300,$B7)+SUMIFS(Закрытые!$F$5:$F$300,Закрытые!$E$5:$E$300,$B7,Закрытые!$B$5:$B$300,"T-*")=0,"",SUMIFS(Торговля!$F$5:$F$300,Торговля!$E$5:$E$300,$B7)+SUMIFS(Закрытые!$F$5:$F$300,Закрытые!$E$5:$E$300,$B7,Закрытые!$B$5:$B$300,"T-*"))</f>
        <v/>
      </c>
      <c r="D7" s="177" t="str">
        <f>IF(C7="","",(SUMPRODUCT((Торговля!$E$5:$E$300=$B7)*Торговля!$F$5:$F$300*Торговля!$G$5:$G$300)+SUMPRODUCT((Закрытые!$E$5:$E$300=$B7)*(LEFT(Закрытые!$B$5:$B$300,2)="T-")*Закрытые!$F$5:$F$300*Закрытые!$G$5:$G$300))/C7)</f>
        <v/>
      </c>
      <c r="E7" s="241" t="str">
        <f>IF(C7="","",SUMIFS(Торговля!$H$5:$H$300,Торговля!$E$5:$E$300,$B7)+SUMIFS(Закрытые!$H$5:$H$300,Закрытые!$E$5:$E$300,$B7,Закрытые!$B$5:$B$300,"T-*"))</f>
        <v/>
      </c>
      <c r="F7" s="240">
        <f>IF(SUMIFS(Торговля!$I$5:$I$300,Торговля!$E$5:$E$300,$B7)+SUMIFS(Закрытые!$I$5:$I$300,Закрытые!$E$5:$E$300,$B7,Закрытые!$B$5:$B$300,"T-*")=0,"",SUMIFS(Торговля!$I$5:$I$300,Торговля!$E$5:$E$300,$B7)+SUMIFS(Закрытые!$I$5:$I$300,Закрытые!$E$5:$E$300,$B7,Закрытые!$B$5:$B$300,"T-*"))</f>
        <v>1.5</v>
      </c>
      <c r="G7" s="177">
        <f>IF(F7="","",(SUMPRODUCT((Торговля!$E$5:$E$300=$B7)*Торговля!$I$5:$I$300*Торговля!$J$5:$J$300)+SUMPRODUCT((Закрытые!$E$5:$E$300=$B7)*(LEFT(Закрытые!$B$5:$B$300,2)="T-")*Закрытые!$I$5:$I$300*Закрытые!$J$5:$J$300))/F7)</f>
        <v>0.052395</v>
      </c>
      <c r="H7" s="241">
        <f>IF(F7="","",SUMIFS(Торговля!$K$5:$K$300,Торговля!$E$5:$E$300,$B7)+SUMIFS(Закрытые!$K$5:$K$300,Закрытые!$E$5:$E$300,$B7,Закрытые!$B$5:$B$300,"T-*"))</f>
        <v>0.0785925</v>
      </c>
      <c r="I7" s="240">
        <f>IF($B7="","",IF(COUNTIFS(Торговля!$E$5:$E$300,$B7)+COUNTIFS(Закрытые!$E$5:$E$300,$B7,Закрытые!$B$5:$B$300,"T-*")=0,"",ROUND(SUMIFS(Торговля!$L$5:$L$300,Торговля!$E$5:$E$300,$B7)+SUMIFS(Закрытые!$L$5:$L$300,Закрытые!$E$5:$E$300,$B7,Закрытые!$B$5:$B$300,"T-*"),8)))</f>
        <v>-1.5</v>
      </c>
      <c r="J7" s="241">
        <f>IF($B7="","",IF(COUNTIFS(Торговля!$E$5:$E$300,$B7)+COUNTIFS(Закрытые!$E$5:$E$300,$B7,Закрытые!$B$5:$B$300,"T-*")=0,"",ROUND(SUMIFS(Торговля!$M$5:$M$300,Торговля!$E$5:$E$300,$B7)+SUMIFS(Закрытые!$M$5:$M$300,Закрытые!$E$5:$E$300,$B7,Закрытые!$B$5:$B$300,"T-*"),8)))</f>
        <v>0.0785925</v>
      </c>
      <c r="K7" s="240" t="str">
        <f>IF(MIN(N(C7),N(F7))&lt;=0,"",ROUND(MIN(N(C7),N(F7))*(N(G7)-N(D7)),8))</f>
        <v/>
      </c>
      <c r="L7" s="177" t="str">
        <f>IF(MIN(N(C7),N(F7))&lt;=0,"",IF(N(D7)=0,"",ROUND((N(G7)/N(D7)-1)*100,2)))</f>
        <v/>
      </c>
      <c r="M7" s="177">
        <f>IF(OR(ROUND(N(C7)-N(F7),8)=0,1-N(Ввод!$J$19)/100&lt;=0),"",IF(N(C7)&gt;N(F7),(N(E7)-N(H7))/((N(C7)-N(F7))*(1-N(Ввод!$J$19)/100)),(N(H7)-N(E7))/((N(F7)-N(C7))*(1+N(Ввод!$J$19)/100))))</f>
        <v>0.0522904191616766</v>
      </c>
    </row>
    <row r="8" ht="22" customHeight="1">
      <c r="B8" s="245" t="inlineStr">
        <is>
          <t>ETH/USDT</t>
        </is>
      </c>
      <c r="C8" s="246">
        <f>IF(SUMIFS(Торговля!$F$5:$F$300,Торговля!$E$5:$E$300,$B8)+SUMIFS(Закрытые!$F$5:$F$300,Закрытые!$E$5:$E$300,$B8,Закрытые!$B$5:$B$300,"T-*")=0,"",SUMIFS(Торговля!$F$5:$F$300,Торговля!$E$5:$E$300,$B8)+SUMIFS(Закрытые!$F$5:$F$300,Закрытые!$E$5:$E$300,$B8,Закрытые!$B$5:$B$300,"T-*"))</f>
        <v>4</v>
      </c>
      <c r="D8" s="183">
        <f>IF(C8="","",(SUMPRODUCT((Торговля!$E$5:$E$300=$B8)*Торговля!$F$5:$F$300*Торговля!$G$5:$G$300)+SUMPRODUCT((Закрытые!$E$5:$E$300=$B8)*(LEFT(Закрытые!$B$5:$B$300,2)="T-")*Закрытые!$F$5:$F$300*Закрытые!$G$5:$G$300))/C8)</f>
        <v>3210.408</v>
      </c>
      <c r="E8" s="247">
        <f>IF(C8="","",SUMIFS(Торговля!$H$5:$H$300,Торговля!$E$5:$E$300,$B8)+SUMIFS(Закрытые!$H$5:$H$300,Закрытые!$E$5:$E$300,$B8,Закрытые!$B$5:$B$300,"T-*"))</f>
        <v>12841.632</v>
      </c>
      <c r="F8" s="246">
        <f>IF(SUMIFS(Торговля!$I$5:$I$300,Торговля!$E$5:$E$300,$B8)+SUMIFS(Закрытые!$I$5:$I$300,Закрытые!$E$5:$E$300,$B8,Закрытые!$B$5:$B$300,"T-*")=0,"",SUMIFS(Торговля!$I$5:$I$300,Торговля!$E$5:$E$300,$B8)+SUMIFS(Закрытые!$I$5:$I$300,Закрытые!$E$5:$E$300,$B8,Закрытые!$B$5:$B$300,"T-*"))</f>
        <v>2.5</v>
      </c>
      <c r="G8" s="183">
        <f>IF(F8="","",(SUMPRODUCT((Торговля!$E$5:$E$300=$B8)*Торговля!$I$5:$I$300*Торговля!$J$5:$J$300)+SUMPRODUCT((Закрытые!$E$5:$E$300=$B8)*(LEFT(Закрытые!$B$5:$B$300,2)="T-")*Закрытые!$I$5:$I$300*Закрытые!$J$5:$J$300))/F8)</f>
        <v>3373.24</v>
      </c>
      <c r="H8" s="247">
        <f>IF(F8="","",SUMIFS(Торговля!$K$5:$K$300,Торговля!$E$5:$E$300,$B8)+SUMIFS(Закрытые!$K$5:$K$300,Закрытые!$E$5:$E$300,$B8,Закрытые!$B$5:$B$300,"T-*"))</f>
        <v>8433.1</v>
      </c>
      <c r="I8" s="246">
        <f>IF($B8="","",IF(COUNTIFS(Торговля!$E$5:$E$300,$B8)+COUNTIFS(Закрытые!$E$5:$E$300,$B8,Закрытые!$B$5:$B$300,"T-*")=0,"",ROUND(SUMIFS(Торговля!$L$5:$L$300,Торговля!$E$5:$E$300,$B8)+SUMIFS(Закрытые!$L$5:$L$300,Закрытые!$E$5:$E$300,$B8,Закрытые!$B$5:$B$300,"T-*"),8)))</f>
        <v>1.5</v>
      </c>
      <c r="J8" s="247">
        <f>IF($B8="","",IF(COUNTIFS(Торговля!$E$5:$E$300,$B8)+COUNTIFS(Закрытые!$E$5:$E$300,$B8,Закрытые!$B$5:$B$300,"T-*")=0,"",ROUND(SUMIFS(Торговля!$M$5:$M$300,Торговля!$E$5:$E$300,$B8)+SUMIFS(Закрытые!$M$5:$M$300,Закрытые!$E$5:$E$300,$B8,Закрытые!$B$5:$B$300,"T-*"),8)))</f>
        <v>-4408.532</v>
      </c>
      <c r="K8" s="246">
        <f>IF(MIN(N(C8),N(F8))&lt;=0,"",ROUND(MIN(N(C8),N(F8))*(N(G8)-N(D8)),8))</f>
        <v>407.08</v>
      </c>
      <c r="L8" s="183">
        <f>IF(MIN(N(C8),N(F8))&lt;=0,"",IF(N(D8)=0,"",ROUND((N(G8)/N(D8)-1)*100,2)))</f>
        <v>5.07</v>
      </c>
      <c r="M8" s="183">
        <f>IF(OR(ROUND(N(C8)-N(F8),8)=0,1-N(Ввод!$J$19)/100&lt;=0),"",IF(N(C8)&gt;N(F8),(N(E8)-N(H8))/((N(C8)-N(F8))*(1-N(Ввод!$J$19)/100)),(N(H8)-N(E8))/((N(F8)-N(C8))*(1+N(Ввод!$J$19)/100))))</f>
        <v>2944.91115564462</v>
      </c>
    </row>
    <row r="9" ht="22" customHeight="1">
      <c r="B9" s="239" t="inlineStr">
        <is>
          <t>SOL/USDT</t>
        </is>
      </c>
      <c r="C9" s="240">
        <f>IF(SUMIFS(Торговля!$F$5:$F$300,Торговля!$E$5:$E$300,$B9)+SUMIFS(Закрытые!$F$5:$F$300,Закрытые!$E$5:$E$300,$B9,Закрытые!$B$5:$B$300,"T-*")=0,"",SUMIFS(Торговля!$F$5:$F$300,Торговля!$E$5:$E$300,$B9)+SUMIFS(Закрытые!$F$5:$F$300,Закрытые!$E$5:$E$300,$B9,Закрытые!$B$5:$B$300,"T-*"))</f>
        <v>45</v>
      </c>
      <c r="D9" s="177">
        <f>IF(C9="","",(SUMPRODUCT((Торговля!$E$5:$E$300=$B9)*Торговля!$F$5:$F$300*Торговля!$G$5:$G$300)+SUMPRODUCT((Закрытые!$E$5:$E$300=$B9)*(LEFT(Закрытые!$B$5:$B$300,2)="T-")*Закрытые!$F$5:$F$300*Закрытые!$G$5:$G$300))/C9)</f>
        <v>145.846666666667</v>
      </c>
      <c r="E9" s="241">
        <f>IF(C9="","",SUMIFS(Торговля!$H$5:$H$300,Торговля!$E$5:$E$300,$B9)+SUMIFS(Закрытые!$H$5:$H$300,Закрытые!$E$5:$E$300,$B9,Закрытые!$B$5:$B$300,"T-*"))</f>
        <v>6563.1</v>
      </c>
      <c r="F9" s="240">
        <f>IF(SUMIFS(Торговля!$I$5:$I$300,Торговля!$E$5:$E$300,$B9)+SUMIFS(Закрытые!$I$5:$I$300,Закрытые!$E$5:$E$300,$B9,Закрытые!$B$5:$B$300,"T-*")=0,"",SUMIFS(Торговля!$I$5:$I$300,Торговля!$E$5:$E$300,$B9)+SUMIFS(Закрытые!$I$5:$I$300,Закрытые!$E$5:$E$300,$B9,Закрытые!$B$5:$B$300,"T-*"))</f>
        <v>60</v>
      </c>
      <c r="G9" s="177">
        <f>IF(F9="","",(SUMPRODUCT((Торговля!$E$5:$E$300=$B9)*Торговля!$I$5:$I$300*Торговля!$J$5:$J$300)+SUMPRODUCT((Закрытые!$E$5:$E$300=$B9)*(LEFT(Закрытые!$B$5:$B$300,2)="T-")*Закрытые!$I$5:$I$300*Закрытые!$J$5:$J$300))/F9)</f>
        <v>150.698</v>
      </c>
      <c r="H9" s="241">
        <f>IF(F9="","",SUMIFS(Торговля!$K$5:$K$300,Торговля!$E$5:$E$300,$B9)+SUMIFS(Закрытые!$K$5:$K$300,Закрытые!$E$5:$E$300,$B9,Закрытые!$B$5:$B$300,"T-*"))</f>
        <v>9041.88</v>
      </c>
      <c r="I9" s="240">
        <f>IF($B9="","",IF(COUNTIFS(Торговля!$E$5:$E$300,$B9)+COUNTIFS(Закрытые!$E$5:$E$300,$B9,Закрытые!$B$5:$B$300,"T-*")=0,"",ROUND(SUMIFS(Торговля!$L$5:$L$300,Торговля!$E$5:$E$300,$B9)+SUMIFS(Закрытые!$L$5:$L$300,Закрытые!$E$5:$E$300,$B9,Закрытые!$B$5:$B$300,"T-*"),8)))</f>
        <v>-15</v>
      </c>
      <c r="J9" s="241">
        <f>IF($B9="","",IF(COUNTIFS(Торговля!$E$5:$E$300,$B9)+COUNTIFS(Закрытые!$E$5:$E$300,$B9,Закрытые!$B$5:$B$300,"T-*")=0,"",ROUND(SUMIFS(Торговля!$M$5:$M$300,Торговля!$E$5:$E$300,$B9)+SUMIFS(Закрытые!$M$5:$M$300,Закрытые!$E$5:$E$300,$B9,Закрытые!$B$5:$B$300,"T-*"),8)))</f>
        <v>2478.78</v>
      </c>
      <c r="K9" s="240">
        <f>IF(MIN(N(C9),N(F9))&lt;=0,"",ROUND(MIN(N(C9),N(F9))*(N(G9)-N(D9)),8))</f>
        <v>218.31</v>
      </c>
      <c r="L9" s="177">
        <f>IF(MIN(N(C9),N(F9))&lt;=0,"",IF(N(D9)=0,"",ROUND((N(G9)/N(D9)-1)*100,2)))</f>
        <v>3.33</v>
      </c>
      <c r="M9" s="177">
        <f>IF(OR(ROUND(N(C9)-N(F9),8)=0,1-N(Ввод!$J$19)/100&lt;=0),"",IF(N(C9)&gt;N(F9),(N(E9)-N(H9))/((N(C9)-N(F9))*(1-N(Ввод!$J$19)/100)),(N(H9)-N(E9))/((N(F9)-N(C9))*(1+N(Ввод!$J$19)/100))))</f>
        <v>164.922155688623</v>
      </c>
    </row>
    <row r="10" ht="22" customHeight="1">
      <c r="B10" s="245" t="n"/>
      <c r="C10" s="246" t="str">
        <f>IF(SUMIFS(Торговля!$F$5:$F$300,Торговля!$E$5:$E$300,$B10)+SUMIFS(Закрытые!$F$5:$F$300,Закрытые!$E$5:$E$300,$B10,Закрытые!$B$5:$B$300,"T-*")=0,"",SUMIFS(Торговля!$F$5:$F$300,Торговля!$E$5:$E$300,$B10)+SUMIFS(Закрытые!$F$5:$F$300,Закрытые!$E$5:$E$300,$B10,Закрытые!$B$5:$B$300,"T-*"))</f>
        <v/>
      </c>
      <c r="D10" s="183" t="str">
        <f>IF(C10="","",(SUMPRODUCT((Торговля!$E$5:$E$300=$B10)*Торговля!$F$5:$F$300*Торговля!$G$5:$G$300)+SUMPRODUCT((Закрытые!$E$5:$E$300=$B10)*(LEFT(Закрытые!$B$5:$B$300,2)="T-")*Закрытые!$F$5:$F$300*Закрытые!$G$5:$G$300))/C10)</f>
        <v/>
      </c>
      <c r="E10" s="247" t="str">
        <f>IF(C10="","",SUMIFS(Торговля!$H$5:$H$300,Торговля!$E$5:$E$300,$B10)+SUMIFS(Закрытые!$H$5:$H$300,Закрытые!$E$5:$E$300,$B10,Закрытые!$B$5:$B$300,"T-*"))</f>
        <v/>
      </c>
      <c r="F10" s="246" t="str">
        <f>IF(SUMIFS(Торговля!$I$5:$I$300,Торговля!$E$5:$E$300,$B10)+SUMIFS(Закрытые!$I$5:$I$300,Закрытые!$E$5:$E$300,$B10,Закрытые!$B$5:$B$300,"T-*")=0,"",SUMIFS(Торговля!$I$5:$I$300,Торговля!$E$5:$E$300,$B10)+SUMIFS(Закрытые!$I$5:$I$300,Закрытые!$E$5:$E$300,$B10,Закрытые!$B$5:$B$300,"T-*"))</f>
        <v/>
      </c>
      <c r="G10" s="183" t="str">
        <f>IF(F10="","",(SUMPRODUCT((Торговля!$E$5:$E$300=$B10)*Торговля!$I$5:$I$300*Торговля!$J$5:$J$300)+SUMPRODUCT((Закрытые!$E$5:$E$300=$B10)*(LEFT(Закрытые!$B$5:$B$300,2)="T-")*Закрытые!$I$5:$I$300*Закрытые!$J$5:$J$300))/F10)</f>
        <v/>
      </c>
      <c r="H10" s="247" t="str">
        <f>IF(F10="","",SUMIFS(Торговля!$K$5:$K$300,Торговля!$E$5:$E$300,$B10)+SUMIFS(Закрытые!$K$5:$K$300,Закрытые!$E$5:$E$300,$B10,Закрытые!$B$5:$B$300,"T-*"))</f>
        <v/>
      </c>
      <c r="I10" s="246" t="str">
        <f>IF($B10="","",IF(COUNTIFS(Торговля!$E$5:$E$300,$B10)+COUNTIFS(Закрытые!$E$5:$E$300,$B10,Закрытые!$B$5:$B$300,"T-*")=0,"",ROUND(SUMIFS(Торговля!$L$5:$L$300,Торговля!$E$5:$E$300,$B10)+SUMIFS(Закрытые!$L$5:$L$300,Закрытые!$E$5:$E$300,$B10,Закрытые!$B$5:$B$300,"T-*"),8)))</f>
        <v/>
      </c>
      <c r="J10" s="247" t="str">
        <f>IF($B10="","",IF(COUNTIFS(Торговля!$E$5:$E$300,$B10)+COUNTIFS(Закрытые!$E$5:$E$300,$B10,Закрытые!$B$5:$B$300,"T-*")=0,"",ROUND(SUMIFS(Торговля!$M$5:$M$300,Торговля!$E$5:$E$300,$B10)+SUMIFS(Закрытые!$M$5:$M$300,Закрытые!$E$5:$E$300,$B10,Закрытые!$B$5:$B$300,"T-*"),8)))</f>
        <v/>
      </c>
      <c r="K10" s="246" t="str">
        <f>IF(MIN(N(C10),N(F10))&lt;=0,"",ROUND(MIN(N(C10),N(F10))*(N(G10)-N(D10)),8))</f>
        <v/>
      </c>
      <c r="L10" s="183" t="str">
        <f>IF(MIN(N(C10),N(F10))&lt;=0,"",IF(N(D10)=0,"",ROUND((N(G10)/N(D10)-1)*100,2)))</f>
        <v/>
      </c>
      <c r="M10" s="183" t="str">
        <f>IF(OR(ROUND(N(C10)-N(F10),8)=0,1-N(Ввод!$J$19)/100&lt;=0),"",IF(N(C10)&gt;N(F10),(N(E10)-N(H10))/((N(C10)-N(F10))*(1-N(Ввод!$J$19)/100)),(N(H10)-N(E10))/((N(F10)-N(C10))*(1+N(Ввод!$J$19)/100))))</f>
        <v/>
      </c>
    </row>
    <row r="11" ht="22" customHeight="1">
      <c r="B11" s="239" t="n"/>
      <c r="C11" s="240" t="str">
        <f>IF(SUMIFS(Торговля!$F$5:$F$300,Торговля!$E$5:$E$300,$B11)+SUMIFS(Закрытые!$F$5:$F$300,Закрытые!$E$5:$E$300,$B11,Закрытые!$B$5:$B$300,"T-*")=0,"",SUMIFS(Торговля!$F$5:$F$300,Торговля!$E$5:$E$300,$B11)+SUMIFS(Закрытые!$F$5:$F$300,Закрытые!$E$5:$E$300,$B11,Закрытые!$B$5:$B$300,"T-*"))</f>
        <v/>
      </c>
      <c r="D11" s="177" t="str">
        <f>IF(C11="","",(SUMPRODUCT((Торговля!$E$5:$E$300=$B11)*Торговля!$F$5:$F$300*Торговля!$G$5:$G$300)+SUMPRODUCT((Закрытые!$E$5:$E$300=$B11)*(LEFT(Закрытые!$B$5:$B$300,2)="T-")*Закрытые!$F$5:$F$300*Закрытые!$G$5:$G$300))/C11)</f>
        <v/>
      </c>
      <c r="E11" s="241" t="str">
        <f>IF(C11="","",SUMIFS(Торговля!$H$5:$H$300,Торговля!$E$5:$E$300,$B11)+SUMIFS(Закрытые!$H$5:$H$300,Закрытые!$E$5:$E$300,$B11,Закрытые!$B$5:$B$300,"T-*"))</f>
        <v/>
      </c>
      <c r="F11" s="240" t="str">
        <f>IF(SUMIFS(Торговля!$I$5:$I$300,Торговля!$E$5:$E$300,$B11)+SUMIFS(Закрытые!$I$5:$I$300,Закрытые!$E$5:$E$300,$B11,Закрытые!$B$5:$B$300,"T-*")=0,"",SUMIFS(Торговля!$I$5:$I$300,Торговля!$E$5:$E$300,$B11)+SUMIFS(Закрытые!$I$5:$I$300,Закрытые!$E$5:$E$300,$B11,Закрытые!$B$5:$B$300,"T-*"))</f>
        <v/>
      </c>
      <c r="G11" s="177" t="str">
        <f>IF(F11="","",(SUMPRODUCT((Торговля!$E$5:$E$300=$B11)*Торговля!$I$5:$I$300*Торговля!$J$5:$J$300)+SUMPRODUCT((Закрытые!$E$5:$E$300=$B11)*(LEFT(Закрытые!$B$5:$B$300,2)="T-")*Закрытые!$I$5:$I$300*Закрытые!$J$5:$J$300))/F11)</f>
        <v/>
      </c>
      <c r="H11" s="241" t="str">
        <f>IF(F11="","",SUMIFS(Торговля!$K$5:$K$300,Торговля!$E$5:$E$300,$B11)+SUMIFS(Закрытые!$K$5:$K$300,Закрытые!$E$5:$E$300,$B11,Закрытые!$B$5:$B$300,"T-*"))</f>
        <v/>
      </c>
      <c r="I11" s="240" t="str">
        <f>IF($B11="","",IF(COUNTIFS(Торговля!$E$5:$E$300,$B11)+COUNTIFS(Закрытые!$E$5:$E$300,$B11,Закрытые!$B$5:$B$300,"T-*")=0,"",ROUND(SUMIFS(Торговля!$L$5:$L$300,Торговля!$E$5:$E$300,$B11)+SUMIFS(Закрытые!$L$5:$L$300,Закрытые!$E$5:$E$300,$B11,Закрытые!$B$5:$B$300,"T-*"),8)))</f>
        <v/>
      </c>
      <c r="J11" s="241" t="str">
        <f>IF($B11="","",IF(COUNTIFS(Торговля!$E$5:$E$300,$B11)+COUNTIFS(Закрытые!$E$5:$E$300,$B11,Закрытые!$B$5:$B$300,"T-*")=0,"",ROUND(SUMIFS(Торговля!$M$5:$M$300,Торговля!$E$5:$E$300,$B11)+SUMIFS(Закрытые!$M$5:$M$300,Закрытые!$E$5:$E$300,$B11,Закрытые!$B$5:$B$300,"T-*"),8)))</f>
        <v/>
      </c>
      <c r="K11" s="240" t="str">
        <f>IF(MIN(N(C11),N(F11))&lt;=0,"",ROUND(MIN(N(C11),N(F11))*(N(G11)-N(D11)),8))</f>
        <v/>
      </c>
      <c r="L11" s="177" t="str">
        <f>IF(MIN(N(C11),N(F11))&lt;=0,"",IF(N(D11)=0,"",ROUND((N(G11)/N(D11)-1)*100,2)))</f>
        <v/>
      </c>
      <c r="M11" s="177" t="str">
        <f>IF(OR(ROUND(N(C11)-N(F11),8)=0,1-N(Ввод!$J$19)/100&lt;=0),"",IF(N(C11)&gt;N(F11),(N(E11)-N(H11))/((N(C11)-N(F11))*(1-N(Ввод!$J$19)/100)),(N(H11)-N(E11))/((N(F11)-N(C11))*(1+N(Ввод!$J$19)/100))))</f>
        <v/>
      </c>
    </row>
    <row r="12" ht="22" customHeight="1">
      <c r="B12" s="245" t="n"/>
      <c r="C12" s="246" t="str">
        <f>IF(SUMIFS(Торговля!$F$5:$F$300,Торговля!$E$5:$E$300,$B12)+SUMIFS(Закрытые!$F$5:$F$300,Закрытые!$E$5:$E$300,$B12,Закрытые!$B$5:$B$300,"T-*")=0,"",SUMIFS(Торговля!$F$5:$F$300,Торговля!$E$5:$E$300,$B12)+SUMIFS(Закрытые!$F$5:$F$300,Закрытые!$E$5:$E$300,$B12,Закрытые!$B$5:$B$300,"T-*"))</f>
        <v/>
      </c>
      <c r="D12" s="183" t="str">
        <f>IF(C12="","",(SUMPRODUCT((Торговля!$E$5:$E$300=$B12)*Торговля!$F$5:$F$300*Торговля!$G$5:$G$300)+SUMPRODUCT((Закрытые!$E$5:$E$300=$B12)*(LEFT(Закрытые!$B$5:$B$300,2)="T-")*Закрытые!$F$5:$F$300*Закрытые!$G$5:$G$300))/C12)</f>
        <v/>
      </c>
      <c r="E12" s="247" t="str">
        <f>IF(C12="","",SUMIFS(Торговля!$H$5:$H$300,Торговля!$E$5:$E$300,$B12)+SUMIFS(Закрытые!$H$5:$H$300,Закрытые!$E$5:$E$300,$B12,Закрытые!$B$5:$B$300,"T-*"))</f>
        <v/>
      </c>
      <c r="F12" s="246" t="str">
        <f>IF(SUMIFS(Торговля!$I$5:$I$300,Торговля!$E$5:$E$300,$B12)+SUMIFS(Закрытые!$I$5:$I$300,Закрытые!$E$5:$E$300,$B12,Закрытые!$B$5:$B$300,"T-*")=0,"",SUMIFS(Торговля!$I$5:$I$300,Торговля!$E$5:$E$300,$B12)+SUMIFS(Закрытые!$I$5:$I$300,Закрытые!$E$5:$E$300,$B12,Закрытые!$B$5:$B$300,"T-*"))</f>
        <v/>
      </c>
      <c r="G12" s="183" t="str">
        <f>IF(F12="","",(SUMPRODUCT((Торговля!$E$5:$E$300=$B12)*Торговля!$I$5:$I$300*Торговля!$J$5:$J$300)+SUMPRODUCT((Закрытые!$E$5:$E$300=$B12)*(LEFT(Закрытые!$B$5:$B$300,2)="T-")*Закрытые!$I$5:$I$300*Закрытые!$J$5:$J$300))/F12)</f>
        <v/>
      </c>
      <c r="H12" s="247" t="str">
        <f>IF(F12="","",SUMIFS(Торговля!$K$5:$K$300,Торговля!$E$5:$E$300,$B12)+SUMIFS(Закрытые!$K$5:$K$300,Закрытые!$E$5:$E$300,$B12,Закрытые!$B$5:$B$300,"T-*"))</f>
        <v/>
      </c>
      <c r="I12" s="246" t="str">
        <f>IF($B12="","",IF(COUNTIFS(Торговля!$E$5:$E$300,$B12)+COUNTIFS(Закрытые!$E$5:$E$300,$B12,Закрытые!$B$5:$B$300,"T-*")=0,"",ROUND(SUMIFS(Торговля!$L$5:$L$300,Торговля!$E$5:$E$300,$B12)+SUMIFS(Закрытые!$L$5:$L$300,Закрытые!$E$5:$E$300,$B12,Закрытые!$B$5:$B$300,"T-*"),8)))</f>
        <v/>
      </c>
      <c r="J12" s="247" t="str">
        <f>IF($B12="","",IF(COUNTIFS(Торговля!$E$5:$E$300,$B12)+COUNTIFS(Закрытые!$E$5:$E$300,$B12,Закрытые!$B$5:$B$300,"T-*")=0,"",ROUND(SUMIFS(Торговля!$M$5:$M$300,Торговля!$E$5:$E$300,$B12)+SUMIFS(Закрытые!$M$5:$M$300,Закрытые!$E$5:$E$300,$B12,Закрытые!$B$5:$B$300,"T-*"),8)))</f>
        <v/>
      </c>
      <c r="K12" s="246" t="str">
        <f>IF(MIN(N(C12),N(F12))&lt;=0,"",ROUND(MIN(N(C12),N(F12))*(N(G12)-N(D12)),8))</f>
        <v/>
      </c>
      <c r="L12" s="183" t="str">
        <f>IF(MIN(N(C12),N(F12))&lt;=0,"",IF(N(D12)=0,"",ROUND((N(G12)/N(D12)-1)*100,2)))</f>
        <v/>
      </c>
      <c r="M12" s="183" t="str">
        <f>IF(OR(ROUND(N(C12)-N(F12),8)=0,1-N(Ввод!$J$19)/100&lt;=0),"",IF(N(C12)&gt;N(F12),(N(E12)-N(H12))/((N(C12)-N(F12))*(1-N(Ввод!$J$19)/100)),(N(H12)-N(E12))/((N(F12)-N(C12))*(1+N(Ввод!$J$19)/100))))</f>
        <v/>
      </c>
    </row>
  </sheetData>
  <autoFilter ref="B4:M12"/>
  <mergeCells count="1">
    <mergeCell ref="B1:M2"/>
  </mergeCells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5E9E72"/>
    <outlinePr summaryBelow="1" summaryRight="1"/>
    <pageSetUpPr fitToPage="1"/>
  </sheetPr>
  <dimension ref="B1:N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  <col width="17" customWidth="1" min="14" max="14"/>
  </cols>
  <sheetData>
    <row r="1" ht="21" customHeight="1">
      <c r="B1" s="1" t="inlineStr">
        <is>
          <t>CRYPTO JOURNAL • ЛЭНДИНГ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Покупка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Продажа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272" t="inlineStr">
        <is>
          <t>Дельта 2</t>
        </is>
      </c>
      <c r="N4" s="273" t="inlineStr">
        <is>
          <t>Break even</t>
        </is>
      </c>
    </row>
    <row r="5" ht="22" customHeight="1">
      <c r="B5" s="238" t="inlineStr">
        <is>
          <t>L-0005</t>
        </is>
      </c>
      <c r="C5" s="237" t="n">
        <v>46299</v>
      </c>
      <c r="D5" s="238" t="inlineStr">
        <is>
          <t>Bybit</t>
        </is>
      </c>
      <c r="E5" s="239" t="inlineStr">
        <is>
          <t>BNB/USDT</t>
        </is>
      </c>
      <c r="F5" s="240" t="n"/>
      <c r="G5" s="177" t="n"/>
      <c r="H5" s="271" t="str">
        <f>IF(AND(ISNUMBER(F5),ISNUMBER(G5)),F5*G5,"")</f>
        <v/>
      </c>
      <c r="I5" s="240" t="n">
        <v>3</v>
      </c>
      <c r="J5" s="177" t="n">
        <v>598.8</v>
      </c>
      <c r="K5" s="271">
        <f>IF(AND(ISNUMBER(I5),ISNUMBER(J5)),I5*J5,"")</f>
        <v>1796.4</v>
      </c>
      <c r="L5" s="240">
        <f>IF(COUNT(F5,I5)=0,"",N(F5)-N(I5))</f>
        <v>-3</v>
      </c>
      <c r="M5" s="241">
        <f>IF(COUNT(H5,K5)=0,"",N(K5)-N(H5))</f>
        <v>1796.4</v>
      </c>
      <c r="N5" s="240">
        <f>IF(AND(ISNUMBER(F5),ISNUMBER(G5),F5&gt;0,1-N(Ввод!$J$19)/100&gt;0),G5/(1-N(Ввод!$J$19)/100),IF(AND(ISNUMBER(I5),ISNUMBER(J5),I5&gt;0),J5/(1+N(Ввод!$J$19)/100),""))</f>
        <v>597.604790419162</v>
      </c>
    </row>
    <row r="6" ht="22" customHeight="1">
      <c r="B6" s="244" t="inlineStr">
        <is>
          <t>L-0001</t>
        </is>
      </c>
      <c r="C6" s="243" t="n">
        <v>46296</v>
      </c>
      <c r="D6" s="244" t="inlineStr">
        <is>
          <t>Binance</t>
        </is>
      </c>
      <c r="E6" s="245" t="inlineStr">
        <is>
          <t>BTC/USDT</t>
        </is>
      </c>
      <c r="F6" s="246" t="n">
        <v>0.1</v>
      </c>
      <c r="G6" s="183" t="n">
        <v>62124</v>
      </c>
      <c r="H6" s="271">
        <f>IF(AND(ISNUMBER(F6),ISNUMBER(G6)),F6*G6,"")</f>
        <v>6212.4</v>
      </c>
      <c r="I6" s="246" t="n"/>
      <c r="J6" s="183" t="n"/>
      <c r="K6" s="271" t="str">
        <f>IF(AND(ISNUMBER(I6),ISNUMBER(J6)),I6*J6,"")</f>
        <v/>
      </c>
      <c r="L6" s="246">
        <f>IF(COUNT(F6,I6)=0,"",N(F6)-N(I6))</f>
        <v>0.1</v>
      </c>
      <c r="M6" s="247">
        <f>IF(COUNT(H6,K6)=0,"",N(K6)-N(H6))</f>
        <v>-6212.4</v>
      </c>
      <c r="N6" s="246">
        <f>IF(AND(ISNUMBER(F6),ISNUMBER(G6),F6&gt;0,1-N(Ввод!$J$19)/100&gt;0),G6/(1-N(Ввод!$J$19)/100),IF(AND(ISNUMBER(I6),ISNUMBER(J6),I6&gt;0),J6/(1+N(Ввод!$J$19)/100),""))</f>
        <v>62248.496993988</v>
      </c>
    </row>
    <row r="7" ht="22" customHeight="1">
      <c r="B7" s="238" t="inlineStr">
        <is>
          <t>L-0004</t>
        </is>
      </c>
      <c r="C7" s="237" t="n">
        <v>46298</v>
      </c>
      <c r="D7" s="238" t="inlineStr">
        <is>
          <t>Binance</t>
        </is>
      </c>
      <c r="E7" s="239" t="inlineStr">
        <is>
          <t>ETH/BTC</t>
        </is>
      </c>
      <c r="F7" s="240" t="n"/>
      <c r="G7" s="177" t="n"/>
      <c r="H7" s="271" t="str">
        <f>IF(AND(ISNUMBER(F7),ISNUMBER(G7)),F7*G7,"")</f>
        <v/>
      </c>
      <c r="I7" s="240" t="n">
        <v>1.5</v>
      </c>
      <c r="J7" s="177" t="n">
        <v>0.052395</v>
      </c>
      <c r="K7" s="271">
        <f>IF(AND(ISNUMBER(I7),ISNUMBER(J7)),I7*J7,"")</f>
        <v>0.0785925</v>
      </c>
      <c r="L7" s="240">
        <f>IF(COUNT(F7,I7)=0,"",N(F7)-N(I7))</f>
        <v>-1.5</v>
      </c>
      <c r="M7" s="241">
        <f>IF(COUNT(H7,K7)=0,"",N(K7)-N(H7))</f>
        <v>0.0785925</v>
      </c>
      <c r="N7" s="240">
        <f>IF(AND(ISNUMBER(F7),ISNUMBER(G7),F7&gt;0,1-N(Ввод!$J$19)/100&gt;0),G7/(1-N(Ввод!$J$19)/100),IF(AND(ISNUMBER(I7),ISNUMBER(J7),I7&gt;0),J7/(1+N(Ввод!$J$19)/100),""))</f>
        <v>0.0522904191616766</v>
      </c>
    </row>
    <row r="8" ht="22" customHeight="1">
      <c r="B8" s="244" t="inlineStr">
        <is>
          <t>L-0002</t>
        </is>
      </c>
      <c r="C8" s="243" t="n">
        <v>46297</v>
      </c>
      <c r="D8" s="244" t="inlineStr">
        <is>
          <t>Bybit</t>
        </is>
      </c>
      <c r="E8" s="245" t="inlineStr">
        <is>
          <t>ETH/USDT</t>
        </is>
      </c>
      <c r="F8" s="246" t="n">
        <v>1</v>
      </c>
      <c r="G8" s="183" t="n">
        <v>3206.4</v>
      </c>
      <c r="H8" s="271">
        <f>IF(AND(ISNUMBER(F8),ISNUMBER(G8)),F8*G8,"")</f>
        <v>3206.4</v>
      </c>
      <c r="I8" s="246" t="n"/>
      <c r="J8" s="183" t="n"/>
      <c r="K8" s="271" t="str">
        <f>IF(AND(ISNUMBER(I8),ISNUMBER(J8)),I8*J8,"")</f>
        <v/>
      </c>
      <c r="L8" s="246">
        <f>IF(COUNT(F8,I8)=0,"",N(F8)-N(I8))</f>
        <v>1</v>
      </c>
      <c r="M8" s="247">
        <f>IF(COUNT(H8,K8)=0,"",N(K8)-N(H8))</f>
        <v>-3206.4</v>
      </c>
      <c r="N8" s="246">
        <f>IF(AND(ISNUMBER(F8),ISNUMBER(G8),F8&gt;0,1-N(Ввод!$J$19)/100&gt;0),G8/(1-N(Ввод!$J$19)/100),IF(AND(ISNUMBER(I8),ISNUMBER(J8),I8&gt;0),J8/(1+N(Ввод!$J$19)/100),""))</f>
        <v>3212.82565130261</v>
      </c>
    </row>
    <row r="9" ht="22" customHeight="1">
      <c r="B9" s="238" t="inlineStr">
        <is>
          <t>L-0007</t>
        </is>
      </c>
      <c r="C9" s="237" t="n">
        <v>46300</v>
      </c>
      <c r="D9" s="238" t="inlineStr">
        <is>
          <t>Binance</t>
        </is>
      </c>
      <c r="E9" s="239" t="inlineStr">
        <is>
          <t>ETH/USDT</t>
        </is>
      </c>
      <c r="F9" s="240" t="n">
        <v>1.2</v>
      </c>
      <c r="G9" s="177" t="n">
        <v>3186.36</v>
      </c>
      <c r="H9" s="271">
        <f>IF(AND(ISNUMBER(F9),ISNUMBER(G9)),F9*G9,"")</f>
        <v>3823.632</v>
      </c>
      <c r="I9" s="240" t="n"/>
      <c r="J9" s="177" t="n"/>
      <c r="K9" s="271" t="str">
        <f>IF(AND(ISNUMBER(I9),ISNUMBER(J9)),I9*J9,"")</f>
        <v/>
      </c>
      <c r="L9" s="240">
        <f>IF(COUNT(F9,I9)=0,"",N(F9)-N(I9))</f>
        <v>1.2</v>
      </c>
      <c r="M9" s="241">
        <f>IF(COUNT(H9,K9)=0,"",N(K9)-N(H9))</f>
        <v>-3823.632</v>
      </c>
      <c r="N9" s="240">
        <f>IF(AND(ISNUMBER(F9),ISNUMBER(G9),F9&gt;0,1-N(Ввод!$J$19)/100&gt;0),G9/(1-N(Ввод!$J$19)/100),IF(AND(ISNUMBER(I9),ISNUMBER(J9),I9&gt;0),J9/(1+N(Ввод!$J$19)/100),""))</f>
        <v>3192.74549098196</v>
      </c>
    </row>
    <row r="10" ht="22" customHeight="1">
      <c r="B10" s="244" t="inlineStr">
        <is>
          <t>L-0008</t>
        </is>
      </c>
      <c r="C10" s="243" t="n">
        <v>46300</v>
      </c>
      <c r="D10" s="244" t="inlineStr">
        <is>
          <t>Bybit</t>
        </is>
      </c>
      <c r="E10" s="245" t="inlineStr">
        <is>
          <t>ETH/USDT</t>
        </is>
      </c>
      <c r="F10" s="246" t="n">
        <v>0.8</v>
      </c>
      <c r="G10" s="183" t="n">
        <v>3256.5</v>
      </c>
      <c r="H10" s="271">
        <f>IF(AND(ISNUMBER(F10),ISNUMBER(G10)),F10*G10,"")</f>
        <v>2605.2</v>
      </c>
      <c r="I10" s="246" t="n"/>
      <c r="J10" s="183" t="n"/>
      <c r="K10" s="271" t="str">
        <f>IF(AND(ISNUMBER(I10),ISNUMBER(J10)),I10*J10,"")</f>
        <v/>
      </c>
      <c r="L10" s="246">
        <f>IF(COUNT(F10,I10)=0,"",N(F10)-N(I10))</f>
        <v>0.8</v>
      </c>
      <c r="M10" s="247">
        <f>IF(COUNT(H10,K10)=0,"",N(K10)-N(H10))</f>
        <v>-2605.2</v>
      </c>
      <c r="N10" s="246">
        <f>IF(AND(ISNUMBER(F10),ISNUMBER(G10),F10&gt;0,1-N(Ввод!$J$19)/100&gt;0),G10/(1-N(Ввод!$J$19)/100),IF(AND(ISNUMBER(I10),ISNUMBER(J10),I10&gt;0),J10/(1+N(Ввод!$J$19)/100),""))</f>
        <v>3263.02605210421</v>
      </c>
    </row>
    <row r="11" ht="22" customHeight="1">
      <c r="B11" s="238" t="inlineStr">
        <is>
          <t>L-0009</t>
        </is>
      </c>
      <c r="C11" s="237" t="n">
        <v>46301</v>
      </c>
      <c r="D11" s="238" t="inlineStr">
        <is>
          <t>OKX</t>
        </is>
      </c>
      <c r="E11" s="239" t="inlineStr">
        <is>
          <t>ETH/USDT</t>
        </is>
      </c>
      <c r="F11" s="240" t="n"/>
      <c r="G11" s="177" t="n"/>
      <c r="H11" s="271" t="str">
        <f>IF(AND(ISNUMBER(F11),ISNUMBER(G11)),F11*G11,"")</f>
        <v/>
      </c>
      <c r="I11" s="240" t="n">
        <v>1.5</v>
      </c>
      <c r="J11" s="177" t="n">
        <v>3393.2</v>
      </c>
      <c r="K11" s="271">
        <f>IF(AND(ISNUMBER(I11),ISNUMBER(J11)),I11*J11,"")</f>
        <v>5089.8</v>
      </c>
      <c r="L11" s="240">
        <f>IF(COUNT(F11,I11)=0,"",N(F11)-N(I11))</f>
        <v>-1.5</v>
      </c>
      <c r="M11" s="241">
        <f>IF(COUNT(H11,K11)=0,"",N(K11)-N(H11))</f>
        <v>5089.8</v>
      </c>
      <c r="N11" s="240">
        <f>IF(AND(ISNUMBER(F11),ISNUMBER(G11),F11&gt;0,1-N(Ввод!$J$19)/100&gt;0),G11/(1-N(Ввод!$J$19)/100),IF(AND(ISNUMBER(I11),ISNUMBER(J11),I11&gt;0),J11/(1+N(Ввод!$J$19)/100),""))</f>
        <v>3386.42714570858</v>
      </c>
    </row>
    <row r="12" ht="22" customHeight="1">
      <c r="B12" s="244" t="inlineStr">
        <is>
          <t>L-0010</t>
        </is>
      </c>
      <c r="C12" s="243" t="n">
        <v>46300</v>
      </c>
      <c r="D12" s="244" t="inlineStr">
        <is>
          <t>Binance</t>
        </is>
      </c>
      <c r="E12" s="245" t="inlineStr">
        <is>
          <t>SOL/USDT</t>
        </is>
      </c>
      <c r="F12" s="246" t="n"/>
      <c r="G12" s="183" t="n"/>
      <c r="H12" s="271" t="str">
        <f>IF(AND(ISNUMBER(F12),ISNUMBER(G12)),F12*G12,"")</f>
        <v/>
      </c>
      <c r="I12" s="246" t="n">
        <v>30</v>
      </c>
      <c r="J12" s="183" t="n">
        <v>149.7</v>
      </c>
      <c r="K12" s="271">
        <f>IF(AND(ISNUMBER(I12),ISNUMBER(J12)),I12*J12,"")</f>
        <v>4491</v>
      </c>
      <c r="L12" s="246">
        <f>IF(COUNT(F12,I12)=0,"",N(F12)-N(I12))</f>
        <v>-30</v>
      </c>
      <c r="M12" s="247">
        <f>IF(COUNT(H12,K12)=0,"",N(K12)-N(H12))</f>
        <v>4491</v>
      </c>
      <c r="N12" s="246">
        <f>IF(AND(ISNUMBER(F12),ISNUMBER(G12),F12&gt;0,1-N(Ввод!$J$19)/100&gt;0),G12/(1-N(Ввод!$J$19)/100),IF(AND(ISNUMBER(I12),ISNUMBER(J12),I12&gt;0),J12/(1+N(Ввод!$J$19)/100),""))</f>
        <v>149.40119760479</v>
      </c>
    </row>
    <row r="13" ht="22" customHeight="1">
      <c r="B13" s="238" t="inlineStr">
        <is>
          <t>L-0011</t>
        </is>
      </c>
      <c r="C13" s="237" t="n">
        <v>46301</v>
      </c>
      <c r="D13" s="238" t="inlineStr">
        <is>
          <t>Bybit</t>
        </is>
      </c>
      <c r="E13" s="239" t="inlineStr">
        <is>
          <t>SOL/USDT</t>
        </is>
      </c>
      <c r="F13" s="240" t="n"/>
      <c r="G13" s="177" t="n"/>
      <c r="H13" s="271" t="str">
        <f>IF(AND(ISNUMBER(F13),ISNUMBER(G13)),F13*G13,"")</f>
        <v/>
      </c>
      <c r="I13" s="240" t="n">
        <v>10</v>
      </c>
      <c r="J13" s="177" t="n">
        <v>151.696</v>
      </c>
      <c r="K13" s="271">
        <f>IF(AND(ISNUMBER(I13),ISNUMBER(J13)),I13*J13,"")</f>
        <v>1516.96</v>
      </c>
      <c r="L13" s="240">
        <f>IF(COUNT(F13,I13)=0,"",N(F13)-N(I13))</f>
        <v>-10</v>
      </c>
      <c r="M13" s="241">
        <f>IF(COUNT(H13,K13)=0,"",N(K13)-N(H13))</f>
        <v>1516.96</v>
      </c>
      <c r="N13" s="240">
        <f>IF(AND(ISNUMBER(F13),ISNUMBER(G13),F13&gt;0,1-N(Ввод!$J$19)/100&gt;0),G13/(1-N(Ввод!$J$19)/100),IF(AND(ISNUMBER(I13),ISNUMBER(J13),I13&gt;0),J13/(1+N(Ввод!$J$19)/100),""))</f>
        <v>151.393213572854</v>
      </c>
    </row>
    <row r="14" ht="22" customHeight="1">
      <c r="B14" s="244" t="inlineStr">
        <is>
          <t>L-0012</t>
        </is>
      </c>
      <c r="C14" s="243" t="n">
        <v>46301</v>
      </c>
      <c r="D14" s="244" t="inlineStr">
        <is>
          <t>OKX</t>
        </is>
      </c>
      <c r="E14" s="245" t="inlineStr">
        <is>
          <t>SOL/USDT</t>
        </is>
      </c>
      <c r="F14" s="246" t="n">
        <v>25</v>
      </c>
      <c r="G14" s="183" t="n">
        <v>146.292</v>
      </c>
      <c r="H14" s="271">
        <f>IF(AND(ISNUMBER(F14),ISNUMBER(G14)),F14*G14,"")</f>
        <v>3657.3</v>
      </c>
      <c r="I14" s="246" t="n"/>
      <c r="J14" s="183" t="n"/>
      <c r="K14" s="271" t="str">
        <f>IF(AND(ISNUMBER(I14),ISNUMBER(J14)),I14*J14,"")</f>
        <v/>
      </c>
      <c r="L14" s="246">
        <f>IF(COUNT(F14,I14)=0,"",N(F14)-N(I14))</f>
        <v>25</v>
      </c>
      <c r="M14" s="247">
        <f>IF(COUNT(H14,K14)=0,"",N(K14)-N(H14))</f>
        <v>-3657.3</v>
      </c>
      <c r="N14" s="246">
        <f>IF(AND(ISNUMBER(F14),ISNUMBER(G14),F14&gt;0,1-N(Ввод!$J$19)/100&gt;0),G14/(1-N(Ввод!$J$19)/100),IF(AND(ISNUMBER(I14),ISNUMBER(J14),I14&gt;0),J14/(1+N(Ввод!$J$19)/100),""))</f>
        <v>146.585170340681</v>
      </c>
    </row>
    <row r="15" ht="22" customHeight="1">
      <c r="B15" s="238" t="n"/>
      <c r="C15" s="237" t="n"/>
      <c r="D15" s="238" t="n"/>
      <c r="E15" s="239" t="n"/>
      <c r="F15" s="240" t="n"/>
      <c r="G15" s="177" t="n"/>
      <c r="H15" s="271" t="str">
        <f>IF(AND(ISNUMBER(F15),ISNUMBER(G15)),F15*G15,"")</f>
        <v/>
      </c>
      <c r="I15" s="240" t="n"/>
      <c r="J15" s="177" t="n"/>
      <c r="K15" s="271" t="str">
        <f>IF(AND(ISNUMBER(I15),ISNUMBER(J15)),I15*J15,"")</f>
        <v/>
      </c>
      <c r="L15" s="240" t="str">
        <f>IF(COUNT(F15,I15)=0,"",N(F15)-N(I15))</f>
        <v/>
      </c>
      <c r="M15" s="241" t="str">
        <f>IF(COUNT(H15,K15)=0,"",N(K15)-N(H15))</f>
        <v/>
      </c>
      <c r="N15" s="240" t="str">
        <f>IF(AND(ISNUMBER(F15),ISNUMBER(G15),F15&gt;0,1-N(Ввод!$J$19)/100&gt;0),G15/(1-N(Ввод!$J$19)/100),IF(AND(ISNUMBER(I15),ISNUMBER(J15),I15&gt;0),J15/(1+N(Ввод!$J$19)/100),""))</f>
        <v/>
      </c>
    </row>
    <row r="16" ht="22" customHeight="1">
      <c r="B16" s="244" t="n"/>
      <c r="C16" s="243" t="n"/>
      <c r="D16" s="244" t="n"/>
      <c r="E16" s="245" t="n"/>
      <c r="F16" s="246" t="n"/>
      <c r="G16" s="183" t="n"/>
      <c r="H16" s="271" t="str">
        <f>IF(AND(ISNUMBER(F16),ISNUMBER(G16)),F16*G16,"")</f>
        <v/>
      </c>
      <c r="I16" s="246" t="n"/>
      <c r="J16" s="183" t="n"/>
      <c r="K16" s="271" t="str">
        <f>IF(AND(ISNUMBER(I16),ISNUMBER(J16)),I16*J16,"")</f>
        <v/>
      </c>
      <c r="L16" s="246" t="str">
        <f>IF(COUNT(F16,I16)=0,"",N(F16)-N(I16))</f>
        <v/>
      </c>
      <c r="M16" s="247" t="str">
        <f>IF(COUNT(H16,K16)=0,"",N(K16)-N(H16))</f>
        <v/>
      </c>
      <c r="N16" s="246" t="str">
        <f>IF(AND(ISNUMBER(F16),ISNUMBER(G16),F16&gt;0,1-N(Ввод!$J$19)/100&gt;0),G16/(1-N(Ввод!$J$19)/100),IF(AND(ISNUMBER(I16),ISNUMBER(J16),I16&gt;0),J16/(1+N(Ввод!$J$19)/100),""))</f>
        <v/>
      </c>
    </row>
    <row r="17" ht="22" customHeight="1">
      <c r="B17" s="238" t="n"/>
      <c r="C17" s="237" t="n"/>
      <c r="D17" s="238" t="n"/>
      <c r="E17" s="239" t="n"/>
      <c r="F17" s="240" t="n"/>
      <c r="G17" s="177" t="n"/>
      <c r="H17" s="271" t="str">
        <f>IF(AND(ISNUMBER(F17),ISNUMBER(G17)),F17*G17,"")</f>
        <v/>
      </c>
      <c r="I17" s="240" t="n"/>
      <c r="J17" s="177" t="n"/>
      <c r="K17" s="271" t="str">
        <f>IF(AND(ISNUMBER(I17),ISNUMBER(J17)),I17*J17,"")</f>
        <v/>
      </c>
      <c r="L17" s="240" t="str">
        <f>IF(COUNT(F17,I17)=0,"",N(F17)-N(I17))</f>
        <v/>
      </c>
      <c r="M17" s="241" t="str">
        <f>IF(COUNT(H17,K17)=0,"",N(K17)-N(H17))</f>
        <v/>
      </c>
      <c r="N17" s="240" t="str">
        <f>IF(AND(ISNUMBER(F17),ISNUMBER(G17),F17&gt;0,1-N(Ввод!$J$19)/100&gt;0),G17/(1-N(Ввод!$J$19)/100),IF(AND(ISNUMBER(I17),ISNUMBER(J17),I17&gt;0),J17/(1+N(Ввод!$J$19)/100),""))</f>
        <v/>
      </c>
    </row>
    <row r="18" ht="22" customHeight="1">
      <c r="B18" s="244" t="n"/>
      <c r="C18" s="243" t="n"/>
      <c r="D18" s="244" t="n"/>
      <c r="E18" s="245" t="n"/>
      <c r="F18" s="246" t="n"/>
      <c r="G18" s="183" t="n"/>
      <c r="H18" s="271" t="str">
        <f>IF(AND(ISNUMBER(F18),ISNUMBER(G18)),F18*G18,"")</f>
        <v/>
      </c>
      <c r="I18" s="246" t="n"/>
      <c r="J18" s="183" t="n"/>
      <c r="K18" s="271" t="str">
        <f>IF(AND(ISNUMBER(I18),ISNUMBER(J18)),I18*J18,"")</f>
        <v/>
      </c>
      <c r="L18" s="246" t="str">
        <f>IF(COUNT(F18,I18)=0,"",N(F18)-N(I18))</f>
        <v/>
      </c>
      <c r="M18" s="247" t="str">
        <f>IF(COUNT(H18,K18)=0,"",N(K18)-N(H18))</f>
        <v/>
      </c>
      <c r="N18" s="246" t="str">
        <f>IF(AND(ISNUMBER(F18),ISNUMBER(G18),F18&gt;0,1-N(Ввод!$J$19)/100&gt;0),G18/(1-N(Ввод!$J$19)/100),IF(AND(ISNUMBER(I18),ISNUMBER(J18),I18&gt;0),J18/(1+N(Ввод!$J$19)/100),""))</f>
        <v/>
      </c>
    </row>
    <row r="19" ht="22" customHeight="1">
      <c r="B19" s="238" t="n"/>
      <c r="C19" s="237" t="n"/>
      <c r="D19" s="238" t="n"/>
      <c r="E19" s="239" t="n"/>
      <c r="F19" s="240" t="n"/>
      <c r="G19" s="177" t="n"/>
      <c r="H19" s="271" t="str">
        <f>IF(AND(ISNUMBER(F19),ISNUMBER(G19)),F19*G19,"")</f>
        <v/>
      </c>
      <c r="I19" s="240" t="n"/>
      <c r="J19" s="177" t="n"/>
      <c r="K19" s="271" t="str">
        <f>IF(AND(ISNUMBER(I19),ISNUMBER(J19)),I19*J19,"")</f>
        <v/>
      </c>
      <c r="L19" s="240" t="str">
        <f>IF(COUNT(F19,I19)=0,"",N(F19)-N(I19))</f>
        <v/>
      </c>
      <c r="M19" s="241" t="str">
        <f>IF(COUNT(H19,K19)=0,"",N(K19)-N(H19))</f>
        <v/>
      </c>
      <c r="N19" s="240" t="str">
        <f>IF(AND(ISNUMBER(F19),ISNUMBER(G19),F19&gt;0,1-N(Ввод!$J$19)/100&gt;0),G19/(1-N(Ввод!$J$19)/100),IF(AND(ISNUMBER(I19),ISNUMBER(J19),I19&gt;0),J19/(1+N(Ввод!$J$19)/100),""))</f>
        <v/>
      </c>
    </row>
    <row r="20" ht="22" customHeight="1">
      <c r="B20" s="244" t="n"/>
      <c r="C20" s="243" t="n"/>
      <c r="D20" s="244" t="n"/>
      <c r="E20" s="245" t="n"/>
      <c r="F20" s="246" t="n"/>
      <c r="G20" s="183" t="n"/>
      <c r="H20" s="271" t="str">
        <f>IF(AND(ISNUMBER(F20),ISNUMBER(G20)),F20*G20,"")</f>
        <v/>
      </c>
      <c r="I20" s="246" t="n"/>
      <c r="J20" s="183" t="n"/>
      <c r="K20" s="271" t="str">
        <f>IF(AND(ISNUMBER(I20),ISNUMBER(J20)),I20*J20,"")</f>
        <v/>
      </c>
      <c r="L20" s="246" t="str">
        <f>IF(COUNT(F20,I20)=0,"",N(F20)-N(I20))</f>
        <v/>
      </c>
      <c r="M20" s="247" t="str">
        <f>IF(COUNT(H20,K20)=0,"",N(K20)-N(H20))</f>
        <v/>
      </c>
      <c r="N20" s="246" t="str">
        <f>IF(AND(ISNUMBER(F20),ISNUMBER(G20),F20&gt;0,1-N(Ввод!$J$19)/100&gt;0),G20/(1-N(Ввод!$J$19)/100),IF(AND(ISNUMBER(I20),ISNUMBER(J20),I20&gt;0),J20/(1+N(Ввод!$J$19)/100),""))</f>
        <v/>
      </c>
    </row>
    <row r="21" ht="22" customHeight="1">
      <c r="B21" s="238" t="n"/>
      <c r="C21" s="237" t="n"/>
      <c r="D21" s="238" t="n"/>
      <c r="E21" s="239" t="n"/>
      <c r="F21" s="240" t="n"/>
      <c r="G21" s="177" t="n"/>
      <c r="H21" s="271" t="str">
        <f>IF(AND(ISNUMBER(F21),ISNUMBER(G21)),F21*G21,"")</f>
        <v/>
      </c>
      <c r="I21" s="240" t="n"/>
      <c r="J21" s="177" t="n"/>
      <c r="K21" s="271" t="str">
        <f>IF(AND(ISNUMBER(I21),ISNUMBER(J21)),I21*J21,"")</f>
        <v/>
      </c>
      <c r="L21" s="240" t="str">
        <f>IF(COUNT(F21,I21)=0,"",N(F21)-N(I21))</f>
        <v/>
      </c>
      <c r="M21" s="241" t="str">
        <f>IF(COUNT(H21,K21)=0,"",N(K21)-N(H21))</f>
        <v/>
      </c>
      <c r="N21" s="240" t="str">
        <f>IF(AND(ISNUMBER(F21),ISNUMBER(G21),F21&gt;0,1-N(Ввод!$J$19)/100&gt;0),G21/(1-N(Ввод!$J$19)/100),IF(AND(ISNUMBER(I21),ISNUMBER(J21),I21&gt;0),J21/(1+N(Ввод!$J$19)/100),""))</f>
        <v/>
      </c>
    </row>
    <row r="22" ht="22" customHeight="1">
      <c r="B22" s="244" t="n"/>
      <c r="C22" s="243" t="n"/>
      <c r="D22" s="244" t="n"/>
      <c r="E22" s="245" t="n"/>
      <c r="F22" s="246" t="n"/>
      <c r="G22" s="183" t="n"/>
      <c r="H22" s="271" t="str">
        <f>IF(AND(ISNUMBER(F22),ISNUMBER(G22)),F22*G22,"")</f>
        <v/>
      </c>
      <c r="I22" s="246" t="n"/>
      <c r="J22" s="183" t="n"/>
      <c r="K22" s="271" t="str">
        <f>IF(AND(ISNUMBER(I22),ISNUMBER(J22)),I22*J22,"")</f>
        <v/>
      </c>
      <c r="L22" s="246" t="str">
        <f>IF(COUNT(F22,I22)=0,"",N(F22)-N(I22))</f>
        <v/>
      </c>
      <c r="M22" s="247" t="str">
        <f>IF(COUNT(H22,K22)=0,"",N(K22)-N(H22))</f>
        <v/>
      </c>
      <c r="N22" s="246" t="str">
        <f>IF(AND(ISNUMBER(F22),ISNUMBER(G22),F22&gt;0,1-N(Ввод!$J$19)/100&gt;0),G22/(1-N(Ввод!$J$19)/100),IF(AND(ISNUMBER(I22),ISNUMBER(J22),I22&gt;0),J22/(1+N(Ввод!$J$19)/100),""))</f>
        <v/>
      </c>
    </row>
    <row r="23" ht="22" customHeight="1">
      <c r="B23" s="238" t="n"/>
      <c r="C23" s="237" t="n"/>
      <c r="D23" s="238" t="n"/>
      <c r="E23" s="239" t="n"/>
      <c r="F23" s="240" t="n"/>
      <c r="G23" s="177" t="n"/>
      <c r="H23" s="271" t="str">
        <f>IF(AND(ISNUMBER(F23),ISNUMBER(G23)),F23*G23,"")</f>
        <v/>
      </c>
      <c r="I23" s="240" t="n"/>
      <c r="J23" s="177" t="n"/>
      <c r="K23" s="271" t="str">
        <f>IF(AND(ISNUMBER(I23),ISNUMBER(J23)),I23*J23,"")</f>
        <v/>
      </c>
      <c r="L23" s="240" t="str">
        <f>IF(COUNT(F23,I23)=0,"",N(F23)-N(I23))</f>
        <v/>
      </c>
      <c r="M23" s="241" t="str">
        <f>IF(COUNT(H23,K23)=0,"",N(K23)-N(H23))</f>
        <v/>
      </c>
      <c r="N23" s="240" t="str">
        <f>IF(AND(ISNUMBER(F23),ISNUMBER(G23),F23&gt;0,1-N(Ввод!$J$19)/100&gt;0),G23/(1-N(Ввод!$J$19)/100),IF(AND(ISNUMBER(I23),ISNUMBER(J23),I23&gt;0),J23/(1+N(Ввод!$J$19)/100),""))</f>
        <v/>
      </c>
    </row>
    <row r="24" ht="22" customHeight="1">
      <c r="B24" s="244" t="n"/>
      <c r="C24" s="243" t="n"/>
      <c r="D24" s="244" t="n"/>
      <c r="E24" s="245" t="n"/>
      <c r="F24" s="246" t="n"/>
      <c r="G24" s="183" t="n"/>
      <c r="H24" s="271" t="str">
        <f>IF(AND(ISNUMBER(F24),ISNUMBER(G24)),F24*G24,"")</f>
        <v/>
      </c>
      <c r="I24" s="246" t="n"/>
      <c r="J24" s="183" t="n"/>
      <c r="K24" s="271" t="str">
        <f>IF(AND(ISNUMBER(I24),ISNUMBER(J24)),I24*J24,"")</f>
        <v/>
      </c>
      <c r="L24" s="246" t="str">
        <f>IF(COUNT(F24,I24)=0,"",N(F24)-N(I24))</f>
        <v/>
      </c>
      <c r="M24" s="247" t="str">
        <f>IF(COUNT(H24,K24)=0,"",N(K24)-N(H24))</f>
        <v/>
      </c>
      <c r="N24" s="246" t="str">
        <f>IF(AND(ISNUMBER(F24),ISNUMBER(G24),F24&gt;0,1-N(Ввод!$J$19)/100&gt;0),G24/(1-N(Ввод!$J$19)/100),IF(AND(ISNUMBER(I24),ISNUMBER(J24),I24&gt;0),J24/(1+N(Ввод!$J$19)/100),""))</f>
        <v/>
      </c>
    </row>
    <row r="25" ht="22" customHeight="1">
      <c r="B25" s="238" t="n"/>
      <c r="C25" s="237" t="n"/>
      <c r="D25" s="238" t="n"/>
      <c r="E25" s="239" t="n"/>
      <c r="F25" s="240" t="n"/>
      <c r="G25" s="177" t="n"/>
      <c r="H25" s="271" t="str">
        <f>IF(AND(ISNUMBER(F25),ISNUMBER(G25)),F25*G25,"")</f>
        <v/>
      </c>
      <c r="I25" s="240" t="n"/>
      <c r="J25" s="177" t="n"/>
      <c r="K25" s="271" t="str">
        <f>IF(AND(ISNUMBER(I25),ISNUMBER(J25)),I25*J25,"")</f>
        <v/>
      </c>
      <c r="L25" s="240" t="str">
        <f>IF(COUNT(F25,I25)=0,"",N(F25)-N(I25))</f>
        <v/>
      </c>
      <c r="M25" s="241" t="str">
        <f>IF(COUNT(H25,K25)=0,"",N(K25)-N(H25))</f>
        <v/>
      </c>
      <c r="N25" s="240" t="str">
        <f>IF(AND(ISNUMBER(F25),ISNUMBER(G25),F25&gt;0,1-N(Ввод!$J$19)/100&gt;0),G25/(1-N(Ввод!$J$19)/100),IF(AND(ISNUMBER(I25),ISNUMBER(J25),I25&gt;0),J25/(1+N(Ввод!$J$19)/100),""))</f>
        <v/>
      </c>
    </row>
    <row r="26" ht="22" customHeight="1">
      <c r="B26" s="244" t="n"/>
      <c r="C26" s="243" t="n"/>
      <c r="D26" s="244" t="n"/>
      <c r="E26" s="245" t="n"/>
      <c r="F26" s="246" t="n"/>
      <c r="G26" s="183" t="n"/>
      <c r="H26" s="271" t="str">
        <f>IF(AND(ISNUMBER(F26),ISNUMBER(G26)),F26*G26,"")</f>
        <v/>
      </c>
      <c r="I26" s="246" t="n"/>
      <c r="J26" s="183" t="n"/>
      <c r="K26" s="271" t="str">
        <f>IF(AND(ISNUMBER(I26),ISNUMBER(J26)),I26*J26,"")</f>
        <v/>
      </c>
      <c r="L26" s="246" t="str">
        <f>IF(COUNT(F26,I26)=0,"",N(F26)-N(I26))</f>
        <v/>
      </c>
      <c r="M26" s="247" t="str">
        <f>IF(COUNT(H26,K26)=0,"",N(K26)-N(H26))</f>
        <v/>
      </c>
      <c r="N26" s="246" t="str">
        <f>IF(AND(ISNUMBER(F26),ISNUMBER(G26),F26&gt;0,1-N(Ввод!$J$19)/100&gt;0),G26/(1-N(Ввод!$J$19)/100),IF(AND(ISNUMBER(I26),ISNUMBER(J26),I26&gt;0),J26/(1+N(Ввод!$J$19)/100),""))</f>
        <v/>
      </c>
    </row>
    <row r="27" ht="22" customHeight="1">
      <c r="B27" s="238" t="n"/>
      <c r="C27" s="237" t="n"/>
      <c r="D27" s="238" t="n"/>
      <c r="E27" s="239" t="n"/>
      <c r="F27" s="240" t="n"/>
      <c r="G27" s="177" t="n"/>
      <c r="H27" s="271" t="str">
        <f>IF(AND(ISNUMBER(F27),ISNUMBER(G27)),F27*G27,"")</f>
        <v/>
      </c>
      <c r="I27" s="240" t="n"/>
      <c r="J27" s="177" t="n"/>
      <c r="K27" s="271" t="str">
        <f>IF(AND(ISNUMBER(I27),ISNUMBER(J27)),I27*J27,"")</f>
        <v/>
      </c>
      <c r="L27" s="240" t="str">
        <f>IF(COUNT(F27,I27)=0,"",N(F27)-N(I27))</f>
        <v/>
      </c>
      <c r="M27" s="241" t="str">
        <f>IF(COUNT(H27,K27)=0,"",N(K27)-N(H27))</f>
        <v/>
      </c>
      <c r="N27" s="240" t="str">
        <f>IF(AND(ISNUMBER(F27),ISNUMBER(G27),F27&gt;0,1-N(Ввод!$J$19)/100&gt;0),G27/(1-N(Ввод!$J$19)/100),IF(AND(ISNUMBER(I27),ISNUMBER(J27),I27&gt;0),J27/(1+N(Ввод!$J$19)/100),""))</f>
        <v/>
      </c>
    </row>
    <row r="28" ht="22" customHeight="1">
      <c r="B28" s="244" t="n"/>
      <c r="C28" s="243" t="n"/>
      <c r="D28" s="244" t="n"/>
      <c r="E28" s="245" t="n"/>
      <c r="F28" s="246" t="n"/>
      <c r="G28" s="183" t="n"/>
      <c r="H28" s="271" t="str">
        <f>IF(AND(ISNUMBER(F28),ISNUMBER(G28)),F28*G28,"")</f>
        <v/>
      </c>
      <c r="I28" s="246" t="n"/>
      <c r="J28" s="183" t="n"/>
      <c r="K28" s="271" t="str">
        <f>IF(AND(ISNUMBER(I28),ISNUMBER(J28)),I28*J28,"")</f>
        <v/>
      </c>
      <c r="L28" s="246" t="str">
        <f>IF(COUNT(F28,I28)=0,"",N(F28)-N(I28))</f>
        <v/>
      </c>
      <c r="M28" s="247" t="str">
        <f>IF(COUNT(H28,K28)=0,"",N(K28)-N(H28))</f>
        <v/>
      </c>
      <c r="N28" s="246" t="str">
        <f>IF(AND(ISNUMBER(F28),ISNUMBER(G28),F28&gt;0,1-N(Ввод!$J$19)/100&gt;0),G28/(1-N(Ввод!$J$19)/100),IF(AND(ISNUMBER(I28),ISNUMBER(J28),I28&gt;0),J28/(1+N(Ввод!$J$19)/100),""))</f>
        <v/>
      </c>
    </row>
    <row r="29" ht="22" customHeight="1">
      <c r="B29" s="238" t="n"/>
      <c r="C29" s="237" t="n"/>
      <c r="D29" s="238" t="n"/>
      <c r="E29" s="239" t="n"/>
      <c r="F29" s="240" t="n"/>
      <c r="G29" s="177" t="n"/>
      <c r="H29" s="271" t="str">
        <f>IF(AND(ISNUMBER(F29),ISNUMBER(G29)),F29*G29,"")</f>
        <v/>
      </c>
      <c r="I29" s="240" t="n"/>
      <c r="J29" s="177" t="n"/>
      <c r="K29" s="271" t="str">
        <f>IF(AND(ISNUMBER(I29),ISNUMBER(J29)),I29*J29,"")</f>
        <v/>
      </c>
      <c r="L29" s="240" t="str">
        <f>IF(COUNT(F29,I29)=0,"",N(F29)-N(I29))</f>
        <v/>
      </c>
      <c r="M29" s="241" t="str">
        <f>IF(COUNT(H29,K29)=0,"",N(K29)-N(H29))</f>
        <v/>
      </c>
      <c r="N29" s="240" t="str">
        <f>IF(AND(ISNUMBER(F29),ISNUMBER(G29),F29&gt;0,1-N(Ввод!$J$19)/100&gt;0),G29/(1-N(Ввод!$J$19)/100),IF(AND(ISNUMBER(I29),ISNUMBER(J29),I29&gt;0),J29/(1+N(Ввод!$J$19)/100),""))</f>
        <v/>
      </c>
    </row>
    <row r="30" ht="22" customHeight="1">
      <c r="B30" s="244" t="n"/>
      <c r="C30" s="243" t="n"/>
      <c r="D30" s="244" t="n"/>
      <c r="E30" s="245" t="n"/>
      <c r="F30" s="246" t="n"/>
      <c r="G30" s="183" t="n"/>
      <c r="H30" s="271" t="str">
        <f>IF(AND(ISNUMBER(F30),ISNUMBER(G30)),F30*G30,"")</f>
        <v/>
      </c>
      <c r="I30" s="246" t="n"/>
      <c r="J30" s="183" t="n"/>
      <c r="K30" s="271" t="str">
        <f>IF(AND(ISNUMBER(I30),ISNUMBER(J30)),I30*J30,"")</f>
        <v/>
      </c>
      <c r="L30" s="246" t="str">
        <f>IF(COUNT(F30,I30)=0,"",N(F30)-N(I30))</f>
        <v/>
      </c>
      <c r="M30" s="247" t="str">
        <f>IF(COUNT(H30,K30)=0,"",N(K30)-N(H30))</f>
        <v/>
      </c>
      <c r="N30" s="246" t="str">
        <f>IF(AND(ISNUMBER(F30),ISNUMBER(G30),F30&gt;0,1-N(Ввод!$J$19)/100&gt;0),G30/(1-N(Ввод!$J$19)/100),IF(AND(ISNUMBER(I30),ISNUMBER(J30),I30&gt;0),J30/(1+N(Ввод!$J$19)/100),""))</f>
        <v/>
      </c>
    </row>
    <row r="31" ht="22" customHeight="1">
      <c r="B31" s="238" t="n"/>
      <c r="C31" s="237" t="n"/>
      <c r="D31" s="238" t="n"/>
      <c r="E31" s="239" t="n"/>
      <c r="F31" s="240" t="n"/>
      <c r="G31" s="177" t="n"/>
      <c r="H31" s="271" t="str">
        <f>IF(AND(ISNUMBER(F31),ISNUMBER(G31)),F31*G31,"")</f>
        <v/>
      </c>
      <c r="I31" s="240" t="n"/>
      <c r="J31" s="177" t="n"/>
      <c r="K31" s="271" t="str">
        <f>IF(AND(ISNUMBER(I31),ISNUMBER(J31)),I31*J31,"")</f>
        <v/>
      </c>
      <c r="L31" s="240" t="str">
        <f>IF(COUNT(F31,I31)=0,"",N(F31)-N(I31))</f>
        <v/>
      </c>
      <c r="M31" s="241" t="str">
        <f>IF(COUNT(H31,K31)=0,"",N(K31)-N(H31))</f>
        <v/>
      </c>
      <c r="N31" s="240" t="str">
        <f>IF(AND(ISNUMBER(F31),ISNUMBER(G31),F31&gt;0,1-N(Ввод!$J$19)/100&gt;0),G31/(1-N(Ввод!$J$19)/100),IF(AND(ISNUMBER(I31),ISNUMBER(J31),I31&gt;0),J31/(1+N(Ввод!$J$19)/100),""))</f>
        <v/>
      </c>
    </row>
    <row r="32" ht="22" customHeight="1">
      <c r="B32" s="244" t="n"/>
      <c r="C32" s="243" t="n"/>
      <c r="D32" s="244" t="n"/>
      <c r="E32" s="245" t="n"/>
      <c r="F32" s="246" t="n"/>
      <c r="G32" s="183" t="n"/>
      <c r="H32" s="271" t="str">
        <f>IF(AND(ISNUMBER(F32),ISNUMBER(G32)),F32*G32,"")</f>
        <v/>
      </c>
      <c r="I32" s="246" t="n"/>
      <c r="J32" s="183" t="n"/>
      <c r="K32" s="271" t="str">
        <f>IF(AND(ISNUMBER(I32),ISNUMBER(J32)),I32*J32,"")</f>
        <v/>
      </c>
      <c r="L32" s="246" t="str">
        <f>IF(COUNT(F32,I32)=0,"",N(F32)-N(I32))</f>
        <v/>
      </c>
      <c r="M32" s="247" t="str">
        <f>IF(COUNT(H32,K32)=0,"",N(K32)-N(H32))</f>
        <v/>
      </c>
      <c r="N32" s="246" t="str">
        <f>IF(AND(ISNUMBER(F32),ISNUMBER(G32),F32&gt;0,1-N(Ввод!$J$19)/100&gt;0),G32/(1-N(Ввод!$J$19)/100),IF(AND(ISNUMBER(I32),ISNUMBER(J32),I32&gt;0),J32/(1+N(Ввод!$J$19)/100),""))</f>
        <v/>
      </c>
    </row>
    <row r="33" ht="22" customHeight="1">
      <c r="B33" s="238" t="n"/>
      <c r="C33" s="237" t="n"/>
      <c r="D33" s="238" t="n"/>
      <c r="E33" s="239" t="n"/>
      <c r="F33" s="240" t="n"/>
      <c r="G33" s="177" t="n"/>
      <c r="H33" s="271" t="str">
        <f>IF(AND(ISNUMBER(F33),ISNUMBER(G33)),F33*G33,"")</f>
        <v/>
      </c>
      <c r="I33" s="240" t="n"/>
      <c r="J33" s="177" t="n"/>
      <c r="K33" s="271" t="str">
        <f>IF(AND(ISNUMBER(I33),ISNUMBER(J33)),I33*J33,"")</f>
        <v/>
      </c>
      <c r="L33" s="240" t="str">
        <f>IF(COUNT(F33,I33)=0,"",N(F33)-N(I33))</f>
        <v/>
      </c>
      <c r="M33" s="241" t="str">
        <f>IF(COUNT(H33,K33)=0,"",N(K33)-N(H33))</f>
        <v/>
      </c>
      <c r="N33" s="240" t="str">
        <f>IF(AND(ISNUMBER(F33),ISNUMBER(G33),F33&gt;0,1-N(Ввод!$J$19)/100&gt;0),G33/(1-N(Ввод!$J$19)/100),IF(AND(ISNUMBER(I33),ISNUMBER(J33),I33&gt;0),J33/(1+N(Ввод!$J$19)/100),""))</f>
        <v/>
      </c>
    </row>
    <row r="34" ht="22" customHeight="1">
      <c r="B34" s="244" t="n"/>
      <c r="C34" s="243" t="n"/>
      <c r="D34" s="244" t="n"/>
      <c r="E34" s="245" t="n"/>
      <c r="F34" s="246" t="n"/>
      <c r="G34" s="183" t="n"/>
      <c r="H34" s="271" t="str">
        <f>IF(AND(ISNUMBER(F34),ISNUMBER(G34)),F34*G34,"")</f>
        <v/>
      </c>
      <c r="I34" s="246" t="n"/>
      <c r="J34" s="183" t="n"/>
      <c r="K34" s="271" t="str">
        <f>IF(AND(ISNUMBER(I34),ISNUMBER(J34)),I34*J34,"")</f>
        <v/>
      </c>
      <c r="L34" s="246" t="str">
        <f>IF(COUNT(F34,I34)=0,"",N(F34)-N(I34))</f>
        <v/>
      </c>
      <c r="M34" s="247" t="str">
        <f>IF(COUNT(H34,K34)=0,"",N(K34)-N(H34))</f>
        <v/>
      </c>
      <c r="N34" s="246" t="str">
        <f>IF(AND(ISNUMBER(F34),ISNUMBER(G34),F34&gt;0,1-N(Ввод!$J$19)/100&gt;0),G34/(1-N(Ввод!$J$19)/100),IF(AND(ISNUMBER(I34),ISNUMBER(J34),I34&gt;0),J34/(1+N(Ввод!$J$19)/100),""))</f>
        <v/>
      </c>
    </row>
    <row r="35" ht="22" customHeight="1">
      <c r="B35" s="238" t="n"/>
      <c r="C35" s="237" t="n"/>
      <c r="D35" s="238" t="n"/>
      <c r="E35" s="239" t="n"/>
      <c r="F35" s="240" t="n"/>
      <c r="G35" s="177" t="n"/>
      <c r="H35" s="271" t="str">
        <f>IF(AND(ISNUMBER(F35),ISNUMBER(G35)),F35*G35,"")</f>
        <v/>
      </c>
      <c r="I35" s="240" t="n"/>
      <c r="J35" s="177" t="n"/>
      <c r="K35" s="271" t="str">
        <f>IF(AND(ISNUMBER(I35),ISNUMBER(J35)),I35*J35,"")</f>
        <v/>
      </c>
      <c r="L35" s="240" t="str">
        <f>IF(COUNT(F35,I35)=0,"",N(F35)-N(I35))</f>
        <v/>
      </c>
      <c r="M35" s="241" t="str">
        <f>IF(COUNT(H35,K35)=0,"",N(K35)-N(H35))</f>
        <v/>
      </c>
      <c r="N35" s="240" t="str">
        <f>IF(AND(ISNUMBER(F35),ISNUMBER(G35),F35&gt;0,1-N(Ввод!$J$19)/100&gt;0),G35/(1-N(Ввод!$J$19)/100),IF(AND(ISNUMBER(I35),ISNUMBER(J35),I35&gt;0),J35/(1+N(Ввод!$J$19)/100),""))</f>
        <v/>
      </c>
    </row>
    <row r="36" ht="22" customHeight="1">
      <c r="B36" s="244" t="n"/>
      <c r="C36" s="243" t="n"/>
      <c r="D36" s="244" t="n"/>
      <c r="E36" s="245" t="n"/>
      <c r="F36" s="246" t="n"/>
      <c r="G36" s="183" t="n"/>
      <c r="H36" s="271" t="str">
        <f>IF(AND(ISNUMBER(F36),ISNUMBER(G36)),F36*G36,"")</f>
        <v/>
      </c>
      <c r="I36" s="246" t="n"/>
      <c r="J36" s="183" t="n"/>
      <c r="K36" s="271" t="str">
        <f>IF(AND(ISNUMBER(I36),ISNUMBER(J36)),I36*J36,"")</f>
        <v/>
      </c>
      <c r="L36" s="246" t="str">
        <f>IF(COUNT(F36,I36)=0,"",N(F36)-N(I36))</f>
        <v/>
      </c>
      <c r="M36" s="247" t="str">
        <f>IF(COUNT(H36,K36)=0,"",N(K36)-N(H36))</f>
        <v/>
      </c>
      <c r="N36" s="246" t="str">
        <f>IF(AND(ISNUMBER(F36),ISNUMBER(G36),F36&gt;0,1-N(Ввод!$J$19)/100&gt;0),G36/(1-N(Ввод!$J$19)/100),IF(AND(ISNUMBER(I36),ISNUMBER(J36),I36&gt;0),J36/(1+N(Ввод!$J$19)/100),""))</f>
        <v/>
      </c>
    </row>
    <row r="37" ht="22" customHeight="1">
      <c r="B37" s="238" t="n"/>
      <c r="C37" s="237" t="n"/>
      <c r="D37" s="238" t="n"/>
      <c r="E37" s="239" t="n"/>
      <c r="F37" s="240" t="n"/>
      <c r="G37" s="177" t="n"/>
      <c r="H37" s="271" t="str">
        <f>IF(AND(ISNUMBER(F37),ISNUMBER(G37)),F37*G37,"")</f>
        <v/>
      </c>
      <c r="I37" s="240" t="n"/>
      <c r="J37" s="177" t="n"/>
      <c r="K37" s="271" t="str">
        <f>IF(AND(ISNUMBER(I37),ISNUMBER(J37)),I37*J37,"")</f>
        <v/>
      </c>
      <c r="L37" s="240" t="str">
        <f>IF(COUNT(F37,I37)=0,"",N(F37)-N(I37))</f>
        <v/>
      </c>
      <c r="M37" s="241" t="str">
        <f>IF(COUNT(H37,K37)=0,"",N(K37)-N(H37))</f>
        <v/>
      </c>
      <c r="N37" s="240" t="str">
        <f>IF(AND(ISNUMBER(F37),ISNUMBER(G37),F37&gt;0,1-N(Ввод!$J$19)/100&gt;0),G37/(1-N(Ввод!$J$19)/100),IF(AND(ISNUMBER(I37),ISNUMBER(J37),I37&gt;0),J37/(1+N(Ввод!$J$19)/100),""))</f>
        <v/>
      </c>
    </row>
    <row r="38" ht="22" customHeight="1">
      <c r="B38" s="244" t="n"/>
      <c r="C38" s="243" t="n"/>
      <c r="D38" s="244" t="n"/>
      <c r="E38" s="245" t="n"/>
      <c r="F38" s="246" t="n"/>
      <c r="G38" s="183" t="n"/>
      <c r="H38" s="271" t="str">
        <f>IF(AND(ISNUMBER(F38),ISNUMBER(G38)),F38*G38,"")</f>
        <v/>
      </c>
      <c r="I38" s="246" t="n"/>
      <c r="J38" s="183" t="n"/>
      <c r="K38" s="271" t="str">
        <f>IF(AND(ISNUMBER(I38),ISNUMBER(J38)),I38*J38,"")</f>
        <v/>
      </c>
      <c r="L38" s="246" t="str">
        <f>IF(COUNT(F38,I38)=0,"",N(F38)-N(I38))</f>
        <v/>
      </c>
      <c r="M38" s="247" t="str">
        <f>IF(COUNT(H38,K38)=0,"",N(K38)-N(H38))</f>
        <v/>
      </c>
      <c r="N38" s="246" t="str">
        <f>IF(AND(ISNUMBER(F38),ISNUMBER(G38),F38&gt;0,1-N(Ввод!$J$19)/100&gt;0),G38/(1-N(Ввод!$J$19)/100),IF(AND(ISNUMBER(I38),ISNUMBER(J38),I38&gt;0),J38/(1+N(Ввод!$J$19)/100),""))</f>
        <v/>
      </c>
    </row>
    <row r="39" ht="22" customHeight="1">
      <c r="B39" s="238" t="n"/>
      <c r="C39" s="237" t="n"/>
      <c r="D39" s="238" t="n"/>
      <c r="E39" s="239" t="n"/>
      <c r="F39" s="240" t="n"/>
      <c r="G39" s="177" t="n"/>
      <c r="H39" s="271" t="str">
        <f>IF(AND(ISNUMBER(F39),ISNUMBER(G39)),F39*G39,"")</f>
        <v/>
      </c>
      <c r="I39" s="240" t="n"/>
      <c r="J39" s="177" t="n"/>
      <c r="K39" s="271" t="str">
        <f>IF(AND(ISNUMBER(I39),ISNUMBER(J39)),I39*J39,"")</f>
        <v/>
      </c>
      <c r="L39" s="240" t="str">
        <f>IF(COUNT(F39,I39)=0,"",N(F39)-N(I39))</f>
        <v/>
      </c>
      <c r="M39" s="241" t="str">
        <f>IF(COUNT(H39,K39)=0,"",N(K39)-N(H39))</f>
        <v/>
      </c>
      <c r="N39" s="240" t="str">
        <f>IF(AND(ISNUMBER(F39),ISNUMBER(G39),F39&gt;0,1-N(Ввод!$J$19)/100&gt;0),G39/(1-N(Ввод!$J$19)/100),IF(AND(ISNUMBER(I39),ISNUMBER(J39),I39&gt;0),J39/(1+N(Ввод!$J$19)/100),""))</f>
        <v/>
      </c>
    </row>
    <row r="40" ht="22" customHeight="1">
      <c r="B40" s="244" t="n"/>
      <c r="C40" s="243" t="n"/>
      <c r="D40" s="244" t="n"/>
      <c r="E40" s="245" t="n"/>
      <c r="F40" s="246" t="n"/>
      <c r="G40" s="183" t="n"/>
      <c r="H40" s="271" t="str">
        <f>IF(AND(ISNUMBER(F40),ISNUMBER(G40)),F40*G40,"")</f>
        <v/>
      </c>
      <c r="I40" s="246" t="n"/>
      <c r="J40" s="183" t="n"/>
      <c r="K40" s="271" t="str">
        <f>IF(AND(ISNUMBER(I40),ISNUMBER(J40)),I40*J40,"")</f>
        <v/>
      </c>
      <c r="L40" s="246" t="str">
        <f>IF(COUNT(F40,I40)=0,"",N(F40)-N(I40))</f>
        <v/>
      </c>
      <c r="M40" s="247" t="str">
        <f>IF(COUNT(H40,K40)=0,"",N(K40)-N(H40))</f>
        <v/>
      </c>
      <c r="N40" s="246" t="str">
        <f>IF(AND(ISNUMBER(F40),ISNUMBER(G40),F40&gt;0,1-N(Ввод!$J$19)/100&gt;0),G40/(1-N(Ввод!$J$19)/100),IF(AND(ISNUMBER(I40),ISNUMBER(J40),I40&gt;0),J40/(1+N(Ввод!$J$19)/100),""))</f>
        <v/>
      </c>
    </row>
    <row r="41" ht="22" customHeight="1">
      <c r="B41" s="238" t="n"/>
      <c r="C41" s="237" t="n"/>
      <c r="D41" s="238" t="n"/>
      <c r="E41" s="239" t="n"/>
      <c r="F41" s="240" t="n"/>
      <c r="G41" s="177" t="n"/>
      <c r="H41" s="271" t="str">
        <f>IF(AND(ISNUMBER(F41),ISNUMBER(G41)),F41*G41,"")</f>
        <v/>
      </c>
      <c r="I41" s="240" t="n"/>
      <c r="J41" s="177" t="n"/>
      <c r="K41" s="271" t="str">
        <f>IF(AND(ISNUMBER(I41),ISNUMBER(J41)),I41*J41,"")</f>
        <v/>
      </c>
      <c r="L41" s="240" t="str">
        <f>IF(COUNT(F41,I41)=0,"",N(F41)-N(I41))</f>
        <v/>
      </c>
      <c r="M41" s="241" t="str">
        <f>IF(COUNT(H41,K41)=0,"",N(K41)-N(H41))</f>
        <v/>
      </c>
      <c r="N41" s="240" t="str">
        <f>IF(AND(ISNUMBER(F41),ISNUMBER(G41),F41&gt;0,1-N(Ввод!$J$19)/100&gt;0),G41/(1-N(Ввод!$J$19)/100),IF(AND(ISNUMBER(I41),ISNUMBER(J41),I41&gt;0),J41/(1+N(Ввод!$J$19)/100),""))</f>
        <v/>
      </c>
    </row>
    <row r="42" ht="22" customHeight="1">
      <c r="B42" s="244" t="n"/>
      <c r="C42" s="243" t="n"/>
      <c r="D42" s="244" t="n"/>
      <c r="E42" s="245" t="n"/>
      <c r="F42" s="246" t="n"/>
      <c r="G42" s="183" t="n"/>
      <c r="H42" s="271" t="str">
        <f>IF(AND(ISNUMBER(F42),ISNUMBER(G42)),F42*G42,"")</f>
        <v/>
      </c>
      <c r="I42" s="246" t="n"/>
      <c r="J42" s="183" t="n"/>
      <c r="K42" s="271" t="str">
        <f>IF(AND(ISNUMBER(I42),ISNUMBER(J42)),I42*J42,"")</f>
        <v/>
      </c>
      <c r="L42" s="246" t="str">
        <f>IF(COUNT(F42,I42)=0,"",N(F42)-N(I42))</f>
        <v/>
      </c>
      <c r="M42" s="247" t="str">
        <f>IF(COUNT(H42,K42)=0,"",N(K42)-N(H42))</f>
        <v/>
      </c>
      <c r="N42" s="246" t="str">
        <f>IF(AND(ISNUMBER(F42),ISNUMBER(G42),F42&gt;0,1-N(Ввод!$J$19)/100&gt;0),G42/(1-N(Ввод!$J$19)/100),IF(AND(ISNUMBER(I42),ISNUMBER(J42),I42&gt;0),J42/(1+N(Ввод!$J$19)/100),""))</f>
        <v/>
      </c>
    </row>
    <row r="43" ht="22" customHeight="1">
      <c r="B43" s="238" t="n"/>
      <c r="C43" s="237" t="n"/>
      <c r="D43" s="238" t="n"/>
      <c r="E43" s="239" t="n"/>
      <c r="F43" s="240" t="n"/>
      <c r="G43" s="177" t="n"/>
      <c r="H43" s="271" t="str">
        <f>IF(AND(ISNUMBER(F43),ISNUMBER(G43)),F43*G43,"")</f>
        <v/>
      </c>
      <c r="I43" s="240" t="n"/>
      <c r="J43" s="177" t="n"/>
      <c r="K43" s="271" t="str">
        <f>IF(AND(ISNUMBER(I43),ISNUMBER(J43)),I43*J43,"")</f>
        <v/>
      </c>
      <c r="L43" s="240" t="str">
        <f>IF(COUNT(F43,I43)=0,"",N(F43)-N(I43))</f>
        <v/>
      </c>
      <c r="M43" s="241" t="str">
        <f>IF(COUNT(H43,K43)=0,"",N(K43)-N(H43))</f>
        <v/>
      </c>
      <c r="N43" s="240" t="str">
        <f>IF(AND(ISNUMBER(F43),ISNUMBER(G43),F43&gt;0,1-N(Ввод!$J$19)/100&gt;0),G43/(1-N(Ввод!$J$19)/100),IF(AND(ISNUMBER(I43),ISNUMBER(J43),I43&gt;0),J43/(1+N(Ввод!$J$19)/100),""))</f>
        <v/>
      </c>
    </row>
    <row r="44" ht="22" customHeight="1">
      <c r="B44" s="244" t="n"/>
      <c r="C44" s="243" t="n"/>
      <c r="D44" s="244" t="n"/>
      <c r="E44" s="245" t="n"/>
      <c r="F44" s="246" t="n"/>
      <c r="G44" s="183" t="n"/>
      <c r="H44" s="271" t="str">
        <f>IF(AND(ISNUMBER(F44),ISNUMBER(G44)),F44*G44,"")</f>
        <v/>
      </c>
      <c r="I44" s="246" t="n"/>
      <c r="J44" s="183" t="n"/>
      <c r="K44" s="271" t="str">
        <f>IF(AND(ISNUMBER(I44),ISNUMBER(J44)),I44*J44,"")</f>
        <v/>
      </c>
      <c r="L44" s="246" t="str">
        <f>IF(COUNT(F44,I44)=0,"",N(F44)-N(I44))</f>
        <v/>
      </c>
      <c r="M44" s="247" t="str">
        <f>IF(COUNT(H44,K44)=0,"",N(K44)-N(H44))</f>
        <v/>
      </c>
      <c r="N44" s="246" t="str">
        <f>IF(AND(ISNUMBER(F44),ISNUMBER(G44),F44&gt;0,1-N(Ввод!$J$19)/100&gt;0),G44/(1-N(Ввод!$J$19)/100),IF(AND(ISNUMBER(I44),ISNUMBER(J44),I44&gt;0),J44/(1+N(Ввод!$J$19)/100),""))</f>
        <v/>
      </c>
    </row>
    <row r="45" ht="22" customHeight="1">
      <c r="B45" s="238" t="n"/>
      <c r="C45" s="237" t="n"/>
      <c r="D45" s="238" t="n"/>
      <c r="E45" s="239" t="n"/>
      <c r="F45" s="240" t="n"/>
      <c r="G45" s="177" t="n"/>
      <c r="H45" s="271" t="str">
        <f>IF(AND(ISNUMBER(F45),ISNUMBER(G45)),F45*G45,"")</f>
        <v/>
      </c>
      <c r="I45" s="240" t="n"/>
      <c r="J45" s="177" t="n"/>
      <c r="K45" s="271" t="str">
        <f>IF(AND(ISNUMBER(I45),ISNUMBER(J45)),I45*J45,"")</f>
        <v/>
      </c>
      <c r="L45" s="240" t="str">
        <f>IF(COUNT(F45,I45)=0,"",N(F45)-N(I45))</f>
        <v/>
      </c>
      <c r="M45" s="241" t="str">
        <f>IF(COUNT(H45,K45)=0,"",N(K45)-N(H45))</f>
        <v/>
      </c>
      <c r="N45" s="240" t="str">
        <f>IF(AND(ISNUMBER(F45),ISNUMBER(G45),F45&gt;0,1-N(Ввод!$J$19)/100&gt;0),G45/(1-N(Ввод!$J$19)/100),IF(AND(ISNUMBER(I45),ISNUMBER(J45),I45&gt;0),J45/(1+N(Ввод!$J$19)/100),""))</f>
        <v/>
      </c>
    </row>
    <row r="46" ht="22" customHeight="1">
      <c r="B46" s="244" t="n"/>
      <c r="C46" s="243" t="n"/>
      <c r="D46" s="244" t="n"/>
      <c r="E46" s="245" t="n"/>
      <c r="F46" s="246" t="n"/>
      <c r="G46" s="183" t="n"/>
      <c r="H46" s="271" t="str">
        <f>IF(AND(ISNUMBER(F46),ISNUMBER(G46)),F46*G46,"")</f>
        <v/>
      </c>
      <c r="I46" s="246" t="n"/>
      <c r="J46" s="183" t="n"/>
      <c r="K46" s="271" t="str">
        <f>IF(AND(ISNUMBER(I46),ISNUMBER(J46)),I46*J46,"")</f>
        <v/>
      </c>
      <c r="L46" s="246" t="str">
        <f>IF(COUNT(F46,I46)=0,"",N(F46)-N(I46))</f>
        <v/>
      </c>
      <c r="M46" s="247" t="str">
        <f>IF(COUNT(H46,K46)=0,"",N(K46)-N(H46))</f>
        <v/>
      </c>
      <c r="N46" s="246" t="str">
        <f>IF(AND(ISNUMBER(F46),ISNUMBER(G46),F46&gt;0,1-N(Ввод!$J$19)/100&gt;0),G46/(1-N(Ввод!$J$19)/100),IF(AND(ISNUMBER(I46),ISNUMBER(J46),I46&gt;0),J46/(1+N(Ввод!$J$19)/100),""))</f>
        <v/>
      </c>
    </row>
    <row r="47" ht="22" customHeight="1">
      <c r="B47" s="238" t="n"/>
      <c r="C47" s="237" t="n"/>
      <c r="D47" s="238" t="n"/>
      <c r="E47" s="239" t="n"/>
      <c r="F47" s="240" t="n"/>
      <c r="G47" s="177" t="n"/>
      <c r="H47" s="271" t="str">
        <f>IF(AND(ISNUMBER(F47),ISNUMBER(G47)),F47*G47,"")</f>
        <v/>
      </c>
      <c r="I47" s="240" t="n"/>
      <c r="J47" s="177" t="n"/>
      <c r="K47" s="271" t="str">
        <f>IF(AND(ISNUMBER(I47),ISNUMBER(J47)),I47*J47,"")</f>
        <v/>
      </c>
      <c r="L47" s="240" t="str">
        <f>IF(COUNT(F47,I47)=0,"",N(F47)-N(I47))</f>
        <v/>
      </c>
      <c r="M47" s="241" t="str">
        <f>IF(COUNT(H47,K47)=0,"",N(K47)-N(H47))</f>
        <v/>
      </c>
      <c r="N47" s="240" t="str">
        <f>IF(AND(ISNUMBER(F47),ISNUMBER(G47),F47&gt;0,1-N(Ввод!$J$19)/100&gt;0),G47/(1-N(Ввод!$J$19)/100),IF(AND(ISNUMBER(I47),ISNUMBER(J47),I47&gt;0),J47/(1+N(Ввод!$J$19)/100),""))</f>
        <v/>
      </c>
    </row>
    <row r="48" ht="22" customHeight="1">
      <c r="B48" s="244" t="n"/>
      <c r="C48" s="243" t="n"/>
      <c r="D48" s="244" t="n"/>
      <c r="E48" s="245" t="n"/>
      <c r="F48" s="246" t="n"/>
      <c r="G48" s="183" t="n"/>
      <c r="H48" s="271" t="str">
        <f>IF(AND(ISNUMBER(F48),ISNUMBER(G48)),F48*G48,"")</f>
        <v/>
      </c>
      <c r="I48" s="246" t="n"/>
      <c r="J48" s="183" t="n"/>
      <c r="K48" s="271" t="str">
        <f>IF(AND(ISNUMBER(I48),ISNUMBER(J48)),I48*J48,"")</f>
        <v/>
      </c>
      <c r="L48" s="246" t="str">
        <f>IF(COUNT(F48,I48)=0,"",N(F48)-N(I48))</f>
        <v/>
      </c>
      <c r="M48" s="247" t="str">
        <f>IF(COUNT(H48,K48)=0,"",N(K48)-N(H48))</f>
        <v/>
      </c>
      <c r="N48" s="246" t="str">
        <f>IF(AND(ISNUMBER(F48),ISNUMBER(G48),F48&gt;0,1-N(Ввод!$J$19)/100&gt;0),G48/(1-N(Ввод!$J$19)/100),IF(AND(ISNUMBER(I48),ISNUMBER(J48),I48&gt;0),J48/(1+N(Ввод!$J$19)/100),""))</f>
        <v/>
      </c>
    </row>
    <row r="49" ht="22" customHeight="1">
      <c r="B49" s="238" t="n"/>
      <c r="C49" s="237" t="n"/>
      <c r="D49" s="238" t="n"/>
      <c r="E49" s="239" t="n"/>
      <c r="F49" s="240" t="n"/>
      <c r="G49" s="177" t="n"/>
      <c r="H49" s="271" t="str">
        <f>IF(AND(ISNUMBER(F49),ISNUMBER(G49)),F49*G49,"")</f>
        <v/>
      </c>
      <c r="I49" s="240" t="n"/>
      <c r="J49" s="177" t="n"/>
      <c r="K49" s="271" t="str">
        <f>IF(AND(ISNUMBER(I49),ISNUMBER(J49)),I49*J49,"")</f>
        <v/>
      </c>
      <c r="L49" s="240" t="str">
        <f>IF(COUNT(F49,I49)=0,"",N(F49)-N(I49))</f>
        <v/>
      </c>
      <c r="M49" s="241" t="str">
        <f>IF(COUNT(H49,K49)=0,"",N(K49)-N(H49))</f>
        <v/>
      </c>
      <c r="N49" s="240" t="str">
        <f>IF(AND(ISNUMBER(F49),ISNUMBER(G49),F49&gt;0,1-N(Ввод!$J$19)/100&gt;0),G49/(1-N(Ввод!$J$19)/100),IF(AND(ISNUMBER(I49),ISNUMBER(J49),I49&gt;0),J49/(1+N(Ввод!$J$19)/100),""))</f>
        <v/>
      </c>
    </row>
    <row r="50" ht="22" customHeight="1">
      <c r="B50" s="244" t="n"/>
      <c r="C50" s="243" t="n"/>
      <c r="D50" s="244" t="n"/>
      <c r="E50" s="245" t="n"/>
      <c r="F50" s="246" t="n"/>
      <c r="G50" s="183" t="n"/>
      <c r="H50" s="271" t="str">
        <f>IF(AND(ISNUMBER(F50),ISNUMBER(G50)),F50*G50,"")</f>
        <v/>
      </c>
      <c r="I50" s="246" t="n"/>
      <c r="J50" s="183" t="n"/>
      <c r="K50" s="271" t="str">
        <f>IF(AND(ISNUMBER(I50),ISNUMBER(J50)),I50*J50,"")</f>
        <v/>
      </c>
      <c r="L50" s="246" t="str">
        <f>IF(COUNT(F50,I50)=0,"",N(F50)-N(I50))</f>
        <v/>
      </c>
      <c r="M50" s="247" t="str">
        <f>IF(COUNT(H50,K50)=0,"",N(K50)-N(H50))</f>
        <v/>
      </c>
      <c r="N50" s="246" t="str">
        <f>IF(AND(ISNUMBER(F50),ISNUMBER(G50),F50&gt;0,1-N(Ввод!$J$19)/100&gt;0),G50/(1-N(Ввод!$J$19)/100),IF(AND(ISNUMBER(I50),ISNUMBER(J50),I50&gt;0),J50/(1+N(Ввод!$J$19)/100),""))</f>
        <v/>
      </c>
    </row>
    <row r="51" ht="22" customHeight="1">
      <c r="B51" s="238" t="n"/>
      <c r="C51" s="237" t="n"/>
      <c r="D51" s="238" t="n"/>
      <c r="E51" s="239" t="n"/>
      <c r="F51" s="240" t="n"/>
      <c r="G51" s="177" t="n"/>
      <c r="H51" s="271" t="str">
        <f>IF(AND(ISNUMBER(F51),ISNUMBER(G51)),F51*G51,"")</f>
        <v/>
      </c>
      <c r="I51" s="240" t="n"/>
      <c r="J51" s="177" t="n"/>
      <c r="K51" s="271" t="str">
        <f>IF(AND(ISNUMBER(I51),ISNUMBER(J51)),I51*J51,"")</f>
        <v/>
      </c>
      <c r="L51" s="240" t="str">
        <f>IF(COUNT(F51,I51)=0,"",N(F51)-N(I51))</f>
        <v/>
      </c>
      <c r="M51" s="241" t="str">
        <f>IF(COUNT(H51,K51)=0,"",N(K51)-N(H51))</f>
        <v/>
      </c>
      <c r="N51" s="240" t="str">
        <f>IF(AND(ISNUMBER(F51),ISNUMBER(G51),F51&gt;0,1-N(Ввод!$J$19)/100&gt;0),G51/(1-N(Ввод!$J$19)/100),IF(AND(ISNUMBER(I51),ISNUMBER(J51),I51&gt;0),J51/(1+N(Ввод!$J$19)/100),""))</f>
        <v/>
      </c>
    </row>
    <row r="52" ht="22" customHeight="1">
      <c r="B52" s="244" t="n"/>
      <c r="C52" s="243" t="n"/>
      <c r="D52" s="244" t="n"/>
      <c r="E52" s="245" t="n"/>
      <c r="F52" s="246" t="n"/>
      <c r="G52" s="183" t="n"/>
      <c r="H52" s="271" t="str">
        <f>IF(AND(ISNUMBER(F52),ISNUMBER(G52)),F52*G52,"")</f>
        <v/>
      </c>
      <c r="I52" s="246" t="n"/>
      <c r="J52" s="183" t="n"/>
      <c r="K52" s="271" t="str">
        <f>IF(AND(ISNUMBER(I52),ISNUMBER(J52)),I52*J52,"")</f>
        <v/>
      </c>
      <c r="L52" s="246" t="str">
        <f>IF(COUNT(F52,I52)=0,"",N(F52)-N(I52))</f>
        <v/>
      </c>
      <c r="M52" s="247" t="str">
        <f>IF(COUNT(H52,K52)=0,"",N(K52)-N(H52))</f>
        <v/>
      </c>
      <c r="N52" s="246" t="str">
        <f>IF(AND(ISNUMBER(F52),ISNUMBER(G52),F52&gt;0,1-N(Ввод!$J$19)/100&gt;0),G52/(1-N(Ввод!$J$19)/100),IF(AND(ISNUMBER(I52),ISNUMBER(J52),I52&gt;0),J52/(1+N(Ввод!$J$19)/100),""))</f>
        <v/>
      </c>
    </row>
    <row r="53" ht="22" customHeight="1">
      <c r="B53" s="238" t="n"/>
      <c r="C53" s="237" t="n"/>
      <c r="D53" s="238" t="n"/>
      <c r="E53" s="239" t="n"/>
      <c r="F53" s="240" t="n"/>
      <c r="G53" s="177" t="n"/>
      <c r="H53" s="271" t="str">
        <f>IF(AND(ISNUMBER(F53),ISNUMBER(G53)),F53*G53,"")</f>
        <v/>
      </c>
      <c r="I53" s="240" t="n"/>
      <c r="J53" s="177" t="n"/>
      <c r="K53" s="271" t="str">
        <f>IF(AND(ISNUMBER(I53),ISNUMBER(J53)),I53*J53,"")</f>
        <v/>
      </c>
      <c r="L53" s="240" t="str">
        <f>IF(COUNT(F53,I53)=0,"",N(F53)-N(I53))</f>
        <v/>
      </c>
      <c r="M53" s="241" t="str">
        <f>IF(COUNT(H53,K53)=0,"",N(K53)-N(H53))</f>
        <v/>
      </c>
      <c r="N53" s="240" t="str">
        <f>IF(AND(ISNUMBER(F53),ISNUMBER(G53),F53&gt;0,1-N(Ввод!$J$19)/100&gt;0),G53/(1-N(Ввод!$J$19)/100),IF(AND(ISNUMBER(I53),ISNUMBER(J53),I53&gt;0),J53/(1+N(Ввод!$J$19)/100),""))</f>
        <v/>
      </c>
    </row>
    <row r="54" ht="22" customHeight="1">
      <c r="B54" s="244" t="n"/>
      <c r="C54" s="243" t="n"/>
      <c r="D54" s="244" t="n"/>
      <c r="E54" s="245" t="n"/>
      <c r="F54" s="246" t="n"/>
      <c r="G54" s="183" t="n"/>
      <c r="H54" s="271" t="str">
        <f>IF(AND(ISNUMBER(F54),ISNUMBER(G54)),F54*G54,"")</f>
        <v/>
      </c>
      <c r="I54" s="246" t="n"/>
      <c r="J54" s="183" t="n"/>
      <c r="K54" s="271" t="str">
        <f>IF(AND(ISNUMBER(I54),ISNUMBER(J54)),I54*J54,"")</f>
        <v/>
      </c>
      <c r="L54" s="246" t="str">
        <f>IF(COUNT(F54,I54)=0,"",N(F54)-N(I54))</f>
        <v/>
      </c>
      <c r="M54" s="247" t="str">
        <f>IF(COUNT(H54,K54)=0,"",N(K54)-N(H54))</f>
        <v/>
      </c>
      <c r="N54" s="246" t="str">
        <f>IF(AND(ISNUMBER(F54),ISNUMBER(G54),F54&gt;0,1-N(Ввод!$J$19)/100&gt;0),G54/(1-N(Ввод!$J$19)/100),IF(AND(ISNUMBER(I54),ISNUMBER(J54),I54&gt;0),J54/(1+N(Ввод!$J$19)/100),""))</f>
        <v/>
      </c>
    </row>
    <row r="55" ht="22" customHeight="1">
      <c r="B55" s="238" t="n"/>
      <c r="C55" s="237" t="n"/>
      <c r="D55" s="238" t="n"/>
      <c r="E55" s="239" t="n"/>
      <c r="F55" s="240" t="n"/>
      <c r="G55" s="177" t="n"/>
      <c r="H55" s="271" t="str">
        <f>IF(AND(ISNUMBER(F55),ISNUMBER(G55)),F55*G55,"")</f>
        <v/>
      </c>
      <c r="I55" s="240" t="n"/>
      <c r="J55" s="177" t="n"/>
      <c r="K55" s="271" t="str">
        <f>IF(AND(ISNUMBER(I55),ISNUMBER(J55)),I55*J55,"")</f>
        <v/>
      </c>
      <c r="L55" s="240" t="str">
        <f>IF(COUNT(F55,I55)=0,"",N(F55)-N(I55))</f>
        <v/>
      </c>
      <c r="M55" s="241" t="str">
        <f>IF(COUNT(H55,K55)=0,"",N(K55)-N(H55))</f>
        <v/>
      </c>
      <c r="N55" s="240" t="str">
        <f>IF(AND(ISNUMBER(F55),ISNUMBER(G55),F55&gt;0,1-N(Ввод!$J$19)/100&gt;0),G55/(1-N(Ввод!$J$19)/100),IF(AND(ISNUMBER(I55),ISNUMBER(J55),I55&gt;0),J55/(1+N(Ввод!$J$19)/100),""))</f>
        <v/>
      </c>
    </row>
    <row r="56" ht="22" customHeight="1">
      <c r="B56" s="244" t="n"/>
      <c r="C56" s="243" t="n"/>
      <c r="D56" s="244" t="n"/>
      <c r="E56" s="245" t="n"/>
      <c r="F56" s="246" t="n"/>
      <c r="G56" s="183" t="n"/>
      <c r="H56" s="271" t="str">
        <f>IF(AND(ISNUMBER(F56),ISNUMBER(G56)),F56*G56,"")</f>
        <v/>
      </c>
      <c r="I56" s="246" t="n"/>
      <c r="J56" s="183" t="n"/>
      <c r="K56" s="271" t="str">
        <f>IF(AND(ISNUMBER(I56),ISNUMBER(J56)),I56*J56,"")</f>
        <v/>
      </c>
      <c r="L56" s="246" t="str">
        <f>IF(COUNT(F56,I56)=0,"",N(F56)-N(I56))</f>
        <v/>
      </c>
      <c r="M56" s="247" t="str">
        <f>IF(COUNT(H56,K56)=0,"",N(K56)-N(H56))</f>
        <v/>
      </c>
      <c r="N56" s="246" t="str">
        <f>IF(AND(ISNUMBER(F56),ISNUMBER(G56),F56&gt;0,1-N(Ввод!$J$19)/100&gt;0),G56/(1-N(Ввод!$J$19)/100),IF(AND(ISNUMBER(I56),ISNUMBER(J56),I56&gt;0),J56/(1+N(Ввод!$J$19)/100),""))</f>
        <v/>
      </c>
    </row>
    <row r="57" ht="22" customHeight="1">
      <c r="B57" s="238" t="n"/>
      <c r="C57" s="237" t="n"/>
      <c r="D57" s="238" t="n"/>
      <c r="E57" s="239" t="n"/>
      <c r="F57" s="240" t="n"/>
      <c r="G57" s="177" t="n"/>
      <c r="H57" s="271" t="str">
        <f>IF(AND(ISNUMBER(F57),ISNUMBER(G57)),F57*G57,"")</f>
        <v/>
      </c>
      <c r="I57" s="240" t="n"/>
      <c r="J57" s="177" t="n"/>
      <c r="K57" s="271" t="str">
        <f>IF(AND(ISNUMBER(I57),ISNUMBER(J57)),I57*J57,"")</f>
        <v/>
      </c>
      <c r="L57" s="240" t="str">
        <f>IF(COUNT(F57,I57)=0,"",N(F57)-N(I57))</f>
        <v/>
      </c>
      <c r="M57" s="241" t="str">
        <f>IF(COUNT(H57,K57)=0,"",N(K57)-N(H57))</f>
        <v/>
      </c>
      <c r="N57" s="240" t="str">
        <f>IF(AND(ISNUMBER(F57),ISNUMBER(G57),F57&gt;0,1-N(Ввод!$J$19)/100&gt;0),G57/(1-N(Ввод!$J$19)/100),IF(AND(ISNUMBER(I57),ISNUMBER(J57),I57&gt;0),J57/(1+N(Ввод!$J$19)/100),""))</f>
        <v/>
      </c>
    </row>
    <row r="58" ht="22" customHeight="1">
      <c r="B58" s="244" t="n"/>
      <c r="C58" s="243" t="n"/>
      <c r="D58" s="244" t="n"/>
      <c r="E58" s="245" t="n"/>
      <c r="F58" s="246" t="n"/>
      <c r="G58" s="183" t="n"/>
      <c r="H58" s="271" t="str">
        <f>IF(AND(ISNUMBER(F58),ISNUMBER(G58)),F58*G58,"")</f>
        <v/>
      </c>
      <c r="I58" s="246" t="n"/>
      <c r="J58" s="183" t="n"/>
      <c r="K58" s="271" t="str">
        <f>IF(AND(ISNUMBER(I58),ISNUMBER(J58)),I58*J58,"")</f>
        <v/>
      </c>
      <c r="L58" s="246" t="str">
        <f>IF(COUNT(F58,I58)=0,"",N(F58)-N(I58))</f>
        <v/>
      </c>
      <c r="M58" s="247" t="str">
        <f>IF(COUNT(H58,K58)=0,"",N(K58)-N(H58))</f>
        <v/>
      </c>
      <c r="N58" s="246" t="str">
        <f>IF(AND(ISNUMBER(F58),ISNUMBER(G58),F58&gt;0,1-N(Ввод!$J$19)/100&gt;0),G58/(1-N(Ввод!$J$19)/100),IF(AND(ISNUMBER(I58),ISNUMBER(J58),I58&gt;0),J58/(1+N(Ввод!$J$19)/100),""))</f>
        <v/>
      </c>
    </row>
    <row r="59" ht="22" customHeight="1">
      <c r="B59" s="238" t="n"/>
      <c r="C59" s="237" t="n"/>
      <c r="D59" s="238" t="n"/>
      <c r="E59" s="239" t="n"/>
      <c r="F59" s="240" t="n"/>
      <c r="G59" s="177" t="n"/>
      <c r="H59" s="271" t="str">
        <f>IF(AND(ISNUMBER(F59),ISNUMBER(G59)),F59*G59,"")</f>
        <v/>
      </c>
      <c r="I59" s="240" t="n"/>
      <c r="J59" s="177" t="n"/>
      <c r="K59" s="271" t="str">
        <f>IF(AND(ISNUMBER(I59),ISNUMBER(J59)),I59*J59,"")</f>
        <v/>
      </c>
      <c r="L59" s="240" t="str">
        <f>IF(COUNT(F59,I59)=0,"",N(F59)-N(I59))</f>
        <v/>
      </c>
      <c r="M59" s="241" t="str">
        <f>IF(COUNT(H59,K59)=0,"",N(K59)-N(H59))</f>
        <v/>
      </c>
      <c r="N59" s="240" t="str">
        <f>IF(AND(ISNUMBER(F59),ISNUMBER(G59),F59&gt;0,1-N(Ввод!$J$19)/100&gt;0),G59/(1-N(Ввод!$J$19)/100),IF(AND(ISNUMBER(I59),ISNUMBER(J59),I59&gt;0),J59/(1+N(Ввод!$J$19)/100),""))</f>
        <v/>
      </c>
    </row>
    <row r="60" ht="22" customHeight="1">
      <c r="B60" s="244" t="n"/>
      <c r="C60" s="243" t="n"/>
      <c r="D60" s="244" t="n"/>
      <c r="E60" s="245" t="n"/>
      <c r="F60" s="246" t="n"/>
      <c r="G60" s="183" t="n"/>
      <c r="H60" s="271" t="str">
        <f>IF(AND(ISNUMBER(F60),ISNUMBER(G60)),F60*G60,"")</f>
        <v/>
      </c>
      <c r="I60" s="246" t="n"/>
      <c r="J60" s="183" t="n"/>
      <c r="K60" s="271" t="str">
        <f>IF(AND(ISNUMBER(I60),ISNUMBER(J60)),I60*J60,"")</f>
        <v/>
      </c>
      <c r="L60" s="246" t="str">
        <f>IF(COUNT(F60,I60)=0,"",N(F60)-N(I60))</f>
        <v/>
      </c>
      <c r="M60" s="247" t="str">
        <f>IF(COUNT(H60,K60)=0,"",N(K60)-N(H60))</f>
        <v/>
      </c>
      <c r="N60" s="246" t="str">
        <f>IF(AND(ISNUMBER(F60),ISNUMBER(G60),F60&gt;0,1-N(Ввод!$J$19)/100&gt;0),G60/(1-N(Ввод!$J$19)/100),IF(AND(ISNUMBER(I60),ISNUMBER(J60),I60&gt;0),J60/(1+N(Ввод!$J$19)/100),""))</f>
        <v/>
      </c>
    </row>
    <row r="61" ht="22" customHeight="1">
      <c r="B61" s="238" t="n"/>
      <c r="C61" s="237" t="n"/>
      <c r="D61" s="238" t="n"/>
      <c r="E61" s="239" t="n"/>
      <c r="F61" s="240" t="n"/>
      <c r="G61" s="177" t="n"/>
      <c r="H61" s="271" t="str">
        <f>IF(AND(ISNUMBER(F61),ISNUMBER(G61)),F61*G61,"")</f>
        <v/>
      </c>
      <c r="I61" s="240" t="n"/>
      <c r="J61" s="177" t="n"/>
      <c r="K61" s="271" t="str">
        <f>IF(AND(ISNUMBER(I61),ISNUMBER(J61)),I61*J61,"")</f>
        <v/>
      </c>
      <c r="L61" s="240" t="str">
        <f>IF(COUNT(F61,I61)=0,"",N(F61)-N(I61))</f>
        <v/>
      </c>
      <c r="M61" s="241" t="str">
        <f>IF(COUNT(H61,K61)=0,"",N(K61)-N(H61))</f>
        <v/>
      </c>
      <c r="N61" s="240" t="str">
        <f>IF(AND(ISNUMBER(F61),ISNUMBER(G61),F61&gt;0,1-N(Ввод!$J$19)/100&gt;0),G61/(1-N(Ввод!$J$19)/100),IF(AND(ISNUMBER(I61),ISNUMBER(J61),I61&gt;0),J61/(1+N(Ввод!$J$19)/100),""))</f>
        <v/>
      </c>
    </row>
    <row r="62" ht="22" customHeight="1">
      <c r="B62" s="244" t="n"/>
      <c r="C62" s="243" t="n"/>
      <c r="D62" s="244" t="n"/>
      <c r="E62" s="245" t="n"/>
      <c r="F62" s="246" t="n"/>
      <c r="G62" s="183" t="n"/>
      <c r="H62" s="271" t="str">
        <f>IF(AND(ISNUMBER(F62),ISNUMBER(G62)),F62*G62,"")</f>
        <v/>
      </c>
      <c r="I62" s="246" t="n"/>
      <c r="J62" s="183" t="n"/>
      <c r="K62" s="271" t="str">
        <f>IF(AND(ISNUMBER(I62),ISNUMBER(J62)),I62*J62,"")</f>
        <v/>
      </c>
      <c r="L62" s="246" t="str">
        <f>IF(COUNT(F62,I62)=0,"",N(F62)-N(I62))</f>
        <v/>
      </c>
      <c r="M62" s="247" t="str">
        <f>IF(COUNT(H62,K62)=0,"",N(K62)-N(H62))</f>
        <v/>
      </c>
      <c r="N62" s="246" t="str">
        <f>IF(AND(ISNUMBER(F62),ISNUMBER(G62),F62&gt;0,1-N(Ввод!$J$19)/100&gt;0),G62/(1-N(Ввод!$J$19)/100),IF(AND(ISNUMBER(I62),ISNUMBER(J62),I62&gt;0),J62/(1+N(Ввод!$J$19)/100),""))</f>
        <v/>
      </c>
    </row>
    <row r="63" ht="22" customHeight="1">
      <c r="B63" s="238" t="n"/>
      <c r="C63" s="237" t="n"/>
      <c r="D63" s="238" t="n"/>
      <c r="E63" s="239" t="n"/>
      <c r="F63" s="240" t="n"/>
      <c r="G63" s="177" t="n"/>
      <c r="H63" s="271" t="str">
        <f>IF(AND(ISNUMBER(F63),ISNUMBER(G63)),F63*G63,"")</f>
        <v/>
      </c>
      <c r="I63" s="240" t="n"/>
      <c r="J63" s="177" t="n"/>
      <c r="K63" s="271" t="str">
        <f>IF(AND(ISNUMBER(I63),ISNUMBER(J63)),I63*J63,"")</f>
        <v/>
      </c>
      <c r="L63" s="240" t="str">
        <f>IF(COUNT(F63,I63)=0,"",N(F63)-N(I63))</f>
        <v/>
      </c>
      <c r="M63" s="241" t="str">
        <f>IF(COUNT(H63,K63)=0,"",N(K63)-N(H63))</f>
        <v/>
      </c>
      <c r="N63" s="240" t="str">
        <f>IF(AND(ISNUMBER(F63),ISNUMBER(G63),F63&gt;0,1-N(Ввод!$J$19)/100&gt;0),G63/(1-N(Ввод!$J$19)/100),IF(AND(ISNUMBER(I63),ISNUMBER(J63),I63&gt;0),J63/(1+N(Ввод!$J$19)/100),""))</f>
        <v/>
      </c>
    </row>
    <row r="64" ht="22" customHeight="1">
      <c r="B64" s="244" t="n"/>
      <c r="C64" s="243" t="n"/>
      <c r="D64" s="244" t="n"/>
      <c r="E64" s="245" t="n"/>
      <c r="F64" s="246" t="n"/>
      <c r="G64" s="183" t="n"/>
      <c r="H64" s="271" t="str">
        <f>IF(AND(ISNUMBER(F64),ISNUMBER(G64)),F64*G64,"")</f>
        <v/>
      </c>
      <c r="I64" s="246" t="n"/>
      <c r="J64" s="183" t="n"/>
      <c r="K64" s="271" t="str">
        <f>IF(AND(ISNUMBER(I64),ISNUMBER(J64)),I64*J64,"")</f>
        <v/>
      </c>
      <c r="L64" s="246" t="str">
        <f>IF(COUNT(F64,I64)=0,"",N(F64)-N(I64))</f>
        <v/>
      </c>
      <c r="M64" s="247" t="str">
        <f>IF(COUNT(H64,K64)=0,"",N(K64)-N(H64))</f>
        <v/>
      </c>
      <c r="N64" s="246" t="str">
        <f>IF(AND(ISNUMBER(F64),ISNUMBER(G64),F64&gt;0,1-N(Ввод!$J$19)/100&gt;0),G64/(1-N(Ввод!$J$19)/100),IF(AND(ISNUMBER(I64),ISNUMBER(J64),I64&gt;0),J64/(1+N(Ввод!$J$19)/100),""))</f>
        <v/>
      </c>
    </row>
    <row r="65" ht="22" customHeight="1">
      <c r="B65" s="238" t="n"/>
      <c r="C65" s="237" t="n"/>
      <c r="D65" s="238" t="n"/>
      <c r="E65" s="239" t="n"/>
      <c r="F65" s="240" t="n"/>
      <c r="G65" s="177" t="n"/>
      <c r="H65" s="271" t="str">
        <f>IF(AND(ISNUMBER(F65),ISNUMBER(G65)),F65*G65,"")</f>
        <v/>
      </c>
      <c r="I65" s="240" t="n"/>
      <c r="J65" s="177" t="n"/>
      <c r="K65" s="271" t="str">
        <f>IF(AND(ISNUMBER(I65),ISNUMBER(J65)),I65*J65,"")</f>
        <v/>
      </c>
      <c r="L65" s="240" t="str">
        <f>IF(COUNT(F65,I65)=0,"",N(F65)-N(I65))</f>
        <v/>
      </c>
      <c r="M65" s="241" t="str">
        <f>IF(COUNT(H65,K65)=0,"",N(K65)-N(H65))</f>
        <v/>
      </c>
      <c r="N65" s="240" t="str">
        <f>IF(AND(ISNUMBER(F65),ISNUMBER(G65),F65&gt;0,1-N(Ввод!$J$19)/100&gt;0),G65/(1-N(Ввод!$J$19)/100),IF(AND(ISNUMBER(I65),ISNUMBER(J65),I65&gt;0),J65/(1+N(Ввод!$J$19)/100),""))</f>
        <v/>
      </c>
    </row>
    <row r="66" ht="22" customHeight="1">
      <c r="B66" s="244" t="n"/>
      <c r="C66" s="243" t="n"/>
      <c r="D66" s="244" t="n"/>
      <c r="E66" s="245" t="n"/>
      <c r="F66" s="246" t="n"/>
      <c r="G66" s="183" t="n"/>
      <c r="H66" s="271" t="str">
        <f>IF(AND(ISNUMBER(F66),ISNUMBER(G66)),F66*G66,"")</f>
        <v/>
      </c>
      <c r="I66" s="246" t="n"/>
      <c r="J66" s="183" t="n"/>
      <c r="K66" s="271" t="str">
        <f>IF(AND(ISNUMBER(I66),ISNUMBER(J66)),I66*J66,"")</f>
        <v/>
      </c>
      <c r="L66" s="246" t="str">
        <f>IF(COUNT(F66,I66)=0,"",N(F66)-N(I66))</f>
        <v/>
      </c>
      <c r="M66" s="247" t="str">
        <f>IF(COUNT(H66,K66)=0,"",N(K66)-N(H66))</f>
        <v/>
      </c>
      <c r="N66" s="246" t="str">
        <f>IF(AND(ISNUMBER(F66),ISNUMBER(G66),F66&gt;0,1-N(Ввод!$J$19)/100&gt;0),G66/(1-N(Ввод!$J$19)/100),IF(AND(ISNUMBER(I66),ISNUMBER(J66),I66&gt;0),J66/(1+N(Ввод!$J$19)/100),""))</f>
        <v/>
      </c>
    </row>
    <row r="67" ht="22" customHeight="1">
      <c r="B67" s="238" t="n"/>
      <c r="C67" s="237" t="n"/>
      <c r="D67" s="238" t="n"/>
      <c r="E67" s="239" t="n"/>
      <c r="F67" s="240" t="n"/>
      <c r="G67" s="177" t="n"/>
      <c r="H67" s="271" t="str">
        <f>IF(AND(ISNUMBER(F67),ISNUMBER(G67)),F67*G67,"")</f>
        <v/>
      </c>
      <c r="I67" s="240" t="n"/>
      <c r="J67" s="177" t="n"/>
      <c r="K67" s="271" t="str">
        <f>IF(AND(ISNUMBER(I67),ISNUMBER(J67)),I67*J67,"")</f>
        <v/>
      </c>
      <c r="L67" s="240" t="str">
        <f>IF(COUNT(F67,I67)=0,"",N(F67)-N(I67))</f>
        <v/>
      </c>
      <c r="M67" s="241" t="str">
        <f>IF(COUNT(H67,K67)=0,"",N(K67)-N(H67))</f>
        <v/>
      </c>
      <c r="N67" s="240" t="str">
        <f>IF(AND(ISNUMBER(F67),ISNUMBER(G67),F67&gt;0,1-N(Ввод!$J$19)/100&gt;0),G67/(1-N(Ввод!$J$19)/100),IF(AND(ISNUMBER(I67),ISNUMBER(J67),I67&gt;0),J67/(1+N(Ввод!$J$19)/100),""))</f>
        <v/>
      </c>
    </row>
    <row r="68" ht="22" customHeight="1">
      <c r="B68" s="244" t="n"/>
      <c r="C68" s="243" t="n"/>
      <c r="D68" s="244" t="n"/>
      <c r="E68" s="245" t="n"/>
      <c r="F68" s="246" t="n"/>
      <c r="G68" s="183" t="n"/>
      <c r="H68" s="271" t="str">
        <f>IF(AND(ISNUMBER(F68),ISNUMBER(G68)),F68*G68,"")</f>
        <v/>
      </c>
      <c r="I68" s="246" t="n"/>
      <c r="J68" s="183" t="n"/>
      <c r="K68" s="271" t="str">
        <f>IF(AND(ISNUMBER(I68),ISNUMBER(J68)),I68*J68,"")</f>
        <v/>
      </c>
      <c r="L68" s="246" t="str">
        <f>IF(COUNT(F68,I68)=0,"",N(F68)-N(I68))</f>
        <v/>
      </c>
      <c r="M68" s="247" t="str">
        <f>IF(COUNT(H68,K68)=0,"",N(K68)-N(H68))</f>
        <v/>
      </c>
      <c r="N68" s="246" t="str">
        <f>IF(AND(ISNUMBER(F68),ISNUMBER(G68),F68&gt;0,1-N(Ввод!$J$19)/100&gt;0),G68/(1-N(Ввод!$J$19)/100),IF(AND(ISNUMBER(I68),ISNUMBER(J68),I68&gt;0),J68/(1+N(Ввод!$J$19)/100),""))</f>
        <v/>
      </c>
    </row>
    <row r="69" ht="22" customHeight="1">
      <c r="B69" s="238" t="n"/>
      <c r="C69" s="237" t="n"/>
      <c r="D69" s="238" t="n"/>
      <c r="E69" s="239" t="n"/>
      <c r="F69" s="240" t="n"/>
      <c r="G69" s="177" t="n"/>
      <c r="H69" s="271" t="str">
        <f>IF(AND(ISNUMBER(F69),ISNUMBER(G69)),F69*G69,"")</f>
        <v/>
      </c>
      <c r="I69" s="240" t="n"/>
      <c r="J69" s="177" t="n"/>
      <c r="K69" s="271" t="str">
        <f>IF(AND(ISNUMBER(I69),ISNUMBER(J69)),I69*J69,"")</f>
        <v/>
      </c>
      <c r="L69" s="240" t="str">
        <f>IF(COUNT(F69,I69)=0,"",N(F69)-N(I69))</f>
        <v/>
      </c>
      <c r="M69" s="241" t="str">
        <f>IF(COUNT(H69,K69)=0,"",N(K69)-N(H69))</f>
        <v/>
      </c>
      <c r="N69" s="240" t="str">
        <f>IF(AND(ISNUMBER(F69),ISNUMBER(G69),F69&gt;0,1-N(Ввод!$J$19)/100&gt;0),G69/(1-N(Ввод!$J$19)/100),IF(AND(ISNUMBER(I69),ISNUMBER(J69),I69&gt;0),J69/(1+N(Ввод!$J$19)/100),""))</f>
        <v/>
      </c>
    </row>
    <row r="70" ht="22" customHeight="1">
      <c r="B70" s="244" t="n"/>
      <c r="C70" s="243" t="n"/>
      <c r="D70" s="244" t="n"/>
      <c r="E70" s="245" t="n"/>
      <c r="F70" s="246" t="n"/>
      <c r="G70" s="183" t="n"/>
      <c r="H70" s="271" t="str">
        <f>IF(AND(ISNUMBER(F70),ISNUMBER(G70)),F70*G70,"")</f>
        <v/>
      </c>
      <c r="I70" s="246" t="n"/>
      <c r="J70" s="183" t="n"/>
      <c r="K70" s="271" t="str">
        <f>IF(AND(ISNUMBER(I70),ISNUMBER(J70)),I70*J70,"")</f>
        <v/>
      </c>
      <c r="L70" s="246" t="str">
        <f>IF(COUNT(F70,I70)=0,"",N(F70)-N(I70))</f>
        <v/>
      </c>
      <c r="M70" s="247" t="str">
        <f>IF(COUNT(H70,K70)=0,"",N(K70)-N(H70))</f>
        <v/>
      </c>
      <c r="N70" s="246" t="str">
        <f>IF(AND(ISNUMBER(F70),ISNUMBER(G70),F70&gt;0,1-N(Ввод!$J$19)/100&gt;0),G70/(1-N(Ввод!$J$19)/100),IF(AND(ISNUMBER(I70),ISNUMBER(J70),I70&gt;0),J70/(1+N(Ввод!$J$19)/100),""))</f>
        <v/>
      </c>
    </row>
    <row r="71" ht="22" customHeight="1">
      <c r="B71" s="238" t="n"/>
      <c r="C71" s="237" t="n"/>
      <c r="D71" s="238" t="n"/>
      <c r="E71" s="239" t="n"/>
      <c r="F71" s="240" t="n"/>
      <c r="G71" s="177" t="n"/>
      <c r="H71" s="271" t="str">
        <f>IF(AND(ISNUMBER(F71),ISNUMBER(G71)),F71*G71,"")</f>
        <v/>
      </c>
      <c r="I71" s="240" t="n"/>
      <c r="J71" s="177" t="n"/>
      <c r="K71" s="271" t="str">
        <f>IF(AND(ISNUMBER(I71),ISNUMBER(J71)),I71*J71,"")</f>
        <v/>
      </c>
      <c r="L71" s="240" t="str">
        <f>IF(COUNT(F71,I71)=0,"",N(F71)-N(I71))</f>
        <v/>
      </c>
      <c r="M71" s="241" t="str">
        <f>IF(COUNT(H71,K71)=0,"",N(K71)-N(H71))</f>
        <v/>
      </c>
      <c r="N71" s="240" t="str">
        <f>IF(AND(ISNUMBER(F71),ISNUMBER(G71),F71&gt;0,1-N(Ввод!$J$19)/100&gt;0),G71/(1-N(Ввод!$J$19)/100),IF(AND(ISNUMBER(I71),ISNUMBER(J71),I71&gt;0),J71/(1+N(Ввод!$J$19)/100),""))</f>
        <v/>
      </c>
    </row>
    <row r="72" ht="22" customHeight="1">
      <c r="B72" s="244" t="n"/>
      <c r="C72" s="243" t="n"/>
      <c r="D72" s="244" t="n"/>
      <c r="E72" s="245" t="n"/>
      <c r="F72" s="246" t="n"/>
      <c r="G72" s="183" t="n"/>
      <c r="H72" s="271" t="str">
        <f>IF(AND(ISNUMBER(F72),ISNUMBER(G72)),F72*G72,"")</f>
        <v/>
      </c>
      <c r="I72" s="246" t="n"/>
      <c r="J72" s="183" t="n"/>
      <c r="K72" s="271" t="str">
        <f>IF(AND(ISNUMBER(I72),ISNUMBER(J72)),I72*J72,"")</f>
        <v/>
      </c>
      <c r="L72" s="246" t="str">
        <f>IF(COUNT(F72,I72)=0,"",N(F72)-N(I72))</f>
        <v/>
      </c>
      <c r="M72" s="247" t="str">
        <f>IF(COUNT(H72,K72)=0,"",N(K72)-N(H72))</f>
        <v/>
      </c>
      <c r="N72" s="246" t="str">
        <f>IF(AND(ISNUMBER(F72),ISNUMBER(G72),F72&gt;0,1-N(Ввод!$J$19)/100&gt;0),G72/(1-N(Ввод!$J$19)/100),IF(AND(ISNUMBER(I72),ISNUMBER(J72),I72&gt;0),J72/(1+N(Ввод!$J$19)/100),""))</f>
        <v/>
      </c>
    </row>
    <row r="73" ht="22" customHeight="1">
      <c r="B73" s="238" t="n"/>
      <c r="C73" s="237" t="n"/>
      <c r="D73" s="238" t="n"/>
      <c r="E73" s="239" t="n"/>
      <c r="F73" s="240" t="n"/>
      <c r="G73" s="177" t="n"/>
      <c r="H73" s="271" t="str">
        <f>IF(AND(ISNUMBER(F73),ISNUMBER(G73)),F73*G73,"")</f>
        <v/>
      </c>
      <c r="I73" s="240" t="n"/>
      <c r="J73" s="177" t="n"/>
      <c r="K73" s="271" t="str">
        <f>IF(AND(ISNUMBER(I73),ISNUMBER(J73)),I73*J73,"")</f>
        <v/>
      </c>
      <c r="L73" s="240" t="str">
        <f>IF(COUNT(F73,I73)=0,"",N(F73)-N(I73))</f>
        <v/>
      </c>
      <c r="M73" s="241" t="str">
        <f>IF(COUNT(H73,K73)=0,"",N(K73)-N(H73))</f>
        <v/>
      </c>
      <c r="N73" s="240" t="str">
        <f>IF(AND(ISNUMBER(F73),ISNUMBER(G73),F73&gt;0,1-N(Ввод!$J$19)/100&gt;0),G73/(1-N(Ввод!$J$19)/100),IF(AND(ISNUMBER(I73),ISNUMBER(J73),I73&gt;0),J73/(1+N(Ввод!$J$19)/100),""))</f>
        <v/>
      </c>
    </row>
    <row r="74" ht="22" customHeight="1">
      <c r="B74" s="244" t="n"/>
      <c r="C74" s="243" t="n"/>
      <c r="D74" s="244" t="n"/>
      <c r="E74" s="245" t="n"/>
      <c r="F74" s="246" t="n"/>
      <c r="G74" s="183" t="n"/>
      <c r="H74" s="271" t="str">
        <f>IF(AND(ISNUMBER(F74),ISNUMBER(G74)),F74*G74,"")</f>
        <v/>
      </c>
      <c r="I74" s="246" t="n"/>
      <c r="J74" s="183" t="n"/>
      <c r="K74" s="271" t="str">
        <f>IF(AND(ISNUMBER(I74),ISNUMBER(J74)),I74*J74,"")</f>
        <v/>
      </c>
      <c r="L74" s="246" t="str">
        <f>IF(COUNT(F74,I74)=0,"",N(F74)-N(I74))</f>
        <v/>
      </c>
      <c r="M74" s="247" t="str">
        <f>IF(COUNT(H74,K74)=0,"",N(K74)-N(H74))</f>
        <v/>
      </c>
      <c r="N74" s="246" t="str">
        <f>IF(AND(ISNUMBER(F74),ISNUMBER(G74),F74&gt;0,1-N(Ввод!$J$19)/100&gt;0),G74/(1-N(Ввод!$J$19)/100),IF(AND(ISNUMBER(I74),ISNUMBER(J74),I74&gt;0),J74/(1+N(Ввод!$J$19)/100),""))</f>
        <v/>
      </c>
    </row>
    <row r="75" ht="22" customHeight="1">
      <c r="B75" s="238" t="n"/>
      <c r="C75" s="237" t="n"/>
      <c r="D75" s="238" t="n"/>
      <c r="E75" s="239" t="n"/>
      <c r="F75" s="240" t="n"/>
      <c r="G75" s="177" t="n"/>
      <c r="H75" s="271" t="str">
        <f>IF(AND(ISNUMBER(F75),ISNUMBER(G75)),F75*G75,"")</f>
        <v/>
      </c>
      <c r="I75" s="240" t="n"/>
      <c r="J75" s="177" t="n"/>
      <c r="K75" s="271" t="str">
        <f>IF(AND(ISNUMBER(I75),ISNUMBER(J75)),I75*J75,"")</f>
        <v/>
      </c>
      <c r="L75" s="240" t="str">
        <f>IF(COUNT(F75,I75)=0,"",N(F75)-N(I75))</f>
        <v/>
      </c>
      <c r="M75" s="241" t="str">
        <f>IF(COUNT(H75,K75)=0,"",N(K75)-N(H75))</f>
        <v/>
      </c>
      <c r="N75" s="240" t="str">
        <f>IF(AND(ISNUMBER(F75),ISNUMBER(G75),F75&gt;0,1-N(Ввод!$J$19)/100&gt;0),G75/(1-N(Ввод!$J$19)/100),IF(AND(ISNUMBER(I75),ISNUMBER(J75),I75&gt;0),J75/(1+N(Ввод!$J$19)/100),""))</f>
        <v/>
      </c>
    </row>
    <row r="76" ht="22" customHeight="1">
      <c r="B76" s="244" t="n"/>
      <c r="C76" s="243" t="n"/>
      <c r="D76" s="244" t="n"/>
      <c r="E76" s="245" t="n"/>
      <c r="F76" s="246" t="n"/>
      <c r="G76" s="183" t="n"/>
      <c r="H76" s="271" t="str">
        <f>IF(AND(ISNUMBER(F76),ISNUMBER(G76)),F76*G76,"")</f>
        <v/>
      </c>
      <c r="I76" s="246" t="n"/>
      <c r="J76" s="183" t="n"/>
      <c r="K76" s="271" t="str">
        <f>IF(AND(ISNUMBER(I76),ISNUMBER(J76)),I76*J76,"")</f>
        <v/>
      </c>
      <c r="L76" s="246" t="str">
        <f>IF(COUNT(F76,I76)=0,"",N(F76)-N(I76))</f>
        <v/>
      </c>
      <c r="M76" s="247" t="str">
        <f>IF(COUNT(H76,K76)=0,"",N(K76)-N(H76))</f>
        <v/>
      </c>
      <c r="N76" s="246" t="str">
        <f>IF(AND(ISNUMBER(F76),ISNUMBER(G76),F76&gt;0,1-N(Ввод!$J$19)/100&gt;0),G76/(1-N(Ввод!$J$19)/100),IF(AND(ISNUMBER(I76),ISNUMBER(J76),I76&gt;0),J76/(1+N(Ввод!$J$19)/100),""))</f>
        <v/>
      </c>
    </row>
    <row r="77" ht="22" customHeight="1">
      <c r="B77" s="238" t="n"/>
      <c r="C77" s="237" t="n"/>
      <c r="D77" s="238" t="n"/>
      <c r="E77" s="239" t="n"/>
      <c r="F77" s="240" t="n"/>
      <c r="G77" s="177" t="n"/>
      <c r="H77" s="271" t="str">
        <f>IF(AND(ISNUMBER(F77),ISNUMBER(G77)),F77*G77,"")</f>
        <v/>
      </c>
      <c r="I77" s="240" t="n"/>
      <c r="J77" s="177" t="n"/>
      <c r="K77" s="271" t="str">
        <f>IF(AND(ISNUMBER(I77),ISNUMBER(J77)),I77*J77,"")</f>
        <v/>
      </c>
      <c r="L77" s="240" t="str">
        <f>IF(COUNT(F77,I77)=0,"",N(F77)-N(I77))</f>
        <v/>
      </c>
      <c r="M77" s="241" t="str">
        <f>IF(COUNT(H77,K77)=0,"",N(K77)-N(H77))</f>
        <v/>
      </c>
      <c r="N77" s="240" t="str">
        <f>IF(AND(ISNUMBER(F77),ISNUMBER(G77),F77&gt;0,1-N(Ввод!$J$19)/100&gt;0),G77/(1-N(Ввод!$J$19)/100),IF(AND(ISNUMBER(I77),ISNUMBER(J77),I77&gt;0),J77/(1+N(Ввод!$J$19)/100),""))</f>
        <v/>
      </c>
    </row>
    <row r="78" ht="22" customHeight="1">
      <c r="B78" s="244" t="n"/>
      <c r="C78" s="243" t="n"/>
      <c r="D78" s="244" t="n"/>
      <c r="E78" s="245" t="n"/>
      <c r="F78" s="246" t="n"/>
      <c r="G78" s="183" t="n"/>
      <c r="H78" s="271" t="str">
        <f>IF(AND(ISNUMBER(F78),ISNUMBER(G78)),F78*G78,"")</f>
        <v/>
      </c>
      <c r="I78" s="246" t="n"/>
      <c r="J78" s="183" t="n"/>
      <c r="K78" s="271" t="str">
        <f>IF(AND(ISNUMBER(I78),ISNUMBER(J78)),I78*J78,"")</f>
        <v/>
      </c>
      <c r="L78" s="246" t="str">
        <f>IF(COUNT(F78,I78)=0,"",N(F78)-N(I78))</f>
        <v/>
      </c>
      <c r="M78" s="247" t="str">
        <f>IF(COUNT(H78,K78)=0,"",N(K78)-N(H78))</f>
        <v/>
      </c>
      <c r="N78" s="246" t="str">
        <f>IF(AND(ISNUMBER(F78),ISNUMBER(G78),F78&gt;0,1-N(Ввод!$J$19)/100&gt;0),G78/(1-N(Ввод!$J$19)/100),IF(AND(ISNUMBER(I78),ISNUMBER(J78),I78&gt;0),J78/(1+N(Ввод!$J$19)/100),""))</f>
        <v/>
      </c>
    </row>
    <row r="79" ht="22" customHeight="1">
      <c r="B79" s="238" t="n"/>
      <c r="C79" s="237" t="n"/>
      <c r="D79" s="238" t="n"/>
      <c r="E79" s="239" t="n"/>
      <c r="F79" s="240" t="n"/>
      <c r="G79" s="177" t="n"/>
      <c r="H79" s="271" t="str">
        <f>IF(AND(ISNUMBER(F79),ISNUMBER(G79)),F79*G79,"")</f>
        <v/>
      </c>
      <c r="I79" s="240" t="n"/>
      <c r="J79" s="177" t="n"/>
      <c r="K79" s="271" t="str">
        <f>IF(AND(ISNUMBER(I79),ISNUMBER(J79)),I79*J79,"")</f>
        <v/>
      </c>
      <c r="L79" s="240" t="str">
        <f>IF(COUNT(F79,I79)=0,"",N(F79)-N(I79))</f>
        <v/>
      </c>
      <c r="M79" s="241" t="str">
        <f>IF(COUNT(H79,K79)=0,"",N(K79)-N(H79))</f>
        <v/>
      </c>
      <c r="N79" s="240" t="str">
        <f>IF(AND(ISNUMBER(F79),ISNUMBER(G79),F79&gt;0,1-N(Ввод!$J$19)/100&gt;0),G79/(1-N(Ввод!$J$19)/100),IF(AND(ISNUMBER(I79),ISNUMBER(J79),I79&gt;0),J79/(1+N(Ввод!$J$19)/100),""))</f>
        <v/>
      </c>
    </row>
    <row r="80" ht="22" customHeight="1">
      <c r="B80" s="244" t="n"/>
      <c r="C80" s="243" t="n"/>
      <c r="D80" s="244" t="n"/>
      <c r="E80" s="245" t="n"/>
      <c r="F80" s="246" t="n"/>
      <c r="G80" s="183" t="n"/>
      <c r="H80" s="271" t="str">
        <f>IF(AND(ISNUMBER(F80),ISNUMBER(G80)),F80*G80,"")</f>
        <v/>
      </c>
      <c r="I80" s="246" t="n"/>
      <c r="J80" s="183" t="n"/>
      <c r="K80" s="271" t="str">
        <f>IF(AND(ISNUMBER(I80),ISNUMBER(J80)),I80*J80,"")</f>
        <v/>
      </c>
      <c r="L80" s="246" t="str">
        <f>IF(COUNT(F80,I80)=0,"",N(F80)-N(I80))</f>
        <v/>
      </c>
      <c r="M80" s="247" t="str">
        <f>IF(COUNT(H80,K80)=0,"",N(K80)-N(H80))</f>
        <v/>
      </c>
      <c r="N80" s="246" t="str">
        <f>IF(AND(ISNUMBER(F80),ISNUMBER(G80),F80&gt;0,1-N(Ввод!$J$19)/100&gt;0),G80/(1-N(Ввод!$J$19)/100),IF(AND(ISNUMBER(I80),ISNUMBER(J80),I80&gt;0),J80/(1+N(Ввод!$J$19)/100),""))</f>
        <v/>
      </c>
    </row>
    <row r="81" ht="22" customHeight="1">
      <c r="B81" s="238" t="n"/>
      <c r="C81" s="237" t="n"/>
      <c r="D81" s="238" t="n"/>
      <c r="E81" s="239" t="n"/>
      <c r="F81" s="240" t="n"/>
      <c r="G81" s="177" t="n"/>
      <c r="H81" s="271" t="str">
        <f>IF(AND(ISNUMBER(F81),ISNUMBER(G81)),F81*G81,"")</f>
        <v/>
      </c>
      <c r="I81" s="240" t="n"/>
      <c r="J81" s="177" t="n"/>
      <c r="K81" s="271" t="str">
        <f>IF(AND(ISNUMBER(I81),ISNUMBER(J81)),I81*J81,"")</f>
        <v/>
      </c>
      <c r="L81" s="240" t="str">
        <f>IF(COUNT(F81,I81)=0,"",N(F81)-N(I81))</f>
        <v/>
      </c>
      <c r="M81" s="241" t="str">
        <f>IF(COUNT(H81,K81)=0,"",N(K81)-N(H81))</f>
        <v/>
      </c>
      <c r="N81" s="240" t="str">
        <f>IF(AND(ISNUMBER(F81),ISNUMBER(G81),F81&gt;0,1-N(Ввод!$J$19)/100&gt;0),G81/(1-N(Ввод!$J$19)/100),IF(AND(ISNUMBER(I81),ISNUMBER(J81),I81&gt;0),J81/(1+N(Ввод!$J$19)/100),""))</f>
        <v/>
      </c>
    </row>
    <row r="82" ht="22" customHeight="1">
      <c r="B82" s="244" t="n"/>
      <c r="C82" s="243" t="n"/>
      <c r="D82" s="244" t="n"/>
      <c r="E82" s="245" t="n"/>
      <c r="F82" s="246" t="n"/>
      <c r="G82" s="183" t="n"/>
      <c r="H82" s="271" t="str">
        <f>IF(AND(ISNUMBER(F82),ISNUMBER(G82)),F82*G82,"")</f>
        <v/>
      </c>
      <c r="I82" s="246" t="n"/>
      <c r="J82" s="183" t="n"/>
      <c r="K82" s="271" t="str">
        <f>IF(AND(ISNUMBER(I82),ISNUMBER(J82)),I82*J82,"")</f>
        <v/>
      </c>
      <c r="L82" s="246" t="str">
        <f>IF(COUNT(F82,I82)=0,"",N(F82)-N(I82))</f>
        <v/>
      </c>
      <c r="M82" s="247" t="str">
        <f>IF(COUNT(H82,K82)=0,"",N(K82)-N(H82))</f>
        <v/>
      </c>
      <c r="N82" s="246" t="str">
        <f>IF(AND(ISNUMBER(F82),ISNUMBER(G82),F82&gt;0,1-N(Ввод!$J$19)/100&gt;0),G82/(1-N(Ввод!$J$19)/100),IF(AND(ISNUMBER(I82),ISNUMBER(J82),I82&gt;0),J82/(1+N(Ввод!$J$19)/100),""))</f>
        <v/>
      </c>
    </row>
    <row r="83" ht="22" customHeight="1">
      <c r="B83" s="238" t="n"/>
      <c r="C83" s="237" t="n"/>
      <c r="D83" s="238" t="n"/>
      <c r="E83" s="239" t="n"/>
      <c r="F83" s="240" t="n"/>
      <c r="G83" s="177" t="n"/>
      <c r="H83" s="271" t="str">
        <f>IF(AND(ISNUMBER(F83),ISNUMBER(G83)),F83*G83,"")</f>
        <v/>
      </c>
      <c r="I83" s="240" t="n"/>
      <c r="J83" s="177" t="n"/>
      <c r="K83" s="271" t="str">
        <f>IF(AND(ISNUMBER(I83),ISNUMBER(J83)),I83*J83,"")</f>
        <v/>
      </c>
      <c r="L83" s="240" t="str">
        <f>IF(COUNT(F83,I83)=0,"",N(F83)-N(I83))</f>
        <v/>
      </c>
      <c r="M83" s="241" t="str">
        <f>IF(COUNT(H83,K83)=0,"",N(K83)-N(H83))</f>
        <v/>
      </c>
      <c r="N83" s="240" t="str">
        <f>IF(AND(ISNUMBER(F83),ISNUMBER(G83),F83&gt;0,1-N(Ввод!$J$19)/100&gt;0),G83/(1-N(Ввод!$J$19)/100),IF(AND(ISNUMBER(I83),ISNUMBER(J83),I83&gt;0),J83/(1+N(Ввод!$J$19)/100),""))</f>
        <v/>
      </c>
    </row>
    <row r="84" ht="22" customHeight="1">
      <c r="B84" s="244" t="n"/>
      <c r="C84" s="243" t="n"/>
      <c r="D84" s="244" t="n"/>
      <c r="E84" s="245" t="n"/>
      <c r="F84" s="246" t="n"/>
      <c r="G84" s="183" t="n"/>
      <c r="H84" s="271" t="str">
        <f>IF(AND(ISNUMBER(F84),ISNUMBER(G84)),F84*G84,"")</f>
        <v/>
      </c>
      <c r="I84" s="246" t="n"/>
      <c r="J84" s="183" t="n"/>
      <c r="K84" s="271" t="str">
        <f>IF(AND(ISNUMBER(I84),ISNUMBER(J84)),I84*J84,"")</f>
        <v/>
      </c>
      <c r="L84" s="246" t="str">
        <f>IF(COUNT(F84,I84)=0,"",N(F84)-N(I84))</f>
        <v/>
      </c>
      <c r="M84" s="247" t="str">
        <f>IF(COUNT(H84,K84)=0,"",N(K84)-N(H84))</f>
        <v/>
      </c>
      <c r="N84" s="246" t="str">
        <f>IF(AND(ISNUMBER(F84),ISNUMBER(G84),F84&gt;0,1-N(Ввод!$J$19)/100&gt;0),G84/(1-N(Ввод!$J$19)/100),IF(AND(ISNUMBER(I84),ISNUMBER(J84),I84&gt;0),J84/(1+N(Ввод!$J$19)/100),""))</f>
        <v/>
      </c>
    </row>
    <row r="85" ht="22" customHeight="1">
      <c r="B85" s="238" t="n"/>
      <c r="C85" s="237" t="n"/>
      <c r="D85" s="238" t="n"/>
      <c r="E85" s="239" t="n"/>
      <c r="F85" s="240" t="n"/>
      <c r="G85" s="177" t="n"/>
      <c r="H85" s="271" t="str">
        <f>IF(AND(ISNUMBER(F85),ISNUMBER(G85)),F85*G85,"")</f>
        <v/>
      </c>
      <c r="I85" s="240" t="n"/>
      <c r="J85" s="177" t="n"/>
      <c r="K85" s="271" t="str">
        <f>IF(AND(ISNUMBER(I85),ISNUMBER(J85)),I85*J85,"")</f>
        <v/>
      </c>
      <c r="L85" s="240" t="str">
        <f>IF(COUNT(F85,I85)=0,"",N(F85)-N(I85))</f>
        <v/>
      </c>
      <c r="M85" s="241" t="str">
        <f>IF(COUNT(H85,K85)=0,"",N(K85)-N(H85))</f>
        <v/>
      </c>
      <c r="N85" s="240" t="str">
        <f>IF(AND(ISNUMBER(F85),ISNUMBER(G85),F85&gt;0,1-N(Ввод!$J$19)/100&gt;0),G85/(1-N(Ввод!$J$19)/100),IF(AND(ISNUMBER(I85),ISNUMBER(J85),I85&gt;0),J85/(1+N(Ввод!$J$19)/100),""))</f>
        <v/>
      </c>
    </row>
    <row r="86" ht="22" customHeight="1">
      <c r="B86" s="244" t="n"/>
      <c r="C86" s="243" t="n"/>
      <c r="D86" s="244" t="n"/>
      <c r="E86" s="245" t="n"/>
      <c r="F86" s="246" t="n"/>
      <c r="G86" s="183" t="n"/>
      <c r="H86" s="271" t="str">
        <f>IF(AND(ISNUMBER(F86),ISNUMBER(G86)),F86*G86,"")</f>
        <v/>
      </c>
      <c r="I86" s="246" t="n"/>
      <c r="J86" s="183" t="n"/>
      <c r="K86" s="271" t="str">
        <f>IF(AND(ISNUMBER(I86),ISNUMBER(J86)),I86*J86,"")</f>
        <v/>
      </c>
      <c r="L86" s="246" t="str">
        <f>IF(COUNT(F86,I86)=0,"",N(F86)-N(I86))</f>
        <v/>
      </c>
      <c r="M86" s="247" t="str">
        <f>IF(COUNT(H86,K86)=0,"",N(K86)-N(H86))</f>
        <v/>
      </c>
      <c r="N86" s="246" t="str">
        <f>IF(AND(ISNUMBER(F86),ISNUMBER(G86),F86&gt;0,1-N(Ввод!$J$19)/100&gt;0),G86/(1-N(Ввод!$J$19)/100),IF(AND(ISNUMBER(I86),ISNUMBER(J86),I86&gt;0),J86/(1+N(Ввод!$J$19)/100),""))</f>
        <v/>
      </c>
    </row>
    <row r="87" ht="22" customHeight="1">
      <c r="B87" s="238" t="n"/>
      <c r="C87" s="237" t="n"/>
      <c r="D87" s="238" t="n"/>
      <c r="E87" s="239" t="n"/>
      <c r="F87" s="240" t="n"/>
      <c r="G87" s="177" t="n"/>
      <c r="H87" s="271" t="str">
        <f>IF(AND(ISNUMBER(F87),ISNUMBER(G87)),F87*G87,"")</f>
        <v/>
      </c>
      <c r="I87" s="240" t="n"/>
      <c r="J87" s="177" t="n"/>
      <c r="K87" s="271" t="str">
        <f>IF(AND(ISNUMBER(I87),ISNUMBER(J87)),I87*J87,"")</f>
        <v/>
      </c>
      <c r="L87" s="240" t="str">
        <f>IF(COUNT(F87,I87)=0,"",N(F87)-N(I87))</f>
        <v/>
      </c>
      <c r="M87" s="241" t="str">
        <f>IF(COUNT(H87,K87)=0,"",N(K87)-N(H87))</f>
        <v/>
      </c>
      <c r="N87" s="240" t="str">
        <f>IF(AND(ISNUMBER(F87),ISNUMBER(G87),F87&gt;0,1-N(Ввод!$J$19)/100&gt;0),G87/(1-N(Ввод!$J$19)/100),IF(AND(ISNUMBER(I87),ISNUMBER(J87),I87&gt;0),J87/(1+N(Ввод!$J$19)/100),""))</f>
        <v/>
      </c>
    </row>
    <row r="88" ht="22" customHeight="1">
      <c r="B88" s="244" t="n"/>
      <c r="C88" s="243" t="n"/>
      <c r="D88" s="244" t="n"/>
      <c r="E88" s="245" t="n"/>
      <c r="F88" s="246" t="n"/>
      <c r="G88" s="183" t="n"/>
      <c r="H88" s="271" t="str">
        <f>IF(AND(ISNUMBER(F88),ISNUMBER(G88)),F88*G88,"")</f>
        <v/>
      </c>
      <c r="I88" s="246" t="n"/>
      <c r="J88" s="183" t="n"/>
      <c r="K88" s="271" t="str">
        <f>IF(AND(ISNUMBER(I88),ISNUMBER(J88)),I88*J88,"")</f>
        <v/>
      </c>
      <c r="L88" s="246" t="str">
        <f>IF(COUNT(F88,I88)=0,"",N(F88)-N(I88))</f>
        <v/>
      </c>
      <c r="M88" s="247" t="str">
        <f>IF(COUNT(H88,K88)=0,"",N(K88)-N(H88))</f>
        <v/>
      </c>
      <c r="N88" s="246" t="str">
        <f>IF(AND(ISNUMBER(F88),ISNUMBER(G88),F88&gt;0,1-N(Ввод!$J$19)/100&gt;0),G88/(1-N(Ввод!$J$19)/100),IF(AND(ISNUMBER(I88),ISNUMBER(J88),I88&gt;0),J88/(1+N(Ввод!$J$19)/100),""))</f>
        <v/>
      </c>
    </row>
    <row r="89" ht="22" customHeight="1">
      <c r="B89" s="238" t="n"/>
      <c r="C89" s="237" t="n"/>
      <c r="D89" s="238" t="n"/>
      <c r="E89" s="239" t="n"/>
      <c r="F89" s="240" t="n"/>
      <c r="G89" s="177" t="n"/>
      <c r="H89" s="271" t="str">
        <f>IF(AND(ISNUMBER(F89),ISNUMBER(G89)),F89*G89,"")</f>
        <v/>
      </c>
      <c r="I89" s="240" t="n"/>
      <c r="J89" s="177" t="n"/>
      <c r="K89" s="271" t="str">
        <f>IF(AND(ISNUMBER(I89),ISNUMBER(J89)),I89*J89,"")</f>
        <v/>
      </c>
      <c r="L89" s="240" t="str">
        <f>IF(COUNT(F89,I89)=0,"",N(F89)-N(I89))</f>
        <v/>
      </c>
      <c r="M89" s="241" t="str">
        <f>IF(COUNT(H89,K89)=0,"",N(K89)-N(H89))</f>
        <v/>
      </c>
      <c r="N89" s="240" t="str">
        <f>IF(AND(ISNUMBER(F89),ISNUMBER(G89),F89&gt;0,1-N(Ввод!$J$19)/100&gt;0),G89/(1-N(Ввод!$J$19)/100),IF(AND(ISNUMBER(I89),ISNUMBER(J89),I89&gt;0),J89/(1+N(Ввод!$J$19)/100),""))</f>
        <v/>
      </c>
    </row>
    <row r="90" ht="22" customHeight="1">
      <c r="B90" s="244" t="n"/>
      <c r="C90" s="243" t="n"/>
      <c r="D90" s="244" t="n"/>
      <c r="E90" s="245" t="n"/>
      <c r="F90" s="246" t="n"/>
      <c r="G90" s="183" t="n"/>
      <c r="H90" s="271" t="str">
        <f>IF(AND(ISNUMBER(F90),ISNUMBER(G90)),F90*G90,"")</f>
        <v/>
      </c>
      <c r="I90" s="246" t="n"/>
      <c r="J90" s="183" t="n"/>
      <c r="K90" s="271" t="str">
        <f>IF(AND(ISNUMBER(I90),ISNUMBER(J90)),I90*J90,"")</f>
        <v/>
      </c>
      <c r="L90" s="246" t="str">
        <f>IF(COUNT(F90,I90)=0,"",N(F90)-N(I90))</f>
        <v/>
      </c>
      <c r="M90" s="247" t="str">
        <f>IF(COUNT(H90,K90)=0,"",N(K90)-N(H90))</f>
        <v/>
      </c>
      <c r="N90" s="246" t="str">
        <f>IF(AND(ISNUMBER(F90),ISNUMBER(G90),F90&gt;0,1-N(Ввод!$J$19)/100&gt;0),G90/(1-N(Ввод!$J$19)/100),IF(AND(ISNUMBER(I90),ISNUMBER(J90),I90&gt;0),J90/(1+N(Ввод!$J$19)/100),""))</f>
        <v/>
      </c>
    </row>
    <row r="91" ht="22" customHeight="1">
      <c r="B91" s="238" t="n"/>
      <c r="C91" s="237" t="n"/>
      <c r="D91" s="238" t="n"/>
      <c r="E91" s="239" t="n"/>
      <c r="F91" s="240" t="n"/>
      <c r="G91" s="177" t="n"/>
      <c r="H91" s="271" t="str">
        <f>IF(AND(ISNUMBER(F91),ISNUMBER(G91)),F91*G91,"")</f>
        <v/>
      </c>
      <c r="I91" s="240" t="n"/>
      <c r="J91" s="177" t="n"/>
      <c r="K91" s="271" t="str">
        <f>IF(AND(ISNUMBER(I91),ISNUMBER(J91)),I91*J91,"")</f>
        <v/>
      </c>
      <c r="L91" s="240" t="str">
        <f>IF(COUNT(F91,I91)=0,"",N(F91)-N(I91))</f>
        <v/>
      </c>
      <c r="M91" s="241" t="str">
        <f>IF(COUNT(H91,K91)=0,"",N(K91)-N(H91))</f>
        <v/>
      </c>
      <c r="N91" s="240" t="str">
        <f>IF(AND(ISNUMBER(F91),ISNUMBER(G91),F91&gt;0,1-N(Ввод!$J$19)/100&gt;0),G91/(1-N(Ввод!$J$19)/100),IF(AND(ISNUMBER(I91),ISNUMBER(J91),I91&gt;0),J91/(1+N(Ввод!$J$19)/100),""))</f>
        <v/>
      </c>
    </row>
    <row r="92" ht="22" customHeight="1">
      <c r="B92" s="244" t="n"/>
      <c r="C92" s="243" t="n"/>
      <c r="D92" s="244" t="n"/>
      <c r="E92" s="245" t="n"/>
      <c r="F92" s="246" t="n"/>
      <c r="G92" s="183" t="n"/>
      <c r="H92" s="271" t="str">
        <f>IF(AND(ISNUMBER(F92),ISNUMBER(G92)),F92*G92,"")</f>
        <v/>
      </c>
      <c r="I92" s="246" t="n"/>
      <c r="J92" s="183" t="n"/>
      <c r="K92" s="271" t="str">
        <f>IF(AND(ISNUMBER(I92),ISNUMBER(J92)),I92*J92,"")</f>
        <v/>
      </c>
      <c r="L92" s="246" t="str">
        <f>IF(COUNT(F92,I92)=0,"",N(F92)-N(I92))</f>
        <v/>
      </c>
      <c r="M92" s="247" t="str">
        <f>IF(COUNT(H92,K92)=0,"",N(K92)-N(H92))</f>
        <v/>
      </c>
      <c r="N92" s="246" t="str">
        <f>IF(AND(ISNUMBER(F92),ISNUMBER(G92),F92&gt;0,1-N(Ввод!$J$19)/100&gt;0),G92/(1-N(Ввод!$J$19)/100),IF(AND(ISNUMBER(I92),ISNUMBER(J92),I92&gt;0),J92/(1+N(Ввод!$J$19)/100),""))</f>
        <v/>
      </c>
    </row>
    <row r="93" ht="22" customHeight="1">
      <c r="B93" s="238" t="n"/>
      <c r="C93" s="237" t="n"/>
      <c r="D93" s="238" t="n"/>
      <c r="E93" s="239" t="n"/>
      <c r="F93" s="240" t="n"/>
      <c r="G93" s="177" t="n"/>
      <c r="H93" s="271" t="str">
        <f>IF(AND(ISNUMBER(F93),ISNUMBER(G93)),F93*G93,"")</f>
        <v/>
      </c>
      <c r="I93" s="240" t="n"/>
      <c r="J93" s="177" t="n"/>
      <c r="K93" s="271" t="str">
        <f>IF(AND(ISNUMBER(I93),ISNUMBER(J93)),I93*J93,"")</f>
        <v/>
      </c>
      <c r="L93" s="240" t="str">
        <f>IF(COUNT(F93,I93)=0,"",N(F93)-N(I93))</f>
        <v/>
      </c>
      <c r="M93" s="241" t="str">
        <f>IF(COUNT(H93,K93)=0,"",N(K93)-N(H93))</f>
        <v/>
      </c>
      <c r="N93" s="240" t="str">
        <f>IF(AND(ISNUMBER(F93),ISNUMBER(G93),F93&gt;0,1-N(Ввод!$J$19)/100&gt;0),G93/(1-N(Ввод!$J$19)/100),IF(AND(ISNUMBER(I93),ISNUMBER(J93),I93&gt;0),J93/(1+N(Ввод!$J$19)/100),""))</f>
        <v/>
      </c>
    </row>
    <row r="94" ht="22" customHeight="1">
      <c r="B94" s="244" t="n"/>
      <c r="C94" s="243" t="n"/>
      <c r="D94" s="244" t="n"/>
      <c r="E94" s="245" t="n"/>
      <c r="F94" s="246" t="n"/>
      <c r="G94" s="183" t="n"/>
      <c r="H94" s="271" t="str">
        <f>IF(AND(ISNUMBER(F94),ISNUMBER(G94)),F94*G94,"")</f>
        <v/>
      </c>
      <c r="I94" s="246" t="n"/>
      <c r="J94" s="183" t="n"/>
      <c r="K94" s="271" t="str">
        <f>IF(AND(ISNUMBER(I94),ISNUMBER(J94)),I94*J94,"")</f>
        <v/>
      </c>
      <c r="L94" s="246" t="str">
        <f>IF(COUNT(F94,I94)=0,"",N(F94)-N(I94))</f>
        <v/>
      </c>
      <c r="M94" s="247" t="str">
        <f>IF(COUNT(H94,K94)=0,"",N(K94)-N(H94))</f>
        <v/>
      </c>
      <c r="N94" s="246" t="str">
        <f>IF(AND(ISNUMBER(F94),ISNUMBER(G94),F94&gt;0,1-N(Ввод!$J$19)/100&gt;0),G94/(1-N(Ввод!$J$19)/100),IF(AND(ISNUMBER(I94),ISNUMBER(J94),I94&gt;0),J94/(1+N(Ввод!$J$19)/100),""))</f>
        <v/>
      </c>
    </row>
    <row r="95" ht="22" customHeight="1">
      <c r="B95" s="238" t="n"/>
      <c r="C95" s="237" t="n"/>
      <c r="D95" s="238" t="n"/>
      <c r="E95" s="239" t="n"/>
      <c r="F95" s="240" t="n"/>
      <c r="G95" s="177" t="n"/>
      <c r="H95" s="271" t="str">
        <f>IF(AND(ISNUMBER(F95),ISNUMBER(G95)),F95*G95,"")</f>
        <v/>
      </c>
      <c r="I95" s="240" t="n"/>
      <c r="J95" s="177" t="n"/>
      <c r="K95" s="271" t="str">
        <f>IF(AND(ISNUMBER(I95),ISNUMBER(J95)),I95*J95,"")</f>
        <v/>
      </c>
      <c r="L95" s="240" t="str">
        <f>IF(COUNT(F95,I95)=0,"",N(F95)-N(I95))</f>
        <v/>
      </c>
      <c r="M95" s="241" t="str">
        <f>IF(COUNT(H95,K95)=0,"",N(K95)-N(H95))</f>
        <v/>
      </c>
      <c r="N95" s="240" t="str">
        <f>IF(AND(ISNUMBER(F95),ISNUMBER(G95),F95&gt;0,1-N(Ввод!$J$19)/100&gt;0),G95/(1-N(Ввод!$J$19)/100),IF(AND(ISNUMBER(I95),ISNUMBER(J95),I95&gt;0),J95/(1+N(Ввод!$J$19)/100),""))</f>
        <v/>
      </c>
    </row>
    <row r="96" ht="22" customHeight="1">
      <c r="B96" s="244" t="n"/>
      <c r="C96" s="243" t="n"/>
      <c r="D96" s="244" t="n"/>
      <c r="E96" s="245" t="n"/>
      <c r="F96" s="246" t="n"/>
      <c r="G96" s="183" t="n"/>
      <c r="H96" s="271" t="str">
        <f>IF(AND(ISNUMBER(F96),ISNUMBER(G96)),F96*G96,"")</f>
        <v/>
      </c>
      <c r="I96" s="246" t="n"/>
      <c r="J96" s="183" t="n"/>
      <c r="K96" s="271" t="str">
        <f>IF(AND(ISNUMBER(I96),ISNUMBER(J96)),I96*J96,"")</f>
        <v/>
      </c>
      <c r="L96" s="246" t="str">
        <f>IF(COUNT(F96,I96)=0,"",N(F96)-N(I96))</f>
        <v/>
      </c>
      <c r="M96" s="247" t="str">
        <f>IF(COUNT(H96,K96)=0,"",N(K96)-N(H96))</f>
        <v/>
      </c>
      <c r="N96" s="246" t="str">
        <f>IF(AND(ISNUMBER(F96),ISNUMBER(G96),F96&gt;0,1-N(Ввод!$J$19)/100&gt;0),G96/(1-N(Ввод!$J$19)/100),IF(AND(ISNUMBER(I96),ISNUMBER(J96),I96&gt;0),J96/(1+N(Ввод!$J$19)/100),""))</f>
        <v/>
      </c>
    </row>
    <row r="97" ht="22" customHeight="1">
      <c r="B97" s="238" t="n"/>
      <c r="C97" s="237" t="n"/>
      <c r="D97" s="238" t="n"/>
      <c r="E97" s="239" t="n"/>
      <c r="F97" s="240" t="n"/>
      <c r="G97" s="177" t="n"/>
      <c r="H97" s="271" t="str">
        <f>IF(AND(ISNUMBER(F97),ISNUMBER(G97)),F97*G97,"")</f>
        <v/>
      </c>
      <c r="I97" s="240" t="n"/>
      <c r="J97" s="177" t="n"/>
      <c r="K97" s="271" t="str">
        <f>IF(AND(ISNUMBER(I97),ISNUMBER(J97)),I97*J97,"")</f>
        <v/>
      </c>
      <c r="L97" s="240" t="str">
        <f>IF(COUNT(F97,I97)=0,"",N(F97)-N(I97))</f>
        <v/>
      </c>
      <c r="M97" s="241" t="str">
        <f>IF(COUNT(H97,K97)=0,"",N(K97)-N(H97))</f>
        <v/>
      </c>
      <c r="N97" s="240" t="str">
        <f>IF(AND(ISNUMBER(F97),ISNUMBER(G97),F97&gt;0,1-N(Ввод!$J$19)/100&gt;0),G97/(1-N(Ввод!$J$19)/100),IF(AND(ISNUMBER(I97),ISNUMBER(J97),I97&gt;0),J97/(1+N(Ввод!$J$19)/100),""))</f>
        <v/>
      </c>
    </row>
    <row r="98" ht="22" customHeight="1">
      <c r="B98" s="244" t="n"/>
      <c r="C98" s="243" t="n"/>
      <c r="D98" s="244" t="n"/>
      <c r="E98" s="245" t="n"/>
      <c r="F98" s="246" t="n"/>
      <c r="G98" s="183" t="n"/>
      <c r="H98" s="271" t="str">
        <f>IF(AND(ISNUMBER(F98),ISNUMBER(G98)),F98*G98,"")</f>
        <v/>
      </c>
      <c r="I98" s="246" t="n"/>
      <c r="J98" s="183" t="n"/>
      <c r="K98" s="271" t="str">
        <f>IF(AND(ISNUMBER(I98),ISNUMBER(J98)),I98*J98,"")</f>
        <v/>
      </c>
      <c r="L98" s="246" t="str">
        <f>IF(COUNT(F98,I98)=0,"",N(F98)-N(I98))</f>
        <v/>
      </c>
      <c r="M98" s="247" t="str">
        <f>IF(COUNT(H98,K98)=0,"",N(K98)-N(H98))</f>
        <v/>
      </c>
      <c r="N98" s="246" t="str">
        <f>IF(AND(ISNUMBER(F98),ISNUMBER(G98),F98&gt;0,1-N(Ввод!$J$19)/100&gt;0),G98/(1-N(Ввод!$J$19)/100),IF(AND(ISNUMBER(I98),ISNUMBER(J98),I98&gt;0),J98/(1+N(Ввод!$J$19)/100),""))</f>
        <v/>
      </c>
    </row>
    <row r="99" ht="22" customHeight="1">
      <c r="B99" s="238" t="n"/>
      <c r="C99" s="237" t="n"/>
      <c r="D99" s="238" t="n"/>
      <c r="E99" s="239" t="n"/>
      <c r="F99" s="240" t="n"/>
      <c r="G99" s="177" t="n"/>
      <c r="H99" s="271" t="str">
        <f>IF(AND(ISNUMBER(F99),ISNUMBER(G99)),F99*G99,"")</f>
        <v/>
      </c>
      <c r="I99" s="240" t="n"/>
      <c r="J99" s="177" t="n"/>
      <c r="K99" s="271" t="str">
        <f>IF(AND(ISNUMBER(I99),ISNUMBER(J99)),I99*J99,"")</f>
        <v/>
      </c>
      <c r="L99" s="240" t="str">
        <f>IF(COUNT(F99,I99)=0,"",N(F99)-N(I99))</f>
        <v/>
      </c>
      <c r="M99" s="241" t="str">
        <f>IF(COUNT(H99,K99)=0,"",N(K99)-N(H99))</f>
        <v/>
      </c>
      <c r="N99" s="240" t="str">
        <f>IF(AND(ISNUMBER(F99),ISNUMBER(G99),F99&gt;0,1-N(Ввод!$J$19)/100&gt;0),G99/(1-N(Ввод!$J$19)/100),IF(AND(ISNUMBER(I99),ISNUMBER(J99),I99&gt;0),J99/(1+N(Ввод!$J$19)/100),""))</f>
        <v/>
      </c>
    </row>
    <row r="100" ht="22" customHeight="1">
      <c r="B100" s="244" t="n"/>
      <c r="C100" s="243" t="n"/>
      <c r="D100" s="244" t="n"/>
      <c r="E100" s="245" t="n"/>
      <c r="F100" s="246" t="n"/>
      <c r="G100" s="183" t="n"/>
      <c r="H100" s="271" t="str">
        <f>IF(AND(ISNUMBER(F100),ISNUMBER(G100)),F100*G100,"")</f>
        <v/>
      </c>
      <c r="I100" s="246" t="n"/>
      <c r="J100" s="183" t="n"/>
      <c r="K100" s="271" t="str">
        <f>IF(AND(ISNUMBER(I100),ISNUMBER(J100)),I100*J100,"")</f>
        <v/>
      </c>
      <c r="L100" s="246" t="str">
        <f>IF(COUNT(F100,I100)=0,"",N(F100)-N(I100))</f>
        <v/>
      </c>
      <c r="M100" s="247" t="str">
        <f>IF(COUNT(H100,K100)=0,"",N(K100)-N(H100))</f>
        <v/>
      </c>
      <c r="N100" s="246" t="str">
        <f>IF(AND(ISNUMBER(F100),ISNUMBER(G100),F100&gt;0,1-N(Ввод!$J$19)/100&gt;0),G100/(1-N(Ввод!$J$19)/100),IF(AND(ISNUMBER(I100),ISNUMBER(J100),I100&gt;0),J100/(1+N(Ввод!$J$19)/100),""))</f>
        <v/>
      </c>
    </row>
    <row r="101" ht="22" customHeight="1">
      <c r="B101" s="238" t="n"/>
      <c r="C101" s="237" t="n"/>
      <c r="D101" s="238" t="n"/>
      <c r="E101" s="239" t="n"/>
      <c r="F101" s="240" t="n"/>
      <c r="G101" s="177" t="n"/>
      <c r="H101" s="271" t="str">
        <f>IF(AND(ISNUMBER(F101),ISNUMBER(G101)),F101*G101,"")</f>
        <v/>
      </c>
      <c r="I101" s="240" t="n"/>
      <c r="J101" s="177" t="n"/>
      <c r="K101" s="271" t="str">
        <f>IF(AND(ISNUMBER(I101),ISNUMBER(J101)),I101*J101,"")</f>
        <v/>
      </c>
      <c r="L101" s="240" t="str">
        <f>IF(COUNT(F101,I101)=0,"",N(F101)-N(I101))</f>
        <v/>
      </c>
      <c r="M101" s="241" t="str">
        <f>IF(COUNT(H101,K101)=0,"",N(K101)-N(H101))</f>
        <v/>
      </c>
      <c r="N101" s="240" t="str">
        <f>IF(AND(ISNUMBER(F101),ISNUMBER(G101),F101&gt;0,1-N(Ввод!$J$19)/100&gt;0),G101/(1-N(Ввод!$J$19)/100),IF(AND(ISNUMBER(I101),ISNUMBER(J101),I101&gt;0),J101/(1+N(Ввод!$J$19)/100),""))</f>
        <v/>
      </c>
    </row>
    <row r="102" ht="22" customHeight="1">
      <c r="B102" s="244" t="n"/>
      <c r="C102" s="243" t="n"/>
      <c r="D102" s="244" t="n"/>
      <c r="E102" s="245" t="n"/>
      <c r="F102" s="246" t="n"/>
      <c r="G102" s="183" t="n"/>
      <c r="H102" s="271" t="str">
        <f>IF(AND(ISNUMBER(F102),ISNUMBER(G102)),F102*G102,"")</f>
        <v/>
      </c>
      <c r="I102" s="246" t="n"/>
      <c r="J102" s="183" t="n"/>
      <c r="K102" s="271" t="str">
        <f>IF(AND(ISNUMBER(I102),ISNUMBER(J102)),I102*J102,"")</f>
        <v/>
      </c>
      <c r="L102" s="246" t="str">
        <f>IF(COUNT(F102,I102)=0,"",N(F102)-N(I102))</f>
        <v/>
      </c>
      <c r="M102" s="247" t="str">
        <f>IF(COUNT(H102,K102)=0,"",N(K102)-N(H102))</f>
        <v/>
      </c>
      <c r="N102" s="246" t="str">
        <f>IF(AND(ISNUMBER(F102),ISNUMBER(G102),F102&gt;0,1-N(Ввод!$J$19)/100&gt;0),G102/(1-N(Ввод!$J$19)/100),IF(AND(ISNUMBER(I102),ISNUMBER(J102),I102&gt;0),J102/(1+N(Ввод!$J$19)/100),""))</f>
        <v/>
      </c>
    </row>
    <row r="103" ht="22" customHeight="1">
      <c r="B103" s="238" t="n"/>
      <c r="C103" s="237" t="n"/>
      <c r="D103" s="238" t="n"/>
      <c r="E103" s="239" t="n"/>
      <c r="F103" s="240" t="n"/>
      <c r="G103" s="177" t="n"/>
      <c r="H103" s="271" t="str">
        <f>IF(AND(ISNUMBER(F103),ISNUMBER(G103)),F103*G103,"")</f>
        <v/>
      </c>
      <c r="I103" s="240" t="n"/>
      <c r="J103" s="177" t="n"/>
      <c r="K103" s="271" t="str">
        <f>IF(AND(ISNUMBER(I103),ISNUMBER(J103)),I103*J103,"")</f>
        <v/>
      </c>
      <c r="L103" s="240" t="str">
        <f>IF(COUNT(F103,I103)=0,"",N(F103)-N(I103))</f>
        <v/>
      </c>
      <c r="M103" s="241" t="str">
        <f>IF(COUNT(H103,K103)=0,"",N(K103)-N(H103))</f>
        <v/>
      </c>
      <c r="N103" s="240" t="str">
        <f>IF(AND(ISNUMBER(F103),ISNUMBER(G103),F103&gt;0,1-N(Ввод!$J$19)/100&gt;0),G103/(1-N(Ввод!$J$19)/100),IF(AND(ISNUMBER(I103),ISNUMBER(J103),I103&gt;0),J103/(1+N(Ввод!$J$19)/100),""))</f>
        <v/>
      </c>
    </row>
    <row r="104" ht="22" customHeight="1">
      <c r="B104" s="244" t="n"/>
      <c r="C104" s="243" t="n"/>
      <c r="D104" s="244" t="n"/>
      <c r="E104" s="245" t="n"/>
      <c r="F104" s="246" t="n"/>
      <c r="G104" s="183" t="n"/>
      <c r="H104" s="271" t="str">
        <f>IF(AND(ISNUMBER(F104),ISNUMBER(G104)),F104*G104,"")</f>
        <v/>
      </c>
      <c r="I104" s="246" t="n"/>
      <c r="J104" s="183" t="n"/>
      <c r="K104" s="271" t="str">
        <f>IF(AND(ISNUMBER(I104),ISNUMBER(J104)),I104*J104,"")</f>
        <v/>
      </c>
      <c r="L104" s="246" t="str">
        <f>IF(COUNT(F104,I104)=0,"",N(F104)-N(I104))</f>
        <v/>
      </c>
      <c r="M104" s="247" t="str">
        <f>IF(COUNT(H104,K104)=0,"",N(K104)-N(H104))</f>
        <v/>
      </c>
      <c r="N104" s="246" t="str">
        <f>IF(AND(ISNUMBER(F104),ISNUMBER(G104),F104&gt;0,1-N(Ввод!$J$19)/100&gt;0),G104/(1-N(Ввод!$J$19)/100),IF(AND(ISNUMBER(I104),ISNUMBER(J104),I104&gt;0),J104/(1+N(Ввод!$J$19)/100),""))</f>
        <v/>
      </c>
    </row>
    <row r="105" ht="22" customHeight="1">
      <c r="B105" s="238" t="n"/>
      <c r="C105" s="237" t="n"/>
      <c r="D105" s="238" t="n"/>
      <c r="E105" s="239" t="n"/>
      <c r="F105" s="240" t="n"/>
      <c r="G105" s="177" t="n"/>
      <c r="H105" s="271" t="str">
        <f>IF(AND(ISNUMBER(F105),ISNUMBER(G105)),F105*G105,"")</f>
        <v/>
      </c>
      <c r="I105" s="240" t="n"/>
      <c r="J105" s="177" t="n"/>
      <c r="K105" s="271" t="str">
        <f>IF(AND(ISNUMBER(I105),ISNUMBER(J105)),I105*J105,"")</f>
        <v/>
      </c>
      <c r="L105" s="240" t="str">
        <f>IF(COUNT(F105,I105)=0,"",N(F105)-N(I105))</f>
        <v/>
      </c>
      <c r="M105" s="241" t="str">
        <f>IF(COUNT(H105,K105)=0,"",N(K105)-N(H105))</f>
        <v/>
      </c>
      <c r="N105" s="240" t="str">
        <f>IF(AND(ISNUMBER(F105),ISNUMBER(G105),F105&gt;0,1-N(Ввод!$J$19)/100&gt;0),G105/(1-N(Ввод!$J$19)/100),IF(AND(ISNUMBER(I105),ISNUMBER(J105),I105&gt;0),J105/(1+N(Ввод!$J$19)/100),""))</f>
        <v/>
      </c>
    </row>
    <row r="106" ht="22" customHeight="1">
      <c r="B106" s="244" t="n"/>
      <c r="C106" s="243" t="n"/>
      <c r="D106" s="244" t="n"/>
      <c r="E106" s="245" t="n"/>
      <c r="F106" s="246" t="n"/>
      <c r="G106" s="183" t="n"/>
      <c r="H106" s="271" t="str">
        <f>IF(AND(ISNUMBER(F106),ISNUMBER(G106)),F106*G106,"")</f>
        <v/>
      </c>
      <c r="I106" s="246" t="n"/>
      <c r="J106" s="183" t="n"/>
      <c r="K106" s="271" t="str">
        <f>IF(AND(ISNUMBER(I106),ISNUMBER(J106)),I106*J106,"")</f>
        <v/>
      </c>
      <c r="L106" s="246" t="str">
        <f>IF(COUNT(F106,I106)=0,"",N(F106)-N(I106))</f>
        <v/>
      </c>
      <c r="M106" s="247" t="str">
        <f>IF(COUNT(H106,K106)=0,"",N(K106)-N(H106))</f>
        <v/>
      </c>
      <c r="N106" s="246" t="str">
        <f>IF(AND(ISNUMBER(F106),ISNUMBER(G106),F106&gt;0,1-N(Ввод!$J$19)/100&gt;0),G106/(1-N(Ввод!$J$19)/100),IF(AND(ISNUMBER(I106),ISNUMBER(J106),I106&gt;0),J106/(1+N(Ввод!$J$19)/100),""))</f>
        <v/>
      </c>
    </row>
    <row r="107" ht="22" customHeight="1">
      <c r="B107" s="238" t="n"/>
      <c r="C107" s="237" t="n"/>
      <c r="D107" s="238" t="n"/>
      <c r="E107" s="239" t="n"/>
      <c r="F107" s="240" t="n"/>
      <c r="G107" s="177" t="n"/>
      <c r="H107" s="271" t="str">
        <f>IF(AND(ISNUMBER(F107),ISNUMBER(G107)),F107*G107,"")</f>
        <v/>
      </c>
      <c r="I107" s="240" t="n"/>
      <c r="J107" s="177" t="n"/>
      <c r="K107" s="271" t="str">
        <f>IF(AND(ISNUMBER(I107),ISNUMBER(J107)),I107*J107,"")</f>
        <v/>
      </c>
      <c r="L107" s="240" t="str">
        <f>IF(COUNT(F107,I107)=0,"",N(F107)-N(I107))</f>
        <v/>
      </c>
      <c r="M107" s="241" t="str">
        <f>IF(COUNT(H107,K107)=0,"",N(K107)-N(H107))</f>
        <v/>
      </c>
      <c r="N107" s="240" t="str">
        <f>IF(AND(ISNUMBER(F107),ISNUMBER(G107),F107&gt;0,1-N(Ввод!$J$19)/100&gt;0),G107/(1-N(Ввод!$J$19)/100),IF(AND(ISNUMBER(I107),ISNUMBER(J107),I107&gt;0),J107/(1+N(Ввод!$J$19)/100),""))</f>
        <v/>
      </c>
    </row>
    <row r="108" ht="22" customHeight="1">
      <c r="B108" s="244" t="n"/>
      <c r="C108" s="243" t="n"/>
      <c r="D108" s="244" t="n"/>
      <c r="E108" s="245" t="n"/>
      <c r="F108" s="246" t="n"/>
      <c r="G108" s="183" t="n"/>
      <c r="H108" s="271" t="str">
        <f>IF(AND(ISNUMBER(F108),ISNUMBER(G108)),F108*G108,"")</f>
        <v/>
      </c>
      <c r="I108" s="246" t="n"/>
      <c r="J108" s="183" t="n"/>
      <c r="K108" s="271" t="str">
        <f>IF(AND(ISNUMBER(I108),ISNUMBER(J108)),I108*J108,"")</f>
        <v/>
      </c>
      <c r="L108" s="246" t="str">
        <f>IF(COUNT(F108,I108)=0,"",N(F108)-N(I108))</f>
        <v/>
      </c>
      <c r="M108" s="247" t="str">
        <f>IF(COUNT(H108,K108)=0,"",N(K108)-N(H108))</f>
        <v/>
      </c>
      <c r="N108" s="246" t="str">
        <f>IF(AND(ISNUMBER(F108),ISNUMBER(G108),F108&gt;0,1-N(Ввод!$J$19)/100&gt;0),G108/(1-N(Ввод!$J$19)/100),IF(AND(ISNUMBER(I108),ISNUMBER(J108),I108&gt;0),J108/(1+N(Ввод!$J$19)/100),""))</f>
        <v/>
      </c>
    </row>
    <row r="109" ht="22" customHeight="1">
      <c r="B109" s="238" t="n"/>
      <c r="C109" s="237" t="n"/>
      <c r="D109" s="238" t="n"/>
      <c r="E109" s="239" t="n"/>
      <c r="F109" s="240" t="n"/>
      <c r="G109" s="177" t="n"/>
      <c r="H109" s="271" t="str">
        <f>IF(AND(ISNUMBER(F109),ISNUMBER(G109)),F109*G109,"")</f>
        <v/>
      </c>
      <c r="I109" s="240" t="n"/>
      <c r="J109" s="177" t="n"/>
      <c r="K109" s="271" t="str">
        <f>IF(AND(ISNUMBER(I109),ISNUMBER(J109)),I109*J109,"")</f>
        <v/>
      </c>
      <c r="L109" s="240" t="str">
        <f>IF(COUNT(F109,I109)=0,"",N(F109)-N(I109))</f>
        <v/>
      </c>
      <c r="M109" s="241" t="str">
        <f>IF(COUNT(H109,K109)=0,"",N(K109)-N(H109))</f>
        <v/>
      </c>
      <c r="N109" s="240" t="str">
        <f>IF(AND(ISNUMBER(F109),ISNUMBER(G109),F109&gt;0,1-N(Ввод!$J$19)/100&gt;0),G109/(1-N(Ввод!$J$19)/100),IF(AND(ISNUMBER(I109),ISNUMBER(J109),I109&gt;0),J109/(1+N(Ввод!$J$19)/100),""))</f>
        <v/>
      </c>
    </row>
    <row r="110" ht="22" customHeight="1">
      <c r="B110" s="244" t="n"/>
      <c r="C110" s="243" t="n"/>
      <c r="D110" s="244" t="n"/>
      <c r="E110" s="245" t="n"/>
      <c r="F110" s="246" t="n"/>
      <c r="G110" s="183" t="n"/>
      <c r="H110" s="271" t="str">
        <f>IF(AND(ISNUMBER(F110),ISNUMBER(G110)),F110*G110,"")</f>
        <v/>
      </c>
      <c r="I110" s="246" t="n"/>
      <c r="J110" s="183" t="n"/>
      <c r="K110" s="271" t="str">
        <f>IF(AND(ISNUMBER(I110),ISNUMBER(J110)),I110*J110,"")</f>
        <v/>
      </c>
      <c r="L110" s="246" t="str">
        <f>IF(COUNT(F110,I110)=0,"",N(F110)-N(I110))</f>
        <v/>
      </c>
      <c r="M110" s="247" t="str">
        <f>IF(COUNT(H110,K110)=0,"",N(K110)-N(H110))</f>
        <v/>
      </c>
      <c r="N110" s="246" t="str">
        <f>IF(AND(ISNUMBER(F110),ISNUMBER(G110),F110&gt;0,1-N(Ввод!$J$19)/100&gt;0),G110/(1-N(Ввод!$J$19)/100),IF(AND(ISNUMBER(I110),ISNUMBER(J110),I110&gt;0),J110/(1+N(Ввод!$J$19)/100),""))</f>
        <v/>
      </c>
    </row>
    <row r="111" ht="22" customHeight="1">
      <c r="B111" s="238" t="n"/>
      <c r="C111" s="237" t="n"/>
      <c r="D111" s="238" t="n"/>
      <c r="E111" s="239" t="n"/>
      <c r="F111" s="240" t="n"/>
      <c r="G111" s="177" t="n"/>
      <c r="H111" s="271" t="str">
        <f>IF(AND(ISNUMBER(F111),ISNUMBER(G111)),F111*G111,"")</f>
        <v/>
      </c>
      <c r="I111" s="240" t="n"/>
      <c r="J111" s="177" t="n"/>
      <c r="K111" s="271" t="str">
        <f>IF(AND(ISNUMBER(I111),ISNUMBER(J111)),I111*J111,"")</f>
        <v/>
      </c>
      <c r="L111" s="240" t="str">
        <f>IF(COUNT(F111,I111)=0,"",N(F111)-N(I111))</f>
        <v/>
      </c>
      <c r="M111" s="241" t="str">
        <f>IF(COUNT(H111,K111)=0,"",N(K111)-N(H111))</f>
        <v/>
      </c>
      <c r="N111" s="240" t="str">
        <f>IF(AND(ISNUMBER(F111),ISNUMBER(G111),F111&gt;0,1-N(Ввод!$J$19)/100&gt;0),G111/(1-N(Ввод!$J$19)/100),IF(AND(ISNUMBER(I111),ISNUMBER(J111),I111&gt;0),J111/(1+N(Ввод!$J$19)/100),""))</f>
        <v/>
      </c>
    </row>
    <row r="112" ht="22" customHeight="1">
      <c r="B112" s="244" t="n"/>
      <c r="C112" s="243" t="n"/>
      <c r="D112" s="244" t="n"/>
      <c r="E112" s="245" t="n"/>
      <c r="F112" s="246" t="n"/>
      <c r="G112" s="183" t="n"/>
      <c r="H112" s="271" t="str">
        <f>IF(AND(ISNUMBER(F112),ISNUMBER(G112)),F112*G112,"")</f>
        <v/>
      </c>
      <c r="I112" s="246" t="n"/>
      <c r="J112" s="183" t="n"/>
      <c r="K112" s="271" t="str">
        <f>IF(AND(ISNUMBER(I112),ISNUMBER(J112)),I112*J112,"")</f>
        <v/>
      </c>
      <c r="L112" s="246" t="str">
        <f>IF(COUNT(F112,I112)=0,"",N(F112)-N(I112))</f>
        <v/>
      </c>
      <c r="M112" s="247" t="str">
        <f>IF(COUNT(H112,K112)=0,"",N(K112)-N(H112))</f>
        <v/>
      </c>
      <c r="N112" s="246" t="str">
        <f>IF(AND(ISNUMBER(F112),ISNUMBER(G112),F112&gt;0,1-N(Ввод!$J$19)/100&gt;0),G112/(1-N(Ввод!$J$19)/100),IF(AND(ISNUMBER(I112),ISNUMBER(J112),I112&gt;0),J112/(1+N(Ввод!$J$19)/100),""))</f>
        <v/>
      </c>
    </row>
    <row r="113" ht="22" customHeight="1">
      <c r="B113" s="238" t="n"/>
      <c r="C113" s="237" t="n"/>
      <c r="D113" s="238" t="n"/>
      <c r="E113" s="239" t="n"/>
      <c r="F113" s="240" t="n"/>
      <c r="G113" s="177" t="n"/>
      <c r="H113" s="271" t="str">
        <f>IF(AND(ISNUMBER(F113),ISNUMBER(G113)),F113*G113,"")</f>
        <v/>
      </c>
      <c r="I113" s="240" t="n"/>
      <c r="J113" s="177" t="n"/>
      <c r="K113" s="271" t="str">
        <f>IF(AND(ISNUMBER(I113),ISNUMBER(J113)),I113*J113,"")</f>
        <v/>
      </c>
      <c r="L113" s="240" t="str">
        <f>IF(COUNT(F113,I113)=0,"",N(F113)-N(I113))</f>
        <v/>
      </c>
      <c r="M113" s="241" t="str">
        <f>IF(COUNT(H113,K113)=0,"",N(K113)-N(H113))</f>
        <v/>
      </c>
      <c r="N113" s="240" t="str">
        <f>IF(AND(ISNUMBER(F113),ISNUMBER(G113),F113&gt;0,1-N(Ввод!$J$19)/100&gt;0),G113/(1-N(Ввод!$J$19)/100),IF(AND(ISNUMBER(I113),ISNUMBER(J113),I113&gt;0),J113/(1+N(Ввод!$J$19)/100),""))</f>
        <v/>
      </c>
    </row>
    <row r="114" ht="22" customHeight="1">
      <c r="B114" s="244" t="n"/>
      <c r="C114" s="243" t="n"/>
      <c r="D114" s="244" t="n"/>
      <c r="E114" s="245" t="n"/>
      <c r="F114" s="246" t="n"/>
      <c r="G114" s="183" t="n"/>
      <c r="H114" s="271" t="str">
        <f>IF(AND(ISNUMBER(F114),ISNUMBER(G114)),F114*G114,"")</f>
        <v/>
      </c>
      <c r="I114" s="246" t="n"/>
      <c r="J114" s="183" t="n"/>
      <c r="K114" s="271" t="str">
        <f>IF(AND(ISNUMBER(I114),ISNUMBER(J114)),I114*J114,"")</f>
        <v/>
      </c>
      <c r="L114" s="246" t="str">
        <f>IF(COUNT(F114,I114)=0,"",N(F114)-N(I114))</f>
        <v/>
      </c>
      <c r="M114" s="247" t="str">
        <f>IF(COUNT(H114,K114)=0,"",N(K114)-N(H114))</f>
        <v/>
      </c>
      <c r="N114" s="246" t="str">
        <f>IF(AND(ISNUMBER(F114),ISNUMBER(G114),F114&gt;0,1-N(Ввод!$J$19)/100&gt;0),G114/(1-N(Ввод!$J$19)/100),IF(AND(ISNUMBER(I114),ISNUMBER(J114),I114&gt;0),J114/(1+N(Ввод!$J$19)/100),""))</f>
        <v/>
      </c>
    </row>
    <row r="115" ht="22" customHeight="1">
      <c r="B115" s="238" t="n"/>
      <c r="C115" s="237" t="n"/>
      <c r="D115" s="238" t="n"/>
      <c r="E115" s="239" t="n"/>
      <c r="F115" s="240" t="n"/>
      <c r="G115" s="177" t="n"/>
      <c r="H115" s="271" t="str">
        <f>IF(AND(ISNUMBER(F115),ISNUMBER(G115)),F115*G115,"")</f>
        <v/>
      </c>
      <c r="I115" s="240" t="n"/>
      <c r="J115" s="177" t="n"/>
      <c r="K115" s="271" t="str">
        <f>IF(AND(ISNUMBER(I115),ISNUMBER(J115)),I115*J115,"")</f>
        <v/>
      </c>
      <c r="L115" s="240" t="str">
        <f>IF(COUNT(F115,I115)=0,"",N(F115)-N(I115))</f>
        <v/>
      </c>
      <c r="M115" s="241" t="str">
        <f>IF(COUNT(H115,K115)=0,"",N(K115)-N(H115))</f>
        <v/>
      </c>
      <c r="N115" s="240" t="str">
        <f>IF(AND(ISNUMBER(F115),ISNUMBER(G115),F115&gt;0,1-N(Ввод!$J$19)/100&gt;0),G115/(1-N(Ввод!$J$19)/100),IF(AND(ISNUMBER(I115),ISNUMBER(J115),I115&gt;0),J115/(1+N(Ввод!$J$19)/100),""))</f>
        <v/>
      </c>
    </row>
    <row r="116" ht="22" customHeight="1">
      <c r="B116" s="244" t="n"/>
      <c r="C116" s="243" t="n"/>
      <c r="D116" s="244" t="n"/>
      <c r="E116" s="245" t="n"/>
      <c r="F116" s="246" t="n"/>
      <c r="G116" s="183" t="n"/>
      <c r="H116" s="271" t="str">
        <f>IF(AND(ISNUMBER(F116),ISNUMBER(G116)),F116*G116,"")</f>
        <v/>
      </c>
      <c r="I116" s="246" t="n"/>
      <c r="J116" s="183" t="n"/>
      <c r="K116" s="271" t="str">
        <f>IF(AND(ISNUMBER(I116),ISNUMBER(J116)),I116*J116,"")</f>
        <v/>
      </c>
      <c r="L116" s="246" t="str">
        <f>IF(COUNT(F116,I116)=0,"",N(F116)-N(I116))</f>
        <v/>
      </c>
      <c r="M116" s="247" t="str">
        <f>IF(COUNT(H116,K116)=0,"",N(K116)-N(H116))</f>
        <v/>
      </c>
      <c r="N116" s="246" t="str">
        <f>IF(AND(ISNUMBER(F116),ISNUMBER(G116),F116&gt;0,1-N(Ввод!$J$19)/100&gt;0),G116/(1-N(Ввод!$J$19)/100),IF(AND(ISNUMBER(I116),ISNUMBER(J116),I116&gt;0),J116/(1+N(Ввод!$J$19)/100),""))</f>
        <v/>
      </c>
    </row>
    <row r="117" ht="22" customHeight="1">
      <c r="B117" s="238" t="n"/>
      <c r="C117" s="237" t="n"/>
      <c r="D117" s="238" t="n"/>
      <c r="E117" s="239" t="n"/>
      <c r="F117" s="240" t="n"/>
      <c r="G117" s="177" t="n"/>
      <c r="H117" s="271" t="str">
        <f>IF(AND(ISNUMBER(F117),ISNUMBER(G117)),F117*G117,"")</f>
        <v/>
      </c>
      <c r="I117" s="240" t="n"/>
      <c r="J117" s="177" t="n"/>
      <c r="K117" s="271" t="str">
        <f>IF(AND(ISNUMBER(I117),ISNUMBER(J117)),I117*J117,"")</f>
        <v/>
      </c>
      <c r="L117" s="240" t="str">
        <f>IF(COUNT(F117,I117)=0,"",N(F117)-N(I117))</f>
        <v/>
      </c>
      <c r="M117" s="241" t="str">
        <f>IF(COUNT(H117,K117)=0,"",N(K117)-N(H117))</f>
        <v/>
      </c>
      <c r="N117" s="240" t="str">
        <f>IF(AND(ISNUMBER(F117),ISNUMBER(G117),F117&gt;0,1-N(Ввод!$J$19)/100&gt;0),G117/(1-N(Ввод!$J$19)/100),IF(AND(ISNUMBER(I117),ISNUMBER(J117),I117&gt;0),J117/(1+N(Ввод!$J$19)/100),""))</f>
        <v/>
      </c>
    </row>
    <row r="118" ht="22" customHeight="1">
      <c r="B118" s="244" t="n"/>
      <c r="C118" s="243" t="n"/>
      <c r="D118" s="244" t="n"/>
      <c r="E118" s="245" t="n"/>
      <c r="F118" s="246" t="n"/>
      <c r="G118" s="183" t="n"/>
      <c r="H118" s="271" t="str">
        <f>IF(AND(ISNUMBER(F118),ISNUMBER(G118)),F118*G118,"")</f>
        <v/>
      </c>
      <c r="I118" s="246" t="n"/>
      <c r="J118" s="183" t="n"/>
      <c r="K118" s="271" t="str">
        <f>IF(AND(ISNUMBER(I118),ISNUMBER(J118)),I118*J118,"")</f>
        <v/>
      </c>
      <c r="L118" s="246" t="str">
        <f>IF(COUNT(F118,I118)=0,"",N(F118)-N(I118))</f>
        <v/>
      </c>
      <c r="M118" s="247" t="str">
        <f>IF(COUNT(H118,K118)=0,"",N(K118)-N(H118))</f>
        <v/>
      </c>
      <c r="N118" s="246" t="str">
        <f>IF(AND(ISNUMBER(F118),ISNUMBER(G118),F118&gt;0,1-N(Ввод!$J$19)/100&gt;0),G118/(1-N(Ввод!$J$19)/100),IF(AND(ISNUMBER(I118),ISNUMBER(J118),I118&gt;0),J118/(1+N(Ввод!$J$19)/100),""))</f>
        <v/>
      </c>
    </row>
    <row r="119" ht="22" customHeight="1">
      <c r="B119" s="238" t="n"/>
      <c r="C119" s="237" t="n"/>
      <c r="D119" s="238" t="n"/>
      <c r="E119" s="239" t="n"/>
      <c r="F119" s="240" t="n"/>
      <c r="G119" s="177" t="n"/>
      <c r="H119" s="271" t="str">
        <f>IF(AND(ISNUMBER(F119),ISNUMBER(G119)),F119*G119,"")</f>
        <v/>
      </c>
      <c r="I119" s="240" t="n"/>
      <c r="J119" s="177" t="n"/>
      <c r="K119" s="271" t="str">
        <f>IF(AND(ISNUMBER(I119),ISNUMBER(J119)),I119*J119,"")</f>
        <v/>
      </c>
      <c r="L119" s="240" t="str">
        <f>IF(COUNT(F119,I119)=0,"",N(F119)-N(I119))</f>
        <v/>
      </c>
      <c r="M119" s="241" t="str">
        <f>IF(COUNT(H119,K119)=0,"",N(K119)-N(H119))</f>
        <v/>
      </c>
      <c r="N119" s="240" t="str">
        <f>IF(AND(ISNUMBER(F119),ISNUMBER(G119),F119&gt;0,1-N(Ввод!$J$19)/100&gt;0),G119/(1-N(Ввод!$J$19)/100),IF(AND(ISNUMBER(I119),ISNUMBER(J119),I119&gt;0),J119/(1+N(Ввод!$J$19)/100),""))</f>
        <v/>
      </c>
    </row>
    <row r="120" ht="22" customHeight="1">
      <c r="B120" s="244" t="n"/>
      <c r="C120" s="243" t="n"/>
      <c r="D120" s="244" t="n"/>
      <c r="E120" s="245" t="n"/>
      <c r="F120" s="246" t="n"/>
      <c r="G120" s="183" t="n"/>
      <c r="H120" s="271" t="str">
        <f>IF(AND(ISNUMBER(F120),ISNUMBER(G120)),F120*G120,"")</f>
        <v/>
      </c>
      <c r="I120" s="246" t="n"/>
      <c r="J120" s="183" t="n"/>
      <c r="K120" s="271" t="str">
        <f>IF(AND(ISNUMBER(I120),ISNUMBER(J120)),I120*J120,"")</f>
        <v/>
      </c>
      <c r="L120" s="246" t="str">
        <f>IF(COUNT(F120,I120)=0,"",N(F120)-N(I120))</f>
        <v/>
      </c>
      <c r="M120" s="247" t="str">
        <f>IF(COUNT(H120,K120)=0,"",N(K120)-N(H120))</f>
        <v/>
      </c>
      <c r="N120" s="246" t="str">
        <f>IF(AND(ISNUMBER(F120),ISNUMBER(G120),F120&gt;0,1-N(Ввод!$J$19)/100&gt;0),G120/(1-N(Ввод!$J$19)/100),IF(AND(ISNUMBER(I120),ISNUMBER(J120),I120&gt;0),J120/(1+N(Ввод!$J$19)/100),""))</f>
        <v/>
      </c>
    </row>
    <row r="121" ht="22" customHeight="1">
      <c r="B121" s="238" t="n"/>
      <c r="C121" s="237" t="n"/>
      <c r="D121" s="238" t="n"/>
      <c r="E121" s="239" t="n"/>
      <c r="F121" s="240" t="n"/>
      <c r="G121" s="177" t="n"/>
      <c r="H121" s="271" t="str">
        <f>IF(AND(ISNUMBER(F121),ISNUMBER(G121)),F121*G121,"")</f>
        <v/>
      </c>
      <c r="I121" s="240" t="n"/>
      <c r="J121" s="177" t="n"/>
      <c r="K121" s="271" t="str">
        <f>IF(AND(ISNUMBER(I121),ISNUMBER(J121)),I121*J121,"")</f>
        <v/>
      </c>
      <c r="L121" s="240" t="str">
        <f>IF(COUNT(F121,I121)=0,"",N(F121)-N(I121))</f>
        <v/>
      </c>
      <c r="M121" s="241" t="str">
        <f>IF(COUNT(H121,K121)=0,"",N(K121)-N(H121))</f>
        <v/>
      </c>
      <c r="N121" s="240" t="str">
        <f>IF(AND(ISNUMBER(F121),ISNUMBER(G121),F121&gt;0,1-N(Ввод!$J$19)/100&gt;0),G121/(1-N(Ввод!$J$19)/100),IF(AND(ISNUMBER(I121),ISNUMBER(J121),I121&gt;0),J121/(1+N(Ввод!$J$19)/100),""))</f>
        <v/>
      </c>
    </row>
    <row r="122" ht="22" customHeight="1">
      <c r="B122" s="244" t="n"/>
      <c r="C122" s="243" t="n"/>
      <c r="D122" s="244" t="n"/>
      <c r="E122" s="245" t="n"/>
      <c r="F122" s="246" t="n"/>
      <c r="G122" s="183" t="n"/>
      <c r="H122" s="271" t="str">
        <f>IF(AND(ISNUMBER(F122),ISNUMBER(G122)),F122*G122,"")</f>
        <v/>
      </c>
      <c r="I122" s="246" t="n"/>
      <c r="J122" s="183" t="n"/>
      <c r="K122" s="271" t="str">
        <f>IF(AND(ISNUMBER(I122),ISNUMBER(J122)),I122*J122,"")</f>
        <v/>
      </c>
      <c r="L122" s="246" t="str">
        <f>IF(COUNT(F122,I122)=0,"",N(F122)-N(I122))</f>
        <v/>
      </c>
      <c r="M122" s="247" t="str">
        <f>IF(COUNT(H122,K122)=0,"",N(K122)-N(H122))</f>
        <v/>
      </c>
      <c r="N122" s="246" t="str">
        <f>IF(AND(ISNUMBER(F122),ISNUMBER(G122),F122&gt;0,1-N(Ввод!$J$19)/100&gt;0),G122/(1-N(Ввод!$J$19)/100),IF(AND(ISNUMBER(I122),ISNUMBER(J122),I122&gt;0),J122/(1+N(Ввод!$J$19)/100),""))</f>
        <v/>
      </c>
    </row>
    <row r="123" ht="22" customHeight="1">
      <c r="B123" s="238" t="n"/>
      <c r="C123" s="237" t="n"/>
      <c r="D123" s="238" t="n"/>
      <c r="E123" s="239" t="n"/>
      <c r="F123" s="240" t="n"/>
      <c r="G123" s="177" t="n"/>
      <c r="H123" s="271" t="str">
        <f>IF(AND(ISNUMBER(F123),ISNUMBER(G123)),F123*G123,"")</f>
        <v/>
      </c>
      <c r="I123" s="240" t="n"/>
      <c r="J123" s="177" t="n"/>
      <c r="K123" s="271" t="str">
        <f>IF(AND(ISNUMBER(I123),ISNUMBER(J123)),I123*J123,"")</f>
        <v/>
      </c>
      <c r="L123" s="240" t="str">
        <f>IF(COUNT(F123,I123)=0,"",N(F123)-N(I123))</f>
        <v/>
      </c>
      <c r="M123" s="241" t="str">
        <f>IF(COUNT(H123,K123)=0,"",N(K123)-N(H123))</f>
        <v/>
      </c>
      <c r="N123" s="240" t="str">
        <f>IF(AND(ISNUMBER(F123),ISNUMBER(G123),F123&gt;0,1-N(Ввод!$J$19)/100&gt;0),G123/(1-N(Ввод!$J$19)/100),IF(AND(ISNUMBER(I123),ISNUMBER(J123),I123&gt;0),J123/(1+N(Ввод!$J$19)/100),""))</f>
        <v/>
      </c>
    </row>
    <row r="124" ht="22" customHeight="1">
      <c r="B124" s="244" t="n"/>
      <c r="C124" s="243" t="n"/>
      <c r="D124" s="244" t="n"/>
      <c r="E124" s="245" t="n"/>
      <c r="F124" s="246" t="n"/>
      <c r="G124" s="183" t="n"/>
      <c r="H124" s="271" t="str">
        <f>IF(AND(ISNUMBER(F124),ISNUMBER(G124)),F124*G124,"")</f>
        <v/>
      </c>
      <c r="I124" s="246" t="n"/>
      <c r="J124" s="183" t="n"/>
      <c r="K124" s="271" t="str">
        <f>IF(AND(ISNUMBER(I124),ISNUMBER(J124)),I124*J124,"")</f>
        <v/>
      </c>
      <c r="L124" s="246" t="str">
        <f>IF(COUNT(F124,I124)=0,"",N(F124)-N(I124))</f>
        <v/>
      </c>
      <c r="M124" s="247" t="str">
        <f>IF(COUNT(H124,K124)=0,"",N(K124)-N(H124))</f>
        <v/>
      </c>
      <c r="N124" s="246" t="str">
        <f>IF(AND(ISNUMBER(F124),ISNUMBER(G124),F124&gt;0,1-N(Ввод!$J$19)/100&gt;0),G124/(1-N(Ввод!$J$19)/100),IF(AND(ISNUMBER(I124),ISNUMBER(J124),I124&gt;0),J124/(1+N(Ввод!$J$19)/100),""))</f>
        <v/>
      </c>
    </row>
    <row r="125" ht="22" customHeight="1">
      <c r="B125" s="238" t="n"/>
      <c r="C125" s="237" t="n"/>
      <c r="D125" s="238" t="n"/>
      <c r="E125" s="239" t="n"/>
      <c r="F125" s="240" t="n"/>
      <c r="G125" s="177" t="n"/>
      <c r="H125" s="271" t="str">
        <f>IF(AND(ISNUMBER(F125),ISNUMBER(G125)),F125*G125,"")</f>
        <v/>
      </c>
      <c r="I125" s="240" t="n"/>
      <c r="J125" s="177" t="n"/>
      <c r="K125" s="271" t="str">
        <f>IF(AND(ISNUMBER(I125),ISNUMBER(J125)),I125*J125,"")</f>
        <v/>
      </c>
      <c r="L125" s="240" t="str">
        <f>IF(COUNT(F125,I125)=0,"",N(F125)-N(I125))</f>
        <v/>
      </c>
      <c r="M125" s="241" t="str">
        <f>IF(COUNT(H125,K125)=0,"",N(K125)-N(H125))</f>
        <v/>
      </c>
      <c r="N125" s="240" t="str">
        <f>IF(AND(ISNUMBER(F125),ISNUMBER(G125),F125&gt;0,1-N(Ввод!$J$19)/100&gt;0),G125/(1-N(Ввод!$J$19)/100),IF(AND(ISNUMBER(I125),ISNUMBER(J125),I125&gt;0),J125/(1+N(Ввод!$J$19)/100),""))</f>
        <v/>
      </c>
    </row>
    <row r="126" ht="22" customHeight="1">
      <c r="B126" s="244" t="n"/>
      <c r="C126" s="243" t="n"/>
      <c r="D126" s="244" t="n"/>
      <c r="E126" s="245" t="n"/>
      <c r="F126" s="246" t="n"/>
      <c r="G126" s="183" t="n"/>
      <c r="H126" s="271" t="str">
        <f>IF(AND(ISNUMBER(F126),ISNUMBER(G126)),F126*G126,"")</f>
        <v/>
      </c>
      <c r="I126" s="246" t="n"/>
      <c r="J126" s="183" t="n"/>
      <c r="K126" s="271" t="str">
        <f>IF(AND(ISNUMBER(I126),ISNUMBER(J126)),I126*J126,"")</f>
        <v/>
      </c>
      <c r="L126" s="246" t="str">
        <f>IF(COUNT(F126,I126)=0,"",N(F126)-N(I126))</f>
        <v/>
      </c>
      <c r="M126" s="247" t="str">
        <f>IF(COUNT(H126,K126)=0,"",N(K126)-N(H126))</f>
        <v/>
      </c>
      <c r="N126" s="246" t="str">
        <f>IF(AND(ISNUMBER(F126),ISNUMBER(G126),F126&gt;0,1-N(Ввод!$J$19)/100&gt;0),G126/(1-N(Ввод!$J$19)/100),IF(AND(ISNUMBER(I126),ISNUMBER(J126),I126&gt;0),J126/(1+N(Ввод!$J$19)/100),""))</f>
        <v/>
      </c>
    </row>
    <row r="127" ht="22" customHeight="1">
      <c r="B127" s="238" t="n"/>
      <c r="C127" s="237" t="n"/>
      <c r="D127" s="238" t="n"/>
      <c r="E127" s="239" t="n"/>
      <c r="F127" s="240" t="n"/>
      <c r="G127" s="177" t="n"/>
      <c r="H127" s="271" t="str">
        <f>IF(AND(ISNUMBER(F127),ISNUMBER(G127)),F127*G127,"")</f>
        <v/>
      </c>
      <c r="I127" s="240" t="n"/>
      <c r="J127" s="177" t="n"/>
      <c r="K127" s="271" t="str">
        <f>IF(AND(ISNUMBER(I127),ISNUMBER(J127)),I127*J127,"")</f>
        <v/>
      </c>
      <c r="L127" s="240" t="str">
        <f>IF(COUNT(F127,I127)=0,"",N(F127)-N(I127))</f>
        <v/>
      </c>
      <c r="M127" s="241" t="str">
        <f>IF(COUNT(H127,K127)=0,"",N(K127)-N(H127))</f>
        <v/>
      </c>
      <c r="N127" s="240" t="str">
        <f>IF(AND(ISNUMBER(F127),ISNUMBER(G127),F127&gt;0,1-N(Ввод!$J$19)/100&gt;0),G127/(1-N(Ввод!$J$19)/100),IF(AND(ISNUMBER(I127),ISNUMBER(J127),I127&gt;0),J127/(1+N(Ввод!$J$19)/100),""))</f>
        <v/>
      </c>
    </row>
    <row r="128" ht="22" customHeight="1">
      <c r="B128" s="244" t="n"/>
      <c r="C128" s="243" t="n"/>
      <c r="D128" s="244" t="n"/>
      <c r="E128" s="245" t="n"/>
      <c r="F128" s="246" t="n"/>
      <c r="G128" s="183" t="n"/>
      <c r="H128" s="271" t="str">
        <f>IF(AND(ISNUMBER(F128),ISNUMBER(G128)),F128*G128,"")</f>
        <v/>
      </c>
      <c r="I128" s="246" t="n"/>
      <c r="J128" s="183" t="n"/>
      <c r="K128" s="271" t="str">
        <f>IF(AND(ISNUMBER(I128),ISNUMBER(J128)),I128*J128,"")</f>
        <v/>
      </c>
      <c r="L128" s="246" t="str">
        <f>IF(COUNT(F128,I128)=0,"",N(F128)-N(I128))</f>
        <v/>
      </c>
      <c r="M128" s="247" t="str">
        <f>IF(COUNT(H128,K128)=0,"",N(K128)-N(H128))</f>
        <v/>
      </c>
      <c r="N128" s="246" t="str">
        <f>IF(AND(ISNUMBER(F128),ISNUMBER(G128),F128&gt;0,1-N(Ввод!$J$19)/100&gt;0),G128/(1-N(Ввод!$J$19)/100),IF(AND(ISNUMBER(I128),ISNUMBER(J128),I128&gt;0),J128/(1+N(Ввод!$J$19)/100),""))</f>
        <v/>
      </c>
    </row>
    <row r="129" ht="22" customHeight="1">
      <c r="B129" s="238" t="n"/>
      <c r="C129" s="237" t="n"/>
      <c r="D129" s="238" t="n"/>
      <c r="E129" s="239" t="n"/>
      <c r="F129" s="240" t="n"/>
      <c r="G129" s="177" t="n"/>
      <c r="H129" s="271" t="str">
        <f>IF(AND(ISNUMBER(F129),ISNUMBER(G129)),F129*G129,"")</f>
        <v/>
      </c>
      <c r="I129" s="240" t="n"/>
      <c r="J129" s="177" t="n"/>
      <c r="K129" s="271" t="str">
        <f>IF(AND(ISNUMBER(I129),ISNUMBER(J129)),I129*J129,"")</f>
        <v/>
      </c>
      <c r="L129" s="240" t="str">
        <f>IF(COUNT(F129,I129)=0,"",N(F129)-N(I129))</f>
        <v/>
      </c>
      <c r="M129" s="241" t="str">
        <f>IF(COUNT(H129,K129)=0,"",N(K129)-N(H129))</f>
        <v/>
      </c>
      <c r="N129" s="240" t="str">
        <f>IF(AND(ISNUMBER(F129),ISNUMBER(G129),F129&gt;0,1-N(Ввод!$J$19)/100&gt;0),G129/(1-N(Ввод!$J$19)/100),IF(AND(ISNUMBER(I129),ISNUMBER(J129),I129&gt;0),J129/(1+N(Ввод!$J$19)/100),""))</f>
        <v/>
      </c>
    </row>
    <row r="130" ht="22" customHeight="1">
      <c r="B130" s="244" t="n"/>
      <c r="C130" s="243" t="n"/>
      <c r="D130" s="244" t="n"/>
      <c r="E130" s="245" t="n"/>
      <c r="F130" s="246" t="n"/>
      <c r="G130" s="183" t="n"/>
      <c r="H130" s="271" t="str">
        <f>IF(AND(ISNUMBER(F130),ISNUMBER(G130)),F130*G130,"")</f>
        <v/>
      </c>
      <c r="I130" s="246" t="n"/>
      <c r="J130" s="183" t="n"/>
      <c r="K130" s="271" t="str">
        <f>IF(AND(ISNUMBER(I130),ISNUMBER(J130)),I130*J130,"")</f>
        <v/>
      </c>
      <c r="L130" s="246" t="str">
        <f>IF(COUNT(F130,I130)=0,"",N(F130)-N(I130))</f>
        <v/>
      </c>
      <c r="M130" s="247" t="str">
        <f>IF(COUNT(H130,K130)=0,"",N(K130)-N(H130))</f>
        <v/>
      </c>
      <c r="N130" s="246" t="str">
        <f>IF(AND(ISNUMBER(F130),ISNUMBER(G130),F130&gt;0,1-N(Ввод!$J$19)/100&gt;0),G130/(1-N(Ввод!$J$19)/100),IF(AND(ISNUMBER(I130),ISNUMBER(J130),I130&gt;0),J130/(1+N(Ввод!$J$19)/100),""))</f>
        <v/>
      </c>
    </row>
    <row r="131" ht="22" customHeight="1">
      <c r="B131" s="238" t="n"/>
      <c r="C131" s="237" t="n"/>
      <c r="D131" s="238" t="n"/>
      <c r="E131" s="239" t="n"/>
      <c r="F131" s="240" t="n"/>
      <c r="G131" s="177" t="n"/>
      <c r="H131" s="271" t="str">
        <f>IF(AND(ISNUMBER(F131),ISNUMBER(G131)),F131*G131,"")</f>
        <v/>
      </c>
      <c r="I131" s="240" t="n"/>
      <c r="J131" s="177" t="n"/>
      <c r="K131" s="271" t="str">
        <f>IF(AND(ISNUMBER(I131),ISNUMBER(J131)),I131*J131,"")</f>
        <v/>
      </c>
      <c r="L131" s="240" t="str">
        <f>IF(COUNT(F131,I131)=0,"",N(F131)-N(I131))</f>
        <v/>
      </c>
      <c r="M131" s="241" t="str">
        <f>IF(COUNT(H131,K131)=0,"",N(K131)-N(H131))</f>
        <v/>
      </c>
      <c r="N131" s="240" t="str">
        <f>IF(AND(ISNUMBER(F131),ISNUMBER(G131),F131&gt;0,1-N(Ввод!$J$19)/100&gt;0),G131/(1-N(Ввод!$J$19)/100),IF(AND(ISNUMBER(I131),ISNUMBER(J131),I131&gt;0),J131/(1+N(Ввод!$J$19)/100),""))</f>
        <v/>
      </c>
    </row>
    <row r="132" ht="22" customHeight="1">
      <c r="B132" s="244" t="n"/>
      <c r="C132" s="243" t="n"/>
      <c r="D132" s="244" t="n"/>
      <c r="E132" s="245" t="n"/>
      <c r="F132" s="246" t="n"/>
      <c r="G132" s="183" t="n"/>
      <c r="H132" s="271" t="str">
        <f>IF(AND(ISNUMBER(F132),ISNUMBER(G132)),F132*G132,"")</f>
        <v/>
      </c>
      <c r="I132" s="246" t="n"/>
      <c r="J132" s="183" t="n"/>
      <c r="K132" s="271" t="str">
        <f>IF(AND(ISNUMBER(I132),ISNUMBER(J132)),I132*J132,"")</f>
        <v/>
      </c>
      <c r="L132" s="246" t="str">
        <f>IF(COUNT(F132,I132)=0,"",N(F132)-N(I132))</f>
        <v/>
      </c>
      <c r="M132" s="247" t="str">
        <f>IF(COUNT(H132,K132)=0,"",N(K132)-N(H132))</f>
        <v/>
      </c>
      <c r="N132" s="246" t="str">
        <f>IF(AND(ISNUMBER(F132),ISNUMBER(G132),F132&gt;0,1-N(Ввод!$J$19)/100&gt;0),G132/(1-N(Ввод!$J$19)/100),IF(AND(ISNUMBER(I132),ISNUMBER(J132),I132&gt;0),J132/(1+N(Ввод!$J$19)/100),""))</f>
        <v/>
      </c>
    </row>
    <row r="133" ht="22" customHeight="1">
      <c r="B133" s="238" t="n"/>
      <c r="C133" s="237" t="n"/>
      <c r="D133" s="238" t="n"/>
      <c r="E133" s="239" t="n"/>
      <c r="F133" s="240" t="n"/>
      <c r="G133" s="177" t="n"/>
      <c r="H133" s="271" t="str">
        <f>IF(AND(ISNUMBER(F133),ISNUMBER(G133)),F133*G133,"")</f>
        <v/>
      </c>
      <c r="I133" s="240" t="n"/>
      <c r="J133" s="177" t="n"/>
      <c r="K133" s="271" t="str">
        <f>IF(AND(ISNUMBER(I133),ISNUMBER(J133)),I133*J133,"")</f>
        <v/>
      </c>
      <c r="L133" s="240" t="str">
        <f>IF(COUNT(F133,I133)=0,"",N(F133)-N(I133))</f>
        <v/>
      </c>
      <c r="M133" s="241" t="str">
        <f>IF(COUNT(H133,K133)=0,"",N(K133)-N(H133))</f>
        <v/>
      </c>
      <c r="N133" s="240" t="str">
        <f>IF(AND(ISNUMBER(F133),ISNUMBER(G133),F133&gt;0,1-N(Ввод!$J$19)/100&gt;0),G133/(1-N(Ввод!$J$19)/100),IF(AND(ISNUMBER(I133),ISNUMBER(J133),I133&gt;0),J133/(1+N(Ввод!$J$19)/100),""))</f>
        <v/>
      </c>
    </row>
    <row r="134" ht="22" customHeight="1">
      <c r="B134" s="244" t="n"/>
      <c r="C134" s="243" t="n"/>
      <c r="D134" s="244" t="n"/>
      <c r="E134" s="245" t="n"/>
      <c r="F134" s="246" t="n"/>
      <c r="G134" s="183" t="n"/>
      <c r="H134" s="271" t="str">
        <f>IF(AND(ISNUMBER(F134),ISNUMBER(G134)),F134*G134,"")</f>
        <v/>
      </c>
      <c r="I134" s="246" t="n"/>
      <c r="J134" s="183" t="n"/>
      <c r="K134" s="271" t="str">
        <f>IF(AND(ISNUMBER(I134),ISNUMBER(J134)),I134*J134,"")</f>
        <v/>
      </c>
      <c r="L134" s="246" t="str">
        <f>IF(COUNT(F134,I134)=0,"",N(F134)-N(I134))</f>
        <v/>
      </c>
      <c r="M134" s="247" t="str">
        <f>IF(COUNT(H134,K134)=0,"",N(K134)-N(H134))</f>
        <v/>
      </c>
      <c r="N134" s="246" t="str">
        <f>IF(AND(ISNUMBER(F134),ISNUMBER(G134),F134&gt;0,1-N(Ввод!$J$19)/100&gt;0),G134/(1-N(Ввод!$J$19)/100),IF(AND(ISNUMBER(I134),ISNUMBER(J134),I134&gt;0),J134/(1+N(Ввод!$J$19)/100),""))</f>
        <v/>
      </c>
    </row>
    <row r="135" ht="22" customHeight="1">
      <c r="B135" s="238" t="n"/>
      <c r="C135" s="237" t="n"/>
      <c r="D135" s="238" t="n"/>
      <c r="E135" s="239" t="n"/>
      <c r="F135" s="240" t="n"/>
      <c r="G135" s="177" t="n"/>
      <c r="H135" s="271" t="str">
        <f>IF(AND(ISNUMBER(F135),ISNUMBER(G135)),F135*G135,"")</f>
        <v/>
      </c>
      <c r="I135" s="240" t="n"/>
      <c r="J135" s="177" t="n"/>
      <c r="K135" s="271" t="str">
        <f>IF(AND(ISNUMBER(I135),ISNUMBER(J135)),I135*J135,"")</f>
        <v/>
      </c>
      <c r="L135" s="240" t="str">
        <f>IF(COUNT(F135,I135)=0,"",N(F135)-N(I135))</f>
        <v/>
      </c>
      <c r="M135" s="241" t="str">
        <f>IF(COUNT(H135,K135)=0,"",N(K135)-N(H135))</f>
        <v/>
      </c>
      <c r="N135" s="240" t="str">
        <f>IF(AND(ISNUMBER(F135),ISNUMBER(G135),F135&gt;0,1-N(Ввод!$J$19)/100&gt;0),G135/(1-N(Ввод!$J$19)/100),IF(AND(ISNUMBER(I135),ISNUMBER(J135),I135&gt;0),J135/(1+N(Ввод!$J$19)/100),""))</f>
        <v/>
      </c>
    </row>
    <row r="136" ht="22" customHeight="1">
      <c r="B136" s="244" t="n"/>
      <c r="C136" s="243" t="n"/>
      <c r="D136" s="244" t="n"/>
      <c r="E136" s="245" t="n"/>
      <c r="F136" s="246" t="n"/>
      <c r="G136" s="183" t="n"/>
      <c r="H136" s="271" t="str">
        <f>IF(AND(ISNUMBER(F136),ISNUMBER(G136)),F136*G136,"")</f>
        <v/>
      </c>
      <c r="I136" s="246" t="n"/>
      <c r="J136" s="183" t="n"/>
      <c r="K136" s="271" t="str">
        <f>IF(AND(ISNUMBER(I136),ISNUMBER(J136)),I136*J136,"")</f>
        <v/>
      </c>
      <c r="L136" s="246" t="str">
        <f>IF(COUNT(F136,I136)=0,"",N(F136)-N(I136))</f>
        <v/>
      </c>
      <c r="M136" s="247" t="str">
        <f>IF(COUNT(H136,K136)=0,"",N(K136)-N(H136))</f>
        <v/>
      </c>
      <c r="N136" s="246" t="str">
        <f>IF(AND(ISNUMBER(F136),ISNUMBER(G136),F136&gt;0,1-N(Ввод!$J$19)/100&gt;0),G136/(1-N(Ввод!$J$19)/100),IF(AND(ISNUMBER(I136),ISNUMBER(J136),I136&gt;0),J136/(1+N(Ввод!$J$19)/100),""))</f>
        <v/>
      </c>
    </row>
    <row r="137" ht="22" customHeight="1">
      <c r="B137" s="238" t="n"/>
      <c r="C137" s="237" t="n"/>
      <c r="D137" s="238" t="n"/>
      <c r="E137" s="239" t="n"/>
      <c r="F137" s="240" t="n"/>
      <c r="G137" s="177" t="n"/>
      <c r="H137" s="271" t="str">
        <f>IF(AND(ISNUMBER(F137),ISNUMBER(G137)),F137*G137,"")</f>
        <v/>
      </c>
      <c r="I137" s="240" t="n"/>
      <c r="J137" s="177" t="n"/>
      <c r="K137" s="271" t="str">
        <f>IF(AND(ISNUMBER(I137),ISNUMBER(J137)),I137*J137,"")</f>
        <v/>
      </c>
      <c r="L137" s="240" t="str">
        <f>IF(COUNT(F137,I137)=0,"",N(F137)-N(I137))</f>
        <v/>
      </c>
      <c r="M137" s="241" t="str">
        <f>IF(COUNT(H137,K137)=0,"",N(K137)-N(H137))</f>
        <v/>
      </c>
      <c r="N137" s="240" t="str">
        <f>IF(AND(ISNUMBER(F137),ISNUMBER(G137),F137&gt;0,1-N(Ввод!$J$19)/100&gt;0),G137/(1-N(Ввод!$J$19)/100),IF(AND(ISNUMBER(I137),ISNUMBER(J137),I137&gt;0),J137/(1+N(Ввод!$J$19)/100),""))</f>
        <v/>
      </c>
    </row>
    <row r="138" ht="22" customHeight="1">
      <c r="B138" s="244" t="n"/>
      <c r="C138" s="243" t="n"/>
      <c r="D138" s="244" t="n"/>
      <c r="E138" s="245" t="n"/>
      <c r="F138" s="246" t="n"/>
      <c r="G138" s="183" t="n"/>
      <c r="H138" s="271" t="str">
        <f>IF(AND(ISNUMBER(F138),ISNUMBER(G138)),F138*G138,"")</f>
        <v/>
      </c>
      <c r="I138" s="246" t="n"/>
      <c r="J138" s="183" t="n"/>
      <c r="K138" s="271" t="str">
        <f>IF(AND(ISNUMBER(I138),ISNUMBER(J138)),I138*J138,"")</f>
        <v/>
      </c>
      <c r="L138" s="246" t="str">
        <f>IF(COUNT(F138,I138)=0,"",N(F138)-N(I138))</f>
        <v/>
      </c>
      <c r="M138" s="247" t="str">
        <f>IF(COUNT(H138,K138)=0,"",N(K138)-N(H138))</f>
        <v/>
      </c>
      <c r="N138" s="246" t="str">
        <f>IF(AND(ISNUMBER(F138),ISNUMBER(G138),F138&gt;0,1-N(Ввод!$J$19)/100&gt;0),G138/(1-N(Ввод!$J$19)/100),IF(AND(ISNUMBER(I138),ISNUMBER(J138),I138&gt;0),J138/(1+N(Ввод!$J$19)/100),""))</f>
        <v/>
      </c>
    </row>
    <row r="139" ht="22" customHeight="1">
      <c r="B139" s="238" t="n"/>
      <c r="C139" s="237" t="n"/>
      <c r="D139" s="238" t="n"/>
      <c r="E139" s="239" t="n"/>
      <c r="F139" s="240" t="n"/>
      <c r="G139" s="177" t="n"/>
      <c r="H139" s="271" t="str">
        <f>IF(AND(ISNUMBER(F139),ISNUMBER(G139)),F139*G139,"")</f>
        <v/>
      </c>
      <c r="I139" s="240" t="n"/>
      <c r="J139" s="177" t="n"/>
      <c r="K139" s="271" t="str">
        <f>IF(AND(ISNUMBER(I139),ISNUMBER(J139)),I139*J139,"")</f>
        <v/>
      </c>
      <c r="L139" s="240" t="str">
        <f>IF(COUNT(F139,I139)=0,"",N(F139)-N(I139))</f>
        <v/>
      </c>
      <c r="M139" s="241" t="str">
        <f>IF(COUNT(H139,K139)=0,"",N(K139)-N(H139))</f>
        <v/>
      </c>
      <c r="N139" s="240" t="str">
        <f>IF(AND(ISNUMBER(F139),ISNUMBER(G139),F139&gt;0,1-N(Ввод!$J$19)/100&gt;0),G139/(1-N(Ввод!$J$19)/100),IF(AND(ISNUMBER(I139),ISNUMBER(J139),I139&gt;0),J139/(1+N(Ввод!$J$19)/100),""))</f>
        <v/>
      </c>
    </row>
    <row r="140" ht="22" customHeight="1">
      <c r="B140" s="244" t="n"/>
      <c r="C140" s="243" t="n"/>
      <c r="D140" s="244" t="n"/>
      <c r="E140" s="245" t="n"/>
      <c r="F140" s="246" t="n"/>
      <c r="G140" s="183" t="n"/>
      <c r="H140" s="271" t="str">
        <f>IF(AND(ISNUMBER(F140),ISNUMBER(G140)),F140*G140,"")</f>
        <v/>
      </c>
      <c r="I140" s="246" t="n"/>
      <c r="J140" s="183" t="n"/>
      <c r="K140" s="271" t="str">
        <f>IF(AND(ISNUMBER(I140),ISNUMBER(J140)),I140*J140,"")</f>
        <v/>
      </c>
      <c r="L140" s="246" t="str">
        <f>IF(COUNT(F140,I140)=0,"",N(F140)-N(I140))</f>
        <v/>
      </c>
      <c r="M140" s="247" t="str">
        <f>IF(COUNT(H140,K140)=0,"",N(K140)-N(H140))</f>
        <v/>
      </c>
      <c r="N140" s="246" t="str">
        <f>IF(AND(ISNUMBER(F140),ISNUMBER(G140),F140&gt;0,1-N(Ввод!$J$19)/100&gt;0),G140/(1-N(Ввод!$J$19)/100),IF(AND(ISNUMBER(I140),ISNUMBER(J140),I140&gt;0),J140/(1+N(Ввод!$J$19)/100),""))</f>
        <v/>
      </c>
    </row>
    <row r="141" ht="22" customHeight="1">
      <c r="B141" s="238" t="n"/>
      <c r="C141" s="237" t="n"/>
      <c r="D141" s="238" t="n"/>
      <c r="E141" s="239" t="n"/>
      <c r="F141" s="240" t="n"/>
      <c r="G141" s="177" t="n"/>
      <c r="H141" s="271" t="str">
        <f>IF(AND(ISNUMBER(F141),ISNUMBER(G141)),F141*G141,"")</f>
        <v/>
      </c>
      <c r="I141" s="240" t="n"/>
      <c r="J141" s="177" t="n"/>
      <c r="K141" s="271" t="str">
        <f>IF(AND(ISNUMBER(I141),ISNUMBER(J141)),I141*J141,"")</f>
        <v/>
      </c>
      <c r="L141" s="240" t="str">
        <f>IF(COUNT(F141,I141)=0,"",N(F141)-N(I141))</f>
        <v/>
      </c>
      <c r="M141" s="241" t="str">
        <f>IF(COUNT(H141,K141)=0,"",N(K141)-N(H141))</f>
        <v/>
      </c>
      <c r="N141" s="240" t="str">
        <f>IF(AND(ISNUMBER(F141),ISNUMBER(G141),F141&gt;0,1-N(Ввод!$J$19)/100&gt;0),G141/(1-N(Ввод!$J$19)/100),IF(AND(ISNUMBER(I141),ISNUMBER(J141),I141&gt;0),J141/(1+N(Ввод!$J$19)/100),""))</f>
        <v/>
      </c>
    </row>
    <row r="142" ht="22" customHeight="1">
      <c r="B142" s="244" t="n"/>
      <c r="C142" s="243" t="n"/>
      <c r="D142" s="244" t="n"/>
      <c r="E142" s="245" t="n"/>
      <c r="F142" s="246" t="n"/>
      <c r="G142" s="183" t="n"/>
      <c r="H142" s="271" t="str">
        <f>IF(AND(ISNUMBER(F142),ISNUMBER(G142)),F142*G142,"")</f>
        <v/>
      </c>
      <c r="I142" s="246" t="n"/>
      <c r="J142" s="183" t="n"/>
      <c r="K142" s="271" t="str">
        <f>IF(AND(ISNUMBER(I142),ISNUMBER(J142)),I142*J142,"")</f>
        <v/>
      </c>
      <c r="L142" s="246" t="str">
        <f>IF(COUNT(F142,I142)=0,"",N(F142)-N(I142))</f>
        <v/>
      </c>
      <c r="M142" s="247" t="str">
        <f>IF(COUNT(H142,K142)=0,"",N(K142)-N(H142))</f>
        <v/>
      </c>
      <c r="N142" s="246" t="str">
        <f>IF(AND(ISNUMBER(F142),ISNUMBER(G142),F142&gt;0,1-N(Ввод!$J$19)/100&gt;0),G142/(1-N(Ввод!$J$19)/100),IF(AND(ISNUMBER(I142),ISNUMBER(J142),I142&gt;0),J142/(1+N(Ввод!$J$19)/100),""))</f>
        <v/>
      </c>
    </row>
    <row r="143" ht="22" customHeight="1">
      <c r="B143" s="238" t="n"/>
      <c r="C143" s="237" t="n"/>
      <c r="D143" s="238" t="n"/>
      <c r="E143" s="239" t="n"/>
      <c r="F143" s="240" t="n"/>
      <c r="G143" s="177" t="n"/>
      <c r="H143" s="271" t="str">
        <f>IF(AND(ISNUMBER(F143),ISNUMBER(G143)),F143*G143,"")</f>
        <v/>
      </c>
      <c r="I143" s="240" t="n"/>
      <c r="J143" s="177" t="n"/>
      <c r="K143" s="271" t="str">
        <f>IF(AND(ISNUMBER(I143),ISNUMBER(J143)),I143*J143,"")</f>
        <v/>
      </c>
      <c r="L143" s="240" t="str">
        <f>IF(COUNT(F143,I143)=0,"",N(F143)-N(I143))</f>
        <v/>
      </c>
      <c r="M143" s="241" t="str">
        <f>IF(COUNT(H143,K143)=0,"",N(K143)-N(H143))</f>
        <v/>
      </c>
      <c r="N143" s="240" t="str">
        <f>IF(AND(ISNUMBER(F143),ISNUMBER(G143),F143&gt;0,1-N(Ввод!$J$19)/100&gt;0),G143/(1-N(Ввод!$J$19)/100),IF(AND(ISNUMBER(I143),ISNUMBER(J143),I143&gt;0),J143/(1+N(Ввод!$J$19)/100),""))</f>
        <v/>
      </c>
    </row>
    <row r="144" ht="22" customHeight="1">
      <c r="B144" s="244" t="n"/>
      <c r="C144" s="243" t="n"/>
      <c r="D144" s="244" t="n"/>
      <c r="E144" s="245" t="n"/>
      <c r="F144" s="246" t="n"/>
      <c r="G144" s="183" t="n"/>
      <c r="H144" s="271" t="str">
        <f>IF(AND(ISNUMBER(F144),ISNUMBER(G144)),F144*G144,"")</f>
        <v/>
      </c>
      <c r="I144" s="246" t="n"/>
      <c r="J144" s="183" t="n"/>
      <c r="K144" s="271" t="str">
        <f>IF(AND(ISNUMBER(I144),ISNUMBER(J144)),I144*J144,"")</f>
        <v/>
      </c>
      <c r="L144" s="246" t="str">
        <f>IF(COUNT(F144,I144)=0,"",N(F144)-N(I144))</f>
        <v/>
      </c>
      <c r="M144" s="247" t="str">
        <f>IF(COUNT(H144,K144)=0,"",N(K144)-N(H144))</f>
        <v/>
      </c>
      <c r="N144" s="246" t="str">
        <f>IF(AND(ISNUMBER(F144),ISNUMBER(G144),F144&gt;0,1-N(Ввод!$J$19)/100&gt;0),G144/(1-N(Ввод!$J$19)/100),IF(AND(ISNUMBER(I144),ISNUMBER(J144),I144&gt;0),J144/(1+N(Ввод!$J$19)/100),""))</f>
        <v/>
      </c>
    </row>
    <row r="145" ht="22" customHeight="1">
      <c r="B145" s="238" t="n"/>
      <c r="C145" s="237" t="n"/>
      <c r="D145" s="238" t="n"/>
      <c r="E145" s="239" t="n"/>
      <c r="F145" s="240" t="n"/>
      <c r="G145" s="177" t="n"/>
      <c r="H145" s="271" t="str">
        <f>IF(AND(ISNUMBER(F145),ISNUMBER(G145)),F145*G145,"")</f>
        <v/>
      </c>
      <c r="I145" s="240" t="n"/>
      <c r="J145" s="177" t="n"/>
      <c r="K145" s="271" t="str">
        <f>IF(AND(ISNUMBER(I145),ISNUMBER(J145)),I145*J145,"")</f>
        <v/>
      </c>
      <c r="L145" s="240" t="str">
        <f>IF(COUNT(F145,I145)=0,"",N(F145)-N(I145))</f>
        <v/>
      </c>
      <c r="M145" s="241" t="str">
        <f>IF(COUNT(H145,K145)=0,"",N(K145)-N(H145))</f>
        <v/>
      </c>
      <c r="N145" s="240" t="str">
        <f>IF(AND(ISNUMBER(F145),ISNUMBER(G145),F145&gt;0,1-N(Ввод!$J$19)/100&gt;0),G145/(1-N(Ввод!$J$19)/100),IF(AND(ISNUMBER(I145),ISNUMBER(J145),I145&gt;0),J145/(1+N(Ввод!$J$19)/100),""))</f>
        <v/>
      </c>
    </row>
    <row r="146" ht="22" customHeight="1">
      <c r="B146" s="244" t="n"/>
      <c r="C146" s="243" t="n"/>
      <c r="D146" s="244" t="n"/>
      <c r="E146" s="245" t="n"/>
      <c r="F146" s="246" t="n"/>
      <c r="G146" s="183" t="n"/>
      <c r="H146" s="271" t="str">
        <f>IF(AND(ISNUMBER(F146),ISNUMBER(G146)),F146*G146,"")</f>
        <v/>
      </c>
      <c r="I146" s="246" t="n"/>
      <c r="J146" s="183" t="n"/>
      <c r="K146" s="271" t="str">
        <f>IF(AND(ISNUMBER(I146),ISNUMBER(J146)),I146*J146,"")</f>
        <v/>
      </c>
      <c r="L146" s="246" t="str">
        <f>IF(COUNT(F146,I146)=0,"",N(F146)-N(I146))</f>
        <v/>
      </c>
      <c r="M146" s="247" t="str">
        <f>IF(COUNT(H146,K146)=0,"",N(K146)-N(H146))</f>
        <v/>
      </c>
      <c r="N146" s="246" t="str">
        <f>IF(AND(ISNUMBER(F146),ISNUMBER(G146),F146&gt;0,1-N(Ввод!$J$19)/100&gt;0),G146/(1-N(Ввод!$J$19)/100),IF(AND(ISNUMBER(I146),ISNUMBER(J146),I146&gt;0),J146/(1+N(Ввод!$J$19)/100),""))</f>
        <v/>
      </c>
    </row>
    <row r="147" ht="22" customHeight="1">
      <c r="B147" s="238" t="n"/>
      <c r="C147" s="237" t="n"/>
      <c r="D147" s="238" t="n"/>
      <c r="E147" s="239" t="n"/>
      <c r="F147" s="240" t="n"/>
      <c r="G147" s="177" t="n"/>
      <c r="H147" s="271" t="str">
        <f>IF(AND(ISNUMBER(F147),ISNUMBER(G147)),F147*G147,"")</f>
        <v/>
      </c>
      <c r="I147" s="240" t="n"/>
      <c r="J147" s="177" t="n"/>
      <c r="K147" s="271" t="str">
        <f>IF(AND(ISNUMBER(I147),ISNUMBER(J147)),I147*J147,"")</f>
        <v/>
      </c>
      <c r="L147" s="240" t="str">
        <f>IF(COUNT(F147,I147)=0,"",N(F147)-N(I147))</f>
        <v/>
      </c>
      <c r="M147" s="241" t="str">
        <f>IF(COUNT(H147,K147)=0,"",N(K147)-N(H147))</f>
        <v/>
      </c>
      <c r="N147" s="240" t="str">
        <f>IF(AND(ISNUMBER(F147),ISNUMBER(G147),F147&gt;0,1-N(Ввод!$J$19)/100&gt;0),G147/(1-N(Ввод!$J$19)/100),IF(AND(ISNUMBER(I147),ISNUMBER(J147),I147&gt;0),J147/(1+N(Ввод!$J$19)/100),""))</f>
        <v/>
      </c>
    </row>
    <row r="148" ht="22" customHeight="1">
      <c r="B148" s="244" t="n"/>
      <c r="C148" s="243" t="n"/>
      <c r="D148" s="244" t="n"/>
      <c r="E148" s="245" t="n"/>
      <c r="F148" s="246" t="n"/>
      <c r="G148" s="183" t="n"/>
      <c r="H148" s="271" t="str">
        <f>IF(AND(ISNUMBER(F148),ISNUMBER(G148)),F148*G148,"")</f>
        <v/>
      </c>
      <c r="I148" s="246" t="n"/>
      <c r="J148" s="183" t="n"/>
      <c r="K148" s="271" t="str">
        <f>IF(AND(ISNUMBER(I148),ISNUMBER(J148)),I148*J148,"")</f>
        <v/>
      </c>
      <c r="L148" s="246" t="str">
        <f>IF(COUNT(F148,I148)=0,"",N(F148)-N(I148))</f>
        <v/>
      </c>
      <c r="M148" s="247" t="str">
        <f>IF(COUNT(H148,K148)=0,"",N(K148)-N(H148))</f>
        <v/>
      </c>
      <c r="N148" s="246" t="str">
        <f>IF(AND(ISNUMBER(F148),ISNUMBER(G148),F148&gt;0,1-N(Ввод!$J$19)/100&gt;0),G148/(1-N(Ввод!$J$19)/100),IF(AND(ISNUMBER(I148),ISNUMBER(J148),I148&gt;0),J148/(1+N(Ввод!$J$19)/100),""))</f>
        <v/>
      </c>
    </row>
    <row r="149" ht="22" customHeight="1">
      <c r="B149" s="238" t="n"/>
      <c r="C149" s="237" t="n"/>
      <c r="D149" s="238" t="n"/>
      <c r="E149" s="239" t="n"/>
      <c r="F149" s="240" t="n"/>
      <c r="G149" s="177" t="n"/>
      <c r="H149" s="271" t="str">
        <f>IF(AND(ISNUMBER(F149),ISNUMBER(G149)),F149*G149,"")</f>
        <v/>
      </c>
      <c r="I149" s="240" t="n"/>
      <c r="J149" s="177" t="n"/>
      <c r="K149" s="271" t="str">
        <f>IF(AND(ISNUMBER(I149),ISNUMBER(J149)),I149*J149,"")</f>
        <v/>
      </c>
      <c r="L149" s="240" t="str">
        <f>IF(COUNT(F149,I149)=0,"",N(F149)-N(I149))</f>
        <v/>
      </c>
      <c r="M149" s="241" t="str">
        <f>IF(COUNT(H149,K149)=0,"",N(K149)-N(H149))</f>
        <v/>
      </c>
      <c r="N149" s="240" t="str">
        <f>IF(AND(ISNUMBER(F149),ISNUMBER(G149),F149&gt;0,1-N(Ввод!$J$19)/100&gt;0),G149/(1-N(Ввод!$J$19)/100),IF(AND(ISNUMBER(I149),ISNUMBER(J149),I149&gt;0),J149/(1+N(Ввод!$J$19)/100),""))</f>
        <v/>
      </c>
    </row>
    <row r="150" ht="22" customHeight="1">
      <c r="B150" s="244" t="n"/>
      <c r="C150" s="243" t="n"/>
      <c r="D150" s="244" t="n"/>
      <c r="E150" s="245" t="n"/>
      <c r="F150" s="246" t="n"/>
      <c r="G150" s="183" t="n"/>
      <c r="H150" s="271" t="str">
        <f>IF(AND(ISNUMBER(F150),ISNUMBER(G150)),F150*G150,"")</f>
        <v/>
      </c>
      <c r="I150" s="246" t="n"/>
      <c r="J150" s="183" t="n"/>
      <c r="K150" s="271" t="str">
        <f>IF(AND(ISNUMBER(I150),ISNUMBER(J150)),I150*J150,"")</f>
        <v/>
      </c>
      <c r="L150" s="246" t="str">
        <f>IF(COUNT(F150,I150)=0,"",N(F150)-N(I150))</f>
        <v/>
      </c>
      <c r="M150" s="247" t="str">
        <f>IF(COUNT(H150,K150)=0,"",N(K150)-N(H150))</f>
        <v/>
      </c>
      <c r="N150" s="246" t="str">
        <f>IF(AND(ISNUMBER(F150),ISNUMBER(G150),F150&gt;0,1-N(Ввод!$J$19)/100&gt;0),G150/(1-N(Ввод!$J$19)/100),IF(AND(ISNUMBER(I150),ISNUMBER(J150),I150&gt;0),J150/(1+N(Ввод!$J$19)/100),""))</f>
        <v/>
      </c>
    </row>
    <row r="151" ht="22" customHeight="1">
      <c r="B151" s="238" t="n"/>
      <c r="C151" s="237" t="n"/>
      <c r="D151" s="238" t="n"/>
      <c r="E151" s="239" t="n"/>
      <c r="F151" s="240" t="n"/>
      <c r="G151" s="177" t="n"/>
      <c r="H151" s="271" t="str">
        <f>IF(AND(ISNUMBER(F151),ISNUMBER(G151)),F151*G151,"")</f>
        <v/>
      </c>
      <c r="I151" s="240" t="n"/>
      <c r="J151" s="177" t="n"/>
      <c r="K151" s="271" t="str">
        <f>IF(AND(ISNUMBER(I151),ISNUMBER(J151)),I151*J151,"")</f>
        <v/>
      </c>
      <c r="L151" s="240" t="str">
        <f>IF(COUNT(F151,I151)=0,"",N(F151)-N(I151))</f>
        <v/>
      </c>
      <c r="M151" s="241" t="str">
        <f>IF(COUNT(H151,K151)=0,"",N(K151)-N(H151))</f>
        <v/>
      </c>
      <c r="N151" s="240" t="str">
        <f>IF(AND(ISNUMBER(F151),ISNUMBER(G151),F151&gt;0,1-N(Ввод!$J$19)/100&gt;0),G151/(1-N(Ввод!$J$19)/100),IF(AND(ISNUMBER(I151),ISNUMBER(J151),I151&gt;0),J151/(1+N(Ввод!$J$19)/100),""))</f>
        <v/>
      </c>
    </row>
    <row r="152" ht="22" customHeight="1">
      <c r="B152" s="244" t="n"/>
      <c r="C152" s="243" t="n"/>
      <c r="D152" s="244" t="n"/>
      <c r="E152" s="245" t="n"/>
      <c r="F152" s="246" t="n"/>
      <c r="G152" s="183" t="n"/>
      <c r="H152" s="271" t="str">
        <f>IF(AND(ISNUMBER(F152),ISNUMBER(G152)),F152*G152,"")</f>
        <v/>
      </c>
      <c r="I152" s="246" t="n"/>
      <c r="J152" s="183" t="n"/>
      <c r="K152" s="271" t="str">
        <f>IF(AND(ISNUMBER(I152),ISNUMBER(J152)),I152*J152,"")</f>
        <v/>
      </c>
      <c r="L152" s="246" t="str">
        <f>IF(COUNT(F152,I152)=0,"",N(F152)-N(I152))</f>
        <v/>
      </c>
      <c r="M152" s="247" t="str">
        <f>IF(COUNT(H152,K152)=0,"",N(K152)-N(H152))</f>
        <v/>
      </c>
      <c r="N152" s="246" t="str">
        <f>IF(AND(ISNUMBER(F152),ISNUMBER(G152),F152&gt;0,1-N(Ввод!$J$19)/100&gt;0),G152/(1-N(Ввод!$J$19)/100),IF(AND(ISNUMBER(I152),ISNUMBER(J152),I152&gt;0),J152/(1+N(Ввод!$J$19)/100),""))</f>
        <v/>
      </c>
    </row>
    <row r="153" ht="22" customHeight="1">
      <c r="B153" s="238" t="n"/>
      <c r="C153" s="237" t="n"/>
      <c r="D153" s="238" t="n"/>
      <c r="E153" s="239" t="n"/>
      <c r="F153" s="240" t="n"/>
      <c r="G153" s="177" t="n"/>
      <c r="H153" s="271" t="str">
        <f>IF(AND(ISNUMBER(F153),ISNUMBER(G153)),F153*G153,"")</f>
        <v/>
      </c>
      <c r="I153" s="240" t="n"/>
      <c r="J153" s="177" t="n"/>
      <c r="K153" s="271" t="str">
        <f>IF(AND(ISNUMBER(I153),ISNUMBER(J153)),I153*J153,"")</f>
        <v/>
      </c>
      <c r="L153" s="240" t="str">
        <f>IF(COUNT(F153,I153)=0,"",N(F153)-N(I153))</f>
        <v/>
      </c>
      <c r="M153" s="241" t="str">
        <f>IF(COUNT(H153,K153)=0,"",N(K153)-N(H153))</f>
        <v/>
      </c>
      <c r="N153" s="240" t="str">
        <f>IF(AND(ISNUMBER(F153),ISNUMBER(G153),F153&gt;0,1-N(Ввод!$J$19)/100&gt;0),G153/(1-N(Ввод!$J$19)/100),IF(AND(ISNUMBER(I153),ISNUMBER(J153),I153&gt;0),J153/(1+N(Ввод!$J$19)/100),""))</f>
        <v/>
      </c>
    </row>
    <row r="154" ht="22" customHeight="1">
      <c r="B154" s="244" t="n"/>
      <c r="C154" s="243" t="n"/>
      <c r="D154" s="244" t="n"/>
      <c r="E154" s="245" t="n"/>
      <c r="F154" s="246" t="n"/>
      <c r="G154" s="183" t="n"/>
      <c r="H154" s="271" t="str">
        <f>IF(AND(ISNUMBER(F154),ISNUMBER(G154)),F154*G154,"")</f>
        <v/>
      </c>
      <c r="I154" s="246" t="n"/>
      <c r="J154" s="183" t="n"/>
      <c r="K154" s="271" t="str">
        <f>IF(AND(ISNUMBER(I154),ISNUMBER(J154)),I154*J154,"")</f>
        <v/>
      </c>
      <c r="L154" s="246" t="str">
        <f>IF(COUNT(F154,I154)=0,"",N(F154)-N(I154))</f>
        <v/>
      </c>
      <c r="M154" s="247" t="str">
        <f>IF(COUNT(H154,K154)=0,"",N(K154)-N(H154))</f>
        <v/>
      </c>
      <c r="N154" s="246" t="str">
        <f>IF(AND(ISNUMBER(F154),ISNUMBER(G154),F154&gt;0,1-N(Ввод!$J$19)/100&gt;0),G154/(1-N(Ввод!$J$19)/100),IF(AND(ISNUMBER(I154),ISNUMBER(J154),I154&gt;0),J154/(1+N(Ввод!$J$19)/100),""))</f>
        <v/>
      </c>
    </row>
    <row r="155" ht="22" customHeight="1">
      <c r="B155" s="238" t="n"/>
      <c r="C155" s="237" t="n"/>
      <c r="D155" s="238" t="n"/>
      <c r="E155" s="239" t="n"/>
      <c r="F155" s="240" t="n"/>
      <c r="G155" s="177" t="n"/>
      <c r="H155" s="271" t="str">
        <f>IF(AND(ISNUMBER(F155),ISNUMBER(G155)),F155*G155,"")</f>
        <v/>
      </c>
      <c r="I155" s="240" t="n"/>
      <c r="J155" s="177" t="n"/>
      <c r="K155" s="271" t="str">
        <f>IF(AND(ISNUMBER(I155),ISNUMBER(J155)),I155*J155,"")</f>
        <v/>
      </c>
      <c r="L155" s="240" t="str">
        <f>IF(COUNT(F155,I155)=0,"",N(F155)-N(I155))</f>
        <v/>
      </c>
      <c r="M155" s="241" t="str">
        <f>IF(COUNT(H155,K155)=0,"",N(K155)-N(H155))</f>
        <v/>
      </c>
      <c r="N155" s="240" t="str">
        <f>IF(AND(ISNUMBER(F155),ISNUMBER(G155),F155&gt;0,1-N(Ввод!$J$19)/100&gt;0),G155/(1-N(Ввод!$J$19)/100),IF(AND(ISNUMBER(I155),ISNUMBER(J155),I155&gt;0),J155/(1+N(Ввод!$J$19)/100),""))</f>
        <v/>
      </c>
    </row>
    <row r="156" ht="22" customHeight="1">
      <c r="B156" s="244" t="n"/>
      <c r="C156" s="243" t="n"/>
      <c r="D156" s="244" t="n"/>
      <c r="E156" s="245" t="n"/>
      <c r="F156" s="246" t="n"/>
      <c r="G156" s="183" t="n"/>
      <c r="H156" s="271" t="str">
        <f>IF(AND(ISNUMBER(F156),ISNUMBER(G156)),F156*G156,"")</f>
        <v/>
      </c>
      <c r="I156" s="246" t="n"/>
      <c r="J156" s="183" t="n"/>
      <c r="K156" s="271" t="str">
        <f>IF(AND(ISNUMBER(I156),ISNUMBER(J156)),I156*J156,"")</f>
        <v/>
      </c>
      <c r="L156" s="246" t="str">
        <f>IF(COUNT(F156,I156)=0,"",N(F156)-N(I156))</f>
        <v/>
      </c>
      <c r="M156" s="247" t="str">
        <f>IF(COUNT(H156,K156)=0,"",N(K156)-N(H156))</f>
        <v/>
      </c>
      <c r="N156" s="246" t="str">
        <f>IF(AND(ISNUMBER(F156),ISNUMBER(G156),F156&gt;0,1-N(Ввод!$J$19)/100&gt;0),G156/(1-N(Ввод!$J$19)/100),IF(AND(ISNUMBER(I156),ISNUMBER(J156),I156&gt;0),J156/(1+N(Ввод!$J$19)/100),""))</f>
        <v/>
      </c>
    </row>
    <row r="157" ht="22" customHeight="1">
      <c r="B157" s="238" t="n"/>
      <c r="C157" s="237" t="n"/>
      <c r="D157" s="238" t="n"/>
      <c r="E157" s="239" t="n"/>
      <c r="F157" s="240" t="n"/>
      <c r="G157" s="177" t="n"/>
      <c r="H157" s="271" t="str">
        <f>IF(AND(ISNUMBER(F157),ISNUMBER(G157)),F157*G157,"")</f>
        <v/>
      </c>
      <c r="I157" s="240" t="n"/>
      <c r="J157" s="177" t="n"/>
      <c r="K157" s="271" t="str">
        <f>IF(AND(ISNUMBER(I157),ISNUMBER(J157)),I157*J157,"")</f>
        <v/>
      </c>
      <c r="L157" s="240" t="str">
        <f>IF(COUNT(F157,I157)=0,"",N(F157)-N(I157))</f>
        <v/>
      </c>
      <c r="M157" s="241" t="str">
        <f>IF(COUNT(H157,K157)=0,"",N(K157)-N(H157))</f>
        <v/>
      </c>
      <c r="N157" s="240" t="str">
        <f>IF(AND(ISNUMBER(F157),ISNUMBER(G157),F157&gt;0,1-N(Ввод!$J$19)/100&gt;0),G157/(1-N(Ввод!$J$19)/100),IF(AND(ISNUMBER(I157),ISNUMBER(J157),I157&gt;0),J157/(1+N(Ввод!$J$19)/100),""))</f>
        <v/>
      </c>
    </row>
    <row r="158" ht="22" customHeight="1">
      <c r="B158" s="244" t="n"/>
      <c r="C158" s="243" t="n"/>
      <c r="D158" s="244" t="n"/>
      <c r="E158" s="245" t="n"/>
      <c r="F158" s="246" t="n"/>
      <c r="G158" s="183" t="n"/>
      <c r="H158" s="271" t="str">
        <f>IF(AND(ISNUMBER(F158),ISNUMBER(G158)),F158*G158,"")</f>
        <v/>
      </c>
      <c r="I158" s="246" t="n"/>
      <c r="J158" s="183" t="n"/>
      <c r="K158" s="271" t="str">
        <f>IF(AND(ISNUMBER(I158),ISNUMBER(J158)),I158*J158,"")</f>
        <v/>
      </c>
      <c r="L158" s="246" t="str">
        <f>IF(COUNT(F158,I158)=0,"",N(F158)-N(I158))</f>
        <v/>
      </c>
      <c r="M158" s="247" t="str">
        <f>IF(COUNT(H158,K158)=0,"",N(K158)-N(H158))</f>
        <v/>
      </c>
      <c r="N158" s="246" t="str">
        <f>IF(AND(ISNUMBER(F158),ISNUMBER(G158),F158&gt;0,1-N(Ввод!$J$19)/100&gt;0),G158/(1-N(Ввод!$J$19)/100),IF(AND(ISNUMBER(I158),ISNUMBER(J158),I158&gt;0),J158/(1+N(Ввод!$J$19)/100),""))</f>
        <v/>
      </c>
    </row>
    <row r="159" ht="22" customHeight="1">
      <c r="B159" s="238" t="n"/>
      <c r="C159" s="237" t="n"/>
      <c r="D159" s="238" t="n"/>
      <c r="E159" s="239" t="n"/>
      <c r="F159" s="240" t="n"/>
      <c r="G159" s="177" t="n"/>
      <c r="H159" s="271" t="str">
        <f>IF(AND(ISNUMBER(F159),ISNUMBER(G159)),F159*G159,"")</f>
        <v/>
      </c>
      <c r="I159" s="240" t="n"/>
      <c r="J159" s="177" t="n"/>
      <c r="K159" s="271" t="str">
        <f>IF(AND(ISNUMBER(I159),ISNUMBER(J159)),I159*J159,"")</f>
        <v/>
      </c>
      <c r="L159" s="240" t="str">
        <f>IF(COUNT(F159,I159)=0,"",N(F159)-N(I159))</f>
        <v/>
      </c>
      <c r="M159" s="241" t="str">
        <f>IF(COUNT(H159,K159)=0,"",N(K159)-N(H159))</f>
        <v/>
      </c>
      <c r="N159" s="240" t="str">
        <f>IF(AND(ISNUMBER(F159),ISNUMBER(G159),F159&gt;0,1-N(Ввод!$J$19)/100&gt;0),G159/(1-N(Ввод!$J$19)/100),IF(AND(ISNUMBER(I159),ISNUMBER(J159),I159&gt;0),J159/(1+N(Ввод!$J$19)/100),""))</f>
        <v/>
      </c>
    </row>
    <row r="160" ht="22" customHeight="1">
      <c r="B160" s="244" t="n"/>
      <c r="C160" s="243" t="n"/>
      <c r="D160" s="244" t="n"/>
      <c r="E160" s="245" t="n"/>
      <c r="F160" s="246" t="n"/>
      <c r="G160" s="183" t="n"/>
      <c r="H160" s="271" t="str">
        <f>IF(AND(ISNUMBER(F160),ISNUMBER(G160)),F160*G160,"")</f>
        <v/>
      </c>
      <c r="I160" s="246" t="n"/>
      <c r="J160" s="183" t="n"/>
      <c r="K160" s="271" t="str">
        <f>IF(AND(ISNUMBER(I160),ISNUMBER(J160)),I160*J160,"")</f>
        <v/>
      </c>
      <c r="L160" s="246" t="str">
        <f>IF(COUNT(F160,I160)=0,"",N(F160)-N(I160))</f>
        <v/>
      </c>
      <c r="M160" s="247" t="str">
        <f>IF(COUNT(H160,K160)=0,"",N(K160)-N(H160))</f>
        <v/>
      </c>
      <c r="N160" s="246" t="str">
        <f>IF(AND(ISNUMBER(F160),ISNUMBER(G160),F160&gt;0,1-N(Ввод!$J$19)/100&gt;0),G160/(1-N(Ввод!$J$19)/100),IF(AND(ISNUMBER(I160),ISNUMBER(J160),I160&gt;0),J160/(1+N(Ввод!$J$19)/100),""))</f>
        <v/>
      </c>
    </row>
    <row r="161" ht="22" customHeight="1">
      <c r="B161" s="238" t="n"/>
      <c r="C161" s="237" t="n"/>
      <c r="D161" s="238" t="n"/>
      <c r="E161" s="239" t="n"/>
      <c r="F161" s="240" t="n"/>
      <c r="G161" s="177" t="n"/>
      <c r="H161" s="271" t="str">
        <f>IF(AND(ISNUMBER(F161),ISNUMBER(G161)),F161*G161,"")</f>
        <v/>
      </c>
      <c r="I161" s="240" t="n"/>
      <c r="J161" s="177" t="n"/>
      <c r="K161" s="271" t="str">
        <f>IF(AND(ISNUMBER(I161),ISNUMBER(J161)),I161*J161,"")</f>
        <v/>
      </c>
      <c r="L161" s="240" t="str">
        <f>IF(COUNT(F161,I161)=0,"",N(F161)-N(I161))</f>
        <v/>
      </c>
      <c r="M161" s="241" t="str">
        <f>IF(COUNT(H161,K161)=0,"",N(K161)-N(H161))</f>
        <v/>
      </c>
      <c r="N161" s="240" t="str">
        <f>IF(AND(ISNUMBER(F161),ISNUMBER(G161),F161&gt;0,1-N(Ввод!$J$19)/100&gt;0),G161/(1-N(Ввод!$J$19)/100),IF(AND(ISNUMBER(I161),ISNUMBER(J161),I161&gt;0),J161/(1+N(Ввод!$J$19)/100),""))</f>
        <v/>
      </c>
    </row>
    <row r="162" ht="22" customHeight="1">
      <c r="B162" s="244" t="n"/>
      <c r="C162" s="243" t="n"/>
      <c r="D162" s="244" t="n"/>
      <c r="E162" s="245" t="n"/>
      <c r="F162" s="246" t="n"/>
      <c r="G162" s="183" t="n"/>
      <c r="H162" s="271" t="str">
        <f>IF(AND(ISNUMBER(F162),ISNUMBER(G162)),F162*G162,"")</f>
        <v/>
      </c>
      <c r="I162" s="246" t="n"/>
      <c r="J162" s="183" t="n"/>
      <c r="K162" s="271" t="str">
        <f>IF(AND(ISNUMBER(I162),ISNUMBER(J162)),I162*J162,"")</f>
        <v/>
      </c>
      <c r="L162" s="246" t="str">
        <f>IF(COUNT(F162,I162)=0,"",N(F162)-N(I162))</f>
        <v/>
      </c>
      <c r="M162" s="247" t="str">
        <f>IF(COUNT(H162,K162)=0,"",N(K162)-N(H162))</f>
        <v/>
      </c>
      <c r="N162" s="246" t="str">
        <f>IF(AND(ISNUMBER(F162),ISNUMBER(G162),F162&gt;0,1-N(Ввод!$J$19)/100&gt;0),G162/(1-N(Ввод!$J$19)/100),IF(AND(ISNUMBER(I162),ISNUMBER(J162),I162&gt;0),J162/(1+N(Ввод!$J$19)/100),""))</f>
        <v/>
      </c>
    </row>
    <row r="163" ht="22" customHeight="1">
      <c r="B163" s="238" t="n"/>
      <c r="C163" s="237" t="n"/>
      <c r="D163" s="238" t="n"/>
      <c r="E163" s="239" t="n"/>
      <c r="F163" s="240" t="n"/>
      <c r="G163" s="177" t="n"/>
      <c r="H163" s="271" t="str">
        <f>IF(AND(ISNUMBER(F163),ISNUMBER(G163)),F163*G163,"")</f>
        <v/>
      </c>
      <c r="I163" s="240" t="n"/>
      <c r="J163" s="177" t="n"/>
      <c r="K163" s="271" t="str">
        <f>IF(AND(ISNUMBER(I163),ISNUMBER(J163)),I163*J163,"")</f>
        <v/>
      </c>
      <c r="L163" s="240" t="str">
        <f>IF(COUNT(F163,I163)=0,"",N(F163)-N(I163))</f>
        <v/>
      </c>
      <c r="M163" s="241" t="str">
        <f>IF(COUNT(H163,K163)=0,"",N(K163)-N(H163))</f>
        <v/>
      </c>
      <c r="N163" s="240" t="str">
        <f>IF(AND(ISNUMBER(F163),ISNUMBER(G163),F163&gt;0,1-N(Ввод!$J$19)/100&gt;0),G163/(1-N(Ввод!$J$19)/100),IF(AND(ISNUMBER(I163),ISNUMBER(J163),I163&gt;0),J163/(1+N(Ввод!$J$19)/100),""))</f>
        <v/>
      </c>
    </row>
    <row r="164" ht="22" customHeight="1">
      <c r="B164" s="244" t="n"/>
      <c r="C164" s="243" t="n"/>
      <c r="D164" s="244" t="n"/>
      <c r="E164" s="245" t="n"/>
      <c r="F164" s="246" t="n"/>
      <c r="G164" s="183" t="n"/>
      <c r="H164" s="271" t="str">
        <f>IF(AND(ISNUMBER(F164),ISNUMBER(G164)),F164*G164,"")</f>
        <v/>
      </c>
      <c r="I164" s="246" t="n"/>
      <c r="J164" s="183" t="n"/>
      <c r="K164" s="271" t="str">
        <f>IF(AND(ISNUMBER(I164),ISNUMBER(J164)),I164*J164,"")</f>
        <v/>
      </c>
      <c r="L164" s="246" t="str">
        <f>IF(COUNT(F164,I164)=0,"",N(F164)-N(I164))</f>
        <v/>
      </c>
      <c r="M164" s="247" t="str">
        <f>IF(COUNT(H164,K164)=0,"",N(K164)-N(H164))</f>
        <v/>
      </c>
      <c r="N164" s="246" t="str">
        <f>IF(AND(ISNUMBER(F164),ISNUMBER(G164),F164&gt;0,1-N(Ввод!$J$19)/100&gt;0),G164/(1-N(Ввод!$J$19)/100),IF(AND(ISNUMBER(I164),ISNUMBER(J164),I164&gt;0),J164/(1+N(Ввод!$J$19)/100),""))</f>
        <v/>
      </c>
    </row>
    <row r="165" ht="22" customHeight="1">
      <c r="B165" s="238" t="n"/>
      <c r="C165" s="237" t="n"/>
      <c r="D165" s="238" t="n"/>
      <c r="E165" s="239" t="n"/>
      <c r="F165" s="240" t="n"/>
      <c r="G165" s="177" t="n"/>
      <c r="H165" s="271" t="str">
        <f>IF(AND(ISNUMBER(F165),ISNUMBER(G165)),F165*G165,"")</f>
        <v/>
      </c>
      <c r="I165" s="240" t="n"/>
      <c r="J165" s="177" t="n"/>
      <c r="K165" s="271" t="str">
        <f>IF(AND(ISNUMBER(I165),ISNUMBER(J165)),I165*J165,"")</f>
        <v/>
      </c>
      <c r="L165" s="240" t="str">
        <f>IF(COUNT(F165,I165)=0,"",N(F165)-N(I165))</f>
        <v/>
      </c>
      <c r="M165" s="241" t="str">
        <f>IF(COUNT(H165,K165)=0,"",N(K165)-N(H165))</f>
        <v/>
      </c>
      <c r="N165" s="240" t="str">
        <f>IF(AND(ISNUMBER(F165),ISNUMBER(G165),F165&gt;0,1-N(Ввод!$J$19)/100&gt;0),G165/(1-N(Ввод!$J$19)/100),IF(AND(ISNUMBER(I165),ISNUMBER(J165),I165&gt;0),J165/(1+N(Ввод!$J$19)/100),""))</f>
        <v/>
      </c>
    </row>
    <row r="166" ht="22" customHeight="1">
      <c r="B166" s="244" t="n"/>
      <c r="C166" s="243" t="n"/>
      <c r="D166" s="244" t="n"/>
      <c r="E166" s="245" t="n"/>
      <c r="F166" s="246" t="n"/>
      <c r="G166" s="183" t="n"/>
      <c r="H166" s="271" t="str">
        <f>IF(AND(ISNUMBER(F166),ISNUMBER(G166)),F166*G166,"")</f>
        <v/>
      </c>
      <c r="I166" s="246" t="n"/>
      <c r="J166" s="183" t="n"/>
      <c r="K166" s="271" t="str">
        <f>IF(AND(ISNUMBER(I166),ISNUMBER(J166)),I166*J166,"")</f>
        <v/>
      </c>
      <c r="L166" s="246" t="str">
        <f>IF(COUNT(F166,I166)=0,"",N(F166)-N(I166))</f>
        <v/>
      </c>
      <c r="M166" s="247" t="str">
        <f>IF(COUNT(H166,K166)=0,"",N(K166)-N(H166))</f>
        <v/>
      </c>
      <c r="N166" s="246" t="str">
        <f>IF(AND(ISNUMBER(F166),ISNUMBER(G166),F166&gt;0,1-N(Ввод!$J$19)/100&gt;0),G166/(1-N(Ввод!$J$19)/100),IF(AND(ISNUMBER(I166),ISNUMBER(J166),I166&gt;0),J166/(1+N(Ввод!$J$19)/100),""))</f>
        <v/>
      </c>
    </row>
    <row r="167" ht="22" customHeight="1">
      <c r="B167" s="238" t="n"/>
      <c r="C167" s="237" t="n"/>
      <c r="D167" s="238" t="n"/>
      <c r="E167" s="239" t="n"/>
      <c r="F167" s="240" t="n"/>
      <c r="G167" s="177" t="n"/>
      <c r="H167" s="271" t="str">
        <f>IF(AND(ISNUMBER(F167),ISNUMBER(G167)),F167*G167,"")</f>
        <v/>
      </c>
      <c r="I167" s="240" t="n"/>
      <c r="J167" s="177" t="n"/>
      <c r="K167" s="271" t="str">
        <f>IF(AND(ISNUMBER(I167),ISNUMBER(J167)),I167*J167,"")</f>
        <v/>
      </c>
      <c r="L167" s="240" t="str">
        <f>IF(COUNT(F167,I167)=0,"",N(F167)-N(I167))</f>
        <v/>
      </c>
      <c r="M167" s="241" t="str">
        <f>IF(COUNT(H167,K167)=0,"",N(K167)-N(H167))</f>
        <v/>
      </c>
      <c r="N167" s="240" t="str">
        <f>IF(AND(ISNUMBER(F167),ISNUMBER(G167),F167&gt;0,1-N(Ввод!$J$19)/100&gt;0),G167/(1-N(Ввод!$J$19)/100),IF(AND(ISNUMBER(I167),ISNUMBER(J167),I167&gt;0),J167/(1+N(Ввод!$J$19)/100),""))</f>
        <v/>
      </c>
    </row>
    <row r="168" ht="22" customHeight="1">
      <c r="B168" s="244" t="n"/>
      <c r="C168" s="243" t="n"/>
      <c r="D168" s="244" t="n"/>
      <c r="E168" s="245" t="n"/>
      <c r="F168" s="246" t="n"/>
      <c r="G168" s="183" t="n"/>
      <c r="H168" s="271" t="str">
        <f>IF(AND(ISNUMBER(F168),ISNUMBER(G168)),F168*G168,"")</f>
        <v/>
      </c>
      <c r="I168" s="246" t="n"/>
      <c r="J168" s="183" t="n"/>
      <c r="K168" s="271" t="str">
        <f>IF(AND(ISNUMBER(I168),ISNUMBER(J168)),I168*J168,"")</f>
        <v/>
      </c>
      <c r="L168" s="246" t="str">
        <f>IF(COUNT(F168,I168)=0,"",N(F168)-N(I168))</f>
        <v/>
      </c>
      <c r="M168" s="247" t="str">
        <f>IF(COUNT(H168,K168)=0,"",N(K168)-N(H168))</f>
        <v/>
      </c>
      <c r="N168" s="246" t="str">
        <f>IF(AND(ISNUMBER(F168),ISNUMBER(G168),F168&gt;0,1-N(Ввод!$J$19)/100&gt;0),G168/(1-N(Ввод!$J$19)/100),IF(AND(ISNUMBER(I168),ISNUMBER(J168),I168&gt;0),J168/(1+N(Ввод!$J$19)/100),""))</f>
        <v/>
      </c>
    </row>
    <row r="169" ht="22" customHeight="1">
      <c r="B169" s="238" t="n"/>
      <c r="C169" s="237" t="n"/>
      <c r="D169" s="238" t="n"/>
      <c r="E169" s="239" t="n"/>
      <c r="F169" s="240" t="n"/>
      <c r="G169" s="177" t="n"/>
      <c r="H169" s="271" t="str">
        <f>IF(AND(ISNUMBER(F169),ISNUMBER(G169)),F169*G169,"")</f>
        <v/>
      </c>
      <c r="I169" s="240" t="n"/>
      <c r="J169" s="177" t="n"/>
      <c r="K169" s="271" t="str">
        <f>IF(AND(ISNUMBER(I169),ISNUMBER(J169)),I169*J169,"")</f>
        <v/>
      </c>
      <c r="L169" s="240" t="str">
        <f>IF(COUNT(F169,I169)=0,"",N(F169)-N(I169))</f>
        <v/>
      </c>
      <c r="M169" s="241" t="str">
        <f>IF(COUNT(H169,K169)=0,"",N(K169)-N(H169))</f>
        <v/>
      </c>
      <c r="N169" s="240" t="str">
        <f>IF(AND(ISNUMBER(F169),ISNUMBER(G169),F169&gt;0,1-N(Ввод!$J$19)/100&gt;0),G169/(1-N(Ввод!$J$19)/100),IF(AND(ISNUMBER(I169),ISNUMBER(J169),I169&gt;0),J169/(1+N(Ввод!$J$19)/100),""))</f>
        <v/>
      </c>
    </row>
    <row r="170" ht="22" customHeight="1">
      <c r="B170" s="244" t="n"/>
      <c r="C170" s="243" t="n"/>
      <c r="D170" s="244" t="n"/>
      <c r="E170" s="245" t="n"/>
      <c r="F170" s="246" t="n"/>
      <c r="G170" s="183" t="n"/>
      <c r="H170" s="271" t="str">
        <f>IF(AND(ISNUMBER(F170),ISNUMBER(G170)),F170*G170,"")</f>
        <v/>
      </c>
      <c r="I170" s="246" t="n"/>
      <c r="J170" s="183" t="n"/>
      <c r="K170" s="271" t="str">
        <f>IF(AND(ISNUMBER(I170),ISNUMBER(J170)),I170*J170,"")</f>
        <v/>
      </c>
      <c r="L170" s="246" t="str">
        <f>IF(COUNT(F170,I170)=0,"",N(F170)-N(I170))</f>
        <v/>
      </c>
      <c r="M170" s="247" t="str">
        <f>IF(COUNT(H170,K170)=0,"",N(K170)-N(H170))</f>
        <v/>
      </c>
      <c r="N170" s="246" t="str">
        <f>IF(AND(ISNUMBER(F170),ISNUMBER(G170),F170&gt;0,1-N(Ввод!$J$19)/100&gt;0),G170/(1-N(Ввод!$J$19)/100),IF(AND(ISNUMBER(I170),ISNUMBER(J170),I170&gt;0),J170/(1+N(Ввод!$J$19)/100),""))</f>
        <v/>
      </c>
    </row>
    <row r="171" ht="22" customHeight="1">
      <c r="B171" s="238" t="n"/>
      <c r="C171" s="237" t="n"/>
      <c r="D171" s="238" t="n"/>
      <c r="E171" s="239" t="n"/>
      <c r="F171" s="240" t="n"/>
      <c r="G171" s="177" t="n"/>
      <c r="H171" s="271" t="str">
        <f>IF(AND(ISNUMBER(F171),ISNUMBER(G171)),F171*G171,"")</f>
        <v/>
      </c>
      <c r="I171" s="240" t="n"/>
      <c r="J171" s="177" t="n"/>
      <c r="K171" s="271" t="str">
        <f>IF(AND(ISNUMBER(I171),ISNUMBER(J171)),I171*J171,"")</f>
        <v/>
      </c>
      <c r="L171" s="240" t="str">
        <f>IF(COUNT(F171,I171)=0,"",N(F171)-N(I171))</f>
        <v/>
      </c>
      <c r="M171" s="241" t="str">
        <f>IF(COUNT(H171,K171)=0,"",N(K171)-N(H171))</f>
        <v/>
      </c>
      <c r="N171" s="240" t="str">
        <f>IF(AND(ISNUMBER(F171),ISNUMBER(G171),F171&gt;0,1-N(Ввод!$J$19)/100&gt;0),G171/(1-N(Ввод!$J$19)/100),IF(AND(ISNUMBER(I171),ISNUMBER(J171),I171&gt;0),J171/(1+N(Ввод!$J$19)/100),""))</f>
        <v/>
      </c>
    </row>
    <row r="172" ht="22" customHeight="1">
      <c r="B172" s="244" t="n"/>
      <c r="C172" s="243" t="n"/>
      <c r="D172" s="244" t="n"/>
      <c r="E172" s="245" t="n"/>
      <c r="F172" s="246" t="n"/>
      <c r="G172" s="183" t="n"/>
      <c r="H172" s="271" t="str">
        <f>IF(AND(ISNUMBER(F172),ISNUMBER(G172)),F172*G172,"")</f>
        <v/>
      </c>
      <c r="I172" s="246" t="n"/>
      <c r="J172" s="183" t="n"/>
      <c r="K172" s="271" t="str">
        <f>IF(AND(ISNUMBER(I172),ISNUMBER(J172)),I172*J172,"")</f>
        <v/>
      </c>
      <c r="L172" s="246" t="str">
        <f>IF(COUNT(F172,I172)=0,"",N(F172)-N(I172))</f>
        <v/>
      </c>
      <c r="M172" s="247" t="str">
        <f>IF(COUNT(H172,K172)=0,"",N(K172)-N(H172))</f>
        <v/>
      </c>
      <c r="N172" s="246" t="str">
        <f>IF(AND(ISNUMBER(F172),ISNUMBER(G172),F172&gt;0,1-N(Ввод!$J$19)/100&gt;0),G172/(1-N(Ввод!$J$19)/100),IF(AND(ISNUMBER(I172),ISNUMBER(J172),I172&gt;0),J172/(1+N(Ввод!$J$19)/100),""))</f>
        <v/>
      </c>
    </row>
    <row r="173" ht="22" customHeight="1">
      <c r="B173" s="238" t="n"/>
      <c r="C173" s="237" t="n"/>
      <c r="D173" s="238" t="n"/>
      <c r="E173" s="239" t="n"/>
      <c r="F173" s="240" t="n"/>
      <c r="G173" s="177" t="n"/>
      <c r="H173" s="271" t="str">
        <f>IF(AND(ISNUMBER(F173),ISNUMBER(G173)),F173*G173,"")</f>
        <v/>
      </c>
      <c r="I173" s="240" t="n"/>
      <c r="J173" s="177" t="n"/>
      <c r="K173" s="271" t="str">
        <f>IF(AND(ISNUMBER(I173),ISNUMBER(J173)),I173*J173,"")</f>
        <v/>
      </c>
      <c r="L173" s="240" t="str">
        <f>IF(COUNT(F173,I173)=0,"",N(F173)-N(I173))</f>
        <v/>
      </c>
      <c r="M173" s="241" t="str">
        <f>IF(COUNT(H173,K173)=0,"",N(K173)-N(H173))</f>
        <v/>
      </c>
      <c r="N173" s="240" t="str">
        <f>IF(AND(ISNUMBER(F173),ISNUMBER(G173),F173&gt;0,1-N(Ввод!$J$19)/100&gt;0),G173/(1-N(Ввод!$J$19)/100),IF(AND(ISNUMBER(I173),ISNUMBER(J173),I173&gt;0),J173/(1+N(Ввод!$J$19)/100),""))</f>
        <v/>
      </c>
    </row>
    <row r="174" ht="22" customHeight="1">
      <c r="B174" s="244" t="n"/>
      <c r="C174" s="243" t="n"/>
      <c r="D174" s="244" t="n"/>
      <c r="E174" s="245" t="n"/>
      <c r="F174" s="246" t="n"/>
      <c r="G174" s="183" t="n"/>
      <c r="H174" s="271" t="str">
        <f>IF(AND(ISNUMBER(F174),ISNUMBER(G174)),F174*G174,"")</f>
        <v/>
      </c>
      <c r="I174" s="246" t="n"/>
      <c r="J174" s="183" t="n"/>
      <c r="K174" s="271" t="str">
        <f>IF(AND(ISNUMBER(I174),ISNUMBER(J174)),I174*J174,"")</f>
        <v/>
      </c>
      <c r="L174" s="246" t="str">
        <f>IF(COUNT(F174,I174)=0,"",N(F174)-N(I174))</f>
        <v/>
      </c>
      <c r="M174" s="247" t="str">
        <f>IF(COUNT(H174,K174)=0,"",N(K174)-N(H174))</f>
        <v/>
      </c>
      <c r="N174" s="246" t="str">
        <f>IF(AND(ISNUMBER(F174),ISNUMBER(G174),F174&gt;0,1-N(Ввод!$J$19)/100&gt;0),G174/(1-N(Ввод!$J$19)/100),IF(AND(ISNUMBER(I174),ISNUMBER(J174),I174&gt;0),J174/(1+N(Ввод!$J$19)/100),""))</f>
        <v/>
      </c>
    </row>
    <row r="175" ht="22" customHeight="1">
      <c r="B175" s="238" t="n"/>
      <c r="C175" s="237" t="n"/>
      <c r="D175" s="238" t="n"/>
      <c r="E175" s="239" t="n"/>
      <c r="F175" s="240" t="n"/>
      <c r="G175" s="177" t="n"/>
      <c r="H175" s="271" t="str">
        <f>IF(AND(ISNUMBER(F175),ISNUMBER(G175)),F175*G175,"")</f>
        <v/>
      </c>
      <c r="I175" s="240" t="n"/>
      <c r="J175" s="177" t="n"/>
      <c r="K175" s="271" t="str">
        <f>IF(AND(ISNUMBER(I175),ISNUMBER(J175)),I175*J175,"")</f>
        <v/>
      </c>
      <c r="L175" s="240" t="str">
        <f>IF(COUNT(F175,I175)=0,"",N(F175)-N(I175))</f>
        <v/>
      </c>
      <c r="M175" s="241" t="str">
        <f>IF(COUNT(H175,K175)=0,"",N(K175)-N(H175))</f>
        <v/>
      </c>
      <c r="N175" s="240" t="str">
        <f>IF(AND(ISNUMBER(F175),ISNUMBER(G175),F175&gt;0,1-N(Ввод!$J$19)/100&gt;0),G175/(1-N(Ввод!$J$19)/100),IF(AND(ISNUMBER(I175),ISNUMBER(J175),I175&gt;0),J175/(1+N(Ввод!$J$19)/100),""))</f>
        <v/>
      </c>
    </row>
    <row r="176" ht="22" customHeight="1">
      <c r="B176" s="244" t="n"/>
      <c r="C176" s="243" t="n"/>
      <c r="D176" s="244" t="n"/>
      <c r="E176" s="245" t="n"/>
      <c r="F176" s="246" t="n"/>
      <c r="G176" s="183" t="n"/>
      <c r="H176" s="271" t="str">
        <f>IF(AND(ISNUMBER(F176),ISNUMBER(G176)),F176*G176,"")</f>
        <v/>
      </c>
      <c r="I176" s="246" t="n"/>
      <c r="J176" s="183" t="n"/>
      <c r="K176" s="271" t="str">
        <f>IF(AND(ISNUMBER(I176),ISNUMBER(J176)),I176*J176,"")</f>
        <v/>
      </c>
      <c r="L176" s="246" t="str">
        <f>IF(COUNT(F176,I176)=0,"",N(F176)-N(I176))</f>
        <v/>
      </c>
      <c r="M176" s="247" t="str">
        <f>IF(COUNT(H176,K176)=0,"",N(K176)-N(H176))</f>
        <v/>
      </c>
      <c r="N176" s="246" t="str">
        <f>IF(AND(ISNUMBER(F176),ISNUMBER(G176),F176&gt;0,1-N(Ввод!$J$19)/100&gt;0),G176/(1-N(Ввод!$J$19)/100),IF(AND(ISNUMBER(I176),ISNUMBER(J176),I176&gt;0),J176/(1+N(Ввод!$J$19)/100),""))</f>
        <v/>
      </c>
    </row>
    <row r="177" ht="22" customHeight="1">
      <c r="B177" s="238" t="n"/>
      <c r="C177" s="237" t="n"/>
      <c r="D177" s="238" t="n"/>
      <c r="E177" s="239" t="n"/>
      <c r="F177" s="240" t="n"/>
      <c r="G177" s="177" t="n"/>
      <c r="H177" s="271" t="str">
        <f>IF(AND(ISNUMBER(F177),ISNUMBER(G177)),F177*G177,"")</f>
        <v/>
      </c>
      <c r="I177" s="240" t="n"/>
      <c r="J177" s="177" t="n"/>
      <c r="K177" s="271" t="str">
        <f>IF(AND(ISNUMBER(I177),ISNUMBER(J177)),I177*J177,"")</f>
        <v/>
      </c>
      <c r="L177" s="240" t="str">
        <f>IF(COUNT(F177,I177)=0,"",N(F177)-N(I177))</f>
        <v/>
      </c>
      <c r="M177" s="241" t="str">
        <f>IF(COUNT(H177,K177)=0,"",N(K177)-N(H177))</f>
        <v/>
      </c>
      <c r="N177" s="240" t="str">
        <f>IF(AND(ISNUMBER(F177),ISNUMBER(G177),F177&gt;0,1-N(Ввод!$J$19)/100&gt;0),G177/(1-N(Ввод!$J$19)/100),IF(AND(ISNUMBER(I177),ISNUMBER(J177),I177&gt;0),J177/(1+N(Ввод!$J$19)/100),""))</f>
        <v/>
      </c>
    </row>
    <row r="178" ht="22" customHeight="1">
      <c r="B178" s="244" t="n"/>
      <c r="C178" s="243" t="n"/>
      <c r="D178" s="244" t="n"/>
      <c r="E178" s="245" t="n"/>
      <c r="F178" s="246" t="n"/>
      <c r="G178" s="183" t="n"/>
      <c r="H178" s="271" t="str">
        <f>IF(AND(ISNUMBER(F178),ISNUMBER(G178)),F178*G178,"")</f>
        <v/>
      </c>
      <c r="I178" s="246" t="n"/>
      <c r="J178" s="183" t="n"/>
      <c r="K178" s="271" t="str">
        <f>IF(AND(ISNUMBER(I178),ISNUMBER(J178)),I178*J178,"")</f>
        <v/>
      </c>
      <c r="L178" s="246" t="str">
        <f>IF(COUNT(F178,I178)=0,"",N(F178)-N(I178))</f>
        <v/>
      </c>
      <c r="M178" s="247" t="str">
        <f>IF(COUNT(H178,K178)=0,"",N(K178)-N(H178))</f>
        <v/>
      </c>
      <c r="N178" s="246" t="str">
        <f>IF(AND(ISNUMBER(F178),ISNUMBER(G178),F178&gt;0,1-N(Ввод!$J$19)/100&gt;0),G178/(1-N(Ввод!$J$19)/100),IF(AND(ISNUMBER(I178),ISNUMBER(J178),I178&gt;0),J178/(1+N(Ввод!$J$19)/100),""))</f>
        <v/>
      </c>
    </row>
    <row r="179" ht="22" customHeight="1">
      <c r="B179" s="238" t="n"/>
      <c r="C179" s="237" t="n"/>
      <c r="D179" s="238" t="n"/>
      <c r="E179" s="239" t="n"/>
      <c r="F179" s="240" t="n"/>
      <c r="G179" s="177" t="n"/>
      <c r="H179" s="271" t="str">
        <f>IF(AND(ISNUMBER(F179),ISNUMBER(G179)),F179*G179,"")</f>
        <v/>
      </c>
      <c r="I179" s="240" t="n"/>
      <c r="J179" s="177" t="n"/>
      <c r="K179" s="271" t="str">
        <f>IF(AND(ISNUMBER(I179),ISNUMBER(J179)),I179*J179,"")</f>
        <v/>
      </c>
      <c r="L179" s="240" t="str">
        <f>IF(COUNT(F179,I179)=0,"",N(F179)-N(I179))</f>
        <v/>
      </c>
      <c r="M179" s="241" t="str">
        <f>IF(COUNT(H179,K179)=0,"",N(K179)-N(H179))</f>
        <v/>
      </c>
      <c r="N179" s="240" t="str">
        <f>IF(AND(ISNUMBER(F179),ISNUMBER(G179),F179&gt;0,1-N(Ввод!$J$19)/100&gt;0),G179/(1-N(Ввод!$J$19)/100),IF(AND(ISNUMBER(I179),ISNUMBER(J179),I179&gt;0),J179/(1+N(Ввод!$J$19)/100),""))</f>
        <v/>
      </c>
    </row>
    <row r="180" ht="22" customHeight="1">
      <c r="B180" s="244" t="n"/>
      <c r="C180" s="243" t="n"/>
      <c r="D180" s="244" t="n"/>
      <c r="E180" s="245" t="n"/>
      <c r="F180" s="246" t="n"/>
      <c r="G180" s="183" t="n"/>
      <c r="H180" s="271" t="str">
        <f>IF(AND(ISNUMBER(F180),ISNUMBER(G180)),F180*G180,"")</f>
        <v/>
      </c>
      <c r="I180" s="246" t="n"/>
      <c r="J180" s="183" t="n"/>
      <c r="K180" s="271" t="str">
        <f>IF(AND(ISNUMBER(I180),ISNUMBER(J180)),I180*J180,"")</f>
        <v/>
      </c>
      <c r="L180" s="246" t="str">
        <f>IF(COUNT(F180,I180)=0,"",N(F180)-N(I180))</f>
        <v/>
      </c>
      <c r="M180" s="247" t="str">
        <f>IF(COUNT(H180,K180)=0,"",N(K180)-N(H180))</f>
        <v/>
      </c>
      <c r="N180" s="246" t="str">
        <f>IF(AND(ISNUMBER(F180),ISNUMBER(G180),F180&gt;0,1-N(Ввод!$J$19)/100&gt;0),G180/(1-N(Ввод!$J$19)/100),IF(AND(ISNUMBER(I180),ISNUMBER(J180),I180&gt;0),J180/(1+N(Ввод!$J$19)/100),""))</f>
        <v/>
      </c>
    </row>
    <row r="181" ht="22" customHeight="1">
      <c r="B181" s="238" t="n"/>
      <c r="C181" s="237" t="n"/>
      <c r="D181" s="238" t="n"/>
      <c r="E181" s="239" t="n"/>
      <c r="F181" s="240" t="n"/>
      <c r="G181" s="177" t="n"/>
      <c r="H181" s="271" t="str">
        <f>IF(AND(ISNUMBER(F181),ISNUMBER(G181)),F181*G181,"")</f>
        <v/>
      </c>
      <c r="I181" s="240" t="n"/>
      <c r="J181" s="177" t="n"/>
      <c r="K181" s="271" t="str">
        <f>IF(AND(ISNUMBER(I181),ISNUMBER(J181)),I181*J181,"")</f>
        <v/>
      </c>
      <c r="L181" s="240" t="str">
        <f>IF(COUNT(F181,I181)=0,"",N(F181)-N(I181))</f>
        <v/>
      </c>
      <c r="M181" s="241" t="str">
        <f>IF(COUNT(H181,K181)=0,"",N(K181)-N(H181))</f>
        <v/>
      </c>
      <c r="N181" s="240" t="str">
        <f>IF(AND(ISNUMBER(F181),ISNUMBER(G181),F181&gt;0,1-N(Ввод!$J$19)/100&gt;0),G181/(1-N(Ввод!$J$19)/100),IF(AND(ISNUMBER(I181),ISNUMBER(J181),I181&gt;0),J181/(1+N(Ввод!$J$19)/100),""))</f>
        <v/>
      </c>
    </row>
    <row r="182" ht="22" customHeight="1">
      <c r="B182" s="244" t="n"/>
      <c r="C182" s="243" t="n"/>
      <c r="D182" s="244" t="n"/>
      <c r="E182" s="245" t="n"/>
      <c r="F182" s="246" t="n"/>
      <c r="G182" s="183" t="n"/>
      <c r="H182" s="271" t="str">
        <f>IF(AND(ISNUMBER(F182),ISNUMBER(G182)),F182*G182,"")</f>
        <v/>
      </c>
      <c r="I182" s="246" t="n"/>
      <c r="J182" s="183" t="n"/>
      <c r="K182" s="271" t="str">
        <f>IF(AND(ISNUMBER(I182),ISNUMBER(J182)),I182*J182,"")</f>
        <v/>
      </c>
      <c r="L182" s="246" t="str">
        <f>IF(COUNT(F182,I182)=0,"",N(F182)-N(I182))</f>
        <v/>
      </c>
      <c r="M182" s="247" t="str">
        <f>IF(COUNT(H182,K182)=0,"",N(K182)-N(H182))</f>
        <v/>
      </c>
      <c r="N182" s="246" t="str">
        <f>IF(AND(ISNUMBER(F182),ISNUMBER(G182),F182&gt;0,1-N(Ввод!$J$19)/100&gt;0),G182/(1-N(Ввод!$J$19)/100),IF(AND(ISNUMBER(I182),ISNUMBER(J182),I182&gt;0),J182/(1+N(Ввод!$J$19)/100),""))</f>
        <v/>
      </c>
    </row>
    <row r="183" ht="22" customHeight="1">
      <c r="B183" s="238" t="n"/>
      <c r="C183" s="237" t="n"/>
      <c r="D183" s="238" t="n"/>
      <c r="E183" s="239" t="n"/>
      <c r="F183" s="240" t="n"/>
      <c r="G183" s="177" t="n"/>
      <c r="H183" s="271" t="str">
        <f>IF(AND(ISNUMBER(F183),ISNUMBER(G183)),F183*G183,"")</f>
        <v/>
      </c>
      <c r="I183" s="240" t="n"/>
      <c r="J183" s="177" t="n"/>
      <c r="K183" s="271" t="str">
        <f>IF(AND(ISNUMBER(I183),ISNUMBER(J183)),I183*J183,"")</f>
        <v/>
      </c>
      <c r="L183" s="240" t="str">
        <f>IF(COUNT(F183,I183)=0,"",N(F183)-N(I183))</f>
        <v/>
      </c>
      <c r="M183" s="241" t="str">
        <f>IF(COUNT(H183,K183)=0,"",N(K183)-N(H183))</f>
        <v/>
      </c>
      <c r="N183" s="240" t="str">
        <f>IF(AND(ISNUMBER(F183),ISNUMBER(G183),F183&gt;0,1-N(Ввод!$J$19)/100&gt;0),G183/(1-N(Ввод!$J$19)/100),IF(AND(ISNUMBER(I183),ISNUMBER(J183),I183&gt;0),J183/(1+N(Ввод!$J$19)/100),""))</f>
        <v/>
      </c>
    </row>
    <row r="184" ht="22" customHeight="1">
      <c r="B184" s="244" t="n"/>
      <c r="C184" s="243" t="n"/>
      <c r="D184" s="244" t="n"/>
      <c r="E184" s="245" t="n"/>
      <c r="F184" s="246" t="n"/>
      <c r="G184" s="183" t="n"/>
      <c r="H184" s="271" t="str">
        <f>IF(AND(ISNUMBER(F184),ISNUMBER(G184)),F184*G184,"")</f>
        <v/>
      </c>
      <c r="I184" s="246" t="n"/>
      <c r="J184" s="183" t="n"/>
      <c r="K184" s="271" t="str">
        <f>IF(AND(ISNUMBER(I184),ISNUMBER(J184)),I184*J184,"")</f>
        <v/>
      </c>
      <c r="L184" s="246" t="str">
        <f>IF(COUNT(F184,I184)=0,"",N(F184)-N(I184))</f>
        <v/>
      </c>
      <c r="M184" s="247" t="str">
        <f>IF(COUNT(H184,K184)=0,"",N(K184)-N(H184))</f>
        <v/>
      </c>
      <c r="N184" s="246" t="str">
        <f>IF(AND(ISNUMBER(F184),ISNUMBER(G184),F184&gt;0,1-N(Ввод!$J$19)/100&gt;0),G184/(1-N(Ввод!$J$19)/100),IF(AND(ISNUMBER(I184),ISNUMBER(J184),I184&gt;0),J184/(1+N(Ввод!$J$19)/100),""))</f>
        <v/>
      </c>
    </row>
    <row r="185" ht="22" customHeight="1">
      <c r="B185" s="238" t="n"/>
      <c r="C185" s="237" t="n"/>
      <c r="D185" s="238" t="n"/>
      <c r="E185" s="239" t="n"/>
      <c r="F185" s="240" t="n"/>
      <c r="G185" s="177" t="n"/>
      <c r="H185" s="271" t="str">
        <f>IF(AND(ISNUMBER(F185),ISNUMBER(G185)),F185*G185,"")</f>
        <v/>
      </c>
      <c r="I185" s="240" t="n"/>
      <c r="J185" s="177" t="n"/>
      <c r="K185" s="271" t="str">
        <f>IF(AND(ISNUMBER(I185),ISNUMBER(J185)),I185*J185,"")</f>
        <v/>
      </c>
      <c r="L185" s="240" t="str">
        <f>IF(COUNT(F185,I185)=0,"",N(F185)-N(I185))</f>
        <v/>
      </c>
      <c r="M185" s="241" t="str">
        <f>IF(COUNT(H185,K185)=0,"",N(K185)-N(H185))</f>
        <v/>
      </c>
      <c r="N185" s="240" t="str">
        <f>IF(AND(ISNUMBER(F185),ISNUMBER(G185),F185&gt;0,1-N(Ввод!$J$19)/100&gt;0),G185/(1-N(Ввод!$J$19)/100),IF(AND(ISNUMBER(I185),ISNUMBER(J185),I185&gt;0),J185/(1+N(Ввод!$J$19)/100),""))</f>
        <v/>
      </c>
    </row>
    <row r="186" ht="22" customHeight="1">
      <c r="B186" s="244" t="n"/>
      <c r="C186" s="243" t="n"/>
      <c r="D186" s="244" t="n"/>
      <c r="E186" s="245" t="n"/>
      <c r="F186" s="246" t="n"/>
      <c r="G186" s="183" t="n"/>
      <c r="H186" s="271" t="str">
        <f>IF(AND(ISNUMBER(F186),ISNUMBER(G186)),F186*G186,"")</f>
        <v/>
      </c>
      <c r="I186" s="246" t="n"/>
      <c r="J186" s="183" t="n"/>
      <c r="K186" s="271" t="str">
        <f>IF(AND(ISNUMBER(I186),ISNUMBER(J186)),I186*J186,"")</f>
        <v/>
      </c>
      <c r="L186" s="246" t="str">
        <f>IF(COUNT(F186,I186)=0,"",N(F186)-N(I186))</f>
        <v/>
      </c>
      <c r="M186" s="247" t="str">
        <f>IF(COUNT(H186,K186)=0,"",N(K186)-N(H186))</f>
        <v/>
      </c>
      <c r="N186" s="246" t="str">
        <f>IF(AND(ISNUMBER(F186),ISNUMBER(G186),F186&gt;0,1-N(Ввод!$J$19)/100&gt;0),G186/(1-N(Ввод!$J$19)/100),IF(AND(ISNUMBER(I186),ISNUMBER(J186),I186&gt;0),J186/(1+N(Ввод!$J$19)/100),""))</f>
        <v/>
      </c>
    </row>
    <row r="187" ht="22" customHeight="1">
      <c r="B187" s="238" t="n"/>
      <c r="C187" s="237" t="n"/>
      <c r="D187" s="238" t="n"/>
      <c r="E187" s="239" t="n"/>
      <c r="F187" s="240" t="n"/>
      <c r="G187" s="177" t="n"/>
      <c r="H187" s="271" t="str">
        <f>IF(AND(ISNUMBER(F187),ISNUMBER(G187)),F187*G187,"")</f>
        <v/>
      </c>
      <c r="I187" s="240" t="n"/>
      <c r="J187" s="177" t="n"/>
      <c r="K187" s="271" t="str">
        <f>IF(AND(ISNUMBER(I187),ISNUMBER(J187)),I187*J187,"")</f>
        <v/>
      </c>
      <c r="L187" s="240" t="str">
        <f>IF(COUNT(F187,I187)=0,"",N(F187)-N(I187))</f>
        <v/>
      </c>
      <c r="M187" s="241" t="str">
        <f>IF(COUNT(H187,K187)=0,"",N(K187)-N(H187))</f>
        <v/>
      </c>
      <c r="N187" s="240" t="str">
        <f>IF(AND(ISNUMBER(F187),ISNUMBER(G187),F187&gt;0,1-N(Ввод!$J$19)/100&gt;0),G187/(1-N(Ввод!$J$19)/100),IF(AND(ISNUMBER(I187),ISNUMBER(J187),I187&gt;0),J187/(1+N(Ввод!$J$19)/100),""))</f>
        <v/>
      </c>
    </row>
    <row r="188" ht="22" customHeight="1">
      <c r="B188" s="244" t="n"/>
      <c r="C188" s="243" t="n"/>
      <c r="D188" s="244" t="n"/>
      <c r="E188" s="245" t="n"/>
      <c r="F188" s="246" t="n"/>
      <c r="G188" s="183" t="n"/>
      <c r="H188" s="271" t="str">
        <f>IF(AND(ISNUMBER(F188),ISNUMBER(G188)),F188*G188,"")</f>
        <v/>
      </c>
      <c r="I188" s="246" t="n"/>
      <c r="J188" s="183" t="n"/>
      <c r="K188" s="271" t="str">
        <f>IF(AND(ISNUMBER(I188),ISNUMBER(J188)),I188*J188,"")</f>
        <v/>
      </c>
      <c r="L188" s="246" t="str">
        <f>IF(COUNT(F188,I188)=0,"",N(F188)-N(I188))</f>
        <v/>
      </c>
      <c r="M188" s="247" t="str">
        <f>IF(COUNT(H188,K188)=0,"",N(K188)-N(H188))</f>
        <v/>
      </c>
      <c r="N188" s="246" t="str">
        <f>IF(AND(ISNUMBER(F188),ISNUMBER(G188),F188&gt;0,1-N(Ввод!$J$19)/100&gt;0),G188/(1-N(Ввод!$J$19)/100),IF(AND(ISNUMBER(I188),ISNUMBER(J188),I188&gt;0),J188/(1+N(Ввод!$J$19)/100),""))</f>
        <v/>
      </c>
    </row>
    <row r="189" ht="22" customHeight="1">
      <c r="B189" s="238" t="n"/>
      <c r="C189" s="237" t="n"/>
      <c r="D189" s="238" t="n"/>
      <c r="E189" s="239" t="n"/>
      <c r="F189" s="240" t="n"/>
      <c r="G189" s="177" t="n"/>
      <c r="H189" s="271" t="str">
        <f>IF(AND(ISNUMBER(F189),ISNUMBER(G189)),F189*G189,"")</f>
        <v/>
      </c>
      <c r="I189" s="240" t="n"/>
      <c r="J189" s="177" t="n"/>
      <c r="K189" s="271" t="str">
        <f>IF(AND(ISNUMBER(I189),ISNUMBER(J189)),I189*J189,"")</f>
        <v/>
      </c>
      <c r="L189" s="240" t="str">
        <f>IF(COUNT(F189,I189)=0,"",N(F189)-N(I189))</f>
        <v/>
      </c>
      <c r="M189" s="241" t="str">
        <f>IF(COUNT(H189,K189)=0,"",N(K189)-N(H189))</f>
        <v/>
      </c>
      <c r="N189" s="240" t="str">
        <f>IF(AND(ISNUMBER(F189),ISNUMBER(G189),F189&gt;0,1-N(Ввод!$J$19)/100&gt;0),G189/(1-N(Ввод!$J$19)/100),IF(AND(ISNUMBER(I189),ISNUMBER(J189),I189&gt;0),J189/(1+N(Ввод!$J$19)/100),""))</f>
        <v/>
      </c>
    </row>
    <row r="190" ht="22" customHeight="1">
      <c r="B190" s="244" t="n"/>
      <c r="C190" s="243" t="n"/>
      <c r="D190" s="244" t="n"/>
      <c r="E190" s="245" t="n"/>
      <c r="F190" s="246" t="n"/>
      <c r="G190" s="183" t="n"/>
      <c r="H190" s="271" t="str">
        <f>IF(AND(ISNUMBER(F190),ISNUMBER(G190)),F190*G190,"")</f>
        <v/>
      </c>
      <c r="I190" s="246" t="n"/>
      <c r="J190" s="183" t="n"/>
      <c r="K190" s="271" t="str">
        <f>IF(AND(ISNUMBER(I190),ISNUMBER(J190)),I190*J190,"")</f>
        <v/>
      </c>
      <c r="L190" s="246" t="str">
        <f>IF(COUNT(F190,I190)=0,"",N(F190)-N(I190))</f>
        <v/>
      </c>
      <c r="M190" s="247" t="str">
        <f>IF(COUNT(H190,K190)=0,"",N(K190)-N(H190))</f>
        <v/>
      </c>
      <c r="N190" s="246" t="str">
        <f>IF(AND(ISNUMBER(F190),ISNUMBER(G190),F190&gt;0,1-N(Ввод!$J$19)/100&gt;0),G190/(1-N(Ввод!$J$19)/100),IF(AND(ISNUMBER(I190),ISNUMBER(J190),I190&gt;0),J190/(1+N(Ввод!$J$19)/100),""))</f>
        <v/>
      </c>
    </row>
    <row r="191" ht="22" customHeight="1">
      <c r="B191" s="238" t="n"/>
      <c r="C191" s="237" t="n"/>
      <c r="D191" s="238" t="n"/>
      <c r="E191" s="239" t="n"/>
      <c r="F191" s="240" t="n"/>
      <c r="G191" s="177" t="n"/>
      <c r="H191" s="271" t="str">
        <f>IF(AND(ISNUMBER(F191),ISNUMBER(G191)),F191*G191,"")</f>
        <v/>
      </c>
      <c r="I191" s="240" t="n"/>
      <c r="J191" s="177" t="n"/>
      <c r="K191" s="271" t="str">
        <f>IF(AND(ISNUMBER(I191),ISNUMBER(J191)),I191*J191,"")</f>
        <v/>
      </c>
      <c r="L191" s="240" t="str">
        <f>IF(COUNT(F191,I191)=0,"",N(F191)-N(I191))</f>
        <v/>
      </c>
      <c r="M191" s="241" t="str">
        <f>IF(COUNT(H191,K191)=0,"",N(K191)-N(H191))</f>
        <v/>
      </c>
      <c r="N191" s="240" t="str">
        <f>IF(AND(ISNUMBER(F191),ISNUMBER(G191),F191&gt;0,1-N(Ввод!$J$19)/100&gt;0),G191/(1-N(Ввод!$J$19)/100),IF(AND(ISNUMBER(I191),ISNUMBER(J191),I191&gt;0),J191/(1+N(Ввод!$J$19)/100),""))</f>
        <v/>
      </c>
    </row>
    <row r="192" ht="22" customHeight="1">
      <c r="B192" s="244" t="n"/>
      <c r="C192" s="243" t="n"/>
      <c r="D192" s="244" t="n"/>
      <c r="E192" s="245" t="n"/>
      <c r="F192" s="246" t="n"/>
      <c r="G192" s="183" t="n"/>
      <c r="H192" s="271" t="str">
        <f>IF(AND(ISNUMBER(F192),ISNUMBER(G192)),F192*G192,"")</f>
        <v/>
      </c>
      <c r="I192" s="246" t="n"/>
      <c r="J192" s="183" t="n"/>
      <c r="K192" s="271" t="str">
        <f>IF(AND(ISNUMBER(I192),ISNUMBER(J192)),I192*J192,"")</f>
        <v/>
      </c>
      <c r="L192" s="246" t="str">
        <f>IF(COUNT(F192,I192)=0,"",N(F192)-N(I192))</f>
        <v/>
      </c>
      <c r="M192" s="247" t="str">
        <f>IF(COUNT(H192,K192)=0,"",N(K192)-N(H192))</f>
        <v/>
      </c>
      <c r="N192" s="246" t="str">
        <f>IF(AND(ISNUMBER(F192),ISNUMBER(G192),F192&gt;0,1-N(Ввод!$J$19)/100&gt;0),G192/(1-N(Ввод!$J$19)/100),IF(AND(ISNUMBER(I192),ISNUMBER(J192),I192&gt;0),J192/(1+N(Ввод!$J$19)/100),""))</f>
        <v/>
      </c>
    </row>
    <row r="193" ht="22" customHeight="1">
      <c r="B193" s="238" t="n"/>
      <c r="C193" s="237" t="n"/>
      <c r="D193" s="238" t="n"/>
      <c r="E193" s="239" t="n"/>
      <c r="F193" s="240" t="n"/>
      <c r="G193" s="177" t="n"/>
      <c r="H193" s="271" t="str">
        <f>IF(AND(ISNUMBER(F193),ISNUMBER(G193)),F193*G193,"")</f>
        <v/>
      </c>
      <c r="I193" s="240" t="n"/>
      <c r="J193" s="177" t="n"/>
      <c r="K193" s="271" t="str">
        <f>IF(AND(ISNUMBER(I193),ISNUMBER(J193)),I193*J193,"")</f>
        <v/>
      </c>
      <c r="L193" s="240" t="str">
        <f>IF(COUNT(F193,I193)=0,"",N(F193)-N(I193))</f>
        <v/>
      </c>
      <c r="M193" s="241" t="str">
        <f>IF(COUNT(H193,K193)=0,"",N(K193)-N(H193))</f>
        <v/>
      </c>
      <c r="N193" s="240" t="str">
        <f>IF(AND(ISNUMBER(F193),ISNUMBER(G193),F193&gt;0,1-N(Ввод!$J$19)/100&gt;0),G193/(1-N(Ввод!$J$19)/100),IF(AND(ISNUMBER(I193),ISNUMBER(J193),I193&gt;0),J193/(1+N(Ввод!$J$19)/100),""))</f>
        <v/>
      </c>
    </row>
    <row r="194" ht="22" customHeight="1">
      <c r="B194" s="244" t="n"/>
      <c r="C194" s="243" t="n"/>
      <c r="D194" s="244" t="n"/>
      <c r="E194" s="245" t="n"/>
      <c r="F194" s="246" t="n"/>
      <c r="G194" s="183" t="n"/>
      <c r="H194" s="271" t="str">
        <f>IF(AND(ISNUMBER(F194),ISNUMBER(G194)),F194*G194,"")</f>
        <v/>
      </c>
      <c r="I194" s="246" t="n"/>
      <c r="J194" s="183" t="n"/>
      <c r="K194" s="271" t="str">
        <f>IF(AND(ISNUMBER(I194),ISNUMBER(J194)),I194*J194,"")</f>
        <v/>
      </c>
      <c r="L194" s="246" t="str">
        <f>IF(COUNT(F194,I194)=0,"",N(F194)-N(I194))</f>
        <v/>
      </c>
      <c r="M194" s="247" t="str">
        <f>IF(COUNT(H194,K194)=0,"",N(K194)-N(H194))</f>
        <v/>
      </c>
      <c r="N194" s="246" t="str">
        <f>IF(AND(ISNUMBER(F194),ISNUMBER(G194),F194&gt;0,1-N(Ввод!$J$19)/100&gt;0),G194/(1-N(Ввод!$J$19)/100),IF(AND(ISNUMBER(I194),ISNUMBER(J194),I194&gt;0),J194/(1+N(Ввод!$J$19)/100),""))</f>
        <v/>
      </c>
    </row>
    <row r="195" ht="22" customHeight="1">
      <c r="B195" s="238" t="n"/>
      <c r="C195" s="237" t="n"/>
      <c r="D195" s="238" t="n"/>
      <c r="E195" s="239" t="n"/>
      <c r="F195" s="240" t="n"/>
      <c r="G195" s="177" t="n"/>
      <c r="H195" s="271" t="str">
        <f>IF(AND(ISNUMBER(F195),ISNUMBER(G195)),F195*G195,"")</f>
        <v/>
      </c>
      <c r="I195" s="240" t="n"/>
      <c r="J195" s="177" t="n"/>
      <c r="K195" s="271" t="str">
        <f>IF(AND(ISNUMBER(I195),ISNUMBER(J195)),I195*J195,"")</f>
        <v/>
      </c>
      <c r="L195" s="240" t="str">
        <f>IF(COUNT(F195,I195)=0,"",N(F195)-N(I195))</f>
        <v/>
      </c>
      <c r="M195" s="241" t="str">
        <f>IF(COUNT(H195,K195)=0,"",N(K195)-N(H195))</f>
        <v/>
      </c>
      <c r="N195" s="240" t="str">
        <f>IF(AND(ISNUMBER(F195),ISNUMBER(G195),F195&gt;0,1-N(Ввод!$J$19)/100&gt;0),G195/(1-N(Ввод!$J$19)/100),IF(AND(ISNUMBER(I195),ISNUMBER(J195),I195&gt;0),J195/(1+N(Ввод!$J$19)/100),""))</f>
        <v/>
      </c>
    </row>
    <row r="196" ht="22" customHeight="1">
      <c r="B196" s="244" t="n"/>
      <c r="C196" s="243" t="n"/>
      <c r="D196" s="244" t="n"/>
      <c r="E196" s="245" t="n"/>
      <c r="F196" s="246" t="n"/>
      <c r="G196" s="183" t="n"/>
      <c r="H196" s="271" t="str">
        <f>IF(AND(ISNUMBER(F196),ISNUMBER(G196)),F196*G196,"")</f>
        <v/>
      </c>
      <c r="I196" s="246" t="n"/>
      <c r="J196" s="183" t="n"/>
      <c r="K196" s="271" t="str">
        <f>IF(AND(ISNUMBER(I196),ISNUMBER(J196)),I196*J196,"")</f>
        <v/>
      </c>
      <c r="L196" s="246" t="str">
        <f>IF(COUNT(F196,I196)=0,"",N(F196)-N(I196))</f>
        <v/>
      </c>
      <c r="M196" s="247" t="str">
        <f>IF(COUNT(H196,K196)=0,"",N(K196)-N(H196))</f>
        <v/>
      </c>
      <c r="N196" s="246" t="str">
        <f>IF(AND(ISNUMBER(F196),ISNUMBER(G196),F196&gt;0,1-N(Ввод!$J$19)/100&gt;0),G196/(1-N(Ввод!$J$19)/100),IF(AND(ISNUMBER(I196),ISNUMBER(J196),I196&gt;0),J196/(1+N(Ввод!$J$19)/100),""))</f>
        <v/>
      </c>
    </row>
    <row r="197" ht="22" customHeight="1">
      <c r="B197" s="238" t="n"/>
      <c r="C197" s="237" t="n"/>
      <c r="D197" s="238" t="n"/>
      <c r="E197" s="239" t="n"/>
      <c r="F197" s="240" t="n"/>
      <c r="G197" s="177" t="n"/>
      <c r="H197" s="271" t="str">
        <f>IF(AND(ISNUMBER(F197),ISNUMBER(G197)),F197*G197,"")</f>
        <v/>
      </c>
      <c r="I197" s="240" t="n"/>
      <c r="J197" s="177" t="n"/>
      <c r="K197" s="271" t="str">
        <f>IF(AND(ISNUMBER(I197),ISNUMBER(J197)),I197*J197,"")</f>
        <v/>
      </c>
      <c r="L197" s="240" t="str">
        <f>IF(COUNT(F197,I197)=0,"",N(F197)-N(I197))</f>
        <v/>
      </c>
      <c r="M197" s="241" t="str">
        <f>IF(COUNT(H197,K197)=0,"",N(K197)-N(H197))</f>
        <v/>
      </c>
      <c r="N197" s="240" t="str">
        <f>IF(AND(ISNUMBER(F197),ISNUMBER(G197),F197&gt;0,1-N(Ввод!$J$19)/100&gt;0),G197/(1-N(Ввод!$J$19)/100),IF(AND(ISNUMBER(I197),ISNUMBER(J197),I197&gt;0),J197/(1+N(Ввод!$J$19)/100),""))</f>
        <v/>
      </c>
    </row>
    <row r="198" ht="22" customHeight="1">
      <c r="B198" s="244" t="n"/>
      <c r="C198" s="243" t="n"/>
      <c r="D198" s="244" t="n"/>
      <c r="E198" s="245" t="n"/>
      <c r="F198" s="246" t="n"/>
      <c r="G198" s="183" t="n"/>
      <c r="H198" s="271" t="str">
        <f>IF(AND(ISNUMBER(F198),ISNUMBER(G198)),F198*G198,"")</f>
        <v/>
      </c>
      <c r="I198" s="246" t="n"/>
      <c r="J198" s="183" t="n"/>
      <c r="K198" s="271" t="str">
        <f>IF(AND(ISNUMBER(I198),ISNUMBER(J198)),I198*J198,"")</f>
        <v/>
      </c>
      <c r="L198" s="246" t="str">
        <f>IF(COUNT(F198,I198)=0,"",N(F198)-N(I198))</f>
        <v/>
      </c>
      <c r="M198" s="247" t="str">
        <f>IF(COUNT(H198,K198)=0,"",N(K198)-N(H198))</f>
        <v/>
      </c>
      <c r="N198" s="246" t="str">
        <f>IF(AND(ISNUMBER(F198),ISNUMBER(G198),F198&gt;0,1-N(Ввод!$J$19)/100&gt;0),G198/(1-N(Ввод!$J$19)/100),IF(AND(ISNUMBER(I198),ISNUMBER(J198),I198&gt;0),J198/(1+N(Ввод!$J$19)/100),""))</f>
        <v/>
      </c>
    </row>
    <row r="199" ht="22" customHeight="1">
      <c r="B199" s="238" t="n"/>
      <c r="C199" s="237" t="n"/>
      <c r="D199" s="238" t="n"/>
      <c r="E199" s="239" t="n"/>
      <c r="F199" s="240" t="n"/>
      <c r="G199" s="177" t="n"/>
      <c r="H199" s="271" t="str">
        <f>IF(AND(ISNUMBER(F199),ISNUMBER(G199)),F199*G199,"")</f>
        <v/>
      </c>
      <c r="I199" s="240" t="n"/>
      <c r="J199" s="177" t="n"/>
      <c r="K199" s="271" t="str">
        <f>IF(AND(ISNUMBER(I199),ISNUMBER(J199)),I199*J199,"")</f>
        <v/>
      </c>
      <c r="L199" s="240" t="str">
        <f>IF(COUNT(F199,I199)=0,"",N(F199)-N(I199))</f>
        <v/>
      </c>
      <c r="M199" s="241" t="str">
        <f>IF(COUNT(H199,K199)=0,"",N(K199)-N(H199))</f>
        <v/>
      </c>
      <c r="N199" s="240" t="str">
        <f>IF(AND(ISNUMBER(F199),ISNUMBER(G199),F199&gt;0,1-N(Ввод!$J$19)/100&gt;0),G199/(1-N(Ввод!$J$19)/100),IF(AND(ISNUMBER(I199),ISNUMBER(J199),I199&gt;0),J199/(1+N(Ввод!$J$19)/100),""))</f>
        <v/>
      </c>
    </row>
    <row r="200" ht="22" customHeight="1">
      <c r="B200" s="244" t="n"/>
      <c r="C200" s="243" t="n"/>
      <c r="D200" s="244" t="n"/>
      <c r="E200" s="245" t="n"/>
      <c r="F200" s="246" t="n"/>
      <c r="G200" s="183" t="n"/>
      <c r="H200" s="271" t="str">
        <f>IF(AND(ISNUMBER(F200),ISNUMBER(G200)),F200*G200,"")</f>
        <v/>
      </c>
      <c r="I200" s="246" t="n"/>
      <c r="J200" s="183" t="n"/>
      <c r="K200" s="271" t="str">
        <f>IF(AND(ISNUMBER(I200),ISNUMBER(J200)),I200*J200,"")</f>
        <v/>
      </c>
      <c r="L200" s="246" t="str">
        <f>IF(COUNT(F200,I200)=0,"",N(F200)-N(I200))</f>
        <v/>
      </c>
      <c r="M200" s="247" t="str">
        <f>IF(COUNT(H200,K200)=0,"",N(K200)-N(H200))</f>
        <v/>
      </c>
      <c r="N200" s="246" t="str">
        <f>IF(AND(ISNUMBER(F200),ISNUMBER(G200),F200&gt;0,1-N(Ввод!$J$19)/100&gt;0),G200/(1-N(Ввод!$J$19)/100),IF(AND(ISNUMBER(I200),ISNUMBER(J200),I200&gt;0),J200/(1+N(Ввод!$J$19)/100),""))</f>
        <v/>
      </c>
    </row>
    <row r="201" ht="22" customHeight="1">
      <c r="B201" s="238" t="n"/>
      <c r="C201" s="237" t="n"/>
      <c r="D201" s="238" t="n"/>
      <c r="E201" s="239" t="n"/>
      <c r="F201" s="240" t="n"/>
      <c r="G201" s="177" t="n"/>
      <c r="H201" s="271" t="str">
        <f>IF(AND(ISNUMBER(F201),ISNUMBER(G201)),F201*G201,"")</f>
        <v/>
      </c>
      <c r="I201" s="240" t="n"/>
      <c r="J201" s="177" t="n"/>
      <c r="K201" s="271" t="str">
        <f>IF(AND(ISNUMBER(I201),ISNUMBER(J201)),I201*J201,"")</f>
        <v/>
      </c>
      <c r="L201" s="240" t="str">
        <f>IF(COUNT(F201,I201)=0,"",N(F201)-N(I201))</f>
        <v/>
      </c>
      <c r="M201" s="241" t="str">
        <f>IF(COUNT(H201,K201)=0,"",N(K201)-N(H201))</f>
        <v/>
      </c>
      <c r="N201" s="240" t="str">
        <f>IF(AND(ISNUMBER(F201),ISNUMBER(G201),F201&gt;0,1-N(Ввод!$J$19)/100&gt;0),G201/(1-N(Ввод!$J$19)/100),IF(AND(ISNUMBER(I201),ISNUMBER(J201),I201&gt;0),J201/(1+N(Ввод!$J$19)/100),""))</f>
        <v/>
      </c>
    </row>
    <row r="202" ht="22" customHeight="1">
      <c r="B202" s="244" t="n"/>
      <c r="C202" s="243" t="n"/>
      <c r="D202" s="244" t="n"/>
      <c r="E202" s="245" t="n"/>
      <c r="F202" s="246" t="n"/>
      <c r="G202" s="183" t="n"/>
      <c r="H202" s="271" t="str">
        <f>IF(AND(ISNUMBER(F202),ISNUMBER(G202)),F202*G202,"")</f>
        <v/>
      </c>
      <c r="I202" s="246" t="n"/>
      <c r="J202" s="183" t="n"/>
      <c r="K202" s="271" t="str">
        <f>IF(AND(ISNUMBER(I202),ISNUMBER(J202)),I202*J202,"")</f>
        <v/>
      </c>
      <c r="L202" s="246" t="str">
        <f>IF(COUNT(F202,I202)=0,"",N(F202)-N(I202))</f>
        <v/>
      </c>
      <c r="M202" s="247" t="str">
        <f>IF(COUNT(H202,K202)=0,"",N(K202)-N(H202))</f>
        <v/>
      </c>
      <c r="N202" s="246" t="str">
        <f>IF(AND(ISNUMBER(F202),ISNUMBER(G202),F202&gt;0,1-N(Ввод!$J$19)/100&gt;0),G202/(1-N(Ввод!$J$19)/100),IF(AND(ISNUMBER(I202),ISNUMBER(J202),I202&gt;0),J202/(1+N(Ввод!$J$19)/100),""))</f>
        <v/>
      </c>
    </row>
    <row r="203" ht="22" customHeight="1">
      <c r="B203" s="238" t="n"/>
      <c r="C203" s="237" t="n"/>
      <c r="D203" s="238" t="n"/>
      <c r="E203" s="239" t="n"/>
      <c r="F203" s="240" t="n"/>
      <c r="G203" s="177" t="n"/>
      <c r="H203" s="271" t="str">
        <f>IF(AND(ISNUMBER(F203),ISNUMBER(G203)),F203*G203,"")</f>
        <v/>
      </c>
      <c r="I203" s="240" t="n"/>
      <c r="J203" s="177" t="n"/>
      <c r="K203" s="271" t="str">
        <f>IF(AND(ISNUMBER(I203),ISNUMBER(J203)),I203*J203,"")</f>
        <v/>
      </c>
      <c r="L203" s="240" t="str">
        <f>IF(COUNT(F203,I203)=0,"",N(F203)-N(I203))</f>
        <v/>
      </c>
      <c r="M203" s="241" t="str">
        <f>IF(COUNT(H203,K203)=0,"",N(K203)-N(H203))</f>
        <v/>
      </c>
      <c r="N203" s="240" t="str">
        <f>IF(AND(ISNUMBER(F203),ISNUMBER(G203),F203&gt;0,1-N(Ввод!$J$19)/100&gt;0),G203/(1-N(Ввод!$J$19)/100),IF(AND(ISNUMBER(I203),ISNUMBER(J203),I203&gt;0),J203/(1+N(Ввод!$J$19)/100),""))</f>
        <v/>
      </c>
    </row>
    <row r="204" ht="22" customHeight="1">
      <c r="B204" s="244" t="n"/>
      <c r="C204" s="243" t="n"/>
      <c r="D204" s="244" t="n"/>
      <c r="E204" s="245" t="n"/>
      <c r="F204" s="246" t="n"/>
      <c r="G204" s="183" t="n"/>
      <c r="H204" s="271" t="str">
        <f>IF(AND(ISNUMBER(F204),ISNUMBER(G204)),F204*G204,"")</f>
        <v/>
      </c>
      <c r="I204" s="246" t="n"/>
      <c r="J204" s="183" t="n"/>
      <c r="K204" s="271" t="str">
        <f>IF(AND(ISNUMBER(I204),ISNUMBER(J204)),I204*J204,"")</f>
        <v/>
      </c>
      <c r="L204" s="246" t="str">
        <f>IF(COUNT(F204,I204)=0,"",N(F204)-N(I204))</f>
        <v/>
      </c>
      <c r="M204" s="247" t="str">
        <f>IF(COUNT(H204,K204)=0,"",N(K204)-N(H204))</f>
        <v/>
      </c>
      <c r="N204" s="246" t="str">
        <f>IF(AND(ISNUMBER(F204),ISNUMBER(G204),F204&gt;0,1-N(Ввод!$J$19)/100&gt;0),G204/(1-N(Ввод!$J$19)/100),IF(AND(ISNUMBER(I204),ISNUMBER(J204),I204&gt;0),J204/(1+N(Ввод!$J$19)/100),""))</f>
        <v/>
      </c>
    </row>
    <row r="205" ht="22" customHeight="1">
      <c r="B205" s="238" t="n"/>
      <c r="C205" s="237" t="n"/>
      <c r="D205" s="238" t="n"/>
      <c r="E205" s="239" t="n"/>
      <c r="F205" s="240" t="n"/>
      <c r="G205" s="177" t="n"/>
      <c r="H205" s="271" t="str">
        <f>IF(AND(ISNUMBER(F205),ISNUMBER(G205)),F205*G205,"")</f>
        <v/>
      </c>
      <c r="I205" s="240" t="n"/>
      <c r="J205" s="177" t="n"/>
      <c r="K205" s="271" t="str">
        <f>IF(AND(ISNUMBER(I205),ISNUMBER(J205)),I205*J205,"")</f>
        <v/>
      </c>
      <c r="L205" s="240" t="str">
        <f>IF(COUNT(F205,I205)=0,"",N(F205)-N(I205))</f>
        <v/>
      </c>
      <c r="M205" s="241" t="str">
        <f>IF(COUNT(H205,K205)=0,"",N(K205)-N(H205))</f>
        <v/>
      </c>
      <c r="N205" s="240" t="str">
        <f>IF(AND(ISNUMBER(F205),ISNUMBER(G205),F205&gt;0,1-N(Ввод!$J$19)/100&gt;0),G205/(1-N(Ввод!$J$19)/100),IF(AND(ISNUMBER(I205),ISNUMBER(J205),I205&gt;0),J205/(1+N(Ввод!$J$19)/100),""))</f>
        <v/>
      </c>
    </row>
    <row r="206" ht="22" customHeight="1">
      <c r="B206" s="244" t="n"/>
      <c r="C206" s="243" t="n"/>
      <c r="D206" s="244" t="n"/>
      <c r="E206" s="245" t="n"/>
      <c r="F206" s="246" t="n"/>
      <c r="G206" s="183" t="n"/>
      <c r="H206" s="271" t="str">
        <f>IF(AND(ISNUMBER(F206),ISNUMBER(G206)),F206*G206,"")</f>
        <v/>
      </c>
      <c r="I206" s="246" t="n"/>
      <c r="J206" s="183" t="n"/>
      <c r="K206" s="271" t="str">
        <f>IF(AND(ISNUMBER(I206),ISNUMBER(J206)),I206*J206,"")</f>
        <v/>
      </c>
      <c r="L206" s="246" t="str">
        <f>IF(COUNT(F206,I206)=0,"",N(F206)-N(I206))</f>
        <v/>
      </c>
      <c r="M206" s="247" t="str">
        <f>IF(COUNT(H206,K206)=0,"",N(K206)-N(H206))</f>
        <v/>
      </c>
      <c r="N206" s="246" t="str">
        <f>IF(AND(ISNUMBER(F206),ISNUMBER(G206),F206&gt;0,1-N(Ввод!$J$19)/100&gt;0),G206/(1-N(Ввод!$J$19)/100),IF(AND(ISNUMBER(I206),ISNUMBER(J206),I206&gt;0),J206/(1+N(Ввод!$J$19)/100),""))</f>
        <v/>
      </c>
    </row>
    <row r="207" ht="22" customHeight="1">
      <c r="B207" s="238" t="n"/>
      <c r="C207" s="237" t="n"/>
      <c r="D207" s="238" t="n"/>
      <c r="E207" s="239" t="n"/>
      <c r="F207" s="240" t="n"/>
      <c r="G207" s="177" t="n"/>
      <c r="H207" s="271" t="str">
        <f>IF(AND(ISNUMBER(F207),ISNUMBER(G207)),F207*G207,"")</f>
        <v/>
      </c>
      <c r="I207" s="240" t="n"/>
      <c r="J207" s="177" t="n"/>
      <c r="K207" s="271" t="str">
        <f>IF(AND(ISNUMBER(I207),ISNUMBER(J207)),I207*J207,"")</f>
        <v/>
      </c>
      <c r="L207" s="240" t="str">
        <f>IF(COUNT(F207,I207)=0,"",N(F207)-N(I207))</f>
        <v/>
      </c>
      <c r="M207" s="241" t="str">
        <f>IF(COUNT(H207,K207)=0,"",N(K207)-N(H207))</f>
        <v/>
      </c>
      <c r="N207" s="240" t="str">
        <f>IF(AND(ISNUMBER(F207),ISNUMBER(G207),F207&gt;0,1-N(Ввод!$J$19)/100&gt;0),G207/(1-N(Ввод!$J$19)/100),IF(AND(ISNUMBER(I207),ISNUMBER(J207),I207&gt;0),J207/(1+N(Ввод!$J$19)/100),""))</f>
        <v/>
      </c>
    </row>
    <row r="208" ht="22" customHeight="1">
      <c r="B208" s="244" t="n"/>
      <c r="C208" s="243" t="n"/>
      <c r="D208" s="244" t="n"/>
      <c r="E208" s="245" t="n"/>
      <c r="F208" s="246" t="n"/>
      <c r="G208" s="183" t="n"/>
      <c r="H208" s="271" t="str">
        <f>IF(AND(ISNUMBER(F208),ISNUMBER(G208)),F208*G208,"")</f>
        <v/>
      </c>
      <c r="I208" s="246" t="n"/>
      <c r="J208" s="183" t="n"/>
      <c r="K208" s="271" t="str">
        <f>IF(AND(ISNUMBER(I208),ISNUMBER(J208)),I208*J208,"")</f>
        <v/>
      </c>
      <c r="L208" s="246" t="str">
        <f>IF(COUNT(F208,I208)=0,"",N(F208)-N(I208))</f>
        <v/>
      </c>
      <c r="M208" s="247" t="str">
        <f>IF(COUNT(H208,K208)=0,"",N(K208)-N(H208))</f>
        <v/>
      </c>
      <c r="N208" s="246" t="str">
        <f>IF(AND(ISNUMBER(F208),ISNUMBER(G208),F208&gt;0,1-N(Ввод!$J$19)/100&gt;0),G208/(1-N(Ввод!$J$19)/100),IF(AND(ISNUMBER(I208),ISNUMBER(J208),I208&gt;0),J208/(1+N(Ввод!$J$19)/100),""))</f>
        <v/>
      </c>
    </row>
    <row r="209" ht="22" customHeight="1">
      <c r="B209" s="238" t="n"/>
      <c r="C209" s="237" t="n"/>
      <c r="D209" s="238" t="n"/>
      <c r="E209" s="239" t="n"/>
      <c r="F209" s="240" t="n"/>
      <c r="G209" s="177" t="n"/>
      <c r="H209" s="271" t="str">
        <f>IF(AND(ISNUMBER(F209),ISNUMBER(G209)),F209*G209,"")</f>
        <v/>
      </c>
      <c r="I209" s="240" t="n"/>
      <c r="J209" s="177" t="n"/>
      <c r="K209" s="271" t="str">
        <f>IF(AND(ISNUMBER(I209),ISNUMBER(J209)),I209*J209,"")</f>
        <v/>
      </c>
      <c r="L209" s="240" t="str">
        <f>IF(COUNT(F209,I209)=0,"",N(F209)-N(I209))</f>
        <v/>
      </c>
      <c r="M209" s="241" t="str">
        <f>IF(COUNT(H209,K209)=0,"",N(K209)-N(H209))</f>
        <v/>
      </c>
      <c r="N209" s="240" t="str">
        <f>IF(AND(ISNUMBER(F209),ISNUMBER(G209),F209&gt;0,1-N(Ввод!$J$19)/100&gt;0),G209/(1-N(Ввод!$J$19)/100),IF(AND(ISNUMBER(I209),ISNUMBER(J209),I209&gt;0),J209/(1+N(Ввод!$J$19)/100),""))</f>
        <v/>
      </c>
    </row>
    <row r="210" ht="22" customHeight="1">
      <c r="B210" s="244" t="n"/>
      <c r="C210" s="243" t="n"/>
      <c r="D210" s="244" t="n"/>
      <c r="E210" s="245" t="n"/>
      <c r="F210" s="246" t="n"/>
      <c r="G210" s="183" t="n"/>
      <c r="H210" s="271" t="str">
        <f>IF(AND(ISNUMBER(F210),ISNUMBER(G210)),F210*G210,"")</f>
        <v/>
      </c>
      <c r="I210" s="246" t="n"/>
      <c r="J210" s="183" t="n"/>
      <c r="K210" s="271" t="str">
        <f>IF(AND(ISNUMBER(I210),ISNUMBER(J210)),I210*J210,"")</f>
        <v/>
      </c>
      <c r="L210" s="246" t="str">
        <f>IF(COUNT(F210,I210)=0,"",N(F210)-N(I210))</f>
        <v/>
      </c>
      <c r="M210" s="247" t="str">
        <f>IF(COUNT(H210,K210)=0,"",N(K210)-N(H210))</f>
        <v/>
      </c>
      <c r="N210" s="246" t="str">
        <f>IF(AND(ISNUMBER(F210),ISNUMBER(G210),F210&gt;0,1-N(Ввод!$J$19)/100&gt;0),G210/(1-N(Ввод!$J$19)/100),IF(AND(ISNUMBER(I210),ISNUMBER(J210),I210&gt;0),J210/(1+N(Ввод!$J$19)/100),""))</f>
        <v/>
      </c>
    </row>
    <row r="211" ht="22" customHeight="1">
      <c r="B211" s="238" t="n"/>
      <c r="C211" s="237" t="n"/>
      <c r="D211" s="238" t="n"/>
      <c r="E211" s="239" t="n"/>
      <c r="F211" s="240" t="n"/>
      <c r="G211" s="177" t="n"/>
      <c r="H211" s="271" t="str">
        <f>IF(AND(ISNUMBER(F211),ISNUMBER(G211)),F211*G211,"")</f>
        <v/>
      </c>
      <c r="I211" s="240" t="n"/>
      <c r="J211" s="177" t="n"/>
      <c r="K211" s="271" t="str">
        <f>IF(AND(ISNUMBER(I211),ISNUMBER(J211)),I211*J211,"")</f>
        <v/>
      </c>
      <c r="L211" s="240" t="str">
        <f>IF(COUNT(F211,I211)=0,"",N(F211)-N(I211))</f>
        <v/>
      </c>
      <c r="M211" s="241" t="str">
        <f>IF(COUNT(H211,K211)=0,"",N(K211)-N(H211))</f>
        <v/>
      </c>
      <c r="N211" s="240" t="str">
        <f>IF(AND(ISNUMBER(F211),ISNUMBER(G211),F211&gt;0,1-N(Ввод!$J$19)/100&gt;0),G211/(1-N(Ввод!$J$19)/100),IF(AND(ISNUMBER(I211),ISNUMBER(J211),I211&gt;0),J211/(1+N(Ввод!$J$19)/100),""))</f>
        <v/>
      </c>
    </row>
    <row r="212" ht="22" customHeight="1">
      <c r="B212" s="244" t="n"/>
      <c r="C212" s="243" t="n"/>
      <c r="D212" s="244" t="n"/>
      <c r="E212" s="245" t="n"/>
      <c r="F212" s="246" t="n"/>
      <c r="G212" s="183" t="n"/>
      <c r="H212" s="271" t="str">
        <f>IF(AND(ISNUMBER(F212),ISNUMBER(G212)),F212*G212,"")</f>
        <v/>
      </c>
      <c r="I212" s="246" t="n"/>
      <c r="J212" s="183" t="n"/>
      <c r="K212" s="271" t="str">
        <f>IF(AND(ISNUMBER(I212),ISNUMBER(J212)),I212*J212,"")</f>
        <v/>
      </c>
      <c r="L212" s="246" t="str">
        <f>IF(COUNT(F212,I212)=0,"",N(F212)-N(I212))</f>
        <v/>
      </c>
      <c r="M212" s="247" t="str">
        <f>IF(COUNT(H212,K212)=0,"",N(K212)-N(H212))</f>
        <v/>
      </c>
      <c r="N212" s="246" t="str">
        <f>IF(AND(ISNUMBER(F212),ISNUMBER(G212),F212&gt;0,1-N(Ввод!$J$19)/100&gt;0),G212/(1-N(Ввод!$J$19)/100),IF(AND(ISNUMBER(I212),ISNUMBER(J212),I212&gt;0),J212/(1+N(Ввод!$J$19)/100),""))</f>
        <v/>
      </c>
    </row>
    <row r="213" ht="22" customHeight="1">
      <c r="B213" s="238" t="n"/>
      <c r="C213" s="237" t="n"/>
      <c r="D213" s="238" t="n"/>
      <c r="E213" s="239" t="n"/>
      <c r="F213" s="240" t="n"/>
      <c r="G213" s="177" t="n"/>
      <c r="H213" s="271" t="str">
        <f>IF(AND(ISNUMBER(F213),ISNUMBER(G213)),F213*G213,"")</f>
        <v/>
      </c>
      <c r="I213" s="240" t="n"/>
      <c r="J213" s="177" t="n"/>
      <c r="K213" s="271" t="str">
        <f>IF(AND(ISNUMBER(I213),ISNUMBER(J213)),I213*J213,"")</f>
        <v/>
      </c>
      <c r="L213" s="240" t="str">
        <f>IF(COUNT(F213,I213)=0,"",N(F213)-N(I213))</f>
        <v/>
      </c>
      <c r="M213" s="241" t="str">
        <f>IF(COUNT(H213,K213)=0,"",N(K213)-N(H213))</f>
        <v/>
      </c>
      <c r="N213" s="240" t="str">
        <f>IF(AND(ISNUMBER(F213),ISNUMBER(G213),F213&gt;0,1-N(Ввод!$J$19)/100&gt;0),G213/(1-N(Ввод!$J$19)/100),IF(AND(ISNUMBER(I213),ISNUMBER(J213),I213&gt;0),J213/(1+N(Ввод!$J$19)/100),""))</f>
        <v/>
      </c>
    </row>
    <row r="214" ht="22" customHeight="1">
      <c r="B214" s="244" t="n"/>
      <c r="C214" s="243" t="n"/>
      <c r="D214" s="244" t="n"/>
      <c r="E214" s="245" t="n"/>
      <c r="F214" s="246" t="n"/>
      <c r="G214" s="183" t="n"/>
      <c r="H214" s="271" t="str">
        <f>IF(AND(ISNUMBER(F214),ISNUMBER(G214)),F214*G214,"")</f>
        <v/>
      </c>
      <c r="I214" s="246" t="n"/>
      <c r="J214" s="183" t="n"/>
      <c r="K214" s="271" t="str">
        <f>IF(AND(ISNUMBER(I214),ISNUMBER(J214)),I214*J214,"")</f>
        <v/>
      </c>
      <c r="L214" s="246" t="str">
        <f>IF(COUNT(F214,I214)=0,"",N(F214)-N(I214))</f>
        <v/>
      </c>
      <c r="M214" s="247" t="str">
        <f>IF(COUNT(H214,K214)=0,"",N(K214)-N(H214))</f>
        <v/>
      </c>
      <c r="N214" s="246" t="str">
        <f>IF(AND(ISNUMBER(F214),ISNUMBER(G214),F214&gt;0,1-N(Ввод!$J$19)/100&gt;0),G214/(1-N(Ввод!$J$19)/100),IF(AND(ISNUMBER(I214),ISNUMBER(J214),I214&gt;0),J214/(1+N(Ввод!$J$19)/100),""))</f>
        <v/>
      </c>
    </row>
    <row r="215" ht="22" customHeight="1">
      <c r="B215" s="238" t="n"/>
      <c r="C215" s="237" t="n"/>
      <c r="D215" s="238" t="n"/>
      <c r="E215" s="239" t="n"/>
      <c r="F215" s="240" t="n"/>
      <c r="G215" s="177" t="n"/>
      <c r="H215" s="271" t="str">
        <f>IF(AND(ISNUMBER(F215),ISNUMBER(G215)),F215*G215,"")</f>
        <v/>
      </c>
      <c r="I215" s="240" t="n"/>
      <c r="J215" s="177" t="n"/>
      <c r="K215" s="271" t="str">
        <f>IF(AND(ISNUMBER(I215),ISNUMBER(J215)),I215*J215,"")</f>
        <v/>
      </c>
      <c r="L215" s="240" t="str">
        <f>IF(COUNT(F215,I215)=0,"",N(F215)-N(I215))</f>
        <v/>
      </c>
      <c r="M215" s="241" t="str">
        <f>IF(COUNT(H215,K215)=0,"",N(K215)-N(H215))</f>
        <v/>
      </c>
      <c r="N215" s="240" t="str">
        <f>IF(AND(ISNUMBER(F215),ISNUMBER(G215),F215&gt;0,1-N(Ввод!$J$19)/100&gt;0),G215/(1-N(Ввод!$J$19)/100),IF(AND(ISNUMBER(I215),ISNUMBER(J215),I215&gt;0),J215/(1+N(Ввод!$J$19)/100),""))</f>
        <v/>
      </c>
    </row>
    <row r="216" ht="22" customHeight="1">
      <c r="B216" s="244" t="n"/>
      <c r="C216" s="243" t="n"/>
      <c r="D216" s="244" t="n"/>
      <c r="E216" s="245" t="n"/>
      <c r="F216" s="246" t="n"/>
      <c r="G216" s="183" t="n"/>
      <c r="H216" s="271" t="str">
        <f>IF(AND(ISNUMBER(F216),ISNUMBER(G216)),F216*G216,"")</f>
        <v/>
      </c>
      <c r="I216" s="246" t="n"/>
      <c r="J216" s="183" t="n"/>
      <c r="K216" s="271" t="str">
        <f>IF(AND(ISNUMBER(I216),ISNUMBER(J216)),I216*J216,"")</f>
        <v/>
      </c>
      <c r="L216" s="246" t="str">
        <f>IF(COUNT(F216,I216)=0,"",N(F216)-N(I216))</f>
        <v/>
      </c>
      <c r="M216" s="247" t="str">
        <f>IF(COUNT(H216,K216)=0,"",N(K216)-N(H216))</f>
        <v/>
      </c>
      <c r="N216" s="246" t="str">
        <f>IF(AND(ISNUMBER(F216),ISNUMBER(G216),F216&gt;0,1-N(Ввод!$J$19)/100&gt;0),G216/(1-N(Ввод!$J$19)/100),IF(AND(ISNUMBER(I216),ISNUMBER(J216),I216&gt;0),J216/(1+N(Ввод!$J$19)/100),""))</f>
        <v/>
      </c>
    </row>
    <row r="217" ht="22" customHeight="1">
      <c r="B217" s="238" t="n"/>
      <c r="C217" s="237" t="n"/>
      <c r="D217" s="238" t="n"/>
      <c r="E217" s="239" t="n"/>
      <c r="F217" s="240" t="n"/>
      <c r="G217" s="177" t="n"/>
      <c r="H217" s="271" t="str">
        <f>IF(AND(ISNUMBER(F217),ISNUMBER(G217)),F217*G217,"")</f>
        <v/>
      </c>
      <c r="I217" s="240" t="n"/>
      <c r="J217" s="177" t="n"/>
      <c r="K217" s="271" t="str">
        <f>IF(AND(ISNUMBER(I217),ISNUMBER(J217)),I217*J217,"")</f>
        <v/>
      </c>
      <c r="L217" s="240" t="str">
        <f>IF(COUNT(F217,I217)=0,"",N(F217)-N(I217))</f>
        <v/>
      </c>
      <c r="M217" s="241" t="str">
        <f>IF(COUNT(H217,K217)=0,"",N(K217)-N(H217))</f>
        <v/>
      </c>
      <c r="N217" s="240" t="str">
        <f>IF(AND(ISNUMBER(F217),ISNUMBER(G217),F217&gt;0,1-N(Ввод!$J$19)/100&gt;0),G217/(1-N(Ввод!$J$19)/100),IF(AND(ISNUMBER(I217),ISNUMBER(J217),I217&gt;0),J217/(1+N(Ввод!$J$19)/100),""))</f>
        <v/>
      </c>
    </row>
    <row r="218" ht="22" customHeight="1">
      <c r="B218" s="244" t="n"/>
      <c r="C218" s="243" t="n"/>
      <c r="D218" s="244" t="n"/>
      <c r="E218" s="245" t="n"/>
      <c r="F218" s="246" t="n"/>
      <c r="G218" s="183" t="n"/>
      <c r="H218" s="271" t="str">
        <f>IF(AND(ISNUMBER(F218),ISNUMBER(G218)),F218*G218,"")</f>
        <v/>
      </c>
      <c r="I218" s="246" t="n"/>
      <c r="J218" s="183" t="n"/>
      <c r="K218" s="271" t="str">
        <f>IF(AND(ISNUMBER(I218),ISNUMBER(J218)),I218*J218,"")</f>
        <v/>
      </c>
      <c r="L218" s="246" t="str">
        <f>IF(COUNT(F218,I218)=0,"",N(F218)-N(I218))</f>
        <v/>
      </c>
      <c r="M218" s="247" t="str">
        <f>IF(COUNT(H218,K218)=0,"",N(K218)-N(H218))</f>
        <v/>
      </c>
      <c r="N218" s="246" t="str">
        <f>IF(AND(ISNUMBER(F218),ISNUMBER(G218),F218&gt;0,1-N(Ввод!$J$19)/100&gt;0),G218/(1-N(Ввод!$J$19)/100),IF(AND(ISNUMBER(I218),ISNUMBER(J218),I218&gt;0),J218/(1+N(Ввод!$J$19)/100),""))</f>
        <v/>
      </c>
    </row>
    <row r="219" ht="22" customHeight="1">
      <c r="B219" s="238" t="n"/>
      <c r="C219" s="237" t="n"/>
      <c r="D219" s="238" t="n"/>
      <c r="E219" s="239" t="n"/>
      <c r="F219" s="240" t="n"/>
      <c r="G219" s="177" t="n"/>
      <c r="H219" s="271" t="str">
        <f>IF(AND(ISNUMBER(F219),ISNUMBER(G219)),F219*G219,"")</f>
        <v/>
      </c>
      <c r="I219" s="240" t="n"/>
      <c r="J219" s="177" t="n"/>
      <c r="K219" s="271" t="str">
        <f>IF(AND(ISNUMBER(I219),ISNUMBER(J219)),I219*J219,"")</f>
        <v/>
      </c>
      <c r="L219" s="240" t="str">
        <f>IF(COUNT(F219,I219)=0,"",N(F219)-N(I219))</f>
        <v/>
      </c>
      <c r="M219" s="241" t="str">
        <f>IF(COUNT(H219,K219)=0,"",N(K219)-N(H219))</f>
        <v/>
      </c>
      <c r="N219" s="240" t="str">
        <f>IF(AND(ISNUMBER(F219),ISNUMBER(G219),F219&gt;0,1-N(Ввод!$J$19)/100&gt;0),G219/(1-N(Ввод!$J$19)/100),IF(AND(ISNUMBER(I219),ISNUMBER(J219),I219&gt;0),J219/(1+N(Ввод!$J$19)/100),""))</f>
        <v/>
      </c>
    </row>
    <row r="220" ht="22" customHeight="1">
      <c r="B220" s="244" t="n"/>
      <c r="C220" s="243" t="n"/>
      <c r="D220" s="244" t="n"/>
      <c r="E220" s="245" t="n"/>
      <c r="F220" s="246" t="n"/>
      <c r="G220" s="183" t="n"/>
      <c r="H220" s="271" t="str">
        <f>IF(AND(ISNUMBER(F220),ISNUMBER(G220)),F220*G220,"")</f>
        <v/>
      </c>
      <c r="I220" s="246" t="n"/>
      <c r="J220" s="183" t="n"/>
      <c r="K220" s="271" t="str">
        <f>IF(AND(ISNUMBER(I220),ISNUMBER(J220)),I220*J220,"")</f>
        <v/>
      </c>
      <c r="L220" s="246" t="str">
        <f>IF(COUNT(F220,I220)=0,"",N(F220)-N(I220))</f>
        <v/>
      </c>
      <c r="M220" s="247" t="str">
        <f>IF(COUNT(H220,K220)=0,"",N(K220)-N(H220))</f>
        <v/>
      </c>
      <c r="N220" s="246" t="str">
        <f>IF(AND(ISNUMBER(F220),ISNUMBER(G220),F220&gt;0,1-N(Ввод!$J$19)/100&gt;0),G220/(1-N(Ввод!$J$19)/100),IF(AND(ISNUMBER(I220),ISNUMBER(J220),I220&gt;0),J220/(1+N(Ввод!$J$19)/100),""))</f>
        <v/>
      </c>
    </row>
    <row r="221" ht="22" customHeight="1">
      <c r="B221" s="238" t="n"/>
      <c r="C221" s="237" t="n"/>
      <c r="D221" s="238" t="n"/>
      <c r="E221" s="239" t="n"/>
      <c r="F221" s="240" t="n"/>
      <c r="G221" s="177" t="n"/>
      <c r="H221" s="271" t="str">
        <f>IF(AND(ISNUMBER(F221),ISNUMBER(G221)),F221*G221,"")</f>
        <v/>
      </c>
      <c r="I221" s="240" t="n"/>
      <c r="J221" s="177" t="n"/>
      <c r="K221" s="271" t="str">
        <f>IF(AND(ISNUMBER(I221),ISNUMBER(J221)),I221*J221,"")</f>
        <v/>
      </c>
      <c r="L221" s="240" t="str">
        <f>IF(COUNT(F221,I221)=0,"",N(F221)-N(I221))</f>
        <v/>
      </c>
      <c r="M221" s="241" t="str">
        <f>IF(COUNT(H221,K221)=0,"",N(K221)-N(H221))</f>
        <v/>
      </c>
      <c r="N221" s="240" t="str">
        <f>IF(AND(ISNUMBER(F221),ISNUMBER(G221),F221&gt;0,1-N(Ввод!$J$19)/100&gt;0),G221/(1-N(Ввод!$J$19)/100),IF(AND(ISNUMBER(I221),ISNUMBER(J221),I221&gt;0),J221/(1+N(Ввод!$J$19)/100),""))</f>
        <v/>
      </c>
    </row>
    <row r="222" ht="22" customHeight="1">
      <c r="B222" s="244" t="n"/>
      <c r="C222" s="243" t="n"/>
      <c r="D222" s="244" t="n"/>
      <c r="E222" s="245" t="n"/>
      <c r="F222" s="246" t="n"/>
      <c r="G222" s="183" t="n"/>
      <c r="H222" s="271" t="str">
        <f>IF(AND(ISNUMBER(F222),ISNUMBER(G222)),F222*G222,"")</f>
        <v/>
      </c>
      <c r="I222" s="246" t="n"/>
      <c r="J222" s="183" t="n"/>
      <c r="K222" s="271" t="str">
        <f>IF(AND(ISNUMBER(I222),ISNUMBER(J222)),I222*J222,"")</f>
        <v/>
      </c>
      <c r="L222" s="246" t="str">
        <f>IF(COUNT(F222,I222)=0,"",N(F222)-N(I222))</f>
        <v/>
      </c>
      <c r="M222" s="247" t="str">
        <f>IF(COUNT(H222,K222)=0,"",N(K222)-N(H222))</f>
        <v/>
      </c>
      <c r="N222" s="246" t="str">
        <f>IF(AND(ISNUMBER(F222),ISNUMBER(G222),F222&gt;0,1-N(Ввод!$J$19)/100&gt;0),G222/(1-N(Ввод!$J$19)/100),IF(AND(ISNUMBER(I222),ISNUMBER(J222),I222&gt;0),J222/(1+N(Ввод!$J$19)/100),""))</f>
        <v/>
      </c>
    </row>
    <row r="223" ht="22" customHeight="1">
      <c r="B223" s="238" t="n"/>
      <c r="C223" s="237" t="n"/>
      <c r="D223" s="238" t="n"/>
      <c r="E223" s="239" t="n"/>
      <c r="F223" s="240" t="n"/>
      <c r="G223" s="177" t="n"/>
      <c r="H223" s="271" t="str">
        <f>IF(AND(ISNUMBER(F223),ISNUMBER(G223)),F223*G223,"")</f>
        <v/>
      </c>
      <c r="I223" s="240" t="n"/>
      <c r="J223" s="177" t="n"/>
      <c r="K223" s="271" t="str">
        <f>IF(AND(ISNUMBER(I223),ISNUMBER(J223)),I223*J223,"")</f>
        <v/>
      </c>
      <c r="L223" s="240" t="str">
        <f>IF(COUNT(F223,I223)=0,"",N(F223)-N(I223))</f>
        <v/>
      </c>
      <c r="M223" s="241" t="str">
        <f>IF(COUNT(H223,K223)=0,"",N(K223)-N(H223))</f>
        <v/>
      </c>
      <c r="N223" s="240" t="str">
        <f>IF(AND(ISNUMBER(F223),ISNUMBER(G223),F223&gt;0,1-N(Ввод!$J$19)/100&gt;0),G223/(1-N(Ввод!$J$19)/100),IF(AND(ISNUMBER(I223),ISNUMBER(J223),I223&gt;0),J223/(1+N(Ввод!$J$19)/100),""))</f>
        <v/>
      </c>
    </row>
    <row r="224" ht="22" customHeight="1">
      <c r="B224" s="244" t="n"/>
      <c r="C224" s="243" t="n"/>
      <c r="D224" s="244" t="n"/>
      <c r="E224" s="245" t="n"/>
      <c r="F224" s="246" t="n"/>
      <c r="G224" s="183" t="n"/>
      <c r="H224" s="271" t="str">
        <f>IF(AND(ISNUMBER(F224),ISNUMBER(G224)),F224*G224,"")</f>
        <v/>
      </c>
      <c r="I224" s="246" t="n"/>
      <c r="J224" s="183" t="n"/>
      <c r="K224" s="271" t="str">
        <f>IF(AND(ISNUMBER(I224),ISNUMBER(J224)),I224*J224,"")</f>
        <v/>
      </c>
      <c r="L224" s="246" t="str">
        <f>IF(COUNT(F224,I224)=0,"",N(F224)-N(I224))</f>
        <v/>
      </c>
      <c r="M224" s="247" t="str">
        <f>IF(COUNT(H224,K224)=0,"",N(K224)-N(H224))</f>
        <v/>
      </c>
      <c r="N224" s="246" t="str">
        <f>IF(AND(ISNUMBER(F224),ISNUMBER(G224),F224&gt;0,1-N(Ввод!$J$19)/100&gt;0),G224/(1-N(Ввод!$J$19)/100),IF(AND(ISNUMBER(I224),ISNUMBER(J224),I224&gt;0),J224/(1+N(Ввод!$J$19)/100),""))</f>
        <v/>
      </c>
    </row>
    <row r="225" ht="22" customHeight="1">
      <c r="B225" s="238" t="n"/>
      <c r="C225" s="237" t="n"/>
      <c r="D225" s="238" t="n"/>
      <c r="E225" s="239" t="n"/>
      <c r="F225" s="240" t="n"/>
      <c r="G225" s="177" t="n"/>
      <c r="H225" s="271" t="str">
        <f>IF(AND(ISNUMBER(F225),ISNUMBER(G225)),F225*G225,"")</f>
        <v/>
      </c>
      <c r="I225" s="240" t="n"/>
      <c r="J225" s="177" t="n"/>
      <c r="K225" s="271" t="str">
        <f>IF(AND(ISNUMBER(I225),ISNUMBER(J225)),I225*J225,"")</f>
        <v/>
      </c>
      <c r="L225" s="240" t="str">
        <f>IF(COUNT(F225,I225)=0,"",N(F225)-N(I225))</f>
        <v/>
      </c>
      <c r="M225" s="241" t="str">
        <f>IF(COUNT(H225,K225)=0,"",N(K225)-N(H225))</f>
        <v/>
      </c>
      <c r="N225" s="240" t="str">
        <f>IF(AND(ISNUMBER(F225),ISNUMBER(G225),F225&gt;0,1-N(Ввод!$J$19)/100&gt;0),G225/(1-N(Ввод!$J$19)/100),IF(AND(ISNUMBER(I225),ISNUMBER(J225),I225&gt;0),J225/(1+N(Ввод!$J$19)/100),""))</f>
        <v/>
      </c>
    </row>
    <row r="226" ht="22" customHeight="1">
      <c r="B226" s="244" t="n"/>
      <c r="C226" s="243" t="n"/>
      <c r="D226" s="244" t="n"/>
      <c r="E226" s="245" t="n"/>
      <c r="F226" s="246" t="n"/>
      <c r="G226" s="183" t="n"/>
      <c r="H226" s="271" t="str">
        <f>IF(AND(ISNUMBER(F226),ISNUMBER(G226)),F226*G226,"")</f>
        <v/>
      </c>
      <c r="I226" s="246" t="n"/>
      <c r="J226" s="183" t="n"/>
      <c r="K226" s="271" t="str">
        <f>IF(AND(ISNUMBER(I226),ISNUMBER(J226)),I226*J226,"")</f>
        <v/>
      </c>
      <c r="L226" s="246" t="str">
        <f>IF(COUNT(F226,I226)=0,"",N(F226)-N(I226))</f>
        <v/>
      </c>
      <c r="M226" s="247" t="str">
        <f>IF(COUNT(H226,K226)=0,"",N(K226)-N(H226))</f>
        <v/>
      </c>
      <c r="N226" s="246" t="str">
        <f>IF(AND(ISNUMBER(F226),ISNUMBER(G226),F226&gt;0,1-N(Ввод!$J$19)/100&gt;0),G226/(1-N(Ввод!$J$19)/100),IF(AND(ISNUMBER(I226),ISNUMBER(J226),I226&gt;0),J226/(1+N(Ввод!$J$19)/100),""))</f>
        <v/>
      </c>
    </row>
    <row r="227" ht="22" customHeight="1">
      <c r="B227" s="238" t="n"/>
      <c r="C227" s="237" t="n"/>
      <c r="D227" s="238" t="n"/>
      <c r="E227" s="239" t="n"/>
      <c r="F227" s="240" t="n"/>
      <c r="G227" s="177" t="n"/>
      <c r="H227" s="271" t="str">
        <f>IF(AND(ISNUMBER(F227),ISNUMBER(G227)),F227*G227,"")</f>
        <v/>
      </c>
      <c r="I227" s="240" t="n"/>
      <c r="J227" s="177" t="n"/>
      <c r="K227" s="271" t="str">
        <f>IF(AND(ISNUMBER(I227),ISNUMBER(J227)),I227*J227,"")</f>
        <v/>
      </c>
      <c r="L227" s="240" t="str">
        <f>IF(COUNT(F227,I227)=0,"",N(F227)-N(I227))</f>
        <v/>
      </c>
      <c r="M227" s="241" t="str">
        <f>IF(COUNT(H227,K227)=0,"",N(K227)-N(H227))</f>
        <v/>
      </c>
      <c r="N227" s="240" t="str">
        <f>IF(AND(ISNUMBER(F227),ISNUMBER(G227),F227&gt;0,1-N(Ввод!$J$19)/100&gt;0),G227/(1-N(Ввод!$J$19)/100),IF(AND(ISNUMBER(I227),ISNUMBER(J227),I227&gt;0),J227/(1+N(Ввод!$J$19)/100),""))</f>
        <v/>
      </c>
    </row>
    <row r="228" ht="22" customHeight="1">
      <c r="B228" s="244" t="n"/>
      <c r="C228" s="243" t="n"/>
      <c r="D228" s="244" t="n"/>
      <c r="E228" s="245" t="n"/>
      <c r="F228" s="246" t="n"/>
      <c r="G228" s="183" t="n"/>
      <c r="H228" s="271" t="str">
        <f>IF(AND(ISNUMBER(F228),ISNUMBER(G228)),F228*G228,"")</f>
        <v/>
      </c>
      <c r="I228" s="246" t="n"/>
      <c r="J228" s="183" t="n"/>
      <c r="K228" s="271" t="str">
        <f>IF(AND(ISNUMBER(I228),ISNUMBER(J228)),I228*J228,"")</f>
        <v/>
      </c>
      <c r="L228" s="246" t="str">
        <f>IF(COUNT(F228,I228)=0,"",N(F228)-N(I228))</f>
        <v/>
      </c>
      <c r="M228" s="247" t="str">
        <f>IF(COUNT(H228,K228)=0,"",N(K228)-N(H228))</f>
        <v/>
      </c>
      <c r="N228" s="246" t="str">
        <f>IF(AND(ISNUMBER(F228),ISNUMBER(G228),F228&gt;0,1-N(Ввод!$J$19)/100&gt;0),G228/(1-N(Ввод!$J$19)/100),IF(AND(ISNUMBER(I228),ISNUMBER(J228),I228&gt;0),J228/(1+N(Ввод!$J$19)/100),""))</f>
        <v/>
      </c>
    </row>
    <row r="229" ht="22" customHeight="1">
      <c r="B229" s="238" t="n"/>
      <c r="C229" s="237" t="n"/>
      <c r="D229" s="238" t="n"/>
      <c r="E229" s="239" t="n"/>
      <c r="F229" s="240" t="n"/>
      <c r="G229" s="177" t="n"/>
      <c r="H229" s="271" t="str">
        <f>IF(AND(ISNUMBER(F229),ISNUMBER(G229)),F229*G229,"")</f>
        <v/>
      </c>
      <c r="I229" s="240" t="n"/>
      <c r="J229" s="177" t="n"/>
      <c r="K229" s="271" t="str">
        <f>IF(AND(ISNUMBER(I229),ISNUMBER(J229)),I229*J229,"")</f>
        <v/>
      </c>
      <c r="L229" s="240" t="str">
        <f>IF(COUNT(F229,I229)=0,"",N(F229)-N(I229))</f>
        <v/>
      </c>
      <c r="M229" s="241" t="str">
        <f>IF(COUNT(H229,K229)=0,"",N(K229)-N(H229))</f>
        <v/>
      </c>
      <c r="N229" s="240" t="str">
        <f>IF(AND(ISNUMBER(F229),ISNUMBER(G229),F229&gt;0,1-N(Ввод!$J$19)/100&gt;0),G229/(1-N(Ввод!$J$19)/100),IF(AND(ISNUMBER(I229),ISNUMBER(J229),I229&gt;0),J229/(1+N(Ввод!$J$19)/100),""))</f>
        <v/>
      </c>
    </row>
    <row r="230" ht="22" customHeight="1">
      <c r="B230" s="244" t="n"/>
      <c r="C230" s="243" t="n"/>
      <c r="D230" s="244" t="n"/>
      <c r="E230" s="245" t="n"/>
      <c r="F230" s="246" t="n"/>
      <c r="G230" s="183" t="n"/>
      <c r="H230" s="271" t="str">
        <f>IF(AND(ISNUMBER(F230),ISNUMBER(G230)),F230*G230,"")</f>
        <v/>
      </c>
      <c r="I230" s="246" t="n"/>
      <c r="J230" s="183" t="n"/>
      <c r="K230" s="271" t="str">
        <f>IF(AND(ISNUMBER(I230),ISNUMBER(J230)),I230*J230,"")</f>
        <v/>
      </c>
      <c r="L230" s="246" t="str">
        <f>IF(COUNT(F230,I230)=0,"",N(F230)-N(I230))</f>
        <v/>
      </c>
      <c r="M230" s="247" t="str">
        <f>IF(COUNT(H230,K230)=0,"",N(K230)-N(H230))</f>
        <v/>
      </c>
      <c r="N230" s="246" t="str">
        <f>IF(AND(ISNUMBER(F230),ISNUMBER(G230),F230&gt;0,1-N(Ввод!$J$19)/100&gt;0),G230/(1-N(Ввод!$J$19)/100),IF(AND(ISNUMBER(I230),ISNUMBER(J230),I230&gt;0),J230/(1+N(Ввод!$J$19)/100),""))</f>
        <v/>
      </c>
    </row>
    <row r="231" ht="22" customHeight="1">
      <c r="B231" s="238" t="n"/>
      <c r="C231" s="237" t="n"/>
      <c r="D231" s="238" t="n"/>
      <c r="E231" s="239" t="n"/>
      <c r="F231" s="240" t="n"/>
      <c r="G231" s="177" t="n"/>
      <c r="H231" s="271" t="str">
        <f>IF(AND(ISNUMBER(F231),ISNUMBER(G231)),F231*G231,"")</f>
        <v/>
      </c>
      <c r="I231" s="240" t="n"/>
      <c r="J231" s="177" t="n"/>
      <c r="K231" s="271" t="str">
        <f>IF(AND(ISNUMBER(I231),ISNUMBER(J231)),I231*J231,"")</f>
        <v/>
      </c>
      <c r="L231" s="240" t="str">
        <f>IF(COUNT(F231,I231)=0,"",N(F231)-N(I231))</f>
        <v/>
      </c>
      <c r="M231" s="241" t="str">
        <f>IF(COUNT(H231,K231)=0,"",N(K231)-N(H231))</f>
        <v/>
      </c>
      <c r="N231" s="240" t="str">
        <f>IF(AND(ISNUMBER(F231),ISNUMBER(G231),F231&gt;0,1-N(Ввод!$J$19)/100&gt;0),G231/(1-N(Ввод!$J$19)/100),IF(AND(ISNUMBER(I231),ISNUMBER(J231),I231&gt;0),J231/(1+N(Ввод!$J$19)/100),""))</f>
        <v/>
      </c>
    </row>
    <row r="232" ht="22" customHeight="1">
      <c r="B232" s="244" t="n"/>
      <c r="C232" s="243" t="n"/>
      <c r="D232" s="244" t="n"/>
      <c r="E232" s="245" t="n"/>
      <c r="F232" s="246" t="n"/>
      <c r="G232" s="183" t="n"/>
      <c r="H232" s="271" t="str">
        <f>IF(AND(ISNUMBER(F232),ISNUMBER(G232)),F232*G232,"")</f>
        <v/>
      </c>
      <c r="I232" s="246" t="n"/>
      <c r="J232" s="183" t="n"/>
      <c r="K232" s="271" t="str">
        <f>IF(AND(ISNUMBER(I232),ISNUMBER(J232)),I232*J232,"")</f>
        <v/>
      </c>
      <c r="L232" s="246" t="str">
        <f>IF(COUNT(F232,I232)=0,"",N(F232)-N(I232))</f>
        <v/>
      </c>
      <c r="M232" s="247" t="str">
        <f>IF(COUNT(H232,K232)=0,"",N(K232)-N(H232))</f>
        <v/>
      </c>
      <c r="N232" s="246" t="str">
        <f>IF(AND(ISNUMBER(F232),ISNUMBER(G232),F232&gt;0,1-N(Ввод!$J$19)/100&gt;0),G232/(1-N(Ввод!$J$19)/100),IF(AND(ISNUMBER(I232),ISNUMBER(J232),I232&gt;0),J232/(1+N(Ввод!$J$19)/100),""))</f>
        <v/>
      </c>
    </row>
    <row r="233" ht="22" customHeight="1">
      <c r="B233" s="238" t="n"/>
      <c r="C233" s="237" t="n"/>
      <c r="D233" s="238" t="n"/>
      <c r="E233" s="239" t="n"/>
      <c r="F233" s="240" t="n"/>
      <c r="G233" s="177" t="n"/>
      <c r="H233" s="271" t="str">
        <f>IF(AND(ISNUMBER(F233),ISNUMBER(G233)),F233*G233,"")</f>
        <v/>
      </c>
      <c r="I233" s="240" t="n"/>
      <c r="J233" s="177" t="n"/>
      <c r="K233" s="271" t="str">
        <f>IF(AND(ISNUMBER(I233),ISNUMBER(J233)),I233*J233,"")</f>
        <v/>
      </c>
      <c r="L233" s="240" t="str">
        <f>IF(COUNT(F233,I233)=0,"",N(F233)-N(I233))</f>
        <v/>
      </c>
      <c r="M233" s="241" t="str">
        <f>IF(COUNT(H233,K233)=0,"",N(K233)-N(H233))</f>
        <v/>
      </c>
      <c r="N233" s="240" t="str">
        <f>IF(AND(ISNUMBER(F233),ISNUMBER(G233),F233&gt;0,1-N(Ввод!$J$19)/100&gt;0),G233/(1-N(Ввод!$J$19)/100),IF(AND(ISNUMBER(I233),ISNUMBER(J233),I233&gt;0),J233/(1+N(Ввод!$J$19)/100),""))</f>
        <v/>
      </c>
    </row>
    <row r="234" ht="22" customHeight="1">
      <c r="B234" s="244" t="n"/>
      <c r="C234" s="243" t="n"/>
      <c r="D234" s="244" t="n"/>
      <c r="E234" s="245" t="n"/>
      <c r="F234" s="246" t="n"/>
      <c r="G234" s="183" t="n"/>
      <c r="H234" s="271" t="str">
        <f>IF(AND(ISNUMBER(F234),ISNUMBER(G234)),F234*G234,"")</f>
        <v/>
      </c>
      <c r="I234" s="246" t="n"/>
      <c r="J234" s="183" t="n"/>
      <c r="K234" s="271" t="str">
        <f>IF(AND(ISNUMBER(I234),ISNUMBER(J234)),I234*J234,"")</f>
        <v/>
      </c>
      <c r="L234" s="246" t="str">
        <f>IF(COUNT(F234,I234)=0,"",N(F234)-N(I234))</f>
        <v/>
      </c>
      <c r="M234" s="247" t="str">
        <f>IF(COUNT(H234,K234)=0,"",N(K234)-N(H234))</f>
        <v/>
      </c>
      <c r="N234" s="246" t="str">
        <f>IF(AND(ISNUMBER(F234),ISNUMBER(G234),F234&gt;0,1-N(Ввод!$J$19)/100&gt;0),G234/(1-N(Ввод!$J$19)/100),IF(AND(ISNUMBER(I234),ISNUMBER(J234),I234&gt;0),J234/(1+N(Ввод!$J$19)/100),""))</f>
        <v/>
      </c>
    </row>
    <row r="235" ht="22" customHeight="1">
      <c r="B235" s="238" t="n"/>
      <c r="C235" s="237" t="n"/>
      <c r="D235" s="238" t="n"/>
      <c r="E235" s="239" t="n"/>
      <c r="F235" s="240" t="n"/>
      <c r="G235" s="177" t="n"/>
      <c r="H235" s="271" t="str">
        <f>IF(AND(ISNUMBER(F235),ISNUMBER(G235)),F235*G235,"")</f>
        <v/>
      </c>
      <c r="I235" s="240" t="n"/>
      <c r="J235" s="177" t="n"/>
      <c r="K235" s="271" t="str">
        <f>IF(AND(ISNUMBER(I235),ISNUMBER(J235)),I235*J235,"")</f>
        <v/>
      </c>
      <c r="L235" s="240" t="str">
        <f>IF(COUNT(F235,I235)=0,"",N(F235)-N(I235))</f>
        <v/>
      </c>
      <c r="M235" s="241" t="str">
        <f>IF(COUNT(H235,K235)=0,"",N(K235)-N(H235))</f>
        <v/>
      </c>
      <c r="N235" s="240" t="str">
        <f>IF(AND(ISNUMBER(F235),ISNUMBER(G235),F235&gt;0,1-N(Ввод!$J$19)/100&gt;0),G235/(1-N(Ввод!$J$19)/100),IF(AND(ISNUMBER(I235),ISNUMBER(J235),I235&gt;0),J235/(1+N(Ввод!$J$19)/100),""))</f>
        <v/>
      </c>
    </row>
    <row r="236" ht="22" customHeight="1">
      <c r="B236" s="244" t="n"/>
      <c r="C236" s="243" t="n"/>
      <c r="D236" s="244" t="n"/>
      <c r="E236" s="245" t="n"/>
      <c r="F236" s="246" t="n"/>
      <c r="G236" s="183" t="n"/>
      <c r="H236" s="271" t="str">
        <f>IF(AND(ISNUMBER(F236),ISNUMBER(G236)),F236*G236,"")</f>
        <v/>
      </c>
      <c r="I236" s="246" t="n"/>
      <c r="J236" s="183" t="n"/>
      <c r="K236" s="271" t="str">
        <f>IF(AND(ISNUMBER(I236),ISNUMBER(J236)),I236*J236,"")</f>
        <v/>
      </c>
      <c r="L236" s="246" t="str">
        <f>IF(COUNT(F236,I236)=0,"",N(F236)-N(I236))</f>
        <v/>
      </c>
      <c r="M236" s="247" t="str">
        <f>IF(COUNT(H236,K236)=0,"",N(K236)-N(H236))</f>
        <v/>
      </c>
      <c r="N236" s="246" t="str">
        <f>IF(AND(ISNUMBER(F236),ISNUMBER(G236),F236&gt;0,1-N(Ввод!$J$19)/100&gt;0),G236/(1-N(Ввод!$J$19)/100),IF(AND(ISNUMBER(I236),ISNUMBER(J236),I236&gt;0),J236/(1+N(Ввод!$J$19)/100),""))</f>
        <v/>
      </c>
    </row>
    <row r="237" ht="22" customHeight="1">
      <c r="B237" s="238" t="n"/>
      <c r="C237" s="237" t="n"/>
      <c r="D237" s="238" t="n"/>
      <c r="E237" s="239" t="n"/>
      <c r="F237" s="240" t="n"/>
      <c r="G237" s="177" t="n"/>
      <c r="H237" s="271" t="str">
        <f>IF(AND(ISNUMBER(F237),ISNUMBER(G237)),F237*G237,"")</f>
        <v/>
      </c>
      <c r="I237" s="240" t="n"/>
      <c r="J237" s="177" t="n"/>
      <c r="K237" s="271" t="str">
        <f>IF(AND(ISNUMBER(I237),ISNUMBER(J237)),I237*J237,"")</f>
        <v/>
      </c>
      <c r="L237" s="240" t="str">
        <f>IF(COUNT(F237,I237)=0,"",N(F237)-N(I237))</f>
        <v/>
      </c>
      <c r="M237" s="241" t="str">
        <f>IF(COUNT(H237,K237)=0,"",N(K237)-N(H237))</f>
        <v/>
      </c>
      <c r="N237" s="240" t="str">
        <f>IF(AND(ISNUMBER(F237),ISNUMBER(G237),F237&gt;0,1-N(Ввод!$J$19)/100&gt;0),G237/(1-N(Ввод!$J$19)/100),IF(AND(ISNUMBER(I237),ISNUMBER(J237),I237&gt;0),J237/(1+N(Ввод!$J$19)/100),""))</f>
        <v/>
      </c>
    </row>
    <row r="238" ht="22" customHeight="1">
      <c r="B238" s="244" t="n"/>
      <c r="C238" s="243" t="n"/>
      <c r="D238" s="244" t="n"/>
      <c r="E238" s="245" t="n"/>
      <c r="F238" s="246" t="n"/>
      <c r="G238" s="183" t="n"/>
      <c r="H238" s="271" t="str">
        <f>IF(AND(ISNUMBER(F238),ISNUMBER(G238)),F238*G238,"")</f>
        <v/>
      </c>
      <c r="I238" s="246" t="n"/>
      <c r="J238" s="183" t="n"/>
      <c r="K238" s="271" t="str">
        <f>IF(AND(ISNUMBER(I238),ISNUMBER(J238)),I238*J238,"")</f>
        <v/>
      </c>
      <c r="L238" s="246" t="str">
        <f>IF(COUNT(F238,I238)=0,"",N(F238)-N(I238))</f>
        <v/>
      </c>
      <c r="M238" s="247" t="str">
        <f>IF(COUNT(H238,K238)=0,"",N(K238)-N(H238))</f>
        <v/>
      </c>
      <c r="N238" s="246" t="str">
        <f>IF(AND(ISNUMBER(F238),ISNUMBER(G238),F238&gt;0,1-N(Ввод!$J$19)/100&gt;0),G238/(1-N(Ввод!$J$19)/100),IF(AND(ISNUMBER(I238),ISNUMBER(J238),I238&gt;0),J238/(1+N(Ввод!$J$19)/100),""))</f>
        <v/>
      </c>
    </row>
    <row r="239" ht="22" customHeight="1">
      <c r="B239" s="238" t="n"/>
      <c r="C239" s="237" t="n"/>
      <c r="D239" s="238" t="n"/>
      <c r="E239" s="239" t="n"/>
      <c r="F239" s="240" t="n"/>
      <c r="G239" s="177" t="n"/>
      <c r="H239" s="271" t="str">
        <f>IF(AND(ISNUMBER(F239),ISNUMBER(G239)),F239*G239,"")</f>
        <v/>
      </c>
      <c r="I239" s="240" t="n"/>
      <c r="J239" s="177" t="n"/>
      <c r="K239" s="271" t="str">
        <f>IF(AND(ISNUMBER(I239),ISNUMBER(J239)),I239*J239,"")</f>
        <v/>
      </c>
      <c r="L239" s="240" t="str">
        <f>IF(COUNT(F239,I239)=0,"",N(F239)-N(I239))</f>
        <v/>
      </c>
      <c r="M239" s="241" t="str">
        <f>IF(COUNT(H239,K239)=0,"",N(K239)-N(H239))</f>
        <v/>
      </c>
      <c r="N239" s="240" t="str">
        <f>IF(AND(ISNUMBER(F239),ISNUMBER(G239),F239&gt;0,1-N(Ввод!$J$19)/100&gt;0),G239/(1-N(Ввод!$J$19)/100),IF(AND(ISNUMBER(I239),ISNUMBER(J239),I239&gt;0),J239/(1+N(Ввод!$J$19)/100),""))</f>
        <v/>
      </c>
    </row>
    <row r="240" ht="22" customHeight="1">
      <c r="B240" s="244" t="n"/>
      <c r="C240" s="243" t="n"/>
      <c r="D240" s="244" t="n"/>
      <c r="E240" s="245" t="n"/>
      <c r="F240" s="246" t="n"/>
      <c r="G240" s="183" t="n"/>
      <c r="H240" s="271" t="str">
        <f>IF(AND(ISNUMBER(F240),ISNUMBER(G240)),F240*G240,"")</f>
        <v/>
      </c>
      <c r="I240" s="246" t="n"/>
      <c r="J240" s="183" t="n"/>
      <c r="K240" s="271" t="str">
        <f>IF(AND(ISNUMBER(I240),ISNUMBER(J240)),I240*J240,"")</f>
        <v/>
      </c>
      <c r="L240" s="246" t="str">
        <f>IF(COUNT(F240,I240)=0,"",N(F240)-N(I240))</f>
        <v/>
      </c>
      <c r="M240" s="247" t="str">
        <f>IF(COUNT(H240,K240)=0,"",N(K240)-N(H240))</f>
        <v/>
      </c>
      <c r="N240" s="246" t="str">
        <f>IF(AND(ISNUMBER(F240),ISNUMBER(G240),F240&gt;0,1-N(Ввод!$J$19)/100&gt;0),G240/(1-N(Ввод!$J$19)/100),IF(AND(ISNUMBER(I240),ISNUMBER(J240),I240&gt;0),J240/(1+N(Ввод!$J$19)/100),""))</f>
        <v/>
      </c>
    </row>
    <row r="241" ht="22" customHeight="1">
      <c r="B241" s="238" t="n"/>
      <c r="C241" s="237" t="n"/>
      <c r="D241" s="238" t="n"/>
      <c r="E241" s="239" t="n"/>
      <c r="F241" s="240" t="n"/>
      <c r="G241" s="177" t="n"/>
      <c r="H241" s="271" t="str">
        <f>IF(AND(ISNUMBER(F241),ISNUMBER(G241)),F241*G241,"")</f>
        <v/>
      </c>
      <c r="I241" s="240" t="n"/>
      <c r="J241" s="177" t="n"/>
      <c r="K241" s="271" t="str">
        <f>IF(AND(ISNUMBER(I241),ISNUMBER(J241)),I241*J241,"")</f>
        <v/>
      </c>
      <c r="L241" s="240" t="str">
        <f>IF(COUNT(F241,I241)=0,"",N(F241)-N(I241))</f>
        <v/>
      </c>
      <c r="M241" s="241" t="str">
        <f>IF(COUNT(H241,K241)=0,"",N(K241)-N(H241))</f>
        <v/>
      </c>
      <c r="N241" s="240" t="str">
        <f>IF(AND(ISNUMBER(F241),ISNUMBER(G241),F241&gt;0,1-N(Ввод!$J$19)/100&gt;0),G241/(1-N(Ввод!$J$19)/100),IF(AND(ISNUMBER(I241),ISNUMBER(J241),I241&gt;0),J241/(1+N(Ввод!$J$19)/100),""))</f>
        <v/>
      </c>
    </row>
    <row r="242" ht="22" customHeight="1">
      <c r="B242" s="244" t="n"/>
      <c r="C242" s="243" t="n"/>
      <c r="D242" s="244" t="n"/>
      <c r="E242" s="245" t="n"/>
      <c r="F242" s="246" t="n"/>
      <c r="G242" s="183" t="n"/>
      <c r="H242" s="271" t="str">
        <f>IF(AND(ISNUMBER(F242),ISNUMBER(G242)),F242*G242,"")</f>
        <v/>
      </c>
      <c r="I242" s="246" t="n"/>
      <c r="J242" s="183" t="n"/>
      <c r="K242" s="271" t="str">
        <f>IF(AND(ISNUMBER(I242),ISNUMBER(J242)),I242*J242,"")</f>
        <v/>
      </c>
      <c r="L242" s="246" t="str">
        <f>IF(COUNT(F242,I242)=0,"",N(F242)-N(I242))</f>
        <v/>
      </c>
      <c r="M242" s="247" t="str">
        <f>IF(COUNT(H242,K242)=0,"",N(K242)-N(H242))</f>
        <v/>
      </c>
      <c r="N242" s="246" t="str">
        <f>IF(AND(ISNUMBER(F242),ISNUMBER(G242),F242&gt;0,1-N(Ввод!$J$19)/100&gt;0),G242/(1-N(Ввод!$J$19)/100),IF(AND(ISNUMBER(I242),ISNUMBER(J242),I242&gt;0),J242/(1+N(Ввод!$J$19)/100),""))</f>
        <v/>
      </c>
    </row>
    <row r="243" ht="22" customHeight="1">
      <c r="B243" s="238" t="n"/>
      <c r="C243" s="237" t="n"/>
      <c r="D243" s="238" t="n"/>
      <c r="E243" s="239" t="n"/>
      <c r="F243" s="240" t="n"/>
      <c r="G243" s="177" t="n"/>
      <c r="H243" s="271" t="str">
        <f>IF(AND(ISNUMBER(F243),ISNUMBER(G243)),F243*G243,"")</f>
        <v/>
      </c>
      <c r="I243" s="240" t="n"/>
      <c r="J243" s="177" t="n"/>
      <c r="K243" s="271" t="str">
        <f>IF(AND(ISNUMBER(I243),ISNUMBER(J243)),I243*J243,"")</f>
        <v/>
      </c>
      <c r="L243" s="240" t="str">
        <f>IF(COUNT(F243,I243)=0,"",N(F243)-N(I243))</f>
        <v/>
      </c>
      <c r="M243" s="241" t="str">
        <f>IF(COUNT(H243,K243)=0,"",N(K243)-N(H243))</f>
        <v/>
      </c>
      <c r="N243" s="240" t="str">
        <f>IF(AND(ISNUMBER(F243),ISNUMBER(G243),F243&gt;0,1-N(Ввод!$J$19)/100&gt;0),G243/(1-N(Ввод!$J$19)/100),IF(AND(ISNUMBER(I243),ISNUMBER(J243),I243&gt;0),J243/(1+N(Ввод!$J$19)/100),""))</f>
        <v/>
      </c>
    </row>
    <row r="244" ht="22" customHeight="1">
      <c r="B244" s="244" t="n"/>
      <c r="C244" s="243" t="n"/>
      <c r="D244" s="244" t="n"/>
      <c r="E244" s="245" t="n"/>
      <c r="F244" s="246" t="n"/>
      <c r="G244" s="183" t="n"/>
      <c r="H244" s="271" t="str">
        <f>IF(AND(ISNUMBER(F244),ISNUMBER(G244)),F244*G244,"")</f>
        <v/>
      </c>
      <c r="I244" s="246" t="n"/>
      <c r="J244" s="183" t="n"/>
      <c r="K244" s="271" t="str">
        <f>IF(AND(ISNUMBER(I244),ISNUMBER(J244)),I244*J244,"")</f>
        <v/>
      </c>
      <c r="L244" s="246" t="str">
        <f>IF(COUNT(F244,I244)=0,"",N(F244)-N(I244))</f>
        <v/>
      </c>
      <c r="M244" s="247" t="str">
        <f>IF(COUNT(H244,K244)=0,"",N(K244)-N(H244))</f>
        <v/>
      </c>
      <c r="N244" s="246" t="str">
        <f>IF(AND(ISNUMBER(F244),ISNUMBER(G244),F244&gt;0,1-N(Ввод!$J$19)/100&gt;0),G244/(1-N(Ввод!$J$19)/100),IF(AND(ISNUMBER(I244),ISNUMBER(J244),I244&gt;0),J244/(1+N(Ввод!$J$19)/100),""))</f>
        <v/>
      </c>
    </row>
    <row r="245" ht="22" customHeight="1">
      <c r="B245" s="238" t="n"/>
      <c r="C245" s="237" t="n"/>
      <c r="D245" s="238" t="n"/>
      <c r="E245" s="239" t="n"/>
      <c r="F245" s="240" t="n"/>
      <c r="G245" s="177" t="n"/>
      <c r="H245" s="271" t="str">
        <f>IF(AND(ISNUMBER(F245),ISNUMBER(G245)),F245*G245,"")</f>
        <v/>
      </c>
      <c r="I245" s="240" t="n"/>
      <c r="J245" s="177" t="n"/>
      <c r="K245" s="271" t="str">
        <f>IF(AND(ISNUMBER(I245),ISNUMBER(J245)),I245*J245,"")</f>
        <v/>
      </c>
      <c r="L245" s="240" t="str">
        <f>IF(COUNT(F245,I245)=0,"",N(F245)-N(I245))</f>
        <v/>
      </c>
      <c r="M245" s="241" t="str">
        <f>IF(COUNT(H245,K245)=0,"",N(K245)-N(H245))</f>
        <v/>
      </c>
      <c r="N245" s="240" t="str">
        <f>IF(AND(ISNUMBER(F245),ISNUMBER(G245),F245&gt;0,1-N(Ввод!$J$19)/100&gt;0),G245/(1-N(Ввод!$J$19)/100),IF(AND(ISNUMBER(I245),ISNUMBER(J245),I245&gt;0),J245/(1+N(Ввод!$J$19)/100),""))</f>
        <v/>
      </c>
    </row>
    <row r="246" ht="22" customHeight="1">
      <c r="B246" s="244" t="n"/>
      <c r="C246" s="243" t="n"/>
      <c r="D246" s="244" t="n"/>
      <c r="E246" s="245" t="n"/>
      <c r="F246" s="246" t="n"/>
      <c r="G246" s="183" t="n"/>
      <c r="H246" s="271" t="str">
        <f>IF(AND(ISNUMBER(F246),ISNUMBER(G246)),F246*G246,"")</f>
        <v/>
      </c>
      <c r="I246" s="246" t="n"/>
      <c r="J246" s="183" t="n"/>
      <c r="K246" s="271" t="str">
        <f>IF(AND(ISNUMBER(I246),ISNUMBER(J246)),I246*J246,"")</f>
        <v/>
      </c>
      <c r="L246" s="246" t="str">
        <f>IF(COUNT(F246,I246)=0,"",N(F246)-N(I246))</f>
        <v/>
      </c>
      <c r="M246" s="247" t="str">
        <f>IF(COUNT(H246,K246)=0,"",N(K246)-N(H246))</f>
        <v/>
      </c>
      <c r="N246" s="246" t="str">
        <f>IF(AND(ISNUMBER(F246),ISNUMBER(G246),F246&gt;0,1-N(Ввод!$J$19)/100&gt;0),G246/(1-N(Ввод!$J$19)/100),IF(AND(ISNUMBER(I246),ISNUMBER(J246),I246&gt;0),J246/(1+N(Ввод!$J$19)/100),""))</f>
        <v/>
      </c>
    </row>
    <row r="247" ht="22" customHeight="1">
      <c r="B247" s="238" t="n"/>
      <c r="C247" s="237" t="n"/>
      <c r="D247" s="238" t="n"/>
      <c r="E247" s="239" t="n"/>
      <c r="F247" s="240" t="n"/>
      <c r="G247" s="177" t="n"/>
      <c r="H247" s="271" t="str">
        <f>IF(AND(ISNUMBER(F247),ISNUMBER(G247)),F247*G247,"")</f>
        <v/>
      </c>
      <c r="I247" s="240" t="n"/>
      <c r="J247" s="177" t="n"/>
      <c r="K247" s="271" t="str">
        <f>IF(AND(ISNUMBER(I247),ISNUMBER(J247)),I247*J247,"")</f>
        <v/>
      </c>
      <c r="L247" s="240" t="str">
        <f>IF(COUNT(F247,I247)=0,"",N(F247)-N(I247))</f>
        <v/>
      </c>
      <c r="M247" s="241" t="str">
        <f>IF(COUNT(H247,K247)=0,"",N(K247)-N(H247))</f>
        <v/>
      </c>
      <c r="N247" s="240" t="str">
        <f>IF(AND(ISNUMBER(F247),ISNUMBER(G247),F247&gt;0,1-N(Ввод!$J$19)/100&gt;0),G247/(1-N(Ввод!$J$19)/100),IF(AND(ISNUMBER(I247),ISNUMBER(J247),I247&gt;0),J247/(1+N(Ввод!$J$19)/100),""))</f>
        <v/>
      </c>
    </row>
    <row r="248" ht="22" customHeight="1">
      <c r="B248" s="244" t="n"/>
      <c r="C248" s="243" t="n"/>
      <c r="D248" s="244" t="n"/>
      <c r="E248" s="245" t="n"/>
      <c r="F248" s="246" t="n"/>
      <c r="G248" s="183" t="n"/>
      <c r="H248" s="271" t="str">
        <f>IF(AND(ISNUMBER(F248),ISNUMBER(G248)),F248*G248,"")</f>
        <v/>
      </c>
      <c r="I248" s="246" t="n"/>
      <c r="J248" s="183" t="n"/>
      <c r="K248" s="271" t="str">
        <f>IF(AND(ISNUMBER(I248),ISNUMBER(J248)),I248*J248,"")</f>
        <v/>
      </c>
      <c r="L248" s="246" t="str">
        <f>IF(COUNT(F248,I248)=0,"",N(F248)-N(I248))</f>
        <v/>
      </c>
      <c r="M248" s="247" t="str">
        <f>IF(COUNT(H248,K248)=0,"",N(K248)-N(H248))</f>
        <v/>
      </c>
      <c r="N248" s="246" t="str">
        <f>IF(AND(ISNUMBER(F248),ISNUMBER(G248),F248&gt;0,1-N(Ввод!$J$19)/100&gt;0),G248/(1-N(Ввод!$J$19)/100),IF(AND(ISNUMBER(I248),ISNUMBER(J248),I248&gt;0),J248/(1+N(Ввод!$J$19)/100),""))</f>
        <v/>
      </c>
    </row>
    <row r="249" ht="22" customHeight="1">
      <c r="B249" s="238" t="n"/>
      <c r="C249" s="237" t="n"/>
      <c r="D249" s="238" t="n"/>
      <c r="E249" s="239" t="n"/>
      <c r="F249" s="240" t="n"/>
      <c r="G249" s="177" t="n"/>
      <c r="H249" s="271" t="str">
        <f>IF(AND(ISNUMBER(F249),ISNUMBER(G249)),F249*G249,"")</f>
        <v/>
      </c>
      <c r="I249" s="240" t="n"/>
      <c r="J249" s="177" t="n"/>
      <c r="K249" s="271" t="str">
        <f>IF(AND(ISNUMBER(I249),ISNUMBER(J249)),I249*J249,"")</f>
        <v/>
      </c>
      <c r="L249" s="240" t="str">
        <f>IF(COUNT(F249,I249)=0,"",N(F249)-N(I249))</f>
        <v/>
      </c>
      <c r="M249" s="241" t="str">
        <f>IF(COUNT(H249,K249)=0,"",N(K249)-N(H249))</f>
        <v/>
      </c>
      <c r="N249" s="240" t="str">
        <f>IF(AND(ISNUMBER(F249),ISNUMBER(G249),F249&gt;0,1-N(Ввод!$J$19)/100&gt;0),G249/(1-N(Ввод!$J$19)/100),IF(AND(ISNUMBER(I249),ISNUMBER(J249),I249&gt;0),J249/(1+N(Ввод!$J$19)/100),""))</f>
        <v/>
      </c>
    </row>
    <row r="250" ht="22" customHeight="1">
      <c r="B250" s="244" t="n"/>
      <c r="C250" s="243" t="n"/>
      <c r="D250" s="244" t="n"/>
      <c r="E250" s="245" t="n"/>
      <c r="F250" s="246" t="n"/>
      <c r="G250" s="183" t="n"/>
      <c r="H250" s="271" t="str">
        <f>IF(AND(ISNUMBER(F250),ISNUMBER(G250)),F250*G250,"")</f>
        <v/>
      </c>
      <c r="I250" s="246" t="n"/>
      <c r="J250" s="183" t="n"/>
      <c r="K250" s="271" t="str">
        <f>IF(AND(ISNUMBER(I250),ISNUMBER(J250)),I250*J250,"")</f>
        <v/>
      </c>
      <c r="L250" s="246" t="str">
        <f>IF(COUNT(F250,I250)=0,"",N(F250)-N(I250))</f>
        <v/>
      </c>
      <c r="M250" s="247" t="str">
        <f>IF(COUNT(H250,K250)=0,"",N(K250)-N(H250))</f>
        <v/>
      </c>
      <c r="N250" s="246" t="str">
        <f>IF(AND(ISNUMBER(F250),ISNUMBER(G250),F250&gt;0,1-N(Ввод!$J$19)/100&gt;0),G250/(1-N(Ввод!$J$19)/100),IF(AND(ISNUMBER(I250),ISNUMBER(J250),I250&gt;0),J250/(1+N(Ввод!$J$19)/100),""))</f>
        <v/>
      </c>
    </row>
    <row r="251" ht="22" customHeight="1">
      <c r="B251" s="238" t="n"/>
      <c r="C251" s="237" t="n"/>
      <c r="D251" s="238" t="n"/>
      <c r="E251" s="239" t="n"/>
      <c r="F251" s="240" t="n"/>
      <c r="G251" s="177" t="n"/>
      <c r="H251" s="271" t="str">
        <f>IF(AND(ISNUMBER(F251),ISNUMBER(G251)),F251*G251,"")</f>
        <v/>
      </c>
      <c r="I251" s="240" t="n"/>
      <c r="J251" s="177" t="n"/>
      <c r="K251" s="271" t="str">
        <f>IF(AND(ISNUMBER(I251),ISNUMBER(J251)),I251*J251,"")</f>
        <v/>
      </c>
      <c r="L251" s="240" t="str">
        <f>IF(COUNT(F251,I251)=0,"",N(F251)-N(I251))</f>
        <v/>
      </c>
      <c r="M251" s="241" t="str">
        <f>IF(COUNT(H251,K251)=0,"",N(K251)-N(H251))</f>
        <v/>
      </c>
      <c r="N251" s="240" t="str">
        <f>IF(AND(ISNUMBER(F251),ISNUMBER(G251),F251&gt;0,1-N(Ввод!$J$19)/100&gt;0),G251/(1-N(Ввод!$J$19)/100),IF(AND(ISNUMBER(I251),ISNUMBER(J251),I251&gt;0),J251/(1+N(Ввод!$J$19)/100),""))</f>
        <v/>
      </c>
    </row>
    <row r="252" ht="22" customHeight="1">
      <c r="B252" s="244" t="n"/>
      <c r="C252" s="243" t="n"/>
      <c r="D252" s="244" t="n"/>
      <c r="E252" s="245" t="n"/>
      <c r="F252" s="246" t="n"/>
      <c r="G252" s="183" t="n"/>
      <c r="H252" s="271" t="str">
        <f>IF(AND(ISNUMBER(F252),ISNUMBER(G252)),F252*G252,"")</f>
        <v/>
      </c>
      <c r="I252" s="246" t="n"/>
      <c r="J252" s="183" t="n"/>
      <c r="K252" s="271" t="str">
        <f>IF(AND(ISNUMBER(I252),ISNUMBER(J252)),I252*J252,"")</f>
        <v/>
      </c>
      <c r="L252" s="246" t="str">
        <f>IF(COUNT(F252,I252)=0,"",N(F252)-N(I252))</f>
        <v/>
      </c>
      <c r="M252" s="247" t="str">
        <f>IF(COUNT(H252,K252)=0,"",N(K252)-N(H252))</f>
        <v/>
      </c>
      <c r="N252" s="246" t="str">
        <f>IF(AND(ISNUMBER(F252),ISNUMBER(G252),F252&gt;0,1-N(Ввод!$J$19)/100&gt;0),G252/(1-N(Ввод!$J$19)/100),IF(AND(ISNUMBER(I252),ISNUMBER(J252),I252&gt;0),J252/(1+N(Ввод!$J$19)/100),""))</f>
        <v/>
      </c>
    </row>
    <row r="253" ht="22" customHeight="1">
      <c r="B253" s="238" t="n"/>
      <c r="C253" s="237" t="n"/>
      <c r="D253" s="238" t="n"/>
      <c r="E253" s="239" t="n"/>
      <c r="F253" s="240" t="n"/>
      <c r="G253" s="177" t="n"/>
      <c r="H253" s="271" t="str">
        <f>IF(AND(ISNUMBER(F253),ISNUMBER(G253)),F253*G253,"")</f>
        <v/>
      </c>
      <c r="I253" s="240" t="n"/>
      <c r="J253" s="177" t="n"/>
      <c r="K253" s="271" t="str">
        <f>IF(AND(ISNUMBER(I253),ISNUMBER(J253)),I253*J253,"")</f>
        <v/>
      </c>
      <c r="L253" s="240" t="str">
        <f>IF(COUNT(F253,I253)=0,"",N(F253)-N(I253))</f>
        <v/>
      </c>
      <c r="M253" s="241" t="str">
        <f>IF(COUNT(H253,K253)=0,"",N(K253)-N(H253))</f>
        <v/>
      </c>
      <c r="N253" s="240" t="str">
        <f>IF(AND(ISNUMBER(F253),ISNUMBER(G253),F253&gt;0,1-N(Ввод!$J$19)/100&gt;0),G253/(1-N(Ввод!$J$19)/100),IF(AND(ISNUMBER(I253),ISNUMBER(J253),I253&gt;0),J253/(1+N(Ввод!$J$19)/100),""))</f>
        <v/>
      </c>
    </row>
    <row r="254" ht="22" customHeight="1">
      <c r="B254" s="244" t="n"/>
      <c r="C254" s="243" t="n"/>
      <c r="D254" s="244" t="n"/>
      <c r="E254" s="245" t="n"/>
      <c r="F254" s="246" t="n"/>
      <c r="G254" s="183" t="n"/>
      <c r="H254" s="271" t="str">
        <f>IF(AND(ISNUMBER(F254),ISNUMBER(G254)),F254*G254,"")</f>
        <v/>
      </c>
      <c r="I254" s="246" t="n"/>
      <c r="J254" s="183" t="n"/>
      <c r="K254" s="271" t="str">
        <f>IF(AND(ISNUMBER(I254),ISNUMBER(J254)),I254*J254,"")</f>
        <v/>
      </c>
      <c r="L254" s="246" t="str">
        <f>IF(COUNT(F254,I254)=0,"",N(F254)-N(I254))</f>
        <v/>
      </c>
      <c r="M254" s="247" t="str">
        <f>IF(COUNT(H254,K254)=0,"",N(K254)-N(H254))</f>
        <v/>
      </c>
      <c r="N254" s="246" t="str">
        <f>IF(AND(ISNUMBER(F254),ISNUMBER(G254),F254&gt;0,1-N(Ввод!$J$19)/100&gt;0),G254/(1-N(Ввод!$J$19)/100),IF(AND(ISNUMBER(I254),ISNUMBER(J254),I254&gt;0),J254/(1+N(Ввод!$J$19)/100),""))</f>
        <v/>
      </c>
    </row>
    <row r="255" ht="22" customHeight="1">
      <c r="B255" s="238" t="n"/>
      <c r="C255" s="237" t="n"/>
      <c r="D255" s="238" t="n"/>
      <c r="E255" s="239" t="n"/>
      <c r="F255" s="240" t="n"/>
      <c r="G255" s="177" t="n"/>
      <c r="H255" s="271" t="str">
        <f>IF(AND(ISNUMBER(F255),ISNUMBER(G255)),F255*G255,"")</f>
        <v/>
      </c>
      <c r="I255" s="240" t="n"/>
      <c r="J255" s="177" t="n"/>
      <c r="K255" s="271" t="str">
        <f>IF(AND(ISNUMBER(I255),ISNUMBER(J255)),I255*J255,"")</f>
        <v/>
      </c>
      <c r="L255" s="240" t="str">
        <f>IF(COUNT(F255,I255)=0,"",N(F255)-N(I255))</f>
        <v/>
      </c>
      <c r="M255" s="241" t="str">
        <f>IF(COUNT(H255,K255)=0,"",N(K255)-N(H255))</f>
        <v/>
      </c>
      <c r="N255" s="240" t="str">
        <f>IF(AND(ISNUMBER(F255),ISNUMBER(G255),F255&gt;0,1-N(Ввод!$J$19)/100&gt;0),G255/(1-N(Ввод!$J$19)/100),IF(AND(ISNUMBER(I255),ISNUMBER(J255),I255&gt;0),J255/(1+N(Ввод!$J$19)/100),""))</f>
        <v/>
      </c>
    </row>
    <row r="256" ht="22" customHeight="1">
      <c r="B256" s="244" t="n"/>
      <c r="C256" s="243" t="n"/>
      <c r="D256" s="244" t="n"/>
      <c r="E256" s="245" t="n"/>
      <c r="F256" s="246" t="n"/>
      <c r="G256" s="183" t="n"/>
      <c r="H256" s="271" t="str">
        <f>IF(AND(ISNUMBER(F256),ISNUMBER(G256)),F256*G256,"")</f>
        <v/>
      </c>
      <c r="I256" s="246" t="n"/>
      <c r="J256" s="183" t="n"/>
      <c r="K256" s="271" t="str">
        <f>IF(AND(ISNUMBER(I256),ISNUMBER(J256)),I256*J256,"")</f>
        <v/>
      </c>
      <c r="L256" s="246" t="str">
        <f>IF(COUNT(F256,I256)=0,"",N(F256)-N(I256))</f>
        <v/>
      </c>
      <c r="M256" s="247" t="str">
        <f>IF(COUNT(H256,K256)=0,"",N(K256)-N(H256))</f>
        <v/>
      </c>
      <c r="N256" s="246" t="str">
        <f>IF(AND(ISNUMBER(F256),ISNUMBER(G256),F256&gt;0,1-N(Ввод!$J$19)/100&gt;0),G256/(1-N(Ввод!$J$19)/100),IF(AND(ISNUMBER(I256),ISNUMBER(J256),I256&gt;0),J256/(1+N(Ввод!$J$19)/100),""))</f>
        <v/>
      </c>
    </row>
    <row r="257" ht="22" customHeight="1">
      <c r="B257" s="238" t="n"/>
      <c r="C257" s="237" t="n"/>
      <c r="D257" s="238" t="n"/>
      <c r="E257" s="239" t="n"/>
      <c r="F257" s="240" t="n"/>
      <c r="G257" s="177" t="n"/>
      <c r="H257" s="271" t="str">
        <f>IF(AND(ISNUMBER(F257),ISNUMBER(G257)),F257*G257,"")</f>
        <v/>
      </c>
      <c r="I257" s="240" t="n"/>
      <c r="J257" s="177" t="n"/>
      <c r="K257" s="271" t="str">
        <f>IF(AND(ISNUMBER(I257),ISNUMBER(J257)),I257*J257,"")</f>
        <v/>
      </c>
      <c r="L257" s="240" t="str">
        <f>IF(COUNT(F257,I257)=0,"",N(F257)-N(I257))</f>
        <v/>
      </c>
      <c r="M257" s="241" t="str">
        <f>IF(COUNT(H257,K257)=0,"",N(K257)-N(H257))</f>
        <v/>
      </c>
      <c r="N257" s="240" t="str">
        <f>IF(AND(ISNUMBER(F257),ISNUMBER(G257),F257&gt;0,1-N(Ввод!$J$19)/100&gt;0),G257/(1-N(Ввод!$J$19)/100),IF(AND(ISNUMBER(I257),ISNUMBER(J257),I257&gt;0),J257/(1+N(Ввод!$J$19)/100),""))</f>
        <v/>
      </c>
    </row>
    <row r="258" ht="22" customHeight="1">
      <c r="B258" s="244" t="n"/>
      <c r="C258" s="243" t="n"/>
      <c r="D258" s="244" t="n"/>
      <c r="E258" s="245" t="n"/>
      <c r="F258" s="246" t="n"/>
      <c r="G258" s="183" t="n"/>
      <c r="H258" s="271" t="str">
        <f>IF(AND(ISNUMBER(F258),ISNUMBER(G258)),F258*G258,"")</f>
        <v/>
      </c>
      <c r="I258" s="246" t="n"/>
      <c r="J258" s="183" t="n"/>
      <c r="K258" s="271" t="str">
        <f>IF(AND(ISNUMBER(I258),ISNUMBER(J258)),I258*J258,"")</f>
        <v/>
      </c>
      <c r="L258" s="246" t="str">
        <f>IF(COUNT(F258,I258)=0,"",N(F258)-N(I258))</f>
        <v/>
      </c>
      <c r="M258" s="247" t="str">
        <f>IF(COUNT(H258,K258)=0,"",N(K258)-N(H258))</f>
        <v/>
      </c>
      <c r="N258" s="246" t="str">
        <f>IF(AND(ISNUMBER(F258),ISNUMBER(G258),F258&gt;0,1-N(Ввод!$J$19)/100&gt;0),G258/(1-N(Ввод!$J$19)/100),IF(AND(ISNUMBER(I258),ISNUMBER(J258),I258&gt;0),J258/(1+N(Ввод!$J$19)/100),""))</f>
        <v/>
      </c>
    </row>
    <row r="259" ht="22" customHeight="1">
      <c r="B259" s="238" t="n"/>
      <c r="C259" s="237" t="n"/>
      <c r="D259" s="238" t="n"/>
      <c r="E259" s="239" t="n"/>
      <c r="F259" s="240" t="n"/>
      <c r="G259" s="177" t="n"/>
      <c r="H259" s="271" t="str">
        <f>IF(AND(ISNUMBER(F259),ISNUMBER(G259)),F259*G259,"")</f>
        <v/>
      </c>
      <c r="I259" s="240" t="n"/>
      <c r="J259" s="177" t="n"/>
      <c r="K259" s="271" t="str">
        <f>IF(AND(ISNUMBER(I259),ISNUMBER(J259)),I259*J259,"")</f>
        <v/>
      </c>
      <c r="L259" s="240" t="str">
        <f>IF(COUNT(F259,I259)=0,"",N(F259)-N(I259))</f>
        <v/>
      </c>
      <c r="M259" s="241" t="str">
        <f>IF(COUNT(H259,K259)=0,"",N(K259)-N(H259))</f>
        <v/>
      </c>
      <c r="N259" s="240" t="str">
        <f>IF(AND(ISNUMBER(F259),ISNUMBER(G259),F259&gt;0,1-N(Ввод!$J$19)/100&gt;0),G259/(1-N(Ввод!$J$19)/100),IF(AND(ISNUMBER(I259),ISNUMBER(J259),I259&gt;0),J259/(1+N(Ввод!$J$19)/100),""))</f>
        <v/>
      </c>
    </row>
    <row r="260" ht="22" customHeight="1">
      <c r="B260" s="244" t="n"/>
      <c r="C260" s="243" t="n"/>
      <c r="D260" s="244" t="n"/>
      <c r="E260" s="245" t="n"/>
      <c r="F260" s="246" t="n"/>
      <c r="G260" s="183" t="n"/>
      <c r="H260" s="271" t="str">
        <f>IF(AND(ISNUMBER(F260),ISNUMBER(G260)),F260*G260,"")</f>
        <v/>
      </c>
      <c r="I260" s="246" t="n"/>
      <c r="J260" s="183" t="n"/>
      <c r="K260" s="271" t="str">
        <f>IF(AND(ISNUMBER(I260),ISNUMBER(J260)),I260*J260,"")</f>
        <v/>
      </c>
      <c r="L260" s="246" t="str">
        <f>IF(COUNT(F260,I260)=0,"",N(F260)-N(I260))</f>
        <v/>
      </c>
      <c r="M260" s="247" t="str">
        <f>IF(COUNT(H260,K260)=0,"",N(K260)-N(H260))</f>
        <v/>
      </c>
      <c r="N260" s="246" t="str">
        <f>IF(AND(ISNUMBER(F260),ISNUMBER(G260),F260&gt;0,1-N(Ввод!$J$19)/100&gt;0),G260/(1-N(Ввод!$J$19)/100),IF(AND(ISNUMBER(I260),ISNUMBER(J260),I260&gt;0),J260/(1+N(Ввод!$J$19)/100),""))</f>
        <v/>
      </c>
    </row>
    <row r="261" ht="22" customHeight="1">
      <c r="B261" s="238" t="n"/>
      <c r="C261" s="237" t="n"/>
      <c r="D261" s="238" t="n"/>
      <c r="E261" s="239" t="n"/>
      <c r="F261" s="240" t="n"/>
      <c r="G261" s="177" t="n"/>
      <c r="H261" s="271" t="str">
        <f>IF(AND(ISNUMBER(F261),ISNUMBER(G261)),F261*G261,"")</f>
        <v/>
      </c>
      <c r="I261" s="240" t="n"/>
      <c r="J261" s="177" t="n"/>
      <c r="K261" s="271" t="str">
        <f>IF(AND(ISNUMBER(I261),ISNUMBER(J261)),I261*J261,"")</f>
        <v/>
      </c>
      <c r="L261" s="240" t="str">
        <f>IF(COUNT(F261,I261)=0,"",N(F261)-N(I261))</f>
        <v/>
      </c>
      <c r="M261" s="241" t="str">
        <f>IF(COUNT(H261,K261)=0,"",N(K261)-N(H261))</f>
        <v/>
      </c>
      <c r="N261" s="240" t="str">
        <f>IF(AND(ISNUMBER(F261),ISNUMBER(G261),F261&gt;0,1-N(Ввод!$J$19)/100&gt;0),G261/(1-N(Ввод!$J$19)/100),IF(AND(ISNUMBER(I261),ISNUMBER(J261),I261&gt;0),J261/(1+N(Ввод!$J$19)/100),""))</f>
        <v/>
      </c>
    </row>
    <row r="262" ht="22" customHeight="1">
      <c r="B262" s="244" t="n"/>
      <c r="C262" s="243" t="n"/>
      <c r="D262" s="244" t="n"/>
      <c r="E262" s="245" t="n"/>
      <c r="F262" s="246" t="n"/>
      <c r="G262" s="183" t="n"/>
      <c r="H262" s="271" t="str">
        <f>IF(AND(ISNUMBER(F262),ISNUMBER(G262)),F262*G262,"")</f>
        <v/>
      </c>
      <c r="I262" s="246" t="n"/>
      <c r="J262" s="183" t="n"/>
      <c r="K262" s="271" t="str">
        <f>IF(AND(ISNUMBER(I262),ISNUMBER(J262)),I262*J262,"")</f>
        <v/>
      </c>
      <c r="L262" s="246" t="str">
        <f>IF(COUNT(F262,I262)=0,"",N(F262)-N(I262))</f>
        <v/>
      </c>
      <c r="M262" s="247" t="str">
        <f>IF(COUNT(H262,K262)=0,"",N(K262)-N(H262))</f>
        <v/>
      </c>
      <c r="N262" s="246" t="str">
        <f>IF(AND(ISNUMBER(F262),ISNUMBER(G262),F262&gt;0,1-N(Ввод!$J$19)/100&gt;0),G262/(1-N(Ввод!$J$19)/100),IF(AND(ISNUMBER(I262),ISNUMBER(J262),I262&gt;0),J262/(1+N(Ввод!$J$19)/100),""))</f>
        <v/>
      </c>
    </row>
    <row r="263" ht="22" customHeight="1">
      <c r="B263" s="238" t="n"/>
      <c r="C263" s="237" t="n"/>
      <c r="D263" s="238" t="n"/>
      <c r="E263" s="239" t="n"/>
      <c r="F263" s="240" t="n"/>
      <c r="G263" s="177" t="n"/>
      <c r="H263" s="271" t="str">
        <f>IF(AND(ISNUMBER(F263),ISNUMBER(G263)),F263*G263,"")</f>
        <v/>
      </c>
      <c r="I263" s="240" t="n"/>
      <c r="J263" s="177" t="n"/>
      <c r="K263" s="271" t="str">
        <f>IF(AND(ISNUMBER(I263),ISNUMBER(J263)),I263*J263,"")</f>
        <v/>
      </c>
      <c r="L263" s="240" t="str">
        <f>IF(COUNT(F263,I263)=0,"",N(F263)-N(I263))</f>
        <v/>
      </c>
      <c r="M263" s="241" t="str">
        <f>IF(COUNT(H263,K263)=0,"",N(K263)-N(H263))</f>
        <v/>
      </c>
      <c r="N263" s="240" t="str">
        <f>IF(AND(ISNUMBER(F263),ISNUMBER(G263),F263&gt;0,1-N(Ввод!$J$19)/100&gt;0),G263/(1-N(Ввод!$J$19)/100),IF(AND(ISNUMBER(I263),ISNUMBER(J263),I263&gt;0),J263/(1+N(Ввод!$J$19)/100),""))</f>
        <v/>
      </c>
    </row>
    <row r="264" ht="22" customHeight="1">
      <c r="B264" s="244" t="n"/>
      <c r="C264" s="243" t="n"/>
      <c r="D264" s="244" t="n"/>
      <c r="E264" s="245" t="n"/>
      <c r="F264" s="246" t="n"/>
      <c r="G264" s="183" t="n"/>
      <c r="H264" s="271" t="str">
        <f>IF(AND(ISNUMBER(F264),ISNUMBER(G264)),F264*G264,"")</f>
        <v/>
      </c>
      <c r="I264" s="246" t="n"/>
      <c r="J264" s="183" t="n"/>
      <c r="K264" s="271" t="str">
        <f>IF(AND(ISNUMBER(I264),ISNUMBER(J264)),I264*J264,"")</f>
        <v/>
      </c>
      <c r="L264" s="246" t="str">
        <f>IF(COUNT(F264,I264)=0,"",N(F264)-N(I264))</f>
        <v/>
      </c>
      <c r="M264" s="247" t="str">
        <f>IF(COUNT(H264,K264)=0,"",N(K264)-N(H264))</f>
        <v/>
      </c>
      <c r="N264" s="246" t="str">
        <f>IF(AND(ISNUMBER(F264),ISNUMBER(G264),F264&gt;0,1-N(Ввод!$J$19)/100&gt;0),G264/(1-N(Ввод!$J$19)/100),IF(AND(ISNUMBER(I264),ISNUMBER(J264),I264&gt;0),J264/(1+N(Ввод!$J$19)/100),""))</f>
        <v/>
      </c>
    </row>
    <row r="265" ht="22" customHeight="1">
      <c r="B265" s="238" t="n"/>
      <c r="C265" s="237" t="n"/>
      <c r="D265" s="238" t="n"/>
      <c r="E265" s="239" t="n"/>
      <c r="F265" s="240" t="n"/>
      <c r="G265" s="177" t="n"/>
      <c r="H265" s="271" t="str">
        <f>IF(AND(ISNUMBER(F265),ISNUMBER(G265)),F265*G265,"")</f>
        <v/>
      </c>
      <c r="I265" s="240" t="n"/>
      <c r="J265" s="177" t="n"/>
      <c r="K265" s="271" t="str">
        <f>IF(AND(ISNUMBER(I265),ISNUMBER(J265)),I265*J265,"")</f>
        <v/>
      </c>
      <c r="L265" s="240" t="str">
        <f>IF(COUNT(F265,I265)=0,"",N(F265)-N(I265))</f>
        <v/>
      </c>
      <c r="M265" s="241" t="str">
        <f>IF(COUNT(H265,K265)=0,"",N(K265)-N(H265))</f>
        <v/>
      </c>
      <c r="N265" s="240" t="str">
        <f>IF(AND(ISNUMBER(F265),ISNUMBER(G265),F265&gt;0,1-N(Ввод!$J$19)/100&gt;0),G265/(1-N(Ввод!$J$19)/100),IF(AND(ISNUMBER(I265),ISNUMBER(J265),I265&gt;0),J265/(1+N(Ввод!$J$19)/100),""))</f>
        <v/>
      </c>
    </row>
    <row r="266" ht="22" customHeight="1">
      <c r="B266" s="244" t="n"/>
      <c r="C266" s="243" t="n"/>
      <c r="D266" s="244" t="n"/>
      <c r="E266" s="245" t="n"/>
      <c r="F266" s="246" t="n"/>
      <c r="G266" s="183" t="n"/>
      <c r="H266" s="271" t="str">
        <f>IF(AND(ISNUMBER(F266),ISNUMBER(G266)),F266*G266,"")</f>
        <v/>
      </c>
      <c r="I266" s="246" t="n"/>
      <c r="J266" s="183" t="n"/>
      <c r="K266" s="271" t="str">
        <f>IF(AND(ISNUMBER(I266),ISNUMBER(J266)),I266*J266,"")</f>
        <v/>
      </c>
      <c r="L266" s="246" t="str">
        <f>IF(COUNT(F266,I266)=0,"",N(F266)-N(I266))</f>
        <v/>
      </c>
      <c r="M266" s="247" t="str">
        <f>IF(COUNT(H266,K266)=0,"",N(K266)-N(H266))</f>
        <v/>
      </c>
      <c r="N266" s="246" t="str">
        <f>IF(AND(ISNUMBER(F266),ISNUMBER(G266),F266&gt;0,1-N(Ввод!$J$19)/100&gt;0),G266/(1-N(Ввод!$J$19)/100),IF(AND(ISNUMBER(I266),ISNUMBER(J266),I266&gt;0),J266/(1+N(Ввод!$J$19)/100),""))</f>
        <v/>
      </c>
    </row>
    <row r="267" ht="22" customHeight="1">
      <c r="B267" s="238" t="n"/>
      <c r="C267" s="237" t="n"/>
      <c r="D267" s="238" t="n"/>
      <c r="E267" s="239" t="n"/>
      <c r="F267" s="240" t="n"/>
      <c r="G267" s="177" t="n"/>
      <c r="H267" s="271" t="str">
        <f>IF(AND(ISNUMBER(F267),ISNUMBER(G267)),F267*G267,"")</f>
        <v/>
      </c>
      <c r="I267" s="240" t="n"/>
      <c r="J267" s="177" t="n"/>
      <c r="K267" s="271" t="str">
        <f>IF(AND(ISNUMBER(I267),ISNUMBER(J267)),I267*J267,"")</f>
        <v/>
      </c>
      <c r="L267" s="240" t="str">
        <f>IF(COUNT(F267,I267)=0,"",N(F267)-N(I267))</f>
        <v/>
      </c>
      <c r="M267" s="241" t="str">
        <f>IF(COUNT(H267,K267)=0,"",N(K267)-N(H267))</f>
        <v/>
      </c>
      <c r="N267" s="240" t="str">
        <f>IF(AND(ISNUMBER(F267),ISNUMBER(G267),F267&gt;0,1-N(Ввод!$J$19)/100&gt;0),G267/(1-N(Ввод!$J$19)/100),IF(AND(ISNUMBER(I267),ISNUMBER(J267),I267&gt;0),J267/(1+N(Ввод!$J$19)/100),""))</f>
        <v/>
      </c>
    </row>
    <row r="268" ht="22" customHeight="1">
      <c r="B268" s="244" t="n"/>
      <c r="C268" s="243" t="n"/>
      <c r="D268" s="244" t="n"/>
      <c r="E268" s="245" t="n"/>
      <c r="F268" s="246" t="n"/>
      <c r="G268" s="183" t="n"/>
      <c r="H268" s="271" t="str">
        <f>IF(AND(ISNUMBER(F268),ISNUMBER(G268)),F268*G268,"")</f>
        <v/>
      </c>
      <c r="I268" s="246" t="n"/>
      <c r="J268" s="183" t="n"/>
      <c r="K268" s="271" t="str">
        <f>IF(AND(ISNUMBER(I268),ISNUMBER(J268)),I268*J268,"")</f>
        <v/>
      </c>
      <c r="L268" s="246" t="str">
        <f>IF(COUNT(F268,I268)=0,"",N(F268)-N(I268))</f>
        <v/>
      </c>
      <c r="M268" s="247" t="str">
        <f>IF(COUNT(H268,K268)=0,"",N(K268)-N(H268))</f>
        <v/>
      </c>
      <c r="N268" s="246" t="str">
        <f>IF(AND(ISNUMBER(F268),ISNUMBER(G268),F268&gt;0,1-N(Ввод!$J$19)/100&gt;0),G268/(1-N(Ввод!$J$19)/100),IF(AND(ISNUMBER(I268),ISNUMBER(J268),I268&gt;0),J268/(1+N(Ввод!$J$19)/100),""))</f>
        <v/>
      </c>
    </row>
    <row r="269" ht="22" customHeight="1">
      <c r="B269" s="238" t="n"/>
      <c r="C269" s="237" t="n"/>
      <c r="D269" s="238" t="n"/>
      <c r="E269" s="239" t="n"/>
      <c r="F269" s="240" t="n"/>
      <c r="G269" s="177" t="n"/>
      <c r="H269" s="271" t="str">
        <f>IF(AND(ISNUMBER(F269),ISNUMBER(G269)),F269*G269,"")</f>
        <v/>
      </c>
      <c r="I269" s="240" t="n"/>
      <c r="J269" s="177" t="n"/>
      <c r="K269" s="271" t="str">
        <f>IF(AND(ISNUMBER(I269),ISNUMBER(J269)),I269*J269,"")</f>
        <v/>
      </c>
      <c r="L269" s="240" t="str">
        <f>IF(COUNT(F269,I269)=0,"",N(F269)-N(I269))</f>
        <v/>
      </c>
      <c r="M269" s="241" t="str">
        <f>IF(COUNT(H269,K269)=0,"",N(K269)-N(H269))</f>
        <v/>
      </c>
      <c r="N269" s="240" t="str">
        <f>IF(AND(ISNUMBER(F269),ISNUMBER(G269),F269&gt;0,1-N(Ввод!$J$19)/100&gt;0),G269/(1-N(Ввод!$J$19)/100),IF(AND(ISNUMBER(I269),ISNUMBER(J269),I269&gt;0),J269/(1+N(Ввод!$J$19)/100),""))</f>
        <v/>
      </c>
    </row>
    <row r="270" ht="22" customHeight="1">
      <c r="B270" s="244" t="n"/>
      <c r="C270" s="243" t="n"/>
      <c r="D270" s="244" t="n"/>
      <c r="E270" s="245" t="n"/>
      <c r="F270" s="246" t="n"/>
      <c r="G270" s="183" t="n"/>
      <c r="H270" s="271" t="str">
        <f>IF(AND(ISNUMBER(F270),ISNUMBER(G270)),F270*G270,"")</f>
        <v/>
      </c>
      <c r="I270" s="246" t="n"/>
      <c r="J270" s="183" t="n"/>
      <c r="K270" s="271" t="str">
        <f>IF(AND(ISNUMBER(I270),ISNUMBER(J270)),I270*J270,"")</f>
        <v/>
      </c>
      <c r="L270" s="246" t="str">
        <f>IF(COUNT(F270,I270)=0,"",N(F270)-N(I270))</f>
        <v/>
      </c>
      <c r="M270" s="247" t="str">
        <f>IF(COUNT(H270,K270)=0,"",N(K270)-N(H270))</f>
        <v/>
      </c>
      <c r="N270" s="246" t="str">
        <f>IF(AND(ISNUMBER(F270),ISNUMBER(G270),F270&gt;0,1-N(Ввод!$J$19)/100&gt;0),G270/(1-N(Ввод!$J$19)/100),IF(AND(ISNUMBER(I270),ISNUMBER(J270),I270&gt;0),J270/(1+N(Ввод!$J$19)/100),""))</f>
        <v/>
      </c>
    </row>
    <row r="271" ht="22" customHeight="1">
      <c r="B271" s="238" t="n"/>
      <c r="C271" s="237" t="n"/>
      <c r="D271" s="238" t="n"/>
      <c r="E271" s="239" t="n"/>
      <c r="F271" s="240" t="n"/>
      <c r="G271" s="177" t="n"/>
      <c r="H271" s="271" t="str">
        <f>IF(AND(ISNUMBER(F271),ISNUMBER(G271)),F271*G271,"")</f>
        <v/>
      </c>
      <c r="I271" s="240" t="n"/>
      <c r="J271" s="177" t="n"/>
      <c r="K271" s="271" t="str">
        <f>IF(AND(ISNUMBER(I271),ISNUMBER(J271)),I271*J271,"")</f>
        <v/>
      </c>
      <c r="L271" s="240" t="str">
        <f>IF(COUNT(F271,I271)=0,"",N(F271)-N(I271))</f>
        <v/>
      </c>
      <c r="M271" s="241" t="str">
        <f>IF(COUNT(H271,K271)=0,"",N(K271)-N(H271))</f>
        <v/>
      </c>
      <c r="N271" s="240" t="str">
        <f>IF(AND(ISNUMBER(F271),ISNUMBER(G271),F271&gt;0,1-N(Ввод!$J$19)/100&gt;0),G271/(1-N(Ввод!$J$19)/100),IF(AND(ISNUMBER(I271),ISNUMBER(J271),I271&gt;0),J271/(1+N(Ввод!$J$19)/100),""))</f>
        <v/>
      </c>
    </row>
    <row r="272" ht="22" customHeight="1">
      <c r="B272" s="244" t="n"/>
      <c r="C272" s="243" t="n"/>
      <c r="D272" s="244" t="n"/>
      <c r="E272" s="245" t="n"/>
      <c r="F272" s="246" t="n"/>
      <c r="G272" s="183" t="n"/>
      <c r="H272" s="271" t="str">
        <f>IF(AND(ISNUMBER(F272),ISNUMBER(G272)),F272*G272,"")</f>
        <v/>
      </c>
      <c r="I272" s="246" t="n"/>
      <c r="J272" s="183" t="n"/>
      <c r="K272" s="271" t="str">
        <f>IF(AND(ISNUMBER(I272),ISNUMBER(J272)),I272*J272,"")</f>
        <v/>
      </c>
      <c r="L272" s="246" t="str">
        <f>IF(COUNT(F272,I272)=0,"",N(F272)-N(I272))</f>
        <v/>
      </c>
      <c r="M272" s="247" t="str">
        <f>IF(COUNT(H272,K272)=0,"",N(K272)-N(H272))</f>
        <v/>
      </c>
      <c r="N272" s="246" t="str">
        <f>IF(AND(ISNUMBER(F272),ISNUMBER(G272),F272&gt;0,1-N(Ввод!$J$19)/100&gt;0),G272/(1-N(Ввод!$J$19)/100),IF(AND(ISNUMBER(I272),ISNUMBER(J272),I272&gt;0),J272/(1+N(Ввод!$J$19)/100),""))</f>
        <v/>
      </c>
    </row>
    <row r="273" ht="22" customHeight="1">
      <c r="B273" s="238" t="n"/>
      <c r="C273" s="237" t="n"/>
      <c r="D273" s="238" t="n"/>
      <c r="E273" s="239" t="n"/>
      <c r="F273" s="240" t="n"/>
      <c r="G273" s="177" t="n"/>
      <c r="H273" s="271" t="str">
        <f>IF(AND(ISNUMBER(F273),ISNUMBER(G273)),F273*G273,"")</f>
        <v/>
      </c>
      <c r="I273" s="240" t="n"/>
      <c r="J273" s="177" t="n"/>
      <c r="K273" s="271" t="str">
        <f>IF(AND(ISNUMBER(I273),ISNUMBER(J273)),I273*J273,"")</f>
        <v/>
      </c>
      <c r="L273" s="240" t="str">
        <f>IF(COUNT(F273,I273)=0,"",N(F273)-N(I273))</f>
        <v/>
      </c>
      <c r="M273" s="241" t="str">
        <f>IF(COUNT(H273,K273)=0,"",N(K273)-N(H273))</f>
        <v/>
      </c>
      <c r="N273" s="240" t="str">
        <f>IF(AND(ISNUMBER(F273),ISNUMBER(G273),F273&gt;0,1-N(Ввод!$J$19)/100&gt;0),G273/(1-N(Ввод!$J$19)/100),IF(AND(ISNUMBER(I273),ISNUMBER(J273),I273&gt;0),J273/(1+N(Ввод!$J$19)/100),""))</f>
        <v/>
      </c>
    </row>
    <row r="274" ht="22" customHeight="1">
      <c r="B274" s="244" t="n"/>
      <c r="C274" s="243" t="n"/>
      <c r="D274" s="244" t="n"/>
      <c r="E274" s="245" t="n"/>
      <c r="F274" s="246" t="n"/>
      <c r="G274" s="183" t="n"/>
      <c r="H274" s="271" t="str">
        <f>IF(AND(ISNUMBER(F274),ISNUMBER(G274)),F274*G274,"")</f>
        <v/>
      </c>
      <c r="I274" s="246" t="n"/>
      <c r="J274" s="183" t="n"/>
      <c r="K274" s="271" t="str">
        <f>IF(AND(ISNUMBER(I274),ISNUMBER(J274)),I274*J274,"")</f>
        <v/>
      </c>
      <c r="L274" s="246" t="str">
        <f>IF(COUNT(F274,I274)=0,"",N(F274)-N(I274))</f>
        <v/>
      </c>
      <c r="M274" s="247" t="str">
        <f>IF(COUNT(H274,K274)=0,"",N(K274)-N(H274))</f>
        <v/>
      </c>
      <c r="N274" s="246" t="str">
        <f>IF(AND(ISNUMBER(F274),ISNUMBER(G274),F274&gt;0,1-N(Ввод!$J$19)/100&gt;0),G274/(1-N(Ввод!$J$19)/100),IF(AND(ISNUMBER(I274),ISNUMBER(J274),I274&gt;0),J274/(1+N(Ввод!$J$19)/100),""))</f>
        <v/>
      </c>
    </row>
    <row r="275" ht="22" customHeight="1">
      <c r="B275" s="238" t="n"/>
      <c r="C275" s="237" t="n"/>
      <c r="D275" s="238" t="n"/>
      <c r="E275" s="239" t="n"/>
      <c r="F275" s="240" t="n"/>
      <c r="G275" s="177" t="n"/>
      <c r="H275" s="271" t="str">
        <f>IF(AND(ISNUMBER(F275),ISNUMBER(G275)),F275*G275,"")</f>
        <v/>
      </c>
      <c r="I275" s="240" t="n"/>
      <c r="J275" s="177" t="n"/>
      <c r="K275" s="271" t="str">
        <f>IF(AND(ISNUMBER(I275),ISNUMBER(J275)),I275*J275,"")</f>
        <v/>
      </c>
      <c r="L275" s="240" t="str">
        <f>IF(COUNT(F275,I275)=0,"",N(F275)-N(I275))</f>
        <v/>
      </c>
      <c r="M275" s="241" t="str">
        <f>IF(COUNT(H275,K275)=0,"",N(K275)-N(H275))</f>
        <v/>
      </c>
      <c r="N275" s="240" t="str">
        <f>IF(AND(ISNUMBER(F275),ISNUMBER(G275),F275&gt;0,1-N(Ввод!$J$19)/100&gt;0),G275/(1-N(Ввод!$J$19)/100),IF(AND(ISNUMBER(I275),ISNUMBER(J275),I275&gt;0),J275/(1+N(Ввод!$J$19)/100),""))</f>
        <v/>
      </c>
    </row>
    <row r="276" ht="22" customHeight="1">
      <c r="B276" s="244" t="n"/>
      <c r="C276" s="243" t="n"/>
      <c r="D276" s="244" t="n"/>
      <c r="E276" s="245" t="n"/>
      <c r="F276" s="246" t="n"/>
      <c r="G276" s="183" t="n"/>
      <c r="H276" s="271" t="str">
        <f>IF(AND(ISNUMBER(F276),ISNUMBER(G276)),F276*G276,"")</f>
        <v/>
      </c>
      <c r="I276" s="246" t="n"/>
      <c r="J276" s="183" t="n"/>
      <c r="K276" s="271" t="str">
        <f>IF(AND(ISNUMBER(I276),ISNUMBER(J276)),I276*J276,"")</f>
        <v/>
      </c>
      <c r="L276" s="246" t="str">
        <f>IF(COUNT(F276,I276)=0,"",N(F276)-N(I276))</f>
        <v/>
      </c>
      <c r="M276" s="247" t="str">
        <f>IF(COUNT(H276,K276)=0,"",N(K276)-N(H276))</f>
        <v/>
      </c>
      <c r="N276" s="246" t="str">
        <f>IF(AND(ISNUMBER(F276),ISNUMBER(G276),F276&gt;0,1-N(Ввод!$J$19)/100&gt;0),G276/(1-N(Ввод!$J$19)/100),IF(AND(ISNUMBER(I276),ISNUMBER(J276),I276&gt;0),J276/(1+N(Ввод!$J$19)/100),""))</f>
        <v/>
      </c>
    </row>
    <row r="277" ht="22" customHeight="1">
      <c r="B277" s="238" t="n"/>
      <c r="C277" s="237" t="n"/>
      <c r="D277" s="238" t="n"/>
      <c r="E277" s="239" t="n"/>
      <c r="F277" s="240" t="n"/>
      <c r="G277" s="177" t="n"/>
      <c r="H277" s="271" t="str">
        <f>IF(AND(ISNUMBER(F277),ISNUMBER(G277)),F277*G277,"")</f>
        <v/>
      </c>
      <c r="I277" s="240" t="n"/>
      <c r="J277" s="177" t="n"/>
      <c r="K277" s="271" t="str">
        <f>IF(AND(ISNUMBER(I277),ISNUMBER(J277)),I277*J277,"")</f>
        <v/>
      </c>
      <c r="L277" s="240" t="str">
        <f>IF(COUNT(F277,I277)=0,"",N(F277)-N(I277))</f>
        <v/>
      </c>
      <c r="M277" s="241" t="str">
        <f>IF(COUNT(H277,K277)=0,"",N(K277)-N(H277))</f>
        <v/>
      </c>
      <c r="N277" s="240" t="str">
        <f>IF(AND(ISNUMBER(F277),ISNUMBER(G277),F277&gt;0,1-N(Ввод!$J$19)/100&gt;0),G277/(1-N(Ввод!$J$19)/100),IF(AND(ISNUMBER(I277),ISNUMBER(J277),I277&gt;0),J277/(1+N(Ввод!$J$19)/100),""))</f>
        <v/>
      </c>
    </row>
    <row r="278" ht="22" customHeight="1">
      <c r="B278" s="244" t="n"/>
      <c r="C278" s="243" t="n"/>
      <c r="D278" s="244" t="n"/>
      <c r="E278" s="245" t="n"/>
      <c r="F278" s="246" t="n"/>
      <c r="G278" s="183" t="n"/>
      <c r="H278" s="271" t="str">
        <f>IF(AND(ISNUMBER(F278),ISNUMBER(G278)),F278*G278,"")</f>
        <v/>
      </c>
      <c r="I278" s="246" t="n"/>
      <c r="J278" s="183" t="n"/>
      <c r="K278" s="271" t="str">
        <f>IF(AND(ISNUMBER(I278),ISNUMBER(J278)),I278*J278,"")</f>
        <v/>
      </c>
      <c r="L278" s="246" t="str">
        <f>IF(COUNT(F278,I278)=0,"",N(F278)-N(I278))</f>
        <v/>
      </c>
      <c r="M278" s="247" t="str">
        <f>IF(COUNT(H278,K278)=0,"",N(K278)-N(H278))</f>
        <v/>
      </c>
      <c r="N278" s="246" t="str">
        <f>IF(AND(ISNUMBER(F278),ISNUMBER(G278),F278&gt;0,1-N(Ввод!$J$19)/100&gt;0),G278/(1-N(Ввод!$J$19)/100),IF(AND(ISNUMBER(I278),ISNUMBER(J278),I278&gt;0),J278/(1+N(Ввод!$J$19)/100),""))</f>
        <v/>
      </c>
    </row>
    <row r="279" ht="22" customHeight="1">
      <c r="B279" s="238" t="n"/>
      <c r="C279" s="237" t="n"/>
      <c r="D279" s="238" t="n"/>
      <c r="E279" s="239" t="n"/>
      <c r="F279" s="240" t="n"/>
      <c r="G279" s="177" t="n"/>
      <c r="H279" s="271" t="str">
        <f>IF(AND(ISNUMBER(F279),ISNUMBER(G279)),F279*G279,"")</f>
        <v/>
      </c>
      <c r="I279" s="240" t="n"/>
      <c r="J279" s="177" t="n"/>
      <c r="K279" s="271" t="str">
        <f>IF(AND(ISNUMBER(I279),ISNUMBER(J279)),I279*J279,"")</f>
        <v/>
      </c>
      <c r="L279" s="240" t="str">
        <f>IF(COUNT(F279,I279)=0,"",N(F279)-N(I279))</f>
        <v/>
      </c>
      <c r="M279" s="241" t="str">
        <f>IF(COUNT(H279,K279)=0,"",N(K279)-N(H279))</f>
        <v/>
      </c>
      <c r="N279" s="240" t="str">
        <f>IF(AND(ISNUMBER(F279),ISNUMBER(G279),F279&gt;0,1-N(Ввод!$J$19)/100&gt;0),G279/(1-N(Ввод!$J$19)/100),IF(AND(ISNUMBER(I279),ISNUMBER(J279),I279&gt;0),J279/(1+N(Ввод!$J$19)/100),""))</f>
        <v/>
      </c>
    </row>
    <row r="280" ht="22" customHeight="1">
      <c r="B280" s="244" t="n"/>
      <c r="C280" s="243" t="n"/>
      <c r="D280" s="244" t="n"/>
      <c r="E280" s="245" t="n"/>
      <c r="F280" s="246" t="n"/>
      <c r="G280" s="183" t="n"/>
      <c r="H280" s="271" t="str">
        <f>IF(AND(ISNUMBER(F280),ISNUMBER(G280)),F280*G280,"")</f>
        <v/>
      </c>
      <c r="I280" s="246" t="n"/>
      <c r="J280" s="183" t="n"/>
      <c r="K280" s="271" t="str">
        <f>IF(AND(ISNUMBER(I280),ISNUMBER(J280)),I280*J280,"")</f>
        <v/>
      </c>
      <c r="L280" s="246" t="str">
        <f>IF(COUNT(F280,I280)=0,"",N(F280)-N(I280))</f>
        <v/>
      </c>
      <c r="M280" s="247" t="str">
        <f>IF(COUNT(H280,K280)=0,"",N(K280)-N(H280))</f>
        <v/>
      </c>
      <c r="N280" s="246" t="str">
        <f>IF(AND(ISNUMBER(F280),ISNUMBER(G280),F280&gt;0,1-N(Ввод!$J$19)/100&gt;0),G280/(1-N(Ввод!$J$19)/100),IF(AND(ISNUMBER(I280),ISNUMBER(J280),I280&gt;0),J280/(1+N(Ввод!$J$19)/100),""))</f>
        <v/>
      </c>
    </row>
    <row r="281" ht="22" customHeight="1">
      <c r="B281" s="238" t="n"/>
      <c r="C281" s="237" t="n"/>
      <c r="D281" s="238" t="n"/>
      <c r="E281" s="239" t="n"/>
      <c r="F281" s="240" t="n"/>
      <c r="G281" s="177" t="n"/>
      <c r="H281" s="271" t="str">
        <f>IF(AND(ISNUMBER(F281),ISNUMBER(G281)),F281*G281,"")</f>
        <v/>
      </c>
      <c r="I281" s="240" t="n"/>
      <c r="J281" s="177" t="n"/>
      <c r="K281" s="271" t="str">
        <f>IF(AND(ISNUMBER(I281),ISNUMBER(J281)),I281*J281,"")</f>
        <v/>
      </c>
      <c r="L281" s="240" t="str">
        <f>IF(COUNT(F281,I281)=0,"",N(F281)-N(I281))</f>
        <v/>
      </c>
      <c r="M281" s="241" t="str">
        <f>IF(COUNT(H281,K281)=0,"",N(K281)-N(H281))</f>
        <v/>
      </c>
      <c r="N281" s="240" t="str">
        <f>IF(AND(ISNUMBER(F281),ISNUMBER(G281),F281&gt;0,1-N(Ввод!$J$19)/100&gt;0),G281/(1-N(Ввод!$J$19)/100),IF(AND(ISNUMBER(I281),ISNUMBER(J281),I281&gt;0),J281/(1+N(Ввод!$J$19)/100),""))</f>
        <v/>
      </c>
    </row>
    <row r="282" ht="22" customHeight="1">
      <c r="B282" s="244" t="n"/>
      <c r="C282" s="243" t="n"/>
      <c r="D282" s="244" t="n"/>
      <c r="E282" s="245" t="n"/>
      <c r="F282" s="246" t="n"/>
      <c r="G282" s="183" t="n"/>
      <c r="H282" s="271" t="str">
        <f>IF(AND(ISNUMBER(F282),ISNUMBER(G282)),F282*G282,"")</f>
        <v/>
      </c>
      <c r="I282" s="246" t="n"/>
      <c r="J282" s="183" t="n"/>
      <c r="K282" s="271" t="str">
        <f>IF(AND(ISNUMBER(I282),ISNUMBER(J282)),I282*J282,"")</f>
        <v/>
      </c>
      <c r="L282" s="246" t="str">
        <f>IF(COUNT(F282,I282)=0,"",N(F282)-N(I282))</f>
        <v/>
      </c>
      <c r="M282" s="247" t="str">
        <f>IF(COUNT(H282,K282)=0,"",N(K282)-N(H282))</f>
        <v/>
      </c>
      <c r="N282" s="246" t="str">
        <f>IF(AND(ISNUMBER(F282),ISNUMBER(G282),F282&gt;0,1-N(Ввод!$J$19)/100&gt;0),G282/(1-N(Ввод!$J$19)/100),IF(AND(ISNUMBER(I282),ISNUMBER(J282),I282&gt;0),J282/(1+N(Ввод!$J$19)/100),""))</f>
        <v/>
      </c>
    </row>
    <row r="283" ht="22" customHeight="1">
      <c r="B283" s="238" t="n"/>
      <c r="C283" s="237" t="n"/>
      <c r="D283" s="238" t="n"/>
      <c r="E283" s="239" t="n"/>
      <c r="F283" s="240" t="n"/>
      <c r="G283" s="177" t="n"/>
      <c r="H283" s="271" t="str">
        <f>IF(AND(ISNUMBER(F283),ISNUMBER(G283)),F283*G283,"")</f>
        <v/>
      </c>
      <c r="I283" s="240" t="n"/>
      <c r="J283" s="177" t="n"/>
      <c r="K283" s="271" t="str">
        <f>IF(AND(ISNUMBER(I283),ISNUMBER(J283)),I283*J283,"")</f>
        <v/>
      </c>
      <c r="L283" s="240" t="str">
        <f>IF(COUNT(F283,I283)=0,"",N(F283)-N(I283))</f>
        <v/>
      </c>
      <c r="M283" s="241" t="str">
        <f>IF(COUNT(H283,K283)=0,"",N(K283)-N(H283))</f>
        <v/>
      </c>
      <c r="N283" s="240" t="str">
        <f>IF(AND(ISNUMBER(F283),ISNUMBER(G283),F283&gt;0,1-N(Ввод!$J$19)/100&gt;0),G283/(1-N(Ввод!$J$19)/100),IF(AND(ISNUMBER(I283),ISNUMBER(J283),I283&gt;0),J283/(1+N(Ввод!$J$19)/100),""))</f>
        <v/>
      </c>
    </row>
    <row r="284" ht="22" customHeight="1">
      <c r="B284" s="244" t="n"/>
      <c r="C284" s="243" t="n"/>
      <c r="D284" s="244" t="n"/>
      <c r="E284" s="245" t="n"/>
      <c r="F284" s="246" t="n"/>
      <c r="G284" s="183" t="n"/>
      <c r="H284" s="271" t="str">
        <f>IF(AND(ISNUMBER(F284),ISNUMBER(G284)),F284*G284,"")</f>
        <v/>
      </c>
      <c r="I284" s="246" t="n"/>
      <c r="J284" s="183" t="n"/>
      <c r="K284" s="271" t="str">
        <f>IF(AND(ISNUMBER(I284),ISNUMBER(J284)),I284*J284,"")</f>
        <v/>
      </c>
      <c r="L284" s="246" t="str">
        <f>IF(COUNT(F284,I284)=0,"",N(F284)-N(I284))</f>
        <v/>
      </c>
      <c r="M284" s="247" t="str">
        <f>IF(COUNT(H284,K284)=0,"",N(K284)-N(H284))</f>
        <v/>
      </c>
      <c r="N284" s="246" t="str">
        <f>IF(AND(ISNUMBER(F284),ISNUMBER(G284),F284&gt;0,1-N(Ввод!$J$19)/100&gt;0),G284/(1-N(Ввод!$J$19)/100),IF(AND(ISNUMBER(I284),ISNUMBER(J284),I284&gt;0),J284/(1+N(Ввод!$J$19)/100),""))</f>
        <v/>
      </c>
    </row>
    <row r="285" ht="22" customHeight="1">
      <c r="B285" s="238" t="n"/>
      <c r="C285" s="237" t="n"/>
      <c r="D285" s="238" t="n"/>
      <c r="E285" s="239" t="n"/>
      <c r="F285" s="240" t="n"/>
      <c r="G285" s="177" t="n"/>
      <c r="H285" s="271" t="str">
        <f>IF(AND(ISNUMBER(F285),ISNUMBER(G285)),F285*G285,"")</f>
        <v/>
      </c>
      <c r="I285" s="240" t="n"/>
      <c r="J285" s="177" t="n"/>
      <c r="K285" s="271" t="str">
        <f>IF(AND(ISNUMBER(I285),ISNUMBER(J285)),I285*J285,"")</f>
        <v/>
      </c>
      <c r="L285" s="240" t="str">
        <f>IF(COUNT(F285,I285)=0,"",N(F285)-N(I285))</f>
        <v/>
      </c>
      <c r="M285" s="241" t="str">
        <f>IF(COUNT(H285,K285)=0,"",N(K285)-N(H285))</f>
        <v/>
      </c>
      <c r="N285" s="240" t="str">
        <f>IF(AND(ISNUMBER(F285),ISNUMBER(G285),F285&gt;0,1-N(Ввод!$J$19)/100&gt;0),G285/(1-N(Ввод!$J$19)/100),IF(AND(ISNUMBER(I285),ISNUMBER(J285),I285&gt;0),J285/(1+N(Ввод!$J$19)/100),""))</f>
        <v/>
      </c>
    </row>
    <row r="286" ht="22" customHeight="1">
      <c r="B286" s="244" t="n"/>
      <c r="C286" s="243" t="n"/>
      <c r="D286" s="244" t="n"/>
      <c r="E286" s="245" t="n"/>
      <c r="F286" s="246" t="n"/>
      <c r="G286" s="183" t="n"/>
      <c r="H286" s="271" t="str">
        <f>IF(AND(ISNUMBER(F286),ISNUMBER(G286)),F286*G286,"")</f>
        <v/>
      </c>
      <c r="I286" s="246" t="n"/>
      <c r="J286" s="183" t="n"/>
      <c r="K286" s="271" t="str">
        <f>IF(AND(ISNUMBER(I286),ISNUMBER(J286)),I286*J286,"")</f>
        <v/>
      </c>
      <c r="L286" s="246" t="str">
        <f>IF(COUNT(F286,I286)=0,"",N(F286)-N(I286))</f>
        <v/>
      </c>
      <c r="M286" s="247" t="str">
        <f>IF(COUNT(H286,K286)=0,"",N(K286)-N(H286))</f>
        <v/>
      </c>
      <c r="N286" s="246" t="str">
        <f>IF(AND(ISNUMBER(F286),ISNUMBER(G286),F286&gt;0,1-N(Ввод!$J$19)/100&gt;0),G286/(1-N(Ввод!$J$19)/100),IF(AND(ISNUMBER(I286),ISNUMBER(J286),I286&gt;0),J286/(1+N(Ввод!$J$19)/100),""))</f>
        <v/>
      </c>
    </row>
    <row r="287" ht="22" customHeight="1">
      <c r="B287" s="238" t="n"/>
      <c r="C287" s="237" t="n"/>
      <c r="D287" s="238" t="n"/>
      <c r="E287" s="239" t="n"/>
      <c r="F287" s="240" t="n"/>
      <c r="G287" s="177" t="n"/>
      <c r="H287" s="271" t="str">
        <f>IF(AND(ISNUMBER(F287),ISNUMBER(G287)),F287*G287,"")</f>
        <v/>
      </c>
      <c r="I287" s="240" t="n"/>
      <c r="J287" s="177" t="n"/>
      <c r="K287" s="271" t="str">
        <f>IF(AND(ISNUMBER(I287),ISNUMBER(J287)),I287*J287,"")</f>
        <v/>
      </c>
      <c r="L287" s="240" t="str">
        <f>IF(COUNT(F287,I287)=0,"",N(F287)-N(I287))</f>
        <v/>
      </c>
      <c r="M287" s="241" t="str">
        <f>IF(COUNT(H287,K287)=0,"",N(K287)-N(H287))</f>
        <v/>
      </c>
      <c r="N287" s="240" t="str">
        <f>IF(AND(ISNUMBER(F287),ISNUMBER(G287),F287&gt;0,1-N(Ввод!$J$19)/100&gt;0),G287/(1-N(Ввод!$J$19)/100),IF(AND(ISNUMBER(I287),ISNUMBER(J287),I287&gt;0),J287/(1+N(Ввод!$J$19)/100),""))</f>
        <v/>
      </c>
    </row>
    <row r="288" ht="22" customHeight="1">
      <c r="B288" s="244" t="n"/>
      <c r="C288" s="243" t="n"/>
      <c r="D288" s="244" t="n"/>
      <c r="E288" s="245" t="n"/>
      <c r="F288" s="246" t="n"/>
      <c r="G288" s="183" t="n"/>
      <c r="H288" s="271" t="str">
        <f>IF(AND(ISNUMBER(F288),ISNUMBER(G288)),F288*G288,"")</f>
        <v/>
      </c>
      <c r="I288" s="246" t="n"/>
      <c r="J288" s="183" t="n"/>
      <c r="K288" s="271" t="str">
        <f>IF(AND(ISNUMBER(I288),ISNUMBER(J288)),I288*J288,"")</f>
        <v/>
      </c>
      <c r="L288" s="246" t="str">
        <f>IF(COUNT(F288,I288)=0,"",N(F288)-N(I288))</f>
        <v/>
      </c>
      <c r="M288" s="247" t="str">
        <f>IF(COUNT(H288,K288)=0,"",N(K288)-N(H288))</f>
        <v/>
      </c>
      <c r="N288" s="246" t="str">
        <f>IF(AND(ISNUMBER(F288),ISNUMBER(G288),F288&gt;0,1-N(Ввод!$J$19)/100&gt;0),G288/(1-N(Ввод!$J$19)/100),IF(AND(ISNUMBER(I288),ISNUMBER(J288),I288&gt;0),J288/(1+N(Ввод!$J$19)/100),""))</f>
        <v/>
      </c>
    </row>
    <row r="289" ht="22" customHeight="1">
      <c r="B289" s="238" t="n"/>
      <c r="C289" s="237" t="n"/>
      <c r="D289" s="238" t="n"/>
      <c r="E289" s="239" t="n"/>
      <c r="F289" s="240" t="n"/>
      <c r="G289" s="177" t="n"/>
      <c r="H289" s="271" t="str">
        <f>IF(AND(ISNUMBER(F289),ISNUMBER(G289)),F289*G289,"")</f>
        <v/>
      </c>
      <c r="I289" s="240" t="n"/>
      <c r="J289" s="177" t="n"/>
      <c r="K289" s="271" t="str">
        <f>IF(AND(ISNUMBER(I289),ISNUMBER(J289)),I289*J289,"")</f>
        <v/>
      </c>
      <c r="L289" s="240" t="str">
        <f>IF(COUNT(F289,I289)=0,"",N(F289)-N(I289))</f>
        <v/>
      </c>
      <c r="M289" s="241" t="str">
        <f>IF(COUNT(H289,K289)=0,"",N(K289)-N(H289))</f>
        <v/>
      </c>
      <c r="N289" s="240" t="str">
        <f>IF(AND(ISNUMBER(F289),ISNUMBER(G289),F289&gt;0,1-N(Ввод!$J$19)/100&gt;0),G289/(1-N(Ввод!$J$19)/100),IF(AND(ISNUMBER(I289),ISNUMBER(J289),I289&gt;0),J289/(1+N(Ввод!$J$19)/100),""))</f>
        <v/>
      </c>
    </row>
    <row r="290" ht="22" customHeight="1">
      <c r="B290" s="244" t="n"/>
      <c r="C290" s="243" t="n"/>
      <c r="D290" s="244" t="n"/>
      <c r="E290" s="245" t="n"/>
      <c r="F290" s="246" t="n"/>
      <c r="G290" s="183" t="n"/>
      <c r="H290" s="271" t="str">
        <f>IF(AND(ISNUMBER(F290),ISNUMBER(G290)),F290*G290,"")</f>
        <v/>
      </c>
      <c r="I290" s="246" t="n"/>
      <c r="J290" s="183" t="n"/>
      <c r="K290" s="271" t="str">
        <f>IF(AND(ISNUMBER(I290),ISNUMBER(J290)),I290*J290,"")</f>
        <v/>
      </c>
      <c r="L290" s="246" t="str">
        <f>IF(COUNT(F290,I290)=0,"",N(F290)-N(I290))</f>
        <v/>
      </c>
      <c r="M290" s="247" t="str">
        <f>IF(COUNT(H290,K290)=0,"",N(K290)-N(H290))</f>
        <v/>
      </c>
      <c r="N290" s="246" t="str">
        <f>IF(AND(ISNUMBER(F290),ISNUMBER(G290),F290&gt;0,1-N(Ввод!$J$19)/100&gt;0),G290/(1-N(Ввод!$J$19)/100),IF(AND(ISNUMBER(I290),ISNUMBER(J290),I290&gt;0),J290/(1+N(Ввод!$J$19)/100),""))</f>
        <v/>
      </c>
    </row>
    <row r="291" ht="22" customHeight="1">
      <c r="B291" s="238" t="n"/>
      <c r="C291" s="237" t="n"/>
      <c r="D291" s="238" t="n"/>
      <c r="E291" s="239" t="n"/>
      <c r="F291" s="240" t="n"/>
      <c r="G291" s="177" t="n"/>
      <c r="H291" s="271" t="str">
        <f>IF(AND(ISNUMBER(F291),ISNUMBER(G291)),F291*G291,"")</f>
        <v/>
      </c>
      <c r="I291" s="240" t="n"/>
      <c r="J291" s="177" t="n"/>
      <c r="K291" s="271" t="str">
        <f>IF(AND(ISNUMBER(I291),ISNUMBER(J291)),I291*J291,"")</f>
        <v/>
      </c>
      <c r="L291" s="240" t="str">
        <f>IF(COUNT(F291,I291)=0,"",N(F291)-N(I291))</f>
        <v/>
      </c>
      <c r="M291" s="241" t="str">
        <f>IF(COUNT(H291,K291)=0,"",N(K291)-N(H291))</f>
        <v/>
      </c>
      <c r="N291" s="240" t="str">
        <f>IF(AND(ISNUMBER(F291),ISNUMBER(G291),F291&gt;0,1-N(Ввод!$J$19)/100&gt;0),G291/(1-N(Ввод!$J$19)/100),IF(AND(ISNUMBER(I291),ISNUMBER(J291),I291&gt;0),J291/(1+N(Ввод!$J$19)/100),""))</f>
        <v/>
      </c>
    </row>
    <row r="292" ht="22" customHeight="1">
      <c r="B292" s="244" t="n"/>
      <c r="C292" s="243" t="n"/>
      <c r="D292" s="244" t="n"/>
      <c r="E292" s="245" t="n"/>
      <c r="F292" s="246" t="n"/>
      <c r="G292" s="183" t="n"/>
      <c r="H292" s="271" t="str">
        <f>IF(AND(ISNUMBER(F292),ISNUMBER(G292)),F292*G292,"")</f>
        <v/>
      </c>
      <c r="I292" s="246" t="n"/>
      <c r="J292" s="183" t="n"/>
      <c r="K292" s="271" t="str">
        <f>IF(AND(ISNUMBER(I292),ISNUMBER(J292)),I292*J292,"")</f>
        <v/>
      </c>
      <c r="L292" s="246" t="str">
        <f>IF(COUNT(F292,I292)=0,"",N(F292)-N(I292))</f>
        <v/>
      </c>
      <c r="M292" s="247" t="str">
        <f>IF(COUNT(H292,K292)=0,"",N(K292)-N(H292))</f>
        <v/>
      </c>
      <c r="N292" s="246" t="str">
        <f>IF(AND(ISNUMBER(F292),ISNUMBER(G292),F292&gt;0,1-N(Ввод!$J$19)/100&gt;0),G292/(1-N(Ввод!$J$19)/100),IF(AND(ISNUMBER(I292),ISNUMBER(J292),I292&gt;0),J292/(1+N(Ввод!$J$19)/100),""))</f>
        <v/>
      </c>
    </row>
    <row r="293" ht="22" customHeight="1">
      <c r="B293" s="238" t="n"/>
      <c r="C293" s="237" t="n"/>
      <c r="D293" s="238" t="n"/>
      <c r="E293" s="239" t="n"/>
      <c r="F293" s="240" t="n"/>
      <c r="G293" s="177" t="n"/>
      <c r="H293" s="271" t="str">
        <f>IF(AND(ISNUMBER(F293),ISNUMBER(G293)),F293*G293,"")</f>
        <v/>
      </c>
      <c r="I293" s="240" t="n"/>
      <c r="J293" s="177" t="n"/>
      <c r="K293" s="271" t="str">
        <f>IF(AND(ISNUMBER(I293),ISNUMBER(J293)),I293*J293,"")</f>
        <v/>
      </c>
      <c r="L293" s="240" t="str">
        <f>IF(COUNT(F293,I293)=0,"",N(F293)-N(I293))</f>
        <v/>
      </c>
      <c r="M293" s="241" t="str">
        <f>IF(COUNT(H293,K293)=0,"",N(K293)-N(H293))</f>
        <v/>
      </c>
      <c r="N293" s="240" t="str">
        <f>IF(AND(ISNUMBER(F293),ISNUMBER(G293),F293&gt;0,1-N(Ввод!$J$19)/100&gt;0),G293/(1-N(Ввод!$J$19)/100),IF(AND(ISNUMBER(I293),ISNUMBER(J293),I293&gt;0),J293/(1+N(Ввод!$J$19)/100),""))</f>
        <v/>
      </c>
    </row>
    <row r="294" ht="22" customHeight="1">
      <c r="B294" s="244" t="n"/>
      <c r="C294" s="243" t="n"/>
      <c r="D294" s="244" t="n"/>
      <c r="E294" s="245" t="n"/>
      <c r="F294" s="246" t="n"/>
      <c r="G294" s="183" t="n"/>
      <c r="H294" s="271" t="str">
        <f>IF(AND(ISNUMBER(F294),ISNUMBER(G294)),F294*G294,"")</f>
        <v/>
      </c>
      <c r="I294" s="246" t="n"/>
      <c r="J294" s="183" t="n"/>
      <c r="K294" s="271" t="str">
        <f>IF(AND(ISNUMBER(I294),ISNUMBER(J294)),I294*J294,"")</f>
        <v/>
      </c>
      <c r="L294" s="246" t="str">
        <f>IF(COUNT(F294,I294)=0,"",N(F294)-N(I294))</f>
        <v/>
      </c>
      <c r="M294" s="247" t="str">
        <f>IF(COUNT(H294,K294)=0,"",N(K294)-N(H294))</f>
        <v/>
      </c>
      <c r="N294" s="246" t="str">
        <f>IF(AND(ISNUMBER(F294),ISNUMBER(G294),F294&gt;0,1-N(Ввод!$J$19)/100&gt;0),G294/(1-N(Ввод!$J$19)/100),IF(AND(ISNUMBER(I294),ISNUMBER(J294),I294&gt;0),J294/(1+N(Ввод!$J$19)/100),""))</f>
        <v/>
      </c>
    </row>
    <row r="295" ht="22" customHeight="1">
      <c r="B295" s="238" t="n"/>
      <c r="C295" s="237" t="n"/>
      <c r="D295" s="238" t="n"/>
      <c r="E295" s="239" t="n"/>
      <c r="F295" s="240" t="n"/>
      <c r="G295" s="177" t="n"/>
      <c r="H295" s="271" t="str">
        <f>IF(AND(ISNUMBER(F295),ISNUMBER(G295)),F295*G295,"")</f>
        <v/>
      </c>
      <c r="I295" s="240" t="n"/>
      <c r="J295" s="177" t="n"/>
      <c r="K295" s="271" t="str">
        <f>IF(AND(ISNUMBER(I295),ISNUMBER(J295)),I295*J295,"")</f>
        <v/>
      </c>
      <c r="L295" s="240" t="str">
        <f>IF(COUNT(F295,I295)=0,"",N(F295)-N(I295))</f>
        <v/>
      </c>
      <c r="M295" s="241" t="str">
        <f>IF(COUNT(H295,K295)=0,"",N(K295)-N(H295))</f>
        <v/>
      </c>
      <c r="N295" s="240" t="str">
        <f>IF(AND(ISNUMBER(F295),ISNUMBER(G295),F295&gt;0,1-N(Ввод!$J$19)/100&gt;0),G295/(1-N(Ввод!$J$19)/100),IF(AND(ISNUMBER(I295),ISNUMBER(J295),I295&gt;0),J295/(1+N(Ввод!$J$19)/100),""))</f>
        <v/>
      </c>
    </row>
    <row r="296" ht="22" customHeight="1">
      <c r="B296" s="244" t="n"/>
      <c r="C296" s="243" t="n"/>
      <c r="D296" s="244" t="n"/>
      <c r="E296" s="245" t="n"/>
      <c r="F296" s="246" t="n"/>
      <c r="G296" s="183" t="n"/>
      <c r="H296" s="271" t="str">
        <f>IF(AND(ISNUMBER(F296),ISNUMBER(G296)),F296*G296,"")</f>
        <v/>
      </c>
      <c r="I296" s="246" t="n"/>
      <c r="J296" s="183" t="n"/>
      <c r="K296" s="271" t="str">
        <f>IF(AND(ISNUMBER(I296),ISNUMBER(J296)),I296*J296,"")</f>
        <v/>
      </c>
      <c r="L296" s="246" t="str">
        <f>IF(COUNT(F296,I296)=0,"",N(F296)-N(I296))</f>
        <v/>
      </c>
      <c r="M296" s="247" t="str">
        <f>IF(COUNT(H296,K296)=0,"",N(K296)-N(H296))</f>
        <v/>
      </c>
      <c r="N296" s="246" t="str">
        <f>IF(AND(ISNUMBER(F296),ISNUMBER(G296),F296&gt;0,1-N(Ввод!$J$19)/100&gt;0),G296/(1-N(Ввод!$J$19)/100),IF(AND(ISNUMBER(I296),ISNUMBER(J296),I296&gt;0),J296/(1+N(Ввод!$J$19)/100),""))</f>
        <v/>
      </c>
    </row>
    <row r="297" ht="22" customHeight="1">
      <c r="B297" s="238" t="n"/>
      <c r="C297" s="237" t="n"/>
      <c r="D297" s="238" t="n"/>
      <c r="E297" s="239" t="n"/>
      <c r="F297" s="240" t="n"/>
      <c r="G297" s="177" t="n"/>
      <c r="H297" s="271" t="str">
        <f>IF(AND(ISNUMBER(F297),ISNUMBER(G297)),F297*G297,"")</f>
        <v/>
      </c>
      <c r="I297" s="240" t="n"/>
      <c r="J297" s="177" t="n"/>
      <c r="K297" s="271" t="str">
        <f>IF(AND(ISNUMBER(I297),ISNUMBER(J297)),I297*J297,"")</f>
        <v/>
      </c>
      <c r="L297" s="240" t="str">
        <f>IF(COUNT(F297,I297)=0,"",N(F297)-N(I297))</f>
        <v/>
      </c>
      <c r="M297" s="241" t="str">
        <f>IF(COUNT(H297,K297)=0,"",N(K297)-N(H297))</f>
        <v/>
      </c>
      <c r="N297" s="240" t="str">
        <f>IF(AND(ISNUMBER(F297),ISNUMBER(G297),F297&gt;0,1-N(Ввод!$J$19)/100&gt;0),G297/(1-N(Ввод!$J$19)/100),IF(AND(ISNUMBER(I297),ISNUMBER(J297),I297&gt;0),J297/(1+N(Ввод!$J$19)/100),""))</f>
        <v/>
      </c>
    </row>
    <row r="298" ht="22" customHeight="1">
      <c r="B298" s="244" t="n"/>
      <c r="C298" s="243" t="n"/>
      <c r="D298" s="244" t="n"/>
      <c r="E298" s="245" t="n"/>
      <c r="F298" s="246" t="n"/>
      <c r="G298" s="183" t="n"/>
      <c r="H298" s="271" t="str">
        <f>IF(AND(ISNUMBER(F298),ISNUMBER(G298)),F298*G298,"")</f>
        <v/>
      </c>
      <c r="I298" s="246" t="n"/>
      <c r="J298" s="183" t="n"/>
      <c r="K298" s="271" t="str">
        <f>IF(AND(ISNUMBER(I298),ISNUMBER(J298)),I298*J298,"")</f>
        <v/>
      </c>
      <c r="L298" s="246" t="str">
        <f>IF(COUNT(F298,I298)=0,"",N(F298)-N(I298))</f>
        <v/>
      </c>
      <c r="M298" s="247" t="str">
        <f>IF(COUNT(H298,K298)=0,"",N(K298)-N(H298))</f>
        <v/>
      </c>
      <c r="N298" s="246" t="str">
        <f>IF(AND(ISNUMBER(F298),ISNUMBER(G298),F298&gt;0,1-N(Ввод!$J$19)/100&gt;0),G298/(1-N(Ввод!$J$19)/100),IF(AND(ISNUMBER(I298),ISNUMBER(J298),I298&gt;0),J298/(1+N(Ввод!$J$19)/100),""))</f>
        <v/>
      </c>
    </row>
    <row r="299" ht="22" customHeight="1">
      <c r="B299" s="238" t="n"/>
      <c r="C299" s="237" t="n"/>
      <c r="D299" s="238" t="n"/>
      <c r="E299" s="239" t="n"/>
      <c r="F299" s="240" t="n"/>
      <c r="G299" s="177" t="n"/>
      <c r="H299" s="271" t="str">
        <f>IF(AND(ISNUMBER(F299),ISNUMBER(G299)),F299*G299,"")</f>
        <v/>
      </c>
      <c r="I299" s="240" t="n"/>
      <c r="J299" s="177" t="n"/>
      <c r="K299" s="271" t="str">
        <f>IF(AND(ISNUMBER(I299),ISNUMBER(J299)),I299*J299,"")</f>
        <v/>
      </c>
      <c r="L299" s="240" t="str">
        <f>IF(COUNT(F299,I299)=0,"",N(F299)-N(I299))</f>
        <v/>
      </c>
      <c r="M299" s="241" t="str">
        <f>IF(COUNT(H299,K299)=0,"",N(K299)-N(H299))</f>
        <v/>
      </c>
      <c r="N299" s="240" t="str">
        <f>IF(AND(ISNUMBER(F299),ISNUMBER(G299),F299&gt;0,1-N(Ввод!$J$19)/100&gt;0),G299/(1-N(Ввод!$J$19)/100),IF(AND(ISNUMBER(I299),ISNUMBER(J299),I299&gt;0),J299/(1+N(Ввод!$J$19)/100),""))</f>
        <v/>
      </c>
    </row>
    <row r="300" ht="22" customHeight="1">
      <c r="B300" s="244" t="n"/>
      <c r="C300" s="243" t="n"/>
      <c r="D300" s="244" t="n"/>
      <c r="E300" s="245" t="n"/>
      <c r="F300" s="246" t="n"/>
      <c r="G300" s="183" t="n"/>
      <c r="H300" s="271" t="str">
        <f>IF(AND(ISNUMBER(F300),ISNUMBER(G300)),F300*G300,"")</f>
        <v/>
      </c>
      <c r="I300" s="246" t="n"/>
      <c r="J300" s="183" t="n"/>
      <c r="K300" s="271" t="str">
        <f>IF(AND(ISNUMBER(I300),ISNUMBER(J300)),I300*J300,"")</f>
        <v/>
      </c>
      <c r="L300" s="246" t="str">
        <f>IF(COUNT(F300,I300)=0,"",N(F300)-N(I300))</f>
        <v/>
      </c>
      <c r="M300" s="247" t="str">
        <f>IF(COUNT(H300,K300)=0,"",N(K300)-N(H300))</f>
        <v/>
      </c>
      <c r="N300" s="246" t="str">
        <f>IF(AND(ISNUMBER(F300),ISNUMBER(G300),F300&gt;0,1-N(Ввод!$J$19)/100&gt;0),G300/(1-N(Ввод!$J$19)/100),IF(AND(ISNUMBER(I300),ISNUMBER(J300),I300&gt;0),J300/(1+N(Ввод!$J$19)/100),""))</f>
        <v/>
      </c>
    </row>
  </sheetData>
  <autoFilter ref="B4:N300"/>
  <mergeCells count="1">
    <mergeCell ref="B1:N2"/>
  </mergeCells>
  <conditionalFormatting sqref="B5:N300">
    <cfRule type="expression" priority="1" dxfId="0">
      <formula>AND($B5&lt;&gt;"",COUNTIF(Закрытые!$B$5:$B$300,$B5)&gt;0)</formula>
    </cfRule>
  </conditionalFormatting>
  <conditionalFormatting sqref="B5:G300 I5:J300 L5:N300">
    <cfRule type="expression" priority="2" dxfId="2">
      <formula>MOD(ROW(),2)=1</formula>
    </cfRule>
    <cfRule type="expression" priority="3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5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7" customWidth="1" min="13" max="13"/>
  </cols>
  <sheetData>
    <row r="1" ht="21" customHeight="1">
      <c r="B1" s="1" t="inlineStr">
        <is>
          <t>CRYPTO JOURNAL • ИТОГО ЛЭНДИНГ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Покупка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Продажа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239" t="inlineStr">
        <is>
          <t>BNB/USDT</t>
        </is>
      </c>
      <c r="C5" s="240">
        <f>IF(SUMIFS(Лэндинг!$F$5:$F$300,Лэндинг!$E$5:$E$300,$B5)+SUMIFS(Закрытые!$F$5:$F$300,Закрытые!$E$5:$E$300,$B5,Закрытые!$B$5:$B$300,"L-*")=0,"",SUMIFS(Лэндинг!$F$5:$F$300,Лэндинг!$E$5:$E$300,$B5)+SUMIFS(Закрытые!$F$5:$F$300,Закрытые!$E$5:$E$300,$B5,Закрытые!$B$5:$B$300,"L-*"))</f>
        <v>1.5</v>
      </c>
      <c r="D5" s="177">
        <f>IF(C5="","",(SUMPRODUCT((Лэндинг!$E$5:$E$300=$B5)*Лэндинг!$F$5:$F$300*Лэндинг!$G$5:$G$300)+SUMPRODUCT((Закрытые!$E$5:$E$300=$B5)*(LEFT(Закрытые!$B$5:$B$300,2)="L-")*Закрытые!$F$5:$F$300*Закрытые!$G$5:$G$300))/C5)</f>
        <v>585</v>
      </c>
      <c r="E5" s="241">
        <f>IF(C5="","",SUMIFS(Лэндинг!$H$5:$H$300,Лэндинг!$E$5:$E$300,$B5)+SUMIFS(Закрытые!$H$5:$H$300,Закрытые!$E$5:$E$300,$B5,Закрытые!$B$5:$B$300,"L-*"))</f>
        <v>877.5</v>
      </c>
      <c r="F5" s="240">
        <f>IF(SUMIFS(Лэндинг!$I$5:$I$300,Лэндинг!$E$5:$E$300,$B5)+SUMIFS(Закрытые!$I$5:$I$300,Закрытые!$E$5:$E$300,$B5,Закрытые!$B$5:$B$300,"L-*")=0,"",SUMIFS(Лэндинг!$I$5:$I$300,Лэндинг!$E$5:$E$300,$B5)+SUMIFS(Закрытые!$I$5:$I$300,Закрытые!$E$5:$E$300,$B5,Закрытые!$B$5:$B$300,"L-*"))</f>
        <v>4.5</v>
      </c>
      <c r="G5" s="177">
        <f>IF(F5="","",(SUMPRODUCT((Лэндинг!$E$5:$E$300=$B5)*Лэндинг!$I$5:$I$300*Лэндинг!$J$5:$J$300)+SUMPRODUCT((Закрытые!$E$5:$E$300=$B5)*(LEFT(Закрытые!$B$5:$B$300,2)="L-")*Закрытые!$I$5:$I$300*Закрытые!$J$5:$J$300))/F5)</f>
        <v>598.2</v>
      </c>
      <c r="H5" s="241">
        <f>IF(F5="","",SUMIFS(Лэндинг!$K$5:$K$300,Лэндинг!$E$5:$E$300,$B5)+SUMIFS(Закрытые!$K$5:$K$300,Закрытые!$E$5:$E$300,$B5,Закрытые!$B$5:$B$300,"L-*"))</f>
        <v>2691.9</v>
      </c>
      <c r="I5" s="240">
        <f>IF($B5="","",IF(COUNTIFS(Лэндинг!$E$5:$E$300,$B5)+COUNTIFS(Закрытые!$E$5:$E$300,$B5,Закрытые!$B$5:$B$300,"L-*")=0,"",ROUND(SUMIFS(Лэндинг!$L$5:$L$300,Лэндинг!$E$5:$E$300,$B5)+SUMIFS(Закрытые!$L$5:$L$300,Закрытые!$E$5:$E$300,$B5,Закрытые!$B$5:$B$300,"L-*"),8)))</f>
        <v>-3</v>
      </c>
      <c r="J5" s="241">
        <f>IF($B5="","",IF(COUNTIFS(Лэндинг!$E$5:$E$300,$B5)+COUNTIFS(Закрытые!$E$5:$E$300,$B5,Закрытые!$B$5:$B$300,"L-*")=0,"",ROUND(SUMIFS(Лэндинг!$M$5:$M$300,Лэндинг!$E$5:$E$300,$B5)+SUMIFS(Закрытые!$M$5:$M$300,Закрытые!$E$5:$E$300,$B5,Закрытые!$B$5:$B$300,"L-*"),8)))</f>
        <v>1814.4</v>
      </c>
      <c r="K5" s="240">
        <f>IF(MIN(N(C5),N(F5))&lt;=0,"",ROUND(MIN(N(C5),N(F5))*(N(G5)-N(D5)),8))</f>
        <v>19.8</v>
      </c>
      <c r="L5" s="177">
        <f>IF(MIN(N(C5),N(F5))&lt;=0,"",IF(N(D5)=0,"",ROUND((N(G5)/N(D5)-1)*100,2)))</f>
        <v>2.26</v>
      </c>
      <c r="M5" s="177">
        <f>IF(OR(ROUND(N(C5)-N(F5),8)=0,1-N(Ввод!$J$19)/100&lt;=0),"",IF(N(C5)&gt;N(F5),(N(E5)-N(H5))/((N(C5)-N(F5))*(1-N(Ввод!$J$19)/100)),(N(H5)-N(E5))/((N(F5)-N(C5))*(1+N(Ввод!$J$19)/100))))</f>
        <v>603.592814371257</v>
      </c>
    </row>
    <row r="6" ht="22" customHeight="1">
      <c r="B6" s="245" t="inlineStr">
        <is>
          <t>BTC/USDT</t>
        </is>
      </c>
      <c r="C6" s="246">
        <f>IF(SUMIFS(Лэндинг!$F$5:$F$300,Лэндинг!$E$5:$E$300,$B6)+SUMIFS(Закрытые!$F$5:$F$300,Закрытые!$E$5:$E$300,$B6,Закрытые!$B$5:$B$300,"L-*")=0,"",SUMIFS(Лэндинг!$F$5:$F$300,Лэндинг!$E$5:$E$300,$B6)+SUMIFS(Закрытые!$F$5:$F$300,Закрытые!$E$5:$E$300,$B6,Закрытые!$B$5:$B$300,"L-*"))</f>
        <v>0.1</v>
      </c>
      <c r="D6" s="183">
        <f>IF(C6="","",(SUMPRODUCT((Лэндинг!$E$5:$E$300=$B6)*Лэндинг!$F$5:$F$300*Лэндинг!$G$5:$G$300)+SUMPRODUCT((Закрытые!$E$5:$E$300=$B6)*(LEFT(Закрытые!$B$5:$B$300,2)="L-")*Закрытые!$F$5:$F$300*Закрытые!$G$5:$G$300))/C6)</f>
        <v>62124</v>
      </c>
      <c r="E6" s="247">
        <f>IF(C6="","",SUMIFS(Лэндинг!$H$5:$H$300,Лэндинг!$E$5:$E$300,$B6)+SUMIFS(Закрытые!$H$5:$H$300,Закрытые!$E$5:$E$300,$B6,Закрытые!$B$5:$B$300,"L-*"))</f>
        <v>6212.4</v>
      </c>
      <c r="F6" s="246" t="str">
        <f>IF(SUMIFS(Лэндинг!$I$5:$I$300,Лэндинг!$E$5:$E$300,$B6)+SUMIFS(Закрытые!$I$5:$I$300,Закрытые!$E$5:$E$300,$B6,Закрытые!$B$5:$B$300,"L-*")=0,"",SUMIFS(Лэндинг!$I$5:$I$300,Лэндинг!$E$5:$E$300,$B6)+SUMIFS(Закрытые!$I$5:$I$300,Закрытые!$E$5:$E$300,$B6,Закрытые!$B$5:$B$300,"L-*"))</f>
        <v/>
      </c>
      <c r="G6" s="183" t="str">
        <f>IF(F6="","",(SUMPRODUCT((Лэндинг!$E$5:$E$300=$B6)*Лэндинг!$I$5:$I$300*Лэндинг!$J$5:$J$300)+SUMPRODUCT((Закрытые!$E$5:$E$300=$B6)*(LEFT(Закрытые!$B$5:$B$300,2)="L-")*Закрытые!$I$5:$I$300*Закрытые!$J$5:$J$300))/F6)</f>
        <v/>
      </c>
      <c r="H6" s="247" t="str">
        <f>IF(F6="","",SUMIFS(Лэндинг!$K$5:$K$300,Лэндинг!$E$5:$E$300,$B6)+SUMIFS(Закрытые!$K$5:$K$300,Закрытые!$E$5:$E$300,$B6,Закрытые!$B$5:$B$300,"L-*"))</f>
        <v/>
      </c>
      <c r="I6" s="246">
        <f>IF($B6="","",IF(COUNTIFS(Лэндинг!$E$5:$E$300,$B6)+COUNTIFS(Закрытые!$E$5:$E$300,$B6,Закрытые!$B$5:$B$300,"L-*")=0,"",ROUND(SUMIFS(Лэндинг!$L$5:$L$300,Лэндинг!$E$5:$E$300,$B6)+SUMIFS(Закрытые!$L$5:$L$300,Закрытые!$E$5:$E$300,$B6,Закрытые!$B$5:$B$300,"L-*"),8)))</f>
        <v>0.1</v>
      </c>
      <c r="J6" s="247">
        <f>IF($B6="","",IF(COUNTIFS(Лэндинг!$E$5:$E$300,$B6)+COUNTIFS(Закрытые!$E$5:$E$300,$B6,Закрытые!$B$5:$B$300,"L-*")=0,"",ROUND(SUMIFS(Лэндинг!$M$5:$M$300,Лэндинг!$E$5:$E$300,$B6)+SUMIFS(Закрытые!$M$5:$M$300,Закрытые!$E$5:$E$300,$B6,Закрытые!$B$5:$B$300,"L-*"),8)))</f>
        <v>-6212.4</v>
      </c>
      <c r="K6" s="246" t="str">
        <f>IF(MIN(N(C6),N(F6))&lt;=0,"",ROUND(MIN(N(C6),N(F6))*(N(G6)-N(D6)),8))</f>
        <v/>
      </c>
      <c r="L6" s="183" t="str">
        <f>IF(MIN(N(C6),N(F6))&lt;=0,"",IF(N(D6)=0,"",ROUND((N(G6)/N(D6)-1)*100,2)))</f>
        <v/>
      </c>
      <c r="M6" s="183">
        <f>IF(OR(ROUND(N(C6)-N(F6),8)=0,1-N(Ввод!$J$19)/100&lt;=0),"",IF(N(C6)&gt;N(F6),(N(E6)-N(H6))/((N(C6)-N(F6))*(1-N(Ввод!$J$19)/100)),(N(H6)-N(E6))/((N(F6)-N(C6))*(1+N(Ввод!$J$19)/100))))</f>
        <v>62248.496993988</v>
      </c>
    </row>
    <row r="7" ht="22" customHeight="1">
      <c r="B7" s="239" t="inlineStr">
        <is>
          <t>ETH/BTC</t>
        </is>
      </c>
      <c r="C7" s="240" t="str">
        <f>IF(SUMIFS(Лэндинг!$F$5:$F$300,Лэндинг!$E$5:$E$300,$B7)+SUMIFS(Закрытые!$F$5:$F$300,Закрытые!$E$5:$E$300,$B7,Закрытые!$B$5:$B$300,"L-*")=0,"",SUMIFS(Лэндинг!$F$5:$F$300,Лэндинг!$E$5:$E$300,$B7)+SUMIFS(Закрытые!$F$5:$F$300,Закрытые!$E$5:$E$300,$B7,Закрытые!$B$5:$B$300,"L-*"))</f>
        <v/>
      </c>
      <c r="D7" s="177" t="str">
        <f>IF(C7="","",(SUMPRODUCT((Лэндинг!$E$5:$E$300=$B7)*Лэндинг!$F$5:$F$300*Лэндинг!$G$5:$G$300)+SUMPRODUCT((Закрытые!$E$5:$E$300=$B7)*(LEFT(Закрытые!$B$5:$B$300,2)="L-")*Закрытые!$F$5:$F$300*Закрытые!$G$5:$G$300))/C7)</f>
        <v/>
      </c>
      <c r="E7" s="241" t="str">
        <f>IF(C7="","",SUMIFS(Лэндинг!$H$5:$H$300,Лэндинг!$E$5:$E$300,$B7)+SUMIFS(Закрытые!$H$5:$H$300,Закрытые!$E$5:$E$300,$B7,Закрытые!$B$5:$B$300,"L-*"))</f>
        <v/>
      </c>
      <c r="F7" s="240">
        <f>IF(SUMIFS(Лэндинг!$I$5:$I$300,Лэндинг!$E$5:$E$300,$B7)+SUMIFS(Закрытые!$I$5:$I$300,Закрытые!$E$5:$E$300,$B7,Закрытые!$B$5:$B$300,"L-*")=0,"",SUMIFS(Лэндинг!$I$5:$I$300,Лэндинг!$E$5:$E$300,$B7)+SUMIFS(Закрытые!$I$5:$I$300,Закрытые!$E$5:$E$300,$B7,Закрытые!$B$5:$B$300,"L-*"))</f>
        <v>1.5</v>
      </c>
      <c r="G7" s="177">
        <f>IF(F7="","",(SUMPRODUCT((Лэндинг!$E$5:$E$300=$B7)*Лэндинг!$I$5:$I$300*Лэндинг!$J$5:$J$300)+SUMPRODUCT((Закрытые!$E$5:$E$300=$B7)*(LEFT(Закрытые!$B$5:$B$300,2)="L-")*Закрытые!$I$5:$I$300*Закрытые!$J$5:$J$300))/F7)</f>
        <v>0.052395</v>
      </c>
      <c r="H7" s="241">
        <f>IF(F7="","",SUMIFS(Лэндинг!$K$5:$K$300,Лэндинг!$E$5:$E$300,$B7)+SUMIFS(Закрытые!$K$5:$K$300,Закрытые!$E$5:$E$300,$B7,Закрытые!$B$5:$B$300,"L-*"))</f>
        <v>0.0785925</v>
      </c>
      <c r="I7" s="240">
        <f>IF($B7="","",IF(COUNTIFS(Лэндинг!$E$5:$E$300,$B7)+COUNTIFS(Закрытые!$E$5:$E$300,$B7,Закрытые!$B$5:$B$300,"L-*")=0,"",ROUND(SUMIFS(Лэндинг!$L$5:$L$300,Лэндинг!$E$5:$E$300,$B7)+SUMIFS(Закрытые!$L$5:$L$300,Закрытые!$E$5:$E$300,$B7,Закрытые!$B$5:$B$300,"L-*"),8)))</f>
        <v>-1.5</v>
      </c>
      <c r="J7" s="241">
        <f>IF($B7="","",IF(COUNTIFS(Лэндинг!$E$5:$E$300,$B7)+COUNTIFS(Закрытые!$E$5:$E$300,$B7,Закрытые!$B$5:$B$300,"L-*")=0,"",ROUND(SUMIFS(Лэндинг!$M$5:$M$300,Лэндинг!$E$5:$E$300,$B7)+SUMIFS(Закрытые!$M$5:$M$300,Закрытые!$E$5:$E$300,$B7,Закрытые!$B$5:$B$300,"L-*"),8)))</f>
        <v>0.0785925</v>
      </c>
      <c r="K7" s="240" t="str">
        <f>IF(MIN(N(C7),N(F7))&lt;=0,"",ROUND(MIN(N(C7),N(F7))*(N(G7)-N(D7)),8))</f>
        <v/>
      </c>
      <c r="L7" s="177" t="str">
        <f>IF(MIN(N(C7),N(F7))&lt;=0,"",IF(N(D7)=0,"",ROUND((N(G7)/N(D7)-1)*100,2)))</f>
        <v/>
      </c>
      <c r="M7" s="177">
        <f>IF(OR(ROUND(N(C7)-N(F7),8)=0,1-N(Ввод!$J$19)/100&lt;=0),"",IF(N(C7)&gt;N(F7),(N(E7)-N(H7))/((N(C7)-N(F7))*(1-N(Ввод!$J$19)/100)),(N(H7)-N(E7))/((N(F7)-N(C7))*(1+N(Ввод!$J$19)/100))))</f>
        <v>0.0522904191616766</v>
      </c>
    </row>
    <row r="8" ht="22" customHeight="1">
      <c r="B8" s="245" t="inlineStr">
        <is>
          <t>ETH/USDT</t>
        </is>
      </c>
      <c r="C8" s="246">
        <f>IF(SUMIFS(Лэндинг!$F$5:$F$300,Лэндинг!$E$5:$E$300,$B8)+SUMIFS(Закрытые!$F$5:$F$300,Закрытые!$E$5:$E$300,$B8,Закрытые!$B$5:$B$300,"L-*")=0,"",SUMIFS(Лэндинг!$F$5:$F$300,Лэндинг!$E$5:$E$300,$B8)+SUMIFS(Закрытые!$F$5:$F$300,Закрытые!$E$5:$E$300,$B8,Закрытые!$B$5:$B$300,"L-*"))</f>
        <v>3.5</v>
      </c>
      <c r="D8" s="183">
        <f>IF(C8="","",(SUMPRODUCT((Лэндинг!$E$5:$E$300=$B8)*Лэндинг!$F$5:$F$300*Лэндинг!$G$5:$G$300)+SUMPRODUCT((Закрытые!$E$5:$E$300=$B8)*(LEFT(Закрытые!$B$5:$B$300,2)="L-")*Закрытые!$F$5:$F$300*Закрытые!$G$5:$G$300))/C8)</f>
        <v>3211.49485714286</v>
      </c>
      <c r="E8" s="247">
        <f>IF(C8="","",SUMIFS(Лэндинг!$H$5:$H$300,Лэндинг!$E$5:$E$300,$B8)+SUMIFS(Закрытые!$H$5:$H$300,Закрытые!$E$5:$E$300,$B8,Закрытые!$B$5:$B$300,"L-*"))</f>
        <v>11240.232</v>
      </c>
      <c r="F8" s="246">
        <f>IF(SUMIFS(Лэндинг!$I$5:$I$300,Лэндинг!$E$5:$E$300,$B8)+SUMIFS(Закрытые!$I$5:$I$300,Закрытые!$E$5:$E$300,$B8,Закрытые!$B$5:$B$300,"L-*")=0,"",SUMIFS(Лэндинг!$I$5:$I$300,Лэндинг!$E$5:$E$300,$B8)+SUMIFS(Закрытые!$I$5:$I$300,Закрытые!$E$5:$E$300,$B8,Закрытые!$B$5:$B$300,"L-*"))</f>
        <v>2</v>
      </c>
      <c r="G8" s="183">
        <f>IF(F8="","",(SUMPRODUCT((Лэндинг!$E$5:$E$300=$B8)*Лэндинг!$I$5:$I$300*Лэндинг!$J$5:$J$300)+SUMPRODUCT((Закрытые!$E$5:$E$300=$B8)*(LEFT(Закрытые!$B$5:$B$300,2)="L-")*Закрытые!$I$5:$I$300*Закрытые!$J$5:$J$300))/F8)</f>
        <v>3379.9</v>
      </c>
      <c r="H8" s="247">
        <f>IF(F8="","",SUMIFS(Лэндинг!$K$5:$K$300,Лэндинг!$E$5:$E$300,$B8)+SUMIFS(Закрытые!$K$5:$K$300,Закрытые!$E$5:$E$300,$B8,Закрытые!$B$5:$B$300,"L-*"))</f>
        <v>6759.8</v>
      </c>
      <c r="I8" s="246">
        <f>IF($B8="","",IF(COUNTIFS(Лэндинг!$E$5:$E$300,$B8)+COUNTIFS(Закрытые!$E$5:$E$300,$B8,Закрытые!$B$5:$B$300,"L-*")=0,"",ROUND(SUMIFS(Лэндинг!$L$5:$L$300,Лэндинг!$E$5:$E$300,$B8)+SUMIFS(Закрытые!$L$5:$L$300,Закрытые!$E$5:$E$300,$B8,Закрытые!$B$5:$B$300,"L-*"),8)))</f>
        <v>1.5</v>
      </c>
      <c r="J8" s="247">
        <f>IF($B8="","",IF(COUNTIFS(Лэндинг!$E$5:$E$300,$B8)+COUNTIFS(Закрытые!$E$5:$E$300,$B8,Закрытые!$B$5:$B$300,"L-*")=0,"",ROUND(SUMIFS(Лэндинг!$M$5:$M$300,Лэндинг!$E$5:$E$300,$B8)+SUMIFS(Закрытые!$M$5:$M$300,Закрытые!$E$5:$E$300,$B8,Закрытые!$B$5:$B$300,"L-*"),8)))</f>
        <v>-4480.432</v>
      </c>
      <c r="K8" s="246">
        <f>IF(MIN(N(C8),N(F8))&lt;=0,"",ROUND(MIN(N(C8),N(F8))*(N(G8)-N(D8)),8))</f>
        <v>336.81028571</v>
      </c>
      <c r="L8" s="183">
        <f>IF(MIN(N(C8),N(F8))&lt;=0,"",IF(N(D8)=0,"",ROUND((N(G8)/N(D8)-1)*100,2)))</f>
        <v>5.24</v>
      </c>
      <c r="M8" s="183">
        <f>IF(OR(ROUND(N(C8)-N(F8),8)=0,1-N(Ввод!$J$19)/100&lt;=0),"",IF(N(C8)&gt;N(F8),(N(E8)-N(H8))/((N(C8)-N(F8))*(1-N(Ввод!$J$19)/100)),(N(H8)-N(E8))/((N(F8)-N(C8))*(1+N(Ввод!$J$19)/100))))</f>
        <v>2992.94054776219</v>
      </c>
    </row>
    <row r="9" ht="22" customHeight="1">
      <c r="B9" s="239" t="inlineStr">
        <is>
          <t>SOL/USDT</t>
        </is>
      </c>
      <c r="C9" s="240">
        <f>IF(SUMIFS(Лэндинг!$F$5:$F$300,Лэндинг!$E$5:$E$300,$B9)+SUMIFS(Закрытые!$F$5:$F$300,Закрытые!$E$5:$E$300,$B9,Закрытые!$B$5:$B$300,"L-*")=0,"",SUMIFS(Лэндинг!$F$5:$F$300,Лэндинг!$E$5:$E$300,$B9)+SUMIFS(Закрытые!$F$5:$F$300,Закрытые!$E$5:$E$300,$B9,Закрытые!$B$5:$B$300,"L-*"))</f>
        <v>35</v>
      </c>
      <c r="D9" s="177">
        <f>IF(C9="","",(SUMPRODUCT((Лэндинг!$E$5:$E$300=$B9)*Лэндинг!$F$5:$F$300*Лэндинг!$G$5:$G$300)+SUMPRODUCT((Закрытые!$E$5:$E$300=$B9)*(LEFT(Закрытые!$B$5:$B$300,2)="L-")*Закрытые!$F$5:$F$300*Закрытые!$G$5:$G$300))/C9)</f>
        <v>145.922857142857</v>
      </c>
      <c r="E9" s="241">
        <f>IF(C9="","",SUMIFS(Лэндинг!$H$5:$H$300,Лэндинг!$E$5:$E$300,$B9)+SUMIFS(Закрытые!$H$5:$H$300,Закрытые!$E$5:$E$300,$B9,Закрытые!$B$5:$B$300,"L-*"))</f>
        <v>5107.3</v>
      </c>
      <c r="F9" s="240">
        <f>IF(SUMIFS(Лэндинг!$I$5:$I$300,Лэндинг!$E$5:$E$300,$B9)+SUMIFS(Закрытые!$I$5:$I$300,Закрытые!$E$5:$E$300,$B9,Закрытые!$B$5:$B$300,"L-*")=0,"",SUMIFS(Лэндинг!$I$5:$I$300,Лэндинг!$E$5:$E$300,$B9)+SUMIFS(Закрытые!$I$5:$I$300,Закрытые!$E$5:$E$300,$B9,Закрытые!$B$5:$B$300,"L-*"))</f>
        <v>50</v>
      </c>
      <c r="G9" s="177">
        <f>IF(F9="","",(SUMPRODUCT((Лэндинг!$E$5:$E$300=$B9)*Лэндинг!$I$5:$I$300*Лэндинг!$J$5:$J$300)+SUMPRODUCT((Закрытые!$E$5:$E$300=$B9)*(LEFT(Закрытые!$B$5:$B$300,2)="L-")*Закрытые!$I$5:$I$300*Закрытые!$J$5:$J$300))/F9)</f>
        <v>150.2592</v>
      </c>
      <c r="H9" s="241">
        <f>IF(F9="","",SUMIFS(Лэндинг!$K$5:$K$300,Лэндинг!$E$5:$E$300,$B9)+SUMIFS(Закрытые!$K$5:$K$300,Закрытые!$E$5:$E$300,$B9,Закрытые!$B$5:$B$300,"L-*"))</f>
        <v>7512.96</v>
      </c>
      <c r="I9" s="240">
        <f>IF($B9="","",IF(COUNTIFS(Лэндинг!$E$5:$E$300,$B9)+COUNTIFS(Закрытые!$E$5:$E$300,$B9,Закрытые!$B$5:$B$300,"L-*")=0,"",ROUND(SUMIFS(Лэндинг!$L$5:$L$300,Лэндинг!$E$5:$E$300,$B9)+SUMIFS(Закрытые!$L$5:$L$300,Закрытые!$E$5:$E$300,$B9,Закрытые!$B$5:$B$300,"L-*"),8)))</f>
        <v>-15</v>
      </c>
      <c r="J9" s="241">
        <f>IF($B9="","",IF(COUNTIFS(Лэндинг!$E$5:$E$300,$B9)+COUNTIFS(Закрытые!$E$5:$E$300,$B9,Закрытые!$B$5:$B$300,"L-*")=0,"",ROUND(SUMIFS(Лэндинг!$M$5:$M$300,Лэндинг!$E$5:$E$300,$B9)+SUMIFS(Закрытые!$M$5:$M$300,Закрытые!$E$5:$E$300,$B9,Закрытые!$B$5:$B$300,"L-*"),8)))</f>
        <v>2405.66</v>
      </c>
      <c r="K9" s="240">
        <f>IF(MIN(N(C9),N(F9))&lt;=0,"",ROUND(MIN(N(C9),N(F9))*(N(G9)-N(D9)),8))</f>
        <v>151.772</v>
      </c>
      <c r="L9" s="177">
        <f>IF(MIN(N(C9),N(F9))&lt;=0,"",IF(N(D9)=0,"",ROUND((N(G9)/N(D9)-1)*100,2)))</f>
        <v>2.97</v>
      </c>
      <c r="M9" s="177">
        <f>IF(OR(ROUND(N(C9)-N(F9),8)=0,1-N(Ввод!$J$19)/100&lt;=0),"",IF(N(C9)&gt;N(F9),(N(E9)-N(H9))/((N(C9)-N(F9))*(1-N(Ввод!$J$19)/100)),(N(H9)-N(E9))/((N(F9)-N(C9))*(1+N(Ввод!$J$19)/100))))</f>
        <v>160.057218895542</v>
      </c>
    </row>
    <row r="10" ht="22" customHeight="1">
      <c r="B10" s="245" t="n"/>
      <c r="C10" s="246" t="str">
        <f>IF(SUMIFS(Лэндинг!$F$5:$F$300,Лэндинг!$E$5:$E$300,$B10)+SUMIFS(Закрытые!$F$5:$F$300,Закрытые!$E$5:$E$300,$B10,Закрытые!$B$5:$B$300,"L-*")=0,"",SUMIFS(Лэндинг!$F$5:$F$300,Лэндинг!$E$5:$E$300,$B10)+SUMIFS(Закрытые!$F$5:$F$300,Закрытые!$E$5:$E$300,$B10,Закрытые!$B$5:$B$300,"L-*"))</f>
        <v/>
      </c>
      <c r="D10" s="183" t="str">
        <f>IF(C10="","",(SUMPRODUCT((Лэндинг!$E$5:$E$300=$B10)*Лэндинг!$F$5:$F$300*Лэндинг!$G$5:$G$300)+SUMPRODUCT((Закрытые!$E$5:$E$300=$B10)*(LEFT(Закрытые!$B$5:$B$300,2)="L-")*Закрытые!$F$5:$F$300*Закрытые!$G$5:$G$300))/C10)</f>
        <v/>
      </c>
      <c r="E10" s="247" t="str">
        <f>IF(C10="","",SUMIFS(Лэндинг!$H$5:$H$300,Лэндинг!$E$5:$E$300,$B10)+SUMIFS(Закрытые!$H$5:$H$300,Закрытые!$E$5:$E$300,$B10,Закрытые!$B$5:$B$300,"L-*"))</f>
        <v/>
      </c>
      <c r="F10" s="246" t="str">
        <f>IF(SUMIFS(Лэндинг!$I$5:$I$300,Лэндинг!$E$5:$E$300,$B10)+SUMIFS(Закрытые!$I$5:$I$300,Закрытые!$E$5:$E$300,$B10,Закрытые!$B$5:$B$300,"L-*")=0,"",SUMIFS(Лэндинг!$I$5:$I$300,Лэндинг!$E$5:$E$300,$B10)+SUMIFS(Закрытые!$I$5:$I$300,Закрытые!$E$5:$E$300,$B10,Закрытые!$B$5:$B$300,"L-*"))</f>
        <v/>
      </c>
      <c r="G10" s="183" t="str">
        <f>IF(F10="","",(SUMPRODUCT((Лэндинг!$E$5:$E$300=$B10)*Лэндинг!$I$5:$I$300*Лэндинг!$J$5:$J$300)+SUMPRODUCT((Закрытые!$E$5:$E$300=$B10)*(LEFT(Закрытые!$B$5:$B$300,2)="L-")*Закрытые!$I$5:$I$300*Закрытые!$J$5:$J$300))/F10)</f>
        <v/>
      </c>
      <c r="H10" s="247" t="str">
        <f>IF(F10="","",SUMIFS(Лэндинг!$K$5:$K$300,Лэндинг!$E$5:$E$300,$B10)+SUMIFS(Закрытые!$K$5:$K$300,Закрытые!$E$5:$E$300,$B10,Закрытые!$B$5:$B$300,"L-*"))</f>
        <v/>
      </c>
      <c r="I10" s="246" t="str">
        <f>IF($B10="","",IF(COUNTIFS(Лэндинг!$E$5:$E$300,$B10)+COUNTIFS(Закрытые!$E$5:$E$300,$B10,Закрытые!$B$5:$B$300,"L-*")=0,"",ROUND(SUMIFS(Лэндинг!$L$5:$L$300,Лэндинг!$E$5:$E$300,$B10)+SUMIFS(Закрытые!$L$5:$L$300,Закрытые!$E$5:$E$300,$B10,Закрытые!$B$5:$B$300,"L-*"),8)))</f>
        <v/>
      </c>
      <c r="J10" s="247" t="str">
        <f>IF($B10="","",IF(COUNTIFS(Лэндинг!$E$5:$E$300,$B10)+COUNTIFS(Закрытые!$E$5:$E$300,$B10,Закрытые!$B$5:$B$300,"L-*")=0,"",ROUND(SUMIFS(Лэндинг!$M$5:$M$300,Лэндинг!$E$5:$E$300,$B10)+SUMIFS(Закрытые!$M$5:$M$300,Закрытые!$E$5:$E$300,$B10,Закрытые!$B$5:$B$300,"L-*"),8)))</f>
        <v/>
      </c>
      <c r="K10" s="246" t="str">
        <f>IF(MIN(N(C10),N(F10))&lt;=0,"",ROUND(MIN(N(C10),N(F10))*(N(G10)-N(D10)),8))</f>
        <v/>
      </c>
      <c r="L10" s="183" t="str">
        <f>IF(MIN(N(C10),N(F10))&lt;=0,"",IF(N(D10)=0,"",ROUND((N(G10)/N(D10)-1)*100,2)))</f>
        <v/>
      </c>
      <c r="M10" s="183" t="str">
        <f>IF(OR(ROUND(N(C10)-N(F10),8)=0,1-N(Ввод!$J$19)/100&lt;=0),"",IF(N(C10)&gt;N(F10),(N(E10)-N(H10))/((N(C10)-N(F10))*(1-N(Ввод!$J$19)/100)),(N(H10)-N(E10))/((N(F10)-N(C10))*(1+N(Ввод!$J$19)/100))))</f>
        <v/>
      </c>
    </row>
    <row r="11" ht="22" customHeight="1">
      <c r="B11" s="239" t="n"/>
      <c r="C11" s="240" t="str">
        <f>IF(SUMIFS(Лэндинг!$F$5:$F$300,Лэндинг!$E$5:$E$300,$B11)+SUMIFS(Закрытые!$F$5:$F$300,Закрытые!$E$5:$E$300,$B11,Закрытые!$B$5:$B$300,"L-*")=0,"",SUMIFS(Лэндинг!$F$5:$F$300,Лэндинг!$E$5:$E$300,$B11)+SUMIFS(Закрытые!$F$5:$F$300,Закрытые!$E$5:$E$300,$B11,Закрытые!$B$5:$B$300,"L-*"))</f>
        <v/>
      </c>
      <c r="D11" s="177" t="str">
        <f>IF(C11="","",(SUMPRODUCT((Лэндинг!$E$5:$E$300=$B11)*Лэндинг!$F$5:$F$300*Лэндинг!$G$5:$G$300)+SUMPRODUCT((Закрытые!$E$5:$E$300=$B11)*(LEFT(Закрытые!$B$5:$B$300,2)="L-")*Закрытые!$F$5:$F$300*Закрытые!$G$5:$G$300))/C11)</f>
        <v/>
      </c>
      <c r="E11" s="241" t="str">
        <f>IF(C11="","",SUMIFS(Лэндинг!$H$5:$H$300,Лэндинг!$E$5:$E$300,$B11)+SUMIFS(Закрытые!$H$5:$H$300,Закрытые!$E$5:$E$300,$B11,Закрытые!$B$5:$B$300,"L-*"))</f>
        <v/>
      </c>
      <c r="F11" s="240" t="str">
        <f>IF(SUMIFS(Лэндинг!$I$5:$I$300,Лэндинг!$E$5:$E$300,$B11)+SUMIFS(Закрытые!$I$5:$I$300,Закрытые!$E$5:$E$300,$B11,Закрытые!$B$5:$B$300,"L-*")=0,"",SUMIFS(Лэндинг!$I$5:$I$300,Лэндинг!$E$5:$E$300,$B11)+SUMIFS(Закрытые!$I$5:$I$300,Закрытые!$E$5:$E$300,$B11,Закрытые!$B$5:$B$300,"L-*"))</f>
        <v/>
      </c>
      <c r="G11" s="177" t="str">
        <f>IF(F11="","",(SUMPRODUCT((Лэндинг!$E$5:$E$300=$B11)*Лэндинг!$I$5:$I$300*Лэндинг!$J$5:$J$300)+SUMPRODUCT((Закрытые!$E$5:$E$300=$B11)*(LEFT(Закрытые!$B$5:$B$300,2)="L-")*Закрытые!$I$5:$I$300*Закрытые!$J$5:$J$300))/F11)</f>
        <v/>
      </c>
      <c r="H11" s="241" t="str">
        <f>IF(F11="","",SUMIFS(Лэндинг!$K$5:$K$300,Лэндинг!$E$5:$E$300,$B11)+SUMIFS(Закрытые!$K$5:$K$300,Закрытые!$E$5:$E$300,$B11,Закрытые!$B$5:$B$300,"L-*"))</f>
        <v/>
      </c>
      <c r="I11" s="240" t="str">
        <f>IF($B11="","",IF(COUNTIFS(Лэндинг!$E$5:$E$300,$B11)+COUNTIFS(Закрытые!$E$5:$E$300,$B11,Закрытые!$B$5:$B$300,"L-*")=0,"",ROUND(SUMIFS(Лэндинг!$L$5:$L$300,Лэндинг!$E$5:$E$300,$B11)+SUMIFS(Закрытые!$L$5:$L$300,Закрытые!$E$5:$E$300,$B11,Закрытые!$B$5:$B$300,"L-*"),8)))</f>
        <v/>
      </c>
      <c r="J11" s="241" t="str">
        <f>IF($B11="","",IF(COUNTIFS(Лэндинг!$E$5:$E$300,$B11)+COUNTIFS(Закрытые!$E$5:$E$300,$B11,Закрытые!$B$5:$B$300,"L-*")=0,"",ROUND(SUMIFS(Лэндинг!$M$5:$M$300,Лэндинг!$E$5:$E$300,$B11)+SUMIFS(Закрытые!$M$5:$M$300,Закрытые!$E$5:$E$300,$B11,Закрытые!$B$5:$B$300,"L-*"),8)))</f>
        <v/>
      </c>
      <c r="K11" s="240" t="str">
        <f>IF(MIN(N(C11),N(F11))&lt;=0,"",ROUND(MIN(N(C11),N(F11))*(N(G11)-N(D11)),8))</f>
        <v/>
      </c>
      <c r="L11" s="177" t="str">
        <f>IF(MIN(N(C11),N(F11))&lt;=0,"",IF(N(D11)=0,"",ROUND((N(G11)/N(D11)-1)*100,2)))</f>
        <v/>
      </c>
      <c r="M11" s="177" t="str">
        <f>IF(OR(ROUND(N(C11)-N(F11),8)=0,1-N(Ввод!$J$19)/100&lt;=0),"",IF(N(C11)&gt;N(F11),(N(E11)-N(H11))/((N(C11)-N(F11))*(1-N(Ввод!$J$19)/100)),(N(H11)-N(E11))/((N(F11)-N(C11))*(1+N(Ввод!$J$19)/100))))</f>
        <v/>
      </c>
    </row>
    <row r="12" ht="22" customHeight="1">
      <c r="B12" s="245" t="n"/>
      <c r="C12" s="246" t="str">
        <f>IF(SUMIFS(Лэндинг!$F$5:$F$300,Лэндинг!$E$5:$E$300,$B12)+SUMIFS(Закрытые!$F$5:$F$300,Закрытые!$E$5:$E$300,$B12,Закрытые!$B$5:$B$300,"L-*")=0,"",SUMIFS(Лэндинг!$F$5:$F$300,Лэндинг!$E$5:$E$300,$B12)+SUMIFS(Закрытые!$F$5:$F$300,Закрытые!$E$5:$E$300,$B12,Закрытые!$B$5:$B$300,"L-*"))</f>
        <v/>
      </c>
      <c r="D12" s="183" t="str">
        <f>IF(C12="","",(SUMPRODUCT((Лэндинг!$E$5:$E$300=$B12)*Лэндинг!$F$5:$F$300*Лэндинг!$G$5:$G$300)+SUMPRODUCT((Закрытые!$E$5:$E$300=$B12)*(LEFT(Закрытые!$B$5:$B$300,2)="L-")*Закрытые!$F$5:$F$300*Закрытые!$G$5:$G$300))/C12)</f>
        <v/>
      </c>
      <c r="E12" s="247" t="str">
        <f>IF(C12="","",SUMIFS(Лэндинг!$H$5:$H$300,Лэндинг!$E$5:$E$300,$B12)+SUMIFS(Закрытые!$H$5:$H$300,Закрытые!$E$5:$E$300,$B12,Закрытые!$B$5:$B$300,"L-*"))</f>
        <v/>
      </c>
      <c r="F12" s="246" t="str">
        <f>IF(SUMIFS(Лэндинг!$I$5:$I$300,Лэндинг!$E$5:$E$300,$B12)+SUMIFS(Закрытые!$I$5:$I$300,Закрытые!$E$5:$E$300,$B12,Закрытые!$B$5:$B$300,"L-*")=0,"",SUMIFS(Лэндинг!$I$5:$I$300,Лэндинг!$E$5:$E$300,$B12)+SUMIFS(Закрытые!$I$5:$I$300,Закрытые!$E$5:$E$300,$B12,Закрытые!$B$5:$B$300,"L-*"))</f>
        <v/>
      </c>
      <c r="G12" s="183" t="str">
        <f>IF(F12="","",(SUMPRODUCT((Лэндинг!$E$5:$E$300=$B12)*Лэндинг!$I$5:$I$300*Лэндинг!$J$5:$J$300)+SUMPRODUCT((Закрытые!$E$5:$E$300=$B12)*(LEFT(Закрытые!$B$5:$B$300,2)="L-")*Закрытые!$I$5:$I$300*Закрытые!$J$5:$J$300))/F12)</f>
        <v/>
      </c>
      <c r="H12" s="247" t="str">
        <f>IF(F12="","",SUMIFS(Лэндинг!$K$5:$K$300,Лэндинг!$E$5:$E$300,$B12)+SUMIFS(Закрытые!$K$5:$K$300,Закрытые!$E$5:$E$300,$B12,Закрытые!$B$5:$B$300,"L-*"))</f>
        <v/>
      </c>
      <c r="I12" s="246" t="str">
        <f>IF($B12="","",IF(COUNTIFS(Лэндинг!$E$5:$E$300,$B12)+COUNTIFS(Закрытые!$E$5:$E$300,$B12,Закрытые!$B$5:$B$300,"L-*")=0,"",ROUND(SUMIFS(Лэндинг!$L$5:$L$300,Лэндинг!$E$5:$E$300,$B12)+SUMIFS(Закрытые!$L$5:$L$300,Закрытые!$E$5:$E$300,$B12,Закрытые!$B$5:$B$300,"L-*"),8)))</f>
        <v/>
      </c>
      <c r="J12" s="247" t="str">
        <f>IF($B12="","",IF(COUNTIFS(Лэндинг!$E$5:$E$300,$B12)+COUNTIFS(Закрытые!$E$5:$E$300,$B12,Закрытые!$B$5:$B$300,"L-*")=0,"",ROUND(SUMIFS(Лэндинг!$M$5:$M$300,Лэндинг!$E$5:$E$300,$B12)+SUMIFS(Закрытые!$M$5:$M$300,Закрытые!$E$5:$E$300,$B12,Закрытые!$B$5:$B$300,"L-*"),8)))</f>
        <v/>
      </c>
      <c r="K12" s="246" t="str">
        <f>IF(MIN(N(C12),N(F12))&lt;=0,"",ROUND(MIN(N(C12),N(F12))*(N(G12)-N(D12)),8))</f>
        <v/>
      </c>
      <c r="L12" s="183" t="str">
        <f>IF(MIN(N(C12),N(F12))&lt;=0,"",IF(N(D12)=0,"",ROUND((N(G12)/N(D12)-1)*100,2)))</f>
        <v/>
      </c>
      <c r="M12" s="183" t="str">
        <f>IF(OR(ROUND(N(C12)-N(F12),8)=0,1-N(Ввод!$J$19)/100&lt;=0),"",IF(N(C12)&gt;N(F12),(N(E12)-N(H12))/((N(C12)-N(F12))*(1-N(Ввод!$J$19)/100)),(N(H12)-N(E12))/((N(F12)-N(C12))*(1+N(Ввод!$J$19)/100))))</f>
        <v/>
      </c>
    </row>
  </sheetData>
  <autoFilter ref="B4:M12"/>
  <mergeCells count="1">
    <mergeCell ref="B1:M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8064A2"/>
    <outlinePr summaryBelow="1" summaryRight="1"/>
    <pageSetUpPr fitToPage="1"/>
  </sheetPr>
  <dimension ref="B1:K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  <col width="11" customWidth="1" min="9" max="9"/>
    <col width="13" customWidth="1" min="10" max="10"/>
    <col width="13" customWidth="1" min="11" max="11"/>
  </cols>
  <sheetData>
    <row r="1" ht="21" customHeight="1">
      <c r="B1" s="226" t="inlineStr">
        <is>
          <t>CRYPTO JOURNAL • ПУЛ</t>
        </is>
      </c>
    </row>
    <row r="2" ht="21" customHeight="1"/>
    <row r="3" ht="10" customHeight="1">
      <c r="B3" s="207" t="n"/>
      <c r="C3" s="207" t="n"/>
      <c r="D3" s="207" t="n"/>
      <c r="E3" s="207" t="n"/>
      <c r="F3" s="207" t="n"/>
      <c r="G3" s="207" t="n"/>
      <c r="H3" s="207" t="n"/>
      <c r="I3" s="207" t="n"/>
      <c r="J3" s="207" t="n"/>
      <c r="K3" s="207" t="n"/>
    </row>
    <row r="4" ht="28" customHeight="1">
      <c r="B4" s="227" t="inlineStr">
        <is>
          <t>ID</t>
        </is>
      </c>
      <c r="C4" s="228" t="inlineStr">
        <is>
          <t>Дата</t>
        </is>
      </c>
      <c r="D4" s="228" t="inlineStr">
        <is>
          <t>Протокол</t>
        </is>
      </c>
      <c r="E4" s="229" t="inlineStr">
        <is>
          <t>Пара</t>
        </is>
      </c>
      <c r="F4" s="254" t="inlineStr">
        <is>
          <t>Открыто</t>
        </is>
      </c>
      <c r="G4" s="255" t="inlineStr">
        <is>
          <t>Актив 2</t>
        </is>
      </c>
      <c r="H4" s="256" t="inlineStr">
        <is>
          <t>Закрыто</t>
        </is>
      </c>
      <c r="I4" s="257" t="inlineStr">
        <is>
          <t>Актив 2</t>
        </is>
      </c>
      <c r="J4" s="258" t="inlineStr">
        <is>
          <t>Дельта 1</t>
        </is>
      </c>
      <c r="K4" s="259" t="inlineStr">
        <is>
          <t>Дельта 2</t>
        </is>
      </c>
    </row>
    <row r="5" ht="22" customHeight="1">
      <c r="B5" s="236" t="inlineStr">
        <is>
          <t>P-0003</t>
        </is>
      </c>
      <c r="C5" s="237" t="n">
        <v>46297</v>
      </c>
      <c r="D5" s="238" t="inlineStr">
        <is>
          <t>PancakeSwap</t>
        </is>
      </c>
      <c r="E5" s="239" t="inlineStr">
        <is>
          <t>BNB/USDT</t>
        </is>
      </c>
      <c r="F5" s="240" t="n">
        <v>4</v>
      </c>
      <c r="G5" s="241" t="n">
        <v>2360</v>
      </c>
      <c r="H5" s="240" t="n">
        <v>4.2</v>
      </c>
      <c r="I5" s="241" t="n">
        <v>2300</v>
      </c>
      <c r="J5" s="240">
        <f>IF(AND(ISNUMBER(F5),ISNUMBER(H5)),ROUND(H5-F5,8),"")</f>
        <v>0.2</v>
      </c>
      <c r="K5" s="241">
        <f>IF(AND(ISNUMBER(G5),ISNUMBER(I5)),ROUND(I5-G5,8),"")</f>
        <v>-60</v>
      </c>
    </row>
    <row r="6" ht="22" customHeight="1">
      <c r="B6" s="242" t="inlineStr">
        <is>
          <t>P-0006</t>
        </is>
      </c>
      <c r="C6" s="243" t="n">
        <v>46299</v>
      </c>
      <c r="D6" s="244" t="inlineStr">
        <is>
          <t>Uniswap</t>
        </is>
      </c>
      <c r="E6" s="245" t="inlineStr">
        <is>
          <t>BTC/USDT</t>
        </is>
      </c>
      <c r="F6" s="246" t="n">
        <v>0.05</v>
      </c>
      <c r="G6" s="247" t="n">
        <v>3125</v>
      </c>
      <c r="H6" s="246" t="n"/>
      <c r="I6" s="247" t="n"/>
      <c r="J6" s="246" t="str">
        <f>IF(AND(ISNUMBER(F6),ISNUMBER(H6)),ROUND(H6-F6,8),"")</f>
        <v/>
      </c>
      <c r="K6" s="247" t="str">
        <f>IF(AND(ISNUMBER(G6),ISNUMBER(I6)),ROUND(I6-G6,8),"")</f>
        <v/>
      </c>
    </row>
    <row r="7" ht="22" customHeight="1">
      <c r="B7" s="236" t="inlineStr">
        <is>
          <t>P-0001</t>
        </is>
      </c>
      <c r="C7" s="237" t="n">
        <v>46296</v>
      </c>
      <c r="D7" s="238" t="inlineStr">
        <is>
          <t>Uniswap</t>
        </is>
      </c>
      <c r="E7" s="239" t="inlineStr">
        <is>
          <t>ETH/BTC</t>
        </is>
      </c>
      <c r="F7" s="240" t="n">
        <v>2</v>
      </c>
      <c r="G7" s="241" t="n">
        <v>0.104</v>
      </c>
      <c r="H7" s="240" t="n">
        <v>1.96</v>
      </c>
      <c r="I7" s="241" t="n">
        <v>0.1092</v>
      </c>
      <c r="J7" s="240">
        <f>IF(AND(ISNUMBER(F7),ISNUMBER(H7)),ROUND(H7-F7,8),"")</f>
        <v>-0.04</v>
      </c>
      <c r="K7" s="241">
        <f>IF(AND(ISNUMBER(G7),ISNUMBER(I7)),ROUND(I7-G7,8),"")</f>
        <v>0.0052</v>
      </c>
    </row>
    <row r="8" ht="22" customHeight="1">
      <c r="B8" s="242" t="inlineStr">
        <is>
          <t>P-0007</t>
        </is>
      </c>
      <c r="C8" s="243" t="n">
        <v>46299</v>
      </c>
      <c r="D8" s="244" t="inlineStr">
        <is>
          <t>PancakeSwap</t>
        </is>
      </c>
      <c r="E8" s="245" t="inlineStr">
        <is>
          <t>ETH/BTC</t>
        </is>
      </c>
      <c r="F8" s="246" t="n">
        <v>1.2</v>
      </c>
      <c r="G8" s="247" t="n">
        <v>0.0624</v>
      </c>
      <c r="H8" s="246" t="n"/>
      <c r="I8" s="247" t="n"/>
      <c r="J8" s="246" t="str">
        <f>IF(AND(ISNUMBER(F8),ISNUMBER(H8)),ROUND(H8-F8,8),"")</f>
        <v/>
      </c>
      <c r="K8" s="247" t="str">
        <f>IF(AND(ISNUMBER(G8),ISNUMBER(I8)),ROUND(I8-G8,8),"")</f>
        <v/>
      </c>
    </row>
    <row r="9" ht="22" customHeight="1">
      <c r="B9" s="236" t="inlineStr">
        <is>
          <t>P-0004</t>
        </is>
      </c>
      <c r="C9" s="237" t="n">
        <v>46298</v>
      </c>
      <c r="D9" s="238" t="inlineStr">
        <is>
          <t>Uniswap</t>
        </is>
      </c>
      <c r="E9" s="239" t="inlineStr">
        <is>
          <t>ETH/USDT</t>
        </is>
      </c>
      <c r="F9" s="240" t="n">
        <v>1.5</v>
      </c>
      <c r="G9" s="241" t="n">
        <v>4800</v>
      </c>
      <c r="H9" s="240" t="n"/>
      <c r="I9" s="241" t="n"/>
      <c r="J9" s="240" t="str">
        <f>IF(AND(ISNUMBER(F9),ISNUMBER(H9)),ROUND(H9-F9,8),"")</f>
        <v/>
      </c>
      <c r="K9" s="241" t="str">
        <f>IF(AND(ISNUMBER(G9),ISNUMBER(I9)),ROUND(I9-G9,8),"")</f>
        <v/>
      </c>
    </row>
    <row r="10" ht="22" customHeight="1">
      <c r="B10" s="242" t="inlineStr">
        <is>
          <t>P-0002</t>
        </is>
      </c>
      <c r="C10" s="243" t="n">
        <v>46296</v>
      </c>
      <c r="D10" s="244" t="inlineStr">
        <is>
          <t>Raydium</t>
        </is>
      </c>
      <c r="E10" s="245" t="inlineStr">
        <is>
          <t>SOL/USDT</t>
        </is>
      </c>
      <c r="F10" s="246" t="n">
        <v>30</v>
      </c>
      <c r="G10" s="247" t="n">
        <v>4350</v>
      </c>
      <c r="H10" s="246" t="n">
        <v>28.5</v>
      </c>
      <c r="I10" s="247" t="n">
        <v>4560</v>
      </c>
      <c r="J10" s="246">
        <f>IF(AND(ISNUMBER(F10),ISNUMBER(H10)),ROUND(H10-F10,8),"")</f>
        <v>-1.5</v>
      </c>
      <c r="K10" s="247">
        <f>IF(AND(ISNUMBER(G10),ISNUMBER(I10)),ROUND(I10-G10,8),"")</f>
        <v>210</v>
      </c>
    </row>
    <row r="11" ht="22" customHeight="1">
      <c r="B11" s="236" t="inlineStr">
        <is>
          <t>P-0005</t>
        </is>
      </c>
      <c r="C11" s="237" t="n">
        <v>46298</v>
      </c>
      <c r="D11" s="238" t="inlineStr">
        <is>
          <t>Orca</t>
        </is>
      </c>
      <c r="E11" s="239" t="inlineStr">
        <is>
          <t>SOL/USDT</t>
        </is>
      </c>
      <c r="F11" s="240" t="n">
        <v>12</v>
      </c>
      <c r="G11" s="241" t="n">
        <v>1740</v>
      </c>
      <c r="H11" s="240" t="n">
        <v>12.6</v>
      </c>
      <c r="I11" s="241" t="n">
        <v>1688</v>
      </c>
      <c r="J11" s="240">
        <f>IF(AND(ISNUMBER(F11),ISNUMBER(H11)),ROUND(H11-F11,8),"")</f>
        <v>0.6</v>
      </c>
      <c r="K11" s="241">
        <f>IF(AND(ISNUMBER(G11),ISNUMBER(I11)),ROUND(I11-G11,8),"")</f>
        <v>-52</v>
      </c>
    </row>
    <row r="12" ht="22" customHeight="1">
      <c r="B12" s="242" t="inlineStr">
        <is>
          <t>P-0008</t>
        </is>
      </c>
      <c r="C12" s="243" t="n">
        <v>46299</v>
      </c>
      <c r="D12" s="244" t="inlineStr">
        <is>
          <t>Raydium</t>
        </is>
      </c>
      <c r="E12" s="245" t="inlineStr">
        <is>
          <t>SOL/USDT</t>
        </is>
      </c>
      <c r="F12" s="246" t="n">
        <v>25</v>
      </c>
      <c r="G12" s="247" t="n">
        <v>3625</v>
      </c>
      <c r="H12" s="246" t="n"/>
      <c r="I12" s="247" t="n"/>
      <c r="J12" s="246" t="str">
        <f>IF(AND(ISNUMBER(F12),ISNUMBER(H12)),ROUND(H12-F12,8),"")</f>
        <v/>
      </c>
      <c r="K12" s="247" t="str">
        <f>IF(AND(ISNUMBER(G12),ISNUMBER(I12)),ROUND(I12-G12,8),"")</f>
        <v/>
      </c>
    </row>
  </sheetData>
  <autoFilter ref="B4:K12"/>
  <mergeCells count="1">
    <mergeCell ref="B1:K2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L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1" customWidth="1" min="10" max="10"/>
    <col width="13" customWidth="1" min="11" max="11"/>
    <col width="14" customWidth="1" min="12" max="12"/>
  </cols>
  <sheetData>
    <row r="1" ht="21" customHeight="1">
      <c r="B1" s="1" t="inlineStr">
        <is>
          <t>CRYPTO JOURNAL • ИТОГО ПУЛ</t>
        </is>
      </c>
    </row>
    <row r="2" ht="21" customHeight="1"/>
    <row r="3" ht="10" customHeight="1">
      <c r="B3" s="207" t="n"/>
      <c r="C3" s="207" t="n"/>
      <c r="D3" s="207" t="n"/>
      <c r="E3" s="207" t="n"/>
      <c r="F3" s="207" t="n"/>
      <c r="G3" s="207" t="n"/>
      <c r="H3" s="207" t="n"/>
      <c r="I3" s="207" t="n"/>
      <c r="J3" s="207" t="n"/>
      <c r="K3" s="207" t="n"/>
      <c r="L3" s="207" t="n"/>
    </row>
    <row r="4" ht="28" customHeight="1">
      <c r="B4" s="162" t="inlineStr">
        <is>
          <t>Пара</t>
        </is>
      </c>
      <c r="C4" s="254" t="inlineStr">
        <is>
          <t>Открыто</t>
        </is>
      </c>
      <c r="D4" s="255" t="inlineStr">
        <is>
          <t>Актив 2</t>
        </is>
      </c>
      <c r="E4" s="256" t="inlineStr">
        <is>
          <t>Закрыто</t>
        </is>
      </c>
      <c r="F4" s="257" t="inlineStr">
        <is>
          <t>Актив 2</t>
        </is>
      </c>
      <c r="G4" s="258" t="inlineStr">
        <is>
          <t>Дельта 1</t>
        </is>
      </c>
      <c r="H4" s="259" t="inlineStr">
        <is>
          <t>Дельта 2</t>
        </is>
      </c>
      <c r="I4" s="260" t="inlineStr">
        <is>
          <t>Действие</t>
        </is>
      </c>
      <c r="J4" s="261" t="inlineStr">
        <is>
          <t>Кол-во</t>
        </is>
      </c>
      <c r="K4" s="261" t="inlineStr">
        <is>
          <t>Курс</t>
        </is>
      </c>
      <c r="L4" s="262" t="inlineStr">
        <is>
          <t>Сумма</t>
        </is>
      </c>
    </row>
    <row r="5" ht="22" customHeight="1">
      <c r="B5" s="239" t="inlineStr">
        <is>
          <t>BNB/USDT</t>
        </is>
      </c>
      <c r="C5" s="240">
        <f>IF($B5="","",IF(COUNTIFS(Пул!$E$5:$E$200,$B5,Пул!$F$5:$F$200,"&lt;&gt;")=0,"",ROUND(SUMIFS(Пул!$F$5:$F$200,Пул!$E$5:$E$200,$B5),8)))</f>
        <v>4</v>
      </c>
      <c r="D5" s="241">
        <f>IF($B5="","",IF(COUNTIFS(Пул!$E$5:$E$200,$B5,Пул!$G$5:$G$200,"&lt;&gt;")=0,"",ROUND(SUMIFS(Пул!$G$5:$G$200,Пул!$E$5:$E$200,$B5),8)))</f>
        <v>2360</v>
      </c>
      <c r="E5" s="240">
        <f>IF($B5="","",IF(COUNTIFS(Пул!$E$5:$E$200,$B5,Пул!$H$5:$H$200,"&lt;&gt;")=0,"",ROUND(SUMIFS(Пул!$H$5:$H$200,Пул!$E$5:$E$200,$B5),8)))</f>
        <v>4.2</v>
      </c>
      <c r="F5" s="241">
        <f>IF($B5="","",IF(COUNTIFS(Пул!$E$5:$E$200,$B5,Пул!$I$5:$I$200,"&lt;&gt;")=0,"",ROUND(SUMIFS(Пул!$I$5:$I$200,Пул!$E$5:$E$200,$B5),8)))</f>
        <v>2300</v>
      </c>
      <c r="G5" s="240">
        <f>IF($B5="","",IF(COUNTIFS(Пул!$E$5:$E$200,$B5,Пул!$H$5:$H$200,"&lt;&gt;")=0,"",ROUND(SUMIFS(Пул!$J$5:$J$200,Пул!$E$5:$E$200,$B5),8)))</f>
        <v>0.2</v>
      </c>
      <c r="H5" s="241">
        <f>IF($B5="","",IF(COUNTIFS(Пул!$E$5:$E$200,$B5,Пул!$I$5:$I$200,"&lt;&gt;")=0,"",ROUND(SUMIFS(Пул!$K$5:$K$200,Пул!$E$5:$E$200,$B5),8)))</f>
        <v>-60</v>
      </c>
      <c r="I5" s="236" t="str">
        <f>IF(AND(ISNUMBER(G5),ISNUMBER(H5)),IF(AND(G5&gt;0,H5&lt;0),"Buy",IF(AND(G5&lt;0,H5&gt;0),"Sell","")),"")</f>
        <v>Buy</v>
      </c>
      <c r="J5" s="177">
        <f>IF(I5="Buy",G5,IF(I5="Sell",-G5,""))</f>
        <v>0.2</v>
      </c>
      <c r="K5" s="177">
        <f>IF(AND(ISNUMBER(J5),ISNUMBER(L5),N(J5)&lt;&gt;0),ROUND(L5/J5,8),"")</f>
        <v>300</v>
      </c>
      <c r="L5" s="177">
        <f>IF(I5="Buy",-H5,IF(I5="Sell",H5,""))</f>
        <v>60</v>
      </c>
    </row>
    <row r="6" ht="22" customHeight="1">
      <c r="B6" s="245" t="inlineStr">
        <is>
          <t>BTC/USDT</t>
        </is>
      </c>
      <c r="C6" s="246">
        <f>IF($B6="","",IF(COUNTIFS(Пул!$E$5:$E$200,$B6,Пул!$F$5:$F$200,"&lt;&gt;")=0,"",ROUND(SUMIFS(Пул!$F$5:$F$200,Пул!$E$5:$E$200,$B6),8)))</f>
        <v>0.05</v>
      </c>
      <c r="D6" s="247">
        <f>IF($B6="","",IF(COUNTIFS(Пул!$E$5:$E$200,$B6,Пул!$G$5:$G$200,"&lt;&gt;")=0,"",ROUND(SUMIFS(Пул!$G$5:$G$200,Пул!$E$5:$E$200,$B6),8)))</f>
        <v>3125</v>
      </c>
      <c r="E6" s="246" t="str">
        <f>IF($B6="","",IF(COUNTIFS(Пул!$E$5:$E$200,$B6,Пул!$H$5:$H$200,"&lt;&gt;")=0,"",ROUND(SUMIFS(Пул!$H$5:$H$200,Пул!$E$5:$E$200,$B6),8)))</f>
        <v/>
      </c>
      <c r="F6" s="247" t="str">
        <f>IF($B6="","",IF(COUNTIFS(Пул!$E$5:$E$200,$B6,Пул!$I$5:$I$200,"&lt;&gt;")=0,"",ROUND(SUMIFS(Пул!$I$5:$I$200,Пул!$E$5:$E$200,$B6),8)))</f>
        <v/>
      </c>
      <c r="G6" s="246" t="str">
        <f>IF($B6="","",IF(COUNTIFS(Пул!$E$5:$E$200,$B6,Пул!$H$5:$H$200,"&lt;&gt;")=0,"",ROUND(SUMIFS(Пул!$J$5:$J$200,Пул!$E$5:$E$200,$B6),8)))</f>
        <v/>
      </c>
      <c r="H6" s="247" t="str">
        <f>IF($B6="","",IF(COUNTIFS(Пул!$E$5:$E$200,$B6,Пул!$I$5:$I$200,"&lt;&gt;")=0,"",ROUND(SUMIFS(Пул!$K$5:$K$200,Пул!$E$5:$E$200,$B6),8)))</f>
        <v/>
      </c>
      <c r="I6" s="242" t="str">
        <f>IF(AND(ISNUMBER(G6),ISNUMBER(H6)),IF(AND(G6&gt;0,H6&lt;0),"Buy",IF(AND(G6&lt;0,H6&gt;0),"Sell","")),"")</f>
        <v/>
      </c>
      <c r="J6" s="183" t="str">
        <f>IF(I6="Buy",G6,IF(I6="Sell",-G6,""))</f>
        <v/>
      </c>
      <c r="K6" s="183" t="str">
        <f>IF(AND(ISNUMBER(J6),ISNUMBER(L6),N(J6)&lt;&gt;0),ROUND(L6/J6,8),"")</f>
        <v/>
      </c>
      <c r="L6" s="183" t="str">
        <f>IF(I6="Buy",-H6,IF(I6="Sell",H6,""))</f>
        <v/>
      </c>
    </row>
    <row r="7" ht="22" customHeight="1">
      <c r="B7" s="239" t="inlineStr">
        <is>
          <t>ETH/BTC</t>
        </is>
      </c>
      <c r="C7" s="240">
        <f>IF($B7="","",IF(COUNTIFS(Пул!$E$5:$E$200,$B7,Пул!$F$5:$F$200,"&lt;&gt;")=0,"",ROUND(SUMIFS(Пул!$F$5:$F$200,Пул!$E$5:$E$200,$B7),8)))</f>
        <v>3.2</v>
      </c>
      <c r="D7" s="241">
        <f>IF($B7="","",IF(COUNTIFS(Пул!$E$5:$E$200,$B7,Пул!$G$5:$G$200,"&lt;&gt;")=0,"",ROUND(SUMIFS(Пул!$G$5:$G$200,Пул!$E$5:$E$200,$B7),8)))</f>
        <v>0.1664</v>
      </c>
      <c r="E7" s="240">
        <f>IF($B7="","",IF(COUNTIFS(Пул!$E$5:$E$200,$B7,Пул!$H$5:$H$200,"&lt;&gt;")=0,"",ROUND(SUMIFS(Пул!$H$5:$H$200,Пул!$E$5:$E$200,$B7),8)))</f>
        <v>1.96</v>
      </c>
      <c r="F7" s="241">
        <f>IF($B7="","",IF(COUNTIFS(Пул!$E$5:$E$200,$B7,Пул!$I$5:$I$200,"&lt;&gt;")=0,"",ROUND(SUMIFS(Пул!$I$5:$I$200,Пул!$E$5:$E$200,$B7),8)))</f>
        <v>0.1092</v>
      </c>
      <c r="G7" s="240">
        <f>IF($B7="","",IF(COUNTIFS(Пул!$E$5:$E$200,$B7,Пул!$H$5:$H$200,"&lt;&gt;")=0,"",ROUND(SUMIFS(Пул!$J$5:$J$200,Пул!$E$5:$E$200,$B7),8)))</f>
        <v>-0.04</v>
      </c>
      <c r="H7" s="241">
        <f>IF($B7="","",IF(COUNTIFS(Пул!$E$5:$E$200,$B7,Пул!$I$5:$I$200,"&lt;&gt;")=0,"",ROUND(SUMIFS(Пул!$K$5:$K$200,Пул!$E$5:$E$200,$B7),8)))</f>
        <v>0.0052</v>
      </c>
      <c r="I7" s="236" t="str">
        <f>IF(AND(ISNUMBER(G7),ISNUMBER(H7)),IF(AND(G7&gt;0,H7&lt;0),"Buy",IF(AND(G7&lt;0,H7&gt;0),"Sell","")),"")</f>
        <v>Sell</v>
      </c>
      <c r="J7" s="177">
        <f>IF(I7="Buy",G7,IF(I7="Sell",-G7,""))</f>
        <v>0.04</v>
      </c>
      <c r="K7" s="177">
        <f>IF(AND(ISNUMBER(J7),ISNUMBER(L7),N(J7)&lt;&gt;0),ROUND(L7/J7,8),"")</f>
        <v>0.13</v>
      </c>
      <c r="L7" s="177">
        <f>IF(I7="Buy",-H7,IF(I7="Sell",H7,""))</f>
        <v>0.0052</v>
      </c>
    </row>
    <row r="8" ht="22" customHeight="1">
      <c r="B8" s="245" t="inlineStr">
        <is>
          <t>ETH/USDT</t>
        </is>
      </c>
      <c r="C8" s="246">
        <f>IF($B8="","",IF(COUNTIFS(Пул!$E$5:$E$200,$B8,Пул!$F$5:$F$200,"&lt;&gt;")=0,"",ROUND(SUMIFS(Пул!$F$5:$F$200,Пул!$E$5:$E$200,$B8),8)))</f>
        <v>1.5</v>
      </c>
      <c r="D8" s="247">
        <f>IF($B8="","",IF(COUNTIFS(Пул!$E$5:$E$200,$B8,Пул!$G$5:$G$200,"&lt;&gt;")=0,"",ROUND(SUMIFS(Пул!$G$5:$G$200,Пул!$E$5:$E$200,$B8),8)))</f>
        <v>4800</v>
      </c>
      <c r="E8" s="246" t="str">
        <f>IF($B8="","",IF(COUNTIFS(Пул!$E$5:$E$200,$B8,Пул!$H$5:$H$200,"&lt;&gt;")=0,"",ROUND(SUMIFS(Пул!$H$5:$H$200,Пул!$E$5:$E$200,$B8),8)))</f>
        <v/>
      </c>
      <c r="F8" s="247" t="str">
        <f>IF($B8="","",IF(COUNTIFS(Пул!$E$5:$E$200,$B8,Пул!$I$5:$I$200,"&lt;&gt;")=0,"",ROUND(SUMIFS(Пул!$I$5:$I$200,Пул!$E$5:$E$200,$B8),8)))</f>
        <v/>
      </c>
      <c r="G8" s="246" t="str">
        <f>IF($B8="","",IF(COUNTIFS(Пул!$E$5:$E$200,$B8,Пул!$H$5:$H$200,"&lt;&gt;")=0,"",ROUND(SUMIFS(Пул!$J$5:$J$200,Пул!$E$5:$E$200,$B8),8)))</f>
        <v/>
      </c>
      <c r="H8" s="247" t="str">
        <f>IF($B8="","",IF(COUNTIFS(Пул!$E$5:$E$200,$B8,Пул!$I$5:$I$200,"&lt;&gt;")=0,"",ROUND(SUMIFS(Пул!$K$5:$K$200,Пул!$E$5:$E$200,$B8),8)))</f>
        <v/>
      </c>
      <c r="I8" s="242" t="str">
        <f>IF(AND(ISNUMBER(G8),ISNUMBER(H8)),IF(AND(G8&gt;0,H8&lt;0),"Buy",IF(AND(G8&lt;0,H8&gt;0),"Sell","")),"")</f>
        <v/>
      </c>
      <c r="J8" s="183" t="str">
        <f>IF(I8="Buy",G8,IF(I8="Sell",-G8,""))</f>
        <v/>
      </c>
      <c r="K8" s="183" t="str">
        <f>IF(AND(ISNUMBER(J8),ISNUMBER(L8),N(J8)&lt;&gt;0),ROUND(L8/J8,8),"")</f>
        <v/>
      </c>
      <c r="L8" s="183" t="str">
        <f>IF(I8="Buy",-H8,IF(I8="Sell",H8,""))</f>
        <v/>
      </c>
    </row>
    <row r="9" ht="22" customHeight="1">
      <c r="B9" s="239" t="inlineStr">
        <is>
          <t>SOL/USDT</t>
        </is>
      </c>
      <c r="C9" s="240">
        <f>IF($B9="","",IF(COUNTIFS(Пул!$E$5:$E$200,$B9,Пул!$F$5:$F$200,"&lt;&gt;")=0,"",ROUND(SUMIFS(Пул!$F$5:$F$200,Пул!$E$5:$E$200,$B9),8)))</f>
        <v>67</v>
      </c>
      <c r="D9" s="241">
        <f>IF($B9="","",IF(COUNTIFS(Пул!$E$5:$E$200,$B9,Пул!$G$5:$G$200,"&lt;&gt;")=0,"",ROUND(SUMIFS(Пул!$G$5:$G$200,Пул!$E$5:$E$200,$B9),8)))</f>
        <v>9715</v>
      </c>
      <c r="E9" s="240">
        <f>IF($B9="","",IF(COUNTIFS(Пул!$E$5:$E$200,$B9,Пул!$H$5:$H$200,"&lt;&gt;")=0,"",ROUND(SUMIFS(Пул!$H$5:$H$200,Пул!$E$5:$E$200,$B9),8)))</f>
        <v>41.1</v>
      </c>
      <c r="F9" s="241">
        <f>IF($B9="","",IF(COUNTIFS(Пул!$E$5:$E$200,$B9,Пул!$I$5:$I$200,"&lt;&gt;")=0,"",ROUND(SUMIFS(Пул!$I$5:$I$200,Пул!$E$5:$E$200,$B9),8)))</f>
        <v>6248</v>
      </c>
      <c r="G9" s="240">
        <f>IF($B9="","",IF(COUNTIFS(Пул!$E$5:$E$200,$B9,Пул!$H$5:$H$200,"&lt;&gt;")=0,"",ROUND(SUMIFS(Пул!$J$5:$J$200,Пул!$E$5:$E$200,$B9),8)))</f>
        <v>-0.9</v>
      </c>
      <c r="H9" s="241">
        <f>IF($B9="","",IF(COUNTIFS(Пул!$E$5:$E$200,$B9,Пул!$I$5:$I$200,"&lt;&gt;")=0,"",ROUND(SUMIFS(Пул!$K$5:$K$200,Пул!$E$5:$E$200,$B9),8)))</f>
        <v>158</v>
      </c>
      <c r="I9" s="236" t="str">
        <f>IF(AND(ISNUMBER(G9),ISNUMBER(H9)),IF(AND(G9&gt;0,H9&lt;0),"Buy",IF(AND(G9&lt;0,H9&gt;0),"Sell","")),"")</f>
        <v>Sell</v>
      </c>
      <c r="J9" s="177">
        <f>IF(I9="Buy",G9,IF(I9="Sell",-G9,""))</f>
        <v>0.9</v>
      </c>
      <c r="K9" s="177">
        <f>IF(AND(ISNUMBER(J9),ISNUMBER(L9),N(J9)&lt;&gt;0),ROUND(L9/J9,8),"")</f>
        <v>175.55555556</v>
      </c>
      <c r="L9" s="177">
        <f>IF(I9="Buy",-H9,IF(I9="Sell",H9,""))</f>
        <v>158</v>
      </c>
    </row>
    <row r="10" ht="22" customHeight="1">
      <c r="B10" s="245" t="n"/>
      <c r="C10" s="246" t="str">
        <f>IF($B10="","",IF(COUNTIFS(Пул!$E$5:$E$200,$B10,Пул!$F$5:$F$200,"&lt;&gt;")=0,"",ROUND(SUMIFS(Пул!$F$5:$F$200,Пул!$E$5:$E$200,$B10),8)))</f>
        <v/>
      </c>
      <c r="D10" s="247" t="str">
        <f>IF($B10="","",IF(COUNTIFS(Пул!$E$5:$E$200,$B10,Пул!$G$5:$G$200,"&lt;&gt;")=0,"",ROUND(SUMIFS(Пул!$G$5:$G$200,Пул!$E$5:$E$200,$B10),8)))</f>
        <v/>
      </c>
      <c r="E10" s="246" t="str">
        <f>IF($B10="","",IF(COUNTIFS(Пул!$E$5:$E$200,$B10,Пул!$H$5:$H$200,"&lt;&gt;")=0,"",ROUND(SUMIFS(Пул!$H$5:$H$200,Пул!$E$5:$E$200,$B10),8)))</f>
        <v/>
      </c>
      <c r="F10" s="247" t="str">
        <f>IF($B10="","",IF(COUNTIFS(Пул!$E$5:$E$200,$B10,Пул!$I$5:$I$200,"&lt;&gt;")=0,"",ROUND(SUMIFS(Пул!$I$5:$I$200,Пул!$E$5:$E$200,$B10),8)))</f>
        <v/>
      </c>
      <c r="G10" s="246" t="str">
        <f>IF($B10="","",IF(COUNTIFS(Пул!$E$5:$E$200,$B10,Пул!$H$5:$H$200,"&lt;&gt;")=0,"",ROUND(SUMIFS(Пул!$J$5:$J$200,Пул!$E$5:$E$200,$B10),8)))</f>
        <v/>
      </c>
      <c r="H10" s="247" t="str">
        <f>IF($B10="","",IF(COUNTIFS(Пул!$E$5:$E$200,$B10,Пул!$I$5:$I$200,"&lt;&gt;")=0,"",ROUND(SUMIFS(Пул!$K$5:$K$200,Пул!$E$5:$E$200,$B10),8)))</f>
        <v/>
      </c>
      <c r="I10" s="242" t="str">
        <f>IF(AND(ISNUMBER(G10),ISNUMBER(H10)),IF(AND(G10&gt;0,H10&lt;0),"Buy",IF(AND(G10&lt;0,H10&gt;0),"Sell","")),"")</f>
        <v/>
      </c>
      <c r="J10" s="183" t="str">
        <f>IF(I10="Buy",G10,IF(I10="Sell",-G10,""))</f>
        <v/>
      </c>
      <c r="K10" s="183" t="str">
        <f>IF(AND(ISNUMBER(J10),ISNUMBER(L10),N(J10)&lt;&gt;0),ROUND(L10/J10,8),"")</f>
        <v/>
      </c>
      <c r="L10" s="183" t="str">
        <f>IF(I10="Buy",-H10,IF(I10="Sell",H10,""))</f>
        <v/>
      </c>
    </row>
    <row r="11" ht="22" customHeight="1">
      <c r="B11" s="239" t="n"/>
      <c r="C11" s="240" t="str">
        <f>IF($B11="","",IF(COUNTIFS(Пул!$E$5:$E$200,$B11,Пул!$F$5:$F$200,"&lt;&gt;")=0,"",ROUND(SUMIFS(Пул!$F$5:$F$200,Пул!$E$5:$E$200,$B11),8)))</f>
        <v/>
      </c>
      <c r="D11" s="241" t="str">
        <f>IF($B11="","",IF(COUNTIFS(Пул!$E$5:$E$200,$B11,Пул!$G$5:$G$200,"&lt;&gt;")=0,"",ROUND(SUMIFS(Пул!$G$5:$G$200,Пул!$E$5:$E$200,$B11),8)))</f>
        <v/>
      </c>
      <c r="E11" s="240" t="str">
        <f>IF($B11="","",IF(COUNTIFS(Пул!$E$5:$E$200,$B11,Пул!$H$5:$H$200,"&lt;&gt;")=0,"",ROUND(SUMIFS(Пул!$H$5:$H$200,Пул!$E$5:$E$200,$B11),8)))</f>
        <v/>
      </c>
      <c r="F11" s="241" t="str">
        <f>IF($B11="","",IF(COUNTIFS(Пул!$E$5:$E$200,$B11,Пул!$I$5:$I$200,"&lt;&gt;")=0,"",ROUND(SUMIFS(Пул!$I$5:$I$200,Пул!$E$5:$E$200,$B11),8)))</f>
        <v/>
      </c>
      <c r="G11" s="240" t="str">
        <f>IF($B11="","",IF(COUNTIFS(Пул!$E$5:$E$200,$B11,Пул!$H$5:$H$200,"&lt;&gt;")=0,"",ROUND(SUMIFS(Пул!$J$5:$J$200,Пул!$E$5:$E$200,$B11),8)))</f>
        <v/>
      </c>
      <c r="H11" s="241" t="str">
        <f>IF($B11="","",IF(COUNTIFS(Пул!$E$5:$E$200,$B11,Пул!$I$5:$I$200,"&lt;&gt;")=0,"",ROUND(SUMIFS(Пул!$K$5:$K$200,Пул!$E$5:$E$200,$B11),8)))</f>
        <v/>
      </c>
      <c r="I11" s="236" t="str">
        <f>IF(AND(ISNUMBER(G11),ISNUMBER(H11)),IF(AND(G11&gt;0,H11&lt;0),"Buy",IF(AND(G11&lt;0,H11&gt;0),"Sell","")),"")</f>
        <v/>
      </c>
      <c r="J11" s="177" t="str">
        <f>IF(I11="Buy",G11,IF(I11="Sell",-G11,""))</f>
        <v/>
      </c>
      <c r="K11" s="177" t="str">
        <f>IF(AND(ISNUMBER(J11),ISNUMBER(L11),N(J11)&lt;&gt;0),ROUND(L11/J11,8),"")</f>
        <v/>
      </c>
      <c r="L11" s="177" t="str">
        <f>IF(I11="Buy",-H11,IF(I11="Sell",H11,""))</f>
        <v/>
      </c>
    </row>
    <row r="12" ht="22" customHeight="1">
      <c r="B12" s="245" t="n"/>
      <c r="C12" s="246" t="str">
        <f>IF($B12="","",IF(COUNTIFS(Пул!$E$5:$E$200,$B12,Пул!$F$5:$F$200,"&lt;&gt;")=0,"",ROUND(SUMIFS(Пул!$F$5:$F$200,Пул!$E$5:$E$200,$B12),8)))</f>
        <v/>
      </c>
      <c r="D12" s="247" t="str">
        <f>IF($B12="","",IF(COUNTIFS(Пул!$E$5:$E$200,$B12,Пул!$G$5:$G$200,"&lt;&gt;")=0,"",ROUND(SUMIFS(Пул!$G$5:$G$200,Пул!$E$5:$E$200,$B12),8)))</f>
        <v/>
      </c>
      <c r="E12" s="246" t="str">
        <f>IF($B12="","",IF(COUNTIFS(Пул!$E$5:$E$200,$B12,Пул!$H$5:$H$200,"&lt;&gt;")=0,"",ROUND(SUMIFS(Пул!$H$5:$H$200,Пул!$E$5:$E$200,$B12),8)))</f>
        <v/>
      </c>
      <c r="F12" s="247" t="str">
        <f>IF($B12="","",IF(COUNTIFS(Пул!$E$5:$E$200,$B12,Пул!$I$5:$I$200,"&lt;&gt;")=0,"",ROUND(SUMIFS(Пул!$I$5:$I$200,Пул!$E$5:$E$200,$B12),8)))</f>
        <v/>
      </c>
      <c r="G12" s="246" t="str">
        <f>IF($B12="","",IF(COUNTIFS(Пул!$E$5:$E$200,$B12,Пул!$H$5:$H$200,"&lt;&gt;")=0,"",ROUND(SUMIFS(Пул!$J$5:$J$200,Пул!$E$5:$E$200,$B12),8)))</f>
        <v/>
      </c>
      <c r="H12" s="247" t="str">
        <f>IF($B12="","",IF(COUNTIFS(Пул!$E$5:$E$200,$B12,Пул!$I$5:$I$200,"&lt;&gt;")=0,"",ROUND(SUMIFS(Пул!$K$5:$K$200,Пул!$E$5:$E$200,$B12),8)))</f>
        <v/>
      </c>
      <c r="I12" s="242" t="str">
        <f>IF(AND(ISNUMBER(G12),ISNUMBER(H12)),IF(AND(G12&gt;0,H12&lt;0),"Buy",IF(AND(G12&lt;0,H12&gt;0),"Sell","")),"")</f>
        <v/>
      </c>
      <c r="J12" s="183" t="str">
        <f>IF(I12="Buy",G12,IF(I12="Sell",-G12,""))</f>
        <v/>
      </c>
      <c r="K12" s="183" t="str">
        <f>IF(AND(ISNUMBER(J12),ISNUMBER(L12),N(J12)&lt;&gt;0),ROUND(L12/J12,8),"")</f>
        <v/>
      </c>
      <c r="L12" s="183" t="str">
        <f>IF(I12="Buy",-H12,IF(I12="Sell",H12,""))</f>
        <v/>
      </c>
    </row>
  </sheetData>
  <autoFilter ref="B4:L12"/>
  <mergeCells count="1">
    <mergeCell ref="B1:L2"/>
  </mergeCells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244E62"/>
    <outlinePr summaryBelow="1" summaryRight="1"/>
    <pageSetUpPr fitToPage="1"/>
  </sheetPr>
  <dimension ref="B1:Q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  <col width="13" customWidth="1" min="14" max="14"/>
    <col width="12" customWidth="1" min="15" max="15"/>
    <col width="8.43" customWidth="1" min="16" max="16"/>
    <col width="8.43" customWidth="1" min="17" max="17"/>
  </cols>
  <sheetData>
    <row r="1" ht="21" customHeight="1">
      <c r="B1" s="1" t="inlineStr">
        <is>
          <t>CRYPTO JOURNAL • ЗАКРЫТЫЕ</t>
        </is>
      </c>
      <c r="P1" s="207" t="n"/>
      <c r="Q1" s="207" t="n"/>
    </row>
    <row r="2" ht="21" customHeight="1">
      <c r="P2" s="207" t="n"/>
      <c r="Q2" s="207" t="n"/>
    </row>
    <row r="3" ht="10" customHeight="1">
      <c r="P3" s="207" t="n"/>
      <c r="Q3" s="207" t="n"/>
    </row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Кол-во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Кол-во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170" t="inlineStr">
        <is>
          <t>Дельта 2</t>
        </is>
      </c>
      <c r="N4" s="171" t="inlineStr">
        <is>
          <t>P&amp;L</t>
        </is>
      </c>
      <c r="O4" s="172" t="inlineStr">
        <is>
          <t>P&amp;L%</t>
        </is>
      </c>
      <c r="P4" s="207" t="n"/>
      <c r="Q4" s="207" t="n"/>
    </row>
    <row r="5" ht="22" customHeight="1">
      <c r="B5" s="238" t="inlineStr">
        <is>
          <t>T-0005</t>
        </is>
      </c>
      <c r="C5" s="237" t="n">
        <v>46299</v>
      </c>
      <c r="D5" s="238" t="inlineStr">
        <is>
          <t>Bybit</t>
        </is>
      </c>
      <c r="E5" s="239" t="inlineStr">
        <is>
          <t>BNB/USDT</t>
        </is>
      </c>
      <c r="F5" s="240" t="n">
        <v>2</v>
      </c>
      <c r="G5" s="177" t="n">
        <v>586.17</v>
      </c>
      <c r="H5" s="241" t="n">
        <v>1172.34</v>
      </c>
      <c r="I5" s="240" t="n">
        <v>2</v>
      </c>
      <c r="J5" s="177" t="n">
        <v>598.8</v>
      </c>
      <c r="K5" s="241" t="n">
        <v>1197.6</v>
      </c>
      <c r="L5" s="240">
        <f>IF(COUNT(F5,I5)=0,"",N(F5)-N(I5))</f>
        <v>0</v>
      </c>
      <c r="M5" s="241">
        <f>IF(COUNT(H5,K5)=0,"",N(K5)-N(H5))</f>
        <v>25.26</v>
      </c>
      <c r="N5" s="240">
        <f>IF(AND(ISNUMBER(F5),ISNUMBER(I5),ISNUMBER(H5),ISNUMBER(K5),F5&gt;0,I5&gt;0,H5&lt;&gt;0),ROUND(MIN(F5,I5)*(K5/I5-H5/F5),8),"")</f>
        <v>25.26</v>
      </c>
      <c r="O5" s="177">
        <f>IF(ISNUMBER(N5),ROUND(N5/(MIN(F5,I5)*H5/F5)*100,2),"")</f>
        <v>2.15</v>
      </c>
      <c r="P5" s="207" t="n"/>
      <c r="Q5" s="207" t="n"/>
    </row>
    <row r="6" ht="22" customHeight="1">
      <c r="B6" s="244" t="inlineStr">
        <is>
          <t>T-0006</t>
        </is>
      </c>
      <c r="C6" s="243" t="n">
        <v>46299</v>
      </c>
      <c r="D6" s="244" t="inlineStr">
        <is>
          <t>OKX</t>
        </is>
      </c>
      <c r="E6" s="245" t="inlineStr">
        <is>
          <t>BTC/USDT</t>
        </is>
      </c>
      <c r="F6" s="246" t="n">
        <v>0.05</v>
      </c>
      <c r="G6" s="183" t="n">
        <v>62324.4</v>
      </c>
      <c r="H6" s="247" t="n">
        <v>3116.22</v>
      </c>
      <c r="I6" s="246" t="n">
        <v>0.05</v>
      </c>
      <c r="J6" s="183" t="n">
        <v>62874</v>
      </c>
      <c r="K6" s="247" t="n">
        <v>3143.7</v>
      </c>
      <c r="L6" s="246">
        <f>IF(COUNT(F6,I6)=0,"",N(F6)-N(I6))</f>
        <v>0</v>
      </c>
      <c r="M6" s="247">
        <f>IF(COUNT(H6,K6)=0,"",N(K6)-N(H6))</f>
        <v>27.48</v>
      </c>
      <c r="N6" s="246">
        <f>IF(AND(ISNUMBER(F6),ISNUMBER(I6),ISNUMBER(H6),ISNUMBER(K6),F6&gt;0,I6&gt;0,H6&lt;&gt;0),ROUND(MIN(F6,I6)*(K6/I6-H6/F6),8),"")</f>
        <v>27.48</v>
      </c>
      <c r="O6" s="183">
        <f>IF(ISNUMBER(N6),ROUND(N6/(MIN(F6,I6)*H6/F6)*100,2),"")</f>
        <v>0.88</v>
      </c>
      <c r="P6" s="207" t="n"/>
      <c r="Q6" s="207" t="n"/>
    </row>
    <row r="7" ht="22" customHeight="1">
      <c r="B7" s="238" t="inlineStr">
        <is>
          <t>T-0002</t>
        </is>
      </c>
      <c r="C7" s="237" t="n">
        <v>46297</v>
      </c>
      <c r="D7" s="238" t="inlineStr">
        <is>
          <t>Bybit</t>
        </is>
      </c>
      <c r="E7" s="239" t="inlineStr">
        <is>
          <t>ETH/USDT</t>
        </is>
      </c>
      <c r="F7" s="240" t="n">
        <v>1</v>
      </c>
      <c r="G7" s="177" t="n">
        <v>3206.4</v>
      </c>
      <c r="H7" s="241" t="n">
        <v>3206.4</v>
      </c>
      <c r="I7" s="240" t="n">
        <v>1</v>
      </c>
      <c r="J7" s="177" t="n">
        <v>3343.3</v>
      </c>
      <c r="K7" s="241" t="n">
        <v>3343.3</v>
      </c>
      <c r="L7" s="240">
        <f>IF(COUNT(F7,I7)=0,"",N(F7)-N(I7))</f>
        <v>0</v>
      </c>
      <c r="M7" s="241">
        <f>IF(COUNT(H7,K7)=0,"",N(K7)-N(H7))</f>
        <v>136.9</v>
      </c>
      <c r="N7" s="240">
        <f>IF(AND(ISNUMBER(F7),ISNUMBER(I7),ISNUMBER(H7),ISNUMBER(K7),F7&gt;0,I7&gt;0,H7&lt;&gt;0),ROUND(MIN(F7,I7)*(K7/I7-H7/F7),8),"")</f>
        <v>136.9</v>
      </c>
      <c r="O7" s="177">
        <f>IF(ISNUMBER(N7),ROUND(N7/(MIN(F7,I7)*H7/F7)*100,2),"")</f>
        <v>4.27</v>
      </c>
      <c r="P7" s="207" t="n"/>
      <c r="Q7" s="207" t="n"/>
    </row>
    <row r="8" ht="22" customHeight="1">
      <c r="B8" s="244" t="inlineStr">
        <is>
          <t>T-0003</t>
        </is>
      </c>
      <c r="C8" s="243" t="n">
        <v>46298</v>
      </c>
      <c r="D8" s="244" t="inlineStr">
        <is>
          <t>OKX</t>
        </is>
      </c>
      <c r="E8" s="245" t="inlineStr">
        <is>
          <t>SOL/USDT</t>
        </is>
      </c>
      <c r="F8" s="246" t="n">
        <v>20</v>
      </c>
      <c r="G8" s="183" t="n">
        <v>145.29</v>
      </c>
      <c r="H8" s="247" t="n">
        <v>2905.8</v>
      </c>
      <c r="I8" s="246" t="n">
        <v>20</v>
      </c>
      <c r="J8" s="183" t="n">
        <v>151.696</v>
      </c>
      <c r="K8" s="247" t="n">
        <v>3033.92</v>
      </c>
      <c r="L8" s="246">
        <f>IF(COUNT(F8,I8)=0,"",N(F8)-N(I8))</f>
        <v>0</v>
      </c>
      <c r="M8" s="247">
        <f>IF(COUNT(H8,K8)=0,"",N(K8)-N(H8))</f>
        <v>128.12</v>
      </c>
      <c r="N8" s="246">
        <f>IF(AND(ISNUMBER(F8),ISNUMBER(I8),ISNUMBER(H8),ISNUMBER(K8),F8&gt;0,I8&gt;0,H8&lt;&gt;0),ROUND(MIN(F8,I8)*(K8/I8-H8/F8),8),"")</f>
        <v>128.12</v>
      </c>
      <c r="O8" s="183">
        <f>IF(ISNUMBER(N8),ROUND(N8/(MIN(F8,I8)*H8/F8)*100,2),"")</f>
        <v>4.41</v>
      </c>
      <c r="P8" s="207" t="n"/>
      <c r="Q8" s="207" t="n"/>
    </row>
    <row r="9" ht="22" customHeight="1">
      <c r="B9" s="238" t="inlineStr">
        <is>
          <t>L-0013</t>
        </is>
      </c>
      <c r="C9" s="237" t="n">
        <v>46299</v>
      </c>
      <c r="D9" s="238" t="inlineStr">
        <is>
          <t>Binance</t>
        </is>
      </c>
      <c r="E9" s="239" t="inlineStr">
        <is>
          <t>BNB/USDT</t>
        </is>
      </c>
      <c r="F9" s="240" t="n">
        <v>1.5</v>
      </c>
      <c r="G9" s="177" t="n">
        <v>585</v>
      </c>
      <c r="H9" s="241" t="n">
        <v>877.5</v>
      </c>
      <c r="I9" s="240" t="n">
        <v>1.5</v>
      </c>
      <c r="J9" s="177" t="n">
        <v>597</v>
      </c>
      <c r="K9" s="241" t="n">
        <v>895.5</v>
      </c>
      <c r="L9" s="240">
        <f>IF(COUNT(F9,I9)=0,"",N(F9)-N(I9))</f>
        <v>0</v>
      </c>
      <c r="M9" s="241">
        <f>IF(COUNT(H9,K9)=0,"",N(K9)-N(H9))</f>
        <v>18</v>
      </c>
      <c r="N9" s="240">
        <f>IF(AND(ISNUMBER(F9),ISNUMBER(I9),ISNUMBER(H9),ISNUMBER(K9),F9&gt;0,I9&gt;0,H9&lt;&gt;0),ROUND(MIN(F9,I9)*(K9/I9-H9/F9),8),"")</f>
        <v>18</v>
      </c>
      <c r="O9" s="177">
        <f>IF(ISNUMBER(N9),ROUND(N9/(MIN(F9,I9)*H9/F9)*100,2),"")</f>
        <v>2.05</v>
      </c>
      <c r="P9" s="207" t="n"/>
      <c r="Q9" s="207" t="n"/>
    </row>
    <row r="10" ht="22" customHeight="1">
      <c r="B10" s="244" t="inlineStr">
        <is>
          <t>L-0014</t>
        </is>
      </c>
      <c r="C10" s="243" t="n">
        <v>46298</v>
      </c>
      <c r="D10" s="244" t="inlineStr">
        <is>
          <t>OKX</t>
        </is>
      </c>
      <c r="E10" s="245" t="inlineStr">
        <is>
          <t>ETH/USDT</t>
        </is>
      </c>
      <c r="F10" s="246" t="n">
        <v>0.5</v>
      </c>
      <c r="G10" s="183" t="n">
        <v>3210</v>
      </c>
      <c r="H10" s="247" t="n">
        <v>1605</v>
      </c>
      <c r="I10" s="246" t="n">
        <v>0.5</v>
      </c>
      <c r="J10" s="183" t="n">
        <v>3340</v>
      </c>
      <c r="K10" s="247" t="n">
        <v>1670</v>
      </c>
      <c r="L10" s="246">
        <f>IF(COUNT(F10,I10)=0,"",N(F10)-N(I10))</f>
        <v>0</v>
      </c>
      <c r="M10" s="247">
        <f>IF(COUNT(H10,K10)=0,"",N(K10)-N(H10))</f>
        <v>65</v>
      </c>
      <c r="N10" s="246">
        <f>IF(AND(ISNUMBER(F10),ISNUMBER(I10),ISNUMBER(H10),ISNUMBER(K10),F10&gt;0,I10&gt;0,H10&lt;&gt;0),ROUND(MIN(F10,I10)*(K10/I10-H10/F10),8),"")</f>
        <v>65</v>
      </c>
      <c r="O10" s="183">
        <f>IF(ISNUMBER(N10),ROUND(N10/(MIN(F10,I10)*H10/F10)*100,2),"")</f>
        <v>4.05</v>
      </c>
      <c r="P10" s="207" t="n"/>
      <c r="Q10" s="207" t="n"/>
    </row>
    <row r="11" ht="22" customHeight="1">
      <c r="B11" s="238" t="inlineStr">
        <is>
          <t>L-0015</t>
        </is>
      </c>
      <c r="C11" s="237" t="n">
        <v>46297</v>
      </c>
      <c r="D11" s="238" t="inlineStr">
        <is>
          <t>Bybit</t>
        </is>
      </c>
      <c r="E11" s="239" t="inlineStr">
        <is>
          <t>SOL/USDT</t>
        </is>
      </c>
      <c r="F11" s="240" t="n">
        <v>10</v>
      </c>
      <c r="G11" s="177" t="n">
        <v>145</v>
      </c>
      <c r="H11" s="241" t="n">
        <v>1450</v>
      </c>
      <c r="I11" s="240" t="n">
        <v>10</v>
      </c>
      <c r="J11" s="177" t="n">
        <v>150.5</v>
      </c>
      <c r="K11" s="241" t="n">
        <v>1505</v>
      </c>
      <c r="L11" s="240">
        <f>IF(COUNT(F11,I11)=0,"",N(F11)-N(I11))</f>
        <v>0</v>
      </c>
      <c r="M11" s="241">
        <f>IF(COUNT(H11,K11)=0,"",N(K11)-N(H11))</f>
        <v>55</v>
      </c>
      <c r="N11" s="240">
        <f>IF(AND(ISNUMBER(F11),ISNUMBER(I11),ISNUMBER(H11),ISNUMBER(K11),F11&gt;0,I11&gt;0,H11&lt;&gt;0),ROUND(MIN(F11,I11)*(K11/I11-H11/F11),8),"")</f>
        <v>55</v>
      </c>
      <c r="O11" s="177">
        <f>IF(ISNUMBER(N11),ROUND(N11/(MIN(F11,I11)*H11/F11)*100,2),"")</f>
        <v>3.79</v>
      </c>
      <c r="P11" s="207" t="n"/>
      <c r="Q11" s="207" t="n"/>
    </row>
    <row r="12" ht="22" customHeight="1">
      <c r="B12" s="244" t="n"/>
      <c r="C12" s="243" t="n"/>
      <c r="D12" s="244" t="n"/>
      <c r="E12" s="245" t="n"/>
      <c r="F12" s="246" t="n"/>
      <c r="G12" s="183" t="n"/>
      <c r="H12" s="247" t="n"/>
      <c r="I12" s="246" t="n"/>
      <c r="J12" s="183" t="n"/>
      <c r="K12" s="247" t="n"/>
      <c r="L12" s="246" t="str">
        <f>IF(COUNT(F12,I12)=0,"",N(F12)-N(I12))</f>
        <v/>
      </c>
      <c r="M12" s="247" t="str">
        <f>IF(COUNT(H12,K12)=0,"",N(K12)-N(H12))</f>
        <v/>
      </c>
      <c r="N12" s="246" t="str">
        <f>IF(AND(ISNUMBER(F12),ISNUMBER(I12),ISNUMBER(H12),ISNUMBER(K12),F12&gt;0,I12&gt;0,H12&lt;&gt;0),ROUND(MIN(F12,I12)*(K12/I12-H12/F12),8),"")</f>
        <v/>
      </c>
      <c r="O12" s="183" t="str">
        <f>IF(ISNUMBER(N12),ROUND(N12/(MIN(F12,I12)*H12/F12)*100,2),"")</f>
        <v/>
      </c>
      <c r="P12" s="207" t="n"/>
      <c r="Q12" s="207" t="n"/>
    </row>
    <row r="13" ht="22" customHeight="1">
      <c r="B13" s="238" t="n"/>
      <c r="C13" s="237" t="n"/>
      <c r="D13" s="238" t="n"/>
      <c r="E13" s="239" t="n"/>
      <c r="F13" s="240" t="n"/>
      <c r="G13" s="177" t="n"/>
      <c r="H13" s="241" t="n"/>
      <c r="I13" s="240" t="n"/>
      <c r="J13" s="177" t="n"/>
      <c r="K13" s="241" t="n"/>
      <c r="L13" s="240" t="str">
        <f>IF(COUNT(F13,I13)=0,"",N(F13)-N(I13))</f>
        <v/>
      </c>
      <c r="M13" s="241" t="str">
        <f>IF(COUNT(H13,K13)=0,"",N(K13)-N(H13))</f>
        <v/>
      </c>
      <c r="N13" s="240" t="str">
        <f>IF(AND(ISNUMBER(F13),ISNUMBER(I13),ISNUMBER(H13),ISNUMBER(K13),F13&gt;0,I13&gt;0,H13&lt;&gt;0),ROUND(MIN(F13,I13)*(K13/I13-H13/F13),8),"")</f>
        <v/>
      </c>
      <c r="O13" s="177" t="str">
        <f>IF(ISNUMBER(N13),ROUND(N13/(MIN(F13,I13)*H13/F13)*100,2),"")</f>
        <v/>
      </c>
    </row>
    <row r="14" ht="22" customHeight="1">
      <c r="B14" s="244" t="n"/>
      <c r="C14" s="243" t="n"/>
      <c r="D14" s="244" t="n"/>
      <c r="E14" s="245" t="n"/>
      <c r="F14" s="246" t="n"/>
      <c r="G14" s="183" t="n"/>
      <c r="H14" s="247" t="n"/>
      <c r="I14" s="246" t="n"/>
      <c r="J14" s="183" t="n"/>
      <c r="K14" s="247" t="n"/>
      <c r="L14" s="246" t="str">
        <f>IF(COUNT(F14,I14)=0,"",N(F14)-N(I14))</f>
        <v/>
      </c>
      <c r="M14" s="247" t="str">
        <f>IF(COUNT(H14,K14)=0,"",N(K14)-N(H14))</f>
        <v/>
      </c>
      <c r="N14" s="246" t="str">
        <f>IF(AND(ISNUMBER(F14),ISNUMBER(I14),ISNUMBER(H14),ISNUMBER(K14),F14&gt;0,I14&gt;0,H14&lt;&gt;0),ROUND(MIN(F14,I14)*(K14/I14-H14/F14),8),"")</f>
        <v/>
      </c>
      <c r="O14" s="183" t="str">
        <f>IF(ISNUMBER(N14),ROUND(N14/(MIN(F14,I14)*H14/F14)*100,2),"")</f>
        <v/>
      </c>
    </row>
    <row r="15" ht="22" customHeight="1">
      <c r="B15" s="238" t="n"/>
      <c r="C15" s="237" t="n"/>
      <c r="D15" s="238" t="n"/>
      <c r="E15" s="239" t="n"/>
      <c r="F15" s="240" t="n"/>
      <c r="G15" s="177" t="n"/>
      <c r="H15" s="241" t="n"/>
      <c r="I15" s="240" t="n"/>
      <c r="J15" s="177" t="n"/>
      <c r="K15" s="241" t="n"/>
      <c r="L15" s="240" t="str">
        <f>IF(COUNT(F15,I15)=0,"",N(F15)-N(I15))</f>
        <v/>
      </c>
      <c r="M15" s="241" t="str">
        <f>IF(COUNT(H15,K15)=0,"",N(K15)-N(H15))</f>
        <v/>
      </c>
      <c r="N15" s="240" t="str">
        <f>IF(AND(ISNUMBER(F15),ISNUMBER(I15),ISNUMBER(H15),ISNUMBER(K15),F15&gt;0,I15&gt;0,H15&lt;&gt;0),ROUND(MIN(F15,I15)*(K15/I15-H15/F15),8),"")</f>
        <v/>
      </c>
      <c r="O15" s="177" t="str">
        <f>IF(ISNUMBER(N15),ROUND(N15/(MIN(F15,I15)*H15/F15)*100,2),"")</f>
        <v/>
      </c>
    </row>
    <row r="16" ht="22" customHeight="1">
      <c r="B16" s="244" t="n"/>
      <c r="C16" s="243" t="n"/>
      <c r="D16" s="244" t="n"/>
      <c r="E16" s="245" t="n"/>
      <c r="F16" s="246" t="n"/>
      <c r="G16" s="183" t="n"/>
      <c r="H16" s="247" t="n"/>
      <c r="I16" s="246" t="n"/>
      <c r="J16" s="183" t="n"/>
      <c r="K16" s="247" t="n"/>
      <c r="L16" s="246" t="str">
        <f>IF(COUNT(F16,I16)=0,"",N(F16)-N(I16))</f>
        <v/>
      </c>
      <c r="M16" s="247" t="str">
        <f>IF(COUNT(H16,K16)=0,"",N(K16)-N(H16))</f>
        <v/>
      </c>
      <c r="N16" s="246" t="str">
        <f>IF(AND(ISNUMBER(F16),ISNUMBER(I16),ISNUMBER(H16),ISNUMBER(K16),F16&gt;0,I16&gt;0,H16&lt;&gt;0),ROUND(MIN(F16,I16)*(K16/I16-H16/F16),8),"")</f>
        <v/>
      </c>
      <c r="O16" s="183" t="str">
        <f>IF(ISNUMBER(N16),ROUND(N16/(MIN(F16,I16)*H16/F16)*100,2),"")</f>
        <v/>
      </c>
    </row>
    <row r="17" ht="22" customHeight="1">
      <c r="B17" s="238" t="n"/>
      <c r="C17" s="237" t="n"/>
      <c r="D17" s="238" t="n"/>
      <c r="E17" s="239" t="n"/>
      <c r="F17" s="240" t="n"/>
      <c r="G17" s="177" t="n"/>
      <c r="H17" s="241" t="n"/>
      <c r="I17" s="240" t="n"/>
      <c r="J17" s="177" t="n"/>
      <c r="K17" s="241" t="n"/>
      <c r="L17" s="240" t="str">
        <f>IF(COUNT(F17,I17)=0,"",N(F17)-N(I17))</f>
        <v/>
      </c>
      <c r="M17" s="241" t="str">
        <f>IF(COUNT(H17,K17)=0,"",N(K17)-N(H17))</f>
        <v/>
      </c>
      <c r="N17" s="240" t="str">
        <f>IF(AND(ISNUMBER(F17),ISNUMBER(I17),ISNUMBER(H17),ISNUMBER(K17),F17&gt;0,I17&gt;0,H17&lt;&gt;0),ROUND(MIN(F17,I17)*(K17/I17-H17/F17),8),"")</f>
        <v/>
      </c>
      <c r="O17" s="177" t="str">
        <f>IF(ISNUMBER(N17),ROUND(N17/(MIN(F17,I17)*H17/F17)*100,2),"")</f>
        <v/>
      </c>
    </row>
    <row r="18" ht="22" customHeight="1">
      <c r="B18" s="244" t="n"/>
      <c r="C18" s="243" t="n"/>
      <c r="D18" s="244" t="n"/>
      <c r="E18" s="245" t="n"/>
      <c r="F18" s="246" t="n"/>
      <c r="G18" s="183" t="n"/>
      <c r="H18" s="247" t="n"/>
      <c r="I18" s="246" t="n"/>
      <c r="J18" s="183" t="n"/>
      <c r="K18" s="247" t="n"/>
      <c r="L18" s="246" t="str">
        <f>IF(COUNT(F18,I18)=0,"",N(F18)-N(I18))</f>
        <v/>
      </c>
      <c r="M18" s="247" t="str">
        <f>IF(COUNT(H18,K18)=0,"",N(K18)-N(H18))</f>
        <v/>
      </c>
      <c r="N18" s="246" t="str">
        <f>IF(AND(ISNUMBER(F18),ISNUMBER(I18),ISNUMBER(H18),ISNUMBER(K18),F18&gt;0,I18&gt;0,H18&lt;&gt;0),ROUND(MIN(F18,I18)*(K18/I18-H18/F18),8),"")</f>
        <v/>
      </c>
      <c r="O18" s="183" t="str">
        <f>IF(ISNUMBER(N18),ROUND(N18/(MIN(F18,I18)*H18/F18)*100,2),"")</f>
        <v/>
      </c>
    </row>
    <row r="19" ht="22" customHeight="1">
      <c r="B19" s="238" t="n"/>
      <c r="C19" s="237" t="n"/>
      <c r="D19" s="238" t="n"/>
      <c r="E19" s="239" t="n"/>
      <c r="F19" s="240" t="n"/>
      <c r="G19" s="177" t="n"/>
      <c r="H19" s="241" t="n"/>
      <c r="I19" s="240" t="n"/>
      <c r="J19" s="177" t="n"/>
      <c r="K19" s="241" t="n"/>
      <c r="L19" s="240" t="str">
        <f>IF(COUNT(F19,I19)=0,"",N(F19)-N(I19))</f>
        <v/>
      </c>
      <c r="M19" s="241" t="str">
        <f>IF(COUNT(H19,K19)=0,"",N(K19)-N(H19))</f>
        <v/>
      </c>
      <c r="N19" s="240" t="str">
        <f>IF(AND(ISNUMBER(F19),ISNUMBER(I19),ISNUMBER(H19),ISNUMBER(K19),F19&gt;0,I19&gt;0,H19&lt;&gt;0),ROUND(MIN(F19,I19)*(K19/I19-H19/F19),8),"")</f>
        <v/>
      </c>
      <c r="O19" s="177" t="str">
        <f>IF(ISNUMBER(N19),ROUND(N19/(MIN(F19,I19)*H19/F19)*100,2),"")</f>
        <v/>
      </c>
    </row>
    <row r="20" ht="22" customHeight="1">
      <c r="B20" s="244" t="n"/>
      <c r="C20" s="243" t="n"/>
      <c r="D20" s="244" t="n"/>
      <c r="E20" s="245" t="n"/>
      <c r="F20" s="246" t="n"/>
      <c r="G20" s="183" t="n"/>
      <c r="H20" s="247" t="n"/>
      <c r="I20" s="246" t="n"/>
      <c r="J20" s="183" t="n"/>
      <c r="K20" s="247" t="n"/>
      <c r="L20" s="246" t="str">
        <f>IF(COUNT(F20,I20)=0,"",N(F20)-N(I20))</f>
        <v/>
      </c>
      <c r="M20" s="247" t="str">
        <f>IF(COUNT(H20,K20)=0,"",N(K20)-N(H20))</f>
        <v/>
      </c>
      <c r="N20" s="246" t="str">
        <f>IF(AND(ISNUMBER(F20),ISNUMBER(I20),ISNUMBER(H20),ISNUMBER(K20),F20&gt;0,I20&gt;0,H20&lt;&gt;0),ROUND(MIN(F20,I20)*(K20/I20-H20/F20),8),"")</f>
        <v/>
      </c>
      <c r="O20" s="183" t="str">
        <f>IF(ISNUMBER(N20),ROUND(N20/(MIN(F20,I20)*H20/F20)*100,2),"")</f>
        <v/>
      </c>
    </row>
    <row r="21" ht="22" customHeight="1">
      <c r="B21" s="238" t="n"/>
      <c r="C21" s="237" t="n"/>
      <c r="D21" s="238" t="n"/>
      <c r="E21" s="239" t="n"/>
      <c r="F21" s="240" t="n"/>
      <c r="G21" s="177" t="n"/>
      <c r="H21" s="241" t="n"/>
      <c r="I21" s="240" t="n"/>
      <c r="J21" s="177" t="n"/>
      <c r="K21" s="241" t="n"/>
      <c r="L21" s="240" t="str">
        <f>IF(COUNT(F21,I21)=0,"",N(F21)-N(I21))</f>
        <v/>
      </c>
      <c r="M21" s="241" t="str">
        <f>IF(COUNT(H21,K21)=0,"",N(K21)-N(H21))</f>
        <v/>
      </c>
      <c r="N21" s="240" t="str">
        <f>IF(AND(ISNUMBER(F21),ISNUMBER(I21),ISNUMBER(H21),ISNUMBER(K21),F21&gt;0,I21&gt;0,H21&lt;&gt;0),ROUND(MIN(F21,I21)*(K21/I21-H21/F21),8),"")</f>
        <v/>
      </c>
      <c r="O21" s="177" t="str">
        <f>IF(ISNUMBER(N21),ROUND(N21/(MIN(F21,I21)*H21/F21)*100,2),"")</f>
        <v/>
      </c>
    </row>
    <row r="22" ht="22" customHeight="1">
      <c r="B22" s="244" t="n"/>
      <c r="C22" s="243" t="n"/>
      <c r="D22" s="244" t="n"/>
      <c r="E22" s="245" t="n"/>
      <c r="F22" s="246" t="n"/>
      <c r="G22" s="183" t="n"/>
      <c r="H22" s="247" t="n"/>
      <c r="I22" s="246" t="n"/>
      <c r="J22" s="183" t="n"/>
      <c r="K22" s="247" t="n"/>
      <c r="L22" s="246" t="str">
        <f>IF(COUNT(F22,I22)=0,"",N(F22)-N(I22))</f>
        <v/>
      </c>
      <c r="M22" s="247" t="str">
        <f>IF(COUNT(H22,K22)=0,"",N(K22)-N(H22))</f>
        <v/>
      </c>
      <c r="N22" s="246" t="str">
        <f>IF(AND(ISNUMBER(F22),ISNUMBER(I22),ISNUMBER(H22),ISNUMBER(K22),F22&gt;0,I22&gt;0,H22&lt;&gt;0),ROUND(MIN(F22,I22)*(K22/I22-H22/F22),8),"")</f>
        <v/>
      </c>
      <c r="O22" s="183" t="str">
        <f>IF(ISNUMBER(N22),ROUND(N22/(MIN(F22,I22)*H22/F22)*100,2),"")</f>
        <v/>
      </c>
    </row>
    <row r="23" ht="22" customHeight="1">
      <c r="B23" s="238" t="n"/>
      <c r="C23" s="237" t="n"/>
      <c r="D23" s="238" t="n"/>
      <c r="E23" s="239" t="n"/>
      <c r="F23" s="240" t="n"/>
      <c r="G23" s="177" t="n"/>
      <c r="H23" s="241" t="n"/>
      <c r="I23" s="240" t="n"/>
      <c r="J23" s="177" t="n"/>
      <c r="K23" s="241" t="n"/>
      <c r="L23" s="240" t="str">
        <f>IF(COUNT(F23,I23)=0,"",N(F23)-N(I23))</f>
        <v/>
      </c>
      <c r="M23" s="241" t="str">
        <f>IF(COUNT(H23,K23)=0,"",N(K23)-N(H23))</f>
        <v/>
      </c>
      <c r="N23" s="240" t="str">
        <f>IF(AND(ISNUMBER(F23),ISNUMBER(I23),ISNUMBER(H23),ISNUMBER(K23),F23&gt;0,I23&gt;0,H23&lt;&gt;0),ROUND(MIN(F23,I23)*(K23/I23-H23/F23),8),"")</f>
        <v/>
      </c>
      <c r="O23" s="177" t="str">
        <f>IF(ISNUMBER(N23),ROUND(N23/(MIN(F23,I23)*H23/F23)*100,2),"")</f>
        <v/>
      </c>
    </row>
    <row r="24" ht="22" customHeight="1">
      <c r="B24" s="244" t="n"/>
      <c r="C24" s="243" t="n"/>
      <c r="D24" s="244" t="n"/>
      <c r="E24" s="245" t="n"/>
      <c r="F24" s="246" t="n"/>
      <c r="G24" s="183" t="n"/>
      <c r="H24" s="247" t="n"/>
      <c r="I24" s="246" t="n"/>
      <c r="J24" s="183" t="n"/>
      <c r="K24" s="247" t="n"/>
      <c r="L24" s="246" t="str">
        <f>IF(COUNT(F24,I24)=0,"",N(F24)-N(I24))</f>
        <v/>
      </c>
      <c r="M24" s="247" t="str">
        <f>IF(COUNT(H24,K24)=0,"",N(K24)-N(H24))</f>
        <v/>
      </c>
      <c r="N24" s="246" t="str">
        <f>IF(AND(ISNUMBER(F24),ISNUMBER(I24),ISNUMBER(H24),ISNUMBER(K24),F24&gt;0,I24&gt;0,H24&lt;&gt;0),ROUND(MIN(F24,I24)*(K24/I24-H24/F24),8),"")</f>
        <v/>
      </c>
      <c r="O24" s="183" t="str">
        <f>IF(ISNUMBER(N24),ROUND(N24/(MIN(F24,I24)*H24/F24)*100,2),"")</f>
        <v/>
      </c>
    </row>
    <row r="25" ht="22" customHeight="1">
      <c r="B25" s="238" t="n"/>
      <c r="C25" s="237" t="n"/>
      <c r="D25" s="238" t="n"/>
      <c r="E25" s="239" t="n"/>
      <c r="F25" s="240" t="n"/>
      <c r="G25" s="177" t="n"/>
      <c r="H25" s="241" t="n"/>
      <c r="I25" s="240" t="n"/>
      <c r="J25" s="177" t="n"/>
      <c r="K25" s="241" t="n"/>
      <c r="L25" s="240" t="str">
        <f>IF(COUNT(F25,I25)=0,"",N(F25)-N(I25))</f>
        <v/>
      </c>
      <c r="M25" s="241" t="str">
        <f>IF(COUNT(H25,K25)=0,"",N(K25)-N(H25))</f>
        <v/>
      </c>
      <c r="N25" s="240" t="str">
        <f>IF(AND(ISNUMBER(F25),ISNUMBER(I25),ISNUMBER(H25),ISNUMBER(K25),F25&gt;0,I25&gt;0,H25&lt;&gt;0),ROUND(MIN(F25,I25)*(K25/I25-H25/F25),8),"")</f>
        <v/>
      </c>
      <c r="O25" s="177" t="str">
        <f>IF(ISNUMBER(N25),ROUND(N25/(MIN(F25,I25)*H25/F25)*100,2),"")</f>
        <v/>
      </c>
    </row>
    <row r="26" ht="22" customHeight="1">
      <c r="B26" s="244" t="n"/>
      <c r="C26" s="243" t="n"/>
      <c r="D26" s="244" t="n"/>
      <c r="E26" s="245" t="n"/>
      <c r="F26" s="246" t="n"/>
      <c r="G26" s="183" t="n"/>
      <c r="H26" s="247" t="n"/>
      <c r="I26" s="246" t="n"/>
      <c r="J26" s="183" t="n"/>
      <c r="K26" s="247" t="n"/>
      <c r="L26" s="246" t="str">
        <f>IF(COUNT(F26,I26)=0,"",N(F26)-N(I26))</f>
        <v/>
      </c>
      <c r="M26" s="247" t="str">
        <f>IF(COUNT(H26,K26)=0,"",N(K26)-N(H26))</f>
        <v/>
      </c>
      <c r="N26" s="246" t="str">
        <f>IF(AND(ISNUMBER(F26),ISNUMBER(I26),ISNUMBER(H26),ISNUMBER(K26),F26&gt;0,I26&gt;0,H26&lt;&gt;0),ROUND(MIN(F26,I26)*(K26/I26-H26/F26),8),"")</f>
        <v/>
      </c>
      <c r="O26" s="183" t="str">
        <f>IF(ISNUMBER(N26),ROUND(N26/(MIN(F26,I26)*H26/F26)*100,2),"")</f>
        <v/>
      </c>
    </row>
    <row r="27" ht="22" customHeight="1">
      <c r="B27" s="238" t="n"/>
      <c r="C27" s="237" t="n"/>
      <c r="D27" s="238" t="n"/>
      <c r="E27" s="239" t="n"/>
      <c r="F27" s="240" t="n"/>
      <c r="G27" s="177" t="n"/>
      <c r="H27" s="241" t="n"/>
      <c r="I27" s="240" t="n"/>
      <c r="J27" s="177" t="n"/>
      <c r="K27" s="241" t="n"/>
      <c r="L27" s="240" t="str">
        <f>IF(COUNT(F27,I27)=0,"",N(F27)-N(I27))</f>
        <v/>
      </c>
      <c r="M27" s="241" t="str">
        <f>IF(COUNT(H27,K27)=0,"",N(K27)-N(H27))</f>
        <v/>
      </c>
      <c r="N27" s="240" t="str">
        <f>IF(AND(ISNUMBER(F27),ISNUMBER(I27),ISNUMBER(H27),ISNUMBER(K27),F27&gt;0,I27&gt;0,H27&lt;&gt;0),ROUND(MIN(F27,I27)*(K27/I27-H27/F27),8),"")</f>
        <v/>
      </c>
      <c r="O27" s="177" t="str">
        <f>IF(ISNUMBER(N27),ROUND(N27/(MIN(F27,I27)*H27/F27)*100,2),"")</f>
        <v/>
      </c>
    </row>
    <row r="28" ht="22" customHeight="1">
      <c r="B28" s="244" t="n"/>
      <c r="C28" s="243" t="n"/>
      <c r="D28" s="244" t="n"/>
      <c r="E28" s="245" t="n"/>
      <c r="F28" s="246" t="n"/>
      <c r="G28" s="183" t="n"/>
      <c r="H28" s="247" t="n"/>
      <c r="I28" s="246" t="n"/>
      <c r="J28" s="183" t="n"/>
      <c r="K28" s="247" t="n"/>
      <c r="L28" s="246" t="str">
        <f>IF(COUNT(F28,I28)=0,"",N(F28)-N(I28))</f>
        <v/>
      </c>
      <c r="M28" s="247" t="str">
        <f>IF(COUNT(H28,K28)=0,"",N(K28)-N(H28))</f>
        <v/>
      </c>
      <c r="N28" s="246" t="str">
        <f>IF(AND(ISNUMBER(F28),ISNUMBER(I28),ISNUMBER(H28),ISNUMBER(K28),F28&gt;0,I28&gt;0,H28&lt;&gt;0),ROUND(MIN(F28,I28)*(K28/I28-H28/F28),8),"")</f>
        <v/>
      </c>
      <c r="O28" s="183" t="str">
        <f>IF(ISNUMBER(N28),ROUND(N28/(MIN(F28,I28)*H28/F28)*100,2),"")</f>
        <v/>
      </c>
    </row>
    <row r="29" ht="22" customHeight="1">
      <c r="B29" s="238" t="n"/>
      <c r="C29" s="237" t="n"/>
      <c r="D29" s="238" t="n"/>
      <c r="E29" s="239" t="n"/>
      <c r="F29" s="240" t="n"/>
      <c r="G29" s="177" t="n"/>
      <c r="H29" s="241" t="n"/>
      <c r="I29" s="240" t="n"/>
      <c r="J29" s="177" t="n"/>
      <c r="K29" s="241" t="n"/>
      <c r="L29" s="240" t="str">
        <f>IF(COUNT(F29,I29)=0,"",N(F29)-N(I29))</f>
        <v/>
      </c>
      <c r="M29" s="241" t="str">
        <f>IF(COUNT(H29,K29)=0,"",N(K29)-N(H29))</f>
        <v/>
      </c>
      <c r="N29" s="240" t="str">
        <f>IF(AND(ISNUMBER(F29),ISNUMBER(I29),ISNUMBER(H29),ISNUMBER(K29),F29&gt;0,I29&gt;0,H29&lt;&gt;0),ROUND(MIN(F29,I29)*(K29/I29-H29/F29),8),"")</f>
        <v/>
      </c>
      <c r="O29" s="177" t="str">
        <f>IF(ISNUMBER(N29),ROUND(N29/(MIN(F29,I29)*H29/F29)*100,2),"")</f>
        <v/>
      </c>
    </row>
    <row r="30" ht="22" customHeight="1">
      <c r="B30" s="244" t="n"/>
      <c r="C30" s="243" t="n"/>
      <c r="D30" s="244" t="n"/>
      <c r="E30" s="245" t="n"/>
      <c r="F30" s="246" t="n"/>
      <c r="G30" s="183" t="n"/>
      <c r="H30" s="247" t="n"/>
      <c r="I30" s="246" t="n"/>
      <c r="J30" s="183" t="n"/>
      <c r="K30" s="247" t="n"/>
      <c r="L30" s="246" t="str">
        <f>IF(COUNT(F30,I30)=0,"",N(F30)-N(I30))</f>
        <v/>
      </c>
      <c r="M30" s="247" t="str">
        <f>IF(COUNT(H30,K30)=0,"",N(K30)-N(H30))</f>
        <v/>
      </c>
      <c r="N30" s="246" t="str">
        <f>IF(AND(ISNUMBER(F30),ISNUMBER(I30),ISNUMBER(H30),ISNUMBER(K30),F30&gt;0,I30&gt;0,H30&lt;&gt;0),ROUND(MIN(F30,I30)*(K30/I30-H30/F30),8),"")</f>
        <v/>
      </c>
      <c r="O30" s="183" t="str">
        <f>IF(ISNUMBER(N30),ROUND(N30/(MIN(F30,I30)*H30/F30)*100,2),"")</f>
        <v/>
      </c>
    </row>
    <row r="31" ht="22" customHeight="1">
      <c r="B31" s="238" t="n"/>
      <c r="C31" s="237" t="n"/>
      <c r="D31" s="238" t="n"/>
      <c r="E31" s="239" t="n"/>
      <c r="F31" s="240" t="n"/>
      <c r="G31" s="177" t="n"/>
      <c r="H31" s="241" t="n"/>
      <c r="I31" s="240" t="n"/>
      <c r="J31" s="177" t="n"/>
      <c r="K31" s="241" t="n"/>
      <c r="L31" s="240" t="str">
        <f>IF(COUNT(F31,I31)=0,"",N(F31)-N(I31))</f>
        <v/>
      </c>
      <c r="M31" s="241" t="str">
        <f>IF(COUNT(H31,K31)=0,"",N(K31)-N(H31))</f>
        <v/>
      </c>
      <c r="N31" s="240" t="str">
        <f>IF(AND(ISNUMBER(F31),ISNUMBER(I31),ISNUMBER(H31),ISNUMBER(K31),F31&gt;0,I31&gt;0,H31&lt;&gt;0),ROUND(MIN(F31,I31)*(K31/I31-H31/F31),8),"")</f>
        <v/>
      </c>
      <c r="O31" s="177" t="str">
        <f>IF(ISNUMBER(N31),ROUND(N31/(MIN(F31,I31)*H31/F31)*100,2),"")</f>
        <v/>
      </c>
    </row>
    <row r="32" ht="22" customHeight="1">
      <c r="B32" s="244" t="n"/>
      <c r="C32" s="243" t="n"/>
      <c r="D32" s="244" t="n"/>
      <c r="E32" s="245" t="n"/>
      <c r="F32" s="246" t="n"/>
      <c r="G32" s="183" t="n"/>
      <c r="H32" s="247" t="n"/>
      <c r="I32" s="246" t="n"/>
      <c r="J32" s="183" t="n"/>
      <c r="K32" s="247" t="n"/>
      <c r="L32" s="246" t="str">
        <f>IF(COUNT(F32,I32)=0,"",N(F32)-N(I32))</f>
        <v/>
      </c>
      <c r="M32" s="247" t="str">
        <f>IF(COUNT(H32,K32)=0,"",N(K32)-N(H32))</f>
        <v/>
      </c>
      <c r="N32" s="246" t="str">
        <f>IF(AND(ISNUMBER(F32),ISNUMBER(I32),ISNUMBER(H32),ISNUMBER(K32),F32&gt;0,I32&gt;0,H32&lt;&gt;0),ROUND(MIN(F32,I32)*(K32/I32-H32/F32),8),"")</f>
        <v/>
      </c>
      <c r="O32" s="183" t="str">
        <f>IF(ISNUMBER(N32),ROUND(N32/(MIN(F32,I32)*H32/F32)*100,2),"")</f>
        <v/>
      </c>
    </row>
    <row r="33" ht="22" customHeight="1">
      <c r="B33" s="238" t="n"/>
      <c r="C33" s="237" t="n"/>
      <c r="D33" s="238" t="n"/>
      <c r="E33" s="239" t="n"/>
      <c r="F33" s="240" t="n"/>
      <c r="G33" s="177" t="n"/>
      <c r="H33" s="241" t="n"/>
      <c r="I33" s="240" t="n"/>
      <c r="J33" s="177" t="n"/>
      <c r="K33" s="241" t="n"/>
      <c r="L33" s="240" t="str">
        <f>IF(COUNT(F33,I33)=0,"",N(F33)-N(I33))</f>
        <v/>
      </c>
      <c r="M33" s="241" t="str">
        <f>IF(COUNT(H33,K33)=0,"",N(K33)-N(H33))</f>
        <v/>
      </c>
      <c r="N33" s="240" t="str">
        <f>IF(AND(ISNUMBER(F33),ISNUMBER(I33),ISNUMBER(H33),ISNUMBER(K33),F33&gt;0,I33&gt;0,H33&lt;&gt;0),ROUND(MIN(F33,I33)*(K33/I33-H33/F33),8),"")</f>
        <v/>
      </c>
      <c r="O33" s="177" t="str">
        <f>IF(ISNUMBER(N33),ROUND(N33/(MIN(F33,I33)*H33/F33)*100,2),"")</f>
        <v/>
      </c>
    </row>
    <row r="34" ht="22" customHeight="1">
      <c r="B34" s="244" t="n"/>
      <c r="C34" s="243" t="n"/>
      <c r="D34" s="244" t="n"/>
      <c r="E34" s="245" t="n"/>
      <c r="F34" s="246" t="n"/>
      <c r="G34" s="183" t="n"/>
      <c r="H34" s="247" t="n"/>
      <c r="I34" s="246" t="n"/>
      <c r="J34" s="183" t="n"/>
      <c r="K34" s="247" t="n"/>
      <c r="L34" s="246" t="str">
        <f>IF(COUNT(F34,I34)=0,"",N(F34)-N(I34))</f>
        <v/>
      </c>
      <c r="M34" s="247" t="str">
        <f>IF(COUNT(H34,K34)=0,"",N(K34)-N(H34))</f>
        <v/>
      </c>
      <c r="N34" s="246" t="str">
        <f>IF(AND(ISNUMBER(F34),ISNUMBER(I34),ISNUMBER(H34),ISNUMBER(K34),F34&gt;0,I34&gt;0,H34&lt;&gt;0),ROUND(MIN(F34,I34)*(K34/I34-H34/F34),8),"")</f>
        <v/>
      </c>
      <c r="O34" s="183" t="str">
        <f>IF(ISNUMBER(N34),ROUND(N34/(MIN(F34,I34)*H34/F34)*100,2),"")</f>
        <v/>
      </c>
    </row>
    <row r="35" ht="22" customHeight="1">
      <c r="B35" s="238" t="n"/>
      <c r="C35" s="237" t="n"/>
      <c r="D35" s="238" t="n"/>
      <c r="E35" s="239" t="n"/>
      <c r="F35" s="240" t="n"/>
      <c r="G35" s="177" t="n"/>
      <c r="H35" s="241" t="n"/>
      <c r="I35" s="240" t="n"/>
      <c r="J35" s="177" t="n"/>
      <c r="K35" s="241" t="n"/>
      <c r="L35" s="240" t="str">
        <f>IF(COUNT(F35,I35)=0,"",N(F35)-N(I35))</f>
        <v/>
      </c>
      <c r="M35" s="241" t="str">
        <f>IF(COUNT(H35,K35)=0,"",N(K35)-N(H35))</f>
        <v/>
      </c>
      <c r="N35" s="240" t="str">
        <f>IF(AND(ISNUMBER(F35),ISNUMBER(I35),ISNUMBER(H35),ISNUMBER(K35),F35&gt;0,I35&gt;0,H35&lt;&gt;0),ROUND(MIN(F35,I35)*(K35/I35-H35/F35),8),"")</f>
        <v/>
      </c>
      <c r="O35" s="177" t="str">
        <f>IF(ISNUMBER(N35),ROUND(N35/(MIN(F35,I35)*H35/F35)*100,2),"")</f>
        <v/>
      </c>
    </row>
    <row r="36" ht="22" customHeight="1">
      <c r="B36" s="244" t="n"/>
      <c r="C36" s="243" t="n"/>
      <c r="D36" s="244" t="n"/>
      <c r="E36" s="245" t="n"/>
      <c r="F36" s="246" t="n"/>
      <c r="G36" s="183" t="n"/>
      <c r="H36" s="247" t="n"/>
      <c r="I36" s="246" t="n"/>
      <c r="J36" s="183" t="n"/>
      <c r="K36" s="247" t="n"/>
      <c r="L36" s="246" t="str">
        <f>IF(COUNT(F36,I36)=0,"",N(F36)-N(I36))</f>
        <v/>
      </c>
      <c r="M36" s="247" t="str">
        <f>IF(COUNT(H36,K36)=0,"",N(K36)-N(H36))</f>
        <v/>
      </c>
      <c r="N36" s="246" t="str">
        <f>IF(AND(ISNUMBER(F36),ISNUMBER(I36),ISNUMBER(H36),ISNUMBER(K36),F36&gt;0,I36&gt;0,H36&lt;&gt;0),ROUND(MIN(F36,I36)*(K36/I36-H36/F36),8),"")</f>
        <v/>
      </c>
      <c r="O36" s="183" t="str">
        <f>IF(ISNUMBER(N36),ROUND(N36/(MIN(F36,I36)*H36/F36)*100,2),"")</f>
        <v/>
      </c>
    </row>
    <row r="37" ht="22" customHeight="1">
      <c r="B37" s="238" t="n"/>
      <c r="C37" s="237" t="n"/>
      <c r="D37" s="238" t="n"/>
      <c r="E37" s="239" t="n"/>
      <c r="F37" s="240" t="n"/>
      <c r="G37" s="177" t="n"/>
      <c r="H37" s="241" t="n"/>
      <c r="I37" s="240" t="n"/>
      <c r="J37" s="177" t="n"/>
      <c r="K37" s="241" t="n"/>
      <c r="L37" s="240" t="str">
        <f>IF(COUNT(F37,I37)=0,"",N(F37)-N(I37))</f>
        <v/>
      </c>
      <c r="M37" s="241" t="str">
        <f>IF(COUNT(H37,K37)=0,"",N(K37)-N(H37))</f>
        <v/>
      </c>
      <c r="N37" s="240" t="str">
        <f>IF(AND(ISNUMBER(F37),ISNUMBER(I37),ISNUMBER(H37),ISNUMBER(K37),F37&gt;0,I37&gt;0,H37&lt;&gt;0),ROUND(MIN(F37,I37)*(K37/I37-H37/F37),8),"")</f>
        <v/>
      </c>
      <c r="O37" s="177" t="str">
        <f>IF(ISNUMBER(N37),ROUND(N37/(MIN(F37,I37)*H37/F37)*100,2),"")</f>
        <v/>
      </c>
    </row>
    <row r="38" ht="22" customHeight="1">
      <c r="B38" s="244" t="n"/>
      <c r="C38" s="243" t="n"/>
      <c r="D38" s="244" t="n"/>
      <c r="E38" s="245" t="n"/>
      <c r="F38" s="246" t="n"/>
      <c r="G38" s="183" t="n"/>
      <c r="H38" s="247" t="n"/>
      <c r="I38" s="246" t="n"/>
      <c r="J38" s="183" t="n"/>
      <c r="K38" s="247" t="n"/>
      <c r="L38" s="246" t="str">
        <f>IF(COUNT(F38,I38)=0,"",N(F38)-N(I38))</f>
        <v/>
      </c>
      <c r="M38" s="247" t="str">
        <f>IF(COUNT(H38,K38)=0,"",N(K38)-N(H38))</f>
        <v/>
      </c>
      <c r="N38" s="246" t="str">
        <f>IF(AND(ISNUMBER(F38),ISNUMBER(I38),ISNUMBER(H38),ISNUMBER(K38),F38&gt;0,I38&gt;0,H38&lt;&gt;0),ROUND(MIN(F38,I38)*(K38/I38-H38/F38),8),"")</f>
        <v/>
      </c>
      <c r="O38" s="183" t="str">
        <f>IF(ISNUMBER(N38),ROUND(N38/(MIN(F38,I38)*H38/F38)*100,2),"")</f>
        <v/>
      </c>
    </row>
    <row r="39" ht="22" customHeight="1">
      <c r="B39" s="238" t="n"/>
      <c r="C39" s="237" t="n"/>
      <c r="D39" s="238" t="n"/>
      <c r="E39" s="239" t="n"/>
      <c r="F39" s="240" t="n"/>
      <c r="G39" s="177" t="n"/>
      <c r="H39" s="241" t="n"/>
      <c r="I39" s="240" t="n"/>
      <c r="J39" s="177" t="n"/>
      <c r="K39" s="241" t="n"/>
      <c r="L39" s="240" t="str">
        <f>IF(COUNT(F39,I39)=0,"",N(F39)-N(I39))</f>
        <v/>
      </c>
      <c r="M39" s="241" t="str">
        <f>IF(COUNT(H39,K39)=0,"",N(K39)-N(H39))</f>
        <v/>
      </c>
      <c r="N39" s="240" t="str">
        <f>IF(AND(ISNUMBER(F39),ISNUMBER(I39),ISNUMBER(H39),ISNUMBER(K39),F39&gt;0,I39&gt;0,H39&lt;&gt;0),ROUND(MIN(F39,I39)*(K39/I39-H39/F39),8),"")</f>
        <v/>
      </c>
      <c r="O39" s="177" t="str">
        <f>IF(ISNUMBER(N39),ROUND(N39/(MIN(F39,I39)*H39/F39)*100,2),"")</f>
        <v/>
      </c>
    </row>
    <row r="40" ht="22" customHeight="1">
      <c r="B40" s="244" t="n"/>
      <c r="C40" s="243" t="n"/>
      <c r="D40" s="244" t="n"/>
      <c r="E40" s="245" t="n"/>
      <c r="F40" s="246" t="n"/>
      <c r="G40" s="183" t="n"/>
      <c r="H40" s="247" t="n"/>
      <c r="I40" s="246" t="n"/>
      <c r="J40" s="183" t="n"/>
      <c r="K40" s="247" t="n"/>
      <c r="L40" s="246" t="str">
        <f>IF(COUNT(F40,I40)=0,"",N(F40)-N(I40))</f>
        <v/>
      </c>
      <c r="M40" s="247" t="str">
        <f>IF(COUNT(H40,K40)=0,"",N(K40)-N(H40))</f>
        <v/>
      </c>
      <c r="N40" s="246" t="str">
        <f>IF(AND(ISNUMBER(F40),ISNUMBER(I40),ISNUMBER(H40),ISNUMBER(K40),F40&gt;0,I40&gt;0,H40&lt;&gt;0),ROUND(MIN(F40,I40)*(K40/I40-H40/F40),8),"")</f>
        <v/>
      </c>
      <c r="O40" s="183" t="str">
        <f>IF(ISNUMBER(N40),ROUND(N40/(MIN(F40,I40)*H40/F40)*100,2),"")</f>
        <v/>
      </c>
    </row>
    <row r="41" ht="22" customHeight="1">
      <c r="B41" s="238" t="n"/>
      <c r="C41" s="237" t="n"/>
      <c r="D41" s="238" t="n"/>
      <c r="E41" s="239" t="n"/>
      <c r="F41" s="240" t="n"/>
      <c r="G41" s="177" t="n"/>
      <c r="H41" s="241" t="n"/>
      <c r="I41" s="240" t="n"/>
      <c r="J41" s="177" t="n"/>
      <c r="K41" s="241" t="n"/>
      <c r="L41" s="240" t="str">
        <f>IF(COUNT(F41,I41)=0,"",N(F41)-N(I41))</f>
        <v/>
      </c>
      <c r="M41" s="241" t="str">
        <f>IF(COUNT(H41,K41)=0,"",N(K41)-N(H41))</f>
        <v/>
      </c>
      <c r="N41" s="240" t="str">
        <f>IF(AND(ISNUMBER(F41),ISNUMBER(I41),ISNUMBER(H41),ISNUMBER(K41),F41&gt;0,I41&gt;0,H41&lt;&gt;0),ROUND(MIN(F41,I41)*(K41/I41-H41/F41),8),"")</f>
        <v/>
      </c>
      <c r="O41" s="177" t="str">
        <f>IF(ISNUMBER(N41),ROUND(N41/(MIN(F41,I41)*H41/F41)*100,2),"")</f>
        <v/>
      </c>
    </row>
    <row r="42" ht="22" customHeight="1">
      <c r="B42" s="244" t="n"/>
      <c r="C42" s="243" t="n"/>
      <c r="D42" s="244" t="n"/>
      <c r="E42" s="245" t="n"/>
      <c r="F42" s="246" t="n"/>
      <c r="G42" s="183" t="n"/>
      <c r="H42" s="247" t="n"/>
      <c r="I42" s="246" t="n"/>
      <c r="J42" s="183" t="n"/>
      <c r="K42" s="247" t="n"/>
      <c r="L42" s="246" t="str">
        <f>IF(COUNT(F42,I42)=0,"",N(F42)-N(I42))</f>
        <v/>
      </c>
      <c r="M42" s="247" t="str">
        <f>IF(COUNT(H42,K42)=0,"",N(K42)-N(H42))</f>
        <v/>
      </c>
      <c r="N42" s="246" t="str">
        <f>IF(AND(ISNUMBER(F42),ISNUMBER(I42),ISNUMBER(H42),ISNUMBER(K42),F42&gt;0,I42&gt;0,H42&lt;&gt;0),ROUND(MIN(F42,I42)*(K42/I42-H42/F42),8),"")</f>
        <v/>
      </c>
      <c r="O42" s="183" t="str">
        <f>IF(ISNUMBER(N42),ROUND(N42/(MIN(F42,I42)*H42/F42)*100,2),"")</f>
        <v/>
      </c>
    </row>
    <row r="43" ht="22" customHeight="1">
      <c r="B43" s="238" t="n"/>
      <c r="C43" s="237" t="n"/>
      <c r="D43" s="238" t="n"/>
      <c r="E43" s="239" t="n"/>
      <c r="F43" s="240" t="n"/>
      <c r="G43" s="177" t="n"/>
      <c r="H43" s="241" t="n"/>
      <c r="I43" s="240" t="n"/>
      <c r="J43" s="177" t="n"/>
      <c r="K43" s="241" t="n"/>
      <c r="L43" s="240" t="str">
        <f>IF(COUNT(F43,I43)=0,"",N(F43)-N(I43))</f>
        <v/>
      </c>
      <c r="M43" s="241" t="str">
        <f>IF(COUNT(H43,K43)=0,"",N(K43)-N(H43))</f>
        <v/>
      </c>
      <c r="N43" s="240" t="str">
        <f>IF(AND(ISNUMBER(F43),ISNUMBER(I43),ISNUMBER(H43),ISNUMBER(K43),F43&gt;0,I43&gt;0,H43&lt;&gt;0),ROUND(MIN(F43,I43)*(K43/I43-H43/F43),8),"")</f>
        <v/>
      </c>
      <c r="O43" s="177" t="str">
        <f>IF(ISNUMBER(N43),ROUND(N43/(MIN(F43,I43)*H43/F43)*100,2),"")</f>
        <v/>
      </c>
    </row>
    <row r="44" ht="22" customHeight="1">
      <c r="B44" s="244" t="n"/>
      <c r="C44" s="243" t="n"/>
      <c r="D44" s="244" t="n"/>
      <c r="E44" s="245" t="n"/>
      <c r="F44" s="246" t="n"/>
      <c r="G44" s="183" t="n"/>
      <c r="H44" s="247" t="n"/>
      <c r="I44" s="246" t="n"/>
      <c r="J44" s="183" t="n"/>
      <c r="K44" s="247" t="n"/>
      <c r="L44" s="246" t="str">
        <f>IF(COUNT(F44,I44)=0,"",N(F44)-N(I44))</f>
        <v/>
      </c>
      <c r="M44" s="247" t="str">
        <f>IF(COUNT(H44,K44)=0,"",N(K44)-N(H44))</f>
        <v/>
      </c>
      <c r="N44" s="246" t="str">
        <f>IF(AND(ISNUMBER(F44),ISNUMBER(I44),ISNUMBER(H44),ISNUMBER(K44),F44&gt;0,I44&gt;0,H44&lt;&gt;0),ROUND(MIN(F44,I44)*(K44/I44-H44/F44),8),"")</f>
        <v/>
      </c>
      <c r="O44" s="183" t="str">
        <f>IF(ISNUMBER(N44),ROUND(N44/(MIN(F44,I44)*H44/F44)*100,2),"")</f>
        <v/>
      </c>
    </row>
    <row r="45" ht="22" customHeight="1">
      <c r="B45" s="238" t="n"/>
      <c r="C45" s="237" t="n"/>
      <c r="D45" s="238" t="n"/>
      <c r="E45" s="239" t="n"/>
      <c r="F45" s="240" t="n"/>
      <c r="G45" s="177" t="n"/>
      <c r="H45" s="241" t="n"/>
      <c r="I45" s="240" t="n"/>
      <c r="J45" s="177" t="n"/>
      <c r="K45" s="241" t="n"/>
      <c r="L45" s="240" t="str">
        <f>IF(COUNT(F45,I45)=0,"",N(F45)-N(I45))</f>
        <v/>
      </c>
      <c r="M45" s="241" t="str">
        <f>IF(COUNT(H45,K45)=0,"",N(K45)-N(H45))</f>
        <v/>
      </c>
      <c r="N45" s="240" t="str">
        <f>IF(AND(ISNUMBER(F45),ISNUMBER(I45),ISNUMBER(H45),ISNUMBER(K45),F45&gt;0,I45&gt;0,H45&lt;&gt;0),ROUND(MIN(F45,I45)*(K45/I45-H45/F45),8),"")</f>
        <v/>
      </c>
      <c r="O45" s="177" t="str">
        <f>IF(ISNUMBER(N45),ROUND(N45/(MIN(F45,I45)*H45/F45)*100,2),"")</f>
        <v/>
      </c>
    </row>
    <row r="46" ht="22" customHeight="1">
      <c r="B46" s="244" t="n"/>
      <c r="C46" s="243" t="n"/>
      <c r="D46" s="244" t="n"/>
      <c r="E46" s="245" t="n"/>
      <c r="F46" s="246" t="n"/>
      <c r="G46" s="183" t="n"/>
      <c r="H46" s="247" t="n"/>
      <c r="I46" s="246" t="n"/>
      <c r="J46" s="183" t="n"/>
      <c r="K46" s="247" t="n"/>
      <c r="L46" s="246" t="str">
        <f>IF(COUNT(F46,I46)=0,"",N(F46)-N(I46))</f>
        <v/>
      </c>
      <c r="M46" s="247" t="str">
        <f>IF(COUNT(H46,K46)=0,"",N(K46)-N(H46))</f>
        <v/>
      </c>
      <c r="N46" s="246" t="str">
        <f>IF(AND(ISNUMBER(F46),ISNUMBER(I46),ISNUMBER(H46),ISNUMBER(K46),F46&gt;0,I46&gt;0,H46&lt;&gt;0),ROUND(MIN(F46,I46)*(K46/I46-H46/F46),8),"")</f>
        <v/>
      </c>
      <c r="O46" s="183" t="str">
        <f>IF(ISNUMBER(N46),ROUND(N46/(MIN(F46,I46)*H46/F46)*100,2),"")</f>
        <v/>
      </c>
    </row>
    <row r="47" ht="22" customHeight="1">
      <c r="B47" s="238" t="n"/>
      <c r="C47" s="237" t="n"/>
      <c r="D47" s="238" t="n"/>
      <c r="E47" s="239" t="n"/>
      <c r="F47" s="240" t="n"/>
      <c r="G47" s="177" t="n"/>
      <c r="H47" s="241" t="n"/>
      <c r="I47" s="240" t="n"/>
      <c r="J47" s="177" t="n"/>
      <c r="K47" s="241" t="n"/>
      <c r="L47" s="240" t="str">
        <f>IF(COUNT(F47,I47)=0,"",N(F47)-N(I47))</f>
        <v/>
      </c>
      <c r="M47" s="241" t="str">
        <f>IF(COUNT(H47,K47)=0,"",N(K47)-N(H47))</f>
        <v/>
      </c>
      <c r="N47" s="240" t="str">
        <f>IF(AND(ISNUMBER(F47),ISNUMBER(I47),ISNUMBER(H47),ISNUMBER(K47),F47&gt;0,I47&gt;0,H47&lt;&gt;0),ROUND(MIN(F47,I47)*(K47/I47-H47/F47),8),"")</f>
        <v/>
      </c>
      <c r="O47" s="177" t="str">
        <f>IF(ISNUMBER(N47),ROUND(N47/(MIN(F47,I47)*H47/F47)*100,2),"")</f>
        <v/>
      </c>
    </row>
    <row r="48" ht="22" customHeight="1">
      <c r="B48" s="244" t="n"/>
      <c r="C48" s="243" t="n"/>
      <c r="D48" s="244" t="n"/>
      <c r="E48" s="245" t="n"/>
      <c r="F48" s="246" t="n"/>
      <c r="G48" s="183" t="n"/>
      <c r="H48" s="247" t="n"/>
      <c r="I48" s="246" t="n"/>
      <c r="J48" s="183" t="n"/>
      <c r="K48" s="247" t="n"/>
      <c r="L48" s="246" t="str">
        <f>IF(COUNT(F48,I48)=0,"",N(F48)-N(I48))</f>
        <v/>
      </c>
      <c r="M48" s="247" t="str">
        <f>IF(COUNT(H48,K48)=0,"",N(K48)-N(H48))</f>
        <v/>
      </c>
      <c r="N48" s="246" t="str">
        <f>IF(AND(ISNUMBER(F48),ISNUMBER(I48),ISNUMBER(H48),ISNUMBER(K48),F48&gt;0,I48&gt;0,H48&lt;&gt;0),ROUND(MIN(F48,I48)*(K48/I48-H48/F48),8),"")</f>
        <v/>
      </c>
      <c r="O48" s="183" t="str">
        <f>IF(ISNUMBER(N48),ROUND(N48/(MIN(F48,I48)*H48/F48)*100,2),"")</f>
        <v/>
      </c>
    </row>
    <row r="49" ht="22" customHeight="1">
      <c r="B49" s="238" t="n"/>
      <c r="C49" s="237" t="n"/>
      <c r="D49" s="238" t="n"/>
      <c r="E49" s="239" t="n"/>
      <c r="F49" s="240" t="n"/>
      <c r="G49" s="177" t="n"/>
      <c r="H49" s="241" t="n"/>
      <c r="I49" s="240" t="n"/>
      <c r="J49" s="177" t="n"/>
      <c r="K49" s="241" t="n"/>
      <c r="L49" s="240" t="str">
        <f>IF(COUNT(F49,I49)=0,"",N(F49)-N(I49))</f>
        <v/>
      </c>
      <c r="M49" s="241" t="str">
        <f>IF(COUNT(H49,K49)=0,"",N(K49)-N(H49))</f>
        <v/>
      </c>
      <c r="N49" s="240" t="str">
        <f>IF(AND(ISNUMBER(F49),ISNUMBER(I49),ISNUMBER(H49),ISNUMBER(K49),F49&gt;0,I49&gt;0,H49&lt;&gt;0),ROUND(MIN(F49,I49)*(K49/I49-H49/F49),8),"")</f>
        <v/>
      </c>
      <c r="O49" s="177" t="str">
        <f>IF(ISNUMBER(N49),ROUND(N49/(MIN(F49,I49)*H49/F49)*100,2),"")</f>
        <v/>
      </c>
    </row>
    <row r="50" ht="22" customHeight="1">
      <c r="B50" s="244" t="n"/>
      <c r="C50" s="243" t="n"/>
      <c r="D50" s="244" t="n"/>
      <c r="E50" s="245" t="n"/>
      <c r="F50" s="246" t="n"/>
      <c r="G50" s="183" t="n"/>
      <c r="H50" s="247" t="n"/>
      <c r="I50" s="246" t="n"/>
      <c r="J50" s="183" t="n"/>
      <c r="K50" s="247" t="n"/>
      <c r="L50" s="246" t="str">
        <f>IF(COUNT(F50,I50)=0,"",N(F50)-N(I50))</f>
        <v/>
      </c>
      <c r="M50" s="247" t="str">
        <f>IF(COUNT(H50,K50)=0,"",N(K50)-N(H50))</f>
        <v/>
      </c>
      <c r="N50" s="246" t="str">
        <f>IF(AND(ISNUMBER(F50),ISNUMBER(I50),ISNUMBER(H50),ISNUMBER(K50),F50&gt;0,I50&gt;0,H50&lt;&gt;0),ROUND(MIN(F50,I50)*(K50/I50-H50/F50),8),"")</f>
        <v/>
      </c>
      <c r="O50" s="183" t="str">
        <f>IF(ISNUMBER(N50),ROUND(N50/(MIN(F50,I50)*H50/F50)*100,2),"")</f>
        <v/>
      </c>
    </row>
    <row r="51" ht="22" customHeight="1">
      <c r="B51" s="238" t="n"/>
      <c r="C51" s="237" t="n"/>
      <c r="D51" s="238" t="n"/>
      <c r="E51" s="239" t="n"/>
      <c r="F51" s="240" t="n"/>
      <c r="G51" s="177" t="n"/>
      <c r="H51" s="241" t="n"/>
      <c r="I51" s="240" t="n"/>
      <c r="J51" s="177" t="n"/>
      <c r="K51" s="241" t="n"/>
      <c r="L51" s="240" t="str">
        <f>IF(COUNT(F51,I51)=0,"",N(F51)-N(I51))</f>
        <v/>
      </c>
      <c r="M51" s="241" t="str">
        <f>IF(COUNT(H51,K51)=0,"",N(K51)-N(H51))</f>
        <v/>
      </c>
      <c r="N51" s="240" t="str">
        <f>IF(AND(ISNUMBER(F51),ISNUMBER(I51),ISNUMBER(H51),ISNUMBER(K51),F51&gt;0,I51&gt;0,H51&lt;&gt;0),ROUND(MIN(F51,I51)*(K51/I51-H51/F51),8),"")</f>
        <v/>
      </c>
      <c r="O51" s="177" t="str">
        <f>IF(ISNUMBER(N51),ROUND(N51/(MIN(F51,I51)*H51/F51)*100,2),"")</f>
        <v/>
      </c>
    </row>
    <row r="52" ht="22" customHeight="1">
      <c r="B52" s="244" t="n"/>
      <c r="C52" s="243" t="n"/>
      <c r="D52" s="244" t="n"/>
      <c r="E52" s="245" t="n"/>
      <c r="F52" s="246" t="n"/>
      <c r="G52" s="183" t="n"/>
      <c r="H52" s="247" t="n"/>
      <c r="I52" s="246" t="n"/>
      <c r="J52" s="183" t="n"/>
      <c r="K52" s="247" t="n"/>
      <c r="L52" s="246" t="str">
        <f>IF(COUNT(F52,I52)=0,"",N(F52)-N(I52))</f>
        <v/>
      </c>
      <c r="M52" s="247" t="str">
        <f>IF(COUNT(H52,K52)=0,"",N(K52)-N(H52))</f>
        <v/>
      </c>
      <c r="N52" s="246" t="str">
        <f>IF(AND(ISNUMBER(F52),ISNUMBER(I52),ISNUMBER(H52),ISNUMBER(K52),F52&gt;0,I52&gt;0,H52&lt;&gt;0),ROUND(MIN(F52,I52)*(K52/I52-H52/F52),8),"")</f>
        <v/>
      </c>
      <c r="O52" s="183" t="str">
        <f>IF(ISNUMBER(N52),ROUND(N52/(MIN(F52,I52)*H52/F52)*100,2),"")</f>
        <v/>
      </c>
    </row>
    <row r="53" ht="22" customHeight="1">
      <c r="B53" s="238" t="n"/>
      <c r="C53" s="237" t="n"/>
      <c r="D53" s="238" t="n"/>
      <c r="E53" s="239" t="n"/>
      <c r="F53" s="240" t="n"/>
      <c r="G53" s="177" t="n"/>
      <c r="H53" s="241" t="n"/>
      <c r="I53" s="240" t="n"/>
      <c r="J53" s="177" t="n"/>
      <c r="K53" s="241" t="n"/>
      <c r="L53" s="240" t="str">
        <f>IF(COUNT(F53,I53)=0,"",N(F53)-N(I53))</f>
        <v/>
      </c>
      <c r="M53" s="241" t="str">
        <f>IF(COUNT(H53,K53)=0,"",N(K53)-N(H53))</f>
        <v/>
      </c>
      <c r="N53" s="240" t="str">
        <f>IF(AND(ISNUMBER(F53),ISNUMBER(I53),ISNUMBER(H53),ISNUMBER(K53),F53&gt;0,I53&gt;0,H53&lt;&gt;0),ROUND(MIN(F53,I53)*(K53/I53-H53/F53),8),"")</f>
        <v/>
      </c>
      <c r="O53" s="177" t="str">
        <f>IF(ISNUMBER(N53),ROUND(N53/(MIN(F53,I53)*H53/F53)*100,2),"")</f>
        <v/>
      </c>
    </row>
    <row r="54" ht="22" customHeight="1">
      <c r="B54" s="244" t="n"/>
      <c r="C54" s="243" t="n"/>
      <c r="D54" s="244" t="n"/>
      <c r="E54" s="245" t="n"/>
      <c r="F54" s="246" t="n"/>
      <c r="G54" s="183" t="n"/>
      <c r="H54" s="247" t="n"/>
      <c r="I54" s="246" t="n"/>
      <c r="J54" s="183" t="n"/>
      <c r="K54" s="247" t="n"/>
      <c r="L54" s="246" t="str">
        <f>IF(COUNT(F54,I54)=0,"",N(F54)-N(I54))</f>
        <v/>
      </c>
      <c r="M54" s="247" t="str">
        <f>IF(COUNT(H54,K54)=0,"",N(K54)-N(H54))</f>
        <v/>
      </c>
      <c r="N54" s="246" t="str">
        <f>IF(AND(ISNUMBER(F54),ISNUMBER(I54),ISNUMBER(H54),ISNUMBER(K54),F54&gt;0,I54&gt;0,H54&lt;&gt;0),ROUND(MIN(F54,I54)*(K54/I54-H54/F54),8),"")</f>
        <v/>
      </c>
      <c r="O54" s="183" t="str">
        <f>IF(ISNUMBER(N54),ROUND(N54/(MIN(F54,I54)*H54/F54)*100,2),"")</f>
        <v/>
      </c>
    </row>
    <row r="55" ht="22" customHeight="1">
      <c r="B55" s="238" t="n"/>
      <c r="C55" s="237" t="n"/>
      <c r="D55" s="238" t="n"/>
      <c r="E55" s="239" t="n"/>
      <c r="F55" s="240" t="n"/>
      <c r="G55" s="177" t="n"/>
      <c r="H55" s="241" t="n"/>
      <c r="I55" s="240" t="n"/>
      <c r="J55" s="177" t="n"/>
      <c r="K55" s="241" t="n"/>
      <c r="L55" s="240" t="str">
        <f>IF(COUNT(F55,I55)=0,"",N(F55)-N(I55))</f>
        <v/>
      </c>
      <c r="M55" s="241" t="str">
        <f>IF(COUNT(H55,K55)=0,"",N(K55)-N(H55))</f>
        <v/>
      </c>
      <c r="N55" s="240" t="str">
        <f>IF(AND(ISNUMBER(F55),ISNUMBER(I55),ISNUMBER(H55),ISNUMBER(K55),F55&gt;0,I55&gt;0,H55&lt;&gt;0),ROUND(MIN(F55,I55)*(K55/I55-H55/F55),8),"")</f>
        <v/>
      </c>
      <c r="O55" s="177" t="str">
        <f>IF(ISNUMBER(N55),ROUND(N55/(MIN(F55,I55)*H55/F55)*100,2),"")</f>
        <v/>
      </c>
    </row>
    <row r="56" ht="22" customHeight="1">
      <c r="B56" s="244" t="n"/>
      <c r="C56" s="243" t="n"/>
      <c r="D56" s="244" t="n"/>
      <c r="E56" s="245" t="n"/>
      <c r="F56" s="246" t="n"/>
      <c r="G56" s="183" t="n"/>
      <c r="H56" s="247" t="n"/>
      <c r="I56" s="246" t="n"/>
      <c r="J56" s="183" t="n"/>
      <c r="K56" s="247" t="n"/>
      <c r="L56" s="246" t="str">
        <f>IF(COUNT(F56,I56)=0,"",N(F56)-N(I56))</f>
        <v/>
      </c>
      <c r="M56" s="247" t="str">
        <f>IF(COUNT(H56,K56)=0,"",N(K56)-N(H56))</f>
        <v/>
      </c>
      <c r="N56" s="246" t="str">
        <f>IF(AND(ISNUMBER(F56),ISNUMBER(I56),ISNUMBER(H56),ISNUMBER(K56),F56&gt;0,I56&gt;0,H56&lt;&gt;0),ROUND(MIN(F56,I56)*(K56/I56-H56/F56),8),"")</f>
        <v/>
      </c>
      <c r="O56" s="183" t="str">
        <f>IF(ISNUMBER(N56),ROUND(N56/(MIN(F56,I56)*H56/F56)*100,2),"")</f>
        <v/>
      </c>
    </row>
    <row r="57" ht="22" customHeight="1">
      <c r="B57" s="238" t="n"/>
      <c r="C57" s="237" t="n"/>
      <c r="D57" s="238" t="n"/>
      <c r="E57" s="239" t="n"/>
      <c r="F57" s="240" t="n"/>
      <c r="G57" s="177" t="n"/>
      <c r="H57" s="241" t="n"/>
      <c r="I57" s="240" t="n"/>
      <c r="J57" s="177" t="n"/>
      <c r="K57" s="241" t="n"/>
      <c r="L57" s="240" t="str">
        <f>IF(COUNT(F57,I57)=0,"",N(F57)-N(I57))</f>
        <v/>
      </c>
      <c r="M57" s="241" t="str">
        <f>IF(COUNT(H57,K57)=0,"",N(K57)-N(H57))</f>
        <v/>
      </c>
      <c r="N57" s="240" t="str">
        <f>IF(AND(ISNUMBER(F57),ISNUMBER(I57),ISNUMBER(H57),ISNUMBER(K57),F57&gt;0,I57&gt;0,H57&lt;&gt;0),ROUND(MIN(F57,I57)*(K57/I57-H57/F57),8),"")</f>
        <v/>
      </c>
      <c r="O57" s="177" t="str">
        <f>IF(ISNUMBER(N57),ROUND(N57/(MIN(F57,I57)*H57/F57)*100,2),"")</f>
        <v/>
      </c>
    </row>
    <row r="58" ht="22" customHeight="1">
      <c r="B58" s="244" t="n"/>
      <c r="C58" s="243" t="n"/>
      <c r="D58" s="244" t="n"/>
      <c r="E58" s="245" t="n"/>
      <c r="F58" s="246" t="n"/>
      <c r="G58" s="183" t="n"/>
      <c r="H58" s="247" t="n"/>
      <c r="I58" s="246" t="n"/>
      <c r="J58" s="183" t="n"/>
      <c r="K58" s="247" t="n"/>
      <c r="L58" s="246" t="str">
        <f>IF(COUNT(F58,I58)=0,"",N(F58)-N(I58))</f>
        <v/>
      </c>
      <c r="M58" s="247" t="str">
        <f>IF(COUNT(H58,K58)=0,"",N(K58)-N(H58))</f>
        <v/>
      </c>
      <c r="N58" s="246" t="str">
        <f>IF(AND(ISNUMBER(F58),ISNUMBER(I58),ISNUMBER(H58),ISNUMBER(K58),F58&gt;0,I58&gt;0,H58&lt;&gt;0),ROUND(MIN(F58,I58)*(K58/I58-H58/F58),8),"")</f>
        <v/>
      </c>
      <c r="O58" s="183" t="str">
        <f>IF(ISNUMBER(N58),ROUND(N58/(MIN(F58,I58)*H58/F58)*100,2),"")</f>
        <v/>
      </c>
    </row>
    <row r="59" ht="22" customHeight="1">
      <c r="B59" s="238" t="n"/>
      <c r="C59" s="237" t="n"/>
      <c r="D59" s="238" t="n"/>
      <c r="E59" s="239" t="n"/>
      <c r="F59" s="240" t="n"/>
      <c r="G59" s="177" t="n"/>
      <c r="H59" s="241" t="n"/>
      <c r="I59" s="240" t="n"/>
      <c r="J59" s="177" t="n"/>
      <c r="K59" s="241" t="n"/>
      <c r="L59" s="240" t="str">
        <f>IF(COUNT(F59,I59)=0,"",N(F59)-N(I59))</f>
        <v/>
      </c>
      <c r="M59" s="241" t="str">
        <f>IF(COUNT(H59,K59)=0,"",N(K59)-N(H59))</f>
        <v/>
      </c>
      <c r="N59" s="240" t="str">
        <f>IF(AND(ISNUMBER(F59),ISNUMBER(I59),ISNUMBER(H59),ISNUMBER(K59),F59&gt;0,I59&gt;0,H59&lt;&gt;0),ROUND(MIN(F59,I59)*(K59/I59-H59/F59),8),"")</f>
        <v/>
      </c>
      <c r="O59" s="177" t="str">
        <f>IF(ISNUMBER(N59),ROUND(N59/(MIN(F59,I59)*H59/F59)*100,2),"")</f>
        <v/>
      </c>
    </row>
    <row r="60" ht="22" customHeight="1">
      <c r="B60" s="244" t="n"/>
      <c r="C60" s="243" t="n"/>
      <c r="D60" s="244" t="n"/>
      <c r="E60" s="245" t="n"/>
      <c r="F60" s="246" t="n"/>
      <c r="G60" s="183" t="n"/>
      <c r="H60" s="247" t="n"/>
      <c r="I60" s="246" t="n"/>
      <c r="J60" s="183" t="n"/>
      <c r="K60" s="247" t="n"/>
      <c r="L60" s="246" t="str">
        <f>IF(COUNT(F60,I60)=0,"",N(F60)-N(I60))</f>
        <v/>
      </c>
      <c r="M60" s="247" t="str">
        <f>IF(COUNT(H60,K60)=0,"",N(K60)-N(H60))</f>
        <v/>
      </c>
      <c r="N60" s="246" t="str">
        <f>IF(AND(ISNUMBER(F60),ISNUMBER(I60),ISNUMBER(H60),ISNUMBER(K60),F60&gt;0,I60&gt;0,H60&lt;&gt;0),ROUND(MIN(F60,I60)*(K60/I60-H60/F60),8),"")</f>
        <v/>
      </c>
      <c r="O60" s="183" t="str">
        <f>IF(ISNUMBER(N60),ROUND(N60/(MIN(F60,I60)*H60/F60)*100,2),"")</f>
        <v/>
      </c>
    </row>
    <row r="61" ht="22" customHeight="1">
      <c r="B61" s="238" t="n"/>
      <c r="C61" s="237" t="n"/>
      <c r="D61" s="238" t="n"/>
      <c r="E61" s="239" t="n"/>
      <c r="F61" s="240" t="n"/>
      <c r="G61" s="177" t="n"/>
      <c r="H61" s="241" t="n"/>
      <c r="I61" s="240" t="n"/>
      <c r="J61" s="177" t="n"/>
      <c r="K61" s="241" t="n"/>
      <c r="L61" s="240" t="str">
        <f>IF(COUNT(F61,I61)=0,"",N(F61)-N(I61))</f>
        <v/>
      </c>
      <c r="M61" s="241" t="str">
        <f>IF(COUNT(H61,K61)=0,"",N(K61)-N(H61))</f>
        <v/>
      </c>
      <c r="N61" s="240" t="str">
        <f>IF(AND(ISNUMBER(F61),ISNUMBER(I61),ISNUMBER(H61),ISNUMBER(K61),F61&gt;0,I61&gt;0,H61&lt;&gt;0),ROUND(MIN(F61,I61)*(K61/I61-H61/F61),8),"")</f>
        <v/>
      </c>
      <c r="O61" s="177" t="str">
        <f>IF(ISNUMBER(N61),ROUND(N61/(MIN(F61,I61)*H61/F61)*100,2),"")</f>
        <v/>
      </c>
    </row>
    <row r="62" ht="22" customHeight="1">
      <c r="B62" s="244" t="n"/>
      <c r="C62" s="243" t="n"/>
      <c r="D62" s="244" t="n"/>
      <c r="E62" s="245" t="n"/>
      <c r="F62" s="246" t="n"/>
      <c r="G62" s="183" t="n"/>
      <c r="H62" s="247" t="n"/>
      <c r="I62" s="246" t="n"/>
      <c r="J62" s="183" t="n"/>
      <c r="K62" s="247" t="n"/>
      <c r="L62" s="246" t="str">
        <f>IF(COUNT(F62,I62)=0,"",N(F62)-N(I62))</f>
        <v/>
      </c>
      <c r="M62" s="247" t="str">
        <f>IF(COUNT(H62,K62)=0,"",N(K62)-N(H62))</f>
        <v/>
      </c>
      <c r="N62" s="246" t="str">
        <f>IF(AND(ISNUMBER(F62),ISNUMBER(I62),ISNUMBER(H62),ISNUMBER(K62),F62&gt;0,I62&gt;0,H62&lt;&gt;0),ROUND(MIN(F62,I62)*(K62/I62-H62/F62),8),"")</f>
        <v/>
      </c>
      <c r="O62" s="183" t="str">
        <f>IF(ISNUMBER(N62),ROUND(N62/(MIN(F62,I62)*H62/F62)*100,2),"")</f>
        <v/>
      </c>
    </row>
    <row r="63" ht="22" customHeight="1">
      <c r="B63" s="238" t="n"/>
      <c r="C63" s="237" t="n"/>
      <c r="D63" s="238" t="n"/>
      <c r="E63" s="239" t="n"/>
      <c r="F63" s="240" t="n"/>
      <c r="G63" s="177" t="n"/>
      <c r="H63" s="241" t="n"/>
      <c r="I63" s="240" t="n"/>
      <c r="J63" s="177" t="n"/>
      <c r="K63" s="241" t="n"/>
      <c r="L63" s="240" t="str">
        <f>IF(COUNT(F63,I63)=0,"",N(F63)-N(I63))</f>
        <v/>
      </c>
      <c r="M63" s="241" t="str">
        <f>IF(COUNT(H63,K63)=0,"",N(K63)-N(H63))</f>
        <v/>
      </c>
      <c r="N63" s="240" t="str">
        <f>IF(AND(ISNUMBER(F63),ISNUMBER(I63),ISNUMBER(H63),ISNUMBER(K63),F63&gt;0,I63&gt;0,H63&lt;&gt;0),ROUND(MIN(F63,I63)*(K63/I63-H63/F63),8),"")</f>
        <v/>
      </c>
      <c r="O63" s="177" t="str">
        <f>IF(ISNUMBER(N63),ROUND(N63/(MIN(F63,I63)*H63/F63)*100,2),"")</f>
        <v/>
      </c>
    </row>
    <row r="64" ht="22" customHeight="1">
      <c r="B64" s="244" t="n"/>
      <c r="C64" s="243" t="n"/>
      <c r="D64" s="244" t="n"/>
      <c r="E64" s="245" t="n"/>
      <c r="F64" s="246" t="n"/>
      <c r="G64" s="183" t="n"/>
      <c r="H64" s="247" t="n"/>
      <c r="I64" s="246" t="n"/>
      <c r="J64" s="183" t="n"/>
      <c r="K64" s="247" t="n"/>
      <c r="L64" s="246" t="str">
        <f>IF(COUNT(F64,I64)=0,"",N(F64)-N(I64))</f>
        <v/>
      </c>
      <c r="M64" s="247" t="str">
        <f>IF(COUNT(H64,K64)=0,"",N(K64)-N(H64))</f>
        <v/>
      </c>
      <c r="N64" s="246" t="str">
        <f>IF(AND(ISNUMBER(F64),ISNUMBER(I64),ISNUMBER(H64),ISNUMBER(K64),F64&gt;0,I64&gt;0,H64&lt;&gt;0),ROUND(MIN(F64,I64)*(K64/I64-H64/F64),8),"")</f>
        <v/>
      </c>
      <c r="O64" s="183" t="str">
        <f>IF(ISNUMBER(N64),ROUND(N64/(MIN(F64,I64)*H64/F64)*100,2),"")</f>
        <v/>
      </c>
    </row>
    <row r="65" ht="22" customHeight="1">
      <c r="B65" s="238" t="n"/>
      <c r="C65" s="237" t="n"/>
      <c r="D65" s="238" t="n"/>
      <c r="E65" s="239" t="n"/>
      <c r="F65" s="240" t="n"/>
      <c r="G65" s="177" t="n"/>
      <c r="H65" s="241" t="n"/>
      <c r="I65" s="240" t="n"/>
      <c r="J65" s="177" t="n"/>
      <c r="K65" s="241" t="n"/>
      <c r="L65" s="240" t="str">
        <f>IF(COUNT(F65,I65)=0,"",N(F65)-N(I65))</f>
        <v/>
      </c>
      <c r="M65" s="241" t="str">
        <f>IF(COUNT(H65,K65)=0,"",N(K65)-N(H65))</f>
        <v/>
      </c>
      <c r="N65" s="240" t="str">
        <f>IF(AND(ISNUMBER(F65),ISNUMBER(I65),ISNUMBER(H65),ISNUMBER(K65),F65&gt;0,I65&gt;0,H65&lt;&gt;0),ROUND(MIN(F65,I65)*(K65/I65-H65/F65),8),"")</f>
        <v/>
      </c>
      <c r="O65" s="177" t="str">
        <f>IF(ISNUMBER(N65),ROUND(N65/(MIN(F65,I65)*H65/F65)*100,2),"")</f>
        <v/>
      </c>
    </row>
    <row r="66" ht="22" customHeight="1">
      <c r="B66" s="244" t="n"/>
      <c r="C66" s="243" t="n"/>
      <c r="D66" s="244" t="n"/>
      <c r="E66" s="245" t="n"/>
      <c r="F66" s="246" t="n"/>
      <c r="G66" s="183" t="n"/>
      <c r="H66" s="247" t="n"/>
      <c r="I66" s="246" t="n"/>
      <c r="J66" s="183" t="n"/>
      <c r="K66" s="247" t="n"/>
      <c r="L66" s="246" t="str">
        <f>IF(COUNT(F66,I66)=0,"",N(F66)-N(I66))</f>
        <v/>
      </c>
      <c r="M66" s="247" t="str">
        <f>IF(COUNT(H66,K66)=0,"",N(K66)-N(H66))</f>
        <v/>
      </c>
      <c r="N66" s="246" t="str">
        <f>IF(AND(ISNUMBER(F66),ISNUMBER(I66),ISNUMBER(H66),ISNUMBER(K66),F66&gt;0,I66&gt;0,H66&lt;&gt;0),ROUND(MIN(F66,I66)*(K66/I66-H66/F66),8),"")</f>
        <v/>
      </c>
      <c r="O66" s="183" t="str">
        <f>IF(ISNUMBER(N66),ROUND(N66/(MIN(F66,I66)*H66/F66)*100,2),"")</f>
        <v/>
      </c>
    </row>
    <row r="67" ht="22" customHeight="1">
      <c r="B67" s="238" t="n"/>
      <c r="C67" s="237" t="n"/>
      <c r="D67" s="238" t="n"/>
      <c r="E67" s="239" t="n"/>
      <c r="F67" s="240" t="n"/>
      <c r="G67" s="177" t="n"/>
      <c r="H67" s="241" t="n"/>
      <c r="I67" s="240" t="n"/>
      <c r="J67" s="177" t="n"/>
      <c r="K67" s="241" t="n"/>
      <c r="L67" s="240" t="str">
        <f>IF(COUNT(F67,I67)=0,"",N(F67)-N(I67))</f>
        <v/>
      </c>
      <c r="M67" s="241" t="str">
        <f>IF(COUNT(H67,K67)=0,"",N(K67)-N(H67))</f>
        <v/>
      </c>
      <c r="N67" s="240" t="str">
        <f>IF(AND(ISNUMBER(F67),ISNUMBER(I67),ISNUMBER(H67),ISNUMBER(K67),F67&gt;0,I67&gt;0,H67&lt;&gt;0),ROUND(MIN(F67,I67)*(K67/I67-H67/F67),8),"")</f>
        <v/>
      </c>
      <c r="O67" s="177" t="str">
        <f>IF(ISNUMBER(N67),ROUND(N67/(MIN(F67,I67)*H67/F67)*100,2),"")</f>
        <v/>
      </c>
    </row>
    <row r="68" ht="22" customHeight="1">
      <c r="B68" s="244" t="n"/>
      <c r="C68" s="243" t="n"/>
      <c r="D68" s="244" t="n"/>
      <c r="E68" s="245" t="n"/>
      <c r="F68" s="246" t="n"/>
      <c r="G68" s="183" t="n"/>
      <c r="H68" s="247" t="n"/>
      <c r="I68" s="246" t="n"/>
      <c r="J68" s="183" t="n"/>
      <c r="K68" s="247" t="n"/>
      <c r="L68" s="246" t="str">
        <f>IF(COUNT(F68,I68)=0,"",N(F68)-N(I68))</f>
        <v/>
      </c>
      <c r="M68" s="247" t="str">
        <f>IF(COUNT(H68,K68)=0,"",N(K68)-N(H68))</f>
        <v/>
      </c>
      <c r="N68" s="246" t="str">
        <f>IF(AND(ISNUMBER(F68),ISNUMBER(I68),ISNUMBER(H68),ISNUMBER(K68),F68&gt;0,I68&gt;0,H68&lt;&gt;0),ROUND(MIN(F68,I68)*(K68/I68-H68/F68),8),"")</f>
        <v/>
      </c>
      <c r="O68" s="183" t="str">
        <f>IF(ISNUMBER(N68),ROUND(N68/(MIN(F68,I68)*H68/F68)*100,2),"")</f>
        <v/>
      </c>
    </row>
    <row r="69" ht="22" customHeight="1">
      <c r="B69" s="238" t="n"/>
      <c r="C69" s="237" t="n"/>
      <c r="D69" s="238" t="n"/>
      <c r="E69" s="239" t="n"/>
      <c r="F69" s="240" t="n"/>
      <c r="G69" s="177" t="n"/>
      <c r="H69" s="241" t="n"/>
      <c r="I69" s="240" t="n"/>
      <c r="J69" s="177" t="n"/>
      <c r="K69" s="241" t="n"/>
      <c r="L69" s="240" t="str">
        <f>IF(COUNT(F69,I69)=0,"",N(F69)-N(I69))</f>
        <v/>
      </c>
      <c r="M69" s="241" t="str">
        <f>IF(COUNT(H69,K69)=0,"",N(K69)-N(H69))</f>
        <v/>
      </c>
      <c r="N69" s="240" t="str">
        <f>IF(AND(ISNUMBER(F69),ISNUMBER(I69),ISNUMBER(H69),ISNUMBER(K69),F69&gt;0,I69&gt;0,H69&lt;&gt;0),ROUND(MIN(F69,I69)*(K69/I69-H69/F69),8),"")</f>
        <v/>
      </c>
      <c r="O69" s="177" t="str">
        <f>IF(ISNUMBER(N69),ROUND(N69/(MIN(F69,I69)*H69/F69)*100,2),"")</f>
        <v/>
      </c>
    </row>
    <row r="70" ht="22" customHeight="1">
      <c r="B70" s="244" t="n"/>
      <c r="C70" s="243" t="n"/>
      <c r="D70" s="244" t="n"/>
      <c r="E70" s="245" t="n"/>
      <c r="F70" s="246" t="n"/>
      <c r="G70" s="183" t="n"/>
      <c r="H70" s="247" t="n"/>
      <c r="I70" s="246" t="n"/>
      <c r="J70" s="183" t="n"/>
      <c r="K70" s="247" t="n"/>
      <c r="L70" s="246" t="str">
        <f>IF(COUNT(F70,I70)=0,"",N(F70)-N(I70))</f>
        <v/>
      </c>
      <c r="M70" s="247" t="str">
        <f>IF(COUNT(H70,K70)=0,"",N(K70)-N(H70))</f>
        <v/>
      </c>
      <c r="N70" s="246" t="str">
        <f>IF(AND(ISNUMBER(F70),ISNUMBER(I70),ISNUMBER(H70),ISNUMBER(K70),F70&gt;0,I70&gt;0,H70&lt;&gt;0),ROUND(MIN(F70,I70)*(K70/I70-H70/F70),8),"")</f>
        <v/>
      </c>
      <c r="O70" s="183" t="str">
        <f>IF(ISNUMBER(N70),ROUND(N70/(MIN(F70,I70)*H70/F70)*100,2),"")</f>
        <v/>
      </c>
    </row>
    <row r="71" ht="22" customHeight="1">
      <c r="B71" s="238" t="n"/>
      <c r="C71" s="237" t="n"/>
      <c r="D71" s="238" t="n"/>
      <c r="E71" s="239" t="n"/>
      <c r="F71" s="240" t="n"/>
      <c r="G71" s="177" t="n"/>
      <c r="H71" s="241" t="n"/>
      <c r="I71" s="240" t="n"/>
      <c r="J71" s="177" t="n"/>
      <c r="K71" s="241" t="n"/>
      <c r="L71" s="240" t="str">
        <f>IF(COUNT(F71,I71)=0,"",N(F71)-N(I71))</f>
        <v/>
      </c>
      <c r="M71" s="241" t="str">
        <f>IF(COUNT(H71,K71)=0,"",N(K71)-N(H71))</f>
        <v/>
      </c>
      <c r="N71" s="240" t="str">
        <f>IF(AND(ISNUMBER(F71),ISNUMBER(I71),ISNUMBER(H71),ISNUMBER(K71),F71&gt;0,I71&gt;0,H71&lt;&gt;0),ROUND(MIN(F71,I71)*(K71/I71-H71/F71),8),"")</f>
        <v/>
      </c>
      <c r="O71" s="177" t="str">
        <f>IF(ISNUMBER(N71),ROUND(N71/(MIN(F71,I71)*H71/F71)*100,2),"")</f>
        <v/>
      </c>
    </row>
    <row r="72" ht="22" customHeight="1">
      <c r="B72" s="244" t="n"/>
      <c r="C72" s="243" t="n"/>
      <c r="D72" s="244" t="n"/>
      <c r="E72" s="245" t="n"/>
      <c r="F72" s="246" t="n"/>
      <c r="G72" s="183" t="n"/>
      <c r="H72" s="247" t="n"/>
      <c r="I72" s="246" t="n"/>
      <c r="J72" s="183" t="n"/>
      <c r="K72" s="247" t="n"/>
      <c r="L72" s="246" t="str">
        <f>IF(COUNT(F72,I72)=0,"",N(F72)-N(I72))</f>
        <v/>
      </c>
      <c r="M72" s="247" t="str">
        <f>IF(COUNT(H72,K72)=0,"",N(K72)-N(H72))</f>
        <v/>
      </c>
      <c r="N72" s="246" t="str">
        <f>IF(AND(ISNUMBER(F72),ISNUMBER(I72),ISNUMBER(H72),ISNUMBER(K72),F72&gt;0,I72&gt;0,H72&lt;&gt;0),ROUND(MIN(F72,I72)*(K72/I72-H72/F72),8),"")</f>
        <v/>
      </c>
      <c r="O72" s="183" t="str">
        <f>IF(ISNUMBER(N72),ROUND(N72/(MIN(F72,I72)*H72/F72)*100,2),"")</f>
        <v/>
      </c>
    </row>
    <row r="73" ht="22" customHeight="1">
      <c r="B73" s="238" t="n"/>
      <c r="C73" s="237" t="n"/>
      <c r="D73" s="238" t="n"/>
      <c r="E73" s="239" t="n"/>
      <c r="F73" s="240" t="n"/>
      <c r="G73" s="177" t="n"/>
      <c r="H73" s="241" t="n"/>
      <c r="I73" s="240" t="n"/>
      <c r="J73" s="177" t="n"/>
      <c r="K73" s="241" t="n"/>
      <c r="L73" s="240" t="str">
        <f>IF(COUNT(F73,I73)=0,"",N(F73)-N(I73))</f>
        <v/>
      </c>
      <c r="M73" s="241" t="str">
        <f>IF(COUNT(H73,K73)=0,"",N(K73)-N(H73))</f>
        <v/>
      </c>
      <c r="N73" s="240" t="str">
        <f>IF(AND(ISNUMBER(F73),ISNUMBER(I73),ISNUMBER(H73),ISNUMBER(K73),F73&gt;0,I73&gt;0,H73&lt;&gt;0),ROUND(MIN(F73,I73)*(K73/I73-H73/F73),8),"")</f>
        <v/>
      </c>
      <c r="O73" s="177" t="str">
        <f>IF(ISNUMBER(N73),ROUND(N73/(MIN(F73,I73)*H73/F73)*100,2),"")</f>
        <v/>
      </c>
    </row>
    <row r="74" ht="22" customHeight="1">
      <c r="B74" s="244" t="n"/>
      <c r="C74" s="243" t="n"/>
      <c r="D74" s="244" t="n"/>
      <c r="E74" s="245" t="n"/>
      <c r="F74" s="246" t="n"/>
      <c r="G74" s="183" t="n"/>
      <c r="H74" s="247" t="n"/>
      <c r="I74" s="246" t="n"/>
      <c r="J74" s="183" t="n"/>
      <c r="K74" s="247" t="n"/>
      <c r="L74" s="246" t="str">
        <f>IF(COUNT(F74,I74)=0,"",N(F74)-N(I74))</f>
        <v/>
      </c>
      <c r="M74" s="247" t="str">
        <f>IF(COUNT(H74,K74)=0,"",N(K74)-N(H74))</f>
        <v/>
      </c>
      <c r="N74" s="246" t="str">
        <f>IF(AND(ISNUMBER(F74),ISNUMBER(I74),ISNUMBER(H74),ISNUMBER(K74),F74&gt;0,I74&gt;0,H74&lt;&gt;0),ROUND(MIN(F74,I74)*(K74/I74-H74/F74),8),"")</f>
        <v/>
      </c>
      <c r="O74" s="183" t="str">
        <f>IF(ISNUMBER(N74),ROUND(N74/(MIN(F74,I74)*H74/F74)*100,2),"")</f>
        <v/>
      </c>
    </row>
    <row r="75" ht="22" customHeight="1">
      <c r="B75" s="238" t="n"/>
      <c r="C75" s="237" t="n"/>
      <c r="D75" s="238" t="n"/>
      <c r="E75" s="239" t="n"/>
      <c r="F75" s="240" t="n"/>
      <c r="G75" s="177" t="n"/>
      <c r="H75" s="241" t="n"/>
      <c r="I75" s="240" t="n"/>
      <c r="J75" s="177" t="n"/>
      <c r="K75" s="241" t="n"/>
      <c r="L75" s="240" t="str">
        <f>IF(COUNT(F75,I75)=0,"",N(F75)-N(I75))</f>
        <v/>
      </c>
      <c r="M75" s="241" t="str">
        <f>IF(COUNT(H75,K75)=0,"",N(K75)-N(H75))</f>
        <v/>
      </c>
      <c r="N75" s="240" t="str">
        <f>IF(AND(ISNUMBER(F75),ISNUMBER(I75),ISNUMBER(H75),ISNUMBER(K75),F75&gt;0,I75&gt;0,H75&lt;&gt;0),ROUND(MIN(F75,I75)*(K75/I75-H75/F75),8),"")</f>
        <v/>
      </c>
      <c r="O75" s="177" t="str">
        <f>IF(ISNUMBER(N75),ROUND(N75/(MIN(F75,I75)*H75/F75)*100,2),"")</f>
        <v/>
      </c>
    </row>
    <row r="76" ht="22" customHeight="1">
      <c r="B76" s="244" t="n"/>
      <c r="C76" s="243" t="n"/>
      <c r="D76" s="244" t="n"/>
      <c r="E76" s="245" t="n"/>
      <c r="F76" s="246" t="n"/>
      <c r="G76" s="183" t="n"/>
      <c r="H76" s="247" t="n"/>
      <c r="I76" s="246" t="n"/>
      <c r="J76" s="183" t="n"/>
      <c r="K76" s="247" t="n"/>
      <c r="L76" s="246" t="str">
        <f>IF(COUNT(F76,I76)=0,"",N(F76)-N(I76))</f>
        <v/>
      </c>
      <c r="M76" s="247" t="str">
        <f>IF(COUNT(H76,K76)=0,"",N(K76)-N(H76))</f>
        <v/>
      </c>
      <c r="N76" s="246" t="str">
        <f>IF(AND(ISNUMBER(F76),ISNUMBER(I76),ISNUMBER(H76),ISNUMBER(K76),F76&gt;0,I76&gt;0,H76&lt;&gt;0),ROUND(MIN(F76,I76)*(K76/I76-H76/F76),8),"")</f>
        <v/>
      </c>
      <c r="O76" s="183" t="str">
        <f>IF(ISNUMBER(N76),ROUND(N76/(MIN(F76,I76)*H76/F76)*100,2),"")</f>
        <v/>
      </c>
    </row>
    <row r="77" ht="22" customHeight="1">
      <c r="B77" s="238" t="n"/>
      <c r="C77" s="237" t="n"/>
      <c r="D77" s="238" t="n"/>
      <c r="E77" s="239" t="n"/>
      <c r="F77" s="240" t="n"/>
      <c r="G77" s="177" t="n"/>
      <c r="H77" s="241" t="n"/>
      <c r="I77" s="240" t="n"/>
      <c r="J77" s="177" t="n"/>
      <c r="K77" s="241" t="n"/>
      <c r="L77" s="240" t="str">
        <f>IF(COUNT(F77,I77)=0,"",N(F77)-N(I77))</f>
        <v/>
      </c>
      <c r="M77" s="241" t="str">
        <f>IF(COUNT(H77,K77)=0,"",N(K77)-N(H77))</f>
        <v/>
      </c>
      <c r="N77" s="240" t="str">
        <f>IF(AND(ISNUMBER(F77),ISNUMBER(I77),ISNUMBER(H77),ISNUMBER(K77),F77&gt;0,I77&gt;0,H77&lt;&gt;0),ROUND(MIN(F77,I77)*(K77/I77-H77/F77),8),"")</f>
        <v/>
      </c>
      <c r="O77" s="177" t="str">
        <f>IF(ISNUMBER(N77),ROUND(N77/(MIN(F77,I77)*H77/F77)*100,2),"")</f>
        <v/>
      </c>
    </row>
    <row r="78" ht="22" customHeight="1">
      <c r="B78" s="244" t="n"/>
      <c r="C78" s="243" t="n"/>
      <c r="D78" s="244" t="n"/>
      <c r="E78" s="245" t="n"/>
      <c r="F78" s="246" t="n"/>
      <c r="G78" s="183" t="n"/>
      <c r="H78" s="247" t="n"/>
      <c r="I78" s="246" t="n"/>
      <c r="J78" s="183" t="n"/>
      <c r="K78" s="247" t="n"/>
      <c r="L78" s="246" t="str">
        <f>IF(COUNT(F78,I78)=0,"",N(F78)-N(I78))</f>
        <v/>
      </c>
      <c r="M78" s="247" t="str">
        <f>IF(COUNT(H78,K78)=0,"",N(K78)-N(H78))</f>
        <v/>
      </c>
      <c r="N78" s="246" t="str">
        <f>IF(AND(ISNUMBER(F78),ISNUMBER(I78),ISNUMBER(H78),ISNUMBER(K78),F78&gt;0,I78&gt;0,H78&lt;&gt;0),ROUND(MIN(F78,I78)*(K78/I78-H78/F78),8),"")</f>
        <v/>
      </c>
      <c r="O78" s="183" t="str">
        <f>IF(ISNUMBER(N78),ROUND(N78/(MIN(F78,I78)*H78/F78)*100,2),"")</f>
        <v/>
      </c>
    </row>
    <row r="79" ht="22" customHeight="1">
      <c r="B79" s="238" t="n"/>
      <c r="C79" s="237" t="n"/>
      <c r="D79" s="238" t="n"/>
      <c r="E79" s="239" t="n"/>
      <c r="F79" s="240" t="n"/>
      <c r="G79" s="177" t="n"/>
      <c r="H79" s="241" t="n"/>
      <c r="I79" s="240" t="n"/>
      <c r="J79" s="177" t="n"/>
      <c r="K79" s="241" t="n"/>
      <c r="L79" s="240" t="str">
        <f>IF(COUNT(F79,I79)=0,"",N(F79)-N(I79))</f>
        <v/>
      </c>
      <c r="M79" s="241" t="str">
        <f>IF(COUNT(H79,K79)=0,"",N(K79)-N(H79))</f>
        <v/>
      </c>
      <c r="N79" s="240" t="str">
        <f>IF(AND(ISNUMBER(F79),ISNUMBER(I79),ISNUMBER(H79),ISNUMBER(K79),F79&gt;0,I79&gt;0,H79&lt;&gt;0),ROUND(MIN(F79,I79)*(K79/I79-H79/F79),8),"")</f>
        <v/>
      </c>
      <c r="O79" s="177" t="str">
        <f>IF(ISNUMBER(N79),ROUND(N79/(MIN(F79,I79)*H79/F79)*100,2),"")</f>
        <v/>
      </c>
    </row>
    <row r="80" ht="22" customHeight="1">
      <c r="B80" s="244" t="n"/>
      <c r="C80" s="243" t="n"/>
      <c r="D80" s="244" t="n"/>
      <c r="E80" s="245" t="n"/>
      <c r="F80" s="246" t="n"/>
      <c r="G80" s="183" t="n"/>
      <c r="H80" s="247" t="n"/>
      <c r="I80" s="246" t="n"/>
      <c r="J80" s="183" t="n"/>
      <c r="K80" s="247" t="n"/>
      <c r="L80" s="246" t="str">
        <f>IF(COUNT(F80,I80)=0,"",N(F80)-N(I80))</f>
        <v/>
      </c>
      <c r="M80" s="247" t="str">
        <f>IF(COUNT(H80,K80)=0,"",N(K80)-N(H80))</f>
        <v/>
      </c>
      <c r="N80" s="246" t="str">
        <f>IF(AND(ISNUMBER(F80),ISNUMBER(I80),ISNUMBER(H80),ISNUMBER(K80),F80&gt;0,I80&gt;0,H80&lt;&gt;0),ROUND(MIN(F80,I80)*(K80/I80-H80/F80),8),"")</f>
        <v/>
      </c>
      <c r="O80" s="183" t="str">
        <f>IF(ISNUMBER(N80),ROUND(N80/(MIN(F80,I80)*H80/F80)*100,2),"")</f>
        <v/>
      </c>
    </row>
    <row r="81" ht="22" customHeight="1">
      <c r="B81" s="238" t="n"/>
      <c r="C81" s="237" t="n"/>
      <c r="D81" s="238" t="n"/>
      <c r="E81" s="239" t="n"/>
      <c r="F81" s="240" t="n"/>
      <c r="G81" s="177" t="n"/>
      <c r="H81" s="241" t="n"/>
      <c r="I81" s="240" t="n"/>
      <c r="J81" s="177" t="n"/>
      <c r="K81" s="241" t="n"/>
      <c r="L81" s="240" t="str">
        <f>IF(COUNT(F81,I81)=0,"",N(F81)-N(I81))</f>
        <v/>
      </c>
      <c r="M81" s="241" t="str">
        <f>IF(COUNT(H81,K81)=0,"",N(K81)-N(H81))</f>
        <v/>
      </c>
      <c r="N81" s="240" t="str">
        <f>IF(AND(ISNUMBER(F81),ISNUMBER(I81),ISNUMBER(H81),ISNUMBER(K81),F81&gt;0,I81&gt;0,H81&lt;&gt;0),ROUND(MIN(F81,I81)*(K81/I81-H81/F81),8),"")</f>
        <v/>
      </c>
      <c r="O81" s="177" t="str">
        <f>IF(ISNUMBER(N81),ROUND(N81/(MIN(F81,I81)*H81/F81)*100,2),"")</f>
        <v/>
      </c>
    </row>
    <row r="82" ht="22" customHeight="1">
      <c r="B82" s="244" t="n"/>
      <c r="C82" s="243" t="n"/>
      <c r="D82" s="244" t="n"/>
      <c r="E82" s="245" t="n"/>
      <c r="F82" s="246" t="n"/>
      <c r="G82" s="183" t="n"/>
      <c r="H82" s="247" t="n"/>
      <c r="I82" s="246" t="n"/>
      <c r="J82" s="183" t="n"/>
      <c r="K82" s="247" t="n"/>
      <c r="L82" s="246" t="str">
        <f>IF(COUNT(F82,I82)=0,"",N(F82)-N(I82))</f>
        <v/>
      </c>
      <c r="M82" s="247" t="str">
        <f>IF(COUNT(H82,K82)=0,"",N(K82)-N(H82))</f>
        <v/>
      </c>
      <c r="N82" s="246" t="str">
        <f>IF(AND(ISNUMBER(F82),ISNUMBER(I82),ISNUMBER(H82),ISNUMBER(K82),F82&gt;0,I82&gt;0,H82&lt;&gt;0),ROUND(MIN(F82,I82)*(K82/I82-H82/F82),8),"")</f>
        <v/>
      </c>
      <c r="O82" s="183" t="str">
        <f>IF(ISNUMBER(N82),ROUND(N82/(MIN(F82,I82)*H82/F82)*100,2),"")</f>
        <v/>
      </c>
    </row>
    <row r="83" ht="22" customHeight="1">
      <c r="B83" s="238" t="n"/>
      <c r="C83" s="237" t="n"/>
      <c r="D83" s="238" t="n"/>
      <c r="E83" s="239" t="n"/>
      <c r="F83" s="240" t="n"/>
      <c r="G83" s="177" t="n"/>
      <c r="H83" s="241" t="n"/>
      <c r="I83" s="240" t="n"/>
      <c r="J83" s="177" t="n"/>
      <c r="K83" s="241" t="n"/>
      <c r="L83" s="240" t="str">
        <f>IF(COUNT(F83,I83)=0,"",N(F83)-N(I83))</f>
        <v/>
      </c>
      <c r="M83" s="241" t="str">
        <f>IF(COUNT(H83,K83)=0,"",N(K83)-N(H83))</f>
        <v/>
      </c>
      <c r="N83" s="240" t="str">
        <f>IF(AND(ISNUMBER(F83),ISNUMBER(I83),ISNUMBER(H83),ISNUMBER(K83),F83&gt;0,I83&gt;0,H83&lt;&gt;0),ROUND(MIN(F83,I83)*(K83/I83-H83/F83),8),"")</f>
        <v/>
      </c>
      <c r="O83" s="177" t="str">
        <f>IF(ISNUMBER(N83),ROUND(N83/(MIN(F83,I83)*H83/F83)*100,2),"")</f>
        <v/>
      </c>
    </row>
    <row r="84" ht="22" customHeight="1">
      <c r="B84" s="244" t="n"/>
      <c r="C84" s="243" t="n"/>
      <c r="D84" s="244" t="n"/>
      <c r="E84" s="245" t="n"/>
      <c r="F84" s="246" t="n"/>
      <c r="G84" s="183" t="n"/>
      <c r="H84" s="247" t="n"/>
      <c r="I84" s="246" t="n"/>
      <c r="J84" s="183" t="n"/>
      <c r="K84" s="247" t="n"/>
      <c r="L84" s="246" t="str">
        <f>IF(COUNT(F84,I84)=0,"",N(F84)-N(I84))</f>
        <v/>
      </c>
      <c r="M84" s="247" t="str">
        <f>IF(COUNT(H84,K84)=0,"",N(K84)-N(H84))</f>
        <v/>
      </c>
      <c r="N84" s="246" t="str">
        <f>IF(AND(ISNUMBER(F84),ISNUMBER(I84),ISNUMBER(H84),ISNUMBER(K84),F84&gt;0,I84&gt;0,H84&lt;&gt;0),ROUND(MIN(F84,I84)*(K84/I84-H84/F84),8),"")</f>
        <v/>
      </c>
      <c r="O84" s="183" t="str">
        <f>IF(ISNUMBER(N84),ROUND(N84/(MIN(F84,I84)*H84/F84)*100,2),"")</f>
        <v/>
      </c>
    </row>
    <row r="85" ht="22" customHeight="1">
      <c r="B85" s="238" t="n"/>
      <c r="C85" s="237" t="n"/>
      <c r="D85" s="238" t="n"/>
      <c r="E85" s="239" t="n"/>
      <c r="F85" s="240" t="n"/>
      <c r="G85" s="177" t="n"/>
      <c r="H85" s="241" t="n"/>
      <c r="I85" s="240" t="n"/>
      <c r="J85" s="177" t="n"/>
      <c r="K85" s="241" t="n"/>
      <c r="L85" s="240" t="str">
        <f>IF(COUNT(F85,I85)=0,"",N(F85)-N(I85))</f>
        <v/>
      </c>
      <c r="M85" s="241" t="str">
        <f>IF(COUNT(H85,K85)=0,"",N(K85)-N(H85))</f>
        <v/>
      </c>
      <c r="N85" s="240" t="str">
        <f>IF(AND(ISNUMBER(F85),ISNUMBER(I85),ISNUMBER(H85),ISNUMBER(K85),F85&gt;0,I85&gt;0,H85&lt;&gt;0),ROUND(MIN(F85,I85)*(K85/I85-H85/F85),8),"")</f>
        <v/>
      </c>
      <c r="O85" s="177" t="str">
        <f>IF(ISNUMBER(N85),ROUND(N85/(MIN(F85,I85)*H85/F85)*100,2),"")</f>
        <v/>
      </c>
    </row>
    <row r="86" ht="22" customHeight="1">
      <c r="B86" s="244" t="n"/>
      <c r="C86" s="243" t="n"/>
      <c r="D86" s="244" t="n"/>
      <c r="E86" s="245" t="n"/>
      <c r="F86" s="246" t="n"/>
      <c r="G86" s="183" t="n"/>
      <c r="H86" s="247" t="n"/>
      <c r="I86" s="246" t="n"/>
      <c r="J86" s="183" t="n"/>
      <c r="K86" s="247" t="n"/>
      <c r="L86" s="246" t="str">
        <f>IF(COUNT(F86,I86)=0,"",N(F86)-N(I86))</f>
        <v/>
      </c>
      <c r="M86" s="247" t="str">
        <f>IF(COUNT(H86,K86)=0,"",N(K86)-N(H86))</f>
        <v/>
      </c>
      <c r="N86" s="246" t="str">
        <f>IF(AND(ISNUMBER(F86),ISNUMBER(I86),ISNUMBER(H86),ISNUMBER(K86),F86&gt;0,I86&gt;0,H86&lt;&gt;0),ROUND(MIN(F86,I86)*(K86/I86-H86/F86),8),"")</f>
        <v/>
      </c>
      <c r="O86" s="183" t="str">
        <f>IF(ISNUMBER(N86),ROUND(N86/(MIN(F86,I86)*H86/F86)*100,2),"")</f>
        <v/>
      </c>
    </row>
    <row r="87" ht="22" customHeight="1">
      <c r="B87" s="238" t="n"/>
      <c r="C87" s="237" t="n"/>
      <c r="D87" s="238" t="n"/>
      <c r="E87" s="239" t="n"/>
      <c r="F87" s="240" t="n"/>
      <c r="G87" s="177" t="n"/>
      <c r="H87" s="241" t="n"/>
      <c r="I87" s="240" t="n"/>
      <c r="J87" s="177" t="n"/>
      <c r="K87" s="241" t="n"/>
      <c r="L87" s="240" t="str">
        <f>IF(COUNT(F87,I87)=0,"",N(F87)-N(I87))</f>
        <v/>
      </c>
      <c r="M87" s="241" t="str">
        <f>IF(COUNT(H87,K87)=0,"",N(K87)-N(H87))</f>
        <v/>
      </c>
      <c r="N87" s="240" t="str">
        <f>IF(AND(ISNUMBER(F87),ISNUMBER(I87),ISNUMBER(H87),ISNUMBER(K87),F87&gt;0,I87&gt;0,H87&lt;&gt;0),ROUND(MIN(F87,I87)*(K87/I87-H87/F87),8),"")</f>
        <v/>
      </c>
      <c r="O87" s="177" t="str">
        <f>IF(ISNUMBER(N87),ROUND(N87/(MIN(F87,I87)*H87/F87)*100,2),"")</f>
        <v/>
      </c>
    </row>
    <row r="88" ht="22" customHeight="1">
      <c r="B88" s="244" t="n"/>
      <c r="C88" s="243" t="n"/>
      <c r="D88" s="244" t="n"/>
      <c r="E88" s="245" t="n"/>
      <c r="F88" s="246" t="n"/>
      <c r="G88" s="183" t="n"/>
      <c r="H88" s="247" t="n"/>
      <c r="I88" s="246" t="n"/>
      <c r="J88" s="183" t="n"/>
      <c r="K88" s="247" t="n"/>
      <c r="L88" s="246" t="str">
        <f>IF(COUNT(F88,I88)=0,"",N(F88)-N(I88))</f>
        <v/>
      </c>
      <c r="M88" s="247" t="str">
        <f>IF(COUNT(H88,K88)=0,"",N(K88)-N(H88))</f>
        <v/>
      </c>
      <c r="N88" s="246" t="str">
        <f>IF(AND(ISNUMBER(F88),ISNUMBER(I88),ISNUMBER(H88),ISNUMBER(K88),F88&gt;0,I88&gt;0,H88&lt;&gt;0),ROUND(MIN(F88,I88)*(K88/I88-H88/F88),8),"")</f>
        <v/>
      </c>
      <c r="O88" s="183" t="str">
        <f>IF(ISNUMBER(N88),ROUND(N88/(MIN(F88,I88)*H88/F88)*100,2),"")</f>
        <v/>
      </c>
    </row>
    <row r="89" ht="22" customHeight="1">
      <c r="B89" s="238" t="n"/>
      <c r="C89" s="237" t="n"/>
      <c r="D89" s="238" t="n"/>
      <c r="E89" s="239" t="n"/>
      <c r="F89" s="240" t="n"/>
      <c r="G89" s="177" t="n"/>
      <c r="H89" s="241" t="n"/>
      <c r="I89" s="240" t="n"/>
      <c r="J89" s="177" t="n"/>
      <c r="K89" s="241" t="n"/>
      <c r="L89" s="240" t="str">
        <f>IF(COUNT(F89,I89)=0,"",N(F89)-N(I89))</f>
        <v/>
      </c>
      <c r="M89" s="241" t="str">
        <f>IF(COUNT(H89,K89)=0,"",N(K89)-N(H89))</f>
        <v/>
      </c>
      <c r="N89" s="240" t="str">
        <f>IF(AND(ISNUMBER(F89),ISNUMBER(I89),ISNUMBER(H89),ISNUMBER(K89),F89&gt;0,I89&gt;0,H89&lt;&gt;0),ROUND(MIN(F89,I89)*(K89/I89-H89/F89),8),"")</f>
        <v/>
      </c>
      <c r="O89" s="177" t="str">
        <f>IF(ISNUMBER(N89),ROUND(N89/(MIN(F89,I89)*H89/F89)*100,2),"")</f>
        <v/>
      </c>
    </row>
    <row r="90" ht="22" customHeight="1">
      <c r="B90" s="244" t="n"/>
      <c r="C90" s="243" t="n"/>
      <c r="D90" s="244" t="n"/>
      <c r="E90" s="245" t="n"/>
      <c r="F90" s="246" t="n"/>
      <c r="G90" s="183" t="n"/>
      <c r="H90" s="247" t="n"/>
      <c r="I90" s="246" t="n"/>
      <c r="J90" s="183" t="n"/>
      <c r="K90" s="247" t="n"/>
      <c r="L90" s="246" t="str">
        <f>IF(COUNT(F90,I90)=0,"",N(F90)-N(I90))</f>
        <v/>
      </c>
      <c r="M90" s="247" t="str">
        <f>IF(COUNT(H90,K90)=0,"",N(K90)-N(H90))</f>
        <v/>
      </c>
      <c r="N90" s="246" t="str">
        <f>IF(AND(ISNUMBER(F90),ISNUMBER(I90),ISNUMBER(H90),ISNUMBER(K90),F90&gt;0,I90&gt;0,H90&lt;&gt;0),ROUND(MIN(F90,I90)*(K90/I90-H90/F90),8),"")</f>
        <v/>
      </c>
      <c r="O90" s="183" t="str">
        <f>IF(ISNUMBER(N90),ROUND(N90/(MIN(F90,I90)*H90/F90)*100,2),"")</f>
        <v/>
      </c>
    </row>
    <row r="91" ht="22" customHeight="1">
      <c r="B91" s="238" t="n"/>
      <c r="C91" s="237" t="n"/>
      <c r="D91" s="238" t="n"/>
      <c r="E91" s="239" t="n"/>
      <c r="F91" s="240" t="n"/>
      <c r="G91" s="177" t="n"/>
      <c r="H91" s="241" t="n"/>
      <c r="I91" s="240" t="n"/>
      <c r="J91" s="177" t="n"/>
      <c r="K91" s="241" t="n"/>
      <c r="L91" s="240" t="str">
        <f>IF(COUNT(F91,I91)=0,"",N(F91)-N(I91))</f>
        <v/>
      </c>
      <c r="M91" s="241" t="str">
        <f>IF(COUNT(H91,K91)=0,"",N(K91)-N(H91))</f>
        <v/>
      </c>
      <c r="N91" s="240" t="str">
        <f>IF(AND(ISNUMBER(F91),ISNUMBER(I91),ISNUMBER(H91),ISNUMBER(K91),F91&gt;0,I91&gt;0,H91&lt;&gt;0),ROUND(MIN(F91,I91)*(K91/I91-H91/F91),8),"")</f>
        <v/>
      </c>
      <c r="O91" s="177" t="str">
        <f>IF(ISNUMBER(N91),ROUND(N91/(MIN(F91,I91)*H91/F91)*100,2),"")</f>
        <v/>
      </c>
    </row>
    <row r="92" ht="22" customHeight="1">
      <c r="B92" s="244" t="n"/>
      <c r="C92" s="243" t="n"/>
      <c r="D92" s="244" t="n"/>
      <c r="E92" s="245" t="n"/>
      <c r="F92" s="246" t="n"/>
      <c r="G92" s="183" t="n"/>
      <c r="H92" s="247" t="n"/>
      <c r="I92" s="246" t="n"/>
      <c r="J92" s="183" t="n"/>
      <c r="K92" s="247" t="n"/>
      <c r="L92" s="246" t="str">
        <f>IF(COUNT(F92,I92)=0,"",N(F92)-N(I92))</f>
        <v/>
      </c>
      <c r="M92" s="247" t="str">
        <f>IF(COUNT(H92,K92)=0,"",N(K92)-N(H92))</f>
        <v/>
      </c>
      <c r="N92" s="246" t="str">
        <f>IF(AND(ISNUMBER(F92),ISNUMBER(I92),ISNUMBER(H92),ISNUMBER(K92),F92&gt;0,I92&gt;0,H92&lt;&gt;0),ROUND(MIN(F92,I92)*(K92/I92-H92/F92),8),"")</f>
        <v/>
      </c>
      <c r="O92" s="183" t="str">
        <f>IF(ISNUMBER(N92),ROUND(N92/(MIN(F92,I92)*H92/F92)*100,2),"")</f>
        <v/>
      </c>
    </row>
    <row r="93" ht="22" customHeight="1">
      <c r="B93" s="238" t="n"/>
      <c r="C93" s="237" t="n"/>
      <c r="D93" s="238" t="n"/>
      <c r="E93" s="239" t="n"/>
      <c r="F93" s="240" t="n"/>
      <c r="G93" s="177" t="n"/>
      <c r="H93" s="241" t="n"/>
      <c r="I93" s="240" t="n"/>
      <c r="J93" s="177" t="n"/>
      <c r="K93" s="241" t="n"/>
      <c r="L93" s="240" t="str">
        <f>IF(COUNT(F93,I93)=0,"",N(F93)-N(I93))</f>
        <v/>
      </c>
      <c r="M93" s="241" t="str">
        <f>IF(COUNT(H93,K93)=0,"",N(K93)-N(H93))</f>
        <v/>
      </c>
      <c r="N93" s="240" t="str">
        <f>IF(AND(ISNUMBER(F93),ISNUMBER(I93),ISNUMBER(H93),ISNUMBER(K93),F93&gt;0,I93&gt;0,H93&lt;&gt;0),ROUND(MIN(F93,I93)*(K93/I93-H93/F93),8),"")</f>
        <v/>
      </c>
      <c r="O93" s="177" t="str">
        <f>IF(ISNUMBER(N93),ROUND(N93/(MIN(F93,I93)*H93/F93)*100,2),"")</f>
        <v/>
      </c>
    </row>
    <row r="94" ht="22" customHeight="1">
      <c r="B94" s="244" t="n"/>
      <c r="C94" s="243" t="n"/>
      <c r="D94" s="244" t="n"/>
      <c r="E94" s="245" t="n"/>
      <c r="F94" s="246" t="n"/>
      <c r="G94" s="183" t="n"/>
      <c r="H94" s="247" t="n"/>
      <c r="I94" s="246" t="n"/>
      <c r="J94" s="183" t="n"/>
      <c r="K94" s="247" t="n"/>
      <c r="L94" s="246" t="str">
        <f>IF(COUNT(F94,I94)=0,"",N(F94)-N(I94))</f>
        <v/>
      </c>
      <c r="M94" s="247" t="str">
        <f>IF(COUNT(H94,K94)=0,"",N(K94)-N(H94))</f>
        <v/>
      </c>
      <c r="N94" s="246" t="str">
        <f>IF(AND(ISNUMBER(F94),ISNUMBER(I94),ISNUMBER(H94),ISNUMBER(K94),F94&gt;0,I94&gt;0,H94&lt;&gt;0),ROUND(MIN(F94,I94)*(K94/I94-H94/F94),8),"")</f>
        <v/>
      </c>
      <c r="O94" s="183" t="str">
        <f>IF(ISNUMBER(N94),ROUND(N94/(MIN(F94,I94)*H94/F94)*100,2),"")</f>
        <v/>
      </c>
    </row>
    <row r="95" ht="22" customHeight="1">
      <c r="B95" s="238" t="n"/>
      <c r="C95" s="237" t="n"/>
      <c r="D95" s="238" t="n"/>
      <c r="E95" s="239" t="n"/>
      <c r="F95" s="240" t="n"/>
      <c r="G95" s="177" t="n"/>
      <c r="H95" s="241" t="n"/>
      <c r="I95" s="240" t="n"/>
      <c r="J95" s="177" t="n"/>
      <c r="K95" s="241" t="n"/>
      <c r="L95" s="240" t="str">
        <f>IF(COUNT(F95,I95)=0,"",N(F95)-N(I95))</f>
        <v/>
      </c>
      <c r="M95" s="241" t="str">
        <f>IF(COUNT(H95,K95)=0,"",N(K95)-N(H95))</f>
        <v/>
      </c>
      <c r="N95" s="240" t="str">
        <f>IF(AND(ISNUMBER(F95),ISNUMBER(I95),ISNUMBER(H95),ISNUMBER(K95),F95&gt;0,I95&gt;0,H95&lt;&gt;0),ROUND(MIN(F95,I95)*(K95/I95-H95/F95),8),"")</f>
        <v/>
      </c>
      <c r="O95" s="177" t="str">
        <f>IF(ISNUMBER(N95),ROUND(N95/(MIN(F95,I95)*H95/F95)*100,2),"")</f>
        <v/>
      </c>
    </row>
    <row r="96" ht="22" customHeight="1">
      <c r="B96" s="244" t="n"/>
      <c r="C96" s="243" t="n"/>
      <c r="D96" s="244" t="n"/>
      <c r="E96" s="245" t="n"/>
      <c r="F96" s="246" t="n"/>
      <c r="G96" s="183" t="n"/>
      <c r="H96" s="247" t="n"/>
      <c r="I96" s="246" t="n"/>
      <c r="J96" s="183" t="n"/>
      <c r="K96" s="247" t="n"/>
      <c r="L96" s="246" t="str">
        <f>IF(COUNT(F96,I96)=0,"",N(F96)-N(I96))</f>
        <v/>
      </c>
      <c r="M96" s="247" t="str">
        <f>IF(COUNT(H96,K96)=0,"",N(K96)-N(H96))</f>
        <v/>
      </c>
      <c r="N96" s="246" t="str">
        <f>IF(AND(ISNUMBER(F96),ISNUMBER(I96),ISNUMBER(H96),ISNUMBER(K96),F96&gt;0,I96&gt;0,H96&lt;&gt;0),ROUND(MIN(F96,I96)*(K96/I96-H96/F96),8),"")</f>
        <v/>
      </c>
      <c r="O96" s="183" t="str">
        <f>IF(ISNUMBER(N96),ROUND(N96/(MIN(F96,I96)*H96/F96)*100,2),"")</f>
        <v/>
      </c>
    </row>
    <row r="97" ht="22" customHeight="1">
      <c r="B97" s="238" t="n"/>
      <c r="C97" s="237" t="n"/>
      <c r="D97" s="238" t="n"/>
      <c r="E97" s="239" t="n"/>
      <c r="F97" s="240" t="n"/>
      <c r="G97" s="177" t="n"/>
      <c r="H97" s="241" t="n"/>
      <c r="I97" s="240" t="n"/>
      <c r="J97" s="177" t="n"/>
      <c r="K97" s="241" t="n"/>
      <c r="L97" s="240" t="str">
        <f>IF(COUNT(F97,I97)=0,"",N(F97)-N(I97))</f>
        <v/>
      </c>
      <c r="M97" s="241" t="str">
        <f>IF(COUNT(H97,K97)=0,"",N(K97)-N(H97))</f>
        <v/>
      </c>
      <c r="N97" s="240" t="str">
        <f>IF(AND(ISNUMBER(F97),ISNUMBER(I97),ISNUMBER(H97),ISNUMBER(K97),F97&gt;0,I97&gt;0,H97&lt;&gt;0),ROUND(MIN(F97,I97)*(K97/I97-H97/F97),8),"")</f>
        <v/>
      </c>
      <c r="O97" s="177" t="str">
        <f>IF(ISNUMBER(N97),ROUND(N97/(MIN(F97,I97)*H97/F97)*100,2),"")</f>
        <v/>
      </c>
    </row>
    <row r="98" ht="22" customHeight="1">
      <c r="B98" s="244" t="n"/>
      <c r="C98" s="243" t="n"/>
      <c r="D98" s="244" t="n"/>
      <c r="E98" s="245" t="n"/>
      <c r="F98" s="246" t="n"/>
      <c r="G98" s="183" t="n"/>
      <c r="H98" s="247" t="n"/>
      <c r="I98" s="246" t="n"/>
      <c r="J98" s="183" t="n"/>
      <c r="K98" s="247" t="n"/>
      <c r="L98" s="246" t="str">
        <f>IF(COUNT(F98,I98)=0,"",N(F98)-N(I98))</f>
        <v/>
      </c>
      <c r="M98" s="247" t="str">
        <f>IF(COUNT(H98,K98)=0,"",N(K98)-N(H98))</f>
        <v/>
      </c>
      <c r="N98" s="246" t="str">
        <f>IF(AND(ISNUMBER(F98),ISNUMBER(I98),ISNUMBER(H98),ISNUMBER(K98),F98&gt;0,I98&gt;0,H98&lt;&gt;0),ROUND(MIN(F98,I98)*(K98/I98-H98/F98),8),"")</f>
        <v/>
      </c>
      <c r="O98" s="183" t="str">
        <f>IF(ISNUMBER(N98),ROUND(N98/(MIN(F98,I98)*H98/F98)*100,2),"")</f>
        <v/>
      </c>
    </row>
    <row r="99" ht="22" customHeight="1">
      <c r="B99" s="238" t="n"/>
      <c r="C99" s="237" t="n"/>
      <c r="D99" s="238" t="n"/>
      <c r="E99" s="239" t="n"/>
      <c r="F99" s="240" t="n"/>
      <c r="G99" s="177" t="n"/>
      <c r="H99" s="241" t="n"/>
      <c r="I99" s="240" t="n"/>
      <c r="J99" s="177" t="n"/>
      <c r="K99" s="241" t="n"/>
      <c r="L99" s="240" t="str">
        <f>IF(COUNT(F99,I99)=0,"",N(F99)-N(I99))</f>
        <v/>
      </c>
      <c r="M99" s="241" t="str">
        <f>IF(COUNT(H99,K99)=0,"",N(K99)-N(H99))</f>
        <v/>
      </c>
      <c r="N99" s="240" t="str">
        <f>IF(AND(ISNUMBER(F99),ISNUMBER(I99),ISNUMBER(H99),ISNUMBER(K99),F99&gt;0,I99&gt;0,H99&lt;&gt;0),ROUND(MIN(F99,I99)*(K99/I99-H99/F99),8),"")</f>
        <v/>
      </c>
      <c r="O99" s="177" t="str">
        <f>IF(ISNUMBER(N99),ROUND(N99/(MIN(F99,I99)*H99/F99)*100,2),"")</f>
        <v/>
      </c>
    </row>
    <row r="100" ht="22" customHeight="1">
      <c r="B100" s="244" t="n"/>
      <c r="C100" s="243" t="n"/>
      <c r="D100" s="244" t="n"/>
      <c r="E100" s="245" t="n"/>
      <c r="F100" s="246" t="n"/>
      <c r="G100" s="183" t="n"/>
      <c r="H100" s="247" t="n"/>
      <c r="I100" s="246" t="n"/>
      <c r="J100" s="183" t="n"/>
      <c r="K100" s="247" t="n"/>
      <c r="L100" s="246" t="str">
        <f>IF(COUNT(F100,I100)=0,"",N(F100)-N(I100))</f>
        <v/>
      </c>
      <c r="M100" s="247" t="str">
        <f>IF(COUNT(H100,K100)=0,"",N(K100)-N(H100))</f>
        <v/>
      </c>
      <c r="N100" s="246" t="str">
        <f>IF(AND(ISNUMBER(F100),ISNUMBER(I100),ISNUMBER(H100),ISNUMBER(K100),F100&gt;0,I100&gt;0,H100&lt;&gt;0),ROUND(MIN(F100,I100)*(K100/I100-H100/F100),8),"")</f>
        <v/>
      </c>
      <c r="O100" s="183" t="str">
        <f>IF(ISNUMBER(N100),ROUND(N100/(MIN(F100,I100)*H100/F100)*100,2),"")</f>
        <v/>
      </c>
    </row>
    <row r="101" ht="22" customHeight="1">
      <c r="B101" s="238" t="n"/>
      <c r="C101" s="237" t="n"/>
      <c r="D101" s="238" t="n"/>
      <c r="E101" s="239" t="n"/>
      <c r="F101" s="240" t="n"/>
      <c r="G101" s="177" t="n"/>
      <c r="H101" s="241" t="n"/>
      <c r="I101" s="240" t="n"/>
      <c r="J101" s="177" t="n"/>
      <c r="K101" s="241" t="n"/>
      <c r="L101" s="240" t="str">
        <f>IF(COUNT(F101,I101)=0,"",N(F101)-N(I101))</f>
        <v/>
      </c>
      <c r="M101" s="241" t="str">
        <f>IF(COUNT(H101,K101)=0,"",N(K101)-N(H101))</f>
        <v/>
      </c>
      <c r="N101" s="240" t="str">
        <f>IF(AND(ISNUMBER(F101),ISNUMBER(I101),ISNUMBER(H101),ISNUMBER(K101),F101&gt;0,I101&gt;0,H101&lt;&gt;0),ROUND(MIN(F101,I101)*(K101/I101-H101/F101),8),"")</f>
        <v/>
      </c>
      <c r="O101" s="177" t="str">
        <f>IF(ISNUMBER(N101),ROUND(N101/(MIN(F101,I101)*H101/F101)*100,2),"")</f>
        <v/>
      </c>
    </row>
    <row r="102" ht="22" customHeight="1">
      <c r="B102" s="244" t="n"/>
      <c r="C102" s="243" t="n"/>
      <c r="D102" s="244" t="n"/>
      <c r="E102" s="245" t="n"/>
      <c r="F102" s="246" t="n"/>
      <c r="G102" s="183" t="n"/>
      <c r="H102" s="247" t="n"/>
      <c r="I102" s="246" t="n"/>
      <c r="J102" s="183" t="n"/>
      <c r="K102" s="247" t="n"/>
      <c r="L102" s="246" t="str">
        <f>IF(COUNT(F102,I102)=0,"",N(F102)-N(I102))</f>
        <v/>
      </c>
      <c r="M102" s="247" t="str">
        <f>IF(COUNT(H102,K102)=0,"",N(K102)-N(H102))</f>
        <v/>
      </c>
      <c r="N102" s="246" t="str">
        <f>IF(AND(ISNUMBER(F102),ISNUMBER(I102),ISNUMBER(H102),ISNUMBER(K102),F102&gt;0,I102&gt;0,H102&lt;&gt;0),ROUND(MIN(F102,I102)*(K102/I102-H102/F102),8),"")</f>
        <v/>
      </c>
      <c r="O102" s="183" t="str">
        <f>IF(ISNUMBER(N102),ROUND(N102/(MIN(F102,I102)*H102/F102)*100,2),"")</f>
        <v/>
      </c>
    </row>
    <row r="103" ht="22" customHeight="1">
      <c r="B103" s="238" t="n"/>
      <c r="C103" s="237" t="n"/>
      <c r="D103" s="238" t="n"/>
      <c r="E103" s="239" t="n"/>
      <c r="F103" s="240" t="n"/>
      <c r="G103" s="177" t="n"/>
      <c r="H103" s="241" t="n"/>
      <c r="I103" s="240" t="n"/>
      <c r="J103" s="177" t="n"/>
      <c r="K103" s="241" t="n"/>
      <c r="L103" s="240" t="str">
        <f>IF(COUNT(F103,I103)=0,"",N(F103)-N(I103))</f>
        <v/>
      </c>
      <c r="M103" s="241" t="str">
        <f>IF(COUNT(H103,K103)=0,"",N(K103)-N(H103))</f>
        <v/>
      </c>
      <c r="N103" s="240" t="str">
        <f>IF(AND(ISNUMBER(F103),ISNUMBER(I103),ISNUMBER(H103),ISNUMBER(K103),F103&gt;0,I103&gt;0,H103&lt;&gt;0),ROUND(MIN(F103,I103)*(K103/I103-H103/F103),8),"")</f>
        <v/>
      </c>
      <c r="O103" s="177" t="str">
        <f>IF(ISNUMBER(N103),ROUND(N103/(MIN(F103,I103)*H103/F103)*100,2),"")</f>
        <v/>
      </c>
    </row>
    <row r="104" ht="22" customHeight="1">
      <c r="B104" s="244" t="n"/>
      <c r="C104" s="243" t="n"/>
      <c r="D104" s="244" t="n"/>
      <c r="E104" s="245" t="n"/>
      <c r="F104" s="246" t="n"/>
      <c r="G104" s="183" t="n"/>
      <c r="H104" s="247" t="n"/>
      <c r="I104" s="246" t="n"/>
      <c r="J104" s="183" t="n"/>
      <c r="K104" s="247" t="n"/>
      <c r="L104" s="246" t="str">
        <f>IF(COUNT(F104,I104)=0,"",N(F104)-N(I104))</f>
        <v/>
      </c>
      <c r="M104" s="247" t="str">
        <f>IF(COUNT(H104,K104)=0,"",N(K104)-N(H104))</f>
        <v/>
      </c>
      <c r="N104" s="246" t="str">
        <f>IF(AND(ISNUMBER(F104),ISNUMBER(I104),ISNUMBER(H104),ISNUMBER(K104),F104&gt;0,I104&gt;0,H104&lt;&gt;0),ROUND(MIN(F104,I104)*(K104/I104-H104/F104),8),"")</f>
        <v/>
      </c>
      <c r="O104" s="183" t="str">
        <f>IF(ISNUMBER(N104),ROUND(N104/(MIN(F104,I104)*H104/F104)*100,2),"")</f>
        <v/>
      </c>
    </row>
    <row r="105" ht="22" customHeight="1">
      <c r="B105" s="238" t="n"/>
      <c r="C105" s="237" t="n"/>
      <c r="D105" s="238" t="n"/>
      <c r="E105" s="239" t="n"/>
      <c r="F105" s="240" t="n"/>
      <c r="G105" s="177" t="n"/>
      <c r="H105" s="241" t="n"/>
      <c r="I105" s="240" t="n"/>
      <c r="J105" s="177" t="n"/>
      <c r="K105" s="241" t="n"/>
      <c r="L105" s="240" t="str">
        <f>IF(COUNT(F105,I105)=0,"",N(F105)-N(I105))</f>
        <v/>
      </c>
      <c r="M105" s="241" t="str">
        <f>IF(COUNT(H105,K105)=0,"",N(K105)-N(H105))</f>
        <v/>
      </c>
      <c r="N105" s="240" t="str">
        <f>IF(AND(ISNUMBER(F105),ISNUMBER(I105),ISNUMBER(H105),ISNUMBER(K105),F105&gt;0,I105&gt;0,H105&lt;&gt;0),ROUND(MIN(F105,I105)*(K105/I105-H105/F105),8),"")</f>
        <v/>
      </c>
      <c r="O105" s="177" t="str">
        <f>IF(ISNUMBER(N105),ROUND(N105/(MIN(F105,I105)*H105/F105)*100,2),"")</f>
        <v/>
      </c>
    </row>
    <row r="106" ht="22" customHeight="1">
      <c r="B106" s="244" t="n"/>
      <c r="C106" s="243" t="n"/>
      <c r="D106" s="244" t="n"/>
      <c r="E106" s="245" t="n"/>
      <c r="F106" s="246" t="n"/>
      <c r="G106" s="183" t="n"/>
      <c r="H106" s="247" t="n"/>
      <c r="I106" s="246" t="n"/>
      <c r="J106" s="183" t="n"/>
      <c r="K106" s="247" t="n"/>
      <c r="L106" s="246" t="str">
        <f>IF(COUNT(F106,I106)=0,"",N(F106)-N(I106))</f>
        <v/>
      </c>
      <c r="M106" s="247" t="str">
        <f>IF(COUNT(H106,K106)=0,"",N(K106)-N(H106))</f>
        <v/>
      </c>
      <c r="N106" s="246" t="str">
        <f>IF(AND(ISNUMBER(F106),ISNUMBER(I106),ISNUMBER(H106),ISNUMBER(K106),F106&gt;0,I106&gt;0,H106&lt;&gt;0),ROUND(MIN(F106,I106)*(K106/I106-H106/F106),8),"")</f>
        <v/>
      </c>
      <c r="O106" s="183" t="str">
        <f>IF(ISNUMBER(N106),ROUND(N106/(MIN(F106,I106)*H106/F106)*100,2),"")</f>
        <v/>
      </c>
    </row>
    <row r="107" ht="22" customHeight="1">
      <c r="B107" s="238" t="n"/>
      <c r="C107" s="237" t="n"/>
      <c r="D107" s="238" t="n"/>
      <c r="E107" s="239" t="n"/>
      <c r="F107" s="240" t="n"/>
      <c r="G107" s="177" t="n"/>
      <c r="H107" s="241" t="n"/>
      <c r="I107" s="240" t="n"/>
      <c r="J107" s="177" t="n"/>
      <c r="K107" s="241" t="n"/>
      <c r="L107" s="240" t="str">
        <f>IF(COUNT(F107,I107)=0,"",N(F107)-N(I107))</f>
        <v/>
      </c>
      <c r="M107" s="241" t="str">
        <f>IF(COUNT(H107,K107)=0,"",N(K107)-N(H107))</f>
        <v/>
      </c>
      <c r="N107" s="240" t="str">
        <f>IF(AND(ISNUMBER(F107),ISNUMBER(I107),ISNUMBER(H107),ISNUMBER(K107),F107&gt;0,I107&gt;0,H107&lt;&gt;0),ROUND(MIN(F107,I107)*(K107/I107-H107/F107),8),"")</f>
        <v/>
      </c>
      <c r="O107" s="177" t="str">
        <f>IF(ISNUMBER(N107),ROUND(N107/(MIN(F107,I107)*H107/F107)*100,2),"")</f>
        <v/>
      </c>
    </row>
    <row r="108" ht="22" customHeight="1">
      <c r="B108" s="244" t="n"/>
      <c r="C108" s="243" t="n"/>
      <c r="D108" s="244" t="n"/>
      <c r="E108" s="245" t="n"/>
      <c r="F108" s="246" t="n"/>
      <c r="G108" s="183" t="n"/>
      <c r="H108" s="247" t="n"/>
      <c r="I108" s="246" t="n"/>
      <c r="J108" s="183" t="n"/>
      <c r="K108" s="247" t="n"/>
      <c r="L108" s="246" t="str">
        <f>IF(COUNT(F108,I108)=0,"",N(F108)-N(I108))</f>
        <v/>
      </c>
      <c r="M108" s="247" t="str">
        <f>IF(COUNT(H108,K108)=0,"",N(K108)-N(H108))</f>
        <v/>
      </c>
      <c r="N108" s="246" t="str">
        <f>IF(AND(ISNUMBER(F108),ISNUMBER(I108),ISNUMBER(H108),ISNUMBER(K108),F108&gt;0,I108&gt;0,H108&lt;&gt;0),ROUND(MIN(F108,I108)*(K108/I108-H108/F108),8),"")</f>
        <v/>
      </c>
      <c r="O108" s="183" t="str">
        <f>IF(ISNUMBER(N108),ROUND(N108/(MIN(F108,I108)*H108/F108)*100,2),"")</f>
        <v/>
      </c>
    </row>
    <row r="109" ht="22" customHeight="1">
      <c r="B109" s="238" t="n"/>
      <c r="C109" s="237" t="n"/>
      <c r="D109" s="238" t="n"/>
      <c r="E109" s="239" t="n"/>
      <c r="F109" s="240" t="n"/>
      <c r="G109" s="177" t="n"/>
      <c r="H109" s="241" t="n"/>
      <c r="I109" s="240" t="n"/>
      <c r="J109" s="177" t="n"/>
      <c r="K109" s="241" t="n"/>
      <c r="L109" s="240" t="str">
        <f>IF(COUNT(F109,I109)=0,"",N(F109)-N(I109))</f>
        <v/>
      </c>
      <c r="M109" s="241" t="str">
        <f>IF(COUNT(H109,K109)=0,"",N(K109)-N(H109))</f>
        <v/>
      </c>
      <c r="N109" s="240" t="str">
        <f>IF(AND(ISNUMBER(F109),ISNUMBER(I109),ISNUMBER(H109),ISNUMBER(K109),F109&gt;0,I109&gt;0,H109&lt;&gt;0),ROUND(MIN(F109,I109)*(K109/I109-H109/F109),8),"")</f>
        <v/>
      </c>
      <c r="O109" s="177" t="str">
        <f>IF(ISNUMBER(N109),ROUND(N109/(MIN(F109,I109)*H109/F109)*100,2),"")</f>
        <v/>
      </c>
    </row>
    <row r="110" ht="22" customHeight="1">
      <c r="B110" s="244" t="n"/>
      <c r="C110" s="243" t="n"/>
      <c r="D110" s="244" t="n"/>
      <c r="E110" s="245" t="n"/>
      <c r="F110" s="246" t="n"/>
      <c r="G110" s="183" t="n"/>
      <c r="H110" s="247" t="n"/>
      <c r="I110" s="246" t="n"/>
      <c r="J110" s="183" t="n"/>
      <c r="K110" s="247" t="n"/>
      <c r="L110" s="246" t="str">
        <f>IF(COUNT(F110,I110)=0,"",N(F110)-N(I110))</f>
        <v/>
      </c>
      <c r="M110" s="247" t="str">
        <f>IF(COUNT(H110,K110)=0,"",N(K110)-N(H110))</f>
        <v/>
      </c>
      <c r="N110" s="246" t="str">
        <f>IF(AND(ISNUMBER(F110),ISNUMBER(I110),ISNUMBER(H110),ISNUMBER(K110),F110&gt;0,I110&gt;0,H110&lt;&gt;0),ROUND(MIN(F110,I110)*(K110/I110-H110/F110),8),"")</f>
        <v/>
      </c>
      <c r="O110" s="183" t="str">
        <f>IF(ISNUMBER(N110),ROUND(N110/(MIN(F110,I110)*H110/F110)*100,2),"")</f>
        <v/>
      </c>
    </row>
    <row r="111" ht="22" customHeight="1">
      <c r="B111" s="238" t="n"/>
      <c r="C111" s="237" t="n"/>
      <c r="D111" s="238" t="n"/>
      <c r="E111" s="239" t="n"/>
      <c r="F111" s="240" t="n"/>
      <c r="G111" s="177" t="n"/>
      <c r="H111" s="241" t="n"/>
      <c r="I111" s="240" t="n"/>
      <c r="J111" s="177" t="n"/>
      <c r="K111" s="241" t="n"/>
      <c r="L111" s="240" t="str">
        <f>IF(COUNT(F111,I111)=0,"",N(F111)-N(I111))</f>
        <v/>
      </c>
      <c r="M111" s="241" t="str">
        <f>IF(COUNT(H111,K111)=0,"",N(K111)-N(H111))</f>
        <v/>
      </c>
      <c r="N111" s="240" t="str">
        <f>IF(AND(ISNUMBER(F111),ISNUMBER(I111),ISNUMBER(H111),ISNUMBER(K111),F111&gt;0,I111&gt;0,H111&lt;&gt;0),ROUND(MIN(F111,I111)*(K111/I111-H111/F111),8),"")</f>
        <v/>
      </c>
      <c r="O111" s="177" t="str">
        <f>IF(ISNUMBER(N111),ROUND(N111/(MIN(F111,I111)*H111/F111)*100,2),"")</f>
        <v/>
      </c>
    </row>
    <row r="112" ht="22" customHeight="1">
      <c r="B112" s="244" t="n"/>
      <c r="C112" s="243" t="n"/>
      <c r="D112" s="244" t="n"/>
      <c r="E112" s="245" t="n"/>
      <c r="F112" s="246" t="n"/>
      <c r="G112" s="183" t="n"/>
      <c r="H112" s="247" t="n"/>
      <c r="I112" s="246" t="n"/>
      <c r="J112" s="183" t="n"/>
      <c r="K112" s="247" t="n"/>
      <c r="L112" s="246" t="str">
        <f>IF(COUNT(F112,I112)=0,"",N(F112)-N(I112))</f>
        <v/>
      </c>
      <c r="M112" s="247" t="str">
        <f>IF(COUNT(H112,K112)=0,"",N(K112)-N(H112))</f>
        <v/>
      </c>
      <c r="N112" s="246" t="str">
        <f>IF(AND(ISNUMBER(F112),ISNUMBER(I112),ISNUMBER(H112),ISNUMBER(K112),F112&gt;0,I112&gt;0,H112&lt;&gt;0),ROUND(MIN(F112,I112)*(K112/I112-H112/F112),8),"")</f>
        <v/>
      </c>
      <c r="O112" s="183" t="str">
        <f>IF(ISNUMBER(N112),ROUND(N112/(MIN(F112,I112)*H112/F112)*100,2),"")</f>
        <v/>
      </c>
    </row>
    <row r="113" ht="22" customHeight="1">
      <c r="B113" s="238" t="n"/>
      <c r="C113" s="237" t="n"/>
      <c r="D113" s="238" t="n"/>
      <c r="E113" s="239" t="n"/>
      <c r="F113" s="240" t="n"/>
      <c r="G113" s="177" t="n"/>
      <c r="H113" s="241" t="n"/>
      <c r="I113" s="240" t="n"/>
      <c r="J113" s="177" t="n"/>
      <c r="K113" s="241" t="n"/>
      <c r="L113" s="240" t="str">
        <f>IF(COUNT(F113,I113)=0,"",N(F113)-N(I113))</f>
        <v/>
      </c>
      <c r="M113" s="241" t="str">
        <f>IF(COUNT(H113,K113)=0,"",N(K113)-N(H113))</f>
        <v/>
      </c>
      <c r="N113" s="240" t="str">
        <f>IF(AND(ISNUMBER(F113),ISNUMBER(I113),ISNUMBER(H113),ISNUMBER(K113),F113&gt;0,I113&gt;0,H113&lt;&gt;0),ROUND(MIN(F113,I113)*(K113/I113-H113/F113),8),"")</f>
        <v/>
      </c>
      <c r="O113" s="177" t="str">
        <f>IF(ISNUMBER(N113),ROUND(N113/(MIN(F113,I113)*H113/F113)*100,2),"")</f>
        <v/>
      </c>
    </row>
    <row r="114" ht="22" customHeight="1">
      <c r="B114" s="244" t="n"/>
      <c r="C114" s="243" t="n"/>
      <c r="D114" s="244" t="n"/>
      <c r="E114" s="245" t="n"/>
      <c r="F114" s="246" t="n"/>
      <c r="G114" s="183" t="n"/>
      <c r="H114" s="247" t="n"/>
      <c r="I114" s="246" t="n"/>
      <c r="J114" s="183" t="n"/>
      <c r="K114" s="247" t="n"/>
      <c r="L114" s="246" t="str">
        <f>IF(COUNT(F114,I114)=0,"",N(F114)-N(I114))</f>
        <v/>
      </c>
      <c r="M114" s="247" t="str">
        <f>IF(COUNT(H114,K114)=0,"",N(K114)-N(H114))</f>
        <v/>
      </c>
      <c r="N114" s="246" t="str">
        <f>IF(AND(ISNUMBER(F114),ISNUMBER(I114),ISNUMBER(H114),ISNUMBER(K114),F114&gt;0,I114&gt;0,H114&lt;&gt;0),ROUND(MIN(F114,I114)*(K114/I114-H114/F114),8),"")</f>
        <v/>
      </c>
      <c r="O114" s="183" t="str">
        <f>IF(ISNUMBER(N114),ROUND(N114/(MIN(F114,I114)*H114/F114)*100,2),"")</f>
        <v/>
      </c>
    </row>
    <row r="115" ht="22" customHeight="1">
      <c r="B115" s="238" t="n"/>
      <c r="C115" s="237" t="n"/>
      <c r="D115" s="238" t="n"/>
      <c r="E115" s="239" t="n"/>
      <c r="F115" s="240" t="n"/>
      <c r="G115" s="177" t="n"/>
      <c r="H115" s="241" t="n"/>
      <c r="I115" s="240" t="n"/>
      <c r="J115" s="177" t="n"/>
      <c r="K115" s="241" t="n"/>
      <c r="L115" s="240" t="str">
        <f>IF(COUNT(F115,I115)=0,"",N(F115)-N(I115))</f>
        <v/>
      </c>
      <c r="M115" s="241" t="str">
        <f>IF(COUNT(H115,K115)=0,"",N(K115)-N(H115))</f>
        <v/>
      </c>
      <c r="N115" s="240" t="str">
        <f>IF(AND(ISNUMBER(F115),ISNUMBER(I115),ISNUMBER(H115),ISNUMBER(K115),F115&gt;0,I115&gt;0,H115&lt;&gt;0),ROUND(MIN(F115,I115)*(K115/I115-H115/F115),8),"")</f>
        <v/>
      </c>
      <c r="O115" s="177" t="str">
        <f>IF(ISNUMBER(N115),ROUND(N115/(MIN(F115,I115)*H115/F115)*100,2),"")</f>
        <v/>
      </c>
    </row>
    <row r="116" ht="22" customHeight="1">
      <c r="B116" s="244" t="n"/>
      <c r="C116" s="243" t="n"/>
      <c r="D116" s="244" t="n"/>
      <c r="E116" s="245" t="n"/>
      <c r="F116" s="246" t="n"/>
      <c r="G116" s="183" t="n"/>
      <c r="H116" s="247" t="n"/>
      <c r="I116" s="246" t="n"/>
      <c r="J116" s="183" t="n"/>
      <c r="K116" s="247" t="n"/>
      <c r="L116" s="246" t="str">
        <f>IF(COUNT(F116,I116)=0,"",N(F116)-N(I116))</f>
        <v/>
      </c>
      <c r="M116" s="247" t="str">
        <f>IF(COUNT(H116,K116)=0,"",N(K116)-N(H116))</f>
        <v/>
      </c>
      <c r="N116" s="246" t="str">
        <f>IF(AND(ISNUMBER(F116),ISNUMBER(I116),ISNUMBER(H116),ISNUMBER(K116),F116&gt;0,I116&gt;0,H116&lt;&gt;0),ROUND(MIN(F116,I116)*(K116/I116-H116/F116),8),"")</f>
        <v/>
      </c>
      <c r="O116" s="183" t="str">
        <f>IF(ISNUMBER(N116),ROUND(N116/(MIN(F116,I116)*H116/F116)*100,2),"")</f>
        <v/>
      </c>
    </row>
    <row r="117" ht="22" customHeight="1">
      <c r="B117" s="238" t="n"/>
      <c r="C117" s="237" t="n"/>
      <c r="D117" s="238" t="n"/>
      <c r="E117" s="239" t="n"/>
      <c r="F117" s="240" t="n"/>
      <c r="G117" s="177" t="n"/>
      <c r="H117" s="241" t="n"/>
      <c r="I117" s="240" t="n"/>
      <c r="J117" s="177" t="n"/>
      <c r="K117" s="241" t="n"/>
      <c r="L117" s="240" t="str">
        <f>IF(COUNT(F117,I117)=0,"",N(F117)-N(I117))</f>
        <v/>
      </c>
      <c r="M117" s="241" t="str">
        <f>IF(COUNT(H117,K117)=0,"",N(K117)-N(H117))</f>
        <v/>
      </c>
      <c r="N117" s="240" t="str">
        <f>IF(AND(ISNUMBER(F117),ISNUMBER(I117),ISNUMBER(H117),ISNUMBER(K117),F117&gt;0,I117&gt;0,H117&lt;&gt;0),ROUND(MIN(F117,I117)*(K117/I117-H117/F117),8),"")</f>
        <v/>
      </c>
      <c r="O117" s="177" t="str">
        <f>IF(ISNUMBER(N117),ROUND(N117/(MIN(F117,I117)*H117/F117)*100,2),"")</f>
        <v/>
      </c>
    </row>
    <row r="118" ht="22" customHeight="1">
      <c r="B118" s="244" t="n"/>
      <c r="C118" s="243" t="n"/>
      <c r="D118" s="244" t="n"/>
      <c r="E118" s="245" t="n"/>
      <c r="F118" s="246" t="n"/>
      <c r="G118" s="183" t="n"/>
      <c r="H118" s="247" t="n"/>
      <c r="I118" s="246" t="n"/>
      <c r="J118" s="183" t="n"/>
      <c r="K118" s="247" t="n"/>
      <c r="L118" s="246" t="str">
        <f>IF(COUNT(F118,I118)=0,"",N(F118)-N(I118))</f>
        <v/>
      </c>
      <c r="M118" s="247" t="str">
        <f>IF(COUNT(H118,K118)=0,"",N(K118)-N(H118))</f>
        <v/>
      </c>
      <c r="N118" s="246" t="str">
        <f>IF(AND(ISNUMBER(F118),ISNUMBER(I118),ISNUMBER(H118),ISNUMBER(K118),F118&gt;0,I118&gt;0,H118&lt;&gt;0),ROUND(MIN(F118,I118)*(K118/I118-H118/F118),8),"")</f>
        <v/>
      </c>
      <c r="O118" s="183" t="str">
        <f>IF(ISNUMBER(N118),ROUND(N118/(MIN(F118,I118)*H118/F118)*100,2),"")</f>
        <v/>
      </c>
    </row>
    <row r="119" ht="22" customHeight="1">
      <c r="B119" s="238" t="n"/>
      <c r="C119" s="237" t="n"/>
      <c r="D119" s="238" t="n"/>
      <c r="E119" s="239" t="n"/>
      <c r="F119" s="240" t="n"/>
      <c r="G119" s="177" t="n"/>
      <c r="H119" s="241" t="n"/>
      <c r="I119" s="240" t="n"/>
      <c r="J119" s="177" t="n"/>
      <c r="K119" s="241" t="n"/>
      <c r="L119" s="240" t="str">
        <f>IF(COUNT(F119,I119)=0,"",N(F119)-N(I119))</f>
        <v/>
      </c>
      <c r="M119" s="241" t="str">
        <f>IF(COUNT(H119,K119)=0,"",N(K119)-N(H119))</f>
        <v/>
      </c>
      <c r="N119" s="240" t="str">
        <f>IF(AND(ISNUMBER(F119),ISNUMBER(I119),ISNUMBER(H119),ISNUMBER(K119),F119&gt;0,I119&gt;0,H119&lt;&gt;0),ROUND(MIN(F119,I119)*(K119/I119-H119/F119),8),"")</f>
        <v/>
      </c>
      <c r="O119" s="177" t="str">
        <f>IF(ISNUMBER(N119),ROUND(N119/(MIN(F119,I119)*H119/F119)*100,2),"")</f>
        <v/>
      </c>
    </row>
    <row r="120" ht="22" customHeight="1">
      <c r="B120" s="244" t="n"/>
      <c r="C120" s="243" t="n"/>
      <c r="D120" s="244" t="n"/>
      <c r="E120" s="245" t="n"/>
      <c r="F120" s="246" t="n"/>
      <c r="G120" s="183" t="n"/>
      <c r="H120" s="247" t="n"/>
      <c r="I120" s="246" t="n"/>
      <c r="J120" s="183" t="n"/>
      <c r="K120" s="247" t="n"/>
      <c r="L120" s="246" t="str">
        <f>IF(COUNT(F120,I120)=0,"",N(F120)-N(I120))</f>
        <v/>
      </c>
      <c r="M120" s="247" t="str">
        <f>IF(COUNT(H120,K120)=0,"",N(K120)-N(H120))</f>
        <v/>
      </c>
      <c r="N120" s="246" t="str">
        <f>IF(AND(ISNUMBER(F120),ISNUMBER(I120),ISNUMBER(H120),ISNUMBER(K120),F120&gt;0,I120&gt;0,H120&lt;&gt;0),ROUND(MIN(F120,I120)*(K120/I120-H120/F120),8),"")</f>
        <v/>
      </c>
      <c r="O120" s="183" t="str">
        <f>IF(ISNUMBER(N120),ROUND(N120/(MIN(F120,I120)*H120/F120)*100,2),"")</f>
        <v/>
      </c>
    </row>
    <row r="121" ht="22" customHeight="1">
      <c r="B121" s="238" t="n"/>
      <c r="C121" s="237" t="n"/>
      <c r="D121" s="238" t="n"/>
      <c r="E121" s="239" t="n"/>
      <c r="F121" s="240" t="n"/>
      <c r="G121" s="177" t="n"/>
      <c r="H121" s="241" t="n"/>
      <c r="I121" s="240" t="n"/>
      <c r="J121" s="177" t="n"/>
      <c r="K121" s="241" t="n"/>
      <c r="L121" s="240" t="str">
        <f>IF(COUNT(F121,I121)=0,"",N(F121)-N(I121))</f>
        <v/>
      </c>
      <c r="M121" s="241" t="str">
        <f>IF(COUNT(H121,K121)=0,"",N(K121)-N(H121))</f>
        <v/>
      </c>
      <c r="N121" s="240" t="str">
        <f>IF(AND(ISNUMBER(F121),ISNUMBER(I121),ISNUMBER(H121),ISNUMBER(K121),F121&gt;0,I121&gt;0,H121&lt;&gt;0),ROUND(MIN(F121,I121)*(K121/I121-H121/F121),8),"")</f>
        <v/>
      </c>
      <c r="O121" s="177" t="str">
        <f>IF(ISNUMBER(N121),ROUND(N121/(MIN(F121,I121)*H121/F121)*100,2),"")</f>
        <v/>
      </c>
    </row>
    <row r="122" ht="22" customHeight="1">
      <c r="B122" s="244" t="n"/>
      <c r="C122" s="243" t="n"/>
      <c r="D122" s="244" t="n"/>
      <c r="E122" s="245" t="n"/>
      <c r="F122" s="246" t="n"/>
      <c r="G122" s="183" t="n"/>
      <c r="H122" s="247" t="n"/>
      <c r="I122" s="246" t="n"/>
      <c r="J122" s="183" t="n"/>
      <c r="K122" s="247" t="n"/>
      <c r="L122" s="246" t="str">
        <f>IF(COUNT(F122,I122)=0,"",N(F122)-N(I122))</f>
        <v/>
      </c>
      <c r="M122" s="247" t="str">
        <f>IF(COUNT(H122,K122)=0,"",N(K122)-N(H122))</f>
        <v/>
      </c>
      <c r="N122" s="246" t="str">
        <f>IF(AND(ISNUMBER(F122),ISNUMBER(I122),ISNUMBER(H122),ISNUMBER(K122),F122&gt;0,I122&gt;0,H122&lt;&gt;0),ROUND(MIN(F122,I122)*(K122/I122-H122/F122),8),"")</f>
        <v/>
      </c>
      <c r="O122" s="183" t="str">
        <f>IF(ISNUMBER(N122),ROUND(N122/(MIN(F122,I122)*H122/F122)*100,2),"")</f>
        <v/>
      </c>
    </row>
    <row r="123" ht="22" customHeight="1">
      <c r="B123" s="238" t="n"/>
      <c r="C123" s="237" t="n"/>
      <c r="D123" s="238" t="n"/>
      <c r="E123" s="239" t="n"/>
      <c r="F123" s="240" t="n"/>
      <c r="G123" s="177" t="n"/>
      <c r="H123" s="241" t="n"/>
      <c r="I123" s="240" t="n"/>
      <c r="J123" s="177" t="n"/>
      <c r="K123" s="241" t="n"/>
      <c r="L123" s="240" t="str">
        <f>IF(COUNT(F123,I123)=0,"",N(F123)-N(I123))</f>
        <v/>
      </c>
      <c r="M123" s="241" t="str">
        <f>IF(COUNT(H123,K123)=0,"",N(K123)-N(H123))</f>
        <v/>
      </c>
      <c r="N123" s="240" t="str">
        <f>IF(AND(ISNUMBER(F123),ISNUMBER(I123),ISNUMBER(H123),ISNUMBER(K123),F123&gt;0,I123&gt;0,H123&lt;&gt;0),ROUND(MIN(F123,I123)*(K123/I123-H123/F123),8),"")</f>
        <v/>
      </c>
      <c r="O123" s="177" t="str">
        <f>IF(ISNUMBER(N123),ROUND(N123/(MIN(F123,I123)*H123/F123)*100,2),"")</f>
        <v/>
      </c>
    </row>
    <row r="124" ht="22" customHeight="1">
      <c r="B124" s="244" t="n"/>
      <c r="C124" s="243" t="n"/>
      <c r="D124" s="244" t="n"/>
      <c r="E124" s="245" t="n"/>
      <c r="F124" s="246" t="n"/>
      <c r="G124" s="183" t="n"/>
      <c r="H124" s="247" t="n"/>
      <c r="I124" s="246" t="n"/>
      <c r="J124" s="183" t="n"/>
      <c r="K124" s="247" t="n"/>
      <c r="L124" s="246" t="str">
        <f>IF(COUNT(F124,I124)=0,"",N(F124)-N(I124))</f>
        <v/>
      </c>
      <c r="M124" s="247" t="str">
        <f>IF(COUNT(H124,K124)=0,"",N(K124)-N(H124))</f>
        <v/>
      </c>
      <c r="N124" s="246" t="str">
        <f>IF(AND(ISNUMBER(F124),ISNUMBER(I124),ISNUMBER(H124),ISNUMBER(K124),F124&gt;0,I124&gt;0,H124&lt;&gt;0),ROUND(MIN(F124,I124)*(K124/I124-H124/F124),8),"")</f>
        <v/>
      </c>
      <c r="O124" s="183" t="str">
        <f>IF(ISNUMBER(N124),ROUND(N124/(MIN(F124,I124)*H124/F124)*100,2),"")</f>
        <v/>
      </c>
    </row>
    <row r="125" ht="22" customHeight="1">
      <c r="B125" s="238" t="n"/>
      <c r="C125" s="237" t="n"/>
      <c r="D125" s="238" t="n"/>
      <c r="E125" s="239" t="n"/>
      <c r="F125" s="240" t="n"/>
      <c r="G125" s="177" t="n"/>
      <c r="H125" s="241" t="n"/>
      <c r="I125" s="240" t="n"/>
      <c r="J125" s="177" t="n"/>
      <c r="K125" s="241" t="n"/>
      <c r="L125" s="240" t="str">
        <f>IF(COUNT(F125,I125)=0,"",N(F125)-N(I125))</f>
        <v/>
      </c>
      <c r="M125" s="241" t="str">
        <f>IF(COUNT(H125,K125)=0,"",N(K125)-N(H125))</f>
        <v/>
      </c>
      <c r="N125" s="240" t="str">
        <f>IF(AND(ISNUMBER(F125),ISNUMBER(I125),ISNUMBER(H125),ISNUMBER(K125),F125&gt;0,I125&gt;0,H125&lt;&gt;0),ROUND(MIN(F125,I125)*(K125/I125-H125/F125),8),"")</f>
        <v/>
      </c>
      <c r="O125" s="177" t="str">
        <f>IF(ISNUMBER(N125),ROUND(N125/(MIN(F125,I125)*H125/F125)*100,2),"")</f>
        <v/>
      </c>
    </row>
    <row r="126" ht="22" customHeight="1">
      <c r="B126" s="244" t="n"/>
      <c r="C126" s="243" t="n"/>
      <c r="D126" s="244" t="n"/>
      <c r="E126" s="245" t="n"/>
      <c r="F126" s="246" t="n"/>
      <c r="G126" s="183" t="n"/>
      <c r="H126" s="247" t="n"/>
      <c r="I126" s="246" t="n"/>
      <c r="J126" s="183" t="n"/>
      <c r="K126" s="247" t="n"/>
      <c r="L126" s="246" t="str">
        <f>IF(COUNT(F126,I126)=0,"",N(F126)-N(I126))</f>
        <v/>
      </c>
      <c r="M126" s="247" t="str">
        <f>IF(COUNT(H126,K126)=0,"",N(K126)-N(H126))</f>
        <v/>
      </c>
      <c r="N126" s="246" t="str">
        <f>IF(AND(ISNUMBER(F126),ISNUMBER(I126),ISNUMBER(H126),ISNUMBER(K126),F126&gt;0,I126&gt;0,H126&lt;&gt;0),ROUND(MIN(F126,I126)*(K126/I126-H126/F126),8),"")</f>
        <v/>
      </c>
      <c r="O126" s="183" t="str">
        <f>IF(ISNUMBER(N126),ROUND(N126/(MIN(F126,I126)*H126/F126)*100,2),"")</f>
        <v/>
      </c>
    </row>
    <row r="127" ht="22" customHeight="1">
      <c r="B127" s="238" t="n"/>
      <c r="C127" s="237" t="n"/>
      <c r="D127" s="238" t="n"/>
      <c r="E127" s="239" t="n"/>
      <c r="F127" s="240" t="n"/>
      <c r="G127" s="177" t="n"/>
      <c r="H127" s="241" t="n"/>
      <c r="I127" s="240" t="n"/>
      <c r="J127" s="177" t="n"/>
      <c r="K127" s="241" t="n"/>
      <c r="L127" s="240" t="str">
        <f>IF(COUNT(F127,I127)=0,"",N(F127)-N(I127))</f>
        <v/>
      </c>
      <c r="M127" s="241" t="str">
        <f>IF(COUNT(H127,K127)=0,"",N(K127)-N(H127))</f>
        <v/>
      </c>
      <c r="N127" s="240" t="str">
        <f>IF(AND(ISNUMBER(F127),ISNUMBER(I127),ISNUMBER(H127),ISNUMBER(K127),F127&gt;0,I127&gt;0,H127&lt;&gt;0),ROUND(MIN(F127,I127)*(K127/I127-H127/F127),8),"")</f>
        <v/>
      </c>
      <c r="O127" s="177" t="str">
        <f>IF(ISNUMBER(N127),ROUND(N127/(MIN(F127,I127)*H127/F127)*100,2),"")</f>
        <v/>
      </c>
    </row>
    <row r="128" ht="22" customHeight="1">
      <c r="B128" s="244" t="n"/>
      <c r="C128" s="243" t="n"/>
      <c r="D128" s="244" t="n"/>
      <c r="E128" s="245" t="n"/>
      <c r="F128" s="246" t="n"/>
      <c r="G128" s="183" t="n"/>
      <c r="H128" s="247" t="n"/>
      <c r="I128" s="246" t="n"/>
      <c r="J128" s="183" t="n"/>
      <c r="K128" s="247" t="n"/>
      <c r="L128" s="246" t="str">
        <f>IF(COUNT(F128,I128)=0,"",N(F128)-N(I128))</f>
        <v/>
      </c>
      <c r="M128" s="247" t="str">
        <f>IF(COUNT(H128,K128)=0,"",N(K128)-N(H128))</f>
        <v/>
      </c>
      <c r="N128" s="246" t="str">
        <f>IF(AND(ISNUMBER(F128),ISNUMBER(I128),ISNUMBER(H128),ISNUMBER(K128),F128&gt;0,I128&gt;0,H128&lt;&gt;0),ROUND(MIN(F128,I128)*(K128/I128-H128/F128),8),"")</f>
        <v/>
      </c>
      <c r="O128" s="183" t="str">
        <f>IF(ISNUMBER(N128),ROUND(N128/(MIN(F128,I128)*H128/F128)*100,2),"")</f>
        <v/>
      </c>
    </row>
    <row r="129" ht="22" customHeight="1">
      <c r="B129" s="238" t="n"/>
      <c r="C129" s="237" t="n"/>
      <c r="D129" s="238" t="n"/>
      <c r="E129" s="239" t="n"/>
      <c r="F129" s="240" t="n"/>
      <c r="G129" s="177" t="n"/>
      <c r="H129" s="241" t="n"/>
      <c r="I129" s="240" t="n"/>
      <c r="J129" s="177" t="n"/>
      <c r="K129" s="241" t="n"/>
      <c r="L129" s="240" t="str">
        <f>IF(COUNT(F129,I129)=0,"",N(F129)-N(I129))</f>
        <v/>
      </c>
      <c r="M129" s="241" t="str">
        <f>IF(COUNT(H129,K129)=0,"",N(K129)-N(H129))</f>
        <v/>
      </c>
      <c r="N129" s="240" t="str">
        <f>IF(AND(ISNUMBER(F129),ISNUMBER(I129),ISNUMBER(H129),ISNUMBER(K129),F129&gt;0,I129&gt;0,H129&lt;&gt;0),ROUND(MIN(F129,I129)*(K129/I129-H129/F129),8),"")</f>
        <v/>
      </c>
      <c r="O129" s="177" t="str">
        <f>IF(ISNUMBER(N129),ROUND(N129/(MIN(F129,I129)*H129/F129)*100,2),"")</f>
        <v/>
      </c>
    </row>
    <row r="130" ht="22" customHeight="1">
      <c r="B130" s="244" t="n"/>
      <c r="C130" s="243" t="n"/>
      <c r="D130" s="244" t="n"/>
      <c r="E130" s="245" t="n"/>
      <c r="F130" s="246" t="n"/>
      <c r="G130" s="183" t="n"/>
      <c r="H130" s="247" t="n"/>
      <c r="I130" s="246" t="n"/>
      <c r="J130" s="183" t="n"/>
      <c r="K130" s="247" t="n"/>
      <c r="L130" s="246" t="str">
        <f>IF(COUNT(F130,I130)=0,"",N(F130)-N(I130))</f>
        <v/>
      </c>
      <c r="M130" s="247" t="str">
        <f>IF(COUNT(H130,K130)=0,"",N(K130)-N(H130))</f>
        <v/>
      </c>
      <c r="N130" s="246" t="str">
        <f>IF(AND(ISNUMBER(F130),ISNUMBER(I130),ISNUMBER(H130),ISNUMBER(K130),F130&gt;0,I130&gt;0,H130&lt;&gt;0),ROUND(MIN(F130,I130)*(K130/I130-H130/F130),8),"")</f>
        <v/>
      </c>
      <c r="O130" s="183" t="str">
        <f>IF(ISNUMBER(N130),ROUND(N130/(MIN(F130,I130)*H130/F130)*100,2),"")</f>
        <v/>
      </c>
    </row>
    <row r="131" ht="22" customHeight="1">
      <c r="B131" s="238" t="n"/>
      <c r="C131" s="237" t="n"/>
      <c r="D131" s="238" t="n"/>
      <c r="E131" s="239" t="n"/>
      <c r="F131" s="240" t="n"/>
      <c r="G131" s="177" t="n"/>
      <c r="H131" s="241" t="n"/>
      <c r="I131" s="240" t="n"/>
      <c r="J131" s="177" t="n"/>
      <c r="K131" s="241" t="n"/>
      <c r="L131" s="240" t="str">
        <f>IF(COUNT(F131,I131)=0,"",N(F131)-N(I131))</f>
        <v/>
      </c>
      <c r="M131" s="241" t="str">
        <f>IF(COUNT(H131,K131)=0,"",N(K131)-N(H131))</f>
        <v/>
      </c>
      <c r="N131" s="240" t="str">
        <f>IF(AND(ISNUMBER(F131),ISNUMBER(I131),ISNUMBER(H131),ISNUMBER(K131),F131&gt;0,I131&gt;0,H131&lt;&gt;0),ROUND(MIN(F131,I131)*(K131/I131-H131/F131),8),"")</f>
        <v/>
      </c>
      <c r="O131" s="177" t="str">
        <f>IF(ISNUMBER(N131),ROUND(N131/(MIN(F131,I131)*H131/F131)*100,2),"")</f>
        <v/>
      </c>
    </row>
    <row r="132" ht="22" customHeight="1">
      <c r="B132" s="244" t="n"/>
      <c r="C132" s="243" t="n"/>
      <c r="D132" s="244" t="n"/>
      <c r="E132" s="245" t="n"/>
      <c r="F132" s="246" t="n"/>
      <c r="G132" s="183" t="n"/>
      <c r="H132" s="247" t="n"/>
      <c r="I132" s="246" t="n"/>
      <c r="J132" s="183" t="n"/>
      <c r="K132" s="247" t="n"/>
      <c r="L132" s="246" t="str">
        <f>IF(COUNT(F132,I132)=0,"",N(F132)-N(I132))</f>
        <v/>
      </c>
      <c r="M132" s="247" t="str">
        <f>IF(COUNT(H132,K132)=0,"",N(K132)-N(H132))</f>
        <v/>
      </c>
      <c r="N132" s="246" t="str">
        <f>IF(AND(ISNUMBER(F132),ISNUMBER(I132),ISNUMBER(H132),ISNUMBER(K132),F132&gt;0,I132&gt;0,H132&lt;&gt;0),ROUND(MIN(F132,I132)*(K132/I132-H132/F132),8),"")</f>
        <v/>
      </c>
      <c r="O132" s="183" t="str">
        <f>IF(ISNUMBER(N132),ROUND(N132/(MIN(F132,I132)*H132/F132)*100,2),"")</f>
        <v/>
      </c>
    </row>
    <row r="133" ht="22" customHeight="1">
      <c r="B133" s="238" t="n"/>
      <c r="C133" s="237" t="n"/>
      <c r="D133" s="238" t="n"/>
      <c r="E133" s="239" t="n"/>
      <c r="F133" s="240" t="n"/>
      <c r="G133" s="177" t="n"/>
      <c r="H133" s="241" t="n"/>
      <c r="I133" s="240" t="n"/>
      <c r="J133" s="177" t="n"/>
      <c r="K133" s="241" t="n"/>
      <c r="L133" s="240" t="str">
        <f>IF(COUNT(F133,I133)=0,"",N(F133)-N(I133))</f>
        <v/>
      </c>
      <c r="M133" s="241" t="str">
        <f>IF(COUNT(H133,K133)=0,"",N(K133)-N(H133))</f>
        <v/>
      </c>
      <c r="N133" s="240" t="str">
        <f>IF(AND(ISNUMBER(F133),ISNUMBER(I133),ISNUMBER(H133),ISNUMBER(K133),F133&gt;0,I133&gt;0,H133&lt;&gt;0),ROUND(MIN(F133,I133)*(K133/I133-H133/F133),8),"")</f>
        <v/>
      </c>
      <c r="O133" s="177" t="str">
        <f>IF(ISNUMBER(N133),ROUND(N133/(MIN(F133,I133)*H133/F133)*100,2),"")</f>
        <v/>
      </c>
    </row>
    <row r="134" ht="22" customHeight="1">
      <c r="B134" s="244" t="n"/>
      <c r="C134" s="243" t="n"/>
      <c r="D134" s="244" t="n"/>
      <c r="E134" s="245" t="n"/>
      <c r="F134" s="246" t="n"/>
      <c r="G134" s="183" t="n"/>
      <c r="H134" s="247" t="n"/>
      <c r="I134" s="246" t="n"/>
      <c r="J134" s="183" t="n"/>
      <c r="K134" s="247" t="n"/>
      <c r="L134" s="246" t="str">
        <f>IF(COUNT(F134,I134)=0,"",N(F134)-N(I134))</f>
        <v/>
      </c>
      <c r="M134" s="247" t="str">
        <f>IF(COUNT(H134,K134)=0,"",N(K134)-N(H134))</f>
        <v/>
      </c>
      <c r="N134" s="246" t="str">
        <f>IF(AND(ISNUMBER(F134),ISNUMBER(I134),ISNUMBER(H134),ISNUMBER(K134),F134&gt;0,I134&gt;0,H134&lt;&gt;0),ROUND(MIN(F134,I134)*(K134/I134-H134/F134),8),"")</f>
        <v/>
      </c>
      <c r="O134" s="183" t="str">
        <f>IF(ISNUMBER(N134),ROUND(N134/(MIN(F134,I134)*H134/F134)*100,2),"")</f>
        <v/>
      </c>
    </row>
    <row r="135" ht="22" customHeight="1">
      <c r="B135" s="238" t="n"/>
      <c r="C135" s="237" t="n"/>
      <c r="D135" s="238" t="n"/>
      <c r="E135" s="239" t="n"/>
      <c r="F135" s="240" t="n"/>
      <c r="G135" s="177" t="n"/>
      <c r="H135" s="241" t="n"/>
      <c r="I135" s="240" t="n"/>
      <c r="J135" s="177" t="n"/>
      <c r="K135" s="241" t="n"/>
      <c r="L135" s="240" t="str">
        <f>IF(COUNT(F135,I135)=0,"",N(F135)-N(I135))</f>
        <v/>
      </c>
      <c r="M135" s="241" t="str">
        <f>IF(COUNT(H135,K135)=0,"",N(K135)-N(H135))</f>
        <v/>
      </c>
      <c r="N135" s="240" t="str">
        <f>IF(AND(ISNUMBER(F135),ISNUMBER(I135),ISNUMBER(H135),ISNUMBER(K135),F135&gt;0,I135&gt;0,H135&lt;&gt;0),ROUND(MIN(F135,I135)*(K135/I135-H135/F135),8),"")</f>
        <v/>
      </c>
      <c r="O135" s="177" t="str">
        <f>IF(ISNUMBER(N135),ROUND(N135/(MIN(F135,I135)*H135/F135)*100,2),"")</f>
        <v/>
      </c>
    </row>
    <row r="136" ht="22" customHeight="1">
      <c r="B136" s="244" t="n"/>
      <c r="C136" s="243" t="n"/>
      <c r="D136" s="244" t="n"/>
      <c r="E136" s="245" t="n"/>
      <c r="F136" s="246" t="n"/>
      <c r="G136" s="183" t="n"/>
      <c r="H136" s="247" t="n"/>
      <c r="I136" s="246" t="n"/>
      <c r="J136" s="183" t="n"/>
      <c r="K136" s="247" t="n"/>
      <c r="L136" s="246" t="str">
        <f>IF(COUNT(F136,I136)=0,"",N(F136)-N(I136))</f>
        <v/>
      </c>
      <c r="M136" s="247" t="str">
        <f>IF(COUNT(H136,K136)=0,"",N(K136)-N(H136))</f>
        <v/>
      </c>
      <c r="N136" s="246" t="str">
        <f>IF(AND(ISNUMBER(F136),ISNUMBER(I136),ISNUMBER(H136),ISNUMBER(K136),F136&gt;0,I136&gt;0,H136&lt;&gt;0),ROUND(MIN(F136,I136)*(K136/I136-H136/F136),8),"")</f>
        <v/>
      </c>
      <c r="O136" s="183" t="str">
        <f>IF(ISNUMBER(N136),ROUND(N136/(MIN(F136,I136)*H136/F136)*100,2),"")</f>
        <v/>
      </c>
    </row>
    <row r="137" ht="22" customHeight="1">
      <c r="B137" s="238" t="n"/>
      <c r="C137" s="237" t="n"/>
      <c r="D137" s="238" t="n"/>
      <c r="E137" s="239" t="n"/>
      <c r="F137" s="240" t="n"/>
      <c r="G137" s="177" t="n"/>
      <c r="H137" s="241" t="n"/>
      <c r="I137" s="240" t="n"/>
      <c r="J137" s="177" t="n"/>
      <c r="K137" s="241" t="n"/>
      <c r="L137" s="240" t="str">
        <f>IF(COUNT(F137,I137)=0,"",N(F137)-N(I137))</f>
        <v/>
      </c>
      <c r="M137" s="241" t="str">
        <f>IF(COUNT(H137,K137)=0,"",N(K137)-N(H137))</f>
        <v/>
      </c>
      <c r="N137" s="240" t="str">
        <f>IF(AND(ISNUMBER(F137),ISNUMBER(I137),ISNUMBER(H137),ISNUMBER(K137),F137&gt;0,I137&gt;0,H137&lt;&gt;0),ROUND(MIN(F137,I137)*(K137/I137-H137/F137),8),"")</f>
        <v/>
      </c>
      <c r="O137" s="177" t="str">
        <f>IF(ISNUMBER(N137),ROUND(N137/(MIN(F137,I137)*H137/F137)*100,2),"")</f>
        <v/>
      </c>
    </row>
    <row r="138" ht="22" customHeight="1">
      <c r="B138" s="244" t="n"/>
      <c r="C138" s="243" t="n"/>
      <c r="D138" s="244" t="n"/>
      <c r="E138" s="245" t="n"/>
      <c r="F138" s="246" t="n"/>
      <c r="G138" s="183" t="n"/>
      <c r="H138" s="247" t="n"/>
      <c r="I138" s="246" t="n"/>
      <c r="J138" s="183" t="n"/>
      <c r="K138" s="247" t="n"/>
      <c r="L138" s="246" t="str">
        <f>IF(COUNT(F138,I138)=0,"",N(F138)-N(I138))</f>
        <v/>
      </c>
      <c r="M138" s="247" t="str">
        <f>IF(COUNT(H138,K138)=0,"",N(K138)-N(H138))</f>
        <v/>
      </c>
      <c r="N138" s="246" t="str">
        <f>IF(AND(ISNUMBER(F138),ISNUMBER(I138),ISNUMBER(H138),ISNUMBER(K138),F138&gt;0,I138&gt;0,H138&lt;&gt;0),ROUND(MIN(F138,I138)*(K138/I138-H138/F138),8),"")</f>
        <v/>
      </c>
      <c r="O138" s="183" t="str">
        <f>IF(ISNUMBER(N138),ROUND(N138/(MIN(F138,I138)*H138/F138)*100,2),"")</f>
        <v/>
      </c>
    </row>
    <row r="139" ht="22" customHeight="1">
      <c r="B139" s="238" t="n"/>
      <c r="C139" s="237" t="n"/>
      <c r="D139" s="238" t="n"/>
      <c r="E139" s="239" t="n"/>
      <c r="F139" s="240" t="n"/>
      <c r="G139" s="177" t="n"/>
      <c r="H139" s="241" t="n"/>
      <c r="I139" s="240" t="n"/>
      <c r="J139" s="177" t="n"/>
      <c r="K139" s="241" t="n"/>
      <c r="L139" s="240" t="str">
        <f>IF(COUNT(F139,I139)=0,"",N(F139)-N(I139))</f>
        <v/>
      </c>
      <c r="M139" s="241" t="str">
        <f>IF(COUNT(H139,K139)=0,"",N(K139)-N(H139))</f>
        <v/>
      </c>
      <c r="N139" s="240" t="str">
        <f>IF(AND(ISNUMBER(F139),ISNUMBER(I139),ISNUMBER(H139),ISNUMBER(K139),F139&gt;0,I139&gt;0,H139&lt;&gt;0),ROUND(MIN(F139,I139)*(K139/I139-H139/F139),8),"")</f>
        <v/>
      </c>
      <c r="O139" s="177" t="str">
        <f>IF(ISNUMBER(N139),ROUND(N139/(MIN(F139,I139)*H139/F139)*100,2),"")</f>
        <v/>
      </c>
    </row>
    <row r="140" ht="22" customHeight="1">
      <c r="B140" s="244" t="n"/>
      <c r="C140" s="243" t="n"/>
      <c r="D140" s="244" t="n"/>
      <c r="E140" s="245" t="n"/>
      <c r="F140" s="246" t="n"/>
      <c r="G140" s="183" t="n"/>
      <c r="H140" s="247" t="n"/>
      <c r="I140" s="246" t="n"/>
      <c r="J140" s="183" t="n"/>
      <c r="K140" s="247" t="n"/>
      <c r="L140" s="246" t="str">
        <f>IF(COUNT(F140,I140)=0,"",N(F140)-N(I140))</f>
        <v/>
      </c>
      <c r="M140" s="247" t="str">
        <f>IF(COUNT(H140,K140)=0,"",N(K140)-N(H140))</f>
        <v/>
      </c>
      <c r="N140" s="246" t="str">
        <f>IF(AND(ISNUMBER(F140),ISNUMBER(I140),ISNUMBER(H140),ISNUMBER(K140),F140&gt;0,I140&gt;0,H140&lt;&gt;0),ROUND(MIN(F140,I140)*(K140/I140-H140/F140),8),"")</f>
        <v/>
      </c>
      <c r="O140" s="183" t="str">
        <f>IF(ISNUMBER(N140),ROUND(N140/(MIN(F140,I140)*H140/F140)*100,2),"")</f>
        <v/>
      </c>
    </row>
    <row r="141" ht="22" customHeight="1">
      <c r="B141" s="238" t="n"/>
      <c r="C141" s="237" t="n"/>
      <c r="D141" s="238" t="n"/>
      <c r="E141" s="239" t="n"/>
      <c r="F141" s="240" t="n"/>
      <c r="G141" s="177" t="n"/>
      <c r="H141" s="241" t="n"/>
      <c r="I141" s="240" t="n"/>
      <c r="J141" s="177" t="n"/>
      <c r="K141" s="241" t="n"/>
      <c r="L141" s="240" t="str">
        <f>IF(COUNT(F141,I141)=0,"",N(F141)-N(I141))</f>
        <v/>
      </c>
      <c r="M141" s="241" t="str">
        <f>IF(COUNT(H141,K141)=0,"",N(K141)-N(H141))</f>
        <v/>
      </c>
      <c r="N141" s="240" t="str">
        <f>IF(AND(ISNUMBER(F141),ISNUMBER(I141),ISNUMBER(H141),ISNUMBER(K141),F141&gt;0,I141&gt;0,H141&lt;&gt;0),ROUND(MIN(F141,I141)*(K141/I141-H141/F141),8),"")</f>
        <v/>
      </c>
      <c r="O141" s="177" t="str">
        <f>IF(ISNUMBER(N141),ROUND(N141/(MIN(F141,I141)*H141/F141)*100,2),"")</f>
        <v/>
      </c>
    </row>
    <row r="142" ht="22" customHeight="1">
      <c r="B142" s="244" t="n"/>
      <c r="C142" s="243" t="n"/>
      <c r="D142" s="244" t="n"/>
      <c r="E142" s="245" t="n"/>
      <c r="F142" s="246" t="n"/>
      <c r="G142" s="183" t="n"/>
      <c r="H142" s="247" t="n"/>
      <c r="I142" s="246" t="n"/>
      <c r="J142" s="183" t="n"/>
      <c r="K142" s="247" t="n"/>
      <c r="L142" s="246" t="str">
        <f>IF(COUNT(F142,I142)=0,"",N(F142)-N(I142))</f>
        <v/>
      </c>
      <c r="M142" s="247" t="str">
        <f>IF(COUNT(H142,K142)=0,"",N(K142)-N(H142))</f>
        <v/>
      </c>
      <c r="N142" s="246" t="str">
        <f>IF(AND(ISNUMBER(F142),ISNUMBER(I142),ISNUMBER(H142),ISNUMBER(K142),F142&gt;0,I142&gt;0,H142&lt;&gt;0),ROUND(MIN(F142,I142)*(K142/I142-H142/F142),8),"")</f>
        <v/>
      </c>
      <c r="O142" s="183" t="str">
        <f>IF(ISNUMBER(N142),ROUND(N142/(MIN(F142,I142)*H142/F142)*100,2),"")</f>
        <v/>
      </c>
    </row>
    <row r="143" ht="22" customHeight="1">
      <c r="B143" s="238" t="n"/>
      <c r="C143" s="237" t="n"/>
      <c r="D143" s="238" t="n"/>
      <c r="E143" s="239" t="n"/>
      <c r="F143" s="240" t="n"/>
      <c r="G143" s="177" t="n"/>
      <c r="H143" s="241" t="n"/>
      <c r="I143" s="240" t="n"/>
      <c r="J143" s="177" t="n"/>
      <c r="K143" s="241" t="n"/>
      <c r="L143" s="240" t="str">
        <f>IF(COUNT(F143,I143)=0,"",N(F143)-N(I143))</f>
        <v/>
      </c>
      <c r="M143" s="241" t="str">
        <f>IF(COUNT(H143,K143)=0,"",N(K143)-N(H143))</f>
        <v/>
      </c>
      <c r="N143" s="240" t="str">
        <f>IF(AND(ISNUMBER(F143),ISNUMBER(I143),ISNUMBER(H143),ISNUMBER(K143),F143&gt;0,I143&gt;0,H143&lt;&gt;0),ROUND(MIN(F143,I143)*(K143/I143-H143/F143),8),"")</f>
        <v/>
      </c>
      <c r="O143" s="177" t="str">
        <f>IF(ISNUMBER(N143),ROUND(N143/(MIN(F143,I143)*H143/F143)*100,2),"")</f>
        <v/>
      </c>
    </row>
    <row r="144" ht="22" customHeight="1">
      <c r="B144" s="244" t="n"/>
      <c r="C144" s="243" t="n"/>
      <c r="D144" s="244" t="n"/>
      <c r="E144" s="245" t="n"/>
      <c r="F144" s="246" t="n"/>
      <c r="G144" s="183" t="n"/>
      <c r="H144" s="247" t="n"/>
      <c r="I144" s="246" t="n"/>
      <c r="J144" s="183" t="n"/>
      <c r="K144" s="247" t="n"/>
      <c r="L144" s="246" t="str">
        <f>IF(COUNT(F144,I144)=0,"",N(F144)-N(I144))</f>
        <v/>
      </c>
      <c r="M144" s="247" t="str">
        <f>IF(COUNT(H144,K144)=0,"",N(K144)-N(H144))</f>
        <v/>
      </c>
      <c r="N144" s="246" t="str">
        <f>IF(AND(ISNUMBER(F144),ISNUMBER(I144),ISNUMBER(H144),ISNUMBER(K144),F144&gt;0,I144&gt;0,H144&lt;&gt;0),ROUND(MIN(F144,I144)*(K144/I144-H144/F144),8),"")</f>
        <v/>
      </c>
      <c r="O144" s="183" t="str">
        <f>IF(ISNUMBER(N144),ROUND(N144/(MIN(F144,I144)*H144/F144)*100,2),"")</f>
        <v/>
      </c>
    </row>
    <row r="145" ht="22" customHeight="1">
      <c r="B145" s="238" t="n"/>
      <c r="C145" s="237" t="n"/>
      <c r="D145" s="238" t="n"/>
      <c r="E145" s="239" t="n"/>
      <c r="F145" s="240" t="n"/>
      <c r="G145" s="177" t="n"/>
      <c r="H145" s="241" t="n"/>
      <c r="I145" s="240" t="n"/>
      <c r="J145" s="177" t="n"/>
      <c r="K145" s="241" t="n"/>
      <c r="L145" s="240" t="str">
        <f>IF(COUNT(F145,I145)=0,"",N(F145)-N(I145))</f>
        <v/>
      </c>
      <c r="M145" s="241" t="str">
        <f>IF(COUNT(H145,K145)=0,"",N(K145)-N(H145))</f>
        <v/>
      </c>
      <c r="N145" s="240" t="str">
        <f>IF(AND(ISNUMBER(F145),ISNUMBER(I145),ISNUMBER(H145),ISNUMBER(K145),F145&gt;0,I145&gt;0,H145&lt;&gt;0),ROUND(MIN(F145,I145)*(K145/I145-H145/F145),8),"")</f>
        <v/>
      </c>
      <c r="O145" s="177" t="str">
        <f>IF(ISNUMBER(N145),ROUND(N145/(MIN(F145,I145)*H145/F145)*100,2),"")</f>
        <v/>
      </c>
    </row>
    <row r="146" ht="22" customHeight="1">
      <c r="B146" s="244" t="n"/>
      <c r="C146" s="243" t="n"/>
      <c r="D146" s="244" t="n"/>
      <c r="E146" s="245" t="n"/>
      <c r="F146" s="246" t="n"/>
      <c r="G146" s="183" t="n"/>
      <c r="H146" s="247" t="n"/>
      <c r="I146" s="246" t="n"/>
      <c r="J146" s="183" t="n"/>
      <c r="K146" s="247" t="n"/>
      <c r="L146" s="246" t="str">
        <f>IF(COUNT(F146,I146)=0,"",N(F146)-N(I146))</f>
        <v/>
      </c>
      <c r="M146" s="247" t="str">
        <f>IF(COUNT(H146,K146)=0,"",N(K146)-N(H146))</f>
        <v/>
      </c>
      <c r="N146" s="246" t="str">
        <f>IF(AND(ISNUMBER(F146),ISNUMBER(I146),ISNUMBER(H146),ISNUMBER(K146),F146&gt;0,I146&gt;0,H146&lt;&gt;0),ROUND(MIN(F146,I146)*(K146/I146-H146/F146),8),"")</f>
        <v/>
      </c>
      <c r="O146" s="183" t="str">
        <f>IF(ISNUMBER(N146),ROUND(N146/(MIN(F146,I146)*H146/F146)*100,2),"")</f>
        <v/>
      </c>
    </row>
    <row r="147" ht="22" customHeight="1">
      <c r="B147" s="238" t="n"/>
      <c r="C147" s="237" t="n"/>
      <c r="D147" s="238" t="n"/>
      <c r="E147" s="239" t="n"/>
      <c r="F147" s="240" t="n"/>
      <c r="G147" s="177" t="n"/>
      <c r="H147" s="241" t="n"/>
      <c r="I147" s="240" t="n"/>
      <c r="J147" s="177" t="n"/>
      <c r="K147" s="241" t="n"/>
      <c r="L147" s="240" t="str">
        <f>IF(COUNT(F147,I147)=0,"",N(F147)-N(I147))</f>
        <v/>
      </c>
      <c r="M147" s="241" t="str">
        <f>IF(COUNT(H147,K147)=0,"",N(K147)-N(H147))</f>
        <v/>
      </c>
      <c r="N147" s="240" t="str">
        <f>IF(AND(ISNUMBER(F147),ISNUMBER(I147),ISNUMBER(H147),ISNUMBER(K147),F147&gt;0,I147&gt;0,H147&lt;&gt;0),ROUND(MIN(F147,I147)*(K147/I147-H147/F147),8),"")</f>
        <v/>
      </c>
      <c r="O147" s="177" t="str">
        <f>IF(ISNUMBER(N147),ROUND(N147/(MIN(F147,I147)*H147/F147)*100,2),"")</f>
        <v/>
      </c>
    </row>
    <row r="148" ht="22" customHeight="1">
      <c r="B148" s="244" t="n"/>
      <c r="C148" s="243" t="n"/>
      <c r="D148" s="244" t="n"/>
      <c r="E148" s="245" t="n"/>
      <c r="F148" s="246" t="n"/>
      <c r="G148" s="183" t="n"/>
      <c r="H148" s="247" t="n"/>
      <c r="I148" s="246" t="n"/>
      <c r="J148" s="183" t="n"/>
      <c r="K148" s="247" t="n"/>
      <c r="L148" s="246" t="str">
        <f>IF(COUNT(F148,I148)=0,"",N(F148)-N(I148))</f>
        <v/>
      </c>
      <c r="M148" s="247" t="str">
        <f>IF(COUNT(H148,K148)=0,"",N(K148)-N(H148))</f>
        <v/>
      </c>
      <c r="N148" s="246" t="str">
        <f>IF(AND(ISNUMBER(F148),ISNUMBER(I148),ISNUMBER(H148),ISNUMBER(K148),F148&gt;0,I148&gt;0,H148&lt;&gt;0),ROUND(MIN(F148,I148)*(K148/I148-H148/F148),8),"")</f>
        <v/>
      </c>
      <c r="O148" s="183" t="str">
        <f>IF(ISNUMBER(N148),ROUND(N148/(MIN(F148,I148)*H148/F148)*100,2),"")</f>
        <v/>
      </c>
    </row>
    <row r="149" ht="22" customHeight="1">
      <c r="B149" s="238" t="n"/>
      <c r="C149" s="237" t="n"/>
      <c r="D149" s="238" t="n"/>
      <c r="E149" s="239" t="n"/>
      <c r="F149" s="240" t="n"/>
      <c r="G149" s="177" t="n"/>
      <c r="H149" s="241" t="n"/>
      <c r="I149" s="240" t="n"/>
      <c r="J149" s="177" t="n"/>
      <c r="K149" s="241" t="n"/>
      <c r="L149" s="240" t="str">
        <f>IF(COUNT(F149,I149)=0,"",N(F149)-N(I149))</f>
        <v/>
      </c>
      <c r="M149" s="241" t="str">
        <f>IF(COUNT(H149,K149)=0,"",N(K149)-N(H149))</f>
        <v/>
      </c>
      <c r="N149" s="240" t="str">
        <f>IF(AND(ISNUMBER(F149),ISNUMBER(I149),ISNUMBER(H149),ISNUMBER(K149),F149&gt;0,I149&gt;0,H149&lt;&gt;0),ROUND(MIN(F149,I149)*(K149/I149-H149/F149),8),"")</f>
        <v/>
      </c>
      <c r="O149" s="177" t="str">
        <f>IF(ISNUMBER(N149),ROUND(N149/(MIN(F149,I149)*H149/F149)*100,2),"")</f>
        <v/>
      </c>
    </row>
    <row r="150" ht="22" customHeight="1">
      <c r="B150" s="244" t="n"/>
      <c r="C150" s="243" t="n"/>
      <c r="D150" s="244" t="n"/>
      <c r="E150" s="245" t="n"/>
      <c r="F150" s="246" t="n"/>
      <c r="G150" s="183" t="n"/>
      <c r="H150" s="247" t="n"/>
      <c r="I150" s="246" t="n"/>
      <c r="J150" s="183" t="n"/>
      <c r="K150" s="247" t="n"/>
      <c r="L150" s="246" t="str">
        <f>IF(COUNT(F150,I150)=0,"",N(F150)-N(I150))</f>
        <v/>
      </c>
      <c r="M150" s="247" t="str">
        <f>IF(COUNT(H150,K150)=0,"",N(K150)-N(H150))</f>
        <v/>
      </c>
      <c r="N150" s="246" t="str">
        <f>IF(AND(ISNUMBER(F150),ISNUMBER(I150),ISNUMBER(H150),ISNUMBER(K150),F150&gt;0,I150&gt;0,H150&lt;&gt;0),ROUND(MIN(F150,I150)*(K150/I150-H150/F150),8),"")</f>
        <v/>
      </c>
      <c r="O150" s="183" t="str">
        <f>IF(ISNUMBER(N150),ROUND(N150/(MIN(F150,I150)*H150/F150)*100,2),"")</f>
        <v/>
      </c>
    </row>
    <row r="151" ht="22" customHeight="1">
      <c r="B151" s="238" t="n"/>
      <c r="C151" s="237" t="n"/>
      <c r="D151" s="238" t="n"/>
      <c r="E151" s="239" t="n"/>
      <c r="F151" s="240" t="n"/>
      <c r="G151" s="177" t="n"/>
      <c r="H151" s="241" t="n"/>
      <c r="I151" s="240" t="n"/>
      <c r="J151" s="177" t="n"/>
      <c r="K151" s="241" t="n"/>
      <c r="L151" s="240" t="str">
        <f>IF(COUNT(F151,I151)=0,"",N(F151)-N(I151))</f>
        <v/>
      </c>
      <c r="M151" s="241" t="str">
        <f>IF(COUNT(H151,K151)=0,"",N(K151)-N(H151))</f>
        <v/>
      </c>
      <c r="N151" s="240" t="str">
        <f>IF(AND(ISNUMBER(F151),ISNUMBER(I151),ISNUMBER(H151),ISNUMBER(K151),F151&gt;0,I151&gt;0,H151&lt;&gt;0),ROUND(MIN(F151,I151)*(K151/I151-H151/F151),8),"")</f>
        <v/>
      </c>
      <c r="O151" s="177" t="str">
        <f>IF(ISNUMBER(N151),ROUND(N151/(MIN(F151,I151)*H151/F151)*100,2),"")</f>
        <v/>
      </c>
    </row>
    <row r="152" ht="22" customHeight="1">
      <c r="B152" s="244" t="n"/>
      <c r="C152" s="243" t="n"/>
      <c r="D152" s="244" t="n"/>
      <c r="E152" s="245" t="n"/>
      <c r="F152" s="246" t="n"/>
      <c r="G152" s="183" t="n"/>
      <c r="H152" s="247" t="n"/>
      <c r="I152" s="246" t="n"/>
      <c r="J152" s="183" t="n"/>
      <c r="K152" s="247" t="n"/>
      <c r="L152" s="246" t="str">
        <f>IF(COUNT(F152,I152)=0,"",N(F152)-N(I152))</f>
        <v/>
      </c>
      <c r="M152" s="247" t="str">
        <f>IF(COUNT(H152,K152)=0,"",N(K152)-N(H152))</f>
        <v/>
      </c>
      <c r="N152" s="246" t="str">
        <f>IF(AND(ISNUMBER(F152),ISNUMBER(I152),ISNUMBER(H152),ISNUMBER(K152),F152&gt;0,I152&gt;0,H152&lt;&gt;0),ROUND(MIN(F152,I152)*(K152/I152-H152/F152),8),"")</f>
        <v/>
      </c>
      <c r="O152" s="183" t="str">
        <f>IF(ISNUMBER(N152),ROUND(N152/(MIN(F152,I152)*H152/F152)*100,2),"")</f>
        <v/>
      </c>
    </row>
    <row r="153" ht="22" customHeight="1">
      <c r="B153" s="238" t="n"/>
      <c r="C153" s="237" t="n"/>
      <c r="D153" s="238" t="n"/>
      <c r="E153" s="239" t="n"/>
      <c r="F153" s="240" t="n"/>
      <c r="G153" s="177" t="n"/>
      <c r="H153" s="241" t="n"/>
      <c r="I153" s="240" t="n"/>
      <c r="J153" s="177" t="n"/>
      <c r="K153" s="241" t="n"/>
      <c r="L153" s="240" t="str">
        <f>IF(COUNT(F153,I153)=0,"",N(F153)-N(I153))</f>
        <v/>
      </c>
      <c r="M153" s="241" t="str">
        <f>IF(COUNT(H153,K153)=0,"",N(K153)-N(H153))</f>
        <v/>
      </c>
      <c r="N153" s="240" t="str">
        <f>IF(AND(ISNUMBER(F153),ISNUMBER(I153),ISNUMBER(H153),ISNUMBER(K153),F153&gt;0,I153&gt;0,H153&lt;&gt;0),ROUND(MIN(F153,I153)*(K153/I153-H153/F153),8),"")</f>
        <v/>
      </c>
      <c r="O153" s="177" t="str">
        <f>IF(ISNUMBER(N153),ROUND(N153/(MIN(F153,I153)*H153/F153)*100,2),"")</f>
        <v/>
      </c>
    </row>
    <row r="154" ht="22" customHeight="1">
      <c r="B154" s="244" t="n"/>
      <c r="C154" s="243" t="n"/>
      <c r="D154" s="244" t="n"/>
      <c r="E154" s="245" t="n"/>
      <c r="F154" s="246" t="n"/>
      <c r="G154" s="183" t="n"/>
      <c r="H154" s="247" t="n"/>
      <c r="I154" s="246" t="n"/>
      <c r="J154" s="183" t="n"/>
      <c r="K154" s="247" t="n"/>
      <c r="L154" s="246" t="str">
        <f>IF(COUNT(F154,I154)=0,"",N(F154)-N(I154))</f>
        <v/>
      </c>
      <c r="M154" s="247" t="str">
        <f>IF(COUNT(H154,K154)=0,"",N(K154)-N(H154))</f>
        <v/>
      </c>
      <c r="N154" s="246" t="str">
        <f>IF(AND(ISNUMBER(F154),ISNUMBER(I154),ISNUMBER(H154),ISNUMBER(K154),F154&gt;0,I154&gt;0,H154&lt;&gt;0),ROUND(MIN(F154,I154)*(K154/I154-H154/F154),8),"")</f>
        <v/>
      </c>
      <c r="O154" s="183" t="str">
        <f>IF(ISNUMBER(N154),ROUND(N154/(MIN(F154,I154)*H154/F154)*100,2),"")</f>
        <v/>
      </c>
    </row>
    <row r="155" ht="22" customHeight="1">
      <c r="B155" s="238" t="n"/>
      <c r="C155" s="237" t="n"/>
      <c r="D155" s="238" t="n"/>
      <c r="E155" s="239" t="n"/>
      <c r="F155" s="240" t="n"/>
      <c r="G155" s="177" t="n"/>
      <c r="H155" s="241" t="n"/>
      <c r="I155" s="240" t="n"/>
      <c r="J155" s="177" t="n"/>
      <c r="K155" s="241" t="n"/>
      <c r="L155" s="240" t="str">
        <f>IF(COUNT(F155,I155)=0,"",N(F155)-N(I155))</f>
        <v/>
      </c>
      <c r="M155" s="241" t="str">
        <f>IF(COUNT(H155,K155)=0,"",N(K155)-N(H155))</f>
        <v/>
      </c>
      <c r="N155" s="240" t="str">
        <f>IF(AND(ISNUMBER(F155),ISNUMBER(I155),ISNUMBER(H155),ISNUMBER(K155),F155&gt;0,I155&gt;0,H155&lt;&gt;0),ROUND(MIN(F155,I155)*(K155/I155-H155/F155),8),"")</f>
        <v/>
      </c>
      <c r="O155" s="177" t="str">
        <f>IF(ISNUMBER(N155),ROUND(N155/(MIN(F155,I155)*H155/F155)*100,2),"")</f>
        <v/>
      </c>
    </row>
    <row r="156" ht="22" customHeight="1">
      <c r="B156" s="244" t="n"/>
      <c r="C156" s="243" t="n"/>
      <c r="D156" s="244" t="n"/>
      <c r="E156" s="245" t="n"/>
      <c r="F156" s="246" t="n"/>
      <c r="G156" s="183" t="n"/>
      <c r="H156" s="247" t="n"/>
      <c r="I156" s="246" t="n"/>
      <c r="J156" s="183" t="n"/>
      <c r="K156" s="247" t="n"/>
      <c r="L156" s="246" t="str">
        <f>IF(COUNT(F156,I156)=0,"",N(F156)-N(I156))</f>
        <v/>
      </c>
      <c r="M156" s="247" t="str">
        <f>IF(COUNT(H156,K156)=0,"",N(K156)-N(H156))</f>
        <v/>
      </c>
      <c r="N156" s="246" t="str">
        <f>IF(AND(ISNUMBER(F156),ISNUMBER(I156),ISNUMBER(H156),ISNUMBER(K156),F156&gt;0,I156&gt;0,H156&lt;&gt;0),ROUND(MIN(F156,I156)*(K156/I156-H156/F156),8),"")</f>
        <v/>
      </c>
      <c r="O156" s="183" t="str">
        <f>IF(ISNUMBER(N156),ROUND(N156/(MIN(F156,I156)*H156/F156)*100,2),"")</f>
        <v/>
      </c>
    </row>
    <row r="157" ht="22" customHeight="1">
      <c r="B157" s="238" t="n"/>
      <c r="C157" s="237" t="n"/>
      <c r="D157" s="238" t="n"/>
      <c r="E157" s="239" t="n"/>
      <c r="F157" s="240" t="n"/>
      <c r="G157" s="177" t="n"/>
      <c r="H157" s="241" t="n"/>
      <c r="I157" s="240" t="n"/>
      <c r="J157" s="177" t="n"/>
      <c r="K157" s="241" t="n"/>
      <c r="L157" s="240" t="str">
        <f>IF(COUNT(F157,I157)=0,"",N(F157)-N(I157))</f>
        <v/>
      </c>
      <c r="M157" s="241" t="str">
        <f>IF(COUNT(H157,K157)=0,"",N(K157)-N(H157))</f>
        <v/>
      </c>
      <c r="N157" s="240" t="str">
        <f>IF(AND(ISNUMBER(F157),ISNUMBER(I157),ISNUMBER(H157),ISNUMBER(K157),F157&gt;0,I157&gt;0,H157&lt;&gt;0),ROUND(MIN(F157,I157)*(K157/I157-H157/F157),8),"")</f>
        <v/>
      </c>
      <c r="O157" s="177" t="str">
        <f>IF(ISNUMBER(N157),ROUND(N157/(MIN(F157,I157)*H157/F157)*100,2),"")</f>
        <v/>
      </c>
    </row>
    <row r="158" ht="22" customHeight="1">
      <c r="B158" s="244" t="n"/>
      <c r="C158" s="243" t="n"/>
      <c r="D158" s="244" t="n"/>
      <c r="E158" s="245" t="n"/>
      <c r="F158" s="246" t="n"/>
      <c r="G158" s="183" t="n"/>
      <c r="H158" s="247" t="n"/>
      <c r="I158" s="246" t="n"/>
      <c r="J158" s="183" t="n"/>
      <c r="K158" s="247" t="n"/>
      <c r="L158" s="246" t="str">
        <f>IF(COUNT(F158,I158)=0,"",N(F158)-N(I158))</f>
        <v/>
      </c>
      <c r="M158" s="247" t="str">
        <f>IF(COUNT(H158,K158)=0,"",N(K158)-N(H158))</f>
        <v/>
      </c>
      <c r="N158" s="246" t="str">
        <f>IF(AND(ISNUMBER(F158),ISNUMBER(I158),ISNUMBER(H158),ISNUMBER(K158),F158&gt;0,I158&gt;0,H158&lt;&gt;0),ROUND(MIN(F158,I158)*(K158/I158-H158/F158),8),"")</f>
        <v/>
      </c>
      <c r="O158" s="183" t="str">
        <f>IF(ISNUMBER(N158),ROUND(N158/(MIN(F158,I158)*H158/F158)*100,2),"")</f>
        <v/>
      </c>
    </row>
    <row r="159" ht="22" customHeight="1">
      <c r="B159" s="238" t="n"/>
      <c r="C159" s="237" t="n"/>
      <c r="D159" s="238" t="n"/>
      <c r="E159" s="239" t="n"/>
      <c r="F159" s="240" t="n"/>
      <c r="G159" s="177" t="n"/>
      <c r="H159" s="241" t="n"/>
      <c r="I159" s="240" t="n"/>
      <c r="J159" s="177" t="n"/>
      <c r="K159" s="241" t="n"/>
      <c r="L159" s="240" t="str">
        <f>IF(COUNT(F159,I159)=0,"",N(F159)-N(I159))</f>
        <v/>
      </c>
      <c r="M159" s="241" t="str">
        <f>IF(COUNT(H159,K159)=0,"",N(K159)-N(H159))</f>
        <v/>
      </c>
      <c r="N159" s="240" t="str">
        <f>IF(AND(ISNUMBER(F159),ISNUMBER(I159),ISNUMBER(H159),ISNUMBER(K159),F159&gt;0,I159&gt;0,H159&lt;&gt;0),ROUND(MIN(F159,I159)*(K159/I159-H159/F159),8),"")</f>
        <v/>
      </c>
      <c r="O159" s="177" t="str">
        <f>IF(ISNUMBER(N159),ROUND(N159/(MIN(F159,I159)*H159/F159)*100,2),"")</f>
        <v/>
      </c>
    </row>
    <row r="160" ht="22" customHeight="1">
      <c r="B160" s="244" t="n"/>
      <c r="C160" s="243" t="n"/>
      <c r="D160" s="244" t="n"/>
      <c r="E160" s="245" t="n"/>
      <c r="F160" s="246" t="n"/>
      <c r="G160" s="183" t="n"/>
      <c r="H160" s="247" t="n"/>
      <c r="I160" s="246" t="n"/>
      <c r="J160" s="183" t="n"/>
      <c r="K160" s="247" t="n"/>
      <c r="L160" s="246" t="str">
        <f>IF(COUNT(F160,I160)=0,"",N(F160)-N(I160))</f>
        <v/>
      </c>
      <c r="M160" s="247" t="str">
        <f>IF(COUNT(H160,K160)=0,"",N(K160)-N(H160))</f>
        <v/>
      </c>
      <c r="N160" s="246" t="str">
        <f>IF(AND(ISNUMBER(F160),ISNUMBER(I160),ISNUMBER(H160),ISNUMBER(K160),F160&gt;0,I160&gt;0,H160&lt;&gt;0),ROUND(MIN(F160,I160)*(K160/I160-H160/F160),8),"")</f>
        <v/>
      </c>
      <c r="O160" s="183" t="str">
        <f>IF(ISNUMBER(N160),ROUND(N160/(MIN(F160,I160)*H160/F160)*100,2),"")</f>
        <v/>
      </c>
    </row>
    <row r="161" ht="22" customHeight="1">
      <c r="B161" s="238" t="n"/>
      <c r="C161" s="237" t="n"/>
      <c r="D161" s="238" t="n"/>
      <c r="E161" s="239" t="n"/>
      <c r="F161" s="240" t="n"/>
      <c r="G161" s="177" t="n"/>
      <c r="H161" s="241" t="n"/>
      <c r="I161" s="240" t="n"/>
      <c r="J161" s="177" t="n"/>
      <c r="K161" s="241" t="n"/>
      <c r="L161" s="240" t="str">
        <f>IF(COUNT(F161,I161)=0,"",N(F161)-N(I161))</f>
        <v/>
      </c>
      <c r="M161" s="241" t="str">
        <f>IF(COUNT(H161,K161)=0,"",N(K161)-N(H161))</f>
        <v/>
      </c>
      <c r="N161" s="240" t="str">
        <f>IF(AND(ISNUMBER(F161),ISNUMBER(I161),ISNUMBER(H161),ISNUMBER(K161),F161&gt;0,I161&gt;0,H161&lt;&gt;0),ROUND(MIN(F161,I161)*(K161/I161-H161/F161),8),"")</f>
        <v/>
      </c>
      <c r="O161" s="177" t="str">
        <f>IF(ISNUMBER(N161),ROUND(N161/(MIN(F161,I161)*H161/F161)*100,2),"")</f>
        <v/>
      </c>
    </row>
    <row r="162" ht="22" customHeight="1">
      <c r="B162" s="244" t="n"/>
      <c r="C162" s="243" t="n"/>
      <c r="D162" s="244" t="n"/>
      <c r="E162" s="245" t="n"/>
      <c r="F162" s="246" t="n"/>
      <c r="G162" s="183" t="n"/>
      <c r="H162" s="247" t="n"/>
      <c r="I162" s="246" t="n"/>
      <c r="J162" s="183" t="n"/>
      <c r="K162" s="247" t="n"/>
      <c r="L162" s="246" t="str">
        <f>IF(COUNT(F162,I162)=0,"",N(F162)-N(I162))</f>
        <v/>
      </c>
      <c r="M162" s="247" t="str">
        <f>IF(COUNT(H162,K162)=0,"",N(K162)-N(H162))</f>
        <v/>
      </c>
      <c r="N162" s="246" t="str">
        <f>IF(AND(ISNUMBER(F162),ISNUMBER(I162),ISNUMBER(H162),ISNUMBER(K162),F162&gt;0,I162&gt;0,H162&lt;&gt;0),ROUND(MIN(F162,I162)*(K162/I162-H162/F162),8),"")</f>
        <v/>
      </c>
      <c r="O162" s="183" t="str">
        <f>IF(ISNUMBER(N162),ROUND(N162/(MIN(F162,I162)*H162/F162)*100,2),"")</f>
        <v/>
      </c>
    </row>
    <row r="163" ht="22" customHeight="1">
      <c r="B163" s="238" t="n"/>
      <c r="C163" s="237" t="n"/>
      <c r="D163" s="238" t="n"/>
      <c r="E163" s="239" t="n"/>
      <c r="F163" s="240" t="n"/>
      <c r="G163" s="177" t="n"/>
      <c r="H163" s="241" t="n"/>
      <c r="I163" s="240" t="n"/>
      <c r="J163" s="177" t="n"/>
      <c r="K163" s="241" t="n"/>
      <c r="L163" s="240" t="str">
        <f>IF(COUNT(F163,I163)=0,"",N(F163)-N(I163))</f>
        <v/>
      </c>
      <c r="M163" s="241" t="str">
        <f>IF(COUNT(H163,K163)=0,"",N(K163)-N(H163))</f>
        <v/>
      </c>
      <c r="N163" s="240" t="str">
        <f>IF(AND(ISNUMBER(F163),ISNUMBER(I163),ISNUMBER(H163),ISNUMBER(K163),F163&gt;0,I163&gt;0,H163&lt;&gt;0),ROUND(MIN(F163,I163)*(K163/I163-H163/F163),8),"")</f>
        <v/>
      </c>
      <c r="O163" s="177" t="str">
        <f>IF(ISNUMBER(N163),ROUND(N163/(MIN(F163,I163)*H163/F163)*100,2),"")</f>
        <v/>
      </c>
    </row>
    <row r="164" ht="22" customHeight="1">
      <c r="B164" s="244" t="n"/>
      <c r="C164" s="243" t="n"/>
      <c r="D164" s="244" t="n"/>
      <c r="E164" s="245" t="n"/>
      <c r="F164" s="246" t="n"/>
      <c r="G164" s="183" t="n"/>
      <c r="H164" s="247" t="n"/>
      <c r="I164" s="246" t="n"/>
      <c r="J164" s="183" t="n"/>
      <c r="K164" s="247" t="n"/>
      <c r="L164" s="246" t="str">
        <f>IF(COUNT(F164,I164)=0,"",N(F164)-N(I164))</f>
        <v/>
      </c>
      <c r="M164" s="247" t="str">
        <f>IF(COUNT(H164,K164)=0,"",N(K164)-N(H164))</f>
        <v/>
      </c>
      <c r="N164" s="246" t="str">
        <f>IF(AND(ISNUMBER(F164),ISNUMBER(I164),ISNUMBER(H164),ISNUMBER(K164),F164&gt;0,I164&gt;0,H164&lt;&gt;0),ROUND(MIN(F164,I164)*(K164/I164-H164/F164),8),"")</f>
        <v/>
      </c>
      <c r="O164" s="183" t="str">
        <f>IF(ISNUMBER(N164),ROUND(N164/(MIN(F164,I164)*H164/F164)*100,2),"")</f>
        <v/>
      </c>
    </row>
    <row r="165" ht="22" customHeight="1">
      <c r="B165" s="238" t="n"/>
      <c r="C165" s="237" t="n"/>
      <c r="D165" s="238" t="n"/>
      <c r="E165" s="239" t="n"/>
      <c r="F165" s="240" t="n"/>
      <c r="G165" s="177" t="n"/>
      <c r="H165" s="241" t="n"/>
      <c r="I165" s="240" t="n"/>
      <c r="J165" s="177" t="n"/>
      <c r="K165" s="241" t="n"/>
      <c r="L165" s="240" t="str">
        <f>IF(COUNT(F165,I165)=0,"",N(F165)-N(I165))</f>
        <v/>
      </c>
      <c r="M165" s="241" t="str">
        <f>IF(COUNT(H165,K165)=0,"",N(K165)-N(H165))</f>
        <v/>
      </c>
      <c r="N165" s="240" t="str">
        <f>IF(AND(ISNUMBER(F165),ISNUMBER(I165),ISNUMBER(H165),ISNUMBER(K165),F165&gt;0,I165&gt;0,H165&lt;&gt;0),ROUND(MIN(F165,I165)*(K165/I165-H165/F165),8),"")</f>
        <v/>
      </c>
      <c r="O165" s="177" t="str">
        <f>IF(ISNUMBER(N165),ROUND(N165/(MIN(F165,I165)*H165/F165)*100,2),"")</f>
        <v/>
      </c>
    </row>
    <row r="166" ht="22" customHeight="1">
      <c r="B166" s="244" t="n"/>
      <c r="C166" s="243" t="n"/>
      <c r="D166" s="244" t="n"/>
      <c r="E166" s="245" t="n"/>
      <c r="F166" s="246" t="n"/>
      <c r="G166" s="183" t="n"/>
      <c r="H166" s="247" t="n"/>
      <c r="I166" s="246" t="n"/>
      <c r="J166" s="183" t="n"/>
      <c r="K166" s="247" t="n"/>
      <c r="L166" s="246" t="str">
        <f>IF(COUNT(F166,I166)=0,"",N(F166)-N(I166))</f>
        <v/>
      </c>
      <c r="M166" s="247" t="str">
        <f>IF(COUNT(H166,K166)=0,"",N(K166)-N(H166))</f>
        <v/>
      </c>
      <c r="N166" s="246" t="str">
        <f>IF(AND(ISNUMBER(F166),ISNUMBER(I166),ISNUMBER(H166),ISNUMBER(K166),F166&gt;0,I166&gt;0,H166&lt;&gt;0),ROUND(MIN(F166,I166)*(K166/I166-H166/F166),8),"")</f>
        <v/>
      </c>
      <c r="O166" s="183" t="str">
        <f>IF(ISNUMBER(N166),ROUND(N166/(MIN(F166,I166)*H166/F166)*100,2),"")</f>
        <v/>
      </c>
    </row>
    <row r="167" ht="22" customHeight="1">
      <c r="B167" s="238" t="n"/>
      <c r="C167" s="237" t="n"/>
      <c r="D167" s="238" t="n"/>
      <c r="E167" s="239" t="n"/>
      <c r="F167" s="240" t="n"/>
      <c r="G167" s="177" t="n"/>
      <c r="H167" s="241" t="n"/>
      <c r="I167" s="240" t="n"/>
      <c r="J167" s="177" t="n"/>
      <c r="K167" s="241" t="n"/>
      <c r="L167" s="240" t="str">
        <f>IF(COUNT(F167,I167)=0,"",N(F167)-N(I167))</f>
        <v/>
      </c>
      <c r="M167" s="241" t="str">
        <f>IF(COUNT(H167,K167)=0,"",N(K167)-N(H167))</f>
        <v/>
      </c>
      <c r="N167" s="240" t="str">
        <f>IF(AND(ISNUMBER(F167),ISNUMBER(I167),ISNUMBER(H167),ISNUMBER(K167),F167&gt;0,I167&gt;0,H167&lt;&gt;0),ROUND(MIN(F167,I167)*(K167/I167-H167/F167),8),"")</f>
        <v/>
      </c>
      <c r="O167" s="177" t="str">
        <f>IF(ISNUMBER(N167),ROUND(N167/(MIN(F167,I167)*H167/F167)*100,2),"")</f>
        <v/>
      </c>
    </row>
    <row r="168" ht="22" customHeight="1">
      <c r="B168" s="244" t="n"/>
      <c r="C168" s="243" t="n"/>
      <c r="D168" s="244" t="n"/>
      <c r="E168" s="245" t="n"/>
      <c r="F168" s="246" t="n"/>
      <c r="G168" s="183" t="n"/>
      <c r="H168" s="247" t="n"/>
      <c r="I168" s="246" t="n"/>
      <c r="J168" s="183" t="n"/>
      <c r="K168" s="247" t="n"/>
      <c r="L168" s="246" t="str">
        <f>IF(COUNT(F168,I168)=0,"",N(F168)-N(I168))</f>
        <v/>
      </c>
      <c r="M168" s="247" t="str">
        <f>IF(COUNT(H168,K168)=0,"",N(K168)-N(H168))</f>
        <v/>
      </c>
      <c r="N168" s="246" t="str">
        <f>IF(AND(ISNUMBER(F168),ISNUMBER(I168),ISNUMBER(H168),ISNUMBER(K168),F168&gt;0,I168&gt;0,H168&lt;&gt;0),ROUND(MIN(F168,I168)*(K168/I168-H168/F168),8),"")</f>
        <v/>
      </c>
      <c r="O168" s="183" t="str">
        <f>IF(ISNUMBER(N168),ROUND(N168/(MIN(F168,I168)*H168/F168)*100,2),"")</f>
        <v/>
      </c>
    </row>
    <row r="169" ht="22" customHeight="1">
      <c r="B169" s="238" t="n"/>
      <c r="C169" s="237" t="n"/>
      <c r="D169" s="238" t="n"/>
      <c r="E169" s="239" t="n"/>
      <c r="F169" s="240" t="n"/>
      <c r="G169" s="177" t="n"/>
      <c r="H169" s="241" t="n"/>
      <c r="I169" s="240" t="n"/>
      <c r="J169" s="177" t="n"/>
      <c r="K169" s="241" t="n"/>
      <c r="L169" s="240" t="str">
        <f>IF(COUNT(F169,I169)=0,"",N(F169)-N(I169))</f>
        <v/>
      </c>
      <c r="M169" s="241" t="str">
        <f>IF(COUNT(H169,K169)=0,"",N(K169)-N(H169))</f>
        <v/>
      </c>
      <c r="N169" s="240" t="str">
        <f>IF(AND(ISNUMBER(F169),ISNUMBER(I169),ISNUMBER(H169),ISNUMBER(K169),F169&gt;0,I169&gt;0,H169&lt;&gt;0),ROUND(MIN(F169,I169)*(K169/I169-H169/F169),8),"")</f>
        <v/>
      </c>
      <c r="O169" s="177" t="str">
        <f>IF(ISNUMBER(N169),ROUND(N169/(MIN(F169,I169)*H169/F169)*100,2),"")</f>
        <v/>
      </c>
    </row>
    <row r="170" ht="22" customHeight="1">
      <c r="B170" s="244" t="n"/>
      <c r="C170" s="243" t="n"/>
      <c r="D170" s="244" t="n"/>
      <c r="E170" s="245" t="n"/>
      <c r="F170" s="246" t="n"/>
      <c r="G170" s="183" t="n"/>
      <c r="H170" s="247" t="n"/>
      <c r="I170" s="246" t="n"/>
      <c r="J170" s="183" t="n"/>
      <c r="K170" s="247" t="n"/>
      <c r="L170" s="246" t="str">
        <f>IF(COUNT(F170,I170)=0,"",N(F170)-N(I170))</f>
        <v/>
      </c>
      <c r="M170" s="247" t="str">
        <f>IF(COUNT(H170,K170)=0,"",N(K170)-N(H170))</f>
        <v/>
      </c>
      <c r="N170" s="246" t="str">
        <f>IF(AND(ISNUMBER(F170),ISNUMBER(I170),ISNUMBER(H170),ISNUMBER(K170),F170&gt;0,I170&gt;0,H170&lt;&gt;0),ROUND(MIN(F170,I170)*(K170/I170-H170/F170),8),"")</f>
        <v/>
      </c>
      <c r="O170" s="183" t="str">
        <f>IF(ISNUMBER(N170),ROUND(N170/(MIN(F170,I170)*H170/F170)*100,2),"")</f>
        <v/>
      </c>
    </row>
    <row r="171" ht="22" customHeight="1">
      <c r="B171" s="238" t="n"/>
      <c r="C171" s="237" t="n"/>
      <c r="D171" s="238" t="n"/>
      <c r="E171" s="239" t="n"/>
      <c r="F171" s="240" t="n"/>
      <c r="G171" s="177" t="n"/>
      <c r="H171" s="241" t="n"/>
      <c r="I171" s="240" t="n"/>
      <c r="J171" s="177" t="n"/>
      <c r="K171" s="241" t="n"/>
      <c r="L171" s="240" t="str">
        <f>IF(COUNT(F171,I171)=0,"",N(F171)-N(I171))</f>
        <v/>
      </c>
      <c r="M171" s="241" t="str">
        <f>IF(COUNT(H171,K171)=0,"",N(K171)-N(H171))</f>
        <v/>
      </c>
      <c r="N171" s="240" t="str">
        <f>IF(AND(ISNUMBER(F171),ISNUMBER(I171),ISNUMBER(H171),ISNUMBER(K171),F171&gt;0,I171&gt;0,H171&lt;&gt;0),ROUND(MIN(F171,I171)*(K171/I171-H171/F171),8),"")</f>
        <v/>
      </c>
      <c r="O171" s="177" t="str">
        <f>IF(ISNUMBER(N171),ROUND(N171/(MIN(F171,I171)*H171/F171)*100,2),"")</f>
        <v/>
      </c>
    </row>
    <row r="172" ht="22" customHeight="1">
      <c r="B172" s="244" t="n"/>
      <c r="C172" s="243" t="n"/>
      <c r="D172" s="244" t="n"/>
      <c r="E172" s="245" t="n"/>
      <c r="F172" s="246" t="n"/>
      <c r="G172" s="183" t="n"/>
      <c r="H172" s="247" t="n"/>
      <c r="I172" s="246" t="n"/>
      <c r="J172" s="183" t="n"/>
      <c r="K172" s="247" t="n"/>
      <c r="L172" s="246" t="str">
        <f>IF(COUNT(F172,I172)=0,"",N(F172)-N(I172))</f>
        <v/>
      </c>
      <c r="M172" s="247" t="str">
        <f>IF(COUNT(H172,K172)=0,"",N(K172)-N(H172))</f>
        <v/>
      </c>
      <c r="N172" s="246" t="str">
        <f>IF(AND(ISNUMBER(F172),ISNUMBER(I172),ISNUMBER(H172),ISNUMBER(K172),F172&gt;0,I172&gt;0,H172&lt;&gt;0),ROUND(MIN(F172,I172)*(K172/I172-H172/F172),8),"")</f>
        <v/>
      </c>
      <c r="O172" s="183" t="str">
        <f>IF(ISNUMBER(N172),ROUND(N172/(MIN(F172,I172)*H172/F172)*100,2),"")</f>
        <v/>
      </c>
    </row>
    <row r="173" ht="22" customHeight="1">
      <c r="B173" s="238" t="n"/>
      <c r="C173" s="237" t="n"/>
      <c r="D173" s="238" t="n"/>
      <c r="E173" s="239" t="n"/>
      <c r="F173" s="240" t="n"/>
      <c r="G173" s="177" t="n"/>
      <c r="H173" s="241" t="n"/>
      <c r="I173" s="240" t="n"/>
      <c r="J173" s="177" t="n"/>
      <c r="K173" s="241" t="n"/>
      <c r="L173" s="240" t="str">
        <f>IF(COUNT(F173,I173)=0,"",N(F173)-N(I173))</f>
        <v/>
      </c>
      <c r="M173" s="241" t="str">
        <f>IF(COUNT(H173,K173)=0,"",N(K173)-N(H173))</f>
        <v/>
      </c>
      <c r="N173" s="240" t="str">
        <f>IF(AND(ISNUMBER(F173),ISNUMBER(I173),ISNUMBER(H173),ISNUMBER(K173),F173&gt;0,I173&gt;0,H173&lt;&gt;0),ROUND(MIN(F173,I173)*(K173/I173-H173/F173),8),"")</f>
        <v/>
      </c>
      <c r="O173" s="177" t="str">
        <f>IF(ISNUMBER(N173),ROUND(N173/(MIN(F173,I173)*H173/F173)*100,2),"")</f>
        <v/>
      </c>
    </row>
    <row r="174" ht="22" customHeight="1">
      <c r="B174" s="244" t="n"/>
      <c r="C174" s="243" t="n"/>
      <c r="D174" s="244" t="n"/>
      <c r="E174" s="245" t="n"/>
      <c r="F174" s="246" t="n"/>
      <c r="G174" s="183" t="n"/>
      <c r="H174" s="247" t="n"/>
      <c r="I174" s="246" t="n"/>
      <c r="J174" s="183" t="n"/>
      <c r="K174" s="247" t="n"/>
      <c r="L174" s="246" t="str">
        <f>IF(COUNT(F174,I174)=0,"",N(F174)-N(I174))</f>
        <v/>
      </c>
      <c r="M174" s="247" t="str">
        <f>IF(COUNT(H174,K174)=0,"",N(K174)-N(H174))</f>
        <v/>
      </c>
      <c r="N174" s="246" t="str">
        <f>IF(AND(ISNUMBER(F174),ISNUMBER(I174),ISNUMBER(H174),ISNUMBER(K174),F174&gt;0,I174&gt;0,H174&lt;&gt;0),ROUND(MIN(F174,I174)*(K174/I174-H174/F174),8),"")</f>
        <v/>
      </c>
      <c r="O174" s="183" t="str">
        <f>IF(ISNUMBER(N174),ROUND(N174/(MIN(F174,I174)*H174/F174)*100,2),"")</f>
        <v/>
      </c>
    </row>
    <row r="175" ht="22" customHeight="1">
      <c r="B175" s="238" t="n"/>
      <c r="C175" s="237" t="n"/>
      <c r="D175" s="238" t="n"/>
      <c r="E175" s="239" t="n"/>
      <c r="F175" s="240" t="n"/>
      <c r="G175" s="177" t="n"/>
      <c r="H175" s="241" t="n"/>
      <c r="I175" s="240" t="n"/>
      <c r="J175" s="177" t="n"/>
      <c r="K175" s="241" t="n"/>
      <c r="L175" s="240" t="str">
        <f>IF(COUNT(F175,I175)=0,"",N(F175)-N(I175))</f>
        <v/>
      </c>
      <c r="M175" s="241" t="str">
        <f>IF(COUNT(H175,K175)=0,"",N(K175)-N(H175))</f>
        <v/>
      </c>
      <c r="N175" s="240" t="str">
        <f>IF(AND(ISNUMBER(F175),ISNUMBER(I175),ISNUMBER(H175),ISNUMBER(K175),F175&gt;0,I175&gt;0,H175&lt;&gt;0),ROUND(MIN(F175,I175)*(K175/I175-H175/F175),8),"")</f>
        <v/>
      </c>
      <c r="O175" s="177" t="str">
        <f>IF(ISNUMBER(N175),ROUND(N175/(MIN(F175,I175)*H175/F175)*100,2),"")</f>
        <v/>
      </c>
    </row>
    <row r="176" ht="22" customHeight="1">
      <c r="B176" s="244" t="n"/>
      <c r="C176" s="243" t="n"/>
      <c r="D176" s="244" t="n"/>
      <c r="E176" s="245" t="n"/>
      <c r="F176" s="246" t="n"/>
      <c r="G176" s="183" t="n"/>
      <c r="H176" s="247" t="n"/>
      <c r="I176" s="246" t="n"/>
      <c r="J176" s="183" t="n"/>
      <c r="K176" s="247" t="n"/>
      <c r="L176" s="246" t="str">
        <f>IF(COUNT(F176,I176)=0,"",N(F176)-N(I176))</f>
        <v/>
      </c>
      <c r="M176" s="247" t="str">
        <f>IF(COUNT(H176,K176)=0,"",N(K176)-N(H176))</f>
        <v/>
      </c>
      <c r="N176" s="246" t="str">
        <f>IF(AND(ISNUMBER(F176),ISNUMBER(I176),ISNUMBER(H176),ISNUMBER(K176),F176&gt;0,I176&gt;0,H176&lt;&gt;0),ROUND(MIN(F176,I176)*(K176/I176-H176/F176),8),"")</f>
        <v/>
      </c>
      <c r="O176" s="183" t="str">
        <f>IF(ISNUMBER(N176),ROUND(N176/(MIN(F176,I176)*H176/F176)*100,2),"")</f>
        <v/>
      </c>
    </row>
    <row r="177" ht="22" customHeight="1">
      <c r="B177" s="238" t="n"/>
      <c r="C177" s="237" t="n"/>
      <c r="D177" s="238" t="n"/>
      <c r="E177" s="239" t="n"/>
      <c r="F177" s="240" t="n"/>
      <c r="G177" s="177" t="n"/>
      <c r="H177" s="241" t="n"/>
      <c r="I177" s="240" t="n"/>
      <c r="J177" s="177" t="n"/>
      <c r="K177" s="241" t="n"/>
      <c r="L177" s="240" t="str">
        <f>IF(COUNT(F177,I177)=0,"",N(F177)-N(I177))</f>
        <v/>
      </c>
      <c r="M177" s="241" t="str">
        <f>IF(COUNT(H177,K177)=0,"",N(K177)-N(H177))</f>
        <v/>
      </c>
      <c r="N177" s="240" t="str">
        <f>IF(AND(ISNUMBER(F177),ISNUMBER(I177),ISNUMBER(H177),ISNUMBER(K177),F177&gt;0,I177&gt;0,H177&lt;&gt;0),ROUND(MIN(F177,I177)*(K177/I177-H177/F177),8),"")</f>
        <v/>
      </c>
      <c r="O177" s="177" t="str">
        <f>IF(ISNUMBER(N177),ROUND(N177/(MIN(F177,I177)*H177/F177)*100,2),"")</f>
        <v/>
      </c>
    </row>
    <row r="178" ht="22" customHeight="1">
      <c r="B178" s="244" t="n"/>
      <c r="C178" s="243" t="n"/>
      <c r="D178" s="244" t="n"/>
      <c r="E178" s="245" t="n"/>
      <c r="F178" s="246" t="n"/>
      <c r="G178" s="183" t="n"/>
      <c r="H178" s="247" t="n"/>
      <c r="I178" s="246" t="n"/>
      <c r="J178" s="183" t="n"/>
      <c r="K178" s="247" t="n"/>
      <c r="L178" s="246" t="str">
        <f>IF(COUNT(F178,I178)=0,"",N(F178)-N(I178))</f>
        <v/>
      </c>
      <c r="M178" s="247" t="str">
        <f>IF(COUNT(H178,K178)=0,"",N(K178)-N(H178))</f>
        <v/>
      </c>
      <c r="N178" s="246" t="str">
        <f>IF(AND(ISNUMBER(F178),ISNUMBER(I178),ISNUMBER(H178),ISNUMBER(K178),F178&gt;0,I178&gt;0,H178&lt;&gt;0),ROUND(MIN(F178,I178)*(K178/I178-H178/F178),8),"")</f>
        <v/>
      </c>
      <c r="O178" s="183" t="str">
        <f>IF(ISNUMBER(N178),ROUND(N178/(MIN(F178,I178)*H178/F178)*100,2),"")</f>
        <v/>
      </c>
    </row>
    <row r="179" ht="22" customHeight="1">
      <c r="B179" s="238" t="n"/>
      <c r="C179" s="237" t="n"/>
      <c r="D179" s="238" t="n"/>
      <c r="E179" s="239" t="n"/>
      <c r="F179" s="240" t="n"/>
      <c r="G179" s="177" t="n"/>
      <c r="H179" s="241" t="n"/>
      <c r="I179" s="240" t="n"/>
      <c r="J179" s="177" t="n"/>
      <c r="K179" s="241" t="n"/>
      <c r="L179" s="240" t="str">
        <f>IF(COUNT(F179,I179)=0,"",N(F179)-N(I179))</f>
        <v/>
      </c>
      <c r="M179" s="241" t="str">
        <f>IF(COUNT(H179,K179)=0,"",N(K179)-N(H179))</f>
        <v/>
      </c>
      <c r="N179" s="240" t="str">
        <f>IF(AND(ISNUMBER(F179),ISNUMBER(I179),ISNUMBER(H179),ISNUMBER(K179),F179&gt;0,I179&gt;0,H179&lt;&gt;0),ROUND(MIN(F179,I179)*(K179/I179-H179/F179),8),"")</f>
        <v/>
      </c>
      <c r="O179" s="177" t="str">
        <f>IF(ISNUMBER(N179),ROUND(N179/(MIN(F179,I179)*H179/F179)*100,2),"")</f>
        <v/>
      </c>
    </row>
    <row r="180" ht="22" customHeight="1">
      <c r="B180" s="244" t="n"/>
      <c r="C180" s="243" t="n"/>
      <c r="D180" s="244" t="n"/>
      <c r="E180" s="245" t="n"/>
      <c r="F180" s="246" t="n"/>
      <c r="G180" s="183" t="n"/>
      <c r="H180" s="247" t="n"/>
      <c r="I180" s="246" t="n"/>
      <c r="J180" s="183" t="n"/>
      <c r="K180" s="247" t="n"/>
      <c r="L180" s="246" t="str">
        <f>IF(COUNT(F180,I180)=0,"",N(F180)-N(I180))</f>
        <v/>
      </c>
      <c r="M180" s="247" t="str">
        <f>IF(COUNT(H180,K180)=0,"",N(K180)-N(H180))</f>
        <v/>
      </c>
      <c r="N180" s="246" t="str">
        <f>IF(AND(ISNUMBER(F180),ISNUMBER(I180),ISNUMBER(H180),ISNUMBER(K180),F180&gt;0,I180&gt;0,H180&lt;&gt;0),ROUND(MIN(F180,I180)*(K180/I180-H180/F180),8),"")</f>
        <v/>
      </c>
      <c r="O180" s="183" t="str">
        <f>IF(ISNUMBER(N180),ROUND(N180/(MIN(F180,I180)*H180/F180)*100,2),"")</f>
        <v/>
      </c>
    </row>
    <row r="181" ht="22" customHeight="1">
      <c r="B181" s="238" t="n"/>
      <c r="C181" s="237" t="n"/>
      <c r="D181" s="238" t="n"/>
      <c r="E181" s="239" t="n"/>
      <c r="F181" s="240" t="n"/>
      <c r="G181" s="177" t="n"/>
      <c r="H181" s="241" t="n"/>
      <c r="I181" s="240" t="n"/>
      <c r="J181" s="177" t="n"/>
      <c r="K181" s="241" t="n"/>
      <c r="L181" s="240" t="str">
        <f>IF(COUNT(F181,I181)=0,"",N(F181)-N(I181))</f>
        <v/>
      </c>
      <c r="M181" s="241" t="str">
        <f>IF(COUNT(H181,K181)=0,"",N(K181)-N(H181))</f>
        <v/>
      </c>
      <c r="N181" s="240" t="str">
        <f>IF(AND(ISNUMBER(F181),ISNUMBER(I181),ISNUMBER(H181),ISNUMBER(K181),F181&gt;0,I181&gt;0,H181&lt;&gt;0),ROUND(MIN(F181,I181)*(K181/I181-H181/F181),8),"")</f>
        <v/>
      </c>
      <c r="O181" s="177" t="str">
        <f>IF(ISNUMBER(N181),ROUND(N181/(MIN(F181,I181)*H181/F181)*100,2),"")</f>
        <v/>
      </c>
    </row>
    <row r="182" ht="22" customHeight="1">
      <c r="B182" s="244" t="n"/>
      <c r="C182" s="243" t="n"/>
      <c r="D182" s="244" t="n"/>
      <c r="E182" s="245" t="n"/>
      <c r="F182" s="246" t="n"/>
      <c r="G182" s="183" t="n"/>
      <c r="H182" s="247" t="n"/>
      <c r="I182" s="246" t="n"/>
      <c r="J182" s="183" t="n"/>
      <c r="K182" s="247" t="n"/>
      <c r="L182" s="246" t="str">
        <f>IF(COUNT(F182,I182)=0,"",N(F182)-N(I182))</f>
        <v/>
      </c>
      <c r="M182" s="247" t="str">
        <f>IF(COUNT(H182,K182)=0,"",N(K182)-N(H182))</f>
        <v/>
      </c>
      <c r="N182" s="246" t="str">
        <f>IF(AND(ISNUMBER(F182),ISNUMBER(I182),ISNUMBER(H182),ISNUMBER(K182),F182&gt;0,I182&gt;0,H182&lt;&gt;0),ROUND(MIN(F182,I182)*(K182/I182-H182/F182),8),"")</f>
        <v/>
      </c>
      <c r="O182" s="183" t="str">
        <f>IF(ISNUMBER(N182),ROUND(N182/(MIN(F182,I182)*H182/F182)*100,2),"")</f>
        <v/>
      </c>
    </row>
    <row r="183" ht="22" customHeight="1">
      <c r="B183" s="238" t="n"/>
      <c r="C183" s="237" t="n"/>
      <c r="D183" s="238" t="n"/>
      <c r="E183" s="239" t="n"/>
      <c r="F183" s="240" t="n"/>
      <c r="G183" s="177" t="n"/>
      <c r="H183" s="241" t="n"/>
      <c r="I183" s="240" t="n"/>
      <c r="J183" s="177" t="n"/>
      <c r="K183" s="241" t="n"/>
      <c r="L183" s="240" t="str">
        <f>IF(COUNT(F183,I183)=0,"",N(F183)-N(I183))</f>
        <v/>
      </c>
      <c r="M183" s="241" t="str">
        <f>IF(COUNT(H183,K183)=0,"",N(K183)-N(H183))</f>
        <v/>
      </c>
      <c r="N183" s="240" t="str">
        <f>IF(AND(ISNUMBER(F183),ISNUMBER(I183),ISNUMBER(H183),ISNUMBER(K183),F183&gt;0,I183&gt;0,H183&lt;&gt;0),ROUND(MIN(F183,I183)*(K183/I183-H183/F183),8),"")</f>
        <v/>
      </c>
      <c r="O183" s="177" t="str">
        <f>IF(ISNUMBER(N183),ROUND(N183/(MIN(F183,I183)*H183/F183)*100,2),"")</f>
        <v/>
      </c>
    </row>
    <row r="184" ht="22" customHeight="1">
      <c r="B184" s="244" t="n"/>
      <c r="C184" s="243" t="n"/>
      <c r="D184" s="244" t="n"/>
      <c r="E184" s="245" t="n"/>
      <c r="F184" s="246" t="n"/>
      <c r="G184" s="183" t="n"/>
      <c r="H184" s="247" t="n"/>
      <c r="I184" s="246" t="n"/>
      <c r="J184" s="183" t="n"/>
      <c r="K184" s="247" t="n"/>
      <c r="L184" s="246" t="str">
        <f>IF(COUNT(F184,I184)=0,"",N(F184)-N(I184))</f>
        <v/>
      </c>
      <c r="M184" s="247" t="str">
        <f>IF(COUNT(H184,K184)=0,"",N(K184)-N(H184))</f>
        <v/>
      </c>
      <c r="N184" s="246" t="str">
        <f>IF(AND(ISNUMBER(F184),ISNUMBER(I184),ISNUMBER(H184),ISNUMBER(K184),F184&gt;0,I184&gt;0,H184&lt;&gt;0),ROUND(MIN(F184,I184)*(K184/I184-H184/F184),8),"")</f>
        <v/>
      </c>
      <c r="O184" s="183" t="str">
        <f>IF(ISNUMBER(N184),ROUND(N184/(MIN(F184,I184)*H184/F184)*100,2),"")</f>
        <v/>
      </c>
    </row>
    <row r="185" ht="22" customHeight="1">
      <c r="B185" s="238" t="n"/>
      <c r="C185" s="237" t="n"/>
      <c r="D185" s="238" t="n"/>
      <c r="E185" s="239" t="n"/>
      <c r="F185" s="240" t="n"/>
      <c r="G185" s="177" t="n"/>
      <c r="H185" s="241" t="n"/>
      <c r="I185" s="240" t="n"/>
      <c r="J185" s="177" t="n"/>
      <c r="K185" s="241" t="n"/>
      <c r="L185" s="240" t="str">
        <f>IF(COUNT(F185,I185)=0,"",N(F185)-N(I185))</f>
        <v/>
      </c>
      <c r="M185" s="241" t="str">
        <f>IF(COUNT(H185,K185)=0,"",N(K185)-N(H185))</f>
        <v/>
      </c>
      <c r="N185" s="240" t="str">
        <f>IF(AND(ISNUMBER(F185),ISNUMBER(I185),ISNUMBER(H185),ISNUMBER(K185),F185&gt;0,I185&gt;0,H185&lt;&gt;0),ROUND(MIN(F185,I185)*(K185/I185-H185/F185),8),"")</f>
        <v/>
      </c>
      <c r="O185" s="177" t="str">
        <f>IF(ISNUMBER(N185),ROUND(N185/(MIN(F185,I185)*H185/F185)*100,2),"")</f>
        <v/>
      </c>
    </row>
    <row r="186" ht="22" customHeight="1">
      <c r="B186" s="244" t="n"/>
      <c r="C186" s="243" t="n"/>
      <c r="D186" s="244" t="n"/>
      <c r="E186" s="245" t="n"/>
      <c r="F186" s="246" t="n"/>
      <c r="G186" s="183" t="n"/>
      <c r="H186" s="247" t="n"/>
      <c r="I186" s="246" t="n"/>
      <c r="J186" s="183" t="n"/>
      <c r="K186" s="247" t="n"/>
      <c r="L186" s="246" t="str">
        <f>IF(COUNT(F186,I186)=0,"",N(F186)-N(I186))</f>
        <v/>
      </c>
      <c r="M186" s="247" t="str">
        <f>IF(COUNT(H186,K186)=0,"",N(K186)-N(H186))</f>
        <v/>
      </c>
      <c r="N186" s="246" t="str">
        <f>IF(AND(ISNUMBER(F186),ISNUMBER(I186),ISNUMBER(H186),ISNUMBER(K186),F186&gt;0,I186&gt;0,H186&lt;&gt;0),ROUND(MIN(F186,I186)*(K186/I186-H186/F186),8),"")</f>
        <v/>
      </c>
      <c r="O186" s="183" t="str">
        <f>IF(ISNUMBER(N186),ROUND(N186/(MIN(F186,I186)*H186/F186)*100,2),"")</f>
        <v/>
      </c>
    </row>
    <row r="187" ht="22" customHeight="1">
      <c r="B187" s="238" t="n"/>
      <c r="C187" s="237" t="n"/>
      <c r="D187" s="238" t="n"/>
      <c r="E187" s="239" t="n"/>
      <c r="F187" s="240" t="n"/>
      <c r="G187" s="177" t="n"/>
      <c r="H187" s="241" t="n"/>
      <c r="I187" s="240" t="n"/>
      <c r="J187" s="177" t="n"/>
      <c r="K187" s="241" t="n"/>
      <c r="L187" s="240" t="str">
        <f>IF(COUNT(F187,I187)=0,"",N(F187)-N(I187))</f>
        <v/>
      </c>
      <c r="M187" s="241" t="str">
        <f>IF(COUNT(H187,K187)=0,"",N(K187)-N(H187))</f>
        <v/>
      </c>
      <c r="N187" s="240" t="str">
        <f>IF(AND(ISNUMBER(F187),ISNUMBER(I187),ISNUMBER(H187),ISNUMBER(K187),F187&gt;0,I187&gt;0,H187&lt;&gt;0),ROUND(MIN(F187,I187)*(K187/I187-H187/F187),8),"")</f>
        <v/>
      </c>
      <c r="O187" s="177" t="str">
        <f>IF(ISNUMBER(N187),ROUND(N187/(MIN(F187,I187)*H187/F187)*100,2),"")</f>
        <v/>
      </c>
    </row>
    <row r="188" ht="22" customHeight="1">
      <c r="B188" s="244" t="n"/>
      <c r="C188" s="243" t="n"/>
      <c r="D188" s="244" t="n"/>
      <c r="E188" s="245" t="n"/>
      <c r="F188" s="246" t="n"/>
      <c r="G188" s="183" t="n"/>
      <c r="H188" s="247" t="n"/>
      <c r="I188" s="246" t="n"/>
      <c r="J188" s="183" t="n"/>
      <c r="K188" s="247" t="n"/>
      <c r="L188" s="246" t="str">
        <f>IF(COUNT(F188,I188)=0,"",N(F188)-N(I188))</f>
        <v/>
      </c>
      <c r="M188" s="247" t="str">
        <f>IF(COUNT(H188,K188)=0,"",N(K188)-N(H188))</f>
        <v/>
      </c>
      <c r="N188" s="246" t="str">
        <f>IF(AND(ISNUMBER(F188),ISNUMBER(I188),ISNUMBER(H188),ISNUMBER(K188),F188&gt;0,I188&gt;0,H188&lt;&gt;0),ROUND(MIN(F188,I188)*(K188/I188-H188/F188),8),"")</f>
        <v/>
      </c>
      <c r="O188" s="183" t="str">
        <f>IF(ISNUMBER(N188),ROUND(N188/(MIN(F188,I188)*H188/F188)*100,2),"")</f>
        <v/>
      </c>
    </row>
    <row r="189" ht="22" customHeight="1">
      <c r="B189" s="238" t="n"/>
      <c r="C189" s="237" t="n"/>
      <c r="D189" s="238" t="n"/>
      <c r="E189" s="239" t="n"/>
      <c r="F189" s="240" t="n"/>
      <c r="G189" s="177" t="n"/>
      <c r="H189" s="241" t="n"/>
      <c r="I189" s="240" t="n"/>
      <c r="J189" s="177" t="n"/>
      <c r="K189" s="241" t="n"/>
      <c r="L189" s="240" t="str">
        <f>IF(COUNT(F189,I189)=0,"",N(F189)-N(I189))</f>
        <v/>
      </c>
      <c r="M189" s="241" t="str">
        <f>IF(COUNT(H189,K189)=0,"",N(K189)-N(H189))</f>
        <v/>
      </c>
      <c r="N189" s="240" t="str">
        <f>IF(AND(ISNUMBER(F189),ISNUMBER(I189),ISNUMBER(H189),ISNUMBER(K189),F189&gt;0,I189&gt;0,H189&lt;&gt;0),ROUND(MIN(F189,I189)*(K189/I189-H189/F189),8),"")</f>
        <v/>
      </c>
      <c r="O189" s="177" t="str">
        <f>IF(ISNUMBER(N189),ROUND(N189/(MIN(F189,I189)*H189/F189)*100,2),"")</f>
        <v/>
      </c>
    </row>
    <row r="190" ht="22" customHeight="1">
      <c r="B190" s="244" t="n"/>
      <c r="C190" s="243" t="n"/>
      <c r="D190" s="244" t="n"/>
      <c r="E190" s="245" t="n"/>
      <c r="F190" s="246" t="n"/>
      <c r="G190" s="183" t="n"/>
      <c r="H190" s="247" t="n"/>
      <c r="I190" s="246" t="n"/>
      <c r="J190" s="183" t="n"/>
      <c r="K190" s="247" t="n"/>
      <c r="L190" s="246" t="str">
        <f>IF(COUNT(F190,I190)=0,"",N(F190)-N(I190))</f>
        <v/>
      </c>
      <c r="M190" s="247" t="str">
        <f>IF(COUNT(H190,K190)=0,"",N(K190)-N(H190))</f>
        <v/>
      </c>
      <c r="N190" s="246" t="str">
        <f>IF(AND(ISNUMBER(F190),ISNUMBER(I190),ISNUMBER(H190),ISNUMBER(K190),F190&gt;0,I190&gt;0,H190&lt;&gt;0),ROUND(MIN(F190,I190)*(K190/I190-H190/F190),8),"")</f>
        <v/>
      </c>
      <c r="O190" s="183" t="str">
        <f>IF(ISNUMBER(N190),ROUND(N190/(MIN(F190,I190)*H190/F190)*100,2),"")</f>
        <v/>
      </c>
    </row>
    <row r="191" ht="22" customHeight="1">
      <c r="B191" s="238" t="n"/>
      <c r="C191" s="237" t="n"/>
      <c r="D191" s="238" t="n"/>
      <c r="E191" s="239" t="n"/>
      <c r="F191" s="240" t="n"/>
      <c r="G191" s="177" t="n"/>
      <c r="H191" s="241" t="n"/>
      <c r="I191" s="240" t="n"/>
      <c r="J191" s="177" t="n"/>
      <c r="K191" s="241" t="n"/>
      <c r="L191" s="240" t="str">
        <f>IF(COUNT(F191,I191)=0,"",N(F191)-N(I191))</f>
        <v/>
      </c>
      <c r="M191" s="241" t="str">
        <f>IF(COUNT(H191,K191)=0,"",N(K191)-N(H191))</f>
        <v/>
      </c>
      <c r="N191" s="240" t="str">
        <f>IF(AND(ISNUMBER(F191),ISNUMBER(I191),ISNUMBER(H191),ISNUMBER(K191),F191&gt;0,I191&gt;0,H191&lt;&gt;0),ROUND(MIN(F191,I191)*(K191/I191-H191/F191),8),"")</f>
        <v/>
      </c>
      <c r="O191" s="177" t="str">
        <f>IF(ISNUMBER(N191),ROUND(N191/(MIN(F191,I191)*H191/F191)*100,2),"")</f>
        <v/>
      </c>
    </row>
    <row r="192" ht="22" customHeight="1">
      <c r="B192" s="244" t="n"/>
      <c r="C192" s="243" t="n"/>
      <c r="D192" s="244" t="n"/>
      <c r="E192" s="245" t="n"/>
      <c r="F192" s="246" t="n"/>
      <c r="G192" s="183" t="n"/>
      <c r="H192" s="247" t="n"/>
      <c r="I192" s="246" t="n"/>
      <c r="J192" s="183" t="n"/>
      <c r="K192" s="247" t="n"/>
      <c r="L192" s="246" t="str">
        <f>IF(COUNT(F192,I192)=0,"",N(F192)-N(I192))</f>
        <v/>
      </c>
      <c r="M192" s="247" t="str">
        <f>IF(COUNT(H192,K192)=0,"",N(K192)-N(H192))</f>
        <v/>
      </c>
      <c r="N192" s="246" t="str">
        <f>IF(AND(ISNUMBER(F192),ISNUMBER(I192),ISNUMBER(H192),ISNUMBER(K192),F192&gt;0,I192&gt;0,H192&lt;&gt;0),ROUND(MIN(F192,I192)*(K192/I192-H192/F192),8),"")</f>
        <v/>
      </c>
      <c r="O192" s="183" t="str">
        <f>IF(ISNUMBER(N192),ROUND(N192/(MIN(F192,I192)*H192/F192)*100,2),"")</f>
        <v/>
      </c>
    </row>
    <row r="193" ht="22" customHeight="1">
      <c r="B193" s="238" t="n"/>
      <c r="C193" s="237" t="n"/>
      <c r="D193" s="238" t="n"/>
      <c r="E193" s="239" t="n"/>
      <c r="F193" s="240" t="n"/>
      <c r="G193" s="177" t="n"/>
      <c r="H193" s="241" t="n"/>
      <c r="I193" s="240" t="n"/>
      <c r="J193" s="177" t="n"/>
      <c r="K193" s="241" t="n"/>
      <c r="L193" s="240" t="str">
        <f>IF(COUNT(F193,I193)=0,"",N(F193)-N(I193))</f>
        <v/>
      </c>
      <c r="M193" s="241" t="str">
        <f>IF(COUNT(H193,K193)=0,"",N(K193)-N(H193))</f>
        <v/>
      </c>
      <c r="N193" s="240" t="str">
        <f>IF(AND(ISNUMBER(F193),ISNUMBER(I193),ISNUMBER(H193),ISNUMBER(K193),F193&gt;0,I193&gt;0,H193&lt;&gt;0),ROUND(MIN(F193,I193)*(K193/I193-H193/F193),8),"")</f>
        <v/>
      </c>
      <c r="O193" s="177" t="str">
        <f>IF(ISNUMBER(N193),ROUND(N193/(MIN(F193,I193)*H193/F193)*100,2),"")</f>
        <v/>
      </c>
    </row>
    <row r="194" ht="22" customHeight="1">
      <c r="B194" s="244" t="n"/>
      <c r="C194" s="243" t="n"/>
      <c r="D194" s="244" t="n"/>
      <c r="E194" s="245" t="n"/>
      <c r="F194" s="246" t="n"/>
      <c r="G194" s="183" t="n"/>
      <c r="H194" s="247" t="n"/>
      <c r="I194" s="246" t="n"/>
      <c r="J194" s="183" t="n"/>
      <c r="K194" s="247" t="n"/>
      <c r="L194" s="246" t="str">
        <f>IF(COUNT(F194,I194)=0,"",N(F194)-N(I194))</f>
        <v/>
      </c>
      <c r="M194" s="247" t="str">
        <f>IF(COUNT(H194,K194)=0,"",N(K194)-N(H194))</f>
        <v/>
      </c>
      <c r="N194" s="246" t="str">
        <f>IF(AND(ISNUMBER(F194),ISNUMBER(I194),ISNUMBER(H194),ISNUMBER(K194),F194&gt;0,I194&gt;0,H194&lt;&gt;0),ROUND(MIN(F194,I194)*(K194/I194-H194/F194),8),"")</f>
        <v/>
      </c>
      <c r="O194" s="183" t="str">
        <f>IF(ISNUMBER(N194),ROUND(N194/(MIN(F194,I194)*H194/F194)*100,2),"")</f>
        <v/>
      </c>
    </row>
    <row r="195" ht="22" customHeight="1">
      <c r="B195" s="238" t="n"/>
      <c r="C195" s="237" t="n"/>
      <c r="D195" s="238" t="n"/>
      <c r="E195" s="239" t="n"/>
      <c r="F195" s="240" t="n"/>
      <c r="G195" s="177" t="n"/>
      <c r="H195" s="241" t="n"/>
      <c r="I195" s="240" t="n"/>
      <c r="J195" s="177" t="n"/>
      <c r="K195" s="241" t="n"/>
      <c r="L195" s="240" t="str">
        <f>IF(COUNT(F195,I195)=0,"",N(F195)-N(I195))</f>
        <v/>
      </c>
      <c r="M195" s="241" t="str">
        <f>IF(COUNT(H195,K195)=0,"",N(K195)-N(H195))</f>
        <v/>
      </c>
      <c r="N195" s="240" t="str">
        <f>IF(AND(ISNUMBER(F195),ISNUMBER(I195),ISNUMBER(H195),ISNUMBER(K195),F195&gt;0,I195&gt;0,H195&lt;&gt;0),ROUND(MIN(F195,I195)*(K195/I195-H195/F195),8),"")</f>
        <v/>
      </c>
      <c r="O195" s="177" t="str">
        <f>IF(ISNUMBER(N195),ROUND(N195/(MIN(F195,I195)*H195/F195)*100,2),"")</f>
        <v/>
      </c>
    </row>
    <row r="196" ht="22" customHeight="1">
      <c r="B196" s="244" t="n"/>
      <c r="C196" s="243" t="n"/>
      <c r="D196" s="244" t="n"/>
      <c r="E196" s="245" t="n"/>
      <c r="F196" s="246" t="n"/>
      <c r="G196" s="183" t="n"/>
      <c r="H196" s="247" t="n"/>
      <c r="I196" s="246" t="n"/>
      <c r="J196" s="183" t="n"/>
      <c r="K196" s="247" t="n"/>
      <c r="L196" s="246" t="str">
        <f>IF(COUNT(F196,I196)=0,"",N(F196)-N(I196))</f>
        <v/>
      </c>
      <c r="M196" s="247" t="str">
        <f>IF(COUNT(H196,K196)=0,"",N(K196)-N(H196))</f>
        <v/>
      </c>
      <c r="N196" s="246" t="str">
        <f>IF(AND(ISNUMBER(F196),ISNUMBER(I196),ISNUMBER(H196),ISNUMBER(K196),F196&gt;0,I196&gt;0,H196&lt;&gt;0),ROUND(MIN(F196,I196)*(K196/I196-H196/F196),8),"")</f>
        <v/>
      </c>
      <c r="O196" s="183" t="str">
        <f>IF(ISNUMBER(N196),ROUND(N196/(MIN(F196,I196)*H196/F196)*100,2),"")</f>
        <v/>
      </c>
    </row>
    <row r="197" ht="22" customHeight="1">
      <c r="B197" s="238" t="n"/>
      <c r="C197" s="237" t="n"/>
      <c r="D197" s="238" t="n"/>
      <c r="E197" s="239" t="n"/>
      <c r="F197" s="240" t="n"/>
      <c r="G197" s="177" t="n"/>
      <c r="H197" s="241" t="n"/>
      <c r="I197" s="240" t="n"/>
      <c r="J197" s="177" t="n"/>
      <c r="K197" s="241" t="n"/>
      <c r="L197" s="240" t="str">
        <f>IF(COUNT(F197,I197)=0,"",N(F197)-N(I197))</f>
        <v/>
      </c>
      <c r="M197" s="241" t="str">
        <f>IF(COUNT(H197,K197)=0,"",N(K197)-N(H197))</f>
        <v/>
      </c>
      <c r="N197" s="240" t="str">
        <f>IF(AND(ISNUMBER(F197),ISNUMBER(I197),ISNUMBER(H197),ISNUMBER(K197),F197&gt;0,I197&gt;0,H197&lt;&gt;0),ROUND(MIN(F197,I197)*(K197/I197-H197/F197),8),"")</f>
        <v/>
      </c>
      <c r="O197" s="177" t="str">
        <f>IF(ISNUMBER(N197),ROUND(N197/(MIN(F197,I197)*H197/F197)*100,2),"")</f>
        <v/>
      </c>
    </row>
    <row r="198" ht="22" customHeight="1">
      <c r="B198" s="244" t="n"/>
      <c r="C198" s="243" t="n"/>
      <c r="D198" s="244" t="n"/>
      <c r="E198" s="245" t="n"/>
      <c r="F198" s="246" t="n"/>
      <c r="G198" s="183" t="n"/>
      <c r="H198" s="247" t="n"/>
      <c r="I198" s="246" t="n"/>
      <c r="J198" s="183" t="n"/>
      <c r="K198" s="247" t="n"/>
      <c r="L198" s="246" t="str">
        <f>IF(COUNT(F198,I198)=0,"",N(F198)-N(I198))</f>
        <v/>
      </c>
      <c r="M198" s="247" t="str">
        <f>IF(COUNT(H198,K198)=0,"",N(K198)-N(H198))</f>
        <v/>
      </c>
      <c r="N198" s="246" t="str">
        <f>IF(AND(ISNUMBER(F198),ISNUMBER(I198),ISNUMBER(H198),ISNUMBER(K198),F198&gt;0,I198&gt;0,H198&lt;&gt;0),ROUND(MIN(F198,I198)*(K198/I198-H198/F198),8),"")</f>
        <v/>
      </c>
      <c r="O198" s="183" t="str">
        <f>IF(ISNUMBER(N198),ROUND(N198/(MIN(F198,I198)*H198/F198)*100,2),"")</f>
        <v/>
      </c>
    </row>
    <row r="199" ht="22" customHeight="1">
      <c r="B199" s="238" t="n"/>
      <c r="C199" s="237" t="n"/>
      <c r="D199" s="238" t="n"/>
      <c r="E199" s="239" t="n"/>
      <c r="F199" s="240" t="n"/>
      <c r="G199" s="177" t="n"/>
      <c r="H199" s="241" t="n"/>
      <c r="I199" s="240" t="n"/>
      <c r="J199" s="177" t="n"/>
      <c r="K199" s="241" t="n"/>
      <c r="L199" s="240" t="str">
        <f>IF(COUNT(F199,I199)=0,"",N(F199)-N(I199))</f>
        <v/>
      </c>
      <c r="M199" s="241" t="str">
        <f>IF(COUNT(H199,K199)=0,"",N(K199)-N(H199))</f>
        <v/>
      </c>
      <c r="N199" s="240" t="str">
        <f>IF(AND(ISNUMBER(F199),ISNUMBER(I199),ISNUMBER(H199),ISNUMBER(K199),F199&gt;0,I199&gt;0,H199&lt;&gt;0),ROUND(MIN(F199,I199)*(K199/I199-H199/F199),8),"")</f>
        <v/>
      </c>
      <c r="O199" s="177" t="str">
        <f>IF(ISNUMBER(N199),ROUND(N199/(MIN(F199,I199)*H199/F199)*100,2),"")</f>
        <v/>
      </c>
    </row>
    <row r="200" ht="22" customHeight="1">
      <c r="B200" s="244" t="n"/>
      <c r="C200" s="243" t="n"/>
      <c r="D200" s="244" t="n"/>
      <c r="E200" s="245" t="n"/>
      <c r="F200" s="246" t="n"/>
      <c r="G200" s="183" t="n"/>
      <c r="H200" s="247" t="n"/>
      <c r="I200" s="246" t="n"/>
      <c r="J200" s="183" t="n"/>
      <c r="K200" s="247" t="n"/>
      <c r="L200" s="246" t="str">
        <f>IF(COUNT(F200,I200)=0,"",N(F200)-N(I200))</f>
        <v/>
      </c>
      <c r="M200" s="247" t="str">
        <f>IF(COUNT(H200,K200)=0,"",N(K200)-N(H200))</f>
        <v/>
      </c>
      <c r="N200" s="246" t="str">
        <f>IF(AND(ISNUMBER(F200),ISNUMBER(I200),ISNUMBER(H200),ISNUMBER(K200),F200&gt;0,I200&gt;0,H200&lt;&gt;0),ROUND(MIN(F200,I200)*(K200/I200-H200/F200),8),"")</f>
        <v/>
      </c>
      <c r="O200" s="183" t="str">
        <f>IF(ISNUMBER(N200),ROUND(N200/(MIN(F200,I200)*H200/F200)*100,2),"")</f>
        <v/>
      </c>
    </row>
    <row r="201" ht="22" customHeight="1">
      <c r="B201" s="238" t="n"/>
      <c r="C201" s="237" t="n"/>
      <c r="D201" s="238" t="n"/>
      <c r="E201" s="239" t="n"/>
      <c r="F201" s="240" t="n"/>
      <c r="G201" s="177" t="n"/>
      <c r="H201" s="241" t="n"/>
      <c r="I201" s="240" t="n"/>
      <c r="J201" s="177" t="n"/>
      <c r="K201" s="241" t="n"/>
      <c r="L201" s="240" t="str">
        <f>IF(COUNT(F201,I201)=0,"",N(F201)-N(I201))</f>
        <v/>
      </c>
      <c r="M201" s="241" t="str">
        <f>IF(COUNT(H201,K201)=0,"",N(K201)-N(H201))</f>
        <v/>
      </c>
      <c r="N201" s="240" t="str">
        <f>IF(AND(ISNUMBER(F201),ISNUMBER(I201),ISNUMBER(H201),ISNUMBER(K201),F201&gt;0,I201&gt;0,H201&lt;&gt;0),ROUND(MIN(F201,I201)*(K201/I201-H201/F201),8),"")</f>
        <v/>
      </c>
      <c r="O201" s="177" t="str">
        <f>IF(ISNUMBER(N201),ROUND(N201/(MIN(F201,I201)*H201/F201)*100,2),"")</f>
        <v/>
      </c>
    </row>
    <row r="202" ht="22" customHeight="1">
      <c r="B202" s="244" t="n"/>
      <c r="C202" s="243" t="n"/>
      <c r="D202" s="244" t="n"/>
      <c r="E202" s="245" t="n"/>
      <c r="F202" s="246" t="n"/>
      <c r="G202" s="183" t="n"/>
      <c r="H202" s="247" t="n"/>
      <c r="I202" s="246" t="n"/>
      <c r="J202" s="183" t="n"/>
      <c r="K202" s="247" t="n"/>
      <c r="L202" s="246" t="str">
        <f>IF(COUNT(F202,I202)=0,"",N(F202)-N(I202))</f>
        <v/>
      </c>
      <c r="M202" s="247" t="str">
        <f>IF(COUNT(H202,K202)=0,"",N(K202)-N(H202))</f>
        <v/>
      </c>
      <c r="N202" s="246" t="str">
        <f>IF(AND(ISNUMBER(F202),ISNUMBER(I202),ISNUMBER(H202),ISNUMBER(K202),F202&gt;0,I202&gt;0,H202&lt;&gt;0),ROUND(MIN(F202,I202)*(K202/I202-H202/F202),8),"")</f>
        <v/>
      </c>
      <c r="O202" s="183" t="str">
        <f>IF(ISNUMBER(N202),ROUND(N202/(MIN(F202,I202)*H202/F202)*100,2),"")</f>
        <v/>
      </c>
    </row>
    <row r="203" ht="22" customHeight="1">
      <c r="B203" s="238" t="n"/>
      <c r="C203" s="237" t="n"/>
      <c r="D203" s="238" t="n"/>
      <c r="E203" s="239" t="n"/>
      <c r="F203" s="240" t="n"/>
      <c r="G203" s="177" t="n"/>
      <c r="H203" s="241" t="n"/>
      <c r="I203" s="240" t="n"/>
      <c r="J203" s="177" t="n"/>
      <c r="K203" s="241" t="n"/>
      <c r="L203" s="240" t="str">
        <f>IF(COUNT(F203,I203)=0,"",N(F203)-N(I203))</f>
        <v/>
      </c>
      <c r="M203" s="241" t="str">
        <f>IF(COUNT(H203,K203)=0,"",N(K203)-N(H203))</f>
        <v/>
      </c>
      <c r="N203" s="240" t="str">
        <f>IF(AND(ISNUMBER(F203),ISNUMBER(I203),ISNUMBER(H203),ISNUMBER(K203),F203&gt;0,I203&gt;0,H203&lt;&gt;0),ROUND(MIN(F203,I203)*(K203/I203-H203/F203),8),"")</f>
        <v/>
      </c>
      <c r="O203" s="177" t="str">
        <f>IF(ISNUMBER(N203),ROUND(N203/(MIN(F203,I203)*H203/F203)*100,2),"")</f>
        <v/>
      </c>
    </row>
    <row r="204" ht="22" customHeight="1">
      <c r="B204" s="244" t="n"/>
      <c r="C204" s="243" t="n"/>
      <c r="D204" s="244" t="n"/>
      <c r="E204" s="245" t="n"/>
      <c r="F204" s="246" t="n"/>
      <c r="G204" s="183" t="n"/>
      <c r="H204" s="247" t="n"/>
      <c r="I204" s="246" t="n"/>
      <c r="J204" s="183" t="n"/>
      <c r="K204" s="247" t="n"/>
      <c r="L204" s="246" t="str">
        <f>IF(COUNT(F204,I204)=0,"",N(F204)-N(I204))</f>
        <v/>
      </c>
      <c r="M204" s="247" t="str">
        <f>IF(COUNT(H204,K204)=0,"",N(K204)-N(H204))</f>
        <v/>
      </c>
      <c r="N204" s="246" t="str">
        <f>IF(AND(ISNUMBER(F204),ISNUMBER(I204),ISNUMBER(H204),ISNUMBER(K204),F204&gt;0,I204&gt;0,H204&lt;&gt;0),ROUND(MIN(F204,I204)*(K204/I204-H204/F204),8),"")</f>
        <v/>
      </c>
      <c r="O204" s="183" t="str">
        <f>IF(ISNUMBER(N204),ROUND(N204/(MIN(F204,I204)*H204/F204)*100,2),"")</f>
        <v/>
      </c>
    </row>
    <row r="205" ht="22" customHeight="1">
      <c r="B205" s="238" t="n"/>
      <c r="C205" s="237" t="n"/>
      <c r="D205" s="238" t="n"/>
      <c r="E205" s="239" t="n"/>
      <c r="F205" s="240" t="n"/>
      <c r="G205" s="177" t="n"/>
      <c r="H205" s="241" t="n"/>
      <c r="I205" s="240" t="n"/>
      <c r="J205" s="177" t="n"/>
      <c r="K205" s="241" t="n"/>
      <c r="L205" s="240" t="str">
        <f>IF(COUNT(F205,I205)=0,"",N(F205)-N(I205))</f>
        <v/>
      </c>
      <c r="M205" s="241" t="str">
        <f>IF(COUNT(H205,K205)=0,"",N(K205)-N(H205))</f>
        <v/>
      </c>
      <c r="N205" s="240" t="str">
        <f>IF(AND(ISNUMBER(F205),ISNUMBER(I205),ISNUMBER(H205),ISNUMBER(K205),F205&gt;0,I205&gt;0,H205&lt;&gt;0),ROUND(MIN(F205,I205)*(K205/I205-H205/F205),8),"")</f>
        <v/>
      </c>
      <c r="O205" s="177" t="str">
        <f>IF(ISNUMBER(N205),ROUND(N205/(MIN(F205,I205)*H205/F205)*100,2),"")</f>
        <v/>
      </c>
    </row>
    <row r="206" ht="22" customHeight="1">
      <c r="B206" s="244" t="n"/>
      <c r="C206" s="243" t="n"/>
      <c r="D206" s="244" t="n"/>
      <c r="E206" s="245" t="n"/>
      <c r="F206" s="246" t="n"/>
      <c r="G206" s="183" t="n"/>
      <c r="H206" s="247" t="n"/>
      <c r="I206" s="246" t="n"/>
      <c r="J206" s="183" t="n"/>
      <c r="K206" s="247" t="n"/>
      <c r="L206" s="246" t="str">
        <f>IF(COUNT(F206,I206)=0,"",N(F206)-N(I206))</f>
        <v/>
      </c>
      <c r="M206" s="247" t="str">
        <f>IF(COUNT(H206,K206)=0,"",N(K206)-N(H206))</f>
        <v/>
      </c>
      <c r="N206" s="246" t="str">
        <f>IF(AND(ISNUMBER(F206),ISNUMBER(I206),ISNUMBER(H206),ISNUMBER(K206),F206&gt;0,I206&gt;0,H206&lt;&gt;0),ROUND(MIN(F206,I206)*(K206/I206-H206/F206),8),"")</f>
        <v/>
      </c>
      <c r="O206" s="183" t="str">
        <f>IF(ISNUMBER(N206),ROUND(N206/(MIN(F206,I206)*H206/F206)*100,2),"")</f>
        <v/>
      </c>
    </row>
    <row r="207" ht="22" customHeight="1">
      <c r="B207" s="238" t="n"/>
      <c r="C207" s="237" t="n"/>
      <c r="D207" s="238" t="n"/>
      <c r="E207" s="239" t="n"/>
      <c r="F207" s="240" t="n"/>
      <c r="G207" s="177" t="n"/>
      <c r="H207" s="241" t="n"/>
      <c r="I207" s="240" t="n"/>
      <c r="J207" s="177" t="n"/>
      <c r="K207" s="241" t="n"/>
      <c r="L207" s="240" t="str">
        <f>IF(COUNT(F207,I207)=0,"",N(F207)-N(I207))</f>
        <v/>
      </c>
      <c r="M207" s="241" t="str">
        <f>IF(COUNT(H207,K207)=0,"",N(K207)-N(H207))</f>
        <v/>
      </c>
      <c r="N207" s="240" t="str">
        <f>IF(AND(ISNUMBER(F207),ISNUMBER(I207),ISNUMBER(H207),ISNUMBER(K207),F207&gt;0,I207&gt;0,H207&lt;&gt;0),ROUND(MIN(F207,I207)*(K207/I207-H207/F207),8),"")</f>
        <v/>
      </c>
      <c r="O207" s="177" t="str">
        <f>IF(ISNUMBER(N207),ROUND(N207/(MIN(F207,I207)*H207/F207)*100,2),"")</f>
        <v/>
      </c>
    </row>
    <row r="208" ht="22" customHeight="1">
      <c r="B208" s="244" t="n"/>
      <c r="C208" s="243" t="n"/>
      <c r="D208" s="244" t="n"/>
      <c r="E208" s="245" t="n"/>
      <c r="F208" s="246" t="n"/>
      <c r="G208" s="183" t="n"/>
      <c r="H208" s="247" t="n"/>
      <c r="I208" s="246" t="n"/>
      <c r="J208" s="183" t="n"/>
      <c r="K208" s="247" t="n"/>
      <c r="L208" s="246" t="str">
        <f>IF(COUNT(F208,I208)=0,"",N(F208)-N(I208))</f>
        <v/>
      </c>
      <c r="M208" s="247" t="str">
        <f>IF(COUNT(H208,K208)=0,"",N(K208)-N(H208))</f>
        <v/>
      </c>
      <c r="N208" s="246" t="str">
        <f>IF(AND(ISNUMBER(F208),ISNUMBER(I208),ISNUMBER(H208),ISNUMBER(K208),F208&gt;0,I208&gt;0,H208&lt;&gt;0),ROUND(MIN(F208,I208)*(K208/I208-H208/F208),8),"")</f>
        <v/>
      </c>
      <c r="O208" s="183" t="str">
        <f>IF(ISNUMBER(N208),ROUND(N208/(MIN(F208,I208)*H208/F208)*100,2),"")</f>
        <v/>
      </c>
    </row>
    <row r="209" ht="22" customHeight="1">
      <c r="B209" s="238" t="n"/>
      <c r="C209" s="237" t="n"/>
      <c r="D209" s="238" t="n"/>
      <c r="E209" s="239" t="n"/>
      <c r="F209" s="240" t="n"/>
      <c r="G209" s="177" t="n"/>
      <c r="H209" s="241" t="n"/>
      <c r="I209" s="240" t="n"/>
      <c r="J209" s="177" t="n"/>
      <c r="K209" s="241" t="n"/>
      <c r="L209" s="240" t="str">
        <f>IF(COUNT(F209,I209)=0,"",N(F209)-N(I209))</f>
        <v/>
      </c>
      <c r="M209" s="241" t="str">
        <f>IF(COUNT(H209,K209)=0,"",N(K209)-N(H209))</f>
        <v/>
      </c>
      <c r="N209" s="240" t="str">
        <f>IF(AND(ISNUMBER(F209),ISNUMBER(I209),ISNUMBER(H209),ISNUMBER(K209),F209&gt;0,I209&gt;0,H209&lt;&gt;0),ROUND(MIN(F209,I209)*(K209/I209-H209/F209),8),"")</f>
        <v/>
      </c>
      <c r="O209" s="177" t="str">
        <f>IF(ISNUMBER(N209),ROUND(N209/(MIN(F209,I209)*H209/F209)*100,2),"")</f>
        <v/>
      </c>
    </row>
    <row r="210" ht="22" customHeight="1">
      <c r="B210" s="244" t="n"/>
      <c r="C210" s="243" t="n"/>
      <c r="D210" s="244" t="n"/>
      <c r="E210" s="245" t="n"/>
      <c r="F210" s="246" t="n"/>
      <c r="G210" s="183" t="n"/>
      <c r="H210" s="247" t="n"/>
      <c r="I210" s="246" t="n"/>
      <c r="J210" s="183" t="n"/>
      <c r="K210" s="247" t="n"/>
      <c r="L210" s="246" t="str">
        <f>IF(COUNT(F210,I210)=0,"",N(F210)-N(I210))</f>
        <v/>
      </c>
      <c r="M210" s="247" t="str">
        <f>IF(COUNT(H210,K210)=0,"",N(K210)-N(H210))</f>
        <v/>
      </c>
      <c r="N210" s="246" t="str">
        <f>IF(AND(ISNUMBER(F210),ISNUMBER(I210),ISNUMBER(H210),ISNUMBER(K210),F210&gt;0,I210&gt;0,H210&lt;&gt;0),ROUND(MIN(F210,I210)*(K210/I210-H210/F210),8),"")</f>
        <v/>
      </c>
      <c r="O210" s="183" t="str">
        <f>IF(ISNUMBER(N210),ROUND(N210/(MIN(F210,I210)*H210/F210)*100,2),"")</f>
        <v/>
      </c>
    </row>
    <row r="211" ht="22" customHeight="1">
      <c r="B211" s="238" t="n"/>
      <c r="C211" s="237" t="n"/>
      <c r="D211" s="238" t="n"/>
      <c r="E211" s="239" t="n"/>
      <c r="F211" s="240" t="n"/>
      <c r="G211" s="177" t="n"/>
      <c r="H211" s="241" t="n"/>
      <c r="I211" s="240" t="n"/>
      <c r="J211" s="177" t="n"/>
      <c r="K211" s="241" t="n"/>
      <c r="L211" s="240" t="str">
        <f>IF(COUNT(F211,I211)=0,"",N(F211)-N(I211))</f>
        <v/>
      </c>
      <c r="M211" s="241" t="str">
        <f>IF(COUNT(H211,K211)=0,"",N(K211)-N(H211))</f>
        <v/>
      </c>
      <c r="N211" s="240" t="str">
        <f>IF(AND(ISNUMBER(F211),ISNUMBER(I211),ISNUMBER(H211),ISNUMBER(K211),F211&gt;0,I211&gt;0,H211&lt;&gt;0),ROUND(MIN(F211,I211)*(K211/I211-H211/F211),8),"")</f>
        <v/>
      </c>
      <c r="O211" s="177" t="str">
        <f>IF(ISNUMBER(N211),ROUND(N211/(MIN(F211,I211)*H211/F211)*100,2),"")</f>
        <v/>
      </c>
    </row>
    <row r="212" ht="22" customHeight="1">
      <c r="B212" s="244" t="n"/>
      <c r="C212" s="243" t="n"/>
      <c r="D212" s="244" t="n"/>
      <c r="E212" s="245" t="n"/>
      <c r="F212" s="246" t="n"/>
      <c r="G212" s="183" t="n"/>
      <c r="H212" s="247" t="n"/>
      <c r="I212" s="246" t="n"/>
      <c r="J212" s="183" t="n"/>
      <c r="K212" s="247" t="n"/>
      <c r="L212" s="246" t="str">
        <f>IF(COUNT(F212,I212)=0,"",N(F212)-N(I212))</f>
        <v/>
      </c>
      <c r="M212" s="247" t="str">
        <f>IF(COUNT(H212,K212)=0,"",N(K212)-N(H212))</f>
        <v/>
      </c>
      <c r="N212" s="246" t="str">
        <f>IF(AND(ISNUMBER(F212),ISNUMBER(I212),ISNUMBER(H212),ISNUMBER(K212),F212&gt;0,I212&gt;0,H212&lt;&gt;0),ROUND(MIN(F212,I212)*(K212/I212-H212/F212),8),"")</f>
        <v/>
      </c>
      <c r="O212" s="183" t="str">
        <f>IF(ISNUMBER(N212),ROUND(N212/(MIN(F212,I212)*H212/F212)*100,2),"")</f>
        <v/>
      </c>
    </row>
    <row r="213" ht="22" customHeight="1">
      <c r="B213" s="238" t="n"/>
      <c r="C213" s="237" t="n"/>
      <c r="D213" s="238" t="n"/>
      <c r="E213" s="239" t="n"/>
      <c r="F213" s="240" t="n"/>
      <c r="G213" s="177" t="n"/>
      <c r="H213" s="241" t="n"/>
      <c r="I213" s="240" t="n"/>
      <c r="J213" s="177" t="n"/>
      <c r="K213" s="241" t="n"/>
      <c r="L213" s="240" t="str">
        <f>IF(COUNT(F213,I213)=0,"",N(F213)-N(I213))</f>
        <v/>
      </c>
      <c r="M213" s="241" t="str">
        <f>IF(COUNT(H213,K213)=0,"",N(K213)-N(H213))</f>
        <v/>
      </c>
      <c r="N213" s="240" t="str">
        <f>IF(AND(ISNUMBER(F213),ISNUMBER(I213),ISNUMBER(H213),ISNUMBER(K213),F213&gt;0,I213&gt;0,H213&lt;&gt;0),ROUND(MIN(F213,I213)*(K213/I213-H213/F213),8),"")</f>
        <v/>
      </c>
      <c r="O213" s="177" t="str">
        <f>IF(ISNUMBER(N213),ROUND(N213/(MIN(F213,I213)*H213/F213)*100,2),"")</f>
        <v/>
      </c>
    </row>
    <row r="214" ht="22" customHeight="1">
      <c r="B214" s="244" t="n"/>
      <c r="C214" s="243" t="n"/>
      <c r="D214" s="244" t="n"/>
      <c r="E214" s="245" t="n"/>
      <c r="F214" s="246" t="n"/>
      <c r="G214" s="183" t="n"/>
      <c r="H214" s="247" t="n"/>
      <c r="I214" s="246" t="n"/>
      <c r="J214" s="183" t="n"/>
      <c r="K214" s="247" t="n"/>
      <c r="L214" s="246" t="str">
        <f>IF(COUNT(F214,I214)=0,"",N(F214)-N(I214))</f>
        <v/>
      </c>
      <c r="M214" s="247" t="str">
        <f>IF(COUNT(H214,K214)=0,"",N(K214)-N(H214))</f>
        <v/>
      </c>
      <c r="N214" s="246" t="str">
        <f>IF(AND(ISNUMBER(F214),ISNUMBER(I214),ISNUMBER(H214),ISNUMBER(K214),F214&gt;0,I214&gt;0,H214&lt;&gt;0),ROUND(MIN(F214,I214)*(K214/I214-H214/F214),8),"")</f>
        <v/>
      </c>
      <c r="O214" s="183" t="str">
        <f>IF(ISNUMBER(N214),ROUND(N214/(MIN(F214,I214)*H214/F214)*100,2),"")</f>
        <v/>
      </c>
    </row>
    <row r="215" ht="22" customHeight="1">
      <c r="B215" s="238" t="n"/>
      <c r="C215" s="237" t="n"/>
      <c r="D215" s="238" t="n"/>
      <c r="E215" s="239" t="n"/>
      <c r="F215" s="240" t="n"/>
      <c r="G215" s="177" t="n"/>
      <c r="H215" s="241" t="n"/>
      <c r="I215" s="240" t="n"/>
      <c r="J215" s="177" t="n"/>
      <c r="K215" s="241" t="n"/>
      <c r="L215" s="240" t="str">
        <f>IF(COUNT(F215,I215)=0,"",N(F215)-N(I215))</f>
        <v/>
      </c>
      <c r="M215" s="241" t="str">
        <f>IF(COUNT(H215,K215)=0,"",N(K215)-N(H215))</f>
        <v/>
      </c>
      <c r="N215" s="240" t="str">
        <f>IF(AND(ISNUMBER(F215),ISNUMBER(I215),ISNUMBER(H215),ISNUMBER(K215),F215&gt;0,I215&gt;0,H215&lt;&gt;0),ROUND(MIN(F215,I215)*(K215/I215-H215/F215),8),"")</f>
        <v/>
      </c>
      <c r="O215" s="177" t="str">
        <f>IF(ISNUMBER(N215),ROUND(N215/(MIN(F215,I215)*H215/F215)*100,2),"")</f>
        <v/>
      </c>
    </row>
    <row r="216" ht="22" customHeight="1">
      <c r="B216" s="244" t="n"/>
      <c r="C216" s="243" t="n"/>
      <c r="D216" s="244" t="n"/>
      <c r="E216" s="245" t="n"/>
      <c r="F216" s="246" t="n"/>
      <c r="G216" s="183" t="n"/>
      <c r="H216" s="247" t="n"/>
      <c r="I216" s="246" t="n"/>
      <c r="J216" s="183" t="n"/>
      <c r="K216" s="247" t="n"/>
      <c r="L216" s="246" t="str">
        <f>IF(COUNT(F216,I216)=0,"",N(F216)-N(I216))</f>
        <v/>
      </c>
      <c r="M216" s="247" t="str">
        <f>IF(COUNT(H216,K216)=0,"",N(K216)-N(H216))</f>
        <v/>
      </c>
      <c r="N216" s="246" t="str">
        <f>IF(AND(ISNUMBER(F216),ISNUMBER(I216),ISNUMBER(H216),ISNUMBER(K216),F216&gt;0,I216&gt;0,H216&lt;&gt;0),ROUND(MIN(F216,I216)*(K216/I216-H216/F216),8),"")</f>
        <v/>
      </c>
      <c r="O216" s="183" t="str">
        <f>IF(ISNUMBER(N216),ROUND(N216/(MIN(F216,I216)*H216/F216)*100,2),"")</f>
        <v/>
      </c>
    </row>
    <row r="217" ht="22" customHeight="1">
      <c r="B217" s="238" t="n"/>
      <c r="C217" s="237" t="n"/>
      <c r="D217" s="238" t="n"/>
      <c r="E217" s="239" t="n"/>
      <c r="F217" s="240" t="n"/>
      <c r="G217" s="177" t="n"/>
      <c r="H217" s="241" t="n"/>
      <c r="I217" s="240" t="n"/>
      <c r="J217" s="177" t="n"/>
      <c r="K217" s="241" t="n"/>
      <c r="L217" s="240" t="str">
        <f>IF(COUNT(F217,I217)=0,"",N(F217)-N(I217))</f>
        <v/>
      </c>
      <c r="M217" s="241" t="str">
        <f>IF(COUNT(H217,K217)=0,"",N(K217)-N(H217))</f>
        <v/>
      </c>
      <c r="N217" s="240" t="str">
        <f>IF(AND(ISNUMBER(F217),ISNUMBER(I217),ISNUMBER(H217),ISNUMBER(K217),F217&gt;0,I217&gt;0,H217&lt;&gt;0),ROUND(MIN(F217,I217)*(K217/I217-H217/F217),8),"")</f>
        <v/>
      </c>
      <c r="O217" s="177" t="str">
        <f>IF(ISNUMBER(N217),ROUND(N217/(MIN(F217,I217)*H217/F217)*100,2),"")</f>
        <v/>
      </c>
    </row>
    <row r="218" ht="22" customHeight="1">
      <c r="B218" s="244" t="n"/>
      <c r="C218" s="243" t="n"/>
      <c r="D218" s="244" t="n"/>
      <c r="E218" s="245" t="n"/>
      <c r="F218" s="246" t="n"/>
      <c r="G218" s="183" t="n"/>
      <c r="H218" s="247" t="n"/>
      <c r="I218" s="246" t="n"/>
      <c r="J218" s="183" t="n"/>
      <c r="K218" s="247" t="n"/>
      <c r="L218" s="246" t="str">
        <f>IF(COUNT(F218,I218)=0,"",N(F218)-N(I218))</f>
        <v/>
      </c>
      <c r="M218" s="247" t="str">
        <f>IF(COUNT(H218,K218)=0,"",N(K218)-N(H218))</f>
        <v/>
      </c>
      <c r="N218" s="246" t="str">
        <f>IF(AND(ISNUMBER(F218),ISNUMBER(I218),ISNUMBER(H218),ISNUMBER(K218),F218&gt;0,I218&gt;0,H218&lt;&gt;0),ROUND(MIN(F218,I218)*(K218/I218-H218/F218),8),"")</f>
        <v/>
      </c>
      <c r="O218" s="183" t="str">
        <f>IF(ISNUMBER(N218),ROUND(N218/(MIN(F218,I218)*H218/F218)*100,2),"")</f>
        <v/>
      </c>
    </row>
    <row r="219" ht="22" customHeight="1">
      <c r="B219" s="238" t="n"/>
      <c r="C219" s="237" t="n"/>
      <c r="D219" s="238" t="n"/>
      <c r="E219" s="239" t="n"/>
      <c r="F219" s="240" t="n"/>
      <c r="G219" s="177" t="n"/>
      <c r="H219" s="241" t="n"/>
      <c r="I219" s="240" t="n"/>
      <c r="J219" s="177" t="n"/>
      <c r="K219" s="241" t="n"/>
      <c r="L219" s="240" t="str">
        <f>IF(COUNT(F219,I219)=0,"",N(F219)-N(I219))</f>
        <v/>
      </c>
      <c r="M219" s="241" t="str">
        <f>IF(COUNT(H219,K219)=0,"",N(K219)-N(H219))</f>
        <v/>
      </c>
      <c r="N219" s="240" t="str">
        <f>IF(AND(ISNUMBER(F219),ISNUMBER(I219),ISNUMBER(H219),ISNUMBER(K219),F219&gt;0,I219&gt;0,H219&lt;&gt;0),ROUND(MIN(F219,I219)*(K219/I219-H219/F219),8),"")</f>
        <v/>
      </c>
      <c r="O219" s="177" t="str">
        <f>IF(ISNUMBER(N219),ROUND(N219/(MIN(F219,I219)*H219/F219)*100,2),"")</f>
        <v/>
      </c>
    </row>
    <row r="220" ht="22" customHeight="1">
      <c r="B220" s="244" t="n"/>
      <c r="C220" s="243" t="n"/>
      <c r="D220" s="244" t="n"/>
      <c r="E220" s="245" t="n"/>
      <c r="F220" s="246" t="n"/>
      <c r="G220" s="183" t="n"/>
      <c r="H220" s="247" t="n"/>
      <c r="I220" s="246" t="n"/>
      <c r="J220" s="183" t="n"/>
      <c r="K220" s="247" t="n"/>
      <c r="L220" s="246" t="str">
        <f>IF(COUNT(F220,I220)=0,"",N(F220)-N(I220))</f>
        <v/>
      </c>
      <c r="M220" s="247" t="str">
        <f>IF(COUNT(H220,K220)=0,"",N(K220)-N(H220))</f>
        <v/>
      </c>
      <c r="N220" s="246" t="str">
        <f>IF(AND(ISNUMBER(F220),ISNUMBER(I220),ISNUMBER(H220),ISNUMBER(K220),F220&gt;0,I220&gt;0,H220&lt;&gt;0),ROUND(MIN(F220,I220)*(K220/I220-H220/F220),8),"")</f>
        <v/>
      </c>
      <c r="O220" s="183" t="str">
        <f>IF(ISNUMBER(N220),ROUND(N220/(MIN(F220,I220)*H220/F220)*100,2),"")</f>
        <v/>
      </c>
    </row>
    <row r="221" ht="22" customHeight="1">
      <c r="B221" s="238" t="n"/>
      <c r="C221" s="237" t="n"/>
      <c r="D221" s="238" t="n"/>
      <c r="E221" s="239" t="n"/>
      <c r="F221" s="240" t="n"/>
      <c r="G221" s="177" t="n"/>
      <c r="H221" s="241" t="n"/>
      <c r="I221" s="240" t="n"/>
      <c r="J221" s="177" t="n"/>
      <c r="K221" s="241" t="n"/>
      <c r="L221" s="240" t="str">
        <f>IF(COUNT(F221,I221)=0,"",N(F221)-N(I221))</f>
        <v/>
      </c>
      <c r="M221" s="241" t="str">
        <f>IF(COUNT(H221,K221)=0,"",N(K221)-N(H221))</f>
        <v/>
      </c>
      <c r="N221" s="240" t="str">
        <f>IF(AND(ISNUMBER(F221),ISNUMBER(I221),ISNUMBER(H221),ISNUMBER(K221),F221&gt;0,I221&gt;0,H221&lt;&gt;0),ROUND(MIN(F221,I221)*(K221/I221-H221/F221),8),"")</f>
        <v/>
      </c>
      <c r="O221" s="177" t="str">
        <f>IF(ISNUMBER(N221),ROUND(N221/(MIN(F221,I221)*H221/F221)*100,2),"")</f>
        <v/>
      </c>
    </row>
    <row r="222" ht="22" customHeight="1">
      <c r="B222" s="244" t="n"/>
      <c r="C222" s="243" t="n"/>
      <c r="D222" s="244" t="n"/>
      <c r="E222" s="245" t="n"/>
      <c r="F222" s="246" t="n"/>
      <c r="G222" s="183" t="n"/>
      <c r="H222" s="247" t="n"/>
      <c r="I222" s="246" t="n"/>
      <c r="J222" s="183" t="n"/>
      <c r="K222" s="247" t="n"/>
      <c r="L222" s="246" t="str">
        <f>IF(COUNT(F222,I222)=0,"",N(F222)-N(I222))</f>
        <v/>
      </c>
      <c r="M222" s="247" t="str">
        <f>IF(COUNT(H222,K222)=0,"",N(K222)-N(H222))</f>
        <v/>
      </c>
      <c r="N222" s="246" t="str">
        <f>IF(AND(ISNUMBER(F222),ISNUMBER(I222),ISNUMBER(H222),ISNUMBER(K222),F222&gt;0,I222&gt;0,H222&lt;&gt;0),ROUND(MIN(F222,I222)*(K222/I222-H222/F222),8),"")</f>
        <v/>
      </c>
      <c r="O222" s="183" t="str">
        <f>IF(ISNUMBER(N222),ROUND(N222/(MIN(F222,I222)*H222/F222)*100,2),"")</f>
        <v/>
      </c>
    </row>
    <row r="223" ht="22" customHeight="1">
      <c r="B223" s="238" t="n"/>
      <c r="C223" s="237" t="n"/>
      <c r="D223" s="238" t="n"/>
      <c r="E223" s="239" t="n"/>
      <c r="F223" s="240" t="n"/>
      <c r="G223" s="177" t="n"/>
      <c r="H223" s="241" t="n"/>
      <c r="I223" s="240" t="n"/>
      <c r="J223" s="177" t="n"/>
      <c r="K223" s="241" t="n"/>
      <c r="L223" s="240" t="str">
        <f>IF(COUNT(F223,I223)=0,"",N(F223)-N(I223))</f>
        <v/>
      </c>
      <c r="M223" s="241" t="str">
        <f>IF(COUNT(H223,K223)=0,"",N(K223)-N(H223))</f>
        <v/>
      </c>
      <c r="N223" s="240" t="str">
        <f>IF(AND(ISNUMBER(F223),ISNUMBER(I223),ISNUMBER(H223),ISNUMBER(K223),F223&gt;0,I223&gt;0,H223&lt;&gt;0),ROUND(MIN(F223,I223)*(K223/I223-H223/F223),8),"")</f>
        <v/>
      </c>
      <c r="O223" s="177" t="str">
        <f>IF(ISNUMBER(N223),ROUND(N223/(MIN(F223,I223)*H223/F223)*100,2),"")</f>
        <v/>
      </c>
    </row>
    <row r="224" ht="22" customHeight="1">
      <c r="B224" s="244" t="n"/>
      <c r="C224" s="243" t="n"/>
      <c r="D224" s="244" t="n"/>
      <c r="E224" s="245" t="n"/>
      <c r="F224" s="246" t="n"/>
      <c r="G224" s="183" t="n"/>
      <c r="H224" s="247" t="n"/>
      <c r="I224" s="246" t="n"/>
      <c r="J224" s="183" t="n"/>
      <c r="K224" s="247" t="n"/>
      <c r="L224" s="246" t="str">
        <f>IF(COUNT(F224,I224)=0,"",N(F224)-N(I224))</f>
        <v/>
      </c>
      <c r="M224" s="247" t="str">
        <f>IF(COUNT(H224,K224)=0,"",N(K224)-N(H224))</f>
        <v/>
      </c>
      <c r="N224" s="246" t="str">
        <f>IF(AND(ISNUMBER(F224),ISNUMBER(I224),ISNUMBER(H224),ISNUMBER(K224),F224&gt;0,I224&gt;0,H224&lt;&gt;0),ROUND(MIN(F224,I224)*(K224/I224-H224/F224),8),"")</f>
        <v/>
      </c>
      <c r="O224" s="183" t="str">
        <f>IF(ISNUMBER(N224),ROUND(N224/(MIN(F224,I224)*H224/F224)*100,2),"")</f>
        <v/>
      </c>
    </row>
    <row r="225" ht="22" customHeight="1">
      <c r="B225" s="238" t="n"/>
      <c r="C225" s="237" t="n"/>
      <c r="D225" s="238" t="n"/>
      <c r="E225" s="239" t="n"/>
      <c r="F225" s="240" t="n"/>
      <c r="G225" s="177" t="n"/>
      <c r="H225" s="241" t="n"/>
      <c r="I225" s="240" t="n"/>
      <c r="J225" s="177" t="n"/>
      <c r="K225" s="241" t="n"/>
      <c r="L225" s="240" t="str">
        <f>IF(COUNT(F225,I225)=0,"",N(F225)-N(I225))</f>
        <v/>
      </c>
      <c r="M225" s="241" t="str">
        <f>IF(COUNT(H225,K225)=0,"",N(K225)-N(H225))</f>
        <v/>
      </c>
      <c r="N225" s="240" t="str">
        <f>IF(AND(ISNUMBER(F225),ISNUMBER(I225),ISNUMBER(H225),ISNUMBER(K225),F225&gt;0,I225&gt;0,H225&lt;&gt;0),ROUND(MIN(F225,I225)*(K225/I225-H225/F225),8),"")</f>
        <v/>
      </c>
      <c r="O225" s="177" t="str">
        <f>IF(ISNUMBER(N225),ROUND(N225/(MIN(F225,I225)*H225/F225)*100,2),"")</f>
        <v/>
      </c>
    </row>
    <row r="226" ht="22" customHeight="1">
      <c r="B226" s="244" t="n"/>
      <c r="C226" s="243" t="n"/>
      <c r="D226" s="244" t="n"/>
      <c r="E226" s="245" t="n"/>
      <c r="F226" s="246" t="n"/>
      <c r="G226" s="183" t="n"/>
      <c r="H226" s="247" t="n"/>
      <c r="I226" s="246" t="n"/>
      <c r="J226" s="183" t="n"/>
      <c r="K226" s="247" t="n"/>
      <c r="L226" s="246" t="str">
        <f>IF(COUNT(F226,I226)=0,"",N(F226)-N(I226))</f>
        <v/>
      </c>
      <c r="M226" s="247" t="str">
        <f>IF(COUNT(H226,K226)=0,"",N(K226)-N(H226))</f>
        <v/>
      </c>
      <c r="N226" s="246" t="str">
        <f>IF(AND(ISNUMBER(F226),ISNUMBER(I226),ISNUMBER(H226),ISNUMBER(K226),F226&gt;0,I226&gt;0,H226&lt;&gt;0),ROUND(MIN(F226,I226)*(K226/I226-H226/F226),8),"")</f>
        <v/>
      </c>
      <c r="O226" s="183" t="str">
        <f>IF(ISNUMBER(N226),ROUND(N226/(MIN(F226,I226)*H226/F226)*100,2),"")</f>
        <v/>
      </c>
    </row>
    <row r="227" ht="22" customHeight="1">
      <c r="B227" s="238" t="n"/>
      <c r="C227" s="237" t="n"/>
      <c r="D227" s="238" t="n"/>
      <c r="E227" s="239" t="n"/>
      <c r="F227" s="240" t="n"/>
      <c r="G227" s="177" t="n"/>
      <c r="H227" s="241" t="n"/>
      <c r="I227" s="240" t="n"/>
      <c r="J227" s="177" t="n"/>
      <c r="K227" s="241" t="n"/>
      <c r="L227" s="240" t="str">
        <f>IF(COUNT(F227,I227)=0,"",N(F227)-N(I227))</f>
        <v/>
      </c>
      <c r="M227" s="241" t="str">
        <f>IF(COUNT(H227,K227)=0,"",N(K227)-N(H227))</f>
        <v/>
      </c>
      <c r="N227" s="240" t="str">
        <f>IF(AND(ISNUMBER(F227),ISNUMBER(I227),ISNUMBER(H227),ISNUMBER(K227),F227&gt;0,I227&gt;0,H227&lt;&gt;0),ROUND(MIN(F227,I227)*(K227/I227-H227/F227),8),"")</f>
        <v/>
      </c>
      <c r="O227" s="177" t="str">
        <f>IF(ISNUMBER(N227),ROUND(N227/(MIN(F227,I227)*H227/F227)*100,2),"")</f>
        <v/>
      </c>
    </row>
    <row r="228" ht="22" customHeight="1">
      <c r="B228" s="244" t="n"/>
      <c r="C228" s="243" t="n"/>
      <c r="D228" s="244" t="n"/>
      <c r="E228" s="245" t="n"/>
      <c r="F228" s="246" t="n"/>
      <c r="G228" s="183" t="n"/>
      <c r="H228" s="247" t="n"/>
      <c r="I228" s="246" t="n"/>
      <c r="J228" s="183" t="n"/>
      <c r="K228" s="247" t="n"/>
      <c r="L228" s="246" t="str">
        <f>IF(COUNT(F228,I228)=0,"",N(F228)-N(I228))</f>
        <v/>
      </c>
      <c r="M228" s="247" t="str">
        <f>IF(COUNT(H228,K228)=0,"",N(K228)-N(H228))</f>
        <v/>
      </c>
      <c r="N228" s="246" t="str">
        <f>IF(AND(ISNUMBER(F228),ISNUMBER(I228),ISNUMBER(H228),ISNUMBER(K228),F228&gt;0,I228&gt;0,H228&lt;&gt;0),ROUND(MIN(F228,I228)*(K228/I228-H228/F228),8),"")</f>
        <v/>
      </c>
      <c r="O228" s="183" t="str">
        <f>IF(ISNUMBER(N228),ROUND(N228/(MIN(F228,I228)*H228/F228)*100,2),"")</f>
        <v/>
      </c>
    </row>
    <row r="229" ht="22" customHeight="1">
      <c r="B229" s="238" t="n"/>
      <c r="C229" s="237" t="n"/>
      <c r="D229" s="238" t="n"/>
      <c r="E229" s="239" t="n"/>
      <c r="F229" s="240" t="n"/>
      <c r="G229" s="177" t="n"/>
      <c r="H229" s="241" t="n"/>
      <c r="I229" s="240" t="n"/>
      <c r="J229" s="177" t="n"/>
      <c r="K229" s="241" t="n"/>
      <c r="L229" s="240" t="str">
        <f>IF(COUNT(F229,I229)=0,"",N(F229)-N(I229))</f>
        <v/>
      </c>
      <c r="M229" s="241" t="str">
        <f>IF(COUNT(H229,K229)=0,"",N(K229)-N(H229))</f>
        <v/>
      </c>
      <c r="N229" s="240" t="str">
        <f>IF(AND(ISNUMBER(F229),ISNUMBER(I229),ISNUMBER(H229),ISNUMBER(K229),F229&gt;0,I229&gt;0,H229&lt;&gt;0),ROUND(MIN(F229,I229)*(K229/I229-H229/F229),8),"")</f>
        <v/>
      </c>
      <c r="O229" s="177" t="str">
        <f>IF(ISNUMBER(N229),ROUND(N229/(MIN(F229,I229)*H229/F229)*100,2),"")</f>
        <v/>
      </c>
    </row>
    <row r="230" ht="22" customHeight="1">
      <c r="B230" s="244" t="n"/>
      <c r="C230" s="243" t="n"/>
      <c r="D230" s="244" t="n"/>
      <c r="E230" s="245" t="n"/>
      <c r="F230" s="246" t="n"/>
      <c r="G230" s="183" t="n"/>
      <c r="H230" s="247" t="n"/>
      <c r="I230" s="246" t="n"/>
      <c r="J230" s="183" t="n"/>
      <c r="K230" s="247" t="n"/>
      <c r="L230" s="246" t="str">
        <f>IF(COUNT(F230,I230)=0,"",N(F230)-N(I230))</f>
        <v/>
      </c>
      <c r="M230" s="247" t="str">
        <f>IF(COUNT(H230,K230)=0,"",N(K230)-N(H230))</f>
        <v/>
      </c>
      <c r="N230" s="246" t="str">
        <f>IF(AND(ISNUMBER(F230),ISNUMBER(I230),ISNUMBER(H230),ISNUMBER(K230),F230&gt;0,I230&gt;0,H230&lt;&gt;0),ROUND(MIN(F230,I230)*(K230/I230-H230/F230),8),"")</f>
        <v/>
      </c>
      <c r="O230" s="183" t="str">
        <f>IF(ISNUMBER(N230),ROUND(N230/(MIN(F230,I230)*H230/F230)*100,2),"")</f>
        <v/>
      </c>
    </row>
    <row r="231" ht="22" customHeight="1">
      <c r="B231" s="238" t="n"/>
      <c r="C231" s="237" t="n"/>
      <c r="D231" s="238" t="n"/>
      <c r="E231" s="239" t="n"/>
      <c r="F231" s="240" t="n"/>
      <c r="G231" s="177" t="n"/>
      <c r="H231" s="241" t="n"/>
      <c r="I231" s="240" t="n"/>
      <c r="J231" s="177" t="n"/>
      <c r="K231" s="241" t="n"/>
      <c r="L231" s="240" t="str">
        <f>IF(COUNT(F231,I231)=0,"",N(F231)-N(I231))</f>
        <v/>
      </c>
      <c r="M231" s="241" t="str">
        <f>IF(COUNT(H231,K231)=0,"",N(K231)-N(H231))</f>
        <v/>
      </c>
      <c r="N231" s="240" t="str">
        <f>IF(AND(ISNUMBER(F231),ISNUMBER(I231),ISNUMBER(H231),ISNUMBER(K231),F231&gt;0,I231&gt;0,H231&lt;&gt;0),ROUND(MIN(F231,I231)*(K231/I231-H231/F231),8),"")</f>
        <v/>
      </c>
      <c r="O231" s="177" t="str">
        <f>IF(ISNUMBER(N231),ROUND(N231/(MIN(F231,I231)*H231/F231)*100,2),"")</f>
        <v/>
      </c>
    </row>
    <row r="232" ht="22" customHeight="1">
      <c r="B232" s="244" t="n"/>
      <c r="C232" s="243" t="n"/>
      <c r="D232" s="244" t="n"/>
      <c r="E232" s="245" t="n"/>
      <c r="F232" s="246" t="n"/>
      <c r="G232" s="183" t="n"/>
      <c r="H232" s="247" t="n"/>
      <c r="I232" s="246" t="n"/>
      <c r="J232" s="183" t="n"/>
      <c r="K232" s="247" t="n"/>
      <c r="L232" s="246" t="str">
        <f>IF(COUNT(F232,I232)=0,"",N(F232)-N(I232))</f>
        <v/>
      </c>
      <c r="M232" s="247" t="str">
        <f>IF(COUNT(H232,K232)=0,"",N(K232)-N(H232))</f>
        <v/>
      </c>
      <c r="N232" s="246" t="str">
        <f>IF(AND(ISNUMBER(F232),ISNUMBER(I232),ISNUMBER(H232),ISNUMBER(K232),F232&gt;0,I232&gt;0,H232&lt;&gt;0),ROUND(MIN(F232,I232)*(K232/I232-H232/F232),8),"")</f>
        <v/>
      </c>
      <c r="O232" s="183" t="str">
        <f>IF(ISNUMBER(N232),ROUND(N232/(MIN(F232,I232)*H232/F232)*100,2),"")</f>
        <v/>
      </c>
    </row>
    <row r="233" ht="22" customHeight="1">
      <c r="B233" s="238" t="n"/>
      <c r="C233" s="237" t="n"/>
      <c r="D233" s="238" t="n"/>
      <c r="E233" s="239" t="n"/>
      <c r="F233" s="240" t="n"/>
      <c r="G233" s="177" t="n"/>
      <c r="H233" s="241" t="n"/>
      <c r="I233" s="240" t="n"/>
      <c r="J233" s="177" t="n"/>
      <c r="K233" s="241" t="n"/>
      <c r="L233" s="240" t="str">
        <f>IF(COUNT(F233,I233)=0,"",N(F233)-N(I233))</f>
        <v/>
      </c>
      <c r="M233" s="241" t="str">
        <f>IF(COUNT(H233,K233)=0,"",N(K233)-N(H233))</f>
        <v/>
      </c>
      <c r="N233" s="240" t="str">
        <f>IF(AND(ISNUMBER(F233),ISNUMBER(I233),ISNUMBER(H233),ISNUMBER(K233),F233&gt;0,I233&gt;0,H233&lt;&gt;0),ROUND(MIN(F233,I233)*(K233/I233-H233/F233),8),"")</f>
        <v/>
      </c>
      <c r="O233" s="177" t="str">
        <f>IF(ISNUMBER(N233),ROUND(N233/(MIN(F233,I233)*H233/F233)*100,2),"")</f>
        <v/>
      </c>
    </row>
    <row r="234" ht="22" customHeight="1">
      <c r="B234" s="244" t="n"/>
      <c r="C234" s="243" t="n"/>
      <c r="D234" s="244" t="n"/>
      <c r="E234" s="245" t="n"/>
      <c r="F234" s="246" t="n"/>
      <c r="G234" s="183" t="n"/>
      <c r="H234" s="247" t="n"/>
      <c r="I234" s="246" t="n"/>
      <c r="J234" s="183" t="n"/>
      <c r="K234" s="247" t="n"/>
      <c r="L234" s="246" t="str">
        <f>IF(COUNT(F234,I234)=0,"",N(F234)-N(I234))</f>
        <v/>
      </c>
      <c r="M234" s="247" t="str">
        <f>IF(COUNT(H234,K234)=0,"",N(K234)-N(H234))</f>
        <v/>
      </c>
      <c r="N234" s="246" t="str">
        <f>IF(AND(ISNUMBER(F234),ISNUMBER(I234),ISNUMBER(H234),ISNUMBER(K234),F234&gt;0,I234&gt;0,H234&lt;&gt;0),ROUND(MIN(F234,I234)*(K234/I234-H234/F234),8),"")</f>
        <v/>
      </c>
      <c r="O234" s="183" t="str">
        <f>IF(ISNUMBER(N234),ROUND(N234/(MIN(F234,I234)*H234/F234)*100,2),"")</f>
        <v/>
      </c>
    </row>
    <row r="235" ht="22" customHeight="1">
      <c r="B235" s="238" t="n"/>
      <c r="C235" s="237" t="n"/>
      <c r="D235" s="238" t="n"/>
      <c r="E235" s="239" t="n"/>
      <c r="F235" s="240" t="n"/>
      <c r="G235" s="177" t="n"/>
      <c r="H235" s="241" t="n"/>
      <c r="I235" s="240" t="n"/>
      <c r="J235" s="177" t="n"/>
      <c r="K235" s="241" t="n"/>
      <c r="L235" s="240" t="str">
        <f>IF(COUNT(F235,I235)=0,"",N(F235)-N(I235))</f>
        <v/>
      </c>
      <c r="M235" s="241" t="str">
        <f>IF(COUNT(H235,K235)=0,"",N(K235)-N(H235))</f>
        <v/>
      </c>
      <c r="N235" s="240" t="str">
        <f>IF(AND(ISNUMBER(F235),ISNUMBER(I235),ISNUMBER(H235),ISNUMBER(K235),F235&gt;0,I235&gt;0,H235&lt;&gt;0),ROUND(MIN(F235,I235)*(K235/I235-H235/F235),8),"")</f>
        <v/>
      </c>
      <c r="O235" s="177" t="str">
        <f>IF(ISNUMBER(N235),ROUND(N235/(MIN(F235,I235)*H235/F235)*100,2),"")</f>
        <v/>
      </c>
    </row>
    <row r="236" ht="22" customHeight="1">
      <c r="B236" s="244" t="n"/>
      <c r="C236" s="243" t="n"/>
      <c r="D236" s="244" t="n"/>
      <c r="E236" s="245" t="n"/>
      <c r="F236" s="246" t="n"/>
      <c r="G236" s="183" t="n"/>
      <c r="H236" s="247" t="n"/>
      <c r="I236" s="246" t="n"/>
      <c r="J236" s="183" t="n"/>
      <c r="K236" s="247" t="n"/>
      <c r="L236" s="246" t="str">
        <f>IF(COUNT(F236,I236)=0,"",N(F236)-N(I236))</f>
        <v/>
      </c>
      <c r="M236" s="247" t="str">
        <f>IF(COUNT(H236,K236)=0,"",N(K236)-N(H236))</f>
        <v/>
      </c>
      <c r="N236" s="246" t="str">
        <f>IF(AND(ISNUMBER(F236),ISNUMBER(I236),ISNUMBER(H236),ISNUMBER(K236),F236&gt;0,I236&gt;0,H236&lt;&gt;0),ROUND(MIN(F236,I236)*(K236/I236-H236/F236),8),"")</f>
        <v/>
      </c>
      <c r="O236" s="183" t="str">
        <f>IF(ISNUMBER(N236),ROUND(N236/(MIN(F236,I236)*H236/F236)*100,2),"")</f>
        <v/>
      </c>
    </row>
    <row r="237" ht="22" customHeight="1">
      <c r="B237" s="238" t="n"/>
      <c r="C237" s="237" t="n"/>
      <c r="D237" s="238" t="n"/>
      <c r="E237" s="239" t="n"/>
      <c r="F237" s="240" t="n"/>
      <c r="G237" s="177" t="n"/>
      <c r="H237" s="241" t="n"/>
      <c r="I237" s="240" t="n"/>
      <c r="J237" s="177" t="n"/>
      <c r="K237" s="241" t="n"/>
      <c r="L237" s="240" t="str">
        <f>IF(COUNT(F237,I237)=0,"",N(F237)-N(I237))</f>
        <v/>
      </c>
      <c r="M237" s="241" t="str">
        <f>IF(COUNT(H237,K237)=0,"",N(K237)-N(H237))</f>
        <v/>
      </c>
      <c r="N237" s="240" t="str">
        <f>IF(AND(ISNUMBER(F237),ISNUMBER(I237),ISNUMBER(H237),ISNUMBER(K237),F237&gt;0,I237&gt;0,H237&lt;&gt;0),ROUND(MIN(F237,I237)*(K237/I237-H237/F237),8),"")</f>
        <v/>
      </c>
      <c r="O237" s="177" t="str">
        <f>IF(ISNUMBER(N237),ROUND(N237/(MIN(F237,I237)*H237/F237)*100,2),"")</f>
        <v/>
      </c>
    </row>
    <row r="238" ht="22" customHeight="1">
      <c r="B238" s="244" t="n"/>
      <c r="C238" s="243" t="n"/>
      <c r="D238" s="244" t="n"/>
      <c r="E238" s="245" t="n"/>
      <c r="F238" s="246" t="n"/>
      <c r="G238" s="183" t="n"/>
      <c r="H238" s="247" t="n"/>
      <c r="I238" s="246" t="n"/>
      <c r="J238" s="183" t="n"/>
      <c r="K238" s="247" t="n"/>
      <c r="L238" s="246" t="str">
        <f>IF(COUNT(F238,I238)=0,"",N(F238)-N(I238))</f>
        <v/>
      </c>
      <c r="M238" s="247" t="str">
        <f>IF(COUNT(H238,K238)=0,"",N(K238)-N(H238))</f>
        <v/>
      </c>
      <c r="N238" s="246" t="str">
        <f>IF(AND(ISNUMBER(F238),ISNUMBER(I238),ISNUMBER(H238),ISNUMBER(K238),F238&gt;0,I238&gt;0,H238&lt;&gt;0),ROUND(MIN(F238,I238)*(K238/I238-H238/F238),8),"")</f>
        <v/>
      </c>
      <c r="O238" s="183" t="str">
        <f>IF(ISNUMBER(N238),ROUND(N238/(MIN(F238,I238)*H238/F238)*100,2),"")</f>
        <v/>
      </c>
    </row>
    <row r="239" ht="22" customHeight="1">
      <c r="B239" s="238" t="n"/>
      <c r="C239" s="237" t="n"/>
      <c r="D239" s="238" t="n"/>
      <c r="E239" s="239" t="n"/>
      <c r="F239" s="240" t="n"/>
      <c r="G239" s="177" t="n"/>
      <c r="H239" s="241" t="n"/>
      <c r="I239" s="240" t="n"/>
      <c r="J239" s="177" t="n"/>
      <c r="K239" s="241" t="n"/>
      <c r="L239" s="240" t="str">
        <f>IF(COUNT(F239,I239)=0,"",N(F239)-N(I239))</f>
        <v/>
      </c>
      <c r="M239" s="241" t="str">
        <f>IF(COUNT(H239,K239)=0,"",N(K239)-N(H239))</f>
        <v/>
      </c>
      <c r="N239" s="240" t="str">
        <f>IF(AND(ISNUMBER(F239),ISNUMBER(I239),ISNUMBER(H239),ISNUMBER(K239),F239&gt;0,I239&gt;0,H239&lt;&gt;0),ROUND(MIN(F239,I239)*(K239/I239-H239/F239),8),"")</f>
        <v/>
      </c>
      <c r="O239" s="177" t="str">
        <f>IF(ISNUMBER(N239),ROUND(N239/(MIN(F239,I239)*H239/F239)*100,2),"")</f>
        <v/>
      </c>
    </row>
    <row r="240" ht="22" customHeight="1">
      <c r="B240" s="244" t="n"/>
      <c r="C240" s="243" t="n"/>
      <c r="D240" s="244" t="n"/>
      <c r="E240" s="245" t="n"/>
      <c r="F240" s="246" t="n"/>
      <c r="G240" s="183" t="n"/>
      <c r="H240" s="247" t="n"/>
      <c r="I240" s="246" t="n"/>
      <c r="J240" s="183" t="n"/>
      <c r="K240" s="247" t="n"/>
      <c r="L240" s="246" t="str">
        <f>IF(COUNT(F240,I240)=0,"",N(F240)-N(I240))</f>
        <v/>
      </c>
      <c r="M240" s="247" t="str">
        <f>IF(COUNT(H240,K240)=0,"",N(K240)-N(H240))</f>
        <v/>
      </c>
      <c r="N240" s="246" t="str">
        <f>IF(AND(ISNUMBER(F240),ISNUMBER(I240),ISNUMBER(H240),ISNUMBER(K240),F240&gt;0,I240&gt;0,H240&lt;&gt;0),ROUND(MIN(F240,I240)*(K240/I240-H240/F240),8),"")</f>
        <v/>
      </c>
      <c r="O240" s="183" t="str">
        <f>IF(ISNUMBER(N240),ROUND(N240/(MIN(F240,I240)*H240/F240)*100,2),"")</f>
        <v/>
      </c>
    </row>
    <row r="241" ht="22" customHeight="1">
      <c r="B241" s="238" t="n"/>
      <c r="C241" s="237" t="n"/>
      <c r="D241" s="238" t="n"/>
      <c r="E241" s="239" t="n"/>
      <c r="F241" s="240" t="n"/>
      <c r="G241" s="177" t="n"/>
      <c r="H241" s="241" t="n"/>
      <c r="I241" s="240" t="n"/>
      <c r="J241" s="177" t="n"/>
      <c r="K241" s="241" t="n"/>
      <c r="L241" s="240" t="str">
        <f>IF(COUNT(F241,I241)=0,"",N(F241)-N(I241))</f>
        <v/>
      </c>
      <c r="M241" s="241" t="str">
        <f>IF(COUNT(H241,K241)=0,"",N(K241)-N(H241))</f>
        <v/>
      </c>
      <c r="N241" s="240" t="str">
        <f>IF(AND(ISNUMBER(F241),ISNUMBER(I241),ISNUMBER(H241),ISNUMBER(K241),F241&gt;0,I241&gt;0,H241&lt;&gt;0),ROUND(MIN(F241,I241)*(K241/I241-H241/F241),8),"")</f>
        <v/>
      </c>
      <c r="O241" s="177" t="str">
        <f>IF(ISNUMBER(N241),ROUND(N241/(MIN(F241,I241)*H241/F241)*100,2),"")</f>
        <v/>
      </c>
    </row>
    <row r="242" ht="22" customHeight="1">
      <c r="B242" s="244" t="n"/>
      <c r="C242" s="243" t="n"/>
      <c r="D242" s="244" t="n"/>
      <c r="E242" s="245" t="n"/>
      <c r="F242" s="246" t="n"/>
      <c r="G242" s="183" t="n"/>
      <c r="H242" s="247" t="n"/>
      <c r="I242" s="246" t="n"/>
      <c r="J242" s="183" t="n"/>
      <c r="K242" s="247" t="n"/>
      <c r="L242" s="246" t="str">
        <f>IF(COUNT(F242,I242)=0,"",N(F242)-N(I242))</f>
        <v/>
      </c>
      <c r="M242" s="247" t="str">
        <f>IF(COUNT(H242,K242)=0,"",N(K242)-N(H242))</f>
        <v/>
      </c>
      <c r="N242" s="246" t="str">
        <f>IF(AND(ISNUMBER(F242),ISNUMBER(I242),ISNUMBER(H242),ISNUMBER(K242),F242&gt;0,I242&gt;0,H242&lt;&gt;0),ROUND(MIN(F242,I242)*(K242/I242-H242/F242),8),"")</f>
        <v/>
      </c>
      <c r="O242" s="183" t="str">
        <f>IF(ISNUMBER(N242),ROUND(N242/(MIN(F242,I242)*H242/F242)*100,2),"")</f>
        <v/>
      </c>
    </row>
    <row r="243" ht="22" customHeight="1">
      <c r="B243" s="238" t="n"/>
      <c r="C243" s="237" t="n"/>
      <c r="D243" s="238" t="n"/>
      <c r="E243" s="239" t="n"/>
      <c r="F243" s="240" t="n"/>
      <c r="G243" s="177" t="n"/>
      <c r="H243" s="241" t="n"/>
      <c r="I243" s="240" t="n"/>
      <c r="J243" s="177" t="n"/>
      <c r="K243" s="241" t="n"/>
      <c r="L243" s="240" t="str">
        <f>IF(COUNT(F243,I243)=0,"",N(F243)-N(I243))</f>
        <v/>
      </c>
      <c r="M243" s="241" t="str">
        <f>IF(COUNT(H243,K243)=0,"",N(K243)-N(H243))</f>
        <v/>
      </c>
      <c r="N243" s="240" t="str">
        <f>IF(AND(ISNUMBER(F243),ISNUMBER(I243),ISNUMBER(H243),ISNUMBER(K243),F243&gt;0,I243&gt;0,H243&lt;&gt;0),ROUND(MIN(F243,I243)*(K243/I243-H243/F243),8),"")</f>
        <v/>
      </c>
      <c r="O243" s="177" t="str">
        <f>IF(ISNUMBER(N243),ROUND(N243/(MIN(F243,I243)*H243/F243)*100,2),"")</f>
        <v/>
      </c>
    </row>
    <row r="244" ht="22" customHeight="1">
      <c r="B244" s="244" t="n"/>
      <c r="C244" s="243" t="n"/>
      <c r="D244" s="244" t="n"/>
      <c r="E244" s="245" t="n"/>
      <c r="F244" s="246" t="n"/>
      <c r="G244" s="183" t="n"/>
      <c r="H244" s="247" t="n"/>
      <c r="I244" s="246" t="n"/>
      <c r="J244" s="183" t="n"/>
      <c r="K244" s="247" t="n"/>
      <c r="L244" s="246" t="str">
        <f>IF(COUNT(F244,I244)=0,"",N(F244)-N(I244))</f>
        <v/>
      </c>
      <c r="M244" s="247" t="str">
        <f>IF(COUNT(H244,K244)=0,"",N(K244)-N(H244))</f>
        <v/>
      </c>
      <c r="N244" s="246" t="str">
        <f>IF(AND(ISNUMBER(F244),ISNUMBER(I244),ISNUMBER(H244),ISNUMBER(K244),F244&gt;0,I244&gt;0,H244&lt;&gt;0),ROUND(MIN(F244,I244)*(K244/I244-H244/F244),8),"")</f>
        <v/>
      </c>
      <c r="O244" s="183" t="str">
        <f>IF(ISNUMBER(N244),ROUND(N244/(MIN(F244,I244)*H244/F244)*100,2),"")</f>
        <v/>
      </c>
    </row>
    <row r="245" ht="22" customHeight="1">
      <c r="B245" s="238" t="n"/>
      <c r="C245" s="237" t="n"/>
      <c r="D245" s="238" t="n"/>
      <c r="E245" s="239" t="n"/>
      <c r="F245" s="240" t="n"/>
      <c r="G245" s="177" t="n"/>
      <c r="H245" s="241" t="n"/>
      <c r="I245" s="240" t="n"/>
      <c r="J245" s="177" t="n"/>
      <c r="K245" s="241" t="n"/>
      <c r="L245" s="240" t="str">
        <f>IF(COUNT(F245,I245)=0,"",N(F245)-N(I245))</f>
        <v/>
      </c>
      <c r="M245" s="241" t="str">
        <f>IF(COUNT(H245,K245)=0,"",N(K245)-N(H245))</f>
        <v/>
      </c>
      <c r="N245" s="240" t="str">
        <f>IF(AND(ISNUMBER(F245),ISNUMBER(I245),ISNUMBER(H245),ISNUMBER(K245),F245&gt;0,I245&gt;0,H245&lt;&gt;0),ROUND(MIN(F245,I245)*(K245/I245-H245/F245),8),"")</f>
        <v/>
      </c>
      <c r="O245" s="177" t="str">
        <f>IF(ISNUMBER(N245),ROUND(N245/(MIN(F245,I245)*H245/F245)*100,2),"")</f>
        <v/>
      </c>
    </row>
    <row r="246" ht="22" customHeight="1">
      <c r="B246" s="244" t="n"/>
      <c r="C246" s="243" t="n"/>
      <c r="D246" s="244" t="n"/>
      <c r="E246" s="245" t="n"/>
      <c r="F246" s="246" t="n"/>
      <c r="G246" s="183" t="n"/>
      <c r="H246" s="247" t="n"/>
      <c r="I246" s="246" t="n"/>
      <c r="J246" s="183" t="n"/>
      <c r="K246" s="247" t="n"/>
      <c r="L246" s="246" t="str">
        <f>IF(COUNT(F246,I246)=0,"",N(F246)-N(I246))</f>
        <v/>
      </c>
      <c r="M246" s="247" t="str">
        <f>IF(COUNT(H246,K246)=0,"",N(K246)-N(H246))</f>
        <v/>
      </c>
      <c r="N246" s="246" t="str">
        <f>IF(AND(ISNUMBER(F246),ISNUMBER(I246),ISNUMBER(H246),ISNUMBER(K246),F246&gt;0,I246&gt;0,H246&lt;&gt;0),ROUND(MIN(F246,I246)*(K246/I246-H246/F246),8),"")</f>
        <v/>
      </c>
      <c r="O246" s="183" t="str">
        <f>IF(ISNUMBER(N246),ROUND(N246/(MIN(F246,I246)*H246/F246)*100,2),"")</f>
        <v/>
      </c>
    </row>
    <row r="247" ht="22" customHeight="1">
      <c r="B247" s="238" t="n"/>
      <c r="C247" s="237" t="n"/>
      <c r="D247" s="238" t="n"/>
      <c r="E247" s="239" t="n"/>
      <c r="F247" s="240" t="n"/>
      <c r="G247" s="177" t="n"/>
      <c r="H247" s="241" t="n"/>
      <c r="I247" s="240" t="n"/>
      <c r="J247" s="177" t="n"/>
      <c r="K247" s="241" t="n"/>
      <c r="L247" s="240" t="str">
        <f>IF(COUNT(F247,I247)=0,"",N(F247)-N(I247))</f>
        <v/>
      </c>
      <c r="M247" s="241" t="str">
        <f>IF(COUNT(H247,K247)=0,"",N(K247)-N(H247))</f>
        <v/>
      </c>
      <c r="N247" s="240" t="str">
        <f>IF(AND(ISNUMBER(F247),ISNUMBER(I247),ISNUMBER(H247),ISNUMBER(K247),F247&gt;0,I247&gt;0,H247&lt;&gt;0),ROUND(MIN(F247,I247)*(K247/I247-H247/F247),8),"")</f>
        <v/>
      </c>
      <c r="O247" s="177" t="str">
        <f>IF(ISNUMBER(N247),ROUND(N247/(MIN(F247,I247)*H247/F247)*100,2),"")</f>
        <v/>
      </c>
    </row>
    <row r="248" ht="22" customHeight="1">
      <c r="B248" s="244" t="n"/>
      <c r="C248" s="243" t="n"/>
      <c r="D248" s="244" t="n"/>
      <c r="E248" s="245" t="n"/>
      <c r="F248" s="246" t="n"/>
      <c r="G248" s="183" t="n"/>
      <c r="H248" s="247" t="n"/>
      <c r="I248" s="246" t="n"/>
      <c r="J248" s="183" t="n"/>
      <c r="K248" s="247" t="n"/>
      <c r="L248" s="246" t="str">
        <f>IF(COUNT(F248,I248)=0,"",N(F248)-N(I248))</f>
        <v/>
      </c>
      <c r="M248" s="247" t="str">
        <f>IF(COUNT(H248,K248)=0,"",N(K248)-N(H248))</f>
        <v/>
      </c>
      <c r="N248" s="246" t="str">
        <f>IF(AND(ISNUMBER(F248),ISNUMBER(I248),ISNUMBER(H248),ISNUMBER(K248),F248&gt;0,I248&gt;0,H248&lt;&gt;0),ROUND(MIN(F248,I248)*(K248/I248-H248/F248),8),"")</f>
        <v/>
      </c>
      <c r="O248" s="183" t="str">
        <f>IF(ISNUMBER(N248),ROUND(N248/(MIN(F248,I248)*H248/F248)*100,2),"")</f>
        <v/>
      </c>
    </row>
    <row r="249" ht="22" customHeight="1">
      <c r="B249" s="238" t="n"/>
      <c r="C249" s="237" t="n"/>
      <c r="D249" s="238" t="n"/>
      <c r="E249" s="239" t="n"/>
      <c r="F249" s="240" t="n"/>
      <c r="G249" s="177" t="n"/>
      <c r="H249" s="241" t="n"/>
      <c r="I249" s="240" t="n"/>
      <c r="J249" s="177" t="n"/>
      <c r="K249" s="241" t="n"/>
      <c r="L249" s="240" t="str">
        <f>IF(COUNT(F249,I249)=0,"",N(F249)-N(I249))</f>
        <v/>
      </c>
      <c r="M249" s="241" t="str">
        <f>IF(COUNT(H249,K249)=0,"",N(K249)-N(H249))</f>
        <v/>
      </c>
      <c r="N249" s="240" t="str">
        <f>IF(AND(ISNUMBER(F249),ISNUMBER(I249),ISNUMBER(H249),ISNUMBER(K249),F249&gt;0,I249&gt;0,H249&lt;&gt;0),ROUND(MIN(F249,I249)*(K249/I249-H249/F249),8),"")</f>
        <v/>
      </c>
      <c r="O249" s="177" t="str">
        <f>IF(ISNUMBER(N249),ROUND(N249/(MIN(F249,I249)*H249/F249)*100,2),"")</f>
        <v/>
      </c>
    </row>
    <row r="250" ht="22" customHeight="1">
      <c r="B250" s="244" t="n"/>
      <c r="C250" s="243" t="n"/>
      <c r="D250" s="244" t="n"/>
      <c r="E250" s="245" t="n"/>
      <c r="F250" s="246" t="n"/>
      <c r="G250" s="183" t="n"/>
      <c r="H250" s="247" t="n"/>
      <c r="I250" s="246" t="n"/>
      <c r="J250" s="183" t="n"/>
      <c r="K250" s="247" t="n"/>
      <c r="L250" s="246" t="str">
        <f>IF(COUNT(F250,I250)=0,"",N(F250)-N(I250))</f>
        <v/>
      </c>
      <c r="M250" s="247" t="str">
        <f>IF(COUNT(H250,K250)=0,"",N(K250)-N(H250))</f>
        <v/>
      </c>
      <c r="N250" s="246" t="str">
        <f>IF(AND(ISNUMBER(F250),ISNUMBER(I250),ISNUMBER(H250),ISNUMBER(K250),F250&gt;0,I250&gt;0,H250&lt;&gt;0),ROUND(MIN(F250,I250)*(K250/I250-H250/F250),8),"")</f>
        <v/>
      </c>
      <c r="O250" s="183" t="str">
        <f>IF(ISNUMBER(N250),ROUND(N250/(MIN(F250,I250)*H250/F250)*100,2),"")</f>
        <v/>
      </c>
    </row>
    <row r="251" ht="22" customHeight="1">
      <c r="B251" s="238" t="n"/>
      <c r="C251" s="237" t="n"/>
      <c r="D251" s="238" t="n"/>
      <c r="E251" s="239" t="n"/>
      <c r="F251" s="240" t="n"/>
      <c r="G251" s="177" t="n"/>
      <c r="H251" s="241" t="n"/>
      <c r="I251" s="240" t="n"/>
      <c r="J251" s="177" t="n"/>
      <c r="K251" s="241" t="n"/>
      <c r="L251" s="240" t="str">
        <f>IF(COUNT(F251,I251)=0,"",N(F251)-N(I251))</f>
        <v/>
      </c>
      <c r="M251" s="241" t="str">
        <f>IF(COUNT(H251,K251)=0,"",N(K251)-N(H251))</f>
        <v/>
      </c>
      <c r="N251" s="240" t="str">
        <f>IF(AND(ISNUMBER(F251),ISNUMBER(I251),ISNUMBER(H251),ISNUMBER(K251),F251&gt;0,I251&gt;0,H251&lt;&gt;0),ROUND(MIN(F251,I251)*(K251/I251-H251/F251),8),"")</f>
        <v/>
      </c>
      <c r="O251" s="177" t="str">
        <f>IF(ISNUMBER(N251),ROUND(N251/(MIN(F251,I251)*H251/F251)*100,2),"")</f>
        <v/>
      </c>
    </row>
    <row r="252" ht="22" customHeight="1">
      <c r="B252" s="244" t="n"/>
      <c r="C252" s="243" t="n"/>
      <c r="D252" s="244" t="n"/>
      <c r="E252" s="245" t="n"/>
      <c r="F252" s="246" t="n"/>
      <c r="G252" s="183" t="n"/>
      <c r="H252" s="247" t="n"/>
      <c r="I252" s="246" t="n"/>
      <c r="J252" s="183" t="n"/>
      <c r="K252" s="247" t="n"/>
      <c r="L252" s="246" t="str">
        <f>IF(COUNT(F252,I252)=0,"",N(F252)-N(I252))</f>
        <v/>
      </c>
      <c r="M252" s="247" t="str">
        <f>IF(COUNT(H252,K252)=0,"",N(K252)-N(H252))</f>
        <v/>
      </c>
      <c r="N252" s="246" t="str">
        <f>IF(AND(ISNUMBER(F252),ISNUMBER(I252),ISNUMBER(H252),ISNUMBER(K252),F252&gt;0,I252&gt;0,H252&lt;&gt;0),ROUND(MIN(F252,I252)*(K252/I252-H252/F252),8),"")</f>
        <v/>
      </c>
      <c r="O252" s="183" t="str">
        <f>IF(ISNUMBER(N252),ROUND(N252/(MIN(F252,I252)*H252/F252)*100,2),"")</f>
        <v/>
      </c>
    </row>
    <row r="253" ht="22" customHeight="1">
      <c r="B253" s="238" t="n"/>
      <c r="C253" s="237" t="n"/>
      <c r="D253" s="238" t="n"/>
      <c r="E253" s="239" t="n"/>
      <c r="F253" s="240" t="n"/>
      <c r="G253" s="177" t="n"/>
      <c r="H253" s="241" t="n"/>
      <c r="I253" s="240" t="n"/>
      <c r="J253" s="177" t="n"/>
      <c r="K253" s="241" t="n"/>
      <c r="L253" s="240" t="str">
        <f>IF(COUNT(F253,I253)=0,"",N(F253)-N(I253))</f>
        <v/>
      </c>
      <c r="M253" s="241" t="str">
        <f>IF(COUNT(H253,K253)=0,"",N(K253)-N(H253))</f>
        <v/>
      </c>
      <c r="N253" s="240" t="str">
        <f>IF(AND(ISNUMBER(F253),ISNUMBER(I253),ISNUMBER(H253),ISNUMBER(K253),F253&gt;0,I253&gt;0,H253&lt;&gt;0),ROUND(MIN(F253,I253)*(K253/I253-H253/F253),8),"")</f>
        <v/>
      </c>
      <c r="O253" s="177" t="str">
        <f>IF(ISNUMBER(N253),ROUND(N253/(MIN(F253,I253)*H253/F253)*100,2),"")</f>
        <v/>
      </c>
    </row>
    <row r="254" ht="22" customHeight="1">
      <c r="B254" s="244" t="n"/>
      <c r="C254" s="243" t="n"/>
      <c r="D254" s="244" t="n"/>
      <c r="E254" s="245" t="n"/>
      <c r="F254" s="246" t="n"/>
      <c r="G254" s="183" t="n"/>
      <c r="H254" s="247" t="n"/>
      <c r="I254" s="246" t="n"/>
      <c r="J254" s="183" t="n"/>
      <c r="K254" s="247" t="n"/>
      <c r="L254" s="246" t="str">
        <f>IF(COUNT(F254,I254)=0,"",N(F254)-N(I254))</f>
        <v/>
      </c>
      <c r="M254" s="247" t="str">
        <f>IF(COUNT(H254,K254)=0,"",N(K254)-N(H254))</f>
        <v/>
      </c>
      <c r="N254" s="246" t="str">
        <f>IF(AND(ISNUMBER(F254),ISNUMBER(I254),ISNUMBER(H254),ISNUMBER(K254),F254&gt;0,I254&gt;0,H254&lt;&gt;0),ROUND(MIN(F254,I254)*(K254/I254-H254/F254),8),"")</f>
        <v/>
      </c>
      <c r="O254" s="183" t="str">
        <f>IF(ISNUMBER(N254),ROUND(N254/(MIN(F254,I254)*H254/F254)*100,2),"")</f>
        <v/>
      </c>
    </row>
    <row r="255" ht="22" customHeight="1">
      <c r="B255" s="238" t="n"/>
      <c r="C255" s="237" t="n"/>
      <c r="D255" s="238" t="n"/>
      <c r="E255" s="239" t="n"/>
      <c r="F255" s="240" t="n"/>
      <c r="G255" s="177" t="n"/>
      <c r="H255" s="241" t="n"/>
      <c r="I255" s="240" t="n"/>
      <c r="J255" s="177" t="n"/>
      <c r="K255" s="241" t="n"/>
      <c r="L255" s="240" t="str">
        <f>IF(COUNT(F255,I255)=0,"",N(F255)-N(I255))</f>
        <v/>
      </c>
      <c r="M255" s="241" t="str">
        <f>IF(COUNT(H255,K255)=0,"",N(K255)-N(H255))</f>
        <v/>
      </c>
      <c r="N255" s="240" t="str">
        <f>IF(AND(ISNUMBER(F255),ISNUMBER(I255),ISNUMBER(H255),ISNUMBER(K255),F255&gt;0,I255&gt;0,H255&lt;&gt;0),ROUND(MIN(F255,I255)*(K255/I255-H255/F255),8),"")</f>
        <v/>
      </c>
      <c r="O255" s="177" t="str">
        <f>IF(ISNUMBER(N255),ROUND(N255/(MIN(F255,I255)*H255/F255)*100,2),"")</f>
        <v/>
      </c>
    </row>
    <row r="256" ht="22" customHeight="1">
      <c r="B256" s="244" t="n"/>
      <c r="C256" s="243" t="n"/>
      <c r="D256" s="244" t="n"/>
      <c r="E256" s="245" t="n"/>
      <c r="F256" s="246" t="n"/>
      <c r="G256" s="183" t="n"/>
      <c r="H256" s="247" t="n"/>
      <c r="I256" s="246" t="n"/>
      <c r="J256" s="183" t="n"/>
      <c r="K256" s="247" t="n"/>
      <c r="L256" s="246" t="str">
        <f>IF(COUNT(F256,I256)=0,"",N(F256)-N(I256))</f>
        <v/>
      </c>
      <c r="M256" s="247" t="str">
        <f>IF(COUNT(H256,K256)=0,"",N(K256)-N(H256))</f>
        <v/>
      </c>
      <c r="N256" s="246" t="str">
        <f>IF(AND(ISNUMBER(F256),ISNUMBER(I256),ISNUMBER(H256),ISNUMBER(K256),F256&gt;0,I256&gt;0,H256&lt;&gt;0),ROUND(MIN(F256,I256)*(K256/I256-H256/F256),8),"")</f>
        <v/>
      </c>
      <c r="O256" s="183" t="str">
        <f>IF(ISNUMBER(N256),ROUND(N256/(MIN(F256,I256)*H256/F256)*100,2),"")</f>
        <v/>
      </c>
    </row>
    <row r="257" ht="22" customHeight="1">
      <c r="B257" s="238" t="n"/>
      <c r="C257" s="237" t="n"/>
      <c r="D257" s="238" t="n"/>
      <c r="E257" s="239" t="n"/>
      <c r="F257" s="240" t="n"/>
      <c r="G257" s="177" t="n"/>
      <c r="H257" s="241" t="n"/>
      <c r="I257" s="240" t="n"/>
      <c r="J257" s="177" t="n"/>
      <c r="K257" s="241" t="n"/>
      <c r="L257" s="240" t="str">
        <f>IF(COUNT(F257,I257)=0,"",N(F257)-N(I257))</f>
        <v/>
      </c>
      <c r="M257" s="241" t="str">
        <f>IF(COUNT(H257,K257)=0,"",N(K257)-N(H257))</f>
        <v/>
      </c>
      <c r="N257" s="240" t="str">
        <f>IF(AND(ISNUMBER(F257),ISNUMBER(I257),ISNUMBER(H257),ISNUMBER(K257),F257&gt;0,I257&gt;0,H257&lt;&gt;0),ROUND(MIN(F257,I257)*(K257/I257-H257/F257),8),"")</f>
        <v/>
      </c>
      <c r="O257" s="177" t="str">
        <f>IF(ISNUMBER(N257),ROUND(N257/(MIN(F257,I257)*H257/F257)*100,2),"")</f>
        <v/>
      </c>
    </row>
    <row r="258" ht="22" customHeight="1">
      <c r="B258" s="244" t="n"/>
      <c r="C258" s="243" t="n"/>
      <c r="D258" s="244" t="n"/>
      <c r="E258" s="245" t="n"/>
      <c r="F258" s="246" t="n"/>
      <c r="G258" s="183" t="n"/>
      <c r="H258" s="247" t="n"/>
      <c r="I258" s="246" t="n"/>
      <c r="J258" s="183" t="n"/>
      <c r="K258" s="247" t="n"/>
      <c r="L258" s="246" t="str">
        <f>IF(COUNT(F258,I258)=0,"",N(F258)-N(I258))</f>
        <v/>
      </c>
      <c r="M258" s="247" t="str">
        <f>IF(COUNT(H258,K258)=0,"",N(K258)-N(H258))</f>
        <v/>
      </c>
      <c r="N258" s="246" t="str">
        <f>IF(AND(ISNUMBER(F258),ISNUMBER(I258),ISNUMBER(H258),ISNUMBER(K258),F258&gt;0,I258&gt;0,H258&lt;&gt;0),ROUND(MIN(F258,I258)*(K258/I258-H258/F258),8),"")</f>
        <v/>
      </c>
      <c r="O258" s="183" t="str">
        <f>IF(ISNUMBER(N258),ROUND(N258/(MIN(F258,I258)*H258/F258)*100,2),"")</f>
        <v/>
      </c>
    </row>
    <row r="259" ht="22" customHeight="1">
      <c r="B259" s="238" t="n"/>
      <c r="C259" s="237" t="n"/>
      <c r="D259" s="238" t="n"/>
      <c r="E259" s="239" t="n"/>
      <c r="F259" s="240" t="n"/>
      <c r="G259" s="177" t="n"/>
      <c r="H259" s="241" t="n"/>
      <c r="I259" s="240" t="n"/>
      <c r="J259" s="177" t="n"/>
      <c r="K259" s="241" t="n"/>
      <c r="L259" s="240" t="str">
        <f>IF(COUNT(F259,I259)=0,"",N(F259)-N(I259))</f>
        <v/>
      </c>
      <c r="M259" s="241" t="str">
        <f>IF(COUNT(H259,K259)=0,"",N(K259)-N(H259))</f>
        <v/>
      </c>
      <c r="N259" s="240" t="str">
        <f>IF(AND(ISNUMBER(F259),ISNUMBER(I259),ISNUMBER(H259),ISNUMBER(K259),F259&gt;0,I259&gt;0,H259&lt;&gt;0),ROUND(MIN(F259,I259)*(K259/I259-H259/F259),8),"")</f>
        <v/>
      </c>
      <c r="O259" s="177" t="str">
        <f>IF(ISNUMBER(N259),ROUND(N259/(MIN(F259,I259)*H259/F259)*100,2),"")</f>
        <v/>
      </c>
    </row>
    <row r="260" ht="22" customHeight="1">
      <c r="B260" s="244" t="n"/>
      <c r="C260" s="243" t="n"/>
      <c r="D260" s="244" t="n"/>
      <c r="E260" s="245" t="n"/>
      <c r="F260" s="246" t="n"/>
      <c r="G260" s="183" t="n"/>
      <c r="H260" s="247" t="n"/>
      <c r="I260" s="246" t="n"/>
      <c r="J260" s="183" t="n"/>
      <c r="K260" s="247" t="n"/>
      <c r="L260" s="246" t="str">
        <f>IF(COUNT(F260,I260)=0,"",N(F260)-N(I260))</f>
        <v/>
      </c>
      <c r="M260" s="247" t="str">
        <f>IF(COUNT(H260,K260)=0,"",N(K260)-N(H260))</f>
        <v/>
      </c>
      <c r="N260" s="246" t="str">
        <f>IF(AND(ISNUMBER(F260),ISNUMBER(I260),ISNUMBER(H260),ISNUMBER(K260),F260&gt;0,I260&gt;0,H260&lt;&gt;0),ROUND(MIN(F260,I260)*(K260/I260-H260/F260),8),"")</f>
        <v/>
      </c>
      <c r="O260" s="183" t="str">
        <f>IF(ISNUMBER(N260),ROUND(N260/(MIN(F260,I260)*H260/F260)*100,2),"")</f>
        <v/>
      </c>
    </row>
    <row r="261" ht="22" customHeight="1">
      <c r="B261" s="238" t="n"/>
      <c r="C261" s="237" t="n"/>
      <c r="D261" s="238" t="n"/>
      <c r="E261" s="239" t="n"/>
      <c r="F261" s="240" t="n"/>
      <c r="G261" s="177" t="n"/>
      <c r="H261" s="241" t="n"/>
      <c r="I261" s="240" t="n"/>
      <c r="J261" s="177" t="n"/>
      <c r="K261" s="241" t="n"/>
      <c r="L261" s="240" t="str">
        <f>IF(COUNT(F261,I261)=0,"",N(F261)-N(I261))</f>
        <v/>
      </c>
      <c r="M261" s="241" t="str">
        <f>IF(COUNT(H261,K261)=0,"",N(K261)-N(H261))</f>
        <v/>
      </c>
      <c r="N261" s="240" t="str">
        <f>IF(AND(ISNUMBER(F261),ISNUMBER(I261),ISNUMBER(H261),ISNUMBER(K261),F261&gt;0,I261&gt;0,H261&lt;&gt;0),ROUND(MIN(F261,I261)*(K261/I261-H261/F261),8),"")</f>
        <v/>
      </c>
      <c r="O261" s="177" t="str">
        <f>IF(ISNUMBER(N261),ROUND(N261/(MIN(F261,I261)*H261/F261)*100,2),"")</f>
        <v/>
      </c>
    </row>
    <row r="262" ht="22" customHeight="1">
      <c r="B262" s="244" t="n"/>
      <c r="C262" s="243" t="n"/>
      <c r="D262" s="244" t="n"/>
      <c r="E262" s="245" t="n"/>
      <c r="F262" s="246" t="n"/>
      <c r="G262" s="183" t="n"/>
      <c r="H262" s="247" t="n"/>
      <c r="I262" s="246" t="n"/>
      <c r="J262" s="183" t="n"/>
      <c r="K262" s="247" t="n"/>
      <c r="L262" s="246" t="str">
        <f>IF(COUNT(F262,I262)=0,"",N(F262)-N(I262))</f>
        <v/>
      </c>
      <c r="M262" s="247" t="str">
        <f>IF(COUNT(H262,K262)=0,"",N(K262)-N(H262))</f>
        <v/>
      </c>
      <c r="N262" s="246" t="str">
        <f>IF(AND(ISNUMBER(F262),ISNUMBER(I262),ISNUMBER(H262),ISNUMBER(K262),F262&gt;0,I262&gt;0,H262&lt;&gt;0),ROUND(MIN(F262,I262)*(K262/I262-H262/F262),8),"")</f>
        <v/>
      </c>
      <c r="O262" s="183" t="str">
        <f>IF(ISNUMBER(N262),ROUND(N262/(MIN(F262,I262)*H262/F262)*100,2),"")</f>
        <v/>
      </c>
    </row>
    <row r="263" ht="22" customHeight="1">
      <c r="B263" s="238" t="n"/>
      <c r="C263" s="237" t="n"/>
      <c r="D263" s="238" t="n"/>
      <c r="E263" s="239" t="n"/>
      <c r="F263" s="240" t="n"/>
      <c r="G263" s="177" t="n"/>
      <c r="H263" s="241" t="n"/>
      <c r="I263" s="240" t="n"/>
      <c r="J263" s="177" t="n"/>
      <c r="K263" s="241" t="n"/>
      <c r="L263" s="240" t="str">
        <f>IF(COUNT(F263,I263)=0,"",N(F263)-N(I263))</f>
        <v/>
      </c>
      <c r="M263" s="241" t="str">
        <f>IF(COUNT(H263,K263)=0,"",N(K263)-N(H263))</f>
        <v/>
      </c>
      <c r="N263" s="240" t="str">
        <f>IF(AND(ISNUMBER(F263),ISNUMBER(I263),ISNUMBER(H263),ISNUMBER(K263),F263&gt;0,I263&gt;0,H263&lt;&gt;0),ROUND(MIN(F263,I263)*(K263/I263-H263/F263),8),"")</f>
        <v/>
      </c>
      <c r="O263" s="177" t="str">
        <f>IF(ISNUMBER(N263),ROUND(N263/(MIN(F263,I263)*H263/F263)*100,2),"")</f>
        <v/>
      </c>
    </row>
    <row r="264" ht="22" customHeight="1">
      <c r="B264" s="244" t="n"/>
      <c r="C264" s="243" t="n"/>
      <c r="D264" s="244" t="n"/>
      <c r="E264" s="245" t="n"/>
      <c r="F264" s="246" t="n"/>
      <c r="G264" s="183" t="n"/>
      <c r="H264" s="247" t="n"/>
      <c r="I264" s="246" t="n"/>
      <c r="J264" s="183" t="n"/>
      <c r="K264" s="247" t="n"/>
      <c r="L264" s="246" t="str">
        <f>IF(COUNT(F264,I264)=0,"",N(F264)-N(I264))</f>
        <v/>
      </c>
      <c r="M264" s="247" t="str">
        <f>IF(COUNT(H264,K264)=0,"",N(K264)-N(H264))</f>
        <v/>
      </c>
      <c r="N264" s="246" t="str">
        <f>IF(AND(ISNUMBER(F264),ISNUMBER(I264),ISNUMBER(H264),ISNUMBER(K264),F264&gt;0,I264&gt;0,H264&lt;&gt;0),ROUND(MIN(F264,I264)*(K264/I264-H264/F264),8),"")</f>
        <v/>
      </c>
      <c r="O264" s="183" t="str">
        <f>IF(ISNUMBER(N264),ROUND(N264/(MIN(F264,I264)*H264/F264)*100,2),"")</f>
        <v/>
      </c>
    </row>
    <row r="265" ht="22" customHeight="1">
      <c r="B265" s="238" t="n"/>
      <c r="C265" s="237" t="n"/>
      <c r="D265" s="238" t="n"/>
      <c r="E265" s="239" t="n"/>
      <c r="F265" s="240" t="n"/>
      <c r="G265" s="177" t="n"/>
      <c r="H265" s="241" t="n"/>
      <c r="I265" s="240" t="n"/>
      <c r="J265" s="177" t="n"/>
      <c r="K265" s="241" t="n"/>
      <c r="L265" s="240" t="str">
        <f>IF(COUNT(F265,I265)=0,"",N(F265)-N(I265))</f>
        <v/>
      </c>
      <c r="M265" s="241" t="str">
        <f>IF(COUNT(H265,K265)=0,"",N(K265)-N(H265))</f>
        <v/>
      </c>
      <c r="N265" s="240" t="str">
        <f>IF(AND(ISNUMBER(F265),ISNUMBER(I265),ISNUMBER(H265),ISNUMBER(K265),F265&gt;0,I265&gt;0,H265&lt;&gt;0),ROUND(MIN(F265,I265)*(K265/I265-H265/F265),8),"")</f>
        <v/>
      </c>
      <c r="O265" s="177" t="str">
        <f>IF(ISNUMBER(N265),ROUND(N265/(MIN(F265,I265)*H265/F265)*100,2),"")</f>
        <v/>
      </c>
    </row>
    <row r="266" ht="22" customHeight="1">
      <c r="B266" s="244" t="n"/>
      <c r="C266" s="243" t="n"/>
      <c r="D266" s="244" t="n"/>
      <c r="E266" s="245" t="n"/>
      <c r="F266" s="246" t="n"/>
      <c r="G266" s="183" t="n"/>
      <c r="H266" s="247" t="n"/>
      <c r="I266" s="246" t="n"/>
      <c r="J266" s="183" t="n"/>
      <c r="K266" s="247" t="n"/>
      <c r="L266" s="246" t="str">
        <f>IF(COUNT(F266,I266)=0,"",N(F266)-N(I266))</f>
        <v/>
      </c>
      <c r="M266" s="247" t="str">
        <f>IF(COUNT(H266,K266)=0,"",N(K266)-N(H266))</f>
        <v/>
      </c>
      <c r="N266" s="246" t="str">
        <f>IF(AND(ISNUMBER(F266),ISNUMBER(I266),ISNUMBER(H266),ISNUMBER(K266),F266&gt;0,I266&gt;0,H266&lt;&gt;0),ROUND(MIN(F266,I266)*(K266/I266-H266/F266),8),"")</f>
        <v/>
      </c>
      <c r="O266" s="183" t="str">
        <f>IF(ISNUMBER(N266),ROUND(N266/(MIN(F266,I266)*H266/F266)*100,2),"")</f>
        <v/>
      </c>
    </row>
    <row r="267" ht="22" customHeight="1">
      <c r="B267" s="238" t="n"/>
      <c r="C267" s="237" t="n"/>
      <c r="D267" s="238" t="n"/>
      <c r="E267" s="239" t="n"/>
      <c r="F267" s="240" t="n"/>
      <c r="G267" s="177" t="n"/>
      <c r="H267" s="241" t="n"/>
      <c r="I267" s="240" t="n"/>
      <c r="J267" s="177" t="n"/>
      <c r="K267" s="241" t="n"/>
      <c r="L267" s="240" t="str">
        <f>IF(COUNT(F267,I267)=0,"",N(F267)-N(I267))</f>
        <v/>
      </c>
      <c r="M267" s="241" t="str">
        <f>IF(COUNT(H267,K267)=0,"",N(K267)-N(H267))</f>
        <v/>
      </c>
      <c r="N267" s="240" t="str">
        <f>IF(AND(ISNUMBER(F267),ISNUMBER(I267),ISNUMBER(H267),ISNUMBER(K267),F267&gt;0,I267&gt;0,H267&lt;&gt;0),ROUND(MIN(F267,I267)*(K267/I267-H267/F267),8),"")</f>
        <v/>
      </c>
      <c r="O267" s="177" t="str">
        <f>IF(ISNUMBER(N267),ROUND(N267/(MIN(F267,I267)*H267/F267)*100,2),"")</f>
        <v/>
      </c>
    </row>
    <row r="268" ht="22" customHeight="1">
      <c r="B268" s="244" t="n"/>
      <c r="C268" s="243" t="n"/>
      <c r="D268" s="244" t="n"/>
      <c r="E268" s="245" t="n"/>
      <c r="F268" s="246" t="n"/>
      <c r="G268" s="183" t="n"/>
      <c r="H268" s="247" t="n"/>
      <c r="I268" s="246" t="n"/>
      <c r="J268" s="183" t="n"/>
      <c r="K268" s="247" t="n"/>
      <c r="L268" s="246" t="str">
        <f>IF(COUNT(F268,I268)=0,"",N(F268)-N(I268))</f>
        <v/>
      </c>
      <c r="M268" s="247" t="str">
        <f>IF(COUNT(H268,K268)=0,"",N(K268)-N(H268))</f>
        <v/>
      </c>
      <c r="N268" s="246" t="str">
        <f>IF(AND(ISNUMBER(F268),ISNUMBER(I268),ISNUMBER(H268),ISNUMBER(K268),F268&gt;0,I268&gt;0,H268&lt;&gt;0),ROUND(MIN(F268,I268)*(K268/I268-H268/F268),8),"")</f>
        <v/>
      </c>
      <c r="O268" s="183" t="str">
        <f>IF(ISNUMBER(N268),ROUND(N268/(MIN(F268,I268)*H268/F268)*100,2),"")</f>
        <v/>
      </c>
    </row>
    <row r="269" ht="22" customHeight="1">
      <c r="B269" s="238" t="n"/>
      <c r="C269" s="237" t="n"/>
      <c r="D269" s="238" t="n"/>
      <c r="E269" s="239" t="n"/>
      <c r="F269" s="240" t="n"/>
      <c r="G269" s="177" t="n"/>
      <c r="H269" s="241" t="n"/>
      <c r="I269" s="240" t="n"/>
      <c r="J269" s="177" t="n"/>
      <c r="K269" s="241" t="n"/>
      <c r="L269" s="240" t="str">
        <f>IF(COUNT(F269,I269)=0,"",N(F269)-N(I269))</f>
        <v/>
      </c>
      <c r="M269" s="241" t="str">
        <f>IF(COUNT(H269,K269)=0,"",N(K269)-N(H269))</f>
        <v/>
      </c>
      <c r="N269" s="240" t="str">
        <f>IF(AND(ISNUMBER(F269),ISNUMBER(I269),ISNUMBER(H269),ISNUMBER(K269),F269&gt;0,I269&gt;0,H269&lt;&gt;0),ROUND(MIN(F269,I269)*(K269/I269-H269/F269),8),"")</f>
        <v/>
      </c>
      <c r="O269" s="177" t="str">
        <f>IF(ISNUMBER(N269),ROUND(N269/(MIN(F269,I269)*H269/F269)*100,2),"")</f>
        <v/>
      </c>
    </row>
    <row r="270" ht="22" customHeight="1">
      <c r="B270" s="244" t="n"/>
      <c r="C270" s="243" t="n"/>
      <c r="D270" s="244" t="n"/>
      <c r="E270" s="245" t="n"/>
      <c r="F270" s="246" t="n"/>
      <c r="G270" s="183" t="n"/>
      <c r="H270" s="247" t="n"/>
      <c r="I270" s="246" t="n"/>
      <c r="J270" s="183" t="n"/>
      <c r="K270" s="247" t="n"/>
      <c r="L270" s="246" t="str">
        <f>IF(COUNT(F270,I270)=0,"",N(F270)-N(I270))</f>
        <v/>
      </c>
      <c r="M270" s="247" t="str">
        <f>IF(COUNT(H270,K270)=0,"",N(K270)-N(H270))</f>
        <v/>
      </c>
      <c r="N270" s="246" t="str">
        <f>IF(AND(ISNUMBER(F270),ISNUMBER(I270),ISNUMBER(H270),ISNUMBER(K270),F270&gt;0,I270&gt;0,H270&lt;&gt;0),ROUND(MIN(F270,I270)*(K270/I270-H270/F270),8),"")</f>
        <v/>
      </c>
      <c r="O270" s="183" t="str">
        <f>IF(ISNUMBER(N270),ROUND(N270/(MIN(F270,I270)*H270/F270)*100,2),"")</f>
        <v/>
      </c>
    </row>
    <row r="271" ht="22" customHeight="1">
      <c r="B271" s="238" t="n"/>
      <c r="C271" s="237" t="n"/>
      <c r="D271" s="238" t="n"/>
      <c r="E271" s="239" t="n"/>
      <c r="F271" s="240" t="n"/>
      <c r="G271" s="177" t="n"/>
      <c r="H271" s="241" t="n"/>
      <c r="I271" s="240" t="n"/>
      <c r="J271" s="177" t="n"/>
      <c r="K271" s="241" t="n"/>
      <c r="L271" s="240" t="str">
        <f>IF(COUNT(F271,I271)=0,"",N(F271)-N(I271))</f>
        <v/>
      </c>
      <c r="M271" s="241" t="str">
        <f>IF(COUNT(H271,K271)=0,"",N(K271)-N(H271))</f>
        <v/>
      </c>
      <c r="N271" s="240" t="str">
        <f>IF(AND(ISNUMBER(F271),ISNUMBER(I271),ISNUMBER(H271),ISNUMBER(K271),F271&gt;0,I271&gt;0,H271&lt;&gt;0),ROUND(MIN(F271,I271)*(K271/I271-H271/F271),8),"")</f>
        <v/>
      </c>
      <c r="O271" s="177" t="str">
        <f>IF(ISNUMBER(N271),ROUND(N271/(MIN(F271,I271)*H271/F271)*100,2),"")</f>
        <v/>
      </c>
    </row>
    <row r="272" ht="22" customHeight="1">
      <c r="B272" s="244" t="n"/>
      <c r="C272" s="243" t="n"/>
      <c r="D272" s="244" t="n"/>
      <c r="E272" s="245" t="n"/>
      <c r="F272" s="246" t="n"/>
      <c r="G272" s="183" t="n"/>
      <c r="H272" s="247" t="n"/>
      <c r="I272" s="246" t="n"/>
      <c r="J272" s="183" t="n"/>
      <c r="K272" s="247" t="n"/>
      <c r="L272" s="246" t="str">
        <f>IF(COUNT(F272,I272)=0,"",N(F272)-N(I272))</f>
        <v/>
      </c>
      <c r="M272" s="247" t="str">
        <f>IF(COUNT(H272,K272)=0,"",N(K272)-N(H272))</f>
        <v/>
      </c>
      <c r="N272" s="246" t="str">
        <f>IF(AND(ISNUMBER(F272),ISNUMBER(I272),ISNUMBER(H272),ISNUMBER(K272),F272&gt;0,I272&gt;0,H272&lt;&gt;0),ROUND(MIN(F272,I272)*(K272/I272-H272/F272),8),"")</f>
        <v/>
      </c>
      <c r="O272" s="183" t="str">
        <f>IF(ISNUMBER(N272),ROUND(N272/(MIN(F272,I272)*H272/F272)*100,2),"")</f>
        <v/>
      </c>
    </row>
    <row r="273" ht="22" customHeight="1">
      <c r="B273" s="238" t="n"/>
      <c r="C273" s="237" t="n"/>
      <c r="D273" s="238" t="n"/>
      <c r="E273" s="239" t="n"/>
      <c r="F273" s="240" t="n"/>
      <c r="G273" s="177" t="n"/>
      <c r="H273" s="241" t="n"/>
      <c r="I273" s="240" t="n"/>
      <c r="J273" s="177" t="n"/>
      <c r="K273" s="241" t="n"/>
      <c r="L273" s="240" t="str">
        <f>IF(COUNT(F273,I273)=0,"",N(F273)-N(I273))</f>
        <v/>
      </c>
      <c r="M273" s="241" t="str">
        <f>IF(COUNT(H273,K273)=0,"",N(K273)-N(H273))</f>
        <v/>
      </c>
      <c r="N273" s="240" t="str">
        <f>IF(AND(ISNUMBER(F273),ISNUMBER(I273),ISNUMBER(H273),ISNUMBER(K273),F273&gt;0,I273&gt;0,H273&lt;&gt;0),ROUND(MIN(F273,I273)*(K273/I273-H273/F273),8),"")</f>
        <v/>
      </c>
      <c r="O273" s="177" t="str">
        <f>IF(ISNUMBER(N273),ROUND(N273/(MIN(F273,I273)*H273/F273)*100,2),"")</f>
        <v/>
      </c>
    </row>
    <row r="274" ht="22" customHeight="1">
      <c r="B274" s="244" t="n"/>
      <c r="C274" s="243" t="n"/>
      <c r="D274" s="244" t="n"/>
      <c r="E274" s="245" t="n"/>
      <c r="F274" s="246" t="n"/>
      <c r="G274" s="183" t="n"/>
      <c r="H274" s="247" t="n"/>
      <c r="I274" s="246" t="n"/>
      <c r="J274" s="183" t="n"/>
      <c r="K274" s="247" t="n"/>
      <c r="L274" s="246" t="str">
        <f>IF(COUNT(F274,I274)=0,"",N(F274)-N(I274))</f>
        <v/>
      </c>
      <c r="M274" s="247" t="str">
        <f>IF(COUNT(H274,K274)=0,"",N(K274)-N(H274))</f>
        <v/>
      </c>
      <c r="N274" s="246" t="str">
        <f>IF(AND(ISNUMBER(F274),ISNUMBER(I274),ISNUMBER(H274),ISNUMBER(K274),F274&gt;0,I274&gt;0,H274&lt;&gt;0),ROUND(MIN(F274,I274)*(K274/I274-H274/F274),8),"")</f>
        <v/>
      </c>
      <c r="O274" s="183" t="str">
        <f>IF(ISNUMBER(N274),ROUND(N274/(MIN(F274,I274)*H274/F274)*100,2),"")</f>
        <v/>
      </c>
    </row>
    <row r="275" ht="22" customHeight="1">
      <c r="B275" s="238" t="n"/>
      <c r="C275" s="237" t="n"/>
      <c r="D275" s="238" t="n"/>
      <c r="E275" s="239" t="n"/>
      <c r="F275" s="240" t="n"/>
      <c r="G275" s="177" t="n"/>
      <c r="H275" s="241" t="n"/>
      <c r="I275" s="240" t="n"/>
      <c r="J275" s="177" t="n"/>
      <c r="K275" s="241" t="n"/>
      <c r="L275" s="240" t="str">
        <f>IF(COUNT(F275,I275)=0,"",N(F275)-N(I275))</f>
        <v/>
      </c>
      <c r="M275" s="241" t="str">
        <f>IF(COUNT(H275,K275)=0,"",N(K275)-N(H275))</f>
        <v/>
      </c>
      <c r="N275" s="240" t="str">
        <f>IF(AND(ISNUMBER(F275),ISNUMBER(I275),ISNUMBER(H275),ISNUMBER(K275),F275&gt;0,I275&gt;0,H275&lt;&gt;0),ROUND(MIN(F275,I275)*(K275/I275-H275/F275),8),"")</f>
        <v/>
      </c>
      <c r="O275" s="177" t="str">
        <f>IF(ISNUMBER(N275),ROUND(N275/(MIN(F275,I275)*H275/F275)*100,2),"")</f>
        <v/>
      </c>
    </row>
    <row r="276" ht="22" customHeight="1">
      <c r="B276" s="244" t="n"/>
      <c r="C276" s="243" t="n"/>
      <c r="D276" s="244" t="n"/>
      <c r="E276" s="245" t="n"/>
      <c r="F276" s="246" t="n"/>
      <c r="G276" s="183" t="n"/>
      <c r="H276" s="247" t="n"/>
      <c r="I276" s="246" t="n"/>
      <c r="J276" s="183" t="n"/>
      <c r="K276" s="247" t="n"/>
      <c r="L276" s="246" t="str">
        <f>IF(COUNT(F276,I276)=0,"",N(F276)-N(I276))</f>
        <v/>
      </c>
      <c r="M276" s="247" t="str">
        <f>IF(COUNT(H276,K276)=0,"",N(K276)-N(H276))</f>
        <v/>
      </c>
      <c r="N276" s="246" t="str">
        <f>IF(AND(ISNUMBER(F276),ISNUMBER(I276),ISNUMBER(H276),ISNUMBER(K276),F276&gt;0,I276&gt;0,H276&lt;&gt;0),ROUND(MIN(F276,I276)*(K276/I276-H276/F276),8),"")</f>
        <v/>
      </c>
      <c r="O276" s="183" t="str">
        <f>IF(ISNUMBER(N276),ROUND(N276/(MIN(F276,I276)*H276/F276)*100,2),"")</f>
        <v/>
      </c>
    </row>
    <row r="277" ht="22" customHeight="1">
      <c r="B277" s="238" t="n"/>
      <c r="C277" s="237" t="n"/>
      <c r="D277" s="238" t="n"/>
      <c r="E277" s="239" t="n"/>
      <c r="F277" s="240" t="n"/>
      <c r="G277" s="177" t="n"/>
      <c r="H277" s="241" t="n"/>
      <c r="I277" s="240" t="n"/>
      <c r="J277" s="177" t="n"/>
      <c r="K277" s="241" t="n"/>
      <c r="L277" s="240" t="str">
        <f>IF(COUNT(F277,I277)=0,"",N(F277)-N(I277))</f>
        <v/>
      </c>
      <c r="M277" s="241" t="str">
        <f>IF(COUNT(H277,K277)=0,"",N(K277)-N(H277))</f>
        <v/>
      </c>
      <c r="N277" s="240" t="str">
        <f>IF(AND(ISNUMBER(F277),ISNUMBER(I277),ISNUMBER(H277),ISNUMBER(K277),F277&gt;0,I277&gt;0,H277&lt;&gt;0),ROUND(MIN(F277,I277)*(K277/I277-H277/F277),8),"")</f>
        <v/>
      </c>
      <c r="O277" s="177" t="str">
        <f>IF(ISNUMBER(N277),ROUND(N277/(MIN(F277,I277)*H277/F277)*100,2),"")</f>
        <v/>
      </c>
    </row>
    <row r="278" ht="22" customHeight="1">
      <c r="B278" s="244" t="n"/>
      <c r="C278" s="243" t="n"/>
      <c r="D278" s="244" t="n"/>
      <c r="E278" s="245" t="n"/>
      <c r="F278" s="246" t="n"/>
      <c r="G278" s="183" t="n"/>
      <c r="H278" s="247" t="n"/>
      <c r="I278" s="246" t="n"/>
      <c r="J278" s="183" t="n"/>
      <c r="K278" s="247" t="n"/>
      <c r="L278" s="246" t="str">
        <f>IF(COUNT(F278,I278)=0,"",N(F278)-N(I278))</f>
        <v/>
      </c>
      <c r="M278" s="247" t="str">
        <f>IF(COUNT(H278,K278)=0,"",N(K278)-N(H278))</f>
        <v/>
      </c>
      <c r="N278" s="246" t="str">
        <f>IF(AND(ISNUMBER(F278),ISNUMBER(I278),ISNUMBER(H278),ISNUMBER(K278),F278&gt;0,I278&gt;0,H278&lt;&gt;0),ROUND(MIN(F278,I278)*(K278/I278-H278/F278),8),"")</f>
        <v/>
      </c>
      <c r="O278" s="183" t="str">
        <f>IF(ISNUMBER(N278),ROUND(N278/(MIN(F278,I278)*H278/F278)*100,2),"")</f>
        <v/>
      </c>
    </row>
    <row r="279" ht="22" customHeight="1">
      <c r="B279" s="238" t="n"/>
      <c r="C279" s="237" t="n"/>
      <c r="D279" s="238" t="n"/>
      <c r="E279" s="239" t="n"/>
      <c r="F279" s="240" t="n"/>
      <c r="G279" s="177" t="n"/>
      <c r="H279" s="241" t="n"/>
      <c r="I279" s="240" t="n"/>
      <c r="J279" s="177" t="n"/>
      <c r="K279" s="241" t="n"/>
      <c r="L279" s="240" t="str">
        <f>IF(COUNT(F279,I279)=0,"",N(F279)-N(I279))</f>
        <v/>
      </c>
      <c r="M279" s="241" t="str">
        <f>IF(COUNT(H279,K279)=0,"",N(K279)-N(H279))</f>
        <v/>
      </c>
      <c r="N279" s="240" t="str">
        <f>IF(AND(ISNUMBER(F279),ISNUMBER(I279),ISNUMBER(H279),ISNUMBER(K279),F279&gt;0,I279&gt;0,H279&lt;&gt;0),ROUND(MIN(F279,I279)*(K279/I279-H279/F279),8),"")</f>
        <v/>
      </c>
      <c r="O279" s="177" t="str">
        <f>IF(ISNUMBER(N279),ROUND(N279/(MIN(F279,I279)*H279/F279)*100,2),"")</f>
        <v/>
      </c>
    </row>
    <row r="280" ht="22" customHeight="1">
      <c r="B280" s="244" t="n"/>
      <c r="C280" s="243" t="n"/>
      <c r="D280" s="244" t="n"/>
      <c r="E280" s="245" t="n"/>
      <c r="F280" s="246" t="n"/>
      <c r="G280" s="183" t="n"/>
      <c r="H280" s="247" t="n"/>
      <c r="I280" s="246" t="n"/>
      <c r="J280" s="183" t="n"/>
      <c r="K280" s="247" t="n"/>
      <c r="L280" s="246" t="str">
        <f>IF(COUNT(F280,I280)=0,"",N(F280)-N(I280))</f>
        <v/>
      </c>
      <c r="M280" s="247" t="str">
        <f>IF(COUNT(H280,K280)=0,"",N(K280)-N(H280))</f>
        <v/>
      </c>
      <c r="N280" s="246" t="str">
        <f>IF(AND(ISNUMBER(F280),ISNUMBER(I280),ISNUMBER(H280),ISNUMBER(K280),F280&gt;0,I280&gt;0,H280&lt;&gt;0),ROUND(MIN(F280,I280)*(K280/I280-H280/F280),8),"")</f>
        <v/>
      </c>
      <c r="O280" s="183" t="str">
        <f>IF(ISNUMBER(N280),ROUND(N280/(MIN(F280,I280)*H280/F280)*100,2),"")</f>
        <v/>
      </c>
    </row>
    <row r="281" ht="22" customHeight="1">
      <c r="B281" s="238" t="n"/>
      <c r="C281" s="237" t="n"/>
      <c r="D281" s="238" t="n"/>
      <c r="E281" s="239" t="n"/>
      <c r="F281" s="240" t="n"/>
      <c r="G281" s="177" t="n"/>
      <c r="H281" s="241" t="n"/>
      <c r="I281" s="240" t="n"/>
      <c r="J281" s="177" t="n"/>
      <c r="K281" s="241" t="n"/>
      <c r="L281" s="240" t="str">
        <f>IF(COUNT(F281,I281)=0,"",N(F281)-N(I281))</f>
        <v/>
      </c>
      <c r="M281" s="241" t="str">
        <f>IF(COUNT(H281,K281)=0,"",N(K281)-N(H281))</f>
        <v/>
      </c>
      <c r="N281" s="240" t="str">
        <f>IF(AND(ISNUMBER(F281),ISNUMBER(I281),ISNUMBER(H281),ISNUMBER(K281),F281&gt;0,I281&gt;0,H281&lt;&gt;0),ROUND(MIN(F281,I281)*(K281/I281-H281/F281),8),"")</f>
        <v/>
      </c>
      <c r="O281" s="177" t="str">
        <f>IF(ISNUMBER(N281),ROUND(N281/(MIN(F281,I281)*H281/F281)*100,2),"")</f>
        <v/>
      </c>
    </row>
    <row r="282" ht="22" customHeight="1">
      <c r="B282" s="244" t="n"/>
      <c r="C282" s="243" t="n"/>
      <c r="D282" s="244" t="n"/>
      <c r="E282" s="245" t="n"/>
      <c r="F282" s="246" t="n"/>
      <c r="G282" s="183" t="n"/>
      <c r="H282" s="247" t="n"/>
      <c r="I282" s="246" t="n"/>
      <c r="J282" s="183" t="n"/>
      <c r="K282" s="247" t="n"/>
      <c r="L282" s="246" t="str">
        <f>IF(COUNT(F282,I282)=0,"",N(F282)-N(I282))</f>
        <v/>
      </c>
      <c r="M282" s="247" t="str">
        <f>IF(COUNT(H282,K282)=0,"",N(K282)-N(H282))</f>
        <v/>
      </c>
      <c r="N282" s="246" t="str">
        <f>IF(AND(ISNUMBER(F282),ISNUMBER(I282),ISNUMBER(H282),ISNUMBER(K282),F282&gt;0,I282&gt;0,H282&lt;&gt;0),ROUND(MIN(F282,I282)*(K282/I282-H282/F282),8),"")</f>
        <v/>
      </c>
      <c r="O282" s="183" t="str">
        <f>IF(ISNUMBER(N282),ROUND(N282/(MIN(F282,I282)*H282/F282)*100,2),"")</f>
        <v/>
      </c>
    </row>
    <row r="283" ht="22" customHeight="1">
      <c r="B283" s="238" t="n"/>
      <c r="C283" s="237" t="n"/>
      <c r="D283" s="238" t="n"/>
      <c r="E283" s="239" t="n"/>
      <c r="F283" s="240" t="n"/>
      <c r="G283" s="177" t="n"/>
      <c r="H283" s="241" t="n"/>
      <c r="I283" s="240" t="n"/>
      <c r="J283" s="177" t="n"/>
      <c r="K283" s="241" t="n"/>
      <c r="L283" s="240" t="str">
        <f>IF(COUNT(F283,I283)=0,"",N(F283)-N(I283))</f>
        <v/>
      </c>
      <c r="M283" s="241" t="str">
        <f>IF(COUNT(H283,K283)=0,"",N(K283)-N(H283))</f>
        <v/>
      </c>
      <c r="N283" s="240" t="str">
        <f>IF(AND(ISNUMBER(F283),ISNUMBER(I283),ISNUMBER(H283),ISNUMBER(K283),F283&gt;0,I283&gt;0,H283&lt;&gt;0),ROUND(MIN(F283,I283)*(K283/I283-H283/F283),8),"")</f>
        <v/>
      </c>
      <c r="O283" s="177" t="str">
        <f>IF(ISNUMBER(N283),ROUND(N283/(MIN(F283,I283)*H283/F283)*100,2),"")</f>
        <v/>
      </c>
    </row>
    <row r="284" ht="22" customHeight="1">
      <c r="B284" s="244" t="n"/>
      <c r="C284" s="243" t="n"/>
      <c r="D284" s="244" t="n"/>
      <c r="E284" s="245" t="n"/>
      <c r="F284" s="246" t="n"/>
      <c r="G284" s="183" t="n"/>
      <c r="H284" s="247" t="n"/>
      <c r="I284" s="246" t="n"/>
      <c r="J284" s="183" t="n"/>
      <c r="K284" s="247" t="n"/>
      <c r="L284" s="246" t="str">
        <f>IF(COUNT(F284,I284)=0,"",N(F284)-N(I284))</f>
        <v/>
      </c>
      <c r="M284" s="247" t="str">
        <f>IF(COUNT(H284,K284)=0,"",N(K284)-N(H284))</f>
        <v/>
      </c>
      <c r="N284" s="246" t="str">
        <f>IF(AND(ISNUMBER(F284),ISNUMBER(I284),ISNUMBER(H284),ISNUMBER(K284),F284&gt;0,I284&gt;0,H284&lt;&gt;0),ROUND(MIN(F284,I284)*(K284/I284-H284/F284),8),"")</f>
        <v/>
      </c>
      <c r="O284" s="183" t="str">
        <f>IF(ISNUMBER(N284),ROUND(N284/(MIN(F284,I284)*H284/F284)*100,2),"")</f>
        <v/>
      </c>
    </row>
    <row r="285" ht="22" customHeight="1">
      <c r="B285" s="238" t="n"/>
      <c r="C285" s="237" t="n"/>
      <c r="D285" s="238" t="n"/>
      <c r="E285" s="239" t="n"/>
      <c r="F285" s="240" t="n"/>
      <c r="G285" s="177" t="n"/>
      <c r="H285" s="241" t="n"/>
      <c r="I285" s="240" t="n"/>
      <c r="J285" s="177" t="n"/>
      <c r="K285" s="241" t="n"/>
      <c r="L285" s="240" t="str">
        <f>IF(COUNT(F285,I285)=0,"",N(F285)-N(I285))</f>
        <v/>
      </c>
      <c r="M285" s="241" t="str">
        <f>IF(COUNT(H285,K285)=0,"",N(K285)-N(H285))</f>
        <v/>
      </c>
      <c r="N285" s="240" t="str">
        <f>IF(AND(ISNUMBER(F285),ISNUMBER(I285),ISNUMBER(H285),ISNUMBER(K285),F285&gt;0,I285&gt;0,H285&lt;&gt;0),ROUND(MIN(F285,I285)*(K285/I285-H285/F285),8),"")</f>
        <v/>
      </c>
      <c r="O285" s="177" t="str">
        <f>IF(ISNUMBER(N285),ROUND(N285/(MIN(F285,I285)*H285/F285)*100,2),"")</f>
        <v/>
      </c>
    </row>
    <row r="286" ht="22" customHeight="1">
      <c r="B286" s="244" t="n"/>
      <c r="C286" s="243" t="n"/>
      <c r="D286" s="244" t="n"/>
      <c r="E286" s="245" t="n"/>
      <c r="F286" s="246" t="n"/>
      <c r="G286" s="183" t="n"/>
      <c r="H286" s="247" t="n"/>
      <c r="I286" s="246" t="n"/>
      <c r="J286" s="183" t="n"/>
      <c r="K286" s="247" t="n"/>
      <c r="L286" s="246" t="str">
        <f>IF(COUNT(F286,I286)=0,"",N(F286)-N(I286))</f>
        <v/>
      </c>
      <c r="M286" s="247" t="str">
        <f>IF(COUNT(H286,K286)=0,"",N(K286)-N(H286))</f>
        <v/>
      </c>
      <c r="N286" s="246" t="str">
        <f>IF(AND(ISNUMBER(F286),ISNUMBER(I286),ISNUMBER(H286),ISNUMBER(K286),F286&gt;0,I286&gt;0,H286&lt;&gt;0),ROUND(MIN(F286,I286)*(K286/I286-H286/F286),8),"")</f>
        <v/>
      </c>
      <c r="O286" s="183" t="str">
        <f>IF(ISNUMBER(N286),ROUND(N286/(MIN(F286,I286)*H286/F286)*100,2),"")</f>
        <v/>
      </c>
    </row>
    <row r="287" ht="22" customHeight="1">
      <c r="B287" s="238" t="n"/>
      <c r="C287" s="237" t="n"/>
      <c r="D287" s="238" t="n"/>
      <c r="E287" s="239" t="n"/>
      <c r="F287" s="240" t="n"/>
      <c r="G287" s="177" t="n"/>
      <c r="H287" s="241" t="n"/>
      <c r="I287" s="240" t="n"/>
      <c r="J287" s="177" t="n"/>
      <c r="K287" s="241" t="n"/>
      <c r="L287" s="240" t="str">
        <f>IF(COUNT(F287,I287)=0,"",N(F287)-N(I287))</f>
        <v/>
      </c>
      <c r="M287" s="241" t="str">
        <f>IF(COUNT(H287,K287)=0,"",N(K287)-N(H287))</f>
        <v/>
      </c>
      <c r="N287" s="240" t="str">
        <f>IF(AND(ISNUMBER(F287),ISNUMBER(I287),ISNUMBER(H287),ISNUMBER(K287),F287&gt;0,I287&gt;0,H287&lt;&gt;0),ROUND(MIN(F287,I287)*(K287/I287-H287/F287),8),"")</f>
        <v/>
      </c>
      <c r="O287" s="177" t="str">
        <f>IF(ISNUMBER(N287),ROUND(N287/(MIN(F287,I287)*H287/F287)*100,2),"")</f>
        <v/>
      </c>
    </row>
    <row r="288" ht="22" customHeight="1">
      <c r="B288" s="244" t="n"/>
      <c r="C288" s="243" t="n"/>
      <c r="D288" s="244" t="n"/>
      <c r="E288" s="245" t="n"/>
      <c r="F288" s="246" t="n"/>
      <c r="G288" s="183" t="n"/>
      <c r="H288" s="247" t="n"/>
      <c r="I288" s="246" t="n"/>
      <c r="J288" s="183" t="n"/>
      <c r="K288" s="247" t="n"/>
      <c r="L288" s="246" t="str">
        <f>IF(COUNT(F288,I288)=0,"",N(F288)-N(I288))</f>
        <v/>
      </c>
      <c r="M288" s="247" t="str">
        <f>IF(COUNT(H288,K288)=0,"",N(K288)-N(H288))</f>
        <v/>
      </c>
      <c r="N288" s="246" t="str">
        <f>IF(AND(ISNUMBER(F288),ISNUMBER(I288),ISNUMBER(H288),ISNUMBER(K288),F288&gt;0,I288&gt;0,H288&lt;&gt;0),ROUND(MIN(F288,I288)*(K288/I288-H288/F288),8),"")</f>
        <v/>
      </c>
      <c r="O288" s="183" t="str">
        <f>IF(ISNUMBER(N288),ROUND(N288/(MIN(F288,I288)*H288/F288)*100,2),"")</f>
        <v/>
      </c>
    </row>
    <row r="289" ht="22" customHeight="1">
      <c r="B289" s="238" t="n"/>
      <c r="C289" s="237" t="n"/>
      <c r="D289" s="238" t="n"/>
      <c r="E289" s="239" t="n"/>
      <c r="F289" s="240" t="n"/>
      <c r="G289" s="177" t="n"/>
      <c r="H289" s="241" t="n"/>
      <c r="I289" s="240" t="n"/>
      <c r="J289" s="177" t="n"/>
      <c r="K289" s="241" t="n"/>
      <c r="L289" s="240" t="str">
        <f>IF(COUNT(F289,I289)=0,"",N(F289)-N(I289))</f>
        <v/>
      </c>
      <c r="M289" s="241" t="str">
        <f>IF(COUNT(H289,K289)=0,"",N(K289)-N(H289))</f>
        <v/>
      </c>
      <c r="N289" s="240" t="str">
        <f>IF(AND(ISNUMBER(F289),ISNUMBER(I289),ISNUMBER(H289),ISNUMBER(K289),F289&gt;0,I289&gt;0,H289&lt;&gt;0),ROUND(MIN(F289,I289)*(K289/I289-H289/F289),8),"")</f>
        <v/>
      </c>
      <c r="O289" s="177" t="str">
        <f>IF(ISNUMBER(N289),ROUND(N289/(MIN(F289,I289)*H289/F289)*100,2),"")</f>
        <v/>
      </c>
    </row>
    <row r="290" ht="22" customHeight="1">
      <c r="B290" s="244" t="n"/>
      <c r="C290" s="243" t="n"/>
      <c r="D290" s="244" t="n"/>
      <c r="E290" s="245" t="n"/>
      <c r="F290" s="246" t="n"/>
      <c r="G290" s="183" t="n"/>
      <c r="H290" s="247" t="n"/>
      <c r="I290" s="246" t="n"/>
      <c r="J290" s="183" t="n"/>
      <c r="K290" s="247" t="n"/>
      <c r="L290" s="246" t="str">
        <f>IF(COUNT(F290,I290)=0,"",N(F290)-N(I290))</f>
        <v/>
      </c>
      <c r="M290" s="247" t="str">
        <f>IF(COUNT(H290,K290)=0,"",N(K290)-N(H290))</f>
        <v/>
      </c>
      <c r="N290" s="246" t="str">
        <f>IF(AND(ISNUMBER(F290),ISNUMBER(I290),ISNUMBER(H290),ISNUMBER(K290),F290&gt;0,I290&gt;0,H290&lt;&gt;0),ROUND(MIN(F290,I290)*(K290/I290-H290/F290),8),"")</f>
        <v/>
      </c>
      <c r="O290" s="183" t="str">
        <f>IF(ISNUMBER(N290),ROUND(N290/(MIN(F290,I290)*H290/F290)*100,2),"")</f>
        <v/>
      </c>
    </row>
    <row r="291" ht="22" customHeight="1">
      <c r="B291" s="238" t="n"/>
      <c r="C291" s="237" t="n"/>
      <c r="D291" s="238" t="n"/>
      <c r="E291" s="239" t="n"/>
      <c r="F291" s="240" t="n"/>
      <c r="G291" s="177" t="n"/>
      <c r="H291" s="241" t="n"/>
      <c r="I291" s="240" t="n"/>
      <c r="J291" s="177" t="n"/>
      <c r="K291" s="241" t="n"/>
      <c r="L291" s="240" t="str">
        <f>IF(COUNT(F291,I291)=0,"",N(F291)-N(I291))</f>
        <v/>
      </c>
      <c r="M291" s="241" t="str">
        <f>IF(COUNT(H291,K291)=0,"",N(K291)-N(H291))</f>
        <v/>
      </c>
      <c r="N291" s="240" t="str">
        <f>IF(AND(ISNUMBER(F291),ISNUMBER(I291),ISNUMBER(H291),ISNUMBER(K291),F291&gt;0,I291&gt;0,H291&lt;&gt;0),ROUND(MIN(F291,I291)*(K291/I291-H291/F291),8),"")</f>
        <v/>
      </c>
      <c r="O291" s="177" t="str">
        <f>IF(ISNUMBER(N291),ROUND(N291/(MIN(F291,I291)*H291/F291)*100,2),"")</f>
        <v/>
      </c>
    </row>
    <row r="292" ht="22" customHeight="1">
      <c r="B292" s="244" t="n"/>
      <c r="C292" s="243" t="n"/>
      <c r="D292" s="244" t="n"/>
      <c r="E292" s="245" t="n"/>
      <c r="F292" s="246" t="n"/>
      <c r="G292" s="183" t="n"/>
      <c r="H292" s="247" t="n"/>
      <c r="I292" s="246" t="n"/>
      <c r="J292" s="183" t="n"/>
      <c r="K292" s="247" t="n"/>
      <c r="L292" s="246" t="str">
        <f>IF(COUNT(F292,I292)=0,"",N(F292)-N(I292))</f>
        <v/>
      </c>
      <c r="M292" s="247" t="str">
        <f>IF(COUNT(H292,K292)=0,"",N(K292)-N(H292))</f>
        <v/>
      </c>
      <c r="N292" s="246" t="str">
        <f>IF(AND(ISNUMBER(F292),ISNUMBER(I292),ISNUMBER(H292),ISNUMBER(K292),F292&gt;0,I292&gt;0,H292&lt;&gt;0),ROUND(MIN(F292,I292)*(K292/I292-H292/F292),8),"")</f>
        <v/>
      </c>
      <c r="O292" s="183" t="str">
        <f>IF(ISNUMBER(N292),ROUND(N292/(MIN(F292,I292)*H292/F292)*100,2),"")</f>
        <v/>
      </c>
    </row>
    <row r="293" ht="22" customHeight="1">
      <c r="B293" s="238" t="n"/>
      <c r="C293" s="237" t="n"/>
      <c r="D293" s="238" t="n"/>
      <c r="E293" s="239" t="n"/>
      <c r="F293" s="240" t="n"/>
      <c r="G293" s="177" t="n"/>
      <c r="H293" s="241" t="n"/>
      <c r="I293" s="240" t="n"/>
      <c r="J293" s="177" t="n"/>
      <c r="K293" s="241" t="n"/>
      <c r="L293" s="240" t="str">
        <f>IF(COUNT(F293,I293)=0,"",N(F293)-N(I293))</f>
        <v/>
      </c>
      <c r="M293" s="241" t="str">
        <f>IF(COUNT(H293,K293)=0,"",N(K293)-N(H293))</f>
        <v/>
      </c>
      <c r="N293" s="240" t="str">
        <f>IF(AND(ISNUMBER(F293),ISNUMBER(I293),ISNUMBER(H293),ISNUMBER(K293),F293&gt;0,I293&gt;0,H293&lt;&gt;0),ROUND(MIN(F293,I293)*(K293/I293-H293/F293),8),"")</f>
        <v/>
      </c>
      <c r="O293" s="177" t="str">
        <f>IF(ISNUMBER(N293),ROUND(N293/(MIN(F293,I293)*H293/F293)*100,2),"")</f>
        <v/>
      </c>
    </row>
    <row r="294" ht="22" customHeight="1">
      <c r="B294" s="244" t="n"/>
      <c r="C294" s="243" t="n"/>
      <c r="D294" s="244" t="n"/>
      <c r="E294" s="245" t="n"/>
      <c r="F294" s="246" t="n"/>
      <c r="G294" s="183" t="n"/>
      <c r="H294" s="247" t="n"/>
      <c r="I294" s="246" t="n"/>
      <c r="J294" s="183" t="n"/>
      <c r="K294" s="247" t="n"/>
      <c r="L294" s="246" t="str">
        <f>IF(COUNT(F294,I294)=0,"",N(F294)-N(I294))</f>
        <v/>
      </c>
      <c r="M294" s="247" t="str">
        <f>IF(COUNT(H294,K294)=0,"",N(K294)-N(H294))</f>
        <v/>
      </c>
      <c r="N294" s="246" t="str">
        <f>IF(AND(ISNUMBER(F294),ISNUMBER(I294),ISNUMBER(H294),ISNUMBER(K294),F294&gt;0,I294&gt;0,H294&lt;&gt;0),ROUND(MIN(F294,I294)*(K294/I294-H294/F294),8),"")</f>
        <v/>
      </c>
      <c r="O294" s="183" t="str">
        <f>IF(ISNUMBER(N294),ROUND(N294/(MIN(F294,I294)*H294/F294)*100,2),"")</f>
        <v/>
      </c>
    </row>
    <row r="295" ht="22" customHeight="1">
      <c r="B295" s="238" t="n"/>
      <c r="C295" s="237" t="n"/>
      <c r="D295" s="238" t="n"/>
      <c r="E295" s="239" t="n"/>
      <c r="F295" s="240" t="n"/>
      <c r="G295" s="177" t="n"/>
      <c r="H295" s="241" t="n"/>
      <c r="I295" s="240" t="n"/>
      <c r="J295" s="177" t="n"/>
      <c r="K295" s="241" t="n"/>
      <c r="L295" s="240" t="str">
        <f>IF(COUNT(F295,I295)=0,"",N(F295)-N(I295))</f>
        <v/>
      </c>
      <c r="M295" s="241" t="str">
        <f>IF(COUNT(H295,K295)=0,"",N(K295)-N(H295))</f>
        <v/>
      </c>
      <c r="N295" s="240" t="str">
        <f>IF(AND(ISNUMBER(F295),ISNUMBER(I295),ISNUMBER(H295),ISNUMBER(K295),F295&gt;0,I295&gt;0,H295&lt;&gt;0),ROUND(MIN(F295,I295)*(K295/I295-H295/F295),8),"")</f>
        <v/>
      </c>
      <c r="O295" s="177" t="str">
        <f>IF(ISNUMBER(N295),ROUND(N295/(MIN(F295,I295)*H295/F295)*100,2),"")</f>
        <v/>
      </c>
    </row>
    <row r="296" ht="22" customHeight="1">
      <c r="B296" s="244" t="n"/>
      <c r="C296" s="243" t="n"/>
      <c r="D296" s="244" t="n"/>
      <c r="E296" s="245" t="n"/>
      <c r="F296" s="246" t="n"/>
      <c r="G296" s="183" t="n"/>
      <c r="H296" s="247" t="n"/>
      <c r="I296" s="246" t="n"/>
      <c r="J296" s="183" t="n"/>
      <c r="K296" s="247" t="n"/>
      <c r="L296" s="246" t="str">
        <f>IF(COUNT(F296,I296)=0,"",N(F296)-N(I296))</f>
        <v/>
      </c>
      <c r="M296" s="247" t="str">
        <f>IF(COUNT(H296,K296)=0,"",N(K296)-N(H296))</f>
        <v/>
      </c>
      <c r="N296" s="246" t="str">
        <f>IF(AND(ISNUMBER(F296),ISNUMBER(I296),ISNUMBER(H296),ISNUMBER(K296),F296&gt;0,I296&gt;0,H296&lt;&gt;0),ROUND(MIN(F296,I296)*(K296/I296-H296/F296),8),"")</f>
        <v/>
      </c>
      <c r="O296" s="183" t="str">
        <f>IF(ISNUMBER(N296),ROUND(N296/(MIN(F296,I296)*H296/F296)*100,2),"")</f>
        <v/>
      </c>
    </row>
    <row r="297" ht="22" customHeight="1">
      <c r="B297" s="238" t="n"/>
      <c r="C297" s="237" t="n"/>
      <c r="D297" s="238" t="n"/>
      <c r="E297" s="239" t="n"/>
      <c r="F297" s="240" t="n"/>
      <c r="G297" s="177" t="n"/>
      <c r="H297" s="241" t="n"/>
      <c r="I297" s="240" t="n"/>
      <c r="J297" s="177" t="n"/>
      <c r="K297" s="241" t="n"/>
      <c r="L297" s="240" t="str">
        <f>IF(COUNT(F297,I297)=0,"",N(F297)-N(I297))</f>
        <v/>
      </c>
      <c r="M297" s="241" t="str">
        <f>IF(COUNT(H297,K297)=0,"",N(K297)-N(H297))</f>
        <v/>
      </c>
      <c r="N297" s="240" t="str">
        <f>IF(AND(ISNUMBER(F297),ISNUMBER(I297),ISNUMBER(H297),ISNUMBER(K297),F297&gt;0,I297&gt;0,H297&lt;&gt;0),ROUND(MIN(F297,I297)*(K297/I297-H297/F297),8),"")</f>
        <v/>
      </c>
      <c r="O297" s="177" t="str">
        <f>IF(ISNUMBER(N297),ROUND(N297/(MIN(F297,I297)*H297/F297)*100,2),"")</f>
        <v/>
      </c>
    </row>
    <row r="298" ht="22" customHeight="1">
      <c r="B298" s="244" t="n"/>
      <c r="C298" s="243" t="n"/>
      <c r="D298" s="244" t="n"/>
      <c r="E298" s="245" t="n"/>
      <c r="F298" s="246" t="n"/>
      <c r="G298" s="183" t="n"/>
      <c r="H298" s="247" t="n"/>
      <c r="I298" s="246" t="n"/>
      <c r="J298" s="183" t="n"/>
      <c r="K298" s="247" t="n"/>
      <c r="L298" s="246" t="str">
        <f>IF(COUNT(F298,I298)=0,"",N(F298)-N(I298))</f>
        <v/>
      </c>
      <c r="M298" s="247" t="str">
        <f>IF(COUNT(H298,K298)=0,"",N(K298)-N(H298))</f>
        <v/>
      </c>
      <c r="N298" s="246" t="str">
        <f>IF(AND(ISNUMBER(F298),ISNUMBER(I298),ISNUMBER(H298),ISNUMBER(K298),F298&gt;0,I298&gt;0,H298&lt;&gt;0),ROUND(MIN(F298,I298)*(K298/I298-H298/F298),8),"")</f>
        <v/>
      </c>
      <c r="O298" s="183" t="str">
        <f>IF(ISNUMBER(N298),ROUND(N298/(MIN(F298,I298)*H298/F298)*100,2),"")</f>
        <v/>
      </c>
    </row>
    <row r="299" ht="22" customHeight="1">
      <c r="B299" s="238" t="n"/>
      <c r="C299" s="237" t="n"/>
      <c r="D299" s="238" t="n"/>
      <c r="E299" s="239" t="n"/>
      <c r="F299" s="240" t="n"/>
      <c r="G299" s="177" t="n"/>
      <c r="H299" s="241" t="n"/>
      <c r="I299" s="240" t="n"/>
      <c r="J299" s="177" t="n"/>
      <c r="K299" s="241" t="n"/>
      <c r="L299" s="240" t="str">
        <f>IF(COUNT(F299,I299)=0,"",N(F299)-N(I299))</f>
        <v/>
      </c>
      <c r="M299" s="241" t="str">
        <f>IF(COUNT(H299,K299)=0,"",N(K299)-N(H299))</f>
        <v/>
      </c>
      <c r="N299" s="240" t="str">
        <f>IF(AND(ISNUMBER(F299),ISNUMBER(I299),ISNUMBER(H299),ISNUMBER(K299),F299&gt;0,I299&gt;0,H299&lt;&gt;0),ROUND(MIN(F299,I299)*(K299/I299-H299/F299),8),"")</f>
        <v/>
      </c>
      <c r="O299" s="177" t="str">
        <f>IF(ISNUMBER(N299),ROUND(N299/(MIN(F299,I299)*H299/F299)*100,2),"")</f>
        <v/>
      </c>
    </row>
    <row r="300" ht="22" customHeight="1">
      <c r="B300" s="244" t="n"/>
      <c r="C300" s="243" t="n"/>
      <c r="D300" s="244" t="n"/>
      <c r="E300" s="245" t="n"/>
      <c r="F300" s="246" t="n"/>
      <c r="G300" s="183" t="n"/>
      <c r="H300" s="247" t="n"/>
      <c r="I300" s="246" t="n"/>
      <c r="J300" s="183" t="n"/>
      <c r="K300" s="247" t="n"/>
      <c r="L300" s="246" t="str">
        <f>IF(COUNT(F300,I300)=0,"",N(F300)-N(I300))</f>
        <v/>
      </c>
      <c r="M300" s="247" t="str">
        <f>IF(COUNT(H300,K300)=0,"",N(K300)-N(H300))</f>
        <v/>
      </c>
      <c r="N300" s="246" t="str">
        <f>IF(AND(ISNUMBER(F300),ISNUMBER(I300),ISNUMBER(H300),ISNUMBER(K300),F300&gt;0,I300&gt;0,H300&lt;&gt;0),ROUND(MIN(F300,I300)*(K300/I300-H300/F300),8),"")</f>
        <v/>
      </c>
      <c r="O300" s="183" t="str">
        <f>IF(ISNUMBER(N300),ROUND(N300/(MIN(F300,I300)*H300/F300)*100,2),"")</f>
        <v/>
      </c>
    </row>
  </sheetData>
  <autoFilter ref="B4:O300"/>
  <mergeCells count="1">
    <mergeCell ref="B1:O2"/>
  </mergeCells>
  <conditionalFormatting sqref="B5:O300">
    <cfRule type="expression" priority="1" dxfId="0">
      <formula>AND($B5&lt;&gt;"",COUNTIF(Торговля!$B$5:$B$300,$B5)+COUNTIF(Лэндинг!$B$5:$B$300,$B5)&gt;0)</formula>
    </cfRule>
  </conditionalFormatting>
  <conditionalFormatting sqref="B5:O300">
    <cfRule type="expression" priority="2" dxfId="2">
      <formula>MOD(ROW(),2)=1</formula>
    </cfRule>
    <cfRule type="expression" priority="3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5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7" customWidth="1" min="13" max="13"/>
  </cols>
  <sheetData>
    <row r="1" ht="21" customHeight="1">
      <c r="B1" s="1" t="inlineStr">
        <is>
          <t>CRYPTO JOURNAL • ИТОГО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Кол-во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Кол-во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239" t="inlineStr">
        <is>
          <t>ETH/BTC</t>
        </is>
      </c>
      <c r="C5" s="240" t="n">
        <v>0.5</v>
      </c>
      <c r="D5" s="177" t="n">
        <v>0.0521</v>
      </c>
      <c r="E5" s="241" t="n">
        <v>0.02605</v>
      </c>
      <c r="F5" s="240" t="n">
        <v>0.5</v>
      </c>
      <c r="G5" s="177" t="n">
        <v>0.0534</v>
      </c>
      <c r="H5" s="241" t="n">
        <v>0.0267</v>
      </c>
      <c r="I5" s="240">
        <f>IF(AND(AND(ISNUMBER(C5),ISNUMBER(F5),ISNUMBER(E5),ISNUMBER(H5)),C5&gt;0,F5&gt;0,E5&lt;&gt;0),ROUND(MIN(C5,F5)*(H5/F5-E5/C5),8),"")</f>
        <v>0.00065</v>
      </c>
      <c r="J5" s="241">
        <f>IF(AND(AND(ISNUMBER(C5),ISNUMBER(F5),ISNUMBER(E5),ISNUMBER(H5)),C5&gt;0,F5&gt;0,E5&lt;&gt;0),ROUND((H5/F5)/(E5/C5)*100-100,2),"")</f>
        <v>2.5</v>
      </c>
      <c r="K5" s="240" t="n">
        <v>0.00063</v>
      </c>
      <c r="L5" s="177" t="n">
        <v>2.42</v>
      </c>
      <c r="M5" s="177" t="n">
        <v>0.0522</v>
      </c>
    </row>
    <row r="6" ht="22" customHeight="1">
      <c r="B6" s="245" t="inlineStr">
        <is>
          <t>BTC/USDT</t>
        </is>
      </c>
      <c r="C6" s="246" t="n">
        <v>0.25</v>
      </c>
      <c r="D6" s="183" t="n">
        <v>62000</v>
      </c>
      <c r="E6" s="247" t="n">
        <v>15500</v>
      </c>
      <c r="F6" s="246" t="n">
        <v>0.25</v>
      </c>
      <c r="G6" s="183" t="n">
        <v>64000</v>
      </c>
      <c r="H6" s="247" t="n">
        <v>16000</v>
      </c>
      <c r="I6" s="246">
        <f>IF(AND(AND(ISNUMBER(C6),ISNUMBER(F6),ISNUMBER(E6),ISNUMBER(H6)),C6&gt;0,F6&gt;0,E6&lt;&gt;0),ROUND(MIN(C6,F6)*(H6/F6-E6/C6),8),"")</f>
        <v>500</v>
      </c>
      <c r="J6" s="247">
        <f>IF(AND(AND(ISNUMBER(C6),ISNUMBER(F6),ISNUMBER(E6),ISNUMBER(H6)),C6&gt;0,F6&gt;0,E6&lt;&gt;0),ROUND((H6/F6)/(E6/C6)*100-100,2),"")</f>
        <v>3.23</v>
      </c>
      <c r="K6" s="246" t="n">
        <v>485</v>
      </c>
      <c r="L6" s="183" t="n">
        <v>3.13</v>
      </c>
      <c r="M6" s="183" t="n">
        <v>62155</v>
      </c>
    </row>
    <row r="7" ht="22" customHeight="1">
      <c r="B7" s="239" t="inlineStr">
        <is>
          <t>SOL/USDT</t>
        </is>
      </c>
      <c r="C7" s="240" t="n">
        <v>20</v>
      </c>
      <c r="D7" s="177" t="n">
        <v>145</v>
      </c>
      <c r="E7" s="241" t="n">
        <v>2900</v>
      </c>
      <c r="F7" s="240" t="n">
        <v>20</v>
      </c>
      <c r="G7" s="177" t="n">
        <v>139</v>
      </c>
      <c r="H7" s="241" t="n">
        <v>2780</v>
      </c>
      <c r="I7" s="240">
        <f>IF(AND(AND(ISNUMBER(C7),ISNUMBER(F7),ISNUMBER(E7),ISNUMBER(H7)),C7&gt;0,F7&gt;0,E7&lt;&gt;0),ROUND(MIN(C7,F7)*(H7/F7-E7/C7),8),"")</f>
        <v>-120</v>
      </c>
      <c r="J7" s="241">
        <f>IF(AND(AND(ISNUMBER(C7),ISNUMBER(F7),ISNUMBER(E7),ISNUMBER(H7)),C7&gt;0,F7&gt;0,E7&lt;&gt;0),ROUND((H7/F7)/(E7/C7)*100-100,2),"")</f>
        <v>-4.14</v>
      </c>
      <c r="K7" s="240" t="n">
        <v>-125</v>
      </c>
      <c r="L7" s="177" t="n">
        <v>-4.31</v>
      </c>
      <c r="M7" s="177" t="n">
        <v>145.3</v>
      </c>
    </row>
    <row r="8" ht="22" customHeight="1">
      <c r="B8" s="245" t="inlineStr">
        <is>
          <t>ETH/USDT</t>
        </is>
      </c>
      <c r="C8" s="246" t="n">
        <v>1.2</v>
      </c>
      <c r="D8" s="183" t="n">
        <v>3200</v>
      </c>
      <c r="E8" s="247" t="n">
        <v>3840</v>
      </c>
      <c r="F8" s="246" t="n">
        <v>1.2</v>
      </c>
      <c r="G8" s="183" t="n">
        <v>3350</v>
      </c>
      <c r="H8" s="247" t="n">
        <v>4020</v>
      </c>
      <c r="I8" s="246">
        <f>IF(AND(AND(ISNUMBER(C8),ISNUMBER(F8),ISNUMBER(E8),ISNUMBER(H8)),C8&gt;0,F8&gt;0,E8&lt;&gt;0),ROUND(MIN(C8,F8)*(H8/F8-E8/C8),8),"")</f>
        <v>180</v>
      </c>
      <c r="J8" s="247">
        <f>IF(AND(AND(ISNUMBER(C8),ISNUMBER(F8),ISNUMBER(E8),ISNUMBER(H8)),C8&gt;0,F8&gt;0,E8&lt;&gt;0),ROUND((H8/F8)/(E8/C8)*100-100,2),"")</f>
        <v>4.69</v>
      </c>
      <c r="K8" s="246" t="n">
        <v>175</v>
      </c>
      <c r="L8" s="183" t="n">
        <v>4.56</v>
      </c>
      <c r="M8" s="183" t="n">
        <v>3203.84</v>
      </c>
    </row>
    <row r="9" ht="22" customHeight="1">
      <c r="B9" s="239" t="inlineStr">
        <is>
          <t>BNB/USDT</t>
        </is>
      </c>
      <c r="C9" s="240" t="n">
        <v>5</v>
      </c>
      <c r="D9" s="177" t="n">
        <v>590</v>
      </c>
      <c r="E9" s="241" t="n">
        <v>2950</v>
      </c>
      <c r="F9" s="240" t="n">
        <v>5</v>
      </c>
      <c r="G9" s="177" t="n">
        <v>575</v>
      </c>
      <c r="H9" s="241" t="n">
        <v>2875</v>
      </c>
      <c r="I9" s="240">
        <f>IF(AND(AND(ISNUMBER(C9),ISNUMBER(F9),ISNUMBER(E9),ISNUMBER(H9)),C9&gt;0,F9&gt;0,E9&lt;&gt;0),ROUND(MIN(C9,F9)*(H9/F9-E9/C9),8),"")</f>
        <v>-75</v>
      </c>
      <c r="J9" s="241">
        <f>IF(AND(AND(ISNUMBER(C9),ISNUMBER(F9),ISNUMBER(E9),ISNUMBER(H9)),C9&gt;0,F9&gt;0,E9&lt;&gt;0),ROUND((H9/F9)/(E9/C9)*100-100,2),"")</f>
        <v>-2.54</v>
      </c>
      <c r="K9" s="240" t="n">
        <v>-80</v>
      </c>
      <c r="L9" s="177" t="n">
        <v>-2.71</v>
      </c>
      <c r="M9" s="177" t="n">
        <v>590.6</v>
      </c>
    </row>
    <row r="10" ht="22" customHeight="1">
      <c r="B10" s="245" t="inlineStr">
        <is>
          <t>BTC/USDT</t>
        </is>
      </c>
      <c r="C10" s="246" t="n">
        <v>0.1</v>
      </c>
      <c r="D10" s="183" t="n">
        <v>62500</v>
      </c>
      <c r="E10" s="247" t="n">
        <v>6250</v>
      </c>
      <c r="F10" s="246" t="n">
        <v>0.1</v>
      </c>
      <c r="G10" s="183" t="n">
        <v>63100</v>
      </c>
      <c r="H10" s="247" t="n">
        <v>6310</v>
      </c>
      <c r="I10" s="246">
        <f>IF(AND(AND(ISNUMBER(C10),ISNUMBER(F10),ISNUMBER(E10),ISNUMBER(H10)),C10&gt;0,F10&gt;0,E10&lt;&gt;0),ROUND(MIN(C10,F10)*(H10/F10-E10/C10),8),"")</f>
        <v>60</v>
      </c>
      <c r="J10" s="247">
        <f>IF(AND(AND(ISNUMBER(C10),ISNUMBER(F10),ISNUMBER(E10),ISNUMBER(H10)),C10&gt;0,F10&gt;0,E10&lt;&gt;0),ROUND((H10/F10)/(E10/C10)*100-100,2),"")</f>
        <v>0.96</v>
      </c>
      <c r="K10" s="246" t="n">
        <v>55</v>
      </c>
      <c r="L10" s="183" t="n">
        <v>0.88</v>
      </c>
      <c r="M10" s="183" t="n">
        <v>62512.5</v>
      </c>
    </row>
    <row r="11" ht="22" customHeight="1">
      <c r="B11" s="239" t="inlineStr">
        <is>
          <t>ETH/BTC</t>
        </is>
      </c>
      <c r="C11" s="240" t="n">
        <v>0.8</v>
      </c>
      <c r="D11" s="177" t="n">
        <v>0.0518</v>
      </c>
      <c r="E11" s="241" t="n">
        <v>0.04144</v>
      </c>
      <c r="F11" s="240" t="n">
        <v>0.8</v>
      </c>
      <c r="G11" s="177" t="n">
        <v>0.053</v>
      </c>
      <c r="H11" s="241" t="n">
        <v>0.0424</v>
      </c>
      <c r="I11" s="240">
        <f>IF(AND(AND(ISNUMBER(C11),ISNUMBER(F11),ISNUMBER(E11),ISNUMBER(H11)),C11&gt;0,F11&gt;0,E11&lt;&gt;0),ROUND(MIN(C11,F11)*(H11/F11-E11/C11),8),"")</f>
        <v>0.00096</v>
      </c>
      <c r="J11" s="241">
        <f>IF(AND(AND(ISNUMBER(C11),ISNUMBER(F11),ISNUMBER(E11),ISNUMBER(H11)),C11&gt;0,F11&gt;0,E11&lt;&gt;0),ROUND((H11/F11)/(E11/C11)*100-100,2),"")</f>
        <v>2.32</v>
      </c>
      <c r="K11" s="240" t="n">
        <v>0.00092</v>
      </c>
      <c r="L11" s="177" t="n">
        <v>2.22</v>
      </c>
      <c r="M11" s="177" t="n">
        <v>0.05185</v>
      </c>
    </row>
    <row r="12" ht="22" customHeight="1">
      <c r="B12" s="245" t="inlineStr">
        <is>
          <t>SOL/USDT</t>
        </is>
      </c>
      <c r="C12" s="246" t="n">
        <v>15</v>
      </c>
      <c r="D12" s="183" t="n">
        <v>142</v>
      </c>
      <c r="E12" s="247" t="n">
        <v>2130</v>
      </c>
      <c r="F12" s="246" t="n">
        <v>15</v>
      </c>
      <c r="G12" s="183" t="n">
        <v>147</v>
      </c>
      <c r="H12" s="247" t="n">
        <v>2205</v>
      </c>
      <c r="I12" s="246">
        <f>IF(AND(AND(ISNUMBER(C12),ISNUMBER(F12),ISNUMBER(E12),ISNUMBER(H12)),C12&gt;0,F12&gt;0,E12&lt;&gt;0),ROUND(MIN(C12,F12)*(H12/F12-E12/C12),8),"")</f>
        <v>75</v>
      </c>
      <c r="J12" s="247">
        <f>IF(AND(AND(ISNUMBER(C12),ISNUMBER(F12),ISNUMBER(E12),ISNUMBER(H12)),C12&gt;0,F12&gt;0,E12&lt;&gt;0),ROUND((H12/F12)/(E12/C12)*100-100,2),"")</f>
        <v>3.52</v>
      </c>
      <c r="K12" s="246" t="n">
        <v>70</v>
      </c>
      <c r="L12" s="183" t="n">
        <v>3.29</v>
      </c>
      <c r="M12" s="183" t="n">
        <v>142.28</v>
      </c>
    </row>
  </sheetData>
  <autoFilter ref="B4:M12"/>
  <mergeCells count="1">
    <mergeCell ref="B1:M2"/>
  </mergeCells>
  <pageMargins left="0.75" right="0.75" top="1" bottom="1" header="0.5" footer="0.5"/>
  <pageSetup orientation="landscape" fitToWidth="1"/>
</worksheet>
</file>

<file path=xl/worksheets/sheet10.xml><?xml version="1.0" encoding="utf-8"?>
<worksheet xmlns="http://schemas.openxmlformats.org/spreadsheetml/2006/main">
  <sheetPr>
    <tabColor rgb="006F9EB3"/>
    <outlinePr summaryBelow="1" summaryRight="1"/>
    <pageSetUpPr fitToPage="1"/>
  </sheetPr>
  <dimension ref="B1:H11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8" customWidth="1" min="2" max="2"/>
    <col width="22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21" customHeight="1">
      <c r="B1" s="1" t="inlineStr">
        <is>
          <t>CRYPTO JOURNAL • СПРАВОЧНИКИ</t>
        </is>
      </c>
    </row>
    <row r="2" ht="21" customHeight="1"/>
    <row r="3" ht="22" customHeight="1">
      <c r="E3" s="205" t="inlineStr">
        <is>
          <t>Счётчики ID</t>
        </is>
      </c>
      <c r="F3" s="205"/>
      <c r="G3" s="205"/>
    </row>
    <row r="4" ht="22" customHeight="1">
      <c r="B4" s="205" t="inlineStr">
        <is>
          <t>Протокол</t>
        </is>
      </c>
      <c r="C4" s="205" t="inlineStr">
        <is>
          <t>Действие (Торговля)</t>
        </is>
      </c>
      <c r="E4" s="205" t="inlineStr">
        <is>
          <t>Раздел</t>
        </is>
      </c>
      <c r="F4" s="205" t="inlineStr">
        <is>
          <t>Буква</t>
        </is>
      </c>
      <c r="G4" s="205" t="inlineStr">
        <is>
          <t>Последний номер</t>
        </is>
      </c>
    </row>
    <row r="5" ht="22" customHeight="1">
      <c r="B5" s="206" t="inlineStr">
        <is>
          <t>Binance</t>
        </is>
      </c>
      <c r="C5" s="206" t="inlineStr">
        <is>
          <t>Buy</t>
        </is>
      </c>
      <c r="E5" s="206" t="inlineStr">
        <is>
          <t>Торговля</t>
        </is>
      </c>
      <c r="F5" s="206" t="inlineStr">
        <is>
          <t>T</t>
        </is>
      </c>
      <c r="G5" s="206">
        <v>12</v>
      </c>
    </row>
    <row r="6" ht="22" customHeight="1">
      <c r="B6" s="206" t="inlineStr">
        <is>
          <t>Bybit</t>
        </is>
      </c>
      <c r="C6" s="206" t="inlineStr">
        <is>
          <t>Sell</t>
        </is>
      </c>
      <c r="E6" s="206" t="inlineStr">
        <is>
          <t>Лэндинг</t>
        </is>
      </c>
      <c r="F6" s="206" t="inlineStr">
        <is>
          <t>L</t>
        </is>
      </c>
      <c r="G6" s="206">
        <v>15</v>
      </c>
    </row>
    <row r="7" ht="22" customHeight="1">
      <c r="B7" s="206" t="inlineStr">
        <is>
          <t>OKX</t>
        </is>
      </c>
      <c r="C7" s="207" t="n"/>
      <c r="E7" s="206" t="inlineStr">
        <is>
          <t>Пулы</t>
        </is>
      </c>
      <c r="F7" s="206" t="inlineStr">
        <is>
          <t>P</t>
        </is>
      </c>
      <c r="G7" s="206">
        <v>8</v>
      </c>
    </row>
    <row r="8" ht="22" customHeight="1">
      <c r="B8" s="206" t="inlineStr">
        <is>
          <t>Uniswap</t>
        </is>
      </c>
      <c r="C8" s="207" t="n"/>
    </row>
    <row r="9" ht="22" customHeight="1">
      <c r="B9" s="206" t="inlineStr">
        <is>
          <t>AAVE</t>
        </is>
      </c>
      <c r="C9" s="207" t="n"/>
    </row>
    <row r="10" ht="22" customHeight="1">
      <c r="B10" s="206" t="inlineStr">
        <is>
          <t>Raydium</t>
        </is>
      </c>
      <c r="C10" s="207" t="n"/>
    </row>
    <row r="11">
      <c r="B11" s="207" t="n"/>
      <c r="C11" s="207" t="n"/>
    </row>
  </sheetData>
  <mergeCells count="2">
    <mergeCell ref="B1:H2"/>
    <mergeCell ref="E3:G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2026-10-04T12:04:20Z</dcterms:created>
  <dcterms:modified xmlns:dcterms="http://purl.org/dc/terms/" xmlns:xsi="http://www.w3.org/2001/XMLSchema-instance" xsi:type="dcterms:W3CDTF">2026-10-07T08:56:46Z</dcterms:modified>
</cp:coreProperties>
</file>