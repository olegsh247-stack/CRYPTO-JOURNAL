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>1.00200400801603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2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41" t="n">
        <v>1172.34</v>
      </c>
      <c r="I5" s="240" t="n">
        <v>2</v>
      </c>
      <c r="J5" s="177" t="n">
        <v>598.8</v>
      </c>
      <c r="K5" s="241" t="n"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47" t="n">
        <v>3116.22</v>
      </c>
      <c r="I6" s="246" t="n">
        <v>0.05</v>
      </c>
      <c r="J6" s="183" t="n">
        <v>62874</v>
      </c>
      <c r="K6" s="247" t="n"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41" t="n">
        <v>3206.4</v>
      </c>
      <c r="I7" s="240" t="n">
        <v>1</v>
      </c>
      <c r="J7" s="177" t="n">
        <v>3343.3</v>
      </c>
      <c r="K7" s="241" t="n"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47" t="n">
        <v>2905.8</v>
      </c>
      <c r="I8" s="246" t="n">
        <v>20</v>
      </c>
      <c r="J8" s="183" t="n">
        <v>151.696</v>
      </c>
      <c r="K8" s="247" t="n"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41" t="n">
        <v>877.5</v>
      </c>
      <c r="I9" s="240" t="n">
        <v>1.5</v>
      </c>
      <c r="J9" s="177" t="n">
        <v>597</v>
      </c>
      <c r="K9" s="241" t="n"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47" t="n">
        <v>1605</v>
      </c>
      <c r="I10" s="246" t="n">
        <v>0.5</v>
      </c>
      <c r="J10" s="183" t="n">
        <v>3340</v>
      </c>
      <c r="K10" s="247" t="n"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41" t="n">
        <v>1450</v>
      </c>
      <c r="I11" s="240" t="n">
        <v>10</v>
      </c>
      <c r="J11" s="177" t="n">
        <v>150.5</v>
      </c>
      <c r="K11" s="241" t="n"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47" t="n"/>
      <c r="I12" s="246" t="n"/>
      <c r="J12" s="183" t="n"/>
      <c r="K12" s="247" t="n"/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41" t="n"/>
      <c r="I13" s="240" t="n"/>
      <c r="J13" s="177" t="n"/>
      <c r="K13" s="241" t="n"/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47" t="n"/>
      <c r="I14" s="246" t="n"/>
      <c r="J14" s="183" t="n"/>
      <c r="K14" s="247" t="n"/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41" t="n"/>
      <c r="I17" s="240" t="n"/>
      <c r="J17" s="177" t="n"/>
      <c r="K17" s="241" t="n"/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47" t="n"/>
      <c r="I18" s="246" t="n"/>
      <c r="J18" s="183" t="n"/>
      <c r="K18" s="247" t="n"/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41" t="n"/>
      <c r="I19" s="240" t="n"/>
      <c r="J19" s="177" t="n"/>
      <c r="K19" s="241" t="n"/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47" t="n"/>
      <c r="I20" s="246" t="n"/>
      <c r="J20" s="183" t="n"/>
      <c r="K20" s="247" t="n"/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41" t="n"/>
      <c r="I21" s="240" t="n"/>
      <c r="J21" s="177" t="n"/>
      <c r="K21" s="241" t="n"/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47" t="n"/>
      <c r="I22" s="246" t="n"/>
      <c r="J22" s="183" t="n"/>
      <c r="K22" s="247" t="n"/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41" t="n"/>
      <c r="I23" s="240" t="n"/>
      <c r="J23" s="177" t="n"/>
      <c r="K23" s="241" t="n"/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47" t="n"/>
      <c r="I24" s="246" t="n"/>
      <c r="J24" s="183" t="n"/>
      <c r="K24" s="247" t="n"/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41" t="n"/>
      <c r="I25" s="240" t="n"/>
      <c r="J25" s="177" t="n"/>
      <c r="K25" s="241" t="n"/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47" t="n"/>
      <c r="I26" s="246" t="n"/>
      <c r="J26" s="183" t="n"/>
      <c r="K26" s="247" t="n"/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41" t="n"/>
      <c r="I27" s="240" t="n"/>
      <c r="J27" s="177" t="n"/>
      <c r="K27" s="241" t="n"/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47" t="n"/>
      <c r="I28" s="246" t="n"/>
      <c r="J28" s="183" t="n"/>
      <c r="K28" s="247" t="n"/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41" t="n"/>
      <c r="I29" s="240" t="n"/>
      <c r="J29" s="177" t="n"/>
      <c r="K29" s="241" t="n"/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47" t="n"/>
      <c r="I30" s="246" t="n"/>
      <c r="J30" s="183" t="n"/>
      <c r="K30" s="247" t="n"/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41" t="n"/>
      <c r="I31" s="240" t="n"/>
      <c r="J31" s="177" t="n"/>
      <c r="K31" s="241" t="n"/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47" t="n"/>
      <c r="I32" s="246" t="n"/>
      <c r="J32" s="183" t="n"/>
      <c r="K32" s="247" t="n"/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41" t="n"/>
      <c r="I33" s="240" t="n"/>
      <c r="J33" s="177" t="n"/>
      <c r="K33" s="241" t="n"/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47" t="n"/>
      <c r="I34" s="246" t="n"/>
      <c r="J34" s="183" t="n"/>
      <c r="K34" s="247" t="n"/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41" t="n"/>
      <c r="I35" s="240" t="n"/>
      <c r="J35" s="177" t="n"/>
      <c r="K35" s="241" t="n"/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47" t="n"/>
      <c r="I36" s="246" t="n"/>
      <c r="J36" s="183" t="n"/>
      <c r="K36" s="247" t="n"/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41" t="n"/>
      <c r="I37" s="240" t="n"/>
      <c r="J37" s="177" t="n"/>
      <c r="K37" s="241" t="n"/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47" t="n"/>
      <c r="I38" s="246" t="n"/>
      <c r="J38" s="183" t="n"/>
      <c r="K38" s="247" t="n"/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41" t="n"/>
      <c r="I39" s="240" t="n"/>
      <c r="J39" s="177" t="n"/>
      <c r="K39" s="241" t="n"/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47" t="n"/>
      <c r="I40" s="246" t="n"/>
      <c r="J40" s="183" t="n"/>
      <c r="K40" s="247" t="n"/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41" t="n"/>
      <c r="I41" s="240" t="n"/>
      <c r="J41" s="177" t="n"/>
      <c r="K41" s="241" t="n"/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47" t="n"/>
      <c r="I42" s="246" t="n"/>
      <c r="J42" s="183" t="n"/>
      <c r="K42" s="247" t="n"/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41" t="n"/>
      <c r="I43" s="240" t="n"/>
      <c r="J43" s="177" t="n"/>
      <c r="K43" s="241" t="n"/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47" t="n"/>
      <c r="I44" s="246" t="n"/>
      <c r="J44" s="183" t="n"/>
      <c r="K44" s="247" t="n"/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41" t="n"/>
      <c r="I45" s="240" t="n"/>
      <c r="J45" s="177" t="n"/>
      <c r="K45" s="241" t="n"/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47" t="n"/>
      <c r="I46" s="246" t="n"/>
      <c r="J46" s="183" t="n"/>
      <c r="K46" s="247" t="n"/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41" t="n"/>
      <c r="I47" s="240" t="n"/>
      <c r="J47" s="177" t="n"/>
      <c r="K47" s="241" t="n"/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47" t="n"/>
      <c r="I48" s="246" t="n"/>
      <c r="J48" s="183" t="n"/>
      <c r="K48" s="247" t="n"/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41" t="n"/>
      <c r="I49" s="240" t="n"/>
      <c r="J49" s="177" t="n"/>
      <c r="K49" s="241" t="n"/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47" t="n"/>
      <c r="I50" s="246" t="n"/>
      <c r="J50" s="183" t="n"/>
      <c r="K50" s="247" t="n"/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41" t="n"/>
      <c r="I51" s="240" t="n"/>
      <c r="J51" s="177" t="n"/>
      <c r="K51" s="241" t="n"/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47" t="n"/>
      <c r="I52" s="246" t="n"/>
      <c r="J52" s="183" t="n"/>
      <c r="K52" s="247" t="n"/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41" t="n"/>
      <c r="I53" s="240" t="n"/>
      <c r="J53" s="177" t="n"/>
      <c r="K53" s="241" t="n"/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47" t="n"/>
      <c r="I54" s="246" t="n"/>
      <c r="J54" s="183" t="n"/>
      <c r="K54" s="247" t="n"/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41" t="n"/>
      <c r="I55" s="240" t="n"/>
      <c r="J55" s="177" t="n"/>
      <c r="K55" s="241" t="n"/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47" t="n"/>
      <c r="I56" s="246" t="n"/>
      <c r="J56" s="183" t="n"/>
      <c r="K56" s="247" t="n"/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41" t="n"/>
      <c r="I57" s="240" t="n"/>
      <c r="J57" s="177" t="n"/>
      <c r="K57" s="241" t="n"/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47" t="n"/>
      <c r="I58" s="246" t="n"/>
      <c r="J58" s="183" t="n"/>
      <c r="K58" s="247" t="n"/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41" t="n"/>
      <c r="I59" s="240" t="n"/>
      <c r="J59" s="177" t="n"/>
      <c r="K59" s="241" t="n"/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47" t="n"/>
      <c r="I60" s="246" t="n"/>
      <c r="J60" s="183" t="n"/>
      <c r="K60" s="247" t="n"/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41" t="n"/>
      <c r="I61" s="240" t="n"/>
      <c r="J61" s="177" t="n"/>
      <c r="K61" s="241" t="n"/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47" t="n"/>
      <c r="I62" s="246" t="n"/>
      <c r="J62" s="183" t="n"/>
      <c r="K62" s="247" t="n"/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41" t="n"/>
      <c r="I63" s="240" t="n"/>
      <c r="J63" s="177" t="n"/>
      <c r="K63" s="241" t="n"/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47" t="n"/>
      <c r="I64" s="246" t="n"/>
      <c r="J64" s="183" t="n"/>
      <c r="K64" s="247" t="n"/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41" t="n"/>
      <c r="I65" s="240" t="n"/>
      <c r="J65" s="177" t="n"/>
      <c r="K65" s="241" t="n"/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47" t="n"/>
      <c r="I66" s="246" t="n"/>
      <c r="J66" s="183" t="n"/>
      <c r="K66" s="247" t="n"/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41" t="n"/>
      <c r="I67" s="240" t="n"/>
      <c r="J67" s="177" t="n"/>
      <c r="K67" s="241" t="n"/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47" t="n"/>
      <c r="I68" s="246" t="n"/>
      <c r="J68" s="183" t="n"/>
      <c r="K68" s="247" t="n"/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41" t="n"/>
      <c r="I69" s="240" t="n"/>
      <c r="J69" s="177" t="n"/>
      <c r="K69" s="241" t="n"/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47" t="n"/>
      <c r="I70" s="246" t="n"/>
      <c r="J70" s="183" t="n"/>
      <c r="K70" s="247" t="n"/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41" t="n"/>
      <c r="I71" s="240" t="n"/>
      <c r="J71" s="177" t="n"/>
      <c r="K71" s="241" t="n"/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47" t="n"/>
      <c r="I72" s="246" t="n"/>
      <c r="J72" s="183" t="n"/>
      <c r="K72" s="247" t="n"/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41" t="n"/>
      <c r="I73" s="240" t="n"/>
      <c r="J73" s="177" t="n"/>
      <c r="K73" s="241" t="n"/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47" t="n"/>
      <c r="I74" s="246" t="n"/>
      <c r="J74" s="183" t="n"/>
      <c r="K74" s="247" t="n"/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41" t="n"/>
      <c r="I75" s="240" t="n"/>
      <c r="J75" s="177" t="n"/>
      <c r="K75" s="241" t="n"/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47" t="n"/>
      <c r="I76" s="246" t="n"/>
      <c r="J76" s="183" t="n"/>
      <c r="K76" s="247" t="n"/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41" t="n"/>
      <c r="I77" s="240" t="n"/>
      <c r="J77" s="177" t="n"/>
      <c r="K77" s="241" t="n"/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47" t="n"/>
      <c r="I78" s="246" t="n"/>
      <c r="J78" s="183" t="n"/>
      <c r="K78" s="247" t="n"/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41" t="n"/>
      <c r="I79" s="240" t="n"/>
      <c r="J79" s="177" t="n"/>
      <c r="K79" s="241" t="n"/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47" t="n"/>
      <c r="I80" s="246" t="n"/>
      <c r="J80" s="183" t="n"/>
      <c r="K80" s="247" t="n"/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41" t="n"/>
      <c r="I81" s="240" t="n"/>
      <c r="J81" s="177" t="n"/>
      <c r="K81" s="241" t="n"/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47" t="n"/>
      <c r="I82" s="246" t="n"/>
      <c r="J82" s="183" t="n"/>
      <c r="K82" s="247" t="n"/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41" t="n"/>
      <c r="I83" s="240" t="n"/>
      <c r="J83" s="177" t="n"/>
      <c r="K83" s="241" t="n"/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47" t="n"/>
      <c r="I84" s="246" t="n"/>
      <c r="J84" s="183" t="n"/>
      <c r="K84" s="247" t="n"/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41" t="n"/>
      <c r="I85" s="240" t="n"/>
      <c r="J85" s="177" t="n"/>
      <c r="K85" s="241" t="n"/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47" t="n"/>
      <c r="I86" s="246" t="n"/>
      <c r="J86" s="183" t="n"/>
      <c r="K86" s="247" t="n"/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41" t="n"/>
      <c r="I87" s="240" t="n"/>
      <c r="J87" s="177" t="n"/>
      <c r="K87" s="241" t="n"/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47" t="n"/>
      <c r="I88" s="246" t="n"/>
      <c r="J88" s="183" t="n"/>
      <c r="K88" s="247" t="n"/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41" t="n"/>
      <c r="I89" s="240" t="n"/>
      <c r="J89" s="177" t="n"/>
      <c r="K89" s="241" t="n"/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47" t="n"/>
      <c r="I90" s="246" t="n"/>
      <c r="J90" s="183" t="n"/>
      <c r="K90" s="247" t="n"/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41" t="n"/>
      <c r="I91" s="240" t="n"/>
      <c r="J91" s="177" t="n"/>
      <c r="K91" s="241" t="n"/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47" t="n"/>
      <c r="I92" s="246" t="n"/>
      <c r="J92" s="183" t="n"/>
      <c r="K92" s="247" t="n"/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41" t="n"/>
      <c r="I93" s="240" t="n"/>
      <c r="J93" s="177" t="n"/>
      <c r="K93" s="241" t="n"/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47" t="n"/>
      <c r="I94" s="246" t="n"/>
      <c r="J94" s="183" t="n"/>
      <c r="K94" s="247" t="n"/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41" t="n"/>
      <c r="I95" s="240" t="n"/>
      <c r="J95" s="177" t="n"/>
      <c r="K95" s="241" t="n"/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47" t="n"/>
      <c r="I96" s="246" t="n"/>
      <c r="J96" s="183" t="n"/>
      <c r="K96" s="247" t="n"/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41" t="n"/>
      <c r="I97" s="240" t="n"/>
      <c r="J97" s="177" t="n"/>
      <c r="K97" s="241" t="n"/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47" t="n"/>
      <c r="I98" s="246" t="n"/>
      <c r="J98" s="183" t="n"/>
      <c r="K98" s="247" t="n"/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41" t="n"/>
      <c r="I99" s="240" t="n"/>
      <c r="J99" s="177" t="n"/>
      <c r="K99" s="241" t="n"/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47" t="n"/>
      <c r="I100" s="246" t="n"/>
      <c r="J100" s="183" t="n"/>
      <c r="K100" s="247" t="n"/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41" t="n"/>
      <c r="I101" s="240" t="n"/>
      <c r="J101" s="177" t="n"/>
      <c r="K101" s="241" t="n"/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47" t="n"/>
      <c r="I102" s="246" t="n"/>
      <c r="J102" s="183" t="n"/>
      <c r="K102" s="247" t="n"/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41" t="n"/>
      <c r="I103" s="240" t="n"/>
      <c r="J103" s="177" t="n"/>
      <c r="K103" s="241" t="n"/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47" t="n"/>
      <c r="I104" s="246" t="n"/>
      <c r="J104" s="183" t="n"/>
      <c r="K104" s="247" t="n"/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41" t="n"/>
      <c r="I105" s="240" t="n"/>
      <c r="J105" s="177" t="n"/>
      <c r="K105" s="241" t="n"/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47" t="n"/>
      <c r="I106" s="246" t="n"/>
      <c r="J106" s="183" t="n"/>
      <c r="K106" s="247" t="n"/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41" t="n"/>
      <c r="I107" s="240" t="n"/>
      <c r="J107" s="177" t="n"/>
      <c r="K107" s="241" t="n"/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47" t="n"/>
      <c r="I108" s="246" t="n"/>
      <c r="J108" s="183" t="n"/>
      <c r="K108" s="247" t="n"/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41" t="n"/>
      <c r="I109" s="240" t="n"/>
      <c r="J109" s="177" t="n"/>
      <c r="K109" s="241" t="n"/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47" t="n"/>
      <c r="I110" s="246" t="n"/>
      <c r="J110" s="183" t="n"/>
      <c r="K110" s="247" t="n"/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41" t="n"/>
      <c r="I111" s="240" t="n"/>
      <c r="J111" s="177" t="n"/>
      <c r="K111" s="241" t="n"/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47" t="n"/>
      <c r="I112" s="246" t="n"/>
      <c r="J112" s="183" t="n"/>
      <c r="K112" s="247" t="n"/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41" t="n"/>
      <c r="I113" s="240" t="n"/>
      <c r="J113" s="177" t="n"/>
      <c r="K113" s="241" t="n"/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47" t="n"/>
      <c r="I114" s="246" t="n"/>
      <c r="J114" s="183" t="n"/>
      <c r="K114" s="247" t="n"/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41" t="n"/>
      <c r="I115" s="240" t="n"/>
      <c r="J115" s="177" t="n"/>
      <c r="K115" s="241" t="n"/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47" t="n"/>
      <c r="I116" s="246" t="n"/>
      <c r="J116" s="183" t="n"/>
      <c r="K116" s="247" t="n"/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41" t="n"/>
      <c r="I117" s="240" t="n"/>
      <c r="J117" s="177" t="n"/>
      <c r="K117" s="241" t="n"/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47" t="n"/>
      <c r="I118" s="246" t="n"/>
      <c r="J118" s="183" t="n"/>
      <c r="K118" s="247" t="n"/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41" t="n"/>
      <c r="I119" s="240" t="n"/>
      <c r="J119" s="177" t="n"/>
      <c r="K119" s="241" t="n"/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47" t="n"/>
      <c r="I120" s="246" t="n"/>
      <c r="J120" s="183" t="n"/>
      <c r="K120" s="247" t="n"/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41" t="n"/>
      <c r="I121" s="240" t="n"/>
      <c r="J121" s="177" t="n"/>
      <c r="K121" s="241" t="n"/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47" t="n"/>
      <c r="I122" s="246" t="n"/>
      <c r="J122" s="183" t="n"/>
      <c r="K122" s="247" t="n"/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41" t="n"/>
      <c r="I123" s="240" t="n"/>
      <c r="J123" s="177" t="n"/>
      <c r="K123" s="241" t="n"/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47" t="n"/>
      <c r="I124" s="246" t="n"/>
      <c r="J124" s="183" t="n"/>
      <c r="K124" s="247" t="n"/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41" t="n"/>
      <c r="I125" s="240" t="n"/>
      <c r="J125" s="177" t="n"/>
      <c r="K125" s="241" t="n"/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47" t="n"/>
      <c r="I126" s="246" t="n"/>
      <c r="J126" s="183" t="n"/>
      <c r="K126" s="247" t="n"/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41" t="n"/>
      <c r="I127" s="240" t="n"/>
      <c r="J127" s="177" t="n"/>
      <c r="K127" s="241" t="n"/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47" t="n"/>
      <c r="I128" s="246" t="n"/>
      <c r="J128" s="183" t="n"/>
      <c r="K128" s="247" t="n"/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41" t="n"/>
      <c r="I129" s="240" t="n"/>
      <c r="J129" s="177" t="n"/>
      <c r="K129" s="241" t="n"/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47" t="n"/>
      <c r="I130" s="246" t="n"/>
      <c r="J130" s="183" t="n"/>
      <c r="K130" s="247" t="n"/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41" t="n"/>
      <c r="I131" s="240" t="n"/>
      <c r="J131" s="177" t="n"/>
      <c r="K131" s="241" t="n"/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47" t="n"/>
      <c r="I132" s="246" t="n"/>
      <c r="J132" s="183" t="n"/>
      <c r="K132" s="247" t="n"/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41" t="n"/>
      <c r="I133" s="240" t="n"/>
      <c r="J133" s="177" t="n"/>
      <c r="K133" s="241" t="n"/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47" t="n"/>
      <c r="I134" s="246" t="n"/>
      <c r="J134" s="183" t="n"/>
      <c r="K134" s="247" t="n"/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41" t="n"/>
      <c r="I135" s="240" t="n"/>
      <c r="J135" s="177" t="n"/>
      <c r="K135" s="241" t="n"/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47" t="n"/>
      <c r="I136" s="246" t="n"/>
      <c r="J136" s="183" t="n"/>
      <c r="K136" s="247" t="n"/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41" t="n"/>
      <c r="I137" s="240" t="n"/>
      <c r="J137" s="177" t="n"/>
      <c r="K137" s="241" t="n"/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47" t="n"/>
      <c r="I138" s="246" t="n"/>
      <c r="J138" s="183" t="n"/>
      <c r="K138" s="247" t="n"/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41" t="n"/>
      <c r="I139" s="240" t="n"/>
      <c r="J139" s="177" t="n"/>
      <c r="K139" s="241" t="n"/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47" t="n"/>
      <c r="I140" s="246" t="n"/>
      <c r="J140" s="183" t="n"/>
      <c r="K140" s="247" t="n"/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41" t="n"/>
      <c r="I141" s="240" t="n"/>
      <c r="J141" s="177" t="n"/>
      <c r="K141" s="241" t="n"/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47" t="n"/>
      <c r="I142" s="246" t="n"/>
      <c r="J142" s="183" t="n"/>
      <c r="K142" s="247" t="n"/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41" t="n"/>
      <c r="I143" s="240" t="n"/>
      <c r="J143" s="177" t="n"/>
      <c r="K143" s="241" t="n"/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47" t="n"/>
      <c r="I144" s="246" t="n"/>
      <c r="J144" s="183" t="n"/>
      <c r="K144" s="247" t="n"/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41" t="n"/>
      <c r="I145" s="240" t="n"/>
      <c r="J145" s="177" t="n"/>
      <c r="K145" s="241" t="n"/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47" t="n"/>
      <c r="I146" s="246" t="n"/>
      <c r="J146" s="183" t="n"/>
      <c r="K146" s="247" t="n"/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41" t="n"/>
      <c r="I147" s="240" t="n"/>
      <c r="J147" s="177" t="n"/>
      <c r="K147" s="241" t="n"/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47" t="n"/>
      <c r="I148" s="246" t="n"/>
      <c r="J148" s="183" t="n"/>
      <c r="K148" s="247" t="n"/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41" t="n"/>
      <c r="I149" s="240" t="n"/>
      <c r="J149" s="177" t="n"/>
      <c r="K149" s="241" t="n"/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47" t="n"/>
      <c r="I150" s="246" t="n"/>
      <c r="J150" s="183" t="n"/>
      <c r="K150" s="247" t="n"/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41" t="n"/>
      <c r="I151" s="240" t="n"/>
      <c r="J151" s="177" t="n"/>
      <c r="K151" s="241" t="n"/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47" t="n"/>
      <c r="I152" s="246" t="n"/>
      <c r="J152" s="183" t="n"/>
      <c r="K152" s="247" t="n"/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41" t="n"/>
      <c r="I153" s="240" t="n"/>
      <c r="J153" s="177" t="n"/>
      <c r="K153" s="241" t="n"/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47" t="n"/>
      <c r="I154" s="246" t="n"/>
      <c r="J154" s="183" t="n"/>
      <c r="K154" s="247" t="n"/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41" t="n"/>
      <c r="I155" s="240" t="n"/>
      <c r="J155" s="177" t="n"/>
      <c r="K155" s="241" t="n"/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47" t="n"/>
      <c r="I156" s="246" t="n"/>
      <c r="J156" s="183" t="n"/>
      <c r="K156" s="247" t="n"/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41" t="n"/>
      <c r="I157" s="240" t="n"/>
      <c r="J157" s="177" t="n"/>
      <c r="K157" s="241" t="n"/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47" t="n"/>
      <c r="I158" s="246" t="n"/>
      <c r="J158" s="183" t="n"/>
      <c r="K158" s="247" t="n"/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41" t="n"/>
      <c r="I159" s="240" t="n"/>
      <c r="J159" s="177" t="n"/>
      <c r="K159" s="241" t="n"/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47" t="n"/>
      <c r="I160" s="246" t="n"/>
      <c r="J160" s="183" t="n"/>
      <c r="K160" s="247" t="n"/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41" t="n"/>
      <c r="I161" s="240" t="n"/>
      <c r="J161" s="177" t="n"/>
      <c r="K161" s="241" t="n"/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47" t="n"/>
      <c r="I162" s="246" t="n"/>
      <c r="J162" s="183" t="n"/>
      <c r="K162" s="247" t="n"/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41" t="n"/>
      <c r="I163" s="240" t="n"/>
      <c r="J163" s="177" t="n"/>
      <c r="K163" s="241" t="n"/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47" t="n"/>
      <c r="I164" s="246" t="n"/>
      <c r="J164" s="183" t="n"/>
      <c r="K164" s="247" t="n"/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41" t="n"/>
      <c r="I165" s="240" t="n"/>
      <c r="J165" s="177" t="n"/>
      <c r="K165" s="241" t="n"/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47" t="n"/>
      <c r="I166" s="246" t="n"/>
      <c r="J166" s="183" t="n"/>
      <c r="K166" s="247" t="n"/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41" t="n"/>
      <c r="I167" s="240" t="n"/>
      <c r="J167" s="177" t="n"/>
      <c r="K167" s="241" t="n"/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47" t="n"/>
      <c r="I168" s="246" t="n"/>
      <c r="J168" s="183" t="n"/>
      <c r="K168" s="247" t="n"/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41" t="n"/>
      <c r="I169" s="240" t="n"/>
      <c r="J169" s="177" t="n"/>
      <c r="K169" s="241" t="n"/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47" t="n"/>
      <c r="I170" s="246" t="n"/>
      <c r="J170" s="183" t="n"/>
      <c r="K170" s="247" t="n"/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41" t="n"/>
      <c r="I171" s="240" t="n"/>
      <c r="J171" s="177" t="n"/>
      <c r="K171" s="241" t="n"/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47" t="n"/>
      <c r="I172" s="246" t="n"/>
      <c r="J172" s="183" t="n"/>
      <c r="K172" s="247" t="n"/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41" t="n"/>
      <c r="I173" s="240" t="n"/>
      <c r="J173" s="177" t="n"/>
      <c r="K173" s="241" t="n"/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47" t="n"/>
      <c r="I174" s="246" t="n"/>
      <c r="J174" s="183" t="n"/>
      <c r="K174" s="247" t="n"/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41" t="n"/>
      <c r="I175" s="240" t="n"/>
      <c r="J175" s="177" t="n"/>
      <c r="K175" s="241" t="n"/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47" t="n"/>
      <c r="I176" s="246" t="n"/>
      <c r="J176" s="183" t="n"/>
      <c r="K176" s="247" t="n"/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41" t="n"/>
      <c r="I177" s="240" t="n"/>
      <c r="J177" s="177" t="n"/>
      <c r="K177" s="241" t="n"/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47" t="n"/>
      <c r="I178" s="246" t="n"/>
      <c r="J178" s="183" t="n"/>
      <c r="K178" s="247" t="n"/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41" t="n"/>
      <c r="I179" s="240" t="n"/>
      <c r="J179" s="177" t="n"/>
      <c r="K179" s="241" t="n"/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47" t="n"/>
      <c r="I180" s="246" t="n"/>
      <c r="J180" s="183" t="n"/>
      <c r="K180" s="247" t="n"/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41" t="n"/>
      <c r="I181" s="240" t="n"/>
      <c r="J181" s="177" t="n"/>
      <c r="K181" s="241" t="n"/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47" t="n"/>
      <c r="I182" s="246" t="n"/>
      <c r="J182" s="183" t="n"/>
      <c r="K182" s="247" t="n"/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41" t="n"/>
      <c r="I183" s="240" t="n"/>
      <c r="J183" s="177" t="n"/>
      <c r="K183" s="241" t="n"/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47" t="n"/>
      <c r="I184" s="246" t="n"/>
      <c r="J184" s="183" t="n"/>
      <c r="K184" s="247" t="n"/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41" t="n"/>
      <c r="I185" s="240" t="n"/>
      <c r="J185" s="177" t="n"/>
      <c r="K185" s="241" t="n"/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47" t="n"/>
      <c r="I186" s="246" t="n"/>
      <c r="J186" s="183" t="n"/>
      <c r="K186" s="247" t="n"/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41" t="n"/>
      <c r="I187" s="240" t="n"/>
      <c r="J187" s="177" t="n"/>
      <c r="K187" s="241" t="n"/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47" t="n"/>
      <c r="I188" s="246" t="n"/>
      <c r="J188" s="183" t="n"/>
      <c r="K188" s="247" t="n"/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41" t="n"/>
      <c r="I189" s="240" t="n"/>
      <c r="J189" s="177" t="n"/>
      <c r="K189" s="241" t="n"/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47" t="n"/>
      <c r="I190" s="246" t="n"/>
      <c r="J190" s="183" t="n"/>
      <c r="K190" s="247" t="n"/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41" t="n"/>
      <c r="I191" s="240" t="n"/>
      <c r="J191" s="177" t="n"/>
      <c r="K191" s="241" t="n"/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47" t="n"/>
      <c r="I192" s="246" t="n"/>
      <c r="J192" s="183" t="n"/>
      <c r="K192" s="247" t="n"/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41" t="n"/>
      <c r="I193" s="240" t="n"/>
      <c r="J193" s="177" t="n"/>
      <c r="K193" s="241" t="n"/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47" t="n"/>
      <c r="I194" s="246" t="n"/>
      <c r="J194" s="183" t="n"/>
      <c r="K194" s="247" t="n"/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41" t="n"/>
      <c r="I195" s="240" t="n"/>
      <c r="J195" s="177" t="n"/>
      <c r="K195" s="241" t="n"/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47" t="n"/>
      <c r="I196" s="246" t="n"/>
      <c r="J196" s="183" t="n"/>
      <c r="K196" s="247" t="n"/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41" t="n"/>
      <c r="I197" s="240" t="n"/>
      <c r="J197" s="177" t="n"/>
      <c r="K197" s="241" t="n"/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47" t="n"/>
      <c r="I198" s="246" t="n"/>
      <c r="J198" s="183" t="n"/>
      <c r="K198" s="247" t="n"/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41" t="n"/>
      <c r="I199" s="240" t="n"/>
      <c r="J199" s="177" t="n"/>
      <c r="K199" s="241" t="n"/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47" t="n"/>
      <c r="I200" s="246" t="n"/>
      <c r="J200" s="183" t="n"/>
      <c r="K200" s="247" t="n"/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41" t="n"/>
      <c r="I201" s="240" t="n"/>
      <c r="J201" s="177" t="n"/>
      <c r="K201" s="241" t="n"/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47" t="n"/>
      <c r="I202" s="246" t="n"/>
      <c r="J202" s="183" t="n"/>
      <c r="K202" s="247" t="n"/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41" t="n"/>
      <c r="I203" s="240" t="n"/>
      <c r="J203" s="177" t="n"/>
      <c r="K203" s="241" t="n"/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47" t="n"/>
      <c r="I204" s="246" t="n"/>
      <c r="J204" s="183" t="n"/>
      <c r="K204" s="247" t="n"/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41" t="n"/>
      <c r="I205" s="240" t="n"/>
      <c r="J205" s="177" t="n"/>
      <c r="K205" s="241" t="n"/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47" t="n"/>
      <c r="I206" s="246" t="n"/>
      <c r="J206" s="183" t="n"/>
      <c r="K206" s="247" t="n"/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41" t="n"/>
      <c r="I207" s="240" t="n"/>
      <c r="J207" s="177" t="n"/>
      <c r="K207" s="241" t="n"/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47" t="n"/>
      <c r="I208" s="246" t="n"/>
      <c r="J208" s="183" t="n"/>
      <c r="K208" s="247" t="n"/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41" t="n"/>
      <c r="I209" s="240" t="n"/>
      <c r="J209" s="177" t="n"/>
      <c r="K209" s="241" t="n"/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47" t="n"/>
      <c r="I210" s="246" t="n"/>
      <c r="J210" s="183" t="n"/>
      <c r="K210" s="247" t="n"/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41" t="n"/>
      <c r="I211" s="240" t="n"/>
      <c r="J211" s="177" t="n"/>
      <c r="K211" s="241" t="n"/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47" t="n"/>
      <c r="I212" s="246" t="n"/>
      <c r="J212" s="183" t="n"/>
      <c r="K212" s="247" t="n"/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41" t="n"/>
      <c r="I213" s="240" t="n"/>
      <c r="J213" s="177" t="n"/>
      <c r="K213" s="241" t="n"/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47" t="n"/>
      <c r="I214" s="246" t="n"/>
      <c r="J214" s="183" t="n"/>
      <c r="K214" s="247" t="n"/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41" t="n"/>
      <c r="I215" s="240" t="n"/>
      <c r="J215" s="177" t="n"/>
      <c r="K215" s="241" t="n"/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47" t="n"/>
      <c r="I216" s="246" t="n"/>
      <c r="J216" s="183" t="n"/>
      <c r="K216" s="247" t="n"/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41" t="n"/>
      <c r="I217" s="240" t="n"/>
      <c r="J217" s="177" t="n"/>
      <c r="K217" s="241" t="n"/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47" t="n"/>
      <c r="I218" s="246" t="n"/>
      <c r="J218" s="183" t="n"/>
      <c r="K218" s="247" t="n"/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41" t="n"/>
      <c r="I219" s="240" t="n"/>
      <c r="J219" s="177" t="n"/>
      <c r="K219" s="241" t="n"/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47" t="n"/>
      <c r="I220" s="246" t="n"/>
      <c r="J220" s="183" t="n"/>
      <c r="K220" s="247" t="n"/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41" t="n"/>
      <c r="I221" s="240" t="n"/>
      <c r="J221" s="177" t="n"/>
      <c r="K221" s="241" t="n"/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47" t="n"/>
      <c r="I222" s="246" t="n"/>
      <c r="J222" s="183" t="n"/>
      <c r="K222" s="247" t="n"/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41" t="n"/>
      <c r="I223" s="240" t="n"/>
      <c r="J223" s="177" t="n"/>
      <c r="K223" s="241" t="n"/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47" t="n"/>
      <c r="I224" s="246" t="n"/>
      <c r="J224" s="183" t="n"/>
      <c r="K224" s="247" t="n"/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41" t="n"/>
      <c r="I225" s="240" t="n"/>
      <c r="J225" s="177" t="n"/>
      <c r="K225" s="241" t="n"/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47" t="n"/>
      <c r="I226" s="246" t="n"/>
      <c r="J226" s="183" t="n"/>
      <c r="K226" s="247" t="n"/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41" t="n"/>
      <c r="I227" s="240" t="n"/>
      <c r="J227" s="177" t="n"/>
      <c r="K227" s="241" t="n"/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47" t="n"/>
      <c r="I228" s="246" t="n"/>
      <c r="J228" s="183" t="n"/>
      <c r="K228" s="247" t="n"/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41" t="n"/>
      <c r="I229" s="240" t="n"/>
      <c r="J229" s="177" t="n"/>
      <c r="K229" s="241" t="n"/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47" t="n"/>
      <c r="I230" s="246" t="n"/>
      <c r="J230" s="183" t="n"/>
      <c r="K230" s="247" t="n"/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41" t="n"/>
      <c r="I231" s="240" t="n"/>
      <c r="J231" s="177" t="n"/>
      <c r="K231" s="241" t="n"/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47" t="n"/>
      <c r="I232" s="246" t="n"/>
      <c r="J232" s="183" t="n"/>
      <c r="K232" s="247" t="n"/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41" t="n"/>
      <c r="I233" s="240" t="n"/>
      <c r="J233" s="177" t="n"/>
      <c r="K233" s="241" t="n"/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47" t="n"/>
      <c r="I234" s="246" t="n"/>
      <c r="J234" s="183" t="n"/>
      <c r="K234" s="247" t="n"/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41" t="n"/>
      <c r="I235" s="240" t="n"/>
      <c r="J235" s="177" t="n"/>
      <c r="K235" s="241" t="n"/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47" t="n"/>
      <c r="I236" s="246" t="n"/>
      <c r="J236" s="183" t="n"/>
      <c r="K236" s="247" t="n"/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41" t="n"/>
      <c r="I237" s="240" t="n"/>
      <c r="J237" s="177" t="n"/>
      <c r="K237" s="241" t="n"/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47" t="n"/>
      <c r="I238" s="246" t="n"/>
      <c r="J238" s="183" t="n"/>
      <c r="K238" s="247" t="n"/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41" t="n"/>
      <c r="I239" s="240" t="n"/>
      <c r="J239" s="177" t="n"/>
      <c r="K239" s="241" t="n"/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47" t="n"/>
      <c r="I240" s="246" t="n"/>
      <c r="J240" s="183" t="n"/>
      <c r="K240" s="247" t="n"/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41" t="n"/>
      <c r="I241" s="240" t="n"/>
      <c r="J241" s="177" t="n"/>
      <c r="K241" s="241" t="n"/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47" t="n"/>
      <c r="I242" s="246" t="n"/>
      <c r="J242" s="183" t="n"/>
      <c r="K242" s="247" t="n"/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41" t="n"/>
      <c r="I243" s="240" t="n"/>
      <c r="J243" s="177" t="n"/>
      <c r="K243" s="241" t="n"/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47" t="n"/>
      <c r="I244" s="246" t="n"/>
      <c r="J244" s="183" t="n"/>
      <c r="K244" s="247" t="n"/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41" t="n"/>
      <c r="I245" s="240" t="n"/>
      <c r="J245" s="177" t="n"/>
      <c r="K245" s="241" t="n"/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47" t="n"/>
      <c r="I246" s="246" t="n"/>
      <c r="J246" s="183" t="n"/>
      <c r="K246" s="247" t="n"/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41" t="n"/>
      <c r="I247" s="240" t="n"/>
      <c r="J247" s="177" t="n"/>
      <c r="K247" s="241" t="n"/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47" t="n"/>
      <c r="I248" s="246" t="n"/>
      <c r="J248" s="183" t="n"/>
      <c r="K248" s="247" t="n"/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41" t="n"/>
      <c r="I249" s="240" t="n"/>
      <c r="J249" s="177" t="n"/>
      <c r="K249" s="241" t="n"/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47" t="n"/>
      <c r="I250" s="246" t="n"/>
      <c r="J250" s="183" t="n"/>
      <c r="K250" s="247" t="n"/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41" t="n"/>
      <c r="I251" s="240" t="n"/>
      <c r="J251" s="177" t="n"/>
      <c r="K251" s="241" t="n"/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47" t="n"/>
      <c r="I252" s="246" t="n"/>
      <c r="J252" s="183" t="n"/>
      <c r="K252" s="247" t="n"/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41" t="n"/>
      <c r="I253" s="240" t="n"/>
      <c r="J253" s="177" t="n"/>
      <c r="K253" s="241" t="n"/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47" t="n"/>
      <c r="I254" s="246" t="n"/>
      <c r="J254" s="183" t="n"/>
      <c r="K254" s="247" t="n"/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41" t="n"/>
      <c r="I255" s="240" t="n"/>
      <c r="J255" s="177" t="n"/>
      <c r="K255" s="241" t="n"/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47" t="n"/>
      <c r="I256" s="246" t="n"/>
      <c r="J256" s="183" t="n"/>
      <c r="K256" s="247" t="n"/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41" t="n"/>
      <c r="I257" s="240" t="n"/>
      <c r="J257" s="177" t="n"/>
      <c r="K257" s="241" t="n"/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47" t="n"/>
      <c r="I258" s="246" t="n"/>
      <c r="J258" s="183" t="n"/>
      <c r="K258" s="247" t="n"/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41" t="n"/>
      <c r="I259" s="240" t="n"/>
      <c r="J259" s="177" t="n"/>
      <c r="K259" s="241" t="n"/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47" t="n"/>
      <c r="I260" s="246" t="n"/>
      <c r="J260" s="183" t="n"/>
      <c r="K260" s="247" t="n"/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41" t="n"/>
      <c r="I261" s="240" t="n"/>
      <c r="J261" s="177" t="n"/>
      <c r="K261" s="241" t="n"/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47" t="n"/>
      <c r="I262" s="246" t="n"/>
      <c r="J262" s="183" t="n"/>
      <c r="K262" s="247" t="n"/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41" t="n"/>
      <c r="I263" s="240" t="n"/>
      <c r="J263" s="177" t="n"/>
      <c r="K263" s="241" t="n"/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47" t="n"/>
      <c r="I264" s="246" t="n"/>
      <c r="J264" s="183" t="n"/>
      <c r="K264" s="247" t="n"/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41" t="n"/>
      <c r="I265" s="240" t="n"/>
      <c r="J265" s="177" t="n"/>
      <c r="K265" s="241" t="n"/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47" t="n"/>
      <c r="I266" s="246" t="n"/>
      <c r="J266" s="183" t="n"/>
      <c r="K266" s="247" t="n"/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41" t="n"/>
      <c r="I267" s="240" t="n"/>
      <c r="J267" s="177" t="n"/>
      <c r="K267" s="241" t="n"/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47" t="n"/>
      <c r="I268" s="246" t="n"/>
      <c r="J268" s="183" t="n"/>
      <c r="K268" s="247" t="n"/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41" t="n"/>
      <c r="I269" s="240" t="n"/>
      <c r="J269" s="177" t="n"/>
      <c r="K269" s="241" t="n"/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47" t="n"/>
      <c r="I270" s="246" t="n"/>
      <c r="J270" s="183" t="n"/>
      <c r="K270" s="247" t="n"/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41" t="n"/>
      <c r="I271" s="240" t="n"/>
      <c r="J271" s="177" t="n"/>
      <c r="K271" s="241" t="n"/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47" t="n"/>
      <c r="I272" s="246" t="n"/>
      <c r="J272" s="183" t="n"/>
      <c r="K272" s="247" t="n"/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41" t="n"/>
      <c r="I273" s="240" t="n"/>
      <c r="J273" s="177" t="n"/>
      <c r="K273" s="241" t="n"/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47" t="n"/>
      <c r="I274" s="246" t="n"/>
      <c r="J274" s="183" t="n"/>
      <c r="K274" s="247" t="n"/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41" t="n"/>
      <c r="I275" s="240" t="n"/>
      <c r="J275" s="177" t="n"/>
      <c r="K275" s="241" t="n"/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47" t="n"/>
      <c r="I276" s="246" t="n"/>
      <c r="J276" s="183" t="n"/>
      <c r="K276" s="247" t="n"/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41" t="n"/>
      <c r="I277" s="240" t="n"/>
      <c r="J277" s="177" t="n"/>
      <c r="K277" s="241" t="n"/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47" t="n"/>
      <c r="I278" s="246" t="n"/>
      <c r="J278" s="183" t="n"/>
      <c r="K278" s="247" t="n"/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41" t="n"/>
      <c r="I279" s="240" t="n"/>
      <c r="J279" s="177" t="n"/>
      <c r="K279" s="241" t="n"/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47" t="n"/>
      <c r="I280" s="246" t="n"/>
      <c r="J280" s="183" t="n"/>
      <c r="K280" s="247" t="n"/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41" t="n"/>
      <c r="I281" s="240" t="n"/>
      <c r="J281" s="177" t="n"/>
      <c r="K281" s="241" t="n"/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47" t="n"/>
      <c r="I282" s="246" t="n"/>
      <c r="J282" s="183" t="n"/>
      <c r="K282" s="247" t="n"/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41" t="n"/>
      <c r="I283" s="240" t="n"/>
      <c r="J283" s="177" t="n"/>
      <c r="K283" s="241" t="n"/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47" t="n"/>
      <c r="I284" s="246" t="n"/>
      <c r="J284" s="183" t="n"/>
      <c r="K284" s="247" t="n"/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41" t="n"/>
      <c r="I285" s="240" t="n"/>
      <c r="J285" s="177" t="n"/>
      <c r="K285" s="241" t="n"/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47" t="n"/>
      <c r="I286" s="246" t="n"/>
      <c r="J286" s="183" t="n"/>
      <c r="K286" s="247" t="n"/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41" t="n"/>
      <c r="I287" s="240" t="n"/>
      <c r="J287" s="177" t="n"/>
      <c r="K287" s="241" t="n"/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47" t="n"/>
      <c r="I288" s="246" t="n"/>
      <c r="J288" s="183" t="n"/>
      <c r="K288" s="247" t="n"/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41" t="n"/>
      <c r="I289" s="240" t="n"/>
      <c r="J289" s="177" t="n"/>
      <c r="K289" s="241" t="n"/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47" t="n"/>
      <c r="I290" s="246" t="n"/>
      <c r="J290" s="183" t="n"/>
      <c r="K290" s="247" t="n"/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41" t="n"/>
      <c r="I291" s="240" t="n"/>
      <c r="J291" s="177" t="n"/>
      <c r="K291" s="241" t="n"/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47" t="n"/>
      <c r="I292" s="246" t="n"/>
      <c r="J292" s="183" t="n"/>
      <c r="K292" s="247" t="n"/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41" t="n"/>
      <c r="I293" s="240" t="n"/>
      <c r="J293" s="177" t="n"/>
      <c r="K293" s="241" t="n"/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47" t="n"/>
      <c r="I294" s="246" t="n"/>
      <c r="J294" s="183" t="n"/>
      <c r="K294" s="247" t="n"/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41" t="n"/>
      <c r="I295" s="240" t="n"/>
      <c r="J295" s="177" t="n"/>
      <c r="K295" s="241" t="n"/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47" t="n"/>
      <c r="I296" s="246" t="n"/>
      <c r="J296" s="183" t="n"/>
      <c r="K296" s="247" t="n"/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41" t="n"/>
      <c r="I297" s="240" t="n"/>
      <c r="J297" s="177" t="n"/>
      <c r="K297" s="241" t="n"/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47" t="n"/>
      <c r="I298" s="246" t="n"/>
      <c r="J298" s="183" t="n"/>
      <c r="K298" s="247" t="n"/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41" t="n"/>
      <c r="I299" s="240" t="n"/>
      <c r="J299" s="177" t="n"/>
      <c r="K299" s="241" t="n"/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47" t="n"/>
      <c r="I300" s="246" t="n"/>
      <c r="J300" s="183" t="n"/>
      <c r="K300" s="247" t="n"/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Торговля'!$C$5:$C$200,'ИТОГО Торговля'!$B$5:$B$200,$B5)+SUMIFS('ИТОГО Лэндинг'!$C$5:$C$200,'ИТОГО Лэндинг'!$B$5:$B$200,$B5)=0,"",SUMIFS('ИТОГО Торговля'!$C$5:$C$200,'ИТОГО Торговля'!$B$5:$B$200,$B5)+SUMIFS('ИТОГО Лэндинг'!$C$5:$C$200,'ИТОГО Лэндинг'!$B$5:$B$200,$B5)))</f>
        <v>3.5</v>
      </c>
      <c r="D5" s="177">
        <f>IF(C5="","",E5/C5)</f>
        <v>585.668571428572</v>
      </c>
      <c r="E5" s="241">
        <f>IF(C5="","",SUMIFS('ИТОГО Торговля'!$E$5:$E$200,'ИТОГО Торговля'!$B$5:$B$200,$B5)+SUMIFS('ИТОГО Лэндинг'!$E$5:$E$200,'ИТОГО Лэндинг'!$B$5:$B$200,$B5))</f>
        <v>2049.84</v>
      </c>
      <c r="F5" s="240">
        <f>IF($B5="","",IF(SUMIFS('ИТОГО Торговля'!$F$5:$F$200,'ИТОГО Торговля'!$B$5:$B$200,$B5)+SUMIFS('ИТОГО Лэндинг'!$F$5:$F$200,'ИТОГО Лэндинг'!$B$5:$B$200,$B5)=0,"",SUMIFS('ИТОГО Торговля'!$F$5:$F$200,'ИТОГО Торговля'!$B$5:$B$200,$B5)+SUMIFS('ИТОГО Лэндинг'!$F$5:$F$200,'ИТОГО Лэндинг'!$B$5:$B$200,$B5)))</f>
        <v>9.5</v>
      </c>
      <c r="G5" s="177">
        <f>IF(F5="","",H5/F5)</f>
        <v>598.515789473684</v>
      </c>
      <c r="H5" s="241">
        <f>IF(F5="","",SUMIFS('ИТОГО Торговля'!$H$5:$H$200,'ИТОГО Торговля'!$B$5:$B$200,$B5)+SUMIFS('ИТОГО Лэндинг'!$H$5:$H$200,'ИТОГО Лэндинг'!$B$5:$B$200,$B5))</f>
        <v>5685.9</v>
      </c>
      <c r="I5" s="240">
        <f>IF($B5="","",IF(AND(C5="",F5=""),"",ROUND(SUMIFS('ИТОГО Торговля'!$I$5:$I$200,'ИТОГО Торговля'!$B$5:$B$200,$B5)+SUMIFS('ИТОГО Лэндинг'!$I$5:$I$200,'ИТОГО Лэндинг'!$B$5:$B$200,$B5),8)))</f>
        <v>-6</v>
      </c>
      <c r="J5" s="241">
        <f>IF($B5="","",IF(AND(C5="",F5=""),"",ROUND(SUMIFS('ИТОГО Торговля'!$J$5:$J$200,'ИТОГО Торговля'!$B$5:$B$200,$B5)+SUMIFS('ИТОГО Лэндинг'!$J$5:$J$200,'ИТОГО Лэндинг'!$B$5:$B$200,$B5),8)))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Торговля'!$C$5:$C$200,'ИТОГО Торговля'!$B$5:$B$200,$B6)+SUMIFS('ИТОГО Лэндинг'!$C$5:$C$200,'ИТОГО Лэндинг'!$B$5:$B$200,$B6)=0,"",SUMIFS('ИТОГО Торговля'!$C$5:$C$200,'ИТОГО Торговля'!$B$5:$B$200,$B6)+SUMIFS('ИТОГО Лэндинг'!$C$5:$C$200,'ИТОГО Лэндинг'!$B$5:$B$200,$B6)))</f>
        <v>0.25</v>
      </c>
      <c r="D6" s="183">
        <f>IF(C6="","",E6/C6)</f>
        <v>62164.08</v>
      </c>
      <c r="E6" s="247">
        <f>IF(C6="","",SUMIFS('ИТОГО Торговля'!$E$5:$E$200,'ИТОГО Торговля'!$B$5:$B$200,$B6)+SUMIFS('ИТОГО Лэндинг'!$E$5:$E$200,'ИТОГО Лэндинг'!$B$5:$B$200,$B6))</f>
        <v>15541.02</v>
      </c>
      <c r="F6" s="246">
        <f>IF($B6="","",IF(SUMIFS('ИТОГО Торговля'!$F$5:$F$200,'ИТОГО Торговля'!$B$5:$B$200,$B6)+SUMIFS('ИТОГО Лэндинг'!$F$5:$F$200,'ИТОГО Лэндинг'!$B$5:$B$200,$B6)=0,"",SUMIFS('ИТОГО Торговля'!$F$5:$F$200,'ИТОГО Торговля'!$B$5:$B$200,$B6)+SUMIFS('ИТОГО Лэндинг'!$F$5:$F$200,'ИТОГО Лэндинг'!$B$5:$B$200,$B6)))</f>
        <v>0.05</v>
      </c>
      <c r="G6" s="183">
        <f>IF(F6="","",H6/F6)</f>
        <v>62874</v>
      </c>
      <c r="H6" s="247">
        <f>IF(F6="","",SUMIFS('ИТОГО Торговля'!$H$5:$H$200,'ИТОГО Торговля'!$B$5:$B$200,$B6)+SUMIFS('ИТОГО Лэндинг'!$H$5:$H$200,'ИТОГО Лэндинг'!$B$5:$B$200,$B6))</f>
        <v>3143.7</v>
      </c>
      <c r="I6" s="246">
        <f>IF($B6="","",IF(AND(C6="",F6=""),"",ROUND(SUMIFS('ИТОГО Торговля'!$I$5:$I$200,'ИТОГО Торговля'!$B$5:$B$200,$B6)+SUMIFS('ИТОГО Лэндинг'!$I$5:$I$200,'ИТОГО Лэндинг'!$B$5:$B$200,$B6),8)))</f>
        <v>0.2</v>
      </c>
      <c r="J6" s="247">
        <f>IF($B6="","",IF(AND(C6="",F6=""),"",ROUND(SUMIFS('ИТОГО Торговля'!$J$5:$J$200,'ИТОГО Торговля'!$B$5:$B$200,$B6)+SUMIFS('ИТОГО Лэндинг'!$J$5:$J$200,'ИТОГО Лэндинг'!$B$5:$B$200,$B6),8)))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Торговля'!$C$5:$C$200,'ИТОГО Торговля'!$B$5:$B$200,$B7)+SUMIFS('ИТОГО Лэндинг'!$C$5:$C$200,'ИТОГО Лэндинг'!$B$5:$B$200,$B7)=0,"",SUMIFS('ИТОГО Торговля'!$C$5:$C$200,'ИТОГО Торговля'!$B$5:$B$200,$B7)+SUMIFS('ИТОГО Лэндинг'!$C$5:$C$200,'ИТОГО Лэндинг'!$B$5:$B$200,$B7)))</f>
        <v/>
      </c>
      <c r="D7" s="177" t="str">
        <f>IF(C7="","",E7/C7)</f>
        <v/>
      </c>
      <c r="E7" s="241" t="str">
        <f>IF(C7="","",SUMIFS('ИТОГО Торговля'!$E$5:$E$200,'ИТОГО Торговля'!$B$5:$B$200,$B7)+SUMIFS('ИТОГО Лэндинг'!$E$5:$E$200,'ИТОГО Лэндинг'!$B$5:$B$200,$B7))</f>
        <v/>
      </c>
      <c r="F7" s="240">
        <f>IF($B7="","",IF(SUMIFS('ИТОГО Торговля'!$F$5:$F$200,'ИТОГО Торговля'!$B$5:$B$200,$B7)+SUMIFS('ИТОГО Лэндинг'!$F$5:$F$200,'ИТОГО Лэндинг'!$B$5:$B$200,$B7)=0,"",SUMIFS('ИТОГО Торговля'!$F$5:$F$200,'ИТОГО Торговля'!$B$5:$B$200,$B7)+SUMIFS('ИТОГО Лэндинг'!$F$5:$F$200,'ИТОГО Лэндинг'!$B$5:$B$200,$B7)))</f>
        <v>3</v>
      </c>
      <c r="G7" s="177">
        <f>IF(F7="","",H7/F7)</f>
        <v>0.052395</v>
      </c>
      <c r="H7" s="241">
        <f>IF(F7="","",SUMIFS('ИТОГО Торговля'!$H$5:$H$200,'ИТОГО Торговля'!$B$5:$B$200,$B7)+SUMIFS('ИТОГО Лэндинг'!$H$5:$H$200,'ИТОГО Лэндинг'!$B$5:$B$200,$B7))</f>
        <v>0.157185</v>
      </c>
      <c r="I7" s="240">
        <f>IF($B7="","",IF(AND(C7="",F7=""),"",ROUND(SUMIFS('ИТОГО Торговля'!$I$5:$I$200,'ИТОГО Торговля'!$B$5:$B$200,$B7)+SUMIFS('ИТОГО Лэндинг'!$I$5:$I$200,'ИТОГО Лэндинг'!$B$5:$B$200,$B7),8)))</f>
        <v>-3</v>
      </c>
      <c r="J7" s="241">
        <f>IF($B7="","",IF(AND(C7="",F7=""),"",ROUND(SUMIFS('ИТОГО Торговля'!$J$5:$J$200,'ИТОГО Торговля'!$B$5:$B$200,$B7)+SUMIFS('ИТОГО Лэндинг'!$J$5:$J$200,'ИТОГО Лэндинг'!$B$5:$B$200,$B7),8)))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Торговля'!$C$5:$C$200,'ИТОГО Торговля'!$B$5:$B$200,$B8)+SUMIFS('ИТОГО Лэндинг'!$C$5:$C$200,'ИТОГО Лэндинг'!$B$5:$B$200,$B8)=0,"",SUMIFS('ИТОГО Торговля'!$C$5:$C$200,'ИТОГО Торговля'!$B$5:$B$200,$B8)+SUMIFS('ИТОГО Лэндинг'!$C$5:$C$200,'ИТОГО Лэндинг'!$B$5:$B$200,$B8)))</f>
        <v>7.5</v>
      </c>
      <c r="D8" s="183">
        <f>IF(C8="","",E8/C8)</f>
        <v>3210.9152</v>
      </c>
      <c r="E8" s="247">
        <f>IF(C8="","",SUMIFS('ИТОГО Торговля'!$E$5:$E$200,'ИТОГО Торговля'!$B$5:$B$200,$B8)+SUMIFS('ИТОГО Лэндинг'!$E$5:$E$200,'ИТОГО Лэндинг'!$B$5:$B$200,$B8))</f>
        <v>24081.864</v>
      </c>
      <c r="F8" s="246">
        <f>IF($B8="","",IF(SUMIFS('ИТОГО Торговля'!$F$5:$F$200,'ИТОГО Торговля'!$B$5:$B$200,$B8)+SUMIFS('ИТОГО Лэндинг'!$F$5:$F$200,'ИТОГО Лэндинг'!$B$5:$B$200,$B8)=0,"",SUMIFS('ИТОГО Торговля'!$F$5:$F$200,'ИТОГО Торговля'!$B$5:$B$200,$B8)+SUMIFS('ИТОГО Лэндинг'!$F$5:$F$200,'ИТОГО Лэндинг'!$B$5:$B$200,$B8)))</f>
        <v>4.5</v>
      </c>
      <c r="G8" s="183">
        <f>IF(F8="","",H8/F8)</f>
        <v>3376.2</v>
      </c>
      <c r="H8" s="247">
        <f>IF(F8="","",SUMIFS('ИТОГО Торговля'!$H$5:$H$200,'ИТОГО Торговля'!$B$5:$B$200,$B8)+SUMIFS('ИТОГО Лэндинг'!$H$5:$H$200,'ИТОГО Лэндинг'!$B$5:$B$200,$B8))</f>
        <v>15192.9</v>
      </c>
      <c r="I8" s="246">
        <f>IF($B8="","",IF(AND(C8="",F8=""),"",ROUND(SUMIFS('ИТОГО Торговля'!$I$5:$I$200,'ИТОГО Торговля'!$B$5:$B$200,$B8)+SUMIFS('ИТОГО Лэндинг'!$I$5:$I$200,'ИТОГО Лэндинг'!$B$5:$B$200,$B8),8)))</f>
        <v>3</v>
      </c>
      <c r="J8" s="247">
        <f>IF($B8="","",IF(AND(C8="",F8=""),"",ROUND(SUMIFS('ИТОГО Торговля'!$J$5:$J$200,'ИТОГО Торговля'!$B$5:$B$200,$B8)+SUMIFS('ИТОГО Лэндинг'!$J$5:$J$200,'ИТОГО Лэндинг'!$B$5:$B$200,$B8),8)))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Торговля'!$C$5:$C$200,'ИТОГО Торговля'!$B$5:$B$200,$B9)+SUMIFS('ИТОГО Лэндинг'!$C$5:$C$200,'ИТОГО Лэндинг'!$B$5:$B$200,$B9)=0,"",SUMIFS('ИТОГО Торговля'!$C$5:$C$200,'ИТОГО Торговля'!$B$5:$B$200,$B9)+SUMIFS('ИТОГО Лэндинг'!$C$5:$C$200,'ИТОГО Лэндинг'!$B$5:$B$200,$B9)))</f>
        <v>80</v>
      </c>
      <c r="D9" s="177">
        <f>IF(C9="","",E9/C9)</f>
        <v>145.88</v>
      </c>
      <c r="E9" s="241">
        <f>IF(C9="","",SUMIFS('ИТОГО Торговля'!$E$5:$E$200,'ИТОГО Торговля'!$B$5:$B$200,$B9)+SUMIFS('ИТОГО Лэндинг'!$E$5:$E$200,'ИТОГО Лэндинг'!$B$5:$B$200,$B9))</f>
        <v>11670.4</v>
      </c>
      <c r="F9" s="240">
        <f>IF($B9="","",IF(SUMIFS('ИТОГО Торговля'!$F$5:$F$200,'ИТОГО Торговля'!$B$5:$B$200,$B9)+SUMIFS('ИТОГО Лэндинг'!$F$5:$F$200,'ИТОГО Лэндинг'!$B$5:$B$200,$B9)=0,"",SUMIFS('ИТОГО Торговля'!$F$5:$F$200,'ИТОГО Торговля'!$B$5:$B$200,$B9)+SUMIFS('ИТОГО Лэндинг'!$F$5:$F$200,'ИТОГО Лэндинг'!$B$5:$B$200,$B9)))</f>
        <v>110</v>
      </c>
      <c r="G9" s="177">
        <f>IF(F9="","",H9/F9)</f>
        <v>150.498545454545</v>
      </c>
      <c r="H9" s="241">
        <f>IF(F9="","",SUMIFS('ИТОГО Торговля'!$H$5:$H$200,'ИТОГО Торговля'!$B$5:$B$200,$B9)+SUMIFS('ИТОГО Лэндинг'!$H$5:$H$200,'ИТОГО Лэндинг'!$B$5:$B$200,$B9))</f>
        <v>16554.84</v>
      </c>
      <c r="I9" s="240">
        <f>IF($B9="","",IF(AND(C9="",F9=""),"",ROUND(SUMIFS('ИТОГО Торговля'!$I$5:$I$200,'ИТОГО Торговля'!$B$5:$B$200,$B9)+SUMIFS('ИТОГО Лэндинг'!$I$5:$I$200,'ИТОГО Лэндинг'!$B$5:$B$200,$B9),8)))</f>
        <v>-30</v>
      </c>
      <c r="J9" s="241">
        <f>IF($B9="","",IF(AND(C9="",F9=""),"",ROUND(SUMIFS('ИТОГО Торговля'!$J$5:$J$200,'ИТОГО Торговля'!$B$5:$B$200,$B9)+SUMIFS('ИТОГО Лэндинг'!$J$5:$J$200,'ИТОГО Лэндинг'!$B$5:$B$200,$B9),8)))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Торговля'!$C$5:$C$200,'ИТОГО Торговля'!$B$5:$B$200,$B10)+SUMIFS('ИТОГО Лэндинг'!$C$5:$C$200,'ИТОГО Лэндинг'!$B$5:$B$200,$B10)=0,"",SUMIFS('ИТОГО Торговля'!$C$5:$C$200,'ИТОГО Торговля'!$B$5:$B$200,$B10)+SUMIFS('ИТОГО Лэндинг'!$C$5:$C$200,'ИТОГО Лэндинг'!$B$5:$B$200,$B10)))</f>
        <v/>
      </c>
      <c r="D10" s="183" t="str">
        <f>IF(C10="","",E10/C10)</f>
        <v/>
      </c>
      <c r="E10" s="247" t="str">
        <f>IF(C10="","",SUMIFS('ИТОГО Торговля'!$E$5:$E$200,'ИТОГО Торговля'!$B$5:$B$200,$B10)+SUMIFS('ИТОГО Лэндинг'!$E$5:$E$200,'ИТОГО Лэндинг'!$B$5:$B$200,$B10))</f>
        <v/>
      </c>
      <c r="F10" s="246" t="str">
        <f>IF($B10="","",IF(SUMIFS('ИТОГО Торговля'!$F$5:$F$200,'ИТОГО Торговля'!$B$5:$B$200,$B10)+SUMIFS('ИТОГО Лэндинг'!$F$5:$F$200,'ИТОГО Лэндинг'!$B$5:$B$200,$B10)=0,"",SUMIFS('ИТОГО Торговля'!$F$5:$F$200,'ИТОГО Торговля'!$B$5:$B$200,$B10)+SUMIFS('ИТОГО Лэндинг'!$F$5:$F$200,'ИТОГО Лэндинг'!$B$5:$B$200,$B10)))</f>
        <v/>
      </c>
      <c r="G10" s="183" t="str">
        <f>IF(F10="","",H10/F10)</f>
        <v/>
      </c>
      <c r="H10" s="247" t="str">
        <f>IF(F10="","",SUMIFS('ИТОГО Торговля'!$H$5:$H$200,'ИТОГО Торговля'!$B$5:$B$200,$B10)+SUMIFS('ИТОГО Лэндинг'!$H$5:$H$200,'ИТОГО Лэндинг'!$B$5:$B$200,$B10))</f>
        <v/>
      </c>
      <c r="I10" s="246" t="str">
        <f>IF($B10="","",IF(AND(C10="",F10=""),"",ROUND(SUMIFS('ИТОГО Торговля'!$I$5:$I$200,'ИТОГО Торговля'!$B$5:$B$200,$B10)+SUMIFS('ИТОГО Лэндинг'!$I$5:$I$200,'ИТОГО Лэндинг'!$B$5:$B$200,$B10),8)))</f>
        <v/>
      </c>
      <c r="J10" s="247" t="str">
        <f>IF($B10="","",IF(AND(C10="",F10=""),"",ROUND(SUMIFS('ИТОГО Торговля'!$J$5:$J$200,'ИТОГО Торговля'!$B$5:$B$200,$B10)+SUMIFS('ИТОГО Лэндинг'!$J$5:$J$200,'ИТОГО Лэндинг'!$B$5:$B$200,$B10),8)))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Торговля'!$C$5:$C$200,'ИТОГО Торговля'!$B$5:$B$200,$B11)+SUMIFS('ИТОГО Лэндинг'!$C$5:$C$200,'ИТОГО Лэндинг'!$B$5:$B$200,$B11)=0,"",SUMIFS('ИТОГО Торговля'!$C$5:$C$200,'ИТОГО Торговля'!$B$5:$B$200,$B11)+SUMIFS('ИТОГО Лэндинг'!$C$5:$C$200,'ИТОГО Лэндинг'!$B$5:$B$200,$B11)))</f>
        <v/>
      </c>
      <c r="D11" s="177" t="str">
        <f>IF(C11="","",E11/C11)</f>
        <v/>
      </c>
      <c r="E11" s="241" t="str">
        <f>IF(C11="","",SUMIFS('ИТОГО Торговля'!$E$5:$E$200,'ИТОГО Торговля'!$B$5:$B$200,$B11)+SUMIFS('ИТОГО Лэндинг'!$E$5:$E$200,'ИТОГО Лэндинг'!$B$5:$B$200,$B11))</f>
        <v/>
      </c>
      <c r="F11" s="240" t="str">
        <f>IF($B11="","",IF(SUMIFS('ИТОГО Торговля'!$F$5:$F$200,'ИТОГО Торговля'!$B$5:$B$200,$B11)+SUMIFS('ИТОГО Лэндинг'!$F$5:$F$200,'ИТОГО Лэндинг'!$B$5:$B$200,$B11)=0,"",SUMIFS('ИТОГО Торговля'!$F$5:$F$200,'ИТОГО Торговля'!$B$5:$B$200,$B11)+SUMIFS('ИТОГО Лэндинг'!$F$5:$F$200,'ИТОГО Лэндинг'!$B$5:$B$200,$B11)))</f>
        <v/>
      </c>
      <c r="G11" s="177" t="str">
        <f>IF(F11="","",H11/F11)</f>
        <v/>
      </c>
      <c r="H11" s="241" t="str">
        <f>IF(F11="","",SUMIFS('ИТОГО Торговля'!$H$5:$H$200,'ИТОГО Торговля'!$B$5:$B$200,$B11)+SUMIFS('ИТОГО Лэндинг'!$H$5:$H$200,'ИТОГО Лэндинг'!$B$5:$B$200,$B11))</f>
        <v/>
      </c>
      <c r="I11" s="240" t="str">
        <f>IF($B11="","",IF(AND(C11="",F11=""),"",ROUND(SUMIFS('ИТОГО Торговля'!$I$5:$I$200,'ИТОГО Торговля'!$B$5:$B$200,$B11)+SUMIFS('ИТОГО Лэндинг'!$I$5:$I$200,'ИТОГО Лэндинг'!$B$5:$B$200,$B11),8)))</f>
        <v/>
      </c>
      <c r="J11" s="241" t="str">
        <f>IF($B11="","",IF(AND(C11="",F11=""),"",ROUND(SUMIFS('ИТОГО Торговля'!$J$5:$J$200,'ИТОГО Торговля'!$B$5:$B$200,$B11)+SUMIFS('ИТОГО Лэндинг'!$J$5:$J$200,'ИТОГО Лэндинг'!$B$5:$B$200,$B11),8)))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Торговля'!$C$5:$C$200,'ИТОГО Торговля'!$B$5:$B$200,$B12)+SUMIFS('ИТОГО Лэндинг'!$C$5:$C$200,'ИТОГО Лэндинг'!$B$5:$B$200,$B12)=0,"",SUMIFS('ИТОГО Торговля'!$C$5:$C$200,'ИТОГО Торговля'!$B$5:$B$200,$B12)+SUMIFS('ИТОГО Лэндинг'!$C$5:$C$200,'ИТОГО Лэндинг'!$B$5:$B$200,$B12)))</f>
        <v/>
      </c>
      <c r="D12" s="183" t="str">
        <f>IF(C12="","",E12/C12)</f>
        <v/>
      </c>
      <c r="E12" s="247" t="str">
        <f>IF(C12="","",SUMIFS('ИТОГО Торговля'!$E$5:$E$200,'ИТОГО Торговля'!$B$5:$B$200,$B12)+SUMIFS('ИТОГО Лэндинг'!$E$5:$E$200,'ИТОГО Лэндинг'!$B$5:$B$200,$B12))</f>
        <v/>
      </c>
      <c r="F12" s="246" t="str">
        <f>IF($B12="","",IF(SUMIFS('ИТОГО Торговля'!$F$5:$F$200,'ИТОГО Торговля'!$B$5:$B$200,$B12)+SUMIFS('ИТОГО Лэндинг'!$F$5:$F$200,'ИТОГО Лэндинг'!$B$5:$B$200,$B12)=0,"",SUMIFS('ИТОГО Торговля'!$F$5:$F$200,'ИТОГО Торговля'!$B$5:$B$200,$B12)+SUMIFS('ИТОГО Лэндинг'!$F$5:$F$200,'ИТОГО Лэндинг'!$B$5:$B$200,$B12)))</f>
        <v/>
      </c>
      <c r="G12" s="183" t="str">
        <f>IF(F12="","",H12/F12)</f>
        <v/>
      </c>
      <c r="H12" s="247" t="str">
        <f>IF(F12="","",SUMIFS('ИТОГО Торговля'!$H$5:$H$200,'ИТОГО Торговля'!$B$5:$B$200,$B12)+SUMIFS('ИТОГО Лэндинг'!$H$5:$H$200,'ИТОГО Лэндинг'!$B$5:$B$200,$B12))</f>
        <v/>
      </c>
      <c r="I12" s="246" t="str">
        <f>IF($B12="","",IF(AND(C12="",F12=""),"",ROUND(SUMIFS('ИТОГО Торговля'!$I$5:$I$200,'ИТОГО Торговля'!$B$5:$B$200,$B12)+SUMIFS('ИТОГО Лэндинг'!$I$5:$I$200,'ИТОГО Лэндинг'!$B$5:$B$200,$B12),8)))</f>
        <v/>
      </c>
      <c r="J12" s="247" t="str">
        <f>IF($B12="","",IF(AND(C12="",F12=""),"",ROUND(SUMIFS('ИТОГО Торговля'!$J$5:$J$200,'ИТОГО Торговля'!$B$5:$B$200,$B12)+SUMIFS('ИТОГО Лэндинг'!$J$5:$J$200,'ИТОГО Лэндинг'!$B$5:$B$200,$B12),8)))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