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Buy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/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 t="str">
        <f>IF(AND(ISNUMBER(J7),ISNUMBER(J9),J7&lt;&gt;0),IF(J6="Buy",J9/(J7*(1+N(J19)/100)),IF(AND(J6="Sell",1-N(J19)/100&lt;&gt;0),J9/(J7*(1-N(J19)/100)),"")),"")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/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позиции</t>
        </is>
      </c>
      <c r="H10" s="194" t="inlineStr">
        <is>
          <t>T-0001</t>
        </is>
      </c>
      <c r="I10" s="9" t="inlineStr">
        <is>
          <t>ID позиции</t>
        </is>
      </c>
      <c r="J10" s="194" t="n"/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Кол-во закрыть</t>
        </is>
      </c>
      <c r="H11" s="225" t="n">
        <v>0.1</v>
      </c>
      <c r="I11" s="9" t="inlineStr">
        <is>
          <t>Кол-во закрыть</t>
        </is>
      </c>
      <c r="J11" s="225" t="n"/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/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n"/>
      <c r="I15" s="14" t="inlineStr">
        <is>
          <t>Кол-во 2</t>
        </is>
      </c>
      <c r="J15" s="193" t="n"/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conditionalFormatting sqref="G5:H11">
    <cfRule type="expression" priority="1" dxfId="4">
      <formula>COUNTA($J$7,$J$9,$J$10,$J$11,$H$15,$J$14,$J$15)&gt;0</formula>
    </cfRule>
  </conditionalFormatting>
  <conditionalFormatting sqref="I5:J11">
    <cfRule type="expression" priority="2" dxfId="4">
      <formula>COUNTA($H$7,$H$8,$H$10,$H$11,$H$15,$J$14,$J$15)&gt;0</formula>
    </cfRule>
  </conditionalFormatting>
  <conditionalFormatting sqref="G13:J15">
    <cfRule type="expression" priority="3" dxfId="4">
      <formula>COUNTA($H$7,$H$8,$H$10,$H$11,$J$7,$J$9,$J$10,$J$11)&gt;0</formula>
    </cfRule>
  </conditionalFormatting>
  <dataValidations count="19">
    <dataValidation sqref="H14" showDropDown="0" showInputMessage="0" showErrorMessage="0" allowBlank="1" type="list">
      <formula1>"Добавить,Закрыть"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J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7">
      <formula1>AND(AND(ISNUMBER(H7),H7&gt;0),COUNTA($J$7,$J$9,$J$10,$J$11,$H$15,$J$14,$J$15)=0)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8">
      <formula1>AND(AND(ISNUMBER(H8),H8&gt;0),COUNTA($J$7,$J$9,$J$10,$J$11,$H$15,$J$14,$J$15)=0)</formula1>
    </dataValidation>
    <dataValidation type="custom" allowBlank="1" showErrorMessage="1" errorTitle="Один раздел" error="Введите ID в формате T-0001. Заполнять можно только один раздел: другой раздел уже заполнен, сначала очистите его." sqref="H10">
      <formula1>AND(IFERROR(AND(EXACT(LEFT(H10,2),"T-"),ISNUMBER(--MID(H10,3,20)),MID(H10,3,20)=TEXT(--MID(H10,3,20),"0000")),FALSE),COUNTA($J$7,$J$9,$J$10,$J$11,$H$15,$J$14,$J$15)=0)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11">
      <formula1>AND(AND(ISNUMBER(H11),H11&gt;0),COUNTA($J$7,$J$9,$J$10,$J$11,$H$15,$J$14,$J$15)=0)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7">
      <formula1>AND(AND(ISNUMBER(J7),J7&gt;0),COUNTA($H$7,$H$8,$H$10,$H$11,$H$15,$J$14,$J$15)=0)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9">
      <formula1>AND(AND(ISNUMBER(J9),J9&gt;0),COUNTA($H$7,$H$8,$H$10,$H$11,$H$15,$J$14,$J$15)=0)</formula1>
    </dataValidation>
    <dataValidation type="custom" allowBlank="1" showErrorMessage="1" errorTitle="Один раздел" error="Введите ID в формате L-0001. Заполнять можно только один раздел: другой раздел уже заполнен, сначала очистите его." sqref="J10">
      <formula1>AND(IFERROR(AND(EXACT(LEFT(J10,2),"L-"),ISNUMBER(--MID(J10,3,20)),MID(J10,3,20)=TEXT(--MID(J10,3,20),"0000")),FALSE),COUNTA($H$7,$H$8,$H$10,$H$11,$H$15,$J$14,$J$15)=0)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1">
      <formula1>AND(AND(ISNUMBER(J11),J11&gt;0),COUNTA($H$7,$H$8,$H$10,$H$11,$H$15,$J$14,$J$15)=0)</formula1>
    </dataValidation>
    <dataValidation type="custom" allowBlank="1" showErrorMessage="1" errorTitle="Один раздел" error="Введите ID в формате P-0001. Заполнять можно только один раздел: другой раздел уже заполнен, сначала очистите его." sqref="H15">
      <formula1>AND(IFERROR(AND(EXACT(LEFT(H15,2),"P-"),ISNUMBER(--MID(H15,3,20)),MID(H15,3,20)=TEXT(--MID(H15,3,20),"0000")),FALSE),COUNTA($H$7,$H$8,$H$10,$H$11,$J$7,$J$9,$J$10,$J$11)=0)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4">
      <formula1>AND(AND(ISNUMBER(J14),J14&gt;0),COUNTA($H$7,$H$8,$H$10,$H$11,$J$7,$J$9,$J$10,$J$11)=0)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5">
      <formula1>AND(AND(ISNUMBER(J15),J15&gt;0),COUNTA($H$7,$H$8,$H$10,$H$11,$J$7,$J$9,$J$10,$J$11)=0)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586.17</v>
      </c>
      <c r="E5" s="241">
        <f>IF(C5="","",SUMIFS(Торговля!$H$5:$H$300,Торговля!$E$5:$E$300,$B5)+SUMIFS(Закрытые!$H$5:$H$300,Закрытые!$E$5:$E$300,$B5,Закрытые!$B$5:$B$300,"T-*"))</f>
        <v>1172.34</v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>5</v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>598.8</v>
      </c>
      <c r="H5" s="241">
        <f>IF(F5="","",SUMIFS(Торговля!$K$5:$K$300,Торговля!$E$5:$E$300,$B5)+SUMIFS(Закрытые!$K$5:$K$300,Закрытые!$E$5:$E$300,$B5,Закрытые!$B$5:$B$300,"T-*"))</f>
        <v>2994</v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-3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1821.66</v>
      </c>
      <c r="K5" s="240">
        <f>IF(MIN(N(C5),N(F5))&lt;=0,"",ROUND(MIN(N(C5),N(F5))*(N(G5)-N(D5)),8))</f>
        <v>25.26</v>
      </c>
      <c r="L5" s="177">
        <f>IF(MIN(N(C5),N(F5))&lt;=0,"",IF(N(D5)=0,"",ROUND((N(G5)/N(D5)-1)*100,2)))</f>
        <v>2.15</v>
      </c>
      <c r="M5" s="177">
        <f>IF(OR(ROUND(N(C5)-N(F5),8)=0,1-N(Ввод!$J$19)/100&lt;=0),"",IF(N(C5)&gt;N(F5),(N(E5)-N(H5))/((N(C5)-N(F5))*(1-N(Ввод!$J$19)/100)),(N(H5)-N(E5))/((N(F5)-N(C5))*(1+N(Ввод!$J$19)/100))))</f>
        <v>606.007984031936</v>
      </c>
    </row>
    <row r="6" ht="22" customHeight="1">
      <c r="B6" s="245" t="inlineStr">
        <is>
          <t>BTC/USDT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0.15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62190.8</v>
      </c>
      <c r="E6" s="247">
        <f>IF(C6="","",SUMIFS(Торговля!$H$5:$H$300,Торговля!$E$5:$E$300,$B6)+SUMIFS(Закрытые!$H$5:$H$300,Закрытые!$E$5:$E$300,$B6,Закрытые!$B$5:$B$300,"T-*"))</f>
        <v>9328.62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0.05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62874</v>
      </c>
      <c r="H6" s="247">
        <f>IF(F6="","",SUMIFS(Торговля!$K$5:$K$300,Торговля!$E$5:$E$300,$B6)+SUMIFS(Закрытые!$K$5:$K$300,Закрытые!$E$5:$E$300,$B6,Закрытые!$B$5:$B$300,"T-*"))</f>
        <v>3143.7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0.1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-6184.92</v>
      </c>
      <c r="K6" s="246">
        <f>IF(MIN(N(C6),N(F6))&lt;=0,"",ROUND(MIN(N(C6),N(F6))*(N(G6)-N(D6)),8))</f>
        <v>34.16</v>
      </c>
      <c r="L6" s="183">
        <f>IF(MIN(N(C6),N(F6))&lt;=0,"",IF(N(D6)=0,"",ROUND((N(G6)/N(D6)-1)*100,2)))</f>
        <v>1.1</v>
      </c>
      <c r="M6" s="183">
        <f>IF(OR(ROUND(N(C6)-N(F6),8)=0,1-N(Ввод!$J$19)/100&lt;=0),"",IF(N(C6)&gt;N(F6),(N(E6)-N(H6))/((N(C6)-N(F6))*(1-N(Ввод!$J$19)/100)),(N(H6)-N(E6))/((N(F6)-N(C6))*(1+N(Ввод!$J$19)/100))))</f>
        <v>61973.1462925852</v>
      </c>
    </row>
    <row r="7" ht="22" customHeight="1">
      <c r="B7" s="239" t="inlineStr">
        <is>
          <t>ETH/BTC</t>
        </is>
      </c>
      <c r="C7" s="240" t="str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 t="str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 t="str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1.5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0.052395</v>
      </c>
      <c r="H7" s="241">
        <f>IF(F7="","",SUMIFS(Торговля!$K$5:$K$300,Торговля!$E$5:$E$300,$B7)+SUMIFS(Закрытые!$K$5:$K$300,Закрытые!$E$5:$E$300,$B7,Закрытые!$B$5:$B$300,"T-*"))</f>
        <v>0.0785925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-1.5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4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3210.408</v>
      </c>
      <c r="E8" s="247">
        <f>IF(C8="","",SUMIFS(Торговля!$H$5:$H$300,Торговля!$E$5:$E$300,$B8)+SUMIFS(Закрытые!$H$5:$H$300,Закрытые!$E$5:$E$300,$B8,Закрытые!$B$5:$B$300,"T-*"))</f>
        <v>12841.632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2.5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3373.24</v>
      </c>
      <c r="H8" s="247">
        <f>IF(F8="","",SUMIFS(Торговля!$K$5:$K$300,Торговля!$E$5:$E$300,$B8)+SUMIFS(Закрытые!$K$5:$K$300,Закрытые!$E$5:$E$300,$B8,Закрытые!$B$5:$B$300,"T-*"))</f>
        <v>8433.1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1.5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-4408.532</v>
      </c>
      <c r="K8" s="246">
        <f>IF(MIN(N(C8),N(F8))&lt;=0,"",ROUND(MIN(N(C8),N(F8))*(N(G8)-N(D8)),8))</f>
        <v>407.08</v>
      </c>
      <c r="L8" s="183">
        <f>IF(MIN(N(C8),N(F8))&lt;=0,"",IF(N(D8)=0,"",ROUND((N(G8)/N(D8)-1)*100,2)))</f>
        <v>5.07</v>
      </c>
      <c r="M8" s="183">
        <f>IF(OR(ROUND(N(C8)-N(F8),8)=0,1-N(Ввод!$J$19)/100&lt;=0),"",IF(N(C8)&gt;N(F8),(N(E8)-N(H8))/((N(C8)-N(F8))*(1-N(Ввод!$J$19)/100)),(N(H8)-N(E8))/((N(F8)-N(C8))*(1+N(Ввод!$J$19)/100))))</f>
        <v>2944.91115564462</v>
      </c>
    </row>
    <row r="9" ht="22" customHeight="1">
      <c r="B9" s="239" t="inlineStr">
        <is>
          <t>SOL/USDT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45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145.846666666667</v>
      </c>
      <c r="E9" s="241">
        <f>IF(C9="","",SUMIFS(Торговля!$H$5:$H$300,Торговля!$E$5:$E$300,$B9)+SUMIFS(Закрытые!$H$5:$H$300,Закрытые!$E$5:$E$300,$B9,Закрытые!$B$5:$B$300,"T-*"))</f>
        <v>6563.1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60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150.698</v>
      </c>
      <c r="H9" s="241">
        <f>IF(F9="","",SUMIFS(Торговля!$K$5:$K$300,Торговля!$E$5:$E$300,$B9)+SUMIFS(Закрытые!$K$5:$K$300,Закрытые!$E$5:$E$300,$B9,Закрытые!$B$5:$B$300,"T-*"))</f>
        <v>9041.88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-15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2478.78</v>
      </c>
      <c r="K9" s="240">
        <f>IF(MIN(N(C9),N(F9))&lt;=0,"",ROUND(MIN(N(C9),N(F9))*(N(G9)-N(D9)),8))</f>
        <v>218.31</v>
      </c>
      <c r="L9" s="177">
        <f>IF(MIN(N(C9),N(F9))&lt;=0,"",IF(N(D9)=0,"",ROUND((N(G9)/N(D9)-1)*100,2)))</f>
        <v>3.33</v>
      </c>
      <c r="M9" s="177">
        <f>IF(OR(ROUND(N(C9)-N(F9),8)=0,1-N(Ввод!$J$19)/100&lt;=0),"",IF(N(C9)&gt;N(F9),(N(E9)-N(H9))/((N(C9)-N(F9))*(1-N(Ввод!$J$19)/100)),(N(H9)-N(E9))/((N(F9)-N(C9))*(1+N(Ввод!$J$19)/100))))</f>
        <v>164.922155688623</v>
      </c>
    </row>
    <row r="10" ht="22" customHeight="1">
      <c r="B10" s="245" t="n"/>
      <c r="C10" s="246" t="str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 t="str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 t="str">
        <f>IF(C10="","",SUMIFS(Торговля!$H$5:$H$300,Торговля!$E$5:$E$300,$B10)+SUMIFS(Закрытые!$H$5:$H$300,Закрытые!$E$5:$E$300,$B10,Закрытые!$B$5:$B$300,"T-*"))</f>
        <v/>
      </c>
      <c r="F10" s="246" t="str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 t="str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 t="str">
        <f>IF(F10="","",SUMIFS(Торговля!$K$5:$K$300,Торговля!$E$5:$E$300,$B10)+SUMIFS(Закрытые!$K$5:$K$300,Закрытые!$E$5:$E$300,$B10,Закрытые!$B$5:$B$300,"T-*"))</f>
        <v/>
      </c>
      <c r="I10" s="246" t="str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 t="str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 t="str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 t="str">
        <f>IF(C11="","",SUMIFS(Торговля!$H$5:$H$300,Торговля!$E$5:$E$300,$B11)+SUMIFS(Закрытые!$H$5:$H$300,Закрытые!$E$5:$E$300,$B11,Закрытые!$B$5:$B$300,"T-*"))</f>
        <v/>
      </c>
      <c r="F11" s="240" t="str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 t="str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 t="str">
        <f>IF(F11="","",SUMIFS(Торговля!$K$5:$K$300,Торговля!$E$5:$E$300,$B11)+SUMIFS(Закрытые!$K$5:$K$300,Закрытые!$E$5:$E$300,$B11,Закрытые!$B$5:$B$300,"T-*"))</f>
        <v/>
      </c>
      <c r="I11" s="240" t="str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 t="str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 t="str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 t="str">
        <f>IF(C12="","",SUMIFS(Торговля!$H$5:$H$300,Торговля!$E$5:$E$300,$B12)+SUMIFS(Закрытые!$H$5:$H$300,Закрытые!$E$5:$E$300,$B12,Закрытые!$B$5:$B$300,"T-*"))</f>
        <v/>
      </c>
      <c r="F12" s="246" t="str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 t="str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 t="str">
        <f>IF(F12="","",SUMIFS(Торговля!$K$5:$K$300,Торговля!$E$5:$E$300,$B12)+SUMIFS(Закрытые!$K$5:$K$300,Закрытые!$E$5:$E$300,$B12,Закрытые!$B$5:$B$300,"T-*"))</f>
        <v/>
      </c>
      <c r="I12" s="246" t="str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 t="str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 t="str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 t="str">
        <f>IF(C13="","",SUMIFS(Торговля!$H$5:$H$300,Торговля!$E$5:$E$300,$B13)+SUMIFS(Закрытые!$H$5:$H$300,Закрытые!$E$5:$E$300,$B13,Закрытые!$B$5:$B$300,"T-*"))</f>
        <v/>
      </c>
      <c r="F13" s="240" t="str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 t="str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 t="str">
        <f>IF(F13="","",SUMIFS(Торговля!$K$5:$K$300,Торговля!$E$5:$E$300,$B13)+SUMIFS(Закрытые!$K$5:$K$300,Закрытые!$E$5:$E$300,$B13,Закрытые!$B$5:$B$300,"T-*"))</f>
        <v/>
      </c>
      <c r="I13" s="240" t="str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 t="str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 t="str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 t="str">
        <f>IF(C14="","",SUMIFS(Торговля!$H$5:$H$300,Торговля!$E$5:$E$300,$B14)+SUMIFS(Закрытые!$H$5:$H$300,Закрытые!$E$5:$E$300,$B14,Закрытые!$B$5:$B$300,"T-*"))</f>
        <v/>
      </c>
      <c r="F14" s="246" t="str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 t="str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 t="str">
        <f>IF(F14="","",SUMIFS(Торговля!$K$5:$K$300,Торговля!$E$5:$E$300,$B14)+SUMIFS(Закрытые!$K$5:$K$300,Закрытые!$E$5:$E$300,$B14,Закрытые!$B$5:$B$300,"T-*"))</f>
        <v/>
      </c>
      <c r="I14" s="246" t="str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 t="str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 t="str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 t="str">
        <f>IF(C15="","",SUMIFS(Торговля!$H$5:$H$300,Торговля!$E$5:$E$300,$B15)+SUMIFS(Закрытые!$H$5:$H$300,Закрытые!$E$5:$E$300,$B15,Закрытые!$B$5:$B$300,"T-*"))</f>
        <v/>
      </c>
      <c r="F15" s="240" t="str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 t="str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 t="str">
        <f>IF(F15="","",SUMIFS(Торговля!$K$5:$K$300,Торговля!$E$5:$E$300,$B15)+SUMIFS(Закрытые!$K$5:$K$300,Закрытые!$E$5:$E$300,$B15,Закрытые!$B$5:$B$300,"T-*"))</f>
        <v/>
      </c>
      <c r="I15" s="240" t="str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 t="str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 t="str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 t="str">
        <f>IF(C16="","",SUMIFS(Торговля!$H$5:$H$300,Торговля!$E$5:$E$300,$B16)+SUMIFS(Закрытые!$H$5:$H$300,Закрытые!$E$5:$E$300,$B16,Закрытые!$B$5:$B$300,"T-*"))</f>
        <v/>
      </c>
      <c r="F16" s="246" t="str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 t="str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 t="str">
        <f>IF(F16="","",SUMIFS(Торговля!$K$5:$K$300,Торговля!$E$5:$E$300,$B16)+SUMIFS(Закрытые!$K$5:$K$300,Закрытые!$E$5:$E$300,$B16,Закрытые!$B$5:$B$300,"T-*"))</f>
        <v/>
      </c>
      <c r="I16" s="246" t="str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 t="str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 t="str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 t="str">
        <f>IF(C17="","",SUMIFS(Торговля!$H$5:$H$300,Торговля!$E$5:$E$300,$B17)+SUMIFS(Закрытые!$H$5:$H$300,Закрытые!$E$5:$E$300,$B17,Закрытые!$B$5:$B$300,"T-*"))</f>
        <v/>
      </c>
      <c r="F17" s="240" t="str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 t="str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 t="str">
        <f>IF(F17="","",SUMIFS(Торговля!$K$5:$K$300,Торговля!$E$5:$E$300,$B17)+SUMIFS(Закрытые!$K$5:$K$300,Закрытые!$E$5:$E$300,$B17,Закрытые!$B$5:$B$300,"T-*"))</f>
        <v/>
      </c>
      <c r="I17" s="240" t="str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 t="str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 t="str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 t="str">
        <f>IF(C18="","",SUMIFS(Торговля!$H$5:$H$300,Торговля!$E$5:$E$300,$B18)+SUMIFS(Закрытые!$H$5:$H$300,Закрытые!$E$5:$E$300,$B18,Закрытые!$B$5:$B$300,"T-*"))</f>
        <v/>
      </c>
      <c r="F18" s="246" t="str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 t="str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 t="str">
        <f>IF(F18="","",SUMIFS(Торговля!$K$5:$K$300,Торговля!$E$5:$E$300,$B18)+SUMIFS(Закрытые!$K$5:$K$300,Закрытые!$E$5:$E$300,$B18,Закрытые!$B$5:$B$300,"T-*"))</f>
        <v/>
      </c>
      <c r="I18" s="246" t="str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 t="str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 t="str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 t="str">
        <f>IF(C19="","",SUMIFS(Торговля!$H$5:$H$300,Торговля!$E$5:$E$300,$B19)+SUMIFS(Закрытые!$H$5:$H$300,Закрытые!$E$5:$E$300,$B19,Закрытые!$B$5:$B$300,"T-*"))</f>
        <v/>
      </c>
      <c r="F19" s="240" t="str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 t="str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 t="str">
        <f>IF(F19="","",SUMIFS(Торговля!$K$5:$K$300,Торговля!$E$5:$E$300,$B19)+SUMIFS(Закрытые!$K$5:$K$300,Закрытые!$E$5:$E$300,$B19,Закрытые!$B$5:$B$300,"T-*"))</f>
        <v/>
      </c>
      <c r="I19" s="240" t="str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 t="str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 t="str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 t="str">
        <f>IF(C20="","",SUMIFS(Торговля!$H$5:$H$300,Торговля!$E$5:$E$300,$B20)+SUMIFS(Закрытые!$H$5:$H$300,Закрытые!$E$5:$E$300,$B20,Закрытые!$B$5:$B$300,"T-*"))</f>
        <v/>
      </c>
      <c r="F20" s="246" t="str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 t="str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 t="str">
        <f>IF(F20="","",SUMIFS(Торговля!$K$5:$K$300,Торговля!$E$5:$E$300,$B20)+SUMIFS(Закрытые!$K$5:$K$300,Закрытые!$E$5:$E$300,$B20,Закрытые!$B$5:$B$300,"T-*"))</f>
        <v/>
      </c>
      <c r="I20" s="246" t="str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 t="str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 t="str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 t="str">
        <f>IF(C21="","",SUMIFS(Торговля!$H$5:$H$300,Торговля!$E$5:$E$300,$B21)+SUMIFS(Закрытые!$H$5:$H$300,Закрытые!$E$5:$E$300,$B21,Закрытые!$B$5:$B$300,"T-*"))</f>
        <v/>
      </c>
      <c r="F21" s="240" t="str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 t="str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 t="str">
        <f>IF(F21="","",SUMIFS(Торговля!$K$5:$K$300,Торговля!$E$5:$E$300,$B21)+SUMIFS(Закрытые!$K$5:$K$300,Закрытые!$E$5:$E$300,$B21,Закрытые!$B$5:$B$300,"T-*"))</f>
        <v/>
      </c>
      <c r="I21" s="240" t="str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 t="str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 t="str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 t="str">
        <f>IF(C22="","",SUMIFS(Торговля!$H$5:$H$300,Торговля!$E$5:$E$300,$B22)+SUMIFS(Закрытые!$H$5:$H$300,Закрытые!$E$5:$E$300,$B22,Закрытые!$B$5:$B$300,"T-*"))</f>
        <v/>
      </c>
      <c r="F22" s="246" t="str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 t="str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 t="str">
        <f>IF(F22="","",SUMIFS(Торговля!$K$5:$K$300,Торговля!$E$5:$E$300,$B22)+SUMIFS(Закрытые!$K$5:$K$300,Закрытые!$E$5:$E$300,$B22,Закрытые!$B$5:$B$300,"T-*"))</f>
        <v/>
      </c>
      <c r="I22" s="246" t="str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 t="str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 t="str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 t="str">
        <f>IF(C23="","",SUMIFS(Торговля!$H$5:$H$300,Торговля!$E$5:$E$300,$B23)+SUMIFS(Закрытые!$H$5:$H$300,Закрытые!$E$5:$E$300,$B23,Закрытые!$B$5:$B$300,"T-*"))</f>
        <v/>
      </c>
      <c r="F23" s="240" t="str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 t="str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 t="str">
        <f>IF(F23="","",SUMIFS(Торговля!$K$5:$K$300,Торговля!$E$5:$E$300,$B23)+SUMIFS(Закрытые!$K$5:$K$300,Закрытые!$E$5:$E$300,$B23,Закрытые!$B$5:$B$300,"T-*"))</f>
        <v/>
      </c>
      <c r="I23" s="240" t="str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 t="str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 t="str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 t="str">
        <f>IF(C24="","",SUMIFS(Торговля!$H$5:$H$300,Торговля!$E$5:$E$300,$B24)+SUMIFS(Закрытые!$H$5:$H$300,Закрытые!$E$5:$E$300,$B24,Закрытые!$B$5:$B$300,"T-*"))</f>
        <v/>
      </c>
      <c r="F24" s="246" t="str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 t="str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 t="str">
        <f>IF(F24="","",SUMIFS(Торговля!$K$5:$K$300,Торговля!$E$5:$E$300,$B24)+SUMIFS(Закрытые!$K$5:$K$300,Закрытые!$E$5:$E$300,$B24,Закрытые!$B$5:$B$300,"T-*"))</f>
        <v/>
      </c>
      <c r="I24" s="246" t="str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 t="str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 t="str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 t="str">
        <f>IF(C25="","",SUMIFS(Торговля!$H$5:$H$300,Торговля!$E$5:$E$300,$B25)+SUMIFS(Закрытые!$H$5:$H$300,Закрытые!$E$5:$E$300,$B25,Закрытые!$B$5:$B$300,"T-*"))</f>
        <v/>
      </c>
      <c r="F25" s="240" t="str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 t="str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 t="str">
        <f>IF(F25="","",SUMIFS(Торговля!$K$5:$K$300,Торговля!$E$5:$E$300,$B25)+SUMIFS(Закрытые!$K$5:$K$300,Закрытые!$E$5:$E$300,$B25,Закрытые!$B$5:$B$300,"T-*"))</f>
        <v/>
      </c>
      <c r="I25" s="240" t="str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 t="str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 t="str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 t="str">
        <f>IF(C26="","",SUMIFS(Торговля!$H$5:$H$300,Торговля!$E$5:$E$300,$B26)+SUMIFS(Закрытые!$H$5:$H$300,Закрытые!$E$5:$E$300,$B26,Закрытые!$B$5:$B$300,"T-*"))</f>
        <v/>
      </c>
      <c r="F26" s="246" t="str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 t="str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 t="str">
        <f>IF(F26="","",SUMIFS(Торговля!$K$5:$K$300,Торговля!$E$5:$E$300,$B26)+SUMIFS(Закрытые!$K$5:$K$300,Закрытые!$E$5:$E$300,$B26,Закрытые!$B$5:$B$300,"T-*"))</f>
        <v/>
      </c>
      <c r="I26" s="246" t="str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 t="str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 t="str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 t="str">
        <f>IF(C27="","",SUMIFS(Торговля!$H$5:$H$300,Торговля!$E$5:$E$300,$B27)+SUMIFS(Закрытые!$H$5:$H$300,Закрытые!$E$5:$E$300,$B27,Закрытые!$B$5:$B$300,"T-*"))</f>
        <v/>
      </c>
      <c r="F27" s="240" t="str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 t="str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 t="str">
        <f>IF(F27="","",SUMIFS(Торговля!$K$5:$K$300,Торговля!$E$5:$E$300,$B27)+SUMIFS(Закрытые!$K$5:$K$300,Закрытые!$E$5:$E$300,$B27,Закрытые!$B$5:$B$300,"T-*"))</f>
        <v/>
      </c>
      <c r="I27" s="240" t="str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 t="str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 t="str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 t="str">
        <f>IF(C28="","",SUMIFS(Торговля!$H$5:$H$300,Торговля!$E$5:$E$300,$B28)+SUMIFS(Закрытые!$H$5:$H$300,Закрытые!$E$5:$E$300,$B28,Закрытые!$B$5:$B$300,"T-*"))</f>
        <v/>
      </c>
      <c r="F28" s="246" t="str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 t="str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 t="str">
        <f>IF(F28="","",SUMIFS(Торговля!$K$5:$K$300,Торговля!$E$5:$E$300,$B28)+SUMIFS(Закрытые!$K$5:$K$300,Закрытые!$E$5:$E$300,$B28,Закрытые!$B$5:$B$300,"T-*"))</f>
        <v/>
      </c>
      <c r="I28" s="246" t="str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 t="str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 t="str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 t="str">
        <f>IF(C29="","",SUMIFS(Торговля!$H$5:$H$300,Торговля!$E$5:$E$300,$B29)+SUMIFS(Закрытые!$H$5:$H$300,Закрытые!$E$5:$E$300,$B29,Закрытые!$B$5:$B$300,"T-*"))</f>
        <v/>
      </c>
      <c r="F29" s="240" t="str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 t="str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 t="str">
        <f>IF(F29="","",SUMIFS(Торговля!$K$5:$K$300,Торговля!$E$5:$E$300,$B29)+SUMIFS(Закрытые!$K$5:$K$300,Закрытые!$E$5:$E$300,$B29,Закрытые!$B$5:$B$300,"T-*"))</f>
        <v/>
      </c>
      <c r="I29" s="240" t="str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 t="str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 t="str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 t="str">
        <f>IF(C30="","",SUMIFS(Торговля!$H$5:$H$300,Торговля!$E$5:$E$300,$B30)+SUMIFS(Закрытые!$H$5:$H$300,Закрытые!$E$5:$E$300,$B30,Закрытые!$B$5:$B$300,"T-*"))</f>
        <v/>
      </c>
      <c r="F30" s="246" t="str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 t="str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 t="str">
        <f>IF(F30="","",SUMIFS(Торговля!$K$5:$K$300,Торговля!$E$5:$E$300,$B30)+SUMIFS(Закрытые!$K$5:$K$300,Закрытые!$E$5:$E$300,$B30,Закрытые!$B$5:$B$300,"T-*"))</f>
        <v/>
      </c>
      <c r="I30" s="246" t="str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 t="str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 t="str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 t="str">
        <f>IF(C31="","",SUMIFS(Торговля!$H$5:$H$300,Торговля!$E$5:$E$300,$B31)+SUMIFS(Закрытые!$H$5:$H$300,Закрытые!$E$5:$E$300,$B31,Закрытые!$B$5:$B$300,"T-*"))</f>
        <v/>
      </c>
      <c r="F31" s="240" t="str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 t="str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 t="str">
        <f>IF(F31="","",SUMIFS(Торговля!$K$5:$K$300,Торговля!$E$5:$E$300,$B31)+SUMIFS(Закрытые!$K$5:$K$300,Закрытые!$E$5:$E$300,$B31,Закрытые!$B$5:$B$300,"T-*"))</f>
        <v/>
      </c>
      <c r="I31" s="240" t="str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 t="str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 t="str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 t="str">
        <f>IF(C32="","",SUMIFS(Торговля!$H$5:$H$300,Торговля!$E$5:$E$300,$B32)+SUMIFS(Закрытые!$H$5:$H$300,Закрытые!$E$5:$E$300,$B32,Закрытые!$B$5:$B$300,"T-*"))</f>
        <v/>
      </c>
      <c r="F32" s="246" t="str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 t="str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 t="str">
        <f>IF(F32="","",SUMIFS(Торговля!$K$5:$K$300,Торговля!$E$5:$E$300,$B32)+SUMIFS(Закрытые!$K$5:$K$300,Закрытые!$E$5:$E$300,$B32,Закрытые!$B$5:$B$300,"T-*"))</f>
        <v/>
      </c>
      <c r="I32" s="246" t="str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 t="str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 t="str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 t="str">
        <f>IF(C33="","",SUMIFS(Торговля!$H$5:$H$300,Торговля!$E$5:$E$300,$B33)+SUMIFS(Закрытые!$H$5:$H$300,Закрытые!$E$5:$E$300,$B33,Закрытые!$B$5:$B$300,"T-*"))</f>
        <v/>
      </c>
      <c r="F33" s="240" t="str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 t="str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 t="str">
        <f>IF(F33="","",SUMIFS(Торговля!$K$5:$K$300,Торговля!$E$5:$E$300,$B33)+SUMIFS(Закрытые!$K$5:$K$300,Закрытые!$E$5:$E$300,$B33,Закрытые!$B$5:$B$300,"T-*"))</f>
        <v/>
      </c>
      <c r="I33" s="240" t="str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 t="str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 t="str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 t="str">
        <f>IF(C34="","",SUMIFS(Торговля!$H$5:$H$300,Торговля!$E$5:$E$300,$B34)+SUMIFS(Закрытые!$H$5:$H$300,Закрытые!$E$5:$E$300,$B34,Закрытые!$B$5:$B$300,"T-*"))</f>
        <v/>
      </c>
      <c r="F34" s="246" t="str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 t="str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 t="str">
        <f>IF(F34="","",SUMIFS(Торговля!$K$5:$K$300,Торговля!$E$5:$E$300,$B34)+SUMIFS(Закрытые!$K$5:$K$300,Закрытые!$E$5:$E$300,$B34,Закрытые!$B$5:$B$300,"T-*"))</f>
        <v/>
      </c>
      <c r="I34" s="246" t="str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 t="str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 t="str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 t="str">
        <f>IF(C35="","",SUMIFS(Торговля!$H$5:$H$300,Торговля!$E$5:$E$300,$B35)+SUMIFS(Закрытые!$H$5:$H$300,Закрытые!$E$5:$E$300,$B35,Закрытые!$B$5:$B$300,"T-*"))</f>
        <v/>
      </c>
      <c r="F35" s="240" t="str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 t="str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 t="str">
        <f>IF(F35="","",SUMIFS(Торговля!$K$5:$K$300,Торговля!$E$5:$E$300,$B35)+SUMIFS(Закрытые!$K$5:$K$300,Закрытые!$E$5:$E$300,$B35,Закрытые!$B$5:$B$300,"T-*"))</f>
        <v/>
      </c>
      <c r="I35" s="240" t="str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 t="str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 t="str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 t="str">
        <f>IF(C36="","",SUMIFS(Торговля!$H$5:$H$300,Торговля!$E$5:$E$300,$B36)+SUMIFS(Закрытые!$H$5:$H$300,Закрытые!$E$5:$E$300,$B36,Закрытые!$B$5:$B$300,"T-*"))</f>
        <v/>
      </c>
      <c r="F36" s="246" t="str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 t="str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 t="str">
        <f>IF(F36="","",SUMIFS(Торговля!$K$5:$K$300,Торговля!$E$5:$E$300,$B36)+SUMIFS(Закрытые!$K$5:$K$300,Закрытые!$E$5:$E$300,$B36,Закрытые!$B$5:$B$300,"T-*"))</f>
        <v/>
      </c>
      <c r="I36" s="246" t="str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 t="str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 t="str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 t="str">
        <f>IF(C37="","",SUMIFS(Торговля!$H$5:$H$300,Торговля!$E$5:$E$300,$B37)+SUMIFS(Закрытые!$H$5:$H$300,Закрытые!$E$5:$E$300,$B37,Закрытые!$B$5:$B$300,"T-*"))</f>
        <v/>
      </c>
      <c r="F37" s="240" t="str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 t="str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 t="str">
        <f>IF(F37="","",SUMIFS(Торговля!$K$5:$K$300,Торговля!$E$5:$E$300,$B37)+SUMIFS(Закрытые!$K$5:$K$300,Закрытые!$E$5:$E$300,$B37,Закрытые!$B$5:$B$300,"T-*"))</f>
        <v/>
      </c>
      <c r="I37" s="240" t="str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 t="str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 t="str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 t="str">
        <f>IF(C38="","",SUMIFS(Торговля!$H$5:$H$300,Торговля!$E$5:$E$300,$B38)+SUMIFS(Закрытые!$H$5:$H$300,Закрытые!$E$5:$E$300,$B38,Закрытые!$B$5:$B$300,"T-*"))</f>
        <v/>
      </c>
      <c r="F38" s="246" t="str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 t="str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 t="str">
        <f>IF(F38="","",SUMIFS(Торговля!$K$5:$K$300,Торговля!$E$5:$E$300,$B38)+SUMIFS(Закрытые!$K$5:$K$300,Закрытые!$E$5:$E$300,$B38,Закрытые!$B$5:$B$300,"T-*"))</f>
        <v/>
      </c>
      <c r="I38" s="246" t="str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 t="str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 t="str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 t="str">
        <f>IF(C39="","",SUMIFS(Торговля!$H$5:$H$300,Торговля!$E$5:$E$300,$B39)+SUMIFS(Закрытые!$H$5:$H$300,Закрытые!$E$5:$E$300,$B39,Закрытые!$B$5:$B$300,"T-*"))</f>
        <v/>
      </c>
      <c r="F39" s="240" t="str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 t="str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 t="str">
        <f>IF(F39="","",SUMIFS(Торговля!$K$5:$K$300,Торговля!$E$5:$E$300,$B39)+SUMIFS(Закрытые!$K$5:$K$300,Закрытые!$E$5:$E$300,$B39,Закрытые!$B$5:$B$300,"T-*"))</f>
        <v/>
      </c>
      <c r="I39" s="240" t="str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 t="str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 t="str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 t="str">
        <f>IF(C40="","",SUMIFS(Торговля!$H$5:$H$300,Торговля!$E$5:$E$300,$B40)+SUMIFS(Закрытые!$H$5:$H$300,Закрытые!$E$5:$E$300,$B40,Закрытые!$B$5:$B$300,"T-*"))</f>
        <v/>
      </c>
      <c r="F40" s="246" t="str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 t="str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 t="str">
        <f>IF(F40="","",SUMIFS(Торговля!$K$5:$K$300,Торговля!$E$5:$E$300,$B40)+SUMIFS(Закрытые!$K$5:$K$300,Закрытые!$E$5:$E$300,$B40,Закрытые!$B$5:$B$300,"T-*"))</f>
        <v/>
      </c>
      <c r="I40" s="246" t="str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 t="str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 t="str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 t="str">
        <f>IF(C41="","",SUMIFS(Торговля!$H$5:$H$300,Торговля!$E$5:$E$300,$B41)+SUMIFS(Закрытые!$H$5:$H$300,Закрытые!$E$5:$E$300,$B41,Закрытые!$B$5:$B$300,"T-*"))</f>
        <v/>
      </c>
      <c r="F41" s="240" t="str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 t="str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 t="str">
        <f>IF(F41="","",SUMIFS(Торговля!$K$5:$K$300,Торговля!$E$5:$E$300,$B41)+SUMIFS(Закрытые!$K$5:$K$300,Закрытые!$E$5:$E$300,$B41,Закрытые!$B$5:$B$300,"T-*"))</f>
        <v/>
      </c>
      <c r="I41" s="240" t="str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 t="str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 t="str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 t="str">
        <f>IF(C42="","",SUMIFS(Торговля!$H$5:$H$300,Торговля!$E$5:$E$300,$B42)+SUMIFS(Закрытые!$H$5:$H$300,Закрытые!$E$5:$E$300,$B42,Закрытые!$B$5:$B$300,"T-*"))</f>
        <v/>
      </c>
      <c r="F42" s="246" t="str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 t="str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 t="str">
        <f>IF(F42="","",SUMIFS(Торговля!$K$5:$K$300,Торговля!$E$5:$E$300,$B42)+SUMIFS(Закрытые!$K$5:$K$300,Закрытые!$E$5:$E$300,$B42,Закрытые!$B$5:$B$300,"T-*"))</f>
        <v/>
      </c>
      <c r="I42" s="246" t="str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 t="str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 t="str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 t="str">
        <f>IF(C43="","",SUMIFS(Торговля!$H$5:$H$300,Торговля!$E$5:$E$300,$B43)+SUMIFS(Закрытые!$H$5:$H$300,Закрытые!$E$5:$E$300,$B43,Закрытые!$B$5:$B$300,"T-*"))</f>
        <v/>
      </c>
      <c r="F43" s="240" t="str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 t="str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 t="str">
        <f>IF(F43="","",SUMIFS(Торговля!$K$5:$K$300,Торговля!$E$5:$E$300,$B43)+SUMIFS(Закрытые!$K$5:$K$300,Закрытые!$E$5:$E$300,$B43,Закрытые!$B$5:$B$300,"T-*"))</f>
        <v/>
      </c>
      <c r="I43" s="240" t="str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 t="str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 t="str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 t="str">
        <f>IF(C44="","",SUMIFS(Торговля!$H$5:$H$300,Торговля!$E$5:$E$300,$B44)+SUMIFS(Закрытые!$H$5:$H$300,Закрытые!$E$5:$E$300,$B44,Закрытые!$B$5:$B$300,"T-*"))</f>
        <v/>
      </c>
      <c r="F44" s="246" t="str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 t="str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 t="str">
        <f>IF(F44="","",SUMIFS(Торговля!$K$5:$K$300,Торговля!$E$5:$E$300,$B44)+SUMIFS(Закрытые!$K$5:$K$300,Закрытые!$E$5:$E$300,$B44,Закрытые!$B$5:$B$300,"T-*"))</f>
        <v/>
      </c>
      <c r="I44" s="246" t="str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 t="str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 t="str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 t="str">
        <f>IF(C45="","",SUMIFS(Торговля!$H$5:$H$300,Торговля!$E$5:$E$300,$B45)+SUMIFS(Закрытые!$H$5:$H$300,Закрытые!$E$5:$E$300,$B45,Закрытые!$B$5:$B$300,"T-*"))</f>
        <v/>
      </c>
      <c r="F45" s="240" t="str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 t="str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 t="str">
        <f>IF(F45="","",SUMIFS(Торговля!$K$5:$K$300,Торговля!$E$5:$E$300,$B45)+SUMIFS(Закрытые!$K$5:$K$300,Закрытые!$E$5:$E$300,$B45,Закрытые!$B$5:$B$300,"T-*"))</f>
        <v/>
      </c>
      <c r="I45" s="240" t="str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 t="str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 t="str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 t="str">
        <f>IF(C46="","",SUMIFS(Торговля!$H$5:$H$300,Торговля!$E$5:$E$300,$B46)+SUMIFS(Закрытые!$H$5:$H$300,Закрытые!$E$5:$E$300,$B46,Закрытые!$B$5:$B$300,"T-*"))</f>
        <v/>
      </c>
      <c r="F46" s="246" t="str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 t="str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 t="str">
        <f>IF(F46="","",SUMIFS(Торговля!$K$5:$K$300,Торговля!$E$5:$E$300,$B46)+SUMIFS(Закрытые!$K$5:$K$300,Закрытые!$E$5:$E$300,$B46,Закрытые!$B$5:$B$300,"T-*"))</f>
        <v/>
      </c>
      <c r="I46" s="246" t="str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 t="str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 t="str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 t="str">
        <f>IF(C47="","",SUMIFS(Торговля!$H$5:$H$300,Торговля!$E$5:$E$300,$B47)+SUMIFS(Закрытые!$H$5:$H$300,Закрытые!$E$5:$E$300,$B47,Закрытые!$B$5:$B$300,"T-*"))</f>
        <v/>
      </c>
      <c r="F47" s="240" t="str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 t="str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 t="str">
        <f>IF(F47="","",SUMIFS(Торговля!$K$5:$K$300,Торговля!$E$5:$E$300,$B47)+SUMIFS(Закрытые!$K$5:$K$300,Закрытые!$E$5:$E$300,$B47,Закрытые!$B$5:$B$300,"T-*"))</f>
        <v/>
      </c>
      <c r="I47" s="240" t="str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 t="str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 t="str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 t="str">
        <f>IF(C48="","",SUMIFS(Торговля!$H$5:$H$300,Торговля!$E$5:$E$300,$B48)+SUMIFS(Закрытые!$H$5:$H$300,Закрытые!$E$5:$E$300,$B48,Закрытые!$B$5:$B$300,"T-*"))</f>
        <v/>
      </c>
      <c r="F48" s="246" t="str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 t="str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 t="str">
        <f>IF(F48="","",SUMIFS(Торговля!$K$5:$K$300,Торговля!$E$5:$E$300,$B48)+SUMIFS(Закрытые!$K$5:$K$300,Закрытые!$E$5:$E$300,$B48,Закрытые!$B$5:$B$300,"T-*"))</f>
        <v/>
      </c>
      <c r="I48" s="246" t="str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 t="str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 t="str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 t="str">
        <f>IF(C49="","",SUMIFS(Торговля!$H$5:$H$300,Торговля!$E$5:$E$300,$B49)+SUMIFS(Закрытые!$H$5:$H$300,Закрытые!$E$5:$E$300,$B49,Закрытые!$B$5:$B$300,"T-*"))</f>
        <v/>
      </c>
      <c r="F49" s="240" t="str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 t="str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 t="str">
        <f>IF(F49="","",SUMIFS(Торговля!$K$5:$K$300,Торговля!$E$5:$E$300,$B49)+SUMIFS(Закрытые!$K$5:$K$300,Закрытые!$E$5:$E$300,$B49,Закрытые!$B$5:$B$300,"T-*"))</f>
        <v/>
      </c>
      <c r="I49" s="240" t="str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 t="str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 t="str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 t="str">
        <f>IF(C50="","",SUMIFS(Торговля!$H$5:$H$300,Торговля!$E$5:$E$300,$B50)+SUMIFS(Закрытые!$H$5:$H$300,Закрытые!$E$5:$E$300,$B50,Закрытые!$B$5:$B$300,"T-*"))</f>
        <v/>
      </c>
      <c r="F50" s="246" t="str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 t="str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 t="str">
        <f>IF(F50="","",SUMIFS(Торговля!$K$5:$K$300,Торговля!$E$5:$E$300,$B50)+SUMIFS(Закрытые!$K$5:$K$300,Закрытые!$E$5:$E$300,$B50,Закрытые!$B$5:$B$300,"T-*"))</f>
        <v/>
      </c>
      <c r="I50" s="246" t="str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 t="str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 t="str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 t="str">
        <f>IF(C51="","",SUMIFS(Торговля!$H$5:$H$300,Торговля!$E$5:$E$300,$B51)+SUMIFS(Закрытые!$H$5:$H$300,Закрытые!$E$5:$E$300,$B51,Закрытые!$B$5:$B$300,"T-*"))</f>
        <v/>
      </c>
      <c r="F51" s="240" t="str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 t="str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 t="str">
        <f>IF(F51="","",SUMIFS(Торговля!$K$5:$K$300,Торговля!$E$5:$E$300,$B51)+SUMIFS(Закрытые!$K$5:$K$300,Закрытые!$E$5:$E$300,$B51,Закрытые!$B$5:$B$300,"T-*"))</f>
        <v/>
      </c>
      <c r="I51" s="240" t="str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 t="str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 t="str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 t="str">
        <f>IF(C52="","",SUMIFS(Торговля!$H$5:$H$300,Торговля!$E$5:$E$300,$B52)+SUMIFS(Закрытые!$H$5:$H$300,Закрытые!$E$5:$E$300,$B52,Закрытые!$B$5:$B$300,"T-*"))</f>
        <v/>
      </c>
      <c r="F52" s="246" t="str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 t="str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 t="str">
        <f>IF(F52="","",SUMIFS(Торговля!$K$5:$K$300,Торговля!$E$5:$E$300,$B52)+SUMIFS(Закрытые!$K$5:$K$300,Закрытые!$E$5:$E$300,$B52,Закрытые!$B$5:$B$300,"T-*"))</f>
        <v/>
      </c>
      <c r="I52" s="246" t="str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 t="str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 t="str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 t="str">
        <f>IF(C53="","",SUMIFS(Торговля!$H$5:$H$300,Торговля!$E$5:$E$300,$B53)+SUMIFS(Закрытые!$H$5:$H$300,Закрытые!$E$5:$E$300,$B53,Закрытые!$B$5:$B$300,"T-*"))</f>
        <v/>
      </c>
      <c r="F53" s="240" t="str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 t="str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 t="str">
        <f>IF(F53="","",SUMIFS(Торговля!$K$5:$K$300,Торговля!$E$5:$E$300,$B53)+SUMIFS(Закрытые!$K$5:$K$300,Закрытые!$E$5:$E$300,$B53,Закрытые!$B$5:$B$300,"T-*"))</f>
        <v/>
      </c>
      <c r="I53" s="240" t="str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 t="str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 t="str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 t="str">
        <f>IF(C54="","",SUMIFS(Торговля!$H$5:$H$300,Торговля!$E$5:$E$300,$B54)+SUMIFS(Закрытые!$H$5:$H$300,Закрытые!$E$5:$E$300,$B54,Закрытые!$B$5:$B$300,"T-*"))</f>
        <v/>
      </c>
      <c r="F54" s="246" t="str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 t="str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 t="str">
        <f>IF(F54="","",SUMIFS(Торговля!$K$5:$K$300,Торговля!$E$5:$E$300,$B54)+SUMIFS(Закрытые!$K$5:$K$300,Закрытые!$E$5:$E$300,$B54,Закрытые!$B$5:$B$300,"T-*"))</f>
        <v/>
      </c>
      <c r="I54" s="246" t="str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 t="str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 t="str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 t="str">
        <f>IF(C55="","",SUMIFS(Торговля!$H$5:$H$300,Торговля!$E$5:$E$300,$B55)+SUMIFS(Закрытые!$H$5:$H$300,Закрытые!$E$5:$E$300,$B55,Закрытые!$B$5:$B$300,"T-*"))</f>
        <v/>
      </c>
      <c r="F55" s="240" t="str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 t="str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 t="str">
        <f>IF(F55="","",SUMIFS(Торговля!$K$5:$K$300,Торговля!$E$5:$E$300,$B55)+SUMIFS(Закрытые!$K$5:$K$300,Закрытые!$E$5:$E$300,$B55,Закрытые!$B$5:$B$300,"T-*"))</f>
        <v/>
      </c>
      <c r="I55" s="240" t="str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 t="str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 t="str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 t="str">
        <f>IF(C56="","",SUMIFS(Торговля!$H$5:$H$300,Торговля!$E$5:$E$300,$B56)+SUMIFS(Закрытые!$H$5:$H$300,Закрытые!$E$5:$E$300,$B56,Закрытые!$B$5:$B$300,"T-*"))</f>
        <v/>
      </c>
      <c r="F56" s="246" t="str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 t="str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 t="str">
        <f>IF(F56="","",SUMIFS(Торговля!$K$5:$K$300,Торговля!$E$5:$E$300,$B56)+SUMIFS(Закрытые!$K$5:$K$300,Закрытые!$E$5:$E$300,$B56,Закрытые!$B$5:$B$300,"T-*"))</f>
        <v/>
      </c>
      <c r="I56" s="246" t="str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 t="str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 t="str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 t="str">
        <f>IF(C57="","",SUMIFS(Торговля!$H$5:$H$300,Торговля!$E$5:$E$300,$B57)+SUMIFS(Закрытые!$H$5:$H$300,Закрытые!$E$5:$E$300,$B57,Закрытые!$B$5:$B$300,"T-*"))</f>
        <v/>
      </c>
      <c r="F57" s="240" t="str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 t="str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 t="str">
        <f>IF(F57="","",SUMIFS(Торговля!$K$5:$K$300,Торговля!$E$5:$E$300,$B57)+SUMIFS(Закрытые!$K$5:$K$300,Закрытые!$E$5:$E$300,$B57,Закрытые!$B$5:$B$300,"T-*"))</f>
        <v/>
      </c>
      <c r="I57" s="240" t="str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 t="str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 t="str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 t="str">
        <f>IF(C58="","",SUMIFS(Торговля!$H$5:$H$300,Торговля!$E$5:$E$300,$B58)+SUMIFS(Закрытые!$H$5:$H$300,Закрытые!$E$5:$E$300,$B58,Закрытые!$B$5:$B$300,"T-*"))</f>
        <v/>
      </c>
      <c r="F58" s="246" t="str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 t="str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 t="str">
        <f>IF(F58="","",SUMIFS(Торговля!$K$5:$K$300,Торговля!$E$5:$E$300,$B58)+SUMIFS(Закрытые!$K$5:$K$300,Закрытые!$E$5:$E$300,$B58,Закрытые!$B$5:$B$300,"T-*"))</f>
        <v/>
      </c>
      <c r="I58" s="246" t="str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 t="str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 t="str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 t="str">
        <f>IF(C59="","",SUMIFS(Торговля!$H$5:$H$300,Торговля!$E$5:$E$300,$B59)+SUMIFS(Закрытые!$H$5:$H$300,Закрытые!$E$5:$E$300,$B59,Закрытые!$B$5:$B$300,"T-*"))</f>
        <v/>
      </c>
      <c r="F59" s="240" t="str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 t="str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 t="str">
        <f>IF(F59="","",SUMIFS(Торговля!$K$5:$K$300,Торговля!$E$5:$E$300,$B59)+SUMIFS(Закрытые!$K$5:$K$300,Закрытые!$E$5:$E$300,$B59,Закрытые!$B$5:$B$300,"T-*"))</f>
        <v/>
      </c>
      <c r="I59" s="240" t="str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 t="str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 t="str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 t="str">
        <f>IF(C60="","",SUMIFS(Торговля!$H$5:$H$300,Торговля!$E$5:$E$300,$B60)+SUMIFS(Закрытые!$H$5:$H$300,Закрытые!$E$5:$E$300,$B60,Закрытые!$B$5:$B$300,"T-*"))</f>
        <v/>
      </c>
      <c r="F60" s="246" t="str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 t="str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 t="str">
        <f>IF(F60="","",SUMIFS(Торговля!$K$5:$K$300,Торговля!$E$5:$E$300,$B60)+SUMIFS(Закрытые!$K$5:$K$300,Закрытые!$E$5:$E$300,$B60,Закрытые!$B$5:$B$300,"T-*"))</f>
        <v/>
      </c>
      <c r="I60" s="246" t="str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 t="str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 t="str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 t="str">
        <f>IF(C61="","",SUMIFS(Торговля!$H$5:$H$300,Торговля!$E$5:$E$300,$B61)+SUMIFS(Закрытые!$H$5:$H$300,Закрытые!$E$5:$E$300,$B61,Закрытые!$B$5:$B$300,"T-*"))</f>
        <v/>
      </c>
      <c r="F61" s="240" t="str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 t="str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 t="str">
        <f>IF(F61="","",SUMIFS(Торговля!$K$5:$K$300,Торговля!$E$5:$E$300,$B61)+SUMIFS(Закрытые!$K$5:$K$300,Закрытые!$E$5:$E$300,$B61,Закрытые!$B$5:$B$300,"T-*"))</f>
        <v/>
      </c>
      <c r="I61" s="240" t="str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 t="str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 t="str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 t="str">
        <f>IF(C62="","",SUMIFS(Торговля!$H$5:$H$300,Торговля!$E$5:$E$300,$B62)+SUMIFS(Закрытые!$H$5:$H$300,Закрытые!$E$5:$E$300,$B62,Закрытые!$B$5:$B$300,"T-*"))</f>
        <v/>
      </c>
      <c r="F62" s="246" t="str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 t="str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 t="str">
        <f>IF(F62="","",SUMIFS(Торговля!$K$5:$K$300,Торговля!$E$5:$E$300,$B62)+SUMIFS(Закрытые!$K$5:$K$300,Закрытые!$E$5:$E$300,$B62,Закрытые!$B$5:$B$300,"T-*"))</f>
        <v/>
      </c>
      <c r="I62" s="246" t="str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 t="str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 t="str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 t="str">
        <f>IF(C63="","",SUMIFS(Торговля!$H$5:$H$300,Торговля!$E$5:$E$300,$B63)+SUMIFS(Закрытые!$H$5:$H$300,Закрытые!$E$5:$E$300,$B63,Закрытые!$B$5:$B$300,"T-*"))</f>
        <v/>
      </c>
      <c r="F63" s="240" t="str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 t="str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 t="str">
        <f>IF(F63="","",SUMIFS(Торговля!$K$5:$K$300,Торговля!$E$5:$E$300,$B63)+SUMIFS(Закрытые!$K$5:$K$300,Закрытые!$E$5:$E$300,$B63,Закрытые!$B$5:$B$300,"T-*"))</f>
        <v/>
      </c>
      <c r="I63" s="240" t="str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 t="str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 t="str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 t="str">
        <f>IF(C64="","",SUMIFS(Торговля!$H$5:$H$300,Торговля!$E$5:$E$300,$B64)+SUMIFS(Закрытые!$H$5:$H$300,Закрытые!$E$5:$E$300,$B64,Закрытые!$B$5:$B$300,"T-*"))</f>
        <v/>
      </c>
      <c r="F64" s="246" t="str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 t="str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 t="str">
        <f>IF(F64="","",SUMIFS(Торговля!$K$5:$K$300,Торговля!$E$5:$E$300,$B64)+SUMIFS(Закрытые!$K$5:$K$300,Закрытые!$E$5:$E$300,$B64,Закрытые!$B$5:$B$300,"T-*"))</f>
        <v/>
      </c>
      <c r="I64" s="246" t="str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 t="str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 t="str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 t="str">
        <f>IF(C65="","",SUMIFS(Торговля!$H$5:$H$300,Торговля!$E$5:$E$300,$B65)+SUMIFS(Закрытые!$H$5:$H$300,Закрытые!$E$5:$E$300,$B65,Закрытые!$B$5:$B$300,"T-*"))</f>
        <v/>
      </c>
      <c r="F65" s="240" t="str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 t="str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 t="str">
        <f>IF(F65="","",SUMIFS(Торговля!$K$5:$K$300,Торговля!$E$5:$E$300,$B65)+SUMIFS(Закрытые!$K$5:$K$300,Закрытые!$E$5:$E$300,$B65,Закрытые!$B$5:$B$300,"T-*"))</f>
        <v/>
      </c>
      <c r="I65" s="240" t="str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 t="str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 t="str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 t="str">
        <f>IF(C66="","",SUMIFS(Торговля!$H$5:$H$300,Торговля!$E$5:$E$300,$B66)+SUMIFS(Закрытые!$H$5:$H$300,Закрытые!$E$5:$E$300,$B66,Закрытые!$B$5:$B$300,"T-*"))</f>
        <v/>
      </c>
      <c r="F66" s="246" t="str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 t="str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 t="str">
        <f>IF(F66="","",SUMIFS(Торговля!$K$5:$K$300,Торговля!$E$5:$E$300,$B66)+SUMIFS(Закрытые!$K$5:$K$300,Закрытые!$E$5:$E$300,$B66,Закрытые!$B$5:$B$300,"T-*"))</f>
        <v/>
      </c>
      <c r="I66" s="246" t="str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 t="str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 t="str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 t="str">
        <f>IF(C67="","",SUMIFS(Торговля!$H$5:$H$300,Торговля!$E$5:$E$300,$B67)+SUMIFS(Закрытые!$H$5:$H$300,Закрытые!$E$5:$E$300,$B67,Закрытые!$B$5:$B$300,"T-*"))</f>
        <v/>
      </c>
      <c r="F67" s="240" t="str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 t="str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 t="str">
        <f>IF(F67="","",SUMIFS(Торговля!$K$5:$K$300,Торговля!$E$5:$E$300,$B67)+SUMIFS(Закрытые!$K$5:$K$300,Закрытые!$E$5:$E$300,$B67,Закрытые!$B$5:$B$300,"T-*"))</f>
        <v/>
      </c>
      <c r="I67" s="240" t="str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 t="str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 t="str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 t="str">
        <f>IF(C68="","",SUMIFS(Торговля!$H$5:$H$300,Торговля!$E$5:$E$300,$B68)+SUMIFS(Закрытые!$H$5:$H$300,Закрытые!$E$5:$E$300,$B68,Закрытые!$B$5:$B$300,"T-*"))</f>
        <v/>
      </c>
      <c r="F68" s="246" t="str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 t="str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 t="str">
        <f>IF(F68="","",SUMIFS(Торговля!$K$5:$K$300,Торговля!$E$5:$E$300,$B68)+SUMIFS(Закрытые!$K$5:$K$300,Закрытые!$E$5:$E$300,$B68,Закрытые!$B$5:$B$300,"T-*"))</f>
        <v/>
      </c>
      <c r="I68" s="246" t="str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 t="str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 t="str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 t="str">
        <f>IF(C69="","",SUMIFS(Торговля!$H$5:$H$300,Торговля!$E$5:$E$300,$B69)+SUMIFS(Закрытые!$H$5:$H$300,Закрытые!$E$5:$E$300,$B69,Закрытые!$B$5:$B$300,"T-*"))</f>
        <v/>
      </c>
      <c r="F69" s="240" t="str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 t="str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 t="str">
        <f>IF(F69="","",SUMIFS(Торговля!$K$5:$K$300,Торговля!$E$5:$E$300,$B69)+SUMIFS(Закрытые!$K$5:$K$300,Закрытые!$E$5:$E$300,$B69,Закрытые!$B$5:$B$300,"T-*"))</f>
        <v/>
      </c>
      <c r="I69" s="240" t="str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 t="str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 t="str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 t="str">
        <f>IF(C70="","",SUMIFS(Торговля!$H$5:$H$300,Торговля!$E$5:$E$300,$B70)+SUMIFS(Закрытые!$H$5:$H$300,Закрытые!$E$5:$E$300,$B70,Закрытые!$B$5:$B$300,"T-*"))</f>
        <v/>
      </c>
      <c r="F70" s="246" t="str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 t="str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 t="str">
        <f>IF(F70="","",SUMIFS(Торговля!$K$5:$K$300,Торговля!$E$5:$E$300,$B70)+SUMIFS(Закрытые!$K$5:$K$300,Закрытые!$E$5:$E$300,$B70,Закрытые!$B$5:$B$300,"T-*"))</f>
        <v/>
      </c>
      <c r="I70" s="246" t="str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 t="str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 t="str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 t="str">
        <f>IF(C71="","",SUMIFS(Торговля!$H$5:$H$300,Торговля!$E$5:$E$300,$B71)+SUMIFS(Закрытые!$H$5:$H$300,Закрытые!$E$5:$E$300,$B71,Закрытые!$B$5:$B$300,"T-*"))</f>
        <v/>
      </c>
      <c r="F71" s="240" t="str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 t="str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 t="str">
        <f>IF(F71="","",SUMIFS(Торговля!$K$5:$K$300,Торговля!$E$5:$E$300,$B71)+SUMIFS(Закрытые!$K$5:$K$300,Закрытые!$E$5:$E$300,$B71,Закрытые!$B$5:$B$300,"T-*"))</f>
        <v/>
      </c>
      <c r="I71" s="240" t="str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 t="str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 t="str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 t="str">
        <f>IF(C72="","",SUMIFS(Торговля!$H$5:$H$300,Торговля!$E$5:$E$300,$B72)+SUMIFS(Закрытые!$H$5:$H$300,Закрытые!$E$5:$E$300,$B72,Закрытые!$B$5:$B$300,"T-*"))</f>
        <v/>
      </c>
      <c r="F72" s="246" t="str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 t="str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 t="str">
        <f>IF(F72="","",SUMIFS(Торговля!$K$5:$K$300,Торговля!$E$5:$E$300,$B72)+SUMIFS(Закрытые!$K$5:$K$300,Закрытые!$E$5:$E$300,$B72,Закрытые!$B$5:$B$300,"T-*"))</f>
        <v/>
      </c>
      <c r="I72" s="246" t="str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 t="str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 t="str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 t="str">
        <f>IF(C73="","",SUMIFS(Торговля!$H$5:$H$300,Торговля!$E$5:$E$300,$B73)+SUMIFS(Закрытые!$H$5:$H$300,Закрытые!$E$5:$E$300,$B73,Закрытые!$B$5:$B$300,"T-*"))</f>
        <v/>
      </c>
      <c r="F73" s="240" t="str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 t="str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 t="str">
        <f>IF(F73="","",SUMIFS(Торговля!$K$5:$K$300,Торговля!$E$5:$E$300,$B73)+SUMIFS(Закрытые!$K$5:$K$300,Закрытые!$E$5:$E$300,$B73,Закрытые!$B$5:$B$300,"T-*"))</f>
        <v/>
      </c>
      <c r="I73" s="240" t="str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 t="str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 t="str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 t="str">
        <f>IF(C74="","",SUMIFS(Торговля!$H$5:$H$300,Торговля!$E$5:$E$300,$B74)+SUMIFS(Закрытые!$H$5:$H$300,Закрытые!$E$5:$E$300,$B74,Закрытые!$B$5:$B$300,"T-*"))</f>
        <v/>
      </c>
      <c r="F74" s="246" t="str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 t="str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 t="str">
        <f>IF(F74="","",SUMIFS(Торговля!$K$5:$K$300,Торговля!$E$5:$E$300,$B74)+SUMIFS(Закрытые!$K$5:$K$300,Закрытые!$E$5:$E$300,$B74,Закрытые!$B$5:$B$300,"T-*"))</f>
        <v/>
      </c>
      <c r="I74" s="246" t="str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 t="str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 t="str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 t="str">
        <f>IF(C75="","",SUMIFS(Торговля!$H$5:$H$300,Торговля!$E$5:$E$300,$B75)+SUMIFS(Закрытые!$H$5:$H$300,Закрытые!$E$5:$E$300,$B75,Закрытые!$B$5:$B$300,"T-*"))</f>
        <v/>
      </c>
      <c r="F75" s="240" t="str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 t="str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 t="str">
        <f>IF(F75="","",SUMIFS(Торговля!$K$5:$K$300,Торговля!$E$5:$E$300,$B75)+SUMIFS(Закрытые!$K$5:$K$300,Закрытые!$E$5:$E$300,$B75,Закрытые!$B$5:$B$300,"T-*"))</f>
        <v/>
      </c>
      <c r="I75" s="240" t="str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 t="str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 t="str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 t="str">
        <f>IF(C76="","",SUMIFS(Торговля!$H$5:$H$300,Торговля!$E$5:$E$300,$B76)+SUMIFS(Закрытые!$H$5:$H$300,Закрытые!$E$5:$E$300,$B76,Закрытые!$B$5:$B$300,"T-*"))</f>
        <v/>
      </c>
      <c r="F76" s="246" t="str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 t="str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 t="str">
        <f>IF(F76="","",SUMIFS(Торговля!$K$5:$K$300,Торговля!$E$5:$E$300,$B76)+SUMIFS(Закрытые!$K$5:$K$300,Закрытые!$E$5:$E$300,$B76,Закрытые!$B$5:$B$300,"T-*"))</f>
        <v/>
      </c>
      <c r="I76" s="246" t="str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 t="str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 t="str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 t="str">
        <f>IF(C77="","",SUMIFS(Торговля!$H$5:$H$300,Торговля!$E$5:$E$300,$B77)+SUMIFS(Закрытые!$H$5:$H$300,Закрытые!$E$5:$E$300,$B77,Закрытые!$B$5:$B$300,"T-*"))</f>
        <v/>
      </c>
      <c r="F77" s="240" t="str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 t="str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 t="str">
        <f>IF(F77="","",SUMIFS(Торговля!$K$5:$K$300,Торговля!$E$5:$E$300,$B77)+SUMIFS(Закрытые!$K$5:$K$300,Закрытые!$E$5:$E$300,$B77,Закрытые!$B$5:$B$300,"T-*"))</f>
        <v/>
      </c>
      <c r="I77" s="240" t="str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 t="str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 t="str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 t="str">
        <f>IF(C78="","",SUMIFS(Торговля!$H$5:$H$300,Торговля!$E$5:$E$300,$B78)+SUMIFS(Закрытые!$H$5:$H$300,Закрытые!$E$5:$E$300,$B78,Закрытые!$B$5:$B$300,"T-*"))</f>
        <v/>
      </c>
      <c r="F78" s="246" t="str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 t="str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 t="str">
        <f>IF(F78="","",SUMIFS(Торговля!$K$5:$K$300,Торговля!$E$5:$E$300,$B78)+SUMIFS(Закрытые!$K$5:$K$300,Закрытые!$E$5:$E$300,$B78,Закрытые!$B$5:$B$300,"T-*"))</f>
        <v/>
      </c>
      <c r="I78" s="246" t="str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 t="str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 t="str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 t="str">
        <f>IF(C79="","",SUMIFS(Торговля!$H$5:$H$300,Торговля!$E$5:$E$300,$B79)+SUMIFS(Закрытые!$H$5:$H$300,Закрытые!$E$5:$E$300,$B79,Закрытые!$B$5:$B$300,"T-*"))</f>
        <v/>
      </c>
      <c r="F79" s="240" t="str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 t="str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 t="str">
        <f>IF(F79="","",SUMIFS(Торговля!$K$5:$K$300,Торговля!$E$5:$E$300,$B79)+SUMIFS(Закрытые!$K$5:$K$300,Закрытые!$E$5:$E$300,$B79,Закрытые!$B$5:$B$300,"T-*"))</f>
        <v/>
      </c>
      <c r="I79" s="240" t="str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 t="str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 t="str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 t="str">
        <f>IF(C80="","",SUMIFS(Торговля!$H$5:$H$300,Торговля!$E$5:$E$300,$B80)+SUMIFS(Закрытые!$H$5:$H$300,Закрытые!$E$5:$E$300,$B80,Закрытые!$B$5:$B$300,"T-*"))</f>
        <v/>
      </c>
      <c r="F80" s="246" t="str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 t="str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 t="str">
        <f>IF(F80="","",SUMIFS(Торговля!$K$5:$K$300,Торговля!$E$5:$E$300,$B80)+SUMIFS(Закрытые!$K$5:$K$300,Закрытые!$E$5:$E$300,$B80,Закрытые!$B$5:$B$300,"T-*"))</f>
        <v/>
      </c>
      <c r="I80" s="246" t="str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 t="str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 t="str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 t="str">
        <f>IF(C81="","",SUMIFS(Торговля!$H$5:$H$300,Торговля!$E$5:$E$300,$B81)+SUMIFS(Закрытые!$H$5:$H$300,Закрытые!$E$5:$E$300,$B81,Закрытые!$B$5:$B$300,"T-*"))</f>
        <v/>
      </c>
      <c r="F81" s="240" t="str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 t="str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 t="str">
        <f>IF(F81="","",SUMIFS(Торговля!$K$5:$K$300,Торговля!$E$5:$E$300,$B81)+SUMIFS(Закрытые!$K$5:$K$300,Закрытые!$E$5:$E$300,$B81,Закрытые!$B$5:$B$300,"T-*"))</f>
        <v/>
      </c>
      <c r="I81" s="240" t="str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 t="str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 t="str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 t="str">
        <f>IF(C82="","",SUMIFS(Торговля!$H$5:$H$300,Торговля!$E$5:$E$300,$B82)+SUMIFS(Закрытые!$H$5:$H$300,Закрытые!$E$5:$E$300,$B82,Закрытые!$B$5:$B$300,"T-*"))</f>
        <v/>
      </c>
      <c r="F82" s="246" t="str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 t="str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 t="str">
        <f>IF(F82="","",SUMIFS(Торговля!$K$5:$K$300,Торговля!$E$5:$E$300,$B82)+SUMIFS(Закрытые!$K$5:$K$300,Закрытые!$E$5:$E$300,$B82,Закрытые!$B$5:$B$300,"T-*"))</f>
        <v/>
      </c>
      <c r="I82" s="246" t="str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 t="str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 t="str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 t="str">
        <f>IF(C83="","",SUMIFS(Торговля!$H$5:$H$300,Торговля!$E$5:$E$300,$B83)+SUMIFS(Закрытые!$H$5:$H$300,Закрытые!$E$5:$E$300,$B83,Закрытые!$B$5:$B$300,"T-*"))</f>
        <v/>
      </c>
      <c r="F83" s="240" t="str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 t="str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 t="str">
        <f>IF(F83="","",SUMIFS(Торговля!$K$5:$K$300,Торговля!$E$5:$E$300,$B83)+SUMIFS(Закрытые!$K$5:$K$300,Закрытые!$E$5:$E$300,$B83,Закрытые!$B$5:$B$300,"T-*"))</f>
        <v/>
      </c>
      <c r="I83" s="240" t="str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 t="str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 t="str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 t="str">
        <f>IF(C84="","",SUMIFS(Торговля!$H$5:$H$300,Торговля!$E$5:$E$300,$B84)+SUMIFS(Закрытые!$H$5:$H$300,Закрытые!$E$5:$E$300,$B84,Закрытые!$B$5:$B$300,"T-*"))</f>
        <v/>
      </c>
      <c r="F84" s="246" t="str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 t="str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 t="str">
        <f>IF(F84="","",SUMIFS(Торговля!$K$5:$K$300,Торговля!$E$5:$E$300,$B84)+SUMIFS(Закрытые!$K$5:$K$300,Закрытые!$E$5:$E$300,$B84,Закрытые!$B$5:$B$300,"T-*"))</f>
        <v/>
      </c>
      <c r="I84" s="246" t="str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 t="str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 t="str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 t="str">
        <f>IF(C85="","",SUMIFS(Торговля!$H$5:$H$300,Торговля!$E$5:$E$300,$B85)+SUMIFS(Закрытые!$H$5:$H$300,Закрытые!$E$5:$E$300,$B85,Закрытые!$B$5:$B$300,"T-*"))</f>
        <v/>
      </c>
      <c r="F85" s="240" t="str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 t="str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 t="str">
        <f>IF(F85="","",SUMIFS(Торговля!$K$5:$K$300,Торговля!$E$5:$E$300,$B85)+SUMIFS(Закрытые!$K$5:$K$300,Закрытые!$E$5:$E$300,$B85,Закрытые!$B$5:$B$300,"T-*"))</f>
        <v/>
      </c>
      <c r="I85" s="240" t="str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 t="str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 t="str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 t="str">
        <f>IF(C86="","",SUMIFS(Торговля!$H$5:$H$300,Торговля!$E$5:$E$300,$B86)+SUMIFS(Закрытые!$H$5:$H$300,Закрытые!$E$5:$E$300,$B86,Закрытые!$B$5:$B$300,"T-*"))</f>
        <v/>
      </c>
      <c r="F86" s="246" t="str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 t="str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 t="str">
        <f>IF(F86="","",SUMIFS(Торговля!$K$5:$K$300,Торговля!$E$5:$E$300,$B86)+SUMIFS(Закрытые!$K$5:$K$300,Закрытые!$E$5:$E$300,$B86,Закрытые!$B$5:$B$300,"T-*"))</f>
        <v/>
      </c>
      <c r="I86" s="246" t="str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 t="str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 t="str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 t="str">
        <f>IF(C87="","",SUMIFS(Торговля!$H$5:$H$300,Торговля!$E$5:$E$300,$B87)+SUMIFS(Закрытые!$H$5:$H$300,Закрытые!$E$5:$E$300,$B87,Закрытые!$B$5:$B$300,"T-*"))</f>
        <v/>
      </c>
      <c r="F87" s="240" t="str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 t="str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 t="str">
        <f>IF(F87="","",SUMIFS(Торговля!$K$5:$K$300,Торговля!$E$5:$E$300,$B87)+SUMIFS(Закрытые!$K$5:$K$300,Закрытые!$E$5:$E$300,$B87,Закрытые!$B$5:$B$300,"T-*"))</f>
        <v/>
      </c>
      <c r="I87" s="240" t="str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 t="str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 t="str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 t="str">
        <f>IF(C88="","",SUMIFS(Торговля!$H$5:$H$300,Торговля!$E$5:$E$300,$B88)+SUMIFS(Закрытые!$H$5:$H$300,Закрытые!$E$5:$E$300,$B88,Закрытые!$B$5:$B$300,"T-*"))</f>
        <v/>
      </c>
      <c r="F88" s="246" t="str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 t="str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 t="str">
        <f>IF(F88="","",SUMIFS(Торговля!$K$5:$K$300,Торговля!$E$5:$E$300,$B88)+SUMIFS(Закрытые!$K$5:$K$300,Закрытые!$E$5:$E$300,$B88,Закрытые!$B$5:$B$300,"T-*"))</f>
        <v/>
      </c>
      <c r="I88" s="246" t="str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 t="str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 t="str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 t="str">
        <f>IF(C89="","",SUMIFS(Торговля!$H$5:$H$300,Торговля!$E$5:$E$300,$B89)+SUMIFS(Закрытые!$H$5:$H$300,Закрытые!$E$5:$E$300,$B89,Закрытые!$B$5:$B$300,"T-*"))</f>
        <v/>
      </c>
      <c r="F89" s="240" t="str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 t="str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 t="str">
        <f>IF(F89="","",SUMIFS(Торговля!$K$5:$K$300,Торговля!$E$5:$E$300,$B89)+SUMIFS(Закрытые!$K$5:$K$300,Закрытые!$E$5:$E$300,$B89,Закрытые!$B$5:$B$300,"T-*"))</f>
        <v/>
      </c>
      <c r="I89" s="240" t="str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 t="str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 t="str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 t="str">
        <f>IF(C90="","",SUMIFS(Торговля!$H$5:$H$300,Торговля!$E$5:$E$300,$B90)+SUMIFS(Закрытые!$H$5:$H$300,Закрытые!$E$5:$E$300,$B90,Закрытые!$B$5:$B$300,"T-*"))</f>
        <v/>
      </c>
      <c r="F90" s="246" t="str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 t="str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 t="str">
        <f>IF(F90="","",SUMIFS(Торговля!$K$5:$K$300,Торговля!$E$5:$E$300,$B90)+SUMIFS(Закрытые!$K$5:$K$300,Закрытые!$E$5:$E$300,$B90,Закрытые!$B$5:$B$300,"T-*"))</f>
        <v/>
      </c>
      <c r="I90" s="246" t="str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 t="str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 t="str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 t="str">
        <f>IF(C91="","",SUMIFS(Торговля!$H$5:$H$300,Торговля!$E$5:$E$300,$B91)+SUMIFS(Закрытые!$H$5:$H$300,Закрытые!$E$5:$E$300,$B91,Закрытые!$B$5:$B$300,"T-*"))</f>
        <v/>
      </c>
      <c r="F91" s="240" t="str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 t="str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 t="str">
        <f>IF(F91="","",SUMIFS(Торговля!$K$5:$K$300,Торговля!$E$5:$E$300,$B91)+SUMIFS(Закрытые!$K$5:$K$300,Закрытые!$E$5:$E$300,$B91,Закрытые!$B$5:$B$300,"T-*"))</f>
        <v/>
      </c>
      <c r="I91" s="240" t="str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 t="str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 t="str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 t="str">
        <f>IF(C92="","",SUMIFS(Торговля!$H$5:$H$300,Торговля!$E$5:$E$300,$B92)+SUMIFS(Закрытые!$H$5:$H$300,Закрытые!$E$5:$E$300,$B92,Закрытые!$B$5:$B$300,"T-*"))</f>
        <v/>
      </c>
      <c r="F92" s="246" t="str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 t="str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 t="str">
        <f>IF(F92="","",SUMIFS(Торговля!$K$5:$K$300,Торговля!$E$5:$E$300,$B92)+SUMIFS(Закрытые!$K$5:$K$300,Закрытые!$E$5:$E$300,$B92,Закрытые!$B$5:$B$300,"T-*"))</f>
        <v/>
      </c>
      <c r="I92" s="246" t="str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 t="str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 t="str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 t="str">
        <f>IF(C93="","",SUMIFS(Торговля!$H$5:$H$300,Торговля!$E$5:$E$300,$B93)+SUMIFS(Закрытые!$H$5:$H$300,Закрытые!$E$5:$E$300,$B93,Закрытые!$B$5:$B$300,"T-*"))</f>
        <v/>
      </c>
      <c r="F93" s="240" t="str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 t="str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 t="str">
        <f>IF(F93="","",SUMIFS(Торговля!$K$5:$K$300,Торговля!$E$5:$E$300,$B93)+SUMIFS(Закрытые!$K$5:$K$300,Закрытые!$E$5:$E$300,$B93,Закрытые!$B$5:$B$300,"T-*"))</f>
        <v/>
      </c>
      <c r="I93" s="240" t="str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 t="str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 t="str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 t="str">
        <f>IF(C94="","",SUMIFS(Торговля!$H$5:$H$300,Торговля!$E$5:$E$300,$B94)+SUMIFS(Закрытые!$H$5:$H$300,Закрытые!$E$5:$E$300,$B94,Закрытые!$B$5:$B$300,"T-*"))</f>
        <v/>
      </c>
      <c r="F94" s="246" t="str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 t="str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 t="str">
        <f>IF(F94="","",SUMIFS(Торговля!$K$5:$K$300,Торговля!$E$5:$E$300,$B94)+SUMIFS(Закрытые!$K$5:$K$300,Закрытые!$E$5:$E$300,$B94,Закрытые!$B$5:$B$300,"T-*"))</f>
        <v/>
      </c>
      <c r="I94" s="246" t="str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 t="str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 t="str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 t="str">
        <f>IF(C95="","",SUMIFS(Торговля!$H$5:$H$300,Торговля!$E$5:$E$300,$B95)+SUMIFS(Закрытые!$H$5:$H$300,Закрытые!$E$5:$E$300,$B95,Закрытые!$B$5:$B$300,"T-*"))</f>
        <v/>
      </c>
      <c r="F95" s="240" t="str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 t="str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 t="str">
        <f>IF(F95="","",SUMIFS(Торговля!$K$5:$K$300,Торговля!$E$5:$E$300,$B95)+SUMIFS(Закрытые!$K$5:$K$300,Закрытые!$E$5:$E$300,$B95,Закрытые!$B$5:$B$300,"T-*"))</f>
        <v/>
      </c>
      <c r="I95" s="240" t="str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 t="str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 t="str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 t="str">
        <f>IF(C96="","",SUMIFS(Торговля!$H$5:$H$300,Торговля!$E$5:$E$300,$B96)+SUMIFS(Закрытые!$H$5:$H$300,Закрытые!$E$5:$E$300,$B96,Закрытые!$B$5:$B$300,"T-*"))</f>
        <v/>
      </c>
      <c r="F96" s="246" t="str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 t="str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 t="str">
        <f>IF(F96="","",SUMIFS(Торговля!$K$5:$K$300,Торговля!$E$5:$E$300,$B96)+SUMIFS(Закрытые!$K$5:$K$300,Закрытые!$E$5:$E$300,$B96,Закрытые!$B$5:$B$300,"T-*"))</f>
        <v/>
      </c>
      <c r="I96" s="246" t="str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 t="str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 t="str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 t="str">
        <f>IF(C97="","",SUMIFS(Торговля!$H$5:$H$300,Торговля!$E$5:$E$300,$B97)+SUMIFS(Закрытые!$H$5:$H$300,Закрытые!$E$5:$E$300,$B97,Закрытые!$B$5:$B$300,"T-*"))</f>
        <v/>
      </c>
      <c r="F97" s="240" t="str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 t="str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 t="str">
        <f>IF(F97="","",SUMIFS(Торговля!$K$5:$K$300,Торговля!$E$5:$E$300,$B97)+SUMIFS(Закрытые!$K$5:$K$300,Закрытые!$E$5:$E$300,$B97,Закрытые!$B$5:$B$300,"T-*"))</f>
        <v/>
      </c>
      <c r="I97" s="240" t="str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 t="str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 t="str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 t="str">
        <f>IF(C98="","",SUMIFS(Торговля!$H$5:$H$300,Торговля!$E$5:$E$300,$B98)+SUMIFS(Закрытые!$H$5:$H$300,Закрытые!$E$5:$E$300,$B98,Закрытые!$B$5:$B$300,"T-*"))</f>
        <v/>
      </c>
      <c r="F98" s="246" t="str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 t="str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 t="str">
        <f>IF(F98="","",SUMIFS(Торговля!$K$5:$K$300,Торговля!$E$5:$E$300,$B98)+SUMIFS(Закрытые!$K$5:$K$300,Закрытые!$E$5:$E$300,$B98,Закрытые!$B$5:$B$300,"T-*"))</f>
        <v/>
      </c>
      <c r="I98" s="246" t="str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 t="str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 t="str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 t="str">
        <f>IF(C99="","",SUMIFS(Торговля!$H$5:$H$300,Торговля!$E$5:$E$300,$B99)+SUMIFS(Закрытые!$H$5:$H$300,Закрытые!$E$5:$E$300,$B99,Закрытые!$B$5:$B$300,"T-*"))</f>
        <v/>
      </c>
      <c r="F99" s="240" t="str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 t="str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 t="str">
        <f>IF(F99="","",SUMIFS(Торговля!$K$5:$K$300,Торговля!$E$5:$E$300,$B99)+SUMIFS(Закрытые!$K$5:$K$300,Закрытые!$E$5:$E$300,$B99,Закрытые!$B$5:$B$300,"T-*"))</f>
        <v/>
      </c>
      <c r="I99" s="240" t="str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 t="str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 t="str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 t="str">
        <f>IF(C100="","",SUMIFS(Торговля!$H$5:$H$300,Торговля!$E$5:$E$300,$B100)+SUMIFS(Закрытые!$H$5:$H$300,Закрытые!$E$5:$E$300,$B100,Закрытые!$B$5:$B$300,"T-*"))</f>
        <v/>
      </c>
      <c r="F100" s="246" t="str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 t="str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 t="str">
        <f>IF(F100="","",SUMIFS(Торговля!$K$5:$K$300,Торговля!$E$5:$E$300,$B100)+SUMIFS(Закрытые!$K$5:$K$300,Закрытые!$E$5:$E$300,$B100,Закрытые!$B$5:$B$300,"T-*"))</f>
        <v/>
      </c>
      <c r="I100" s="246" t="str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 t="str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 t="str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 t="str">
        <f>IF(C101="","",SUMIFS(Торговля!$H$5:$H$300,Торговля!$E$5:$E$300,$B101)+SUMIFS(Закрытые!$H$5:$H$300,Закрытые!$E$5:$E$300,$B101,Закрытые!$B$5:$B$300,"T-*"))</f>
        <v/>
      </c>
      <c r="F101" s="240" t="str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 t="str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 t="str">
        <f>IF(F101="","",SUMIFS(Торговля!$K$5:$K$300,Торговля!$E$5:$E$300,$B101)+SUMIFS(Закрытые!$K$5:$K$300,Закрытые!$E$5:$E$300,$B101,Закрытые!$B$5:$B$300,"T-*"))</f>
        <v/>
      </c>
      <c r="I101" s="240" t="str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 t="str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 t="str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 t="str">
        <f>IF(C102="","",SUMIFS(Торговля!$H$5:$H$300,Торговля!$E$5:$E$300,$B102)+SUMIFS(Закрытые!$H$5:$H$300,Закрытые!$E$5:$E$300,$B102,Закрытые!$B$5:$B$300,"T-*"))</f>
        <v/>
      </c>
      <c r="F102" s="246" t="str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 t="str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 t="str">
        <f>IF(F102="","",SUMIFS(Торговля!$K$5:$K$300,Торговля!$E$5:$E$300,$B102)+SUMIFS(Закрытые!$K$5:$K$300,Закрытые!$E$5:$E$300,$B102,Закрытые!$B$5:$B$300,"T-*"))</f>
        <v/>
      </c>
      <c r="I102" s="246" t="str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 t="str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 t="str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 t="str">
        <f>IF(C103="","",SUMIFS(Торговля!$H$5:$H$300,Торговля!$E$5:$E$300,$B103)+SUMIFS(Закрытые!$H$5:$H$300,Закрытые!$E$5:$E$300,$B103,Закрытые!$B$5:$B$300,"T-*"))</f>
        <v/>
      </c>
      <c r="F103" s="240" t="str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 t="str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 t="str">
        <f>IF(F103="","",SUMIFS(Торговля!$K$5:$K$300,Торговля!$E$5:$E$300,$B103)+SUMIFS(Закрытые!$K$5:$K$300,Закрытые!$E$5:$E$300,$B103,Закрытые!$B$5:$B$300,"T-*"))</f>
        <v/>
      </c>
      <c r="I103" s="240" t="str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 t="str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 t="str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 t="str">
        <f>IF(C104="","",SUMIFS(Торговля!$H$5:$H$300,Торговля!$E$5:$E$300,$B104)+SUMIFS(Закрытые!$H$5:$H$300,Закрытые!$E$5:$E$300,$B104,Закрытые!$B$5:$B$300,"T-*"))</f>
        <v/>
      </c>
      <c r="F104" s="246" t="str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 t="str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 t="str">
        <f>IF(F104="","",SUMIFS(Торговля!$K$5:$K$300,Торговля!$E$5:$E$300,$B104)+SUMIFS(Закрытые!$K$5:$K$300,Закрытые!$E$5:$E$300,$B104,Закрытые!$B$5:$B$300,"T-*"))</f>
        <v/>
      </c>
      <c r="I104" s="246" t="str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 t="str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 t="str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 t="str">
        <f>IF(C105="","",SUMIFS(Торговля!$H$5:$H$300,Торговля!$E$5:$E$300,$B105)+SUMIFS(Закрытые!$H$5:$H$300,Закрытые!$E$5:$E$300,$B105,Закрытые!$B$5:$B$300,"T-*"))</f>
        <v/>
      </c>
      <c r="F105" s="240" t="str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 t="str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 t="str">
        <f>IF(F105="","",SUMIFS(Торговля!$K$5:$K$300,Торговля!$E$5:$E$300,$B105)+SUMIFS(Закрытые!$K$5:$K$300,Закрытые!$E$5:$E$300,$B105,Закрытые!$B$5:$B$300,"T-*"))</f>
        <v/>
      </c>
      <c r="I105" s="240" t="str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 t="str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 t="str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 t="str">
        <f>IF(C106="","",SUMIFS(Торговля!$H$5:$H$300,Торговля!$E$5:$E$300,$B106)+SUMIFS(Закрытые!$H$5:$H$300,Закрытые!$E$5:$E$300,$B106,Закрытые!$B$5:$B$300,"T-*"))</f>
        <v/>
      </c>
      <c r="F106" s="246" t="str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 t="str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 t="str">
        <f>IF(F106="","",SUMIFS(Торговля!$K$5:$K$300,Торговля!$E$5:$E$300,$B106)+SUMIFS(Закрытые!$K$5:$K$300,Закрытые!$E$5:$E$300,$B106,Закрытые!$B$5:$B$300,"T-*"))</f>
        <v/>
      </c>
      <c r="I106" s="246" t="str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 t="str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 t="str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 t="str">
        <f>IF(C107="","",SUMIFS(Торговля!$H$5:$H$300,Торговля!$E$5:$E$300,$B107)+SUMIFS(Закрытые!$H$5:$H$300,Закрытые!$E$5:$E$300,$B107,Закрытые!$B$5:$B$300,"T-*"))</f>
        <v/>
      </c>
      <c r="F107" s="240" t="str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 t="str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 t="str">
        <f>IF(F107="","",SUMIFS(Торговля!$K$5:$K$300,Торговля!$E$5:$E$300,$B107)+SUMIFS(Закрытые!$K$5:$K$300,Закрытые!$E$5:$E$300,$B107,Закрытые!$B$5:$B$300,"T-*"))</f>
        <v/>
      </c>
      <c r="I107" s="240" t="str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 t="str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 t="str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 t="str">
        <f>IF(C108="","",SUMIFS(Торговля!$H$5:$H$300,Торговля!$E$5:$E$300,$B108)+SUMIFS(Закрытые!$H$5:$H$300,Закрытые!$E$5:$E$300,$B108,Закрытые!$B$5:$B$300,"T-*"))</f>
        <v/>
      </c>
      <c r="F108" s="246" t="str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 t="str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 t="str">
        <f>IF(F108="","",SUMIFS(Торговля!$K$5:$K$300,Торговля!$E$5:$E$300,$B108)+SUMIFS(Закрытые!$K$5:$K$300,Закрытые!$E$5:$E$300,$B108,Закрытые!$B$5:$B$300,"T-*"))</f>
        <v/>
      </c>
      <c r="I108" s="246" t="str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 t="str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 t="str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 t="str">
        <f>IF(C109="","",SUMIFS(Торговля!$H$5:$H$300,Торговля!$E$5:$E$300,$B109)+SUMIFS(Закрытые!$H$5:$H$300,Закрытые!$E$5:$E$300,$B109,Закрытые!$B$5:$B$300,"T-*"))</f>
        <v/>
      </c>
      <c r="F109" s="240" t="str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 t="str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 t="str">
        <f>IF(F109="","",SUMIFS(Торговля!$K$5:$K$300,Торговля!$E$5:$E$300,$B109)+SUMIFS(Закрытые!$K$5:$K$300,Закрытые!$E$5:$E$300,$B109,Закрытые!$B$5:$B$300,"T-*"))</f>
        <v/>
      </c>
      <c r="I109" s="240" t="str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 t="str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 t="str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 t="str">
        <f>IF(C110="","",SUMIFS(Торговля!$H$5:$H$300,Торговля!$E$5:$E$300,$B110)+SUMIFS(Закрытые!$H$5:$H$300,Закрытые!$E$5:$E$300,$B110,Закрытые!$B$5:$B$300,"T-*"))</f>
        <v/>
      </c>
      <c r="F110" s="246" t="str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 t="str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 t="str">
        <f>IF(F110="","",SUMIFS(Торговля!$K$5:$K$300,Торговля!$E$5:$E$300,$B110)+SUMIFS(Закрытые!$K$5:$K$300,Закрытые!$E$5:$E$300,$B110,Закрытые!$B$5:$B$300,"T-*"))</f>
        <v/>
      </c>
      <c r="I110" s="246" t="str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 t="str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 t="str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 t="str">
        <f>IF(C111="","",SUMIFS(Торговля!$H$5:$H$300,Торговля!$E$5:$E$300,$B111)+SUMIFS(Закрытые!$H$5:$H$300,Закрытые!$E$5:$E$300,$B111,Закрытые!$B$5:$B$300,"T-*"))</f>
        <v/>
      </c>
      <c r="F111" s="240" t="str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 t="str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 t="str">
        <f>IF(F111="","",SUMIFS(Торговля!$K$5:$K$300,Торговля!$E$5:$E$300,$B111)+SUMIFS(Закрытые!$K$5:$K$300,Закрытые!$E$5:$E$300,$B111,Закрытые!$B$5:$B$300,"T-*"))</f>
        <v/>
      </c>
      <c r="I111" s="240" t="str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 t="str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 t="str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 t="str">
        <f>IF(C112="","",SUMIFS(Торговля!$H$5:$H$300,Торговля!$E$5:$E$300,$B112)+SUMIFS(Закрытые!$H$5:$H$300,Закрытые!$E$5:$E$300,$B112,Закрытые!$B$5:$B$300,"T-*"))</f>
        <v/>
      </c>
      <c r="F112" s="246" t="str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 t="str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 t="str">
        <f>IF(F112="","",SUMIFS(Торговля!$K$5:$K$300,Торговля!$E$5:$E$300,$B112)+SUMIFS(Закрытые!$K$5:$K$300,Закрытые!$E$5:$E$300,$B112,Закрытые!$B$5:$B$300,"T-*"))</f>
        <v/>
      </c>
      <c r="I112" s="246" t="str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 t="str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 t="str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 t="str">
        <f>IF(C113="","",SUMIFS(Торговля!$H$5:$H$300,Торговля!$E$5:$E$300,$B113)+SUMIFS(Закрытые!$H$5:$H$300,Закрытые!$E$5:$E$300,$B113,Закрытые!$B$5:$B$300,"T-*"))</f>
        <v/>
      </c>
      <c r="F113" s="240" t="str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 t="str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 t="str">
        <f>IF(F113="","",SUMIFS(Торговля!$K$5:$K$300,Торговля!$E$5:$E$300,$B113)+SUMIFS(Закрытые!$K$5:$K$300,Закрытые!$E$5:$E$300,$B113,Закрытые!$B$5:$B$300,"T-*"))</f>
        <v/>
      </c>
      <c r="I113" s="240" t="str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 t="str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 t="str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 t="str">
        <f>IF(C114="","",SUMIFS(Торговля!$H$5:$H$300,Торговля!$E$5:$E$300,$B114)+SUMIFS(Закрытые!$H$5:$H$300,Закрытые!$E$5:$E$300,$B114,Закрытые!$B$5:$B$300,"T-*"))</f>
        <v/>
      </c>
      <c r="F114" s="246" t="str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 t="str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 t="str">
        <f>IF(F114="","",SUMIFS(Торговля!$K$5:$K$300,Торговля!$E$5:$E$300,$B114)+SUMIFS(Закрытые!$K$5:$K$300,Закрытые!$E$5:$E$300,$B114,Закрытые!$B$5:$B$300,"T-*"))</f>
        <v/>
      </c>
      <c r="I114" s="246" t="str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 t="str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 t="str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 t="str">
        <f>IF(C115="","",SUMIFS(Торговля!$H$5:$H$300,Торговля!$E$5:$E$300,$B115)+SUMIFS(Закрытые!$H$5:$H$300,Закрытые!$E$5:$E$300,$B115,Закрытые!$B$5:$B$300,"T-*"))</f>
        <v/>
      </c>
      <c r="F115" s="240" t="str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 t="str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 t="str">
        <f>IF(F115="","",SUMIFS(Торговля!$K$5:$K$300,Торговля!$E$5:$E$300,$B115)+SUMIFS(Закрытые!$K$5:$K$300,Закрытые!$E$5:$E$300,$B115,Закрытые!$B$5:$B$300,"T-*"))</f>
        <v/>
      </c>
      <c r="I115" s="240" t="str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 t="str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 t="str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 t="str">
        <f>IF(C116="","",SUMIFS(Торговля!$H$5:$H$300,Торговля!$E$5:$E$300,$B116)+SUMIFS(Закрытые!$H$5:$H$300,Закрытые!$E$5:$E$300,$B116,Закрытые!$B$5:$B$300,"T-*"))</f>
        <v/>
      </c>
      <c r="F116" s="246" t="str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 t="str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 t="str">
        <f>IF(F116="","",SUMIFS(Торговля!$K$5:$K$300,Торговля!$E$5:$E$300,$B116)+SUMIFS(Закрытые!$K$5:$K$300,Закрытые!$E$5:$E$300,$B116,Закрытые!$B$5:$B$300,"T-*"))</f>
        <v/>
      </c>
      <c r="I116" s="246" t="str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 t="str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 t="str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 t="str">
        <f>IF(C117="","",SUMIFS(Торговля!$H$5:$H$300,Торговля!$E$5:$E$300,$B117)+SUMIFS(Закрытые!$H$5:$H$300,Закрытые!$E$5:$E$300,$B117,Закрытые!$B$5:$B$300,"T-*"))</f>
        <v/>
      </c>
      <c r="F117" s="240" t="str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 t="str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 t="str">
        <f>IF(F117="","",SUMIFS(Торговля!$K$5:$K$300,Торговля!$E$5:$E$300,$B117)+SUMIFS(Закрытые!$K$5:$K$300,Закрытые!$E$5:$E$300,$B117,Закрытые!$B$5:$B$300,"T-*"))</f>
        <v/>
      </c>
      <c r="I117" s="240" t="str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 t="str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 t="str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 t="str">
        <f>IF(C118="","",SUMIFS(Торговля!$H$5:$H$300,Торговля!$E$5:$E$300,$B118)+SUMIFS(Закрытые!$H$5:$H$300,Закрытые!$E$5:$E$300,$B118,Закрытые!$B$5:$B$300,"T-*"))</f>
        <v/>
      </c>
      <c r="F118" s="246" t="str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 t="str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 t="str">
        <f>IF(F118="","",SUMIFS(Торговля!$K$5:$K$300,Торговля!$E$5:$E$300,$B118)+SUMIFS(Закрытые!$K$5:$K$300,Закрытые!$E$5:$E$300,$B118,Закрытые!$B$5:$B$300,"T-*"))</f>
        <v/>
      </c>
      <c r="I118" s="246" t="str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 t="str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 t="str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 t="str">
        <f>IF(C119="","",SUMIFS(Торговля!$H$5:$H$300,Торговля!$E$5:$E$300,$B119)+SUMIFS(Закрытые!$H$5:$H$300,Закрытые!$E$5:$E$300,$B119,Закрытые!$B$5:$B$300,"T-*"))</f>
        <v/>
      </c>
      <c r="F119" s="240" t="str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 t="str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 t="str">
        <f>IF(F119="","",SUMIFS(Торговля!$K$5:$K$300,Торговля!$E$5:$E$300,$B119)+SUMIFS(Закрытые!$K$5:$K$300,Закрытые!$E$5:$E$300,$B119,Закрытые!$B$5:$B$300,"T-*"))</f>
        <v/>
      </c>
      <c r="I119" s="240" t="str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 t="str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 t="str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 t="str">
        <f>IF(C120="","",SUMIFS(Торговля!$H$5:$H$300,Торговля!$E$5:$E$300,$B120)+SUMIFS(Закрытые!$H$5:$H$300,Закрытые!$E$5:$E$300,$B120,Закрытые!$B$5:$B$300,"T-*"))</f>
        <v/>
      </c>
      <c r="F120" s="246" t="str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 t="str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 t="str">
        <f>IF(F120="","",SUMIFS(Торговля!$K$5:$K$300,Торговля!$E$5:$E$300,$B120)+SUMIFS(Закрытые!$K$5:$K$300,Закрытые!$E$5:$E$300,$B120,Закрытые!$B$5:$B$300,"T-*"))</f>
        <v/>
      </c>
      <c r="I120" s="246" t="str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 t="str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 t="str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 t="str">
        <f>IF(C121="","",SUMIFS(Торговля!$H$5:$H$300,Торговля!$E$5:$E$300,$B121)+SUMIFS(Закрытые!$H$5:$H$300,Закрытые!$E$5:$E$300,$B121,Закрытые!$B$5:$B$300,"T-*"))</f>
        <v/>
      </c>
      <c r="F121" s="240" t="str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 t="str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 t="str">
        <f>IF(F121="","",SUMIFS(Торговля!$K$5:$K$300,Торговля!$E$5:$E$300,$B121)+SUMIFS(Закрытые!$K$5:$K$300,Закрытые!$E$5:$E$300,$B121,Закрытые!$B$5:$B$300,"T-*"))</f>
        <v/>
      </c>
      <c r="I121" s="240" t="str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 t="str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 t="str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 t="str">
        <f>IF(C122="","",SUMIFS(Торговля!$H$5:$H$300,Торговля!$E$5:$E$300,$B122)+SUMIFS(Закрытые!$H$5:$H$300,Закрытые!$E$5:$E$300,$B122,Закрытые!$B$5:$B$300,"T-*"))</f>
        <v/>
      </c>
      <c r="F122" s="246" t="str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 t="str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 t="str">
        <f>IF(F122="","",SUMIFS(Торговля!$K$5:$K$300,Торговля!$E$5:$E$300,$B122)+SUMIFS(Закрытые!$K$5:$K$300,Закрытые!$E$5:$E$300,$B122,Закрытые!$B$5:$B$300,"T-*"))</f>
        <v/>
      </c>
      <c r="I122" s="246" t="str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 t="str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 t="str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 t="str">
        <f>IF(C123="","",SUMIFS(Торговля!$H$5:$H$300,Торговля!$E$5:$E$300,$B123)+SUMIFS(Закрытые!$H$5:$H$300,Закрытые!$E$5:$E$300,$B123,Закрытые!$B$5:$B$300,"T-*"))</f>
        <v/>
      </c>
      <c r="F123" s="240" t="str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 t="str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 t="str">
        <f>IF(F123="","",SUMIFS(Торговля!$K$5:$K$300,Торговля!$E$5:$E$300,$B123)+SUMIFS(Закрытые!$K$5:$K$300,Закрытые!$E$5:$E$300,$B123,Закрытые!$B$5:$B$300,"T-*"))</f>
        <v/>
      </c>
      <c r="I123" s="240" t="str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 t="str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 t="str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 t="str">
        <f>IF(C124="","",SUMIFS(Торговля!$H$5:$H$300,Торговля!$E$5:$E$300,$B124)+SUMIFS(Закрытые!$H$5:$H$300,Закрытые!$E$5:$E$300,$B124,Закрытые!$B$5:$B$300,"T-*"))</f>
        <v/>
      </c>
      <c r="F124" s="246" t="str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 t="str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 t="str">
        <f>IF(F124="","",SUMIFS(Торговля!$K$5:$K$300,Торговля!$E$5:$E$300,$B124)+SUMIFS(Закрытые!$K$5:$K$300,Закрытые!$E$5:$E$300,$B124,Закрытые!$B$5:$B$300,"T-*"))</f>
        <v/>
      </c>
      <c r="I124" s="246" t="str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 t="str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 t="str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 t="str">
        <f>IF(C125="","",SUMIFS(Торговля!$H$5:$H$300,Торговля!$E$5:$E$300,$B125)+SUMIFS(Закрытые!$H$5:$H$300,Закрытые!$E$5:$E$300,$B125,Закрытые!$B$5:$B$300,"T-*"))</f>
        <v/>
      </c>
      <c r="F125" s="240" t="str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 t="str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 t="str">
        <f>IF(F125="","",SUMIFS(Торговля!$K$5:$K$300,Торговля!$E$5:$E$300,$B125)+SUMIFS(Закрытые!$K$5:$K$300,Закрытые!$E$5:$E$300,$B125,Закрытые!$B$5:$B$300,"T-*"))</f>
        <v/>
      </c>
      <c r="I125" s="240" t="str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 t="str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 t="str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 t="str">
        <f>IF(C126="","",SUMIFS(Торговля!$H$5:$H$300,Торговля!$E$5:$E$300,$B126)+SUMIFS(Закрытые!$H$5:$H$300,Закрытые!$E$5:$E$300,$B126,Закрытые!$B$5:$B$300,"T-*"))</f>
        <v/>
      </c>
      <c r="F126" s="246" t="str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 t="str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 t="str">
        <f>IF(F126="","",SUMIFS(Торговля!$K$5:$K$300,Торговля!$E$5:$E$300,$B126)+SUMIFS(Закрытые!$K$5:$K$300,Закрытые!$E$5:$E$300,$B126,Закрытые!$B$5:$B$300,"T-*"))</f>
        <v/>
      </c>
      <c r="I126" s="246" t="str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 t="str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 t="str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 t="str">
        <f>IF(C127="","",SUMIFS(Торговля!$H$5:$H$300,Торговля!$E$5:$E$300,$B127)+SUMIFS(Закрытые!$H$5:$H$300,Закрытые!$E$5:$E$300,$B127,Закрытые!$B$5:$B$300,"T-*"))</f>
        <v/>
      </c>
      <c r="F127" s="240" t="str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 t="str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 t="str">
        <f>IF(F127="","",SUMIFS(Торговля!$K$5:$K$300,Торговля!$E$5:$E$300,$B127)+SUMIFS(Закрытые!$K$5:$K$300,Закрытые!$E$5:$E$300,$B127,Закрытые!$B$5:$B$300,"T-*"))</f>
        <v/>
      </c>
      <c r="I127" s="240" t="str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 t="str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 t="str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 t="str">
        <f>IF(C128="","",SUMIFS(Торговля!$H$5:$H$300,Торговля!$E$5:$E$300,$B128)+SUMIFS(Закрытые!$H$5:$H$300,Закрытые!$E$5:$E$300,$B128,Закрытые!$B$5:$B$300,"T-*"))</f>
        <v/>
      </c>
      <c r="F128" s="246" t="str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 t="str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 t="str">
        <f>IF(F128="","",SUMIFS(Торговля!$K$5:$K$300,Торговля!$E$5:$E$300,$B128)+SUMIFS(Закрытые!$K$5:$K$300,Закрытые!$E$5:$E$300,$B128,Закрытые!$B$5:$B$300,"T-*"))</f>
        <v/>
      </c>
      <c r="I128" s="246" t="str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 t="str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 t="str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 t="str">
        <f>IF(C129="","",SUMIFS(Торговля!$H$5:$H$300,Торговля!$E$5:$E$300,$B129)+SUMIFS(Закрытые!$H$5:$H$300,Закрытые!$E$5:$E$300,$B129,Закрытые!$B$5:$B$300,"T-*"))</f>
        <v/>
      </c>
      <c r="F129" s="240" t="str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 t="str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 t="str">
        <f>IF(F129="","",SUMIFS(Торговля!$K$5:$K$300,Торговля!$E$5:$E$300,$B129)+SUMIFS(Закрытые!$K$5:$K$300,Закрытые!$E$5:$E$300,$B129,Закрытые!$B$5:$B$300,"T-*"))</f>
        <v/>
      </c>
      <c r="I129" s="240" t="str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 t="str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 t="str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 t="str">
        <f>IF(C130="","",SUMIFS(Торговля!$H$5:$H$300,Торговля!$E$5:$E$300,$B130)+SUMIFS(Закрытые!$H$5:$H$300,Закрытые!$E$5:$E$300,$B130,Закрытые!$B$5:$B$300,"T-*"))</f>
        <v/>
      </c>
      <c r="F130" s="246" t="str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 t="str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 t="str">
        <f>IF(F130="","",SUMIFS(Торговля!$K$5:$K$300,Торговля!$E$5:$E$300,$B130)+SUMIFS(Закрытые!$K$5:$K$300,Закрытые!$E$5:$E$300,$B130,Закрытые!$B$5:$B$300,"T-*"))</f>
        <v/>
      </c>
      <c r="I130" s="246" t="str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 t="str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 t="str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 t="str">
        <f>IF(C131="","",SUMIFS(Торговля!$H$5:$H$300,Торговля!$E$5:$E$300,$B131)+SUMIFS(Закрытые!$H$5:$H$300,Закрытые!$E$5:$E$300,$B131,Закрытые!$B$5:$B$300,"T-*"))</f>
        <v/>
      </c>
      <c r="F131" s="240" t="str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 t="str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 t="str">
        <f>IF(F131="","",SUMIFS(Торговля!$K$5:$K$300,Торговля!$E$5:$E$300,$B131)+SUMIFS(Закрытые!$K$5:$K$300,Закрытые!$E$5:$E$300,$B131,Закрытые!$B$5:$B$300,"T-*"))</f>
        <v/>
      </c>
      <c r="I131" s="240" t="str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 t="str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 t="str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 t="str">
        <f>IF(C132="","",SUMIFS(Торговля!$H$5:$H$300,Торговля!$E$5:$E$300,$B132)+SUMIFS(Закрытые!$H$5:$H$300,Закрытые!$E$5:$E$300,$B132,Закрытые!$B$5:$B$300,"T-*"))</f>
        <v/>
      </c>
      <c r="F132" s="246" t="str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 t="str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 t="str">
        <f>IF(F132="","",SUMIFS(Торговля!$K$5:$K$300,Торговля!$E$5:$E$300,$B132)+SUMIFS(Закрытые!$K$5:$K$300,Закрытые!$E$5:$E$300,$B132,Закрытые!$B$5:$B$300,"T-*"))</f>
        <v/>
      </c>
      <c r="I132" s="246" t="str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 t="str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 t="str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 t="str">
        <f>IF(C133="","",SUMIFS(Торговля!$H$5:$H$300,Торговля!$E$5:$E$300,$B133)+SUMIFS(Закрытые!$H$5:$H$300,Закрытые!$E$5:$E$300,$B133,Закрытые!$B$5:$B$300,"T-*"))</f>
        <v/>
      </c>
      <c r="F133" s="240" t="str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 t="str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 t="str">
        <f>IF(F133="","",SUMIFS(Торговля!$K$5:$K$300,Торговля!$E$5:$E$300,$B133)+SUMIFS(Закрытые!$K$5:$K$300,Закрытые!$E$5:$E$300,$B133,Закрытые!$B$5:$B$300,"T-*"))</f>
        <v/>
      </c>
      <c r="I133" s="240" t="str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 t="str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 t="str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 t="str">
        <f>IF(C134="","",SUMIFS(Торговля!$H$5:$H$300,Торговля!$E$5:$E$300,$B134)+SUMIFS(Закрытые!$H$5:$H$300,Закрытые!$E$5:$E$300,$B134,Закрытые!$B$5:$B$300,"T-*"))</f>
        <v/>
      </c>
      <c r="F134" s="246" t="str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 t="str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 t="str">
        <f>IF(F134="","",SUMIFS(Торговля!$K$5:$K$300,Торговля!$E$5:$E$300,$B134)+SUMIFS(Закрытые!$K$5:$K$300,Закрытые!$E$5:$E$300,$B134,Закрытые!$B$5:$B$300,"T-*"))</f>
        <v/>
      </c>
      <c r="I134" s="246" t="str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 t="str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 t="str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 t="str">
        <f>IF(C135="","",SUMIFS(Торговля!$H$5:$H$300,Торговля!$E$5:$E$300,$B135)+SUMIFS(Закрытые!$H$5:$H$300,Закрытые!$E$5:$E$300,$B135,Закрытые!$B$5:$B$300,"T-*"))</f>
        <v/>
      </c>
      <c r="F135" s="240" t="str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 t="str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 t="str">
        <f>IF(F135="","",SUMIFS(Торговля!$K$5:$K$300,Торговля!$E$5:$E$300,$B135)+SUMIFS(Закрытые!$K$5:$K$300,Закрытые!$E$5:$E$300,$B135,Закрытые!$B$5:$B$300,"T-*"))</f>
        <v/>
      </c>
      <c r="I135" s="240" t="str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 t="str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 t="str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 t="str">
        <f>IF(C136="","",SUMIFS(Торговля!$H$5:$H$300,Торговля!$E$5:$E$300,$B136)+SUMIFS(Закрытые!$H$5:$H$300,Закрытые!$E$5:$E$300,$B136,Закрытые!$B$5:$B$300,"T-*"))</f>
        <v/>
      </c>
      <c r="F136" s="246" t="str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 t="str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 t="str">
        <f>IF(F136="","",SUMIFS(Торговля!$K$5:$K$300,Торговля!$E$5:$E$300,$B136)+SUMIFS(Закрытые!$K$5:$K$300,Закрытые!$E$5:$E$300,$B136,Закрытые!$B$5:$B$300,"T-*"))</f>
        <v/>
      </c>
      <c r="I136" s="246" t="str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 t="str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 t="str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 t="str">
        <f>IF(C137="","",SUMIFS(Торговля!$H$5:$H$300,Торговля!$E$5:$E$300,$B137)+SUMIFS(Закрытые!$H$5:$H$300,Закрытые!$E$5:$E$300,$B137,Закрытые!$B$5:$B$300,"T-*"))</f>
        <v/>
      </c>
      <c r="F137" s="240" t="str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 t="str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 t="str">
        <f>IF(F137="","",SUMIFS(Торговля!$K$5:$K$300,Торговля!$E$5:$E$300,$B137)+SUMIFS(Закрытые!$K$5:$K$300,Закрытые!$E$5:$E$300,$B137,Закрытые!$B$5:$B$300,"T-*"))</f>
        <v/>
      </c>
      <c r="I137" s="240" t="str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 t="str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 t="str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 t="str">
        <f>IF(C138="","",SUMIFS(Торговля!$H$5:$H$300,Торговля!$E$5:$E$300,$B138)+SUMIFS(Закрытые!$H$5:$H$300,Закрытые!$E$5:$E$300,$B138,Закрытые!$B$5:$B$300,"T-*"))</f>
        <v/>
      </c>
      <c r="F138" s="246" t="str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 t="str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 t="str">
        <f>IF(F138="","",SUMIFS(Торговля!$K$5:$K$300,Торговля!$E$5:$E$300,$B138)+SUMIFS(Закрытые!$K$5:$K$300,Закрытые!$E$5:$E$300,$B138,Закрытые!$B$5:$B$300,"T-*"))</f>
        <v/>
      </c>
      <c r="I138" s="246" t="str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 t="str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 t="str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 t="str">
        <f>IF(C139="","",SUMIFS(Торговля!$H$5:$H$300,Торговля!$E$5:$E$300,$B139)+SUMIFS(Закрытые!$H$5:$H$300,Закрытые!$E$5:$E$300,$B139,Закрытые!$B$5:$B$300,"T-*"))</f>
        <v/>
      </c>
      <c r="F139" s="240" t="str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 t="str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 t="str">
        <f>IF(F139="","",SUMIFS(Торговля!$K$5:$K$300,Торговля!$E$5:$E$300,$B139)+SUMIFS(Закрытые!$K$5:$K$300,Закрытые!$E$5:$E$300,$B139,Закрытые!$B$5:$B$300,"T-*"))</f>
        <v/>
      </c>
      <c r="I139" s="240" t="str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 t="str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 t="str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 t="str">
        <f>IF(C140="","",SUMIFS(Торговля!$H$5:$H$300,Торговля!$E$5:$E$300,$B140)+SUMIFS(Закрытые!$H$5:$H$300,Закрытые!$E$5:$E$300,$B140,Закрытые!$B$5:$B$300,"T-*"))</f>
        <v/>
      </c>
      <c r="F140" s="246" t="str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 t="str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 t="str">
        <f>IF(F140="","",SUMIFS(Торговля!$K$5:$K$300,Торговля!$E$5:$E$300,$B140)+SUMIFS(Закрытые!$K$5:$K$300,Закрытые!$E$5:$E$300,$B140,Закрытые!$B$5:$B$300,"T-*"))</f>
        <v/>
      </c>
      <c r="I140" s="246" t="str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 t="str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 t="str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 t="str">
        <f>IF(C141="","",SUMIFS(Торговля!$H$5:$H$300,Торговля!$E$5:$E$300,$B141)+SUMIFS(Закрытые!$H$5:$H$300,Закрытые!$E$5:$E$300,$B141,Закрытые!$B$5:$B$300,"T-*"))</f>
        <v/>
      </c>
      <c r="F141" s="240" t="str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 t="str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 t="str">
        <f>IF(F141="","",SUMIFS(Торговля!$K$5:$K$300,Торговля!$E$5:$E$300,$B141)+SUMIFS(Закрытые!$K$5:$K$300,Закрытые!$E$5:$E$300,$B141,Закрытые!$B$5:$B$300,"T-*"))</f>
        <v/>
      </c>
      <c r="I141" s="240" t="str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 t="str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 t="str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 t="str">
        <f>IF(C142="","",SUMIFS(Торговля!$H$5:$H$300,Торговля!$E$5:$E$300,$B142)+SUMIFS(Закрытые!$H$5:$H$300,Закрытые!$E$5:$E$300,$B142,Закрытые!$B$5:$B$300,"T-*"))</f>
        <v/>
      </c>
      <c r="F142" s="246" t="str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 t="str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 t="str">
        <f>IF(F142="","",SUMIFS(Торговля!$K$5:$K$300,Торговля!$E$5:$E$300,$B142)+SUMIFS(Закрытые!$K$5:$K$300,Закрытые!$E$5:$E$300,$B142,Закрытые!$B$5:$B$300,"T-*"))</f>
        <v/>
      </c>
      <c r="I142" s="246" t="str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 t="str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 t="str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 t="str">
        <f>IF(C143="","",SUMIFS(Торговля!$H$5:$H$300,Торговля!$E$5:$E$300,$B143)+SUMIFS(Закрытые!$H$5:$H$300,Закрытые!$E$5:$E$300,$B143,Закрытые!$B$5:$B$300,"T-*"))</f>
        <v/>
      </c>
      <c r="F143" s="240" t="str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 t="str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 t="str">
        <f>IF(F143="","",SUMIFS(Торговля!$K$5:$K$300,Торговля!$E$5:$E$300,$B143)+SUMIFS(Закрытые!$K$5:$K$300,Закрытые!$E$5:$E$300,$B143,Закрытые!$B$5:$B$300,"T-*"))</f>
        <v/>
      </c>
      <c r="I143" s="240" t="str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 t="str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 t="str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 t="str">
        <f>IF(C144="","",SUMIFS(Торговля!$H$5:$H$300,Торговля!$E$5:$E$300,$B144)+SUMIFS(Закрытые!$H$5:$H$300,Закрытые!$E$5:$E$300,$B144,Закрытые!$B$5:$B$300,"T-*"))</f>
        <v/>
      </c>
      <c r="F144" s="246" t="str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 t="str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 t="str">
        <f>IF(F144="","",SUMIFS(Торговля!$K$5:$K$300,Торговля!$E$5:$E$300,$B144)+SUMIFS(Закрытые!$K$5:$K$300,Закрытые!$E$5:$E$300,$B144,Закрытые!$B$5:$B$300,"T-*"))</f>
        <v/>
      </c>
      <c r="I144" s="246" t="str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 t="str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 t="str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 t="str">
        <f>IF(C145="","",SUMIFS(Торговля!$H$5:$H$300,Торговля!$E$5:$E$300,$B145)+SUMIFS(Закрытые!$H$5:$H$300,Закрытые!$E$5:$E$300,$B145,Закрытые!$B$5:$B$300,"T-*"))</f>
        <v/>
      </c>
      <c r="F145" s="240" t="str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 t="str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 t="str">
        <f>IF(F145="","",SUMIFS(Торговля!$K$5:$K$300,Торговля!$E$5:$E$300,$B145)+SUMIFS(Закрытые!$K$5:$K$300,Закрытые!$E$5:$E$300,$B145,Закрытые!$B$5:$B$300,"T-*"))</f>
        <v/>
      </c>
      <c r="I145" s="240" t="str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 t="str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 t="str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 t="str">
        <f>IF(C146="","",SUMIFS(Торговля!$H$5:$H$300,Торговля!$E$5:$E$300,$B146)+SUMIFS(Закрытые!$H$5:$H$300,Закрытые!$E$5:$E$300,$B146,Закрытые!$B$5:$B$300,"T-*"))</f>
        <v/>
      </c>
      <c r="F146" s="246" t="str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 t="str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 t="str">
        <f>IF(F146="","",SUMIFS(Торговля!$K$5:$K$300,Торговля!$E$5:$E$300,$B146)+SUMIFS(Закрытые!$K$5:$K$300,Закрытые!$E$5:$E$300,$B146,Закрытые!$B$5:$B$300,"T-*"))</f>
        <v/>
      </c>
      <c r="I146" s="246" t="str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 t="str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 t="str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 t="str">
        <f>IF(C147="","",SUMIFS(Торговля!$H$5:$H$300,Торговля!$E$5:$E$300,$B147)+SUMIFS(Закрытые!$H$5:$H$300,Закрытые!$E$5:$E$300,$B147,Закрытые!$B$5:$B$300,"T-*"))</f>
        <v/>
      </c>
      <c r="F147" s="240" t="str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 t="str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 t="str">
        <f>IF(F147="","",SUMIFS(Торговля!$K$5:$K$300,Торговля!$E$5:$E$300,$B147)+SUMIFS(Закрытые!$K$5:$K$300,Закрытые!$E$5:$E$300,$B147,Закрытые!$B$5:$B$300,"T-*"))</f>
        <v/>
      </c>
      <c r="I147" s="240" t="str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 t="str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 t="str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 t="str">
        <f>IF(C148="","",SUMIFS(Торговля!$H$5:$H$300,Торговля!$E$5:$E$300,$B148)+SUMIFS(Закрытые!$H$5:$H$300,Закрытые!$E$5:$E$300,$B148,Закрытые!$B$5:$B$300,"T-*"))</f>
        <v/>
      </c>
      <c r="F148" s="246" t="str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 t="str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 t="str">
        <f>IF(F148="","",SUMIFS(Торговля!$K$5:$K$300,Торговля!$E$5:$E$300,$B148)+SUMIFS(Закрытые!$K$5:$K$300,Закрытые!$E$5:$E$300,$B148,Закрытые!$B$5:$B$300,"T-*"))</f>
        <v/>
      </c>
      <c r="I148" s="246" t="str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 t="str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 t="str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 t="str">
        <f>IF(C149="","",SUMIFS(Торговля!$H$5:$H$300,Торговля!$E$5:$E$300,$B149)+SUMIFS(Закрытые!$H$5:$H$300,Закрытые!$E$5:$E$300,$B149,Закрытые!$B$5:$B$300,"T-*"))</f>
        <v/>
      </c>
      <c r="F149" s="240" t="str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 t="str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 t="str">
        <f>IF(F149="","",SUMIFS(Торговля!$K$5:$K$300,Торговля!$E$5:$E$300,$B149)+SUMIFS(Закрытые!$K$5:$K$300,Закрытые!$E$5:$E$300,$B149,Закрытые!$B$5:$B$300,"T-*"))</f>
        <v/>
      </c>
      <c r="I149" s="240" t="str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 t="str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 t="str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 t="str">
        <f>IF(C150="","",SUMIFS(Торговля!$H$5:$H$300,Торговля!$E$5:$E$300,$B150)+SUMIFS(Закрытые!$H$5:$H$300,Закрытые!$E$5:$E$300,$B150,Закрытые!$B$5:$B$300,"T-*"))</f>
        <v/>
      </c>
      <c r="F150" s="246" t="str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 t="str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 t="str">
        <f>IF(F150="","",SUMIFS(Торговля!$K$5:$K$300,Торговля!$E$5:$E$300,$B150)+SUMIFS(Закрытые!$K$5:$K$300,Закрытые!$E$5:$E$300,$B150,Закрытые!$B$5:$B$300,"T-*"))</f>
        <v/>
      </c>
      <c r="I150" s="246" t="str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 t="str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 t="str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 t="str">
        <f>IF(C151="","",SUMIFS(Торговля!$H$5:$H$300,Торговля!$E$5:$E$300,$B151)+SUMIFS(Закрытые!$H$5:$H$300,Закрытые!$E$5:$E$300,$B151,Закрытые!$B$5:$B$300,"T-*"))</f>
        <v/>
      </c>
      <c r="F151" s="240" t="str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 t="str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 t="str">
        <f>IF(F151="","",SUMIFS(Торговля!$K$5:$K$300,Торговля!$E$5:$E$300,$B151)+SUMIFS(Закрытые!$K$5:$K$300,Закрытые!$E$5:$E$300,$B151,Закрытые!$B$5:$B$300,"T-*"))</f>
        <v/>
      </c>
      <c r="I151" s="240" t="str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 t="str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 t="str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 t="str">
        <f>IF(C152="","",SUMIFS(Торговля!$H$5:$H$300,Торговля!$E$5:$E$300,$B152)+SUMIFS(Закрытые!$H$5:$H$300,Закрытые!$E$5:$E$300,$B152,Закрытые!$B$5:$B$300,"T-*"))</f>
        <v/>
      </c>
      <c r="F152" s="246" t="str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 t="str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 t="str">
        <f>IF(F152="","",SUMIFS(Торговля!$K$5:$K$300,Торговля!$E$5:$E$300,$B152)+SUMIFS(Закрытые!$K$5:$K$300,Закрытые!$E$5:$E$300,$B152,Закрытые!$B$5:$B$300,"T-*"))</f>
        <v/>
      </c>
      <c r="I152" s="246" t="str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 t="str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 t="str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 t="str">
        <f>IF(C153="","",SUMIFS(Торговля!$H$5:$H$300,Торговля!$E$5:$E$300,$B153)+SUMIFS(Закрытые!$H$5:$H$300,Закрытые!$E$5:$E$300,$B153,Закрытые!$B$5:$B$300,"T-*"))</f>
        <v/>
      </c>
      <c r="F153" s="240" t="str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 t="str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 t="str">
        <f>IF(F153="","",SUMIFS(Торговля!$K$5:$K$300,Торговля!$E$5:$E$300,$B153)+SUMIFS(Закрытые!$K$5:$K$300,Закрытые!$E$5:$E$300,$B153,Закрытые!$B$5:$B$300,"T-*"))</f>
        <v/>
      </c>
      <c r="I153" s="240" t="str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 t="str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 t="str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 t="str">
        <f>IF(C154="","",SUMIFS(Торговля!$H$5:$H$300,Торговля!$E$5:$E$300,$B154)+SUMIFS(Закрытые!$H$5:$H$300,Закрытые!$E$5:$E$300,$B154,Закрытые!$B$5:$B$300,"T-*"))</f>
        <v/>
      </c>
      <c r="F154" s="246" t="str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 t="str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 t="str">
        <f>IF(F154="","",SUMIFS(Торговля!$K$5:$K$300,Торговля!$E$5:$E$300,$B154)+SUMIFS(Закрытые!$K$5:$K$300,Закрытые!$E$5:$E$300,$B154,Закрытые!$B$5:$B$300,"T-*"))</f>
        <v/>
      </c>
      <c r="I154" s="246" t="str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 t="str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 t="str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 t="str">
        <f>IF(C155="","",SUMIFS(Торговля!$H$5:$H$300,Торговля!$E$5:$E$300,$B155)+SUMIFS(Закрытые!$H$5:$H$300,Закрытые!$E$5:$E$300,$B155,Закрытые!$B$5:$B$300,"T-*"))</f>
        <v/>
      </c>
      <c r="F155" s="240" t="str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 t="str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 t="str">
        <f>IF(F155="","",SUMIFS(Торговля!$K$5:$K$300,Торговля!$E$5:$E$300,$B155)+SUMIFS(Закрытые!$K$5:$K$300,Закрытые!$E$5:$E$300,$B155,Закрытые!$B$5:$B$300,"T-*"))</f>
        <v/>
      </c>
      <c r="I155" s="240" t="str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 t="str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 t="str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 t="str">
        <f>IF(C156="","",SUMIFS(Торговля!$H$5:$H$300,Торговля!$E$5:$E$300,$B156)+SUMIFS(Закрытые!$H$5:$H$300,Закрытые!$E$5:$E$300,$B156,Закрытые!$B$5:$B$300,"T-*"))</f>
        <v/>
      </c>
      <c r="F156" s="246" t="str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 t="str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 t="str">
        <f>IF(F156="","",SUMIFS(Торговля!$K$5:$K$300,Торговля!$E$5:$E$300,$B156)+SUMIFS(Закрытые!$K$5:$K$300,Закрытые!$E$5:$E$300,$B156,Закрытые!$B$5:$B$300,"T-*"))</f>
        <v/>
      </c>
      <c r="I156" s="246" t="str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 t="str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 t="str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 t="str">
        <f>IF(C157="","",SUMIFS(Торговля!$H$5:$H$300,Торговля!$E$5:$E$300,$B157)+SUMIFS(Закрытые!$H$5:$H$300,Закрытые!$E$5:$E$300,$B157,Закрытые!$B$5:$B$300,"T-*"))</f>
        <v/>
      </c>
      <c r="F157" s="240" t="str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 t="str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 t="str">
        <f>IF(F157="","",SUMIFS(Торговля!$K$5:$K$300,Торговля!$E$5:$E$300,$B157)+SUMIFS(Закрытые!$K$5:$K$300,Закрытые!$E$5:$E$300,$B157,Закрытые!$B$5:$B$300,"T-*"))</f>
        <v/>
      </c>
      <c r="I157" s="240" t="str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 t="str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 t="str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 t="str">
        <f>IF(C158="","",SUMIFS(Торговля!$H$5:$H$300,Торговля!$E$5:$E$300,$B158)+SUMIFS(Закрытые!$H$5:$H$300,Закрытые!$E$5:$E$300,$B158,Закрытые!$B$5:$B$300,"T-*"))</f>
        <v/>
      </c>
      <c r="F158" s="246" t="str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 t="str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 t="str">
        <f>IF(F158="","",SUMIFS(Торговля!$K$5:$K$300,Торговля!$E$5:$E$300,$B158)+SUMIFS(Закрытые!$K$5:$K$300,Закрытые!$E$5:$E$300,$B158,Закрытые!$B$5:$B$300,"T-*"))</f>
        <v/>
      </c>
      <c r="I158" s="246" t="str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 t="str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 t="str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 t="str">
        <f>IF(C159="","",SUMIFS(Торговля!$H$5:$H$300,Торговля!$E$5:$E$300,$B159)+SUMIFS(Закрытые!$H$5:$H$300,Закрытые!$E$5:$E$300,$B159,Закрытые!$B$5:$B$300,"T-*"))</f>
        <v/>
      </c>
      <c r="F159" s="240" t="str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 t="str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 t="str">
        <f>IF(F159="","",SUMIFS(Торговля!$K$5:$K$300,Торговля!$E$5:$E$300,$B159)+SUMIFS(Закрытые!$K$5:$K$300,Закрытые!$E$5:$E$300,$B159,Закрытые!$B$5:$B$300,"T-*"))</f>
        <v/>
      </c>
      <c r="I159" s="240" t="str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 t="str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 t="str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 t="str">
        <f>IF(C160="","",SUMIFS(Торговля!$H$5:$H$300,Торговля!$E$5:$E$300,$B160)+SUMIFS(Закрытые!$H$5:$H$300,Закрытые!$E$5:$E$300,$B160,Закрытые!$B$5:$B$300,"T-*"))</f>
        <v/>
      </c>
      <c r="F160" s="246" t="str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 t="str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 t="str">
        <f>IF(F160="","",SUMIFS(Торговля!$K$5:$K$300,Торговля!$E$5:$E$300,$B160)+SUMIFS(Закрытые!$K$5:$K$300,Закрытые!$E$5:$E$300,$B160,Закрытые!$B$5:$B$300,"T-*"))</f>
        <v/>
      </c>
      <c r="I160" s="246" t="str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 t="str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 t="str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 t="str">
        <f>IF(C161="","",SUMIFS(Торговля!$H$5:$H$300,Торговля!$E$5:$E$300,$B161)+SUMIFS(Закрытые!$H$5:$H$300,Закрытые!$E$5:$E$300,$B161,Закрытые!$B$5:$B$300,"T-*"))</f>
        <v/>
      </c>
      <c r="F161" s="240" t="str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 t="str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 t="str">
        <f>IF(F161="","",SUMIFS(Торговля!$K$5:$K$300,Торговля!$E$5:$E$300,$B161)+SUMIFS(Закрытые!$K$5:$K$300,Закрытые!$E$5:$E$300,$B161,Закрытые!$B$5:$B$300,"T-*"))</f>
        <v/>
      </c>
      <c r="I161" s="240" t="str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 t="str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 t="str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 t="str">
        <f>IF(C162="","",SUMIFS(Торговля!$H$5:$H$300,Торговля!$E$5:$E$300,$B162)+SUMIFS(Закрытые!$H$5:$H$300,Закрытые!$E$5:$E$300,$B162,Закрытые!$B$5:$B$300,"T-*"))</f>
        <v/>
      </c>
      <c r="F162" s="246" t="str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 t="str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 t="str">
        <f>IF(F162="","",SUMIFS(Торговля!$K$5:$K$300,Торговля!$E$5:$E$300,$B162)+SUMIFS(Закрытые!$K$5:$K$300,Закрытые!$E$5:$E$300,$B162,Закрытые!$B$5:$B$300,"T-*"))</f>
        <v/>
      </c>
      <c r="I162" s="246" t="str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 t="str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 t="str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 t="str">
        <f>IF(C163="","",SUMIFS(Торговля!$H$5:$H$300,Торговля!$E$5:$E$300,$B163)+SUMIFS(Закрытые!$H$5:$H$300,Закрытые!$E$5:$E$300,$B163,Закрытые!$B$5:$B$300,"T-*"))</f>
        <v/>
      </c>
      <c r="F163" s="240" t="str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 t="str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 t="str">
        <f>IF(F163="","",SUMIFS(Торговля!$K$5:$K$300,Торговля!$E$5:$E$300,$B163)+SUMIFS(Закрытые!$K$5:$K$300,Закрытые!$E$5:$E$300,$B163,Закрытые!$B$5:$B$300,"T-*"))</f>
        <v/>
      </c>
      <c r="I163" s="240" t="str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 t="str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 t="str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 t="str">
        <f>IF(C164="","",SUMIFS(Торговля!$H$5:$H$300,Торговля!$E$5:$E$300,$B164)+SUMIFS(Закрытые!$H$5:$H$300,Закрытые!$E$5:$E$300,$B164,Закрытые!$B$5:$B$300,"T-*"))</f>
        <v/>
      </c>
      <c r="F164" s="246" t="str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 t="str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 t="str">
        <f>IF(F164="","",SUMIFS(Торговля!$K$5:$K$300,Торговля!$E$5:$E$300,$B164)+SUMIFS(Закрытые!$K$5:$K$300,Закрытые!$E$5:$E$300,$B164,Закрытые!$B$5:$B$300,"T-*"))</f>
        <v/>
      </c>
      <c r="I164" s="246" t="str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 t="str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 t="str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 t="str">
        <f>IF(C165="","",SUMIFS(Торговля!$H$5:$H$300,Торговля!$E$5:$E$300,$B165)+SUMIFS(Закрытые!$H$5:$H$300,Закрытые!$E$5:$E$300,$B165,Закрытые!$B$5:$B$300,"T-*"))</f>
        <v/>
      </c>
      <c r="F165" s="240" t="str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 t="str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 t="str">
        <f>IF(F165="","",SUMIFS(Торговля!$K$5:$K$300,Торговля!$E$5:$E$300,$B165)+SUMIFS(Закрытые!$K$5:$K$300,Закрытые!$E$5:$E$300,$B165,Закрытые!$B$5:$B$300,"T-*"))</f>
        <v/>
      </c>
      <c r="I165" s="240" t="str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 t="str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 t="str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 t="str">
        <f>IF(C166="","",SUMIFS(Торговля!$H$5:$H$300,Торговля!$E$5:$E$300,$B166)+SUMIFS(Закрытые!$H$5:$H$300,Закрытые!$E$5:$E$300,$B166,Закрытые!$B$5:$B$300,"T-*"))</f>
        <v/>
      </c>
      <c r="F166" s="246" t="str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 t="str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 t="str">
        <f>IF(F166="","",SUMIFS(Торговля!$K$5:$K$300,Торговля!$E$5:$E$300,$B166)+SUMIFS(Закрытые!$K$5:$K$300,Закрытые!$E$5:$E$300,$B166,Закрытые!$B$5:$B$300,"T-*"))</f>
        <v/>
      </c>
      <c r="I166" s="246" t="str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 t="str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 t="str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 t="str">
        <f>IF(C167="","",SUMIFS(Торговля!$H$5:$H$300,Торговля!$E$5:$E$300,$B167)+SUMIFS(Закрытые!$H$5:$H$300,Закрытые!$E$5:$E$300,$B167,Закрытые!$B$5:$B$300,"T-*"))</f>
        <v/>
      </c>
      <c r="F167" s="240" t="str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 t="str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 t="str">
        <f>IF(F167="","",SUMIFS(Торговля!$K$5:$K$300,Торговля!$E$5:$E$300,$B167)+SUMIFS(Закрытые!$K$5:$K$300,Закрытые!$E$5:$E$300,$B167,Закрытые!$B$5:$B$300,"T-*"))</f>
        <v/>
      </c>
      <c r="I167" s="240" t="str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 t="str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 t="str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 t="str">
        <f>IF(C168="","",SUMIFS(Торговля!$H$5:$H$300,Торговля!$E$5:$E$300,$B168)+SUMIFS(Закрытые!$H$5:$H$300,Закрытые!$E$5:$E$300,$B168,Закрытые!$B$5:$B$300,"T-*"))</f>
        <v/>
      </c>
      <c r="F168" s="246" t="str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 t="str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 t="str">
        <f>IF(F168="","",SUMIFS(Торговля!$K$5:$K$300,Торговля!$E$5:$E$300,$B168)+SUMIFS(Закрытые!$K$5:$K$300,Закрытые!$E$5:$E$300,$B168,Закрытые!$B$5:$B$300,"T-*"))</f>
        <v/>
      </c>
      <c r="I168" s="246" t="str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 t="str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 t="str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 t="str">
        <f>IF(C169="","",SUMIFS(Торговля!$H$5:$H$300,Торговля!$E$5:$E$300,$B169)+SUMIFS(Закрытые!$H$5:$H$300,Закрытые!$E$5:$E$300,$B169,Закрытые!$B$5:$B$300,"T-*"))</f>
        <v/>
      </c>
      <c r="F169" s="240" t="str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 t="str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 t="str">
        <f>IF(F169="","",SUMIFS(Торговля!$K$5:$K$300,Торговля!$E$5:$E$300,$B169)+SUMIFS(Закрытые!$K$5:$K$300,Закрытые!$E$5:$E$300,$B169,Закрытые!$B$5:$B$300,"T-*"))</f>
        <v/>
      </c>
      <c r="I169" s="240" t="str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 t="str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 t="str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 t="str">
        <f>IF(C170="","",SUMIFS(Торговля!$H$5:$H$300,Торговля!$E$5:$E$300,$B170)+SUMIFS(Закрытые!$H$5:$H$300,Закрытые!$E$5:$E$300,$B170,Закрытые!$B$5:$B$300,"T-*"))</f>
        <v/>
      </c>
      <c r="F170" s="246" t="str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 t="str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 t="str">
        <f>IF(F170="","",SUMIFS(Торговля!$K$5:$K$300,Торговля!$E$5:$E$300,$B170)+SUMIFS(Закрытые!$K$5:$K$300,Закрытые!$E$5:$E$300,$B170,Закрытые!$B$5:$B$300,"T-*"))</f>
        <v/>
      </c>
      <c r="I170" s="246" t="str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 t="str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 t="str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 t="str">
        <f>IF(C171="","",SUMIFS(Торговля!$H$5:$H$300,Торговля!$E$5:$E$300,$B171)+SUMIFS(Закрытые!$H$5:$H$300,Закрытые!$E$5:$E$300,$B171,Закрытые!$B$5:$B$300,"T-*"))</f>
        <v/>
      </c>
      <c r="F171" s="240" t="str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 t="str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 t="str">
        <f>IF(F171="","",SUMIFS(Торговля!$K$5:$K$300,Торговля!$E$5:$E$300,$B171)+SUMIFS(Закрытые!$K$5:$K$300,Закрытые!$E$5:$E$300,$B171,Закрытые!$B$5:$B$300,"T-*"))</f>
        <v/>
      </c>
      <c r="I171" s="240" t="str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 t="str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 t="str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 t="str">
        <f>IF(C172="","",SUMIFS(Торговля!$H$5:$H$300,Торговля!$E$5:$E$300,$B172)+SUMIFS(Закрытые!$H$5:$H$300,Закрытые!$E$5:$E$300,$B172,Закрытые!$B$5:$B$300,"T-*"))</f>
        <v/>
      </c>
      <c r="F172" s="246" t="str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 t="str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 t="str">
        <f>IF(F172="","",SUMIFS(Торговля!$K$5:$K$300,Торговля!$E$5:$E$300,$B172)+SUMIFS(Закрытые!$K$5:$K$300,Закрытые!$E$5:$E$300,$B172,Закрытые!$B$5:$B$300,"T-*"))</f>
        <v/>
      </c>
      <c r="I172" s="246" t="str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 t="str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 t="str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 t="str">
        <f>IF(C173="","",SUMIFS(Торговля!$H$5:$H$300,Торговля!$E$5:$E$300,$B173)+SUMIFS(Закрытые!$H$5:$H$300,Закрытые!$E$5:$E$300,$B173,Закрытые!$B$5:$B$300,"T-*"))</f>
        <v/>
      </c>
      <c r="F173" s="240" t="str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 t="str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 t="str">
        <f>IF(F173="","",SUMIFS(Торговля!$K$5:$K$300,Торговля!$E$5:$E$300,$B173)+SUMIFS(Закрытые!$K$5:$K$300,Закрытые!$E$5:$E$300,$B173,Закрытые!$B$5:$B$300,"T-*"))</f>
        <v/>
      </c>
      <c r="I173" s="240" t="str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 t="str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 t="str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 t="str">
        <f>IF(C174="","",SUMIFS(Торговля!$H$5:$H$300,Торговля!$E$5:$E$300,$B174)+SUMIFS(Закрытые!$H$5:$H$300,Закрытые!$E$5:$E$300,$B174,Закрытые!$B$5:$B$300,"T-*"))</f>
        <v/>
      </c>
      <c r="F174" s="246" t="str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 t="str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 t="str">
        <f>IF(F174="","",SUMIFS(Торговля!$K$5:$K$300,Торговля!$E$5:$E$300,$B174)+SUMIFS(Закрытые!$K$5:$K$300,Закрытые!$E$5:$E$300,$B174,Закрытые!$B$5:$B$300,"T-*"))</f>
        <v/>
      </c>
      <c r="I174" s="246" t="str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 t="str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 t="str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 t="str">
        <f>IF(C175="","",SUMIFS(Торговля!$H$5:$H$300,Торговля!$E$5:$E$300,$B175)+SUMIFS(Закрытые!$H$5:$H$300,Закрытые!$E$5:$E$300,$B175,Закрытые!$B$5:$B$300,"T-*"))</f>
        <v/>
      </c>
      <c r="F175" s="240" t="str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 t="str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 t="str">
        <f>IF(F175="","",SUMIFS(Торговля!$K$5:$K$300,Торговля!$E$5:$E$300,$B175)+SUMIFS(Закрытые!$K$5:$K$300,Закрытые!$E$5:$E$300,$B175,Закрытые!$B$5:$B$300,"T-*"))</f>
        <v/>
      </c>
      <c r="I175" s="240" t="str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 t="str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 t="str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 t="str">
        <f>IF(C176="","",SUMIFS(Торговля!$H$5:$H$300,Торговля!$E$5:$E$300,$B176)+SUMIFS(Закрытые!$H$5:$H$300,Закрытые!$E$5:$E$300,$B176,Закрытые!$B$5:$B$300,"T-*"))</f>
        <v/>
      </c>
      <c r="F176" s="246" t="str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 t="str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 t="str">
        <f>IF(F176="","",SUMIFS(Торговля!$K$5:$K$300,Торговля!$E$5:$E$300,$B176)+SUMIFS(Закрытые!$K$5:$K$300,Закрытые!$E$5:$E$300,$B176,Закрытые!$B$5:$B$300,"T-*"))</f>
        <v/>
      </c>
      <c r="I176" s="246" t="str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 t="str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 t="str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 t="str">
        <f>IF(C177="","",SUMIFS(Торговля!$H$5:$H$300,Торговля!$E$5:$E$300,$B177)+SUMIFS(Закрытые!$H$5:$H$300,Закрытые!$E$5:$E$300,$B177,Закрытые!$B$5:$B$300,"T-*"))</f>
        <v/>
      </c>
      <c r="F177" s="240" t="str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 t="str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 t="str">
        <f>IF(F177="","",SUMIFS(Торговля!$K$5:$K$300,Торговля!$E$5:$E$300,$B177)+SUMIFS(Закрытые!$K$5:$K$300,Закрытые!$E$5:$E$300,$B177,Закрытые!$B$5:$B$300,"T-*"))</f>
        <v/>
      </c>
      <c r="I177" s="240" t="str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 t="str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 t="str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 t="str">
        <f>IF(C178="","",SUMIFS(Торговля!$H$5:$H$300,Торговля!$E$5:$E$300,$B178)+SUMIFS(Закрытые!$H$5:$H$300,Закрытые!$E$5:$E$300,$B178,Закрытые!$B$5:$B$300,"T-*"))</f>
        <v/>
      </c>
      <c r="F178" s="246" t="str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 t="str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 t="str">
        <f>IF(F178="","",SUMIFS(Торговля!$K$5:$K$300,Торговля!$E$5:$E$300,$B178)+SUMIFS(Закрытые!$K$5:$K$300,Закрытые!$E$5:$E$300,$B178,Закрытые!$B$5:$B$300,"T-*"))</f>
        <v/>
      </c>
      <c r="I178" s="246" t="str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 t="str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 t="str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 t="str">
        <f>IF(C179="","",SUMIFS(Торговля!$H$5:$H$300,Торговля!$E$5:$E$300,$B179)+SUMIFS(Закрытые!$H$5:$H$300,Закрытые!$E$5:$E$300,$B179,Закрытые!$B$5:$B$300,"T-*"))</f>
        <v/>
      </c>
      <c r="F179" s="240" t="str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 t="str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 t="str">
        <f>IF(F179="","",SUMIFS(Торговля!$K$5:$K$300,Торговля!$E$5:$E$300,$B179)+SUMIFS(Закрытые!$K$5:$K$300,Закрытые!$E$5:$E$300,$B179,Закрытые!$B$5:$B$300,"T-*"))</f>
        <v/>
      </c>
      <c r="I179" s="240" t="str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 t="str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 t="str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 t="str">
        <f>IF(C180="","",SUMIFS(Торговля!$H$5:$H$300,Торговля!$E$5:$E$300,$B180)+SUMIFS(Закрытые!$H$5:$H$300,Закрытые!$E$5:$E$300,$B180,Закрытые!$B$5:$B$300,"T-*"))</f>
        <v/>
      </c>
      <c r="F180" s="246" t="str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 t="str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 t="str">
        <f>IF(F180="","",SUMIFS(Торговля!$K$5:$K$300,Торговля!$E$5:$E$300,$B180)+SUMIFS(Закрытые!$K$5:$K$300,Закрытые!$E$5:$E$300,$B180,Закрытые!$B$5:$B$300,"T-*"))</f>
        <v/>
      </c>
      <c r="I180" s="246" t="str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 t="str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 t="str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 t="str">
        <f>IF(C181="","",SUMIFS(Торговля!$H$5:$H$300,Торговля!$E$5:$E$300,$B181)+SUMIFS(Закрытые!$H$5:$H$300,Закрытые!$E$5:$E$300,$B181,Закрытые!$B$5:$B$300,"T-*"))</f>
        <v/>
      </c>
      <c r="F181" s="240" t="str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 t="str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 t="str">
        <f>IF(F181="","",SUMIFS(Торговля!$K$5:$K$300,Торговля!$E$5:$E$300,$B181)+SUMIFS(Закрытые!$K$5:$K$300,Закрытые!$E$5:$E$300,$B181,Закрытые!$B$5:$B$300,"T-*"))</f>
        <v/>
      </c>
      <c r="I181" s="240" t="str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 t="str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 t="str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 t="str">
        <f>IF(C182="","",SUMIFS(Торговля!$H$5:$H$300,Торговля!$E$5:$E$300,$B182)+SUMIFS(Закрытые!$H$5:$H$300,Закрытые!$E$5:$E$300,$B182,Закрытые!$B$5:$B$300,"T-*"))</f>
        <v/>
      </c>
      <c r="F182" s="246" t="str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 t="str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 t="str">
        <f>IF(F182="","",SUMIFS(Торговля!$K$5:$K$300,Торговля!$E$5:$E$300,$B182)+SUMIFS(Закрытые!$K$5:$K$300,Закрытые!$E$5:$E$300,$B182,Закрытые!$B$5:$B$300,"T-*"))</f>
        <v/>
      </c>
      <c r="I182" s="246" t="str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 t="str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 t="str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 t="str">
        <f>IF(C183="","",SUMIFS(Торговля!$H$5:$H$300,Торговля!$E$5:$E$300,$B183)+SUMIFS(Закрытые!$H$5:$H$300,Закрытые!$E$5:$E$300,$B183,Закрытые!$B$5:$B$300,"T-*"))</f>
        <v/>
      </c>
      <c r="F183" s="240" t="str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 t="str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 t="str">
        <f>IF(F183="","",SUMIFS(Торговля!$K$5:$K$300,Торговля!$E$5:$E$300,$B183)+SUMIFS(Закрытые!$K$5:$K$300,Закрытые!$E$5:$E$300,$B183,Закрытые!$B$5:$B$300,"T-*"))</f>
        <v/>
      </c>
      <c r="I183" s="240" t="str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 t="str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 t="str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 t="str">
        <f>IF(C184="","",SUMIFS(Торговля!$H$5:$H$300,Торговля!$E$5:$E$300,$B184)+SUMIFS(Закрытые!$H$5:$H$300,Закрытые!$E$5:$E$300,$B184,Закрытые!$B$5:$B$300,"T-*"))</f>
        <v/>
      </c>
      <c r="F184" s="246" t="str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 t="str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 t="str">
        <f>IF(F184="","",SUMIFS(Торговля!$K$5:$K$300,Торговля!$E$5:$E$300,$B184)+SUMIFS(Закрытые!$K$5:$K$300,Закрытые!$E$5:$E$300,$B184,Закрытые!$B$5:$B$300,"T-*"))</f>
        <v/>
      </c>
      <c r="I184" s="246" t="str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 t="str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 t="str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 t="str">
        <f>IF(C185="","",SUMIFS(Торговля!$H$5:$H$300,Торговля!$E$5:$E$300,$B185)+SUMIFS(Закрытые!$H$5:$H$300,Закрытые!$E$5:$E$300,$B185,Закрытые!$B$5:$B$300,"T-*"))</f>
        <v/>
      </c>
      <c r="F185" s="240" t="str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 t="str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 t="str">
        <f>IF(F185="","",SUMIFS(Торговля!$K$5:$K$300,Торговля!$E$5:$E$300,$B185)+SUMIFS(Закрытые!$K$5:$K$300,Закрытые!$E$5:$E$300,$B185,Закрытые!$B$5:$B$300,"T-*"))</f>
        <v/>
      </c>
      <c r="I185" s="240" t="str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 t="str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 t="str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 t="str">
        <f>IF(C186="","",SUMIFS(Торговля!$H$5:$H$300,Торговля!$E$5:$E$300,$B186)+SUMIFS(Закрытые!$H$5:$H$300,Закрытые!$E$5:$E$300,$B186,Закрытые!$B$5:$B$300,"T-*"))</f>
        <v/>
      </c>
      <c r="F186" s="246" t="str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 t="str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 t="str">
        <f>IF(F186="","",SUMIFS(Торговля!$K$5:$K$300,Торговля!$E$5:$E$300,$B186)+SUMIFS(Закрытые!$K$5:$K$300,Закрытые!$E$5:$E$300,$B186,Закрытые!$B$5:$B$300,"T-*"))</f>
        <v/>
      </c>
      <c r="I186" s="246" t="str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 t="str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 t="str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 t="str">
        <f>IF(C187="","",SUMIFS(Торговля!$H$5:$H$300,Торговля!$E$5:$E$300,$B187)+SUMIFS(Закрытые!$H$5:$H$300,Закрытые!$E$5:$E$300,$B187,Закрытые!$B$5:$B$300,"T-*"))</f>
        <v/>
      </c>
      <c r="F187" s="240" t="str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 t="str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 t="str">
        <f>IF(F187="","",SUMIFS(Торговля!$K$5:$K$300,Торговля!$E$5:$E$300,$B187)+SUMIFS(Закрытые!$K$5:$K$300,Закрытые!$E$5:$E$300,$B187,Закрытые!$B$5:$B$300,"T-*"))</f>
        <v/>
      </c>
      <c r="I187" s="240" t="str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 t="str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 t="str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 t="str">
        <f>IF(C188="","",SUMIFS(Торговля!$H$5:$H$300,Торговля!$E$5:$E$300,$B188)+SUMIFS(Закрытые!$H$5:$H$300,Закрытые!$E$5:$E$300,$B188,Закрытые!$B$5:$B$300,"T-*"))</f>
        <v/>
      </c>
      <c r="F188" s="246" t="str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 t="str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 t="str">
        <f>IF(F188="","",SUMIFS(Торговля!$K$5:$K$300,Торговля!$E$5:$E$300,$B188)+SUMIFS(Закрытые!$K$5:$K$300,Закрытые!$E$5:$E$300,$B188,Закрытые!$B$5:$B$300,"T-*"))</f>
        <v/>
      </c>
      <c r="I188" s="246" t="str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 t="str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 t="str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 t="str">
        <f>IF(C189="","",SUMIFS(Торговля!$H$5:$H$300,Торговля!$E$5:$E$300,$B189)+SUMIFS(Закрытые!$H$5:$H$300,Закрытые!$E$5:$E$300,$B189,Закрытые!$B$5:$B$300,"T-*"))</f>
        <v/>
      </c>
      <c r="F189" s="240" t="str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 t="str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 t="str">
        <f>IF(F189="","",SUMIFS(Торговля!$K$5:$K$300,Торговля!$E$5:$E$300,$B189)+SUMIFS(Закрытые!$K$5:$K$300,Закрытые!$E$5:$E$300,$B189,Закрытые!$B$5:$B$300,"T-*"))</f>
        <v/>
      </c>
      <c r="I189" s="240" t="str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 t="str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 t="str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 t="str">
        <f>IF(C190="","",SUMIFS(Торговля!$H$5:$H$300,Торговля!$E$5:$E$300,$B190)+SUMIFS(Закрытые!$H$5:$H$300,Закрытые!$E$5:$E$300,$B190,Закрытые!$B$5:$B$300,"T-*"))</f>
        <v/>
      </c>
      <c r="F190" s="246" t="str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 t="str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 t="str">
        <f>IF(F190="","",SUMIFS(Торговля!$K$5:$K$300,Торговля!$E$5:$E$300,$B190)+SUMIFS(Закрытые!$K$5:$K$300,Закрытые!$E$5:$E$300,$B190,Закрытые!$B$5:$B$300,"T-*"))</f>
        <v/>
      </c>
      <c r="I190" s="246" t="str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 t="str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 t="str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 t="str">
        <f>IF(C191="","",SUMIFS(Торговля!$H$5:$H$300,Торговля!$E$5:$E$300,$B191)+SUMIFS(Закрытые!$H$5:$H$300,Закрытые!$E$5:$E$300,$B191,Закрытые!$B$5:$B$300,"T-*"))</f>
        <v/>
      </c>
      <c r="F191" s="240" t="str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 t="str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 t="str">
        <f>IF(F191="","",SUMIFS(Торговля!$K$5:$K$300,Торговля!$E$5:$E$300,$B191)+SUMIFS(Закрытые!$K$5:$K$300,Закрытые!$E$5:$E$300,$B191,Закрытые!$B$5:$B$300,"T-*"))</f>
        <v/>
      </c>
      <c r="I191" s="240" t="str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 t="str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 t="str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 t="str">
        <f>IF(C192="","",SUMIFS(Торговля!$H$5:$H$300,Торговля!$E$5:$E$300,$B192)+SUMIFS(Закрытые!$H$5:$H$300,Закрытые!$E$5:$E$300,$B192,Закрытые!$B$5:$B$300,"T-*"))</f>
        <v/>
      </c>
      <c r="F192" s="246" t="str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 t="str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 t="str">
        <f>IF(F192="","",SUMIFS(Торговля!$K$5:$K$300,Торговля!$E$5:$E$300,$B192)+SUMIFS(Закрытые!$K$5:$K$300,Закрытые!$E$5:$E$300,$B192,Закрытые!$B$5:$B$300,"T-*"))</f>
        <v/>
      </c>
      <c r="I192" s="246" t="str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 t="str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 t="str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 t="str">
        <f>IF(C193="","",SUMIFS(Торговля!$H$5:$H$300,Торговля!$E$5:$E$300,$B193)+SUMIFS(Закрытые!$H$5:$H$300,Закрытые!$E$5:$E$300,$B193,Закрытые!$B$5:$B$300,"T-*"))</f>
        <v/>
      </c>
      <c r="F193" s="240" t="str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 t="str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 t="str">
        <f>IF(F193="","",SUMIFS(Торговля!$K$5:$K$300,Торговля!$E$5:$E$300,$B193)+SUMIFS(Закрытые!$K$5:$K$300,Закрытые!$E$5:$E$300,$B193,Закрытые!$B$5:$B$300,"T-*"))</f>
        <v/>
      </c>
      <c r="I193" s="240" t="str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 t="str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 t="str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 t="str">
        <f>IF(C194="","",SUMIFS(Торговля!$H$5:$H$300,Торговля!$E$5:$E$300,$B194)+SUMIFS(Закрытые!$H$5:$H$300,Закрытые!$E$5:$E$300,$B194,Закрытые!$B$5:$B$300,"T-*"))</f>
        <v/>
      </c>
      <c r="F194" s="246" t="str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 t="str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 t="str">
        <f>IF(F194="","",SUMIFS(Торговля!$K$5:$K$300,Торговля!$E$5:$E$300,$B194)+SUMIFS(Закрытые!$K$5:$K$300,Закрытые!$E$5:$E$300,$B194,Закрытые!$B$5:$B$300,"T-*"))</f>
        <v/>
      </c>
      <c r="I194" s="246" t="str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 t="str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 t="str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 t="str">
        <f>IF(C195="","",SUMIFS(Торговля!$H$5:$H$300,Торговля!$E$5:$E$300,$B195)+SUMIFS(Закрытые!$H$5:$H$300,Закрытые!$E$5:$E$300,$B195,Закрытые!$B$5:$B$300,"T-*"))</f>
        <v/>
      </c>
      <c r="F195" s="240" t="str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 t="str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 t="str">
        <f>IF(F195="","",SUMIFS(Торговля!$K$5:$K$300,Торговля!$E$5:$E$300,$B195)+SUMIFS(Закрытые!$K$5:$K$300,Закрытые!$E$5:$E$300,$B195,Закрытые!$B$5:$B$300,"T-*"))</f>
        <v/>
      </c>
      <c r="I195" s="240" t="str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 t="str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 t="str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 t="str">
        <f>IF(C196="","",SUMIFS(Торговля!$H$5:$H$300,Торговля!$E$5:$E$300,$B196)+SUMIFS(Закрытые!$H$5:$H$300,Закрытые!$E$5:$E$300,$B196,Закрытые!$B$5:$B$300,"T-*"))</f>
        <v/>
      </c>
      <c r="F196" s="246" t="str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 t="str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 t="str">
        <f>IF(F196="","",SUMIFS(Торговля!$K$5:$K$300,Торговля!$E$5:$E$300,$B196)+SUMIFS(Закрытые!$K$5:$K$300,Закрытые!$E$5:$E$300,$B196,Закрытые!$B$5:$B$300,"T-*"))</f>
        <v/>
      </c>
      <c r="I196" s="246" t="str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 t="str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 t="str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 t="str">
        <f>IF(C197="","",SUMIFS(Торговля!$H$5:$H$300,Торговля!$E$5:$E$300,$B197)+SUMIFS(Закрытые!$H$5:$H$300,Закрытые!$E$5:$E$300,$B197,Закрытые!$B$5:$B$300,"T-*"))</f>
        <v/>
      </c>
      <c r="F197" s="240" t="str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 t="str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 t="str">
        <f>IF(F197="","",SUMIFS(Торговля!$K$5:$K$300,Торговля!$E$5:$E$300,$B197)+SUMIFS(Закрытые!$K$5:$K$300,Закрытые!$E$5:$E$300,$B197,Закрытые!$B$5:$B$300,"T-*"))</f>
        <v/>
      </c>
      <c r="I197" s="240" t="str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 t="str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 t="str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 t="str">
        <f>IF(C198="","",SUMIFS(Торговля!$H$5:$H$300,Торговля!$E$5:$E$300,$B198)+SUMIFS(Закрытые!$H$5:$H$300,Закрытые!$E$5:$E$300,$B198,Закрытые!$B$5:$B$300,"T-*"))</f>
        <v/>
      </c>
      <c r="F198" s="246" t="str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 t="str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 t="str">
        <f>IF(F198="","",SUMIFS(Торговля!$K$5:$K$300,Торговля!$E$5:$E$300,$B198)+SUMIFS(Закрытые!$K$5:$K$300,Закрытые!$E$5:$E$300,$B198,Закрытые!$B$5:$B$300,"T-*"))</f>
        <v/>
      </c>
      <c r="I198" s="246" t="str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 t="str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 t="str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 t="str">
        <f>IF(C199="","",SUMIFS(Торговля!$H$5:$H$300,Торговля!$E$5:$E$300,$B199)+SUMIFS(Закрытые!$H$5:$H$300,Закрытые!$E$5:$E$300,$B199,Закрытые!$B$5:$B$300,"T-*"))</f>
        <v/>
      </c>
      <c r="F199" s="240" t="str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 t="str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 t="str">
        <f>IF(F199="","",SUMIFS(Торговля!$K$5:$K$300,Торговля!$E$5:$E$300,$B199)+SUMIFS(Закрытые!$K$5:$K$300,Закрытые!$E$5:$E$300,$B199,Закрытые!$B$5:$B$300,"T-*"))</f>
        <v/>
      </c>
      <c r="I199" s="240" t="str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 t="str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 t="str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 t="str">
        <f>IF(C200="","",SUMIFS(Торговля!$H$5:$H$300,Торговля!$E$5:$E$300,$B200)+SUMIFS(Закрытые!$H$5:$H$300,Закрытые!$E$5:$E$300,$B200,Закрытые!$B$5:$B$300,"T-*"))</f>
        <v/>
      </c>
      <c r="F200" s="246" t="str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 t="str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 t="str">
        <f>IF(F200="","",SUMIFS(Торговля!$K$5:$K$300,Торговля!$E$5:$E$300,$B200)+SUMIFS(Закрытые!$K$5:$K$300,Закрытые!$E$5:$E$300,$B200,Закрытые!$B$5:$B$300,"T-*"))</f>
        <v/>
      </c>
      <c r="I200" s="246" t="str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 t="str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 t="str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 t="str">
        <f>IF(C201="","",SUMIFS(Торговля!$H$5:$H$300,Торговля!$E$5:$E$300,$B201)+SUMIFS(Закрытые!$H$5:$H$300,Закрытые!$E$5:$E$300,$B201,Закрытые!$B$5:$B$300,"T-*"))</f>
        <v/>
      </c>
      <c r="F201" s="240" t="str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 t="str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 t="str">
        <f>IF(F201="","",SUMIFS(Торговля!$K$5:$K$300,Торговля!$E$5:$E$300,$B201)+SUMIFS(Закрытые!$K$5:$K$300,Закрытые!$E$5:$E$300,$B201,Закрытые!$B$5:$B$300,"T-*"))</f>
        <v/>
      </c>
      <c r="I201" s="240" t="str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 t="str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 t="str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 t="str">
        <f>IF(C202="","",SUMIFS(Торговля!$H$5:$H$300,Торговля!$E$5:$E$300,$B202)+SUMIFS(Закрытые!$H$5:$H$300,Закрытые!$E$5:$E$300,$B202,Закрытые!$B$5:$B$300,"T-*"))</f>
        <v/>
      </c>
      <c r="F202" s="246" t="str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 t="str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 t="str">
        <f>IF(F202="","",SUMIFS(Торговля!$K$5:$K$300,Торговля!$E$5:$E$300,$B202)+SUMIFS(Закрытые!$K$5:$K$300,Закрытые!$E$5:$E$300,$B202,Закрытые!$B$5:$B$300,"T-*"))</f>
        <v/>
      </c>
      <c r="I202" s="246" t="str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 t="str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 t="str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 t="str">
        <f>IF(C203="","",SUMIFS(Торговля!$H$5:$H$300,Торговля!$E$5:$E$300,$B203)+SUMIFS(Закрытые!$H$5:$H$300,Закрытые!$E$5:$E$300,$B203,Закрытые!$B$5:$B$300,"T-*"))</f>
        <v/>
      </c>
      <c r="F203" s="240" t="str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 t="str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 t="str">
        <f>IF(F203="","",SUMIFS(Торговля!$K$5:$K$300,Торговля!$E$5:$E$300,$B203)+SUMIFS(Закрытые!$K$5:$K$300,Закрытые!$E$5:$E$300,$B203,Закрытые!$B$5:$B$300,"T-*"))</f>
        <v/>
      </c>
      <c r="I203" s="240" t="str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 t="str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 t="str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 t="str">
        <f>IF(C204="","",SUMIFS(Торговля!$H$5:$H$300,Торговля!$E$5:$E$300,$B204)+SUMIFS(Закрытые!$H$5:$H$300,Закрытые!$E$5:$E$300,$B204,Закрытые!$B$5:$B$300,"T-*"))</f>
        <v/>
      </c>
      <c r="F204" s="246" t="str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 t="str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 t="str">
        <f>IF(F204="","",SUMIFS(Торговля!$K$5:$K$300,Торговля!$E$5:$E$300,$B204)+SUMIFS(Закрытые!$K$5:$K$300,Закрытые!$E$5:$E$300,$B204,Закрытые!$B$5:$B$300,"T-*"))</f>
        <v/>
      </c>
      <c r="I204" s="246" t="str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 t="str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 t="str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 t="str">
        <f>IF(C205="","",SUMIFS(Торговля!$H$5:$H$300,Торговля!$E$5:$E$300,$B205)+SUMIFS(Закрытые!$H$5:$H$300,Закрытые!$E$5:$E$300,$B205,Закрытые!$B$5:$B$300,"T-*"))</f>
        <v/>
      </c>
      <c r="F205" s="240" t="str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 t="str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 t="str">
        <f>IF(F205="","",SUMIFS(Торговля!$K$5:$K$300,Торговля!$E$5:$E$300,$B205)+SUMIFS(Закрытые!$K$5:$K$300,Закрытые!$E$5:$E$300,$B205,Закрытые!$B$5:$B$300,"T-*"))</f>
        <v/>
      </c>
      <c r="I205" s="240" t="str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 t="str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 t="str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 t="str">
        <f>IF(C206="","",SUMIFS(Торговля!$H$5:$H$300,Торговля!$E$5:$E$300,$B206)+SUMIFS(Закрытые!$H$5:$H$300,Закрытые!$E$5:$E$300,$B206,Закрытые!$B$5:$B$300,"T-*"))</f>
        <v/>
      </c>
      <c r="F206" s="246" t="str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 t="str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 t="str">
        <f>IF(F206="","",SUMIFS(Торговля!$K$5:$K$300,Торговля!$E$5:$E$300,$B206)+SUMIFS(Закрытые!$K$5:$K$300,Закрытые!$E$5:$E$300,$B206,Закрытые!$B$5:$B$300,"T-*"))</f>
        <v/>
      </c>
      <c r="I206" s="246" t="str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 t="str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 t="str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 t="str">
        <f>IF(C207="","",SUMIFS(Торговля!$H$5:$H$300,Торговля!$E$5:$E$300,$B207)+SUMIFS(Закрытые!$H$5:$H$300,Закрытые!$E$5:$E$300,$B207,Закрытые!$B$5:$B$300,"T-*"))</f>
        <v/>
      </c>
      <c r="F207" s="240" t="str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 t="str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 t="str">
        <f>IF(F207="","",SUMIFS(Торговля!$K$5:$K$300,Торговля!$E$5:$E$300,$B207)+SUMIFS(Закрытые!$K$5:$K$300,Закрытые!$E$5:$E$300,$B207,Закрытые!$B$5:$B$300,"T-*"))</f>
        <v/>
      </c>
      <c r="I207" s="240" t="str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 t="str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 t="str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 t="str">
        <f>IF(C208="","",SUMIFS(Торговля!$H$5:$H$300,Торговля!$E$5:$E$300,$B208)+SUMIFS(Закрытые!$H$5:$H$300,Закрытые!$E$5:$E$300,$B208,Закрытые!$B$5:$B$300,"T-*"))</f>
        <v/>
      </c>
      <c r="F208" s="246" t="str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 t="str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 t="str">
        <f>IF(F208="","",SUMIFS(Торговля!$K$5:$K$300,Торговля!$E$5:$E$300,$B208)+SUMIFS(Закрытые!$K$5:$K$300,Закрытые!$E$5:$E$300,$B208,Закрытые!$B$5:$B$300,"T-*"))</f>
        <v/>
      </c>
      <c r="I208" s="246" t="str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 t="str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 t="str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 t="str">
        <f>IF(C209="","",SUMIFS(Торговля!$H$5:$H$300,Торговля!$E$5:$E$300,$B209)+SUMIFS(Закрытые!$H$5:$H$300,Закрытые!$E$5:$E$300,$B209,Закрытые!$B$5:$B$300,"T-*"))</f>
        <v/>
      </c>
      <c r="F209" s="240" t="str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 t="str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 t="str">
        <f>IF(F209="","",SUMIFS(Торговля!$K$5:$K$300,Торговля!$E$5:$E$300,$B209)+SUMIFS(Закрытые!$K$5:$K$300,Закрытые!$E$5:$E$300,$B209,Закрытые!$B$5:$B$300,"T-*"))</f>
        <v/>
      </c>
      <c r="I209" s="240" t="str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 t="str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 t="str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 t="str">
        <f>IF(C210="","",SUMIFS(Торговля!$H$5:$H$300,Торговля!$E$5:$E$300,$B210)+SUMIFS(Закрытые!$H$5:$H$300,Закрытые!$E$5:$E$300,$B210,Закрытые!$B$5:$B$300,"T-*"))</f>
        <v/>
      </c>
      <c r="F210" s="246" t="str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 t="str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 t="str">
        <f>IF(F210="","",SUMIFS(Торговля!$K$5:$K$300,Торговля!$E$5:$E$300,$B210)+SUMIFS(Закрытые!$K$5:$K$300,Закрытые!$E$5:$E$300,$B210,Закрытые!$B$5:$B$300,"T-*"))</f>
        <v/>
      </c>
      <c r="I210" s="246" t="str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 t="str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 t="str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 t="str">
        <f>IF(C211="","",SUMIFS(Торговля!$H$5:$H$300,Торговля!$E$5:$E$300,$B211)+SUMIFS(Закрытые!$H$5:$H$300,Закрытые!$E$5:$E$300,$B211,Закрытые!$B$5:$B$300,"T-*"))</f>
        <v/>
      </c>
      <c r="F211" s="240" t="str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 t="str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 t="str">
        <f>IF(F211="","",SUMIFS(Торговля!$K$5:$K$300,Торговля!$E$5:$E$300,$B211)+SUMIFS(Закрытые!$K$5:$K$300,Закрытые!$E$5:$E$300,$B211,Закрытые!$B$5:$B$300,"T-*"))</f>
        <v/>
      </c>
      <c r="I211" s="240" t="str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 t="str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 t="str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 t="str">
        <f>IF(C212="","",SUMIFS(Торговля!$H$5:$H$300,Торговля!$E$5:$E$300,$B212)+SUMIFS(Закрытые!$H$5:$H$300,Закрытые!$E$5:$E$300,$B212,Закрытые!$B$5:$B$300,"T-*"))</f>
        <v/>
      </c>
      <c r="F212" s="246" t="str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 t="str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 t="str">
        <f>IF(F212="","",SUMIFS(Торговля!$K$5:$K$300,Торговля!$E$5:$E$300,$B212)+SUMIFS(Закрытые!$K$5:$K$300,Закрытые!$E$5:$E$300,$B212,Закрытые!$B$5:$B$300,"T-*"))</f>
        <v/>
      </c>
      <c r="I212" s="246" t="str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 t="str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 t="str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 t="str">
        <f>IF(C213="","",SUMIFS(Торговля!$H$5:$H$300,Торговля!$E$5:$E$300,$B213)+SUMIFS(Закрытые!$H$5:$H$300,Закрытые!$E$5:$E$300,$B213,Закрытые!$B$5:$B$300,"T-*"))</f>
        <v/>
      </c>
      <c r="F213" s="240" t="str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 t="str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 t="str">
        <f>IF(F213="","",SUMIFS(Торговля!$K$5:$K$300,Торговля!$E$5:$E$300,$B213)+SUMIFS(Закрытые!$K$5:$K$300,Закрытые!$E$5:$E$300,$B213,Закрытые!$B$5:$B$300,"T-*"))</f>
        <v/>
      </c>
      <c r="I213" s="240" t="str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 t="str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 t="str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 t="str">
        <f>IF(C214="","",SUMIFS(Торговля!$H$5:$H$300,Торговля!$E$5:$E$300,$B214)+SUMIFS(Закрытые!$H$5:$H$300,Закрытые!$E$5:$E$300,$B214,Закрытые!$B$5:$B$300,"T-*"))</f>
        <v/>
      </c>
      <c r="F214" s="246" t="str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 t="str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 t="str">
        <f>IF(F214="","",SUMIFS(Торговля!$K$5:$K$300,Торговля!$E$5:$E$300,$B214)+SUMIFS(Закрытые!$K$5:$K$300,Закрытые!$E$5:$E$300,$B214,Закрытые!$B$5:$B$300,"T-*"))</f>
        <v/>
      </c>
      <c r="I214" s="246" t="str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 t="str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 t="str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 t="str">
        <f>IF(C215="","",SUMIFS(Торговля!$H$5:$H$300,Торговля!$E$5:$E$300,$B215)+SUMIFS(Закрытые!$H$5:$H$300,Закрытые!$E$5:$E$300,$B215,Закрытые!$B$5:$B$300,"T-*"))</f>
        <v/>
      </c>
      <c r="F215" s="240" t="str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 t="str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 t="str">
        <f>IF(F215="","",SUMIFS(Торговля!$K$5:$K$300,Торговля!$E$5:$E$300,$B215)+SUMIFS(Закрытые!$K$5:$K$300,Закрытые!$E$5:$E$300,$B215,Закрытые!$B$5:$B$300,"T-*"))</f>
        <v/>
      </c>
      <c r="I215" s="240" t="str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 t="str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 t="str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 t="str">
        <f>IF(C216="","",SUMIFS(Торговля!$H$5:$H$300,Торговля!$E$5:$E$300,$B216)+SUMIFS(Закрытые!$H$5:$H$300,Закрытые!$E$5:$E$300,$B216,Закрытые!$B$5:$B$300,"T-*"))</f>
        <v/>
      </c>
      <c r="F216" s="246" t="str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 t="str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 t="str">
        <f>IF(F216="","",SUMIFS(Торговля!$K$5:$K$300,Торговля!$E$5:$E$300,$B216)+SUMIFS(Закрытые!$K$5:$K$300,Закрытые!$E$5:$E$300,$B216,Закрытые!$B$5:$B$300,"T-*"))</f>
        <v/>
      </c>
      <c r="I216" s="246" t="str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 t="str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 t="str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 t="str">
        <f>IF(C217="","",SUMIFS(Торговля!$H$5:$H$300,Торговля!$E$5:$E$300,$B217)+SUMIFS(Закрытые!$H$5:$H$300,Закрытые!$E$5:$E$300,$B217,Закрытые!$B$5:$B$300,"T-*"))</f>
        <v/>
      </c>
      <c r="F217" s="240" t="str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 t="str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 t="str">
        <f>IF(F217="","",SUMIFS(Торговля!$K$5:$K$300,Торговля!$E$5:$E$300,$B217)+SUMIFS(Закрытые!$K$5:$K$300,Закрытые!$E$5:$E$300,$B217,Закрытые!$B$5:$B$300,"T-*"))</f>
        <v/>
      </c>
      <c r="I217" s="240" t="str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 t="str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 t="str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 t="str">
        <f>IF(C218="","",SUMIFS(Торговля!$H$5:$H$300,Торговля!$E$5:$E$300,$B218)+SUMIFS(Закрытые!$H$5:$H$300,Закрытые!$E$5:$E$300,$B218,Закрытые!$B$5:$B$300,"T-*"))</f>
        <v/>
      </c>
      <c r="F218" s="246" t="str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 t="str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 t="str">
        <f>IF(F218="","",SUMIFS(Торговля!$K$5:$K$300,Торговля!$E$5:$E$300,$B218)+SUMIFS(Закрытые!$K$5:$K$300,Закрытые!$E$5:$E$300,$B218,Закрытые!$B$5:$B$300,"T-*"))</f>
        <v/>
      </c>
      <c r="I218" s="246" t="str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 t="str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 t="str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 t="str">
        <f>IF(C219="","",SUMIFS(Торговля!$H$5:$H$300,Торговля!$E$5:$E$300,$B219)+SUMIFS(Закрытые!$H$5:$H$300,Закрытые!$E$5:$E$300,$B219,Закрытые!$B$5:$B$300,"T-*"))</f>
        <v/>
      </c>
      <c r="F219" s="240" t="str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 t="str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 t="str">
        <f>IF(F219="","",SUMIFS(Торговля!$K$5:$K$300,Торговля!$E$5:$E$300,$B219)+SUMIFS(Закрытые!$K$5:$K$300,Закрытые!$E$5:$E$300,$B219,Закрытые!$B$5:$B$300,"T-*"))</f>
        <v/>
      </c>
      <c r="I219" s="240" t="str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 t="str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 t="str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 t="str">
        <f>IF(C220="","",SUMIFS(Торговля!$H$5:$H$300,Торговля!$E$5:$E$300,$B220)+SUMIFS(Закрытые!$H$5:$H$300,Закрытые!$E$5:$E$300,$B220,Закрытые!$B$5:$B$300,"T-*"))</f>
        <v/>
      </c>
      <c r="F220" s="246" t="str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 t="str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 t="str">
        <f>IF(F220="","",SUMIFS(Торговля!$K$5:$K$300,Торговля!$E$5:$E$300,$B220)+SUMIFS(Закрытые!$K$5:$K$300,Закрытые!$E$5:$E$300,$B220,Закрытые!$B$5:$B$300,"T-*"))</f>
        <v/>
      </c>
      <c r="I220" s="246" t="str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 t="str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 t="str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 t="str">
        <f>IF(C221="","",SUMIFS(Торговля!$H$5:$H$300,Торговля!$E$5:$E$300,$B221)+SUMIFS(Закрытые!$H$5:$H$300,Закрытые!$E$5:$E$300,$B221,Закрытые!$B$5:$B$300,"T-*"))</f>
        <v/>
      </c>
      <c r="F221" s="240" t="str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 t="str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 t="str">
        <f>IF(F221="","",SUMIFS(Торговля!$K$5:$K$300,Торговля!$E$5:$E$300,$B221)+SUMIFS(Закрытые!$K$5:$K$300,Закрытые!$E$5:$E$300,$B221,Закрытые!$B$5:$B$300,"T-*"))</f>
        <v/>
      </c>
      <c r="I221" s="240" t="str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 t="str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 t="str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 t="str">
        <f>IF(C222="","",SUMIFS(Торговля!$H$5:$H$300,Торговля!$E$5:$E$300,$B222)+SUMIFS(Закрытые!$H$5:$H$300,Закрытые!$E$5:$E$300,$B222,Закрытые!$B$5:$B$300,"T-*"))</f>
        <v/>
      </c>
      <c r="F222" s="246" t="str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 t="str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 t="str">
        <f>IF(F222="","",SUMIFS(Торговля!$K$5:$K$300,Торговля!$E$5:$E$300,$B222)+SUMIFS(Закрытые!$K$5:$K$300,Закрытые!$E$5:$E$300,$B222,Закрытые!$B$5:$B$300,"T-*"))</f>
        <v/>
      </c>
      <c r="I222" s="246" t="str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 t="str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 t="str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 t="str">
        <f>IF(C223="","",SUMIFS(Торговля!$H$5:$H$300,Торговля!$E$5:$E$300,$B223)+SUMIFS(Закрытые!$H$5:$H$300,Закрытые!$E$5:$E$300,$B223,Закрытые!$B$5:$B$300,"T-*"))</f>
        <v/>
      </c>
      <c r="F223" s="240" t="str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 t="str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 t="str">
        <f>IF(F223="","",SUMIFS(Торговля!$K$5:$K$300,Торговля!$E$5:$E$300,$B223)+SUMIFS(Закрытые!$K$5:$K$300,Закрытые!$E$5:$E$300,$B223,Закрытые!$B$5:$B$300,"T-*"))</f>
        <v/>
      </c>
      <c r="I223" s="240" t="str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 t="str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 t="str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 t="str">
        <f>IF(C224="","",SUMIFS(Торговля!$H$5:$H$300,Торговля!$E$5:$E$300,$B224)+SUMIFS(Закрытые!$H$5:$H$300,Закрытые!$E$5:$E$300,$B224,Закрытые!$B$5:$B$300,"T-*"))</f>
        <v/>
      </c>
      <c r="F224" s="246" t="str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 t="str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 t="str">
        <f>IF(F224="","",SUMIFS(Торговля!$K$5:$K$300,Торговля!$E$5:$E$300,$B224)+SUMIFS(Закрытые!$K$5:$K$300,Закрытые!$E$5:$E$300,$B224,Закрытые!$B$5:$B$300,"T-*"))</f>
        <v/>
      </c>
      <c r="I224" s="246" t="str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 t="str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 t="str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 t="str">
        <f>IF(C225="","",SUMIFS(Торговля!$H$5:$H$300,Торговля!$E$5:$E$300,$B225)+SUMIFS(Закрытые!$H$5:$H$300,Закрытые!$E$5:$E$300,$B225,Закрытые!$B$5:$B$300,"T-*"))</f>
        <v/>
      </c>
      <c r="F225" s="240" t="str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 t="str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 t="str">
        <f>IF(F225="","",SUMIFS(Торговля!$K$5:$K$300,Торговля!$E$5:$E$300,$B225)+SUMIFS(Закрытые!$K$5:$K$300,Закрытые!$E$5:$E$300,$B225,Закрытые!$B$5:$B$300,"T-*"))</f>
        <v/>
      </c>
      <c r="I225" s="240" t="str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 t="str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 t="str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 t="str">
        <f>IF(C226="","",SUMIFS(Торговля!$H$5:$H$300,Торговля!$E$5:$E$300,$B226)+SUMIFS(Закрытые!$H$5:$H$300,Закрытые!$E$5:$E$300,$B226,Закрытые!$B$5:$B$300,"T-*"))</f>
        <v/>
      </c>
      <c r="F226" s="246" t="str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 t="str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 t="str">
        <f>IF(F226="","",SUMIFS(Торговля!$K$5:$K$300,Торговля!$E$5:$E$300,$B226)+SUMIFS(Закрытые!$K$5:$K$300,Закрытые!$E$5:$E$300,$B226,Закрытые!$B$5:$B$300,"T-*"))</f>
        <v/>
      </c>
      <c r="I226" s="246" t="str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 t="str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 t="str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 t="str">
        <f>IF(C227="","",SUMIFS(Торговля!$H$5:$H$300,Торговля!$E$5:$E$300,$B227)+SUMIFS(Закрытые!$H$5:$H$300,Закрытые!$E$5:$E$300,$B227,Закрытые!$B$5:$B$300,"T-*"))</f>
        <v/>
      </c>
      <c r="F227" s="240" t="str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 t="str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 t="str">
        <f>IF(F227="","",SUMIFS(Торговля!$K$5:$K$300,Торговля!$E$5:$E$300,$B227)+SUMIFS(Закрытые!$K$5:$K$300,Закрытые!$E$5:$E$300,$B227,Закрытые!$B$5:$B$300,"T-*"))</f>
        <v/>
      </c>
      <c r="I227" s="240" t="str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 t="str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 t="str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 t="str">
        <f>IF(C228="","",SUMIFS(Торговля!$H$5:$H$300,Торговля!$E$5:$E$300,$B228)+SUMIFS(Закрытые!$H$5:$H$300,Закрытые!$E$5:$E$300,$B228,Закрытые!$B$5:$B$300,"T-*"))</f>
        <v/>
      </c>
      <c r="F228" s="246" t="str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 t="str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 t="str">
        <f>IF(F228="","",SUMIFS(Торговля!$K$5:$K$300,Торговля!$E$5:$E$300,$B228)+SUMIFS(Закрытые!$K$5:$K$300,Закрытые!$E$5:$E$300,$B228,Закрытые!$B$5:$B$300,"T-*"))</f>
        <v/>
      </c>
      <c r="I228" s="246" t="str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 t="str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 t="str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 t="str">
        <f>IF(C229="","",SUMIFS(Торговля!$H$5:$H$300,Торговля!$E$5:$E$300,$B229)+SUMIFS(Закрытые!$H$5:$H$300,Закрытые!$E$5:$E$300,$B229,Закрытые!$B$5:$B$300,"T-*"))</f>
        <v/>
      </c>
      <c r="F229" s="240" t="str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 t="str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 t="str">
        <f>IF(F229="","",SUMIFS(Торговля!$K$5:$K$300,Торговля!$E$5:$E$300,$B229)+SUMIFS(Закрытые!$K$5:$K$300,Закрытые!$E$5:$E$300,$B229,Закрытые!$B$5:$B$300,"T-*"))</f>
        <v/>
      </c>
      <c r="I229" s="240" t="str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 t="str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 t="str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 t="str">
        <f>IF(C230="","",SUMIFS(Торговля!$H$5:$H$300,Торговля!$E$5:$E$300,$B230)+SUMIFS(Закрытые!$H$5:$H$300,Закрытые!$E$5:$E$300,$B230,Закрытые!$B$5:$B$300,"T-*"))</f>
        <v/>
      </c>
      <c r="F230" s="246" t="str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 t="str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 t="str">
        <f>IF(F230="","",SUMIFS(Торговля!$K$5:$K$300,Торговля!$E$5:$E$300,$B230)+SUMIFS(Закрытые!$K$5:$K$300,Закрытые!$E$5:$E$300,$B230,Закрытые!$B$5:$B$300,"T-*"))</f>
        <v/>
      </c>
      <c r="I230" s="246" t="str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 t="str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 t="str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 t="str">
        <f>IF(C231="","",SUMIFS(Торговля!$H$5:$H$300,Торговля!$E$5:$E$300,$B231)+SUMIFS(Закрытые!$H$5:$H$300,Закрытые!$E$5:$E$300,$B231,Закрытые!$B$5:$B$300,"T-*"))</f>
        <v/>
      </c>
      <c r="F231" s="240" t="str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 t="str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 t="str">
        <f>IF(F231="","",SUMIFS(Торговля!$K$5:$K$300,Торговля!$E$5:$E$300,$B231)+SUMIFS(Закрытые!$K$5:$K$300,Закрытые!$E$5:$E$300,$B231,Закрытые!$B$5:$B$300,"T-*"))</f>
        <v/>
      </c>
      <c r="I231" s="240" t="str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 t="str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 t="str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 t="str">
        <f>IF(C232="","",SUMIFS(Торговля!$H$5:$H$300,Торговля!$E$5:$E$300,$B232)+SUMIFS(Закрытые!$H$5:$H$300,Закрытые!$E$5:$E$300,$B232,Закрытые!$B$5:$B$300,"T-*"))</f>
        <v/>
      </c>
      <c r="F232" s="246" t="str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 t="str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 t="str">
        <f>IF(F232="","",SUMIFS(Торговля!$K$5:$K$300,Торговля!$E$5:$E$300,$B232)+SUMIFS(Закрытые!$K$5:$K$300,Закрытые!$E$5:$E$300,$B232,Закрытые!$B$5:$B$300,"T-*"))</f>
        <v/>
      </c>
      <c r="I232" s="246" t="str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 t="str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 t="str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 t="str">
        <f>IF(C233="","",SUMIFS(Торговля!$H$5:$H$300,Торговля!$E$5:$E$300,$B233)+SUMIFS(Закрытые!$H$5:$H$300,Закрытые!$E$5:$E$300,$B233,Закрытые!$B$5:$B$300,"T-*"))</f>
        <v/>
      </c>
      <c r="F233" s="240" t="str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 t="str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 t="str">
        <f>IF(F233="","",SUMIFS(Торговля!$K$5:$K$300,Торговля!$E$5:$E$300,$B233)+SUMIFS(Закрытые!$K$5:$K$300,Закрытые!$E$5:$E$300,$B233,Закрытые!$B$5:$B$300,"T-*"))</f>
        <v/>
      </c>
      <c r="I233" s="240" t="str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 t="str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 t="str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 t="str">
        <f>IF(C234="","",SUMIFS(Торговля!$H$5:$H$300,Торговля!$E$5:$E$300,$B234)+SUMIFS(Закрытые!$H$5:$H$300,Закрытые!$E$5:$E$300,$B234,Закрытые!$B$5:$B$300,"T-*"))</f>
        <v/>
      </c>
      <c r="F234" s="246" t="str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 t="str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 t="str">
        <f>IF(F234="","",SUMIFS(Торговля!$K$5:$K$300,Торговля!$E$5:$E$300,$B234)+SUMIFS(Закрытые!$K$5:$K$300,Закрытые!$E$5:$E$300,$B234,Закрытые!$B$5:$B$300,"T-*"))</f>
        <v/>
      </c>
      <c r="I234" s="246" t="str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 t="str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 t="str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 t="str">
        <f>IF(C235="","",SUMIFS(Торговля!$H$5:$H$300,Торговля!$E$5:$E$300,$B235)+SUMIFS(Закрытые!$H$5:$H$300,Закрытые!$E$5:$E$300,$B235,Закрытые!$B$5:$B$300,"T-*"))</f>
        <v/>
      </c>
      <c r="F235" s="240" t="str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 t="str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 t="str">
        <f>IF(F235="","",SUMIFS(Торговля!$K$5:$K$300,Торговля!$E$5:$E$300,$B235)+SUMIFS(Закрытые!$K$5:$K$300,Закрытые!$E$5:$E$300,$B235,Закрытые!$B$5:$B$300,"T-*"))</f>
        <v/>
      </c>
      <c r="I235" s="240" t="str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 t="str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 t="str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 t="str">
        <f>IF(C236="","",SUMIFS(Торговля!$H$5:$H$300,Торговля!$E$5:$E$300,$B236)+SUMIFS(Закрытые!$H$5:$H$300,Закрытые!$E$5:$E$300,$B236,Закрытые!$B$5:$B$300,"T-*"))</f>
        <v/>
      </c>
      <c r="F236" s="246" t="str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 t="str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 t="str">
        <f>IF(F236="","",SUMIFS(Торговля!$K$5:$K$300,Торговля!$E$5:$E$300,$B236)+SUMIFS(Закрытые!$K$5:$K$300,Закрытые!$E$5:$E$300,$B236,Закрытые!$B$5:$B$300,"T-*"))</f>
        <v/>
      </c>
      <c r="I236" s="246" t="str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 t="str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 t="str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 t="str">
        <f>IF(C237="","",SUMIFS(Торговля!$H$5:$H$300,Торговля!$E$5:$E$300,$B237)+SUMIFS(Закрытые!$H$5:$H$300,Закрытые!$E$5:$E$300,$B237,Закрытые!$B$5:$B$300,"T-*"))</f>
        <v/>
      </c>
      <c r="F237" s="240" t="str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 t="str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 t="str">
        <f>IF(F237="","",SUMIFS(Торговля!$K$5:$K$300,Торговля!$E$5:$E$300,$B237)+SUMIFS(Закрытые!$K$5:$K$300,Закрытые!$E$5:$E$300,$B237,Закрытые!$B$5:$B$300,"T-*"))</f>
        <v/>
      </c>
      <c r="I237" s="240" t="str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 t="str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 t="str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 t="str">
        <f>IF(C238="","",SUMIFS(Торговля!$H$5:$H$300,Торговля!$E$5:$E$300,$B238)+SUMIFS(Закрытые!$H$5:$H$300,Закрытые!$E$5:$E$300,$B238,Закрытые!$B$5:$B$300,"T-*"))</f>
        <v/>
      </c>
      <c r="F238" s="246" t="str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 t="str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 t="str">
        <f>IF(F238="","",SUMIFS(Торговля!$K$5:$K$300,Торговля!$E$5:$E$300,$B238)+SUMIFS(Закрытые!$K$5:$K$300,Закрытые!$E$5:$E$300,$B238,Закрытые!$B$5:$B$300,"T-*"))</f>
        <v/>
      </c>
      <c r="I238" s="246" t="str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 t="str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 t="str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 t="str">
        <f>IF(C239="","",SUMIFS(Торговля!$H$5:$H$300,Торговля!$E$5:$E$300,$B239)+SUMIFS(Закрытые!$H$5:$H$300,Закрытые!$E$5:$E$300,$B239,Закрытые!$B$5:$B$300,"T-*"))</f>
        <v/>
      </c>
      <c r="F239" s="240" t="str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 t="str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 t="str">
        <f>IF(F239="","",SUMIFS(Торговля!$K$5:$K$300,Торговля!$E$5:$E$300,$B239)+SUMIFS(Закрытые!$K$5:$K$300,Закрытые!$E$5:$E$300,$B239,Закрытые!$B$5:$B$300,"T-*"))</f>
        <v/>
      </c>
      <c r="I239" s="240" t="str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 t="str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 t="str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 t="str">
        <f>IF(C240="","",SUMIFS(Торговля!$H$5:$H$300,Торговля!$E$5:$E$300,$B240)+SUMIFS(Закрытые!$H$5:$H$300,Закрытые!$E$5:$E$300,$B240,Закрытые!$B$5:$B$300,"T-*"))</f>
        <v/>
      </c>
      <c r="F240" s="246" t="str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 t="str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 t="str">
        <f>IF(F240="","",SUMIFS(Торговля!$K$5:$K$300,Торговля!$E$5:$E$300,$B240)+SUMIFS(Закрытые!$K$5:$K$300,Закрытые!$E$5:$E$300,$B240,Закрытые!$B$5:$B$300,"T-*"))</f>
        <v/>
      </c>
      <c r="I240" s="246" t="str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 t="str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 t="str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 t="str">
        <f>IF(C241="","",SUMIFS(Торговля!$H$5:$H$300,Торговля!$E$5:$E$300,$B241)+SUMIFS(Закрытые!$H$5:$H$300,Закрытые!$E$5:$E$300,$B241,Закрытые!$B$5:$B$300,"T-*"))</f>
        <v/>
      </c>
      <c r="F241" s="240" t="str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 t="str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 t="str">
        <f>IF(F241="","",SUMIFS(Торговля!$K$5:$K$300,Торговля!$E$5:$E$300,$B241)+SUMIFS(Закрытые!$K$5:$K$300,Закрытые!$E$5:$E$300,$B241,Закрытые!$B$5:$B$300,"T-*"))</f>
        <v/>
      </c>
      <c r="I241" s="240" t="str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 t="str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 t="str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 t="str">
        <f>IF(C242="","",SUMIFS(Торговля!$H$5:$H$300,Торговля!$E$5:$E$300,$B242)+SUMIFS(Закрытые!$H$5:$H$300,Закрытые!$E$5:$E$300,$B242,Закрытые!$B$5:$B$300,"T-*"))</f>
        <v/>
      </c>
      <c r="F242" s="246" t="str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 t="str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 t="str">
        <f>IF(F242="","",SUMIFS(Торговля!$K$5:$K$300,Торговля!$E$5:$E$300,$B242)+SUMIFS(Закрытые!$K$5:$K$300,Закрытые!$E$5:$E$300,$B242,Закрытые!$B$5:$B$300,"T-*"))</f>
        <v/>
      </c>
      <c r="I242" s="246" t="str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 t="str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 t="str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 t="str">
        <f>IF(C243="","",SUMIFS(Торговля!$H$5:$H$300,Торговля!$E$5:$E$300,$B243)+SUMIFS(Закрытые!$H$5:$H$300,Закрытые!$E$5:$E$300,$B243,Закрытые!$B$5:$B$300,"T-*"))</f>
        <v/>
      </c>
      <c r="F243" s="240" t="str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 t="str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 t="str">
        <f>IF(F243="","",SUMIFS(Торговля!$K$5:$K$300,Торговля!$E$5:$E$300,$B243)+SUMIFS(Закрытые!$K$5:$K$300,Закрытые!$E$5:$E$300,$B243,Закрытые!$B$5:$B$300,"T-*"))</f>
        <v/>
      </c>
      <c r="I243" s="240" t="str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 t="str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 t="str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 t="str">
        <f>IF(C244="","",SUMIFS(Торговля!$H$5:$H$300,Торговля!$E$5:$E$300,$B244)+SUMIFS(Закрытые!$H$5:$H$300,Закрытые!$E$5:$E$300,$B244,Закрытые!$B$5:$B$300,"T-*"))</f>
        <v/>
      </c>
      <c r="F244" s="246" t="str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 t="str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 t="str">
        <f>IF(F244="","",SUMIFS(Торговля!$K$5:$K$300,Торговля!$E$5:$E$300,$B244)+SUMIFS(Закрытые!$K$5:$K$300,Закрытые!$E$5:$E$300,$B244,Закрытые!$B$5:$B$300,"T-*"))</f>
        <v/>
      </c>
      <c r="I244" s="246" t="str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 t="str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 t="str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 t="str">
        <f>IF(C245="","",SUMIFS(Торговля!$H$5:$H$300,Торговля!$E$5:$E$300,$B245)+SUMIFS(Закрытые!$H$5:$H$300,Закрытые!$E$5:$E$300,$B245,Закрытые!$B$5:$B$300,"T-*"))</f>
        <v/>
      </c>
      <c r="F245" s="240" t="str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 t="str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 t="str">
        <f>IF(F245="","",SUMIFS(Торговля!$K$5:$K$300,Торговля!$E$5:$E$300,$B245)+SUMIFS(Закрытые!$K$5:$K$300,Закрытые!$E$5:$E$300,$B245,Закрытые!$B$5:$B$300,"T-*"))</f>
        <v/>
      </c>
      <c r="I245" s="240" t="str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 t="str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 t="str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 t="str">
        <f>IF(C246="","",SUMIFS(Торговля!$H$5:$H$300,Торговля!$E$5:$E$300,$B246)+SUMIFS(Закрытые!$H$5:$H$300,Закрытые!$E$5:$E$300,$B246,Закрытые!$B$5:$B$300,"T-*"))</f>
        <v/>
      </c>
      <c r="F246" s="246" t="str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 t="str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 t="str">
        <f>IF(F246="","",SUMIFS(Торговля!$K$5:$K$300,Торговля!$E$5:$E$300,$B246)+SUMIFS(Закрытые!$K$5:$K$300,Закрытые!$E$5:$E$300,$B246,Закрытые!$B$5:$B$300,"T-*"))</f>
        <v/>
      </c>
      <c r="I246" s="246" t="str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 t="str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 t="str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 t="str">
        <f>IF(C247="","",SUMIFS(Торговля!$H$5:$H$300,Торговля!$E$5:$E$300,$B247)+SUMIFS(Закрытые!$H$5:$H$300,Закрытые!$E$5:$E$300,$B247,Закрытые!$B$5:$B$300,"T-*"))</f>
        <v/>
      </c>
      <c r="F247" s="240" t="str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 t="str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 t="str">
        <f>IF(F247="","",SUMIFS(Торговля!$K$5:$K$300,Торговля!$E$5:$E$300,$B247)+SUMIFS(Закрытые!$K$5:$K$300,Закрытые!$E$5:$E$300,$B247,Закрытые!$B$5:$B$300,"T-*"))</f>
        <v/>
      </c>
      <c r="I247" s="240" t="str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 t="str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 t="str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 t="str">
        <f>IF(C248="","",SUMIFS(Торговля!$H$5:$H$300,Торговля!$E$5:$E$300,$B248)+SUMIFS(Закрытые!$H$5:$H$300,Закрытые!$E$5:$E$300,$B248,Закрытые!$B$5:$B$300,"T-*"))</f>
        <v/>
      </c>
      <c r="F248" s="246" t="str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 t="str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 t="str">
        <f>IF(F248="","",SUMIFS(Торговля!$K$5:$K$300,Торговля!$E$5:$E$300,$B248)+SUMIFS(Закрытые!$K$5:$K$300,Закрытые!$E$5:$E$300,$B248,Закрытые!$B$5:$B$300,"T-*"))</f>
        <v/>
      </c>
      <c r="I248" s="246" t="str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 t="str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 t="str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 t="str">
        <f>IF(C249="","",SUMIFS(Торговля!$H$5:$H$300,Торговля!$E$5:$E$300,$B249)+SUMIFS(Закрытые!$H$5:$H$300,Закрытые!$E$5:$E$300,$B249,Закрытые!$B$5:$B$300,"T-*"))</f>
        <v/>
      </c>
      <c r="F249" s="240" t="str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 t="str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 t="str">
        <f>IF(F249="","",SUMIFS(Торговля!$K$5:$K$300,Торговля!$E$5:$E$300,$B249)+SUMIFS(Закрытые!$K$5:$K$300,Закрытые!$E$5:$E$300,$B249,Закрытые!$B$5:$B$300,"T-*"))</f>
        <v/>
      </c>
      <c r="I249" s="240" t="str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 t="str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 t="str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 t="str">
        <f>IF(C250="","",SUMIFS(Торговля!$H$5:$H$300,Торговля!$E$5:$E$300,$B250)+SUMIFS(Закрытые!$H$5:$H$300,Закрытые!$E$5:$E$300,$B250,Закрытые!$B$5:$B$300,"T-*"))</f>
        <v/>
      </c>
      <c r="F250" s="246" t="str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 t="str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 t="str">
        <f>IF(F250="","",SUMIFS(Торговля!$K$5:$K$300,Торговля!$E$5:$E$300,$B250)+SUMIFS(Закрытые!$K$5:$K$300,Закрытые!$E$5:$E$300,$B250,Закрытые!$B$5:$B$300,"T-*"))</f>
        <v/>
      </c>
      <c r="I250" s="246" t="str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 t="str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 t="str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 t="str">
        <f>IF(C251="","",SUMIFS(Торговля!$H$5:$H$300,Торговля!$E$5:$E$300,$B251)+SUMIFS(Закрытые!$H$5:$H$300,Закрытые!$E$5:$E$300,$B251,Закрытые!$B$5:$B$300,"T-*"))</f>
        <v/>
      </c>
      <c r="F251" s="240" t="str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 t="str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 t="str">
        <f>IF(F251="","",SUMIFS(Торговля!$K$5:$K$300,Торговля!$E$5:$E$300,$B251)+SUMIFS(Закрытые!$K$5:$K$300,Закрытые!$E$5:$E$300,$B251,Закрытые!$B$5:$B$300,"T-*"))</f>
        <v/>
      </c>
      <c r="I251" s="240" t="str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 t="str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 t="str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 t="str">
        <f>IF(C252="","",SUMIFS(Торговля!$H$5:$H$300,Торговля!$E$5:$E$300,$B252)+SUMIFS(Закрытые!$H$5:$H$300,Закрытые!$E$5:$E$300,$B252,Закрытые!$B$5:$B$300,"T-*"))</f>
        <v/>
      </c>
      <c r="F252" s="246" t="str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 t="str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 t="str">
        <f>IF(F252="","",SUMIFS(Торговля!$K$5:$K$300,Торговля!$E$5:$E$300,$B252)+SUMIFS(Закрытые!$K$5:$K$300,Закрытые!$E$5:$E$300,$B252,Закрытые!$B$5:$B$300,"T-*"))</f>
        <v/>
      </c>
      <c r="I252" s="246" t="str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 t="str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 t="str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 t="str">
        <f>IF(C253="","",SUMIFS(Торговля!$H$5:$H$300,Торговля!$E$5:$E$300,$B253)+SUMIFS(Закрытые!$H$5:$H$300,Закрытые!$E$5:$E$300,$B253,Закрытые!$B$5:$B$300,"T-*"))</f>
        <v/>
      </c>
      <c r="F253" s="240" t="str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 t="str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 t="str">
        <f>IF(F253="","",SUMIFS(Торговля!$K$5:$K$300,Торговля!$E$5:$E$300,$B253)+SUMIFS(Закрытые!$K$5:$K$300,Закрытые!$E$5:$E$300,$B253,Закрытые!$B$5:$B$300,"T-*"))</f>
        <v/>
      </c>
      <c r="I253" s="240" t="str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 t="str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 t="str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 t="str">
        <f>IF(C254="","",SUMIFS(Торговля!$H$5:$H$300,Торговля!$E$5:$E$300,$B254)+SUMIFS(Закрытые!$H$5:$H$300,Закрытые!$E$5:$E$300,$B254,Закрытые!$B$5:$B$300,"T-*"))</f>
        <v/>
      </c>
      <c r="F254" s="246" t="str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 t="str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 t="str">
        <f>IF(F254="","",SUMIFS(Торговля!$K$5:$K$300,Торговля!$E$5:$E$300,$B254)+SUMIFS(Закрытые!$K$5:$K$300,Закрытые!$E$5:$E$300,$B254,Закрытые!$B$5:$B$300,"T-*"))</f>
        <v/>
      </c>
      <c r="I254" s="246" t="str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 t="str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 t="str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 t="str">
        <f>IF(C255="","",SUMIFS(Торговля!$H$5:$H$300,Торговля!$E$5:$E$300,$B255)+SUMIFS(Закрытые!$H$5:$H$300,Закрытые!$E$5:$E$300,$B255,Закрытые!$B$5:$B$300,"T-*"))</f>
        <v/>
      </c>
      <c r="F255" s="240" t="str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 t="str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 t="str">
        <f>IF(F255="","",SUMIFS(Торговля!$K$5:$K$300,Торговля!$E$5:$E$300,$B255)+SUMIFS(Закрытые!$K$5:$K$300,Закрытые!$E$5:$E$300,$B255,Закрытые!$B$5:$B$300,"T-*"))</f>
        <v/>
      </c>
      <c r="I255" s="240" t="str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 t="str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 t="str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 t="str">
        <f>IF(C256="","",SUMIFS(Торговля!$H$5:$H$300,Торговля!$E$5:$E$300,$B256)+SUMIFS(Закрытые!$H$5:$H$300,Закрытые!$E$5:$E$300,$B256,Закрытые!$B$5:$B$300,"T-*"))</f>
        <v/>
      </c>
      <c r="F256" s="246" t="str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 t="str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 t="str">
        <f>IF(F256="","",SUMIFS(Торговля!$K$5:$K$300,Торговля!$E$5:$E$300,$B256)+SUMIFS(Закрытые!$K$5:$K$300,Закрытые!$E$5:$E$300,$B256,Закрытые!$B$5:$B$300,"T-*"))</f>
        <v/>
      </c>
      <c r="I256" s="246" t="str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 t="str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 t="str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 t="str">
        <f>IF(C257="","",SUMIFS(Торговля!$H$5:$H$300,Торговля!$E$5:$E$300,$B257)+SUMIFS(Закрытые!$H$5:$H$300,Закрытые!$E$5:$E$300,$B257,Закрытые!$B$5:$B$300,"T-*"))</f>
        <v/>
      </c>
      <c r="F257" s="240" t="str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 t="str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 t="str">
        <f>IF(F257="","",SUMIFS(Торговля!$K$5:$K$300,Торговля!$E$5:$E$300,$B257)+SUMIFS(Закрытые!$K$5:$K$300,Закрытые!$E$5:$E$300,$B257,Закрытые!$B$5:$B$300,"T-*"))</f>
        <v/>
      </c>
      <c r="I257" s="240" t="str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 t="str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 t="str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 t="str">
        <f>IF(C258="","",SUMIFS(Торговля!$H$5:$H$300,Торговля!$E$5:$E$300,$B258)+SUMIFS(Закрытые!$H$5:$H$300,Закрытые!$E$5:$E$300,$B258,Закрытые!$B$5:$B$300,"T-*"))</f>
        <v/>
      </c>
      <c r="F258" s="246" t="str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 t="str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 t="str">
        <f>IF(F258="","",SUMIFS(Торговля!$K$5:$K$300,Торговля!$E$5:$E$300,$B258)+SUMIFS(Закрытые!$K$5:$K$300,Закрытые!$E$5:$E$300,$B258,Закрытые!$B$5:$B$300,"T-*"))</f>
        <v/>
      </c>
      <c r="I258" s="246" t="str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 t="str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 t="str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 t="str">
        <f>IF(C259="","",SUMIFS(Торговля!$H$5:$H$300,Торговля!$E$5:$E$300,$B259)+SUMIFS(Закрытые!$H$5:$H$300,Закрытые!$E$5:$E$300,$B259,Закрытые!$B$5:$B$300,"T-*"))</f>
        <v/>
      </c>
      <c r="F259" s="240" t="str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 t="str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 t="str">
        <f>IF(F259="","",SUMIFS(Торговля!$K$5:$K$300,Торговля!$E$5:$E$300,$B259)+SUMIFS(Закрытые!$K$5:$K$300,Закрытые!$E$5:$E$300,$B259,Закрытые!$B$5:$B$300,"T-*"))</f>
        <v/>
      </c>
      <c r="I259" s="240" t="str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 t="str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 t="str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 t="str">
        <f>IF(C260="","",SUMIFS(Торговля!$H$5:$H$300,Торговля!$E$5:$E$300,$B260)+SUMIFS(Закрытые!$H$5:$H$300,Закрытые!$E$5:$E$300,$B260,Закрытые!$B$5:$B$300,"T-*"))</f>
        <v/>
      </c>
      <c r="F260" s="246" t="str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 t="str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 t="str">
        <f>IF(F260="","",SUMIFS(Торговля!$K$5:$K$300,Торговля!$E$5:$E$300,$B260)+SUMIFS(Закрытые!$K$5:$K$300,Закрытые!$E$5:$E$300,$B260,Закрытые!$B$5:$B$300,"T-*"))</f>
        <v/>
      </c>
      <c r="I260" s="246" t="str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 t="str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 t="str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 t="str">
        <f>IF(C261="","",SUMIFS(Торговля!$H$5:$H$300,Торговля!$E$5:$E$300,$B261)+SUMIFS(Закрытые!$H$5:$H$300,Закрытые!$E$5:$E$300,$B261,Закрытые!$B$5:$B$300,"T-*"))</f>
        <v/>
      </c>
      <c r="F261" s="240" t="str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 t="str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 t="str">
        <f>IF(F261="","",SUMIFS(Торговля!$K$5:$K$300,Торговля!$E$5:$E$300,$B261)+SUMIFS(Закрытые!$K$5:$K$300,Закрытые!$E$5:$E$300,$B261,Закрытые!$B$5:$B$300,"T-*"))</f>
        <v/>
      </c>
      <c r="I261" s="240" t="str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 t="str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 t="str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 t="str">
        <f>IF(C262="","",SUMIFS(Торговля!$H$5:$H$300,Торговля!$E$5:$E$300,$B262)+SUMIFS(Закрытые!$H$5:$H$300,Закрытые!$E$5:$E$300,$B262,Закрытые!$B$5:$B$300,"T-*"))</f>
        <v/>
      </c>
      <c r="F262" s="246" t="str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 t="str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 t="str">
        <f>IF(F262="","",SUMIFS(Торговля!$K$5:$K$300,Торговля!$E$5:$E$300,$B262)+SUMIFS(Закрытые!$K$5:$K$300,Закрытые!$E$5:$E$300,$B262,Закрытые!$B$5:$B$300,"T-*"))</f>
        <v/>
      </c>
      <c r="I262" s="246" t="str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 t="str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 t="str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 t="str">
        <f>IF(C263="","",SUMIFS(Торговля!$H$5:$H$300,Торговля!$E$5:$E$300,$B263)+SUMIFS(Закрытые!$H$5:$H$300,Закрытые!$E$5:$E$300,$B263,Закрытые!$B$5:$B$300,"T-*"))</f>
        <v/>
      </c>
      <c r="F263" s="240" t="str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 t="str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 t="str">
        <f>IF(F263="","",SUMIFS(Торговля!$K$5:$K$300,Торговля!$E$5:$E$300,$B263)+SUMIFS(Закрытые!$K$5:$K$300,Закрытые!$E$5:$E$300,$B263,Закрытые!$B$5:$B$300,"T-*"))</f>
        <v/>
      </c>
      <c r="I263" s="240" t="str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 t="str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 t="str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 t="str">
        <f>IF(C264="","",SUMIFS(Торговля!$H$5:$H$300,Торговля!$E$5:$E$300,$B264)+SUMIFS(Закрытые!$H$5:$H$300,Закрытые!$E$5:$E$300,$B264,Закрытые!$B$5:$B$300,"T-*"))</f>
        <v/>
      </c>
      <c r="F264" s="246" t="str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 t="str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 t="str">
        <f>IF(F264="","",SUMIFS(Торговля!$K$5:$K$300,Торговля!$E$5:$E$300,$B264)+SUMIFS(Закрытые!$K$5:$K$300,Закрытые!$E$5:$E$300,$B264,Закрытые!$B$5:$B$300,"T-*"))</f>
        <v/>
      </c>
      <c r="I264" s="246" t="str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 t="str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 t="str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 t="str">
        <f>IF(C265="","",SUMIFS(Торговля!$H$5:$H$300,Торговля!$E$5:$E$300,$B265)+SUMIFS(Закрытые!$H$5:$H$300,Закрытые!$E$5:$E$300,$B265,Закрытые!$B$5:$B$300,"T-*"))</f>
        <v/>
      </c>
      <c r="F265" s="240" t="str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 t="str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 t="str">
        <f>IF(F265="","",SUMIFS(Торговля!$K$5:$K$300,Торговля!$E$5:$E$300,$B265)+SUMIFS(Закрытые!$K$5:$K$300,Закрытые!$E$5:$E$300,$B265,Закрытые!$B$5:$B$300,"T-*"))</f>
        <v/>
      </c>
      <c r="I265" s="240" t="str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 t="str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 t="str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 t="str">
        <f>IF(C266="","",SUMIFS(Торговля!$H$5:$H$300,Торговля!$E$5:$E$300,$B266)+SUMIFS(Закрытые!$H$5:$H$300,Закрытые!$E$5:$E$300,$B266,Закрытые!$B$5:$B$300,"T-*"))</f>
        <v/>
      </c>
      <c r="F266" s="246" t="str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 t="str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 t="str">
        <f>IF(F266="","",SUMIFS(Торговля!$K$5:$K$300,Торговля!$E$5:$E$300,$B266)+SUMIFS(Закрытые!$K$5:$K$300,Закрытые!$E$5:$E$300,$B266,Закрытые!$B$5:$B$300,"T-*"))</f>
        <v/>
      </c>
      <c r="I266" s="246" t="str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 t="str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 t="str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 t="str">
        <f>IF(C267="","",SUMIFS(Торговля!$H$5:$H$300,Торговля!$E$5:$E$300,$B267)+SUMIFS(Закрытые!$H$5:$H$300,Закрытые!$E$5:$E$300,$B267,Закрытые!$B$5:$B$300,"T-*"))</f>
        <v/>
      </c>
      <c r="F267" s="240" t="str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 t="str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 t="str">
        <f>IF(F267="","",SUMIFS(Торговля!$K$5:$K$300,Торговля!$E$5:$E$300,$B267)+SUMIFS(Закрытые!$K$5:$K$300,Закрытые!$E$5:$E$300,$B267,Закрытые!$B$5:$B$300,"T-*"))</f>
        <v/>
      </c>
      <c r="I267" s="240" t="str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 t="str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 t="str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 t="str">
        <f>IF(C268="","",SUMIFS(Торговля!$H$5:$H$300,Торговля!$E$5:$E$300,$B268)+SUMIFS(Закрытые!$H$5:$H$300,Закрытые!$E$5:$E$300,$B268,Закрытые!$B$5:$B$300,"T-*"))</f>
        <v/>
      </c>
      <c r="F268" s="246" t="str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 t="str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 t="str">
        <f>IF(F268="","",SUMIFS(Торговля!$K$5:$K$300,Торговля!$E$5:$E$300,$B268)+SUMIFS(Закрытые!$K$5:$K$300,Закрытые!$E$5:$E$300,$B268,Закрытые!$B$5:$B$300,"T-*"))</f>
        <v/>
      </c>
      <c r="I268" s="246" t="str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 t="str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 t="str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 t="str">
        <f>IF(C269="","",SUMIFS(Торговля!$H$5:$H$300,Торговля!$E$5:$E$300,$B269)+SUMIFS(Закрытые!$H$5:$H$300,Закрытые!$E$5:$E$300,$B269,Закрытые!$B$5:$B$300,"T-*"))</f>
        <v/>
      </c>
      <c r="F269" s="240" t="str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 t="str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 t="str">
        <f>IF(F269="","",SUMIFS(Торговля!$K$5:$K$300,Торговля!$E$5:$E$300,$B269)+SUMIFS(Закрытые!$K$5:$K$300,Закрытые!$E$5:$E$300,$B269,Закрытые!$B$5:$B$300,"T-*"))</f>
        <v/>
      </c>
      <c r="I269" s="240" t="str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 t="str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 t="str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 t="str">
        <f>IF(C270="","",SUMIFS(Торговля!$H$5:$H$300,Торговля!$E$5:$E$300,$B270)+SUMIFS(Закрытые!$H$5:$H$300,Закрытые!$E$5:$E$300,$B270,Закрытые!$B$5:$B$300,"T-*"))</f>
        <v/>
      </c>
      <c r="F270" s="246" t="str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 t="str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 t="str">
        <f>IF(F270="","",SUMIFS(Торговля!$K$5:$K$300,Торговля!$E$5:$E$300,$B270)+SUMIFS(Закрытые!$K$5:$K$300,Закрытые!$E$5:$E$300,$B270,Закрытые!$B$5:$B$300,"T-*"))</f>
        <v/>
      </c>
      <c r="I270" s="246" t="str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 t="str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 t="str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 t="str">
        <f>IF(C271="","",SUMIFS(Торговля!$H$5:$H$300,Торговля!$E$5:$E$300,$B271)+SUMIFS(Закрытые!$H$5:$H$300,Закрытые!$E$5:$E$300,$B271,Закрытые!$B$5:$B$300,"T-*"))</f>
        <v/>
      </c>
      <c r="F271" s="240" t="str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 t="str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 t="str">
        <f>IF(F271="","",SUMIFS(Торговля!$K$5:$K$300,Торговля!$E$5:$E$300,$B271)+SUMIFS(Закрытые!$K$5:$K$300,Закрытые!$E$5:$E$300,$B271,Закрытые!$B$5:$B$300,"T-*"))</f>
        <v/>
      </c>
      <c r="I271" s="240" t="str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 t="str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 t="str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 t="str">
        <f>IF(C272="","",SUMIFS(Торговля!$H$5:$H$300,Торговля!$E$5:$E$300,$B272)+SUMIFS(Закрытые!$H$5:$H$300,Закрытые!$E$5:$E$300,$B272,Закрытые!$B$5:$B$300,"T-*"))</f>
        <v/>
      </c>
      <c r="F272" s="246" t="str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 t="str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 t="str">
        <f>IF(F272="","",SUMIFS(Торговля!$K$5:$K$300,Торговля!$E$5:$E$300,$B272)+SUMIFS(Закрытые!$K$5:$K$300,Закрытые!$E$5:$E$300,$B272,Закрытые!$B$5:$B$300,"T-*"))</f>
        <v/>
      </c>
      <c r="I272" s="246" t="str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 t="str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 t="str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 t="str">
        <f>IF(C273="","",SUMIFS(Торговля!$H$5:$H$300,Торговля!$E$5:$E$300,$B273)+SUMIFS(Закрытые!$H$5:$H$300,Закрытые!$E$5:$E$300,$B273,Закрытые!$B$5:$B$300,"T-*"))</f>
        <v/>
      </c>
      <c r="F273" s="240" t="str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 t="str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 t="str">
        <f>IF(F273="","",SUMIFS(Торговля!$K$5:$K$300,Торговля!$E$5:$E$300,$B273)+SUMIFS(Закрытые!$K$5:$K$300,Закрытые!$E$5:$E$300,$B273,Закрытые!$B$5:$B$300,"T-*"))</f>
        <v/>
      </c>
      <c r="I273" s="240" t="str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 t="str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 t="str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 t="str">
        <f>IF(C274="","",SUMIFS(Торговля!$H$5:$H$300,Торговля!$E$5:$E$300,$B274)+SUMIFS(Закрытые!$H$5:$H$300,Закрытые!$E$5:$E$300,$B274,Закрытые!$B$5:$B$300,"T-*"))</f>
        <v/>
      </c>
      <c r="F274" s="246" t="str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 t="str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 t="str">
        <f>IF(F274="","",SUMIFS(Торговля!$K$5:$K$300,Торговля!$E$5:$E$300,$B274)+SUMIFS(Закрытые!$K$5:$K$300,Закрытые!$E$5:$E$300,$B274,Закрытые!$B$5:$B$300,"T-*"))</f>
        <v/>
      </c>
      <c r="I274" s="246" t="str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 t="str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 t="str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 t="str">
        <f>IF(C275="","",SUMIFS(Торговля!$H$5:$H$300,Торговля!$E$5:$E$300,$B275)+SUMIFS(Закрытые!$H$5:$H$300,Закрытые!$E$5:$E$300,$B275,Закрытые!$B$5:$B$300,"T-*"))</f>
        <v/>
      </c>
      <c r="F275" s="240" t="str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 t="str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 t="str">
        <f>IF(F275="","",SUMIFS(Торговля!$K$5:$K$300,Торговля!$E$5:$E$300,$B275)+SUMIFS(Закрытые!$K$5:$K$300,Закрытые!$E$5:$E$300,$B275,Закрытые!$B$5:$B$300,"T-*"))</f>
        <v/>
      </c>
      <c r="I275" s="240" t="str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 t="str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 t="str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 t="str">
        <f>IF(C276="","",SUMIFS(Торговля!$H$5:$H$300,Торговля!$E$5:$E$300,$B276)+SUMIFS(Закрытые!$H$5:$H$300,Закрытые!$E$5:$E$300,$B276,Закрытые!$B$5:$B$300,"T-*"))</f>
        <v/>
      </c>
      <c r="F276" s="246" t="str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 t="str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 t="str">
        <f>IF(F276="","",SUMIFS(Торговля!$K$5:$K$300,Торговля!$E$5:$E$300,$B276)+SUMIFS(Закрытые!$K$5:$K$300,Закрытые!$E$5:$E$300,$B276,Закрытые!$B$5:$B$300,"T-*"))</f>
        <v/>
      </c>
      <c r="I276" s="246" t="str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 t="str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 t="str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 t="str">
        <f>IF(C277="","",SUMIFS(Торговля!$H$5:$H$300,Торговля!$E$5:$E$300,$B277)+SUMIFS(Закрытые!$H$5:$H$300,Закрытые!$E$5:$E$300,$B277,Закрытые!$B$5:$B$300,"T-*"))</f>
        <v/>
      </c>
      <c r="F277" s="240" t="str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 t="str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 t="str">
        <f>IF(F277="","",SUMIFS(Торговля!$K$5:$K$300,Торговля!$E$5:$E$300,$B277)+SUMIFS(Закрытые!$K$5:$K$300,Закрытые!$E$5:$E$300,$B277,Закрытые!$B$5:$B$300,"T-*"))</f>
        <v/>
      </c>
      <c r="I277" s="240" t="str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 t="str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 t="str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 t="str">
        <f>IF(C278="","",SUMIFS(Торговля!$H$5:$H$300,Торговля!$E$5:$E$300,$B278)+SUMIFS(Закрытые!$H$5:$H$300,Закрытые!$E$5:$E$300,$B278,Закрытые!$B$5:$B$300,"T-*"))</f>
        <v/>
      </c>
      <c r="F278" s="246" t="str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 t="str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 t="str">
        <f>IF(F278="","",SUMIFS(Торговля!$K$5:$K$300,Торговля!$E$5:$E$300,$B278)+SUMIFS(Закрытые!$K$5:$K$300,Закрытые!$E$5:$E$300,$B278,Закрытые!$B$5:$B$300,"T-*"))</f>
        <v/>
      </c>
      <c r="I278" s="246" t="str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 t="str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 t="str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 t="str">
        <f>IF(C279="","",SUMIFS(Торговля!$H$5:$H$300,Торговля!$E$5:$E$300,$B279)+SUMIFS(Закрытые!$H$5:$H$300,Закрытые!$E$5:$E$300,$B279,Закрытые!$B$5:$B$300,"T-*"))</f>
        <v/>
      </c>
      <c r="F279" s="240" t="str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 t="str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 t="str">
        <f>IF(F279="","",SUMIFS(Торговля!$K$5:$K$300,Торговля!$E$5:$E$300,$B279)+SUMIFS(Закрытые!$K$5:$K$300,Закрытые!$E$5:$E$300,$B279,Закрытые!$B$5:$B$300,"T-*"))</f>
        <v/>
      </c>
      <c r="I279" s="240" t="str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 t="str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 t="str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 t="str">
        <f>IF(C280="","",SUMIFS(Торговля!$H$5:$H$300,Торговля!$E$5:$E$300,$B280)+SUMIFS(Закрытые!$H$5:$H$300,Закрытые!$E$5:$E$300,$B280,Закрытые!$B$5:$B$300,"T-*"))</f>
        <v/>
      </c>
      <c r="F280" s="246" t="str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 t="str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 t="str">
        <f>IF(F280="","",SUMIFS(Торговля!$K$5:$K$300,Торговля!$E$5:$E$300,$B280)+SUMIFS(Закрытые!$K$5:$K$300,Закрытые!$E$5:$E$300,$B280,Закрытые!$B$5:$B$300,"T-*"))</f>
        <v/>
      </c>
      <c r="I280" s="246" t="str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 t="str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 t="str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 t="str">
        <f>IF(C281="","",SUMIFS(Торговля!$H$5:$H$300,Торговля!$E$5:$E$300,$B281)+SUMIFS(Закрытые!$H$5:$H$300,Закрытые!$E$5:$E$300,$B281,Закрытые!$B$5:$B$300,"T-*"))</f>
        <v/>
      </c>
      <c r="F281" s="240" t="str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 t="str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 t="str">
        <f>IF(F281="","",SUMIFS(Торговля!$K$5:$K$300,Торговля!$E$5:$E$300,$B281)+SUMIFS(Закрытые!$K$5:$K$300,Закрытые!$E$5:$E$300,$B281,Закрытые!$B$5:$B$300,"T-*"))</f>
        <v/>
      </c>
      <c r="I281" s="240" t="str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 t="str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 t="str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 t="str">
        <f>IF(C282="","",SUMIFS(Торговля!$H$5:$H$300,Торговля!$E$5:$E$300,$B282)+SUMIFS(Закрытые!$H$5:$H$300,Закрытые!$E$5:$E$300,$B282,Закрытые!$B$5:$B$300,"T-*"))</f>
        <v/>
      </c>
      <c r="F282" s="246" t="str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 t="str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 t="str">
        <f>IF(F282="","",SUMIFS(Торговля!$K$5:$K$300,Торговля!$E$5:$E$300,$B282)+SUMIFS(Закрытые!$K$5:$K$300,Закрытые!$E$5:$E$300,$B282,Закрытые!$B$5:$B$300,"T-*"))</f>
        <v/>
      </c>
      <c r="I282" s="246" t="str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 t="str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 t="str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 t="str">
        <f>IF(C283="","",SUMIFS(Торговля!$H$5:$H$300,Торговля!$E$5:$E$300,$B283)+SUMIFS(Закрытые!$H$5:$H$300,Закрытые!$E$5:$E$300,$B283,Закрытые!$B$5:$B$300,"T-*"))</f>
        <v/>
      </c>
      <c r="F283" s="240" t="str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 t="str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 t="str">
        <f>IF(F283="","",SUMIFS(Торговля!$K$5:$K$300,Торговля!$E$5:$E$300,$B283)+SUMIFS(Закрытые!$K$5:$K$300,Закрытые!$E$5:$E$300,$B283,Закрытые!$B$5:$B$300,"T-*"))</f>
        <v/>
      </c>
      <c r="I283" s="240" t="str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 t="str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 t="str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 t="str">
        <f>IF(C284="","",SUMIFS(Торговля!$H$5:$H$300,Торговля!$E$5:$E$300,$B284)+SUMIFS(Закрытые!$H$5:$H$300,Закрытые!$E$5:$E$300,$B284,Закрытые!$B$5:$B$300,"T-*"))</f>
        <v/>
      </c>
      <c r="F284" s="246" t="str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 t="str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 t="str">
        <f>IF(F284="","",SUMIFS(Торговля!$K$5:$K$300,Торговля!$E$5:$E$300,$B284)+SUMIFS(Закрытые!$K$5:$K$300,Закрытые!$E$5:$E$300,$B284,Закрытые!$B$5:$B$300,"T-*"))</f>
        <v/>
      </c>
      <c r="I284" s="246" t="str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 t="str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 t="str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 t="str">
        <f>IF(C285="","",SUMIFS(Торговля!$H$5:$H$300,Торговля!$E$5:$E$300,$B285)+SUMIFS(Закрытые!$H$5:$H$300,Закрытые!$E$5:$E$300,$B285,Закрытые!$B$5:$B$300,"T-*"))</f>
        <v/>
      </c>
      <c r="F285" s="240" t="str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 t="str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 t="str">
        <f>IF(F285="","",SUMIFS(Торговля!$K$5:$K$300,Торговля!$E$5:$E$300,$B285)+SUMIFS(Закрытые!$K$5:$K$300,Закрытые!$E$5:$E$300,$B285,Закрытые!$B$5:$B$300,"T-*"))</f>
        <v/>
      </c>
      <c r="I285" s="240" t="str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 t="str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 t="str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 t="str">
        <f>IF(C286="","",SUMIFS(Торговля!$H$5:$H$300,Торговля!$E$5:$E$300,$B286)+SUMIFS(Закрытые!$H$5:$H$300,Закрытые!$E$5:$E$300,$B286,Закрытые!$B$5:$B$300,"T-*"))</f>
        <v/>
      </c>
      <c r="F286" s="246" t="str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 t="str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 t="str">
        <f>IF(F286="","",SUMIFS(Торговля!$K$5:$K$300,Торговля!$E$5:$E$300,$B286)+SUMIFS(Закрытые!$K$5:$K$300,Закрытые!$E$5:$E$300,$B286,Закрытые!$B$5:$B$300,"T-*"))</f>
        <v/>
      </c>
      <c r="I286" s="246" t="str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 t="str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 t="str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 t="str">
        <f>IF(C287="","",SUMIFS(Торговля!$H$5:$H$300,Торговля!$E$5:$E$300,$B287)+SUMIFS(Закрытые!$H$5:$H$300,Закрытые!$E$5:$E$300,$B287,Закрытые!$B$5:$B$300,"T-*"))</f>
        <v/>
      </c>
      <c r="F287" s="240" t="str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 t="str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 t="str">
        <f>IF(F287="","",SUMIFS(Торговля!$K$5:$K$300,Торговля!$E$5:$E$300,$B287)+SUMIFS(Закрытые!$K$5:$K$300,Закрытые!$E$5:$E$300,$B287,Закрытые!$B$5:$B$300,"T-*"))</f>
        <v/>
      </c>
      <c r="I287" s="240" t="str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 t="str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 t="str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 t="str">
        <f>IF(C288="","",SUMIFS(Торговля!$H$5:$H$300,Торговля!$E$5:$E$300,$B288)+SUMIFS(Закрытые!$H$5:$H$300,Закрытые!$E$5:$E$300,$B288,Закрытые!$B$5:$B$300,"T-*"))</f>
        <v/>
      </c>
      <c r="F288" s="246" t="str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 t="str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 t="str">
        <f>IF(F288="","",SUMIFS(Торговля!$K$5:$K$300,Торговля!$E$5:$E$300,$B288)+SUMIFS(Закрытые!$K$5:$K$300,Закрытые!$E$5:$E$300,$B288,Закрытые!$B$5:$B$300,"T-*"))</f>
        <v/>
      </c>
      <c r="I288" s="246" t="str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 t="str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 t="str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 t="str">
        <f>IF(C289="","",SUMIFS(Торговля!$H$5:$H$300,Торговля!$E$5:$E$300,$B289)+SUMIFS(Закрытые!$H$5:$H$300,Закрытые!$E$5:$E$300,$B289,Закрытые!$B$5:$B$300,"T-*"))</f>
        <v/>
      </c>
      <c r="F289" s="240" t="str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 t="str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 t="str">
        <f>IF(F289="","",SUMIFS(Торговля!$K$5:$K$300,Торговля!$E$5:$E$300,$B289)+SUMIFS(Закрытые!$K$5:$K$300,Закрытые!$E$5:$E$300,$B289,Закрытые!$B$5:$B$300,"T-*"))</f>
        <v/>
      </c>
      <c r="I289" s="240" t="str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 t="str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 t="str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 t="str">
        <f>IF(C290="","",SUMIFS(Торговля!$H$5:$H$300,Торговля!$E$5:$E$300,$B290)+SUMIFS(Закрытые!$H$5:$H$300,Закрытые!$E$5:$E$300,$B290,Закрытые!$B$5:$B$300,"T-*"))</f>
        <v/>
      </c>
      <c r="F290" s="246" t="str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 t="str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 t="str">
        <f>IF(F290="","",SUMIFS(Торговля!$K$5:$K$300,Торговля!$E$5:$E$300,$B290)+SUMIFS(Закрытые!$K$5:$K$300,Закрытые!$E$5:$E$300,$B290,Закрытые!$B$5:$B$300,"T-*"))</f>
        <v/>
      </c>
      <c r="I290" s="246" t="str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 t="str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 t="str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 t="str">
        <f>IF(C291="","",SUMIFS(Торговля!$H$5:$H$300,Торговля!$E$5:$E$300,$B291)+SUMIFS(Закрытые!$H$5:$H$300,Закрытые!$E$5:$E$300,$B291,Закрытые!$B$5:$B$300,"T-*"))</f>
        <v/>
      </c>
      <c r="F291" s="240" t="str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 t="str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 t="str">
        <f>IF(F291="","",SUMIFS(Торговля!$K$5:$K$300,Торговля!$E$5:$E$300,$B291)+SUMIFS(Закрытые!$K$5:$K$300,Закрытые!$E$5:$E$300,$B291,Закрытые!$B$5:$B$300,"T-*"))</f>
        <v/>
      </c>
      <c r="I291" s="240" t="str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 t="str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 t="str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 t="str">
        <f>IF(C292="","",SUMIFS(Торговля!$H$5:$H$300,Торговля!$E$5:$E$300,$B292)+SUMIFS(Закрытые!$H$5:$H$300,Закрытые!$E$5:$E$300,$B292,Закрытые!$B$5:$B$300,"T-*"))</f>
        <v/>
      </c>
      <c r="F292" s="246" t="str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 t="str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 t="str">
        <f>IF(F292="","",SUMIFS(Торговля!$K$5:$K$300,Торговля!$E$5:$E$300,$B292)+SUMIFS(Закрытые!$K$5:$K$300,Закрытые!$E$5:$E$300,$B292,Закрытые!$B$5:$B$300,"T-*"))</f>
        <v/>
      </c>
      <c r="I292" s="246" t="str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 t="str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 t="str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 t="str">
        <f>IF(C293="","",SUMIFS(Торговля!$H$5:$H$300,Торговля!$E$5:$E$300,$B293)+SUMIFS(Закрытые!$H$5:$H$300,Закрытые!$E$5:$E$300,$B293,Закрытые!$B$5:$B$300,"T-*"))</f>
        <v/>
      </c>
      <c r="F293" s="240" t="str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 t="str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 t="str">
        <f>IF(F293="","",SUMIFS(Торговля!$K$5:$K$300,Торговля!$E$5:$E$300,$B293)+SUMIFS(Закрытые!$K$5:$K$300,Закрытые!$E$5:$E$300,$B293,Закрытые!$B$5:$B$300,"T-*"))</f>
        <v/>
      </c>
      <c r="I293" s="240" t="str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 t="str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 t="str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 t="str">
        <f>IF(C294="","",SUMIFS(Торговля!$H$5:$H$300,Торговля!$E$5:$E$300,$B294)+SUMIFS(Закрытые!$H$5:$H$300,Закрытые!$E$5:$E$300,$B294,Закрытые!$B$5:$B$300,"T-*"))</f>
        <v/>
      </c>
      <c r="F294" s="246" t="str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 t="str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 t="str">
        <f>IF(F294="","",SUMIFS(Торговля!$K$5:$K$300,Торговля!$E$5:$E$300,$B294)+SUMIFS(Закрытые!$K$5:$K$300,Закрытые!$E$5:$E$300,$B294,Закрытые!$B$5:$B$300,"T-*"))</f>
        <v/>
      </c>
      <c r="I294" s="246" t="str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 t="str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 t="str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 t="str">
        <f>IF(C295="","",SUMIFS(Торговля!$H$5:$H$300,Торговля!$E$5:$E$300,$B295)+SUMIFS(Закрытые!$H$5:$H$300,Закрытые!$E$5:$E$300,$B295,Закрытые!$B$5:$B$300,"T-*"))</f>
        <v/>
      </c>
      <c r="F295" s="240" t="str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 t="str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 t="str">
        <f>IF(F295="","",SUMIFS(Торговля!$K$5:$K$300,Торговля!$E$5:$E$300,$B295)+SUMIFS(Закрытые!$K$5:$K$300,Закрытые!$E$5:$E$300,$B295,Закрытые!$B$5:$B$300,"T-*"))</f>
        <v/>
      </c>
      <c r="I295" s="240" t="str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 t="str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 t="str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 t="str">
        <f>IF(C296="","",SUMIFS(Торговля!$H$5:$H$300,Торговля!$E$5:$E$300,$B296)+SUMIFS(Закрытые!$H$5:$H$300,Закрытые!$E$5:$E$300,$B296,Закрытые!$B$5:$B$300,"T-*"))</f>
        <v/>
      </c>
      <c r="F296" s="246" t="str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 t="str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 t="str">
        <f>IF(F296="","",SUMIFS(Торговля!$K$5:$K$300,Торговля!$E$5:$E$300,$B296)+SUMIFS(Закрытые!$K$5:$K$300,Закрытые!$E$5:$E$300,$B296,Закрытые!$B$5:$B$300,"T-*"))</f>
        <v/>
      </c>
      <c r="I296" s="246" t="str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 t="str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 t="str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 t="str">
        <f>IF(C297="","",SUMIFS(Торговля!$H$5:$H$300,Торговля!$E$5:$E$300,$B297)+SUMIFS(Закрытые!$H$5:$H$300,Закрытые!$E$5:$E$300,$B297,Закрытые!$B$5:$B$300,"T-*"))</f>
        <v/>
      </c>
      <c r="F297" s="240" t="str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 t="str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 t="str">
        <f>IF(F297="","",SUMIFS(Торговля!$K$5:$K$300,Торговля!$E$5:$E$300,$B297)+SUMIFS(Закрытые!$K$5:$K$300,Закрытые!$E$5:$E$300,$B297,Закрытые!$B$5:$B$300,"T-*"))</f>
        <v/>
      </c>
      <c r="I297" s="240" t="str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 t="str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 t="str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 t="str">
        <f>IF(C298="","",SUMIFS(Торговля!$H$5:$H$300,Торговля!$E$5:$E$300,$B298)+SUMIFS(Закрытые!$H$5:$H$300,Закрытые!$E$5:$E$300,$B298,Закрытые!$B$5:$B$300,"T-*"))</f>
        <v/>
      </c>
      <c r="F298" s="246" t="str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 t="str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 t="str">
        <f>IF(F298="","",SUMIFS(Торговля!$K$5:$K$300,Торговля!$E$5:$E$300,$B298)+SUMIFS(Закрытые!$K$5:$K$300,Закрытые!$E$5:$E$300,$B298,Закрытые!$B$5:$B$300,"T-*"))</f>
        <v/>
      </c>
      <c r="I298" s="246" t="str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 t="str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 t="str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 t="str">
        <f>IF(C299="","",SUMIFS(Торговля!$H$5:$H$300,Торговля!$E$5:$E$300,$B299)+SUMIFS(Закрытые!$H$5:$H$300,Закрытые!$E$5:$E$300,$B299,Закрытые!$B$5:$B$300,"T-*"))</f>
        <v/>
      </c>
      <c r="F299" s="240" t="str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 t="str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 t="str">
        <f>IF(F299="","",SUMIFS(Торговля!$K$5:$K$300,Торговля!$E$5:$E$300,$B299)+SUMIFS(Закрытые!$K$5:$K$300,Закрытые!$E$5:$E$300,$B299,Закрытые!$B$5:$B$300,"T-*"))</f>
        <v/>
      </c>
      <c r="I299" s="240" t="str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 t="str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 t="str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 t="str">
        <f>IF(C300="","",SUMIFS(Торговля!$H$5:$H$300,Торговля!$E$5:$E$300,$B300)+SUMIFS(Закрытые!$H$5:$H$300,Закрытые!$E$5:$E$300,$B300,Закрытые!$B$5:$B$300,"T-*"))</f>
        <v/>
      </c>
      <c r="F300" s="246" t="str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 t="str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 t="str">
        <f>IF(F300="","",SUMIFS(Торговля!$K$5:$K$300,Торговля!$E$5:$E$300,$B300)+SUMIFS(Закрытые!$K$5:$K$300,Закрытые!$E$5:$E$300,$B300,Закрытые!$B$5:$B$300,"T-*"))</f>
        <v/>
      </c>
      <c r="I300" s="246" t="str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 t="str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1.5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585</v>
      </c>
      <c r="E5" s="241">
        <f>IF(C5="","",SUMIFS(Лэндинг!$H$5:$H$300,Лэндинг!$E$5:$E$300,$B5)+SUMIFS(Закрытые!$H$5:$H$300,Закрытые!$E$5:$E$300,$B5,Закрытые!$B$5:$B$300,"L-*"))</f>
        <v>877.5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4.5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598.2</v>
      </c>
      <c r="H5" s="241">
        <f>IF(F5="","",SUMIFS(Лэндинг!$K$5:$K$300,Лэндинг!$E$5:$E$300,$B5)+SUMIFS(Закрытые!$K$5:$K$300,Закрытые!$E$5:$E$300,$B5,Закрытые!$B$5:$B$300,"L-*"))</f>
        <v>2691.9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-3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1814.4</v>
      </c>
      <c r="K5" s="240">
        <f>IF(MIN(N(C5),N(F5))&lt;=0,"",ROUND(MIN(N(C5),N(F5))*(N(G5)-N(D5)),8))</f>
        <v>19.8</v>
      </c>
      <c r="L5" s="177">
        <f>IF(MIN(N(C5),N(F5))&lt;=0,"",IF(N(D5)=0,"",ROUND((N(G5)/N(D5)-1)*100,2)))</f>
        <v>2.26</v>
      </c>
      <c r="M5" s="177">
        <f>IF(OR(ROUND(N(C5)-N(F5),8)=0,1-N(Ввод!$J$19)/100&lt;=0),"",IF(N(C5)&gt;N(F5),(N(E5)-N(H5))/((N(C5)-N(F5))*(1-N(Ввод!$J$19)/100)),(N(H5)-N(E5))/((N(F5)-N(C5))*(1+N(Ввод!$J$19)/100))))</f>
        <v>603.592814371257</v>
      </c>
    </row>
    <row r="6" ht="22" customHeight="1">
      <c r="B6" s="245" t="inlineStr">
        <is>
          <t>BTC/USDT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>0.1</v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>62124</v>
      </c>
      <c r="E6" s="247">
        <f>IF(C6="","",SUMIFS(Лэндинг!$H$5:$H$300,Лэндинг!$E$5:$E$300,$B6)+SUMIFS(Закрытые!$H$5:$H$300,Закрытые!$E$5:$E$300,$B6,Закрытые!$B$5:$B$300,"L-*"))</f>
        <v>6212.4</v>
      </c>
      <c r="F6" s="246" t="str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 t="str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 t="str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0.1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-6212.4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62248.496993988</v>
      </c>
    </row>
    <row r="7" ht="22" customHeight="1">
      <c r="B7" s="239" t="inlineStr">
        <is>
          <t>ETH/BTC</t>
        </is>
      </c>
      <c r="C7" s="240" t="str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 t="str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 t="str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1.5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0.052395</v>
      </c>
      <c r="H7" s="241">
        <f>IF(F7="","",SUMIFS(Лэндинг!$K$5:$K$300,Лэндинг!$E$5:$E$300,$B7)+SUMIFS(Закрытые!$K$5:$K$300,Закрытые!$E$5:$E$300,$B7,Закрытые!$B$5:$B$300,"L-*"))</f>
        <v>0.0785925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-1.5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3.5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3211.49485714286</v>
      </c>
      <c r="E8" s="247">
        <f>IF(C8="","",SUMIFS(Лэндинг!$H$5:$H$300,Лэндинг!$E$5:$E$300,$B8)+SUMIFS(Закрытые!$H$5:$H$300,Закрытые!$E$5:$E$300,$B8,Закрытые!$B$5:$B$300,"L-*"))</f>
        <v>11240.232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2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3379.9</v>
      </c>
      <c r="H8" s="247">
        <f>IF(F8="","",SUMIFS(Лэндинг!$K$5:$K$300,Лэндинг!$E$5:$E$300,$B8)+SUMIFS(Закрытые!$K$5:$K$300,Закрытые!$E$5:$E$300,$B8,Закрытые!$B$5:$B$300,"L-*"))</f>
        <v>6759.8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1.5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-4480.432</v>
      </c>
      <c r="K8" s="246">
        <f>IF(MIN(N(C8),N(F8))&lt;=0,"",ROUND(MIN(N(C8),N(F8))*(N(G8)-N(D8)),8))</f>
        <v>336.81028571</v>
      </c>
      <c r="L8" s="183">
        <f>IF(MIN(N(C8),N(F8))&lt;=0,"",IF(N(D8)=0,"",ROUND((N(G8)/N(D8)-1)*100,2)))</f>
        <v>5.24</v>
      </c>
      <c r="M8" s="183">
        <f>IF(OR(ROUND(N(C8)-N(F8),8)=0,1-N(Ввод!$J$19)/100&lt;=0),"",IF(N(C8)&gt;N(F8),(N(E8)-N(H8))/((N(C8)-N(F8))*(1-N(Ввод!$J$19)/100)),(N(H8)-N(E8))/((N(F8)-N(C8))*(1+N(Ввод!$J$19)/100))))</f>
        <v>2992.94054776219</v>
      </c>
    </row>
    <row r="9" ht="22" customHeight="1">
      <c r="B9" s="239" t="inlineStr">
        <is>
          <t>SOL/USDT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35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145.922857142857</v>
      </c>
      <c r="E9" s="241">
        <f>IF(C9="","",SUMIFS(Лэндинг!$H$5:$H$300,Лэндинг!$E$5:$E$300,$B9)+SUMIFS(Закрытые!$H$5:$H$300,Закрытые!$E$5:$E$300,$B9,Закрытые!$B$5:$B$300,"L-*"))</f>
        <v>5107.3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50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150.2592</v>
      </c>
      <c r="H9" s="241">
        <f>IF(F9="","",SUMIFS(Лэндинг!$K$5:$K$300,Лэндинг!$E$5:$E$300,$B9)+SUMIFS(Закрытые!$K$5:$K$300,Закрытые!$E$5:$E$300,$B9,Закрытые!$B$5:$B$300,"L-*"))</f>
        <v>7512.96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-15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2405.66</v>
      </c>
      <c r="K9" s="240">
        <f>IF(MIN(N(C9),N(F9))&lt;=0,"",ROUND(MIN(N(C9),N(F9))*(N(G9)-N(D9)),8))</f>
        <v>151.772</v>
      </c>
      <c r="L9" s="177">
        <f>IF(MIN(N(C9),N(F9))&lt;=0,"",IF(N(D9)=0,"",ROUND((N(G9)/N(D9)-1)*100,2)))</f>
        <v>2.97</v>
      </c>
      <c r="M9" s="177">
        <f>IF(OR(ROUND(N(C9)-N(F9),8)=0,1-N(Ввод!$J$19)/100&lt;=0),"",IF(N(C9)&gt;N(F9),(N(E9)-N(H9))/((N(C9)-N(F9))*(1-N(Ввод!$J$19)/100)),(N(H9)-N(E9))/((N(F9)-N(C9))*(1+N(Ввод!$J$19)/100))))</f>
        <v>160.057218895542</v>
      </c>
    </row>
    <row r="10" ht="22" customHeight="1">
      <c r="B10" s="245" t="n"/>
      <c r="C10" s="246" t="str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 t="str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 t="str">
        <f>IF(C10="","",SUMIFS(Лэндинг!$H$5:$H$300,Лэндинг!$E$5:$E$300,$B10)+SUMIFS(Закрытые!$H$5:$H$300,Закрытые!$E$5:$E$300,$B10,Закрытые!$B$5:$B$300,"L-*"))</f>
        <v/>
      </c>
      <c r="F10" s="246" t="str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 t="str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 t="str">
        <f>IF(F10="","",SUMIFS(Лэндинг!$K$5:$K$300,Лэндинг!$E$5:$E$300,$B10)+SUMIFS(Закрытые!$K$5:$K$300,Закрытые!$E$5:$E$300,$B10,Закрытые!$B$5:$B$300,"L-*"))</f>
        <v/>
      </c>
      <c r="I10" s="246" t="str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 t="str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 t="str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 t="str">
        <f>IF(C11="","",SUMIFS(Лэндинг!$H$5:$H$300,Лэндинг!$E$5:$E$300,$B11)+SUMIFS(Закрытые!$H$5:$H$300,Закрытые!$E$5:$E$300,$B11,Закрытые!$B$5:$B$300,"L-*"))</f>
        <v/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 t="str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 t="str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 t="str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 t="str">
        <f>IF(C12="","",SUMIFS(Лэндинг!$H$5:$H$300,Лэндинг!$E$5:$E$300,$B12)+SUMIFS(Закрытые!$H$5:$H$300,Закрытые!$E$5:$E$300,$B12,Закрытые!$B$5:$B$300,"L-*"))</f>
        <v/>
      </c>
      <c r="F12" s="246" t="str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 t="str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 t="str">
        <f>IF(F12="","",SUMIFS(Лэндинг!$K$5:$K$300,Лэндинг!$E$5:$E$300,$B12)+SUMIFS(Закрытые!$K$5:$K$300,Закрытые!$E$5:$E$300,$B12,Закрытые!$B$5:$B$300,"L-*"))</f>
        <v/>
      </c>
      <c r="I12" s="246" t="str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 t="str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 t="str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 t="str">
        <f>IF(C13="","",SUMIFS(Лэндинг!$H$5:$H$300,Лэндинг!$E$5:$E$300,$B13)+SUMIFS(Закрытые!$H$5:$H$300,Закрытые!$E$5:$E$300,$B13,Закрытые!$B$5:$B$300,"L-*"))</f>
        <v/>
      </c>
      <c r="F13" s="240" t="str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 t="str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 t="str">
        <f>IF(F13="","",SUMIFS(Лэндинг!$K$5:$K$300,Лэндинг!$E$5:$E$300,$B13)+SUMIFS(Закрытые!$K$5:$K$300,Закрытые!$E$5:$E$300,$B13,Закрытые!$B$5:$B$300,"L-*"))</f>
        <v/>
      </c>
      <c r="I13" s="240" t="str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 t="str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 t="str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 t="str">
        <f>IF(C14="","",SUMIFS(Лэндинг!$H$5:$H$300,Лэндинг!$E$5:$E$300,$B14)+SUMIFS(Закрытые!$H$5:$H$300,Закрытые!$E$5:$E$300,$B14,Закрытые!$B$5:$B$300,"L-*"))</f>
        <v/>
      </c>
      <c r="F14" s="246" t="str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 t="str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 t="str">
        <f>IF(F14="","",SUMIFS(Лэндинг!$K$5:$K$300,Лэндинг!$E$5:$E$300,$B14)+SUMIFS(Закрытые!$K$5:$K$300,Закрытые!$E$5:$E$300,$B14,Закрытые!$B$5:$B$300,"L-*"))</f>
        <v/>
      </c>
      <c r="I14" s="246" t="str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 t="str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 t="str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 t="str">
        <f>IF(C15="","",SUMIFS(Лэндинг!$H$5:$H$300,Лэндинг!$E$5:$E$300,$B15)+SUMIFS(Закрытые!$H$5:$H$300,Закрытые!$E$5:$E$300,$B15,Закрытые!$B$5:$B$300,"L-*"))</f>
        <v/>
      </c>
      <c r="F15" s="240" t="str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 t="str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 t="str">
        <f>IF(F15="","",SUMIFS(Лэндинг!$K$5:$K$300,Лэндинг!$E$5:$E$300,$B15)+SUMIFS(Закрытые!$K$5:$K$300,Закрытые!$E$5:$E$300,$B15,Закрытые!$B$5:$B$300,"L-*"))</f>
        <v/>
      </c>
      <c r="I15" s="240" t="str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 t="str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 t="str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 t="str">
        <f>IF(C16="","",SUMIFS(Лэндинг!$H$5:$H$300,Лэндинг!$E$5:$E$300,$B16)+SUMIFS(Закрытые!$H$5:$H$300,Закрытые!$E$5:$E$300,$B16,Закрытые!$B$5:$B$300,"L-*"))</f>
        <v/>
      </c>
      <c r="F16" s="246" t="str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 t="str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 t="str">
        <f>IF(F16="","",SUMIFS(Лэндинг!$K$5:$K$300,Лэндинг!$E$5:$E$300,$B16)+SUMIFS(Закрытые!$K$5:$K$300,Закрытые!$E$5:$E$300,$B16,Закрытые!$B$5:$B$300,"L-*"))</f>
        <v/>
      </c>
      <c r="I16" s="246" t="str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 t="str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 t="str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 t="str">
        <f>IF(C17="","",SUMIFS(Лэндинг!$H$5:$H$300,Лэндинг!$E$5:$E$300,$B17)+SUMIFS(Закрытые!$H$5:$H$300,Закрытые!$E$5:$E$300,$B17,Закрытые!$B$5:$B$300,"L-*"))</f>
        <v/>
      </c>
      <c r="F17" s="240" t="str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 t="str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 t="str">
        <f>IF(F17="","",SUMIFS(Лэндинг!$K$5:$K$300,Лэндинг!$E$5:$E$300,$B17)+SUMIFS(Закрытые!$K$5:$K$300,Закрытые!$E$5:$E$300,$B17,Закрытые!$B$5:$B$300,"L-*"))</f>
        <v/>
      </c>
      <c r="I17" s="240" t="str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 t="str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 t="str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 t="str">
        <f>IF(C18="","",SUMIFS(Лэндинг!$H$5:$H$300,Лэндинг!$E$5:$E$300,$B18)+SUMIFS(Закрытые!$H$5:$H$300,Закрытые!$E$5:$E$300,$B18,Закрытые!$B$5:$B$300,"L-*"))</f>
        <v/>
      </c>
      <c r="F18" s="246" t="str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 t="str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 t="str">
        <f>IF(F18="","",SUMIFS(Лэндинг!$K$5:$K$300,Лэндинг!$E$5:$E$300,$B18)+SUMIFS(Закрытые!$K$5:$K$300,Закрытые!$E$5:$E$300,$B18,Закрытые!$B$5:$B$300,"L-*"))</f>
        <v/>
      </c>
      <c r="I18" s="246" t="str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 t="str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 t="str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 t="str">
        <f>IF(C19="","",SUMIFS(Лэндинг!$H$5:$H$300,Лэндинг!$E$5:$E$300,$B19)+SUMIFS(Закрытые!$H$5:$H$300,Закрытые!$E$5:$E$300,$B19,Закрытые!$B$5:$B$300,"L-*"))</f>
        <v/>
      </c>
      <c r="F19" s="240" t="str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 t="str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 t="str">
        <f>IF(F19="","",SUMIFS(Лэндинг!$K$5:$K$300,Лэндинг!$E$5:$E$300,$B19)+SUMIFS(Закрытые!$K$5:$K$300,Закрытые!$E$5:$E$300,$B19,Закрытые!$B$5:$B$300,"L-*"))</f>
        <v/>
      </c>
      <c r="I19" s="240" t="str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 t="str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 t="str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 t="str">
        <f>IF(C20="","",SUMIFS(Лэндинг!$H$5:$H$300,Лэндинг!$E$5:$E$300,$B20)+SUMIFS(Закрытые!$H$5:$H$300,Закрытые!$E$5:$E$300,$B20,Закрытые!$B$5:$B$300,"L-*"))</f>
        <v/>
      </c>
      <c r="F20" s="246" t="str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 t="str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 t="str">
        <f>IF(F20="","",SUMIFS(Лэндинг!$K$5:$K$300,Лэндинг!$E$5:$E$300,$B20)+SUMIFS(Закрытые!$K$5:$K$300,Закрытые!$E$5:$E$300,$B20,Закрытые!$B$5:$B$300,"L-*"))</f>
        <v/>
      </c>
      <c r="I20" s="246" t="str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 t="str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 t="str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 t="str">
        <f>IF(C21="","",SUMIFS(Лэндинг!$H$5:$H$300,Лэндинг!$E$5:$E$300,$B21)+SUMIFS(Закрытые!$H$5:$H$300,Закрытые!$E$5:$E$300,$B21,Закрытые!$B$5:$B$300,"L-*"))</f>
        <v/>
      </c>
      <c r="F21" s="240" t="str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 t="str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 t="str">
        <f>IF(F21="","",SUMIFS(Лэндинг!$K$5:$K$300,Лэндинг!$E$5:$E$300,$B21)+SUMIFS(Закрытые!$K$5:$K$300,Закрытые!$E$5:$E$300,$B21,Закрытые!$B$5:$B$300,"L-*"))</f>
        <v/>
      </c>
      <c r="I21" s="240" t="str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 t="str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 t="str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 t="str">
        <f>IF(C22="","",SUMIFS(Лэндинг!$H$5:$H$300,Лэндинг!$E$5:$E$300,$B22)+SUMIFS(Закрытые!$H$5:$H$300,Закрытые!$E$5:$E$300,$B22,Закрытые!$B$5:$B$300,"L-*"))</f>
        <v/>
      </c>
      <c r="F22" s="246" t="str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 t="str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 t="str">
        <f>IF(F22="","",SUMIFS(Лэндинг!$K$5:$K$300,Лэндинг!$E$5:$E$300,$B22)+SUMIFS(Закрытые!$K$5:$K$300,Закрытые!$E$5:$E$300,$B22,Закрытые!$B$5:$B$300,"L-*"))</f>
        <v/>
      </c>
      <c r="I22" s="246" t="str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 t="str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 t="str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 t="str">
        <f>IF(C23="","",SUMIFS(Лэндинг!$H$5:$H$300,Лэндинг!$E$5:$E$300,$B23)+SUMIFS(Закрытые!$H$5:$H$300,Закрытые!$E$5:$E$300,$B23,Закрытые!$B$5:$B$300,"L-*"))</f>
        <v/>
      </c>
      <c r="F23" s="240" t="str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 t="str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 t="str">
        <f>IF(F23="","",SUMIFS(Лэндинг!$K$5:$K$300,Лэндинг!$E$5:$E$300,$B23)+SUMIFS(Закрытые!$K$5:$K$300,Закрытые!$E$5:$E$300,$B23,Закрытые!$B$5:$B$300,"L-*"))</f>
        <v/>
      </c>
      <c r="I23" s="240" t="str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 t="str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 t="str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 t="str">
        <f>IF(C24="","",SUMIFS(Лэндинг!$H$5:$H$300,Лэндинг!$E$5:$E$300,$B24)+SUMIFS(Закрытые!$H$5:$H$300,Закрытые!$E$5:$E$300,$B24,Закрытые!$B$5:$B$300,"L-*"))</f>
        <v/>
      </c>
      <c r="F24" s="246" t="str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 t="str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 t="str">
        <f>IF(F24="","",SUMIFS(Лэндинг!$K$5:$K$300,Лэндинг!$E$5:$E$300,$B24)+SUMIFS(Закрытые!$K$5:$K$300,Закрытые!$E$5:$E$300,$B24,Закрытые!$B$5:$B$300,"L-*"))</f>
        <v/>
      </c>
      <c r="I24" s="246" t="str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 t="str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 t="str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 t="str">
        <f>IF(C25="","",SUMIFS(Лэндинг!$H$5:$H$300,Лэндинг!$E$5:$E$300,$B25)+SUMIFS(Закрытые!$H$5:$H$300,Закрытые!$E$5:$E$300,$B25,Закрытые!$B$5:$B$300,"L-*"))</f>
        <v/>
      </c>
      <c r="F25" s="240" t="str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 t="str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 t="str">
        <f>IF(F25="","",SUMIFS(Лэндинг!$K$5:$K$300,Лэндинг!$E$5:$E$300,$B25)+SUMIFS(Закрытые!$K$5:$K$300,Закрытые!$E$5:$E$300,$B25,Закрытые!$B$5:$B$300,"L-*"))</f>
        <v/>
      </c>
      <c r="I25" s="240" t="str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 t="str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 t="str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 t="str">
        <f>IF(C26="","",SUMIFS(Лэндинг!$H$5:$H$300,Лэндинг!$E$5:$E$300,$B26)+SUMIFS(Закрытые!$H$5:$H$300,Закрытые!$E$5:$E$300,$B26,Закрытые!$B$5:$B$300,"L-*"))</f>
        <v/>
      </c>
      <c r="F26" s="246" t="str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 t="str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 t="str">
        <f>IF(F26="","",SUMIFS(Лэндинг!$K$5:$K$300,Лэндинг!$E$5:$E$300,$B26)+SUMIFS(Закрытые!$K$5:$K$300,Закрытые!$E$5:$E$300,$B26,Закрытые!$B$5:$B$300,"L-*"))</f>
        <v/>
      </c>
      <c r="I26" s="246" t="str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 t="str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 t="str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 t="str">
        <f>IF(C27="","",SUMIFS(Лэндинг!$H$5:$H$300,Лэндинг!$E$5:$E$300,$B27)+SUMIFS(Закрытые!$H$5:$H$300,Закрытые!$E$5:$E$300,$B27,Закрытые!$B$5:$B$300,"L-*"))</f>
        <v/>
      </c>
      <c r="F27" s="240" t="str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 t="str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 t="str">
        <f>IF(F27="","",SUMIFS(Лэндинг!$K$5:$K$300,Лэндинг!$E$5:$E$300,$B27)+SUMIFS(Закрытые!$K$5:$K$300,Закрытые!$E$5:$E$300,$B27,Закрытые!$B$5:$B$300,"L-*"))</f>
        <v/>
      </c>
      <c r="I27" s="240" t="str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 t="str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 t="str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 t="str">
        <f>IF(C28="","",SUMIFS(Лэндинг!$H$5:$H$300,Лэндинг!$E$5:$E$300,$B28)+SUMIFS(Закрытые!$H$5:$H$300,Закрытые!$E$5:$E$300,$B28,Закрытые!$B$5:$B$300,"L-*"))</f>
        <v/>
      </c>
      <c r="F28" s="246" t="str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 t="str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 t="str">
        <f>IF(F28="","",SUMIFS(Лэндинг!$K$5:$K$300,Лэндинг!$E$5:$E$300,$B28)+SUMIFS(Закрытые!$K$5:$K$300,Закрытые!$E$5:$E$300,$B28,Закрытые!$B$5:$B$300,"L-*"))</f>
        <v/>
      </c>
      <c r="I28" s="246" t="str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 t="str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 t="str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 t="str">
        <f>IF(C29="","",SUMIFS(Лэндинг!$H$5:$H$300,Лэндинг!$E$5:$E$300,$B29)+SUMIFS(Закрытые!$H$5:$H$300,Закрытые!$E$5:$E$300,$B29,Закрытые!$B$5:$B$300,"L-*"))</f>
        <v/>
      </c>
      <c r="F29" s="240" t="str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 t="str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 t="str">
        <f>IF(F29="","",SUMIFS(Лэндинг!$K$5:$K$300,Лэндинг!$E$5:$E$300,$B29)+SUMIFS(Закрытые!$K$5:$K$300,Закрытые!$E$5:$E$300,$B29,Закрытые!$B$5:$B$300,"L-*"))</f>
        <v/>
      </c>
      <c r="I29" s="240" t="str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 t="str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 t="str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 t="str">
        <f>IF(C30="","",SUMIFS(Лэндинг!$H$5:$H$300,Лэндинг!$E$5:$E$300,$B30)+SUMIFS(Закрытые!$H$5:$H$300,Закрытые!$E$5:$E$300,$B30,Закрытые!$B$5:$B$300,"L-*"))</f>
        <v/>
      </c>
      <c r="F30" s="246" t="str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 t="str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 t="str">
        <f>IF(F30="","",SUMIFS(Лэндинг!$K$5:$K$300,Лэндинг!$E$5:$E$300,$B30)+SUMIFS(Закрытые!$K$5:$K$300,Закрытые!$E$5:$E$300,$B30,Закрытые!$B$5:$B$300,"L-*"))</f>
        <v/>
      </c>
      <c r="I30" s="246" t="str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 t="str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 t="str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 t="str">
        <f>IF(C31="","",SUMIFS(Лэндинг!$H$5:$H$300,Лэндинг!$E$5:$E$300,$B31)+SUMIFS(Закрытые!$H$5:$H$300,Закрытые!$E$5:$E$300,$B31,Закрытые!$B$5:$B$300,"L-*"))</f>
        <v/>
      </c>
      <c r="F31" s="240" t="str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 t="str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 t="str">
        <f>IF(F31="","",SUMIFS(Лэндинг!$K$5:$K$300,Лэндинг!$E$5:$E$300,$B31)+SUMIFS(Закрытые!$K$5:$K$300,Закрытые!$E$5:$E$300,$B31,Закрытые!$B$5:$B$300,"L-*"))</f>
        <v/>
      </c>
      <c r="I31" s="240" t="str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 t="str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 t="str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 t="str">
        <f>IF(C32="","",SUMIFS(Лэндинг!$H$5:$H$300,Лэндинг!$E$5:$E$300,$B32)+SUMIFS(Закрытые!$H$5:$H$300,Закрытые!$E$5:$E$300,$B32,Закрытые!$B$5:$B$300,"L-*"))</f>
        <v/>
      </c>
      <c r="F32" s="246" t="str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 t="str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 t="str">
        <f>IF(F32="","",SUMIFS(Лэндинг!$K$5:$K$300,Лэндинг!$E$5:$E$300,$B32)+SUMIFS(Закрытые!$K$5:$K$300,Закрытые!$E$5:$E$300,$B32,Закрытые!$B$5:$B$300,"L-*"))</f>
        <v/>
      </c>
      <c r="I32" s="246" t="str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 t="str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 t="str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 t="str">
        <f>IF(C33="","",SUMIFS(Лэндинг!$H$5:$H$300,Лэндинг!$E$5:$E$300,$B33)+SUMIFS(Закрытые!$H$5:$H$300,Закрытые!$E$5:$E$300,$B33,Закрытые!$B$5:$B$300,"L-*"))</f>
        <v/>
      </c>
      <c r="F33" s="240" t="str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 t="str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 t="str">
        <f>IF(F33="","",SUMIFS(Лэндинг!$K$5:$K$300,Лэндинг!$E$5:$E$300,$B33)+SUMIFS(Закрытые!$K$5:$K$300,Закрытые!$E$5:$E$300,$B33,Закрытые!$B$5:$B$300,"L-*"))</f>
        <v/>
      </c>
      <c r="I33" s="240" t="str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 t="str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 t="str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 t="str">
        <f>IF(C34="","",SUMIFS(Лэндинг!$H$5:$H$300,Лэндинг!$E$5:$E$300,$B34)+SUMIFS(Закрытые!$H$5:$H$300,Закрытые!$E$5:$E$300,$B34,Закрытые!$B$5:$B$300,"L-*"))</f>
        <v/>
      </c>
      <c r="F34" s="246" t="str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 t="str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 t="str">
        <f>IF(F34="","",SUMIFS(Лэндинг!$K$5:$K$300,Лэндинг!$E$5:$E$300,$B34)+SUMIFS(Закрытые!$K$5:$K$300,Закрытые!$E$5:$E$300,$B34,Закрытые!$B$5:$B$300,"L-*"))</f>
        <v/>
      </c>
      <c r="I34" s="246" t="str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 t="str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 t="str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 t="str">
        <f>IF(C35="","",SUMIFS(Лэндинг!$H$5:$H$300,Лэндинг!$E$5:$E$300,$B35)+SUMIFS(Закрытые!$H$5:$H$300,Закрытые!$E$5:$E$300,$B35,Закрытые!$B$5:$B$300,"L-*"))</f>
        <v/>
      </c>
      <c r="F35" s="240" t="str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 t="str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 t="str">
        <f>IF(F35="","",SUMIFS(Лэндинг!$K$5:$K$300,Лэндинг!$E$5:$E$300,$B35)+SUMIFS(Закрытые!$K$5:$K$300,Закрытые!$E$5:$E$300,$B35,Закрытые!$B$5:$B$300,"L-*"))</f>
        <v/>
      </c>
      <c r="I35" s="240" t="str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 t="str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 t="str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 t="str">
        <f>IF(C36="","",SUMIFS(Лэндинг!$H$5:$H$300,Лэндинг!$E$5:$E$300,$B36)+SUMIFS(Закрытые!$H$5:$H$300,Закрытые!$E$5:$E$300,$B36,Закрытые!$B$5:$B$300,"L-*"))</f>
        <v/>
      </c>
      <c r="F36" s="246" t="str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 t="str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 t="str">
        <f>IF(F36="","",SUMIFS(Лэндинг!$K$5:$K$300,Лэндинг!$E$5:$E$300,$B36)+SUMIFS(Закрытые!$K$5:$K$300,Закрытые!$E$5:$E$300,$B36,Закрытые!$B$5:$B$300,"L-*"))</f>
        <v/>
      </c>
      <c r="I36" s="246" t="str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 t="str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 t="str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 t="str">
        <f>IF(C37="","",SUMIFS(Лэндинг!$H$5:$H$300,Лэндинг!$E$5:$E$300,$B37)+SUMIFS(Закрытые!$H$5:$H$300,Закрытые!$E$5:$E$300,$B37,Закрытые!$B$5:$B$300,"L-*"))</f>
        <v/>
      </c>
      <c r="F37" s="240" t="str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 t="str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 t="str">
        <f>IF(F37="","",SUMIFS(Лэндинг!$K$5:$K$300,Лэндинг!$E$5:$E$300,$B37)+SUMIFS(Закрытые!$K$5:$K$300,Закрытые!$E$5:$E$300,$B37,Закрытые!$B$5:$B$300,"L-*"))</f>
        <v/>
      </c>
      <c r="I37" s="240" t="str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 t="str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 t="str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 t="str">
        <f>IF(C38="","",SUMIFS(Лэндинг!$H$5:$H$300,Лэндинг!$E$5:$E$300,$B38)+SUMIFS(Закрытые!$H$5:$H$300,Закрытые!$E$5:$E$300,$B38,Закрытые!$B$5:$B$300,"L-*"))</f>
        <v/>
      </c>
      <c r="F38" s="246" t="str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 t="str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 t="str">
        <f>IF(F38="","",SUMIFS(Лэндинг!$K$5:$K$300,Лэндинг!$E$5:$E$300,$B38)+SUMIFS(Закрытые!$K$5:$K$300,Закрытые!$E$5:$E$300,$B38,Закрытые!$B$5:$B$300,"L-*"))</f>
        <v/>
      </c>
      <c r="I38" s="246" t="str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 t="str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 t="str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 t="str">
        <f>IF(C39="","",SUMIFS(Лэндинг!$H$5:$H$300,Лэндинг!$E$5:$E$300,$B39)+SUMIFS(Закрытые!$H$5:$H$300,Закрытые!$E$5:$E$300,$B39,Закрытые!$B$5:$B$300,"L-*"))</f>
        <v/>
      </c>
      <c r="F39" s="240" t="str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 t="str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 t="str">
        <f>IF(F39="","",SUMIFS(Лэндинг!$K$5:$K$300,Лэндинг!$E$5:$E$300,$B39)+SUMIFS(Закрытые!$K$5:$K$300,Закрытые!$E$5:$E$300,$B39,Закрытые!$B$5:$B$300,"L-*"))</f>
        <v/>
      </c>
      <c r="I39" s="240" t="str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 t="str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 t="str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 t="str">
        <f>IF(C40="","",SUMIFS(Лэндинг!$H$5:$H$300,Лэндинг!$E$5:$E$300,$B40)+SUMIFS(Закрытые!$H$5:$H$300,Закрытые!$E$5:$E$300,$B40,Закрытые!$B$5:$B$300,"L-*"))</f>
        <v/>
      </c>
      <c r="F40" s="246" t="str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 t="str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 t="str">
        <f>IF(F40="","",SUMIFS(Лэндинг!$K$5:$K$300,Лэндинг!$E$5:$E$300,$B40)+SUMIFS(Закрытые!$K$5:$K$300,Закрытые!$E$5:$E$300,$B40,Закрытые!$B$5:$B$300,"L-*"))</f>
        <v/>
      </c>
      <c r="I40" s="246" t="str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 t="str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 t="str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 t="str">
        <f>IF(C41="","",SUMIFS(Лэндинг!$H$5:$H$300,Лэндинг!$E$5:$E$300,$B41)+SUMIFS(Закрытые!$H$5:$H$300,Закрытые!$E$5:$E$300,$B41,Закрытые!$B$5:$B$300,"L-*"))</f>
        <v/>
      </c>
      <c r="F41" s="240" t="str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 t="str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 t="str">
        <f>IF(F41="","",SUMIFS(Лэндинг!$K$5:$K$300,Лэндинг!$E$5:$E$300,$B41)+SUMIFS(Закрытые!$K$5:$K$300,Закрытые!$E$5:$E$300,$B41,Закрытые!$B$5:$B$300,"L-*"))</f>
        <v/>
      </c>
      <c r="I41" s="240" t="str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 t="str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 t="str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 t="str">
        <f>IF(C42="","",SUMIFS(Лэндинг!$H$5:$H$300,Лэндинг!$E$5:$E$300,$B42)+SUMIFS(Закрытые!$H$5:$H$300,Закрытые!$E$5:$E$300,$B42,Закрытые!$B$5:$B$300,"L-*"))</f>
        <v/>
      </c>
      <c r="F42" s="246" t="str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 t="str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 t="str">
        <f>IF(F42="","",SUMIFS(Лэндинг!$K$5:$K$300,Лэндинг!$E$5:$E$300,$B42)+SUMIFS(Закрытые!$K$5:$K$300,Закрытые!$E$5:$E$300,$B42,Закрытые!$B$5:$B$300,"L-*"))</f>
        <v/>
      </c>
      <c r="I42" s="246" t="str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 t="str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 t="str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 t="str">
        <f>IF(C43="","",SUMIFS(Лэндинг!$H$5:$H$300,Лэндинг!$E$5:$E$300,$B43)+SUMIFS(Закрытые!$H$5:$H$300,Закрытые!$E$5:$E$300,$B43,Закрытые!$B$5:$B$300,"L-*"))</f>
        <v/>
      </c>
      <c r="F43" s="240" t="str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 t="str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 t="str">
        <f>IF(F43="","",SUMIFS(Лэндинг!$K$5:$K$300,Лэндинг!$E$5:$E$300,$B43)+SUMIFS(Закрытые!$K$5:$K$300,Закрытые!$E$5:$E$300,$B43,Закрытые!$B$5:$B$300,"L-*"))</f>
        <v/>
      </c>
      <c r="I43" s="240" t="str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 t="str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 t="str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 t="str">
        <f>IF(C44="","",SUMIFS(Лэндинг!$H$5:$H$300,Лэндинг!$E$5:$E$300,$B44)+SUMIFS(Закрытые!$H$5:$H$300,Закрытые!$E$5:$E$300,$B44,Закрытые!$B$5:$B$300,"L-*"))</f>
        <v/>
      </c>
      <c r="F44" s="246" t="str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 t="str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 t="str">
        <f>IF(F44="","",SUMIFS(Лэндинг!$K$5:$K$300,Лэндинг!$E$5:$E$300,$B44)+SUMIFS(Закрытые!$K$5:$K$300,Закрытые!$E$5:$E$300,$B44,Закрытые!$B$5:$B$300,"L-*"))</f>
        <v/>
      </c>
      <c r="I44" s="246" t="str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 t="str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 t="str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 t="str">
        <f>IF(C45="","",SUMIFS(Лэндинг!$H$5:$H$300,Лэндинг!$E$5:$E$300,$B45)+SUMIFS(Закрытые!$H$5:$H$300,Закрытые!$E$5:$E$300,$B45,Закрытые!$B$5:$B$300,"L-*"))</f>
        <v/>
      </c>
      <c r="F45" s="240" t="str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 t="str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 t="str">
        <f>IF(F45="","",SUMIFS(Лэндинг!$K$5:$K$300,Лэндинг!$E$5:$E$300,$B45)+SUMIFS(Закрытые!$K$5:$K$300,Закрытые!$E$5:$E$300,$B45,Закрытые!$B$5:$B$300,"L-*"))</f>
        <v/>
      </c>
      <c r="I45" s="240" t="str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 t="str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 t="str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 t="str">
        <f>IF(C46="","",SUMIFS(Лэндинг!$H$5:$H$300,Лэндинг!$E$5:$E$300,$B46)+SUMIFS(Закрытые!$H$5:$H$300,Закрытые!$E$5:$E$300,$B46,Закрытые!$B$5:$B$300,"L-*"))</f>
        <v/>
      </c>
      <c r="F46" s="246" t="str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 t="str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 t="str">
        <f>IF(F46="","",SUMIFS(Лэндинг!$K$5:$K$300,Лэндинг!$E$5:$E$300,$B46)+SUMIFS(Закрытые!$K$5:$K$300,Закрытые!$E$5:$E$300,$B46,Закрытые!$B$5:$B$300,"L-*"))</f>
        <v/>
      </c>
      <c r="I46" s="246" t="str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 t="str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 t="str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 t="str">
        <f>IF(C47="","",SUMIFS(Лэндинг!$H$5:$H$300,Лэндинг!$E$5:$E$300,$B47)+SUMIFS(Закрытые!$H$5:$H$300,Закрытые!$E$5:$E$300,$B47,Закрытые!$B$5:$B$300,"L-*"))</f>
        <v/>
      </c>
      <c r="F47" s="240" t="str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 t="str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 t="str">
        <f>IF(F47="","",SUMIFS(Лэндинг!$K$5:$K$300,Лэндинг!$E$5:$E$300,$B47)+SUMIFS(Закрытые!$K$5:$K$300,Закрытые!$E$5:$E$300,$B47,Закрытые!$B$5:$B$300,"L-*"))</f>
        <v/>
      </c>
      <c r="I47" s="240" t="str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 t="str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 t="str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 t="str">
        <f>IF(C48="","",SUMIFS(Лэндинг!$H$5:$H$300,Лэндинг!$E$5:$E$300,$B48)+SUMIFS(Закрытые!$H$5:$H$300,Закрытые!$E$5:$E$300,$B48,Закрытые!$B$5:$B$300,"L-*"))</f>
        <v/>
      </c>
      <c r="F48" s="246" t="str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 t="str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 t="str">
        <f>IF(F48="","",SUMIFS(Лэндинг!$K$5:$K$300,Лэндинг!$E$5:$E$300,$B48)+SUMIFS(Закрытые!$K$5:$K$300,Закрытые!$E$5:$E$300,$B48,Закрытые!$B$5:$B$300,"L-*"))</f>
        <v/>
      </c>
      <c r="I48" s="246" t="str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 t="str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 t="str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 t="str">
        <f>IF(C49="","",SUMIFS(Лэндинг!$H$5:$H$300,Лэндинг!$E$5:$E$300,$B49)+SUMIFS(Закрытые!$H$5:$H$300,Закрытые!$E$5:$E$300,$B49,Закрытые!$B$5:$B$300,"L-*"))</f>
        <v/>
      </c>
      <c r="F49" s="240" t="str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 t="str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 t="str">
        <f>IF(F49="","",SUMIFS(Лэндинг!$K$5:$K$300,Лэндинг!$E$5:$E$300,$B49)+SUMIFS(Закрытые!$K$5:$K$300,Закрытые!$E$5:$E$300,$B49,Закрытые!$B$5:$B$300,"L-*"))</f>
        <v/>
      </c>
      <c r="I49" s="240" t="str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 t="str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 t="str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 t="str">
        <f>IF(C50="","",SUMIFS(Лэндинг!$H$5:$H$300,Лэндинг!$E$5:$E$300,$B50)+SUMIFS(Закрытые!$H$5:$H$300,Закрытые!$E$5:$E$300,$B50,Закрытые!$B$5:$B$300,"L-*"))</f>
        <v/>
      </c>
      <c r="F50" s="246" t="str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 t="str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 t="str">
        <f>IF(F50="","",SUMIFS(Лэндинг!$K$5:$K$300,Лэндинг!$E$5:$E$300,$B50)+SUMIFS(Закрытые!$K$5:$K$300,Закрытые!$E$5:$E$300,$B50,Закрытые!$B$5:$B$300,"L-*"))</f>
        <v/>
      </c>
      <c r="I50" s="246" t="str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 t="str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 t="str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 t="str">
        <f>IF(C51="","",SUMIFS(Лэндинг!$H$5:$H$300,Лэндинг!$E$5:$E$300,$B51)+SUMIFS(Закрытые!$H$5:$H$300,Закрытые!$E$5:$E$300,$B51,Закрытые!$B$5:$B$300,"L-*"))</f>
        <v/>
      </c>
      <c r="F51" s="240" t="str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 t="str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 t="str">
        <f>IF(F51="","",SUMIFS(Лэндинг!$K$5:$K$300,Лэндинг!$E$5:$E$300,$B51)+SUMIFS(Закрытые!$K$5:$K$300,Закрытые!$E$5:$E$300,$B51,Закрытые!$B$5:$B$300,"L-*"))</f>
        <v/>
      </c>
      <c r="I51" s="240" t="str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 t="str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 t="str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 t="str">
        <f>IF(C52="","",SUMIFS(Лэндинг!$H$5:$H$300,Лэндинг!$E$5:$E$300,$B52)+SUMIFS(Закрытые!$H$5:$H$300,Закрытые!$E$5:$E$300,$B52,Закрытые!$B$5:$B$300,"L-*"))</f>
        <v/>
      </c>
      <c r="F52" s="246" t="str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 t="str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 t="str">
        <f>IF(F52="","",SUMIFS(Лэндинг!$K$5:$K$300,Лэндинг!$E$5:$E$300,$B52)+SUMIFS(Закрытые!$K$5:$K$300,Закрытые!$E$5:$E$300,$B52,Закрытые!$B$5:$B$300,"L-*"))</f>
        <v/>
      </c>
      <c r="I52" s="246" t="str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 t="str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 t="str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 t="str">
        <f>IF(C53="","",SUMIFS(Лэндинг!$H$5:$H$300,Лэндинг!$E$5:$E$300,$B53)+SUMIFS(Закрытые!$H$5:$H$300,Закрытые!$E$5:$E$300,$B53,Закрытые!$B$5:$B$300,"L-*"))</f>
        <v/>
      </c>
      <c r="F53" s="240" t="str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 t="str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 t="str">
        <f>IF(F53="","",SUMIFS(Лэндинг!$K$5:$K$300,Лэндинг!$E$5:$E$300,$B53)+SUMIFS(Закрытые!$K$5:$K$300,Закрытые!$E$5:$E$300,$B53,Закрытые!$B$5:$B$300,"L-*"))</f>
        <v/>
      </c>
      <c r="I53" s="240" t="str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 t="str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 t="str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 t="str">
        <f>IF(C54="","",SUMIFS(Лэндинг!$H$5:$H$300,Лэндинг!$E$5:$E$300,$B54)+SUMIFS(Закрытые!$H$5:$H$300,Закрытые!$E$5:$E$300,$B54,Закрытые!$B$5:$B$300,"L-*"))</f>
        <v/>
      </c>
      <c r="F54" s="246" t="str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 t="str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 t="str">
        <f>IF(F54="","",SUMIFS(Лэндинг!$K$5:$K$300,Лэндинг!$E$5:$E$300,$B54)+SUMIFS(Закрытые!$K$5:$K$300,Закрытые!$E$5:$E$300,$B54,Закрытые!$B$5:$B$300,"L-*"))</f>
        <v/>
      </c>
      <c r="I54" s="246" t="str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 t="str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 t="str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 t="str">
        <f>IF(C55="","",SUMIFS(Лэндинг!$H$5:$H$300,Лэндинг!$E$5:$E$300,$B55)+SUMIFS(Закрытые!$H$5:$H$300,Закрытые!$E$5:$E$300,$B55,Закрытые!$B$5:$B$300,"L-*"))</f>
        <v/>
      </c>
      <c r="F55" s="240" t="str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 t="str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 t="str">
        <f>IF(F55="","",SUMIFS(Лэндинг!$K$5:$K$300,Лэндинг!$E$5:$E$300,$B55)+SUMIFS(Закрытые!$K$5:$K$300,Закрытые!$E$5:$E$300,$B55,Закрытые!$B$5:$B$300,"L-*"))</f>
        <v/>
      </c>
      <c r="I55" s="240" t="str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 t="str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 t="str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 t="str">
        <f>IF(C56="","",SUMIFS(Лэндинг!$H$5:$H$300,Лэндинг!$E$5:$E$300,$B56)+SUMIFS(Закрытые!$H$5:$H$300,Закрытые!$E$5:$E$300,$B56,Закрытые!$B$5:$B$300,"L-*"))</f>
        <v/>
      </c>
      <c r="F56" s="246" t="str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 t="str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 t="str">
        <f>IF(F56="","",SUMIFS(Лэндинг!$K$5:$K$300,Лэндинг!$E$5:$E$300,$B56)+SUMIFS(Закрытые!$K$5:$K$300,Закрытые!$E$5:$E$300,$B56,Закрытые!$B$5:$B$300,"L-*"))</f>
        <v/>
      </c>
      <c r="I56" s="246" t="str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 t="str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 t="str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 t="str">
        <f>IF(C57="","",SUMIFS(Лэндинг!$H$5:$H$300,Лэндинг!$E$5:$E$300,$B57)+SUMIFS(Закрытые!$H$5:$H$300,Закрытые!$E$5:$E$300,$B57,Закрытые!$B$5:$B$300,"L-*"))</f>
        <v/>
      </c>
      <c r="F57" s="240" t="str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 t="str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 t="str">
        <f>IF(F57="","",SUMIFS(Лэндинг!$K$5:$K$300,Лэндинг!$E$5:$E$300,$B57)+SUMIFS(Закрытые!$K$5:$K$300,Закрытые!$E$5:$E$300,$B57,Закрытые!$B$5:$B$300,"L-*"))</f>
        <v/>
      </c>
      <c r="I57" s="240" t="str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 t="str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 t="str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 t="str">
        <f>IF(C58="","",SUMIFS(Лэндинг!$H$5:$H$300,Лэндинг!$E$5:$E$300,$B58)+SUMIFS(Закрытые!$H$5:$H$300,Закрытые!$E$5:$E$300,$B58,Закрытые!$B$5:$B$300,"L-*"))</f>
        <v/>
      </c>
      <c r="F58" s="246" t="str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 t="str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 t="str">
        <f>IF(F58="","",SUMIFS(Лэндинг!$K$5:$K$300,Лэндинг!$E$5:$E$300,$B58)+SUMIFS(Закрытые!$K$5:$K$300,Закрытые!$E$5:$E$300,$B58,Закрытые!$B$5:$B$300,"L-*"))</f>
        <v/>
      </c>
      <c r="I58" s="246" t="str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 t="str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 t="str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 t="str">
        <f>IF(C59="","",SUMIFS(Лэндинг!$H$5:$H$300,Лэндинг!$E$5:$E$300,$B59)+SUMIFS(Закрытые!$H$5:$H$300,Закрытые!$E$5:$E$300,$B59,Закрытые!$B$5:$B$300,"L-*"))</f>
        <v/>
      </c>
      <c r="F59" s="240" t="str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 t="str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 t="str">
        <f>IF(F59="","",SUMIFS(Лэндинг!$K$5:$K$300,Лэндинг!$E$5:$E$300,$B59)+SUMIFS(Закрытые!$K$5:$K$300,Закрытые!$E$5:$E$300,$B59,Закрытые!$B$5:$B$300,"L-*"))</f>
        <v/>
      </c>
      <c r="I59" s="240" t="str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 t="str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 t="str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 t="str">
        <f>IF(C60="","",SUMIFS(Лэндинг!$H$5:$H$300,Лэндинг!$E$5:$E$300,$B60)+SUMIFS(Закрытые!$H$5:$H$300,Закрытые!$E$5:$E$300,$B60,Закрытые!$B$5:$B$300,"L-*"))</f>
        <v/>
      </c>
      <c r="F60" s="246" t="str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 t="str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 t="str">
        <f>IF(F60="","",SUMIFS(Лэндинг!$K$5:$K$300,Лэндинг!$E$5:$E$300,$B60)+SUMIFS(Закрытые!$K$5:$K$300,Закрытые!$E$5:$E$300,$B60,Закрытые!$B$5:$B$300,"L-*"))</f>
        <v/>
      </c>
      <c r="I60" s="246" t="str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 t="str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 t="str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 t="str">
        <f>IF(C61="","",SUMIFS(Лэндинг!$H$5:$H$300,Лэндинг!$E$5:$E$300,$B61)+SUMIFS(Закрытые!$H$5:$H$300,Закрытые!$E$5:$E$300,$B61,Закрытые!$B$5:$B$300,"L-*"))</f>
        <v/>
      </c>
      <c r="F61" s="240" t="str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 t="str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 t="str">
        <f>IF(F61="","",SUMIFS(Лэндинг!$K$5:$K$300,Лэндинг!$E$5:$E$300,$B61)+SUMIFS(Закрытые!$K$5:$K$300,Закрытые!$E$5:$E$300,$B61,Закрытые!$B$5:$B$300,"L-*"))</f>
        <v/>
      </c>
      <c r="I61" s="240" t="str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 t="str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 t="str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 t="str">
        <f>IF(C62="","",SUMIFS(Лэндинг!$H$5:$H$300,Лэндинг!$E$5:$E$300,$B62)+SUMIFS(Закрытые!$H$5:$H$300,Закрытые!$E$5:$E$300,$B62,Закрытые!$B$5:$B$300,"L-*"))</f>
        <v/>
      </c>
      <c r="F62" s="246" t="str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 t="str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 t="str">
        <f>IF(F62="","",SUMIFS(Лэндинг!$K$5:$K$300,Лэндинг!$E$5:$E$300,$B62)+SUMIFS(Закрытые!$K$5:$K$300,Закрытые!$E$5:$E$300,$B62,Закрытые!$B$5:$B$300,"L-*"))</f>
        <v/>
      </c>
      <c r="I62" s="246" t="str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 t="str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 t="str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 t="str">
        <f>IF(C63="","",SUMIFS(Лэндинг!$H$5:$H$300,Лэндинг!$E$5:$E$300,$B63)+SUMIFS(Закрытые!$H$5:$H$300,Закрытые!$E$5:$E$300,$B63,Закрытые!$B$5:$B$300,"L-*"))</f>
        <v/>
      </c>
      <c r="F63" s="240" t="str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 t="str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 t="str">
        <f>IF(F63="","",SUMIFS(Лэндинг!$K$5:$K$300,Лэндинг!$E$5:$E$300,$B63)+SUMIFS(Закрытые!$K$5:$K$300,Закрытые!$E$5:$E$300,$B63,Закрытые!$B$5:$B$300,"L-*"))</f>
        <v/>
      </c>
      <c r="I63" s="240" t="str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 t="str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 t="str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 t="str">
        <f>IF(C64="","",SUMIFS(Лэндинг!$H$5:$H$300,Лэндинг!$E$5:$E$300,$B64)+SUMIFS(Закрытые!$H$5:$H$300,Закрытые!$E$5:$E$300,$B64,Закрытые!$B$5:$B$300,"L-*"))</f>
        <v/>
      </c>
      <c r="F64" s="246" t="str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 t="str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 t="str">
        <f>IF(F64="","",SUMIFS(Лэндинг!$K$5:$K$300,Лэндинг!$E$5:$E$300,$B64)+SUMIFS(Закрытые!$K$5:$K$300,Закрытые!$E$5:$E$300,$B64,Закрытые!$B$5:$B$300,"L-*"))</f>
        <v/>
      </c>
      <c r="I64" s="246" t="str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 t="str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 t="str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 t="str">
        <f>IF(C65="","",SUMIFS(Лэндинг!$H$5:$H$300,Лэндинг!$E$5:$E$300,$B65)+SUMIFS(Закрытые!$H$5:$H$300,Закрытые!$E$5:$E$300,$B65,Закрытые!$B$5:$B$300,"L-*"))</f>
        <v/>
      </c>
      <c r="F65" s="240" t="str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 t="str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 t="str">
        <f>IF(F65="","",SUMIFS(Лэндинг!$K$5:$K$300,Лэндинг!$E$5:$E$300,$B65)+SUMIFS(Закрытые!$K$5:$K$300,Закрытые!$E$5:$E$300,$B65,Закрытые!$B$5:$B$300,"L-*"))</f>
        <v/>
      </c>
      <c r="I65" s="240" t="str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 t="str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 t="str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 t="str">
        <f>IF(C66="","",SUMIFS(Лэндинг!$H$5:$H$300,Лэндинг!$E$5:$E$300,$B66)+SUMIFS(Закрытые!$H$5:$H$300,Закрытые!$E$5:$E$300,$B66,Закрытые!$B$5:$B$300,"L-*"))</f>
        <v/>
      </c>
      <c r="F66" s="246" t="str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 t="str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 t="str">
        <f>IF(F66="","",SUMIFS(Лэндинг!$K$5:$K$300,Лэндинг!$E$5:$E$300,$B66)+SUMIFS(Закрытые!$K$5:$K$300,Закрытые!$E$5:$E$300,$B66,Закрытые!$B$5:$B$300,"L-*"))</f>
        <v/>
      </c>
      <c r="I66" s="246" t="str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 t="str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 t="str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 t="str">
        <f>IF(C67="","",SUMIFS(Лэндинг!$H$5:$H$300,Лэндинг!$E$5:$E$300,$B67)+SUMIFS(Закрытые!$H$5:$H$300,Закрытые!$E$5:$E$300,$B67,Закрытые!$B$5:$B$300,"L-*"))</f>
        <v/>
      </c>
      <c r="F67" s="240" t="str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 t="str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 t="str">
        <f>IF(F67="","",SUMIFS(Лэндинг!$K$5:$K$300,Лэндинг!$E$5:$E$300,$B67)+SUMIFS(Закрытые!$K$5:$K$300,Закрытые!$E$5:$E$300,$B67,Закрытые!$B$5:$B$300,"L-*"))</f>
        <v/>
      </c>
      <c r="I67" s="240" t="str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 t="str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 t="str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 t="str">
        <f>IF(C68="","",SUMIFS(Лэндинг!$H$5:$H$300,Лэндинг!$E$5:$E$300,$B68)+SUMIFS(Закрытые!$H$5:$H$300,Закрытые!$E$5:$E$300,$B68,Закрытые!$B$5:$B$300,"L-*"))</f>
        <v/>
      </c>
      <c r="F68" s="246" t="str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 t="str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 t="str">
        <f>IF(F68="","",SUMIFS(Лэндинг!$K$5:$K$300,Лэндинг!$E$5:$E$300,$B68)+SUMIFS(Закрытые!$K$5:$K$300,Закрытые!$E$5:$E$300,$B68,Закрытые!$B$5:$B$300,"L-*"))</f>
        <v/>
      </c>
      <c r="I68" s="246" t="str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 t="str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 t="str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 t="str">
        <f>IF(C69="","",SUMIFS(Лэндинг!$H$5:$H$300,Лэндинг!$E$5:$E$300,$B69)+SUMIFS(Закрытые!$H$5:$H$300,Закрытые!$E$5:$E$300,$B69,Закрытые!$B$5:$B$300,"L-*"))</f>
        <v/>
      </c>
      <c r="F69" s="240" t="str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 t="str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 t="str">
        <f>IF(F69="","",SUMIFS(Лэндинг!$K$5:$K$300,Лэндинг!$E$5:$E$300,$B69)+SUMIFS(Закрытые!$K$5:$K$300,Закрытые!$E$5:$E$300,$B69,Закрытые!$B$5:$B$300,"L-*"))</f>
        <v/>
      </c>
      <c r="I69" s="240" t="str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 t="str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 t="str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 t="str">
        <f>IF(C70="","",SUMIFS(Лэндинг!$H$5:$H$300,Лэндинг!$E$5:$E$300,$B70)+SUMIFS(Закрытые!$H$5:$H$300,Закрытые!$E$5:$E$300,$B70,Закрытые!$B$5:$B$300,"L-*"))</f>
        <v/>
      </c>
      <c r="F70" s="246" t="str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 t="str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 t="str">
        <f>IF(F70="","",SUMIFS(Лэндинг!$K$5:$K$300,Лэндинг!$E$5:$E$300,$B70)+SUMIFS(Закрытые!$K$5:$K$300,Закрытые!$E$5:$E$300,$B70,Закрытые!$B$5:$B$300,"L-*"))</f>
        <v/>
      </c>
      <c r="I70" s="246" t="str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 t="str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 t="str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 t="str">
        <f>IF(C71="","",SUMIFS(Лэндинг!$H$5:$H$300,Лэндинг!$E$5:$E$300,$B71)+SUMIFS(Закрытые!$H$5:$H$300,Закрытые!$E$5:$E$300,$B71,Закрытые!$B$5:$B$300,"L-*"))</f>
        <v/>
      </c>
      <c r="F71" s="240" t="str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 t="str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 t="str">
        <f>IF(F71="","",SUMIFS(Лэндинг!$K$5:$K$300,Лэндинг!$E$5:$E$300,$B71)+SUMIFS(Закрытые!$K$5:$K$300,Закрытые!$E$5:$E$300,$B71,Закрытые!$B$5:$B$300,"L-*"))</f>
        <v/>
      </c>
      <c r="I71" s="240" t="str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 t="str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 t="str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 t="str">
        <f>IF(C72="","",SUMIFS(Лэндинг!$H$5:$H$300,Лэндинг!$E$5:$E$300,$B72)+SUMIFS(Закрытые!$H$5:$H$300,Закрытые!$E$5:$E$300,$B72,Закрытые!$B$5:$B$300,"L-*"))</f>
        <v/>
      </c>
      <c r="F72" s="246" t="str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 t="str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 t="str">
        <f>IF(F72="","",SUMIFS(Лэндинг!$K$5:$K$300,Лэндинг!$E$5:$E$300,$B72)+SUMIFS(Закрытые!$K$5:$K$300,Закрытые!$E$5:$E$300,$B72,Закрытые!$B$5:$B$300,"L-*"))</f>
        <v/>
      </c>
      <c r="I72" s="246" t="str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 t="str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 t="str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 t="str">
        <f>IF(C73="","",SUMIFS(Лэндинг!$H$5:$H$300,Лэндинг!$E$5:$E$300,$B73)+SUMIFS(Закрытые!$H$5:$H$300,Закрытые!$E$5:$E$300,$B73,Закрытые!$B$5:$B$300,"L-*"))</f>
        <v/>
      </c>
      <c r="F73" s="240" t="str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 t="str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 t="str">
        <f>IF(F73="","",SUMIFS(Лэндинг!$K$5:$K$300,Лэндинг!$E$5:$E$300,$B73)+SUMIFS(Закрытые!$K$5:$K$300,Закрытые!$E$5:$E$300,$B73,Закрытые!$B$5:$B$300,"L-*"))</f>
        <v/>
      </c>
      <c r="I73" s="240" t="str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 t="str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 t="str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 t="str">
        <f>IF(C74="","",SUMIFS(Лэндинг!$H$5:$H$300,Лэндинг!$E$5:$E$300,$B74)+SUMIFS(Закрытые!$H$5:$H$300,Закрытые!$E$5:$E$300,$B74,Закрытые!$B$5:$B$300,"L-*"))</f>
        <v/>
      </c>
      <c r="F74" s="246" t="str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 t="str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 t="str">
        <f>IF(F74="","",SUMIFS(Лэндинг!$K$5:$K$300,Лэндинг!$E$5:$E$300,$B74)+SUMIFS(Закрытые!$K$5:$K$300,Закрытые!$E$5:$E$300,$B74,Закрытые!$B$5:$B$300,"L-*"))</f>
        <v/>
      </c>
      <c r="I74" s="246" t="str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 t="str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 t="str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 t="str">
        <f>IF(C75="","",SUMIFS(Лэндинг!$H$5:$H$300,Лэндинг!$E$5:$E$300,$B75)+SUMIFS(Закрытые!$H$5:$H$300,Закрытые!$E$5:$E$300,$B75,Закрытые!$B$5:$B$300,"L-*"))</f>
        <v/>
      </c>
      <c r="F75" s="240" t="str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 t="str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 t="str">
        <f>IF(F75="","",SUMIFS(Лэндинг!$K$5:$K$300,Лэндинг!$E$5:$E$300,$B75)+SUMIFS(Закрытые!$K$5:$K$300,Закрытые!$E$5:$E$300,$B75,Закрытые!$B$5:$B$300,"L-*"))</f>
        <v/>
      </c>
      <c r="I75" s="240" t="str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 t="str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 t="str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 t="str">
        <f>IF(C76="","",SUMIFS(Лэндинг!$H$5:$H$300,Лэндинг!$E$5:$E$300,$B76)+SUMIFS(Закрытые!$H$5:$H$300,Закрытые!$E$5:$E$300,$B76,Закрытые!$B$5:$B$300,"L-*"))</f>
        <v/>
      </c>
      <c r="F76" s="246" t="str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 t="str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 t="str">
        <f>IF(F76="","",SUMIFS(Лэндинг!$K$5:$K$300,Лэндинг!$E$5:$E$300,$B76)+SUMIFS(Закрытые!$K$5:$K$300,Закрытые!$E$5:$E$300,$B76,Закрытые!$B$5:$B$300,"L-*"))</f>
        <v/>
      </c>
      <c r="I76" s="246" t="str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 t="str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 t="str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 t="str">
        <f>IF(C77="","",SUMIFS(Лэндинг!$H$5:$H$300,Лэндинг!$E$5:$E$300,$B77)+SUMIFS(Закрытые!$H$5:$H$300,Закрытые!$E$5:$E$300,$B77,Закрытые!$B$5:$B$300,"L-*"))</f>
        <v/>
      </c>
      <c r="F77" s="240" t="str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 t="str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 t="str">
        <f>IF(F77="","",SUMIFS(Лэндинг!$K$5:$K$300,Лэндинг!$E$5:$E$300,$B77)+SUMIFS(Закрытые!$K$5:$K$300,Закрытые!$E$5:$E$300,$B77,Закрытые!$B$5:$B$300,"L-*"))</f>
        <v/>
      </c>
      <c r="I77" s="240" t="str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 t="str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 t="str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 t="str">
        <f>IF(C78="","",SUMIFS(Лэндинг!$H$5:$H$300,Лэндинг!$E$5:$E$300,$B78)+SUMIFS(Закрытые!$H$5:$H$300,Закрытые!$E$5:$E$300,$B78,Закрытые!$B$5:$B$300,"L-*"))</f>
        <v/>
      </c>
      <c r="F78" s="246" t="str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 t="str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 t="str">
        <f>IF(F78="","",SUMIFS(Лэндинг!$K$5:$K$300,Лэндинг!$E$5:$E$300,$B78)+SUMIFS(Закрытые!$K$5:$K$300,Закрытые!$E$5:$E$300,$B78,Закрытые!$B$5:$B$300,"L-*"))</f>
        <v/>
      </c>
      <c r="I78" s="246" t="str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 t="str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 t="str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 t="str">
        <f>IF(C79="","",SUMIFS(Лэндинг!$H$5:$H$300,Лэндинг!$E$5:$E$300,$B79)+SUMIFS(Закрытые!$H$5:$H$300,Закрытые!$E$5:$E$300,$B79,Закрытые!$B$5:$B$300,"L-*"))</f>
        <v/>
      </c>
      <c r="F79" s="240" t="str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 t="str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 t="str">
        <f>IF(F79="","",SUMIFS(Лэндинг!$K$5:$K$300,Лэндинг!$E$5:$E$300,$B79)+SUMIFS(Закрытые!$K$5:$K$300,Закрытые!$E$5:$E$300,$B79,Закрытые!$B$5:$B$300,"L-*"))</f>
        <v/>
      </c>
      <c r="I79" s="240" t="str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 t="str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 t="str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 t="str">
        <f>IF(C80="","",SUMIFS(Лэндинг!$H$5:$H$300,Лэндинг!$E$5:$E$300,$B80)+SUMIFS(Закрытые!$H$5:$H$300,Закрытые!$E$5:$E$300,$B80,Закрытые!$B$5:$B$300,"L-*"))</f>
        <v/>
      </c>
      <c r="F80" s="246" t="str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 t="str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 t="str">
        <f>IF(F80="","",SUMIFS(Лэндинг!$K$5:$K$300,Лэндинг!$E$5:$E$300,$B80)+SUMIFS(Закрытые!$K$5:$K$300,Закрытые!$E$5:$E$300,$B80,Закрытые!$B$5:$B$300,"L-*"))</f>
        <v/>
      </c>
      <c r="I80" s="246" t="str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 t="str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 t="str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 t="str">
        <f>IF(C81="","",SUMIFS(Лэндинг!$H$5:$H$300,Лэндинг!$E$5:$E$300,$B81)+SUMIFS(Закрытые!$H$5:$H$300,Закрытые!$E$5:$E$300,$B81,Закрытые!$B$5:$B$300,"L-*"))</f>
        <v/>
      </c>
      <c r="F81" s="240" t="str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 t="str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 t="str">
        <f>IF(F81="","",SUMIFS(Лэндинг!$K$5:$K$300,Лэндинг!$E$5:$E$300,$B81)+SUMIFS(Закрытые!$K$5:$K$300,Закрытые!$E$5:$E$300,$B81,Закрытые!$B$5:$B$300,"L-*"))</f>
        <v/>
      </c>
      <c r="I81" s="240" t="str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 t="str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 t="str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 t="str">
        <f>IF(C82="","",SUMIFS(Лэндинг!$H$5:$H$300,Лэндинг!$E$5:$E$300,$B82)+SUMIFS(Закрытые!$H$5:$H$300,Закрытые!$E$5:$E$300,$B82,Закрытые!$B$5:$B$300,"L-*"))</f>
        <v/>
      </c>
      <c r="F82" s="246" t="str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 t="str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 t="str">
        <f>IF(F82="","",SUMIFS(Лэндинг!$K$5:$K$300,Лэндинг!$E$5:$E$300,$B82)+SUMIFS(Закрытые!$K$5:$K$300,Закрытые!$E$5:$E$300,$B82,Закрытые!$B$5:$B$300,"L-*"))</f>
        <v/>
      </c>
      <c r="I82" s="246" t="str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 t="str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 t="str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 t="str">
        <f>IF(C83="","",SUMIFS(Лэндинг!$H$5:$H$300,Лэндинг!$E$5:$E$300,$B83)+SUMIFS(Закрытые!$H$5:$H$300,Закрытые!$E$5:$E$300,$B83,Закрытые!$B$5:$B$300,"L-*"))</f>
        <v/>
      </c>
      <c r="F83" s="240" t="str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 t="str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 t="str">
        <f>IF(F83="","",SUMIFS(Лэндинг!$K$5:$K$300,Лэндинг!$E$5:$E$300,$B83)+SUMIFS(Закрытые!$K$5:$K$300,Закрытые!$E$5:$E$300,$B83,Закрытые!$B$5:$B$300,"L-*"))</f>
        <v/>
      </c>
      <c r="I83" s="240" t="str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 t="str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 t="str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 t="str">
        <f>IF(C84="","",SUMIFS(Лэндинг!$H$5:$H$300,Лэндинг!$E$5:$E$300,$B84)+SUMIFS(Закрытые!$H$5:$H$300,Закрытые!$E$5:$E$300,$B84,Закрытые!$B$5:$B$300,"L-*"))</f>
        <v/>
      </c>
      <c r="F84" s="246" t="str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 t="str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 t="str">
        <f>IF(F84="","",SUMIFS(Лэндинг!$K$5:$K$300,Лэндинг!$E$5:$E$300,$B84)+SUMIFS(Закрытые!$K$5:$K$300,Закрытые!$E$5:$E$300,$B84,Закрытые!$B$5:$B$300,"L-*"))</f>
        <v/>
      </c>
      <c r="I84" s="246" t="str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 t="str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 t="str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 t="str">
        <f>IF(C85="","",SUMIFS(Лэндинг!$H$5:$H$300,Лэндинг!$E$5:$E$300,$B85)+SUMIFS(Закрытые!$H$5:$H$300,Закрытые!$E$5:$E$300,$B85,Закрытые!$B$5:$B$300,"L-*"))</f>
        <v/>
      </c>
      <c r="F85" s="240" t="str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 t="str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 t="str">
        <f>IF(F85="","",SUMIFS(Лэндинг!$K$5:$K$300,Лэндинг!$E$5:$E$300,$B85)+SUMIFS(Закрытые!$K$5:$K$300,Закрытые!$E$5:$E$300,$B85,Закрытые!$B$5:$B$300,"L-*"))</f>
        <v/>
      </c>
      <c r="I85" s="240" t="str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 t="str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 t="str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 t="str">
        <f>IF(C86="","",SUMIFS(Лэндинг!$H$5:$H$300,Лэндинг!$E$5:$E$300,$B86)+SUMIFS(Закрытые!$H$5:$H$300,Закрытые!$E$5:$E$300,$B86,Закрытые!$B$5:$B$300,"L-*"))</f>
        <v/>
      </c>
      <c r="F86" s="246" t="str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 t="str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 t="str">
        <f>IF(F86="","",SUMIFS(Лэндинг!$K$5:$K$300,Лэндинг!$E$5:$E$300,$B86)+SUMIFS(Закрытые!$K$5:$K$300,Закрытые!$E$5:$E$300,$B86,Закрытые!$B$5:$B$300,"L-*"))</f>
        <v/>
      </c>
      <c r="I86" s="246" t="str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 t="str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 t="str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 t="str">
        <f>IF(C87="","",SUMIFS(Лэндинг!$H$5:$H$300,Лэндинг!$E$5:$E$300,$B87)+SUMIFS(Закрытые!$H$5:$H$300,Закрытые!$E$5:$E$300,$B87,Закрытые!$B$5:$B$300,"L-*"))</f>
        <v/>
      </c>
      <c r="F87" s="240" t="str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 t="str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 t="str">
        <f>IF(F87="","",SUMIFS(Лэндинг!$K$5:$K$300,Лэндинг!$E$5:$E$300,$B87)+SUMIFS(Закрытые!$K$5:$K$300,Закрытые!$E$5:$E$300,$B87,Закрытые!$B$5:$B$300,"L-*"))</f>
        <v/>
      </c>
      <c r="I87" s="240" t="str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 t="str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 t="str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 t="str">
        <f>IF(C88="","",SUMIFS(Лэндинг!$H$5:$H$300,Лэндинг!$E$5:$E$300,$B88)+SUMIFS(Закрытые!$H$5:$H$300,Закрытые!$E$5:$E$300,$B88,Закрытые!$B$5:$B$300,"L-*"))</f>
        <v/>
      </c>
      <c r="F88" s="246" t="str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 t="str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 t="str">
        <f>IF(F88="","",SUMIFS(Лэндинг!$K$5:$K$300,Лэндинг!$E$5:$E$300,$B88)+SUMIFS(Закрытые!$K$5:$K$300,Закрытые!$E$5:$E$300,$B88,Закрытые!$B$5:$B$300,"L-*"))</f>
        <v/>
      </c>
      <c r="I88" s="246" t="str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 t="str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 t="str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 t="str">
        <f>IF(C89="","",SUMIFS(Лэндинг!$H$5:$H$300,Лэндинг!$E$5:$E$300,$B89)+SUMIFS(Закрытые!$H$5:$H$300,Закрытые!$E$5:$E$300,$B89,Закрытые!$B$5:$B$300,"L-*"))</f>
        <v/>
      </c>
      <c r="F89" s="240" t="str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 t="str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 t="str">
        <f>IF(F89="","",SUMIFS(Лэндинг!$K$5:$K$300,Лэндинг!$E$5:$E$300,$B89)+SUMIFS(Закрытые!$K$5:$K$300,Закрытые!$E$5:$E$300,$B89,Закрытые!$B$5:$B$300,"L-*"))</f>
        <v/>
      </c>
      <c r="I89" s="240" t="str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 t="str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 t="str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 t="str">
        <f>IF(C90="","",SUMIFS(Лэндинг!$H$5:$H$300,Лэндинг!$E$5:$E$300,$B90)+SUMIFS(Закрытые!$H$5:$H$300,Закрытые!$E$5:$E$300,$B90,Закрытые!$B$5:$B$300,"L-*"))</f>
        <v/>
      </c>
      <c r="F90" s="246" t="str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 t="str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 t="str">
        <f>IF(F90="","",SUMIFS(Лэндинг!$K$5:$K$300,Лэндинг!$E$5:$E$300,$B90)+SUMIFS(Закрытые!$K$5:$K$300,Закрытые!$E$5:$E$300,$B90,Закрытые!$B$5:$B$300,"L-*"))</f>
        <v/>
      </c>
      <c r="I90" s="246" t="str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 t="str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 t="str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 t="str">
        <f>IF(C91="","",SUMIFS(Лэндинг!$H$5:$H$300,Лэндинг!$E$5:$E$300,$B91)+SUMIFS(Закрытые!$H$5:$H$300,Закрытые!$E$5:$E$300,$B91,Закрытые!$B$5:$B$300,"L-*"))</f>
        <v/>
      </c>
      <c r="F91" s="240" t="str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 t="str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 t="str">
        <f>IF(F91="","",SUMIFS(Лэндинг!$K$5:$K$300,Лэндинг!$E$5:$E$300,$B91)+SUMIFS(Закрытые!$K$5:$K$300,Закрытые!$E$5:$E$300,$B91,Закрытые!$B$5:$B$300,"L-*"))</f>
        <v/>
      </c>
      <c r="I91" s="240" t="str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 t="str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 t="str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 t="str">
        <f>IF(C92="","",SUMIFS(Лэндинг!$H$5:$H$300,Лэндинг!$E$5:$E$300,$B92)+SUMIFS(Закрытые!$H$5:$H$300,Закрытые!$E$5:$E$300,$B92,Закрытые!$B$5:$B$300,"L-*"))</f>
        <v/>
      </c>
      <c r="F92" s="246" t="str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 t="str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 t="str">
        <f>IF(F92="","",SUMIFS(Лэндинг!$K$5:$K$300,Лэндинг!$E$5:$E$300,$B92)+SUMIFS(Закрытые!$K$5:$K$300,Закрытые!$E$5:$E$300,$B92,Закрытые!$B$5:$B$300,"L-*"))</f>
        <v/>
      </c>
      <c r="I92" s="246" t="str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 t="str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 t="str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 t="str">
        <f>IF(C93="","",SUMIFS(Лэндинг!$H$5:$H$300,Лэндинг!$E$5:$E$300,$B93)+SUMIFS(Закрытые!$H$5:$H$300,Закрытые!$E$5:$E$300,$B93,Закрытые!$B$5:$B$300,"L-*"))</f>
        <v/>
      </c>
      <c r="F93" s="240" t="str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 t="str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 t="str">
        <f>IF(F93="","",SUMIFS(Лэндинг!$K$5:$K$300,Лэндинг!$E$5:$E$300,$B93)+SUMIFS(Закрытые!$K$5:$K$300,Закрытые!$E$5:$E$300,$B93,Закрытые!$B$5:$B$300,"L-*"))</f>
        <v/>
      </c>
      <c r="I93" s="240" t="str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 t="str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 t="str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 t="str">
        <f>IF(C94="","",SUMIFS(Лэндинг!$H$5:$H$300,Лэндинг!$E$5:$E$300,$B94)+SUMIFS(Закрытые!$H$5:$H$300,Закрытые!$E$5:$E$300,$B94,Закрытые!$B$5:$B$300,"L-*"))</f>
        <v/>
      </c>
      <c r="F94" s="246" t="str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 t="str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 t="str">
        <f>IF(F94="","",SUMIFS(Лэндинг!$K$5:$K$300,Лэндинг!$E$5:$E$300,$B94)+SUMIFS(Закрытые!$K$5:$K$300,Закрытые!$E$5:$E$300,$B94,Закрытые!$B$5:$B$300,"L-*"))</f>
        <v/>
      </c>
      <c r="I94" s="246" t="str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 t="str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 t="str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 t="str">
        <f>IF(C95="","",SUMIFS(Лэндинг!$H$5:$H$300,Лэндинг!$E$5:$E$300,$B95)+SUMIFS(Закрытые!$H$5:$H$300,Закрытые!$E$5:$E$300,$B95,Закрытые!$B$5:$B$300,"L-*"))</f>
        <v/>
      </c>
      <c r="F95" s="240" t="str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 t="str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 t="str">
        <f>IF(F95="","",SUMIFS(Лэндинг!$K$5:$K$300,Лэндинг!$E$5:$E$300,$B95)+SUMIFS(Закрытые!$K$5:$K$300,Закрытые!$E$5:$E$300,$B95,Закрытые!$B$5:$B$300,"L-*"))</f>
        <v/>
      </c>
      <c r="I95" s="240" t="str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 t="str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 t="str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 t="str">
        <f>IF(C96="","",SUMIFS(Лэндинг!$H$5:$H$300,Лэндинг!$E$5:$E$300,$B96)+SUMIFS(Закрытые!$H$5:$H$300,Закрытые!$E$5:$E$300,$B96,Закрытые!$B$5:$B$300,"L-*"))</f>
        <v/>
      </c>
      <c r="F96" s="246" t="str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 t="str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 t="str">
        <f>IF(F96="","",SUMIFS(Лэндинг!$K$5:$K$300,Лэндинг!$E$5:$E$300,$B96)+SUMIFS(Закрытые!$K$5:$K$300,Закрытые!$E$5:$E$300,$B96,Закрытые!$B$5:$B$300,"L-*"))</f>
        <v/>
      </c>
      <c r="I96" s="246" t="str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 t="str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 t="str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 t="str">
        <f>IF(C97="","",SUMIFS(Лэндинг!$H$5:$H$300,Лэндинг!$E$5:$E$300,$B97)+SUMIFS(Закрытые!$H$5:$H$300,Закрытые!$E$5:$E$300,$B97,Закрытые!$B$5:$B$300,"L-*"))</f>
        <v/>
      </c>
      <c r="F97" s="240" t="str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 t="str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 t="str">
        <f>IF(F97="","",SUMIFS(Лэндинг!$K$5:$K$300,Лэндинг!$E$5:$E$300,$B97)+SUMIFS(Закрытые!$K$5:$K$300,Закрытые!$E$5:$E$300,$B97,Закрытые!$B$5:$B$300,"L-*"))</f>
        <v/>
      </c>
      <c r="I97" s="240" t="str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 t="str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 t="str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 t="str">
        <f>IF(C98="","",SUMIFS(Лэндинг!$H$5:$H$300,Лэндинг!$E$5:$E$300,$B98)+SUMIFS(Закрытые!$H$5:$H$300,Закрытые!$E$5:$E$300,$B98,Закрытые!$B$5:$B$300,"L-*"))</f>
        <v/>
      </c>
      <c r="F98" s="246" t="str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 t="str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 t="str">
        <f>IF(F98="","",SUMIFS(Лэндинг!$K$5:$K$300,Лэндинг!$E$5:$E$300,$B98)+SUMIFS(Закрытые!$K$5:$K$300,Закрытые!$E$5:$E$300,$B98,Закрытые!$B$5:$B$300,"L-*"))</f>
        <v/>
      </c>
      <c r="I98" s="246" t="str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 t="str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 t="str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 t="str">
        <f>IF(C99="","",SUMIFS(Лэндинг!$H$5:$H$300,Лэндинг!$E$5:$E$300,$B99)+SUMIFS(Закрытые!$H$5:$H$300,Закрытые!$E$5:$E$300,$B99,Закрытые!$B$5:$B$300,"L-*"))</f>
        <v/>
      </c>
      <c r="F99" s="240" t="str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 t="str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 t="str">
        <f>IF(F99="","",SUMIFS(Лэндинг!$K$5:$K$300,Лэндинг!$E$5:$E$300,$B99)+SUMIFS(Закрытые!$K$5:$K$300,Закрытые!$E$5:$E$300,$B99,Закрытые!$B$5:$B$300,"L-*"))</f>
        <v/>
      </c>
      <c r="I99" s="240" t="str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 t="str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 t="str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 t="str">
        <f>IF(C100="","",SUMIFS(Лэндинг!$H$5:$H$300,Лэндинг!$E$5:$E$300,$B100)+SUMIFS(Закрытые!$H$5:$H$300,Закрытые!$E$5:$E$300,$B100,Закрытые!$B$5:$B$300,"L-*"))</f>
        <v/>
      </c>
      <c r="F100" s="246" t="str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 t="str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 t="str">
        <f>IF(F100="","",SUMIFS(Лэндинг!$K$5:$K$300,Лэндинг!$E$5:$E$300,$B100)+SUMIFS(Закрытые!$K$5:$K$300,Закрытые!$E$5:$E$300,$B100,Закрытые!$B$5:$B$300,"L-*"))</f>
        <v/>
      </c>
      <c r="I100" s="246" t="str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 t="str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 t="str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 t="str">
        <f>IF(C101="","",SUMIFS(Лэндинг!$H$5:$H$300,Лэндинг!$E$5:$E$300,$B101)+SUMIFS(Закрытые!$H$5:$H$300,Закрытые!$E$5:$E$300,$B101,Закрытые!$B$5:$B$300,"L-*"))</f>
        <v/>
      </c>
      <c r="F101" s="240" t="str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 t="str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 t="str">
        <f>IF(F101="","",SUMIFS(Лэндинг!$K$5:$K$300,Лэндинг!$E$5:$E$300,$B101)+SUMIFS(Закрытые!$K$5:$K$300,Закрытые!$E$5:$E$300,$B101,Закрытые!$B$5:$B$300,"L-*"))</f>
        <v/>
      </c>
      <c r="I101" s="240" t="str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 t="str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 t="str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 t="str">
        <f>IF(C102="","",SUMIFS(Лэндинг!$H$5:$H$300,Лэндинг!$E$5:$E$300,$B102)+SUMIFS(Закрытые!$H$5:$H$300,Закрытые!$E$5:$E$300,$B102,Закрытые!$B$5:$B$300,"L-*"))</f>
        <v/>
      </c>
      <c r="F102" s="246" t="str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 t="str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 t="str">
        <f>IF(F102="","",SUMIFS(Лэндинг!$K$5:$K$300,Лэндинг!$E$5:$E$300,$B102)+SUMIFS(Закрытые!$K$5:$K$300,Закрытые!$E$5:$E$300,$B102,Закрытые!$B$5:$B$300,"L-*"))</f>
        <v/>
      </c>
      <c r="I102" s="246" t="str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 t="str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 t="str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 t="str">
        <f>IF(C103="","",SUMIFS(Лэндинг!$H$5:$H$300,Лэндинг!$E$5:$E$300,$B103)+SUMIFS(Закрытые!$H$5:$H$300,Закрытые!$E$5:$E$300,$B103,Закрытые!$B$5:$B$300,"L-*"))</f>
        <v/>
      </c>
      <c r="F103" s="240" t="str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 t="str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 t="str">
        <f>IF(F103="","",SUMIFS(Лэндинг!$K$5:$K$300,Лэндинг!$E$5:$E$300,$B103)+SUMIFS(Закрытые!$K$5:$K$300,Закрытые!$E$5:$E$300,$B103,Закрытые!$B$5:$B$300,"L-*"))</f>
        <v/>
      </c>
      <c r="I103" s="240" t="str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 t="str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 t="str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 t="str">
        <f>IF(C104="","",SUMIFS(Лэндинг!$H$5:$H$300,Лэндинг!$E$5:$E$300,$B104)+SUMIFS(Закрытые!$H$5:$H$300,Закрытые!$E$5:$E$300,$B104,Закрытые!$B$5:$B$300,"L-*"))</f>
        <v/>
      </c>
      <c r="F104" s="246" t="str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 t="str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 t="str">
        <f>IF(F104="","",SUMIFS(Лэндинг!$K$5:$K$300,Лэндинг!$E$5:$E$300,$B104)+SUMIFS(Закрытые!$K$5:$K$300,Закрытые!$E$5:$E$300,$B104,Закрытые!$B$5:$B$300,"L-*"))</f>
        <v/>
      </c>
      <c r="I104" s="246" t="str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 t="str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 t="str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 t="str">
        <f>IF(C105="","",SUMIFS(Лэндинг!$H$5:$H$300,Лэндинг!$E$5:$E$300,$B105)+SUMIFS(Закрытые!$H$5:$H$300,Закрытые!$E$5:$E$300,$B105,Закрытые!$B$5:$B$300,"L-*"))</f>
        <v/>
      </c>
      <c r="F105" s="240" t="str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 t="str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 t="str">
        <f>IF(F105="","",SUMIFS(Лэндинг!$K$5:$K$300,Лэндинг!$E$5:$E$300,$B105)+SUMIFS(Закрытые!$K$5:$K$300,Закрытые!$E$5:$E$300,$B105,Закрытые!$B$5:$B$300,"L-*"))</f>
        <v/>
      </c>
      <c r="I105" s="240" t="str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 t="str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 t="str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 t="str">
        <f>IF(C106="","",SUMIFS(Лэндинг!$H$5:$H$300,Лэндинг!$E$5:$E$300,$B106)+SUMIFS(Закрытые!$H$5:$H$300,Закрытые!$E$5:$E$300,$B106,Закрытые!$B$5:$B$300,"L-*"))</f>
        <v/>
      </c>
      <c r="F106" s="246" t="str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 t="str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 t="str">
        <f>IF(F106="","",SUMIFS(Лэндинг!$K$5:$K$300,Лэндинг!$E$5:$E$300,$B106)+SUMIFS(Закрытые!$K$5:$K$300,Закрытые!$E$5:$E$300,$B106,Закрытые!$B$5:$B$300,"L-*"))</f>
        <v/>
      </c>
      <c r="I106" s="246" t="str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 t="str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 t="str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 t="str">
        <f>IF(C107="","",SUMIFS(Лэндинг!$H$5:$H$300,Лэндинг!$E$5:$E$300,$B107)+SUMIFS(Закрытые!$H$5:$H$300,Закрытые!$E$5:$E$300,$B107,Закрытые!$B$5:$B$300,"L-*"))</f>
        <v/>
      </c>
      <c r="F107" s="240" t="str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 t="str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 t="str">
        <f>IF(F107="","",SUMIFS(Лэндинг!$K$5:$K$300,Лэндинг!$E$5:$E$300,$B107)+SUMIFS(Закрытые!$K$5:$K$300,Закрытые!$E$5:$E$300,$B107,Закрытые!$B$5:$B$300,"L-*"))</f>
        <v/>
      </c>
      <c r="I107" s="240" t="str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 t="str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 t="str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 t="str">
        <f>IF(C108="","",SUMIFS(Лэндинг!$H$5:$H$300,Лэндинг!$E$5:$E$300,$B108)+SUMIFS(Закрытые!$H$5:$H$300,Закрытые!$E$5:$E$300,$B108,Закрытые!$B$5:$B$300,"L-*"))</f>
        <v/>
      </c>
      <c r="F108" s="246" t="str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 t="str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 t="str">
        <f>IF(F108="","",SUMIFS(Лэндинг!$K$5:$K$300,Лэндинг!$E$5:$E$300,$B108)+SUMIFS(Закрытые!$K$5:$K$300,Закрытые!$E$5:$E$300,$B108,Закрытые!$B$5:$B$300,"L-*"))</f>
        <v/>
      </c>
      <c r="I108" s="246" t="str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 t="str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 t="str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 t="str">
        <f>IF(C109="","",SUMIFS(Лэндинг!$H$5:$H$300,Лэндинг!$E$5:$E$300,$B109)+SUMIFS(Закрытые!$H$5:$H$300,Закрытые!$E$5:$E$300,$B109,Закрытые!$B$5:$B$300,"L-*"))</f>
        <v/>
      </c>
      <c r="F109" s="240" t="str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 t="str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 t="str">
        <f>IF(F109="","",SUMIFS(Лэндинг!$K$5:$K$300,Лэндинг!$E$5:$E$300,$B109)+SUMIFS(Закрытые!$K$5:$K$300,Закрытые!$E$5:$E$300,$B109,Закрытые!$B$5:$B$300,"L-*"))</f>
        <v/>
      </c>
      <c r="I109" s="240" t="str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 t="str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 t="str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 t="str">
        <f>IF(C110="","",SUMIFS(Лэндинг!$H$5:$H$300,Лэндинг!$E$5:$E$300,$B110)+SUMIFS(Закрытые!$H$5:$H$300,Закрытые!$E$5:$E$300,$B110,Закрытые!$B$5:$B$300,"L-*"))</f>
        <v/>
      </c>
      <c r="F110" s="246" t="str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 t="str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 t="str">
        <f>IF(F110="","",SUMIFS(Лэндинг!$K$5:$K$300,Лэндинг!$E$5:$E$300,$B110)+SUMIFS(Закрытые!$K$5:$K$300,Закрытые!$E$5:$E$300,$B110,Закрытые!$B$5:$B$300,"L-*"))</f>
        <v/>
      </c>
      <c r="I110" s="246" t="str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 t="str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 t="str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 t="str">
        <f>IF(C111="","",SUMIFS(Лэндинг!$H$5:$H$300,Лэндинг!$E$5:$E$300,$B111)+SUMIFS(Закрытые!$H$5:$H$300,Закрытые!$E$5:$E$300,$B111,Закрытые!$B$5:$B$300,"L-*"))</f>
        <v/>
      </c>
      <c r="F111" s="240" t="str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 t="str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 t="str">
        <f>IF(F111="","",SUMIFS(Лэндинг!$K$5:$K$300,Лэндинг!$E$5:$E$300,$B111)+SUMIFS(Закрытые!$K$5:$K$300,Закрытые!$E$5:$E$300,$B111,Закрытые!$B$5:$B$300,"L-*"))</f>
        <v/>
      </c>
      <c r="I111" s="240" t="str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 t="str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 t="str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 t="str">
        <f>IF(C112="","",SUMIFS(Лэндинг!$H$5:$H$300,Лэндинг!$E$5:$E$300,$B112)+SUMIFS(Закрытые!$H$5:$H$300,Закрытые!$E$5:$E$300,$B112,Закрытые!$B$5:$B$300,"L-*"))</f>
        <v/>
      </c>
      <c r="F112" s="246" t="str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 t="str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 t="str">
        <f>IF(F112="","",SUMIFS(Лэндинг!$K$5:$K$300,Лэндинг!$E$5:$E$300,$B112)+SUMIFS(Закрытые!$K$5:$K$300,Закрытые!$E$5:$E$300,$B112,Закрытые!$B$5:$B$300,"L-*"))</f>
        <v/>
      </c>
      <c r="I112" s="246" t="str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 t="str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 t="str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 t="str">
        <f>IF(C113="","",SUMIFS(Лэндинг!$H$5:$H$300,Лэндинг!$E$5:$E$300,$B113)+SUMIFS(Закрытые!$H$5:$H$300,Закрытые!$E$5:$E$300,$B113,Закрытые!$B$5:$B$300,"L-*"))</f>
        <v/>
      </c>
      <c r="F113" s="240" t="str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 t="str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 t="str">
        <f>IF(F113="","",SUMIFS(Лэндинг!$K$5:$K$300,Лэндинг!$E$5:$E$300,$B113)+SUMIFS(Закрытые!$K$5:$K$300,Закрытые!$E$5:$E$300,$B113,Закрытые!$B$5:$B$300,"L-*"))</f>
        <v/>
      </c>
      <c r="I113" s="240" t="str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 t="str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 t="str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 t="str">
        <f>IF(C114="","",SUMIFS(Лэндинг!$H$5:$H$300,Лэндинг!$E$5:$E$300,$B114)+SUMIFS(Закрытые!$H$5:$H$300,Закрытые!$E$5:$E$300,$B114,Закрытые!$B$5:$B$300,"L-*"))</f>
        <v/>
      </c>
      <c r="F114" s="246" t="str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 t="str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 t="str">
        <f>IF(F114="","",SUMIFS(Лэндинг!$K$5:$K$300,Лэндинг!$E$5:$E$300,$B114)+SUMIFS(Закрытые!$K$5:$K$300,Закрытые!$E$5:$E$300,$B114,Закрытые!$B$5:$B$300,"L-*"))</f>
        <v/>
      </c>
      <c r="I114" s="246" t="str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 t="str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 t="str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 t="str">
        <f>IF(C115="","",SUMIFS(Лэндинг!$H$5:$H$300,Лэндинг!$E$5:$E$300,$B115)+SUMIFS(Закрытые!$H$5:$H$300,Закрытые!$E$5:$E$300,$B115,Закрытые!$B$5:$B$300,"L-*"))</f>
        <v/>
      </c>
      <c r="F115" s="240" t="str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 t="str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 t="str">
        <f>IF(F115="","",SUMIFS(Лэндинг!$K$5:$K$300,Лэндинг!$E$5:$E$300,$B115)+SUMIFS(Закрытые!$K$5:$K$300,Закрытые!$E$5:$E$300,$B115,Закрытые!$B$5:$B$300,"L-*"))</f>
        <v/>
      </c>
      <c r="I115" s="240" t="str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 t="str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 t="str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 t="str">
        <f>IF(C116="","",SUMIFS(Лэндинг!$H$5:$H$300,Лэндинг!$E$5:$E$300,$B116)+SUMIFS(Закрытые!$H$5:$H$300,Закрытые!$E$5:$E$300,$B116,Закрытые!$B$5:$B$300,"L-*"))</f>
        <v/>
      </c>
      <c r="F116" s="246" t="str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 t="str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 t="str">
        <f>IF(F116="","",SUMIFS(Лэндинг!$K$5:$K$300,Лэндинг!$E$5:$E$300,$B116)+SUMIFS(Закрытые!$K$5:$K$300,Закрытые!$E$5:$E$300,$B116,Закрытые!$B$5:$B$300,"L-*"))</f>
        <v/>
      </c>
      <c r="I116" s="246" t="str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 t="str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 t="str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 t="str">
        <f>IF(C117="","",SUMIFS(Лэндинг!$H$5:$H$300,Лэндинг!$E$5:$E$300,$B117)+SUMIFS(Закрытые!$H$5:$H$300,Закрытые!$E$5:$E$300,$B117,Закрытые!$B$5:$B$300,"L-*"))</f>
        <v/>
      </c>
      <c r="F117" s="240" t="str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 t="str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 t="str">
        <f>IF(F117="","",SUMIFS(Лэндинг!$K$5:$K$300,Лэндинг!$E$5:$E$300,$B117)+SUMIFS(Закрытые!$K$5:$K$300,Закрытые!$E$5:$E$300,$B117,Закрытые!$B$5:$B$300,"L-*"))</f>
        <v/>
      </c>
      <c r="I117" s="240" t="str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 t="str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 t="str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 t="str">
        <f>IF(C118="","",SUMIFS(Лэндинг!$H$5:$H$300,Лэндинг!$E$5:$E$300,$B118)+SUMIFS(Закрытые!$H$5:$H$300,Закрытые!$E$5:$E$300,$B118,Закрытые!$B$5:$B$300,"L-*"))</f>
        <v/>
      </c>
      <c r="F118" s="246" t="str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 t="str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 t="str">
        <f>IF(F118="","",SUMIFS(Лэндинг!$K$5:$K$300,Лэндинг!$E$5:$E$300,$B118)+SUMIFS(Закрытые!$K$5:$K$300,Закрытые!$E$5:$E$300,$B118,Закрытые!$B$5:$B$300,"L-*"))</f>
        <v/>
      </c>
      <c r="I118" s="246" t="str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 t="str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 t="str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 t="str">
        <f>IF(C119="","",SUMIFS(Лэндинг!$H$5:$H$300,Лэндинг!$E$5:$E$300,$B119)+SUMIFS(Закрытые!$H$5:$H$300,Закрытые!$E$5:$E$300,$B119,Закрытые!$B$5:$B$300,"L-*"))</f>
        <v/>
      </c>
      <c r="F119" s="240" t="str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 t="str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 t="str">
        <f>IF(F119="","",SUMIFS(Лэндинг!$K$5:$K$300,Лэндинг!$E$5:$E$300,$B119)+SUMIFS(Закрытые!$K$5:$K$300,Закрытые!$E$5:$E$300,$B119,Закрытые!$B$5:$B$300,"L-*"))</f>
        <v/>
      </c>
      <c r="I119" s="240" t="str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 t="str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 t="str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 t="str">
        <f>IF(C120="","",SUMIFS(Лэндинг!$H$5:$H$300,Лэндинг!$E$5:$E$300,$B120)+SUMIFS(Закрытые!$H$5:$H$300,Закрытые!$E$5:$E$300,$B120,Закрытые!$B$5:$B$300,"L-*"))</f>
        <v/>
      </c>
      <c r="F120" s="246" t="str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 t="str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 t="str">
        <f>IF(F120="","",SUMIFS(Лэндинг!$K$5:$K$300,Лэндинг!$E$5:$E$300,$B120)+SUMIFS(Закрытые!$K$5:$K$300,Закрытые!$E$5:$E$300,$B120,Закрытые!$B$5:$B$300,"L-*"))</f>
        <v/>
      </c>
      <c r="I120" s="246" t="str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 t="str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 t="str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 t="str">
        <f>IF(C121="","",SUMIFS(Лэндинг!$H$5:$H$300,Лэндинг!$E$5:$E$300,$B121)+SUMIFS(Закрытые!$H$5:$H$300,Закрытые!$E$5:$E$300,$B121,Закрытые!$B$5:$B$300,"L-*"))</f>
        <v/>
      </c>
      <c r="F121" s="240" t="str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 t="str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 t="str">
        <f>IF(F121="","",SUMIFS(Лэндинг!$K$5:$K$300,Лэндинг!$E$5:$E$300,$B121)+SUMIFS(Закрытые!$K$5:$K$300,Закрытые!$E$5:$E$300,$B121,Закрытые!$B$5:$B$300,"L-*"))</f>
        <v/>
      </c>
      <c r="I121" s="240" t="str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 t="str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 t="str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 t="str">
        <f>IF(C122="","",SUMIFS(Лэндинг!$H$5:$H$300,Лэндинг!$E$5:$E$300,$B122)+SUMIFS(Закрытые!$H$5:$H$300,Закрытые!$E$5:$E$300,$B122,Закрытые!$B$5:$B$300,"L-*"))</f>
        <v/>
      </c>
      <c r="F122" s="246" t="str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 t="str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 t="str">
        <f>IF(F122="","",SUMIFS(Лэндинг!$K$5:$K$300,Лэндинг!$E$5:$E$300,$B122)+SUMIFS(Закрытые!$K$5:$K$300,Закрытые!$E$5:$E$300,$B122,Закрытые!$B$5:$B$300,"L-*"))</f>
        <v/>
      </c>
      <c r="I122" s="246" t="str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 t="str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 t="str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 t="str">
        <f>IF(C123="","",SUMIFS(Лэндинг!$H$5:$H$300,Лэндинг!$E$5:$E$300,$B123)+SUMIFS(Закрытые!$H$5:$H$300,Закрытые!$E$5:$E$300,$B123,Закрытые!$B$5:$B$300,"L-*"))</f>
        <v/>
      </c>
      <c r="F123" s="240" t="str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 t="str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 t="str">
        <f>IF(F123="","",SUMIFS(Лэндинг!$K$5:$K$300,Лэндинг!$E$5:$E$300,$B123)+SUMIFS(Закрытые!$K$5:$K$300,Закрытые!$E$5:$E$300,$B123,Закрытые!$B$5:$B$300,"L-*"))</f>
        <v/>
      </c>
      <c r="I123" s="240" t="str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 t="str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 t="str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 t="str">
        <f>IF(C124="","",SUMIFS(Лэндинг!$H$5:$H$300,Лэндинг!$E$5:$E$300,$B124)+SUMIFS(Закрытые!$H$5:$H$300,Закрытые!$E$5:$E$300,$B124,Закрытые!$B$5:$B$300,"L-*"))</f>
        <v/>
      </c>
      <c r="F124" s="246" t="str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 t="str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 t="str">
        <f>IF(F124="","",SUMIFS(Лэндинг!$K$5:$K$300,Лэндинг!$E$5:$E$300,$B124)+SUMIFS(Закрытые!$K$5:$K$300,Закрытые!$E$5:$E$300,$B124,Закрытые!$B$5:$B$300,"L-*"))</f>
        <v/>
      </c>
      <c r="I124" s="246" t="str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 t="str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 t="str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 t="str">
        <f>IF(C125="","",SUMIFS(Лэндинг!$H$5:$H$300,Лэндинг!$E$5:$E$300,$B125)+SUMIFS(Закрытые!$H$5:$H$300,Закрытые!$E$5:$E$300,$B125,Закрытые!$B$5:$B$300,"L-*"))</f>
        <v/>
      </c>
      <c r="F125" s="240" t="str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 t="str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 t="str">
        <f>IF(F125="","",SUMIFS(Лэндинг!$K$5:$K$300,Лэндинг!$E$5:$E$300,$B125)+SUMIFS(Закрытые!$K$5:$K$300,Закрытые!$E$5:$E$300,$B125,Закрытые!$B$5:$B$300,"L-*"))</f>
        <v/>
      </c>
      <c r="I125" s="240" t="str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 t="str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 t="str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 t="str">
        <f>IF(C126="","",SUMIFS(Лэндинг!$H$5:$H$300,Лэндинг!$E$5:$E$300,$B126)+SUMIFS(Закрытые!$H$5:$H$300,Закрытые!$E$5:$E$300,$B126,Закрытые!$B$5:$B$300,"L-*"))</f>
        <v/>
      </c>
      <c r="F126" s="246" t="str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 t="str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 t="str">
        <f>IF(F126="","",SUMIFS(Лэндинг!$K$5:$K$300,Лэндинг!$E$5:$E$300,$B126)+SUMIFS(Закрытые!$K$5:$K$300,Закрытые!$E$5:$E$300,$B126,Закрытые!$B$5:$B$300,"L-*"))</f>
        <v/>
      </c>
      <c r="I126" s="246" t="str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 t="str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 t="str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 t="str">
        <f>IF(C127="","",SUMIFS(Лэндинг!$H$5:$H$300,Лэндинг!$E$5:$E$300,$B127)+SUMIFS(Закрытые!$H$5:$H$300,Закрытые!$E$5:$E$300,$B127,Закрытые!$B$5:$B$300,"L-*"))</f>
        <v/>
      </c>
      <c r="F127" s="240" t="str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 t="str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 t="str">
        <f>IF(F127="","",SUMIFS(Лэндинг!$K$5:$K$300,Лэндинг!$E$5:$E$300,$B127)+SUMIFS(Закрытые!$K$5:$K$300,Закрытые!$E$5:$E$300,$B127,Закрытые!$B$5:$B$300,"L-*"))</f>
        <v/>
      </c>
      <c r="I127" s="240" t="str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 t="str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 t="str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 t="str">
        <f>IF(C128="","",SUMIFS(Лэндинг!$H$5:$H$300,Лэндинг!$E$5:$E$300,$B128)+SUMIFS(Закрытые!$H$5:$H$300,Закрытые!$E$5:$E$300,$B128,Закрытые!$B$5:$B$300,"L-*"))</f>
        <v/>
      </c>
      <c r="F128" s="246" t="str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 t="str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 t="str">
        <f>IF(F128="","",SUMIFS(Лэндинг!$K$5:$K$300,Лэндинг!$E$5:$E$300,$B128)+SUMIFS(Закрытые!$K$5:$K$300,Закрытые!$E$5:$E$300,$B128,Закрытые!$B$5:$B$300,"L-*"))</f>
        <v/>
      </c>
      <c r="I128" s="246" t="str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 t="str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 t="str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 t="str">
        <f>IF(C129="","",SUMIFS(Лэндинг!$H$5:$H$300,Лэндинг!$E$5:$E$300,$B129)+SUMIFS(Закрытые!$H$5:$H$300,Закрытые!$E$5:$E$300,$B129,Закрытые!$B$5:$B$300,"L-*"))</f>
        <v/>
      </c>
      <c r="F129" s="240" t="str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 t="str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 t="str">
        <f>IF(F129="","",SUMIFS(Лэндинг!$K$5:$K$300,Лэндинг!$E$5:$E$300,$B129)+SUMIFS(Закрытые!$K$5:$K$300,Закрытые!$E$5:$E$300,$B129,Закрытые!$B$5:$B$300,"L-*"))</f>
        <v/>
      </c>
      <c r="I129" s="240" t="str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 t="str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 t="str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 t="str">
        <f>IF(C130="","",SUMIFS(Лэндинг!$H$5:$H$300,Лэндинг!$E$5:$E$300,$B130)+SUMIFS(Закрытые!$H$5:$H$300,Закрытые!$E$5:$E$300,$B130,Закрытые!$B$5:$B$300,"L-*"))</f>
        <v/>
      </c>
      <c r="F130" s="246" t="str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 t="str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 t="str">
        <f>IF(F130="","",SUMIFS(Лэндинг!$K$5:$K$300,Лэндинг!$E$5:$E$300,$B130)+SUMIFS(Закрытые!$K$5:$K$300,Закрытые!$E$5:$E$300,$B130,Закрытые!$B$5:$B$300,"L-*"))</f>
        <v/>
      </c>
      <c r="I130" s="246" t="str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 t="str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 t="str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 t="str">
        <f>IF(C131="","",SUMIFS(Лэндинг!$H$5:$H$300,Лэндинг!$E$5:$E$300,$B131)+SUMIFS(Закрытые!$H$5:$H$300,Закрытые!$E$5:$E$300,$B131,Закрытые!$B$5:$B$300,"L-*"))</f>
        <v/>
      </c>
      <c r="F131" s="240" t="str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 t="str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 t="str">
        <f>IF(F131="","",SUMIFS(Лэндинг!$K$5:$K$300,Лэндинг!$E$5:$E$300,$B131)+SUMIFS(Закрытые!$K$5:$K$300,Закрытые!$E$5:$E$300,$B131,Закрытые!$B$5:$B$300,"L-*"))</f>
        <v/>
      </c>
      <c r="I131" s="240" t="str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 t="str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 t="str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 t="str">
        <f>IF(C132="","",SUMIFS(Лэндинг!$H$5:$H$300,Лэндинг!$E$5:$E$300,$B132)+SUMIFS(Закрытые!$H$5:$H$300,Закрытые!$E$5:$E$300,$B132,Закрытые!$B$5:$B$300,"L-*"))</f>
        <v/>
      </c>
      <c r="F132" s="246" t="str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 t="str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 t="str">
        <f>IF(F132="","",SUMIFS(Лэндинг!$K$5:$K$300,Лэндинг!$E$5:$E$300,$B132)+SUMIFS(Закрытые!$K$5:$K$300,Закрытые!$E$5:$E$300,$B132,Закрытые!$B$5:$B$300,"L-*"))</f>
        <v/>
      </c>
      <c r="I132" s="246" t="str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 t="str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 t="str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 t="str">
        <f>IF(C133="","",SUMIFS(Лэндинг!$H$5:$H$300,Лэндинг!$E$5:$E$300,$B133)+SUMIFS(Закрытые!$H$5:$H$300,Закрытые!$E$5:$E$300,$B133,Закрытые!$B$5:$B$300,"L-*"))</f>
        <v/>
      </c>
      <c r="F133" s="240" t="str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 t="str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 t="str">
        <f>IF(F133="","",SUMIFS(Лэндинг!$K$5:$K$300,Лэндинг!$E$5:$E$300,$B133)+SUMIFS(Закрытые!$K$5:$K$300,Закрытые!$E$5:$E$300,$B133,Закрытые!$B$5:$B$300,"L-*"))</f>
        <v/>
      </c>
      <c r="I133" s="240" t="str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 t="str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 t="str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 t="str">
        <f>IF(C134="","",SUMIFS(Лэндинг!$H$5:$H$300,Лэндинг!$E$5:$E$300,$B134)+SUMIFS(Закрытые!$H$5:$H$300,Закрытые!$E$5:$E$300,$B134,Закрытые!$B$5:$B$300,"L-*"))</f>
        <v/>
      </c>
      <c r="F134" s="246" t="str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 t="str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 t="str">
        <f>IF(F134="","",SUMIFS(Лэндинг!$K$5:$K$300,Лэндинг!$E$5:$E$300,$B134)+SUMIFS(Закрытые!$K$5:$K$300,Закрытые!$E$5:$E$300,$B134,Закрытые!$B$5:$B$300,"L-*"))</f>
        <v/>
      </c>
      <c r="I134" s="246" t="str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 t="str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 t="str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 t="str">
        <f>IF(C135="","",SUMIFS(Лэндинг!$H$5:$H$300,Лэндинг!$E$5:$E$300,$B135)+SUMIFS(Закрытые!$H$5:$H$300,Закрытые!$E$5:$E$300,$B135,Закрытые!$B$5:$B$300,"L-*"))</f>
        <v/>
      </c>
      <c r="F135" s="240" t="str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 t="str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 t="str">
        <f>IF(F135="","",SUMIFS(Лэндинг!$K$5:$K$300,Лэндинг!$E$5:$E$300,$B135)+SUMIFS(Закрытые!$K$5:$K$300,Закрытые!$E$5:$E$300,$B135,Закрытые!$B$5:$B$300,"L-*"))</f>
        <v/>
      </c>
      <c r="I135" s="240" t="str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 t="str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 t="str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 t="str">
        <f>IF(C136="","",SUMIFS(Лэндинг!$H$5:$H$300,Лэндинг!$E$5:$E$300,$B136)+SUMIFS(Закрытые!$H$5:$H$300,Закрытые!$E$5:$E$300,$B136,Закрытые!$B$5:$B$300,"L-*"))</f>
        <v/>
      </c>
      <c r="F136" s="246" t="str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 t="str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 t="str">
        <f>IF(F136="","",SUMIFS(Лэндинг!$K$5:$K$300,Лэндинг!$E$5:$E$300,$B136)+SUMIFS(Закрытые!$K$5:$K$300,Закрытые!$E$5:$E$300,$B136,Закрытые!$B$5:$B$300,"L-*"))</f>
        <v/>
      </c>
      <c r="I136" s="246" t="str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 t="str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 t="str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 t="str">
        <f>IF(C137="","",SUMIFS(Лэндинг!$H$5:$H$300,Лэндинг!$E$5:$E$300,$B137)+SUMIFS(Закрытые!$H$5:$H$300,Закрытые!$E$5:$E$300,$B137,Закрытые!$B$5:$B$300,"L-*"))</f>
        <v/>
      </c>
      <c r="F137" s="240" t="str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 t="str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 t="str">
        <f>IF(F137="","",SUMIFS(Лэндинг!$K$5:$K$300,Лэндинг!$E$5:$E$300,$B137)+SUMIFS(Закрытые!$K$5:$K$300,Закрытые!$E$5:$E$300,$B137,Закрытые!$B$5:$B$300,"L-*"))</f>
        <v/>
      </c>
      <c r="I137" s="240" t="str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 t="str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 t="str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 t="str">
        <f>IF(C138="","",SUMIFS(Лэндинг!$H$5:$H$300,Лэндинг!$E$5:$E$300,$B138)+SUMIFS(Закрытые!$H$5:$H$300,Закрытые!$E$5:$E$300,$B138,Закрытые!$B$5:$B$300,"L-*"))</f>
        <v/>
      </c>
      <c r="F138" s="246" t="str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 t="str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 t="str">
        <f>IF(F138="","",SUMIFS(Лэндинг!$K$5:$K$300,Лэндинг!$E$5:$E$300,$B138)+SUMIFS(Закрытые!$K$5:$K$300,Закрытые!$E$5:$E$300,$B138,Закрытые!$B$5:$B$300,"L-*"))</f>
        <v/>
      </c>
      <c r="I138" s="246" t="str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 t="str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 t="str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 t="str">
        <f>IF(C139="","",SUMIFS(Лэндинг!$H$5:$H$300,Лэндинг!$E$5:$E$300,$B139)+SUMIFS(Закрытые!$H$5:$H$300,Закрытые!$E$5:$E$300,$B139,Закрытые!$B$5:$B$300,"L-*"))</f>
        <v/>
      </c>
      <c r="F139" s="240" t="str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 t="str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 t="str">
        <f>IF(F139="","",SUMIFS(Лэндинг!$K$5:$K$300,Лэндинг!$E$5:$E$300,$B139)+SUMIFS(Закрытые!$K$5:$K$300,Закрытые!$E$5:$E$300,$B139,Закрытые!$B$5:$B$300,"L-*"))</f>
        <v/>
      </c>
      <c r="I139" s="240" t="str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 t="str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 t="str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 t="str">
        <f>IF(C140="","",SUMIFS(Лэндинг!$H$5:$H$300,Лэндинг!$E$5:$E$300,$B140)+SUMIFS(Закрытые!$H$5:$H$300,Закрытые!$E$5:$E$300,$B140,Закрытые!$B$5:$B$300,"L-*"))</f>
        <v/>
      </c>
      <c r="F140" s="246" t="str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 t="str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 t="str">
        <f>IF(F140="","",SUMIFS(Лэндинг!$K$5:$K$300,Лэндинг!$E$5:$E$300,$B140)+SUMIFS(Закрытые!$K$5:$K$300,Закрытые!$E$5:$E$300,$B140,Закрытые!$B$5:$B$300,"L-*"))</f>
        <v/>
      </c>
      <c r="I140" s="246" t="str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 t="str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 t="str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 t="str">
        <f>IF(C141="","",SUMIFS(Лэндинг!$H$5:$H$300,Лэндинг!$E$5:$E$300,$B141)+SUMIFS(Закрытые!$H$5:$H$300,Закрытые!$E$5:$E$300,$B141,Закрытые!$B$5:$B$300,"L-*"))</f>
        <v/>
      </c>
      <c r="F141" s="240" t="str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 t="str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 t="str">
        <f>IF(F141="","",SUMIFS(Лэндинг!$K$5:$K$300,Лэндинг!$E$5:$E$300,$B141)+SUMIFS(Закрытые!$K$5:$K$300,Закрытые!$E$5:$E$300,$B141,Закрытые!$B$5:$B$300,"L-*"))</f>
        <v/>
      </c>
      <c r="I141" s="240" t="str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 t="str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 t="str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 t="str">
        <f>IF(C142="","",SUMIFS(Лэндинг!$H$5:$H$300,Лэндинг!$E$5:$E$300,$B142)+SUMIFS(Закрытые!$H$5:$H$300,Закрытые!$E$5:$E$300,$B142,Закрытые!$B$5:$B$300,"L-*"))</f>
        <v/>
      </c>
      <c r="F142" s="246" t="str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 t="str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 t="str">
        <f>IF(F142="","",SUMIFS(Лэндинг!$K$5:$K$300,Лэндинг!$E$5:$E$300,$B142)+SUMIFS(Закрытые!$K$5:$K$300,Закрытые!$E$5:$E$300,$B142,Закрытые!$B$5:$B$300,"L-*"))</f>
        <v/>
      </c>
      <c r="I142" s="246" t="str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 t="str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 t="str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 t="str">
        <f>IF(C143="","",SUMIFS(Лэндинг!$H$5:$H$300,Лэндинг!$E$5:$E$300,$B143)+SUMIFS(Закрытые!$H$5:$H$300,Закрытые!$E$5:$E$300,$B143,Закрытые!$B$5:$B$300,"L-*"))</f>
        <v/>
      </c>
      <c r="F143" s="240" t="str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 t="str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 t="str">
        <f>IF(F143="","",SUMIFS(Лэндинг!$K$5:$K$300,Лэндинг!$E$5:$E$300,$B143)+SUMIFS(Закрытые!$K$5:$K$300,Закрытые!$E$5:$E$300,$B143,Закрытые!$B$5:$B$300,"L-*"))</f>
        <v/>
      </c>
      <c r="I143" s="240" t="str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 t="str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 t="str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 t="str">
        <f>IF(C144="","",SUMIFS(Лэндинг!$H$5:$H$300,Лэндинг!$E$5:$E$300,$B144)+SUMIFS(Закрытые!$H$5:$H$300,Закрытые!$E$5:$E$300,$B144,Закрытые!$B$5:$B$300,"L-*"))</f>
        <v/>
      </c>
      <c r="F144" s="246" t="str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 t="str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 t="str">
        <f>IF(F144="","",SUMIFS(Лэндинг!$K$5:$K$300,Лэндинг!$E$5:$E$300,$B144)+SUMIFS(Закрытые!$K$5:$K$300,Закрытые!$E$5:$E$300,$B144,Закрытые!$B$5:$B$300,"L-*"))</f>
        <v/>
      </c>
      <c r="I144" s="246" t="str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 t="str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 t="str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 t="str">
        <f>IF(C145="","",SUMIFS(Лэндинг!$H$5:$H$300,Лэндинг!$E$5:$E$300,$B145)+SUMIFS(Закрытые!$H$5:$H$300,Закрытые!$E$5:$E$300,$B145,Закрытые!$B$5:$B$300,"L-*"))</f>
        <v/>
      </c>
      <c r="F145" s="240" t="str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 t="str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 t="str">
        <f>IF(F145="","",SUMIFS(Лэндинг!$K$5:$K$300,Лэндинг!$E$5:$E$300,$B145)+SUMIFS(Закрытые!$K$5:$K$300,Закрытые!$E$5:$E$300,$B145,Закрытые!$B$5:$B$300,"L-*"))</f>
        <v/>
      </c>
      <c r="I145" s="240" t="str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 t="str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 t="str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 t="str">
        <f>IF(C146="","",SUMIFS(Лэндинг!$H$5:$H$300,Лэндинг!$E$5:$E$300,$B146)+SUMIFS(Закрытые!$H$5:$H$300,Закрытые!$E$5:$E$300,$B146,Закрытые!$B$5:$B$300,"L-*"))</f>
        <v/>
      </c>
      <c r="F146" s="246" t="str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 t="str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 t="str">
        <f>IF(F146="","",SUMIFS(Лэндинг!$K$5:$K$300,Лэндинг!$E$5:$E$300,$B146)+SUMIFS(Закрытые!$K$5:$K$300,Закрытые!$E$5:$E$300,$B146,Закрытые!$B$5:$B$300,"L-*"))</f>
        <v/>
      </c>
      <c r="I146" s="246" t="str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 t="str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 t="str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 t="str">
        <f>IF(C147="","",SUMIFS(Лэндинг!$H$5:$H$300,Лэндинг!$E$5:$E$300,$B147)+SUMIFS(Закрытые!$H$5:$H$300,Закрытые!$E$5:$E$300,$B147,Закрытые!$B$5:$B$300,"L-*"))</f>
        <v/>
      </c>
      <c r="F147" s="240" t="str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 t="str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 t="str">
        <f>IF(F147="","",SUMIFS(Лэндинг!$K$5:$K$300,Лэндинг!$E$5:$E$300,$B147)+SUMIFS(Закрытые!$K$5:$K$300,Закрытые!$E$5:$E$300,$B147,Закрытые!$B$5:$B$300,"L-*"))</f>
        <v/>
      </c>
      <c r="I147" s="240" t="str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 t="str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 t="str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 t="str">
        <f>IF(C148="","",SUMIFS(Лэндинг!$H$5:$H$300,Лэндинг!$E$5:$E$300,$B148)+SUMIFS(Закрытые!$H$5:$H$300,Закрытые!$E$5:$E$300,$B148,Закрытые!$B$5:$B$300,"L-*"))</f>
        <v/>
      </c>
      <c r="F148" s="246" t="str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 t="str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 t="str">
        <f>IF(F148="","",SUMIFS(Лэндинг!$K$5:$K$300,Лэндинг!$E$5:$E$300,$B148)+SUMIFS(Закрытые!$K$5:$K$300,Закрытые!$E$5:$E$300,$B148,Закрытые!$B$5:$B$300,"L-*"))</f>
        <v/>
      </c>
      <c r="I148" s="246" t="str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 t="str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 t="str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 t="str">
        <f>IF(C149="","",SUMIFS(Лэндинг!$H$5:$H$300,Лэндинг!$E$5:$E$300,$B149)+SUMIFS(Закрытые!$H$5:$H$300,Закрытые!$E$5:$E$300,$B149,Закрытые!$B$5:$B$300,"L-*"))</f>
        <v/>
      </c>
      <c r="F149" s="240" t="str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 t="str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 t="str">
        <f>IF(F149="","",SUMIFS(Лэндинг!$K$5:$K$300,Лэндинг!$E$5:$E$300,$B149)+SUMIFS(Закрытые!$K$5:$K$300,Закрытые!$E$5:$E$300,$B149,Закрытые!$B$5:$B$300,"L-*"))</f>
        <v/>
      </c>
      <c r="I149" s="240" t="str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 t="str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 t="str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 t="str">
        <f>IF(C150="","",SUMIFS(Лэндинг!$H$5:$H$300,Лэндинг!$E$5:$E$300,$B150)+SUMIFS(Закрытые!$H$5:$H$300,Закрытые!$E$5:$E$300,$B150,Закрытые!$B$5:$B$300,"L-*"))</f>
        <v/>
      </c>
      <c r="F150" s="246" t="str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 t="str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 t="str">
        <f>IF(F150="","",SUMIFS(Лэндинг!$K$5:$K$300,Лэндинг!$E$5:$E$300,$B150)+SUMIFS(Закрытые!$K$5:$K$300,Закрытые!$E$5:$E$300,$B150,Закрытые!$B$5:$B$300,"L-*"))</f>
        <v/>
      </c>
      <c r="I150" s="246" t="str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 t="str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 t="str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 t="str">
        <f>IF(C151="","",SUMIFS(Лэндинг!$H$5:$H$300,Лэндинг!$E$5:$E$300,$B151)+SUMIFS(Закрытые!$H$5:$H$300,Закрытые!$E$5:$E$300,$B151,Закрытые!$B$5:$B$300,"L-*"))</f>
        <v/>
      </c>
      <c r="F151" s="240" t="str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 t="str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 t="str">
        <f>IF(F151="","",SUMIFS(Лэндинг!$K$5:$K$300,Лэндинг!$E$5:$E$300,$B151)+SUMIFS(Закрытые!$K$5:$K$300,Закрытые!$E$5:$E$300,$B151,Закрытые!$B$5:$B$300,"L-*"))</f>
        <v/>
      </c>
      <c r="I151" s="240" t="str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 t="str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 t="str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 t="str">
        <f>IF(C152="","",SUMIFS(Лэндинг!$H$5:$H$300,Лэндинг!$E$5:$E$300,$B152)+SUMIFS(Закрытые!$H$5:$H$300,Закрытые!$E$5:$E$300,$B152,Закрытые!$B$5:$B$300,"L-*"))</f>
        <v/>
      </c>
      <c r="F152" s="246" t="str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 t="str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 t="str">
        <f>IF(F152="","",SUMIFS(Лэндинг!$K$5:$K$300,Лэндинг!$E$5:$E$300,$B152)+SUMIFS(Закрытые!$K$5:$K$300,Закрытые!$E$5:$E$300,$B152,Закрытые!$B$5:$B$300,"L-*"))</f>
        <v/>
      </c>
      <c r="I152" s="246" t="str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 t="str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 t="str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 t="str">
        <f>IF(C153="","",SUMIFS(Лэндинг!$H$5:$H$300,Лэндинг!$E$5:$E$300,$B153)+SUMIFS(Закрытые!$H$5:$H$300,Закрытые!$E$5:$E$300,$B153,Закрытые!$B$5:$B$300,"L-*"))</f>
        <v/>
      </c>
      <c r="F153" s="240" t="str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 t="str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 t="str">
        <f>IF(F153="","",SUMIFS(Лэндинг!$K$5:$K$300,Лэндинг!$E$5:$E$300,$B153)+SUMIFS(Закрытые!$K$5:$K$300,Закрытые!$E$5:$E$300,$B153,Закрытые!$B$5:$B$300,"L-*"))</f>
        <v/>
      </c>
      <c r="I153" s="240" t="str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 t="str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 t="str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 t="str">
        <f>IF(C154="","",SUMIFS(Лэндинг!$H$5:$H$300,Лэндинг!$E$5:$E$300,$B154)+SUMIFS(Закрытые!$H$5:$H$300,Закрытые!$E$5:$E$300,$B154,Закрытые!$B$5:$B$300,"L-*"))</f>
        <v/>
      </c>
      <c r="F154" s="246" t="str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 t="str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 t="str">
        <f>IF(F154="","",SUMIFS(Лэндинг!$K$5:$K$300,Лэндинг!$E$5:$E$300,$B154)+SUMIFS(Закрытые!$K$5:$K$300,Закрытые!$E$5:$E$300,$B154,Закрытые!$B$5:$B$300,"L-*"))</f>
        <v/>
      </c>
      <c r="I154" s="246" t="str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 t="str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 t="str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 t="str">
        <f>IF(C155="","",SUMIFS(Лэндинг!$H$5:$H$300,Лэндинг!$E$5:$E$300,$B155)+SUMIFS(Закрытые!$H$5:$H$300,Закрытые!$E$5:$E$300,$B155,Закрытые!$B$5:$B$300,"L-*"))</f>
        <v/>
      </c>
      <c r="F155" s="240" t="str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 t="str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 t="str">
        <f>IF(F155="","",SUMIFS(Лэндинг!$K$5:$K$300,Лэндинг!$E$5:$E$300,$B155)+SUMIFS(Закрытые!$K$5:$K$300,Закрытые!$E$5:$E$300,$B155,Закрытые!$B$5:$B$300,"L-*"))</f>
        <v/>
      </c>
      <c r="I155" s="240" t="str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 t="str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 t="str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 t="str">
        <f>IF(C156="","",SUMIFS(Лэндинг!$H$5:$H$300,Лэндинг!$E$5:$E$300,$B156)+SUMIFS(Закрытые!$H$5:$H$300,Закрытые!$E$5:$E$300,$B156,Закрытые!$B$5:$B$300,"L-*"))</f>
        <v/>
      </c>
      <c r="F156" s="246" t="str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 t="str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 t="str">
        <f>IF(F156="","",SUMIFS(Лэндинг!$K$5:$K$300,Лэндинг!$E$5:$E$300,$B156)+SUMIFS(Закрытые!$K$5:$K$300,Закрытые!$E$5:$E$300,$B156,Закрытые!$B$5:$B$300,"L-*"))</f>
        <v/>
      </c>
      <c r="I156" s="246" t="str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 t="str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 t="str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 t="str">
        <f>IF(C157="","",SUMIFS(Лэндинг!$H$5:$H$300,Лэндинг!$E$5:$E$300,$B157)+SUMIFS(Закрытые!$H$5:$H$300,Закрытые!$E$5:$E$300,$B157,Закрытые!$B$5:$B$300,"L-*"))</f>
        <v/>
      </c>
      <c r="F157" s="240" t="str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 t="str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 t="str">
        <f>IF(F157="","",SUMIFS(Лэндинг!$K$5:$K$300,Лэндинг!$E$5:$E$300,$B157)+SUMIFS(Закрытые!$K$5:$K$300,Закрытые!$E$5:$E$300,$B157,Закрытые!$B$5:$B$300,"L-*"))</f>
        <v/>
      </c>
      <c r="I157" s="240" t="str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 t="str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 t="str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 t="str">
        <f>IF(C158="","",SUMIFS(Лэндинг!$H$5:$H$300,Лэндинг!$E$5:$E$300,$B158)+SUMIFS(Закрытые!$H$5:$H$300,Закрытые!$E$5:$E$300,$B158,Закрытые!$B$5:$B$300,"L-*"))</f>
        <v/>
      </c>
      <c r="F158" s="246" t="str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 t="str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 t="str">
        <f>IF(F158="","",SUMIFS(Лэндинг!$K$5:$K$300,Лэндинг!$E$5:$E$300,$B158)+SUMIFS(Закрытые!$K$5:$K$300,Закрытые!$E$5:$E$300,$B158,Закрытые!$B$5:$B$300,"L-*"))</f>
        <v/>
      </c>
      <c r="I158" s="246" t="str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 t="str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 t="str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 t="str">
        <f>IF(C159="","",SUMIFS(Лэндинг!$H$5:$H$300,Лэндинг!$E$5:$E$300,$B159)+SUMIFS(Закрытые!$H$5:$H$300,Закрытые!$E$5:$E$300,$B159,Закрытые!$B$5:$B$300,"L-*"))</f>
        <v/>
      </c>
      <c r="F159" s="240" t="str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 t="str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 t="str">
        <f>IF(F159="","",SUMIFS(Лэндинг!$K$5:$K$300,Лэндинг!$E$5:$E$300,$B159)+SUMIFS(Закрытые!$K$5:$K$300,Закрытые!$E$5:$E$300,$B159,Закрытые!$B$5:$B$300,"L-*"))</f>
        <v/>
      </c>
      <c r="I159" s="240" t="str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 t="str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 t="str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 t="str">
        <f>IF(C160="","",SUMIFS(Лэндинг!$H$5:$H$300,Лэндинг!$E$5:$E$300,$B160)+SUMIFS(Закрытые!$H$5:$H$300,Закрытые!$E$5:$E$300,$B160,Закрытые!$B$5:$B$300,"L-*"))</f>
        <v/>
      </c>
      <c r="F160" s="246" t="str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 t="str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 t="str">
        <f>IF(F160="","",SUMIFS(Лэндинг!$K$5:$K$300,Лэндинг!$E$5:$E$300,$B160)+SUMIFS(Закрытые!$K$5:$K$300,Закрытые!$E$5:$E$300,$B160,Закрытые!$B$5:$B$300,"L-*"))</f>
        <v/>
      </c>
      <c r="I160" s="246" t="str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 t="str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 t="str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 t="str">
        <f>IF(C161="","",SUMIFS(Лэндинг!$H$5:$H$300,Лэндинг!$E$5:$E$300,$B161)+SUMIFS(Закрытые!$H$5:$H$300,Закрытые!$E$5:$E$300,$B161,Закрытые!$B$5:$B$300,"L-*"))</f>
        <v/>
      </c>
      <c r="F161" s="240" t="str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 t="str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 t="str">
        <f>IF(F161="","",SUMIFS(Лэндинг!$K$5:$K$300,Лэндинг!$E$5:$E$300,$B161)+SUMIFS(Закрытые!$K$5:$K$300,Закрытые!$E$5:$E$300,$B161,Закрытые!$B$5:$B$300,"L-*"))</f>
        <v/>
      </c>
      <c r="I161" s="240" t="str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 t="str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 t="str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 t="str">
        <f>IF(C162="","",SUMIFS(Лэндинг!$H$5:$H$300,Лэндинг!$E$5:$E$300,$B162)+SUMIFS(Закрытые!$H$5:$H$300,Закрытые!$E$5:$E$300,$B162,Закрытые!$B$5:$B$300,"L-*"))</f>
        <v/>
      </c>
      <c r="F162" s="246" t="str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 t="str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 t="str">
        <f>IF(F162="","",SUMIFS(Лэндинг!$K$5:$K$300,Лэндинг!$E$5:$E$300,$B162)+SUMIFS(Закрытые!$K$5:$K$300,Закрытые!$E$5:$E$300,$B162,Закрытые!$B$5:$B$300,"L-*"))</f>
        <v/>
      </c>
      <c r="I162" s="246" t="str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 t="str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 t="str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 t="str">
        <f>IF(C163="","",SUMIFS(Лэндинг!$H$5:$H$300,Лэндинг!$E$5:$E$300,$B163)+SUMIFS(Закрытые!$H$5:$H$300,Закрытые!$E$5:$E$300,$B163,Закрытые!$B$5:$B$300,"L-*"))</f>
        <v/>
      </c>
      <c r="F163" s="240" t="str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 t="str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 t="str">
        <f>IF(F163="","",SUMIFS(Лэндинг!$K$5:$K$300,Лэндинг!$E$5:$E$300,$B163)+SUMIFS(Закрытые!$K$5:$K$300,Закрытые!$E$5:$E$300,$B163,Закрытые!$B$5:$B$300,"L-*"))</f>
        <v/>
      </c>
      <c r="I163" s="240" t="str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 t="str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 t="str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 t="str">
        <f>IF(C164="","",SUMIFS(Лэндинг!$H$5:$H$300,Лэндинг!$E$5:$E$300,$B164)+SUMIFS(Закрытые!$H$5:$H$300,Закрытые!$E$5:$E$300,$B164,Закрытые!$B$5:$B$300,"L-*"))</f>
        <v/>
      </c>
      <c r="F164" s="246" t="str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 t="str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 t="str">
        <f>IF(F164="","",SUMIFS(Лэндинг!$K$5:$K$300,Лэндинг!$E$5:$E$300,$B164)+SUMIFS(Закрытые!$K$5:$K$300,Закрытые!$E$5:$E$300,$B164,Закрытые!$B$5:$B$300,"L-*"))</f>
        <v/>
      </c>
      <c r="I164" s="246" t="str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 t="str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 t="str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 t="str">
        <f>IF(C165="","",SUMIFS(Лэндинг!$H$5:$H$300,Лэндинг!$E$5:$E$300,$B165)+SUMIFS(Закрытые!$H$5:$H$300,Закрытые!$E$5:$E$300,$B165,Закрытые!$B$5:$B$300,"L-*"))</f>
        <v/>
      </c>
      <c r="F165" s="240" t="str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 t="str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 t="str">
        <f>IF(F165="","",SUMIFS(Лэндинг!$K$5:$K$300,Лэндинг!$E$5:$E$300,$B165)+SUMIFS(Закрытые!$K$5:$K$300,Закрытые!$E$5:$E$300,$B165,Закрытые!$B$5:$B$300,"L-*"))</f>
        <v/>
      </c>
      <c r="I165" s="240" t="str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 t="str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 t="str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 t="str">
        <f>IF(C166="","",SUMIFS(Лэндинг!$H$5:$H$300,Лэндинг!$E$5:$E$300,$B166)+SUMIFS(Закрытые!$H$5:$H$300,Закрытые!$E$5:$E$300,$B166,Закрытые!$B$5:$B$300,"L-*"))</f>
        <v/>
      </c>
      <c r="F166" s="246" t="str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 t="str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 t="str">
        <f>IF(F166="","",SUMIFS(Лэндинг!$K$5:$K$300,Лэндинг!$E$5:$E$300,$B166)+SUMIFS(Закрытые!$K$5:$K$300,Закрытые!$E$5:$E$300,$B166,Закрытые!$B$5:$B$300,"L-*"))</f>
        <v/>
      </c>
      <c r="I166" s="246" t="str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 t="str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 t="str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 t="str">
        <f>IF(C167="","",SUMIFS(Лэндинг!$H$5:$H$300,Лэндинг!$E$5:$E$300,$B167)+SUMIFS(Закрытые!$H$5:$H$300,Закрытые!$E$5:$E$300,$B167,Закрытые!$B$5:$B$300,"L-*"))</f>
        <v/>
      </c>
      <c r="F167" s="240" t="str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 t="str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 t="str">
        <f>IF(F167="","",SUMIFS(Лэндинг!$K$5:$K$300,Лэндинг!$E$5:$E$300,$B167)+SUMIFS(Закрытые!$K$5:$K$300,Закрытые!$E$5:$E$300,$B167,Закрытые!$B$5:$B$300,"L-*"))</f>
        <v/>
      </c>
      <c r="I167" s="240" t="str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 t="str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 t="str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 t="str">
        <f>IF(C168="","",SUMIFS(Лэндинг!$H$5:$H$300,Лэндинг!$E$5:$E$300,$B168)+SUMIFS(Закрытые!$H$5:$H$300,Закрытые!$E$5:$E$300,$B168,Закрытые!$B$5:$B$300,"L-*"))</f>
        <v/>
      </c>
      <c r="F168" s="246" t="str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 t="str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 t="str">
        <f>IF(F168="","",SUMIFS(Лэндинг!$K$5:$K$300,Лэндинг!$E$5:$E$300,$B168)+SUMIFS(Закрытые!$K$5:$K$300,Закрытые!$E$5:$E$300,$B168,Закрытые!$B$5:$B$300,"L-*"))</f>
        <v/>
      </c>
      <c r="I168" s="246" t="str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 t="str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 t="str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 t="str">
        <f>IF(C169="","",SUMIFS(Лэндинг!$H$5:$H$300,Лэндинг!$E$5:$E$300,$B169)+SUMIFS(Закрытые!$H$5:$H$300,Закрытые!$E$5:$E$300,$B169,Закрытые!$B$5:$B$300,"L-*"))</f>
        <v/>
      </c>
      <c r="F169" s="240" t="str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 t="str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 t="str">
        <f>IF(F169="","",SUMIFS(Лэндинг!$K$5:$K$300,Лэндинг!$E$5:$E$300,$B169)+SUMIFS(Закрытые!$K$5:$K$300,Закрытые!$E$5:$E$300,$B169,Закрытые!$B$5:$B$300,"L-*"))</f>
        <v/>
      </c>
      <c r="I169" s="240" t="str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 t="str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 t="str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 t="str">
        <f>IF(C170="","",SUMIFS(Лэндинг!$H$5:$H$300,Лэндинг!$E$5:$E$300,$B170)+SUMIFS(Закрытые!$H$5:$H$300,Закрытые!$E$5:$E$300,$B170,Закрытые!$B$5:$B$300,"L-*"))</f>
        <v/>
      </c>
      <c r="F170" s="246" t="str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 t="str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 t="str">
        <f>IF(F170="","",SUMIFS(Лэндинг!$K$5:$K$300,Лэндинг!$E$5:$E$300,$B170)+SUMIFS(Закрытые!$K$5:$K$300,Закрытые!$E$5:$E$300,$B170,Закрытые!$B$5:$B$300,"L-*"))</f>
        <v/>
      </c>
      <c r="I170" s="246" t="str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 t="str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 t="str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 t="str">
        <f>IF(C171="","",SUMIFS(Лэндинг!$H$5:$H$300,Лэндинг!$E$5:$E$300,$B171)+SUMIFS(Закрытые!$H$5:$H$300,Закрытые!$E$5:$E$300,$B171,Закрытые!$B$5:$B$300,"L-*"))</f>
        <v/>
      </c>
      <c r="F171" s="240" t="str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 t="str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 t="str">
        <f>IF(F171="","",SUMIFS(Лэндинг!$K$5:$K$300,Лэндинг!$E$5:$E$300,$B171)+SUMIFS(Закрытые!$K$5:$K$300,Закрытые!$E$5:$E$300,$B171,Закрытые!$B$5:$B$300,"L-*"))</f>
        <v/>
      </c>
      <c r="I171" s="240" t="str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 t="str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 t="str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 t="str">
        <f>IF(C172="","",SUMIFS(Лэндинг!$H$5:$H$300,Лэндинг!$E$5:$E$300,$B172)+SUMIFS(Закрытые!$H$5:$H$300,Закрытые!$E$5:$E$300,$B172,Закрытые!$B$5:$B$300,"L-*"))</f>
        <v/>
      </c>
      <c r="F172" s="246" t="str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 t="str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 t="str">
        <f>IF(F172="","",SUMIFS(Лэндинг!$K$5:$K$300,Лэндинг!$E$5:$E$300,$B172)+SUMIFS(Закрытые!$K$5:$K$300,Закрытые!$E$5:$E$300,$B172,Закрытые!$B$5:$B$300,"L-*"))</f>
        <v/>
      </c>
      <c r="I172" s="246" t="str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 t="str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 t="str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 t="str">
        <f>IF(C173="","",SUMIFS(Лэндинг!$H$5:$H$300,Лэндинг!$E$5:$E$300,$B173)+SUMIFS(Закрытые!$H$5:$H$300,Закрытые!$E$5:$E$300,$B173,Закрытые!$B$5:$B$300,"L-*"))</f>
        <v/>
      </c>
      <c r="F173" s="240" t="str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 t="str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 t="str">
        <f>IF(F173="","",SUMIFS(Лэндинг!$K$5:$K$300,Лэндинг!$E$5:$E$300,$B173)+SUMIFS(Закрытые!$K$5:$K$300,Закрытые!$E$5:$E$300,$B173,Закрытые!$B$5:$B$300,"L-*"))</f>
        <v/>
      </c>
      <c r="I173" s="240" t="str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 t="str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 t="str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 t="str">
        <f>IF(C174="","",SUMIFS(Лэндинг!$H$5:$H$300,Лэндинг!$E$5:$E$300,$B174)+SUMIFS(Закрытые!$H$5:$H$300,Закрытые!$E$5:$E$300,$B174,Закрытые!$B$5:$B$300,"L-*"))</f>
        <v/>
      </c>
      <c r="F174" s="246" t="str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 t="str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 t="str">
        <f>IF(F174="","",SUMIFS(Лэндинг!$K$5:$K$300,Лэндинг!$E$5:$E$300,$B174)+SUMIFS(Закрытые!$K$5:$K$300,Закрытые!$E$5:$E$300,$B174,Закрытые!$B$5:$B$300,"L-*"))</f>
        <v/>
      </c>
      <c r="I174" s="246" t="str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 t="str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 t="str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 t="str">
        <f>IF(C175="","",SUMIFS(Лэндинг!$H$5:$H$300,Лэндинг!$E$5:$E$300,$B175)+SUMIFS(Закрытые!$H$5:$H$300,Закрытые!$E$5:$E$300,$B175,Закрытые!$B$5:$B$300,"L-*"))</f>
        <v/>
      </c>
      <c r="F175" s="240" t="str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 t="str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 t="str">
        <f>IF(F175="","",SUMIFS(Лэндинг!$K$5:$K$300,Лэндинг!$E$5:$E$300,$B175)+SUMIFS(Закрытые!$K$5:$K$300,Закрытые!$E$5:$E$300,$B175,Закрытые!$B$5:$B$300,"L-*"))</f>
        <v/>
      </c>
      <c r="I175" s="240" t="str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 t="str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 t="str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 t="str">
        <f>IF(C176="","",SUMIFS(Лэндинг!$H$5:$H$300,Лэндинг!$E$5:$E$300,$B176)+SUMIFS(Закрытые!$H$5:$H$300,Закрытые!$E$5:$E$300,$B176,Закрытые!$B$5:$B$300,"L-*"))</f>
        <v/>
      </c>
      <c r="F176" s="246" t="str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 t="str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 t="str">
        <f>IF(F176="","",SUMIFS(Лэндинг!$K$5:$K$300,Лэндинг!$E$5:$E$300,$B176)+SUMIFS(Закрытые!$K$5:$K$300,Закрытые!$E$5:$E$300,$B176,Закрытые!$B$5:$B$300,"L-*"))</f>
        <v/>
      </c>
      <c r="I176" s="246" t="str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 t="str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 t="str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 t="str">
        <f>IF(C177="","",SUMIFS(Лэндинг!$H$5:$H$300,Лэндинг!$E$5:$E$300,$B177)+SUMIFS(Закрытые!$H$5:$H$300,Закрытые!$E$5:$E$300,$B177,Закрытые!$B$5:$B$300,"L-*"))</f>
        <v/>
      </c>
      <c r="F177" s="240" t="str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 t="str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 t="str">
        <f>IF(F177="","",SUMIFS(Лэндинг!$K$5:$K$300,Лэндинг!$E$5:$E$300,$B177)+SUMIFS(Закрытые!$K$5:$K$300,Закрытые!$E$5:$E$300,$B177,Закрытые!$B$5:$B$300,"L-*"))</f>
        <v/>
      </c>
      <c r="I177" s="240" t="str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 t="str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 t="str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 t="str">
        <f>IF(C178="","",SUMIFS(Лэндинг!$H$5:$H$300,Лэндинг!$E$5:$E$300,$B178)+SUMIFS(Закрытые!$H$5:$H$300,Закрытые!$E$5:$E$300,$B178,Закрытые!$B$5:$B$300,"L-*"))</f>
        <v/>
      </c>
      <c r="F178" s="246" t="str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 t="str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 t="str">
        <f>IF(F178="","",SUMIFS(Лэндинг!$K$5:$K$300,Лэндинг!$E$5:$E$300,$B178)+SUMIFS(Закрытые!$K$5:$K$300,Закрытые!$E$5:$E$300,$B178,Закрытые!$B$5:$B$300,"L-*"))</f>
        <v/>
      </c>
      <c r="I178" s="246" t="str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 t="str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 t="str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 t="str">
        <f>IF(C179="","",SUMIFS(Лэндинг!$H$5:$H$300,Лэндинг!$E$5:$E$300,$B179)+SUMIFS(Закрытые!$H$5:$H$300,Закрытые!$E$5:$E$300,$B179,Закрытые!$B$5:$B$300,"L-*"))</f>
        <v/>
      </c>
      <c r="F179" s="240" t="str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 t="str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 t="str">
        <f>IF(F179="","",SUMIFS(Лэндинг!$K$5:$K$300,Лэндинг!$E$5:$E$300,$B179)+SUMIFS(Закрытые!$K$5:$K$300,Закрытые!$E$5:$E$300,$B179,Закрытые!$B$5:$B$300,"L-*"))</f>
        <v/>
      </c>
      <c r="I179" s="240" t="str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 t="str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 t="str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 t="str">
        <f>IF(C180="","",SUMIFS(Лэндинг!$H$5:$H$300,Лэндинг!$E$5:$E$300,$B180)+SUMIFS(Закрытые!$H$5:$H$300,Закрытые!$E$5:$E$300,$B180,Закрытые!$B$5:$B$300,"L-*"))</f>
        <v/>
      </c>
      <c r="F180" s="246" t="str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 t="str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 t="str">
        <f>IF(F180="","",SUMIFS(Лэндинг!$K$5:$K$300,Лэндинг!$E$5:$E$300,$B180)+SUMIFS(Закрытые!$K$5:$K$300,Закрытые!$E$5:$E$300,$B180,Закрытые!$B$5:$B$300,"L-*"))</f>
        <v/>
      </c>
      <c r="I180" s="246" t="str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 t="str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 t="str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 t="str">
        <f>IF(C181="","",SUMIFS(Лэндинг!$H$5:$H$300,Лэндинг!$E$5:$E$300,$B181)+SUMIFS(Закрытые!$H$5:$H$300,Закрытые!$E$5:$E$300,$B181,Закрытые!$B$5:$B$300,"L-*"))</f>
        <v/>
      </c>
      <c r="F181" s="240" t="str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 t="str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 t="str">
        <f>IF(F181="","",SUMIFS(Лэндинг!$K$5:$K$300,Лэндинг!$E$5:$E$300,$B181)+SUMIFS(Закрытые!$K$5:$K$300,Закрытые!$E$5:$E$300,$B181,Закрытые!$B$5:$B$300,"L-*"))</f>
        <v/>
      </c>
      <c r="I181" s="240" t="str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 t="str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 t="str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 t="str">
        <f>IF(C182="","",SUMIFS(Лэндинг!$H$5:$H$300,Лэндинг!$E$5:$E$300,$B182)+SUMIFS(Закрытые!$H$5:$H$300,Закрытые!$E$5:$E$300,$B182,Закрытые!$B$5:$B$300,"L-*"))</f>
        <v/>
      </c>
      <c r="F182" s="246" t="str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 t="str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 t="str">
        <f>IF(F182="","",SUMIFS(Лэндинг!$K$5:$K$300,Лэндинг!$E$5:$E$300,$B182)+SUMIFS(Закрытые!$K$5:$K$300,Закрытые!$E$5:$E$300,$B182,Закрытые!$B$5:$B$300,"L-*"))</f>
        <v/>
      </c>
      <c r="I182" s="246" t="str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 t="str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 t="str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 t="str">
        <f>IF(C183="","",SUMIFS(Лэндинг!$H$5:$H$300,Лэндинг!$E$5:$E$300,$B183)+SUMIFS(Закрытые!$H$5:$H$300,Закрытые!$E$5:$E$300,$B183,Закрытые!$B$5:$B$300,"L-*"))</f>
        <v/>
      </c>
      <c r="F183" s="240" t="str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 t="str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 t="str">
        <f>IF(F183="","",SUMIFS(Лэндинг!$K$5:$K$300,Лэндинг!$E$5:$E$300,$B183)+SUMIFS(Закрытые!$K$5:$K$300,Закрытые!$E$5:$E$300,$B183,Закрытые!$B$5:$B$300,"L-*"))</f>
        <v/>
      </c>
      <c r="I183" s="240" t="str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 t="str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 t="str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 t="str">
        <f>IF(C184="","",SUMIFS(Лэндинг!$H$5:$H$300,Лэндинг!$E$5:$E$300,$B184)+SUMIFS(Закрытые!$H$5:$H$300,Закрытые!$E$5:$E$300,$B184,Закрытые!$B$5:$B$300,"L-*"))</f>
        <v/>
      </c>
      <c r="F184" s="246" t="str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 t="str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 t="str">
        <f>IF(F184="","",SUMIFS(Лэндинг!$K$5:$K$300,Лэндинг!$E$5:$E$300,$B184)+SUMIFS(Закрытые!$K$5:$K$300,Закрытые!$E$5:$E$300,$B184,Закрытые!$B$5:$B$300,"L-*"))</f>
        <v/>
      </c>
      <c r="I184" s="246" t="str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 t="str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 t="str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 t="str">
        <f>IF(C185="","",SUMIFS(Лэндинг!$H$5:$H$300,Лэндинг!$E$5:$E$300,$B185)+SUMIFS(Закрытые!$H$5:$H$300,Закрытые!$E$5:$E$300,$B185,Закрытые!$B$5:$B$300,"L-*"))</f>
        <v/>
      </c>
      <c r="F185" s="240" t="str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 t="str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 t="str">
        <f>IF(F185="","",SUMIFS(Лэндинг!$K$5:$K$300,Лэндинг!$E$5:$E$300,$B185)+SUMIFS(Закрытые!$K$5:$K$300,Закрытые!$E$5:$E$300,$B185,Закрытые!$B$5:$B$300,"L-*"))</f>
        <v/>
      </c>
      <c r="I185" s="240" t="str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 t="str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 t="str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 t="str">
        <f>IF(C186="","",SUMIFS(Лэндинг!$H$5:$H$300,Лэндинг!$E$5:$E$300,$B186)+SUMIFS(Закрытые!$H$5:$H$300,Закрытые!$E$5:$E$300,$B186,Закрытые!$B$5:$B$300,"L-*"))</f>
        <v/>
      </c>
      <c r="F186" s="246" t="str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 t="str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 t="str">
        <f>IF(F186="","",SUMIFS(Лэндинг!$K$5:$K$300,Лэндинг!$E$5:$E$300,$B186)+SUMIFS(Закрытые!$K$5:$K$300,Закрытые!$E$5:$E$300,$B186,Закрытые!$B$5:$B$300,"L-*"))</f>
        <v/>
      </c>
      <c r="I186" s="246" t="str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 t="str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 t="str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 t="str">
        <f>IF(C187="","",SUMIFS(Лэндинг!$H$5:$H$300,Лэндинг!$E$5:$E$300,$B187)+SUMIFS(Закрытые!$H$5:$H$300,Закрытые!$E$5:$E$300,$B187,Закрытые!$B$5:$B$300,"L-*"))</f>
        <v/>
      </c>
      <c r="F187" s="240" t="str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 t="str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 t="str">
        <f>IF(F187="","",SUMIFS(Лэндинг!$K$5:$K$300,Лэндинг!$E$5:$E$300,$B187)+SUMIFS(Закрытые!$K$5:$K$300,Закрытые!$E$5:$E$300,$B187,Закрытые!$B$5:$B$300,"L-*"))</f>
        <v/>
      </c>
      <c r="I187" s="240" t="str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 t="str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 t="str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 t="str">
        <f>IF(C188="","",SUMIFS(Лэндинг!$H$5:$H$300,Лэндинг!$E$5:$E$300,$B188)+SUMIFS(Закрытые!$H$5:$H$300,Закрытые!$E$5:$E$300,$B188,Закрытые!$B$5:$B$300,"L-*"))</f>
        <v/>
      </c>
      <c r="F188" s="246" t="str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 t="str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 t="str">
        <f>IF(F188="","",SUMIFS(Лэндинг!$K$5:$K$300,Лэндинг!$E$5:$E$300,$B188)+SUMIFS(Закрытые!$K$5:$K$300,Закрытые!$E$5:$E$300,$B188,Закрытые!$B$5:$B$300,"L-*"))</f>
        <v/>
      </c>
      <c r="I188" s="246" t="str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 t="str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 t="str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 t="str">
        <f>IF(C189="","",SUMIFS(Лэндинг!$H$5:$H$300,Лэндинг!$E$5:$E$300,$B189)+SUMIFS(Закрытые!$H$5:$H$300,Закрытые!$E$5:$E$300,$B189,Закрытые!$B$5:$B$300,"L-*"))</f>
        <v/>
      </c>
      <c r="F189" s="240" t="str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 t="str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 t="str">
        <f>IF(F189="","",SUMIFS(Лэндинг!$K$5:$K$300,Лэндинг!$E$5:$E$300,$B189)+SUMIFS(Закрытые!$K$5:$K$300,Закрытые!$E$5:$E$300,$B189,Закрытые!$B$5:$B$300,"L-*"))</f>
        <v/>
      </c>
      <c r="I189" s="240" t="str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 t="str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 t="str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 t="str">
        <f>IF(C190="","",SUMIFS(Лэндинг!$H$5:$H$300,Лэндинг!$E$5:$E$300,$B190)+SUMIFS(Закрытые!$H$5:$H$300,Закрытые!$E$5:$E$300,$B190,Закрытые!$B$5:$B$300,"L-*"))</f>
        <v/>
      </c>
      <c r="F190" s="246" t="str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 t="str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 t="str">
        <f>IF(F190="","",SUMIFS(Лэндинг!$K$5:$K$300,Лэндинг!$E$5:$E$300,$B190)+SUMIFS(Закрытые!$K$5:$K$300,Закрытые!$E$5:$E$300,$B190,Закрытые!$B$5:$B$300,"L-*"))</f>
        <v/>
      </c>
      <c r="I190" s="246" t="str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 t="str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 t="str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 t="str">
        <f>IF(C191="","",SUMIFS(Лэндинг!$H$5:$H$300,Лэндинг!$E$5:$E$300,$B191)+SUMIFS(Закрытые!$H$5:$H$300,Закрытые!$E$5:$E$300,$B191,Закрытые!$B$5:$B$300,"L-*"))</f>
        <v/>
      </c>
      <c r="F191" s="240" t="str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 t="str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 t="str">
        <f>IF(F191="","",SUMIFS(Лэндинг!$K$5:$K$300,Лэндинг!$E$5:$E$300,$B191)+SUMIFS(Закрытые!$K$5:$K$300,Закрытые!$E$5:$E$300,$B191,Закрытые!$B$5:$B$300,"L-*"))</f>
        <v/>
      </c>
      <c r="I191" s="240" t="str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 t="str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 t="str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 t="str">
        <f>IF(C192="","",SUMIFS(Лэндинг!$H$5:$H$300,Лэндинг!$E$5:$E$300,$B192)+SUMIFS(Закрытые!$H$5:$H$300,Закрытые!$E$5:$E$300,$B192,Закрытые!$B$5:$B$300,"L-*"))</f>
        <v/>
      </c>
      <c r="F192" s="246" t="str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 t="str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 t="str">
        <f>IF(F192="","",SUMIFS(Лэндинг!$K$5:$K$300,Лэндинг!$E$5:$E$300,$B192)+SUMIFS(Закрытые!$K$5:$K$300,Закрытые!$E$5:$E$300,$B192,Закрытые!$B$5:$B$300,"L-*"))</f>
        <v/>
      </c>
      <c r="I192" s="246" t="str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 t="str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 t="str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 t="str">
        <f>IF(C193="","",SUMIFS(Лэндинг!$H$5:$H$300,Лэндинг!$E$5:$E$300,$B193)+SUMIFS(Закрытые!$H$5:$H$300,Закрытые!$E$5:$E$300,$B193,Закрытые!$B$5:$B$300,"L-*"))</f>
        <v/>
      </c>
      <c r="F193" s="240" t="str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 t="str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 t="str">
        <f>IF(F193="","",SUMIFS(Лэндинг!$K$5:$K$300,Лэндинг!$E$5:$E$300,$B193)+SUMIFS(Закрытые!$K$5:$K$300,Закрытые!$E$5:$E$300,$B193,Закрытые!$B$5:$B$300,"L-*"))</f>
        <v/>
      </c>
      <c r="I193" s="240" t="str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 t="str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 t="str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 t="str">
        <f>IF(C194="","",SUMIFS(Лэндинг!$H$5:$H$300,Лэндинг!$E$5:$E$300,$B194)+SUMIFS(Закрытые!$H$5:$H$300,Закрытые!$E$5:$E$300,$B194,Закрытые!$B$5:$B$300,"L-*"))</f>
        <v/>
      </c>
      <c r="F194" s="246" t="str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 t="str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 t="str">
        <f>IF(F194="","",SUMIFS(Лэндинг!$K$5:$K$300,Лэндинг!$E$5:$E$300,$B194)+SUMIFS(Закрытые!$K$5:$K$300,Закрытые!$E$5:$E$300,$B194,Закрытые!$B$5:$B$300,"L-*"))</f>
        <v/>
      </c>
      <c r="I194" s="246" t="str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 t="str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 t="str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 t="str">
        <f>IF(C195="","",SUMIFS(Лэндинг!$H$5:$H$300,Лэндинг!$E$5:$E$300,$B195)+SUMIFS(Закрытые!$H$5:$H$300,Закрытые!$E$5:$E$300,$B195,Закрытые!$B$5:$B$300,"L-*"))</f>
        <v/>
      </c>
      <c r="F195" s="240" t="str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 t="str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 t="str">
        <f>IF(F195="","",SUMIFS(Лэндинг!$K$5:$K$300,Лэндинг!$E$5:$E$300,$B195)+SUMIFS(Закрытые!$K$5:$K$300,Закрытые!$E$5:$E$300,$B195,Закрытые!$B$5:$B$300,"L-*"))</f>
        <v/>
      </c>
      <c r="I195" s="240" t="str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 t="str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 t="str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 t="str">
        <f>IF(C196="","",SUMIFS(Лэндинг!$H$5:$H$300,Лэндинг!$E$5:$E$300,$B196)+SUMIFS(Закрытые!$H$5:$H$300,Закрытые!$E$5:$E$300,$B196,Закрытые!$B$5:$B$300,"L-*"))</f>
        <v/>
      </c>
      <c r="F196" s="246" t="str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 t="str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 t="str">
        <f>IF(F196="","",SUMIFS(Лэндинг!$K$5:$K$300,Лэндинг!$E$5:$E$300,$B196)+SUMIFS(Закрытые!$K$5:$K$300,Закрытые!$E$5:$E$300,$B196,Закрытые!$B$5:$B$300,"L-*"))</f>
        <v/>
      </c>
      <c r="I196" s="246" t="str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 t="str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 t="str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 t="str">
        <f>IF(C197="","",SUMIFS(Лэндинг!$H$5:$H$300,Лэндинг!$E$5:$E$300,$B197)+SUMIFS(Закрытые!$H$5:$H$300,Закрытые!$E$5:$E$300,$B197,Закрытые!$B$5:$B$300,"L-*"))</f>
        <v/>
      </c>
      <c r="F197" s="240" t="str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 t="str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 t="str">
        <f>IF(F197="","",SUMIFS(Лэндинг!$K$5:$K$300,Лэндинг!$E$5:$E$300,$B197)+SUMIFS(Закрытые!$K$5:$K$300,Закрытые!$E$5:$E$300,$B197,Закрытые!$B$5:$B$300,"L-*"))</f>
        <v/>
      </c>
      <c r="I197" s="240" t="str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 t="str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 t="str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 t="str">
        <f>IF(C198="","",SUMIFS(Лэндинг!$H$5:$H$300,Лэндинг!$E$5:$E$300,$B198)+SUMIFS(Закрытые!$H$5:$H$300,Закрытые!$E$5:$E$300,$B198,Закрытые!$B$5:$B$300,"L-*"))</f>
        <v/>
      </c>
      <c r="F198" s="246" t="str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 t="str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 t="str">
        <f>IF(F198="","",SUMIFS(Лэндинг!$K$5:$K$300,Лэндинг!$E$5:$E$300,$B198)+SUMIFS(Закрытые!$K$5:$K$300,Закрытые!$E$5:$E$300,$B198,Закрытые!$B$5:$B$300,"L-*"))</f>
        <v/>
      </c>
      <c r="I198" s="246" t="str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 t="str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 t="str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 t="str">
        <f>IF(C199="","",SUMIFS(Лэндинг!$H$5:$H$300,Лэндинг!$E$5:$E$300,$B199)+SUMIFS(Закрытые!$H$5:$H$300,Закрытые!$E$5:$E$300,$B199,Закрытые!$B$5:$B$300,"L-*"))</f>
        <v/>
      </c>
      <c r="F199" s="240" t="str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 t="str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 t="str">
        <f>IF(F199="","",SUMIFS(Лэндинг!$K$5:$K$300,Лэндинг!$E$5:$E$300,$B199)+SUMIFS(Закрытые!$K$5:$K$300,Закрытые!$E$5:$E$300,$B199,Закрытые!$B$5:$B$300,"L-*"))</f>
        <v/>
      </c>
      <c r="I199" s="240" t="str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 t="str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 t="str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 t="str">
        <f>IF(C200="","",SUMIFS(Лэндинг!$H$5:$H$300,Лэндинг!$E$5:$E$300,$B200)+SUMIFS(Закрытые!$H$5:$H$300,Закрытые!$E$5:$E$300,$B200,Закрытые!$B$5:$B$300,"L-*"))</f>
        <v/>
      </c>
      <c r="F200" s="246" t="str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 t="str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 t="str">
        <f>IF(F200="","",SUMIFS(Лэндинг!$K$5:$K$300,Лэндинг!$E$5:$E$300,$B200)+SUMIFS(Закрытые!$K$5:$K$300,Закрытые!$E$5:$E$300,$B200,Закрытые!$B$5:$B$300,"L-*"))</f>
        <v/>
      </c>
      <c r="I200" s="246" t="str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 t="str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 t="str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 t="str">
        <f>IF(C201="","",SUMIFS(Лэндинг!$H$5:$H$300,Лэндинг!$E$5:$E$300,$B201)+SUMIFS(Закрытые!$H$5:$H$300,Закрытые!$E$5:$E$300,$B201,Закрытые!$B$5:$B$300,"L-*"))</f>
        <v/>
      </c>
      <c r="F201" s="240" t="str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 t="str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 t="str">
        <f>IF(F201="","",SUMIFS(Лэндинг!$K$5:$K$300,Лэндинг!$E$5:$E$300,$B201)+SUMIFS(Закрытые!$K$5:$K$300,Закрытые!$E$5:$E$300,$B201,Закрытые!$B$5:$B$300,"L-*"))</f>
        <v/>
      </c>
      <c r="I201" s="240" t="str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 t="str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 t="str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 t="str">
        <f>IF(C202="","",SUMIFS(Лэндинг!$H$5:$H$300,Лэндинг!$E$5:$E$300,$B202)+SUMIFS(Закрытые!$H$5:$H$300,Закрытые!$E$5:$E$300,$B202,Закрытые!$B$5:$B$300,"L-*"))</f>
        <v/>
      </c>
      <c r="F202" s="246" t="str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 t="str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 t="str">
        <f>IF(F202="","",SUMIFS(Лэндинг!$K$5:$K$300,Лэндинг!$E$5:$E$300,$B202)+SUMIFS(Закрытые!$K$5:$K$300,Закрытые!$E$5:$E$300,$B202,Закрытые!$B$5:$B$300,"L-*"))</f>
        <v/>
      </c>
      <c r="I202" s="246" t="str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 t="str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 t="str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 t="str">
        <f>IF(C203="","",SUMIFS(Лэндинг!$H$5:$H$300,Лэндинг!$E$5:$E$300,$B203)+SUMIFS(Закрытые!$H$5:$H$300,Закрытые!$E$5:$E$300,$B203,Закрытые!$B$5:$B$300,"L-*"))</f>
        <v/>
      </c>
      <c r="F203" s="240" t="str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 t="str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 t="str">
        <f>IF(F203="","",SUMIFS(Лэндинг!$K$5:$K$300,Лэндинг!$E$5:$E$300,$B203)+SUMIFS(Закрытые!$K$5:$K$300,Закрытые!$E$5:$E$300,$B203,Закрытые!$B$5:$B$300,"L-*"))</f>
        <v/>
      </c>
      <c r="I203" s="240" t="str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 t="str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 t="str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 t="str">
        <f>IF(C204="","",SUMIFS(Лэндинг!$H$5:$H$300,Лэндинг!$E$5:$E$300,$B204)+SUMIFS(Закрытые!$H$5:$H$300,Закрытые!$E$5:$E$300,$B204,Закрытые!$B$5:$B$300,"L-*"))</f>
        <v/>
      </c>
      <c r="F204" s="246" t="str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 t="str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 t="str">
        <f>IF(F204="","",SUMIFS(Лэндинг!$K$5:$K$300,Лэндинг!$E$5:$E$300,$B204)+SUMIFS(Закрытые!$K$5:$K$300,Закрытые!$E$5:$E$300,$B204,Закрытые!$B$5:$B$300,"L-*"))</f>
        <v/>
      </c>
      <c r="I204" s="246" t="str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 t="str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 t="str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 t="str">
        <f>IF(C205="","",SUMIFS(Лэндинг!$H$5:$H$300,Лэндинг!$E$5:$E$300,$B205)+SUMIFS(Закрытые!$H$5:$H$300,Закрытые!$E$5:$E$300,$B205,Закрытые!$B$5:$B$300,"L-*"))</f>
        <v/>
      </c>
      <c r="F205" s="240" t="str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 t="str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 t="str">
        <f>IF(F205="","",SUMIFS(Лэндинг!$K$5:$K$300,Лэндинг!$E$5:$E$300,$B205)+SUMIFS(Закрытые!$K$5:$K$300,Закрытые!$E$5:$E$300,$B205,Закрытые!$B$5:$B$300,"L-*"))</f>
        <v/>
      </c>
      <c r="I205" s="240" t="str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 t="str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 t="str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 t="str">
        <f>IF(C206="","",SUMIFS(Лэндинг!$H$5:$H$300,Лэндинг!$E$5:$E$300,$B206)+SUMIFS(Закрытые!$H$5:$H$300,Закрытые!$E$5:$E$300,$B206,Закрытые!$B$5:$B$300,"L-*"))</f>
        <v/>
      </c>
      <c r="F206" s="246" t="str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 t="str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 t="str">
        <f>IF(F206="","",SUMIFS(Лэндинг!$K$5:$K$300,Лэндинг!$E$5:$E$300,$B206)+SUMIFS(Закрытые!$K$5:$K$300,Закрытые!$E$5:$E$300,$B206,Закрытые!$B$5:$B$300,"L-*"))</f>
        <v/>
      </c>
      <c r="I206" s="246" t="str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 t="str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 t="str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 t="str">
        <f>IF(C207="","",SUMIFS(Лэндинг!$H$5:$H$300,Лэндинг!$E$5:$E$300,$B207)+SUMIFS(Закрытые!$H$5:$H$300,Закрытые!$E$5:$E$300,$B207,Закрытые!$B$5:$B$300,"L-*"))</f>
        <v/>
      </c>
      <c r="F207" s="240" t="str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 t="str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 t="str">
        <f>IF(F207="","",SUMIFS(Лэндинг!$K$5:$K$300,Лэндинг!$E$5:$E$300,$B207)+SUMIFS(Закрытые!$K$5:$K$300,Закрытые!$E$5:$E$300,$B207,Закрытые!$B$5:$B$300,"L-*"))</f>
        <v/>
      </c>
      <c r="I207" s="240" t="str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 t="str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 t="str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 t="str">
        <f>IF(C208="","",SUMIFS(Лэндинг!$H$5:$H$300,Лэндинг!$E$5:$E$300,$B208)+SUMIFS(Закрытые!$H$5:$H$300,Закрытые!$E$5:$E$300,$B208,Закрытые!$B$5:$B$300,"L-*"))</f>
        <v/>
      </c>
      <c r="F208" s="246" t="str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 t="str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 t="str">
        <f>IF(F208="","",SUMIFS(Лэндинг!$K$5:$K$300,Лэндинг!$E$5:$E$300,$B208)+SUMIFS(Закрытые!$K$5:$K$300,Закрытые!$E$5:$E$300,$B208,Закрытые!$B$5:$B$300,"L-*"))</f>
        <v/>
      </c>
      <c r="I208" s="246" t="str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 t="str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 t="str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 t="str">
        <f>IF(C209="","",SUMIFS(Лэндинг!$H$5:$H$300,Лэндинг!$E$5:$E$300,$B209)+SUMIFS(Закрытые!$H$5:$H$300,Закрытые!$E$5:$E$300,$B209,Закрытые!$B$5:$B$300,"L-*"))</f>
        <v/>
      </c>
      <c r="F209" s="240" t="str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 t="str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 t="str">
        <f>IF(F209="","",SUMIFS(Лэндинг!$K$5:$K$300,Лэндинг!$E$5:$E$300,$B209)+SUMIFS(Закрытые!$K$5:$K$300,Закрытые!$E$5:$E$300,$B209,Закрытые!$B$5:$B$300,"L-*"))</f>
        <v/>
      </c>
      <c r="I209" s="240" t="str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 t="str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 t="str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 t="str">
        <f>IF(C210="","",SUMIFS(Лэндинг!$H$5:$H$300,Лэндинг!$E$5:$E$300,$B210)+SUMIFS(Закрытые!$H$5:$H$300,Закрытые!$E$5:$E$300,$B210,Закрытые!$B$5:$B$300,"L-*"))</f>
        <v/>
      </c>
      <c r="F210" s="246" t="str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 t="str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 t="str">
        <f>IF(F210="","",SUMIFS(Лэндинг!$K$5:$K$300,Лэндинг!$E$5:$E$300,$B210)+SUMIFS(Закрытые!$K$5:$K$300,Закрытые!$E$5:$E$300,$B210,Закрытые!$B$5:$B$300,"L-*"))</f>
        <v/>
      </c>
      <c r="I210" s="246" t="str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 t="str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 t="str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 t="str">
        <f>IF(C211="","",SUMIFS(Лэндинг!$H$5:$H$300,Лэндинг!$E$5:$E$300,$B211)+SUMIFS(Закрытые!$H$5:$H$300,Закрытые!$E$5:$E$300,$B211,Закрытые!$B$5:$B$300,"L-*"))</f>
        <v/>
      </c>
      <c r="F211" s="240" t="str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 t="str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 t="str">
        <f>IF(F211="","",SUMIFS(Лэндинг!$K$5:$K$300,Лэндинг!$E$5:$E$300,$B211)+SUMIFS(Закрытые!$K$5:$K$300,Закрытые!$E$5:$E$300,$B211,Закрытые!$B$5:$B$300,"L-*"))</f>
        <v/>
      </c>
      <c r="I211" s="240" t="str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 t="str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 t="str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 t="str">
        <f>IF(C212="","",SUMIFS(Лэндинг!$H$5:$H$300,Лэндинг!$E$5:$E$300,$B212)+SUMIFS(Закрытые!$H$5:$H$300,Закрытые!$E$5:$E$300,$B212,Закрытые!$B$5:$B$300,"L-*"))</f>
        <v/>
      </c>
      <c r="F212" s="246" t="str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 t="str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 t="str">
        <f>IF(F212="","",SUMIFS(Лэндинг!$K$5:$K$300,Лэндинг!$E$5:$E$300,$B212)+SUMIFS(Закрытые!$K$5:$K$300,Закрытые!$E$5:$E$300,$B212,Закрытые!$B$5:$B$300,"L-*"))</f>
        <v/>
      </c>
      <c r="I212" s="246" t="str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 t="str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 t="str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 t="str">
        <f>IF(C213="","",SUMIFS(Лэндинг!$H$5:$H$300,Лэндинг!$E$5:$E$300,$B213)+SUMIFS(Закрытые!$H$5:$H$300,Закрытые!$E$5:$E$300,$B213,Закрытые!$B$5:$B$300,"L-*"))</f>
        <v/>
      </c>
      <c r="F213" s="240" t="str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 t="str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 t="str">
        <f>IF(F213="","",SUMIFS(Лэндинг!$K$5:$K$300,Лэндинг!$E$5:$E$300,$B213)+SUMIFS(Закрытые!$K$5:$K$300,Закрытые!$E$5:$E$300,$B213,Закрытые!$B$5:$B$300,"L-*"))</f>
        <v/>
      </c>
      <c r="I213" s="240" t="str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 t="str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 t="str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 t="str">
        <f>IF(C214="","",SUMIFS(Лэндинг!$H$5:$H$300,Лэндинг!$E$5:$E$300,$B214)+SUMIFS(Закрытые!$H$5:$H$300,Закрытые!$E$5:$E$300,$B214,Закрытые!$B$5:$B$300,"L-*"))</f>
        <v/>
      </c>
      <c r="F214" s="246" t="str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 t="str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 t="str">
        <f>IF(F214="","",SUMIFS(Лэндинг!$K$5:$K$300,Лэндинг!$E$5:$E$300,$B214)+SUMIFS(Закрытые!$K$5:$K$300,Закрытые!$E$5:$E$300,$B214,Закрытые!$B$5:$B$300,"L-*"))</f>
        <v/>
      </c>
      <c r="I214" s="246" t="str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 t="str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 t="str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 t="str">
        <f>IF(C215="","",SUMIFS(Лэндинг!$H$5:$H$300,Лэндинг!$E$5:$E$300,$B215)+SUMIFS(Закрытые!$H$5:$H$300,Закрытые!$E$5:$E$300,$B215,Закрытые!$B$5:$B$300,"L-*"))</f>
        <v/>
      </c>
      <c r="F215" s="240" t="str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 t="str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 t="str">
        <f>IF(F215="","",SUMIFS(Лэндинг!$K$5:$K$300,Лэндинг!$E$5:$E$300,$B215)+SUMIFS(Закрытые!$K$5:$K$300,Закрытые!$E$5:$E$300,$B215,Закрытые!$B$5:$B$300,"L-*"))</f>
        <v/>
      </c>
      <c r="I215" s="240" t="str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 t="str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 t="str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 t="str">
        <f>IF(C216="","",SUMIFS(Лэндинг!$H$5:$H$300,Лэндинг!$E$5:$E$300,$B216)+SUMIFS(Закрытые!$H$5:$H$300,Закрытые!$E$5:$E$300,$B216,Закрытые!$B$5:$B$300,"L-*"))</f>
        <v/>
      </c>
      <c r="F216" s="246" t="str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 t="str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 t="str">
        <f>IF(F216="","",SUMIFS(Лэндинг!$K$5:$K$300,Лэндинг!$E$5:$E$300,$B216)+SUMIFS(Закрытые!$K$5:$K$300,Закрытые!$E$5:$E$300,$B216,Закрытые!$B$5:$B$300,"L-*"))</f>
        <v/>
      </c>
      <c r="I216" s="246" t="str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 t="str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 t="str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 t="str">
        <f>IF(C217="","",SUMIFS(Лэндинг!$H$5:$H$300,Лэндинг!$E$5:$E$300,$B217)+SUMIFS(Закрытые!$H$5:$H$300,Закрытые!$E$5:$E$300,$B217,Закрытые!$B$5:$B$300,"L-*"))</f>
        <v/>
      </c>
      <c r="F217" s="240" t="str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 t="str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 t="str">
        <f>IF(F217="","",SUMIFS(Лэндинг!$K$5:$K$300,Лэндинг!$E$5:$E$300,$B217)+SUMIFS(Закрытые!$K$5:$K$300,Закрытые!$E$5:$E$300,$B217,Закрытые!$B$5:$B$300,"L-*"))</f>
        <v/>
      </c>
      <c r="I217" s="240" t="str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 t="str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 t="str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 t="str">
        <f>IF(C218="","",SUMIFS(Лэндинг!$H$5:$H$300,Лэндинг!$E$5:$E$300,$B218)+SUMIFS(Закрытые!$H$5:$H$300,Закрытые!$E$5:$E$300,$B218,Закрытые!$B$5:$B$300,"L-*"))</f>
        <v/>
      </c>
      <c r="F218" s="246" t="str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 t="str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 t="str">
        <f>IF(F218="","",SUMIFS(Лэндинг!$K$5:$K$300,Лэндинг!$E$5:$E$300,$B218)+SUMIFS(Закрытые!$K$5:$K$300,Закрытые!$E$5:$E$300,$B218,Закрытые!$B$5:$B$300,"L-*"))</f>
        <v/>
      </c>
      <c r="I218" s="246" t="str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 t="str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 t="str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 t="str">
        <f>IF(C219="","",SUMIFS(Лэндинг!$H$5:$H$300,Лэндинг!$E$5:$E$300,$B219)+SUMIFS(Закрытые!$H$5:$H$300,Закрытые!$E$5:$E$300,$B219,Закрытые!$B$5:$B$300,"L-*"))</f>
        <v/>
      </c>
      <c r="F219" s="240" t="str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 t="str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 t="str">
        <f>IF(F219="","",SUMIFS(Лэндинг!$K$5:$K$300,Лэндинг!$E$5:$E$300,$B219)+SUMIFS(Закрытые!$K$5:$K$300,Закрытые!$E$5:$E$300,$B219,Закрытые!$B$5:$B$300,"L-*"))</f>
        <v/>
      </c>
      <c r="I219" s="240" t="str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 t="str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 t="str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 t="str">
        <f>IF(C220="","",SUMIFS(Лэндинг!$H$5:$H$300,Лэндинг!$E$5:$E$300,$B220)+SUMIFS(Закрытые!$H$5:$H$300,Закрытые!$E$5:$E$300,$B220,Закрытые!$B$5:$B$300,"L-*"))</f>
        <v/>
      </c>
      <c r="F220" s="246" t="str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 t="str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 t="str">
        <f>IF(F220="","",SUMIFS(Лэндинг!$K$5:$K$300,Лэндинг!$E$5:$E$300,$B220)+SUMIFS(Закрытые!$K$5:$K$300,Закрытые!$E$5:$E$300,$B220,Закрытые!$B$5:$B$300,"L-*"))</f>
        <v/>
      </c>
      <c r="I220" s="246" t="str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 t="str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 t="str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 t="str">
        <f>IF(C221="","",SUMIFS(Лэндинг!$H$5:$H$300,Лэндинг!$E$5:$E$300,$B221)+SUMIFS(Закрытые!$H$5:$H$300,Закрытые!$E$5:$E$300,$B221,Закрытые!$B$5:$B$300,"L-*"))</f>
        <v/>
      </c>
      <c r="F221" s="240" t="str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 t="str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 t="str">
        <f>IF(F221="","",SUMIFS(Лэндинг!$K$5:$K$300,Лэндинг!$E$5:$E$300,$B221)+SUMIFS(Закрытые!$K$5:$K$300,Закрытые!$E$5:$E$300,$B221,Закрытые!$B$5:$B$300,"L-*"))</f>
        <v/>
      </c>
      <c r="I221" s="240" t="str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 t="str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 t="str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 t="str">
        <f>IF(C222="","",SUMIFS(Лэндинг!$H$5:$H$300,Лэндинг!$E$5:$E$300,$B222)+SUMIFS(Закрытые!$H$5:$H$300,Закрытые!$E$5:$E$300,$B222,Закрытые!$B$5:$B$300,"L-*"))</f>
        <v/>
      </c>
      <c r="F222" s="246" t="str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 t="str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 t="str">
        <f>IF(F222="","",SUMIFS(Лэндинг!$K$5:$K$300,Лэндинг!$E$5:$E$300,$B222)+SUMIFS(Закрытые!$K$5:$K$300,Закрытые!$E$5:$E$300,$B222,Закрытые!$B$5:$B$300,"L-*"))</f>
        <v/>
      </c>
      <c r="I222" s="246" t="str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 t="str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 t="str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 t="str">
        <f>IF(C223="","",SUMIFS(Лэндинг!$H$5:$H$300,Лэндинг!$E$5:$E$300,$B223)+SUMIFS(Закрытые!$H$5:$H$300,Закрытые!$E$5:$E$300,$B223,Закрытые!$B$5:$B$300,"L-*"))</f>
        <v/>
      </c>
      <c r="F223" s="240" t="str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 t="str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 t="str">
        <f>IF(F223="","",SUMIFS(Лэндинг!$K$5:$K$300,Лэндинг!$E$5:$E$300,$B223)+SUMIFS(Закрытые!$K$5:$K$300,Закрытые!$E$5:$E$300,$B223,Закрытые!$B$5:$B$300,"L-*"))</f>
        <v/>
      </c>
      <c r="I223" s="240" t="str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 t="str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 t="str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 t="str">
        <f>IF(C224="","",SUMIFS(Лэндинг!$H$5:$H$300,Лэндинг!$E$5:$E$300,$B224)+SUMIFS(Закрытые!$H$5:$H$300,Закрытые!$E$5:$E$300,$B224,Закрытые!$B$5:$B$300,"L-*"))</f>
        <v/>
      </c>
      <c r="F224" s="246" t="str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 t="str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 t="str">
        <f>IF(F224="","",SUMIFS(Лэндинг!$K$5:$K$300,Лэндинг!$E$5:$E$300,$B224)+SUMIFS(Закрытые!$K$5:$K$300,Закрытые!$E$5:$E$300,$B224,Закрытые!$B$5:$B$300,"L-*"))</f>
        <v/>
      </c>
      <c r="I224" s="246" t="str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 t="str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 t="str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 t="str">
        <f>IF(C225="","",SUMIFS(Лэндинг!$H$5:$H$300,Лэндинг!$E$5:$E$300,$B225)+SUMIFS(Закрытые!$H$5:$H$300,Закрытые!$E$5:$E$300,$B225,Закрытые!$B$5:$B$300,"L-*"))</f>
        <v/>
      </c>
      <c r="F225" s="240" t="str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 t="str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 t="str">
        <f>IF(F225="","",SUMIFS(Лэндинг!$K$5:$K$300,Лэндинг!$E$5:$E$300,$B225)+SUMIFS(Закрытые!$K$5:$K$300,Закрытые!$E$5:$E$300,$B225,Закрытые!$B$5:$B$300,"L-*"))</f>
        <v/>
      </c>
      <c r="I225" s="240" t="str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 t="str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 t="str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 t="str">
        <f>IF(C226="","",SUMIFS(Лэндинг!$H$5:$H$300,Лэндинг!$E$5:$E$300,$B226)+SUMIFS(Закрытые!$H$5:$H$300,Закрытые!$E$5:$E$300,$B226,Закрытые!$B$5:$B$300,"L-*"))</f>
        <v/>
      </c>
      <c r="F226" s="246" t="str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 t="str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 t="str">
        <f>IF(F226="","",SUMIFS(Лэндинг!$K$5:$K$300,Лэндинг!$E$5:$E$300,$B226)+SUMIFS(Закрытые!$K$5:$K$300,Закрытые!$E$5:$E$300,$B226,Закрытые!$B$5:$B$300,"L-*"))</f>
        <v/>
      </c>
      <c r="I226" s="246" t="str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 t="str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 t="str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 t="str">
        <f>IF(C227="","",SUMIFS(Лэндинг!$H$5:$H$300,Лэндинг!$E$5:$E$300,$B227)+SUMIFS(Закрытые!$H$5:$H$300,Закрытые!$E$5:$E$300,$B227,Закрытые!$B$5:$B$300,"L-*"))</f>
        <v/>
      </c>
      <c r="F227" s="240" t="str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 t="str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 t="str">
        <f>IF(F227="","",SUMIFS(Лэндинг!$K$5:$K$300,Лэндинг!$E$5:$E$300,$B227)+SUMIFS(Закрытые!$K$5:$K$300,Закрытые!$E$5:$E$300,$B227,Закрытые!$B$5:$B$300,"L-*"))</f>
        <v/>
      </c>
      <c r="I227" s="240" t="str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 t="str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 t="str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 t="str">
        <f>IF(C228="","",SUMIFS(Лэндинг!$H$5:$H$300,Лэндинг!$E$5:$E$300,$B228)+SUMIFS(Закрытые!$H$5:$H$300,Закрытые!$E$5:$E$300,$B228,Закрытые!$B$5:$B$300,"L-*"))</f>
        <v/>
      </c>
      <c r="F228" s="246" t="str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 t="str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 t="str">
        <f>IF(F228="","",SUMIFS(Лэндинг!$K$5:$K$300,Лэндинг!$E$5:$E$300,$B228)+SUMIFS(Закрытые!$K$5:$K$300,Закрытые!$E$5:$E$300,$B228,Закрытые!$B$5:$B$300,"L-*"))</f>
        <v/>
      </c>
      <c r="I228" s="246" t="str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 t="str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 t="str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 t="str">
        <f>IF(C229="","",SUMIFS(Лэндинг!$H$5:$H$300,Лэндинг!$E$5:$E$300,$B229)+SUMIFS(Закрытые!$H$5:$H$300,Закрытые!$E$5:$E$300,$B229,Закрытые!$B$5:$B$300,"L-*"))</f>
        <v/>
      </c>
      <c r="F229" s="240" t="str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 t="str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 t="str">
        <f>IF(F229="","",SUMIFS(Лэндинг!$K$5:$K$300,Лэндинг!$E$5:$E$300,$B229)+SUMIFS(Закрытые!$K$5:$K$300,Закрытые!$E$5:$E$300,$B229,Закрытые!$B$5:$B$300,"L-*"))</f>
        <v/>
      </c>
      <c r="I229" s="240" t="str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 t="str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 t="str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 t="str">
        <f>IF(C230="","",SUMIFS(Лэндинг!$H$5:$H$300,Лэндинг!$E$5:$E$300,$B230)+SUMIFS(Закрытые!$H$5:$H$300,Закрытые!$E$5:$E$300,$B230,Закрытые!$B$5:$B$300,"L-*"))</f>
        <v/>
      </c>
      <c r="F230" s="246" t="str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 t="str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 t="str">
        <f>IF(F230="","",SUMIFS(Лэндинг!$K$5:$K$300,Лэндинг!$E$5:$E$300,$B230)+SUMIFS(Закрытые!$K$5:$K$300,Закрытые!$E$5:$E$300,$B230,Закрытые!$B$5:$B$300,"L-*"))</f>
        <v/>
      </c>
      <c r="I230" s="246" t="str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 t="str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 t="str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 t="str">
        <f>IF(C231="","",SUMIFS(Лэндинг!$H$5:$H$300,Лэндинг!$E$5:$E$300,$B231)+SUMIFS(Закрытые!$H$5:$H$300,Закрытые!$E$5:$E$300,$B231,Закрытые!$B$5:$B$300,"L-*"))</f>
        <v/>
      </c>
      <c r="F231" s="240" t="str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 t="str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 t="str">
        <f>IF(F231="","",SUMIFS(Лэндинг!$K$5:$K$300,Лэндинг!$E$5:$E$300,$B231)+SUMIFS(Закрытые!$K$5:$K$300,Закрытые!$E$5:$E$300,$B231,Закрытые!$B$5:$B$300,"L-*"))</f>
        <v/>
      </c>
      <c r="I231" s="240" t="str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 t="str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 t="str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 t="str">
        <f>IF(C232="","",SUMIFS(Лэндинг!$H$5:$H$300,Лэндинг!$E$5:$E$300,$B232)+SUMIFS(Закрытые!$H$5:$H$300,Закрытые!$E$5:$E$300,$B232,Закрытые!$B$5:$B$300,"L-*"))</f>
        <v/>
      </c>
      <c r="F232" s="246" t="str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 t="str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 t="str">
        <f>IF(F232="","",SUMIFS(Лэндинг!$K$5:$K$300,Лэндинг!$E$5:$E$300,$B232)+SUMIFS(Закрытые!$K$5:$K$300,Закрытые!$E$5:$E$300,$B232,Закрытые!$B$5:$B$300,"L-*"))</f>
        <v/>
      </c>
      <c r="I232" s="246" t="str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 t="str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 t="str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 t="str">
        <f>IF(C233="","",SUMIFS(Лэндинг!$H$5:$H$300,Лэндинг!$E$5:$E$300,$B233)+SUMIFS(Закрытые!$H$5:$H$300,Закрытые!$E$5:$E$300,$B233,Закрытые!$B$5:$B$300,"L-*"))</f>
        <v/>
      </c>
      <c r="F233" s="240" t="str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 t="str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 t="str">
        <f>IF(F233="","",SUMIFS(Лэндинг!$K$5:$K$300,Лэндинг!$E$5:$E$300,$B233)+SUMIFS(Закрытые!$K$5:$K$300,Закрытые!$E$5:$E$300,$B233,Закрытые!$B$5:$B$300,"L-*"))</f>
        <v/>
      </c>
      <c r="I233" s="240" t="str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 t="str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 t="str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 t="str">
        <f>IF(C234="","",SUMIFS(Лэндинг!$H$5:$H$300,Лэндинг!$E$5:$E$300,$B234)+SUMIFS(Закрытые!$H$5:$H$300,Закрытые!$E$5:$E$300,$B234,Закрытые!$B$5:$B$300,"L-*"))</f>
        <v/>
      </c>
      <c r="F234" s="246" t="str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 t="str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 t="str">
        <f>IF(F234="","",SUMIFS(Лэндинг!$K$5:$K$300,Лэндинг!$E$5:$E$300,$B234)+SUMIFS(Закрытые!$K$5:$K$300,Закрытые!$E$5:$E$300,$B234,Закрытые!$B$5:$B$300,"L-*"))</f>
        <v/>
      </c>
      <c r="I234" s="246" t="str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 t="str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 t="str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 t="str">
        <f>IF(C235="","",SUMIFS(Лэндинг!$H$5:$H$300,Лэндинг!$E$5:$E$300,$B235)+SUMIFS(Закрытые!$H$5:$H$300,Закрытые!$E$5:$E$300,$B235,Закрытые!$B$5:$B$300,"L-*"))</f>
        <v/>
      </c>
      <c r="F235" s="240" t="str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 t="str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 t="str">
        <f>IF(F235="","",SUMIFS(Лэндинг!$K$5:$K$300,Лэндинг!$E$5:$E$300,$B235)+SUMIFS(Закрытые!$K$5:$K$300,Закрытые!$E$5:$E$300,$B235,Закрытые!$B$5:$B$300,"L-*"))</f>
        <v/>
      </c>
      <c r="I235" s="240" t="str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 t="str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 t="str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 t="str">
        <f>IF(C236="","",SUMIFS(Лэндинг!$H$5:$H$300,Лэндинг!$E$5:$E$300,$B236)+SUMIFS(Закрытые!$H$5:$H$300,Закрытые!$E$5:$E$300,$B236,Закрытые!$B$5:$B$300,"L-*"))</f>
        <v/>
      </c>
      <c r="F236" s="246" t="str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 t="str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 t="str">
        <f>IF(F236="","",SUMIFS(Лэндинг!$K$5:$K$300,Лэндинг!$E$5:$E$300,$B236)+SUMIFS(Закрытые!$K$5:$K$300,Закрытые!$E$5:$E$300,$B236,Закрытые!$B$5:$B$300,"L-*"))</f>
        <v/>
      </c>
      <c r="I236" s="246" t="str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 t="str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 t="str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 t="str">
        <f>IF(C237="","",SUMIFS(Лэндинг!$H$5:$H$300,Лэндинг!$E$5:$E$300,$B237)+SUMIFS(Закрытые!$H$5:$H$300,Закрытые!$E$5:$E$300,$B237,Закрытые!$B$5:$B$300,"L-*"))</f>
        <v/>
      </c>
      <c r="F237" s="240" t="str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 t="str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 t="str">
        <f>IF(F237="","",SUMIFS(Лэндинг!$K$5:$K$300,Лэндинг!$E$5:$E$300,$B237)+SUMIFS(Закрытые!$K$5:$K$300,Закрытые!$E$5:$E$300,$B237,Закрытые!$B$5:$B$300,"L-*"))</f>
        <v/>
      </c>
      <c r="I237" s="240" t="str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 t="str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 t="str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 t="str">
        <f>IF(C238="","",SUMIFS(Лэндинг!$H$5:$H$300,Лэндинг!$E$5:$E$300,$B238)+SUMIFS(Закрытые!$H$5:$H$300,Закрытые!$E$5:$E$300,$B238,Закрытые!$B$5:$B$300,"L-*"))</f>
        <v/>
      </c>
      <c r="F238" s="246" t="str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 t="str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 t="str">
        <f>IF(F238="","",SUMIFS(Лэндинг!$K$5:$K$300,Лэндинг!$E$5:$E$300,$B238)+SUMIFS(Закрытые!$K$5:$K$300,Закрытые!$E$5:$E$300,$B238,Закрытые!$B$5:$B$300,"L-*"))</f>
        <v/>
      </c>
      <c r="I238" s="246" t="str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 t="str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 t="str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 t="str">
        <f>IF(C239="","",SUMIFS(Лэндинг!$H$5:$H$300,Лэндинг!$E$5:$E$300,$B239)+SUMIFS(Закрытые!$H$5:$H$300,Закрытые!$E$5:$E$300,$B239,Закрытые!$B$5:$B$300,"L-*"))</f>
        <v/>
      </c>
      <c r="F239" s="240" t="str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 t="str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 t="str">
        <f>IF(F239="","",SUMIFS(Лэндинг!$K$5:$K$300,Лэндинг!$E$5:$E$300,$B239)+SUMIFS(Закрытые!$K$5:$K$300,Закрытые!$E$5:$E$300,$B239,Закрытые!$B$5:$B$300,"L-*"))</f>
        <v/>
      </c>
      <c r="I239" s="240" t="str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 t="str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 t="str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 t="str">
        <f>IF(C240="","",SUMIFS(Лэндинг!$H$5:$H$300,Лэндинг!$E$5:$E$300,$B240)+SUMIFS(Закрытые!$H$5:$H$300,Закрытые!$E$5:$E$300,$B240,Закрытые!$B$5:$B$300,"L-*"))</f>
        <v/>
      </c>
      <c r="F240" s="246" t="str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 t="str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 t="str">
        <f>IF(F240="","",SUMIFS(Лэндинг!$K$5:$K$300,Лэндинг!$E$5:$E$300,$B240)+SUMIFS(Закрытые!$K$5:$K$300,Закрытые!$E$5:$E$300,$B240,Закрытые!$B$5:$B$300,"L-*"))</f>
        <v/>
      </c>
      <c r="I240" s="246" t="str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 t="str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 t="str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 t="str">
        <f>IF(C241="","",SUMIFS(Лэндинг!$H$5:$H$300,Лэндинг!$E$5:$E$300,$B241)+SUMIFS(Закрытые!$H$5:$H$300,Закрытые!$E$5:$E$300,$B241,Закрытые!$B$5:$B$300,"L-*"))</f>
        <v/>
      </c>
      <c r="F241" s="240" t="str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 t="str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 t="str">
        <f>IF(F241="","",SUMIFS(Лэндинг!$K$5:$K$300,Лэндинг!$E$5:$E$300,$B241)+SUMIFS(Закрытые!$K$5:$K$300,Закрытые!$E$5:$E$300,$B241,Закрытые!$B$5:$B$300,"L-*"))</f>
        <v/>
      </c>
      <c r="I241" s="240" t="str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 t="str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 t="str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 t="str">
        <f>IF(C242="","",SUMIFS(Лэндинг!$H$5:$H$300,Лэндинг!$E$5:$E$300,$B242)+SUMIFS(Закрытые!$H$5:$H$300,Закрытые!$E$5:$E$300,$B242,Закрытые!$B$5:$B$300,"L-*"))</f>
        <v/>
      </c>
      <c r="F242" s="246" t="str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 t="str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 t="str">
        <f>IF(F242="","",SUMIFS(Лэндинг!$K$5:$K$300,Лэндинг!$E$5:$E$300,$B242)+SUMIFS(Закрытые!$K$5:$K$300,Закрытые!$E$5:$E$300,$B242,Закрытые!$B$5:$B$300,"L-*"))</f>
        <v/>
      </c>
      <c r="I242" s="246" t="str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 t="str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 t="str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 t="str">
        <f>IF(C243="","",SUMIFS(Лэндинг!$H$5:$H$300,Лэндинг!$E$5:$E$300,$B243)+SUMIFS(Закрытые!$H$5:$H$300,Закрытые!$E$5:$E$300,$B243,Закрытые!$B$5:$B$300,"L-*"))</f>
        <v/>
      </c>
      <c r="F243" s="240" t="str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 t="str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 t="str">
        <f>IF(F243="","",SUMIFS(Лэндинг!$K$5:$K$300,Лэндинг!$E$5:$E$300,$B243)+SUMIFS(Закрытые!$K$5:$K$300,Закрытые!$E$5:$E$300,$B243,Закрытые!$B$5:$B$300,"L-*"))</f>
        <v/>
      </c>
      <c r="I243" s="240" t="str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 t="str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 t="str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 t="str">
        <f>IF(C244="","",SUMIFS(Лэндинг!$H$5:$H$300,Лэндинг!$E$5:$E$300,$B244)+SUMIFS(Закрытые!$H$5:$H$300,Закрытые!$E$5:$E$300,$B244,Закрытые!$B$5:$B$300,"L-*"))</f>
        <v/>
      </c>
      <c r="F244" s="246" t="str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 t="str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 t="str">
        <f>IF(F244="","",SUMIFS(Лэндинг!$K$5:$K$300,Лэндинг!$E$5:$E$300,$B244)+SUMIFS(Закрытые!$K$5:$K$300,Закрытые!$E$5:$E$300,$B244,Закрытые!$B$5:$B$300,"L-*"))</f>
        <v/>
      </c>
      <c r="I244" s="246" t="str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 t="str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 t="str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 t="str">
        <f>IF(C245="","",SUMIFS(Лэндинг!$H$5:$H$300,Лэндинг!$E$5:$E$300,$B245)+SUMIFS(Закрытые!$H$5:$H$300,Закрытые!$E$5:$E$300,$B245,Закрытые!$B$5:$B$300,"L-*"))</f>
        <v/>
      </c>
      <c r="F245" s="240" t="str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 t="str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 t="str">
        <f>IF(F245="","",SUMIFS(Лэндинг!$K$5:$K$300,Лэндинг!$E$5:$E$300,$B245)+SUMIFS(Закрытые!$K$5:$K$300,Закрытые!$E$5:$E$300,$B245,Закрытые!$B$5:$B$300,"L-*"))</f>
        <v/>
      </c>
      <c r="I245" s="240" t="str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 t="str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 t="str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 t="str">
        <f>IF(C246="","",SUMIFS(Лэндинг!$H$5:$H$300,Лэндинг!$E$5:$E$300,$B246)+SUMIFS(Закрытые!$H$5:$H$300,Закрытые!$E$5:$E$300,$B246,Закрытые!$B$5:$B$300,"L-*"))</f>
        <v/>
      </c>
      <c r="F246" s="246" t="str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 t="str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 t="str">
        <f>IF(F246="","",SUMIFS(Лэндинг!$K$5:$K$300,Лэндинг!$E$5:$E$300,$B246)+SUMIFS(Закрытые!$K$5:$K$300,Закрытые!$E$5:$E$300,$B246,Закрытые!$B$5:$B$300,"L-*"))</f>
        <v/>
      </c>
      <c r="I246" s="246" t="str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 t="str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 t="str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 t="str">
        <f>IF(C247="","",SUMIFS(Лэндинг!$H$5:$H$300,Лэндинг!$E$5:$E$300,$B247)+SUMIFS(Закрытые!$H$5:$H$300,Закрытые!$E$5:$E$300,$B247,Закрытые!$B$5:$B$300,"L-*"))</f>
        <v/>
      </c>
      <c r="F247" s="240" t="str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 t="str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 t="str">
        <f>IF(F247="","",SUMIFS(Лэндинг!$K$5:$K$300,Лэндинг!$E$5:$E$300,$B247)+SUMIFS(Закрытые!$K$5:$K$300,Закрытые!$E$5:$E$300,$B247,Закрытые!$B$5:$B$300,"L-*"))</f>
        <v/>
      </c>
      <c r="I247" s="240" t="str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 t="str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 t="str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 t="str">
        <f>IF(C248="","",SUMIFS(Лэндинг!$H$5:$H$300,Лэндинг!$E$5:$E$300,$B248)+SUMIFS(Закрытые!$H$5:$H$300,Закрытые!$E$5:$E$300,$B248,Закрытые!$B$5:$B$300,"L-*"))</f>
        <v/>
      </c>
      <c r="F248" s="246" t="str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 t="str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 t="str">
        <f>IF(F248="","",SUMIFS(Лэндинг!$K$5:$K$300,Лэндинг!$E$5:$E$300,$B248)+SUMIFS(Закрытые!$K$5:$K$300,Закрытые!$E$5:$E$300,$B248,Закрытые!$B$5:$B$300,"L-*"))</f>
        <v/>
      </c>
      <c r="I248" s="246" t="str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 t="str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 t="str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 t="str">
        <f>IF(C249="","",SUMIFS(Лэндинг!$H$5:$H$300,Лэндинг!$E$5:$E$300,$B249)+SUMIFS(Закрытые!$H$5:$H$300,Закрытые!$E$5:$E$300,$B249,Закрытые!$B$5:$B$300,"L-*"))</f>
        <v/>
      </c>
      <c r="F249" s="240" t="str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 t="str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 t="str">
        <f>IF(F249="","",SUMIFS(Лэндинг!$K$5:$K$300,Лэндинг!$E$5:$E$300,$B249)+SUMIFS(Закрытые!$K$5:$K$300,Закрытые!$E$5:$E$300,$B249,Закрытые!$B$5:$B$300,"L-*"))</f>
        <v/>
      </c>
      <c r="I249" s="240" t="str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 t="str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 t="str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 t="str">
        <f>IF(C250="","",SUMIFS(Лэндинг!$H$5:$H$300,Лэндинг!$E$5:$E$300,$B250)+SUMIFS(Закрытые!$H$5:$H$300,Закрытые!$E$5:$E$300,$B250,Закрытые!$B$5:$B$300,"L-*"))</f>
        <v/>
      </c>
      <c r="F250" s="246" t="str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 t="str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 t="str">
        <f>IF(F250="","",SUMIFS(Лэндинг!$K$5:$K$300,Лэндинг!$E$5:$E$300,$B250)+SUMIFS(Закрытые!$K$5:$K$300,Закрытые!$E$5:$E$300,$B250,Закрытые!$B$5:$B$300,"L-*"))</f>
        <v/>
      </c>
      <c r="I250" s="246" t="str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 t="str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 t="str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 t="str">
        <f>IF(C251="","",SUMIFS(Лэндинг!$H$5:$H$300,Лэндинг!$E$5:$E$300,$B251)+SUMIFS(Закрытые!$H$5:$H$300,Закрытые!$E$5:$E$300,$B251,Закрытые!$B$5:$B$300,"L-*"))</f>
        <v/>
      </c>
      <c r="F251" s="240" t="str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 t="str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 t="str">
        <f>IF(F251="","",SUMIFS(Лэндинг!$K$5:$K$300,Лэндинг!$E$5:$E$300,$B251)+SUMIFS(Закрытые!$K$5:$K$300,Закрытые!$E$5:$E$300,$B251,Закрытые!$B$5:$B$300,"L-*"))</f>
        <v/>
      </c>
      <c r="I251" s="240" t="str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 t="str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 t="str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 t="str">
        <f>IF(C252="","",SUMIFS(Лэндинг!$H$5:$H$300,Лэндинг!$E$5:$E$300,$B252)+SUMIFS(Закрытые!$H$5:$H$300,Закрытые!$E$5:$E$300,$B252,Закрытые!$B$5:$B$300,"L-*"))</f>
        <v/>
      </c>
      <c r="F252" s="246" t="str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 t="str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 t="str">
        <f>IF(F252="","",SUMIFS(Лэндинг!$K$5:$K$300,Лэндинг!$E$5:$E$300,$B252)+SUMIFS(Закрытые!$K$5:$K$300,Закрытые!$E$5:$E$300,$B252,Закрытые!$B$5:$B$300,"L-*"))</f>
        <v/>
      </c>
      <c r="I252" s="246" t="str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 t="str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 t="str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 t="str">
        <f>IF(C253="","",SUMIFS(Лэндинг!$H$5:$H$300,Лэндинг!$E$5:$E$300,$B253)+SUMIFS(Закрытые!$H$5:$H$300,Закрытые!$E$5:$E$300,$B253,Закрытые!$B$5:$B$300,"L-*"))</f>
        <v/>
      </c>
      <c r="F253" s="240" t="str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 t="str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 t="str">
        <f>IF(F253="","",SUMIFS(Лэндинг!$K$5:$K$300,Лэндинг!$E$5:$E$300,$B253)+SUMIFS(Закрытые!$K$5:$K$300,Закрытые!$E$5:$E$300,$B253,Закрытые!$B$5:$B$300,"L-*"))</f>
        <v/>
      </c>
      <c r="I253" s="240" t="str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 t="str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 t="str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 t="str">
        <f>IF(C254="","",SUMIFS(Лэндинг!$H$5:$H$300,Лэндинг!$E$5:$E$300,$B254)+SUMIFS(Закрытые!$H$5:$H$300,Закрытые!$E$5:$E$300,$B254,Закрытые!$B$5:$B$300,"L-*"))</f>
        <v/>
      </c>
      <c r="F254" s="246" t="str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 t="str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 t="str">
        <f>IF(F254="","",SUMIFS(Лэндинг!$K$5:$K$300,Лэндинг!$E$5:$E$300,$B254)+SUMIFS(Закрытые!$K$5:$K$300,Закрытые!$E$5:$E$300,$B254,Закрытые!$B$5:$B$300,"L-*"))</f>
        <v/>
      </c>
      <c r="I254" s="246" t="str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 t="str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 t="str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 t="str">
        <f>IF(C255="","",SUMIFS(Лэндинг!$H$5:$H$300,Лэндинг!$E$5:$E$300,$B255)+SUMIFS(Закрытые!$H$5:$H$300,Закрытые!$E$5:$E$300,$B255,Закрытые!$B$5:$B$300,"L-*"))</f>
        <v/>
      </c>
      <c r="F255" s="240" t="str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 t="str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 t="str">
        <f>IF(F255="","",SUMIFS(Лэндинг!$K$5:$K$300,Лэндинг!$E$5:$E$300,$B255)+SUMIFS(Закрытые!$K$5:$K$300,Закрытые!$E$5:$E$300,$B255,Закрытые!$B$5:$B$300,"L-*"))</f>
        <v/>
      </c>
      <c r="I255" s="240" t="str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 t="str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 t="str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 t="str">
        <f>IF(C256="","",SUMIFS(Лэндинг!$H$5:$H$300,Лэндинг!$E$5:$E$300,$B256)+SUMIFS(Закрытые!$H$5:$H$300,Закрытые!$E$5:$E$300,$B256,Закрытые!$B$5:$B$300,"L-*"))</f>
        <v/>
      </c>
      <c r="F256" s="246" t="str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 t="str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 t="str">
        <f>IF(F256="","",SUMIFS(Лэндинг!$K$5:$K$300,Лэндинг!$E$5:$E$300,$B256)+SUMIFS(Закрытые!$K$5:$K$300,Закрытые!$E$5:$E$300,$B256,Закрытые!$B$5:$B$300,"L-*"))</f>
        <v/>
      </c>
      <c r="I256" s="246" t="str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 t="str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 t="str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 t="str">
        <f>IF(C257="","",SUMIFS(Лэндинг!$H$5:$H$300,Лэндинг!$E$5:$E$300,$B257)+SUMIFS(Закрытые!$H$5:$H$300,Закрытые!$E$5:$E$300,$B257,Закрытые!$B$5:$B$300,"L-*"))</f>
        <v/>
      </c>
      <c r="F257" s="240" t="str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 t="str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 t="str">
        <f>IF(F257="","",SUMIFS(Лэндинг!$K$5:$K$300,Лэндинг!$E$5:$E$300,$B257)+SUMIFS(Закрытые!$K$5:$K$300,Закрытые!$E$5:$E$300,$B257,Закрытые!$B$5:$B$300,"L-*"))</f>
        <v/>
      </c>
      <c r="I257" s="240" t="str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 t="str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 t="str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 t="str">
        <f>IF(C258="","",SUMIFS(Лэндинг!$H$5:$H$300,Лэндинг!$E$5:$E$300,$B258)+SUMIFS(Закрытые!$H$5:$H$300,Закрытые!$E$5:$E$300,$B258,Закрытые!$B$5:$B$300,"L-*"))</f>
        <v/>
      </c>
      <c r="F258" s="246" t="str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 t="str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 t="str">
        <f>IF(F258="","",SUMIFS(Лэндинг!$K$5:$K$300,Лэндинг!$E$5:$E$300,$B258)+SUMIFS(Закрытые!$K$5:$K$300,Закрытые!$E$5:$E$300,$B258,Закрытые!$B$5:$B$300,"L-*"))</f>
        <v/>
      </c>
      <c r="I258" s="246" t="str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 t="str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 t="str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 t="str">
        <f>IF(C259="","",SUMIFS(Лэндинг!$H$5:$H$300,Лэндинг!$E$5:$E$300,$B259)+SUMIFS(Закрытые!$H$5:$H$300,Закрытые!$E$5:$E$300,$B259,Закрытые!$B$5:$B$300,"L-*"))</f>
        <v/>
      </c>
      <c r="F259" s="240" t="str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 t="str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 t="str">
        <f>IF(F259="","",SUMIFS(Лэндинг!$K$5:$K$300,Лэндинг!$E$5:$E$300,$B259)+SUMIFS(Закрытые!$K$5:$K$300,Закрытые!$E$5:$E$300,$B259,Закрытые!$B$5:$B$300,"L-*"))</f>
        <v/>
      </c>
      <c r="I259" s="240" t="str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 t="str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 t="str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 t="str">
        <f>IF(C260="","",SUMIFS(Лэндинг!$H$5:$H$300,Лэндинг!$E$5:$E$300,$B260)+SUMIFS(Закрытые!$H$5:$H$300,Закрытые!$E$5:$E$300,$B260,Закрытые!$B$5:$B$300,"L-*"))</f>
        <v/>
      </c>
      <c r="F260" s="246" t="str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 t="str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 t="str">
        <f>IF(F260="","",SUMIFS(Лэндинг!$K$5:$K$300,Лэндинг!$E$5:$E$300,$B260)+SUMIFS(Закрытые!$K$5:$K$300,Закрытые!$E$5:$E$300,$B260,Закрытые!$B$5:$B$300,"L-*"))</f>
        <v/>
      </c>
      <c r="I260" s="246" t="str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 t="str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 t="str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 t="str">
        <f>IF(C261="","",SUMIFS(Лэндинг!$H$5:$H$300,Лэндинг!$E$5:$E$300,$B261)+SUMIFS(Закрытые!$H$5:$H$300,Закрытые!$E$5:$E$300,$B261,Закрытые!$B$5:$B$300,"L-*"))</f>
        <v/>
      </c>
      <c r="F261" s="240" t="str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 t="str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 t="str">
        <f>IF(F261="","",SUMIFS(Лэндинг!$K$5:$K$300,Лэндинг!$E$5:$E$300,$B261)+SUMIFS(Закрытые!$K$5:$K$300,Закрытые!$E$5:$E$300,$B261,Закрытые!$B$5:$B$300,"L-*"))</f>
        <v/>
      </c>
      <c r="I261" s="240" t="str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 t="str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 t="str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 t="str">
        <f>IF(C262="","",SUMIFS(Лэндинг!$H$5:$H$300,Лэндинг!$E$5:$E$300,$B262)+SUMIFS(Закрытые!$H$5:$H$300,Закрытые!$E$5:$E$300,$B262,Закрытые!$B$5:$B$300,"L-*"))</f>
        <v/>
      </c>
      <c r="F262" s="246" t="str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 t="str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 t="str">
        <f>IF(F262="","",SUMIFS(Лэндинг!$K$5:$K$300,Лэндинг!$E$5:$E$300,$B262)+SUMIFS(Закрытые!$K$5:$K$300,Закрытые!$E$5:$E$300,$B262,Закрытые!$B$5:$B$300,"L-*"))</f>
        <v/>
      </c>
      <c r="I262" s="246" t="str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 t="str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 t="str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 t="str">
        <f>IF(C263="","",SUMIFS(Лэндинг!$H$5:$H$300,Лэндинг!$E$5:$E$300,$B263)+SUMIFS(Закрытые!$H$5:$H$300,Закрытые!$E$5:$E$300,$B263,Закрытые!$B$5:$B$300,"L-*"))</f>
        <v/>
      </c>
      <c r="F263" s="240" t="str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 t="str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 t="str">
        <f>IF(F263="","",SUMIFS(Лэндинг!$K$5:$K$300,Лэндинг!$E$5:$E$300,$B263)+SUMIFS(Закрытые!$K$5:$K$300,Закрытые!$E$5:$E$300,$B263,Закрытые!$B$5:$B$300,"L-*"))</f>
        <v/>
      </c>
      <c r="I263" s="240" t="str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 t="str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 t="str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 t="str">
        <f>IF(C264="","",SUMIFS(Лэндинг!$H$5:$H$300,Лэндинг!$E$5:$E$300,$B264)+SUMIFS(Закрытые!$H$5:$H$300,Закрытые!$E$5:$E$300,$B264,Закрытые!$B$5:$B$300,"L-*"))</f>
        <v/>
      </c>
      <c r="F264" s="246" t="str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 t="str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 t="str">
        <f>IF(F264="","",SUMIFS(Лэндинг!$K$5:$K$300,Лэндинг!$E$5:$E$300,$B264)+SUMIFS(Закрытые!$K$5:$K$300,Закрытые!$E$5:$E$300,$B264,Закрытые!$B$5:$B$300,"L-*"))</f>
        <v/>
      </c>
      <c r="I264" s="246" t="str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 t="str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 t="str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 t="str">
        <f>IF(C265="","",SUMIFS(Лэндинг!$H$5:$H$300,Лэндинг!$E$5:$E$300,$B265)+SUMIFS(Закрытые!$H$5:$H$300,Закрытые!$E$5:$E$300,$B265,Закрытые!$B$5:$B$300,"L-*"))</f>
        <v/>
      </c>
      <c r="F265" s="240" t="str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 t="str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 t="str">
        <f>IF(F265="","",SUMIFS(Лэндинг!$K$5:$K$300,Лэндинг!$E$5:$E$300,$B265)+SUMIFS(Закрытые!$K$5:$K$300,Закрытые!$E$5:$E$300,$B265,Закрытые!$B$5:$B$300,"L-*"))</f>
        <v/>
      </c>
      <c r="I265" s="240" t="str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 t="str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 t="str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 t="str">
        <f>IF(C266="","",SUMIFS(Лэндинг!$H$5:$H$300,Лэндинг!$E$5:$E$300,$B266)+SUMIFS(Закрытые!$H$5:$H$300,Закрытые!$E$5:$E$300,$B266,Закрытые!$B$5:$B$300,"L-*"))</f>
        <v/>
      </c>
      <c r="F266" s="246" t="str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 t="str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 t="str">
        <f>IF(F266="","",SUMIFS(Лэндинг!$K$5:$K$300,Лэндинг!$E$5:$E$300,$B266)+SUMIFS(Закрытые!$K$5:$K$300,Закрытые!$E$5:$E$300,$B266,Закрытые!$B$5:$B$300,"L-*"))</f>
        <v/>
      </c>
      <c r="I266" s="246" t="str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 t="str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 t="str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 t="str">
        <f>IF(C267="","",SUMIFS(Лэндинг!$H$5:$H$300,Лэндинг!$E$5:$E$300,$B267)+SUMIFS(Закрытые!$H$5:$H$300,Закрытые!$E$5:$E$300,$B267,Закрытые!$B$5:$B$300,"L-*"))</f>
        <v/>
      </c>
      <c r="F267" s="240" t="str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 t="str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 t="str">
        <f>IF(F267="","",SUMIFS(Лэндинг!$K$5:$K$300,Лэндинг!$E$5:$E$300,$B267)+SUMIFS(Закрытые!$K$5:$K$300,Закрытые!$E$5:$E$300,$B267,Закрытые!$B$5:$B$300,"L-*"))</f>
        <v/>
      </c>
      <c r="I267" s="240" t="str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 t="str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 t="str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 t="str">
        <f>IF(C268="","",SUMIFS(Лэндинг!$H$5:$H$300,Лэндинг!$E$5:$E$300,$B268)+SUMIFS(Закрытые!$H$5:$H$300,Закрытые!$E$5:$E$300,$B268,Закрытые!$B$5:$B$300,"L-*"))</f>
        <v/>
      </c>
      <c r="F268" s="246" t="str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 t="str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 t="str">
        <f>IF(F268="","",SUMIFS(Лэндинг!$K$5:$K$300,Лэндинг!$E$5:$E$300,$B268)+SUMIFS(Закрытые!$K$5:$K$300,Закрытые!$E$5:$E$300,$B268,Закрытые!$B$5:$B$300,"L-*"))</f>
        <v/>
      </c>
      <c r="I268" s="246" t="str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 t="str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 t="str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 t="str">
        <f>IF(C269="","",SUMIFS(Лэндинг!$H$5:$H$300,Лэндинг!$E$5:$E$300,$B269)+SUMIFS(Закрытые!$H$5:$H$300,Закрытые!$E$5:$E$300,$B269,Закрытые!$B$5:$B$300,"L-*"))</f>
        <v/>
      </c>
      <c r="F269" s="240" t="str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 t="str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 t="str">
        <f>IF(F269="","",SUMIFS(Лэндинг!$K$5:$K$300,Лэндинг!$E$5:$E$300,$B269)+SUMIFS(Закрытые!$K$5:$K$300,Закрытые!$E$5:$E$300,$B269,Закрытые!$B$5:$B$300,"L-*"))</f>
        <v/>
      </c>
      <c r="I269" s="240" t="str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 t="str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 t="str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 t="str">
        <f>IF(C270="","",SUMIFS(Лэндинг!$H$5:$H$300,Лэндинг!$E$5:$E$300,$B270)+SUMIFS(Закрытые!$H$5:$H$300,Закрытые!$E$5:$E$300,$B270,Закрытые!$B$5:$B$300,"L-*"))</f>
        <v/>
      </c>
      <c r="F270" s="246" t="str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 t="str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 t="str">
        <f>IF(F270="","",SUMIFS(Лэндинг!$K$5:$K$300,Лэндинг!$E$5:$E$300,$B270)+SUMIFS(Закрытые!$K$5:$K$300,Закрытые!$E$5:$E$300,$B270,Закрытые!$B$5:$B$300,"L-*"))</f>
        <v/>
      </c>
      <c r="I270" s="246" t="str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 t="str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 t="str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 t="str">
        <f>IF(C271="","",SUMIFS(Лэндинг!$H$5:$H$300,Лэндинг!$E$5:$E$300,$B271)+SUMIFS(Закрытые!$H$5:$H$300,Закрытые!$E$5:$E$300,$B271,Закрытые!$B$5:$B$300,"L-*"))</f>
        <v/>
      </c>
      <c r="F271" s="240" t="str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 t="str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 t="str">
        <f>IF(F271="","",SUMIFS(Лэндинг!$K$5:$K$300,Лэндинг!$E$5:$E$300,$B271)+SUMIFS(Закрытые!$K$5:$K$300,Закрытые!$E$5:$E$300,$B271,Закрытые!$B$5:$B$300,"L-*"))</f>
        <v/>
      </c>
      <c r="I271" s="240" t="str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 t="str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 t="str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 t="str">
        <f>IF(C272="","",SUMIFS(Лэндинг!$H$5:$H$300,Лэндинг!$E$5:$E$300,$B272)+SUMIFS(Закрытые!$H$5:$H$300,Закрытые!$E$5:$E$300,$B272,Закрытые!$B$5:$B$300,"L-*"))</f>
        <v/>
      </c>
      <c r="F272" s="246" t="str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 t="str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 t="str">
        <f>IF(F272="","",SUMIFS(Лэндинг!$K$5:$K$300,Лэндинг!$E$5:$E$300,$B272)+SUMIFS(Закрытые!$K$5:$K$300,Закрытые!$E$5:$E$300,$B272,Закрытые!$B$5:$B$300,"L-*"))</f>
        <v/>
      </c>
      <c r="I272" s="246" t="str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 t="str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 t="str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 t="str">
        <f>IF(C273="","",SUMIFS(Лэндинг!$H$5:$H$300,Лэндинг!$E$5:$E$300,$B273)+SUMIFS(Закрытые!$H$5:$H$300,Закрытые!$E$5:$E$300,$B273,Закрытые!$B$5:$B$300,"L-*"))</f>
        <v/>
      </c>
      <c r="F273" s="240" t="str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 t="str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 t="str">
        <f>IF(F273="","",SUMIFS(Лэндинг!$K$5:$K$300,Лэндинг!$E$5:$E$300,$B273)+SUMIFS(Закрытые!$K$5:$K$300,Закрытые!$E$5:$E$300,$B273,Закрытые!$B$5:$B$300,"L-*"))</f>
        <v/>
      </c>
      <c r="I273" s="240" t="str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 t="str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 t="str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 t="str">
        <f>IF(C274="","",SUMIFS(Лэндинг!$H$5:$H$300,Лэндинг!$E$5:$E$300,$B274)+SUMIFS(Закрытые!$H$5:$H$300,Закрытые!$E$5:$E$300,$B274,Закрытые!$B$5:$B$300,"L-*"))</f>
        <v/>
      </c>
      <c r="F274" s="246" t="str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 t="str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 t="str">
        <f>IF(F274="","",SUMIFS(Лэндинг!$K$5:$K$300,Лэндинг!$E$5:$E$300,$B274)+SUMIFS(Закрытые!$K$5:$K$300,Закрытые!$E$5:$E$300,$B274,Закрытые!$B$5:$B$300,"L-*"))</f>
        <v/>
      </c>
      <c r="I274" s="246" t="str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 t="str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 t="str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 t="str">
        <f>IF(C275="","",SUMIFS(Лэндинг!$H$5:$H$300,Лэндинг!$E$5:$E$300,$B275)+SUMIFS(Закрытые!$H$5:$H$300,Закрытые!$E$5:$E$300,$B275,Закрытые!$B$5:$B$300,"L-*"))</f>
        <v/>
      </c>
      <c r="F275" s="240" t="str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 t="str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 t="str">
        <f>IF(F275="","",SUMIFS(Лэндинг!$K$5:$K$300,Лэндинг!$E$5:$E$300,$B275)+SUMIFS(Закрытые!$K$5:$K$300,Закрытые!$E$5:$E$300,$B275,Закрытые!$B$5:$B$300,"L-*"))</f>
        <v/>
      </c>
      <c r="I275" s="240" t="str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 t="str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 t="str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 t="str">
        <f>IF(C276="","",SUMIFS(Лэндинг!$H$5:$H$300,Лэндинг!$E$5:$E$300,$B276)+SUMIFS(Закрытые!$H$5:$H$300,Закрытые!$E$5:$E$300,$B276,Закрытые!$B$5:$B$300,"L-*"))</f>
        <v/>
      </c>
      <c r="F276" s="246" t="str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 t="str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 t="str">
        <f>IF(F276="","",SUMIFS(Лэндинг!$K$5:$K$300,Лэндинг!$E$5:$E$300,$B276)+SUMIFS(Закрытые!$K$5:$K$300,Закрытые!$E$5:$E$300,$B276,Закрытые!$B$5:$B$300,"L-*"))</f>
        <v/>
      </c>
      <c r="I276" s="246" t="str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 t="str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 t="str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 t="str">
        <f>IF(C277="","",SUMIFS(Лэндинг!$H$5:$H$300,Лэндинг!$E$5:$E$300,$B277)+SUMIFS(Закрытые!$H$5:$H$300,Закрытые!$E$5:$E$300,$B277,Закрытые!$B$5:$B$300,"L-*"))</f>
        <v/>
      </c>
      <c r="F277" s="240" t="str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 t="str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 t="str">
        <f>IF(F277="","",SUMIFS(Лэндинг!$K$5:$K$300,Лэндинг!$E$5:$E$300,$B277)+SUMIFS(Закрытые!$K$5:$K$300,Закрытые!$E$5:$E$300,$B277,Закрытые!$B$5:$B$300,"L-*"))</f>
        <v/>
      </c>
      <c r="I277" s="240" t="str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 t="str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 t="str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 t="str">
        <f>IF(C278="","",SUMIFS(Лэндинг!$H$5:$H$300,Лэндинг!$E$5:$E$300,$B278)+SUMIFS(Закрытые!$H$5:$H$300,Закрытые!$E$5:$E$300,$B278,Закрытые!$B$5:$B$300,"L-*"))</f>
        <v/>
      </c>
      <c r="F278" s="246" t="str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 t="str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 t="str">
        <f>IF(F278="","",SUMIFS(Лэндинг!$K$5:$K$300,Лэндинг!$E$5:$E$300,$B278)+SUMIFS(Закрытые!$K$5:$K$300,Закрытые!$E$5:$E$300,$B278,Закрытые!$B$5:$B$300,"L-*"))</f>
        <v/>
      </c>
      <c r="I278" s="246" t="str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 t="str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 t="str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 t="str">
        <f>IF(C279="","",SUMIFS(Лэндинг!$H$5:$H$300,Лэндинг!$E$5:$E$300,$B279)+SUMIFS(Закрытые!$H$5:$H$300,Закрытые!$E$5:$E$300,$B279,Закрытые!$B$5:$B$300,"L-*"))</f>
        <v/>
      </c>
      <c r="F279" s="240" t="str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 t="str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 t="str">
        <f>IF(F279="","",SUMIFS(Лэндинг!$K$5:$K$300,Лэндинг!$E$5:$E$300,$B279)+SUMIFS(Закрытые!$K$5:$K$300,Закрытые!$E$5:$E$300,$B279,Закрытые!$B$5:$B$300,"L-*"))</f>
        <v/>
      </c>
      <c r="I279" s="240" t="str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 t="str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 t="str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 t="str">
        <f>IF(C280="","",SUMIFS(Лэндинг!$H$5:$H$300,Лэндинг!$E$5:$E$300,$B280)+SUMIFS(Закрытые!$H$5:$H$300,Закрытые!$E$5:$E$300,$B280,Закрытые!$B$5:$B$300,"L-*"))</f>
        <v/>
      </c>
      <c r="F280" s="246" t="str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 t="str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 t="str">
        <f>IF(F280="","",SUMIFS(Лэндинг!$K$5:$K$300,Лэндинг!$E$5:$E$300,$B280)+SUMIFS(Закрытые!$K$5:$K$300,Закрытые!$E$5:$E$300,$B280,Закрытые!$B$5:$B$300,"L-*"))</f>
        <v/>
      </c>
      <c r="I280" s="246" t="str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 t="str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 t="str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 t="str">
        <f>IF(C281="","",SUMIFS(Лэндинг!$H$5:$H$300,Лэндинг!$E$5:$E$300,$B281)+SUMIFS(Закрытые!$H$5:$H$300,Закрытые!$E$5:$E$300,$B281,Закрытые!$B$5:$B$300,"L-*"))</f>
        <v/>
      </c>
      <c r="F281" s="240" t="str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 t="str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 t="str">
        <f>IF(F281="","",SUMIFS(Лэндинг!$K$5:$K$300,Лэндинг!$E$5:$E$300,$B281)+SUMIFS(Закрытые!$K$5:$K$300,Закрытые!$E$5:$E$300,$B281,Закрытые!$B$5:$B$300,"L-*"))</f>
        <v/>
      </c>
      <c r="I281" s="240" t="str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 t="str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 t="str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 t="str">
        <f>IF(C282="","",SUMIFS(Лэндинг!$H$5:$H$300,Лэндинг!$E$5:$E$300,$B282)+SUMIFS(Закрытые!$H$5:$H$300,Закрытые!$E$5:$E$300,$B282,Закрытые!$B$5:$B$300,"L-*"))</f>
        <v/>
      </c>
      <c r="F282" s="246" t="str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 t="str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 t="str">
        <f>IF(F282="","",SUMIFS(Лэндинг!$K$5:$K$300,Лэндинг!$E$5:$E$300,$B282)+SUMIFS(Закрытые!$K$5:$K$300,Закрытые!$E$5:$E$300,$B282,Закрытые!$B$5:$B$300,"L-*"))</f>
        <v/>
      </c>
      <c r="I282" s="246" t="str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 t="str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 t="str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 t="str">
        <f>IF(C283="","",SUMIFS(Лэндинг!$H$5:$H$300,Лэндинг!$E$5:$E$300,$B283)+SUMIFS(Закрытые!$H$5:$H$300,Закрытые!$E$5:$E$300,$B283,Закрытые!$B$5:$B$300,"L-*"))</f>
        <v/>
      </c>
      <c r="F283" s="240" t="str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 t="str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 t="str">
        <f>IF(F283="","",SUMIFS(Лэндинг!$K$5:$K$300,Лэндинг!$E$5:$E$300,$B283)+SUMIFS(Закрытые!$K$5:$K$300,Закрытые!$E$5:$E$300,$B283,Закрытые!$B$5:$B$300,"L-*"))</f>
        <v/>
      </c>
      <c r="I283" s="240" t="str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 t="str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 t="str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 t="str">
        <f>IF(C284="","",SUMIFS(Лэндинг!$H$5:$H$300,Лэндинг!$E$5:$E$300,$B284)+SUMIFS(Закрытые!$H$5:$H$300,Закрытые!$E$5:$E$300,$B284,Закрытые!$B$5:$B$300,"L-*"))</f>
        <v/>
      </c>
      <c r="F284" s="246" t="str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 t="str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 t="str">
        <f>IF(F284="","",SUMIFS(Лэндинг!$K$5:$K$300,Лэндинг!$E$5:$E$300,$B284)+SUMIFS(Закрытые!$K$5:$K$300,Закрытые!$E$5:$E$300,$B284,Закрытые!$B$5:$B$300,"L-*"))</f>
        <v/>
      </c>
      <c r="I284" s="246" t="str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 t="str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 t="str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 t="str">
        <f>IF(C285="","",SUMIFS(Лэндинг!$H$5:$H$300,Лэндинг!$E$5:$E$300,$B285)+SUMIFS(Закрытые!$H$5:$H$300,Закрытые!$E$5:$E$300,$B285,Закрытые!$B$5:$B$300,"L-*"))</f>
        <v/>
      </c>
      <c r="F285" s="240" t="str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 t="str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 t="str">
        <f>IF(F285="","",SUMIFS(Лэндинг!$K$5:$K$300,Лэндинг!$E$5:$E$300,$B285)+SUMIFS(Закрытые!$K$5:$K$300,Закрытые!$E$5:$E$300,$B285,Закрытые!$B$5:$B$300,"L-*"))</f>
        <v/>
      </c>
      <c r="I285" s="240" t="str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 t="str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 t="str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 t="str">
        <f>IF(C286="","",SUMIFS(Лэндинг!$H$5:$H$300,Лэндинг!$E$5:$E$300,$B286)+SUMIFS(Закрытые!$H$5:$H$300,Закрытые!$E$5:$E$300,$B286,Закрытые!$B$5:$B$300,"L-*"))</f>
        <v/>
      </c>
      <c r="F286" s="246" t="str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 t="str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 t="str">
        <f>IF(F286="","",SUMIFS(Лэндинг!$K$5:$K$300,Лэндинг!$E$5:$E$300,$B286)+SUMIFS(Закрытые!$K$5:$K$300,Закрытые!$E$5:$E$300,$B286,Закрытые!$B$5:$B$300,"L-*"))</f>
        <v/>
      </c>
      <c r="I286" s="246" t="str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 t="str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 t="str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 t="str">
        <f>IF(C287="","",SUMIFS(Лэндинг!$H$5:$H$300,Лэндинг!$E$5:$E$300,$B287)+SUMIFS(Закрытые!$H$5:$H$300,Закрытые!$E$5:$E$300,$B287,Закрытые!$B$5:$B$300,"L-*"))</f>
        <v/>
      </c>
      <c r="F287" s="240" t="str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 t="str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 t="str">
        <f>IF(F287="","",SUMIFS(Лэндинг!$K$5:$K$300,Лэндинг!$E$5:$E$300,$B287)+SUMIFS(Закрытые!$K$5:$K$300,Закрытые!$E$5:$E$300,$B287,Закрытые!$B$5:$B$300,"L-*"))</f>
        <v/>
      </c>
      <c r="I287" s="240" t="str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 t="str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 t="str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 t="str">
        <f>IF(C288="","",SUMIFS(Лэндинг!$H$5:$H$300,Лэндинг!$E$5:$E$300,$B288)+SUMIFS(Закрытые!$H$5:$H$300,Закрытые!$E$5:$E$300,$B288,Закрытые!$B$5:$B$300,"L-*"))</f>
        <v/>
      </c>
      <c r="F288" s="246" t="str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 t="str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 t="str">
        <f>IF(F288="","",SUMIFS(Лэндинг!$K$5:$K$300,Лэндинг!$E$5:$E$300,$B288)+SUMIFS(Закрытые!$K$5:$K$300,Закрытые!$E$5:$E$300,$B288,Закрытые!$B$5:$B$300,"L-*"))</f>
        <v/>
      </c>
      <c r="I288" s="246" t="str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 t="str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 t="str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 t="str">
        <f>IF(C289="","",SUMIFS(Лэндинг!$H$5:$H$300,Лэндинг!$E$5:$E$300,$B289)+SUMIFS(Закрытые!$H$5:$H$300,Закрытые!$E$5:$E$300,$B289,Закрытые!$B$5:$B$300,"L-*"))</f>
        <v/>
      </c>
      <c r="F289" s="240" t="str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 t="str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 t="str">
        <f>IF(F289="","",SUMIFS(Лэндинг!$K$5:$K$300,Лэндинг!$E$5:$E$300,$B289)+SUMIFS(Закрытые!$K$5:$K$300,Закрытые!$E$5:$E$300,$B289,Закрытые!$B$5:$B$300,"L-*"))</f>
        <v/>
      </c>
      <c r="I289" s="240" t="str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 t="str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 t="str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 t="str">
        <f>IF(C290="","",SUMIFS(Лэндинг!$H$5:$H$300,Лэндинг!$E$5:$E$300,$B290)+SUMIFS(Закрытые!$H$5:$H$300,Закрытые!$E$5:$E$300,$B290,Закрытые!$B$5:$B$300,"L-*"))</f>
        <v/>
      </c>
      <c r="F290" s="246" t="str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 t="str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 t="str">
        <f>IF(F290="","",SUMIFS(Лэндинг!$K$5:$K$300,Лэндинг!$E$5:$E$300,$B290)+SUMIFS(Закрытые!$K$5:$K$300,Закрытые!$E$5:$E$300,$B290,Закрытые!$B$5:$B$300,"L-*"))</f>
        <v/>
      </c>
      <c r="I290" s="246" t="str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 t="str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 t="str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 t="str">
        <f>IF(C291="","",SUMIFS(Лэндинг!$H$5:$H$300,Лэндинг!$E$5:$E$300,$B291)+SUMIFS(Закрытые!$H$5:$H$300,Закрытые!$E$5:$E$300,$B291,Закрытые!$B$5:$B$300,"L-*"))</f>
        <v/>
      </c>
      <c r="F291" s="240" t="str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 t="str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 t="str">
        <f>IF(F291="","",SUMIFS(Лэндинг!$K$5:$K$300,Лэндинг!$E$5:$E$300,$B291)+SUMIFS(Закрытые!$K$5:$K$300,Закрытые!$E$5:$E$300,$B291,Закрытые!$B$5:$B$300,"L-*"))</f>
        <v/>
      </c>
      <c r="I291" s="240" t="str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 t="str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 t="str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 t="str">
        <f>IF(C292="","",SUMIFS(Лэндинг!$H$5:$H$300,Лэндинг!$E$5:$E$300,$B292)+SUMIFS(Закрытые!$H$5:$H$300,Закрытые!$E$5:$E$300,$B292,Закрытые!$B$5:$B$300,"L-*"))</f>
        <v/>
      </c>
      <c r="F292" s="246" t="str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 t="str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 t="str">
        <f>IF(F292="","",SUMIFS(Лэндинг!$K$5:$K$300,Лэндинг!$E$5:$E$300,$B292)+SUMIFS(Закрытые!$K$5:$K$300,Закрытые!$E$5:$E$300,$B292,Закрытые!$B$5:$B$300,"L-*"))</f>
        <v/>
      </c>
      <c r="I292" s="246" t="str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 t="str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 t="str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 t="str">
        <f>IF(C293="","",SUMIFS(Лэндинг!$H$5:$H$300,Лэндинг!$E$5:$E$300,$B293)+SUMIFS(Закрытые!$H$5:$H$300,Закрытые!$E$5:$E$300,$B293,Закрытые!$B$5:$B$300,"L-*"))</f>
        <v/>
      </c>
      <c r="F293" s="240" t="str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 t="str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 t="str">
        <f>IF(F293="","",SUMIFS(Лэндинг!$K$5:$K$300,Лэндинг!$E$5:$E$300,$B293)+SUMIFS(Закрытые!$K$5:$K$300,Закрытые!$E$5:$E$300,$B293,Закрытые!$B$5:$B$300,"L-*"))</f>
        <v/>
      </c>
      <c r="I293" s="240" t="str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 t="str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 t="str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 t="str">
        <f>IF(C294="","",SUMIFS(Лэндинг!$H$5:$H$300,Лэндинг!$E$5:$E$300,$B294)+SUMIFS(Закрытые!$H$5:$H$300,Закрытые!$E$5:$E$300,$B294,Закрытые!$B$5:$B$300,"L-*"))</f>
        <v/>
      </c>
      <c r="F294" s="246" t="str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 t="str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 t="str">
        <f>IF(F294="","",SUMIFS(Лэндинг!$K$5:$K$300,Лэндинг!$E$5:$E$300,$B294)+SUMIFS(Закрытые!$K$5:$K$300,Закрытые!$E$5:$E$300,$B294,Закрытые!$B$5:$B$300,"L-*"))</f>
        <v/>
      </c>
      <c r="I294" s="246" t="str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 t="str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 t="str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 t="str">
        <f>IF(C295="","",SUMIFS(Лэндинг!$H$5:$H$300,Лэндинг!$E$5:$E$300,$B295)+SUMIFS(Закрытые!$H$5:$H$300,Закрытые!$E$5:$E$300,$B295,Закрытые!$B$5:$B$300,"L-*"))</f>
        <v/>
      </c>
      <c r="F295" s="240" t="str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 t="str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 t="str">
        <f>IF(F295="","",SUMIFS(Лэндинг!$K$5:$K$300,Лэндинг!$E$5:$E$300,$B295)+SUMIFS(Закрытые!$K$5:$K$300,Закрытые!$E$5:$E$300,$B295,Закрытые!$B$5:$B$300,"L-*"))</f>
        <v/>
      </c>
      <c r="I295" s="240" t="str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 t="str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 t="str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 t="str">
        <f>IF(C296="","",SUMIFS(Лэндинг!$H$5:$H$300,Лэндинг!$E$5:$E$300,$B296)+SUMIFS(Закрытые!$H$5:$H$300,Закрытые!$E$5:$E$300,$B296,Закрытые!$B$5:$B$300,"L-*"))</f>
        <v/>
      </c>
      <c r="F296" s="246" t="str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 t="str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 t="str">
        <f>IF(F296="","",SUMIFS(Лэндинг!$K$5:$K$300,Лэндинг!$E$5:$E$300,$B296)+SUMIFS(Закрытые!$K$5:$K$300,Закрытые!$E$5:$E$300,$B296,Закрытые!$B$5:$B$300,"L-*"))</f>
        <v/>
      </c>
      <c r="I296" s="246" t="str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 t="str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 t="str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 t="str">
        <f>IF(C297="","",SUMIFS(Лэндинг!$H$5:$H$300,Лэндинг!$E$5:$E$300,$B297)+SUMIFS(Закрытые!$H$5:$H$300,Закрытые!$E$5:$E$300,$B297,Закрытые!$B$5:$B$300,"L-*"))</f>
        <v/>
      </c>
      <c r="F297" s="240" t="str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 t="str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 t="str">
        <f>IF(F297="","",SUMIFS(Лэндинг!$K$5:$K$300,Лэндинг!$E$5:$E$300,$B297)+SUMIFS(Закрытые!$K$5:$K$300,Закрытые!$E$5:$E$300,$B297,Закрытые!$B$5:$B$300,"L-*"))</f>
        <v/>
      </c>
      <c r="I297" s="240" t="str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 t="str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 t="str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 t="str">
        <f>IF(C298="","",SUMIFS(Лэндинг!$H$5:$H$300,Лэндинг!$E$5:$E$300,$B298)+SUMIFS(Закрытые!$H$5:$H$300,Закрытые!$E$5:$E$300,$B298,Закрытые!$B$5:$B$300,"L-*"))</f>
        <v/>
      </c>
      <c r="F298" s="246" t="str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 t="str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 t="str">
        <f>IF(F298="","",SUMIFS(Лэндинг!$K$5:$K$300,Лэндинг!$E$5:$E$300,$B298)+SUMIFS(Закрытые!$K$5:$K$300,Закрытые!$E$5:$E$300,$B298,Закрытые!$B$5:$B$300,"L-*"))</f>
        <v/>
      </c>
      <c r="I298" s="246" t="str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 t="str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 t="str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 t="str">
        <f>IF(C299="","",SUMIFS(Лэндинг!$H$5:$H$300,Лэндинг!$E$5:$E$300,$B299)+SUMIFS(Закрытые!$H$5:$H$300,Закрытые!$E$5:$E$300,$B299,Закрытые!$B$5:$B$300,"L-*"))</f>
        <v/>
      </c>
      <c r="F299" s="240" t="str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 t="str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 t="str">
        <f>IF(F299="","",SUMIFS(Лэндинг!$K$5:$K$300,Лэндинг!$E$5:$E$300,$B299)+SUMIFS(Закрытые!$K$5:$K$300,Закрытые!$E$5:$E$300,$B299,Закрытые!$B$5:$B$300,"L-*"))</f>
        <v/>
      </c>
      <c r="I299" s="240" t="str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 t="str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 t="str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 t="str">
        <f>IF(C300="","",SUMIFS(Лэндинг!$H$5:$H$300,Лэндинг!$E$5:$E$300,$B300)+SUMIFS(Закрытые!$H$5:$H$300,Закрытые!$E$5:$E$300,$B300,Закрытые!$B$5:$B$300,"L-*"))</f>
        <v/>
      </c>
      <c r="F300" s="246" t="str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 t="str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 t="str">
        <f>IF(F300="","",SUMIFS(Лэндинг!$K$5:$K$300,Лэндинг!$E$5:$E$300,$B300)+SUMIFS(Закрытые!$K$5:$K$300,Закрытые!$E$5:$E$300,$B300,Закрытые!$B$5:$B$300,"L-*"))</f>
        <v/>
      </c>
      <c r="I300" s="246" t="str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 t="str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IF(AND(ISNUMBER(F5),ISNUMBER(H5)),ROUND(H5-F5,8),"")</f>
        <v>0.2</v>
      </c>
      <c r="K5" s="241">
        <f>IF(AND(ISNUMBER(G5),ISNUMBER(I5)),ROUND(I5-G5,8),"")</f>
        <v>-60</v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IF(AND(ISNUMBER(F6),ISNUMBER(H6)),ROUND(H6-F6,8),"")</f>
        <v/>
      </c>
      <c r="K6" s="247" t="str">
        <f>IF(AND(ISNUMBER(G6),ISNUMBER(I6)),ROUND(I6-G6,8),"")</f>
        <v/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IF(AND(ISNUMBER(F7),ISNUMBER(H7)),ROUND(H7-F7,8),"")</f>
        <v>-0.04</v>
      </c>
      <c r="K7" s="241">
        <f>IF(AND(ISNUMBER(G7),ISNUMBER(I7)),ROUND(I7-G7,8),"")</f>
        <v>0.0052</v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IF(AND(ISNUMBER(F8),ISNUMBER(H8)),ROUND(H8-F8,8),"")</f>
        <v/>
      </c>
      <c r="K8" s="247" t="str">
        <f>IF(AND(ISNUMBER(G8),ISNUMBER(I8)),ROUND(I8-G8,8),"")</f>
        <v/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IF(AND(ISNUMBER(F9),ISNUMBER(H9)),ROUND(H9-F9,8),"")</f>
        <v/>
      </c>
      <c r="K9" s="241" t="str">
        <f>IF(AND(ISNUMBER(G9),ISNUMBER(I9)),ROUND(I9-G9,8),"")</f>
        <v/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IF(AND(ISNUMBER(F10),ISNUMBER(H10)),ROUND(H10-F10,8),"")</f>
        <v>-1.5</v>
      </c>
      <c r="K10" s="247">
        <f>IF(AND(ISNUMBER(G10),ISNUMBER(I10)),ROUND(I10-G10,8),"")</f>
        <v>210</v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IF(AND(ISNUMBER(F11),ISNUMBER(H11)),ROUND(H11-F11,8),"")</f>
        <v>0.6</v>
      </c>
      <c r="K11" s="241">
        <f>IF(AND(ISNUMBER(G11),ISNUMBER(I11)),ROUND(I11-G11,8),"")</f>
        <v>-52</v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/>
      <c r="I12" s="247" t="n"/>
      <c r="J12" s="246" t="str">
        <f>IF(AND(ISNUMBER(F12),ISNUMBER(H12)),ROUND(H12-F12,8),"")</f>
        <v/>
      </c>
      <c r="K12" s="247" t="str">
        <f>IF(AND(ISNUMBER(G12),ISNUMBER(I12)),ROUND(I12-G12,8),"")</f>
        <v/>
      </c>
    </row>
  </sheetData>
  <autoFilter ref="B4:K12"/>
  <mergeCells count="1">
    <mergeCell ref="B1:K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IF($B5="","",IF(COUNTIFS(Пул!$E$5:$E$200,$B5,Пул!$F$5:$F$200,"&lt;&gt;")=0,"",ROUND(SUMIFS(Пул!$F$5:$F$200,Пул!$E$5:$E$200,$B5),8)))</f>
        <v>4</v>
      </c>
      <c r="D5" s="241">
        <f>IF($B5="","",IF(COUNTIFS(Пул!$E$5:$E$200,$B5,Пул!$G$5:$G$200,"&lt;&gt;")=0,"",ROUND(SUMIFS(Пул!$G$5:$G$200,Пул!$E$5:$E$200,$B5),8)))</f>
        <v>2360</v>
      </c>
      <c r="E5" s="240">
        <f>IF($B5="","",IF(COUNTIFS(Пул!$E$5:$E$200,$B5,Пул!$H$5:$H$200,"&lt;&gt;")=0,"",ROUND(SUMIFS(Пул!$H$5:$H$200,Пул!$E$5:$E$200,$B5),8)))</f>
        <v>4.2</v>
      </c>
      <c r="F5" s="241">
        <f>IF($B5="","",IF(COUNTIFS(Пул!$E$5:$E$200,$B5,Пул!$I$5:$I$200,"&lt;&gt;")=0,"",ROUND(SUMIFS(Пул!$I$5:$I$200,Пул!$E$5:$E$200,$B5),8)))</f>
        <v>2300</v>
      </c>
      <c r="G5" s="240">
        <f>IF($B5="","",IF(COUNTIFS(Пул!$E$5:$E$200,$B5,Пул!$H$5:$H$200,"&lt;&gt;")=0,"",ROUND(SUMIFS(Пул!$J$5:$J$200,Пул!$E$5:$E$200,$B5),8)))</f>
        <v>0.2</v>
      </c>
      <c r="H5" s="241">
        <f>IF($B5="","",IF(COUNTIFS(Пул!$E$5:$E$200,$B5,Пул!$I$5:$I$200,"&lt;&gt;")=0,"",ROUND(SUMIFS(Пул!$K$5:$K$200,Пул!$E$5:$E$200,$B5),8)))</f>
        <v>-60</v>
      </c>
      <c r="I5" s="236" t="str">
        <f>IF(AND(ISNUMBER(G5),ISNUMBER(H5)),IF(AND(G5&gt;0,H5&lt;0),"Buy",IF(AND(G5&lt;0,H5&gt;0),"Sell","")),"")</f>
        <v>Buy</v>
      </c>
      <c r="J5" s="177">
        <f>IF(I5="Buy",G5,IF(I5="Sell",-G5,""))</f>
        <v>0.2</v>
      </c>
      <c r="K5" s="177">
        <f>IF(AND(ISNUMBER(J5),ISNUMBER(L5),N(J5)&lt;&gt;0),ROUND(L5/J5,8),"")</f>
        <v>300</v>
      </c>
      <c r="L5" s="177">
        <f>IF(I5="Buy",-H5,IF(I5="Sell",H5,""))</f>
        <v>60</v>
      </c>
    </row>
    <row r="6" ht="22" customHeight="1">
      <c r="B6" s="245" t="inlineStr">
        <is>
          <t>BTC/USDT</t>
        </is>
      </c>
      <c r="C6" s="246">
        <f>IF($B6="","",IF(COUNTIFS(Пул!$E$5:$E$200,$B6,Пул!$F$5:$F$200,"&lt;&gt;")=0,"",ROUND(SUMIFS(Пул!$F$5:$F$200,Пул!$E$5:$E$200,$B6),8)))</f>
        <v>0.05</v>
      </c>
      <c r="D6" s="247">
        <f>IF($B6="","",IF(COUNTIFS(Пул!$E$5:$E$200,$B6,Пул!$G$5:$G$200,"&lt;&gt;")=0,"",ROUND(SUMIFS(Пул!$G$5:$G$200,Пул!$E$5:$E$200,$B6),8)))</f>
        <v>3125</v>
      </c>
      <c r="E6" s="246" t="str">
        <f>IF($B6="","",IF(COUNTIFS(Пул!$E$5:$E$200,$B6,Пул!$H$5:$H$200,"&lt;&gt;")=0,"",ROUND(SUMIFS(Пул!$H$5:$H$200,Пул!$E$5:$E$200,$B6),8)))</f>
        <v/>
      </c>
      <c r="F6" s="247" t="str">
        <f>IF($B6="","",IF(COUNTIFS(Пул!$E$5:$E$200,$B6,Пул!$I$5:$I$200,"&lt;&gt;")=0,"",ROUND(SUMIFS(Пул!$I$5:$I$200,Пул!$E$5:$E$200,$B6),8)))</f>
        <v/>
      </c>
      <c r="G6" s="246" t="str">
        <f>IF($B6="","",IF(COUNTIFS(Пул!$E$5:$E$200,$B6,Пул!$H$5:$H$200,"&lt;&gt;")=0,"",ROUND(SUMIFS(Пул!$J$5:$J$200,Пул!$E$5:$E$200,$B6),8)))</f>
        <v/>
      </c>
      <c r="H6" s="247" t="str">
        <f>IF($B6="","",IF(COUNTIFS(Пул!$E$5:$E$200,$B6,Пул!$I$5:$I$200,"&lt;&gt;")=0,"",ROUND(SUMIFS(Пул!$K$5:$K$200,Пул!$E$5:$E$200,$B6),8)))</f>
        <v/>
      </c>
      <c r="I6" s="242" t="str">
        <f>IF(AND(ISNUMBER(G6),ISNUMBER(H6)),IF(AND(G6&gt;0,H6&lt;0),"Buy",IF(AND(G6&lt;0,H6&gt;0),"Sell","")),"")</f>
        <v/>
      </c>
      <c r="J6" s="183" t="str">
        <f>IF(I6="Buy",G6,IF(I6="Sell",-G6,""))</f>
        <v/>
      </c>
      <c r="K6" s="183" t="str">
        <f>IF(AND(ISNUMBER(J6),ISNUMBER(L6),N(J6)&lt;&gt;0),ROUND(L6/J6,8),"")</f>
        <v/>
      </c>
      <c r="L6" s="183" t="str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IF($B7="","",IF(COUNTIFS(Пул!$E$5:$E$200,$B7,Пул!$F$5:$F$200,"&lt;&gt;")=0,"",ROUND(SUMIFS(Пул!$F$5:$F$200,Пул!$E$5:$E$200,$B7),8)))</f>
        <v>3.2</v>
      </c>
      <c r="D7" s="241">
        <f>IF($B7="","",IF(COUNTIFS(Пул!$E$5:$E$200,$B7,Пул!$G$5:$G$200,"&lt;&gt;")=0,"",ROUND(SUMIFS(Пул!$G$5:$G$200,Пул!$E$5:$E$200,$B7),8)))</f>
        <v>0.1664</v>
      </c>
      <c r="E7" s="240">
        <f>IF($B7="","",IF(COUNTIFS(Пул!$E$5:$E$200,$B7,Пул!$H$5:$H$200,"&lt;&gt;")=0,"",ROUND(SUMIFS(Пул!$H$5:$H$200,Пул!$E$5:$E$200,$B7),8)))</f>
        <v>1.96</v>
      </c>
      <c r="F7" s="241">
        <f>IF($B7="","",IF(COUNTIFS(Пул!$E$5:$E$200,$B7,Пул!$I$5:$I$200,"&lt;&gt;")=0,"",ROUND(SUMIFS(Пул!$I$5:$I$200,Пул!$E$5:$E$200,$B7),8)))</f>
        <v>0.1092</v>
      </c>
      <c r="G7" s="240">
        <f>IF($B7="","",IF(COUNTIFS(Пул!$E$5:$E$200,$B7,Пул!$H$5:$H$200,"&lt;&gt;")=0,"",ROUND(SUMIFS(Пул!$J$5:$J$200,Пул!$E$5:$E$200,$B7),8)))</f>
        <v>-0.04</v>
      </c>
      <c r="H7" s="241">
        <f>IF($B7="","",IF(COUNTIFS(Пул!$E$5:$E$200,$B7,Пул!$I$5:$I$200,"&lt;&gt;")=0,"",ROUND(SUMIFS(Пул!$K$5:$K$200,Пул!$E$5:$E$200,$B7),8)))</f>
        <v>0.0052</v>
      </c>
      <c r="I7" s="236" t="str">
        <f>IF(AND(ISNUMBER(G7),ISNUMBER(H7)),IF(AND(G7&gt;0,H7&lt;0),"Buy",IF(AND(G7&lt;0,H7&gt;0),"Sell","")),"")</f>
        <v>Sell</v>
      </c>
      <c r="J7" s="177">
        <f>IF(I7="Buy",G7,IF(I7="Sell",-G7,""))</f>
        <v>0.04</v>
      </c>
      <c r="K7" s="177">
        <f>IF(AND(ISNUMBER(J7),ISNUMBER(L7),N(J7)&lt;&gt;0),ROUND(L7/J7,8),"")</f>
        <v>0.13</v>
      </c>
      <c r="L7" s="177">
        <f>IF(I7="Buy",-H7,IF(I7="Sell",H7,""))</f>
        <v>0.0052</v>
      </c>
    </row>
    <row r="8" ht="22" customHeight="1">
      <c r="B8" s="245" t="inlineStr">
        <is>
          <t>ETH/USDT</t>
        </is>
      </c>
      <c r="C8" s="246">
        <f>IF($B8="","",IF(COUNTIFS(Пул!$E$5:$E$200,$B8,Пул!$F$5:$F$200,"&lt;&gt;")=0,"",ROUND(SUMIFS(Пул!$F$5:$F$200,Пул!$E$5:$E$200,$B8),8)))</f>
        <v>1.5</v>
      </c>
      <c r="D8" s="247">
        <f>IF($B8="","",IF(COUNTIFS(Пул!$E$5:$E$200,$B8,Пул!$G$5:$G$200,"&lt;&gt;")=0,"",ROUND(SUMIFS(Пул!$G$5:$G$200,Пул!$E$5:$E$200,$B8),8)))</f>
        <v>4800</v>
      </c>
      <c r="E8" s="246" t="str">
        <f>IF($B8="","",IF(COUNTIFS(Пул!$E$5:$E$200,$B8,Пул!$H$5:$H$200,"&lt;&gt;")=0,"",ROUND(SUMIFS(Пул!$H$5:$H$200,Пул!$E$5:$E$200,$B8),8)))</f>
        <v/>
      </c>
      <c r="F8" s="247" t="str">
        <f>IF($B8="","",IF(COUNTIFS(Пул!$E$5:$E$200,$B8,Пул!$I$5:$I$200,"&lt;&gt;")=0,"",ROUND(SUMIFS(Пул!$I$5:$I$200,Пул!$E$5:$E$200,$B8),8)))</f>
        <v/>
      </c>
      <c r="G8" s="246" t="str">
        <f>IF($B8="","",IF(COUNTIFS(Пул!$E$5:$E$200,$B8,Пул!$H$5:$H$200,"&lt;&gt;")=0,"",ROUND(SUMIFS(Пул!$J$5:$J$200,Пул!$E$5:$E$200,$B8),8)))</f>
        <v/>
      </c>
      <c r="H8" s="247" t="str">
        <f>IF($B8="","",IF(COUNTIFS(Пул!$E$5:$E$200,$B8,Пул!$I$5:$I$200,"&lt;&gt;")=0,"",ROUND(SUMIFS(Пул!$K$5:$K$200,Пул!$E$5:$E$200,$B8),8)))</f>
        <v/>
      </c>
      <c r="I8" s="242" t="str">
        <f>IF(AND(ISNUMBER(G8),ISNUMBER(H8)),IF(AND(G8&gt;0,H8&lt;0),"Buy",IF(AND(G8&lt;0,H8&gt;0),"Sell","")),"")</f>
        <v/>
      </c>
      <c r="J8" s="183" t="str">
        <f>IF(I8="Buy",G8,IF(I8="Sell",-G8,""))</f>
        <v/>
      </c>
      <c r="K8" s="183" t="str">
        <f>IF(AND(ISNUMBER(J8),ISNUMBER(L8),N(J8)&lt;&gt;0),ROUND(L8/J8,8),"")</f>
        <v/>
      </c>
      <c r="L8" s="183" t="str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IF($B9="","",IF(COUNTIFS(Пул!$E$5:$E$200,$B9,Пул!$F$5:$F$200,"&lt;&gt;")=0,"",ROUND(SUMIFS(Пул!$F$5:$F$200,Пул!$E$5:$E$200,$B9),8)))</f>
        <v>67</v>
      </c>
      <c r="D9" s="241">
        <f>IF($B9="","",IF(COUNTIFS(Пул!$E$5:$E$200,$B9,Пул!$G$5:$G$200,"&lt;&gt;")=0,"",ROUND(SUMIFS(Пул!$G$5:$G$200,Пул!$E$5:$E$200,$B9),8)))</f>
        <v>9715</v>
      </c>
      <c r="E9" s="240">
        <f>IF($B9="","",IF(COUNTIFS(Пул!$E$5:$E$200,$B9,Пул!$H$5:$H$200,"&lt;&gt;")=0,"",ROUND(SUMIFS(Пул!$H$5:$H$200,Пул!$E$5:$E$200,$B9),8)))</f>
        <v>41.1</v>
      </c>
      <c r="F9" s="241">
        <f>IF($B9="","",IF(COUNTIFS(Пул!$E$5:$E$200,$B9,Пул!$I$5:$I$200,"&lt;&gt;")=0,"",ROUND(SUMIFS(Пул!$I$5:$I$200,Пул!$E$5:$E$200,$B9),8)))</f>
        <v>6248</v>
      </c>
      <c r="G9" s="240">
        <f>IF($B9="","",IF(COUNTIFS(Пул!$E$5:$E$200,$B9,Пул!$H$5:$H$200,"&lt;&gt;")=0,"",ROUND(SUMIFS(Пул!$J$5:$J$200,Пул!$E$5:$E$200,$B9),8)))</f>
        <v>-0.9</v>
      </c>
      <c r="H9" s="241">
        <f>IF($B9="","",IF(COUNTIFS(Пул!$E$5:$E$200,$B9,Пул!$I$5:$I$200,"&lt;&gt;")=0,"",ROUND(SUMIFS(Пул!$K$5:$K$200,Пул!$E$5:$E$200,$B9),8)))</f>
        <v>158</v>
      </c>
      <c r="I9" s="236" t="str">
        <f>IF(AND(ISNUMBER(G9),ISNUMBER(H9)),IF(AND(G9&gt;0,H9&lt;0),"Buy",IF(AND(G9&lt;0,H9&gt;0),"Sell","")),"")</f>
        <v>Sell</v>
      </c>
      <c r="J9" s="177">
        <f>IF(I9="Buy",G9,IF(I9="Sell",-G9,""))</f>
        <v>0.9</v>
      </c>
      <c r="K9" s="177">
        <f>IF(AND(ISNUMBER(J9),ISNUMBER(L9),N(J9)&lt;&gt;0),ROUND(L9/J9,8),"")</f>
        <v>175.55555556</v>
      </c>
      <c r="L9" s="177">
        <f>IF(I9="Buy",-H9,IF(I9="Sell",H9,""))</f>
        <v>158</v>
      </c>
    </row>
    <row r="10" ht="22" customHeight="1">
      <c r="B10" s="245" t="n"/>
      <c r="C10" s="246" t="str">
        <f>IF($B10="","",IF(COUNTIFS(Пул!$E$5:$E$200,$B10,Пул!$F$5:$F$200,"&lt;&gt;")=0,"",ROUND(SUMIFS(Пул!$F$5:$F$200,Пул!$E$5:$E$200,$B10),8)))</f>
        <v/>
      </c>
      <c r="D10" s="247" t="str">
        <f>IF($B10="","",IF(COUNTIFS(Пул!$E$5:$E$200,$B10,Пул!$G$5:$G$200,"&lt;&gt;")=0,"",ROUND(SUMIFS(Пул!$G$5:$G$200,Пул!$E$5:$E$200,$B10),8)))</f>
        <v/>
      </c>
      <c r="E10" s="246" t="str">
        <f>IF($B10="","",IF(COUNTIFS(Пул!$E$5:$E$200,$B10,Пул!$H$5:$H$200,"&lt;&gt;")=0,"",ROUND(SUMIFS(Пул!$H$5:$H$200,Пул!$E$5:$E$200,$B10),8)))</f>
        <v/>
      </c>
      <c r="F10" s="247" t="str">
        <f>IF($B10="","",IF(COUNTIFS(Пул!$E$5:$E$200,$B10,Пул!$I$5:$I$200,"&lt;&gt;")=0,"",ROUND(SUMIFS(Пул!$I$5:$I$200,Пул!$E$5:$E$200,$B10),8)))</f>
        <v/>
      </c>
      <c r="G10" s="246" t="str">
        <f>IF($B10="","",IF(COUNTIFS(Пул!$E$5:$E$200,$B10,Пул!$H$5:$H$200,"&lt;&gt;")=0,"",ROUND(SUMIFS(Пул!$J$5:$J$200,Пул!$E$5:$E$200,$B10),8)))</f>
        <v/>
      </c>
      <c r="H10" s="247" t="str">
        <f>IF($B10="","",IF(COUNTIFS(Пул!$E$5:$E$200,$B10,Пул!$I$5:$I$200,"&lt;&gt;")=0,"",ROUND(SUMIFS(Пул!$K$5:$K$200,Пул!$E$5:$E$200,$B10),8)))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n"/>
      <c r="C11" s="240" t="str">
        <f>IF($B11="","",IF(COUNTIFS(Пул!$E$5:$E$200,$B11,Пул!$F$5:$F$200,"&lt;&gt;")=0,"",ROUND(SUMIFS(Пул!$F$5:$F$200,Пул!$E$5:$E$200,$B11),8)))</f>
        <v/>
      </c>
      <c r="D11" s="241" t="str">
        <f>IF($B11="","",IF(COUNTIFS(Пул!$E$5:$E$200,$B11,Пул!$G$5:$G$200,"&lt;&gt;")=0,"",ROUND(SUMIFS(Пул!$G$5:$G$200,Пул!$E$5:$E$200,$B11),8)))</f>
        <v/>
      </c>
      <c r="E11" s="240" t="str">
        <f>IF($B11="","",IF(COUNTIFS(Пул!$E$5:$E$200,$B11,Пул!$H$5:$H$200,"&lt;&gt;")=0,"",ROUND(SUMIFS(Пул!$H$5:$H$200,Пул!$E$5:$E$200,$B11),8)))</f>
        <v/>
      </c>
      <c r="F11" s="241" t="str">
        <f>IF($B11="","",IF(COUNTIFS(Пул!$E$5:$E$200,$B11,Пул!$I$5:$I$200,"&lt;&gt;")=0,"",ROUND(SUMIFS(Пул!$I$5:$I$200,Пул!$E$5:$E$200,$B11),8)))</f>
        <v/>
      </c>
      <c r="G11" s="240" t="str">
        <f>IF($B11="","",IF(COUNTIFS(Пул!$E$5:$E$200,$B11,Пул!$H$5:$H$200,"&lt;&gt;")=0,"",ROUND(SUMIFS(Пул!$J$5:$J$200,Пул!$E$5:$E$200,$B11),8)))</f>
        <v/>
      </c>
      <c r="H11" s="241" t="str">
        <f>IF($B11="","",IF(COUNTIFS(Пул!$E$5:$E$200,$B11,Пул!$I$5:$I$200,"&lt;&gt;")=0,"",ROUND(SUMIFS(Пул!$K$5:$K$200,Пул!$E$5:$E$200,$B11),8)))</f>
        <v/>
      </c>
      <c r="I11" s="236" t="str">
        <f>IF(AND(ISNUMBER(G11),ISNUMBER(H11)),IF(AND(G11&gt;0,H11&lt;0),"Buy",IF(AND(G11&lt;0,H11&gt;0),"Sell","")),"")</f>
        <v/>
      </c>
      <c r="J11" s="177" t="str">
        <f>IF(I11="Buy",G11,IF(I11="Sell",-G11,""))</f>
        <v/>
      </c>
      <c r="K11" s="177" t="str">
        <f>IF(AND(ISNUMBER(J11),ISNUMBER(L11),N(J11)&lt;&gt;0),ROUND(L11/J11,8),"")</f>
        <v/>
      </c>
      <c r="L11" s="177" t="str">
        <f>IF(I11="Buy",-H11,IF(I11="Sell",H11,""))</f>
        <v/>
      </c>
    </row>
    <row r="12" ht="22" customHeight="1">
      <c r="B12" s="245" t="n"/>
      <c r="C12" s="246" t="str">
        <f>IF($B12="","",IF(COUNTIFS(Пул!$E$5:$E$200,$B12,Пул!$F$5:$F$200,"&lt;&gt;")=0,"",ROUND(SUMIFS(Пул!$F$5:$F$200,Пул!$E$5:$E$200,$B12),8)))</f>
        <v/>
      </c>
      <c r="D12" s="247" t="str">
        <f>IF($B12="","",IF(COUNTIFS(Пул!$E$5:$E$200,$B12,Пул!$G$5:$G$200,"&lt;&gt;")=0,"",ROUND(SUMIFS(Пул!$G$5:$G$200,Пул!$E$5:$E$200,$B12),8)))</f>
        <v/>
      </c>
      <c r="E12" s="246" t="str">
        <f>IF($B12="","",IF(COUNTIFS(Пул!$E$5:$E$200,$B12,Пул!$H$5:$H$200,"&lt;&gt;")=0,"",ROUND(SUMIFS(Пул!$H$5:$H$200,Пул!$E$5:$E$200,$B12),8)))</f>
        <v/>
      </c>
      <c r="F12" s="247" t="str">
        <f>IF($B12="","",IF(COUNTIFS(Пул!$E$5:$E$200,$B12,Пул!$I$5:$I$200,"&lt;&gt;")=0,"",ROUND(SUMIFS(Пул!$I$5:$I$200,Пул!$E$5:$E$200,$B12),8)))</f>
        <v/>
      </c>
      <c r="G12" s="246" t="str">
        <f>IF($B12="","",IF(COUNTIFS(Пул!$E$5:$E$200,$B12,Пул!$H$5:$H$200,"&lt;&gt;")=0,"",ROUND(SUMIFS(Пул!$J$5:$J$200,Пул!$E$5:$E$200,$B12),8)))</f>
        <v/>
      </c>
      <c r="H12" s="247" t="str">
        <f>IF($B12="","",IF(COUNTIFS(Пул!$E$5:$E$200,$B12,Пул!$I$5:$I$200,"&lt;&gt;")=0,"",ROUND(SUMIFS(Пул!$K$5:$K$200,Пул!$E$5:$E$200,$B12),8)))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>1172.34</v>
      </c>
      <c r="I5" s="240" t="n">
        <v>2</v>
      </c>
      <c r="J5" s="177" t="n">
        <v>598.8</v>
      </c>
      <c r="K5" s="271">
        <f>IF(AND(ISNUMBER(I5),ISNUMBER(J5)),I5*J5,"")</f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>3116.22</v>
      </c>
      <c r="I6" s="246" t="n">
        <v>0.05</v>
      </c>
      <c r="J6" s="183" t="n">
        <v>62874</v>
      </c>
      <c r="K6" s="271">
        <f>IF(AND(ISNUMBER(I6),ISNUMBER(J6)),I6*J6,"")</f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>3206.4</v>
      </c>
      <c r="I7" s="240" t="n">
        <v>1</v>
      </c>
      <c r="J7" s="177" t="n">
        <v>3343.3</v>
      </c>
      <c r="K7" s="271">
        <f>IF(AND(ISNUMBER(I7),ISNUMBER(J7)),I7*J7,"")</f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>2905.8</v>
      </c>
      <c r="I8" s="246" t="n">
        <v>20</v>
      </c>
      <c r="J8" s="183" t="n">
        <v>151.696</v>
      </c>
      <c r="K8" s="271">
        <f>IF(AND(ISNUMBER(I8),ISNUMBER(J8)),I8*J8,"")</f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>877.5</v>
      </c>
      <c r="I9" s="240" t="n">
        <v>1.5</v>
      </c>
      <c r="J9" s="177" t="n">
        <v>597</v>
      </c>
      <c r="K9" s="271">
        <f>IF(AND(ISNUMBER(I9),ISNUMBER(J9)),I9*J9,"")</f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>1605</v>
      </c>
      <c r="I10" s="246" t="n">
        <v>0.5</v>
      </c>
      <c r="J10" s="183" t="n">
        <v>3340</v>
      </c>
      <c r="K10" s="271">
        <f>IF(AND(ISNUMBER(I10),ISNUMBER(J10)),I10*J10,"")</f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>1450</v>
      </c>
      <c r="I11" s="240" t="n">
        <v>10</v>
      </c>
      <c r="J11" s="177" t="n">
        <v>150.5</v>
      </c>
      <c r="K11" s="271">
        <f>IF(AND(ISNUMBER(I11),ISNUMBER(J11)),I11*J11,"")</f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71" t="str">
        <f>IF(AND(ISNUMBER(F12),ISNUMBER(G12)),F12*G12,"")</f>
        <v/>
      </c>
      <c r="I12" s="246" t="n"/>
      <c r="J12" s="183" t="n"/>
      <c r="K12" s="271" t="str">
        <f>IF(AND(ISNUMBER(I12),ISNUMBER(J12)),I12*J12,"")</f>
        <v/>
      </c>
      <c r="L12" s="246" t="str">
        <f>IF(COUNT(F12,I12)=0,"",N(F12)-N(I12))</f>
        <v/>
      </c>
      <c r="M12" s="247" t="str">
        <f>IF(COUNT(H12,K12)=0,"",N(K12)-N(H12))</f>
        <v/>
      </c>
      <c r="N12" s="246" t="str">
        <f>IF(AND(ISNUMBER(F12),ISNUMBER(I12),ISNUMBER(H12),ISNUMBER(K12),F12&gt;0,I12&gt;0,H12&lt;&gt;0),ROUND(MIN(F12,I12)*(K12/I12-H12/F12),8),"")</f>
        <v/>
      </c>
      <c r="O12" s="183" t="str">
        <f>IF(ISNUMBER(N12),ROUND(N12/(MIN(F12,I12)*H12/F12)*100,2),"")</f>
        <v/>
      </c>
      <c r="P12" s="207" t="n"/>
      <c r="Q12" s="207" t="n"/>
    </row>
    <row r="13" ht="22" customHeight="1">
      <c r="B13" s="238" t="n"/>
      <c r="C13" s="237" t="n"/>
      <c r="D13" s="238" t="n"/>
      <c r="E13" s="239" t="n"/>
      <c r="F13" s="240" t="n"/>
      <c r="G13" s="177" t="n"/>
      <c r="H13" s="271" t="str">
        <f>IF(AND(ISNUMBER(F13),ISNUMBER(G13)),F13*G13,"")</f>
        <v/>
      </c>
      <c r="I13" s="240" t="n"/>
      <c r="J13" s="177" t="n"/>
      <c r="K13" s="271" t="str">
        <f>IF(AND(ISNUMBER(I13),ISNUMBER(J13)),I13*J13,"")</f>
        <v/>
      </c>
      <c r="L13" s="240" t="str">
        <f>IF(COUNT(F13,I13)=0,"",N(F13)-N(I13))</f>
        <v/>
      </c>
      <c r="M13" s="241" t="str">
        <f>IF(COUNT(H13,K13)=0,"",N(K13)-N(H13))</f>
        <v/>
      </c>
      <c r="N13" s="240" t="str">
        <f>IF(AND(ISNUMBER(F13),ISNUMBER(I13),ISNUMBER(H13),ISNUMBER(K13),F13&gt;0,I13&gt;0,H13&lt;&gt;0),ROUND(MIN(F13,I13)*(K13/I13-H13/F13),8),"")</f>
        <v/>
      </c>
      <c r="O13" s="177" t="str">
        <f>IF(ISNUMBER(N13),ROUND(N13/(MIN(F13,I13)*H13/F13)*100,2),"")</f>
        <v/>
      </c>
    </row>
    <row r="14" ht="22" customHeight="1">
      <c r="B14" s="244" t="n"/>
      <c r="C14" s="243" t="n"/>
      <c r="D14" s="244" t="n"/>
      <c r="E14" s="245" t="n"/>
      <c r="F14" s="246" t="n"/>
      <c r="G14" s="183" t="n"/>
      <c r="H14" s="271" t="str">
        <f>IF(AND(ISNUMBER(F14),ISNUMBER(G14)),F14*G14,"")</f>
        <v/>
      </c>
      <c r="I14" s="246" t="n"/>
      <c r="J14" s="183" t="n"/>
      <c r="K14" s="271" t="str">
        <f>IF(AND(ISNUMBER(I14),ISNUMBER(J14)),I14*J14,"")</f>
        <v/>
      </c>
      <c r="L14" s="246" t="str">
        <f>IF(COUNT(F14,I14)=0,"",N(F14)-N(I14))</f>
        <v/>
      </c>
      <c r="M14" s="247" t="str">
        <f>IF(COUNT(H14,K14)=0,"",N(K14)-N(H14))</f>
        <v/>
      </c>
      <c r="N14" s="246" t="str">
        <f>IF(AND(ISNUMBER(F14),ISNUMBER(I14),ISNUMBER(H14),ISNUMBER(K14),F14&gt;0,I14&gt;0,H14&lt;&gt;0),ROUND(MIN(F14,I14)*(K14/I14-H14/F14),8),"")</f>
        <v/>
      </c>
      <c r="O14" s="183" t="str">
        <f>IF(ISNUMBER(N14),ROUND(N14/(MIN(F14,I14)*H14/F14)*100,2),"")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IF(AND(ISNUMBER(F15),ISNUMBER(I15),ISNUMBER(H15),ISNUMBER(K15),F15&gt;0,I15&gt;0,H15&lt;&gt;0),ROUND(MIN(F15,I15)*(K15/I15-H15/F15),8),"")</f>
        <v/>
      </c>
      <c r="O15" s="177" t="str">
        <f>IF(ISNUMBER(N15),ROUND(N15/(MIN(F15,I15)*H15/F15)*100,2),"")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IF(AND(ISNUMBER(F16),ISNUMBER(I16),ISNUMBER(H16),ISNUMBER(K16),F16&gt;0,I16&gt;0,H16&lt;&gt;0),ROUND(MIN(F16,I16)*(K16/I16-H16/F16),8),"")</f>
        <v/>
      </c>
      <c r="O16" s="183" t="str">
        <f>IF(ISNUMBER(N16),ROUND(N16/(MIN(F16,I16)*H16/F16)*100,2),"")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IF(AND(ISNUMBER(F17),ISNUMBER(I17),ISNUMBER(H17),ISNUMBER(K17),F17&gt;0,I17&gt;0,H17&lt;&gt;0),ROUND(MIN(F17,I17)*(K17/I17-H17/F17),8),"")</f>
        <v/>
      </c>
      <c r="O17" s="177" t="str">
        <f>IF(ISNUMBER(N17),ROUND(N17/(MIN(F17,I17)*H17/F17)*100,2),"")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IF(AND(ISNUMBER(F18),ISNUMBER(I18),ISNUMBER(H18),ISNUMBER(K18),F18&gt;0,I18&gt;0,H18&lt;&gt;0),ROUND(MIN(F18,I18)*(K18/I18-H18/F18),8),"")</f>
        <v/>
      </c>
      <c r="O18" s="183" t="str">
        <f>IF(ISNUMBER(N18),ROUND(N18/(MIN(F18,I18)*H18/F18)*100,2),"")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IF(AND(ISNUMBER(F19),ISNUMBER(I19),ISNUMBER(H19),ISNUMBER(K19),F19&gt;0,I19&gt;0,H19&lt;&gt;0),ROUND(MIN(F19,I19)*(K19/I19-H19/F19),8),"")</f>
        <v/>
      </c>
      <c r="O19" s="177" t="str">
        <f>IF(ISNUMBER(N19),ROUND(N19/(MIN(F19,I19)*H19/F19)*100,2),"")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IF(AND(ISNUMBER(F20),ISNUMBER(I20),ISNUMBER(H20),ISNUMBER(K20),F20&gt;0,I20&gt;0,H20&lt;&gt;0),ROUND(MIN(F20,I20)*(K20/I20-H20/F20),8),"")</f>
        <v/>
      </c>
      <c r="O20" s="183" t="str">
        <f>IF(ISNUMBER(N20),ROUND(N20/(MIN(F20,I20)*H20/F20)*100,2),"")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IF(AND(ISNUMBER(F21),ISNUMBER(I21),ISNUMBER(H21),ISNUMBER(K21),F21&gt;0,I21&gt;0,H21&lt;&gt;0),ROUND(MIN(F21,I21)*(K21/I21-H21/F21),8),"")</f>
        <v/>
      </c>
      <c r="O21" s="177" t="str">
        <f>IF(ISNUMBER(N21),ROUND(N21/(MIN(F21,I21)*H21/F21)*100,2),"")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IF(AND(ISNUMBER(F22),ISNUMBER(I22),ISNUMBER(H22),ISNUMBER(K22),F22&gt;0,I22&gt;0,H22&lt;&gt;0),ROUND(MIN(F22,I22)*(K22/I22-H22/F22),8),"")</f>
        <v/>
      </c>
      <c r="O22" s="183" t="str">
        <f>IF(ISNUMBER(N22),ROUND(N22/(MIN(F22,I22)*H22/F22)*100,2),"")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IF(AND(ISNUMBER(F23),ISNUMBER(I23),ISNUMBER(H23),ISNUMBER(K23),F23&gt;0,I23&gt;0,H23&lt;&gt;0),ROUND(MIN(F23,I23)*(K23/I23-H23/F23),8),"")</f>
        <v/>
      </c>
      <c r="O23" s="177" t="str">
        <f>IF(ISNUMBER(N23),ROUND(N23/(MIN(F23,I23)*H23/F23)*100,2),"")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IF(AND(ISNUMBER(F24),ISNUMBER(I24),ISNUMBER(H24),ISNUMBER(K24),F24&gt;0,I24&gt;0,H24&lt;&gt;0),ROUND(MIN(F24,I24)*(K24/I24-H24/F24),8),"")</f>
        <v/>
      </c>
      <c r="O24" s="183" t="str">
        <f>IF(ISNUMBER(N24),ROUND(N24/(MIN(F24,I24)*H24/F24)*100,2),"")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IF(AND(ISNUMBER(F25),ISNUMBER(I25),ISNUMBER(H25),ISNUMBER(K25),F25&gt;0,I25&gt;0,H25&lt;&gt;0),ROUND(MIN(F25,I25)*(K25/I25-H25/F25),8),"")</f>
        <v/>
      </c>
      <c r="O25" s="177" t="str">
        <f>IF(ISNUMBER(N25),ROUND(N25/(MIN(F25,I25)*H25/F25)*100,2),"")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IF(AND(ISNUMBER(F26),ISNUMBER(I26),ISNUMBER(H26),ISNUMBER(K26),F26&gt;0,I26&gt;0,H26&lt;&gt;0),ROUND(MIN(F26,I26)*(K26/I26-H26/F26),8),"")</f>
        <v/>
      </c>
      <c r="O26" s="183" t="str">
        <f>IF(ISNUMBER(N26),ROUND(N26/(MIN(F26,I26)*H26/F26)*100,2),"")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IF(AND(ISNUMBER(F27),ISNUMBER(I27),ISNUMBER(H27),ISNUMBER(K27),F27&gt;0,I27&gt;0,H27&lt;&gt;0),ROUND(MIN(F27,I27)*(K27/I27-H27/F27),8),"")</f>
        <v/>
      </c>
      <c r="O27" s="177" t="str">
        <f>IF(ISNUMBER(N27),ROUND(N27/(MIN(F27,I27)*H27/F27)*100,2),"")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IF(AND(ISNUMBER(F28),ISNUMBER(I28),ISNUMBER(H28),ISNUMBER(K28),F28&gt;0,I28&gt;0,H28&lt;&gt;0),ROUND(MIN(F28,I28)*(K28/I28-H28/F28),8),"")</f>
        <v/>
      </c>
      <c r="O28" s="183" t="str">
        <f>IF(ISNUMBER(N28),ROUND(N28/(MIN(F28,I28)*H28/F28)*100,2),"")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IF(AND(ISNUMBER(F29),ISNUMBER(I29),ISNUMBER(H29),ISNUMBER(K29),F29&gt;0,I29&gt;0,H29&lt;&gt;0),ROUND(MIN(F29,I29)*(K29/I29-H29/F29),8),"")</f>
        <v/>
      </c>
      <c r="O29" s="177" t="str">
        <f>IF(ISNUMBER(N29),ROUND(N29/(MIN(F29,I29)*H29/F29)*100,2),"")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IF(AND(ISNUMBER(F30),ISNUMBER(I30),ISNUMBER(H30),ISNUMBER(K30),F30&gt;0,I30&gt;0,H30&lt;&gt;0),ROUND(MIN(F30,I30)*(K30/I30-H30/F30),8),"")</f>
        <v/>
      </c>
      <c r="O30" s="183" t="str">
        <f>IF(ISNUMBER(N30),ROUND(N30/(MIN(F30,I30)*H30/F30)*100,2),"")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IF(AND(ISNUMBER(F31),ISNUMBER(I31),ISNUMBER(H31),ISNUMBER(K31),F31&gt;0,I31&gt;0,H31&lt;&gt;0),ROUND(MIN(F31,I31)*(K31/I31-H31/F31),8),"")</f>
        <v/>
      </c>
      <c r="O31" s="177" t="str">
        <f>IF(ISNUMBER(N31),ROUND(N31/(MIN(F31,I31)*H31/F31)*100,2),"")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IF(AND(ISNUMBER(F32),ISNUMBER(I32),ISNUMBER(H32),ISNUMBER(K32),F32&gt;0,I32&gt;0,H32&lt;&gt;0),ROUND(MIN(F32,I32)*(K32/I32-H32/F32),8),"")</f>
        <v/>
      </c>
      <c r="O32" s="183" t="str">
        <f>IF(ISNUMBER(N32),ROUND(N32/(MIN(F32,I32)*H32/F32)*100,2),"")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IF(AND(ISNUMBER(F33),ISNUMBER(I33),ISNUMBER(H33),ISNUMBER(K33),F33&gt;0,I33&gt;0,H33&lt;&gt;0),ROUND(MIN(F33,I33)*(K33/I33-H33/F33),8),"")</f>
        <v/>
      </c>
      <c r="O33" s="177" t="str">
        <f>IF(ISNUMBER(N33),ROUND(N33/(MIN(F33,I33)*H33/F33)*100,2),"")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IF(AND(ISNUMBER(F34),ISNUMBER(I34),ISNUMBER(H34),ISNUMBER(K34),F34&gt;0,I34&gt;0,H34&lt;&gt;0),ROUND(MIN(F34,I34)*(K34/I34-H34/F34),8),"")</f>
        <v/>
      </c>
      <c r="O34" s="183" t="str">
        <f>IF(ISNUMBER(N34),ROUND(N34/(MIN(F34,I34)*H34/F34)*100,2),"")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IF(AND(ISNUMBER(F35),ISNUMBER(I35),ISNUMBER(H35),ISNUMBER(K35),F35&gt;0,I35&gt;0,H35&lt;&gt;0),ROUND(MIN(F35,I35)*(K35/I35-H35/F35),8),"")</f>
        <v/>
      </c>
      <c r="O35" s="177" t="str">
        <f>IF(ISNUMBER(N35),ROUND(N35/(MIN(F35,I35)*H35/F35)*100,2),"")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IF(AND(ISNUMBER(F36),ISNUMBER(I36),ISNUMBER(H36),ISNUMBER(K36),F36&gt;0,I36&gt;0,H36&lt;&gt;0),ROUND(MIN(F36,I36)*(K36/I36-H36/F36),8),"")</f>
        <v/>
      </c>
      <c r="O36" s="183" t="str">
        <f>IF(ISNUMBER(N36),ROUND(N36/(MIN(F36,I36)*H36/F36)*100,2),"")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IF(AND(ISNUMBER(F37),ISNUMBER(I37),ISNUMBER(H37),ISNUMBER(K37),F37&gt;0,I37&gt;0,H37&lt;&gt;0),ROUND(MIN(F37,I37)*(K37/I37-H37/F37),8),"")</f>
        <v/>
      </c>
      <c r="O37" s="177" t="str">
        <f>IF(ISNUMBER(N37),ROUND(N37/(MIN(F37,I37)*H37/F37)*100,2),"")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IF(AND(ISNUMBER(F38),ISNUMBER(I38),ISNUMBER(H38),ISNUMBER(K38),F38&gt;0,I38&gt;0,H38&lt;&gt;0),ROUND(MIN(F38,I38)*(K38/I38-H38/F38),8),"")</f>
        <v/>
      </c>
      <c r="O38" s="183" t="str">
        <f>IF(ISNUMBER(N38),ROUND(N38/(MIN(F38,I38)*H38/F38)*100,2),"")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IF(AND(ISNUMBER(F39),ISNUMBER(I39),ISNUMBER(H39),ISNUMBER(K39),F39&gt;0,I39&gt;0,H39&lt;&gt;0),ROUND(MIN(F39,I39)*(K39/I39-H39/F39),8),"")</f>
        <v/>
      </c>
      <c r="O39" s="177" t="str">
        <f>IF(ISNUMBER(N39),ROUND(N39/(MIN(F39,I39)*H39/F39)*100,2),"")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IF(AND(ISNUMBER(F40),ISNUMBER(I40),ISNUMBER(H40),ISNUMBER(K40),F40&gt;0,I40&gt;0,H40&lt;&gt;0),ROUND(MIN(F40,I40)*(K40/I40-H40/F40),8),"")</f>
        <v/>
      </c>
      <c r="O40" s="183" t="str">
        <f>IF(ISNUMBER(N40),ROUND(N40/(MIN(F40,I40)*H40/F40)*100,2),"")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IF(AND(ISNUMBER(F41),ISNUMBER(I41),ISNUMBER(H41),ISNUMBER(K41),F41&gt;0,I41&gt;0,H41&lt;&gt;0),ROUND(MIN(F41,I41)*(K41/I41-H41/F41),8),"")</f>
        <v/>
      </c>
      <c r="O41" s="177" t="str">
        <f>IF(ISNUMBER(N41),ROUND(N41/(MIN(F41,I41)*H41/F41)*100,2),"")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IF(AND(ISNUMBER(F42),ISNUMBER(I42),ISNUMBER(H42),ISNUMBER(K42),F42&gt;0,I42&gt;0,H42&lt;&gt;0),ROUND(MIN(F42,I42)*(K42/I42-H42/F42),8),"")</f>
        <v/>
      </c>
      <c r="O42" s="183" t="str">
        <f>IF(ISNUMBER(N42),ROUND(N42/(MIN(F42,I42)*H42/F42)*100,2),"")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IF(AND(ISNUMBER(F43),ISNUMBER(I43),ISNUMBER(H43),ISNUMBER(K43),F43&gt;0,I43&gt;0,H43&lt;&gt;0),ROUND(MIN(F43,I43)*(K43/I43-H43/F43),8),"")</f>
        <v/>
      </c>
      <c r="O43" s="177" t="str">
        <f>IF(ISNUMBER(N43),ROUND(N43/(MIN(F43,I43)*H43/F43)*100,2),"")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IF(AND(ISNUMBER(F44),ISNUMBER(I44),ISNUMBER(H44),ISNUMBER(K44),F44&gt;0,I44&gt;0,H44&lt;&gt;0),ROUND(MIN(F44,I44)*(K44/I44-H44/F44),8),"")</f>
        <v/>
      </c>
      <c r="O44" s="183" t="str">
        <f>IF(ISNUMBER(N44),ROUND(N44/(MIN(F44,I44)*H44/F44)*100,2),"")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IF(AND(ISNUMBER(F45),ISNUMBER(I45),ISNUMBER(H45),ISNUMBER(K45),F45&gt;0,I45&gt;0,H45&lt;&gt;0),ROUND(MIN(F45,I45)*(K45/I45-H45/F45),8),"")</f>
        <v/>
      </c>
      <c r="O45" s="177" t="str">
        <f>IF(ISNUMBER(N45),ROUND(N45/(MIN(F45,I45)*H45/F45)*100,2),"")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IF(AND(ISNUMBER(F46),ISNUMBER(I46),ISNUMBER(H46),ISNUMBER(K46),F46&gt;0,I46&gt;0,H46&lt;&gt;0),ROUND(MIN(F46,I46)*(K46/I46-H46/F46),8),"")</f>
        <v/>
      </c>
      <c r="O46" s="183" t="str">
        <f>IF(ISNUMBER(N46),ROUND(N46/(MIN(F46,I46)*H46/F46)*100,2),"")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IF(AND(ISNUMBER(F47),ISNUMBER(I47),ISNUMBER(H47),ISNUMBER(K47),F47&gt;0,I47&gt;0,H47&lt;&gt;0),ROUND(MIN(F47,I47)*(K47/I47-H47/F47),8),"")</f>
        <v/>
      </c>
      <c r="O47" s="177" t="str">
        <f>IF(ISNUMBER(N47),ROUND(N47/(MIN(F47,I47)*H47/F47)*100,2),"")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IF(AND(ISNUMBER(F48),ISNUMBER(I48),ISNUMBER(H48),ISNUMBER(K48),F48&gt;0,I48&gt;0,H48&lt;&gt;0),ROUND(MIN(F48,I48)*(K48/I48-H48/F48),8),"")</f>
        <v/>
      </c>
      <c r="O48" s="183" t="str">
        <f>IF(ISNUMBER(N48),ROUND(N48/(MIN(F48,I48)*H48/F48)*100,2),"")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IF(AND(ISNUMBER(F49),ISNUMBER(I49),ISNUMBER(H49),ISNUMBER(K49),F49&gt;0,I49&gt;0,H49&lt;&gt;0),ROUND(MIN(F49,I49)*(K49/I49-H49/F49),8),"")</f>
        <v/>
      </c>
      <c r="O49" s="177" t="str">
        <f>IF(ISNUMBER(N49),ROUND(N49/(MIN(F49,I49)*H49/F49)*100,2),"")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IF(AND(ISNUMBER(F50),ISNUMBER(I50),ISNUMBER(H50),ISNUMBER(K50),F50&gt;0,I50&gt;0,H50&lt;&gt;0),ROUND(MIN(F50,I50)*(K50/I50-H50/F50),8),"")</f>
        <v/>
      </c>
      <c r="O50" s="183" t="str">
        <f>IF(ISNUMBER(N50),ROUND(N50/(MIN(F50,I50)*H50/F50)*100,2),"")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IF(AND(ISNUMBER(F51),ISNUMBER(I51),ISNUMBER(H51),ISNUMBER(K51),F51&gt;0,I51&gt;0,H51&lt;&gt;0),ROUND(MIN(F51,I51)*(K51/I51-H51/F51),8),"")</f>
        <v/>
      </c>
      <c r="O51" s="177" t="str">
        <f>IF(ISNUMBER(N51),ROUND(N51/(MIN(F51,I51)*H51/F51)*100,2),"")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IF(AND(ISNUMBER(F52),ISNUMBER(I52),ISNUMBER(H52),ISNUMBER(K52),F52&gt;0,I52&gt;0,H52&lt;&gt;0),ROUND(MIN(F52,I52)*(K52/I52-H52/F52),8),"")</f>
        <v/>
      </c>
      <c r="O52" s="183" t="str">
        <f>IF(ISNUMBER(N52),ROUND(N52/(MIN(F52,I52)*H52/F52)*100,2),"")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IF(AND(ISNUMBER(F53),ISNUMBER(I53),ISNUMBER(H53),ISNUMBER(K53),F53&gt;0,I53&gt;0,H53&lt;&gt;0),ROUND(MIN(F53,I53)*(K53/I53-H53/F53),8),"")</f>
        <v/>
      </c>
      <c r="O53" s="177" t="str">
        <f>IF(ISNUMBER(N53),ROUND(N53/(MIN(F53,I53)*H53/F53)*100,2),"")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IF(AND(ISNUMBER(F54),ISNUMBER(I54),ISNUMBER(H54),ISNUMBER(K54),F54&gt;0,I54&gt;0,H54&lt;&gt;0),ROUND(MIN(F54,I54)*(K54/I54-H54/F54),8),"")</f>
        <v/>
      </c>
      <c r="O54" s="183" t="str">
        <f>IF(ISNUMBER(N54),ROUND(N54/(MIN(F54,I54)*H54/F54)*100,2),"")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IF(AND(ISNUMBER(F55),ISNUMBER(I55),ISNUMBER(H55),ISNUMBER(K55),F55&gt;0,I55&gt;0,H55&lt;&gt;0),ROUND(MIN(F55,I55)*(K55/I55-H55/F55),8),"")</f>
        <v/>
      </c>
      <c r="O55" s="177" t="str">
        <f>IF(ISNUMBER(N55),ROUND(N55/(MIN(F55,I55)*H55/F55)*100,2),"")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IF(AND(ISNUMBER(F56),ISNUMBER(I56),ISNUMBER(H56),ISNUMBER(K56),F56&gt;0,I56&gt;0,H56&lt;&gt;0),ROUND(MIN(F56,I56)*(K56/I56-H56/F56),8),"")</f>
        <v/>
      </c>
      <c r="O56" s="183" t="str">
        <f>IF(ISNUMBER(N56),ROUND(N56/(MIN(F56,I56)*H56/F56)*100,2),"")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IF(AND(ISNUMBER(F57),ISNUMBER(I57),ISNUMBER(H57),ISNUMBER(K57),F57&gt;0,I57&gt;0,H57&lt;&gt;0),ROUND(MIN(F57,I57)*(K57/I57-H57/F57),8),"")</f>
        <v/>
      </c>
      <c r="O57" s="177" t="str">
        <f>IF(ISNUMBER(N57),ROUND(N57/(MIN(F57,I57)*H57/F57)*100,2),"")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IF(AND(ISNUMBER(F58),ISNUMBER(I58),ISNUMBER(H58),ISNUMBER(K58),F58&gt;0,I58&gt;0,H58&lt;&gt;0),ROUND(MIN(F58,I58)*(K58/I58-H58/F58),8),"")</f>
        <v/>
      </c>
      <c r="O58" s="183" t="str">
        <f>IF(ISNUMBER(N58),ROUND(N58/(MIN(F58,I58)*H58/F58)*100,2),"")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IF(AND(ISNUMBER(F59),ISNUMBER(I59),ISNUMBER(H59),ISNUMBER(K59),F59&gt;0,I59&gt;0,H59&lt;&gt;0),ROUND(MIN(F59,I59)*(K59/I59-H59/F59),8),"")</f>
        <v/>
      </c>
      <c r="O59" s="177" t="str">
        <f>IF(ISNUMBER(N59),ROUND(N59/(MIN(F59,I59)*H59/F59)*100,2),"")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IF(AND(ISNUMBER(F60),ISNUMBER(I60),ISNUMBER(H60),ISNUMBER(K60),F60&gt;0,I60&gt;0,H60&lt;&gt;0),ROUND(MIN(F60,I60)*(K60/I60-H60/F60),8),"")</f>
        <v/>
      </c>
      <c r="O60" s="183" t="str">
        <f>IF(ISNUMBER(N60),ROUND(N60/(MIN(F60,I60)*H60/F60)*100,2),"")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IF(AND(ISNUMBER(F61),ISNUMBER(I61),ISNUMBER(H61),ISNUMBER(K61),F61&gt;0,I61&gt;0,H61&lt;&gt;0),ROUND(MIN(F61,I61)*(K61/I61-H61/F61),8),"")</f>
        <v/>
      </c>
      <c r="O61" s="177" t="str">
        <f>IF(ISNUMBER(N61),ROUND(N61/(MIN(F61,I61)*H61/F61)*100,2),"")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IF(AND(ISNUMBER(F62),ISNUMBER(I62),ISNUMBER(H62),ISNUMBER(K62),F62&gt;0,I62&gt;0,H62&lt;&gt;0),ROUND(MIN(F62,I62)*(K62/I62-H62/F62),8),"")</f>
        <v/>
      </c>
      <c r="O62" s="183" t="str">
        <f>IF(ISNUMBER(N62),ROUND(N62/(MIN(F62,I62)*H62/F62)*100,2),"")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IF(AND(ISNUMBER(F63),ISNUMBER(I63),ISNUMBER(H63),ISNUMBER(K63),F63&gt;0,I63&gt;0,H63&lt;&gt;0),ROUND(MIN(F63,I63)*(K63/I63-H63/F63),8),"")</f>
        <v/>
      </c>
      <c r="O63" s="177" t="str">
        <f>IF(ISNUMBER(N63),ROUND(N63/(MIN(F63,I63)*H63/F63)*100,2),"")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IF(AND(ISNUMBER(F64),ISNUMBER(I64),ISNUMBER(H64),ISNUMBER(K64),F64&gt;0,I64&gt;0,H64&lt;&gt;0),ROUND(MIN(F64,I64)*(K64/I64-H64/F64),8),"")</f>
        <v/>
      </c>
      <c r="O64" s="183" t="str">
        <f>IF(ISNUMBER(N64),ROUND(N64/(MIN(F64,I64)*H64/F64)*100,2),"")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IF(AND(ISNUMBER(F65),ISNUMBER(I65),ISNUMBER(H65),ISNUMBER(K65),F65&gt;0,I65&gt;0,H65&lt;&gt;0),ROUND(MIN(F65,I65)*(K65/I65-H65/F65),8),"")</f>
        <v/>
      </c>
      <c r="O65" s="177" t="str">
        <f>IF(ISNUMBER(N65),ROUND(N65/(MIN(F65,I65)*H65/F65)*100,2),"")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IF(AND(ISNUMBER(F66),ISNUMBER(I66),ISNUMBER(H66),ISNUMBER(K66),F66&gt;0,I66&gt;0,H66&lt;&gt;0),ROUND(MIN(F66,I66)*(K66/I66-H66/F66),8),"")</f>
        <v/>
      </c>
      <c r="O66" s="183" t="str">
        <f>IF(ISNUMBER(N66),ROUND(N66/(MIN(F66,I66)*H66/F66)*100,2),"")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IF(AND(ISNUMBER(F67),ISNUMBER(I67),ISNUMBER(H67),ISNUMBER(K67),F67&gt;0,I67&gt;0,H67&lt;&gt;0),ROUND(MIN(F67,I67)*(K67/I67-H67/F67),8),"")</f>
        <v/>
      </c>
      <c r="O67" s="177" t="str">
        <f>IF(ISNUMBER(N67),ROUND(N67/(MIN(F67,I67)*H67/F67)*100,2),"")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IF(AND(ISNUMBER(F68),ISNUMBER(I68),ISNUMBER(H68),ISNUMBER(K68),F68&gt;0,I68&gt;0,H68&lt;&gt;0),ROUND(MIN(F68,I68)*(K68/I68-H68/F68),8),"")</f>
        <v/>
      </c>
      <c r="O68" s="183" t="str">
        <f>IF(ISNUMBER(N68),ROUND(N68/(MIN(F68,I68)*H68/F68)*100,2),"")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IF(AND(ISNUMBER(F69),ISNUMBER(I69),ISNUMBER(H69),ISNUMBER(K69),F69&gt;0,I69&gt;0,H69&lt;&gt;0),ROUND(MIN(F69,I69)*(K69/I69-H69/F69),8),"")</f>
        <v/>
      </c>
      <c r="O69" s="177" t="str">
        <f>IF(ISNUMBER(N69),ROUND(N69/(MIN(F69,I69)*H69/F69)*100,2),"")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IF(AND(ISNUMBER(F70),ISNUMBER(I70),ISNUMBER(H70),ISNUMBER(K70),F70&gt;0,I70&gt;0,H70&lt;&gt;0),ROUND(MIN(F70,I70)*(K70/I70-H70/F70),8),"")</f>
        <v/>
      </c>
      <c r="O70" s="183" t="str">
        <f>IF(ISNUMBER(N70),ROUND(N70/(MIN(F70,I70)*H70/F70)*100,2),"")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IF(AND(ISNUMBER(F71),ISNUMBER(I71),ISNUMBER(H71),ISNUMBER(K71),F71&gt;0,I71&gt;0,H71&lt;&gt;0),ROUND(MIN(F71,I71)*(K71/I71-H71/F71),8),"")</f>
        <v/>
      </c>
      <c r="O71" s="177" t="str">
        <f>IF(ISNUMBER(N71),ROUND(N71/(MIN(F71,I71)*H71/F71)*100,2),"")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IF(AND(ISNUMBER(F72),ISNUMBER(I72),ISNUMBER(H72),ISNUMBER(K72),F72&gt;0,I72&gt;0,H72&lt;&gt;0),ROUND(MIN(F72,I72)*(K72/I72-H72/F72),8),"")</f>
        <v/>
      </c>
      <c r="O72" s="183" t="str">
        <f>IF(ISNUMBER(N72),ROUND(N72/(MIN(F72,I72)*H72/F72)*100,2),"")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IF(AND(ISNUMBER(F73),ISNUMBER(I73),ISNUMBER(H73),ISNUMBER(K73),F73&gt;0,I73&gt;0,H73&lt;&gt;0),ROUND(MIN(F73,I73)*(K73/I73-H73/F73),8),"")</f>
        <v/>
      </c>
      <c r="O73" s="177" t="str">
        <f>IF(ISNUMBER(N73),ROUND(N73/(MIN(F73,I73)*H73/F73)*100,2),"")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IF(AND(ISNUMBER(F74),ISNUMBER(I74),ISNUMBER(H74),ISNUMBER(K74),F74&gt;0,I74&gt;0,H74&lt;&gt;0),ROUND(MIN(F74,I74)*(K74/I74-H74/F74),8),"")</f>
        <v/>
      </c>
      <c r="O74" s="183" t="str">
        <f>IF(ISNUMBER(N74),ROUND(N74/(MIN(F74,I74)*H74/F74)*100,2),"")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IF(AND(ISNUMBER(F75),ISNUMBER(I75),ISNUMBER(H75),ISNUMBER(K75),F75&gt;0,I75&gt;0,H75&lt;&gt;0),ROUND(MIN(F75,I75)*(K75/I75-H75/F75),8),"")</f>
        <v/>
      </c>
      <c r="O75" s="177" t="str">
        <f>IF(ISNUMBER(N75),ROUND(N75/(MIN(F75,I75)*H75/F75)*100,2),"")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IF(AND(ISNUMBER(F76),ISNUMBER(I76),ISNUMBER(H76),ISNUMBER(K76),F76&gt;0,I76&gt;0,H76&lt;&gt;0),ROUND(MIN(F76,I76)*(K76/I76-H76/F76),8),"")</f>
        <v/>
      </c>
      <c r="O76" s="183" t="str">
        <f>IF(ISNUMBER(N76),ROUND(N76/(MIN(F76,I76)*H76/F76)*100,2),"")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IF(AND(ISNUMBER(F77),ISNUMBER(I77),ISNUMBER(H77),ISNUMBER(K77),F77&gt;0,I77&gt;0,H77&lt;&gt;0),ROUND(MIN(F77,I77)*(K77/I77-H77/F77),8),"")</f>
        <v/>
      </c>
      <c r="O77" s="177" t="str">
        <f>IF(ISNUMBER(N77),ROUND(N77/(MIN(F77,I77)*H77/F77)*100,2),"")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IF(AND(ISNUMBER(F78),ISNUMBER(I78),ISNUMBER(H78),ISNUMBER(K78),F78&gt;0,I78&gt;0,H78&lt;&gt;0),ROUND(MIN(F78,I78)*(K78/I78-H78/F78),8),"")</f>
        <v/>
      </c>
      <c r="O78" s="183" t="str">
        <f>IF(ISNUMBER(N78),ROUND(N78/(MIN(F78,I78)*H78/F78)*100,2),"")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IF(AND(ISNUMBER(F79),ISNUMBER(I79),ISNUMBER(H79),ISNUMBER(K79),F79&gt;0,I79&gt;0,H79&lt;&gt;0),ROUND(MIN(F79,I79)*(K79/I79-H79/F79),8),"")</f>
        <v/>
      </c>
      <c r="O79" s="177" t="str">
        <f>IF(ISNUMBER(N79),ROUND(N79/(MIN(F79,I79)*H79/F79)*100,2),"")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IF(AND(ISNUMBER(F80),ISNUMBER(I80),ISNUMBER(H80),ISNUMBER(K80),F80&gt;0,I80&gt;0,H80&lt;&gt;0),ROUND(MIN(F80,I80)*(K80/I80-H80/F80),8),"")</f>
        <v/>
      </c>
      <c r="O80" s="183" t="str">
        <f>IF(ISNUMBER(N80),ROUND(N80/(MIN(F80,I80)*H80/F80)*100,2),"")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IF(AND(ISNUMBER(F81),ISNUMBER(I81),ISNUMBER(H81),ISNUMBER(K81),F81&gt;0,I81&gt;0,H81&lt;&gt;0),ROUND(MIN(F81,I81)*(K81/I81-H81/F81),8),"")</f>
        <v/>
      </c>
      <c r="O81" s="177" t="str">
        <f>IF(ISNUMBER(N81),ROUND(N81/(MIN(F81,I81)*H81/F81)*100,2),"")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IF(AND(ISNUMBER(F82),ISNUMBER(I82),ISNUMBER(H82),ISNUMBER(K82),F82&gt;0,I82&gt;0,H82&lt;&gt;0),ROUND(MIN(F82,I82)*(K82/I82-H82/F82),8),"")</f>
        <v/>
      </c>
      <c r="O82" s="183" t="str">
        <f>IF(ISNUMBER(N82),ROUND(N82/(MIN(F82,I82)*H82/F82)*100,2),"")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IF(AND(ISNUMBER(F83),ISNUMBER(I83),ISNUMBER(H83),ISNUMBER(K83),F83&gt;0,I83&gt;0,H83&lt;&gt;0),ROUND(MIN(F83,I83)*(K83/I83-H83/F83),8),"")</f>
        <v/>
      </c>
      <c r="O83" s="177" t="str">
        <f>IF(ISNUMBER(N83),ROUND(N83/(MIN(F83,I83)*H83/F83)*100,2),"")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IF(AND(ISNUMBER(F84),ISNUMBER(I84),ISNUMBER(H84),ISNUMBER(K84),F84&gt;0,I84&gt;0,H84&lt;&gt;0),ROUND(MIN(F84,I84)*(K84/I84-H84/F84),8),"")</f>
        <v/>
      </c>
      <c r="O84" s="183" t="str">
        <f>IF(ISNUMBER(N84),ROUND(N84/(MIN(F84,I84)*H84/F84)*100,2),"")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IF(AND(ISNUMBER(F85),ISNUMBER(I85),ISNUMBER(H85),ISNUMBER(K85),F85&gt;0,I85&gt;0,H85&lt;&gt;0),ROUND(MIN(F85,I85)*(K85/I85-H85/F85),8),"")</f>
        <v/>
      </c>
      <c r="O85" s="177" t="str">
        <f>IF(ISNUMBER(N85),ROUND(N85/(MIN(F85,I85)*H85/F85)*100,2),"")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IF(AND(ISNUMBER(F86),ISNUMBER(I86),ISNUMBER(H86),ISNUMBER(K86),F86&gt;0,I86&gt;0,H86&lt;&gt;0),ROUND(MIN(F86,I86)*(K86/I86-H86/F86),8),"")</f>
        <v/>
      </c>
      <c r="O86" s="183" t="str">
        <f>IF(ISNUMBER(N86),ROUND(N86/(MIN(F86,I86)*H86/F86)*100,2),"")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IF(AND(ISNUMBER(F87),ISNUMBER(I87),ISNUMBER(H87),ISNUMBER(K87),F87&gt;0,I87&gt;0,H87&lt;&gt;0),ROUND(MIN(F87,I87)*(K87/I87-H87/F87),8),"")</f>
        <v/>
      </c>
      <c r="O87" s="177" t="str">
        <f>IF(ISNUMBER(N87),ROUND(N87/(MIN(F87,I87)*H87/F87)*100,2),"")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IF(AND(ISNUMBER(F88),ISNUMBER(I88),ISNUMBER(H88),ISNUMBER(K88),F88&gt;0,I88&gt;0,H88&lt;&gt;0),ROUND(MIN(F88,I88)*(K88/I88-H88/F88),8),"")</f>
        <v/>
      </c>
      <c r="O88" s="183" t="str">
        <f>IF(ISNUMBER(N88),ROUND(N88/(MIN(F88,I88)*H88/F88)*100,2),"")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IF(AND(ISNUMBER(F89),ISNUMBER(I89),ISNUMBER(H89),ISNUMBER(K89),F89&gt;0,I89&gt;0,H89&lt;&gt;0),ROUND(MIN(F89,I89)*(K89/I89-H89/F89),8),"")</f>
        <v/>
      </c>
      <c r="O89" s="177" t="str">
        <f>IF(ISNUMBER(N89),ROUND(N89/(MIN(F89,I89)*H89/F89)*100,2),"")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IF(AND(ISNUMBER(F90),ISNUMBER(I90),ISNUMBER(H90),ISNUMBER(K90),F90&gt;0,I90&gt;0,H90&lt;&gt;0),ROUND(MIN(F90,I90)*(K90/I90-H90/F90),8),"")</f>
        <v/>
      </c>
      <c r="O90" s="183" t="str">
        <f>IF(ISNUMBER(N90),ROUND(N90/(MIN(F90,I90)*H90/F90)*100,2),"")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IF(AND(ISNUMBER(F91),ISNUMBER(I91),ISNUMBER(H91),ISNUMBER(K91),F91&gt;0,I91&gt;0,H91&lt;&gt;0),ROUND(MIN(F91,I91)*(K91/I91-H91/F91),8),"")</f>
        <v/>
      </c>
      <c r="O91" s="177" t="str">
        <f>IF(ISNUMBER(N91),ROUND(N91/(MIN(F91,I91)*H91/F91)*100,2),"")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IF(AND(ISNUMBER(F92),ISNUMBER(I92),ISNUMBER(H92),ISNUMBER(K92),F92&gt;0,I92&gt;0,H92&lt;&gt;0),ROUND(MIN(F92,I92)*(K92/I92-H92/F92),8),"")</f>
        <v/>
      </c>
      <c r="O92" s="183" t="str">
        <f>IF(ISNUMBER(N92),ROUND(N92/(MIN(F92,I92)*H92/F92)*100,2),"")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IF(AND(ISNUMBER(F93),ISNUMBER(I93),ISNUMBER(H93),ISNUMBER(K93),F93&gt;0,I93&gt;0,H93&lt;&gt;0),ROUND(MIN(F93,I93)*(K93/I93-H93/F93),8),"")</f>
        <v/>
      </c>
      <c r="O93" s="177" t="str">
        <f>IF(ISNUMBER(N93),ROUND(N93/(MIN(F93,I93)*H93/F93)*100,2),"")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IF(AND(ISNUMBER(F94),ISNUMBER(I94),ISNUMBER(H94),ISNUMBER(K94),F94&gt;0,I94&gt;0,H94&lt;&gt;0),ROUND(MIN(F94,I94)*(K94/I94-H94/F94),8),"")</f>
        <v/>
      </c>
      <c r="O94" s="183" t="str">
        <f>IF(ISNUMBER(N94),ROUND(N94/(MIN(F94,I94)*H94/F94)*100,2),"")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IF(AND(ISNUMBER(F95),ISNUMBER(I95),ISNUMBER(H95),ISNUMBER(K95),F95&gt;0,I95&gt;0,H95&lt;&gt;0),ROUND(MIN(F95,I95)*(K95/I95-H95/F95),8),"")</f>
        <v/>
      </c>
      <c r="O95" s="177" t="str">
        <f>IF(ISNUMBER(N95),ROUND(N95/(MIN(F95,I95)*H95/F95)*100,2),"")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IF(AND(ISNUMBER(F96),ISNUMBER(I96),ISNUMBER(H96),ISNUMBER(K96),F96&gt;0,I96&gt;0,H96&lt;&gt;0),ROUND(MIN(F96,I96)*(K96/I96-H96/F96),8),"")</f>
        <v/>
      </c>
      <c r="O96" s="183" t="str">
        <f>IF(ISNUMBER(N96),ROUND(N96/(MIN(F96,I96)*H96/F96)*100,2),"")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IF(AND(ISNUMBER(F97),ISNUMBER(I97),ISNUMBER(H97),ISNUMBER(K97),F97&gt;0,I97&gt;0,H97&lt;&gt;0),ROUND(MIN(F97,I97)*(K97/I97-H97/F97),8),"")</f>
        <v/>
      </c>
      <c r="O97" s="177" t="str">
        <f>IF(ISNUMBER(N97),ROUND(N97/(MIN(F97,I97)*H97/F97)*100,2),"")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IF(AND(ISNUMBER(F98),ISNUMBER(I98),ISNUMBER(H98),ISNUMBER(K98),F98&gt;0,I98&gt;0,H98&lt;&gt;0),ROUND(MIN(F98,I98)*(K98/I98-H98/F98),8),"")</f>
        <v/>
      </c>
      <c r="O98" s="183" t="str">
        <f>IF(ISNUMBER(N98),ROUND(N98/(MIN(F98,I98)*H98/F98)*100,2),"")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IF(AND(ISNUMBER(F99),ISNUMBER(I99),ISNUMBER(H99),ISNUMBER(K99),F99&gt;0,I99&gt;0,H99&lt;&gt;0),ROUND(MIN(F99,I99)*(K99/I99-H99/F99),8),"")</f>
        <v/>
      </c>
      <c r="O99" s="177" t="str">
        <f>IF(ISNUMBER(N99),ROUND(N99/(MIN(F99,I99)*H99/F99)*100,2),"")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IF(AND(ISNUMBER(F100),ISNUMBER(I100),ISNUMBER(H100),ISNUMBER(K100),F100&gt;0,I100&gt;0,H100&lt;&gt;0),ROUND(MIN(F100,I100)*(K100/I100-H100/F100),8),"")</f>
        <v/>
      </c>
      <c r="O100" s="183" t="str">
        <f>IF(ISNUMBER(N100),ROUND(N100/(MIN(F100,I100)*H100/F100)*100,2),"")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IF(AND(ISNUMBER(F101),ISNUMBER(I101),ISNUMBER(H101),ISNUMBER(K101),F101&gt;0,I101&gt;0,H101&lt;&gt;0),ROUND(MIN(F101,I101)*(K101/I101-H101/F101),8),"")</f>
        <v/>
      </c>
      <c r="O101" s="177" t="str">
        <f>IF(ISNUMBER(N101),ROUND(N101/(MIN(F101,I101)*H101/F101)*100,2),"")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IF(AND(ISNUMBER(F102),ISNUMBER(I102),ISNUMBER(H102),ISNUMBER(K102),F102&gt;0,I102&gt;0,H102&lt;&gt;0),ROUND(MIN(F102,I102)*(K102/I102-H102/F102),8),"")</f>
        <v/>
      </c>
      <c r="O102" s="183" t="str">
        <f>IF(ISNUMBER(N102),ROUND(N102/(MIN(F102,I102)*H102/F102)*100,2),"")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IF(AND(ISNUMBER(F103),ISNUMBER(I103),ISNUMBER(H103),ISNUMBER(K103),F103&gt;0,I103&gt;0,H103&lt;&gt;0),ROUND(MIN(F103,I103)*(K103/I103-H103/F103),8),"")</f>
        <v/>
      </c>
      <c r="O103" s="177" t="str">
        <f>IF(ISNUMBER(N103),ROUND(N103/(MIN(F103,I103)*H103/F103)*100,2),"")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IF(AND(ISNUMBER(F104),ISNUMBER(I104),ISNUMBER(H104),ISNUMBER(K104),F104&gt;0,I104&gt;0,H104&lt;&gt;0),ROUND(MIN(F104,I104)*(K104/I104-H104/F104),8),"")</f>
        <v/>
      </c>
      <c r="O104" s="183" t="str">
        <f>IF(ISNUMBER(N104),ROUND(N104/(MIN(F104,I104)*H104/F104)*100,2),"")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IF(AND(ISNUMBER(F105),ISNUMBER(I105),ISNUMBER(H105),ISNUMBER(K105),F105&gt;0,I105&gt;0,H105&lt;&gt;0),ROUND(MIN(F105,I105)*(K105/I105-H105/F105),8),"")</f>
        <v/>
      </c>
      <c r="O105" s="177" t="str">
        <f>IF(ISNUMBER(N105),ROUND(N105/(MIN(F105,I105)*H105/F105)*100,2),"")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IF(AND(ISNUMBER(F106),ISNUMBER(I106),ISNUMBER(H106),ISNUMBER(K106),F106&gt;0,I106&gt;0,H106&lt;&gt;0),ROUND(MIN(F106,I106)*(K106/I106-H106/F106),8),"")</f>
        <v/>
      </c>
      <c r="O106" s="183" t="str">
        <f>IF(ISNUMBER(N106),ROUND(N106/(MIN(F106,I106)*H106/F106)*100,2),"")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IF(AND(ISNUMBER(F107),ISNUMBER(I107),ISNUMBER(H107),ISNUMBER(K107),F107&gt;0,I107&gt;0,H107&lt;&gt;0),ROUND(MIN(F107,I107)*(K107/I107-H107/F107),8),"")</f>
        <v/>
      </c>
      <c r="O107" s="177" t="str">
        <f>IF(ISNUMBER(N107),ROUND(N107/(MIN(F107,I107)*H107/F107)*100,2),"")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IF(AND(ISNUMBER(F108),ISNUMBER(I108),ISNUMBER(H108),ISNUMBER(K108),F108&gt;0,I108&gt;0,H108&lt;&gt;0),ROUND(MIN(F108,I108)*(K108/I108-H108/F108),8),"")</f>
        <v/>
      </c>
      <c r="O108" s="183" t="str">
        <f>IF(ISNUMBER(N108),ROUND(N108/(MIN(F108,I108)*H108/F108)*100,2),"")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IF(AND(ISNUMBER(F109),ISNUMBER(I109),ISNUMBER(H109),ISNUMBER(K109),F109&gt;0,I109&gt;0,H109&lt;&gt;0),ROUND(MIN(F109,I109)*(K109/I109-H109/F109),8),"")</f>
        <v/>
      </c>
      <c r="O109" s="177" t="str">
        <f>IF(ISNUMBER(N109),ROUND(N109/(MIN(F109,I109)*H109/F109)*100,2),"")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IF(AND(ISNUMBER(F110),ISNUMBER(I110),ISNUMBER(H110),ISNUMBER(K110),F110&gt;0,I110&gt;0,H110&lt;&gt;0),ROUND(MIN(F110,I110)*(K110/I110-H110/F110),8),"")</f>
        <v/>
      </c>
      <c r="O110" s="183" t="str">
        <f>IF(ISNUMBER(N110),ROUND(N110/(MIN(F110,I110)*H110/F110)*100,2),"")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IF(AND(ISNUMBER(F111),ISNUMBER(I111),ISNUMBER(H111),ISNUMBER(K111),F111&gt;0,I111&gt;0,H111&lt;&gt;0),ROUND(MIN(F111,I111)*(K111/I111-H111/F111),8),"")</f>
        <v/>
      </c>
      <c r="O111" s="177" t="str">
        <f>IF(ISNUMBER(N111),ROUND(N111/(MIN(F111,I111)*H111/F111)*100,2),"")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IF(AND(ISNUMBER(F112),ISNUMBER(I112),ISNUMBER(H112),ISNUMBER(K112),F112&gt;0,I112&gt;0,H112&lt;&gt;0),ROUND(MIN(F112,I112)*(K112/I112-H112/F112),8),"")</f>
        <v/>
      </c>
      <c r="O112" s="183" t="str">
        <f>IF(ISNUMBER(N112),ROUND(N112/(MIN(F112,I112)*H112/F112)*100,2),"")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IF(AND(ISNUMBER(F113),ISNUMBER(I113),ISNUMBER(H113),ISNUMBER(K113),F113&gt;0,I113&gt;0,H113&lt;&gt;0),ROUND(MIN(F113,I113)*(K113/I113-H113/F113),8),"")</f>
        <v/>
      </c>
      <c r="O113" s="177" t="str">
        <f>IF(ISNUMBER(N113),ROUND(N113/(MIN(F113,I113)*H113/F113)*100,2),"")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IF(AND(ISNUMBER(F114),ISNUMBER(I114),ISNUMBER(H114),ISNUMBER(K114),F114&gt;0,I114&gt;0,H114&lt;&gt;0),ROUND(MIN(F114,I114)*(K114/I114-H114/F114),8),"")</f>
        <v/>
      </c>
      <c r="O114" s="183" t="str">
        <f>IF(ISNUMBER(N114),ROUND(N114/(MIN(F114,I114)*H114/F114)*100,2),"")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IF(AND(ISNUMBER(F115),ISNUMBER(I115),ISNUMBER(H115),ISNUMBER(K115),F115&gt;0,I115&gt;0,H115&lt;&gt;0),ROUND(MIN(F115,I115)*(K115/I115-H115/F115),8),"")</f>
        <v/>
      </c>
      <c r="O115" s="177" t="str">
        <f>IF(ISNUMBER(N115),ROUND(N115/(MIN(F115,I115)*H115/F115)*100,2),"")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IF(AND(ISNUMBER(F116),ISNUMBER(I116),ISNUMBER(H116),ISNUMBER(K116),F116&gt;0,I116&gt;0,H116&lt;&gt;0),ROUND(MIN(F116,I116)*(K116/I116-H116/F116),8),"")</f>
        <v/>
      </c>
      <c r="O116" s="183" t="str">
        <f>IF(ISNUMBER(N116),ROUND(N116/(MIN(F116,I116)*H116/F116)*100,2),"")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IF(AND(ISNUMBER(F117),ISNUMBER(I117),ISNUMBER(H117),ISNUMBER(K117),F117&gt;0,I117&gt;0,H117&lt;&gt;0),ROUND(MIN(F117,I117)*(K117/I117-H117/F117),8),"")</f>
        <v/>
      </c>
      <c r="O117" s="177" t="str">
        <f>IF(ISNUMBER(N117),ROUND(N117/(MIN(F117,I117)*H117/F117)*100,2),"")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IF(AND(ISNUMBER(F118),ISNUMBER(I118),ISNUMBER(H118),ISNUMBER(K118),F118&gt;0,I118&gt;0,H118&lt;&gt;0),ROUND(MIN(F118,I118)*(K118/I118-H118/F118),8),"")</f>
        <v/>
      </c>
      <c r="O118" s="183" t="str">
        <f>IF(ISNUMBER(N118),ROUND(N118/(MIN(F118,I118)*H118/F118)*100,2),"")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IF(AND(ISNUMBER(F119),ISNUMBER(I119),ISNUMBER(H119),ISNUMBER(K119),F119&gt;0,I119&gt;0,H119&lt;&gt;0),ROUND(MIN(F119,I119)*(K119/I119-H119/F119),8),"")</f>
        <v/>
      </c>
      <c r="O119" s="177" t="str">
        <f>IF(ISNUMBER(N119),ROUND(N119/(MIN(F119,I119)*H119/F119)*100,2),"")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IF(AND(ISNUMBER(F120),ISNUMBER(I120),ISNUMBER(H120),ISNUMBER(K120),F120&gt;0,I120&gt;0,H120&lt;&gt;0),ROUND(MIN(F120,I120)*(K120/I120-H120/F120),8),"")</f>
        <v/>
      </c>
      <c r="O120" s="183" t="str">
        <f>IF(ISNUMBER(N120),ROUND(N120/(MIN(F120,I120)*H120/F120)*100,2),"")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IF(AND(ISNUMBER(F121),ISNUMBER(I121),ISNUMBER(H121),ISNUMBER(K121),F121&gt;0,I121&gt;0,H121&lt;&gt;0),ROUND(MIN(F121,I121)*(K121/I121-H121/F121),8),"")</f>
        <v/>
      </c>
      <c r="O121" s="177" t="str">
        <f>IF(ISNUMBER(N121),ROUND(N121/(MIN(F121,I121)*H121/F121)*100,2),"")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IF(AND(ISNUMBER(F122),ISNUMBER(I122),ISNUMBER(H122),ISNUMBER(K122),F122&gt;0,I122&gt;0,H122&lt;&gt;0),ROUND(MIN(F122,I122)*(K122/I122-H122/F122),8),"")</f>
        <v/>
      </c>
      <c r="O122" s="183" t="str">
        <f>IF(ISNUMBER(N122),ROUND(N122/(MIN(F122,I122)*H122/F122)*100,2),"")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IF(AND(ISNUMBER(F123),ISNUMBER(I123),ISNUMBER(H123),ISNUMBER(K123),F123&gt;0,I123&gt;0,H123&lt;&gt;0),ROUND(MIN(F123,I123)*(K123/I123-H123/F123),8),"")</f>
        <v/>
      </c>
      <c r="O123" s="177" t="str">
        <f>IF(ISNUMBER(N123),ROUND(N123/(MIN(F123,I123)*H123/F123)*100,2),"")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IF(AND(ISNUMBER(F124),ISNUMBER(I124),ISNUMBER(H124),ISNUMBER(K124),F124&gt;0,I124&gt;0,H124&lt;&gt;0),ROUND(MIN(F124,I124)*(K124/I124-H124/F124),8),"")</f>
        <v/>
      </c>
      <c r="O124" s="183" t="str">
        <f>IF(ISNUMBER(N124),ROUND(N124/(MIN(F124,I124)*H124/F124)*100,2),"")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IF(AND(ISNUMBER(F125),ISNUMBER(I125),ISNUMBER(H125),ISNUMBER(K125),F125&gt;0,I125&gt;0,H125&lt;&gt;0),ROUND(MIN(F125,I125)*(K125/I125-H125/F125),8),"")</f>
        <v/>
      </c>
      <c r="O125" s="177" t="str">
        <f>IF(ISNUMBER(N125),ROUND(N125/(MIN(F125,I125)*H125/F125)*100,2),"")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IF(AND(ISNUMBER(F126),ISNUMBER(I126),ISNUMBER(H126),ISNUMBER(K126),F126&gt;0,I126&gt;0,H126&lt;&gt;0),ROUND(MIN(F126,I126)*(K126/I126-H126/F126),8),"")</f>
        <v/>
      </c>
      <c r="O126" s="183" t="str">
        <f>IF(ISNUMBER(N126),ROUND(N126/(MIN(F126,I126)*H126/F126)*100,2),"")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IF(AND(ISNUMBER(F127),ISNUMBER(I127),ISNUMBER(H127),ISNUMBER(K127),F127&gt;0,I127&gt;0,H127&lt;&gt;0),ROUND(MIN(F127,I127)*(K127/I127-H127/F127),8),"")</f>
        <v/>
      </c>
      <c r="O127" s="177" t="str">
        <f>IF(ISNUMBER(N127),ROUND(N127/(MIN(F127,I127)*H127/F127)*100,2),"")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IF(AND(ISNUMBER(F128),ISNUMBER(I128),ISNUMBER(H128),ISNUMBER(K128),F128&gt;0,I128&gt;0,H128&lt;&gt;0),ROUND(MIN(F128,I128)*(K128/I128-H128/F128),8),"")</f>
        <v/>
      </c>
      <c r="O128" s="183" t="str">
        <f>IF(ISNUMBER(N128),ROUND(N128/(MIN(F128,I128)*H128/F128)*100,2),"")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IF(AND(ISNUMBER(F129),ISNUMBER(I129),ISNUMBER(H129),ISNUMBER(K129),F129&gt;0,I129&gt;0,H129&lt;&gt;0),ROUND(MIN(F129,I129)*(K129/I129-H129/F129),8),"")</f>
        <v/>
      </c>
      <c r="O129" s="177" t="str">
        <f>IF(ISNUMBER(N129),ROUND(N129/(MIN(F129,I129)*H129/F129)*100,2),"")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IF(AND(ISNUMBER(F130),ISNUMBER(I130),ISNUMBER(H130),ISNUMBER(K130),F130&gt;0,I130&gt;0,H130&lt;&gt;0),ROUND(MIN(F130,I130)*(K130/I130-H130/F130),8),"")</f>
        <v/>
      </c>
      <c r="O130" s="183" t="str">
        <f>IF(ISNUMBER(N130),ROUND(N130/(MIN(F130,I130)*H130/F130)*100,2),"")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IF(AND(ISNUMBER(F131),ISNUMBER(I131),ISNUMBER(H131),ISNUMBER(K131),F131&gt;0,I131&gt;0,H131&lt;&gt;0),ROUND(MIN(F131,I131)*(K131/I131-H131/F131),8),"")</f>
        <v/>
      </c>
      <c r="O131" s="177" t="str">
        <f>IF(ISNUMBER(N131),ROUND(N131/(MIN(F131,I131)*H131/F131)*100,2),"")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IF(AND(ISNUMBER(F132),ISNUMBER(I132),ISNUMBER(H132),ISNUMBER(K132),F132&gt;0,I132&gt;0,H132&lt;&gt;0),ROUND(MIN(F132,I132)*(K132/I132-H132/F132),8),"")</f>
        <v/>
      </c>
      <c r="O132" s="183" t="str">
        <f>IF(ISNUMBER(N132),ROUND(N132/(MIN(F132,I132)*H132/F132)*100,2),"")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IF(AND(ISNUMBER(F133),ISNUMBER(I133),ISNUMBER(H133),ISNUMBER(K133),F133&gt;0,I133&gt;0,H133&lt;&gt;0),ROUND(MIN(F133,I133)*(K133/I133-H133/F133),8),"")</f>
        <v/>
      </c>
      <c r="O133" s="177" t="str">
        <f>IF(ISNUMBER(N133),ROUND(N133/(MIN(F133,I133)*H133/F133)*100,2),"")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IF(AND(ISNUMBER(F134),ISNUMBER(I134),ISNUMBER(H134),ISNUMBER(K134),F134&gt;0,I134&gt;0,H134&lt;&gt;0),ROUND(MIN(F134,I134)*(K134/I134-H134/F134),8),"")</f>
        <v/>
      </c>
      <c r="O134" s="183" t="str">
        <f>IF(ISNUMBER(N134),ROUND(N134/(MIN(F134,I134)*H134/F134)*100,2),"")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IF(AND(ISNUMBER(F135),ISNUMBER(I135),ISNUMBER(H135),ISNUMBER(K135),F135&gt;0,I135&gt;0,H135&lt;&gt;0),ROUND(MIN(F135,I135)*(K135/I135-H135/F135),8),"")</f>
        <v/>
      </c>
      <c r="O135" s="177" t="str">
        <f>IF(ISNUMBER(N135),ROUND(N135/(MIN(F135,I135)*H135/F135)*100,2),"")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IF(AND(ISNUMBER(F136),ISNUMBER(I136),ISNUMBER(H136),ISNUMBER(K136),F136&gt;0,I136&gt;0,H136&lt;&gt;0),ROUND(MIN(F136,I136)*(K136/I136-H136/F136),8),"")</f>
        <v/>
      </c>
      <c r="O136" s="183" t="str">
        <f>IF(ISNUMBER(N136),ROUND(N136/(MIN(F136,I136)*H136/F136)*100,2),"")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IF(AND(ISNUMBER(F137),ISNUMBER(I137),ISNUMBER(H137),ISNUMBER(K137),F137&gt;0,I137&gt;0,H137&lt;&gt;0),ROUND(MIN(F137,I137)*(K137/I137-H137/F137),8),"")</f>
        <v/>
      </c>
      <c r="O137" s="177" t="str">
        <f>IF(ISNUMBER(N137),ROUND(N137/(MIN(F137,I137)*H137/F137)*100,2),"")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IF(AND(ISNUMBER(F138),ISNUMBER(I138),ISNUMBER(H138),ISNUMBER(K138),F138&gt;0,I138&gt;0,H138&lt;&gt;0),ROUND(MIN(F138,I138)*(K138/I138-H138/F138),8),"")</f>
        <v/>
      </c>
      <c r="O138" s="183" t="str">
        <f>IF(ISNUMBER(N138),ROUND(N138/(MIN(F138,I138)*H138/F138)*100,2),"")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IF(AND(ISNUMBER(F139),ISNUMBER(I139),ISNUMBER(H139),ISNUMBER(K139),F139&gt;0,I139&gt;0,H139&lt;&gt;0),ROUND(MIN(F139,I139)*(K139/I139-H139/F139),8),"")</f>
        <v/>
      </c>
      <c r="O139" s="177" t="str">
        <f>IF(ISNUMBER(N139),ROUND(N139/(MIN(F139,I139)*H139/F139)*100,2),"")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IF(AND(ISNUMBER(F140),ISNUMBER(I140),ISNUMBER(H140),ISNUMBER(K140),F140&gt;0,I140&gt;0,H140&lt;&gt;0),ROUND(MIN(F140,I140)*(K140/I140-H140/F140),8),"")</f>
        <v/>
      </c>
      <c r="O140" s="183" t="str">
        <f>IF(ISNUMBER(N140),ROUND(N140/(MIN(F140,I140)*H140/F140)*100,2),"")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IF(AND(ISNUMBER(F141),ISNUMBER(I141),ISNUMBER(H141),ISNUMBER(K141),F141&gt;0,I141&gt;0,H141&lt;&gt;0),ROUND(MIN(F141,I141)*(K141/I141-H141/F141),8),"")</f>
        <v/>
      </c>
      <c r="O141" s="177" t="str">
        <f>IF(ISNUMBER(N141),ROUND(N141/(MIN(F141,I141)*H141/F141)*100,2),"")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IF(AND(ISNUMBER(F142),ISNUMBER(I142),ISNUMBER(H142),ISNUMBER(K142),F142&gt;0,I142&gt;0,H142&lt;&gt;0),ROUND(MIN(F142,I142)*(K142/I142-H142/F142),8),"")</f>
        <v/>
      </c>
      <c r="O142" s="183" t="str">
        <f>IF(ISNUMBER(N142),ROUND(N142/(MIN(F142,I142)*H142/F142)*100,2),"")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IF(AND(ISNUMBER(F143),ISNUMBER(I143),ISNUMBER(H143),ISNUMBER(K143),F143&gt;0,I143&gt;0,H143&lt;&gt;0),ROUND(MIN(F143,I143)*(K143/I143-H143/F143),8),"")</f>
        <v/>
      </c>
      <c r="O143" s="177" t="str">
        <f>IF(ISNUMBER(N143),ROUND(N143/(MIN(F143,I143)*H143/F143)*100,2),"")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IF(AND(ISNUMBER(F144),ISNUMBER(I144),ISNUMBER(H144),ISNUMBER(K144),F144&gt;0,I144&gt;0,H144&lt;&gt;0),ROUND(MIN(F144,I144)*(K144/I144-H144/F144),8),"")</f>
        <v/>
      </c>
      <c r="O144" s="183" t="str">
        <f>IF(ISNUMBER(N144),ROUND(N144/(MIN(F144,I144)*H144/F144)*100,2),"")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IF(AND(ISNUMBER(F145),ISNUMBER(I145),ISNUMBER(H145),ISNUMBER(K145),F145&gt;0,I145&gt;0,H145&lt;&gt;0),ROUND(MIN(F145,I145)*(K145/I145-H145/F145),8),"")</f>
        <v/>
      </c>
      <c r="O145" s="177" t="str">
        <f>IF(ISNUMBER(N145),ROUND(N145/(MIN(F145,I145)*H145/F145)*100,2),"")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IF(AND(ISNUMBER(F146),ISNUMBER(I146),ISNUMBER(H146),ISNUMBER(K146),F146&gt;0,I146&gt;0,H146&lt;&gt;0),ROUND(MIN(F146,I146)*(K146/I146-H146/F146),8),"")</f>
        <v/>
      </c>
      <c r="O146" s="183" t="str">
        <f>IF(ISNUMBER(N146),ROUND(N146/(MIN(F146,I146)*H146/F146)*100,2),"")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IF(AND(ISNUMBER(F147),ISNUMBER(I147),ISNUMBER(H147),ISNUMBER(K147),F147&gt;0,I147&gt;0,H147&lt;&gt;0),ROUND(MIN(F147,I147)*(K147/I147-H147/F147),8),"")</f>
        <v/>
      </c>
      <c r="O147" s="177" t="str">
        <f>IF(ISNUMBER(N147),ROUND(N147/(MIN(F147,I147)*H147/F147)*100,2),"")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IF(AND(ISNUMBER(F148),ISNUMBER(I148),ISNUMBER(H148),ISNUMBER(K148),F148&gt;0,I148&gt;0,H148&lt;&gt;0),ROUND(MIN(F148,I148)*(K148/I148-H148/F148),8),"")</f>
        <v/>
      </c>
      <c r="O148" s="183" t="str">
        <f>IF(ISNUMBER(N148),ROUND(N148/(MIN(F148,I148)*H148/F148)*100,2),"")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IF(AND(ISNUMBER(F149),ISNUMBER(I149),ISNUMBER(H149),ISNUMBER(K149),F149&gt;0,I149&gt;0,H149&lt;&gt;0),ROUND(MIN(F149,I149)*(K149/I149-H149/F149),8),"")</f>
        <v/>
      </c>
      <c r="O149" s="177" t="str">
        <f>IF(ISNUMBER(N149),ROUND(N149/(MIN(F149,I149)*H149/F149)*100,2),"")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IF(AND(ISNUMBER(F150),ISNUMBER(I150),ISNUMBER(H150),ISNUMBER(K150),F150&gt;0,I150&gt;0,H150&lt;&gt;0),ROUND(MIN(F150,I150)*(K150/I150-H150/F150),8),"")</f>
        <v/>
      </c>
      <c r="O150" s="183" t="str">
        <f>IF(ISNUMBER(N150),ROUND(N150/(MIN(F150,I150)*H150/F150)*100,2),"")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IF(AND(ISNUMBER(F151),ISNUMBER(I151),ISNUMBER(H151),ISNUMBER(K151),F151&gt;0,I151&gt;0,H151&lt;&gt;0),ROUND(MIN(F151,I151)*(K151/I151-H151/F151),8),"")</f>
        <v/>
      </c>
      <c r="O151" s="177" t="str">
        <f>IF(ISNUMBER(N151),ROUND(N151/(MIN(F151,I151)*H151/F151)*100,2),"")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IF(AND(ISNUMBER(F152),ISNUMBER(I152),ISNUMBER(H152),ISNUMBER(K152),F152&gt;0,I152&gt;0,H152&lt;&gt;0),ROUND(MIN(F152,I152)*(K152/I152-H152/F152),8),"")</f>
        <v/>
      </c>
      <c r="O152" s="183" t="str">
        <f>IF(ISNUMBER(N152),ROUND(N152/(MIN(F152,I152)*H152/F152)*100,2),"")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IF(AND(ISNUMBER(F153),ISNUMBER(I153),ISNUMBER(H153),ISNUMBER(K153),F153&gt;0,I153&gt;0,H153&lt;&gt;0),ROUND(MIN(F153,I153)*(K153/I153-H153/F153),8),"")</f>
        <v/>
      </c>
      <c r="O153" s="177" t="str">
        <f>IF(ISNUMBER(N153),ROUND(N153/(MIN(F153,I153)*H153/F153)*100,2),"")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IF(AND(ISNUMBER(F154),ISNUMBER(I154),ISNUMBER(H154),ISNUMBER(K154),F154&gt;0,I154&gt;0,H154&lt;&gt;0),ROUND(MIN(F154,I154)*(K154/I154-H154/F154),8),"")</f>
        <v/>
      </c>
      <c r="O154" s="183" t="str">
        <f>IF(ISNUMBER(N154),ROUND(N154/(MIN(F154,I154)*H154/F154)*100,2),"")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IF(AND(ISNUMBER(F155),ISNUMBER(I155),ISNUMBER(H155),ISNUMBER(K155),F155&gt;0,I155&gt;0,H155&lt;&gt;0),ROUND(MIN(F155,I155)*(K155/I155-H155/F155),8),"")</f>
        <v/>
      </c>
      <c r="O155" s="177" t="str">
        <f>IF(ISNUMBER(N155),ROUND(N155/(MIN(F155,I155)*H155/F155)*100,2),"")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IF(AND(ISNUMBER(F156),ISNUMBER(I156),ISNUMBER(H156),ISNUMBER(K156),F156&gt;0,I156&gt;0,H156&lt;&gt;0),ROUND(MIN(F156,I156)*(K156/I156-H156/F156),8),"")</f>
        <v/>
      </c>
      <c r="O156" s="183" t="str">
        <f>IF(ISNUMBER(N156),ROUND(N156/(MIN(F156,I156)*H156/F156)*100,2),"")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IF(AND(ISNUMBER(F157),ISNUMBER(I157),ISNUMBER(H157),ISNUMBER(K157),F157&gt;0,I157&gt;0,H157&lt;&gt;0),ROUND(MIN(F157,I157)*(K157/I157-H157/F157),8),"")</f>
        <v/>
      </c>
      <c r="O157" s="177" t="str">
        <f>IF(ISNUMBER(N157),ROUND(N157/(MIN(F157,I157)*H157/F157)*100,2),"")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IF(AND(ISNUMBER(F158),ISNUMBER(I158),ISNUMBER(H158),ISNUMBER(K158),F158&gt;0,I158&gt;0,H158&lt;&gt;0),ROUND(MIN(F158,I158)*(K158/I158-H158/F158),8),"")</f>
        <v/>
      </c>
      <c r="O158" s="183" t="str">
        <f>IF(ISNUMBER(N158),ROUND(N158/(MIN(F158,I158)*H158/F158)*100,2),"")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IF(AND(ISNUMBER(F159),ISNUMBER(I159),ISNUMBER(H159),ISNUMBER(K159),F159&gt;0,I159&gt;0,H159&lt;&gt;0),ROUND(MIN(F159,I159)*(K159/I159-H159/F159),8),"")</f>
        <v/>
      </c>
      <c r="O159" s="177" t="str">
        <f>IF(ISNUMBER(N159),ROUND(N159/(MIN(F159,I159)*H159/F159)*100,2),"")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IF(AND(ISNUMBER(F160),ISNUMBER(I160),ISNUMBER(H160),ISNUMBER(K160),F160&gt;0,I160&gt;0,H160&lt;&gt;0),ROUND(MIN(F160,I160)*(K160/I160-H160/F160),8),"")</f>
        <v/>
      </c>
      <c r="O160" s="183" t="str">
        <f>IF(ISNUMBER(N160),ROUND(N160/(MIN(F160,I160)*H160/F160)*100,2),"")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IF(AND(ISNUMBER(F161),ISNUMBER(I161),ISNUMBER(H161),ISNUMBER(K161),F161&gt;0,I161&gt;0,H161&lt;&gt;0),ROUND(MIN(F161,I161)*(K161/I161-H161/F161),8),"")</f>
        <v/>
      </c>
      <c r="O161" s="177" t="str">
        <f>IF(ISNUMBER(N161),ROUND(N161/(MIN(F161,I161)*H161/F161)*100,2),"")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IF(AND(ISNUMBER(F162),ISNUMBER(I162),ISNUMBER(H162),ISNUMBER(K162),F162&gt;0,I162&gt;0,H162&lt;&gt;0),ROUND(MIN(F162,I162)*(K162/I162-H162/F162),8),"")</f>
        <v/>
      </c>
      <c r="O162" s="183" t="str">
        <f>IF(ISNUMBER(N162),ROUND(N162/(MIN(F162,I162)*H162/F162)*100,2),"")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IF(AND(ISNUMBER(F163),ISNUMBER(I163),ISNUMBER(H163),ISNUMBER(K163),F163&gt;0,I163&gt;0,H163&lt;&gt;0),ROUND(MIN(F163,I163)*(K163/I163-H163/F163),8),"")</f>
        <v/>
      </c>
      <c r="O163" s="177" t="str">
        <f>IF(ISNUMBER(N163),ROUND(N163/(MIN(F163,I163)*H163/F163)*100,2),"")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IF(AND(ISNUMBER(F164),ISNUMBER(I164),ISNUMBER(H164),ISNUMBER(K164),F164&gt;0,I164&gt;0,H164&lt;&gt;0),ROUND(MIN(F164,I164)*(K164/I164-H164/F164),8),"")</f>
        <v/>
      </c>
      <c r="O164" s="183" t="str">
        <f>IF(ISNUMBER(N164),ROUND(N164/(MIN(F164,I164)*H164/F164)*100,2),"")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IF(AND(ISNUMBER(F165),ISNUMBER(I165),ISNUMBER(H165),ISNUMBER(K165),F165&gt;0,I165&gt;0,H165&lt;&gt;0),ROUND(MIN(F165,I165)*(K165/I165-H165/F165),8),"")</f>
        <v/>
      </c>
      <c r="O165" s="177" t="str">
        <f>IF(ISNUMBER(N165),ROUND(N165/(MIN(F165,I165)*H165/F165)*100,2),"")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IF(AND(ISNUMBER(F166),ISNUMBER(I166),ISNUMBER(H166),ISNUMBER(K166),F166&gt;0,I166&gt;0,H166&lt;&gt;0),ROUND(MIN(F166,I166)*(K166/I166-H166/F166),8),"")</f>
        <v/>
      </c>
      <c r="O166" s="183" t="str">
        <f>IF(ISNUMBER(N166),ROUND(N166/(MIN(F166,I166)*H166/F166)*100,2),"")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IF(AND(ISNUMBER(F167),ISNUMBER(I167),ISNUMBER(H167),ISNUMBER(K167),F167&gt;0,I167&gt;0,H167&lt;&gt;0),ROUND(MIN(F167,I167)*(K167/I167-H167/F167),8),"")</f>
        <v/>
      </c>
      <c r="O167" s="177" t="str">
        <f>IF(ISNUMBER(N167),ROUND(N167/(MIN(F167,I167)*H167/F167)*100,2),"")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IF(AND(ISNUMBER(F168),ISNUMBER(I168),ISNUMBER(H168),ISNUMBER(K168),F168&gt;0,I168&gt;0,H168&lt;&gt;0),ROUND(MIN(F168,I168)*(K168/I168-H168/F168),8),"")</f>
        <v/>
      </c>
      <c r="O168" s="183" t="str">
        <f>IF(ISNUMBER(N168),ROUND(N168/(MIN(F168,I168)*H168/F168)*100,2),"")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IF(AND(ISNUMBER(F169),ISNUMBER(I169),ISNUMBER(H169),ISNUMBER(K169),F169&gt;0,I169&gt;0,H169&lt;&gt;0),ROUND(MIN(F169,I169)*(K169/I169-H169/F169),8),"")</f>
        <v/>
      </c>
      <c r="O169" s="177" t="str">
        <f>IF(ISNUMBER(N169),ROUND(N169/(MIN(F169,I169)*H169/F169)*100,2),"")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IF(AND(ISNUMBER(F170),ISNUMBER(I170),ISNUMBER(H170),ISNUMBER(K170),F170&gt;0,I170&gt;0,H170&lt;&gt;0),ROUND(MIN(F170,I170)*(K170/I170-H170/F170),8),"")</f>
        <v/>
      </c>
      <c r="O170" s="183" t="str">
        <f>IF(ISNUMBER(N170),ROUND(N170/(MIN(F170,I170)*H170/F170)*100,2),"")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IF(AND(ISNUMBER(F171),ISNUMBER(I171),ISNUMBER(H171),ISNUMBER(K171),F171&gt;0,I171&gt;0,H171&lt;&gt;0),ROUND(MIN(F171,I171)*(K171/I171-H171/F171),8),"")</f>
        <v/>
      </c>
      <c r="O171" s="177" t="str">
        <f>IF(ISNUMBER(N171),ROUND(N171/(MIN(F171,I171)*H171/F171)*100,2),"")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IF(AND(ISNUMBER(F172),ISNUMBER(I172),ISNUMBER(H172),ISNUMBER(K172),F172&gt;0,I172&gt;0,H172&lt;&gt;0),ROUND(MIN(F172,I172)*(K172/I172-H172/F172),8),"")</f>
        <v/>
      </c>
      <c r="O172" s="183" t="str">
        <f>IF(ISNUMBER(N172),ROUND(N172/(MIN(F172,I172)*H172/F172)*100,2),"")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IF(AND(ISNUMBER(F173),ISNUMBER(I173),ISNUMBER(H173),ISNUMBER(K173),F173&gt;0,I173&gt;0,H173&lt;&gt;0),ROUND(MIN(F173,I173)*(K173/I173-H173/F173),8),"")</f>
        <v/>
      </c>
      <c r="O173" s="177" t="str">
        <f>IF(ISNUMBER(N173),ROUND(N173/(MIN(F173,I173)*H173/F173)*100,2),"")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IF(AND(ISNUMBER(F174),ISNUMBER(I174),ISNUMBER(H174),ISNUMBER(K174),F174&gt;0,I174&gt;0,H174&lt;&gt;0),ROUND(MIN(F174,I174)*(K174/I174-H174/F174),8),"")</f>
        <v/>
      </c>
      <c r="O174" s="183" t="str">
        <f>IF(ISNUMBER(N174),ROUND(N174/(MIN(F174,I174)*H174/F174)*100,2),"")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IF(AND(ISNUMBER(F175),ISNUMBER(I175),ISNUMBER(H175),ISNUMBER(K175),F175&gt;0,I175&gt;0,H175&lt;&gt;0),ROUND(MIN(F175,I175)*(K175/I175-H175/F175),8),"")</f>
        <v/>
      </c>
      <c r="O175" s="177" t="str">
        <f>IF(ISNUMBER(N175),ROUND(N175/(MIN(F175,I175)*H175/F175)*100,2),"")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IF(AND(ISNUMBER(F176),ISNUMBER(I176),ISNUMBER(H176),ISNUMBER(K176),F176&gt;0,I176&gt;0,H176&lt;&gt;0),ROUND(MIN(F176,I176)*(K176/I176-H176/F176),8),"")</f>
        <v/>
      </c>
      <c r="O176" s="183" t="str">
        <f>IF(ISNUMBER(N176),ROUND(N176/(MIN(F176,I176)*H176/F176)*100,2),"")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IF(AND(ISNUMBER(F177),ISNUMBER(I177),ISNUMBER(H177),ISNUMBER(K177),F177&gt;0,I177&gt;0,H177&lt;&gt;0),ROUND(MIN(F177,I177)*(K177/I177-H177/F177),8),"")</f>
        <v/>
      </c>
      <c r="O177" s="177" t="str">
        <f>IF(ISNUMBER(N177),ROUND(N177/(MIN(F177,I177)*H177/F177)*100,2),"")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IF(AND(ISNUMBER(F178),ISNUMBER(I178),ISNUMBER(H178),ISNUMBER(K178),F178&gt;0,I178&gt;0,H178&lt;&gt;0),ROUND(MIN(F178,I178)*(K178/I178-H178/F178),8),"")</f>
        <v/>
      </c>
      <c r="O178" s="183" t="str">
        <f>IF(ISNUMBER(N178),ROUND(N178/(MIN(F178,I178)*H178/F178)*100,2),"")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IF(AND(ISNUMBER(F179),ISNUMBER(I179),ISNUMBER(H179),ISNUMBER(K179),F179&gt;0,I179&gt;0,H179&lt;&gt;0),ROUND(MIN(F179,I179)*(K179/I179-H179/F179),8),"")</f>
        <v/>
      </c>
      <c r="O179" s="177" t="str">
        <f>IF(ISNUMBER(N179),ROUND(N179/(MIN(F179,I179)*H179/F179)*100,2),"")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IF(AND(ISNUMBER(F180),ISNUMBER(I180),ISNUMBER(H180),ISNUMBER(K180),F180&gt;0,I180&gt;0,H180&lt;&gt;0),ROUND(MIN(F180,I180)*(K180/I180-H180/F180),8),"")</f>
        <v/>
      </c>
      <c r="O180" s="183" t="str">
        <f>IF(ISNUMBER(N180),ROUND(N180/(MIN(F180,I180)*H180/F180)*100,2),"")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IF(AND(ISNUMBER(F181),ISNUMBER(I181),ISNUMBER(H181),ISNUMBER(K181),F181&gt;0,I181&gt;0,H181&lt;&gt;0),ROUND(MIN(F181,I181)*(K181/I181-H181/F181),8),"")</f>
        <v/>
      </c>
      <c r="O181" s="177" t="str">
        <f>IF(ISNUMBER(N181),ROUND(N181/(MIN(F181,I181)*H181/F181)*100,2),"")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IF(AND(ISNUMBER(F182),ISNUMBER(I182),ISNUMBER(H182),ISNUMBER(K182),F182&gt;0,I182&gt;0,H182&lt;&gt;0),ROUND(MIN(F182,I182)*(K182/I182-H182/F182),8),"")</f>
        <v/>
      </c>
      <c r="O182" s="183" t="str">
        <f>IF(ISNUMBER(N182),ROUND(N182/(MIN(F182,I182)*H182/F182)*100,2),"")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IF(AND(ISNUMBER(F183),ISNUMBER(I183),ISNUMBER(H183),ISNUMBER(K183),F183&gt;0,I183&gt;0,H183&lt;&gt;0),ROUND(MIN(F183,I183)*(K183/I183-H183/F183),8),"")</f>
        <v/>
      </c>
      <c r="O183" s="177" t="str">
        <f>IF(ISNUMBER(N183),ROUND(N183/(MIN(F183,I183)*H183/F183)*100,2),"")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IF(AND(ISNUMBER(F184),ISNUMBER(I184),ISNUMBER(H184),ISNUMBER(K184),F184&gt;0,I184&gt;0,H184&lt;&gt;0),ROUND(MIN(F184,I184)*(K184/I184-H184/F184),8),"")</f>
        <v/>
      </c>
      <c r="O184" s="183" t="str">
        <f>IF(ISNUMBER(N184),ROUND(N184/(MIN(F184,I184)*H184/F184)*100,2),"")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IF(AND(ISNUMBER(F185),ISNUMBER(I185),ISNUMBER(H185),ISNUMBER(K185),F185&gt;0,I185&gt;0,H185&lt;&gt;0),ROUND(MIN(F185,I185)*(K185/I185-H185/F185),8),"")</f>
        <v/>
      </c>
      <c r="O185" s="177" t="str">
        <f>IF(ISNUMBER(N185),ROUND(N185/(MIN(F185,I185)*H185/F185)*100,2),"")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IF(AND(ISNUMBER(F186),ISNUMBER(I186),ISNUMBER(H186),ISNUMBER(K186),F186&gt;0,I186&gt;0,H186&lt;&gt;0),ROUND(MIN(F186,I186)*(K186/I186-H186/F186),8),"")</f>
        <v/>
      </c>
      <c r="O186" s="183" t="str">
        <f>IF(ISNUMBER(N186),ROUND(N186/(MIN(F186,I186)*H186/F186)*100,2),"")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IF(AND(ISNUMBER(F187),ISNUMBER(I187),ISNUMBER(H187),ISNUMBER(K187),F187&gt;0,I187&gt;0,H187&lt;&gt;0),ROUND(MIN(F187,I187)*(K187/I187-H187/F187),8),"")</f>
        <v/>
      </c>
      <c r="O187" s="177" t="str">
        <f>IF(ISNUMBER(N187),ROUND(N187/(MIN(F187,I187)*H187/F187)*100,2),"")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IF(AND(ISNUMBER(F188),ISNUMBER(I188),ISNUMBER(H188),ISNUMBER(K188),F188&gt;0,I188&gt;0,H188&lt;&gt;0),ROUND(MIN(F188,I188)*(K188/I188-H188/F188),8),"")</f>
        <v/>
      </c>
      <c r="O188" s="183" t="str">
        <f>IF(ISNUMBER(N188),ROUND(N188/(MIN(F188,I188)*H188/F188)*100,2),"")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IF(AND(ISNUMBER(F189),ISNUMBER(I189),ISNUMBER(H189),ISNUMBER(K189),F189&gt;0,I189&gt;0,H189&lt;&gt;0),ROUND(MIN(F189,I189)*(K189/I189-H189/F189),8),"")</f>
        <v/>
      </c>
      <c r="O189" s="177" t="str">
        <f>IF(ISNUMBER(N189),ROUND(N189/(MIN(F189,I189)*H189/F189)*100,2),"")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IF(AND(ISNUMBER(F190),ISNUMBER(I190),ISNUMBER(H190),ISNUMBER(K190),F190&gt;0,I190&gt;0,H190&lt;&gt;0),ROUND(MIN(F190,I190)*(K190/I190-H190/F190),8),"")</f>
        <v/>
      </c>
      <c r="O190" s="183" t="str">
        <f>IF(ISNUMBER(N190),ROUND(N190/(MIN(F190,I190)*H190/F190)*100,2),"")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IF(AND(ISNUMBER(F191),ISNUMBER(I191),ISNUMBER(H191),ISNUMBER(K191),F191&gt;0,I191&gt;0,H191&lt;&gt;0),ROUND(MIN(F191,I191)*(K191/I191-H191/F191),8),"")</f>
        <v/>
      </c>
      <c r="O191" s="177" t="str">
        <f>IF(ISNUMBER(N191),ROUND(N191/(MIN(F191,I191)*H191/F191)*100,2),"")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IF(AND(ISNUMBER(F192),ISNUMBER(I192),ISNUMBER(H192),ISNUMBER(K192),F192&gt;0,I192&gt;0,H192&lt;&gt;0),ROUND(MIN(F192,I192)*(K192/I192-H192/F192),8),"")</f>
        <v/>
      </c>
      <c r="O192" s="183" t="str">
        <f>IF(ISNUMBER(N192),ROUND(N192/(MIN(F192,I192)*H192/F192)*100,2),"")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IF(AND(ISNUMBER(F193),ISNUMBER(I193),ISNUMBER(H193),ISNUMBER(K193),F193&gt;0,I193&gt;0,H193&lt;&gt;0),ROUND(MIN(F193,I193)*(K193/I193-H193/F193),8),"")</f>
        <v/>
      </c>
      <c r="O193" s="177" t="str">
        <f>IF(ISNUMBER(N193),ROUND(N193/(MIN(F193,I193)*H193/F193)*100,2),"")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IF(AND(ISNUMBER(F194),ISNUMBER(I194),ISNUMBER(H194),ISNUMBER(K194),F194&gt;0,I194&gt;0,H194&lt;&gt;0),ROUND(MIN(F194,I194)*(K194/I194-H194/F194),8),"")</f>
        <v/>
      </c>
      <c r="O194" s="183" t="str">
        <f>IF(ISNUMBER(N194),ROUND(N194/(MIN(F194,I194)*H194/F194)*100,2),"")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IF(AND(ISNUMBER(F195),ISNUMBER(I195),ISNUMBER(H195),ISNUMBER(K195),F195&gt;0,I195&gt;0,H195&lt;&gt;0),ROUND(MIN(F195,I195)*(K195/I195-H195/F195),8),"")</f>
        <v/>
      </c>
      <c r="O195" s="177" t="str">
        <f>IF(ISNUMBER(N195),ROUND(N195/(MIN(F195,I195)*H195/F195)*100,2),"")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IF(AND(ISNUMBER(F196),ISNUMBER(I196),ISNUMBER(H196),ISNUMBER(K196),F196&gt;0,I196&gt;0,H196&lt;&gt;0),ROUND(MIN(F196,I196)*(K196/I196-H196/F196),8),"")</f>
        <v/>
      </c>
      <c r="O196" s="183" t="str">
        <f>IF(ISNUMBER(N196),ROUND(N196/(MIN(F196,I196)*H196/F196)*100,2),"")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IF(AND(ISNUMBER(F197),ISNUMBER(I197),ISNUMBER(H197),ISNUMBER(K197),F197&gt;0,I197&gt;0,H197&lt;&gt;0),ROUND(MIN(F197,I197)*(K197/I197-H197/F197),8),"")</f>
        <v/>
      </c>
      <c r="O197" s="177" t="str">
        <f>IF(ISNUMBER(N197),ROUND(N197/(MIN(F197,I197)*H197/F197)*100,2),"")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IF(AND(ISNUMBER(F198),ISNUMBER(I198),ISNUMBER(H198),ISNUMBER(K198),F198&gt;0,I198&gt;0,H198&lt;&gt;0),ROUND(MIN(F198,I198)*(K198/I198-H198/F198),8),"")</f>
        <v/>
      </c>
      <c r="O198" s="183" t="str">
        <f>IF(ISNUMBER(N198),ROUND(N198/(MIN(F198,I198)*H198/F198)*100,2),"")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IF(AND(ISNUMBER(F199),ISNUMBER(I199),ISNUMBER(H199),ISNUMBER(K199),F199&gt;0,I199&gt;0,H199&lt;&gt;0),ROUND(MIN(F199,I199)*(K199/I199-H199/F199),8),"")</f>
        <v/>
      </c>
      <c r="O199" s="177" t="str">
        <f>IF(ISNUMBER(N199),ROUND(N199/(MIN(F199,I199)*H199/F199)*100,2),"")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IF(AND(ISNUMBER(F200),ISNUMBER(I200),ISNUMBER(H200),ISNUMBER(K200),F200&gt;0,I200&gt;0,H200&lt;&gt;0),ROUND(MIN(F200,I200)*(K200/I200-H200/F200),8),"")</f>
        <v/>
      </c>
      <c r="O200" s="183" t="str">
        <f>IF(ISNUMBER(N200),ROUND(N200/(MIN(F200,I200)*H200/F200)*100,2),"")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IF(AND(ISNUMBER(F201),ISNUMBER(I201),ISNUMBER(H201),ISNUMBER(K201),F201&gt;0,I201&gt;0,H201&lt;&gt;0),ROUND(MIN(F201,I201)*(K201/I201-H201/F201),8),"")</f>
        <v/>
      </c>
      <c r="O201" s="177" t="str">
        <f>IF(ISNUMBER(N201),ROUND(N201/(MIN(F201,I201)*H201/F201)*100,2),"")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IF(AND(ISNUMBER(F202),ISNUMBER(I202),ISNUMBER(H202),ISNUMBER(K202),F202&gt;0,I202&gt;0,H202&lt;&gt;0),ROUND(MIN(F202,I202)*(K202/I202-H202/F202),8),"")</f>
        <v/>
      </c>
      <c r="O202" s="183" t="str">
        <f>IF(ISNUMBER(N202),ROUND(N202/(MIN(F202,I202)*H202/F202)*100,2),"")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IF(AND(ISNUMBER(F203),ISNUMBER(I203),ISNUMBER(H203),ISNUMBER(K203),F203&gt;0,I203&gt;0,H203&lt;&gt;0),ROUND(MIN(F203,I203)*(K203/I203-H203/F203),8),"")</f>
        <v/>
      </c>
      <c r="O203" s="177" t="str">
        <f>IF(ISNUMBER(N203),ROUND(N203/(MIN(F203,I203)*H203/F203)*100,2),"")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IF(AND(ISNUMBER(F204),ISNUMBER(I204),ISNUMBER(H204),ISNUMBER(K204),F204&gt;0,I204&gt;0,H204&lt;&gt;0),ROUND(MIN(F204,I204)*(K204/I204-H204/F204),8),"")</f>
        <v/>
      </c>
      <c r="O204" s="183" t="str">
        <f>IF(ISNUMBER(N204),ROUND(N204/(MIN(F204,I204)*H204/F204)*100,2),"")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IF(AND(ISNUMBER(F205),ISNUMBER(I205),ISNUMBER(H205),ISNUMBER(K205),F205&gt;0,I205&gt;0,H205&lt;&gt;0),ROUND(MIN(F205,I205)*(K205/I205-H205/F205),8),"")</f>
        <v/>
      </c>
      <c r="O205" s="177" t="str">
        <f>IF(ISNUMBER(N205),ROUND(N205/(MIN(F205,I205)*H205/F205)*100,2),"")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IF(AND(ISNUMBER(F206),ISNUMBER(I206),ISNUMBER(H206),ISNUMBER(K206),F206&gt;0,I206&gt;0,H206&lt;&gt;0),ROUND(MIN(F206,I206)*(K206/I206-H206/F206),8),"")</f>
        <v/>
      </c>
      <c r="O206" s="183" t="str">
        <f>IF(ISNUMBER(N206),ROUND(N206/(MIN(F206,I206)*H206/F206)*100,2),"")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IF(AND(ISNUMBER(F207),ISNUMBER(I207),ISNUMBER(H207),ISNUMBER(K207),F207&gt;0,I207&gt;0,H207&lt;&gt;0),ROUND(MIN(F207,I207)*(K207/I207-H207/F207),8),"")</f>
        <v/>
      </c>
      <c r="O207" s="177" t="str">
        <f>IF(ISNUMBER(N207),ROUND(N207/(MIN(F207,I207)*H207/F207)*100,2),"")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IF(AND(ISNUMBER(F208),ISNUMBER(I208),ISNUMBER(H208),ISNUMBER(K208),F208&gt;0,I208&gt;0,H208&lt;&gt;0),ROUND(MIN(F208,I208)*(K208/I208-H208/F208),8),"")</f>
        <v/>
      </c>
      <c r="O208" s="183" t="str">
        <f>IF(ISNUMBER(N208),ROUND(N208/(MIN(F208,I208)*H208/F208)*100,2),"")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IF(AND(ISNUMBER(F209),ISNUMBER(I209),ISNUMBER(H209),ISNUMBER(K209),F209&gt;0,I209&gt;0,H209&lt;&gt;0),ROUND(MIN(F209,I209)*(K209/I209-H209/F209),8),"")</f>
        <v/>
      </c>
      <c r="O209" s="177" t="str">
        <f>IF(ISNUMBER(N209),ROUND(N209/(MIN(F209,I209)*H209/F209)*100,2),"")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IF(AND(ISNUMBER(F210),ISNUMBER(I210),ISNUMBER(H210),ISNUMBER(K210),F210&gt;0,I210&gt;0,H210&lt;&gt;0),ROUND(MIN(F210,I210)*(K210/I210-H210/F210),8),"")</f>
        <v/>
      </c>
      <c r="O210" s="183" t="str">
        <f>IF(ISNUMBER(N210),ROUND(N210/(MIN(F210,I210)*H210/F210)*100,2),"")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IF(AND(ISNUMBER(F211),ISNUMBER(I211),ISNUMBER(H211),ISNUMBER(K211),F211&gt;0,I211&gt;0,H211&lt;&gt;0),ROUND(MIN(F211,I211)*(K211/I211-H211/F211),8),"")</f>
        <v/>
      </c>
      <c r="O211" s="177" t="str">
        <f>IF(ISNUMBER(N211),ROUND(N211/(MIN(F211,I211)*H211/F211)*100,2),"")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IF(AND(ISNUMBER(F212),ISNUMBER(I212),ISNUMBER(H212),ISNUMBER(K212),F212&gt;0,I212&gt;0,H212&lt;&gt;0),ROUND(MIN(F212,I212)*(K212/I212-H212/F212),8),"")</f>
        <v/>
      </c>
      <c r="O212" s="183" t="str">
        <f>IF(ISNUMBER(N212),ROUND(N212/(MIN(F212,I212)*H212/F212)*100,2),"")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IF(AND(ISNUMBER(F213),ISNUMBER(I213),ISNUMBER(H213),ISNUMBER(K213),F213&gt;0,I213&gt;0,H213&lt;&gt;0),ROUND(MIN(F213,I213)*(K213/I213-H213/F213),8),"")</f>
        <v/>
      </c>
      <c r="O213" s="177" t="str">
        <f>IF(ISNUMBER(N213),ROUND(N213/(MIN(F213,I213)*H213/F213)*100,2),"")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IF(AND(ISNUMBER(F214),ISNUMBER(I214),ISNUMBER(H214),ISNUMBER(K214),F214&gt;0,I214&gt;0,H214&lt;&gt;0),ROUND(MIN(F214,I214)*(K214/I214-H214/F214),8),"")</f>
        <v/>
      </c>
      <c r="O214" s="183" t="str">
        <f>IF(ISNUMBER(N214),ROUND(N214/(MIN(F214,I214)*H214/F214)*100,2),"")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IF(AND(ISNUMBER(F215),ISNUMBER(I215),ISNUMBER(H215),ISNUMBER(K215),F215&gt;0,I215&gt;0,H215&lt;&gt;0),ROUND(MIN(F215,I215)*(K215/I215-H215/F215),8),"")</f>
        <v/>
      </c>
      <c r="O215" s="177" t="str">
        <f>IF(ISNUMBER(N215),ROUND(N215/(MIN(F215,I215)*H215/F215)*100,2),"")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IF(AND(ISNUMBER(F216),ISNUMBER(I216),ISNUMBER(H216),ISNUMBER(K216),F216&gt;0,I216&gt;0,H216&lt;&gt;0),ROUND(MIN(F216,I216)*(K216/I216-H216/F216),8),"")</f>
        <v/>
      </c>
      <c r="O216" s="183" t="str">
        <f>IF(ISNUMBER(N216),ROUND(N216/(MIN(F216,I216)*H216/F216)*100,2),"")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IF(AND(ISNUMBER(F217),ISNUMBER(I217),ISNUMBER(H217),ISNUMBER(K217),F217&gt;0,I217&gt;0,H217&lt;&gt;0),ROUND(MIN(F217,I217)*(K217/I217-H217/F217),8),"")</f>
        <v/>
      </c>
      <c r="O217" s="177" t="str">
        <f>IF(ISNUMBER(N217),ROUND(N217/(MIN(F217,I217)*H217/F217)*100,2),"")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IF(AND(ISNUMBER(F218),ISNUMBER(I218),ISNUMBER(H218),ISNUMBER(K218),F218&gt;0,I218&gt;0,H218&lt;&gt;0),ROUND(MIN(F218,I218)*(K218/I218-H218/F218),8),"")</f>
        <v/>
      </c>
      <c r="O218" s="183" t="str">
        <f>IF(ISNUMBER(N218),ROUND(N218/(MIN(F218,I218)*H218/F218)*100,2),"")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IF(AND(ISNUMBER(F219),ISNUMBER(I219),ISNUMBER(H219),ISNUMBER(K219),F219&gt;0,I219&gt;0,H219&lt;&gt;0),ROUND(MIN(F219,I219)*(K219/I219-H219/F219),8),"")</f>
        <v/>
      </c>
      <c r="O219" s="177" t="str">
        <f>IF(ISNUMBER(N219),ROUND(N219/(MIN(F219,I219)*H219/F219)*100,2),"")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IF(AND(ISNUMBER(F220),ISNUMBER(I220),ISNUMBER(H220),ISNUMBER(K220),F220&gt;0,I220&gt;0,H220&lt;&gt;0),ROUND(MIN(F220,I220)*(K220/I220-H220/F220),8),"")</f>
        <v/>
      </c>
      <c r="O220" s="183" t="str">
        <f>IF(ISNUMBER(N220),ROUND(N220/(MIN(F220,I220)*H220/F220)*100,2),"")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IF(AND(ISNUMBER(F221),ISNUMBER(I221),ISNUMBER(H221),ISNUMBER(K221),F221&gt;0,I221&gt;0,H221&lt;&gt;0),ROUND(MIN(F221,I221)*(K221/I221-H221/F221),8),"")</f>
        <v/>
      </c>
      <c r="O221" s="177" t="str">
        <f>IF(ISNUMBER(N221),ROUND(N221/(MIN(F221,I221)*H221/F221)*100,2),"")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IF(AND(ISNUMBER(F222),ISNUMBER(I222),ISNUMBER(H222),ISNUMBER(K222),F222&gt;0,I222&gt;0,H222&lt;&gt;0),ROUND(MIN(F222,I222)*(K222/I222-H222/F222),8),"")</f>
        <v/>
      </c>
      <c r="O222" s="183" t="str">
        <f>IF(ISNUMBER(N222),ROUND(N222/(MIN(F222,I222)*H222/F222)*100,2),"")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IF(AND(ISNUMBER(F223),ISNUMBER(I223),ISNUMBER(H223),ISNUMBER(K223),F223&gt;0,I223&gt;0,H223&lt;&gt;0),ROUND(MIN(F223,I223)*(K223/I223-H223/F223),8),"")</f>
        <v/>
      </c>
      <c r="O223" s="177" t="str">
        <f>IF(ISNUMBER(N223),ROUND(N223/(MIN(F223,I223)*H223/F223)*100,2),"")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IF(AND(ISNUMBER(F224),ISNUMBER(I224),ISNUMBER(H224),ISNUMBER(K224),F224&gt;0,I224&gt;0,H224&lt;&gt;0),ROUND(MIN(F224,I224)*(K224/I224-H224/F224),8),"")</f>
        <v/>
      </c>
      <c r="O224" s="183" t="str">
        <f>IF(ISNUMBER(N224),ROUND(N224/(MIN(F224,I224)*H224/F224)*100,2),"")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IF(AND(ISNUMBER(F225),ISNUMBER(I225),ISNUMBER(H225),ISNUMBER(K225),F225&gt;0,I225&gt;0,H225&lt;&gt;0),ROUND(MIN(F225,I225)*(K225/I225-H225/F225),8),"")</f>
        <v/>
      </c>
      <c r="O225" s="177" t="str">
        <f>IF(ISNUMBER(N225),ROUND(N225/(MIN(F225,I225)*H225/F225)*100,2),"")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IF(AND(ISNUMBER(F226),ISNUMBER(I226),ISNUMBER(H226),ISNUMBER(K226),F226&gt;0,I226&gt;0,H226&lt;&gt;0),ROUND(MIN(F226,I226)*(K226/I226-H226/F226),8),"")</f>
        <v/>
      </c>
      <c r="O226" s="183" t="str">
        <f>IF(ISNUMBER(N226),ROUND(N226/(MIN(F226,I226)*H226/F226)*100,2),"")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IF(AND(ISNUMBER(F227),ISNUMBER(I227),ISNUMBER(H227),ISNUMBER(K227),F227&gt;0,I227&gt;0,H227&lt;&gt;0),ROUND(MIN(F227,I227)*(K227/I227-H227/F227),8),"")</f>
        <v/>
      </c>
      <c r="O227" s="177" t="str">
        <f>IF(ISNUMBER(N227),ROUND(N227/(MIN(F227,I227)*H227/F227)*100,2),"")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IF(AND(ISNUMBER(F228),ISNUMBER(I228),ISNUMBER(H228),ISNUMBER(K228),F228&gt;0,I228&gt;0,H228&lt;&gt;0),ROUND(MIN(F228,I228)*(K228/I228-H228/F228),8),"")</f>
        <v/>
      </c>
      <c r="O228" s="183" t="str">
        <f>IF(ISNUMBER(N228),ROUND(N228/(MIN(F228,I228)*H228/F228)*100,2),"")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IF(AND(ISNUMBER(F229),ISNUMBER(I229),ISNUMBER(H229),ISNUMBER(K229),F229&gt;0,I229&gt;0,H229&lt;&gt;0),ROUND(MIN(F229,I229)*(K229/I229-H229/F229),8),"")</f>
        <v/>
      </c>
      <c r="O229" s="177" t="str">
        <f>IF(ISNUMBER(N229),ROUND(N229/(MIN(F229,I229)*H229/F229)*100,2),"")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IF(AND(ISNUMBER(F230),ISNUMBER(I230),ISNUMBER(H230),ISNUMBER(K230),F230&gt;0,I230&gt;0,H230&lt;&gt;0),ROUND(MIN(F230,I230)*(K230/I230-H230/F230),8),"")</f>
        <v/>
      </c>
      <c r="O230" s="183" t="str">
        <f>IF(ISNUMBER(N230),ROUND(N230/(MIN(F230,I230)*H230/F230)*100,2),"")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IF(AND(ISNUMBER(F231),ISNUMBER(I231),ISNUMBER(H231),ISNUMBER(K231),F231&gt;0,I231&gt;0,H231&lt;&gt;0),ROUND(MIN(F231,I231)*(K231/I231-H231/F231),8),"")</f>
        <v/>
      </c>
      <c r="O231" s="177" t="str">
        <f>IF(ISNUMBER(N231),ROUND(N231/(MIN(F231,I231)*H231/F231)*100,2),"")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IF(AND(ISNUMBER(F232),ISNUMBER(I232),ISNUMBER(H232),ISNUMBER(K232),F232&gt;0,I232&gt;0,H232&lt;&gt;0),ROUND(MIN(F232,I232)*(K232/I232-H232/F232),8),"")</f>
        <v/>
      </c>
      <c r="O232" s="183" t="str">
        <f>IF(ISNUMBER(N232),ROUND(N232/(MIN(F232,I232)*H232/F232)*100,2),"")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IF(AND(ISNUMBER(F233),ISNUMBER(I233),ISNUMBER(H233),ISNUMBER(K233),F233&gt;0,I233&gt;0,H233&lt;&gt;0),ROUND(MIN(F233,I233)*(K233/I233-H233/F233),8),"")</f>
        <v/>
      </c>
      <c r="O233" s="177" t="str">
        <f>IF(ISNUMBER(N233),ROUND(N233/(MIN(F233,I233)*H233/F233)*100,2),"")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IF(AND(ISNUMBER(F234),ISNUMBER(I234),ISNUMBER(H234),ISNUMBER(K234),F234&gt;0,I234&gt;0,H234&lt;&gt;0),ROUND(MIN(F234,I234)*(K234/I234-H234/F234),8),"")</f>
        <v/>
      </c>
      <c r="O234" s="183" t="str">
        <f>IF(ISNUMBER(N234),ROUND(N234/(MIN(F234,I234)*H234/F234)*100,2),"")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IF(AND(ISNUMBER(F235),ISNUMBER(I235),ISNUMBER(H235),ISNUMBER(K235),F235&gt;0,I235&gt;0,H235&lt;&gt;0),ROUND(MIN(F235,I235)*(K235/I235-H235/F235),8),"")</f>
        <v/>
      </c>
      <c r="O235" s="177" t="str">
        <f>IF(ISNUMBER(N235),ROUND(N235/(MIN(F235,I235)*H235/F235)*100,2),"")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IF(AND(ISNUMBER(F236),ISNUMBER(I236),ISNUMBER(H236),ISNUMBER(K236),F236&gt;0,I236&gt;0,H236&lt;&gt;0),ROUND(MIN(F236,I236)*(K236/I236-H236/F236),8),"")</f>
        <v/>
      </c>
      <c r="O236" s="183" t="str">
        <f>IF(ISNUMBER(N236),ROUND(N236/(MIN(F236,I236)*H236/F236)*100,2),"")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IF(AND(ISNUMBER(F237),ISNUMBER(I237),ISNUMBER(H237),ISNUMBER(K237),F237&gt;0,I237&gt;0,H237&lt;&gt;0),ROUND(MIN(F237,I237)*(K237/I237-H237/F237),8),"")</f>
        <v/>
      </c>
      <c r="O237" s="177" t="str">
        <f>IF(ISNUMBER(N237),ROUND(N237/(MIN(F237,I237)*H237/F237)*100,2),"")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IF(AND(ISNUMBER(F238),ISNUMBER(I238),ISNUMBER(H238),ISNUMBER(K238),F238&gt;0,I238&gt;0,H238&lt;&gt;0),ROUND(MIN(F238,I238)*(K238/I238-H238/F238),8),"")</f>
        <v/>
      </c>
      <c r="O238" s="183" t="str">
        <f>IF(ISNUMBER(N238),ROUND(N238/(MIN(F238,I238)*H238/F238)*100,2),"")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IF(AND(ISNUMBER(F239),ISNUMBER(I239),ISNUMBER(H239),ISNUMBER(K239),F239&gt;0,I239&gt;0,H239&lt;&gt;0),ROUND(MIN(F239,I239)*(K239/I239-H239/F239),8),"")</f>
        <v/>
      </c>
      <c r="O239" s="177" t="str">
        <f>IF(ISNUMBER(N239),ROUND(N239/(MIN(F239,I239)*H239/F239)*100,2),"")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IF(AND(ISNUMBER(F240),ISNUMBER(I240),ISNUMBER(H240),ISNUMBER(K240),F240&gt;0,I240&gt;0,H240&lt;&gt;0),ROUND(MIN(F240,I240)*(K240/I240-H240/F240),8),"")</f>
        <v/>
      </c>
      <c r="O240" s="183" t="str">
        <f>IF(ISNUMBER(N240),ROUND(N240/(MIN(F240,I240)*H240/F240)*100,2),"")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IF(AND(ISNUMBER(F241),ISNUMBER(I241),ISNUMBER(H241),ISNUMBER(K241),F241&gt;0,I241&gt;0,H241&lt;&gt;0),ROUND(MIN(F241,I241)*(K241/I241-H241/F241),8),"")</f>
        <v/>
      </c>
      <c r="O241" s="177" t="str">
        <f>IF(ISNUMBER(N241),ROUND(N241/(MIN(F241,I241)*H241/F241)*100,2),"")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IF(AND(ISNUMBER(F242),ISNUMBER(I242),ISNUMBER(H242),ISNUMBER(K242),F242&gt;0,I242&gt;0,H242&lt;&gt;0),ROUND(MIN(F242,I242)*(K242/I242-H242/F242),8),"")</f>
        <v/>
      </c>
      <c r="O242" s="183" t="str">
        <f>IF(ISNUMBER(N242),ROUND(N242/(MIN(F242,I242)*H242/F242)*100,2),"")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IF(AND(ISNUMBER(F243),ISNUMBER(I243),ISNUMBER(H243),ISNUMBER(K243),F243&gt;0,I243&gt;0,H243&lt;&gt;0),ROUND(MIN(F243,I243)*(K243/I243-H243/F243),8),"")</f>
        <v/>
      </c>
      <c r="O243" s="177" t="str">
        <f>IF(ISNUMBER(N243),ROUND(N243/(MIN(F243,I243)*H243/F243)*100,2),"")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IF(AND(ISNUMBER(F244),ISNUMBER(I244),ISNUMBER(H244),ISNUMBER(K244),F244&gt;0,I244&gt;0,H244&lt;&gt;0),ROUND(MIN(F244,I244)*(K244/I244-H244/F244),8),"")</f>
        <v/>
      </c>
      <c r="O244" s="183" t="str">
        <f>IF(ISNUMBER(N244),ROUND(N244/(MIN(F244,I244)*H244/F244)*100,2),"")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IF(AND(ISNUMBER(F245),ISNUMBER(I245),ISNUMBER(H245),ISNUMBER(K245),F245&gt;0,I245&gt;0,H245&lt;&gt;0),ROUND(MIN(F245,I245)*(K245/I245-H245/F245),8),"")</f>
        <v/>
      </c>
      <c r="O245" s="177" t="str">
        <f>IF(ISNUMBER(N245),ROUND(N245/(MIN(F245,I245)*H245/F245)*100,2),"")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IF(AND(ISNUMBER(F246),ISNUMBER(I246),ISNUMBER(H246),ISNUMBER(K246),F246&gt;0,I246&gt;0,H246&lt;&gt;0),ROUND(MIN(F246,I246)*(K246/I246-H246/F246),8),"")</f>
        <v/>
      </c>
      <c r="O246" s="183" t="str">
        <f>IF(ISNUMBER(N246),ROUND(N246/(MIN(F246,I246)*H246/F246)*100,2),"")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IF(AND(ISNUMBER(F247),ISNUMBER(I247),ISNUMBER(H247),ISNUMBER(K247),F247&gt;0,I247&gt;0,H247&lt;&gt;0),ROUND(MIN(F247,I247)*(K247/I247-H247/F247),8),"")</f>
        <v/>
      </c>
      <c r="O247" s="177" t="str">
        <f>IF(ISNUMBER(N247),ROUND(N247/(MIN(F247,I247)*H247/F247)*100,2),"")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IF(AND(ISNUMBER(F248),ISNUMBER(I248),ISNUMBER(H248),ISNUMBER(K248),F248&gt;0,I248&gt;0,H248&lt;&gt;0),ROUND(MIN(F248,I248)*(K248/I248-H248/F248),8),"")</f>
        <v/>
      </c>
      <c r="O248" s="183" t="str">
        <f>IF(ISNUMBER(N248),ROUND(N248/(MIN(F248,I248)*H248/F248)*100,2),"")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IF(AND(ISNUMBER(F249),ISNUMBER(I249),ISNUMBER(H249),ISNUMBER(K249),F249&gt;0,I249&gt;0,H249&lt;&gt;0),ROUND(MIN(F249,I249)*(K249/I249-H249/F249),8),"")</f>
        <v/>
      </c>
      <c r="O249" s="177" t="str">
        <f>IF(ISNUMBER(N249),ROUND(N249/(MIN(F249,I249)*H249/F249)*100,2),"")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IF(AND(ISNUMBER(F250),ISNUMBER(I250),ISNUMBER(H250),ISNUMBER(K250),F250&gt;0,I250&gt;0,H250&lt;&gt;0),ROUND(MIN(F250,I250)*(K250/I250-H250/F250),8),"")</f>
        <v/>
      </c>
      <c r="O250" s="183" t="str">
        <f>IF(ISNUMBER(N250),ROUND(N250/(MIN(F250,I250)*H250/F250)*100,2),"")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IF(AND(ISNUMBER(F251),ISNUMBER(I251),ISNUMBER(H251),ISNUMBER(K251),F251&gt;0,I251&gt;0,H251&lt;&gt;0),ROUND(MIN(F251,I251)*(K251/I251-H251/F251),8),"")</f>
        <v/>
      </c>
      <c r="O251" s="177" t="str">
        <f>IF(ISNUMBER(N251),ROUND(N251/(MIN(F251,I251)*H251/F251)*100,2),"")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IF(AND(ISNUMBER(F252),ISNUMBER(I252),ISNUMBER(H252),ISNUMBER(K252),F252&gt;0,I252&gt;0,H252&lt;&gt;0),ROUND(MIN(F252,I252)*(K252/I252-H252/F252),8),"")</f>
        <v/>
      </c>
      <c r="O252" s="183" t="str">
        <f>IF(ISNUMBER(N252),ROUND(N252/(MIN(F252,I252)*H252/F252)*100,2),"")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IF(AND(ISNUMBER(F253),ISNUMBER(I253),ISNUMBER(H253),ISNUMBER(K253),F253&gt;0,I253&gt;0,H253&lt;&gt;0),ROUND(MIN(F253,I253)*(K253/I253-H253/F253),8),"")</f>
        <v/>
      </c>
      <c r="O253" s="177" t="str">
        <f>IF(ISNUMBER(N253),ROUND(N253/(MIN(F253,I253)*H253/F253)*100,2),"")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IF(AND(ISNUMBER(F254),ISNUMBER(I254),ISNUMBER(H254),ISNUMBER(K254),F254&gt;0,I254&gt;0,H254&lt;&gt;0),ROUND(MIN(F254,I254)*(K254/I254-H254/F254),8),"")</f>
        <v/>
      </c>
      <c r="O254" s="183" t="str">
        <f>IF(ISNUMBER(N254),ROUND(N254/(MIN(F254,I254)*H254/F254)*100,2),"")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IF(AND(ISNUMBER(F255),ISNUMBER(I255),ISNUMBER(H255),ISNUMBER(K255),F255&gt;0,I255&gt;0,H255&lt;&gt;0),ROUND(MIN(F255,I255)*(K255/I255-H255/F255),8),"")</f>
        <v/>
      </c>
      <c r="O255" s="177" t="str">
        <f>IF(ISNUMBER(N255),ROUND(N255/(MIN(F255,I255)*H255/F255)*100,2),"")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IF(AND(ISNUMBER(F256),ISNUMBER(I256),ISNUMBER(H256),ISNUMBER(K256),F256&gt;0,I256&gt;0,H256&lt;&gt;0),ROUND(MIN(F256,I256)*(K256/I256-H256/F256),8),"")</f>
        <v/>
      </c>
      <c r="O256" s="183" t="str">
        <f>IF(ISNUMBER(N256),ROUND(N256/(MIN(F256,I256)*H256/F256)*100,2),"")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IF(AND(ISNUMBER(F257),ISNUMBER(I257),ISNUMBER(H257),ISNUMBER(K257),F257&gt;0,I257&gt;0,H257&lt;&gt;0),ROUND(MIN(F257,I257)*(K257/I257-H257/F257),8),"")</f>
        <v/>
      </c>
      <c r="O257" s="177" t="str">
        <f>IF(ISNUMBER(N257),ROUND(N257/(MIN(F257,I257)*H257/F257)*100,2),"")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IF(AND(ISNUMBER(F258),ISNUMBER(I258),ISNUMBER(H258),ISNUMBER(K258),F258&gt;0,I258&gt;0,H258&lt;&gt;0),ROUND(MIN(F258,I258)*(K258/I258-H258/F258),8),"")</f>
        <v/>
      </c>
      <c r="O258" s="183" t="str">
        <f>IF(ISNUMBER(N258),ROUND(N258/(MIN(F258,I258)*H258/F258)*100,2),"")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IF(AND(ISNUMBER(F259),ISNUMBER(I259),ISNUMBER(H259),ISNUMBER(K259),F259&gt;0,I259&gt;0,H259&lt;&gt;0),ROUND(MIN(F259,I259)*(K259/I259-H259/F259),8),"")</f>
        <v/>
      </c>
      <c r="O259" s="177" t="str">
        <f>IF(ISNUMBER(N259),ROUND(N259/(MIN(F259,I259)*H259/F259)*100,2),"")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IF(AND(ISNUMBER(F260),ISNUMBER(I260),ISNUMBER(H260),ISNUMBER(K260),F260&gt;0,I260&gt;0,H260&lt;&gt;0),ROUND(MIN(F260,I260)*(K260/I260-H260/F260),8),"")</f>
        <v/>
      </c>
      <c r="O260" s="183" t="str">
        <f>IF(ISNUMBER(N260),ROUND(N260/(MIN(F260,I260)*H260/F260)*100,2),"")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IF(AND(ISNUMBER(F261),ISNUMBER(I261),ISNUMBER(H261),ISNUMBER(K261),F261&gt;0,I261&gt;0,H261&lt;&gt;0),ROUND(MIN(F261,I261)*(K261/I261-H261/F261),8),"")</f>
        <v/>
      </c>
      <c r="O261" s="177" t="str">
        <f>IF(ISNUMBER(N261),ROUND(N261/(MIN(F261,I261)*H261/F261)*100,2),"")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IF(AND(ISNUMBER(F262),ISNUMBER(I262),ISNUMBER(H262),ISNUMBER(K262),F262&gt;0,I262&gt;0,H262&lt;&gt;0),ROUND(MIN(F262,I262)*(K262/I262-H262/F262),8),"")</f>
        <v/>
      </c>
      <c r="O262" s="183" t="str">
        <f>IF(ISNUMBER(N262),ROUND(N262/(MIN(F262,I262)*H262/F262)*100,2),"")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IF(AND(ISNUMBER(F263),ISNUMBER(I263),ISNUMBER(H263),ISNUMBER(K263),F263&gt;0,I263&gt;0,H263&lt;&gt;0),ROUND(MIN(F263,I263)*(K263/I263-H263/F263),8),"")</f>
        <v/>
      </c>
      <c r="O263" s="177" t="str">
        <f>IF(ISNUMBER(N263),ROUND(N263/(MIN(F263,I263)*H263/F263)*100,2),"")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IF(AND(ISNUMBER(F264),ISNUMBER(I264),ISNUMBER(H264),ISNUMBER(K264),F264&gt;0,I264&gt;0,H264&lt;&gt;0),ROUND(MIN(F264,I264)*(K264/I264-H264/F264),8),"")</f>
        <v/>
      </c>
      <c r="O264" s="183" t="str">
        <f>IF(ISNUMBER(N264),ROUND(N264/(MIN(F264,I264)*H264/F264)*100,2),"")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IF(AND(ISNUMBER(F265),ISNUMBER(I265),ISNUMBER(H265),ISNUMBER(K265),F265&gt;0,I265&gt;0,H265&lt;&gt;0),ROUND(MIN(F265,I265)*(K265/I265-H265/F265),8),"")</f>
        <v/>
      </c>
      <c r="O265" s="177" t="str">
        <f>IF(ISNUMBER(N265),ROUND(N265/(MIN(F265,I265)*H265/F265)*100,2),"")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IF(AND(ISNUMBER(F266),ISNUMBER(I266),ISNUMBER(H266),ISNUMBER(K266),F266&gt;0,I266&gt;0,H266&lt;&gt;0),ROUND(MIN(F266,I266)*(K266/I266-H266/F266),8),"")</f>
        <v/>
      </c>
      <c r="O266" s="183" t="str">
        <f>IF(ISNUMBER(N266),ROUND(N266/(MIN(F266,I266)*H266/F266)*100,2),"")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IF(AND(ISNUMBER(F267),ISNUMBER(I267),ISNUMBER(H267),ISNUMBER(K267),F267&gt;0,I267&gt;0,H267&lt;&gt;0),ROUND(MIN(F267,I267)*(K267/I267-H267/F267),8),"")</f>
        <v/>
      </c>
      <c r="O267" s="177" t="str">
        <f>IF(ISNUMBER(N267),ROUND(N267/(MIN(F267,I267)*H267/F267)*100,2),"")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IF(AND(ISNUMBER(F268),ISNUMBER(I268),ISNUMBER(H268),ISNUMBER(K268),F268&gt;0,I268&gt;0,H268&lt;&gt;0),ROUND(MIN(F268,I268)*(K268/I268-H268/F268),8),"")</f>
        <v/>
      </c>
      <c r="O268" s="183" t="str">
        <f>IF(ISNUMBER(N268),ROUND(N268/(MIN(F268,I268)*H268/F268)*100,2),"")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IF(AND(ISNUMBER(F269),ISNUMBER(I269),ISNUMBER(H269),ISNUMBER(K269),F269&gt;0,I269&gt;0,H269&lt;&gt;0),ROUND(MIN(F269,I269)*(K269/I269-H269/F269),8),"")</f>
        <v/>
      </c>
      <c r="O269" s="177" t="str">
        <f>IF(ISNUMBER(N269),ROUND(N269/(MIN(F269,I269)*H269/F269)*100,2),"")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IF(AND(ISNUMBER(F270),ISNUMBER(I270),ISNUMBER(H270),ISNUMBER(K270),F270&gt;0,I270&gt;0,H270&lt;&gt;0),ROUND(MIN(F270,I270)*(K270/I270-H270/F270),8),"")</f>
        <v/>
      </c>
      <c r="O270" s="183" t="str">
        <f>IF(ISNUMBER(N270),ROUND(N270/(MIN(F270,I270)*H270/F270)*100,2),"")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IF(AND(ISNUMBER(F271),ISNUMBER(I271),ISNUMBER(H271),ISNUMBER(K271),F271&gt;0,I271&gt;0,H271&lt;&gt;0),ROUND(MIN(F271,I271)*(K271/I271-H271/F271),8),"")</f>
        <v/>
      </c>
      <c r="O271" s="177" t="str">
        <f>IF(ISNUMBER(N271),ROUND(N271/(MIN(F271,I271)*H271/F271)*100,2),"")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IF(AND(ISNUMBER(F272),ISNUMBER(I272),ISNUMBER(H272),ISNUMBER(K272),F272&gt;0,I272&gt;0,H272&lt;&gt;0),ROUND(MIN(F272,I272)*(K272/I272-H272/F272),8),"")</f>
        <v/>
      </c>
      <c r="O272" s="183" t="str">
        <f>IF(ISNUMBER(N272),ROUND(N272/(MIN(F272,I272)*H272/F272)*100,2),"")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IF(AND(ISNUMBER(F273),ISNUMBER(I273),ISNUMBER(H273),ISNUMBER(K273),F273&gt;0,I273&gt;0,H273&lt;&gt;0),ROUND(MIN(F273,I273)*(K273/I273-H273/F273),8),"")</f>
        <v/>
      </c>
      <c r="O273" s="177" t="str">
        <f>IF(ISNUMBER(N273),ROUND(N273/(MIN(F273,I273)*H273/F273)*100,2),"")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IF(AND(ISNUMBER(F274),ISNUMBER(I274),ISNUMBER(H274),ISNUMBER(K274),F274&gt;0,I274&gt;0,H274&lt;&gt;0),ROUND(MIN(F274,I274)*(K274/I274-H274/F274),8),"")</f>
        <v/>
      </c>
      <c r="O274" s="183" t="str">
        <f>IF(ISNUMBER(N274),ROUND(N274/(MIN(F274,I274)*H274/F274)*100,2),"")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IF(AND(ISNUMBER(F275),ISNUMBER(I275),ISNUMBER(H275),ISNUMBER(K275),F275&gt;0,I275&gt;0,H275&lt;&gt;0),ROUND(MIN(F275,I275)*(K275/I275-H275/F275),8),"")</f>
        <v/>
      </c>
      <c r="O275" s="177" t="str">
        <f>IF(ISNUMBER(N275),ROUND(N275/(MIN(F275,I275)*H275/F275)*100,2),"")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IF(AND(ISNUMBER(F276),ISNUMBER(I276),ISNUMBER(H276),ISNUMBER(K276),F276&gt;0,I276&gt;0,H276&lt;&gt;0),ROUND(MIN(F276,I276)*(K276/I276-H276/F276),8),"")</f>
        <v/>
      </c>
      <c r="O276" s="183" t="str">
        <f>IF(ISNUMBER(N276),ROUND(N276/(MIN(F276,I276)*H276/F276)*100,2),"")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IF(AND(ISNUMBER(F277),ISNUMBER(I277),ISNUMBER(H277),ISNUMBER(K277),F277&gt;0,I277&gt;0,H277&lt;&gt;0),ROUND(MIN(F277,I277)*(K277/I277-H277/F277),8),"")</f>
        <v/>
      </c>
      <c r="O277" s="177" t="str">
        <f>IF(ISNUMBER(N277),ROUND(N277/(MIN(F277,I277)*H277/F277)*100,2),"")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IF(AND(ISNUMBER(F278),ISNUMBER(I278),ISNUMBER(H278),ISNUMBER(K278),F278&gt;0,I278&gt;0,H278&lt;&gt;0),ROUND(MIN(F278,I278)*(K278/I278-H278/F278),8),"")</f>
        <v/>
      </c>
      <c r="O278" s="183" t="str">
        <f>IF(ISNUMBER(N278),ROUND(N278/(MIN(F278,I278)*H278/F278)*100,2),"")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IF(AND(ISNUMBER(F279),ISNUMBER(I279),ISNUMBER(H279),ISNUMBER(K279),F279&gt;0,I279&gt;0,H279&lt;&gt;0),ROUND(MIN(F279,I279)*(K279/I279-H279/F279),8),"")</f>
        <v/>
      </c>
      <c r="O279" s="177" t="str">
        <f>IF(ISNUMBER(N279),ROUND(N279/(MIN(F279,I279)*H279/F279)*100,2),"")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IF(AND(ISNUMBER(F280),ISNUMBER(I280),ISNUMBER(H280),ISNUMBER(K280),F280&gt;0,I280&gt;0,H280&lt;&gt;0),ROUND(MIN(F280,I280)*(K280/I280-H280/F280),8),"")</f>
        <v/>
      </c>
      <c r="O280" s="183" t="str">
        <f>IF(ISNUMBER(N280),ROUND(N280/(MIN(F280,I280)*H280/F280)*100,2),"")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IF(AND(ISNUMBER(F281),ISNUMBER(I281),ISNUMBER(H281),ISNUMBER(K281),F281&gt;0,I281&gt;0,H281&lt;&gt;0),ROUND(MIN(F281,I281)*(K281/I281-H281/F281),8),"")</f>
        <v/>
      </c>
      <c r="O281" s="177" t="str">
        <f>IF(ISNUMBER(N281),ROUND(N281/(MIN(F281,I281)*H281/F281)*100,2),"")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IF(AND(ISNUMBER(F282),ISNUMBER(I282),ISNUMBER(H282),ISNUMBER(K282),F282&gt;0,I282&gt;0,H282&lt;&gt;0),ROUND(MIN(F282,I282)*(K282/I282-H282/F282),8),"")</f>
        <v/>
      </c>
      <c r="O282" s="183" t="str">
        <f>IF(ISNUMBER(N282),ROUND(N282/(MIN(F282,I282)*H282/F282)*100,2),"")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IF(AND(ISNUMBER(F283),ISNUMBER(I283),ISNUMBER(H283),ISNUMBER(K283),F283&gt;0,I283&gt;0,H283&lt;&gt;0),ROUND(MIN(F283,I283)*(K283/I283-H283/F283),8),"")</f>
        <v/>
      </c>
      <c r="O283" s="177" t="str">
        <f>IF(ISNUMBER(N283),ROUND(N283/(MIN(F283,I283)*H283/F283)*100,2),"")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IF(AND(ISNUMBER(F284),ISNUMBER(I284),ISNUMBER(H284),ISNUMBER(K284),F284&gt;0,I284&gt;0,H284&lt;&gt;0),ROUND(MIN(F284,I284)*(K284/I284-H284/F284),8),"")</f>
        <v/>
      </c>
      <c r="O284" s="183" t="str">
        <f>IF(ISNUMBER(N284),ROUND(N284/(MIN(F284,I284)*H284/F284)*100,2),"")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IF(AND(ISNUMBER(F285),ISNUMBER(I285),ISNUMBER(H285),ISNUMBER(K285),F285&gt;0,I285&gt;0,H285&lt;&gt;0),ROUND(MIN(F285,I285)*(K285/I285-H285/F285),8),"")</f>
        <v/>
      </c>
      <c r="O285" s="177" t="str">
        <f>IF(ISNUMBER(N285),ROUND(N285/(MIN(F285,I285)*H285/F285)*100,2),"")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IF(AND(ISNUMBER(F286),ISNUMBER(I286),ISNUMBER(H286),ISNUMBER(K286),F286&gt;0,I286&gt;0,H286&lt;&gt;0),ROUND(MIN(F286,I286)*(K286/I286-H286/F286),8),"")</f>
        <v/>
      </c>
      <c r="O286" s="183" t="str">
        <f>IF(ISNUMBER(N286),ROUND(N286/(MIN(F286,I286)*H286/F286)*100,2),"")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IF(AND(ISNUMBER(F287),ISNUMBER(I287),ISNUMBER(H287),ISNUMBER(K287),F287&gt;0,I287&gt;0,H287&lt;&gt;0),ROUND(MIN(F287,I287)*(K287/I287-H287/F287),8),"")</f>
        <v/>
      </c>
      <c r="O287" s="177" t="str">
        <f>IF(ISNUMBER(N287),ROUND(N287/(MIN(F287,I287)*H287/F287)*100,2),"")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IF(AND(ISNUMBER(F288),ISNUMBER(I288),ISNUMBER(H288),ISNUMBER(K288),F288&gt;0,I288&gt;0,H288&lt;&gt;0),ROUND(MIN(F288,I288)*(K288/I288-H288/F288),8),"")</f>
        <v/>
      </c>
      <c r="O288" s="183" t="str">
        <f>IF(ISNUMBER(N288),ROUND(N288/(MIN(F288,I288)*H288/F288)*100,2),"")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IF(AND(ISNUMBER(F289),ISNUMBER(I289),ISNUMBER(H289),ISNUMBER(K289),F289&gt;0,I289&gt;0,H289&lt;&gt;0),ROUND(MIN(F289,I289)*(K289/I289-H289/F289),8),"")</f>
        <v/>
      </c>
      <c r="O289" s="177" t="str">
        <f>IF(ISNUMBER(N289),ROUND(N289/(MIN(F289,I289)*H289/F289)*100,2),"")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IF(AND(ISNUMBER(F290),ISNUMBER(I290),ISNUMBER(H290),ISNUMBER(K290),F290&gt;0,I290&gt;0,H290&lt;&gt;0),ROUND(MIN(F290,I290)*(K290/I290-H290/F290),8),"")</f>
        <v/>
      </c>
      <c r="O290" s="183" t="str">
        <f>IF(ISNUMBER(N290),ROUND(N290/(MIN(F290,I290)*H290/F290)*100,2),"")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IF(AND(ISNUMBER(F291),ISNUMBER(I291),ISNUMBER(H291),ISNUMBER(K291),F291&gt;0,I291&gt;0,H291&lt;&gt;0),ROUND(MIN(F291,I291)*(K291/I291-H291/F291),8),"")</f>
        <v/>
      </c>
      <c r="O291" s="177" t="str">
        <f>IF(ISNUMBER(N291),ROUND(N291/(MIN(F291,I291)*H291/F291)*100,2),"")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IF(AND(ISNUMBER(F292),ISNUMBER(I292),ISNUMBER(H292),ISNUMBER(K292),F292&gt;0,I292&gt;0,H292&lt;&gt;0),ROUND(MIN(F292,I292)*(K292/I292-H292/F292),8),"")</f>
        <v/>
      </c>
      <c r="O292" s="183" t="str">
        <f>IF(ISNUMBER(N292),ROUND(N292/(MIN(F292,I292)*H292/F292)*100,2),"")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IF(AND(ISNUMBER(F293),ISNUMBER(I293),ISNUMBER(H293),ISNUMBER(K293),F293&gt;0,I293&gt;0,H293&lt;&gt;0),ROUND(MIN(F293,I293)*(K293/I293-H293/F293),8),"")</f>
        <v/>
      </c>
      <c r="O293" s="177" t="str">
        <f>IF(ISNUMBER(N293),ROUND(N293/(MIN(F293,I293)*H293/F293)*100,2),"")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IF(AND(ISNUMBER(F294),ISNUMBER(I294),ISNUMBER(H294),ISNUMBER(K294),F294&gt;0,I294&gt;0,H294&lt;&gt;0),ROUND(MIN(F294,I294)*(K294/I294-H294/F294),8),"")</f>
        <v/>
      </c>
      <c r="O294" s="183" t="str">
        <f>IF(ISNUMBER(N294),ROUND(N294/(MIN(F294,I294)*H294/F294)*100,2),"")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IF(AND(ISNUMBER(F295),ISNUMBER(I295),ISNUMBER(H295),ISNUMBER(K295),F295&gt;0,I295&gt;0,H295&lt;&gt;0),ROUND(MIN(F295,I295)*(K295/I295-H295/F295),8),"")</f>
        <v/>
      </c>
      <c r="O295" s="177" t="str">
        <f>IF(ISNUMBER(N295),ROUND(N295/(MIN(F295,I295)*H295/F295)*100,2),"")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IF(AND(ISNUMBER(F296),ISNUMBER(I296),ISNUMBER(H296),ISNUMBER(K296),F296&gt;0,I296&gt;0,H296&lt;&gt;0),ROUND(MIN(F296,I296)*(K296/I296-H296/F296),8),"")</f>
        <v/>
      </c>
      <c r="O296" s="183" t="str">
        <f>IF(ISNUMBER(N296),ROUND(N296/(MIN(F296,I296)*H296/F296)*100,2),"")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IF(AND(ISNUMBER(F297),ISNUMBER(I297),ISNUMBER(H297),ISNUMBER(K297),F297&gt;0,I297&gt;0,H297&lt;&gt;0),ROUND(MIN(F297,I297)*(K297/I297-H297/F297),8),"")</f>
        <v/>
      </c>
      <c r="O297" s="177" t="str">
        <f>IF(ISNUMBER(N297),ROUND(N297/(MIN(F297,I297)*H297/F297)*100,2),"")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IF(AND(ISNUMBER(F298),ISNUMBER(I298),ISNUMBER(H298),ISNUMBER(K298),F298&gt;0,I298&gt;0,H298&lt;&gt;0),ROUND(MIN(F298,I298)*(K298/I298-H298/F298),8),"")</f>
        <v/>
      </c>
      <c r="O298" s="183" t="str">
        <f>IF(ISNUMBER(N298),ROUND(N298/(MIN(F298,I298)*H298/F298)*100,2),"")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IF(AND(ISNUMBER(F299),ISNUMBER(I299),ISNUMBER(H299),ISNUMBER(K299),F299&gt;0,I299&gt;0,H299&lt;&gt;0),ROUND(MIN(F299,I299)*(K299/I299-H299/F299),8),"")</f>
        <v/>
      </c>
      <c r="O299" s="177" t="str">
        <f>IF(ISNUMBER(N299),ROUND(N299/(MIN(F299,I299)*H299/F299)*100,2),"")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IF(AND(ISNUMBER(F300),ISNUMBER(I300),ISNUMBER(H300),ISNUMBER(K300),F300&gt;0,I300&gt;0,H300&lt;&gt;0),ROUND(MIN(F300,I300)*(K300/I300-H300/F300),8),"")</f>
        <v/>
      </c>
      <c r="O300" s="183" t="str">
        <f>IF(ISNUMBER(N300),ROUND(N300/(MIN(F300,I300)*H300/F300)*100,2),"")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>3.5</v>
      </c>
      <c r="D5" s="177">
        <f>IF(C5="","",E5/C5)</f>
        <v>585.668571428572</v>
      </c>
      <c r="E5" s="241">
        <f>IF(C5="","",SUMIFS('ИТОГО Торговля'!$E$5:$E$300,'ИТОГО Торговля'!$B$5:$B$300,$B5)+SUMIFS('ИТОГО Лэндинг'!$E$5:$E$300,'ИТОГО Лэндинг'!$B$5:$B$300,$B5))</f>
        <v>2049.84</v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>9.5</v>
      </c>
      <c r="G5" s="177">
        <f>IF(F5="","",H5/F5)</f>
        <v>598.515789473684</v>
      </c>
      <c r="H5" s="241">
        <f>IF(F5="","",SUMIFS('ИТОГО Торговля'!$H$5:$H$300,'ИТОГО Торговля'!$B$5:$B$300,$B5)+SUMIFS('ИТОГО Лэндинг'!$H$5:$H$300,'ИТОГО Лэндинг'!$B$5:$B$300,$B5))</f>
        <v>5685.9</v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>-6</v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>3636.06</v>
      </c>
      <c r="K5" s="240">
        <f>IF(MIN(N(C5),N(F5))&lt;=0,"",ROUND(MIN(N(C5),N(F5))*(N(G5)-N(D5)),8))</f>
        <v>44.96526316</v>
      </c>
      <c r="L5" s="177">
        <f>IF(MIN(N(C5),N(F5))&lt;=0,"",IF(N(D5)=0,"",ROUND((N(G5)/N(D5)-1)*100,2)))</f>
        <v>2.19</v>
      </c>
      <c r="M5" s="177">
        <f>IF(OR(ROUND(N(C5)-N(F5),8)=0,1-N(Ввод!$J$19)/100&lt;=0),"",IF(N(C5)&gt;N(F5),(N(E5)-N(H5))/((N(C5)-N(F5))*(1-N(Ввод!$J$19)/100)),(N(H5)-N(E5))/((N(F5)-N(C5))*(1+N(Ввод!$J$19)/100))))</f>
        <v>604.800399201597</v>
      </c>
    </row>
    <row r="6" ht="22" customHeight="1">
      <c r="B6" s="245" t="inlineStr">
        <is>
          <t>BTC/USDT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>0.25</v>
      </c>
      <c r="D6" s="183">
        <f>IF(C6="","",E6/C6)</f>
        <v>62164.08</v>
      </c>
      <c r="E6" s="247">
        <f>IF(C6="","",SUMIFS('ИТОГО Торговля'!$E$5:$E$300,'ИТОГО Торговля'!$B$5:$B$300,$B6)+SUMIFS('ИТОГО Лэндинг'!$E$5:$E$300,'ИТОГО Лэндинг'!$B$5:$B$300,$B6))</f>
        <v>15541.02</v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>0.05</v>
      </c>
      <c r="G6" s="183">
        <f>IF(F6="","",H6/F6)</f>
        <v>62874</v>
      </c>
      <c r="H6" s="247">
        <f>IF(F6="","",SUMIFS('ИТОГО Торговля'!$H$5:$H$300,'ИТОГО Торговля'!$B$5:$B$300,$B6)+SUMIFS('ИТОГО Лэндинг'!$H$5:$H$300,'ИТОГО Лэндинг'!$B$5:$B$300,$B6))</f>
        <v>3143.7</v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>0.2</v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>-12397.32</v>
      </c>
      <c r="K6" s="246">
        <f>IF(MIN(N(C6),N(F6))&lt;=0,"",ROUND(MIN(N(C6),N(F6))*(N(G6)-N(D6)),8))</f>
        <v>35.496</v>
      </c>
      <c r="L6" s="183">
        <f>IF(MIN(N(C6),N(F6))&lt;=0,"",IF(N(D6)=0,"",ROUND((N(G6)/N(D6)-1)*100,2)))</f>
        <v>1.14</v>
      </c>
      <c r="M6" s="183">
        <f>IF(OR(ROUND(N(C6)-N(F6),8)=0,1-N(Ввод!$J$19)/100&lt;=0),"",IF(N(C6)&gt;N(F6),(N(E6)-N(H6))/((N(C6)-N(F6))*(1-N(Ввод!$J$19)/100)),(N(H6)-N(E6))/((N(F6)-N(C6))*(1+N(Ввод!$J$19)/100))))</f>
        <v>62110.8216432866</v>
      </c>
    </row>
    <row r="7" ht="22" customHeight="1">
      <c r="B7" s="239" t="inlineStr">
        <is>
          <t>ETH/BTC</t>
        </is>
      </c>
      <c r="C7" s="240" t="str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 t="str">
        <f>IF(C7="","",E7/C7)</f>
        <v/>
      </c>
      <c r="E7" s="241" t="str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>3</v>
      </c>
      <c r="G7" s="177">
        <f>IF(F7="","",H7/F7)</f>
        <v>0.052395</v>
      </c>
      <c r="H7" s="241">
        <f>IF(F7="","",SUMIFS('ИТОГО Торговля'!$H$5:$H$300,'ИТОГО Торговля'!$B$5:$B$300,$B7)+SUMIFS('ИТОГО Лэндинг'!$H$5:$H$300,'ИТОГО Лэндинг'!$B$5:$B$300,$B7))</f>
        <v>0.157185</v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>-3</v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>0.157185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>7.5</v>
      </c>
      <c r="D8" s="183">
        <f>IF(C8="","",E8/C8)</f>
        <v>3210.9152</v>
      </c>
      <c r="E8" s="247">
        <f>IF(C8="","",SUMIFS('ИТОГО Торговля'!$E$5:$E$300,'ИТОГО Торговля'!$B$5:$B$300,$B8)+SUMIFS('ИТОГО Лэндинг'!$E$5:$E$300,'ИТОГО Лэндинг'!$B$5:$B$300,$B8))</f>
        <v>24081.864</v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>4.5</v>
      </c>
      <c r="G8" s="183">
        <f>IF(F8="","",H8/F8)</f>
        <v>3376.2</v>
      </c>
      <c r="H8" s="247">
        <f>IF(F8="","",SUMIFS('ИТОГО Торговля'!$H$5:$H$300,'ИТОГО Торговля'!$B$5:$B$300,$B8)+SUMIFS('ИТОГО Лэндинг'!$H$5:$H$300,'ИТОГО Лэндинг'!$B$5:$B$300,$B8))</f>
        <v>15192.9</v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>3</v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>-8888.964</v>
      </c>
      <c r="K8" s="246">
        <f>IF(MIN(N(C8),N(F8))&lt;=0,"",ROUND(MIN(N(C8),N(F8))*(N(G8)-N(D8)),8))</f>
        <v>743.7816</v>
      </c>
      <c r="L8" s="183">
        <f>IF(MIN(N(C8),N(F8))&lt;=0,"",IF(N(D8)=0,"",ROUND((N(G8)/N(D8)-1)*100,2)))</f>
        <v>5.15</v>
      </c>
      <c r="M8" s="183">
        <f>IF(OR(ROUND(N(C8)-N(F8),8)=0,1-N(Ввод!$J$19)/100&lt;=0),"",IF(N(C8)&gt;N(F8),(N(E8)-N(H8))/((N(C8)-N(F8))*(1-N(Ввод!$J$19)/100)),(N(H8)-N(E8))/((N(F8)-N(C8))*(1+N(Ввод!$J$19)/100))))</f>
        <v>2968.92585170341</v>
      </c>
    </row>
    <row r="9" ht="22" customHeight="1">
      <c r="B9" s="239" t="inlineStr">
        <is>
          <t>SOL/USDT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>80</v>
      </c>
      <c r="D9" s="177">
        <f>IF(C9="","",E9/C9)</f>
        <v>145.88</v>
      </c>
      <c r="E9" s="241">
        <f>IF(C9="","",SUMIFS('ИТОГО Торговля'!$E$5:$E$300,'ИТОГО Торговля'!$B$5:$B$300,$B9)+SUMIFS('ИТОГО Лэндинг'!$E$5:$E$300,'ИТОГО Лэндинг'!$B$5:$B$300,$B9))</f>
        <v>11670.4</v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>110</v>
      </c>
      <c r="G9" s="177">
        <f>IF(F9="","",H9/F9)</f>
        <v>150.498545454545</v>
      </c>
      <c r="H9" s="241">
        <f>IF(F9="","",SUMIFS('ИТОГО Торговля'!$H$5:$H$300,'ИТОГО Торговля'!$B$5:$B$300,$B9)+SUMIFS('ИТОГО Лэндинг'!$H$5:$H$300,'ИТОГО Лэндинг'!$B$5:$B$300,$B9))</f>
        <v>16554.84</v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>-30</v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>4884.44</v>
      </c>
      <c r="K9" s="240">
        <f>IF(MIN(N(C9),N(F9))&lt;=0,"",ROUND(MIN(N(C9),N(F9))*(N(G9)-N(D9)),8))</f>
        <v>369.48363636</v>
      </c>
      <c r="L9" s="177">
        <f>IF(MIN(N(C9),N(F9))&lt;=0,"",IF(N(D9)=0,"",ROUND((N(G9)/N(D9)-1)*100,2)))</f>
        <v>3.17</v>
      </c>
      <c r="M9" s="177">
        <f>IF(OR(ROUND(N(C9)-N(F9),8)=0,1-N(Ввод!$J$19)/100&lt;=0),"",IF(N(C9)&gt;N(F9),(N(E9)-N(H9))/((N(C9)-N(F9))*(1-N(Ввод!$J$19)/100)),(N(H9)-N(E9))/((N(F9)-N(C9))*(1+N(Ввод!$J$19)/100))))</f>
        <v>162.489687292082</v>
      </c>
    </row>
    <row r="10" ht="22" customHeight="1">
      <c r="B10" s="245"/>
      <c r="C10" s="246" t="str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 t="str">
        <f>IF(C10="","",E10/C10)</f>
        <v/>
      </c>
      <c r="E10" s="247" t="str">
        <f>IF(C10="","",SUMIFS('ИТОГО Торговля'!$E$5:$E$300,'ИТОГО Торговля'!$B$5:$B$300,$B10)+SUMIFS('ИТОГО Лэндинг'!$E$5:$E$300,'ИТОГО Лэндинг'!$B$5:$B$300,$B10))</f>
        <v/>
      </c>
      <c r="F10" s="246" t="str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 t="str">
        <f>IF(F10="","",H10/F10)</f>
        <v/>
      </c>
      <c r="H10" s="247" t="str">
        <f>IF(F10="","",SUMIFS('ИТОГО Торговля'!$H$5:$H$300,'ИТОГО Торговля'!$B$5:$B$300,$B10)+SUMIFS('ИТОГО Лэндинг'!$H$5:$H$300,'ИТОГО Лэндинг'!$B$5:$B$300,$B10))</f>
        <v/>
      </c>
      <c r="I10" s="246" t="str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 t="str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/>
      <c r="C11" s="240" t="str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 t="str">
        <f>IF(C11="","",E11/C11)</f>
        <v/>
      </c>
      <c r="E11" s="241" t="str">
        <f>IF(C11="","",SUMIFS('ИТОГО Торговля'!$E$5:$E$300,'ИТОГО Торговля'!$B$5:$B$300,$B11)+SUMIFS('ИТОГО Лэндинг'!$E$5:$E$300,'ИТОГО Лэндинг'!$B$5:$B$300,$B11))</f>
        <v/>
      </c>
      <c r="F11" s="240" t="str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 t="str">
        <f>IF(F11="","",H11/F11)</f>
        <v/>
      </c>
      <c r="H11" s="241" t="str">
        <f>IF(F11="","",SUMIFS('ИТОГО Торговля'!$H$5:$H$300,'ИТОГО Торговля'!$B$5:$B$300,$B11)+SUMIFS('ИТОГО Лэндинг'!$H$5:$H$300,'ИТОГО Лэндинг'!$B$5:$B$300,$B11))</f>
        <v/>
      </c>
      <c r="I11" s="240" t="str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 t="str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/>
      <c r="C12" s="246" t="str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 t="str">
        <f>IF(C12="","",E12/C12)</f>
        <v/>
      </c>
      <c r="E12" s="247" t="str">
        <f>IF(C12="","",SUMIFS('ИТОГО Торговля'!$E$5:$E$300,'ИТОГО Торговля'!$B$5:$B$300,$B12)+SUMIFS('ИТОГО Лэндинг'!$E$5:$E$300,'ИТОГО Лэндинг'!$B$5:$B$300,$B12))</f>
        <v/>
      </c>
      <c r="F12" s="246" t="str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 t="str">
        <f>IF(F12="","",H12/F12)</f>
        <v/>
      </c>
      <c r="H12" s="247" t="str">
        <f>IF(F12="","",SUMIFS('ИТОГО Торговля'!$H$5:$H$300,'ИТОГО Торговля'!$B$5:$B$300,$B12)+SUMIFS('ИТОГО Лэндинг'!$H$5:$H$300,'ИТОГО Лэндинг'!$B$5:$B$300,$B12))</f>
        <v/>
      </c>
      <c r="I12" s="246" t="str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 t="str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 t="str">
        <f>IF(C13="","",E13/C13)</f>
        <v/>
      </c>
      <c r="E13" s="241" t="str">
        <f>IF(C13="","",SUMIFS('ИТОГО Торговля'!$E$5:$E$300,'ИТОГО Торговля'!$B$5:$B$300,$B13)+SUMIFS('ИТОГО Лэндинг'!$E$5:$E$300,'ИТОГО Лэндинг'!$B$5:$B$300,$B13))</f>
        <v/>
      </c>
      <c r="F13" s="240" t="str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 t="str">
        <f>IF(F13="","",H13/F13)</f>
        <v/>
      </c>
      <c r="H13" s="241" t="str">
        <f>IF(F13="","",SUMIFS('ИТОГО Торговля'!$H$5:$H$300,'ИТОГО Торговля'!$B$5:$B$300,$B13)+SUMIFS('ИТОГО Лэндинг'!$H$5:$H$300,'ИТОГО Лэндинг'!$B$5:$B$300,$B13))</f>
        <v/>
      </c>
      <c r="I13" s="240" t="str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 t="str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 t="str">
        <f>IF(C14="","",E14/C14)</f>
        <v/>
      </c>
      <c r="E14" s="247" t="str">
        <f>IF(C14="","",SUMIFS('ИТОГО Торговля'!$E$5:$E$300,'ИТОГО Торговля'!$B$5:$B$300,$B14)+SUMIFS('ИТОГО Лэндинг'!$E$5:$E$300,'ИТОГО Лэндинг'!$B$5:$B$300,$B14))</f>
        <v/>
      </c>
      <c r="F14" s="246" t="str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 t="str">
        <f>IF(F14="","",H14/F14)</f>
        <v/>
      </c>
      <c r="H14" s="247" t="str">
        <f>IF(F14="","",SUMIFS('ИТОГО Торговля'!$H$5:$H$300,'ИТОГО Торговля'!$B$5:$B$300,$B14)+SUMIFS('ИТОГО Лэндинг'!$H$5:$H$300,'ИТОГО Лэндинг'!$B$5:$B$300,$B14))</f>
        <v/>
      </c>
      <c r="I14" s="246" t="str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 t="str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 t="str">
        <f>IF(C15="","",E15/C15)</f>
        <v/>
      </c>
      <c r="E15" s="241" t="str">
        <f>IF(C15="","",SUMIFS('ИТОГО Торговля'!$E$5:$E$300,'ИТОГО Торговля'!$B$5:$B$300,$B15)+SUMIFS('ИТОГО Лэндинг'!$E$5:$E$300,'ИТОГО Лэндинг'!$B$5:$B$300,$B15))</f>
        <v/>
      </c>
      <c r="F15" s="240" t="str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 t="str">
        <f>IF(F15="","",H15/F15)</f>
        <v/>
      </c>
      <c r="H15" s="241" t="str">
        <f>IF(F15="","",SUMIFS('ИТОГО Торговля'!$H$5:$H$300,'ИТОГО Торговля'!$B$5:$B$300,$B15)+SUMIFS('ИТОГО Лэндинг'!$H$5:$H$300,'ИТОГО Лэндинг'!$B$5:$B$300,$B15))</f>
        <v/>
      </c>
      <c r="I15" s="240" t="str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 t="str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 t="str">
        <f>IF(C16="","",E16/C16)</f>
        <v/>
      </c>
      <c r="E16" s="247" t="str">
        <f>IF(C16="","",SUMIFS('ИТОГО Торговля'!$E$5:$E$300,'ИТОГО Торговля'!$B$5:$B$300,$B16)+SUMIFS('ИТОГО Лэндинг'!$E$5:$E$300,'ИТОГО Лэндинг'!$B$5:$B$300,$B16))</f>
        <v/>
      </c>
      <c r="F16" s="246" t="str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 t="str">
        <f>IF(F16="","",H16/F16)</f>
        <v/>
      </c>
      <c r="H16" s="247" t="str">
        <f>IF(F16="","",SUMIFS('ИТОГО Торговля'!$H$5:$H$300,'ИТОГО Торговля'!$B$5:$B$300,$B16)+SUMIFS('ИТОГО Лэндинг'!$H$5:$H$300,'ИТОГО Лэндинг'!$B$5:$B$300,$B16))</f>
        <v/>
      </c>
      <c r="I16" s="246" t="str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 t="str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 t="str">
        <f>IF(C17="","",E17/C17)</f>
        <v/>
      </c>
      <c r="E17" s="241" t="str">
        <f>IF(C17="","",SUMIFS('ИТОГО Торговля'!$E$5:$E$300,'ИТОГО Торговля'!$B$5:$B$300,$B17)+SUMIFS('ИТОГО Лэндинг'!$E$5:$E$300,'ИТОГО Лэндинг'!$B$5:$B$300,$B17))</f>
        <v/>
      </c>
      <c r="F17" s="240" t="str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 t="str">
        <f>IF(F17="","",H17/F17)</f>
        <v/>
      </c>
      <c r="H17" s="241" t="str">
        <f>IF(F17="","",SUMIFS('ИТОГО Торговля'!$H$5:$H$300,'ИТОГО Торговля'!$B$5:$B$300,$B17)+SUMIFS('ИТОГО Лэндинг'!$H$5:$H$300,'ИТОГО Лэндинг'!$B$5:$B$300,$B17))</f>
        <v/>
      </c>
      <c r="I17" s="240" t="str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 t="str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 t="str">
        <f>IF(C18="","",E18/C18)</f>
        <v/>
      </c>
      <c r="E18" s="247" t="str">
        <f>IF(C18="","",SUMIFS('ИТОГО Торговля'!$E$5:$E$300,'ИТОГО Торговля'!$B$5:$B$300,$B18)+SUMIFS('ИТОГО Лэндинг'!$E$5:$E$300,'ИТОГО Лэндинг'!$B$5:$B$300,$B18))</f>
        <v/>
      </c>
      <c r="F18" s="246" t="str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 t="str">
        <f>IF(F18="","",H18/F18)</f>
        <v/>
      </c>
      <c r="H18" s="247" t="str">
        <f>IF(F18="","",SUMIFS('ИТОГО Торговля'!$H$5:$H$300,'ИТОГО Торговля'!$B$5:$B$300,$B18)+SUMIFS('ИТОГО Лэндинг'!$H$5:$H$300,'ИТОГО Лэндинг'!$B$5:$B$300,$B18))</f>
        <v/>
      </c>
      <c r="I18" s="246" t="str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 t="str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 t="str">
        <f>IF(C19="","",E19/C19)</f>
        <v/>
      </c>
      <c r="E19" s="241" t="str">
        <f>IF(C19="","",SUMIFS('ИТОГО Торговля'!$E$5:$E$300,'ИТОГО Торговля'!$B$5:$B$300,$B19)+SUMIFS('ИТОГО Лэндинг'!$E$5:$E$300,'ИТОГО Лэндинг'!$B$5:$B$300,$B19))</f>
        <v/>
      </c>
      <c r="F19" s="240" t="str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 t="str">
        <f>IF(F19="","",H19/F19)</f>
        <v/>
      </c>
      <c r="H19" s="241" t="str">
        <f>IF(F19="","",SUMIFS('ИТОГО Торговля'!$H$5:$H$300,'ИТОГО Торговля'!$B$5:$B$300,$B19)+SUMIFS('ИТОГО Лэндинг'!$H$5:$H$300,'ИТОГО Лэндинг'!$B$5:$B$300,$B19))</f>
        <v/>
      </c>
      <c r="I19" s="240" t="str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 t="str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 t="str">
        <f>IF(C20="","",E20/C20)</f>
        <v/>
      </c>
      <c r="E20" s="247" t="str">
        <f>IF(C20="","",SUMIFS('ИТОГО Торговля'!$E$5:$E$300,'ИТОГО Торговля'!$B$5:$B$300,$B20)+SUMIFS('ИТОГО Лэндинг'!$E$5:$E$300,'ИТОГО Лэндинг'!$B$5:$B$300,$B20))</f>
        <v/>
      </c>
      <c r="F20" s="246" t="str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 t="str">
        <f>IF(F20="","",H20/F20)</f>
        <v/>
      </c>
      <c r="H20" s="247" t="str">
        <f>IF(F20="","",SUMIFS('ИТОГО Торговля'!$H$5:$H$300,'ИТОГО Торговля'!$B$5:$B$300,$B20)+SUMIFS('ИТОГО Лэндинг'!$H$5:$H$300,'ИТОГО Лэндинг'!$B$5:$B$300,$B20))</f>
        <v/>
      </c>
      <c r="I20" s="246" t="str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 t="str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 t="str">
        <f>IF(C21="","",E21/C21)</f>
        <v/>
      </c>
      <c r="E21" s="241" t="str">
        <f>IF(C21="","",SUMIFS('ИТОГО Торговля'!$E$5:$E$300,'ИТОГО Торговля'!$B$5:$B$300,$B21)+SUMIFS('ИТОГО Лэндинг'!$E$5:$E$300,'ИТОГО Лэндинг'!$B$5:$B$300,$B21))</f>
        <v/>
      </c>
      <c r="F21" s="240" t="str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 t="str">
        <f>IF(F21="","",H21/F21)</f>
        <v/>
      </c>
      <c r="H21" s="241" t="str">
        <f>IF(F21="","",SUMIFS('ИТОГО Торговля'!$H$5:$H$300,'ИТОГО Торговля'!$B$5:$B$300,$B21)+SUMIFS('ИТОГО Лэндинг'!$H$5:$H$300,'ИТОГО Лэндинг'!$B$5:$B$300,$B21))</f>
        <v/>
      </c>
      <c r="I21" s="240" t="str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 t="str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 t="str">
        <f>IF(C22="","",E22/C22)</f>
        <v/>
      </c>
      <c r="E22" s="247" t="str">
        <f>IF(C22="","",SUMIFS('ИТОГО Торговля'!$E$5:$E$300,'ИТОГО Торговля'!$B$5:$B$300,$B22)+SUMIFS('ИТОГО Лэндинг'!$E$5:$E$300,'ИТОГО Лэндинг'!$B$5:$B$300,$B22))</f>
        <v/>
      </c>
      <c r="F22" s="246" t="str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 t="str">
        <f>IF(F22="","",H22/F22)</f>
        <v/>
      </c>
      <c r="H22" s="247" t="str">
        <f>IF(F22="","",SUMIFS('ИТОГО Торговля'!$H$5:$H$300,'ИТОГО Торговля'!$B$5:$B$300,$B22)+SUMIFS('ИТОГО Лэндинг'!$H$5:$H$300,'ИТОГО Лэндинг'!$B$5:$B$300,$B22))</f>
        <v/>
      </c>
      <c r="I22" s="246" t="str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 t="str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 t="str">
        <f>IF(C23="","",E23/C23)</f>
        <v/>
      </c>
      <c r="E23" s="241" t="str">
        <f>IF(C23="","",SUMIFS('ИТОГО Торговля'!$E$5:$E$300,'ИТОГО Торговля'!$B$5:$B$300,$B23)+SUMIFS('ИТОГО Лэндинг'!$E$5:$E$300,'ИТОГО Лэндинг'!$B$5:$B$300,$B23))</f>
        <v/>
      </c>
      <c r="F23" s="240" t="str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 t="str">
        <f>IF(F23="","",H23/F23)</f>
        <v/>
      </c>
      <c r="H23" s="241" t="str">
        <f>IF(F23="","",SUMIFS('ИТОГО Торговля'!$H$5:$H$300,'ИТОГО Торговля'!$B$5:$B$300,$B23)+SUMIFS('ИТОГО Лэндинг'!$H$5:$H$300,'ИТОГО Лэндинг'!$B$5:$B$300,$B23))</f>
        <v/>
      </c>
      <c r="I23" s="240" t="str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 t="str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 t="str">
        <f>IF(C24="","",E24/C24)</f>
        <v/>
      </c>
      <c r="E24" s="247" t="str">
        <f>IF(C24="","",SUMIFS('ИТОГО Торговля'!$E$5:$E$300,'ИТОГО Торговля'!$B$5:$B$300,$B24)+SUMIFS('ИТОГО Лэндинг'!$E$5:$E$300,'ИТОГО Лэндинг'!$B$5:$B$300,$B24))</f>
        <v/>
      </c>
      <c r="F24" s="246" t="str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 t="str">
        <f>IF(F24="","",H24/F24)</f>
        <v/>
      </c>
      <c r="H24" s="247" t="str">
        <f>IF(F24="","",SUMIFS('ИТОГО Торговля'!$H$5:$H$300,'ИТОГО Торговля'!$B$5:$B$300,$B24)+SUMIFS('ИТОГО Лэндинг'!$H$5:$H$300,'ИТОГО Лэндинг'!$B$5:$B$300,$B24))</f>
        <v/>
      </c>
      <c r="I24" s="246" t="str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 t="str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 t="str">
        <f>IF(C25="","",E25/C25)</f>
        <v/>
      </c>
      <c r="E25" s="241" t="str">
        <f>IF(C25="","",SUMIFS('ИТОГО Торговля'!$E$5:$E$300,'ИТОГО Торговля'!$B$5:$B$300,$B25)+SUMIFS('ИТОГО Лэндинг'!$E$5:$E$300,'ИТОГО Лэндинг'!$B$5:$B$300,$B25))</f>
        <v/>
      </c>
      <c r="F25" s="240" t="str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 t="str">
        <f>IF(F25="","",H25/F25)</f>
        <v/>
      </c>
      <c r="H25" s="241" t="str">
        <f>IF(F25="","",SUMIFS('ИТОГО Торговля'!$H$5:$H$300,'ИТОГО Торговля'!$B$5:$B$300,$B25)+SUMIFS('ИТОГО Лэндинг'!$H$5:$H$300,'ИТОГО Лэндинг'!$B$5:$B$300,$B25))</f>
        <v/>
      </c>
      <c r="I25" s="240" t="str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 t="str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 t="str">
        <f>IF(C26="","",E26/C26)</f>
        <v/>
      </c>
      <c r="E26" s="247" t="str">
        <f>IF(C26="","",SUMIFS('ИТОГО Торговля'!$E$5:$E$300,'ИТОГО Торговля'!$B$5:$B$300,$B26)+SUMIFS('ИТОГО Лэндинг'!$E$5:$E$300,'ИТОГО Лэндинг'!$B$5:$B$300,$B26))</f>
        <v/>
      </c>
      <c r="F26" s="246" t="str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 t="str">
        <f>IF(F26="","",H26/F26)</f>
        <v/>
      </c>
      <c r="H26" s="247" t="str">
        <f>IF(F26="","",SUMIFS('ИТОГО Торговля'!$H$5:$H$300,'ИТОГО Торговля'!$B$5:$B$300,$B26)+SUMIFS('ИТОГО Лэндинг'!$H$5:$H$300,'ИТОГО Лэндинг'!$B$5:$B$300,$B26))</f>
        <v/>
      </c>
      <c r="I26" s="246" t="str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 t="str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 t="str">
        <f>IF(C27="","",E27/C27)</f>
        <v/>
      </c>
      <c r="E27" s="241" t="str">
        <f>IF(C27="","",SUMIFS('ИТОГО Торговля'!$E$5:$E$300,'ИТОГО Торговля'!$B$5:$B$300,$B27)+SUMIFS('ИТОГО Лэндинг'!$E$5:$E$300,'ИТОГО Лэндинг'!$B$5:$B$300,$B27))</f>
        <v/>
      </c>
      <c r="F27" s="240" t="str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 t="str">
        <f>IF(F27="","",H27/F27)</f>
        <v/>
      </c>
      <c r="H27" s="241" t="str">
        <f>IF(F27="","",SUMIFS('ИТОГО Торговля'!$H$5:$H$300,'ИТОГО Торговля'!$B$5:$B$300,$B27)+SUMIFS('ИТОГО Лэндинг'!$H$5:$H$300,'ИТОГО Лэндинг'!$B$5:$B$300,$B27))</f>
        <v/>
      </c>
      <c r="I27" s="240" t="str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 t="str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 t="str">
        <f>IF(C28="","",E28/C28)</f>
        <v/>
      </c>
      <c r="E28" s="247" t="str">
        <f>IF(C28="","",SUMIFS('ИТОГО Торговля'!$E$5:$E$300,'ИТОГО Торговля'!$B$5:$B$300,$B28)+SUMIFS('ИТОГО Лэндинг'!$E$5:$E$300,'ИТОГО Лэндинг'!$B$5:$B$300,$B28))</f>
        <v/>
      </c>
      <c r="F28" s="246" t="str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 t="str">
        <f>IF(F28="","",H28/F28)</f>
        <v/>
      </c>
      <c r="H28" s="247" t="str">
        <f>IF(F28="","",SUMIFS('ИТОГО Торговля'!$H$5:$H$300,'ИТОГО Торговля'!$B$5:$B$300,$B28)+SUMIFS('ИТОГО Лэндинг'!$H$5:$H$300,'ИТОГО Лэндинг'!$B$5:$B$300,$B28))</f>
        <v/>
      </c>
      <c r="I28" s="246" t="str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 t="str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 t="str">
        <f>IF(C29="","",E29/C29)</f>
        <v/>
      </c>
      <c r="E29" s="241" t="str">
        <f>IF(C29="","",SUMIFS('ИТОГО Торговля'!$E$5:$E$300,'ИТОГО Торговля'!$B$5:$B$300,$B29)+SUMIFS('ИТОГО Лэндинг'!$E$5:$E$300,'ИТОГО Лэндинг'!$B$5:$B$300,$B29))</f>
        <v/>
      </c>
      <c r="F29" s="240" t="str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 t="str">
        <f>IF(F29="","",H29/F29)</f>
        <v/>
      </c>
      <c r="H29" s="241" t="str">
        <f>IF(F29="","",SUMIFS('ИТОГО Торговля'!$H$5:$H$300,'ИТОГО Торговля'!$B$5:$B$300,$B29)+SUMIFS('ИТОГО Лэндинг'!$H$5:$H$300,'ИТОГО Лэндинг'!$B$5:$B$300,$B29))</f>
        <v/>
      </c>
      <c r="I29" s="240" t="str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 t="str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 t="str">
        <f>IF(C30="","",E30/C30)</f>
        <v/>
      </c>
      <c r="E30" s="247" t="str">
        <f>IF(C30="","",SUMIFS('ИТОГО Торговля'!$E$5:$E$300,'ИТОГО Торговля'!$B$5:$B$300,$B30)+SUMIFS('ИТОГО Лэндинг'!$E$5:$E$300,'ИТОГО Лэндинг'!$B$5:$B$300,$B30))</f>
        <v/>
      </c>
      <c r="F30" s="246" t="str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 t="str">
        <f>IF(F30="","",H30/F30)</f>
        <v/>
      </c>
      <c r="H30" s="247" t="str">
        <f>IF(F30="","",SUMIFS('ИТОГО Торговля'!$H$5:$H$300,'ИТОГО Торговля'!$B$5:$B$300,$B30)+SUMIFS('ИТОГО Лэндинг'!$H$5:$H$300,'ИТОГО Лэндинг'!$B$5:$B$300,$B30))</f>
        <v/>
      </c>
      <c r="I30" s="246" t="str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 t="str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 t="str">
        <f>IF(C31="","",E31/C31)</f>
        <v/>
      </c>
      <c r="E31" s="241" t="str">
        <f>IF(C31="","",SUMIFS('ИТОГО Торговля'!$E$5:$E$300,'ИТОГО Торговля'!$B$5:$B$300,$B31)+SUMIFS('ИТОГО Лэндинг'!$E$5:$E$300,'ИТОГО Лэндинг'!$B$5:$B$300,$B31))</f>
        <v/>
      </c>
      <c r="F31" s="240" t="str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 t="str">
        <f>IF(F31="","",H31/F31)</f>
        <v/>
      </c>
      <c r="H31" s="241" t="str">
        <f>IF(F31="","",SUMIFS('ИТОГО Торговля'!$H$5:$H$300,'ИТОГО Торговля'!$B$5:$B$300,$B31)+SUMIFS('ИТОГО Лэндинг'!$H$5:$H$300,'ИТОГО Лэндинг'!$B$5:$B$300,$B31))</f>
        <v/>
      </c>
      <c r="I31" s="240" t="str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 t="str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 t="str">
        <f>IF(C32="","",E32/C32)</f>
        <v/>
      </c>
      <c r="E32" s="247" t="str">
        <f>IF(C32="","",SUMIFS('ИТОГО Торговля'!$E$5:$E$300,'ИТОГО Торговля'!$B$5:$B$300,$B32)+SUMIFS('ИТОГО Лэндинг'!$E$5:$E$300,'ИТОГО Лэндинг'!$B$5:$B$300,$B32))</f>
        <v/>
      </c>
      <c r="F32" s="246" t="str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 t="str">
        <f>IF(F32="","",H32/F32)</f>
        <v/>
      </c>
      <c r="H32" s="247" t="str">
        <f>IF(F32="","",SUMIFS('ИТОГО Торговля'!$H$5:$H$300,'ИТОГО Торговля'!$B$5:$B$300,$B32)+SUMIFS('ИТОГО Лэндинг'!$H$5:$H$300,'ИТОГО Лэндинг'!$B$5:$B$300,$B32))</f>
        <v/>
      </c>
      <c r="I32" s="246" t="str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 t="str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 t="str">
        <f>IF(C33="","",E33/C33)</f>
        <v/>
      </c>
      <c r="E33" s="241" t="str">
        <f>IF(C33="","",SUMIFS('ИТОГО Торговля'!$E$5:$E$300,'ИТОГО Торговля'!$B$5:$B$300,$B33)+SUMIFS('ИТОГО Лэндинг'!$E$5:$E$300,'ИТОГО Лэндинг'!$B$5:$B$300,$B33))</f>
        <v/>
      </c>
      <c r="F33" s="240" t="str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 t="str">
        <f>IF(F33="","",H33/F33)</f>
        <v/>
      </c>
      <c r="H33" s="241" t="str">
        <f>IF(F33="","",SUMIFS('ИТОГО Торговля'!$H$5:$H$300,'ИТОГО Торговля'!$B$5:$B$300,$B33)+SUMIFS('ИТОГО Лэндинг'!$H$5:$H$300,'ИТОГО Лэндинг'!$B$5:$B$300,$B33))</f>
        <v/>
      </c>
      <c r="I33" s="240" t="str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 t="str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 t="str">
        <f>IF(C34="","",E34/C34)</f>
        <v/>
      </c>
      <c r="E34" s="247" t="str">
        <f>IF(C34="","",SUMIFS('ИТОГО Торговля'!$E$5:$E$300,'ИТОГО Торговля'!$B$5:$B$300,$B34)+SUMIFS('ИТОГО Лэндинг'!$E$5:$E$300,'ИТОГО Лэндинг'!$B$5:$B$300,$B34))</f>
        <v/>
      </c>
      <c r="F34" s="246" t="str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 t="str">
        <f>IF(F34="","",H34/F34)</f>
        <v/>
      </c>
      <c r="H34" s="247" t="str">
        <f>IF(F34="","",SUMIFS('ИТОГО Торговля'!$H$5:$H$300,'ИТОГО Торговля'!$B$5:$B$300,$B34)+SUMIFS('ИТОГО Лэндинг'!$H$5:$H$300,'ИТОГО Лэндинг'!$B$5:$B$300,$B34))</f>
        <v/>
      </c>
      <c r="I34" s="246" t="str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 t="str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 t="str">
        <f>IF(C35="","",E35/C35)</f>
        <v/>
      </c>
      <c r="E35" s="241" t="str">
        <f>IF(C35="","",SUMIFS('ИТОГО Торговля'!$E$5:$E$300,'ИТОГО Торговля'!$B$5:$B$300,$B35)+SUMIFS('ИТОГО Лэндинг'!$E$5:$E$300,'ИТОГО Лэндинг'!$B$5:$B$300,$B35))</f>
        <v/>
      </c>
      <c r="F35" s="240" t="str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 t="str">
        <f>IF(F35="","",H35/F35)</f>
        <v/>
      </c>
      <c r="H35" s="241" t="str">
        <f>IF(F35="","",SUMIFS('ИТОГО Торговля'!$H$5:$H$300,'ИТОГО Торговля'!$B$5:$B$300,$B35)+SUMIFS('ИТОГО Лэндинг'!$H$5:$H$300,'ИТОГО Лэндинг'!$B$5:$B$300,$B35))</f>
        <v/>
      </c>
      <c r="I35" s="240" t="str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 t="str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 t="str">
        <f>IF(C36="","",E36/C36)</f>
        <v/>
      </c>
      <c r="E36" s="247" t="str">
        <f>IF(C36="","",SUMIFS('ИТОГО Торговля'!$E$5:$E$300,'ИТОГО Торговля'!$B$5:$B$300,$B36)+SUMIFS('ИТОГО Лэндинг'!$E$5:$E$300,'ИТОГО Лэндинг'!$B$5:$B$300,$B36))</f>
        <v/>
      </c>
      <c r="F36" s="246" t="str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 t="str">
        <f>IF(F36="","",H36/F36)</f>
        <v/>
      </c>
      <c r="H36" s="247" t="str">
        <f>IF(F36="","",SUMIFS('ИТОГО Торговля'!$H$5:$H$300,'ИТОГО Торговля'!$B$5:$B$300,$B36)+SUMIFS('ИТОГО Лэндинг'!$H$5:$H$300,'ИТОГО Лэндинг'!$B$5:$B$300,$B36))</f>
        <v/>
      </c>
      <c r="I36" s="246" t="str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 t="str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 t="str">
        <f>IF(C37="","",E37/C37)</f>
        <v/>
      </c>
      <c r="E37" s="241" t="str">
        <f>IF(C37="","",SUMIFS('ИТОГО Торговля'!$E$5:$E$300,'ИТОГО Торговля'!$B$5:$B$300,$B37)+SUMIFS('ИТОГО Лэндинг'!$E$5:$E$300,'ИТОГО Лэндинг'!$B$5:$B$300,$B37))</f>
        <v/>
      </c>
      <c r="F37" s="240" t="str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 t="str">
        <f>IF(F37="","",H37/F37)</f>
        <v/>
      </c>
      <c r="H37" s="241" t="str">
        <f>IF(F37="","",SUMIFS('ИТОГО Торговля'!$H$5:$H$300,'ИТОГО Торговля'!$B$5:$B$300,$B37)+SUMIFS('ИТОГО Лэндинг'!$H$5:$H$300,'ИТОГО Лэндинг'!$B$5:$B$300,$B37))</f>
        <v/>
      </c>
      <c r="I37" s="240" t="str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 t="str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 t="str">
        <f>IF(C38="","",E38/C38)</f>
        <v/>
      </c>
      <c r="E38" s="247" t="str">
        <f>IF(C38="","",SUMIFS('ИТОГО Торговля'!$E$5:$E$300,'ИТОГО Торговля'!$B$5:$B$300,$B38)+SUMIFS('ИТОГО Лэндинг'!$E$5:$E$300,'ИТОГО Лэндинг'!$B$5:$B$300,$B38))</f>
        <v/>
      </c>
      <c r="F38" s="246" t="str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 t="str">
        <f>IF(F38="","",H38/F38)</f>
        <v/>
      </c>
      <c r="H38" s="247" t="str">
        <f>IF(F38="","",SUMIFS('ИТОГО Торговля'!$H$5:$H$300,'ИТОГО Торговля'!$B$5:$B$300,$B38)+SUMIFS('ИТОГО Лэндинг'!$H$5:$H$300,'ИТОГО Лэндинг'!$B$5:$B$300,$B38))</f>
        <v/>
      </c>
      <c r="I38" s="246" t="str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 t="str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 t="str">
        <f>IF(C39="","",E39/C39)</f>
        <v/>
      </c>
      <c r="E39" s="241" t="str">
        <f>IF(C39="","",SUMIFS('ИТОГО Торговля'!$E$5:$E$300,'ИТОГО Торговля'!$B$5:$B$300,$B39)+SUMIFS('ИТОГО Лэндинг'!$E$5:$E$300,'ИТОГО Лэндинг'!$B$5:$B$300,$B39))</f>
        <v/>
      </c>
      <c r="F39" s="240" t="str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 t="str">
        <f>IF(F39="","",H39/F39)</f>
        <v/>
      </c>
      <c r="H39" s="241" t="str">
        <f>IF(F39="","",SUMIFS('ИТОГО Торговля'!$H$5:$H$300,'ИТОГО Торговля'!$B$5:$B$300,$B39)+SUMIFS('ИТОГО Лэндинг'!$H$5:$H$300,'ИТОГО Лэндинг'!$B$5:$B$300,$B39))</f>
        <v/>
      </c>
      <c r="I39" s="240" t="str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 t="str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 t="str">
        <f>IF(C40="","",E40/C40)</f>
        <v/>
      </c>
      <c r="E40" s="247" t="str">
        <f>IF(C40="","",SUMIFS('ИТОГО Торговля'!$E$5:$E$300,'ИТОГО Торговля'!$B$5:$B$300,$B40)+SUMIFS('ИТОГО Лэндинг'!$E$5:$E$300,'ИТОГО Лэндинг'!$B$5:$B$300,$B40))</f>
        <v/>
      </c>
      <c r="F40" s="246" t="str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 t="str">
        <f>IF(F40="","",H40/F40)</f>
        <v/>
      </c>
      <c r="H40" s="247" t="str">
        <f>IF(F40="","",SUMIFS('ИТОГО Торговля'!$H$5:$H$300,'ИТОГО Торговля'!$B$5:$B$300,$B40)+SUMIFS('ИТОГО Лэндинг'!$H$5:$H$300,'ИТОГО Лэндинг'!$B$5:$B$300,$B40))</f>
        <v/>
      </c>
      <c r="I40" s="246" t="str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 t="str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 t="str">
        <f>IF(C41="","",E41/C41)</f>
        <v/>
      </c>
      <c r="E41" s="241" t="str">
        <f>IF(C41="","",SUMIFS('ИТОГО Торговля'!$E$5:$E$300,'ИТОГО Торговля'!$B$5:$B$300,$B41)+SUMIFS('ИТОГО Лэндинг'!$E$5:$E$300,'ИТОГО Лэндинг'!$B$5:$B$300,$B41))</f>
        <v/>
      </c>
      <c r="F41" s="240" t="str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 t="str">
        <f>IF(F41="","",H41/F41)</f>
        <v/>
      </c>
      <c r="H41" s="241" t="str">
        <f>IF(F41="","",SUMIFS('ИТОГО Торговля'!$H$5:$H$300,'ИТОГО Торговля'!$B$5:$B$300,$B41)+SUMIFS('ИТОГО Лэндинг'!$H$5:$H$300,'ИТОГО Лэндинг'!$B$5:$B$300,$B41))</f>
        <v/>
      </c>
      <c r="I41" s="240" t="str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 t="str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 t="str">
        <f>IF(C42="","",E42/C42)</f>
        <v/>
      </c>
      <c r="E42" s="247" t="str">
        <f>IF(C42="","",SUMIFS('ИТОГО Торговля'!$E$5:$E$300,'ИТОГО Торговля'!$B$5:$B$300,$B42)+SUMIFS('ИТОГО Лэндинг'!$E$5:$E$300,'ИТОГО Лэндинг'!$B$5:$B$300,$B42))</f>
        <v/>
      </c>
      <c r="F42" s="246" t="str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 t="str">
        <f>IF(F42="","",H42/F42)</f>
        <v/>
      </c>
      <c r="H42" s="247" t="str">
        <f>IF(F42="","",SUMIFS('ИТОГО Торговля'!$H$5:$H$300,'ИТОГО Торговля'!$B$5:$B$300,$B42)+SUMIFS('ИТОГО Лэндинг'!$H$5:$H$300,'ИТОГО Лэндинг'!$B$5:$B$300,$B42))</f>
        <v/>
      </c>
      <c r="I42" s="246" t="str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 t="str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 t="str">
        <f>IF(C43="","",E43/C43)</f>
        <v/>
      </c>
      <c r="E43" s="241" t="str">
        <f>IF(C43="","",SUMIFS('ИТОГО Торговля'!$E$5:$E$300,'ИТОГО Торговля'!$B$5:$B$300,$B43)+SUMIFS('ИТОГО Лэндинг'!$E$5:$E$300,'ИТОГО Лэндинг'!$B$5:$B$300,$B43))</f>
        <v/>
      </c>
      <c r="F43" s="240" t="str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 t="str">
        <f>IF(F43="","",H43/F43)</f>
        <v/>
      </c>
      <c r="H43" s="241" t="str">
        <f>IF(F43="","",SUMIFS('ИТОГО Торговля'!$H$5:$H$300,'ИТОГО Торговля'!$B$5:$B$300,$B43)+SUMIFS('ИТОГО Лэндинг'!$H$5:$H$300,'ИТОГО Лэндинг'!$B$5:$B$300,$B43))</f>
        <v/>
      </c>
      <c r="I43" s="240" t="str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 t="str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 t="str">
        <f>IF(C44="","",E44/C44)</f>
        <v/>
      </c>
      <c r="E44" s="247" t="str">
        <f>IF(C44="","",SUMIFS('ИТОГО Торговля'!$E$5:$E$300,'ИТОГО Торговля'!$B$5:$B$300,$B44)+SUMIFS('ИТОГО Лэндинг'!$E$5:$E$300,'ИТОГО Лэндинг'!$B$5:$B$300,$B44))</f>
        <v/>
      </c>
      <c r="F44" s="246" t="str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 t="str">
        <f>IF(F44="","",H44/F44)</f>
        <v/>
      </c>
      <c r="H44" s="247" t="str">
        <f>IF(F44="","",SUMIFS('ИТОГО Торговля'!$H$5:$H$300,'ИТОГО Торговля'!$B$5:$B$300,$B44)+SUMIFS('ИТОГО Лэндинг'!$H$5:$H$300,'ИТОГО Лэндинг'!$B$5:$B$300,$B44))</f>
        <v/>
      </c>
      <c r="I44" s="246" t="str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 t="str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 t="str">
        <f>IF(C45="","",E45/C45)</f>
        <v/>
      </c>
      <c r="E45" s="241" t="str">
        <f>IF(C45="","",SUMIFS('ИТОГО Торговля'!$E$5:$E$300,'ИТОГО Торговля'!$B$5:$B$300,$B45)+SUMIFS('ИТОГО Лэндинг'!$E$5:$E$300,'ИТОГО Лэндинг'!$B$5:$B$300,$B45))</f>
        <v/>
      </c>
      <c r="F45" s="240" t="str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 t="str">
        <f>IF(F45="","",H45/F45)</f>
        <v/>
      </c>
      <c r="H45" s="241" t="str">
        <f>IF(F45="","",SUMIFS('ИТОГО Торговля'!$H$5:$H$300,'ИТОГО Торговля'!$B$5:$B$300,$B45)+SUMIFS('ИТОГО Лэндинг'!$H$5:$H$300,'ИТОГО Лэндинг'!$B$5:$B$300,$B45))</f>
        <v/>
      </c>
      <c r="I45" s="240" t="str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 t="str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 t="str">
        <f>IF(C46="","",E46/C46)</f>
        <v/>
      </c>
      <c r="E46" s="247" t="str">
        <f>IF(C46="","",SUMIFS('ИТОГО Торговля'!$E$5:$E$300,'ИТОГО Торговля'!$B$5:$B$300,$B46)+SUMIFS('ИТОГО Лэндинг'!$E$5:$E$300,'ИТОГО Лэндинг'!$B$5:$B$300,$B46))</f>
        <v/>
      </c>
      <c r="F46" s="246" t="str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 t="str">
        <f>IF(F46="","",H46/F46)</f>
        <v/>
      </c>
      <c r="H46" s="247" t="str">
        <f>IF(F46="","",SUMIFS('ИТОГО Торговля'!$H$5:$H$300,'ИТОГО Торговля'!$B$5:$B$300,$B46)+SUMIFS('ИТОГО Лэндинг'!$H$5:$H$300,'ИТОГО Лэндинг'!$B$5:$B$300,$B46))</f>
        <v/>
      </c>
      <c r="I46" s="246" t="str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 t="str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 t="str">
        <f>IF(C47="","",E47/C47)</f>
        <v/>
      </c>
      <c r="E47" s="241" t="str">
        <f>IF(C47="","",SUMIFS('ИТОГО Торговля'!$E$5:$E$300,'ИТОГО Торговля'!$B$5:$B$300,$B47)+SUMIFS('ИТОГО Лэндинг'!$E$5:$E$300,'ИТОГО Лэндинг'!$B$5:$B$300,$B47))</f>
        <v/>
      </c>
      <c r="F47" s="240" t="str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 t="str">
        <f>IF(F47="","",H47/F47)</f>
        <v/>
      </c>
      <c r="H47" s="241" t="str">
        <f>IF(F47="","",SUMIFS('ИТОГО Торговля'!$H$5:$H$300,'ИТОГО Торговля'!$B$5:$B$300,$B47)+SUMIFS('ИТОГО Лэндинг'!$H$5:$H$300,'ИТОГО Лэндинг'!$B$5:$B$300,$B47))</f>
        <v/>
      </c>
      <c r="I47" s="240" t="str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 t="str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 t="str">
        <f>IF(C48="","",E48/C48)</f>
        <v/>
      </c>
      <c r="E48" s="247" t="str">
        <f>IF(C48="","",SUMIFS('ИТОГО Торговля'!$E$5:$E$300,'ИТОГО Торговля'!$B$5:$B$300,$B48)+SUMIFS('ИТОГО Лэндинг'!$E$5:$E$300,'ИТОГО Лэндинг'!$B$5:$B$300,$B48))</f>
        <v/>
      </c>
      <c r="F48" s="246" t="str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 t="str">
        <f>IF(F48="","",H48/F48)</f>
        <v/>
      </c>
      <c r="H48" s="247" t="str">
        <f>IF(F48="","",SUMIFS('ИТОГО Торговля'!$H$5:$H$300,'ИТОГО Торговля'!$B$5:$B$300,$B48)+SUMIFS('ИТОГО Лэндинг'!$H$5:$H$300,'ИТОГО Лэндинг'!$B$5:$B$300,$B48))</f>
        <v/>
      </c>
      <c r="I48" s="246" t="str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 t="str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 t="str">
        <f>IF(C49="","",E49/C49)</f>
        <v/>
      </c>
      <c r="E49" s="241" t="str">
        <f>IF(C49="","",SUMIFS('ИТОГО Торговля'!$E$5:$E$300,'ИТОГО Торговля'!$B$5:$B$300,$B49)+SUMIFS('ИТОГО Лэндинг'!$E$5:$E$300,'ИТОГО Лэндинг'!$B$5:$B$300,$B49))</f>
        <v/>
      </c>
      <c r="F49" s="240" t="str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 t="str">
        <f>IF(F49="","",H49/F49)</f>
        <v/>
      </c>
      <c r="H49" s="241" t="str">
        <f>IF(F49="","",SUMIFS('ИТОГО Торговля'!$H$5:$H$300,'ИТОГО Торговля'!$B$5:$B$300,$B49)+SUMIFS('ИТОГО Лэндинг'!$H$5:$H$300,'ИТОГО Лэндинг'!$B$5:$B$300,$B49))</f>
        <v/>
      </c>
      <c r="I49" s="240" t="str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 t="str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 t="str">
        <f>IF(C50="","",E50/C50)</f>
        <v/>
      </c>
      <c r="E50" s="247" t="str">
        <f>IF(C50="","",SUMIFS('ИТОГО Торговля'!$E$5:$E$300,'ИТОГО Торговля'!$B$5:$B$300,$B50)+SUMIFS('ИТОГО Лэндинг'!$E$5:$E$300,'ИТОГО Лэндинг'!$B$5:$B$300,$B50))</f>
        <v/>
      </c>
      <c r="F50" s="246" t="str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 t="str">
        <f>IF(F50="","",H50/F50)</f>
        <v/>
      </c>
      <c r="H50" s="247" t="str">
        <f>IF(F50="","",SUMIFS('ИТОГО Торговля'!$H$5:$H$300,'ИТОГО Торговля'!$B$5:$B$300,$B50)+SUMIFS('ИТОГО Лэндинг'!$H$5:$H$300,'ИТОГО Лэндинг'!$B$5:$B$300,$B50))</f>
        <v/>
      </c>
      <c r="I50" s="246" t="str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 t="str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 t="str">
        <f>IF(C51="","",E51/C51)</f>
        <v/>
      </c>
      <c r="E51" s="241" t="str">
        <f>IF(C51="","",SUMIFS('ИТОГО Торговля'!$E$5:$E$300,'ИТОГО Торговля'!$B$5:$B$300,$B51)+SUMIFS('ИТОГО Лэндинг'!$E$5:$E$300,'ИТОГО Лэндинг'!$B$5:$B$300,$B51))</f>
        <v/>
      </c>
      <c r="F51" s="240" t="str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 t="str">
        <f>IF(F51="","",H51/F51)</f>
        <v/>
      </c>
      <c r="H51" s="241" t="str">
        <f>IF(F51="","",SUMIFS('ИТОГО Торговля'!$H$5:$H$300,'ИТОГО Торговля'!$B$5:$B$300,$B51)+SUMIFS('ИТОГО Лэндинг'!$H$5:$H$300,'ИТОГО Лэндинг'!$B$5:$B$300,$B51))</f>
        <v/>
      </c>
      <c r="I51" s="240" t="str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 t="str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 t="str">
        <f>IF(C52="","",E52/C52)</f>
        <v/>
      </c>
      <c r="E52" s="247" t="str">
        <f>IF(C52="","",SUMIFS('ИТОГО Торговля'!$E$5:$E$300,'ИТОГО Торговля'!$B$5:$B$300,$B52)+SUMIFS('ИТОГО Лэндинг'!$E$5:$E$300,'ИТОГО Лэндинг'!$B$5:$B$300,$B52))</f>
        <v/>
      </c>
      <c r="F52" s="246" t="str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 t="str">
        <f>IF(F52="","",H52/F52)</f>
        <v/>
      </c>
      <c r="H52" s="247" t="str">
        <f>IF(F52="","",SUMIFS('ИТОГО Торговля'!$H$5:$H$300,'ИТОГО Торговля'!$B$5:$B$300,$B52)+SUMIFS('ИТОГО Лэндинг'!$H$5:$H$300,'ИТОГО Лэндинг'!$B$5:$B$300,$B52))</f>
        <v/>
      </c>
      <c r="I52" s="246" t="str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 t="str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 t="str">
        <f>IF(C53="","",E53/C53)</f>
        <v/>
      </c>
      <c r="E53" s="241" t="str">
        <f>IF(C53="","",SUMIFS('ИТОГО Торговля'!$E$5:$E$300,'ИТОГО Торговля'!$B$5:$B$300,$B53)+SUMIFS('ИТОГО Лэндинг'!$E$5:$E$300,'ИТОГО Лэндинг'!$B$5:$B$300,$B53))</f>
        <v/>
      </c>
      <c r="F53" s="240" t="str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 t="str">
        <f>IF(F53="","",H53/F53)</f>
        <v/>
      </c>
      <c r="H53" s="241" t="str">
        <f>IF(F53="","",SUMIFS('ИТОГО Торговля'!$H$5:$H$300,'ИТОГО Торговля'!$B$5:$B$300,$B53)+SUMIFS('ИТОГО Лэндинг'!$H$5:$H$300,'ИТОГО Лэндинг'!$B$5:$B$300,$B53))</f>
        <v/>
      </c>
      <c r="I53" s="240" t="str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 t="str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 t="str">
        <f>IF(C54="","",E54/C54)</f>
        <v/>
      </c>
      <c r="E54" s="247" t="str">
        <f>IF(C54="","",SUMIFS('ИТОГО Торговля'!$E$5:$E$300,'ИТОГО Торговля'!$B$5:$B$300,$B54)+SUMIFS('ИТОГО Лэндинг'!$E$5:$E$300,'ИТОГО Лэндинг'!$B$5:$B$300,$B54))</f>
        <v/>
      </c>
      <c r="F54" s="246" t="str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 t="str">
        <f>IF(F54="","",H54/F54)</f>
        <v/>
      </c>
      <c r="H54" s="247" t="str">
        <f>IF(F54="","",SUMIFS('ИТОГО Торговля'!$H$5:$H$300,'ИТОГО Торговля'!$B$5:$B$300,$B54)+SUMIFS('ИТОГО Лэндинг'!$H$5:$H$300,'ИТОГО Лэндинг'!$B$5:$B$300,$B54))</f>
        <v/>
      </c>
      <c r="I54" s="246" t="str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 t="str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 t="str">
        <f>IF(C55="","",E55/C55)</f>
        <v/>
      </c>
      <c r="E55" s="241" t="str">
        <f>IF(C55="","",SUMIFS('ИТОГО Торговля'!$E$5:$E$300,'ИТОГО Торговля'!$B$5:$B$300,$B55)+SUMIFS('ИТОГО Лэндинг'!$E$5:$E$300,'ИТОГО Лэндинг'!$B$5:$B$300,$B55))</f>
        <v/>
      </c>
      <c r="F55" s="240" t="str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 t="str">
        <f>IF(F55="","",H55/F55)</f>
        <v/>
      </c>
      <c r="H55" s="241" t="str">
        <f>IF(F55="","",SUMIFS('ИТОГО Торговля'!$H$5:$H$300,'ИТОГО Торговля'!$B$5:$B$300,$B55)+SUMIFS('ИТОГО Лэндинг'!$H$5:$H$300,'ИТОГО Лэндинг'!$B$5:$B$300,$B55))</f>
        <v/>
      </c>
      <c r="I55" s="240" t="str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 t="str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 t="str">
        <f>IF(C56="","",E56/C56)</f>
        <v/>
      </c>
      <c r="E56" s="247" t="str">
        <f>IF(C56="","",SUMIFS('ИТОГО Торговля'!$E$5:$E$300,'ИТОГО Торговля'!$B$5:$B$300,$B56)+SUMIFS('ИТОГО Лэндинг'!$E$5:$E$300,'ИТОГО Лэндинг'!$B$5:$B$300,$B56))</f>
        <v/>
      </c>
      <c r="F56" s="246" t="str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 t="str">
        <f>IF(F56="","",H56/F56)</f>
        <v/>
      </c>
      <c r="H56" s="247" t="str">
        <f>IF(F56="","",SUMIFS('ИТОГО Торговля'!$H$5:$H$300,'ИТОГО Торговля'!$B$5:$B$300,$B56)+SUMIFS('ИТОГО Лэндинг'!$H$5:$H$300,'ИТОГО Лэндинг'!$B$5:$B$300,$B56))</f>
        <v/>
      </c>
      <c r="I56" s="246" t="str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 t="str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 t="str">
        <f>IF(C57="","",E57/C57)</f>
        <v/>
      </c>
      <c r="E57" s="241" t="str">
        <f>IF(C57="","",SUMIFS('ИТОГО Торговля'!$E$5:$E$300,'ИТОГО Торговля'!$B$5:$B$300,$B57)+SUMIFS('ИТОГО Лэндинг'!$E$5:$E$300,'ИТОГО Лэндинг'!$B$5:$B$300,$B57))</f>
        <v/>
      </c>
      <c r="F57" s="240" t="str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 t="str">
        <f>IF(F57="","",H57/F57)</f>
        <v/>
      </c>
      <c r="H57" s="241" t="str">
        <f>IF(F57="","",SUMIFS('ИТОГО Торговля'!$H$5:$H$300,'ИТОГО Торговля'!$B$5:$B$300,$B57)+SUMIFS('ИТОГО Лэндинг'!$H$5:$H$300,'ИТОГО Лэндинг'!$B$5:$B$300,$B57))</f>
        <v/>
      </c>
      <c r="I57" s="240" t="str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 t="str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 t="str">
        <f>IF(C58="","",E58/C58)</f>
        <v/>
      </c>
      <c r="E58" s="247" t="str">
        <f>IF(C58="","",SUMIFS('ИТОГО Торговля'!$E$5:$E$300,'ИТОГО Торговля'!$B$5:$B$300,$B58)+SUMIFS('ИТОГО Лэндинг'!$E$5:$E$300,'ИТОГО Лэндинг'!$B$5:$B$300,$B58))</f>
        <v/>
      </c>
      <c r="F58" s="246" t="str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 t="str">
        <f>IF(F58="","",H58/F58)</f>
        <v/>
      </c>
      <c r="H58" s="247" t="str">
        <f>IF(F58="","",SUMIFS('ИТОГО Торговля'!$H$5:$H$300,'ИТОГО Торговля'!$B$5:$B$300,$B58)+SUMIFS('ИТОГО Лэндинг'!$H$5:$H$300,'ИТОГО Лэндинг'!$B$5:$B$300,$B58))</f>
        <v/>
      </c>
      <c r="I58" s="246" t="str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 t="str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 t="str">
        <f>IF(C59="","",E59/C59)</f>
        <v/>
      </c>
      <c r="E59" s="241" t="str">
        <f>IF(C59="","",SUMIFS('ИТОГО Торговля'!$E$5:$E$300,'ИТОГО Торговля'!$B$5:$B$300,$B59)+SUMIFS('ИТОГО Лэндинг'!$E$5:$E$300,'ИТОГО Лэндинг'!$B$5:$B$300,$B59))</f>
        <v/>
      </c>
      <c r="F59" s="240" t="str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 t="str">
        <f>IF(F59="","",H59/F59)</f>
        <v/>
      </c>
      <c r="H59" s="241" t="str">
        <f>IF(F59="","",SUMIFS('ИТОГО Торговля'!$H$5:$H$300,'ИТОГО Торговля'!$B$5:$B$300,$B59)+SUMIFS('ИТОГО Лэндинг'!$H$5:$H$300,'ИТОГО Лэндинг'!$B$5:$B$300,$B59))</f>
        <v/>
      </c>
      <c r="I59" s="240" t="str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 t="str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 t="str">
        <f>IF(C60="","",E60/C60)</f>
        <v/>
      </c>
      <c r="E60" s="247" t="str">
        <f>IF(C60="","",SUMIFS('ИТОГО Торговля'!$E$5:$E$300,'ИТОГО Торговля'!$B$5:$B$300,$B60)+SUMIFS('ИТОГО Лэндинг'!$E$5:$E$300,'ИТОГО Лэндинг'!$B$5:$B$300,$B60))</f>
        <v/>
      </c>
      <c r="F60" s="246" t="str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 t="str">
        <f>IF(F60="","",H60/F60)</f>
        <v/>
      </c>
      <c r="H60" s="247" t="str">
        <f>IF(F60="","",SUMIFS('ИТОГО Торговля'!$H$5:$H$300,'ИТОГО Торговля'!$B$5:$B$300,$B60)+SUMIFS('ИТОГО Лэндинг'!$H$5:$H$300,'ИТОГО Лэндинг'!$B$5:$B$300,$B60))</f>
        <v/>
      </c>
      <c r="I60" s="246" t="str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 t="str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 t="str">
        <f>IF(C61="","",E61/C61)</f>
        <v/>
      </c>
      <c r="E61" s="241" t="str">
        <f>IF(C61="","",SUMIFS('ИТОГО Торговля'!$E$5:$E$300,'ИТОГО Торговля'!$B$5:$B$300,$B61)+SUMIFS('ИТОГО Лэндинг'!$E$5:$E$300,'ИТОГО Лэндинг'!$B$5:$B$300,$B61))</f>
        <v/>
      </c>
      <c r="F61" s="240" t="str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 t="str">
        <f>IF(F61="","",H61/F61)</f>
        <v/>
      </c>
      <c r="H61" s="241" t="str">
        <f>IF(F61="","",SUMIFS('ИТОГО Торговля'!$H$5:$H$300,'ИТОГО Торговля'!$B$5:$B$300,$B61)+SUMIFS('ИТОГО Лэндинг'!$H$5:$H$300,'ИТОГО Лэндинг'!$B$5:$B$300,$B61))</f>
        <v/>
      </c>
      <c r="I61" s="240" t="str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 t="str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 t="str">
        <f>IF(C62="","",E62/C62)</f>
        <v/>
      </c>
      <c r="E62" s="247" t="str">
        <f>IF(C62="","",SUMIFS('ИТОГО Торговля'!$E$5:$E$300,'ИТОГО Торговля'!$B$5:$B$300,$B62)+SUMIFS('ИТОГО Лэндинг'!$E$5:$E$300,'ИТОГО Лэндинг'!$B$5:$B$300,$B62))</f>
        <v/>
      </c>
      <c r="F62" s="246" t="str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 t="str">
        <f>IF(F62="","",H62/F62)</f>
        <v/>
      </c>
      <c r="H62" s="247" t="str">
        <f>IF(F62="","",SUMIFS('ИТОГО Торговля'!$H$5:$H$300,'ИТОГО Торговля'!$B$5:$B$300,$B62)+SUMIFS('ИТОГО Лэндинг'!$H$5:$H$300,'ИТОГО Лэндинг'!$B$5:$B$300,$B62))</f>
        <v/>
      </c>
      <c r="I62" s="246" t="str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 t="str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 t="str">
        <f>IF(C63="","",E63/C63)</f>
        <v/>
      </c>
      <c r="E63" s="241" t="str">
        <f>IF(C63="","",SUMIFS('ИТОГО Торговля'!$E$5:$E$300,'ИТОГО Торговля'!$B$5:$B$300,$B63)+SUMIFS('ИТОГО Лэндинг'!$E$5:$E$300,'ИТОГО Лэндинг'!$B$5:$B$300,$B63))</f>
        <v/>
      </c>
      <c r="F63" s="240" t="str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 t="str">
        <f>IF(F63="","",H63/F63)</f>
        <v/>
      </c>
      <c r="H63" s="241" t="str">
        <f>IF(F63="","",SUMIFS('ИТОГО Торговля'!$H$5:$H$300,'ИТОГО Торговля'!$B$5:$B$300,$B63)+SUMIFS('ИТОГО Лэндинг'!$H$5:$H$300,'ИТОГО Лэндинг'!$B$5:$B$300,$B63))</f>
        <v/>
      </c>
      <c r="I63" s="240" t="str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 t="str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 t="str">
        <f>IF(C64="","",E64/C64)</f>
        <v/>
      </c>
      <c r="E64" s="247" t="str">
        <f>IF(C64="","",SUMIFS('ИТОГО Торговля'!$E$5:$E$300,'ИТОГО Торговля'!$B$5:$B$300,$B64)+SUMIFS('ИТОГО Лэндинг'!$E$5:$E$300,'ИТОГО Лэндинг'!$B$5:$B$300,$B64))</f>
        <v/>
      </c>
      <c r="F64" s="246" t="str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 t="str">
        <f>IF(F64="","",H64/F64)</f>
        <v/>
      </c>
      <c r="H64" s="247" t="str">
        <f>IF(F64="","",SUMIFS('ИТОГО Торговля'!$H$5:$H$300,'ИТОГО Торговля'!$B$5:$B$300,$B64)+SUMIFS('ИТОГО Лэндинг'!$H$5:$H$300,'ИТОГО Лэндинг'!$B$5:$B$300,$B64))</f>
        <v/>
      </c>
      <c r="I64" s="246" t="str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 t="str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 t="str">
        <f>IF(C65="","",E65/C65)</f>
        <v/>
      </c>
      <c r="E65" s="241" t="str">
        <f>IF(C65="","",SUMIFS('ИТОГО Торговля'!$E$5:$E$300,'ИТОГО Торговля'!$B$5:$B$300,$B65)+SUMIFS('ИТОГО Лэндинг'!$E$5:$E$300,'ИТОГО Лэндинг'!$B$5:$B$300,$B65))</f>
        <v/>
      </c>
      <c r="F65" s="240" t="str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 t="str">
        <f>IF(F65="","",H65/F65)</f>
        <v/>
      </c>
      <c r="H65" s="241" t="str">
        <f>IF(F65="","",SUMIFS('ИТОГО Торговля'!$H$5:$H$300,'ИТОГО Торговля'!$B$5:$B$300,$B65)+SUMIFS('ИТОГО Лэндинг'!$H$5:$H$300,'ИТОГО Лэндинг'!$B$5:$B$300,$B65))</f>
        <v/>
      </c>
      <c r="I65" s="240" t="str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 t="str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 t="str">
        <f>IF(C66="","",E66/C66)</f>
        <v/>
      </c>
      <c r="E66" s="247" t="str">
        <f>IF(C66="","",SUMIFS('ИТОГО Торговля'!$E$5:$E$300,'ИТОГО Торговля'!$B$5:$B$300,$B66)+SUMIFS('ИТОГО Лэндинг'!$E$5:$E$300,'ИТОГО Лэндинг'!$B$5:$B$300,$B66))</f>
        <v/>
      </c>
      <c r="F66" s="246" t="str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 t="str">
        <f>IF(F66="","",H66/F66)</f>
        <v/>
      </c>
      <c r="H66" s="247" t="str">
        <f>IF(F66="","",SUMIFS('ИТОГО Торговля'!$H$5:$H$300,'ИТОГО Торговля'!$B$5:$B$300,$B66)+SUMIFS('ИТОГО Лэндинг'!$H$5:$H$300,'ИТОГО Лэндинг'!$B$5:$B$300,$B66))</f>
        <v/>
      </c>
      <c r="I66" s="246" t="str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 t="str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 t="str">
        <f>IF(C67="","",E67/C67)</f>
        <v/>
      </c>
      <c r="E67" s="241" t="str">
        <f>IF(C67="","",SUMIFS('ИТОГО Торговля'!$E$5:$E$300,'ИТОГО Торговля'!$B$5:$B$300,$B67)+SUMIFS('ИТОГО Лэндинг'!$E$5:$E$300,'ИТОГО Лэндинг'!$B$5:$B$300,$B67))</f>
        <v/>
      </c>
      <c r="F67" s="240" t="str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 t="str">
        <f>IF(F67="","",H67/F67)</f>
        <v/>
      </c>
      <c r="H67" s="241" t="str">
        <f>IF(F67="","",SUMIFS('ИТОГО Торговля'!$H$5:$H$300,'ИТОГО Торговля'!$B$5:$B$300,$B67)+SUMIFS('ИТОГО Лэндинг'!$H$5:$H$300,'ИТОГО Лэндинг'!$B$5:$B$300,$B67))</f>
        <v/>
      </c>
      <c r="I67" s="240" t="str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 t="str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 t="str">
        <f>IF(C68="","",E68/C68)</f>
        <v/>
      </c>
      <c r="E68" s="247" t="str">
        <f>IF(C68="","",SUMIFS('ИТОГО Торговля'!$E$5:$E$300,'ИТОГО Торговля'!$B$5:$B$300,$B68)+SUMIFS('ИТОГО Лэндинг'!$E$5:$E$300,'ИТОГО Лэндинг'!$B$5:$B$300,$B68))</f>
        <v/>
      </c>
      <c r="F68" s="246" t="str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 t="str">
        <f>IF(F68="","",H68/F68)</f>
        <v/>
      </c>
      <c r="H68" s="247" t="str">
        <f>IF(F68="","",SUMIFS('ИТОГО Торговля'!$H$5:$H$300,'ИТОГО Торговля'!$B$5:$B$300,$B68)+SUMIFS('ИТОГО Лэндинг'!$H$5:$H$300,'ИТОГО Лэндинг'!$B$5:$B$300,$B68))</f>
        <v/>
      </c>
      <c r="I68" s="246" t="str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 t="str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 t="str">
        <f>IF(C69="","",E69/C69)</f>
        <v/>
      </c>
      <c r="E69" s="241" t="str">
        <f>IF(C69="","",SUMIFS('ИТОГО Торговля'!$E$5:$E$300,'ИТОГО Торговля'!$B$5:$B$300,$B69)+SUMIFS('ИТОГО Лэндинг'!$E$5:$E$300,'ИТОГО Лэндинг'!$B$5:$B$300,$B69))</f>
        <v/>
      </c>
      <c r="F69" s="240" t="str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 t="str">
        <f>IF(F69="","",H69/F69)</f>
        <v/>
      </c>
      <c r="H69" s="241" t="str">
        <f>IF(F69="","",SUMIFS('ИТОГО Торговля'!$H$5:$H$300,'ИТОГО Торговля'!$B$5:$B$300,$B69)+SUMIFS('ИТОГО Лэндинг'!$H$5:$H$300,'ИТОГО Лэндинг'!$B$5:$B$300,$B69))</f>
        <v/>
      </c>
      <c r="I69" s="240" t="str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 t="str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 t="str">
        <f>IF(C70="","",E70/C70)</f>
        <v/>
      </c>
      <c r="E70" s="247" t="str">
        <f>IF(C70="","",SUMIFS('ИТОГО Торговля'!$E$5:$E$300,'ИТОГО Торговля'!$B$5:$B$300,$B70)+SUMIFS('ИТОГО Лэндинг'!$E$5:$E$300,'ИТОГО Лэндинг'!$B$5:$B$300,$B70))</f>
        <v/>
      </c>
      <c r="F70" s="246" t="str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 t="str">
        <f>IF(F70="","",H70/F70)</f>
        <v/>
      </c>
      <c r="H70" s="247" t="str">
        <f>IF(F70="","",SUMIFS('ИТОГО Торговля'!$H$5:$H$300,'ИТОГО Торговля'!$B$5:$B$300,$B70)+SUMIFS('ИТОГО Лэндинг'!$H$5:$H$300,'ИТОГО Лэндинг'!$B$5:$B$300,$B70))</f>
        <v/>
      </c>
      <c r="I70" s="246" t="str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 t="str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 t="str">
        <f>IF(C71="","",E71/C71)</f>
        <v/>
      </c>
      <c r="E71" s="241" t="str">
        <f>IF(C71="","",SUMIFS('ИТОГО Торговля'!$E$5:$E$300,'ИТОГО Торговля'!$B$5:$B$300,$B71)+SUMIFS('ИТОГО Лэндинг'!$E$5:$E$300,'ИТОГО Лэндинг'!$B$5:$B$300,$B71))</f>
        <v/>
      </c>
      <c r="F71" s="240" t="str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 t="str">
        <f>IF(F71="","",H71/F71)</f>
        <v/>
      </c>
      <c r="H71" s="241" t="str">
        <f>IF(F71="","",SUMIFS('ИТОГО Торговля'!$H$5:$H$300,'ИТОГО Торговля'!$B$5:$B$300,$B71)+SUMIFS('ИТОГО Лэндинг'!$H$5:$H$300,'ИТОГО Лэндинг'!$B$5:$B$300,$B71))</f>
        <v/>
      </c>
      <c r="I71" s="240" t="str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 t="str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 t="str">
        <f>IF(C72="","",E72/C72)</f>
        <v/>
      </c>
      <c r="E72" s="247" t="str">
        <f>IF(C72="","",SUMIFS('ИТОГО Торговля'!$E$5:$E$300,'ИТОГО Торговля'!$B$5:$B$300,$B72)+SUMIFS('ИТОГО Лэндинг'!$E$5:$E$300,'ИТОГО Лэндинг'!$B$5:$B$300,$B72))</f>
        <v/>
      </c>
      <c r="F72" s="246" t="str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 t="str">
        <f>IF(F72="","",H72/F72)</f>
        <v/>
      </c>
      <c r="H72" s="247" t="str">
        <f>IF(F72="","",SUMIFS('ИТОГО Торговля'!$H$5:$H$300,'ИТОГО Торговля'!$B$5:$B$300,$B72)+SUMIFS('ИТОГО Лэндинг'!$H$5:$H$300,'ИТОГО Лэндинг'!$B$5:$B$300,$B72))</f>
        <v/>
      </c>
      <c r="I72" s="246" t="str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 t="str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 t="str">
        <f>IF(C73="","",E73/C73)</f>
        <v/>
      </c>
      <c r="E73" s="241" t="str">
        <f>IF(C73="","",SUMIFS('ИТОГО Торговля'!$E$5:$E$300,'ИТОГО Торговля'!$B$5:$B$300,$B73)+SUMIFS('ИТОГО Лэндинг'!$E$5:$E$300,'ИТОГО Лэндинг'!$B$5:$B$300,$B73))</f>
        <v/>
      </c>
      <c r="F73" s="240" t="str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 t="str">
        <f>IF(F73="","",H73/F73)</f>
        <v/>
      </c>
      <c r="H73" s="241" t="str">
        <f>IF(F73="","",SUMIFS('ИТОГО Торговля'!$H$5:$H$300,'ИТОГО Торговля'!$B$5:$B$300,$B73)+SUMIFS('ИТОГО Лэндинг'!$H$5:$H$300,'ИТОГО Лэндинг'!$B$5:$B$300,$B73))</f>
        <v/>
      </c>
      <c r="I73" s="240" t="str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 t="str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 t="str">
        <f>IF(C74="","",E74/C74)</f>
        <v/>
      </c>
      <c r="E74" s="247" t="str">
        <f>IF(C74="","",SUMIFS('ИТОГО Торговля'!$E$5:$E$300,'ИТОГО Торговля'!$B$5:$B$300,$B74)+SUMIFS('ИТОГО Лэндинг'!$E$5:$E$300,'ИТОГО Лэндинг'!$B$5:$B$300,$B74))</f>
        <v/>
      </c>
      <c r="F74" s="246" t="str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 t="str">
        <f>IF(F74="","",H74/F74)</f>
        <v/>
      </c>
      <c r="H74" s="247" t="str">
        <f>IF(F74="","",SUMIFS('ИТОГО Торговля'!$H$5:$H$300,'ИТОГО Торговля'!$B$5:$B$300,$B74)+SUMIFS('ИТОГО Лэндинг'!$H$5:$H$300,'ИТОГО Лэндинг'!$B$5:$B$300,$B74))</f>
        <v/>
      </c>
      <c r="I74" s="246" t="str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 t="str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 t="str">
        <f>IF(C75="","",E75/C75)</f>
        <v/>
      </c>
      <c r="E75" s="241" t="str">
        <f>IF(C75="","",SUMIFS('ИТОГО Торговля'!$E$5:$E$300,'ИТОГО Торговля'!$B$5:$B$300,$B75)+SUMIFS('ИТОГО Лэндинг'!$E$5:$E$300,'ИТОГО Лэндинг'!$B$5:$B$300,$B75))</f>
        <v/>
      </c>
      <c r="F75" s="240" t="str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 t="str">
        <f>IF(F75="","",H75/F75)</f>
        <v/>
      </c>
      <c r="H75" s="241" t="str">
        <f>IF(F75="","",SUMIFS('ИТОГО Торговля'!$H$5:$H$300,'ИТОГО Торговля'!$B$5:$B$300,$B75)+SUMIFS('ИТОГО Лэндинг'!$H$5:$H$300,'ИТОГО Лэндинг'!$B$5:$B$300,$B75))</f>
        <v/>
      </c>
      <c r="I75" s="240" t="str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 t="str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 t="str">
        <f>IF(C76="","",E76/C76)</f>
        <v/>
      </c>
      <c r="E76" s="247" t="str">
        <f>IF(C76="","",SUMIFS('ИТОГО Торговля'!$E$5:$E$300,'ИТОГО Торговля'!$B$5:$B$300,$B76)+SUMIFS('ИТОГО Лэндинг'!$E$5:$E$300,'ИТОГО Лэндинг'!$B$5:$B$300,$B76))</f>
        <v/>
      </c>
      <c r="F76" s="246" t="str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 t="str">
        <f>IF(F76="","",H76/F76)</f>
        <v/>
      </c>
      <c r="H76" s="247" t="str">
        <f>IF(F76="","",SUMIFS('ИТОГО Торговля'!$H$5:$H$300,'ИТОГО Торговля'!$B$5:$B$300,$B76)+SUMIFS('ИТОГО Лэндинг'!$H$5:$H$300,'ИТОГО Лэндинг'!$B$5:$B$300,$B76))</f>
        <v/>
      </c>
      <c r="I76" s="246" t="str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 t="str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 t="str">
        <f>IF(C77="","",E77/C77)</f>
        <v/>
      </c>
      <c r="E77" s="241" t="str">
        <f>IF(C77="","",SUMIFS('ИТОГО Торговля'!$E$5:$E$300,'ИТОГО Торговля'!$B$5:$B$300,$B77)+SUMIFS('ИТОГО Лэндинг'!$E$5:$E$300,'ИТОГО Лэндинг'!$B$5:$B$300,$B77))</f>
        <v/>
      </c>
      <c r="F77" s="240" t="str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 t="str">
        <f>IF(F77="","",H77/F77)</f>
        <v/>
      </c>
      <c r="H77" s="241" t="str">
        <f>IF(F77="","",SUMIFS('ИТОГО Торговля'!$H$5:$H$300,'ИТОГО Торговля'!$B$5:$B$300,$B77)+SUMIFS('ИТОГО Лэндинг'!$H$5:$H$300,'ИТОГО Лэндинг'!$B$5:$B$300,$B77))</f>
        <v/>
      </c>
      <c r="I77" s="240" t="str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 t="str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 t="str">
        <f>IF(C78="","",E78/C78)</f>
        <v/>
      </c>
      <c r="E78" s="247" t="str">
        <f>IF(C78="","",SUMIFS('ИТОГО Торговля'!$E$5:$E$300,'ИТОГО Торговля'!$B$5:$B$300,$B78)+SUMIFS('ИТОГО Лэндинг'!$E$5:$E$300,'ИТОГО Лэндинг'!$B$5:$B$300,$B78))</f>
        <v/>
      </c>
      <c r="F78" s="246" t="str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 t="str">
        <f>IF(F78="","",H78/F78)</f>
        <v/>
      </c>
      <c r="H78" s="247" t="str">
        <f>IF(F78="","",SUMIFS('ИТОГО Торговля'!$H$5:$H$300,'ИТОГО Торговля'!$B$5:$B$300,$B78)+SUMIFS('ИТОГО Лэндинг'!$H$5:$H$300,'ИТОГО Лэндинг'!$B$5:$B$300,$B78))</f>
        <v/>
      </c>
      <c r="I78" s="246" t="str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 t="str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 t="str">
        <f>IF(C79="","",E79/C79)</f>
        <v/>
      </c>
      <c r="E79" s="241" t="str">
        <f>IF(C79="","",SUMIFS('ИТОГО Торговля'!$E$5:$E$300,'ИТОГО Торговля'!$B$5:$B$300,$B79)+SUMIFS('ИТОГО Лэндинг'!$E$5:$E$300,'ИТОГО Лэндинг'!$B$5:$B$300,$B79))</f>
        <v/>
      </c>
      <c r="F79" s="240" t="str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 t="str">
        <f>IF(F79="","",H79/F79)</f>
        <v/>
      </c>
      <c r="H79" s="241" t="str">
        <f>IF(F79="","",SUMIFS('ИТОГО Торговля'!$H$5:$H$300,'ИТОГО Торговля'!$B$5:$B$300,$B79)+SUMIFS('ИТОГО Лэндинг'!$H$5:$H$300,'ИТОГО Лэндинг'!$B$5:$B$300,$B79))</f>
        <v/>
      </c>
      <c r="I79" s="240" t="str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 t="str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 t="str">
        <f>IF(C80="","",E80/C80)</f>
        <v/>
      </c>
      <c r="E80" s="247" t="str">
        <f>IF(C80="","",SUMIFS('ИТОГО Торговля'!$E$5:$E$300,'ИТОГО Торговля'!$B$5:$B$300,$B80)+SUMIFS('ИТОГО Лэндинг'!$E$5:$E$300,'ИТОГО Лэндинг'!$B$5:$B$300,$B80))</f>
        <v/>
      </c>
      <c r="F80" s="246" t="str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 t="str">
        <f>IF(F80="","",H80/F80)</f>
        <v/>
      </c>
      <c r="H80" s="247" t="str">
        <f>IF(F80="","",SUMIFS('ИТОГО Торговля'!$H$5:$H$300,'ИТОГО Торговля'!$B$5:$B$300,$B80)+SUMIFS('ИТОГО Лэндинг'!$H$5:$H$300,'ИТОГО Лэндинг'!$B$5:$B$300,$B80))</f>
        <v/>
      </c>
      <c r="I80" s="246" t="str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 t="str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 t="str">
        <f>IF(C81="","",E81/C81)</f>
        <v/>
      </c>
      <c r="E81" s="241" t="str">
        <f>IF(C81="","",SUMIFS('ИТОГО Торговля'!$E$5:$E$300,'ИТОГО Торговля'!$B$5:$B$300,$B81)+SUMIFS('ИТОГО Лэндинг'!$E$5:$E$300,'ИТОГО Лэндинг'!$B$5:$B$300,$B81))</f>
        <v/>
      </c>
      <c r="F81" s="240" t="str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 t="str">
        <f>IF(F81="","",H81/F81)</f>
        <v/>
      </c>
      <c r="H81" s="241" t="str">
        <f>IF(F81="","",SUMIFS('ИТОГО Торговля'!$H$5:$H$300,'ИТОГО Торговля'!$B$5:$B$300,$B81)+SUMIFS('ИТОГО Лэндинг'!$H$5:$H$300,'ИТОГО Лэндинг'!$B$5:$B$300,$B81))</f>
        <v/>
      </c>
      <c r="I81" s="240" t="str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 t="str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 t="str">
        <f>IF(C82="","",E82/C82)</f>
        <v/>
      </c>
      <c r="E82" s="247" t="str">
        <f>IF(C82="","",SUMIFS('ИТОГО Торговля'!$E$5:$E$300,'ИТОГО Торговля'!$B$5:$B$300,$B82)+SUMIFS('ИТОГО Лэндинг'!$E$5:$E$300,'ИТОГО Лэндинг'!$B$5:$B$300,$B82))</f>
        <v/>
      </c>
      <c r="F82" s="246" t="str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 t="str">
        <f>IF(F82="","",H82/F82)</f>
        <v/>
      </c>
      <c r="H82" s="247" t="str">
        <f>IF(F82="","",SUMIFS('ИТОГО Торговля'!$H$5:$H$300,'ИТОГО Торговля'!$B$5:$B$300,$B82)+SUMIFS('ИТОГО Лэндинг'!$H$5:$H$300,'ИТОГО Лэндинг'!$B$5:$B$300,$B82))</f>
        <v/>
      </c>
      <c r="I82" s="246" t="str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 t="str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 t="str">
        <f>IF(C83="","",E83/C83)</f>
        <v/>
      </c>
      <c r="E83" s="241" t="str">
        <f>IF(C83="","",SUMIFS('ИТОГО Торговля'!$E$5:$E$300,'ИТОГО Торговля'!$B$5:$B$300,$B83)+SUMIFS('ИТОГО Лэндинг'!$E$5:$E$300,'ИТОГО Лэндинг'!$B$5:$B$300,$B83))</f>
        <v/>
      </c>
      <c r="F83" s="240" t="str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 t="str">
        <f>IF(F83="","",H83/F83)</f>
        <v/>
      </c>
      <c r="H83" s="241" t="str">
        <f>IF(F83="","",SUMIFS('ИТОГО Торговля'!$H$5:$H$300,'ИТОГО Торговля'!$B$5:$B$300,$B83)+SUMIFS('ИТОГО Лэндинг'!$H$5:$H$300,'ИТОГО Лэндинг'!$B$5:$B$300,$B83))</f>
        <v/>
      </c>
      <c r="I83" s="240" t="str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 t="str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 t="str">
        <f>IF(C84="","",E84/C84)</f>
        <v/>
      </c>
      <c r="E84" s="247" t="str">
        <f>IF(C84="","",SUMIFS('ИТОГО Торговля'!$E$5:$E$300,'ИТОГО Торговля'!$B$5:$B$300,$B84)+SUMIFS('ИТОГО Лэндинг'!$E$5:$E$300,'ИТОГО Лэндинг'!$B$5:$B$300,$B84))</f>
        <v/>
      </c>
      <c r="F84" s="246" t="str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 t="str">
        <f>IF(F84="","",H84/F84)</f>
        <v/>
      </c>
      <c r="H84" s="247" t="str">
        <f>IF(F84="","",SUMIFS('ИТОГО Торговля'!$H$5:$H$300,'ИТОГО Торговля'!$B$5:$B$300,$B84)+SUMIFS('ИТОГО Лэндинг'!$H$5:$H$300,'ИТОГО Лэндинг'!$B$5:$B$300,$B84))</f>
        <v/>
      </c>
      <c r="I84" s="246" t="str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 t="str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 t="str">
        <f>IF(C85="","",E85/C85)</f>
        <v/>
      </c>
      <c r="E85" s="241" t="str">
        <f>IF(C85="","",SUMIFS('ИТОГО Торговля'!$E$5:$E$300,'ИТОГО Торговля'!$B$5:$B$300,$B85)+SUMIFS('ИТОГО Лэндинг'!$E$5:$E$300,'ИТОГО Лэндинг'!$B$5:$B$300,$B85))</f>
        <v/>
      </c>
      <c r="F85" s="240" t="str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 t="str">
        <f>IF(F85="","",H85/F85)</f>
        <v/>
      </c>
      <c r="H85" s="241" t="str">
        <f>IF(F85="","",SUMIFS('ИТОГО Торговля'!$H$5:$H$300,'ИТОГО Торговля'!$B$5:$B$300,$B85)+SUMIFS('ИТОГО Лэндинг'!$H$5:$H$300,'ИТОГО Лэндинг'!$B$5:$B$300,$B85))</f>
        <v/>
      </c>
      <c r="I85" s="240" t="str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 t="str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 t="str">
        <f>IF(C86="","",E86/C86)</f>
        <v/>
      </c>
      <c r="E86" s="247" t="str">
        <f>IF(C86="","",SUMIFS('ИТОГО Торговля'!$E$5:$E$300,'ИТОГО Торговля'!$B$5:$B$300,$B86)+SUMIFS('ИТОГО Лэндинг'!$E$5:$E$300,'ИТОГО Лэндинг'!$B$5:$B$300,$B86))</f>
        <v/>
      </c>
      <c r="F86" s="246" t="str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 t="str">
        <f>IF(F86="","",H86/F86)</f>
        <v/>
      </c>
      <c r="H86" s="247" t="str">
        <f>IF(F86="","",SUMIFS('ИТОГО Торговля'!$H$5:$H$300,'ИТОГО Торговля'!$B$5:$B$300,$B86)+SUMIFS('ИТОГО Лэндинг'!$H$5:$H$300,'ИТОГО Лэндинг'!$B$5:$B$300,$B86))</f>
        <v/>
      </c>
      <c r="I86" s="246" t="str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 t="str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 t="str">
        <f>IF(C87="","",E87/C87)</f>
        <v/>
      </c>
      <c r="E87" s="241" t="str">
        <f>IF(C87="","",SUMIFS('ИТОГО Торговля'!$E$5:$E$300,'ИТОГО Торговля'!$B$5:$B$300,$B87)+SUMIFS('ИТОГО Лэндинг'!$E$5:$E$300,'ИТОГО Лэндинг'!$B$5:$B$300,$B87))</f>
        <v/>
      </c>
      <c r="F87" s="240" t="str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 t="str">
        <f>IF(F87="","",H87/F87)</f>
        <v/>
      </c>
      <c r="H87" s="241" t="str">
        <f>IF(F87="","",SUMIFS('ИТОГО Торговля'!$H$5:$H$300,'ИТОГО Торговля'!$B$5:$B$300,$B87)+SUMIFS('ИТОГО Лэндинг'!$H$5:$H$300,'ИТОГО Лэндинг'!$B$5:$B$300,$B87))</f>
        <v/>
      </c>
      <c r="I87" s="240" t="str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 t="str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 t="str">
        <f>IF(C88="","",E88/C88)</f>
        <v/>
      </c>
      <c r="E88" s="247" t="str">
        <f>IF(C88="","",SUMIFS('ИТОГО Торговля'!$E$5:$E$300,'ИТОГО Торговля'!$B$5:$B$300,$B88)+SUMIFS('ИТОГО Лэндинг'!$E$5:$E$300,'ИТОГО Лэндинг'!$B$5:$B$300,$B88))</f>
        <v/>
      </c>
      <c r="F88" s="246" t="str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 t="str">
        <f>IF(F88="","",H88/F88)</f>
        <v/>
      </c>
      <c r="H88" s="247" t="str">
        <f>IF(F88="","",SUMIFS('ИТОГО Торговля'!$H$5:$H$300,'ИТОГО Торговля'!$B$5:$B$300,$B88)+SUMIFS('ИТОГО Лэндинг'!$H$5:$H$300,'ИТОГО Лэндинг'!$B$5:$B$300,$B88))</f>
        <v/>
      </c>
      <c r="I88" s="246" t="str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 t="str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 t="str">
        <f>IF(C89="","",E89/C89)</f>
        <v/>
      </c>
      <c r="E89" s="241" t="str">
        <f>IF(C89="","",SUMIFS('ИТОГО Торговля'!$E$5:$E$300,'ИТОГО Торговля'!$B$5:$B$300,$B89)+SUMIFS('ИТОГО Лэндинг'!$E$5:$E$300,'ИТОГО Лэндинг'!$B$5:$B$300,$B89))</f>
        <v/>
      </c>
      <c r="F89" s="240" t="str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 t="str">
        <f>IF(F89="","",H89/F89)</f>
        <v/>
      </c>
      <c r="H89" s="241" t="str">
        <f>IF(F89="","",SUMIFS('ИТОГО Торговля'!$H$5:$H$300,'ИТОГО Торговля'!$B$5:$B$300,$B89)+SUMIFS('ИТОГО Лэндинг'!$H$5:$H$300,'ИТОГО Лэндинг'!$B$5:$B$300,$B89))</f>
        <v/>
      </c>
      <c r="I89" s="240" t="str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 t="str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 t="str">
        <f>IF(C90="","",E90/C90)</f>
        <v/>
      </c>
      <c r="E90" s="247" t="str">
        <f>IF(C90="","",SUMIFS('ИТОГО Торговля'!$E$5:$E$300,'ИТОГО Торговля'!$B$5:$B$300,$B90)+SUMIFS('ИТОГО Лэндинг'!$E$5:$E$300,'ИТОГО Лэндинг'!$B$5:$B$300,$B90))</f>
        <v/>
      </c>
      <c r="F90" s="246" t="str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 t="str">
        <f>IF(F90="","",H90/F90)</f>
        <v/>
      </c>
      <c r="H90" s="247" t="str">
        <f>IF(F90="","",SUMIFS('ИТОГО Торговля'!$H$5:$H$300,'ИТОГО Торговля'!$B$5:$B$300,$B90)+SUMIFS('ИТОГО Лэндинг'!$H$5:$H$300,'ИТОГО Лэндинг'!$B$5:$B$300,$B90))</f>
        <v/>
      </c>
      <c r="I90" s="246" t="str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 t="str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 t="str">
        <f>IF(C91="","",E91/C91)</f>
        <v/>
      </c>
      <c r="E91" s="241" t="str">
        <f>IF(C91="","",SUMIFS('ИТОГО Торговля'!$E$5:$E$300,'ИТОГО Торговля'!$B$5:$B$300,$B91)+SUMIFS('ИТОГО Лэндинг'!$E$5:$E$300,'ИТОГО Лэндинг'!$B$5:$B$300,$B91))</f>
        <v/>
      </c>
      <c r="F91" s="240" t="str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 t="str">
        <f>IF(F91="","",H91/F91)</f>
        <v/>
      </c>
      <c r="H91" s="241" t="str">
        <f>IF(F91="","",SUMIFS('ИТОГО Торговля'!$H$5:$H$300,'ИТОГО Торговля'!$B$5:$B$300,$B91)+SUMIFS('ИТОГО Лэндинг'!$H$5:$H$300,'ИТОГО Лэндинг'!$B$5:$B$300,$B91))</f>
        <v/>
      </c>
      <c r="I91" s="240" t="str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 t="str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 t="str">
        <f>IF(C92="","",E92/C92)</f>
        <v/>
      </c>
      <c r="E92" s="247" t="str">
        <f>IF(C92="","",SUMIFS('ИТОГО Торговля'!$E$5:$E$300,'ИТОГО Торговля'!$B$5:$B$300,$B92)+SUMIFS('ИТОГО Лэндинг'!$E$5:$E$300,'ИТОГО Лэндинг'!$B$5:$B$300,$B92))</f>
        <v/>
      </c>
      <c r="F92" s="246" t="str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 t="str">
        <f>IF(F92="","",H92/F92)</f>
        <v/>
      </c>
      <c r="H92" s="247" t="str">
        <f>IF(F92="","",SUMIFS('ИТОГО Торговля'!$H$5:$H$300,'ИТОГО Торговля'!$B$5:$B$300,$B92)+SUMIFS('ИТОГО Лэндинг'!$H$5:$H$300,'ИТОГО Лэндинг'!$B$5:$B$300,$B92))</f>
        <v/>
      </c>
      <c r="I92" s="246" t="str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 t="str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 t="str">
        <f>IF(C93="","",E93/C93)</f>
        <v/>
      </c>
      <c r="E93" s="241" t="str">
        <f>IF(C93="","",SUMIFS('ИТОГО Торговля'!$E$5:$E$300,'ИТОГО Торговля'!$B$5:$B$300,$B93)+SUMIFS('ИТОГО Лэндинг'!$E$5:$E$300,'ИТОГО Лэндинг'!$B$5:$B$300,$B93))</f>
        <v/>
      </c>
      <c r="F93" s="240" t="str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 t="str">
        <f>IF(F93="","",H93/F93)</f>
        <v/>
      </c>
      <c r="H93" s="241" t="str">
        <f>IF(F93="","",SUMIFS('ИТОГО Торговля'!$H$5:$H$300,'ИТОГО Торговля'!$B$5:$B$300,$B93)+SUMIFS('ИТОГО Лэндинг'!$H$5:$H$300,'ИТОГО Лэндинг'!$B$5:$B$300,$B93))</f>
        <v/>
      </c>
      <c r="I93" s="240" t="str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 t="str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 t="str">
        <f>IF(C94="","",E94/C94)</f>
        <v/>
      </c>
      <c r="E94" s="247" t="str">
        <f>IF(C94="","",SUMIFS('ИТОГО Торговля'!$E$5:$E$300,'ИТОГО Торговля'!$B$5:$B$300,$B94)+SUMIFS('ИТОГО Лэндинг'!$E$5:$E$300,'ИТОГО Лэндинг'!$B$5:$B$300,$B94))</f>
        <v/>
      </c>
      <c r="F94" s="246" t="str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 t="str">
        <f>IF(F94="","",H94/F94)</f>
        <v/>
      </c>
      <c r="H94" s="247" t="str">
        <f>IF(F94="","",SUMIFS('ИТОГО Торговля'!$H$5:$H$300,'ИТОГО Торговля'!$B$5:$B$300,$B94)+SUMIFS('ИТОГО Лэндинг'!$H$5:$H$300,'ИТОГО Лэндинг'!$B$5:$B$300,$B94))</f>
        <v/>
      </c>
      <c r="I94" s="246" t="str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 t="str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 t="str">
        <f>IF(C95="","",E95/C95)</f>
        <v/>
      </c>
      <c r="E95" s="241" t="str">
        <f>IF(C95="","",SUMIFS('ИТОГО Торговля'!$E$5:$E$300,'ИТОГО Торговля'!$B$5:$B$300,$B95)+SUMIFS('ИТОГО Лэндинг'!$E$5:$E$300,'ИТОГО Лэндинг'!$B$5:$B$300,$B95))</f>
        <v/>
      </c>
      <c r="F95" s="240" t="str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 t="str">
        <f>IF(F95="","",H95/F95)</f>
        <v/>
      </c>
      <c r="H95" s="241" t="str">
        <f>IF(F95="","",SUMIFS('ИТОГО Торговля'!$H$5:$H$300,'ИТОГО Торговля'!$B$5:$B$300,$B95)+SUMIFS('ИТОГО Лэндинг'!$H$5:$H$300,'ИТОГО Лэндинг'!$B$5:$B$300,$B95))</f>
        <v/>
      </c>
      <c r="I95" s="240" t="str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 t="str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 t="str">
        <f>IF(C96="","",E96/C96)</f>
        <v/>
      </c>
      <c r="E96" s="247" t="str">
        <f>IF(C96="","",SUMIFS('ИТОГО Торговля'!$E$5:$E$300,'ИТОГО Торговля'!$B$5:$B$300,$B96)+SUMIFS('ИТОГО Лэндинг'!$E$5:$E$300,'ИТОГО Лэндинг'!$B$5:$B$300,$B96))</f>
        <v/>
      </c>
      <c r="F96" s="246" t="str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 t="str">
        <f>IF(F96="","",H96/F96)</f>
        <v/>
      </c>
      <c r="H96" s="247" t="str">
        <f>IF(F96="","",SUMIFS('ИТОГО Торговля'!$H$5:$H$300,'ИТОГО Торговля'!$B$5:$B$300,$B96)+SUMIFS('ИТОГО Лэндинг'!$H$5:$H$300,'ИТОГО Лэндинг'!$B$5:$B$300,$B96))</f>
        <v/>
      </c>
      <c r="I96" s="246" t="str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 t="str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 t="str">
        <f>IF(C97="","",E97/C97)</f>
        <v/>
      </c>
      <c r="E97" s="241" t="str">
        <f>IF(C97="","",SUMIFS('ИТОГО Торговля'!$E$5:$E$300,'ИТОГО Торговля'!$B$5:$B$300,$B97)+SUMIFS('ИТОГО Лэндинг'!$E$5:$E$300,'ИТОГО Лэндинг'!$B$5:$B$300,$B97))</f>
        <v/>
      </c>
      <c r="F97" s="240" t="str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 t="str">
        <f>IF(F97="","",H97/F97)</f>
        <v/>
      </c>
      <c r="H97" s="241" t="str">
        <f>IF(F97="","",SUMIFS('ИТОГО Торговля'!$H$5:$H$300,'ИТОГО Торговля'!$B$5:$B$300,$B97)+SUMIFS('ИТОГО Лэндинг'!$H$5:$H$300,'ИТОГО Лэндинг'!$B$5:$B$300,$B97))</f>
        <v/>
      </c>
      <c r="I97" s="240" t="str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 t="str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 t="str">
        <f>IF(C98="","",E98/C98)</f>
        <v/>
      </c>
      <c r="E98" s="247" t="str">
        <f>IF(C98="","",SUMIFS('ИТОГО Торговля'!$E$5:$E$300,'ИТОГО Торговля'!$B$5:$B$300,$B98)+SUMIFS('ИТОГО Лэндинг'!$E$5:$E$300,'ИТОГО Лэндинг'!$B$5:$B$300,$B98))</f>
        <v/>
      </c>
      <c r="F98" s="246" t="str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 t="str">
        <f>IF(F98="","",H98/F98)</f>
        <v/>
      </c>
      <c r="H98" s="247" t="str">
        <f>IF(F98="","",SUMIFS('ИТОГО Торговля'!$H$5:$H$300,'ИТОГО Торговля'!$B$5:$B$300,$B98)+SUMIFS('ИТОГО Лэндинг'!$H$5:$H$300,'ИТОГО Лэндинг'!$B$5:$B$300,$B98))</f>
        <v/>
      </c>
      <c r="I98" s="246" t="str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 t="str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 t="str">
        <f>IF(C99="","",E99/C99)</f>
        <v/>
      </c>
      <c r="E99" s="241" t="str">
        <f>IF(C99="","",SUMIFS('ИТОГО Торговля'!$E$5:$E$300,'ИТОГО Торговля'!$B$5:$B$300,$B99)+SUMIFS('ИТОГО Лэндинг'!$E$5:$E$300,'ИТОГО Лэндинг'!$B$5:$B$300,$B99))</f>
        <v/>
      </c>
      <c r="F99" s="240" t="str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 t="str">
        <f>IF(F99="","",H99/F99)</f>
        <v/>
      </c>
      <c r="H99" s="241" t="str">
        <f>IF(F99="","",SUMIFS('ИТОГО Торговля'!$H$5:$H$300,'ИТОГО Торговля'!$B$5:$B$300,$B99)+SUMIFS('ИТОГО Лэндинг'!$H$5:$H$300,'ИТОГО Лэндинг'!$B$5:$B$300,$B99))</f>
        <v/>
      </c>
      <c r="I99" s="240" t="str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 t="str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 t="str">
        <f>IF(C100="","",E100/C100)</f>
        <v/>
      </c>
      <c r="E100" s="247" t="str">
        <f>IF(C100="","",SUMIFS('ИТОГО Торговля'!$E$5:$E$300,'ИТОГО Торговля'!$B$5:$B$300,$B100)+SUMIFS('ИТОГО Лэндинг'!$E$5:$E$300,'ИТОГО Лэндинг'!$B$5:$B$300,$B100))</f>
        <v/>
      </c>
      <c r="F100" s="246" t="str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 t="str">
        <f>IF(F100="","",H100/F100)</f>
        <v/>
      </c>
      <c r="H100" s="247" t="str">
        <f>IF(F100="","",SUMIFS('ИТОГО Торговля'!$H$5:$H$300,'ИТОГО Торговля'!$B$5:$B$300,$B100)+SUMIFS('ИТОГО Лэндинг'!$H$5:$H$300,'ИТОГО Лэндинг'!$B$5:$B$300,$B100))</f>
        <v/>
      </c>
      <c r="I100" s="246" t="str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 t="str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 t="str">
        <f>IF(C101="","",E101/C101)</f>
        <v/>
      </c>
      <c r="E101" s="241" t="str">
        <f>IF(C101="","",SUMIFS('ИТОГО Торговля'!$E$5:$E$300,'ИТОГО Торговля'!$B$5:$B$300,$B101)+SUMIFS('ИТОГО Лэндинг'!$E$5:$E$300,'ИТОГО Лэндинг'!$B$5:$B$300,$B101))</f>
        <v/>
      </c>
      <c r="F101" s="240" t="str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 t="str">
        <f>IF(F101="","",H101/F101)</f>
        <v/>
      </c>
      <c r="H101" s="241" t="str">
        <f>IF(F101="","",SUMIFS('ИТОГО Торговля'!$H$5:$H$300,'ИТОГО Торговля'!$B$5:$B$300,$B101)+SUMIFS('ИТОГО Лэндинг'!$H$5:$H$300,'ИТОГО Лэндинг'!$B$5:$B$300,$B101))</f>
        <v/>
      </c>
      <c r="I101" s="240" t="str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 t="str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 t="str">
        <f>IF(C102="","",E102/C102)</f>
        <v/>
      </c>
      <c r="E102" s="247" t="str">
        <f>IF(C102="","",SUMIFS('ИТОГО Торговля'!$E$5:$E$300,'ИТОГО Торговля'!$B$5:$B$300,$B102)+SUMIFS('ИТОГО Лэндинг'!$E$5:$E$300,'ИТОГО Лэндинг'!$B$5:$B$300,$B102))</f>
        <v/>
      </c>
      <c r="F102" s="246" t="str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 t="str">
        <f>IF(F102="","",H102/F102)</f>
        <v/>
      </c>
      <c r="H102" s="247" t="str">
        <f>IF(F102="","",SUMIFS('ИТОГО Торговля'!$H$5:$H$300,'ИТОГО Торговля'!$B$5:$B$300,$B102)+SUMIFS('ИТОГО Лэндинг'!$H$5:$H$300,'ИТОГО Лэндинг'!$B$5:$B$300,$B102))</f>
        <v/>
      </c>
      <c r="I102" s="246" t="str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 t="str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 t="str">
        <f>IF(C103="","",E103/C103)</f>
        <v/>
      </c>
      <c r="E103" s="241" t="str">
        <f>IF(C103="","",SUMIFS('ИТОГО Торговля'!$E$5:$E$300,'ИТОГО Торговля'!$B$5:$B$300,$B103)+SUMIFS('ИТОГО Лэндинг'!$E$5:$E$300,'ИТОГО Лэндинг'!$B$5:$B$300,$B103))</f>
        <v/>
      </c>
      <c r="F103" s="240" t="str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 t="str">
        <f>IF(F103="","",H103/F103)</f>
        <v/>
      </c>
      <c r="H103" s="241" t="str">
        <f>IF(F103="","",SUMIFS('ИТОГО Торговля'!$H$5:$H$300,'ИТОГО Торговля'!$B$5:$B$300,$B103)+SUMIFS('ИТОГО Лэндинг'!$H$5:$H$300,'ИТОГО Лэндинг'!$B$5:$B$300,$B103))</f>
        <v/>
      </c>
      <c r="I103" s="240" t="str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 t="str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 t="str">
        <f>IF(C104="","",E104/C104)</f>
        <v/>
      </c>
      <c r="E104" s="247" t="str">
        <f>IF(C104="","",SUMIFS('ИТОГО Торговля'!$E$5:$E$300,'ИТОГО Торговля'!$B$5:$B$300,$B104)+SUMIFS('ИТОГО Лэндинг'!$E$5:$E$300,'ИТОГО Лэндинг'!$B$5:$B$300,$B104))</f>
        <v/>
      </c>
      <c r="F104" s="246" t="str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 t="str">
        <f>IF(F104="","",H104/F104)</f>
        <v/>
      </c>
      <c r="H104" s="247" t="str">
        <f>IF(F104="","",SUMIFS('ИТОГО Торговля'!$H$5:$H$300,'ИТОГО Торговля'!$B$5:$B$300,$B104)+SUMIFS('ИТОГО Лэндинг'!$H$5:$H$300,'ИТОГО Лэндинг'!$B$5:$B$300,$B104))</f>
        <v/>
      </c>
      <c r="I104" s="246" t="str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 t="str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 t="str">
        <f>IF(C105="","",E105/C105)</f>
        <v/>
      </c>
      <c r="E105" s="241" t="str">
        <f>IF(C105="","",SUMIFS('ИТОГО Торговля'!$E$5:$E$300,'ИТОГО Торговля'!$B$5:$B$300,$B105)+SUMIFS('ИТОГО Лэндинг'!$E$5:$E$300,'ИТОГО Лэндинг'!$B$5:$B$300,$B105))</f>
        <v/>
      </c>
      <c r="F105" s="240" t="str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 t="str">
        <f>IF(F105="","",H105/F105)</f>
        <v/>
      </c>
      <c r="H105" s="241" t="str">
        <f>IF(F105="","",SUMIFS('ИТОГО Торговля'!$H$5:$H$300,'ИТОГО Торговля'!$B$5:$B$300,$B105)+SUMIFS('ИТОГО Лэндинг'!$H$5:$H$300,'ИТОГО Лэндинг'!$B$5:$B$300,$B105))</f>
        <v/>
      </c>
      <c r="I105" s="240" t="str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 t="str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 t="str">
        <f>IF(C106="","",E106/C106)</f>
        <v/>
      </c>
      <c r="E106" s="247" t="str">
        <f>IF(C106="","",SUMIFS('ИТОГО Торговля'!$E$5:$E$300,'ИТОГО Торговля'!$B$5:$B$300,$B106)+SUMIFS('ИТОГО Лэндинг'!$E$5:$E$300,'ИТОГО Лэндинг'!$B$5:$B$300,$B106))</f>
        <v/>
      </c>
      <c r="F106" s="246" t="str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 t="str">
        <f>IF(F106="","",H106/F106)</f>
        <v/>
      </c>
      <c r="H106" s="247" t="str">
        <f>IF(F106="","",SUMIFS('ИТОГО Торговля'!$H$5:$H$300,'ИТОГО Торговля'!$B$5:$B$300,$B106)+SUMIFS('ИТОГО Лэндинг'!$H$5:$H$300,'ИТОГО Лэндинг'!$B$5:$B$300,$B106))</f>
        <v/>
      </c>
      <c r="I106" s="246" t="str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 t="str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 t="str">
        <f>IF(C107="","",E107/C107)</f>
        <v/>
      </c>
      <c r="E107" s="241" t="str">
        <f>IF(C107="","",SUMIFS('ИТОГО Торговля'!$E$5:$E$300,'ИТОГО Торговля'!$B$5:$B$300,$B107)+SUMIFS('ИТОГО Лэндинг'!$E$5:$E$300,'ИТОГО Лэндинг'!$B$5:$B$300,$B107))</f>
        <v/>
      </c>
      <c r="F107" s="240" t="str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 t="str">
        <f>IF(F107="","",H107/F107)</f>
        <v/>
      </c>
      <c r="H107" s="241" t="str">
        <f>IF(F107="","",SUMIFS('ИТОГО Торговля'!$H$5:$H$300,'ИТОГО Торговля'!$B$5:$B$300,$B107)+SUMIFS('ИТОГО Лэндинг'!$H$5:$H$300,'ИТОГО Лэндинг'!$B$5:$B$300,$B107))</f>
        <v/>
      </c>
      <c r="I107" s="240" t="str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 t="str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 t="str">
        <f>IF(C108="","",E108/C108)</f>
        <v/>
      </c>
      <c r="E108" s="247" t="str">
        <f>IF(C108="","",SUMIFS('ИТОГО Торговля'!$E$5:$E$300,'ИТОГО Торговля'!$B$5:$B$300,$B108)+SUMIFS('ИТОГО Лэндинг'!$E$5:$E$300,'ИТОГО Лэндинг'!$B$5:$B$300,$B108))</f>
        <v/>
      </c>
      <c r="F108" s="246" t="str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 t="str">
        <f>IF(F108="","",H108/F108)</f>
        <v/>
      </c>
      <c r="H108" s="247" t="str">
        <f>IF(F108="","",SUMIFS('ИТОГО Торговля'!$H$5:$H$300,'ИТОГО Торговля'!$B$5:$B$300,$B108)+SUMIFS('ИТОГО Лэндинг'!$H$5:$H$300,'ИТОГО Лэндинг'!$B$5:$B$300,$B108))</f>
        <v/>
      </c>
      <c r="I108" s="246" t="str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 t="str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 t="str">
        <f>IF(C109="","",E109/C109)</f>
        <v/>
      </c>
      <c r="E109" s="241" t="str">
        <f>IF(C109="","",SUMIFS('ИТОГО Торговля'!$E$5:$E$300,'ИТОГО Торговля'!$B$5:$B$300,$B109)+SUMIFS('ИТОГО Лэндинг'!$E$5:$E$300,'ИТОГО Лэндинг'!$B$5:$B$300,$B109))</f>
        <v/>
      </c>
      <c r="F109" s="240" t="str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 t="str">
        <f>IF(F109="","",H109/F109)</f>
        <v/>
      </c>
      <c r="H109" s="241" t="str">
        <f>IF(F109="","",SUMIFS('ИТОГО Торговля'!$H$5:$H$300,'ИТОГО Торговля'!$B$5:$B$300,$B109)+SUMIFS('ИТОГО Лэндинг'!$H$5:$H$300,'ИТОГО Лэндинг'!$B$5:$B$300,$B109))</f>
        <v/>
      </c>
      <c r="I109" s="240" t="str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 t="str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 t="str">
        <f>IF(C110="","",E110/C110)</f>
        <v/>
      </c>
      <c r="E110" s="247" t="str">
        <f>IF(C110="","",SUMIFS('ИТОГО Торговля'!$E$5:$E$300,'ИТОГО Торговля'!$B$5:$B$300,$B110)+SUMIFS('ИТОГО Лэндинг'!$E$5:$E$300,'ИТОГО Лэндинг'!$B$5:$B$300,$B110))</f>
        <v/>
      </c>
      <c r="F110" s="246" t="str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 t="str">
        <f>IF(F110="","",H110/F110)</f>
        <v/>
      </c>
      <c r="H110" s="247" t="str">
        <f>IF(F110="","",SUMIFS('ИТОГО Торговля'!$H$5:$H$300,'ИТОГО Торговля'!$B$5:$B$300,$B110)+SUMIFS('ИТОГО Лэндинг'!$H$5:$H$300,'ИТОГО Лэндинг'!$B$5:$B$300,$B110))</f>
        <v/>
      </c>
      <c r="I110" s="246" t="str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 t="str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 t="str">
        <f>IF(C111="","",E111/C111)</f>
        <v/>
      </c>
      <c r="E111" s="241" t="str">
        <f>IF(C111="","",SUMIFS('ИТОГО Торговля'!$E$5:$E$300,'ИТОГО Торговля'!$B$5:$B$300,$B111)+SUMIFS('ИТОГО Лэндинг'!$E$5:$E$300,'ИТОГО Лэндинг'!$B$5:$B$300,$B111))</f>
        <v/>
      </c>
      <c r="F111" s="240" t="str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 t="str">
        <f>IF(F111="","",H111/F111)</f>
        <v/>
      </c>
      <c r="H111" s="241" t="str">
        <f>IF(F111="","",SUMIFS('ИТОГО Торговля'!$H$5:$H$300,'ИТОГО Торговля'!$B$5:$B$300,$B111)+SUMIFS('ИТОГО Лэндинг'!$H$5:$H$300,'ИТОГО Лэндинг'!$B$5:$B$300,$B111))</f>
        <v/>
      </c>
      <c r="I111" s="240" t="str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 t="str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 t="str">
        <f>IF(C112="","",E112/C112)</f>
        <v/>
      </c>
      <c r="E112" s="247" t="str">
        <f>IF(C112="","",SUMIFS('ИТОГО Торговля'!$E$5:$E$300,'ИТОГО Торговля'!$B$5:$B$300,$B112)+SUMIFS('ИТОГО Лэндинг'!$E$5:$E$300,'ИТОГО Лэндинг'!$B$5:$B$300,$B112))</f>
        <v/>
      </c>
      <c r="F112" s="246" t="str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 t="str">
        <f>IF(F112="","",H112/F112)</f>
        <v/>
      </c>
      <c r="H112" s="247" t="str">
        <f>IF(F112="","",SUMIFS('ИТОГО Торговля'!$H$5:$H$300,'ИТОГО Торговля'!$B$5:$B$300,$B112)+SUMIFS('ИТОГО Лэндинг'!$H$5:$H$300,'ИТОГО Лэндинг'!$B$5:$B$300,$B112))</f>
        <v/>
      </c>
      <c r="I112" s="246" t="str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 t="str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 t="str">
        <f>IF(C113="","",E113/C113)</f>
        <v/>
      </c>
      <c r="E113" s="241" t="str">
        <f>IF(C113="","",SUMIFS('ИТОГО Торговля'!$E$5:$E$300,'ИТОГО Торговля'!$B$5:$B$300,$B113)+SUMIFS('ИТОГО Лэндинг'!$E$5:$E$300,'ИТОГО Лэндинг'!$B$5:$B$300,$B113))</f>
        <v/>
      </c>
      <c r="F113" s="240" t="str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 t="str">
        <f>IF(F113="","",H113/F113)</f>
        <v/>
      </c>
      <c r="H113" s="241" t="str">
        <f>IF(F113="","",SUMIFS('ИТОГО Торговля'!$H$5:$H$300,'ИТОГО Торговля'!$B$5:$B$300,$B113)+SUMIFS('ИТОГО Лэндинг'!$H$5:$H$300,'ИТОГО Лэндинг'!$B$5:$B$300,$B113))</f>
        <v/>
      </c>
      <c r="I113" s="240" t="str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 t="str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 t="str">
        <f>IF(C114="","",E114/C114)</f>
        <v/>
      </c>
      <c r="E114" s="247" t="str">
        <f>IF(C114="","",SUMIFS('ИТОГО Торговля'!$E$5:$E$300,'ИТОГО Торговля'!$B$5:$B$300,$B114)+SUMIFS('ИТОГО Лэндинг'!$E$5:$E$300,'ИТОГО Лэндинг'!$B$5:$B$300,$B114))</f>
        <v/>
      </c>
      <c r="F114" s="246" t="str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 t="str">
        <f>IF(F114="","",H114/F114)</f>
        <v/>
      </c>
      <c r="H114" s="247" t="str">
        <f>IF(F114="","",SUMIFS('ИТОГО Торговля'!$H$5:$H$300,'ИТОГО Торговля'!$B$5:$B$300,$B114)+SUMIFS('ИТОГО Лэндинг'!$H$5:$H$300,'ИТОГО Лэндинг'!$B$5:$B$300,$B114))</f>
        <v/>
      </c>
      <c r="I114" s="246" t="str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 t="str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 t="str">
        <f>IF(C115="","",E115/C115)</f>
        <v/>
      </c>
      <c r="E115" s="241" t="str">
        <f>IF(C115="","",SUMIFS('ИТОГО Торговля'!$E$5:$E$300,'ИТОГО Торговля'!$B$5:$B$300,$B115)+SUMIFS('ИТОГО Лэндинг'!$E$5:$E$300,'ИТОГО Лэндинг'!$B$5:$B$300,$B115))</f>
        <v/>
      </c>
      <c r="F115" s="240" t="str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 t="str">
        <f>IF(F115="","",H115/F115)</f>
        <v/>
      </c>
      <c r="H115" s="241" t="str">
        <f>IF(F115="","",SUMIFS('ИТОГО Торговля'!$H$5:$H$300,'ИТОГО Торговля'!$B$5:$B$300,$B115)+SUMIFS('ИТОГО Лэндинг'!$H$5:$H$300,'ИТОГО Лэндинг'!$B$5:$B$300,$B115))</f>
        <v/>
      </c>
      <c r="I115" s="240" t="str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 t="str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 t="str">
        <f>IF(C116="","",E116/C116)</f>
        <v/>
      </c>
      <c r="E116" s="247" t="str">
        <f>IF(C116="","",SUMIFS('ИТОГО Торговля'!$E$5:$E$300,'ИТОГО Торговля'!$B$5:$B$300,$B116)+SUMIFS('ИТОГО Лэндинг'!$E$5:$E$300,'ИТОГО Лэндинг'!$B$5:$B$300,$B116))</f>
        <v/>
      </c>
      <c r="F116" s="246" t="str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 t="str">
        <f>IF(F116="","",H116/F116)</f>
        <v/>
      </c>
      <c r="H116" s="247" t="str">
        <f>IF(F116="","",SUMIFS('ИТОГО Торговля'!$H$5:$H$300,'ИТОГО Торговля'!$B$5:$B$300,$B116)+SUMIFS('ИТОГО Лэндинг'!$H$5:$H$300,'ИТОГО Лэндинг'!$B$5:$B$300,$B116))</f>
        <v/>
      </c>
      <c r="I116" s="246" t="str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 t="str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 t="str">
        <f>IF(C117="","",E117/C117)</f>
        <v/>
      </c>
      <c r="E117" s="241" t="str">
        <f>IF(C117="","",SUMIFS('ИТОГО Торговля'!$E$5:$E$300,'ИТОГО Торговля'!$B$5:$B$300,$B117)+SUMIFS('ИТОГО Лэндинг'!$E$5:$E$300,'ИТОГО Лэндинг'!$B$5:$B$300,$B117))</f>
        <v/>
      </c>
      <c r="F117" s="240" t="str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 t="str">
        <f>IF(F117="","",H117/F117)</f>
        <v/>
      </c>
      <c r="H117" s="241" t="str">
        <f>IF(F117="","",SUMIFS('ИТОГО Торговля'!$H$5:$H$300,'ИТОГО Торговля'!$B$5:$B$300,$B117)+SUMIFS('ИТОГО Лэндинг'!$H$5:$H$300,'ИТОГО Лэндинг'!$B$5:$B$300,$B117))</f>
        <v/>
      </c>
      <c r="I117" s="240" t="str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 t="str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 t="str">
        <f>IF(C118="","",E118/C118)</f>
        <v/>
      </c>
      <c r="E118" s="247" t="str">
        <f>IF(C118="","",SUMIFS('ИТОГО Торговля'!$E$5:$E$300,'ИТОГО Торговля'!$B$5:$B$300,$B118)+SUMIFS('ИТОГО Лэндинг'!$E$5:$E$300,'ИТОГО Лэндинг'!$B$5:$B$300,$B118))</f>
        <v/>
      </c>
      <c r="F118" s="246" t="str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 t="str">
        <f>IF(F118="","",H118/F118)</f>
        <v/>
      </c>
      <c r="H118" s="247" t="str">
        <f>IF(F118="","",SUMIFS('ИТОГО Торговля'!$H$5:$H$300,'ИТОГО Торговля'!$B$5:$B$300,$B118)+SUMIFS('ИТОГО Лэндинг'!$H$5:$H$300,'ИТОГО Лэндинг'!$B$5:$B$300,$B118))</f>
        <v/>
      </c>
      <c r="I118" s="246" t="str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 t="str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 t="str">
        <f>IF(C119="","",E119/C119)</f>
        <v/>
      </c>
      <c r="E119" s="241" t="str">
        <f>IF(C119="","",SUMIFS('ИТОГО Торговля'!$E$5:$E$300,'ИТОГО Торговля'!$B$5:$B$300,$B119)+SUMIFS('ИТОГО Лэндинг'!$E$5:$E$300,'ИТОГО Лэндинг'!$B$5:$B$300,$B119))</f>
        <v/>
      </c>
      <c r="F119" s="240" t="str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 t="str">
        <f>IF(F119="","",H119/F119)</f>
        <v/>
      </c>
      <c r="H119" s="241" t="str">
        <f>IF(F119="","",SUMIFS('ИТОГО Торговля'!$H$5:$H$300,'ИТОГО Торговля'!$B$5:$B$300,$B119)+SUMIFS('ИТОГО Лэндинг'!$H$5:$H$300,'ИТОГО Лэндинг'!$B$5:$B$300,$B119))</f>
        <v/>
      </c>
      <c r="I119" s="240" t="str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 t="str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 t="str">
        <f>IF(C120="","",E120/C120)</f>
        <v/>
      </c>
      <c r="E120" s="247" t="str">
        <f>IF(C120="","",SUMIFS('ИТОГО Торговля'!$E$5:$E$300,'ИТОГО Торговля'!$B$5:$B$300,$B120)+SUMIFS('ИТОГО Лэндинг'!$E$5:$E$300,'ИТОГО Лэндинг'!$B$5:$B$300,$B120))</f>
        <v/>
      </c>
      <c r="F120" s="246" t="str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 t="str">
        <f>IF(F120="","",H120/F120)</f>
        <v/>
      </c>
      <c r="H120" s="247" t="str">
        <f>IF(F120="","",SUMIFS('ИТОГО Торговля'!$H$5:$H$300,'ИТОГО Торговля'!$B$5:$B$300,$B120)+SUMIFS('ИТОГО Лэндинг'!$H$5:$H$300,'ИТОГО Лэндинг'!$B$5:$B$300,$B120))</f>
        <v/>
      </c>
      <c r="I120" s="246" t="str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 t="str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 t="str">
        <f>IF(C121="","",E121/C121)</f>
        <v/>
      </c>
      <c r="E121" s="241" t="str">
        <f>IF(C121="","",SUMIFS('ИТОГО Торговля'!$E$5:$E$300,'ИТОГО Торговля'!$B$5:$B$300,$B121)+SUMIFS('ИТОГО Лэндинг'!$E$5:$E$300,'ИТОГО Лэндинг'!$B$5:$B$300,$B121))</f>
        <v/>
      </c>
      <c r="F121" s="240" t="str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 t="str">
        <f>IF(F121="","",H121/F121)</f>
        <v/>
      </c>
      <c r="H121" s="241" t="str">
        <f>IF(F121="","",SUMIFS('ИТОГО Торговля'!$H$5:$H$300,'ИТОГО Торговля'!$B$5:$B$300,$B121)+SUMIFS('ИТОГО Лэндинг'!$H$5:$H$300,'ИТОГО Лэндинг'!$B$5:$B$300,$B121))</f>
        <v/>
      </c>
      <c r="I121" s="240" t="str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 t="str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 t="str">
        <f>IF(C122="","",E122/C122)</f>
        <v/>
      </c>
      <c r="E122" s="247" t="str">
        <f>IF(C122="","",SUMIFS('ИТОГО Торговля'!$E$5:$E$300,'ИТОГО Торговля'!$B$5:$B$300,$B122)+SUMIFS('ИТОГО Лэндинг'!$E$5:$E$300,'ИТОГО Лэндинг'!$B$5:$B$300,$B122))</f>
        <v/>
      </c>
      <c r="F122" s="246" t="str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 t="str">
        <f>IF(F122="","",H122/F122)</f>
        <v/>
      </c>
      <c r="H122" s="247" t="str">
        <f>IF(F122="","",SUMIFS('ИТОГО Торговля'!$H$5:$H$300,'ИТОГО Торговля'!$B$5:$B$300,$B122)+SUMIFS('ИТОГО Лэндинг'!$H$5:$H$300,'ИТОГО Лэндинг'!$B$5:$B$300,$B122))</f>
        <v/>
      </c>
      <c r="I122" s="246" t="str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 t="str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 t="str">
        <f>IF(C123="","",E123/C123)</f>
        <v/>
      </c>
      <c r="E123" s="241" t="str">
        <f>IF(C123="","",SUMIFS('ИТОГО Торговля'!$E$5:$E$300,'ИТОГО Торговля'!$B$5:$B$300,$B123)+SUMIFS('ИТОГО Лэндинг'!$E$5:$E$300,'ИТОГО Лэндинг'!$B$5:$B$300,$B123))</f>
        <v/>
      </c>
      <c r="F123" s="240" t="str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 t="str">
        <f>IF(F123="","",H123/F123)</f>
        <v/>
      </c>
      <c r="H123" s="241" t="str">
        <f>IF(F123="","",SUMIFS('ИТОГО Торговля'!$H$5:$H$300,'ИТОГО Торговля'!$B$5:$B$300,$B123)+SUMIFS('ИТОГО Лэндинг'!$H$5:$H$300,'ИТОГО Лэндинг'!$B$5:$B$300,$B123))</f>
        <v/>
      </c>
      <c r="I123" s="240" t="str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 t="str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 t="str">
        <f>IF(C124="","",E124/C124)</f>
        <v/>
      </c>
      <c r="E124" s="247" t="str">
        <f>IF(C124="","",SUMIFS('ИТОГО Торговля'!$E$5:$E$300,'ИТОГО Торговля'!$B$5:$B$300,$B124)+SUMIFS('ИТОГО Лэндинг'!$E$5:$E$300,'ИТОГО Лэндинг'!$B$5:$B$300,$B124))</f>
        <v/>
      </c>
      <c r="F124" s="246" t="str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 t="str">
        <f>IF(F124="","",H124/F124)</f>
        <v/>
      </c>
      <c r="H124" s="247" t="str">
        <f>IF(F124="","",SUMIFS('ИТОГО Торговля'!$H$5:$H$300,'ИТОГО Торговля'!$B$5:$B$300,$B124)+SUMIFS('ИТОГО Лэндинг'!$H$5:$H$300,'ИТОГО Лэндинг'!$B$5:$B$300,$B124))</f>
        <v/>
      </c>
      <c r="I124" s="246" t="str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 t="str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 t="str">
        <f>IF(C125="","",E125/C125)</f>
        <v/>
      </c>
      <c r="E125" s="241" t="str">
        <f>IF(C125="","",SUMIFS('ИТОГО Торговля'!$E$5:$E$300,'ИТОГО Торговля'!$B$5:$B$300,$B125)+SUMIFS('ИТОГО Лэндинг'!$E$5:$E$300,'ИТОГО Лэндинг'!$B$5:$B$300,$B125))</f>
        <v/>
      </c>
      <c r="F125" s="240" t="str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 t="str">
        <f>IF(F125="","",H125/F125)</f>
        <v/>
      </c>
      <c r="H125" s="241" t="str">
        <f>IF(F125="","",SUMIFS('ИТОГО Торговля'!$H$5:$H$300,'ИТОГО Торговля'!$B$5:$B$300,$B125)+SUMIFS('ИТОГО Лэндинг'!$H$5:$H$300,'ИТОГО Лэндинг'!$B$5:$B$300,$B125))</f>
        <v/>
      </c>
      <c r="I125" s="240" t="str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 t="str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 t="str">
        <f>IF(C126="","",E126/C126)</f>
        <v/>
      </c>
      <c r="E126" s="247" t="str">
        <f>IF(C126="","",SUMIFS('ИТОГО Торговля'!$E$5:$E$300,'ИТОГО Торговля'!$B$5:$B$300,$B126)+SUMIFS('ИТОГО Лэндинг'!$E$5:$E$300,'ИТОГО Лэндинг'!$B$5:$B$300,$B126))</f>
        <v/>
      </c>
      <c r="F126" s="246" t="str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 t="str">
        <f>IF(F126="","",H126/F126)</f>
        <v/>
      </c>
      <c r="H126" s="247" t="str">
        <f>IF(F126="","",SUMIFS('ИТОГО Торговля'!$H$5:$H$300,'ИТОГО Торговля'!$B$5:$B$300,$B126)+SUMIFS('ИТОГО Лэндинг'!$H$5:$H$300,'ИТОГО Лэндинг'!$B$5:$B$300,$B126))</f>
        <v/>
      </c>
      <c r="I126" s="246" t="str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 t="str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 t="str">
        <f>IF(C127="","",E127/C127)</f>
        <v/>
      </c>
      <c r="E127" s="241" t="str">
        <f>IF(C127="","",SUMIFS('ИТОГО Торговля'!$E$5:$E$300,'ИТОГО Торговля'!$B$5:$B$300,$B127)+SUMIFS('ИТОГО Лэндинг'!$E$5:$E$300,'ИТОГО Лэндинг'!$B$5:$B$300,$B127))</f>
        <v/>
      </c>
      <c r="F127" s="240" t="str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 t="str">
        <f>IF(F127="","",H127/F127)</f>
        <v/>
      </c>
      <c r="H127" s="241" t="str">
        <f>IF(F127="","",SUMIFS('ИТОГО Торговля'!$H$5:$H$300,'ИТОГО Торговля'!$B$5:$B$300,$B127)+SUMIFS('ИТОГО Лэндинг'!$H$5:$H$300,'ИТОГО Лэндинг'!$B$5:$B$300,$B127))</f>
        <v/>
      </c>
      <c r="I127" s="240" t="str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 t="str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 t="str">
        <f>IF(C128="","",E128/C128)</f>
        <v/>
      </c>
      <c r="E128" s="247" t="str">
        <f>IF(C128="","",SUMIFS('ИТОГО Торговля'!$E$5:$E$300,'ИТОГО Торговля'!$B$5:$B$300,$B128)+SUMIFS('ИТОГО Лэндинг'!$E$5:$E$300,'ИТОГО Лэндинг'!$B$5:$B$300,$B128))</f>
        <v/>
      </c>
      <c r="F128" s="246" t="str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 t="str">
        <f>IF(F128="","",H128/F128)</f>
        <v/>
      </c>
      <c r="H128" s="247" t="str">
        <f>IF(F128="","",SUMIFS('ИТОГО Торговля'!$H$5:$H$300,'ИТОГО Торговля'!$B$5:$B$300,$B128)+SUMIFS('ИТОГО Лэндинг'!$H$5:$H$300,'ИТОГО Лэндинг'!$B$5:$B$300,$B128))</f>
        <v/>
      </c>
      <c r="I128" s="246" t="str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 t="str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 t="str">
        <f>IF(C129="","",E129/C129)</f>
        <v/>
      </c>
      <c r="E129" s="241" t="str">
        <f>IF(C129="","",SUMIFS('ИТОГО Торговля'!$E$5:$E$300,'ИТОГО Торговля'!$B$5:$B$300,$B129)+SUMIFS('ИТОГО Лэндинг'!$E$5:$E$300,'ИТОГО Лэндинг'!$B$5:$B$300,$B129))</f>
        <v/>
      </c>
      <c r="F129" s="240" t="str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 t="str">
        <f>IF(F129="","",H129/F129)</f>
        <v/>
      </c>
      <c r="H129" s="241" t="str">
        <f>IF(F129="","",SUMIFS('ИТОГО Торговля'!$H$5:$H$300,'ИТОГО Торговля'!$B$5:$B$300,$B129)+SUMIFS('ИТОГО Лэндинг'!$H$5:$H$300,'ИТОГО Лэндинг'!$B$5:$B$300,$B129))</f>
        <v/>
      </c>
      <c r="I129" s="240" t="str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 t="str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 t="str">
        <f>IF(C130="","",E130/C130)</f>
        <v/>
      </c>
      <c r="E130" s="247" t="str">
        <f>IF(C130="","",SUMIFS('ИТОГО Торговля'!$E$5:$E$300,'ИТОГО Торговля'!$B$5:$B$300,$B130)+SUMIFS('ИТОГО Лэндинг'!$E$5:$E$300,'ИТОГО Лэндинг'!$B$5:$B$300,$B130))</f>
        <v/>
      </c>
      <c r="F130" s="246" t="str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 t="str">
        <f>IF(F130="","",H130/F130)</f>
        <v/>
      </c>
      <c r="H130" s="247" t="str">
        <f>IF(F130="","",SUMIFS('ИТОГО Торговля'!$H$5:$H$300,'ИТОГО Торговля'!$B$5:$B$300,$B130)+SUMIFS('ИТОГО Лэндинг'!$H$5:$H$300,'ИТОГО Лэндинг'!$B$5:$B$300,$B130))</f>
        <v/>
      </c>
      <c r="I130" s="246" t="str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 t="str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 t="str">
        <f>IF(C131="","",E131/C131)</f>
        <v/>
      </c>
      <c r="E131" s="241" t="str">
        <f>IF(C131="","",SUMIFS('ИТОГО Торговля'!$E$5:$E$300,'ИТОГО Торговля'!$B$5:$B$300,$B131)+SUMIFS('ИТОГО Лэндинг'!$E$5:$E$300,'ИТОГО Лэндинг'!$B$5:$B$300,$B131))</f>
        <v/>
      </c>
      <c r="F131" s="240" t="str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 t="str">
        <f>IF(F131="","",H131/F131)</f>
        <v/>
      </c>
      <c r="H131" s="241" t="str">
        <f>IF(F131="","",SUMIFS('ИТОГО Торговля'!$H$5:$H$300,'ИТОГО Торговля'!$B$5:$B$300,$B131)+SUMIFS('ИТОГО Лэндинг'!$H$5:$H$300,'ИТОГО Лэндинг'!$B$5:$B$300,$B131))</f>
        <v/>
      </c>
      <c r="I131" s="240" t="str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 t="str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 t="str">
        <f>IF(C132="","",E132/C132)</f>
        <v/>
      </c>
      <c r="E132" s="247" t="str">
        <f>IF(C132="","",SUMIFS('ИТОГО Торговля'!$E$5:$E$300,'ИТОГО Торговля'!$B$5:$B$300,$B132)+SUMIFS('ИТОГО Лэндинг'!$E$5:$E$300,'ИТОГО Лэндинг'!$B$5:$B$300,$B132))</f>
        <v/>
      </c>
      <c r="F132" s="246" t="str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 t="str">
        <f>IF(F132="","",H132/F132)</f>
        <v/>
      </c>
      <c r="H132" s="247" t="str">
        <f>IF(F132="","",SUMIFS('ИТОГО Торговля'!$H$5:$H$300,'ИТОГО Торговля'!$B$5:$B$300,$B132)+SUMIFS('ИТОГО Лэндинг'!$H$5:$H$300,'ИТОГО Лэндинг'!$B$5:$B$300,$B132))</f>
        <v/>
      </c>
      <c r="I132" s="246" t="str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 t="str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 t="str">
        <f>IF(C133="","",E133/C133)</f>
        <v/>
      </c>
      <c r="E133" s="241" t="str">
        <f>IF(C133="","",SUMIFS('ИТОГО Торговля'!$E$5:$E$300,'ИТОГО Торговля'!$B$5:$B$300,$B133)+SUMIFS('ИТОГО Лэндинг'!$E$5:$E$300,'ИТОГО Лэндинг'!$B$5:$B$300,$B133))</f>
        <v/>
      </c>
      <c r="F133" s="240" t="str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 t="str">
        <f>IF(F133="","",H133/F133)</f>
        <v/>
      </c>
      <c r="H133" s="241" t="str">
        <f>IF(F133="","",SUMIFS('ИТОГО Торговля'!$H$5:$H$300,'ИТОГО Торговля'!$B$5:$B$300,$B133)+SUMIFS('ИТОГО Лэндинг'!$H$5:$H$300,'ИТОГО Лэндинг'!$B$5:$B$300,$B133))</f>
        <v/>
      </c>
      <c r="I133" s="240" t="str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 t="str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 t="str">
        <f>IF(C134="","",E134/C134)</f>
        <v/>
      </c>
      <c r="E134" s="247" t="str">
        <f>IF(C134="","",SUMIFS('ИТОГО Торговля'!$E$5:$E$300,'ИТОГО Торговля'!$B$5:$B$300,$B134)+SUMIFS('ИТОГО Лэндинг'!$E$5:$E$300,'ИТОГО Лэндинг'!$B$5:$B$300,$B134))</f>
        <v/>
      </c>
      <c r="F134" s="246" t="str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 t="str">
        <f>IF(F134="","",H134/F134)</f>
        <v/>
      </c>
      <c r="H134" s="247" t="str">
        <f>IF(F134="","",SUMIFS('ИТОГО Торговля'!$H$5:$H$300,'ИТОГО Торговля'!$B$5:$B$300,$B134)+SUMIFS('ИТОГО Лэндинг'!$H$5:$H$300,'ИТОГО Лэндинг'!$B$5:$B$300,$B134))</f>
        <v/>
      </c>
      <c r="I134" s="246" t="str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 t="str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 t="str">
        <f>IF(C135="","",E135/C135)</f>
        <v/>
      </c>
      <c r="E135" s="241" t="str">
        <f>IF(C135="","",SUMIFS('ИТОГО Торговля'!$E$5:$E$300,'ИТОГО Торговля'!$B$5:$B$300,$B135)+SUMIFS('ИТОГО Лэндинг'!$E$5:$E$300,'ИТОГО Лэндинг'!$B$5:$B$300,$B135))</f>
        <v/>
      </c>
      <c r="F135" s="240" t="str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 t="str">
        <f>IF(F135="","",H135/F135)</f>
        <v/>
      </c>
      <c r="H135" s="241" t="str">
        <f>IF(F135="","",SUMIFS('ИТОГО Торговля'!$H$5:$H$300,'ИТОГО Торговля'!$B$5:$B$300,$B135)+SUMIFS('ИТОГО Лэндинг'!$H$5:$H$300,'ИТОГО Лэндинг'!$B$5:$B$300,$B135))</f>
        <v/>
      </c>
      <c r="I135" s="240" t="str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 t="str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 t="str">
        <f>IF(C136="","",E136/C136)</f>
        <v/>
      </c>
      <c r="E136" s="247" t="str">
        <f>IF(C136="","",SUMIFS('ИТОГО Торговля'!$E$5:$E$300,'ИТОГО Торговля'!$B$5:$B$300,$B136)+SUMIFS('ИТОГО Лэндинг'!$E$5:$E$300,'ИТОГО Лэндинг'!$B$5:$B$300,$B136))</f>
        <v/>
      </c>
      <c r="F136" s="246" t="str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 t="str">
        <f>IF(F136="","",H136/F136)</f>
        <v/>
      </c>
      <c r="H136" s="247" t="str">
        <f>IF(F136="","",SUMIFS('ИТОГО Торговля'!$H$5:$H$300,'ИТОГО Торговля'!$B$5:$B$300,$B136)+SUMIFS('ИТОГО Лэндинг'!$H$5:$H$300,'ИТОГО Лэндинг'!$B$5:$B$300,$B136))</f>
        <v/>
      </c>
      <c r="I136" s="246" t="str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 t="str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 t="str">
        <f>IF(C137="","",E137/C137)</f>
        <v/>
      </c>
      <c r="E137" s="241" t="str">
        <f>IF(C137="","",SUMIFS('ИТОГО Торговля'!$E$5:$E$300,'ИТОГО Торговля'!$B$5:$B$300,$B137)+SUMIFS('ИТОГО Лэндинг'!$E$5:$E$300,'ИТОГО Лэндинг'!$B$5:$B$300,$B137))</f>
        <v/>
      </c>
      <c r="F137" s="240" t="str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 t="str">
        <f>IF(F137="","",H137/F137)</f>
        <v/>
      </c>
      <c r="H137" s="241" t="str">
        <f>IF(F137="","",SUMIFS('ИТОГО Торговля'!$H$5:$H$300,'ИТОГО Торговля'!$B$5:$B$300,$B137)+SUMIFS('ИТОГО Лэндинг'!$H$5:$H$300,'ИТОГО Лэндинг'!$B$5:$B$300,$B137))</f>
        <v/>
      </c>
      <c r="I137" s="240" t="str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 t="str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 t="str">
        <f>IF(C138="","",E138/C138)</f>
        <v/>
      </c>
      <c r="E138" s="247" t="str">
        <f>IF(C138="","",SUMIFS('ИТОГО Торговля'!$E$5:$E$300,'ИТОГО Торговля'!$B$5:$B$300,$B138)+SUMIFS('ИТОГО Лэндинг'!$E$5:$E$300,'ИТОГО Лэндинг'!$B$5:$B$300,$B138))</f>
        <v/>
      </c>
      <c r="F138" s="246" t="str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 t="str">
        <f>IF(F138="","",H138/F138)</f>
        <v/>
      </c>
      <c r="H138" s="247" t="str">
        <f>IF(F138="","",SUMIFS('ИТОГО Торговля'!$H$5:$H$300,'ИТОГО Торговля'!$B$5:$B$300,$B138)+SUMIFS('ИТОГО Лэндинг'!$H$5:$H$300,'ИТОГО Лэндинг'!$B$5:$B$300,$B138))</f>
        <v/>
      </c>
      <c r="I138" s="246" t="str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 t="str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 t="str">
        <f>IF(C139="","",E139/C139)</f>
        <v/>
      </c>
      <c r="E139" s="241" t="str">
        <f>IF(C139="","",SUMIFS('ИТОГО Торговля'!$E$5:$E$300,'ИТОГО Торговля'!$B$5:$B$300,$B139)+SUMIFS('ИТОГО Лэндинг'!$E$5:$E$300,'ИТОГО Лэндинг'!$B$5:$B$300,$B139))</f>
        <v/>
      </c>
      <c r="F139" s="240" t="str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 t="str">
        <f>IF(F139="","",H139/F139)</f>
        <v/>
      </c>
      <c r="H139" s="241" t="str">
        <f>IF(F139="","",SUMIFS('ИТОГО Торговля'!$H$5:$H$300,'ИТОГО Торговля'!$B$5:$B$300,$B139)+SUMIFS('ИТОГО Лэндинг'!$H$5:$H$300,'ИТОГО Лэндинг'!$B$5:$B$300,$B139))</f>
        <v/>
      </c>
      <c r="I139" s="240" t="str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 t="str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 t="str">
        <f>IF(C140="","",E140/C140)</f>
        <v/>
      </c>
      <c r="E140" s="247" t="str">
        <f>IF(C140="","",SUMIFS('ИТОГО Торговля'!$E$5:$E$300,'ИТОГО Торговля'!$B$5:$B$300,$B140)+SUMIFS('ИТОГО Лэндинг'!$E$5:$E$300,'ИТОГО Лэндинг'!$B$5:$B$300,$B140))</f>
        <v/>
      </c>
      <c r="F140" s="246" t="str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 t="str">
        <f>IF(F140="","",H140/F140)</f>
        <v/>
      </c>
      <c r="H140" s="247" t="str">
        <f>IF(F140="","",SUMIFS('ИТОГО Торговля'!$H$5:$H$300,'ИТОГО Торговля'!$B$5:$B$300,$B140)+SUMIFS('ИТОГО Лэндинг'!$H$5:$H$300,'ИТОГО Лэндинг'!$B$5:$B$300,$B140))</f>
        <v/>
      </c>
      <c r="I140" s="246" t="str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 t="str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 t="str">
        <f>IF(C141="","",E141/C141)</f>
        <v/>
      </c>
      <c r="E141" s="241" t="str">
        <f>IF(C141="","",SUMIFS('ИТОГО Торговля'!$E$5:$E$300,'ИТОГО Торговля'!$B$5:$B$300,$B141)+SUMIFS('ИТОГО Лэндинг'!$E$5:$E$300,'ИТОГО Лэндинг'!$B$5:$B$300,$B141))</f>
        <v/>
      </c>
      <c r="F141" s="240" t="str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 t="str">
        <f>IF(F141="","",H141/F141)</f>
        <v/>
      </c>
      <c r="H141" s="241" t="str">
        <f>IF(F141="","",SUMIFS('ИТОГО Торговля'!$H$5:$H$300,'ИТОГО Торговля'!$B$5:$B$300,$B141)+SUMIFS('ИТОГО Лэндинг'!$H$5:$H$300,'ИТОГО Лэндинг'!$B$5:$B$300,$B141))</f>
        <v/>
      </c>
      <c r="I141" s="240" t="str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 t="str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 t="str">
        <f>IF(C142="","",E142/C142)</f>
        <v/>
      </c>
      <c r="E142" s="247" t="str">
        <f>IF(C142="","",SUMIFS('ИТОГО Торговля'!$E$5:$E$300,'ИТОГО Торговля'!$B$5:$B$300,$B142)+SUMIFS('ИТОГО Лэндинг'!$E$5:$E$300,'ИТОГО Лэндинг'!$B$5:$B$300,$B142))</f>
        <v/>
      </c>
      <c r="F142" s="246" t="str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 t="str">
        <f>IF(F142="","",H142/F142)</f>
        <v/>
      </c>
      <c r="H142" s="247" t="str">
        <f>IF(F142="","",SUMIFS('ИТОГО Торговля'!$H$5:$H$300,'ИТОГО Торговля'!$B$5:$B$300,$B142)+SUMIFS('ИТОГО Лэндинг'!$H$5:$H$300,'ИТОГО Лэндинг'!$B$5:$B$300,$B142))</f>
        <v/>
      </c>
      <c r="I142" s="246" t="str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 t="str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 t="str">
        <f>IF(C143="","",E143/C143)</f>
        <v/>
      </c>
      <c r="E143" s="241" t="str">
        <f>IF(C143="","",SUMIFS('ИТОГО Торговля'!$E$5:$E$300,'ИТОГО Торговля'!$B$5:$B$300,$B143)+SUMIFS('ИТОГО Лэндинг'!$E$5:$E$300,'ИТОГО Лэндинг'!$B$5:$B$300,$B143))</f>
        <v/>
      </c>
      <c r="F143" s="240" t="str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 t="str">
        <f>IF(F143="","",H143/F143)</f>
        <v/>
      </c>
      <c r="H143" s="241" t="str">
        <f>IF(F143="","",SUMIFS('ИТОГО Торговля'!$H$5:$H$300,'ИТОГО Торговля'!$B$5:$B$300,$B143)+SUMIFS('ИТОГО Лэндинг'!$H$5:$H$300,'ИТОГО Лэндинг'!$B$5:$B$300,$B143))</f>
        <v/>
      </c>
      <c r="I143" s="240" t="str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 t="str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 t="str">
        <f>IF(C144="","",E144/C144)</f>
        <v/>
      </c>
      <c r="E144" s="247" t="str">
        <f>IF(C144="","",SUMIFS('ИТОГО Торговля'!$E$5:$E$300,'ИТОГО Торговля'!$B$5:$B$300,$B144)+SUMIFS('ИТОГО Лэндинг'!$E$5:$E$300,'ИТОГО Лэндинг'!$B$5:$B$300,$B144))</f>
        <v/>
      </c>
      <c r="F144" s="246" t="str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 t="str">
        <f>IF(F144="","",H144/F144)</f>
        <v/>
      </c>
      <c r="H144" s="247" t="str">
        <f>IF(F144="","",SUMIFS('ИТОГО Торговля'!$H$5:$H$300,'ИТОГО Торговля'!$B$5:$B$300,$B144)+SUMIFS('ИТОГО Лэндинг'!$H$5:$H$300,'ИТОГО Лэндинг'!$B$5:$B$300,$B144))</f>
        <v/>
      </c>
      <c r="I144" s="246" t="str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 t="str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 t="str">
        <f>IF(C145="","",E145/C145)</f>
        <v/>
      </c>
      <c r="E145" s="241" t="str">
        <f>IF(C145="","",SUMIFS('ИТОГО Торговля'!$E$5:$E$300,'ИТОГО Торговля'!$B$5:$B$300,$B145)+SUMIFS('ИТОГО Лэндинг'!$E$5:$E$300,'ИТОГО Лэндинг'!$B$5:$B$300,$B145))</f>
        <v/>
      </c>
      <c r="F145" s="240" t="str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 t="str">
        <f>IF(F145="","",H145/F145)</f>
        <v/>
      </c>
      <c r="H145" s="241" t="str">
        <f>IF(F145="","",SUMIFS('ИТОГО Торговля'!$H$5:$H$300,'ИТОГО Торговля'!$B$5:$B$300,$B145)+SUMIFS('ИТОГО Лэндинг'!$H$5:$H$300,'ИТОГО Лэндинг'!$B$5:$B$300,$B145))</f>
        <v/>
      </c>
      <c r="I145" s="240" t="str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 t="str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 t="str">
        <f>IF(C146="","",E146/C146)</f>
        <v/>
      </c>
      <c r="E146" s="247" t="str">
        <f>IF(C146="","",SUMIFS('ИТОГО Торговля'!$E$5:$E$300,'ИТОГО Торговля'!$B$5:$B$300,$B146)+SUMIFS('ИТОГО Лэндинг'!$E$5:$E$300,'ИТОГО Лэндинг'!$B$5:$B$300,$B146))</f>
        <v/>
      </c>
      <c r="F146" s="246" t="str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 t="str">
        <f>IF(F146="","",H146/F146)</f>
        <v/>
      </c>
      <c r="H146" s="247" t="str">
        <f>IF(F146="","",SUMIFS('ИТОГО Торговля'!$H$5:$H$300,'ИТОГО Торговля'!$B$5:$B$300,$B146)+SUMIFS('ИТОГО Лэндинг'!$H$5:$H$300,'ИТОГО Лэндинг'!$B$5:$B$300,$B146))</f>
        <v/>
      </c>
      <c r="I146" s="246" t="str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 t="str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 t="str">
        <f>IF(C147="","",E147/C147)</f>
        <v/>
      </c>
      <c r="E147" s="241" t="str">
        <f>IF(C147="","",SUMIFS('ИТОГО Торговля'!$E$5:$E$300,'ИТОГО Торговля'!$B$5:$B$300,$B147)+SUMIFS('ИТОГО Лэндинг'!$E$5:$E$300,'ИТОГО Лэндинг'!$B$5:$B$300,$B147))</f>
        <v/>
      </c>
      <c r="F147" s="240" t="str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 t="str">
        <f>IF(F147="","",H147/F147)</f>
        <v/>
      </c>
      <c r="H147" s="241" t="str">
        <f>IF(F147="","",SUMIFS('ИТОГО Торговля'!$H$5:$H$300,'ИТОГО Торговля'!$B$5:$B$300,$B147)+SUMIFS('ИТОГО Лэндинг'!$H$5:$H$300,'ИТОГО Лэндинг'!$B$5:$B$300,$B147))</f>
        <v/>
      </c>
      <c r="I147" s="240" t="str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 t="str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 t="str">
        <f>IF(C148="","",E148/C148)</f>
        <v/>
      </c>
      <c r="E148" s="247" t="str">
        <f>IF(C148="","",SUMIFS('ИТОГО Торговля'!$E$5:$E$300,'ИТОГО Торговля'!$B$5:$B$300,$B148)+SUMIFS('ИТОГО Лэндинг'!$E$5:$E$300,'ИТОГО Лэндинг'!$B$5:$B$300,$B148))</f>
        <v/>
      </c>
      <c r="F148" s="246" t="str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 t="str">
        <f>IF(F148="","",H148/F148)</f>
        <v/>
      </c>
      <c r="H148" s="247" t="str">
        <f>IF(F148="","",SUMIFS('ИТОГО Торговля'!$H$5:$H$300,'ИТОГО Торговля'!$B$5:$B$300,$B148)+SUMIFS('ИТОГО Лэндинг'!$H$5:$H$300,'ИТОГО Лэндинг'!$B$5:$B$300,$B148))</f>
        <v/>
      </c>
      <c r="I148" s="246" t="str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 t="str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 t="str">
        <f>IF(C149="","",E149/C149)</f>
        <v/>
      </c>
      <c r="E149" s="241" t="str">
        <f>IF(C149="","",SUMIFS('ИТОГО Торговля'!$E$5:$E$300,'ИТОГО Торговля'!$B$5:$B$300,$B149)+SUMIFS('ИТОГО Лэндинг'!$E$5:$E$300,'ИТОГО Лэндинг'!$B$5:$B$300,$B149))</f>
        <v/>
      </c>
      <c r="F149" s="240" t="str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 t="str">
        <f>IF(F149="","",H149/F149)</f>
        <v/>
      </c>
      <c r="H149" s="241" t="str">
        <f>IF(F149="","",SUMIFS('ИТОГО Торговля'!$H$5:$H$300,'ИТОГО Торговля'!$B$5:$B$300,$B149)+SUMIFS('ИТОГО Лэндинг'!$H$5:$H$300,'ИТОГО Лэндинг'!$B$5:$B$300,$B149))</f>
        <v/>
      </c>
      <c r="I149" s="240" t="str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 t="str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 t="str">
        <f>IF(C150="","",E150/C150)</f>
        <v/>
      </c>
      <c r="E150" s="247" t="str">
        <f>IF(C150="","",SUMIFS('ИТОГО Торговля'!$E$5:$E$300,'ИТОГО Торговля'!$B$5:$B$300,$B150)+SUMIFS('ИТОГО Лэндинг'!$E$5:$E$300,'ИТОГО Лэндинг'!$B$5:$B$300,$B150))</f>
        <v/>
      </c>
      <c r="F150" s="246" t="str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 t="str">
        <f>IF(F150="","",H150/F150)</f>
        <v/>
      </c>
      <c r="H150" s="247" t="str">
        <f>IF(F150="","",SUMIFS('ИТОГО Торговля'!$H$5:$H$300,'ИТОГО Торговля'!$B$5:$B$300,$B150)+SUMIFS('ИТОГО Лэндинг'!$H$5:$H$300,'ИТОГО Лэндинг'!$B$5:$B$300,$B150))</f>
        <v/>
      </c>
      <c r="I150" s="246" t="str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 t="str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 t="str">
        <f>IF(C151="","",E151/C151)</f>
        <v/>
      </c>
      <c r="E151" s="241" t="str">
        <f>IF(C151="","",SUMIFS('ИТОГО Торговля'!$E$5:$E$300,'ИТОГО Торговля'!$B$5:$B$300,$B151)+SUMIFS('ИТОГО Лэндинг'!$E$5:$E$300,'ИТОГО Лэндинг'!$B$5:$B$300,$B151))</f>
        <v/>
      </c>
      <c r="F151" s="240" t="str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 t="str">
        <f>IF(F151="","",H151/F151)</f>
        <v/>
      </c>
      <c r="H151" s="241" t="str">
        <f>IF(F151="","",SUMIFS('ИТОГО Торговля'!$H$5:$H$300,'ИТОГО Торговля'!$B$5:$B$300,$B151)+SUMIFS('ИТОГО Лэндинг'!$H$5:$H$300,'ИТОГО Лэндинг'!$B$5:$B$300,$B151))</f>
        <v/>
      </c>
      <c r="I151" s="240" t="str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 t="str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 t="str">
        <f>IF(C152="","",E152/C152)</f>
        <v/>
      </c>
      <c r="E152" s="247" t="str">
        <f>IF(C152="","",SUMIFS('ИТОГО Торговля'!$E$5:$E$300,'ИТОГО Торговля'!$B$5:$B$300,$B152)+SUMIFS('ИТОГО Лэндинг'!$E$5:$E$300,'ИТОГО Лэндинг'!$B$5:$B$300,$B152))</f>
        <v/>
      </c>
      <c r="F152" s="246" t="str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 t="str">
        <f>IF(F152="","",H152/F152)</f>
        <v/>
      </c>
      <c r="H152" s="247" t="str">
        <f>IF(F152="","",SUMIFS('ИТОГО Торговля'!$H$5:$H$300,'ИТОГО Торговля'!$B$5:$B$300,$B152)+SUMIFS('ИТОГО Лэндинг'!$H$5:$H$300,'ИТОГО Лэндинг'!$B$5:$B$300,$B152))</f>
        <v/>
      </c>
      <c r="I152" s="246" t="str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 t="str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 t="str">
        <f>IF(C153="","",E153/C153)</f>
        <v/>
      </c>
      <c r="E153" s="241" t="str">
        <f>IF(C153="","",SUMIFS('ИТОГО Торговля'!$E$5:$E$300,'ИТОГО Торговля'!$B$5:$B$300,$B153)+SUMIFS('ИТОГО Лэндинг'!$E$5:$E$300,'ИТОГО Лэндинг'!$B$5:$B$300,$B153))</f>
        <v/>
      </c>
      <c r="F153" s="240" t="str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 t="str">
        <f>IF(F153="","",H153/F153)</f>
        <v/>
      </c>
      <c r="H153" s="241" t="str">
        <f>IF(F153="","",SUMIFS('ИТОГО Торговля'!$H$5:$H$300,'ИТОГО Торговля'!$B$5:$B$300,$B153)+SUMIFS('ИТОГО Лэндинг'!$H$5:$H$300,'ИТОГО Лэндинг'!$B$5:$B$300,$B153))</f>
        <v/>
      </c>
      <c r="I153" s="240" t="str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 t="str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 t="str">
        <f>IF(C154="","",E154/C154)</f>
        <v/>
      </c>
      <c r="E154" s="247" t="str">
        <f>IF(C154="","",SUMIFS('ИТОГО Торговля'!$E$5:$E$300,'ИТОГО Торговля'!$B$5:$B$300,$B154)+SUMIFS('ИТОГО Лэндинг'!$E$5:$E$300,'ИТОГО Лэндинг'!$B$5:$B$300,$B154))</f>
        <v/>
      </c>
      <c r="F154" s="246" t="str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 t="str">
        <f>IF(F154="","",H154/F154)</f>
        <v/>
      </c>
      <c r="H154" s="247" t="str">
        <f>IF(F154="","",SUMIFS('ИТОГО Торговля'!$H$5:$H$300,'ИТОГО Торговля'!$B$5:$B$300,$B154)+SUMIFS('ИТОГО Лэндинг'!$H$5:$H$300,'ИТОГО Лэндинг'!$B$5:$B$300,$B154))</f>
        <v/>
      </c>
      <c r="I154" s="246" t="str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 t="str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 t="str">
        <f>IF(C155="","",E155/C155)</f>
        <v/>
      </c>
      <c r="E155" s="241" t="str">
        <f>IF(C155="","",SUMIFS('ИТОГО Торговля'!$E$5:$E$300,'ИТОГО Торговля'!$B$5:$B$300,$B155)+SUMIFS('ИТОГО Лэндинг'!$E$5:$E$300,'ИТОГО Лэндинг'!$B$5:$B$300,$B155))</f>
        <v/>
      </c>
      <c r="F155" s="240" t="str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 t="str">
        <f>IF(F155="","",H155/F155)</f>
        <v/>
      </c>
      <c r="H155" s="241" t="str">
        <f>IF(F155="","",SUMIFS('ИТОГО Торговля'!$H$5:$H$300,'ИТОГО Торговля'!$B$5:$B$300,$B155)+SUMIFS('ИТОГО Лэндинг'!$H$5:$H$300,'ИТОГО Лэндинг'!$B$5:$B$300,$B155))</f>
        <v/>
      </c>
      <c r="I155" s="240" t="str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 t="str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 t="str">
        <f>IF(C156="","",E156/C156)</f>
        <v/>
      </c>
      <c r="E156" s="247" t="str">
        <f>IF(C156="","",SUMIFS('ИТОГО Торговля'!$E$5:$E$300,'ИТОГО Торговля'!$B$5:$B$300,$B156)+SUMIFS('ИТОГО Лэндинг'!$E$5:$E$300,'ИТОГО Лэндинг'!$B$5:$B$300,$B156))</f>
        <v/>
      </c>
      <c r="F156" s="246" t="str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 t="str">
        <f>IF(F156="","",H156/F156)</f>
        <v/>
      </c>
      <c r="H156" s="247" t="str">
        <f>IF(F156="","",SUMIFS('ИТОГО Торговля'!$H$5:$H$300,'ИТОГО Торговля'!$B$5:$B$300,$B156)+SUMIFS('ИТОГО Лэндинг'!$H$5:$H$300,'ИТОГО Лэндинг'!$B$5:$B$300,$B156))</f>
        <v/>
      </c>
      <c r="I156" s="246" t="str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 t="str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 t="str">
        <f>IF(C157="","",E157/C157)</f>
        <v/>
      </c>
      <c r="E157" s="241" t="str">
        <f>IF(C157="","",SUMIFS('ИТОГО Торговля'!$E$5:$E$300,'ИТОГО Торговля'!$B$5:$B$300,$B157)+SUMIFS('ИТОГО Лэндинг'!$E$5:$E$300,'ИТОГО Лэндинг'!$B$5:$B$300,$B157))</f>
        <v/>
      </c>
      <c r="F157" s="240" t="str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 t="str">
        <f>IF(F157="","",H157/F157)</f>
        <v/>
      </c>
      <c r="H157" s="241" t="str">
        <f>IF(F157="","",SUMIFS('ИТОГО Торговля'!$H$5:$H$300,'ИТОГО Торговля'!$B$5:$B$300,$B157)+SUMIFS('ИТОГО Лэндинг'!$H$5:$H$300,'ИТОГО Лэндинг'!$B$5:$B$300,$B157))</f>
        <v/>
      </c>
      <c r="I157" s="240" t="str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 t="str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 t="str">
        <f>IF(C158="","",E158/C158)</f>
        <v/>
      </c>
      <c r="E158" s="247" t="str">
        <f>IF(C158="","",SUMIFS('ИТОГО Торговля'!$E$5:$E$300,'ИТОГО Торговля'!$B$5:$B$300,$B158)+SUMIFS('ИТОГО Лэндинг'!$E$5:$E$300,'ИТОГО Лэндинг'!$B$5:$B$300,$B158))</f>
        <v/>
      </c>
      <c r="F158" s="246" t="str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 t="str">
        <f>IF(F158="","",H158/F158)</f>
        <v/>
      </c>
      <c r="H158" s="247" t="str">
        <f>IF(F158="","",SUMIFS('ИТОГО Торговля'!$H$5:$H$300,'ИТОГО Торговля'!$B$5:$B$300,$B158)+SUMIFS('ИТОГО Лэндинг'!$H$5:$H$300,'ИТОГО Лэндинг'!$B$5:$B$300,$B158))</f>
        <v/>
      </c>
      <c r="I158" s="246" t="str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 t="str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 t="str">
        <f>IF(C159="","",E159/C159)</f>
        <v/>
      </c>
      <c r="E159" s="241" t="str">
        <f>IF(C159="","",SUMIFS('ИТОГО Торговля'!$E$5:$E$300,'ИТОГО Торговля'!$B$5:$B$300,$B159)+SUMIFS('ИТОГО Лэндинг'!$E$5:$E$300,'ИТОГО Лэндинг'!$B$5:$B$300,$B159))</f>
        <v/>
      </c>
      <c r="F159" s="240" t="str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 t="str">
        <f>IF(F159="","",H159/F159)</f>
        <v/>
      </c>
      <c r="H159" s="241" t="str">
        <f>IF(F159="","",SUMIFS('ИТОГО Торговля'!$H$5:$H$300,'ИТОГО Торговля'!$B$5:$B$300,$B159)+SUMIFS('ИТОГО Лэндинг'!$H$5:$H$300,'ИТОГО Лэндинг'!$B$5:$B$300,$B159))</f>
        <v/>
      </c>
      <c r="I159" s="240" t="str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 t="str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 t="str">
        <f>IF(C160="","",E160/C160)</f>
        <v/>
      </c>
      <c r="E160" s="247" t="str">
        <f>IF(C160="","",SUMIFS('ИТОГО Торговля'!$E$5:$E$300,'ИТОГО Торговля'!$B$5:$B$300,$B160)+SUMIFS('ИТОГО Лэндинг'!$E$5:$E$300,'ИТОГО Лэндинг'!$B$5:$B$300,$B160))</f>
        <v/>
      </c>
      <c r="F160" s="246" t="str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 t="str">
        <f>IF(F160="","",H160/F160)</f>
        <v/>
      </c>
      <c r="H160" s="247" t="str">
        <f>IF(F160="","",SUMIFS('ИТОГО Торговля'!$H$5:$H$300,'ИТОГО Торговля'!$B$5:$B$300,$B160)+SUMIFS('ИТОГО Лэндинг'!$H$5:$H$300,'ИТОГО Лэндинг'!$B$5:$B$300,$B160))</f>
        <v/>
      </c>
      <c r="I160" s="246" t="str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 t="str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 t="str">
        <f>IF(C161="","",E161/C161)</f>
        <v/>
      </c>
      <c r="E161" s="241" t="str">
        <f>IF(C161="","",SUMIFS('ИТОГО Торговля'!$E$5:$E$300,'ИТОГО Торговля'!$B$5:$B$300,$B161)+SUMIFS('ИТОГО Лэндинг'!$E$5:$E$300,'ИТОГО Лэндинг'!$B$5:$B$300,$B161))</f>
        <v/>
      </c>
      <c r="F161" s="240" t="str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 t="str">
        <f>IF(F161="","",H161/F161)</f>
        <v/>
      </c>
      <c r="H161" s="241" t="str">
        <f>IF(F161="","",SUMIFS('ИТОГО Торговля'!$H$5:$H$300,'ИТОГО Торговля'!$B$5:$B$300,$B161)+SUMIFS('ИТОГО Лэндинг'!$H$5:$H$300,'ИТОГО Лэндинг'!$B$5:$B$300,$B161))</f>
        <v/>
      </c>
      <c r="I161" s="240" t="str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 t="str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 t="str">
        <f>IF(C162="","",E162/C162)</f>
        <v/>
      </c>
      <c r="E162" s="247" t="str">
        <f>IF(C162="","",SUMIFS('ИТОГО Торговля'!$E$5:$E$300,'ИТОГО Торговля'!$B$5:$B$300,$B162)+SUMIFS('ИТОГО Лэндинг'!$E$5:$E$300,'ИТОГО Лэндинг'!$B$5:$B$300,$B162))</f>
        <v/>
      </c>
      <c r="F162" s="246" t="str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 t="str">
        <f>IF(F162="","",H162/F162)</f>
        <v/>
      </c>
      <c r="H162" s="247" t="str">
        <f>IF(F162="","",SUMIFS('ИТОГО Торговля'!$H$5:$H$300,'ИТОГО Торговля'!$B$5:$B$300,$B162)+SUMIFS('ИТОГО Лэндинг'!$H$5:$H$300,'ИТОГО Лэндинг'!$B$5:$B$300,$B162))</f>
        <v/>
      </c>
      <c r="I162" s="246" t="str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 t="str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 t="str">
        <f>IF(C163="","",E163/C163)</f>
        <v/>
      </c>
      <c r="E163" s="241" t="str">
        <f>IF(C163="","",SUMIFS('ИТОГО Торговля'!$E$5:$E$300,'ИТОГО Торговля'!$B$5:$B$300,$B163)+SUMIFS('ИТОГО Лэндинг'!$E$5:$E$300,'ИТОГО Лэндинг'!$B$5:$B$300,$B163))</f>
        <v/>
      </c>
      <c r="F163" s="240" t="str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 t="str">
        <f>IF(F163="","",H163/F163)</f>
        <v/>
      </c>
      <c r="H163" s="241" t="str">
        <f>IF(F163="","",SUMIFS('ИТОГО Торговля'!$H$5:$H$300,'ИТОГО Торговля'!$B$5:$B$300,$B163)+SUMIFS('ИТОГО Лэндинг'!$H$5:$H$300,'ИТОГО Лэндинг'!$B$5:$B$300,$B163))</f>
        <v/>
      </c>
      <c r="I163" s="240" t="str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 t="str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 t="str">
        <f>IF(C164="","",E164/C164)</f>
        <v/>
      </c>
      <c r="E164" s="247" t="str">
        <f>IF(C164="","",SUMIFS('ИТОГО Торговля'!$E$5:$E$300,'ИТОГО Торговля'!$B$5:$B$300,$B164)+SUMIFS('ИТОГО Лэндинг'!$E$5:$E$300,'ИТОГО Лэндинг'!$B$5:$B$300,$B164))</f>
        <v/>
      </c>
      <c r="F164" s="246" t="str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 t="str">
        <f>IF(F164="","",H164/F164)</f>
        <v/>
      </c>
      <c r="H164" s="247" t="str">
        <f>IF(F164="","",SUMIFS('ИТОГО Торговля'!$H$5:$H$300,'ИТОГО Торговля'!$B$5:$B$300,$B164)+SUMIFS('ИТОГО Лэндинг'!$H$5:$H$300,'ИТОГО Лэндинг'!$B$5:$B$300,$B164))</f>
        <v/>
      </c>
      <c r="I164" s="246" t="str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 t="str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 t="str">
        <f>IF(C165="","",E165/C165)</f>
        <v/>
      </c>
      <c r="E165" s="241" t="str">
        <f>IF(C165="","",SUMIFS('ИТОГО Торговля'!$E$5:$E$300,'ИТОГО Торговля'!$B$5:$B$300,$B165)+SUMIFS('ИТОГО Лэндинг'!$E$5:$E$300,'ИТОГО Лэндинг'!$B$5:$B$300,$B165))</f>
        <v/>
      </c>
      <c r="F165" s="240" t="str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 t="str">
        <f>IF(F165="","",H165/F165)</f>
        <v/>
      </c>
      <c r="H165" s="241" t="str">
        <f>IF(F165="","",SUMIFS('ИТОГО Торговля'!$H$5:$H$300,'ИТОГО Торговля'!$B$5:$B$300,$B165)+SUMIFS('ИТОГО Лэндинг'!$H$5:$H$300,'ИТОГО Лэндинг'!$B$5:$B$300,$B165))</f>
        <v/>
      </c>
      <c r="I165" s="240" t="str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 t="str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 t="str">
        <f>IF(C166="","",E166/C166)</f>
        <v/>
      </c>
      <c r="E166" s="247" t="str">
        <f>IF(C166="","",SUMIFS('ИТОГО Торговля'!$E$5:$E$300,'ИТОГО Торговля'!$B$5:$B$300,$B166)+SUMIFS('ИТОГО Лэндинг'!$E$5:$E$300,'ИТОГО Лэндинг'!$B$5:$B$300,$B166))</f>
        <v/>
      </c>
      <c r="F166" s="246" t="str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 t="str">
        <f>IF(F166="","",H166/F166)</f>
        <v/>
      </c>
      <c r="H166" s="247" t="str">
        <f>IF(F166="","",SUMIFS('ИТОГО Торговля'!$H$5:$H$300,'ИТОГО Торговля'!$B$5:$B$300,$B166)+SUMIFS('ИТОГО Лэндинг'!$H$5:$H$300,'ИТОГО Лэндинг'!$B$5:$B$300,$B166))</f>
        <v/>
      </c>
      <c r="I166" s="246" t="str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 t="str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 t="str">
        <f>IF(C167="","",E167/C167)</f>
        <v/>
      </c>
      <c r="E167" s="241" t="str">
        <f>IF(C167="","",SUMIFS('ИТОГО Торговля'!$E$5:$E$300,'ИТОГО Торговля'!$B$5:$B$300,$B167)+SUMIFS('ИТОГО Лэндинг'!$E$5:$E$300,'ИТОГО Лэндинг'!$B$5:$B$300,$B167))</f>
        <v/>
      </c>
      <c r="F167" s="240" t="str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 t="str">
        <f>IF(F167="","",H167/F167)</f>
        <v/>
      </c>
      <c r="H167" s="241" t="str">
        <f>IF(F167="","",SUMIFS('ИТОГО Торговля'!$H$5:$H$300,'ИТОГО Торговля'!$B$5:$B$300,$B167)+SUMIFS('ИТОГО Лэндинг'!$H$5:$H$300,'ИТОГО Лэндинг'!$B$5:$B$300,$B167))</f>
        <v/>
      </c>
      <c r="I167" s="240" t="str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 t="str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 t="str">
        <f>IF(C168="","",E168/C168)</f>
        <v/>
      </c>
      <c r="E168" s="247" t="str">
        <f>IF(C168="","",SUMIFS('ИТОГО Торговля'!$E$5:$E$300,'ИТОГО Торговля'!$B$5:$B$300,$B168)+SUMIFS('ИТОГО Лэндинг'!$E$5:$E$300,'ИТОГО Лэндинг'!$B$5:$B$300,$B168))</f>
        <v/>
      </c>
      <c r="F168" s="246" t="str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 t="str">
        <f>IF(F168="","",H168/F168)</f>
        <v/>
      </c>
      <c r="H168" s="247" t="str">
        <f>IF(F168="","",SUMIFS('ИТОГО Торговля'!$H$5:$H$300,'ИТОГО Торговля'!$B$5:$B$300,$B168)+SUMIFS('ИТОГО Лэндинг'!$H$5:$H$300,'ИТОГО Лэндинг'!$B$5:$B$300,$B168))</f>
        <v/>
      </c>
      <c r="I168" s="246" t="str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 t="str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 t="str">
        <f>IF(C169="","",E169/C169)</f>
        <v/>
      </c>
      <c r="E169" s="241" t="str">
        <f>IF(C169="","",SUMIFS('ИТОГО Торговля'!$E$5:$E$300,'ИТОГО Торговля'!$B$5:$B$300,$B169)+SUMIFS('ИТОГО Лэндинг'!$E$5:$E$300,'ИТОГО Лэндинг'!$B$5:$B$300,$B169))</f>
        <v/>
      </c>
      <c r="F169" s="240" t="str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 t="str">
        <f>IF(F169="","",H169/F169)</f>
        <v/>
      </c>
      <c r="H169" s="241" t="str">
        <f>IF(F169="","",SUMIFS('ИТОГО Торговля'!$H$5:$H$300,'ИТОГО Торговля'!$B$5:$B$300,$B169)+SUMIFS('ИТОГО Лэндинг'!$H$5:$H$300,'ИТОГО Лэндинг'!$B$5:$B$300,$B169))</f>
        <v/>
      </c>
      <c r="I169" s="240" t="str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 t="str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 t="str">
        <f>IF(C170="","",E170/C170)</f>
        <v/>
      </c>
      <c r="E170" s="247" t="str">
        <f>IF(C170="","",SUMIFS('ИТОГО Торговля'!$E$5:$E$300,'ИТОГО Торговля'!$B$5:$B$300,$B170)+SUMIFS('ИТОГО Лэндинг'!$E$5:$E$300,'ИТОГО Лэндинг'!$B$5:$B$300,$B170))</f>
        <v/>
      </c>
      <c r="F170" s="246" t="str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 t="str">
        <f>IF(F170="","",H170/F170)</f>
        <v/>
      </c>
      <c r="H170" s="247" t="str">
        <f>IF(F170="","",SUMIFS('ИТОГО Торговля'!$H$5:$H$300,'ИТОГО Торговля'!$B$5:$B$300,$B170)+SUMIFS('ИТОГО Лэндинг'!$H$5:$H$300,'ИТОГО Лэндинг'!$B$5:$B$300,$B170))</f>
        <v/>
      </c>
      <c r="I170" s="246" t="str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 t="str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 t="str">
        <f>IF(C171="","",E171/C171)</f>
        <v/>
      </c>
      <c r="E171" s="241" t="str">
        <f>IF(C171="","",SUMIFS('ИТОГО Торговля'!$E$5:$E$300,'ИТОГО Торговля'!$B$5:$B$300,$B171)+SUMIFS('ИТОГО Лэндинг'!$E$5:$E$300,'ИТОГО Лэндинг'!$B$5:$B$300,$B171))</f>
        <v/>
      </c>
      <c r="F171" s="240" t="str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 t="str">
        <f>IF(F171="","",H171/F171)</f>
        <v/>
      </c>
      <c r="H171" s="241" t="str">
        <f>IF(F171="","",SUMIFS('ИТОГО Торговля'!$H$5:$H$300,'ИТОГО Торговля'!$B$5:$B$300,$B171)+SUMIFS('ИТОГО Лэндинг'!$H$5:$H$300,'ИТОГО Лэндинг'!$B$5:$B$300,$B171))</f>
        <v/>
      </c>
      <c r="I171" s="240" t="str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 t="str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 t="str">
        <f>IF(C172="","",E172/C172)</f>
        <v/>
      </c>
      <c r="E172" s="247" t="str">
        <f>IF(C172="","",SUMIFS('ИТОГО Торговля'!$E$5:$E$300,'ИТОГО Торговля'!$B$5:$B$300,$B172)+SUMIFS('ИТОГО Лэндинг'!$E$5:$E$300,'ИТОГО Лэндинг'!$B$5:$B$300,$B172))</f>
        <v/>
      </c>
      <c r="F172" s="246" t="str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 t="str">
        <f>IF(F172="","",H172/F172)</f>
        <v/>
      </c>
      <c r="H172" s="247" t="str">
        <f>IF(F172="","",SUMIFS('ИТОГО Торговля'!$H$5:$H$300,'ИТОГО Торговля'!$B$5:$B$300,$B172)+SUMIFS('ИТОГО Лэндинг'!$H$5:$H$300,'ИТОГО Лэндинг'!$B$5:$B$300,$B172))</f>
        <v/>
      </c>
      <c r="I172" s="246" t="str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 t="str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 t="str">
        <f>IF(C173="","",E173/C173)</f>
        <v/>
      </c>
      <c r="E173" s="241" t="str">
        <f>IF(C173="","",SUMIFS('ИТОГО Торговля'!$E$5:$E$300,'ИТОГО Торговля'!$B$5:$B$300,$B173)+SUMIFS('ИТОГО Лэндинг'!$E$5:$E$300,'ИТОГО Лэндинг'!$B$5:$B$300,$B173))</f>
        <v/>
      </c>
      <c r="F173" s="240" t="str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 t="str">
        <f>IF(F173="","",H173/F173)</f>
        <v/>
      </c>
      <c r="H173" s="241" t="str">
        <f>IF(F173="","",SUMIFS('ИТОГО Торговля'!$H$5:$H$300,'ИТОГО Торговля'!$B$5:$B$300,$B173)+SUMIFS('ИТОГО Лэндинг'!$H$5:$H$300,'ИТОГО Лэндинг'!$B$5:$B$300,$B173))</f>
        <v/>
      </c>
      <c r="I173" s="240" t="str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 t="str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 t="str">
        <f>IF(C174="","",E174/C174)</f>
        <v/>
      </c>
      <c r="E174" s="247" t="str">
        <f>IF(C174="","",SUMIFS('ИТОГО Торговля'!$E$5:$E$300,'ИТОГО Торговля'!$B$5:$B$300,$B174)+SUMIFS('ИТОГО Лэндинг'!$E$5:$E$300,'ИТОГО Лэндинг'!$B$5:$B$300,$B174))</f>
        <v/>
      </c>
      <c r="F174" s="246" t="str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 t="str">
        <f>IF(F174="","",H174/F174)</f>
        <v/>
      </c>
      <c r="H174" s="247" t="str">
        <f>IF(F174="","",SUMIFS('ИТОГО Торговля'!$H$5:$H$300,'ИТОГО Торговля'!$B$5:$B$300,$B174)+SUMIFS('ИТОГО Лэндинг'!$H$5:$H$300,'ИТОГО Лэндинг'!$B$5:$B$300,$B174))</f>
        <v/>
      </c>
      <c r="I174" s="246" t="str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 t="str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 t="str">
        <f>IF(C175="","",E175/C175)</f>
        <v/>
      </c>
      <c r="E175" s="241" t="str">
        <f>IF(C175="","",SUMIFS('ИТОГО Торговля'!$E$5:$E$300,'ИТОГО Торговля'!$B$5:$B$300,$B175)+SUMIFS('ИТОГО Лэндинг'!$E$5:$E$300,'ИТОГО Лэндинг'!$B$5:$B$300,$B175))</f>
        <v/>
      </c>
      <c r="F175" s="240" t="str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 t="str">
        <f>IF(F175="","",H175/F175)</f>
        <v/>
      </c>
      <c r="H175" s="241" t="str">
        <f>IF(F175="","",SUMIFS('ИТОГО Торговля'!$H$5:$H$300,'ИТОГО Торговля'!$B$5:$B$300,$B175)+SUMIFS('ИТОГО Лэндинг'!$H$5:$H$300,'ИТОГО Лэндинг'!$B$5:$B$300,$B175))</f>
        <v/>
      </c>
      <c r="I175" s="240" t="str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 t="str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 t="str">
        <f>IF(C176="","",E176/C176)</f>
        <v/>
      </c>
      <c r="E176" s="247" t="str">
        <f>IF(C176="","",SUMIFS('ИТОГО Торговля'!$E$5:$E$300,'ИТОГО Торговля'!$B$5:$B$300,$B176)+SUMIFS('ИТОГО Лэндинг'!$E$5:$E$300,'ИТОГО Лэндинг'!$B$5:$B$300,$B176))</f>
        <v/>
      </c>
      <c r="F176" s="246" t="str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 t="str">
        <f>IF(F176="","",H176/F176)</f>
        <v/>
      </c>
      <c r="H176" s="247" t="str">
        <f>IF(F176="","",SUMIFS('ИТОГО Торговля'!$H$5:$H$300,'ИТОГО Торговля'!$B$5:$B$300,$B176)+SUMIFS('ИТОГО Лэндинг'!$H$5:$H$300,'ИТОГО Лэндинг'!$B$5:$B$300,$B176))</f>
        <v/>
      </c>
      <c r="I176" s="246" t="str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 t="str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 t="str">
        <f>IF(C177="","",E177/C177)</f>
        <v/>
      </c>
      <c r="E177" s="241" t="str">
        <f>IF(C177="","",SUMIFS('ИТОГО Торговля'!$E$5:$E$300,'ИТОГО Торговля'!$B$5:$B$300,$B177)+SUMIFS('ИТОГО Лэндинг'!$E$5:$E$300,'ИТОГО Лэндинг'!$B$5:$B$300,$B177))</f>
        <v/>
      </c>
      <c r="F177" s="240" t="str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 t="str">
        <f>IF(F177="","",H177/F177)</f>
        <v/>
      </c>
      <c r="H177" s="241" t="str">
        <f>IF(F177="","",SUMIFS('ИТОГО Торговля'!$H$5:$H$300,'ИТОГО Торговля'!$B$5:$B$300,$B177)+SUMIFS('ИТОГО Лэндинг'!$H$5:$H$300,'ИТОГО Лэндинг'!$B$5:$B$300,$B177))</f>
        <v/>
      </c>
      <c r="I177" s="240" t="str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 t="str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 t="str">
        <f>IF(C178="","",E178/C178)</f>
        <v/>
      </c>
      <c r="E178" s="247" t="str">
        <f>IF(C178="","",SUMIFS('ИТОГО Торговля'!$E$5:$E$300,'ИТОГО Торговля'!$B$5:$B$300,$B178)+SUMIFS('ИТОГО Лэндинг'!$E$5:$E$300,'ИТОГО Лэндинг'!$B$5:$B$300,$B178))</f>
        <v/>
      </c>
      <c r="F178" s="246" t="str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 t="str">
        <f>IF(F178="","",H178/F178)</f>
        <v/>
      </c>
      <c r="H178" s="247" t="str">
        <f>IF(F178="","",SUMIFS('ИТОГО Торговля'!$H$5:$H$300,'ИТОГО Торговля'!$B$5:$B$300,$B178)+SUMIFS('ИТОГО Лэндинг'!$H$5:$H$300,'ИТОГО Лэндинг'!$B$5:$B$300,$B178))</f>
        <v/>
      </c>
      <c r="I178" s="246" t="str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 t="str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 t="str">
        <f>IF(C179="","",E179/C179)</f>
        <v/>
      </c>
      <c r="E179" s="241" t="str">
        <f>IF(C179="","",SUMIFS('ИТОГО Торговля'!$E$5:$E$300,'ИТОГО Торговля'!$B$5:$B$300,$B179)+SUMIFS('ИТОГО Лэндинг'!$E$5:$E$300,'ИТОГО Лэндинг'!$B$5:$B$300,$B179))</f>
        <v/>
      </c>
      <c r="F179" s="240" t="str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 t="str">
        <f>IF(F179="","",H179/F179)</f>
        <v/>
      </c>
      <c r="H179" s="241" t="str">
        <f>IF(F179="","",SUMIFS('ИТОГО Торговля'!$H$5:$H$300,'ИТОГО Торговля'!$B$5:$B$300,$B179)+SUMIFS('ИТОГО Лэндинг'!$H$5:$H$300,'ИТОГО Лэндинг'!$B$5:$B$300,$B179))</f>
        <v/>
      </c>
      <c r="I179" s="240" t="str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 t="str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 t="str">
        <f>IF(C180="","",E180/C180)</f>
        <v/>
      </c>
      <c r="E180" s="247" t="str">
        <f>IF(C180="","",SUMIFS('ИТОГО Торговля'!$E$5:$E$300,'ИТОГО Торговля'!$B$5:$B$300,$B180)+SUMIFS('ИТОГО Лэндинг'!$E$5:$E$300,'ИТОГО Лэндинг'!$B$5:$B$300,$B180))</f>
        <v/>
      </c>
      <c r="F180" s="246" t="str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 t="str">
        <f>IF(F180="","",H180/F180)</f>
        <v/>
      </c>
      <c r="H180" s="247" t="str">
        <f>IF(F180="","",SUMIFS('ИТОГО Торговля'!$H$5:$H$300,'ИТОГО Торговля'!$B$5:$B$300,$B180)+SUMIFS('ИТОГО Лэндинг'!$H$5:$H$300,'ИТОГО Лэндинг'!$B$5:$B$300,$B180))</f>
        <v/>
      </c>
      <c r="I180" s="246" t="str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 t="str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 t="str">
        <f>IF(C181="","",E181/C181)</f>
        <v/>
      </c>
      <c r="E181" s="241" t="str">
        <f>IF(C181="","",SUMIFS('ИТОГО Торговля'!$E$5:$E$300,'ИТОГО Торговля'!$B$5:$B$300,$B181)+SUMIFS('ИТОГО Лэндинг'!$E$5:$E$300,'ИТОГО Лэндинг'!$B$5:$B$300,$B181))</f>
        <v/>
      </c>
      <c r="F181" s="240" t="str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 t="str">
        <f>IF(F181="","",H181/F181)</f>
        <v/>
      </c>
      <c r="H181" s="241" t="str">
        <f>IF(F181="","",SUMIFS('ИТОГО Торговля'!$H$5:$H$300,'ИТОГО Торговля'!$B$5:$B$300,$B181)+SUMIFS('ИТОГО Лэндинг'!$H$5:$H$300,'ИТОГО Лэндинг'!$B$5:$B$300,$B181))</f>
        <v/>
      </c>
      <c r="I181" s="240" t="str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 t="str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 t="str">
        <f>IF(C182="","",E182/C182)</f>
        <v/>
      </c>
      <c r="E182" s="247" t="str">
        <f>IF(C182="","",SUMIFS('ИТОГО Торговля'!$E$5:$E$300,'ИТОГО Торговля'!$B$5:$B$300,$B182)+SUMIFS('ИТОГО Лэндинг'!$E$5:$E$300,'ИТОГО Лэндинг'!$B$5:$B$300,$B182))</f>
        <v/>
      </c>
      <c r="F182" s="246" t="str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 t="str">
        <f>IF(F182="","",H182/F182)</f>
        <v/>
      </c>
      <c r="H182" s="247" t="str">
        <f>IF(F182="","",SUMIFS('ИТОГО Торговля'!$H$5:$H$300,'ИТОГО Торговля'!$B$5:$B$300,$B182)+SUMIFS('ИТОГО Лэндинг'!$H$5:$H$300,'ИТОГО Лэндинг'!$B$5:$B$300,$B182))</f>
        <v/>
      </c>
      <c r="I182" s="246" t="str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 t="str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 t="str">
        <f>IF(C183="","",E183/C183)</f>
        <v/>
      </c>
      <c r="E183" s="241" t="str">
        <f>IF(C183="","",SUMIFS('ИТОГО Торговля'!$E$5:$E$300,'ИТОГО Торговля'!$B$5:$B$300,$B183)+SUMIFS('ИТОГО Лэндинг'!$E$5:$E$300,'ИТОГО Лэндинг'!$B$5:$B$300,$B183))</f>
        <v/>
      </c>
      <c r="F183" s="240" t="str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 t="str">
        <f>IF(F183="","",H183/F183)</f>
        <v/>
      </c>
      <c r="H183" s="241" t="str">
        <f>IF(F183="","",SUMIFS('ИТОГО Торговля'!$H$5:$H$300,'ИТОГО Торговля'!$B$5:$B$300,$B183)+SUMIFS('ИТОГО Лэндинг'!$H$5:$H$300,'ИТОГО Лэндинг'!$B$5:$B$300,$B183))</f>
        <v/>
      </c>
      <c r="I183" s="240" t="str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 t="str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 t="str">
        <f>IF(C184="","",E184/C184)</f>
        <v/>
      </c>
      <c r="E184" s="247" t="str">
        <f>IF(C184="","",SUMIFS('ИТОГО Торговля'!$E$5:$E$300,'ИТОГО Торговля'!$B$5:$B$300,$B184)+SUMIFS('ИТОГО Лэндинг'!$E$5:$E$300,'ИТОГО Лэндинг'!$B$5:$B$300,$B184))</f>
        <v/>
      </c>
      <c r="F184" s="246" t="str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 t="str">
        <f>IF(F184="","",H184/F184)</f>
        <v/>
      </c>
      <c r="H184" s="247" t="str">
        <f>IF(F184="","",SUMIFS('ИТОГО Торговля'!$H$5:$H$300,'ИТОГО Торговля'!$B$5:$B$300,$B184)+SUMIFS('ИТОГО Лэндинг'!$H$5:$H$300,'ИТОГО Лэндинг'!$B$5:$B$300,$B184))</f>
        <v/>
      </c>
      <c r="I184" s="246" t="str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 t="str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 t="str">
        <f>IF(C185="","",E185/C185)</f>
        <v/>
      </c>
      <c r="E185" s="241" t="str">
        <f>IF(C185="","",SUMIFS('ИТОГО Торговля'!$E$5:$E$300,'ИТОГО Торговля'!$B$5:$B$300,$B185)+SUMIFS('ИТОГО Лэндинг'!$E$5:$E$300,'ИТОГО Лэндинг'!$B$5:$B$300,$B185))</f>
        <v/>
      </c>
      <c r="F185" s="240" t="str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 t="str">
        <f>IF(F185="","",H185/F185)</f>
        <v/>
      </c>
      <c r="H185" s="241" t="str">
        <f>IF(F185="","",SUMIFS('ИТОГО Торговля'!$H$5:$H$300,'ИТОГО Торговля'!$B$5:$B$300,$B185)+SUMIFS('ИТОГО Лэндинг'!$H$5:$H$300,'ИТОГО Лэндинг'!$B$5:$B$300,$B185))</f>
        <v/>
      </c>
      <c r="I185" s="240" t="str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 t="str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 t="str">
        <f>IF(C186="","",E186/C186)</f>
        <v/>
      </c>
      <c r="E186" s="247" t="str">
        <f>IF(C186="","",SUMIFS('ИТОГО Торговля'!$E$5:$E$300,'ИТОГО Торговля'!$B$5:$B$300,$B186)+SUMIFS('ИТОГО Лэндинг'!$E$5:$E$300,'ИТОГО Лэндинг'!$B$5:$B$300,$B186))</f>
        <v/>
      </c>
      <c r="F186" s="246" t="str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 t="str">
        <f>IF(F186="","",H186/F186)</f>
        <v/>
      </c>
      <c r="H186" s="247" t="str">
        <f>IF(F186="","",SUMIFS('ИТОГО Торговля'!$H$5:$H$300,'ИТОГО Торговля'!$B$5:$B$300,$B186)+SUMIFS('ИТОГО Лэндинг'!$H$5:$H$300,'ИТОГО Лэндинг'!$B$5:$B$300,$B186))</f>
        <v/>
      </c>
      <c r="I186" s="246" t="str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 t="str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 t="str">
        <f>IF(C187="","",E187/C187)</f>
        <v/>
      </c>
      <c r="E187" s="241" t="str">
        <f>IF(C187="","",SUMIFS('ИТОГО Торговля'!$E$5:$E$300,'ИТОГО Торговля'!$B$5:$B$300,$B187)+SUMIFS('ИТОГО Лэндинг'!$E$5:$E$300,'ИТОГО Лэндинг'!$B$5:$B$300,$B187))</f>
        <v/>
      </c>
      <c r="F187" s="240" t="str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 t="str">
        <f>IF(F187="","",H187/F187)</f>
        <v/>
      </c>
      <c r="H187" s="241" t="str">
        <f>IF(F187="","",SUMIFS('ИТОГО Торговля'!$H$5:$H$300,'ИТОГО Торговля'!$B$5:$B$300,$B187)+SUMIFS('ИТОГО Лэндинг'!$H$5:$H$300,'ИТОГО Лэндинг'!$B$5:$B$300,$B187))</f>
        <v/>
      </c>
      <c r="I187" s="240" t="str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 t="str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 t="str">
        <f>IF(C188="","",E188/C188)</f>
        <v/>
      </c>
      <c r="E188" s="247" t="str">
        <f>IF(C188="","",SUMIFS('ИТОГО Торговля'!$E$5:$E$300,'ИТОГО Торговля'!$B$5:$B$300,$B188)+SUMIFS('ИТОГО Лэндинг'!$E$5:$E$300,'ИТОГО Лэндинг'!$B$5:$B$300,$B188))</f>
        <v/>
      </c>
      <c r="F188" s="246" t="str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 t="str">
        <f>IF(F188="","",H188/F188)</f>
        <v/>
      </c>
      <c r="H188" s="247" t="str">
        <f>IF(F188="","",SUMIFS('ИТОГО Торговля'!$H$5:$H$300,'ИТОГО Торговля'!$B$5:$B$300,$B188)+SUMIFS('ИТОГО Лэндинг'!$H$5:$H$300,'ИТОГО Лэндинг'!$B$5:$B$300,$B188))</f>
        <v/>
      </c>
      <c r="I188" s="246" t="str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 t="str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 t="str">
        <f>IF(C189="","",E189/C189)</f>
        <v/>
      </c>
      <c r="E189" s="241" t="str">
        <f>IF(C189="","",SUMIFS('ИТОГО Торговля'!$E$5:$E$300,'ИТОГО Торговля'!$B$5:$B$300,$B189)+SUMIFS('ИТОГО Лэндинг'!$E$5:$E$300,'ИТОГО Лэндинг'!$B$5:$B$300,$B189))</f>
        <v/>
      </c>
      <c r="F189" s="240" t="str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 t="str">
        <f>IF(F189="","",H189/F189)</f>
        <v/>
      </c>
      <c r="H189" s="241" t="str">
        <f>IF(F189="","",SUMIFS('ИТОГО Торговля'!$H$5:$H$300,'ИТОГО Торговля'!$B$5:$B$300,$B189)+SUMIFS('ИТОГО Лэндинг'!$H$5:$H$300,'ИТОГО Лэндинг'!$B$5:$B$300,$B189))</f>
        <v/>
      </c>
      <c r="I189" s="240" t="str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 t="str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 t="str">
        <f>IF(C190="","",E190/C190)</f>
        <v/>
      </c>
      <c r="E190" s="247" t="str">
        <f>IF(C190="","",SUMIFS('ИТОГО Торговля'!$E$5:$E$300,'ИТОГО Торговля'!$B$5:$B$300,$B190)+SUMIFS('ИТОГО Лэндинг'!$E$5:$E$300,'ИТОГО Лэндинг'!$B$5:$B$300,$B190))</f>
        <v/>
      </c>
      <c r="F190" s="246" t="str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 t="str">
        <f>IF(F190="","",H190/F190)</f>
        <v/>
      </c>
      <c r="H190" s="247" t="str">
        <f>IF(F190="","",SUMIFS('ИТОГО Торговля'!$H$5:$H$300,'ИТОГО Торговля'!$B$5:$B$300,$B190)+SUMIFS('ИТОГО Лэндинг'!$H$5:$H$300,'ИТОГО Лэндинг'!$B$5:$B$300,$B190))</f>
        <v/>
      </c>
      <c r="I190" s="246" t="str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 t="str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 t="str">
        <f>IF(C191="","",E191/C191)</f>
        <v/>
      </c>
      <c r="E191" s="241" t="str">
        <f>IF(C191="","",SUMIFS('ИТОГО Торговля'!$E$5:$E$300,'ИТОГО Торговля'!$B$5:$B$300,$B191)+SUMIFS('ИТОГО Лэндинг'!$E$5:$E$300,'ИТОГО Лэндинг'!$B$5:$B$300,$B191))</f>
        <v/>
      </c>
      <c r="F191" s="240" t="str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 t="str">
        <f>IF(F191="","",H191/F191)</f>
        <v/>
      </c>
      <c r="H191" s="241" t="str">
        <f>IF(F191="","",SUMIFS('ИТОГО Торговля'!$H$5:$H$300,'ИТОГО Торговля'!$B$5:$B$300,$B191)+SUMIFS('ИТОГО Лэндинг'!$H$5:$H$300,'ИТОГО Лэндинг'!$B$5:$B$300,$B191))</f>
        <v/>
      </c>
      <c r="I191" s="240" t="str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 t="str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 t="str">
        <f>IF(C192="","",E192/C192)</f>
        <v/>
      </c>
      <c r="E192" s="247" t="str">
        <f>IF(C192="","",SUMIFS('ИТОГО Торговля'!$E$5:$E$300,'ИТОГО Торговля'!$B$5:$B$300,$B192)+SUMIFS('ИТОГО Лэндинг'!$E$5:$E$300,'ИТОГО Лэндинг'!$B$5:$B$300,$B192))</f>
        <v/>
      </c>
      <c r="F192" s="246" t="str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 t="str">
        <f>IF(F192="","",H192/F192)</f>
        <v/>
      </c>
      <c r="H192" s="247" t="str">
        <f>IF(F192="","",SUMIFS('ИТОГО Торговля'!$H$5:$H$300,'ИТОГО Торговля'!$B$5:$B$300,$B192)+SUMIFS('ИТОГО Лэндинг'!$H$5:$H$300,'ИТОГО Лэндинг'!$B$5:$B$300,$B192))</f>
        <v/>
      </c>
      <c r="I192" s="246" t="str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 t="str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 t="str">
        <f>IF(C193="","",E193/C193)</f>
        <v/>
      </c>
      <c r="E193" s="241" t="str">
        <f>IF(C193="","",SUMIFS('ИТОГО Торговля'!$E$5:$E$300,'ИТОГО Торговля'!$B$5:$B$300,$B193)+SUMIFS('ИТОГО Лэндинг'!$E$5:$E$300,'ИТОГО Лэндинг'!$B$5:$B$300,$B193))</f>
        <v/>
      </c>
      <c r="F193" s="240" t="str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 t="str">
        <f>IF(F193="","",H193/F193)</f>
        <v/>
      </c>
      <c r="H193" s="241" t="str">
        <f>IF(F193="","",SUMIFS('ИТОГО Торговля'!$H$5:$H$300,'ИТОГО Торговля'!$B$5:$B$300,$B193)+SUMIFS('ИТОГО Лэндинг'!$H$5:$H$300,'ИТОГО Лэндинг'!$B$5:$B$300,$B193))</f>
        <v/>
      </c>
      <c r="I193" s="240" t="str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 t="str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 t="str">
        <f>IF(C194="","",E194/C194)</f>
        <v/>
      </c>
      <c r="E194" s="247" t="str">
        <f>IF(C194="","",SUMIFS('ИТОГО Торговля'!$E$5:$E$300,'ИТОГО Торговля'!$B$5:$B$300,$B194)+SUMIFS('ИТОГО Лэндинг'!$E$5:$E$300,'ИТОГО Лэндинг'!$B$5:$B$300,$B194))</f>
        <v/>
      </c>
      <c r="F194" s="246" t="str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 t="str">
        <f>IF(F194="","",H194/F194)</f>
        <v/>
      </c>
      <c r="H194" s="247" t="str">
        <f>IF(F194="","",SUMIFS('ИТОГО Торговля'!$H$5:$H$300,'ИТОГО Торговля'!$B$5:$B$300,$B194)+SUMIFS('ИТОГО Лэндинг'!$H$5:$H$300,'ИТОГО Лэндинг'!$B$5:$B$300,$B194))</f>
        <v/>
      </c>
      <c r="I194" s="246" t="str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 t="str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 t="str">
        <f>IF(C195="","",E195/C195)</f>
        <v/>
      </c>
      <c r="E195" s="241" t="str">
        <f>IF(C195="","",SUMIFS('ИТОГО Торговля'!$E$5:$E$300,'ИТОГО Торговля'!$B$5:$B$300,$B195)+SUMIFS('ИТОГО Лэндинг'!$E$5:$E$300,'ИТОГО Лэндинг'!$B$5:$B$300,$B195))</f>
        <v/>
      </c>
      <c r="F195" s="240" t="str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 t="str">
        <f>IF(F195="","",H195/F195)</f>
        <v/>
      </c>
      <c r="H195" s="241" t="str">
        <f>IF(F195="","",SUMIFS('ИТОГО Торговля'!$H$5:$H$300,'ИТОГО Торговля'!$B$5:$B$300,$B195)+SUMIFS('ИТОГО Лэндинг'!$H$5:$H$300,'ИТОГО Лэндинг'!$B$5:$B$300,$B195))</f>
        <v/>
      </c>
      <c r="I195" s="240" t="str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 t="str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 t="str">
        <f>IF(C196="","",E196/C196)</f>
        <v/>
      </c>
      <c r="E196" s="247" t="str">
        <f>IF(C196="","",SUMIFS('ИТОГО Торговля'!$E$5:$E$300,'ИТОГО Торговля'!$B$5:$B$300,$B196)+SUMIFS('ИТОГО Лэндинг'!$E$5:$E$300,'ИТОГО Лэндинг'!$B$5:$B$300,$B196))</f>
        <v/>
      </c>
      <c r="F196" s="246" t="str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 t="str">
        <f>IF(F196="","",H196/F196)</f>
        <v/>
      </c>
      <c r="H196" s="247" t="str">
        <f>IF(F196="","",SUMIFS('ИТОГО Торговля'!$H$5:$H$300,'ИТОГО Торговля'!$B$5:$B$300,$B196)+SUMIFS('ИТОГО Лэндинг'!$H$5:$H$300,'ИТОГО Лэндинг'!$B$5:$B$300,$B196))</f>
        <v/>
      </c>
      <c r="I196" s="246" t="str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 t="str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 t="str">
        <f>IF(C197="","",E197/C197)</f>
        <v/>
      </c>
      <c r="E197" s="241" t="str">
        <f>IF(C197="","",SUMIFS('ИТОГО Торговля'!$E$5:$E$300,'ИТОГО Торговля'!$B$5:$B$300,$B197)+SUMIFS('ИТОГО Лэндинг'!$E$5:$E$300,'ИТОГО Лэндинг'!$B$5:$B$300,$B197))</f>
        <v/>
      </c>
      <c r="F197" s="240" t="str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 t="str">
        <f>IF(F197="","",H197/F197)</f>
        <v/>
      </c>
      <c r="H197" s="241" t="str">
        <f>IF(F197="","",SUMIFS('ИТОГО Торговля'!$H$5:$H$300,'ИТОГО Торговля'!$B$5:$B$300,$B197)+SUMIFS('ИТОГО Лэндинг'!$H$5:$H$300,'ИТОГО Лэндинг'!$B$5:$B$300,$B197))</f>
        <v/>
      </c>
      <c r="I197" s="240" t="str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 t="str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 t="str">
        <f>IF(C198="","",E198/C198)</f>
        <v/>
      </c>
      <c r="E198" s="247" t="str">
        <f>IF(C198="","",SUMIFS('ИТОГО Торговля'!$E$5:$E$300,'ИТОГО Торговля'!$B$5:$B$300,$B198)+SUMIFS('ИТОГО Лэндинг'!$E$5:$E$300,'ИТОГО Лэндинг'!$B$5:$B$300,$B198))</f>
        <v/>
      </c>
      <c r="F198" s="246" t="str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 t="str">
        <f>IF(F198="","",H198/F198)</f>
        <v/>
      </c>
      <c r="H198" s="247" t="str">
        <f>IF(F198="","",SUMIFS('ИТОГО Торговля'!$H$5:$H$300,'ИТОГО Торговля'!$B$5:$B$300,$B198)+SUMIFS('ИТОГО Лэндинг'!$H$5:$H$300,'ИТОГО Лэндинг'!$B$5:$B$300,$B198))</f>
        <v/>
      </c>
      <c r="I198" s="246" t="str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 t="str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 t="str">
        <f>IF(C199="","",E199/C199)</f>
        <v/>
      </c>
      <c r="E199" s="241" t="str">
        <f>IF(C199="","",SUMIFS('ИТОГО Торговля'!$E$5:$E$300,'ИТОГО Торговля'!$B$5:$B$300,$B199)+SUMIFS('ИТОГО Лэндинг'!$E$5:$E$300,'ИТОГО Лэндинг'!$B$5:$B$300,$B199))</f>
        <v/>
      </c>
      <c r="F199" s="240" t="str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 t="str">
        <f>IF(F199="","",H199/F199)</f>
        <v/>
      </c>
      <c r="H199" s="241" t="str">
        <f>IF(F199="","",SUMIFS('ИТОГО Торговля'!$H$5:$H$300,'ИТОГО Торговля'!$B$5:$B$300,$B199)+SUMIFS('ИТОГО Лэндинг'!$H$5:$H$300,'ИТОГО Лэндинг'!$B$5:$B$300,$B199))</f>
        <v/>
      </c>
      <c r="I199" s="240" t="str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 t="str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 t="str">
        <f>IF(C200="","",E200/C200)</f>
        <v/>
      </c>
      <c r="E200" s="247" t="str">
        <f>IF(C200="","",SUMIFS('ИТОГО Торговля'!$E$5:$E$300,'ИТОГО Торговля'!$B$5:$B$300,$B200)+SUMIFS('ИТОГО Лэндинг'!$E$5:$E$300,'ИТОГО Лэндинг'!$B$5:$B$300,$B200))</f>
        <v/>
      </c>
      <c r="F200" s="246" t="str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 t="str">
        <f>IF(F200="","",H200/F200)</f>
        <v/>
      </c>
      <c r="H200" s="247" t="str">
        <f>IF(F200="","",SUMIFS('ИТОГО Торговля'!$H$5:$H$300,'ИТОГО Торговля'!$B$5:$B$300,$B200)+SUMIFS('ИТОГО Лэндинг'!$H$5:$H$300,'ИТОГО Лэндинг'!$B$5:$B$300,$B200))</f>
        <v/>
      </c>
      <c r="I200" s="246" t="str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 t="str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 t="str">
        <f>IF(C201="","",E201/C201)</f>
        <v/>
      </c>
      <c r="E201" s="241" t="str">
        <f>IF(C201="","",SUMIFS('ИТОГО Торговля'!$E$5:$E$300,'ИТОГО Торговля'!$B$5:$B$300,$B201)+SUMIFS('ИТОГО Лэндинг'!$E$5:$E$300,'ИТОГО Лэндинг'!$B$5:$B$300,$B201))</f>
        <v/>
      </c>
      <c r="F201" s="240" t="str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 t="str">
        <f>IF(F201="","",H201/F201)</f>
        <v/>
      </c>
      <c r="H201" s="241" t="str">
        <f>IF(F201="","",SUMIFS('ИТОГО Торговля'!$H$5:$H$300,'ИТОГО Торговля'!$B$5:$B$300,$B201)+SUMIFS('ИТОГО Лэндинг'!$H$5:$H$300,'ИТОГО Лэндинг'!$B$5:$B$300,$B201))</f>
        <v/>
      </c>
      <c r="I201" s="240" t="str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 t="str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 t="str">
        <f>IF(C202="","",E202/C202)</f>
        <v/>
      </c>
      <c r="E202" s="247" t="str">
        <f>IF(C202="","",SUMIFS('ИТОГО Торговля'!$E$5:$E$300,'ИТОГО Торговля'!$B$5:$B$300,$B202)+SUMIFS('ИТОГО Лэндинг'!$E$5:$E$300,'ИТОГО Лэндинг'!$B$5:$B$300,$B202))</f>
        <v/>
      </c>
      <c r="F202" s="246" t="str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 t="str">
        <f>IF(F202="","",H202/F202)</f>
        <v/>
      </c>
      <c r="H202" s="247" t="str">
        <f>IF(F202="","",SUMIFS('ИТОГО Торговля'!$H$5:$H$300,'ИТОГО Торговля'!$B$5:$B$300,$B202)+SUMIFS('ИТОГО Лэндинг'!$H$5:$H$300,'ИТОГО Лэндинг'!$B$5:$B$300,$B202))</f>
        <v/>
      </c>
      <c r="I202" s="246" t="str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 t="str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 t="str">
        <f>IF(C203="","",E203/C203)</f>
        <v/>
      </c>
      <c r="E203" s="241" t="str">
        <f>IF(C203="","",SUMIFS('ИТОГО Торговля'!$E$5:$E$300,'ИТОГО Торговля'!$B$5:$B$300,$B203)+SUMIFS('ИТОГО Лэндинг'!$E$5:$E$300,'ИТОГО Лэндинг'!$B$5:$B$300,$B203))</f>
        <v/>
      </c>
      <c r="F203" s="240" t="str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 t="str">
        <f>IF(F203="","",H203/F203)</f>
        <v/>
      </c>
      <c r="H203" s="241" t="str">
        <f>IF(F203="","",SUMIFS('ИТОГО Торговля'!$H$5:$H$300,'ИТОГО Торговля'!$B$5:$B$300,$B203)+SUMIFS('ИТОГО Лэндинг'!$H$5:$H$300,'ИТОГО Лэндинг'!$B$5:$B$300,$B203))</f>
        <v/>
      </c>
      <c r="I203" s="240" t="str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 t="str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 t="str">
        <f>IF(C204="","",E204/C204)</f>
        <v/>
      </c>
      <c r="E204" s="247" t="str">
        <f>IF(C204="","",SUMIFS('ИТОГО Торговля'!$E$5:$E$300,'ИТОГО Торговля'!$B$5:$B$300,$B204)+SUMIFS('ИТОГО Лэндинг'!$E$5:$E$300,'ИТОГО Лэндинг'!$B$5:$B$300,$B204))</f>
        <v/>
      </c>
      <c r="F204" s="246" t="str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 t="str">
        <f>IF(F204="","",H204/F204)</f>
        <v/>
      </c>
      <c r="H204" s="247" t="str">
        <f>IF(F204="","",SUMIFS('ИТОГО Торговля'!$H$5:$H$300,'ИТОГО Торговля'!$B$5:$B$300,$B204)+SUMIFS('ИТОГО Лэндинг'!$H$5:$H$300,'ИТОГО Лэндинг'!$B$5:$B$300,$B204))</f>
        <v/>
      </c>
      <c r="I204" s="246" t="str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 t="str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 t="str">
        <f>IF(C205="","",E205/C205)</f>
        <v/>
      </c>
      <c r="E205" s="241" t="str">
        <f>IF(C205="","",SUMIFS('ИТОГО Торговля'!$E$5:$E$300,'ИТОГО Торговля'!$B$5:$B$300,$B205)+SUMIFS('ИТОГО Лэндинг'!$E$5:$E$300,'ИТОГО Лэндинг'!$B$5:$B$300,$B205))</f>
        <v/>
      </c>
      <c r="F205" s="240" t="str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 t="str">
        <f>IF(F205="","",H205/F205)</f>
        <v/>
      </c>
      <c r="H205" s="241" t="str">
        <f>IF(F205="","",SUMIFS('ИТОГО Торговля'!$H$5:$H$300,'ИТОГО Торговля'!$B$5:$B$300,$B205)+SUMIFS('ИТОГО Лэндинг'!$H$5:$H$300,'ИТОГО Лэндинг'!$B$5:$B$300,$B205))</f>
        <v/>
      </c>
      <c r="I205" s="240" t="str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 t="str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 t="str">
        <f>IF(C206="","",E206/C206)</f>
        <v/>
      </c>
      <c r="E206" s="247" t="str">
        <f>IF(C206="","",SUMIFS('ИТОГО Торговля'!$E$5:$E$300,'ИТОГО Торговля'!$B$5:$B$300,$B206)+SUMIFS('ИТОГО Лэндинг'!$E$5:$E$300,'ИТОГО Лэндинг'!$B$5:$B$300,$B206))</f>
        <v/>
      </c>
      <c r="F206" s="246" t="str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 t="str">
        <f>IF(F206="","",H206/F206)</f>
        <v/>
      </c>
      <c r="H206" s="247" t="str">
        <f>IF(F206="","",SUMIFS('ИТОГО Торговля'!$H$5:$H$300,'ИТОГО Торговля'!$B$5:$B$300,$B206)+SUMIFS('ИТОГО Лэндинг'!$H$5:$H$300,'ИТОГО Лэндинг'!$B$5:$B$300,$B206))</f>
        <v/>
      </c>
      <c r="I206" s="246" t="str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 t="str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 t="str">
        <f>IF(C207="","",E207/C207)</f>
        <v/>
      </c>
      <c r="E207" s="241" t="str">
        <f>IF(C207="","",SUMIFS('ИТОГО Торговля'!$E$5:$E$300,'ИТОГО Торговля'!$B$5:$B$300,$B207)+SUMIFS('ИТОГО Лэндинг'!$E$5:$E$300,'ИТОГО Лэндинг'!$B$5:$B$300,$B207))</f>
        <v/>
      </c>
      <c r="F207" s="240" t="str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 t="str">
        <f>IF(F207="","",H207/F207)</f>
        <v/>
      </c>
      <c r="H207" s="241" t="str">
        <f>IF(F207="","",SUMIFS('ИТОГО Торговля'!$H$5:$H$300,'ИТОГО Торговля'!$B$5:$B$300,$B207)+SUMIFS('ИТОГО Лэндинг'!$H$5:$H$300,'ИТОГО Лэндинг'!$B$5:$B$300,$B207))</f>
        <v/>
      </c>
      <c r="I207" s="240" t="str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 t="str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 t="str">
        <f>IF(C208="","",E208/C208)</f>
        <v/>
      </c>
      <c r="E208" s="247" t="str">
        <f>IF(C208="","",SUMIFS('ИТОГО Торговля'!$E$5:$E$300,'ИТОГО Торговля'!$B$5:$B$300,$B208)+SUMIFS('ИТОГО Лэндинг'!$E$5:$E$300,'ИТОГО Лэндинг'!$B$5:$B$300,$B208))</f>
        <v/>
      </c>
      <c r="F208" s="246" t="str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 t="str">
        <f>IF(F208="","",H208/F208)</f>
        <v/>
      </c>
      <c r="H208" s="247" t="str">
        <f>IF(F208="","",SUMIFS('ИТОГО Торговля'!$H$5:$H$300,'ИТОГО Торговля'!$B$5:$B$300,$B208)+SUMIFS('ИТОГО Лэндинг'!$H$5:$H$300,'ИТОГО Лэндинг'!$B$5:$B$300,$B208))</f>
        <v/>
      </c>
      <c r="I208" s="246" t="str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 t="str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 t="str">
        <f>IF(C209="","",E209/C209)</f>
        <v/>
      </c>
      <c r="E209" s="241" t="str">
        <f>IF(C209="","",SUMIFS('ИТОГО Торговля'!$E$5:$E$300,'ИТОГО Торговля'!$B$5:$B$300,$B209)+SUMIFS('ИТОГО Лэндинг'!$E$5:$E$300,'ИТОГО Лэндинг'!$B$5:$B$300,$B209))</f>
        <v/>
      </c>
      <c r="F209" s="240" t="str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 t="str">
        <f>IF(F209="","",H209/F209)</f>
        <v/>
      </c>
      <c r="H209" s="241" t="str">
        <f>IF(F209="","",SUMIFS('ИТОГО Торговля'!$H$5:$H$300,'ИТОГО Торговля'!$B$5:$B$300,$B209)+SUMIFS('ИТОГО Лэндинг'!$H$5:$H$300,'ИТОГО Лэндинг'!$B$5:$B$300,$B209))</f>
        <v/>
      </c>
      <c r="I209" s="240" t="str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 t="str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 t="str">
        <f>IF(C210="","",E210/C210)</f>
        <v/>
      </c>
      <c r="E210" s="247" t="str">
        <f>IF(C210="","",SUMIFS('ИТОГО Торговля'!$E$5:$E$300,'ИТОГО Торговля'!$B$5:$B$300,$B210)+SUMIFS('ИТОГО Лэндинг'!$E$5:$E$300,'ИТОГО Лэндинг'!$B$5:$B$300,$B210))</f>
        <v/>
      </c>
      <c r="F210" s="246" t="str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 t="str">
        <f>IF(F210="","",H210/F210)</f>
        <v/>
      </c>
      <c r="H210" s="247" t="str">
        <f>IF(F210="","",SUMIFS('ИТОГО Торговля'!$H$5:$H$300,'ИТОГО Торговля'!$B$5:$B$300,$B210)+SUMIFS('ИТОГО Лэндинг'!$H$5:$H$300,'ИТОГО Лэндинг'!$B$5:$B$300,$B210))</f>
        <v/>
      </c>
      <c r="I210" s="246" t="str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 t="str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 t="str">
        <f>IF(C211="","",E211/C211)</f>
        <v/>
      </c>
      <c r="E211" s="241" t="str">
        <f>IF(C211="","",SUMIFS('ИТОГО Торговля'!$E$5:$E$300,'ИТОГО Торговля'!$B$5:$B$300,$B211)+SUMIFS('ИТОГО Лэндинг'!$E$5:$E$300,'ИТОГО Лэндинг'!$B$5:$B$300,$B211))</f>
        <v/>
      </c>
      <c r="F211" s="240" t="str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 t="str">
        <f>IF(F211="","",H211/F211)</f>
        <v/>
      </c>
      <c r="H211" s="241" t="str">
        <f>IF(F211="","",SUMIFS('ИТОГО Торговля'!$H$5:$H$300,'ИТОГО Торговля'!$B$5:$B$300,$B211)+SUMIFS('ИТОГО Лэндинг'!$H$5:$H$300,'ИТОГО Лэндинг'!$B$5:$B$300,$B211))</f>
        <v/>
      </c>
      <c r="I211" s="240" t="str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 t="str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 t="str">
        <f>IF(C212="","",E212/C212)</f>
        <v/>
      </c>
      <c r="E212" s="247" t="str">
        <f>IF(C212="","",SUMIFS('ИТОГО Торговля'!$E$5:$E$300,'ИТОГО Торговля'!$B$5:$B$300,$B212)+SUMIFS('ИТОГО Лэндинг'!$E$5:$E$300,'ИТОГО Лэндинг'!$B$5:$B$300,$B212))</f>
        <v/>
      </c>
      <c r="F212" s="246" t="str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 t="str">
        <f>IF(F212="","",H212/F212)</f>
        <v/>
      </c>
      <c r="H212" s="247" t="str">
        <f>IF(F212="","",SUMIFS('ИТОГО Торговля'!$H$5:$H$300,'ИТОГО Торговля'!$B$5:$B$300,$B212)+SUMIFS('ИТОГО Лэндинг'!$H$5:$H$300,'ИТОГО Лэндинг'!$B$5:$B$300,$B212))</f>
        <v/>
      </c>
      <c r="I212" s="246" t="str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 t="str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 t="str">
        <f>IF(C213="","",E213/C213)</f>
        <v/>
      </c>
      <c r="E213" s="241" t="str">
        <f>IF(C213="","",SUMIFS('ИТОГО Торговля'!$E$5:$E$300,'ИТОГО Торговля'!$B$5:$B$300,$B213)+SUMIFS('ИТОГО Лэндинг'!$E$5:$E$300,'ИТОГО Лэндинг'!$B$5:$B$300,$B213))</f>
        <v/>
      </c>
      <c r="F213" s="240" t="str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 t="str">
        <f>IF(F213="","",H213/F213)</f>
        <v/>
      </c>
      <c r="H213" s="241" t="str">
        <f>IF(F213="","",SUMIFS('ИТОГО Торговля'!$H$5:$H$300,'ИТОГО Торговля'!$B$5:$B$300,$B213)+SUMIFS('ИТОГО Лэндинг'!$H$5:$H$300,'ИТОГО Лэндинг'!$B$5:$B$300,$B213))</f>
        <v/>
      </c>
      <c r="I213" s="240" t="str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 t="str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 t="str">
        <f>IF(C214="","",E214/C214)</f>
        <v/>
      </c>
      <c r="E214" s="247" t="str">
        <f>IF(C214="","",SUMIFS('ИТОГО Торговля'!$E$5:$E$300,'ИТОГО Торговля'!$B$5:$B$300,$B214)+SUMIFS('ИТОГО Лэндинг'!$E$5:$E$300,'ИТОГО Лэндинг'!$B$5:$B$300,$B214))</f>
        <v/>
      </c>
      <c r="F214" s="246" t="str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 t="str">
        <f>IF(F214="","",H214/F214)</f>
        <v/>
      </c>
      <c r="H214" s="247" t="str">
        <f>IF(F214="","",SUMIFS('ИТОГО Торговля'!$H$5:$H$300,'ИТОГО Торговля'!$B$5:$B$300,$B214)+SUMIFS('ИТОГО Лэндинг'!$H$5:$H$300,'ИТОГО Лэндинг'!$B$5:$B$300,$B214))</f>
        <v/>
      </c>
      <c r="I214" s="246" t="str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 t="str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 t="str">
        <f>IF(C215="","",E215/C215)</f>
        <v/>
      </c>
      <c r="E215" s="241" t="str">
        <f>IF(C215="","",SUMIFS('ИТОГО Торговля'!$E$5:$E$300,'ИТОГО Торговля'!$B$5:$B$300,$B215)+SUMIFS('ИТОГО Лэндинг'!$E$5:$E$300,'ИТОГО Лэндинг'!$B$5:$B$300,$B215))</f>
        <v/>
      </c>
      <c r="F215" s="240" t="str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 t="str">
        <f>IF(F215="","",H215/F215)</f>
        <v/>
      </c>
      <c r="H215" s="241" t="str">
        <f>IF(F215="","",SUMIFS('ИТОГО Торговля'!$H$5:$H$300,'ИТОГО Торговля'!$B$5:$B$300,$B215)+SUMIFS('ИТОГО Лэндинг'!$H$5:$H$300,'ИТОГО Лэндинг'!$B$5:$B$300,$B215))</f>
        <v/>
      </c>
      <c r="I215" s="240" t="str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 t="str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 t="str">
        <f>IF(C216="","",E216/C216)</f>
        <v/>
      </c>
      <c r="E216" s="247" t="str">
        <f>IF(C216="","",SUMIFS('ИТОГО Торговля'!$E$5:$E$300,'ИТОГО Торговля'!$B$5:$B$300,$B216)+SUMIFS('ИТОГО Лэндинг'!$E$5:$E$300,'ИТОГО Лэндинг'!$B$5:$B$300,$B216))</f>
        <v/>
      </c>
      <c r="F216" s="246" t="str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 t="str">
        <f>IF(F216="","",H216/F216)</f>
        <v/>
      </c>
      <c r="H216" s="247" t="str">
        <f>IF(F216="","",SUMIFS('ИТОГО Торговля'!$H$5:$H$300,'ИТОГО Торговля'!$B$5:$B$300,$B216)+SUMIFS('ИТОГО Лэндинг'!$H$5:$H$300,'ИТОГО Лэндинг'!$B$5:$B$300,$B216))</f>
        <v/>
      </c>
      <c r="I216" s="246" t="str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 t="str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 t="str">
        <f>IF(C217="","",E217/C217)</f>
        <v/>
      </c>
      <c r="E217" s="241" t="str">
        <f>IF(C217="","",SUMIFS('ИТОГО Торговля'!$E$5:$E$300,'ИТОГО Торговля'!$B$5:$B$300,$B217)+SUMIFS('ИТОГО Лэндинг'!$E$5:$E$300,'ИТОГО Лэндинг'!$B$5:$B$300,$B217))</f>
        <v/>
      </c>
      <c r="F217" s="240" t="str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 t="str">
        <f>IF(F217="","",H217/F217)</f>
        <v/>
      </c>
      <c r="H217" s="241" t="str">
        <f>IF(F217="","",SUMIFS('ИТОГО Торговля'!$H$5:$H$300,'ИТОГО Торговля'!$B$5:$B$300,$B217)+SUMIFS('ИТОГО Лэндинг'!$H$5:$H$300,'ИТОГО Лэндинг'!$B$5:$B$300,$B217))</f>
        <v/>
      </c>
      <c r="I217" s="240" t="str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 t="str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 t="str">
        <f>IF(C218="","",E218/C218)</f>
        <v/>
      </c>
      <c r="E218" s="247" t="str">
        <f>IF(C218="","",SUMIFS('ИТОГО Торговля'!$E$5:$E$300,'ИТОГО Торговля'!$B$5:$B$300,$B218)+SUMIFS('ИТОГО Лэндинг'!$E$5:$E$300,'ИТОГО Лэндинг'!$B$5:$B$300,$B218))</f>
        <v/>
      </c>
      <c r="F218" s="246" t="str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 t="str">
        <f>IF(F218="","",H218/F218)</f>
        <v/>
      </c>
      <c r="H218" s="247" t="str">
        <f>IF(F218="","",SUMIFS('ИТОГО Торговля'!$H$5:$H$300,'ИТОГО Торговля'!$B$5:$B$300,$B218)+SUMIFS('ИТОГО Лэндинг'!$H$5:$H$300,'ИТОГО Лэндинг'!$B$5:$B$300,$B218))</f>
        <v/>
      </c>
      <c r="I218" s="246" t="str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 t="str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 t="str">
        <f>IF(C219="","",E219/C219)</f>
        <v/>
      </c>
      <c r="E219" s="241" t="str">
        <f>IF(C219="","",SUMIFS('ИТОГО Торговля'!$E$5:$E$300,'ИТОГО Торговля'!$B$5:$B$300,$B219)+SUMIFS('ИТОГО Лэндинг'!$E$5:$E$300,'ИТОГО Лэндинг'!$B$5:$B$300,$B219))</f>
        <v/>
      </c>
      <c r="F219" s="240" t="str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 t="str">
        <f>IF(F219="","",H219/F219)</f>
        <v/>
      </c>
      <c r="H219" s="241" t="str">
        <f>IF(F219="","",SUMIFS('ИТОГО Торговля'!$H$5:$H$300,'ИТОГО Торговля'!$B$5:$B$300,$B219)+SUMIFS('ИТОГО Лэндинг'!$H$5:$H$300,'ИТОГО Лэндинг'!$B$5:$B$300,$B219))</f>
        <v/>
      </c>
      <c r="I219" s="240" t="str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 t="str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 t="str">
        <f>IF(C220="","",E220/C220)</f>
        <v/>
      </c>
      <c r="E220" s="247" t="str">
        <f>IF(C220="","",SUMIFS('ИТОГО Торговля'!$E$5:$E$300,'ИТОГО Торговля'!$B$5:$B$300,$B220)+SUMIFS('ИТОГО Лэндинг'!$E$5:$E$300,'ИТОГО Лэндинг'!$B$5:$B$300,$B220))</f>
        <v/>
      </c>
      <c r="F220" s="246" t="str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 t="str">
        <f>IF(F220="","",H220/F220)</f>
        <v/>
      </c>
      <c r="H220" s="247" t="str">
        <f>IF(F220="","",SUMIFS('ИТОГО Торговля'!$H$5:$H$300,'ИТОГО Торговля'!$B$5:$B$300,$B220)+SUMIFS('ИТОГО Лэндинг'!$H$5:$H$300,'ИТОГО Лэндинг'!$B$5:$B$300,$B220))</f>
        <v/>
      </c>
      <c r="I220" s="246" t="str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 t="str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 t="str">
        <f>IF(C221="","",E221/C221)</f>
        <v/>
      </c>
      <c r="E221" s="241" t="str">
        <f>IF(C221="","",SUMIFS('ИТОГО Торговля'!$E$5:$E$300,'ИТОГО Торговля'!$B$5:$B$300,$B221)+SUMIFS('ИТОГО Лэндинг'!$E$5:$E$300,'ИТОГО Лэндинг'!$B$5:$B$300,$B221))</f>
        <v/>
      </c>
      <c r="F221" s="240" t="str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 t="str">
        <f>IF(F221="","",H221/F221)</f>
        <v/>
      </c>
      <c r="H221" s="241" t="str">
        <f>IF(F221="","",SUMIFS('ИТОГО Торговля'!$H$5:$H$300,'ИТОГО Торговля'!$B$5:$B$300,$B221)+SUMIFS('ИТОГО Лэндинг'!$H$5:$H$300,'ИТОГО Лэндинг'!$B$5:$B$300,$B221))</f>
        <v/>
      </c>
      <c r="I221" s="240" t="str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 t="str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 t="str">
        <f>IF(C222="","",E222/C222)</f>
        <v/>
      </c>
      <c r="E222" s="247" t="str">
        <f>IF(C222="","",SUMIFS('ИТОГО Торговля'!$E$5:$E$300,'ИТОГО Торговля'!$B$5:$B$300,$B222)+SUMIFS('ИТОГО Лэндинг'!$E$5:$E$300,'ИТОГО Лэндинг'!$B$5:$B$300,$B222))</f>
        <v/>
      </c>
      <c r="F222" s="246" t="str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 t="str">
        <f>IF(F222="","",H222/F222)</f>
        <v/>
      </c>
      <c r="H222" s="247" t="str">
        <f>IF(F222="","",SUMIFS('ИТОГО Торговля'!$H$5:$H$300,'ИТОГО Торговля'!$B$5:$B$300,$B222)+SUMIFS('ИТОГО Лэндинг'!$H$5:$H$300,'ИТОГО Лэндинг'!$B$5:$B$300,$B222))</f>
        <v/>
      </c>
      <c r="I222" s="246" t="str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 t="str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 t="str">
        <f>IF(C223="","",E223/C223)</f>
        <v/>
      </c>
      <c r="E223" s="241" t="str">
        <f>IF(C223="","",SUMIFS('ИТОГО Торговля'!$E$5:$E$300,'ИТОГО Торговля'!$B$5:$B$300,$B223)+SUMIFS('ИТОГО Лэндинг'!$E$5:$E$300,'ИТОГО Лэндинг'!$B$5:$B$300,$B223))</f>
        <v/>
      </c>
      <c r="F223" s="240" t="str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 t="str">
        <f>IF(F223="","",H223/F223)</f>
        <v/>
      </c>
      <c r="H223" s="241" t="str">
        <f>IF(F223="","",SUMIFS('ИТОГО Торговля'!$H$5:$H$300,'ИТОГО Торговля'!$B$5:$B$300,$B223)+SUMIFS('ИТОГО Лэндинг'!$H$5:$H$300,'ИТОГО Лэндинг'!$B$5:$B$300,$B223))</f>
        <v/>
      </c>
      <c r="I223" s="240" t="str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 t="str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 t="str">
        <f>IF(C224="","",E224/C224)</f>
        <v/>
      </c>
      <c r="E224" s="247" t="str">
        <f>IF(C224="","",SUMIFS('ИТОГО Торговля'!$E$5:$E$300,'ИТОГО Торговля'!$B$5:$B$300,$B224)+SUMIFS('ИТОГО Лэндинг'!$E$5:$E$300,'ИТОГО Лэндинг'!$B$5:$B$300,$B224))</f>
        <v/>
      </c>
      <c r="F224" s="246" t="str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 t="str">
        <f>IF(F224="","",H224/F224)</f>
        <v/>
      </c>
      <c r="H224" s="247" t="str">
        <f>IF(F224="","",SUMIFS('ИТОГО Торговля'!$H$5:$H$300,'ИТОГО Торговля'!$B$5:$B$300,$B224)+SUMIFS('ИТОГО Лэндинг'!$H$5:$H$300,'ИТОГО Лэндинг'!$B$5:$B$300,$B224))</f>
        <v/>
      </c>
      <c r="I224" s="246" t="str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 t="str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 t="str">
        <f>IF(C225="","",E225/C225)</f>
        <v/>
      </c>
      <c r="E225" s="241" t="str">
        <f>IF(C225="","",SUMIFS('ИТОГО Торговля'!$E$5:$E$300,'ИТОГО Торговля'!$B$5:$B$300,$B225)+SUMIFS('ИТОГО Лэндинг'!$E$5:$E$300,'ИТОГО Лэндинг'!$B$5:$B$300,$B225))</f>
        <v/>
      </c>
      <c r="F225" s="240" t="str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 t="str">
        <f>IF(F225="","",H225/F225)</f>
        <v/>
      </c>
      <c r="H225" s="241" t="str">
        <f>IF(F225="","",SUMIFS('ИТОГО Торговля'!$H$5:$H$300,'ИТОГО Торговля'!$B$5:$B$300,$B225)+SUMIFS('ИТОГО Лэндинг'!$H$5:$H$300,'ИТОГО Лэндинг'!$B$5:$B$300,$B225))</f>
        <v/>
      </c>
      <c r="I225" s="240" t="str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 t="str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 t="str">
        <f>IF(C226="","",E226/C226)</f>
        <v/>
      </c>
      <c r="E226" s="247" t="str">
        <f>IF(C226="","",SUMIFS('ИТОГО Торговля'!$E$5:$E$300,'ИТОГО Торговля'!$B$5:$B$300,$B226)+SUMIFS('ИТОГО Лэндинг'!$E$5:$E$300,'ИТОГО Лэндинг'!$B$5:$B$300,$B226))</f>
        <v/>
      </c>
      <c r="F226" s="246" t="str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 t="str">
        <f>IF(F226="","",H226/F226)</f>
        <v/>
      </c>
      <c r="H226" s="247" t="str">
        <f>IF(F226="","",SUMIFS('ИТОГО Торговля'!$H$5:$H$300,'ИТОГО Торговля'!$B$5:$B$300,$B226)+SUMIFS('ИТОГО Лэндинг'!$H$5:$H$300,'ИТОГО Лэндинг'!$B$5:$B$300,$B226))</f>
        <v/>
      </c>
      <c r="I226" s="246" t="str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 t="str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 t="str">
        <f>IF(C227="","",E227/C227)</f>
        <v/>
      </c>
      <c r="E227" s="241" t="str">
        <f>IF(C227="","",SUMIFS('ИТОГО Торговля'!$E$5:$E$300,'ИТОГО Торговля'!$B$5:$B$300,$B227)+SUMIFS('ИТОГО Лэндинг'!$E$5:$E$300,'ИТОГО Лэндинг'!$B$5:$B$300,$B227))</f>
        <v/>
      </c>
      <c r="F227" s="240" t="str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 t="str">
        <f>IF(F227="","",H227/F227)</f>
        <v/>
      </c>
      <c r="H227" s="241" t="str">
        <f>IF(F227="","",SUMIFS('ИТОГО Торговля'!$H$5:$H$300,'ИТОГО Торговля'!$B$5:$B$300,$B227)+SUMIFS('ИТОГО Лэндинг'!$H$5:$H$300,'ИТОГО Лэндинг'!$B$5:$B$300,$B227))</f>
        <v/>
      </c>
      <c r="I227" s="240" t="str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 t="str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 t="str">
        <f>IF(C228="","",E228/C228)</f>
        <v/>
      </c>
      <c r="E228" s="247" t="str">
        <f>IF(C228="","",SUMIFS('ИТОГО Торговля'!$E$5:$E$300,'ИТОГО Торговля'!$B$5:$B$300,$B228)+SUMIFS('ИТОГО Лэндинг'!$E$5:$E$300,'ИТОГО Лэндинг'!$B$5:$B$300,$B228))</f>
        <v/>
      </c>
      <c r="F228" s="246" t="str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 t="str">
        <f>IF(F228="","",H228/F228)</f>
        <v/>
      </c>
      <c r="H228" s="247" t="str">
        <f>IF(F228="","",SUMIFS('ИТОГО Торговля'!$H$5:$H$300,'ИТОГО Торговля'!$B$5:$B$300,$B228)+SUMIFS('ИТОГО Лэндинг'!$H$5:$H$300,'ИТОГО Лэндинг'!$B$5:$B$300,$B228))</f>
        <v/>
      </c>
      <c r="I228" s="246" t="str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 t="str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 t="str">
        <f>IF(C229="","",E229/C229)</f>
        <v/>
      </c>
      <c r="E229" s="241" t="str">
        <f>IF(C229="","",SUMIFS('ИТОГО Торговля'!$E$5:$E$300,'ИТОГО Торговля'!$B$5:$B$300,$B229)+SUMIFS('ИТОГО Лэндинг'!$E$5:$E$300,'ИТОГО Лэндинг'!$B$5:$B$300,$B229))</f>
        <v/>
      </c>
      <c r="F229" s="240" t="str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 t="str">
        <f>IF(F229="","",H229/F229)</f>
        <v/>
      </c>
      <c r="H229" s="241" t="str">
        <f>IF(F229="","",SUMIFS('ИТОГО Торговля'!$H$5:$H$300,'ИТОГО Торговля'!$B$5:$B$300,$B229)+SUMIFS('ИТОГО Лэндинг'!$H$5:$H$300,'ИТОГО Лэндинг'!$B$5:$B$300,$B229))</f>
        <v/>
      </c>
      <c r="I229" s="240" t="str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 t="str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 t="str">
        <f>IF(C230="","",E230/C230)</f>
        <v/>
      </c>
      <c r="E230" s="247" t="str">
        <f>IF(C230="","",SUMIFS('ИТОГО Торговля'!$E$5:$E$300,'ИТОГО Торговля'!$B$5:$B$300,$B230)+SUMIFS('ИТОГО Лэндинг'!$E$5:$E$300,'ИТОГО Лэндинг'!$B$5:$B$300,$B230))</f>
        <v/>
      </c>
      <c r="F230" s="246" t="str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 t="str">
        <f>IF(F230="","",H230/F230)</f>
        <v/>
      </c>
      <c r="H230" s="247" t="str">
        <f>IF(F230="","",SUMIFS('ИТОГО Торговля'!$H$5:$H$300,'ИТОГО Торговля'!$B$5:$B$300,$B230)+SUMIFS('ИТОГО Лэндинг'!$H$5:$H$300,'ИТОГО Лэндинг'!$B$5:$B$300,$B230))</f>
        <v/>
      </c>
      <c r="I230" s="246" t="str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 t="str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 t="str">
        <f>IF(C231="","",E231/C231)</f>
        <v/>
      </c>
      <c r="E231" s="241" t="str">
        <f>IF(C231="","",SUMIFS('ИТОГО Торговля'!$E$5:$E$300,'ИТОГО Торговля'!$B$5:$B$300,$B231)+SUMIFS('ИТОГО Лэндинг'!$E$5:$E$300,'ИТОГО Лэндинг'!$B$5:$B$300,$B231))</f>
        <v/>
      </c>
      <c r="F231" s="240" t="str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 t="str">
        <f>IF(F231="","",H231/F231)</f>
        <v/>
      </c>
      <c r="H231" s="241" t="str">
        <f>IF(F231="","",SUMIFS('ИТОГО Торговля'!$H$5:$H$300,'ИТОГО Торговля'!$B$5:$B$300,$B231)+SUMIFS('ИТОГО Лэндинг'!$H$5:$H$300,'ИТОГО Лэндинг'!$B$5:$B$300,$B231))</f>
        <v/>
      </c>
      <c r="I231" s="240" t="str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 t="str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 t="str">
        <f>IF(C232="","",E232/C232)</f>
        <v/>
      </c>
      <c r="E232" s="247" t="str">
        <f>IF(C232="","",SUMIFS('ИТОГО Торговля'!$E$5:$E$300,'ИТОГО Торговля'!$B$5:$B$300,$B232)+SUMIFS('ИТОГО Лэндинг'!$E$5:$E$300,'ИТОГО Лэндинг'!$B$5:$B$300,$B232))</f>
        <v/>
      </c>
      <c r="F232" s="246" t="str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 t="str">
        <f>IF(F232="","",H232/F232)</f>
        <v/>
      </c>
      <c r="H232" s="247" t="str">
        <f>IF(F232="","",SUMIFS('ИТОГО Торговля'!$H$5:$H$300,'ИТОГО Торговля'!$B$5:$B$300,$B232)+SUMIFS('ИТОГО Лэндинг'!$H$5:$H$300,'ИТОГО Лэндинг'!$B$5:$B$300,$B232))</f>
        <v/>
      </c>
      <c r="I232" s="246" t="str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 t="str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 t="str">
        <f>IF(C233="","",E233/C233)</f>
        <v/>
      </c>
      <c r="E233" s="241" t="str">
        <f>IF(C233="","",SUMIFS('ИТОГО Торговля'!$E$5:$E$300,'ИТОГО Торговля'!$B$5:$B$300,$B233)+SUMIFS('ИТОГО Лэндинг'!$E$5:$E$300,'ИТОГО Лэндинг'!$B$5:$B$300,$B233))</f>
        <v/>
      </c>
      <c r="F233" s="240" t="str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 t="str">
        <f>IF(F233="","",H233/F233)</f>
        <v/>
      </c>
      <c r="H233" s="241" t="str">
        <f>IF(F233="","",SUMIFS('ИТОГО Торговля'!$H$5:$H$300,'ИТОГО Торговля'!$B$5:$B$300,$B233)+SUMIFS('ИТОГО Лэндинг'!$H$5:$H$300,'ИТОГО Лэндинг'!$B$5:$B$300,$B233))</f>
        <v/>
      </c>
      <c r="I233" s="240" t="str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 t="str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 t="str">
        <f>IF(C234="","",E234/C234)</f>
        <v/>
      </c>
      <c r="E234" s="247" t="str">
        <f>IF(C234="","",SUMIFS('ИТОГО Торговля'!$E$5:$E$300,'ИТОГО Торговля'!$B$5:$B$300,$B234)+SUMIFS('ИТОГО Лэндинг'!$E$5:$E$300,'ИТОГО Лэндинг'!$B$5:$B$300,$B234))</f>
        <v/>
      </c>
      <c r="F234" s="246" t="str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 t="str">
        <f>IF(F234="","",H234/F234)</f>
        <v/>
      </c>
      <c r="H234" s="247" t="str">
        <f>IF(F234="","",SUMIFS('ИТОГО Торговля'!$H$5:$H$300,'ИТОГО Торговля'!$B$5:$B$300,$B234)+SUMIFS('ИТОГО Лэндинг'!$H$5:$H$300,'ИТОГО Лэндинг'!$B$5:$B$300,$B234))</f>
        <v/>
      </c>
      <c r="I234" s="246" t="str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 t="str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 t="str">
        <f>IF(C235="","",E235/C235)</f>
        <v/>
      </c>
      <c r="E235" s="241" t="str">
        <f>IF(C235="","",SUMIFS('ИТОГО Торговля'!$E$5:$E$300,'ИТОГО Торговля'!$B$5:$B$300,$B235)+SUMIFS('ИТОГО Лэндинг'!$E$5:$E$300,'ИТОГО Лэндинг'!$B$5:$B$300,$B235))</f>
        <v/>
      </c>
      <c r="F235" s="240" t="str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 t="str">
        <f>IF(F235="","",H235/F235)</f>
        <v/>
      </c>
      <c r="H235" s="241" t="str">
        <f>IF(F235="","",SUMIFS('ИТОГО Торговля'!$H$5:$H$300,'ИТОГО Торговля'!$B$5:$B$300,$B235)+SUMIFS('ИТОГО Лэндинг'!$H$5:$H$300,'ИТОГО Лэндинг'!$B$5:$B$300,$B235))</f>
        <v/>
      </c>
      <c r="I235" s="240" t="str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 t="str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 t="str">
        <f>IF(C236="","",E236/C236)</f>
        <v/>
      </c>
      <c r="E236" s="247" t="str">
        <f>IF(C236="","",SUMIFS('ИТОГО Торговля'!$E$5:$E$300,'ИТОГО Торговля'!$B$5:$B$300,$B236)+SUMIFS('ИТОГО Лэндинг'!$E$5:$E$300,'ИТОГО Лэндинг'!$B$5:$B$300,$B236))</f>
        <v/>
      </c>
      <c r="F236" s="246" t="str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 t="str">
        <f>IF(F236="","",H236/F236)</f>
        <v/>
      </c>
      <c r="H236" s="247" t="str">
        <f>IF(F236="","",SUMIFS('ИТОГО Торговля'!$H$5:$H$300,'ИТОГО Торговля'!$B$5:$B$300,$B236)+SUMIFS('ИТОГО Лэндинг'!$H$5:$H$300,'ИТОГО Лэндинг'!$B$5:$B$300,$B236))</f>
        <v/>
      </c>
      <c r="I236" s="246" t="str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 t="str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 t="str">
        <f>IF(C237="","",E237/C237)</f>
        <v/>
      </c>
      <c r="E237" s="241" t="str">
        <f>IF(C237="","",SUMIFS('ИТОГО Торговля'!$E$5:$E$300,'ИТОГО Торговля'!$B$5:$B$300,$B237)+SUMIFS('ИТОГО Лэндинг'!$E$5:$E$300,'ИТОГО Лэндинг'!$B$5:$B$300,$B237))</f>
        <v/>
      </c>
      <c r="F237" s="240" t="str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 t="str">
        <f>IF(F237="","",H237/F237)</f>
        <v/>
      </c>
      <c r="H237" s="241" t="str">
        <f>IF(F237="","",SUMIFS('ИТОГО Торговля'!$H$5:$H$300,'ИТОГО Торговля'!$B$5:$B$300,$B237)+SUMIFS('ИТОГО Лэндинг'!$H$5:$H$300,'ИТОГО Лэндинг'!$B$5:$B$300,$B237))</f>
        <v/>
      </c>
      <c r="I237" s="240" t="str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 t="str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 t="str">
        <f>IF(C238="","",E238/C238)</f>
        <v/>
      </c>
      <c r="E238" s="247" t="str">
        <f>IF(C238="","",SUMIFS('ИТОГО Торговля'!$E$5:$E$300,'ИТОГО Торговля'!$B$5:$B$300,$B238)+SUMIFS('ИТОГО Лэндинг'!$E$5:$E$300,'ИТОГО Лэндинг'!$B$5:$B$300,$B238))</f>
        <v/>
      </c>
      <c r="F238" s="246" t="str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 t="str">
        <f>IF(F238="","",H238/F238)</f>
        <v/>
      </c>
      <c r="H238" s="247" t="str">
        <f>IF(F238="","",SUMIFS('ИТОГО Торговля'!$H$5:$H$300,'ИТОГО Торговля'!$B$5:$B$300,$B238)+SUMIFS('ИТОГО Лэндинг'!$H$5:$H$300,'ИТОГО Лэндинг'!$B$5:$B$300,$B238))</f>
        <v/>
      </c>
      <c r="I238" s="246" t="str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 t="str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 t="str">
        <f>IF(C239="","",E239/C239)</f>
        <v/>
      </c>
      <c r="E239" s="241" t="str">
        <f>IF(C239="","",SUMIFS('ИТОГО Торговля'!$E$5:$E$300,'ИТОГО Торговля'!$B$5:$B$300,$B239)+SUMIFS('ИТОГО Лэндинг'!$E$5:$E$300,'ИТОГО Лэндинг'!$B$5:$B$300,$B239))</f>
        <v/>
      </c>
      <c r="F239" s="240" t="str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 t="str">
        <f>IF(F239="","",H239/F239)</f>
        <v/>
      </c>
      <c r="H239" s="241" t="str">
        <f>IF(F239="","",SUMIFS('ИТОГО Торговля'!$H$5:$H$300,'ИТОГО Торговля'!$B$5:$B$300,$B239)+SUMIFS('ИТОГО Лэндинг'!$H$5:$H$300,'ИТОГО Лэндинг'!$B$5:$B$300,$B239))</f>
        <v/>
      </c>
      <c r="I239" s="240" t="str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 t="str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 t="str">
        <f>IF(C240="","",E240/C240)</f>
        <v/>
      </c>
      <c r="E240" s="247" t="str">
        <f>IF(C240="","",SUMIFS('ИТОГО Торговля'!$E$5:$E$300,'ИТОГО Торговля'!$B$5:$B$300,$B240)+SUMIFS('ИТОГО Лэндинг'!$E$5:$E$300,'ИТОГО Лэндинг'!$B$5:$B$300,$B240))</f>
        <v/>
      </c>
      <c r="F240" s="246" t="str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 t="str">
        <f>IF(F240="","",H240/F240)</f>
        <v/>
      </c>
      <c r="H240" s="247" t="str">
        <f>IF(F240="","",SUMIFS('ИТОГО Торговля'!$H$5:$H$300,'ИТОГО Торговля'!$B$5:$B$300,$B240)+SUMIFS('ИТОГО Лэндинг'!$H$5:$H$300,'ИТОГО Лэндинг'!$B$5:$B$300,$B240))</f>
        <v/>
      </c>
      <c r="I240" s="246" t="str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 t="str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 t="str">
        <f>IF(C241="","",E241/C241)</f>
        <v/>
      </c>
      <c r="E241" s="241" t="str">
        <f>IF(C241="","",SUMIFS('ИТОГО Торговля'!$E$5:$E$300,'ИТОГО Торговля'!$B$5:$B$300,$B241)+SUMIFS('ИТОГО Лэндинг'!$E$5:$E$300,'ИТОГО Лэндинг'!$B$5:$B$300,$B241))</f>
        <v/>
      </c>
      <c r="F241" s="240" t="str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 t="str">
        <f>IF(F241="","",H241/F241)</f>
        <v/>
      </c>
      <c r="H241" s="241" t="str">
        <f>IF(F241="","",SUMIFS('ИТОГО Торговля'!$H$5:$H$300,'ИТОГО Торговля'!$B$5:$B$300,$B241)+SUMIFS('ИТОГО Лэндинг'!$H$5:$H$300,'ИТОГО Лэндинг'!$B$5:$B$300,$B241))</f>
        <v/>
      </c>
      <c r="I241" s="240" t="str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 t="str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 t="str">
        <f>IF(C242="","",E242/C242)</f>
        <v/>
      </c>
      <c r="E242" s="247" t="str">
        <f>IF(C242="","",SUMIFS('ИТОГО Торговля'!$E$5:$E$300,'ИТОГО Торговля'!$B$5:$B$300,$B242)+SUMIFS('ИТОГО Лэндинг'!$E$5:$E$300,'ИТОГО Лэндинг'!$B$5:$B$300,$B242))</f>
        <v/>
      </c>
      <c r="F242" s="246" t="str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 t="str">
        <f>IF(F242="","",H242/F242)</f>
        <v/>
      </c>
      <c r="H242" s="247" t="str">
        <f>IF(F242="","",SUMIFS('ИТОГО Торговля'!$H$5:$H$300,'ИТОГО Торговля'!$B$5:$B$300,$B242)+SUMIFS('ИТОГО Лэндинг'!$H$5:$H$300,'ИТОГО Лэндинг'!$B$5:$B$300,$B242))</f>
        <v/>
      </c>
      <c r="I242" s="246" t="str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 t="str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 t="str">
        <f>IF(C243="","",E243/C243)</f>
        <v/>
      </c>
      <c r="E243" s="241" t="str">
        <f>IF(C243="","",SUMIFS('ИТОГО Торговля'!$E$5:$E$300,'ИТОГО Торговля'!$B$5:$B$300,$B243)+SUMIFS('ИТОГО Лэндинг'!$E$5:$E$300,'ИТОГО Лэндинг'!$B$5:$B$300,$B243))</f>
        <v/>
      </c>
      <c r="F243" s="240" t="str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 t="str">
        <f>IF(F243="","",H243/F243)</f>
        <v/>
      </c>
      <c r="H243" s="241" t="str">
        <f>IF(F243="","",SUMIFS('ИТОГО Торговля'!$H$5:$H$300,'ИТОГО Торговля'!$B$5:$B$300,$B243)+SUMIFS('ИТОГО Лэндинг'!$H$5:$H$300,'ИТОГО Лэндинг'!$B$5:$B$300,$B243))</f>
        <v/>
      </c>
      <c r="I243" s="240" t="str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 t="str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 t="str">
        <f>IF(C244="","",E244/C244)</f>
        <v/>
      </c>
      <c r="E244" s="247" t="str">
        <f>IF(C244="","",SUMIFS('ИТОГО Торговля'!$E$5:$E$300,'ИТОГО Торговля'!$B$5:$B$300,$B244)+SUMIFS('ИТОГО Лэндинг'!$E$5:$E$300,'ИТОГО Лэндинг'!$B$5:$B$300,$B244))</f>
        <v/>
      </c>
      <c r="F244" s="246" t="str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 t="str">
        <f>IF(F244="","",H244/F244)</f>
        <v/>
      </c>
      <c r="H244" s="247" t="str">
        <f>IF(F244="","",SUMIFS('ИТОГО Торговля'!$H$5:$H$300,'ИТОГО Торговля'!$B$5:$B$300,$B244)+SUMIFS('ИТОГО Лэндинг'!$H$5:$H$300,'ИТОГО Лэндинг'!$B$5:$B$300,$B244))</f>
        <v/>
      </c>
      <c r="I244" s="246" t="str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 t="str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 t="str">
        <f>IF(C245="","",E245/C245)</f>
        <v/>
      </c>
      <c r="E245" s="241" t="str">
        <f>IF(C245="","",SUMIFS('ИТОГО Торговля'!$E$5:$E$300,'ИТОГО Торговля'!$B$5:$B$300,$B245)+SUMIFS('ИТОГО Лэндинг'!$E$5:$E$300,'ИТОГО Лэндинг'!$B$5:$B$300,$B245))</f>
        <v/>
      </c>
      <c r="F245" s="240" t="str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 t="str">
        <f>IF(F245="","",H245/F245)</f>
        <v/>
      </c>
      <c r="H245" s="241" t="str">
        <f>IF(F245="","",SUMIFS('ИТОГО Торговля'!$H$5:$H$300,'ИТОГО Торговля'!$B$5:$B$300,$B245)+SUMIFS('ИТОГО Лэндинг'!$H$5:$H$300,'ИТОГО Лэндинг'!$B$5:$B$300,$B245))</f>
        <v/>
      </c>
      <c r="I245" s="240" t="str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 t="str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 t="str">
        <f>IF(C246="","",E246/C246)</f>
        <v/>
      </c>
      <c r="E246" s="247" t="str">
        <f>IF(C246="","",SUMIFS('ИТОГО Торговля'!$E$5:$E$300,'ИТОГО Торговля'!$B$5:$B$300,$B246)+SUMIFS('ИТОГО Лэндинг'!$E$5:$E$300,'ИТОГО Лэндинг'!$B$5:$B$300,$B246))</f>
        <v/>
      </c>
      <c r="F246" s="246" t="str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 t="str">
        <f>IF(F246="","",H246/F246)</f>
        <v/>
      </c>
      <c r="H246" s="247" t="str">
        <f>IF(F246="","",SUMIFS('ИТОГО Торговля'!$H$5:$H$300,'ИТОГО Торговля'!$B$5:$B$300,$B246)+SUMIFS('ИТОГО Лэндинг'!$H$5:$H$300,'ИТОГО Лэндинг'!$B$5:$B$300,$B246))</f>
        <v/>
      </c>
      <c r="I246" s="246" t="str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 t="str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 t="str">
        <f>IF(C247="","",E247/C247)</f>
        <v/>
      </c>
      <c r="E247" s="241" t="str">
        <f>IF(C247="","",SUMIFS('ИТОГО Торговля'!$E$5:$E$300,'ИТОГО Торговля'!$B$5:$B$300,$B247)+SUMIFS('ИТОГО Лэндинг'!$E$5:$E$300,'ИТОГО Лэндинг'!$B$5:$B$300,$B247))</f>
        <v/>
      </c>
      <c r="F247" s="240" t="str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 t="str">
        <f>IF(F247="","",H247/F247)</f>
        <v/>
      </c>
      <c r="H247" s="241" t="str">
        <f>IF(F247="","",SUMIFS('ИТОГО Торговля'!$H$5:$H$300,'ИТОГО Торговля'!$B$5:$B$300,$B247)+SUMIFS('ИТОГО Лэндинг'!$H$5:$H$300,'ИТОГО Лэндинг'!$B$5:$B$300,$B247))</f>
        <v/>
      </c>
      <c r="I247" s="240" t="str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 t="str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 t="str">
        <f>IF(C248="","",E248/C248)</f>
        <v/>
      </c>
      <c r="E248" s="247" t="str">
        <f>IF(C248="","",SUMIFS('ИТОГО Торговля'!$E$5:$E$300,'ИТОГО Торговля'!$B$5:$B$300,$B248)+SUMIFS('ИТОГО Лэндинг'!$E$5:$E$300,'ИТОГО Лэндинг'!$B$5:$B$300,$B248))</f>
        <v/>
      </c>
      <c r="F248" s="246" t="str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 t="str">
        <f>IF(F248="","",H248/F248)</f>
        <v/>
      </c>
      <c r="H248" s="247" t="str">
        <f>IF(F248="","",SUMIFS('ИТОГО Торговля'!$H$5:$H$300,'ИТОГО Торговля'!$B$5:$B$300,$B248)+SUMIFS('ИТОГО Лэндинг'!$H$5:$H$300,'ИТОГО Лэндинг'!$B$5:$B$300,$B248))</f>
        <v/>
      </c>
      <c r="I248" s="246" t="str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 t="str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 t="str">
        <f>IF(C249="","",E249/C249)</f>
        <v/>
      </c>
      <c r="E249" s="241" t="str">
        <f>IF(C249="","",SUMIFS('ИТОГО Торговля'!$E$5:$E$300,'ИТОГО Торговля'!$B$5:$B$300,$B249)+SUMIFS('ИТОГО Лэндинг'!$E$5:$E$300,'ИТОГО Лэндинг'!$B$5:$B$300,$B249))</f>
        <v/>
      </c>
      <c r="F249" s="240" t="str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 t="str">
        <f>IF(F249="","",H249/F249)</f>
        <v/>
      </c>
      <c r="H249" s="241" t="str">
        <f>IF(F249="","",SUMIFS('ИТОГО Торговля'!$H$5:$H$300,'ИТОГО Торговля'!$B$5:$B$300,$B249)+SUMIFS('ИТОГО Лэндинг'!$H$5:$H$300,'ИТОГО Лэндинг'!$B$5:$B$300,$B249))</f>
        <v/>
      </c>
      <c r="I249" s="240" t="str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 t="str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 t="str">
        <f>IF(C250="","",E250/C250)</f>
        <v/>
      </c>
      <c r="E250" s="247" t="str">
        <f>IF(C250="","",SUMIFS('ИТОГО Торговля'!$E$5:$E$300,'ИТОГО Торговля'!$B$5:$B$300,$B250)+SUMIFS('ИТОГО Лэндинг'!$E$5:$E$300,'ИТОГО Лэндинг'!$B$5:$B$300,$B250))</f>
        <v/>
      </c>
      <c r="F250" s="246" t="str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 t="str">
        <f>IF(F250="","",H250/F250)</f>
        <v/>
      </c>
      <c r="H250" s="247" t="str">
        <f>IF(F250="","",SUMIFS('ИТОГО Торговля'!$H$5:$H$300,'ИТОГО Торговля'!$B$5:$B$300,$B250)+SUMIFS('ИТОГО Лэндинг'!$H$5:$H$300,'ИТОГО Лэндинг'!$B$5:$B$300,$B250))</f>
        <v/>
      </c>
      <c r="I250" s="246" t="str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 t="str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 t="str">
        <f>IF(C251="","",E251/C251)</f>
        <v/>
      </c>
      <c r="E251" s="241" t="str">
        <f>IF(C251="","",SUMIFS('ИТОГО Торговля'!$E$5:$E$300,'ИТОГО Торговля'!$B$5:$B$300,$B251)+SUMIFS('ИТОГО Лэндинг'!$E$5:$E$300,'ИТОГО Лэндинг'!$B$5:$B$300,$B251))</f>
        <v/>
      </c>
      <c r="F251" s="240" t="str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 t="str">
        <f>IF(F251="","",H251/F251)</f>
        <v/>
      </c>
      <c r="H251" s="241" t="str">
        <f>IF(F251="","",SUMIFS('ИТОГО Торговля'!$H$5:$H$300,'ИТОГО Торговля'!$B$5:$B$300,$B251)+SUMIFS('ИТОГО Лэндинг'!$H$5:$H$300,'ИТОГО Лэндинг'!$B$5:$B$300,$B251))</f>
        <v/>
      </c>
      <c r="I251" s="240" t="str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 t="str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 t="str">
        <f>IF(C252="","",E252/C252)</f>
        <v/>
      </c>
      <c r="E252" s="247" t="str">
        <f>IF(C252="","",SUMIFS('ИТОГО Торговля'!$E$5:$E$300,'ИТОГО Торговля'!$B$5:$B$300,$B252)+SUMIFS('ИТОГО Лэндинг'!$E$5:$E$300,'ИТОГО Лэндинг'!$B$5:$B$300,$B252))</f>
        <v/>
      </c>
      <c r="F252" s="246" t="str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 t="str">
        <f>IF(F252="","",H252/F252)</f>
        <v/>
      </c>
      <c r="H252" s="247" t="str">
        <f>IF(F252="","",SUMIFS('ИТОГО Торговля'!$H$5:$H$300,'ИТОГО Торговля'!$B$5:$B$300,$B252)+SUMIFS('ИТОГО Лэндинг'!$H$5:$H$300,'ИТОГО Лэндинг'!$B$5:$B$300,$B252))</f>
        <v/>
      </c>
      <c r="I252" s="246" t="str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 t="str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 t="str">
        <f>IF(C253="","",E253/C253)</f>
        <v/>
      </c>
      <c r="E253" s="241" t="str">
        <f>IF(C253="","",SUMIFS('ИТОГО Торговля'!$E$5:$E$300,'ИТОГО Торговля'!$B$5:$B$300,$B253)+SUMIFS('ИТОГО Лэндинг'!$E$5:$E$300,'ИТОГО Лэндинг'!$B$5:$B$300,$B253))</f>
        <v/>
      </c>
      <c r="F253" s="240" t="str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 t="str">
        <f>IF(F253="","",H253/F253)</f>
        <v/>
      </c>
      <c r="H253" s="241" t="str">
        <f>IF(F253="","",SUMIFS('ИТОГО Торговля'!$H$5:$H$300,'ИТОГО Торговля'!$B$5:$B$300,$B253)+SUMIFS('ИТОГО Лэндинг'!$H$5:$H$300,'ИТОГО Лэндинг'!$B$5:$B$300,$B253))</f>
        <v/>
      </c>
      <c r="I253" s="240" t="str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 t="str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 t="str">
        <f>IF(C254="","",E254/C254)</f>
        <v/>
      </c>
      <c r="E254" s="247" t="str">
        <f>IF(C254="","",SUMIFS('ИТОГО Торговля'!$E$5:$E$300,'ИТОГО Торговля'!$B$5:$B$300,$B254)+SUMIFS('ИТОГО Лэндинг'!$E$5:$E$300,'ИТОГО Лэндинг'!$B$5:$B$300,$B254))</f>
        <v/>
      </c>
      <c r="F254" s="246" t="str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 t="str">
        <f>IF(F254="","",H254/F254)</f>
        <v/>
      </c>
      <c r="H254" s="247" t="str">
        <f>IF(F254="","",SUMIFS('ИТОГО Торговля'!$H$5:$H$300,'ИТОГО Торговля'!$B$5:$B$300,$B254)+SUMIFS('ИТОГО Лэндинг'!$H$5:$H$300,'ИТОГО Лэндинг'!$B$5:$B$300,$B254))</f>
        <v/>
      </c>
      <c r="I254" s="246" t="str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 t="str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 t="str">
        <f>IF(C255="","",E255/C255)</f>
        <v/>
      </c>
      <c r="E255" s="241" t="str">
        <f>IF(C255="","",SUMIFS('ИТОГО Торговля'!$E$5:$E$300,'ИТОГО Торговля'!$B$5:$B$300,$B255)+SUMIFS('ИТОГО Лэндинг'!$E$5:$E$300,'ИТОГО Лэндинг'!$B$5:$B$300,$B255))</f>
        <v/>
      </c>
      <c r="F255" s="240" t="str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 t="str">
        <f>IF(F255="","",H255/F255)</f>
        <v/>
      </c>
      <c r="H255" s="241" t="str">
        <f>IF(F255="","",SUMIFS('ИТОГО Торговля'!$H$5:$H$300,'ИТОГО Торговля'!$B$5:$B$300,$B255)+SUMIFS('ИТОГО Лэндинг'!$H$5:$H$300,'ИТОГО Лэндинг'!$B$5:$B$300,$B255))</f>
        <v/>
      </c>
      <c r="I255" s="240" t="str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 t="str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 t="str">
        <f>IF(C256="","",E256/C256)</f>
        <v/>
      </c>
      <c r="E256" s="247" t="str">
        <f>IF(C256="","",SUMIFS('ИТОГО Торговля'!$E$5:$E$300,'ИТОГО Торговля'!$B$5:$B$300,$B256)+SUMIFS('ИТОГО Лэндинг'!$E$5:$E$300,'ИТОГО Лэндинг'!$B$5:$B$300,$B256))</f>
        <v/>
      </c>
      <c r="F256" s="246" t="str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 t="str">
        <f>IF(F256="","",H256/F256)</f>
        <v/>
      </c>
      <c r="H256" s="247" t="str">
        <f>IF(F256="","",SUMIFS('ИТОГО Торговля'!$H$5:$H$300,'ИТОГО Торговля'!$B$5:$B$300,$B256)+SUMIFS('ИТОГО Лэндинг'!$H$5:$H$300,'ИТОГО Лэндинг'!$B$5:$B$300,$B256))</f>
        <v/>
      </c>
      <c r="I256" s="246" t="str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 t="str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 t="str">
        <f>IF(C257="","",E257/C257)</f>
        <v/>
      </c>
      <c r="E257" s="241" t="str">
        <f>IF(C257="","",SUMIFS('ИТОГО Торговля'!$E$5:$E$300,'ИТОГО Торговля'!$B$5:$B$300,$B257)+SUMIFS('ИТОГО Лэндинг'!$E$5:$E$300,'ИТОГО Лэндинг'!$B$5:$B$300,$B257))</f>
        <v/>
      </c>
      <c r="F257" s="240" t="str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 t="str">
        <f>IF(F257="","",H257/F257)</f>
        <v/>
      </c>
      <c r="H257" s="241" t="str">
        <f>IF(F257="","",SUMIFS('ИТОГО Торговля'!$H$5:$H$300,'ИТОГО Торговля'!$B$5:$B$300,$B257)+SUMIFS('ИТОГО Лэндинг'!$H$5:$H$300,'ИТОГО Лэндинг'!$B$5:$B$300,$B257))</f>
        <v/>
      </c>
      <c r="I257" s="240" t="str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 t="str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 t="str">
        <f>IF(C258="","",E258/C258)</f>
        <v/>
      </c>
      <c r="E258" s="247" t="str">
        <f>IF(C258="","",SUMIFS('ИТОГО Торговля'!$E$5:$E$300,'ИТОГО Торговля'!$B$5:$B$300,$B258)+SUMIFS('ИТОГО Лэндинг'!$E$5:$E$300,'ИТОГО Лэндинг'!$B$5:$B$300,$B258))</f>
        <v/>
      </c>
      <c r="F258" s="246" t="str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 t="str">
        <f>IF(F258="","",H258/F258)</f>
        <v/>
      </c>
      <c r="H258" s="247" t="str">
        <f>IF(F258="","",SUMIFS('ИТОГО Торговля'!$H$5:$H$300,'ИТОГО Торговля'!$B$5:$B$300,$B258)+SUMIFS('ИТОГО Лэндинг'!$H$5:$H$300,'ИТОГО Лэндинг'!$B$5:$B$300,$B258))</f>
        <v/>
      </c>
      <c r="I258" s="246" t="str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 t="str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 t="str">
        <f>IF(C259="","",E259/C259)</f>
        <v/>
      </c>
      <c r="E259" s="241" t="str">
        <f>IF(C259="","",SUMIFS('ИТОГО Торговля'!$E$5:$E$300,'ИТОГО Торговля'!$B$5:$B$300,$B259)+SUMIFS('ИТОГО Лэндинг'!$E$5:$E$300,'ИТОГО Лэндинг'!$B$5:$B$300,$B259))</f>
        <v/>
      </c>
      <c r="F259" s="240" t="str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 t="str">
        <f>IF(F259="","",H259/F259)</f>
        <v/>
      </c>
      <c r="H259" s="241" t="str">
        <f>IF(F259="","",SUMIFS('ИТОГО Торговля'!$H$5:$H$300,'ИТОГО Торговля'!$B$5:$B$300,$B259)+SUMIFS('ИТОГО Лэндинг'!$H$5:$H$300,'ИТОГО Лэндинг'!$B$5:$B$300,$B259))</f>
        <v/>
      </c>
      <c r="I259" s="240" t="str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 t="str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 t="str">
        <f>IF(C260="","",E260/C260)</f>
        <v/>
      </c>
      <c r="E260" s="247" t="str">
        <f>IF(C260="","",SUMIFS('ИТОГО Торговля'!$E$5:$E$300,'ИТОГО Торговля'!$B$5:$B$300,$B260)+SUMIFS('ИТОГО Лэндинг'!$E$5:$E$300,'ИТОГО Лэндинг'!$B$5:$B$300,$B260))</f>
        <v/>
      </c>
      <c r="F260" s="246" t="str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 t="str">
        <f>IF(F260="","",H260/F260)</f>
        <v/>
      </c>
      <c r="H260" s="247" t="str">
        <f>IF(F260="","",SUMIFS('ИТОГО Торговля'!$H$5:$H$300,'ИТОГО Торговля'!$B$5:$B$300,$B260)+SUMIFS('ИТОГО Лэндинг'!$H$5:$H$300,'ИТОГО Лэндинг'!$B$5:$B$300,$B260))</f>
        <v/>
      </c>
      <c r="I260" s="246" t="str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 t="str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 t="str">
        <f>IF(C261="","",E261/C261)</f>
        <v/>
      </c>
      <c r="E261" s="241" t="str">
        <f>IF(C261="","",SUMIFS('ИТОГО Торговля'!$E$5:$E$300,'ИТОГО Торговля'!$B$5:$B$300,$B261)+SUMIFS('ИТОГО Лэндинг'!$E$5:$E$300,'ИТОГО Лэндинг'!$B$5:$B$300,$B261))</f>
        <v/>
      </c>
      <c r="F261" s="240" t="str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 t="str">
        <f>IF(F261="","",H261/F261)</f>
        <v/>
      </c>
      <c r="H261" s="241" t="str">
        <f>IF(F261="","",SUMIFS('ИТОГО Торговля'!$H$5:$H$300,'ИТОГО Торговля'!$B$5:$B$300,$B261)+SUMIFS('ИТОГО Лэндинг'!$H$5:$H$300,'ИТОГО Лэндинг'!$B$5:$B$300,$B261))</f>
        <v/>
      </c>
      <c r="I261" s="240" t="str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 t="str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 t="str">
        <f>IF(C262="","",E262/C262)</f>
        <v/>
      </c>
      <c r="E262" s="247" t="str">
        <f>IF(C262="","",SUMIFS('ИТОГО Торговля'!$E$5:$E$300,'ИТОГО Торговля'!$B$5:$B$300,$B262)+SUMIFS('ИТОГО Лэндинг'!$E$5:$E$300,'ИТОГО Лэндинг'!$B$5:$B$300,$B262))</f>
        <v/>
      </c>
      <c r="F262" s="246" t="str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 t="str">
        <f>IF(F262="","",H262/F262)</f>
        <v/>
      </c>
      <c r="H262" s="247" t="str">
        <f>IF(F262="","",SUMIFS('ИТОГО Торговля'!$H$5:$H$300,'ИТОГО Торговля'!$B$5:$B$300,$B262)+SUMIFS('ИТОГО Лэндинг'!$H$5:$H$300,'ИТОГО Лэндинг'!$B$5:$B$300,$B262))</f>
        <v/>
      </c>
      <c r="I262" s="246" t="str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 t="str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 t="str">
        <f>IF(C263="","",E263/C263)</f>
        <v/>
      </c>
      <c r="E263" s="241" t="str">
        <f>IF(C263="","",SUMIFS('ИТОГО Торговля'!$E$5:$E$300,'ИТОГО Торговля'!$B$5:$B$300,$B263)+SUMIFS('ИТОГО Лэндинг'!$E$5:$E$300,'ИТОГО Лэндинг'!$B$5:$B$300,$B263))</f>
        <v/>
      </c>
      <c r="F263" s="240" t="str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 t="str">
        <f>IF(F263="","",H263/F263)</f>
        <v/>
      </c>
      <c r="H263" s="241" t="str">
        <f>IF(F263="","",SUMIFS('ИТОГО Торговля'!$H$5:$H$300,'ИТОГО Торговля'!$B$5:$B$300,$B263)+SUMIFS('ИТОГО Лэндинг'!$H$5:$H$300,'ИТОГО Лэндинг'!$B$5:$B$300,$B263))</f>
        <v/>
      </c>
      <c r="I263" s="240" t="str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 t="str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 t="str">
        <f>IF(C264="","",E264/C264)</f>
        <v/>
      </c>
      <c r="E264" s="247" t="str">
        <f>IF(C264="","",SUMIFS('ИТОГО Торговля'!$E$5:$E$300,'ИТОГО Торговля'!$B$5:$B$300,$B264)+SUMIFS('ИТОГО Лэндинг'!$E$5:$E$300,'ИТОГО Лэндинг'!$B$5:$B$300,$B264))</f>
        <v/>
      </c>
      <c r="F264" s="246" t="str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 t="str">
        <f>IF(F264="","",H264/F264)</f>
        <v/>
      </c>
      <c r="H264" s="247" t="str">
        <f>IF(F264="","",SUMIFS('ИТОГО Торговля'!$H$5:$H$300,'ИТОГО Торговля'!$B$5:$B$300,$B264)+SUMIFS('ИТОГО Лэндинг'!$H$5:$H$300,'ИТОГО Лэндинг'!$B$5:$B$300,$B264))</f>
        <v/>
      </c>
      <c r="I264" s="246" t="str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 t="str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 t="str">
        <f>IF(C265="","",E265/C265)</f>
        <v/>
      </c>
      <c r="E265" s="241" t="str">
        <f>IF(C265="","",SUMIFS('ИТОГО Торговля'!$E$5:$E$300,'ИТОГО Торговля'!$B$5:$B$300,$B265)+SUMIFS('ИТОГО Лэндинг'!$E$5:$E$300,'ИТОГО Лэндинг'!$B$5:$B$300,$B265))</f>
        <v/>
      </c>
      <c r="F265" s="240" t="str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 t="str">
        <f>IF(F265="","",H265/F265)</f>
        <v/>
      </c>
      <c r="H265" s="241" t="str">
        <f>IF(F265="","",SUMIFS('ИТОГО Торговля'!$H$5:$H$300,'ИТОГО Торговля'!$B$5:$B$300,$B265)+SUMIFS('ИТОГО Лэндинг'!$H$5:$H$300,'ИТОГО Лэндинг'!$B$5:$B$300,$B265))</f>
        <v/>
      </c>
      <c r="I265" s="240" t="str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 t="str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 t="str">
        <f>IF(C266="","",E266/C266)</f>
        <v/>
      </c>
      <c r="E266" s="247" t="str">
        <f>IF(C266="","",SUMIFS('ИТОГО Торговля'!$E$5:$E$300,'ИТОГО Торговля'!$B$5:$B$300,$B266)+SUMIFS('ИТОГО Лэндинг'!$E$5:$E$300,'ИТОГО Лэндинг'!$B$5:$B$300,$B266))</f>
        <v/>
      </c>
      <c r="F266" s="246" t="str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 t="str">
        <f>IF(F266="","",H266/F266)</f>
        <v/>
      </c>
      <c r="H266" s="247" t="str">
        <f>IF(F266="","",SUMIFS('ИТОГО Торговля'!$H$5:$H$300,'ИТОГО Торговля'!$B$5:$B$300,$B266)+SUMIFS('ИТОГО Лэндинг'!$H$5:$H$300,'ИТОГО Лэндинг'!$B$5:$B$300,$B266))</f>
        <v/>
      </c>
      <c r="I266" s="246" t="str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 t="str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 t="str">
        <f>IF(C267="","",E267/C267)</f>
        <v/>
      </c>
      <c r="E267" s="241" t="str">
        <f>IF(C267="","",SUMIFS('ИТОГО Торговля'!$E$5:$E$300,'ИТОГО Торговля'!$B$5:$B$300,$B267)+SUMIFS('ИТОГО Лэндинг'!$E$5:$E$300,'ИТОГО Лэндинг'!$B$5:$B$300,$B267))</f>
        <v/>
      </c>
      <c r="F267" s="240" t="str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 t="str">
        <f>IF(F267="","",H267/F267)</f>
        <v/>
      </c>
      <c r="H267" s="241" t="str">
        <f>IF(F267="","",SUMIFS('ИТОГО Торговля'!$H$5:$H$300,'ИТОГО Торговля'!$B$5:$B$300,$B267)+SUMIFS('ИТОГО Лэндинг'!$H$5:$H$300,'ИТОГО Лэндинг'!$B$5:$B$300,$B267))</f>
        <v/>
      </c>
      <c r="I267" s="240" t="str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 t="str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 t="str">
        <f>IF(C268="","",E268/C268)</f>
        <v/>
      </c>
      <c r="E268" s="247" t="str">
        <f>IF(C268="","",SUMIFS('ИТОГО Торговля'!$E$5:$E$300,'ИТОГО Торговля'!$B$5:$B$300,$B268)+SUMIFS('ИТОГО Лэндинг'!$E$5:$E$300,'ИТОГО Лэндинг'!$B$5:$B$300,$B268))</f>
        <v/>
      </c>
      <c r="F268" s="246" t="str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 t="str">
        <f>IF(F268="","",H268/F268)</f>
        <v/>
      </c>
      <c r="H268" s="247" t="str">
        <f>IF(F268="","",SUMIFS('ИТОГО Торговля'!$H$5:$H$300,'ИТОГО Торговля'!$B$5:$B$300,$B268)+SUMIFS('ИТОГО Лэндинг'!$H$5:$H$300,'ИТОГО Лэндинг'!$B$5:$B$300,$B268))</f>
        <v/>
      </c>
      <c r="I268" s="246" t="str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 t="str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 t="str">
        <f>IF(C269="","",E269/C269)</f>
        <v/>
      </c>
      <c r="E269" s="241" t="str">
        <f>IF(C269="","",SUMIFS('ИТОГО Торговля'!$E$5:$E$300,'ИТОГО Торговля'!$B$5:$B$300,$B269)+SUMIFS('ИТОГО Лэндинг'!$E$5:$E$300,'ИТОГО Лэндинг'!$B$5:$B$300,$B269))</f>
        <v/>
      </c>
      <c r="F269" s="240" t="str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 t="str">
        <f>IF(F269="","",H269/F269)</f>
        <v/>
      </c>
      <c r="H269" s="241" t="str">
        <f>IF(F269="","",SUMIFS('ИТОГО Торговля'!$H$5:$H$300,'ИТОГО Торговля'!$B$5:$B$300,$B269)+SUMIFS('ИТОГО Лэндинг'!$H$5:$H$300,'ИТОГО Лэндинг'!$B$5:$B$300,$B269))</f>
        <v/>
      </c>
      <c r="I269" s="240" t="str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 t="str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 t="str">
        <f>IF(C270="","",E270/C270)</f>
        <v/>
      </c>
      <c r="E270" s="247" t="str">
        <f>IF(C270="","",SUMIFS('ИТОГО Торговля'!$E$5:$E$300,'ИТОГО Торговля'!$B$5:$B$300,$B270)+SUMIFS('ИТОГО Лэндинг'!$E$5:$E$300,'ИТОГО Лэндинг'!$B$5:$B$300,$B270))</f>
        <v/>
      </c>
      <c r="F270" s="246" t="str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 t="str">
        <f>IF(F270="","",H270/F270)</f>
        <v/>
      </c>
      <c r="H270" s="247" t="str">
        <f>IF(F270="","",SUMIFS('ИТОГО Торговля'!$H$5:$H$300,'ИТОГО Торговля'!$B$5:$B$300,$B270)+SUMIFS('ИТОГО Лэндинг'!$H$5:$H$300,'ИТОГО Лэндинг'!$B$5:$B$300,$B270))</f>
        <v/>
      </c>
      <c r="I270" s="246" t="str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 t="str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 t="str">
        <f>IF(C271="","",E271/C271)</f>
        <v/>
      </c>
      <c r="E271" s="241" t="str">
        <f>IF(C271="","",SUMIFS('ИТОГО Торговля'!$E$5:$E$300,'ИТОГО Торговля'!$B$5:$B$300,$B271)+SUMIFS('ИТОГО Лэндинг'!$E$5:$E$300,'ИТОГО Лэндинг'!$B$5:$B$300,$B271))</f>
        <v/>
      </c>
      <c r="F271" s="240" t="str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 t="str">
        <f>IF(F271="","",H271/F271)</f>
        <v/>
      </c>
      <c r="H271" s="241" t="str">
        <f>IF(F271="","",SUMIFS('ИТОГО Торговля'!$H$5:$H$300,'ИТОГО Торговля'!$B$5:$B$300,$B271)+SUMIFS('ИТОГО Лэндинг'!$H$5:$H$300,'ИТОГО Лэндинг'!$B$5:$B$300,$B271))</f>
        <v/>
      </c>
      <c r="I271" s="240" t="str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 t="str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 t="str">
        <f>IF(C272="","",E272/C272)</f>
        <v/>
      </c>
      <c r="E272" s="247" t="str">
        <f>IF(C272="","",SUMIFS('ИТОГО Торговля'!$E$5:$E$300,'ИТОГО Торговля'!$B$5:$B$300,$B272)+SUMIFS('ИТОГО Лэндинг'!$E$5:$E$300,'ИТОГО Лэндинг'!$B$5:$B$300,$B272))</f>
        <v/>
      </c>
      <c r="F272" s="246" t="str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 t="str">
        <f>IF(F272="","",H272/F272)</f>
        <v/>
      </c>
      <c r="H272" s="247" t="str">
        <f>IF(F272="","",SUMIFS('ИТОГО Торговля'!$H$5:$H$300,'ИТОГО Торговля'!$B$5:$B$300,$B272)+SUMIFS('ИТОГО Лэндинг'!$H$5:$H$300,'ИТОГО Лэндинг'!$B$5:$B$300,$B272))</f>
        <v/>
      </c>
      <c r="I272" s="246" t="str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 t="str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 t="str">
        <f>IF(C273="","",E273/C273)</f>
        <v/>
      </c>
      <c r="E273" s="241" t="str">
        <f>IF(C273="","",SUMIFS('ИТОГО Торговля'!$E$5:$E$300,'ИТОГО Торговля'!$B$5:$B$300,$B273)+SUMIFS('ИТОГО Лэндинг'!$E$5:$E$300,'ИТОГО Лэндинг'!$B$5:$B$300,$B273))</f>
        <v/>
      </c>
      <c r="F273" s="240" t="str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 t="str">
        <f>IF(F273="","",H273/F273)</f>
        <v/>
      </c>
      <c r="H273" s="241" t="str">
        <f>IF(F273="","",SUMIFS('ИТОГО Торговля'!$H$5:$H$300,'ИТОГО Торговля'!$B$5:$B$300,$B273)+SUMIFS('ИТОГО Лэндинг'!$H$5:$H$300,'ИТОГО Лэндинг'!$B$5:$B$300,$B273))</f>
        <v/>
      </c>
      <c r="I273" s="240" t="str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 t="str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 t="str">
        <f>IF(C274="","",E274/C274)</f>
        <v/>
      </c>
      <c r="E274" s="247" t="str">
        <f>IF(C274="","",SUMIFS('ИТОГО Торговля'!$E$5:$E$300,'ИТОГО Торговля'!$B$5:$B$300,$B274)+SUMIFS('ИТОГО Лэндинг'!$E$5:$E$300,'ИТОГО Лэндинг'!$B$5:$B$300,$B274))</f>
        <v/>
      </c>
      <c r="F274" s="246" t="str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 t="str">
        <f>IF(F274="","",H274/F274)</f>
        <v/>
      </c>
      <c r="H274" s="247" t="str">
        <f>IF(F274="","",SUMIFS('ИТОГО Торговля'!$H$5:$H$300,'ИТОГО Торговля'!$B$5:$B$300,$B274)+SUMIFS('ИТОГО Лэндинг'!$H$5:$H$300,'ИТОГО Лэндинг'!$B$5:$B$300,$B274))</f>
        <v/>
      </c>
      <c r="I274" s="246" t="str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 t="str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 t="str">
        <f>IF(C275="","",E275/C275)</f>
        <v/>
      </c>
      <c r="E275" s="241" t="str">
        <f>IF(C275="","",SUMIFS('ИТОГО Торговля'!$E$5:$E$300,'ИТОГО Торговля'!$B$5:$B$300,$B275)+SUMIFS('ИТОГО Лэндинг'!$E$5:$E$300,'ИТОГО Лэндинг'!$B$5:$B$300,$B275))</f>
        <v/>
      </c>
      <c r="F275" s="240" t="str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 t="str">
        <f>IF(F275="","",H275/F275)</f>
        <v/>
      </c>
      <c r="H275" s="241" t="str">
        <f>IF(F275="","",SUMIFS('ИТОГО Торговля'!$H$5:$H$300,'ИТОГО Торговля'!$B$5:$B$300,$B275)+SUMIFS('ИТОГО Лэндинг'!$H$5:$H$300,'ИТОГО Лэндинг'!$B$5:$B$300,$B275))</f>
        <v/>
      </c>
      <c r="I275" s="240" t="str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 t="str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 t="str">
        <f>IF(C276="","",E276/C276)</f>
        <v/>
      </c>
      <c r="E276" s="247" t="str">
        <f>IF(C276="","",SUMIFS('ИТОГО Торговля'!$E$5:$E$300,'ИТОГО Торговля'!$B$5:$B$300,$B276)+SUMIFS('ИТОГО Лэндинг'!$E$5:$E$300,'ИТОГО Лэндинг'!$B$5:$B$300,$B276))</f>
        <v/>
      </c>
      <c r="F276" s="246" t="str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 t="str">
        <f>IF(F276="","",H276/F276)</f>
        <v/>
      </c>
      <c r="H276" s="247" t="str">
        <f>IF(F276="","",SUMIFS('ИТОГО Торговля'!$H$5:$H$300,'ИТОГО Торговля'!$B$5:$B$300,$B276)+SUMIFS('ИТОГО Лэндинг'!$H$5:$H$300,'ИТОГО Лэндинг'!$B$5:$B$300,$B276))</f>
        <v/>
      </c>
      <c r="I276" s="246" t="str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 t="str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 t="str">
        <f>IF(C277="","",E277/C277)</f>
        <v/>
      </c>
      <c r="E277" s="241" t="str">
        <f>IF(C277="","",SUMIFS('ИТОГО Торговля'!$E$5:$E$300,'ИТОГО Торговля'!$B$5:$B$300,$B277)+SUMIFS('ИТОГО Лэндинг'!$E$5:$E$300,'ИТОГО Лэндинг'!$B$5:$B$300,$B277))</f>
        <v/>
      </c>
      <c r="F277" s="240" t="str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 t="str">
        <f>IF(F277="","",H277/F277)</f>
        <v/>
      </c>
      <c r="H277" s="241" t="str">
        <f>IF(F277="","",SUMIFS('ИТОГО Торговля'!$H$5:$H$300,'ИТОГО Торговля'!$B$5:$B$300,$B277)+SUMIFS('ИТОГО Лэндинг'!$H$5:$H$300,'ИТОГО Лэндинг'!$B$5:$B$300,$B277))</f>
        <v/>
      </c>
      <c r="I277" s="240" t="str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 t="str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 t="str">
        <f>IF(C278="","",E278/C278)</f>
        <v/>
      </c>
      <c r="E278" s="247" t="str">
        <f>IF(C278="","",SUMIFS('ИТОГО Торговля'!$E$5:$E$300,'ИТОГО Торговля'!$B$5:$B$300,$B278)+SUMIFS('ИТОГО Лэндинг'!$E$5:$E$300,'ИТОГО Лэндинг'!$B$5:$B$300,$B278))</f>
        <v/>
      </c>
      <c r="F278" s="246" t="str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 t="str">
        <f>IF(F278="","",H278/F278)</f>
        <v/>
      </c>
      <c r="H278" s="247" t="str">
        <f>IF(F278="","",SUMIFS('ИТОГО Торговля'!$H$5:$H$300,'ИТОГО Торговля'!$B$5:$B$300,$B278)+SUMIFS('ИТОГО Лэндинг'!$H$5:$H$300,'ИТОГО Лэндинг'!$B$5:$B$300,$B278))</f>
        <v/>
      </c>
      <c r="I278" s="246" t="str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 t="str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 t="str">
        <f>IF(C279="","",E279/C279)</f>
        <v/>
      </c>
      <c r="E279" s="241" t="str">
        <f>IF(C279="","",SUMIFS('ИТОГО Торговля'!$E$5:$E$300,'ИТОГО Торговля'!$B$5:$B$300,$B279)+SUMIFS('ИТОГО Лэндинг'!$E$5:$E$300,'ИТОГО Лэндинг'!$B$5:$B$300,$B279))</f>
        <v/>
      </c>
      <c r="F279" s="240" t="str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 t="str">
        <f>IF(F279="","",H279/F279)</f>
        <v/>
      </c>
      <c r="H279" s="241" t="str">
        <f>IF(F279="","",SUMIFS('ИТОГО Торговля'!$H$5:$H$300,'ИТОГО Торговля'!$B$5:$B$300,$B279)+SUMIFS('ИТОГО Лэндинг'!$H$5:$H$300,'ИТОГО Лэндинг'!$B$5:$B$300,$B279))</f>
        <v/>
      </c>
      <c r="I279" s="240" t="str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 t="str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 t="str">
        <f>IF(C280="","",E280/C280)</f>
        <v/>
      </c>
      <c r="E280" s="247" t="str">
        <f>IF(C280="","",SUMIFS('ИТОГО Торговля'!$E$5:$E$300,'ИТОГО Торговля'!$B$5:$B$300,$B280)+SUMIFS('ИТОГО Лэндинг'!$E$5:$E$300,'ИТОГО Лэндинг'!$B$5:$B$300,$B280))</f>
        <v/>
      </c>
      <c r="F280" s="246" t="str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 t="str">
        <f>IF(F280="","",H280/F280)</f>
        <v/>
      </c>
      <c r="H280" s="247" t="str">
        <f>IF(F280="","",SUMIFS('ИТОГО Торговля'!$H$5:$H$300,'ИТОГО Торговля'!$B$5:$B$300,$B280)+SUMIFS('ИТОГО Лэндинг'!$H$5:$H$300,'ИТОГО Лэндинг'!$B$5:$B$300,$B280))</f>
        <v/>
      </c>
      <c r="I280" s="246" t="str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 t="str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 t="str">
        <f>IF(C281="","",E281/C281)</f>
        <v/>
      </c>
      <c r="E281" s="241" t="str">
        <f>IF(C281="","",SUMIFS('ИТОГО Торговля'!$E$5:$E$300,'ИТОГО Торговля'!$B$5:$B$300,$B281)+SUMIFS('ИТОГО Лэндинг'!$E$5:$E$300,'ИТОГО Лэндинг'!$B$5:$B$300,$B281))</f>
        <v/>
      </c>
      <c r="F281" s="240" t="str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 t="str">
        <f>IF(F281="","",H281/F281)</f>
        <v/>
      </c>
      <c r="H281" s="241" t="str">
        <f>IF(F281="","",SUMIFS('ИТОГО Торговля'!$H$5:$H$300,'ИТОГО Торговля'!$B$5:$B$300,$B281)+SUMIFS('ИТОГО Лэндинг'!$H$5:$H$300,'ИТОГО Лэндинг'!$B$5:$B$300,$B281))</f>
        <v/>
      </c>
      <c r="I281" s="240" t="str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 t="str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 t="str">
        <f>IF(C282="","",E282/C282)</f>
        <v/>
      </c>
      <c r="E282" s="247" t="str">
        <f>IF(C282="","",SUMIFS('ИТОГО Торговля'!$E$5:$E$300,'ИТОГО Торговля'!$B$5:$B$300,$B282)+SUMIFS('ИТОГО Лэндинг'!$E$5:$E$300,'ИТОГО Лэндинг'!$B$5:$B$300,$B282))</f>
        <v/>
      </c>
      <c r="F282" s="246" t="str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 t="str">
        <f>IF(F282="","",H282/F282)</f>
        <v/>
      </c>
      <c r="H282" s="247" t="str">
        <f>IF(F282="","",SUMIFS('ИТОГО Торговля'!$H$5:$H$300,'ИТОГО Торговля'!$B$5:$B$300,$B282)+SUMIFS('ИТОГО Лэндинг'!$H$5:$H$300,'ИТОГО Лэндинг'!$B$5:$B$300,$B282))</f>
        <v/>
      </c>
      <c r="I282" s="246" t="str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 t="str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 t="str">
        <f>IF(C283="","",E283/C283)</f>
        <v/>
      </c>
      <c r="E283" s="241" t="str">
        <f>IF(C283="","",SUMIFS('ИТОГО Торговля'!$E$5:$E$300,'ИТОГО Торговля'!$B$5:$B$300,$B283)+SUMIFS('ИТОГО Лэндинг'!$E$5:$E$300,'ИТОГО Лэндинг'!$B$5:$B$300,$B283))</f>
        <v/>
      </c>
      <c r="F283" s="240" t="str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 t="str">
        <f>IF(F283="","",H283/F283)</f>
        <v/>
      </c>
      <c r="H283" s="241" t="str">
        <f>IF(F283="","",SUMIFS('ИТОГО Торговля'!$H$5:$H$300,'ИТОГО Торговля'!$B$5:$B$300,$B283)+SUMIFS('ИТОГО Лэндинг'!$H$5:$H$300,'ИТОГО Лэндинг'!$B$5:$B$300,$B283))</f>
        <v/>
      </c>
      <c r="I283" s="240" t="str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 t="str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 t="str">
        <f>IF(C284="","",E284/C284)</f>
        <v/>
      </c>
      <c r="E284" s="247" t="str">
        <f>IF(C284="","",SUMIFS('ИТОГО Торговля'!$E$5:$E$300,'ИТОГО Торговля'!$B$5:$B$300,$B284)+SUMIFS('ИТОГО Лэндинг'!$E$5:$E$300,'ИТОГО Лэндинг'!$B$5:$B$300,$B284))</f>
        <v/>
      </c>
      <c r="F284" s="246" t="str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 t="str">
        <f>IF(F284="","",H284/F284)</f>
        <v/>
      </c>
      <c r="H284" s="247" t="str">
        <f>IF(F284="","",SUMIFS('ИТОГО Торговля'!$H$5:$H$300,'ИТОГО Торговля'!$B$5:$B$300,$B284)+SUMIFS('ИТОГО Лэндинг'!$H$5:$H$300,'ИТОГО Лэндинг'!$B$5:$B$300,$B284))</f>
        <v/>
      </c>
      <c r="I284" s="246" t="str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 t="str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 t="str">
        <f>IF(C285="","",E285/C285)</f>
        <v/>
      </c>
      <c r="E285" s="241" t="str">
        <f>IF(C285="","",SUMIFS('ИТОГО Торговля'!$E$5:$E$300,'ИТОГО Торговля'!$B$5:$B$300,$B285)+SUMIFS('ИТОГО Лэндинг'!$E$5:$E$300,'ИТОГО Лэндинг'!$B$5:$B$300,$B285))</f>
        <v/>
      </c>
      <c r="F285" s="240" t="str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 t="str">
        <f>IF(F285="","",H285/F285)</f>
        <v/>
      </c>
      <c r="H285" s="241" t="str">
        <f>IF(F285="","",SUMIFS('ИТОГО Торговля'!$H$5:$H$300,'ИТОГО Торговля'!$B$5:$B$300,$B285)+SUMIFS('ИТОГО Лэндинг'!$H$5:$H$300,'ИТОГО Лэндинг'!$B$5:$B$300,$B285))</f>
        <v/>
      </c>
      <c r="I285" s="240" t="str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 t="str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 t="str">
        <f>IF(C286="","",E286/C286)</f>
        <v/>
      </c>
      <c r="E286" s="247" t="str">
        <f>IF(C286="","",SUMIFS('ИТОГО Торговля'!$E$5:$E$300,'ИТОГО Торговля'!$B$5:$B$300,$B286)+SUMIFS('ИТОГО Лэндинг'!$E$5:$E$300,'ИТОГО Лэндинг'!$B$5:$B$300,$B286))</f>
        <v/>
      </c>
      <c r="F286" s="246" t="str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 t="str">
        <f>IF(F286="","",H286/F286)</f>
        <v/>
      </c>
      <c r="H286" s="247" t="str">
        <f>IF(F286="","",SUMIFS('ИТОГО Торговля'!$H$5:$H$300,'ИТОГО Торговля'!$B$5:$B$300,$B286)+SUMIFS('ИТОГО Лэндинг'!$H$5:$H$300,'ИТОГО Лэндинг'!$B$5:$B$300,$B286))</f>
        <v/>
      </c>
      <c r="I286" s="246" t="str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 t="str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 t="str">
        <f>IF(C287="","",E287/C287)</f>
        <v/>
      </c>
      <c r="E287" s="241" t="str">
        <f>IF(C287="","",SUMIFS('ИТОГО Торговля'!$E$5:$E$300,'ИТОГО Торговля'!$B$5:$B$300,$B287)+SUMIFS('ИТОГО Лэндинг'!$E$5:$E$300,'ИТОГО Лэндинг'!$B$5:$B$300,$B287))</f>
        <v/>
      </c>
      <c r="F287" s="240" t="str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 t="str">
        <f>IF(F287="","",H287/F287)</f>
        <v/>
      </c>
      <c r="H287" s="241" t="str">
        <f>IF(F287="","",SUMIFS('ИТОГО Торговля'!$H$5:$H$300,'ИТОГО Торговля'!$B$5:$B$300,$B287)+SUMIFS('ИТОГО Лэндинг'!$H$5:$H$300,'ИТОГО Лэндинг'!$B$5:$B$300,$B287))</f>
        <v/>
      </c>
      <c r="I287" s="240" t="str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 t="str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 t="str">
        <f>IF(C288="","",E288/C288)</f>
        <v/>
      </c>
      <c r="E288" s="247" t="str">
        <f>IF(C288="","",SUMIFS('ИТОГО Торговля'!$E$5:$E$300,'ИТОГО Торговля'!$B$5:$B$300,$B288)+SUMIFS('ИТОГО Лэндинг'!$E$5:$E$300,'ИТОГО Лэндинг'!$B$5:$B$300,$B288))</f>
        <v/>
      </c>
      <c r="F288" s="246" t="str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 t="str">
        <f>IF(F288="","",H288/F288)</f>
        <v/>
      </c>
      <c r="H288" s="247" t="str">
        <f>IF(F288="","",SUMIFS('ИТОГО Торговля'!$H$5:$H$300,'ИТОГО Торговля'!$B$5:$B$300,$B288)+SUMIFS('ИТОГО Лэндинг'!$H$5:$H$300,'ИТОГО Лэндинг'!$B$5:$B$300,$B288))</f>
        <v/>
      </c>
      <c r="I288" s="246" t="str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 t="str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 t="str">
        <f>IF(C289="","",E289/C289)</f>
        <v/>
      </c>
      <c r="E289" s="241" t="str">
        <f>IF(C289="","",SUMIFS('ИТОГО Торговля'!$E$5:$E$300,'ИТОГО Торговля'!$B$5:$B$300,$B289)+SUMIFS('ИТОГО Лэндинг'!$E$5:$E$300,'ИТОГО Лэндинг'!$B$5:$B$300,$B289))</f>
        <v/>
      </c>
      <c r="F289" s="240" t="str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 t="str">
        <f>IF(F289="","",H289/F289)</f>
        <v/>
      </c>
      <c r="H289" s="241" t="str">
        <f>IF(F289="","",SUMIFS('ИТОГО Торговля'!$H$5:$H$300,'ИТОГО Торговля'!$B$5:$B$300,$B289)+SUMIFS('ИТОГО Лэндинг'!$H$5:$H$300,'ИТОГО Лэндинг'!$B$5:$B$300,$B289))</f>
        <v/>
      </c>
      <c r="I289" s="240" t="str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 t="str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 t="str">
        <f>IF(C290="","",E290/C290)</f>
        <v/>
      </c>
      <c r="E290" s="247" t="str">
        <f>IF(C290="","",SUMIFS('ИТОГО Торговля'!$E$5:$E$300,'ИТОГО Торговля'!$B$5:$B$300,$B290)+SUMIFS('ИТОГО Лэндинг'!$E$5:$E$300,'ИТОГО Лэндинг'!$B$5:$B$300,$B290))</f>
        <v/>
      </c>
      <c r="F290" s="246" t="str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 t="str">
        <f>IF(F290="","",H290/F290)</f>
        <v/>
      </c>
      <c r="H290" s="247" t="str">
        <f>IF(F290="","",SUMIFS('ИТОГО Торговля'!$H$5:$H$300,'ИТОГО Торговля'!$B$5:$B$300,$B290)+SUMIFS('ИТОГО Лэндинг'!$H$5:$H$300,'ИТОГО Лэндинг'!$B$5:$B$300,$B290))</f>
        <v/>
      </c>
      <c r="I290" s="246" t="str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 t="str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 t="str">
        <f>IF(C291="","",E291/C291)</f>
        <v/>
      </c>
      <c r="E291" s="241" t="str">
        <f>IF(C291="","",SUMIFS('ИТОГО Торговля'!$E$5:$E$300,'ИТОГО Торговля'!$B$5:$B$300,$B291)+SUMIFS('ИТОГО Лэндинг'!$E$5:$E$300,'ИТОГО Лэндинг'!$B$5:$B$300,$B291))</f>
        <v/>
      </c>
      <c r="F291" s="240" t="str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 t="str">
        <f>IF(F291="","",H291/F291)</f>
        <v/>
      </c>
      <c r="H291" s="241" t="str">
        <f>IF(F291="","",SUMIFS('ИТОГО Торговля'!$H$5:$H$300,'ИТОГО Торговля'!$B$5:$B$300,$B291)+SUMIFS('ИТОГО Лэндинг'!$H$5:$H$300,'ИТОГО Лэндинг'!$B$5:$B$300,$B291))</f>
        <v/>
      </c>
      <c r="I291" s="240" t="str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 t="str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 t="str">
        <f>IF(C292="","",E292/C292)</f>
        <v/>
      </c>
      <c r="E292" s="247" t="str">
        <f>IF(C292="","",SUMIFS('ИТОГО Торговля'!$E$5:$E$300,'ИТОГО Торговля'!$B$5:$B$300,$B292)+SUMIFS('ИТОГО Лэндинг'!$E$5:$E$300,'ИТОГО Лэндинг'!$B$5:$B$300,$B292))</f>
        <v/>
      </c>
      <c r="F292" s="246" t="str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 t="str">
        <f>IF(F292="","",H292/F292)</f>
        <v/>
      </c>
      <c r="H292" s="247" t="str">
        <f>IF(F292="","",SUMIFS('ИТОГО Торговля'!$H$5:$H$300,'ИТОГО Торговля'!$B$5:$B$300,$B292)+SUMIFS('ИТОГО Лэндинг'!$H$5:$H$300,'ИТОГО Лэндинг'!$B$5:$B$300,$B292))</f>
        <v/>
      </c>
      <c r="I292" s="246" t="str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 t="str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 t="str">
        <f>IF(C293="","",E293/C293)</f>
        <v/>
      </c>
      <c r="E293" s="241" t="str">
        <f>IF(C293="","",SUMIFS('ИТОГО Торговля'!$E$5:$E$300,'ИТОГО Торговля'!$B$5:$B$300,$B293)+SUMIFS('ИТОГО Лэндинг'!$E$5:$E$300,'ИТОГО Лэндинг'!$B$5:$B$300,$B293))</f>
        <v/>
      </c>
      <c r="F293" s="240" t="str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 t="str">
        <f>IF(F293="","",H293/F293)</f>
        <v/>
      </c>
      <c r="H293" s="241" t="str">
        <f>IF(F293="","",SUMIFS('ИТОГО Торговля'!$H$5:$H$300,'ИТОГО Торговля'!$B$5:$B$300,$B293)+SUMIFS('ИТОГО Лэндинг'!$H$5:$H$300,'ИТОГО Лэндинг'!$B$5:$B$300,$B293))</f>
        <v/>
      </c>
      <c r="I293" s="240" t="str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 t="str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 t="str">
        <f>IF(C294="","",E294/C294)</f>
        <v/>
      </c>
      <c r="E294" s="247" t="str">
        <f>IF(C294="","",SUMIFS('ИТОГО Торговля'!$E$5:$E$300,'ИТОГО Торговля'!$B$5:$B$300,$B294)+SUMIFS('ИТОГО Лэндинг'!$E$5:$E$300,'ИТОГО Лэндинг'!$B$5:$B$300,$B294))</f>
        <v/>
      </c>
      <c r="F294" s="246" t="str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 t="str">
        <f>IF(F294="","",H294/F294)</f>
        <v/>
      </c>
      <c r="H294" s="247" t="str">
        <f>IF(F294="","",SUMIFS('ИТОГО Торговля'!$H$5:$H$300,'ИТОГО Торговля'!$B$5:$B$300,$B294)+SUMIFS('ИТОГО Лэндинг'!$H$5:$H$300,'ИТОГО Лэндинг'!$B$5:$B$300,$B294))</f>
        <v/>
      </c>
      <c r="I294" s="246" t="str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 t="str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 t="str">
        <f>IF(C295="","",E295/C295)</f>
        <v/>
      </c>
      <c r="E295" s="241" t="str">
        <f>IF(C295="","",SUMIFS('ИТОГО Торговля'!$E$5:$E$300,'ИТОГО Торговля'!$B$5:$B$300,$B295)+SUMIFS('ИТОГО Лэндинг'!$E$5:$E$300,'ИТОГО Лэндинг'!$B$5:$B$300,$B295))</f>
        <v/>
      </c>
      <c r="F295" s="240" t="str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 t="str">
        <f>IF(F295="","",H295/F295)</f>
        <v/>
      </c>
      <c r="H295" s="241" t="str">
        <f>IF(F295="","",SUMIFS('ИТОГО Торговля'!$H$5:$H$300,'ИТОГО Торговля'!$B$5:$B$300,$B295)+SUMIFS('ИТОГО Лэндинг'!$H$5:$H$300,'ИТОГО Лэндинг'!$B$5:$B$300,$B295))</f>
        <v/>
      </c>
      <c r="I295" s="240" t="str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 t="str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 t="str">
        <f>IF(C296="","",E296/C296)</f>
        <v/>
      </c>
      <c r="E296" s="247" t="str">
        <f>IF(C296="","",SUMIFS('ИТОГО Торговля'!$E$5:$E$300,'ИТОГО Торговля'!$B$5:$B$300,$B296)+SUMIFS('ИТОГО Лэндинг'!$E$5:$E$300,'ИТОГО Лэндинг'!$B$5:$B$300,$B296))</f>
        <v/>
      </c>
      <c r="F296" s="246" t="str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 t="str">
        <f>IF(F296="","",H296/F296)</f>
        <v/>
      </c>
      <c r="H296" s="247" t="str">
        <f>IF(F296="","",SUMIFS('ИТОГО Торговля'!$H$5:$H$300,'ИТОГО Торговля'!$B$5:$B$300,$B296)+SUMIFS('ИТОГО Лэндинг'!$H$5:$H$300,'ИТОГО Лэндинг'!$B$5:$B$300,$B296))</f>
        <v/>
      </c>
      <c r="I296" s="246" t="str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 t="str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 t="str">
        <f>IF(C297="","",E297/C297)</f>
        <v/>
      </c>
      <c r="E297" s="241" t="str">
        <f>IF(C297="","",SUMIFS('ИТОГО Торговля'!$E$5:$E$300,'ИТОГО Торговля'!$B$5:$B$300,$B297)+SUMIFS('ИТОГО Лэндинг'!$E$5:$E$300,'ИТОГО Лэндинг'!$B$5:$B$300,$B297))</f>
        <v/>
      </c>
      <c r="F297" s="240" t="str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 t="str">
        <f>IF(F297="","",H297/F297)</f>
        <v/>
      </c>
      <c r="H297" s="241" t="str">
        <f>IF(F297="","",SUMIFS('ИТОГО Торговля'!$H$5:$H$300,'ИТОГО Торговля'!$B$5:$B$300,$B297)+SUMIFS('ИТОГО Лэндинг'!$H$5:$H$300,'ИТОГО Лэндинг'!$B$5:$B$300,$B297))</f>
        <v/>
      </c>
      <c r="I297" s="240" t="str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 t="str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 t="str">
        <f>IF(C298="","",E298/C298)</f>
        <v/>
      </c>
      <c r="E298" s="247" t="str">
        <f>IF(C298="","",SUMIFS('ИТОГО Торговля'!$E$5:$E$300,'ИТОГО Торговля'!$B$5:$B$300,$B298)+SUMIFS('ИТОГО Лэндинг'!$E$5:$E$300,'ИТОГО Лэндинг'!$B$5:$B$300,$B298))</f>
        <v/>
      </c>
      <c r="F298" s="246" t="str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 t="str">
        <f>IF(F298="","",H298/F298)</f>
        <v/>
      </c>
      <c r="H298" s="247" t="str">
        <f>IF(F298="","",SUMIFS('ИТОГО Торговля'!$H$5:$H$300,'ИТОГО Торговля'!$B$5:$B$300,$B298)+SUMIFS('ИТОГО Лэндинг'!$H$5:$H$300,'ИТОГО Лэндинг'!$B$5:$B$300,$B298))</f>
        <v/>
      </c>
      <c r="I298" s="246" t="str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 t="str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 t="str">
        <f>IF(C299="","",E299/C299)</f>
        <v/>
      </c>
      <c r="E299" s="241" t="str">
        <f>IF(C299="","",SUMIFS('ИТОГО Торговля'!$E$5:$E$300,'ИТОГО Торговля'!$B$5:$B$300,$B299)+SUMIFS('ИТОГО Лэндинг'!$E$5:$E$300,'ИТОГО Лэндинг'!$B$5:$B$300,$B299))</f>
        <v/>
      </c>
      <c r="F299" s="240" t="str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 t="str">
        <f>IF(F299="","",H299/F299)</f>
        <v/>
      </c>
      <c r="H299" s="241" t="str">
        <f>IF(F299="","",SUMIFS('ИТОГО Торговля'!$H$5:$H$300,'ИТОГО Торговля'!$B$5:$B$300,$B299)+SUMIFS('ИТОГО Лэндинг'!$H$5:$H$300,'ИТОГО Лэндинг'!$B$5:$B$300,$B299))</f>
        <v/>
      </c>
      <c r="I299" s="240" t="str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 t="str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 t="str">
        <f>IF(C300="","",E300/C300)</f>
        <v/>
      </c>
      <c r="E300" s="247" t="str">
        <f>IF(C300="","",SUMIFS('ИТОГО Торговля'!$E$5:$E$300,'ИТОГО Торговля'!$B$5:$B$300,$B300)+SUMIFS('ИТОГО Лэндинг'!$E$5:$E$300,'ИТОГО Лэндинг'!$B$5:$B$300,$B300))</f>
        <v/>
      </c>
      <c r="F300" s="246" t="str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 t="str">
        <f>IF(F300="","",H300/F300)</f>
        <v/>
      </c>
      <c r="H300" s="247" t="str">
        <f>IF(F300="","",SUMIFS('ИТОГО Торговля'!$H$5:$H$300,'ИТОГО Торговля'!$B$5:$B$300,$B300)+SUMIFS('ИТОГО Лэндинг'!$H$5:$H$300,'ИТОГО Лэндинг'!$B$5:$B$300,$B300))</f>
        <v/>
      </c>
      <c r="I300" s="246" t="str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 t="str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>
        <v>12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>
        <v>15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>
        <v>8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