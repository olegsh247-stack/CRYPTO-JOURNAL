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'Ввод'!$A$1:$K$25</definedName>
    <definedName name="_xlnm._FilterDatabase" localSheetId="1" hidden="1">'Торговля'!$B$4:$M$16</definedName>
    <definedName name="_xlnm.Print_Area" localSheetId="1">'Торговля'!$A$1:$N$17</definedName>
    <definedName name="_xlnm._FilterDatabase" localSheetId="2" hidden="1">'ИТОГО Торговля'!$B$4:$M$12</definedName>
    <definedName name="_xlnm.Print_Area" localSheetId="2">'ИТОГО Торговля'!$A$1:$N$13</definedName>
    <definedName name="_xlnm._FilterDatabase" localSheetId="3" hidden="1">'Лэндинг'!$B$4:$M$12</definedName>
    <definedName name="_xlnm.Print_Area" localSheetId="3">'Лэндинг'!$A$1:$N$13</definedName>
    <definedName name="_xlnm._FilterDatabase" localSheetId="4" hidden="1">'ИТОГО Лэндинг'!$B$4:$M$12</definedName>
    <definedName name="_xlnm.Print_Area" localSheetId="4">'ИТОГО Лэндинг'!$A$1:$N$13</definedName>
    <definedName name="_xlnm._FilterDatabase" localSheetId="5" hidden="1">'Пул'!$B$4:$K$12</definedName>
    <definedName name="_xlnm.Print_Area" localSheetId="5">'Пул'!$A$1:$K$13</definedName>
    <definedName name="_xlnm._FilterDatabase" localSheetId="6" hidden="1">'ИТОГО ПУЛ'!$B$4:$L$12</definedName>
    <definedName name="_xlnm.Print_Area" localSheetId="6">'ИТОГО ПУЛ'!$A$1:$M$13</definedName>
    <definedName name="_xlnm._FilterDatabase" localSheetId="7" hidden="1">'Закрытые'!$B$4:$Q$12</definedName>
    <definedName name="_xlnm.Print_Area" localSheetId="7">'Закрытые'!$A$1:$R$13</definedName>
    <definedName name="_xlnm._FilterDatabase" localSheetId="8" hidden="1">'ИТОГО'!$B$4:$M$12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</fonts>
  <fills count="19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255B78"/>
      </patternFill>
    </fill>
    <fill>
      <patternFill patternType="solid">
        <fgColor rgb="008064A2"/>
      </patternFill>
    </fill>
    <fill>
      <patternFill patternType="solid">
        <fgColor rgb="006D568F"/>
      </patternFill>
    </fill>
    <fill>
      <patternFill patternType="solid">
        <fgColor rgb="005E9E72"/>
      </patternFill>
    </fill>
    <fill>
      <patternFill patternType="solid">
        <fgColor rgb="00722F37"/>
      </patternFill>
    </fill>
    <fill>
      <patternFill patternType="solid">
        <fgColor rgb="FFFFF2CC"/>
        <bgColor rgb="FFFFF2CC"/>
      </patternFill>
    </fill>
  </fills>
  <borders count="51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  <border>
      <left style="thick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FFFFFFFF"/>
      </left>
      <right style="medium">
        <color rgb="FFFFFFFF"/>
      </right>
    </border>
    <border>
      <left style="medium">
        <color rgb="00FFFFFF"/>
      </left>
      <right style="thick">
        <color rgb="FFFFFFFF"/>
      </right>
    </border>
  </borders>
  <cellStyleXfs count="1">
    <xf numFmtId="0" fontId="0" fillId="0" borderId="0"/>
  </cellStyleXfs>
  <cellXfs count="27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1" fillId="2" borderId="0" applyAlignment="1" pivotButton="0" quotePrefix="0" xfId="0">
      <alignment horizontal="left" vertical="center"/>
    </xf>
    <xf numFmtId="0" fontId="8" fillId="13" borderId="43" applyAlignment="1" pivotButton="0" quotePrefix="0" xfId="0">
      <alignment horizontal="center" vertical="center"/>
    </xf>
    <xf numFmtId="0" fontId="8" fillId="13" borderId="44" applyAlignment="1" pivotButton="0" quotePrefix="0" xfId="0">
      <alignment horizontal="center" vertical="center"/>
    </xf>
    <xf numFmtId="0" fontId="8" fillId="13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5" borderId="43" applyAlignment="1" pivotButton="0" quotePrefix="0" xfId="0">
      <alignment horizontal="center" vertical="center"/>
    </xf>
    <xf numFmtId="0" fontId="8" fillId="15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7" borderId="43" applyAlignment="1" pivotButton="0" quotePrefix="0" xfId="0">
      <alignment horizontal="center" vertical="center"/>
    </xf>
    <xf numFmtId="0" fontId="8" fillId="17" borderId="44" applyAlignment="1" pivotButton="0" quotePrefix="0" xfId="0">
      <alignment horizontal="center" vertical="center"/>
    </xf>
    <xf numFmtId="0" fontId="8" fillId="17" borderId="45" applyAlignment="1" pivotButton="0" quotePrefix="0" xfId="0">
      <alignment horizontal="center" vertical="center"/>
    </xf>
    <xf numFmtId="167" fontId="4" fillId="12" borderId="1" applyAlignment="1" applyProtection="1" pivotButton="0" quotePrefix="0" xfId="0">
      <alignment horizontal="right" vertical="center" indent="1"/>
      <protection locked="0" hidden="0"/>
    </xf>
    <xf numFmtId="0" fontId="8" fillId="10" borderId="0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pivotButton="0" quotePrefix="0" xfId="0">
      <alignment horizontal="center" vertical="center"/>
    </xf>
    <xf numFmtId="168" fontId="4" fillId="11" borderId="1" applyAlignment="1" applyProtection="1" pivotButton="0" quotePrefix="0" xfId="0">
      <alignment horizontal="center" vertical="center"/>
      <protection locked="0" hidden="0"/>
    </xf>
    <xf numFmtId="167" fontId="4" fillId="12" borderId="1" applyAlignment="1" pivotButton="0" quotePrefix="0" xfId="0">
      <alignment horizontal="center" vertical="center"/>
    </xf>
    <xf numFmtId="0" fontId="0" fillId="0" borderId="48" pivotButton="0" quotePrefix="0" xfId="0"/>
    <xf numFmtId="165" fontId="4" fillId="18" borderId="20" applyAlignment="1" pivotButton="0" quotePrefix="0" xfId="0">
      <alignment horizontal="center" vertical="center"/>
    </xf>
    <xf numFmtId="0" fontId="8" fillId="6" borderId="50" applyAlignment="1" pivotButton="0" quotePrefix="0" xfId="0">
      <alignment horizontal="center" vertical="center"/>
    </xf>
    <xf numFmtId="0" fontId="8" fillId="17" borderId="49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DE9D9"/>
          <b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zoomScale="100" zoomScaleNormal="10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Кол-во</t>
        </is>
      </c>
      <c r="H7" s="225" t="n">
        <v>0.5</v>
      </c>
      <c r="I7" s="9" t="inlineStr">
        <is>
          <t>Кол-во</t>
        </is>
      </c>
      <c r="J7" s="193" t="n">
        <v>1000</v>
      </c>
      <c r="K7" s="207" t="n"/>
      <c r="L7" s="207" t="n"/>
    </row>
    <row r="8" ht="22" customHeight="1">
      <c r="B8" s="3" t="inlineStr">
        <is>
          <t>Актив 1</t>
        </is>
      </c>
      <c r="C8" s="14" t="inlineStr">
        <is>
          <t>Актив 2</t>
        </is>
      </c>
      <c r="D8" s="61" t="inlineStr">
        <is>
          <t>Пара (авто)</t>
        </is>
      </c>
      <c r="G8" s="3" t="inlineStr">
        <is>
          <t>Курс</t>
        </is>
      </c>
      <c r="H8" s="225" t="n">
        <v>62000</v>
      </c>
      <c r="I8" s="9" t="inlineStr">
        <is>
          <t>Курс (авто)</t>
        </is>
      </c>
      <c r="J8" s="211">
        <f>IF(AND(ISNUMBER(J7),ISNUMBER(J9),J7&lt;&gt;0,1-N(J19)/100&lt;&gt;0),J9/(J7*(1-N(J19)/100)),"")</f>
        <v/>
      </c>
      <c r="K8" s="207" t="n"/>
      <c r="L8" s="207" t="n"/>
    </row>
    <row r="9" ht="22" customHeight="1">
      <c r="B9" s="191" t="inlineStr">
        <is>
          <t>ETH</t>
        </is>
      </c>
      <c r="C9" s="191" t="inlineStr">
        <is>
          <t>BTC</t>
        </is>
      </c>
      <c r="D9" s="195">
        <f>IF(AND(TRIM(B9)&lt;&gt;"",TRIM(C9)&lt;&gt;""),UPPER(TRIM(B9))&amp;"/"&amp;UPPER(TRIM(C9)),"")</f>
        <v/>
      </c>
      <c r="E9" s="57" t="n"/>
      <c r="G9" s="3" t="inlineStr">
        <is>
          <t>Сумма (авто)</t>
        </is>
      </c>
      <c r="H9" s="211">
        <f>IF(AND(ISNUMBER(H7),ISNUMBER(H8),OR(H6="Buy",H6="Sell")),H7*H8*(1+IF(H6="Buy",1,-1)*N(J19)/100),"")</f>
        <v/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B10" s="207" t="n"/>
      <c r="C10" s="207" t="n"/>
      <c r="D10" s="207" t="n"/>
      <c r="E10" s="207" t="n"/>
      <c r="G10" s="3" t="inlineStr">
        <is>
          <t>ID закрыть</t>
        </is>
      </c>
      <c r="H10" s="194" t="inlineStr">
        <is>
          <t>T-0001</t>
        </is>
      </c>
      <c r="I10" s="9" t="inlineStr">
        <is>
          <t>ID закрыть</t>
        </is>
      </c>
      <c r="J10" s="194" t="inlineStr">
        <is>
          <t>L-0001</t>
        </is>
      </c>
      <c r="K10" s="207" t="n"/>
      <c r="L10" s="207" t="n"/>
    </row>
    <row r="11" ht="22" customHeight="1">
      <c r="B11" s="3" t="inlineStr">
        <is>
          <t>Протокол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Binance</t>
        </is>
      </c>
      <c r="C12" s="189" t="n"/>
      <c r="D12" s="189" t="n"/>
      <c r="E12" s="190" t="n"/>
      <c r="G12" s="207" t="n"/>
      <c r="H12" s="207" t="n"/>
      <c r="I12" s="207" t="n"/>
      <c r="J12" s="207" t="n"/>
      <c r="K12" s="207" t="n"/>
      <c r="L12" s="207" t="n"/>
    </row>
    <row r="13" ht="22" customHeight="1">
      <c r="B13" s="207" t="n"/>
      <c r="C13" s="207" t="n"/>
      <c r="D13" s="207" t="n"/>
      <c r="E13" s="207" t="n"/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Комментарий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7" t="inlineStr">
        <is>
          <t>Пробная операция</t>
        </is>
      </c>
      <c r="C15" s="198" t="n"/>
      <c r="D15" s="198" t="n"/>
      <c r="E15" s="199" t="n"/>
      <c r="G15" s="3" t="inlineStr">
        <is>
          <t>ID позиции</t>
        </is>
      </c>
      <c r="H15" s="194" t="inlineStr">
        <is>
          <t>P-0001</t>
        </is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B16" s="221" t="n"/>
      <c r="C16" s="222" t="n"/>
      <c r="D16" s="222" t="n"/>
      <c r="E16" s="223" t="n"/>
      <c r="G16" s="207" t="n"/>
      <c r="H16" s="207" t="n"/>
      <c r="I16" s="207" t="n"/>
      <c r="J16" s="207" t="n"/>
      <c r="K16" s="207" t="n"/>
      <c r="L16" s="207" t="n"/>
    </row>
    <row r="17" ht="22" customHeight="1">
      <c r="B17" s="221" t="n"/>
      <c r="C17" s="222" t="n"/>
      <c r="D17" s="222" t="n"/>
      <c r="E17" s="223" t="n"/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221" t="n"/>
      <c r="C18" s="222" t="n"/>
      <c r="D18" s="222" t="n"/>
      <c r="E18" s="223" t="n"/>
      <c r="G18" s="264" t="inlineStr">
        <is>
          <t>Сумма</t>
        </is>
      </c>
      <c r="H18" s="265" t="inlineStr">
        <is>
          <t>Курс</t>
        </is>
      </c>
      <c r="I18" s="265" t="inlineStr">
        <is>
          <t>Кол-во (авто)</t>
        </is>
      </c>
      <c r="J18" s="265" t="inlineStr">
        <is>
          <t>Комиссия</t>
        </is>
      </c>
      <c r="K18" s="207" t="n"/>
      <c r="L18" s="207" t="n"/>
    </row>
    <row r="19" ht="22" customHeight="1">
      <c r="B19" s="200" t="n"/>
      <c r="C19" s="201" t="n"/>
      <c r="D19" s="201" t="n"/>
      <c r="E19" s="202" t="n"/>
      <c r="G19" s="266" t="n">
        <v>31000</v>
      </c>
      <c r="H19" s="266" t="n">
        <v>62000</v>
      </c>
      <c r="I19" s="269">
        <f>IF(AND(ISNUMBER(G19),ISNUMBER(H19),H19&lt;&gt;0,1-N(J19)/100&lt;&gt;0),G19/(H19*(1-N(J19)/100)),"")</f>
        <v/>
      </c>
      <c r="J19" s="266" t="n">
        <v>0.2</v>
      </c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v7: Обратный расчёт — Сумма и Курс вручную, Кол-во (авто) с учётом комиссии.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I21:J22"/>
    <mergeCell ref="B6:E6"/>
    <mergeCell ref="B5:E5"/>
    <mergeCell ref="B15:E19"/>
    <mergeCell ref="B3:E3"/>
    <mergeCell ref="B22:E22"/>
    <mergeCell ref="G21:H22"/>
    <mergeCell ref="G17:J17"/>
    <mergeCell ref="B12:E12"/>
    <mergeCell ref="B21:E21"/>
    <mergeCell ref="G5:H5"/>
    <mergeCell ref="I5:J5"/>
    <mergeCell ref="B11:E11"/>
    <mergeCell ref="D9:E9"/>
    <mergeCell ref="B14:E14"/>
    <mergeCell ref="D8:E8"/>
    <mergeCell ref="G13:J13"/>
    <mergeCell ref="B1:J2"/>
    <mergeCell ref="G3:J3"/>
  </mergeCells>
  <dataValidations count="11">
    <dataValidation sqref="H14" showDropDown="0" showInputMessage="0" showErrorMessage="0" allowBlank="1" type="list">
      <formula1>"Добавить,Удалить"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12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H6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B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=AND(ISERROR(FIND("/",B9)),UPPER(TRIM(B9))&lt;&gt;UPPER(TRIM(C9)))</formula1>
    </dataValidation>
    <dataValidation sqref="C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=AND(ISERROR(FIND("/",C9)),UPPER(TRIM(C9))&lt;&gt;UPPER(TRIM(B9)))</formula1>
    </dataValidation>
    <dataValidation sqref="J19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H7 H8" showDropDown="0" showInputMessage="0" showErrorMessage="1" allowBlank="1" errorTitle="Число" error="Введите число больше нуля." type="decimal" operator="greaterThan">
      <formula1>0</formula1>
    </dataValidation>
    <dataValidation sqref="H10" showDropDown="0" showInputMessage="0" showErrorMessage="1" allowBlank="1" errorTitle="ID закрыть" error="Формат ID: T-0001 (буква T, дефис и номер минимум из четырёх цифр)." type="custom">
      <formula1>=IFERROR(AND(EXACT(LEFT(H10,2),"T-"),ISNUMBER(--MID(H10,3,20)),MID(H10,3,20)=TEXT(--MID(H10,3,20),"0000")),FALSE)</formula1>
    </dataValidation>
    <dataValidation sqref="J10" showDropDown="0" showInputMessage="0" showErrorMessage="1" allowBlank="1" errorTitle="ID закрыть" error="Формат ID: L-0001 (буква L, дефис и номер минимум из четырёх цифр)." type="custom">
      <formula1>=IFERROR(AND(EXACT(LEFT(J10,2),"L-"),ISNUMBER(--MID(J10,3,20)),MID(J10,3,20)=TEXT(--MID(J10,3,20),"0000")),FALSE)</formula1>
    </dataValidation>
    <dataValidation sqref="H15" showDropDown="0" showInputMessage="0" showErrorMessage="1" allowBlank="1" errorTitle="ID позиции" error="Формат ID: P-0001 (буква P, дефис и номер минимум из четырёх цифр)." type="custom">
      <formula1>=IFERROR(AND(EXACT(LEFT(H15,2),"P-"),ISNUMBER(--MID(H15,3,20)),MID(H15,3,20)=TEXT(--MID(H15,3,20),"0000")),FALSE)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N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4" customWidth="1" min="14" max="14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238" t="inlineStr">
        <is>
          <t>T-0005</t>
        </is>
      </c>
      <c r="C5" s="237" t="n">
        <v>46299</v>
      </c>
      <c r="D5" s="238" t="inlineStr">
        <is>
          <t>Bybit</t>
        </is>
      </c>
      <c r="E5" s="239" t="inlineStr">
        <is>
          <t>BNB/USDT</t>
        </is>
      </c>
      <c r="F5" s="240" t="n"/>
      <c r="G5" s="177" t="n"/>
      <c r="H5" s="271">
        <f>IF(AND(ISNUMBER(F5),ISNUMBER(G5)),F5*G5,"")</f>
        <v/>
      </c>
      <c r="I5" s="240" t="n">
        <v>3</v>
      </c>
      <c r="J5" s="17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IF(AND(ISNUMBER(F5),ISNUMBER(G5),F5&gt;0,1-N(Ввод!$J$19)/100&gt;0),G5/(1-N(Ввод!$J$19)/100),IF(AND(ISNUMBER(I5),ISNUMBER(J5),I5&gt;0),J5/(1+N(Ввод!$J$19)/100),""))</f>
        <v/>
      </c>
    </row>
    <row r="6" ht="22" customHeight="1">
      <c r="B6" s="244" t="inlineStr">
        <is>
          <t>T-0001</t>
        </is>
      </c>
      <c r="C6" s="243" t="n">
        <v>46296</v>
      </c>
      <c r="D6" s="244" t="inlineStr">
        <is>
          <t>Binance</t>
        </is>
      </c>
      <c r="E6" s="245" t="inlineStr">
        <is>
          <t>BTC/USDT</t>
        </is>
      </c>
      <c r="F6" s="246" t="n">
        <v>0.1</v>
      </c>
      <c r="G6" s="183" t="n">
        <v>62124</v>
      </c>
      <c r="H6" s="271">
        <f>IF(AND(ISNUMBER(F6),ISNUMBER(G6)),F6*G6,"")</f>
        <v/>
      </c>
      <c r="I6" s="246" t="n"/>
      <c r="J6" s="183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IF(AND(ISNUMBER(F6),ISNUMBER(G6),F6&gt;0,1-N(Ввод!$J$19)/100&gt;0),G6/(1-N(Ввод!$J$19)/100),IF(AND(ISNUMBER(I6),ISNUMBER(J6),I6&gt;0),J6/(1+N(Ввод!$J$19)/100),""))</f>
        <v/>
      </c>
    </row>
    <row r="7" ht="22" customHeight="1">
      <c r="B7" s="238" t="inlineStr">
        <is>
          <t>T-0004</t>
        </is>
      </c>
      <c r="C7" s="237" t="n">
        <v>46298</v>
      </c>
      <c r="D7" s="238" t="inlineStr">
        <is>
          <t>Binance</t>
        </is>
      </c>
      <c r="E7" s="239" t="inlineStr">
        <is>
          <t>ETH/BTC</t>
        </is>
      </c>
      <c r="F7" s="240" t="n"/>
      <c r="G7" s="177" t="n"/>
      <c r="H7" s="271">
        <f>IF(AND(ISNUMBER(F7),ISNUMBER(G7)),F7*G7,"")</f>
        <v/>
      </c>
      <c r="I7" s="240" t="n">
        <v>1.5</v>
      </c>
      <c r="J7" s="17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IF(AND(ISNUMBER(F7),ISNUMBER(G7),F7&gt;0,1-N(Ввод!$J$19)/100&gt;0),G7/(1-N(Ввод!$J$19)/100),IF(AND(ISNUMBER(I7),ISNUMBER(J7),I7&gt;0),J7/(1+N(Ввод!$J$19)/100),""))</f>
        <v/>
      </c>
    </row>
    <row r="8" ht="22" customHeight="1">
      <c r="B8" s="244" t="inlineStr">
        <is>
          <t>T-0002</t>
        </is>
      </c>
      <c r="C8" s="243" t="n">
        <v>46297</v>
      </c>
      <c r="D8" s="244" t="inlineStr">
        <is>
          <t>Bybit</t>
        </is>
      </c>
      <c r="E8" s="245" t="inlineStr">
        <is>
          <t>ETH/USDT</t>
        </is>
      </c>
      <c r="F8" s="246" t="n">
        <v>1</v>
      </c>
      <c r="G8" s="183" t="n">
        <v>3206.4</v>
      </c>
      <c r="H8" s="271">
        <f>IF(AND(ISNUMBER(F8),ISNUMBER(G8)),F8*G8,"")</f>
        <v/>
      </c>
      <c r="I8" s="246" t="n"/>
      <c r="J8" s="183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IF(AND(ISNUMBER(F8),ISNUMBER(G8),F8&gt;0,1-N(Ввод!$J$19)/100&gt;0),G8/(1-N(Ввод!$J$19)/100),IF(AND(ISNUMBER(I8),ISNUMBER(J8),I8&gt;0),J8/(1+N(Ввод!$J$19)/100),""))</f>
        <v/>
      </c>
    </row>
    <row r="9" ht="22" customHeight="1">
      <c r="B9" s="238" t="inlineStr">
        <is>
          <t>T-0007</t>
        </is>
      </c>
      <c r="C9" s="237" t="n">
        <v>46300</v>
      </c>
      <c r="D9" s="238" t="inlineStr">
        <is>
          <t>Binance</t>
        </is>
      </c>
      <c r="E9" s="239" t="inlineStr">
        <is>
          <t>ETH/USDT</t>
        </is>
      </c>
      <c r="F9" s="240" t="n">
        <v>1.2</v>
      </c>
      <c r="G9" s="177" t="n">
        <v>3186.36</v>
      </c>
      <c r="H9" s="271">
        <f>IF(AND(ISNUMBER(F9),ISNUMBER(G9)),F9*G9,"")</f>
        <v/>
      </c>
      <c r="I9" s="240" t="n"/>
      <c r="J9" s="17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IF(AND(ISNUMBER(F9),ISNUMBER(G9),F9&gt;0,1-N(Ввод!$J$19)/100&gt;0),G9/(1-N(Ввод!$J$19)/100),IF(AND(ISNUMBER(I9),ISNUMBER(J9),I9&gt;0),J9/(1+N(Ввод!$J$19)/100),""))</f>
        <v/>
      </c>
    </row>
    <row r="10" ht="22" customHeight="1">
      <c r="B10" s="244" t="inlineStr">
        <is>
          <t>T-0008</t>
        </is>
      </c>
      <c r="C10" s="243" t="n">
        <v>46300</v>
      </c>
      <c r="D10" s="244" t="inlineStr">
        <is>
          <t>Bybit</t>
        </is>
      </c>
      <c r="E10" s="245" t="inlineStr">
        <is>
          <t>ETH/USDT</t>
        </is>
      </c>
      <c r="F10" s="246" t="n">
        <v>0.8</v>
      </c>
      <c r="G10" s="183" t="n">
        <v>3256.5</v>
      </c>
      <c r="H10" s="271">
        <f>IF(AND(ISNUMBER(F10),ISNUMBER(G10)),F10*G10,"")</f>
        <v/>
      </c>
      <c r="I10" s="246" t="n"/>
      <c r="J10" s="183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IF(AND(ISNUMBER(F10),ISNUMBER(G10),F10&gt;0,1-N(Ввод!$J$19)/100&gt;0),G10/(1-N(Ввод!$J$19)/100),IF(AND(ISNUMBER(I10),ISNUMBER(J10),I10&gt;0),J10/(1+N(Ввод!$J$19)/100),""))</f>
        <v/>
      </c>
    </row>
    <row r="11" ht="22" customHeight="1">
      <c r="B11" s="238" t="inlineStr">
        <is>
          <t>T-0009</t>
        </is>
      </c>
      <c r="C11" s="237" t="n">
        <v>46301</v>
      </c>
      <c r="D11" s="238" t="inlineStr">
        <is>
          <t>OKX</t>
        </is>
      </c>
      <c r="E11" s="239" t="inlineStr">
        <is>
          <t>ETH/USDT</t>
        </is>
      </c>
      <c r="F11" s="240" t="n"/>
      <c r="G11" s="177" t="n"/>
      <c r="H11" s="271">
        <f>IF(AND(ISNUMBER(F11),ISNUMBER(G11)),F11*G11,"")</f>
        <v/>
      </c>
      <c r="I11" s="240" t="n">
        <v>1.5</v>
      </c>
      <c r="J11" s="17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IF(AND(ISNUMBER(F11),ISNUMBER(G11),F11&gt;0,1-N(Ввод!$J$19)/100&gt;0),G11/(1-N(Ввод!$J$19)/100),IF(AND(ISNUMBER(I11),ISNUMBER(J11),I11&gt;0),J11/(1+N(Ввод!$J$19)/100),""))</f>
        <v/>
      </c>
    </row>
    <row r="12" ht="22" customHeight="1">
      <c r="B12" s="244" t="inlineStr">
        <is>
          <t>T-0010</t>
        </is>
      </c>
      <c r="C12" s="243" t="n">
        <v>46300</v>
      </c>
      <c r="D12" s="244" t="inlineStr">
        <is>
          <t>Binance</t>
        </is>
      </c>
      <c r="E12" s="245" t="inlineStr">
        <is>
          <t>SOL/USDT</t>
        </is>
      </c>
      <c r="F12" s="246" t="n"/>
      <c r="G12" s="183" t="n"/>
      <c r="H12" s="271">
        <f>IF(AND(ISNUMBER(F12),ISNUMBER(G12)),F12*G12,"")</f>
        <v/>
      </c>
      <c r="I12" s="246" t="n">
        <v>30</v>
      </c>
      <c r="J12" s="183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IF(AND(ISNUMBER(F12),ISNUMBER(G12),F12&gt;0,1-N(Ввод!$J$19)/100&gt;0),G12/(1-N(Ввод!$J$19)/100),IF(AND(ISNUMBER(I12),ISNUMBER(J12),I12&gt;0),J12/(1+N(Ввод!$J$19)/100),""))</f>
        <v/>
      </c>
    </row>
    <row r="13" ht="22" customHeight="1">
      <c r="B13" s="238" t="inlineStr">
        <is>
          <t>T-0011</t>
        </is>
      </c>
      <c r="C13" s="237" t="n">
        <v>46301</v>
      </c>
      <c r="D13" s="238" t="inlineStr">
        <is>
          <t>Bybit</t>
        </is>
      </c>
      <c r="E13" s="239" t="inlineStr">
        <is>
          <t>SOL/USDT</t>
        </is>
      </c>
      <c r="F13" s="240" t="n"/>
      <c r="G13" s="177" t="n"/>
      <c r="H13" s="271">
        <f>IF(AND(ISNUMBER(F13),ISNUMBER(G13)),F13*G13,"")</f>
        <v/>
      </c>
      <c r="I13" s="240" t="n">
        <v>10</v>
      </c>
      <c r="J13" s="17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IF(AND(ISNUMBER(F13),ISNUMBER(G13),F13&gt;0,1-N(Ввод!$J$19)/100&gt;0),G13/(1-N(Ввод!$J$19)/100),IF(AND(ISNUMBER(I13),ISNUMBER(J13),I13&gt;0),J13/(1+N(Ввод!$J$19)/100),""))</f>
        <v/>
      </c>
    </row>
    <row r="14" ht="22" customHeight="1">
      <c r="B14" s="244" t="inlineStr">
        <is>
          <t>T-0012</t>
        </is>
      </c>
      <c r="C14" s="243" t="n">
        <v>46301</v>
      </c>
      <c r="D14" s="244" t="inlineStr">
        <is>
          <t>OKX</t>
        </is>
      </c>
      <c r="E14" s="245" t="inlineStr">
        <is>
          <t>SOL/USDT</t>
        </is>
      </c>
      <c r="F14" s="246" t="n">
        <v>25</v>
      </c>
      <c r="G14" s="183" t="n">
        <v>146.292</v>
      </c>
      <c r="H14" s="271">
        <f>IF(AND(ISNUMBER(F14),ISNUMBER(G14)),F14*G14,"")</f>
        <v/>
      </c>
      <c r="I14" s="246" t="n"/>
      <c r="J14" s="183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IF(AND(ISNUMBER(F14),ISNUMBER(G14),F14&gt;0,1-N(Ввод!$J$19)/100&gt;0),G14/(1-N(Ввод!$J$19)/100),IF(AND(ISNUMBER(I14),ISNUMBER(J14),I14&gt;0),J14/(1+N(Ввод!$J$19)/100),""))</f>
        <v/>
      </c>
    </row>
    <row r="15" ht="22" customHeight="1">
      <c r="B15" s="238" t="n"/>
      <c r="C15" s="237" t="n"/>
      <c r="D15" s="238" t="n"/>
      <c r="E15" s="239" t="n"/>
      <c r="F15" s="240" t="n"/>
      <c r="G15" s="177" t="n"/>
      <c r="H15" s="271">
        <f>IF(AND(ISNUMBER(F15),ISNUMBER(G15)),F15*G15,"")</f>
        <v/>
      </c>
      <c r="I15" s="240" t="n"/>
      <c r="J15" s="17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IF(AND(ISNUMBER(F15),ISNUMBER(G15),F15&gt;0,1-N(Ввод!$J$19)/100&gt;0),G15/(1-N(Ввод!$J$19)/100),IF(AND(ISNUMBER(I15),ISNUMBER(J15),I15&gt;0),J15/(1+N(Ввод!$J$19)/100),""))</f>
        <v/>
      </c>
    </row>
    <row r="16" ht="22" customHeight="1">
      <c r="B16" s="244" t="n"/>
      <c r="C16" s="243" t="n"/>
      <c r="D16" s="244" t="n"/>
      <c r="E16" s="245" t="n"/>
      <c r="F16" s="246" t="n"/>
      <c r="G16" s="183" t="n"/>
      <c r="H16" s="271">
        <f>IF(AND(ISNUMBER(F16),ISNUMBER(G16)),F16*G16,"")</f>
        <v/>
      </c>
      <c r="I16" s="246" t="n"/>
      <c r="J16" s="183" t="n"/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IF(AND(ISNUMBER(F16),ISNUMBER(G16),F16&gt;0,1-N(Ввод!$J$19)/100&gt;0),G16/(1-N(Ввод!$J$19)/100),IF(AND(ISNUMBER(I16),ISNUMBER(J16),I16&gt;0),J16/(1+N(Ввод!$J$19)/100),""))</f>
        <v/>
      </c>
    </row>
  </sheetData>
  <autoFilter ref="B4:M16"/>
  <mergeCells count="1">
    <mergeCell ref="B1:N2"/>
  </mergeCells>
  <conditionalFormatting sqref="B5:N200">
    <cfRule type="expression" priority="1" dxfId="0">
      <formula>AND($B5&lt;&gt;"",COUNTIF(Закрытые!$B$5:$B$200,$B5)&gt;0)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239" t="inlineStr">
        <is>
          <t>BNB/USDT</t>
        </is>
      </c>
      <c r="C5" s="240">
        <f>IF(SUMIFS(Торговля!$F$5:$F$200,Торговля!$E$5:$E$200,$B5)+SUMIFS(Закрытые!$G$5:$G$200,Закрытые!$F$5:$F$200,$B5)=0,"",SUMIFS(Торговля!$F$5:$F$200,Торговля!$E$5:$E$200,$B5)+SUMIFS(Закрытые!$G$5:$G$200,Закрытые!$F$5:$F$200,$B5))</f>
        <v/>
      </c>
      <c r="D5" s="177">
        <f>IF(C5="","",(SUMPRODUCT((Торговля!$E$5:$E$200=$B5)*Торговля!$F$5:$F$200*Торговля!$G$5:$G$200)+SUMPRODUCT((Закрытые!$F$5:$F$200=$B5)*Закрытые!$G$5:$G$200*Закрытые!$H$5:$H$200))/C5)</f>
        <v/>
      </c>
      <c r="E5" s="241">
        <f>IF(C5="","",SUMIFS(Торговля!$H$5:$H$200,Торговля!$E$5:$E$200,$B5)+SUMIFS(Закрытые!$I$5:$I$200,Закрытые!$F$5:$F$200,$B5))</f>
        <v/>
      </c>
      <c r="F5" s="240">
        <f>IF(SUMIFS(Торговля!$I$5:$I$200,Торговля!$E$5:$E$200,$B5)+SUMIFS(Закрытые!$J$5:$J$200,Закрытые!$F$5:$F$200,$B5)=0,"",SUMIFS(Торговля!$I$5:$I$200,Торговля!$E$5:$E$200,$B5)+SUMIFS(Закрытые!$J$5:$J$200,Закрытые!$F$5:$F$200,$B5))</f>
        <v/>
      </c>
      <c r="G5" s="177">
        <f>IF(F5="","",(SUMPRODUCT((Торговля!$E$5:$E$200=$B5)*Торговля!$I$5:$I$200*Торговля!$J$5:$J$200)+SUMPRODUCT((Закрытые!$F$5:$F$200=$B5)*Закрытые!$J$5:$J$200*Закрытые!$K$5:$K$200))/F5)</f>
        <v/>
      </c>
      <c r="H5" s="241">
        <f>IF(F5="","",SUMIFS(Торговля!$K$5:$K$200,Торговля!$E$5:$E$200,$B5)+SUMIFS(Закрытые!$L$5:$L$200,Закрытые!$F$5:$F$200,$B5))</f>
        <v/>
      </c>
      <c r="I5" s="240">
        <f>IF(COUNTIFS(Закрытые!$F$5:$F$200,$B5)=0,"",ROUND(SUMIFS(Закрытые!$M$5:$M$200,Закрытые!$F$5:$F$200,$B5),8))</f>
        <v/>
      </c>
      <c r="J5" s="241">
        <f>IF(COUNTIFS(Закрытые!$F$5:$F$200,$B5)=0,"",ROUND(SUMIFS(Закрытые!$M$5:$M$200,Закрытые!$F$5:$F$200,$B5)/SUMIFS(Закрытые!$I$5:$I$200,Закрытые!$F$5:$F$200,$B5)*100,2))</f>
        <v/>
      </c>
      <c r="K5" s="240">
        <f>IF(MIN(N(C5),N(F5))&lt;=0,"",ROUND(MIN(N(C5),N(F5))*(N(G5)-N(D5)),8))</f>
        <v/>
      </c>
      <c r="L5" s="177">
        <f>IF(MIN(N(C5),N(F5))&lt;=0,"",IF(N(D5)=0,"",ROUND((N(G5)/N(D5)-1)*100,2)))</f>
        <v/>
      </c>
      <c r="M5" s="177">
        <f>IF(OR(ROUND(N(C5)-N(F5),8)=0,1-N(Ввод!$J$19)/100&lt;=0),"",IF(N(C5)&gt;N(F5),(N(E5)-N(H5))/((N(C5)-N(F5))*(1-N(Ввод!$J$19)/100)),(N(H5)-N(E5))/((N(F5)-N(C5))*(1+N(Ввод!$J$19)/100))))</f>
        <v/>
      </c>
    </row>
    <row r="6" ht="22" customHeight="1">
      <c r="B6" s="245" t="inlineStr">
        <is>
          <t>BTC/USDT</t>
        </is>
      </c>
      <c r="C6" s="246">
        <f>IF(SUMIFS(Торговля!$F$5:$F$200,Торговля!$E$5:$E$200,$B6)+SUMIFS(Закрытые!$G$5:$G$200,Закрытые!$F$5:$F$200,$B6)=0,"",SUMIFS(Торговля!$F$5:$F$200,Торговля!$E$5:$E$200,$B6)+SUMIFS(Закрытые!$G$5:$G$200,Закрытые!$F$5:$F$200,$B6))</f>
        <v/>
      </c>
      <c r="D6" s="183">
        <f>IF(C6="","",(SUMPRODUCT((Торговля!$E$5:$E$200=$B6)*Торговля!$F$5:$F$200*Торговля!$G$5:$G$200)+SUMPRODUCT((Закрытые!$F$5:$F$200=$B6)*Закрытые!$G$5:$G$200*Закрытые!$H$5:$H$200))/C6)</f>
        <v/>
      </c>
      <c r="E6" s="247">
        <f>IF(C6="","",SUMIFS(Торговля!$H$5:$H$200,Торговля!$E$5:$E$200,$B6)+SUMIFS(Закрытые!$I$5:$I$200,Закрытые!$F$5:$F$200,$B6))</f>
        <v/>
      </c>
      <c r="F6" s="246">
        <f>IF(SUMIFS(Торговля!$I$5:$I$200,Торговля!$E$5:$E$200,$B6)+SUMIFS(Закрытые!$J$5:$J$200,Закрытые!$F$5:$F$200,$B6)=0,"",SUMIFS(Торговля!$I$5:$I$200,Торговля!$E$5:$E$200,$B6)+SUMIFS(Закрытые!$J$5:$J$200,Закрытые!$F$5:$F$200,$B6))</f>
        <v/>
      </c>
      <c r="G6" s="183">
        <f>IF(F6="","",(SUMPRODUCT((Торговля!$E$5:$E$200=$B6)*Торговля!$I$5:$I$200*Торговля!$J$5:$J$200)+SUMPRODUCT((Закрытые!$F$5:$F$200=$B6)*Закрытые!$J$5:$J$200*Закрытые!$K$5:$K$200))/F6)</f>
        <v/>
      </c>
      <c r="H6" s="247">
        <f>IF(F6="","",SUMIFS(Торговля!$K$5:$K$200,Торговля!$E$5:$E$200,$B6)+SUMIFS(Закрытые!$L$5:$L$200,Закрытые!$F$5:$F$200,$B6))</f>
        <v/>
      </c>
      <c r="I6" s="246">
        <f>IF(COUNTIFS(Закрытые!$F$5:$F$200,$B6)=0,"",ROUND(SUMIFS(Закрытые!$M$5:$M$200,Закрытые!$F$5:$F$200,$B6),8))</f>
        <v/>
      </c>
      <c r="J6" s="247">
        <f>IF(COUNTIFS(Закрытые!$F$5:$F$200,$B6)=0,"",ROUND(SUMIFS(Закрытые!$M$5:$M$200,Закрытые!$F$5:$F$200,$B6)/SUMIFS(Закрытые!$I$5:$I$200,Закрытые!$F$5:$F$200,$B6)*100,2))</f>
        <v/>
      </c>
      <c r="K6" s="246">
        <f>IF(MIN(N(C6),N(F6))&lt;=0,"",ROUND(MIN(N(C6),N(F6))*(N(G6)-N(D6)),8))</f>
        <v/>
      </c>
      <c r="L6" s="183">
        <f>IF(MIN(N(C6),N(F6))&lt;=0,"",IF(N(D6)=0,"",ROUND((N(G6)/N(D6)-1)*100,2)))</f>
        <v/>
      </c>
      <c r="M6" s="183">
        <f>IF(OR(ROUND(N(C6)-N(F6),8)=0,1-N(Ввод!$J$19)/100&lt;=0),"",IF(N(C6)&gt;N(F6),(N(E6)-N(H6))/((N(C6)-N(F6))*(1-N(Ввод!$J$19)/100)),(N(H6)-N(E6))/((N(F6)-N(C6))*(1+N(Ввод!$J$19)/100))))</f>
        <v/>
      </c>
    </row>
    <row r="7" ht="22" customHeight="1">
      <c r="B7" s="239" t="inlineStr">
        <is>
          <t>ETH/BTC</t>
        </is>
      </c>
      <c r="C7" s="240">
        <f>IF(SUMIFS(Торговля!$F$5:$F$200,Торговля!$E$5:$E$200,$B7)+SUMIFS(Закрытые!$G$5:$G$200,Закрытые!$F$5:$F$200,$B7)=0,"",SUMIFS(Торговля!$F$5:$F$200,Торговля!$E$5:$E$200,$B7)+SUMIFS(Закрытые!$G$5:$G$200,Закрытые!$F$5:$F$200,$B7))</f>
        <v/>
      </c>
      <c r="D7" s="177">
        <f>IF(C7="","",(SUMPRODUCT((Торговля!$E$5:$E$200=$B7)*Торговля!$F$5:$F$200*Торговля!$G$5:$G$200)+SUMPRODUCT((Закрытые!$F$5:$F$200=$B7)*Закрытые!$G$5:$G$200*Закрытые!$H$5:$H$200))/C7)</f>
        <v/>
      </c>
      <c r="E7" s="241">
        <f>IF(C7="","",SUMIFS(Торговля!$H$5:$H$200,Торговля!$E$5:$E$200,$B7)+SUMIFS(Закрытые!$I$5:$I$200,Закрытые!$F$5:$F$200,$B7))</f>
        <v/>
      </c>
      <c r="F7" s="240">
        <f>IF(SUMIFS(Торговля!$I$5:$I$200,Торговля!$E$5:$E$200,$B7)+SUMIFS(Закрытые!$J$5:$J$200,Закрытые!$F$5:$F$200,$B7)=0,"",SUMIFS(Торговля!$I$5:$I$200,Торговля!$E$5:$E$200,$B7)+SUMIFS(Закрытые!$J$5:$J$200,Закрытые!$F$5:$F$200,$B7))</f>
        <v/>
      </c>
      <c r="G7" s="177">
        <f>IF(F7="","",(SUMPRODUCT((Торговля!$E$5:$E$200=$B7)*Торговля!$I$5:$I$200*Торговля!$J$5:$J$200)+SUMPRODUCT((Закрытые!$F$5:$F$200=$B7)*Закрытые!$J$5:$J$200*Закрытые!$K$5:$K$200))/F7)</f>
        <v/>
      </c>
      <c r="H7" s="241">
        <f>IF(F7="","",SUMIFS(Торговля!$K$5:$K$200,Торговля!$E$5:$E$200,$B7)+SUMIFS(Закрытые!$L$5:$L$200,Закрытые!$F$5:$F$200,$B7))</f>
        <v/>
      </c>
      <c r="I7" s="240">
        <f>IF(COUNTIFS(Закрытые!$F$5:$F$200,$B7)=0,"",ROUND(SUMIFS(Закрытые!$M$5:$M$200,Закрытые!$F$5:$F$200,$B7),8))</f>
        <v/>
      </c>
      <c r="J7" s="241">
        <f>IF(COUNTIFS(Закрытые!$F$5:$F$200,$B7)=0,"",ROUND(SUMIFS(Закрытые!$M$5:$M$200,Закрытые!$F$5:$F$200,$B7)/SUMIFS(Закрытые!$I$5:$I$200,Закрытые!$F$5:$F$200,$B7)*100,2))</f>
        <v/>
      </c>
      <c r="K7" s="240">
        <f>IF(MIN(N(C7),N(F7))&lt;=0,"",ROUND(MIN(N(C7),N(F7))*(N(G7)-N(D7)),8))</f>
        <v/>
      </c>
      <c r="L7" s="177">
        <f>IF(MIN(N(C7),N(F7))&lt;=0,"",IF(N(D7)=0,"",ROUND((N(G7)/N(D7)-1)*100,2)))</f>
        <v/>
      </c>
      <c r="M7" s="177">
        <f>IF(OR(ROUND(N(C7)-N(F7),8)=0,1-N(Ввод!$J$19)/100&lt;=0),"",IF(N(C7)&gt;N(F7),(N(E7)-N(H7))/((N(C7)-N(F7))*(1-N(Ввод!$J$19)/100)),(N(H7)-N(E7))/((N(F7)-N(C7))*(1+N(Ввод!$J$19)/100))))</f>
        <v/>
      </c>
    </row>
    <row r="8" ht="22" customHeight="1">
      <c r="B8" s="245" t="inlineStr">
        <is>
          <t>ETH/USDT</t>
        </is>
      </c>
      <c r="C8" s="246">
        <f>IF(SUMIFS(Торговля!$F$5:$F$200,Торговля!$E$5:$E$200,$B8)+SUMIFS(Закрытые!$G$5:$G$200,Закрытые!$F$5:$F$200,$B8)=0,"",SUMIFS(Торговля!$F$5:$F$200,Торговля!$E$5:$E$200,$B8)+SUMIFS(Закрытые!$G$5:$G$200,Закрытые!$F$5:$F$200,$B8))</f>
        <v/>
      </c>
      <c r="D8" s="183">
        <f>IF(C8="","",(SUMPRODUCT((Торговля!$E$5:$E$200=$B8)*Торговля!$F$5:$F$200*Торговля!$G$5:$G$200)+SUMPRODUCT((Закрытые!$F$5:$F$200=$B8)*Закрытые!$G$5:$G$200*Закрытые!$H$5:$H$200))/C8)</f>
        <v/>
      </c>
      <c r="E8" s="247">
        <f>IF(C8="","",SUMIFS(Торговля!$H$5:$H$200,Торговля!$E$5:$E$200,$B8)+SUMIFS(Закрытые!$I$5:$I$200,Закрытые!$F$5:$F$200,$B8))</f>
        <v/>
      </c>
      <c r="F8" s="246">
        <f>IF(SUMIFS(Торговля!$I$5:$I$200,Торговля!$E$5:$E$200,$B8)+SUMIFS(Закрытые!$J$5:$J$200,Закрытые!$F$5:$F$200,$B8)=0,"",SUMIFS(Торговля!$I$5:$I$200,Торговля!$E$5:$E$200,$B8)+SUMIFS(Закрытые!$J$5:$J$200,Закрытые!$F$5:$F$200,$B8))</f>
        <v/>
      </c>
      <c r="G8" s="183">
        <f>IF(F8="","",(SUMPRODUCT((Торговля!$E$5:$E$200=$B8)*Торговля!$I$5:$I$200*Торговля!$J$5:$J$200)+SUMPRODUCT((Закрытые!$F$5:$F$200=$B8)*Закрытые!$J$5:$J$200*Закрытые!$K$5:$K$200))/F8)</f>
        <v/>
      </c>
      <c r="H8" s="247">
        <f>IF(F8="","",SUMIFS(Торговля!$K$5:$K$200,Торговля!$E$5:$E$200,$B8)+SUMIFS(Закрытые!$L$5:$L$200,Закрытые!$F$5:$F$200,$B8))</f>
        <v/>
      </c>
      <c r="I8" s="246">
        <f>IF(COUNTIFS(Закрытые!$F$5:$F$200,$B8)=0,"",ROUND(SUMIFS(Закрытые!$M$5:$M$200,Закрытые!$F$5:$F$200,$B8),8))</f>
        <v/>
      </c>
      <c r="J8" s="247">
        <f>IF(COUNTIFS(Закрытые!$F$5:$F$200,$B8)=0,"",ROUND(SUMIFS(Закрытые!$M$5:$M$200,Закрытые!$F$5:$F$200,$B8)/SUMIFS(Закрытые!$I$5:$I$200,Закрытые!$F$5:$F$200,$B8)*100,2))</f>
        <v/>
      </c>
      <c r="K8" s="246">
        <f>IF(MIN(N(C8),N(F8))&lt;=0,"",ROUND(MIN(N(C8),N(F8))*(N(G8)-N(D8)),8))</f>
        <v/>
      </c>
      <c r="L8" s="183">
        <f>IF(MIN(N(C8),N(F8))&lt;=0,"",IF(N(D8)=0,"",ROUND((N(G8)/N(D8)-1)*100,2)))</f>
        <v/>
      </c>
      <c r="M8" s="183">
        <f>IF(OR(ROUND(N(C8)-N(F8),8)=0,1-N(Ввод!$J$19)/100&lt;=0),"",IF(N(C8)&gt;N(F8),(N(E8)-N(H8))/((N(C8)-N(F8))*(1-N(Ввод!$J$19)/100)),(N(H8)-N(E8))/((N(F8)-N(C8))*(1+N(Ввод!$J$19)/100))))</f>
        <v/>
      </c>
    </row>
    <row r="9" ht="22" customHeight="1">
      <c r="B9" s="239" t="inlineStr">
        <is>
          <t>SOL/USDT</t>
        </is>
      </c>
      <c r="C9" s="240">
        <f>IF(SUMIFS(Торговля!$F$5:$F$200,Торговля!$E$5:$E$200,$B9)+SUMIFS(Закрытые!$G$5:$G$200,Закрытые!$F$5:$F$200,$B9)=0,"",SUMIFS(Торговля!$F$5:$F$200,Торговля!$E$5:$E$200,$B9)+SUMIFS(Закрытые!$G$5:$G$200,Закрытые!$F$5:$F$200,$B9))</f>
        <v/>
      </c>
      <c r="D9" s="177">
        <f>IF(C9="","",(SUMPRODUCT((Торговля!$E$5:$E$200=$B9)*Торговля!$F$5:$F$200*Торговля!$G$5:$G$200)+SUMPRODUCT((Закрытые!$F$5:$F$200=$B9)*Закрытые!$G$5:$G$200*Закрытые!$H$5:$H$200))/C9)</f>
        <v/>
      </c>
      <c r="E9" s="241">
        <f>IF(C9="","",SUMIFS(Торговля!$H$5:$H$200,Торговля!$E$5:$E$200,$B9)+SUMIFS(Закрытые!$I$5:$I$200,Закрытые!$F$5:$F$200,$B9))</f>
        <v/>
      </c>
      <c r="F9" s="240">
        <f>IF(SUMIFS(Торговля!$I$5:$I$200,Торговля!$E$5:$E$200,$B9)+SUMIFS(Закрытые!$J$5:$J$200,Закрытые!$F$5:$F$200,$B9)=0,"",SUMIFS(Торговля!$I$5:$I$200,Торговля!$E$5:$E$200,$B9)+SUMIFS(Закрытые!$J$5:$J$200,Закрытые!$F$5:$F$200,$B9))</f>
        <v/>
      </c>
      <c r="G9" s="177">
        <f>IF(F9="","",(SUMPRODUCT((Торговля!$E$5:$E$200=$B9)*Торговля!$I$5:$I$200*Торговля!$J$5:$J$200)+SUMPRODUCT((Закрытые!$F$5:$F$200=$B9)*Закрытые!$J$5:$J$200*Закрытые!$K$5:$K$200))/F9)</f>
        <v/>
      </c>
      <c r="H9" s="241">
        <f>IF(F9="","",SUMIFS(Торговля!$K$5:$K$200,Торговля!$E$5:$E$200,$B9)+SUMIFS(Закрытые!$L$5:$L$200,Закрытые!$F$5:$F$200,$B9))</f>
        <v/>
      </c>
      <c r="I9" s="240">
        <f>IF(COUNTIFS(Закрытые!$F$5:$F$200,$B9)=0,"",ROUND(SUMIFS(Закрытые!$M$5:$M$200,Закрытые!$F$5:$F$200,$B9),8))</f>
        <v/>
      </c>
      <c r="J9" s="241">
        <f>IF(COUNTIFS(Закрытые!$F$5:$F$200,$B9)=0,"",ROUND(SUMIFS(Закрытые!$M$5:$M$200,Закрытые!$F$5:$F$200,$B9)/SUMIFS(Закрытые!$I$5:$I$200,Закрытые!$F$5:$F$200,$B9)*100,2))</f>
        <v/>
      </c>
      <c r="K9" s="240">
        <f>IF(MIN(N(C9),N(F9))&lt;=0,"",ROUND(MIN(N(C9),N(F9))*(N(G9)-N(D9)),8))</f>
        <v/>
      </c>
      <c r="L9" s="177">
        <f>IF(MIN(N(C9),N(F9))&lt;=0,"",IF(N(D9)=0,"",ROUND((N(G9)/N(D9)-1)*100,2)))</f>
        <v/>
      </c>
      <c r="M9" s="177">
        <f>IF(OR(ROUND(N(C9)-N(F9),8)=0,1-N(Ввод!$J$19)/100&lt;=0),"",IF(N(C9)&gt;N(F9),(N(E9)-N(H9))/((N(C9)-N(F9))*(1-N(Ввод!$J$19)/100)),(N(H9)-N(E9))/((N(F9)-N(C9))*(1+N(Ввод!$J$19)/100))))</f>
        <v/>
      </c>
    </row>
    <row r="10" ht="22" customHeight="1">
      <c r="B10" s="245" t="n"/>
      <c r="C10" s="246">
        <f>IF(SUMIFS(Торговля!$F$5:$F$200,Торговля!$E$5:$E$200,$B10)+SUMIFS(Закрытые!$G$5:$G$200,Закрытые!$F$5:$F$200,$B10)=0,"",SUMIFS(Торговля!$F$5:$F$200,Торговля!$E$5:$E$200,$B10)+SUMIFS(Закрытые!$G$5:$G$200,Закрытые!$F$5:$F$200,$B10))</f>
        <v/>
      </c>
      <c r="D10" s="183">
        <f>IF(C10="","",(SUMPRODUCT((Торговля!$E$5:$E$200=$B10)*Торговля!$F$5:$F$200*Торговля!$G$5:$G$200)+SUMPRODUCT((Закрытые!$F$5:$F$200=$B10)*Закрытые!$G$5:$G$200*Закрытые!$H$5:$H$200))/C10)</f>
        <v/>
      </c>
      <c r="E10" s="247">
        <f>IF(C10="","",SUMIFS(Торговля!$H$5:$H$200,Торговля!$E$5:$E$200,$B10)+SUMIFS(Закрытые!$I$5:$I$200,Закрытые!$F$5:$F$200,$B10))</f>
        <v/>
      </c>
      <c r="F10" s="246">
        <f>IF(SUMIFS(Торговля!$I$5:$I$200,Торговля!$E$5:$E$200,$B10)+SUMIFS(Закрытые!$J$5:$J$200,Закрытые!$F$5:$F$200,$B10)=0,"",SUMIFS(Торговля!$I$5:$I$200,Торговля!$E$5:$E$200,$B10)+SUMIFS(Закрытые!$J$5:$J$200,Закрытые!$F$5:$F$200,$B10))</f>
        <v/>
      </c>
      <c r="G10" s="183">
        <f>IF(F10="","",(SUMPRODUCT((Торговля!$E$5:$E$200=$B10)*Торговля!$I$5:$I$200*Торговля!$J$5:$J$200)+SUMPRODUCT((Закрытые!$F$5:$F$200=$B10)*Закрытые!$J$5:$J$200*Закрытые!$K$5:$K$200))/F10)</f>
        <v/>
      </c>
      <c r="H10" s="247">
        <f>IF(F10="","",SUMIFS(Торговля!$K$5:$K$200,Торговля!$E$5:$E$200,$B10)+SUMIFS(Закрытые!$L$5:$L$200,Закрытые!$F$5:$F$200,$B10))</f>
        <v/>
      </c>
      <c r="I10" s="246">
        <f>IF(COUNTIFS(Закрытые!$F$5:$F$200,$B10)=0,"",ROUND(SUMIFS(Закрытые!$M$5:$M$200,Закрытые!$F$5:$F$200,$B10),8))</f>
        <v/>
      </c>
      <c r="J10" s="247">
        <f>IF(COUNTIFS(Закрытые!$F$5:$F$200,$B10)=0,"",ROUND(SUMIFS(Закрытые!$M$5:$M$200,Закрытые!$F$5:$F$200,$B10)/SUMIFS(Закрытые!$I$5:$I$200,Закрытые!$F$5:$F$200,$B10)*100,2))</f>
        <v/>
      </c>
      <c r="K10" s="246">
        <f>IF(MIN(N(C10),N(F10))&lt;=0,"",ROUND(MIN(N(C10),N(F10))*(N(G10)-N(D10)),8))</f>
        <v/>
      </c>
      <c r="L10" s="183">
        <f>IF(MIN(N(C10),N(F10))&lt;=0,"",IF(N(D10)=0,"",ROUND((N(G10)/N(D10)-1)*100,2)))</f>
        <v/>
      </c>
      <c r="M10" s="183">
        <f>IF(OR(ROUND(N(C10)-N(F10),8)=0,1-N(Ввод!$J$19)/100&lt;=0),"",IF(N(C10)&gt;N(F10),(N(E10)-N(H10))/((N(C10)-N(F10))*(1-N(Ввод!$J$19)/100)),(N(H10)-N(E10))/((N(F10)-N(C10))*(1+N(Ввод!$J$19)/100))))</f>
        <v/>
      </c>
    </row>
    <row r="11" ht="22" customHeight="1">
      <c r="B11" s="239" t="n"/>
      <c r="C11" s="240">
        <f>IF(SUMIFS(Торговля!$F$5:$F$200,Торговля!$E$5:$E$200,$B11)+SUMIFS(Закрытые!$G$5:$G$200,Закрытые!$F$5:$F$200,$B11)=0,"",SUMIFS(Торговля!$F$5:$F$200,Торговля!$E$5:$E$200,$B11)+SUMIFS(Закрытые!$G$5:$G$200,Закрытые!$F$5:$F$200,$B11))</f>
        <v/>
      </c>
      <c r="D11" s="177">
        <f>IF(C11="","",(SUMPRODUCT((Торговля!$E$5:$E$200=$B11)*Торговля!$F$5:$F$200*Торговля!$G$5:$G$200)+SUMPRODUCT((Закрытые!$F$5:$F$200=$B11)*Закрытые!$G$5:$G$200*Закрытые!$H$5:$H$200))/C11)</f>
        <v/>
      </c>
      <c r="E11" s="241">
        <f>IF(C11="","",SUMIFS(Торговля!$H$5:$H$200,Торговля!$E$5:$E$200,$B11)+SUMIFS(Закрытые!$I$5:$I$200,Закрытые!$F$5:$F$200,$B11))</f>
        <v/>
      </c>
      <c r="F11" s="240">
        <f>IF(SUMIFS(Торговля!$I$5:$I$200,Торговля!$E$5:$E$200,$B11)+SUMIFS(Закрытые!$J$5:$J$200,Закрытые!$F$5:$F$200,$B11)=0,"",SUMIFS(Торговля!$I$5:$I$200,Торговля!$E$5:$E$200,$B11)+SUMIFS(Закрытые!$J$5:$J$200,Закрытые!$F$5:$F$200,$B11))</f>
        <v/>
      </c>
      <c r="G11" s="177">
        <f>IF(F11="","",(SUMPRODUCT((Торговля!$E$5:$E$200=$B11)*Торговля!$I$5:$I$200*Торговля!$J$5:$J$200)+SUMPRODUCT((Закрытые!$F$5:$F$200=$B11)*Закрытые!$J$5:$J$200*Закрытые!$K$5:$K$200))/F11)</f>
        <v/>
      </c>
      <c r="H11" s="241">
        <f>IF(F11="","",SUMIFS(Торговля!$K$5:$K$200,Торговля!$E$5:$E$200,$B11)+SUMIFS(Закрытые!$L$5:$L$200,Закрытые!$F$5:$F$200,$B11))</f>
        <v/>
      </c>
      <c r="I11" s="240">
        <f>IF(COUNTIFS(Закрытые!$F$5:$F$200,$B11)=0,"",ROUND(SUMIFS(Закрытые!$M$5:$M$200,Закрытые!$F$5:$F$200,$B11),8))</f>
        <v/>
      </c>
      <c r="J11" s="241">
        <f>IF(COUNTIFS(Закрытые!$F$5:$F$200,$B11)=0,"",ROUND(SUMIFS(Закрытые!$M$5:$M$200,Закрытые!$F$5:$F$200,$B11)/SUMIFS(Закрытые!$I$5:$I$200,Закрытые!$F$5:$F$200,$B11)*100,2))</f>
        <v/>
      </c>
      <c r="K11" s="240">
        <f>IF(MIN(N(C11),N(F11))&lt;=0,"",ROUND(MIN(N(C11),N(F11))*(N(G11)-N(D11)),8))</f>
        <v/>
      </c>
      <c r="L11" s="177">
        <f>IF(MIN(N(C11),N(F11))&lt;=0,"",IF(N(D11)=0,"",ROUND((N(G11)/N(D11)-1)*100,2)))</f>
        <v/>
      </c>
      <c r="M11" s="177">
        <f>IF(OR(ROUND(N(C11)-N(F11),8)=0,1-N(Ввод!$J$19)/100&lt;=0),"",IF(N(C11)&gt;N(F11),(N(E11)-N(H11))/((N(C11)-N(F11))*(1-N(Ввод!$J$19)/100)),(N(H11)-N(E11))/((N(F11)-N(C11))*(1+N(Ввод!$J$19)/100))))</f>
        <v/>
      </c>
    </row>
    <row r="12" ht="22" customHeight="1">
      <c r="B12" s="245" t="n"/>
      <c r="C12" s="246">
        <f>IF(SUMIFS(Торговля!$F$5:$F$200,Торговля!$E$5:$E$200,$B12)+SUMIFS(Закрытые!$G$5:$G$200,Закрытые!$F$5:$F$200,$B12)=0,"",SUMIFS(Торговля!$F$5:$F$200,Торговля!$E$5:$E$200,$B12)+SUMIFS(Закрытые!$G$5:$G$200,Закрытые!$F$5:$F$200,$B12))</f>
        <v/>
      </c>
      <c r="D12" s="183">
        <f>IF(C12="","",(SUMPRODUCT((Торговля!$E$5:$E$200=$B12)*Торговля!$F$5:$F$200*Торговля!$G$5:$G$200)+SUMPRODUCT((Закрытые!$F$5:$F$200=$B12)*Закрытые!$G$5:$G$200*Закрытые!$H$5:$H$200))/C12)</f>
        <v/>
      </c>
      <c r="E12" s="247">
        <f>IF(C12="","",SUMIFS(Торговля!$H$5:$H$200,Торговля!$E$5:$E$200,$B12)+SUMIFS(Закрытые!$I$5:$I$200,Закрытые!$F$5:$F$200,$B12))</f>
        <v/>
      </c>
      <c r="F12" s="246">
        <f>IF(SUMIFS(Торговля!$I$5:$I$200,Торговля!$E$5:$E$200,$B12)+SUMIFS(Закрытые!$J$5:$J$200,Закрытые!$F$5:$F$200,$B12)=0,"",SUMIFS(Торговля!$I$5:$I$200,Торговля!$E$5:$E$200,$B12)+SUMIFS(Закрытые!$J$5:$J$200,Закрытые!$F$5:$F$200,$B12))</f>
        <v/>
      </c>
      <c r="G12" s="183">
        <f>IF(F12="","",(SUMPRODUCT((Торговля!$E$5:$E$200=$B12)*Торговля!$I$5:$I$200*Торговля!$J$5:$J$200)+SUMPRODUCT((Закрытые!$F$5:$F$200=$B12)*Закрытые!$J$5:$J$200*Закрытые!$K$5:$K$200))/F12)</f>
        <v/>
      </c>
      <c r="H12" s="247">
        <f>IF(F12="","",SUMIFS(Торговля!$K$5:$K$200,Торговля!$E$5:$E$200,$B12)+SUMIFS(Закрытые!$L$5:$L$200,Закрытые!$F$5:$F$200,$B12))</f>
        <v/>
      </c>
      <c r="I12" s="246">
        <f>IF(COUNTIFS(Закрытые!$F$5:$F$200,$B12)=0,"",ROUND(SUMIFS(Закрытые!$M$5:$M$200,Закрытые!$F$5:$F$200,$B12),8))</f>
        <v/>
      </c>
      <c r="J12" s="247">
        <f>IF(COUNTIFS(Закрытые!$F$5:$F$200,$B12)=0,"",ROUND(SUMIFS(Закрытые!$M$5:$M$200,Закрытые!$F$5:$F$200,$B12)/SUMIFS(Закрытые!$I$5:$I$200,Закрытые!$F$5:$F$200,$B12)*100,2))</f>
        <v/>
      </c>
      <c r="K12" s="246">
        <f>IF(MIN(N(C12),N(F12))&lt;=0,"",ROUND(MIN(N(C12),N(F12))*(N(G12)-N(D12)),8))</f>
        <v/>
      </c>
      <c r="L12" s="183">
        <f>IF(MIN(N(C12),N(F12))&lt;=0,"",IF(N(D12)=0,"",ROUND((N(G12)/N(D12)-1)*100,2)))</f>
        <v/>
      </c>
      <c r="M12" s="183">
        <f>IF(OR(ROUND(N(C12)-N(F12),8)=0,1-N(Ввод!$J$19)/100&lt;=0),"",IF(N(C12)&gt;N(F12),(N(E12)-N(H12))/((N(C12)-N(F12))*(1-N(Ввод!$J$19)/100)),(N(H12)-N(E12))/((N(F12)-N(C12))*(1+N(Ввод!$J$19)/100))))</f>
        <v/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238" t="inlineStr">
        <is>
          <t>L-0005</t>
        </is>
      </c>
      <c r="C5" s="237" t="n">
        <v>46298</v>
      </c>
      <c r="D5" s="238" t="inlineStr">
        <is>
          <t>Bybit</t>
        </is>
      </c>
      <c r="E5" s="239" t="inlineStr">
        <is>
          <t>BNB/USDT</t>
        </is>
      </c>
      <c r="F5" s="240" t="n">
        <v>5</v>
      </c>
      <c r="G5" s="177" t="n">
        <v>590</v>
      </c>
      <c r="H5" s="241" t="n">
        <v>2950</v>
      </c>
      <c r="I5" s="240" t="n">
        <v>5</v>
      </c>
      <c r="J5" s="177" t="n">
        <v>575</v>
      </c>
      <c r="K5" s="241" t="n">
        <v>2875</v>
      </c>
      <c r="L5" s="240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244" t="inlineStr">
        <is>
          <t>L-0002</t>
        </is>
      </c>
      <c r="C6" s="243" t="n">
        <v>46296</v>
      </c>
      <c r="D6" s="244" t="inlineStr">
        <is>
          <t>Bybit</t>
        </is>
      </c>
      <c r="E6" s="245" t="inlineStr">
        <is>
          <t>BTC/USDT</t>
        </is>
      </c>
      <c r="F6" s="246" t="n">
        <v>0.25</v>
      </c>
      <c r="G6" s="183" t="n">
        <v>62000</v>
      </c>
      <c r="H6" s="247" t="n">
        <v>15500</v>
      </c>
      <c r="I6" s="246" t="n">
        <v>0.25</v>
      </c>
      <c r="J6" s="183" t="n">
        <v>64000</v>
      </c>
      <c r="K6" s="247" t="n">
        <v>16000</v>
      </c>
      <c r="L6" s="246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238" t="inlineStr">
        <is>
          <t>L-0006</t>
        </is>
      </c>
      <c r="C7" s="237" t="n">
        <v>46299</v>
      </c>
      <c r="D7" s="238" t="inlineStr">
        <is>
          <t>OKX</t>
        </is>
      </c>
      <c r="E7" s="239" t="inlineStr">
        <is>
          <t>BTC/USDT</t>
        </is>
      </c>
      <c r="F7" s="240" t="n">
        <v>0.1</v>
      </c>
      <c r="G7" s="177" t="n">
        <v>62500</v>
      </c>
      <c r="H7" s="241" t="n">
        <v>6250</v>
      </c>
      <c r="I7" s="240" t="n">
        <v>0.1</v>
      </c>
      <c r="J7" s="177" t="n">
        <v>63100</v>
      </c>
      <c r="K7" s="241" t="n">
        <v>6310</v>
      </c>
      <c r="L7" s="240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244" t="inlineStr">
        <is>
          <t>L-0001</t>
        </is>
      </c>
      <c r="C8" s="243" t="n">
        <v>46296</v>
      </c>
      <c r="D8" s="244" t="inlineStr">
        <is>
          <t>Binance</t>
        </is>
      </c>
      <c r="E8" s="245" t="inlineStr">
        <is>
          <t>ETH/BTC</t>
        </is>
      </c>
      <c r="F8" s="246" t="n">
        <v>0.5</v>
      </c>
      <c r="G8" s="183" t="n">
        <v>0.0521</v>
      </c>
      <c r="H8" s="247" t="n">
        <v>0.02605</v>
      </c>
      <c r="I8" s="246" t="n">
        <v>0.5</v>
      </c>
      <c r="J8" s="183" t="n">
        <v>0.0534</v>
      </c>
      <c r="K8" s="247" t="n">
        <v>0.0267</v>
      </c>
      <c r="L8" s="246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238" t="inlineStr">
        <is>
          <t>L-0007</t>
        </is>
      </c>
      <c r="C9" s="237" t="n">
        <v>46299</v>
      </c>
      <c r="D9" s="238" t="inlineStr">
        <is>
          <t>Binance</t>
        </is>
      </c>
      <c r="E9" s="239" t="inlineStr">
        <is>
          <t>ETH/BTC</t>
        </is>
      </c>
      <c r="F9" s="240" t="n">
        <v>0.8</v>
      </c>
      <c r="G9" s="177" t="n">
        <v>0.0518</v>
      </c>
      <c r="H9" s="241" t="n">
        <v>0.04144</v>
      </c>
      <c r="I9" s="240" t="n">
        <v>0.8</v>
      </c>
      <c r="J9" s="177" t="n">
        <v>0.053</v>
      </c>
      <c r="K9" s="241" t="n">
        <v>0.0424</v>
      </c>
      <c r="L9" s="240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244" t="inlineStr">
        <is>
          <t>L-0004</t>
        </is>
      </c>
      <c r="C10" s="243" t="n">
        <v>46298</v>
      </c>
      <c r="D10" s="244" t="inlineStr">
        <is>
          <t>Binance</t>
        </is>
      </c>
      <c r="E10" s="245" t="inlineStr">
        <is>
          <t>ETH/USDT</t>
        </is>
      </c>
      <c r="F10" s="246" t="n">
        <v>1.2</v>
      </c>
      <c r="G10" s="183" t="n">
        <v>3200</v>
      </c>
      <c r="H10" s="247" t="n">
        <v>3840</v>
      </c>
      <c r="I10" s="246" t="n">
        <v>1.2</v>
      </c>
      <c r="J10" s="183" t="n">
        <v>3350</v>
      </c>
      <c r="K10" s="247" t="n">
        <v>4020</v>
      </c>
      <c r="L10" s="246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238" t="inlineStr">
        <is>
          <t>L-0003</t>
        </is>
      </c>
      <c r="C11" s="237" t="n">
        <v>46297</v>
      </c>
      <c r="D11" s="238" t="inlineStr">
        <is>
          <t>OKX</t>
        </is>
      </c>
      <c r="E11" s="239" t="inlineStr">
        <is>
          <t>SOL/USDT</t>
        </is>
      </c>
      <c r="F11" s="240" t="n">
        <v>20</v>
      </c>
      <c r="G11" s="177" t="n">
        <v>145</v>
      </c>
      <c r="H11" s="241" t="n">
        <v>2900</v>
      </c>
      <c r="I11" s="240" t="n">
        <v>20</v>
      </c>
      <c r="J11" s="177" t="n">
        <v>139</v>
      </c>
      <c r="K11" s="241" t="n">
        <v>2780</v>
      </c>
      <c r="L11" s="240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244" t="inlineStr">
        <is>
          <t>L-0008</t>
        </is>
      </c>
      <c r="C12" s="243" t="n">
        <v>46299</v>
      </c>
      <c r="D12" s="244" t="inlineStr">
        <is>
          <t>Bybit</t>
        </is>
      </c>
      <c r="E12" s="245" t="inlineStr">
        <is>
          <t>SOL/USDT</t>
        </is>
      </c>
      <c r="F12" s="246" t="n">
        <v>15</v>
      </c>
      <c r="G12" s="183" t="n">
        <v>142</v>
      </c>
      <c r="H12" s="247" t="n">
        <v>2130</v>
      </c>
      <c r="I12" s="246" t="n">
        <v>15</v>
      </c>
      <c r="J12" s="183" t="n">
        <v>147</v>
      </c>
      <c r="K12" s="247" t="n">
        <v>2205</v>
      </c>
      <c r="L12" s="246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239" t="inlineStr">
        <is>
          <t>ETH/BTC</t>
        </is>
      </c>
      <c r="C5" s="240" t="n">
        <v>0.5</v>
      </c>
      <c r="D5" s="177" t="n">
        <v>0.0521</v>
      </c>
      <c r="E5" s="241" t="n">
        <v>0.02605</v>
      </c>
      <c r="F5" s="240" t="n">
        <v>0.5</v>
      </c>
      <c r="G5" s="177" t="n">
        <v>0.0534</v>
      </c>
      <c r="H5" s="241" t="n">
        <v>0.0267</v>
      </c>
      <c r="I5" s="240">
        <f>IF(AND(AND(ISNUMBER(C5),ISNUMBER(F5),ISNUMBER(E5),ISNUMBER(H5)),C5&gt;0,F5&gt;0,E5&lt;&gt;0),ROUND(MIN(C5,F5)*(H5/F5-E5/C5),8),"")</f>
        <v/>
      </c>
      <c r="J5" s="241">
        <f>IF(AND(AND(ISNUMBER(C5),ISNUMBER(F5),ISNUMBER(E5),ISNUMBER(H5)),C5&gt;0,F5&gt;0,E5&lt;&gt;0),ROUND((H5/F5)/(E5/C5)*100-100,2),"")</f>
        <v/>
      </c>
      <c r="K5" s="240" t="n">
        <v>0.00063</v>
      </c>
      <c r="L5" s="177" t="n">
        <v>2.42</v>
      </c>
      <c r="M5" s="177" t="n">
        <v>0.0522</v>
      </c>
    </row>
    <row r="6" ht="22" customHeight="1">
      <c r="B6" s="245" t="inlineStr">
        <is>
          <t>BTC/USDT</t>
        </is>
      </c>
      <c r="C6" s="246" t="n">
        <v>0.25</v>
      </c>
      <c r="D6" s="183" t="n">
        <v>62000</v>
      </c>
      <c r="E6" s="247" t="n">
        <v>15500</v>
      </c>
      <c r="F6" s="246" t="n">
        <v>0.25</v>
      </c>
      <c r="G6" s="183" t="n">
        <v>64000</v>
      </c>
      <c r="H6" s="247" t="n">
        <v>16000</v>
      </c>
      <c r="I6" s="246">
        <f>IF(AND(AND(ISNUMBER(C6),ISNUMBER(F6),ISNUMBER(E6),ISNUMBER(H6)),C6&gt;0,F6&gt;0,E6&lt;&gt;0),ROUND(MIN(C6,F6)*(H6/F6-E6/C6),8),"")</f>
        <v/>
      </c>
      <c r="J6" s="247">
        <f>IF(AND(AND(ISNUMBER(C6),ISNUMBER(F6),ISNUMBER(E6),ISNUMBER(H6)),C6&gt;0,F6&gt;0,E6&lt;&gt;0),ROUND((H6/F6)/(E6/C6)*100-100,2),"")</f>
        <v/>
      </c>
      <c r="K6" s="246" t="n">
        <v>485</v>
      </c>
      <c r="L6" s="183" t="n">
        <v>3.13</v>
      </c>
      <c r="M6" s="183" t="n">
        <v>62155</v>
      </c>
    </row>
    <row r="7" ht="22" customHeight="1">
      <c r="B7" s="239" t="inlineStr">
        <is>
          <t>SOL/USDT</t>
        </is>
      </c>
      <c r="C7" s="240" t="n">
        <v>20</v>
      </c>
      <c r="D7" s="177" t="n">
        <v>145</v>
      </c>
      <c r="E7" s="241" t="n">
        <v>2900</v>
      </c>
      <c r="F7" s="240" t="n">
        <v>20</v>
      </c>
      <c r="G7" s="177" t="n">
        <v>139</v>
      </c>
      <c r="H7" s="241" t="n">
        <v>2780</v>
      </c>
      <c r="I7" s="240">
        <f>IF(AND(AND(ISNUMBER(C7),ISNUMBER(F7),ISNUMBER(E7),ISNUMBER(H7)),C7&gt;0,F7&gt;0,E7&lt;&gt;0),ROUND(MIN(C7,F7)*(H7/F7-E7/C7),8),"")</f>
        <v/>
      </c>
      <c r="J7" s="241">
        <f>IF(AND(AND(ISNUMBER(C7),ISNUMBER(F7),ISNUMBER(E7),ISNUMBER(H7)),C7&gt;0,F7&gt;0,E7&lt;&gt;0),ROUND((H7/F7)/(E7/C7)*100-100,2),"")</f>
        <v/>
      </c>
      <c r="K7" s="240" t="n">
        <v>-125</v>
      </c>
      <c r="L7" s="177" t="n">
        <v>-4.31</v>
      </c>
      <c r="M7" s="177" t="n">
        <v>145.3</v>
      </c>
    </row>
    <row r="8" ht="22" customHeight="1">
      <c r="B8" s="245" t="inlineStr">
        <is>
          <t>ETH/USDT</t>
        </is>
      </c>
      <c r="C8" s="246" t="n">
        <v>1.2</v>
      </c>
      <c r="D8" s="183" t="n">
        <v>3200</v>
      </c>
      <c r="E8" s="247" t="n">
        <v>3840</v>
      </c>
      <c r="F8" s="246" t="n">
        <v>1.2</v>
      </c>
      <c r="G8" s="183" t="n">
        <v>3350</v>
      </c>
      <c r="H8" s="247" t="n">
        <v>4020</v>
      </c>
      <c r="I8" s="246">
        <f>IF(AND(AND(ISNUMBER(C8),ISNUMBER(F8),ISNUMBER(E8),ISNUMBER(H8)),C8&gt;0,F8&gt;0,E8&lt;&gt;0),ROUND(MIN(C8,F8)*(H8/F8-E8/C8),8),"")</f>
        <v/>
      </c>
      <c r="J8" s="247">
        <f>IF(AND(AND(ISNUMBER(C8),ISNUMBER(F8),ISNUMBER(E8),ISNUMBER(H8)),C8&gt;0,F8&gt;0,E8&lt;&gt;0),ROUND((H8/F8)/(E8/C8)*100-100,2),"")</f>
        <v/>
      </c>
      <c r="K8" s="246" t="n">
        <v>175</v>
      </c>
      <c r="L8" s="183" t="n">
        <v>4.56</v>
      </c>
      <c r="M8" s="183" t="n">
        <v>3203.84</v>
      </c>
    </row>
    <row r="9" ht="22" customHeight="1">
      <c r="B9" s="239" t="inlineStr">
        <is>
          <t>BNB/USDT</t>
        </is>
      </c>
      <c r="C9" s="240" t="n">
        <v>5</v>
      </c>
      <c r="D9" s="177" t="n">
        <v>590</v>
      </c>
      <c r="E9" s="241" t="n">
        <v>2950</v>
      </c>
      <c r="F9" s="240" t="n">
        <v>5</v>
      </c>
      <c r="G9" s="177" t="n">
        <v>575</v>
      </c>
      <c r="H9" s="241" t="n">
        <v>2875</v>
      </c>
      <c r="I9" s="240">
        <f>IF(AND(AND(ISNUMBER(C9),ISNUMBER(F9),ISNUMBER(E9),ISNUMBER(H9)),C9&gt;0,F9&gt;0,E9&lt;&gt;0),ROUND(MIN(C9,F9)*(H9/F9-E9/C9),8),"")</f>
        <v/>
      </c>
      <c r="J9" s="241">
        <f>IF(AND(AND(ISNUMBER(C9),ISNUMBER(F9),ISNUMBER(E9),ISNUMBER(H9)),C9&gt;0,F9&gt;0,E9&lt;&gt;0),ROUND((H9/F9)/(E9/C9)*100-100,2),"")</f>
        <v/>
      </c>
      <c r="K9" s="240" t="n">
        <v>-80</v>
      </c>
      <c r="L9" s="177" t="n">
        <v>-2.71</v>
      </c>
      <c r="M9" s="177" t="n">
        <v>590.6</v>
      </c>
    </row>
    <row r="10" ht="22" customHeight="1">
      <c r="B10" s="245" t="inlineStr">
        <is>
          <t>BTC/USDT</t>
        </is>
      </c>
      <c r="C10" s="246" t="n">
        <v>0.1</v>
      </c>
      <c r="D10" s="183" t="n">
        <v>62500</v>
      </c>
      <c r="E10" s="247" t="n">
        <v>6250</v>
      </c>
      <c r="F10" s="246" t="n">
        <v>0.1</v>
      </c>
      <c r="G10" s="183" t="n">
        <v>63100</v>
      </c>
      <c r="H10" s="247" t="n">
        <v>6310</v>
      </c>
      <c r="I10" s="246">
        <f>IF(AND(AND(ISNUMBER(C10),ISNUMBER(F10),ISNUMBER(E10),ISNUMBER(H10)),C10&gt;0,F10&gt;0,E10&lt;&gt;0),ROUND(MIN(C10,F10)*(H10/F10-E10/C10),8),"")</f>
        <v/>
      </c>
      <c r="J10" s="247">
        <f>IF(AND(AND(ISNUMBER(C10),ISNUMBER(F10),ISNUMBER(E10),ISNUMBER(H10)),C10&gt;0,F10&gt;0,E10&lt;&gt;0),ROUND((H10/F10)/(E10/C10)*100-100,2),"")</f>
        <v/>
      </c>
      <c r="K10" s="246" t="n">
        <v>55</v>
      </c>
      <c r="L10" s="183" t="n">
        <v>0.88</v>
      </c>
      <c r="M10" s="183" t="n">
        <v>62512.5</v>
      </c>
    </row>
    <row r="11" ht="22" customHeight="1">
      <c r="B11" s="239" t="inlineStr">
        <is>
          <t>ETH/BTC</t>
        </is>
      </c>
      <c r="C11" s="240" t="n">
        <v>0.8</v>
      </c>
      <c r="D11" s="177" t="n">
        <v>0.0518</v>
      </c>
      <c r="E11" s="241" t="n">
        <v>0.04144</v>
      </c>
      <c r="F11" s="240" t="n">
        <v>0.8</v>
      </c>
      <c r="G11" s="177" t="n">
        <v>0.053</v>
      </c>
      <c r="H11" s="241" t="n">
        <v>0.0424</v>
      </c>
      <c r="I11" s="240">
        <f>IF(AND(AND(ISNUMBER(C11),ISNUMBER(F11),ISNUMBER(E11),ISNUMBER(H11)),C11&gt;0,F11&gt;0,E11&lt;&gt;0),ROUND(MIN(C11,F11)*(H11/F11-E11/C11),8),"")</f>
        <v/>
      </c>
      <c r="J11" s="241">
        <f>IF(AND(AND(ISNUMBER(C11),ISNUMBER(F11),ISNUMBER(E11),ISNUMBER(H11)),C11&gt;0,F11&gt;0,E11&lt;&gt;0),ROUND((H11/F11)/(E11/C11)*100-100,2),"")</f>
        <v/>
      </c>
      <c r="K11" s="240" t="n">
        <v>0.00092</v>
      </c>
      <c r="L11" s="177" t="n">
        <v>2.22</v>
      </c>
      <c r="M11" s="177" t="n">
        <v>0.05185</v>
      </c>
    </row>
    <row r="12" ht="22" customHeight="1">
      <c r="B12" s="245" t="inlineStr">
        <is>
          <t>SOL/USDT</t>
        </is>
      </c>
      <c r="C12" s="246" t="n">
        <v>15</v>
      </c>
      <c r="D12" s="183" t="n">
        <v>142</v>
      </c>
      <c r="E12" s="247" t="n">
        <v>2130</v>
      </c>
      <c r="F12" s="246" t="n">
        <v>15</v>
      </c>
      <c r="G12" s="183" t="n">
        <v>147</v>
      </c>
      <c r="H12" s="247" t="n">
        <v>2205</v>
      </c>
      <c r="I12" s="246">
        <f>IF(AND(AND(ISNUMBER(C12),ISNUMBER(F12),ISNUMBER(E12),ISNUMBER(H12)),C12&gt;0,F12&gt;0,E12&lt;&gt;0),ROUND(MIN(C12,F12)*(H12/F12-E12/C12),8),"")</f>
        <v/>
      </c>
      <c r="J12" s="247">
        <f>IF(AND(AND(ISNUMBER(C12),ISNUMBER(F12),ISNUMBER(E12),ISNUMBER(H12)),C12&gt;0,F12&gt;0,E12&lt;&gt;0),ROUND((H12/F12)/(E12/C12)*100-100,2),"")</f>
        <v/>
      </c>
      <c r="K12" s="246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K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</cols>
  <sheetData>
    <row r="1" ht="21" customHeight="1">
      <c r="B1" s="226" t="inlineStr">
        <is>
          <t>CRYPTO JOURNAL • ПУЛ</t>
        </is>
      </c>
    </row>
    <row r="2" ht="21" customHeight="1"/>
    <row r="3" ht="28" customHeight="1">
      <c r="F3" s="254" t="inlineStr">
        <is>
          <t>Открыто</t>
        </is>
      </c>
      <c r="G3" s="270" t="n"/>
      <c r="H3" s="256" t="inlineStr">
        <is>
          <t>Закрыто</t>
        </is>
      </c>
      <c r="I3" s="270" t="n"/>
    </row>
    <row r="4" ht="28" customHeight="1">
      <c r="B4" s="227" t="inlineStr">
        <is>
          <t>ID</t>
        </is>
      </c>
      <c r="C4" s="228" t="inlineStr">
        <is>
          <t>Дата</t>
        </is>
      </c>
      <c r="D4" s="228" t="inlineStr">
        <is>
          <t>Протокол</t>
        </is>
      </c>
      <c r="E4" s="229" t="inlineStr">
        <is>
          <t>Пара</t>
        </is>
      </c>
      <c r="F4" s="254" t="inlineStr">
        <is>
          <t>Актив 1</t>
        </is>
      </c>
      <c r="G4" s="255" t="inlineStr">
        <is>
          <t>Актив 2</t>
        </is>
      </c>
      <c r="H4" s="256" t="inlineStr">
        <is>
          <t>Актив 1</t>
        </is>
      </c>
      <c r="I4" s="257" t="inlineStr">
        <is>
          <t>Актив 2</t>
        </is>
      </c>
      <c r="J4" s="258" t="inlineStr">
        <is>
          <t>Дельта 1</t>
        </is>
      </c>
      <c r="K4" s="259" t="inlineStr">
        <is>
          <t>Дельта 2</t>
        </is>
      </c>
    </row>
    <row r="5" ht="22" customHeight="1">
      <c r="B5" s="236" t="inlineStr">
        <is>
          <t>P-0003</t>
        </is>
      </c>
      <c r="C5" s="237" t="n">
        <v>46297</v>
      </c>
      <c r="D5" s="238" t="inlineStr">
        <is>
          <t>PancakeSwap</t>
        </is>
      </c>
      <c r="E5" s="239" t="inlineStr">
        <is>
          <t>BNB/USDT</t>
        </is>
      </c>
      <c r="F5" s="240" t="n">
        <v>4</v>
      </c>
      <c r="G5" s="241" t="n">
        <v>2360</v>
      </c>
      <c r="H5" s="236" t="n"/>
      <c r="I5" s="239" t="n"/>
      <c r="J5" s="236" t="n"/>
      <c r="K5" s="239" t="n"/>
    </row>
    <row r="6" ht="22" customHeight="1">
      <c r="B6" s="242" t="inlineStr">
        <is>
          <t>P-0006</t>
        </is>
      </c>
      <c r="C6" s="243" t="n">
        <v>46299</v>
      </c>
      <c r="D6" s="244" t="inlineStr">
        <is>
          <t>Uniswap</t>
        </is>
      </c>
      <c r="E6" s="245" t="inlineStr">
        <is>
          <t>BTC/USDT</t>
        </is>
      </c>
      <c r="F6" s="246" t="n">
        <v>0.05</v>
      </c>
      <c r="G6" s="247" t="n">
        <v>3125</v>
      </c>
      <c r="H6" s="242" t="n"/>
      <c r="I6" s="245" t="n"/>
      <c r="J6" s="242" t="n"/>
      <c r="K6" s="245" t="n"/>
    </row>
    <row r="7" ht="22" customHeight="1">
      <c r="B7" s="236" t="inlineStr">
        <is>
          <t>P-0001</t>
        </is>
      </c>
      <c r="C7" s="237" t="n">
        <v>46296</v>
      </c>
      <c r="D7" s="238" t="inlineStr">
        <is>
          <t>Uniswap</t>
        </is>
      </c>
      <c r="E7" s="239" t="inlineStr">
        <is>
          <t>ETH/BTC</t>
        </is>
      </c>
      <c r="F7" s="240" t="n">
        <v>2</v>
      </c>
      <c r="G7" s="241" t="n">
        <v>0.104</v>
      </c>
      <c r="H7" s="236" t="n"/>
      <c r="I7" s="239" t="n"/>
      <c r="J7" s="236" t="n"/>
      <c r="K7" s="239" t="n"/>
    </row>
    <row r="8" ht="22" customHeight="1">
      <c r="B8" s="242" t="inlineStr">
        <is>
          <t>P-0007</t>
        </is>
      </c>
      <c r="C8" s="243" t="n">
        <v>46299</v>
      </c>
      <c r="D8" s="244" t="inlineStr">
        <is>
          <t>PancakeSwap</t>
        </is>
      </c>
      <c r="E8" s="245" t="inlineStr">
        <is>
          <t>ETH/BTC</t>
        </is>
      </c>
      <c r="F8" s="246" t="n">
        <v>1.2</v>
      </c>
      <c r="G8" s="247" t="n">
        <v>0.0624</v>
      </c>
      <c r="H8" s="242" t="n"/>
      <c r="I8" s="245" t="n"/>
      <c r="J8" s="242" t="n"/>
      <c r="K8" s="245" t="n"/>
    </row>
    <row r="9" ht="22" customHeight="1">
      <c r="B9" s="236" t="inlineStr">
        <is>
          <t>P-0004</t>
        </is>
      </c>
      <c r="C9" s="237" t="n">
        <v>46298</v>
      </c>
      <c r="D9" s="238" t="inlineStr">
        <is>
          <t>Uniswap</t>
        </is>
      </c>
      <c r="E9" s="239" t="inlineStr">
        <is>
          <t>ETH/USDT</t>
        </is>
      </c>
      <c r="F9" s="240" t="n">
        <v>1.5</v>
      </c>
      <c r="G9" s="241" t="n">
        <v>4800</v>
      </c>
      <c r="H9" s="236" t="n"/>
      <c r="I9" s="239" t="n"/>
      <c r="J9" s="236" t="n"/>
      <c r="K9" s="239" t="n"/>
    </row>
    <row r="10" ht="22" customHeight="1">
      <c r="B10" s="242" t="inlineStr">
        <is>
          <t>P-0002</t>
        </is>
      </c>
      <c r="C10" s="243" t="n">
        <v>46296</v>
      </c>
      <c r="D10" s="244" t="inlineStr">
        <is>
          <t>Raydium</t>
        </is>
      </c>
      <c r="E10" s="245" t="inlineStr">
        <is>
          <t>SOL/USDT</t>
        </is>
      </c>
      <c r="F10" s="246" t="n">
        <v>30</v>
      </c>
      <c r="G10" s="247" t="n">
        <v>4350</v>
      </c>
      <c r="H10" s="242" t="n"/>
      <c r="I10" s="245" t="n"/>
      <c r="J10" s="242" t="n"/>
      <c r="K10" s="245" t="n"/>
    </row>
    <row r="11" ht="22" customHeight="1">
      <c r="B11" s="236" t="inlineStr">
        <is>
          <t>P-0005</t>
        </is>
      </c>
      <c r="C11" s="237" t="n">
        <v>46298</v>
      </c>
      <c r="D11" s="238" t="inlineStr">
        <is>
          <t>Orca</t>
        </is>
      </c>
      <c r="E11" s="239" t="inlineStr">
        <is>
          <t>SOL/USDT</t>
        </is>
      </c>
      <c r="F11" s="240" t="n">
        <v>12</v>
      </c>
      <c r="G11" s="241" t="n">
        <v>1740</v>
      </c>
      <c r="H11" s="236" t="n"/>
      <c r="I11" s="239" t="n"/>
      <c r="J11" s="236" t="n"/>
      <c r="K11" s="239" t="n"/>
    </row>
    <row r="12" ht="22" customHeight="1">
      <c r="B12" s="242" t="inlineStr">
        <is>
          <t>P-0008</t>
        </is>
      </c>
      <c r="C12" s="243" t="n">
        <v>46299</v>
      </c>
      <c r="D12" s="244" t="inlineStr">
        <is>
          <t>Raydium</t>
        </is>
      </c>
      <c r="E12" s="245" t="inlineStr">
        <is>
          <t>SOL/USDT</t>
        </is>
      </c>
      <c r="F12" s="246" t="n">
        <v>25</v>
      </c>
      <c r="G12" s="247" t="n">
        <v>3625</v>
      </c>
      <c r="H12" s="242" t="n"/>
      <c r="I12" s="245" t="n"/>
      <c r="J12" s="242" t="n"/>
      <c r="K12" s="245" t="n"/>
    </row>
  </sheetData>
  <autoFilter ref="B4:K12"/>
  <mergeCells count="3">
    <mergeCell ref="B1:K2"/>
    <mergeCell ref="F3:G3"/>
    <mergeCell ref="H3:I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28" customHeight="1">
      <c r="C3" s="254" t="inlineStr">
        <is>
          <t>Открыто</t>
        </is>
      </c>
      <c r="D3" s="270" t="n"/>
      <c r="E3" s="256" t="inlineStr">
        <is>
          <t>Закрыто</t>
        </is>
      </c>
      <c r="F3" s="270" t="n"/>
    </row>
    <row r="4" ht="28" customHeight="1">
      <c r="B4" s="162" t="inlineStr">
        <is>
          <t>Пара</t>
        </is>
      </c>
      <c r="C4" s="254" t="inlineStr">
        <is>
          <t>Актив 1</t>
        </is>
      </c>
      <c r="D4" s="255" t="inlineStr">
        <is>
          <t>Актив 2</t>
        </is>
      </c>
      <c r="E4" s="256" t="inlineStr">
        <is>
          <t>Актив 1</t>
        </is>
      </c>
      <c r="F4" s="257" t="inlineStr">
        <is>
          <t>Актив 2</t>
        </is>
      </c>
      <c r="G4" s="258" t="inlineStr">
        <is>
          <t>Дельта 1</t>
        </is>
      </c>
      <c r="H4" s="259" t="inlineStr">
        <is>
          <t>Дельта 2</t>
        </is>
      </c>
      <c r="I4" s="260" t="inlineStr">
        <is>
          <t>Действие</t>
        </is>
      </c>
      <c r="J4" s="261" t="inlineStr">
        <is>
          <t>Кол-во</t>
        </is>
      </c>
      <c r="K4" s="261" t="inlineStr">
        <is>
          <t>Курс</t>
        </is>
      </c>
      <c r="L4" s="262" t="inlineStr">
        <is>
          <t>Сумма</t>
        </is>
      </c>
    </row>
    <row r="5" ht="22" customHeight="1">
      <c r="B5" s="239" t="inlineStr">
        <is>
          <t>ETH/BTC</t>
        </is>
      </c>
      <c r="C5" s="240" t="n">
        <v>2</v>
      </c>
      <c r="D5" s="241" t="n">
        <v>0.104</v>
      </c>
      <c r="E5" s="240" t="n">
        <v>1.96</v>
      </c>
      <c r="F5" s="241" t="n">
        <v>0.1092</v>
      </c>
      <c r="G5" s="240" t="n">
        <v>-0.04</v>
      </c>
      <c r="H5" s="241" t="n">
        <v>0.0052</v>
      </c>
      <c r="I5" s="236" t="inlineStr">
        <is>
          <t>Удалить</t>
        </is>
      </c>
      <c r="J5" s="177" t="n">
        <v>0.5</v>
      </c>
      <c r="K5" s="177" t="n">
        <v>0.052</v>
      </c>
      <c r="L5" s="177" t="n">
        <v>0.026</v>
      </c>
    </row>
    <row r="6" ht="22" customHeight="1">
      <c r="B6" s="245" t="inlineStr">
        <is>
          <t>SOL/USDT</t>
        </is>
      </c>
      <c r="C6" s="246" t="n">
        <v>30</v>
      </c>
      <c r="D6" s="247" t="n">
        <v>4350</v>
      </c>
      <c r="E6" s="246" t="n">
        <v>28.5</v>
      </c>
      <c r="F6" s="247" t="n">
        <v>4560</v>
      </c>
      <c r="G6" s="246" t="n">
        <v>-1.5</v>
      </c>
      <c r="H6" s="247" t="n">
        <v>210</v>
      </c>
      <c r="I6" s="242" t="inlineStr">
        <is>
          <t>Удалить</t>
        </is>
      </c>
      <c r="J6" s="183" t="n">
        <v>10</v>
      </c>
      <c r="K6" s="183" t="n">
        <v>145</v>
      </c>
      <c r="L6" s="183" t="n">
        <v>1450</v>
      </c>
    </row>
    <row r="7" ht="22" customHeight="1">
      <c r="B7" s="239" t="inlineStr">
        <is>
          <t>BNB/USDT</t>
        </is>
      </c>
      <c r="C7" s="240" t="n">
        <v>4</v>
      </c>
      <c r="D7" s="241" t="n">
        <v>2360</v>
      </c>
      <c r="E7" s="240" t="n">
        <v>4.2</v>
      </c>
      <c r="F7" s="241" t="n">
        <v>2300</v>
      </c>
      <c r="G7" s="240" t="n">
        <v>0.2</v>
      </c>
      <c r="H7" s="241" t="n">
        <v>-60</v>
      </c>
      <c r="I7" s="236" t="inlineStr">
        <is>
          <t>Добавить</t>
        </is>
      </c>
      <c r="J7" s="177" t="n">
        <v>1</v>
      </c>
      <c r="K7" s="177" t="n">
        <v>590</v>
      </c>
      <c r="L7" s="177" t="n">
        <v>590</v>
      </c>
    </row>
    <row r="8" ht="22" customHeight="1">
      <c r="B8" s="245" t="inlineStr">
        <is>
          <t>ETH/USDT</t>
        </is>
      </c>
      <c r="C8" s="246" t="n">
        <v>1.5</v>
      </c>
      <c r="D8" s="247" t="n">
        <v>4800</v>
      </c>
      <c r="E8" s="246" t="n">
        <v>1.45</v>
      </c>
      <c r="F8" s="247" t="n">
        <v>4960</v>
      </c>
      <c r="G8" s="246" t="n">
        <v>-0.05</v>
      </c>
      <c r="H8" s="247" t="n">
        <v>160</v>
      </c>
      <c r="I8" s="242" t="inlineStr">
        <is>
          <t>Удалить</t>
        </is>
      </c>
      <c r="J8" s="183" t="n">
        <v>0.5</v>
      </c>
      <c r="K8" s="183" t="n">
        <v>3200</v>
      </c>
      <c r="L8" s="183" t="n">
        <v>1600</v>
      </c>
    </row>
    <row r="9" ht="22" customHeight="1">
      <c r="B9" s="239" t="inlineStr">
        <is>
          <t>SOL/USDT</t>
        </is>
      </c>
      <c r="C9" s="240" t="n">
        <v>12</v>
      </c>
      <c r="D9" s="241" t="n">
        <v>1740</v>
      </c>
      <c r="E9" s="240" t="n">
        <v>12.6</v>
      </c>
      <c r="F9" s="241" t="n">
        <v>1692</v>
      </c>
      <c r="G9" s="240" t="n">
        <v>0.6</v>
      </c>
      <c r="H9" s="241" t="n">
        <v>-48</v>
      </c>
      <c r="I9" s="236" t="inlineStr">
        <is>
          <t>Добавить</t>
        </is>
      </c>
      <c r="J9" s="177" t="n">
        <v>3</v>
      </c>
      <c r="K9" s="177" t="n">
        <v>145</v>
      </c>
      <c r="L9" s="177" t="n">
        <v>435</v>
      </c>
    </row>
    <row r="10" ht="22" customHeight="1">
      <c r="B10" s="245" t="inlineStr">
        <is>
          <t>BTC/USDT</t>
        </is>
      </c>
      <c r="C10" s="246" t="n">
        <v>0.05</v>
      </c>
      <c r="D10" s="247" t="n">
        <v>3125</v>
      </c>
      <c r="E10" s="246" t="n">
        <v>0.048</v>
      </c>
      <c r="F10" s="247" t="n">
        <v>3225</v>
      </c>
      <c r="G10" s="246" t="n">
        <v>-0.002</v>
      </c>
      <c r="H10" s="247" t="n">
        <v>100</v>
      </c>
      <c r="I10" s="242" t="inlineStr">
        <is>
          <t>Удалить</t>
        </is>
      </c>
      <c r="J10" s="183" t="n">
        <v>0.01</v>
      </c>
      <c r="K10" s="183" t="n">
        <v>62500</v>
      </c>
      <c r="L10" s="183" t="n">
        <v>625</v>
      </c>
    </row>
    <row r="11" ht="22" customHeight="1">
      <c r="B11" s="239" t="inlineStr">
        <is>
          <t>ETH/BTC</t>
        </is>
      </c>
      <c r="C11" s="240" t="n">
        <v>1.2</v>
      </c>
      <c r="D11" s="241" t="n">
        <v>0.0624</v>
      </c>
      <c r="E11" s="240" t="n">
        <v>1.25</v>
      </c>
      <c r="F11" s="241" t="n">
        <v>0.0598</v>
      </c>
      <c r="G11" s="240" t="n">
        <v>0.05</v>
      </c>
      <c r="H11" s="241" t="n">
        <v>-0.0026</v>
      </c>
      <c r="I11" s="236" t="inlineStr">
        <is>
          <t>Добавить</t>
        </is>
      </c>
      <c r="J11" s="177" t="n">
        <v>0.3</v>
      </c>
      <c r="K11" s="177" t="n">
        <v>0.052</v>
      </c>
      <c r="L11" s="177" t="n">
        <v>0.0156</v>
      </c>
    </row>
    <row r="12" ht="22" customHeight="1">
      <c r="B12" s="245" t="inlineStr">
        <is>
          <t>SOL/USDT</t>
        </is>
      </c>
      <c r="C12" s="246" t="n">
        <v>25</v>
      </c>
      <c r="D12" s="247" t="n">
        <v>3625</v>
      </c>
      <c r="E12" s="246" t="n">
        <v>24</v>
      </c>
      <c r="F12" s="247" t="n">
        <v>3770</v>
      </c>
      <c r="G12" s="246" t="n">
        <v>-1</v>
      </c>
      <c r="H12" s="247" t="n">
        <v>145</v>
      </c>
      <c r="I12" s="242" t="inlineStr">
        <is>
          <t>Удалить</t>
        </is>
      </c>
      <c r="J12" s="183" t="n">
        <v>5</v>
      </c>
      <c r="K12" s="183" t="n">
        <v>145</v>
      </c>
      <c r="L12" s="183" t="n">
        <v>725</v>
      </c>
    </row>
  </sheetData>
  <autoFilter ref="B4:L12"/>
  <mergeCells count="3">
    <mergeCell ref="B1:L2"/>
    <mergeCell ref="E3:F3"/>
    <mergeCell ref="C3:D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238" t="inlineStr">
        <is>
          <t>T-0005</t>
        </is>
      </c>
      <c r="C5" s="237" t="n">
        <v>46299</v>
      </c>
      <c r="D5" s="237" t="n">
        <v>46300</v>
      </c>
      <c r="E5" s="238" t="inlineStr">
        <is>
          <t>Bybit</t>
        </is>
      </c>
      <c r="F5" s="239" t="inlineStr">
        <is>
          <t>BNB/USDT</t>
        </is>
      </c>
      <c r="G5" s="240" t="n">
        <v>2</v>
      </c>
      <c r="H5" s="177" t="n">
        <v>586.17</v>
      </c>
      <c r="I5" s="241" t="n">
        <v>1172.34</v>
      </c>
      <c r="J5" s="240" t="n">
        <v>2</v>
      </c>
      <c r="K5" s="177" t="n">
        <v>598.8</v>
      </c>
      <c r="L5" s="241" t="n">
        <v>1197.6</v>
      </c>
      <c r="M5" s="240">
        <f>IF(AND(AND(ISNUMBER(G5),ISNUMBER(J5),ISNUMBER(I5),ISNUMBER(L5)),G5&gt;0,J5&gt;0,I5&lt;&gt;0),ROUND(MIN(G5,J5)*(L5/J5-I5/G5),8),"")</f>
        <v/>
      </c>
      <c r="N5" s="241">
        <f>IF(AND(AND(ISNUMBER(G5),ISNUMBER(J5),ISNUMBER(I5),ISNUMBER(L5)),G5&gt;0,J5&gt;0,I5&lt;&gt;0),ROUND((L5/J5)/(I5/G5)*100-100,2),"")</f>
        <v/>
      </c>
      <c r="O5" s="240" t="n"/>
      <c r="P5" s="177" t="n"/>
      <c r="Q5" s="177" t="n"/>
    </row>
    <row r="6" ht="22" customHeight="1">
      <c r="B6" s="244" t="inlineStr">
        <is>
          <t>T-0006</t>
        </is>
      </c>
      <c r="C6" s="243" t="n">
        <v>46299</v>
      </c>
      <c r="D6" s="243" t="n">
        <v>46300</v>
      </c>
      <c r="E6" s="244" t="inlineStr">
        <is>
          <t>OKX</t>
        </is>
      </c>
      <c r="F6" s="245" t="inlineStr">
        <is>
          <t>BTC/USDT</t>
        </is>
      </c>
      <c r="G6" s="246" t="n">
        <v>0.05</v>
      </c>
      <c r="H6" s="183" t="n">
        <v>62324.4</v>
      </c>
      <c r="I6" s="247" t="n">
        <v>3116.22</v>
      </c>
      <c r="J6" s="246" t="n">
        <v>0.05</v>
      </c>
      <c r="K6" s="183" t="n">
        <v>62874</v>
      </c>
      <c r="L6" s="247" t="n">
        <v>3143.7</v>
      </c>
      <c r="M6" s="246">
        <f>IF(AND(AND(ISNUMBER(G6),ISNUMBER(J6),ISNUMBER(I6),ISNUMBER(L6)),G6&gt;0,J6&gt;0,I6&lt;&gt;0),ROUND(MIN(G6,J6)*(L6/J6-I6/G6),8),"")</f>
        <v/>
      </c>
      <c r="N6" s="247">
        <f>IF(AND(AND(ISNUMBER(G6),ISNUMBER(J6),ISNUMBER(I6),ISNUMBER(L6)),G6&gt;0,J6&gt;0,I6&lt;&gt;0),ROUND((L6/J6)/(I6/G6)*100-100,2),"")</f>
        <v/>
      </c>
      <c r="O6" s="246" t="n"/>
      <c r="P6" s="183" t="n"/>
      <c r="Q6" s="183" t="n"/>
    </row>
    <row r="7" ht="22" customHeight="1">
      <c r="B7" s="238" t="inlineStr">
        <is>
          <t>T-0002</t>
        </is>
      </c>
      <c r="C7" s="237" t="n">
        <v>46297</v>
      </c>
      <c r="D7" s="237" t="n">
        <v>46299</v>
      </c>
      <c r="E7" s="238" t="inlineStr">
        <is>
          <t>Bybit</t>
        </is>
      </c>
      <c r="F7" s="239" t="inlineStr">
        <is>
          <t>ETH/USDT</t>
        </is>
      </c>
      <c r="G7" s="240" t="n">
        <v>1</v>
      </c>
      <c r="H7" s="177" t="n">
        <v>3206.4</v>
      </c>
      <c r="I7" s="241" t="n">
        <v>3206.4</v>
      </c>
      <c r="J7" s="240" t="n">
        <v>1</v>
      </c>
      <c r="K7" s="177" t="n">
        <v>3343.3</v>
      </c>
      <c r="L7" s="241" t="n">
        <v>3343.3</v>
      </c>
      <c r="M7" s="240">
        <f>IF(AND(AND(ISNUMBER(G7),ISNUMBER(J7),ISNUMBER(I7),ISNUMBER(L7)),G7&gt;0,J7&gt;0,I7&lt;&gt;0),ROUND(MIN(G7,J7)*(L7/J7-I7/G7),8),"")</f>
        <v/>
      </c>
      <c r="N7" s="241">
        <f>IF(AND(AND(ISNUMBER(G7),ISNUMBER(J7),ISNUMBER(I7),ISNUMBER(L7)),G7&gt;0,J7&gt;0,I7&lt;&gt;0),ROUND((L7/J7)/(I7/G7)*100-100,2),"")</f>
        <v/>
      </c>
      <c r="O7" s="240" t="n"/>
      <c r="P7" s="177" t="n"/>
      <c r="Q7" s="177" t="n"/>
    </row>
    <row r="8" ht="22" customHeight="1">
      <c r="B8" s="244" t="inlineStr">
        <is>
          <t>T-0003</t>
        </is>
      </c>
      <c r="C8" s="243" t="n">
        <v>46298</v>
      </c>
      <c r="D8" s="243" t="n">
        <v>46300</v>
      </c>
      <c r="E8" s="244" t="inlineStr">
        <is>
          <t>OKX</t>
        </is>
      </c>
      <c r="F8" s="245" t="inlineStr">
        <is>
          <t>SOL/USDT</t>
        </is>
      </c>
      <c r="G8" s="246" t="n">
        <v>20</v>
      </c>
      <c r="H8" s="183" t="n">
        <v>145.29</v>
      </c>
      <c r="I8" s="247" t="n">
        <v>2905.8</v>
      </c>
      <c r="J8" s="246" t="n">
        <v>20</v>
      </c>
      <c r="K8" s="183" t="n">
        <v>151.696</v>
      </c>
      <c r="L8" s="247" t="n">
        <v>3033.92</v>
      </c>
      <c r="M8" s="246">
        <f>IF(AND(AND(ISNUMBER(G8),ISNUMBER(J8),ISNUMBER(I8),ISNUMBER(L8)),G8&gt;0,J8&gt;0,I8&lt;&gt;0),ROUND(MIN(G8,J8)*(L8/J8-I8/G8),8),"")</f>
        <v/>
      </c>
      <c r="N8" s="247">
        <f>IF(AND(AND(ISNUMBER(G8),ISNUMBER(J8),ISNUMBER(I8),ISNUMBER(L8)),G8&gt;0,J8&gt;0,I8&lt;&gt;0),ROUND((L8/J8)/(I8/G8)*100-100,2),"")</f>
        <v/>
      </c>
      <c r="O8" s="246" t="n"/>
      <c r="P8" s="183" t="n"/>
      <c r="Q8" s="183" t="n"/>
    </row>
    <row r="9" ht="22" customHeight="1">
      <c r="B9" s="238" t="n"/>
      <c r="C9" s="237" t="n"/>
      <c r="D9" s="237" t="n"/>
      <c r="E9" s="238" t="n"/>
      <c r="F9" s="239" t="n"/>
      <c r="G9" s="240" t="n"/>
      <c r="H9" s="177" t="n"/>
      <c r="I9" s="241" t="n"/>
      <c r="J9" s="240" t="n"/>
      <c r="K9" s="177" t="n"/>
      <c r="L9" s="241" t="n"/>
      <c r="M9" s="240">
        <f>IF(AND(AND(ISNUMBER(G9),ISNUMBER(J9),ISNUMBER(I9),ISNUMBER(L9)),G9&gt;0,J9&gt;0,I9&lt;&gt;0),ROUND(MIN(G9,J9)*(L9/J9-I9/G9),8),"")</f>
        <v/>
      </c>
      <c r="N9" s="241">
        <f>IF(AND(AND(ISNUMBER(G9),ISNUMBER(J9),ISNUMBER(I9),ISNUMBER(L9)),G9&gt;0,J9&gt;0,I9&lt;&gt;0),ROUND((L9/J9)/(I9/G9)*100-100,2),"")</f>
        <v/>
      </c>
      <c r="O9" s="240" t="n"/>
      <c r="P9" s="177" t="n"/>
      <c r="Q9" s="177" t="n"/>
    </row>
    <row r="10" ht="22" customHeight="1">
      <c r="B10" s="244" t="n"/>
      <c r="C10" s="243" t="n"/>
      <c r="D10" s="243" t="n"/>
      <c r="E10" s="244" t="n"/>
      <c r="F10" s="245" t="n"/>
      <c r="G10" s="246" t="n"/>
      <c r="H10" s="183" t="n"/>
      <c r="I10" s="247" t="n"/>
      <c r="J10" s="246" t="n"/>
      <c r="K10" s="183" t="n"/>
      <c r="L10" s="247" t="n"/>
      <c r="M10" s="246">
        <f>IF(AND(AND(ISNUMBER(G10),ISNUMBER(J10),ISNUMBER(I10),ISNUMBER(L10)),G10&gt;0,J10&gt;0,I10&lt;&gt;0),ROUND(MIN(G10,J10)*(L10/J10-I10/G10),8),"")</f>
        <v/>
      </c>
      <c r="N10" s="247">
        <f>IF(AND(AND(ISNUMBER(G10),ISNUMBER(J10),ISNUMBER(I10),ISNUMBER(L10)),G10&gt;0,J10&gt;0,I10&lt;&gt;0),ROUND((L10/J10)/(I10/G10)*100-100,2),"")</f>
        <v/>
      </c>
      <c r="O10" s="246" t="n"/>
      <c r="P10" s="183" t="n"/>
      <c r="Q10" s="183" t="n"/>
    </row>
    <row r="11" ht="22" customHeight="1">
      <c r="B11" s="238" t="n"/>
      <c r="C11" s="237" t="n"/>
      <c r="D11" s="237" t="n"/>
      <c r="E11" s="238" t="n"/>
      <c r="F11" s="239" t="n"/>
      <c r="G11" s="240" t="n"/>
      <c r="H11" s="177" t="n"/>
      <c r="I11" s="241" t="n"/>
      <c r="J11" s="240" t="n"/>
      <c r="K11" s="177" t="n"/>
      <c r="L11" s="241" t="n"/>
      <c r="M11" s="240">
        <f>IF(AND(AND(ISNUMBER(G11),ISNUMBER(J11),ISNUMBER(I11),ISNUMBER(L11)),G11&gt;0,J11&gt;0,I11&lt;&gt;0),ROUND(MIN(G11,J11)*(L11/J11-I11/G11),8),"")</f>
        <v/>
      </c>
      <c r="N11" s="241">
        <f>IF(AND(AND(ISNUMBER(G11),ISNUMBER(J11),ISNUMBER(I11),ISNUMBER(L11)),G11&gt;0,J11&gt;0,I11&lt;&gt;0),ROUND((L11/J11)/(I11/G11)*100-100,2),"")</f>
        <v/>
      </c>
      <c r="O11" s="240" t="n"/>
      <c r="P11" s="177" t="n"/>
      <c r="Q11" s="177" t="n"/>
    </row>
    <row r="12" ht="22" customHeight="1">
      <c r="B12" s="244" t="n"/>
      <c r="C12" s="243" t="n"/>
      <c r="D12" s="243" t="n"/>
      <c r="E12" s="244" t="n"/>
      <c r="F12" s="245" t="n"/>
      <c r="G12" s="246" t="n"/>
      <c r="H12" s="183" t="n"/>
      <c r="I12" s="247" t="n"/>
      <c r="J12" s="246" t="n"/>
      <c r="K12" s="183" t="n"/>
      <c r="L12" s="247" t="n"/>
      <c r="M12" s="246">
        <f>IF(AND(AND(ISNUMBER(G12),ISNUMBER(J12),ISNUMBER(I12),ISNUMBER(L12)),G12&gt;0,J12&gt;0,I12&lt;&gt;0),ROUND(MIN(G12,J12)*(L12/J12-I12/G12),8),"")</f>
        <v/>
      </c>
      <c r="N12" s="247">
        <f>IF(AND(AND(ISNUMBER(G12),ISNUMBER(J12),ISNUMBER(I12),ISNUMBER(L12)),G12&gt;0,J12&gt;0,I12&lt;&gt;0),ROUND((L12/J12)/(I12/G12)*100-100,2),"")</f>
        <v/>
      </c>
      <c r="O12" s="246" t="n"/>
      <c r="P12" s="183" t="n"/>
      <c r="Q12" s="183" t="n"/>
    </row>
  </sheetData>
  <autoFilter ref="B4:Q12"/>
  <mergeCells count="1">
    <mergeCell ref="B1:Q2"/>
  </mergeCells>
  <conditionalFormatting sqref="B5:Q200">
    <cfRule type="expression" priority="1" dxfId="0">
      <formula>AND($B5&lt;&gt;"",COUNTIF(Торговля!$B$5:$B$200,$B5)&gt;0)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239" t="inlineStr">
        <is>
          <t>ETH/BTC</t>
        </is>
      </c>
      <c r="C5" s="240" t="n">
        <v>0.5</v>
      </c>
      <c r="D5" s="177" t="n">
        <v>0.0521</v>
      </c>
      <c r="E5" s="241" t="n">
        <v>0.02605</v>
      </c>
      <c r="F5" s="240" t="n">
        <v>0.5</v>
      </c>
      <c r="G5" s="177" t="n">
        <v>0.0534</v>
      </c>
      <c r="H5" s="241" t="n">
        <v>0.0267</v>
      </c>
      <c r="I5" s="240">
        <f>IF(AND(AND(ISNUMBER(C5),ISNUMBER(F5),ISNUMBER(E5),ISNUMBER(H5)),C5&gt;0,F5&gt;0,E5&lt;&gt;0),ROUND(MIN(C5,F5)*(H5/F5-E5/C5),8),"")</f>
        <v/>
      </c>
      <c r="J5" s="241">
        <f>IF(AND(AND(ISNUMBER(C5),ISNUMBER(F5),ISNUMBER(E5),ISNUMBER(H5)),C5&gt;0,F5&gt;0,E5&lt;&gt;0),ROUND((H5/F5)/(E5/C5)*100-100,2),"")</f>
        <v/>
      </c>
      <c r="K5" s="240" t="n">
        <v>0.00063</v>
      </c>
      <c r="L5" s="177" t="n">
        <v>2.42</v>
      </c>
      <c r="M5" s="177" t="n">
        <v>0.0522</v>
      </c>
    </row>
    <row r="6" ht="22" customHeight="1">
      <c r="B6" s="245" t="inlineStr">
        <is>
          <t>BTC/USDT</t>
        </is>
      </c>
      <c r="C6" s="246" t="n">
        <v>0.25</v>
      </c>
      <c r="D6" s="183" t="n">
        <v>62000</v>
      </c>
      <c r="E6" s="247" t="n">
        <v>15500</v>
      </c>
      <c r="F6" s="246" t="n">
        <v>0.25</v>
      </c>
      <c r="G6" s="183" t="n">
        <v>64000</v>
      </c>
      <c r="H6" s="247" t="n">
        <v>16000</v>
      </c>
      <c r="I6" s="246">
        <f>IF(AND(AND(ISNUMBER(C6),ISNUMBER(F6),ISNUMBER(E6),ISNUMBER(H6)),C6&gt;0,F6&gt;0,E6&lt;&gt;0),ROUND(MIN(C6,F6)*(H6/F6-E6/C6),8),"")</f>
        <v/>
      </c>
      <c r="J6" s="247">
        <f>IF(AND(AND(ISNUMBER(C6),ISNUMBER(F6),ISNUMBER(E6),ISNUMBER(H6)),C6&gt;0,F6&gt;0,E6&lt;&gt;0),ROUND((H6/F6)/(E6/C6)*100-100,2),"")</f>
        <v/>
      </c>
      <c r="K6" s="246" t="n">
        <v>485</v>
      </c>
      <c r="L6" s="183" t="n">
        <v>3.13</v>
      </c>
      <c r="M6" s="183" t="n">
        <v>62155</v>
      </c>
    </row>
    <row r="7" ht="22" customHeight="1">
      <c r="B7" s="239" t="inlineStr">
        <is>
          <t>SOL/USDT</t>
        </is>
      </c>
      <c r="C7" s="240" t="n">
        <v>20</v>
      </c>
      <c r="D7" s="177" t="n">
        <v>145</v>
      </c>
      <c r="E7" s="241" t="n">
        <v>2900</v>
      </c>
      <c r="F7" s="240" t="n">
        <v>20</v>
      </c>
      <c r="G7" s="177" t="n">
        <v>139</v>
      </c>
      <c r="H7" s="241" t="n">
        <v>2780</v>
      </c>
      <c r="I7" s="240">
        <f>IF(AND(AND(ISNUMBER(C7),ISNUMBER(F7),ISNUMBER(E7),ISNUMBER(H7)),C7&gt;0,F7&gt;0,E7&lt;&gt;0),ROUND(MIN(C7,F7)*(H7/F7-E7/C7),8),"")</f>
        <v/>
      </c>
      <c r="J7" s="241">
        <f>IF(AND(AND(ISNUMBER(C7),ISNUMBER(F7),ISNUMBER(E7),ISNUMBER(H7)),C7&gt;0,F7&gt;0,E7&lt;&gt;0),ROUND((H7/F7)/(E7/C7)*100-100,2),"")</f>
        <v/>
      </c>
      <c r="K7" s="240" t="n">
        <v>-125</v>
      </c>
      <c r="L7" s="177" t="n">
        <v>-4.31</v>
      </c>
      <c r="M7" s="177" t="n">
        <v>145.3</v>
      </c>
    </row>
    <row r="8" ht="22" customHeight="1">
      <c r="B8" s="245" t="inlineStr">
        <is>
          <t>ETH/USDT</t>
        </is>
      </c>
      <c r="C8" s="246" t="n">
        <v>1.2</v>
      </c>
      <c r="D8" s="183" t="n">
        <v>3200</v>
      </c>
      <c r="E8" s="247" t="n">
        <v>3840</v>
      </c>
      <c r="F8" s="246" t="n">
        <v>1.2</v>
      </c>
      <c r="G8" s="183" t="n">
        <v>3350</v>
      </c>
      <c r="H8" s="247" t="n">
        <v>4020</v>
      </c>
      <c r="I8" s="246">
        <f>IF(AND(AND(ISNUMBER(C8),ISNUMBER(F8),ISNUMBER(E8),ISNUMBER(H8)),C8&gt;0,F8&gt;0,E8&lt;&gt;0),ROUND(MIN(C8,F8)*(H8/F8-E8/C8),8),"")</f>
        <v/>
      </c>
      <c r="J8" s="247">
        <f>IF(AND(AND(ISNUMBER(C8),ISNUMBER(F8),ISNUMBER(E8),ISNUMBER(H8)),C8&gt;0,F8&gt;0,E8&lt;&gt;0),ROUND((H8/F8)/(E8/C8)*100-100,2),"")</f>
        <v/>
      </c>
      <c r="K8" s="246" t="n">
        <v>175</v>
      </c>
      <c r="L8" s="183" t="n">
        <v>4.56</v>
      </c>
      <c r="M8" s="183" t="n">
        <v>3203.84</v>
      </c>
    </row>
    <row r="9" ht="22" customHeight="1">
      <c r="B9" s="239" t="inlineStr">
        <is>
          <t>BNB/USDT</t>
        </is>
      </c>
      <c r="C9" s="240" t="n">
        <v>5</v>
      </c>
      <c r="D9" s="177" t="n">
        <v>590</v>
      </c>
      <c r="E9" s="241" t="n">
        <v>2950</v>
      </c>
      <c r="F9" s="240" t="n">
        <v>5</v>
      </c>
      <c r="G9" s="177" t="n">
        <v>575</v>
      </c>
      <c r="H9" s="241" t="n">
        <v>2875</v>
      </c>
      <c r="I9" s="240">
        <f>IF(AND(AND(ISNUMBER(C9),ISNUMBER(F9),ISNUMBER(E9),ISNUMBER(H9)),C9&gt;0,F9&gt;0,E9&lt;&gt;0),ROUND(MIN(C9,F9)*(H9/F9-E9/C9),8),"")</f>
        <v/>
      </c>
      <c r="J9" s="241">
        <f>IF(AND(AND(ISNUMBER(C9),ISNUMBER(F9),ISNUMBER(E9),ISNUMBER(H9)),C9&gt;0,F9&gt;0,E9&lt;&gt;0),ROUND((H9/F9)/(E9/C9)*100-100,2),"")</f>
        <v/>
      </c>
      <c r="K9" s="240" t="n">
        <v>-80</v>
      </c>
      <c r="L9" s="177" t="n">
        <v>-2.71</v>
      </c>
      <c r="M9" s="177" t="n">
        <v>590.6</v>
      </c>
    </row>
    <row r="10" ht="22" customHeight="1">
      <c r="B10" s="245" t="inlineStr">
        <is>
          <t>BTC/USDT</t>
        </is>
      </c>
      <c r="C10" s="246" t="n">
        <v>0.1</v>
      </c>
      <c r="D10" s="183" t="n">
        <v>62500</v>
      </c>
      <c r="E10" s="247" t="n">
        <v>6250</v>
      </c>
      <c r="F10" s="246" t="n">
        <v>0.1</v>
      </c>
      <c r="G10" s="183" t="n">
        <v>63100</v>
      </c>
      <c r="H10" s="247" t="n">
        <v>6310</v>
      </c>
      <c r="I10" s="246">
        <f>IF(AND(AND(ISNUMBER(C10),ISNUMBER(F10),ISNUMBER(E10),ISNUMBER(H10)),C10&gt;0,F10&gt;0,E10&lt;&gt;0),ROUND(MIN(C10,F10)*(H10/F10-E10/C10),8),"")</f>
        <v/>
      </c>
      <c r="J10" s="247">
        <f>IF(AND(AND(ISNUMBER(C10),ISNUMBER(F10),ISNUMBER(E10),ISNUMBER(H10)),C10&gt;0,F10&gt;0,E10&lt;&gt;0),ROUND((H10/F10)/(E10/C10)*100-100,2),"")</f>
        <v/>
      </c>
      <c r="K10" s="246" t="n">
        <v>55</v>
      </c>
      <c r="L10" s="183" t="n">
        <v>0.88</v>
      </c>
      <c r="M10" s="183" t="n">
        <v>62512.5</v>
      </c>
    </row>
    <row r="11" ht="22" customHeight="1">
      <c r="B11" s="239" t="inlineStr">
        <is>
          <t>ETH/BTC</t>
        </is>
      </c>
      <c r="C11" s="240" t="n">
        <v>0.8</v>
      </c>
      <c r="D11" s="177" t="n">
        <v>0.0518</v>
      </c>
      <c r="E11" s="241" t="n">
        <v>0.04144</v>
      </c>
      <c r="F11" s="240" t="n">
        <v>0.8</v>
      </c>
      <c r="G11" s="177" t="n">
        <v>0.053</v>
      </c>
      <c r="H11" s="241" t="n">
        <v>0.0424</v>
      </c>
      <c r="I11" s="240">
        <f>IF(AND(AND(ISNUMBER(C11),ISNUMBER(F11),ISNUMBER(E11),ISNUMBER(H11)),C11&gt;0,F11&gt;0,E11&lt;&gt;0),ROUND(MIN(C11,F11)*(H11/F11-E11/C11),8),"")</f>
        <v/>
      </c>
      <c r="J11" s="241">
        <f>IF(AND(AND(ISNUMBER(C11),ISNUMBER(F11),ISNUMBER(E11),ISNUMBER(H11)),C11&gt;0,F11&gt;0,E11&lt;&gt;0),ROUND((H11/F11)/(E11/C11)*100-100,2),"")</f>
        <v/>
      </c>
      <c r="K11" s="240" t="n">
        <v>0.00092</v>
      </c>
      <c r="L11" s="177" t="n">
        <v>2.22</v>
      </c>
      <c r="M11" s="177" t="n">
        <v>0.05185</v>
      </c>
    </row>
    <row r="12" ht="22" customHeight="1">
      <c r="B12" s="245" t="inlineStr">
        <is>
          <t>SOL/USDT</t>
        </is>
      </c>
      <c r="C12" s="246" t="n">
        <v>15</v>
      </c>
      <c r="D12" s="183" t="n">
        <v>142</v>
      </c>
      <c r="E12" s="247" t="n">
        <v>2130</v>
      </c>
      <c r="F12" s="246" t="n">
        <v>15</v>
      </c>
      <c r="G12" s="183" t="n">
        <v>147</v>
      </c>
      <c r="H12" s="247" t="n">
        <v>2205</v>
      </c>
      <c r="I12" s="246">
        <f>IF(AND(AND(ISNUMBER(C12),ISNUMBER(F12),ISNUMBER(E12),ISNUMBER(H12)),C12&gt;0,F12&gt;0,E12&lt;&gt;0),ROUND(MIN(C12,F12)*(H12/F12-E12/C12),8),"")</f>
        <v/>
      </c>
      <c r="J12" s="247">
        <f>IF(AND(AND(ISNUMBER(C12),ISNUMBER(F12),ISNUMBER(E12),ISNUMBER(H12)),C12&gt;0,F12&gt;0,E12&lt;&gt;0),ROUND((H12/F12)/(E12/C12)*100-100,2),"")</f>
        <v/>
      </c>
      <c r="K12" s="246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</row>
    <row r="7" ht="22" customHeight="1">
      <c r="B7" s="206" t="inlineStr">
        <is>
          <t>OKX</t>
        </is>
      </c>
      <c r="C7" s="207" t="n"/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>
      <c r="B11" s="207" t="n"/>
      <c r="C11" s="207" t="n"/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2026-10-06T19:30:15Z</dcterms:modified>
</cp:coreProperties>
</file>