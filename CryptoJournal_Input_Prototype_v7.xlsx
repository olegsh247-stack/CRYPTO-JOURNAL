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'Торговля'!$B$4:$M$16</definedName>
    <definedName name="_xlnm.Print_Area" localSheetId="1">'Торговля'!$A$1:$N$17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'Лэндинг'!$B$4:$M$12</definedName>
    <definedName name="_xlnm.Print_Area" localSheetId="3">'Лэндинг'!$A$1:$N$13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'Пул'!$B$4:$K$12</definedName>
    <definedName name="_xlnm.Print_Area" localSheetId="5">'Пул'!$A$1:$K$13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'Закрытые'!$B$4:$Q$12</definedName>
    <definedName name="_xlnm.Print_Area" localSheetId="7">'Закрытые'!$A$1:$R$13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9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</fills>
  <borders count="4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27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DE9D9"/>
          <bgColor rgb="00FDE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>
        <f>IF(AND(ISNUMBER(J7),ISNUMBER(J9),J7&lt;&gt;0,1-N(J19)/100&lt;&gt;0),J9/(J7*(1-N(J19)/100)),"")</f>
        <v/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>
        <f>IF(AND(TRIM(B9)&lt;&gt;"",TRIM(C9)&lt;&gt;""),UPPER(TRIM(B9))&amp;"/"&amp;UPPER(TRIM(C9)),"")</f>
        <v/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/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/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1">
    <dataValidation sqref="H14" showDropDown="0" showInputMessage="0" showErrorMessage="0" allowBlank="1" type="list">
      <formula1>"Добавить,Удалить"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/>
      </c>
      <c r="L5" s="240">
        <f>IF(COUNT(F5,I5)=0,"",N(F5)-N(I5))</f>
        <v/>
      </c>
      <c r="M5" s="177">
        <f>IF(COUNT(H5,K5)=0,"",N(K5)-N(H5))</f>
        <v/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/>
      </c>
      <c r="I6" s="246" t="n"/>
      <c r="J6" s="183" t="n"/>
      <c r="K6" s="271">
        <f>IF(AND(ISNUMBER(I6),ISNUMBER(J6)),I6*J6,"")</f>
        <v/>
      </c>
      <c r="L6" s="246">
        <f>IF(COUNT(F6,I6)=0,"",N(F6)-N(I6))</f>
        <v/>
      </c>
      <c r="M6" s="183">
        <f>IF(COUNT(H6,K6)=0,"",N(K6)-N(H6))</f>
        <v/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/>
      </c>
      <c r="L7" s="240">
        <f>IF(COUNT(F7,I7)=0,"",N(F7)-N(I7))</f>
        <v/>
      </c>
      <c r="M7" s="177">
        <f>IF(COUNT(H7,K7)=0,"",N(K7)-N(H7))</f>
        <v/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/>
      </c>
      <c r="I8" s="246" t="n"/>
      <c r="J8" s="183" t="n"/>
      <c r="K8" s="271">
        <f>IF(AND(ISNUMBER(I8),ISNUMBER(J8)),I8*J8,"")</f>
        <v/>
      </c>
      <c r="L8" s="246">
        <f>IF(COUNT(F8,I8)=0,"",N(F8)-N(I8))</f>
        <v/>
      </c>
      <c r="M8" s="183">
        <f>IF(COUNT(H8,K8)=0,"",N(K8)-N(H8))</f>
        <v/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/>
      </c>
      <c r="I9" s="240" t="n"/>
      <c r="J9" s="177" t="n"/>
      <c r="K9" s="271">
        <f>IF(AND(ISNUMBER(I9),ISNUMBER(J9)),I9*J9,"")</f>
        <v/>
      </c>
      <c r="L9" s="240">
        <f>IF(COUNT(F9,I9)=0,"",N(F9)-N(I9))</f>
        <v/>
      </c>
      <c r="M9" s="177">
        <f>IF(COUNT(H9,K9)=0,"",N(K9)-N(H9))</f>
        <v/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/>
      </c>
      <c r="I10" s="246" t="n"/>
      <c r="J10" s="183" t="n"/>
      <c r="K10" s="271">
        <f>IF(AND(ISNUMBER(I10),ISNUMBER(J10)),I10*J10,"")</f>
        <v/>
      </c>
      <c r="L10" s="246">
        <f>IF(COUNT(F10,I10)=0,"",N(F10)-N(I10))</f>
        <v/>
      </c>
      <c r="M10" s="183">
        <f>IF(COUNT(H10,K10)=0,"",N(K10)-N(H10))</f>
        <v/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/>
      </c>
      <c r="L11" s="240">
        <f>IF(COUNT(F11,I11)=0,"",N(F11)-N(I11))</f>
        <v/>
      </c>
      <c r="M11" s="177">
        <f>IF(COUNT(H11,K11)=0,"",N(K11)-N(H11))</f>
        <v/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/>
      </c>
      <c r="L12" s="246">
        <f>IF(COUNT(F12,I12)=0,"",N(F12)-N(I12))</f>
        <v/>
      </c>
      <c r="M12" s="183">
        <f>IF(COUNT(H12,K12)=0,"",N(K12)-N(H12))</f>
        <v/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177">
        <f>IF(COUNT(H13,K13)=0,"",N(K13)-N(H13))</f>
        <v/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/>
      </c>
      <c r="I14" s="246" t="n"/>
      <c r="J14" s="183" t="n"/>
      <c r="K14" s="271">
        <f>IF(AND(ISNUMBER(I14),ISNUMBER(J14)),I14*J14,"")</f>
        <v/>
      </c>
      <c r="L14" s="246">
        <f>IF(COUNT(F14,I14)=0,"",N(F14)-N(I14))</f>
        <v/>
      </c>
      <c r="M14" s="183">
        <f>IF(COUNT(H14,K14)=0,"",N(K14)-N(H14))</f>
        <v/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>
        <f>IF(AND(ISNUMBER(F15),ISNUMBER(G15)),F15*G15,"")</f>
        <v/>
      </c>
      <c r="I15" s="240" t="n"/>
      <c r="J15" s="177" t="n"/>
      <c r="K15" s="271">
        <f>IF(AND(ISNUMBER(I15),ISNUMBER(J15)),I15*J15,"")</f>
        <v/>
      </c>
      <c r="L15" s="240">
        <f>IF(COUNT(F15,I15)=0,"",N(F15)-N(I15))</f>
        <v/>
      </c>
      <c r="M15" s="177">
        <f>IF(COUNT(H15,K15)=0,"",N(K15)-N(H15))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>
        <f>IF(AND(ISNUMBER(F16),ISNUMBER(G16)),F16*G16,"")</f>
        <v/>
      </c>
      <c r="I16" s="246" t="n"/>
      <c r="J16" s="183" t="n"/>
      <c r="K16" s="271">
        <f>IF(AND(ISNUMBER(I16),ISNUMBER(J16)),I16*J16,"")</f>
        <v/>
      </c>
      <c r="L16" s="246">
        <f>IF(COUNT(F16,I16)=0,"",N(F16)-N(I16))</f>
        <v/>
      </c>
      <c r="M16" s="183">
        <f>IF(COUNT(H16,K16)=0,"",N(K16)-N(H16))</f>
        <v/>
      </c>
    </row>
  </sheetData>
  <autoFilter ref="B4:M16"/>
  <mergeCells count="1">
    <mergeCell ref="B1:M2"/>
  </mergeCells>
  <conditionalFormatting sqref="B5:M200">
    <cfRule type="expression" priority="1" dxfId="0">
      <formula>AND($B5&lt;&gt;"",COUNTIF(Закрытые!$B$5:$B$200,$B5)&gt;0)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Торговля!$F$5:$F$200,Торговля!$E$5:$E$200,$B5)+SUMIFS(Закрытые!$G$5:$G$200,Закрытые!$F$5:$F$200,$B5)=0,"",SUMIFS(Торговля!$F$5:$F$200,Торговля!$E$5:$E$200,$B5)+SUMIFS(Закрытые!$G$5:$G$200,Закрытые!$F$5:$F$200,$B5))</f>
        <v/>
      </c>
      <c r="D5" s="177">
        <f>IF(C5="","",(SUMPRODUCT((Торговля!$E$5:$E$200=$B5)*Торговля!$F$5:$F$200*Торговля!$G$5:$G$200)+SUMPRODUCT((Закрытые!$F$5:$F$200=$B5)*Закрытые!$G$5:$G$200*Закрытые!$H$5:$H$200))/C5)</f>
        <v/>
      </c>
      <c r="E5" s="241">
        <f>IF(C5="","",SUMIFS(Торговля!$H$5:$H$200,Торговля!$E$5:$E$200,$B5)+SUMIFS(Закрытые!$I$5:$I$200,Закрытые!$F$5:$F$200,$B5))</f>
        <v/>
      </c>
      <c r="F5" s="240">
        <f>IF(SUMIFS(Торговля!$I$5:$I$200,Торговля!$E$5:$E$200,$B5)+SUMIFS(Закрытые!$J$5:$J$200,Закрытые!$F$5:$F$200,$B5)=0,"",SUMIFS(Торговля!$I$5:$I$200,Торговля!$E$5:$E$200,$B5)+SUMIFS(Закрытые!$J$5:$J$200,Закрытые!$F$5:$F$200,$B5))</f>
        <v/>
      </c>
      <c r="G5" s="177">
        <f>IF(F5="","",(SUMPRODUCT((Торговля!$E$5:$E$200=$B5)*Торговля!$I$5:$I$200*Торговля!$J$5:$J$200)+SUMPRODUCT((Закрытые!$F$5:$F$200=$B5)*Закрытые!$J$5:$J$200*Закрытые!$K$5:$K$200))/F5)</f>
        <v/>
      </c>
      <c r="H5" s="241">
        <f>IF(F5="","",SUMIFS(Торговля!$K$5:$K$200,Торговля!$E$5:$E$200,$B5)+SUMIFS(Закрытые!$L$5:$L$200,Закрытые!$F$5:$F$200,$B5))</f>
        <v/>
      </c>
      <c r="I5" s="240">
        <f>IF(COUNTIFS(Закрытые!$F$5:$F$200,$B5)=0,"",ROUND(SUMIFS(Закрытые!$M$5:$M$200,Закрытые!$F$5:$F$200,$B5),8))</f>
        <v/>
      </c>
      <c r="J5" s="241">
        <f>IF(COUNTIFS(Закрытые!$F$5:$F$200,$B5)=0,"",ROUND(SUMIFS(Закрытые!$M$5:$M$200,Закрытые!$F$5:$F$200,$B5)/SUMIFS(Закрытые!$I$5:$I$200,Закрытые!$F$5:$F$200,$B5)*100,2))</f>
        <v/>
      </c>
      <c r="K5" s="240" t="n"/>
      <c r="L5" s="177" t="n"/>
      <c r="M5" s="177" t="n"/>
    </row>
    <row r="6" ht="22" customHeight="1">
      <c r="B6" s="245" t="inlineStr">
        <is>
          <t>BTC/USDT</t>
        </is>
      </c>
      <c r="C6" s="246">
        <f>IF(SUMIFS(Торговля!$F$5:$F$200,Торговля!$E$5:$E$200,$B6)+SUMIFS(Закрытые!$G$5:$G$200,Закрытые!$F$5:$F$200,$B6)=0,"",SUMIFS(Торговля!$F$5:$F$200,Торговля!$E$5:$E$200,$B6)+SUMIFS(Закрытые!$G$5:$G$200,Закрытые!$F$5:$F$200,$B6))</f>
        <v/>
      </c>
      <c r="D6" s="183">
        <f>IF(C6="","",(SUMPRODUCT((Торговля!$E$5:$E$200=$B6)*Торговля!$F$5:$F$200*Торговля!$G$5:$G$200)+SUMPRODUCT((Закрытые!$F$5:$F$200=$B6)*Закрытые!$G$5:$G$200*Закрытые!$H$5:$H$200))/C6)</f>
        <v/>
      </c>
      <c r="E6" s="247">
        <f>IF(C6="","",SUMIFS(Торговля!$H$5:$H$200,Торговля!$E$5:$E$200,$B6)+SUMIFS(Закрытые!$I$5:$I$200,Закрытые!$F$5:$F$200,$B6))</f>
        <v/>
      </c>
      <c r="F6" s="246">
        <f>IF(SUMIFS(Торговля!$I$5:$I$200,Торговля!$E$5:$E$200,$B6)+SUMIFS(Закрытые!$J$5:$J$200,Закрытые!$F$5:$F$200,$B6)=0,"",SUMIFS(Торговля!$I$5:$I$200,Торговля!$E$5:$E$200,$B6)+SUMIFS(Закрытые!$J$5:$J$200,Закрытые!$F$5:$F$200,$B6))</f>
        <v/>
      </c>
      <c r="G6" s="183">
        <f>IF(F6="","",(SUMPRODUCT((Торговля!$E$5:$E$200=$B6)*Торговля!$I$5:$I$200*Торговля!$J$5:$J$200)+SUMPRODUCT((Закрытые!$F$5:$F$200=$B6)*Закрытые!$J$5:$J$200*Закрытые!$K$5:$K$200))/F6)</f>
        <v/>
      </c>
      <c r="H6" s="247">
        <f>IF(F6="","",SUMIFS(Торговля!$K$5:$K$200,Торговля!$E$5:$E$200,$B6)+SUMIFS(Закрытые!$L$5:$L$200,Закрытые!$F$5:$F$200,$B6))</f>
        <v/>
      </c>
      <c r="I6" s="246">
        <f>IF(COUNTIFS(Закрытые!$F$5:$F$200,$B6)=0,"",ROUND(SUMIFS(Закрытые!$M$5:$M$200,Закрытые!$F$5:$F$200,$B6),8))</f>
        <v/>
      </c>
      <c r="J6" s="247">
        <f>IF(COUNTIFS(Закрытые!$F$5:$F$200,$B6)=0,"",ROUND(SUMIFS(Закрытые!$M$5:$M$200,Закрытые!$F$5:$F$200,$B6)/SUMIFS(Закрытые!$I$5:$I$200,Закрытые!$F$5:$F$200,$B6)*100,2))</f>
        <v/>
      </c>
      <c r="K6" s="246" t="n"/>
      <c r="L6" s="183" t="n"/>
      <c r="M6" s="183" t="n"/>
    </row>
    <row r="7" ht="22" customHeight="1">
      <c r="B7" s="239" t="inlineStr">
        <is>
          <t>ETH/BTC</t>
        </is>
      </c>
      <c r="C7" s="240">
        <f>IF(SUMIFS(Торговля!$F$5:$F$200,Торговля!$E$5:$E$200,$B7)+SUMIFS(Закрытые!$G$5:$G$200,Закрытые!$F$5:$F$200,$B7)=0,"",SUMIFS(Торговля!$F$5:$F$200,Торговля!$E$5:$E$200,$B7)+SUMIFS(Закрытые!$G$5:$G$200,Закрытые!$F$5:$F$200,$B7))</f>
        <v/>
      </c>
      <c r="D7" s="177">
        <f>IF(C7="","",(SUMPRODUCT((Торговля!$E$5:$E$200=$B7)*Торговля!$F$5:$F$200*Торговля!$G$5:$G$200)+SUMPRODUCT((Закрытые!$F$5:$F$200=$B7)*Закрытые!$G$5:$G$200*Закрытые!$H$5:$H$200))/C7)</f>
        <v/>
      </c>
      <c r="E7" s="241">
        <f>IF(C7="","",SUMIFS(Торговля!$H$5:$H$200,Торговля!$E$5:$E$200,$B7)+SUMIFS(Закрытые!$I$5:$I$200,Закрытые!$F$5:$F$200,$B7))</f>
        <v/>
      </c>
      <c r="F7" s="240">
        <f>IF(SUMIFS(Торговля!$I$5:$I$200,Торговля!$E$5:$E$200,$B7)+SUMIFS(Закрытые!$J$5:$J$200,Закрытые!$F$5:$F$200,$B7)=0,"",SUMIFS(Торговля!$I$5:$I$200,Торговля!$E$5:$E$200,$B7)+SUMIFS(Закрытые!$J$5:$J$200,Закрытые!$F$5:$F$200,$B7))</f>
        <v/>
      </c>
      <c r="G7" s="177">
        <f>IF(F7="","",(SUMPRODUCT((Торговля!$E$5:$E$200=$B7)*Торговля!$I$5:$I$200*Торговля!$J$5:$J$200)+SUMPRODUCT((Закрытые!$F$5:$F$200=$B7)*Закрытые!$J$5:$J$200*Закрытые!$K$5:$K$200))/F7)</f>
        <v/>
      </c>
      <c r="H7" s="241">
        <f>IF(F7="","",SUMIFS(Торговля!$K$5:$K$200,Торговля!$E$5:$E$200,$B7)+SUMIFS(Закрытые!$L$5:$L$200,Закрытые!$F$5:$F$200,$B7))</f>
        <v/>
      </c>
      <c r="I7" s="240">
        <f>IF(COUNTIFS(Закрытые!$F$5:$F$200,$B7)=0,"",ROUND(SUMIFS(Закрытые!$M$5:$M$200,Закрытые!$F$5:$F$200,$B7),8))</f>
        <v/>
      </c>
      <c r="J7" s="241">
        <f>IF(COUNTIFS(Закрытые!$F$5:$F$200,$B7)=0,"",ROUND(SUMIFS(Закрытые!$M$5:$M$200,Закрытые!$F$5:$F$200,$B7)/SUMIFS(Закрытые!$I$5:$I$200,Закрытые!$F$5:$F$200,$B7)*100,2))</f>
        <v/>
      </c>
      <c r="K7" s="240" t="n"/>
      <c r="L7" s="177" t="n"/>
      <c r="M7" s="177" t="n"/>
    </row>
    <row r="8" ht="22" customHeight="1">
      <c r="B8" s="245" t="inlineStr">
        <is>
          <t>ETH/USDT</t>
        </is>
      </c>
      <c r="C8" s="246">
        <f>IF(SUMIFS(Торговля!$F$5:$F$200,Торговля!$E$5:$E$200,$B8)+SUMIFS(Закрытые!$G$5:$G$200,Закрытые!$F$5:$F$200,$B8)=0,"",SUMIFS(Торговля!$F$5:$F$200,Торговля!$E$5:$E$200,$B8)+SUMIFS(Закрытые!$G$5:$G$200,Закрытые!$F$5:$F$200,$B8))</f>
        <v/>
      </c>
      <c r="D8" s="183">
        <f>IF(C8="","",(SUMPRODUCT((Торговля!$E$5:$E$200=$B8)*Торговля!$F$5:$F$200*Торговля!$G$5:$G$200)+SUMPRODUCT((Закрытые!$F$5:$F$200=$B8)*Закрытые!$G$5:$G$200*Закрытые!$H$5:$H$200))/C8)</f>
        <v/>
      </c>
      <c r="E8" s="247">
        <f>IF(C8="","",SUMIFS(Торговля!$H$5:$H$200,Торговля!$E$5:$E$200,$B8)+SUMIFS(Закрытые!$I$5:$I$200,Закрытые!$F$5:$F$200,$B8))</f>
        <v/>
      </c>
      <c r="F8" s="246">
        <f>IF(SUMIFS(Торговля!$I$5:$I$200,Торговля!$E$5:$E$200,$B8)+SUMIFS(Закрытые!$J$5:$J$200,Закрытые!$F$5:$F$200,$B8)=0,"",SUMIFS(Торговля!$I$5:$I$200,Торговля!$E$5:$E$200,$B8)+SUMIFS(Закрытые!$J$5:$J$200,Закрытые!$F$5:$F$200,$B8))</f>
        <v/>
      </c>
      <c r="G8" s="183">
        <f>IF(F8="","",(SUMPRODUCT((Торговля!$E$5:$E$200=$B8)*Торговля!$I$5:$I$200*Торговля!$J$5:$J$200)+SUMPRODUCT((Закрытые!$F$5:$F$200=$B8)*Закрытые!$J$5:$J$200*Закрытые!$K$5:$K$200))/F8)</f>
        <v/>
      </c>
      <c r="H8" s="247">
        <f>IF(F8="","",SUMIFS(Торговля!$K$5:$K$200,Торговля!$E$5:$E$200,$B8)+SUMIFS(Закрытые!$L$5:$L$200,Закрытые!$F$5:$F$200,$B8))</f>
        <v/>
      </c>
      <c r="I8" s="246">
        <f>IF(COUNTIFS(Закрытые!$F$5:$F$200,$B8)=0,"",ROUND(SUMIFS(Закрытые!$M$5:$M$200,Закрытые!$F$5:$F$200,$B8),8))</f>
        <v/>
      </c>
      <c r="J8" s="247">
        <f>IF(COUNTIFS(Закрытые!$F$5:$F$200,$B8)=0,"",ROUND(SUMIFS(Закрытые!$M$5:$M$200,Закрытые!$F$5:$F$200,$B8)/SUMIFS(Закрытые!$I$5:$I$200,Закрытые!$F$5:$F$200,$B8)*100,2))</f>
        <v/>
      </c>
      <c r="K8" s="246" t="n"/>
      <c r="L8" s="183" t="n"/>
      <c r="M8" s="183" t="n"/>
    </row>
    <row r="9" ht="22" customHeight="1">
      <c r="B9" s="239" t="inlineStr">
        <is>
          <t>SOL/USDT</t>
        </is>
      </c>
      <c r="C9" s="240">
        <f>IF(SUMIFS(Торговля!$F$5:$F$200,Торговля!$E$5:$E$200,$B9)+SUMIFS(Закрытые!$G$5:$G$200,Закрытые!$F$5:$F$200,$B9)=0,"",SUMIFS(Торговля!$F$5:$F$200,Торговля!$E$5:$E$200,$B9)+SUMIFS(Закрытые!$G$5:$G$200,Закрытые!$F$5:$F$200,$B9))</f>
        <v/>
      </c>
      <c r="D9" s="177">
        <f>IF(C9="","",(SUMPRODUCT((Торговля!$E$5:$E$200=$B9)*Торговля!$F$5:$F$200*Торговля!$G$5:$G$200)+SUMPRODUCT((Закрытые!$F$5:$F$200=$B9)*Закрытые!$G$5:$G$200*Закрытые!$H$5:$H$200))/C9)</f>
        <v/>
      </c>
      <c r="E9" s="241">
        <f>IF(C9="","",SUMIFS(Торговля!$H$5:$H$200,Торговля!$E$5:$E$200,$B9)+SUMIFS(Закрытые!$I$5:$I$200,Закрытые!$F$5:$F$200,$B9))</f>
        <v/>
      </c>
      <c r="F9" s="240">
        <f>IF(SUMIFS(Торговля!$I$5:$I$200,Торговля!$E$5:$E$200,$B9)+SUMIFS(Закрытые!$J$5:$J$200,Закрытые!$F$5:$F$200,$B9)=0,"",SUMIFS(Торговля!$I$5:$I$200,Торговля!$E$5:$E$200,$B9)+SUMIFS(Закрытые!$J$5:$J$200,Закрытые!$F$5:$F$200,$B9))</f>
        <v/>
      </c>
      <c r="G9" s="177">
        <f>IF(F9="","",(SUMPRODUCT((Торговля!$E$5:$E$200=$B9)*Торговля!$I$5:$I$200*Торговля!$J$5:$J$200)+SUMPRODUCT((Закрытые!$F$5:$F$200=$B9)*Закрытые!$J$5:$J$200*Закрытые!$K$5:$K$200))/F9)</f>
        <v/>
      </c>
      <c r="H9" s="241">
        <f>IF(F9="","",SUMIFS(Торговля!$K$5:$K$200,Торговля!$E$5:$E$200,$B9)+SUMIFS(Закрытые!$L$5:$L$200,Закрытые!$F$5:$F$200,$B9))</f>
        <v/>
      </c>
      <c r="I9" s="240">
        <f>IF(COUNTIFS(Закрытые!$F$5:$F$200,$B9)=0,"",ROUND(SUMIFS(Закрытые!$M$5:$M$200,Закрытые!$F$5:$F$200,$B9),8))</f>
        <v/>
      </c>
      <c r="J9" s="241">
        <f>IF(COUNTIFS(Закрытые!$F$5:$F$200,$B9)=0,"",ROUND(SUMIFS(Закрытые!$M$5:$M$200,Закрытые!$F$5:$F$200,$B9)/SUMIFS(Закрытые!$I$5:$I$200,Закрытые!$F$5:$F$200,$B9)*100,2))</f>
        <v/>
      </c>
      <c r="K9" s="240" t="n"/>
      <c r="L9" s="177" t="n"/>
      <c r="M9" s="177" t="n"/>
    </row>
    <row r="10" ht="22" customHeight="1">
      <c r="B10" s="245" t="n"/>
      <c r="C10" s="246" t="n"/>
      <c r="D10" s="183" t="n"/>
      <c r="E10" s="247" t="n"/>
      <c r="F10" s="246" t="n"/>
      <c r="G10" s="183" t="n"/>
      <c r="H10" s="247" t="n"/>
      <c r="I10" s="246" t="n"/>
      <c r="J10" s="247" t="n"/>
      <c r="K10" s="246" t="n"/>
      <c r="L10" s="183" t="n"/>
      <c r="M10" s="183" t="n"/>
    </row>
    <row r="11" ht="22" customHeight="1">
      <c r="B11" s="239" t="n"/>
      <c r="C11" s="240" t="n"/>
      <c r="D11" s="177" t="n"/>
      <c r="E11" s="241" t="n"/>
      <c r="F11" s="240" t="n"/>
      <c r="G11" s="177" t="n"/>
      <c r="H11" s="241" t="n"/>
      <c r="I11" s="240" t="n"/>
      <c r="J11" s="241" t="n"/>
      <c r="K11" s="240" t="n"/>
      <c r="L11" s="177" t="n"/>
      <c r="M11" s="177" t="n"/>
    </row>
    <row r="12" ht="22" customHeight="1">
      <c r="B12" s="245" t="n"/>
      <c r="C12" s="246" t="n"/>
      <c r="D12" s="183" t="n"/>
      <c r="E12" s="247" t="n"/>
      <c r="F12" s="246" t="n"/>
      <c r="G12" s="183" t="n"/>
      <c r="H12" s="247" t="n"/>
      <c r="I12" s="246" t="n"/>
      <c r="J12" s="247" t="n"/>
      <c r="K12" s="246" t="n"/>
      <c r="L12" s="183" t="n"/>
      <c r="M12" s="183" t="n"/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238" t="inlineStr">
        <is>
          <t>L-0005</t>
        </is>
      </c>
      <c r="C5" s="237" t="n">
        <v>46298</v>
      </c>
      <c r="D5" s="238" t="inlineStr">
        <is>
          <t>Bybit</t>
        </is>
      </c>
      <c r="E5" s="239" t="inlineStr">
        <is>
          <t>BNB/USDT</t>
        </is>
      </c>
      <c r="F5" s="240" t="n">
        <v>5</v>
      </c>
      <c r="G5" s="177" t="n">
        <v>590</v>
      </c>
      <c r="H5" s="241" t="n">
        <v>2950</v>
      </c>
      <c r="I5" s="240" t="n">
        <v>5</v>
      </c>
      <c r="J5" s="177" t="n">
        <v>575</v>
      </c>
      <c r="K5" s="241" t="n">
        <v>2875</v>
      </c>
      <c r="L5" s="240">
        <f>IF(AND(AND(ISNUMBER(F5),ISNUMBER(I5),ISNUMBER(H5),ISNUMBER(K5)),F5&gt;0,I5&gt;0,H5&lt;&gt;0),ROUND(MIN(F5,I5)*(K5/I5-H5/F5),8),"")</f>
        <v/>
      </c>
      <c r="M5" s="177">
        <f>IF(AND(AND(ISNUMBER(F5),ISNUMBER(I5),ISNUMBER(H5),ISNUMBER(K5)),F5&gt;0,I5&gt;0,H5&lt;&gt;0),ROUND((K5/I5)/(H5/F5)*100-100,2),"")</f>
        <v/>
      </c>
    </row>
    <row r="6" ht="22" customHeight="1">
      <c r="B6" s="244" t="inlineStr">
        <is>
          <t>L-0002</t>
        </is>
      </c>
      <c r="C6" s="243" t="n">
        <v>46296</v>
      </c>
      <c r="D6" s="244" t="inlineStr">
        <is>
          <t>Bybit</t>
        </is>
      </c>
      <c r="E6" s="245" t="inlineStr">
        <is>
          <t>BTC/USDT</t>
        </is>
      </c>
      <c r="F6" s="246" t="n">
        <v>0.25</v>
      </c>
      <c r="G6" s="183" t="n">
        <v>62000</v>
      </c>
      <c r="H6" s="247" t="n">
        <v>15500</v>
      </c>
      <c r="I6" s="246" t="n">
        <v>0.25</v>
      </c>
      <c r="J6" s="183" t="n">
        <v>64000</v>
      </c>
      <c r="K6" s="247" t="n">
        <v>16000</v>
      </c>
      <c r="L6" s="246">
        <f>IF(AND(AND(ISNUMBER(F6),ISNUMBER(I6),ISNUMBER(H6),ISNUMBER(K6)),F6&gt;0,I6&gt;0,H6&lt;&gt;0),ROUND(MIN(F6,I6)*(K6/I6-H6/F6),8),"")</f>
        <v/>
      </c>
      <c r="M6" s="183">
        <f>IF(AND(AND(ISNUMBER(F6),ISNUMBER(I6),ISNUMBER(H6),ISNUMBER(K6)),F6&gt;0,I6&gt;0,H6&lt;&gt;0),ROUND((K6/I6)/(H6/F6)*100-100,2),"")</f>
        <v/>
      </c>
    </row>
    <row r="7" ht="22" customHeight="1">
      <c r="B7" s="238" t="inlineStr">
        <is>
          <t>L-0006</t>
        </is>
      </c>
      <c r="C7" s="237" t="n">
        <v>46299</v>
      </c>
      <c r="D7" s="238" t="inlineStr">
        <is>
          <t>OKX</t>
        </is>
      </c>
      <c r="E7" s="239" t="inlineStr">
        <is>
          <t>BTC/USDT</t>
        </is>
      </c>
      <c r="F7" s="240" t="n">
        <v>0.1</v>
      </c>
      <c r="G7" s="177" t="n">
        <v>62500</v>
      </c>
      <c r="H7" s="241" t="n">
        <v>6250</v>
      </c>
      <c r="I7" s="240" t="n">
        <v>0.1</v>
      </c>
      <c r="J7" s="177" t="n">
        <v>63100</v>
      </c>
      <c r="K7" s="241" t="n">
        <v>6310</v>
      </c>
      <c r="L7" s="240">
        <f>IF(AND(AND(ISNUMBER(F7),ISNUMBER(I7),ISNUMBER(H7),ISNUMBER(K7)),F7&gt;0,I7&gt;0,H7&lt;&gt;0),ROUND(MIN(F7,I7)*(K7/I7-H7/F7),8),"")</f>
        <v/>
      </c>
      <c r="M7" s="177">
        <f>IF(AND(AND(ISNUMBER(F7),ISNUMBER(I7),ISNUMBER(H7),ISNUMBER(K7)),F7&gt;0,I7&gt;0,H7&lt;&gt;0),ROUND((K7/I7)/(H7/F7)*100-100,2),"")</f>
        <v/>
      </c>
    </row>
    <row r="8" ht="22" customHeight="1">
      <c r="B8" s="244" t="inlineStr">
        <is>
          <t>L-0001</t>
        </is>
      </c>
      <c r="C8" s="243" t="n">
        <v>46296</v>
      </c>
      <c r="D8" s="244" t="inlineStr">
        <is>
          <t>Binance</t>
        </is>
      </c>
      <c r="E8" s="245" t="inlineStr">
        <is>
          <t>ETH/BTC</t>
        </is>
      </c>
      <c r="F8" s="246" t="n">
        <v>0.5</v>
      </c>
      <c r="G8" s="183" t="n">
        <v>0.0521</v>
      </c>
      <c r="H8" s="247" t="n">
        <v>0.02605</v>
      </c>
      <c r="I8" s="246" t="n">
        <v>0.5</v>
      </c>
      <c r="J8" s="183" t="n">
        <v>0.0534</v>
      </c>
      <c r="K8" s="247" t="n">
        <v>0.0267</v>
      </c>
      <c r="L8" s="246">
        <f>IF(AND(AND(ISNUMBER(F8),ISNUMBER(I8),ISNUMBER(H8),ISNUMBER(K8)),F8&gt;0,I8&gt;0,H8&lt;&gt;0),ROUND(MIN(F8,I8)*(K8/I8-H8/F8),8),"")</f>
        <v/>
      </c>
      <c r="M8" s="183">
        <f>IF(AND(AND(ISNUMBER(F8),ISNUMBER(I8),ISNUMBER(H8),ISNUMBER(K8)),F8&gt;0,I8&gt;0,H8&lt;&gt;0),ROUND((K8/I8)/(H8/F8)*100-100,2),"")</f>
        <v/>
      </c>
    </row>
    <row r="9" ht="22" customHeight="1">
      <c r="B9" s="238" t="inlineStr">
        <is>
          <t>L-0007</t>
        </is>
      </c>
      <c r="C9" s="237" t="n">
        <v>46299</v>
      </c>
      <c r="D9" s="238" t="inlineStr">
        <is>
          <t>Binance</t>
        </is>
      </c>
      <c r="E9" s="239" t="inlineStr">
        <is>
          <t>ETH/BTC</t>
        </is>
      </c>
      <c r="F9" s="240" t="n">
        <v>0.8</v>
      </c>
      <c r="G9" s="177" t="n">
        <v>0.0518</v>
      </c>
      <c r="H9" s="241" t="n">
        <v>0.04144</v>
      </c>
      <c r="I9" s="240" t="n">
        <v>0.8</v>
      </c>
      <c r="J9" s="177" t="n">
        <v>0.053</v>
      </c>
      <c r="K9" s="241" t="n">
        <v>0.0424</v>
      </c>
      <c r="L9" s="240">
        <f>IF(AND(AND(ISNUMBER(F9),ISNUMBER(I9),ISNUMBER(H9),ISNUMBER(K9)),F9&gt;0,I9&gt;0,H9&lt;&gt;0),ROUND(MIN(F9,I9)*(K9/I9-H9/F9),8),"")</f>
        <v/>
      </c>
      <c r="M9" s="177">
        <f>IF(AND(AND(ISNUMBER(F9),ISNUMBER(I9),ISNUMBER(H9),ISNUMBER(K9)),F9&gt;0,I9&gt;0,H9&lt;&gt;0),ROUND((K9/I9)/(H9/F9)*100-100,2),"")</f>
        <v/>
      </c>
    </row>
    <row r="10" ht="22" customHeight="1">
      <c r="B10" s="244" t="inlineStr">
        <is>
          <t>L-0004</t>
        </is>
      </c>
      <c r="C10" s="243" t="n">
        <v>46298</v>
      </c>
      <c r="D10" s="244" t="inlineStr">
        <is>
          <t>Binance</t>
        </is>
      </c>
      <c r="E10" s="245" t="inlineStr">
        <is>
          <t>ETH/USDT</t>
        </is>
      </c>
      <c r="F10" s="246" t="n">
        <v>1.2</v>
      </c>
      <c r="G10" s="183" t="n">
        <v>3200</v>
      </c>
      <c r="H10" s="247" t="n">
        <v>3840</v>
      </c>
      <c r="I10" s="246" t="n">
        <v>1.2</v>
      </c>
      <c r="J10" s="183" t="n">
        <v>3350</v>
      </c>
      <c r="K10" s="247" t="n">
        <v>4020</v>
      </c>
      <c r="L10" s="246">
        <f>IF(AND(AND(ISNUMBER(F10),ISNUMBER(I10),ISNUMBER(H10),ISNUMBER(K10)),F10&gt;0,I10&gt;0,H10&lt;&gt;0),ROUND(MIN(F10,I10)*(K10/I10-H10/F10),8),"")</f>
        <v/>
      </c>
      <c r="M10" s="183">
        <f>IF(AND(AND(ISNUMBER(F10),ISNUMBER(I10),ISNUMBER(H10),ISNUMBER(K10)),F10&gt;0,I10&gt;0,H10&lt;&gt;0),ROUND((K10/I10)/(H10/F10)*100-100,2),"")</f>
        <v/>
      </c>
    </row>
    <row r="11" ht="22" customHeight="1">
      <c r="B11" s="238" t="inlineStr">
        <is>
          <t>L-0003</t>
        </is>
      </c>
      <c r="C11" s="237" t="n">
        <v>46297</v>
      </c>
      <c r="D11" s="238" t="inlineStr">
        <is>
          <t>OKX</t>
        </is>
      </c>
      <c r="E11" s="239" t="inlineStr">
        <is>
          <t>SOL/USDT</t>
        </is>
      </c>
      <c r="F11" s="240" t="n">
        <v>20</v>
      </c>
      <c r="G11" s="177" t="n">
        <v>145</v>
      </c>
      <c r="H11" s="241" t="n">
        <v>2900</v>
      </c>
      <c r="I11" s="240" t="n">
        <v>20</v>
      </c>
      <c r="J11" s="177" t="n">
        <v>139</v>
      </c>
      <c r="K11" s="241" t="n">
        <v>2780</v>
      </c>
      <c r="L11" s="240">
        <f>IF(AND(AND(ISNUMBER(F11),ISNUMBER(I11),ISNUMBER(H11),ISNUMBER(K11)),F11&gt;0,I11&gt;0,H11&lt;&gt;0),ROUND(MIN(F11,I11)*(K11/I11-H11/F11),8),"")</f>
        <v/>
      </c>
      <c r="M11" s="177">
        <f>IF(AND(AND(ISNUMBER(F11),ISNUMBER(I11),ISNUMBER(H11),ISNUMBER(K11)),F11&gt;0,I11&gt;0,H11&lt;&gt;0),ROUND((K11/I11)/(H11/F11)*100-100,2),"")</f>
        <v/>
      </c>
    </row>
    <row r="12" ht="22" customHeight="1">
      <c r="B12" s="244" t="inlineStr">
        <is>
          <t>L-0008</t>
        </is>
      </c>
      <c r="C12" s="243" t="n">
        <v>46299</v>
      </c>
      <c r="D12" s="244" t="inlineStr">
        <is>
          <t>Bybit</t>
        </is>
      </c>
      <c r="E12" s="245" t="inlineStr">
        <is>
          <t>SOL/USDT</t>
        </is>
      </c>
      <c r="F12" s="246" t="n">
        <v>15</v>
      </c>
      <c r="G12" s="183" t="n">
        <v>142</v>
      </c>
      <c r="H12" s="247" t="n">
        <v>2130</v>
      </c>
      <c r="I12" s="246" t="n">
        <v>15</v>
      </c>
      <c r="J12" s="183" t="n">
        <v>147</v>
      </c>
      <c r="K12" s="247" t="n">
        <v>2205</v>
      </c>
      <c r="L12" s="246">
        <f>IF(AND(AND(ISNUMBER(F12),ISNUMBER(I12),ISNUMBER(H12),ISNUMBER(K12)),F12&gt;0,I12&gt;0,H12&lt;&gt;0),ROUND(MIN(F12,I12)*(K12/I12-H12/F12),8),"")</f>
        <v/>
      </c>
      <c r="M12" s="183">
        <f>IF(AND(AND(ISNUMBER(F12),ISNUMBER(I12),ISNUMBER(H12),ISNUMBER(K12)),F12&gt;0,I12&gt;0,H12&lt;&gt;0),ROUND((K12/I12)/(H12/F12)*100-100,2),"")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ETH/BTC</t>
        </is>
      </c>
      <c r="C5" s="240" t="n">
        <v>0.5</v>
      </c>
      <c r="D5" s="177" t="n">
        <v>0.0521</v>
      </c>
      <c r="E5" s="241" t="n">
        <v>0.02605</v>
      </c>
      <c r="F5" s="240" t="n">
        <v>0.5</v>
      </c>
      <c r="G5" s="177" t="n">
        <v>0.0534</v>
      </c>
      <c r="H5" s="241" t="n">
        <v>0.0267</v>
      </c>
      <c r="I5" s="240">
        <f>IF(AND(AND(ISNUMBER(C5),ISNUMBER(F5),ISNUMBER(E5),ISNUMBER(H5)),C5&gt;0,F5&gt;0,E5&lt;&gt;0),ROUND(MIN(C5,F5)*(H5/F5-E5/C5),8),"")</f>
        <v/>
      </c>
      <c r="J5" s="241">
        <f>IF(AND(AND(ISNUMBER(C5),ISNUMBER(F5),ISNUMBER(E5),ISNUMBER(H5)),C5&gt;0,F5&gt;0,E5&lt;&gt;0),ROUND((H5/F5)/(E5/C5)*100-100,2),"")</f>
        <v/>
      </c>
      <c r="K5" s="240" t="n">
        <v>0.00063</v>
      </c>
      <c r="L5" s="177" t="n">
        <v>2.42</v>
      </c>
      <c r="M5" s="177" t="n">
        <v>0.0522</v>
      </c>
    </row>
    <row r="6" ht="22" customHeight="1">
      <c r="B6" s="245" t="inlineStr">
        <is>
          <t>BTC/USDT</t>
        </is>
      </c>
      <c r="C6" s="246" t="n">
        <v>0.25</v>
      </c>
      <c r="D6" s="183" t="n">
        <v>62000</v>
      </c>
      <c r="E6" s="247" t="n">
        <v>15500</v>
      </c>
      <c r="F6" s="246" t="n">
        <v>0.25</v>
      </c>
      <c r="G6" s="183" t="n">
        <v>64000</v>
      </c>
      <c r="H6" s="247" t="n">
        <v>16000</v>
      </c>
      <c r="I6" s="246">
        <f>IF(AND(AND(ISNUMBER(C6),ISNUMBER(F6),ISNUMBER(E6),ISNUMBER(H6)),C6&gt;0,F6&gt;0,E6&lt;&gt;0),ROUND(MIN(C6,F6)*(H6/F6-E6/C6),8),"")</f>
        <v/>
      </c>
      <c r="J6" s="247">
        <f>IF(AND(AND(ISNUMBER(C6),ISNUMBER(F6),ISNUMBER(E6),ISNUMBER(H6)),C6&gt;0,F6&gt;0,E6&lt;&gt;0),ROUND((H6/F6)/(E6/C6)*100-100,2),"")</f>
        <v/>
      </c>
      <c r="K6" s="246" t="n">
        <v>485</v>
      </c>
      <c r="L6" s="183" t="n">
        <v>3.13</v>
      </c>
      <c r="M6" s="183" t="n">
        <v>62155</v>
      </c>
    </row>
    <row r="7" ht="22" customHeight="1">
      <c r="B7" s="239" t="inlineStr">
        <is>
          <t>SOL/USDT</t>
        </is>
      </c>
      <c r="C7" s="240" t="n">
        <v>20</v>
      </c>
      <c r="D7" s="177" t="n">
        <v>145</v>
      </c>
      <c r="E7" s="241" t="n">
        <v>2900</v>
      </c>
      <c r="F7" s="240" t="n">
        <v>20</v>
      </c>
      <c r="G7" s="177" t="n">
        <v>139</v>
      </c>
      <c r="H7" s="241" t="n">
        <v>2780</v>
      </c>
      <c r="I7" s="240">
        <f>IF(AND(AND(ISNUMBER(C7),ISNUMBER(F7),ISNUMBER(E7),ISNUMBER(H7)),C7&gt;0,F7&gt;0,E7&lt;&gt;0),ROUND(MIN(C7,F7)*(H7/F7-E7/C7),8),"")</f>
        <v/>
      </c>
      <c r="J7" s="241">
        <f>IF(AND(AND(ISNUMBER(C7),ISNUMBER(F7),ISNUMBER(E7),ISNUMBER(H7)),C7&gt;0,F7&gt;0,E7&lt;&gt;0),ROUND((H7/F7)/(E7/C7)*100-100,2),"")</f>
        <v/>
      </c>
      <c r="K7" s="240" t="n">
        <v>-125</v>
      </c>
      <c r="L7" s="177" t="n">
        <v>-4.31</v>
      </c>
      <c r="M7" s="177" t="n">
        <v>145.3</v>
      </c>
    </row>
    <row r="8" ht="22" customHeight="1">
      <c r="B8" s="245" t="inlineStr">
        <is>
          <t>ETH/USDT</t>
        </is>
      </c>
      <c r="C8" s="246" t="n">
        <v>1.2</v>
      </c>
      <c r="D8" s="183" t="n">
        <v>3200</v>
      </c>
      <c r="E8" s="247" t="n">
        <v>3840</v>
      </c>
      <c r="F8" s="246" t="n">
        <v>1.2</v>
      </c>
      <c r="G8" s="183" t="n">
        <v>3350</v>
      </c>
      <c r="H8" s="247" t="n">
        <v>4020</v>
      </c>
      <c r="I8" s="246">
        <f>IF(AND(AND(ISNUMBER(C8),ISNUMBER(F8),ISNUMBER(E8),ISNUMBER(H8)),C8&gt;0,F8&gt;0,E8&lt;&gt;0),ROUND(MIN(C8,F8)*(H8/F8-E8/C8),8),"")</f>
        <v/>
      </c>
      <c r="J8" s="247">
        <f>IF(AND(AND(ISNUMBER(C8),ISNUMBER(F8),ISNUMBER(E8),ISNUMBER(H8)),C8&gt;0,F8&gt;0,E8&lt;&gt;0),ROUND((H8/F8)/(E8/C8)*100-100,2),"")</f>
        <v/>
      </c>
      <c r="K8" s="246" t="n">
        <v>175</v>
      </c>
      <c r="L8" s="183" t="n">
        <v>4.56</v>
      </c>
      <c r="M8" s="183" t="n">
        <v>3203.84</v>
      </c>
    </row>
    <row r="9" ht="22" customHeight="1">
      <c r="B9" s="239" t="inlineStr">
        <is>
          <t>BNB/USDT</t>
        </is>
      </c>
      <c r="C9" s="240" t="n">
        <v>5</v>
      </c>
      <c r="D9" s="177" t="n">
        <v>590</v>
      </c>
      <c r="E9" s="241" t="n">
        <v>2950</v>
      </c>
      <c r="F9" s="240" t="n">
        <v>5</v>
      </c>
      <c r="G9" s="177" t="n">
        <v>575</v>
      </c>
      <c r="H9" s="241" t="n">
        <v>2875</v>
      </c>
      <c r="I9" s="240">
        <f>IF(AND(AND(ISNUMBER(C9),ISNUMBER(F9),ISNUMBER(E9),ISNUMBER(H9)),C9&gt;0,F9&gt;0,E9&lt;&gt;0),ROUND(MIN(C9,F9)*(H9/F9-E9/C9),8),"")</f>
        <v/>
      </c>
      <c r="J9" s="241">
        <f>IF(AND(AND(ISNUMBER(C9),ISNUMBER(F9),ISNUMBER(E9),ISNUMBER(H9)),C9&gt;0,F9&gt;0,E9&lt;&gt;0),ROUND((H9/F9)/(E9/C9)*100-100,2),"")</f>
        <v/>
      </c>
      <c r="K9" s="240" t="n">
        <v>-80</v>
      </c>
      <c r="L9" s="177" t="n">
        <v>-2.71</v>
      </c>
      <c r="M9" s="177" t="n">
        <v>590.6</v>
      </c>
    </row>
    <row r="10" ht="22" customHeight="1">
      <c r="B10" s="245" t="inlineStr">
        <is>
          <t>BTC/USDT</t>
        </is>
      </c>
      <c r="C10" s="246" t="n">
        <v>0.1</v>
      </c>
      <c r="D10" s="183" t="n">
        <v>62500</v>
      </c>
      <c r="E10" s="247" t="n">
        <v>6250</v>
      </c>
      <c r="F10" s="246" t="n">
        <v>0.1</v>
      </c>
      <c r="G10" s="183" t="n">
        <v>63100</v>
      </c>
      <c r="H10" s="247" t="n">
        <v>6310</v>
      </c>
      <c r="I10" s="246">
        <f>IF(AND(AND(ISNUMBER(C10),ISNUMBER(F10),ISNUMBER(E10),ISNUMBER(H10)),C10&gt;0,F10&gt;0,E10&lt;&gt;0),ROUND(MIN(C10,F10)*(H10/F10-E10/C10),8),"")</f>
        <v/>
      </c>
      <c r="J10" s="247">
        <f>IF(AND(AND(ISNUMBER(C10),ISNUMBER(F10),ISNUMBER(E10),ISNUMBER(H10)),C10&gt;0,F10&gt;0,E10&lt;&gt;0),ROUND((H10/F10)/(E10/C10)*100-100,2),"")</f>
        <v/>
      </c>
      <c r="K10" s="246" t="n">
        <v>55</v>
      </c>
      <c r="L10" s="183" t="n">
        <v>0.88</v>
      </c>
      <c r="M10" s="183" t="n">
        <v>62512.5</v>
      </c>
    </row>
    <row r="11" ht="22" customHeight="1">
      <c r="B11" s="239" t="inlineStr">
        <is>
          <t>ETH/BTC</t>
        </is>
      </c>
      <c r="C11" s="240" t="n">
        <v>0.8</v>
      </c>
      <c r="D11" s="177" t="n">
        <v>0.0518</v>
      </c>
      <c r="E11" s="241" t="n">
        <v>0.04144</v>
      </c>
      <c r="F11" s="240" t="n">
        <v>0.8</v>
      </c>
      <c r="G11" s="177" t="n">
        <v>0.053</v>
      </c>
      <c r="H11" s="241" t="n">
        <v>0.0424</v>
      </c>
      <c r="I11" s="240">
        <f>IF(AND(AND(ISNUMBER(C11),ISNUMBER(F11),ISNUMBER(E11),ISNUMBER(H11)),C11&gt;0,F11&gt;0,E11&lt;&gt;0),ROUND(MIN(C11,F11)*(H11/F11-E11/C11),8),"")</f>
        <v/>
      </c>
      <c r="J11" s="241">
        <f>IF(AND(AND(ISNUMBER(C11),ISNUMBER(F11),ISNUMBER(E11),ISNUMBER(H11)),C11&gt;0,F11&gt;0,E11&lt;&gt;0),ROUND((H11/F11)/(E11/C11)*100-100,2),"")</f>
        <v/>
      </c>
      <c r="K11" s="240" t="n">
        <v>0.00092</v>
      </c>
      <c r="L11" s="177" t="n">
        <v>2.22</v>
      </c>
      <c r="M11" s="177" t="n">
        <v>0.05185</v>
      </c>
    </row>
    <row r="12" ht="22" customHeight="1">
      <c r="B12" s="245" t="inlineStr">
        <is>
          <t>SOL/USDT</t>
        </is>
      </c>
      <c r="C12" s="246" t="n">
        <v>15</v>
      </c>
      <c r="D12" s="183" t="n">
        <v>142</v>
      </c>
      <c r="E12" s="247" t="n">
        <v>2130</v>
      </c>
      <c r="F12" s="246" t="n">
        <v>15</v>
      </c>
      <c r="G12" s="183" t="n">
        <v>147</v>
      </c>
      <c r="H12" s="247" t="n">
        <v>2205</v>
      </c>
      <c r="I12" s="246">
        <f>IF(AND(AND(ISNUMBER(C12),ISNUMBER(F12),ISNUMBER(E12),ISNUMBER(H12)),C12&gt;0,F12&gt;0,E12&lt;&gt;0),ROUND(MIN(C12,F12)*(H12/F12-E12/C12),8),"")</f>
        <v/>
      </c>
      <c r="J12" s="247">
        <f>IF(AND(AND(ISNUMBER(C12),ISNUMBER(F12),ISNUMBER(E12),ISNUMBER(H12)),C12&gt;0,F12&gt;0,E12&lt;&gt;0),ROUND((H12/F12)/(E12/C12)*100-100,2),"")</f>
        <v/>
      </c>
      <c r="K12" s="246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K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</cols>
  <sheetData>
    <row r="1" ht="21" customHeight="1">
      <c r="B1" s="226" t="inlineStr">
        <is>
          <t>CRYPTO JOURNAL • ПУЛ</t>
        </is>
      </c>
    </row>
    <row r="2" ht="21" customHeight="1"/>
    <row r="3" ht="28" customHeight="1">
      <c r="F3" s="254" t="inlineStr">
        <is>
          <t>Открыто</t>
        </is>
      </c>
      <c r="G3" s="270" t="n"/>
      <c r="H3" s="256" t="inlineStr">
        <is>
          <t>Закрыто</t>
        </is>
      </c>
      <c r="I3" s="270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Актив 1</t>
        </is>
      </c>
      <c r="G4" s="255" t="inlineStr">
        <is>
          <t>Актив 2</t>
        </is>
      </c>
      <c r="H4" s="256" t="inlineStr">
        <is>
          <t>Актив 1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36" t="n"/>
      <c r="I5" s="239" t="n"/>
      <c r="J5" s="236" t="n"/>
      <c r="K5" s="239" t="n"/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2" t="n"/>
      <c r="I6" s="245" t="n"/>
      <c r="J6" s="242" t="n"/>
      <c r="K6" s="245" t="n"/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36" t="n"/>
      <c r="I7" s="239" t="n"/>
      <c r="J7" s="236" t="n"/>
      <c r="K7" s="239" t="n"/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2" t="n"/>
      <c r="I8" s="245" t="n"/>
      <c r="J8" s="242" t="n"/>
      <c r="K8" s="245" t="n"/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36" t="n"/>
      <c r="I9" s="239" t="n"/>
      <c r="J9" s="236" t="n"/>
      <c r="K9" s="239" t="n"/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2" t="n"/>
      <c r="I10" s="245" t="n"/>
      <c r="J10" s="242" t="n"/>
      <c r="K10" s="245" t="n"/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36" t="n"/>
      <c r="I11" s="239" t="n"/>
      <c r="J11" s="236" t="n"/>
      <c r="K11" s="239" t="n"/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2" t="n"/>
      <c r="I12" s="245" t="n"/>
      <c r="J12" s="242" t="n"/>
      <c r="K12" s="245" t="n"/>
    </row>
  </sheetData>
  <autoFilter ref="B4:K12"/>
  <mergeCells count="3">
    <mergeCell ref="B1:K2"/>
    <mergeCell ref="F3:G3"/>
    <mergeCell ref="H3:I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28" customHeight="1">
      <c r="C3" s="254" t="inlineStr">
        <is>
          <t>Открыто</t>
        </is>
      </c>
      <c r="D3" s="270" t="n"/>
      <c r="E3" s="256" t="inlineStr">
        <is>
          <t>Закрыто</t>
        </is>
      </c>
      <c r="F3" s="270" t="n"/>
    </row>
    <row r="4" ht="28" customHeight="1">
      <c r="B4" s="162" t="inlineStr">
        <is>
          <t>Пара</t>
        </is>
      </c>
      <c r="C4" s="254" t="inlineStr">
        <is>
          <t>Актив 1</t>
        </is>
      </c>
      <c r="D4" s="255" t="inlineStr">
        <is>
          <t>Актив 2</t>
        </is>
      </c>
      <c r="E4" s="256" t="inlineStr">
        <is>
          <t>Актив 1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ETH/BTC</t>
        </is>
      </c>
      <c r="C5" s="240" t="n">
        <v>2</v>
      </c>
      <c r="D5" s="241" t="n">
        <v>0.104</v>
      </c>
      <c r="E5" s="240" t="n">
        <v>1.96</v>
      </c>
      <c r="F5" s="241" t="n">
        <v>0.1092</v>
      </c>
      <c r="G5" s="240" t="n">
        <v>-0.04</v>
      </c>
      <c r="H5" s="241" t="n">
        <v>0.0052</v>
      </c>
      <c r="I5" s="236" t="inlineStr">
        <is>
          <t>Удалить</t>
        </is>
      </c>
      <c r="J5" s="177" t="n">
        <v>0.5</v>
      </c>
      <c r="K5" s="177" t="n">
        <v>0.052</v>
      </c>
      <c r="L5" s="177" t="n">
        <v>0.026</v>
      </c>
    </row>
    <row r="6" ht="22" customHeight="1">
      <c r="B6" s="245" t="inlineStr">
        <is>
          <t>SOL/USDT</t>
        </is>
      </c>
      <c r="C6" s="246" t="n">
        <v>30</v>
      </c>
      <c r="D6" s="247" t="n">
        <v>4350</v>
      </c>
      <c r="E6" s="246" t="n">
        <v>28.5</v>
      </c>
      <c r="F6" s="247" t="n">
        <v>4560</v>
      </c>
      <c r="G6" s="246" t="n">
        <v>-1.5</v>
      </c>
      <c r="H6" s="247" t="n">
        <v>210</v>
      </c>
      <c r="I6" s="242" t="inlineStr">
        <is>
          <t>Удалить</t>
        </is>
      </c>
      <c r="J6" s="183" t="n">
        <v>10</v>
      </c>
      <c r="K6" s="183" t="n">
        <v>145</v>
      </c>
      <c r="L6" s="183" t="n">
        <v>1450</v>
      </c>
    </row>
    <row r="7" ht="22" customHeight="1">
      <c r="B7" s="239" t="inlineStr">
        <is>
          <t>BNB/USDT</t>
        </is>
      </c>
      <c r="C7" s="240" t="n">
        <v>4</v>
      </c>
      <c r="D7" s="241" t="n">
        <v>2360</v>
      </c>
      <c r="E7" s="240" t="n">
        <v>4.2</v>
      </c>
      <c r="F7" s="241" t="n">
        <v>2300</v>
      </c>
      <c r="G7" s="240" t="n">
        <v>0.2</v>
      </c>
      <c r="H7" s="241" t="n">
        <v>-60</v>
      </c>
      <c r="I7" s="236" t="inlineStr">
        <is>
          <t>Добавить</t>
        </is>
      </c>
      <c r="J7" s="177" t="n">
        <v>1</v>
      </c>
      <c r="K7" s="177" t="n">
        <v>590</v>
      </c>
      <c r="L7" s="177" t="n">
        <v>590</v>
      </c>
    </row>
    <row r="8" ht="22" customHeight="1">
      <c r="B8" s="245" t="inlineStr">
        <is>
          <t>ETH/USDT</t>
        </is>
      </c>
      <c r="C8" s="246" t="n">
        <v>1.5</v>
      </c>
      <c r="D8" s="247" t="n">
        <v>4800</v>
      </c>
      <c r="E8" s="246" t="n">
        <v>1.45</v>
      </c>
      <c r="F8" s="247" t="n">
        <v>4960</v>
      </c>
      <c r="G8" s="246" t="n">
        <v>-0.05</v>
      </c>
      <c r="H8" s="247" t="n">
        <v>160</v>
      </c>
      <c r="I8" s="242" t="inlineStr">
        <is>
          <t>Удалить</t>
        </is>
      </c>
      <c r="J8" s="183" t="n">
        <v>0.5</v>
      </c>
      <c r="K8" s="183" t="n">
        <v>3200</v>
      </c>
      <c r="L8" s="183" t="n">
        <v>1600</v>
      </c>
    </row>
    <row r="9" ht="22" customHeight="1">
      <c r="B9" s="239" t="inlineStr">
        <is>
          <t>SOL/USDT</t>
        </is>
      </c>
      <c r="C9" s="240" t="n">
        <v>12</v>
      </c>
      <c r="D9" s="241" t="n">
        <v>1740</v>
      </c>
      <c r="E9" s="240" t="n">
        <v>12.6</v>
      </c>
      <c r="F9" s="241" t="n">
        <v>1692</v>
      </c>
      <c r="G9" s="240" t="n">
        <v>0.6</v>
      </c>
      <c r="H9" s="241" t="n">
        <v>-48</v>
      </c>
      <c r="I9" s="236" t="inlineStr">
        <is>
          <t>Добавить</t>
        </is>
      </c>
      <c r="J9" s="177" t="n">
        <v>3</v>
      </c>
      <c r="K9" s="177" t="n">
        <v>145</v>
      </c>
      <c r="L9" s="177" t="n">
        <v>435</v>
      </c>
    </row>
    <row r="10" ht="22" customHeight="1">
      <c r="B10" s="245" t="inlineStr">
        <is>
          <t>BTC/USDT</t>
        </is>
      </c>
      <c r="C10" s="246" t="n">
        <v>0.05</v>
      </c>
      <c r="D10" s="247" t="n">
        <v>3125</v>
      </c>
      <c r="E10" s="246" t="n">
        <v>0.048</v>
      </c>
      <c r="F10" s="247" t="n">
        <v>3225</v>
      </c>
      <c r="G10" s="246" t="n">
        <v>-0.002</v>
      </c>
      <c r="H10" s="247" t="n">
        <v>100</v>
      </c>
      <c r="I10" s="242" t="inlineStr">
        <is>
          <t>Удалить</t>
        </is>
      </c>
      <c r="J10" s="183" t="n">
        <v>0.01</v>
      </c>
      <c r="K10" s="183" t="n">
        <v>62500</v>
      </c>
      <c r="L10" s="183" t="n">
        <v>625</v>
      </c>
    </row>
    <row r="11" ht="22" customHeight="1">
      <c r="B11" s="239" t="inlineStr">
        <is>
          <t>ETH/BTC</t>
        </is>
      </c>
      <c r="C11" s="240" t="n">
        <v>1.2</v>
      </c>
      <c r="D11" s="241" t="n">
        <v>0.0624</v>
      </c>
      <c r="E11" s="240" t="n">
        <v>1.25</v>
      </c>
      <c r="F11" s="241" t="n">
        <v>0.0598</v>
      </c>
      <c r="G11" s="240" t="n">
        <v>0.05</v>
      </c>
      <c r="H11" s="241" t="n">
        <v>-0.0026</v>
      </c>
      <c r="I11" s="236" t="inlineStr">
        <is>
          <t>Добавить</t>
        </is>
      </c>
      <c r="J11" s="177" t="n">
        <v>0.3</v>
      </c>
      <c r="K11" s="177" t="n">
        <v>0.052</v>
      </c>
      <c r="L11" s="177" t="n">
        <v>0.0156</v>
      </c>
    </row>
    <row r="12" ht="22" customHeight="1">
      <c r="B12" s="245" t="inlineStr">
        <is>
          <t>SOL/USDT</t>
        </is>
      </c>
      <c r="C12" s="246" t="n">
        <v>25</v>
      </c>
      <c r="D12" s="247" t="n">
        <v>3625</v>
      </c>
      <c r="E12" s="246" t="n">
        <v>24</v>
      </c>
      <c r="F12" s="247" t="n">
        <v>3770</v>
      </c>
      <c r="G12" s="246" t="n">
        <v>-1</v>
      </c>
      <c r="H12" s="247" t="n">
        <v>145</v>
      </c>
      <c r="I12" s="242" t="inlineStr">
        <is>
          <t>Удалить</t>
        </is>
      </c>
      <c r="J12" s="183" t="n">
        <v>5</v>
      </c>
      <c r="K12" s="183" t="n">
        <v>145</v>
      </c>
      <c r="L12" s="183" t="n">
        <v>725</v>
      </c>
    </row>
  </sheetData>
  <autoFilter ref="B4:L12"/>
  <mergeCells count="3">
    <mergeCell ref="B1:L2"/>
    <mergeCell ref="E3:F3"/>
    <mergeCell ref="C3:D3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8" customWidth="1" min="3" max="3"/>
    <col width="18" customWidth="1" min="4" max="4"/>
    <col width="14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2" customWidth="1" min="16" max="16"/>
    <col width="14" customWidth="1" min="17" max="17"/>
  </cols>
  <sheetData>
    <row r="1" ht="21" customHeight="1">
      <c r="B1" s="1" t="inlineStr">
        <is>
          <t>CRYPTO JOURNAL • ЗАКРЫТЫЕ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 открытия</t>
        </is>
      </c>
      <c r="D4" s="161" t="inlineStr">
        <is>
          <t>Дата закрытия</t>
        </is>
      </c>
      <c r="E4" s="161" t="inlineStr">
        <is>
          <t>Протокол</t>
        </is>
      </c>
      <c r="F4" s="162" t="inlineStr">
        <is>
          <t>Пара</t>
        </is>
      </c>
      <c r="G4" s="163" t="inlineStr">
        <is>
          <t>Кол-во</t>
        </is>
      </c>
      <c r="H4" s="185" t="inlineStr">
        <is>
          <t>Курс</t>
        </is>
      </c>
      <c r="I4" s="165" t="inlineStr">
        <is>
          <t>Сумма</t>
        </is>
      </c>
      <c r="J4" s="166" t="inlineStr">
        <is>
          <t>Кол-во</t>
        </is>
      </c>
      <c r="K4" s="167" t="inlineStr">
        <is>
          <t>Курс</t>
        </is>
      </c>
      <c r="L4" s="168" t="inlineStr">
        <is>
          <t>Сумма</t>
        </is>
      </c>
      <c r="M4" s="169" t="inlineStr">
        <is>
          <t>Дельта 1</t>
        </is>
      </c>
      <c r="N4" s="170" t="inlineStr">
        <is>
          <t>Дельта 2</t>
        </is>
      </c>
      <c r="O4" s="171" t="inlineStr">
        <is>
          <t>P&amp;L</t>
        </is>
      </c>
      <c r="P4" s="172" t="inlineStr">
        <is>
          <t>P&amp;L%</t>
        </is>
      </c>
      <c r="Q4" s="172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7" t="n">
        <v>46300</v>
      </c>
      <c r="E5" s="238" t="inlineStr">
        <is>
          <t>Bybit</t>
        </is>
      </c>
      <c r="F5" s="239" t="inlineStr">
        <is>
          <t>BNB/USDT</t>
        </is>
      </c>
      <c r="G5" s="240" t="n">
        <v>2</v>
      </c>
      <c r="H5" s="177" t="n">
        <v>586.17</v>
      </c>
      <c r="I5" s="241" t="n">
        <v>1172.34</v>
      </c>
      <c r="J5" s="240" t="n">
        <v>2</v>
      </c>
      <c r="K5" s="177" t="n">
        <v>598.8</v>
      </c>
      <c r="L5" s="241" t="n">
        <v>1197.6</v>
      </c>
      <c r="M5" s="240">
        <f>IF(AND(AND(ISNUMBER(G5),ISNUMBER(J5),ISNUMBER(I5),ISNUMBER(L5)),G5&gt;0,J5&gt;0,I5&lt;&gt;0),ROUND(MIN(G5,J5)*(L5/J5-I5/G5),8),"")</f>
        <v/>
      </c>
      <c r="N5" s="241">
        <f>IF(AND(AND(ISNUMBER(G5),ISNUMBER(J5),ISNUMBER(I5),ISNUMBER(L5)),G5&gt;0,J5&gt;0,I5&lt;&gt;0),ROUND((L5/J5)/(I5/G5)*100-100,2),"")</f>
        <v/>
      </c>
      <c r="O5" s="240" t="n"/>
      <c r="P5" s="177" t="n"/>
      <c r="Q5" s="177" t="n"/>
    </row>
    <row r="6" ht="22" customHeight="1">
      <c r="B6" s="244" t="inlineStr">
        <is>
          <t>T-0006</t>
        </is>
      </c>
      <c r="C6" s="243" t="n">
        <v>46299</v>
      </c>
      <c r="D6" s="243" t="n">
        <v>46300</v>
      </c>
      <c r="E6" s="244" t="inlineStr">
        <is>
          <t>OKX</t>
        </is>
      </c>
      <c r="F6" s="245" t="inlineStr">
        <is>
          <t>BTC/USDT</t>
        </is>
      </c>
      <c r="G6" s="246" t="n">
        <v>0.05</v>
      </c>
      <c r="H6" s="183" t="n">
        <v>62324.4</v>
      </c>
      <c r="I6" s="247" t="n">
        <v>3116.22</v>
      </c>
      <c r="J6" s="246" t="n">
        <v>0.05</v>
      </c>
      <c r="K6" s="183" t="n">
        <v>62874</v>
      </c>
      <c r="L6" s="247" t="n">
        <v>3143.7</v>
      </c>
      <c r="M6" s="246">
        <f>IF(AND(AND(ISNUMBER(G6),ISNUMBER(J6),ISNUMBER(I6),ISNUMBER(L6)),G6&gt;0,J6&gt;0,I6&lt;&gt;0),ROUND(MIN(G6,J6)*(L6/J6-I6/G6),8),"")</f>
        <v/>
      </c>
      <c r="N6" s="247">
        <f>IF(AND(AND(ISNUMBER(G6),ISNUMBER(J6),ISNUMBER(I6),ISNUMBER(L6)),G6&gt;0,J6&gt;0,I6&lt;&gt;0),ROUND((L6/J6)/(I6/G6)*100-100,2),"")</f>
        <v/>
      </c>
      <c r="O6" s="246" t="n"/>
      <c r="P6" s="183" t="n"/>
      <c r="Q6" s="183" t="n"/>
    </row>
    <row r="7" ht="22" customHeight="1">
      <c r="B7" s="238" t="inlineStr">
        <is>
          <t>T-0002</t>
        </is>
      </c>
      <c r="C7" s="237" t="n">
        <v>46297</v>
      </c>
      <c r="D7" s="237" t="n">
        <v>46299</v>
      </c>
      <c r="E7" s="238" t="inlineStr">
        <is>
          <t>Bybit</t>
        </is>
      </c>
      <c r="F7" s="239" t="inlineStr">
        <is>
          <t>ETH/USDT</t>
        </is>
      </c>
      <c r="G7" s="240" t="n">
        <v>1</v>
      </c>
      <c r="H7" s="177" t="n">
        <v>3206.4</v>
      </c>
      <c r="I7" s="241" t="n">
        <v>3206.4</v>
      </c>
      <c r="J7" s="240" t="n">
        <v>1</v>
      </c>
      <c r="K7" s="177" t="n">
        <v>3343.3</v>
      </c>
      <c r="L7" s="241" t="n">
        <v>3343.3</v>
      </c>
      <c r="M7" s="240">
        <f>IF(AND(AND(ISNUMBER(G7),ISNUMBER(J7),ISNUMBER(I7),ISNUMBER(L7)),G7&gt;0,J7&gt;0,I7&lt;&gt;0),ROUND(MIN(G7,J7)*(L7/J7-I7/G7),8),"")</f>
        <v/>
      </c>
      <c r="N7" s="241">
        <f>IF(AND(AND(ISNUMBER(G7),ISNUMBER(J7),ISNUMBER(I7),ISNUMBER(L7)),G7&gt;0,J7&gt;0,I7&lt;&gt;0),ROUND((L7/J7)/(I7/G7)*100-100,2),"")</f>
        <v/>
      </c>
      <c r="O7" s="240" t="n"/>
      <c r="P7" s="177" t="n"/>
      <c r="Q7" s="177" t="n"/>
    </row>
    <row r="8" ht="22" customHeight="1">
      <c r="B8" s="244" t="inlineStr">
        <is>
          <t>T-0003</t>
        </is>
      </c>
      <c r="C8" s="243" t="n">
        <v>46298</v>
      </c>
      <c r="D8" s="243" t="n">
        <v>46300</v>
      </c>
      <c r="E8" s="244" t="inlineStr">
        <is>
          <t>OKX</t>
        </is>
      </c>
      <c r="F8" s="245" t="inlineStr">
        <is>
          <t>SOL/USDT</t>
        </is>
      </c>
      <c r="G8" s="246" t="n">
        <v>20</v>
      </c>
      <c r="H8" s="183" t="n">
        <v>145.29</v>
      </c>
      <c r="I8" s="247" t="n">
        <v>2905.8</v>
      </c>
      <c r="J8" s="246" t="n">
        <v>20</v>
      </c>
      <c r="K8" s="183" t="n">
        <v>151.696</v>
      </c>
      <c r="L8" s="247" t="n">
        <v>3033.92</v>
      </c>
      <c r="M8" s="246">
        <f>IF(AND(AND(ISNUMBER(G8),ISNUMBER(J8),ISNUMBER(I8),ISNUMBER(L8)),G8&gt;0,J8&gt;0,I8&lt;&gt;0),ROUND(MIN(G8,J8)*(L8/J8-I8/G8),8),"")</f>
        <v/>
      </c>
      <c r="N8" s="247">
        <f>IF(AND(AND(ISNUMBER(G8),ISNUMBER(J8),ISNUMBER(I8),ISNUMBER(L8)),G8&gt;0,J8&gt;0,I8&lt;&gt;0),ROUND((L8/J8)/(I8/G8)*100-100,2),"")</f>
        <v/>
      </c>
      <c r="O8" s="246" t="n"/>
      <c r="P8" s="183" t="n"/>
      <c r="Q8" s="183" t="n"/>
    </row>
    <row r="9" ht="22" customHeight="1">
      <c r="B9" s="238" t="n"/>
      <c r="C9" s="237" t="n"/>
      <c r="D9" s="237" t="n"/>
      <c r="E9" s="238" t="n"/>
      <c r="F9" s="239" t="n"/>
      <c r="G9" s="240" t="n"/>
      <c r="H9" s="177" t="n"/>
      <c r="I9" s="241" t="n"/>
      <c r="J9" s="240" t="n"/>
      <c r="K9" s="177" t="n"/>
      <c r="L9" s="241" t="n"/>
      <c r="M9" s="240">
        <f>IF(AND(AND(ISNUMBER(G9),ISNUMBER(J9),ISNUMBER(I9),ISNUMBER(L9)),G9&gt;0,J9&gt;0,I9&lt;&gt;0),ROUND(MIN(G9,J9)*(L9/J9-I9/G9),8),"")</f>
        <v/>
      </c>
      <c r="N9" s="241">
        <f>IF(AND(AND(ISNUMBER(G9),ISNUMBER(J9),ISNUMBER(I9),ISNUMBER(L9)),G9&gt;0,J9&gt;0,I9&lt;&gt;0),ROUND((L9/J9)/(I9/G9)*100-100,2),"")</f>
        <v/>
      </c>
      <c r="O9" s="240" t="n"/>
      <c r="P9" s="177" t="n"/>
      <c r="Q9" s="177" t="n"/>
    </row>
    <row r="10" ht="22" customHeight="1">
      <c r="B10" s="244" t="n"/>
      <c r="C10" s="243" t="n"/>
      <c r="D10" s="243" t="n"/>
      <c r="E10" s="244" t="n"/>
      <c r="F10" s="245" t="n"/>
      <c r="G10" s="246" t="n"/>
      <c r="H10" s="183" t="n"/>
      <c r="I10" s="247" t="n"/>
      <c r="J10" s="246" t="n"/>
      <c r="K10" s="183" t="n"/>
      <c r="L10" s="247" t="n"/>
      <c r="M10" s="246">
        <f>IF(AND(AND(ISNUMBER(G10),ISNUMBER(J10),ISNUMBER(I10),ISNUMBER(L10)),G10&gt;0,J10&gt;0,I10&lt;&gt;0),ROUND(MIN(G10,J10)*(L10/J10-I10/G10),8),"")</f>
        <v/>
      </c>
      <c r="N10" s="247">
        <f>IF(AND(AND(ISNUMBER(G10),ISNUMBER(J10),ISNUMBER(I10),ISNUMBER(L10)),G10&gt;0,J10&gt;0,I10&lt;&gt;0),ROUND((L10/J10)/(I10/G10)*100-100,2),"")</f>
        <v/>
      </c>
      <c r="O10" s="246" t="n"/>
      <c r="P10" s="183" t="n"/>
      <c r="Q10" s="183" t="n"/>
    </row>
    <row r="11" ht="22" customHeight="1">
      <c r="B11" s="238" t="n"/>
      <c r="C11" s="237" t="n"/>
      <c r="D11" s="237" t="n"/>
      <c r="E11" s="238" t="n"/>
      <c r="F11" s="239" t="n"/>
      <c r="G11" s="240" t="n"/>
      <c r="H11" s="177" t="n"/>
      <c r="I11" s="241" t="n"/>
      <c r="J11" s="240" t="n"/>
      <c r="K11" s="177" t="n"/>
      <c r="L11" s="241" t="n"/>
      <c r="M11" s="240">
        <f>IF(AND(AND(ISNUMBER(G11),ISNUMBER(J11),ISNUMBER(I11),ISNUMBER(L11)),G11&gt;0,J11&gt;0,I11&lt;&gt;0),ROUND(MIN(G11,J11)*(L11/J11-I11/G11),8),"")</f>
        <v/>
      </c>
      <c r="N11" s="241">
        <f>IF(AND(AND(ISNUMBER(G11),ISNUMBER(J11),ISNUMBER(I11),ISNUMBER(L11)),G11&gt;0,J11&gt;0,I11&lt;&gt;0),ROUND((L11/J11)/(I11/G11)*100-100,2),"")</f>
        <v/>
      </c>
      <c r="O11" s="240" t="n"/>
      <c r="P11" s="177" t="n"/>
      <c r="Q11" s="177" t="n"/>
    </row>
    <row r="12" ht="22" customHeight="1">
      <c r="B12" s="244" t="n"/>
      <c r="C12" s="243" t="n"/>
      <c r="D12" s="243" t="n"/>
      <c r="E12" s="244" t="n"/>
      <c r="F12" s="245" t="n"/>
      <c r="G12" s="246" t="n"/>
      <c r="H12" s="183" t="n"/>
      <c r="I12" s="247" t="n"/>
      <c r="J12" s="246" t="n"/>
      <c r="K12" s="183" t="n"/>
      <c r="L12" s="247" t="n"/>
      <c r="M12" s="246">
        <f>IF(AND(AND(ISNUMBER(G12),ISNUMBER(J12),ISNUMBER(I12),ISNUMBER(L12)),G12&gt;0,J12&gt;0,I12&lt;&gt;0),ROUND(MIN(G12,J12)*(L12/J12-I12/G12),8),"")</f>
        <v/>
      </c>
      <c r="N12" s="247">
        <f>IF(AND(AND(ISNUMBER(G12),ISNUMBER(J12),ISNUMBER(I12),ISNUMBER(L12)),G12&gt;0,J12&gt;0,I12&lt;&gt;0),ROUND((L12/J12)/(I12/G12)*100-100,2),"")</f>
        <v/>
      </c>
      <c r="O12" s="246" t="n"/>
      <c r="P12" s="183" t="n"/>
      <c r="Q12" s="183" t="n"/>
    </row>
  </sheetData>
  <autoFilter ref="B4:Q12"/>
  <mergeCells count="1">
    <mergeCell ref="B1:Q2"/>
  </mergeCells>
  <conditionalFormatting sqref="B5:Q200">
    <cfRule type="expression" priority="1" dxfId="0">
      <formula>AND($B5&lt;&gt;"",COUNTIF(Торговля!$B$5:$B$200,$B5)&gt;0)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ETH/BTC</t>
        </is>
      </c>
      <c r="C5" s="240" t="n">
        <v>0.5</v>
      </c>
      <c r="D5" s="177" t="n">
        <v>0.0521</v>
      </c>
      <c r="E5" s="241" t="n">
        <v>0.02605</v>
      </c>
      <c r="F5" s="240" t="n">
        <v>0.5</v>
      </c>
      <c r="G5" s="177" t="n">
        <v>0.0534</v>
      </c>
      <c r="H5" s="241" t="n">
        <v>0.0267</v>
      </c>
      <c r="I5" s="240">
        <f>IF(AND(AND(ISNUMBER(C5),ISNUMBER(F5),ISNUMBER(E5),ISNUMBER(H5)),C5&gt;0,F5&gt;0,E5&lt;&gt;0),ROUND(MIN(C5,F5)*(H5/F5-E5/C5),8),"")</f>
        <v/>
      </c>
      <c r="J5" s="241">
        <f>IF(AND(AND(ISNUMBER(C5),ISNUMBER(F5),ISNUMBER(E5),ISNUMBER(H5)),C5&gt;0,F5&gt;0,E5&lt;&gt;0),ROUND((H5/F5)/(E5/C5)*100-100,2),"")</f>
        <v/>
      </c>
      <c r="K5" s="240" t="n">
        <v>0.00063</v>
      </c>
      <c r="L5" s="177" t="n">
        <v>2.42</v>
      </c>
      <c r="M5" s="177" t="n">
        <v>0.0522</v>
      </c>
    </row>
    <row r="6" ht="22" customHeight="1">
      <c r="B6" s="245" t="inlineStr">
        <is>
          <t>BTC/USDT</t>
        </is>
      </c>
      <c r="C6" s="246" t="n">
        <v>0.25</v>
      </c>
      <c r="D6" s="183" t="n">
        <v>62000</v>
      </c>
      <c r="E6" s="247" t="n">
        <v>15500</v>
      </c>
      <c r="F6" s="246" t="n">
        <v>0.25</v>
      </c>
      <c r="G6" s="183" t="n">
        <v>64000</v>
      </c>
      <c r="H6" s="247" t="n">
        <v>16000</v>
      </c>
      <c r="I6" s="246">
        <f>IF(AND(AND(ISNUMBER(C6),ISNUMBER(F6),ISNUMBER(E6),ISNUMBER(H6)),C6&gt;0,F6&gt;0,E6&lt;&gt;0),ROUND(MIN(C6,F6)*(H6/F6-E6/C6),8),"")</f>
        <v/>
      </c>
      <c r="J6" s="247">
        <f>IF(AND(AND(ISNUMBER(C6),ISNUMBER(F6),ISNUMBER(E6),ISNUMBER(H6)),C6&gt;0,F6&gt;0,E6&lt;&gt;0),ROUND((H6/F6)/(E6/C6)*100-100,2),"")</f>
        <v/>
      </c>
      <c r="K6" s="246" t="n">
        <v>485</v>
      </c>
      <c r="L6" s="183" t="n">
        <v>3.13</v>
      </c>
      <c r="M6" s="183" t="n">
        <v>62155</v>
      </c>
    </row>
    <row r="7" ht="22" customHeight="1">
      <c r="B7" s="239" t="inlineStr">
        <is>
          <t>SOL/USDT</t>
        </is>
      </c>
      <c r="C7" s="240" t="n">
        <v>20</v>
      </c>
      <c r="D7" s="177" t="n">
        <v>145</v>
      </c>
      <c r="E7" s="241" t="n">
        <v>2900</v>
      </c>
      <c r="F7" s="240" t="n">
        <v>20</v>
      </c>
      <c r="G7" s="177" t="n">
        <v>139</v>
      </c>
      <c r="H7" s="241" t="n">
        <v>2780</v>
      </c>
      <c r="I7" s="240">
        <f>IF(AND(AND(ISNUMBER(C7),ISNUMBER(F7),ISNUMBER(E7),ISNUMBER(H7)),C7&gt;0,F7&gt;0,E7&lt;&gt;0),ROUND(MIN(C7,F7)*(H7/F7-E7/C7),8),"")</f>
        <v/>
      </c>
      <c r="J7" s="241">
        <f>IF(AND(AND(ISNUMBER(C7),ISNUMBER(F7),ISNUMBER(E7),ISNUMBER(H7)),C7&gt;0,F7&gt;0,E7&lt;&gt;0),ROUND((H7/F7)/(E7/C7)*100-100,2),"")</f>
        <v/>
      </c>
      <c r="K7" s="240" t="n">
        <v>-125</v>
      </c>
      <c r="L7" s="177" t="n">
        <v>-4.31</v>
      </c>
      <c r="M7" s="177" t="n">
        <v>145.3</v>
      </c>
    </row>
    <row r="8" ht="22" customHeight="1">
      <c r="B8" s="245" t="inlineStr">
        <is>
          <t>ETH/USDT</t>
        </is>
      </c>
      <c r="C8" s="246" t="n">
        <v>1.2</v>
      </c>
      <c r="D8" s="183" t="n">
        <v>3200</v>
      </c>
      <c r="E8" s="247" t="n">
        <v>3840</v>
      </c>
      <c r="F8" s="246" t="n">
        <v>1.2</v>
      </c>
      <c r="G8" s="183" t="n">
        <v>3350</v>
      </c>
      <c r="H8" s="247" t="n">
        <v>4020</v>
      </c>
      <c r="I8" s="246">
        <f>IF(AND(AND(ISNUMBER(C8),ISNUMBER(F8),ISNUMBER(E8),ISNUMBER(H8)),C8&gt;0,F8&gt;0,E8&lt;&gt;0),ROUND(MIN(C8,F8)*(H8/F8-E8/C8),8),"")</f>
        <v/>
      </c>
      <c r="J8" s="247">
        <f>IF(AND(AND(ISNUMBER(C8),ISNUMBER(F8),ISNUMBER(E8),ISNUMBER(H8)),C8&gt;0,F8&gt;0,E8&lt;&gt;0),ROUND((H8/F8)/(E8/C8)*100-100,2),"")</f>
        <v/>
      </c>
      <c r="K8" s="246" t="n">
        <v>175</v>
      </c>
      <c r="L8" s="183" t="n">
        <v>4.56</v>
      </c>
      <c r="M8" s="183" t="n">
        <v>3203.84</v>
      </c>
    </row>
    <row r="9" ht="22" customHeight="1">
      <c r="B9" s="239" t="inlineStr">
        <is>
          <t>BNB/USDT</t>
        </is>
      </c>
      <c r="C9" s="240" t="n">
        <v>5</v>
      </c>
      <c r="D9" s="177" t="n">
        <v>590</v>
      </c>
      <c r="E9" s="241" t="n">
        <v>2950</v>
      </c>
      <c r="F9" s="240" t="n">
        <v>5</v>
      </c>
      <c r="G9" s="177" t="n">
        <v>575</v>
      </c>
      <c r="H9" s="241" t="n">
        <v>2875</v>
      </c>
      <c r="I9" s="240">
        <f>IF(AND(AND(ISNUMBER(C9),ISNUMBER(F9),ISNUMBER(E9),ISNUMBER(H9)),C9&gt;0,F9&gt;0,E9&lt;&gt;0),ROUND(MIN(C9,F9)*(H9/F9-E9/C9),8),"")</f>
        <v/>
      </c>
      <c r="J9" s="241">
        <f>IF(AND(AND(ISNUMBER(C9),ISNUMBER(F9),ISNUMBER(E9),ISNUMBER(H9)),C9&gt;0,F9&gt;0,E9&lt;&gt;0),ROUND((H9/F9)/(E9/C9)*100-100,2),"")</f>
        <v/>
      </c>
      <c r="K9" s="240" t="n">
        <v>-80</v>
      </c>
      <c r="L9" s="177" t="n">
        <v>-2.71</v>
      </c>
      <c r="M9" s="177" t="n">
        <v>590.6</v>
      </c>
    </row>
    <row r="10" ht="22" customHeight="1">
      <c r="B10" s="245" t="inlineStr">
        <is>
          <t>BTC/USDT</t>
        </is>
      </c>
      <c r="C10" s="246" t="n">
        <v>0.1</v>
      </c>
      <c r="D10" s="183" t="n">
        <v>62500</v>
      </c>
      <c r="E10" s="247" t="n">
        <v>6250</v>
      </c>
      <c r="F10" s="246" t="n">
        <v>0.1</v>
      </c>
      <c r="G10" s="183" t="n">
        <v>63100</v>
      </c>
      <c r="H10" s="247" t="n">
        <v>6310</v>
      </c>
      <c r="I10" s="246">
        <f>IF(AND(AND(ISNUMBER(C10),ISNUMBER(F10),ISNUMBER(E10),ISNUMBER(H10)),C10&gt;0,F10&gt;0,E10&lt;&gt;0),ROUND(MIN(C10,F10)*(H10/F10-E10/C10),8),"")</f>
        <v/>
      </c>
      <c r="J10" s="247">
        <f>IF(AND(AND(ISNUMBER(C10),ISNUMBER(F10),ISNUMBER(E10),ISNUMBER(H10)),C10&gt;0,F10&gt;0,E10&lt;&gt;0),ROUND((H10/F10)/(E10/C10)*100-100,2),"")</f>
        <v/>
      </c>
      <c r="K10" s="246" t="n">
        <v>55</v>
      </c>
      <c r="L10" s="183" t="n">
        <v>0.88</v>
      </c>
      <c r="M10" s="183" t="n">
        <v>62512.5</v>
      </c>
    </row>
    <row r="11" ht="22" customHeight="1">
      <c r="B11" s="239" t="inlineStr">
        <is>
          <t>ETH/BTC</t>
        </is>
      </c>
      <c r="C11" s="240" t="n">
        <v>0.8</v>
      </c>
      <c r="D11" s="177" t="n">
        <v>0.0518</v>
      </c>
      <c r="E11" s="241" t="n">
        <v>0.04144</v>
      </c>
      <c r="F11" s="240" t="n">
        <v>0.8</v>
      </c>
      <c r="G11" s="177" t="n">
        <v>0.053</v>
      </c>
      <c r="H11" s="241" t="n">
        <v>0.0424</v>
      </c>
      <c r="I11" s="240">
        <f>IF(AND(AND(ISNUMBER(C11),ISNUMBER(F11),ISNUMBER(E11),ISNUMBER(H11)),C11&gt;0,F11&gt;0,E11&lt;&gt;0),ROUND(MIN(C11,F11)*(H11/F11-E11/C11),8),"")</f>
        <v/>
      </c>
      <c r="J11" s="241">
        <f>IF(AND(AND(ISNUMBER(C11),ISNUMBER(F11),ISNUMBER(E11),ISNUMBER(H11)),C11&gt;0,F11&gt;0,E11&lt;&gt;0),ROUND((H11/F11)/(E11/C11)*100-100,2),"")</f>
        <v/>
      </c>
      <c r="K11" s="240" t="n">
        <v>0.00092</v>
      </c>
      <c r="L11" s="177" t="n">
        <v>2.22</v>
      </c>
      <c r="M11" s="177" t="n">
        <v>0.05185</v>
      </c>
    </row>
    <row r="12" ht="22" customHeight="1">
      <c r="B12" s="245" t="inlineStr">
        <is>
          <t>SOL/USDT</t>
        </is>
      </c>
      <c r="C12" s="246" t="n">
        <v>15</v>
      </c>
      <c r="D12" s="183" t="n">
        <v>142</v>
      </c>
      <c r="E12" s="247" t="n">
        <v>2130</v>
      </c>
      <c r="F12" s="246" t="n">
        <v>15</v>
      </c>
      <c r="G12" s="183" t="n">
        <v>147</v>
      </c>
      <c r="H12" s="247" t="n">
        <v>2205</v>
      </c>
      <c r="I12" s="246">
        <f>IF(AND(AND(ISNUMBER(C12),ISNUMBER(F12),ISNUMBER(E12),ISNUMBER(H12)),C12&gt;0,F12&gt;0,E12&lt;&gt;0),ROUND(MIN(C12,F12)*(H12/F12-E12/C12),8),"")</f>
        <v/>
      </c>
      <c r="J12" s="247">
        <f>IF(AND(AND(ISNUMBER(C12),ISNUMBER(F12),ISNUMBER(E12),ISNUMBER(H12)),C12&gt;0,F12&gt;0,E12&lt;&gt;0),ROUND((H12/F12)/(E12/C12)*100-100,2),"")</f>
        <v/>
      </c>
      <c r="K12" s="246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</row>
    <row r="7" ht="22" customHeight="1">
      <c r="B7" s="206" t="inlineStr">
        <is>
          <t>OKX</t>
        </is>
      </c>
      <c r="C7" s="207" t="n"/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1">
    <mergeCell ref="B1:H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2026-10-06T09:19:25Z</dcterms:modified>
</cp:coreProperties>
</file>