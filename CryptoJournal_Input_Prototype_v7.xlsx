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'Пул'!$B$4:$K$300</definedName>
    <definedName name="_xlnm.Print_Area" localSheetId="5">'Пул'!$A$1:$K$13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9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</fills>
  <borders count="51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</borders>
  <cellStyleXfs count="1">
    <xf numFmtId="0" fontId="0" fillId="0" borderId="0"/>
  </cellStyleXfs>
  <cellXfs count="27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00" zoomScaleNormal="10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Buy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/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 (авто)</t>
        </is>
      </c>
      <c r="J8" s="211" t="str">
        <f>IF(AND(ISNUMBER(J7),ISNUMBER(J9),J7&lt;&gt;0),IF(J6="Buy",J9/(J7*(1+N(J19)/100)),IF(AND(J6="Sell",1-N(J19)/100&lt;&gt;0),J9/(J7*(1-N(J19)/100)),"")),"")</f>
        <v/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 t="str">
        <f>IF(AND(TRIM(B9)&lt;&gt;"",TRIM(C9)&lt;&gt;""),UPPER(TRIM(B9))&amp;"/"&amp;UPPER(TRIM(C9)),"")</f>
        <v>ETH/BTC</v>
      </c>
      <c r="E9" s="57" t="n"/>
      <c r="G9" s="3" t="inlineStr">
        <is>
          <t>Сумма (авто)</t>
        </is>
      </c>
      <c r="H9" s="211">
        <f>IF(AND(ISNUMBER(H7),ISNUMBER(H8),OR(H6="Buy",H6="Sell")),H7*H8*(1+IF(H6="Buy",1,-1)*N(J19)/100),"")</f>
        <v>31062</v>
      </c>
      <c r="I9" s="9" t="inlineStr">
        <is>
          <t>Сумма</t>
        </is>
      </c>
      <c r="J9" s="193" t="n"/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позиции</t>
        </is>
      </c>
      <c r="H10" s="194" t="inlineStr">
        <is>
          <t>T-0001</t>
        </is>
      </c>
      <c r="I10" s="9" t="inlineStr">
        <is>
          <t>ID позиции</t>
        </is>
      </c>
      <c r="J10" s="194" t="n"/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Кол-во закрыть</t>
        </is>
      </c>
      <c r="H11" s="225" t="n">
        <v>0.1</v>
      </c>
      <c r="I11" s="9" t="inlineStr">
        <is>
          <t>Кол-во закрыть</t>
        </is>
      </c>
      <c r="J11" s="225" t="n"/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/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n"/>
      <c r="I15" s="14" t="inlineStr">
        <is>
          <t>Кол-во 2</t>
        </is>
      </c>
      <c r="J15" s="193" t="n"/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>0.501002004008016</v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conditionalFormatting sqref="G5:H11">
    <cfRule type="expression" priority="1" dxfId="4">
      <formula>COUNTA($J$7,$J$9,$J$10,$J$11,$H$15,$J$14,$J$15)&gt;0</formula>
    </cfRule>
  </conditionalFormatting>
  <conditionalFormatting sqref="I5:J11">
    <cfRule type="expression" priority="2" dxfId="4">
      <formula>COUNTA($H$7,$H$8,$H$10,$H$11,$H$15,$J$14,$J$15)&gt;0</formula>
    </cfRule>
  </conditionalFormatting>
  <conditionalFormatting sqref="G13:J15">
    <cfRule type="expression" priority="3" dxfId="4">
      <formula>COUNTA($H$7,$H$8,$H$10,$H$11,$J$7,$J$9,$J$10,$J$11)&gt;0</formula>
    </cfRule>
  </conditionalFormatting>
  <dataValidations count="19">
    <dataValidation sqref="H14" showDropDown="0" showInputMessage="0" showErrorMessage="0" allowBlank="1" type="list">
      <formula1>"Добавить,Закрыть"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J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H7">
      <formula1>AND(AND(ISNUMBER(H7),H7&gt;0),COUNTA($J$7,$J$9,$J$10,$J$11,$H$15,$J$14,$J$15)=0)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H8">
      <formula1>AND(AND(ISNUMBER(H8),H8&gt;0),COUNTA($J$7,$J$9,$J$10,$J$11,$H$15,$J$14,$J$15)=0)</formula1>
    </dataValidation>
    <dataValidation type="custom" allowBlank="1" showErrorMessage="1" errorTitle="Один раздел" error="Введите ID в формате T-0001. Заполнять можно только один раздел: другой раздел уже заполнен, сначала очистите его." sqref="H10">
      <formula1>AND(IFERROR(AND(EXACT(LEFT(H10,2),"T-"),ISNUMBER(--MID(H10,3,20)),MID(H10,3,20)=TEXT(--MID(H10,3,20),"0000")),FALSE),COUNTA($J$7,$J$9,$J$10,$J$11,$H$15,$J$14,$J$15)=0)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H11">
      <formula1>AND(AND(ISNUMBER(H11),H11&gt;0),COUNTA($J$7,$J$9,$J$10,$J$11,$H$15,$J$14,$J$15)=0)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7">
      <formula1>AND(AND(ISNUMBER(J7),J7&gt;0),COUNTA($H$7,$H$8,$H$10,$H$11,$H$15,$J$14,$J$15)=0)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9">
      <formula1>AND(AND(ISNUMBER(J9),J9&gt;0),COUNTA($H$7,$H$8,$H$10,$H$11,$H$15,$J$14,$J$15)=0)</formula1>
    </dataValidation>
    <dataValidation type="custom" allowBlank="1" showErrorMessage="1" errorTitle="Один раздел" error="Введите ID в формате L-0001. Заполнять можно только один раздел: другой раздел уже заполнен, сначала очистите его." sqref="J10">
      <formula1>AND(IFERROR(AND(EXACT(LEFT(J10,2),"L-"),ISNUMBER(--MID(J10,3,20)),MID(J10,3,20)=TEXT(--MID(J10,3,20),"0000")),FALSE),COUNTA($H$7,$H$8,$H$10,$H$11,$H$15,$J$14,$J$15)=0)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11">
      <formula1>AND(AND(ISNUMBER(J11),J11&gt;0),COUNTA($H$7,$H$8,$H$10,$H$11,$H$15,$J$14,$J$15)=0)</formula1>
    </dataValidation>
    <dataValidation type="custom" allowBlank="1" showErrorMessage="1" errorTitle="Один раздел" error="Введите ID в формате P-0001. Заполнять можно только один раздел: другой раздел уже заполнен, сначала очистите его." sqref="H15">
      <formula1>AND(IFERROR(AND(EXACT(LEFT(H15,2),"P-"),ISNUMBER(--MID(H15,3,20)),MID(H15,3,20)=TEXT(--MID(H15,3,20),"0000")),FALSE),COUNTA($H$7,$H$8,$H$10,$H$11,$J$7,$J$9,$J$10,$J$11)=0)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14">
      <formula1>AND(AND(ISNUMBER(J14),J14&gt;0),COUNTA($H$7,$H$8,$H$10,$H$11,$J$7,$J$9,$J$10,$J$11)=0)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15">
      <formula1>AND(AND(ISNUMBER(J15),J15&gt;0),COUNTA($H$7,$H$8,$H$10,$H$11,$J$7,$J$9,$J$10,$J$11)=0)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IF(AND(ISNUMBER(F16),ISNUMBER(G16),F16&gt;0,1-N(Ввод!$J$19)/100&gt;0),G16/(1-N(Ввод!$J$19)/100),IF(AND(ISNUMBER(I16),ISNUMBER(J16),I16&gt;0),J16/(1+N(Ввод!$J$19)/100),""))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IF(AND(ISNUMBER(F17),ISNUMBER(G17),F17&gt;0,1-N(Ввод!$J$19)/100&gt;0),G17/(1-N(Ввод!$J$19)/100),IF(AND(ISNUMBER(I17),ISNUMBER(J17),I17&gt;0),J17/(1+N(Ввод!$J$19)/100),""))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IF(AND(ISNUMBER(F18),ISNUMBER(G18),F18&gt;0,1-N(Ввод!$J$19)/100&gt;0),G18/(1-N(Ввод!$J$19)/100),IF(AND(ISNUMBER(I18),ISNUMBER(J18),I18&gt;0),J18/(1+N(Ввод!$J$19)/100),""))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IF(AND(ISNUMBER(F19),ISNUMBER(G19),F19&gt;0,1-N(Ввод!$J$19)/100&gt;0),G19/(1-N(Ввод!$J$19)/100),IF(AND(ISNUMBER(I19),ISNUMBER(J19),I19&gt;0),J19/(1+N(Ввод!$J$19)/100),""))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IF(AND(ISNUMBER(F20),ISNUMBER(G20),F20&gt;0,1-N(Ввод!$J$19)/100&gt;0),G20/(1-N(Ввод!$J$19)/100),IF(AND(ISNUMBER(I20),ISNUMBER(J20),I20&gt;0),J20/(1+N(Ввод!$J$19)/100),""))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IF(AND(ISNUMBER(F21),ISNUMBER(G21),F21&gt;0,1-N(Ввод!$J$19)/100&gt;0),G21/(1-N(Ввод!$J$19)/100),IF(AND(ISNUMBER(I21),ISNUMBER(J21),I21&gt;0),J21/(1+N(Ввод!$J$19)/100),""))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IF(AND(ISNUMBER(F22),ISNUMBER(G22),F22&gt;0,1-N(Ввод!$J$19)/100&gt;0),G22/(1-N(Ввод!$J$19)/100),IF(AND(ISNUMBER(I22),ISNUMBER(J22),I22&gt;0),J22/(1+N(Ввод!$J$19)/100),""))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IF(AND(ISNUMBER(F23),ISNUMBER(G23),F23&gt;0,1-N(Ввод!$J$19)/100&gt;0),G23/(1-N(Ввод!$J$19)/100),IF(AND(ISNUMBER(I23),ISNUMBER(J23),I23&gt;0),J23/(1+N(Ввод!$J$19)/100),""))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IF(AND(ISNUMBER(F24),ISNUMBER(G24),F24&gt;0,1-N(Ввод!$J$19)/100&gt;0),G24/(1-N(Ввод!$J$19)/100),IF(AND(ISNUMBER(I24),ISNUMBER(J24),I24&gt;0),J24/(1+N(Ввод!$J$19)/100),""))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IF(AND(ISNUMBER(F25),ISNUMBER(G25),F25&gt;0,1-N(Ввод!$J$19)/100&gt;0),G25/(1-N(Ввод!$J$19)/100),IF(AND(ISNUMBER(I25),ISNUMBER(J25),I25&gt;0),J25/(1+N(Ввод!$J$19)/100),""))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IF(AND(ISNUMBER(F26),ISNUMBER(G26),F26&gt;0,1-N(Ввод!$J$19)/100&gt;0),G26/(1-N(Ввод!$J$19)/100),IF(AND(ISNUMBER(I26),ISNUMBER(J26),I26&gt;0),J26/(1+N(Ввод!$J$19)/100),""))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IF(AND(ISNUMBER(F27),ISNUMBER(G27),F27&gt;0,1-N(Ввод!$J$19)/100&gt;0),G27/(1-N(Ввод!$J$19)/100),IF(AND(ISNUMBER(I27),ISNUMBER(J27),I27&gt;0),J27/(1+N(Ввод!$J$19)/100),""))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IF(AND(ISNUMBER(F28),ISNUMBER(G28),F28&gt;0,1-N(Ввод!$J$19)/100&gt;0),G28/(1-N(Ввод!$J$19)/100),IF(AND(ISNUMBER(I28),ISNUMBER(J28),I28&gt;0),J28/(1+N(Ввод!$J$19)/100),""))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IF(AND(ISNUMBER(F29),ISNUMBER(G29),F29&gt;0,1-N(Ввод!$J$19)/100&gt;0),G29/(1-N(Ввод!$J$19)/100),IF(AND(ISNUMBER(I29),ISNUMBER(J29),I29&gt;0),J29/(1+N(Ввод!$J$19)/100),""))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IF(AND(ISNUMBER(F30),ISNUMBER(G30),F30&gt;0,1-N(Ввод!$J$19)/100&gt;0),G30/(1-N(Ввод!$J$19)/100),IF(AND(ISNUMBER(I30),ISNUMBER(J30),I30&gt;0),J30/(1+N(Ввод!$J$19)/100),""))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IF(AND(ISNUMBER(F31),ISNUMBER(G31),F31&gt;0,1-N(Ввод!$J$19)/100&gt;0),G31/(1-N(Ввод!$J$19)/100),IF(AND(ISNUMBER(I31),ISNUMBER(J31),I31&gt;0),J31/(1+N(Ввод!$J$19)/100),""))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IF(AND(ISNUMBER(F32),ISNUMBER(G32),F32&gt;0,1-N(Ввод!$J$19)/100&gt;0),G32/(1-N(Ввод!$J$19)/100),IF(AND(ISNUMBER(I32),ISNUMBER(J32),I32&gt;0),J32/(1+N(Ввод!$J$19)/100),""))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IF(AND(ISNUMBER(F33),ISNUMBER(G33),F33&gt;0,1-N(Ввод!$J$19)/100&gt;0),G33/(1-N(Ввод!$J$19)/100),IF(AND(ISNUMBER(I33),ISNUMBER(J33),I33&gt;0),J33/(1+N(Ввод!$J$19)/100),""))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IF(AND(ISNUMBER(F34),ISNUMBER(G34),F34&gt;0,1-N(Ввод!$J$19)/100&gt;0),G34/(1-N(Ввод!$J$19)/100),IF(AND(ISNUMBER(I34),ISNUMBER(J34),I34&gt;0),J34/(1+N(Ввод!$J$19)/100),""))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IF(AND(ISNUMBER(F35),ISNUMBER(G35),F35&gt;0,1-N(Ввод!$J$19)/100&gt;0),G35/(1-N(Ввод!$J$19)/100),IF(AND(ISNUMBER(I35),ISNUMBER(J35),I35&gt;0),J35/(1+N(Ввод!$J$19)/100),""))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IF(AND(ISNUMBER(F36),ISNUMBER(G36),F36&gt;0,1-N(Ввод!$J$19)/100&gt;0),G36/(1-N(Ввод!$J$19)/100),IF(AND(ISNUMBER(I36),ISNUMBER(J36),I36&gt;0),J36/(1+N(Ввод!$J$19)/100),""))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IF(AND(ISNUMBER(F37),ISNUMBER(G37),F37&gt;0,1-N(Ввод!$J$19)/100&gt;0),G37/(1-N(Ввод!$J$19)/100),IF(AND(ISNUMBER(I37),ISNUMBER(J37),I37&gt;0),J37/(1+N(Ввод!$J$19)/100),""))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IF(AND(ISNUMBER(F38),ISNUMBER(G38),F38&gt;0,1-N(Ввод!$J$19)/100&gt;0),G38/(1-N(Ввод!$J$19)/100),IF(AND(ISNUMBER(I38),ISNUMBER(J38),I38&gt;0),J38/(1+N(Ввод!$J$19)/100),""))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IF(AND(ISNUMBER(F39),ISNUMBER(G39),F39&gt;0,1-N(Ввод!$J$19)/100&gt;0),G39/(1-N(Ввод!$J$19)/100),IF(AND(ISNUMBER(I39),ISNUMBER(J39),I39&gt;0),J39/(1+N(Ввод!$J$19)/100),""))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IF(AND(ISNUMBER(F40),ISNUMBER(G40),F40&gt;0,1-N(Ввод!$J$19)/100&gt;0),G40/(1-N(Ввод!$J$19)/100),IF(AND(ISNUMBER(I40),ISNUMBER(J40),I40&gt;0),J40/(1+N(Ввод!$J$19)/100),""))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IF(AND(ISNUMBER(F41),ISNUMBER(G41),F41&gt;0,1-N(Ввод!$J$19)/100&gt;0),G41/(1-N(Ввод!$J$19)/100),IF(AND(ISNUMBER(I41),ISNUMBER(J41),I41&gt;0),J41/(1+N(Ввод!$J$19)/100),""))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IF(AND(ISNUMBER(F42),ISNUMBER(G42),F42&gt;0,1-N(Ввод!$J$19)/100&gt;0),G42/(1-N(Ввод!$J$19)/100),IF(AND(ISNUMBER(I42),ISNUMBER(J42),I42&gt;0),J42/(1+N(Ввод!$J$19)/100),""))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IF(AND(ISNUMBER(F43),ISNUMBER(G43),F43&gt;0,1-N(Ввод!$J$19)/100&gt;0),G43/(1-N(Ввод!$J$19)/100),IF(AND(ISNUMBER(I43),ISNUMBER(J43),I43&gt;0),J43/(1+N(Ввод!$J$19)/100),""))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IF(AND(ISNUMBER(F44),ISNUMBER(G44),F44&gt;0,1-N(Ввод!$J$19)/100&gt;0),G44/(1-N(Ввод!$J$19)/100),IF(AND(ISNUMBER(I44),ISNUMBER(J44),I44&gt;0),J44/(1+N(Ввод!$J$19)/100),""))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IF(AND(ISNUMBER(F45),ISNUMBER(G45),F45&gt;0,1-N(Ввод!$J$19)/100&gt;0),G45/(1-N(Ввод!$J$19)/100),IF(AND(ISNUMBER(I45),ISNUMBER(J45),I45&gt;0),J45/(1+N(Ввод!$J$19)/100),""))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IF(AND(ISNUMBER(F46),ISNUMBER(G46),F46&gt;0,1-N(Ввод!$J$19)/100&gt;0),G46/(1-N(Ввод!$J$19)/100),IF(AND(ISNUMBER(I46),ISNUMBER(J46),I46&gt;0),J46/(1+N(Ввод!$J$19)/100),""))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IF(AND(ISNUMBER(F47),ISNUMBER(G47),F47&gt;0,1-N(Ввод!$J$19)/100&gt;0),G47/(1-N(Ввод!$J$19)/100),IF(AND(ISNUMBER(I47),ISNUMBER(J47),I47&gt;0),J47/(1+N(Ввод!$J$19)/100),""))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IF(AND(ISNUMBER(F48),ISNUMBER(G48),F48&gt;0,1-N(Ввод!$J$19)/100&gt;0),G48/(1-N(Ввод!$J$19)/100),IF(AND(ISNUMBER(I48),ISNUMBER(J48),I48&gt;0),J48/(1+N(Ввод!$J$19)/100),""))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IF(AND(ISNUMBER(F49),ISNUMBER(G49),F49&gt;0,1-N(Ввод!$J$19)/100&gt;0),G49/(1-N(Ввод!$J$19)/100),IF(AND(ISNUMBER(I49),ISNUMBER(J49),I49&gt;0),J49/(1+N(Ввод!$J$19)/100),""))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IF(AND(ISNUMBER(F50),ISNUMBER(G50),F50&gt;0,1-N(Ввод!$J$19)/100&gt;0),G50/(1-N(Ввод!$J$19)/100),IF(AND(ISNUMBER(I50),ISNUMBER(J50),I50&gt;0),J50/(1+N(Ввод!$J$19)/100),""))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IF(AND(ISNUMBER(F51),ISNUMBER(G51),F51&gt;0,1-N(Ввод!$J$19)/100&gt;0),G51/(1-N(Ввод!$J$19)/100),IF(AND(ISNUMBER(I51),ISNUMBER(J51),I51&gt;0),J51/(1+N(Ввод!$J$19)/100),""))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IF(AND(ISNUMBER(F52),ISNUMBER(G52),F52&gt;0,1-N(Ввод!$J$19)/100&gt;0),G52/(1-N(Ввод!$J$19)/100),IF(AND(ISNUMBER(I52),ISNUMBER(J52),I52&gt;0),J52/(1+N(Ввод!$J$19)/100),""))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IF(AND(ISNUMBER(F53),ISNUMBER(G53),F53&gt;0,1-N(Ввод!$J$19)/100&gt;0),G53/(1-N(Ввод!$J$19)/100),IF(AND(ISNUMBER(I53),ISNUMBER(J53),I53&gt;0),J53/(1+N(Ввод!$J$19)/100),""))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IF(AND(ISNUMBER(F54),ISNUMBER(G54),F54&gt;0,1-N(Ввод!$J$19)/100&gt;0),G54/(1-N(Ввод!$J$19)/100),IF(AND(ISNUMBER(I54),ISNUMBER(J54),I54&gt;0),J54/(1+N(Ввод!$J$19)/100),""))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IF(AND(ISNUMBER(F55),ISNUMBER(G55),F55&gt;0,1-N(Ввод!$J$19)/100&gt;0),G55/(1-N(Ввод!$J$19)/100),IF(AND(ISNUMBER(I55),ISNUMBER(J55),I55&gt;0),J55/(1+N(Ввод!$J$19)/100),""))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IF(AND(ISNUMBER(F56),ISNUMBER(G56),F56&gt;0,1-N(Ввод!$J$19)/100&gt;0),G56/(1-N(Ввод!$J$19)/100),IF(AND(ISNUMBER(I56),ISNUMBER(J56),I56&gt;0),J56/(1+N(Ввод!$J$19)/100),""))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IF(AND(ISNUMBER(F57),ISNUMBER(G57),F57&gt;0,1-N(Ввод!$J$19)/100&gt;0),G57/(1-N(Ввод!$J$19)/100),IF(AND(ISNUMBER(I57),ISNUMBER(J57),I57&gt;0),J57/(1+N(Ввод!$J$19)/100),""))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IF(AND(ISNUMBER(F58),ISNUMBER(G58),F58&gt;0,1-N(Ввод!$J$19)/100&gt;0),G58/(1-N(Ввод!$J$19)/100),IF(AND(ISNUMBER(I58),ISNUMBER(J58),I58&gt;0),J58/(1+N(Ввод!$J$19)/100),""))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IF(AND(ISNUMBER(F59),ISNUMBER(G59),F59&gt;0,1-N(Ввод!$J$19)/100&gt;0),G59/(1-N(Ввод!$J$19)/100),IF(AND(ISNUMBER(I59),ISNUMBER(J59),I59&gt;0),J59/(1+N(Ввод!$J$19)/100),""))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IF(AND(ISNUMBER(F60),ISNUMBER(G60),F60&gt;0,1-N(Ввод!$J$19)/100&gt;0),G60/(1-N(Ввод!$J$19)/100),IF(AND(ISNUMBER(I60),ISNUMBER(J60),I60&gt;0),J60/(1+N(Ввод!$J$19)/100),""))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IF(AND(ISNUMBER(F61),ISNUMBER(G61),F61&gt;0,1-N(Ввод!$J$19)/100&gt;0),G61/(1-N(Ввод!$J$19)/100),IF(AND(ISNUMBER(I61),ISNUMBER(J61),I61&gt;0),J61/(1+N(Ввод!$J$19)/100),""))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IF(AND(ISNUMBER(F62),ISNUMBER(G62),F62&gt;0,1-N(Ввод!$J$19)/100&gt;0),G62/(1-N(Ввод!$J$19)/100),IF(AND(ISNUMBER(I62),ISNUMBER(J62),I62&gt;0),J62/(1+N(Ввод!$J$19)/100),""))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IF(AND(ISNUMBER(F63),ISNUMBER(G63),F63&gt;0,1-N(Ввод!$J$19)/100&gt;0),G63/(1-N(Ввод!$J$19)/100),IF(AND(ISNUMBER(I63),ISNUMBER(J63),I63&gt;0),J63/(1+N(Ввод!$J$19)/100),""))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IF(AND(ISNUMBER(F64),ISNUMBER(G64),F64&gt;0,1-N(Ввод!$J$19)/100&gt;0),G64/(1-N(Ввод!$J$19)/100),IF(AND(ISNUMBER(I64),ISNUMBER(J64),I64&gt;0),J64/(1+N(Ввод!$J$19)/100),""))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IF(AND(ISNUMBER(F65),ISNUMBER(G65),F65&gt;0,1-N(Ввод!$J$19)/100&gt;0),G65/(1-N(Ввод!$J$19)/100),IF(AND(ISNUMBER(I65),ISNUMBER(J65),I65&gt;0),J65/(1+N(Ввод!$J$19)/100),""))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IF(AND(ISNUMBER(F66),ISNUMBER(G66),F66&gt;0,1-N(Ввод!$J$19)/100&gt;0),G66/(1-N(Ввод!$J$19)/100),IF(AND(ISNUMBER(I66),ISNUMBER(J66),I66&gt;0),J66/(1+N(Ввод!$J$19)/100),""))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IF(AND(ISNUMBER(F67),ISNUMBER(G67),F67&gt;0,1-N(Ввод!$J$19)/100&gt;0),G67/(1-N(Ввод!$J$19)/100),IF(AND(ISNUMBER(I67),ISNUMBER(J67),I67&gt;0),J67/(1+N(Ввод!$J$19)/100),""))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IF(AND(ISNUMBER(F68),ISNUMBER(G68),F68&gt;0,1-N(Ввод!$J$19)/100&gt;0),G68/(1-N(Ввод!$J$19)/100),IF(AND(ISNUMBER(I68),ISNUMBER(J68),I68&gt;0),J68/(1+N(Ввод!$J$19)/100),""))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IF(AND(ISNUMBER(F69),ISNUMBER(G69),F69&gt;0,1-N(Ввод!$J$19)/100&gt;0),G69/(1-N(Ввод!$J$19)/100),IF(AND(ISNUMBER(I69),ISNUMBER(J69),I69&gt;0),J69/(1+N(Ввод!$J$19)/100),""))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IF(AND(ISNUMBER(F70),ISNUMBER(G70),F70&gt;0,1-N(Ввод!$J$19)/100&gt;0),G70/(1-N(Ввод!$J$19)/100),IF(AND(ISNUMBER(I70),ISNUMBER(J70),I70&gt;0),J70/(1+N(Ввод!$J$19)/100),""))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IF(AND(ISNUMBER(F71),ISNUMBER(G71),F71&gt;0,1-N(Ввод!$J$19)/100&gt;0),G71/(1-N(Ввод!$J$19)/100),IF(AND(ISNUMBER(I71),ISNUMBER(J71),I71&gt;0),J71/(1+N(Ввод!$J$19)/100),""))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IF(AND(ISNUMBER(F72),ISNUMBER(G72),F72&gt;0,1-N(Ввод!$J$19)/100&gt;0),G72/(1-N(Ввод!$J$19)/100),IF(AND(ISNUMBER(I72),ISNUMBER(J72),I72&gt;0),J72/(1+N(Ввод!$J$19)/100),""))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IF(AND(ISNUMBER(F73),ISNUMBER(G73),F73&gt;0,1-N(Ввод!$J$19)/100&gt;0),G73/(1-N(Ввод!$J$19)/100),IF(AND(ISNUMBER(I73),ISNUMBER(J73),I73&gt;0),J73/(1+N(Ввод!$J$19)/100),""))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IF(AND(ISNUMBER(F74),ISNUMBER(G74),F74&gt;0,1-N(Ввод!$J$19)/100&gt;0),G74/(1-N(Ввод!$J$19)/100),IF(AND(ISNUMBER(I74),ISNUMBER(J74),I74&gt;0),J74/(1+N(Ввод!$J$19)/100),""))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IF(AND(ISNUMBER(F75),ISNUMBER(G75),F75&gt;0,1-N(Ввод!$J$19)/100&gt;0),G75/(1-N(Ввод!$J$19)/100),IF(AND(ISNUMBER(I75),ISNUMBER(J75),I75&gt;0),J75/(1+N(Ввод!$J$19)/100),""))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IF(AND(ISNUMBER(F76),ISNUMBER(G76),F76&gt;0,1-N(Ввод!$J$19)/100&gt;0),G76/(1-N(Ввод!$J$19)/100),IF(AND(ISNUMBER(I76),ISNUMBER(J76),I76&gt;0),J76/(1+N(Ввод!$J$19)/100),""))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IF(AND(ISNUMBER(F77),ISNUMBER(G77),F77&gt;0,1-N(Ввод!$J$19)/100&gt;0),G77/(1-N(Ввод!$J$19)/100),IF(AND(ISNUMBER(I77),ISNUMBER(J77),I77&gt;0),J77/(1+N(Ввод!$J$19)/100),""))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IF(AND(ISNUMBER(F78),ISNUMBER(G78),F78&gt;0,1-N(Ввод!$J$19)/100&gt;0),G78/(1-N(Ввод!$J$19)/100),IF(AND(ISNUMBER(I78),ISNUMBER(J78),I78&gt;0),J78/(1+N(Ввод!$J$19)/100),""))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IF(AND(ISNUMBER(F79),ISNUMBER(G79),F79&gt;0,1-N(Ввод!$J$19)/100&gt;0),G79/(1-N(Ввод!$J$19)/100),IF(AND(ISNUMBER(I79),ISNUMBER(J79),I79&gt;0),J79/(1+N(Ввод!$J$19)/100),""))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IF(AND(ISNUMBER(F80),ISNUMBER(G80),F80&gt;0,1-N(Ввод!$J$19)/100&gt;0),G80/(1-N(Ввод!$J$19)/100),IF(AND(ISNUMBER(I80),ISNUMBER(J80),I80&gt;0),J80/(1+N(Ввод!$J$19)/100),""))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IF(AND(ISNUMBER(F81),ISNUMBER(G81),F81&gt;0,1-N(Ввод!$J$19)/100&gt;0),G81/(1-N(Ввод!$J$19)/100),IF(AND(ISNUMBER(I81),ISNUMBER(J81),I81&gt;0),J81/(1+N(Ввод!$J$19)/100),""))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IF(AND(ISNUMBER(F82),ISNUMBER(G82),F82&gt;0,1-N(Ввод!$J$19)/100&gt;0),G82/(1-N(Ввод!$J$19)/100),IF(AND(ISNUMBER(I82),ISNUMBER(J82),I82&gt;0),J82/(1+N(Ввод!$J$19)/100),""))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IF(AND(ISNUMBER(F83),ISNUMBER(G83),F83&gt;0,1-N(Ввод!$J$19)/100&gt;0),G83/(1-N(Ввод!$J$19)/100),IF(AND(ISNUMBER(I83),ISNUMBER(J83),I83&gt;0),J83/(1+N(Ввод!$J$19)/100),""))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IF(AND(ISNUMBER(F84),ISNUMBER(G84),F84&gt;0,1-N(Ввод!$J$19)/100&gt;0),G84/(1-N(Ввод!$J$19)/100),IF(AND(ISNUMBER(I84),ISNUMBER(J84),I84&gt;0),J84/(1+N(Ввод!$J$19)/100),""))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IF(AND(ISNUMBER(F85),ISNUMBER(G85),F85&gt;0,1-N(Ввод!$J$19)/100&gt;0),G85/(1-N(Ввод!$J$19)/100),IF(AND(ISNUMBER(I85),ISNUMBER(J85),I85&gt;0),J85/(1+N(Ввод!$J$19)/100),""))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IF(AND(ISNUMBER(F86),ISNUMBER(G86),F86&gt;0,1-N(Ввод!$J$19)/100&gt;0),G86/(1-N(Ввод!$J$19)/100),IF(AND(ISNUMBER(I86),ISNUMBER(J86),I86&gt;0),J86/(1+N(Ввод!$J$19)/100),""))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IF(AND(ISNUMBER(F87),ISNUMBER(G87),F87&gt;0,1-N(Ввод!$J$19)/100&gt;0),G87/(1-N(Ввод!$J$19)/100),IF(AND(ISNUMBER(I87),ISNUMBER(J87),I87&gt;0),J87/(1+N(Ввод!$J$19)/100),""))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IF(AND(ISNUMBER(F88),ISNUMBER(G88),F88&gt;0,1-N(Ввод!$J$19)/100&gt;0),G88/(1-N(Ввод!$J$19)/100),IF(AND(ISNUMBER(I88),ISNUMBER(J88),I88&gt;0),J88/(1+N(Ввод!$J$19)/100),""))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IF(AND(ISNUMBER(F89),ISNUMBER(G89),F89&gt;0,1-N(Ввод!$J$19)/100&gt;0),G89/(1-N(Ввод!$J$19)/100),IF(AND(ISNUMBER(I89),ISNUMBER(J89),I89&gt;0),J89/(1+N(Ввод!$J$19)/100),""))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IF(AND(ISNUMBER(F90),ISNUMBER(G90),F90&gt;0,1-N(Ввод!$J$19)/100&gt;0),G90/(1-N(Ввод!$J$19)/100),IF(AND(ISNUMBER(I90),ISNUMBER(J90),I90&gt;0),J90/(1+N(Ввод!$J$19)/100),""))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IF(AND(ISNUMBER(F91),ISNUMBER(G91),F91&gt;0,1-N(Ввод!$J$19)/100&gt;0),G91/(1-N(Ввод!$J$19)/100),IF(AND(ISNUMBER(I91),ISNUMBER(J91),I91&gt;0),J91/(1+N(Ввод!$J$19)/100),""))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IF(AND(ISNUMBER(F92),ISNUMBER(G92),F92&gt;0,1-N(Ввод!$J$19)/100&gt;0),G92/(1-N(Ввод!$J$19)/100),IF(AND(ISNUMBER(I92),ISNUMBER(J92),I92&gt;0),J92/(1+N(Ввод!$J$19)/100),""))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IF(AND(ISNUMBER(F93),ISNUMBER(G93),F93&gt;0,1-N(Ввод!$J$19)/100&gt;0),G93/(1-N(Ввод!$J$19)/100),IF(AND(ISNUMBER(I93),ISNUMBER(J93),I93&gt;0),J93/(1+N(Ввод!$J$19)/100),""))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IF(AND(ISNUMBER(F94),ISNUMBER(G94),F94&gt;0,1-N(Ввод!$J$19)/100&gt;0),G94/(1-N(Ввод!$J$19)/100),IF(AND(ISNUMBER(I94),ISNUMBER(J94),I94&gt;0),J94/(1+N(Ввод!$J$19)/100),""))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IF(AND(ISNUMBER(F95),ISNUMBER(G95),F95&gt;0,1-N(Ввод!$J$19)/100&gt;0),G95/(1-N(Ввод!$J$19)/100),IF(AND(ISNUMBER(I95),ISNUMBER(J95),I95&gt;0),J95/(1+N(Ввод!$J$19)/100),""))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IF(AND(ISNUMBER(F96),ISNUMBER(G96),F96&gt;0,1-N(Ввод!$J$19)/100&gt;0),G96/(1-N(Ввод!$J$19)/100),IF(AND(ISNUMBER(I96),ISNUMBER(J96),I96&gt;0),J96/(1+N(Ввод!$J$19)/100),""))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IF(AND(ISNUMBER(F97),ISNUMBER(G97),F97&gt;0,1-N(Ввод!$J$19)/100&gt;0),G97/(1-N(Ввод!$J$19)/100),IF(AND(ISNUMBER(I97),ISNUMBER(J97),I97&gt;0),J97/(1+N(Ввод!$J$19)/100),""))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IF(AND(ISNUMBER(F98),ISNUMBER(G98),F98&gt;0,1-N(Ввод!$J$19)/100&gt;0),G98/(1-N(Ввод!$J$19)/100),IF(AND(ISNUMBER(I98),ISNUMBER(J98),I98&gt;0),J98/(1+N(Ввод!$J$19)/100),""))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IF(AND(ISNUMBER(F99),ISNUMBER(G99),F99&gt;0,1-N(Ввод!$J$19)/100&gt;0),G99/(1-N(Ввод!$J$19)/100),IF(AND(ISNUMBER(I99),ISNUMBER(J99),I99&gt;0),J99/(1+N(Ввод!$J$19)/100),""))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IF(AND(ISNUMBER(F100),ISNUMBER(G100),F100&gt;0,1-N(Ввод!$J$19)/100&gt;0),G100/(1-N(Ввод!$J$19)/100),IF(AND(ISNUMBER(I100),ISNUMBER(J100),I100&gt;0),J100/(1+N(Ввод!$J$19)/100),""))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IF(AND(ISNUMBER(F101),ISNUMBER(G101),F101&gt;0,1-N(Ввод!$J$19)/100&gt;0),G101/(1-N(Ввод!$J$19)/100),IF(AND(ISNUMBER(I101),ISNUMBER(J101),I101&gt;0),J101/(1+N(Ввод!$J$19)/100),""))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IF(AND(ISNUMBER(F102),ISNUMBER(G102),F102&gt;0,1-N(Ввод!$J$19)/100&gt;0),G102/(1-N(Ввод!$J$19)/100),IF(AND(ISNUMBER(I102),ISNUMBER(J102),I102&gt;0),J102/(1+N(Ввод!$J$19)/100),""))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IF(AND(ISNUMBER(F103),ISNUMBER(G103),F103&gt;0,1-N(Ввод!$J$19)/100&gt;0),G103/(1-N(Ввод!$J$19)/100),IF(AND(ISNUMBER(I103),ISNUMBER(J103),I103&gt;0),J103/(1+N(Ввод!$J$19)/100),""))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IF(AND(ISNUMBER(F104),ISNUMBER(G104),F104&gt;0,1-N(Ввод!$J$19)/100&gt;0),G104/(1-N(Ввод!$J$19)/100),IF(AND(ISNUMBER(I104),ISNUMBER(J104),I104&gt;0),J104/(1+N(Ввод!$J$19)/100),""))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IF(AND(ISNUMBER(F105),ISNUMBER(G105),F105&gt;0,1-N(Ввод!$J$19)/100&gt;0),G105/(1-N(Ввод!$J$19)/100),IF(AND(ISNUMBER(I105),ISNUMBER(J105),I105&gt;0),J105/(1+N(Ввод!$J$19)/100),""))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IF(AND(ISNUMBER(F106),ISNUMBER(G106),F106&gt;0,1-N(Ввод!$J$19)/100&gt;0),G106/(1-N(Ввод!$J$19)/100),IF(AND(ISNUMBER(I106),ISNUMBER(J106),I106&gt;0),J106/(1+N(Ввод!$J$19)/100),""))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IF(AND(ISNUMBER(F107),ISNUMBER(G107),F107&gt;0,1-N(Ввод!$J$19)/100&gt;0),G107/(1-N(Ввод!$J$19)/100),IF(AND(ISNUMBER(I107),ISNUMBER(J107),I107&gt;0),J107/(1+N(Ввод!$J$19)/100),""))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IF(AND(ISNUMBER(F108),ISNUMBER(G108),F108&gt;0,1-N(Ввод!$J$19)/100&gt;0),G108/(1-N(Ввод!$J$19)/100),IF(AND(ISNUMBER(I108),ISNUMBER(J108),I108&gt;0),J108/(1+N(Ввод!$J$19)/100),""))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IF(AND(ISNUMBER(F109),ISNUMBER(G109),F109&gt;0,1-N(Ввод!$J$19)/100&gt;0),G109/(1-N(Ввод!$J$19)/100),IF(AND(ISNUMBER(I109),ISNUMBER(J109),I109&gt;0),J109/(1+N(Ввод!$J$19)/100),""))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IF(AND(ISNUMBER(F110),ISNUMBER(G110),F110&gt;0,1-N(Ввод!$J$19)/100&gt;0),G110/(1-N(Ввод!$J$19)/100),IF(AND(ISNUMBER(I110),ISNUMBER(J110),I110&gt;0),J110/(1+N(Ввод!$J$19)/100),""))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IF(AND(ISNUMBER(F111),ISNUMBER(G111),F111&gt;0,1-N(Ввод!$J$19)/100&gt;0),G111/(1-N(Ввод!$J$19)/100),IF(AND(ISNUMBER(I111),ISNUMBER(J111),I111&gt;0),J111/(1+N(Ввод!$J$19)/100),""))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IF(AND(ISNUMBER(F112),ISNUMBER(G112),F112&gt;0,1-N(Ввод!$J$19)/100&gt;0),G112/(1-N(Ввод!$J$19)/100),IF(AND(ISNUMBER(I112),ISNUMBER(J112),I112&gt;0),J112/(1+N(Ввод!$J$19)/100),""))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IF(AND(ISNUMBER(F113),ISNUMBER(G113),F113&gt;0,1-N(Ввод!$J$19)/100&gt;0),G113/(1-N(Ввод!$J$19)/100),IF(AND(ISNUMBER(I113),ISNUMBER(J113),I113&gt;0),J113/(1+N(Ввод!$J$19)/100),""))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IF(AND(ISNUMBER(F114),ISNUMBER(G114),F114&gt;0,1-N(Ввод!$J$19)/100&gt;0),G114/(1-N(Ввод!$J$19)/100),IF(AND(ISNUMBER(I114),ISNUMBER(J114),I114&gt;0),J114/(1+N(Ввод!$J$19)/100),""))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IF(AND(ISNUMBER(F115),ISNUMBER(G115),F115&gt;0,1-N(Ввод!$J$19)/100&gt;0),G115/(1-N(Ввод!$J$19)/100),IF(AND(ISNUMBER(I115),ISNUMBER(J115),I115&gt;0),J115/(1+N(Ввод!$J$19)/100),""))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IF(AND(ISNUMBER(F116),ISNUMBER(G116),F116&gt;0,1-N(Ввод!$J$19)/100&gt;0),G116/(1-N(Ввод!$J$19)/100),IF(AND(ISNUMBER(I116),ISNUMBER(J116),I116&gt;0),J116/(1+N(Ввод!$J$19)/100),""))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IF(AND(ISNUMBER(F117),ISNUMBER(G117),F117&gt;0,1-N(Ввод!$J$19)/100&gt;0),G117/(1-N(Ввод!$J$19)/100),IF(AND(ISNUMBER(I117),ISNUMBER(J117),I117&gt;0),J117/(1+N(Ввод!$J$19)/100),""))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IF(AND(ISNUMBER(F118),ISNUMBER(G118),F118&gt;0,1-N(Ввод!$J$19)/100&gt;0),G118/(1-N(Ввод!$J$19)/100),IF(AND(ISNUMBER(I118),ISNUMBER(J118),I118&gt;0),J118/(1+N(Ввод!$J$19)/100),""))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IF(AND(ISNUMBER(F119),ISNUMBER(G119),F119&gt;0,1-N(Ввод!$J$19)/100&gt;0),G119/(1-N(Ввод!$J$19)/100),IF(AND(ISNUMBER(I119),ISNUMBER(J119),I119&gt;0),J119/(1+N(Ввод!$J$19)/100),""))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IF(AND(ISNUMBER(F120),ISNUMBER(G120),F120&gt;0,1-N(Ввод!$J$19)/100&gt;0),G120/(1-N(Ввод!$J$19)/100),IF(AND(ISNUMBER(I120),ISNUMBER(J120),I120&gt;0),J120/(1+N(Ввод!$J$19)/100),""))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IF(AND(ISNUMBER(F121),ISNUMBER(G121),F121&gt;0,1-N(Ввод!$J$19)/100&gt;0),G121/(1-N(Ввод!$J$19)/100),IF(AND(ISNUMBER(I121),ISNUMBER(J121),I121&gt;0),J121/(1+N(Ввод!$J$19)/100),""))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IF(AND(ISNUMBER(F122),ISNUMBER(G122),F122&gt;0,1-N(Ввод!$J$19)/100&gt;0),G122/(1-N(Ввод!$J$19)/100),IF(AND(ISNUMBER(I122),ISNUMBER(J122),I122&gt;0),J122/(1+N(Ввод!$J$19)/100),""))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IF(AND(ISNUMBER(F123),ISNUMBER(G123),F123&gt;0,1-N(Ввод!$J$19)/100&gt;0),G123/(1-N(Ввод!$J$19)/100),IF(AND(ISNUMBER(I123),ISNUMBER(J123),I123&gt;0),J123/(1+N(Ввод!$J$19)/100),""))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IF(AND(ISNUMBER(F124),ISNUMBER(G124),F124&gt;0,1-N(Ввод!$J$19)/100&gt;0),G124/(1-N(Ввод!$J$19)/100),IF(AND(ISNUMBER(I124),ISNUMBER(J124),I124&gt;0),J124/(1+N(Ввод!$J$19)/100),""))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IF(AND(ISNUMBER(F125),ISNUMBER(G125),F125&gt;0,1-N(Ввод!$J$19)/100&gt;0),G125/(1-N(Ввод!$J$19)/100),IF(AND(ISNUMBER(I125),ISNUMBER(J125),I125&gt;0),J125/(1+N(Ввод!$J$19)/100),""))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IF(AND(ISNUMBER(F126),ISNUMBER(G126),F126&gt;0,1-N(Ввод!$J$19)/100&gt;0),G126/(1-N(Ввод!$J$19)/100),IF(AND(ISNUMBER(I126),ISNUMBER(J126),I126&gt;0),J126/(1+N(Ввод!$J$19)/100),""))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IF(AND(ISNUMBER(F127),ISNUMBER(G127),F127&gt;0,1-N(Ввод!$J$19)/100&gt;0),G127/(1-N(Ввод!$J$19)/100),IF(AND(ISNUMBER(I127),ISNUMBER(J127),I127&gt;0),J127/(1+N(Ввод!$J$19)/100),""))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IF(AND(ISNUMBER(F128),ISNUMBER(G128),F128&gt;0,1-N(Ввод!$J$19)/100&gt;0),G128/(1-N(Ввод!$J$19)/100),IF(AND(ISNUMBER(I128),ISNUMBER(J128),I128&gt;0),J128/(1+N(Ввод!$J$19)/100),""))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IF(AND(ISNUMBER(F129),ISNUMBER(G129),F129&gt;0,1-N(Ввод!$J$19)/100&gt;0),G129/(1-N(Ввод!$J$19)/100),IF(AND(ISNUMBER(I129),ISNUMBER(J129),I129&gt;0),J129/(1+N(Ввод!$J$19)/100),""))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IF(AND(ISNUMBER(F130),ISNUMBER(G130),F130&gt;0,1-N(Ввод!$J$19)/100&gt;0),G130/(1-N(Ввод!$J$19)/100),IF(AND(ISNUMBER(I130),ISNUMBER(J130),I130&gt;0),J130/(1+N(Ввод!$J$19)/100),""))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IF(AND(ISNUMBER(F131),ISNUMBER(G131),F131&gt;0,1-N(Ввод!$J$19)/100&gt;0),G131/(1-N(Ввод!$J$19)/100),IF(AND(ISNUMBER(I131),ISNUMBER(J131),I131&gt;0),J131/(1+N(Ввод!$J$19)/100),""))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IF(AND(ISNUMBER(F132),ISNUMBER(G132),F132&gt;0,1-N(Ввод!$J$19)/100&gt;0),G132/(1-N(Ввод!$J$19)/100),IF(AND(ISNUMBER(I132),ISNUMBER(J132),I132&gt;0),J132/(1+N(Ввод!$J$19)/100),""))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IF(AND(ISNUMBER(F133),ISNUMBER(G133),F133&gt;0,1-N(Ввод!$J$19)/100&gt;0),G133/(1-N(Ввод!$J$19)/100),IF(AND(ISNUMBER(I133),ISNUMBER(J133),I133&gt;0),J133/(1+N(Ввод!$J$19)/100),""))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IF(AND(ISNUMBER(F134),ISNUMBER(G134),F134&gt;0,1-N(Ввод!$J$19)/100&gt;0),G134/(1-N(Ввод!$J$19)/100),IF(AND(ISNUMBER(I134),ISNUMBER(J134),I134&gt;0),J134/(1+N(Ввод!$J$19)/100),""))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IF(AND(ISNUMBER(F135),ISNUMBER(G135),F135&gt;0,1-N(Ввод!$J$19)/100&gt;0),G135/(1-N(Ввод!$J$19)/100),IF(AND(ISNUMBER(I135),ISNUMBER(J135),I135&gt;0),J135/(1+N(Ввод!$J$19)/100),""))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IF(AND(ISNUMBER(F136),ISNUMBER(G136),F136&gt;0,1-N(Ввод!$J$19)/100&gt;0),G136/(1-N(Ввод!$J$19)/100),IF(AND(ISNUMBER(I136),ISNUMBER(J136),I136&gt;0),J136/(1+N(Ввод!$J$19)/100),""))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IF(AND(ISNUMBER(F137),ISNUMBER(G137),F137&gt;0,1-N(Ввод!$J$19)/100&gt;0),G137/(1-N(Ввод!$J$19)/100),IF(AND(ISNUMBER(I137),ISNUMBER(J137),I137&gt;0),J137/(1+N(Ввод!$J$19)/100),""))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IF(AND(ISNUMBER(F138),ISNUMBER(G138),F138&gt;0,1-N(Ввод!$J$19)/100&gt;0),G138/(1-N(Ввод!$J$19)/100),IF(AND(ISNUMBER(I138),ISNUMBER(J138),I138&gt;0),J138/(1+N(Ввод!$J$19)/100),""))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IF(AND(ISNUMBER(F139),ISNUMBER(G139),F139&gt;0,1-N(Ввод!$J$19)/100&gt;0),G139/(1-N(Ввод!$J$19)/100),IF(AND(ISNUMBER(I139),ISNUMBER(J139),I139&gt;0),J139/(1+N(Ввод!$J$19)/100),""))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IF(AND(ISNUMBER(F140),ISNUMBER(G140),F140&gt;0,1-N(Ввод!$J$19)/100&gt;0),G140/(1-N(Ввод!$J$19)/100),IF(AND(ISNUMBER(I140),ISNUMBER(J140),I140&gt;0),J140/(1+N(Ввод!$J$19)/100),""))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IF(AND(ISNUMBER(F141),ISNUMBER(G141),F141&gt;0,1-N(Ввод!$J$19)/100&gt;0),G141/(1-N(Ввод!$J$19)/100),IF(AND(ISNUMBER(I141),ISNUMBER(J141),I141&gt;0),J141/(1+N(Ввод!$J$19)/100),""))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IF(AND(ISNUMBER(F142),ISNUMBER(G142),F142&gt;0,1-N(Ввод!$J$19)/100&gt;0),G142/(1-N(Ввод!$J$19)/100),IF(AND(ISNUMBER(I142),ISNUMBER(J142),I142&gt;0),J142/(1+N(Ввод!$J$19)/100),""))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IF(AND(ISNUMBER(F143),ISNUMBER(G143),F143&gt;0,1-N(Ввод!$J$19)/100&gt;0),G143/(1-N(Ввод!$J$19)/100),IF(AND(ISNUMBER(I143),ISNUMBER(J143),I143&gt;0),J143/(1+N(Ввод!$J$19)/100),""))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IF(AND(ISNUMBER(F144),ISNUMBER(G144),F144&gt;0,1-N(Ввод!$J$19)/100&gt;0),G144/(1-N(Ввод!$J$19)/100),IF(AND(ISNUMBER(I144),ISNUMBER(J144),I144&gt;0),J144/(1+N(Ввод!$J$19)/100),""))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IF(AND(ISNUMBER(F145),ISNUMBER(G145),F145&gt;0,1-N(Ввод!$J$19)/100&gt;0),G145/(1-N(Ввод!$J$19)/100),IF(AND(ISNUMBER(I145),ISNUMBER(J145),I145&gt;0),J145/(1+N(Ввод!$J$19)/100),""))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IF(AND(ISNUMBER(F146),ISNUMBER(G146),F146&gt;0,1-N(Ввод!$J$19)/100&gt;0),G146/(1-N(Ввод!$J$19)/100),IF(AND(ISNUMBER(I146),ISNUMBER(J146),I146&gt;0),J146/(1+N(Ввод!$J$19)/100),""))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IF(AND(ISNUMBER(F147),ISNUMBER(G147),F147&gt;0,1-N(Ввод!$J$19)/100&gt;0),G147/(1-N(Ввод!$J$19)/100),IF(AND(ISNUMBER(I147),ISNUMBER(J147),I147&gt;0),J147/(1+N(Ввод!$J$19)/100),""))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IF(AND(ISNUMBER(F148),ISNUMBER(G148),F148&gt;0,1-N(Ввод!$J$19)/100&gt;0),G148/(1-N(Ввод!$J$19)/100),IF(AND(ISNUMBER(I148),ISNUMBER(J148),I148&gt;0),J148/(1+N(Ввод!$J$19)/100),""))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IF(AND(ISNUMBER(F149),ISNUMBER(G149),F149&gt;0,1-N(Ввод!$J$19)/100&gt;0),G149/(1-N(Ввод!$J$19)/100),IF(AND(ISNUMBER(I149),ISNUMBER(J149),I149&gt;0),J149/(1+N(Ввод!$J$19)/100),""))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IF(AND(ISNUMBER(F150),ISNUMBER(G150),F150&gt;0,1-N(Ввод!$J$19)/100&gt;0),G150/(1-N(Ввод!$J$19)/100),IF(AND(ISNUMBER(I150),ISNUMBER(J150),I150&gt;0),J150/(1+N(Ввод!$J$19)/100),""))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IF(AND(ISNUMBER(F151),ISNUMBER(G151),F151&gt;0,1-N(Ввод!$J$19)/100&gt;0),G151/(1-N(Ввод!$J$19)/100),IF(AND(ISNUMBER(I151),ISNUMBER(J151),I151&gt;0),J151/(1+N(Ввод!$J$19)/100),""))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IF(AND(ISNUMBER(F152),ISNUMBER(G152),F152&gt;0,1-N(Ввод!$J$19)/100&gt;0),G152/(1-N(Ввод!$J$19)/100),IF(AND(ISNUMBER(I152),ISNUMBER(J152),I152&gt;0),J152/(1+N(Ввод!$J$19)/100),""))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IF(AND(ISNUMBER(F153),ISNUMBER(G153),F153&gt;0,1-N(Ввод!$J$19)/100&gt;0),G153/(1-N(Ввод!$J$19)/100),IF(AND(ISNUMBER(I153),ISNUMBER(J153),I153&gt;0),J153/(1+N(Ввод!$J$19)/100),""))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IF(AND(ISNUMBER(F154),ISNUMBER(G154),F154&gt;0,1-N(Ввод!$J$19)/100&gt;0),G154/(1-N(Ввод!$J$19)/100),IF(AND(ISNUMBER(I154),ISNUMBER(J154),I154&gt;0),J154/(1+N(Ввод!$J$19)/100),""))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IF(AND(ISNUMBER(F155),ISNUMBER(G155),F155&gt;0,1-N(Ввод!$J$19)/100&gt;0),G155/(1-N(Ввод!$J$19)/100),IF(AND(ISNUMBER(I155),ISNUMBER(J155),I155&gt;0),J155/(1+N(Ввод!$J$19)/100),""))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IF(AND(ISNUMBER(F156),ISNUMBER(G156),F156&gt;0,1-N(Ввод!$J$19)/100&gt;0),G156/(1-N(Ввод!$J$19)/100),IF(AND(ISNUMBER(I156),ISNUMBER(J156),I156&gt;0),J156/(1+N(Ввод!$J$19)/100),""))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IF(AND(ISNUMBER(F157),ISNUMBER(G157),F157&gt;0,1-N(Ввод!$J$19)/100&gt;0),G157/(1-N(Ввод!$J$19)/100),IF(AND(ISNUMBER(I157),ISNUMBER(J157),I157&gt;0),J157/(1+N(Ввод!$J$19)/100),""))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IF(AND(ISNUMBER(F158),ISNUMBER(G158),F158&gt;0,1-N(Ввод!$J$19)/100&gt;0),G158/(1-N(Ввод!$J$19)/100),IF(AND(ISNUMBER(I158),ISNUMBER(J158),I158&gt;0),J158/(1+N(Ввод!$J$19)/100),""))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IF(AND(ISNUMBER(F159),ISNUMBER(G159),F159&gt;0,1-N(Ввод!$J$19)/100&gt;0),G159/(1-N(Ввод!$J$19)/100),IF(AND(ISNUMBER(I159),ISNUMBER(J159),I159&gt;0),J159/(1+N(Ввод!$J$19)/100),""))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IF(AND(ISNUMBER(F160),ISNUMBER(G160),F160&gt;0,1-N(Ввод!$J$19)/100&gt;0),G160/(1-N(Ввод!$J$19)/100),IF(AND(ISNUMBER(I160),ISNUMBER(J160),I160&gt;0),J160/(1+N(Ввод!$J$19)/100),""))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IF(AND(ISNUMBER(F161),ISNUMBER(G161),F161&gt;0,1-N(Ввод!$J$19)/100&gt;0),G161/(1-N(Ввод!$J$19)/100),IF(AND(ISNUMBER(I161),ISNUMBER(J161),I161&gt;0),J161/(1+N(Ввод!$J$19)/100),""))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IF(AND(ISNUMBER(F162),ISNUMBER(G162),F162&gt;0,1-N(Ввод!$J$19)/100&gt;0),G162/(1-N(Ввод!$J$19)/100),IF(AND(ISNUMBER(I162),ISNUMBER(J162),I162&gt;0),J162/(1+N(Ввод!$J$19)/100),""))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IF(AND(ISNUMBER(F163),ISNUMBER(G163),F163&gt;0,1-N(Ввод!$J$19)/100&gt;0),G163/(1-N(Ввод!$J$19)/100),IF(AND(ISNUMBER(I163),ISNUMBER(J163),I163&gt;0),J163/(1+N(Ввод!$J$19)/100),""))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IF(AND(ISNUMBER(F164),ISNUMBER(G164),F164&gt;0,1-N(Ввод!$J$19)/100&gt;0),G164/(1-N(Ввод!$J$19)/100),IF(AND(ISNUMBER(I164),ISNUMBER(J164),I164&gt;0),J164/(1+N(Ввод!$J$19)/100),""))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IF(AND(ISNUMBER(F165),ISNUMBER(G165),F165&gt;0,1-N(Ввод!$J$19)/100&gt;0),G165/(1-N(Ввод!$J$19)/100),IF(AND(ISNUMBER(I165),ISNUMBER(J165),I165&gt;0),J165/(1+N(Ввод!$J$19)/100),""))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IF(AND(ISNUMBER(F166),ISNUMBER(G166),F166&gt;0,1-N(Ввод!$J$19)/100&gt;0),G166/(1-N(Ввод!$J$19)/100),IF(AND(ISNUMBER(I166),ISNUMBER(J166),I166&gt;0),J166/(1+N(Ввод!$J$19)/100),""))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IF(AND(ISNUMBER(F167),ISNUMBER(G167),F167&gt;0,1-N(Ввод!$J$19)/100&gt;0),G167/(1-N(Ввод!$J$19)/100),IF(AND(ISNUMBER(I167),ISNUMBER(J167),I167&gt;0),J167/(1+N(Ввод!$J$19)/100),""))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IF(AND(ISNUMBER(F168),ISNUMBER(G168),F168&gt;0,1-N(Ввод!$J$19)/100&gt;0),G168/(1-N(Ввод!$J$19)/100),IF(AND(ISNUMBER(I168),ISNUMBER(J168),I168&gt;0),J168/(1+N(Ввод!$J$19)/100),""))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IF(AND(ISNUMBER(F169),ISNUMBER(G169),F169&gt;0,1-N(Ввод!$J$19)/100&gt;0),G169/(1-N(Ввод!$J$19)/100),IF(AND(ISNUMBER(I169),ISNUMBER(J169),I169&gt;0),J169/(1+N(Ввод!$J$19)/100),""))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IF(AND(ISNUMBER(F170),ISNUMBER(G170),F170&gt;0,1-N(Ввод!$J$19)/100&gt;0),G170/(1-N(Ввод!$J$19)/100),IF(AND(ISNUMBER(I170),ISNUMBER(J170),I170&gt;0),J170/(1+N(Ввод!$J$19)/100),""))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IF(AND(ISNUMBER(F171),ISNUMBER(G171),F171&gt;0,1-N(Ввод!$J$19)/100&gt;0),G171/(1-N(Ввод!$J$19)/100),IF(AND(ISNUMBER(I171),ISNUMBER(J171),I171&gt;0),J171/(1+N(Ввод!$J$19)/100),""))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IF(AND(ISNUMBER(F172),ISNUMBER(G172),F172&gt;0,1-N(Ввод!$J$19)/100&gt;0),G172/(1-N(Ввод!$J$19)/100),IF(AND(ISNUMBER(I172),ISNUMBER(J172),I172&gt;0),J172/(1+N(Ввод!$J$19)/100),""))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IF(AND(ISNUMBER(F173),ISNUMBER(G173),F173&gt;0,1-N(Ввод!$J$19)/100&gt;0),G173/(1-N(Ввод!$J$19)/100),IF(AND(ISNUMBER(I173),ISNUMBER(J173),I173&gt;0),J173/(1+N(Ввод!$J$19)/100),""))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IF(AND(ISNUMBER(F174),ISNUMBER(G174),F174&gt;0,1-N(Ввод!$J$19)/100&gt;0),G174/(1-N(Ввод!$J$19)/100),IF(AND(ISNUMBER(I174),ISNUMBER(J174),I174&gt;0),J174/(1+N(Ввод!$J$19)/100),""))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IF(AND(ISNUMBER(F175),ISNUMBER(G175),F175&gt;0,1-N(Ввод!$J$19)/100&gt;0),G175/(1-N(Ввод!$J$19)/100),IF(AND(ISNUMBER(I175),ISNUMBER(J175),I175&gt;0),J175/(1+N(Ввод!$J$19)/100),""))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IF(AND(ISNUMBER(F176),ISNUMBER(G176),F176&gt;0,1-N(Ввод!$J$19)/100&gt;0),G176/(1-N(Ввод!$J$19)/100),IF(AND(ISNUMBER(I176),ISNUMBER(J176),I176&gt;0),J176/(1+N(Ввод!$J$19)/100),""))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IF(AND(ISNUMBER(F177),ISNUMBER(G177),F177&gt;0,1-N(Ввод!$J$19)/100&gt;0),G177/(1-N(Ввод!$J$19)/100),IF(AND(ISNUMBER(I177),ISNUMBER(J177),I177&gt;0),J177/(1+N(Ввод!$J$19)/100),""))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IF(AND(ISNUMBER(F178),ISNUMBER(G178),F178&gt;0,1-N(Ввод!$J$19)/100&gt;0),G178/(1-N(Ввод!$J$19)/100),IF(AND(ISNUMBER(I178),ISNUMBER(J178),I178&gt;0),J178/(1+N(Ввод!$J$19)/100),""))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IF(AND(ISNUMBER(F179),ISNUMBER(G179),F179&gt;0,1-N(Ввод!$J$19)/100&gt;0),G179/(1-N(Ввод!$J$19)/100),IF(AND(ISNUMBER(I179),ISNUMBER(J179),I179&gt;0),J179/(1+N(Ввод!$J$19)/100),""))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IF(AND(ISNUMBER(F180),ISNUMBER(G180),F180&gt;0,1-N(Ввод!$J$19)/100&gt;0),G180/(1-N(Ввод!$J$19)/100),IF(AND(ISNUMBER(I180),ISNUMBER(J180),I180&gt;0),J180/(1+N(Ввод!$J$19)/100),""))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IF(AND(ISNUMBER(F181),ISNUMBER(G181),F181&gt;0,1-N(Ввод!$J$19)/100&gt;0),G181/(1-N(Ввод!$J$19)/100),IF(AND(ISNUMBER(I181),ISNUMBER(J181),I181&gt;0),J181/(1+N(Ввод!$J$19)/100),""))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IF(AND(ISNUMBER(F182),ISNUMBER(G182),F182&gt;0,1-N(Ввод!$J$19)/100&gt;0),G182/(1-N(Ввод!$J$19)/100),IF(AND(ISNUMBER(I182),ISNUMBER(J182),I182&gt;0),J182/(1+N(Ввод!$J$19)/100),""))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IF(AND(ISNUMBER(F183),ISNUMBER(G183),F183&gt;0,1-N(Ввод!$J$19)/100&gt;0),G183/(1-N(Ввод!$J$19)/100),IF(AND(ISNUMBER(I183),ISNUMBER(J183),I183&gt;0),J183/(1+N(Ввод!$J$19)/100),""))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IF(AND(ISNUMBER(F184),ISNUMBER(G184),F184&gt;0,1-N(Ввод!$J$19)/100&gt;0),G184/(1-N(Ввод!$J$19)/100),IF(AND(ISNUMBER(I184),ISNUMBER(J184),I184&gt;0),J184/(1+N(Ввод!$J$19)/100),""))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IF(AND(ISNUMBER(F185),ISNUMBER(G185),F185&gt;0,1-N(Ввод!$J$19)/100&gt;0),G185/(1-N(Ввод!$J$19)/100),IF(AND(ISNUMBER(I185),ISNUMBER(J185),I185&gt;0),J185/(1+N(Ввод!$J$19)/100),""))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IF(AND(ISNUMBER(F186),ISNUMBER(G186),F186&gt;0,1-N(Ввод!$J$19)/100&gt;0),G186/(1-N(Ввод!$J$19)/100),IF(AND(ISNUMBER(I186),ISNUMBER(J186),I186&gt;0),J186/(1+N(Ввод!$J$19)/100),""))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IF(AND(ISNUMBER(F187),ISNUMBER(G187),F187&gt;0,1-N(Ввод!$J$19)/100&gt;0),G187/(1-N(Ввод!$J$19)/100),IF(AND(ISNUMBER(I187),ISNUMBER(J187),I187&gt;0),J187/(1+N(Ввод!$J$19)/100),""))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IF(AND(ISNUMBER(F188),ISNUMBER(G188),F188&gt;0,1-N(Ввод!$J$19)/100&gt;0),G188/(1-N(Ввод!$J$19)/100),IF(AND(ISNUMBER(I188),ISNUMBER(J188),I188&gt;0),J188/(1+N(Ввод!$J$19)/100),""))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IF(AND(ISNUMBER(F189),ISNUMBER(G189),F189&gt;0,1-N(Ввод!$J$19)/100&gt;0),G189/(1-N(Ввод!$J$19)/100),IF(AND(ISNUMBER(I189),ISNUMBER(J189),I189&gt;0),J189/(1+N(Ввод!$J$19)/100),""))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IF(AND(ISNUMBER(F190),ISNUMBER(G190),F190&gt;0,1-N(Ввод!$J$19)/100&gt;0),G190/(1-N(Ввод!$J$19)/100),IF(AND(ISNUMBER(I190),ISNUMBER(J190),I190&gt;0),J190/(1+N(Ввод!$J$19)/100),""))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IF(AND(ISNUMBER(F191),ISNUMBER(G191),F191&gt;0,1-N(Ввод!$J$19)/100&gt;0),G191/(1-N(Ввод!$J$19)/100),IF(AND(ISNUMBER(I191),ISNUMBER(J191),I191&gt;0),J191/(1+N(Ввод!$J$19)/100),""))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IF(AND(ISNUMBER(F192),ISNUMBER(G192),F192&gt;0,1-N(Ввод!$J$19)/100&gt;0),G192/(1-N(Ввод!$J$19)/100),IF(AND(ISNUMBER(I192),ISNUMBER(J192),I192&gt;0),J192/(1+N(Ввод!$J$19)/100),""))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IF(AND(ISNUMBER(F193),ISNUMBER(G193),F193&gt;0,1-N(Ввод!$J$19)/100&gt;0),G193/(1-N(Ввод!$J$19)/100),IF(AND(ISNUMBER(I193),ISNUMBER(J193),I193&gt;0),J193/(1+N(Ввод!$J$19)/100),""))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IF(AND(ISNUMBER(F194),ISNUMBER(G194),F194&gt;0,1-N(Ввод!$J$19)/100&gt;0),G194/(1-N(Ввод!$J$19)/100),IF(AND(ISNUMBER(I194),ISNUMBER(J194),I194&gt;0),J194/(1+N(Ввод!$J$19)/100),""))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IF(AND(ISNUMBER(F195),ISNUMBER(G195),F195&gt;0,1-N(Ввод!$J$19)/100&gt;0),G195/(1-N(Ввод!$J$19)/100),IF(AND(ISNUMBER(I195),ISNUMBER(J195),I195&gt;0),J195/(1+N(Ввод!$J$19)/100),""))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IF(AND(ISNUMBER(F196),ISNUMBER(G196),F196&gt;0,1-N(Ввод!$J$19)/100&gt;0),G196/(1-N(Ввод!$J$19)/100),IF(AND(ISNUMBER(I196),ISNUMBER(J196),I196&gt;0),J196/(1+N(Ввод!$J$19)/100),""))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IF(AND(ISNUMBER(F197),ISNUMBER(G197),F197&gt;0,1-N(Ввод!$J$19)/100&gt;0),G197/(1-N(Ввод!$J$19)/100),IF(AND(ISNUMBER(I197),ISNUMBER(J197),I197&gt;0),J197/(1+N(Ввод!$J$19)/100),""))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IF(AND(ISNUMBER(F198),ISNUMBER(G198),F198&gt;0,1-N(Ввод!$J$19)/100&gt;0),G198/(1-N(Ввод!$J$19)/100),IF(AND(ISNUMBER(I198),ISNUMBER(J198),I198&gt;0),J198/(1+N(Ввод!$J$19)/100),""))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IF(AND(ISNUMBER(F199),ISNUMBER(G199),F199&gt;0,1-N(Ввод!$J$19)/100&gt;0),G199/(1-N(Ввод!$J$19)/100),IF(AND(ISNUMBER(I199),ISNUMBER(J199),I199&gt;0),J199/(1+N(Ввод!$J$19)/100),""))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IF(AND(ISNUMBER(F200),ISNUMBER(G200),F200&gt;0,1-N(Ввод!$J$19)/100&gt;0),G200/(1-N(Ввод!$J$19)/100),IF(AND(ISNUMBER(I200),ISNUMBER(J200),I200&gt;0),J200/(1+N(Ввод!$J$19)/100),""))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IF(AND(ISNUMBER(F201),ISNUMBER(G201),F201&gt;0,1-N(Ввод!$J$19)/100&gt;0),G201/(1-N(Ввод!$J$19)/100),IF(AND(ISNUMBER(I201),ISNUMBER(J201),I201&gt;0),J201/(1+N(Ввод!$J$19)/100),""))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IF(AND(ISNUMBER(F202),ISNUMBER(G202),F202&gt;0,1-N(Ввод!$J$19)/100&gt;0),G202/(1-N(Ввод!$J$19)/100),IF(AND(ISNUMBER(I202),ISNUMBER(J202),I202&gt;0),J202/(1+N(Ввод!$J$19)/100),""))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IF(AND(ISNUMBER(F203),ISNUMBER(G203),F203&gt;0,1-N(Ввод!$J$19)/100&gt;0),G203/(1-N(Ввод!$J$19)/100),IF(AND(ISNUMBER(I203),ISNUMBER(J203),I203&gt;0),J203/(1+N(Ввод!$J$19)/100),""))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IF(AND(ISNUMBER(F204),ISNUMBER(G204),F204&gt;0,1-N(Ввод!$J$19)/100&gt;0),G204/(1-N(Ввод!$J$19)/100),IF(AND(ISNUMBER(I204),ISNUMBER(J204),I204&gt;0),J204/(1+N(Ввод!$J$19)/100),""))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IF(AND(ISNUMBER(F205),ISNUMBER(G205),F205&gt;0,1-N(Ввод!$J$19)/100&gt;0),G205/(1-N(Ввод!$J$19)/100),IF(AND(ISNUMBER(I205),ISNUMBER(J205),I205&gt;0),J205/(1+N(Ввод!$J$19)/100),""))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IF(AND(ISNUMBER(F206),ISNUMBER(G206),F206&gt;0,1-N(Ввод!$J$19)/100&gt;0),G206/(1-N(Ввод!$J$19)/100),IF(AND(ISNUMBER(I206),ISNUMBER(J206),I206&gt;0),J206/(1+N(Ввод!$J$19)/100),""))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IF(AND(ISNUMBER(F207),ISNUMBER(G207),F207&gt;0,1-N(Ввод!$J$19)/100&gt;0),G207/(1-N(Ввод!$J$19)/100),IF(AND(ISNUMBER(I207),ISNUMBER(J207),I207&gt;0),J207/(1+N(Ввод!$J$19)/100),""))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IF(AND(ISNUMBER(F208),ISNUMBER(G208),F208&gt;0,1-N(Ввод!$J$19)/100&gt;0),G208/(1-N(Ввод!$J$19)/100),IF(AND(ISNUMBER(I208),ISNUMBER(J208),I208&gt;0),J208/(1+N(Ввод!$J$19)/100),""))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IF(AND(ISNUMBER(F209),ISNUMBER(G209),F209&gt;0,1-N(Ввод!$J$19)/100&gt;0),G209/(1-N(Ввод!$J$19)/100),IF(AND(ISNUMBER(I209),ISNUMBER(J209),I209&gt;0),J209/(1+N(Ввод!$J$19)/100),""))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IF(AND(ISNUMBER(F210),ISNUMBER(G210),F210&gt;0,1-N(Ввод!$J$19)/100&gt;0),G210/(1-N(Ввод!$J$19)/100),IF(AND(ISNUMBER(I210),ISNUMBER(J210),I210&gt;0),J210/(1+N(Ввод!$J$19)/100),""))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IF(AND(ISNUMBER(F211),ISNUMBER(G211),F211&gt;0,1-N(Ввод!$J$19)/100&gt;0),G211/(1-N(Ввод!$J$19)/100),IF(AND(ISNUMBER(I211),ISNUMBER(J211),I211&gt;0),J211/(1+N(Ввод!$J$19)/100),""))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IF(AND(ISNUMBER(F212),ISNUMBER(G212),F212&gt;0,1-N(Ввод!$J$19)/100&gt;0),G212/(1-N(Ввод!$J$19)/100),IF(AND(ISNUMBER(I212),ISNUMBER(J212),I212&gt;0),J212/(1+N(Ввод!$J$19)/100),""))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IF(AND(ISNUMBER(F213),ISNUMBER(G213),F213&gt;0,1-N(Ввод!$J$19)/100&gt;0),G213/(1-N(Ввод!$J$19)/100),IF(AND(ISNUMBER(I213),ISNUMBER(J213),I213&gt;0),J213/(1+N(Ввод!$J$19)/100),""))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IF(AND(ISNUMBER(F214),ISNUMBER(G214),F214&gt;0,1-N(Ввод!$J$19)/100&gt;0),G214/(1-N(Ввод!$J$19)/100),IF(AND(ISNUMBER(I214),ISNUMBER(J214),I214&gt;0),J214/(1+N(Ввод!$J$19)/100),""))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IF(AND(ISNUMBER(F215),ISNUMBER(G215),F215&gt;0,1-N(Ввод!$J$19)/100&gt;0),G215/(1-N(Ввод!$J$19)/100),IF(AND(ISNUMBER(I215),ISNUMBER(J215),I215&gt;0),J215/(1+N(Ввод!$J$19)/100),""))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IF(AND(ISNUMBER(F216),ISNUMBER(G216),F216&gt;0,1-N(Ввод!$J$19)/100&gt;0),G216/(1-N(Ввод!$J$19)/100),IF(AND(ISNUMBER(I216),ISNUMBER(J216),I216&gt;0),J216/(1+N(Ввод!$J$19)/100),""))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IF(AND(ISNUMBER(F217),ISNUMBER(G217),F217&gt;0,1-N(Ввод!$J$19)/100&gt;0),G217/(1-N(Ввод!$J$19)/100),IF(AND(ISNUMBER(I217),ISNUMBER(J217),I217&gt;0),J217/(1+N(Ввод!$J$19)/100),""))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IF(AND(ISNUMBER(F218),ISNUMBER(G218),F218&gt;0,1-N(Ввод!$J$19)/100&gt;0),G218/(1-N(Ввод!$J$19)/100),IF(AND(ISNUMBER(I218),ISNUMBER(J218),I218&gt;0),J218/(1+N(Ввод!$J$19)/100),""))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IF(AND(ISNUMBER(F219),ISNUMBER(G219),F219&gt;0,1-N(Ввод!$J$19)/100&gt;0),G219/(1-N(Ввод!$J$19)/100),IF(AND(ISNUMBER(I219),ISNUMBER(J219),I219&gt;0),J219/(1+N(Ввод!$J$19)/100),""))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IF(AND(ISNUMBER(F220),ISNUMBER(G220),F220&gt;0,1-N(Ввод!$J$19)/100&gt;0),G220/(1-N(Ввод!$J$19)/100),IF(AND(ISNUMBER(I220),ISNUMBER(J220),I220&gt;0),J220/(1+N(Ввод!$J$19)/100),""))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IF(AND(ISNUMBER(F221),ISNUMBER(G221),F221&gt;0,1-N(Ввод!$J$19)/100&gt;0),G221/(1-N(Ввод!$J$19)/100),IF(AND(ISNUMBER(I221),ISNUMBER(J221),I221&gt;0),J221/(1+N(Ввод!$J$19)/100),""))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IF(AND(ISNUMBER(F222),ISNUMBER(G222),F222&gt;0,1-N(Ввод!$J$19)/100&gt;0),G222/(1-N(Ввод!$J$19)/100),IF(AND(ISNUMBER(I222),ISNUMBER(J222),I222&gt;0),J222/(1+N(Ввод!$J$19)/100),""))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IF(AND(ISNUMBER(F223),ISNUMBER(G223),F223&gt;0,1-N(Ввод!$J$19)/100&gt;0),G223/(1-N(Ввод!$J$19)/100),IF(AND(ISNUMBER(I223),ISNUMBER(J223),I223&gt;0),J223/(1+N(Ввод!$J$19)/100),""))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IF(AND(ISNUMBER(F224),ISNUMBER(G224),F224&gt;0,1-N(Ввод!$J$19)/100&gt;0),G224/(1-N(Ввод!$J$19)/100),IF(AND(ISNUMBER(I224),ISNUMBER(J224),I224&gt;0),J224/(1+N(Ввод!$J$19)/100),""))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IF(AND(ISNUMBER(F225),ISNUMBER(G225),F225&gt;0,1-N(Ввод!$J$19)/100&gt;0),G225/(1-N(Ввод!$J$19)/100),IF(AND(ISNUMBER(I225),ISNUMBER(J225),I225&gt;0),J225/(1+N(Ввод!$J$19)/100),""))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IF(AND(ISNUMBER(F226),ISNUMBER(G226),F226&gt;0,1-N(Ввод!$J$19)/100&gt;0),G226/(1-N(Ввод!$J$19)/100),IF(AND(ISNUMBER(I226),ISNUMBER(J226),I226&gt;0),J226/(1+N(Ввод!$J$19)/100),""))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IF(AND(ISNUMBER(F227),ISNUMBER(G227),F227&gt;0,1-N(Ввод!$J$19)/100&gt;0),G227/(1-N(Ввод!$J$19)/100),IF(AND(ISNUMBER(I227),ISNUMBER(J227),I227&gt;0),J227/(1+N(Ввод!$J$19)/100),""))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IF(AND(ISNUMBER(F228),ISNUMBER(G228),F228&gt;0,1-N(Ввод!$J$19)/100&gt;0),G228/(1-N(Ввод!$J$19)/100),IF(AND(ISNUMBER(I228),ISNUMBER(J228),I228&gt;0),J228/(1+N(Ввод!$J$19)/100),""))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IF(AND(ISNUMBER(F229),ISNUMBER(G229),F229&gt;0,1-N(Ввод!$J$19)/100&gt;0),G229/(1-N(Ввод!$J$19)/100),IF(AND(ISNUMBER(I229),ISNUMBER(J229),I229&gt;0),J229/(1+N(Ввод!$J$19)/100),""))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IF(AND(ISNUMBER(F230),ISNUMBER(G230),F230&gt;0,1-N(Ввод!$J$19)/100&gt;0),G230/(1-N(Ввод!$J$19)/100),IF(AND(ISNUMBER(I230),ISNUMBER(J230),I230&gt;0),J230/(1+N(Ввод!$J$19)/100),""))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IF(AND(ISNUMBER(F231),ISNUMBER(G231),F231&gt;0,1-N(Ввод!$J$19)/100&gt;0),G231/(1-N(Ввод!$J$19)/100),IF(AND(ISNUMBER(I231),ISNUMBER(J231),I231&gt;0),J231/(1+N(Ввод!$J$19)/100),""))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IF(AND(ISNUMBER(F232),ISNUMBER(G232),F232&gt;0,1-N(Ввод!$J$19)/100&gt;0),G232/(1-N(Ввод!$J$19)/100),IF(AND(ISNUMBER(I232),ISNUMBER(J232),I232&gt;0),J232/(1+N(Ввод!$J$19)/100),""))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IF(AND(ISNUMBER(F233),ISNUMBER(G233),F233&gt;0,1-N(Ввод!$J$19)/100&gt;0),G233/(1-N(Ввод!$J$19)/100),IF(AND(ISNUMBER(I233),ISNUMBER(J233),I233&gt;0),J233/(1+N(Ввод!$J$19)/100),""))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IF(AND(ISNUMBER(F234),ISNUMBER(G234),F234&gt;0,1-N(Ввод!$J$19)/100&gt;0),G234/(1-N(Ввод!$J$19)/100),IF(AND(ISNUMBER(I234),ISNUMBER(J234),I234&gt;0),J234/(1+N(Ввод!$J$19)/100),""))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IF(AND(ISNUMBER(F235),ISNUMBER(G235),F235&gt;0,1-N(Ввод!$J$19)/100&gt;0),G235/(1-N(Ввод!$J$19)/100),IF(AND(ISNUMBER(I235),ISNUMBER(J235),I235&gt;0),J235/(1+N(Ввод!$J$19)/100),""))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IF(AND(ISNUMBER(F236),ISNUMBER(G236),F236&gt;0,1-N(Ввод!$J$19)/100&gt;0),G236/(1-N(Ввод!$J$19)/100),IF(AND(ISNUMBER(I236),ISNUMBER(J236),I236&gt;0),J236/(1+N(Ввод!$J$19)/100),""))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IF(AND(ISNUMBER(F237),ISNUMBER(G237),F237&gt;0,1-N(Ввод!$J$19)/100&gt;0),G237/(1-N(Ввод!$J$19)/100),IF(AND(ISNUMBER(I237),ISNUMBER(J237),I237&gt;0),J237/(1+N(Ввод!$J$19)/100),""))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IF(AND(ISNUMBER(F238),ISNUMBER(G238),F238&gt;0,1-N(Ввод!$J$19)/100&gt;0),G238/(1-N(Ввод!$J$19)/100),IF(AND(ISNUMBER(I238),ISNUMBER(J238),I238&gt;0),J238/(1+N(Ввод!$J$19)/100),""))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IF(AND(ISNUMBER(F239),ISNUMBER(G239),F239&gt;0,1-N(Ввод!$J$19)/100&gt;0),G239/(1-N(Ввод!$J$19)/100),IF(AND(ISNUMBER(I239),ISNUMBER(J239),I239&gt;0),J239/(1+N(Ввод!$J$19)/100),""))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IF(AND(ISNUMBER(F240),ISNUMBER(G240),F240&gt;0,1-N(Ввод!$J$19)/100&gt;0),G240/(1-N(Ввод!$J$19)/100),IF(AND(ISNUMBER(I240),ISNUMBER(J240),I240&gt;0),J240/(1+N(Ввод!$J$19)/100),""))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IF(AND(ISNUMBER(F241),ISNUMBER(G241),F241&gt;0,1-N(Ввод!$J$19)/100&gt;0),G241/(1-N(Ввод!$J$19)/100),IF(AND(ISNUMBER(I241),ISNUMBER(J241),I241&gt;0),J241/(1+N(Ввод!$J$19)/100),""))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IF(AND(ISNUMBER(F242),ISNUMBER(G242),F242&gt;0,1-N(Ввод!$J$19)/100&gt;0),G242/(1-N(Ввод!$J$19)/100),IF(AND(ISNUMBER(I242),ISNUMBER(J242),I242&gt;0),J242/(1+N(Ввод!$J$19)/100),""))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IF(AND(ISNUMBER(F243),ISNUMBER(G243),F243&gt;0,1-N(Ввод!$J$19)/100&gt;0),G243/(1-N(Ввод!$J$19)/100),IF(AND(ISNUMBER(I243),ISNUMBER(J243),I243&gt;0),J243/(1+N(Ввод!$J$19)/100),""))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IF(AND(ISNUMBER(F244),ISNUMBER(G244),F244&gt;0,1-N(Ввод!$J$19)/100&gt;0),G244/(1-N(Ввод!$J$19)/100),IF(AND(ISNUMBER(I244),ISNUMBER(J244),I244&gt;0),J244/(1+N(Ввод!$J$19)/100),""))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IF(AND(ISNUMBER(F245),ISNUMBER(G245),F245&gt;0,1-N(Ввод!$J$19)/100&gt;0),G245/(1-N(Ввод!$J$19)/100),IF(AND(ISNUMBER(I245),ISNUMBER(J245),I245&gt;0),J245/(1+N(Ввод!$J$19)/100),""))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IF(AND(ISNUMBER(F246),ISNUMBER(G246),F246&gt;0,1-N(Ввод!$J$19)/100&gt;0),G246/(1-N(Ввод!$J$19)/100),IF(AND(ISNUMBER(I246),ISNUMBER(J246),I246&gt;0),J246/(1+N(Ввод!$J$19)/100),""))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IF(AND(ISNUMBER(F247),ISNUMBER(G247),F247&gt;0,1-N(Ввод!$J$19)/100&gt;0),G247/(1-N(Ввод!$J$19)/100),IF(AND(ISNUMBER(I247),ISNUMBER(J247),I247&gt;0),J247/(1+N(Ввод!$J$19)/100),""))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IF(AND(ISNUMBER(F248),ISNUMBER(G248),F248&gt;0,1-N(Ввод!$J$19)/100&gt;0),G248/(1-N(Ввод!$J$19)/100),IF(AND(ISNUMBER(I248),ISNUMBER(J248),I248&gt;0),J248/(1+N(Ввод!$J$19)/100),""))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IF(AND(ISNUMBER(F249),ISNUMBER(G249),F249&gt;0,1-N(Ввод!$J$19)/100&gt;0),G249/(1-N(Ввод!$J$19)/100),IF(AND(ISNUMBER(I249),ISNUMBER(J249),I249&gt;0),J249/(1+N(Ввод!$J$19)/100),""))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IF(AND(ISNUMBER(F250),ISNUMBER(G250),F250&gt;0,1-N(Ввод!$J$19)/100&gt;0),G250/(1-N(Ввод!$J$19)/100),IF(AND(ISNUMBER(I250),ISNUMBER(J250),I250&gt;0),J250/(1+N(Ввод!$J$19)/100),""))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IF(AND(ISNUMBER(F251),ISNUMBER(G251),F251&gt;0,1-N(Ввод!$J$19)/100&gt;0),G251/(1-N(Ввод!$J$19)/100),IF(AND(ISNUMBER(I251),ISNUMBER(J251),I251&gt;0),J251/(1+N(Ввод!$J$19)/100),""))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IF(AND(ISNUMBER(F252),ISNUMBER(G252),F252&gt;0,1-N(Ввод!$J$19)/100&gt;0),G252/(1-N(Ввод!$J$19)/100),IF(AND(ISNUMBER(I252),ISNUMBER(J252),I252&gt;0),J252/(1+N(Ввод!$J$19)/100),""))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IF(AND(ISNUMBER(F253),ISNUMBER(G253),F253&gt;0,1-N(Ввод!$J$19)/100&gt;0),G253/(1-N(Ввод!$J$19)/100),IF(AND(ISNUMBER(I253),ISNUMBER(J253),I253&gt;0),J253/(1+N(Ввод!$J$19)/100),""))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IF(AND(ISNUMBER(F254),ISNUMBER(G254),F254&gt;0,1-N(Ввод!$J$19)/100&gt;0),G254/(1-N(Ввод!$J$19)/100),IF(AND(ISNUMBER(I254),ISNUMBER(J254),I254&gt;0),J254/(1+N(Ввод!$J$19)/100),""))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IF(AND(ISNUMBER(F255),ISNUMBER(G255),F255&gt;0,1-N(Ввод!$J$19)/100&gt;0),G255/(1-N(Ввод!$J$19)/100),IF(AND(ISNUMBER(I255),ISNUMBER(J255),I255&gt;0),J255/(1+N(Ввод!$J$19)/100),""))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IF(AND(ISNUMBER(F256),ISNUMBER(G256),F256&gt;0,1-N(Ввод!$J$19)/100&gt;0),G256/(1-N(Ввод!$J$19)/100),IF(AND(ISNUMBER(I256),ISNUMBER(J256),I256&gt;0),J256/(1+N(Ввод!$J$19)/100),""))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IF(AND(ISNUMBER(F257),ISNUMBER(G257),F257&gt;0,1-N(Ввод!$J$19)/100&gt;0),G257/(1-N(Ввод!$J$19)/100),IF(AND(ISNUMBER(I257),ISNUMBER(J257),I257&gt;0),J257/(1+N(Ввод!$J$19)/100),""))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IF(AND(ISNUMBER(F258),ISNUMBER(G258),F258&gt;0,1-N(Ввод!$J$19)/100&gt;0),G258/(1-N(Ввод!$J$19)/100),IF(AND(ISNUMBER(I258),ISNUMBER(J258),I258&gt;0),J258/(1+N(Ввод!$J$19)/100),""))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IF(AND(ISNUMBER(F259),ISNUMBER(G259),F259&gt;0,1-N(Ввод!$J$19)/100&gt;0),G259/(1-N(Ввод!$J$19)/100),IF(AND(ISNUMBER(I259),ISNUMBER(J259),I259&gt;0),J259/(1+N(Ввод!$J$19)/100),""))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IF(AND(ISNUMBER(F260),ISNUMBER(G260),F260&gt;0,1-N(Ввод!$J$19)/100&gt;0),G260/(1-N(Ввод!$J$19)/100),IF(AND(ISNUMBER(I260),ISNUMBER(J260),I260&gt;0),J260/(1+N(Ввод!$J$19)/100),""))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IF(AND(ISNUMBER(F261),ISNUMBER(G261),F261&gt;0,1-N(Ввод!$J$19)/100&gt;0),G261/(1-N(Ввод!$J$19)/100),IF(AND(ISNUMBER(I261),ISNUMBER(J261),I261&gt;0),J261/(1+N(Ввод!$J$19)/100),""))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IF(AND(ISNUMBER(F262),ISNUMBER(G262),F262&gt;0,1-N(Ввод!$J$19)/100&gt;0),G262/(1-N(Ввод!$J$19)/100),IF(AND(ISNUMBER(I262),ISNUMBER(J262),I262&gt;0),J262/(1+N(Ввод!$J$19)/100),""))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IF(AND(ISNUMBER(F263),ISNUMBER(G263),F263&gt;0,1-N(Ввод!$J$19)/100&gt;0),G263/(1-N(Ввод!$J$19)/100),IF(AND(ISNUMBER(I263),ISNUMBER(J263),I263&gt;0),J263/(1+N(Ввод!$J$19)/100),""))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IF(AND(ISNUMBER(F264),ISNUMBER(G264),F264&gt;0,1-N(Ввод!$J$19)/100&gt;0),G264/(1-N(Ввод!$J$19)/100),IF(AND(ISNUMBER(I264),ISNUMBER(J264),I264&gt;0),J264/(1+N(Ввод!$J$19)/100),""))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IF(AND(ISNUMBER(F265),ISNUMBER(G265),F265&gt;0,1-N(Ввод!$J$19)/100&gt;0),G265/(1-N(Ввод!$J$19)/100),IF(AND(ISNUMBER(I265),ISNUMBER(J265),I265&gt;0),J265/(1+N(Ввод!$J$19)/100),""))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IF(AND(ISNUMBER(F266),ISNUMBER(G266),F266&gt;0,1-N(Ввод!$J$19)/100&gt;0),G266/(1-N(Ввод!$J$19)/100),IF(AND(ISNUMBER(I266),ISNUMBER(J266),I266&gt;0),J266/(1+N(Ввод!$J$19)/100),""))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IF(AND(ISNUMBER(F267),ISNUMBER(G267),F267&gt;0,1-N(Ввод!$J$19)/100&gt;0),G267/(1-N(Ввод!$J$19)/100),IF(AND(ISNUMBER(I267),ISNUMBER(J267),I267&gt;0),J267/(1+N(Ввод!$J$19)/100),""))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IF(AND(ISNUMBER(F268),ISNUMBER(G268),F268&gt;0,1-N(Ввод!$J$19)/100&gt;0),G268/(1-N(Ввод!$J$19)/100),IF(AND(ISNUMBER(I268),ISNUMBER(J268),I268&gt;0),J268/(1+N(Ввод!$J$19)/100),""))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IF(AND(ISNUMBER(F269),ISNUMBER(G269),F269&gt;0,1-N(Ввод!$J$19)/100&gt;0),G269/(1-N(Ввод!$J$19)/100),IF(AND(ISNUMBER(I269),ISNUMBER(J269),I269&gt;0),J269/(1+N(Ввод!$J$19)/100),""))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IF(AND(ISNUMBER(F270),ISNUMBER(G270),F270&gt;0,1-N(Ввод!$J$19)/100&gt;0),G270/(1-N(Ввод!$J$19)/100),IF(AND(ISNUMBER(I270),ISNUMBER(J270),I270&gt;0),J270/(1+N(Ввод!$J$19)/100),""))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IF(AND(ISNUMBER(F271),ISNUMBER(G271),F271&gt;0,1-N(Ввод!$J$19)/100&gt;0),G271/(1-N(Ввод!$J$19)/100),IF(AND(ISNUMBER(I271),ISNUMBER(J271),I271&gt;0),J271/(1+N(Ввод!$J$19)/100),""))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IF(AND(ISNUMBER(F272),ISNUMBER(G272),F272&gt;0,1-N(Ввод!$J$19)/100&gt;0),G272/(1-N(Ввод!$J$19)/100),IF(AND(ISNUMBER(I272),ISNUMBER(J272),I272&gt;0),J272/(1+N(Ввод!$J$19)/100),""))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IF(AND(ISNUMBER(F273),ISNUMBER(G273),F273&gt;0,1-N(Ввод!$J$19)/100&gt;0),G273/(1-N(Ввод!$J$19)/100),IF(AND(ISNUMBER(I273),ISNUMBER(J273),I273&gt;0),J273/(1+N(Ввод!$J$19)/100),""))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IF(AND(ISNUMBER(F274),ISNUMBER(G274),F274&gt;0,1-N(Ввод!$J$19)/100&gt;0),G274/(1-N(Ввод!$J$19)/100),IF(AND(ISNUMBER(I274),ISNUMBER(J274),I274&gt;0),J274/(1+N(Ввод!$J$19)/100),""))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IF(AND(ISNUMBER(F275),ISNUMBER(G275),F275&gt;0,1-N(Ввод!$J$19)/100&gt;0),G275/(1-N(Ввод!$J$19)/100),IF(AND(ISNUMBER(I275),ISNUMBER(J275),I275&gt;0),J275/(1+N(Ввод!$J$19)/100),""))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IF(AND(ISNUMBER(F276),ISNUMBER(G276),F276&gt;0,1-N(Ввод!$J$19)/100&gt;0),G276/(1-N(Ввод!$J$19)/100),IF(AND(ISNUMBER(I276),ISNUMBER(J276),I276&gt;0),J276/(1+N(Ввод!$J$19)/100),""))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IF(AND(ISNUMBER(F277),ISNUMBER(G277),F277&gt;0,1-N(Ввод!$J$19)/100&gt;0),G277/(1-N(Ввод!$J$19)/100),IF(AND(ISNUMBER(I277),ISNUMBER(J277),I277&gt;0),J277/(1+N(Ввод!$J$19)/100),""))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IF(AND(ISNUMBER(F278),ISNUMBER(G278),F278&gt;0,1-N(Ввод!$J$19)/100&gt;0),G278/(1-N(Ввод!$J$19)/100),IF(AND(ISNUMBER(I278),ISNUMBER(J278),I278&gt;0),J278/(1+N(Ввод!$J$19)/100),""))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IF(AND(ISNUMBER(F279),ISNUMBER(G279),F279&gt;0,1-N(Ввод!$J$19)/100&gt;0),G279/(1-N(Ввод!$J$19)/100),IF(AND(ISNUMBER(I279),ISNUMBER(J279),I279&gt;0),J279/(1+N(Ввод!$J$19)/100),""))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IF(AND(ISNUMBER(F280),ISNUMBER(G280),F280&gt;0,1-N(Ввод!$J$19)/100&gt;0),G280/(1-N(Ввод!$J$19)/100),IF(AND(ISNUMBER(I280),ISNUMBER(J280),I280&gt;0),J280/(1+N(Ввод!$J$19)/100),""))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IF(AND(ISNUMBER(F281),ISNUMBER(G281),F281&gt;0,1-N(Ввод!$J$19)/100&gt;0),G281/(1-N(Ввод!$J$19)/100),IF(AND(ISNUMBER(I281),ISNUMBER(J281),I281&gt;0),J281/(1+N(Ввод!$J$19)/100),""))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IF(AND(ISNUMBER(F282),ISNUMBER(G282),F282&gt;0,1-N(Ввод!$J$19)/100&gt;0),G282/(1-N(Ввод!$J$19)/100),IF(AND(ISNUMBER(I282),ISNUMBER(J282),I282&gt;0),J282/(1+N(Ввод!$J$19)/100),""))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IF(AND(ISNUMBER(F283),ISNUMBER(G283),F283&gt;0,1-N(Ввод!$J$19)/100&gt;0),G283/(1-N(Ввод!$J$19)/100),IF(AND(ISNUMBER(I283),ISNUMBER(J283),I283&gt;0),J283/(1+N(Ввод!$J$19)/100),""))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IF(AND(ISNUMBER(F284),ISNUMBER(G284),F284&gt;0,1-N(Ввод!$J$19)/100&gt;0),G284/(1-N(Ввод!$J$19)/100),IF(AND(ISNUMBER(I284),ISNUMBER(J284),I284&gt;0),J284/(1+N(Ввод!$J$19)/100),""))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IF(AND(ISNUMBER(F285),ISNUMBER(G285),F285&gt;0,1-N(Ввод!$J$19)/100&gt;0),G285/(1-N(Ввод!$J$19)/100),IF(AND(ISNUMBER(I285),ISNUMBER(J285),I285&gt;0),J285/(1+N(Ввод!$J$19)/100),""))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IF(AND(ISNUMBER(F286),ISNUMBER(G286),F286&gt;0,1-N(Ввод!$J$19)/100&gt;0),G286/(1-N(Ввод!$J$19)/100),IF(AND(ISNUMBER(I286),ISNUMBER(J286),I286&gt;0),J286/(1+N(Ввод!$J$19)/100),""))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IF(AND(ISNUMBER(F287),ISNUMBER(G287),F287&gt;0,1-N(Ввод!$J$19)/100&gt;0),G287/(1-N(Ввод!$J$19)/100),IF(AND(ISNUMBER(I287),ISNUMBER(J287),I287&gt;0),J287/(1+N(Ввод!$J$19)/100),""))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IF(AND(ISNUMBER(F288),ISNUMBER(G288),F288&gt;0,1-N(Ввод!$J$19)/100&gt;0),G288/(1-N(Ввод!$J$19)/100),IF(AND(ISNUMBER(I288),ISNUMBER(J288),I288&gt;0),J288/(1+N(Ввод!$J$19)/100),""))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IF(AND(ISNUMBER(F289),ISNUMBER(G289),F289&gt;0,1-N(Ввод!$J$19)/100&gt;0),G289/(1-N(Ввод!$J$19)/100),IF(AND(ISNUMBER(I289),ISNUMBER(J289),I289&gt;0),J289/(1+N(Ввод!$J$19)/100),""))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IF(AND(ISNUMBER(F290),ISNUMBER(G290),F290&gt;0,1-N(Ввод!$J$19)/100&gt;0),G290/(1-N(Ввод!$J$19)/100),IF(AND(ISNUMBER(I290),ISNUMBER(J290),I290&gt;0),J290/(1+N(Ввод!$J$19)/100),""))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IF(AND(ISNUMBER(F291),ISNUMBER(G291),F291&gt;0,1-N(Ввод!$J$19)/100&gt;0),G291/(1-N(Ввод!$J$19)/100),IF(AND(ISNUMBER(I291),ISNUMBER(J291),I291&gt;0),J291/(1+N(Ввод!$J$19)/100),""))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IF(AND(ISNUMBER(F292),ISNUMBER(G292),F292&gt;0,1-N(Ввод!$J$19)/100&gt;0),G292/(1-N(Ввод!$J$19)/100),IF(AND(ISNUMBER(I292),ISNUMBER(J292),I292&gt;0),J292/(1+N(Ввод!$J$19)/100),""))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IF(AND(ISNUMBER(F293),ISNUMBER(G293),F293&gt;0,1-N(Ввод!$J$19)/100&gt;0),G293/(1-N(Ввод!$J$19)/100),IF(AND(ISNUMBER(I293),ISNUMBER(J293),I293&gt;0),J293/(1+N(Ввод!$J$19)/100),""))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IF(AND(ISNUMBER(F294),ISNUMBER(G294),F294&gt;0,1-N(Ввод!$J$19)/100&gt;0),G294/(1-N(Ввод!$J$19)/100),IF(AND(ISNUMBER(I294),ISNUMBER(J294),I294&gt;0),J294/(1+N(Ввод!$J$19)/100),""))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IF(AND(ISNUMBER(F295),ISNUMBER(G295),F295&gt;0,1-N(Ввод!$J$19)/100&gt;0),G295/(1-N(Ввод!$J$19)/100),IF(AND(ISNUMBER(I295),ISNUMBER(J295),I295&gt;0),J295/(1+N(Ввод!$J$19)/100),""))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IF(AND(ISNUMBER(F296),ISNUMBER(G296),F296&gt;0,1-N(Ввод!$J$19)/100&gt;0),G296/(1-N(Ввод!$J$19)/100),IF(AND(ISNUMBER(I296),ISNUMBER(J296),I296&gt;0),J296/(1+N(Ввод!$J$19)/100),""))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IF(AND(ISNUMBER(F297),ISNUMBER(G297),F297&gt;0,1-N(Ввод!$J$19)/100&gt;0),G297/(1-N(Ввод!$J$19)/100),IF(AND(ISNUMBER(I297),ISNUMBER(J297),I297&gt;0),J297/(1+N(Ввод!$J$19)/100),""))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IF(AND(ISNUMBER(F298),ISNUMBER(G298),F298&gt;0,1-N(Ввод!$J$19)/100&gt;0),G298/(1-N(Ввод!$J$19)/100),IF(AND(ISNUMBER(I298),ISNUMBER(J298),I298&gt;0),J298/(1+N(Ввод!$J$19)/100),""))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IF(AND(ISNUMBER(F299),ISNUMBER(G299),F299&gt;0,1-N(Ввод!$J$19)/100&gt;0),G299/(1-N(Ввод!$J$19)/100),IF(AND(ISNUMBER(I299),ISNUMBER(J299),I299&gt;0),J299/(1+N(Ввод!$J$19)/100),""))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IF(AND(ISNUMBER(F300),ISNUMBER(G300),F300&gt;0,1-N(Ввод!$J$19)/100&gt;0),G300/(1-N(Ввод!$J$19)/100),IF(AND(ISNUMBER(I300),ISNUMBER(J300),I300&gt;0),J300/(1+N(Ввод!$J$19)/100),""))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>2</v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>586.17</v>
      </c>
      <c r="E5" s="241">
        <f>IF(C5="","",SUMIFS(Торговля!$H$5:$H$300,Торговля!$E$5:$E$300,$B5)+SUMIFS(Закрытые!$H$5:$H$300,Закрытые!$E$5:$E$300,$B5,Закрытые!$B$5:$B$300,"T-*"))</f>
        <v>1172.34</v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>5</v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>598.8</v>
      </c>
      <c r="H5" s="241">
        <f>IF(F5="","",SUMIFS(Торговля!$K$5:$K$300,Торговля!$E$5:$E$300,$B5)+SUMIFS(Закрытые!$K$5:$K$300,Закрытые!$E$5:$E$300,$B5,Закрытые!$B$5:$B$300,"T-*"))</f>
        <v>2994</v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>-3</v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>1821.66</v>
      </c>
      <c r="K5" s="240">
        <f>IF(MIN(N(C5),N(F5))&lt;=0,"",ROUND(MIN(N(C5),N(F5))*(N(G5)-N(D5)),8))</f>
        <v>25.26</v>
      </c>
      <c r="L5" s="177">
        <f>IF(MIN(N(C5),N(F5))&lt;=0,"",IF(N(D5)=0,"",ROUND((N(G5)/N(D5)-1)*100,2)))</f>
        <v>2.15</v>
      </c>
      <c r="M5" s="177">
        <f>IF(OR(ROUND(N(C5)-N(F5),8)=0,1-N(Ввод!$J$19)/100&lt;=0),"",IF(N(C5)&gt;N(F5),(N(E5)-N(H5))/((N(C5)-N(F5))*(1-N(Ввод!$J$19)/100)),(N(H5)-N(E5))/((N(F5)-N(C5))*(1+N(Ввод!$J$19)/100))))</f>
        <v>606.007984031936</v>
      </c>
    </row>
    <row r="6" ht="22" customHeight="1">
      <c r="B6" s="245" t="inlineStr">
        <is>
          <t>BTC/USDT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>0.15</v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>62190.8</v>
      </c>
      <c r="E6" s="247">
        <f>IF(C6="","",SUMIFS(Торговля!$H$5:$H$300,Торговля!$E$5:$E$300,$B6)+SUMIFS(Закрытые!$H$5:$H$300,Закрытые!$E$5:$E$300,$B6,Закрытые!$B$5:$B$300,"T-*"))</f>
        <v>9328.62</v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>0.05</v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>62874</v>
      </c>
      <c r="H6" s="247">
        <f>IF(F6="","",SUMIFS(Торговля!$K$5:$K$300,Торговля!$E$5:$E$300,$B6)+SUMIFS(Закрытые!$K$5:$K$300,Закрытые!$E$5:$E$300,$B6,Закрытые!$B$5:$B$300,"T-*"))</f>
        <v>3143.7</v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>0.1</v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>-6184.92</v>
      </c>
      <c r="K6" s="246">
        <f>IF(MIN(N(C6),N(F6))&lt;=0,"",ROUND(MIN(N(C6),N(F6))*(N(G6)-N(D6)),8))</f>
        <v>34.16</v>
      </c>
      <c r="L6" s="183">
        <f>IF(MIN(N(C6),N(F6))&lt;=0,"",IF(N(D6)=0,"",ROUND((N(G6)/N(D6)-1)*100,2)))</f>
        <v>1.1</v>
      </c>
      <c r="M6" s="183">
        <f>IF(OR(ROUND(N(C6)-N(F6),8)=0,1-N(Ввод!$J$19)/100&lt;=0),"",IF(N(C6)&gt;N(F6),(N(E6)-N(H6))/((N(C6)-N(F6))*(1-N(Ввод!$J$19)/100)),(N(H6)-N(E6))/((N(F6)-N(C6))*(1+N(Ввод!$J$19)/100))))</f>
        <v>61973.1462925852</v>
      </c>
    </row>
    <row r="7" ht="22" customHeight="1">
      <c r="B7" s="239" t="inlineStr">
        <is>
          <t>ETH/BTC</t>
        </is>
      </c>
      <c r="C7" s="240" t="str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 t="str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 t="str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>1.5</v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>0.052395</v>
      </c>
      <c r="H7" s="241">
        <f>IF(F7="","",SUMIFS(Торговля!$K$5:$K$300,Торговля!$E$5:$E$300,$B7)+SUMIFS(Закрытые!$K$5:$K$300,Закрытые!$E$5:$E$300,$B7,Закрытые!$B$5:$B$300,"T-*"))</f>
        <v>0.0785925</v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>-1.5</v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>0.0785925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>4</v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>3210.408</v>
      </c>
      <c r="E8" s="247">
        <f>IF(C8="","",SUMIFS(Торговля!$H$5:$H$300,Торговля!$E$5:$E$300,$B8)+SUMIFS(Закрытые!$H$5:$H$300,Закрытые!$E$5:$E$300,$B8,Закрытые!$B$5:$B$300,"T-*"))</f>
        <v>12841.632</v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>2.5</v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>3373.24</v>
      </c>
      <c r="H8" s="247">
        <f>IF(F8="","",SUMIFS(Торговля!$K$5:$K$300,Торговля!$E$5:$E$300,$B8)+SUMIFS(Закрытые!$K$5:$K$300,Закрытые!$E$5:$E$300,$B8,Закрытые!$B$5:$B$300,"T-*"))</f>
        <v>8433.1</v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>1.5</v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>-4408.532</v>
      </c>
      <c r="K8" s="246">
        <f>IF(MIN(N(C8),N(F8))&lt;=0,"",ROUND(MIN(N(C8),N(F8))*(N(G8)-N(D8)),8))</f>
        <v>407.08</v>
      </c>
      <c r="L8" s="183">
        <f>IF(MIN(N(C8),N(F8))&lt;=0,"",IF(N(D8)=0,"",ROUND((N(G8)/N(D8)-1)*100,2)))</f>
        <v>5.07</v>
      </c>
      <c r="M8" s="183">
        <f>IF(OR(ROUND(N(C8)-N(F8),8)=0,1-N(Ввод!$J$19)/100&lt;=0),"",IF(N(C8)&gt;N(F8),(N(E8)-N(H8))/((N(C8)-N(F8))*(1-N(Ввод!$J$19)/100)),(N(H8)-N(E8))/((N(F8)-N(C8))*(1+N(Ввод!$J$19)/100))))</f>
        <v>2944.91115564462</v>
      </c>
    </row>
    <row r="9" ht="22" customHeight="1">
      <c r="B9" s="239" t="inlineStr">
        <is>
          <t>SOL/USDT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>45</v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>145.846666666667</v>
      </c>
      <c r="E9" s="241">
        <f>IF(C9="","",SUMIFS(Торговля!$H$5:$H$300,Торговля!$E$5:$E$300,$B9)+SUMIFS(Закрытые!$H$5:$H$300,Закрытые!$E$5:$E$300,$B9,Закрытые!$B$5:$B$300,"T-*"))</f>
        <v>6563.1</v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>60</v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>150.698</v>
      </c>
      <c r="H9" s="241">
        <f>IF(F9="","",SUMIFS(Торговля!$K$5:$K$300,Торговля!$E$5:$E$300,$B9)+SUMIFS(Закрытые!$K$5:$K$300,Закрытые!$E$5:$E$300,$B9,Закрытые!$B$5:$B$300,"T-*"))</f>
        <v>9041.88</v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>-15</v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>2478.78</v>
      </c>
      <c r="K9" s="240">
        <f>IF(MIN(N(C9),N(F9))&lt;=0,"",ROUND(MIN(N(C9),N(F9))*(N(G9)-N(D9)),8))</f>
        <v>218.31</v>
      </c>
      <c r="L9" s="177">
        <f>IF(MIN(N(C9),N(F9))&lt;=0,"",IF(N(D9)=0,"",ROUND((N(G9)/N(D9)-1)*100,2)))</f>
        <v>3.33</v>
      </c>
      <c r="M9" s="177">
        <f>IF(OR(ROUND(N(C9)-N(F9),8)=0,1-N(Ввод!$J$19)/100&lt;=0),"",IF(N(C9)&gt;N(F9),(N(E9)-N(H9))/((N(C9)-N(F9))*(1-N(Ввод!$J$19)/100)),(N(H9)-N(E9))/((N(F9)-N(C9))*(1+N(Ввод!$J$19)/100))))</f>
        <v>164.922155688623</v>
      </c>
    </row>
    <row r="10" ht="22" customHeight="1">
      <c r="B10" s="245" t="n"/>
      <c r="C10" s="246" t="str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 t="str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 t="str">
        <f>IF(C10="","",SUMIFS(Торговля!$H$5:$H$300,Торговля!$E$5:$E$300,$B10)+SUMIFS(Закрытые!$H$5:$H$300,Закрытые!$E$5:$E$300,$B10,Закрытые!$B$5:$B$300,"T-*"))</f>
        <v/>
      </c>
      <c r="F10" s="246" t="str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 t="str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 t="str">
        <f>IF(F10="","",SUMIFS(Торговля!$K$5:$K$300,Торговля!$E$5:$E$300,$B10)+SUMIFS(Закрытые!$K$5:$K$300,Закрытые!$E$5:$E$300,$B10,Закрытые!$B$5:$B$300,"T-*"))</f>
        <v/>
      </c>
      <c r="I10" s="246" t="str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 t="str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 t="str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 t="str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 t="str">
        <f>IF(C11="","",SUMIFS(Торговля!$H$5:$H$300,Торговля!$E$5:$E$300,$B11)+SUMIFS(Закрытые!$H$5:$H$300,Закрытые!$E$5:$E$300,$B11,Закрытые!$B$5:$B$300,"T-*"))</f>
        <v/>
      </c>
      <c r="F11" s="240" t="str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 t="str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 t="str">
        <f>IF(F11="","",SUMIFS(Торговля!$K$5:$K$300,Торговля!$E$5:$E$300,$B11)+SUMIFS(Закрытые!$K$5:$K$300,Закрытые!$E$5:$E$300,$B11,Закрытые!$B$5:$B$300,"T-*"))</f>
        <v/>
      </c>
      <c r="I11" s="240" t="str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 t="str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 t="str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 t="str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 t="str">
        <f>IF(C12="","",SUMIFS(Торговля!$H$5:$H$300,Торговля!$E$5:$E$300,$B12)+SUMIFS(Закрытые!$H$5:$H$300,Закрытые!$E$5:$E$300,$B12,Закрытые!$B$5:$B$300,"T-*"))</f>
        <v/>
      </c>
      <c r="F12" s="246" t="str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 t="str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 t="str">
        <f>IF(F12="","",SUMIFS(Торговля!$K$5:$K$300,Торговля!$E$5:$E$300,$B12)+SUMIFS(Закрытые!$K$5:$K$300,Закрытые!$E$5:$E$300,$B12,Закрытые!$B$5:$B$300,"T-*"))</f>
        <v/>
      </c>
      <c r="I12" s="246" t="str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 t="str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  <row r="13" ht="22" customHeight="1">
      <c r="B13" s="239" t="n"/>
      <c r="C13" s="240" t="str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 t="str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 t="str">
        <f>IF(C13="","",SUMIFS(Торговля!$H$5:$H$300,Торговля!$E$5:$E$300,$B13)+SUMIFS(Закрытые!$H$5:$H$300,Закрытые!$E$5:$E$300,$B13,Закрытые!$B$5:$B$300,"T-*"))</f>
        <v/>
      </c>
      <c r="F13" s="240" t="str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 t="str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 t="str">
        <f>IF(F13="","",SUMIFS(Торговля!$K$5:$K$300,Торговля!$E$5:$E$300,$B13)+SUMIFS(Закрытые!$K$5:$K$300,Закрытые!$E$5:$E$300,$B13,Закрытые!$B$5:$B$300,"T-*"))</f>
        <v/>
      </c>
      <c r="I13" s="240" t="str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 t="str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 t="str">
        <f>IF(MIN(N(C13),N(F13))&lt;=0,"",ROUND(MIN(N(C13),N(F13))*(N(G13)-N(D13)),8))</f>
        <v/>
      </c>
      <c r="L13" s="177" t="str">
        <f>IF(MIN(N(C13),N(F13))&lt;=0,"",IF(N(D13)=0,"",ROUND((N(G13)/N(D13)-1)*100,2)))</f>
        <v/>
      </c>
      <c r="M13" s="177" t="str">
        <f>IF(OR(ROUND(N(C13)-N(F13),8)=0,1-N(Ввод!$J$19)/100&lt;=0),"",IF(N(C13)&gt;N(F13),(N(E13)-N(H13))/((N(C13)-N(F13))*(1-N(Ввод!$J$19)/100)),(N(H13)-N(E13))/((N(F13)-N(C13))*(1+N(Ввод!$J$19)/100))))</f>
        <v/>
      </c>
    </row>
    <row r="14" ht="22" customHeight="1">
      <c r="B14" s="245" t="n"/>
      <c r="C14" s="246" t="str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 t="str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 t="str">
        <f>IF(C14="","",SUMIFS(Торговля!$H$5:$H$300,Торговля!$E$5:$E$300,$B14)+SUMIFS(Закрытые!$H$5:$H$300,Закрытые!$E$5:$E$300,$B14,Закрытые!$B$5:$B$300,"T-*"))</f>
        <v/>
      </c>
      <c r="F14" s="246" t="str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 t="str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 t="str">
        <f>IF(F14="","",SUMIFS(Торговля!$K$5:$K$300,Торговля!$E$5:$E$300,$B14)+SUMIFS(Закрытые!$K$5:$K$300,Закрытые!$E$5:$E$300,$B14,Закрытые!$B$5:$B$300,"T-*"))</f>
        <v/>
      </c>
      <c r="I14" s="246" t="str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 t="str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 t="str">
        <f>IF(MIN(N(C14),N(F14))&lt;=0,"",ROUND(MIN(N(C14),N(F14))*(N(G14)-N(D14)),8))</f>
        <v/>
      </c>
      <c r="L14" s="183" t="str">
        <f>IF(MIN(N(C14),N(F14))&lt;=0,"",IF(N(D14)=0,"",ROUND((N(G14)/N(D14)-1)*100,2)))</f>
        <v/>
      </c>
      <c r="M14" s="183" t="str">
        <f>IF(OR(ROUND(N(C14)-N(F14),8)=0,1-N(Ввод!$J$19)/100&lt;=0),"",IF(N(C14)&gt;N(F14),(N(E14)-N(H14))/((N(C14)-N(F14))*(1-N(Ввод!$J$19)/100)),(N(H14)-N(E14))/((N(F14)-N(C14))*(1+N(Ввод!$J$19)/100))))</f>
        <v/>
      </c>
    </row>
    <row r="15" ht="22" customHeight="1">
      <c r="B15" s="239" t="n"/>
      <c r="C15" s="240" t="str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 t="str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 t="str">
        <f>IF(C15="","",SUMIFS(Торговля!$H$5:$H$300,Торговля!$E$5:$E$300,$B15)+SUMIFS(Закрытые!$H$5:$H$300,Закрытые!$E$5:$E$300,$B15,Закрытые!$B$5:$B$300,"T-*"))</f>
        <v/>
      </c>
      <c r="F15" s="240" t="str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 t="str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 t="str">
        <f>IF(F15="","",SUMIFS(Торговля!$K$5:$K$300,Торговля!$E$5:$E$300,$B15)+SUMIFS(Закрытые!$K$5:$K$300,Закрытые!$E$5:$E$300,$B15,Закрытые!$B$5:$B$300,"T-*"))</f>
        <v/>
      </c>
      <c r="I15" s="240" t="str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 t="str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 t="str">
        <f>IF(MIN(N(C15),N(F15))&lt;=0,"",ROUND(MIN(N(C15),N(F15))*(N(G15)-N(D15)),8))</f>
        <v/>
      </c>
      <c r="L15" s="177" t="str">
        <f>IF(MIN(N(C15),N(F15))&lt;=0,"",IF(N(D15)=0,"",ROUND((N(G15)/N(D15)-1)*100,2)))</f>
        <v/>
      </c>
      <c r="M15" s="177" t="str">
        <f>IF(OR(ROUND(N(C15)-N(F15),8)=0,1-N(Ввод!$J$19)/100&lt;=0),"",IF(N(C15)&gt;N(F15),(N(E15)-N(H15))/((N(C15)-N(F15))*(1-N(Ввод!$J$19)/100)),(N(H15)-N(E15))/((N(F15)-N(C15))*(1+N(Ввод!$J$19)/100))))</f>
        <v/>
      </c>
    </row>
    <row r="16" ht="22" customHeight="1">
      <c r="B16" s="245" t="n"/>
      <c r="C16" s="246" t="str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 t="str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 t="str">
        <f>IF(C16="","",SUMIFS(Торговля!$H$5:$H$300,Торговля!$E$5:$E$300,$B16)+SUMIFS(Закрытые!$H$5:$H$300,Закрытые!$E$5:$E$300,$B16,Закрытые!$B$5:$B$300,"T-*"))</f>
        <v/>
      </c>
      <c r="F16" s="246" t="str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 t="str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 t="str">
        <f>IF(F16="","",SUMIFS(Торговля!$K$5:$K$300,Торговля!$E$5:$E$300,$B16)+SUMIFS(Закрытые!$K$5:$K$300,Закрытые!$E$5:$E$300,$B16,Закрытые!$B$5:$B$300,"T-*"))</f>
        <v/>
      </c>
      <c r="I16" s="246" t="str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 t="str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 t="str">
        <f>IF(MIN(N(C16),N(F16))&lt;=0,"",ROUND(MIN(N(C16),N(F16))*(N(G16)-N(D16)),8))</f>
        <v/>
      </c>
      <c r="L16" s="183" t="str">
        <f>IF(MIN(N(C16),N(F16))&lt;=0,"",IF(N(D16)=0,"",ROUND((N(G16)/N(D16)-1)*100,2)))</f>
        <v/>
      </c>
      <c r="M16" s="183" t="str">
        <f>IF(OR(ROUND(N(C16)-N(F16),8)=0,1-N(Ввод!$J$19)/100&lt;=0),"",IF(N(C16)&gt;N(F16),(N(E16)-N(H16))/((N(C16)-N(F16))*(1-N(Ввод!$J$19)/100)),(N(H16)-N(E16))/((N(F16)-N(C16))*(1+N(Ввод!$J$19)/100))))</f>
        <v/>
      </c>
    </row>
    <row r="17" ht="22" customHeight="1">
      <c r="B17" s="239" t="n"/>
      <c r="C17" s="240" t="str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 t="str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 t="str">
        <f>IF(C17="","",SUMIFS(Торговля!$H$5:$H$300,Торговля!$E$5:$E$300,$B17)+SUMIFS(Закрытые!$H$5:$H$300,Закрытые!$E$5:$E$300,$B17,Закрытые!$B$5:$B$300,"T-*"))</f>
        <v/>
      </c>
      <c r="F17" s="240" t="str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 t="str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 t="str">
        <f>IF(F17="","",SUMIFS(Торговля!$K$5:$K$300,Торговля!$E$5:$E$300,$B17)+SUMIFS(Закрытые!$K$5:$K$300,Закрытые!$E$5:$E$300,$B17,Закрытые!$B$5:$B$300,"T-*"))</f>
        <v/>
      </c>
      <c r="I17" s="240" t="str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 t="str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 t="str">
        <f>IF(MIN(N(C17),N(F17))&lt;=0,"",ROUND(MIN(N(C17),N(F17))*(N(G17)-N(D17)),8))</f>
        <v/>
      </c>
      <c r="L17" s="177" t="str">
        <f>IF(MIN(N(C17),N(F17))&lt;=0,"",IF(N(D17)=0,"",ROUND((N(G17)/N(D17)-1)*100,2)))</f>
        <v/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n"/>
      <c r="C18" s="246" t="str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 t="str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 t="str">
        <f>IF(C18="","",SUMIFS(Торговля!$H$5:$H$300,Торговля!$E$5:$E$300,$B18)+SUMIFS(Закрытые!$H$5:$H$300,Закрытые!$E$5:$E$300,$B18,Закрытые!$B$5:$B$300,"T-*"))</f>
        <v/>
      </c>
      <c r="F18" s="246" t="str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 t="str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 t="str">
        <f>IF(F18="","",SUMIFS(Торговля!$K$5:$K$300,Торговля!$E$5:$E$300,$B18)+SUMIFS(Закрытые!$K$5:$K$300,Закрытые!$E$5:$E$300,$B18,Закрытые!$B$5:$B$300,"T-*"))</f>
        <v/>
      </c>
      <c r="I18" s="246" t="str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 t="str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 t="str">
        <f>IF(MIN(N(C18),N(F18))&lt;=0,"",ROUND(MIN(N(C18),N(F18))*(N(G18)-N(D18)),8))</f>
        <v/>
      </c>
      <c r="L18" s="183" t="str">
        <f>IF(MIN(N(C18),N(F18))&lt;=0,"",IF(N(D18)=0,"",ROUND((N(G18)/N(D18)-1)*100,2)))</f>
        <v/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n"/>
      <c r="C19" s="240" t="str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 t="str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 t="str">
        <f>IF(C19="","",SUMIFS(Торговля!$H$5:$H$300,Торговля!$E$5:$E$300,$B19)+SUMIFS(Закрытые!$H$5:$H$300,Закрытые!$E$5:$E$300,$B19,Закрытые!$B$5:$B$300,"T-*"))</f>
        <v/>
      </c>
      <c r="F19" s="240" t="str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 t="str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 t="str">
        <f>IF(F19="","",SUMIFS(Торговля!$K$5:$K$300,Торговля!$E$5:$E$300,$B19)+SUMIFS(Закрытые!$K$5:$K$300,Закрытые!$E$5:$E$300,$B19,Закрытые!$B$5:$B$300,"T-*"))</f>
        <v/>
      </c>
      <c r="I19" s="240" t="str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 t="str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 t="str">
        <f>IF(MIN(N(C19),N(F19))&lt;=0,"",ROUND(MIN(N(C19),N(F19))*(N(G19)-N(D19)),8))</f>
        <v/>
      </c>
      <c r="L19" s="177" t="str">
        <f>IF(MIN(N(C19),N(F19))&lt;=0,"",IF(N(D19)=0,"",ROUND((N(G19)/N(D19)-1)*100,2)))</f>
        <v/>
      </c>
      <c r="M19" s="177" t="str">
        <f>IF(OR(ROUND(N(C19)-N(F19),8)=0,1-N(Ввод!$J$19)/100&lt;=0),"",IF(N(C19)&gt;N(F19),(N(E19)-N(H19))/((N(C19)-N(F19))*(1-N(Ввод!$J$19)/100)),(N(H19)-N(E19))/((N(F19)-N(C19))*(1+N(Ввод!$J$19)/100))))</f>
        <v/>
      </c>
    </row>
    <row r="20" ht="22" customHeight="1">
      <c r="B20" s="245" t="n"/>
      <c r="C20" s="246" t="str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 t="str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 t="str">
        <f>IF(C20="","",SUMIFS(Торговля!$H$5:$H$300,Торговля!$E$5:$E$300,$B20)+SUMIFS(Закрытые!$H$5:$H$300,Закрытые!$E$5:$E$300,$B20,Закрытые!$B$5:$B$300,"T-*"))</f>
        <v/>
      </c>
      <c r="F20" s="246" t="str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 t="str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 t="str">
        <f>IF(F20="","",SUMIFS(Торговля!$K$5:$K$300,Торговля!$E$5:$E$300,$B20)+SUMIFS(Закрытые!$K$5:$K$300,Закрытые!$E$5:$E$300,$B20,Закрытые!$B$5:$B$300,"T-*"))</f>
        <v/>
      </c>
      <c r="I20" s="246" t="str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 t="str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 t="str">
        <f>IF(MIN(N(C20),N(F20))&lt;=0,"",ROUND(MIN(N(C20),N(F20))*(N(G20)-N(D20)),8))</f>
        <v/>
      </c>
      <c r="L20" s="183" t="str">
        <f>IF(MIN(N(C20),N(F20))&lt;=0,"",IF(N(D20)=0,"",ROUND((N(G20)/N(D20)-1)*100,2)))</f>
        <v/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n"/>
      <c r="C21" s="240" t="str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 t="str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 t="str">
        <f>IF(C21="","",SUMIFS(Торговля!$H$5:$H$300,Торговля!$E$5:$E$300,$B21)+SUMIFS(Закрытые!$H$5:$H$300,Закрытые!$E$5:$E$300,$B21,Закрытые!$B$5:$B$300,"T-*"))</f>
        <v/>
      </c>
      <c r="F21" s="240" t="str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 t="str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 t="str">
        <f>IF(F21="","",SUMIFS(Торговля!$K$5:$K$300,Торговля!$E$5:$E$300,$B21)+SUMIFS(Закрытые!$K$5:$K$300,Закрытые!$E$5:$E$300,$B21,Закрытые!$B$5:$B$300,"T-*"))</f>
        <v/>
      </c>
      <c r="I21" s="240" t="str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 t="str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 t="str">
        <f>IF(MIN(N(C21),N(F21))&lt;=0,"",ROUND(MIN(N(C21),N(F21))*(N(G21)-N(D21)),8))</f>
        <v/>
      </c>
      <c r="L21" s="177" t="str">
        <f>IF(MIN(N(C21),N(F21))&lt;=0,"",IF(N(D21)=0,"",ROUND((N(G21)/N(D21)-1)*100,2)))</f>
        <v/>
      </c>
      <c r="M21" s="177" t="str">
        <f>IF(OR(ROUND(N(C21)-N(F21),8)=0,1-N(Ввод!$J$19)/100&lt;=0),"",IF(N(C21)&gt;N(F21),(N(E21)-N(H21))/((N(C21)-N(F21))*(1-N(Ввод!$J$19)/100)),(N(H21)-N(E21))/((N(F21)-N(C21))*(1+N(Ввод!$J$19)/100))))</f>
        <v/>
      </c>
    </row>
    <row r="22" ht="22" customHeight="1">
      <c r="B22" s="245" t="n"/>
      <c r="C22" s="246" t="str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 t="str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 t="str">
        <f>IF(C22="","",SUMIFS(Торговля!$H$5:$H$300,Торговля!$E$5:$E$300,$B22)+SUMIFS(Закрытые!$H$5:$H$300,Закрытые!$E$5:$E$300,$B22,Закрытые!$B$5:$B$300,"T-*"))</f>
        <v/>
      </c>
      <c r="F22" s="246" t="str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 t="str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 t="str">
        <f>IF(F22="","",SUMIFS(Торговля!$K$5:$K$300,Торговля!$E$5:$E$300,$B22)+SUMIFS(Закрытые!$K$5:$K$300,Закрытые!$E$5:$E$300,$B22,Закрытые!$B$5:$B$300,"T-*"))</f>
        <v/>
      </c>
      <c r="I22" s="246" t="str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 t="str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 t="str">
        <f>IF(MIN(N(C22),N(F22))&lt;=0,"",ROUND(MIN(N(C22),N(F22))*(N(G22)-N(D22)),8))</f>
        <v/>
      </c>
      <c r="L22" s="183" t="str">
        <f>IF(MIN(N(C22),N(F22))&lt;=0,"",IF(N(D22)=0,"",ROUND((N(G22)/N(D22)-1)*100,2)))</f>
        <v/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 t="str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 t="str">
        <f>IF(C23="","",SUMIFS(Торговля!$H$5:$H$300,Торговля!$E$5:$E$300,$B23)+SUMIFS(Закрытые!$H$5:$H$300,Закрытые!$E$5:$E$300,$B23,Закрытые!$B$5:$B$300,"T-*"))</f>
        <v/>
      </c>
      <c r="F23" s="240" t="str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 t="str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 t="str">
        <f>IF(F23="","",SUMIFS(Торговля!$K$5:$K$300,Торговля!$E$5:$E$300,$B23)+SUMIFS(Закрытые!$K$5:$K$300,Закрытые!$E$5:$E$300,$B23,Закрытые!$B$5:$B$300,"T-*"))</f>
        <v/>
      </c>
      <c r="I23" s="240" t="str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 t="str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 t="str">
        <f>IF(MIN(N(C23),N(F23))&lt;=0,"",ROUND(MIN(N(C23),N(F23))*(N(G23)-N(D23)),8))</f>
        <v/>
      </c>
      <c r="L23" s="177" t="str">
        <f>IF(MIN(N(C23),N(F23))&lt;=0,"",IF(N(D23)=0,"",ROUND((N(G23)/N(D23)-1)*100,2)))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 t="str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 t="str">
        <f>IF(C24="","",SUMIFS(Торговля!$H$5:$H$300,Торговля!$E$5:$E$300,$B24)+SUMIFS(Закрытые!$H$5:$H$300,Закрытые!$E$5:$E$300,$B24,Закрытые!$B$5:$B$300,"T-*"))</f>
        <v/>
      </c>
      <c r="F24" s="246" t="str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 t="str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 t="str">
        <f>IF(F24="","",SUMIFS(Торговля!$K$5:$K$300,Торговля!$E$5:$E$300,$B24)+SUMIFS(Закрытые!$K$5:$K$300,Закрытые!$E$5:$E$300,$B24,Закрытые!$B$5:$B$300,"T-*"))</f>
        <v/>
      </c>
      <c r="I24" s="246" t="str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 t="str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 t="str">
        <f>IF(MIN(N(C24),N(F24))&lt;=0,"",ROUND(MIN(N(C24),N(F24))*(N(G24)-N(D24)),8))</f>
        <v/>
      </c>
      <c r="L24" s="183" t="str">
        <f>IF(MIN(N(C24),N(F24))&lt;=0,"",IF(N(D24)=0,"",ROUND((N(G24)/N(D24)-1)*100,2)))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 t="str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 t="str">
        <f>IF(C25="","",SUMIFS(Торговля!$H$5:$H$300,Торговля!$E$5:$E$300,$B25)+SUMIFS(Закрытые!$H$5:$H$300,Закрытые!$E$5:$E$300,$B25,Закрытые!$B$5:$B$300,"T-*"))</f>
        <v/>
      </c>
      <c r="F25" s="240" t="str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 t="str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 t="str">
        <f>IF(F25="","",SUMIFS(Торговля!$K$5:$K$300,Торговля!$E$5:$E$300,$B25)+SUMIFS(Закрытые!$K$5:$K$300,Закрытые!$E$5:$E$300,$B25,Закрытые!$B$5:$B$300,"T-*"))</f>
        <v/>
      </c>
      <c r="I25" s="240" t="str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 t="str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 t="str">
        <f>IF(MIN(N(C25),N(F25))&lt;=0,"",ROUND(MIN(N(C25),N(F25))*(N(G25)-N(D25)),8))</f>
        <v/>
      </c>
      <c r="L25" s="177" t="str">
        <f>IF(MIN(N(C25),N(F25))&lt;=0,"",IF(N(D25)=0,"",ROUND((N(G25)/N(D25)-1)*100,2)))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 t="str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 t="str">
        <f>IF(C26="","",SUMIFS(Торговля!$H$5:$H$300,Торговля!$E$5:$E$300,$B26)+SUMIFS(Закрытые!$H$5:$H$300,Закрытые!$E$5:$E$300,$B26,Закрытые!$B$5:$B$300,"T-*"))</f>
        <v/>
      </c>
      <c r="F26" s="246" t="str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 t="str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 t="str">
        <f>IF(F26="","",SUMIFS(Торговля!$K$5:$K$300,Торговля!$E$5:$E$300,$B26)+SUMIFS(Закрытые!$K$5:$K$300,Закрытые!$E$5:$E$300,$B26,Закрытые!$B$5:$B$300,"T-*"))</f>
        <v/>
      </c>
      <c r="I26" s="246" t="str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 t="str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 t="str">
        <f>IF(MIN(N(C26),N(F26))&lt;=0,"",ROUND(MIN(N(C26),N(F26))*(N(G26)-N(D26)),8))</f>
        <v/>
      </c>
      <c r="L26" s="183" t="str">
        <f>IF(MIN(N(C26),N(F26))&lt;=0,"",IF(N(D26)=0,"",ROUND((N(G26)/N(D26)-1)*100,2)))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 t="str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 t="str">
        <f>IF(C27="","",SUMIFS(Торговля!$H$5:$H$300,Торговля!$E$5:$E$300,$B27)+SUMIFS(Закрытые!$H$5:$H$300,Закрытые!$E$5:$E$300,$B27,Закрытые!$B$5:$B$300,"T-*"))</f>
        <v/>
      </c>
      <c r="F27" s="240" t="str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 t="str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 t="str">
        <f>IF(F27="","",SUMIFS(Торговля!$K$5:$K$300,Торговля!$E$5:$E$300,$B27)+SUMIFS(Закрытые!$K$5:$K$300,Закрытые!$E$5:$E$300,$B27,Закрытые!$B$5:$B$300,"T-*"))</f>
        <v/>
      </c>
      <c r="I27" s="240" t="str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 t="str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 t="str">
        <f>IF(MIN(N(C27),N(F27))&lt;=0,"",ROUND(MIN(N(C27),N(F27))*(N(G27)-N(D27)),8))</f>
        <v/>
      </c>
      <c r="L27" s="177" t="str">
        <f>IF(MIN(N(C27),N(F27))&lt;=0,"",IF(N(D27)=0,"",ROUND((N(G27)/N(D27)-1)*100,2)))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 t="str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 t="str">
        <f>IF(C28="","",SUMIFS(Торговля!$H$5:$H$300,Торговля!$E$5:$E$300,$B28)+SUMIFS(Закрытые!$H$5:$H$300,Закрытые!$E$5:$E$300,$B28,Закрытые!$B$5:$B$300,"T-*"))</f>
        <v/>
      </c>
      <c r="F28" s="246" t="str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 t="str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 t="str">
        <f>IF(F28="","",SUMIFS(Торговля!$K$5:$K$300,Торговля!$E$5:$E$300,$B28)+SUMIFS(Закрытые!$K$5:$K$300,Закрытые!$E$5:$E$300,$B28,Закрытые!$B$5:$B$300,"T-*"))</f>
        <v/>
      </c>
      <c r="I28" s="246" t="str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 t="str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 t="str">
        <f>IF(MIN(N(C28),N(F28))&lt;=0,"",ROUND(MIN(N(C28),N(F28))*(N(G28)-N(D28)),8))</f>
        <v/>
      </c>
      <c r="L28" s="183" t="str">
        <f>IF(MIN(N(C28),N(F28))&lt;=0,"",IF(N(D28)=0,"",ROUND((N(G28)/N(D28)-1)*100,2)))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 t="str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 t="str">
        <f>IF(C29="","",SUMIFS(Торговля!$H$5:$H$300,Торговля!$E$5:$E$300,$B29)+SUMIFS(Закрытые!$H$5:$H$300,Закрытые!$E$5:$E$300,$B29,Закрытые!$B$5:$B$300,"T-*"))</f>
        <v/>
      </c>
      <c r="F29" s="240" t="str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 t="str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 t="str">
        <f>IF(F29="","",SUMIFS(Торговля!$K$5:$K$300,Торговля!$E$5:$E$300,$B29)+SUMIFS(Закрытые!$K$5:$K$300,Закрытые!$E$5:$E$300,$B29,Закрытые!$B$5:$B$300,"T-*"))</f>
        <v/>
      </c>
      <c r="I29" s="240" t="str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 t="str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 t="str">
        <f>IF(MIN(N(C29),N(F29))&lt;=0,"",ROUND(MIN(N(C29),N(F29))*(N(G29)-N(D29)),8))</f>
        <v/>
      </c>
      <c r="L29" s="177" t="str">
        <f>IF(MIN(N(C29),N(F29))&lt;=0,"",IF(N(D29)=0,"",ROUND((N(G29)/N(D29)-1)*100,2)))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 t="str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 t="str">
        <f>IF(C30="","",SUMIFS(Торговля!$H$5:$H$300,Торговля!$E$5:$E$300,$B30)+SUMIFS(Закрытые!$H$5:$H$300,Закрытые!$E$5:$E$300,$B30,Закрытые!$B$5:$B$300,"T-*"))</f>
        <v/>
      </c>
      <c r="F30" s="246" t="str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 t="str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 t="str">
        <f>IF(F30="","",SUMIFS(Торговля!$K$5:$K$300,Торговля!$E$5:$E$300,$B30)+SUMIFS(Закрытые!$K$5:$K$300,Закрытые!$E$5:$E$300,$B30,Закрытые!$B$5:$B$300,"T-*"))</f>
        <v/>
      </c>
      <c r="I30" s="246" t="str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 t="str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 t="str">
        <f>IF(MIN(N(C30),N(F30))&lt;=0,"",ROUND(MIN(N(C30),N(F30))*(N(G30)-N(D30)),8))</f>
        <v/>
      </c>
      <c r="L30" s="183" t="str">
        <f>IF(MIN(N(C30),N(F30))&lt;=0,"",IF(N(D30)=0,"",ROUND((N(G30)/N(D30)-1)*100,2)))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 t="str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 t="str">
        <f>IF(C31="","",SUMIFS(Торговля!$H$5:$H$300,Торговля!$E$5:$E$300,$B31)+SUMIFS(Закрытые!$H$5:$H$300,Закрытые!$E$5:$E$300,$B31,Закрытые!$B$5:$B$300,"T-*"))</f>
        <v/>
      </c>
      <c r="F31" s="240" t="str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 t="str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 t="str">
        <f>IF(F31="","",SUMIFS(Торговля!$K$5:$K$300,Торговля!$E$5:$E$300,$B31)+SUMIFS(Закрытые!$K$5:$K$300,Закрытые!$E$5:$E$300,$B31,Закрытые!$B$5:$B$300,"T-*"))</f>
        <v/>
      </c>
      <c r="I31" s="240" t="str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 t="str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 t="str">
        <f>IF(MIN(N(C31),N(F31))&lt;=0,"",ROUND(MIN(N(C31),N(F31))*(N(G31)-N(D31)),8))</f>
        <v/>
      </c>
      <c r="L31" s="177" t="str">
        <f>IF(MIN(N(C31),N(F31))&lt;=0,"",IF(N(D31)=0,"",ROUND((N(G31)/N(D31)-1)*100,2)))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 t="str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 t="str">
        <f>IF(C32="","",SUMIFS(Торговля!$H$5:$H$300,Торговля!$E$5:$E$300,$B32)+SUMIFS(Закрытые!$H$5:$H$300,Закрытые!$E$5:$E$300,$B32,Закрытые!$B$5:$B$300,"T-*"))</f>
        <v/>
      </c>
      <c r="F32" s="246" t="str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 t="str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 t="str">
        <f>IF(F32="","",SUMIFS(Торговля!$K$5:$K$300,Торговля!$E$5:$E$300,$B32)+SUMIFS(Закрытые!$K$5:$K$300,Закрытые!$E$5:$E$300,$B32,Закрытые!$B$5:$B$300,"T-*"))</f>
        <v/>
      </c>
      <c r="I32" s="246" t="str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 t="str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 t="str">
        <f>IF(MIN(N(C32),N(F32))&lt;=0,"",ROUND(MIN(N(C32),N(F32))*(N(G32)-N(D32)),8))</f>
        <v/>
      </c>
      <c r="L32" s="183" t="str">
        <f>IF(MIN(N(C32),N(F32))&lt;=0,"",IF(N(D32)=0,"",ROUND((N(G32)/N(D32)-1)*100,2)))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 t="str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 t="str">
        <f>IF(C33="","",SUMIFS(Торговля!$H$5:$H$300,Торговля!$E$5:$E$300,$B33)+SUMIFS(Закрытые!$H$5:$H$300,Закрытые!$E$5:$E$300,$B33,Закрытые!$B$5:$B$300,"T-*"))</f>
        <v/>
      </c>
      <c r="F33" s="240" t="str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 t="str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 t="str">
        <f>IF(F33="","",SUMIFS(Торговля!$K$5:$K$300,Торговля!$E$5:$E$300,$B33)+SUMIFS(Закрытые!$K$5:$K$300,Закрытые!$E$5:$E$300,$B33,Закрытые!$B$5:$B$300,"T-*"))</f>
        <v/>
      </c>
      <c r="I33" s="240" t="str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 t="str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 t="str">
        <f>IF(MIN(N(C33),N(F33))&lt;=0,"",ROUND(MIN(N(C33),N(F33))*(N(G33)-N(D33)),8))</f>
        <v/>
      </c>
      <c r="L33" s="177" t="str">
        <f>IF(MIN(N(C33),N(F33))&lt;=0,"",IF(N(D33)=0,"",ROUND((N(G33)/N(D33)-1)*100,2)))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 t="str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 t="str">
        <f>IF(C34="","",SUMIFS(Торговля!$H$5:$H$300,Торговля!$E$5:$E$300,$B34)+SUMIFS(Закрытые!$H$5:$H$300,Закрытые!$E$5:$E$300,$B34,Закрытые!$B$5:$B$300,"T-*"))</f>
        <v/>
      </c>
      <c r="F34" s="246" t="str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 t="str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 t="str">
        <f>IF(F34="","",SUMIFS(Торговля!$K$5:$K$300,Торговля!$E$5:$E$300,$B34)+SUMIFS(Закрытые!$K$5:$K$300,Закрытые!$E$5:$E$300,$B34,Закрытые!$B$5:$B$300,"T-*"))</f>
        <v/>
      </c>
      <c r="I34" s="246" t="str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 t="str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 t="str">
        <f>IF(MIN(N(C34),N(F34))&lt;=0,"",ROUND(MIN(N(C34),N(F34))*(N(G34)-N(D34)),8))</f>
        <v/>
      </c>
      <c r="L34" s="183" t="str">
        <f>IF(MIN(N(C34),N(F34))&lt;=0,"",IF(N(D34)=0,"",ROUND((N(G34)/N(D34)-1)*100,2)))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 t="str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 t="str">
        <f>IF(C35="","",SUMIFS(Торговля!$H$5:$H$300,Торговля!$E$5:$E$300,$B35)+SUMIFS(Закрытые!$H$5:$H$300,Закрытые!$E$5:$E$300,$B35,Закрытые!$B$5:$B$300,"T-*"))</f>
        <v/>
      </c>
      <c r="F35" s="240" t="str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 t="str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 t="str">
        <f>IF(F35="","",SUMIFS(Торговля!$K$5:$K$300,Торговля!$E$5:$E$300,$B35)+SUMIFS(Закрытые!$K$5:$K$300,Закрытые!$E$5:$E$300,$B35,Закрытые!$B$5:$B$300,"T-*"))</f>
        <v/>
      </c>
      <c r="I35" s="240" t="str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 t="str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 t="str">
        <f>IF(MIN(N(C35),N(F35))&lt;=0,"",ROUND(MIN(N(C35),N(F35))*(N(G35)-N(D35)),8))</f>
        <v/>
      </c>
      <c r="L35" s="177" t="str">
        <f>IF(MIN(N(C35),N(F35))&lt;=0,"",IF(N(D35)=0,"",ROUND((N(G35)/N(D35)-1)*100,2)))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 t="str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 t="str">
        <f>IF(C36="","",SUMIFS(Торговля!$H$5:$H$300,Торговля!$E$5:$E$300,$B36)+SUMIFS(Закрытые!$H$5:$H$300,Закрытые!$E$5:$E$300,$B36,Закрытые!$B$5:$B$300,"T-*"))</f>
        <v/>
      </c>
      <c r="F36" s="246" t="str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 t="str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 t="str">
        <f>IF(F36="","",SUMIFS(Торговля!$K$5:$K$300,Торговля!$E$5:$E$300,$B36)+SUMIFS(Закрытые!$K$5:$K$300,Закрытые!$E$5:$E$300,$B36,Закрытые!$B$5:$B$300,"T-*"))</f>
        <v/>
      </c>
      <c r="I36" s="246" t="str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 t="str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 t="str">
        <f>IF(MIN(N(C36),N(F36))&lt;=0,"",ROUND(MIN(N(C36),N(F36))*(N(G36)-N(D36)),8))</f>
        <v/>
      </c>
      <c r="L36" s="183" t="str">
        <f>IF(MIN(N(C36),N(F36))&lt;=0,"",IF(N(D36)=0,"",ROUND((N(G36)/N(D36)-1)*100,2)))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 t="str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 t="str">
        <f>IF(C37="","",SUMIFS(Торговля!$H$5:$H$300,Торговля!$E$5:$E$300,$B37)+SUMIFS(Закрытые!$H$5:$H$300,Закрытые!$E$5:$E$300,$B37,Закрытые!$B$5:$B$300,"T-*"))</f>
        <v/>
      </c>
      <c r="F37" s="240" t="str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 t="str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 t="str">
        <f>IF(F37="","",SUMIFS(Торговля!$K$5:$K$300,Торговля!$E$5:$E$300,$B37)+SUMIFS(Закрытые!$K$5:$K$300,Закрытые!$E$5:$E$300,$B37,Закрытые!$B$5:$B$300,"T-*"))</f>
        <v/>
      </c>
      <c r="I37" s="240" t="str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 t="str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 t="str">
        <f>IF(MIN(N(C37),N(F37))&lt;=0,"",ROUND(MIN(N(C37),N(F37))*(N(G37)-N(D37)),8))</f>
        <v/>
      </c>
      <c r="L37" s="177" t="str">
        <f>IF(MIN(N(C37),N(F37))&lt;=0,"",IF(N(D37)=0,"",ROUND((N(G37)/N(D37)-1)*100,2)))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 t="str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 t="str">
        <f>IF(C38="","",SUMIFS(Торговля!$H$5:$H$300,Торговля!$E$5:$E$300,$B38)+SUMIFS(Закрытые!$H$5:$H$300,Закрытые!$E$5:$E$300,$B38,Закрытые!$B$5:$B$300,"T-*"))</f>
        <v/>
      </c>
      <c r="F38" s="246" t="str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 t="str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 t="str">
        <f>IF(F38="","",SUMIFS(Торговля!$K$5:$K$300,Торговля!$E$5:$E$300,$B38)+SUMIFS(Закрытые!$K$5:$K$300,Закрытые!$E$5:$E$300,$B38,Закрытые!$B$5:$B$300,"T-*"))</f>
        <v/>
      </c>
      <c r="I38" s="246" t="str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 t="str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 t="str">
        <f>IF(MIN(N(C38),N(F38))&lt;=0,"",ROUND(MIN(N(C38),N(F38))*(N(G38)-N(D38)),8))</f>
        <v/>
      </c>
      <c r="L38" s="183" t="str">
        <f>IF(MIN(N(C38),N(F38))&lt;=0,"",IF(N(D38)=0,"",ROUND((N(G38)/N(D38)-1)*100,2)))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 t="str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 t="str">
        <f>IF(C39="","",SUMIFS(Торговля!$H$5:$H$300,Торговля!$E$5:$E$300,$B39)+SUMIFS(Закрытые!$H$5:$H$300,Закрытые!$E$5:$E$300,$B39,Закрытые!$B$5:$B$300,"T-*"))</f>
        <v/>
      </c>
      <c r="F39" s="240" t="str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 t="str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 t="str">
        <f>IF(F39="","",SUMIFS(Торговля!$K$5:$K$300,Торговля!$E$5:$E$300,$B39)+SUMIFS(Закрытые!$K$5:$K$300,Закрытые!$E$5:$E$300,$B39,Закрытые!$B$5:$B$300,"T-*"))</f>
        <v/>
      </c>
      <c r="I39" s="240" t="str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 t="str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 t="str">
        <f>IF(MIN(N(C39),N(F39))&lt;=0,"",ROUND(MIN(N(C39),N(F39))*(N(G39)-N(D39)),8))</f>
        <v/>
      </c>
      <c r="L39" s="177" t="str">
        <f>IF(MIN(N(C39),N(F39))&lt;=0,"",IF(N(D39)=0,"",ROUND((N(G39)/N(D39)-1)*100,2)))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 t="str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 t="str">
        <f>IF(C40="","",SUMIFS(Торговля!$H$5:$H$300,Торговля!$E$5:$E$300,$B40)+SUMIFS(Закрытые!$H$5:$H$300,Закрытые!$E$5:$E$300,$B40,Закрытые!$B$5:$B$300,"T-*"))</f>
        <v/>
      </c>
      <c r="F40" s="246" t="str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 t="str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 t="str">
        <f>IF(F40="","",SUMIFS(Торговля!$K$5:$K$300,Торговля!$E$5:$E$300,$B40)+SUMIFS(Закрытые!$K$5:$K$300,Закрытые!$E$5:$E$300,$B40,Закрытые!$B$5:$B$300,"T-*"))</f>
        <v/>
      </c>
      <c r="I40" s="246" t="str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 t="str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 t="str">
        <f>IF(MIN(N(C40),N(F40))&lt;=0,"",ROUND(MIN(N(C40),N(F40))*(N(G40)-N(D40)),8))</f>
        <v/>
      </c>
      <c r="L40" s="183" t="str">
        <f>IF(MIN(N(C40),N(F40))&lt;=0,"",IF(N(D40)=0,"",ROUND((N(G40)/N(D40)-1)*100,2)))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 t="str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 t="str">
        <f>IF(C41="","",SUMIFS(Торговля!$H$5:$H$300,Торговля!$E$5:$E$300,$B41)+SUMIFS(Закрытые!$H$5:$H$300,Закрытые!$E$5:$E$300,$B41,Закрытые!$B$5:$B$300,"T-*"))</f>
        <v/>
      </c>
      <c r="F41" s="240" t="str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 t="str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 t="str">
        <f>IF(F41="","",SUMIFS(Торговля!$K$5:$K$300,Торговля!$E$5:$E$300,$B41)+SUMIFS(Закрытые!$K$5:$K$300,Закрытые!$E$5:$E$300,$B41,Закрытые!$B$5:$B$300,"T-*"))</f>
        <v/>
      </c>
      <c r="I41" s="240" t="str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 t="str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 t="str">
        <f>IF(MIN(N(C41),N(F41))&lt;=0,"",ROUND(MIN(N(C41),N(F41))*(N(G41)-N(D41)),8))</f>
        <v/>
      </c>
      <c r="L41" s="177" t="str">
        <f>IF(MIN(N(C41),N(F41))&lt;=0,"",IF(N(D41)=0,"",ROUND((N(G41)/N(D41)-1)*100,2)))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 t="str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 t="str">
        <f>IF(C42="","",SUMIFS(Торговля!$H$5:$H$300,Торговля!$E$5:$E$300,$B42)+SUMIFS(Закрытые!$H$5:$H$300,Закрытые!$E$5:$E$300,$B42,Закрытые!$B$5:$B$300,"T-*"))</f>
        <v/>
      </c>
      <c r="F42" s="246" t="str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 t="str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 t="str">
        <f>IF(F42="","",SUMIFS(Торговля!$K$5:$K$300,Торговля!$E$5:$E$300,$B42)+SUMIFS(Закрытые!$K$5:$K$300,Закрытые!$E$5:$E$300,$B42,Закрытые!$B$5:$B$300,"T-*"))</f>
        <v/>
      </c>
      <c r="I42" s="246" t="str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 t="str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 t="str">
        <f>IF(MIN(N(C42),N(F42))&lt;=0,"",ROUND(MIN(N(C42),N(F42))*(N(G42)-N(D42)),8))</f>
        <v/>
      </c>
      <c r="L42" s="183" t="str">
        <f>IF(MIN(N(C42),N(F42))&lt;=0,"",IF(N(D42)=0,"",ROUND((N(G42)/N(D42)-1)*100,2)))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 t="str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 t="str">
        <f>IF(C43="","",SUMIFS(Торговля!$H$5:$H$300,Торговля!$E$5:$E$300,$B43)+SUMIFS(Закрытые!$H$5:$H$300,Закрытые!$E$5:$E$300,$B43,Закрытые!$B$5:$B$300,"T-*"))</f>
        <v/>
      </c>
      <c r="F43" s="240" t="str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 t="str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 t="str">
        <f>IF(F43="","",SUMIFS(Торговля!$K$5:$K$300,Торговля!$E$5:$E$300,$B43)+SUMIFS(Закрытые!$K$5:$K$300,Закрытые!$E$5:$E$300,$B43,Закрытые!$B$5:$B$300,"T-*"))</f>
        <v/>
      </c>
      <c r="I43" s="240" t="str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 t="str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 t="str">
        <f>IF(MIN(N(C43),N(F43))&lt;=0,"",ROUND(MIN(N(C43),N(F43))*(N(G43)-N(D43)),8))</f>
        <v/>
      </c>
      <c r="L43" s="177" t="str">
        <f>IF(MIN(N(C43),N(F43))&lt;=0,"",IF(N(D43)=0,"",ROUND((N(G43)/N(D43)-1)*100,2)))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 t="str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 t="str">
        <f>IF(C44="","",SUMIFS(Торговля!$H$5:$H$300,Торговля!$E$5:$E$300,$B44)+SUMIFS(Закрытые!$H$5:$H$300,Закрытые!$E$5:$E$300,$B44,Закрытые!$B$5:$B$300,"T-*"))</f>
        <v/>
      </c>
      <c r="F44" s="246" t="str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 t="str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 t="str">
        <f>IF(F44="","",SUMIFS(Торговля!$K$5:$K$300,Торговля!$E$5:$E$300,$B44)+SUMIFS(Закрытые!$K$5:$K$300,Закрытые!$E$5:$E$300,$B44,Закрытые!$B$5:$B$300,"T-*"))</f>
        <v/>
      </c>
      <c r="I44" s="246" t="str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 t="str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 t="str">
        <f>IF(MIN(N(C44),N(F44))&lt;=0,"",ROUND(MIN(N(C44),N(F44))*(N(G44)-N(D44)),8))</f>
        <v/>
      </c>
      <c r="L44" s="183" t="str">
        <f>IF(MIN(N(C44),N(F44))&lt;=0,"",IF(N(D44)=0,"",ROUND((N(G44)/N(D44)-1)*100,2)))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 t="str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 t="str">
        <f>IF(C45="","",SUMIFS(Торговля!$H$5:$H$300,Торговля!$E$5:$E$300,$B45)+SUMIFS(Закрытые!$H$5:$H$300,Закрытые!$E$5:$E$300,$B45,Закрытые!$B$5:$B$300,"T-*"))</f>
        <v/>
      </c>
      <c r="F45" s="240" t="str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 t="str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 t="str">
        <f>IF(F45="","",SUMIFS(Торговля!$K$5:$K$300,Торговля!$E$5:$E$300,$B45)+SUMIFS(Закрытые!$K$5:$K$300,Закрытые!$E$5:$E$300,$B45,Закрытые!$B$5:$B$300,"T-*"))</f>
        <v/>
      </c>
      <c r="I45" s="240" t="str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 t="str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 t="str">
        <f>IF(MIN(N(C45),N(F45))&lt;=0,"",ROUND(MIN(N(C45),N(F45))*(N(G45)-N(D45)),8))</f>
        <v/>
      </c>
      <c r="L45" s="177" t="str">
        <f>IF(MIN(N(C45),N(F45))&lt;=0,"",IF(N(D45)=0,"",ROUND((N(G45)/N(D45)-1)*100,2)))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 t="str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 t="str">
        <f>IF(C46="","",SUMIFS(Торговля!$H$5:$H$300,Торговля!$E$5:$E$300,$B46)+SUMIFS(Закрытые!$H$5:$H$300,Закрытые!$E$5:$E$300,$B46,Закрытые!$B$5:$B$300,"T-*"))</f>
        <v/>
      </c>
      <c r="F46" s="246" t="str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 t="str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 t="str">
        <f>IF(F46="","",SUMIFS(Торговля!$K$5:$K$300,Торговля!$E$5:$E$300,$B46)+SUMIFS(Закрытые!$K$5:$K$300,Закрытые!$E$5:$E$300,$B46,Закрытые!$B$5:$B$300,"T-*"))</f>
        <v/>
      </c>
      <c r="I46" s="246" t="str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 t="str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 t="str">
        <f>IF(MIN(N(C46),N(F46))&lt;=0,"",ROUND(MIN(N(C46),N(F46))*(N(G46)-N(D46)),8))</f>
        <v/>
      </c>
      <c r="L46" s="183" t="str">
        <f>IF(MIN(N(C46),N(F46))&lt;=0,"",IF(N(D46)=0,"",ROUND((N(G46)/N(D46)-1)*100,2)))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 t="str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 t="str">
        <f>IF(C47="","",SUMIFS(Торговля!$H$5:$H$300,Торговля!$E$5:$E$300,$B47)+SUMIFS(Закрытые!$H$5:$H$300,Закрытые!$E$5:$E$300,$B47,Закрытые!$B$5:$B$300,"T-*"))</f>
        <v/>
      </c>
      <c r="F47" s="240" t="str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 t="str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 t="str">
        <f>IF(F47="","",SUMIFS(Торговля!$K$5:$K$300,Торговля!$E$5:$E$300,$B47)+SUMIFS(Закрытые!$K$5:$K$300,Закрытые!$E$5:$E$300,$B47,Закрытые!$B$5:$B$300,"T-*"))</f>
        <v/>
      </c>
      <c r="I47" s="240" t="str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 t="str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 t="str">
        <f>IF(MIN(N(C47),N(F47))&lt;=0,"",ROUND(MIN(N(C47),N(F47))*(N(G47)-N(D47)),8))</f>
        <v/>
      </c>
      <c r="L47" s="177" t="str">
        <f>IF(MIN(N(C47),N(F47))&lt;=0,"",IF(N(D47)=0,"",ROUND((N(G47)/N(D47)-1)*100,2)))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 t="str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 t="str">
        <f>IF(C48="","",SUMIFS(Торговля!$H$5:$H$300,Торговля!$E$5:$E$300,$B48)+SUMIFS(Закрытые!$H$5:$H$300,Закрытые!$E$5:$E$300,$B48,Закрытые!$B$5:$B$300,"T-*"))</f>
        <v/>
      </c>
      <c r="F48" s="246" t="str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 t="str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 t="str">
        <f>IF(F48="","",SUMIFS(Торговля!$K$5:$K$300,Торговля!$E$5:$E$300,$B48)+SUMIFS(Закрытые!$K$5:$K$300,Закрытые!$E$5:$E$300,$B48,Закрытые!$B$5:$B$300,"T-*"))</f>
        <v/>
      </c>
      <c r="I48" s="246" t="str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 t="str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 t="str">
        <f>IF(MIN(N(C48),N(F48))&lt;=0,"",ROUND(MIN(N(C48),N(F48))*(N(G48)-N(D48)),8))</f>
        <v/>
      </c>
      <c r="L48" s="183" t="str">
        <f>IF(MIN(N(C48),N(F48))&lt;=0,"",IF(N(D48)=0,"",ROUND((N(G48)/N(D48)-1)*100,2)))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 t="str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 t="str">
        <f>IF(C49="","",SUMIFS(Торговля!$H$5:$H$300,Торговля!$E$5:$E$300,$B49)+SUMIFS(Закрытые!$H$5:$H$300,Закрытые!$E$5:$E$300,$B49,Закрытые!$B$5:$B$300,"T-*"))</f>
        <v/>
      </c>
      <c r="F49" s="240" t="str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 t="str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 t="str">
        <f>IF(F49="","",SUMIFS(Торговля!$K$5:$K$300,Торговля!$E$5:$E$300,$B49)+SUMIFS(Закрытые!$K$5:$K$300,Закрытые!$E$5:$E$300,$B49,Закрытые!$B$5:$B$300,"T-*"))</f>
        <v/>
      </c>
      <c r="I49" s="240" t="str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 t="str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 t="str">
        <f>IF(MIN(N(C49),N(F49))&lt;=0,"",ROUND(MIN(N(C49),N(F49))*(N(G49)-N(D49)),8))</f>
        <v/>
      </c>
      <c r="L49" s="177" t="str">
        <f>IF(MIN(N(C49),N(F49))&lt;=0,"",IF(N(D49)=0,"",ROUND((N(G49)/N(D49)-1)*100,2)))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 t="str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 t="str">
        <f>IF(C50="","",SUMIFS(Торговля!$H$5:$H$300,Торговля!$E$5:$E$300,$B50)+SUMIFS(Закрытые!$H$5:$H$300,Закрытые!$E$5:$E$300,$B50,Закрытые!$B$5:$B$300,"T-*"))</f>
        <v/>
      </c>
      <c r="F50" s="246" t="str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 t="str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 t="str">
        <f>IF(F50="","",SUMIFS(Торговля!$K$5:$K$300,Торговля!$E$5:$E$300,$B50)+SUMIFS(Закрытые!$K$5:$K$300,Закрытые!$E$5:$E$300,$B50,Закрытые!$B$5:$B$300,"T-*"))</f>
        <v/>
      </c>
      <c r="I50" s="246" t="str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 t="str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 t="str">
        <f>IF(MIN(N(C50),N(F50))&lt;=0,"",ROUND(MIN(N(C50),N(F50))*(N(G50)-N(D50)),8))</f>
        <v/>
      </c>
      <c r="L50" s="183" t="str">
        <f>IF(MIN(N(C50),N(F50))&lt;=0,"",IF(N(D50)=0,"",ROUND((N(G50)/N(D50)-1)*100,2)))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 t="str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 t="str">
        <f>IF(C51="","",SUMIFS(Торговля!$H$5:$H$300,Торговля!$E$5:$E$300,$B51)+SUMIFS(Закрытые!$H$5:$H$300,Закрытые!$E$5:$E$300,$B51,Закрытые!$B$5:$B$300,"T-*"))</f>
        <v/>
      </c>
      <c r="F51" s="240" t="str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 t="str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 t="str">
        <f>IF(F51="","",SUMIFS(Торговля!$K$5:$K$300,Торговля!$E$5:$E$300,$B51)+SUMIFS(Закрытые!$K$5:$K$300,Закрытые!$E$5:$E$300,$B51,Закрытые!$B$5:$B$300,"T-*"))</f>
        <v/>
      </c>
      <c r="I51" s="240" t="str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 t="str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 t="str">
        <f>IF(MIN(N(C51),N(F51))&lt;=0,"",ROUND(MIN(N(C51),N(F51))*(N(G51)-N(D51)),8))</f>
        <v/>
      </c>
      <c r="L51" s="177" t="str">
        <f>IF(MIN(N(C51),N(F51))&lt;=0,"",IF(N(D51)=0,"",ROUND((N(G51)/N(D51)-1)*100,2)))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 t="str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 t="str">
        <f>IF(C52="","",SUMIFS(Торговля!$H$5:$H$300,Торговля!$E$5:$E$300,$B52)+SUMIFS(Закрытые!$H$5:$H$300,Закрытые!$E$5:$E$300,$B52,Закрытые!$B$5:$B$300,"T-*"))</f>
        <v/>
      </c>
      <c r="F52" s="246" t="str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 t="str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 t="str">
        <f>IF(F52="","",SUMIFS(Торговля!$K$5:$K$300,Торговля!$E$5:$E$300,$B52)+SUMIFS(Закрытые!$K$5:$K$300,Закрытые!$E$5:$E$300,$B52,Закрытые!$B$5:$B$300,"T-*"))</f>
        <v/>
      </c>
      <c r="I52" s="246" t="str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 t="str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 t="str">
        <f>IF(MIN(N(C52),N(F52))&lt;=0,"",ROUND(MIN(N(C52),N(F52))*(N(G52)-N(D52)),8))</f>
        <v/>
      </c>
      <c r="L52" s="183" t="str">
        <f>IF(MIN(N(C52),N(F52))&lt;=0,"",IF(N(D52)=0,"",ROUND((N(G52)/N(D52)-1)*100,2)))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 t="str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 t="str">
        <f>IF(C53="","",SUMIFS(Торговля!$H$5:$H$300,Торговля!$E$5:$E$300,$B53)+SUMIFS(Закрытые!$H$5:$H$300,Закрытые!$E$5:$E$300,$B53,Закрытые!$B$5:$B$300,"T-*"))</f>
        <v/>
      </c>
      <c r="F53" s="240" t="str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 t="str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 t="str">
        <f>IF(F53="","",SUMIFS(Торговля!$K$5:$K$300,Торговля!$E$5:$E$300,$B53)+SUMIFS(Закрытые!$K$5:$K$300,Закрытые!$E$5:$E$300,$B53,Закрытые!$B$5:$B$300,"T-*"))</f>
        <v/>
      </c>
      <c r="I53" s="240" t="str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 t="str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 t="str">
        <f>IF(MIN(N(C53),N(F53))&lt;=0,"",ROUND(MIN(N(C53),N(F53))*(N(G53)-N(D53)),8))</f>
        <v/>
      </c>
      <c r="L53" s="177" t="str">
        <f>IF(MIN(N(C53),N(F53))&lt;=0,"",IF(N(D53)=0,"",ROUND((N(G53)/N(D53)-1)*100,2)))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 t="str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 t="str">
        <f>IF(C54="","",SUMIFS(Торговля!$H$5:$H$300,Торговля!$E$5:$E$300,$B54)+SUMIFS(Закрытые!$H$5:$H$300,Закрытые!$E$5:$E$300,$B54,Закрытые!$B$5:$B$300,"T-*"))</f>
        <v/>
      </c>
      <c r="F54" s="246" t="str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 t="str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 t="str">
        <f>IF(F54="","",SUMIFS(Торговля!$K$5:$K$300,Торговля!$E$5:$E$300,$B54)+SUMIFS(Закрытые!$K$5:$K$300,Закрытые!$E$5:$E$300,$B54,Закрытые!$B$5:$B$300,"T-*"))</f>
        <v/>
      </c>
      <c r="I54" s="246" t="str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 t="str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 t="str">
        <f>IF(MIN(N(C54),N(F54))&lt;=0,"",ROUND(MIN(N(C54),N(F54))*(N(G54)-N(D54)),8))</f>
        <v/>
      </c>
      <c r="L54" s="183" t="str">
        <f>IF(MIN(N(C54),N(F54))&lt;=0,"",IF(N(D54)=0,"",ROUND((N(G54)/N(D54)-1)*100,2)))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 t="str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 t="str">
        <f>IF(C55="","",SUMIFS(Торговля!$H$5:$H$300,Торговля!$E$5:$E$300,$B55)+SUMIFS(Закрытые!$H$5:$H$300,Закрытые!$E$5:$E$300,$B55,Закрытые!$B$5:$B$300,"T-*"))</f>
        <v/>
      </c>
      <c r="F55" s="240" t="str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 t="str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 t="str">
        <f>IF(F55="","",SUMIFS(Торговля!$K$5:$K$300,Торговля!$E$5:$E$300,$B55)+SUMIFS(Закрытые!$K$5:$K$300,Закрытые!$E$5:$E$300,$B55,Закрытые!$B$5:$B$300,"T-*"))</f>
        <v/>
      </c>
      <c r="I55" s="240" t="str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 t="str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 t="str">
        <f>IF(MIN(N(C55),N(F55))&lt;=0,"",ROUND(MIN(N(C55),N(F55))*(N(G55)-N(D55)),8))</f>
        <v/>
      </c>
      <c r="L55" s="177" t="str">
        <f>IF(MIN(N(C55),N(F55))&lt;=0,"",IF(N(D55)=0,"",ROUND((N(G55)/N(D55)-1)*100,2)))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 t="str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 t="str">
        <f>IF(C56="","",SUMIFS(Торговля!$H$5:$H$300,Торговля!$E$5:$E$300,$B56)+SUMIFS(Закрытые!$H$5:$H$300,Закрытые!$E$5:$E$300,$B56,Закрытые!$B$5:$B$300,"T-*"))</f>
        <v/>
      </c>
      <c r="F56" s="246" t="str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 t="str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 t="str">
        <f>IF(F56="","",SUMIFS(Торговля!$K$5:$K$300,Торговля!$E$5:$E$300,$B56)+SUMIFS(Закрытые!$K$5:$K$300,Закрытые!$E$5:$E$300,$B56,Закрытые!$B$5:$B$300,"T-*"))</f>
        <v/>
      </c>
      <c r="I56" s="246" t="str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 t="str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 t="str">
        <f>IF(MIN(N(C56),N(F56))&lt;=0,"",ROUND(MIN(N(C56),N(F56))*(N(G56)-N(D56)),8))</f>
        <v/>
      </c>
      <c r="L56" s="183" t="str">
        <f>IF(MIN(N(C56),N(F56))&lt;=0,"",IF(N(D56)=0,"",ROUND((N(G56)/N(D56)-1)*100,2)))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 t="str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 t="str">
        <f>IF(C57="","",SUMIFS(Торговля!$H$5:$H$300,Торговля!$E$5:$E$300,$B57)+SUMIFS(Закрытые!$H$5:$H$300,Закрытые!$E$5:$E$300,$B57,Закрытые!$B$5:$B$300,"T-*"))</f>
        <v/>
      </c>
      <c r="F57" s="240" t="str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 t="str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 t="str">
        <f>IF(F57="","",SUMIFS(Торговля!$K$5:$K$300,Торговля!$E$5:$E$300,$B57)+SUMIFS(Закрытые!$K$5:$K$300,Закрытые!$E$5:$E$300,$B57,Закрытые!$B$5:$B$300,"T-*"))</f>
        <v/>
      </c>
      <c r="I57" s="240" t="str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 t="str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 t="str">
        <f>IF(MIN(N(C57),N(F57))&lt;=0,"",ROUND(MIN(N(C57),N(F57))*(N(G57)-N(D57)),8))</f>
        <v/>
      </c>
      <c r="L57" s="177" t="str">
        <f>IF(MIN(N(C57),N(F57))&lt;=0,"",IF(N(D57)=0,"",ROUND((N(G57)/N(D57)-1)*100,2)))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 t="str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 t="str">
        <f>IF(C58="","",SUMIFS(Торговля!$H$5:$H$300,Торговля!$E$5:$E$300,$B58)+SUMIFS(Закрытые!$H$5:$H$300,Закрытые!$E$5:$E$300,$B58,Закрытые!$B$5:$B$300,"T-*"))</f>
        <v/>
      </c>
      <c r="F58" s="246" t="str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 t="str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 t="str">
        <f>IF(F58="","",SUMIFS(Торговля!$K$5:$K$300,Торговля!$E$5:$E$300,$B58)+SUMIFS(Закрытые!$K$5:$K$300,Закрытые!$E$5:$E$300,$B58,Закрытые!$B$5:$B$300,"T-*"))</f>
        <v/>
      </c>
      <c r="I58" s="246" t="str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 t="str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 t="str">
        <f>IF(MIN(N(C58),N(F58))&lt;=0,"",ROUND(MIN(N(C58),N(F58))*(N(G58)-N(D58)),8))</f>
        <v/>
      </c>
      <c r="L58" s="183" t="str">
        <f>IF(MIN(N(C58),N(F58))&lt;=0,"",IF(N(D58)=0,"",ROUND((N(G58)/N(D58)-1)*100,2)))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 t="str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 t="str">
        <f>IF(C59="","",SUMIFS(Торговля!$H$5:$H$300,Торговля!$E$5:$E$300,$B59)+SUMIFS(Закрытые!$H$5:$H$300,Закрытые!$E$5:$E$300,$B59,Закрытые!$B$5:$B$300,"T-*"))</f>
        <v/>
      </c>
      <c r="F59" s="240" t="str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 t="str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 t="str">
        <f>IF(F59="","",SUMIFS(Торговля!$K$5:$K$300,Торговля!$E$5:$E$300,$B59)+SUMIFS(Закрытые!$K$5:$K$300,Закрытые!$E$5:$E$300,$B59,Закрытые!$B$5:$B$300,"T-*"))</f>
        <v/>
      </c>
      <c r="I59" s="240" t="str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 t="str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 t="str">
        <f>IF(MIN(N(C59),N(F59))&lt;=0,"",ROUND(MIN(N(C59),N(F59))*(N(G59)-N(D59)),8))</f>
        <v/>
      </c>
      <c r="L59" s="177" t="str">
        <f>IF(MIN(N(C59),N(F59))&lt;=0,"",IF(N(D59)=0,"",ROUND((N(G59)/N(D59)-1)*100,2)))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 t="str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 t="str">
        <f>IF(C60="","",SUMIFS(Торговля!$H$5:$H$300,Торговля!$E$5:$E$300,$B60)+SUMIFS(Закрытые!$H$5:$H$300,Закрытые!$E$5:$E$300,$B60,Закрытые!$B$5:$B$300,"T-*"))</f>
        <v/>
      </c>
      <c r="F60" s="246" t="str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 t="str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 t="str">
        <f>IF(F60="","",SUMIFS(Торговля!$K$5:$K$300,Торговля!$E$5:$E$300,$B60)+SUMIFS(Закрытые!$K$5:$K$300,Закрытые!$E$5:$E$300,$B60,Закрытые!$B$5:$B$300,"T-*"))</f>
        <v/>
      </c>
      <c r="I60" s="246" t="str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 t="str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 t="str">
        <f>IF(MIN(N(C60),N(F60))&lt;=0,"",ROUND(MIN(N(C60),N(F60))*(N(G60)-N(D60)),8))</f>
        <v/>
      </c>
      <c r="L60" s="183" t="str">
        <f>IF(MIN(N(C60),N(F60))&lt;=0,"",IF(N(D60)=0,"",ROUND((N(G60)/N(D60)-1)*100,2)))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 t="str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 t="str">
        <f>IF(C61="","",SUMIFS(Торговля!$H$5:$H$300,Торговля!$E$5:$E$300,$B61)+SUMIFS(Закрытые!$H$5:$H$300,Закрытые!$E$5:$E$300,$B61,Закрытые!$B$5:$B$300,"T-*"))</f>
        <v/>
      </c>
      <c r="F61" s="240" t="str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 t="str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 t="str">
        <f>IF(F61="","",SUMIFS(Торговля!$K$5:$K$300,Торговля!$E$5:$E$300,$B61)+SUMIFS(Закрытые!$K$5:$K$300,Закрытые!$E$5:$E$300,$B61,Закрытые!$B$5:$B$300,"T-*"))</f>
        <v/>
      </c>
      <c r="I61" s="240" t="str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 t="str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 t="str">
        <f>IF(MIN(N(C61),N(F61))&lt;=0,"",ROUND(MIN(N(C61),N(F61))*(N(G61)-N(D61)),8))</f>
        <v/>
      </c>
      <c r="L61" s="177" t="str">
        <f>IF(MIN(N(C61),N(F61))&lt;=0,"",IF(N(D61)=0,"",ROUND((N(G61)/N(D61)-1)*100,2)))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 t="str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 t="str">
        <f>IF(C62="","",SUMIFS(Торговля!$H$5:$H$300,Торговля!$E$5:$E$300,$B62)+SUMIFS(Закрытые!$H$5:$H$300,Закрытые!$E$5:$E$300,$B62,Закрытые!$B$5:$B$300,"T-*"))</f>
        <v/>
      </c>
      <c r="F62" s="246" t="str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 t="str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 t="str">
        <f>IF(F62="","",SUMIFS(Торговля!$K$5:$K$300,Торговля!$E$5:$E$300,$B62)+SUMIFS(Закрытые!$K$5:$K$300,Закрытые!$E$5:$E$300,$B62,Закрытые!$B$5:$B$300,"T-*"))</f>
        <v/>
      </c>
      <c r="I62" s="246" t="str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 t="str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 t="str">
        <f>IF(MIN(N(C62),N(F62))&lt;=0,"",ROUND(MIN(N(C62),N(F62))*(N(G62)-N(D62)),8))</f>
        <v/>
      </c>
      <c r="L62" s="183" t="str">
        <f>IF(MIN(N(C62),N(F62))&lt;=0,"",IF(N(D62)=0,"",ROUND((N(G62)/N(D62)-1)*100,2)))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 t="str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 t="str">
        <f>IF(C63="","",SUMIFS(Торговля!$H$5:$H$300,Торговля!$E$5:$E$300,$B63)+SUMIFS(Закрытые!$H$5:$H$300,Закрытые!$E$5:$E$300,$B63,Закрытые!$B$5:$B$300,"T-*"))</f>
        <v/>
      </c>
      <c r="F63" s="240" t="str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 t="str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 t="str">
        <f>IF(F63="","",SUMIFS(Торговля!$K$5:$K$300,Торговля!$E$5:$E$300,$B63)+SUMIFS(Закрытые!$K$5:$K$300,Закрытые!$E$5:$E$300,$B63,Закрытые!$B$5:$B$300,"T-*"))</f>
        <v/>
      </c>
      <c r="I63" s="240" t="str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 t="str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 t="str">
        <f>IF(MIN(N(C63),N(F63))&lt;=0,"",ROUND(MIN(N(C63),N(F63))*(N(G63)-N(D63)),8))</f>
        <v/>
      </c>
      <c r="L63" s="177" t="str">
        <f>IF(MIN(N(C63),N(F63))&lt;=0,"",IF(N(D63)=0,"",ROUND((N(G63)/N(D63)-1)*100,2)))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 t="str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 t="str">
        <f>IF(C64="","",SUMIFS(Торговля!$H$5:$H$300,Торговля!$E$5:$E$300,$B64)+SUMIFS(Закрытые!$H$5:$H$300,Закрытые!$E$5:$E$300,$B64,Закрытые!$B$5:$B$300,"T-*"))</f>
        <v/>
      </c>
      <c r="F64" s="246" t="str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 t="str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 t="str">
        <f>IF(F64="","",SUMIFS(Торговля!$K$5:$K$300,Торговля!$E$5:$E$300,$B64)+SUMIFS(Закрытые!$K$5:$K$300,Закрытые!$E$5:$E$300,$B64,Закрытые!$B$5:$B$300,"T-*"))</f>
        <v/>
      </c>
      <c r="I64" s="246" t="str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 t="str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 t="str">
        <f>IF(MIN(N(C64),N(F64))&lt;=0,"",ROUND(MIN(N(C64),N(F64))*(N(G64)-N(D64)),8))</f>
        <v/>
      </c>
      <c r="L64" s="183" t="str">
        <f>IF(MIN(N(C64),N(F64))&lt;=0,"",IF(N(D64)=0,"",ROUND((N(G64)/N(D64)-1)*100,2)))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 t="str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 t="str">
        <f>IF(C65="","",SUMIFS(Торговля!$H$5:$H$300,Торговля!$E$5:$E$300,$B65)+SUMIFS(Закрытые!$H$5:$H$300,Закрытые!$E$5:$E$300,$B65,Закрытые!$B$5:$B$300,"T-*"))</f>
        <v/>
      </c>
      <c r="F65" s="240" t="str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 t="str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 t="str">
        <f>IF(F65="","",SUMIFS(Торговля!$K$5:$K$300,Торговля!$E$5:$E$300,$B65)+SUMIFS(Закрытые!$K$5:$K$300,Закрытые!$E$5:$E$300,$B65,Закрытые!$B$5:$B$300,"T-*"))</f>
        <v/>
      </c>
      <c r="I65" s="240" t="str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 t="str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 t="str">
        <f>IF(MIN(N(C65),N(F65))&lt;=0,"",ROUND(MIN(N(C65),N(F65))*(N(G65)-N(D65)),8))</f>
        <v/>
      </c>
      <c r="L65" s="177" t="str">
        <f>IF(MIN(N(C65),N(F65))&lt;=0,"",IF(N(D65)=0,"",ROUND((N(G65)/N(D65)-1)*100,2)))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 t="str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 t="str">
        <f>IF(C66="","",SUMIFS(Торговля!$H$5:$H$300,Торговля!$E$5:$E$300,$B66)+SUMIFS(Закрытые!$H$5:$H$300,Закрытые!$E$5:$E$300,$B66,Закрытые!$B$5:$B$300,"T-*"))</f>
        <v/>
      </c>
      <c r="F66" s="246" t="str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 t="str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 t="str">
        <f>IF(F66="","",SUMIFS(Торговля!$K$5:$K$300,Торговля!$E$5:$E$300,$B66)+SUMIFS(Закрытые!$K$5:$K$300,Закрытые!$E$5:$E$300,$B66,Закрытые!$B$5:$B$300,"T-*"))</f>
        <v/>
      </c>
      <c r="I66" s="246" t="str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 t="str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 t="str">
        <f>IF(MIN(N(C66),N(F66))&lt;=0,"",ROUND(MIN(N(C66),N(F66))*(N(G66)-N(D66)),8))</f>
        <v/>
      </c>
      <c r="L66" s="183" t="str">
        <f>IF(MIN(N(C66),N(F66))&lt;=0,"",IF(N(D66)=0,"",ROUND((N(G66)/N(D66)-1)*100,2)))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 t="str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 t="str">
        <f>IF(C67="","",SUMIFS(Торговля!$H$5:$H$300,Торговля!$E$5:$E$300,$B67)+SUMIFS(Закрытые!$H$5:$H$300,Закрытые!$E$5:$E$300,$B67,Закрытые!$B$5:$B$300,"T-*"))</f>
        <v/>
      </c>
      <c r="F67" s="240" t="str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 t="str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 t="str">
        <f>IF(F67="","",SUMIFS(Торговля!$K$5:$K$300,Торговля!$E$5:$E$300,$B67)+SUMIFS(Закрытые!$K$5:$K$300,Закрытые!$E$5:$E$300,$B67,Закрытые!$B$5:$B$300,"T-*"))</f>
        <v/>
      </c>
      <c r="I67" s="240" t="str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 t="str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 t="str">
        <f>IF(MIN(N(C67),N(F67))&lt;=0,"",ROUND(MIN(N(C67),N(F67))*(N(G67)-N(D67)),8))</f>
        <v/>
      </c>
      <c r="L67" s="177" t="str">
        <f>IF(MIN(N(C67),N(F67))&lt;=0,"",IF(N(D67)=0,"",ROUND((N(G67)/N(D67)-1)*100,2)))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 t="str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 t="str">
        <f>IF(C68="","",SUMIFS(Торговля!$H$5:$H$300,Торговля!$E$5:$E$300,$B68)+SUMIFS(Закрытые!$H$5:$H$300,Закрытые!$E$5:$E$300,$B68,Закрытые!$B$5:$B$300,"T-*"))</f>
        <v/>
      </c>
      <c r="F68" s="246" t="str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 t="str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 t="str">
        <f>IF(F68="","",SUMIFS(Торговля!$K$5:$K$300,Торговля!$E$5:$E$300,$B68)+SUMIFS(Закрытые!$K$5:$K$300,Закрытые!$E$5:$E$300,$B68,Закрытые!$B$5:$B$300,"T-*"))</f>
        <v/>
      </c>
      <c r="I68" s="246" t="str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 t="str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 t="str">
        <f>IF(MIN(N(C68),N(F68))&lt;=0,"",ROUND(MIN(N(C68),N(F68))*(N(G68)-N(D68)),8))</f>
        <v/>
      </c>
      <c r="L68" s="183" t="str">
        <f>IF(MIN(N(C68),N(F68))&lt;=0,"",IF(N(D68)=0,"",ROUND((N(G68)/N(D68)-1)*100,2)))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 t="str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 t="str">
        <f>IF(C69="","",SUMIFS(Торговля!$H$5:$H$300,Торговля!$E$5:$E$300,$B69)+SUMIFS(Закрытые!$H$5:$H$300,Закрытые!$E$5:$E$300,$B69,Закрытые!$B$5:$B$300,"T-*"))</f>
        <v/>
      </c>
      <c r="F69" s="240" t="str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 t="str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 t="str">
        <f>IF(F69="","",SUMIFS(Торговля!$K$5:$K$300,Торговля!$E$5:$E$300,$B69)+SUMIFS(Закрытые!$K$5:$K$300,Закрытые!$E$5:$E$300,$B69,Закрытые!$B$5:$B$300,"T-*"))</f>
        <v/>
      </c>
      <c r="I69" s="240" t="str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 t="str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 t="str">
        <f>IF(MIN(N(C69),N(F69))&lt;=0,"",ROUND(MIN(N(C69),N(F69))*(N(G69)-N(D69)),8))</f>
        <v/>
      </c>
      <c r="L69" s="177" t="str">
        <f>IF(MIN(N(C69),N(F69))&lt;=0,"",IF(N(D69)=0,"",ROUND((N(G69)/N(D69)-1)*100,2)))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 t="str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 t="str">
        <f>IF(C70="","",SUMIFS(Торговля!$H$5:$H$300,Торговля!$E$5:$E$300,$B70)+SUMIFS(Закрытые!$H$5:$H$300,Закрытые!$E$5:$E$300,$B70,Закрытые!$B$5:$B$300,"T-*"))</f>
        <v/>
      </c>
      <c r="F70" s="246" t="str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 t="str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 t="str">
        <f>IF(F70="","",SUMIFS(Торговля!$K$5:$K$300,Торговля!$E$5:$E$300,$B70)+SUMIFS(Закрытые!$K$5:$K$300,Закрытые!$E$5:$E$300,$B70,Закрытые!$B$5:$B$300,"T-*"))</f>
        <v/>
      </c>
      <c r="I70" s="246" t="str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 t="str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 t="str">
        <f>IF(MIN(N(C70),N(F70))&lt;=0,"",ROUND(MIN(N(C70),N(F70))*(N(G70)-N(D70)),8))</f>
        <v/>
      </c>
      <c r="L70" s="183" t="str">
        <f>IF(MIN(N(C70),N(F70))&lt;=0,"",IF(N(D70)=0,"",ROUND((N(G70)/N(D70)-1)*100,2)))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 t="str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 t="str">
        <f>IF(C71="","",SUMIFS(Торговля!$H$5:$H$300,Торговля!$E$5:$E$300,$B71)+SUMIFS(Закрытые!$H$5:$H$300,Закрытые!$E$5:$E$300,$B71,Закрытые!$B$5:$B$300,"T-*"))</f>
        <v/>
      </c>
      <c r="F71" s="240" t="str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 t="str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 t="str">
        <f>IF(F71="","",SUMIFS(Торговля!$K$5:$K$300,Торговля!$E$5:$E$300,$B71)+SUMIFS(Закрытые!$K$5:$K$300,Закрытые!$E$5:$E$300,$B71,Закрытые!$B$5:$B$300,"T-*"))</f>
        <v/>
      </c>
      <c r="I71" s="240" t="str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 t="str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 t="str">
        <f>IF(MIN(N(C71),N(F71))&lt;=0,"",ROUND(MIN(N(C71),N(F71))*(N(G71)-N(D71)),8))</f>
        <v/>
      </c>
      <c r="L71" s="177" t="str">
        <f>IF(MIN(N(C71),N(F71))&lt;=0,"",IF(N(D71)=0,"",ROUND((N(G71)/N(D71)-1)*100,2)))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 t="str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 t="str">
        <f>IF(C72="","",SUMIFS(Торговля!$H$5:$H$300,Торговля!$E$5:$E$300,$B72)+SUMIFS(Закрытые!$H$5:$H$300,Закрытые!$E$5:$E$300,$B72,Закрытые!$B$5:$B$300,"T-*"))</f>
        <v/>
      </c>
      <c r="F72" s="246" t="str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 t="str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 t="str">
        <f>IF(F72="","",SUMIFS(Торговля!$K$5:$K$300,Торговля!$E$5:$E$300,$B72)+SUMIFS(Закрытые!$K$5:$K$300,Закрытые!$E$5:$E$300,$B72,Закрытые!$B$5:$B$300,"T-*"))</f>
        <v/>
      </c>
      <c r="I72" s="246" t="str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 t="str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 t="str">
        <f>IF(MIN(N(C72),N(F72))&lt;=0,"",ROUND(MIN(N(C72),N(F72))*(N(G72)-N(D72)),8))</f>
        <v/>
      </c>
      <c r="L72" s="183" t="str">
        <f>IF(MIN(N(C72),N(F72))&lt;=0,"",IF(N(D72)=0,"",ROUND((N(G72)/N(D72)-1)*100,2)))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 t="str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 t="str">
        <f>IF(C73="","",SUMIFS(Торговля!$H$5:$H$300,Торговля!$E$5:$E$300,$B73)+SUMIFS(Закрытые!$H$5:$H$300,Закрытые!$E$5:$E$300,$B73,Закрытые!$B$5:$B$300,"T-*"))</f>
        <v/>
      </c>
      <c r="F73" s="240" t="str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 t="str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 t="str">
        <f>IF(F73="","",SUMIFS(Торговля!$K$5:$K$300,Торговля!$E$5:$E$300,$B73)+SUMIFS(Закрытые!$K$5:$K$300,Закрытые!$E$5:$E$300,$B73,Закрытые!$B$5:$B$300,"T-*"))</f>
        <v/>
      </c>
      <c r="I73" s="240" t="str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 t="str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 t="str">
        <f>IF(MIN(N(C73),N(F73))&lt;=0,"",ROUND(MIN(N(C73),N(F73))*(N(G73)-N(D73)),8))</f>
        <v/>
      </c>
      <c r="L73" s="177" t="str">
        <f>IF(MIN(N(C73),N(F73))&lt;=0,"",IF(N(D73)=0,"",ROUND((N(G73)/N(D73)-1)*100,2)))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 t="str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 t="str">
        <f>IF(C74="","",SUMIFS(Торговля!$H$5:$H$300,Торговля!$E$5:$E$300,$B74)+SUMIFS(Закрытые!$H$5:$H$300,Закрытые!$E$5:$E$300,$B74,Закрытые!$B$5:$B$300,"T-*"))</f>
        <v/>
      </c>
      <c r="F74" s="246" t="str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 t="str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 t="str">
        <f>IF(F74="","",SUMIFS(Торговля!$K$5:$K$300,Торговля!$E$5:$E$300,$B74)+SUMIFS(Закрытые!$K$5:$K$300,Закрытые!$E$5:$E$300,$B74,Закрытые!$B$5:$B$300,"T-*"))</f>
        <v/>
      </c>
      <c r="I74" s="246" t="str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 t="str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 t="str">
        <f>IF(MIN(N(C74),N(F74))&lt;=0,"",ROUND(MIN(N(C74),N(F74))*(N(G74)-N(D74)),8))</f>
        <v/>
      </c>
      <c r="L74" s="183" t="str">
        <f>IF(MIN(N(C74),N(F74))&lt;=0,"",IF(N(D74)=0,"",ROUND((N(G74)/N(D74)-1)*100,2)))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 t="str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 t="str">
        <f>IF(C75="","",SUMIFS(Торговля!$H$5:$H$300,Торговля!$E$5:$E$300,$B75)+SUMIFS(Закрытые!$H$5:$H$300,Закрытые!$E$5:$E$300,$B75,Закрытые!$B$5:$B$300,"T-*"))</f>
        <v/>
      </c>
      <c r="F75" s="240" t="str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 t="str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 t="str">
        <f>IF(F75="","",SUMIFS(Торговля!$K$5:$K$300,Торговля!$E$5:$E$300,$B75)+SUMIFS(Закрытые!$K$5:$K$300,Закрытые!$E$5:$E$300,$B75,Закрытые!$B$5:$B$300,"T-*"))</f>
        <v/>
      </c>
      <c r="I75" s="240" t="str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 t="str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 t="str">
        <f>IF(MIN(N(C75),N(F75))&lt;=0,"",ROUND(MIN(N(C75),N(F75))*(N(G75)-N(D75)),8))</f>
        <v/>
      </c>
      <c r="L75" s="177" t="str">
        <f>IF(MIN(N(C75),N(F75))&lt;=0,"",IF(N(D75)=0,"",ROUND((N(G75)/N(D75)-1)*100,2)))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 t="str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 t="str">
        <f>IF(C76="","",SUMIFS(Торговля!$H$5:$H$300,Торговля!$E$5:$E$300,$B76)+SUMIFS(Закрытые!$H$5:$H$300,Закрытые!$E$5:$E$300,$B76,Закрытые!$B$5:$B$300,"T-*"))</f>
        <v/>
      </c>
      <c r="F76" s="246" t="str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 t="str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 t="str">
        <f>IF(F76="","",SUMIFS(Торговля!$K$5:$K$300,Торговля!$E$5:$E$300,$B76)+SUMIFS(Закрытые!$K$5:$K$300,Закрытые!$E$5:$E$300,$B76,Закрытые!$B$5:$B$300,"T-*"))</f>
        <v/>
      </c>
      <c r="I76" s="246" t="str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 t="str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 t="str">
        <f>IF(MIN(N(C76),N(F76))&lt;=0,"",ROUND(MIN(N(C76),N(F76))*(N(G76)-N(D76)),8))</f>
        <v/>
      </c>
      <c r="L76" s="183" t="str">
        <f>IF(MIN(N(C76),N(F76))&lt;=0,"",IF(N(D76)=0,"",ROUND((N(G76)/N(D76)-1)*100,2)))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 t="str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 t="str">
        <f>IF(C77="","",SUMIFS(Торговля!$H$5:$H$300,Торговля!$E$5:$E$300,$B77)+SUMIFS(Закрытые!$H$5:$H$300,Закрытые!$E$5:$E$300,$B77,Закрытые!$B$5:$B$300,"T-*"))</f>
        <v/>
      </c>
      <c r="F77" s="240" t="str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 t="str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 t="str">
        <f>IF(F77="","",SUMIFS(Торговля!$K$5:$K$300,Торговля!$E$5:$E$300,$B77)+SUMIFS(Закрытые!$K$5:$K$300,Закрытые!$E$5:$E$300,$B77,Закрытые!$B$5:$B$300,"T-*"))</f>
        <v/>
      </c>
      <c r="I77" s="240" t="str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 t="str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 t="str">
        <f>IF(MIN(N(C77),N(F77))&lt;=0,"",ROUND(MIN(N(C77),N(F77))*(N(G77)-N(D77)),8))</f>
        <v/>
      </c>
      <c r="L77" s="177" t="str">
        <f>IF(MIN(N(C77),N(F77))&lt;=0,"",IF(N(D77)=0,"",ROUND((N(G77)/N(D77)-1)*100,2)))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 t="str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 t="str">
        <f>IF(C78="","",SUMIFS(Торговля!$H$5:$H$300,Торговля!$E$5:$E$300,$B78)+SUMIFS(Закрытые!$H$5:$H$300,Закрытые!$E$5:$E$300,$B78,Закрытые!$B$5:$B$300,"T-*"))</f>
        <v/>
      </c>
      <c r="F78" s="246" t="str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 t="str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 t="str">
        <f>IF(F78="","",SUMIFS(Торговля!$K$5:$K$300,Торговля!$E$5:$E$300,$B78)+SUMIFS(Закрытые!$K$5:$K$300,Закрытые!$E$5:$E$300,$B78,Закрытые!$B$5:$B$300,"T-*"))</f>
        <v/>
      </c>
      <c r="I78" s="246" t="str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 t="str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 t="str">
        <f>IF(MIN(N(C78),N(F78))&lt;=0,"",ROUND(MIN(N(C78),N(F78))*(N(G78)-N(D78)),8))</f>
        <v/>
      </c>
      <c r="L78" s="183" t="str">
        <f>IF(MIN(N(C78),N(F78))&lt;=0,"",IF(N(D78)=0,"",ROUND((N(G78)/N(D78)-1)*100,2)))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 t="str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 t="str">
        <f>IF(C79="","",SUMIFS(Торговля!$H$5:$H$300,Торговля!$E$5:$E$300,$B79)+SUMIFS(Закрытые!$H$5:$H$300,Закрытые!$E$5:$E$300,$B79,Закрытые!$B$5:$B$300,"T-*"))</f>
        <v/>
      </c>
      <c r="F79" s="240" t="str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 t="str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 t="str">
        <f>IF(F79="","",SUMIFS(Торговля!$K$5:$K$300,Торговля!$E$5:$E$300,$B79)+SUMIFS(Закрытые!$K$5:$K$300,Закрытые!$E$5:$E$300,$B79,Закрытые!$B$5:$B$300,"T-*"))</f>
        <v/>
      </c>
      <c r="I79" s="240" t="str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 t="str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 t="str">
        <f>IF(MIN(N(C79),N(F79))&lt;=0,"",ROUND(MIN(N(C79),N(F79))*(N(G79)-N(D79)),8))</f>
        <v/>
      </c>
      <c r="L79" s="177" t="str">
        <f>IF(MIN(N(C79),N(F79))&lt;=0,"",IF(N(D79)=0,"",ROUND((N(G79)/N(D79)-1)*100,2)))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 t="str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 t="str">
        <f>IF(C80="","",SUMIFS(Торговля!$H$5:$H$300,Торговля!$E$5:$E$300,$B80)+SUMIFS(Закрытые!$H$5:$H$300,Закрытые!$E$5:$E$300,$B80,Закрытые!$B$5:$B$300,"T-*"))</f>
        <v/>
      </c>
      <c r="F80" s="246" t="str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 t="str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 t="str">
        <f>IF(F80="","",SUMIFS(Торговля!$K$5:$K$300,Торговля!$E$5:$E$300,$B80)+SUMIFS(Закрытые!$K$5:$K$300,Закрытые!$E$5:$E$300,$B80,Закрытые!$B$5:$B$300,"T-*"))</f>
        <v/>
      </c>
      <c r="I80" s="246" t="str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 t="str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 t="str">
        <f>IF(MIN(N(C80),N(F80))&lt;=0,"",ROUND(MIN(N(C80),N(F80))*(N(G80)-N(D80)),8))</f>
        <v/>
      </c>
      <c r="L80" s="183" t="str">
        <f>IF(MIN(N(C80),N(F80))&lt;=0,"",IF(N(D80)=0,"",ROUND((N(G80)/N(D80)-1)*100,2)))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 t="str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 t="str">
        <f>IF(C81="","",SUMIFS(Торговля!$H$5:$H$300,Торговля!$E$5:$E$300,$B81)+SUMIFS(Закрытые!$H$5:$H$300,Закрытые!$E$5:$E$300,$B81,Закрытые!$B$5:$B$300,"T-*"))</f>
        <v/>
      </c>
      <c r="F81" s="240" t="str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 t="str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 t="str">
        <f>IF(F81="","",SUMIFS(Торговля!$K$5:$K$300,Торговля!$E$5:$E$300,$B81)+SUMIFS(Закрытые!$K$5:$K$300,Закрытые!$E$5:$E$300,$B81,Закрытые!$B$5:$B$300,"T-*"))</f>
        <v/>
      </c>
      <c r="I81" s="240" t="str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 t="str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 t="str">
        <f>IF(MIN(N(C81),N(F81))&lt;=0,"",ROUND(MIN(N(C81),N(F81))*(N(G81)-N(D81)),8))</f>
        <v/>
      </c>
      <c r="L81" s="177" t="str">
        <f>IF(MIN(N(C81),N(F81))&lt;=0,"",IF(N(D81)=0,"",ROUND((N(G81)/N(D81)-1)*100,2)))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 t="str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 t="str">
        <f>IF(C82="","",SUMIFS(Торговля!$H$5:$H$300,Торговля!$E$5:$E$300,$B82)+SUMIFS(Закрытые!$H$5:$H$300,Закрытые!$E$5:$E$300,$B82,Закрытые!$B$5:$B$300,"T-*"))</f>
        <v/>
      </c>
      <c r="F82" s="246" t="str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 t="str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 t="str">
        <f>IF(F82="","",SUMIFS(Торговля!$K$5:$K$300,Торговля!$E$5:$E$300,$B82)+SUMIFS(Закрытые!$K$5:$K$300,Закрытые!$E$5:$E$300,$B82,Закрытые!$B$5:$B$300,"T-*"))</f>
        <v/>
      </c>
      <c r="I82" s="246" t="str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 t="str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 t="str">
        <f>IF(MIN(N(C82),N(F82))&lt;=0,"",ROUND(MIN(N(C82),N(F82))*(N(G82)-N(D82)),8))</f>
        <v/>
      </c>
      <c r="L82" s="183" t="str">
        <f>IF(MIN(N(C82),N(F82))&lt;=0,"",IF(N(D82)=0,"",ROUND((N(G82)/N(D82)-1)*100,2)))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 t="str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 t="str">
        <f>IF(C83="","",SUMIFS(Торговля!$H$5:$H$300,Торговля!$E$5:$E$300,$B83)+SUMIFS(Закрытые!$H$5:$H$300,Закрытые!$E$5:$E$300,$B83,Закрытые!$B$5:$B$300,"T-*"))</f>
        <v/>
      </c>
      <c r="F83" s="240" t="str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 t="str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 t="str">
        <f>IF(F83="","",SUMIFS(Торговля!$K$5:$K$300,Торговля!$E$5:$E$300,$B83)+SUMIFS(Закрытые!$K$5:$K$300,Закрытые!$E$5:$E$300,$B83,Закрытые!$B$5:$B$300,"T-*"))</f>
        <v/>
      </c>
      <c r="I83" s="240" t="str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 t="str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 t="str">
        <f>IF(MIN(N(C83),N(F83))&lt;=0,"",ROUND(MIN(N(C83),N(F83))*(N(G83)-N(D83)),8))</f>
        <v/>
      </c>
      <c r="L83" s="177" t="str">
        <f>IF(MIN(N(C83),N(F83))&lt;=0,"",IF(N(D83)=0,"",ROUND((N(G83)/N(D83)-1)*100,2)))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 t="str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 t="str">
        <f>IF(C84="","",SUMIFS(Торговля!$H$5:$H$300,Торговля!$E$5:$E$300,$B84)+SUMIFS(Закрытые!$H$5:$H$300,Закрытые!$E$5:$E$300,$B84,Закрытые!$B$5:$B$300,"T-*"))</f>
        <v/>
      </c>
      <c r="F84" s="246" t="str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 t="str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 t="str">
        <f>IF(F84="","",SUMIFS(Торговля!$K$5:$K$300,Торговля!$E$5:$E$300,$B84)+SUMIFS(Закрытые!$K$5:$K$300,Закрытые!$E$5:$E$300,$B84,Закрытые!$B$5:$B$300,"T-*"))</f>
        <v/>
      </c>
      <c r="I84" s="246" t="str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 t="str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 t="str">
        <f>IF(MIN(N(C84),N(F84))&lt;=0,"",ROUND(MIN(N(C84),N(F84))*(N(G84)-N(D84)),8))</f>
        <v/>
      </c>
      <c r="L84" s="183" t="str">
        <f>IF(MIN(N(C84),N(F84))&lt;=0,"",IF(N(D84)=0,"",ROUND((N(G84)/N(D84)-1)*100,2)))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 t="str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 t="str">
        <f>IF(C85="","",SUMIFS(Торговля!$H$5:$H$300,Торговля!$E$5:$E$300,$B85)+SUMIFS(Закрытые!$H$5:$H$300,Закрытые!$E$5:$E$300,$B85,Закрытые!$B$5:$B$300,"T-*"))</f>
        <v/>
      </c>
      <c r="F85" s="240" t="str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 t="str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 t="str">
        <f>IF(F85="","",SUMIFS(Торговля!$K$5:$K$300,Торговля!$E$5:$E$300,$B85)+SUMIFS(Закрытые!$K$5:$K$300,Закрытые!$E$5:$E$300,$B85,Закрытые!$B$5:$B$300,"T-*"))</f>
        <v/>
      </c>
      <c r="I85" s="240" t="str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 t="str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 t="str">
        <f>IF(MIN(N(C85),N(F85))&lt;=0,"",ROUND(MIN(N(C85),N(F85))*(N(G85)-N(D85)),8))</f>
        <v/>
      </c>
      <c r="L85" s="177" t="str">
        <f>IF(MIN(N(C85),N(F85))&lt;=0,"",IF(N(D85)=0,"",ROUND((N(G85)/N(D85)-1)*100,2)))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 t="str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 t="str">
        <f>IF(C86="","",SUMIFS(Торговля!$H$5:$H$300,Торговля!$E$5:$E$300,$B86)+SUMIFS(Закрытые!$H$5:$H$300,Закрытые!$E$5:$E$300,$B86,Закрытые!$B$5:$B$300,"T-*"))</f>
        <v/>
      </c>
      <c r="F86" s="246" t="str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 t="str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 t="str">
        <f>IF(F86="","",SUMIFS(Торговля!$K$5:$K$300,Торговля!$E$5:$E$300,$B86)+SUMIFS(Закрытые!$K$5:$K$300,Закрытые!$E$5:$E$300,$B86,Закрытые!$B$5:$B$300,"T-*"))</f>
        <v/>
      </c>
      <c r="I86" s="246" t="str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 t="str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 t="str">
        <f>IF(MIN(N(C86),N(F86))&lt;=0,"",ROUND(MIN(N(C86),N(F86))*(N(G86)-N(D86)),8))</f>
        <v/>
      </c>
      <c r="L86" s="183" t="str">
        <f>IF(MIN(N(C86),N(F86))&lt;=0,"",IF(N(D86)=0,"",ROUND((N(G86)/N(D86)-1)*100,2)))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 t="str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 t="str">
        <f>IF(C87="","",SUMIFS(Торговля!$H$5:$H$300,Торговля!$E$5:$E$300,$B87)+SUMIFS(Закрытые!$H$5:$H$300,Закрытые!$E$5:$E$300,$B87,Закрытые!$B$5:$B$300,"T-*"))</f>
        <v/>
      </c>
      <c r="F87" s="240" t="str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 t="str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 t="str">
        <f>IF(F87="","",SUMIFS(Торговля!$K$5:$K$300,Торговля!$E$5:$E$300,$B87)+SUMIFS(Закрытые!$K$5:$K$300,Закрытые!$E$5:$E$300,$B87,Закрытые!$B$5:$B$300,"T-*"))</f>
        <v/>
      </c>
      <c r="I87" s="240" t="str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 t="str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 t="str">
        <f>IF(MIN(N(C87),N(F87))&lt;=0,"",ROUND(MIN(N(C87),N(F87))*(N(G87)-N(D87)),8))</f>
        <v/>
      </c>
      <c r="L87" s="177" t="str">
        <f>IF(MIN(N(C87),N(F87))&lt;=0,"",IF(N(D87)=0,"",ROUND((N(G87)/N(D87)-1)*100,2)))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 t="str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 t="str">
        <f>IF(C88="","",SUMIFS(Торговля!$H$5:$H$300,Торговля!$E$5:$E$300,$B88)+SUMIFS(Закрытые!$H$5:$H$300,Закрытые!$E$5:$E$300,$B88,Закрытые!$B$5:$B$300,"T-*"))</f>
        <v/>
      </c>
      <c r="F88" s="246" t="str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 t="str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 t="str">
        <f>IF(F88="","",SUMIFS(Торговля!$K$5:$K$300,Торговля!$E$5:$E$300,$B88)+SUMIFS(Закрытые!$K$5:$K$300,Закрытые!$E$5:$E$300,$B88,Закрытые!$B$5:$B$300,"T-*"))</f>
        <v/>
      </c>
      <c r="I88" s="246" t="str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 t="str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 t="str">
        <f>IF(MIN(N(C88),N(F88))&lt;=0,"",ROUND(MIN(N(C88),N(F88))*(N(G88)-N(D88)),8))</f>
        <v/>
      </c>
      <c r="L88" s="183" t="str">
        <f>IF(MIN(N(C88),N(F88))&lt;=0,"",IF(N(D88)=0,"",ROUND((N(G88)/N(D88)-1)*100,2)))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 t="str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 t="str">
        <f>IF(C89="","",SUMIFS(Торговля!$H$5:$H$300,Торговля!$E$5:$E$300,$B89)+SUMIFS(Закрытые!$H$5:$H$300,Закрытые!$E$5:$E$300,$B89,Закрытые!$B$5:$B$300,"T-*"))</f>
        <v/>
      </c>
      <c r="F89" s="240" t="str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 t="str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 t="str">
        <f>IF(F89="","",SUMIFS(Торговля!$K$5:$K$300,Торговля!$E$5:$E$300,$B89)+SUMIFS(Закрытые!$K$5:$K$300,Закрытые!$E$5:$E$300,$B89,Закрытые!$B$5:$B$300,"T-*"))</f>
        <v/>
      </c>
      <c r="I89" s="240" t="str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 t="str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 t="str">
        <f>IF(MIN(N(C89),N(F89))&lt;=0,"",ROUND(MIN(N(C89),N(F89))*(N(G89)-N(D89)),8))</f>
        <v/>
      </c>
      <c r="L89" s="177" t="str">
        <f>IF(MIN(N(C89),N(F89))&lt;=0,"",IF(N(D89)=0,"",ROUND((N(G89)/N(D89)-1)*100,2)))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 t="str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 t="str">
        <f>IF(C90="","",SUMIFS(Торговля!$H$5:$H$300,Торговля!$E$5:$E$300,$B90)+SUMIFS(Закрытые!$H$5:$H$300,Закрытые!$E$5:$E$300,$B90,Закрытые!$B$5:$B$300,"T-*"))</f>
        <v/>
      </c>
      <c r="F90" s="246" t="str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 t="str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 t="str">
        <f>IF(F90="","",SUMIFS(Торговля!$K$5:$K$300,Торговля!$E$5:$E$300,$B90)+SUMIFS(Закрытые!$K$5:$K$300,Закрытые!$E$5:$E$300,$B90,Закрытые!$B$5:$B$300,"T-*"))</f>
        <v/>
      </c>
      <c r="I90" s="246" t="str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 t="str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 t="str">
        <f>IF(MIN(N(C90),N(F90))&lt;=0,"",ROUND(MIN(N(C90),N(F90))*(N(G90)-N(D90)),8))</f>
        <v/>
      </c>
      <c r="L90" s="183" t="str">
        <f>IF(MIN(N(C90),N(F90))&lt;=0,"",IF(N(D90)=0,"",ROUND((N(G90)/N(D90)-1)*100,2)))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 t="str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 t="str">
        <f>IF(C91="","",SUMIFS(Торговля!$H$5:$H$300,Торговля!$E$5:$E$300,$B91)+SUMIFS(Закрытые!$H$5:$H$300,Закрытые!$E$5:$E$300,$B91,Закрытые!$B$5:$B$300,"T-*"))</f>
        <v/>
      </c>
      <c r="F91" s="240" t="str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 t="str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 t="str">
        <f>IF(F91="","",SUMIFS(Торговля!$K$5:$K$300,Торговля!$E$5:$E$300,$B91)+SUMIFS(Закрытые!$K$5:$K$300,Закрытые!$E$5:$E$300,$B91,Закрытые!$B$5:$B$300,"T-*"))</f>
        <v/>
      </c>
      <c r="I91" s="240" t="str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 t="str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 t="str">
        <f>IF(MIN(N(C91),N(F91))&lt;=0,"",ROUND(MIN(N(C91),N(F91))*(N(G91)-N(D91)),8))</f>
        <v/>
      </c>
      <c r="L91" s="177" t="str">
        <f>IF(MIN(N(C91),N(F91))&lt;=0,"",IF(N(D91)=0,"",ROUND((N(G91)/N(D91)-1)*100,2)))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 t="str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 t="str">
        <f>IF(C92="","",SUMIFS(Торговля!$H$5:$H$300,Торговля!$E$5:$E$300,$B92)+SUMIFS(Закрытые!$H$5:$H$300,Закрытые!$E$5:$E$300,$B92,Закрытые!$B$5:$B$300,"T-*"))</f>
        <v/>
      </c>
      <c r="F92" s="246" t="str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 t="str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 t="str">
        <f>IF(F92="","",SUMIFS(Торговля!$K$5:$K$300,Торговля!$E$5:$E$300,$B92)+SUMIFS(Закрытые!$K$5:$K$300,Закрытые!$E$5:$E$300,$B92,Закрытые!$B$5:$B$300,"T-*"))</f>
        <v/>
      </c>
      <c r="I92" s="246" t="str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 t="str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 t="str">
        <f>IF(MIN(N(C92),N(F92))&lt;=0,"",ROUND(MIN(N(C92),N(F92))*(N(G92)-N(D92)),8))</f>
        <v/>
      </c>
      <c r="L92" s="183" t="str">
        <f>IF(MIN(N(C92),N(F92))&lt;=0,"",IF(N(D92)=0,"",ROUND((N(G92)/N(D92)-1)*100,2)))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 t="str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 t="str">
        <f>IF(C93="","",SUMIFS(Торговля!$H$5:$H$300,Торговля!$E$5:$E$300,$B93)+SUMIFS(Закрытые!$H$5:$H$300,Закрытые!$E$5:$E$300,$B93,Закрытые!$B$5:$B$300,"T-*"))</f>
        <v/>
      </c>
      <c r="F93" s="240" t="str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 t="str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 t="str">
        <f>IF(F93="","",SUMIFS(Торговля!$K$5:$K$300,Торговля!$E$5:$E$300,$B93)+SUMIFS(Закрытые!$K$5:$K$300,Закрытые!$E$5:$E$300,$B93,Закрытые!$B$5:$B$300,"T-*"))</f>
        <v/>
      </c>
      <c r="I93" s="240" t="str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 t="str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 t="str">
        <f>IF(MIN(N(C93),N(F93))&lt;=0,"",ROUND(MIN(N(C93),N(F93))*(N(G93)-N(D93)),8))</f>
        <v/>
      </c>
      <c r="L93" s="177" t="str">
        <f>IF(MIN(N(C93),N(F93))&lt;=0,"",IF(N(D93)=0,"",ROUND((N(G93)/N(D93)-1)*100,2)))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 t="str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 t="str">
        <f>IF(C94="","",SUMIFS(Торговля!$H$5:$H$300,Торговля!$E$5:$E$300,$B94)+SUMIFS(Закрытые!$H$5:$H$300,Закрытые!$E$5:$E$300,$B94,Закрытые!$B$5:$B$300,"T-*"))</f>
        <v/>
      </c>
      <c r="F94" s="246" t="str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 t="str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 t="str">
        <f>IF(F94="","",SUMIFS(Торговля!$K$5:$K$300,Торговля!$E$5:$E$300,$B94)+SUMIFS(Закрытые!$K$5:$K$300,Закрытые!$E$5:$E$300,$B94,Закрытые!$B$5:$B$300,"T-*"))</f>
        <v/>
      </c>
      <c r="I94" s="246" t="str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 t="str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 t="str">
        <f>IF(MIN(N(C94),N(F94))&lt;=0,"",ROUND(MIN(N(C94),N(F94))*(N(G94)-N(D94)),8))</f>
        <v/>
      </c>
      <c r="L94" s="183" t="str">
        <f>IF(MIN(N(C94),N(F94))&lt;=0,"",IF(N(D94)=0,"",ROUND((N(G94)/N(D94)-1)*100,2)))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 t="str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 t="str">
        <f>IF(C95="","",SUMIFS(Торговля!$H$5:$H$300,Торговля!$E$5:$E$300,$B95)+SUMIFS(Закрытые!$H$5:$H$300,Закрытые!$E$5:$E$300,$B95,Закрытые!$B$5:$B$300,"T-*"))</f>
        <v/>
      </c>
      <c r="F95" s="240" t="str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 t="str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 t="str">
        <f>IF(F95="","",SUMIFS(Торговля!$K$5:$K$300,Торговля!$E$5:$E$300,$B95)+SUMIFS(Закрытые!$K$5:$K$300,Закрытые!$E$5:$E$300,$B95,Закрытые!$B$5:$B$300,"T-*"))</f>
        <v/>
      </c>
      <c r="I95" s="240" t="str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 t="str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 t="str">
        <f>IF(MIN(N(C95),N(F95))&lt;=0,"",ROUND(MIN(N(C95),N(F95))*(N(G95)-N(D95)),8))</f>
        <v/>
      </c>
      <c r="L95" s="177" t="str">
        <f>IF(MIN(N(C95),N(F95))&lt;=0,"",IF(N(D95)=0,"",ROUND((N(G95)/N(D95)-1)*100,2)))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 t="str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 t="str">
        <f>IF(C96="","",SUMIFS(Торговля!$H$5:$H$300,Торговля!$E$5:$E$300,$B96)+SUMIFS(Закрытые!$H$5:$H$300,Закрытые!$E$5:$E$300,$B96,Закрытые!$B$5:$B$300,"T-*"))</f>
        <v/>
      </c>
      <c r="F96" s="246" t="str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 t="str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 t="str">
        <f>IF(F96="","",SUMIFS(Торговля!$K$5:$K$300,Торговля!$E$5:$E$300,$B96)+SUMIFS(Закрытые!$K$5:$K$300,Закрытые!$E$5:$E$300,$B96,Закрытые!$B$5:$B$300,"T-*"))</f>
        <v/>
      </c>
      <c r="I96" s="246" t="str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 t="str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 t="str">
        <f>IF(MIN(N(C96),N(F96))&lt;=0,"",ROUND(MIN(N(C96),N(F96))*(N(G96)-N(D96)),8))</f>
        <v/>
      </c>
      <c r="L96" s="183" t="str">
        <f>IF(MIN(N(C96),N(F96))&lt;=0,"",IF(N(D96)=0,"",ROUND((N(G96)/N(D96)-1)*100,2)))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 t="str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 t="str">
        <f>IF(C97="","",SUMIFS(Торговля!$H$5:$H$300,Торговля!$E$5:$E$300,$B97)+SUMIFS(Закрытые!$H$5:$H$300,Закрытые!$E$5:$E$300,$B97,Закрытые!$B$5:$B$300,"T-*"))</f>
        <v/>
      </c>
      <c r="F97" s="240" t="str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 t="str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 t="str">
        <f>IF(F97="","",SUMIFS(Торговля!$K$5:$K$300,Торговля!$E$5:$E$300,$B97)+SUMIFS(Закрытые!$K$5:$K$300,Закрытые!$E$5:$E$300,$B97,Закрытые!$B$5:$B$300,"T-*"))</f>
        <v/>
      </c>
      <c r="I97" s="240" t="str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 t="str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 t="str">
        <f>IF(MIN(N(C97),N(F97))&lt;=0,"",ROUND(MIN(N(C97),N(F97))*(N(G97)-N(D97)),8))</f>
        <v/>
      </c>
      <c r="L97" s="177" t="str">
        <f>IF(MIN(N(C97),N(F97))&lt;=0,"",IF(N(D97)=0,"",ROUND((N(G97)/N(D97)-1)*100,2)))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 t="str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 t="str">
        <f>IF(C98="","",SUMIFS(Торговля!$H$5:$H$300,Торговля!$E$5:$E$300,$B98)+SUMIFS(Закрытые!$H$5:$H$300,Закрытые!$E$5:$E$300,$B98,Закрытые!$B$5:$B$300,"T-*"))</f>
        <v/>
      </c>
      <c r="F98" s="246" t="str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 t="str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 t="str">
        <f>IF(F98="","",SUMIFS(Торговля!$K$5:$K$300,Торговля!$E$5:$E$300,$B98)+SUMIFS(Закрытые!$K$5:$K$300,Закрытые!$E$5:$E$300,$B98,Закрытые!$B$5:$B$300,"T-*"))</f>
        <v/>
      </c>
      <c r="I98" s="246" t="str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 t="str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 t="str">
        <f>IF(MIN(N(C98),N(F98))&lt;=0,"",ROUND(MIN(N(C98),N(F98))*(N(G98)-N(D98)),8))</f>
        <v/>
      </c>
      <c r="L98" s="183" t="str">
        <f>IF(MIN(N(C98),N(F98))&lt;=0,"",IF(N(D98)=0,"",ROUND((N(G98)/N(D98)-1)*100,2)))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 t="str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 t="str">
        <f>IF(C99="","",SUMIFS(Торговля!$H$5:$H$300,Торговля!$E$5:$E$300,$B99)+SUMIFS(Закрытые!$H$5:$H$300,Закрытые!$E$5:$E$300,$B99,Закрытые!$B$5:$B$300,"T-*"))</f>
        <v/>
      </c>
      <c r="F99" s="240" t="str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 t="str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 t="str">
        <f>IF(F99="","",SUMIFS(Торговля!$K$5:$K$300,Торговля!$E$5:$E$300,$B99)+SUMIFS(Закрытые!$K$5:$K$300,Закрытые!$E$5:$E$300,$B99,Закрытые!$B$5:$B$300,"T-*"))</f>
        <v/>
      </c>
      <c r="I99" s="240" t="str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 t="str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 t="str">
        <f>IF(MIN(N(C99),N(F99))&lt;=0,"",ROUND(MIN(N(C99),N(F99))*(N(G99)-N(D99)),8))</f>
        <v/>
      </c>
      <c r="L99" s="177" t="str">
        <f>IF(MIN(N(C99),N(F99))&lt;=0,"",IF(N(D99)=0,"",ROUND((N(G99)/N(D99)-1)*100,2)))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 t="str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 t="str">
        <f>IF(C100="","",SUMIFS(Торговля!$H$5:$H$300,Торговля!$E$5:$E$300,$B100)+SUMIFS(Закрытые!$H$5:$H$300,Закрытые!$E$5:$E$300,$B100,Закрытые!$B$5:$B$300,"T-*"))</f>
        <v/>
      </c>
      <c r="F100" s="246" t="str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 t="str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 t="str">
        <f>IF(F100="","",SUMIFS(Торговля!$K$5:$K$300,Торговля!$E$5:$E$300,$B100)+SUMIFS(Закрытые!$K$5:$K$300,Закрытые!$E$5:$E$300,$B100,Закрытые!$B$5:$B$300,"T-*"))</f>
        <v/>
      </c>
      <c r="I100" s="246" t="str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 t="str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 t="str">
        <f>IF(MIN(N(C100),N(F100))&lt;=0,"",ROUND(MIN(N(C100),N(F100))*(N(G100)-N(D100)),8))</f>
        <v/>
      </c>
      <c r="L100" s="183" t="str">
        <f>IF(MIN(N(C100),N(F100))&lt;=0,"",IF(N(D100)=0,"",ROUND((N(G100)/N(D100)-1)*100,2)))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 t="str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 t="str">
        <f>IF(C101="","",SUMIFS(Торговля!$H$5:$H$300,Торговля!$E$5:$E$300,$B101)+SUMIFS(Закрытые!$H$5:$H$300,Закрытые!$E$5:$E$300,$B101,Закрытые!$B$5:$B$300,"T-*"))</f>
        <v/>
      </c>
      <c r="F101" s="240" t="str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 t="str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 t="str">
        <f>IF(F101="","",SUMIFS(Торговля!$K$5:$K$300,Торговля!$E$5:$E$300,$B101)+SUMIFS(Закрытые!$K$5:$K$300,Закрытые!$E$5:$E$300,$B101,Закрытые!$B$5:$B$300,"T-*"))</f>
        <v/>
      </c>
      <c r="I101" s="240" t="str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 t="str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 t="str">
        <f>IF(MIN(N(C101),N(F101))&lt;=0,"",ROUND(MIN(N(C101),N(F101))*(N(G101)-N(D101)),8))</f>
        <v/>
      </c>
      <c r="L101" s="177" t="str">
        <f>IF(MIN(N(C101),N(F101))&lt;=0,"",IF(N(D101)=0,"",ROUND((N(G101)/N(D101)-1)*100,2)))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 t="str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 t="str">
        <f>IF(C102="","",SUMIFS(Торговля!$H$5:$H$300,Торговля!$E$5:$E$300,$B102)+SUMIFS(Закрытые!$H$5:$H$300,Закрытые!$E$5:$E$300,$B102,Закрытые!$B$5:$B$300,"T-*"))</f>
        <v/>
      </c>
      <c r="F102" s="246" t="str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 t="str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 t="str">
        <f>IF(F102="","",SUMIFS(Торговля!$K$5:$K$300,Торговля!$E$5:$E$300,$B102)+SUMIFS(Закрытые!$K$5:$K$300,Закрытые!$E$5:$E$300,$B102,Закрытые!$B$5:$B$300,"T-*"))</f>
        <v/>
      </c>
      <c r="I102" s="246" t="str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 t="str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 t="str">
        <f>IF(MIN(N(C102),N(F102))&lt;=0,"",ROUND(MIN(N(C102),N(F102))*(N(G102)-N(D102)),8))</f>
        <v/>
      </c>
      <c r="L102" s="183" t="str">
        <f>IF(MIN(N(C102),N(F102))&lt;=0,"",IF(N(D102)=0,"",ROUND((N(G102)/N(D102)-1)*100,2)))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 t="str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 t="str">
        <f>IF(C103="","",SUMIFS(Торговля!$H$5:$H$300,Торговля!$E$5:$E$300,$B103)+SUMIFS(Закрытые!$H$5:$H$300,Закрытые!$E$5:$E$300,$B103,Закрытые!$B$5:$B$300,"T-*"))</f>
        <v/>
      </c>
      <c r="F103" s="240" t="str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 t="str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 t="str">
        <f>IF(F103="","",SUMIFS(Торговля!$K$5:$K$300,Торговля!$E$5:$E$300,$B103)+SUMIFS(Закрытые!$K$5:$K$300,Закрытые!$E$5:$E$300,$B103,Закрытые!$B$5:$B$300,"T-*"))</f>
        <v/>
      </c>
      <c r="I103" s="240" t="str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 t="str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 t="str">
        <f>IF(MIN(N(C103),N(F103))&lt;=0,"",ROUND(MIN(N(C103),N(F103))*(N(G103)-N(D103)),8))</f>
        <v/>
      </c>
      <c r="L103" s="177" t="str">
        <f>IF(MIN(N(C103),N(F103))&lt;=0,"",IF(N(D103)=0,"",ROUND((N(G103)/N(D103)-1)*100,2)))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 t="str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 t="str">
        <f>IF(C104="","",SUMIFS(Торговля!$H$5:$H$300,Торговля!$E$5:$E$300,$B104)+SUMIFS(Закрытые!$H$5:$H$300,Закрытые!$E$5:$E$300,$B104,Закрытые!$B$5:$B$300,"T-*"))</f>
        <v/>
      </c>
      <c r="F104" s="246" t="str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 t="str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 t="str">
        <f>IF(F104="","",SUMIFS(Торговля!$K$5:$K$300,Торговля!$E$5:$E$300,$B104)+SUMIFS(Закрытые!$K$5:$K$300,Закрытые!$E$5:$E$300,$B104,Закрытые!$B$5:$B$300,"T-*"))</f>
        <v/>
      </c>
      <c r="I104" s="246" t="str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 t="str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 t="str">
        <f>IF(MIN(N(C104),N(F104))&lt;=0,"",ROUND(MIN(N(C104),N(F104))*(N(G104)-N(D104)),8))</f>
        <v/>
      </c>
      <c r="L104" s="183" t="str">
        <f>IF(MIN(N(C104),N(F104))&lt;=0,"",IF(N(D104)=0,"",ROUND((N(G104)/N(D104)-1)*100,2)))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 t="str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 t="str">
        <f>IF(C105="","",SUMIFS(Торговля!$H$5:$H$300,Торговля!$E$5:$E$300,$B105)+SUMIFS(Закрытые!$H$5:$H$300,Закрытые!$E$5:$E$300,$B105,Закрытые!$B$5:$B$300,"T-*"))</f>
        <v/>
      </c>
      <c r="F105" s="240" t="str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 t="str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 t="str">
        <f>IF(F105="","",SUMIFS(Торговля!$K$5:$K$300,Торговля!$E$5:$E$300,$B105)+SUMIFS(Закрытые!$K$5:$K$300,Закрытые!$E$5:$E$300,$B105,Закрытые!$B$5:$B$300,"T-*"))</f>
        <v/>
      </c>
      <c r="I105" s="240" t="str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 t="str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 t="str">
        <f>IF(MIN(N(C105),N(F105))&lt;=0,"",ROUND(MIN(N(C105),N(F105))*(N(G105)-N(D105)),8))</f>
        <v/>
      </c>
      <c r="L105" s="177" t="str">
        <f>IF(MIN(N(C105),N(F105))&lt;=0,"",IF(N(D105)=0,"",ROUND((N(G105)/N(D105)-1)*100,2)))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 t="str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 t="str">
        <f>IF(C106="","",SUMIFS(Торговля!$H$5:$H$300,Торговля!$E$5:$E$300,$B106)+SUMIFS(Закрытые!$H$5:$H$300,Закрытые!$E$5:$E$300,$B106,Закрытые!$B$5:$B$300,"T-*"))</f>
        <v/>
      </c>
      <c r="F106" s="246" t="str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 t="str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 t="str">
        <f>IF(F106="","",SUMIFS(Торговля!$K$5:$K$300,Торговля!$E$5:$E$300,$B106)+SUMIFS(Закрытые!$K$5:$K$300,Закрытые!$E$5:$E$300,$B106,Закрытые!$B$5:$B$300,"T-*"))</f>
        <v/>
      </c>
      <c r="I106" s="246" t="str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 t="str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 t="str">
        <f>IF(MIN(N(C106),N(F106))&lt;=0,"",ROUND(MIN(N(C106),N(F106))*(N(G106)-N(D106)),8))</f>
        <v/>
      </c>
      <c r="L106" s="183" t="str">
        <f>IF(MIN(N(C106),N(F106))&lt;=0,"",IF(N(D106)=0,"",ROUND((N(G106)/N(D106)-1)*100,2)))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 t="str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 t="str">
        <f>IF(C107="","",SUMIFS(Торговля!$H$5:$H$300,Торговля!$E$5:$E$300,$B107)+SUMIFS(Закрытые!$H$5:$H$300,Закрытые!$E$5:$E$300,$B107,Закрытые!$B$5:$B$300,"T-*"))</f>
        <v/>
      </c>
      <c r="F107" s="240" t="str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 t="str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 t="str">
        <f>IF(F107="","",SUMIFS(Торговля!$K$5:$K$300,Торговля!$E$5:$E$300,$B107)+SUMIFS(Закрытые!$K$5:$K$300,Закрытые!$E$5:$E$300,$B107,Закрытые!$B$5:$B$300,"T-*"))</f>
        <v/>
      </c>
      <c r="I107" s="240" t="str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 t="str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 t="str">
        <f>IF(MIN(N(C107),N(F107))&lt;=0,"",ROUND(MIN(N(C107),N(F107))*(N(G107)-N(D107)),8))</f>
        <v/>
      </c>
      <c r="L107" s="177" t="str">
        <f>IF(MIN(N(C107),N(F107))&lt;=0,"",IF(N(D107)=0,"",ROUND((N(G107)/N(D107)-1)*100,2)))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 t="str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 t="str">
        <f>IF(C108="","",SUMIFS(Торговля!$H$5:$H$300,Торговля!$E$5:$E$300,$B108)+SUMIFS(Закрытые!$H$5:$H$300,Закрытые!$E$5:$E$300,$B108,Закрытые!$B$5:$B$300,"T-*"))</f>
        <v/>
      </c>
      <c r="F108" s="246" t="str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 t="str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 t="str">
        <f>IF(F108="","",SUMIFS(Торговля!$K$5:$K$300,Торговля!$E$5:$E$300,$B108)+SUMIFS(Закрытые!$K$5:$K$300,Закрытые!$E$5:$E$300,$B108,Закрытые!$B$5:$B$300,"T-*"))</f>
        <v/>
      </c>
      <c r="I108" s="246" t="str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 t="str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 t="str">
        <f>IF(MIN(N(C108),N(F108))&lt;=0,"",ROUND(MIN(N(C108),N(F108))*(N(G108)-N(D108)),8))</f>
        <v/>
      </c>
      <c r="L108" s="183" t="str">
        <f>IF(MIN(N(C108),N(F108))&lt;=0,"",IF(N(D108)=0,"",ROUND((N(G108)/N(D108)-1)*100,2)))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 t="str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 t="str">
        <f>IF(C109="","",SUMIFS(Торговля!$H$5:$H$300,Торговля!$E$5:$E$300,$B109)+SUMIFS(Закрытые!$H$5:$H$300,Закрытые!$E$5:$E$300,$B109,Закрытые!$B$5:$B$300,"T-*"))</f>
        <v/>
      </c>
      <c r="F109" s="240" t="str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 t="str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 t="str">
        <f>IF(F109="","",SUMIFS(Торговля!$K$5:$K$300,Торговля!$E$5:$E$300,$B109)+SUMIFS(Закрытые!$K$5:$K$300,Закрытые!$E$5:$E$300,$B109,Закрытые!$B$5:$B$300,"T-*"))</f>
        <v/>
      </c>
      <c r="I109" s="240" t="str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 t="str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 t="str">
        <f>IF(MIN(N(C109),N(F109))&lt;=0,"",ROUND(MIN(N(C109),N(F109))*(N(G109)-N(D109)),8))</f>
        <v/>
      </c>
      <c r="L109" s="177" t="str">
        <f>IF(MIN(N(C109),N(F109))&lt;=0,"",IF(N(D109)=0,"",ROUND((N(G109)/N(D109)-1)*100,2)))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 t="str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 t="str">
        <f>IF(C110="","",SUMIFS(Торговля!$H$5:$H$300,Торговля!$E$5:$E$300,$B110)+SUMIFS(Закрытые!$H$5:$H$300,Закрытые!$E$5:$E$300,$B110,Закрытые!$B$5:$B$300,"T-*"))</f>
        <v/>
      </c>
      <c r="F110" s="246" t="str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 t="str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 t="str">
        <f>IF(F110="","",SUMIFS(Торговля!$K$5:$K$300,Торговля!$E$5:$E$300,$B110)+SUMIFS(Закрытые!$K$5:$K$300,Закрытые!$E$5:$E$300,$B110,Закрытые!$B$5:$B$300,"T-*"))</f>
        <v/>
      </c>
      <c r="I110" s="246" t="str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 t="str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 t="str">
        <f>IF(MIN(N(C110),N(F110))&lt;=0,"",ROUND(MIN(N(C110),N(F110))*(N(G110)-N(D110)),8))</f>
        <v/>
      </c>
      <c r="L110" s="183" t="str">
        <f>IF(MIN(N(C110),N(F110))&lt;=0,"",IF(N(D110)=0,"",ROUND((N(G110)/N(D110)-1)*100,2)))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 t="str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 t="str">
        <f>IF(C111="","",SUMIFS(Торговля!$H$5:$H$300,Торговля!$E$5:$E$300,$B111)+SUMIFS(Закрытые!$H$5:$H$300,Закрытые!$E$5:$E$300,$B111,Закрытые!$B$5:$B$300,"T-*"))</f>
        <v/>
      </c>
      <c r="F111" s="240" t="str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 t="str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 t="str">
        <f>IF(F111="","",SUMIFS(Торговля!$K$5:$K$300,Торговля!$E$5:$E$300,$B111)+SUMIFS(Закрытые!$K$5:$K$300,Закрытые!$E$5:$E$300,$B111,Закрытые!$B$5:$B$300,"T-*"))</f>
        <v/>
      </c>
      <c r="I111" s="240" t="str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 t="str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 t="str">
        <f>IF(MIN(N(C111),N(F111))&lt;=0,"",ROUND(MIN(N(C111),N(F111))*(N(G111)-N(D111)),8))</f>
        <v/>
      </c>
      <c r="L111" s="177" t="str">
        <f>IF(MIN(N(C111),N(F111))&lt;=0,"",IF(N(D111)=0,"",ROUND((N(G111)/N(D111)-1)*100,2)))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 t="str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 t="str">
        <f>IF(C112="","",SUMIFS(Торговля!$H$5:$H$300,Торговля!$E$5:$E$300,$B112)+SUMIFS(Закрытые!$H$5:$H$300,Закрытые!$E$5:$E$300,$B112,Закрытые!$B$5:$B$300,"T-*"))</f>
        <v/>
      </c>
      <c r="F112" s="246" t="str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 t="str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 t="str">
        <f>IF(F112="","",SUMIFS(Торговля!$K$5:$K$300,Торговля!$E$5:$E$300,$B112)+SUMIFS(Закрытые!$K$5:$K$300,Закрытые!$E$5:$E$300,$B112,Закрытые!$B$5:$B$300,"T-*"))</f>
        <v/>
      </c>
      <c r="I112" s="246" t="str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 t="str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 t="str">
        <f>IF(MIN(N(C112),N(F112))&lt;=0,"",ROUND(MIN(N(C112),N(F112))*(N(G112)-N(D112)),8))</f>
        <v/>
      </c>
      <c r="L112" s="183" t="str">
        <f>IF(MIN(N(C112),N(F112))&lt;=0,"",IF(N(D112)=0,"",ROUND((N(G112)/N(D112)-1)*100,2)))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 t="str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 t="str">
        <f>IF(C113="","",SUMIFS(Торговля!$H$5:$H$300,Торговля!$E$5:$E$300,$B113)+SUMIFS(Закрытые!$H$5:$H$300,Закрытые!$E$5:$E$300,$B113,Закрытые!$B$5:$B$300,"T-*"))</f>
        <v/>
      </c>
      <c r="F113" s="240" t="str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 t="str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 t="str">
        <f>IF(F113="","",SUMIFS(Торговля!$K$5:$K$300,Торговля!$E$5:$E$300,$B113)+SUMIFS(Закрытые!$K$5:$K$300,Закрытые!$E$5:$E$300,$B113,Закрытые!$B$5:$B$300,"T-*"))</f>
        <v/>
      </c>
      <c r="I113" s="240" t="str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 t="str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 t="str">
        <f>IF(MIN(N(C113),N(F113))&lt;=0,"",ROUND(MIN(N(C113),N(F113))*(N(G113)-N(D113)),8))</f>
        <v/>
      </c>
      <c r="L113" s="177" t="str">
        <f>IF(MIN(N(C113),N(F113))&lt;=0,"",IF(N(D113)=0,"",ROUND((N(G113)/N(D113)-1)*100,2)))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 t="str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 t="str">
        <f>IF(C114="","",SUMIFS(Торговля!$H$5:$H$300,Торговля!$E$5:$E$300,$B114)+SUMIFS(Закрытые!$H$5:$H$300,Закрытые!$E$5:$E$300,$B114,Закрытые!$B$5:$B$300,"T-*"))</f>
        <v/>
      </c>
      <c r="F114" s="246" t="str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 t="str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 t="str">
        <f>IF(F114="","",SUMIFS(Торговля!$K$5:$K$300,Торговля!$E$5:$E$300,$B114)+SUMIFS(Закрытые!$K$5:$K$300,Закрытые!$E$5:$E$300,$B114,Закрытые!$B$5:$B$300,"T-*"))</f>
        <v/>
      </c>
      <c r="I114" s="246" t="str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 t="str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 t="str">
        <f>IF(MIN(N(C114),N(F114))&lt;=0,"",ROUND(MIN(N(C114),N(F114))*(N(G114)-N(D114)),8))</f>
        <v/>
      </c>
      <c r="L114" s="183" t="str">
        <f>IF(MIN(N(C114),N(F114))&lt;=0,"",IF(N(D114)=0,"",ROUND((N(G114)/N(D114)-1)*100,2)))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 t="str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 t="str">
        <f>IF(C115="","",SUMIFS(Торговля!$H$5:$H$300,Торговля!$E$5:$E$300,$B115)+SUMIFS(Закрытые!$H$5:$H$300,Закрытые!$E$5:$E$300,$B115,Закрытые!$B$5:$B$300,"T-*"))</f>
        <v/>
      </c>
      <c r="F115" s="240" t="str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 t="str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 t="str">
        <f>IF(F115="","",SUMIFS(Торговля!$K$5:$K$300,Торговля!$E$5:$E$300,$B115)+SUMIFS(Закрытые!$K$5:$K$300,Закрытые!$E$5:$E$300,$B115,Закрытые!$B$5:$B$300,"T-*"))</f>
        <v/>
      </c>
      <c r="I115" s="240" t="str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 t="str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 t="str">
        <f>IF(MIN(N(C115),N(F115))&lt;=0,"",ROUND(MIN(N(C115),N(F115))*(N(G115)-N(D115)),8))</f>
        <v/>
      </c>
      <c r="L115" s="177" t="str">
        <f>IF(MIN(N(C115),N(F115))&lt;=0,"",IF(N(D115)=0,"",ROUND((N(G115)/N(D115)-1)*100,2)))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 t="str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 t="str">
        <f>IF(C116="","",SUMIFS(Торговля!$H$5:$H$300,Торговля!$E$5:$E$300,$B116)+SUMIFS(Закрытые!$H$5:$H$300,Закрытые!$E$5:$E$300,$B116,Закрытые!$B$5:$B$300,"T-*"))</f>
        <v/>
      </c>
      <c r="F116" s="246" t="str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 t="str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 t="str">
        <f>IF(F116="","",SUMIFS(Торговля!$K$5:$K$300,Торговля!$E$5:$E$300,$B116)+SUMIFS(Закрытые!$K$5:$K$300,Закрытые!$E$5:$E$300,$B116,Закрытые!$B$5:$B$300,"T-*"))</f>
        <v/>
      </c>
      <c r="I116" s="246" t="str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 t="str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 t="str">
        <f>IF(MIN(N(C116),N(F116))&lt;=0,"",ROUND(MIN(N(C116),N(F116))*(N(G116)-N(D116)),8))</f>
        <v/>
      </c>
      <c r="L116" s="183" t="str">
        <f>IF(MIN(N(C116),N(F116))&lt;=0,"",IF(N(D116)=0,"",ROUND((N(G116)/N(D116)-1)*100,2)))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 t="str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 t="str">
        <f>IF(C117="","",SUMIFS(Торговля!$H$5:$H$300,Торговля!$E$5:$E$300,$B117)+SUMIFS(Закрытые!$H$5:$H$300,Закрытые!$E$5:$E$300,$B117,Закрытые!$B$5:$B$300,"T-*"))</f>
        <v/>
      </c>
      <c r="F117" s="240" t="str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 t="str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 t="str">
        <f>IF(F117="","",SUMIFS(Торговля!$K$5:$K$300,Торговля!$E$5:$E$300,$B117)+SUMIFS(Закрытые!$K$5:$K$300,Закрытые!$E$5:$E$300,$B117,Закрытые!$B$5:$B$300,"T-*"))</f>
        <v/>
      </c>
      <c r="I117" s="240" t="str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 t="str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 t="str">
        <f>IF(MIN(N(C117),N(F117))&lt;=0,"",ROUND(MIN(N(C117),N(F117))*(N(G117)-N(D117)),8))</f>
        <v/>
      </c>
      <c r="L117" s="177" t="str">
        <f>IF(MIN(N(C117),N(F117))&lt;=0,"",IF(N(D117)=0,"",ROUND((N(G117)/N(D117)-1)*100,2)))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 t="str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 t="str">
        <f>IF(C118="","",SUMIFS(Торговля!$H$5:$H$300,Торговля!$E$5:$E$300,$B118)+SUMIFS(Закрытые!$H$5:$H$300,Закрытые!$E$5:$E$300,$B118,Закрытые!$B$5:$B$300,"T-*"))</f>
        <v/>
      </c>
      <c r="F118" s="246" t="str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 t="str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 t="str">
        <f>IF(F118="","",SUMIFS(Торговля!$K$5:$K$300,Торговля!$E$5:$E$300,$B118)+SUMIFS(Закрытые!$K$5:$K$300,Закрытые!$E$5:$E$300,$B118,Закрытые!$B$5:$B$300,"T-*"))</f>
        <v/>
      </c>
      <c r="I118" s="246" t="str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 t="str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 t="str">
        <f>IF(MIN(N(C118),N(F118))&lt;=0,"",ROUND(MIN(N(C118),N(F118))*(N(G118)-N(D118)),8))</f>
        <v/>
      </c>
      <c r="L118" s="183" t="str">
        <f>IF(MIN(N(C118),N(F118))&lt;=0,"",IF(N(D118)=0,"",ROUND((N(G118)/N(D118)-1)*100,2)))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 t="str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 t="str">
        <f>IF(C119="","",SUMIFS(Торговля!$H$5:$H$300,Торговля!$E$5:$E$300,$B119)+SUMIFS(Закрытые!$H$5:$H$300,Закрытые!$E$5:$E$300,$B119,Закрытые!$B$5:$B$300,"T-*"))</f>
        <v/>
      </c>
      <c r="F119" s="240" t="str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 t="str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 t="str">
        <f>IF(F119="","",SUMIFS(Торговля!$K$5:$K$300,Торговля!$E$5:$E$300,$B119)+SUMIFS(Закрытые!$K$5:$K$300,Закрытые!$E$5:$E$300,$B119,Закрытые!$B$5:$B$300,"T-*"))</f>
        <v/>
      </c>
      <c r="I119" s="240" t="str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 t="str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 t="str">
        <f>IF(MIN(N(C119),N(F119))&lt;=0,"",ROUND(MIN(N(C119),N(F119))*(N(G119)-N(D119)),8))</f>
        <v/>
      </c>
      <c r="L119" s="177" t="str">
        <f>IF(MIN(N(C119),N(F119))&lt;=0,"",IF(N(D119)=0,"",ROUND((N(G119)/N(D119)-1)*100,2)))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 t="str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 t="str">
        <f>IF(C120="","",SUMIFS(Торговля!$H$5:$H$300,Торговля!$E$5:$E$300,$B120)+SUMIFS(Закрытые!$H$5:$H$300,Закрытые!$E$5:$E$300,$B120,Закрытые!$B$5:$B$300,"T-*"))</f>
        <v/>
      </c>
      <c r="F120" s="246" t="str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 t="str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 t="str">
        <f>IF(F120="","",SUMIFS(Торговля!$K$5:$K$300,Торговля!$E$5:$E$300,$B120)+SUMIFS(Закрытые!$K$5:$K$300,Закрытые!$E$5:$E$300,$B120,Закрытые!$B$5:$B$300,"T-*"))</f>
        <v/>
      </c>
      <c r="I120" s="246" t="str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 t="str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 t="str">
        <f>IF(MIN(N(C120),N(F120))&lt;=0,"",ROUND(MIN(N(C120),N(F120))*(N(G120)-N(D120)),8))</f>
        <v/>
      </c>
      <c r="L120" s="183" t="str">
        <f>IF(MIN(N(C120),N(F120))&lt;=0,"",IF(N(D120)=0,"",ROUND((N(G120)/N(D120)-1)*100,2)))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 t="str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 t="str">
        <f>IF(C121="","",SUMIFS(Торговля!$H$5:$H$300,Торговля!$E$5:$E$300,$B121)+SUMIFS(Закрытые!$H$5:$H$300,Закрытые!$E$5:$E$300,$B121,Закрытые!$B$5:$B$300,"T-*"))</f>
        <v/>
      </c>
      <c r="F121" s="240" t="str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 t="str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 t="str">
        <f>IF(F121="","",SUMIFS(Торговля!$K$5:$K$300,Торговля!$E$5:$E$300,$B121)+SUMIFS(Закрытые!$K$5:$K$300,Закрытые!$E$5:$E$300,$B121,Закрытые!$B$5:$B$300,"T-*"))</f>
        <v/>
      </c>
      <c r="I121" s="240" t="str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 t="str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 t="str">
        <f>IF(MIN(N(C121),N(F121))&lt;=0,"",ROUND(MIN(N(C121),N(F121))*(N(G121)-N(D121)),8))</f>
        <v/>
      </c>
      <c r="L121" s="177" t="str">
        <f>IF(MIN(N(C121),N(F121))&lt;=0,"",IF(N(D121)=0,"",ROUND((N(G121)/N(D121)-1)*100,2)))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 t="str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 t="str">
        <f>IF(C122="","",SUMIFS(Торговля!$H$5:$H$300,Торговля!$E$5:$E$300,$B122)+SUMIFS(Закрытые!$H$5:$H$300,Закрытые!$E$5:$E$300,$B122,Закрытые!$B$5:$B$300,"T-*"))</f>
        <v/>
      </c>
      <c r="F122" s="246" t="str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 t="str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 t="str">
        <f>IF(F122="","",SUMIFS(Торговля!$K$5:$K$300,Торговля!$E$5:$E$300,$B122)+SUMIFS(Закрытые!$K$5:$K$300,Закрытые!$E$5:$E$300,$B122,Закрытые!$B$5:$B$300,"T-*"))</f>
        <v/>
      </c>
      <c r="I122" s="246" t="str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 t="str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 t="str">
        <f>IF(MIN(N(C122),N(F122))&lt;=0,"",ROUND(MIN(N(C122),N(F122))*(N(G122)-N(D122)),8))</f>
        <v/>
      </c>
      <c r="L122" s="183" t="str">
        <f>IF(MIN(N(C122),N(F122))&lt;=0,"",IF(N(D122)=0,"",ROUND((N(G122)/N(D122)-1)*100,2)))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 t="str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 t="str">
        <f>IF(C123="","",SUMIFS(Торговля!$H$5:$H$300,Торговля!$E$5:$E$300,$B123)+SUMIFS(Закрытые!$H$5:$H$300,Закрытые!$E$5:$E$300,$B123,Закрытые!$B$5:$B$300,"T-*"))</f>
        <v/>
      </c>
      <c r="F123" s="240" t="str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 t="str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 t="str">
        <f>IF(F123="","",SUMIFS(Торговля!$K$5:$K$300,Торговля!$E$5:$E$300,$B123)+SUMIFS(Закрытые!$K$5:$K$300,Закрытые!$E$5:$E$300,$B123,Закрытые!$B$5:$B$300,"T-*"))</f>
        <v/>
      </c>
      <c r="I123" s="240" t="str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 t="str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 t="str">
        <f>IF(MIN(N(C123),N(F123))&lt;=0,"",ROUND(MIN(N(C123),N(F123))*(N(G123)-N(D123)),8))</f>
        <v/>
      </c>
      <c r="L123" s="177" t="str">
        <f>IF(MIN(N(C123),N(F123))&lt;=0,"",IF(N(D123)=0,"",ROUND((N(G123)/N(D123)-1)*100,2)))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 t="str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 t="str">
        <f>IF(C124="","",SUMIFS(Торговля!$H$5:$H$300,Торговля!$E$5:$E$300,$B124)+SUMIFS(Закрытые!$H$5:$H$300,Закрытые!$E$5:$E$300,$B124,Закрытые!$B$5:$B$300,"T-*"))</f>
        <v/>
      </c>
      <c r="F124" s="246" t="str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 t="str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 t="str">
        <f>IF(F124="","",SUMIFS(Торговля!$K$5:$K$300,Торговля!$E$5:$E$300,$B124)+SUMIFS(Закрытые!$K$5:$K$300,Закрытые!$E$5:$E$300,$B124,Закрытые!$B$5:$B$300,"T-*"))</f>
        <v/>
      </c>
      <c r="I124" s="246" t="str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 t="str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 t="str">
        <f>IF(MIN(N(C124),N(F124))&lt;=0,"",ROUND(MIN(N(C124),N(F124))*(N(G124)-N(D124)),8))</f>
        <v/>
      </c>
      <c r="L124" s="183" t="str">
        <f>IF(MIN(N(C124),N(F124))&lt;=0,"",IF(N(D124)=0,"",ROUND((N(G124)/N(D124)-1)*100,2)))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 t="str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 t="str">
        <f>IF(C125="","",SUMIFS(Торговля!$H$5:$H$300,Торговля!$E$5:$E$300,$B125)+SUMIFS(Закрытые!$H$5:$H$300,Закрытые!$E$5:$E$300,$B125,Закрытые!$B$5:$B$300,"T-*"))</f>
        <v/>
      </c>
      <c r="F125" s="240" t="str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 t="str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 t="str">
        <f>IF(F125="","",SUMIFS(Торговля!$K$5:$K$300,Торговля!$E$5:$E$300,$B125)+SUMIFS(Закрытые!$K$5:$K$300,Закрытые!$E$5:$E$300,$B125,Закрытые!$B$5:$B$300,"T-*"))</f>
        <v/>
      </c>
      <c r="I125" s="240" t="str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 t="str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 t="str">
        <f>IF(MIN(N(C125),N(F125))&lt;=0,"",ROUND(MIN(N(C125),N(F125))*(N(G125)-N(D125)),8))</f>
        <v/>
      </c>
      <c r="L125" s="177" t="str">
        <f>IF(MIN(N(C125),N(F125))&lt;=0,"",IF(N(D125)=0,"",ROUND((N(G125)/N(D125)-1)*100,2)))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 t="str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 t="str">
        <f>IF(C126="","",SUMIFS(Торговля!$H$5:$H$300,Торговля!$E$5:$E$300,$B126)+SUMIFS(Закрытые!$H$5:$H$300,Закрытые!$E$5:$E$300,$B126,Закрытые!$B$5:$B$300,"T-*"))</f>
        <v/>
      </c>
      <c r="F126" s="246" t="str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 t="str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 t="str">
        <f>IF(F126="","",SUMIFS(Торговля!$K$5:$K$300,Торговля!$E$5:$E$300,$B126)+SUMIFS(Закрытые!$K$5:$K$300,Закрытые!$E$5:$E$300,$B126,Закрытые!$B$5:$B$300,"T-*"))</f>
        <v/>
      </c>
      <c r="I126" s="246" t="str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 t="str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 t="str">
        <f>IF(MIN(N(C126),N(F126))&lt;=0,"",ROUND(MIN(N(C126),N(F126))*(N(G126)-N(D126)),8))</f>
        <v/>
      </c>
      <c r="L126" s="183" t="str">
        <f>IF(MIN(N(C126),N(F126))&lt;=0,"",IF(N(D126)=0,"",ROUND((N(G126)/N(D126)-1)*100,2)))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 t="str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 t="str">
        <f>IF(C127="","",SUMIFS(Торговля!$H$5:$H$300,Торговля!$E$5:$E$300,$B127)+SUMIFS(Закрытые!$H$5:$H$300,Закрытые!$E$5:$E$300,$B127,Закрытые!$B$5:$B$300,"T-*"))</f>
        <v/>
      </c>
      <c r="F127" s="240" t="str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 t="str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 t="str">
        <f>IF(F127="","",SUMIFS(Торговля!$K$5:$K$300,Торговля!$E$5:$E$300,$B127)+SUMIFS(Закрытые!$K$5:$K$300,Закрытые!$E$5:$E$300,$B127,Закрытые!$B$5:$B$300,"T-*"))</f>
        <v/>
      </c>
      <c r="I127" s="240" t="str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 t="str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 t="str">
        <f>IF(MIN(N(C127),N(F127))&lt;=0,"",ROUND(MIN(N(C127),N(F127))*(N(G127)-N(D127)),8))</f>
        <v/>
      </c>
      <c r="L127" s="177" t="str">
        <f>IF(MIN(N(C127),N(F127))&lt;=0,"",IF(N(D127)=0,"",ROUND((N(G127)/N(D127)-1)*100,2)))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 t="str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 t="str">
        <f>IF(C128="","",SUMIFS(Торговля!$H$5:$H$300,Торговля!$E$5:$E$300,$B128)+SUMIFS(Закрытые!$H$5:$H$300,Закрытые!$E$5:$E$300,$B128,Закрытые!$B$5:$B$300,"T-*"))</f>
        <v/>
      </c>
      <c r="F128" s="246" t="str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 t="str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 t="str">
        <f>IF(F128="","",SUMIFS(Торговля!$K$5:$K$300,Торговля!$E$5:$E$300,$B128)+SUMIFS(Закрытые!$K$5:$K$300,Закрытые!$E$5:$E$300,$B128,Закрытые!$B$5:$B$300,"T-*"))</f>
        <v/>
      </c>
      <c r="I128" s="246" t="str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 t="str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 t="str">
        <f>IF(MIN(N(C128),N(F128))&lt;=0,"",ROUND(MIN(N(C128),N(F128))*(N(G128)-N(D128)),8))</f>
        <v/>
      </c>
      <c r="L128" s="183" t="str">
        <f>IF(MIN(N(C128),N(F128))&lt;=0,"",IF(N(D128)=0,"",ROUND((N(G128)/N(D128)-1)*100,2)))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 t="str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 t="str">
        <f>IF(C129="","",SUMIFS(Торговля!$H$5:$H$300,Торговля!$E$5:$E$300,$B129)+SUMIFS(Закрытые!$H$5:$H$300,Закрытые!$E$5:$E$300,$B129,Закрытые!$B$5:$B$300,"T-*"))</f>
        <v/>
      </c>
      <c r="F129" s="240" t="str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 t="str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 t="str">
        <f>IF(F129="","",SUMIFS(Торговля!$K$5:$K$300,Торговля!$E$5:$E$300,$B129)+SUMIFS(Закрытые!$K$5:$K$300,Закрытые!$E$5:$E$300,$B129,Закрытые!$B$5:$B$300,"T-*"))</f>
        <v/>
      </c>
      <c r="I129" s="240" t="str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 t="str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 t="str">
        <f>IF(MIN(N(C129),N(F129))&lt;=0,"",ROUND(MIN(N(C129),N(F129))*(N(G129)-N(D129)),8))</f>
        <v/>
      </c>
      <c r="L129" s="177" t="str">
        <f>IF(MIN(N(C129),N(F129))&lt;=0,"",IF(N(D129)=0,"",ROUND((N(G129)/N(D129)-1)*100,2)))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 t="str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 t="str">
        <f>IF(C130="","",SUMIFS(Торговля!$H$5:$H$300,Торговля!$E$5:$E$300,$B130)+SUMIFS(Закрытые!$H$5:$H$300,Закрытые!$E$5:$E$300,$B130,Закрытые!$B$5:$B$300,"T-*"))</f>
        <v/>
      </c>
      <c r="F130" s="246" t="str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 t="str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 t="str">
        <f>IF(F130="","",SUMIFS(Торговля!$K$5:$K$300,Торговля!$E$5:$E$300,$B130)+SUMIFS(Закрытые!$K$5:$K$300,Закрытые!$E$5:$E$300,$B130,Закрытые!$B$5:$B$300,"T-*"))</f>
        <v/>
      </c>
      <c r="I130" s="246" t="str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 t="str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 t="str">
        <f>IF(MIN(N(C130),N(F130))&lt;=0,"",ROUND(MIN(N(C130),N(F130))*(N(G130)-N(D130)),8))</f>
        <v/>
      </c>
      <c r="L130" s="183" t="str">
        <f>IF(MIN(N(C130),N(F130))&lt;=0,"",IF(N(D130)=0,"",ROUND((N(G130)/N(D130)-1)*100,2)))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 t="str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 t="str">
        <f>IF(C131="","",SUMIFS(Торговля!$H$5:$H$300,Торговля!$E$5:$E$300,$B131)+SUMIFS(Закрытые!$H$5:$H$300,Закрытые!$E$5:$E$300,$B131,Закрытые!$B$5:$B$300,"T-*"))</f>
        <v/>
      </c>
      <c r="F131" s="240" t="str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 t="str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 t="str">
        <f>IF(F131="","",SUMIFS(Торговля!$K$5:$K$300,Торговля!$E$5:$E$300,$B131)+SUMIFS(Закрытые!$K$5:$K$300,Закрытые!$E$5:$E$300,$B131,Закрытые!$B$5:$B$300,"T-*"))</f>
        <v/>
      </c>
      <c r="I131" s="240" t="str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 t="str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 t="str">
        <f>IF(MIN(N(C131),N(F131))&lt;=0,"",ROUND(MIN(N(C131),N(F131))*(N(G131)-N(D131)),8))</f>
        <v/>
      </c>
      <c r="L131" s="177" t="str">
        <f>IF(MIN(N(C131),N(F131))&lt;=0,"",IF(N(D131)=0,"",ROUND((N(G131)/N(D131)-1)*100,2)))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 t="str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 t="str">
        <f>IF(C132="","",SUMIFS(Торговля!$H$5:$H$300,Торговля!$E$5:$E$300,$B132)+SUMIFS(Закрытые!$H$5:$H$300,Закрытые!$E$5:$E$300,$B132,Закрытые!$B$5:$B$300,"T-*"))</f>
        <v/>
      </c>
      <c r="F132" s="246" t="str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 t="str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 t="str">
        <f>IF(F132="","",SUMIFS(Торговля!$K$5:$K$300,Торговля!$E$5:$E$300,$B132)+SUMIFS(Закрытые!$K$5:$K$300,Закрытые!$E$5:$E$300,$B132,Закрытые!$B$5:$B$300,"T-*"))</f>
        <v/>
      </c>
      <c r="I132" s="246" t="str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 t="str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 t="str">
        <f>IF(MIN(N(C132),N(F132))&lt;=0,"",ROUND(MIN(N(C132),N(F132))*(N(G132)-N(D132)),8))</f>
        <v/>
      </c>
      <c r="L132" s="183" t="str">
        <f>IF(MIN(N(C132),N(F132))&lt;=0,"",IF(N(D132)=0,"",ROUND((N(G132)/N(D132)-1)*100,2)))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 t="str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 t="str">
        <f>IF(C133="","",SUMIFS(Торговля!$H$5:$H$300,Торговля!$E$5:$E$300,$B133)+SUMIFS(Закрытые!$H$5:$H$300,Закрытые!$E$5:$E$300,$B133,Закрытые!$B$5:$B$300,"T-*"))</f>
        <v/>
      </c>
      <c r="F133" s="240" t="str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 t="str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 t="str">
        <f>IF(F133="","",SUMIFS(Торговля!$K$5:$K$300,Торговля!$E$5:$E$300,$B133)+SUMIFS(Закрытые!$K$5:$K$300,Закрытые!$E$5:$E$300,$B133,Закрытые!$B$5:$B$300,"T-*"))</f>
        <v/>
      </c>
      <c r="I133" s="240" t="str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 t="str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 t="str">
        <f>IF(MIN(N(C133),N(F133))&lt;=0,"",ROUND(MIN(N(C133),N(F133))*(N(G133)-N(D133)),8))</f>
        <v/>
      </c>
      <c r="L133" s="177" t="str">
        <f>IF(MIN(N(C133),N(F133))&lt;=0,"",IF(N(D133)=0,"",ROUND((N(G133)/N(D133)-1)*100,2)))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 t="str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 t="str">
        <f>IF(C134="","",SUMIFS(Торговля!$H$5:$H$300,Торговля!$E$5:$E$300,$B134)+SUMIFS(Закрытые!$H$5:$H$300,Закрытые!$E$5:$E$300,$B134,Закрытые!$B$5:$B$300,"T-*"))</f>
        <v/>
      </c>
      <c r="F134" s="246" t="str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 t="str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 t="str">
        <f>IF(F134="","",SUMIFS(Торговля!$K$5:$K$300,Торговля!$E$5:$E$300,$B134)+SUMIFS(Закрытые!$K$5:$K$300,Закрытые!$E$5:$E$300,$B134,Закрытые!$B$5:$B$300,"T-*"))</f>
        <v/>
      </c>
      <c r="I134" s="246" t="str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 t="str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 t="str">
        <f>IF(MIN(N(C134),N(F134))&lt;=0,"",ROUND(MIN(N(C134),N(F134))*(N(G134)-N(D134)),8))</f>
        <v/>
      </c>
      <c r="L134" s="183" t="str">
        <f>IF(MIN(N(C134),N(F134))&lt;=0,"",IF(N(D134)=0,"",ROUND((N(G134)/N(D134)-1)*100,2)))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 t="str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 t="str">
        <f>IF(C135="","",SUMIFS(Торговля!$H$5:$H$300,Торговля!$E$5:$E$300,$B135)+SUMIFS(Закрытые!$H$5:$H$300,Закрытые!$E$5:$E$300,$B135,Закрытые!$B$5:$B$300,"T-*"))</f>
        <v/>
      </c>
      <c r="F135" s="240" t="str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 t="str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 t="str">
        <f>IF(F135="","",SUMIFS(Торговля!$K$5:$K$300,Торговля!$E$5:$E$300,$B135)+SUMIFS(Закрытые!$K$5:$K$300,Закрытые!$E$5:$E$300,$B135,Закрытые!$B$5:$B$300,"T-*"))</f>
        <v/>
      </c>
      <c r="I135" s="240" t="str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 t="str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 t="str">
        <f>IF(MIN(N(C135),N(F135))&lt;=0,"",ROUND(MIN(N(C135),N(F135))*(N(G135)-N(D135)),8))</f>
        <v/>
      </c>
      <c r="L135" s="177" t="str">
        <f>IF(MIN(N(C135),N(F135))&lt;=0,"",IF(N(D135)=0,"",ROUND((N(G135)/N(D135)-1)*100,2)))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 t="str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 t="str">
        <f>IF(C136="","",SUMIFS(Торговля!$H$5:$H$300,Торговля!$E$5:$E$300,$B136)+SUMIFS(Закрытые!$H$5:$H$300,Закрытые!$E$5:$E$300,$B136,Закрытые!$B$5:$B$300,"T-*"))</f>
        <v/>
      </c>
      <c r="F136" s="246" t="str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 t="str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 t="str">
        <f>IF(F136="","",SUMIFS(Торговля!$K$5:$K$300,Торговля!$E$5:$E$300,$B136)+SUMIFS(Закрытые!$K$5:$K$300,Закрытые!$E$5:$E$300,$B136,Закрытые!$B$5:$B$300,"T-*"))</f>
        <v/>
      </c>
      <c r="I136" s="246" t="str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 t="str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 t="str">
        <f>IF(MIN(N(C136),N(F136))&lt;=0,"",ROUND(MIN(N(C136),N(F136))*(N(G136)-N(D136)),8))</f>
        <v/>
      </c>
      <c r="L136" s="183" t="str">
        <f>IF(MIN(N(C136),N(F136))&lt;=0,"",IF(N(D136)=0,"",ROUND((N(G136)/N(D136)-1)*100,2)))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 t="str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 t="str">
        <f>IF(C137="","",SUMIFS(Торговля!$H$5:$H$300,Торговля!$E$5:$E$300,$B137)+SUMIFS(Закрытые!$H$5:$H$300,Закрытые!$E$5:$E$300,$B137,Закрытые!$B$5:$B$300,"T-*"))</f>
        <v/>
      </c>
      <c r="F137" s="240" t="str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 t="str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 t="str">
        <f>IF(F137="","",SUMIFS(Торговля!$K$5:$K$300,Торговля!$E$5:$E$300,$B137)+SUMIFS(Закрытые!$K$5:$K$300,Закрытые!$E$5:$E$300,$B137,Закрытые!$B$5:$B$300,"T-*"))</f>
        <v/>
      </c>
      <c r="I137" s="240" t="str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 t="str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 t="str">
        <f>IF(MIN(N(C137),N(F137))&lt;=0,"",ROUND(MIN(N(C137),N(F137))*(N(G137)-N(D137)),8))</f>
        <v/>
      </c>
      <c r="L137" s="177" t="str">
        <f>IF(MIN(N(C137),N(F137))&lt;=0,"",IF(N(D137)=0,"",ROUND((N(G137)/N(D137)-1)*100,2)))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 t="str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 t="str">
        <f>IF(C138="","",SUMIFS(Торговля!$H$5:$H$300,Торговля!$E$5:$E$300,$B138)+SUMIFS(Закрытые!$H$5:$H$300,Закрытые!$E$5:$E$300,$B138,Закрытые!$B$5:$B$300,"T-*"))</f>
        <v/>
      </c>
      <c r="F138" s="246" t="str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 t="str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 t="str">
        <f>IF(F138="","",SUMIFS(Торговля!$K$5:$K$300,Торговля!$E$5:$E$300,$B138)+SUMIFS(Закрытые!$K$5:$K$300,Закрытые!$E$5:$E$300,$B138,Закрытые!$B$5:$B$300,"T-*"))</f>
        <v/>
      </c>
      <c r="I138" s="246" t="str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 t="str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 t="str">
        <f>IF(MIN(N(C138),N(F138))&lt;=0,"",ROUND(MIN(N(C138),N(F138))*(N(G138)-N(D138)),8))</f>
        <v/>
      </c>
      <c r="L138" s="183" t="str">
        <f>IF(MIN(N(C138),N(F138))&lt;=0,"",IF(N(D138)=0,"",ROUND((N(G138)/N(D138)-1)*100,2)))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 t="str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 t="str">
        <f>IF(C139="","",SUMIFS(Торговля!$H$5:$H$300,Торговля!$E$5:$E$300,$B139)+SUMIFS(Закрытые!$H$5:$H$300,Закрытые!$E$5:$E$300,$B139,Закрытые!$B$5:$B$300,"T-*"))</f>
        <v/>
      </c>
      <c r="F139" s="240" t="str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 t="str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 t="str">
        <f>IF(F139="","",SUMIFS(Торговля!$K$5:$K$300,Торговля!$E$5:$E$300,$B139)+SUMIFS(Закрытые!$K$5:$K$300,Закрытые!$E$5:$E$300,$B139,Закрытые!$B$5:$B$300,"T-*"))</f>
        <v/>
      </c>
      <c r="I139" s="240" t="str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 t="str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 t="str">
        <f>IF(MIN(N(C139),N(F139))&lt;=0,"",ROUND(MIN(N(C139),N(F139))*(N(G139)-N(D139)),8))</f>
        <v/>
      </c>
      <c r="L139" s="177" t="str">
        <f>IF(MIN(N(C139),N(F139))&lt;=0,"",IF(N(D139)=0,"",ROUND((N(G139)/N(D139)-1)*100,2)))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 t="str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 t="str">
        <f>IF(C140="","",SUMIFS(Торговля!$H$5:$H$300,Торговля!$E$5:$E$300,$B140)+SUMIFS(Закрытые!$H$5:$H$300,Закрытые!$E$5:$E$300,$B140,Закрытые!$B$5:$B$300,"T-*"))</f>
        <v/>
      </c>
      <c r="F140" s="246" t="str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 t="str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 t="str">
        <f>IF(F140="","",SUMIFS(Торговля!$K$5:$K$300,Торговля!$E$5:$E$300,$B140)+SUMIFS(Закрытые!$K$5:$K$300,Закрытые!$E$5:$E$300,$B140,Закрытые!$B$5:$B$300,"T-*"))</f>
        <v/>
      </c>
      <c r="I140" s="246" t="str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 t="str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 t="str">
        <f>IF(MIN(N(C140),N(F140))&lt;=0,"",ROUND(MIN(N(C140),N(F140))*(N(G140)-N(D140)),8))</f>
        <v/>
      </c>
      <c r="L140" s="183" t="str">
        <f>IF(MIN(N(C140),N(F140))&lt;=0,"",IF(N(D140)=0,"",ROUND((N(G140)/N(D140)-1)*100,2)))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 t="str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 t="str">
        <f>IF(C141="","",SUMIFS(Торговля!$H$5:$H$300,Торговля!$E$5:$E$300,$B141)+SUMIFS(Закрытые!$H$5:$H$300,Закрытые!$E$5:$E$300,$B141,Закрытые!$B$5:$B$300,"T-*"))</f>
        <v/>
      </c>
      <c r="F141" s="240" t="str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 t="str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 t="str">
        <f>IF(F141="","",SUMIFS(Торговля!$K$5:$K$300,Торговля!$E$5:$E$300,$B141)+SUMIFS(Закрытые!$K$5:$K$300,Закрытые!$E$5:$E$300,$B141,Закрытые!$B$5:$B$300,"T-*"))</f>
        <v/>
      </c>
      <c r="I141" s="240" t="str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 t="str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 t="str">
        <f>IF(MIN(N(C141),N(F141))&lt;=0,"",ROUND(MIN(N(C141),N(F141))*(N(G141)-N(D141)),8))</f>
        <v/>
      </c>
      <c r="L141" s="177" t="str">
        <f>IF(MIN(N(C141),N(F141))&lt;=0,"",IF(N(D141)=0,"",ROUND((N(G141)/N(D141)-1)*100,2)))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 t="str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 t="str">
        <f>IF(C142="","",SUMIFS(Торговля!$H$5:$H$300,Торговля!$E$5:$E$300,$B142)+SUMIFS(Закрытые!$H$5:$H$300,Закрытые!$E$5:$E$300,$B142,Закрытые!$B$5:$B$300,"T-*"))</f>
        <v/>
      </c>
      <c r="F142" s="246" t="str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 t="str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 t="str">
        <f>IF(F142="","",SUMIFS(Торговля!$K$5:$K$300,Торговля!$E$5:$E$300,$B142)+SUMIFS(Закрытые!$K$5:$K$300,Закрытые!$E$5:$E$300,$B142,Закрытые!$B$5:$B$300,"T-*"))</f>
        <v/>
      </c>
      <c r="I142" s="246" t="str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 t="str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 t="str">
        <f>IF(MIN(N(C142),N(F142))&lt;=0,"",ROUND(MIN(N(C142),N(F142))*(N(G142)-N(D142)),8))</f>
        <v/>
      </c>
      <c r="L142" s="183" t="str">
        <f>IF(MIN(N(C142),N(F142))&lt;=0,"",IF(N(D142)=0,"",ROUND((N(G142)/N(D142)-1)*100,2)))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 t="str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 t="str">
        <f>IF(C143="","",SUMIFS(Торговля!$H$5:$H$300,Торговля!$E$5:$E$300,$B143)+SUMIFS(Закрытые!$H$5:$H$300,Закрытые!$E$5:$E$300,$B143,Закрытые!$B$5:$B$300,"T-*"))</f>
        <v/>
      </c>
      <c r="F143" s="240" t="str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 t="str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 t="str">
        <f>IF(F143="","",SUMIFS(Торговля!$K$5:$K$300,Торговля!$E$5:$E$300,$B143)+SUMIFS(Закрытые!$K$5:$K$300,Закрытые!$E$5:$E$300,$B143,Закрытые!$B$5:$B$300,"T-*"))</f>
        <v/>
      </c>
      <c r="I143" s="240" t="str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 t="str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 t="str">
        <f>IF(MIN(N(C143),N(F143))&lt;=0,"",ROUND(MIN(N(C143),N(F143))*(N(G143)-N(D143)),8))</f>
        <v/>
      </c>
      <c r="L143" s="177" t="str">
        <f>IF(MIN(N(C143),N(F143))&lt;=0,"",IF(N(D143)=0,"",ROUND((N(G143)/N(D143)-1)*100,2)))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 t="str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 t="str">
        <f>IF(C144="","",SUMIFS(Торговля!$H$5:$H$300,Торговля!$E$5:$E$300,$B144)+SUMIFS(Закрытые!$H$5:$H$300,Закрытые!$E$5:$E$300,$B144,Закрытые!$B$5:$B$300,"T-*"))</f>
        <v/>
      </c>
      <c r="F144" s="246" t="str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 t="str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 t="str">
        <f>IF(F144="","",SUMIFS(Торговля!$K$5:$K$300,Торговля!$E$5:$E$300,$B144)+SUMIFS(Закрытые!$K$5:$K$300,Закрытые!$E$5:$E$300,$B144,Закрытые!$B$5:$B$300,"T-*"))</f>
        <v/>
      </c>
      <c r="I144" s="246" t="str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 t="str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 t="str">
        <f>IF(MIN(N(C144),N(F144))&lt;=0,"",ROUND(MIN(N(C144),N(F144))*(N(G144)-N(D144)),8))</f>
        <v/>
      </c>
      <c r="L144" s="183" t="str">
        <f>IF(MIN(N(C144),N(F144))&lt;=0,"",IF(N(D144)=0,"",ROUND((N(G144)/N(D144)-1)*100,2)))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 t="str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 t="str">
        <f>IF(C145="","",SUMIFS(Торговля!$H$5:$H$300,Торговля!$E$5:$E$300,$B145)+SUMIFS(Закрытые!$H$5:$H$300,Закрытые!$E$5:$E$300,$B145,Закрытые!$B$5:$B$300,"T-*"))</f>
        <v/>
      </c>
      <c r="F145" s="240" t="str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 t="str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 t="str">
        <f>IF(F145="","",SUMIFS(Торговля!$K$5:$K$300,Торговля!$E$5:$E$300,$B145)+SUMIFS(Закрытые!$K$5:$K$300,Закрытые!$E$5:$E$300,$B145,Закрытые!$B$5:$B$300,"T-*"))</f>
        <v/>
      </c>
      <c r="I145" s="240" t="str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 t="str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 t="str">
        <f>IF(MIN(N(C145),N(F145))&lt;=0,"",ROUND(MIN(N(C145),N(F145))*(N(G145)-N(D145)),8))</f>
        <v/>
      </c>
      <c r="L145" s="177" t="str">
        <f>IF(MIN(N(C145),N(F145))&lt;=0,"",IF(N(D145)=0,"",ROUND((N(G145)/N(D145)-1)*100,2)))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 t="str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 t="str">
        <f>IF(C146="","",SUMIFS(Торговля!$H$5:$H$300,Торговля!$E$5:$E$300,$B146)+SUMIFS(Закрытые!$H$5:$H$300,Закрытые!$E$5:$E$300,$B146,Закрытые!$B$5:$B$300,"T-*"))</f>
        <v/>
      </c>
      <c r="F146" s="246" t="str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 t="str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 t="str">
        <f>IF(F146="","",SUMIFS(Торговля!$K$5:$K$300,Торговля!$E$5:$E$300,$B146)+SUMIFS(Закрытые!$K$5:$K$300,Закрытые!$E$5:$E$300,$B146,Закрытые!$B$5:$B$300,"T-*"))</f>
        <v/>
      </c>
      <c r="I146" s="246" t="str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 t="str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 t="str">
        <f>IF(MIN(N(C146),N(F146))&lt;=0,"",ROUND(MIN(N(C146),N(F146))*(N(G146)-N(D146)),8))</f>
        <v/>
      </c>
      <c r="L146" s="183" t="str">
        <f>IF(MIN(N(C146),N(F146))&lt;=0,"",IF(N(D146)=0,"",ROUND((N(G146)/N(D146)-1)*100,2)))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 t="str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 t="str">
        <f>IF(C147="","",SUMIFS(Торговля!$H$5:$H$300,Торговля!$E$5:$E$300,$B147)+SUMIFS(Закрытые!$H$5:$H$300,Закрытые!$E$5:$E$300,$B147,Закрытые!$B$5:$B$300,"T-*"))</f>
        <v/>
      </c>
      <c r="F147" s="240" t="str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 t="str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 t="str">
        <f>IF(F147="","",SUMIFS(Торговля!$K$5:$K$300,Торговля!$E$5:$E$300,$B147)+SUMIFS(Закрытые!$K$5:$K$300,Закрытые!$E$5:$E$300,$B147,Закрытые!$B$5:$B$300,"T-*"))</f>
        <v/>
      </c>
      <c r="I147" s="240" t="str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 t="str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 t="str">
        <f>IF(MIN(N(C147),N(F147))&lt;=0,"",ROUND(MIN(N(C147),N(F147))*(N(G147)-N(D147)),8))</f>
        <v/>
      </c>
      <c r="L147" s="177" t="str">
        <f>IF(MIN(N(C147),N(F147))&lt;=0,"",IF(N(D147)=0,"",ROUND((N(G147)/N(D147)-1)*100,2)))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 t="str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 t="str">
        <f>IF(C148="","",SUMIFS(Торговля!$H$5:$H$300,Торговля!$E$5:$E$300,$B148)+SUMIFS(Закрытые!$H$5:$H$300,Закрытые!$E$5:$E$300,$B148,Закрытые!$B$5:$B$300,"T-*"))</f>
        <v/>
      </c>
      <c r="F148" s="246" t="str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 t="str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 t="str">
        <f>IF(F148="","",SUMIFS(Торговля!$K$5:$K$300,Торговля!$E$5:$E$300,$B148)+SUMIFS(Закрытые!$K$5:$K$300,Закрытые!$E$5:$E$300,$B148,Закрытые!$B$5:$B$300,"T-*"))</f>
        <v/>
      </c>
      <c r="I148" s="246" t="str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 t="str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 t="str">
        <f>IF(MIN(N(C148),N(F148))&lt;=0,"",ROUND(MIN(N(C148),N(F148))*(N(G148)-N(D148)),8))</f>
        <v/>
      </c>
      <c r="L148" s="183" t="str">
        <f>IF(MIN(N(C148),N(F148))&lt;=0,"",IF(N(D148)=0,"",ROUND((N(G148)/N(D148)-1)*100,2)))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 t="str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 t="str">
        <f>IF(C149="","",SUMIFS(Торговля!$H$5:$H$300,Торговля!$E$5:$E$300,$B149)+SUMIFS(Закрытые!$H$5:$H$300,Закрытые!$E$5:$E$300,$B149,Закрытые!$B$5:$B$300,"T-*"))</f>
        <v/>
      </c>
      <c r="F149" s="240" t="str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 t="str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 t="str">
        <f>IF(F149="","",SUMIFS(Торговля!$K$5:$K$300,Торговля!$E$5:$E$300,$B149)+SUMIFS(Закрытые!$K$5:$K$300,Закрытые!$E$5:$E$300,$B149,Закрытые!$B$5:$B$300,"T-*"))</f>
        <v/>
      </c>
      <c r="I149" s="240" t="str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 t="str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 t="str">
        <f>IF(MIN(N(C149),N(F149))&lt;=0,"",ROUND(MIN(N(C149),N(F149))*(N(G149)-N(D149)),8))</f>
        <v/>
      </c>
      <c r="L149" s="177" t="str">
        <f>IF(MIN(N(C149),N(F149))&lt;=0,"",IF(N(D149)=0,"",ROUND((N(G149)/N(D149)-1)*100,2)))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 t="str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 t="str">
        <f>IF(C150="","",SUMIFS(Торговля!$H$5:$H$300,Торговля!$E$5:$E$300,$B150)+SUMIFS(Закрытые!$H$5:$H$300,Закрытые!$E$5:$E$300,$B150,Закрытые!$B$5:$B$300,"T-*"))</f>
        <v/>
      </c>
      <c r="F150" s="246" t="str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 t="str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 t="str">
        <f>IF(F150="","",SUMIFS(Торговля!$K$5:$K$300,Торговля!$E$5:$E$300,$B150)+SUMIFS(Закрытые!$K$5:$K$300,Закрытые!$E$5:$E$300,$B150,Закрытые!$B$5:$B$300,"T-*"))</f>
        <v/>
      </c>
      <c r="I150" s="246" t="str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 t="str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 t="str">
        <f>IF(MIN(N(C150),N(F150))&lt;=0,"",ROUND(MIN(N(C150),N(F150))*(N(G150)-N(D150)),8))</f>
        <v/>
      </c>
      <c r="L150" s="183" t="str">
        <f>IF(MIN(N(C150),N(F150))&lt;=0,"",IF(N(D150)=0,"",ROUND((N(G150)/N(D150)-1)*100,2)))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 t="str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 t="str">
        <f>IF(C151="","",SUMIFS(Торговля!$H$5:$H$300,Торговля!$E$5:$E$300,$B151)+SUMIFS(Закрытые!$H$5:$H$300,Закрытые!$E$5:$E$300,$B151,Закрытые!$B$5:$B$300,"T-*"))</f>
        <v/>
      </c>
      <c r="F151" s="240" t="str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 t="str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 t="str">
        <f>IF(F151="","",SUMIFS(Торговля!$K$5:$K$300,Торговля!$E$5:$E$300,$B151)+SUMIFS(Закрытые!$K$5:$K$300,Закрытые!$E$5:$E$300,$B151,Закрытые!$B$5:$B$300,"T-*"))</f>
        <v/>
      </c>
      <c r="I151" s="240" t="str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 t="str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 t="str">
        <f>IF(MIN(N(C151),N(F151))&lt;=0,"",ROUND(MIN(N(C151),N(F151))*(N(G151)-N(D151)),8))</f>
        <v/>
      </c>
      <c r="L151" s="177" t="str">
        <f>IF(MIN(N(C151),N(F151))&lt;=0,"",IF(N(D151)=0,"",ROUND((N(G151)/N(D151)-1)*100,2)))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 t="str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 t="str">
        <f>IF(C152="","",SUMIFS(Торговля!$H$5:$H$300,Торговля!$E$5:$E$300,$B152)+SUMIFS(Закрытые!$H$5:$H$300,Закрытые!$E$5:$E$300,$B152,Закрытые!$B$5:$B$300,"T-*"))</f>
        <v/>
      </c>
      <c r="F152" s="246" t="str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 t="str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 t="str">
        <f>IF(F152="","",SUMIFS(Торговля!$K$5:$K$300,Торговля!$E$5:$E$300,$B152)+SUMIFS(Закрытые!$K$5:$K$300,Закрытые!$E$5:$E$300,$B152,Закрытые!$B$5:$B$300,"T-*"))</f>
        <v/>
      </c>
      <c r="I152" s="246" t="str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 t="str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 t="str">
        <f>IF(MIN(N(C152),N(F152))&lt;=0,"",ROUND(MIN(N(C152),N(F152))*(N(G152)-N(D152)),8))</f>
        <v/>
      </c>
      <c r="L152" s="183" t="str">
        <f>IF(MIN(N(C152),N(F152))&lt;=0,"",IF(N(D152)=0,"",ROUND((N(G152)/N(D152)-1)*100,2)))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 t="str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 t="str">
        <f>IF(C153="","",SUMIFS(Торговля!$H$5:$H$300,Торговля!$E$5:$E$300,$B153)+SUMIFS(Закрытые!$H$5:$H$300,Закрытые!$E$5:$E$300,$B153,Закрытые!$B$5:$B$300,"T-*"))</f>
        <v/>
      </c>
      <c r="F153" s="240" t="str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 t="str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 t="str">
        <f>IF(F153="","",SUMIFS(Торговля!$K$5:$K$300,Торговля!$E$5:$E$300,$B153)+SUMIFS(Закрытые!$K$5:$K$300,Закрытые!$E$5:$E$300,$B153,Закрытые!$B$5:$B$300,"T-*"))</f>
        <v/>
      </c>
      <c r="I153" s="240" t="str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 t="str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 t="str">
        <f>IF(MIN(N(C153),N(F153))&lt;=0,"",ROUND(MIN(N(C153),N(F153))*(N(G153)-N(D153)),8))</f>
        <v/>
      </c>
      <c r="L153" s="177" t="str">
        <f>IF(MIN(N(C153),N(F153))&lt;=0,"",IF(N(D153)=0,"",ROUND((N(G153)/N(D153)-1)*100,2)))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 t="str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 t="str">
        <f>IF(C154="","",SUMIFS(Торговля!$H$5:$H$300,Торговля!$E$5:$E$300,$B154)+SUMIFS(Закрытые!$H$5:$H$300,Закрытые!$E$5:$E$300,$B154,Закрытые!$B$5:$B$300,"T-*"))</f>
        <v/>
      </c>
      <c r="F154" s="246" t="str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 t="str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 t="str">
        <f>IF(F154="","",SUMIFS(Торговля!$K$5:$K$300,Торговля!$E$5:$E$300,$B154)+SUMIFS(Закрытые!$K$5:$K$300,Закрытые!$E$5:$E$300,$B154,Закрытые!$B$5:$B$300,"T-*"))</f>
        <v/>
      </c>
      <c r="I154" s="246" t="str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 t="str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 t="str">
        <f>IF(MIN(N(C154),N(F154))&lt;=0,"",ROUND(MIN(N(C154),N(F154))*(N(G154)-N(D154)),8))</f>
        <v/>
      </c>
      <c r="L154" s="183" t="str">
        <f>IF(MIN(N(C154),N(F154))&lt;=0,"",IF(N(D154)=0,"",ROUND((N(G154)/N(D154)-1)*100,2)))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 t="str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 t="str">
        <f>IF(C155="","",SUMIFS(Торговля!$H$5:$H$300,Торговля!$E$5:$E$300,$B155)+SUMIFS(Закрытые!$H$5:$H$300,Закрытые!$E$5:$E$300,$B155,Закрытые!$B$5:$B$300,"T-*"))</f>
        <v/>
      </c>
      <c r="F155" s="240" t="str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 t="str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 t="str">
        <f>IF(F155="","",SUMIFS(Торговля!$K$5:$K$300,Торговля!$E$5:$E$300,$B155)+SUMIFS(Закрытые!$K$5:$K$300,Закрытые!$E$5:$E$300,$B155,Закрытые!$B$5:$B$300,"T-*"))</f>
        <v/>
      </c>
      <c r="I155" s="240" t="str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 t="str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 t="str">
        <f>IF(MIN(N(C155),N(F155))&lt;=0,"",ROUND(MIN(N(C155),N(F155))*(N(G155)-N(D155)),8))</f>
        <v/>
      </c>
      <c r="L155" s="177" t="str">
        <f>IF(MIN(N(C155),N(F155))&lt;=0,"",IF(N(D155)=0,"",ROUND((N(G155)/N(D155)-1)*100,2)))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 t="str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 t="str">
        <f>IF(C156="","",SUMIFS(Торговля!$H$5:$H$300,Торговля!$E$5:$E$300,$B156)+SUMIFS(Закрытые!$H$5:$H$300,Закрытые!$E$5:$E$300,$B156,Закрытые!$B$5:$B$300,"T-*"))</f>
        <v/>
      </c>
      <c r="F156" s="246" t="str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 t="str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 t="str">
        <f>IF(F156="","",SUMIFS(Торговля!$K$5:$K$300,Торговля!$E$5:$E$300,$B156)+SUMIFS(Закрытые!$K$5:$K$300,Закрытые!$E$5:$E$300,$B156,Закрытые!$B$5:$B$300,"T-*"))</f>
        <v/>
      </c>
      <c r="I156" s="246" t="str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 t="str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 t="str">
        <f>IF(MIN(N(C156),N(F156))&lt;=0,"",ROUND(MIN(N(C156),N(F156))*(N(G156)-N(D156)),8))</f>
        <v/>
      </c>
      <c r="L156" s="183" t="str">
        <f>IF(MIN(N(C156),N(F156))&lt;=0,"",IF(N(D156)=0,"",ROUND((N(G156)/N(D156)-1)*100,2)))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 t="str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 t="str">
        <f>IF(C157="","",SUMIFS(Торговля!$H$5:$H$300,Торговля!$E$5:$E$300,$B157)+SUMIFS(Закрытые!$H$5:$H$300,Закрытые!$E$5:$E$300,$B157,Закрытые!$B$5:$B$300,"T-*"))</f>
        <v/>
      </c>
      <c r="F157" s="240" t="str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 t="str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 t="str">
        <f>IF(F157="","",SUMIFS(Торговля!$K$5:$K$300,Торговля!$E$5:$E$300,$B157)+SUMIFS(Закрытые!$K$5:$K$300,Закрытые!$E$5:$E$300,$B157,Закрытые!$B$5:$B$300,"T-*"))</f>
        <v/>
      </c>
      <c r="I157" s="240" t="str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 t="str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 t="str">
        <f>IF(MIN(N(C157),N(F157))&lt;=0,"",ROUND(MIN(N(C157),N(F157))*(N(G157)-N(D157)),8))</f>
        <v/>
      </c>
      <c r="L157" s="177" t="str">
        <f>IF(MIN(N(C157),N(F157))&lt;=0,"",IF(N(D157)=0,"",ROUND((N(G157)/N(D157)-1)*100,2)))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 t="str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 t="str">
        <f>IF(C158="","",SUMIFS(Торговля!$H$5:$H$300,Торговля!$E$5:$E$300,$B158)+SUMIFS(Закрытые!$H$5:$H$300,Закрытые!$E$5:$E$300,$B158,Закрытые!$B$5:$B$300,"T-*"))</f>
        <v/>
      </c>
      <c r="F158" s="246" t="str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 t="str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 t="str">
        <f>IF(F158="","",SUMIFS(Торговля!$K$5:$K$300,Торговля!$E$5:$E$300,$B158)+SUMIFS(Закрытые!$K$5:$K$300,Закрытые!$E$5:$E$300,$B158,Закрытые!$B$5:$B$300,"T-*"))</f>
        <v/>
      </c>
      <c r="I158" s="246" t="str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 t="str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 t="str">
        <f>IF(MIN(N(C158),N(F158))&lt;=0,"",ROUND(MIN(N(C158),N(F158))*(N(G158)-N(D158)),8))</f>
        <v/>
      </c>
      <c r="L158" s="183" t="str">
        <f>IF(MIN(N(C158),N(F158))&lt;=0,"",IF(N(D158)=0,"",ROUND((N(G158)/N(D158)-1)*100,2)))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 t="str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 t="str">
        <f>IF(C159="","",SUMIFS(Торговля!$H$5:$H$300,Торговля!$E$5:$E$300,$B159)+SUMIFS(Закрытые!$H$5:$H$300,Закрытые!$E$5:$E$300,$B159,Закрытые!$B$5:$B$300,"T-*"))</f>
        <v/>
      </c>
      <c r="F159" s="240" t="str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 t="str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 t="str">
        <f>IF(F159="","",SUMIFS(Торговля!$K$5:$K$300,Торговля!$E$5:$E$300,$B159)+SUMIFS(Закрытые!$K$5:$K$300,Закрытые!$E$5:$E$300,$B159,Закрытые!$B$5:$B$300,"T-*"))</f>
        <v/>
      </c>
      <c r="I159" s="240" t="str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 t="str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 t="str">
        <f>IF(MIN(N(C159),N(F159))&lt;=0,"",ROUND(MIN(N(C159),N(F159))*(N(G159)-N(D159)),8))</f>
        <v/>
      </c>
      <c r="L159" s="177" t="str">
        <f>IF(MIN(N(C159),N(F159))&lt;=0,"",IF(N(D159)=0,"",ROUND((N(G159)/N(D159)-1)*100,2)))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 t="str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 t="str">
        <f>IF(C160="","",SUMIFS(Торговля!$H$5:$H$300,Торговля!$E$5:$E$300,$B160)+SUMIFS(Закрытые!$H$5:$H$300,Закрытые!$E$5:$E$300,$B160,Закрытые!$B$5:$B$300,"T-*"))</f>
        <v/>
      </c>
      <c r="F160" s="246" t="str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 t="str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 t="str">
        <f>IF(F160="","",SUMIFS(Торговля!$K$5:$K$300,Торговля!$E$5:$E$300,$B160)+SUMIFS(Закрытые!$K$5:$K$300,Закрытые!$E$5:$E$300,$B160,Закрытые!$B$5:$B$300,"T-*"))</f>
        <v/>
      </c>
      <c r="I160" s="246" t="str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 t="str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 t="str">
        <f>IF(MIN(N(C160),N(F160))&lt;=0,"",ROUND(MIN(N(C160),N(F160))*(N(G160)-N(D160)),8))</f>
        <v/>
      </c>
      <c r="L160" s="183" t="str">
        <f>IF(MIN(N(C160),N(F160))&lt;=0,"",IF(N(D160)=0,"",ROUND((N(G160)/N(D160)-1)*100,2)))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 t="str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 t="str">
        <f>IF(C161="","",SUMIFS(Торговля!$H$5:$H$300,Торговля!$E$5:$E$300,$B161)+SUMIFS(Закрытые!$H$5:$H$300,Закрытые!$E$5:$E$300,$B161,Закрытые!$B$5:$B$300,"T-*"))</f>
        <v/>
      </c>
      <c r="F161" s="240" t="str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 t="str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 t="str">
        <f>IF(F161="","",SUMIFS(Торговля!$K$5:$K$300,Торговля!$E$5:$E$300,$B161)+SUMIFS(Закрытые!$K$5:$K$300,Закрытые!$E$5:$E$300,$B161,Закрытые!$B$5:$B$300,"T-*"))</f>
        <v/>
      </c>
      <c r="I161" s="240" t="str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 t="str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 t="str">
        <f>IF(MIN(N(C161),N(F161))&lt;=0,"",ROUND(MIN(N(C161),N(F161))*(N(G161)-N(D161)),8))</f>
        <v/>
      </c>
      <c r="L161" s="177" t="str">
        <f>IF(MIN(N(C161),N(F161))&lt;=0,"",IF(N(D161)=0,"",ROUND((N(G161)/N(D161)-1)*100,2)))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 t="str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 t="str">
        <f>IF(C162="","",SUMIFS(Торговля!$H$5:$H$300,Торговля!$E$5:$E$300,$B162)+SUMIFS(Закрытые!$H$5:$H$300,Закрытые!$E$5:$E$300,$B162,Закрытые!$B$5:$B$300,"T-*"))</f>
        <v/>
      </c>
      <c r="F162" s="246" t="str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 t="str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 t="str">
        <f>IF(F162="","",SUMIFS(Торговля!$K$5:$K$300,Торговля!$E$5:$E$300,$B162)+SUMIFS(Закрытые!$K$5:$K$300,Закрытые!$E$5:$E$300,$B162,Закрытые!$B$5:$B$300,"T-*"))</f>
        <v/>
      </c>
      <c r="I162" s="246" t="str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 t="str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 t="str">
        <f>IF(MIN(N(C162),N(F162))&lt;=0,"",ROUND(MIN(N(C162),N(F162))*(N(G162)-N(D162)),8))</f>
        <v/>
      </c>
      <c r="L162" s="183" t="str">
        <f>IF(MIN(N(C162),N(F162))&lt;=0,"",IF(N(D162)=0,"",ROUND((N(G162)/N(D162)-1)*100,2)))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 t="str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 t="str">
        <f>IF(C163="","",SUMIFS(Торговля!$H$5:$H$300,Торговля!$E$5:$E$300,$B163)+SUMIFS(Закрытые!$H$5:$H$300,Закрытые!$E$5:$E$300,$B163,Закрытые!$B$5:$B$300,"T-*"))</f>
        <v/>
      </c>
      <c r="F163" s="240" t="str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 t="str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 t="str">
        <f>IF(F163="","",SUMIFS(Торговля!$K$5:$K$300,Торговля!$E$5:$E$300,$B163)+SUMIFS(Закрытые!$K$5:$K$300,Закрытые!$E$5:$E$300,$B163,Закрытые!$B$5:$B$300,"T-*"))</f>
        <v/>
      </c>
      <c r="I163" s="240" t="str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 t="str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 t="str">
        <f>IF(MIN(N(C163),N(F163))&lt;=0,"",ROUND(MIN(N(C163),N(F163))*(N(G163)-N(D163)),8))</f>
        <v/>
      </c>
      <c r="L163" s="177" t="str">
        <f>IF(MIN(N(C163),N(F163))&lt;=0,"",IF(N(D163)=0,"",ROUND((N(G163)/N(D163)-1)*100,2)))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 t="str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 t="str">
        <f>IF(C164="","",SUMIFS(Торговля!$H$5:$H$300,Торговля!$E$5:$E$300,$B164)+SUMIFS(Закрытые!$H$5:$H$300,Закрытые!$E$5:$E$300,$B164,Закрытые!$B$5:$B$300,"T-*"))</f>
        <v/>
      </c>
      <c r="F164" s="246" t="str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 t="str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 t="str">
        <f>IF(F164="","",SUMIFS(Торговля!$K$5:$K$300,Торговля!$E$5:$E$300,$B164)+SUMIFS(Закрытые!$K$5:$K$300,Закрытые!$E$5:$E$300,$B164,Закрытые!$B$5:$B$300,"T-*"))</f>
        <v/>
      </c>
      <c r="I164" s="246" t="str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 t="str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 t="str">
        <f>IF(MIN(N(C164),N(F164))&lt;=0,"",ROUND(MIN(N(C164),N(F164))*(N(G164)-N(D164)),8))</f>
        <v/>
      </c>
      <c r="L164" s="183" t="str">
        <f>IF(MIN(N(C164),N(F164))&lt;=0,"",IF(N(D164)=0,"",ROUND((N(G164)/N(D164)-1)*100,2)))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 t="str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 t="str">
        <f>IF(C165="","",SUMIFS(Торговля!$H$5:$H$300,Торговля!$E$5:$E$300,$B165)+SUMIFS(Закрытые!$H$5:$H$300,Закрытые!$E$5:$E$300,$B165,Закрытые!$B$5:$B$300,"T-*"))</f>
        <v/>
      </c>
      <c r="F165" s="240" t="str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 t="str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 t="str">
        <f>IF(F165="","",SUMIFS(Торговля!$K$5:$K$300,Торговля!$E$5:$E$300,$B165)+SUMIFS(Закрытые!$K$5:$K$300,Закрытые!$E$5:$E$300,$B165,Закрытые!$B$5:$B$300,"T-*"))</f>
        <v/>
      </c>
      <c r="I165" s="240" t="str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 t="str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 t="str">
        <f>IF(MIN(N(C165),N(F165))&lt;=0,"",ROUND(MIN(N(C165),N(F165))*(N(G165)-N(D165)),8))</f>
        <v/>
      </c>
      <c r="L165" s="177" t="str">
        <f>IF(MIN(N(C165),N(F165))&lt;=0,"",IF(N(D165)=0,"",ROUND((N(G165)/N(D165)-1)*100,2)))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 t="str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 t="str">
        <f>IF(C166="","",SUMIFS(Торговля!$H$5:$H$300,Торговля!$E$5:$E$300,$B166)+SUMIFS(Закрытые!$H$5:$H$300,Закрытые!$E$5:$E$300,$B166,Закрытые!$B$5:$B$300,"T-*"))</f>
        <v/>
      </c>
      <c r="F166" s="246" t="str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 t="str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 t="str">
        <f>IF(F166="","",SUMIFS(Торговля!$K$5:$K$300,Торговля!$E$5:$E$300,$B166)+SUMIFS(Закрытые!$K$5:$K$300,Закрытые!$E$5:$E$300,$B166,Закрытые!$B$5:$B$300,"T-*"))</f>
        <v/>
      </c>
      <c r="I166" s="246" t="str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 t="str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 t="str">
        <f>IF(MIN(N(C166),N(F166))&lt;=0,"",ROUND(MIN(N(C166),N(F166))*(N(G166)-N(D166)),8))</f>
        <v/>
      </c>
      <c r="L166" s="183" t="str">
        <f>IF(MIN(N(C166),N(F166))&lt;=0,"",IF(N(D166)=0,"",ROUND((N(G166)/N(D166)-1)*100,2)))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 t="str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 t="str">
        <f>IF(C167="","",SUMIFS(Торговля!$H$5:$H$300,Торговля!$E$5:$E$300,$B167)+SUMIFS(Закрытые!$H$5:$H$300,Закрытые!$E$5:$E$300,$B167,Закрытые!$B$5:$B$300,"T-*"))</f>
        <v/>
      </c>
      <c r="F167" s="240" t="str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 t="str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 t="str">
        <f>IF(F167="","",SUMIFS(Торговля!$K$5:$K$300,Торговля!$E$5:$E$300,$B167)+SUMIFS(Закрытые!$K$5:$K$300,Закрытые!$E$5:$E$300,$B167,Закрытые!$B$5:$B$300,"T-*"))</f>
        <v/>
      </c>
      <c r="I167" s="240" t="str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 t="str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 t="str">
        <f>IF(MIN(N(C167),N(F167))&lt;=0,"",ROUND(MIN(N(C167),N(F167))*(N(G167)-N(D167)),8))</f>
        <v/>
      </c>
      <c r="L167" s="177" t="str">
        <f>IF(MIN(N(C167),N(F167))&lt;=0,"",IF(N(D167)=0,"",ROUND((N(G167)/N(D167)-1)*100,2)))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 t="str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 t="str">
        <f>IF(C168="","",SUMIFS(Торговля!$H$5:$H$300,Торговля!$E$5:$E$300,$B168)+SUMIFS(Закрытые!$H$5:$H$300,Закрытые!$E$5:$E$300,$B168,Закрытые!$B$5:$B$300,"T-*"))</f>
        <v/>
      </c>
      <c r="F168" s="246" t="str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 t="str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 t="str">
        <f>IF(F168="","",SUMIFS(Торговля!$K$5:$K$300,Торговля!$E$5:$E$300,$B168)+SUMIFS(Закрытые!$K$5:$K$300,Закрытые!$E$5:$E$300,$B168,Закрытые!$B$5:$B$300,"T-*"))</f>
        <v/>
      </c>
      <c r="I168" s="246" t="str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 t="str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 t="str">
        <f>IF(MIN(N(C168),N(F168))&lt;=0,"",ROUND(MIN(N(C168),N(F168))*(N(G168)-N(D168)),8))</f>
        <v/>
      </c>
      <c r="L168" s="183" t="str">
        <f>IF(MIN(N(C168),N(F168))&lt;=0,"",IF(N(D168)=0,"",ROUND((N(G168)/N(D168)-1)*100,2)))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 t="str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 t="str">
        <f>IF(C169="","",SUMIFS(Торговля!$H$5:$H$300,Торговля!$E$5:$E$300,$B169)+SUMIFS(Закрытые!$H$5:$H$300,Закрытые!$E$5:$E$300,$B169,Закрытые!$B$5:$B$300,"T-*"))</f>
        <v/>
      </c>
      <c r="F169" s="240" t="str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 t="str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 t="str">
        <f>IF(F169="","",SUMIFS(Торговля!$K$5:$K$300,Торговля!$E$5:$E$300,$B169)+SUMIFS(Закрытые!$K$5:$K$300,Закрытые!$E$5:$E$300,$B169,Закрытые!$B$5:$B$300,"T-*"))</f>
        <v/>
      </c>
      <c r="I169" s="240" t="str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 t="str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 t="str">
        <f>IF(MIN(N(C169),N(F169))&lt;=0,"",ROUND(MIN(N(C169),N(F169))*(N(G169)-N(D169)),8))</f>
        <v/>
      </c>
      <c r="L169" s="177" t="str">
        <f>IF(MIN(N(C169),N(F169))&lt;=0,"",IF(N(D169)=0,"",ROUND((N(G169)/N(D169)-1)*100,2)))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 t="str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 t="str">
        <f>IF(C170="","",SUMIFS(Торговля!$H$5:$H$300,Торговля!$E$5:$E$300,$B170)+SUMIFS(Закрытые!$H$5:$H$300,Закрытые!$E$5:$E$300,$B170,Закрытые!$B$5:$B$300,"T-*"))</f>
        <v/>
      </c>
      <c r="F170" s="246" t="str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 t="str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 t="str">
        <f>IF(F170="","",SUMIFS(Торговля!$K$5:$K$300,Торговля!$E$5:$E$300,$B170)+SUMIFS(Закрытые!$K$5:$K$300,Закрытые!$E$5:$E$300,$B170,Закрытые!$B$5:$B$300,"T-*"))</f>
        <v/>
      </c>
      <c r="I170" s="246" t="str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 t="str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 t="str">
        <f>IF(MIN(N(C170),N(F170))&lt;=0,"",ROUND(MIN(N(C170),N(F170))*(N(G170)-N(D170)),8))</f>
        <v/>
      </c>
      <c r="L170" s="183" t="str">
        <f>IF(MIN(N(C170),N(F170))&lt;=0,"",IF(N(D170)=0,"",ROUND((N(G170)/N(D170)-1)*100,2)))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 t="str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 t="str">
        <f>IF(C171="","",SUMIFS(Торговля!$H$5:$H$300,Торговля!$E$5:$E$300,$B171)+SUMIFS(Закрытые!$H$5:$H$300,Закрытые!$E$5:$E$300,$B171,Закрытые!$B$5:$B$300,"T-*"))</f>
        <v/>
      </c>
      <c r="F171" s="240" t="str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 t="str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 t="str">
        <f>IF(F171="","",SUMIFS(Торговля!$K$5:$K$300,Торговля!$E$5:$E$300,$B171)+SUMIFS(Закрытые!$K$5:$K$300,Закрытые!$E$5:$E$300,$B171,Закрытые!$B$5:$B$300,"T-*"))</f>
        <v/>
      </c>
      <c r="I171" s="240" t="str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 t="str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 t="str">
        <f>IF(MIN(N(C171),N(F171))&lt;=0,"",ROUND(MIN(N(C171),N(F171))*(N(G171)-N(D171)),8))</f>
        <v/>
      </c>
      <c r="L171" s="177" t="str">
        <f>IF(MIN(N(C171),N(F171))&lt;=0,"",IF(N(D171)=0,"",ROUND((N(G171)/N(D171)-1)*100,2)))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 t="str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 t="str">
        <f>IF(C172="","",SUMIFS(Торговля!$H$5:$H$300,Торговля!$E$5:$E$300,$B172)+SUMIFS(Закрытые!$H$5:$H$300,Закрытые!$E$5:$E$300,$B172,Закрытые!$B$5:$B$300,"T-*"))</f>
        <v/>
      </c>
      <c r="F172" s="246" t="str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 t="str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 t="str">
        <f>IF(F172="","",SUMIFS(Торговля!$K$5:$K$300,Торговля!$E$5:$E$300,$B172)+SUMIFS(Закрытые!$K$5:$K$300,Закрытые!$E$5:$E$300,$B172,Закрытые!$B$5:$B$300,"T-*"))</f>
        <v/>
      </c>
      <c r="I172" s="246" t="str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 t="str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 t="str">
        <f>IF(MIN(N(C172),N(F172))&lt;=0,"",ROUND(MIN(N(C172),N(F172))*(N(G172)-N(D172)),8))</f>
        <v/>
      </c>
      <c r="L172" s="183" t="str">
        <f>IF(MIN(N(C172),N(F172))&lt;=0,"",IF(N(D172)=0,"",ROUND((N(G172)/N(D172)-1)*100,2)))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 t="str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 t="str">
        <f>IF(C173="","",SUMIFS(Торговля!$H$5:$H$300,Торговля!$E$5:$E$300,$B173)+SUMIFS(Закрытые!$H$5:$H$300,Закрытые!$E$5:$E$300,$B173,Закрытые!$B$5:$B$300,"T-*"))</f>
        <v/>
      </c>
      <c r="F173" s="240" t="str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 t="str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 t="str">
        <f>IF(F173="","",SUMIFS(Торговля!$K$5:$K$300,Торговля!$E$5:$E$300,$B173)+SUMIFS(Закрытые!$K$5:$K$300,Закрытые!$E$5:$E$300,$B173,Закрытые!$B$5:$B$300,"T-*"))</f>
        <v/>
      </c>
      <c r="I173" s="240" t="str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 t="str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 t="str">
        <f>IF(MIN(N(C173),N(F173))&lt;=0,"",ROUND(MIN(N(C173),N(F173))*(N(G173)-N(D173)),8))</f>
        <v/>
      </c>
      <c r="L173" s="177" t="str">
        <f>IF(MIN(N(C173),N(F173))&lt;=0,"",IF(N(D173)=0,"",ROUND((N(G173)/N(D173)-1)*100,2)))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 t="str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 t="str">
        <f>IF(C174="","",SUMIFS(Торговля!$H$5:$H$300,Торговля!$E$5:$E$300,$B174)+SUMIFS(Закрытые!$H$5:$H$300,Закрытые!$E$5:$E$300,$B174,Закрытые!$B$5:$B$300,"T-*"))</f>
        <v/>
      </c>
      <c r="F174" s="246" t="str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 t="str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 t="str">
        <f>IF(F174="","",SUMIFS(Торговля!$K$5:$K$300,Торговля!$E$5:$E$300,$B174)+SUMIFS(Закрытые!$K$5:$K$300,Закрытые!$E$5:$E$300,$B174,Закрытые!$B$5:$B$300,"T-*"))</f>
        <v/>
      </c>
      <c r="I174" s="246" t="str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 t="str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 t="str">
        <f>IF(MIN(N(C174),N(F174))&lt;=0,"",ROUND(MIN(N(C174),N(F174))*(N(G174)-N(D174)),8))</f>
        <v/>
      </c>
      <c r="L174" s="183" t="str">
        <f>IF(MIN(N(C174),N(F174))&lt;=0,"",IF(N(D174)=0,"",ROUND((N(G174)/N(D174)-1)*100,2)))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 t="str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 t="str">
        <f>IF(C175="","",SUMIFS(Торговля!$H$5:$H$300,Торговля!$E$5:$E$300,$B175)+SUMIFS(Закрытые!$H$5:$H$300,Закрытые!$E$5:$E$300,$B175,Закрытые!$B$5:$B$300,"T-*"))</f>
        <v/>
      </c>
      <c r="F175" s="240" t="str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 t="str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 t="str">
        <f>IF(F175="","",SUMIFS(Торговля!$K$5:$K$300,Торговля!$E$5:$E$300,$B175)+SUMIFS(Закрытые!$K$5:$K$300,Закрытые!$E$5:$E$300,$B175,Закрытые!$B$5:$B$300,"T-*"))</f>
        <v/>
      </c>
      <c r="I175" s="240" t="str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 t="str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 t="str">
        <f>IF(MIN(N(C175),N(F175))&lt;=0,"",ROUND(MIN(N(C175),N(F175))*(N(G175)-N(D175)),8))</f>
        <v/>
      </c>
      <c r="L175" s="177" t="str">
        <f>IF(MIN(N(C175),N(F175))&lt;=0,"",IF(N(D175)=0,"",ROUND((N(G175)/N(D175)-1)*100,2)))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 t="str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 t="str">
        <f>IF(C176="","",SUMIFS(Торговля!$H$5:$H$300,Торговля!$E$5:$E$300,$B176)+SUMIFS(Закрытые!$H$5:$H$300,Закрытые!$E$5:$E$300,$B176,Закрытые!$B$5:$B$300,"T-*"))</f>
        <v/>
      </c>
      <c r="F176" s="246" t="str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 t="str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 t="str">
        <f>IF(F176="","",SUMIFS(Торговля!$K$5:$K$300,Торговля!$E$5:$E$300,$B176)+SUMIFS(Закрытые!$K$5:$K$300,Закрытые!$E$5:$E$300,$B176,Закрытые!$B$5:$B$300,"T-*"))</f>
        <v/>
      </c>
      <c r="I176" s="246" t="str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 t="str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 t="str">
        <f>IF(MIN(N(C176),N(F176))&lt;=0,"",ROUND(MIN(N(C176),N(F176))*(N(G176)-N(D176)),8))</f>
        <v/>
      </c>
      <c r="L176" s="183" t="str">
        <f>IF(MIN(N(C176),N(F176))&lt;=0,"",IF(N(D176)=0,"",ROUND((N(G176)/N(D176)-1)*100,2)))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 t="str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 t="str">
        <f>IF(C177="","",SUMIFS(Торговля!$H$5:$H$300,Торговля!$E$5:$E$300,$B177)+SUMIFS(Закрытые!$H$5:$H$300,Закрытые!$E$5:$E$300,$B177,Закрытые!$B$5:$B$300,"T-*"))</f>
        <v/>
      </c>
      <c r="F177" s="240" t="str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 t="str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 t="str">
        <f>IF(F177="","",SUMIFS(Торговля!$K$5:$K$300,Торговля!$E$5:$E$300,$B177)+SUMIFS(Закрытые!$K$5:$K$300,Закрытые!$E$5:$E$300,$B177,Закрытые!$B$5:$B$300,"T-*"))</f>
        <v/>
      </c>
      <c r="I177" s="240" t="str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 t="str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 t="str">
        <f>IF(MIN(N(C177),N(F177))&lt;=0,"",ROUND(MIN(N(C177),N(F177))*(N(G177)-N(D177)),8))</f>
        <v/>
      </c>
      <c r="L177" s="177" t="str">
        <f>IF(MIN(N(C177),N(F177))&lt;=0,"",IF(N(D177)=0,"",ROUND((N(G177)/N(D177)-1)*100,2)))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 t="str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 t="str">
        <f>IF(C178="","",SUMIFS(Торговля!$H$5:$H$300,Торговля!$E$5:$E$300,$B178)+SUMIFS(Закрытые!$H$5:$H$300,Закрытые!$E$5:$E$300,$B178,Закрытые!$B$5:$B$300,"T-*"))</f>
        <v/>
      </c>
      <c r="F178" s="246" t="str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 t="str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 t="str">
        <f>IF(F178="","",SUMIFS(Торговля!$K$5:$K$300,Торговля!$E$5:$E$300,$B178)+SUMIFS(Закрытые!$K$5:$K$300,Закрытые!$E$5:$E$300,$B178,Закрытые!$B$5:$B$300,"T-*"))</f>
        <v/>
      </c>
      <c r="I178" s="246" t="str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 t="str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 t="str">
        <f>IF(MIN(N(C178),N(F178))&lt;=0,"",ROUND(MIN(N(C178),N(F178))*(N(G178)-N(D178)),8))</f>
        <v/>
      </c>
      <c r="L178" s="183" t="str">
        <f>IF(MIN(N(C178),N(F178))&lt;=0,"",IF(N(D178)=0,"",ROUND((N(G178)/N(D178)-1)*100,2)))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 t="str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 t="str">
        <f>IF(C179="","",SUMIFS(Торговля!$H$5:$H$300,Торговля!$E$5:$E$300,$B179)+SUMIFS(Закрытые!$H$5:$H$300,Закрытые!$E$5:$E$300,$B179,Закрытые!$B$5:$B$300,"T-*"))</f>
        <v/>
      </c>
      <c r="F179" s="240" t="str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 t="str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 t="str">
        <f>IF(F179="","",SUMIFS(Торговля!$K$5:$K$300,Торговля!$E$5:$E$300,$B179)+SUMIFS(Закрытые!$K$5:$K$300,Закрытые!$E$5:$E$300,$B179,Закрытые!$B$5:$B$300,"T-*"))</f>
        <v/>
      </c>
      <c r="I179" s="240" t="str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 t="str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 t="str">
        <f>IF(MIN(N(C179),N(F179))&lt;=0,"",ROUND(MIN(N(C179),N(F179))*(N(G179)-N(D179)),8))</f>
        <v/>
      </c>
      <c r="L179" s="177" t="str">
        <f>IF(MIN(N(C179),N(F179))&lt;=0,"",IF(N(D179)=0,"",ROUND((N(G179)/N(D179)-1)*100,2)))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 t="str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 t="str">
        <f>IF(C180="","",SUMIFS(Торговля!$H$5:$H$300,Торговля!$E$5:$E$300,$B180)+SUMIFS(Закрытые!$H$5:$H$300,Закрытые!$E$5:$E$300,$B180,Закрытые!$B$5:$B$300,"T-*"))</f>
        <v/>
      </c>
      <c r="F180" s="246" t="str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 t="str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 t="str">
        <f>IF(F180="","",SUMIFS(Торговля!$K$5:$K$300,Торговля!$E$5:$E$300,$B180)+SUMIFS(Закрытые!$K$5:$K$300,Закрытые!$E$5:$E$300,$B180,Закрытые!$B$5:$B$300,"T-*"))</f>
        <v/>
      </c>
      <c r="I180" s="246" t="str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 t="str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 t="str">
        <f>IF(MIN(N(C180),N(F180))&lt;=0,"",ROUND(MIN(N(C180),N(F180))*(N(G180)-N(D180)),8))</f>
        <v/>
      </c>
      <c r="L180" s="183" t="str">
        <f>IF(MIN(N(C180),N(F180))&lt;=0,"",IF(N(D180)=0,"",ROUND((N(G180)/N(D180)-1)*100,2)))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 t="str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 t="str">
        <f>IF(C181="","",SUMIFS(Торговля!$H$5:$H$300,Торговля!$E$5:$E$300,$B181)+SUMIFS(Закрытые!$H$5:$H$300,Закрытые!$E$5:$E$300,$B181,Закрытые!$B$5:$B$300,"T-*"))</f>
        <v/>
      </c>
      <c r="F181" s="240" t="str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 t="str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 t="str">
        <f>IF(F181="","",SUMIFS(Торговля!$K$5:$K$300,Торговля!$E$5:$E$300,$B181)+SUMIFS(Закрытые!$K$5:$K$300,Закрытые!$E$5:$E$300,$B181,Закрытые!$B$5:$B$300,"T-*"))</f>
        <v/>
      </c>
      <c r="I181" s="240" t="str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 t="str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 t="str">
        <f>IF(MIN(N(C181),N(F181))&lt;=0,"",ROUND(MIN(N(C181),N(F181))*(N(G181)-N(D181)),8))</f>
        <v/>
      </c>
      <c r="L181" s="177" t="str">
        <f>IF(MIN(N(C181),N(F181))&lt;=0,"",IF(N(D181)=0,"",ROUND((N(G181)/N(D181)-1)*100,2)))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 t="str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 t="str">
        <f>IF(C182="","",SUMIFS(Торговля!$H$5:$H$300,Торговля!$E$5:$E$300,$B182)+SUMIFS(Закрытые!$H$5:$H$300,Закрытые!$E$5:$E$300,$B182,Закрытые!$B$5:$B$300,"T-*"))</f>
        <v/>
      </c>
      <c r="F182" s="246" t="str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 t="str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 t="str">
        <f>IF(F182="","",SUMIFS(Торговля!$K$5:$K$300,Торговля!$E$5:$E$300,$B182)+SUMIFS(Закрытые!$K$5:$K$300,Закрытые!$E$5:$E$300,$B182,Закрытые!$B$5:$B$300,"T-*"))</f>
        <v/>
      </c>
      <c r="I182" s="246" t="str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 t="str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 t="str">
        <f>IF(MIN(N(C182),N(F182))&lt;=0,"",ROUND(MIN(N(C182),N(F182))*(N(G182)-N(D182)),8))</f>
        <v/>
      </c>
      <c r="L182" s="183" t="str">
        <f>IF(MIN(N(C182),N(F182))&lt;=0,"",IF(N(D182)=0,"",ROUND((N(G182)/N(D182)-1)*100,2)))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 t="str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 t="str">
        <f>IF(C183="","",SUMIFS(Торговля!$H$5:$H$300,Торговля!$E$5:$E$300,$B183)+SUMIFS(Закрытые!$H$5:$H$300,Закрытые!$E$5:$E$300,$B183,Закрытые!$B$5:$B$300,"T-*"))</f>
        <v/>
      </c>
      <c r="F183" s="240" t="str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 t="str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 t="str">
        <f>IF(F183="","",SUMIFS(Торговля!$K$5:$K$300,Торговля!$E$5:$E$300,$B183)+SUMIFS(Закрытые!$K$5:$K$300,Закрытые!$E$5:$E$300,$B183,Закрытые!$B$5:$B$300,"T-*"))</f>
        <v/>
      </c>
      <c r="I183" s="240" t="str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 t="str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 t="str">
        <f>IF(MIN(N(C183),N(F183))&lt;=0,"",ROUND(MIN(N(C183),N(F183))*(N(G183)-N(D183)),8))</f>
        <v/>
      </c>
      <c r="L183" s="177" t="str">
        <f>IF(MIN(N(C183),N(F183))&lt;=0,"",IF(N(D183)=0,"",ROUND((N(G183)/N(D183)-1)*100,2)))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 t="str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 t="str">
        <f>IF(C184="","",SUMIFS(Торговля!$H$5:$H$300,Торговля!$E$5:$E$300,$B184)+SUMIFS(Закрытые!$H$5:$H$300,Закрытые!$E$5:$E$300,$B184,Закрытые!$B$5:$B$300,"T-*"))</f>
        <v/>
      </c>
      <c r="F184" s="246" t="str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 t="str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 t="str">
        <f>IF(F184="","",SUMIFS(Торговля!$K$5:$K$300,Торговля!$E$5:$E$300,$B184)+SUMIFS(Закрытые!$K$5:$K$300,Закрытые!$E$5:$E$300,$B184,Закрытые!$B$5:$B$300,"T-*"))</f>
        <v/>
      </c>
      <c r="I184" s="246" t="str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 t="str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 t="str">
        <f>IF(MIN(N(C184),N(F184))&lt;=0,"",ROUND(MIN(N(C184),N(F184))*(N(G184)-N(D184)),8))</f>
        <v/>
      </c>
      <c r="L184" s="183" t="str">
        <f>IF(MIN(N(C184),N(F184))&lt;=0,"",IF(N(D184)=0,"",ROUND((N(G184)/N(D184)-1)*100,2)))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 t="str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 t="str">
        <f>IF(C185="","",SUMIFS(Торговля!$H$5:$H$300,Торговля!$E$5:$E$300,$B185)+SUMIFS(Закрытые!$H$5:$H$300,Закрытые!$E$5:$E$300,$B185,Закрытые!$B$5:$B$300,"T-*"))</f>
        <v/>
      </c>
      <c r="F185" s="240" t="str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 t="str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 t="str">
        <f>IF(F185="","",SUMIFS(Торговля!$K$5:$K$300,Торговля!$E$5:$E$300,$B185)+SUMIFS(Закрытые!$K$5:$K$300,Закрытые!$E$5:$E$300,$B185,Закрытые!$B$5:$B$300,"T-*"))</f>
        <v/>
      </c>
      <c r="I185" s="240" t="str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 t="str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 t="str">
        <f>IF(MIN(N(C185),N(F185))&lt;=0,"",ROUND(MIN(N(C185),N(F185))*(N(G185)-N(D185)),8))</f>
        <v/>
      </c>
      <c r="L185" s="177" t="str">
        <f>IF(MIN(N(C185),N(F185))&lt;=0,"",IF(N(D185)=0,"",ROUND((N(G185)/N(D185)-1)*100,2)))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 t="str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 t="str">
        <f>IF(C186="","",SUMIFS(Торговля!$H$5:$H$300,Торговля!$E$5:$E$300,$B186)+SUMIFS(Закрытые!$H$5:$H$300,Закрытые!$E$5:$E$300,$B186,Закрытые!$B$5:$B$300,"T-*"))</f>
        <v/>
      </c>
      <c r="F186" s="246" t="str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 t="str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 t="str">
        <f>IF(F186="","",SUMIFS(Торговля!$K$5:$K$300,Торговля!$E$5:$E$300,$B186)+SUMIFS(Закрытые!$K$5:$K$300,Закрытые!$E$5:$E$300,$B186,Закрытые!$B$5:$B$300,"T-*"))</f>
        <v/>
      </c>
      <c r="I186" s="246" t="str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 t="str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 t="str">
        <f>IF(MIN(N(C186),N(F186))&lt;=0,"",ROUND(MIN(N(C186),N(F186))*(N(G186)-N(D186)),8))</f>
        <v/>
      </c>
      <c r="L186" s="183" t="str">
        <f>IF(MIN(N(C186),N(F186))&lt;=0,"",IF(N(D186)=0,"",ROUND((N(G186)/N(D186)-1)*100,2)))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 t="str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 t="str">
        <f>IF(C187="","",SUMIFS(Торговля!$H$5:$H$300,Торговля!$E$5:$E$300,$B187)+SUMIFS(Закрытые!$H$5:$H$300,Закрытые!$E$5:$E$300,$B187,Закрытые!$B$5:$B$300,"T-*"))</f>
        <v/>
      </c>
      <c r="F187" s="240" t="str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 t="str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 t="str">
        <f>IF(F187="","",SUMIFS(Торговля!$K$5:$K$300,Торговля!$E$5:$E$300,$B187)+SUMIFS(Закрытые!$K$5:$K$300,Закрытые!$E$5:$E$300,$B187,Закрытые!$B$5:$B$300,"T-*"))</f>
        <v/>
      </c>
      <c r="I187" s="240" t="str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 t="str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 t="str">
        <f>IF(MIN(N(C187),N(F187))&lt;=0,"",ROUND(MIN(N(C187),N(F187))*(N(G187)-N(D187)),8))</f>
        <v/>
      </c>
      <c r="L187" s="177" t="str">
        <f>IF(MIN(N(C187),N(F187))&lt;=0,"",IF(N(D187)=0,"",ROUND((N(G187)/N(D187)-1)*100,2)))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 t="str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 t="str">
        <f>IF(C188="","",SUMIFS(Торговля!$H$5:$H$300,Торговля!$E$5:$E$300,$B188)+SUMIFS(Закрытые!$H$5:$H$300,Закрытые!$E$5:$E$300,$B188,Закрытые!$B$5:$B$300,"T-*"))</f>
        <v/>
      </c>
      <c r="F188" s="246" t="str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 t="str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 t="str">
        <f>IF(F188="","",SUMIFS(Торговля!$K$5:$K$300,Торговля!$E$5:$E$300,$B188)+SUMIFS(Закрытые!$K$5:$K$300,Закрытые!$E$5:$E$300,$B188,Закрытые!$B$5:$B$300,"T-*"))</f>
        <v/>
      </c>
      <c r="I188" s="246" t="str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 t="str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 t="str">
        <f>IF(MIN(N(C188),N(F188))&lt;=0,"",ROUND(MIN(N(C188),N(F188))*(N(G188)-N(D188)),8))</f>
        <v/>
      </c>
      <c r="L188" s="183" t="str">
        <f>IF(MIN(N(C188),N(F188))&lt;=0,"",IF(N(D188)=0,"",ROUND((N(G188)/N(D188)-1)*100,2)))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 t="str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 t="str">
        <f>IF(C189="","",SUMIFS(Торговля!$H$5:$H$300,Торговля!$E$5:$E$300,$B189)+SUMIFS(Закрытые!$H$5:$H$300,Закрытые!$E$5:$E$300,$B189,Закрытые!$B$5:$B$300,"T-*"))</f>
        <v/>
      </c>
      <c r="F189" s="240" t="str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 t="str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 t="str">
        <f>IF(F189="","",SUMIFS(Торговля!$K$5:$K$300,Торговля!$E$5:$E$300,$B189)+SUMIFS(Закрытые!$K$5:$K$300,Закрытые!$E$5:$E$300,$B189,Закрытые!$B$5:$B$300,"T-*"))</f>
        <v/>
      </c>
      <c r="I189" s="240" t="str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 t="str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 t="str">
        <f>IF(MIN(N(C189),N(F189))&lt;=0,"",ROUND(MIN(N(C189),N(F189))*(N(G189)-N(D189)),8))</f>
        <v/>
      </c>
      <c r="L189" s="177" t="str">
        <f>IF(MIN(N(C189),N(F189))&lt;=0,"",IF(N(D189)=0,"",ROUND((N(G189)/N(D189)-1)*100,2)))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 t="str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 t="str">
        <f>IF(C190="","",SUMIFS(Торговля!$H$5:$H$300,Торговля!$E$5:$E$300,$B190)+SUMIFS(Закрытые!$H$5:$H$300,Закрытые!$E$5:$E$300,$B190,Закрытые!$B$5:$B$300,"T-*"))</f>
        <v/>
      </c>
      <c r="F190" s="246" t="str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 t="str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 t="str">
        <f>IF(F190="","",SUMIFS(Торговля!$K$5:$K$300,Торговля!$E$5:$E$300,$B190)+SUMIFS(Закрытые!$K$5:$K$300,Закрытые!$E$5:$E$300,$B190,Закрытые!$B$5:$B$300,"T-*"))</f>
        <v/>
      </c>
      <c r="I190" s="246" t="str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 t="str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 t="str">
        <f>IF(MIN(N(C190),N(F190))&lt;=0,"",ROUND(MIN(N(C190),N(F190))*(N(G190)-N(D190)),8))</f>
        <v/>
      </c>
      <c r="L190" s="183" t="str">
        <f>IF(MIN(N(C190),N(F190))&lt;=0,"",IF(N(D190)=0,"",ROUND((N(G190)/N(D190)-1)*100,2)))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 t="str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 t="str">
        <f>IF(C191="","",SUMIFS(Торговля!$H$5:$H$300,Торговля!$E$5:$E$300,$B191)+SUMIFS(Закрытые!$H$5:$H$300,Закрытые!$E$5:$E$300,$B191,Закрытые!$B$5:$B$300,"T-*"))</f>
        <v/>
      </c>
      <c r="F191" s="240" t="str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 t="str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 t="str">
        <f>IF(F191="","",SUMIFS(Торговля!$K$5:$K$300,Торговля!$E$5:$E$300,$B191)+SUMIFS(Закрытые!$K$5:$K$300,Закрытые!$E$5:$E$300,$B191,Закрытые!$B$5:$B$300,"T-*"))</f>
        <v/>
      </c>
      <c r="I191" s="240" t="str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 t="str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 t="str">
        <f>IF(MIN(N(C191),N(F191))&lt;=0,"",ROUND(MIN(N(C191),N(F191))*(N(G191)-N(D191)),8))</f>
        <v/>
      </c>
      <c r="L191" s="177" t="str">
        <f>IF(MIN(N(C191),N(F191))&lt;=0,"",IF(N(D191)=0,"",ROUND((N(G191)/N(D191)-1)*100,2)))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 t="str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 t="str">
        <f>IF(C192="","",SUMIFS(Торговля!$H$5:$H$300,Торговля!$E$5:$E$300,$B192)+SUMIFS(Закрытые!$H$5:$H$300,Закрытые!$E$5:$E$300,$B192,Закрытые!$B$5:$B$300,"T-*"))</f>
        <v/>
      </c>
      <c r="F192" s="246" t="str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 t="str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 t="str">
        <f>IF(F192="","",SUMIFS(Торговля!$K$5:$K$300,Торговля!$E$5:$E$300,$B192)+SUMIFS(Закрытые!$K$5:$K$300,Закрытые!$E$5:$E$300,$B192,Закрытые!$B$5:$B$300,"T-*"))</f>
        <v/>
      </c>
      <c r="I192" s="246" t="str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 t="str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 t="str">
        <f>IF(MIN(N(C192),N(F192))&lt;=0,"",ROUND(MIN(N(C192),N(F192))*(N(G192)-N(D192)),8))</f>
        <v/>
      </c>
      <c r="L192" s="183" t="str">
        <f>IF(MIN(N(C192),N(F192))&lt;=0,"",IF(N(D192)=0,"",ROUND((N(G192)/N(D192)-1)*100,2)))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 t="str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 t="str">
        <f>IF(C193="","",SUMIFS(Торговля!$H$5:$H$300,Торговля!$E$5:$E$300,$B193)+SUMIFS(Закрытые!$H$5:$H$300,Закрытые!$E$5:$E$300,$B193,Закрытые!$B$5:$B$300,"T-*"))</f>
        <v/>
      </c>
      <c r="F193" s="240" t="str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 t="str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 t="str">
        <f>IF(F193="","",SUMIFS(Торговля!$K$5:$K$300,Торговля!$E$5:$E$300,$B193)+SUMIFS(Закрытые!$K$5:$K$300,Закрытые!$E$5:$E$300,$B193,Закрытые!$B$5:$B$300,"T-*"))</f>
        <v/>
      </c>
      <c r="I193" s="240" t="str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 t="str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 t="str">
        <f>IF(MIN(N(C193),N(F193))&lt;=0,"",ROUND(MIN(N(C193),N(F193))*(N(G193)-N(D193)),8))</f>
        <v/>
      </c>
      <c r="L193" s="177" t="str">
        <f>IF(MIN(N(C193),N(F193))&lt;=0,"",IF(N(D193)=0,"",ROUND((N(G193)/N(D193)-1)*100,2)))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 t="str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 t="str">
        <f>IF(C194="","",SUMIFS(Торговля!$H$5:$H$300,Торговля!$E$5:$E$300,$B194)+SUMIFS(Закрытые!$H$5:$H$300,Закрытые!$E$5:$E$300,$B194,Закрытые!$B$5:$B$300,"T-*"))</f>
        <v/>
      </c>
      <c r="F194" s="246" t="str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 t="str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 t="str">
        <f>IF(F194="","",SUMIFS(Торговля!$K$5:$K$300,Торговля!$E$5:$E$300,$B194)+SUMIFS(Закрытые!$K$5:$K$300,Закрытые!$E$5:$E$300,$B194,Закрытые!$B$5:$B$300,"T-*"))</f>
        <v/>
      </c>
      <c r="I194" s="246" t="str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 t="str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 t="str">
        <f>IF(MIN(N(C194),N(F194))&lt;=0,"",ROUND(MIN(N(C194),N(F194))*(N(G194)-N(D194)),8))</f>
        <v/>
      </c>
      <c r="L194" s="183" t="str">
        <f>IF(MIN(N(C194),N(F194))&lt;=0,"",IF(N(D194)=0,"",ROUND((N(G194)/N(D194)-1)*100,2)))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 t="str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 t="str">
        <f>IF(C195="","",SUMIFS(Торговля!$H$5:$H$300,Торговля!$E$5:$E$300,$B195)+SUMIFS(Закрытые!$H$5:$H$300,Закрытые!$E$5:$E$300,$B195,Закрытые!$B$5:$B$300,"T-*"))</f>
        <v/>
      </c>
      <c r="F195" s="240" t="str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 t="str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 t="str">
        <f>IF(F195="","",SUMIFS(Торговля!$K$5:$K$300,Торговля!$E$5:$E$300,$B195)+SUMIFS(Закрытые!$K$5:$K$300,Закрытые!$E$5:$E$300,$B195,Закрытые!$B$5:$B$300,"T-*"))</f>
        <v/>
      </c>
      <c r="I195" s="240" t="str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 t="str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 t="str">
        <f>IF(MIN(N(C195),N(F195))&lt;=0,"",ROUND(MIN(N(C195),N(F195))*(N(G195)-N(D195)),8))</f>
        <v/>
      </c>
      <c r="L195" s="177" t="str">
        <f>IF(MIN(N(C195),N(F195))&lt;=0,"",IF(N(D195)=0,"",ROUND((N(G195)/N(D195)-1)*100,2)))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 t="str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 t="str">
        <f>IF(C196="","",SUMIFS(Торговля!$H$5:$H$300,Торговля!$E$5:$E$300,$B196)+SUMIFS(Закрытые!$H$5:$H$300,Закрытые!$E$5:$E$300,$B196,Закрытые!$B$5:$B$300,"T-*"))</f>
        <v/>
      </c>
      <c r="F196" s="246" t="str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 t="str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 t="str">
        <f>IF(F196="","",SUMIFS(Торговля!$K$5:$K$300,Торговля!$E$5:$E$300,$B196)+SUMIFS(Закрытые!$K$5:$K$300,Закрытые!$E$5:$E$300,$B196,Закрытые!$B$5:$B$300,"T-*"))</f>
        <v/>
      </c>
      <c r="I196" s="246" t="str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 t="str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 t="str">
        <f>IF(MIN(N(C196),N(F196))&lt;=0,"",ROUND(MIN(N(C196),N(F196))*(N(G196)-N(D196)),8))</f>
        <v/>
      </c>
      <c r="L196" s="183" t="str">
        <f>IF(MIN(N(C196),N(F196))&lt;=0,"",IF(N(D196)=0,"",ROUND((N(G196)/N(D196)-1)*100,2)))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 t="str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 t="str">
        <f>IF(C197="","",SUMIFS(Торговля!$H$5:$H$300,Торговля!$E$5:$E$300,$B197)+SUMIFS(Закрытые!$H$5:$H$300,Закрытые!$E$5:$E$300,$B197,Закрытые!$B$5:$B$300,"T-*"))</f>
        <v/>
      </c>
      <c r="F197" s="240" t="str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 t="str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 t="str">
        <f>IF(F197="","",SUMIFS(Торговля!$K$5:$K$300,Торговля!$E$5:$E$300,$B197)+SUMIFS(Закрытые!$K$5:$K$300,Закрытые!$E$5:$E$300,$B197,Закрытые!$B$5:$B$300,"T-*"))</f>
        <v/>
      </c>
      <c r="I197" s="240" t="str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 t="str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 t="str">
        <f>IF(MIN(N(C197),N(F197))&lt;=0,"",ROUND(MIN(N(C197),N(F197))*(N(G197)-N(D197)),8))</f>
        <v/>
      </c>
      <c r="L197" s="177" t="str">
        <f>IF(MIN(N(C197),N(F197))&lt;=0,"",IF(N(D197)=0,"",ROUND((N(G197)/N(D197)-1)*100,2)))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 t="str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 t="str">
        <f>IF(C198="","",SUMIFS(Торговля!$H$5:$H$300,Торговля!$E$5:$E$300,$B198)+SUMIFS(Закрытые!$H$5:$H$300,Закрытые!$E$5:$E$300,$B198,Закрытые!$B$5:$B$300,"T-*"))</f>
        <v/>
      </c>
      <c r="F198" s="246" t="str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 t="str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 t="str">
        <f>IF(F198="","",SUMIFS(Торговля!$K$5:$K$300,Торговля!$E$5:$E$300,$B198)+SUMIFS(Закрытые!$K$5:$K$300,Закрытые!$E$5:$E$300,$B198,Закрытые!$B$5:$B$300,"T-*"))</f>
        <v/>
      </c>
      <c r="I198" s="246" t="str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 t="str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 t="str">
        <f>IF(MIN(N(C198),N(F198))&lt;=0,"",ROUND(MIN(N(C198),N(F198))*(N(G198)-N(D198)),8))</f>
        <v/>
      </c>
      <c r="L198" s="183" t="str">
        <f>IF(MIN(N(C198),N(F198))&lt;=0,"",IF(N(D198)=0,"",ROUND((N(G198)/N(D198)-1)*100,2)))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 t="str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 t="str">
        <f>IF(C199="","",SUMIFS(Торговля!$H$5:$H$300,Торговля!$E$5:$E$300,$B199)+SUMIFS(Закрытые!$H$5:$H$300,Закрытые!$E$5:$E$300,$B199,Закрытые!$B$5:$B$300,"T-*"))</f>
        <v/>
      </c>
      <c r="F199" s="240" t="str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 t="str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 t="str">
        <f>IF(F199="","",SUMIFS(Торговля!$K$5:$K$300,Торговля!$E$5:$E$300,$B199)+SUMIFS(Закрытые!$K$5:$K$300,Закрытые!$E$5:$E$300,$B199,Закрытые!$B$5:$B$300,"T-*"))</f>
        <v/>
      </c>
      <c r="I199" s="240" t="str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 t="str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 t="str">
        <f>IF(MIN(N(C199),N(F199))&lt;=0,"",ROUND(MIN(N(C199),N(F199))*(N(G199)-N(D199)),8))</f>
        <v/>
      </c>
      <c r="L199" s="177" t="str">
        <f>IF(MIN(N(C199),N(F199))&lt;=0,"",IF(N(D199)=0,"",ROUND((N(G199)/N(D199)-1)*100,2)))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 t="str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 t="str">
        <f>IF(C200="","",SUMIFS(Торговля!$H$5:$H$300,Торговля!$E$5:$E$300,$B200)+SUMIFS(Закрытые!$H$5:$H$300,Закрытые!$E$5:$E$300,$B200,Закрытые!$B$5:$B$300,"T-*"))</f>
        <v/>
      </c>
      <c r="F200" s="246" t="str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 t="str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 t="str">
        <f>IF(F200="","",SUMIFS(Торговля!$K$5:$K$300,Торговля!$E$5:$E$300,$B200)+SUMIFS(Закрытые!$K$5:$K$300,Закрытые!$E$5:$E$300,$B200,Закрытые!$B$5:$B$300,"T-*"))</f>
        <v/>
      </c>
      <c r="I200" s="246" t="str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 t="str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 t="str">
        <f>IF(MIN(N(C200),N(F200))&lt;=0,"",ROUND(MIN(N(C200),N(F200))*(N(G200)-N(D200)),8))</f>
        <v/>
      </c>
      <c r="L200" s="183" t="str">
        <f>IF(MIN(N(C200),N(F200))&lt;=0,"",IF(N(D200)=0,"",ROUND((N(G200)/N(D200)-1)*100,2)))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 t="str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 t="str">
        <f>IF(C201="","",SUMIFS(Торговля!$H$5:$H$300,Торговля!$E$5:$E$300,$B201)+SUMIFS(Закрытые!$H$5:$H$300,Закрытые!$E$5:$E$300,$B201,Закрытые!$B$5:$B$300,"T-*"))</f>
        <v/>
      </c>
      <c r="F201" s="240" t="str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 t="str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 t="str">
        <f>IF(F201="","",SUMIFS(Торговля!$K$5:$K$300,Торговля!$E$5:$E$300,$B201)+SUMIFS(Закрытые!$K$5:$K$300,Закрытые!$E$5:$E$300,$B201,Закрытые!$B$5:$B$300,"T-*"))</f>
        <v/>
      </c>
      <c r="I201" s="240" t="str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 t="str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 t="str">
        <f>IF(MIN(N(C201),N(F201))&lt;=0,"",ROUND(MIN(N(C201),N(F201))*(N(G201)-N(D201)),8))</f>
        <v/>
      </c>
      <c r="L201" s="177" t="str">
        <f>IF(MIN(N(C201),N(F201))&lt;=0,"",IF(N(D201)=0,"",ROUND((N(G201)/N(D201)-1)*100,2)))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 t="str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 t="str">
        <f>IF(C202="","",SUMIFS(Торговля!$H$5:$H$300,Торговля!$E$5:$E$300,$B202)+SUMIFS(Закрытые!$H$5:$H$300,Закрытые!$E$5:$E$300,$B202,Закрытые!$B$5:$B$300,"T-*"))</f>
        <v/>
      </c>
      <c r="F202" s="246" t="str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 t="str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 t="str">
        <f>IF(F202="","",SUMIFS(Торговля!$K$5:$K$300,Торговля!$E$5:$E$300,$B202)+SUMIFS(Закрытые!$K$5:$K$300,Закрытые!$E$5:$E$300,$B202,Закрытые!$B$5:$B$300,"T-*"))</f>
        <v/>
      </c>
      <c r="I202" s="246" t="str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 t="str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 t="str">
        <f>IF(MIN(N(C202),N(F202))&lt;=0,"",ROUND(MIN(N(C202),N(F202))*(N(G202)-N(D202)),8))</f>
        <v/>
      </c>
      <c r="L202" s="183" t="str">
        <f>IF(MIN(N(C202),N(F202))&lt;=0,"",IF(N(D202)=0,"",ROUND((N(G202)/N(D202)-1)*100,2)))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 t="str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 t="str">
        <f>IF(C203="","",SUMIFS(Торговля!$H$5:$H$300,Торговля!$E$5:$E$300,$B203)+SUMIFS(Закрытые!$H$5:$H$300,Закрытые!$E$5:$E$300,$B203,Закрытые!$B$5:$B$300,"T-*"))</f>
        <v/>
      </c>
      <c r="F203" s="240" t="str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 t="str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 t="str">
        <f>IF(F203="","",SUMIFS(Торговля!$K$5:$K$300,Торговля!$E$5:$E$300,$B203)+SUMIFS(Закрытые!$K$5:$K$300,Закрытые!$E$5:$E$300,$B203,Закрытые!$B$5:$B$300,"T-*"))</f>
        <v/>
      </c>
      <c r="I203" s="240" t="str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 t="str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 t="str">
        <f>IF(MIN(N(C203),N(F203))&lt;=0,"",ROUND(MIN(N(C203),N(F203))*(N(G203)-N(D203)),8))</f>
        <v/>
      </c>
      <c r="L203" s="177" t="str">
        <f>IF(MIN(N(C203),N(F203))&lt;=0,"",IF(N(D203)=0,"",ROUND((N(G203)/N(D203)-1)*100,2)))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 t="str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 t="str">
        <f>IF(C204="","",SUMIFS(Торговля!$H$5:$H$300,Торговля!$E$5:$E$300,$B204)+SUMIFS(Закрытые!$H$5:$H$300,Закрытые!$E$5:$E$300,$B204,Закрытые!$B$5:$B$300,"T-*"))</f>
        <v/>
      </c>
      <c r="F204" s="246" t="str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 t="str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 t="str">
        <f>IF(F204="","",SUMIFS(Торговля!$K$5:$K$300,Торговля!$E$5:$E$300,$B204)+SUMIFS(Закрытые!$K$5:$K$300,Закрытые!$E$5:$E$300,$B204,Закрытые!$B$5:$B$300,"T-*"))</f>
        <v/>
      </c>
      <c r="I204" s="246" t="str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 t="str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 t="str">
        <f>IF(MIN(N(C204),N(F204))&lt;=0,"",ROUND(MIN(N(C204),N(F204))*(N(G204)-N(D204)),8))</f>
        <v/>
      </c>
      <c r="L204" s="183" t="str">
        <f>IF(MIN(N(C204),N(F204))&lt;=0,"",IF(N(D204)=0,"",ROUND((N(G204)/N(D204)-1)*100,2)))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 t="str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 t="str">
        <f>IF(C205="","",SUMIFS(Торговля!$H$5:$H$300,Торговля!$E$5:$E$300,$B205)+SUMIFS(Закрытые!$H$5:$H$300,Закрытые!$E$5:$E$300,$B205,Закрытые!$B$5:$B$300,"T-*"))</f>
        <v/>
      </c>
      <c r="F205" s="240" t="str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 t="str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 t="str">
        <f>IF(F205="","",SUMIFS(Торговля!$K$5:$K$300,Торговля!$E$5:$E$300,$B205)+SUMIFS(Закрытые!$K$5:$K$300,Закрытые!$E$5:$E$300,$B205,Закрытые!$B$5:$B$300,"T-*"))</f>
        <v/>
      </c>
      <c r="I205" s="240" t="str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 t="str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 t="str">
        <f>IF(MIN(N(C205),N(F205))&lt;=0,"",ROUND(MIN(N(C205),N(F205))*(N(G205)-N(D205)),8))</f>
        <v/>
      </c>
      <c r="L205" s="177" t="str">
        <f>IF(MIN(N(C205),N(F205))&lt;=0,"",IF(N(D205)=0,"",ROUND((N(G205)/N(D205)-1)*100,2)))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 t="str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 t="str">
        <f>IF(C206="","",SUMIFS(Торговля!$H$5:$H$300,Торговля!$E$5:$E$300,$B206)+SUMIFS(Закрытые!$H$5:$H$300,Закрытые!$E$5:$E$300,$B206,Закрытые!$B$5:$B$300,"T-*"))</f>
        <v/>
      </c>
      <c r="F206" s="246" t="str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 t="str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 t="str">
        <f>IF(F206="","",SUMIFS(Торговля!$K$5:$K$300,Торговля!$E$5:$E$300,$B206)+SUMIFS(Закрытые!$K$5:$K$300,Закрытые!$E$5:$E$300,$B206,Закрытые!$B$5:$B$300,"T-*"))</f>
        <v/>
      </c>
      <c r="I206" s="246" t="str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 t="str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 t="str">
        <f>IF(MIN(N(C206),N(F206))&lt;=0,"",ROUND(MIN(N(C206),N(F206))*(N(G206)-N(D206)),8))</f>
        <v/>
      </c>
      <c r="L206" s="183" t="str">
        <f>IF(MIN(N(C206),N(F206))&lt;=0,"",IF(N(D206)=0,"",ROUND((N(G206)/N(D206)-1)*100,2)))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 t="str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 t="str">
        <f>IF(C207="","",SUMIFS(Торговля!$H$5:$H$300,Торговля!$E$5:$E$300,$B207)+SUMIFS(Закрытые!$H$5:$H$300,Закрытые!$E$5:$E$300,$B207,Закрытые!$B$5:$B$300,"T-*"))</f>
        <v/>
      </c>
      <c r="F207" s="240" t="str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 t="str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 t="str">
        <f>IF(F207="","",SUMIFS(Торговля!$K$5:$K$300,Торговля!$E$5:$E$300,$B207)+SUMIFS(Закрытые!$K$5:$K$300,Закрытые!$E$5:$E$300,$B207,Закрытые!$B$5:$B$300,"T-*"))</f>
        <v/>
      </c>
      <c r="I207" s="240" t="str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 t="str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 t="str">
        <f>IF(MIN(N(C207),N(F207))&lt;=0,"",ROUND(MIN(N(C207),N(F207))*(N(G207)-N(D207)),8))</f>
        <v/>
      </c>
      <c r="L207" s="177" t="str">
        <f>IF(MIN(N(C207),N(F207))&lt;=0,"",IF(N(D207)=0,"",ROUND((N(G207)/N(D207)-1)*100,2)))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 t="str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 t="str">
        <f>IF(C208="","",SUMIFS(Торговля!$H$5:$H$300,Торговля!$E$5:$E$300,$B208)+SUMIFS(Закрытые!$H$5:$H$300,Закрытые!$E$5:$E$300,$B208,Закрытые!$B$5:$B$300,"T-*"))</f>
        <v/>
      </c>
      <c r="F208" s="246" t="str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 t="str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 t="str">
        <f>IF(F208="","",SUMIFS(Торговля!$K$5:$K$300,Торговля!$E$5:$E$300,$B208)+SUMIFS(Закрытые!$K$5:$K$300,Закрытые!$E$5:$E$300,$B208,Закрытые!$B$5:$B$300,"T-*"))</f>
        <v/>
      </c>
      <c r="I208" s="246" t="str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 t="str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 t="str">
        <f>IF(MIN(N(C208),N(F208))&lt;=0,"",ROUND(MIN(N(C208),N(F208))*(N(G208)-N(D208)),8))</f>
        <v/>
      </c>
      <c r="L208" s="183" t="str">
        <f>IF(MIN(N(C208),N(F208))&lt;=0,"",IF(N(D208)=0,"",ROUND((N(G208)/N(D208)-1)*100,2)))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 t="str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 t="str">
        <f>IF(C209="","",SUMIFS(Торговля!$H$5:$H$300,Торговля!$E$5:$E$300,$B209)+SUMIFS(Закрытые!$H$5:$H$300,Закрытые!$E$5:$E$300,$B209,Закрытые!$B$5:$B$300,"T-*"))</f>
        <v/>
      </c>
      <c r="F209" s="240" t="str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 t="str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 t="str">
        <f>IF(F209="","",SUMIFS(Торговля!$K$5:$K$300,Торговля!$E$5:$E$300,$B209)+SUMIFS(Закрытые!$K$5:$K$300,Закрытые!$E$5:$E$300,$B209,Закрытые!$B$5:$B$300,"T-*"))</f>
        <v/>
      </c>
      <c r="I209" s="240" t="str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 t="str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 t="str">
        <f>IF(MIN(N(C209),N(F209))&lt;=0,"",ROUND(MIN(N(C209),N(F209))*(N(G209)-N(D209)),8))</f>
        <v/>
      </c>
      <c r="L209" s="177" t="str">
        <f>IF(MIN(N(C209),N(F209))&lt;=0,"",IF(N(D209)=0,"",ROUND((N(G209)/N(D209)-1)*100,2)))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 t="str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 t="str">
        <f>IF(C210="","",SUMIFS(Торговля!$H$5:$H$300,Торговля!$E$5:$E$300,$B210)+SUMIFS(Закрытые!$H$5:$H$300,Закрытые!$E$5:$E$300,$B210,Закрытые!$B$5:$B$300,"T-*"))</f>
        <v/>
      </c>
      <c r="F210" s="246" t="str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 t="str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 t="str">
        <f>IF(F210="","",SUMIFS(Торговля!$K$5:$K$300,Торговля!$E$5:$E$300,$B210)+SUMIFS(Закрытые!$K$5:$K$300,Закрытые!$E$5:$E$300,$B210,Закрытые!$B$5:$B$300,"T-*"))</f>
        <v/>
      </c>
      <c r="I210" s="246" t="str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 t="str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 t="str">
        <f>IF(MIN(N(C210),N(F210))&lt;=0,"",ROUND(MIN(N(C210),N(F210))*(N(G210)-N(D210)),8))</f>
        <v/>
      </c>
      <c r="L210" s="183" t="str">
        <f>IF(MIN(N(C210),N(F210))&lt;=0,"",IF(N(D210)=0,"",ROUND((N(G210)/N(D210)-1)*100,2)))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 t="str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 t="str">
        <f>IF(C211="","",SUMIFS(Торговля!$H$5:$H$300,Торговля!$E$5:$E$300,$B211)+SUMIFS(Закрытые!$H$5:$H$300,Закрытые!$E$5:$E$300,$B211,Закрытые!$B$5:$B$300,"T-*"))</f>
        <v/>
      </c>
      <c r="F211" s="240" t="str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 t="str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 t="str">
        <f>IF(F211="","",SUMIFS(Торговля!$K$5:$K$300,Торговля!$E$5:$E$300,$B211)+SUMIFS(Закрытые!$K$5:$K$300,Закрытые!$E$5:$E$300,$B211,Закрытые!$B$5:$B$300,"T-*"))</f>
        <v/>
      </c>
      <c r="I211" s="240" t="str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 t="str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 t="str">
        <f>IF(MIN(N(C211),N(F211))&lt;=0,"",ROUND(MIN(N(C211),N(F211))*(N(G211)-N(D211)),8))</f>
        <v/>
      </c>
      <c r="L211" s="177" t="str">
        <f>IF(MIN(N(C211),N(F211))&lt;=0,"",IF(N(D211)=0,"",ROUND((N(G211)/N(D211)-1)*100,2)))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 t="str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 t="str">
        <f>IF(C212="","",SUMIFS(Торговля!$H$5:$H$300,Торговля!$E$5:$E$300,$B212)+SUMIFS(Закрытые!$H$5:$H$300,Закрытые!$E$5:$E$300,$B212,Закрытые!$B$5:$B$300,"T-*"))</f>
        <v/>
      </c>
      <c r="F212" s="246" t="str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 t="str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 t="str">
        <f>IF(F212="","",SUMIFS(Торговля!$K$5:$K$300,Торговля!$E$5:$E$300,$B212)+SUMIFS(Закрытые!$K$5:$K$300,Закрытые!$E$5:$E$300,$B212,Закрытые!$B$5:$B$300,"T-*"))</f>
        <v/>
      </c>
      <c r="I212" s="246" t="str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 t="str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 t="str">
        <f>IF(MIN(N(C212),N(F212))&lt;=0,"",ROUND(MIN(N(C212),N(F212))*(N(G212)-N(D212)),8))</f>
        <v/>
      </c>
      <c r="L212" s="183" t="str">
        <f>IF(MIN(N(C212),N(F212))&lt;=0,"",IF(N(D212)=0,"",ROUND((N(G212)/N(D212)-1)*100,2)))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 t="str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 t="str">
        <f>IF(C213="","",SUMIFS(Торговля!$H$5:$H$300,Торговля!$E$5:$E$300,$B213)+SUMIFS(Закрытые!$H$5:$H$300,Закрытые!$E$5:$E$300,$B213,Закрытые!$B$5:$B$300,"T-*"))</f>
        <v/>
      </c>
      <c r="F213" s="240" t="str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 t="str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 t="str">
        <f>IF(F213="","",SUMIFS(Торговля!$K$5:$K$300,Торговля!$E$5:$E$300,$B213)+SUMIFS(Закрытые!$K$5:$K$300,Закрытые!$E$5:$E$300,$B213,Закрытые!$B$5:$B$300,"T-*"))</f>
        <v/>
      </c>
      <c r="I213" s="240" t="str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 t="str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 t="str">
        <f>IF(MIN(N(C213),N(F213))&lt;=0,"",ROUND(MIN(N(C213),N(F213))*(N(G213)-N(D213)),8))</f>
        <v/>
      </c>
      <c r="L213" s="177" t="str">
        <f>IF(MIN(N(C213),N(F213))&lt;=0,"",IF(N(D213)=0,"",ROUND((N(G213)/N(D213)-1)*100,2)))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 t="str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 t="str">
        <f>IF(C214="","",SUMIFS(Торговля!$H$5:$H$300,Торговля!$E$5:$E$300,$B214)+SUMIFS(Закрытые!$H$5:$H$300,Закрытые!$E$5:$E$300,$B214,Закрытые!$B$5:$B$300,"T-*"))</f>
        <v/>
      </c>
      <c r="F214" s="246" t="str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 t="str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 t="str">
        <f>IF(F214="","",SUMIFS(Торговля!$K$5:$K$300,Торговля!$E$5:$E$300,$B214)+SUMIFS(Закрытые!$K$5:$K$300,Закрытые!$E$5:$E$300,$B214,Закрытые!$B$5:$B$300,"T-*"))</f>
        <v/>
      </c>
      <c r="I214" s="246" t="str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 t="str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 t="str">
        <f>IF(MIN(N(C214),N(F214))&lt;=0,"",ROUND(MIN(N(C214),N(F214))*(N(G214)-N(D214)),8))</f>
        <v/>
      </c>
      <c r="L214" s="183" t="str">
        <f>IF(MIN(N(C214),N(F214))&lt;=0,"",IF(N(D214)=0,"",ROUND((N(G214)/N(D214)-1)*100,2)))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 t="str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 t="str">
        <f>IF(C215="","",SUMIFS(Торговля!$H$5:$H$300,Торговля!$E$5:$E$300,$B215)+SUMIFS(Закрытые!$H$5:$H$300,Закрытые!$E$5:$E$300,$B215,Закрытые!$B$5:$B$300,"T-*"))</f>
        <v/>
      </c>
      <c r="F215" s="240" t="str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 t="str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 t="str">
        <f>IF(F215="","",SUMIFS(Торговля!$K$5:$K$300,Торговля!$E$5:$E$300,$B215)+SUMIFS(Закрытые!$K$5:$K$300,Закрытые!$E$5:$E$300,$B215,Закрытые!$B$5:$B$300,"T-*"))</f>
        <v/>
      </c>
      <c r="I215" s="240" t="str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 t="str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 t="str">
        <f>IF(MIN(N(C215),N(F215))&lt;=0,"",ROUND(MIN(N(C215),N(F215))*(N(G215)-N(D215)),8))</f>
        <v/>
      </c>
      <c r="L215" s="177" t="str">
        <f>IF(MIN(N(C215),N(F215))&lt;=0,"",IF(N(D215)=0,"",ROUND((N(G215)/N(D215)-1)*100,2)))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 t="str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 t="str">
        <f>IF(C216="","",SUMIFS(Торговля!$H$5:$H$300,Торговля!$E$5:$E$300,$B216)+SUMIFS(Закрытые!$H$5:$H$300,Закрытые!$E$5:$E$300,$B216,Закрытые!$B$5:$B$300,"T-*"))</f>
        <v/>
      </c>
      <c r="F216" s="246" t="str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 t="str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 t="str">
        <f>IF(F216="","",SUMIFS(Торговля!$K$5:$K$300,Торговля!$E$5:$E$300,$B216)+SUMIFS(Закрытые!$K$5:$K$300,Закрытые!$E$5:$E$300,$B216,Закрытые!$B$5:$B$300,"T-*"))</f>
        <v/>
      </c>
      <c r="I216" s="246" t="str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 t="str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 t="str">
        <f>IF(MIN(N(C216),N(F216))&lt;=0,"",ROUND(MIN(N(C216),N(F216))*(N(G216)-N(D216)),8))</f>
        <v/>
      </c>
      <c r="L216" s="183" t="str">
        <f>IF(MIN(N(C216),N(F216))&lt;=0,"",IF(N(D216)=0,"",ROUND((N(G216)/N(D216)-1)*100,2)))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 t="str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 t="str">
        <f>IF(C217="","",SUMIFS(Торговля!$H$5:$H$300,Торговля!$E$5:$E$300,$B217)+SUMIFS(Закрытые!$H$5:$H$300,Закрытые!$E$5:$E$300,$B217,Закрытые!$B$5:$B$300,"T-*"))</f>
        <v/>
      </c>
      <c r="F217" s="240" t="str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 t="str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 t="str">
        <f>IF(F217="","",SUMIFS(Торговля!$K$5:$K$300,Торговля!$E$5:$E$300,$B217)+SUMIFS(Закрытые!$K$5:$K$300,Закрытые!$E$5:$E$300,$B217,Закрытые!$B$5:$B$300,"T-*"))</f>
        <v/>
      </c>
      <c r="I217" s="240" t="str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 t="str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 t="str">
        <f>IF(MIN(N(C217),N(F217))&lt;=0,"",ROUND(MIN(N(C217),N(F217))*(N(G217)-N(D217)),8))</f>
        <v/>
      </c>
      <c r="L217" s="177" t="str">
        <f>IF(MIN(N(C217),N(F217))&lt;=0,"",IF(N(D217)=0,"",ROUND((N(G217)/N(D217)-1)*100,2)))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 t="str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 t="str">
        <f>IF(C218="","",SUMIFS(Торговля!$H$5:$H$300,Торговля!$E$5:$E$300,$B218)+SUMIFS(Закрытые!$H$5:$H$300,Закрытые!$E$5:$E$300,$B218,Закрытые!$B$5:$B$300,"T-*"))</f>
        <v/>
      </c>
      <c r="F218" s="246" t="str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 t="str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 t="str">
        <f>IF(F218="","",SUMIFS(Торговля!$K$5:$K$300,Торговля!$E$5:$E$300,$B218)+SUMIFS(Закрытые!$K$5:$K$300,Закрытые!$E$5:$E$300,$B218,Закрытые!$B$5:$B$300,"T-*"))</f>
        <v/>
      </c>
      <c r="I218" s="246" t="str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 t="str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 t="str">
        <f>IF(MIN(N(C218),N(F218))&lt;=0,"",ROUND(MIN(N(C218),N(F218))*(N(G218)-N(D218)),8))</f>
        <v/>
      </c>
      <c r="L218" s="183" t="str">
        <f>IF(MIN(N(C218),N(F218))&lt;=0,"",IF(N(D218)=0,"",ROUND((N(G218)/N(D218)-1)*100,2)))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 t="str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 t="str">
        <f>IF(C219="","",SUMIFS(Торговля!$H$5:$H$300,Торговля!$E$5:$E$300,$B219)+SUMIFS(Закрытые!$H$5:$H$300,Закрытые!$E$5:$E$300,$B219,Закрытые!$B$5:$B$300,"T-*"))</f>
        <v/>
      </c>
      <c r="F219" s="240" t="str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 t="str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 t="str">
        <f>IF(F219="","",SUMIFS(Торговля!$K$5:$K$300,Торговля!$E$5:$E$300,$B219)+SUMIFS(Закрытые!$K$5:$K$300,Закрытые!$E$5:$E$300,$B219,Закрытые!$B$5:$B$300,"T-*"))</f>
        <v/>
      </c>
      <c r="I219" s="240" t="str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 t="str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 t="str">
        <f>IF(MIN(N(C219),N(F219))&lt;=0,"",ROUND(MIN(N(C219),N(F219))*(N(G219)-N(D219)),8))</f>
        <v/>
      </c>
      <c r="L219" s="177" t="str">
        <f>IF(MIN(N(C219),N(F219))&lt;=0,"",IF(N(D219)=0,"",ROUND((N(G219)/N(D219)-1)*100,2)))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 t="str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 t="str">
        <f>IF(C220="","",SUMIFS(Торговля!$H$5:$H$300,Торговля!$E$5:$E$300,$B220)+SUMIFS(Закрытые!$H$5:$H$300,Закрытые!$E$5:$E$300,$B220,Закрытые!$B$5:$B$300,"T-*"))</f>
        <v/>
      </c>
      <c r="F220" s="246" t="str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 t="str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 t="str">
        <f>IF(F220="","",SUMIFS(Торговля!$K$5:$K$300,Торговля!$E$5:$E$300,$B220)+SUMIFS(Закрытые!$K$5:$K$300,Закрытые!$E$5:$E$300,$B220,Закрытые!$B$5:$B$300,"T-*"))</f>
        <v/>
      </c>
      <c r="I220" s="246" t="str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 t="str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 t="str">
        <f>IF(MIN(N(C220),N(F220))&lt;=0,"",ROUND(MIN(N(C220),N(F220))*(N(G220)-N(D220)),8))</f>
        <v/>
      </c>
      <c r="L220" s="183" t="str">
        <f>IF(MIN(N(C220),N(F220))&lt;=0,"",IF(N(D220)=0,"",ROUND((N(G220)/N(D220)-1)*100,2)))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 t="str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 t="str">
        <f>IF(C221="","",SUMIFS(Торговля!$H$5:$H$300,Торговля!$E$5:$E$300,$B221)+SUMIFS(Закрытые!$H$5:$H$300,Закрытые!$E$5:$E$300,$B221,Закрытые!$B$5:$B$300,"T-*"))</f>
        <v/>
      </c>
      <c r="F221" s="240" t="str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 t="str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 t="str">
        <f>IF(F221="","",SUMIFS(Торговля!$K$5:$K$300,Торговля!$E$5:$E$300,$B221)+SUMIFS(Закрытые!$K$5:$K$300,Закрытые!$E$5:$E$300,$B221,Закрытые!$B$5:$B$300,"T-*"))</f>
        <v/>
      </c>
      <c r="I221" s="240" t="str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 t="str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 t="str">
        <f>IF(MIN(N(C221),N(F221))&lt;=0,"",ROUND(MIN(N(C221),N(F221))*(N(G221)-N(D221)),8))</f>
        <v/>
      </c>
      <c r="L221" s="177" t="str">
        <f>IF(MIN(N(C221),N(F221))&lt;=0,"",IF(N(D221)=0,"",ROUND((N(G221)/N(D221)-1)*100,2)))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 t="str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 t="str">
        <f>IF(C222="","",SUMIFS(Торговля!$H$5:$H$300,Торговля!$E$5:$E$300,$B222)+SUMIFS(Закрытые!$H$5:$H$300,Закрытые!$E$5:$E$300,$B222,Закрытые!$B$5:$B$300,"T-*"))</f>
        <v/>
      </c>
      <c r="F222" s="246" t="str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 t="str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 t="str">
        <f>IF(F222="","",SUMIFS(Торговля!$K$5:$K$300,Торговля!$E$5:$E$300,$B222)+SUMIFS(Закрытые!$K$5:$K$300,Закрытые!$E$5:$E$300,$B222,Закрытые!$B$5:$B$300,"T-*"))</f>
        <v/>
      </c>
      <c r="I222" s="246" t="str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 t="str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 t="str">
        <f>IF(MIN(N(C222),N(F222))&lt;=0,"",ROUND(MIN(N(C222),N(F222))*(N(G222)-N(D222)),8))</f>
        <v/>
      </c>
      <c r="L222" s="183" t="str">
        <f>IF(MIN(N(C222),N(F222))&lt;=0,"",IF(N(D222)=0,"",ROUND((N(G222)/N(D222)-1)*100,2)))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 t="str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 t="str">
        <f>IF(C223="","",SUMIFS(Торговля!$H$5:$H$300,Торговля!$E$5:$E$300,$B223)+SUMIFS(Закрытые!$H$5:$H$300,Закрытые!$E$5:$E$300,$B223,Закрытые!$B$5:$B$300,"T-*"))</f>
        <v/>
      </c>
      <c r="F223" s="240" t="str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 t="str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 t="str">
        <f>IF(F223="","",SUMIFS(Торговля!$K$5:$K$300,Торговля!$E$5:$E$300,$B223)+SUMIFS(Закрытые!$K$5:$K$300,Закрытые!$E$5:$E$300,$B223,Закрытые!$B$5:$B$300,"T-*"))</f>
        <v/>
      </c>
      <c r="I223" s="240" t="str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 t="str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 t="str">
        <f>IF(MIN(N(C223),N(F223))&lt;=0,"",ROUND(MIN(N(C223),N(F223))*(N(G223)-N(D223)),8))</f>
        <v/>
      </c>
      <c r="L223" s="177" t="str">
        <f>IF(MIN(N(C223),N(F223))&lt;=0,"",IF(N(D223)=0,"",ROUND((N(G223)/N(D223)-1)*100,2)))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 t="str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 t="str">
        <f>IF(C224="","",SUMIFS(Торговля!$H$5:$H$300,Торговля!$E$5:$E$300,$B224)+SUMIFS(Закрытые!$H$5:$H$300,Закрытые!$E$5:$E$300,$B224,Закрытые!$B$5:$B$300,"T-*"))</f>
        <v/>
      </c>
      <c r="F224" s="246" t="str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 t="str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 t="str">
        <f>IF(F224="","",SUMIFS(Торговля!$K$5:$K$300,Торговля!$E$5:$E$300,$B224)+SUMIFS(Закрытые!$K$5:$K$300,Закрытые!$E$5:$E$300,$B224,Закрытые!$B$5:$B$300,"T-*"))</f>
        <v/>
      </c>
      <c r="I224" s="246" t="str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 t="str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 t="str">
        <f>IF(MIN(N(C224),N(F224))&lt;=0,"",ROUND(MIN(N(C224),N(F224))*(N(G224)-N(D224)),8))</f>
        <v/>
      </c>
      <c r="L224" s="183" t="str">
        <f>IF(MIN(N(C224),N(F224))&lt;=0,"",IF(N(D224)=0,"",ROUND((N(G224)/N(D224)-1)*100,2)))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 t="str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 t="str">
        <f>IF(C225="","",SUMIFS(Торговля!$H$5:$H$300,Торговля!$E$5:$E$300,$B225)+SUMIFS(Закрытые!$H$5:$H$300,Закрытые!$E$5:$E$300,$B225,Закрытые!$B$5:$B$300,"T-*"))</f>
        <v/>
      </c>
      <c r="F225" s="240" t="str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 t="str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 t="str">
        <f>IF(F225="","",SUMIFS(Торговля!$K$5:$K$300,Торговля!$E$5:$E$300,$B225)+SUMIFS(Закрытые!$K$5:$K$300,Закрытые!$E$5:$E$300,$B225,Закрытые!$B$5:$B$300,"T-*"))</f>
        <v/>
      </c>
      <c r="I225" s="240" t="str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 t="str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 t="str">
        <f>IF(MIN(N(C225),N(F225))&lt;=0,"",ROUND(MIN(N(C225),N(F225))*(N(G225)-N(D225)),8))</f>
        <v/>
      </c>
      <c r="L225" s="177" t="str">
        <f>IF(MIN(N(C225),N(F225))&lt;=0,"",IF(N(D225)=0,"",ROUND((N(G225)/N(D225)-1)*100,2)))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 t="str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 t="str">
        <f>IF(C226="","",SUMIFS(Торговля!$H$5:$H$300,Торговля!$E$5:$E$300,$B226)+SUMIFS(Закрытые!$H$5:$H$300,Закрытые!$E$5:$E$300,$B226,Закрытые!$B$5:$B$300,"T-*"))</f>
        <v/>
      </c>
      <c r="F226" s="246" t="str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 t="str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 t="str">
        <f>IF(F226="","",SUMIFS(Торговля!$K$5:$K$300,Торговля!$E$5:$E$300,$B226)+SUMIFS(Закрытые!$K$5:$K$300,Закрытые!$E$5:$E$300,$B226,Закрытые!$B$5:$B$300,"T-*"))</f>
        <v/>
      </c>
      <c r="I226" s="246" t="str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 t="str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 t="str">
        <f>IF(MIN(N(C226),N(F226))&lt;=0,"",ROUND(MIN(N(C226),N(F226))*(N(G226)-N(D226)),8))</f>
        <v/>
      </c>
      <c r="L226" s="183" t="str">
        <f>IF(MIN(N(C226),N(F226))&lt;=0,"",IF(N(D226)=0,"",ROUND((N(G226)/N(D226)-1)*100,2)))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 t="str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 t="str">
        <f>IF(C227="","",SUMIFS(Торговля!$H$5:$H$300,Торговля!$E$5:$E$300,$B227)+SUMIFS(Закрытые!$H$5:$H$300,Закрытые!$E$5:$E$300,$B227,Закрытые!$B$5:$B$300,"T-*"))</f>
        <v/>
      </c>
      <c r="F227" s="240" t="str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 t="str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 t="str">
        <f>IF(F227="","",SUMIFS(Торговля!$K$5:$K$300,Торговля!$E$5:$E$300,$B227)+SUMIFS(Закрытые!$K$5:$K$300,Закрытые!$E$5:$E$300,$B227,Закрытые!$B$5:$B$300,"T-*"))</f>
        <v/>
      </c>
      <c r="I227" s="240" t="str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 t="str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 t="str">
        <f>IF(MIN(N(C227),N(F227))&lt;=0,"",ROUND(MIN(N(C227),N(F227))*(N(G227)-N(D227)),8))</f>
        <v/>
      </c>
      <c r="L227" s="177" t="str">
        <f>IF(MIN(N(C227),N(F227))&lt;=0,"",IF(N(D227)=0,"",ROUND((N(G227)/N(D227)-1)*100,2)))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 t="str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 t="str">
        <f>IF(C228="","",SUMIFS(Торговля!$H$5:$H$300,Торговля!$E$5:$E$300,$B228)+SUMIFS(Закрытые!$H$5:$H$300,Закрытые!$E$5:$E$300,$B228,Закрытые!$B$5:$B$300,"T-*"))</f>
        <v/>
      </c>
      <c r="F228" s="246" t="str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 t="str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 t="str">
        <f>IF(F228="","",SUMIFS(Торговля!$K$5:$K$300,Торговля!$E$5:$E$300,$B228)+SUMIFS(Закрытые!$K$5:$K$300,Закрытые!$E$5:$E$300,$B228,Закрытые!$B$5:$B$300,"T-*"))</f>
        <v/>
      </c>
      <c r="I228" s="246" t="str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 t="str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 t="str">
        <f>IF(MIN(N(C228),N(F228))&lt;=0,"",ROUND(MIN(N(C228),N(F228))*(N(G228)-N(D228)),8))</f>
        <v/>
      </c>
      <c r="L228" s="183" t="str">
        <f>IF(MIN(N(C228),N(F228))&lt;=0,"",IF(N(D228)=0,"",ROUND((N(G228)/N(D228)-1)*100,2)))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 t="str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 t="str">
        <f>IF(C229="","",SUMIFS(Торговля!$H$5:$H$300,Торговля!$E$5:$E$300,$B229)+SUMIFS(Закрытые!$H$5:$H$300,Закрытые!$E$5:$E$300,$B229,Закрытые!$B$5:$B$300,"T-*"))</f>
        <v/>
      </c>
      <c r="F229" s="240" t="str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 t="str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 t="str">
        <f>IF(F229="","",SUMIFS(Торговля!$K$5:$K$300,Торговля!$E$5:$E$300,$B229)+SUMIFS(Закрытые!$K$5:$K$300,Закрытые!$E$5:$E$300,$B229,Закрытые!$B$5:$B$300,"T-*"))</f>
        <v/>
      </c>
      <c r="I229" s="240" t="str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 t="str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 t="str">
        <f>IF(MIN(N(C229),N(F229))&lt;=0,"",ROUND(MIN(N(C229),N(F229))*(N(G229)-N(D229)),8))</f>
        <v/>
      </c>
      <c r="L229" s="177" t="str">
        <f>IF(MIN(N(C229),N(F229))&lt;=0,"",IF(N(D229)=0,"",ROUND((N(G229)/N(D229)-1)*100,2)))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 t="str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 t="str">
        <f>IF(C230="","",SUMIFS(Торговля!$H$5:$H$300,Торговля!$E$5:$E$300,$B230)+SUMIFS(Закрытые!$H$5:$H$300,Закрытые!$E$5:$E$300,$B230,Закрытые!$B$5:$B$300,"T-*"))</f>
        <v/>
      </c>
      <c r="F230" s="246" t="str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 t="str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 t="str">
        <f>IF(F230="","",SUMIFS(Торговля!$K$5:$K$300,Торговля!$E$5:$E$300,$B230)+SUMIFS(Закрытые!$K$5:$K$300,Закрытые!$E$5:$E$300,$B230,Закрытые!$B$5:$B$300,"T-*"))</f>
        <v/>
      </c>
      <c r="I230" s="246" t="str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 t="str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 t="str">
        <f>IF(MIN(N(C230),N(F230))&lt;=0,"",ROUND(MIN(N(C230),N(F230))*(N(G230)-N(D230)),8))</f>
        <v/>
      </c>
      <c r="L230" s="183" t="str">
        <f>IF(MIN(N(C230),N(F230))&lt;=0,"",IF(N(D230)=0,"",ROUND((N(G230)/N(D230)-1)*100,2)))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 t="str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 t="str">
        <f>IF(C231="","",SUMIFS(Торговля!$H$5:$H$300,Торговля!$E$5:$E$300,$B231)+SUMIFS(Закрытые!$H$5:$H$300,Закрытые!$E$5:$E$300,$B231,Закрытые!$B$5:$B$300,"T-*"))</f>
        <v/>
      </c>
      <c r="F231" s="240" t="str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 t="str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 t="str">
        <f>IF(F231="","",SUMIFS(Торговля!$K$5:$K$300,Торговля!$E$5:$E$300,$B231)+SUMIFS(Закрытые!$K$5:$K$300,Закрытые!$E$5:$E$300,$B231,Закрытые!$B$5:$B$300,"T-*"))</f>
        <v/>
      </c>
      <c r="I231" s="240" t="str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 t="str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 t="str">
        <f>IF(MIN(N(C231),N(F231))&lt;=0,"",ROUND(MIN(N(C231),N(F231))*(N(G231)-N(D231)),8))</f>
        <v/>
      </c>
      <c r="L231" s="177" t="str">
        <f>IF(MIN(N(C231),N(F231))&lt;=0,"",IF(N(D231)=0,"",ROUND((N(G231)/N(D231)-1)*100,2)))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 t="str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 t="str">
        <f>IF(C232="","",SUMIFS(Торговля!$H$5:$H$300,Торговля!$E$5:$E$300,$B232)+SUMIFS(Закрытые!$H$5:$H$300,Закрытые!$E$5:$E$300,$B232,Закрытые!$B$5:$B$300,"T-*"))</f>
        <v/>
      </c>
      <c r="F232" s="246" t="str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 t="str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 t="str">
        <f>IF(F232="","",SUMIFS(Торговля!$K$5:$K$300,Торговля!$E$5:$E$300,$B232)+SUMIFS(Закрытые!$K$5:$K$300,Закрытые!$E$5:$E$300,$B232,Закрытые!$B$5:$B$300,"T-*"))</f>
        <v/>
      </c>
      <c r="I232" s="246" t="str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 t="str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 t="str">
        <f>IF(MIN(N(C232),N(F232))&lt;=0,"",ROUND(MIN(N(C232),N(F232))*(N(G232)-N(D232)),8))</f>
        <v/>
      </c>
      <c r="L232" s="183" t="str">
        <f>IF(MIN(N(C232),N(F232))&lt;=0,"",IF(N(D232)=0,"",ROUND((N(G232)/N(D232)-1)*100,2)))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 t="str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 t="str">
        <f>IF(C233="","",SUMIFS(Торговля!$H$5:$H$300,Торговля!$E$5:$E$300,$B233)+SUMIFS(Закрытые!$H$5:$H$300,Закрытые!$E$5:$E$300,$B233,Закрытые!$B$5:$B$300,"T-*"))</f>
        <v/>
      </c>
      <c r="F233" s="240" t="str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 t="str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 t="str">
        <f>IF(F233="","",SUMIFS(Торговля!$K$5:$K$300,Торговля!$E$5:$E$300,$B233)+SUMIFS(Закрытые!$K$5:$K$300,Закрытые!$E$5:$E$300,$B233,Закрытые!$B$5:$B$300,"T-*"))</f>
        <v/>
      </c>
      <c r="I233" s="240" t="str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 t="str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 t="str">
        <f>IF(MIN(N(C233),N(F233))&lt;=0,"",ROUND(MIN(N(C233),N(F233))*(N(G233)-N(D233)),8))</f>
        <v/>
      </c>
      <c r="L233" s="177" t="str">
        <f>IF(MIN(N(C233),N(F233))&lt;=0,"",IF(N(D233)=0,"",ROUND((N(G233)/N(D233)-1)*100,2)))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 t="str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 t="str">
        <f>IF(C234="","",SUMIFS(Торговля!$H$5:$H$300,Торговля!$E$5:$E$300,$B234)+SUMIFS(Закрытые!$H$5:$H$300,Закрытые!$E$5:$E$300,$B234,Закрытые!$B$5:$B$300,"T-*"))</f>
        <v/>
      </c>
      <c r="F234" s="246" t="str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 t="str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 t="str">
        <f>IF(F234="","",SUMIFS(Торговля!$K$5:$K$300,Торговля!$E$5:$E$300,$B234)+SUMIFS(Закрытые!$K$5:$K$300,Закрытые!$E$5:$E$300,$B234,Закрытые!$B$5:$B$300,"T-*"))</f>
        <v/>
      </c>
      <c r="I234" s="246" t="str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 t="str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 t="str">
        <f>IF(MIN(N(C234),N(F234))&lt;=0,"",ROUND(MIN(N(C234),N(F234))*(N(G234)-N(D234)),8))</f>
        <v/>
      </c>
      <c r="L234" s="183" t="str">
        <f>IF(MIN(N(C234),N(F234))&lt;=0,"",IF(N(D234)=0,"",ROUND((N(G234)/N(D234)-1)*100,2)))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 t="str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 t="str">
        <f>IF(C235="","",SUMIFS(Торговля!$H$5:$H$300,Торговля!$E$5:$E$300,$B235)+SUMIFS(Закрытые!$H$5:$H$300,Закрытые!$E$5:$E$300,$B235,Закрытые!$B$5:$B$300,"T-*"))</f>
        <v/>
      </c>
      <c r="F235" s="240" t="str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 t="str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 t="str">
        <f>IF(F235="","",SUMIFS(Торговля!$K$5:$K$300,Торговля!$E$5:$E$300,$B235)+SUMIFS(Закрытые!$K$5:$K$300,Закрытые!$E$5:$E$300,$B235,Закрытые!$B$5:$B$300,"T-*"))</f>
        <v/>
      </c>
      <c r="I235" s="240" t="str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 t="str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 t="str">
        <f>IF(MIN(N(C235),N(F235))&lt;=0,"",ROUND(MIN(N(C235),N(F235))*(N(G235)-N(D235)),8))</f>
        <v/>
      </c>
      <c r="L235" s="177" t="str">
        <f>IF(MIN(N(C235),N(F235))&lt;=0,"",IF(N(D235)=0,"",ROUND((N(G235)/N(D235)-1)*100,2)))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 t="str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 t="str">
        <f>IF(C236="","",SUMIFS(Торговля!$H$5:$H$300,Торговля!$E$5:$E$300,$B236)+SUMIFS(Закрытые!$H$5:$H$300,Закрытые!$E$5:$E$300,$B236,Закрытые!$B$5:$B$300,"T-*"))</f>
        <v/>
      </c>
      <c r="F236" s="246" t="str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 t="str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 t="str">
        <f>IF(F236="","",SUMIFS(Торговля!$K$5:$K$300,Торговля!$E$5:$E$300,$B236)+SUMIFS(Закрытые!$K$5:$K$300,Закрытые!$E$5:$E$300,$B236,Закрытые!$B$5:$B$300,"T-*"))</f>
        <v/>
      </c>
      <c r="I236" s="246" t="str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 t="str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 t="str">
        <f>IF(MIN(N(C236),N(F236))&lt;=0,"",ROUND(MIN(N(C236),N(F236))*(N(G236)-N(D236)),8))</f>
        <v/>
      </c>
      <c r="L236" s="183" t="str">
        <f>IF(MIN(N(C236),N(F236))&lt;=0,"",IF(N(D236)=0,"",ROUND((N(G236)/N(D236)-1)*100,2)))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 t="str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 t="str">
        <f>IF(C237="","",SUMIFS(Торговля!$H$5:$H$300,Торговля!$E$5:$E$300,$B237)+SUMIFS(Закрытые!$H$5:$H$300,Закрытые!$E$5:$E$300,$B237,Закрытые!$B$5:$B$300,"T-*"))</f>
        <v/>
      </c>
      <c r="F237" s="240" t="str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 t="str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 t="str">
        <f>IF(F237="","",SUMIFS(Торговля!$K$5:$K$300,Торговля!$E$5:$E$300,$B237)+SUMIFS(Закрытые!$K$5:$K$300,Закрытые!$E$5:$E$300,$B237,Закрытые!$B$5:$B$300,"T-*"))</f>
        <v/>
      </c>
      <c r="I237" s="240" t="str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 t="str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 t="str">
        <f>IF(MIN(N(C237),N(F237))&lt;=0,"",ROUND(MIN(N(C237),N(F237))*(N(G237)-N(D237)),8))</f>
        <v/>
      </c>
      <c r="L237" s="177" t="str">
        <f>IF(MIN(N(C237),N(F237))&lt;=0,"",IF(N(D237)=0,"",ROUND((N(G237)/N(D237)-1)*100,2)))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 t="str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 t="str">
        <f>IF(C238="","",SUMIFS(Торговля!$H$5:$H$300,Торговля!$E$5:$E$300,$B238)+SUMIFS(Закрытые!$H$5:$H$300,Закрытые!$E$5:$E$300,$B238,Закрытые!$B$5:$B$300,"T-*"))</f>
        <v/>
      </c>
      <c r="F238" s="246" t="str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 t="str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 t="str">
        <f>IF(F238="","",SUMIFS(Торговля!$K$5:$K$300,Торговля!$E$5:$E$300,$B238)+SUMIFS(Закрытые!$K$5:$K$300,Закрытые!$E$5:$E$300,$B238,Закрытые!$B$5:$B$300,"T-*"))</f>
        <v/>
      </c>
      <c r="I238" s="246" t="str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 t="str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 t="str">
        <f>IF(MIN(N(C238),N(F238))&lt;=0,"",ROUND(MIN(N(C238),N(F238))*(N(G238)-N(D238)),8))</f>
        <v/>
      </c>
      <c r="L238" s="183" t="str">
        <f>IF(MIN(N(C238),N(F238))&lt;=0,"",IF(N(D238)=0,"",ROUND((N(G238)/N(D238)-1)*100,2)))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 t="str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 t="str">
        <f>IF(C239="","",SUMIFS(Торговля!$H$5:$H$300,Торговля!$E$5:$E$300,$B239)+SUMIFS(Закрытые!$H$5:$H$300,Закрытые!$E$5:$E$300,$B239,Закрытые!$B$5:$B$300,"T-*"))</f>
        <v/>
      </c>
      <c r="F239" s="240" t="str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 t="str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 t="str">
        <f>IF(F239="","",SUMIFS(Торговля!$K$5:$K$300,Торговля!$E$5:$E$300,$B239)+SUMIFS(Закрытые!$K$5:$K$300,Закрытые!$E$5:$E$300,$B239,Закрытые!$B$5:$B$300,"T-*"))</f>
        <v/>
      </c>
      <c r="I239" s="240" t="str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 t="str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 t="str">
        <f>IF(MIN(N(C239),N(F239))&lt;=0,"",ROUND(MIN(N(C239),N(F239))*(N(G239)-N(D239)),8))</f>
        <v/>
      </c>
      <c r="L239" s="177" t="str">
        <f>IF(MIN(N(C239),N(F239))&lt;=0,"",IF(N(D239)=0,"",ROUND((N(G239)/N(D239)-1)*100,2)))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 t="str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 t="str">
        <f>IF(C240="","",SUMIFS(Торговля!$H$5:$H$300,Торговля!$E$5:$E$300,$B240)+SUMIFS(Закрытые!$H$5:$H$300,Закрытые!$E$5:$E$300,$B240,Закрытые!$B$5:$B$300,"T-*"))</f>
        <v/>
      </c>
      <c r="F240" s="246" t="str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 t="str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 t="str">
        <f>IF(F240="","",SUMIFS(Торговля!$K$5:$K$300,Торговля!$E$5:$E$300,$B240)+SUMIFS(Закрытые!$K$5:$K$300,Закрытые!$E$5:$E$300,$B240,Закрытые!$B$5:$B$300,"T-*"))</f>
        <v/>
      </c>
      <c r="I240" s="246" t="str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 t="str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 t="str">
        <f>IF(MIN(N(C240),N(F240))&lt;=0,"",ROUND(MIN(N(C240),N(F240))*(N(G240)-N(D240)),8))</f>
        <v/>
      </c>
      <c r="L240" s="183" t="str">
        <f>IF(MIN(N(C240),N(F240))&lt;=0,"",IF(N(D240)=0,"",ROUND((N(G240)/N(D240)-1)*100,2)))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 t="str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 t="str">
        <f>IF(C241="","",SUMIFS(Торговля!$H$5:$H$300,Торговля!$E$5:$E$300,$B241)+SUMIFS(Закрытые!$H$5:$H$300,Закрытые!$E$5:$E$300,$B241,Закрытые!$B$5:$B$300,"T-*"))</f>
        <v/>
      </c>
      <c r="F241" s="240" t="str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 t="str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 t="str">
        <f>IF(F241="","",SUMIFS(Торговля!$K$5:$K$300,Торговля!$E$5:$E$300,$B241)+SUMIFS(Закрытые!$K$5:$K$300,Закрытые!$E$5:$E$300,$B241,Закрытые!$B$5:$B$300,"T-*"))</f>
        <v/>
      </c>
      <c r="I241" s="240" t="str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 t="str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 t="str">
        <f>IF(MIN(N(C241),N(F241))&lt;=0,"",ROUND(MIN(N(C241),N(F241))*(N(G241)-N(D241)),8))</f>
        <v/>
      </c>
      <c r="L241" s="177" t="str">
        <f>IF(MIN(N(C241),N(F241))&lt;=0,"",IF(N(D241)=0,"",ROUND((N(G241)/N(D241)-1)*100,2)))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 t="str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 t="str">
        <f>IF(C242="","",SUMIFS(Торговля!$H$5:$H$300,Торговля!$E$5:$E$300,$B242)+SUMIFS(Закрытые!$H$5:$H$300,Закрытые!$E$5:$E$300,$B242,Закрытые!$B$5:$B$300,"T-*"))</f>
        <v/>
      </c>
      <c r="F242" s="246" t="str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 t="str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 t="str">
        <f>IF(F242="","",SUMIFS(Торговля!$K$5:$K$300,Торговля!$E$5:$E$300,$B242)+SUMIFS(Закрытые!$K$5:$K$300,Закрытые!$E$5:$E$300,$B242,Закрытые!$B$5:$B$300,"T-*"))</f>
        <v/>
      </c>
      <c r="I242" s="246" t="str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 t="str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 t="str">
        <f>IF(MIN(N(C242),N(F242))&lt;=0,"",ROUND(MIN(N(C242),N(F242))*(N(G242)-N(D242)),8))</f>
        <v/>
      </c>
      <c r="L242" s="183" t="str">
        <f>IF(MIN(N(C242),N(F242))&lt;=0,"",IF(N(D242)=0,"",ROUND((N(G242)/N(D242)-1)*100,2)))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 t="str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 t="str">
        <f>IF(C243="","",SUMIFS(Торговля!$H$5:$H$300,Торговля!$E$5:$E$300,$B243)+SUMIFS(Закрытые!$H$5:$H$300,Закрытые!$E$5:$E$300,$B243,Закрытые!$B$5:$B$300,"T-*"))</f>
        <v/>
      </c>
      <c r="F243" s="240" t="str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 t="str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 t="str">
        <f>IF(F243="","",SUMIFS(Торговля!$K$5:$K$300,Торговля!$E$5:$E$300,$B243)+SUMIFS(Закрытые!$K$5:$K$300,Закрытые!$E$5:$E$300,$B243,Закрытые!$B$5:$B$300,"T-*"))</f>
        <v/>
      </c>
      <c r="I243" s="240" t="str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 t="str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 t="str">
        <f>IF(MIN(N(C243),N(F243))&lt;=0,"",ROUND(MIN(N(C243),N(F243))*(N(G243)-N(D243)),8))</f>
        <v/>
      </c>
      <c r="L243" s="177" t="str">
        <f>IF(MIN(N(C243),N(F243))&lt;=0,"",IF(N(D243)=0,"",ROUND((N(G243)/N(D243)-1)*100,2)))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 t="str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 t="str">
        <f>IF(C244="","",SUMIFS(Торговля!$H$5:$H$300,Торговля!$E$5:$E$300,$B244)+SUMIFS(Закрытые!$H$5:$H$300,Закрытые!$E$5:$E$300,$B244,Закрытые!$B$5:$B$300,"T-*"))</f>
        <v/>
      </c>
      <c r="F244" s="246" t="str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 t="str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 t="str">
        <f>IF(F244="","",SUMIFS(Торговля!$K$5:$K$300,Торговля!$E$5:$E$300,$B244)+SUMIFS(Закрытые!$K$5:$K$300,Закрытые!$E$5:$E$300,$B244,Закрытые!$B$5:$B$300,"T-*"))</f>
        <v/>
      </c>
      <c r="I244" s="246" t="str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 t="str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 t="str">
        <f>IF(MIN(N(C244),N(F244))&lt;=0,"",ROUND(MIN(N(C244),N(F244))*(N(G244)-N(D244)),8))</f>
        <v/>
      </c>
      <c r="L244" s="183" t="str">
        <f>IF(MIN(N(C244),N(F244))&lt;=0,"",IF(N(D244)=0,"",ROUND((N(G244)/N(D244)-1)*100,2)))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 t="str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 t="str">
        <f>IF(C245="","",SUMIFS(Торговля!$H$5:$H$300,Торговля!$E$5:$E$300,$B245)+SUMIFS(Закрытые!$H$5:$H$300,Закрытые!$E$5:$E$300,$B245,Закрытые!$B$5:$B$300,"T-*"))</f>
        <v/>
      </c>
      <c r="F245" s="240" t="str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 t="str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 t="str">
        <f>IF(F245="","",SUMIFS(Торговля!$K$5:$K$300,Торговля!$E$5:$E$300,$B245)+SUMIFS(Закрытые!$K$5:$K$300,Закрытые!$E$5:$E$300,$B245,Закрытые!$B$5:$B$300,"T-*"))</f>
        <v/>
      </c>
      <c r="I245" s="240" t="str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 t="str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 t="str">
        <f>IF(MIN(N(C245),N(F245))&lt;=0,"",ROUND(MIN(N(C245),N(F245))*(N(G245)-N(D245)),8))</f>
        <v/>
      </c>
      <c r="L245" s="177" t="str">
        <f>IF(MIN(N(C245),N(F245))&lt;=0,"",IF(N(D245)=0,"",ROUND((N(G245)/N(D245)-1)*100,2)))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 t="str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 t="str">
        <f>IF(C246="","",SUMIFS(Торговля!$H$5:$H$300,Торговля!$E$5:$E$300,$B246)+SUMIFS(Закрытые!$H$5:$H$300,Закрытые!$E$5:$E$300,$B246,Закрытые!$B$5:$B$300,"T-*"))</f>
        <v/>
      </c>
      <c r="F246" s="246" t="str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 t="str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 t="str">
        <f>IF(F246="","",SUMIFS(Торговля!$K$5:$K$300,Торговля!$E$5:$E$300,$B246)+SUMIFS(Закрытые!$K$5:$K$300,Закрытые!$E$5:$E$300,$B246,Закрытые!$B$5:$B$300,"T-*"))</f>
        <v/>
      </c>
      <c r="I246" s="246" t="str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 t="str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 t="str">
        <f>IF(MIN(N(C246),N(F246))&lt;=0,"",ROUND(MIN(N(C246),N(F246))*(N(G246)-N(D246)),8))</f>
        <v/>
      </c>
      <c r="L246" s="183" t="str">
        <f>IF(MIN(N(C246),N(F246))&lt;=0,"",IF(N(D246)=0,"",ROUND((N(G246)/N(D246)-1)*100,2)))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 t="str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 t="str">
        <f>IF(C247="","",SUMIFS(Торговля!$H$5:$H$300,Торговля!$E$5:$E$300,$B247)+SUMIFS(Закрытые!$H$5:$H$300,Закрытые!$E$5:$E$300,$B247,Закрытые!$B$5:$B$300,"T-*"))</f>
        <v/>
      </c>
      <c r="F247" s="240" t="str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 t="str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 t="str">
        <f>IF(F247="","",SUMIFS(Торговля!$K$5:$K$300,Торговля!$E$5:$E$300,$B247)+SUMIFS(Закрытые!$K$5:$K$300,Закрытые!$E$5:$E$300,$B247,Закрытые!$B$5:$B$300,"T-*"))</f>
        <v/>
      </c>
      <c r="I247" s="240" t="str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 t="str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 t="str">
        <f>IF(MIN(N(C247),N(F247))&lt;=0,"",ROUND(MIN(N(C247),N(F247))*(N(G247)-N(D247)),8))</f>
        <v/>
      </c>
      <c r="L247" s="177" t="str">
        <f>IF(MIN(N(C247),N(F247))&lt;=0,"",IF(N(D247)=0,"",ROUND((N(G247)/N(D247)-1)*100,2)))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 t="str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 t="str">
        <f>IF(C248="","",SUMIFS(Торговля!$H$5:$H$300,Торговля!$E$5:$E$300,$B248)+SUMIFS(Закрытые!$H$5:$H$300,Закрытые!$E$5:$E$300,$B248,Закрытые!$B$5:$B$300,"T-*"))</f>
        <v/>
      </c>
      <c r="F248" s="246" t="str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 t="str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 t="str">
        <f>IF(F248="","",SUMIFS(Торговля!$K$5:$K$300,Торговля!$E$5:$E$300,$B248)+SUMIFS(Закрытые!$K$5:$K$300,Закрытые!$E$5:$E$300,$B248,Закрытые!$B$5:$B$300,"T-*"))</f>
        <v/>
      </c>
      <c r="I248" s="246" t="str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 t="str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 t="str">
        <f>IF(MIN(N(C248),N(F248))&lt;=0,"",ROUND(MIN(N(C248),N(F248))*(N(G248)-N(D248)),8))</f>
        <v/>
      </c>
      <c r="L248" s="183" t="str">
        <f>IF(MIN(N(C248),N(F248))&lt;=0,"",IF(N(D248)=0,"",ROUND((N(G248)/N(D248)-1)*100,2)))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 t="str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 t="str">
        <f>IF(C249="","",SUMIFS(Торговля!$H$5:$H$300,Торговля!$E$5:$E$300,$B249)+SUMIFS(Закрытые!$H$5:$H$300,Закрытые!$E$5:$E$300,$B249,Закрытые!$B$5:$B$300,"T-*"))</f>
        <v/>
      </c>
      <c r="F249" s="240" t="str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 t="str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 t="str">
        <f>IF(F249="","",SUMIFS(Торговля!$K$5:$K$300,Торговля!$E$5:$E$300,$B249)+SUMIFS(Закрытые!$K$5:$K$300,Закрытые!$E$5:$E$300,$B249,Закрытые!$B$5:$B$300,"T-*"))</f>
        <v/>
      </c>
      <c r="I249" s="240" t="str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 t="str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 t="str">
        <f>IF(MIN(N(C249),N(F249))&lt;=0,"",ROUND(MIN(N(C249),N(F249))*(N(G249)-N(D249)),8))</f>
        <v/>
      </c>
      <c r="L249" s="177" t="str">
        <f>IF(MIN(N(C249),N(F249))&lt;=0,"",IF(N(D249)=0,"",ROUND((N(G249)/N(D249)-1)*100,2)))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 t="str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 t="str">
        <f>IF(C250="","",SUMIFS(Торговля!$H$5:$H$300,Торговля!$E$5:$E$300,$B250)+SUMIFS(Закрытые!$H$5:$H$300,Закрытые!$E$5:$E$300,$B250,Закрытые!$B$5:$B$300,"T-*"))</f>
        <v/>
      </c>
      <c r="F250" s="246" t="str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 t="str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 t="str">
        <f>IF(F250="","",SUMIFS(Торговля!$K$5:$K$300,Торговля!$E$5:$E$300,$B250)+SUMIFS(Закрытые!$K$5:$K$300,Закрытые!$E$5:$E$300,$B250,Закрытые!$B$5:$B$300,"T-*"))</f>
        <v/>
      </c>
      <c r="I250" s="246" t="str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 t="str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 t="str">
        <f>IF(MIN(N(C250),N(F250))&lt;=0,"",ROUND(MIN(N(C250),N(F250))*(N(G250)-N(D250)),8))</f>
        <v/>
      </c>
      <c r="L250" s="183" t="str">
        <f>IF(MIN(N(C250),N(F250))&lt;=0,"",IF(N(D250)=0,"",ROUND((N(G250)/N(D250)-1)*100,2)))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 t="str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 t="str">
        <f>IF(C251="","",SUMIFS(Торговля!$H$5:$H$300,Торговля!$E$5:$E$300,$B251)+SUMIFS(Закрытые!$H$5:$H$300,Закрытые!$E$5:$E$300,$B251,Закрытые!$B$5:$B$300,"T-*"))</f>
        <v/>
      </c>
      <c r="F251" s="240" t="str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 t="str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 t="str">
        <f>IF(F251="","",SUMIFS(Торговля!$K$5:$K$300,Торговля!$E$5:$E$300,$B251)+SUMIFS(Закрытые!$K$5:$K$300,Закрытые!$E$5:$E$300,$B251,Закрытые!$B$5:$B$300,"T-*"))</f>
        <v/>
      </c>
      <c r="I251" s="240" t="str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 t="str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 t="str">
        <f>IF(MIN(N(C251),N(F251))&lt;=0,"",ROUND(MIN(N(C251),N(F251))*(N(G251)-N(D251)),8))</f>
        <v/>
      </c>
      <c r="L251" s="177" t="str">
        <f>IF(MIN(N(C251),N(F251))&lt;=0,"",IF(N(D251)=0,"",ROUND((N(G251)/N(D251)-1)*100,2)))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 t="str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 t="str">
        <f>IF(C252="","",SUMIFS(Торговля!$H$5:$H$300,Торговля!$E$5:$E$300,$B252)+SUMIFS(Закрытые!$H$5:$H$300,Закрытые!$E$5:$E$300,$B252,Закрытые!$B$5:$B$300,"T-*"))</f>
        <v/>
      </c>
      <c r="F252" s="246" t="str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 t="str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 t="str">
        <f>IF(F252="","",SUMIFS(Торговля!$K$5:$K$300,Торговля!$E$5:$E$300,$B252)+SUMIFS(Закрытые!$K$5:$K$300,Закрытые!$E$5:$E$300,$B252,Закрытые!$B$5:$B$300,"T-*"))</f>
        <v/>
      </c>
      <c r="I252" s="246" t="str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 t="str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 t="str">
        <f>IF(MIN(N(C252),N(F252))&lt;=0,"",ROUND(MIN(N(C252),N(F252))*(N(G252)-N(D252)),8))</f>
        <v/>
      </c>
      <c r="L252" s="183" t="str">
        <f>IF(MIN(N(C252),N(F252))&lt;=0,"",IF(N(D252)=0,"",ROUND((N(G252)/N(D252)-1)*100,2)))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 t="str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 t="str">
        <f>IF(C253="","",SUMIFS(Торговля!$H$5:$H$300,Торговля!$E$5:$E$300,$B253)+SUMIFS(Закрытые!$H$5:$H$300,Закрытые!$E$5:$E$300,$B253,Закрытые!$B$5:$B$300,"T-*"))</f>
        <v/>
      </c>
      <c r="F253" s="240" t="str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 t="str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 t="str">
        <f>IF(F253="","",SUMIFS(Торговля!$K$5:$K$300,Торговля!$E$5:$E$300,$B253)+SUMIFS(Закрытые!$K$5:$K$300,Закрытые!$E$5:$E$300,$B253,Закрытые!$B$5:$B$300,"T-*"))</f>
        <v/>
      </c>
      <c r="I253" s="240" t="str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 t="str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 t="str">
        <f>IF(MIN(N(C253),N(F253))&lt;=0,"",ROUND(MIN(N(C253),N(F253))*(N(G253)-N(D253)),8))</f>
        <v/>
      </c>
      <c r="L253" s="177" t="str">
        <f>IF(MIN(N(C253),N(F253))&lt;=0,"",IF(N(D253)=0,"",ROUND((N(G253)/N(D253)-1)*100,2)))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 t="str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 t="str">
        <f>IF(C254="","",SUMIFS(Торговля!$H$5:$H$300,Торговля!$E$5:$E$300,$B254)+SUMIFS(Закрытые!$H$5:$H$300,Закрытые!$E$5:$E$300,$B254,Закрытые!$B$5:$B$300,"T-*"))</f>
        <v/>
      </c>
      <c r="F254" s="246" t="str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 t="str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 t="str">
        <f>IF(F254="","",SUMIFS(Торговля!$K$5:$K$300,Торговля!$E$5:$E$300,$B254)+SUMIFS(Закрытые!$K$5:$K$300,Закрытые!$E$5:$E$300,$B254,Закрытые!$B$5:$B$300,"T-*"))</f>
        <v/>
      </c>
      <c r="I254" s="246" t="str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 t="str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 t="str">
        <f>IF(MIN(N(C254),N(F254))&lt;=0,"",ROUND(MIN(N(C254),N(F254))*(N(G254)-N(D254)),8))</f>
        <v/>
      </c>
      <c r="L254" s="183" t="str">
        <f>IF(MIN(N(C254),N(F254))&lt;=0,"",IF(N(D254)=0,"",ROUND((N(G254)/N(D254)-1)*100,2)))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 t="str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 t="str">
        <f>IF(C255="","",SUMIFS(Торговля!$H$5:$H$300,Торговля!$E$5:$E$300,$B255)+SUMIFS(Закрытые!$H$5:$H$300,Закрытые!$E$5:$E$300,$B255,Закрытые!$B$5:$B$300,"T-*"))</f>
        <v/>
      </c>
      <c r="F255" s="240" t="str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 t="str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 t="str">
        <f>IF(F255="","",SUMIFS(Торговля!$K$5:$K$300,Торговля!$E$5:$E$300,$B255)+SUMIFS(Закрытые!$K$5:$K$300,Закрытые!$E$5:$E$300,$B255,Закрытые!$B$5:$B$300,"T-*"))</f>
        <v/>
      </c>
      <c r="I255" s="240" t="str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 t="str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 t="str">
        <f>IF(MIN(N(C255),N(F255))&lt;=0,"",ROUND(MIN(N(C255),N(F255))*(N(G255)-N(D255)),8))</f>
        <v/>
      </c>
      <c r="L255" s="177" t="str">
        <f>IF(MIN(N(C255),N(F255))&lt;=0,"",IF(N(D255)=0,"",ROUND((N(G255)/N(D255)-1)*100,2)))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 t="str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 t="str">
        <f>IF(C256="","",SUMIFS(Торговля!$H$5:$H$300,Торговля!$E$5:$E$300,$B256)+SUMIFS(Закрытые!$H$5:$H$300,Закрытые!$E$5:$E$300,$B256,Закрытые!$B$5:$B$300,"T-*"))</f>
        <v/>
      </c>
      <c r="F256" s="246" t="str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 t="str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 t="str">
        <f>IF(F256="","",SUMIFS(Торговля!$K$5:$K$300,Торговля!$E$5:$E$300,$B256)+SUMIFS(Закрытые!$K$5:$K$300,Закрытые!$E$5:$E$300,$B256,Закрытые!$B$5:$B$300,"T-*"))</f>
        <v/>
      </c>
      <c r="I256" s="246" t="str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 t="str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 t="str">
        <f>IF(MIN(N(C256),N(F256))&lt;=0,"",ROUND(MIN(N(C256),N(F256))*(N(G256)-N(D256)),8))</f>
        <v/>
      </c>
      <c r="L256" s="183" t="str">
        <f>IF(MIN(N(C256),N(F256))&lt;=0,"",IF(N(D256)=0,"",ROUND((N(G256)/N(D256)-1)*100,2)))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 t="str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 t="str">
        <f>IF(C257="","",SUMIFS(Торговля!$H$5:$H$300,Торговля!$E$5:$E$300,$B257)+SUMIFS(Закрытые!$H$5:$H$300,Закрытые!$E$5:$E$300,$B257,Закрытые!$B$5:$B$300,"T-*"))</f>
        <v/>
      </c>
      <c r="F257" s="240" t="str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 t="str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 t="str">
        <f>IF(F257="","",SUMIFS(Торговля!$K$5:$K$300,Торговля!$E$5:$E$300,$B257)+SUMIFS(Закрытые!$K$5:$K$300,Закрытые!$E$5:$E$300,$B257,Закрытые!$B$5:$B$300,"T-*"))</f>
        <v/>
      </c>
      <c r="I257" s="240" t="str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 t="str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 t="str">
        <f>IF(MIN(N(C257),N(F257))&lt;=0,"",ROUND(MIN(N(C257),N(F257))*(N(G257)-N(D257)),8))</f>
        <v/>
      </c>
      <c r="L257" s="177" t="str">
        <f>IF(MIN(N(C257),N(F257))&lt;=0,"",IF(N(D257)=0,"",ROUND((N(G257)/N(D257)-1)*100,2)))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 t="str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 t="str">
        <f>IF(C258="","",SUMIFS(Торговля!$H$5:$H$300,Торговля!$E$5:$E$300,$B258)+SUMIFS(Закрытые!$H$5:$H$300,Закрытые!$E$5:$E$300,$B258,Закрытые!$B$5:$B$300,"T-*"))</f>
        <v/>
      </c>
      <c r="F258" s="246" t="str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 t="str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 t="str">
        <f>IF(F258="","",SUMIFS(Торговля!$K$5:$K$300,Торговля!$E$5:$E$300,$B258)+SUMIFS(Закрытые!$K$5:$K$300,Закрытые!$E$5:$E$300,$B258,Закрытые!$B$5:$B$300,"T-*"))</f>
        <v/>
      </c>
      <c r="I258" s="246" t="str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 t="str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 t="str">
        <f>IF(MIN(N(C258),N(F258))&lt;=0,"",ROUND(MIN(N(C258),N(F258))*(N(G258)-N(D258)),8))</f>
        <v/>
      </c>
      <c r="L258" s="183" t="str">
        <f>IF(MIN(N(C258),N(F258))&lt;=0,"",IF(N(D258)=0,"",ROUND((N(G258)/N(D258)-1)*100,2)))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 t="str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 t="str">
        <f>IF(C259="","",SUMIFS(Торговля!$H$5:$H$300,Торговля!$E$5:$E$300,$B259)+SUMIFS(Закрытые!$H$5:$H$300,Закрытые!$E$5:$E$300,$B259,Закрытые!$B$5:$B$300,"T-*"))</f>
        <v/>
      </c>
      <c r="F259" s="240" t="str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 t="str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 t="str">
        <f>IF(F259="","",SUMIFS(Торговля!$K$5:$K$300,Торговля!$E$5:$E$300,$B259)+SUMIFS(Закрытые!$K$5:$K$300,Закрытые!$E$5:$E$300,$B259,Закрытые!$B$5:$B$300,"T-*"))</f>
        <v/>
      </c>
      <c r="I259" s="240" t="str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 t="str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 t="str">
        <f>IF(MIN(N(C259),N(F259))&lt;=0,"",ROUND(MIN(N(C259),N(F259))*(N(G259)-N(D259)),8))</f>
        <v/>
      </c>
      <c r="L259" s="177" t="str">
        <f>IF(MIN(N(C259),N(F259))&lt;=0,"",IF(N(D259)=0,"",ROUND((N(G259)/N(D259)-1)*100,2)))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 t="str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 t="str">
        <f>IF(C260="","",SUMIFS(Торговля!$H$5:$H$300,Торговля!$E$5:$E$300,$B260)+SUMIFS(Закрытые!$H$5:$H$300,Закрытые!$E$5:$E$300,$B260,Закрытые!$B$5:$B$300,"T-*"))</f>
        <v/>
      </c>
      <c r="F260" s="246" t="str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 t="str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 t="str">
        <f>IF(F260="","",SUMIFS(Торговля!$K$5:$K$300,Торговля!$E$5:$E$300,$B260)+SUMIFS(Закрытые!$K$5:$K$300,Закрытые!$E$5:$E$300,$B260,Закрытые!$B$5:$B$300,"T-*"))</f>
        <v/>
      </c>
      <c r="I260" s="246" t="str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 t="str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 t="str">
        <f>IF(MIN(N(C260),N(F260))&lt;=0,"",ROUND(MIN(N(C260),N(F260))*(N(G260)-N(D260)),8))</f>
        <v/>
      </c>
      <c r="L260" s="183" t="str">
        <f>IF(MIN(N(C260),N(F260))&lt;=0,"",IF(N(D260)=0,"",ROUND((N(G260)/N(D260)-1)*100,2)))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 t="str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 t="str">
        <f>IF(C261="","",SUMIFS(Торговля!$H$5:$H$300,Торговля!$E$5:$E$300,$B261)+SUMIFS(Закрытые!$H$5:$H$300,Закрытые!$E$5:$E$300,$B261,Закрытые!$B$5:$B$300,"T-*"))</f>
        <v/>
      </c>
      <c r="F261" s="240" t="str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 t="str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 t="str">
        <f>IF(F261="","",SUMIFS(Торговля!$K$5:$K$300,Торговля!$E$5:$E$300,$B261)+SUMIFS(Закрытые!$K$5:$K$300,Закрытые!$E$5:$E$300,$B261,Закрытые!$B$5:$B$300,"T-*"))</f>
        <v/>
      </c>
      <c r="I261" s="240" t="str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 t="str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 t="str">
        <f>IF(MIN(N(C261),N(F261))&lt;=0,"",ROUND(MIN(N(C261),N(F261))*(N(G261)-N(D261)),8))</f>
        <v/>
      </c>
      <c r="L261" s="177" t="str">
        <f>IF(MIN(N(C261),N(F261))&lt;=0,"",IF(N(D261)=0,"",ROUND((N(G261)/N(D261)-1)*100,2)))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 t="str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 t="str">
        <f>IF(C262="","",SUMIFS(Торговля!$H$5:$H$300,Торговля!$E$5:$E$300,$B262)+SUMIFS(Закрытые!$H$5:$H$300,Закрытые!$E$5:$E$300,$B262,Закрытые!$B$5:$B$300,"T-*"))</f>
        <v/>
      </c>
      <c r="F262" s="246" t="str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 t="str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 t="str">
        <f>IF(F262="","",SUMIFS(Торговля!$K$5:$K$300,Торговля!$E$5:$E$300,$B262)+SUMIFS(Закрытые!$K$5:$K$300,Закрытые!$E$5:$E$300,$B262,Закрытые!$B$5:$B$300,"T-*"))</f>
        <v/>
      </c>
      <c r="I262" s="246" t="str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 t="str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 t="str">
        <f>IF(MIN(N(C262),N(F262))&lt;=0,"",ROUND(MIN(N(C262),N(F262))*(N(G262)-N(D262)),8))</f>
        <v/>
      </c>
      <c r="L262" s="183" t="str">
        <f>IF(MIN(N(C262),N(F262))&lt;=0,"",IF(N(D262)=0,"",ROUND((N(G262)/N(D262)-1)*100,2)))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 t="str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 t="str">
        <f>IF(C263="","",SUMIFS(Торговля!$H$5:$H$300,Торговля!$E$5:$E$300,$B263)+SUMIFS(Закрытые!$H$5:$H$300,Закрытые!$E$5:$E$300,$B263,Закрытые!$B$5:$B$300,"T-*"))</f>
        <v/>
      </c>
      <c r="F263" s="240" t="str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 t="str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 t="str">
        <f>IF(F263="","",SUMIFS(Торговля!$K$5:$K$300,Торговля!$E$5:$E$300,$B263)+SUMIFS(Закрытые!$K$5:$K$300,Закрытые!$E$5:$E$300,$B263,Закрытые!$B$5:$B$300,"T-*"))</f>
        <v/>
      </c>
      <c r="I263" s="240" t="str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 t="str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 t="str">
        <f>IF(MIN(N(C263),N(F263))&lt;=0,"",ROUND(MIN(N(C263),N(F263))*(N(G263)-N(D263)),8))</f>
        <v/>
      </c>
      <c r="L263" s="177" t="str">
        <f>IF(MIN(N(C263),N(F263))&lt;=0,"",IF(N(D263)=0,"",ROUND((N(G263)/N(D263)-1)*100,2)))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 t="str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 t="str">
        <f>IF(C264="","",SUMIFS(Торговля!$H$5:$H$300,Торговля!$E$5:$E$300,$B264)+SUMIFS(Закрытые!$H$5:$H$300,Закрытые!$E$5:$E$300,$B264,Закрытые!$B$5:$B$300,"T-*"))</f>
        <v/>
      </c>
      <c r="F264" s="246" t="str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 t="str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 t="str">
        <f>IF(F264="","",SUMIFS(Торговля!$K$5:$K$300,Торговля!$E$5:$E$300,$B264)+SUMIFS(Закрытые!$K$5:$K$300,Закрытые!$E$5:$E$300,$B264,Закрытые!$B$5:$B$300,"T-*"))</f>
        <v/>
      </c>
      <c r="I264" s="246" t="str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 t="str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 t="str">
        <f>IF(MIN(N(C264),N(F264))&lt;=0,"",ROUND(MIN(N(C264),N(F264))*(N(G264)-N(D264)),8))</f>
        <v/>
      </c>
      <c r="L264" s="183" t="str">
        <f>IF(MIN(N(C264),N(F264))&lt;=0,"",IF(N(D264)=0,"",ROUND((N(G264)/N(D264)-1)*100,2)))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 t="str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 t="str">
        <f>IF(C265="","",SUMIFS(Торговля!$H$5:$H$300,Торговля!$E$5:$E$300,$B265)+SUMIFS(Закрытые!$H$5:$H$300,Закрытые!$E$5:$E$300,$B265,Закрытые!$B$5:$B$300,"T-*"))</f>
        <v/>
      </c>
      <c r="F265" s="240" t="str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 t="str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 t="str">
        <f>IF(F265="","",SUMIFS(Торговля!$K$5:$K$300,Торговля!$E$5:$E$300,$B265)+SUMIFS(Закрытые!$K$5:$K$300,Закрытые!$E$5:$E$300,$B265,Закрытые!$B$5:$B$300,"T-*"))</f>
        <v/>
      </c>
      <c r="I265" s="240" t="str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 t="str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 t="str">
        <f>IF(MIN(N(C265),N(F265))&lt;=0,"",ROUND(MIN(N(C265),N(F265))*(N(G265)-N(D265)),8))</f>
        <v/>
      </c>
      <c r="L265" s="177" t="str">
        <f>IF(MIN(N(C265),N(F265))&lt;=0,"",IF(N(D265)=0,"",ROUND((N(G265)/N(D265)-1)*100,2)))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 t="str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 t="str">
        <f>IF(C266="","",SUMIFS(Торговля!$H$5:$H$300,Торговля!$E$5:$E$300,$B266)+SUMIFS(Закрытые!$H$5:$H$300,Закрытые!$E$5:$E$300,$B266,Закрытые!$B$5:$B$300,"T-*"))</f>
        <v/>
      </c>
      <c r="F266" s="246" t="str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 t="str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 t="str">
        <f>IF(F266="","",SUMIFS(Торговля!$K$5:$K$300,Торговля!$E$5:$E$300,$B266)+SUMIFS(Закрытые!$K$5:$K$300,Закрытые!$E$5:$E$300,$B266,Закрытые!$B$5:$B$300,"T-*"))</f>
        <v/>
      </c>
      <c r="I266" s="246" t="str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 t="str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 t="str">
        <f>IF(MIN(N(C266),N(F266))&lt;=0,"",ROUND(MIN(N(C266),N(F266))*(N(G266)-N(D266)),8))</f>
        <v/>
      </c>
      <c r="L266" s="183" t="str">
        <f>IF(MIN(N(C266),N(F266))&lt;=0,"",IF(N(D266)=0,"",ROUND((N(G266)/N(D266)-1)*100,2)))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 t="str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 t="str">
        <f>IF(C267="","",SUMIFS(Торговля!$H$5:$H$300,Торговля!$E$5:$E$300,$B267)+SUMIFS(Закрытые!$H$5:$H$300,Закрытые!$E$5:$E$300,$B267,Закрытые!$B$5:$B$300,"T-*"))</f>
        <v/>
      </c>
      <c r="F267" s="240" t="str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 t="str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 t="str">
        <f>IF(F267="","",SUMIFS(Торговля!$K$5:$K$300,Торговля!$E$5:$E$300,$B267)+SUMIFS(Закрытые!$K$5:$K$300,Закрытые!$E$5:$E$300,$B267,Закрытые!$B$5:$B$300,"T-*"))</f>
        <v/>
      </c>
      <c r="I267" s="240" t="str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 t="str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 t="str">
        <f>IF(MIN(N(C267),N(F267))&lt;=0,"",ROUND(MIN(N(C267),N(F267))*(N(G267)-N(D267)),8))</f>
        <v/>
      </c>
      <c r="L267" s="177" t="str">
        <f>IF(MIN(N(C267),N(F267))&lt;=0,"",IF(N(D267)=0,"",ROUND((N(G267)/N(D267)-1)*100,2)))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 t="str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 t="str">
        <f>IF(C268="","",SUMIFS(Торговля!$H$5:$H$300,Торговля!$E$5:$E$300,$B268)+SUMIFS(Закрытые!$H$5:$H$300,Закрытые!$E$5:$E$300,$B268,Закрытые!$B$5:$B$300,"T-*"))</f>
        <v/>
      </c>
      <c r="F268" s="246" t="str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 t="str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 t="str">
        <f>IF(F268="","",SUMIFS(Торговля!$K$5:$K$300,Торговля!$E$5:$E$300,$B268)+SUMIFS(Закрытые!$K$5:$K$300,Закрытые!$E$5:$E$300,$B268,Закрытые!$B$5:$B$300,"T-*"))</f>
        <v/>
      </c>
      <c r="I268" s="246" t="str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 t="str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 t="str">
        <f>IF(MIN(N(C268),N(F268))&lt;=0,"",ROUND(MIN(N(C268),N(F268))*(N(G268)-N(D268)),8))</f>
        <v/>
      </c>
      <c r="L268" s="183" t="str">
        <f>IF(MIN(N(C268),N(F268))&lt;=0,"",IF(N(D268)=0,"",ROUND((N(G268)/N(D268)-1)*100,2)))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 t="str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 t="str">
        <f>IF(C269="","",SUMIFS(Торговля!$H$5:$H$300,Торговля!$E$5:$E$300,$B269)+SUMIFS(Закрытые!$H$5:$H$300,Закрытые!$E$5:$E$300,$B269,Закрытые!$B$5:$B$300,"T-*"))</f>
        <v/>
      </c>
      <c r="F269" s="240" t="str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 t="str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 t="str">
        <f>IF(F269="","",SUMIFS(Торговля!$K$5:$K$300,Торговля!$E$5:$E$300,$B269)+SUMIFS(Закрытые!$K$5:$K$300,Закрытые!$E$5:$E$300,$B269,Закрытые!$B$5:$B$300,"T-*"))</f>
        <v/>
      </c>
      <c r="I269" s="240" t="str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 t="str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 t="str">
        <f>IF(MIN(N(C269),N(F269))&lt;=0,"",ROUND(MIN(N(C269),N(F269))*(N(G269)-N(D269)),8))</f>
        <v/>
      </c>
      <c r="L269" s="177" t="str">
        <f>IF(MIN(N(C269),N(F269))&lt;=0,"",IF(N(D269)=0,"",ROUND((N(G269)/N(D269)-1)*100,2)))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 t="str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 t="str">
        <f>IF(C270="","",SUMIFS(Торговля!$H$5:$H$300,Торговля!$E$5:$E$300,$B270)+SUMIFS(Закрытые!$H$5:$H$300,Закрытые!$E$5:$E$300,$B270,Закрытые!$B$5:$B$300,"T-*"))</f>
        <v/>
      </c>
      <c r="F270" s="246" t="str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 t="str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 t="str">
        <f>IF(F270="","",SUMIFS(Торговля!$K$5:$K$300,Торговля!$E$5:$E$300,$B270)+SUMIFS(Закрытые!$K$5:$K$300,Закрытые!$E$5:$E$300,$B270,Закрытые!$B$5:$B$300,"T-*"))</f>
        <v/>
      </c>
      <c r="I270" s="246" t="str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 t="str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 t="str">
        <f>IF(MIN(N(C270),N(F270))&lt;=0,"",ROUND(MIN(N(C270),N(F270))*(N(G270)-N(D270)),8))</f>
        <v/>
      </c>
      <c r="L270" s="183" t="str">
        <f>IF(MIN(N(C270),N(F270))&lt;=0,"",IF(N(D270)=0,"",ROUND((N(G270)/N(D270)-1)*100,2)))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 t="str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 t="str">
        <f>IF(C271="","",SUMIFS(Торговля!$H$5:$H$300,Торговля!$E$5:$E$300,$B271)+SUMIFS(Закрытые!$H$5:$H$300,Закрытые!$E$5:$E$300,$B271,Закрытые!$B$5:$B$300,"T-*"))</f>
        <v/>
      </c>
      <c r="F271" s="240" t="str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 t="str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 t="str">
        <f>IF(F271="","",SUMIFS(Торговля!$K$5:$K$300,Торговля!$E$5:$E$300,$B271)+SUMIFS(Закрытые!$K$5:$K$300,Закрытые!$E$5:$E$300,$B271,Закрытые!$B$5:$B$300,"T-*"))</f>
        <v/>
      </c>
      <c r="I271" s="240" t="str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 t="str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 t="str">
        <f>IF(MIN(N(C271),N(F271))&lt;=0,"",ROUND(MIN(N(C271),N(F271))*(N(G271)-N(D271)),8))</f>
        <v/>
      </c>
      <c r="L271" s="177" t="str">
        <f>IF(MIN(N(C271),N(F271))&lt;=0,"",IF(N(D271)=0,"",ROUND((N(G271)/N(D271)-1)*100,2)))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 t="str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 t="str">
        <f>IF(C272="","",SUMIFS(Торговля!$H$5:$H$300,Торговля!$E$5:$E$300,$B272)+SUMIFS(Закрытые!$H$5:$H$300,Закрытые!$E$5:$E$300,$B272,Закрытые!$B$5:$B$300,"T-*"))</f>
        <v/>
      </c>
      <c r="F272" s="246" t="str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 t="str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 t="str">
        <f>IF(F272="","",SUMIFS(Торговля!$K$5:$K$300,Торговля!$E$5:$E$300,$B272)+SUMIFS(Закрытые!$K$5:$K$300,Закрытые!$E$5:$E$300,$B272,Закрытые!$B$5:$B$300,"T-*"))</f>
        <v/>
      </c>
      <c r="I272" s="246" t="str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 t="str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 t="str">
        <f>IF(MIN(N(C272),N(F272))&lt;=0,"",ROUND(MIN(N(C272),N(F272))*(N(G272)-N(D272)),8))</f>
        <v/>
      </c>
      <c r="L272" s="183" t="str">
        <f>IF(MIN(N(C272),N(F272))&lt;=0,"",IF(N(D272)=0,"",ROUND((N(G272)/N(D272)-1)*100,2)))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 t="str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 t="str">
        <f>IF(C273="","",SUMIFS(Торговля!$H$5:$H$300,Торговля!$E$5:$E$300,$B273)+SUMIFS(Закрытые!$H$5:$H$300,Закрытые!$E$5:$E$300,$B273,Закрытые!$B$5:$B$300,"T-*"))</f>
        <v/>
      </c>
      <c r="F273" s="240" t="str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 t="str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 t="str">
        <f>IF(F273="","",SUMIFS(Торговля!$K$5:$K$300,Торговля!$E$5:$E$300,$B273)+SUMIFS(Закрытые!$K$5:$K$300,Закрытые!$E$5:$E$300,$B273,Закрытые!$B$5:$B$300,"T-*"))</f>
        <v/>
      </c>
      <c r="I273" s="240" t="str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 t="str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 t="str">
        <f>IF(MIN(N(C273),N(F273))&lt;=0,"",ROUND(MIN(N(C273),N(F273))*(N(G273)-N(D273)),8))</f>
        <v/>
      </c>
      <c r="L273" s="177" t="str">
        <f>IF(MIN(N(C273),N(F273))&lt;=0,"",IF(N(D273)=0,"",ROUND((N(G273)/N(D273)-1)*100,2)))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 t="str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 t="str">
        <f>IF(C274="","",SUMIFS(Торговля!$H$5:$H$300,Торговля!$E$5:$E$300,$B274)+SUMIFS(Закрытые!$H$5:$H$300,Закрытые!$E$5:$E$300,$B274,Закрытые!$B$5:$B$300,"T-*"))</f>
        <v/>
      </c>
      <c r="F274" s="246" t="str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 t="str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 t="str">
        <f>IF(F274="","",SUMIFS(Торговля!$K$5:$K$300,Торговля!$E$5:$E$300,$B274)+SUMIFS(Закрытые!$K$5:$K$300,Закрытые!$E$5:$E$300,$B274,Закрытые!$B$5:$B$300,"T-*"))</f>
        <v/>
      </c>
      <c r="I274" s="246" t="str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 t="str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 t="str">
        <f>IF(MIN(N(C274),N(F274))&lt;=0,"",ROUND(MIN(N(C274),N(F274))*(N(G274)-N(D274)),8))</f>
        <v/>
      </c>
      <c r="L274" s="183" t="str">
        <f>IF(MIN(N(C274),N(F274))&lt;=0,"",IF(N(D274)=0,"",ROUND((N(G274)/N(D274)-1)*100,2)))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 t="str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 t="str">
        <f>IF(C275="","",SUMIFS(Торговля!$H$5:$H$300,Торговля!$E$5:$E$300,$B275)+SUMIFS(Закрытые!$H$5:$H$300,Закрытые!$E$5:$E$300,$B275,Закрытые!$B$5:$B$300,"T-*"))</f>
        <v/>
      </c>
      <c r="F275" s="240" t="str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 t="str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 t="str">
        <f>IF(F275="","",SUMIFS(Торговля!$K$5:$K$300,Торговля!$E$5:$E$300,$B275)+SUMIFS(Закрытые!$K$5:$K$300,Закрытые!$E$5:$E$300,$B275,Закрытые!$B$5:$B$300,"T-*"))</f>
        <v/>
      </c>
      <c r="I275" s="240" t="str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 t="str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 t="str">
        <f>IF(MIN(N(C275),N(F275))&lt;=0,"",ROUND(MIN(N(C275),N(F275))*(N(G275)-N(D275)),8))</f>
        <v/>
      </c>
      <c r="L275" s="177" t="str">
        <f>IF(MIN(N(C275),N(F275))&lt;=0,"",IF(N(D275)=0,"",ROUND((N(G275)/N(D275)-1)*100,2)))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 t="str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 t="str">
        <f>IF(C276="","",SUMIFS(Торговля!$H$5:$H$300,Торговля!$E$5:$E$300,$B276)+SUMIFS(Закрытые!$H$5:$H$300,Закрытые!$E$5:$E$300,$B276,Закрытые!$B$5:$B$300,"T-*"))</f>
        <v/>
      </c>
      <c r="F276" s="246" t="str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 t="str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 t="str">
        <f>IF(F276="","",SUMIFS(Торговля!$K$5:$K$300,Торговля!$E$5:$E$300,$B276)+SUMIFS(Закрытые!$K$5:$K$300,Закрытые!$E$5:$E$300,$B276,Закрытые!$B$5:$B$300,"T-*"))</f>
        <v/>
      </c>
      <c r="I276" s="246" t="str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 t="str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 t="str">
        <f>IF(MIN(N(C276),N(F276))&lt;=0,"",ROUND(MIN(N(C276),N(F276))*(N(G276)-N(D276)),8))</f>
        <v/>
      </c>
      <c r="L276" s="183" t="str">
        <f>IF(MIN(N(C276),N(F276))&lt;=0,"",IF(N(D276)=0,"",ROUND((N(G276)/N(D276)-1)*100,2)))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 t="str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 t="str">
        <f>IF(C277="","",SUMIFS(Торговля!$H$5:$H$300,Торговля!$E$5:$E$300,$B277)+SUMIFS(Закрытые!$H$5:$H$300,Закрытые!$E$5:$E$300,$B277,Закрытые!$B$5:$B$300,"T-*"))</f>
        <v/>
      </c>
      <c r="F277" s="240" t="str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 t="str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 t="str">
        <f>IF(F277="","",SUMIFS(Торговля!$K$5:$K$300,Торговля!$E$5:$E$300,$B277)+SUMIFS(Закрытые!$K$5:$K$300,Закрытые!$E$5:$E$300,$B277,Закрытые!$B$5:$B$300,"T-*"))</f>
        <v/>
      </c>
      <c r="I277" s="240" t="str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 t="str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 t="str">
        <f>IF(MIN(N(C277),N(F277))&lt;=0,"",ROUND(MIN(N(C277),N(F277))*(N(G277)-N(D277)),8))</f>
        <v/>
      </c>
      <c r="L277" s="177" t="str">
        <f>IF(MIN(N(C277),N(F277))&lt;=0,"",IF(N(D277)=0,"",ROUND((N(G277)/N(D277)-1)*100,2)))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 t="str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 t="str">
        <f>IF(C278="","",SUMIFS(Торговля!$H$5:$H$300,Торговля!$E$5:$E$300,$B278)+SUMIFS(Закрытые!$H$5:$H$300,Закрытые!$E$5:$E$300,$B278,Закрытые!$B$5:$B$300,"T-*"))</f>
        <v/>
      </c>
      <c r="F278" s="246" t="str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 t="str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 t="str">
        <f>IF(F278="","",SUMIFS(Торговля!$K$5:$K$300,Торговля!$E$5:$E$300,$B278)+SUMIFS(Закрытые!$K$5:$K$300,Закрытые!$E$5:$E$300,$B278,Закрытые!$B$5:$B$300,"T-*"))</f>
        <v/>
      </c>
      <c r="I278" s="246" t="str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 t="str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 t="str">
        <f>IF(MIN(N(C278),N(F278))&lt;=0,"",ROUND(MIN(N(C278),N(F278))*(N(G278)-N(D278)),8))</f>
        <v/>
      </c>
      <c r="L278" s="183" t="str">
        <f>IF(MIN(N(C278),N(F278))&lt;=0,"",IF(N(D278)=0,"",ROUND((N(G278)/N(D278)-1)*100,2)))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 t="str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 t="str">
        <f>IF(C279="","",SUMIFS(Торговля!$H$5:$H$300,Торговля!$E$5:$E$300,$B279)+SUMIFS(Закрытые!$H$5:$H$300,Закрытые!$E$5:$E$300,$B279,Закрытые!$B$5:$B$300,"T-*"))</f>
        <v/>
      </c>
      <c r="F279" s="240" t="str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 t="str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 t="str">
        <f>IF(F279="","",SUMIFS(Торговля!$K$5:$K$300,Торговля!$E$5:$E$300,$B279)+SUMIFS(Закрытые!$K$5:$K$300,Закрытые!$E$5:$E$300,$B279,Закрытые!$B$5:$B$300,"T-*"))</f>
        <v/>
      </c>
      <c r="I279" s="240" t="str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 t="str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 t="str">
        <f>IF(MIN(N(C279),N(F279))&lt;=0,"",ROUND(MIN(N(C279),N(F279))*(N(G279)-N(D279)),8))</f>
        <v/>
      </c>
      <c r="L279" s="177" t="str">
        <f>IF(MIN(N(C279),N(F279))&lt;=0,"",IF(N(D279)=0,"",ROUND((N(G279)/N(D279)-1)*100,2)))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 t="str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 t="str">
        <f>IF(C280="","",SUMIFS(Торговля!$H$5:$H$300,Торговля!$E$5:$E$300,$B280)+SUMIFS(Закрытые!$H$5:$H$300,Закрытые!$E$5:$E$300,$B280,Закрытые!$B$5:$B$300,"T-*"))</f>
        <v/>
      </c>
      <c r="F280" s="246" t="str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 t="str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 t="str">
        <f>IF(F280="","",SUMIFS(Торговля!$K$5:$K$300,Торговля!$E$5:$E$300,$B280)+SUMIFS(Закрытые!$K$5:$K$300,Закрытые!$E$5:$E$300,$B280,Закрытые!$B$5:$B$300,"T-*"))</f>
        <v/>
      </c>
      <c r="I280" s="246" t="str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 t="str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 t="str">
        <f>IF(MIN(N(C280),N(F280))&lt;=0,"",ROUND(MIN(N(C280),N(F280))*(N(G280)-N(D280)),8))</f>
        <v/>
      </c>
      <c r="L280" s="183" t="str">
        <f>IF(MIN(N(C280),N(F280))&lt;=0,"",IF(N(D280)=0,"",ROUND((N(G280)/N(D280)-1)*100,2)))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 t="str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 t="str">
        <f>IF(C281="","",SUMIFS(Торговля!$H$5:$H$300,Торговля!$E$5:$E$300,$B281)+SUMIFS(Закрытые!$H$5:$H$300,Закрытые!$E$5:$E$300,$B281,Закрытые!$B$5:$B$300,"T-*"))</f>
        <v/>
      </c>
      <c r="F281" s="240" t="str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 t="str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 t="str">
        <f>IF(F281="","",SUMIFS(Торговля!$K$5:$K$300,Торговля!$E$5:$E$300,$B281)+SUMIFS(Закрытые!$K$5:$K$300,Закрытые!$E$5:$E$300,$B281,Закрытые!$B$5:$B$300,"T-*"))</f>
        <v/>
      </c>
      <c r="I281" s="240" t="str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 t="str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 t="str">
        <f>IF(MIN(N(C281),N(F281))&lt;=0,"",ROUND(MIN(N(C281),N(F281))*(N(G281)-N(D281)),8))</f>
        <v/>
      </c>
      <c r="L281" s="177" t="str">
        <f>IF(MIN(N(C281),N(F281))&lt;=0,"",IF(N(D281)=0,"",ROUND((N(G281)/N(D281)-1)*100,2)))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 t="str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 t="str">
        <f>IF(C282="","",SUMIFS(Торговля!$H$5:$H$300,Торговля!$E$5:$E$300,$B282)+SUMIFS(Закрытые!$H$5:$H$300,Закрытые!$E$5:$E$300,$B282,Закрытые!$B$5:$B$300,"T-*"))</f>
        <v/>
      </c>
      <c r="F282" s="246" t="str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 t="str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 t="str">
        <f>IF(F282="","",SUMIFS(Торговля!$K$5:$K$300,Торговля!$E$5:$E$300,$B282)+SUMIFS(Закрытые!$K$5:$K$300,Закрытые!$E$5:$E$300,$B282,Закрытые!$B$5:$B$300,"T-*"))</f>
        <v/>
      </c>
      <c r="I282" s="246" t="str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 t="str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 t="str">
        <f>IF(MIN(N(C282),N(F282))&lt;=0,"",ROUND(MIN(N(C282),N(F282))*(N(G282)-N(D282)),8))</f>
        <v/>
      </c>
      <c r="L282" s="183" t="str">
        <f>IF(MIN(N(C282),N(F282))&lt;=0,"",IF(N(D282)=0,"",ROUND((N(G282)/N(D282)-1)*100,2)))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 t="str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 t="str">
        <f>IF(C283="","",SUMIFS(Торговля!$H$5:$H$300,Торговля!$E$5:$E$300,$B283)+SUMIFS(Закрытые!$H$5:$H$300,Закрытые!$E$5:$E$300,$B283,Закрытые!$B$5:$B$300,"T-*"))</f>
        <v/>
      </c>
      <c r="F283" s="240" t="str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 t="str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 t="str">
        <f>IF(F283="","",SUMIFS(Торговля!$K$5:$K$300,Торговля!$E$5:$E$300,$B283)+SUMIFS(Закрытые!$K$5:$K$300,Закрытые!$E$5:$E$300,$B283,Закрытые!$B$5:$B$300,"T-*"))</f>
        <v/>
      </c>
      <c r="I283" s="240" t="str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 t="str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 t="str">
        <f>IF(MIN(N(C283),N(F283))&lt;=0,"",ROUND(MIN(N(C283),N(F283))*(N(G283)-N(D283)),8))</f>
        <v/>
      </c>
      <c r="L283" s="177" t="str">
        <f>IF(MIN(N(C283),N(F283))&lt;=0,"",IF(N(D283)=0,"",ROUND((N(G283)/N(D283)-1)*100,2)))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 t="str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 t="str">
        <f>IF(C284="","",SUMIFS(Торговля!$H$5:$H$300,Торговля!$E$5:$E$300,$B284)+SUMIFS(Закрытые!$H$5:$H$300,Закрытые!$E$5:$E$300,$B284,Закрытые!$B$5:$B$300,"T-*"))</f>
        <v/>
      </c>
      <c r="F284" s="246" t="str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 t="str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 t="str">
        <f>IF(F284="","",SUMIFS(Торговля!$K$5:$K$300,Торговля!$E$5:$E$300,$B284)+SUMIFS(Закрытые!$K$5:$K$300,Закрытые!$E$5:$E$300,$B284,Закрытые!$B$5:$B$300,"T-*"))</f>
        <v/>
      </c>
      <c r="I284" s="246" t="str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 t="str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 t="str">
        <f>IF(MIN(N(C284),N(F284))&lt;=0,"",ROUND(MIN(N(C284),N(F284))*(N(G284)-N(D284)),8))</f>
        <v/>
      </c>
      <c r="L284" s="183" t="str">
        <f>IF(MIN(N(C284),N(F284))&lt;=0,"",IF(N(D284)=0,"",ROUND((N(G284)/N(D284)-1)*100,2)))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 t="str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 t="str">
        <f>IF(C285="","",SUMIFS(Торговля!$H$5:$H$300,Торговля!$E$5:$E$300,$B285)+SUMIFS(Закрытые!$H$5:$H$300,Закрытые!$E$5:$E$300,$B285,Закрытые!$B$5:$B$300,"T-*"))</f>
        <v/>
      </c>
      <c r="F285" s="240" t="str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 t="str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 t="str">
        <f>IF(F285="","",SUMIFS(Торговля!$K$5:$K$300,Торговля!$E$5:$E$300,$B285)+SUMIFS(Закрытые!$K$5:$K$300,Закрытые!$E$5:$E$300,$B285,Закрытые!$B$5:$B$300,"T-*"))</f>
        <v/>
      </c>
      <c r="I285" s="240" t="str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 t="str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 t="str">
        <f>IF(MIN(N(C285),N(F285))&lt;=0,"",ROUND(MIN(N(C285),N(F285))*(N(G285)-N(D285)),8))</f>
        <v/>
      </c>
      <c r="L285" s="177" t="str">
        <f>IF(MIN(N(C285),N(F285))&lt;=0,"",IF(N(D285)=0,"",ROUND((N(G285)/N(D285)-1)*100,2)))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 t="str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 t="str">
        <f>IF(C286="","",SUMIFS(Торговля!$H$5:$H$300,Торговля!$E$5:$E$300,$B286)+SUMIFS(Закрытые!$H$5:$H$300,Закрытые!$E$5:$E$300,$B286,Закрытые!$B$5:$B$300,"T-*"))</f>
        <v/>
      </c>
      <c r="F286" s="246" t="str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 t="str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 t="str">
        <f>IF(F286="","",SUMIFS(Торговля!$K$5:$K$300,Торговля!$E$5:$E$300,$B286)+SUMIFS(Закрытые!$K$5:$K$300,Закрытые!$E$5:$E$300,$B286,Закрытые!$B$5:$B$300,"T-*"))</f>
        <v/>
      </c>
      <c r="I286" s="246" t="str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 t="str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 t="str">
        <f>IF(MIN(N(C286),N(F286))&lt;=0,"",ROUND(MIN(N(C286),N(F286))*(N(G286)-N(D286)),8))</f>
        <v/>
      </c>
      <c r="L286" s="183" t="str">
        <f>IF(MIN(N(C286),N(F286))&lt;=0,"",IF(N(D286)=0,"",ROUND((N(G286)/N(D286)-1)*100,2)))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 t="str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 t="str">
        <f>IF(C287="","",SUMIFS(Торговля!$H$5:$H$300,Торговля!$E$5:$E$300,$B287)+SUMIFS(Закрытые!$H$5:$H$300,Закрытые!$E$5:$E$300,$B287,Закрытые!$B$5:$B$300,"T-*"))</f>
        <v/>
      </c>
      <c r="F287" s="240" t="str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 t="str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 t="str">
        <f>IF(F287="","",SUMIFS(Торговля!$K$5:$K$300,Торговля!$E$5:$E$300,$B287)+SUMIFS(Закрытые!$K$5:$K$300,Закрытые!$E$5:$E$300,$B287,Закрытые!$B$5:$B$300,"T-*"))</f>
        <v/>
      </c>
      <c r="I287" s="240" t="str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 t="str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 t="str">
        <f>IF(MIN(N(C287),N(F287))&lt;=0,"",ROUND(MIN(N(C287),N(F287))*(N(G287)-N(D287)),8))</f>
        <v/>
      </c>
      <c r="L287" s="177" t="str">
        <f>IF(MIN(N(C287),N(F287))&lt;=0,"",IF(N(D287)=0,"",ROUND((N(G287)/N(D287)-1)*100,2)))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 t="str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 t="str">
        <f>IF(C288="","",SUMIFS(Торговля!$H$5:$H$300,Торговля!$E$5:$E$300,$B288)+SUMIFS(Закрытые!$H$5:$H$300,Закрытые!$E$5:$E$300,$B288,Закрытые!$B$5:$B$300,"T-*"))</f>
        <v/>
      </c>
      <c r="F288" s="246" t="str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 t="str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 t="str">
        <f>IF(F288="","",SUMIFS(Торговля!$K$5:$K$300,Торговля!$E$5:$E$300,$B288)+SUMIFS(Закрытые!$K$5:$K$300,Закрытые!$E$5:$E$300,$B288,Закрытые!$B$5:$B$300,"T-*"))</f>
        <v/>
      </c>
      <c r="I288" s="246" t="str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 t="str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 t="str">
        <f>IF(MIN(N(C288),N(F288))&lt;=0,"",ROUND(MIN(N(C288),N(F288))*(N(G288)-N(D288)),8))</f>
        <v/>
      </c>
      <c r="L288" s="183" t="str">
        <f>IF(MIN(N(C288),N(F288))&lt;=0,"",IF(N(D288)=0,"",ROUND((N(G288)/N(D288)-1)*100,2)))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 t="str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 t="str">
        <f>IF(C289="","",SUMIFS(Торговля!$H$5:$H$300,Торговля!$E$5:$E$300,$B289)+SUMIFS(Закрытые!$H$5:$H$300,Закрытые!$E$5:$E$300,$B289,Закрытые!$B$5:$B$300,"T-*"))</f>
        <v/>
      </c>
      <c r="F289" s="240" t="str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 t="str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 t="str">
        <f>IF(F289="","",SUMIFS(Торговля!$K$5:$K$300,Торговля!$E$5:$E$300,$B289)+SUMIFS(Закрытые!$K$5:$K$300,Закрытые!$E$5:$E$300,$B289,Закрытые!$B$5:$B$300,"T-*"))</f>
        <v/>
      </c>
      <c r="I289" s="240" t="str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 t="str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 t="str">
        <f>IF(MIN(N(C289),N(F289))&lt;=0,"",ROUND(MIN(N(C289),N(F289))*(N(G289)-N(D289)),8))</f>
        <v/>
      </c>
      <c r="L289" s="177" t="str">
        <f>IF(MIN(N(C289),N(F289))&lt;=0,"",IF(N(D289)=0,"",ROUND((N(G289)/N(D289)-1)*100,2)))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 t="str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 t="str">
        <f>IF(C290="","",SUMIFS(Торговля!$H$5:$H$300,Торговля!$E$5:$E$300,$B290)+SUMIFS(Закрытые!$H$5:$H$300,Закрытые!$E$5:$E$300,$B290,Закрытые!$B$5:$B$300,"T-*"))</f>
        <v/>
      </c>
      <c r="F290" s="246" t="str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 t="str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 t="str">
        <f>IF(F290="","",SUMIFS(Торговля!$K$5:$K$300,Торговля!$E$5:$E$300,$B290)+SUMIFS(Закрытые!$K$5:$K$300,Закрытые!$E$5:$E$300,$B290,Закрытые!$B$5:$B$300,"T-*"))</f>
        <v/>
      </c>
      <c r="I290" s="246" t="str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 t="str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 t="str">
        <f>IF(MIN(N(C290),N(F290))&lt;=0,"",ROUND(MIN(N(C290),N(F290))*(N(G290)-N(D290)),8))</f>
        <v/>
      </c>
      <c r="L290" s="183" t="str">
        <f>IF(MIN(N(C290),N(F290))&lt;=0,"",IF(N(D290)=0,"",ROUND((N(G290)/N(D290)-1)*100,2)))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 t="str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 t="str">
        <f>IF(C291="","",SUMIFS(Торговля!$H$5:$H$300,Торговля!$E$5:$E$300,$B291)+SUMIFS(Закрытые!$H$5:$H$300,Закрытые!$E$5:$E$300,$B291,Закрытые!$B$5:$B$300,"T-*"))</f>
        <v/>
      </c>
      <c r="F291" s="240" t="str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 t="str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 t="str">
        <f>IF(F291="","",SUMIFS(Торговля!$K$5:$K$300,Торговля!$E$5:$E$300,$B291)+SUMIFS(Закрытые!$K$5:$K$300,Закрытые!$E$5:$E$300,$B291,Закрытые!$B$5:$B$300,"T-*"))</f>
        <v/>
      </c>
      <c r="I291" s="240" t="str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 t="str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 t="str">
        <f>IF(MIN(N(C291),N(F291))&lt;=0,"",ROUND(MIN(N(C291),N(F291))*(N(G291)-N(D291)),8))</f>
        <v/>
      </c>
      <c r="L291" s="177" t="str">
        <f>IF(MIN(N(C291),N(F291))&lt;=0,"",IF(N(D291)=0,"",ROUND((N(G291)/N(D291)-1)*100,2)))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 t="str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 t="str">
        <f>IF(C292="","",SUMIFS(Торговля!$H$5:$H$300,Торговля!$E$5:$E$300,$B292)+SUMIFS(Закрытые!$H$5:$H$300,Закрытые!$E$5:$E$300,$B292,Закрытые!$B$5:$B$300,"T-*"))</f>
        <v/>
      </c>
      <c r="F292" s="246" t="str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 t="str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 t="str">
        <f>IF(F292="","",SUMIFS(Торговля!$K$5:$K$300,Торговля!$E$5:$E$300,$B292)+SUMIFS(Закрытые!$K$5:$K$300,Закрытые!$E$5:$E$300,$B292,Закрытые!$B$5:$B$300,"T-*"))</f>
        <v/>
      </c>
      <c r="I292" s="246" t="str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 t="str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 t="str">
        <f>IF(MIN(N(C292),N(F292))&lt;=0,"",ROUND(MIN(N(C292),N(F292))*(N(G292)-N(D292)),8))</f>
        <v/>
      </c>
      <c r="L292" s="183" t="str">
        <f>IF(MIN(N(C292),N(F292))&lt;=0,"",IF(N(D292)=0,"",ROUND((N(G292)/N(D292)-1)*100,2)))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 t="str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 t="str">
        <f>IF(C293="","",SUMIFS(Торговля!$H$5:$H$300,Торговля!$E$5:$E$300,$B293)+SUMIFS(Закрытые!$H$5:$H$300,Закрытые!$E$5:$E$300,$B293,Закрытые!$B$5:$B$300,"T-*"))</f>
        <v/>
      </c>
      <c r="F293" s="240" t="str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 t="str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 t="str">
        <f>IF(F293="","",SUMIFS(Торговля!$K$5:$K$300,Торговля!$E$5:$E$300,$B293)+SUMIFS(Закрытые!$K$5:$K$300,Закрытые!$E$5:$E$300,$B293,Закрытые!$B$5:$B$300,"T-*"))</f>
        <v/>
      </c>
      <c r="I293" s="240" t="str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 t="str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 t="str">
        <f>IF(MIN(N(C293),N(F293))&lt;=0,"",ROUND(MIN(N(C293),N(F293))*(N(G293)-N(D293)),8))</f>
        <v/>
      </c>
      <c r="L293" s="177" t="str">
        <f>IF(MIN(N(C293),N(F293))&lt;=0,"",IF(N(D293)=0,"",ROUND((N(G293)/N(D293)-1)*100,2)))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 t="str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 t="str">
        <f>IF(C294="","",SUMIFS(Торговля!$H$5:$H$300,Торговля!$E$5:$E$300,$B294)+SUMIFS(Закрытые!$H$5:$H$300,Закрытые!$E$5:$E$300,$B294,Закрытые!$B$5:$B$300,"T-*"))</f>
        <v/>
      </c>
      <c r="F294" s="246" t="str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 t="str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 t="str">
        <f>IF(F294="","",SUMIFS(Торговля!$K$5:$K$300,Торговля!$E$5:$E$300,$B294)+SUMIFS(Закрытые!$K$5:$K$300,Закрытые!$E$5:$E$300,$B294,Закрытые!$B$5:$B$300,"T-*"))</f>
        <v/>
      </c>
      <c r="I294" s="246" t="str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 t="str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 t="str">
        <f>IF(MIN(N(C294),N(F294))&lt;=0,"",ROUND(MIN(N(C294),N(F294))*(N(G294)-N(D294)),8))</f>
        <v/>
      </c>
      <c r="L294" s="183" t="str">
        <f>IF(MIN(N(C294),N(F294))&lt;=0,"",IF(N(D294)=0,"",ROUND((N(G294)/N(D294)-1)*100,2)))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 t="str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 t="str">
        <f>IF(C295="","",SUMIFS(Торговля!$H$5:$H$300,Торговля!$E$5:$E$300,$B295)+SUMIFS(Закрытые!$H$5:$H$300,Закрытые!$E$5:$E$300,$B295,Закрытые!$B$5:$B$300,"T-*"))</f>
        <v/>
      </c>
      <c r="F295" s="240" t="str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 t="str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 t="str">
        <f>IF(F295="","",SUMIFS(Торговля!$K$5:$K$300,Торговля!$E$5:$E$300,$B295)+SUMIFS(Закрытые!$K$5:$K$300,Закрытые!$E$5:$E$300,$B295,Закрытые!$B$5:$B$300,"T-*"))</f>
        <v/>
      </c>
      <c r="I295" s="240" t="str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 t="str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 t="str">
        <f>IF(MIN(N(C295),N(F295))&lt;=0,"",ROUND(MIN(N(C295),N(F295))*(N(G295)-N(D295)),8))</f>
        <v/>
      </c>
      <c r="L295" s="177" t="str">
        <f>IF(MIN(N(C295),N(F295))&lt;=0,"",IF(N(D295)=0,"",ROUND((N(G295)/N(D295)-1)*100,2)))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 t="str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 t="str">
        <f>IF(C296="","",SUMIFS(Торговля!$H$5:$H$300,Торговля!$E$5:$E$300,$B296)+SUMIFS(Закрытые!$H$5:$H$300,Закрытые!$E$5:$E$300,$B296,Закрытые!$B$5:$B$300,"T-*"))</f>
        <v/>
      </c>
      <c r="F296" s="246" t="str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 t="str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 t="str">
        <f>IF(F296="","",SUMIFS(Торговля!$K$5:$K$300,Торговля!$E$5:$E$300,$B296)+SUMIFS(Закрытые!$K$5:$K$300,Закрытые!$E$5:$E$300,$B296,Закрытые!$B$5:$B$300,"T-*"))</f>
        <v/>
      </c>
      <c r="I296" s="246" t="str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 t="str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 t="str">
        <f>IF(MIN(N(C296),N(F296))&lt;=0,"",ROUND(MIN(N(C296),N(F296))*(N(G296)-N(D296)),8))</f>
        <v/>
      </c>
      <c r="L296" s="183" t="str">
        <f>IF(MIN(N(C296),N(F296))&lt;=0,"",IF(N(D296)=0,"",ROUND((N(G296)/N(D296)-1)*100,2)))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 t="str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 t="str">
        <f>IF(C297="","",SUMIFS(Торговля!$H$5:$H$300,Торговля!$E$5:$E$300,$B297)+SUMIFS(Закрытые!$H$5:$H$300,Закрытые!$E$5:$E$300,$B297,Закрытые!$B$5:$B$300,"T-*"))</f>
        <v/>
      </c>
      <c r="F297" s="240" t="str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 t="str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 t="str">
        <f>IF(F297="","",SUMIFS(Торговля!$K$5:$K$300,Торговля!$E$5:$E$300,$B297)+SUMIFS(Закрытые!$K$5:$K$300,Закрытые!$E$5:$E$300,$B297,Закрытые!$B$5:$B$300,"T-*"))</f>
        <v/>
      </c>
      <c r="I297" s="240" t="str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 t="str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 t="str">
        <f>IF(MIN(N(C297),N(F297))&lt;=0,"",ROUND(MIN(N(C297),N(F297))*(N(G297)-N(D297)),8))</f>
        <v/>
      </c>
      <c r="L297" s="177" t="str">
        <f>IF(MIN(N(C297),N(F297))&lt;=0,"",IF(N(D297)=0,"",ROUND((N(G297)/N(D297)-1)*100,2)))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 t="str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 t="str">
        <f>IF(C298="","",SUMIFS(Торговля!$H$5:$H$300,Торговля!$E$5:$E$300,$B298)+SUMIFS(Закрытые!$H$5:$H$300,Закрытые!$E$5:$E$300,$B298,Закрытые!$B$5:$B$300,"T-*"))</f>
        <v/>
      </c>
      <c r="F298" s="246" t="str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 t="str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 t="str">
        <f>IF(F298="","",SUMIFS(Торговля!$K$5:$K$300,Торговля!$E$5:$E$300,$B298)+SUMIFS(Закрытые!$K$5:$K$300,Закрытые!$E$5:$E$300,$B298,Закрытые!$B$5:$B$300,"T-*"))</f>
        <v/>
      </c>
      <c r="I298" s="246" t="str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 t="str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 t="str">
        <f>IF(MIN(N(C298),N(F298))&lt;=0,"",ROUND(MIN(N(C298),N(F298))*(N(G298)-N(D298)),8))</f>
        <v/>
      </c>
      <c r="L298" s="183" t="str">
        <f>IF(MIN(N(C298),N(F298))&lt;=0,"",IF(N(D298)=0,"",ROUND((N(G298)/N(D298)-1)*100,2)))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 t="str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 t="str">
        <f>IF(C299="","",SUMIFS(Торговля!$H$5:$H$300,Торговля!$E$5:$E$300,$B299)+SUMIFS(Закрытые!$H$5:$H$300,Закрытые!$E$5:$E$300,$B299,Закрытые!$B$5:$B$300,"T-*"))</f>
        <v/>
      </c>
      <c r="F299" s="240" t="str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 t="str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 t="str">
        <f>IF(F299="","",SUMIFS(Торговля!$K$5:$K$300,Торговля!$E$5:$E$300,$B299)+SUMIFS(Закрытые!$K$5:$K$300,Закрытые!$E$5:$E$300,$B299,Закрытые!$B$5:$B$300,"T-*"))</f>
        <v/>
      </c>
      <c r="I299" s="240" t="str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 t="str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 t="str">
        <f>IF(MIN(N(C299),N(F299))&lt;=0,"",ROUND(MIN(N(C299),N(F299))*(N(G299)-N(D299)),8))</f>
        <v/>
      </c>
      <c r="L299" s="177" t="str">
        <f>IF(MIN(N(C299),N(F299))&lt;=0,"",IF(N(D299)=0,"",ROUND((N(G299)/N(D299)-1)*100,2)))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 t="str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 t="str">
        <f>IF(C300="","",SUMIFS(Торговля!$H$5:$H$300,Торговля!$E$5:$E$300,$B300)+SUMIFS(Закрытые!$H$5:$H$300,Закрытые!$E$5:$E$300,$B300,Закрытые!$B$5:$B$300,"T-*"))</f>
        <v/>
      </c>
      <c r="F300" s="246" t="str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 t="str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 t="str">
        <f>IF(F300="","",SUMIFS(Торговля!$K$5:$K$300,Торговля!$E$5:$E$300,$B300)+SUMIFS(Закрытые!$K$5:$K$300,Закрытые!$E$5:$E$300,$B300,Закрытые!$B$5:$B$300,"T-*"))</f>
        <v/>
      </c>
      <c r="I300" s="246" t="str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 t="str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 t="str">
        <f>IF(MIN(N(C300),N(F300))&lt;=0,"",ROUND(MIN(N(C300),N(F300))*(N(G300)-N(D300)),8))</f>
        <v/>
      </c>
      <c r="L300" s="183" t="str">
        <f>IF(MIN(N(C300),N(F300))&lt;=0,"",IF(N(D300)=0,"",ROUND((N(G300)/N(D300)-1)*100,2)))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L-0005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L-0001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L-0004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L-0002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L-0007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L-0008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L-0009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L-0010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L-0011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L-0012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IF(AND(ISNUMBER(F16),ISNUMBER(G16),F16&gt;0,1-N(Ввод!$J$19)/100&gt;0),G16/(1-N(Ввод!$J$19)/100),IF(AND(ISNUMBER(I16),ISNUMBER(J16),I16&gt;0),J16/(1+N(Ввод!$J$19)/100),""))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IF(AND(ISNUMBER(F17),ISNUMBER(G17),F17&gt;0,1-N(Ввод!$J$19)/100&gt;0),G17/(1-N(Ввод!$J$19)/100),IF(AND(ISNUMBER(I17),ISNUMBER(J17),I17&gt;0),J17/(1+N(Ввод!$J$19)/100),""))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IF(AND(ISNUMBER(F18),ISNUMBER(G18),F18&gt;0,1-N(Ввод!$J$19)/100&gt;0),G18/(1-N(Ввод!$J$19)/100),IF(AND(ISNUMBER(I18),ISNUMBER(J18),I18&gt;0),J18/(1+N(Ввод!$J$19)/100),""))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IF(AND(ISNUMBER(F19),ISNUMBER(G19),F19&gt;0,1-N(Ввод!$J$19)/100&gt;0),G19/(1-N(Ввод!$J$19)/100),IF(AND(ISNUMBER(I19),ISNUMBER(J19),I19&gt;0),J19/(1+N(Ввод!$J$19)/100),""))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IF(AND(ISNUMBER(F20),ISNUMBER(G20),F20&gt;0,1-N(Ввод!$J$19)/100&gt;0),G20/(1-N(Ввод!$J$19)/100),IF(AND(ISNUMBER(I20),ISNUMBER(J20),I20&gt;0),J20/(1+N(Ввод!$J$19)/100),""))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IF(AND(ISNUMBER(F21),ISNUMBER(G21),F21&gt;0,1-N(Ввод!$J$19)/100&gt;0),G21/(1-N(Ввод!$J$19)/100),IF(AND(ISNUMBER(I21),ISNUMBER(J21),I21&gt;0),J21/(1+N(Ввод!$J$19)/100),""))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IF(AND(ISNUMBER(F22),ISNUMBER(G22),F22&gt;0,1-N(Ввод!$J$19)/100&gt;0),G22/(1-N(Ввод!$J$19)/100),IF(AND(ISNUMBER(I22),ISNUMBER(J22),I22&gt;0),J22/(1+N(Ввод!$J$19)/100),""))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IF(AND(ISNUMBER(F23),ISNUMBER(G23),F23&gt;0,1-N(Ввод!$J$19)/100&gt;0),G23/(1-N(Ввод!$J$19)/100),IF(AND(ISNUMBER(I23),ISNUMBER(J23),I23&gt;0),J23/(1+N(Ввод!$J$19)/100),""))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IF(AND(ISNUMBER(F24),ISNUMBER(G24),F24&gt;0,1-N(Ввод!$J$19)/100&gt;0),G24/(1-N(Ввод!$J$19)/100),IF(AND(ISNUMBER(I24),ISNUMBER(J24),I24&gt;0),J24/(1+N(Ввод!$J$19)/100),""))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IF(AND(ISNUMBER(F25),ISNUMBER(G25),F25&gt;0,1-N(Ввод!$J$19)/100&gt;0),G25/(1-N(Ввод!$J$19)/100),IF(AND(ISNUMBER(I25),ISNUMBER(J25),I25&gt;0),J25/(1+N(Ввод!$J$19)/100),""))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IF(AND(ISNUMBER(F26),ISNUMBER(G26),F26&gt;0,1-N(Ввод!$J$19)/100&gt;0),G26/(1-N(Ввод!$J$19)/100),IF(AND(ISNUMBER(I26),ISNUMBER(J26),I26&gt;0),J26/(1+N(Ввод!$J$19)/100),""))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IF(AND(ISNUMBER(F27),ISNUMBER(G27),F27&gt;0,1-N(Ввод!$J$19)/100&gt;0),G27/(1-N(Ввод!$J$19)/100),IF(AND(ISNUMBER(I27),ISNUMBER(J27),I27&gt;0),J27/(1+N(Ввод!$J$19)/100),""))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IF(AND(ISNUMBER(F28),ISNUMBER(G28),F28&gt;0,1-N(Ввод!$J$19)/100&gt;0),G28/(1-N(Ввод!$J$19)/100),IF(AND(ISNUMBER(I28),ISNUMBER(J28),I28&gt;0),J28/(1+N(Ввод!$J$19)/100),""))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IF(AND(ISNUMBER(F29),ISNUMBER(G29),F29&gt;0,1-N(Ввод!$J$19)/100&gt;0),G29/(1-N(Ввод!$J$19)/100),IF(AND(ISNUMBER(I29),ISNUMBER(J29),I29&gt;0),J29/(1+N(Ввод!$J$19)/100),""))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IF(AND(ISNUMBER(F30),ISNUMBER(G30),F30&gt;0,1-N(Ввод!$J$19)/100&gt;0),G30/(1-N(Ввод!$J$19)/100),IF(AND(ISNUMBER(I30),ISNUMBER(J30),I30&gt;0),J30/(1+N(Ввод!$J$19)/100),""))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IF(AND(ISNUMBER(F31),ISNUMBER(G31),F31&gt;0,1-N(Ввод!$J$19)/100&gt;0),G31/(1-N(Ввод!$J$19)/100),IF(AND(ISNUMBER(I31),ISNUMBER(J31),I31&gt;0),J31/(1+N(Ввод!$J$19)/100),""))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IF(AND(ISNUMBER(F32),ISNUMBER(G32),F32&gt;0,1-N(Ввод!$J$19)/100&gt;0),G32/(1-N(Ввод!$J$19)/100),IF(AND(ISNUMBER(I32),ISNUMBER(J32),I32&gt;0),J32/(1+N(Ввод!$J$19)/100),""))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IF(AND(ISNUMBER(F33),ISNUMBER(G33),F33&gt;0,1-N(Ввод!$J$19)/100&gt;0),G33/(1-N(Ввод!$J$19)/100),IF(AND(ISNUMBER(I33),ISNUMBER(J33),I33&gt;0),J33/(1+N(Ввод!$J$19)/100),""))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IF(AND(ISNUMBER(F34),ISNUMBER(G34),F34&gt;0,1-N(Ввод!$J$19)/100&gt;0),G34/(1-N(Ввод!$J$19)/100),IF(AND(ISNUMBER(I34),ISNUMBER(J34),I34&gt;0),J34/(1+N(Ввод!$J$19)/100),""))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IF(AND(ISNUMBER(F35),ISNUMBER(G35),F35&gt;0,1-N(Ввод!$J$19)/100&gt;0),G35/(1-N(Ввод!$J$19)/100),IF(AND(ISNUMBER(I35),ISNUMBER(J35),I35&gt;0),J35/(1+N(Ввод!$J$19)/100),""))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IF(AND(ISNUMBER(F36),ISNUMBER(G36),F36&gt;0,1-N(Ввод!$J$19)/100&gt;0),G36/(1-N(Ввод!$J$19)/100),IF(AND(ISNUMBER(I36),ISNUMBER(J36),I36&gt;0),J36/(1+N(Ввод!$J$19)/100),""))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IF(AND(ISNUMBER(F37),ISNUMBER(G37),F37&gt;0,1-N(Ввод!$J$19)/100&gt;0),G37/(1-N(Ввод!$J$19)/100),IF(AND(ISNUMBER(I37),ISNUMBER(J37),I37&gt;0),J37/(1+N(Ввод!$J$19)/100),""))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IF(AND(ISNUMBER(F38),ISNUMBER(G38),F38&gt;0,1-N(Ввод!$J$19)/100&gt;0),G38/(1-N(Ввод!$J$19)/100),IF(AND(ISNUMBER(I38),ISNUMBER(J38),I38&gt;0),J38/(1+N(Ввод!$J$19)/100),""))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IF(AND(ISNUMBER(F39),ISNUMBER(G39),F39&gt;0,1-N(Ввод!$J$19)/100&gt;0),G39/(1-N(Ввод!$J$19)/100),IF(AND(ISNUMBER(I39),ISNUMBER(J39),I39&gt;0),J39/(1+N(Ввод!$J$19)/100),""))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IF(AND(ISNUMBER(F40),ISNUMBER(G40),F40&gt;0,1-N(Ввод!$J$19)/100&gt;0),G40/(1-N(Ввод!$J$19)/100),IF(AND(ISNUMBER(I40),ISNUMBER(J40),I40&gt;0),J40/(1+N(Ввод!$J$19)/100),""))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IF(AND(ISNUMBER(F41),ISNUMBER(G41),F41&gt;0,1-N(Ввод!$J$19)/100&gt;0),G41/(1-N(Ввод!$J$19)/100),IF(AND(ISNUMBER(I41),ISNUMBER(J41),I41&gt;0),J41/(1+N(Ввод!$J$19)/100),""))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IF(AND(ISNUMBER(F42),ISNUMBER(G42),F42&gt;0,1-N(Ввод!$J$19)/100&gt;0),G42/(1-N(Ввод!$J$19)/100),IF(AND(ISNUMBER(I42),ISNUMBER(J42),I42&gt;0),J42/(1+N(Ввод!$J$19)/100),""))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IF(AND(ISNUMBER(F43),ISNUMBER(G43),F43&gt;0,1-N(Ввод!$J$19)/100&gt;0),G43/(1-N(Ввод!$J$19)/100),IF(AND(ISNUMBER(I43),ISNUMBER(J43),I43&gt;0),J43/(1+N(Ввод!$J$19)/100),""))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IF(AND(ISNUMBER(F44),ISNUMBER(G44),F44&gt;0,1-N(Ввод!$J$19)/100&gt;0),G44/(1-N(Ввод!$J$19)/100),IF(AND(ISNUMBER(I44),ISNUMBER(J44),I44&gt;0),J44/(1+N(Ввод!$J$19)/100),""))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IF(AND(ISNUMBER(F45),ISNUMBER(G45),F45&gt;0,1-N(Ввод!$J$19)/100&gt;0),G45/(1-N(Ввод!$J$19)/100),IF(AND(ISNUMBER(I45),ISNUMBER(J45),I45&gt;0),J45/(1+N(Ввод!$J$19)/100),""))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IF(AND(ISNUMBER(F46),ISNUMBER(G46),F46&gt;0,1-N(Ввод!$J$19)/100&gt;0),G46/(1-N(Ввод!$J$19)/100),IF(AND(ISNUMBER(I46),ISNUMBER(J46),I46&gt;0),J46/(1+N(Ввод!$J$19)/100),""))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IF(AND(ISNUMBER(F47),ISNUMBER(G47),F47&gt;0,1-N(Ввод!$J$19)/100&gt;0),G47/(1-N(Ввод!$J$19)/100),IF(AND(ISNUMBER(I47),ISNUMBER(J47),I47&gt;0),J47/(1+N(Ввод!$J$19)/100),""))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IF(AND(ISNUMBER(F48),ISNUMBER(G48),F48&gt;0,1-N(Ввод!$J$19)/100&gt;0),G48/(1-N(Ввод!$J$19)/100),IF(AND(ISNUMBER(I48),ISNUMBER(J48),I48&gt;0),J48/(1+N(Ввод!$J$19)/100),""))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IF(AND(ISNUMBER(F49),ISNUMBER(G49),F49&gt;0,1-N(Ввод!$J$19)/100&gt;0),G49/(1-N(Ввод!$J$19)/100),IF(AND(ISNUMBER(I49),ISNUMBER(J49),I49&gt;0),J49/(1+N(Ввод!$J$19)/100),""))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IF(AND(ISNUMBER(F50),ISNUMBER(G50),F50&gt;0,1-N(Ввод!$J$19)/100&gt;0),G50/(1-N(Ввод!$J$19)/100),IF(AND(ISNUMBER(I50),ISNUMBER(J50),I50&gt;0),J50/(1+N(Ввод!$J$19)/100),""))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IF(AND(ISNUMBER(F51),ISNUMBER(G51),F51&gt;0,1-N(Ввод!$J$19)/100&gt;0),G51/(1-N(Ввод!$J$19)/100),IF(AND(ISNUMBER(I51),ISNUMBER(J51),I51&gt;0),J51/(1+N(Ввод!$J$19)/100),""))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IF(AND(ISNUMBER(F52),ISNUMBER(G52),F52&gt;0,1-N(Ввод!$J$19)/100&gt;0),G52/(1-N(Ввод!$J$19)/100),IF(AND(ISNUMBER(I52),ISNUMBER(J52),I52&gt;0),J52/(1+N(Ввод!$J$19)/100),""))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IF(AND(ISNUMBER(F53),ISNUMBER(G53),F53&gt;0,1-N(Ввод!$J$19)/100&gt;0),G53/(1-N(Ввод!$J$19)/100),IF(AND(ISNUMBER(I53),ISNUMBER(J53),I53&gt;0),J53/(1+N(Ввод!$J$19)/100),""))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IF(AND(ISNUMBER(F54),ISNUMBER(G54),F54&gt;0,1-N(Ввод!$J$19)/100&gt;0),G54/(1-N(Ввод!$J$19)/100),IF(AND(ISNUMBER(I54),ISNUMBER(J54),I54&gt;0),J54/(1+N(Ввод!$J$19)/100),""))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IF(AND(ISNUMBER(F55),ISNUMBER(G55),F55&gt;0,1-N(Ввод!$J$19)/100&gt;0),G55/(1-N(Ввод!$J$19)/100),IF(AND(ISNUMBER(I55),ISNUMBER(J55),I55&gt;0),J55/(1+N(Ввод!$J$19)/100),""))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IF(AND(ISNUMBER(F56),ISNUMBER(G56),F56&gt;0,1-N(Ввод!$J$19)/100&gt;0),G56/(1-N(Ввод!$J$19)/100),IF(AND(ISNUMBER(I56),ISNUMBER(J56),I56&gt;0),J56/(1+N(Ввод!$J$19)/100),""))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IF(AND(ISNUMBER(F57),ISNUMBER(G57),F57&gt;0,1-N(Ввод!$J$19)/100&gt;0),G57/(1-N(Ввод!$J$19)/100),IF(AND(ISNUMBER(I57),ISNUMBER(J57),I57&gt;0),J57/(1+N(Ввод!$J$19)/100),""))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IF(AND(ISNUMBER(F58),ISNUMBER(G58),F58&gt;0,1-N(Ввод!$J$19)/100&gt;0),G58/(1-N(Ввод!$J$19)/100),IF(AND(ISNUMBER(I58),ISNUMBER(J58),I58&gt;0),J58/(1+N(Ввод!$J$19)/100),""))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IF(AND(ISNUMBER(F59),ISNUMBER(G59),F59&gt;0,1-N(Ввод!$J$19)/100&gt;0),G59/(1-N(Ввод!$J$19)/100),IF(AND(ISNUMBER(I59),ISNUMBER(J59),I59&gt;0),J59/(1+N(Ввод!$J$19)/100),""))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IF(AND(ISNUMBER(F60),ISNUMBER(G60),F60&gt;0,1-N(Ввод!$J$19)/100&gt;0),G60/(1-N(Ввод!$J$19)/100),IF(AND(ISNUMBER(I60),ISNUMBER(J60),I60&gt;0),J60/(1+N(Ввод!$J$19)/100),""))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IF(AND(ISNUMBER(F61),ISNUMBER(G61),F61&gt;0,1-N(Ввод!$J$19)/100&gt;0),G61/(1-N(Ввод!$J$19)/100),IF(AND(ISNUMBER(I61),ISNUMBER(J61),I61&gt;0),J61/(1+N(Ввод!$J$19)/100),""))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IF(AND(ISNUMBER(F62),ISNUMBER(G62),F62&gt;0,1-N(Ввод!$J$19)/100&gt;0),G62/(1-N(Ввод!$J$19)/100),IF(AND(ISNUMBER(I62),ISNUMBER(J62),I62&gt;0),J62/(1+N(Ввод!$J$19)/100),""))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IF(AND(ISNUMBER(F63),ISNUMBER(G63),F63&gt;0,1-N(Ввод!$J$19)/100&gt;0),G63/(1-N(Ввод!$J$19)/100),IF(AND(ISNUMBER(I63),ISNUMBER(J63),I63&gt;0),J63/(1+N(Ввод!$J$19)/100),""))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IF(AND(ISNUMBER(F64),ISNUMBER(G64),F64&gt;0,1-N(Ввод!$J$19)/100&gt;0),G64/(1-N(Ввод!$J$19)/100),IF(AND(ISNUMBER(I64),ISNUMBER(J64),I64&gt;0),J64/(1+N(Ввод!$J$19)/100),""))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IF(AND(ISNUMBER(F65),ISNUMBER(G65),F65&gt;0,1-N(Ввод!$J$19)/100&gt;0),G65/(1-N(Ввод!$J$19)/100),IF(AND(ISNUMBER(I65),ISNUMBER(J65),I65&gt;0),J65/(1+N(Ввод!$J$19)/100),""))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IF(AND(ISNUMBER(F66),ISNUMBER(G66),F66&gt;0,1-N(Ввод!$J$19)/100&gt;0),G66/(1-N(Ввод!$J$19)/100),IF(AND(ISNUMBER(I66),ISNUMBER(J66),I66&gt;0),J66/(1+N(Ввод!$J$19)/100),""))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IF(AND(ISNUMBER(F67),ISNUMBER(G67),F67&gt;0,1-N(Ввод!$J$19)/100&gt;0),G67/(1-N(Ввод!$J$19)/100),IF(AND(ISNUMBER(I67),ISNUMBER(J67),I67&gt;0),J67/(1+N(Ввод!$J$19)/100),""))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IF(AND(ISNUMBER(F68),ISNUMBER(G68),F68&gt;0,1-N(Ввод!$J$19)/100&gt;0),G68/(1-N(Ввод!$J$19)/100),IF(AND(ISNUMBER(I68),ISNUMBER(J68),I68&gt;0),J68/(1+N(Ввод!$J$19)/100),""))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IF(AND(ISNUMBER(F69),ISNUMBER(G69),F69&gt;0,1-N(Ввод!$J$19)/100&gt;0),G69/(1-N(Ввод!$J$19)/100),IF(AND(ISNUMBER(I69),ISNUMBER(J69),I69&gt;0),J69/(1+N(Ввод!$J$19)/100),""))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IF(AND(ISNUMBER(F70),ISNUMBER(G70),F70&gt;0,1-N(Ввод!$J$19)/100&gt;0),G70/(1-N(Ввод!$J$19)/100),IF(AND(ISNUMBER(I70),ISNUMBER(J70),I70&gt;0),J70/(1+N(Ввод!$J$19)/100),""))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IF(AND(ISNUMBER(F71),ISNUMBER(G71),F71&gt;0,1-N(Ввод!$J$19)/100&gt;0),G71/(1-N(Ввод!$J$19)/100),IF(AND(ISNUMBER(I71),ISNUMBER(J71),I71&gt;0),J71/(1+N(Ввод!$J$19)/100),""))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IF(AND(ISNUMBER(F72),ISNUMBER(G72),F72&gt;0,1-N(Ввод!$J$19)/100&gt;0),G72/(1-N(Ввод!$J$19)/100),IF(AND(ISNUMBER(I72),ISNUMBER(J72),I72&gt;0),J72/(1+N(Ввод!$J$19)/100),""))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IF(AND(ISNUMBER(F73),ISNUMBER(G73),F73&gt;0,1-N(Ввод!$J$19)/100&gt;0),G73/(1-N(Ввод!$J$19)/100),IF(AND(ISNUMBER(I73),ISNUMBER(J73),I73&gt;0),J73/(1+N(Ввод!$J$19)/100),""))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IF(AND(ISNUMBER(F74),ISNUMBER(G74),F74&gt;0,1-N(Ввод!$J$19)/100&gt;0),G74/(1-N(Ввод!$J$19)/100),IF(AND(ISNUMBER(I74),ISNUMBER(J74),I74&gt;0),J74/(1+N(Ввод!$J$19)/100),""))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IF(AND(ISNUMBER(F75),ISNUMBER(G75),F75&gt;0,1-N(Ввод!$J$19)/100&gt;0),G75/(1-N(Ввод!$J$19)/100),IF(AND(ISNUMBER(I75),ISNUMBER(J75),I75&gt;0),J75/(1+N(Ввод!$J$19)/100),""))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IF(AND(ISNUMBER(F76),ISNUMBER(G76),F76&gt;0,1-N(Ввод!$J$19)/100&gt;0),G76/(1-N(Ввод!$J$19)/100),IF(AND(ISNUMBER(I76),ISNUMBER(J76),I76&gt;0),J76/(1+N(Ввод!$J$19)/100),""))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IF(AND(ISNUMBER(F77),ISNUMBER(G77),F77&gt;0,1-N(Ввод!$J$19)/100&gt;0),G77/(1-N(Ввод!$J$19)/100),IF(AND(ISNUMBER(I77),ISNUMBER(J77),I77&gt;0),J77/(1+N(Ввод!$J$19)/100),""))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IF(AND(ISNUMBER(F78),ISNUMBER(G78),F78&gt;0,1-N(Ввод!$J$19)/100&gt;0),G78/(1-N(Ввод!$J$19)/100),IF(AND(ISNUMBER(I78),ISNUMBER(J78),I78&gt;0),J78/(1+N(Ввод!$J$19)/100),""))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IF(AND(ISNUMBER(F79),ISNUMBER(G79),F79&gt;0,1-N(Ввод!$J$19)/100&gt;0),G79/(1-N(Ввод!$J$19)/100),IF(AND(ISNUMBER(I79),ISNUMBER(J79),I79&gt;0),J79/(1+N(Ввод!$J$19)/100),""))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IF(AND(ISNUMBER(F80),ISNUMBER(G80),F80&gt;0,1-N(Ввод!$J$19)/100&gt;0),G80/(1-N(Ввод!$J$19)/100),IF(AND(ISNUMBER(I80),ISNUMBER(J80),I80&gt;0),J80/(1+N(Ввод!$J$19)/100),""))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IF(AND(ISNUMBER(F81),ISNUMBER(G81),F81&gt;0,1-N(Ввод!$J$19)/100&gt;0),G81/(1-N(Ввод!$J$19)/100),IF(AND(ISNUMBER(I81),ISNUMBER(J81),I81&gt;0),J81/(1+N(Ввод!$J$19)/100),""))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IF(AND(ISNUMBER(F82),ISNUMBER(G82),F82&gt;0,1-N(Ввод!$J$19)/100&gt;0),G82/(1-N(Ввод!$J$19)/100),IF(AND(ISNUMBER(I82),ISNUMBER(J82),I82&gt;0),J82/(1+N(Ввод!$J$19)/100),""))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IF(AND(ISNUMBER(F83),ISNUMBER(G83),F83&gt;0,1-N(Ввод!$J$19)/100&gt;0),G83/(1-N(Ввод!$J$19)/100),IF(AND(ISNUMBER(I83),ISNUMBER(J83),I83&gt;0),J83/(1+N(Ввод!$J$19)/100),""))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IF(AND(ISNUMBER(F84),ISNUMBER(G84),F84&gt;0,1-N(Ввод!$J$19)/100&gt;0),G84/(1-N(Ввод!$J$19)/100),IF(AND(ISNUMBER(I84),ISNUMBER(J84),I84&gt;0),J84/(1+N(Ввод!$J$19)/100),""))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IF(AND(ISNUMBER(F85),ISNUMBER(G85),F85&gt;0,1-N(Ввод!$J$19)/100&gt;0),G85/(1-N(Ввод!$J$19)/100),IF(AND(ISNUMBER(I85),ISNUMBER(J85),I85&gt;0),J85/(1+N(Ввод!$J$19)/100),""))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IF(AND(ISNUMBER(F86),ISNUMBER(G86),F86&gt;0,1-N(Ввод!$J$19)/100&gt;0),G86/(1-N(Ввод!$J$19)/100),IF(AND(ISNUMBER(I86),ISNUMBER(J86),I86&gt;0),J86/(1+N(Ввод!$J$19)/100),""))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IF(AND(ISNUMBER(F87),ISNUMBER(G87),F87&gt;0,1-N(Ввод!$J$19)/100&gt;0),G87/(1-N(Ввод!$J$19)/100),IF(AND(ISNUMBER(I87),ISNUMBER(J87),I87&gt;0),J87/(1+N(Ввод!$J$19)/100),""))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IF(AND(ISNUMBER(F88),ISNUMBER(G88),F88&gt;0,1-N(Ввод!$J$19)/100&gt;0),G88/(1-N(Ввод!$J$19)/100),IF(AND(ISNUMBER(I88),ISNUMBER(J88),I88&gt;0),J88/(1+N(Ввод!$J$19)/100),""))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IF(AND(ISNUMBER(F89),ISNUMBER(G89),F89&gt;0,1-N(Ввод!$J$19)/100&gt;0),G89/(1-N(Ввод!$J$19)/100),IF(AND(ISNUMBER(I89),ISNUMBER(J89),I89&gt;0),J89/(1+N(Ввод!$J$19)/100),""))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IF(AND(ISNUMBER(F90),ISNUMBER(G90),F90&gt;0,1-N(Ввод!$J$19)/100&gt;0),G90/(1-N(Ввод!$J$19)/100),IF(AND(ISNUMBER(I90),ISNUMBER(J90),I90&gt;0),J90/(1+N(Ввод!$J$19)/100),""))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IF(AND(ISNUMBER(F91),ISNUMBER(G91),F91&gt;0,1-N(Ввод!$J$19)/100&gt;0),G91/(1-N(Ввод!$J$19)/100),IF(AND(ISNUMBER(I91),ISNUMBER(J91),I91&gt;0),J91/(1+N(Ввод!$J$19)/100),""))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IF(AND(ISNUMBER(F92),ISNUMBER(G92),F92&gt;0,1-N(Ввод!$J$19)/100&gt;0),G92/(1-N(Ввод!$J$19)/100),IF(AND(ISNUMBER(I92),ISNUMBER(J92),I92&gt;0),J92/(1+N(Ввод!$J$19)/100),""))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IF(AND(ISNUMBER(F93),ISNUMBER(G93),F93&gt;0,1-N(Ввод!$J$19)/100&gt;0),G93/(1-N(Ввод!$J$19)/100),IF(AND(ISNUMBER(I93),ISNUMBER(J93),I93&gt;0),J93/(1+N(Ввод!$J$19)/100),""))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IF(AND(ISNUMBER(F94),ISNUMBER(G94),F94&gt;0,1-N(Ввод!$J$19)/100&gt;0),G94/(1-N(Ввод!$J$19)/100),IF(AND(ISNUMBER(I94),ISNUMBER(J94),I94&gt;0),J94/(1+N(Ввод!$J$19)/100),""))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IF(AND(ISNUMBER(F95),ISNUMBER(G95),F95&gt;0,1-N(Ввод!$J$19)/100&gt;0),G95/(1-N(Ввод!$J$19)/100),IF(AND(ISNUMBER(I95),ISNUMBER(J95),I95&gt;0),J95/(1+N(Ввод!$J$19)/100),""))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IF(AND(ISNUMBER(F96),ISNUMBER(G96),F96&gt;0,1-N(Ввод!$J$19)/100&gt;0),G96/(1-N(Ввод!$J$19)/100),IF(AND(ISNUMBER(I96),ISNUMBER(J96),I96&gt;0),J96/(1+N(Ввод!$J$19)/100),""))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IF(AND(ISNUMBER(F97),ISNUMBER(G97),F97&gt;0,1-N(Ввод!$J$19)/100&gt;0),G97/(1-N(Ввод!$J$19)/100),IF(AND(ISNUMBER(I97),ISNUMBER(J97),I97&gt;0),J97/(1+N(Ввод!$J$19)/100),""))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IF(AND(ISNUMBER(F98),ISNUMBER(G98),F98&gt;0,1-N(Ввод!$J$19)/100&gt;0),G98/(1-N(Ввод!$J$19)/100),IF(AND(ISNUMBER(I98),ISNUMBER(J98),I98&gt;0),J98/(1+N(Ввод!$J$19)/100),""))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IF(AND(ISNUMBER(F99),ISNUMBER(G99),F99&gt;0,1-N(Ввод!$J$19)/100&gt;0),G99/(1-N(Ввод!$J$19)/100),IF(AND(ISNUMBER(I99),ISNUMBER(J99),I99&gt;0),J99/(1+N(Ввод!$J$19)/100),""))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IF(AND(ISNUMBER(F100),ISNUMBER(G100),F100&gt;0,1-N(Ввод!$J$19)/100&gt;0),G100/(1-N(Ввод!$J$19)/100),IF(AND(ISNUMBER(I100),ISNUMBER(J100),I100&gt;0),J100/(1+N(Ввод!$J$19)/100),""))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IF(AND(ISNUMBER(F101),ISNUMBER(G101),F101&gt;0,1-N(Ввод!$J$19)/100&gt;0),G101/(1-N(Ввод!$J$19)/100),IF(AND(ISNUMBER(I101),ISNUMBER(J101),I101&gt;0),J101/(1+N(Ввод!$J$19)/100),""))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IF(AND(ISNUMBER(F102),ISNUMBER(G102),F102&gt;0,1-N(Ввод!$J$19)/100&gt;0),G102/(1-N(Ввод!$J$19)/100),IF(AND(ISNUMBER(I102),ISNUMBER(J102),I102&gt;0),J102/(1+N(Ввод!$J$19)/100),""))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IF(AND(ISNUMBER(F103),ISNUMBER(G103),F103&gt;0,1-N(Ввод!$J$19)/100&gt;0),G103/(1-N(Ввод!$J$19)/100),IF(AND(ISNUMBER(I103),ISNUMBER(J103),I103&gt;0),J103/(1+N(Ввод!$J$19)/100),""))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IF(AND(ISNUMBER(F104),ISNUMBER(G104),F104&gt;0,1-N(Ввод!$J$19)/100&gt;0),G104/(1-N(Ввод!$J$19)/100),IF(AND(ISNUMBER(I104),ISNUMBER(J104),I104&gt;0),J104/(1+N(Ввод!$J$19)/100),""))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IF(AND(ISNUMBER(F105),ISNUMBER(G105),F105&gt;0,1-N(Ввод!$J$19)/100&gt;0),G105/(1-N(Ввод!$J$19)/100),IF(AND(ISNUMBER(I105),ISNUMBER(J105),I105&gt;0),J105/(1+N(Ввод!$J$19)/100),""))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IF(AND(ISNUMBER(F106),ISNUMBER(G106),F106&gt;0,1-N(Ввод!$J$19)/100&gt;0),G106/(1-N(Ввод!$J$19)/100),IF(AND(ISNUMBER(I106),ISNUMBER(J106),I106&gt;0),J106/(1+N(Ввод!$J$19)/100),""))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IF(AND(ISNUMBER(F107),ISNUMBER(G107),F107&gt;0,1-N(Ввод!$J$19)/100&gt;0),G107/(1-N(Ввод!$J$19)/100),IF(AND(ISNUMBER(I107),ISNUMBER(J107),I107&gt;0),J107/(1+N(Ввод!$J$19)/100),""))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IF(AND(ISNUMBER(F108),ISNUMBER(G108),F108&gt;0,1-N(Ввод!$J$19)/100&gt;0),G108/(1-N(Ввод!$J$19)/100),IF(AND(ISNUMBER(I108),ISNUMBER(J108),I108&gt;0),J108/(1+N(Ввод!$J$19)/100),""))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IF(AND(ISNUMBER(F109),ISNUMBER(G109),F109&gt;0,1-N(Ввод!$J$19)/100&gt;0),G109/(1-N(Ввод!$J$19)/100),IF(AND(ISNUMBER(I109),ISNUMBER(J109),I109&gt;0),J109/(1+N(Ввод!$J$19)/100),""))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IF(AND(ISNUMBER(F110),ISNUMBER(G110),F110&gt;0,1-N(Ввод!$J$19)/100&gt;0),G110/(1-N(Ввод!$J$19)/100),IF(AND(ISNUMBER(I110),ISNUMBER(J110),I110&gt;0),J110/(1+N(Ввод!$J$19)/100),""))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IF(AND(ISNUMBER(F111),ISNUMBER(G111),F111&gt;0,1-N(Ввод!$J$19)/100&gt;0),G111/(1-N(Ввод!$J$19)/100),IF(AND(ISNUMBER(I111),ISNUMBER(J111),I111&gt;0),J111/(1+N(Ввод!$J$19)/100),""))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IF(AND(ISNUMBER(F112),ISNUMBER(G112),F112&gt;0,1-N(Ввод!$J$19)/100&gt;0),G112/(1-N(Ввод!$J$19)/100),IF(AND(ISNUMBER(I112),ISNUMBER(J112),I112&gt;0),J112/(1+N(Ввод!$J$19)/100),""))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IF(AND(ISNUMBER(F113),ISNUMBER(G113),F113&gt;0,1-N(Ввод!$J$19)/100&gt;0),G113/(1-N(Ввод!$J$19)/100),IF(AND(ISNUMBER(I113),ISNUMBER(J113),I113&gt;0),J113/(1+N(Ввод!$J$19)/100),""))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IF(AND(ISNUMBER(F114),ISNUMBER(G114),F114&gt;0,1-N(Ввод!$J$19)/100&gt;0),G114/(1-N(Ввод!$J$19)/100),IF(AND(ISNUMBER(I114),ISNUMBER(J114),I114&gt;0),J114/(1+N(Ввод!$J$19)/100),""))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IF(AND(ISNUMBER(F115),ISNUMBER(G115),F115&gt;0,1-N(Ввод!$J$19)/100&gt;0),G115/(1-N(Ввод!$J$19)/100),IF(AND(ISNUMBER(I115),ISNUMBER(J115),I115&gt;0),J115/(1+N(Ввод!$J$19)/100),""))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IF(AND(ISNUMBER(F116),ISNUMBER(G116),F116&gt;0,1-N(Ввод!$J$19)/100&gt;0),G116/(1-N(Ввод!$J$19)/100),IF(AND(ISNUMBER(I116),ISNUMBER(J116),I116&gt;0),J116/(1+N(Ввод!$J$19)/100),""))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IF(AND(ISNUMBER(F117),ISNUMBER(G117),F117&gt;0,1-N(Ввод!$J$19)/100&gt;0),G117/(1-N(Ввод!$J$19)/100),IF(AND(ISNUMBER(I117),ISNUMBER(J117),I117&gt;0),J117/(1+N(Ввод!$J$19)/100),""))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IF(AND(ISNUMBER(F118),ISNUMBER(G118),F118&gt;0,1-N(Ввод!$J$19)/100&gt;0),G118/(1-N(Ввод!$J$19)/100),IF(AND(ISNUMBER(I118),ISNUMBER(J118),I118&gt;0),J118/(1+N(Ввод!$J$19)/100),""))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IF(AND(ISNUMBER(F119),ISNUMBER(G119),F119&gt;0,1-N(Ввод!$J$19)/100&gt;0),G119/(1-N(Ввод!$J$19)/100),IF(AND(ISNUMBER(I119),ISNUMBER(J119),I119&gt;0),J119/(1+N(Ввод!$J$19)/100),""))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IF(AND(ISNUMBER(F120),ISNUMBER(G120),F120&gt;0,1-N(Ввод!$J$19)/100&gt;0),G120/(1-N(Ввод!$J$19)/100),IF(AND(ISNUMBER(I120),ISNUMBER(J120),I120&gt;0),J120/(1+N(Ввод!$J$19)/100),""))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IF(AND(ISNUMBER(F121),ISNUMBER(G121),F121&gt;0,1-N(Ввод!$J$19)/100&gt;0),G121/(1-N(Ввод!$J$19)/100),IF(AND(ISNUMBER(I121),ISNUMBER(J121),I121&gt;0),J121/(1+N(Ввод!$J$19)/100),""))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IF(AND(ISNUMBER(F122),ISNUMBER(G122),F122&gt;0,1-N(Ввод!$J$19)/100&gt;0),G122/(1-N(Ввод!$J$19)/100),IF(AND(ISNUMBER(I122),ISNUMBER(J122),I122&gt;0),J122/(1+N(Ввод!$J$19)/100),""))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IF(AND(ISNUMBER(F123),ISNUMBER(G123),F123&gt;0,1-N(Ввод!$J$19)/100&gt;0),G123/(1-N(Ввод!$J$19)/100),IF(AND(ISNUMBER(I123),ISNUMBER(J123),I123&gt;0),J123/(1+N(Ввод!$J$19)/100),""))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IF(AND(ISNUMBER(F124),ISNUMBER(G124),F124&gt;0,1-N(Ввод!$J$19)/100&gt;0),G124/(1-N(Ввод!$J$19)/100),IF(AND(ISNUMBER(I124),ISNUMBER(J124),I124&gt;0),J124/(1+N(Ввод!$J$19)/100),""))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IF(AND(ISNUMBER(F125),ISNUMBER(G125),F125&gt;0,1-N(Ввод!$J$19)/100&gt;0),G125/(1-N(Ввод!$J$19)/100),IF(AND(ISNUMBER(I125),ISNUMBER(J125),I125&gt;0),J125/(1+N(Ввод!$J$19)/100),""))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IF(AND(ISNUMBER(F126),ISNUMBER(G126),F126&gt;0,1-N(Ввод!$J$19)/100&gt;0),G126/(1-N(Ввод!$J$19)/100),IF(AND(ISNUMBER(I126),ISNUMBER(J126),I126&gt;0),J126/(1+N(Ввод!$J$19)/100),""))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IF(AND(ISNUMBER(F127),ISNUMBER(G127),F127&gt;0,1-N(Ввод!$J$19)/100&gt;0),G127/(1-N(Ввод!$J$19)/100),IF(AND(ISNUMBER(I127),ISNUMBER(J127),I127&gt;0),J127/(1+N(Ввод!$J$19)/100),""))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IF(AND(ISNUMBER(F128),ISNUMBER(G128),F128&gt;0,1-N(Ввод!$J$19)/100&gt;0),G128/(1-N(Ввод!$J$19)/100),IF(AND(ISNUMBER(I128),ISNUMBER(J128),I128&gt;0),J128/(1+N(Ввод!$J$19)/100),""))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IF(AND(ISNUMBER(F129),ISNUMBER(G129),F129&gt;0,1-N(Ввод!$J$19)/100&gt;0),G129/(1-N(Ввод!$J$19)/100),IF(AND(ISNUMBER(I129),ISNUMBER(J129),I129&gt;0),J129/(1+N(Ввод!$J$19)/100),""))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IF(AND(ISNUMBER(F130),ISNUMBER(G130),F130&gt;0,1-N(Ввод!$J$19)/100&gt;0),G130/(1-N(Ввод!$J$19)/100),IF(AND(ISNUMBER(I130),ISNUMBER(J130),I130&gt;0),J130/(1+N(Ввод!$J$19)/100),""))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IF(AND(ISNUMBER(F131),ISNUMBER(G131),F131&gt;0,1-N(Ввод!$J$19)/100&gt;0),G131/(1-N(Ввод!$J$19)/100),IF(AND(ISNUMBER(I131),ISNUMBER(J131),I131&gt;0),J131/(1+N(Ввод!$J$19)/100),""))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IF(AND(ISNUMBER(F132),ISNUMBER(G132),F132&gt;0,1-N(Ввод!$J$19)/100&gt;0),G132/(1-N(Ввод!$J$19)/100),IF(AND(ISNUMBER(I132),ISNUMBER(J132),I132&gt;0),J132/(1+N(Ввод!$J$19)/100),""))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IF(AND(ISNUMBER(F133),ISNUMBER(G133),F133&gt;0,1-N(Ввод!$J$19)/100&gt;0),G133/(1-N(Ввод!$J$19)/100),IF(AND(ISNUMBER(I133),ISNUMBER(J133),I133&gt;0),J133/(1+N(Ввод!$J$19)/100),""))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IF(AND(ISNUMBER(F134),ISNUMBER(G134),F134&gt;0,1-N(Ввод!$J$19)/100&gt;0),G134/(1-N(Ввод!$J$19)/100),IF(AND(ISNUMBER(I134),ISNUMBER(J134),I134&gt;0),J134/(1+N(Ввод!$J$19)/100),""))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IF(AND(ISNUMBER(F135),ISNUMBER(G135),F135&gt;0,1-N(Ввод!$J$19)/100&gt;0),G135/(1-N(Ввод!$J$19)/100),IF(AND(ISNUMBER(I135),ISNUMBER(J135),I135&gt;0),J135/(1+N(Ввод!$J$19)/100),""))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IF(AND(ISNUMBER(F136),ISNUMBER(G136),F136&gt;0,1-N(Ввод!$J$19)/100&gt;0),G136/(1-N(Ввод!$J$19)/100),IF(AND(ISNUMBER(I136),ISNUMBER(J136),I136&gt;0),J136/(1+N(Ввод!$J$19)/100),""))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IF(AND(ISNUMBER(F137),ISNUMBER(G137),F137&gt;0,1-N(Ввод!$J$19)/100&gt;0),G137/(1-N(Ввод!$J$19)/100),IF(AND(ISNUMBER(I137),ISNUMBER(J137),I137&gt;0),J137/(1+N(Ввод!$J$19)/100),""))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IF(AND(ISNUMBER(F138),ISNUMBER(G138),F138&gt;0,1-N(Ввод!$J$19)/100&gt;0),G138/(1-N(Ввод!$J$19)/100),IF(AND(ISNUMBER(I138),ISNUMBER(J138),I138&gt;0),J138/(1+N(Ввод!$J$19)/100),""))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IF(AND(ISNUMBER(F139),ISNUMBER(G139),F139&gt;0,1-N(Ввод!$J$19)/100&gt;0),G139/(1-N(Ввод!$J$19)/100),IF(AND(ISNUMBER(I139),ISNUMBER(J139),I139&gt;0),J139/(1+N(Ввод!$J$19)/100),""))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IF(AND(ISNUMBER(F140),ISNUMBER(G140),F140&gt;0,1-N(Ввод!$J$19)/100&gt;0),G140/(1-N(Ввод!$J$19)/100),IF(AND(ISNUMBER(I140),ISNUMBER(J140),I140&gt;0),J140/(1+N(Ввод!$J$19)/100),""))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IF(AND(ISNUMBER(F141),ISNUMBER(G141),F141&gt;0,1-N(Ввод!$J$19)/100&gt;0),G141/(1-N(Ввод!$J$19)/100),IF(AND(ISNUMBER(I141),ISNUMBER(J141),I141&gt;0),J141/(1+N(Ввод!$J$19)/100),""))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IF(AND(ISNUMBER(F142),ISNUMBER(G142),F142&gt;0,1-N(Ввод!$J$19)/100&gt;0),G142/(1-N(Ввод!$J$19)/100),IF(AND(ISNUMBER(I142),ISNUMBER(J142),I142&gt;0),J142/(1+N(Ввод!$J$19)/100),""))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IF(AND(ISNUMBER(F143),ISNUMBER(G143),F143&gt;0,1-N(Ввод!$J$19)/100&gt;0),G143/(1-N(Ввод!$J$19)/100),IF(AND(ISNUMBER(I143),ISNUMBER(J143),I143&gt;0),J143/(1+N(Ввод!$J$19)/100),""))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IF(AND(ISNUMBER(F144),ISNUMBER(G144),F144&gt;0,1-N(Ввод!$J$19)/100&gt;0),G144/(1-N(Ввод!$J$19)/100),IF(AND(ISNUMBER(I144),ISNUMBER(J144),I144&gt;0),J144/(1+N(Ввод!$J$19)/100),""))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IF(AND(ISNUMBER(F145),ISNUMBER(G145),F145&gt;0,1-N(Ввод!$J$19)/100&gt;0),G145/(1-N(Ввод!$J$19)/100),IF(AND(ISNUMBER(I145),ISNUMBER(J145),I145&gt;0),J145/(1+N(Ввод!$J$19)/100),""))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IF(AND(ISNUMBER(F146),ISNUMBER(G146),F146&gt;0,1-N(Ввод!$J$19)/100&gt;0),G146/(1-N(Ввод!$J$19)/100),IF(AND(ISNUMBER(I146),ISNUMBER(J146),I146&gt;0),J146/(1+N(Ввод!$J$19)/100),""))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IF(AND(ISNUMBER(F147),ISNUMBER(G147),F147&gt;0,1-N(Ввод!$J$19)/100&gt;0),G147/(1-N(Ввод!$J$19)/100),IF(AND(ISNUMBER(I147),ISNUMBER(J147),I147&gt;0),J147/(1+N(Ввод!$J$19)/100),""))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IF(AND(ISNUMBER(F148),ISNUMBER(G148),F148&gt;0,1-N(Ввод!$J$19)/100&gt;0),G148/(1-N(Ввод!$J$19)/100),IF(AND(ISNUMBER(I148),ISNUMBER(J148),I148&gt;0),J148/(1+N(Ввод!$J$19)/100),""))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IF(AND(ISNUMBER(F149),ISNUMBER(G149),F149&gt;0,1-N(Ввод!$J$19)/100&gt;0),G149/(1-N(Ввод!$J$19)/100),IF(AND(ISNUMBER(I149),ISNUMBER(J149),I149&gt;0),J149/(1+N(Ввод!$J$19)/100),""))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IF(AND(ISNUMBER(F150),ISNUMBER(G150),F150&gt;0,1-N(Ввод!$J$19)/100&gt;0),G150/(1-N(Ввод!$J$19)/100),IF(AND(ISNUMBER(I150),ISNUMBER(J150),I150&gt;0),J150/(1+N(Ввод!$J$19)/100),""))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IF(AND(ISNUMBER(F151),ISNUMBER(G151),F151&gt;0,1-N(Ввод!$J$19)/100&gt;0),G151/(1-N(Ввод!$J$19)/100),IF(AND(ISNUMBER(I151),ISNUMBER(J151),I151&gt;0),J151/(1+N(Ввод!$J$19)/100),""))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IF(AND(ISNUMBER(F152),ISNUMBER(G152),F152&gt;0,1-N(Ввод!$J$19)/100&gt;0),G152/(1-N(Ввод!$J$19)/100),IF(AND(ISNUMBER(I152),ISNUMBER(J152),I152&gt;0),J152/(1+N(Ввод!$J$19)/100),""))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IF(AND(ISNUMBER(F153),ISNUMBER(G153),F153&gt;0,1-N(Ввод!$J$19)/100&gt;0),G153/(1-N(Ввод!$J$19)/100),IF(AND(ISNUMBER(I153),ISNUMBER(J153),I153&gt;0),J153/(1+N(Ввод!$J$19)/100),""))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IF(AND(ISNUMBER(F154),ISNUMBER(G154),F154&gt;0,1-N(Ввод!$J$19)/100&gt;0),G154/(1-N(Ввод!$J$19)/100),IF(AND(ISNUMBER(I154),ISNUMBER(J154),I154&gt;0),J154/(1+N(Ввод!$J$19)/100),""))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IF(AND(ISNUMBER(F155),ISNUMBER(G155),F155&gt;0,1-N(Ввод!$J$19)/100&gt;0),G155/(1-N(Ввод!$J$19)/100),IF(AND(ISNUMBER(I155),ISNUMBER(J155),I155&gt;0),J155/(1+N(Ввод!$J$19)/100),""))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IF(AND(ISNUMBER(F156),ISNUMBER(G156),F156&gt;0,1-N(Ввод!$J$19)/100&gt;0),G156/(1-N(Ввод!$J$19)/100),IF(AND(ISNUMBER(I156),ISNUMBER(J156),I156&gt;0),J156/(1+N(Ввод!$J$19)/100),""))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IF(AND(ISNUMBER(F157),ISNUMBER(G157),F157&gt;0,1-N(Ввод!$J$19)/100&gt;0),G157/(1-N(Ввод!$J$19)/100),IF(AND(ISNUMBER(I157),ISNUMBER(J157),I157&gt;0),J157/(1+N(Ввод!$J$19)/100),""))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IF(AND(ISNUMBER(F158),ISNUMBER(G158),F158&gt;0,1-N(Ввод!$J$19)/100&gt;0),G158/(1-N(Ввод!$J$19)/100),IF(AND(ISNUMBER(I158),ISNUMBER(J158),I158&gt;0),J158/(1+N(Ввод!$J$19)/100),""))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IF(AND(ISNUMBER(F159),ISNUMBER(G159),F159&gt;0,1-N(Ввод!$J$19)/100&gt;0),G159/(1-N(Ввод!$J$19)/100),IF(AND(ISNUMBER(I159),ISNUMBER(J159),I159&gt;0),J159/(1+N(Ввод!$J$19)/100),""))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IF(AND(ISNUMBER(F160),ISNUMBER(G160),F160&gt;0,1-N(Ввод!$J$19)/100&gt;0),G160/(1-N(Ввод!$J$19)/100),IF(AND(ISNUMBER(I160),ISNUMBER(J160),I160&gt;0),J160/(1+N(Ввод!$J$19)/100),""))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IF(AND(ISNUMBER(F161),ISNUMBER(G161),F161&gt;0,1-N(Ввод!$J$19)/100&gt;0),G161/(1-N(Ввод!$J$19)/100),IF(AND(ISNUMBER(I161),ISNUMBER(J161),I161&gt;0),J161/(1+N(Ввод!$J$19)/100),""))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IF(AND(ISNUMBER(F162),ISNUMBER(G162),F162&gt;0,1-N(Ввод!$J$19)/100&gt;0),G162/(1-N(Ввод!$J$19)/100),IF(AND(ISNUMBER(I162),ISNUMBER(J162),I162&gt;0),J162/(1+N(Ввод!$J$19)/100),""))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IF(AND(ISNUMBER(F163),ISNUMBER(G163),F163&gt;0,1-N(Ввод!$J$19)/100&gt;0),G163/(1-N(Ввод!$J$19)/100),IF(AND(ISNUMBER(I163),ISNUMBER(J163),I163&gt;0),J163/(1+N(Ввод!$J$19)/100),""))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IF(AND(ISNUMBER(F164),ISNUMBER(G164),F164&gt;0,1-N(Ввод!$J$19)/100&gt;0),G164/(1-N(Ввод!$J$19)/100),IF(AND(ISNUMBER(I164),ISNUMBER(J164),I164&gt;0),J164/(1+N(Ввод!$J$19)/100),""))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IF(AND(ISNUMBER(F165),ISNUMBER(G165),F165&gt;0,1-N(Ввод!$J$19)/100&gt;0),G165/(1-N(Ввод!$J$19)/100),IF(AND(ISNUMBER(I165),ISNUMBER(J165),I165&gt;0),J165/(1+N(Ввод!$J$19)/100),""))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IF(AND(ISNUMBER(F166),ISNUMBER(G166),F166&gt;0,1-N(Ввод!$J$19)/100&gt;0),G166/(1-N(Ввод!$J$19)/100),IF(AND(ISNUMBER(I166),ISNUMBER(J166),I166&gt;0),J166/(1+N(Ввод!$J$19)/100),""))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IF(AND(ISNUMBER(F167),ISNUMBER(G167),F167&gt;0,1-N(Ввод!$J$19)/100&gt;0),G167/(1-N(Ввод!$J$19)/100),IF(AND(ISNUMBER(I167),ISNUMBER(J167),I167&gt;0),J167/(1+N(Ввод!$J$19)/100),""))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IF(AND(ISNUMBER(F168),ISNUMBER(G168),F168&gt;0,1-N(Ввод!$J$19)/100&gt;0),G168/(1-N(Ввод!$J$19)/100),IF(AND(ISNUMBER(I168),ISNUMBER(J168),I168&gt;0),J168/(1+N(Ввод!$J$19)/100),""))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IF(AND(ISNUMBER(F169),ISNUMBER(G169),F169&gt;0,1-N(Ввод!$J$19)/100&gt;0),G169/(1-N(Ввод!$J$19)/100),IF(AND(ISNUMBER(I169),ISNUMBER(J169),I169&gt;0),J169/(1+N(Ввод!$J$19)/100),""))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IF(AND(ISNUMBER(F170),ISNUMBER(G170),F170&gt;0,1-N(Ввод!$J$19)/100&gt;0),G170/(1-N(Ввод!$J$19)/100),IF(AND(ISNUMBER(I170),ISNUMBER(J170),I170&gt;0),J170/(1+N(Ввод!$J$19)/100),""))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IF(AND(ISNUMBER(F171),ISNUMBER(G171),F171&gt;0,1-N(Ввод!$J$19)/100&gt;0),G171/(1-N(Ввод!$J$19)/100),IF(AND(ISNUMBER(I171),ISNUMBER(J171),I171&gt;0),J171/(1+N(Ввод!$J$19)/100),""))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IF(AND(ISNUMBER(F172),ISNUMBER(G172),F172&gt;0,1-N(Ввод!$J$19)/100&gt;0),G172/(1-N(Ввод!$J$19)/100),IF(AND(ISNUMBER(I172),ISNUMBER(J172),I172&gt;0),J172/(1+N(Ввод!$J$19)/100),""))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IF(AND(ISNUMBER(F173),ISNUMBER(G173),F173&gt;0,1-N(Ввод!$J$19)/100&gt;0),G173/(1-N(Ввод!$J$19)/100),IF(AND(ISNUMBER(I173),ISNUMBER(J173),I173&gt;0),J173/(1+N(Ввод!$J$19)/100),""))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IF(AND(ISNUMBER(F174),ISNUMBER(G174),F174&gt;0,1-N(Ввод!$J$19)/100&gt;0),G174/(1-N(Ввод!$J$19)/100),IF(AND(ISNUMBER(I174),ISNUMBER(J174),I174&gt;0),J174/(1+N(Ввод!$J$19)/100),""))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IF(AND(ISNUMBER(F175),ISNUMBER(G175),F175&gt;0,1-N(Ввод!$J$19)/100&gt;0),G175/(1-N(Ввод!$J$19)/100),IF(AND(ISNUMBER(I175),ISNUMBER(J175),I175&gt;0),J175/(1+N(Ввод!$J$19)/100),""))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IF(AND(ISNUMBER(F176),ISNUMBER(G176),F176&gt;0,1-N(Ввод!$J$19)/100&gt;0),G176/(1-N(Ввод!$J$19)/100),IF(AND(ISNUMBER(I176),ISNUMBER(J176),I176&gt;0),J176/(1+N(Ввод!$J$19)/100),""))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IF(AND(ISNUMBER(F177),ISNUMBER(G177),F177&gt;0,1-N(Ввод!$J$19)/100&gt;0),G177/(1-N(Ввод!$J$19)/100),IF(AND(ISNUMBER(I177),ISNUMBER(J177),I177&gt;0),J177/(1+N(Ввод!$J$19)/100),""))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IF(AND(ISNUMBER(F178),ISNUMBER(G178),F178&gt;0,1-N(Ввод!$J$19)/100&gt;0),G178/(1-N(Ввод!$J$19)/100),IF(AND(ISNUMBER(I178),ISNUMBER(J178),I178&gt;0),J178/(1+N(Ввод!$J$19)/100),""))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IF(AND(ISNUMBER(F179),ISNUMBER(G179),F179&gt;0,1-N(Ввод!$J$19)/100&gt;0),G179/(1-N(Ввод!$J$19)/100),IF(AND(ISNUMBER(I179),ISNUMBER(J179),I179&gt;0),J179/(1+N(Ввод!$J$19)/100),""))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IF(AND(ISNUMBER(F180),ISNUMBER(G180),F180&gt;0,1-N(Ввод!$J$19)/100&gt;0),G180/(1-N(Ввод!$J$19)/100),IF(AND(ISNUMBER(I180),ISNUMBER(J180),I180&gt;0),J180/(1+N(Ввод!$J$19)/100),""))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IF(AND(ISNUMBER(F181),ISNUMBER(G181),F181&gt;0,1-N(Ввод!$J$19)/100&gt;0),G181/(1-N(Ввод!$J$19)/100),IF(AND(ISNUMBER(I181),ISNUMBER(J181),I181&gt;0),J181/(1+N(Ввод!$J$19)/100),""))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IF(AND(ISNUMBER(F182),ISNUMBER(G182),F182&gt;0,1-N(Ввод!$J$19)/100&gt;0),G182/(1-N(Ввод!$J$19)/100),IF(AND(ISNUMBER(I182),ISNUMBER(J182),I182&gt;0),J182/(1+N(Ввод!$J$19)/100),""))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IF(AND(ISNUMBER(F183),ISNUMBER(G183),F183&gt;0,1-N(Ввод!$J$19)/100&gt;0),G183/(1-N(Ввод!$J$19)/100),IF(AND(ISNUMBER(I183),ISNUMBER(J183),I183&gt;0),J183/(1+N(Ввод!$J$19)/100),""))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IF(AND(ISNUMBER(F184),ISNUMBER(G184),F184&gt;0,1-N(Ввод!$J$19)/100&gt;0),G184/(1-N(Ввод!$J$19)/100),IF(AND(ISNUMBER(I184),ISNUMBER(J184),I184&gt;0),J184/(1+N(Ввод!$J$19)/100),""))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IF(AND(ISNUMBER(F185),ISNUMBER(G185),F185&gt;0,1-N(Ввод!$J$19)/100&gt;0),G185/(1-N(Ввод!$J$19)/100),IF(AND(ISNUMBER(I185),ISNUMBER(J185),I185&gt;0),J185/(1+N(Ввод!$J$19)/100),""))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IF(AND(ISNUMBER(F186),ISNUMBER(G186),F186&gt;0,1-N(Ввод!$J$19)/100&gt;0),G186/(1-N(Ввод!$J$19)/100),IF(AND(ISNUMBER(I186),ISNUMBER(J186),I186&gt;0),J186/(1+N(Ввод!$J$19)/100),""))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IF(AND(ISNUMBER(F187),ISNUMBER(G187),F187&gt;0,1-N(Ввод!$J$19)/100&gt;0),G187/(1-N(Ввод!$J$19)/100),IF(AND(ISNUMBER(I187),ISNUMBER(J187),I187&gt;0),J187/(1+N(Ввод!$J$19)/100),""))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IF(AND(ISNUMBER(F188),ISNUMBER(G188),F188&gt;0,1-N(Ввод!$J$19)/100&gt;0),G188/(1-N(Ввод!$J$19)/100),IF(AND(ISNUMBER(I188),ISNUMBER(J188),I188&gt;0),J188/(1+N(Ввод!$J$19)/100),""))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IF(AND(ISNUMBER(F189),ISNUMBER(G189),F189&gt;0,1-N(Ввод!$J$19)/100&gt;0),G189/(1-N(Ввод!$J$19)/100),IF(AND(ISNUMBER(I189),ISNUMBER(J189),I189&gt;0),J189/(1+N(Ввод!$J$19)/100),""))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IF(AND(ISNUMBER(F190),ISNUMBER(G190),F190&gt;0,1-N(Ввод!$J$19)/100&gt;0),G190/(1-N(Ввод!$J$19)/100),IF(AND(ISNUMBER(I190),ISNUMBER(J190),I190&gt;0),J190/(1+N(Ввод!$J$19)/100),""))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IF(AND(ISNUMBER(F191),ISNUMBER(G191),F191&gt;0,1-N(Ввод!$J$19)/100&gt;0),G191/(1-N(Ввод!$J$19)/100),IF(AND(ISNUMBER(I191),ISNUMBER(J191),I191&gt;0),J191/(1+N(Ввод!$J$19)/100),""))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IF(AND(ISNUMBER(F192),ISNUMBER(G192),F192&gt;0,1-N(Ввод!$J$19)/100&gt;0),G192/(1-N(Ввод!$J$19)/100),IF(AND(ISNUMBER(I192),ISNUMBER(J192),I192&gt;0),J192/(1+N(Ввод!$J$19)/100),""))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IF(AND(ISNUMBER(F193),ISNUMBER(G193),F193&gt;0,1-N(Ввод!$J$19)/100&gt;0),G193/(1-N(Ввод!$J$19)/100),IF(AND(ISNUMBER(I193),ISNUMBER(J193),I193&gt;0),J193/(1+N(Ввод!$J$19)/100),""))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IF(AND(ISNUMBER(F194),ISNUMBER(G194),F194&gt;0,1-N(Ввод!$J$19)/100&gt;0),G194/(1-N(Ввод!$J$19)/100),IF(AND(ISNUMBER(I194),ISNUMBER(J194),I194&gt;0),J194/(1+N(Ввод!$J$19)/100),""))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IF(AND(ISNUMBER(F195),ISNUMBER(G195),F195&gt;0,1-N(Ввод!$J$19)/100&gt;0),G195/(1-N(Ввод!$J$19)/100),IF(AND(ISNUMBER(I195),ISNUMBER(J195),I195&gt;0),J195/(1+N(Ввод!$J$19)/100),""))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IF(AND(ISNUMBER(F196),ISNUMBER(G196),F196&gt;0,1-N(Ввод!$J$19)/100&gt;0),G196/(1-N(Ввод!$J$19)/100),IF(AND(ISNUMBER(I196),ISNUMBER(J196),I196&gt;0),J196/(1+N(Ввод!$J$19)/100),""))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IF(AND(ISNUMBER(F197),ISNUMBER(G197),F197&gt;0,1-N(Ввод!$J$19)/100&gt;0),G197/(1-N(Ввод!$J$19)/100),IF(AND(ISNUMBER(I197),ISNUMBER(J197),I197&gt;0),J197/(1+N(Ввод!$J$19)/100),""))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IF(AND(ISNUMBER(F198),ISNUMBER(G198),F198&gt;0,1-N(Ввод!$J$19)/100&gt;0),G198/(1-N(Ввод!$J$19)/100),IF(AND(ISNUMBER(I198),ISNUMBER(J198),I198&gt;0),J198/(1+N(Ввод!$J$19)/100),""))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IF(AND(ISNUMBER(F199),ISNUMBER(G199),F199&gt;0,1-N(Ввод!$J$19)/100&gt;0),G199/(1-N(Ввод!$J$19)/100),IF(AND(ISNUMBER(I199),ISNUMBER(J199),I199&gt;0),J199/(1+N(Ввод!$J$19)/100),""))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IF(AND(ISNUMBER(F200),ISNUMBER(G200),F200&gt;0,1-N(Ввод!$J$19)/100&gt;0),G200/(1-N(Ввод!$J$19)/100),IF(AND(ISNUMBER(I200),ISNUMBER(J200),I200&gt;0),J200/(1+N(Ввод!$J$19)/100),""))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IF(AND(ISNUMBER(F201),ISNUMBER(G201),F201&gt;0,1-N(Ввод!$J$19)/100&gt;0),G201/(1-N(Ввод!$J$19)/100),IF(AND(ISNUMBER(I201),ISNUMBER(J201),I201&gt;0),J201/(1+N(Ввод!$J$19)/100),""))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IF(AND(ISNUMBER(F202),ISNUMBER(G202),F202&gt;0,1-N(Ввод!$J$19)/100&gt;0),G202/(1-N(Ввод!$J$19)/100),IF(AND(ISNUMBER(I202),ISNUMBER(J202),I202&gt;0),J202/(1+N(Ввод!$J$19)/100),""))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IF(AND(ISNUMBER(F203),ISNUMBER(G203),F203&gt;0,1-N(Ввод!$J$19)/100&gt;0),G203/(1-N(Ввод!$J$19)/100),IF(AND(ISNUMBER(I203),ISNUMBER(J203),I203&gt;0),J203/(1+N(Ввод!$J$19)/100),""))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IF(AND(ISNUMBER(F204),ISNUMBER(G204),F204&gt;0,1-N(Ввод!$J$19)/100&gt;0),G204/(1-N(Ввод!$J$19)/100),IF(AND(ISNUMBER(I204),ISNUMBER(J204),I204&gt;0),J204/(1+N(Ввод!$J$19)/100),""))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IF(AND(ISNUMBER(F205),ISNUMBER(G205),F205&gt;0,1-N(Ввод!$J$19)/100&gt;0),G205/(1-N(Ввод!$J$19)/100),IF(AND(ISNUMBER(I205),ISNUMBER(J205),I205&gt;0),J205/(1+N(Ввод!$J$19)/100),""))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IF(AND(ISNUMBER(F206),ISNUMBER(G206),F206&gt;0,1-N(Ввод!$J$19)/100&gt;0),G206/(1-N(Ввод!$J$19)/100),IF(AND(ISNUMBER(I206),ISNUMBER(J206),I206&gt;0),J206/(1+N(Ввод!$J$19)/100),""))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IF(AND(ISNUMBER(F207),ISNUMBER(G207),F207&gt;0,1-N(Ввод!$J$19)/100&gt;0),G207/(1-N(Ввод!$J$19)/100),IF(AND(ISNUMBER(I207),ISNUMBER(J207),I207&gt;0),J207/(1+N(Ввод!$J$19)/100),""))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IF(AND(ISNUMBER(F208),ISNUMBER(G208),F208&gt;0,1-N(Ввод!$J$19)/100&gt;0),G208/(1-N(Ввод!$J$19)/100),IF(AND(ISNUMBER(I208),ISNUMBER(J208),I208&gt;0),J208/(1+N(Ввод!$J$19)/100),""))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IF(AND(ISNUMBER(F209),ISNUMBER(G209),F209&gt;0,1-N(Ввод!$J$19)/100&gt;0),G209/(1-N(Ввод!$J$19)/100),IF(AND(ISNUMBER(I209),ISNUMBER(J209),I209&gt;0),J209/(1+N(Ввод!$J$19)/100),""))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IF(AND(ISNUMBER(F210),ISNUMBER(G210),F210&gt;0,1-N(Ввод!$J$19)/100&gt;0),G210/(1-N(Ввод!$J$19)/100),IF(AND(ISNUMBER(I210),ISNUMBER(J210),I210&gt;0),J210/(1+N(Ввод!$J$19)/100),""))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IF(AND(ISNUMBER(F211),ISNUMBER(G211),F211&gt;0,1-N(Ввод!$J$19)/100&gt;0),G211/(1-N(Ввод!$J$19)/100),IF(AND(ISNUMBER(I211),ISNUMBER(J211),I211&gt;0),J211/(1+N(Ввод!$J$19)/100),""))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IF(AND(ISNUMBER(F212),ISNUMBER(G212),F212&gt;0,1-N(Ввод!$J$19)/100&gt;0),G212/(1-N(Ввод!$J$19)/100),IF(AND(ISNUMBER(I212),ISNUMBER(J212),I212&gt;0),J212/(1+N(Ввод!$J$19)/100),""))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IF(AND(ISNUMBER(F213),ISNUMBER(G213),F213&gt;0,1-N(Ввод!$J$19)/100&gt;0),G213/(1-N(Ввод!$J$19)/100),IF(AND(ISNUMBER(I213),ISNUMBER(J213),I213&gt;0),J213/(1+N(Ввод!$J$19)/100),""))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IF(AND(ISNUMBER(F214),ISNUMBER(G214),F214&gt;0,1-N(Ввод!$J$19)/100&gt;0),G214/(1-N(Ввод!$J$19)/100),IF(AND(ISNUMBER(I214),ISNUMBER(J214),I214&gt;0),J214/(1+N(Ввод!$J$19)/100),""))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IF(AND(ISNUMBER(F215),ISNUMBER(G215),F215&gt;0,1-N(Ввод!$J$19)/100&gt;0),G215/(1-N(Ввод!$J$19)/100),IF(AND(ISNUMBER(I215),ISNUMBER(J215),I215&gt;0),J215/(1+N(Ввод!$J$19)/100),""))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IF(AND(ISNUMBER(F216),ISNUMBER(G216),F216&gt;0,1-N(Ввод!$J$19)/100&gt;0),G216/(1-N(Ввод!$J$19)/100),IF(AND(ISNUMBER(I216),ISNUMBER(J216),I216&gt;0),J216/(1+N(Ввод!$J$19)/100),""))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IF(AND(ISNUMBER(F217),ISNUMBER(G217),F217&gt;0,1-N(Ввод!$J$19)/100&gt;0),G217/(1-N(Ввод!$J$19)/100),IF(AND(ISNUMBER(I217),ISNUMBER(J217),I217&gt;0),J217/(1+N(Ввод!$J$19)/100),""))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IF(AND(ISNUMBER(F218),ISNUMBER(G218),F218&gt;0,1-N(Ввод!$J$19)/100&gt;0),G218/(1-N(Ввод!$J$19)/100),IF(AND(ISNUMBER(I218),ISNUMBER(J218),I218&gt;0),J218/(1+N(Ввод!$J$19)/100),""))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IF(AND(ISNUMBER(F219),ISNUMBER(G219),F219&gt;0,1-N(Ввод!$J$19)/100&gt;0),G219/(1-N(Ввод!$J$19)/100),IF(AND(ISNUMBER(I219),ISNUMBER(J219),I219&gt;0),J219/(1+N(Ввод!$J$19)/100),""))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IF(AND(ISNUMBER(F220),ISNUMBER(G220),F220&gt;0,1-N(Ввод!$J$19)/100&gt;0),G220/(1-N(Ввод!$J$19)/100),IF(AND(ISNUMBER(I220),ISNUMBER(J220),I220&gt;0),J220/(1+N(Ввод!$J$19)/100),""))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IF(AND(ISNUMBER(F221),ISNUMBER(G221),F221&gt;0,1-N(Ввод!$J$19)/100&gt;0),G221/(1-N(Ввод!$J$19)/100),IF(AND(ISNUMBER(I221),ISNUMBER(J221),I221&gt;0),J221/(1+N(Ввод!$J$19)/100),""))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IF(AND(ISNUMBER(F222),ISNUMBER(G222),F222&gt;0,1-N(Ввод!$J$19)/100&gt;0),G222/(1-N(Ввод!$J$19)/100),IF(AND(ISNUMBER(I222),ISNUMBER(J222),I222&gt;0),J222/(1+N(Ввод!$J$19)/100),""))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IF(AND(ISNUMBER(F223),ISNUMBER(G223),F223&gt;0,1-N(Ввод!$J$19)/100&gt;0),G223/(1-N(Ввод!$J$19)/100),IF(AND(ISNUMBER(I223),ISNUMBER(J223),I223&gt;0),J223/(1+N(Ввод!$J$19)/100),""))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IF(AND(ISNUMBER(F224),ISNUMBER(G224),F224&gt;0,1-N(Ввод!$J$19)/100&gt;0),G224/(1-N(Ввод!$J$19)/100),IF(AND(ISNUMBER(I224),ISNUMBER(J224),I224&gt;0),J224/(1+N(Ввод!$J$19)/100),""))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IF(AND(ISNUMBER(F225),ISNUMBER(G225),F225&gt;0,1-N(Ввод!$J$19)/100&gt;0),G225/(1-N(Ввод!$J$19)/100),IF(AND(ISNUMBER(I225),ISNUMBER(J225),I225&gt;0),J225/(1+N(Ввод!$J$19)/100),""))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IF(AND(ISNUMBER(F226),ISNUMBER(G226),F226&gt;0,1-N(Ввод!$J$19)/100&gt;0),G226/(1-N(Ввод!$J$19)/100),IF(AND(ISNUMBER(I226),ISNUMBER(J226),I226&gt;0),J226/(1+N(Ввод!$J$19)/100),""))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IF(AND(ISNUMBER(F227),ISNUMBER(G227),F227&gt;0,1-N(Ввод!$J$19)/100&gt;0),G227/(1-N(Ввод!$J$19)/100),IF(AND(ISNUMBER(I227),ISNUMBER(J227),I227&gt;0),J227/(1+N(Ввод!$J$19)/100),""))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IF(AND(ISNUMBER(F228),ISNUMBER(G228),F228&gt;0,1-N(Ввод!$J$19)/100&gt;0),G228/(1-N(Ввод!$J$19)/100),IF(AND(ISNUMBER(I228),ISNUMBER(J228),I228&gt;0),J228/(1+N(Ввод!$J$19)/100),""))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IF(AND(ISNUMBER(F229),ISNUMBER(G229),F229&gt;0,1-N(Ввод!$J$19)/100&gt;0),G229/(1-N(Ввод!$J$19)/100),IF(AND(ISNUMBER(I229),ISNUMBER(J229),I229&gt;0),J229/(1+N(Ввод!$J$19)/100),""))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IF(AND(ISNUMBER(F230),ISNUMBER(G230),F230&gt;0,1-N(Ввод!$J$19)/100&gt;0),G230/(1-N(Ввод!$J$19)/100),IF(AND(ISNUMBER(I230),ISNUMBER(J230),I230&gt;0),J230/(1+N(Ввод!$J$19)/100),""))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IF(AND(ISNUMBER(F231),ISNUMBER(G231),F231&gt;0,1-N(Ввод!$J$19)/100&gt;0),G231/(1-N(Ввод!$J$19)/100),IF(AND(ISNUMBER(I231),ISNUMBER(J231),I231&gt;0),J231/(1+N(Ввод!$J$19)/100),""))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IF(AND(ISNUMBER(F232),ISNUMBER(G232),F232&gt;0,1-N(Ввод!$J$19)/100&gt;0),G232/(1-N(Ввод!$J$19)/100),IF(AND(ISNUMBER(I232),ISNUMBER(J232),I232&gt;0),J232/(1+N(Ввод!$J$19)/100),""))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IF(AND(ISNUMBER(F233),ISNUMBER(G233),F233&gt;0,1-N(Ввод!$J$19)/100&gt;0),G233/(1-N(Ввод!$J$19)/100),IF(AND(ISNUMBER(I233),ISNUMBER(J233),I233&gt;0),J233/(1+N(Ввод!$J$19)/100),""))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IF(AND(ISNUMBER(F234),ISNUMBER(G234),F234&gt;0,1-N(Ввод!$J$19)/100&gt;0),G234/(1-N(Ввод!$J$19)/100),IF(AND(ISNUMBER(I234),ISNUMBER(J234),I234&gt;0),J234/(1+N(Ввод!$J$19)/100),""))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IF(AND(ISNUMBER(F235),ISNUMBER(G235),F235&gt;0,1-N(Ввод!$J$19)/100&gt;0),G235/(1-N(Ввод!$J$19)/100),IF(AND(ISNUMBER(I235),ISNUMBER(J235),I235&gt;0),J235/(1+N(Ввод!$J$19)/100),""))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IF(AND(ISNUMBER(F236),ISNUMBER(G236),F236&gt;0,1-N(Ввод!$J$19)/100&gt;0),G236/(1-N(Ввод!$J$19)/100),IF(AND(ISNUMBER(I236),ISNUMBER(J236),I236&gt;0),J236/(1+N(Ввод!$J$19)/100),""))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IF(AND(ISNUMBER(F237),ISNUMBER(G237),F237&gt;0,1-N(Ввод!$J$19)/100&gt;0),G237/(1-N(Ввод!$J$19)/100),IF(AND(ISNUMBER(I237),ISNUMBER(J237),I237&gt;0),J237/(1+N(Ввод!$J$19)/100),""))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IF(AND(ISNUMBER(F238),ISNUMBER(G238),F238&gt;0,1-N(Ввод!$J$19)/100&gt;0),G238/(1-N(Ввод!$J$19)/100),IF(AND(ISNUMBER(I238),ISNUMBER(J238),I238&gt;0),J238/(1+N(Ввод!$J$19)/100),""))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IF(AND(ISNUMBER(F239),ISNUMBER(G239),F239&gt;0,1-N(Ввод!$J$19)/100&gt;0),G239/(1-N(Ввод!$J$19)/100),IF(AND(ISNUMBER(I239),ISNUMBER(J239),I239&gt;0),J239/(1+N(Ввод!$J$19)/100),""))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IF(AND(ISNUMBER(F240),ISNUMBER(G240),F240&gt;0,1-N(Ввод!$J$19)/100&gt;0),G240/(1-N(Ввод!$J$19)/100),IF(AND(ISNUMBER(I240),ISNUMBER(J240),I240&gt;0),J240/(1+N(Ввод!$J$19)/100),""))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IF(AND(ISNUMBER(F241),ISNUMBER(G241),F241&gt;0,1-N(Ввод!$J$19)/100&gt;0),G241/(1-N(Ввод!$J$19)/100),IF(AND(ISNUMBER(I241),ISNUMBER(J241),I241&gt;0),J241/(1+N(Ввод!$J$19)/100),""))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IF(AND(ISNUMBER(F242),ISNUMBER(G242),F242&gt;0,1-N(Ввод!$J$19)/100&gt;0),G242/(1-N(Ввод!$J$19)/100),IF(AND(ISNUMBER(I242),ISNUMBER(J242),I242&gt;0),J242/(1+N(Ввод!$J$19)/100),""))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IF(AND(ISNUMBER(F243),ISNUMBER(G243),F243&gt;0,1-N(Ввод!$J$19)/100&gt;0),G243/(1-N(Ввод!$J$19)/100),IF(AND(ISNUMBER(I243),ISNUMBER(J243),I243&gt;0),J243/(1+N(Ввод!$J$19)/100),""))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IF(AND(ISNUMBER(F244),ISNUMBER(G244),F244&gt;0,1-N(Ввод!$J$19)/100&gt;0),G244/(1-N(Ввод!$J$19)/100),IF(AND(ISNUMBER(I244),ISNUMBER(J244),I244&gt;0),J244/(1+N(Ввод!$J$19)/100),""))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IF(AND(ISNUMBER(F245),ISNUMBER(G245),F245&gt;0,1-N(Ввод!$J$19)/100&gt;0),G245/(1-N(Ввод!$J$19)/100),IF(AND(ISNUMBER(I245),ISNUMBER(J245),I245&gt;0),J245/(1+N(Ввод!$J$19)/100),""))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IF(AND(ISNUMBER(F246),ISNUMBER(G246),F246&gt;0,1-N(Ввод!$J$19)/100&gt;0),G246/(1-N(Ввод!$J$19)/100),IF(AND(ISNUMBER(I246),ISNUMBER(J246),I246&gt;0),J246/(1+N(Ввод!$J$19)/100),""))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IF(AND(ISNUMBER(F247),ISNUMBER(G247),F247&gt;0,1-N(Ввод!$J$19)/100&gt;0),G247/(1-N(Ввод!$J$19)/100),IF(AND(ISNUMBER(I247),ISNUMBER(J247),I247&gt;0),J247/(1+N(Ввод!$J$19)/100),""))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IF(AND(ISNUMBER(F248),ISNUMBER(G248),F248&gt;0,1-N(Ввод!$J$19)/100&gt;0),G248/(1-N(Ввод!$J$19)/100),IF(AND(ISNUMBER(I248),ISNUMBER(J248),I248&gt;0),J248/(1+N(Ввод!$J$19)/100),""))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IF(AND(ISNUMBER(F249),ISNUMBER(G249),F249&gt;0,1-N(Ввод!$J$19)/100&gt;0),G249/(1-N(Ввод!$J$19)/100),IF(AND(ISNUMBER(I249),ISNUMBER(J249),I249&gt;0),J249/(1+N(Ввод!$J$19)/100),""))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IF(AND(ISNUMBER(F250),ISNUMBER(G250),F250&gt;0,1-N(Ввод!$J$19)/100&gt;0),G250/(1-N(Ввод!$J$19)/100),IF(AND(ISNUMBER(I250),ISNUMBER(J250),I250&gt;0),J250/(1+N(Ввод!$J$19)/100),""))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IF(AND(ISNUMBER(F251),ISNUMBER(G251),F251&gt;0,1-N(Ввод!$J$19)/100&gt;0),G251/(1-N(Ввод!$J$19)/100),IF(AND(ISNUMBER(I251),ISNUMBER(J251),I251&gt;0),J251/(1+N(Ввод!$J$19)/100),""))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IF(AND(ISNUMBER(F252),ISNUMBER(G252),F252&gt;0,1-N(Ввод!$J$19)/100&gt;0),G252/(1-N(Ввод!$J$19)/100),IF(AND(ISNUMBER(I252),ISNUMBER(J252),I252&gt;0),J252/(1+N(Ввод!$J$19)/100),""))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IF(AND(ISNUMBER(F253),ISNUMBER(G253),F253&gt;0,1-N(Ввод!$J$19)/100&gt;0),G253/(1-N(Ввод!$J$19)/100),IF(AND(ISNUMBER(I253),ISNUMBER(J253),I253&gt;0),J253/(1+N(Ввод!$J$19)/100),""))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IF(AND(ISNUMBER(F254),ISNUMBER(G254),F254&gt;0,1-N(Ввод!$J$19)/100&gt;0),G254/(1-N(Ввод!$J$19)/100),IF(AND(ISNUMBER(I254),ISNUMBER(J254),I254&gt;0),J254/(1+N(Ввод!$J$19)/100),""))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IF(AND(ISNUMBER(F255),ISNUMBER(G255),F255&gt;0,1-N(Ввод!$J$19)/100&gt;0),G255/(1-N(Ввод!$J$19)/100),IF(AND(ISNUMBER(I255),ISNUMBER(J255),I255&gt;0),J255/(1+N(Ввод!$J$19)/100),""))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IF(AND(ISNUMBER(F256),ISNUMBER(G256),F256&gt;0,1-N(Ввод!$J$19)/100&gt;0),G256/(1-N(Ввод!$J$19)/100),IF(AND(ISNUMBER(I256),ISNUMBER(J256),I256&gt;0),J256/(1+N(Ввод!$J$19)/100),""))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IF(AND(ISNUMBER(F257),ISNUMBER(G257),F257&gt;0,1-N(Ввод!$J$19)/100&gt;0),G257/(1-N(Ввод!$J$19)/100),IF(AND(ISNUMBER(I257),ISNUMBER(J257),I257&gt;0),J257/(1+N(Ввод!$J$19)/100),""))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IF(AND(ISNUMBER(F258),ISNUMBER(G258),F258&gt;0,1-N(Ввод!$J$19)/100&gt;0),G258/(1-N(Ввод!$J$19)/100),IF(AND(ISNUMBER(I258),ISNUMBER(J258),I258&gt;0),J258/(1+N(Ввод!$J$19)/100),""))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IF(AND(ISNUMBER(F259),ISNUMBER(G259),F259&gt;0,1-N(Ввод!$J$19)/100&gt;0),G259/(1-N(Ввод!$J$19)/100),IF(AND(ISNUMBER(I259),ISNUMBER(J259),I259&gt;0),J259/(1+N(Ввод!$J$19)/100),""))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IF(AND(ISNUMBER(F260),ISNUMBER(G260),F260&gt;0,1-N(Ввод!$J$19)/100&gt;0),G260/(1-N(Ввод!$J$19)/100),IF(AND(ISNUMBER(I260),ISNUMBER(J260),I260&gt;0),J260/(1+N(Ввод!$J$19)/100),""))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IF(AND(ISNUMBER(F261),ISNUMBER(G261),F261&gt;0,1-N(Ввод!$J$19)/100&gt;0),G261/(1-N(Ввод!$J$19)/100),IF(AND(ISNUMBER(I261),ISNUMBER(J261),I261&gt;0),J261/(1+N(Ввод!$J$19)/100),""))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IF(AND(ISNUMBER(F262),ISNUMBER(G262),F262&gt;0,1-N(Ввод!$J$19)/100&gt;0),G262/(1-N(Ввод!$J$19)/100),IF(AND(ISNUMBER(I262),ISNUMBER(J262),I262&gt;0),J262/(1+N(Ввод!$J$19)/100),""))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IF(AND(ISNUMBER(F263),ISNUMBER(G263),F263&gt;0,1-N(Ввод!$J$19)/100&gt;0),G263/(1-N(Ввод!$J$19)/100),IF(AND(ISNUMBER(I263),ISNUMBER(J263),I263&gt;0),J263/(1+N(Ввод!$J$19)/100),""))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IF(AND(ISNUMBER(F264),ISNUMBER(G264),F264&gt;0,1-N(Ввод!$J$19)/100&gt;0),G264/(1-N(Ввод!$J$19)/100),IF(AND(ISNUMBER(I264),ISNUMBER(J264),I264&gt;0),J264/(1+N(Ввод!$J$19)/100),""))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IF(AND(ISNUMBER(F265),ISNUMBER(G265),F265&gt;0,1-N(Ввод!$J$19)/100&gt;0),G265/(1-N(Ввод!$J$19)/100),IF(AND(ISNUMBER(I265),ISNUMBER(J265),I265&gt;0),J265/(1+N(Ввод!$J$19)/100),""))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IF(AND(ISNUMBER(F266),ISNUMBER(G266),F266&gt;0,1-N(Ввод!$J$19)/100&gt;0),G266/(1-N(Ввод!$J$19)/100),IF(AND(ISNUMBER(I266),ISNUMBER(J266),I266&gt;0),J266/(1+N(Ввод!$J$19)/100),""))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IF(AND(ISNUMBER(F267),ISNUMBER(G267),F267&gt;0,1-N(Ввод!$J$19)/100&gt;0),G267/(1-N(Ввод!$J$19)/100),IF(AND(ISNUMBER(I267),ISNUMBER(J267),I267&gt;0),J267/(1+N(Ввод!$J$19)/100),""))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IF(AND(ISNUMBER(F268),ISNUMBER(G268),F268&gt;0,1-N(Ввод!$J$19)/100&gt;0),G268/(1-N(Ввод!$J$19)/100),IF(AND(ISNUMBER(I268),ISNUMBER(J268),I268&gt;0),J268/(1+N(Ввод!$J$19)/100),""))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IF(AND(ISNUMBER(F269),ISNUMBER(G269),F269&gt;0,1-N(Ввод!$J$19)/100&gt;0),G269/(1-N(Ввод!$J$19)/100),IF(AND(ISNUMBER(I269),ISNUMBER(J269),I269&gt;0),J269/(1+N(Ввод!$J$19)/100),""))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IF(AND(ISNUMBER(F270),ISNUMBER(G270),F270&gt;0,1-N(Ввод!$J$19)/100&gt;0),G270/(1-N(Ввод!$J$19)/100),IF(AND(ISNUMBER(I270),ISNUMBER(J270),I270&gt;0),J270/(1+N(Ввод!$J$19)/100),""))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IF(AND(ISNUMBER(F271),ISNUMBER(G271),F271&gt;0,1-N(Ввод!$J$19)/100&gt;0),G271/(1-N(Ввод!$J$19)/100),IF(AND(ISNUMBER(I271),ISNUMBER(J271),I271&gt;0),J271/(1+N(Ввод!$J$19)/100),""))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IF(AND(ISNUMBER(F272),ISNUMBER(G272),F272&gt;0,1-N(Ввод!$J$19)/100&gt;0),G272/(1-N(Ввод!$J$19)/100),IF(AND(ISNUMBER(I272),ISNUMBER(J272),I272&gt;0),J272/(1+N(Ввод!$J$19)/100),""))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IF(AND(ISNUMBER(F273),ISNUMBER(G273),F273&gt;0,1-N(Ввод!$J$19)/100&gt;0),G273/(1-N(Ввод!$J$19)/100),IF(AND(ISNUMBER(I273),ISNUMBER(J273),I273&gt;0),J273/(1+N(Ввод!$J$19)/100),""))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IF(AND(ISNUMBER(F274),ISNUMBER(G274),F274&gt;0,1-N(Ввод!$J$19)/100&gt;0),G274/(1-N(Ввод!$J$19)/100),IF(AND(ISNUMBER(I274),ISNUMBER(J274),I274&gt;0),J274/(1+N(Ввод!$J$19)/100),""))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IF(AND(ISNUMBER(F275),ISNUMBER(G275),F275&gt;0,1-N(Ввод!$J$19)/100&gt;0),G275/(1-N(Ввод!$J$19)/100),IF(AND(ISNUMBER(I275),ISNUMBER(J275),I275&gt;0),J275/(1+N(Ввод!$J$19)/100),""))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IF(AND(ISNUMBER(F276),ISNUMBER(G276),F276&gt;0,1-N(Ввод!$J$19)/100&gt;0),G276/(1-N(Ввод!$J$19)/100),IF(AND(ISNUMBER(I276),ISNUMBER(J276),I276&gt;0),J276/(1+N(Ввод!$J$19)/100),""))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IF(AND(ISNUMBER(F277),ISNUMBER(G277),F277&gt;0,1-N(Ввод!$J$19)/100&gt;0),G277/(1-N(Ввод!$J$19)/100),IF(AND(ISNUMBER(I277),ISNUMBER(J277),I277&gt;0),J277/(1+N(Ввод!$J$19)/100),""))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IF(AND(ISNUMBER(F278),ISNUMBER(G278),F278&gt;0,1-N(Ввод!$J$19)/100&gt;0),G278/(1-N(Ввод!$J$19)/100),IF(AND(ISNUMBER(I278),ISNUMBER(J278),I278&gt;0),J278/(1+N(Ввод!$J$19)/100),""))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IF(AND(ISNUMBER(F279),ISNUMBER(G279),F279&gt;0,1-N(Ввод!$J$19)/100&gt;0),G279/(1-N(Ввод!$J$19)/100),IF(AND(ISNUMBER(I279),ISNUMBER(J279),I279&gt;0),J279/(1+N(Ввод!$J$19)/100),""))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IF(AND(ISNUMBER(F280),ISNUMBER(G280),F280&gt;0,1-N(Ввод!$J$19)/100&gt;0),G280/(1-N(Ввод!$J$19)/100),IF(AND(ISNUMBER(I280),ISNUMBER(J280),I280&gt;0),J280/(1+N(Ввод!$J$19)/100),""))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IF(AND(ISNUMBER(F281),ISNUMBER(G281),F281&gt;0,1-N(Ввод!$J$19)/100&gt;0),G281/(1-N(Ввод!$J$19)/100),IF(AND(ISNUMBER(I281),ISNUMBER(J281),I281&gt;0),J281/(1+N(Ввод!$J$19)/100),""))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IF(AND(ISNUMBER(F282),ISNUMBER(G282),F282&gt;0,1-N(Ввод!$J$19)/100&gt;0),G282/(1-N(Ввод!$J$19)/100),IF(AND(ISNUMBER(I282),ISNUMBER(J282),I282&gt;0),J282/(1+N(Ввод!$J$19)/100),""))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IF(AND(ISNUMBER(F283),ISNUMBER(G283),F283&gt;0,1-N(Ввод!$J$19)/100&gt;0),G283/(1-N(Ввод!$J$19)/100),IF(AND(ISNUMBER(I283),ISNUMBER(J283),I283&gt;0),J283/(1+N(Ввод!$J$19)/100),""))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IF(AND(ISNUMBER(F284),ISNUMBER(G284),F284&gt;0,1-N(Ввод!$J$19)/100&gt;0),G284/(1-N(Ввод!$J$19)/100),IF(AND(ISNUMBER(I284),ISNUMBER(J284),I284&gt;0),J284/(1+N(Ввод!$J$19)/100),""))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IF(AND(ISNUMBER(F285),ISNUMBER(G285),F285&gt;0,1-N(Ввод!$J$19)/100&gt;0),G285/(1-N(Ввод!$J$19)/100),IF(AND(ISNUMBER(I285),ISNUMBER(J285),I285&gt;0),J285/(1+N(Ввод!$J$19)/100),""))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IF(AND(ISNUMBER(F286),ISNUMBER(G286),F286&gt;0,1-N(Ввод!$J$19)/100&gt;0),G286/(1-N(Ввод!$J$19)/100),IF(AND(ISNUMBER(I286),ISNUMBER(J286),I286&gt;0),J286/(1+N(Ввод!$J$19)/100),""))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IF(AND(ISNUMBER(F287),ISNUMBER(G287),F287&gt;0,1-N(Ввод!$J$19)/100&gt;0),G287/(1-N(Ввод!$J$19)/100),IF(AND(ISNUMBER(I287),ISNUMBER(J287),I287&gt;0),J287/(1+N(Ввод!$J$19)/100),""))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IF(AND(ISNUMBER(F288),ISNUMBER(G288),F288&gt;0,1-N(Ввод!$J$19)/100&gt;0),G288/(1-N(Ввод!$J$19)/100),IF(AND(ISNUMBER(I288),ISNUMBER(J288),I288&gt;0),J288/(1+N(Ввод!$J$19)/100),""))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IF(AND(ISNUMBER(F289),ISNUMBER(G289),F289&gt;0,1-N(Ввод!$J$19)/100&gt;0),G289/(1-N(Ввод!$J$19)/100),IF(AND(ISNUMBER(I289),ISNUMBER(J289),I289&gt;0),J289/(1+N(Ввод!$J$19)/100),""))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IF(AND(ISNUMBER(F290),ISNUMBER(G290),F290&gt;0,1-N(Ввод!$J$19)/100&gt;0),G290/(1-N(Ввод!$J$19)/100),IF(AND(ISNUMBER(I290),ISNUMBER(J290),I290&gt;0),J290/(1+N(Ввод!$J$19)/100),""))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IF(AND(ISNUMBER(F291),ISNUMBER(G291),F291&gt;0,1-N(Ввод!$J$19)/100&gt;0),G291/(1-N(Ввод!$J$19)/100),IF(AND(ISNUMBER(I291),ISNUMBER(J291),I291&gt;0),J291/(1+N(Ввод!$J$19)/100),""))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IF(AND(ISNUMBER(F292),ISNUMBER(G292),F292&gt;0,1-N(Ввод!$J$19)/100&gt;0),G292/(1-N(Ввод!$J$19)/100),IF(AND(ISNUMBER(I292),ISNUMBER(J292),I292&gt;0),J292/(1+N(Ввод!$J$19)/100),""))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IF(AND(ISNUMBER(F293),ISNUMBER(G293),F293&gt;0,1-N(Ввод!$J$19)/100&gt;0),G293/(1-N(Ввод!$J$19)/100),IF(AND(ISNUMBER(I293),ISNUMBER(J293),I293&gt;0),J293/(1+N(Ввод!$J$19)/100),""))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IF(AND(ISNUMBER(F294),ISNUMBER(G294),F294&gt;0,1-N(Ввод!$J$19)/100&gt;0),G294/(1-N(Ввод!$J$19)/100),IF(AND(ISNUMBER(I294),ISNUMBER(J294),I294&gt;0),J294/(1+N(Ввод!$J$19)/100),""))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IF(AND(ISNUMBER(F295),ISNUMBER(G295),F295&gt;0,1-N(Ввод!$J$19)/100&gt;0),G295/(1-N(Ввод!$J$19)/100),IF(AND(ISNUMBER(I295),ISNUMBER(J295),I295&gt;0),J295/(1+N(Ввод!$J$19)/100),""))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IF(AND(ISNUMBER(F296),ISNUMBER(G296),F296&gt;0,1-N(Ввод!$J$19)/100&gt;0),G296/(1-N(Ввод!$J$19)/100),IF(AND(ISNUMBER(I296),ISNUMBER(J296),I296&gt;0),J296/(1+N(Ввод!$J$19)/100),""))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IF(AND(ISNUMBER(F297),ISNUMBER(G297),F297&gt;0,1-N(Ввод!$J$19)/100&gt;0),G297/(1-N(Ввод!$J$19)/100),IF(AND(ISNUMBER(I297),ISNUMBER(J297),I297&gt;0),J297/(1+N(Ввод!$J$19)/100),""))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IF(AND(ISNUMBER(F298),ISNUMBER(G298),F298&gt;0,1-N(Ввод!$J$19)/100&gt;0),G298/(1-N(Ввод!$J$19)/100),IF(AND(ISNUMBER(I298),ISNUMBER(J298),I298&gt;0),J298/(1+N(Ввод!$J$19)/100),""))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IF(AND(ISNUMBER(F299),ISNUMBER(G299),F299&gt;0,1-N(Ввод!$J$19)/100&gt;0),G299/(1-N(Ввод!$J$19)/100),IF(AND(ISNUMBER(I299),ISNUMBER(J299),I299&gt;0),J299/(1+N(Ввод!$J$19)/100),""))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IF(AND(ISNUMBER(F300),ISNUMBER(G300),F300&gt;0,1-N(Ввод!$J$19)/100&gt;0),G300/(1-N(Ввод!$J$19)/100),IF(AND(ISNUMBER(I300),ISNUMBER(J300),I300&gt;0),J300/(1+N(Ввод!$J$19)/100),""))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>1.5</v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>585</v>
      </c>
      <c r="E5" s="241">
        <f>IF(C5="","",SUMIFS(Лэндинг!$H$5:$H$300,Лэндинг!$E$5:$E$300,$B5)+SUMIFS(Закрытые!$H$5:$H$300,Закрытые!$E$5:$E$300,$B5,Закрытые!$B$5:$B$300,"L-*"))</f>
        <v>877.5</v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>4.5</v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>598.2</v>
      </c>
      <c r="H5" s="241">
        <f>IF(F5="","",SUMIFS(Лэндинг!$K$5:$K$300,Лэндинг!$E$5:$E$300,$B5)+SUMIFS(Закрытые!$K$5:$K$300,Закрытые!$E$5:$E$300,$B5,Закрытые!$B$5:$B$300,"L-*"))</f>
        <v>2691.9</v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>-3</v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>1814.4</v>
      </c>
      <c r="K5" s="240">
        <f>IF(MIN(N(C5),N(F5))&lt;=0,"",ROUND(MIN(N(C5),N(F5))*(N(G5)-N(D5)),8))</f>
        <v>19.8</v>
      </c>
      <c r="L5" s="177">
        <f>IF(MIN(N(C5),N(F5))&lt;=0,"",IF(N(D5)=0,"",ROUND((N(G5)/N(D5)-1)*100,2)))</f>
        <v>2.26</v>
      </c>
      <c r="M5" s="177">
        <f>IF(OR(ROUND(N(C5)-N(F5),8)=0,1-N(Ввод!$J$19)/100&lt;=0),"",IF(N(C5)&gt;N(F5),(N(E5)-N(H5))/((N(C5)-N(F5))*(1-N(Ввод!$J$19)/100)),(N(H5)-N(E5))/((N(F5)-N(C5))*(1+N(Ввод!$J$19)/100))))</f>
        <v>603.592814371257</v>
      </c>
    </row>
    <row r="6" ht="22" customHeight="1">
      <c r="B6" s="245" t="inlineStr">
        <is>
          <t>BTC/USDT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>0.1</v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>62124</v>
      </c>
      <c r="E6" s="247">
        <f>IF(C6="","",SUMIFS(Лэндинг!$H$5:$H$300,Лэндинг!$E$5:$E$300,$B6)+SUMIFS(Закрытые!$H$5:$H$300,Закрытые!$E$5:$E$300,$B6,Закрытые!$B$5:$B$300,"L-*"))</f>
        <v>6212.4</v>
      </c>
      <c r="F6" s="246" t="str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 t="str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 t="str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>0.1</v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>-6212.4</v>
      </c>
      <c r="K6" s="246" t="str">
        <f>IF(MIN(N(C6),N(F6))&lt;=0,"",ROUND(MIN(N(C6),N(F6))*(N(G6)-N(D6)),8))</f>
        <v/>
      </c>
      <c r="L6" s="183" t="str">
        <f>IF(MIN(N(C6),N(F6))&lt;=0,"",IF(N(D6)=0,"",ROUND((N(G6)/N(D6)-1)*100,2)))</f>
        <v/>
      </c>
      <c r="M6" s="183">
        <f>IF(OR(ROUND(N(C6)-N(F6),8)=0,1-N(Ввод!$J$19)/100&lt;=0),"",IF(N(C6)&gt;N(F6),(N(E6)-N(H6))/((N(C6)-N(F6))*(1-N(Ввод!$J$19)/100)),(N(H6)-N(E6))/((N(F6)-N(C6))*(1+N(Ввод!$J$19)/100))))</f>
        <v>62248.496993988</v>
      </c>
    </row>
    <row r="7" ht="22" customHeight="1">
      <c r="B7" s="239" t="inlineStr">
        <is>
          <t>ETH/BTC</t>
        </is>
      </c>
      <c r="C7" s="240" t="str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 t="str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 t="str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>1.5</v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>0.052395</v>
      </c>
      <c r="H7" s="241">
        <f>IF(F7="","",SUMIFS(Лэндинг!$K$5:$K$300,Лэндинг!$E$5:$E$300,$B7)+SUMIFS(Закрытые!$K$5:$K$300,Закрытые!$E$5:$E$300,$B7,Закрытые!$B$5:$B$300,"L-*"))</f>
        <v>0.0785925</v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>-1.5</v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>0.0785925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>3.5</v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>3211.49485714286</v>
      </c>
      <c r="E8" s="247">
        <f>IF(C8="","",SUMIFS(Лэндинг!$H$5:$H$300,Лэндинг!$E$5:$E$300,$B8)+SUMIFS(Закрытые!$H$5:$H$300,Закрытые!$E$5:$E$300,$B8,Закрытые!$B$5:$B$300,"L-*"))</f>
        <v>11240.232</v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>2</v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>3379.9</v>
      </c>
      <c r="H8" s="247">
        <f>IF(F8="","",SUMIFS(Лэндинг!$K$5:$K$300,Лэндинг!$E$5:$E$300,$B8)+SUMIFS(Закрытые!$K$5:$K$300,Закрытые!$E$5:$E$300,$B8,Закрытые!$B$5:$B$300,"L-*"))</f>
        <v>6759.8</v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>1.5</v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>-4480.432</v>
      </c>
      <c r="K8" s="246">
        <f>IF(MIN(N(C8),N(F8))&lt;=0,"",ROUND(MIN(N(C8),N(F8))*(N(G8)-N(D8)),8))</f>
        <v>336.81028571</v>
      </c>
      <c r="L8" s="183">
        <f>IF(MIN(N(C8),N(F8))&lt;=0,"",IF(N(D8)=0,"",ROUND((N(G8)/N(D8)-1)*100,2)))</f>
        <v>5.24</v>
      </c>
      <c r="M8" s="183">
        <f>IF(OR(ROUND(N(C8)-N(F8),8)=0,1-N(Ввод!$J$19)/100&lt;=0),"",IF(N(C8)&gt;N(F8),(N(E8)-N(H8))/((N(C8)-N(F8))*(1-N(Ввод!$J$19)/100)),(N(H8)-N(E8))/((N(F8)-N(C8))*(1+N(Ввод!$J$19)/100))))</f>
        <v>2992.94054776219</v>
      </c>
    </row>
    <row r="9" ht="22" customHeight="1">
      <c r="B9" s="239" t="inlineStr">
        <is>
          <t>SOL/USDT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>35</v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>145.922857142857</v>
      </c>
      <c r="E9" s="241">
        <f>IF(C9="","",SUMIFS(Лэндинг!$H$5:$H$300,Лэндинг!$E$5:$E$300,$B9)+SUMIFS(Закрытые!$H$5:$H$300,Закрытые!$E$5:$E$300,$B9,Закрытые!$B$5:$B$300,"L-*"))</f>
        <v>5107.3</v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>50</v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>150.2592</v>
      </c>
      <c r="H9" s="241">
        <f>IF(F9="","",SUMIFS(Лэндинг!$K$5:$K$300,Лэндинг!$E$5:$E$300,$B9)+SUMIFS(Закрытые!$K$5:$K$300,Закрытые!$E$5:$E$300,$B9,Закрытые!$B$5:$B$300,"L-*"))</f>
        <v>7512.96</v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>-15</v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>2405.66</v>
      </c>
      <c r="K9" s="240">
        <f>IF(MIN(N(C9),N(F9))&lt;=0,"",ROUND(MIN(N(C9),N(F9))*(N(G9)-N(D9)),8))</f>
        <v>151.772</v>
      </c>
      <c r="L9" s="177">
        <f>IF(MIN(N(C9),N(F9))&lt;=0,"",IF(N(D9)=0,"",ROUND((N(G9)/N(D9)-1)*100,2)))</f>
        <v>2.97</v>
      </c>
      <c r="M9" s="177">
        <f>IF(OR(ROUND(N(C9)-N(F9),8)=0,1-N(Ввод!$J$19)/100&lt;=0),"",IF(N(C9)&gt;N(F9),(N(E9)-N(H9))/((N(C9)-N(F9))*(1-N(Ввод!$J$19)/100)),(N(H9)-N(E9))/((N(F9)-N(C9))*(1+N(Ввод!$J$19)/100))))</f>
        <v>160.057218895542</v>
      </c>
    </row>
    <row r="10" ht="22" customHeight="1">
      <c r="B10" s="245" t="n"/>
      <c r="C10" s="246" t="str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 t="str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 t="str">
        <f>IF(C10="","",SUMIFS(Лэндинг!$H$5:$H$300,Лэндинг!$E$5:$E$300,$B10)+SUMIFS(Закрытые!$H$5:$H$300,Закрытые!$E$5:$E$300,$B10,Закрытые!$B$5:$B$300,"L-*"))</f>
        <v/>
      </c>
      <c r="F10" s="246" t="str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 t="str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 t="str">
        <f>IF(F10="","",SUMIFS(Лэндинг!$K$5:$K$300,Лэндинг!$E$5:$E$300,$B10)+SUMIFS(Закрытые!$K$5:$K$300,Закрытые!$E$5:$E$300,$B10,Закрытые!$B$5:$B$300,"L-*"))</f>
        <v/>
      </c>
      <c r="I10" s="246" t="str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 t="str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 t="str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 t="str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 t="str">
        <f>IF(C11="","",SUMIFS(Лэндинг!$H$5:$H$300,Лэндинг!$E$5:$E$300,$B11)+SUMIFS(Закрытые!$H$5:$H$300,Закрытые!$E$5:$E$300,$B11,Закрытые!$B$5:$B$300,"L-*"))</f>
        <v/>
      </c>
      <c r="F11" s="240" t="str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 t="str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 t="str">
        <f>IF(F11="","",SUMIFS(Лэндинг!$K$5:$K$300,Лэндинг!$E$5:$E$300,$B11)+SUMIFS(Закрытые!$K$5:$K$300,Закрытые!$E$5:$E$300,$B11,Закрытые!$B$5:$B$300,"L-*"))</f>
        <v/>
      </c>
      <c r="I11" s="240" t="str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 t="str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 t="str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 t="str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 t="str">
        <f>IF(C12="","",SUMIFS(Лэндинг!$H$5:$H$300,Лэндинг!$E$5:$E$300,$B12)+SUMIFS(Закрытые!$H$5:$H$300,Закрытые!$E$5:$E$300,$B12,Закрытые!$B$5:$B$300,"L-*"))</f>
        <v/>
      </c>
      <c r="F12" s="246" t="str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 t="str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 t="str">
        <f>IF(F12="","",SUMIFS(Лэндинг!$K$5:$K$300,Лэндинг!$E$5:$E$300,$B12)+SUMIFS(Закрытые!$K$5:$K$300,Закрытые!$E$5:$E$300,$B12,Закрытые!$B$5:$B$300,"L-*"))</f>
        <v/>
      </c>
      <c r="I12" s="246" t="str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 t="str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  <row r="13" ht="22" customHeight="1">
      <c r="B13" s="239" t="n"/>
      <c r="C13" s="240" t="str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 t="str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 t="str">
        <f>IF(C13="","",SUMIFS(Лэндинг!$H$5:$H$300,Лэндинг!$E$5:$E$300,$B13)+SUMIFS(Закрытые!$H$5:$H$300,Закрытые!$E$5:$E$300,$B13,Закрытые!$B$5:$B$300,"L-*"))</f>
        <v/>
      </c>
      <c r="F13" s="240" t="str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 t="str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 t="str">
        <f>IF(F13="","",SUMIFS(Лэндинг!$K$5:$K$300,Лэндинг!$E$5:$E$300,$B13)+SUMIFS(Закрытые!$K$5:$K$300,Закрытые!$E$5:$E$300,$B13,Закрытые!$B$5:$B$300,"L-*"))</f>
        <v/>
      </c>
      <c r="I13" s="240" t="str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 t="str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 t="str">
        <f>IF(MIN(N(C13),N(F13))&lt;=0,"",ROUND(MIN(N(C13),N(F13))*(N(G13)-N(D13)),8))</f>
        <v/>
      </c>
      <c r="L13" s="177" t="str">
        <f>IF(MIN(N(C13),N(F13))&lt;=0,"",IF(N(D13)=0,"",ROUND((N(G13)/N(D13)-1)*100,2)))</f>
        <v/>
      </c>
      <c r="M13" s="177" t="str">
        <f>IF(OR(ROUND(N(C13)-N(F13),8)=0,1-N(Ввод!$J$19)/100&lt;=0),"",IF(N(C13)&gt;N(F13),(N(E13)-N(H13))/((N(C13)-N(F13))*(1-N(Ввод!$J$19)/100)),(N(H13)-N(E13))/((N(F13)-N(C13))*(1+N(Ввод!$J$19)/100))))</f>
        <v/>
      </c>
    </row>
    <row r="14" ht="22" customHeight="1">
      <c r="B14" s="245" t="n"/>
      <c r="C14" s="246" t="str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 t="str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 t="str">
        <f>IF(C14="","",SUMIFS(Лэндинг!$H$5:$H$300,Лэндинг!$E$5:$E$300,$B14)+SUMIFS(Закрытые!$H$5:$H$300,Закрытые!$E$5:$E$300,$B14,Закрытые!$B$5:$B$300,"L-*"))</f>
        <v/>
      </c>
      <c r="F14" s="246" t="str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 t="str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 t="str">
        <f>IF(F14="","",SUMIFS(Лэндинг!$K$5:$K$300,Лэндинг!$E$5:$E$300,$B14)+SUMIFS(Закрытые!$K$5:$K$300,Закрытые!$E$5:$E$300,$B14,Закрытые!$B$5:$B$300,"L-*"))</f>
        <v/>
      </c>
      <c r="I14" s="246" t="str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 t="str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 t="str">
        <f>IF(MIN(N(C14),N(F14))&lt;=0,"",ROUND(MIN(N(C14),N(F14))*(N(G14)-N(D14)),8))</f>
        <v/>
      </c>
      <c r="L14" s="183" t="str">
        <f>IF(MIN(N(C14),N(F14))&lt;=0,"",IF(N(D14)=0,"",ROUND((N(G14)/N(D14)-1)*100,2)))</f>
        <v/>
      </c>
      <c r="M14" s="183" t="str">
        <f>IF(OR(ROUND(N(C14)-N(F14),8)=0,1-N(Ввод!$J$19)/100&lt;=0),"",IF(N(C14)&gt;N(F14),(N(E14)-N(H14))/((N(C14)-N(F14))*(1-N(Ввод!$J$19)/100)),(N(H14)-N(E14))/((N(F14)-N(C14))*(1+N(Ввод!$J$19)/100))))</f>
        <v/>
      </c>
    </row>
    <row r="15" ht="22" customHeight="1">
      <c r="B15" s="239" t="n"/>
      <c r="C15" s="240" t="str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 t="str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 t="str">
        <f>IF(C15="","",SUMIFS(Лэндинг!$H$5:$H$300,Лэндинг!$E$5:$E$300,$B15)+SUMIFS(Закрытые!$H$5:$H$300,Закрытые!$E$5:$E$300,$B15,Закрытые!$B$5:$B$300,"L-*"))</f>
        <v/>
      </c>
      <c r="F15" s="240" t="str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 t="str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 t="str">
        <f>IF(F15="","",SUMIFS(Лэндинг!$K$5:$K$300,Лэндинг!$E$5:$E$300,$B15)+SUMIFS(Закрытые!$K$5:$K$300,Закрытые!$E$5:$E$300,$B15,Закрытые!$B$5:$B$300,"L-*"))</f>
        <v/>
      </c>
      <c r="I15" s="240" t="str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 t="str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 t="str">
        <f>IF(MIN(N(C15),N(F15))&lt;=0,"",ROUND(MIN(N(C15),N(F15))*(N(G15)-N(D15)),8))</f>
        <v/>
      </c>
      <c r="L15" s="177" t="str">
        <f>IF(MIN(N(C15),N(F15))&lt;=0,"",IF(N(D15)=0,"",ROUND((N(G15)/N(D15)-1)*100,2)))</f>
        <v/>
      </c>
      <c r="M15" s="177" t="str">
        <f>IF(OR(ROUND(N(C15)-N(F15),8)=0,1-N(Ввод!$J$19)/100&lt;=0),"",IF(N(C15)&gt;N(F15),(N(E15)-N(H15))/((N(C15)-N(F15))*(1-N(Ввод!$J$19)/100)),(N(H15)-N(E15))/((N(F15)-N(C15))*(1+N(Ввод!$J$19)/100))))</f>
        <v/>
      </c>
    </row>
    <row r="16" ht="22" customHeight="1">
      <c r="B16" s="245" t="n"/>
      <c r="C16" s="246" t="str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 t="str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 t="str">
        <f>IF(C16="","",SUMIFS(Лэндинг!$H$5:$H$300,Лэндинг!$E$5:$E$300,$B16)+SUMIFS(Закрытые!$H$5:$H$300,Закрытые!$E$5:$E$300,$B16,Закрытые!$B$5:$B$300,"L-*"))</f>
        <v/>
      </c>
      <c r="F16" s="246" t="str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 t="str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 t="str">
        <f>IF(F16="","",SUMIFS(Лэндинг!$K$5:$K$300,Лэндинг!$E$5:$E$300,$B16)+SUMIFS(Закрытые!$K$5:$K$300,Закрытые!$E$5:$E$300,$B16,Закрытые!$B$5:$B$300,"L-*"))</f>
        <v/>
      </c>
      <c r="I16" s="246" t="str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 t="str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 t="str">
        <f>IF(MIN(N(C16),N(F16))&lt;=0,"",ROUND(MIN(N(C16),N(F16))*(N(G16)-N(D16)),8))</f>
        <v/>
      </c>
      <c r="L16" s="183" t="str">
        <f>IF(MIN(N(C16),N(F16))&lt;=0,"",IF(N(D16)=0,"",ROUND((N(G16)/N(D16)-1)*100,2)))</f>
        <v/>
      </c>
      <c r="M16" s="183" t="str">
        <f>IF(OR(ROUND(N(C16)-N(F16),8)=0,1-N(Ввод!$J$19)/100&lt;=0),"",IF(N(C16)&gt;N(F16),(N(E16)-N(H16))/((N(C16)-N(F16))*(1-N(Ввод!$J$19)/100)),(N(H16)-N(E16))/((N(F16)-N(C16))*(1+N(Ввод!$J$19)/100))))</f>
        <v/>
      </c>
    </row>
    <row r="17" ht="22" customHeight="1">
      <c r="B17" s="239" t="n"/>
      <c r="C17" s="240" t="str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 t="str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 t="str">
        <f>IF(C17="","",SUMIFS(Лэндинг!$H$5:$H$300,Лэндинг!$E$5:$E$300,$B17)+SUMIFS(Закрытые!$H$5:$H$300,Закрытые!$E$5:$E$300,$B17,Закрытые!$B$5:$B$300,"L-*"))</f>
        <v/>
      </c>
      <c r="F17" s="240" t="str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 t="str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 t="str">
        <f>IF(F17="","",SUMIFS(Лэндинг!$K$5:$K$300,Лэндинг!$E$5:$E$300,$B17)+SUMIFS(Закрытые!$K$5:$K$300,Закрытые!$E$5:$E$300,$B17,Закрытые!$B$5:$B$300,"L-*"))</f>
        <v/>
      </c>
      <c r="I17" s="240" t="str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 t="str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 t="str">
        <f>IF(MIN(N(C17),N(F17))&lt;=0,"",ROUND(MIN(N(C17),N(F17))*(N(G17)-N(D17)),8))</f>
        <v/>
      </c>
      <c r="L17" s="177" t="str">
        <f>IF(MIN(N(C17),N(F17))&lt;=0,"",IF(N(D17)=0,"",ROUND((N(G17)/N(D17)-1)*100,2)))</f>
        <v/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n"/>
      <c r="C18" s="246" t="str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 t="str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 t="str">
        <f>IF(C18="","",SUMIFS(Лэндинг!$H$5:$H$300,Лэндинг!$E$5:$E$300,$B18)+SUMIFS(Закрытые!$H$5:$H$300,Закрытые!$E$5:$E$300,$B18,Закрытые!$B$5:$B$300,"L-*"))</f>
        <v/>
      </c>
      <c r="F18" s="246" t="str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 t="str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 t="str">
        <f>IF(F18="","",SUMIFS(Лэндинг!$K$5:$K$300,Лэндинг!$E$5:$E$300,$B18)+SUMIFS(Закрытые!$K$5:$K$300,Закрытые!$E$5:$E$300,$B18,Закрытые!$B$5:$B$300,"L-*"))</f>
        <v/>
      </c>
      <c r="I18" s="246" t="str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 t="str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 t="str">
        <f>IF(MIN(N(C18),N(F18))&lt;=0,"",ROUND(MIN(N(C18),N(F18))*(N(G18)-N(D18)),8))</f>
        <v/>
      </c>
      <c r="L18" s="183" t="str">
        <f>IF(MIN(N(C18),N(F18))&lt;=0,"",IF(N(D18)=0,"",ROUND((N(G18)/N(D18)-1)*100,2)))</f>
        <v/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n"/>
      <c r="C19" s="240" t="str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 t="str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 t="str">
        <f>IF(C19="","",SUMIFS(Лэндинг!$H$5:$H$300,Лэндинг!$E$5:$E$300,$B19)+SUMIFS(Закрытые!$H$5:$H$300,Закрытые!$E$5:$E$300,$B19,Закрытые!$B$5:$B$300,"L-*"))</f>
        <v/>
      </c>
      <c r="F19" s="240" t="str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 t="str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 t="str">
        <f>IF(F19="","",SUMIFS(Лэндинг!$K$5:$K$300,Лэндинг!$E$5:$E$300,$B19)+SUMIFS(Закрытые!$K$5:$K$300,Закрытые!$E$5:$E$300,$B19,Закрытые!$B$5:$B$300,"L-*"))</f>
        <v/>
      </c>
      <c r="I19" s="240" t="str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 t="str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 t="str">
        <f>IF(MIN(N(C19),N(F19))&lt;=0,"",ROUND(MIN(N(C19),N(F19))*(N(G19)-N(D19)),8))</f>
        <v/>
      </c>
      <c r="L19" s="177" t="str">
        <f>IF(MIN(N(C19),N(F19))&lt;=0,"",IF(N(D19)=0,"",ROUND((N(G19)/N(D19)-1)*100,2)))</f>
        <v/>
      </c>
      <c r="M19" s="177" t="str">
        <f>IF(OR(ROUND(N(C19)-N(F19),8)=0,1-N(Ввод!$J$19)/100&lt;=0),"",IF(N(C19)&gt;N(F19),(N(E19)-N(H19))/((N(C19)-N(F19))*(1-N(Ввод!$J$19)/100)),(N(H19)-N(E19))/((N(F19)-N(C19))*(1+N(Ввод!$J$19)/100))))</f>
        <v/>
      </c>
    </row>
    <row r="20" ht="22" customHeight="1">
      <c r="B20" s="245" t="n"/>
      <c r="C20" s="246" t="str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 t="str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 t="str">
        <f>IF(C20="","",SUMIFS(Лэндинг!$H$5:$H$300,Лэндинг!$E$5:$E$300,$B20)+SUMIFS(Закрытые!$H$5:$H$300,Закрытые!$E$5:$E$300,$B20,Закрытые!$B$5:$B$300,"L-*"))</f>
        <v/>
      </c>
      <c r="F20" s="246" t="str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 t="str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 t="str">
        <f>IF(F20="","",SUMIFS(Лэндинг!$K$5:$K$300,Лэндинг!$E$5:$E$300,$B20)+SUMIFS(Закрытые!$K$5:$K$300,Закрытые!$E$5:$E$300,$B20,Закрытые!$B$5:$B$300,"L-*"))</f>
        <v/>
      </c>
      <c r="I20" s="246" t="str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 t="str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 t="str">
        <f>IF(MIN(N(C20),N(F20))&lt;=0,"",ROUND(MIN(N(C20),N(F20))*(N(G20)-N(D20)),8))</f>
        <v/>
      </c>
      <c r="L20" s="183" t="str">
        <f>IF(MIN(N(C20),N(F20))&lt;=0,"",IF(N(D20)=0,"",ROUND((N(G20)/N(D20)-1)*100,2)))</f>
        <v/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n"/>
      <c r="C21" s="240" t="str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 t="str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 t="str">
        <f>IF(C21="","",SUMIFS(Лэндинг!$H$5:$H$300,Лэндинг!$E$5:$E$300,$B21)+SUMIFS(Закрытые!$H$5:$H$300,Закрытые!$E$5:$E$300,$B21,Закрытые!$B$5:$B$300,"L-*"))</f>
        <v/>
      </c>
      <c r="F21" s="240" t="str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 t="str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 t="str">
        <f>IF(F21="","",SUMIFS(Лэндинг!$K$5:$K$300,Лэндинг!$E$5:$E$300,$B21)+SUMIFS(Закрытые!$K$5:$K$300,Закрытые!$E$5:$E$300,$B21,Закрытые!$B$5:$B$300,"L-*"))</f>
        <v/>
      </c>
      <c r="I21" s="240" t="str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 t="str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 t="str">
        <f>IF(MIN(N(C21),N(F21))&lt;=0,"",ROUND(MIN(N(C21),N(F21))*(N(G21)-N(D21)),8))</f>
        <v/>
      </c>
      <c r="L21" s="177" t="str">
        <f>IF(MIN(N(C21),N(F21))&lt;=0,"",IF(N(D21)=0,"",ROUND((N(G21)/N(D21)-1)*100,2)))</f>
        <v/>
      </c>
      <c r="M21" s="177" t="str">
        <f>IF(OR(ROUND(N(C21)-N(F21),8)=0,1-N(Ввод!$J$19)/100&lt;=0),"",IF(N(C21)&gt;N(F21),(N(E21)-N(H21))/((N(C21)-N(F21))*(1-N(Ввод!$J$19)/100)),(N(H21)-N(E21))/((N(F21)-N(C21))*(1+N(Ввод!$J$19)/100))))</f>
        <v/>
      </c>
    </row>
    <row r="22" ht="22" customHeight="1">
      <c r="B22" s="245" t="n"/>
      <c r="C22" s="246" t="str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 t="str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 t="str">
        <f>IF(C22="","",SUMIFS(Лэндинг!$H$5:$H$300,Лэндинг!$E$5:$E$300,$B22)+SUMIFS(Закрытые!$H$5:$H$300,Закрытые!$E$5:$E$300,$B22,Закрытые!$B$5:$B$300,"L-*"))</f>
        <v/>
      </c>
      <c r="F22" s="246" t="str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 t="str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 t="str">
        <f>IF(F22="","",SUMIFS(Лэндинг!$K$5:$K$300,Лэндинг!$E$5:$E$300,$B22)+SUMIFS(Закрытые!$K$5:$K$300,Закрытые!$E$5:$E$300,$B22,Закрытые!$B$5:$B$300,"L-*"))</f>
        <v/>
      </c>
      <c r="I22" s="246" t="str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 t="str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 t="str">
        <f>IF(MIN(N(C22),N(F22))&lt;=0,"",ROUND(MIN(N(C22),N(F22))*(N(G22)-N(D22)),8))</f>
        <v/>
      </c>
      <c r="L22" s="183" t="str">
        <f>IF(MIN(N(C22),N(F22))&lt;=0,"",IF(N(D22)=0,"",ROUND((N(G22)/N(D22)-1)*100,2)))</f>
        <v/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 t="str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 t="str">
        <f>IF(C23="","",SUMIFS(Лэндинг!$H$5:$H$300,Лэндинг!$E$5:$E$300,$B23)+SUMIFS(Закрытые!$H$5:$H$300,Закрытые!$E$5:$E$300,$B23,Закрытые!$B$5:$B$300,"L-*"))</f>
        <v/>
      </c>
      <c r="F23" s="240" t="str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 t="str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 t="str">
        <f>IF(F23="","",SUMIFS(Лэндинг!$K$5:$K$300,Лэндинг!$E$5:$E$300,$B23)+SUMIFS(Закрытые!$K$5:$K$300,Закрытые!$E$5:$E$300,$B23,Закрытые!$B$5:$B$300,"L-*"))</f>
        <v/>
      </c>
      <c r="I23" s="240" t="str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 t="str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 t="str">
        <f>IF(MIN(N(C23),N(F23))&lt;=0,"",ROUND(MIN(N(C23),N(F23))*(N(G23)-N(D23)),8))</f>
        <v/>
      </c>
      <c r="L23" s="177" t="str">
        <f>IF(MIN(N(C23),N(F23))&lt;=0,"",IF(N(D23)=0,"",ROUND((N(G23)/N(D23)-1)*100,2)))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 t="str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 t="str">
        <f>IF(C24="","",SUMIFS(Лэндинг!$H$5:$H$300,Лэндинг!$E$5:$E$300,$B24)+SUMIFS(Закрытые!$H$5:$H$300,Закрытые!$E$5:$E$300,$B24,Закрытые!$B$5:$B$300,"L-*"))</f>
        <v/>
      </c>
      <c r="F24" s="246" t="str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 t="str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 t="str">
        <f>IF(F24="","",SUMIFS(Лэндинг!$K$5:$K$300,Лэндинг!$E$5:$E$300,$B24)+SUMIFS(Закрытые!$K$5:$K$300,Закрытые!$E$5:$E$300,$B24,Закрытые!$B$5:$B$300,"L-*"))</f>
        <v/>
      </c>
      <c r="I24" s="246" t="str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 t="str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 t="str">
        <f>IF(MIN(N(C24),N(F24))&lt;=0,"",ROUND(MIN(N(C24),N(F24))*(N(G24)-N(D24)),8))</f>
        <v/>
      </c>
      <c r="L24" s="183" t="str">
        <f>IF(MIN(N(C24),N(F24))&lt;=0,"",IF(N(D24)=0,"",ROUND((N(G24)/N(D24)-1)*100,2)))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 t="str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 t="str">
        <f>IF(C25="","",SUMIFS(Лэндинг!$H$5:$H$300,Лэндинг!$E$5:$E$300,$B25)+SUMIFS(Закрытые!$H$5:$H$300,Закрытые!$E$5:$E$300,$B25,Закрытые!$B$5:$B$300,"L-*"))</f>
        <v/>
      </c>
      <c r="F25" s="240" t="str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 t="str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 t="str">
        <f>IF(F25="","",SUMIFS(Лэндинг!$K$5:$K$300,Лэндинг!$E$5:$E$300,$B25)+SUMIFS(Закрытые!$K$5:$K$300,Закрытые!$E$5:$E$300,$B25,Закрытые!$B$5:$B$300,"L-*"))</f>
        <v/>
      </c>
      <c r="I25" s="240" t="str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 t="str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 t="str">
        <f>IF(MIN(N(C25),N(F25))&lt;=0,"",ROUND(MIN(N(C25),N(F25))*(N(G25)-N(D25)),8))</f>
        <v/>
      </c>
      <c r="L25" s="177" t="str">
        <f>IF(MIN(N(C25),N(F25))&lt;=0,"",IF(N(D25)=0,"",ROUND((N(G25)/N(D25)-1)*100,2)))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 t="str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 t="str">
        <f>IF(C26="","",SUMIFS(Лэндинг!$H$5:$H$300,Лэндинг!$E$5:$E$300,$B26)+SUMIFS(Закрытые!$H$5:$H$300,Закрытые!$E$5:$E$300,$B26,Закрытые!$B$5:$B$300,"L-*"))</f>
        <v/>
      </c>
      <c r="F26" s="246" t="str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 t="str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 t="str">
        <f>IF(F26="","",SUMIFS(Лэндинг!$K$5:$K$300,Лэндинг!$E$5:$E$300,$B26)+SUMIFS(Закрытые!$K$5:$K$300,Закрытые!$E$5:$E$300,$B26,Закрытые!$B$5:$B$300,"L-*"))</f>
        <v/>
      </c>
      <c r="I26" s="246" t="str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 t="str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 t="str">
        <f>IF(MIN(N(C26),N(F26))&lt;=0,"",ROUND(MIN(N(C26),N(F26))*(N(G26)-N(D26)),8))</f>
        <v/>
      </c>
      <c r="L26" s="183" t="str">
        <f>IF(MIN(N(C26),N(F26))&lt;=0,"",IF(N(D26)=0,"",ROUND((N(G26)/N(D26)-1)*100,2)))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 t="str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 t="str">
        <f>IF(C27="","",SUMIFS(Лэндинг!$H$5:$H$300,Лэндинг!$E$5:$E$300,$B27)+SUMIFS(Закрытые!$H$5:$H$300,Закрытые!$E$5:$E$300,$B27,Закрытые!$B$5:$B$300,"L-*"))</f>
        <v/>
      </c>
      <c r="F27" s="240" t="str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 t="str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 t="str">
        <f>IF(F27="","",SUMIFS(Лэндинг!$K$5:$K$300,Лэндинг!$E$5:$E$300,$B27)+SUMIFS(Закрытые!$K$5:$K$300,Закрытые!$E$5:$E$300,$B27,Закрытые!$B$5:$B$300,"L-*"))</f>
        <v/>
      </c>
      <c r="I27" s="240" t="str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 t="str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 t="str">
        <f>IF(MIN(N(C27),N(F27))&lt;=0,"",ROUND(MIN(N(C27),N(F27))*(N(G27)-N(D27)),8))</f>
        <v/>
      </c>
      <c r="L27" s="177" t="str">
        <f>IF(MIN(N(C27),N(F27))&lt;=0,"",IF(N(D27)=0,"",ROUND((N(G27)/N(D27)-1)*100,2)))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 t="str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 t="str">
        <f>IF(C28="","",SUMIFS(Лэндинг!$H$5:$H$300,Лэндинг!$E$5:$E$300,$B28)+SUMIFS(Закрытые!$H$5:$H$300,Закрытые!$E$5:$E$300,$B28,Закрытые!$B$5:$B$300,"L-*"))</f>
        <v/>
      </c>
      <c r="F28" s="246" t="str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 t="str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 t="str">
        <f>IF(F28="","",SUMIFS(Лэндинг!$K$5:$K$300,Лэндинг!$E$5:$E$300,$B28)+SUMIFS(Закрытые!$K$5:$K$300,Закрытые!$E$5:$E$300,$B28,Закрытые!$B$5:$B$300,"L-*"))</f>
        <v/>
      </c>
      <c r="I28" s="246" t="str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 t="str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 t="str">
        <f>IF(MIN(N(C28),N(F28))&lt;=0,"",ROUND(MIN(N(C28),N(F28))*(N(G28)-N(D28)),8))</f>
        <v/>
      </c>
      <c r="L28" s="183" t="str">
        <f>IF(MIN(N(C28),N(F28))&lt;=0,"",IF(N(D28)=0,"",ROUND((N(G28)/N(D28)-1)*100,2)))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 t="str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 t="str">
        <f>IF(C29="","",SUMIFS(Лэндинг!$H$5:$H$300,Лэндинг!$E$5:$E$300,$B29)+SUMIFS(Закрытые!$H$5:$H$300,Закрытые!$E$5:$E$300,$B29,Закрытые!$B$5:$B$300,"L-*"))</f>
        <v/>
      </c>
      <c r="F29" s="240" t="str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 t="str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 t="str">
        <f>IF(F29="","",SUMIFS(Лэндинг!$K$5:$K$300,Лэндинг!$E$5:$E$300,$B29)+SUMIFS(Закрытые!$K$5:$K$300,Закрытые!$E$5:$E$300,$B29,Закрытые!$B$5:$B$300,"L-*"))</f>
        <v/>
      </c>
      <c r="I29" s="240" t="str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 t="str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 t="str">
        <f>IF(MIN(N(C29),N(F29))&lt;=0,"",ROUND(MIN(N(C29),N(F29))*(N(G29)-N(D29)),8))</f>
        <v/>
      </c>
      <c r="L29" s="177" t="str">
        <f>IF(MIN(N(C29),N(F29))&lt;=0,"",IF(N(D29)=0,"",ROUND((N(G29)/N(D29)-1)*100,2)))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 t="str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 t="str">
        <f>IF(C30="","",SUMIFS(Лэндинг!$H$5:$H$300,Лэндинг!$E$5:$E$300,$B30)+SUMIFS(Закрытые!$H$5:$H$300,Закрытые!$E$5:$E$300,$B30,Закрытые!$B$5:$B$300,"L-*"))</f>
        <v/>
      </c>
      <c r="F30" s="246" t="str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 t="str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 t="str">
        <f>IF(F30="","",SUMIFS(Лэндинг!$K$5:$K$300,Лэндинг!$E$5:$E$300,$B30)+SUMIFS(Закрытые!$K$5:$K$300,Закрытые!$E$5:$E$300,$B30,Закрытые!$B$5:$B$300,"L-*"))</f>
        <v/>
      </c>
      <c r="I30" s="246" t="str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 t="str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 t="str">
        <f>IF(MIN(N(C30),N(F30))&lt;=0,"",ROUND(MIN(N(C30),N(F30))*(N(G30)-N(D30)),8))</f>
        <v/>
      </c>
      <c r="L30" s="183" t="str">
        <f>IF(MIN(N(C30),N(F30))&lt;=0,"",IF(N(D30)=0,"",ROUND((N(G30)/N(D30)-1)*100,2)))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 t="str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 t="str">
        <f>IF(C31="","",SUMIFS(Лэндинг!$H$5:$H$300,Лэндинг!$E$5:$E$300,$B31)+SUMIFS(Закрытые!$H$5:$H$300,Закрытые!$E$5:$E$300,$B31,Закрытые!$B$5:$B$300,"L-*"))</f>
        <v/>
      </c>
      <c r="F31" s="240" t="str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 t="str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 t="str">
        <f>IF(F31="","",SUMIFS(Лэндинг!$K$5:$K$300,Лэндинг!$E$5:$E$300,$B31)+SUMIFS(Закрытые!$K$5:$K$300,Закрытые!$E$5:$E$300,$B31,Закрытые!$B$5:$B$300,"L-*"))</f>
        <v/>
      </c>
      <c r="I31" s="240" t="str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 t="str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 t="str">
        <f>IF(MIN(N(C31),N(F31))&lt;=0,"",ROUND(MIN(N(C31),N(F31))*(N(G31)-N(D31)),8))</f>
        <v/>
      </c>
      <c r="L31" s="177" t="str">
        <f>IF(MIN(N(C31),N(F31))&lt;=0,"",IF(N(D31)=0,"",ROUND((N(G31)/N(D31)-1)*100,2)))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 t="str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 t="str">
        <f>IF(C32="","",SUMIFS(Лэндинг!$H$5:$H$300,Лэндинг!$E$5:$E$300,$B32)+SUMIFS(Закрытые!$H$5:$H$300,Закрытые!$E$5:$E$300,$B32,Закрытые!$B$5:$B$300,"L-*"))</f>
        <v/>
      </c>
      <c r="F32" s="246" t="str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 t="str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 t="str">
        <f>IF(F32="","",SUMIFS(Лэндинг!$K$5:$K$300,Лэндинг!$E$5:$E$300,$B32)+SUMIFS(Закрытые!$K$5:$K$300,Закрытые!$E$5:$E$300,$B32,Закрытые!$B$5:$B$300,"L-*"))</f>
        <v/>
      </c>
      <c r="I32" s="246" t="str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 t="str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 t="str">
        <f>IF(MIN(N(C32),N(F32))&lt;=0,"",ROUND(MIN(N(C32),N(F32))*(N(G32)-N(D32)),8))</f>
        <v/>
      </c>
      <c r="L32" s="183" t="str">
        <f>IF(MIN(N(C32),N(F32))&lt;=0,"",IF(N(D32)=0,"",ROUND((N(G32)/N(D32)-1)*100,2)))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 t="str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 t="str">
        <f>IF(C33="","",SUMIFS(Лэндинг!$H$5:$H$300,Лэндинг!$E$5:$E$300,$B33)+SUMIFS(Закрытые!$H$5:$H$300,Закрытые!$E$5:$E$300,$B33,Закрытые!$B$5:$B$300,"L-*"))</f>
        <v/>
      </c>
      <c r="F33" s="240" t="str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 t="str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 t="str">
        <f>IF(F33="","",SUMIFS(Лэндинг!$K$5:$K$300,Лэндинг!$E$5:$E$300,$B33)+SUMIFS(Закрытые!$K$5:$K$300,Закрытые!$E$5:$E$300,$B33,Закрытые!$B$5:$B$300,"L-*"))</f>
        <v/>
      </c>
      <c r="I33" s="240" t="str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 t="str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 t="str">
        <f>IF(MIN(N(C33),N(F33))&lt;=0,"",ROUND(MIN(N(C33),N(F33))*(N(G33)-N(D33)),8))</f>
        <v/>
      </c>
      <c r="L33" s="177" t="str">
        <f>IF(MIN(N(C33),N(F33))&lt;=0,"",IF(N(D33)=0,"",ROUND((N(G33)/N(D33)-1)*100,2)))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 t="str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 t="str">
        <f>IF(C34="","",SUMIFS(Лэндинг!$H$5:$H$300,Лэндинг!$E$5:$E$300,$B34)+SUMIFS(Закрытые!$H$5:$H$300,Закрытые!$E$5:$E$300,$B34,Закрытые!$B$5:$B$300,"L-*"))</f>
        <v/>
      </c>
      <c r="F34" s="246" t="str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 t="str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 t="str">
        <f>IF(F34="","",SUMIFS(Лэндинг!$K$5:$K$300,Лэндинг!$E$5:$E$300,$B34)+SUMIFS(Закрытые!$K$5:$K$300,Закрытые!$E$5:$E$300,$B34,Закрытые!$B$5:$B$300,"L-*"))</f>
        <v/>
      </c>
      <c r="I34" s="246" t="str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 t="str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 t="str">
        <f>IF(MIN(N(C34),N(F34))&lt;=0,"",ROUND(MIN(N(C34),N(F34))*(N(G34)-N(D34)),8))</f>
        <v/>
      </c>
      <c r="L34" s="183" t="str">
        <f>IF(MIN(N(C34),N(F34))&lt;=0,"",IF(N(D34)=0,"",ROUND((N(G34)/N(D34)-1)*100,2)))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 t="str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 t="str">
        <f>IF(C35="","",SUMIFS(Лэндинг!$H$5:$H$300,Лэндинг!$E$5:$E$300,$B35)+SUMIFS(Закрытые!$H$5:$H$300,Закрытые!$E$5:$E$300,$B35,Закрытые!$B$5:$B$300,"L-*"))</f>
        <v/>
      </c>
      <c r="F35" s="240" t="str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 t="str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 t="str">
        <f>IF(F35="","",SUMIFS(Лэндинг!$K$5:$K$300,Лэндинг!$E$5:$E$300,$B35)+SUMIFS(Закрытые!$K$5:$K$300,Закрытые!$E$5:$E$300,$B35,Закрытые!$B$5:$B$300,"L-*"))</f>
        <v/>
      </c>
      <c r="I35" s="240" t="str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 t="str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 t="str">
        <f>IF(MIN(N(C35),N(F35))&lt;=0,"",ROUND(MIN(N(C35),N(F35))*(N(G35)-N(D35)),8))</f>
        <v/>
      </c>
      <c r="L35" s="177" t="str">
        <f>IF(MIN(N(C35),N(F35))&lt;=0,"",IF(N(D35)=0,"",ROUND((N(G35)/N(D35)-1)*100,2)))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 t="str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 t="str">
        <f>IF(C36="","",SUMIFS(Лэндинг!$H$5:$H$300,Лэндинг!$E$5:$E$300,$B36)+SUMIFS(Закрытые!$H$5:$H$300,Закрытые!$E$5:$E$300,$B36,Закрытые!$B$5:$B$300,"L-*"))</f>
        <v/>
      </c>
      <c r="F36" s="246" t="str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 t="str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 t="str">
        <f>IF(F36="","",SUMIFS(Лэндинг!$K$5:$K$300,Лэндинг!$E$5:$E$300,$B36)+SUMIFS(Закрытые!$K$5:$K$300,Закрытые!$E$5:$E$300,$B36,Закрытые!$B$5:$B$300,"L-*"))</f>
        <v/>
      </c>
      <c r="I36" s="246" t="str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 t="str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 t="str">
        <f>IF(MIN(N(C36),N(F36))&lt;=0,"",ROUND(MIN(N(C36),N(F36))*(N(G36)-N(D36)),8))</f>
        <v/>
      </c>
      <c r="L36" s="183" t="str">
        <f>IF(MIN(N(C36),N(F36))&lt;=0,"",IF(N(D36)=0,"",ROUND((N(G36)/N(D36)-1)*100,2)))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 t="str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 t="str">
        <f>IF(C37="","",SUMIFS(Лэндинг!$H$5:$H$300,Лэндинг!$E$5:$E$300,$B37)+SUMIFS(Закрытые!$H$5:$H$300,Закрытые!$E$5:$E$300,$B37,Закрытые!$B$5:$B$300,"L-*"))</f>
        <v/>
      </c>
      <c r="F37" s="240" t="str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 t="str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 t="str">
        <f>IF(F37="","",SUMIFS(Лэндинг!$K$5:$K$300,Лэндинг!$E$5:$E$300,$B37)+SUMIFS(Закрытые!$K$5:$K$300,Закрытые!$E$5:$E$300,$B37,Закрытые!$B$5:$B$300,"L-*"))</f>
        <v/>
      </c>
      <c r="I37" s="240" t="str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 t="str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 t="str">
        <f>IF(MIN(N(C37),N(F37))&lt;=0,"",ROUND(MIN(N(C37),N(F37))*(N(G37)-N(D37)),8))</f>
        <v/>
      </c>
      <c r="L37" s="177" t="str">
        <f>IF(MIN(N(C37),N(F37))&lt;=0,"",IF(N(D37)=0,"",ROUND((N(G37)/N(D37)-1)*100,2)))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 t="str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 t="str">
        <f>IF(C38="","",SUMIFS(Лэндинг!$H$5:$H$300,Лэндинг!$E$5:$E$300,$B38)+SUMIFS(Закрытые!$H$5:$H$300,Закрытые!$E$5:$E$300,$B38,Закрытые!$B$5:$B$300,"L-*"))</f>
        <v/>
      </c>
      <c r="F38" s="246" t="str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 t="str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 t="str">
        <f>IF(F38="","",SUMIFS(Лэндинг!$K$5:$K$300,Лэндинг!$E$5:$E$300,$B38)+SUMIFS(Закрытые!$K$5:$K$300,Закрытые!$E$5:$E$300,$B38,Закрытые!$B$5:$B$300,"L-*"))</f>
        <v/>
      </c>
      <c r="I38" s="246" t="str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 t="str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 t="str">
        <f>IF(MIN(N(C38),N(F38))&lt;=0,"",ROUND(MIN(N(C38),N(F38))*(N(G38)-N(D38)),8))</f>
        <v/>
      </c>
      <c r="L38" s="183" t="str">
        <f>IF(MIN(N(C38),N(F38))&lt;=0,"",IF(N(D38)=0,"",ROUND((N(G38)/N(D38)-1)*100,2)))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 t="str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 t="str">
        <f>IF(C39="","",SUMIFS(Лэндинг!$H$5:$H$300,Лэндинг!$E$5:$E$300,$B39)+SUMIFS(Закрытые!$H$5:$H$300,Закрытые!$E$5:$E$300,$B39,Закрытые!$B$5:$B$300,"L-*"))</f>
        <v/>
      </c>
      <c r="F39" s="240" t="str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 t="str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 t="str">
        <f>IF(F39="","",SUMIFS(Лэндинг!$K$5:$K$300,Лэндинг!$E$5:$E$300,$B39)+SUMIFS(Закрытые!$K$5:$K$300,Закрытые!$E$5:$E$300,$B39,Закрытые!$B$5:$B$300,"L-*"))</f>
        <v/>
      </c>
      <c r="I39" s="240" t="str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 t="str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 t="str">
        <f>IF(MIN(N(C39),N(F39))&lt;=0,"",ROUND(MIN(N(C39),N(F39))*(N(G39)-N(D39)),8))</f>
        <v/>
      </c>
      <c r="L39" s="177" t="str">
        <f>IF(MIN(N(C39),N(F39))&lt;=0,"",IF(N(D39)=0,"",ROUND((N(G39)/N(D39)-1)*100,2)))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 t="str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 t="str">
        <f>IF(C40="","",SUMIFS(Лэндинг!$H$5:$H$300,Лэндинг!$E$5:$E$300,$B40)+SUMIFS(Закрытые!$H$5:$H$300,Закрытые!$E$5:$E$300,$B40,Закрытые!$B$5:$B$300,"L-*"))</f>
        <v/>
      </c>
      <c r="F40" s="246" t="str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 t="str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 t="str">
        <f>IF(F40="","",SUMIFS(Лэндинг!$K$5:$K$300,Лэндинг!$E$5:$E$300,$B40)+SUMIFS(Закрытые!$K$5:$K$300,Закрытые!$E$5:$E$300,$B40,Закрытые!$B$5:$B$300,"L-*"))</f>
        <v/>
      </c>
      <c r="I40" s="246" t="str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 t="str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 t="str">
        <f>IF(MIN(N(C40),N(F40))&lt;=0,"",ROUND(MIN(N(C40),N(F40))*(N(G40)-N(D40)),8))</f>
        <v/>
      </c>
      <c r="L40" s="183" t="str">
        <f>IF(MIN(N(C40),N(F40))&lt;=0,"",IF(N(D40)=0,"",ROUND((N(G40)/N(D40)-1)*100,2)))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 t="str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 t="str">
        <f>IF(C41="","",SUMIFS(Лэндинг!$H$5:$H$300,Лэндинг!$E$5:$E$300,$B41)+SUMIFS(Закрытые!$H$5:$H$300,Закрытые!$E$5:$E$300,$B41,Закрытые!$B$5:$B$300,"L-*"))</f>
        <v/>
      </c>
      <c r="F41" s="240" t="str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 t="str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 t="str">
        <f>IF(F41="","",SUMIFS(Лэндинг!$K$5:$K$300,Лэндинг!$E$5:$E$300,$B41)+SUMIFS(Закрытые!$K$5:$K$300,Закрытые!$E$5:$E$300,$B41,Закрытые!$B$5:$B$300,"L-*"))</f>
        <v/>
      </c>
      <c r="I41" s="240" t="str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 t="str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 t="str">
        <f>IF(MIN(N(C41),N(F41))&lt;=0,"",ROUND(MIN(N(C41),N(F41))*(N(G41)-N(D41)),8))</f>
        <v/>
      </c>
      <c r="L41" s="177" t="str">
        <f>IF(MIN(N(C41),N(F41))&lt;=0,"",IF(N(D41)=0,"",ROUND((N(G41)/N(D41)-1)*100,2)))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 t="str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 t="str">
        <f>IF(C42="","",SUMIFS(Лэндинг!$H$5:$H$300,Лэндинг!$E$5:$E$300,$B42)+SUMIFS(Закрытые!$H$5:$H$300,Закрытые!$E$5:$E$300,$B42,Закрытые!$B$5:$B$300,"L-*"))</f>
        <v/>
      </c>
      <c r="F42" s="246" t="str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 t="str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 t="str">
        <f>IF(F42="","",SUMIFS(Лэндинг!$K$5:$K$300,Лэндинг!$E$5:$E$300,$B42)+SUMIFS(Закрытые!$K$5:$K$300,Закрытые!$E$5:$E$300,$B42,Закрытые!$B$5:$B$300,"L-*"))</f>
        <v/>
      </c>
      <c r="I42" s="246" t="str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 t="str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 t="str">
        <f>IF(MIN(N(C42),N(F42))&lt;=0,"",ROUND(MIN(N(C42),N(F42))*(N(G42)-N(D42)),8))</f>
        <v/>
      </c>
      <c r="L42" s="183" t="str">
        <f>IF(MIN(N(C42),N(F42))&lt;=0,"",IF(N(D42)=0,"",ROUND((N(G42)/N(D42)-1)*100,2)))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 t="str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 t="str">
        <f>IF(C43="","",SUMIFS(Лэндинг!$H$5:$H$300,Лэндинг!$E$5:$E$300,$B43)+SUMIFS(Закрытые!$H$5:$H$300,Закрытые!$E$5:$E$300,$B43,Закрытые!$B$5:$B$300,"L-*"))</f>
        <v/>
      </c>
      <c r="F43" s="240" t="str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 t="str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 t="str">
        <f>IF(F43="","",SUMIFS(Лэндинг!$K$5:$K$300,Лэндинг!$E$5:$E$300,$B43)+SUMIFS(Закрытые!$K$5:$K$300,Закрытые!$E$5:$E$300,$B43,Закрытые!$B$5:$B$300,"L-*"))</f>
        <v/>
      </c>
      <c r="I43" s="240" t="str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 t="str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 t="str">
        <f>IF(MIN(N(C43),N(F43))&lt;=0,"",ROUND(MIN(N(C43),N(F43))*(N(G43)-N(D43)),8))</f>
        <v/>
      </c>
      <c r="L43" s="177" t="str">
        <f>IF(MIN(N(C43),N(F43))&lt;=0,"",IF(N(D43)=0,"",ROUND((N(G43)/N(D43)-1)*100,2)))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 t="str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 t="str">
        <f>IF(C44="","",SUMIFS(Лэндинг!$H$5:$H$300,Лэндинг!$E$5:$E$300,$B44)+SUMIFS(Закрытые!$H$5:$H$300,Закрытые!$E$5:$E$300,$B44,Закрытые!$B$5:$B$300,"L-*"))</f>
        <v/>
      </c>
      <c r="F44" s="246" t="str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 t="str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 t="str">
        <f>IF(F44="","",SUMIFS(Лэндинг!$K$5:$K$300,Лэндинг!$E$5:$E$300,$B44)+SUMIFS(Закрытые!$K$5:$K$300,Закрытые!$E$5:$E$300,$B44,Закрытые!$B$5:$B$300,"L-*"))</f>
        <v/>
      </c>
      <c r="I44" s="246" t="str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 t="str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 t="str">
        <f>IF(MIN(N(C44),N(F44))&lt;=0,"",ROUND(MIN(N(C44),N(F44))*(N(G44)-N(D44)),8))</f>
        <v/>
      </c>
      <c r="L44" s="183" t="str">
        <f>IF(MIN(N(C44),N(F44))&lt;=0,"",IF(N(D44)=0,"",ROUND((N(G44)/N(D44)-1)*100,2)))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 t="str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 t="str">
        <f>IF(C45="","",SUMIFS(Лэндинг!$H$5:$H$300,Лэндинг!$E$5:$E$300,$B45)+SUMIFS(Закрытые!$H$5:$H$300,Закрытые!$E$5:$E$300,$B45,Закрытые!$B$5:$B$300,"L-*"))</f>
        <v/>
      </c>
      <c r="F45" s="240" t="str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 t="str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 t="str">
        <f>IF(F45="","",SUMIFS(Лэндинг!$K$5:$K$300,Лэндинг!$E$5:$E$300,$B45)+SUMIFS(Закрытые!$K$5:$K$300,Закрытые!$E$5:$E$300,$B45,Закрытые!$B$5:$B$300,"L-*"))</f>
        <v/>
      </c>
      <c r="I45" s="240" t="str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 t="str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 t="str">
        <f>IF(MIN(N(C45),N(F45))&lt;=0,"",ROUND(MIN(N(C45),N(F45))*(N(G45)-N(D45)),8))</f>
        <v/>
      </c>
      <c r="L45" s="177" t="str">
        <f>IF(MIN(N(C45),N(F45))&lt;=0,"",IF(N(D45)=0,"",ROUND((N(G45)/N(D45)-1)*100,2)))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 t="str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 t="str">
        <f>IF(C46="","",SUMIFS(Лэндинг!$H$5:$H$300,Лэндинг!$E$5:$E$300,$B46)+SUMIFS(Закрытые!$H$5:$H$300,Закрытые!$E$5:$E$300,$B46,Закрытые!$B$5:$B$300,"L-*"))</f>
        <v/>
      </c>
      <c r="F46" s="246" t="str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 t="str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 t="str">
        <f>IF(F46="","",SUMIFS(Лэндинг!$K$5:$K$300,Лэндинг!$E$5:$E$300,$B46)+SUMIFS(Закрытые!$K$5:$K$300,Закрытые!$E$5:$E$300,$B46,Закрытые!$B$5:$B$300,"L-*"))</f>
        <v/>
      </c>
      <c r="I46" s="246" t="str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 t="str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 t="str">
        <f>IF(MIN(N(C46),N(F46))&lt;=0,"",ROUND(MIN(N(C46),N(F46))*(N(G46)-N(D46)),8))</f>
        <v/>
      </c>
      <c r="L46" s="183" t="str">
        <f>IF(MIN(N(C46),N(F46))&lt;=0,"",IF(N(D46)=0,"",ROUND((N(G46)/N(D46)-1)*100,2)))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 t="str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 t="str">
        <f>IF(C47="","",SUMIFS(Лэндинг!$H$5:$H$300,Лэндинг!$E$5:$E$300,$B47)+SUMIFS(Закрытые!$H$5:$H$300,Закрытые!$E$5:$E$300,$B47,Закрытые!$B$5:$B$300,"L-*"))</f>
        <v/>
      </c>
      <c r="F47" s="240" t="str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 t="str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 t="str">
        <f>IF(F47="","",SUMIFS(Лэндинг!$K$5:$K$300,Лэндинг!$E$5:$E$300,$B47)+SUMIFS(Закрытые!$K$5:$K$300,Закрытые!$E$5:$E$300,$B47,Закрытые!$B$5:$B$300,"L-*"))</f>
        <v/>
      </c>
      <c r="I47" s="240" t="str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 t="str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 t="str">
        <f>IF(MIN(N(C47),N(F47))&lt;=0,"",ROUND(MIN(N(C47),N(F47))*(N(G47)-N(D47)),8))</f>
        <v/>
      </c>
      <c r="L47" s="177" t="str">
        <f>IF(MIN(N(C47),N(F47))&lt;=0,"",IF(N(D47)=0,"",ROUND((N(G47)/N(D47)-1)*100,2)))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 t="str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 t="str">
        <f>IF(C48="","",SUMIFS(Лэндинг!$H$5:$H$300,Лэндинг!$E$5:$E$300,$B48)+SUMIFS(Закрытые!$H$5:$H$300,Закрытые!$E$5:$E$300,$B48,Закрытые!$B$5:$B$300,"L-*"))</f>
        <v/>
      </c>
      <c r="F48" s="246" t="str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 t="str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 t="str">
        <f>IF(F48="","",SUMIFS(Лэндинг!$K$5:$K$300,Лэндинг!$E$5:$E$300,$B48)+SUMIFS(Закрытые!$K$5:$K$300,Закрытые!$E$5:$E$300,$B48,Закрытые!$B$5:$B$300,"L-*"))</f>
        <v/>
      </c>
      <c r="I48" s="246" t="str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 t="str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 t="str">
        <f>IF(MIN(N(C48),N(F48))&lt;=0,"",ROUND(MIN(N(C48),N(F48))*(N(G48)-N(D48)),8))</f>
        <v/>
      </c>
      <c r="L48" s="183" t="str">
        <f>IF(MIN(N(C48),N(F48))&lt;=0,"",IF(N(D48)=0,"",ROUND((N(G48)/N(D48)-1)*100,2)))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 t="str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 t="str">
        <f>IF(C49="","",SUMIFS(Лэндинг!$H$5:$H$300,Лэндинг!$E$5:$E$300,$B49)+SUMIFS(Закрытые!$H$5:$H$300,Закрытые!$E$5:$E$300,$B49,Закрытые!$B$5:$B$300,"L-*"))</f>
        <v/>
      </c>
      <c r="F49" s="240" t="str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 t="str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 t="str">
        <f>IF(F49="","",SUMIFS(Лэндинг!$K$5:$K$300,Лэндинг!$E$5:$E$300,$B49)+SUMIFS(Закрытые!$K$5:$K$300,Закрытые!$E$5:$E$300,$B49,Закрытые!$B$5:$B$300,"L-*"))</f>
        <v/>
      </c>
      <c r="I49" s="240" t="str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 t="str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 t="str">
        <f>IF(MIN(N(C49),N(F49))&lt;=0,"",ROUND(MIN(N(C49),N(F49))*(N(G49)-N(D49)),8))</f>
        <v/>
      </c>
      <c r="L49" s="177" t="str">
        <f>IF(MIN(N(C49),N(F49))&lt;=0,"",IF(N(D49)=0,"",ROUND((N(G49)/N(D49)-1)*100,2)))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 t="str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 t="str">
        <f>IF(C50="","",SUMIFS(Лэндинг!$H$5:$H$300,Лэндинг!$E$5:$E$300,$B50)+SUMIFS(Закрытые!$H$5:$H$300,Закрытые!$E$5:$E$300,$B50,Закрытые!$B$5:$B$300,"L-*"))</f>
        <v/>
      </c>
      <c r="F50" s="246" t="str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 t="str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 t="str">
        <f>IF(F50="","",SUMIFS(Лэндинг!$K$5:$K$300,Лэндинг!$E$5:$E$300,$B50)+SUMIFS(Закрытые!$K$5:$K$300,Закрытые!$E$5:$E$300,$B50,Закрытые!$B$5:$B$300,"L-*"))</f>
        <v/>
      </c>
      <c r="I50" s="246" t="str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 t="str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 t="str">
        <f>IF(MIN(N(C50),N(F50))&lt;=0,"",ROUND(MIN(N(C50),N(F50))*(N(G50)-N(D50)),8))</f>
        <v/>
      </c>
      <c r="L50" s="183" t="str">
        <f>IF(MIN(N(C50),N(F50))&lt;=0,"",IF(N(D50)=0,"",ROUND((N(G50)/N(D50)-1)*100,2)))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 t="str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 t="str">
        <f>IF(C51="","",SUMIFS(Лэндинг!$H$5:$H$300,Лэндинг!$E$5:$E$300,$B51)+SUMIFS(Закрытые!$H$5:$H$300,Закрытые!$E$5:$E$300,$B51,Закрытые!$B$5:$B$300,"L-*"))</f>
        <v/>
      </c>
      <c r="F51" s="240" t="str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 t="str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 t="str">
        <f>IF(F51="","",SUMIFS(Лэндинг!$K$5:$K$300,Лэндинг!$E$5:$E$300,$B51)+SUMIFS(Закрытые!$K$5:$K$300,Закрытые!$E$5:$E$300,$B51,Закрытые!$B$5:$B$300,"L-*"))</f>
        <v/>
      </c>
      <c r="I51" s="240" t="str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 t="str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 t="str">
        <f>IF(MIN(N(C51),N(F51))&lt;=0,"",ROUND(MIN(N(C51),N(F51))*(N(G51)-N(D51)),8))</f>
        <v/>
      </c>
      <c r="L51" s="177" t="str">
        <f>IF(MIN(N(C51),N(F51))&lt;=0,"",IF(N(D51)=0,"",ROUND((N(G51)/N(D51)-1)*100,2)))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 t="str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 t="str">
        <f>IF(C52="","",SUMIFS(Лэндинг!$H$5:$H$300,Лэндинг!$E$5:$E$300,$B52)+SUMIFS(Закрытые!$H$5:$H$300,Закрытые!$E$5:$E$300,$B52,Закрытые!$B$5:$B$300,"L-*"))</f>
        <v/>
      </c>
      <c r="F52" s="246" t="str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 t="str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 t="str">
        <f>IF(F52="","",SUMIFS(Лэндинг!$K$5:$K$300,Лэндинг!$E$5:$E$300,$B52)+SUMIFS(Закрытые!$K$5:$K$300,Закрытые!$E$5:$E$300,$B52,Закрытые!$B$5:$B$300,"L-*"))</f>
        <v/>
      </c>
      <c r="I52" s="246" t="str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 t="str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 t="str">
        <f>IF(MIN(N(C52),N(F52))&lt;=0,"",ROUND(MIN(N(C52),N(F52))*(N(G52)-N(D52)),8))</f>
        <v/>
      </c>
      <c r="L52" s="183" t="str">
        <f>IF(MIN(N(C52),N(F52))&lt;=0,"",IF(N(D52)=0,"",ROUND((N(G52)/N(D52)-1)*100,2)))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 t="str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 t="str">
        <f>IF(C53="","",SUMIFS(Лэндинг!$H$5:$H$300,Лэндинг!$E$5:$E$300,$B53)+SUMIFS(Закрытые!$H$5:$H$300,Закрытые!$E$5:$E$300,$B53,Закрытые!$B$5:$B$300,"L-*"))</f>
        <v/>
      </c>
      <c r="F53" s="240" t="str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 t="str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 t="str">
        <f>IF(F53="","",SUMIFS(Лэндинг!$K$5:$K$300,Лэндинг!$E$5:$E$300,$B53)+SUMIFS(Закрытые!$K$5:$K$300,Закрытые!$E$5:$E$300,$B53,Закрытые!$B$5:$B$300,"L-*"))</f>
        <v/>
      </c>
      <c r="I53" s="240" t="str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 t="str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 t="str">
        <f>IF(MIN(N(C53),N(F53))&lt;=0,"",ROUND(MIN(N(C53),N(F53))*(N(G53)-N(D53)),8))</f>
        <v/>
      </c>
      <c r="L53" s="177" t="str">
        <f>IF(MIN(N(C53),N(F53))&lt;=0,"",IF(N(D53)=0,"",ROUND((N(G53)/N(D53)-1)*100,2)))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 t="str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 t="str">
        <f>IF(C54="","",SUMIFS(Лэндинг!$H$5:$H$300,Лэндинг!$E$5:$E$300,$B54)+SUMIFS(Закрытые!$H$5:$H$300,Закрытые!$E$5:$E$300,$B54,Закрытые!$B$5:$B$300,"L-*"))</f>
        <v/>
      </c>
      <c r="F54" s="246" t="str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 t="str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 t="str">
        <f>IF(F54="","",SUMIFS(Лэндинг!$K$5:$K$300,Лэндинг!$E$5:$E$300,$B54)+SUMIFS(Закрытые!$K$5:$K$300,Закрытые!$E$5:$E$300,$B54,Закрытые!$B$5:$B$300,"L-*"))</f>
        <v/>
      </c>
      <c r="I54" s="246" t="str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 t="str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 t="str">
        <f>IF(MIN(N(C54),N(F54))&lt;=0,"",ROUND(MIN(N(C54),N(F54))*(N(G54)-N(D54)),8))</f>
        <v/>
      </c>
      <c r="L54" s="183" t="str">
        <f>IF(MIN(N(C54),N(F54))&lt;=0,"",IF(N(D54)=0,"",ROUND((N(G54)/N(D54)-1)*100,2)))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 t="str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 t="str">
        <f>IF(C55="","",SUMIFS(Лэндинг!$H$5:$H$300,Лэндинг!$E$5:$E$300,$B55)+SUMIFS(Закрытые!$H$5:$H$300,Закрытые!$E$5:$E$300,$B55,Закрытые!$B$5:$B$300,"L-*"))</f>
        <v/>
      </c>
      <c r="F55" s="240" t="str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 t="str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 t="str">
        <f>IF(F55="","",SUMIFS(Лэндинг!$K$5:$K$300,Лэндинг!$E$5:$E$300,$B55)+SUMIFS(Закрытые!$K$5:$K$300,Закрытые!$E$5:$E$300,$B55,Закрытые!$B$5:$B$300,"L-*"))</f>
        <v/>
      </c>
      <c r="I55" s="240" t="str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 t="str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 t="str">
        <f>IF(MIN(N(C55),N(F55))&lt;=0,"",ROUND(MIN(N(C55),N(F55))*(N(G55)-N(D55)),8))</f>
        <v/>
      </c>
      <c r="L55" s="177" t="str">
        <f>IF(MIN(N(C55),N(F55))&lt;=0,"",IF(N(D55)=0,"",ROUND((N(G55)/N(D55)-1)*100,2)))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 t="str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 t="str">
        <f>IF(C56="","",SUMIFS(Лэндинг!$H$5:$H$300,Лэндинг!$E$5:$E$300,$B56)+SUMIFS(Закрытые!$H$5:$H$300,Закрытые!$E$5:$E$300,$B56,Закрытые!$B$5:$B$300,"L-*"))</f>
        <v/>
      </c>
      <c r="F56" s="246" t="str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 t="str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 t="str">
        <f>IF(F56="","",SUMIFS(Лэндинг!$K$5:$K$300,Лэндинг!$E$5:$E$300,$B56)+SUMIFS(Закрытые!$K$5:$K$300,Закрытые!$E$5:$E$300,$B56,Закрытые!$B$5:$B$300,"L-*"))</f>
        <v/>
      </c>
      <c r="I56" s="246" t="str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 t="str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 t="str">
        <f>IF(MIN(N(C56),N(F56))&lt;=0,"",ROUND(MIN(N(C56),N(F56))*(N(G56)-N(D56)),8))</f>
        <v/>
      </c>
      <c r="L56" s="183" t="str">
        <f>IF(MIN(N(C56),N(F56))&lt;=0,"",IF(N(D56)=0,"",ROUND((N(G56)/N(D56)-1)*100,2)))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 t="str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 t="str">
        <f>IF(C57="","",SUMIFS(Лэндинг!$H$5:$H$300,Лэндинг!$E$5:$E$300,$B57)+SUMIFS(Закрытые!$H$5:$H$300,Закрытые!$E$5:$E$300,$B57,Закрытые!$B$5:$B$300,"L-*"))</f>
        <v/>
      </c>
      <c r="F57" s="240" t="str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 t="str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 t="str">
        <f>IF(F57="","",SUMIFS(Лэндинг!$K$5:$K$300,Лэндинг!$E$5:$E$300,$B57)+SUMIFS(Закрытые!$K$5:$K$300,Закрытые!$E$5:$E$300,$B57,Закрытые!$B$5:$B$300,"L-*"))</f>
        <v/>
      </c>
      <c r="I57" s="240" t="str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 t="str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 t="str">
        <f>IF(MIN(N(C57),N(F57))&lt;=0,"",ROUND(MIN(N(C57),N(F57))*(N(G57)-N(D57)),8))</f>
        <v/>
      </c>
      <c r="L57" s="177" t="str">
        <f>IF(MIN(N(C57),N(F57))&lt;=0,"",IF(N(D57)=0,"",ROUND((N(G57)/N(D57)-1)*100,2)))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 t="str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 t="str">
        <f>IF(C58="","",SUMIFS(Лэндинг!$H$5:$H$300,Лэндинг!$E$5:$E$300,$B58)+SUMIFS(Закрытые!$H$5:$H$300,Закрытые!$E$5:$E$300,$B58,Закрытые!$B$5:$B$300,"L-*"))</f>
        <v/>
      </c>
      <c r="F58" s="246" t="str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 t="str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 t="str">
        <f>IF(F58="","",SUMIFS(Лэндинг!$K$5:$K$300,Лэндинг!$E$5:$E$300,$B58)+SUMIFS(Закрытые!$K$5:$K$300,Закрытые!$E$5:$E$300,$B58,Закрытые!$B$5:$B$300,"L-*"))</f>
        <v/>
      </c>
      <c r="I58" s="246" t="str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 t="str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 t="str">
        <f>IF(MIN(N(C58),N(F58))&lt;=0,"",ROUND(MIN(N(C58),N(F58))*(N(G58)-N(D58)),8))</f>
        <v/>
      </c>
      <c r="L58" s="183" t="str">
        <f>IF(MIN(N(C58),N(F58))&lt;=0,"",IF(N(D58)=0,"",ROUND((N(G58)/N(D58)-1)*100,2)))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 t="str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 t="str">
        <f>IF(C59="","",SUMIFS(Лэндинг!$H$5:$H$300,Лэндинг!$E$5:$E$300,$B59)+SUMIFS(Закрытые!$H$5:$H$300,Закрытые!$E$5:$E$300,$B59,Закрытые!$B$5:$B$300,"L-*"))</f>
        <v/>
      </c>
      <c r="F59" s="240" t="str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 t="str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 t="str">
        <f>IF(F59="","",SUMIFS(Лэндинг!$K$5:$K$300,Лэндинг!$E$5:$E$300,$B59)+SUMIFS(Закрытые!$K$5:$K$300,Закрытые!$E$5:$E$300,$B59,Закрытые!$B$5:$B$300,"L-*"))</f>
        <v/>
      </c>
      <c r="I59" s="240" t="str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 t="str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 t="str">
        <f>IF(MIN(N(C59),N(F59))&lt;=0,"",ROUND(MIN(N(C59),N(F59))*(N(G59)-N(D59)),8))</f>
        <v/>
      </c>
      <c r="L59" s="177" t="str">
        <f>IF(MIN(N(C59),N(F59))&lt;=0,"",IF(N(D59)=0,"",ROUND((N(G59)/N(D59)-1)*100,2)))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 t="str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 t="str">
        <f>IF(C60="","",SUMIFS(Лэндинг!$H$5:$H$300,Лэндинг!$E$5:$E$300,$B60)+SUMIFS(Закрытые!$H$5:$H$300,Закрытые!$E$5:$E$300,$B60,Закрытые!$B$5:$B$300,"L-*"))</f>
        <v/>
      </c>
      <c r="F60" s="246" t="str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 t="str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 t="str">
        <f>IF(F60="","",SUMIFS(Лэндинг!$K$5:$K$300,Лэндинг!$E$5:$E$300,$B60)+SUMIFS(Закрытые!$K$5:$K$300,Закрытые!$E$5:$E$300,$B60,Закрытые!$B$5:$B$300,"L-*"))</f>
        <v/>
      </c>
      <c r="I60" s="246" t="str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 t="str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 t="str">
        <f>IF(MIN(N(C60),N(F60))&lt;=0,"",ROUND(MIN(N(C60),N(F60))*(N(G60)-N(D60)),8))</f>
        <v/>
      </c>
      <c r="L60" s="183" t="str">
        <f>IF(MIN(N(C60),N(F60))&lt;=0,"",IF(N(D60)=0,"",ROUND((N(G60)/N(D60)-1)*100,2)))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 t="str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 t="str">
        <f>IF(C61="","",SUMIFS(Лэндинг!$H$5:$H$300,Лэндинг!$E$5:$E$300,$B61)+SUMIFS(Закрытые!$H$5:$H$300,Закрытые!$E$5:$E$300,$B61,Закрытые!$B$5:$B$300,"L-*"))</f>
        <v/>
      </c>
      <c r="F61" s="240" t="str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 t="str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 t="str">
        <f>IF(F61="","",SUMIFS(Лэндинг!$K$5:$K$300,Лэндинг!$E$5:$E$300,$B61)+SUMIFS(Закрытые!$K$5:$K$300,Закрытые!$E$5:$E$300,$B61,Закрытые!$B$5:$B$300,"L-*"))</f>
        <v/>
      </c>
      <c r="I61" s="240" t="str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 t="str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 t="str">
        <f>IF(MIN(N(C61),N(F61))&lt;=0,"",ROUND(MIN(N(C61),N(F61))*(N(G61)-N(D61)),8))</f>
        <v/>
      </c>
      <c r="L61" s="177" t="str">
        <f>IF(MIN(N(C61),N(F61))&lt;=0,"",IF(N(D61)=0,"",ROUND((N(G61)/N(D61)-1)*100,2)))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 t="str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 t="str">
        <f>IF(C62="","",SUMIFS(Лэндинг!$H$5:$H$300,Лэндинг!$E$5:$E$300,$B62)+SUMIFS(Закрытые!$H$5:$H$300,Закрытые!$E$5:$E$300,$B62,Закрытые!$B$5:$B$300,"L-*"))</f>
        <v/>
      </c>
      <c r="F62" s="246" t="str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 t="str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 t="str">
        <f>IF(F62="","",SUMIFS(Лэндинг!$K$5:$K$300,Лэндинг!$E$5:$E$300,$B62)+SUMIFS(Закрытые!$K$5:$K$300,Закрытые!$E$5:$E$300,$B62,Закрытые!$B$5:$B$300,"L-*"))</f>
        <v/>
      </c>
      <c r="I62" s="246" t="str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 t="str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 t="str">
        <f>IF(MIN(N(C62),N(F62))&lt;=0,"",ROUND(MIN(N(C62),N(F62))*(N(G62)-N(D62)),8))</f>
        <v/>
      </c>
      <c r="L62" s="183" t="str">
        <f>IF(MIN(N(C62),N(F62))&lt;=0,"",IF(N(D62)=0,"",ROUND((N(G62)/N(D62)-1)*100,2)))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 t="str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 t="str">
        <f>IF(C63="","",SUMIFS(Лэндинг!$H$5:$H$300,Лэндинг!$E$5:$E$300,$B63)+SUMIFS(Закрытые!$H$5:$H$300,Закрытые!$E$5:$E$300,$B63,Закрытые!$B$5:$B$300,"L-*"))</f>
        <v/>
      </c>
      <c r="F63" s="240" t="str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 t="str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 t="str">
        <f>IF(F63="","",SUMIFS(Лэндинг!$K$5:$K$300,Лэндинг!$E$5:$E$300,$B63)+SUMIFS(Закрытые!$K$5:$K$300,Закрытые!$E$5:$E$300,$B63,Закрытые!$B$5:$B$300,"L-*"))</f>
        <v/>
      </c>
      <c r="I63" s="240" t="str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 t="str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 t="str">
        <f>IF(MIN(N(C63),N(F63))&lt;=0,"",ROUND(MIN(N(C63),N(F63))*(N(G63)-N(D63)),8))</f>
        <v/>
      </c>
      <c r="L63" s="177" t="str">
        <f>IF(MIN(N(C63),N(F63))&lt;=0,"",IF(N(D63)=0,"",ROUND((N(G63)/N(D63)-1)*100,2)))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 t="str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 t="str">
        <f>IF(C64="","",SUMIFS(Лэндинг!$H$5:$H$300,Лэндинг!$E$5:$E$300,$B64)+SUMIFS(Закрытые!$H$5:$H$300,Закрытые!$E$5:$E$300,$B64,Закрытые!$B$5:$B$300,"L-*"))</f>
        <v/>
      </c>
      <c r="F64" s="246" t="str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 t="str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 t="str">
        <f>IF(F64="","",SUMIFS(Лэндинг!$K$5:$K$300,Лэндинг!$E$5:$E$300,$B64)+SUMIFS(Закрытые!$K$5:$K$300,Закрытые!$E$5:$E$300,$B64,Закрытые!$B$5:$B$300,"L-*"))</f>
        <v/>
      </c>
      <c r="I64" s="246" t="str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 t="str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 t="str">
        <f>IF(MIN(N(C64),N(F64))&lt;=0,"",ROUND(MIN(N(C64),N(F64))*(N(G64)-N(D64)),8))</f>
        <v/>
      </c>
      <c r="L64" s="183" t="str">
        <f>IF(MIN(N(C64),N(F64))&lt;=0,"",IF(N(D64)=0,"",ROUND((N(G64)/N(D64)-1)*100,2)))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 t="str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 t="str">
        <f>IF(C65="","",SUMIFS(Лэндинг!$H$5:$H$300,Лэндинг!$E$5:$E$300,$B65)+SUMIFS(Закрытые!$H$5:$H$300,Закрытые!$E$5:$E$300,$B65,Закрытые!$B$5:$B$300,"L-*"))</f>
        <v/>
      </c>
      <c r="F65" s="240" t="str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 t="str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 t="str">
        <f>IF(F65="","",SUMIFS(Лэндинг!$K$5:$K$300,Лэндинг!$E$5:$E$300,$B65)+SUMIFS(Закрытые!$K$5:$K$300,Закрытые!$E$5:$E$300,$B65,Закрытые!$B$5:$B$300,"L-*"))</f>
        <v/>
      </c>
      <c r="I65" s="240" t="str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 t="str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 t="str">
        <f>IF(MIN(N(C65),N(F65))&lt;=0,"",ROUND(MIN(N(C65),N(F65))*(N(G65)-N(D65)),8))</f>
        <v/>
      </c>
      <c r="L65" s="177" t="str">
        <f>IF(MIN(N(C65),N(F65))&lt;=0,"",IF(N(D65)=0,"",ROUND((N(G65)/N(D65)-1)*100,2)))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 t="str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 t="str">
        <f>IF(C66="","",SUMIFS(Лэндинг!$H$5:$H$300,Лэндинг!$E$5:$E$300,$B66)+SUMIFS(Закрытые!$H$5:$H$300,Закрытые!$E$5:$E$300,$B66,Закрытые!$B$5:$B$300,"L-*"))</f>
        <v/>
      </c>
      <c r="F66" s="246" t="str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 t="str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 t="str">
        <f>IF(F66="","",SUMIFS(Лэндинг!$K$5:$K$300,Лэндинг!$E$5:$E$300,$B66)+SUMIFS(Закрытые!$K$5:$K$300,Закрытые!$E$5:$E$300,$B66,Закрытые!$B$5:$B$300,"L-*"))</f>
        <v/>
      </c>
      <c r="I66" s="246" t="str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 t="str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 t="str">
        <f>IF(MIN(N(C66),N(F66))&lt;=0,"",ROUND(MIN(N(C66),N(F66))*(N(G66)-N(D66)),8))</f>
        <v/>
      </c>
      <c r="L66" s="183" t="str">
        <f>IF(MIN(N(C66),N(F66))&lt;=0,"",IF(N(D66)=0,"",ROUND((N(G66)/N(D66)-1)*100,2)))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 t="str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 t="str">
        <f>IF(C67="","",SUMIFS(Лэндинг!$H$5:$H$300,Лэндинг!$E$5:$E$300,$B67)+SUMIFS(Закрытые!$H$5:$H$300,Закрытые!$E$5:$E$300,$B67,Закрытые!$B$5:$B$300,"L-*"))</f>
        <v/>
      </c>
      <c r="F67" s="240" t="str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 t="str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 t="str">
        <f>IF(F67="","",SUMIFS(Лэндинг!$K$5:$K$300,Лэндинг!$E$5:$E$300,$B67)+SUMIFS(Закрытые!$K$5:$K$300,Закрытые!$E$5:$E$300,$B67,Закрытые!$B$5:$B$300,"L-*"))</f>
        <v/>
      </c>
      <c r="I67" s="240" t="str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 t="str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 t="str">
        <f>IF(MIN(N(C67),N(F67))&lt;=0,"",ROUND(MIN(N(C67),N(F67))*(N(G67)-N(D67)),8))</f>
        <v/>
      </c>
      <c r="L67" s="177" t="str">
        <f>IF(MIN(N(C67),N(F67))&lt;=0,"",IF(N(D67)=0,"",ROUND((N(G67)/N(D67)-1)*100,2)))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 t="str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 t="str">
        <f>IF(C68="","",SUMIFS(Лэндинг!$H$5:$H$300,Лэндинг!$E$5:$E$300,$B68)+SUMIFS(Закрытые!$H$5:$H$300,Закрытые!$E$5:$E$300,$B68,Закрытые!$B$5:$B$300,"L-*"))</f>
        <v/>
      </c>
      <c r="F68" s="246" t="str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 t="str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 t="str">
        <f>IF(F68="","",SUMIFS(Лэндинг!$K$5:$K$300,Лэндинг!$E$5:$E$300,$B68)+SUMIFS(Закрытые!$K$5:$K$300,Закрытые!$E$5:$E$300,$B68,Закрытые!$B$5:$B$300,"L-*"))</f>
        <v/>
      </c>
      <c r="I68" s="246" t="str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 t="str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 t="str">
        <f>IF(MIN(N(C68),N(F68))&lt;=0,"",ROUND(MIN(N(C68),N(F68))*(N(G68)-N(D68)),8))</f>
        <v/>
      </c>
      <c r="L68" s="183" t="str">
        <f>IF(MIN(N(C68),N(F68))&lt;=0,"",IF(N(D68)=0,"",ROUND((N(G68)/N(D68)-1)*100,2)))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 t="str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 t="str">
        <f>IF(C69="","",SUMIFS(Лэндинг!$H$5:$H$300,Лэндинг!$E$5:$E$300,$B69)+SUMIFS(Закрытые!$H$5:$H$300,Закрытые!$E$5:$E$300,$B69,Закрытые!$B$5:$B$300,"L-*"))</f>
        <v/>
      </c>
      <c r="F69" s="240" t="str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 t="str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 t="str">
        <f>IF(F69="","",SUMIFS(Лэндинг!$K$5:$K$300,Лэндинг!$E$5:$E$300,$B69)+SUMIFS(Закрытые!$K$5:$K$300,Закрытые!$E$5:$E$300,$B69,Закрытые!$B$5:$B$300,"L-*"))</f>
        <v/>
      </c>
      <c r="I69" s="240" t="str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 t="str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 t="str">
        <f>IF(MIN(N(C69),N(F69))&lt;=0,"",ROUND(MIN(N(C69),N(F69))*(N(G69)-N(D69)),8))</f>
        <v/>
      </c>
      <c r="L69" s="177" t="str">
        <f>IF(MIN(N(C69),N(F69))&lt;=0,"",IF(N(D69)=0,"",ROUND((N(G69)/N(D69)-1)*100,2)))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 t="str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 t="str">
        <f>IF(C70="","",SUMIFS(Лэндинг!$H$5:$H$300,Лэндинг!$E$5:$E$300,$B70)+SUMIFS(Закрытые!$H$5:$H$300,Закрытые!$E$5:$E$300,$B70,Закрытые!$B$5:$B$300,"L-*"))</f>
        <v/>
      </c>
      <c r="F70" s="246" t="str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 t="str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 t="str">
        <f>IF(F70="","",SUMIFS(Лэндинг!$K$5:$K$300,Лэндинг!$E$5:$E$300,$B70)+SUMIFS(Закрытые!$K$5:$K$300,Закрытые!$E$5:$E$300,$B70,Закрытые!$B$5:$B$300,"L-*"))</f>
        <v/>
      </c>
      <c r="I70" s="246" t="str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 t="str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 t="str">
        <f>IF(MIN(N(C70),N(F70))&lt;=0,"",ROUND(MIN(N(C70),N(F70))*(N(G70)-N(D70)),8))</f>
        <v/>
      </c>
      <c r="L70" s="183" t="str">
        <f>IF(MIN(N(C70),N(F70))&lt;=0,"",IF(N(D70)=0,"",ROUND((N(G70)/N(D70)-1)*100,2)))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 t="str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 t="str">
        <f>IF(C71="","",SUMIFS(Лэндинг!$H$5:$H$300,Лэндинг!$E$5:$E$300,$B71)+SUMIFS(Закрытые!$H$5:$H$300,Закрытые!$E$5:$E$300,$B71,Закрытые!$B$5:$B$300,"L-*"))</f>
        <v/>
      </c>
      <c r="F71" s="240" t="str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 t="str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 t="str">
        <f>IF(F71="","",SUMIFS(Лэндинг!$K$5:$K$300,Лэндинг!$E$5:$E$300,$B71)+SUMIFS(Закрытые!$K$5:$K$300,Закрытые!$E$5:$E$300,$B71,Закрытые!$B$5:$B$300,"L-*"))</f>
        <v/>
      </c>
      <c r="I71" s="240" t="str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 t="str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 t="str">
        <f>IF(MIN(N(C71),N(F71))&lt;=0,"",ROUND(MIN(N(C71),N(F71))*(N(G71)-N(D71)),8))</f>
        <v/>
      </c>
      <c r="L71" s="177" t="str">
        <f>IF(MIN(N(C71),N(F71))&lt;=0,"",IF(N(D71)=0,"",ROUND((N(G71)/N(D71)-1)*100,2)))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 t="str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 t="str">
        <f>IF(C72="","",SUMIFS(Лэндинг!$H$5:$H$300,Лэндинг!$E$5:$E$300,$B72)+SUMIFS(Закрытые!$H$5:$H$300,Закрытые!$E$5:$E$300,$B72,Закрытые!$B$5:$B$300,"L-*"))</f>
        <v/>
      </c>
      <c r="F72" s="246" t="str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 t="str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 t="str">
        <f>IF(F72="","",SUMIFS(Лэндинг!$K$5:$K$300,Лэндинг!$E$5:$E$300,$B72)+SUMIFS(Закрытые!$K$5:$K$300,Закрытые!$E$5:$E$300,$B72,Закрытые!$B$5:$B$300,"L-*"))</f>
        <v/>
      </c>
      <c r="I72" s="246" t="str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 t="str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 t="str">
        <f>IF(MIN(N(C72),N(F72))&lt;=0,"",ROUND(MIN(N(C72),N(F72))*(N(G72)-N(D72)),8))</f>
        <v/>
      </c>
      <c r="L72" s="183" t="str">
        <f>IF(MIN(N(C72),N(F72))&lt;=0,"",IF(N(D72)=0,"",ROUND((N(G72)/N(D72)-1)*100,2)))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 t="str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 t="str">
        <f>IF(C73="","",SUMIFS(Лэндинг!$H$5:$H$300,Лэндинг!$E$5:$E$300,$B73)+SUMIFS(Закрытые!$H$5:$H$300,Закрытые!$E$5:$E$300,$B73,Закрытые!$B$5:$B$300,"L-*"))</f>
        <v/>
      </c>
      <c r="F73" s="240" t="str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 t="str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 t="str">
        <f>IF(F73="","",SUMIFS(Лэндинг!$K$5:$K$300,Лэндинг!$E$5:$E$300,$B73)+SUMIFS(Закрытые!$K$5:$K$300,Закрытые!$E$5:$E$300,$B73,Закрытые!$B$5:$B$300,"L-*"))</f>
        <v/>
      </c>
      <c r="I73" s="240" t="str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 t="str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 t="str">
        <f>IF(MIN(N(C73),N(F73))&lt;=0,"",ROUND(MIN(N(C73),N(F73))*(N(G73)-N(D73)),8))</f>
        <v/>
      </c>
      <c r="L73" s="177" t="str">
        <f>IF(MIN(N(C73),N(F73))&lt;=0,"",IF(N(D73)=0,"",ROUND((N(G73)/N(D73)-1)*100,2)))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 t="str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 t="str">
        <f>IF(C74="","",SUMIFS(Лэндинг!$H$5:$H$300,Лэндинг!$E$5:$E$300,$B74)+SUMIFS(Закрытые!$H$5:$H$300,Закрытые!$E$5:$E$300,$B74,Закрытые!$B$5:$B$300,"L-*"))</f>
        <v/>
      </c>
      <c r="F74" s="246" t="str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 t="str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 t="str">
        <f>IF(F74="","",SUMIFS(Лэндинг!$K$5:$K$300,Лэндинг!$E$5:$E$300,$B74)+SUMIFS(Закрытые!$K$5:$K$300,Закрытые!$E$5:$E$300,$B74,Закрытые!$B$5:$B$300,"L-*"))</f>
        <v/>
      </c>
      <c r="I74" s="246" t="str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 t="str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 t="str">
        <f>IF(MIN(N(C74),N(F74))&lt;=0,"",ROUND(MIN(N(C74),N(F74))*(N(G74)-N(D74)),8))</f>
        <v/>
      </c>
      <c r="L74" s="183" t="str">
        <f>IF(MIN(N(C74),N(F74))&lt;=0,"",IF(N(D74)=0,"",ROUND((N(G74)/N(D74)-1)*100,2)))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 t="str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 t="str">
        <f>IF(C75="","",SUMIFS(Лэндинг!$H$5:$H$300,Лэндинг!$E$5:$E$300,$B75)+SUMIFS(Закрытые!$H$5:$H$300,Закрытые!$E$5:$E$300,$B75,Закрытые!$B$5:$B$300,"L-*"))</f>
        <v/>
      </c>
      <c r="F75" s="240" t="str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 t="str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 t="str">
        <f>IF(F75="","",SUMIFS(Лэндинг!$K$5:$K$300,Лэндинг!$E$5:$E$300,$B75)+SUMIFS(Закрытые!$K$5:$K$300,Закрытые!$E$5:$E$300,$B75,Закрытые!$B$5:$B$300,"L-*"))</f>
        <v/>
      </c>
      <c r="I75" s="240" t="str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 t="str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 t="str">
        <f>IF(MIN(N(C75),N(F75))&lt;=0,"",ROUND(MIN(N(C75),N(F75))*(N(G75)-N(D75)),8))</f>
        <v/>
      </c>
      <c r="L75" s="177" t="str">
        <f>IF(MIN(N(C75),N(F75))&lt;=0,"",IF(N(D75)=0,"",ROUND((N(G75)/N(D75)-1)*100,2)))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 t="str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 t="str">
        <f>IF(C76="","",SUMIFS(Лэндинг!$H$5:$H$300,Лэндинг!$E$5:$E$300,$B76)+SUMIFS(Закрытые!$H$5:$H$300,Закрытые!$E$5:$E$300,$B76,Закрытые!$B$5:$B$300,"L-*"))</f>
        <v/>
      </c>
      <c r="F76" s="246" t="str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 t="str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 t="str">
        <f>IF(F76="","",SUMIFS(Лэндинг!$K$5:$K$300,Лэндинг!$E$5:$E$300,$B76)+SUMIFS(Закрытые!$K$5:$K$300,Закрытые!$E$5:$E$300,$B76,Закрытые!$B$5:$B$300,"L-*"))</f>
        <v/>
      </c>
      <c r="I76" s="246" t="str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 t="str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 t="str">
        <f>IF(MIN(N(C76),N(F76))&lt;=0,"",ROUND(MIN(N(C76),N(F76))*(N(G76)-N(D76)),8))</f>
        <v/>
      </c>
      <c r="L76" s="183" t="str">
        <f>IF(MIN(N(C76),N(F76))&lt;=0,"",IF(N(D76)=0,"",ROUND((N(G76)/N(D76)-1)*100,2)))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 t="str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 t="str">
        <f>IF(C77="","",SUMIFS(Лэндинг!$H$5:$H$300,Лэндинг!$E$5:$E$300,$B77)+SUMIFS(Закрытые!$H$5:$H$300,Закрытые!$E$5:$E$300,$B77,Закрытые!$B$5:$B$300,"L-*"))</f>
        <v/>
      </c>
      <c r="F77" s="240" t="str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 t="str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 t="str">
        <f>IF(F77="","",SUMIFS(Лэндинг!$K$5:$K$300,Лэндинг!$E$5:$E$300,$B77)+SUMIFS(Закрытые!$K$5:$K$300,Закрытые!$E$5:$E$300,$B77,Закрытые!$B$5:$B$300,"L-*"))</f>
        <v/>
      </c>
      <c r="I77" s="240" t="str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 t="str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 t="str">
        <f>IF(MIN(N(C77),N(F77))&lt;=0,"",ROUND(MIN(N(C77),N(F77))*(N(G77)-N(D77)),8))</f>
        <v/>
      </c>
      <c r="L77" s="177" t="str">
        <f>IF(MIN(N(C77),N(F77))&lt;=0,"",IF(N(D77)=0,"",ROUND((N(G77)/N(D77)-1)*100,2)))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 t="str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 t="str">
        <f>IF(C78="","",SUMIFS(Лэндинг!$H$5:$H$300,Лэндинг!$E$5:$E$300,$B78)+SUMIFS(Закрытые!$H$5:$H$300,Закрытые!$E$5:$E$300,$B78,Закрытые!$B$5:$B$300,"L-*"))</f>
        <v/>
      </c>
      <c r="F78" s="246" t="str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 t="str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 t="str">
        <f>IF(F78="","",SUMIFS(Лэндинг!$K$5:$K$300,Лэндинг!$E$5:$E$300,$B78)+SUMIFS(Закрытые!$K$5:$K$300,Закрытые!$E$5:$E$300,$B78,Закрытые!$B$5:$B$300,"L-*"))</f>
        <v/>
      </c>
      <c r="I78" s="246" t="str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 t="str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 t="str">
        <f>IF(MIN(N(C78),N(F78))&lt;=0,"",ROUND(MIN(N(C78),N(F78))*(N(G78)-N(D78)),8))</f>
        <v/>
      </c>
      <c r="L78" s="183" t="str">
        <f>IF(MIN(N(C78),N(F78))&lt;=0,"",IF(N(D78)=0,"",ROUND((N(G78)/N(D78)-1)*100,2)))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 t="str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 t="str">
        <f>IF(C79="","",SUMIFS(Лэндинг!$H$5:$H$300,Лэндинг!$E$5:$E$300,$B79)+SUMIFS(Закрытые!$H$5:$H$300,Закрытые!$E$5:$E$300,$B79,Закрытые!$B$5:$B$300,"L-*"))</f>
        <v/>
      </c>
      <c r="F79" s="240" t="str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 t="str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 t="str">
        <f>IF(F79="","",SUMIFS(Лэндинг!$K$5:$K$300,Лэндинг!$E$5:$E$300,$B79)+SUMIFS(Закрытые!$K$5:$K$300,Закрытые!$E$5:$E$300,$B79,Закрытые!$B$5:$B$300,"L-*"))</f>
        <v/>
      </c>
      <c r="I79" s="240" t="str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 t="str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 t="str">
        <f>IF(MIN(N(C79),N(F79))&lt;=0,"",ROUND(MIN(N(C79),N(F79))*(N(G79)-N(D79)),8))</f>
        <v/>
      </c>
      <c r="L79" s="177" t="str">
        <f>IF(MIN(N(C79),N(F79))&lt;=0,"",IF(N(D79)=0,"",ROUND((N(G79)/N(D79)-1)*100,2)))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 t="str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 t="str">
        <f>IF(C80="","",SUMIFS(Лэндинг!$H$5:$H$300,Лэндинг!$E$5:$E$300,$B80)+SUMIFS(Закрытые!$H$5:$H$300,Закрытые!$E$5:$E$300,$B80,Закрытые!$B$5:$B$300,"L-*"))</f>
        <v/>
      </c>
      <c r="F80" s="246" t="str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 t="str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 t="str">
        <f>IF(F80="","",SUMIFS(Лэндинг!$K$5:$K$300,Лэндинг!$E$5:$E$300,$B80)+SUMIFS(Закрытые!$K$5:$K$300,Закрытые!$E$5:$E$300,$B80,Закрытые!$B$5:$B$300,"L-*"))</f>
        <v/>
      </c>
      <c r="I80" s="246" t="str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 t="str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 t="str">
        <f>IF(MIN(N(C80),N(F80))&lt;=0,"",ROUND(MIN(N(C80),N(F80))*(N(G80)-N(D80)),8))</f>
        <v/>
      </c>
      <c r="L80" s="183" t="str">
        <f>IF(MIN(N(C80),N(F80))&lt;=0,"",IF(N(D80)=0,"",ROUND((N(G80)/N(D80)-1)*100,2)))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 t="str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 t="str">
        <f>IF(C81="","",SUMIFS(Лэндинг!$H$5:$H$300,Лэндинг!$E$5:$E$300,$B81)+SUMIFS(Закрытые!$H$5:$H$300,Закрытые!$E$5:$E$300,$B81,Закрытые!$B$5:$B$300,"L-*"))</f>
        <v/>
      </c>
      <c r="F81" s="240" t="str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 t="str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 t="str">
        <f>IF(F81="","",SUMIFS(Лэндинг!$K$5:$K$300,Лэндинг!$E$5:$E$300,$B81)+SUMIFS(Закрытые!$K$5:$K$300,Закрытые!$E$5:$E$300,$B81,Закрытые!$B$5:$B$300,"L-*"))</f>
        <v/>
      </c>
      <c r="I81" s="240" t="str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 t="str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 t="str">
        <f>IF(MIN(N(C81),N(F81))&lt;=0,"",ROUND(MIN(N(C81),N(F81))*(N(G81)-N(D81)),8))</f>
        <v/>
      </c>
      <c r="L81" s="177" t="str">
        <f>IF(MIN(N(C81),N(F81))&lt;=0,"",IF(N(D81)=0,"",ROUND((N(G81)/N(D81)-1)*100,2)))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 t="str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 t="str">
        <f>IF(C82="","",SUMIFS(Лэндинг!$H$5:$H$300,Лэндинг!$E$5:$E$300,$B82)+SUMIFS(Закрытые!$H$5:$H$300,Закрытые!$E$5:$E$300,$B82,Закрытые!$B$5:$B$300,"L-*"))</f>
        <v/>
      </c>
      <c r="F82" s="246" t="str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 t="str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 t="str">
        <f>IF(F82="","",SUMIFS(Лэндинг!$K$5:$K$300,Лэндинг!$E$5:$E$300,$B82)+SUMIFS(Закрытые!$K$5:$K$300,Закрытые!$E$5:$E$300,$B82,Закрытые!$B$5:$B$300,"L-*"))</f>
        <v/>
      </c>
      <c r="I82" s="246" t="str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 t="str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 t="str">
        <f>IF(MIN(N(C82),N(F82))&lt;=0,"",ROUND(MIN(N(C82),N(F82))*(N(G82)-N(D82)),8))</f>
        <v/>
      </c>
      <c r="L82" s="183" t="str">
        <f>IF(MIN(N(C82),N(F82))&lt;=0,"",IF(N(D82)=0,"",ROUND((N(G82)/N(D82)-1)*100,2)))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 t="str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 t="str">
        <f>IF(C83="","",SUMIFS(Лэндинг!$H$5:$H$300,Лэндинг!$E$5:$E$300,$B83)+SUMIFS(Закрытые!$H$5:$H$300,Закрытые!$E$5:$E$300,$B83,Закрытые!$B$5:$B$300,"L-*"))</f>
        <v/>
      </c>
      <c r="F83" s="240" t="str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 t="str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 t="str">
        <f>IF(F83="","",SUMIFS(Лэндинг!$K$5:$K$300,Лэндинг!$E$5:$E$300,$B83)+SUMIFS(Закрытые!$K$5:$K$300,Закрытые!$E$5:$E$300,$B83,Закрытые!$B$5:$B$300,"L-*"))</f>
        <v/>
      </c>
      <c r="I83" s="240" t="str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 t="str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 t="str">
        <f>IF(MIN(N(C83),N(F83))&lt;=0,"",ROUND(MIN(N(C83),N(F83))*(N(G83)-N(D83)),8))</f>
        <v/>
      </c>
      <c r="L83" s="177" t="str">
        <f>IF(MIN(N(C83),N(F83))&lt;=0,"",IF(N(D83)=0,"",ROUND((N(G83)/N(D83)-1)*100,2)))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 t="str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 t="str">
        <f>IF(C84="","",SUMIFS(Лэндинг!$H$5:$H$300,Лэндинг!$E$5:$E$300,$B84)+SUMIFS(Закрытые!$H$5:$H$300,Закрытые!$E$5:$E$300,$B84,Закрытые!$B$5:$B$300,"L-*"))</f>
        <v/>
      </c>
      <c r="F84" s="246" t="str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 t="str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 t="str">
        <f>IF(F84="","",SUMIFS(Лэндинг!$K$5:$K$300,Лэндинг!$E$5:$E$300,$B84)+SUMIFS(Закрытые!$K$5:$K$300,Закрытые!$E$5:$E$300,$B84,Закрытые!$B$5:$B$300,"L-*"))</f>
        <v/>
      </c>
      <c r="I84" s="246" t="str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 t="str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 t="str">
        <f>IF(MIN(N(C84),N(F84))&lt;=0,"",ROUND(MIN(N(C84),N(F84))*(N(G84)-N(D84)),8))</f>
        <v/>
      </c>
      <c r="L84" s="183" t="str">
        <f>IF(MIN(N(C84),N(F84))&lt;=0,"",IF(N(D84)=0,"",ROUND((N(G84)/N(D84)-1)*100,2)))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 t="str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 t="str">
        <f>IF(C85="","",SUMIFS(Лэндинг!$H$5:$H$300,Лэндинг!$E$5:$E$300,$B85)+SUMIFS(Закрытые!$H$5:$H$300,Закрытые!$E$5:$E$300,$B85,Закрытые!$B$5:$B$300,"L-*"))</f>
        <v/>
      </c>
      <c r="F85" s="240" t="str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 t="str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 t="str">
        <f>IF(F85="","",SUMIFS(Лэндинг!$K$5:$K$300,Лэндинг!$E$5:$E$300,$B85)+SUMIFS(Закрытые!$K$5:$K$300,Закрытые!$E$5:$E$300,$B85,Закрытые!$B$5:$B$300,"L-*"))</f>
        <v/>
      </c>
      <c r="I85" s="240" t="str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 t="str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 t="str">
        <f>IF(MIN(N(C85),N(F85))&lt;=0,"",ROUND(MIN(N(C85),N(F85))*(N(G85)-N(D85)),8))</f>
        <v/>
      </c>
      <c r="L85" s="177" t="str">
        <f>IF(MIN(N(C85),N(F85))&lt;=0,"",IF(N(D85)=0,"",ROUND((N(G85)/N(D85)-1)*100,2)))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 t="str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 t="str">
        <f>IF(C86="","",SUMIFS(Лэндинг!$H$5:$H$300,Лэндинг!$E$5:$E$300,$B86)+SUMIFS(Закрытые!$H$5:$H$300,Закрытые!$E$5:$E$300,$B86,Закрытые!$B$5:$B$300,"L-*"))</f>
        <v/>
      </c>
      <c r="F86" s="246" t="str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 t="str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 t="str">
        <f>IF(F86="","",SUMIFS(Лэндинг!$K$5:$K$300,Лэндинг!$E$5:$E$300,$B86)+SUMIFS(Закрытые!$K$5:$K$300,Закрытые!$E$5:$E$300,$B86,Закрытые!$B$5:$B$300,"L-*"))</f>
        <v/>
      </c>
      <c r="I86" s="246" t="str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 t="str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 t="str">
        <f>IF(MIN(N(C86),N(F86))&lt;=0,"",ROUND(MIN(N(C86),N(F86))*(N(G86)-N(D86)),8))</f>
        <v/>
      </c>
      <c r="L86" s="183" t="str">
        <f>IF(MIN(N(C86),N(F86))&lt;=0,"",IF(N(D86)=0,"",ROUND((N(G86)/N(D86)-1)*100,2)))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 t="str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 t="str">
        <f>IF(C87="","",SUMIFS(Лэндинг!$H$5:$H$300,Лэндинг!$E$5:$E$300,$B87)+SUMIFS(Закрытые!$H$5:$H$300,Закрытые!$E$5:$E$300,$B87,Закрытые!$B$5:$B$300,"L-*"))</f>
        <v/>
      </c>
      <c r="F87" s="240" t="str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 t="str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 t="str">
        <f>IF(F87="","",SUMIFS(Лэндинг!$K$5:$K$300,Лэндинг!$E$5:$E$300,$B87)+SUMIFS(Закрытые!$K$5:$K$300,Закрытые!$E$5:$E$300,$B87,Закрытые!$B$5:$B$300,"L-*"))</f>
        <v/>
      </c>
      <c r="I87" s="240" t="str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 t="str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 t="str">
        <f>IF(MIN(N(C87),N(F87))&lt;=0,"",ROUND(MIN(N(C87),N(F87))*(N(G87)-N(D87)),8))</f>
        <v/>
      </c>
      <c r="L87" s="177" t="str">
        <f>IF(MIN(N(C87),N(F87))&lt;=0,"",IF(N(D87)=0,"",ROUND((N(G87)/N(D87)-1)*100,2)))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 t="str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 t="str">
        <f>IF(C88="","",SUMIFS(Лэндинг!$H$5:$H$300,Лэндинг!$E$5:$E$300,$B88)+SUMIFS(Закрытые!$H$5:$H$300,Закрытые!$E$5:$E$300,$B88,Закрытые!$B$5:$B$300,"L-*"))</f>
        <v/>
      </c>
      <c r="F88" s="246" t="str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 t="str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 t="str">
        <f>IF(F88="","",SUMIFS(Лэндинг!$K$5:$K$300,Лэндинг!$E$5:$E$300,$B88)+SUMIFS(Закрытые!$K$5:$K$300,Закрытые!$E$5:$E$300,$B88,Закрытые!$B$5:$B$300,"L-*"))</f>
        <v/>
      </c>
      <c r="I88" s="246" t="str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 t="str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 t="str">
        <f>IF(MIN(N(C88),N(F88))&lt;=0,"",ROUND(MIN(N(C88),N(F88))*(N(G88)-N(D88)),8))</f>
        <v/>
      </c>
      <c r="L88" s="183" t="str">
        <f>IF(MIN(N(C88),N(F88))&lt;=0,"",IF(N(D88)=0,"",ROUND((N(G88)/N(D88)-1)*100,2)))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 t="str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 t="str">
        <f>IF(C89="","",SUMIFS(Лэндинг!$H$5:$H$300,Лэндинг!$E$5:$E$300,$B89)+SUMIFS(Закрытые!$H$5:$H$300,Закрытые!$E$5:$E$300,$B89,Закрытые!$B$5:$B$300,"L-*"))</f>
        <v/>
      </c>
      <c r="F89" s="240" t="str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 t="str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 t="str">
        <f>IF(F89="","",SUMIFS(Лэндинг!$K$5:$K$300,Лэндинг!$E$5:$E$300,$B89)+SUMIFS(Закрытые!$K$5:$K$300,Закрытые!$E$5:$E$300,$B89,Закрытые!$B$5:$B$300,"L-*"))</f>
        <v/>
      </c>
      <c r="I89" s="240" t="str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 t="str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 t="str">
        <f>IF(MIN(N(C89),N(F89))&lt;=0,"",ROUND(MIN(N(C89),N(F89))*(N(G89)-N(D89)),8))</f>
        <v/>
      </c>
      <c r="L89" s="177" t="str">
        <f>IF(MIN(N(C89),N(F89))&lt;=0,"",IF(N(D89)=0,"",ROUND((N(G89)/N(D89)-1)*100,2)))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 t="str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 t="str">
        <f>IF(C90="","",SUMIFS(Лэндинг!$H$5:$H$300,Лэндинг!$E$5:$E$300,$B90)+SUMIFS(Закрытые!$H$5:$H$300,Закрытые!$E$5:$E$300,$B90,Закрытые!$B$5:$B$300,"L-*"))</f>
        <v/>
      </c>
      <c r="F90" s="246" t="str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 t="str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 t="str">
        <f>IF(F90="","",SUMIFS(Лэндинг!$K$5:$K$300,Лэндинг!$E$5:$E$300,$B90)+SUMIFS(Закрытые!$K$5:$K$300,Закрытые!$E$5:$E$300,$B90,Закрытые!$B$5:$B$300,"L-*"))</f>
        <v/>
      </c>
      <c r="I90" s="246" t="str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 t="str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 t="str">
        <f>IF(MIN(N(C90),N(F90))&lt;=0,"",ROUND(MIN(N(C90),N(F90))*(N(G90)-N(D90)),8))</f>
        <v/>
      </c>
      <c r="L90" s="183" t="str">
        <f>IF(MIN(N(C90),N(F90))&lt;=0,"",IF(N(D90)=0,"",ROUND((N(G90)/N(D90)-1)*100,2)))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 t="str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 t="str">
        <f>IF(C91="","",SUMIFS(Лэндинг!$H$5:$H$300,Лэндинг!$E$5:$E$300,$B91)+SUMIFS(Закрытые!$H$5:$H$300,Закрытые!$E$5:$E$300,$B91,Закрытые!$B$5:$B$300,"L-*"))</f>
        <v/>
      </c>
      <c r="F91" s="240" t="str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 t="str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 t="str">
        <f>IF(F91="","",SUMIFS(Лэндинг!$K$5:$K$300,Лэндинг!$E$5:$E$300,$B91)+SUMIFS(Закрытые!$K$5:$K$300,Закрытые!$E$5:$E$300,$B91,Закрытые!$B$5:$B$300,"L-*"))</f>
        <v/>
      </c>
      <c r="I91" s="240" t="str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 t="str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 t="str">
        <f>IF(MIN(N(C91),N(F91))&lt;=0,"",ROUND(MIN(N(C91),N(F91))*(N(G91)-N(D91)),8))</f>
        <v/>
      </c>
      <c r="L91" s="177" t="str">
        <f>IF(MIN(N(C91),N(F91))&lt;=0,"",IF(N(D91)=0,"",ROUND((N(G91)/N(D91)-1)*100,2)))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 t="str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 t="str">
        <f>IF(C92="","",SUMIFS(Лэндинг!$H$5:$H$300,Лэндинг!$E$5:$E$300,$B92)+SUMIFS(Закрытые!$H$5:$H$300,Закрытые!$E$5:$E$300,$B92,Закрытые!$B$5:$B$300,"L-*"))</f>
        <v/>
      </c>
      <c r="F92" s="246" t="str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 t="str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 t="str">
        <f>IF(F92="","",SUMIFS(Лэндинг!$K$5:$K$300,Лэндинг!$E$5:$E$300,$B92)+SUMIFS(Закрытые!$K$5:$K$300,Закрытые!$E$5:$E$300,$B92,Закрытые!$B$5:$B$300,"L-*"))</f>
        <v/>
      </c>
      <c r="I92" s="246" t="str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 t="str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 t="str">
        <f>IF(MIN(N(C92),N(F92))&lt;=0,"",ROUND(MIN(N(C92),N(F92))*(N(G92)-N(D92)),8))</f>
        <v/>
      </c>
      <c r="L92" s="183" t="str">
        <f>IF(MIN(N(C92),N(F92))&lt;=0,"",IF(N(D92)=0,"",ROUND((N(G92)/N(D92)-1)*100,2)))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 t="str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 t="str">
        <f>IF(C93="","",SUMIFS(Лэндинг!$H$5:$H$300,Лэндинг!$E$5:$E$300,$B93)+SUMIFS(Закрытые!$H$5:$H$300,Закрытые!$E$5:$E$300,$B93,Закрытые!$B$5:$B$300,"L-*"))</f>
        <v/>
      </c>
      <c r="F93" s="240" t="str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 t="str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 t="str">
        <f>IF(F93="","",SUMIFS(Лэндинг!$K$5:$K$300,Лэндинг!$E$5:$E$300,$B93)+SUMIFS(Закрытые!$K$5:$K$300,Закрытые!$E$5:$E$300,$B93,Закрытые!$B$5:$B$300,"L-*"))</f>
        <v/>
      </c>
      <c r="I93" s="240" t="str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 t="str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 t="str">
        <f>IF(MIN(N(C93),N(F93))&lt;=0,"",ROUND(MIN(N(C93),N(F93))*(N(G93)-N(D93)),8))</f>
        <v/>
      </c>
      <c r="L93" s="177" t="str">
        <f>IF(MIN(N(C93),N(F93))&lt;=0,"",IF(N(D93)=0,"",ROUND((N(G93)/N(D93)-1)*100,2)))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 t="str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 t="str">
        <f>IF(C94="","",SUMIFS(Лэндинг!$H$5:$H$300,Лэндинг!$E$5:$E$300,$B94)+SUMIFS(Закрытые!$H$5:$H$300,Закрытые!$E$5:$E$300,$B94,Закрытые!$B$5:$B$300,"L-*"))</f>
        <v/>
      </c>
      <c r="F94" s="246" t="str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 t="str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 t="str">
        <f>IF(F94="","",SUMIFS(Лэндинг!$K$5:$K$300,Лэндинг!$E$5:$E$300,$B94)+SUMIFS(Закрытые!$K$5:$K$300,Закрытые!$E$5:$E$300,$B94,Закрытые!$B$5:$B$300,"L-*"))</f>
        <v/>
      </c>
      <c r="I94" s="246" t="str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 t="str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 t="str">
        <f>IF(MIN(N(C94),N(F94))&lt;=0,"",ROUND(MIN(N(C94),N(F94))*(N(G94)-N(D94)),8))</f>
        <v/>
      </c>
      <c r="L94" s="183" t="str">
        <f>IF(MIN(N(C94),N(F94))&lt;=0,"",IF(N(D94)=0,"",ROUND((N(G94)/N(D94)-1)*100,2)))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 t="str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 t="str">
        <f>IF(C95="","",SUMIFS(Лэндинг!$H$5:$H$300,Лэндинг!$E$5:$E$300,$B95)+SUMIFS(Закрытые!$H$5:$H$300,Закрытые!$E$5:$E$300,$B95,Закрытые!$B$5:$B$300,"L-*"))</f>
        <v/>
      </c>
      <c r="F95" s="240" t="str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 t="str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 t="str">
        <f>IF(F95="","",SUMIFS(Лэндинг!$K$5:$K$300,Лэндинг!$E$5:$E$300,$B95)+SUMIFS(Закрытые!$K$5:$K$300,Закрытые!$E$5:$E$300,$B95,Закрытые!$B$5:$B$300,"L-*"))</f>
        <v/>
      </c>
      <c r="I95" s="240" t="str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 t="str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 t="str">
        <f>IF(MIN(N(C95),N(F95))&lt;=0,"",ROUND(MIN(N(C95),N(F95))*(N(G95)-N(D95)),8))</f>
        <v/>
      </c>
      <c r="L95" s="177" t="str">
        <f>IF(MIN(N(C95),N(F95))&lt;=0,"",IF(N(D95)=0,"",ROUND((N(G95)/N(D95)-1)*100,2)))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 t="str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 t="str">
        <f>IF(C96="","",SUMIFS(Лэндинг!$H$5:$H$300,Лэндинг!$E$5:$E$300,$B96)+SUMIFS(Закрытые!$H$5:$H$300,Закрытые!$E$5:$E$300,$B96,Закрытые!$B$5:$B$300,"L-*"))</f>
        <v/>
      </c>
      <c r="F96" s="246" t="str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 t="str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 t="str">
        <f>IF(F96="","",SUMIFS(Лэндинг!$K$5:$K$300,Лэндинг!$E$5:$E$300,$B96)+SUMIFS(Закрытые!$K$5:$K$300,Закрытые!$E$5:$E$300,$B96,Закрытые!$B$5:$B$300,"L-*"))</f>
        <v/>
      </c>
      <c r="I96" s="246" t="str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 t="str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 t="str">
        <f>IF(MIN(N(C96),N(F96))&lt;=0,"",ROUND(MIN(N(C96),N(F96))*(N(G96)-N(D96)),8))</f>
        <v/>
      </c>
      <c r="L96" s="183" t="str">
        <f>IF(MIN(N(C96),N(F96))&lt;=0,"",IF(N(D96)=0,"",ROUND((N(G96)/N(D96)-1)*100,2)))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 t="str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 t="str">
        <f>IF(C97="","",SUMIFS(Лэндинг!$H$5:$H$300,Лэндинг!$E$5:$E$300,$B97)+SUMIFS(Закрытые!$H$5:$H$300,Закрытые!$E$5:$E$300,$B97,Закрытые!$B$5:$B$300,"L-*"))</f>
        <v/>
      </c>
      <c r="F97" s="240" t="str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 t="str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 t="str">
        <f>IF(F97="","",SUMIFS(Лэндинг!$K$5:$K$300,Лэндинг!$E$5:$E$300,$B97)+SUMIFS(Закрытые!$K$5:$K$300,Закрытые!$E$5:$E$300,$B97,Закрытые!$B$5:$B$300,"L-*"))</f>
        <v/>
      </c>
      <c r="I97" s="240" t="str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 t="str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 t="str">
        <f>IF(MIN(N(C97),N(F97))&lt;=0,"",ROUND(MIN(N(C97),N(F97))*(N(G97)-N(D97)),8))</f>
        <v/>
      </c>
      <c r="L97" s="177" t="str">
        <f>IF(MIN(N(C97),N(F97))&lt;=0,"",IF(N(D97)=0,"",ROUND((N(G97)/N(D97)-1)*100,2)))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 t="str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 t="str">
        <f>IF(C98="","",SUMIFS(Лэндинг!$H$5:$H$300,Лэндинг!$E$5:$E$300,$B98)+SUMIFS(Закрытые!$H$5:$H$300,Закрытые!$E$5:$E$300,$B98,Закрытые!$B$5:$B$300,"L-*"))</f>
        <v/>
      </c>
      <c r="F98" s="246" t="str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 t="str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 t="str">
        <f>IF(F98="","",SUMIFS(Лэндинг!$K$5:$K$300,Лэндинг!$E$5:$E$300,$B98)+SUMIFS(Закрытые!$K$5:$K$300,Закрытые!$E$5:$E$300,$B98,Закрытые!$B$5:$B$300,"L-*"))</f>
        <v/>
      </c>
      <c r="I98" s="246" t="str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 t="str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 t="str">
        <f>IF(MIN(N(C98),N(F98))&lt;=0,"",ROUND(MIN(N(C98),N(F98))*(N(G98)-N(D98)),8))</f>
        <v/>
      </c>
      <c r="L98" s="183" t="str">
        <f>IF(MIN(N(C98),N(F98))&lt;=0,"",IF(N(D98)=0,"",ROUND((N(G98)/N(D98)-1)*100,2)))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 t="str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 t="str">
        <f>IF(C99="","",SUMIFS(Лэндинг!$H$5:$H$300,Лэндинг!$E$5:$E$300,$B99)+SUMIFS(Закрытые!$H$5:$H$300,Закрытые!$E$5:$E$300,$B99,Закрытые!$B$5:$B$300,"L-*"))</f>
        <v/>
      </c>
      <c r="F99" s="240" t="str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 t="str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 t="str">
        <f>IF(F99="","",SUMIFS(Лэндинг!$K$5:$K$300,Лэндинг!$E$5:$E$300,$B99)+SUMIFS(Закрытые!$K$5:$K$300,Закрытые!$E$5:$E$300,$B99,Закрытые!$B$5:$B$300,"L-*"))</f>
        <v/>
      </c>
      <c r="I99" s="240" t="str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 t="str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 t="str">
        <f>IF(MIN(N(C99),N(F99))&lt;=0,"",ROUND(MIN(N(C99),N(F99))*(N(G99)-N(D99)),8))</f>
        <v/>
      </c>
      <c r="L99" s="177" t="str">
        <f>IF(MIN(N(C99),N(F99))&lt;=0,"",IF(N(D99)=0,"",ROUND((N(G99)/N(D99)-1)*100,2)))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 t="str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 t="str">
        <f>IF(C100="","",SUMIFS(Лэндинг!$H$5:$H$300,Лэндинг!$E$5:$E$300,$B100)+SUMIFS(Закрытые!$H$5:$H$300,Закрытые!$E$5:$E$300,$B100,Закрытые!$B$5:$B$300,"L-*"))</f>
        <v/>
      </c>
      <c r="F100" s="246" t="str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 t="str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 t="str">
        <f>IF(F100="","",SUMIFS(Лэндинг!$K$5:$K$300,Лэндинг!$E$5:$E$300,$B100)+SUMIFS(Закрытые!$K$5:$K$300,Закрытые!$E$5:$E$300,$B100,Закрытые!$B$5:$B$300,"L-*"))</f>
        <v/>
      </c>
      <c r="I100" s="246" t="str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 t="str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 t="str">
        <f>IF(MIN(N(C100),N(F100))&lt;=0,"",ROUND(MIN(N(C100),N(F100))*(N(G100)-N(D100)),8))</f>
        <v/>
      </c>
      <c r="L100" s="183" t="str">
        <f>IF(MIN(N(C100),N(F100))&lt;=0,"",IF(N(D100)=0,"",ROUND((N(G100)/N(D100)-1)*100,2)))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 t="str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 t="str">
        <f>IF(C101="","",SUMIFS(Лэндинг!$H$5:$H$300,Лэндинг!$E$5:$E$300,$B101)+SUMIFS(Закрытые!$H$5:$H$300,Закрытые!$E$5:$E$300,$B101,Закрытые!$B$5:$B$300,"L-*"))</f>
        <v/>
      </c>
      <c r="F101" s="240" t="str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 t="str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 t="str">
        <f>IF(F101="","",SUMIFS(Лэндинг!$K$5:$K$300,Лэндинг!$E$5:$E$300,$B101)+SUMIFS(Закрытые!$K$5:$K$300,Закрытые!$E$5:$E$300,$B101,Закрытые!$B$5:$B$300,"L-*"))</f>
        <v/>
      </c>
      <c r="I101" s="240" t="str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 t="str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 t="str">
        <f>IF(MIN(N(C101),N(F101))&lt;=0,"",ROUND(MIN(N(C101),N(F101))*(N(G101)-N(D101)),8))</f>
        <v/>
      </c>
      <c r="L101" s="177" t="str">
        <f>IF(MIN(N(C101),N(F101))&lt;=0,"",IF(N(D101)=0,"",ROUND((N(G101)/N(D101)-1)*100,2)))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 t="str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 t="str">
        <f>IF(C102="","",SUMIFS(Лэндинг!$H$5:$H$300,Лэндинг!$E$5:$E$300,$B102)+SUMIFS(Закрытые!$H$5:$H$300,Закрытые!$E$5:$E$300,$B102,Закрытые!$B$5:$B$300,"L-*"))</f>
        <v/>
      </c>
      <c r="F102" s="246" t="str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 t="str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 t="str">
        <f>IF(F102="","",SUMIFS(Лэндинг!$K$5:$K$300,Лэндинг!$E$5:$E$300,$B102)+SUMIFS(Закрытые!$K$5:$K$300,Закрытые!$E$5:$E$300,$B102,Закрытые!$B$5:$B$300,"L-*"))</f>
        <v/>
      </c>
      <c r="I102" s="246" t="str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 t="str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 t="str">
        <f>IF(MIN(N(C102),N(F102))&lt;=0,"",ROUND(MIN(N(C102),N(F102))*(N(G102)-N(D102)),8))</f>
        <v/>
      </c>
      <c r="L102" s="183" t="str">
        <f>IF(MIN(N(C102),N(F102))&lt;=0,"",IF(N(D102)=0,"",ROUND((N(G102)/N(D102)-1)*100,2)))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 t="str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 t="str">
        <f>IF(C103="","",SUMIFS(Лэндинг!$H$5:$H$300,Лэндинг!$E$5:$E$300,$B103)+SUMIFS(Закрытые!$H$5:$H$300,Закрытые!$E$5:$E$300,$B103,Закрытые!$B$5:$B$300,"L-*"))</f>
        <v/>
      </c>
      <c r="F103" s="240" t="str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 t="str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 t="str">
        <f>IF(F103="","",SUMIFS(Лэндинг!$K$5:$K$300,Лэндинг!$E$5:$E$300,$B103)+SUMIFS(Закрытые!$K$5:$K$300,Закрытые!$E$5:$E$300,$B103,Закрытые!$B$5:$B$300,"L-*"))</f>
        <v/>
      </c>
      <c r="I103" s="240" t="str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 t="str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 t="str">
        <f>IF(MIN(N(C103),N(F103))&lt;=0,"",ROUND(MIN(N(C103),N(F103))*(N(G103)-N(D103)),8))</f>
        <v/>
      </c>
      <c r="L103" s="177" t="str">
        <f>IF(MIN(N(C103),N(F103))&lt;=0,"",IF(N(D103)=0,"",ROUND((N(G103)/N(D103)-1)*100,2)))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 t="str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 t="str">
        <f>IF(C104="","",SUMIFS(Лэндинг!$H$5:$H$300,Лэндинг!$E$5:$E$300,$B104)+SUMIFS(Закрытые!$H$5:$H$300,Закрытые!$E$5:$E$300,$B104,Закрытые!$B$5:$B$300,"L-*"))</f>
        <v/>
      </c>
      <c r="F104" s="246" t="str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 t="str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 t="str">
        <f>IF(F104="","",SUMIFS(Лэндинг!$K$5:$K$300,Лэндинг!$E$5:$E$300,$B104)+SUMIFS(Закрытые!$K$5:$K$300,Закрытые!$E$5:$E$300,$B104,Закрытые!$B$5:$B$300,"L-*"))</f>
        <v/>
      </c>
      <c r="I104" s="246" t="str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 t="str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 t="str">
        <f>IF(MIN(N(C104),N(F104))&lt;=0,"",ROUND(MIN(N(C104),N(F104))*(N(G104)-N(D104)),8))</f>
        <v/>
      </c>
      <c r="L104" s="183" t="str">
        <f>IF(MIN(N(C104),N(F104))&lt;=0,"",IF(N(D104)=0,"",ROUND((N(G104)/N(D104)-1)*100,2)))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 t="str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 t="str">
        <f>IF(C105="","",SUMIFS(Лэндинг!$H$5:$H$300,Лэндинг!$E$5:$E$300,$B105)+SUMIFS(Закрытые!$H$5:$H$300,Закрытые!$E$5:$E$300,$B105,Закрытые!$B$5:$B$300,"L-*"))</f>
        <v/>
      </c>
      <c r="F105" s="240" t="str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 t="str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 t="str">
        <f>IF(F105="","",SUMIFS(Лэндинг!$K$5:$K$300,Лэндинг!$E$5:$E$300,$B105)+SUMIFS(Закрытые!$K$5:$K$300,Закрытые!$E$5:$E$300,$B105,Закрытые!$B$5:$B$300,"L-*"))</f>
        <v/>
      </c>
      <c r="I105" s="240" t="str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 t="str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 t="str">
        <f>IF(MIN(N(C105),N(F105))&lt;=0,"",ROUND(MIN(N(C105),N(F105))*(N(G105)-N(D105)),8))</f>
        <v/>
      </c>
      <c r="L105" s="177" t="str">
        <f>IF(MIN(N(C105),N(F105))&lt;=0,"",IF(N(D105)=0,"",ROUND((N(G105)/N(D105)-1)*100,2)))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 t="str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 t="str">
        <f>IF(C106="","",SUMIFS(Лэндинг!$H$5:$H$300,Лэндинг!$E$5:$E$300,$B106)+SUMIFS(Закрытые!$H$5:$H$300,Закрытые!$E$5:$E$300,$B106,Закрытые!$B$5:$B$300,"L-*"))</f>
        <v/>
      </c>
      <c r="F106" s="246" t="str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 t="str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 t="str">
        <f>IF(F106="","",SUMIFS(Лэндинг!$K$5:$K$300,Лэндинг!$E$5:$E$300,$B106)+SUMIFS(Закрытые!$K$5:$K$300,Закрытые!$E$5:$E$300,$B106,Закрытые!$B$5:$B$300,"L-*"))</f>
        <v/>
      </c>
      <c r="I106" s="246" t="str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 t="str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 t="str">
        <f>IF(MIN(N(C106),N(F106))&lt;=0,"",ROUND(MIN(N(C106),N(F106))*(N(G106)-N(D106)),8))</f>
        <v/>
      </c>
      <c r="L106" s="183" t="str">
        <f>IF(MIN(N(C106),N(F106))&lt;=0,"",IF(N(D106)=0,"",ROUND((N(G106)/N(D106)-1)*100,2)))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 t="str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 t="str">
        <f>IF(C107="","",SUMIFS(Лэндинг!$H$5:$H$300,Лэндинг!$E$5:$E$300,$B107)+SUMIFS(Закрытые!$H$5:$H$300,Закрытые!$E$5:$E$300,$B107,Закрытые!$B$5:$B$300,"L-*"))</f>
        <v/>
      </c>
      <c r="F107" s="240" t="str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 t="str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 t="str">
        <f>IF(F107="","",SUMIFS(Лэндинг!$K$5:$K$300,Лэндинг!$E$5:$E$300,$B107)+SUMIFS(Закрытые!$K$5:$K$300,Закрытые!$E$5:$E$300,$B107,Закрытые!$B$5:$B$300,"L-*"))</f>
        <v/>
      </c>
      <c r="I107" s="240" t="str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 t="str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 t="str">
        <f>IF(MIN(N(C107),N(F107))&lt;=0,"",ROUND(MIN(N(C107),N(F107))*(N(G107)-N(D107)),8))</f>
        <v/>
      </c>
      <c r="L107" s="177" t="str">
        <f>IF(MIN(N(C107),N(F107))&lt;=0,"",IF(N(D107)=0,"",ROUND((N(G107)/N(D107)-1)*100,2)))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 t="str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 t="str">
        <f>IF(C108="","",SUMIFS(Лэндинг!$H$5:$H$300,Лэндинг!$E$5:$E$300,$B108)+SUMIFS(Закрытые!$H$5:$H$300,Закрытые!$E$5:$E$300,$B108,Закрытые!$B$5:$B$300,"L-*"))</f>
        <v/>
      </c>
      <c r="F108" s="246" t="str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 t="str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 t="str">
        <f>IF(F108="","",SUMIFS(Лэндинг!$K$5:$K$300,Лэндинг!$E$5:$E$300,$B108)+SUMIFS(Закрытые!$K$5:$K$300,Закрытые!$E$5:$E$300,$B108,Закрытые!$B$5:$B$300,"L-*"))</f>
        <v/>
      </c>
      <c r="I108" s="246" t="str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 t="str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 t="str">
        <f>IF(MIN(N(C108),N(F108))&lt;=0,"",ROUND(MIN(N(C108),N(F108))*(N(G108)-N(D108)),8))</f>
        <v/>
      </c>
      <c r="L108" s="183" t="str">
        <f>IF(MIN(N(C108),N(F108))&lt;=0,"",IF(N(D108)=0,"",ROUND((N(G108)/N(D108)-1)*100,2)))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 t="str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 t="str">
        <f>IF(C109="","",SUMIFS(Лэндинг!$H$5:$H$300,Лэндинг!$E$5:$E$300,$B109)+SUMIFS(Закрытые!$H$5:$H$300,Закрытые!$E$5:$E$300,$B109,Закрытые!$B$5:$B$300,"L-*"))</f>
        <v/>
      </c>
      <c r="F109" s="240" t="str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 t="str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 t="str">
        <f>IF(F109="","",SUMIFS(Лэндинг!$K$5:$K$300,Лэндинг!$E$5:$E$300,$B109)+SUMIFS(Закрытые!$K$5:$K$300,Закрытые!$E$5:$E$300,$B109,Закрытые!$B$5:$B$300,"L-*"))</f>
        <v/>
      </c>
      <c r="I109" s="240" t="str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 t="str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 t="str">
        <f>IF(MIN(N(C109),N(F109))&lt;=0,"",ROUND(MIN(N(C109),N(F109))*(N(G109)-N(D109)),8))</f>
        <v/>
      </c>
      <c r="L109" s="177" t="str">
        <f>IF(MIN(N(C109),N(F109))&lt;=0,"",IF(N(D109)=0,"",ROUND((N(G109)/N(D109)-1)*100,2)))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 t="str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 t="str">
        <f>IF(C110="","",SUMIFS(Лэндинг!$H$5:$H$300,Лэндинг!$E$5:$E$300,$B110)+SUMIFS(Закрытые!$H$5:$H$300,Закрытые!$E$5:$E$300,$B110,Закрытые!$B$5:$B$300,"L-*"))</f>
        <v/>
      </c>
      <c r="F110" s="246" t="str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 t="str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 t="str">
        <f>IF(F110="","",SUMIFS(Лэндинг!$K$5:$K$300,Лэндинг!$E$5:$E$300,$B110)+SUMIFS(Закрытые!$K$5:$K$300,Закрытые!$E$5:$E$300,$B110,Закрытые!$B$5:$B$300,"L-*"))</f>
        <v/>
      </c>
      <c r="I110" s="246" t="str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 t="str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 t="str">
        <f>IF(MIN(N(C110),N(F110))&lt;=0,"",ROUND(MIN(N(C110),N(F110))*(N(G110)-N(D110)),8))</f>
        <v/>
      </c>
      <c r="L110" s="183" t="str">
        <f>IF(MIN(N(C110),N(F110))&lt;=0,"",IF(N(D110)=0,"",ROUND((N(G110)/N(D110)-1)*100,2)))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 t="str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 t="str">
        <f>IF(C111="","",SUMIFS(Лэндинг!$H$5:$H$300,Лэндинг!$E$5:$E$300,$B111)+SUMIFS(Закрытые!$H$5:$H$300,Закрытые!$E$5:$E$300,$B111,Закрытые!$B$5:$B$300,"L-*"))</f>
        <v/>
      </c>
      <c r="F111" s="240" t="str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 t="str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 t="str">
        <f>IF(F111="","",SUMIFS(Лэндинг!$K$5:$K$300,Лэндинг!$E$5:$E$300,$B111)+SUMIFS(Закрытые!$K$5:$K$300,Закрытые!$E$5:$E$300,$B111,Закрытые!$B$5:$B$300,"L-*"))</f>
        <v/>
      </c>
      <c r="I111" s="240" t="str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 t="str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 t="str">
        <f>IF(MIN(N(C111),N(F111))&lt;=0,"",ROUND(MIN(N(C111),N(F111))*(N(G111)-N(D111)),8))</f>
        <v/>
      </c>
      <c r="L111" s="177" t="str">
        <f>IF(MIN(N(C111),N(F111))&lt;=0,"",IF(N(D111)=0,"",ROUND((N(G111)/N(D111)-1)*100,2)))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 t="str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 t="str">
        <f>IF(C112="","",SUMIFS(Лэндинг!$H$5:$H$300,Лэндинг!$E$5:$E$300,$B112)+SUMIFS(Закрытые!$H$5:$H$300,Закрытые!$E$5:$E$300,$B112,Закрытые!$B$5:$B$300,"L-*"))</f>
        <v/>
      </c>
      <c r="F112" s="246" t="str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 t="str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 t="str">
        <f>IF(F112="","",SUMIFS(Лэндинг!$K$5:$K$300,Лэндинг!$E$5:$E$300,$B112)+SUMIFS(Закрытые!$K$5:$K$300,Закрытые!$E$5:$E$300,$B112,Закрытые!$B$5:$B$300,"L-*"))</f>
        <v/>
      </c>
      <c r="I112" s="246" t="str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 t="str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 t="str">
        <f>IF(MIN(N(C112),N(F112))&lt;=0,"",ROUND(MIN(N(C112),N(F112))*(N(G112)-N(D112)),8))</f>
        <v/>
      </c>
      <c r="L112" s="183" t="str">
        <f>IF(MIN(N(C112),N(F112))&lt;=0,"",IF(N(D112)=0,"",ROUND((N(G112)/N(D112)-1)*100,2)))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 t="str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 t="str">
        <f>IF(C113="","",SUMIFS(Лэндинг!$H$5:$H$300,Лэндинг!$E$5:$E$300,$B113)+SUMIFS(Закрытые!$H$5:$H$300,Закрытые!$E$5:$E$300,$B113,Закрытые!$B$5:$B$300,"L-*"))</f>
        <v/>
      </c>
      <c r="F113" s="240" t="str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 t="str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 t="str">
        <f>IF(F113="","",SUMIFS(Лэндинг!$K$5:$K$300,Лэндинг!$E$5:$E$300,$B113)+SUMIFS(Закрытые!$K$5:$K$300,Закрытые!$E$5:$E$300,$B113,Закрытые!$B$5:$B$300,"L-*"))</f>
        <v/>
      </c>
      <c r="I113" s="240" t="str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 t="str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 t="str">
        <f>IF(MIN(N(C113),N(F113))&lt;=0,"",ROUND(MIN(N(C113),N(F113))*(N(G113)-N(D113)),8))</f>
        <v/>
      </c>
      <c r="L113" s="177" t="str">
        <f>IF(MIN(N(C113),N(F113))&lt;=0,"",IF(N(D113)=0,"",ROUND((N(G113)/N(D113)-1)*100,2)))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 t="str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 t="str">
        <f>IF(C114="","",SUMIFS(Лэндинг!$H$5:$H$300,Лэндинг!$E$5:$E$300,$B114)+SUMIFS(Закрытые!$H$5:$H$300,Закрытые!$E$5:$E$300,$B114,Закрытые!$B$5:$B$300,"L-*"))</f>
        <v/>
      </c>
      <c r="F114" s="246" t="str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 t="str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 t="str">
        <f>IF(F114="","",SUMIFS(Лэндинг!$K$5:$K$300,Лэндинг!$E$5:$E$300,$B114)+SUMIFS(Закрытые!$K$5:$K$300,Закрытые!$E$5:$E$300,$B114,Закрытые!$B$5:$B$300,"L-*"))</f>
        <v/>
      </c>
      <c r="I114" s="246" t="str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 t="str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 t="str">
        <f>IF(MIN(N(C114),N(F114))&lt;=0,"",ROUND(MIN(N(C114),N(F114))*(N(G114)-N(D114)),8))</f>
        <v/>
      </c>
      <c r="L114" s="183" t="str">
        <f>IF(MIN(N(C114),N(F114))&lt;=0,"",IF(N(D114)=0,"",ROUND((N(G114)/N(D114)-1)*100,2)))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 t="str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 t="str">
        <f>IF(C115="","",SUMIFS(Лэндинг!$H$5:$H$300,Лэндинг!$E$5:$E$300,$B115)+SUMIFS(Закрытые!$H$5:$H$300,Закрытые!$E$5:$E$300,$B115,Закрытые!$B$5:$B$300,"L-*"))</f>
        <v/>
      </c>
      <c r="F115" s="240" t="str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 t="str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 t="str">
        <f>IF(F115="","",SUMIFS(Лэндинг!$K$5:$K$300,Лэндинг!$E$5:$E$300,$B115)+SUMIFS(Закрытые!$K$5:$K$300,Закрытые!$E$5:$E$300,$B115,Закрытые!$B$5:$B$300,"L-*"))</f>
        <v/>
      </c>
      <c r="I115" s="240" t="str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 t="str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 t="str">
        <f>IF(MIN(N(C115),N(F115))&lt;=0,"",ROUND(MIN(N(C115),N(F115))*(N(G115)-N(D115)),8))</f>
        <v/>
      </c>
      <c r="L115" s="177" t="str">
        <f>IF(MIN(N(C115),N(F115))&lt;=0,"",IF(N(D115)=0,"",ROUND((N(G115)/N(D115)-1)*100,2)))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 t="str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 t="str">
        <f>IF(C116="","",SUMIFS(Лэндинг!$H$5:$H$300,Лэндинг!$E$5:$E$300,$B116)+SUMIFS(Закрытые!$H$5:$H$300,Закрытые!$E$5:$E$300,$B116,Закрытые!$B$5:$B$300,"L-*"))</f>
        <v/>
      </c>
      <c r="F116" s="246" t="str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 t="str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 t="str">
        <f>IF(F116="","",SUMIFS(Лэндинг!$K$5:$K$300,Лэндинг!$E$5:$E$300,$B116)+SUMIFS(Закрытые!$K$5:$K$300,Закрытые!$E$5:$E$300,$B116,Закрытые!$B$5:$B$300,"L-*"))</f>
        <v/>
      </c>
      <c r="I116" s="246" t="str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 t="str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 t="str">
        <f>IF(MIN(N(C116),N(F116))&lt;=0,"",ROUND(MIN(N(C116),N(F116))*(N(G116)-N(D116)),8))</f>
        <v/>
      </c>
      <c r="L116" s="183" t="str">
        <f>IF(MIN(N(C116),N(F116))&lt;=0,"",IF(N(D116)=0,"",ROUND((N(G116)/N(D116)-1)*100,2)))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 t="str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 t="str">
        <f>IF(C117="","",SUMIFS(Лэндинг!$H$5:$H$300,Лэндинг!$E$5:$E$300,$B117)+SUMIFS(Закрытые!$H$5:$H$300,Закрытые!$E$5:$E$300,$B117,Закрытые!$B$5:$B$300,"L-*"))</f>
        <v/>
      </c>
      <c r="F117" s="240" t="str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 t="str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 t="str">
        <f>IF(F117="","",SUMIFS(Лэндинг!$K$5:$K$300,Лэндинг!$E$5:$E$300,$B117)+SUMIFS(Закрытые!$K$5:$K$300,Закрытые!$E$5:$E$300,$B117,Закрытые!$B$5:$B$300,"L-*"))</f>
        <v/>
      </c>
      <c r="I117" s="240" t="str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 t="str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 t="str">
        <f>IF(MIN(N(C117),N(F117))&lt;=0,"",ROUND(MIN(N(C117),N(F117))*(N(G117)-N(D117)),8))</f>
        <v/>
      </c>
      <c r="L117" s="177" t="str">
        <f>IF(MIN(N(C117),N(F117))&lt;=0,"",IF(N(D117)=0,"",ROUND((N(G117)/N(D117)-1)*100,2)))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 t="str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 t="str">
        <f>IF(C118="","",SUMIFS(Лэндинг!$H$5:$H$300,Лэндинг!$E$5:$E$300,$B118)+SUMIFS(Закрытые!$H$5:$H$300,Закрытые!$E$5:$E$300,$B118,Закрытые!$B$5:$B$300,"L-*"))</f>
        <v/>
      </c>
      <c r="F118" s="246" t="str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 t="str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 t="str">
        <f>IF(F118="","",SUMIFS(Лэндинг!$K$5:$K$300,Лэндинг!$E$5:$E$300,$B118)+SUMIFS(Закрытые!$K$5:$K$300,Закрытые!$E$5:$E$300,$B118,Закрытые!$B$5:$B$300,"L-*"))</f>
        <v/>
      </c>
      <c r="I118" s="246" t="str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 t="str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 t="str">
        <f>IF(MIN(N(C118),N(F118))&lt;=0,"",ROUND(MIN(N(C118),N(F118))*(N(G118)-N(D118)),8))</f>
        <v/>
      </c>
      <c r="L118" s="183" t="str">
        <f>IF(MIN(N(C118),N(F118))&lt;=0,"",IF(N(D118)=0,"",ROUND((N(G118)/N(D118)-1)*100,2)))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 t="str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 t="str">
        <f>IF(C119="","",SUMIFS(Лэндинг!$H$5:$H$300,Лэндинг!$E$5:$E$300,$B119)+SUMIFS(Закрытые!$H$5:$H$300,Закрытые!$E$5:$E$300,$B119,Закрытые!$B$5:$B$300,"L-*"))</f>
        <v/>
      </c>
      <c r="F119" s="240" t="str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 t="str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 t="str">
        <f>IF(F119="","",SUMIFS(Лэндинг!$K$5:$K$300,Лэндинг!$E$5:$E$300,$B119)+SUMIFS(Закрытые!$K$5:$K$300,Закрытые!$E$5:$E$300,$B119,Закрытые!$B$5:$B$300,"L-*"))</f>
        <v/>
      </c>
      <c r="I119" s="240" t="str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 t="str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 t="str">
        <f>IF(MIN(N(C119),N(F119))&lt;=0,"",ROUND(MIN(N(C119),N(F119))*(N(G119)-N(D119)),8))</f>
        <v/>
      </c>
      <c r="L119" s="177" t="str">
        <f>IF(MIN(N(C119),N(F119))&lt;=0,"",IF(N(D119)=0,"",ROUND((N(G119)/N(D119)-1)*100,2)))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 t="str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 t="str">
        <f>IF(C120="","",SUMIFS(Лэндинг!$H$5:$H$300,Лэндинг!$E$5:$E$300,$B120)+SUMIFS(Закрытые!$H$5:$H$300,Закрытые!$E$5:$E$300,$B120,Закрытые!$B$5:$B$300,"L-*"))</f>
        <v/>
      </c>
      <c r="F120" s="246" t="str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 t="str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 t="str">
        <f>IF(F120="","",SUMIFS(Лэндинг!$K$5:$K$300,Лэндинг!$E$5:$E$300,$B120)+SUMIFS(Закрытые!$K$5:$K$300,Закрытые!$E$5:$E$300,$B120,Закрытые!$B$5:$B$300,"L-*"))</f>
        <v/>
      </c>
      <c r="I120" s="246" t="str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 t="str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 t="str">
        <f>IF(MIN(N(C120),N(F120))&lt;=0,"",ROUND(MIN(N(C120),N(F120))*(N(G120)-N(D120)),8))</f>
        <v/>
      </c>
      <c r="L120" s="183" t="str">
        <f>IF(MIN(N(C120),N(F120))&lt;=0,"",IF(N(D120)=0,"",ROUND((N(G120)/N(D120)-1)*100,2)))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 t="str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 t="str">
        <f>IF(C121="","",SUMIFS(Лэндинг!$H$5:$H$300,Лэндинг!$E$5:$E$300,$B121)+SUMIFS(Закрытые!$H$5:$H$300,Закрытые!$E$5:$E$300,$B121,Закрытые!$B$5:$B$300,"L-*"))</f>
        <v/>
      </c>
      <c r="F121" s="240" t="str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 t="str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 t="str">
        <f>IF(F121="","",SUMIFS(Лэндинг!$K$5:$K$300,Лэндинг!$E$5:$E$300,$B121)+SUMIFS(Закрытые!$K$5:$K$300,Закрытые!$E$5:$E$300,$B121,Закрытые!$B$5:$B$300,"L-*"))</f>
        <v/>
      </c>
      <c r="I121" s="240" t="str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 t="str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 t="str">
        <f>IF(MIN(N(C121),N(F121))&lt;=0,"",ROUND(MIN(N(C121),N(F121))*(N(G121)-N(D121)),8))</f>
        <v/>
      </c>
      <c r="L121" s="177" t="str">
        <f>IF(MIN(N(C121),N(F121))&lt;=0,"",IF(N(D121)=0,"",ROUND((N(G121)/N(D121)-1)*100,2)))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 t="str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 t="str">
        <f>IF(C122="","",SUMIFS(Лэндинг!$H$5:$H$300,Лэндинг!$E$5:$E$300,$B122)+SUMIFS(Закрытые!$H$5:$H$300,Закрытые!$E$5:$E$300,$B122,Закрытые!$B$5:$B$300,"L-*"))</f>
        <v/>
      </c>
      <c r="F122" s="246" t="str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 t="str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 t="str">
        <f>IF(F122="","",SUMIFS(Лэндинг!$K$5:$K$300,Лэндинг!$E$5:$E$300,$B122)+SUMIFS(Закрытые!$K$5:$K$300,Закрытые!$E$5:$E$300,$B122,Закрытые!$B$5:$B$300,"L-*"))</f>
        <v/>
      </c>
      <c r="I122" s="246" t="str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 t="str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 t="str">
        <f>IF(MIN(N(C122),N(F122))&lt;=0,"",ROUND(MIN(N(C122),N(F122))*(N(G122)-N(D122)),8))</f>
        <v/>
      </c>
      <c r="L122" s="183" t="str">
        <f>IF(MIN(N(C122),N(F122))&lt;=0,"",IF(N(D122)=0,"",ROUND((N(G122)/N(D122)-1)*100,2)))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 t="str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 t="str">
        <f>IF(C123="","",SUMIFS(Лэндинг!$H$5:$H$300,Лэндинг!$E$5:$E$300,$B123)+SUMIFS(Закрытые!$H$5:$H$300,Закрытые!$E$5:$E$300,$B123,Закрытые!$B$5:$B$300,"L-*"))</f>
        <v/>
      </c>
      <c r="F123" s="240" t="str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 t="str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 t="str">
        <f>IF(F123="","",SUMIFS(Лэндинг!$K$5:$K$300,Лэндинг!$E$5:$E$300,$B123)+SUMIFS(Закрытые!$K$5:$K$300,Закрытые!$E$5:$E$300,$B123,Закрытые!$B$5:$B$300,"L-*"))</f>
        <v/>
      </c>
      <c r="I123" s="240" t="str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 t="str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 t="str">
        <f>IF(MIN(N(C123),N(F123))&lt;=0,"",ROUND(MIN(N(C123),N(F123))*(N(G123)-N(D123)),8))</f>
        <v/>
      </c>
      <c r="L123" s="177" t="str">
        <f>IF(MIN(N(C123),N(F123))&lt;=0,"",IF(N(D123)=0,"",ROUND((N(G123)/N(D123)-1)*100,2)))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 t="str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 t="str">
        <f>IF(C124="","",SUMIFS(Лэндинг!$H$5:$H$300,Лэндинг!$E$5:$E$300,$B124)+SUMIFS(Закрытые!$H$5:$H$300,Закрытые!$E$5:$E$300,$B124,Закрытые!$B$5:$B$300,"L-*"))</f>
        <v/>
      </c>
      <c r="F124" s="246" t="str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 t="str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 t="str">
        <f>IF(F124="","",SUMIFS(Лэндинг!$K$5:$K$300,Лэндинг!$E$5:$E$300,$B124)+SUMIFS(Закрытые!$K$5:$K$300,Закрытые!$E$5:$E$300,$B124,Закрытые!$B$5:$B$300,"L-*"))</f>
        <v/>
      </c>
      <c r="I124" s="246" t="str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 t="str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 t="str">
        <f>IF(MIN(N(C124),N(F124))&lt;=0,"",ROUND(MIN(N(C124),N(F124))*(N(G124)-N(D124)),8))</f>
        <v/>
      </c>
      <c r="L124" s="183" t="str">
        <f>IF(MIN(N(C124),N(F124))&lt;=0,"",IF(N(D124)=0,"",ROUND((N(G124)/N(D124)-1)*100,2)))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 t="str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 t="str">
        <f>IF(C125="","",SUMIFS(Лэндинг!$H$5:$H$300,Лэндинг!$E$5:$E$300,$B125)+SUMIFS(Закрытые!$H$5:$H$300,Закрытые!$E$5:$E$300,$B125,Закрытые!$B$5:$B$300,"L-*"))</f>
        <v/>
      </c>
      <c r="F125" s="240" t="str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 t="str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 t="str">
        <f>IF(F125="","",SUMIFS(Лэндинг!$K$5:$K$300,Лэндинг!$E$5:$E$300,$B125)+SUMIFS(Закрытые!$K$5:$K$300,Закрытые!$E$5:$E$300,$B125,Закрытые!$B$5:$B$300,"L-*"))</f>
        <v/>
      </c>
      <c r="I125" s="240" t="str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 t="str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 t="str">
        <f>IF(MIN(N(C125),N(F125))&lt;=0,"",ROUND(MIN(N(C125),N(F125))*(N(G125)-N(D125)),8))</f>
        <v/>
      </c>
      <c r="L125" s="177" t="str">
        <f>IF(MIN(N(C125),N(F125))&lt;=0,"",IF(N(D125)=0,"",ROUND((N(G125)/N(D125)-1)*100,2)))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 t="str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 t="str">
        <f>IF(C126="","",SUMIFS(Лэндинг!$H$5:$H$300,Лэндинг!$E$5:$E$300,$B126)+SUMIFS(Закрытые!$H$5:$H$300,Закрытые!$E$5:$E$300,$B126,Закрытые!$B$5:$B$300,"L-*"))</f>
        <v/>
      </c>
      <c r="F126" s="246" t="str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 t="str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 t="str">
        <f>IF(F126="","",SUMIFS(Лэндинг!$K$5:$K$300,Лэндинг!$E$5:$E$300,$B126)+SUMIFS(Закрытые!$K$5:$K$300,Закрытые!$E$5:$E$300,$B126,Закрытые!$B$5:$B$300,"L-*"))</f>
        <v/>
      </c>
      <c r="I126" s="246" t="str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 t="str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 t="str">
        <f>IF(MIN(N(C126),N(F126))&lt;=0,"",ROUND(MIN(N(C126),N(F126))*(N(G126)-N(D126)),8))</f>
        <v/>
      </c>
      <c r="L126" s="183" t="str">
        <f>IF(MIN(N(C126),N(F126))&lt;=0,"",IF(N(D126)=0,"",ROUND((N(G126)/N(D126)-1)*100,2)))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 t="str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 t="str">
        <f>IF(C127="","",SUMIFS(Лэндинг!$H$5:$H$300,Лэндинг!$E$5:$E$300,$B127)+SUMIFS(Закрытые!$H$5:$H$300,Закрытые!$E$5:$E$300,$B127,Закрытые!$B$5:$B$300,"L-*"))</f>
        <v/>
      </c>
      <c r="F127" s="240" t="str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 t="str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 t="str">
        <f>IF(F127="","",SUMIFS(Лэндинг!$K$5:$K$300,Лэндинг!$E$5:$E$300,$B127)+SUMIFS(Закрытые!$K$5:$K$300,Закрытые!$E$5:$E$300,$B127,Закрытые!$B$5:$B$300,"L-*"))</f>
        <v/>
      </c>
      <c r="I127" s="240" t="str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 t="str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 t="str">
        <f>IF(MIN(N(C127),N(F127))&lt;=0,"",ROUND(MIN(N(C127),N(F127))*(N(G127)-N(D127)),8))</f>
        <v/>
      </c>
      <c r="L127" s="177" t="str">
        <f>IF(MIN(N(C127),N(F127))&lt;=0,"",IF(N(D127)=0,"",ROUND((N(G127)/N(D127)-1)*100,2)))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 t="str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 t="str">
        <f>IF(C128="","",SUMIFS(Лэндинг!$H$5:$H$300,Лэндинг!$E$5:$E$300,$B128)+SUMIFS(Закрытые!$H$5:$H$300,Закрытые!$E$5:$E$300,$B128,Закрытые!$B$5:$B$300,"L-*"))</f>
        <v/>
      </c>
      <c r="F128" s="246" t="str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 t="str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 t="str">
        <f>IF(F128="","",SUMIFS(Лэндинг!$K$5:$K$300,Лэндинг!$E$5:$E$300,$B128)+SUMIFS(Закрытые!$K$5:$K$300,Закрытые!$E$5:$E$300,$B128,Закрытые!$B$5:$B$300,"L-*"))</f>
        <v/>
      </c>
      <c r="I128" s="246" t="str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 t="str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 t="str">
        <f>IF(MIN(N(C128),N(F128))&lt;=0,"",ROUND(MIN(N(C128),N(F128))*(N(G128)-N(D128)),8))</f>
        <v/>
      </c>
      <c r="L128" s="183" t="str">
        <f>IF(MIN(N(C128),N(F128))&lt;=0,"",IF(N(D128)=0,"",ROUND((N(G128)/N(D128)-1)*100,2)))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 t="str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 t="str">
        <f>IF(C129="","",SUMIFS(Лэндинг!$H$5:$H$300,Лэндинг!$E$5:$E$300,$B129)+SUMIFS(Закрытые!$H$5:$H$300,Закрытые!$E$5:$E$300,$B129,Закрытые!$B$5:$B$300,"L-*"))</f>
        <v/>
      </c>
      <c r="F129" s="240" t="str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 t="str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 t="str">
        <f>IF(F129="","",SUMIFS(Лэндинг!$K$5:$K$300,Лэндинг!$E$5:$E$300,$B129)+SUMIFS(Закрытые!$K$5:$K$300,Закрытые!$E$5:$E$300,$B129,Закрытые!$B$5:$B$300,"L-*"))</f>
        <v/>
      </c>
      <c r="I129" s="240" t="str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 t="str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 t="str">
        <f>IF(MIN(N(C129),N(F129))&lt;=0,"",ROUND(MIN(N(C129),N(F129))*(N(G129)-N(D129)),8))</f>
        <v/>
      </c>
      <c r="L129" s="177" t="str">
        <f>IF(MIN(N(C129),N(F129))&lt;=0,"",IF(N(D129)=0,"",ROUND((N(G129)/N(D129)-1)*100,2)))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 t="str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 t="str">
        <f>IF(C130="","",SUMIFS(Лэндинг!$H$5:$H$300,Лэндинг!$E$5:$E$300,$B130)+SUMIFS(Закрытые!$H$5:$H$300,Закрытые!$E$5:$E$300,$B130,Закрытые!$B$5:$B$300,"L-*"))</f>
        <v/>
      </c>
      <c r="F130" s="246" t="str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 t="str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 t="str">
        <f>IF(F130="","",SUMIFS(Лэндинг!$K$5:$K$300,Лэндинг!$E$5:$E$300,$B130)+SUMIFS(Закрытые!$K$5:$K$300,Закрытые!$E$5:$E$300,$B130,Закрытые!$B$5:$B$300,"L-*"))</f>
        <v/>
      </c>
      <c r="I130" s="246" t="str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 t="str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 t="str">
        <f>IF(MIN(N(C130),N(F130))&lt;=0,"",ROUND(MIN(N(C130),N(F130))*(N(G130)-N(D130)),8))</f>
        <v/>
      </c>
      <c r="L130" s="183" t="str">
        <f>IF(MIN(N(C130),N(F130))&lt;=0,"",IF(N(D130)=0,"",ROUND((N(G130)/N(D130)-1)*100,2)))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 t="str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 t="str">
        <f>IF(C131="","",SUMIFS(Лэндинг!$H$5:$H$300,Лэндинг!$E$5:$E$300,$B131)+SUMIFS(Закрытые!$H$5:$H$300,Закрытые!$E$5:$E$300,$B131,Закрытые!$B$5:$B$300,"L-*"))</f>
        <v/>
      </c>
      <c r="F131" s="240" t="str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 t="str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 t="str">
        <f>IF(F131="","",SUMIFS(Лэндинг!$K$5:$K$300,Лэндинг!$E$5:$E$300,$B131)+SUMIFS(Закрытые!$K$5:$K$300,Закрытые!$E$5:$E$300,$B131,Закрытые!$B$5:$B$300,"L-*"))</f>
        <v/>
      </c>
      <c r="I131" s="240" t="str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 t="str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 t="str">
        <f>IF(MIN(N(C131),N(F131))&lt;=0,"",ROUND(MIN(N(C131),N(F131))*(N(G131)-N(D131)),8))</f>
        <v/>
      </c>
      <c r="L131" s="177" t="str">
        <f>IF(MIN(N(C131),N(F131))&lt;=0,"",IF(N(D131)=0,"",ROUND((N(G131)/N(D131)-1)*100,2)))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 t="str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 t="str">
        <f>IF(C132="","",SUMIFS(Лэндинг!$H$5:$H$300,Лэндинг!$E$5:$E$300,$B132)+SUMIFS(Закрытые!$H$5:$H$300,Закрытые!$E$5:$E$300,$B132,Закрытые!$B$5:$B$300,"L-*"))</f>
        <v/>
      </c>
      <c r="F132" s="246" t="str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 t="str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 t="str">
        <f>IF(F132="","",SUMIFS(Лэндинг!$K$5:$K$300,Лэндинг!$E$5:$E$300,$B132)+SUMIFS(Закрытые!$K$5:$K$300,Закрытые!$E$5:$E$300,$B132,Закрытые!$B$5:$B$300,"L-*"))</f>
        <v/>
      </c>
      <c r="I132" s="246" t="str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 t="str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 t="str">
        <f>IF(MIN(N(C132),N(F132))&lt;=0,"",ROUND(MIN(N(C132),N(F132))*(N(G132)-N(D132)),8))</f>
        <v/>
      </c>
      <c r="L132" s="183" t="str">
        <f>IF(MIN(N(C132),N(F132))&lt;=0,"",IF(N(D132)=0,"",ROUND((N(G132)/N(D132)-1)*100,2)))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 t="str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 t="str">
        <f>IF(C133="","",SUMIFS(Лэндинг!$H$5:$H$300,Лэндинг!$E$5:$E$300,$B133)+SUMIFS(Закрытые!$H$5:$H$300,Закрытые!$E$5:$E$300,$B133,Закрытые!$B$5:$B$300,"L-*"))</f>
        <v/>
      </c>
      <c r="F133" s="240" t="str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 t="str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 t="str">
        <f>IF(F133="","",SUMIFS(Лэндинг!$K$5:$K$300,Лэндинг!$E$5:$E$300,$B133)+SUMIFS(Закрытые!$K$5:$K$300,Закрытые!$E$5:$E$300,$B133,Закрытые!$B$5:$B$300,"L-*"))</f>
        <v/>
      </c>
      <c r="I133" s="240" t="str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 t="str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 t="str">
        <f>IF(MIN(N(C133),N(F133))&lt;=0,"",ROUND(MIN(N(C133),N(F133))*(N(G133)-N(D133)),8))</f>
        <v/>
      </c>
      <c r="L133" s="177" t="str">
        <f>IF(MIN(N(C133),N(F133))&lt;=0,"",IF(N(D133)=0,"",ROUND((N(G133)/N(D133)-1)*100,2)))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 t="str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 t="str">
        <f>IF(C134="","",SUMIFS(Лэндинг!$H$5:$H$300,Лэндинг!$E$5:$E$300,$B134)+SUMIFS(Закрытые!$H$5:$H$300,Закрытые!$E$5:$E$300,$B134,Закрытые!$B$5:$B$300,"L-*"))</f>
        <v/>
      </c>
      <c r="F134" s="246" t="str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 t="str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 t="str">
        <f>IF(F134="","",SUMIFS(Лэндинг!$K$5:$K$300,Лэндинг!$E$5:$E$300,$B134)+SUMIFS(Закрытые!$K$5:$K$300,Закрытые!$E$5:$E$300,$B134,Закрытые!$B$5:$B$300,"L-*"))</f>
        <v/>
      </c>
      <c r="I134" s="246" t="str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 t="str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 t="str">
        <f>IF(MIN(N(C134),N(F134))&lt;=0,"",ROUND(MIN(N(C134),N(F134))*(N(G134)-N(D134)),8))</f>
        <v/>
      </c>
      <c r="L134" s="183" t="str">
        <f>IF(MIN(N(C134),N(F134))&lt;=0,"",IF(N(D134)=0,"",ROUND((N(G134)/N(D134)-1)*100,2)))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 t="str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 t="str">
        <f>IF(C135="","",SUMIFS(Лэндинг!$H$5:$H$300,Лэндинг!$E$5:$E$300,$B135)+SUMIFS(Закрытые!$H$5:$H$300,Закрытые!$E$5:$E$300,$B135,Закрытые!$B$5:$B$300,"L-*"))</f>
        <v/>
      </c>
      <c r="F135" s="240" t="str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 t="str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 t="str">
        <f>IF(F135="","",SUMIFS(Лэндинг!$K$5:$K$300,Лэндинг!$E$5:$E$300,$B135)+SUMIFS(Закрытые!$K$5:$K$300,Закрытые!$E$5:$E$300,$B135,Закрытые!$B$5:$B$300,"L-*"))</f>
        <v/>
      </c>
      <c r="I135" s="240" t="str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 t="str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 t="str">
        <f>IF(MIN(N(C135),N(F135))&lt;=0,"",ROUND(MIN(N(C135),N(F135))*(N(G135)-N(D135)),8))</f>
        <v/>
      </c>
      <c r="L135" s="177" t="str">
        <f>IF(MIN(N(C135),N(F135))&lt;=0,"",IF(N(D135)=0,"",ROUND((N(G135)/N(D135)-1)*100,2)))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 t="str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 t="str">
        <f>IF(C136="","",SUMIFS(Лэндинг!$H$5:$H$300,Лэндинг!$E$5:$E$300,$B136)+SUMIFS(Закрытые!$H$5:$H$300,Закрытые!$E$5:$E$300,$B136,Закрытые!$B$5:$B$300,"L-*"))</f>
        <v/>
      </c>
      <c r="F136" s="246" t="str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 t="str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 t="str">
        <f>IF(F136="","",SUMIFS(Лэндинг!$K$5:$K$300,Лэндинг!$E$5:$E$300,$B136)+SUMIFS(Закрытые!$K$5:$K$300,Закрытые!$E$5:$E$300,$B136,Закрытые!$B$5:$B$300,"L-*"))</f>
        <v/>
      </c>
      <c r="I136" s="246" t="str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 t="str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 t="str">
        <f>IF(MIN(N(C136),N(F136))&lt;=0,"",ROUND(MIN(N(C136),N(F136))*(N(G136)-N(D136)),8))</f>
        <v/>
      </c>
      <c r="L136" s="183" t="str">
        <f>IF(MIN(N(C136),N(F136))&lt;=0,"",IF(N(D136)=0,"",ROUND((N(G136)/N(D136)-1)*100,2)))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 t="str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 t="str">
        <f>IF(C137="","",SUMIFS(Лэндинг!$H$5:$H$300,Лэндинг!$E$5:$E$300,$B137)+SUMIFS(Закрытые!$H$5:$H$300,Закрытые!$E$5:$E$300,$B137,Закрытые!$B$5:$B$300,"L-*"))</f>
        <v/>
      </c>
      <c r="F137" s="240" t="str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 t="str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 t="str">
        <f>IF(F137="","",SUMIFS(Лэндинг!$K$5:$K$300,Лэндинг!$E$5:$E$300,$B137)+SUMIFS(Закрытые!$K$5:$K$300,Закрытые!$E$5:$E$300,$B137,Закрытые!$B$5:$B$300,"L-*"))</f>
        <v/>
      </c>
      <c r="I137" s="240" t="str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 t="str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 t="str">
        <f>IF(MIN(N(C137),N(F137))&lt;=0,"",ROUND(MIN(N(C137),N(F137))*(N(G137)-N(D137)),8))</f>
        <v/>
      </c>
      <c r="L137" s="177" t="str">
        <f>IF(MIN(N(C137),N(F137))&lt;=0,"",IF(N(D137)=0,"",ROUND((N(G137)/N(D137)-1)*100,2)))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 t="str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 t="str">
        <f>IF(C138="","",SUMIFS(Лэндинг!$H$5:$H$300,Лэндинг!$E$5:$E$300,$B138)+SUMIFS(Закрытые!$H$5:$H$300,Закрытые!$E$5:$E$300,$B138,Закрытые!$B$5:$B$300,"L-*"))</f>
        <v/>
      </c>
      <c r="F138" s="246" t="str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 t="str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 t="str">
        <f>IF(F138="","",SUMIFS(Лэндинг!$K$5:$K$300,Лэндинг!$E$5:$E$300,$B138)+SUMIFS(Закрытые!$K$5:$K$300,Закрытые!$E$5:$E$300,$B138,Закрытые!$B$5:$B$300,"L-*"))</f>
        <v/>
      </c>
      <c r="I138" s="246" t="str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 t="str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 t="str">
        <f>IF(MIN(N(C138),N(F138))&lt;=0,"",ROUND(MIN(N(C138),N(F138))*(N(G138)-N(D138)),8))</f>
        <v/>
      </c>
      <c r="L138" s="183" t="str">
        <f>IF(MIN(N(C138),N(F138))&lt;=0,"",IF(N(D138)=0,"",ROUND((N(G138)/N(D138)-1)*100,2)))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 t="str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 t="str">
        <f>IF(C139="","",SUMIFS(Лэндинг!$H$5:$H$300,Лэндинг!$E$5:$E$300,$B139)+SUMIFS(Закрытые!$H$5:$H$300,Закрытые!$E$5:$E$300,$B139,Закрытые!$B$5:$B$300,"L-*"))</f>
        <v/>
      </c>
      <c r="F139" s="240" t="str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 t="str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 t="str">
        <f>IF(F139="","",SUMIFS(Лэндинг!$K$5:$K$300,Лэндинг!$E$5:$E$300,$B139)+SUMIFS(Закрытые!$K$5:$K$300,Закрытые!$E$5:$E$300,$B139,Закрытые!$B$5:$B$300,"L-*"))</f>
        <v/>
      </c>
      <c r="I139" s="240" t="str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 t="str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 t="str">
        <f>IF(MIN(N(C139),N(F139))&lt;=0,"",ROUND(MIN(N(C139),N(F139))*(N(G139)-N(D139)),8))</f>
        <v/>
      </c>
      <c r="L139" s="177" t="str">
        <f>IF(MIN(N(C139),N(F139))&lt;=0,"",IF(N(D139)=0,"",ROUND((N(G139)/N(D139)-1)*100,2)))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 t="str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 t="str">
        <f>IF(C140="","",SUMIFS(Лэндинг!$H$5:$H$300,Лэндинг!$E$5:$E$300,$B140)+SUMIFS(Закрытые!$H$5:$H$300,Закрытые!$E$5:$E$300,$B140,Закрытые!$B$5:$B$300,"L-*"))</f>
        <v/>
      </c>
      <c r="F140" s="246" t="str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 t="str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 t="str">
        <f>IF(F140="","",SUMIFS(Лэндинг!$K$5:$K$300,Лэндинг!$E$5:$E$300,$B140)+SUMIFS(Закрытые!$K$5:$K$300,Закрытые!$E$5:$E$300,$B140,Закрытые!$B$5:$B$300,"L-*"))</f>
        <v/>
      </c>
      <c r="I140" s="246" t="str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 t="str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 t="str">
        <f>IF(MIN(N(C140),N(F140))&lt;=0,"",ROUND(MIN(N(C140),N(F140))*(N(G140)-N(D140)),8))</f>
        <v/>
      </c>
      <c r="L140" s="183" t="str">
        <f>IF(MIN(N(C140),N(F140))&lt;=0,"",IF(N(D140)=0,"",ROUND((N(G140)/N(D140)-1)*100,2)))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 t="str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 t="str">
        <f>IF(C141="","",SUMIFS(Лэндинг!$H$5:$H$300,Лэндинг!$E$5:$E$300,$B141)+SUMIFS(Закрытые!$H$5:$H$300,Закрытые!$E$5:$E$300,$B141,Закрытые!$B$5:$B$300,"L-*"))</f>
        <v/>
      </c>
      <c r="F141" s="240" t="str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 t="str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 t="str">
        <f>IF(F141="","",SUMIFS(Лэндинг!$K$5:$K$300,Лэндинг!$E$5:$E$300,$B141)+SUMIFS(Закрытые!$K$5:$K$300,Закрытые!$E$5:$E$300,$B141,Закрытые!$B$5:$B$300,"L-*"))</f>
        <v/>
      </c>
      <c r="I141" s="240" t="str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 t="str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 t="str">
        <f>IF(MIN(N(C141),N(F141))&lt;=0,"",ROUND(MIN(N(C141),N(F141))*(N(G141)-N(D141)),8))</f>
        <v/>
      </c>
      <c r="L141" s="177" t="str">
        <f>IF(MIN(N(C141),N(F141))&lt;=0,"",IF(N(D141)=0,"",ROUND((N(G141)/N(D141)-1)*100,2)))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 t="str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 t="str">
        <f>IF(C142="","",SUMIFS(Лэндинг!$H$5:$H$300,Лэндинг!$E$5:$E$300,$B142)+SUMIFS(Закрытые!$H$5:$H$300,Закрытые!$E$5:$E$300,$B142,Закрытые!$B$5:$B$300,"L-*"))</f>
        <v/>
      </c>
      <c r="F142" s="246" t="str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 t="str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 t="str">
        <f>IF(F142="","",SUMIFS(Лэндинг!$K$5:$K$300,Лэндинг!$E$5:$E$300,$B142)+SUMIFS(Закрытые!$K$5:$K$300,Закрытые!$E$5:$E$300,$B142,Закрытые!$B$5:$B$300,"L-*"))</f>
        <v/>
      </c>
      <c r="I142" s="246" t="str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 t="str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 t="str">
        <f>IF(MIN(N(C142),N(F142))&lt;=0,"",ROUND(MIN(N(C142),N(F142))*(N(G142)-N(D142)),8))</f>
        <v/>
      </c>
      <c r="L142" s="183" t="str">
        <f>IF(MIN(N(C142),N(F142))&lt;=0,"",IF(N(D142)=0,"",ROUND((N(G142)/N(D142)-1)*100,2)))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 t="str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 t="str">
        <f>IF(C143="","",SUMIFS(Лэндинг!$H$5:$H$300,Лэндинг!$E$5:$E$300,$B143)+SUMIFS(Закрытые!$H$5:$H$300,Закрытые!$E$5:$E$300,$B143,Закрытые!$B$5:$B$300,"L-*"))</f>
        <v/>
      </c>
      <c r="F143" s="240" t="str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 t="str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 t="str">
        <f>IF(F143="","",SUMIFS(Лэндинг!$K$5:$K$300,Лэндинг!$E$5:$E$300,$B143)+SUMIFS(Закрытые!$K$5:$K$300,Закрытые!$E$5:$E$300,$B143,Закрытые!$B$5:$B$300,"L-*"))</f>
        <v/>
      </c>
      <c r="I143" s="240" t="str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 t="str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 t="str">
        <f>IF(MIN(N(C143),N(F143))&lt;=0,"",ROUND(MIN(N(C143),N(F143))*(N(G143)-N(D143)),8))</f>
        <v/>
      </c>
      <c r="L143" s="177" t="str">
        <f>IF(MIN(N(C143),N(F143))&lt;=0,"",IF(N(D143)=0,"",ROUND((N(G143)/N(D143)-1)*100,2)))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 t="str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 t="str">
        <f>IF(C144="","",SUMIFS(Лэндинг!$H$5:$H$300,Лэндинг!$E$5:$E$300,$B144)+SUMIFS(Закрытые!$H$5:$H$300,Закрытые!$E$5:$E$300,$B144,Закрытые!$B$5:$B$300,"L-*"))</f>
        <v/>
      </c>
      <c r="F144" s="246" t="str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 t="str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 t="str">
        <f>IF(F144="","",SUMIFS(Лэндинг!$K$5:$K$300,Лэндинг!$E$5:$E$300,$B144)+SUMIFS(Закрытые!$K$5:$K$300,Закрытые!$E$5:$E$300,$B144,Закрытые!$B$5:$B$300,"L-*"))</f>
        <v/>
      </c>
      <c r="I144" s="246" t="str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 t="str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 t="str">
        <f>IF(MIN(N(C144),N(F144))&lt;=0,"",ROUND(MIN(N(C144),N(F144))*(N(G144)-N(D144)),8))</f>
        <v/>
      </c>
      <c r="L144" s="183" t="str">
        <f>IF(MIN(N(C144),N(F144))&lt;=0,"",IF(N(D144)=0,"",ROUND((N(G144)/N(D144)-1)*100,2)))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 t="str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 t="str">
        <f>IF(C145="","",SUMIFS(Лэндинг!$H$5:$H$300,Лэндинг!$E$5:$E$300,$B145)+SUMIFS(Закрытые!$H$5:$H$300,Закрытые!$E$5:$E$300,$B145,Закрытые!$B$5:$B$300,"L-*"))</f>
        <v/>
      </c>
      <c r="F145" s="240" t="str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 t="str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 t="str">
        <f>IF(F145="","",SUMIFS(Лэндинг!$K$5:$K$300,Лэндинг!$E$5:$E$300,$B145)+SUMIFS(Закрытые!$K$5:$K$300,Закрытые!$E$5:$E$300,$B145,Закрытые!$B$5:$B$300,"L-*"))</f>
        <v/>
      </c>
      <c r="I145" s="240" t="str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 t="str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 t="str">
        <f>IF(MIN(N(C145),N(F145))&lt;=0,"",ROUND(MIN(N(C145),N(F145))*(N(G145)-N(D145)),8))</f>
        <v/>
      </c>
      <c r="L145" s="177" t="str">
        <f>IF(MIN(N(C145),N(F145))&lt;=0,"",IF(N(D145)=0,"",ROUND((N(G145)/N(D145)-1)*100,2)))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 t="str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 t="str">
        <f>IF(C146="","",SUMIFS(Лэндинг!$H$5:$H$300,Лэндинг!$E$5:$E$300,$B146)+SUMIFS(Закрытые!$H$5:$H$300,Закрытые!$E$5:$E$300,$B146,Закрытые!$B$5:$B$300,"L-*"))</f>
        <v/>
      </c>
      <c r="F146" s="246" t="str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 t="str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 t="str">
        <f>IF(F146="","",SUMIFS(Лэндинг!$K$5:$K$300,Лэндинг!$E$5:$E$300,$B146)+SUMIFS(Закрытые!$K$5:$K$300,Закрытые!$E$5:$E$300,$B146,Закрытые!$B$5:$B$300,"L-*"))</f>
        <v/>
      </c>
      <c r="I146" s="246" t="str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 t="str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 t="str">
        <f>IF(MIN(N(C146),N(F146))&lt;=0,"",ROUND(MIN(N(C146),N(F146))*(N(G146)-N(D146)),8))</f>
        <v/>
      </c>
      <c r="L146" s="183" t="str">
        <f>IF(MIN(N(C146),N(F146))&lt;=0,"",IF(N(D146)=0,"",ROUND((N(G146)/N(D146)-1)*100,2)))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 t="str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 t="str">
        <f>IF(C147="","",SUMIFS(Лэндинг!$H$5:$H$300,Лэндинг!$E$5:$E$300,$B147)+SUMIFS(Закрытые!$H$5:$H$300,Закрытые!$E$5:$E$300,$B147,Закрытые!$B$5:$B$300,"L-*"))</f>
        <v/>
      </c>
      <c r="F147" s="240" t="str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 t="str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 t="str">
        <f>IF(F147="","",SUMIFS(Лэндинг!$K$5:$K$300,Лэндинг!$E$5:$E$300,$B147)+SUMIFS(Закрытые!$K$5:$K$300,Закрытые!$E$5:$E$300,$B147,Закрытые!$B$5:$B$300,"L-*"))</f>
        <v/>
      </c>
      <c r="I147" s="240" t="str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 t="str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 t="str">
        <f>IF(MIN(N(C147),N(F147))&lt;=0,"",ROUND(MIN(N(C147),N(F147))*(N(G147)-N(D147)),8))</f>
        <v/>
      </c>
      <c r="L147" s="177" t="str">
        <f>IF(MIN(N(C147),N(F147))&lt;=0,"",IF(N(D147)=0,"",ROUND((N(G147)/N(D147)-1)*100,2)))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 t="str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 t="str">
        <f>IF(C148="","",SUMIFS(Лэндинг!$H$5:$H$300,Лэндинг!$E$5:$E$300,$B148)+SUMIFS(Закрытые!$H$5:$H$300,Закрытые!$E$5:$E$300,$B148,Закрытые!$B$5:$B$300,"L-*"))</f>
        <v/>
      </c>
      <c r="F148" s="246" t="str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 t="str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 t="str">
        <f>IF(F148="","",SUMIFS(Лэндинг!$K$5:$K$300,Лэндинг!$E$5:$E$300,$B148)+SUMIFS(Закрытые!$K$5:$K$300,Закрытые!$E$5:$E$300,$B148,Закрытые!$B$5:$B$300,"L-*"))</f>
        <v/>
      </c>
      <c r="I148" s="246" t="str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 t="str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 t="str">
        <f>IF(MIN(N(C148),N(F148))&lt;=0,"",ROUND(MIN(N(C148),N(F148))*(N(G148)-N(D148)),8))</f>
        <v/>
      </c>
      <c r="L148" s="183" t="str">
        <f>IF(MIN(N(C148),N(F148))&lt;=0,"",IF(N(D148)=0,"",ROUND((N(G148)/N(D148)-1)*100,2)))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 t="str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 t="str">
        <f>IF(C149="","",SUMIFS(Лэндинг!$H$5:$H$300,Лэндинг!$E$5:$E$300,$B149)+SUMIFS(Закрытые!$H$5:$H$300,Закрытые!$E$5:$E$300,$B149,Закрытые!$B$5:$B$300,"L-*"))</f>
        <v/>
      </c>
      <c r="F149" s="240" t="str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 t="str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 t="str">
        <f>IF(F149="","",SUMIFS(Лэндинг!$K$5:$K$300,Лэндинг!$E$5:$E$300,$B149)+SUMIFS(Закрытые!$K$5:$K$300,Закрытые!$E$5:$E$300,$B149,Закрытые!$B$5:$B$300,"L-*"))</f>
        <v/>
      </c>
      <c r="I149" s="240" t="str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 t="str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 t="str">
        <f>IF(MIN(N(C149),N(F149))&lt;=0,"",ROUND(MIN(N(C149),N(F149))*(N(G149)-N(D149)),8))</f>
        <v/>
      </c>
      <c r="L149" s="177" t="str">
        <f>IF(MIN(N(C149),N(F149))&lt;=0,"",IF(N(D149)=0,"",ROUND((N(G149)/N(D149)-1)*100,2)))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 t="str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 t="str">
        <f>IF(C150="","",SUMIFS(Лэндинг!$H$5:$H$300,Лэндинг!$E$5:$E$300,$B150)+SUMIFS(Закрытые!$H$5:$H$300,Закрытые!$E$5:$E$300,$B150,Закрытые!$B$5:$B$300,"L-*"))</f>
        <v/>
      </c>
      <c r="F150" s="246" t="str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 t="str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 t="str">
        <f>IF(F150="","",SUMIFS(Лэндинг!$K$5:$K$300,Лэндинг!$E$5:$E$300,$B150)+SUMIFS(Закрытые!$K$5:$K$300,Закрытые!$E$5:$E$300,$B150,Закрытые!$B$5:$B$300,"L-*"))</f>
        <v/>
      </c>
      <c r="I150" s="246" t="str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 t="str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 t="str">
        <f>IF(MIN(N(C150),N(F150))&lt;=0,"",ROUND(MIN(N(C150),N(F150))*(N(G150)-N(D150)),8))</f>
        <v/>
      </c>
      <c r="L150" s="183" t="str">
        <f>IF(MIN(N(C150),N(F150))&lt;=0,"",IF(N(D150)=0,"",ROUND((N(G150)/N(D150)-1)*100,2)))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 t="str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 t="str">
        <f>IF(C151="","",SUMIFS(Лэндинг!$H$5:$H$300,Лэндинг!$E$5:$E$300,$B151)+SUMIFS(Закрытые!$H$5:$H$300,Закрытые!$E$5:$E$300,$B151,Закрытые!$B$5:$B$300,"L-*"))</f>
        <v/>
      </c>
      <c r="F151" s="240" t="str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 t="str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 t="str">
        <f>IF(F151="","",SUMIFS(Лэндинг!$K$5:$K$300,Лэндинг!$E$5:$E$300,$B151)+SUMIFS(Закрытые!$K$5:$K$300,Закрытые!$E$5:$E$300,$B151,Закрытые!$B$5:$B$300,"L-*"))</f>
        <v/>
      </c>
      <c r="I151" s="240" t="str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 t="str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 t="str">
        <f>IF(MIN(N(C151),N(F151))&lt;=0,"",ROUND(MIN(N(C151),N(F151))*(N(G151)-N(D151)),8))</f>
        <v/>
      </c>
      <c r="L151" s="177" t="str">
        <f>IF(MIN(N(C151),N(F151))&lt;=0,"",IF(N(D151)=0,"",ROUND((N(G151)/N(D151)-1)*100,2)))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 t="str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 t="str">
        <f>IF(C152="","",SUMIFS(Лэндинг!$H$5:$H$300,Лэндинг!$E$5:$E$300,$B152)+SUMIFS(Закрытые!$H$5:$H$300,Закрытые!$E$5:$E$300,$B152,Закрытые!$B$5:$B$300,"L-*"))</f>
        <v/>
      </c>
      <c r="F152" s="246" t="str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 t="str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 t="str">
        <f>IF(F152="","",SUMIFS(Лэндинг!$K$5:$K$300,Лэндинг!$E$5:$E$300,$B152)+SUMIFS(Закрытые!$K$5:$K$300,Закрытые!$E$5:$E$300,$B152,Закрытые!$B$5:$B$300,"L-*"))</f>
        <v/>
      </c>
      <c r="I152" s="246" t="str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 t="str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 t="str">
        <f>IF(MIN(N(C152),N(F152))&lt;=0,"",ROUND(MIN(N(C152),N(F152))*(N(G152)-N(D152)),8))</f>
        <v/>
      </c>
      <c r="L152" s="183" t="str">
        <f>IF(MIN(N(C152),N(F152))&lt;=0,"",IF(N(D152)=0,"",ROUND((N(G152)/N(D152)-1)*100,2)))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 t="str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 t="str">
        <f>IF(C153="","",SUMIFS(Лэндинг!$H$5:$H$300,Лэндинг!$E$5:$E$300,$B153)+SUMIFS(Закрытые!$H$5:$H$300,Закрытые!$E$5:$E$300,$B153,Закрытые!$B$5:$B$300,"L-*"))</f>
        <v/>
      </c>
      <c r="F153" s="240" t="str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 t="str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 t="str">
        <f>IF(F153="","",SUMIFS(Лэндинг!$K$5:$K$300,Лэндинг!$E$5:$E$300,$B153)+SUMIFS(Закрытые!$K$5:$K$300,Закрытые!$E$5:$E$300,$B153,Закрытые!$B$5:$B$300,"L-*"))</f>
        <v/>
      </c>
      <c r="I153" s="240" t="str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 t="str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 t="str">
        <f>IF(MIN(N(C153),N(F153))&lt;=0,"",ROUND(MIN(N(C153),N(F153))*(N(G153)-N(D153)),8))</f>
        <v/>
      </c>
      <c r="L153" s="177" t="str">
        <f>IF(MIN(N(C153),N(F153))&lt;=0,"",IF(N(D153)=0,"",ROUND((N(G153)/N(D153)-1)*100,2)))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 t="str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 t="str">
        <f>IF(C154="","",SUMIFS(Лэндинг!$H$5:$H$300,Лэндинг!$E$5:$E$300,$B154)+SUMIFS(Закрытые!$H$5:$H$300,Закрытые!$E$5:$E$300,$B154,Закрытые!$B$5:$B$300,"L-*"))</f>
        <v/>
      </c>
      <c r="F154" s="246" t="str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 t="str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 t="str">
        <f>IF(F154="","",SUMIFS(Лэндинг!$K$5:$K$300,Лэндинг!$E$5:$E$300,$B154)+SUMIFS(Закрытые!$K$5:$K$300,Закрытые!$E$5:$E$300,$B154,Закрытые!$B$5:$B$300,"L-*"))</f>
        <v/>
      </c>
      <c r="I154" s="246" t="str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 t="str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 t="str">
        <f>IF(MIN(N(C154),N(F154))&lt;=0,"",ROUND(MIN(N(C154),N(F154))*(N(G154)-N(D154)),8))</f>
        <v/>
      </c>
      <c r="L154" s="183" t="str">
        <f>IF(MIN(N(C154),N(F154))&lt;=0,"",IF(N(D154)=0,"",ROUND((N(G154)/N(D154)-1)*100,2)))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 t="str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 t="str">
        <f>IF(C155="","",SUMIFS(Лэндинг!$H$5:$H$300,Лэндинг!$E$5:$E$300,$B155)+SUMIFS(Закрытые!$H$5:$H$300,Закрытые!$E$5:$E$300,$B155,Закрытые!$B$5:$B$300,"L-*"))</f>
        <v/>
      </c>
      <c r="F155" s="240" t="str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 t="str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 t="str">
        <f>IF(F155="","",SUMIFS(Лэндинг!$K$5:$K$300,Лэндинг!$E$5:$E$300,$B155)+SUMIFS(Закрытые!$K$5:$K$300,Закрытые!$E$5:$E$300,$B155,Закрытые!$B$5:$B$300,"L-*"))</f>
        <v/>
      </c>
      <c r="I155" s="240" t="str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 t="str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 t="str">
        <f>IF(MIN(N(C155),N(F155))&lt;=0,"",ROUND(MIN(N(C155),N(F155))*(N(G155)-N(D155)),8))</f>
        <v/>
      </c>
      <c r="L155" s="177" t="str">
        <f>IF(MIN(N(C155),N(F155))&lt;=0,"",IF(N(D155)=0,"",ROUND((N(G155)/N(D155)-1)*100,2)))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 t="str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 t="str">
        <f>IF(C156="","",SUMIFS(Лэндинг!$H$5:$H$300,Лэндинг!$E$5:$E$300,$B156)+SUMIFS(Закрытые!$H$5:$H$300,Закрытые!$E$5:$E$300,$B156,Закрытые!$B$5:$B$300,"L-*"))</f>
        <v/>
      </c>
      <c r="F156" s="246" t="str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 t="str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 t="str">
        <f>IF(F156="","",SUMIFS(Лэндинг!$K$5:$K$300,Лэндинг!$E$5:$E$300,$B156)+SUMIFS(Закрытые!$K$5:$K$300,Закрытые!$E$5:$E$300,$B156,Закрытые!$B$5:$B$300,"L-*"))</f>
        <v/>
      </c>
      <c r="I156" s="246" t="str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 t="str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 t="str">
        <f>IF(MIN(N(C156),N(F156))&lt;=0,"",ROUND(MIN(N(C156),N(F156))*(N(G156)-N(D156)),8))</f>
        <v/>
      </c>
      <c r="L156" s="183" t="str">
        <f>IF(MIN(N(C156),N(F156))&lt;=0,"",IF(N(D156)=0,"",ROUND((N(G156)/N(D156)-1)*100,2)))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 t="str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 t="str">
        <f>IF(C157="","",SUMIFS(Лэндинг!$H$5:$H$300,Лэндинг!$E$5:$E$300,$B157)+SUMIFS(Закрытые!$H$5:$H$300,Закрытые!$E$5:$E$300,$B157,Закрытые!$B$5:$B$300,"L-*"))</f>
        <v/>
      </c>
      <c r="F157" s="240" t="str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 t="str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 t="str">
        <f>IF(F157="","",SUMIFS(Лэндинг!$K$5:$K$300,Лэндинг!$E$5:$E$300,$B157)+SUMIFS(Закрытые!$K$5:$K$300,Закрытые!$E$5:$E$300,$B157,Закрытые!$B$5:$B$300,"L-*"))</f>
        <v/>
      </c>
      <c r="I157" s="240" t="str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 t="str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 t="str">
        <f>IF(MIN(N(C157),N(F157))&lt;=0,"",ROUND(MIN(N(C157),N(F157))*(N(G157)-N(D157)),8))</f>
        <v/>
      </c>
      <c r="L157" s="177" t="str">
        <f>IF(MIN(N(C157),N(F157))&lt;=0,"",IF(N(D157)=0,"",ROUND((N(G157)/N(D157)-1)*100,2)))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 t="str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 t="str">
        <f>IF(C158="","",SUMIFS(Лэндинг!$H$5:$H$300,Лэндинг!$E$5:$E$300,$B158)+SUMIFS(Закрытые!$H$5:$H$300,Закрытые!$E$5:$E$300,$B158,Закрытые!$B$5:$B$300,"L-*"))</f>
        <v/>
      </c>
      <c r="F158" s="246" t="str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 t="str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 t="str">
        <f>IF(F158="","",SUMIFS(Лэндинг!$K$5:$K$300,Лэндинг!$E$5:$E$300,$B158)+SUMIFS(Закрытые!$K$5:$K$300,Закрытые!$E$5:$E$300,$B158,Закрытые!$B$5:$B$300,"L-*"))</f>
        <v/>
      </c>
      <c r="I158" s="246" t="str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 t="str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 t="str">
        <f>IF(MIN(N(C158),N(F158))&lt;=0,"",ROUND(MIN(N(C158),N(F158))*(N(G158)-N(D158)),8))</f>
        <v/>
      </c>
      <c r="L158" s="183" t="str">
        <f>IF(MIN(N(C158),N(F158))&lt;=0,"",IF(N(D158)=0,"",ROUND((N(G158)/N(D158)-1)*100,2)))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 t="str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 t="str">
        <f>IF(C159="","",SUMIFS(Лэндинг!$H$5:$H$300,Лэндинг!$E$5:$E$300,$B159)+SUMIFS(Закрытые!$H$5:$H$300,Закрытые!$E$5:$E$300,$B159,Закрытые!$B$5:$B$300,"L-*"))</f>
        <v/>
      </c>
      <c r="F159" s="240" t="str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 t="str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 t="str">
        <f>IF(F159="","",SUMIFS(Лэндинг!$K$5:$K$300,Лэндинг!$E$5:$E$300,$B159)+SUMIFS(Закрытые!$K$5:$K$300,Закрытые!$E$5:$E$300,$B159,Закрытые!$B$5:$B$300,"L-*"))</f>
        <v/>
      </c>
      <c r="I159" s="240" t="str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 t="str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 t="str">
        <f>IF(MIN(N(C159),N(F159))&lt;=0,"",ROUND(MIN(N(C159),N(F159))*(N(G159)-N(D159)),8))</f>
        <v/>
      </c>
      <c r="L159" s="177" t="str">
        <f>IF(MIN(N(C159),N(F159))&lt;=0,"",IF(N(D159)=0,"",ROUND((N(G159)/N(D159)-1)*100,2)))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 t="str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 t="str">
        <f>IF(C160="","",SUMIFS(Лэндинг!$H$5:$H$300,Лэндинг!$E$5:$E$300,$B160)+SUMIFS(Закрытые!$H$5:$H$300,Закрытые!$E$5:$E$300,$B160,Закрытые!$B$5:$B$300,"L-*"))</f>
        <v/>
      </c>
      <c r="F160" s="246" t="str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 t="str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 t="str">
        <f>IF(F160="","",SUMIFS(Лэндинг!$K$5:$K$300,Лэндинг!$E$5:$E$300,$B160)+SUMIFS(Закрытые!$K$5:$K$300,Закрытые!$E$5:$E$300,$B160,Закрытые!$B$5:$B$300,"L-*"))</f>
        <v/>
      </c>
      <c r="I160" s="246" t="str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 t="str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 t="str">
        <f>IF(MIN(N(C160),N(F160))&lt;=0,"",ROUND(MIN(N(C160),N(F160))*(N(G160)-N(D160)),8))</f>
        <v/>
      </c>
      <c r="L160" s="183" t="str">
        <f>IF(MIN(N(C160),N(F160))&lt;=0,"",IF(N(D160)=0,"",ROUND((N(G160)/N(D160)-1)*100,2)))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 t="str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 t="str">
        <f>IF(C161="","",SUMIFS(Лэндинг!$H$5:$H$300,Лэндинг!$E$5:$E$300,$B161)+SUMIFS(Закрытые!$H$5:$H$300,Закрытые!$E$5:$E$300,$B161,Закрытые!$B$5:$B$300,"L-*"))</f>
        <v/>
      </c>
      <c r="F161" s="240" t="str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 t="str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 t="str">
        <f>IF(F161="","",SUMIFS(Лэндинг!$K$5:$K$300,Лэндинг!$E$5:$E$300,$B161)+SUMIFS(Закрытые!$K$5:$K$300,Закрытые!$E$5:$E$300,$B161,Закрытые!$B$5:$B$300,"L-*"))</f>
        <v/>
      </c>
      <c r="I161" s="240" t="str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 t="str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 t="str">
        <f>IF(MIN(N(C161),N(F161))&lt;=0,"",ROUND(MIN(N(C161),N(F161))*(N(G161)-N(D161)),8))</f>
        <v/>
      </c>
      <c r="L161" s="177" t="str">
        <f>IF(MIN(N(C161),N(F161))&lt;=0,"",IF(N(D161)=0,"",ROUND((N(G161)/N(D161)-1)*100,2)))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 t="str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 t="str">
        <f>IF(C162="","",SUMIFS(Лэндинг!$H$5:$H$300,Лэндинг!$E$5:$E$300,$B162)+SUMIFS(Закрытые!$H$5:$H$300,Закрытые!$E$5:$E$300,$B162,Закрытые!$B$5:$B$300,"L-*"))</f>
        <v/>
      </c>
      <c r="F162" s="246" t="str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 t="str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 t="str">
        <f>IF(F162="","",SUMIFS(Лэндинг!$K$5:$K$300,Лэндинг!$E$5:$E$300,$B162)+SUMIFS(Закрытые!$K$5:$K$300,Закрытые!$E$5:$E$300,$B162,Закрытые!$B$5:$B$300,"L-*"))</f>
        <v/>
      </c>
      <c r="I162" s="246" t="str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 t="str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 t="str">
        <f>IF(MIN(N(C162),N(F162))&lt;=0,"",ROUND(MIN(N(C162),N(F162))*(N(G162)-N(D162)),8))</f>
        <v/>
      </c>
      <c r="L162" s="183" t="str">
        <f>IF(MIN(N(C162),N(F162))&lt;=0,"",IF(N(D162)=0,"",ROUND((N(G162)/N(D162)-1)*100,2)))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 t="str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 t="str">
        <f>IF(C163="","",SUMIFS(Лэндинг!$H$5:$H$300,Лэндинг!$E$5:$E$300,$B163)+SUMIFS(Закрытые!$H$5:$H$300,Закрытые!$E$5:$E$300,$B163,Закрытые!$B$5:$B$300,"L-*"))</f>
        <v/>
      </c>
      <c r="F163" s="240" t="str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 t="str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 t="str">
        <f>IF(F163="","",SUMIFS(Лэндинг!$K$5:$K$300,Лэндинг!$E$5:$E$300,$B163)+SUMIFS(Закрытые!$K$5:$K$300,Закрытые!$E$5:$E$300,$B163,Закрытые!$B$5:$B$300,"L-*"))</f>
        <v/>
      </c>
      <c r="I163" s="240" t="str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 t="str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 t="str">
        <f>IF(MIN(N(C163),N(F163))&lt;=0,"",ROUND(MIN(N(C163),N(F163))*(N(G163)-N(D163)),8))</f>
        <v/>
      </c>
      <c r="L163" s="177" t="str">
        <f>IF(MIN(N(C163),N(F163))&lt;=0,"",IF(N(D163)=0,"",ROUND((N(G163)/N(D163)-1)*100,2)))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 t="str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 t="str">
        <f>IF(C164="","",SUMIFS(Лэндинг!$H$5:$H$300,Лэндинг!$E$5:$E$300,$B164)+SUMIFS(Закрытые!$H$5:$H$300,Закрытые!$E$5:$E$300,$B164,Закрытые!$B$5:$B$300,"L-*"))</f>
        <v/>
      </c>
      <c r="F164" s="246" t="str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 t="str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 t="str">
        <f>IF(F164="","",SUMIFS(Лэндинг!$K$5:$K$300,Лэндинг!$E$5:$E$300,$B164)+SUMIFS(Закрытые!$K$5:$K$300,Закрытые!$E$5:$E$300,$B164,Закрытые!$B$5:$B$300,"L-*"))</f>
        <v/>
      </c>
      <c r="I164" s="246" t="str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 t="str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 t="str">
        <f>IF(MIN(N(C164),N(F164))&lt;=0,"",ROUND(MIN(N(C164),N(F164))*(N(G164)-N(D164)),8))</f>
        <v/>
      </c>
      <c r="L164" s="183" t="str">
        <f>IF(MIN(N(C164),N(F164))&lt;=0,"",IF(N(D164)=0,"",ROUND((N(G164)/N(D164)-1)*100,2)))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 t="str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 t="str">
        <f>IF(C165="","",SUMIFS(Лэндинг!$H$5:$H$300,Лэндинг!$E$5:$E$300,$B165)+SUMIFS(Закрытые!$H$5:$H$300,Закрытые!$E$5:$E$300,$B165,Закрытые!$B$5:$B$300,"L-*"))</f>
        <v/>
      </c>
      <c r="F165" s="240" t="str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 t="str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 t="str">
        <f>IF(F165="","",SUMIFS(Лэндинг!$K$5:$K$300,Лэндинг!$E$5:$E$300,$B165)+SUMIFS(Закрытые!$K$5:$K$300,Закрытые!$E$5:$E$300,$B165,Закрытые!$B$5:$B$300,"L-*"))</f>
        <v/>
      </c>
      <c r="I165" s="240" t="str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 t="str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 t="str">
        <f>IF(MIN(N(C165),N(F165))&lt;=0,"",ROUND(MIN(N(C165),N(F165))*(N(G165)-N(D165)),8))</f>
        <v/>
      </c>
      <c r="L165" s="177" t="str">
        <f>IF(MIN(N(C165),N(F165))&lt;=0,"",IF(N(D165)=0,"",ROUND((N(G165)/N(D165)-1)*100,2)))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 t="str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 t="str">
        <f>IF(C166="","",SUMIFS(Лэндинг!$H$5:$H$300,Лэндинг!$E$5:$E$300,$B166)+SUMIFS(Закрытые!$H$5:$H$300,Закрытые!$E$5:$E$300,$B166,Закрытые!$B$5:$B$300,"L-*"))</f>
        <v/>
      </c>
      <c r="F166" s="246" t="str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 t="str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 t="str">
        <f>IF(F166="","",SUMIFS(Лэндинг!$K$5:$K$300,Лэндинг!$E$5:$E$300,$B166)+SUMIFS(Закрытые!$K$5:$K$300,Закрытые!$E$5:$E$300,$B166,Закрытые!$B$5:$B$300,"L-*"))</f>
        <v/>
      </c>
      <c r="I166" s="246" t="str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 t="str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 t="str">
        <f>IF(MIN(N(C166),N(F166))&lt;=0,"",ROUND(MIN(N(C166),N(F166))*(N(G166)-N(D166)),8))</f>
        <v/>
      </c>
      <c r="L166" s="183" t="str">
        <f>IF(MIN(N(C166),N(F166))&lt;=0,"",IF(N(D166)=0,"",ROUND((N(G166)/N(D166)-1)*100,2)))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 t="str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 t="str">
        <f>IF(C167="","",SUMIFS(Лэндинг!$H$5:$H$300,Лэндинг!$E$5:$E$300,$B167)+SUMIFS(Закрытые!$H$5:$H$300,Закрытые!$E$5:$E$300,$B167,Закрытые!$B$5:$B$300,"L-*"))</f>
        <v/>
      </c>
      <c r="F167" s="240" t="str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 t="str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 t="str">
        <f>IF(F167="","",SUMIFS(Лэндинг!$K$5:$K$300,Лэндинг!$E$5:$E$300,$B167)+SUMIFS(Закрытые!$K$5:$K$300,Закрытые!$E$5:$E$300,$B167,Закрытые!$B$5:$B$300,"L-*"))</f>
        <v/>
      </c>
      <c r="I167" s="240" t="str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 t="str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 t="str">
        <f>IF(MIN(N(C167),N(F167))&lt;=0,"",ROUND(MIN(N(C167),N(F167))*(N(G167)-N(D167)),8))</f>
        <v/>
      </c>
      <c r="L167" s="177" t="str">
        <f>IF(MIN(N(C167),N(F167))&lt;=0,"",IF(N(D167)=0,"",ROUND((N(G167)/N(D167)-1)*100,2)))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 t="str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 t="str">
        <f>IF(C168="","",SUMIFS(Лэндинг!$H$5:$H$300,Лэндинг!$E$5:$E$300,$B168)+SUMIFS(Закрытые!$H$5:$H$300,Закрытые!$E$5:$E$300,$B168,Закрытые!$B$5:$B$300,"L-*"))</f>
        <v/>
      </c>
      <c r="F168" s="246" t="str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 t="str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 t="str">
        <f>IF(F168="","",SUMIFS(Лэндинг!$K$5:$K$300,Лэндинг!$E$5:$E$300,$B168)+SUMIFS(Закрытые!$K$5:$K$300,Закрытые!$E$5:$E$300,$B168,Закрытые!$B$5:$B$300,"L-*"))</f>
        <v/>
      </c>
      <c r="I168" s="246" t="str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 t="str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 t="str">
        <f>IF(MIN(N(C168),N(F168))&lt;=0,"",ROUND(MIN(N(C168),N(F168))*(N(G168)-N(D168)),8))</f>
        <v/>
      </c>
      <c r="L168" s="183" t="str">
        <f>IF(MIN(N(C168),N(F168))&lt;=0,"",IF(N(D168)=0,"",ROUND((N(G168)/N(D168)-1)*100,2)))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 t="str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 t="str">
        <f>IF(C169="","",SUMIFS(Лэндинг!$H$5:$H$300,Лэндинг!$E$5:$E$300,$B169)+SUMIFS(Закрытые!$H$5:$H$300,Закрытые!$E$5:$E$300,$B169,Закрытые!$B$5:$B$300,"L-*"))</f>
        <v/>
      </c>
      <c r="F169" s="240" t="str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 t="str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 t="str">
        <f>IF(F169="","",SUMIFS(Лэндинг!$K$5:$K$300,Лэндинг!$E$5:$E$300,$B169)+SUMIFS(Закрытые!$K$5:$K$300,Закрытые!$E$5:$E$300,$B169,Закрытые!$B$5:$B$300,"L-*"))</f>
        <v/>
      </c>
      <c r="I169" s="240" t="str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 t="str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 t="str">
        <f>IF(MIN(N(C169),N(F169))&lt;=0,"",ROUND(MIN(N(C169),N(F169))*(N(G169)-N(D169)),8))</f>
        <v/>
      </c>
      <c r="L169" s="177" t="str">
        <f>IF(MIN(N(C169),N(F169))&lt;=0,"",IF(N(D169)=0,"",ROUND((N(G169)/N(D169)-1)*100,2)))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 t="str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 t="str">
        <f>IF(C170="","",SUMIFS(Лэндинг!$H$5:$H$300,Лэндинг!$E$5:$E$300,$B170)+SUMIFS(Закрытые!$H$5:$H$300,Закрытые!$E$5:$E$300,$B170,Закрытые!$B$5:$B$300,"L-*"))</f>
        <v/>
      </c>
      <c r="F170" s="246" t="str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 t="str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 t="str">
        <f>IF(F170="","",SUMIFS(Лэндинг!$K$5:$K$300,Лэндинг!$E$5:$E$300,$B170)+SUMIFS(Закрытые!$K$5:$K$300,Закрытые!$E$5:$E$300,$B170,Закрытые!$B$5:$B$300,"L-*"))</f>
        <v/>
      </c>
      <c r="I170" s="246" t="str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 t="str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 t="str">
        <f>IF(MIN(N(C170),N(F170))&lt;=0,"",ROUND(MIN(N(C170),N(F170))*(N(G170)-N(D170)),8))</f>
        <v/>
      </c>
      <c r="L170" s="183" t="str">
        <f>IF(MIN(N(C170),N(F170))&lt;=0,"",IF(N(D170)=0,"",ROUND((N(G170)/N(D170)-1)*100,2)))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 t="str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 t="str">
        <f>IF(C171="","",SUMIFS(Лэндинг!$H$5:$H$300,Лэндинг!$E$5:$E$300,$B171)+SUMIFS(Закрытые!$H$5:$H$300,Закрытые!$E$5:$E$300,$B171,Закрытые!$B$5:$B$300,"L-*"))</f>
        <v/>
      </c>
      <c r="F171" s="240" t="str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 t="str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 t="str">
        <f>IF(F171="","",SUMIFS(Лэндинг!$K$5:$K$300,Лэндинг!$E$5:$E$300,$B171)+SUMIFS(Закрытые!$K$5:$K$300,Закрытые!$E$5:$E$300,$B171,Закрытые!$B$5:$B$300,"L-*"))</f>
        <v/>
      </c>
      <c r="I171" s="240" t="str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 t="str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 t="str">
        <f>IF(MIN(N(C171),N(F171))&lt;=0,"",ROUND(MIN(N(C171),N(F171))*(N(G171)-N(D171)),8))</f>
        <v/>
      </c>
      <c r="L171" s="177" t="str">
        <f>IF(MIN(N(C171),N(F171))&lt;=0,"",IF(N(D171)=0,"",ROUND((N(G171)/N(D171)-1)*100,2)))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 t="str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 t="str">
        <f>IF(C172="","",SUMIFS(Лэндинг!$H$5:$H$300,Лэндинг!$E$5:$E$300,$B172)+SUMIFS(Закрытые!$H$5:$H$300,Закрытые!$E$5:$E$300,$B172,Закрытые!$B$5:$B$300,"L-*"))</f>
        <v/>
      </c>
      <c r="F172" s="246" t="str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 t="str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 t="str">
        <f>IF(F172="","",SUMIFS(Лэндинг!$K$5:$K$300,Лэндинг!$E$5:$E$300,$B172)+SUMIFS(Закрытые!$K$5:$K$300,Закрытые!$E$5:$E$300,$B172,Закрытые!$B$5:$B$300,"L-*"))</f>
        <v/>
      </c>
      <c r="I172" s="246" t="str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 t="str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 t="str">
        <f>IF(MIN(N(C172),N(F172))&lt;=0,"",ROUND(MIN(N(C172),N(F172))*(N(G172)-N(D172)),8))</f>
        <v/>
      </c>
      <c r="L172" s="183" t="str">
        <f>IF(MIN(N(C172),N(F172))&lt;=0,"",IF(N(D172)=0,"",ROUND((N(G172)/N(D172)-1)*100,2)))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 t="str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 t="str">
        <f>IF(C173="","",SUMIFS(Лэндинг!$H$5:$H$300,Лэндинг!$E$5:$E$300,$B173)+SUMIFS(Закрытые!$H$5:$H$300,Закрытые!$E$5:$E$300,$B173,Закрытые!$B$5:$B$300,"L-*"))</f>
        <v/>
      </c>
      <c r="F173" s="240" t="str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 t="str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 t="str">
        <f>IF(F173="","",SUMIFS(Лэндинг!$K$5:$K$300,Лэндинг!$E$5:$E$300,$B173)+SUMIFS(Закрытые!$K$5:$K$300,Закрытые!$E$5:$E$300,$B173,Закрытые!$B$5:$B$300,"L-*"))</f>
        <v/>
      </c>
      <c r="I173" s="240" t="str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 t="str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 t="str">
        <f>IF(MIN(N(C173),N(F173))&lt;=0,"",ROUND(MIN(N(C173),N(F173))*(N(G173)-N(D173)),8))</f>
        <v/>
      </c>
      <c r="L173" s="177" t="str">
        <f>IF(MIN(N(C173),N(F173))&lt;=0,"",IF(N(D173)=0,"",ROUND((N(G173)/N(D173)-1)*100,2)))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 t="str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 t="str">
        <f>IF(C174="","",SUMIFS(Лэндинг!$H$5:$H$300,Лэндинг!$E$5:$E$300,$B174)+SUMIFS(Закрытые!$H$5:$H$300,Закрытые!$E$5:$E$300,$B174,Закрытые!$B$5:$B$300,"L-*"))</f>
        <v/>
      </c>
      <c r="F174" s="246" t="str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 t="str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 t="str">
        <f>IF(F174="","",SUMIFS(Лэндинг!$K$5:$K$300,Лэндинг!$E$5:$E$300,$B174)+SUMIFS(Закрытые!$K$5:$K$300,Закрытые!$E$5:$E$300,$B174,Закрытые!$B$5:$B$300,"L-*"))</f>
        <v/>
      </c>
      <c r="I174" s="246" t="str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 t="str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 t="str">
        <f>IF(MIN(N(C174),N(F174))&lt;=0,"",ROUND(MIN(N(C174),N(F174))*(N(G174)-N(D174)),8))</f>
        <v/>
      </c>
      <c r="L174" s="183" t="str">
        <f>IF(MIN(N(C174),N(F174))&lt;=0,"",IF(N(D174)=0,"",ROUND((N(G174)/N(D174)-1)*100,2)))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 t="str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 t="str">
        <f>IF(C175="","",SUMIFS(Лэндинг!$H$5:$H$300,Лэндинг!$E$5:$E$300,$B175)+SUMIFS(Закрытые!$H$5:$H$300,Закрытые!$E$5:$E$300,$B175,Закрытые!$B$5:$B$300,"L-*"))</f>
        <v/>
      </c>
      <c r="F175" s="240" t="str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 t="str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 t="str">
        <f>IF(F175="","",SUMIFS(Лэндинг!$K$5:$K$300,Лэндинг!$E$5:$E$300,$B175)+SUMIFS(Закрытые!$K$5:$K$300,Закрытые!$E$5:$E$300,$B175,Закрытые!$B$5:$B$300,"L-*"))</f>
        <v/>
      </c>
      <c r="I175" s="240" t="str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 t="str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 t="str">
        <f>IF(MIN(N(C175),N(F175))&lt;=0,"",ROUND(MIN(N(C175),N(F175))*(N(G175)-N(D175)),8))</f>
        <v/>
      </c>
      <c r="L175" s="177" t="str">
        <f>IF(MIN(N(C175),N(F175))&lt;=0,"",IF(N(D175)=0,"",ROUND((N(G175)/N(D175)-1)*100,2)))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 t="str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 t="str">
        <f>IF(C176="","",SUMIFS(Лэндинг!$H$5:$H$300,Лэндинг!$E$5:$E$300,$B176)+SUMIFS(Закрытые!$H$5:$H$300,Закрытые!$E$5:$E$300,$B176,Закрытые!$B$5:$B$300,"L-*"))</f>
        <v/>
      </c>
      <c r="F176" s="246" t="str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 t="str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 t="str">
        <f>IF(F176="","",SUMIFS(Лэндинг!$K$5:$K$300,Лэндинг!$E$5:$E$300,$B176)+SUMIFS(Закрытые!$K$5:$K$300,Закрытые!$E$5:$E$300,$B176,Закрытые!$B$5:$B$300,"L-*"))</f>
        <v/>
      </c>
      <c r="I176" s="246" t="str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 t="str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 t="str">
        <f>IF(MIN(N(C176),N(F176))&lt;=0,"",ROUND(MIN(N(C176),N(F176))*(N(G176)-N(D176)),8))</f>
        <v/>
      </c>
      <c r="L176" s="183" t="str">
        <f>IF(MIN(N(C176),N(F176))&lt;=0,"",IF(N(D176)=0,"",ROUND((N(G176)/N(D176)-1)*100,2)))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 t="str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 t="str">
        <f>IF(C177="","",SUMIFS(Лэндинг!$H$5:$H$300,Лэндинг!$E$5:$E$300,$B177)+SUMIFS(Закрытые!$H$5:$H$300,Закрытые!$E$5:$E$300,$B177,Закрытые!$B$5:$B$300,"L-*"))</f>
        <v/>
      </c>
      <c r="F177" s="240" t="str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 t="str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 t="str">
        <f>IF(F177="","",SUMIFS(Лэндинг!$K$5:$K$300,Лэндинг!$E$5:$E$300,$B177)+SUMIFS(Закрытые!$K$5:$K$300,Закрытые!$E$5:$E$300,$B177,Закрытые!$B$5:$B$300,"L-*"))</f>
        <v/>
      </c>
      <c r="I177" s="240" t="str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 t="str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 t="str">
        <f>IF(MIN(N(C177),N(F177))&lt;=0,"",ROUND(MIN(N(C177),N(F177))*(N(G177)-N(D177)),8))</f>
        <v/>
      </c>
      <c r="L177" s="177" t="str">
        <f>IF(MIN(N(C177),N(F177))&lt;=0,"",IF(N(D177)=0,"",ROUND((N(G177)/N(D177)-1)*100,2)))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 t="str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 t="str">
        <f>IF(C178="","",SUMIFS(Лэндинг!$H$5:$H$300,Лэндинг!$E$5:$E$300,$B178)+SUMIFS(Закрытые!$H$5:$H$300,Закрытые!$E$5:$E$300,$B178,Закрытые!$B$5:$B$300,"L-*"))</f>
        <v/>
      </c>
      <c r="F178" s="246" t="str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 t="str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 t="str">
        <f>IF(F178="","",SUMIFS(Лэндинг!$K$5:$K$300,Лэндинг!$E$5:$E$300,$B178)+SUMIFS(Закрытые!$K$5:$K$300,Закрытые!$E$5:$E$300,$B178,Закрытые!$B$5:$B$300,"L-*"))</f>
        <v/>
      </c>
      <c r="I178" s="246" t="str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 t="str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 t="str">
        <f>IF(MIN(N(C178),N(F178))&lt;=0,"",ROUND(MIN(N(C178),N(F178))*(N(G178)-N(D178)),8))</f>
        <v/>
      </c>
      <c r="L178" s="183" t="str">
        <f>IF(MIN(N(C178),N(F178))&lt;=0,"",IF(N(D178)=0,"",ROUND((N(G178)/N(D178)-1)*100,2)))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 t="str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 t="str">
        <f>IF(C179="","",SUMIFS(Лэндинг!$H$5:$H$300,Лэндинг!$E$5:$E$300,$B179)+SUMIFS(Закрытые!$H$5:$H$300,Закрытые!$E$5:$E$300,$B179,Закрытые!$B$5:$B$300,"L-*"))</f>
        <v/>
      </c>
      <c r="F179" s="240" t="str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 t="str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 t="str">
        <f>IF(F179="","",SUMIFS(Лэндинг!$K$5:$K$300,Лэндинг!$E$5:$E$300,$B179)+SUMIFS(Закрытые!$K$5:$K$300,Закрытые!$E$5:$E$300,$B179,Закрытые!$B$5:$B$300,"L-*"))</f>
        <v/>
      </c>
      <c r="I179" s="240" t="str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 t="str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 t="str">
        <f>IF(MIN(N(C179),N(F179))&lt;=0,"",ROUND(MIN(N(C179),N(F179))*(N(G179)-N(D179)),8))</f>
        <v/>
      </c>
      <c r="L179" s="177" t="str">
        <f>IF(MIN(N(C179),N(F179))&lt;=0,"",IF(N(D179)=0,"",ROUND((N(G179)/N(D179)-1)*100,2)))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 t="str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 t="str">
        <f>IF(C180="","",SUMIFS(Лэндинг!$H$5:$H$300,Лэндинг!$E$5:$E$300,$B180)+SUMIFS(Закрытые!$H$5:$H$300,Закрытые!$E$5:$E$300,$B180,Закрытые!$B$5:$B$300,"L-*"))</f>
        <v/>
      </c>
      <c r="F180" s="246" t="str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 t="str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 t="str">
        <f>IF(F180="","",SUMIFS(Лэндинг!$K$5:$K$300,Лэндинг!$E$5:$E$300,$B180)+SUMIFS(Закрытые!$K$5:$K$300,Закрытые!$E$5:$E$300,$B180,Закрытые!$B$5:$B$300,"L-*"))</f>
        <v/>
      </c>
      <c r="I180" s="246" t="str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 t="str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 t="str">
        <f>IF(MIN(N(C180),N(F180))&lt;=0,"",ROUND(MIN(N(C180),N(F180))*(N(G180)-N(D180)),8))</f>
        <v/>
      </c>
      <c r="L180" s="183" t="str">
        <f>IF(MIN(N(C180),N(F180))&lt;=0,"",IF(N(D180)=0,"",ROUND((N(G180)/N(D180)-1)*100,2)))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 t="str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 t="str">
        <f>IF(C181="","",SUMIFS(Лэндинг!$H$5:$H$300,Лэндинг!$E$5:$E$300,$B181)+SUMIFS(Закрытые!$H$5:$H$300,Закрытые!$E$5:$E$300,$B181,Закрытые!$B$5:$B$300,"L-*"))</f>
        <v/>
      </c>
      <c r="F181" s="240" t="str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 t="str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 t="str">
        <f>IF(F181="","",SUMIFS(Лэндинг!$K$5:$K$300,Лэндинг!$E$5:$E$300,$B181)+SUMIFS(Закрытые!$K$5:$K$300,Закрытые!$E$5:$E$300,$B181,Закрытые!$B$5:$B$300,"L-*"))</f>
        <v/>
      </c>
      <c r="I181" s="240" t="str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 t="str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 t="str">
        <f>IF(MIN(N(C181),N(F181))&lt;=0,"",ROUND(MIN(N(C181),N(F181))*(N(G181)-N(D181)),8))</f>
        <v/>
      </c>
      <c r="L181" s="177" t="str">
        <f>IF(MIN(N(C181),N(F181))&lt;=0,"",IF(N(D181)=0,"",ROUND((N(G181)/N(D181)-1)*100,2)))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 t="str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 t="str">
        <f>IF(C182="","",SUMIFS(Лэндинг!$H$5:$H$300,Лэндинг!$E$5:$E$300,$B182)+SUMIFS(Закрытые!$H$5:$H$300,Закрытые!$E$5:$E$300,$B182,Закрытые!$B$5:$B$300,"L-*"))</f>
        <v/>
      </c>
      <c r="F182" s="246" t="str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 t="str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 t="str">
        <f>IF(F182="","",SUMIFS(Лэндинг!$K$5:$K$300,Лэндинг!$E$5:$E$300,$B182)+SUMIFS(Закрытые!$K$5:$K$300,Закрытые!$E$5:$E$300,$B182,Закрытые!$B$5:$B$300,"L-*"))</f>
        <v/>
      </c>
      <c r="I182" s="246" t="str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 t="str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 t="str">
        <f>IF(MIN(N(C182),N(F182))&lt;=0,"",ROUND(MIN(N(C182),N(F182))*(N(G182)-N(D182)),8))</f>
        <v/>
      </c>
      <c r="L182" s="183" t="str">
        <f>IF(MIN(N(C182),N(F182))&lt;=0,"",IF(N(D182)=0,"",ROUND((N(G182)/N(D182)-1)*100,2)))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 t="str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 t="str">
        <f>IF(C183="","",SUMIFS(Лэндинг!$H$5:$H$300,Лэндинг!$E$5:$E$300,$B183)+SUMIFS(Закрытые!$H$5:$H$300,Закрытые!$E$5:$E$300,$B183,Закрытые!$B$5:$B$300,"L-*"))</f>
        <v/>
      </c>
      <c r="F183" s="240" t="str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 t="str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 t="str">
        <f>IF(F183="","",SUMIFS(Лэндинг!$K$5:$K$300,Лэндинг!$E$5:$E$300,$B183)+SUMIFS(Закрытые!$K$5:$K$300,Закрытые!$E$5:$E$300,$B183,Закрытые!$B$5:$B$300,"L-*"))</f>
        <v/>
      </c>
      <c r="I183" s="240" t="str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 t="str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 t="str">
        <f>IF(MIN(N(C183),N(F183))&lt;=0,"",ROUND(MIN(N(C183),N(F183))*(N(G183)-N(D183)),8))</f>
        <v/>
      </c>
      <c r="L183" s="177" t="str">
        <f>IF(MIN(N(C183),N(F183))&lt;=0,"",IF(N(D183)=0,"",ROUND((N(G183)/N(D183)-1)*100,2)))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 t="str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 t="str">
        <f>IF(C184="","",SUMIFS(Лэндинг!$H$5:$H$300,Лэндинг!$E$5:$E$300,$B184)+SUMIFS(Закрытые!$H$5:$H$300,Закрытые!$E$5:$E$300,$B184,Закрытые!$B$5:$B$300,"L-*"))</f>
        <v/>
      </c>
      <c r="F184" s="246" t="str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 t="str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 t="str">
        <f>IF(F184="","",SUMIFS(Лэндинг!$K$5:$K$300,Лэндинг!$E$5:$E$300,$B184)+SUMIFS(Закрытые!$K$5:$K$300,Закрытые!$E$5:$E$300,$B184,Закрытые!$B$5:$B$300,"L-*"))</f>
        <v/>
      </c>
      <c r="I184" s="246" t="str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 t="str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 t="str">
        <f>IF(MIN(N(C184),N(F184))&lt;=0,"",ROUND(MIN(N(C184),N(F184))*(N(G184)-N(D184)),8))</f>
        <v/>
      </c>
      <c r="L184" s="183" t="str">
        <f>IF(MIN(N(C184),N(F184))&lt;=0,"",IF(N(D184)=0,"",ROUND((N(G184)/N(D184)-1)*100,2)))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 t="str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 t="str">
        <f>IF(C185="","",SUMIFS(Лэндинг!$H$5:$H$300,Лэндинг!$E$5:$E$300,$B185)+SUMIFS(Закрытые!$H$5:$H$300,Закрытые!$E$5:$E$300,$B185,Закрытые!$B$5:$B$300,"L-*"))</f>
        <v/>
      </c>
      <c r="F185" s="240" t="str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 t="str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 t="str">
        <f>IF(F185="","",SUMIFS(Лэндинг!$K$5:$K$300,Лэндинг!$E$5:$E$300,$B185)+SUMIFS(Закрытые!$K$5:$K$300,Закрытые!$E$5:$E$300,$B185,Закрытые!$B$5:$B$300,"L-*"))</f>
        <v/>
      </c>
      <c r="I185" s="240" t="str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 t="str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 t="str">
        <f>IF(MIN(N(C185),N(F185))&lt;=0,"",ROUND(MIN(N(C185),N(F185))*(N(G185)-N(D185)),8))</f>
        <v/>
      </c>
      <c r="L185" s="177" t="str">
        <f>IF(MIN(N(C185),N(F185))&lt;=0,"",IF(N(D185)=0,"",ROUND((N(G185)/N(D185)-1)*100,2)))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 t="str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 t="str">
        <f>IF(C186="","",SUMIFS(Лэндинг!$H$5:$H$300,Лэндинг!$E$5:$E$300,$B186)+SUMIFS(Закрытые!$H$5:$H$300,Закрытые!$E$5:$E$300,$B186,Закрытые!$B$5:$B$300,"L-*"))</f>
        <v/>
      </c>
      <c r="F186" s="246" t="str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 t="str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 t="str">
        <f>IF(F186="","",SUMIFS(Лэндинг!$K$5:$K$300,Лэндинг!$E$5:$E$300,$B186)+SUMIFS(Закрытые!$K$5:$K$300,Закрытые!$E$5:$E$300,$B186,Закрытые!$B$5:$B$300,"L-*"))</f>
        <v/>
      </c>
      <c r="I186" s="246" t="str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 t="str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 t="str">
        <f>IF(MIN(N(C186),N(F186))&lt;=0,"",ROUND(MIN(N(C186),N(F186))*(N(G186)-N(D186)),8))</f>
        <v/>
      </c>
      <c r="L186" s="183" t="str">
        <f>IF(MIN(N(C186),N(F186))&lt;=0,"",IF(N(D186)=0,"",ROUND((N(G186)/N(D186)-1)*100,2)))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 t="str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 t="str">
        <f>IF(C187="","",SUMIFS(Лэндинг!$H$5:$H$300,Лэндинг!$E$5:$E$300,$B187)+SUMIFS(Закрытые!$H$5:$H$300,Закрытые!$E$5:$E$300,$B187,Закрытые!$B$5:$B$300,"L-*"))</f>
        <v/>
      </c>
      <c r="F187" s="240" t="str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 t="str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 t="str">
        <f>IF(F187="","",SUMIFS(Лэндинг!$K$5:$K$300,Лэндинг!$E$5:$E$300,$B187)+SUMIFS(Закрытые!$K$5:$K$300,Закрытые!$E$5:$E$300,$B187,Закрытые!$B$5:$B$300,"L-*"))</f>
        <v/>
      </c>
      <c r="I187" s="240" t="str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 t="str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 t="str">
        <f>IF(MIN(N(C187),N(F187))&lt;=0,"",ROUND(MIN(N(C187),N(F187))*(N(G187)-N(D187)),8))</f>
        <v/>
      </c>
      <c r="L187" s="177" t="str">
        <f>IF(MIN(N(C187),N(F187))&lt;=0,"",IF(N(D187)=0,"",ROUND((N(G187)/N(D187)-1)*100,2)))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 t="str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 t="str">
        <f>IF(C188="","",SUMIFS(Лэндинг!$H$5:$H$300,Лэндинг!$E$5:$E$300,$B188)+SUMIFS(Закрытые!$H$5:$H$300,Закрытые!$E$5:$E$300,$B188,Закрытые!$B$5:$B$300,"L-*"))</f>
        <v/>
      </c>
      <c r="F188" s="246" t="str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 t="str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 t="str">
        <f>IF(F188="","",SUMIFS(Лэндинг!$K$5:$K$300,Лэндинг!$E$5:$E$300,$B188)+SUMIFS(Закрытые!$K$5:$K$300,Закрытые!$E$5:$E$300,$B188,Закрытые!$B$5:$B$300,"L-*"))</f>
        <v/>
      </c>
      <c r="I188" s="246" t="str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 t="str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 t="str">
        <f>IF(MIN(N(C188),N(F188))&lt;=0,"",ROUND(MIN(N(C188),N(F188))*(N(G188)-N(D188)),8))</f>
        <v/>
      </c>
      <c r="L188" s="183" t="str">
        <f>IF(MIN(N(C188),N(F188))&lt;=0,"",IF(N(D188)=0,"",ROUND((N(G188)/N(D188)-1)*100,2)))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 t="str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 t="str">
        <f>IF(C189="","",SUMIFS(Лэндинг!$H$5:$H$300,Лэндинг!$E$5:$E$300,$B189)+SUMIFS(Закрытые!$H$5:$H$300,Закрытые!$E$5:$E$300,$B189,Закрытые!$B$5:$B$300,"L-*"))</f>
        <v/>
      </c>
      <c r="F189" s="240" t="str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 t="str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 t="str">
        <f>IF(F189="","",SUMIFS(Лэндинг!$K$5:$K$300,Лэндинг!$E$5:$E$300,$B189)+SUMIFS(Закрытые!$K$5:$K$300,Закрытые!$E$5:$E$300,$B189,Закрытые!$B$5:$B$300,"L-*"))</f>
        <v/>
      </c>
      <c r="I189" s="240" t="str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 t="str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 t="str">
        <f>IF(MIN(N(C189),N(F189))&lt;=0,"",ROUND(MIN(N(C189),N(F189))*(N(G189)-N(D189)),8))</f>
        <v/>
      </c>
      <c r="L189" s="177" t="str">
        <f>IF(MIN(N(C189),N(F189))&lt;=0,"",IF(N(D189)=0,"",ROUND((N(G189)/N(D189)-1)*100,2)))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 t="str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 t="str">
        <f>IF(C190="","",SUMIFS(Лэндинг!$H$5:$H$300,Лэндинг!$E$5:$E$300,$B190)+SUMIFS(Закрытые!$H$5:$H$300,Закрытые!$E$5:$E$300,$B190,Закрытые!$B$5:$B$300,"L-*"))</f>
        <v/>
      </c>
      <c r="F190" s="246" t="str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 t="str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 t="str">
        <f>IF(F190="","",SUMIFS(Лэндинг!$K$5:$K$300,Лэндинг!$E$5:$E$300,$B190)+SUMIFS(Закрытые!$K$5:$K$300,Закрытые!$E$5:$E$300,$B190,Закрытые!$B$5:$B$300,"L-*"))</f>
        <v/>
      </c>
      <c r="I190" s="246" t="str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 t="str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 t="str">
        <f>IF(MIN(N(C190),N(F190))&lt;=0,"",ROUND(MIN(N(C190),N(F190))*(N(G190)-N(D190)),8))</f>
        <v/>
      </c>
      <c r="L190" s="183" t="str">
        <f>IF(MIN(N(C190),N(F190))&lt;=0,"",IF(N(D190)=0,"",ROUND((N(G190)/N(D190)-1)*100,2)))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 t="str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 t="str">
        <f>IF(C191="","",SUMIFS(Лэндинг!$H$5:$H$300,Лэндинг!$E$5:$E$300,$B191)+SUMIFS(Закрытые!$H$5:$H$300,Закрытые!$E$5:$E$300,$B191,Закрытые!$B$5:$B$300,"L-*"))</f>
        <v/>
      </c>
      <c r="F191" s="240" t="str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 t="str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 t="str">
        <f>IF(F191="","",SUMIFS(Лэндинг!$K$5:$K$300,Лэндинг!$E$5:$E$300,$B191)+SUMIFS(Закрытые!$K$5:$K$300,Закрытые!$E$5:$E$300,$B191,Закрытые!$B$5:$B$300,"L-*"))</f>
        <v/>
      </c>
      <c r="I191" s="240" t="str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 t="str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 t="str">
        <f>IF(MIN(N(C191),N(F191))&lt;=0,"",ROUND(MIN(N(C191),N(F191))*(N(G191)-N(D191)),8))</f>
        <v/>
      </c>
      <c r="L191" s="177" t="str">
        <f>IF(MIN(N(C191),N(F191))&lt;=0,"",IF(N(D191)=0,"",ROUND((N(G191)/N(D191)-1)*100,2)))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 t="str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 t="str">
        <f>IF(C192="","",SUMIFS(Лэндинг!$H$5:$H$300,Лэндинг!$E$5:$E$300,$B192)+SUMIFS(Закрытые!$H$5:$H$300,Закрытые!$E$5:$E$300,$B192,Закрытые!$B$5:$B$300,"L-*"))</f>
        <v/>
      </c>
      <c r="F192" s="246" t="str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 t="str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 t="str">
        <f>IF(F192="","",SUMIFS(Лэндинг!$K$5:$K$300,Лэндинг!$E$5:$E$300,$B192)+SUMIFS(Закрытые!$K$5:$K$300,Закрытые!$E$5:$E$300,$B192,Закрытые!$B$5:$B$300,"L-*"))</f>
        <v/>
      </c>
      <c r="I192" s="246" t="str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 t="str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 t="str">
        <f>IF(MIN(N(C192),N(F192))&lt;=0,"",ROUND(MIN(N(C192),N(F192))*(N(G192)-N(D192)),8))</f>
        <v/>
      </c>
      <c r="L192" s="183" t="str">
        <f>IF(MIN(N(C192),N(F192))&lt;=0,"",IF(N(D192)=0,"",ROUND((N(G192)/N(D192)-1)*100,2)))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 t="str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 t="str">
        <f>IF(C193="","",SUMIFS(Лэндинг!$H$5:$H$300,Лэндинг!$E$5:$E$300,$B193)+SUMIFS(Закрытые!$H$5:$H$300,Закрытые!$E$5:$E$300,$B193,Закрытые!$B$5:$B$300,"L-*"))</f>
        <v/>
      </c>
      <c r="F193" s="240" t="str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 t="str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 t="str">
        <f>IF(F193="","",SUMIFS(Лэндинг!$K$5:$K$300,Лэндинг!$E$5:$E$300,$B193)+SUMIFS(Закрытые!$K$5:$K$300,Закрытые!$E$5:$E$300,$B193,Закрытые!$B$5:$B$300,"L-*"))</f>
        <v/>
      </c>
      <c r="I193" s="240" t="str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 t="str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 t="str">
        <f>IF(MIN(N(C193),N(F193))&lt;=0,"",ROUND(MIN(N(C193),N(F193))*(N(G193)-N(D193)),8))</f>
        <v/>
      </c>
      <c r="L193" s="177" t="str">
        <f>IF(MIN(N(C193),N(F193))&lt;=0,"",IF(N(D193)=0,"",ROUND((N(G193)/N(D193)-1)*100,2)))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 t="str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 t="str">
        <f>IF(C194="","",SUMIFS(Лэндинг!$H$5:$H$300,Лэндинг!$E$5:$E$300,$B194)+SUMIFS(Закрытые!$H$5:$H$300,Закрытые!$E$5:$E$300,$B194,Закрытые!$B$5:$B$300,"L-*"))</f>
        <v/>
      </c>
      <c r="F194" s="246" t="str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 t="str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 t="str">
        <f>IF(F194="","",SUMIFS(Лэндинг!$K$5:$K$300,Лэндинг!$E$5:$E$300,$B194)+SUMIFS(Закрытые!$K$5:$K$300,Закрытые!$E$5:$E$300,$B194,Закрытые!$B$5:$B$300,"L-*"))</f>
        <v/>
      </c>
      <c r="I194" s="246" t="str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 t="str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 t="str">
        <f>IF(MIN(N(C194),N(F194))&lt;=0,"",ROUND(MIN(N(C194),N(F194))*(N(G194)-N(D194)),8))</f>
        <v/>
      </c>
      <c r="L194" s="183" t="str">
        <f>IF(MIN(N(C194),N(F194))&lt;=0,"",IF(N(D194)=0,"",ROUND((N(G194)/N(D194)-1)*100,2)))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 t="str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 t="str">
        <f>IF(C195="","",SUMIFS(Лэндинг!$H$5:$H$300,Лэндинг!$E$5:$E$300,$B195)+SUMIFS(Закрытые!$H$5:$H$300,Закрытые!$E$5:$E$300,$B195,Закрытые!$B$5:$B$300,"L-*"))</f>
        <v/>
      </c>
      <c r="F195" s="240" t="str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 t="str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 t="str">
        <f>IF(F195="","",SUMIFS(Лэндинг!$K$5:$K$300,Лэндинг!$E$5:$E$300,$B195)+SUMIFS(Закрытые!$K$5:$K$300,Закрытые!$E$5:$E$300,$B195,Закрытые!$B$5:$B$300,"L-*"))</f>
        <v/>
      </c>
      <c r="I195" s="240" t="str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 t="str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 t="str">
        <f>IF(MIN(N(C195),N(F195))&lt;=0,"",ROUND(MIN(N(C195),N(F195))*(N(G195)-N(D195)),8))</f>
        <v/>
      </c>
      <c r="L195" s="177" t="str">
        <f>IF(MIN(N(C195),N(F195))&lt;=0,"",IF(N(D195)=0,"",ROUND((N(G195)/N(D195)-1)*100,2)))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 t="str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 t="str">
        <f>IF(C196="","",SUMIFS(Лэндинг!$H$5:$H$300,Лэндинг!$E$5:$E$300,$B196)+SUMIFS(Закрытые!$H$5:$H$300,Закрытые!$E$5:$E$300,$B196,Закрытые!$B$5:$B$300,"L-*"))</f>
        <v/>
      </c>
      <c r="F196" s="246" t="str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 t="str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 t="str">
        <f>IF(F196="","",SUMIFS(Лэндинг!$K$5:$K$300,Лэндинг!$E$5:$E$300,$B196)+SUMIFS(Закрытые!$K$5:$K$300,Закрытые!$E$5:$E$300,$B196,Закрытые!$B$5:$B$300,"L-*"))</f>
        <v/>
      </c>
      <c r="I196" s="246" t="str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 t="str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 t="str">
        <f>IF(MIN(N(C196),N(F196))&lt;=0,"",ROUND(MIN(N(C196),N(F196))*(N(G196)-N(D196)),8))</f>
        <v/>
      </c>
      <c r="L196" s="183" t="str">
        <f>IF(MIN(N(C196),N(F196))&lt;=0,"",IF(N(D196)=0,"",ROUND((N(G196)/N(D196)-1)*100,2)))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 t="str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 t="str">
        <f>IF(C197="","",SUMIFS(Лэндинг!$H$5:$H$300,Лэндинг!$E$5:$E$300,$B197)+SUMIFS(Закрытые!$H$5:$H$300,Закрытые!$E$5:$E$300,$B197,Закрытые!$B$5:$B$300,"L-*"))</f>
        <v/>
      </c>
      <c r="F197" s="240" t="str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 t="str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 t="str">
        <f>IF(F197="","",SUMIFS(Лэндинг!$K$5:$K$300,Лэндинг!$E$5:$E$300,$B197)+SUMIFS(Закрытые!$K$5:$K$300,Закрытые!$E$5:$E$300,$B197,Закрытые!$B$5:$B$300,"L-*"))</f>
        <v/>
      </c>
      <c r="I197" s="240" t="str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 t="str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 t="str">
        <f>IF(MIN(N(C197),N(F197))&lt;=0,"",ROUND(MIN(N(C197),N(F197))*(N(G197)-N(D197)),8))</f>
        <v/>
      </c>
      <c r="L197" s="177" t="str">
        <f>IF(MIN(N(C197),N(F197))&lt;=0,"",IF(N(D197)=0,"",ROUND((N(G197)/N(D197)-1)*100,2)))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 t="str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 t="str">
        <f>IF(C198="","",SUMIFS(Лэндинг!$H$5:$H$300,Лэндинг!$E$5:$E$300,$B198)+SUMIFS(Закрытые!$H$5:$H$300,Закрытые!$E$5:$E$300,$B198,Закрытые!$B$5:$B$300,"L-*"))</f>
        <v/>
      </c>
      <c r="F198" s="246" t="str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 t="str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 t="str">
        <f>IF(F198="","",SUMIFS(Лэндинг!$K$5:$K$300,Лэндинг!$E$5:$E$300,$B198)+SUMIFS(Закрытые!$K$5:$K$300,Закрытые!$E$5:$E$300,$B198,Закрытые!$B$5:$B$300,"L-*"))</f>
        <v/>
      </c>
      <c r="I198" s="246" t="str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 t="str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 t="str">
        <f>IF(MIN(N(C198),N(F198))&lt;=0,"",ROUND(MIN(N(C198),N(F198))*(N(G198)-N(D198)),8))</f>
        <v/>
      </c>
      <c r="L198" s="183" t="str">
        <f>IF(MIN(N(C198),N(F198))&lt;=0,"",IF(N(D198)=0,"",ROUND((N(G198)/N(D198)-1)*100,2)))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 t="str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 t="str">
        <f>IF(C199="","",SUMIFS(Лэндинг!$H$5:$H$300,Лэндинг!$E$5:$E$300,$B199)+SUMIFS(Закрытые!$H$5:$H$300,Закрытые!$E$5:$E$300,$B199,Закрытые!$B$5:$B$300,"L-*"))</f>
        <v/>
      </c>
      <c r="F199" s="240" t="str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 t="str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 t="str">
        <f>IF(F199="","",SUMIFS(Лэндинг!$K$5:$K$300,Лэндинг!$E$5:$E$300,$B199)+SUMIFS(Закрытые!$K$5:$K$300,Закрытые!$E$5:$E$300,$B199,Закрытые!$B$5:$B$300,"L-*"))</f>
        <v/>
      </c>
      <c r="I199" s="240" t="str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 t="str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 t="str">
        <f>IF(MIN(N(C199),N(F199))&lt;=0,"",ROUND(MIN(N(C199),N(F199))*(N(G199)-N(D199)),8))</f>
        <v/>
      </c>
      <c r="L199" s="177" t="str">
        <f>IF(MIN(N(C199),N(F199))&lt;=0,"",IF(N(D199)=0,"",ROUND((N(G199)/N(D199)-1)*100,2)))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 t="str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 t="str">
        <f>IF(C200="","",SUMIFS(Лэндинг!$H$5:$H$300,Лэндинг!$E$5:$E$300,$B200)+SUMIFS(Закрытые!$H$5:$H$300,Закрытые!$E$5:$E$300,$B200,Закрытые!$B$5:$B$300,"L-*"))</f>
        <v/>
      </c>
      <c r="F200" s="246" t="str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 t="str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 t="str">
        <f>IF(F200="","",SUMIFS(Лэндинг!$K$5:$K$300,Лэндинг!$E$5:$E$300,$B200)+SUMIFS(Закрытые!$K$5:$K$300,Закрытые!$E$5:$E$300,$B200,Закрытые!$B$5:$B$300,"L-*"))</f>
        <v/>
      </c>
      <c r="I200" s="246" t="str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 t="str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 t="str">
        <f>IF(MIN(N(C200),N(F200))&lt;=0,"",ROUND(MIN(N(C200),N(F200))*(N(G200)-N(D200)),8))</f>
        <v/>
      </c>
      <c r="L200" s="183" t="str">
        <f>IF(MIN(N(C200),N(F200))&lt;=0,"",IF(N(D200)=0,"",ROUND((N(G200)/N(D200)-1)*100,2)))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 t="str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 t="str">
        <f>IF(C201="","",SUMIFS(Лэндинг!$H$5:$H$300,Лэндинг!$E$5:$E$300,$B201)+SUMIFS(Закрытые!$H$5:$H$300,Закрытые!$E$5:$E$300,$B201,Закрытые!$B$5:$B$300,"L-*"))</f>
        <v/>
      </c>
      <c r="F201" s="240" t="str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 t="str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 t="str">
        <f>IF(F201="","",SUMIFS(Лэндинг!$K$5:$K$300,Лэндинг!$E$5:$E$300,$B201)+SUMIFS(Закрытые!$K$5:$K$300,Закрытые!$E$5:$E$300,$B201,Закрытые!$B$5:$B$300,"L-*"))</f>
        <v/>
      </c>
      <c r="I201" s="240" t="str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 t="str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 t="str">
        <f>IF(MIN(N(C201),N(F201))&lt;=0,"",ROUND(MIN(N(C201),N(F201))*(N(G201)-N(D201)),8))</f>
        <v/>
      </c>
      <c r="L201" s="177" t="str">
        <f>IF(MIN(N(C201),N(F201))&lt;=0,"",IF(N(D201)=0,"",ROUND((N(G201)/N(D201)-1)*100,2)))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 t="str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 t="str">
        <f>IF(C202="","",SUMIFS(Лэндинг!$H$5:$H$300,Лэндинг!$E$5:$E$300,$B202)+SUMIFS(Закрытые!$H$5:$H$300,Закрытые!$E$5:$E$300,$B202,Закрытые!$B$5:$B$300,"L-*"))</f>
        <v/>
      </c>
      <c r="F202" s="246" t="str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 t="str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 t="str">
        <f>IF(F202="","",SUMIFS(Лэндинг!$K$5:$K$300,Лэндинг!$E$5:$E$300,$B202)+SUMIFS(Закрытые!$K$5:$K$300,Закрытые!$E$5:$E$300,$B202,Закрытые!$B$5:$B$300,"L-*"))</f>
        <v/>
      </c>
      <c r="I202" s="246" t="str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 t="str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 t="str">
        <f>IF(MIN(N(C202),N(F202))&lt;=0,"",ROUND(MIN(N(C202),N(F202))*(N(G202)-N(D202)),8))</f>
        <v/>
      </c>
      <c r="L202" s="183" t="str">
        <f>IF(MIN(N(C202),N(F202))&lt;=0,"",IF(N(D202)=0,"",ROUND((N(G202)/N(D202)-1)*100,2)))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 t="str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 t="str">
        <f>IF(C203="","",SUMIFS(Лэндинг!$H$5:$H$300,Лэндинг!$E$5:$E$300,$B203)+SUMIFS(Закрытые!$H$5:$H$300,Закрытые!$E$5:$E$300,$B203,Закрытые!$B$5:$B$300,"L-*"))</f>
        <v/>
      </c>
      <c r="F203" s="240" t="str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 t="str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 t="str">
        <f>IF(F203="","",SUMIFS(Лэндинг!$K$5:$K$300,Лэндинг!$E$5:$E$300,$B203)+SUMIFS(Закрытые!$K$5:$K$300,Закрытые!$E$5:$E$300,$B203,Закрытые!$B$5:$B$300,"L-*"))</f>
        <v/>
      </c>
      <c r="I203" s="240" t="str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 t="str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 t="str">
        <f>IF(MIN(N(C203),N(F203))&lt;=0,"",ROUND(MIN(N(C203),N(F203))*(N(G203)-N(D203)),8))</f>
        <v/>
      </c>
      <c r="L203" s="177" t="str">
        <f>IF(MIN(N(C203),N(F203))&lt;=0,"",IF(N(D203)=0,"",ROUND((N(G203)/N(D203)-1)*100,2)))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 t="str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 t="str">
        <f>IF(C204="","",SUMIFS(Лэндинг!$H$5:$H$300,Лэндинг!$E$5:$E$300,$B204)+SUMIFS(Закрытые!$H$5:$H$300,Закрытые!$E$5:$E$300,$B204,Закрытые!$B$5:$B$300,"L-*"))</f>
        <v/>
      </c>
      <c r="F204" s="246" t="str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 t="str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 t="str">
        <f>IF(F204="","",SUMIFS(Лэндинг!$K$5:$K$300,Лэндинг!$E$5:$E$300,$B204)+SUMIFS(Закрытые!$K$5:$K$300,Закрытые!$E$5:$E$300,$B204,Закрытые!$B$5:$B$300,"L-*"))</f>
        <v/>
      </c>
      <c r="I204" s="246" t="str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 t="str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 t="str">
        <f>IF(MIN(N(C204),N(F204))&lt;=0,"",ROUND(MIN(N(C204),N(F204))*(N(G204)-N(D204)),8))</f>
        <v/>
      </c>
      <c r="L204" s="183" t="str">
        <f>IF(MIN(N(C204),N(F204))&lt;=0,"",IF(N(D204)=0,"",ROUND((N(G204)/N(D204)-1)*100,2)))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 t="str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 t="str">
        <f>IF(C205="","",SUMIFS(Лэндинг!$H$5:$H$300,Лэндинг!$E$5:$E$300,$B205)+SUMIFS(Закрытые!$H$5:$H$300,Закрытые!$E$5:$E$300,$B205,Закрытые!$B$5:$B$300,"L-*"))</f>
        <v/>
      </c>
      <c r="F205" s="240" t="str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 t="str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 t="str">
        <f>IF(F205="","",SUMIFS(Лэндинг!$K$5:$K$300,Лэндинг!$E$5:$E$300,$B205)+SUMIFS(Закрытые!$K$5:$K$300,Закрытые!$E$5:$E$300,$B205,Закрытые!$B$5:$B$300,"L-*"))</f>
        <v/>
      </c>
      <c r="I205" s="240" t="str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 t="str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 t="str">
        <f>IF(MIN(N(C205),N(F205))&lt;=0,"",ROUND(MIN(N(C205),N(F205))*(N(G205)-N(D205)),8))</f>
        <v/>
      </c>
      <c r="L205" s="177" t="str">
        <f>IF(MIN(N(C205),N(F205))&lt;=0,"",IF(N(D205)=0,"",ROUND((N(G205)/N(D205)-1)*100,2)))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 t="str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 t="str">
        <f>IF(C206="","",SUMIFS(Лэндинг!$H$5:$H$300,Лэндинг!$E$5:$E$300,$B206)+SUMIFS(Закрытые!$H$5:$H$300,Закрытые!$E$5:$E$300,$B206,Закрытые!$B$5:$B$300,"L-*"))</f>
        <v/>
      </c>
      <c r="F206" s="246" t="str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 t="str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 t="str">
        <f>IF(F206="","",SUMIFS(Лэндинг!$K$5:$K$300,Лэндинг!$E$5:$E$300,$B206)+SUMIFS(Закрытые!$K$5:$K$300,Закрытые!$E$5:$E$300,$B206,Закрытые!$B$5:$B$300,"L-*"))</f>
        <v/>
      </c>
      <c r="I206" s="246" t="str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 t="str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 t="str">
        <f>IF(MIN(N(C206),N(F206))&lt;=0,"",ROUND(MIN(N(C206),N(F206))*(N(G206)-N(D206)),8))</f>
        <v/>
      </c>
      <c r="L206" s="183" t="str">
        <f>IF(MIN(N(C206),N(F206))&lt;=0,"",IF(N(D206)=0,"",ROUND((N(G206)/N(D206)-1)*100,2)))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 t="str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 t="str">
        <f>IF(C207="","",SUMIFS(Лэндинг!$H$5:$H$300,Лэндинг!$E$5:$E$300,$B207)+SUMIFS(Закрытые!$H$5:$H$300,Закрытые!$E$5:$E$300,$B207,Закрытые!$B$5:$B$300,"L-*"))</f>
        <v/>
      </c>
      <c r="F207" s="240" t="str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 t="str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 t="str">
        <f>IF(F207="","",SUMIFS(Лэндинг!$K$5:$K$300,Лэндинг!$E$5:$E$300,$B207)+SUMIFS(Закрытые!$K$5:$K$300,Закрытые!$E$5:$E$300,$B207,Закрытые!$B$5:$B$300,"L-*"))</f>
        <v/>
      </c>
      <c r="I207" s="240" t="str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 t="str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 t="str">
        <f>IF(MIN(N(C207),N(F207))&lt;=0,"",ROUND(MIN(N(C207),N(F207))*(N(G207)-N(D207)),8))</f>
        <v/>
      </c>
      <c r="L207" s="177" t="str">
        <f>IF(MIN(N(C207),N(F207))&lt;=0,"",IF(N(D207)=0,"",ROUND((N(G207)/N(D207)-1)*100,2)))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 t="str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 t="str">
        <f>IF(C208="","",SUMIFS(Лэндинг!$H$5:$H$300,Лэндинг!$E$5:$E$300,$B208)+SUMIFS(Закрытые!$H$5:$H$300,Закрытые!$E$5:$E$300,$B208,Закрытые!$B$5:$B$300,"L-*"))</f>
        <v/>
      </c>
      <c r="F208" s="246" t="str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 t="str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 t="str">
        <f>IF(F208="","",SUMIFS(Лэндинг!$K$5:$K$300,Лэндинг!$E$5:$E$300,$B208)+SUMIFS(Закрытые!$K$5:$K$300,Закрытые!$E$5:$E$300,$B208,Закрытые!$B$5:$B$300,"L-*"))</f>
        <v/>
      </c>
      <c r="I208" s="246" t="str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 t="str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 t="str">
        <f>IF(MIN(N(C208),N(F208))&lt;=0,"",ROUND(MIN(N(C208),N(F208))*(N(G208)-N(D208)),8))</f>
        <v/>
      </c>
      <c r="L208" s="183" t="str">
        <f>IF(MIN(N(C208),N(F208))&lt;=0,"",IF(N(D208)=0,"",ROUND((N(G208)/N(D208)-1)*100,2)))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 t="str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 t="str">
        <f>IF(C209="","",SUMIFS(Лэндинг!$H$5:$H$300,Лэндинг!$E$5:$E$300,$B209)+SUMIFS(Закрытые!$H$5:$H$300,Закрытые!$E$5:$E$300,$B209,Закрытые!$B$5:$B$300,"L-*"))</f>
        <v/>
      </c>
      <c r="F209" s="240" t="str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 t="str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 t="str">
        <f>IF(F209="","",SUMIFS(Лэндинг!$K$5:$K$300,Лэндинг!$E$5:$E$300,$B209)+SUMIFS(Закрытые!$K$5:$K$300,Закрытые!$E$5:$E$300,$B209,Закрытые!$B$5:$B$300,"L-*"))</f>
        <v/>
      </c>
      <c r="I209" s="240" t="str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 t="str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 t="str">
        <f>IF(MIN(N(C209),N(F209))&lt;=0,"",ROUND(MIN(N(C209),N(F209))*(N(G209)-N(D209)),8))</f>
        <v/>
      </c>
      <c r="L209" s="177" t="str">
        <f>IF(MIN(N(C209),N(F209))&lt;=0,"",IF(N(D209)=0,"",ROUND((N(G209)/N(D209)-1)*100,2)))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 t="str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 t="str">
        <f>IF(C210="","",SUMIFS(Лэндинг!$H$5:$H$300,Лэндинг!$E$5:$E$300,$B210)+SUMIFS(Закрытые!$H$5:$H$300,Закрытые!$E$5:$E$300,$B210,Закрытые!$B$5:$B$300,"L-*"))</f>
        <v/>
      </c>
      <c r="F210" s="246" t="str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 t="str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 t="str">
        <f>IF(F210="","",SUMIFS(Лэндинг!$K$5:$K$300,Лэндинг!$E$5:$E$300,$B210)+SUMIFS(Закрытые!$K$5:$K$300,Закрытые!$E$5:$E$300,$B210,Закрытые!$B$5:$B$300,"L-*"))</f>
        <v/>
      </c>
      <c r="I210" s="246" t="str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 t="str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 t="str">
        <f>IF(MIN(N(C210),N(F210))&lt;=0,"",ROUND(MIN(N(C210),N(F210))*(N(G210)-N(D210)),8))</f>
        <v/>
      </c>
      <c r="L210" s="183" t="str">
        <f>IF(MIN(N(C210),N(F210))&lt;=0,"",IF(N(D210)=0,"",ROUND((N(G210)/N(D210)-1)*100,2)))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 t="str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 t="str">
        <f>IF(C211="","",SUMIFS(Лэндинг!$H$5:$H$300,Лэндинг!$E$5:$E$300,$B211)+SUMIFS(Закрытые!$H$5:$H$300,Закрытые!$E$5:$E$300,$B211,Закрытые!$B$5:$B$300,"L-*"))</f>
        <v/>
      </c>
      <c r="F211" s="240" t="str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 t="str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 t="str">
        <f>IF(F211="","",SUMIFS(Лэндинг!$K$5:$K$300,Лэндинг!$E$5:$E$300,$B211)+SUMIFS(Закрытые!$K$5:$K$300,Закрытые!$E$5:$E$300,$B211,Закрытые!$B$5:$B$300,"L-*"))</f>
        <v/>
      </c>
      <c r="I211" s="240" t="str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 t="str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 t="str">
        <f>IF(MIN(N(C211),N(F211))&lt;=0,"",ROUND(MIN(N(C211),N(F211))*(N(G211)-N(D211)),8))</f>
        <v/>
      </c>
      <c r="L211" s="177" t="str">
        <f>IF(MIN(N(C211),N(F211))&lt;=0,"",IF(N(D211)=0,"",ROUND((N(G211)/N(D211)-1)*100,2)))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 t="str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 t="str">
        <f>IF(C212="","",SUMIFS(Лэндинг!$H$5:$H$300,Лэндинг!$E$5:$E$300,$B212)+SUMIFS(Закрытые!$H$5:$H$300,Закрытые!$E$5:$E$300,$B212,Закрытые!$B$5:$B$300,"L-*"))</f>
        <v/>
      </c>
      <c r="F212" s="246" t="str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 t="str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 t="str">
        <f>IF(F212="","",SUMIFS(Лэндинг!$K$5:$K$300,Лэндинг!$E$5:$E$300,$B212)+SUMIFS(Закрытые!$K$5:$K$300,Закрытые!$E$5:$E$300,$B212,Закрытые!$B$5:$B$300,"L-*"))</f>
        <v/>
      </c>
      <c r="I212" s="246" t="str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 t="str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 t="str">
        <f>IF(MIN(N(C212),N(F212))&lt;=0,"",ROUND(MIN(N(C212),N(F212))*(N(G212)-N(D212)),8))</f>
        <v/>
      </c>
      <c r="L212" s="183" t="str">
        <f>IF(MIN(N(C212),N(F212))&lt;=0,"",IF(N(D212)=0,"",ROUND((N(G212)/N(D212)-1)*100,2)))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 t="str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 t="str">
        <f>IF(C213="","",SUMIFS(Лэндинг!$H$5:$H$300,Лэндинг!$E$5:$E$300,$B213)+SUMIFS(Закрытые!$H$5:$H$300,Закрытые!$E$5:$E$300,$B213,Закрытые!$B$5:$B$300,"L-*"))</f>
        <v/>
      </c>
      <c r="F213" s="240" t="str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 t="str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 t="str">
        <f>IF(F213="","",SUMIFS(Лэндинг!$K$5:$K$300,Лэндинг!$E$5:$E$300,$B213)+SUMIFS(Закрытые!$K$5:$K$300,Закрытые!$E$5:$E$300,$B213,Закрытые!$B$5:$B$300,"L-*"))</f>
        <v/>
      </c>
      <c r="I213" s="240" t="str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 t="str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 t="str">
        <f>IF(MIN(N(C213),N(F213))&lt;=0,"",ROUND(MIN(N(C213),N(F213))*(N(G213)-N(D213)),8))</f>
        <v/>
      </c>
      <c r="L213" s="177" t="str">
        <f>IF(MIN(N(C213),N(F213))&lt;=0,"",IF(N(D213)=0,"",ROUND((N(G213)/N(D213)-1)*100,2)))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 t="str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 t="str">
        <f>IF(C214="","",SUMIFS(Лэндинг!$H$5:$H$300,Лэндинг!$E$5:$E$300,$B214)+SUMIFS(Закрытые!$H$5:$H$300,Закрытые!$E$5:$E$300,$B214,Закрытые!$B$5:$B$300,"L-*"))</f>
        <v/>
      </c>
      <c r="F214" s="246" t="str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 t="str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 t="str">
        <f>IF(F214="","",SUMIFS(Лэндинг!$K$5:$K$300,Лэндинг!$E$5:$E$300,$B214)+SUMIFS(Закрытые!$K$5:$K$300,Закрытые!$E$5:$E$300,$B214,Закрытые!$B$5:$B$300,"L-*"))</f>
        <v/>
      </c>
      <c r="I214" s="246" t="str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 t="str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 t="str">
        <f>IF(MIN(N(C214),N(F214))&lt;=0,"",ROUND(MIN(N(C214),N(F214))*(N(G214)-N(D214)),8))</f>
        <v/>
      </c>
      <c r="L214" s="183" t="str">
        <f>IF(MIN(N(C214),N(F214))&lt;=0,"",IF(N(D214)=0,"",ROUND((N(G214)/N(D214)-1)*100,2)))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 t="str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 t="str">
        <f>IF(C215="","",SUMIFS(Лэндинг!$H$5:$H$300,Лэндинг!$E$5:$E$300,$B215)+SUMIFS(Закрытые!$H$5:$H$300,Закрытые!$E$5:$E$300,$B215,Закрытые!$B$5:$B$300,"L-*"))</f>
        <v/>
      </c>
      <c r="F215" s="240" t="str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 t="str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 t="str">
        <f>IF(F215="","",SUMIFS(Лэндинг!$K$5:$K$300,Лэндинг!$E$5:$E$300,$B215)+SUMIFS(Закрытые!$K$5:$K$300,Закрытые!$E$5:$E$300,$B215,Закрытые!$B$5:$B$300,"L-*"))</f>
        <v/>
      </c>
      <c r="I215" s="240" t="str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 t="str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 t="str">
        <f>IF(MIN(N(C215),N(F215))&lt;=0,"",ROUND(MIN(N(C215),N(F215))*(N(G215)-N(D215)),8))</f>
        <v/>
      </c>
      <c r="L215" s="177" t="str">
        <f>IF(MIN(N(C215),N(F215))&lt;=0,"",IF(N(D215)=0,"",ROUND((N(G215)/N(D215)-1)*100,2)))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 t="str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 t="str">
        <f>IF(C216="","",SUMIFS(Лэндинг!$H$5:$H$300,Лэндинг!$E$5:$E$300,$B216)+SUMIFS(Закрытые!$H$5:$H$300,Закрытые!$E$5:$E$300,$B216,Закрытые!$B$5:$B$300,"L-*"))</f>
        <v/>
      </c>
      <c r="F216" s="246" t="str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 t="str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 t="str">
        <f>IF(F216="","",SUMIFS(Лэндинг!$K$5:$K$300,Лэндинг!$E$5:$E$300,$B216)+SUMIFS(Закрытые!$K$5:$K$300,Закрытые!$E$5:$E$300,$B216,Закрытые!$B$5:$B$300,"L-*"))</f>
        <v/>
      </c>
      <c r="I216" s="246" t="str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 t="str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 t="str">
        <f>IF(MIN(N(C216),N(F216))&lt;=0,"",ROUND(MIN(N(C216),N(F216))*(N(G216)-N(D216)),8))</f>
        <v/>
      </c>
      <c r="L216" s="183" t="str">
        <f>IF(MIN(N(C216),N(F216))&lt;=0,"",IF(N(D216)=0,"",ROUND((N(G216)/N(D216)-1)*100,2)))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 t="str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 t="str">
        <f>IF(C217="","",SUMIFS(Лэндинг!$H$5:$H$300,Лэндинг!$E$5:$E$300,$B217)+SUMIFS(Закрытые!$H$5:$H$300,Закрытые!$E$5:$E$300,$B217,Закрытые!$B$5:$B$300,"L-*"))</f>
        <v/>
      </c>
      <c r="F217" s="240" t="str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 t="str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 t="str">
        <f>IF(F217="","",SUMIFS(Лэндинг!$K$5:$K$300,Лэндинг!$E$5:$E$300,$B217)+SUMIFS(Закрытые!$K$5:$K$300,Закрытые!$E$5:$E$300,$B217,Закрытые!$B$5:$B$300,"L-*"))</f>
        <v/>
      </c>
      <c r="I217" s="240" t="str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 t="str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 t="str">
        <f>IF(MIN(N(C217),N(F217))&lt;=0,"",ROUND(MIN(N(C217),N(F217))*(N(G217)-N(D217)),8))</f>
        <v/>
      </c>
      <c r="L217" s="177" t="str">
        <f>IF(MIN(N(C217),N(F217))&lt;=0,"",IF(N(D217)=0,"",ROUND((N(G217)/N(D217)-1)*100,2)))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 t="str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 t="str">
        <f>IF(C218="","",SUMIFS(Лэндинг!$H$5:$H$300,Лэндинг!$E$5:$E$300,$B218)+SUMIFS(Закрытые!$H$5:$H$300,Закрытые!$E$5:$E$300,$B218,Закрытые!$B$5:$B$300,"L-*"))</f>
        <v/>
      </c>
      <c r="F218" s="246" t="str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 t="str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 t="str">
        <f>IF(F218="","",SUMIFS(Лэндинг!$K$5:$K$300,Лэндинг!$E$5:$E$300,$B218)+SUMIFS(Закрытые!$K$5:$K$300,Закрытые!$E$5:$E$300,$B218,Закрытые!$B$5:$B$300,"L-*"))</f>
        <v/>
      </c>
      <c r="I218" s="246" t="str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 t="str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 t="str">
        <f>IF(MIN(N(C218),N(F218))&lt;=0,"",ROUND(MIN(N(C218),N(F218))*(N(G218)-N(D218)),8))</f>
        <v/>
      </c>
      <c r="L218" s="183" t="str">
        <f>IF(MIN(N(C218),N(F218))&lt;=0,"",IF(N(D218)=0,"",ROUND((N(G218)/N(D218)-1)*100,2)))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 t="str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 t="str">
        <f>IF(C219="","",SUMIFS(Лэндинг!$H$5:$H$300,Лэндинг!$E$5:$E$300,$B219)+SUMIFS(Закрытые!$H$5:$H$300,Закрытые!$E$5:$E$300,$B219,Закрытые!$B$5:$B$300,"L-*"))</f>
        <v/>
      </c>
      <c r="F219" s="240" t="str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 t="str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 t="str">
        <f>IF(F219="","",SUMIFS(Лэндинг!$K$5:$K$300,Лэндинг!$E$5:$E$300,$B219)+SUMIFS(Закрытые!$K$5:$K$300,Закрытые!$E$5:$E$300,$B219,Закрытые!$B$5:$B$300,"L-*"))</f>
        <v/>
      </c>
      <c r="I219" s="240" t="str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 t="str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 t="str">
        <f>IF(MIN(N(C219),N(F219))&lt;=0,"",ROUND(MIN(N(C219),N(F219))*(N(G219)-N(D219)),8))</f>
        <v/>
      </c>
      <c r="L219" s="177" t="str">
        <f>IF(MIN(N(C219),N(F219))&lt;=0,"",IF(N(D219)=0,"",ROUND((N(G219)/N(D219)-1)*100,2)))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 t="str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 t="str">
        <f>IF(C220="","",SUMIFS(Лэндинг!$H$5:$H$300,Лэндинг!$E$5:$E$300,$B220)+SUMIFS(Закрытые!$H$5:$H$300,Закрытые!$E$5:$E$300,$B220,Закрытые!$B$5:$B$300,"L-*"))</f>
        <v/>
      </c>
      <c r="F220" s="246" t="str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 t="str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 t="str">
        <f>IF(F220="","",SUMIFS(Лэндинг!$K$5:$K$300,Лэндинг!$E$5:$E$300,$B220)+SUMIFS(Закрытые!$K$5:$K$300,Закрытые!$E$5:$E$300,$B220,Закрытые!$B$5:$B$300,"L-*"))</f>
        <v/>
      </c>
      <c r="I220" s="246" t="str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 t="str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 t="str">
        <f>IF(MIN(N(C220),N(F220))&lt;=0,"",ROUND(MIN(N(C220),N(F220))*(N(G220)-N(D220)),8))</f>
        <v/>
      </c>
      <c r="L220" s="183" t="str">
        <f>IF(MIN(N(C220),N(F220))&lt;=0,"",IF(N(D220)=0,"",ROUND((N(G220)/N(D220)-1)*100,2)))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 t="str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 t="str">
        <f>IF(C221="","",SUMIFS(Лэндинг!$H$5:$H$300,Лэндинг!$E$5:$E$300,$B221)+SUMIFS(Закрытые!$H$5:$H$300,Закрытые!$E$5:$E$300,$B221,Закрытые!$B$5:$B$300,"L-*"))</f>
        <v/>
      </c>
      <c r="F221" s="240" t="str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 t="str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 t="str">
        <f>IF(F221="","",SUMIFS(Лэндинг!$K$5:$K$300,Лэндинг!$E$5:$E$300,$B221)+SUMIFS(Закрытые!$K$5:$K$300,Закрытые!$E$5:$E$300,$B221,Закрытые!$B$5:$B$300,"L-*"))</f>
        <v/>
      </c>
      <c r="I221" s="240" t="str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 t="str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 t="str">
        <f>IF(MIN(N(C221),N(F221))&lt;=0,"",ROUND(MIN(N(C221),N(F221))*(N(G221)-N(D221)),8))</f>
        <v/>
      </c>
      <c r="L221" s="177" t="str">
        <f>IF(MIN(N(C221),N(F221))&lt;=0,"",IF(N(D221)=0,"",ROUND((N(G221)/N(D221)-1)*100,2)))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 t="str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 t="str">
        <f>IF(C222="","",SUMIFS(Лэндинг!$H$5:$H$300,Лэндинг!$E$5:$E$300,$B222)+SUMIFS(Закрытые!$H$5:$H$300,Закрытые!$E$5:$E$300,$B222,Закрытые!$B$5:$B$300,"L-*"))</f>
        <v/>
      </c>
      <c r="F222" s="246" t="str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 t="str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 t="str">
        <f>IF(F222="","",SUMIFS(Лэндинг!$K$5:$K$300,Лэндинг!$E$5:$E$300,$B222)+SUMIFS(Закрытые!$K$5:$K$300,Закрытые!$E$5:$E$300,$B222,Закрытые!$B$5:$B$300,"L-*"))</f>
        <v/>
      </c>
      <c r="I222" s="246" t="str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 t="str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 t="str">
        <f>IF(MIN(N(C222),N(F222))&lt;=0,"",ROUND(MIN(N(C222),N(F222))*(N(G222)-N(D222)),8))</f>
        <v/>
      </c>
      <c r="L222" s="183" t="str">
        <f>IF(MIN(N(C222),N(F222))&lt;=0,"",IF(N(D222)=0,"",ROUND((N(G222)/N(D222)-1)*100,2)))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 t="str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 t="str">
        <f>IF(C223="","",SUMIFS(Лэндинг!$H$5:$H$300,Лэндинг!$E$5:$E$300,$B223)+SUMIFS(Закрытые!$H$5:$H$300,Закрытые!$E$5:$E$300,$B223,Закрытые!$B$5:$B$300,"L-*"))</f>
        <v/>
      </c>
      <c r="F223" s="240" t="str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 t="str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 t="str">
        <f>IF(F223="","",SUMIFS(Лэндинг!$K$5:$K$300,Лэндинг!$E$5:$E$300,$B223)+SUMIFS(Закрытые!$K$5:$K$300,Закрытые!$E$5:$E$300,$B223,Закрытые!$B$5:$B$300,"L-*"))</f>
        <v/>
      </c>
      <c r="I223" s="240" t="str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 t="str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 t="str">
        <f>IF(MIN(N(C223),N(F223))&lt;=0,"",ROUND(MIN(N(C223),N(F223))*(N(G223)-N(D223)),8))</f>
        <v/>
      </c>
      <c r="L223" s="177" t="str">
        <f>IF(MIN(N(C223),N(F223))&lt;=0,"",IF(N(D223)=0,"",ROUND((N(G223)/N(D223)-1)*100,2)))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 t="str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 t="str">
        <f>IF(C224="","",SUMIFS(Лэндинг!$H$5:$H$300,Лэндинг!$E$5:$E$300,$B224)+SUMIFS(Закрытые!$H$5:$H$300,Закрытые!$E$5:$E$300,$B224,Закрытые!$B$5:$B$300,"L-*"))</f>
        <v/>
      </c>
      <c r="F224" s="246" t="str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 t="str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 t="str">
        <f>IF(F224="","",SUMIFS(Лэндинг!$K$5:$K$300,Лэндинг!$E$5:$E$300,$B224)+SUMIFS(Закрытые!$K$5:$K$300,Закрытые!$E$5:$E$300,$B224,Закрытые!$B$5:$B$300,"L-*"))</f>
        <v/>
      </c>
      <c r="I224" s="246" t="str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 t="str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 t="str">
        <f>IF(MIN(N(C224),N(F224))&lt;=0,"",ROUND(MIN(N(C224),N(F224))*(N(G224)-N(D224)),8))</f>
        <v/>
      </c>
      <c r="L224" s="183" t="str">
        <f>IF(MIN(N(C224),N(F224))&lt;=0,"",IF(N(D224)=0,"",ROUND((N(G224)/N(D224)-1)*100,2)))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 t="str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 t="str">
        <f>IF(C225="","",SUMIFS(Лэндинг!$H$5:$H$300,Лэндинг!$E$5:$E$300,$B225)+SUMIFS(Закрытые!$H$5:$H$300,Закрытые!$E$5:$E$300,$B225,Закрытые!$B$5:$B$300,"L-*"))</f>
        <v/>
      </c>
      <c r="F225" s="240" t="str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 t="str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 t="str">
        <f>IF(F225="","",SUMIFS(Лэндинг!$K$5:$K$300,Лэндинг!$E$5:$E$300,$B225)+SUMIFS(Закрытые!$K$5:$K$300,Закрытые!$E$5:$E$300,$B225,Закрытые!$B$5:$B$300,"L-*"))</f>
        <v/>
      </c>
      <c r="I225" s="240" t="str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 t="str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 t="str">
        <f>IF(MIN(N(C225),N(F225))&lt;=0,"",ROUND(MIN(N(C225),N(F225))*(N(G225)-N(D225)),8))</f>
        <v/>
      </c>
      <c r="L225" s="177" t="str">
        <f>IF(MIN(N(C225),N(F225))&lt;=0,"",IF(N(D225)=0,"",ROUND((N(G225)/N(D225)-1)*100,2)))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 t="str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 t="str">
        <f>IF(C226="","",SUMIFS(Лэндинг!$H$5:$H$300,Лэндинг!$E$5:$E$300,$B226)+SUMIFS(Закрытые!$H$5:$H$300,Закрытые!$E$5:$E$300,$B226,Закрытые!$B$5:$B$300,"L-*"))</f>
        <v/>
      </c>
      <c r="F226" s="246" t="str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 t="str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 t="str">
        <f>IF(F226="","",SUMIFS(Лэндинг!$K$5:$K$300,Лэндинг!$E$5:$E$300,$B226)+SUMIFS(Закрытые!$K$5:$K$300,Закрытые!$E$5:$E$300,$B226,Закрытые!$B$5:$B$300,"L-*"))</f>
        <v/>
      </c>
      <c r="I226" s="246" t="str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 t="str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 t="str">
        <f>IF(MIN(N(C226),N(F226))&lt;=0,"",ROUND(MIN(N(C226),N(F226))*(N(G226)-N(D226)),8))</f>
        <v/>
      </c>
      <c r="L226" s="183" t="str">
        <f>IF(MIN(N(C226),N(F226))&lt;=0,"",IF(N(D226)=0,"",ROUND((N(G226)/N(D226)-1)*100,2)))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 t="str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 t="str">
        <f>IF(C227="","",SUMIFS(Лэндинг!$H$5:$H$300,Лэндинг!$E$5:$E$300,$B227)+SUMIFS(Закрытые!$H$5:$H$300,Закрытые!$E$5:$E$300,$B227,Закрытые!$B$5:$B$300,"L-*"))</f>
        <v/>
      </c>
      <c r="F227" s="240" t="str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 t="str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 t="str">
        <f>IF(F227="","",SUMIFS(Лэндинг!$K$5:$K$300,Лэндинг!$E$5:$E$300,$B227)+SUMIFS(Закрытые!$K$5:$K$300,Закрытые!$E$5:$E$300,$B227,Закрытые!$B$5:$B$300,"L-*"))</f>
        <v/>
      </c>
      <c r="I227" s="240" t="str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 t="str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 t="str">
        <f>IF(MIN(N(C227),N(F227))&lt;=0,"",ROUND(MIN(N(C227),N(F227))*(N(G227)-N(D227)),8))</f>
        <v/>
      </c>
      <c r="L227" s="177" t="str">
        <f>IF(MIN(N(C227),N(F227))&lt;=0,"",IF(N(D227)=0,"",ROUND((N(G227)/N(D227)-1)*100,2)))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 t="str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 t="str">
        <f>IF(C228="","",SUMIFS(Лэндинг!$H$5:$H$300,Лэндинг!$E$5:$E$300,$B228)+SUMIFS(Закрытые!$H$5:$H$300,Закрытые!$E$5:$E$300,$B228,Закрытые!$B$5:$B$300,"L-*"))</f>
        <v/>
      </c>
      <c r="F228" s="246" t="str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 t="str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 t="str">
        <f>IF(F228="","",SUMIFS(Лэндинг!$K$5:$K$300,Лэндинг!$E$5:$E$300,$B228)+SUMIFS(Закрытые!$K$5:$K$300,Закрытые!$E$5:$E$300,$B228,Закрытые!$B$5:$B$300,"L-*"))</f>
        <v/>
      </c>
      <c r="I228" s="246" t="str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 t="str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 t="str">
        <f>IF(MIN(N(C228),N(F228))&lt;=0,"",ROUND(MIN(N(C228),N(F228))*(N(G228)-N(D228)),8))</f>
        <v/>
      </c>
      <c r="L228" s="183" t="str">
        <f>IF(MIN(N(C228),N(F228))&lt;=0,"",IF(N(D228)=0,"",ROUND((N(G228)/N(D228)-1)*100,2)))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 t="str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 t="str">
        <f>IF(C229="","",SUMIFS(Лэндинг!$H$5:$H$300,Лэндинг!$E$5:$E$300,$B229)+SUMIFS(Закрытые!$H$5:$H$300,Закрытые!$E$5:$E$300,$B229,Закрытые!$B$5:$B$300,"L-*"))</f>
        <v/>
      </c>
      <c r="F229" s="240" t="str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 t="str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 t="str">
        <f>IF(F229="","",SUMIFS(Лэндинг!$K$5:$K$300,Лэндинг!$E$5:$E$300,$B229)+SUMIFS(Закрытые!$K$5:$K$300,Закрытые!$E$5:$E$300,$B229,Закрытые!$B$5:$B$300,"L-*"))</f>
        <v/>
      </c>
      <c r="I229" s="240" t="str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 t="str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 t="str">
        <f>IF(MIN(N(C229),N(F229))&lt;=0,"",ROUND(MIN(N(C229),N(F229))*(N(G229)-N(D229)),8))</f>
        <v/>
      </c>
      <c r="L229" s="177" t="str">
        <f>IF(MIN(N(C229),N(F229))&lt;=0,"",IF(N(D229)=0,"",ROUND((N(G229)/N(D229)-1)*100,2)))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 t="str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 t="str">
        <f>IF(C230="","",SUMIFS(Лэндинг!$H$5:$H$300,Лэндинг!$E$5:$E$300,$B230)+SUMIFS(Закрытые!$H$5:$H$300,Закрытые!$E$5:$E$300,$B230,Закрытые!$B$5:$B$300,"L-*"))</f>
        <v/>
      </c>
      <c r="F230" s="246" t="str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 t="str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 t="str">
        <f>IF(F230="","",SUMIFS(Лэндинг!$K$5:$K$300,Лэндинг!$E$5:$E$300,$B230)+SUMIFS(Закрытые!$K$5:$K$300,Закрытые!$E$5:$E$300,$B230,Закрытые!$B$5:$B$300,"L-*"))</f>
        <v/>
      </c>
      <c r="I230" s="246" t="str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 t="str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 t="str">
        <f>IF(MIN(N(C230),N(F230))&lt;=0,"",ROUND(MIN(N(C230),N(F230))*(N(G230)-N(D230)),8))</f>
        <v/>
      </c>
      <c r="L230" s="183" t="str">
        <f>IF(MIN(N(C230),N(F230))&lt;=0,"",IF(N(D230)=0,"",ROUND((N(G230)/N(D230)-1)*100,2)))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 t="str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 t="str">
        <f>IF(C231="","",SUMIFS(Лэндинг!$H$5:$H$300,Лэндинг!$E$5:$E$300,$B231)+SUMIFS(Закрытые!$H$5:$H$300,Закрытые!$E$5:$E$300,$B231,Закрытые!$B$5:$B$300,"L-*"))</f>
        <v/>
      </c>
      <c r="F231" s="240" t="str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 t="str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 t="str">
        <f>IF(F231="","",SUMIFS(Лэндинг!$K$5:$K$300,Лэндинг!$E$5:$E$300,$B231)+SUMIFS(Закрытые!$K$5:$K$300,Закрытые!$E$5:$E$300,$B231,Закрытые!$B$5:$B$300,"L-*"))</f>
        <v/>
      </c>
      <c r="I231" s="240" t="str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 t="str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 t="str">
        <f>IF(MIN(N(C231),N(F231))&lt;=0,"",ROUND(MIN(N(C231),N(F231))*(N(G231)-N(D231)),8))</f>
        <v/>
      </c>
      <c r="L231" s="177" t="str">
        <f>IF(MIN(N(C231),N(F231))&lt;=0,"",IF(N(D231)=0,"",ROUND((N(G231)/N(D231)-1)*100,2)))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 t="str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 t="str">
        <f>IF(C232="","",SUMIFS(Лэндинг!$H$5:$H$300,Лэндинг!$E$5:$E$300,$B232)+SUMIFS(Закрытые!$H$5:$H$300,Закрытые!$E$5:$E$300,$B232,Закрытые!$B$5:$B$300,"L-*"))</f>
        <v/>
      </c>
      <c r="F232" s="246" t="str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 t="str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 t="str">
        <f>IF(F232="","",SUMIFS(Лэндинг!$K$5:$K$300,Лэндинг!$E$5:$E$300,$B232)+SUMIFS(Закрытые!$K$5:$K$300,Закрытые!$E$5:$E$300,$B232,Закрытые!$B$5:$B$300,"L-*"))</f>
        <v/>
      </c>
      <c r="I232" s="246" t="str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 t="str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 t="str">
        <f>IF(MIN(N(C232),N(F232))&lt;=0,"",ROUND(MIN(N(C232),N(F232))*(N(G232)-N(D232)),8))</f>
        <v/>
      </c>
      <c r="L232" s="183" t="str">
        <f>IF(MIN(N(C232),N(F232))&lt;=0,"",IF(N(D232)=0,"",ROUND((N(G232)/N(D232)-1)*100,2)))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 t="str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 t="str">
        <f>IF(C233="","",SUMIFS(Лэндинг!$H$5:$H$300,Лэндинг!$E$5:$E$300,$B233)+SUMIFS(Закрытые!$H$5:$H$300,Закрытые!$E$5:$E$300,$B233,Закрытые!$B$5:$B$300,"L-*"))</f>
        <v/>
      </c>
      <c r="F233" s="240" t="str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 t="str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 t="str">
        <f>IF(F233="","",SUMIFS(Лэндинг!$K$5:$K$300,Лэндинг!$E$5:$E$300,$B233)+SUMIFS(Закрытые!$K$5:$K$300,Закрытые!$E$5:$E$300,$B233,Закрытые!$B$5:$B$300,"L-*"))</f>
        <v/>
      </c>
      <c r="I233" s="240" t="str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 t="str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 t="str">
        <f>IF(MIN(N(C233),N(F233))&lt;=0,"",ROUND(MIN(N(C233),N(F233))*(N(G233)-N(D233)),8))</f>
        <v/>
      </c>
      <c r="L233" s="177" t="str">
        <f>IF(MIN(N(C233),N(F233))&lt;=0,"",IF(N(D233)=0,"",ROUND((N(G233)/N(D233)-1)*100,2)))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 t="str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 t="str">
        <f>IF(C234="","",SUMIFS(Лэндинг!$H$5:$H$300,Лэндинг!$E$5:$E$300,$B234)+SUMIFS(Закрытые!$H$5:$H$300,Закрытые!$E$5:$E$300,$B234,Закрытые!$B$5:$B$300,"L-*"))</f>
        <v/>
      </c>
      <c r="F234" s="246" t="str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 t="str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 t="str">
        <f>IF(F234="","",SUMIFS(Лэндинг!$K$5:$K$300,Лэндинг!$E$5:$E$300,$B234)+SUMIFS(Закрытые!$K$5:$K$300,Закрытые!$E$5:$E$300,$B234,Закрытые!$B$5:$B$300,"L-*"))</f>
        <v/>
      </c>
      <c r="I234" s="246" t="str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 t="str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 t="str">
        <f>IF(MIN(N(C234),N(F234))&lt;=0,"",ROUND(MIN(N(C234),N(F234))*(N(G234)-N(D234)),8))</f>
        <v/>
      </c>
      <c r="L234" s="183" t="str">
        <f>IF(MIN(N(C234),N(F234))&lt;=0,"",IF(N(D234)=0,"",ROUND((N(G234)/N(D234)-1)*100,2)))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 t="str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 t="str">
        <f>IF(C235="","",SUMIFS(Лэндинг!$H$5:$H$300,Лэндинг!$E$5:$E$300,$B235)+SUMIFS(Закрытые!$H$5:$H$300,Закрытые!$E$5:$E$300,$B235,Закрытые!$B$5:$B$300,"L-*"))</f>
        <v/>
      </c>
      <c r="F235" s="240" t="str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 t="str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 t="str">
        <f>IF(F235="","",SUMIFS(Лэндинг!$K$5:$K$300,Лэндинг!$E$5:$E$300,$B235)+SUMIFS(Закрытые!$K$5:$K$300,Закрытые!$E$5:$E$300,$B235,Закрытые!$B$5:$B$300,"L-*"))</f>
        <v/>
      </c>
      <c r="I235" s="240" t="str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 t="str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 t="str">
        <f>IF(MIN(N(C235),N(F235))&lt;=0,"",ROUND(MIN(N(C235),N(F235))*(N(G235)-N(D235)),8))</f>
        <v/>
      </c>
      <c r="L235" s="177" t="str">
        <f>IF(MIN(N(C235),N(F235))&lt;=0,"",IF(N(D235)=0,"",ROUND((N(G235)/N(D235)-1)*100,2)))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 t="str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 t="str">
        <f>IF(C236="","",SUMIFS(Лэндинг!$H$5:$H$300,Лэндинг!$E$5:$E$300,$B236)+SUMIFS(Закрытые!$H$5:$H$300,Закрытые!$E$5:$E$300,$B236,Закрытые!$B$5:$B$300,"L-*"))</f>
        <v/>
      </c>
      <c r="F236" s="246" t="str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 t="str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 t="str">
        <f>IF(F236="","",SUMIFS(Лэндинг!$K$5:$K$300,Лэндинг!$E$5:$E$300,$B236)+SUMIFS(Закрытые!$K$5:$K$300,Закрытые!$E$5:$E$300,$B236,Закрытые!$B$5:$B$300,"L-*"))</f>
        <v/>
      </c>
      <c r="I236" s="246" t="str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 t="str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 t="str">
        <f>IF(MIN(N(C236),N(F236))&lt;=0,"",ROUND(MIN(N(C236),N(F236))*(N(G236)-N(D236)),8))</f>
        <v/>
      </c>
      <c r="L236" s="183" t="str">
        <f>IF(MIN(N(C236),N(F236))&lt;=0,"",IF(N(D236)=0,"",ROUND((N(G236)/N(D236)-1)*100,2)))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 t="str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 t="str">
        <f>IF(C237="","",SUMIFS(Лэндинг!$H$5:$H$300,Лэндинг!$E$5:$E$300,$B237)+SUMIFS(Закрытые!$H$5:$H$300,Закрытые!$E$5:$E$300,$B237,Закрытые!$B$5:$B$300,"L-*"))</f>
        <v/>
      </c>
      <c r="F237" s="240" t="str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 t="str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 t="str">
        <f>IF(F237="","",SUMIFS(Лэндинг!$K$5:$K$300,Лэндинг!$E$5:$E$300,$B237)+SUMIFS(Закрытые!$K$5:$K$300,Закрытые!$E$5:$E$300,$B237,Закрытые!$B$5:$B$300,"L-*"))</f>
        <v/>
      </c>
      <c r="I237" s="240" t="str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 t="str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 t="str">
        <f>IF(MIN(N(C237),N(F237))&lt;=0,"",ROUND(MIN(N(C237),N(F237))*(N(G237)-N(D237)),8))</f>
        <v/>
      </c>
      <c r="L237" s="177" t="str">
        <f>IF(MIN(N(C237),N(F237))&lt;=0,"",IF(N(D237)=0,"",ROUND((N(G237)/N(D237)-1)*100,2)))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 t="str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 t="str">
        <f>IF(C238="","",SUMIFS(Лэндинг!$H$5:$H$300,Лэндинг!$E$5:$E$300,$B238)+SUMIFS(Закрытые!$H$5:$H$300,Закрытые!$E$5:$E$300,$B238,Закрытые!$B$5:$B$300,"L-*"))</f>
        <v/>
      </c>
      <c r="F238" s="246" t="str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 t="str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 t="str">
        <f>IF(F238="","",SUMIFS(Лэндинг!$K$5:$K$300,Лэндинг!$E$5:$E$300,$B238)+SUMIFS(Закрытые!$K$5:$K$300,Закрытые!$E$5:$E$300,$B238,Закрытые!$B$5:$B$300,"L-*"))</f>
        <v/>
      </c>
      <c r="I238" s="246" t="str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 t="str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 t="str">
        <f>IF(MIN(N(C238),N(F238))&lt;=0,"",ROUND(MIN(N(C238),N(F238))*(N(G238)-N(D238)),8))</f>
        <v/>
      </c>
      <c r="L238" s="183" t="str">
        <f>IF(MIN(N(C238),N(F238))&lt;=0,"",IF(N(D238)=0,"",ROUND((N(G238)/N(D238)-1)*100,2)))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 t="str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 t="str">
        <f>IF(C239="","",SUMIFS(Лэндинг!$H$5:$H$300,Лэндинг!$E$5:$E$300,$B239)+SUMIFS(Закрытые!$H$5:$H$300,Закрытые!$E$5:$E$300,$B239,Закрытые!$B$5:$B$300,"L-*"))</f>
        <v/>
      </c>
      <c r="F239" s="240" t="str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 t="str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 t="str">
        <f>IF(F239="","",SUMIFS(Лэндинг!$K$5:$K$300,Лэндинг!$E$5:$E$300,$B239)+SUMIFS(Закрытые!$K$5:$K$300,Закрытые!$E$5:$E$300,$B239,Закрытые!$B$5:$B$300,"L-*"))</f>
        <v/>
      </c>
      <c r="I239" s="240" t="str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 t="str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 t="str">
        <f>IF(MIN(N(C239),N(F239))&lt;=0,"",ROUND(MIN(N(C239),N(F239))*(N(G239)-N(D239)),8))</f>
        <v/>
      </c>
      <c r="L239" s="177" t="str">
        <f>IF(MIN(N(C239),N(F239))&lt;=0,"",IF(N(D239)=0,"",ROUND((N(G239)/N(D239)-1)*100,2)))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 t="str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 t="str">
        <f>IF(C240="","",SUMIFS(Лэндинг!$H$5:$H$300,Лэндинг!$E$5:$E$300,$B240)+SUMIFS(Закрытые!$H$5:$H$300,Закрытые!$E$5:$E$300,$B240,Закрытые!$B$5:$B$300,"L-*"))</f>
        <v/>
      </c>
      <c r="F240" s="246" t="str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 t="str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 t="str">
        <f>IF(F240="","",SUMIFS(Лэндинг!$K$5:$K$300,Лэндинг!$E$5:$E$300,$B240)+SUMIFS(Закрытые!$K$5:$K$300,Закрытые!$E$5:$E$300,$B240,Закрытые!$B$5:$B$300,"L-*"))</f>
        <v/>
      </c>
      <c r="I240" s="246" t="str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 t="str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 t="str">
        <f>IF(MIN(N(C240),N(F240))&lt;=0,"",ROUND(MIN(N(C240),N(F240))*(N(G240)-N(D240)),8))</f>
        <v/>
      </c>
      <c r="L240" s="183" t="str">
        <f>IF(MIN(N(C240),N(F240))&lt;=0,"",IF(N(D240)=0,"",ROUND((N(G240)/N(D240)-1)*100,2)))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 t="str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 t="str">
        <f>IF(C241="","",SUMIFS(Лэндинг!$H$5:$H$300,Лэндинг!$E$5:$E$300,$B241)+SUMIFS(Закрытые!$H$5:$H$300,Закрытые!$E$5:$E$300,$B241,Закрытые!$B$5:$B$300,"L-*"))</f>
        <v/>
      </c>
      <c r="F241" s="240" t="str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 t="str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 t="str">
        <f>IF(F241="","",SUMIFS(Лэндинг!$K$5:$K$300,Лэндинг!$E$5:$E$300,$B241)+SUMIFS(Закрытые!$K$5:$K$300,Закрытые!$E$5:$E$300,$B241,Закрытые!$B$5:$B$300,"L-*"))</f>
        <v/>
      </c>
      <c r="I241" s="240" t="str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 t="str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 t="str">
        <f>IF(MIN(N(C241),N(F241))&lt;=0,"",ROUND(MIN(N(C241),N(F241))*(N(G241)-N(D241)),8))</f>
        <v/>
      </c>
      <c r="L241" s="177" t="str">
        <f>IF(MIN(N(C241),N(F241))&lt;=0,"",IF(N(D241)=0,"",ROUND((N(G241)/N(D241)-1)*100,2)))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 t="str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 t="str">
        <f>IF(C242="","",SUMIFS(Лэндинг!$H$5:$H$300,Лэндинг!$E$5:$E$300,$B242)+SUMIFS(Закрытые!$H$5:$H$300,Закрытые!$E$5:$E$300,$B242,Закрытые!$B$5:$B$300,"L-*"))</f>
        <v/>
      </c>
      <c r="F242" s="246" t="str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 t="str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 t="str">
        <f>IF(F242="","",SUMIFS(Лэндинг!$K$5:$K$300,Лэндинг!$E$5:$E$300,$B242)+SUMIFS(Закрытые!$K$5:$K$300,Закрытые!$E$5:$E$300,$B242,Закрытые!$B$5:$B$300,"L-*"))</f>
        <v/>
      </c>
      <c r="I242" s="246" t="str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 t="str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 t="str">
        <f>IF(MIN(N(C242),N(F242))&lt;=0,"",ROUND(MIN(N(C242),N(F242))*(N(G242)-N(D242)),8))</f>
        <v/>
      </c>
      <c r="L242" s="183" t="str">
        <f>IF(MIN(N(C242),N(F242))&lt;=0,"",IF(N(D242)=0,"",ROUND((N(G242)/N(D242)-1)*100,2)))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 t="str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 t="str">
        <f>IF(C243="","",SUMIFS(Лэндинг!$H$5:$H$300,Лэндинг!$E$5:$E$300,$B243)+SUMIFS(Закрытые!$H$5:$H$300,Закрытые!$E$5:$E$300,$B243,Закрытые!$B$5:$B$300,"L-*"))</f>
        <v/>
      </c>
      <c r="F243" s="240" t="str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 t="str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 t="str">
        <f>IF(F243="","",SUMIFS(Лэндинг!$K$5:$K$300,Лэндинг!$E$5:$E$300,$B243)+SUMIFS(Закрытые!$K$5:$K$300,Закрытые!$E$5:$E$300,$B243,Закрытые!$B$5:$B$300,"L-*"))</f>
        <v/>
      </c>
      <c r="I243" s="240" t="str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 t="str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 t="str">
        <f>IF(MIN(N(C243),N(F243))&lt;=0,"",ROUND(MIN(N(C243),N(F243))*(N(G243)-N(D243)),8))</f>
        <v/>
      </c>
      <c r="L243" s="177" t="str">
        <f>IF(MIN(N(C243),N(F243))&lt;=0,"",IF(N(D243)=0,"",ROUND((N(G243)/N(D243)-1)*100,2)))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 t="str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 t="str">
        <f>IF(C244="","",SUMIFS(Лэндинг!$H$5:$H$300,Лэндинг!$E$5:$E$300,$B244)+SUMIFS(Закрытые!$H$5:$H$300,Закрытые!$E$5:$E$300,$B244,Закрытые!$B$5:$B$300,"L-*"))</f>
        <v/>
      </c>
      <c r="F244" s="246" t="str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 t="str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 t="str">
        <f>IF(F244="","",SUMIFS(Лэндинг!$K$5:$K$300,Лэндинг!$E$5:$E$300,$B244)+SUMIFS(Закрытые!$K$5:$K$300,Закрытые!$E$5:$E$300,$B244,Закрытые!$B$5:$B$300,"L-*"))</f>
        <v/>
      </c>
      <c r="I244" s="246" t="str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 t="str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 t="str">
        <f>IF(MIN(N(C244),N(F244))&lt;=0,"",ROUND(MIN(N(C244),N(F244))*(N(G244)-N(D244)),8))</f>
        <v/>
      </c>
      <c r="L244" s="183" t="str">
        <f>IF(MIN(N(C244),N(F244))&lt;=0,"",IF(N(D244)=0,"",ROUND((N(G244)/N(D244)-1)*100,2)))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 t="str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 t="str">
        <f>IF(C245="","",SUMIFS(Лэндинг!$H$5:$H$300,Лэндинг!$E$5:$E$300,$B245)+SUMIFS(Закрытые!$H$5:$H$300,Закрытые!$E$5:$E$300,$B245,Закрытые!$B$5:$B$300,"L-*"))</f>
        <v/>
      </c>
      <c r="F245" s="240" t="str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 t="str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 t="str">
        <f>IF(F245="","",SUMIFS(Лэндинг!$K$5:$K$300,Лэндинг!$E$5:$E$300,$B245)+SUMIFS(Закрытые!$K$5:$K$300,Закрытые!$E$5:$E$300,$B245,Закрытые!$B$5:$B$300,"L-*"))</f>
        <v/>
      </c>
      <c r="I245" s="240" t="str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 t="str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 t="str">
        <f>IF(MIN(N(C245),N(F245))&lt;=0,"",ROUND(MIN(N(C245),N(F245))*(N(G245)-N(D245)),8))</f>
        <v/>
      </c>
      <c r="L245" s="177" t="str">
        <f>IF(MIN(N(C245),N(F245))&lt;=0,"",IF(N(D245)=0,"",ROUND((N(G245)/N(D245)-1)*100,2)))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 t="str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 t="str">
        <f>IF(C246="","",SUMIFS(Лэндинг!$H$5:$H$300,Лэндинг!$E$5:$E$300,$B246)+SUMIFS(Закрытые!$H$5:$H$300,Закрытые!$E$5:$E$300,$B246,Закрытые!$B$5:$B$300,"L-*"))</f>
        <v/>
      </c>
      <c r="F246" s="246" t="str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 t="str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 t="str">
        <f>IF(F246="","",SUMIFS(Лэндинг!$K$5:$K$300,Лэндинг!$E$5:$E$300,$B246)+SUMIFS(Закрытые!$K$5:$K$300,Закрытые!$E$5:$E$300,$B246,Закрытые!$B$5:$B$300,"L-*"))</f>
        <v/>
      </c>
      <c r="I246" s="246" t="str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 t="str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 t="str">
        <f>IF(MIN(N(C246),N(F246))&lt;=0,"",ROUND(MIN(N(C246),N(F246))*(N(G246)-N(D246)),8))</f>
        <v/>
      </c>
      <c r="L246" s="183" t="str">
        <f>IF(MIN(N(C246),N(F246))&lt;=0,"",IF(N(D246)=0,"",ROUND((N(G246)/N(D246)-1)*100,2)))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 t="str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 t="str">
        <f>IF(C247="","",SUMIFS(Лэндинг!$H$5:$H$300,Лэндинг!$E$5:$E$300,$B247)+SUMIFS(Закрытые!$H$5:$H$300,Закрытые!$E$5:$E$300,$B247,Закрытые!$B$5:$B$300,"L-*"))</f>
        <v/>
      </c>
      <c r="F247" s="240" t="str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 t="str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 t="str">
        <f>IF(F247="","",SUMIFS(Лэндинг!$K$5:$K$300,Лэндинг!$E$5:$E$300,$B247)+SUMIFS(Закрытые!$K$5:$K$300,Закрытые!$E$5:$E$300,$B247,Закрытые!$B$5:$B$300,"L-*"))</f>
        <v/>
      </c>
      <c r="I247" s="240" t="str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 t="str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 t="str">
        <f>IF(MIN(N(C247),N(F247))&lt;=0,"",ROUND(MIN(N(C247),N(F247))*(N(G247)-N(D247)),8))</f>
        <v/>
      </c>
      <c r="L247" s="177" t="str">
        <f>IF(MIN(N(C247),N(F247))&lt;=0,"",IF(N(D247)=0,"",ROUND((N(G247)/N(D247)-1)*100,2)))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 t="str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 t="str">
        <f>IF(C248="","",SUMIFS(Лэндинг!$H$5:$H$300,Лэндинг!$E$5:$E$300,$B248)+SUMIFS(Закрытые!$H$5:$H$300,Закрытые!$E$5:$E$300,$B248,Закрытые!$B$5:$B$300,"L-*"))</f>
        <v/>
      </c>
      <c r="F248" s="246" t="str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 t="str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 t="str">
        <f>IF(F248="","",SUMIFS(Лэндинг!$K$5:$K$300,Лэндинг!$E$5:$E$300,$B248)+SUMIFS(Закрытые!$K$5:$K$300,Закрытые!$E$5:$E$300,$B248,Закрытые!$B$5:$B$300,"L-*"))</f>
        <v/>
      </c>
      <c r="I248" s="246" t="str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 t="str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 t="str">
        <f>IF(MIN(N(C248),N(F248))&lt;=0,"",ROUND(MIN(N(C248),N(F248))*(N(G248)-N(D248)),8))</f>
        <v/>
      </c>
      <c r="L248" s="183" t="str">
        <f>IF(MIN(N(C248),N(F248))&lt;=0,"",IF(N(D248)=0,"",ROUND((N(G248)/N(D248)-1)*100,2)))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 t="str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 t="str">
        <f>IF(C249="","",SUMIFS(Лэндинг!$H$5:$H$300,Лэндинг!$E$5:$E$300,$B249)+SUMIFS(Закрытые!$H$5:$H$300,Закрытые!$E$5:$E$300,$B249,Закрытые!$B$5:$B$300,"L-*"))</f>
        <v/>
      </c>
      <c r="F249" s="240" t="str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 t="str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 t="str">
        <f>IF(F249="","",SUMIFS(Лэндинг!$K$5:$K$300,Лэндинг!$E$5:$E$300,$B249)+SUMIFS(Закрытые!$K$5:$K$300,Закрытые!$E$5:$E$300,$B249,Закрытые!$B$5:$B$300,"L-*"))</f>
        <v/>
      </c>
      <c r="I249" s="240" t="str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 t="str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 t="str">
        <f>IF(MIN(N(C249),N(F249))&lt;=0,"",ROUND(MIN(N(C249),N(F249))*(N(G249)-N(D249)),8))</f>
        <v/>
      </c>
      <c r="L249" s="177" t="str">
        <f>IF(MIN(N(C249),N(F249))&lt;=0,"",IF(N(D249)=0,"",ROUND((N(G249)/N(D249)-1)*100,2)))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 t="str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 t="str">
        <f>IF(C250="","",SUMIFS(Лэндинг!$H$5:$H$300,Лэндинг!$E$5:$E$300,$B250)+SUMIFS(Закрытые!$H$5:$H$300,Закрытые!$E$5:$E$300,$B250,Закрытые!$B$5:$B$300,"L-*"))</f>
        <v/>
      </c>
      <c r="F250" s="246" t="str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 t="str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 t="str">
        <f>IF(F250="","",SUMIFS(Лэндинг!$K$5:$K$300,Лэндинг!$E$5:$E$300,$B250)+SUMIFS(Закрытые!$K$5:$K$300,Закрытые!$E$5:$E$300,$B250,Закрытые!$B$5:$B$300,"L-*"))</f>
        <v/>
      </c>
      <c r="I250" s="246" t="str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 t="str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 t="str">
        <f>IF(MIN(N(C250),N(F250))&lt;=0,"",ROUND(MIN(N(C250),N(F250))*(N(G250)-N(D250)),8))</f>
        <v/>
      </c>
      <c r="L250" s="183" t="str">
        <f>IF(MIN(N(C250),N(F250))&lt;=0,"",IF(N(D250)=0,"",ROUND((N(G250)/N(D250)-1)*100,2)))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 t="str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 t="str">
        <f>IF(C251="","",SUMIFS(Лэндинг!$H$5:$H$300,Лэндинг!$E$5:$E$300,$B251)+SUMIFS(Закрытые!$H$5:$H$300,Закрытые!$E$5:$E$300,$B251,Закрытые!$B$5:$B$300,"L-*"))</f>
        <v/>
      </c>
      <c r="F251" s="240" t="str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 t="str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 t="str">
        <f>IF(F251="","",SUMIFS(Лэндинг!$K$5:$K$300,Лэндинг!$E$5:$E$300,$B251)+SUMIFS(Закрытые!$K$5:$K$300,Закрытые!$E$5:$E$300,$B251,Закрытые!$B$5:$B$300,"L-*"))</f>
        <v/>
      </c>
      <c r="I251" s="240" t="str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 t="str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 t="str">
        <f>IF(MIN(N(C251),N(F251))&lt;=0,"",ROUND(MIN(N(C251),N(F251))*(N(G251)-N(D251)),8))</f>
        <v/>
      </c>
      <c r="L251" s="177" t="str">
        <f>IF(MIN(N(C251),N(F251))&lt;=0,"",IF(N(D251)=0,"",ROUND((N(G251)/N(D251)-1)*100,2)))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 t="str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 t="str">
        <f>IF(C252="","",SUMIFS(Лэндинг!$H$5:$H$300,Лэндинг!$E$5:$E$300,$B252)+SUMIFS(Закрытые!$H$5:$H$300,Закрытые!$E$5:$E$300,$B252,Закрытые!$B$5:$B$300,"L-*"))</f>
        <v/>
      </c>
      <c r="F252" s="246" t="str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 t="str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 t="str">
        <f>IF(F252="","",SUMIFS(Лэндинг!$K$5:$K$300,Лэндинг!$E$5:$E$300,$B252)+SUMIFS(Закрытые!$K$5:$K$300,Закрытые!$E$5:$E$300,$B252,Закрытые!$B$5:$B$300,"L-*"))</f>
        <v/>
      </c>
      <c r="I252" s="246" t="str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 t="str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 t="str">
        <f>IF(MIN(N(C252),N(F252))&lt;=0,"",ROUND(MIN(N(C252),N(F252))*(N(G252)-N(D252)),8))</f>
        <v/>
      </c>
      <c r="L252" s="183" t="str">
        <f>IF(MIN(N(C252),N(F252))&lt;=0,"",IF(N(D252)=0,"",ROUND((N(G252)/N(D252)-1)*100,2)))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 t="str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 t="str">
        <f>IF(C253="","",SUMIFS(Лэндинг!$H$5:$H$300,Лэндинг!$E$5:$E$300,$B253)+SUMIFS(Закрытые!$H$5:$H$300,Закрытые!$E$5:$E$300,$B253,Закрытые!$B$5:$B$300,"L-*"))</f>
        <v/>
      </c>
      <c r="F253" s="240" t="str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 t="str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 t="str">
        <f>IF(F253="","",SUMIFS(Лэндинг!$K$5:$K$300,Лэндинг!$E$5:$E$300,$B253)+SUMIFS(Закрытые!$K$5:$K$300,Закрытые!$E$5:$E$300,$B253,Закрытые!$B$5:$B$300,"L-*"))</f>
        <v/>
      </c>
      <c r="I253" s="240" t="str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 t="str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 t="str">
        <f>IF(MIN(N(C253),N(F253))&lt;=0,"",ROUND(MIN(N(C253),N(F253))*(N(G253)-N(D253)),8))</f>
        <v/>
      </c>
      <c r="L253" s="177" t="str">
        <f>IF(MIN(N(C253),N(F253))&lt;=0,"",IF(N(D253)=0,"",ROUND((N(G253)/N(D253)-1)*100,2)))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 t="str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 t="str">
        <f>IF(C254="","",SUMIFS(Лэндинг!$H$5:$H$300,Лэндинг!$E$5:$E$300,$B254)+SUMIFS(Закрытые!$H$5:$H$300,Закрытые!$E$5:$E$300,$B254,Закрытые!$B$5:$B$300,"L-*"))</f>
        <v/>
      </c>
      <c r="F254" s="246" t="str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 t="str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 t="str">
        <f>IF(F254="","",SUMIFS(Лэндинг!$K$5:$K$300,Лэндинг!$E$5:$E$300,$B254)+SUMIFS(Закрытые!$K$5:$K$300,Закрытые!$E$5:$E$300,$B254,Закрытые!$B$5:$B$300,"L-*"))</f>
        <v/>
      </c>
      <c r="I254" s="246" t="str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 t="str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 t="str">
        <f>IF(MIN(N(C254),N(F254))&lt;=0,"",ROUND(MIN(N(C254),N(F254))*(N(G254)-N(D254)),8))</f>
        <v/>
      </c>
      <c r="L254" s="183" t="str">
        <f>IF(MIN(N(C254),N(F254))&lt;=0,"",IF(N(D254)=0,"",ROUND((N(G254)/N(D254)-1)*100,2)))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 t="str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 t="str">
        <f>IF(C255="","",SUMIFS(Лэндинг!$H$5:$H$300,Лэндинг!$E$5:$E$300,$B255)+SUMIFS(Закрытые!$H$5:$H$300,Закрытые!$E$5:$E$300,$B255,Закрытые!$B$5:$B$300,"L-*"))</f>
        <v/>
      </c>
      <c r="F255" s="240" t="str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 t="str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 t="str">
        <f>IF(F255="","",SUMIFS(Лэндинг!$K$5:$K$300,Лэндинг!$E$5:$E$300,$B255)+SUMIFS(Закрытые!$K$5:$K$300,Закрытые!$E$5:$E$300,$B255,Закрытые!$B$5:$B$300,"L-*"))</f>
        <v/>
      </c>
      <c r="I255" s="240" t="str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 t="str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 t="str">
        <f>IF(MIN(N(C255),N(F255))&lt;=0,"",ROUND(MIN(N(C255),N(F255))*(N(G255)-N(D255)),8))</f>
        <v/>
      </c>
      <c r="L255" s="177" t="str">
        <f>IF(MIN(N(C255),N(F255))&lt;=0,"",IF(N(D255)=0,"",ROUND((N(G255)/N(D255)-1)*100,2)))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 t="str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 t="str">
        <f>IF(C256="","",SUMIFS(Лэндинг!$H$5:$H$300,Лэндинг!$E$5:$E$300,$B256)+SUMIFS(Закрытые!$H$5:$H$300,Закрытые!$E$5:$E$300,$B256,Закрытые!$B$5:$B$300,"L-*"))</f>
        <v/>
      </c>
      <c r="F256" s="246" t="str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 t="str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 t="str">
        <f>IF(F256="","",SUMIFS(Лэндинг!$K$5:$K$300,Лэндинг!$E$5:$E$300,$B256)+SUMIFS(Закрытые!$K$5:$K$300,Закрытые!$E$5:$E$300,$B256,Закрытые!$B$5:$B$300,"L-*"))</f>
        <v/>
      </c>
      <c r="I256" s="246" t="str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 t="str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 t="str">
        <f>IF(MIN(N(C256),N(F256))&lt;=0,"",ROUND(MIN(N(C256),N(F256))*(N(G256)-N(D256)),8))</f>
        <v/>
      </c>
      <c r="L256" s="183" t="str">
        <f>IF(MIN(N(C256),N(F256))&lt;=0,"",IF(N(D256)=0,"",ROUND((N(G256)/N(D256)-1)*100,2)))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 t="str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 t="str">
        <f>IF(C257="","",SUMIFS(Лэндинг!$H$5:$H$300,Лэндинг!$E$5:$E$300,$B257)+SUMIFS(Закрытые!$H$5:$H$300,Закрытые!$E$5:$E$300,$B257,Закрытые!$B$5:$B$300,"L-*"))</f>
        <v/>
      </c>
      <c r="F257" s="240" t="str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 t="str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 t="str">
        <f>IF(F257="","",SUMIFS(Лэндинг!$K$5:$K$300,Лэндинг!$E$5:$E$300,$B257)+SUMIFS(Закрытые!$K$5:$K$300,Закрытые!$E$5:$E$300,$B257,Закрытые!$B$5:$B$300,"L-*"))</f>
        <v/>
      </c>
      <c r="I257" s="240" t="str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 t="str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 t="str">
        <f>IF(MIN(N(C257),N(F257))&lt;=0,"",ROUND(MIN(N(C257),N(F257))*(N(G257)-N(D257)),8))</f>
        <v/>
      </c>
      <c r="L257" s="177" t="str">
        <f>IF(MIN(N(C257),N(F257))&lt;=0,"",IF(N(D257)=0,"",ROUND((N(G257)/N(D257)-1)*100,2)))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 t="str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 t="str">
        <f>IF(C258="","",SUMIFS(Лэндинг!$H$5:$H$300,Лэндинг!$E$5:$E$300,$B258)+SUMIFS(Закрытые!$H$5:$H$300,Закрытые!$E$5:$E$300,$B258,Закрытые!$B$5:$B$300,"L-*"))</f>
        <v/>
      </c>
      <c r="F258" s="246" t="str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 t="str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 t="str">
        <f>IF(F258="","",SUMIFS(Лэндинг!$K$5:$K$300,Лэндинг!$E$5:$E$300,$B258)+SUMIFS(Закрытые!$K$5:$K$300,Закрытые!$E$5:$E$300,$B258,Закрытые!$B$5:$B$300,"L-*"))</f>
        <v/>
      </c>
      <c r="I258" s="246" t="str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 t="str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 t="str">
        <f>IF(MIN(N(C258),N(F258))&lt;=0,"",ROUND(MIN(N(C258),N(F258))*(N(G258)-N(D258)),8))</f>
        <v/>
      </c>
      <c r="L258" s="183" t="str">
        <f>IF(MIN(N(C258),N(F258))&lt;=0,"",IF(N(D258)=0,"",ROUND((N(G258)/N(D258)-1)*100,2)))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 t="str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 t="str">
        <f>IF(C259="","",SUMIFS(Лэндинг!$H$5:$H$300,Лэндинг!$E$5:$E$300,$B259)+SUMIFS(Закрытые!$H$5:$H$300,Закрытые!$E$5:$E$300,$B259,Закрытые!$B$5:$B$300,"L-*"))</f>
        <v/>
      </c>
      <c r="F259" s="240" t="str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 t="str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 t="str">
        <f>IF(F259="","",SUMIFS(Лэндинг!$K$5:$K$300,Лэндинг!$E$5:$E$300,$B259)+SUMIFS(Закрытые!$K$5:$K$300,Закрытые!$E$5:$E$300,$B259,Закрытые!$B$5:$B$300,"L-*"))</f>
        <v/>
      </c>
      <c r="I259" s="240" t="str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 t="str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 t="str">
        <f>IF(MIN(N(C259),N(F259))&lt;=0,"",ROUND(MIN(N(C259),N(F259))*(N(G259)-N(D259)),8))</f>
        <v/>
      </c>
      <c r="L259" s="177" t="str">
        <f>IF(MIN(N(C259),N(F259))&lt;=0,"",IF(N(D259)=0,"",ROUND((N(G259)/N(D259)-1)*100,2)))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 t="str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 t="str">
        <f>IF(C260="","",SUMIFS(Лэндинг!$H$5:$H$300,Лэндинг!$E$5:$E$300,$B260)+SUMIFS(Закрытые!$H$5:$H$300,Закрытые!$E$5:$E$300,$B260,Закрытые!$B$5:$B$300,"L-*"))</f>
        <v/>
      </c>
      <c r="F260" s="246" t="str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 t="str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 t="str">
        <f>IF(F260="","",SUMIFS(Лэндинг!$K$5:$K$300,Лэндинг!$E$5:$E$300,$B260)+SUMIFS(Закрытые!$K$5:$K$300,Закрытые!$E$5:$E$300,$B260,Закрытые!$B$5:$B$300,"L-*"))</f>
        <v/>
      </c>
      <c r="I260" s="246" t="str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 t="str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 t="str">
        <f>IF(MIN(N(C260),N(F260))&lt;=0,"",ROUND(MIN(N(C260),N(F260))*(N(G260)-N(D260)),8))</f>
        <v/>
      </c>
      <c r="L260" s="183" t="str">
        <f>IF(MIN(N(C260),N(F260))&lt;=0,"",IF(N(D260)=0,"",ROUND((N(G260)/N(D260)-1)*100,2)))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 t="str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 t="str">
        <f>IF(C261="","",SUMIFS(Лэндинг!$H$5:$H$300,Лэндинг!$E$5:$E$300,$B261)+SUMIFS(Закрытые!$H$5:$H$300,Закрытые!$E$5:$E$300,$B261,Закрытые!$B$5:$B$300,"L-*"))</f>
        <v/>
      </c>
      <c r="F261" s="240" t="str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 t="str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 t="str">
        <f>IF(F261="","",SUMIFS(Лэндинг!$K$5:$K$300,Лэндинг!$E$5:$E$300,$B261)+SUMIFS(Закрытые!$K$5:$K$300,Закрытые!$E$5:$E$300,$B261,Закрытые!$B$5:$B$300,"L-*"))</f>
        <v/>
      </c>
      <c r="I261" s="240" t="str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 t="str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 t="str">
        <f>IF(MIN(N(C261),N(F261))&lt;=0,"",ROUND(MIN(N(C261),N(F261))*(N(G261)-N(D261)),8))</f>
        <v/>
      </c>
      <c r="L261" s="177" t="str">
        <f>IF(MIN(N(C261),N(F261))&lt;=0,"",IF(N(D261)=0,"",ROUND((N(G261)/N(D261)-1)*100,2)))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 t="str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 t="str">
        <f>IF(C262="","",SUMIFS(Лэндинг!$H$5:$H$300,Лэндинг!$E$5:$E$300,$B262)+SUMIFS(Закрытые!$H$5:$H$300,Закрытые!$E$5:$E$300,$B262,Закрытые!$B$5:$B$300,"L-*"))</f>
        <v/>
      </c>
      <c r="F262" s="246" t="str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 t="str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 t="str">
        <f>IF(F262="","",SUMIFS(Лэндинг!$K$5:$K$300,Лэндинг!$E$5:$E$300,$B262)+SUMIFS(Закрытые!$K$5:$K$300,Закрытые!$E$5:$E$300,$B262,Закрытые!$B$5:$B$300,"L-*"))</f>
        <v/>
      </c>
      <c r="I262" s="246" t="str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 t="str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 t="str">
        <f>IF(MIN(N(C262),N(F262))&lt;=0,"",ROUND(MIN(N(C262),N(F262))*(N(G262)-N(D262)),8))</f>
        <v/>
      </c>
      <c r="L262" s="183" t="str">
        <f>IF(MIN(N(C262),N(F262))&lt;=0,"",IF(N(D262)=0,"",ROUND((N(G262)/N(D262)-1)*100,2)))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 t="str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 t="str">
        <f>IF(C263="","",SUMIFS(Лэндинг!$H$5:$H$300,Лэндинг!$E$5:$E$300,$B263)+SUMIFS(Закрытые!$H$5:$H$300,Закрытые!$E$5:$E$300,$B263,Закрытые!$B$5:$B$300,"L-*"))</f>
        <v/>
      </c>
      <c r="F263" s="240" t="str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 t="str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 t="str">
        <f>IF(F263="","",SUMIFS(Лэндинг!$K$5:$K$300,Лэндинг!$E$5:$E$300,$B263)+SUMIFS(Закрытые!$K$5:$K$300,Закрытые!$E$5:$E$300,$B263,Закрытые!$B$5:$B$300,"L-*"))</f>
        <v/>
      </c>
      <c r="I263" s="240" t="str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 t="str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 t="str">
        <f>IF(MIN(N(C263),N(F263))&lt;=0,"",ROUND(MIN(N(C263),N(F263))*(N(G263)-N(D263)),8))</f>
        <v/>
      </c>
      <c r="L263" s="177" t="str">
        <f>IF(MIN(N(C263),N(F263))&lt;=0,"",IF(N(D263)=0,"",ROUND((N(G263)/N(D263)-1)*100,2)))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 t="str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 t="str">
        <f>IF(C264="","",SUMIFS(Лэндинг!$H$5:$H$300,Лэндинг!$E$5:$E$300,$B264)+SUMIFS(Закрытые!$H$5:$H$300,Закрытые!$E$5:$E$300,$B264,Закрытые!$B$5:$B$300,"L-*"))</f>
        <v/>
      </c>
      <c r="F264" s="246" t="str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 t="str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 t="str">
        <f>IF(F264="","",SUMIFS(Лэндинг!$K$5:$K$300,Лэндинг!$E$5:$E$300,$B264)+SUMIFS(Закрытые!$K$5:$K$300,Закрытые!$E$5:$E$300,$B264,Закрытые!$B$5:$B$300,"L-*"))</f>
        <v/>
      </c>
      <c r="I264" s="246" t="str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 t="str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 t="str">
        <f>IF(MIN(N(C264),N(F264))&lt;=0,"",ROUND(MIN(N(C264),N(F264))*(N(G264)-N(D264)),8))</f>
        <v/>
      </c>
      <c r="L264" s="183" t="str">
        <f>IF(MIN(N(C264),N(F264))&lt;=0,"",IF(N(D264)=0,"",ROUND((N(G264)/N(D264)-1)*100,2)))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 t="str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 t="str">
        <f>IF(C265="","",SUMIFS(Лэндинг!$H$5:$H$300,Лэндинг!$E$5:$E$300,$B265)+SUMIFS(Закрытые!$H$5:$H$300,Закрытые!$E$5:$E$300,$B265,Закрытые!$B$5:$B$300,"L-*"))</f>
        <v/>
      </c>
      <c r="F265" s="240" t="str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 t="str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 t="str">
        <f>IF(F265="","",SUMIFS(Лэндинг!$K$5:$K$300,Лэндинг!$E$5:$E$300,$B265)+SUMIFS(Закрытые!$K$5:$K$300,Закрытые!$E$5:$E$300,$B265,Закрытые!$B$5:$B$300,"L-*"))</f>
        <v/>
      </c>
      <c r="I265" s="240" t="str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 t="str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 t="str">
        <f>IF(MIN(N(C265),N(F265))&lt;=0,"",ROUND(MIN(N(C265),N(F265))*(N(G265)-N(D265)),8))</f>
        <v/>
      </c>
      <c r="L265" s="177" t="str">
        <f>IF(MIN(N(C265),N(F265))&lt;=0,"",IF(N(D265)=0,"",ROUND((N(G265)/N(D265)-1)*100,2)))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 t="str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 t="str">
        <f>IF(C266="","",SUMIFS(Лэндинг!$H$5:$H$300,Лэндинг!$E$5:$E$300,$B266)+SUMIFS(Закрытые!$H$5:$H$300,Закрытые!$E$5:$E$300,$B266,Закрытые!$B$5:$B$300,"L-*"))</f>
        <v/>
      </c>
      <c r="F266" s="246" t="str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 t="str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 t="str">
        <f>IF(F266="","",SUMIFS(Лэндинг!$K$5:$K$300,Лэндинг!$E$5:$E$300,$B266)+SUMIFS(Закрытые!$K$5:$K$300,Закрытые!$E$5:$E$300,$B266,Закрытые!$B$5:$B$300,"L-*"))</f>
        <v/>
      </c>
      <c r="I266" s="246" t="str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 t="str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 t="str">
        <f>IF(MIN(N(C266),N(F266))&lt;=0,"",ROUND(MIN(N(C266),N(F266))*(N(G266)-N(D266)),8))</f>
        <v/>
      </c>
      <c r="L266" s="183" t="str">
        <f>IF(MIN(N(C266),N(F266))&lt;=0,"",IF(N(D266)=0,"",ROUND((N(G266)/N(D266)-1)*100,2)))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 t="str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 t="str">
        <f>IF(C267="","",SUMIFS(Лэндинг!$H$5:$H$300,Лэндинг!$E$5:$E$300,$B267)+SUMIFS(Закрытые!$H$5:$H$300,Закрытые!$E$5:$E$300,$B267,Закрытые!$B$5:$B$300,"L-*"))</f>
        <v/>
      </c>
      <c r="F267" s="240" t="str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 t="str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 t="str">
        <f>IF(F267="","",SUMIFS(Лэндинг!$K$5:$K$300,Лэндинг!$E$5:$E$300,$B267)+SUMIFS(Закрытые!$K$5:$K$300,Закрытые!$E$5:$E$300,$B267,Закрытые!$B$5:$B$300,"L-*"))</f>
        <v/>
      </c>
      <c r="I267" s="240" t="str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 t="str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 t="str">
        <f>IF(MIN(N(C267),N(F267))&lt;=0,"",ROUND(MIN(N(C267),N(F267))*(N(G267)-N(D267)),8))</f>
        <v/>
      </c>
      <c r="L267" s="177" t="str">
        <f>IF(MIN(N(C267),N(F267))&lt;=0,"",IF(N(D267)=0,"",ROUND((N(G267)/N(D267)-1)*100,2)))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 t="str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 t="str">
        <f>IF(C268="","",SUMIFS(Лэндинг!$H$5:$H$300,Лэндинг!$E$5:$E$300,$B268)+SUMIFS(Закрытые!$H$5:$H$300,Закрытые!$E$5:$E$300,$B268,Закрытые!$B$5:$B$300,"L-*"))</f>
        <v/>
      </c>
      <c r="F268" s="246" t="str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 t="str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 t="str">
        <f>IF(F268="","",SUMIFS(Лэндинг!$K$5:$K$300,Лэндинг!$E$5:$E$300,$B268)+SUMIFS(Закрытые!$K$5:$K$300,Закрытые!$E$5:$E$300,$B268,Закрытые!$B$5:$B$300,"L-*"))</f>
        <v/>
      </c>
      <c r="I268" s="246" t="str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 t="str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 t="str">
        <f>IF(MIN(N(C268),N(F268))&lt;=0,"",ROUND(MIN(N(C268),N(F268))*(N(G268)-N(D268)),8))</f>
        <v/>
      </c>
      <c r="L268" s="183" t="str">
        <f>IF(MIN(N(C268),N(F268))&lt;=0,"",IF(N(D268)=0,"",ROUND((N(G268)/N(D268)-1)*100,2)))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 t="str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 t="str">
        <f>IF(C269="","",SUMIFS(Лэндинг!$H$5:$H$300,Лэндинг!$E$5:$E$300,$B269)+SUMIFS(Закрытые!$H$5:$H$300,Закрытые!$E$5:$E$300,$B269,Закрытые!$B$5:$B$300,"L-*"))</f>
        <v/>
      </c>
      <c r="F269" s="240" t="str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 t="str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 t="str">
        <f>IF(F269="","",SUMIFS(Лэндинг!$K$5:$K$300,Лэндинг!$E$5:$E$300,$B269)+SUMIFS(Закрытые!$K$5:$K$300,Закрытые!$E$5:$E$300,$B269,Закрытые!$B$5:$B$300,"L-*"))</f>
        <v/>
      </c>
      <c r="I269" s="240" t="str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 t="str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 t="str">
        <f>IF(MIN(N(C269),N(F269))&lt;=0,"",ROUND(MIN(N(C269),N(F269))*(N(G269)-N(D269)),8))</f>
        <v/>
      </c>
      <c r="L269" s="177" t="str">
        <f>IF(MIN(N(C269),N(F269))&lt;=0,"",IF(N(D269)=0,"",ROUND((N(G269)/N(D269)-1)*100,2)))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 t="str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 t="str">
        <f>IF(C270="","",SUMIFS(Лэндинг!$H$5:$H$300,Лэндинг!$E$5:$E$300,$B270)+SUMIFS(Закрытые!$H$5:$H$300,Закрытые!$E$5:$E$300,$B270,Закрытые!$B$5:$B$300,"L-*"))</f>
        <v/>
      </c>
      <c r="F270" s="246" t="str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 t="str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 t="str">
        <f>IF(F270="","",SUMIFS(Лэндинг!$K$5:$K$300,Лэндинг!$E$5:$E$300,$B270)+SUMIFS(Закрытые!$K$5:$K$300,Закрытые!$E$5:$E$300,$B270,Закрытые!$B$5:$B$300,"L-*"))</f>
        <v/>
      </c>
      <c r="I270" s="246" t="str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 t="str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 t="str">
        <f>IF(MIN(N(C270),N(F270))&lt;=0,"",ROUND(MIN(N(C270),N(F270))*(N(G270)-N(D270)),8))</f>
        <v/>
      </c>
      <c r="L270" s="183" t="str">
        <f>IF(MIN(N(C270),N(F270))&lt;=0,"",IF(N(D270)=0,"",ROUND((N(G270)/N(D270)-1)*100,2)))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 t="str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 t="str">
        <f>IF(C271="","",SUMIFS(Лэндинг!$H$5:$H$300,Лэндинг!$E$5:$E$300,$B271)+SUMIFS(Закрытые!$H$5:$H$300,Закрытые!$E$5:$E$300,$B271,Закрытые!$B$5:$B$300,"L-*"))</f>
        <v/>
      </c>
      <c r="F271" s="240" t="str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 t="str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 t="str">
        <f>IF(F271="","",SUMIFS(Лэндинг!$K$5:$K$300,Лэндинг!$E$5:$E$300,$B271)+SUMIFS(Закрытые!$K$5:$K$300,Закрытые!$E$5:$E$300,$B271,Закрытые!$B$5:$B$300,"L-*"))</f>
        <v/>
      </c>
      <c r="I271" s="240" t="str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 t="str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 t="str">
        <f>IF(MIN(N(C271),N(F271))&lt;=0,"",ROUND(MIN(N(C271),N(F271))*(N(G271)-N(D271)),8))</f>
        <v/>
      </c>
      <c r="L271" s="177" t="str">
        <f>IF(MIN(N(C271),N(F271))&lt;=0,"",IF(N(D271)=0,"",ROUND((N(G271)/N(D271)-1)*100,2)))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 t="str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 t="str">
        <f>IF(C272="","",SUMIFS(Лэндинг!$H$5:$H$300,Лэндинг!$E$5:$E$300,$B272)+SUMIFS(Закрытые!$H$5:$H$300,Закрытые!$E$5:$E$300,$B272,Закрытые!$B$5:$B$300,"L-*"))</f>
        <v/>
      </c>
      <c r="F272" s="246" t="str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 t="str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 t="str">
        <f>IF(F272="","",SUMIFS(Лэндинг!$K$5:$K$300,Лэндинг!$E$5:$E$300,$B272)+SUMIFS(Закрытые!$K$5:$K$300,Закрытые!$E$5:$E$300,$B272,Закрытые!$B$5:$B$300,"L-*"))</f>
        <v/>
      </c>
      <c r="I272" s="246" t="str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 t="str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 t="str">
        <f>IF(MIN(N(C272),N(F272))&lt;=0,"",ROUND(MIN(N(C272),N(F272))*(N(G272)-N(D272)),8))</f>
        <v/>
      </c>
      <c r="L272" s="183" t="str">
        <f>IF(MIN(N(C272),N(F272))&lt;=0,"",IF(N(D272)=0,"",ROUND((N(G272)/N(D272)-1)*100,2)))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 t="str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 t="str">
        <f>IF(C273="","",SUMIFS(Лэндинг!$H$5:$H$300,Лэндинг!$E$5:$E$300,$B273)+SUMIFS(Закрытые!$H$5:$H$300,Закрытые!$E$5:$E$300,$B273,Закрытые!$B$5:$B$300,"L-*"))</f>
        <v/>
      </c>
      <c r="F273" s="240" t="str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 t="str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 t="str">
        <f>IF(F273="","",SUMIFS(Лэндинг!$K$5:$K$300,Лэндинг!$E$5:$E$300,$B273)+SUMIFS(Закрытые!$K$5:$K$300,Закрытые!$E$5:$E$300,$B273,Закрытые!$B$5:$B$300,"L-*"))</f>
        <v/>
      </c>
      <c r="I273" s="240" t="str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 t="str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 t="str">
        <f>IF(MIN(N(C273),N(F273))&lt;=0,"",ROUND(MIN(N(C273),N(F273))*(N(G273)-N(D273)),8))</f>
        <v/>
      </c>
      <c r="L273" s="177" t="str">
        <f>IF(MIN(N(C273),N(F273))&lt;=0,"",IF(N(D273)=0,"",ROUND((N(G273)/N(D273)-1)*100,2)))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 t="str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 t="str">
        <f>IF(C274="","",SUMIFS(Лэндинг!$H$5:$H$300,Лэндинг!$E$5:$E$300,$B274)+SUMIFS(Закрытые!$H$5:$H$300,Закрытые!$E$5:$E$300,$B274,Закрытые!$B$5:$B$300,"L-*"))</f>
        <v/>
      </c>
      <c r="F274" s="246" t="str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 t="str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 t="str">
        <f>IF(F274="","",SUMIFS(Лэндинг!$K$5:$K$300,Лэндинг!$E$5:$E$300,$B274)+SUMIFS(Закрытые!$K$5:$K$300,Закрытые!$E$5:$E$300,$B274,Закрытые!$B$5:$B$300,"L-*"))</f>
        <v/>
      </c>
      <c r="I274" s="246" t="str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 t="str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 t="str">
        <f>IF(MIN(N(C274),N(F274))&lt;=0,"",ROUND(MIN(N(C274),N(F274))*(N(G274)-N(D274)),8))</f>
        <v/>
      </c>
      <c r="L274" s="183" t="str">
        <f>IF(MIN(N(C274),N(F274))&lt;=0,"",IF(N(D274)=0,"",ROUND((N(G274)/N(D274)-1)*100,2)))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 t="str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 t="str">
        <f>IF(C275="","",SUMIFS(Лэндинг!$H$5:$H$300,Лэндинг!$E$5:$E$300,$B275)+SUMIFS(Закрытые!$H$5:$H$300,Закрытые!$E$5:$E$300,$B275,Закрытые!$B$5:$B$300,"L-*"))</f>
        <v/>
      </c>
      <c r="F275" s="240" t="str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 t="str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 t="str">
        <f>IF(F275="","",SUMIFS(Лэндинг!$K$5:$K$300,Лэндинг!$E$5:$E$300,$B275)+SUMIFS(Закрытые!$K$5:$K$300,Закрытые!$E$5:$E$300,$B275,Закрытые!$B$5:$B$300,"L-*"))</f>
        <v/>
      </c>
      <c r="I275" s="240" t="str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 t="str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 t="str">
        <f>IF(MIN(N(C275),N(F275))&lt;=0,"",ROUND(MIN(N(C275),N(F275))*(N(G275)-N(D275)),8))</f>
        <v/>
      </c>
      <c r="L275" s="177" t="str">
        <f>IF(MIN(N(C275),N(F275))&lt;=0,"",IF(N(D275)=0,"",ROUND((N(G275)/N(D275)-1)*100,2)))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 t="str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 t="str">
        <f>IF(C276="","",SUMIFS(Лэндинг!$H$5:$H$300,Лэндинг!$E$5:$E$300,$B276)+SUMIFS(Закрытые!$H$5:$H$300,Закрытые!$E$5:$E$300,$B276,Закрытые!$B$5:$B$300,"L-*"))</f>
        <v/>
      </c>
      <c r="F276" s="246" t="str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 t="str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 t="str">
        <f>IF(F276="","",SUMIFS(Лэндинг!$K$5:$K$300,Лэндинг!$E$5:$E$300,$B276)+SUMIFS(Закрытые!$K$5:$K$300,Закрытые!$E$5:$E$300,$B276,Закрытые!$B$5:$B$300,"L-*"))</f>
        <v/>
      </c>
      <c r="I276" s="246" t="str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 t="str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 t="str">
        <f>IF(MIN(N(C276),N(F276))&lt;=0,"",ROUND(MIN(N(C276),N(F276))*(N(G276)-N(D276)),8))</f>
        <v/>
      </c>
      <c r="L276" s="183" t="str">
        <f>IF(MIN(N(C276),N(F276))&lt;=0,"",IF(N(D276)=0,"",ROUND((N(G276)/N(D276)-1)*100,2)))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 t="str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 t="str">
        <f>IF(C277="","",SUMIFS(Лэндинг!$H$5:$H$300,Лэндинг!$E$5:$E$300,$B277)+SUMIFS(Закрытые!$H$5:$H$300,Закрытые!$E$5:$E$300,$B277,Закрытые!$B$5:$B$300,"L-*"))</f>
        <v/>
      </c>
      <c r="F277" s="240" t="str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 t="str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 t="str">
        <f>IF(F277="","",SUMIFS(Лэндинг!$K$5:$K$300,Лэндинг!$E$5:$E$300,$B277)+SUMIFS(Закрытые!$K$5:$K$300,Закрытые!$E$5:$E$300,$B277,Закрытые!$B$5:$B$300,"L-*"))</f>
        <v/>
      </c>
      <c r="I277" s="240" t="str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 t="str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 t="str">
        <f>IF(MIN(N(C277),N(F277))&lt;=0,"",ROUND(MIN(N(C277),N(F277))*(N(G277)-N(D277)),8))</f>
        <v/>
      </c>
      <c r="L277" s="177" t="str">
        <f>IF(MIN(N(C277),N(F277))&lt;=0,"",IF(N(D277)=0,"",ROUND((N(G277)/N(D277)-1)*100,2)))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 t="str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 t="str">
        <f>IF(C278="","",SUMIFS(Лэндинг!$H$5:$H$300,Лэндинг!$E$5:$E$300,$B278)+SUMIFS(Закрытые!$H$5:$H$300,Закрытые!$E$5:$E$300,$B278,Закрытые!$B$5:$B$300,"L-*"))</f>
        <v/>
      </c>
      <c r="F278" s="246" t="str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 t="str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 t="str">
        <f>IF(F278="","",SUMIFS(Лэндинг!$K$5:$K$300,Лэндинг!$E$5:$E$300,$B278)+SUMIFS(Закрытые!$K$5:$K$300,Закрытые!$E$5:$E$300,$B278,Закрытые!$B$5:$B$300,"L-*"))</f>
        <v/>
      </c>
      <c r="I278" s="246" t="str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 t="str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 t="str">
        <f>IF(MIN(N(C278),N(F278))&lt;=0,"",ROUND(MIN(N(C278),N(F278))*(N(G278)-N(D278)),8))</f>
        <v/>
      </c>
      <c r="L278" s="183" t="str">
        <f>IF(MIN(N(C278),N(F278))&lt;=0,"",IF(N(D278)=0,"",ROUND((N(G278)/N(D278)-1)*100,2)))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 t="str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 t="str">
        <f>IF(C279="","",SUMIFS(Лэндинг!$H$5:$H$300,Лэндинг!$E$5:$E$300,$B279)+SUMIFS(Закрытые!$H$5:$H$300,Закрытые!$E$5:$E$300,$B279,Закрытые!$B$5:$B$300,"L-*"))</f>
        <v/>
      </c>
      <c r="F279" s="240" t="str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 t="str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 t="str">
        <f>IF(F279="","",SUMIFS(Лэндинг!$K$5:$K$300,Лэндинг!$E$5:$E$300,$B279)+SUMIFS(Закрытые!$K$5:$K$300,Закрытые!$E$5:$E$300,$B279,Закрытые!$B$5:$B$300,"L-*"))</f>
        <v/>
      </c>
      <c r="I279" s="240" t="str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 t="str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 t="str">
        <f>IF(MIN(N(C279),N(F279))&lt;=0,"",ROUND(MIN(N(C279),N(F279))*(N(G279)-N(D279)),8))</f>
        <v/>
      </c>
      <c r="L279" s="177" t="str">
        <f>IF(MIN(N(C279),N(F279))&lt;=0,"",IF(N(D279)=0,"",ROUND((N(G279)/N(D279)-1)*100,2)))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 t="str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 t="str">
        <f>IF(C280="","",SUMIFS(Лэндинг!$H$5:$H$300,Лэндинг!$E$5:$E$300,$B280)+SUMIFS(Закрытые!$H$5:$H$300,Закрытые!$E$5:$E$300,$B280,Закрытые!$B$5:$B$300,"L-*"))</f>
        <v/>
      </c>
      <c r="F280" s="246" t="str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 t="str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 t="str">
        <f>IF(F280="","",SUMIFS(Лэндинг!$K$5:$K$300,Лэндинг!$E$5:$E$300,$B280)+SUMIFS(Закрытые!$K$5:$K$300,Закрытые!$E$5:$E$300,$B280,Закрытые!$B$5:$B$300,"L-*"))</f>
        <v/>
      </c>
      <c r="I280" s="246" t="str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 t="str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 t="str">
        <f>IF(MIN(N(C280),N(F280))&lt;=0,"",ROUND(MIN(N(C280),N(F280))*(N(G280)-N(D280)),8))</f>
        <v/>
      </c>
      <c r="L280" s="183" t="str">
        <f>IF(MIN(N(C280),N(F280))&lt;=0,"",IF(N(D280)=0,"",ROUND((N(G280)/N(D280)-1)*100,2)))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 t="str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 t="str">
        <f>IF(C281="","",SUMIFS(Лэндинг!$H$5:$H$300,Лэндинг!$E$5:$E$300,$B281)+SUMIFS(Закрытые!$H$5:$H$300,Закрытые!$E$5:$E$300,$B281,Закрытые!$B$5:$B$300,"L-*"))</f>
        <v/>
      </c>
      <c r="F281" s="240" t="str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 t="str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 t="str">
        <f>IF(F281="","",SUMIFS(Лэндинг!$K$5:$K$300,Лэндинг!$E$5:$E$300,$B281)+SUMIFS(Закрытые!$K$5:$K$300,Закрытые!$E$5:$E$300,$B281,Закрытые!$B$5:$B$300,"L-*"))</f>
        <v/>
      </c>
      <c r="I281" s="240" t="str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 t="str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 t="str">
        <f>IF(MIN(N(C281),N(F281))&lt;=0,"",ROUND(MIN(N(C281),N(F281))*(N(G281)-N(D281)),8))</f>
        <v/>
      </c>
      <c r="L281" s="177" t="str">
        <f>IF(MIN(N(C281),N(F281))&lt;=0,"",IF(N(D281)=0,"",ROUND((N(G281)/N(D281)-1)*100,2)))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 t="str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 t="str">
        <f>IF(C282="","",SUMIFS(Лэндинг!$H$5:$H$300,Лэндинг!$E$5:$E$300,$B282)+SUMIFS(Закрытые!$H$5:$H$300,Закрытые!$E$5:$E$300,$B282,Закрытые!$B$5:$B$300,"L-*"))</f>
        <v/>
      </c>
      <c r="F282" s="246" t="str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 t="str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 t="str">
        <f>IF(F282="","",SUMIFS(Лэндинг!$K$5:$K$300,Лэндинг!$E$5:$E$300,$B282)+SUMIFS(Закрытые!$K$5:$K$300,Закрытые!$E$5:$E$300,$B282,Закрытые!$B$5:$B$300,"L-*"))</f>
        <v/>
      </c>
      <c r="I282" s="246" t="str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 t="str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 t="str">
        <f>IF(MIN(N(C282),N(F282))&lt;=0,"",ROUND(MIN(N(C282),N(F282))*(N(G282)-N(D282)),8))</f>
        <v/>
      </c>
      <c r="L282" s="183" t="str">
        <f>IF(MIN(N(C282),N(F282))&lt;=0,"",IF(N(D282)=0,"",ROUND((N(G282)/N(D282)-1)*100,2)))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 t="str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 t="str">
        <f>IF(C283="","",SUMIFS(Лэндинг!$H$5:$H$300,Лэндинг!$E$5:$E$300,$B283)+SUMIFS(Закрытые!$H$5:$H$300,Закрытые!$E$5:$E$300,$B283,Закрытые!$B$5:$B$300,"L-*"))</f>
        <v/>
      </c>
      <c r="F283" s="240" t="str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 t="str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 t="str">
        <f>IF(F283="","",SUMIFS(Лэндинг!$K$5:$K$300,Лэндинг!$E$5:$E$300,$B283)+SUMIFS(Закрытые!$K$5:$K$300,Закрытые!$E$5:$E$300,$B283,Закрытые!$B$5:$B$300,"L-*"))</f>
        <v/>
      </c>
      <c r="I283" s="240" t="str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 t="str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 t="str">
        <f>IF(MIN(N(C283),N(F283))&lt;=0,"",ROUND(MIN(N(C283),N(F283))*(N(G283)-N(D283)),8))</f>
        <v/>
      </c>
      <c r="L283" s="177" t="str">
        <f>IF(MIN(N(C283),N(F283))&lt;=0,"",IF(N(D283)=0,"",ROUND((N(G283)/N(D283)-1)*100,2)))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 t="str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 t="str">
        <f>IF(C284="","",SUMIFS(Лэндинг!$H$5:$H$300,Лэндинг!$E$5:$E$300,$B284)+SUMIFS(Закрытые!$H$5:$H$300,Закрытые!$E$5:$E$300,$B284,Закрытые!$B$5:$B$300,"L-*"))</f>
        <v/>
      </c>
      <c r="F284" s="246" t="str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 t="str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 t="str">
        <f>IF(F284="","",SUMIFS(Лэндинг!$K$5:$K$300,Лэндинг!$E$5:$E$300,$B284)+SUMIFS(Закрытые!$K$5:$K$300,Закрытые!$E$5:$E$300,$B284,Закрытые!$B$5:$B$300,"L-*"))</f>
        <v/>
      </c>
      <c r="I284" s="246" t="str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 t="str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 t="str">
        <f>IF(MIN(N(C284),N(F284))&lt;=0,"",ROUND(MIN(N(C284),N(F284))*(N(G284)-N(D284)),8))</f>
        <v/>
      </c>
      <c r="L284" s="183" t="str">
        <f>IF(MIN(N(C284),N(F284))&lt;=0,"",IF(N(D284)=0,"",ROUND((N(G284)/N(D284)-1)*100,2)))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 t="str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 t="str">
        <f>IF(C285="","",SUMIFS(Лэндинг!$H$5:$H$300,Лэндинг!$E$5:$E$300,$B285)+SUMIFS(Закрытые!$H$5:$H$300,Закрытые!$E$5:$E$300,$B285,Закрытые!$B$5:$B$300,"L-*"))</f>
        <v/>
      </c>
      <c r="F285" s="240" t="str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 t="str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 t="str">
        <f>IF(F285="","",SUMIFS(Лэндинг!$K$5:$K$300,Лэндинг!$E$5:$E$300,$B285)+SUMIFS(Закрытые!$K$5:$K$300,Закрытые!$E$5:$E$300,$B285,Закрытые!$B$5:$B$300,"L-*"))</f>
        <v/>
      </c>
      <c r="I285" s="240" t="str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 t="str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 t="str">
        <f>IF(MIN(N(C285),N(F285))&lt;=0,"",ROUND(MIN(N(C285),N(F285))*(N(G285)-N(D285)),8))</f>
        <v/>
      </c>
      <c r="L285" s="177" t="str">
        <f>IF(MIN(N(C285),N(F285))&lt;=0,"",IF(N(D285)=0,"",ROUND((N(G285)/N(D285)-1)*100,2)))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 t="str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 t="str">
        <f>IF(C286="","",SUMIFS(Лэндинг!$H$5:$H$300,Лэндинг!$E$5:$E$300,$B286)+SUMIFS(Закрытые!$H$5:$H$300,Закрытые!$E$5:$E$300,$B286,Закрытые!$B$5:$B$300,"L-*"))</f>
        <v/>
      </c>
      <c r="F286" s="246" t="str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 t="str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 t="str">
        <f>IF(F286="","",SUMIFS(Лэндинг!$K$5:$K$300,Лэндинг!$E$5:$E$300,$B286)+SUMIFS(Закрытые!$K$5:$K$300,Закрытые!$E$5:$E$300,$B286,Закрытые!$B$5:$B$300,"L-*"))</f>
        <v/>
      </c>
      <c r="I286" s="246" t="str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 t="str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 t="str">
        <f>IF(MIN(N(C286),N(F286))&lt;=0,"",ROUND(MIN(N(C286),N(F286))*(N(G286)-N(D286)),8))</f>
        <v/>
      </c>
      <c r="L286" s="183" t="str">
        <f>IF(MIN(N(C286),N(F286))&lt;=0,"",IF(N(D286)=0,"",ROUND((N(G286)/N(D286)-1)*100,2)))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 t="str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 t="str">
        <f>IF(C287="","",SUMIFS(Лэндинг!$H$5:$H$300,Лэндинг!$E$5:$E$300,$B287)+SUMIFS(Закрытые!$H$5:$H$300,Закрытые!$E$5:$E$300,$B287,Закрытые!$B$5:$B$300,"L-*"))</f>
        <v/>
      </c>
      <c r="F287" s="240" t="str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 t="str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 t="str">
        <f>IF(F287="","",SUMIFS(Лэндинг!$K$5:$K$300,Лэндинг!$E$5:$E$300,$B287)+SUMIFS(Закрытые!$K$5:$K$300,Закрытые!$E$5:$E$300,$B287,Закрытые!$B$5:$B$300,"L-*"))</f>
        <v/>
      </c>
      <c r="I287" s="240" t="str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 t="str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 t="str">
        <f>IF(MIN(N(C287),N(F287))&lt;=0,"",ROUND(MIN(N(C287),N(F287))*(N(G287)-N(D287)),8))</f>
        <v/>
      </c>
      <c r="L287" s="177" t="str">
        <f>IF(MIN(N(C287),N(F287))&lt;=0,"",IF(N(D287)=0,"",ROUND((N(G287)/N(D287)-1)*100,2)))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 t="str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 t="str">
        <f>IF(C288="","",SUMIFS(Лэндинг!$H$5:$H$300,Лэндинг!$E$5:$E$300,$B288)+SUMIFS(Закрытые!$H$5:$H$300,Закрытые!$E$5:$E$300,$B288,Закрытые!$B$5:$B$300,"L-*"))</f>
        <v/>
      </c>
      <c r="F288" s="246" t="str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 t="str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 t="str">
        <f>IF(F288="","",SUMIFS(Лэндинг!$K$5:$K$300,Лэндинг!$E$5:$E$300,$B288)+SUMIFS(Закрытые!$K$5:$K$300,Закрытые!$E$5:$E$300,$B288,Закрытые!$B$5:$B$300,"L-*"))</f>
        <v/>
      </c>
      <c r="I288" s="246" t="str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 t="str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 t="str">
        <f>IF(MIN(N(C288),N(F288))&lt;=0,"",ROUND(MIN(N(C288),N(F288))*(N(G288)-N(D288)),8))</f>
        <v/>
      </c>
      <c r="L288" s="183" t="str">
        <f>IF(MIN(N(C288),N(F288))&lt;=0,"",IF(N(D288)=0,"",ROUND((N(G288)/N(D288)-1)*100,2)))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 t="str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 t="str">
        <f>IF(C289="","",SUMIFS(Лэндинг!$H$5:$H$300,Лэндинг!$E$5:$E$300,$B289)+SUMIFS(Закрытые!$H$5:$H$300,Закрытые!$E$5:$E$300,$B289,Закрытые!$B$5:$B$300,"L-*"))</f>
        <v/>
      </c>
      <c r="F289" s="240" t="str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 t="str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 t="str">
        <f>IF(F289="","",SUMIFS(Лэндинг!$K$5:$K$300,Лэндинг!$E$5:$E$300,$B289)+SUMIFS(Закрытые!$K$5:$K$300,Закрытые!$E$5:$E$300,$B289,Закрытые!$B$5:$B$300,"L-*"))</f>
        <v/>
      </c>
      <c r="I289" s="240" t="str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 t="str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 t="str">
        <f>IF(MIN(N(C289),N(F289))&lt;=0,"",ROUND(MIN(N(C289),N(F289))*(N(G289)-N(D289)),8))</f>
        <v/>
      </c>
      <c r="L289" s="177" t="str">
        <f>IF(MIN(N(C289),N(F289))&lt;=0,"",IF(N(D289)=0,"",ROUND((N(G289)/N(D289)-1)*100,2)))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 t="str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 t="str">
        <f>IF(C290="","",SUMIFS(Лэндинг!$H$5:$H$300,Лэндинг!$E$5:$E$300,$B290)+SUMIFS(Закрытые!$H$5:$H$300,Закрытые!$E$5:$E$300,$B290,Закрытые!$B$5:$B$300,"L-*"))</f>
        <v/>
      </c>
      <c r="F290" s="246" t="str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 t="str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 t="str">
        <f>IF(F290="","",SUMIFS(Лэндинг!$K$5:$K$300,Лэндинг!$E$5:$E$300,$B290)+SUMIFS(Закрытые!$K$5:$K$300,Закрытые!$E$5:$E$300,$B290,Закрытые!$B$5:$B$300,"L-*"))</f>
        <v/>
      </c>
      <c r="I290" s="246" t="str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 t="str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 t="str">
        <f>IF(MIN(N(C290),N(F290))&lt;=0,"",ROUND(MIN(N(C290),N(F290))*(N(G290)-N(D290)),8))</f>
        <v/>
      </c>
      <c r="L290" s="183" t="str">
        <f>IF(MIN(N(C290),N(F290))&lt;=0,"",IF(N(D290)=0,"",ROUND((N(G290)/N(D290)-1)*100,2)))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 t="str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 t="str">
        <f>IF(C291="","",SUMIFS(Лэндинг!$H$5:$H$300,Лэндинг!$E$5:$E$300,$B291)+SUMIFS(Закрытые!$H$5:$H$300,Закрытые!$E$5:$E$300,$B291,Закрытые!$B$5:$B$300,"L-*"))</f>
        <v/>
      </c>
      <c r="F291" s="240" t="str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 t="str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 t="str">
        <f>IF(F291="","",SUMIFS(Лэндинг!$K$5:$K$300,Лэндинг!$E$5:$E$300,$B291)+SUMIFS(Закрытые!$K$5:$K$300,Закрытые!$E$5:$E$300,$B291,Закрытые!$B$5:$B$300,"L-*"))</f>
        <v/>
      </c>
      <c r="I291" s="240" t="str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 t="str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 t="str">
        <f>IF(MIN(N(C291),N(F291))&lt;=0,"",ROUND(MIN(N(C291),N(F291))*(N(G291)-N(D291)),8))</f>
        <v/>
      </c>
      <c r="L291" s="177" t="str">
        <f>IF(MIN(N(C291),N(F291))&lt;=0,"",IF(N(D291)=0,"",ROUND((N(G291)/N(D291)-1)*100,2)))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 t="str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 t="str">
        <f>IF(C292="","",SUMIFS(Лэндинг!$H$5:$H$300,Лэндинг!$E$5:$E$300,$B292)+SUMIFS(Закрытые!$H$5:$H$300,Закрытые!$E$5:$E$300,$B292,Закрытые!$B$5:$B$300,"L-*"))</f>
        <v/>
      </c>
      <c r="F292" s="246" t="str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 t="str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 t="str">
        <f>IF(F292="","",SUMIFS(Лэндинг!$K$5:$K$300,Лэндинг!$E$5:$E$300,$B292)+SUMIFS(Закрытые!$K$5:$K$300,Закрытые!$E$5:$E$300,$B292,Закрытые!$B$5:$B$300,"L-*"))</f>
        <v/>
      </c>
      <c r="I292" s="246" t="str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 t="str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 t="str">
        <f>IF(MIN(N(C292),N(F292))&lt;=0,"",ROUND(MIN(N(C292),N(F292))*(N(G292)-N(D292)),8))</f>
        <v/>
      </c>
      <c r="L292" s="183" t="str">
        <f>IF(MIN(N(C292),N(F292))&lt;=0,"",IF(N(D292)=0,"",ROUND((N(G292)/N(D292)-1)*100,2)))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 t="str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 t="str">
        <f>IF(C293="","",SUMIFS(Лэндинг!$H$5:$H$300,Лэндинг!$E$5:$E$300,$B293)+SUMIFS(Закрытые!$H$5:$H$300,Закрытые!$E$5:$E$300,$B293,Закрытые!$B$5:$B$300,"L-*"))</f>
        <v/>
      </c>
      <c r="F293" s="240" t="str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 t="str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 t="str">
        <f>IF(F293="","",SUMIFS(Лэндинг!$K$5:$K$300,Лэндинг!$E$5:$E$300,$B293)+SUMIFS(Закрытые!$K$5:$K$300,Закрытые!$E$5:$E$300,$B293,Закрытые!$B$5:$B$300,"L-*"))</f>
        <v/>
      </c>
      <c r="I293" s="240" t="str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 t="str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 t="str">
        <f>IF(MIN(N(C293),N(F293))&lt;=0,"",ROUND(MIN(N(C293),N(F293))*(N(G293)-N(D293)),8))</f>
        <v/>
      </c>
      <c r="L293" s="177" t="str">
        <f>IF(MIN(N(C293),N(F293))&lt;=0,"",IF(N(D293)=0,"",ROUND((N(G293)/N(D293)-1)*100,2)))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 t="str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 t="str">
        <f>IF(C294="","",SUMIFS(Лэндинг!$H$5:$H$300,Лэндинг!$E$5:$E$300,$B294)+SUMIFS(Закрытые!$H$5:$H$300,Закрытые!$E$5:$E$300,$B294,Закрытые!$B$5:$B$300,"L-*"))</f>
        <v/>
      </c>
      <c r="F294" s="246" t="str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 t="str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 t="str">
        <f>IF(F294="","",SUMIFS(Лэндинг!$K$5:$K$300,Лэндинг!$E$5:$E$300,$B294)+SUMIFS(Закрытые!$K$5:$K$300,Закрытые!$E$5:$E$300,$B294,Закрытые!$B$5:$B$300,"L-*"))</f>
        <v/>
      </c>
      <c r="I294" s="246" t="str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 t="str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 t="str">
        <f>IF(MIN(N(C294),N(F294))&lt;=0,"",ROUND(MIN(N(C294),N(F294))*(N(G294)-N(D294)),8))</f>
        <v/>
      </c>
      <c r="L294" s="183" t="str">
        <f>IF(MIN(N(C294),N(F294))&lt;=0,"",IF(N(D294)=0,"",ROUND((N(G294)/N(D294)-1)*100,2)))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 t="str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 t="str">
        <f>IF(C295="","",SUMIFS(Лэндинг!$H$5:$H$300,Лэндинг!$E$5:$E$300,$B295)+SUMIFS(Закрытые!$H$5:$H$300,Закрытые!$E$5:$E$300,$B295,Закрытые!$B$5:$B$300,"L-*"))</f>
        <v/>
      </c>
      <c r="F295" s="240" t="str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 t="str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 t="str">
        <f>IF(F295="","",SUMIFS(Лэндинг!$K$5:$K$300,Лэндинг!$E$5:$E$300,$B295)+SUMIFS(Закрытые!$K$5:$K$300,Закрытые!$E$5:$E$300,$B295,Закрытые!$B$5:$B$300,"L-*"))</f>
        <v/>
      </c>
      <c r="I295" s="240" t="str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 t="str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 t="str">
        <f>IF(MIN(N(C295),N(F295))&lt;=0,"",ROUND(MIN(N(C295),N(F295))*(N(G295)-N(D295)),8))</f>
        <v/>
      </c>
      <c r="L295" s="177" t="str">
        <f>IF(MIN(N(C295),N(F295))&lt;=0,"",IF(N(D295)=0,"",ROUND((N(G295)/N(D295)-1)*100,2)))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 t="str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 t="str">
        <f>IF(C296="","",SUMIFS(Лэндинг!$H$5:$H$300,Лэндинг!$E$5:$E$300,$B296)+SUMIFS(Закрытые!$H$5:$H$300,Закрытые!$E$5:$E$300,$B296,Закрытые!$B$5:$B$300,"L-*"))</f>
        <v/>
      </c>
      <c r="F296" s="246" t="str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 t="str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 t="str">
        <f>IF(F296="","",SUMIFS(Лэндинг!$K$5:$K$300,Лэндинг!$E$5:$E$300,$B296)+SUMIFS(Закрытые!$K$5:$K$300,Закрытые!$E$5:$E$300,$B296,Закрытые!$B$5:$B$300,"L-*"))</f>
        <v/>
      </c>
      <c r="I296" s="246" t="str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 t="str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 t="str">
        <f>IF(MIN(N(C296),N(F296))&lt;=0,"",ROUND(MIN(N(C296),N(F296))*(N(G296)-N(D296)),8))</f>
        <v/>
      </c>
      <c r="L296" s="183" t="str">
        <f>IF(MIN(N(C296),N(F296))&lt;=0,"",IF(N(D296)=0,"",ROUND((N(G296)/N(D296)-1)*100,2)))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 t="str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 t="str">
        <f>IF(C297="","",SUMIFS(Лэндинг!$H$5:$H$300,Лэндинг!$E$5:$E$300,$B297)+SUMIFS(Закрытые!$H$5:$H$300,Закрытые!$E$5:$E$300,$B297,Закрытые!$B$5:$B$300,"L-*"))</f>
        <v/>
      </c>
      <c r="F297" s="240" t="str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 t="str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 t="str">
        <f>IF(F297="","",SUMIFS(Лэндинг!$K$5:$K$300,Лэндинг!$E$5:$E$300,$B297)+SUMIFS(Закрытые!$K$5:$K$300,Закрытые!$E$5:$E$300,$B297,Закрытые!$B$5:$B$300,"L-*"))</f>
        <v/>
      </c>
      <c r="I297" s="240" t="str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 t="str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 t="str">
        <f>IF(MIN(N(C297),N(F297))&lt;=0,"",ROUND(MIN(N(C297),N(F297))*(N(G297)-N(D297)),8))</f>
        <v/>
      </c>
      <c r="L297" s="177" t="str">
        <f>IF(MIN(N(C297),N(F297))&lt;=0,"",IF(N(D297)=0,"",ROUND((N(G297)/N(D297)-1)*100,2)))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 t="str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 t="str">
        <f>IF(C298="","",SUMIFS(Лэндинг!$H$5:$H$300,Лэндинг!$E$5:$E$300,$B298)+SUMIFS(Закрытые!$H$5:$H$300,Закрытые!$E$5:$E$300,$B298,Закрытые!$B$5:$B$300,"L-*"))</f>
        <v/>
      </c>
      <c r="F298" s="246" t="str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 t="str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 t="str">
        <f>IF(F298="","",SUMIFS(Лэндинг!$K$5:$K$300,Лэндинг!$E$5:$E$300,$B298)+SUMIFS(Закрытые!$K$5:$K$300,Закрытые!$E$5:$E$300,$B298,Закрытые!$B$5:$B$300,"L-*"))</f>
        <v/>
      </c>
      <c r="I298" s="246" t="str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 t="str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 t="str">
        <f>IF(MIN(N(C298),N(F298))&lt;=0,"",ROUND(MIN(N(C298),N(F298))*(N(G298)-N(D298)),8))</f>
        <v/>
      </c>
      <c r="L298" s="183" t="str">
        <f>IF(MIN(N(C298),N(F298))&lt;=0,"",IF(N(D298)=0,"",ROUND((N(G298)/N(D298)-1)*100,2)))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 t="str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 t="str">
        <f>IF(C299="","",SUMIFS(Лэндинг!$H$5:$H$300,Лэндинг!$E$5:$E$300,$B299)+SUMIFS(Закрытые!$H$5:$H$300,Закрытые!$E$5:$E$300,$B299,Закрытые!$B$5:$B$300,"L-*"))</f>
        <v/>
      </c>
      <c r="F299" s="240" t="str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 t="str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 t="str">
        <f>IF(F299="","",SUMIFS(Лэндинг!$K$5:$K$300,Лэндинг!$E$5:$E$300,$B299)+SUMIFS(Закрытые!$K$5:$K$300,Закрытые!$E$5:$E$300,$B299,Закрытые!$B$5:$B$300,"L-*"))</f>
        <v/>
      </c>
      <c r="I299" s="240" t="str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 t="str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 t="str">
        <f>IF(MIN(N(C299),N(F299))&lt;=0,"",ROUND(MIN(N(C299),N(F299))*(N(G299)-N(D299)),8))</f>
        <v/>
      </c>
      <c r="L299" s="177" t="str">
        <f>IF(MIN(N(C299),N(F299))&lt;=0,"",IF(N(D299)=0,"",ROUND((N(G299)/N(D299)-1)*100,2)))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 t="str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 t="str">
        <f>IF(C300="","",SUMIFS(Лэндинг!$H$5:$H$300,Лэндинг!$E$5:$E$300,$B300)+SUMIFS(Закрытые!$H$5:$H$300,Закрытые!$E$5:$E$300,$B300,Закрытые!$B$5:$B$300,"L-*"))</f>
        <v/>
      </c>
      <c r="F300" s="246" t="str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 t="str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 t="str">
        <f>IF(F300="","",SUMIFS(Лэндинг!$K$5:$K$300,Лэндинг!$E$5:$E$300,$B300)+SUMIFS(Закрытые!$K$5:$K$300,Закрытые!$E$5:$E$300,$B300,Закрытые!$B$5:$B$300,"L-*"))</f>
        <v/>
      </c>
      <c r="I300" s="246" t="str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 t="str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 t="str">
        <f>IF(MIN(N(C300),N(F300))&lt;=0,"",ROUND(MIN(N(C300),N(F300))*(N(G300)-N(D300)),8))</f>
        <v/>
      </c>
      <c r="L300" s="183" t="str">
        <f>IF(MIN(N(C300),N(F300))&lt;=0,"",IF(N(D300)=0,"",ROUND((N(G300)/N(D300)-1)*100,2)))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K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40" t="n">
        <v>4.2</v>
      </c>
      <c r="I5" s="241" t="n">
        <v>2300</v>
      </c>
      <c r="J5" s="240">
        <f>IF(AND(ISNUMBER(F5),ISNUMBER(H5)),ROUND(H5-F5,8),"")</f>
        <v>0.2</v>
      </c>
      <c r="K5" s="241">
        <f>IF(AND(ISNUMBER(G5),ISNUMBER(I5)),ROUND(I5-G5,8),"")</f>
        <v>-60</v>
      </c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6" t="n"/>
      <c r="I6" s="247" t="n"/>
      <c r="J6" s="246" t="str">
        <f>IF(AND(ISNUMBER(F6),ISNUMBER(H6)),ROUND(H6-F6,8),"")</f>
        <v/>
      </c>
      <c r="K6" s="247" t="str">
        <f>IF(AND(ISNUMBER(G6),ISNUMBER(I6)),ROUND(I6-G6,8),"")</f>
        <v/>
      </c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40" t="n">
        <v>1.96</v>
      </c>
      <c r="I7" s="241" t="n">
        <v>0.1092</v>
      </c>
      <c r="J7" s="240">
        <f>IF(AND(ISNUMBER(F7),ISNUMBER(H7)),ROUND(H7-F7,8),"")</f>
        <v>-0.04</v>
      </c>
      <c r="K7" s="241">
        <f>IF(AND(ISNUMBER(G7),ISNUMBER(I7)),ROUND(I7-G7,8),"")</f>
        <v>0.0052</v>
      </c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6" t="n"/>
      <c r="I8" s="247" t="n"/>
      <c r="J8" s="246" t="str">
        <f>IF(AND(ISNUMBER(F8),ISNUMBER(H8)),ROUND(H8-F8,8),"")</f>
        <v/>
      </c>
      <c r="K8" s="247" t="str">
        <f>IF(AND(ISNUMBER(G8),ISNUMBER(I8)),ROUND(I8-G8,8),"")</f>
        <v/>
      </c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40" t="n"/>
      <c r="I9" s="241" t="n"/>
      <c r="J9" s="240" t="str">
        <f>IF(AND(ISNUMBER(F9),ISNUMBER(H9)),ROUND(H9-F9,8),"")</f>
        <v/>
      </c>
      <c r="K9" s="241" t="str">
        <f>IF(AND(ISNUMBER(G9),ISNUMBER(I9)),ROUND(I9-G9,8),"")</f>
        <v/>
      </c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6" t="n">
        <v>28.5</v>
      </c>
      <c r="I10" s="247" t="n">
        <v>4560</v>
      </c>
      <c r="J10" s="246">
        <f>IF(AND(ISNUMBER(F10),ISNUMBER(H10)),ROUND(H10-F10,8),"")</f>
        <v>-1.5</v>
      </c>
      <c r="K10" s="247">
        <f>IF(AND(ISNUMBER(G10),ISNUMBER(I10)),ROUND(I10-G10,8),"")</f>
        <v>210</v>
      </c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40" t="n">
        <v>12.6</v>
      </c>
      <c r="I11" s="241" t="n">
        <v>1688</v>
      </c>
      <c r="J11" s="240">
        <f>IF(AND(ISNUMBER(F11),ISNUMBER(H11)),ROUND(H11-F11,8),"")</f>
        <v>0.6</v>
      </c>
      <c r="K11" s="241">
        <f>IF(AND(ISNUMBER(G11),ISNUMBER(I11)),ROUND(I11-G11,8),"")</f>
        <v>-52</v>
      </c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6" t="n"/>
      <c r="I12" s="247" t="n"/>
      <c r="J12" s="246" t="str">
        <f>IF(AND(ISNUMBER(F12),ISNUMBER(H12)),ROUND(H12-F12,8),"")</f>
        <v/>
      </c>
      <c r="K12" s="247" t="str">
        <f>IF(AND(ISNUMBER(G12),ISNUMBER(I12)),ROUND(I12-G12,8),"")</f>
        <v/>
      </c>
    </row>
    <row r="13" ht="22" customHeight="1">
      <c r="B13" s="236" t="n"/>
      <c r="C13" s="237" t="n"/>
      <c r="D13" s="238" t="n"/>
      <c r="E13" s="239" t="n"/>
      <c r="F13" s="240" t="n"/>
      <c r="G13" s="241" t="n"/>
      <c r="H13" s="240" t="n"/>
      <c r="I13" s="241" t="n"/>
      <c r="J13" s="240" t="str">
        <f>IF(AND(ISNUMBER(F13),ISNUMBER(H13)),ROUND(H13-F13,8),"")</f>
        <v/>
      </c>
      <c r="K13" s="241" t="str">
        <f>IF(AND(ISNUMBER(G13),ISNUMBER(I13)),ROUND(I13-G13,8),"")</f>
        <v/>
      </c>
    </row>
    <row r="14" ht="22" customHeight="1">
      <c r="B14" s="242" t="n"/>
      <c r="C14" s="243" t="n"/>
      <c r="D14" s="244" t="n"/>
      <c r="E14" s="245" t="n"/>
      <c r="F14" s="246" t="n"/>
      <c r="G14" s="247" t="n"/>
      <c r="H14" s="246" t="n"/>
      <c r="I14" s="247" t="n"/>
      <c r="J14" s="246" t="str">
        <f>IF(AND(ISNUMBER(F14),ISNUMBER(H14)),ROUND(H14-F14,8),"")</f>
        <v/>
      </c>
      <c r="K14" s="247" t="str">
        <f>IF(AND(ISNUMBER(G14),ISNUMBER(I14)),ROUND(I14-G14,8),"")</f>
        <v/>
      </c>
    </row>
    <row r="15" ht="22" customHeight="1">
      <c r="B15" s="236" t="n"/>
      <c r="C15" s="237" t="n"/>
      <c r="D15" s="238" t="n"/>
      <c r="E15" s="239" t="n"/>
      <c r="F15" s="240" t="n"/>
      <c r="G15" s="241" t="n"/>
      <c r="H15" s="240" t="n"/>
      <c r="I15" s="241" t="n"/>
      <c r="J15" s="240" t="str">
        <f>IF(AND(ISNUMBER(F15),ISNUMBER(H15)),ROUND(H15-F15,8),"")</f>
        <v/>
      </c>
      <c r="K15" s="241" t="str">
        <f>IF(AND(ISNUMBER(G15),ISNUMBER(I15)),ROUND(I15-G15,8),"")</f>
        <v/>
      </c>
    </row>
    <row r="16" ht="22" customHeight="1">
      <c r="B16" s="242" t="n"/>
      <c r="C16" s="243" t="n"/>
      <c r="D16" s="244" t="n"/>
      <c r="E16" s="245" t="n"/>
      <c r="F16" s="246" t="n"/>
      <c r="G16" s="247" t="n"/>
      <c r="H16" s="246" t="n"/>
      <c r="I16" s="247" t="n"/>
      <c r="J16" s="246" t="str">
        <f>IF(AND(ISNUMBER(F16),ISNUMBER(H16)),ROUND(H16-F16,8),"")</f>
        <v/>
      </c>
      <c r="K16" s="247" t="str">
        <f>IF(AND(ISNUMBER(G16),ISNUMBER(I16)),ROUND(I16-G16,8),"")</f>
        <v/>
      </c>
    </row>
    <row r="17" ht="22" customHeight="1">
      <c r="B17" s="236" t="n"/>
      <c r="C17" s="237" t="n"/>
      <c r="D17" s="238" t="n"/>
      <c r="E17" s="239" t="n"/>
      <c r="F17" s="240" t="n"/>
      <c r="G17" s="241" t="n"/>
      <c r="H17" s="240" t="n"/>
      <c r="I17" s="241" t="n"/>
      <c r="J17" s="240" t="str">
        <f>IF(AND(ISNUMBER(F17),ISNUMBER(H17)),ROUND(H17-F17,8),"")</f>
        <v/>
      </c>
      <c r="K17" s="241" t="str">
        <f>IF(AND(ISNUMBER(G17),ISNUMBER(I17)),ROUND(I17-G17,8),"")</f>
        <v/>
      </c>
    </row>
    <row r="18" ht="22" customHeight="1">
      <c r="B18" s="242" t="n"/>
      <c r="C18" s="243" t="n"/>
      <c r="D18" s="244" t="n"/>
      <c r="E18" s="245" t="n"/>
      <c r="F18" s="246" t="n"/>
      <c r="G18" s="247" t="n"/>
      <c r="H18" s="246" t="n"/>
      <c r="I18" s="247" t="n"/>
      <c r="J18" s="246" t="str">
        <f>IF(AND(ISNUMBER(F18),ISNUMBER(H18)),ROUND(H18-F18,8),"")</f>
        <v/>
      </c>
      <c r="K18" s="247" t="str">
        <f>IF(AND(ISNUMBER(G18),ISNUMBER(I18)),ROUND(I18-G18,8),"")</f>
        <v/>
      </c>
    </row>
    <row r="19" ht="22" customHeight="1">
      <c r="B19" s="236" t="n"/>
      <c r="C19" s="237" t="n"/>
      <c r="D19" s="238" t="n"/>
      <c r="E19" s="239" t="n"/>
      <c r="F19" s="240" t="n"/>
      <c r="G19" s="241" t="n"/>
      <c r="H19" s="240" t="n"/>
      <c r="I19" s="241" t="n"/>
      <c r="J19" s="240" t="str">
        <f>IF(AND(ISNUMBER(F19),ISNUMBER(H19)),ROUND(H19-F19,8),"")</f>
        <v/>
      </c>
      <c r="K19" s="241" t="str">
        <f>IF(AND(ISNUMBER(G19),ISNUMBER(I19)),ROUND(I19-G19,8),"")</f>
        <v/>
      </c>
    </row>
    <row r="20" ht="22" customHeight="1">
      <c r="B20" s="242" t="n"/>
      <c r="C20" s="243" t="n"/>
      <c r="D20" s="244" t="n"/>
      <c r="E20" s="245" t="n"/>
      <c r="F20" s="246" t="n"/>
      <c r="G20" s="247" t="n"/>
      <c r="H20" s="246" t="n"/>
      <c r="I20" s="247" t="n"/>
      <c r="J20" s="246" t="str">
        <f>IF(AND(ISNUMBER(F20),ISNUMBER(H20)),ROUND(H20-F20,8),"")</f>
        <v/>
      </c>
      <c r="K20" s="247" t="str">
        <f>IF(AND(ISNUMBER(G20),ISNUMBER(I20)),ROUND(I20-G20,8),"")</f>
        <v/>
      </c>
    </row>
    <row r="21" ht="22" customHeight="1">
      <c r="B21" s="236" t="n"/>
      <c r="C21" s="237" t="n"/>
      <c r="D21" s="238" t="n"/>
      <c r="E21" s="239" t="n"/>
      <c r="F21" s="240" t="n"/>
      <c r="G21" s="241" t="n"/>
      <c r="H21" s="240" t="n"/>
      <c r="I21" s="241" t="n"/>
      <c r="J21" s="240" t="str">
        <f>IF(AND(ISNUMBER(F21),ISNUMBER(H21)),ROUND(H21-F21,8),"")</f>
        <v/>
      </c>
      <c r="K21" s="241" t="str">
        <f>IF(AND(ISNUMBER(G21),ISNUMBER(I21)),ROUND(I21-G21,8),"")</f>
        <v/>
      </c>
    </row>
    <row r="22" ht="22" customHeight="1">
      <c r="B22" s="242" t="n"/>
      <c r="C22" s="243" t="n"/>
      <c r="D22" s="244" t="n"/>
      <c r="E22" s="245" t="n"/>
      <c r="F22" s="246" t="n"/>
      <c r="G22" s="247" t="n"/>
      <c r="H22" s="246" t="n"/>
      <c r="I22" s="247" t="n"/>
      <c r="J22" s="246" t="str">
        <f>IF(AND(ISNUMBER(F22),ISNUMBER(H22)),ROUND(H22-F22,8),"")</f>
        <v/>
      </c>
      <c r="K22" s="247" t="str">
        <f>IF(AND(ISNUMBER(G22),ISNUMBER(I22)),ROUND(I22-G22,8),"")</f>
        <v/>
      </c>
    </row>
    <row r="23" ht="22" customHeight="1">
      <c r="B23" s="236" t="n"/>
      <c r="C23" s="237" t="n"/>
      <c r="D23" s="238" t="n"/>
      <c r="E23" s="239" t="n"/>
      <c r="F23" s="240" t="n"/>
      <c r="G23" s="241" t="n"/>
      <c r="H23" s="240" t="n"/>
      <c r="I23" s="241" t="n"/>
      <c r="J23" s="240" t="str">
        <f>IF(AND(ISNUMBER(F23),ISNUMBER(H23)),ROUND(H23-F23,8),"")</f>
        <v/>
      </c>
      <c r="K23" s="241" t="str">
        <f>IF(AND(ISNUMBER(G23),ISNUMBER(I23)),ROUND(I23-G23,8),"")</f>
        <v/>
      </c>
    </row>
    <row r="24" ht="22" customHeight="1">
      <c r="B24" s="242" t="n"/>
      <c r="C24" s="243" t="n"/>
      <c r="D24" s="244" t="n"/>
      <c r="E24" s="245" t="n"/>
      <c r="F24" s="246" t="n"/>
      <c r="G24" s="247" t="n"/>
      <c r="H24" s="246" t="n"/>
      <c r="I24" s="247" t="n"/>
      <c r="J24" s="246" t="str">
        <f>IF(AND(ISNUMBER(F24),ISNUMBER(H24)),ROUND(H24-F24,8),"")</f>
        <v/>
      </c>
      <c r="K24" s="247" t="str">
        <f>IF(AND(ISNUMBER(G24),ISNUMBER(I24)),ROUND(I24-G24,8),"")</f>
        <v/>
      </c>
    </row>
    <row r="25" ht="22" customHeight="1">
      <c r="B25" s="236" t="n"/>
      <c r="C25" s="237" t="n"/>
      <c r="D25" s="238" t="n"/>
      <c r="E25" s="239" t="n"/>
      <c r="F25" s="240" t="n"/>
      <c r="G25" s="241" t="n"/>
      <c r="H25" s="240" t="n"/>
      <c r="I25" s="241" t="n"/>
      <c r="J25" s="240" t="str">
        <f>IF(AND(ISNUMBER(F25),ISNUMBER(H25)),ROUND(H25-F25,8),"")</f>
        <v/>
      </c>
      <c r="K25" s="241" t="str">
        <f>IF(AND(ISNUMBER(G25),ISNUMBER(I25)),ROUND(I25-G25,8),"")</f>
        <v/>
      </c>
    </row>
    <row r="26" ht="22" customHeight="1">
      <c r="B26" s="242" t="n"/>
      <c r="C26" s="243" t="n"/>
      <c r="D26" s="244" t="n"/>
      <c r="E26" s="245" t="n"/>
      <c r="F26" s="246" t="n"/>
      <c r="G26" s="247" t="n"/>
      <c r="H26" s="246" t="n"/>
      <c r="I26" s="247" t="n"/>
      <c r="J26" s="246" t="str">
        <f>IF(AND(ISNUMBER(F26),ISNUMBER(H26)),ROUND(H26-F26,8),"")</f>
        <v/>
      </c>
      <c r="K26" s="247" t="str">
        <f>IF(AND(ISNUMBER(G26),ISNUMBER(I26)),ROUND(I26-G26,8),"")</f>
        <v/>
      </c>
    </row>
    <row r="27" ht="22" customHeight="1">
      <c r="B27" s="236" t="n"/>
      <c r="C27" s="237" t="n"/>
      <c r="D27" s="238" t="n"/>
      <c r="E27" s="239" t="n"/>
      <c r="F27" s="240" t="n"/>
      <c r="G27" s="241" t="n"/>
      <c r="H27" s="240" t="n"/>
      <c r="I27" s="241" t="n"/>
      <c r="J27" s="240" t="str">
        <f>IF(AND(ISNUMBER(F27),ISNUMBER(H27)),ROUND(H27-F27,8),"")</f>
        <v/>
      </c>
      <c r="K27" s="241" t="str">
        <f>IF(AND(ISNUMBER(G27),ISNUMBER(I27)),ROUND(I27-G27,8),"")</f>
        <v/>
      </c>
    </row>
    <row r="28" ht="22" customHeight="1">
      <c r="B28" s="242" t="n"/>
      <c r="C28" s="243" t="n"/>
      <c r="D28" s="244" t="n"/>
      <c r="E28" s="245" t="n"/>
      <c r="F28" s="246" t="n"/>
      <c r="G28" s="247" t="n"/>
      <c r="H28" s="246" t="n"/>
      <c r="I28" s="247" t="n"/>
      <c r="J28" s="246" t="str">
        <f>IF(AND(ISNUMBER(F28),ISNUMBER(H28)),ROUND(H28-F28,8),"")</f>
        <v/>
      </c>
      <c r="K28" s="247" t="str">
        <f>IF(AND(ISNUMBER(G28),ISNUMBER(I28)),ROUND(I28-G28,8),"")</f>
        <v/>
      </c>
    </row>
    <row r="29" ht="22" customHeight="1">
      <c r="B29" s="236" t="n"/>
      <c r="C29" s="237" t="n"/>
      <c r="D29" s="238" t="n"/>
      <c r="E29" s="239" t="n"/>
      <c r="F29" s="240" t="n"/>
      <c r="G29" s="241" t="n"/>
      <c r="H29" s="240" t="n"/>
      <c r="I29" s="241" t="n"/>
      <c r="J29" s="240" t="str">
        <f>IF(AND(ISNUMBER(F29),ISNUMBER(H29)),ROUND(H29-F29,8),"")</f>
        <v/>
      </c>
      <c r="K29" s="241" t="str">
        <f>IF(AND(ISNUMBER(G29),ISNUMBER(I29)),ROUND(I29-G29,8),"")</f>
        <v/>
      </c>
    </row>
    <row r="30" ht="22" customHeight="1">
      <c r="B30" s="242" t="n"/>
      <c r="C30" s="243" t="n"/>
      <c r="D30" s="244" t="n"/>
      <c r="E30" s="245" t="n"/>
      <c r="F30" s="246" t="n"/>
      <c r="G30" s="247" t="n"/>
      <c r="H30" s="246" t="n"/>
      <c r="I30" s="247" t="n"/>
      <c r="J30" s="246" t="str">
        <f>IF(AND(ISNUMBER(F30),ISNUMBER(H30)),ROUND(H30-F30,8),"")</f>
        <v/>
      </c>
      <c r="K30" s="247" t="str">
        <f>IF(AND(ISNUMBER(G30),ISNUMBER(I30)),ROUND(I30-G30,8),"")</f>
        <v/>
      </c>
    </row>
    <row r="31" ht="22" customHeight="1">
      <c r="B31" s="236" t="n"/>
      <c r="C31" s="237" t="n"/>
      <c r="D31" s="238" t="n"/>
      <c r="E31" s="239" t="n"/>
      <c r="F31" s="240" t="n"/>
      <c r="G31" s="241" t="n"/>
      <c r="H31" s="240" t="n"/>
      <c r="I31" s="241" t="n"/>
      <c r="J31" s="240" t="str">
        <f>IF(AND(ISNUMBER(F31),ISNUMBER(H31)),ROUND(H31-F31,8),"")</f>
        <v/>
      </c>
      <c r="K31" s="241" t="str">
        <f>IF(AND(ISNUMBER(G31),ISNUMBER(I31)),ROUND(I31-G31,8),"")</f>
        <v/>
      </c>
    </row>
    <row r="32" ht="22" customHeight="1">
      <c r="B32" s="242" t="n"/>
      <c r="C32" s="243" t="n"/>
      <c r="D32" s="244" t="n"/>
      <c r="E32" s="245" t="n"/>
      <c r="F32" s="246" t="n"/>
      <c r="G32" s="247" t="n"/>
      <c r="H32" s="246" t="n"/>
      <c r="I32" s="247" t="n"/>
      <c r="J32" s="246" t="str">
        <f>IF(AND(ISNUMBER(F32),ISNUMBER(H32)),ROUND(H32-F32,8),"")</f>
        <v/>
      </c>
      <c r="K32" s="247" t="str">
        <f>IF(AND(ISNUMBER(G32),ISNUMBER(I32)),ROUND(I32-G32,8),"")</f>
        <v/>
      </c>
    </row>
    <row r="33" ht="22" customHeight="1">
      <c r="B33" s="236" t="n"/>
      <c r="C33" s="237" t="n"/>
      <c r="D33" s="238" t="n"/>
      <c r="E33" s="239" t="n"/>
      <c r="F33" s="240" t="n"/>
      <c r="G33" s="241" t="n"/>
      <c r="H33" s="240" t="n"/>
      <c r="I33" s="241" t="n"/>
      <c r="J33" s="240" t="str">
        <f>IF(AND(ISNUMBER(F33),ISNUMBER(H33)),ROUND(H33-F33,8),"")</f>
        <v/>
      </c>
      <c r="K33" s="241" t="str">
        <f>IF(AND(ISNUMBER(G33),ISNUMBER(I33)),ROUND(I33-G33,8),"")</f>
        <v/>
      </c>
    </row>
    <row r="34" ht="22" customHeight="1">
      <c r="B34" s="242" t="n"/>
      <c r="C34" s="243" t="n"/>
      <c r="D34" s="244" t="n"/>
      <c r="E34" s="245" t="n"/>
      <c r="F34" s="246" t="n"/>
      <c r="G34" s="247" t="n"/>
      <c r="H34" s="246" t="n"/>
      <c r="I34" s="247" t="n"/>
      <c r="J34" s="246" t="str">
        <f>IF(AND(ISNUMBER(F34),ISNUMBER(H34)),ROUND(H34-F34,8),"")</f>
        <v/>
      </c>
      <c r="K34" s="247" t="str">
        <f>IF(AND(ISNUMBER(G34),ISNUMBER(I34)),ROUND(I34-G34,8),"")</f>
        <v/>
      </c>
    </row>
    <row r="35" ht="22" customHeight="1">
      <c r="B35" s="236" t="n"/>
      <c r="C35" s="237" t="n"/>
      <c r="D35" s="238" t="n"/>
      <c r="E35" s="239" t="n"/>
      <c r="F35" s="240" t="n"/>
      <c r="G35" s="241" t="n"/>
      <c r="H35" s="240" t="n"/>
      <c r="I35" s="241" t="n"/>
      <c r="J35" s="240" t="str">
        <f>IF(AND(ISNUMBER(F35),ISNUMBER(H35)),ROUND(H35-F35,8),"")</f>
        <v/>
      </c>
      <c r="K35" s="241" t="str">
        <f>IF(AND(ISNUMBER(G35),ISNUMBER(I35)),ROUND(I35-G35,8),"")</f>
        <v/>
      </c>
    </row>
    <row r="36" ht="22" customHeight="1">
      <c r="B36" s="242" t="n"/>
      <c r="C36" s="243" t="n"/>
      <c r="D36" s="244" t="n"/>
      <c r="E36" s="245" t="n"/>
      <c r="F36" s="246" t="n"/>
      <c r="G36" s="247" t="n"/>
      <c r="H36" s="246" t="n"/>
      <c r="I36" s="247" t="n"/>
      <c r="J36" s="246" t="str">
        <f>IF(AND(ISNUMBER(F36),ISNUMBER(H36)),ROUND(H36-F36,8),"")</f>
        <v/>
      </c>
      <c r="K36" s="247" t="str">
        <f>IF(AND(ISNUMBER(G36),ISNUMBER(I36)),ROUND(I36-G36,8),"")</f>
        <v/>
      </c>
    </row>
    <row r="37" ht="22" customHeight="1">
      <c r="B37" s="236" t="n"/>
      <c r="C37" s="237" t="n"/>
      <c r="D37" s="238" t="n"/>
      <c r="E37" s="239" t="n"/>
      <c r="F37" s="240" t="n"/>
      <c r="G37" s="241" t="n"/>
      <c r="H37" s="240" t="n"/>
      <c r="I37" s="241" t="n"/>
      <c r="J37" s="240" t="str">
        <f>IF(AND(ISNUMBER(F37),ISNUMBER(H37)),ROUND(H37-F37,8),"")</f>
        <v/>
      </c>
      <c r="K37" s="241" t="str">
        <f>IF(AND(ISNUMBER(G37),ISNUMBER(I37)),ROUND(I37-G37,8),"")</f>
        <v/>
      </c>
    </row>
    <row r="38" ht="22" customHeight="1">
      <c r="B38" s="242" t="n"/>
      <c r="C38" s="243" t="n"/>
      <c r="D38" s="244" t="n"/>
      <c r="E38" s="245" t="n"/>
      <c r="F38" s="246" t="n"/>
      <c r="G38" s="247" t="n"/>
      <c r="H38" s="246" t="n"/>
      <c r="I38" s="247" t="n"/>
      <c r="J38" s="246" t="str">
        <f>IF(AND(ISNUMBER(F38),ISNUMBER(H38)),ROUND(H38-F38,8),"")</f>
        <v/>
      </c>
      <c r="K38" s="247" t="str">
        <f>IF(AND(ISNUMBER(G38),ISNUMBER(I38)),ROUND(I38-G38,8),"")</f>
        <v/>
      </c>
    </row>
    <row r="39" ht="22" customHeight="1">
      <c r="B39" s="236" t="n"/>
      <c r="C39" s="237" t="n"/>
      <c r="D39" s="238" t="n"/>
      <c r="E39" s="239" t="n"/>
      <c r="F39" s="240" t="n"/>
      <c r="G39" s="241" t="n"/>
      <c r="H39" s="240" t="n"/>
      <c r="I39" s="241" t="n"/>
      <c r="J39" s="240" t="str">
        <f>IF(AND(ISNUMBER(F39),ISNUMBER(H39)),ROUND(H39-F39,8),"")</f>
        <v/>
      </c>
      <c r="K39" s="241" t="str">
        <f>IF(AND(ISNUMBER(G39),ISNUMBER(I39)),ROUND(I39-G39,8),"")</f>
        <v/>
      </c>
    </row>
    <row r="40" ht="22" customHeight="1">
      <c r="B40" s="242" t="n"/>
      <c r="C40" s="243" t="n"/>
      <c r="D40" s="244" t="n"/>
      <c r="E40" s="245" t="n"/>
      <c r="F40" s="246" t="n"/>
      <c r="G40" s="247" t="n"/>
      <c r="H40" s="246" t="n"/>
      <c r="I40" s="247" t="n"/>
      <c r="J40" s="246" t="str">
        <f>IF(AND(ISNUMBER(F40),ISNUMBER(H40)),ROUND(H40-F40,8),"")</f>
        <v/>
      </c>
      <c r="K40" s="247" t="str">
        <f>IF(AND(ISNUMBER(G40),ISNUMBER(I40)),ROUND(I40-G40,8),"")</f>
        <v/>
      </c>
    </row>
    <row r="41" ht="22" customHeight="1">
      <c r="B41" s="236" t="n"/>
      <c r="C41" s="237" t="n"/>
      <c r="D41" s="238" t="n"/>
      <c r="E41" s="239" t="n"/>
      <c r="F41" s="240" t="n"/>
      <c r="G41" s="241" t="n"/>
      <c r="H41" s="240" t="n"/>
      <c r="I41" s="241" t="n"/>
      <c r="J41" s="240" t="str">
        <f>IF(AND(ISNUMBER(F41),ISNUMBER(H41)),ROUND(H41-F41,8),"")</f>
        <v/>
      </c>
      <c r="K41" s="241" t="str">
        <f>IF(AND(ISNUMBER(G41),ISNUMBER(I41)),ROUND(I41-G41,8),"")</f>
        <v/>
      </c>
    </row>
    <row r="42" ht="22" customHeight="1">
      <c r="B42" s="242" t="n"/>
      <c r="C42" s="243" t="n"/>
      <c r="D42" s="244" t="n"/>
      <c r="E42" s="245" t="n"/>
      <c r="F42" s="246" t="n"/>
      <c r="G42" s="247" t="n"/>
      <c r="H42" s="246" t="n"/>
      <c r="I42" s="247" t="n"/>
      <c r="J42" s="246" t="str">
        <f>IF(AND(ISNUMBER(F42),ISNUMBER(H42)),ROUND(H42-F42,8),"")</f>
        <v/>
      </c>
      <c r="K42" s="247" t="str">
        <f>IF(AND(ISNUMBER(G42),ISNUMBER(I42)),ROUND(I42-G42,8),"")</f>
        <v/>
      </c>
    </row>
    <row r="43" ht="22" customHeight="1">
      <c r="B43" s="236" t="n"/>
      <c r="C43" s="237" t="n"/>
      <c r="D43" s="238" t="n"/>
      <c r="E43" s="239" t="n"/>
      <c r="F43" s="240" t="n"/>
      <c r="G43" s="241" t="n"/>
      <c r="H43" s="240" t="n"/>
      <c r="I43" s="241" t="n"/>
      <c r="J43" s="240" t="str">
        <f>IF(AND(ISNUMBER(F43),ISNUMBER(H43)),ROUND(H43-F43,8),"")</f>
        <v/>
      </c>
      <c r="K43" s="241" t="str">
        <f>IF(AND(ISNUMBER(G43),ISNUMBER(I43)),ROUND(I43-G43,8),"")</f>
        <v/>
      </c>
    </row>
    <row r="44" ht="22" customHeight="1">
      <c r="B44" s="242" t="n"/>
      <c r="C44" s="243" t="n"/>
      <c r="D44" s="244" t="n"/>
      <c r="E44" s="245" t="n"/>
      <c r="F44" s="246" t="n"/>
      <c r="G44" s="247" t="n"/>
      <c r="H44" s="246" t="n"/>
      <c r="I44" s="247" t="n"/>
      <c r="J44" s="246" t="str">
        <f>IF(AND(ISNUMBER(F44),ISNUMBER(H44)),ROUND(H44-F44,8),"")</f>
        <v/>
      </c>
      <c r="K44" s="247" t="str">
        <f>IF(AND(ISNUMBER(G44),ISNUMBER(I44)),ROUND(I44-G44,8),"")</f>
        <v/>
      </c>
    </row>
    <row r="45" ht="22" customHeight="1">
      <c r="B45" s="236" t="n"/>
      <c r="C45" s="237" t="n"/>
      <c r="D45" s="238" t="n"/>
      <c r="E45" s="239" t="n"/>
      <c r="F45" s="240" t="n"/>
      <c r="G45" s="241" t="n"/>
      <c r="H45" s="240" t="n"/>
      <c r="I45" s="241" t="n"/>
      <c r="J45" s="240" t="str">
        <f>IF(AND(ISNUMBER(F45),ISNUMBER(H45)),ROUND(H45-F45,8),"")</f>
        <v/>
      </c>
      <c r="K45" s="241" t="str">
        <f>IF(AND(ISNUMBER(G45),ISNUMBER(I45)),ROUND(I45-G45,8),"")</f>
        <v/>
      </c>
    </row>
    <row r="46" ht="22" customHeight="1">
      <c r="B46" s="242" t="n"/>
      <c r="C46" s="243" t="n"/>
      <c r="D46" s="244" t="n"/>
      <c r="E46" s="245" t="n"/>
      <c r="F46" s="246" t="n"/>
      <c r="G46" s="247" t="n"/>
      <c r="H46" s="246" t="n"/>
      <c r="I46" s="247" t="n"/>
      <c r="J46" s="246" t="str">
        <f>IF(AND(ISNUMBER(F46),ISNUMBER(H46)),ROUND(H46-F46,8),"")</f>
        <v/>
      </c>
      <c r="K46" s="247" t="str">
        <f>IF(AND(ISNUMBER(G46),ISNUMBER(I46)),ROUND(I46-G46,8),"")</f>
        <v/>
      </c>
    </row>
    <row r="47" ht="22" customHeight="1">
      <c r="B47" s="236" t="n"/>
      <c r="C47" s="237" t="n"/>
      <c r="D47" s="238" t="n"/>
      <c r="E47" s="239" t="n"/>
      <c r="F47" s="240" t="n"/>
      <c r="G47" s="241" t="n"/>
      <c r="H47" s="240" t="n"/>
      <c r="I47" s="241" t="n"/>
      <c r="J47" s="240" t="str">
        <f>IF(AND(ISNUMBER(F47),ISNUMBER(H47)),ROUND(H47-F47,8),"")</f>
        <v/>
      </c>
      <c r="K47" s="241" t="str">
        <f>IF(AND(ISNUMBER(G47),ISNUMBER(I47)),ROUND(I47-G47,8),"")</f>
        <v/>
      </c>
    </row>
    <row r="48" ht="22" customHeight="1">
      <c r="B48" s="242" t="n"/>
      <c r="C48" s="243" t="n"/>
      <c r="D48" s="244" t="n"/>
      <c r="E48" s="245" t="n"/>
      <c r="F48" s="246" t="n"/>
      <c r="G48" s="247" t="n"/>
      <c r="H48" s="246" t="n"/>
      <c r="I48" s="247" t="n"/>
      <c r="J48" s="246" t="str">
        <f>IF(AND(ISNUMBER(F48),ISNUMBER(H48)),ROUND(H48-F48,8),"")</f>
        <v/>
      </c>
      <c r="K48" s="247" t="str">
        <f>IF(AND(ISNUMBER(G48),ISNUMBER(I48)),ROUND(I48-G48,8),"")</f>
        <v/>
      </c>
    </row>
    <row r="49" ht="22" customHeight="1">
      <c r="B49" s="236" t="n"/>
      <c r="C49" s="237" t="n"/>
      <c r="D49" s="238" t="n"/>
      <c r="E49" s="239" t="n"/>
      <c r="F49" s="240" t="n"/>
      <c r="G49" s="241" t="n"/>
      <c r="H49" s="240" t="n"/>
      <c r="I49" s="241" t="n"/>
      <c r="J49" s="240" t="str">
        <f>IF(AND(ISNUMBER(F49),ISNUMBER(H49)),ROUND(H49-F49,8),"")</f>
        <v/>
      </c>
      <c r="K49" s="241" t="str">
        <f>IF(AND(ISNUMBER(G49),ISNUMBER(I49)),ROUND(I49-G49,8),"")</f>
        <v/>
      </c>
    </row>
    <row r="50" ht="22" customHeight="1">
      <c r="B50" s="242" t="n"/>
      <c r="C50" s="243" t="n"/>
      <c r="D50" s="244" t="n"/>
      <c r="E50" s="245" t="n"/>
      <c r="F50" s="246" t="n"/>
      <c r="G50" s="247" t="n"/>
      <c r="H50" s="246" t="n"/>
      <c r="I50" s="247" t="n"/>
      <c r="J50" s="246" t="str">
        <f>IF(AND(ISNUMBER(F50),ISNUMBER(H50)),ROUND(H50-F50,8),"")</f>
        <v/>
      </c>
      <c r="K50" s="247" t="str">
        <f>IF(AND(ISNUMBER(G50),ISNUMBER(I50)),ROUND(I50-G50,8),"")</f>
        <v/>
      </c>
    </row>
    <row r="51" ht="22" customHeight="1">
      <c r="B51" s="236" t="n"/>
      <c r="C51" s="237" t="n"/>
      <c r="D51" s="238" t="n"/>
      <c r="E51" s="239" t="n"/>
      <c r="F51" s="240" t="n"/>
      <c r="G51" s="241" t="n"/>
      <c r="H51" s="240" t="n"/>
      <c r="I51" s="241" t="n"/>
      <c r="J51" s="240" t="str">
        <f>IF(AND(ISNUMBER(F51),ISNUMBER(H51)),ROUND(H51-F51,8),"")</f>
        <v/>
      </c>
      <c r="K51" s="241" t="str">
        <f>IF(AND(ISNUMBER(G51),ISNUMBER(I51)),ROUND(I51-G51,8),"")</f>
        <v/>
      </c>
    </row>
    <row r="52" ht="22" customHeight="1">
      <c r="B52" s="242" t="n"/>
      <c r="C52" s="243" t="n"/>
      <c r="D52" s="244" t="n"/>
      <c r="E52" s="245" t="n"/>
      <c r="F52" s="246" t="n"/>
      <c r="G52" s="247" t="n"/>
      <c r="H52" s="246" t="n"/>
      <c r="I52" s="247" t="n"/>
      <c r="J52" s="246" t="str">
        <f>IF(AND(ISNUMBER(F52),ISNUMBER(H52)),ROUND(H52-F52,8),"")</f>
        <v/>
      </c>
      <c r="K52" s="247" t="str">
        <f>IF(AND(ISNUMBER(G52),ISNUMBER(I52)),ROUND(I52-G52,8),"")</f>
        <v/>
      </c>
    </row>
    <row r="53" ht="22" customHeight="1">
      <c r="B53" s="236" t="n"/>
      <c r="C53" s="237" t="n"/>
      <c r="D53" s="238" t="n"/>
      <c r="E53" s="239" t="n"/>
      <c r="F53" s="240" t="n"/>
      <c r="G53" s="241" t="n"/>
      <c r="H53" s="240" t="n"/>
      <c r="I53" s="241" t="n"/>
      <c r="J53" s="240" t="str">
        <f>IF(AND(ISNUMBER(F53),ISNUMBER(H53)),ROUND(H53-F53,8),"")</f>
        <v/>
      </c>
      <c r="K53" s="241" t="str">
        <f>IF(AND(ISNUMBER(G53),ISNUMBER(I53)),ROUND(I53-G53,8),"")</f>
        <v/>
      </c>
    </row>
    <row r="54" ht="22" customHeight="1">
      <c r="B54" s="242" t="n"/>
      <c r="C54" s="243" t="n"/>
      <c r="D54" s="244" t="n"/>
      <c r="E54" s="245" t="n"/>
      <c r="F54" s="246" t="n"/>
      <c r="G54" s="247" t="n"/>
      <c r="H54" s="246" t="n"/>
      <c r="I54" s="247" t="n"/>
      <c r="J54" s="246" t="str">
        <f>IF(AND(ISNUMBER(F54),ISNUMBER(H54)),ROUND(H54-F54,8),"")</f>
        <v/>
      </c>
      <c r="K54" s="247" t="str">
        <f>IF(AND(ISNUMBER(G54),ISNUMBER(I54)),ROUND(I54-G54,8),"")</f>
        <v/>
      </c>
    </row>
    <row r="55" ht="22" customHeight="1">
      <c r="B55" s="236" t="n"/>
      <c r="C55" s="237" t="n"/>
      <c r="D55" s="238" t="n"/>
      <c r="E55" s="239" t="n"/>
      <c r="F55" s="240" t="n"/>
      <c r="G55" s="241" t="n"/>
      <c r="H55" s="240" t="n"/>
      <c r="I55" s="241" t="n"/>
      <c r="J55" s="240" t="str">
        <f>IF(AND(ISNUMBER(F55),ISNUMBER(H55)),ROUND(H55-F55,8),"")</f>
        <v/>
      </c>
      <c r="K55" s="241" t="str">
        <f>IF(AND(ISNUMBER(G55),ISNUMBER(I55)),ROUND(I55-G55,8),"")</f>
        <v/>
      </c>
    </row>
    <row r="56" ht="22" customHeight="1">
      <c r="B56" s="242" t="n"/>
      <c r="C56" s="243" t="n"/>
      <c r="D56" s="244" t="n"/>
      <c r="E56" s="245" t="n"/>
      <c r="F56" s="246" t="n"/>
      <c r="G56" s="247" t="n"/>
      <c r="H56" s="246" t="n"/>
      <c r="I56" s="247" t="n"/>
      <c r="J56" s="246" t="str">
        <f>IF(AND(ISNUMBER(F56),ISNUMBER(H56)),ROUND(H56-F56,8),"")</f>
        <v/>
      </c>
      <c r="K56" s="247" t="str">
        <f>IF(AND(ISNUMBER(G56),ISNUMBER(I56)),ROUND(I56-G56,8),"")</f>
        <v/>
      </c>
    </row>
    <row r="57" ht="22" customHeight="1">
      <c r="B57" s="236" t="n"/>
      <c r="C57" s="237" t="n"/>
      <c r="D57" s="238" t="n"/>
      <c r="E57" s="239" t="n"/>
      <c r="F57" s="240" t="n"/>
      <c r="G57" s="241" t="n"/>
      <c r="H57" s="240" t="n"/>
      <c r="I57" s="241" t="n"/>
      <c r="J57" s="240" t="str">
        <f>IF(AND(ISNUMBER(F57),ISNUMBER(H57)),ROUND(H57-F57,8),"")</f>
        <v/>
      </c>
      <c r="K57" s="241" t="str">
        <f>IF(AND(ISNUMBER(G57),ISNUMBER(I57)),ROUND(I57-G57,8),"")</f>
        <v/>
      </c>
    </row>
    <row r="58" ht="22" customHeight="1">
      <c r="B58" s="242" t="n"/>
      <c r="C58" s="243" t="n"/>
      <c r="D58" s="244" t="n"/>
      <c r="E58" s="245" t="n"/>
      <c r="F58" s="246" t="n"/>
      <c r="G58" s="247" t="n"/>
      <c r="H58" s="246" t="n"/>
      <c r="I58" s="247" t="n"/>
      <c r="J58" s="246" t="str">
        <f>IF(AND(ISNUMBER(F58),ISNUMBER(H58)),ROUND(H58-F58,8),"")</f>
        <v/>
      </c>
      <c r="K58" s="247" t="str">
        <f>IF(AND(ISNUMBER(G58),ISNUMBER(I58)),ROUND(I58-G58,8),"")</f>
        <v/>
      </c>
    </row>
    <row r="59" ht="22" customHeight="1">
      <c r="B59" s="236" t="n"/>
      <c r="C59" s="237" t="n"/>
      <c r="D59" s="238" t="n"/>
      <c r="E59" s="239" t="n"/>
      <c r="F59" s="240" t="n"/>
      <c r="G59" s="241" t="n"/>
      <c r="H59" s="240" t="n"/>
      <c r="I59" s="241" t="n"/>
      <c r="J59" s="240" t="str">
        <f>IF(AND(ISNUMBER(F59),ISNUMBER(H59)),ROUND(H59-F59,8),"")</f>
        <v/>
      </c>
      <c r="K59" s="241" t="str">
        <f>IF(AND(ISNUMBER(G59),ISNUMBER(I59)),ROUND(I59-G59,8),"")</f>
        <v/>
      </c>
    </row>
    <row r="60" ht="22" customHeight="1">
      <c r="B60" s="242" t="n"/>
      <c r="C60" s="243" t="n"/>
      <c r="D60" s="244" t="n"/>
      <c r="E60" s="245" t="n"/>
      <c r="F60" s="246" t="n"/>
      <c r="G60" s="247" t="n"/>
      <c r="H60" s="246" t="n"/>
      <c r="I60" s="247" t="n"/>
      <c r="J60" s="246" t="str">
        <f>IF(AND(ISNUMBER(F60),ISNUMBER(H60)),ROUND(H60-F60,8),"")</f>
        <v/>
      </c>
      <c r="K60" s="247" t="str">
        <f>IF(AND(ISNUMBER(G60),ISNUMBER(I60)),ROUND(I60-G60,8),"")</f>
        <v/>
      </c>
    </row>
    <row r="61" ht="22" customHeight="1">
      <c r="B61" s="236" t="n"/>
      <c r="C61" s="237" t="n"/>
      <c r="D61" s="238" t="n"/>
      <c r="E61" s="239" t="n"/>
      <c r="F61" s="240" t="n"/>
      <c r="G61" s="241" t="n"/>
      <c r="H61" s="240" t="n"/>
      <c r="I61" s="241" t="n"/>
      <c r="J61" s="240" t="str">
        <f>IF(AND(ISNUMBER(F61),ISNUMBER(H61)),ROUND(H61-F61,8),"")</f>
        <v/>
      </c>
      <c r="K61" s="241" t="str">
        <f>IF(AND(ISNUMBER(G61),ISNUMBER(I61)),ROUND(I61-G61,8),"")</f>
        <v/>
      </c>
    </row>
    <row r="62" ht="22" customHeight="1">
      <c r="B62" s="242" t="n"/>
      <c r="C62" s="243" t="n"/>
      <c r="D62" s="244" t="n"/>
      <c r="E62" s="245" t="n"/>
      <c r="F62" s="246" t="n"/>
      <c r="G62" s="247" t="n"/>
      <c r="H62" s="246" t="n"/>
      <c r="I62" s="247" t="n"/>
      <c r="J62" s="246" t="str">
        <f>IF(AND(ISNUMBER(F62),ISNUMBER(H62)),ROUND(H62-F62,8),"")</f>
        <v/>
      </c>
      <c r="K62" s="247" t="str">
        <f>IF(AND(ISNUMBER(G62),ISNUMBER(I62)),ROUND(I62-G62,8),"")</f>
        <v/>
      </c>
    </row>
    <row r="63" ht="22" customHeight="1">
      <c r="B63" s="236" t="n"/>
      <c r="C63" s="237" t="n"/>
      <c r="D63" s="238" t="n"/>
      <c r="E63" s="239" t="n"/>
      <c r="F63" s="240" t="n"/>
      <c r="G63" s="241" t="n"/>
      <c r="H63" s="240" t="n"/>
      <c r="I63" s="241" t="n"/>
      <c r="J63" s="240" t="str">
        <f>IF(AND(ISNUMBER(F63),ISNUMBER(H63)),ROUND(H63-F63,8),"")</f>
        <v/>
      </c>
      <c r="K63" s="241" t="str">
        <f>IF(AND(ISNUMBER(G63),ISNUMBER(I63)),ROUND(I63-G63,8),"")</f>
        <v/>
      </c>
    </row>
    <row r="64" ht="22" customHeight="1">
      <c r="B64" s="242" t="n"/>
      <c r="C64" s="243" t="n"/>
      <c r="D64" s="244" t="n"/>
      <c r="E64" s="245" t="n"/>
      <c r="F64" s="246" t="n"/>
      <c r="G64" s="247" t="n"/>
      <c r="H64" s="246" t="n"/>
      <c r="I64" s="247" t="n"/>
      <c r="J64" s="246" t="str">
        <f>IF(AND(ISNUMBER(F64),ISNUMBER(H64)),ROUND(H64-F64,8),"")</f>
        <v/>
      </c>
      <c r="K64" s="247" t="str">
        <f>IF(AND(ISNUMBER(G64),ISNUMBER(I64)),ROUND(I64-G64,8),"")</f>
        <v/>
      </c>
    </row>
    <row r="65" ht="22" customHeight="1">
      <c r="B65" s="236" t="n"/>
      <c r="C65" s="237" t="n"/>
      <c r="D65" s="238" t="n"/>
      <c r="E65" s="239" t="n"/>
      <c r="F65" s="240" t="n"/>
      <c r="G65" s="241" t="n"/>
      <c r="H65" s="240" t="n"/>
      <c r="I65" s="241" t="n"/>
      <c r="J65" s="240" t="str">
        <f>IF(AND(ISNUMBER(F65),ISNUMBER(H65)),ROUND(H65-F65,8),"")</f>
        <v/>
      </c>
      <c r="K65" s="241" t="str">
        <f>IF(AND(ISNUMBER(G65),ISNUMBER(I65)),ROUND(I65-G65,8),"")</f>
        <v/>
      </c>
    </row>
    <row r="66" ht="22" customHeight="1">
      <c r="B66" s="242" t="n"/>
      <c r="C66" s="243" t="n"/>
      <c r="D66" s="244" t="n"/>
      <c r="E66" s="245" t="n"/>
      <c r="F66" s="246" t="n"/>
      <c r="G66" s="247" t="n"/>
      <c r="H66" s="246" t="n"/>
      <c r="I66" s="247" t="n"/>
      <c r="J66" s="246" t="str">
        <f>IF(AND(ISNUMBER(F66),ISNUMBER(H66)),ROUND(H66-F66,8),"")</f>
        <v/>
      </c>
      <c r="K66" s="247" t="str">
        <f>IF(AND(ISNUMBER(G66),ISNUMBER(I66)),ROUND(I66-G66,8),"")</f>
        <v/>
      </c>
    </row>
    <row r="67" ht="22" customHeight="1">
      <c r="B67" s="236" t="n"/>
      <c r="C67" s="237" t="n"/>
      <c r="D67" s="238" t="n"/>
      <c r="E67" s="239" t="n"/>
      <c r="F67" s="240" t="n"/>
      <c r="G67" s="241" t="n"/>
      <c r="H67" s="240" t="n"/>
      <c r="I67" s="241" t="n"/>
      <c r="J67" s="240" t="str">
        <f>IF(AND(ISNUMBER(F67),ISNUMBER(H67)),ROUND(H67-F67,8),"")</f>
        <v/>
      </c>
      <c r="K67" s="241" t="str">
        <f>IF(AND(ISNUMBER(G67),ISNUMBER(I67)),ROUND(I67-G67,8),"")</f>
        <v/>
      </c>
    </row>
    <row r="68" ht="22" customHeight="1">
      <c r="B68" s="242" t="n"/>
      <c r="C68" s="243" t="n"/>
      <c r="D68" s="244" t="n"/>
      <c r="E68" s="245" t="n"/>
      <c r="F68" s="246" t="n"/>
      <c r="G68" s="247" t="n"/>
      <c r="H68" s="246" t="n"/>
      <c r="I68" s="247" t="n"/>
      <c r="J68" s="246" t="str">
        <f>IF(AND(ISNUMBER(F68),ISNUMBER(H68)),ROUND(H68-F68,8),"")</f>
        <v/>
      </c>
      <c r="K68" s="247" t="str">
        <f>IF(AND(ISNUMBER(G68),ISNUMBER(I68)),ROUND(I68-G68,8),"")</f>
        <v/>
      </c>
    </row>
    <row r="69" ht="22" customHeight="1">
      <c r="B69" s="236" t="n"/>
      <c r="C69" s="237" t="n"/>
      <c r="D69" s="238" t="n"/>
      <c r="E69" s="239" t="n"/>
      <c r="F69" s="240" t="n"/>
      <c r="G69" s="241" t="n"/>
      <c r="H69" s="240" t="n"/>
      <c r="I69" s="241" t="n"/>
      <c r="J69" s="240" t="str">
        <f>IF(AND(ISNUMBER(F69),ISNUMBER(H69)),ROUND(H69-F69,8),"")</f>
        <v/>
      </c>
      <c r="K69" s="241" t="str">
        <f>IF(AND(ISNUMBER(G69),ISNUMBER(I69)),ROUND(I69-G69,8),"")</f>
        <v/>
      </c>
    </row>
    <row r="70" ht="22" customHeight="1">
      <c r="B70" s="242" t="n"/>
      <c r="C70" s="243" t="n"/>
      <c r="D70" s="244" t="n"/>
      <c r="E70" s="245" t="n"/>
      <c r="F70" s="246" t="n"/>
      <c r="G70" s="247" t="n"/>
      <c r="H70" s="246" t="n"/>
      <c r="I70" s="247" t="n"/>
      <c r="J70" s="246" t="str">
        <f>IF(AND(ISNUMBER(F70),ISNUMBER(H70)),ROUND(H70-F70,8),"")</f>
        <v/>
      </c>
      <c r="K70" s="247" t="str">
        <f>IF(AND(ISNUMBER(G70),ISNUMBER(I70)),ROUND(I70-G70,8),"")</f>
        <v/>
      </c>
    </row>
    <row r="71" ht="22" customHeight="1">
      <c r="B71" s="236" t="n"/>
      <c r="C71" s="237" t="n"/>
      <c r="D71" s="238" t="n"/>
      <c r="E71" s="239" t="n"/>
      <c r="F71" s="240" t="n"/>
      <c r="G71" s="241" t="n"/>
      <c r="H71" s="240" t="n"/>
      <c r="I71" s="241" t="n"/>
      <c r="J71" s="240" t="str">
        <f>IF(AND(ISNUMBER(F71),ISNUMBER(H71)),ROUND(H71-F71,8),"")</f>
        <v/>
      </c>
      <c r="K71" s="241" t="str">
        <f>IF(AND(ISNUMBER(G71),ISNUMBER(I71)),ROUND(I71-G71,8),"")</f>
        <v/>
      </c>
    </row>
    <row r="72" ht="22" customHeight="1">
      <c r="B72" s="242" t="n"/>
      <c r="C72" s="243" t="n"/>
      <c r="D72" s="244" t="n"/>
      <c r="E72" s="245" t="n"/>
      <c r="F72" s="246" t="n"/>
      <c r="G72" s="247" t="n"/>
      <c r="H72" s="246" t="n"/>
      <c r="I72" s="247" t="n"/>
      <c r="J72" s="246" t="str">
        <f>IF(AND(ISNUMBER(F72),ISNUMBER(H72)),ROUND(H72-F72,8),"")</f>
        <v/>
      </c>
      <c r="K72" s="247" t="str">
        <f>IF(AND(ISNUMBER(G72),ISNUMBER(I72)),ROUND(I72-G72,8),"")</f>
        <v/>
      </c>
    </row>
    <row r="73" ht="22" customHeight="1">
      <c r="B73" s="236" t="n"/>
      <c r="C73" s="237" t="n"/>
      <c r="D73" s="238" t="n"/>
      <c r="E73" s="239" t="n"/>
      <c r="F73" s="240" t="n"/>
      <c r="G73" s="241" t="n"/>
      <c r="H73" s="240" t="n"/>
      <c r="I73" s="241" t="n"/>
      <c r="J73" s="240" t="str">
        <f>IF(AND(ISNUMBER(F73),ISNUMBER(H73)),ROUND(H73-F73,8),"")</f>
        <v/>
      </c>
      <c r="K73" s="241" t="str">
        <f>IF(AND(ISNUMBER(G73),ISNUMBER(I73)),ROUND(I73-G73,8),"")</f>
        <v/>
      </c>
    </row>
    <row r="74" ht="22" customHeight="1">
      <c r="B74" s="242" t="n"/>
      <c r="C74" s="243" t="n"/>
      <c r="D74" s="244" t="n"/>
      <c r="E74" s="245" t="n"/>
      <c r="F74" s="246" t="n"/>
      <c r="G74" s="247" t="n"/>
      <c r="H74" s="246" t="n"/>
      <c r="I74" s="247" t="n"/>
      <c r="J74" s="246" t="str">
        <f>IF(AND(ISNUMBER(F74),ISNUMBER(H74)),ROUND(H74-F74,8),"")</f>
        <v/>
      </c>
      <c r="K74" s="247" t="str">
        <f>IF(AND(ISNUMBER(G74),ISNUMBER(I74)),ROUND(I74-G74,8),"")</f>
        <v/>
      </c>
    </row>
    <row r="75" ht="22" customHeight="1">
      <c r="B75" s="236" t="n"/>
      <c r="C75" s="237" t="n"/>
      <c r="D75" s="238" t="n"/>
      <c r="E75" s="239" t="n"/>
      <c r="F75" s="240" t="n"/>
      <c r="G75" s="241" t="n"/>
      <c r="H75" s="240" t="n"/>
      <c r="I75" s="241" t="n"/>
      <c r="J75" s="240" t="str">
        <f>IF(AND(ISNUMBER(F75),ISNUMBER(H75)),ROUND(H75-F75,8),"")</f>
        <v/>
      </c>
      <c r="K75" s="241" t="str">
        <f>IF(AND(ISNUMBER(G75),ISNUMBER(I75)),ROUND(I75-G75,8),"")</f>
        <v/>
      </c>
    </row>
    <row r="76" ht="22" customHeight="1">
      <c r="B76" s="242" t="n"/>
      <c r="C76" s="243" t="n"/>
      <c r="D76" s="244" t="n"/>
      <c r="E76" s="245" t="n"/>
      <c r="F76" s="246" t="n"/>
      <c r="G76" s="247" t="n"/>
      <c r="H76" s="246" t="n"/>
      <c r="I76" s="247" t="n"/>
      <c r="J76" s="246" t="str">
        <f>IF(AND(ISNUMBER(F76),ISNUMBER(H76)),ROUND(H76-F76,8),"")</f>
        <v/>
      </c>
      <c r="K76" s="247" t="str">
        <f>IF(AND(ISNUMBER(G76),ISNUMBER(I76)),ROUND(I76-G76,8),"")</f>
        <v/>
      </c>
    </row>
    <row r="77" ht="22" customHeight="1">
      <c r="B77" s="236" t="n"/>
      <c r="C77" s="237" t="n"/>
      <c r="D77" s="238" t="n"/>
      <c r="E77" s="239" t="n"/>
      <c r="F77" s="240" t="n"/>
      <c r="G77" s="241" t="n"/>
      <c r="H77" s="240" t="n"/>
      <c r="I77" s="241" t="n"/>
      <c r="J77" s="240" t="str">
        <f>IF(AND(ISNUMBER(F77),ISNUMBER(H77)),ROUND(H77-F77,8),"")</f>
        <v/>
      </c>
      <c r="K77" s="241" t="str">
        <f>IF(AND(ISNUMBER(G77),ISNUMBER(I77)),ROUND(I77-G77,8),"")</f>
        <v/>
      </c>
    </row>
    <row r="78" ht="22" customHeight="1">
      <c r="B78" s="242" t="n"/>
      <c r="C78" s="243" t="n"/>
      <c r="D78" s="244" t="n"/>
      <c r="E78" s="245" t="n"/>
      <c r="F78" s="246" t="n"/>
      <c r="G78" s="247" t="n"/>
      <c r="H78" s="246" t="n"/>
      <c r="I78" s="247" t="n"/>
      <c r="J78" s="246" t="str">
        <f>IF(AND(ISNUMBER(F78),ISNUMBER(H78)),ROUND(H78-F78,8),"")</f>
        <v/>
      </c>
      <c r="K78" s="247" t="str">
        <f>IF(AND(ISNUMBER(G78),ISNUMBER(I78)),ROUND(I78-G78,8),"")</f>
        <v/>
      </c>
    </row>
    <row r="79" ht="22" customHeight="1">
      <c r="B79" s="236" t="n"/>
      <c r="C79" s="237" t="n"/>
      <c r="D79" s="238" t="n"/>
      <c r="E79" s="239" t="n"/>
      <c r="F79" s="240" t="n"/>
      <c r="G79" s="241" t="n"/>
      <c r="H79" s="240" t="n"/>
      <c r="I79" s="241" t="n"/>
      <c r="J79" s="240" t="str">
        <f>IF(AND(ISNUMBER(F79),ISNUMBER(H79)),ROUND(H79-F79,8),"")</f>
        <v/>
      </c>
      <c r="K79" s="241" t="str">
        <f>IF(AND(ISNUMBER(G79),ISNUMBER(I79)),ROUND(I79-G79,8),"")</f>
        <v/>
      </c>
    </row>
    <row r="80" ht="22" customHeight="1">
      <c r="B80" s="242" t="n"/>
      <c r="C80" s="243" t="n"/>
      <c r="D80" s="244" t="n"/>
      <c r="E80" s="245" t="n"/>
      <c r="F80" s="246" t="n"/>
      <c r="G80" s="247" t="n"/>
      <c r="H80" s="246" t="n"/>
      <c r="I80" s="247" t="n"/>
      <c r="J80" s="246" t="str">
        <f>IF(AND(ISNUMBER(F80),ISNUMBER(H80)),ROUND(H80-F80,8),"")</f>
        <v/>
      </c>
      <c r="K80" s="247" t="str">
        <f>IF(AND(ISNUMBER(G80),ISNUMBER(I80)),ROUND(I80-G80,8),"")</f>
        <v/>
      </c>
    </row>
    <row r="81" ht="22" customHeight="1">
      <c r="B81" s="236" t="n"/>
      <c r="C81" s="237" t="n"/>
      <c r="D81" s="238" t="n"/>
      <c r="E81" s="239" t="n"/>
      <c r="F81" s="240" t="n"/>
      <c r="G81" s="241" t="n"/>
      <c r="H81" s="240" t="n"/>
      <c r="I81" s="241" t="n"/>
      <c r="J81" s="240" t="str">
        <f>IF(AND(ISNUMBER(F81),ISNUMBER(H81)),ROUND(H81-F81,8),"")</f>
        <v/>
      </c>
      <c r="K81" s="241" t="str">
        <f>IF(AND(ISNUMBER(G81),ISNUMBER(I81)),ROUND(I81-G81,8),"")</f>
        <v/>
      </c>
    </row>
    <row r="82" ht="22" customHeight="1">
      <c r="B82" s="242" t="n"/>
      <c r="C82" s="243" t="n"/>
      <c r="D82" s="244" t="n"/>
      <c r="E82" s="245" t="n"/>
      <c r="F82" s="246" t="n"/>
      <c r="G82" s="247" t="n"/>
      <c r="H82" s="246" t="n"/>
      <c r="I82" s="247" t="n"/>
      <c r="J82" s="246" t="str">
        <f>IF(AND(ISNUMBER(F82),ISNUMBER(H82)),ROUND(H82-F82,8),"")</f>
        <v/>
      </c>
      <c r="K82" s="247" t="str">
        <f>IF(AND(ISNUMBER(G82),ISNUMBER(I82)),ROUND(I82-G82,8),"")</f>
        <v/>
      </c>
    </row>
    <row r="83" ht="22" customHeight="1">
      <c r="B83" s="236" t="n"/>
      <c r="C83" s="237" t="n"/>
      <c r="D83" s="238" t="n"/>
      <c r="E83" s="239" t="n"/>
      <c r="F83" s="240" t="n"/>
      <c r="G83" s="241" t="n"/>
      <c r="H83" s="240" t="n"/>
      <c r="I83" s="241" t="n"/>
      <c r="J83" s="240" t="str">
        <f>IF(AND(ISNUMBER(F83),ISNUMBER(H83)),ROUND(H83-F83,8),"")</f>
        <v/>
      </c>
      <c r="K83" s="241" t="str">
        <f>IF(AND(ISNUMBER(G83),ISNUMBER(I83)),ROUND(I83-G83,8),"")</f>
        <v/>
      </c>
    </row>
    <row r="84" ht="22" customHeight="1">
      <c r="B84" s="242" t="n"/>
      <c r="C84" s="243" t="n"/>
      <c r="D84" s="244" t="n"/>
      <c r="E84" s="245" t="n"/>
      <c r="F84" s="246" t="n"/>
      <c r="G84" s="247" t="n"/>
      <c r="H84" s="246" t="n"/>
      <c r="I84" s="247" t="n"/>
      <c r="J84" s="246" t="str">
        <f>IF(AND(ISNUMBER(F84),ISNUMBER(H84)),ROUND(H84-F84,8),"")</f>
        <v/>
      </c>
      <c r="K84" s="247" t="str">
        <f>IF(AND(ISNUMBER(G84),ISNUMBER(I84)),ROUND(I84-G84,8),"")</f>
        <v/>
      </c>
    </row>
    <row r="85" ht="22" customHeight="1">
      <c r="B85" s="236" t="n"/>
      <c r="C85" s="237" t="n"/>
      <c r="D85" s="238" t="n"/>
      <c r="E85" s="239" t="n"/>
      <c r="F85" s="240" t="n"/>
      <c r="G85" s="241" t="n"/>
      <c r="H85" s="240" t="n"/>
      <c r="I85" s="241" t="n"/>
      <c r="J85" s="240" t="str">
        <f>IF(AND(ISNUMBER(F85),ISNUMBER(H85)),ROUND(H85-F85,8),"")</f>
        <v/>
      </c>
      <c r="K85" s="241" t="str">
        <f>IF(AND(ISNUMBER(G85),ISNUMBER(I85)),ROUND(I85-G85,8),"")</f>
        <v/>
      </c>
    </row>
    <row r="86" ht="22" customHeight="1">
      <c r="B86" s="242" t="n"/>
      <c r="C86" s="243" t="n"/>
      <c r="D86" s="244" t="n"/>
      <c r="E86" s="245" t="n"/>
      <c r="F86" s="246" t="n"/>
      <c r="G86" s="247" t="n"/>
      <c r="H86" s="246" t="n"/>
      <c r="I86" s="247" t="n"/>
      <c r="J86" s="246" t="str">
        <f>IF(AND(ISNUMBER(F86),ISNUMBER(H86)),ROUND(H86-F86,8),"")</f>
        <v/>
      </c>
      <c r="K86" s="247" t="str">
        <f>IF(AND(ISNUMBER(G86),ISNUMBER(I86)),ROUND(I86-G86,8),"")</f>
        <v/>
      </c>
    </row>
    <row r="87" ht="22" customHeight="1">
      <c r="B87" s="236" t="n"/>
      <c r="C87" s="237" t="n"/>
      <c r="D87" s="238" t="n"/>
      <c r="E87" s="239" t="n"/>
      <c r="F87" s="240" t="n"/>
      <c r="G87" s="241" t="n"/>
      <c r="H87" s="240" t="n"/>
      <c r="I87" s="241" t="n"/>
      <c r="J87" s="240" t="str">
        <f>IF(AND(ISNUMBER(F87),ISNUMBER(H87)),ROUND(H87-F87,8),"")</f>
        <v/>
      </c>
      <c r="K87" s="241" t="str">
        <f>IF(AND(ISNUMBER(G87),ISNUMBER(I87)),ROUND(I87-G87,8),"")</f>
        <v/>
      </c>
    </row>
    <row r="88" ht="22" customHeight="1">
      <c r="B88" s="242" t="n"/>
      <c r="C88" s="243" t="n"/>
      <c r="D88" s="244" t="n"/>
      <c r="E88" s="245" t="n"/>
      <c r="F88" s="246" t="n"/>
      <c r="G88" s="247" t="n"/>
      <c r="H88" s="246" t="n"/>
      <c r="I88" s="247" t="n"/>
      <c r="J88" s="246" t="str">
        <f>IF(AND(ISNUMBER(F88),ISNUMBER(H88)),ROUND(H88-F88,8),"")</f>
        <v/>
      </c>
      <c r="K88" s="247" t="str">
        <f>IF(AND(ISNUMBER(G88),ISNUMBER(I88)),ROUND(I88-G88,8),"")</f>
        <v/>
      </c>
    </row>
    <row r="89" ht="22" customHeight="1">
      <c r="B89" s="236" t="n"/>
      <c r="C89" s="237" t="n"/>
      <c r="D89" s="238" t="n"/>
      <c r="E89" s="239" t="n"/>
      <c r="F89" s="240" t="n"/>
      <c r="G89" s="241" t="n"/>
      <c r="H89" s="240" t="n"/>
      <c r="I89" s="241" t="n"/>
      <c r="J89" s="240" t="str">
        <f>IF(AND(ISNUMBER(F89),ISNUMBER(H89)),ROUND(H89-F89,8),"")</f>
        <v/>
      </c>
      <c r="K89" s="241" t="str">
        <f>IF(AND(ISNUMBER(G89),ISNUMBER(I89)),ROUND(I89-G89,8),"")</f>
        <v/>
      </c>
    </row>
    <row r="90" ht="22" customHeight="1">
      <c r="B90" s="242" t="n"/>
      <c r="C90" s="243" t="n"/>
      <c r="D90" s="244" t="n"/>
      <c r="E90" s="245" t="n"/>
      <c r="F90" s="246" t="n"/>
      <c r="G90" s="247" t="n"/>
      <c r="H90" s="246" t="n"/>
      <c r="I90" s="247" t="n"/>
      <c r="J90" s="246" t="str">
        <f>IF(AND(ISNUMBER(F90),ISNUMBER(H90)),ROUND(H90-F90,8),"")</f>
        <v/>
      </c>
      <c r="K90" s="247" t="str">
        <f>IF(AND(ISNUMBER(G90),ISNUMBER(I90)),ROUND(I90-G90,8),"")</f>
        <v/>
      </c>
    </row>
    <row r="91" ht="22" customHeight="1">
      <c r="B91" s="236" t="n"/>
      <c r="C91" s="237" t="n"/>
      <c r="D91" s="238" t="n"/>
      <c r="E91" s="239" t="n"/>
      <c r="F91" s="240" t="n"/>
      <c r="G91" s="241" t="n"/>
      <c r="H91" s="240" t="n"/>
      <c r="I91" s="241" t="n"/>
      <c r="J91" s="240" t="str">
        <f>IF(AND(ISNUMBER(F91),ISNUMBER(H91)),ROUND(H91-F91,8),"")</f>
        <v/>
      </c>
      <c r="K91" s="241" t="str">
        <f>IF(AND(ISNUMBER(G91),ISNUMBER(I91)),ROUND(I91-G91,8),"")</f>
        <v/>
      </c>
    </row>
    <row r="92" ht="22" customHeight="1">
      <c r="B92" s="242" t="n"/>
      <c r="C92" s="243" t="n"/>
      <c r="D92" s="244" t="n"/>
      <c r="E92" s="245" t="n"/>
      <c r="F92" s="246" t="n"/>
      <c r="G92" s="247" t="n"/>
      <c r="H92" s="246" t="n"/>
      <c r="I92" s="247" t="n"/>
      <c r="J92" s="246" t="str">
        <f>IF(AND(ISNUMBER(F92),ISNUMBER(H92)),ROUND(H92-F92,8),"")</f>
        <v/>
      </c>
      <c r="K92" s="247" t="str">
        <f>IF(AND(ISNUMBER(G92),ISNUMBER(I92)),ROUND(I92-G92,8),"")</f>
        <v/>
      </c>
    </row>
    <row r="93" ht="22" customHeight="1">
      <c r="B93" s="236" t="n"/>
      <c r="C93" s="237" t="n"/>
      <c r="D93" s="238" t="n"/>
      <c r="E93" s="239" t="n"/>
      <c r="F93" s="240" t="n"/>
      <c r="G93" s="241" t="n"/>
      <c r="H93" s="240" t="n"/>
      <c r="I93" s="241" t="n"/>
      <c r="J93" s="240" t="str">
        <f>IF(AND(ISNUMBER(F93),ISNUMBER(H93)),ROUND(H93-F93,8),"")</f>
        <v/>
      </c>
      <c r="K93" s="241" t="str">
        <f>IF(AND(ISNUMBER(G93),ISNUMBER(I93)),ROUND(I93-G93,8),"")</f>
        <v/>
      </c>
    </row>
    <row r="94" ht="22" customHeight="1">
      <c r="B94" s="242" t="n"/>
      <c r="C94" s="243" t="n"/>
      <c r="D94" s="244" t="n"/>
      <c r="E94" s="245" t="n"/>
      <c r="F94" s="246" t="n"/>
      <c r="G94" s="247" t="n"/>
      <c r="H94" s="246" t="n"/>
      <c r="I94" s="247" t="n"/>
      <c r="J94" s="246" t="str">
        <f>IF(AND(ISNUMBER(F94),ISNUMBER(H94)),ROUND(H94-F94,8),"")</f>
        <v/>
      </c>
      <c r="K94" s="247" t="str">
        <f>IF(AND(ISNUMBER(G94),ISNUMBER(I94)),ROUND(I94-G94,8),"")</f>
        <v/>
      </c>
    </row>
    <row r="95" ht="22" customHeight="1">
      <c r="B95" s="236" t="n"/>
      <c r="C95" s="237" t="n"/>
      <c r="D95" s="238" t="n"/>
      <c r="E95" s="239" t="n"/>
      <c r="F95" s="240" t="n"/>
      <c r="G95" s="241" t="n"/>
      <c r="H95" s="240" t="n"/>
      <c r="I95" s="241" t="n"/>
      <c r="J95" s="240" t="str">
        <f>IF(AND(ISNUMBER(F95),ISNUMBER(H95)),ROUND(H95-F95,8),"")</f>
        <v/>
      </c>
      <c r="K95" s="241" t="str">
        <f>IF(AND(ISNUMBER(G95),ISNUMBER(I95)),ROUND(I95-G95,8),"")</f>
        <v/>
      </c>
    </row>
    <row r="96" ht="22" customHeight="1">
      <c r="B96" s="242" t="n"/>
      <c r="C96" s="243" t="n"/>
      <c r="D96" s="244" t="n"/>
      <c r="E96" s="245" t="n"/>
      <c r="F96" s="246" t="n"/>
      <c r="G96" s="247" t="n"/>
      <c r="H96" s="246" t="n"/>
      <c r="I96" s="247" t="n"/>
      <c r="J96" s="246" t="str">
        <f>IF(AND(ISNUMBER(F96),ISNUMBER(H96)),ROUND(H96-F96,8),"")</f>
        <v/>
      </c>
      <c r="K96" s="247" t="str">
        <f>IF(AND(ISNUMBER(G96),ISNUMBER(I96)),ROUND(I96-G96,8),"")</f>
        <v/>
      </c>
    </row>
    <row r="97" ht="22" customHeight="1">
      <c r="B97" s="236" t="n"/>
      <c r="C97" s="237" t="n"/>
      <c r="D97" s="238" t="n"/>
      <c r="E97" s="239" t="n"/>
      <c r="F97" s="240" t="n"/>
      <c r="G97" s="241" t="n"/>
      <c r="H97" s="240" t="n"/>
      <c r="I97" s="241" t="n"/>
      <c r="J97" s="240" t="str">
        <f>IF(AND(ISNUMBER(F97),ISNUMBER(H97)),ROUND(H97-F97,8),"")</f>
        <v/>
      </c>
      <c r="K97" s="241" t="str">
        <f>IF(AND(ISNUMBER(G97),ISNUMBER(I97)),ROUND(I97-G97,8),"")</f>
        <v/>
      </c>
    </row>
    <row r="98" ht="22" customHeight="1">
      <c r="B98" s="242" t="n"/>
      <c r="C98" s="243" t="n"/>
      <c r="D98" s="244" t="n"/>
      <c r="E98" s="245" t="n"/>
      <c r="F98" s="246" t="n"/>
      <c r="G98" s="247" t="n"/>
      <c r="H98" s="246" t="n"/>
      <c r="I98" s="247" t="n"/>
      <c r="J98" s="246" t="str">
        <f>IF(AND(ISNUMBER(F98),ISNUMBER(H98)),ROUND(H98-F98,8),"")</f>
        <v/>
      </c>
      <c r="K98" s="247" t="str">
        <f>IF(AND(ISNUMBER(G98),ISNUMBER(I98)),ROUND(I98-G98,8),"")</f>
        <v/>
      </c>
    </row>
    <row r="99" ht="22" customHeight="1">
      <c r="B99" s="236" t="n"/>
      <c r="C99" s="237" t="n"/>
      <c r="D99" s="238" t="n"/>
      <c r="E99" s="239" t="n"/>
      <c r="F99" s="240" t="n"/>
      <c r="G99" s="241" t="n"/>
      <c r="H99" s="240" t="n"/>
      <c r="I99" s="241" t="n"/>
      <c r="J99" s="240" t="str">
        <f>IF(AND(ISNUMBER(F99),ISNUMBER(H99)),ROUND(H99-F99,8),"")</f>
        <v/>
      </c>
      <c r="K99" s="241" t="str">
        <f>IF(AND(ISNUMBER(G99),ISNUMBER(I99)),ROUND(I99-G99,8),"")</f>
        <v/>
      </c>
    </row>
    <row r="100" ht="22" customHeight="1">
      <c r="B100" s="242" t="n"/>
      <c r="C100" s="243" t="n"/>
      <c r="D100" s="244" t="n"/>
      <c r="E100" s="245" t="n"/>
      <c r="F100" s="246" t="n"/>
      <c r="G100" s="247" t="n"/>
      <c r="H100" s="246" t="n"/>
      <c r="I100" s="247" t="n"/>
      <c r="J100" s="246" t="str">
        <f>IF(AND(ISNUMBER(F100),ISNUMBER(H100)),ROUND(H100-F100,8),"")</f>
        <v/>
      </c>
      <c r="K100" s="247" t="str">
        <f>IF(AND(ISNUMBER(G100),ISNUMBER(I100)),ROUND(I100-G100,8),"")</f>
        <v/>
      </c>
    </row>
    <row r="101" ht="22" customHeight="1">
      <c r="B101" s="236" t="n"/>
      <c r="C101" s="237" t="n"/>
      <c r="D101" s="238" t="n"/>
      <c r="E101" s="239" t="n"/>
      <c r="F101" s="240" t="n"/>
      <c r="G101" s="241" t="n"/>
      <c r="H101" s="240" t="n"/>
      <c r="I101" s="241" t="n"/>
      <c r="J101" s="240" t="str">
        <f>IF(AND(ISNUMBER(F101),ISNUMBER(H101)),ROUND(H101-F101,8),"")</f>
        <v/>
      </c>
      <c r="K101" s="241" t="str">
        <f>IF(AND(ISNUMBER(G101),ISNUMBER(I101)),ROUND(I101-G101,8),"")</f>
        <v/>
      </c>
    </row>
    <row r="102" ht="22" customHeight="1">
      <c r="B102" s="242" t="n"/>
      <c r="C102" s="243" t="n"/>
      <c r="D102" s="244" t="n"/>
      <c r="E102" s="245" t="n"/>
      <c r="F102" s="246" t="n"/>
      <c r="G102" s="247" t="n"/>
      <c r="H102" s="246" t="n"/>
      <c r="I102" s="247" t="n"/>
      <c r="J102" s="246" t="str">
        <f>IF(AND(ISNUMBER(F102),ISNUMBER(H102)),ROUND(H102-F102,8),"")</f>
        <v/>
      </c>
      <c r="K102" s="247" t="str">
        <f>IF(AND(ISNUMBER(G102),ISNUMBER(I102)),ROUND(I102-G102,8),"")</f>
        <v/>
      </c>
    </row>
    <row r="103" ht="22" customHeight="1">
      <c r="B103" s="236" t="n"/>
      <c r="C103" s="237" t="n"/>
      <c r="D103" s="238" t="n"/>
      <c r="E103" s="239" t="n"/>
      <c r="F103" s="240" t="n"/>
      <c r="G103" s="241" t="n"/>
      <c r="H103" s="240" t="n"/>
      <c r="I103" s="241" t="n"/>
      <c r="J103" s="240" t="str">
        <f>IF(AND(ISNUMBER(F103),ISNUMBER(H103)),ROUND(H103-F103,8),"")</f>
        <v/>
      </c>
      <c r="K103" s="241" t="str">
        <f>IF(AND(ISNUMBER(G103),ISNUMBER(I103)),ROUND(I103-G103,8),"")</f>
        <v/>
      </c>
    </row>
    <row r="104" ht="22" customHeight="1">
      <c r="B104" s="242" t="n"/>
      <c r="C104" s="243" t="n"/>
      <c r="D104" s="244" t="n"/>
      <c r="E104" s="245" t="n"/>
      <c r="F104" s="246" t="n"/>
      <c r="G104" s="247" t="n"/>
      <c r="H104" s="246" t="n"/>
      <c r="I104" s="247" t="n"/>
      <c r="J104" s="246" t="str">
        <f>IF(AND(ISNUMBER(F104),ISNUMBER(H104)),ROUND(H104-F104,8),"")</f>
        <v/>
      </c>
      <c r="K104" s="247" t="str">
        <f>IF(AND(ISNUMBER(G104),ISNUMBER(I104)),ROUND(I104-G104,8),"")</f>
        <v/>
      </c>
    </row>
    <row r="105" ht="22" customHeight="1">
      <c r="B105" s="236" t="n"/>
      <c r="C105" s="237" t="n"/>
      <c r="D105" s="238" t="n"/>
      <c r="E105" s="239" t="n"/>
      <c r="F105" s="240" t="n"/>
      <c r="G105" s="241" t="n"/>
      <c r="H105" s="240" t="n"/>
      <c r="I105" s="241" t="n"/>
      <c r="J105" s="240" t="str">
        <f>IF(AND(ISNUMBER(F105),ISNUMBER(H105)),ROUND(H105-F105,8),"")</f>
        <v/>
      </c>
      <c r="K105" s="241" t="str">
        <f>IF(AND(ISNUMBER(G105),ISNUMBER(I105)),ROUND(I105-G105,8),"")</f>
        <v/>
      </c>
    </row>
    <row r="106" ht="22" customHeight="1">
      <c r="B106" s="242" t="n"/>
      <c r="C106" s="243" t="n"/>
      <c r="D106" s="244" t="n"/>
      <c r="E106" s="245" t="n"/>
      <c r="F106" s="246" t="n"/>
      <c r="G106" s="247" t="n"/>
      <c r="H106" s="246" t="n"/>
      <c r="I106" s="247" t="n"/>
      <c r="J106" s="246" t="str">
        <f>IF(AND(ISNUMBER(F106),ISNUMBER(H106)),ROUND(H106-F106,8),"")</f>
        <v/>
      </c>
      <c r="K106" s="247" t="str">
        <f>IF(AND(ISNUMBER(G106),ISNUMBER(I106)),ROUND(I106-G106,8),"")</f>
        <v/>
      </c>
    </row>
    <row r="107" ht="22" customHeight="1">
      <c r="B107" s="236" t="n"/>
      <c r="C107" s="237" t="n"/>
      <c r="D107" s="238" t="n"/>
      <c r="E107" s="239" t="n"/>
      <c r="F107" s="240" t="n"/>
      <c r="G107" s="241" t="n"/>
      <c r="H107" s="240" t="n"/>
      <c r="I107" s="241" t="n"/>
      <c r="J107" s="240" t="str">
        <f>IF(AND(ISNUMBER(F107),ISNUMBER(H107)),ROUND(H107-F107,8),"")</f>
        <v/>
      </c>
      <c r="K107" s="241" t="str">
        <f>IF(AND(ISNUMBER(G107),ISNUMBER(I107)),ROUND(I107-G107,8),"")</f>
        <v/>
      </c>
    </row>
    <row r="108" ht="22" customHeight="1">
      <c r="B108" s="242" t="n"/>
      <c r="C108" s="243" t="n"/>
      <c r="D108" s="244" t="n"/>
      <c r="E108" s="245" t="n"/>
      <c r="F108" s="246" t="n"/>
      <c r="G108" s="247" t="n"/>
      <c r="H108" s="246" t="n"/>
      <c r="I108" s="247" t="n"/>
      <c r="J108" s="246" t="str">
        <f>IF(AND(ISNUMBER(F108),ISNUMBER(H108)),ROUND(H108-F108,8),"")</f>
        <v/>
      </c>
      <c r="K108" s="247" t="str">
        <f>IF(AND(ISNUMBER(G108),ISNUMBER(I108)),ROUND(I108-G108,8),"")</f>
        <v/>
      </c>
    </row>
    <row r="109" ht="22" customHeight="1">
      <c r="B109" s="236" t="n"/>
      <c r="C109" s="237" t="n"/>
      <c r="D109" s="238" t="n"/>
      <c r="E109" s="239" t="n"/>
      <c r="F109" s="240" t="n"/>
      <c r="G109" s="241" t="n"/>
      <c r="H109" s="240" t="n"/>
      <c r="I109" s="241" t="n"/>
      <c r="J109" s="240" t="str">
        <f>IF(AND(ISNUMBER(F109),ISNUMBER(H109)),ROUND(H109-F109,8),"")</f>
        <v/>
      </c>
      <c r="K109" s="241" t="str">
        <f>IF(AND(ISNUMBER(G109),ISNUMBER(I109)),ROUND(I109-G109,8),"")</f>
        <v/>
      </c>
    </row>
    <row r="110" ht="22" customHeight="1">
      <c r="B110" s="242" t="n"/>
      <c r="C110" s="243" t="n"/>
      <c r="D110" s="244" t="n"/>
      <c r="E110" s="245" t="n"/>
      <c r="F110" s="246" t="n"/>
      <c r="G110" s="247" t="n"/>
      <c r="H110" s="246" t="n"/>
      <c r="I110" s="247" t="n"/>
      <c r="J110" s="246" t="str">
        <f>IF(AND(ISNUMBER(F110),ISNUMBER(H110)),ROUND(H110-F110,8),"")</f>
        <v/>
      </c>
      <c r="K110" s="247" t="str">
        <f>IF(AND(ISNUMBER(G110),ISNUMBER(I110)),ROUND(I110-G110,8),"")</f>
        <v/>
      </c>
    </row>
    <row r="111" ht="22" customHeight="1">
      <c r="B111" s="236" t="n"/>
      <c r="C111" s="237" t="n"/>
      <c r="D111" s="238" t="n"/>
      <c r="E111" s="239" t="n"/>
      <c r="F111" s="240" t="n"/>
      <c r="G111" s="241" t="n"/>
      <c r="H111" s="240" t="n"/>
      <c r="I111" s="241" t="n"/>
      <c r="J111" s="240" t="str">
        <f>IF(AND(ISNUMBER(F111),ISNUMBER(H111)),ROUND(H111-F111,8),"")</f>
        <v/>
      </c>
      <c r="K111" s="241" t="str">
        <f>IF(AND(ISNUMBER(G111),ISNUMBER(I111)),ROUND(I111-G111,8),"")</f>
        <v/>
      </c>
    </row>
    <row r="112" ht="22" customHeight="1">
      <c r="B112" s="242" t="n"/>
      <c r="C112" s="243" t="n"/>
      <c r="D112" s="244" t="n"/>
      <c r="E112" s="245" t="n"/>
      <c r="F112" s="246" t="n"/>
      <c r="G112" s="247" t="n"/>
      <c r="H112" s="246" t="n"/>
      <c r="I112" s="247" t="n"/>
      <c r="J112" s="246" t="str">
        <f>IF(AND(ISNUMBER(F112),ISNUMBER(H112)),ROUND(H112-F112,8),"")</f>
        <v/>
      </c>
      <c r="K112" s="247" t="str">
        <f>IF(AND(ISNUMBER(G112),ISNUMBER(I112)),ROUND(I112-G112,8),"")</f>
        <v/>
      </c>
    </row>
    <row r="113" ht="22" customHeight="1">
      <c r="B113" s="236" t="n"/>
      <c r="C113" s="237" t="n"/>
      <c r="D113" s="238" t="n"/>
      <c r="E113" s="239" t="n"/>
      <c r="F113" s="240" t="n"/>
      <c r="G113" s="241" t="n"/>
      <c r="H113" s="240" t="n"/>
      <c r="I113" s="241" t="n"/>
      <c r="J113" s="240" t="str">
        <f>IF(AND(ISNUMBER(F113),ISNUMBER(H113)),ROUND(H113-F113,8),"")</f>
        <v/>
      </c>
      <c r="K113" s="241" t="str">
        <f>IF(AND(ISNUMBER(G113),ISNUMBER(I113)),ROUND(I113-G113,8),"")</f>
        <v/>
      </c>
    </row>
    <row r="114" ht="22" customHeight="1">
      <c r="B114" s="242" t="n"/>
      <c r="C114" s="243" t="n"/>
      <c r="D114" s="244" t="n"/>
      <c r="E114" s="245" t="n"/>
      <c r="F114" s="246" t="n"/>
      <c r="G114" s="247" t="n"/>
      <c r="H114" s="246" t="n"/>
      <c r="I114" s="247" t="n"/>
      <c r="J114" s="246" t="str">
        <f>IF(AND(ISNUMBER(F114),ISNUMBER(H114)),ROUND(H114-F114,8),"")</f>
        <v/>
      </c>
      <c r="K114" s="247" t="str">
        <f>IF(AND(ISNUMBER(G114),ISNUMBER(I114)),ROUND(I114-G114,8),"")</f>
        <v/>
      </c>
    </row>
    <row r="115" ht="22" customHeight="1">
      <c r="B115" s="236" t="n"/>
      <c r="C115" s="237" t="n"/>
      <c r="D115" s="238" t="n"/>
      <c r="E115" s="239" t="n"/>
      <c r="F115" s="240" t="n"/>
      <c r="G115" s="241" t="n"/>
      <c r="H115" s="240" t="n"/>
      <c r="I115" s="241" t="n"/>
      <c r="J115" s="240" t="str">
        <f>IF(AND(ISNUMBER(F115),ISNUMBER(H115)),ROUND(H115-F115,8),"")</f>
        <v/>
      </c>
      <c r="K115" s="241" t="str">
        <f>IF(AND(ISNUMBER(G115),ISNUMBER(I115)),ROUND(I115-G115,8),"")</f>
        <v/>
      </c>
    </row>
    <row r="116" ht="22" customHeight="1">
      <c r="B116" s="242" t="n"/>
      <c r="C116" s="243" t="n"/>
      <c r="D116" s="244" t="n"/>
      <c r="E116" s="245" t="n"/>
      <c r="F116" s="246" t="n"/>
      <c r="G116" s="247" t="n"/>
      <c r="H116" s="246" t="n"/>
      <c r="I116" s="247" t="n"/>
      <c r="J116" s="246" t="str">
        <f>IF(AND(ISNUMBER(F116),ISNUMBER(H116)),ROUND(H116-F116,8),"")</f>
        <v/>
      </c>
      <c r="K116" s="247" t="str">
        <f>IF(AND(ISNUMBER(G116),ISNUMBER(I116)),ROUND(I116-G116,8),"")</f>
        <v/>
      </c>
    </row>
    <row r="117" ht="22" customHeight="1">
      <c r="B117" s="236" t="n"/>
      <c r="C117" s="237" t="n"/>
      <c r="D117" s="238" t="n"/>
      <c r="E117" s="239" t="n"/>
      <c r="F117" s="240" t="n"/>
      <c r="G117" s="241" t="n"/>
      <c r="H117" s="240" t="n"/>
      <c r="I117" s="241" t="n"/>
      <c r="J117" s="240" t="str">
        <f>IF(AND(ISNUMBER(F117),ISNUMBER(H117)),ROUND(H117-F117,8),"")</f>
        <v/>
      </c>
      <c r="K117" s="241" t="str">
        <f>IF(AND(ISNUMBER(G117),ISNUMBER(I117)),ROUND(I117-G117,8),"")</f>
        <v/>
      </c>
    </row>
    <row r="118" ht="22" customHeight="1">
      <c r="B118" s="242" t="n"/>
      <c r="C118" s="243" t="n"/>
      <c r="D118" s="244" t="n"/>
      <c r="E118" s="245" t="n"/>
      <c r="F118" s="246" t="n"/>
      <c r="G118" s="247" t="n"/>
      <c r="H118" s="246" t="n"/>
      <c r="I118" s="247" t="n"/>
      <c r="J118" s="246" t="str">
        <f>IF(AND(ISNUMBER(F118),ISNUMBER(H118)),ROUND(H118-F118,8),"")</f>
        <v/>
      </c>
      <c r="K118" s="247" t="str">
        <f>IF(AND(ISNUMBER(G118),ISNUMBER(I118)),ROUND(I118-G118,8),"")</f>
        <v/>
      </c>
    </row>
    <row r="119" ht="22" customHeight="1">
      <c r="B119" s="236" t="n"/>
      <c r="C119" s="237" t="n"/>
      <c r="D119" s="238" t="n"/>
      <c r="E119" s="239" t="n"/>
      <c r="F119" s="240" t="n"/>
      <c r="G119" s="241" t="n"/>
      <c r="H119" s="240" t="n"/>
      <c r="I119" s="241" t="n"/>
      <c r="J119" s="240" t="str">
        <f>IF(AND(ISNUMBER(F119),ISNUMBER(H119)),ROUND(H119-F119,8),"")</f>
        <v/>
      </c>
      <c r="K119" s="241" t="str">
        <f>IF(AND(ISNUMBER(G119),ISNUMBER(I119)),ROUND(I119-G119,8),"")</f>
        <v/>
      </c>
    </row>
    <row r="120" ht="22" customHeight="1">
      <c r="B120" s="242" t="n"/>
      <c r="C120" s="243" t="n"/>
      <c r="D120" s="244" t="n"/>
      <c r="E120" s="245" t="n"/>
      <c r="F120" s="246" t="n"/>
      <c r="G120" s="247" t="n"/>
      <c r="H120" s="246" t="n"/>
      <c r="I120" s="247" t="n"/>
      <c r="J120" s="246" t="str">
        <f>IF(AND(ISNUMBER(F120),ISNUMBER(H120)),ROUND(H120-F120,8),"")</f>
        <v/>
      </c>
      <c r="K120" s="247" t="str">
        <f>IF(AND(ISNUMBER(G120),ISNUMBER(I120)),ROUND(I120-G120,8),"")</f>
        <v/>
      </c>
    </row>
    <row r="121" ht="22" customHeight="1">
      <c r="B121" s="236" t="n"/>
      <c r="C121" s="237" t="n"/>
      <c r="D121" s="238" t="n"/>
      <c r="E121" s="239" t="n"/>
      <c r="F121" s="240" t="n"/>
      <c r="G121" s="241" t="n"/>
      <c r="H121" s="240" t="n"/>
      <c r="I121" s="241" t="n"/>
      <c r="J121" s="240" t="str">
        <f>IF(AND(ISNUMBER(F121),ISNUMBER(H121)),ROUND(H121-F121,8),"")</f>
        <v/>
      </c>
      <c r="K121" s="241" t="str">
        <f>IF(AND(ISNUMBER(G121),ISNUMBER(I121)),ROUND(I121-G121,8),"")</f>
        <v/>
      </c>
    </row>
    <row r="122" ht="22" customHeight="1">
      <c r="B122" s="242" t="n"/>
      <c r="C122" s="243" t="n"/>
      <c r="D122" s="244" t="n"/>
      <c r="E122" s="245" t="n"/>
      <c r="F122" s="246" t="n"/>
      <c r="G122" s="247" t="n"/>
      <c r="H122" s="246" t="n"/>
      <c r="I122" s="247" t="n"/>
      <c r="J122" s="246" t="str">
        <f>IF(AND(ISNUMBER(F122),ISNUMBER(H122)),ROUND(H122-F122,8),"")</f>
        <v/>
      </c>
      <c r="K122" s="247" t="str">
        <f>IF(AND(ISNUMBER(G122),ISNUMBER(I122)),ROUND(I122-G122,8),"")</f>
        <v/>
      </c>
    </row>
    <row r="123" ht="22" customHeight="1">
      <c r="B123" s="236" t="n"/>
      <c r="C123" s="237" t="n"/>
      <c r="D123" s="238" t="n"/>
      <c r="E123" s="239" t="n"/>
      <c r="F123" s="240" t="n"/>
      <c r="G123" s="241" t="n"/>
      <c r="H123" s="240" t="n"/>
      <c r="I123" s="241" t="n"/>
      <c r="J123" s="240" t="str">
        <f>IF(AND(ISNUMBER(F123),ISNUMBER(H123)),ROUND(H123-F123,8),"")</f>
        <v/>
      </c>
      <c r="K123" s="241" t="str">
        <f>IF(AND(ISNUMBER(G123),ISNUMBER(I123)),ROUND(I123-G123,8),"")</f>
        <v/>
      </c>
    </row>
    <row r="124" ht="22" customHeight="1">
      <c r="B124" s="242" t="n"/>
      <c r="C124" s="243" t="n"/>
      <c r="D124" s="244" t="n"/>
      <c r="E124" s="245" t="n"/>
      <c r="F124" s="246" t="n"/>
      <c r="G124" s="247" t="n"/>
      <c r="H124" s="246" t="n"/>
      <c r="I124" s="247" t="n"/>
      <c r="J124" s="246" t="str">
        <f>IF(AND(ISNUMBER(F124),ISNUMBER(H124)),ROUND(H124-F124,8),"")</f>
        <v/>
      </c>
      <c r="K124" s="247" t="str">
        <f>IF(AND(ISNUMBER(G124),ISNUMBER(I124)),ROUND(I124-G124,8),"")</f>
        <v/>
      </c>
    </row>
    <row r="125" ht="22" customHeight="1">
      <c r="B125" s="236" t="n"/>
      <c r="C125" s="237" t="n"/>
      <c r="D125" s="238" t="n"/>
      <c r="E125" s="239" t="n"/>
      <c r="F125" s="240" t="n"/>
      <c r="G125" s="241" t="n"/>
      <c r="H125" s="240" t="n"/>
      <c r="I125" s="241" t="n"/>
      <c r="J125" s="240" t="str">
        <f>IF(AND(ISNUMBER(F125),ISNUMBER(H125)),ROUND(H125-F125,8),"")</f>
        <v/>
      </c>
      <c r="K125" s="241" t="str">
        <f>IF(AND(ISNUMBER(G125),ISNUMBER(I125)),ROUND(I125-G125,8),"")</f>
        <v/>
      </c>
    </row>
    <row r="126" ht="22" customHeight="1">
      <c r="B126" s="242" t="n"/>
      <c r="C126" s="243" t="n"/>
      <c r="D126" s="244" t="n"/>
      <c r="E126" s="245" t="n"/>
      <c r="F126" s="246" t="n"/>
      <c r="G126" s="247" t="n"/>
      <c r="H126" s="246" t="n"/>
      <c r="I126" s="247" t="n"/>
      <c r="J126" s="246" t="str">
        <f>IF(AND(ISNUMBER(F126),ISNUMBER(H126)),ROUND(H126-F126,8),"")</f>
        <v/>
      </c>
      <c r="K126" s="247" t="str">
        <f>IF(AND(ISNUMBER(G126),ISNUMBER(I126)),ROUND(I126-G126,8),"")</f>
        <v/>
      </c>
    </row>
    <row r="127" ht="22" customHeight="1">
      <c r="B127" s="236" t="n"/>
      <c r="C127" s="237" t="n"/>
      <c r="D127" s="238" t="n"/>
      <c r="E127" s="239" t="n"/>
      <c r="F127" s="240" t="n"/>
      <c r="G127" s="241" t="n"/>
      <c r="H127" s="240" t="n"/>
      <c r="I127" s="241" t="n"/>
      <c r="J127" s="240" t="str">
        <f>IF(AND(ISNUMBER(F127),ISNUMBER(H127)),ROUND(H127-F127,8),"")</f>
        <v/>
      </c>
      <c r="K127" s="241" t="str">
        <f>IF(AND(ISNUMBER(G127),ISNUMBER(I127)),ROUND(I127-G127,8),"")</f>
        <v/>
      </c>
    </row>
    <row r="128" ht="22" customHeight="1">
      <c r="B128" s="242" t="n"/>
      <c r="C128" s="243" t="n"/>
      <c r="D128" s="244" t="n"/>
      <c r="E128" s="245" t="n"/>
      <c r="F128" s="246" t="n"/>
      <c r="G128" s="247" t="n"/>
      <c r="H128" s="246" t="n"/>
      <c r="I128" s="247" t="n"/>
      <c r="J128" s="246" t="str">
        <f>IF(AND(ISNUMBER(F128),ISNUMBER(H128)),ROUND(H128-F128,8),"")</f>
        <v/>
      </c>
      <c r="K128" s="247" t="str">
        <f>IF(AND(ISNUMBER(G128),ISNUMBER(I128)),ROUND(I128-G128,8),"")</f>
        <v/>
      </c>
    </row>
    <row r="129" ht="22" customHeight="1">
      <c r="B129" s="236" t="n"/>
      <c r="C129" s="237" t="n"/>
      <c r="D129" s="238" t="n"/>
      <c r="E129" s="239" t="n"/>
      <c r="F129" s="240" t="n"/>
      <c r="G129" s="241" t="n"/>
      <c r="H129" s="240" t="n"/>
      <c r="I129" s="241" t="n"/>
      <c r="J129" s="240" t="str">
        <f>IF(AND(ISNUMBER(F129),ISNUMBER(H129)),ROUND(H129-F129,8),"")</f>
        <v/>
      </c>
      <c r="K129" s="241" t="str">
        <f>IF(AND(ISNUMBER(G129),ISNUMBER(I129)),ROUND(I129-G129,8),"")</f>
        <v/>
      </c>
    </row>
    <row r="130" ht="22" customHeight="1">
      <c r="B130" s="242" t="n"/>
      <c r="C130" s="243" t="n"/>
      <c r="D130" s="244" t="n"/>
      <c r="E130" s="245" t="n"/>
      <c r="F130" s="246" t="n"/>
      <c r="G130" s="247" t="n"/>
      <c r="H130" s="246" t="n"/>
      <c r="I130" s="247" t="n"/>
      <c r="J130" s="246" t="str">
        <f>IF(AND(ISNUMBER(F130),ISNUMBER(H130)),ROUND(H130-F130,8),"")</f>
        <v/>
      </c>
      <c r="K130" s="247" t="str">
        <f>IF(AND(ISNUMBER(G130),ISNUMBER(I130)),ROUND(I130-G130,8),"")</f>
        <v/>
      </c>
    </row>
    <row r="131" ht="22" customHeight="1">
      <c r="B131" s="236" t="n"/>
      <c r="C131" s="237" t="n"/>
      <c r="D131" s="238" t="n"/>
      <c r="E131" s="239" t="n"/>
      <c r="F131" s="240" t="n"/>
      <c r="G131" s="241" t="n"/>
      <c r="H131" s="240" t="n"/>
      <c r="I131" s="241" t="n"/>
      <c r="J131" s="240" t="str">
        <f>IF(AND(ISNUMBER(F131),ISNUMBER(H131)),ROUND(H131-F131,8),"")</f>
        <v/>
      </c>
      <c r="K131" s="241" t="str">
        <f>IF(AND(ISNUMBER(G131),ISNUMBER(I131)),ROUND(I131-G131,8),"")</f>
        <v/>
      </c>
    </row>
    <row r="132" ht="22" customHeight="1">
      <c r="B132" s="242" t="n"/>
      <c r="C132" s="243" t="n"/>
      <c r="D132" s="244" t="n"/>
      <c r="E132" s="245" t="n"/>
      <c r="F132" s="246" t="n"/>
      <c r="G132" s="247" t="n"/>
      <c r="H132" s="246" t="n"/>
      <c r="I132" s="247" t="n"/>
      <c r="J132" s="246" t="str">
        <f>IF(AND(ISNUMBER(F132),ISNUMBER(H132)),ROUND(H132-F132,8),"")</f>
        <v/>
      </c>
      <c r="K132" s="247" t="str">
        <f>IF(AND(ISNUMBER(G132),ISNUMBER(I132)),ROUND(I132-G132,8),"")</f>
        <v/>
      </c>
    </row>
    <row r="133" ht="22" customHeight="1">
      <c r="B133" s="236" t="n"/>
      <c r="C133" s="237" t="n"/>
      <c r="D133" s="238" t="n"/>
      <c r="E133" s="239" t="n"/>
      <c r="F133" s="240" t="n"/>
      <c r="G133" s="241" t="n"/>
      <c r="H133" s="240" t="n"/>
      <c r="I133" s="241" t="n"/>
      <c r="J133" s="240" t="str">
        <f>IF(AND(ISNUMBER(F133),ISNUMBER(H133)),ROUND(H133-F133,8),"")</f>
        <v/>
      </c>
      <c r="K133" s="241" t="str">
        <f>IF(AND(ISNUMBER(G133),ISNUMBER(I133)),ROUND(I133-G133,8),"")</f>
        <v/>
      </c>
    </row>
    <row r="134" ht="22" customHeight="1">
      <c r="B134" s="242" t="n"/>
      <c r="C134" s="243" t="n"/>
      <c r="D134" s="244" t="n"/>
      <c r="E134" s="245" t="n"/>
      <c r="F134" s="246" t="n"/>
      <c r="G134" s="247" t="n"/>
      <c r="H134" s="246" t="n"/>
      <c r="I134" s="247" t="n"/>
      <c r="J134" s="246" t="str">
        <f>IF(AND(ISNUMBER(F134),ISNUMBER(H134)),ROUND(H134-F134,8),"")</f>
        <v/>
      </c>
      <c r="K134" s="247" t="str">
        <f>IF(AND(ISNUMBER(G134),ISNUMBER(I134)),ROUND(I134-G134,8),"")</f>
        <v/>
      </c>
    </row>
    <row r="135" ht="22" customHeight="1">
      <c r="B135" s="236" t="n"/>
      <c r="C135" s="237" t="n"/>
      <c r="D135" s="238" t="n"/>
      <c r="E135" s="239" t="n"/>
      <c r="F135" s="240" t="n"/>
      <c r="G135" s="241" t="n"/>
      <c r="H135" s="240" t="n"/>
      <c r="I135" s="241" t="n"/>
      <c r="J135" s="240" t="str">
        <f>IF(AND(ISNUMBER(F135),ISNUMBER(H135)),ROUND(H135-F135,8),"")</f>
        <v/>
      </c>
      <c r="K135" s="241" t="str">
        <f>IF(AND(ISNUMBER(G135),ISNUMBER(I135)),ROUND(I135-G135,8),"")</f>
        <v/>
      </c>
    </row>
    <row r="136" ht="22" customHeight="1">
      <c r="B136" s="242" t="n"/>
      <c r="C136" s="243" t="n"/>
      <c r="D136" s="244" t="n"/>
      <c r="E136" s="245" t="n"/>
      <c r="F136" s="246" t="n"/>
      <c r="G136" s="247" t="n"/>
      <c r="H136" s="246" t="n"/>
      <c r="I136" s="247" t="n"/>
      <c r="J136" s="246" t="str">
        <f>IF(AND(ISNUMBER(F136),ISNUMBER(H136)),ROUND(H136-F136,8),"")</f>
        <v/>
      </c>
      <c r="K136" s="247" t="str">
        <f>IF(AND(ISNUMBER(G136),ISNUMBER(I136)),ROUND(I136-G136,8),"")</f>
        <v/>
      </c>
    </row>
    <row r="137" ht="22" customHeight="1">
      <c r="B137" s="236" t="n"/>
      <c r="C137" s="237" t="n"/>
      <c r="D137" s="238" t="n"/>
      <c r="E137" s="239" t="n"/>
      <c r="F137" s="240" t="n"/>
      <c r="G137" s="241" t="n"/>
      <c r="H137" s="240" t="n"/>
      <c r="I137" s="241" t="n"/>
      <c r="J137" s="240" t="str">
        <f>IF(AND(ISNUMBER(F137),ISNUMBER(H137)),ROUND(H137-F137,8),"")</f>
        <v/>
      </c>
      <c r="K137" s="241" t="str">
        <f>IF(AND(ISNUMBER(G137),ISNUMBER(I137)),ROUND(I137-G137,8),"")</f>
        <v/>
      </c>
    </row>
    <row r="138" ht="22" customHeight="1">
      <c r="B138" s="242" t="n"/>
      <c r="C138" s="243" t="n"/>
      <c r="D138" s="244" t="n"/>
      <c r="E138" s="245" t="n"/>
      <c r="F138" s="246" t="n"/>
      <c r="G138" s="247" t="n"/>
      <c r="H138" s="246" t="n"/>
      <c r="I138" s="247" t="n"/>
      <c r="J138" s="246" t="str">
        <f>IF(AND(ISNUMBER(F138),ISNUMBER(H138)),ROUND(H138-F138,8),"")</f>
        <v/>
      </c>
      <c r="K138" s="247" t="str">
        <f>IF(AND(ISNUMBER(G138),ISNUMBER(I138)),ROUND(I138-G138,8),"")</f>
        <v/>
      </c>
    </row>
    <row r="139" ht="22" customHeight="1">
      <c r="B139" s="236" t="n"/>
      <c r="C139" s="237" t="n"/>
      <c r="D139" s="238" t="n"/>
      <c r="E139" s="239" t="n"/>
      <c r="F139" s="240" t="n"/>
      <c r="G139" s="241" t="n"/>
      <c r="H139" s="240" t="n"/>
      <c r="I139" s="241" t="n"/>
      <c r="J139" s="240" t="str">
        <f>IF(AND(ISNUMBER(F139),ISNUMBER(H139)),ROUND(H139-F139,8),"")</f>
        <v/>
      </c>
      <c r="K139" s="241" t="str">
        <f>IF(AND(ISNUMBER(G139),ISNUMBER(I139)),ROUND(I139-G139,8),"")</f>
        <v/>
      </c>
    </row>
    <row r="140" ht="22" customHeight="1">
      <c r="B140" s="242" t="n"/>
      <c r="C140" s="243" t="n"/>
      <c r="D140" s="244" t="n"/>
      <c r="E140" s="245" t="n"/>
      <c r="F140" s="246" t="n"/>
      <c r="G140" s="247" t="n"/>
      <c r="H140" s="246" t="n"/>
      <c r="I140" s="247" t="n"/>
      <c r="J140" s="246" t="str">
        <f>IF(AND(ISNUMBER(F140),ISNUMBER(H140)),ROUND(H140-F140,8),"")</f>
        <v/>
      </c>
      <c r="K140" s="247" t="str">
        <f>IF(AND(ISNUMBER(G140),ISNUMBER(I140)),ROUND(I140-G140,8),"")</f>
        <v/>
      </c>
    </row>
    <row r="141" ht="22" customHeight="1">
      <c r="B141" s="236" t="n"/>
      <c r="C141" s="237" t="n"/>
      <c r="D141" s="238" t="n"/>
      <c r="E141" s="239" t="n"/>
      <c r="F141" s="240" t="n"/>
      <c r="G141" s="241" t="n"/>
      <c r="H141" s="240" t="n"/>
      <c r="I141" s="241" t="n"/>
      <c r="J141" s="240" t="str">
        <f>IF(AND(ISNUMBER(F141),ISNUMBER(H141)),ROUND(H141-F141,8),"")</f>
        <v/>
      </c>
      <c r="K141" s="241" t="str">
        <f>IF(AND(ISNUMBER(G141),ISNUMBER(I141)),ROUND(I141-G141,8),"")</f>
        <v/>
      </c>
    </row>
    <row r="142" ht="22" customHeight="1">
      <c r="B142" s="242" t="n"/>
      <c r="C142" s="243" t="n"/>
      <c r="D142" s="244" t="n"/>
      <c r="E142" s="245" t="n"/>
      <c r="F142" s="246" t="n"/>
      <c r="G142" s="247" t="n"/>
      <c r="H142" s="246" t="n"/>
      <c r="I142" s="247" t="n"/>
      <c r="J142" s="246" t="str">
        <f>IF(AND(ISNUMBER(F142),ISNUMBER(H142)),ROUND(H142-F142,8),"")</f>
        <v/>
      </c>
      <c r="K142" s="247" t="str">
        <f>IF(AND(ISNUMBER(G142),ISNUMBER(I142)),ROUND(I142-G142,8),"")</f>
        <v/>
      </c>
    </row>
    <row r="143" ht="22" customHeight="1">
      <c r="B143" s="236" t="n"/>
      <c r="C143" s="237" t="n"/>
      <c r="D143" s="238" t="n"/>
      <c r="E143" s="239" t="n"/>
      <c r="F143" s="240" t="n"/>
      <c r="G143" s="241" t="n"/>
      <c r="H143" s="240" t="n"/>
      <c r="I143" s="241" t="n"/>
      <c r="J143" s="240" t="str">
        <f>IF(AND(ISNUMBER(F143),ISNUMBER(H143)),ROUND(H143-F143,8),"")</f>
        <v/>
      </c>
      <c r="K143" s="241" t="str">
        <f>IF(AND(ISNUMBER(G143),ISNUMBER(I143)),ROUND(I143-G143,8),"")</f>
        <v/>
      </c>
    </row>
    <row r="144" ht="22" customHeight="1">
      <c r="B144" s="242" t="n"/>
      <c r="C144" s="243" t="n"/>
      <c r="D144" s="244" t="n"/>
      <c r="E144" s="245" t="n"/>
      <c r="F144" s="246" t="n"/>
      <c r="G144" s="247" t="n"/>
      <c r="H144" s="246" t="n"/>
      <c r="I144" s="247" t="n"/>
      <c r="J144" s="246" t="str">
        <f>IF(AND(ISNUMBER(F144),ISNUMBER(H144)),ROUND(H144-F144,8),"")</f>
        <v/>
      </c>
      <c r="K144" s="247" t="str">
        <f>IF(AND(ISNUMBER(G144),ISNUMBER(I144)),ROUND(I144-G144,8),"")</f>
        <v/>
      </c>
    </row>
    <row r="145" ht="22" customHeight="1">
      <c r="B145" s="236" t="n"/>
      <c r="C145" s="237" t="n"/>
      <c r="D145" s="238" t="n"/>
      <c r="E145" s="239" t="n"/>
      <c r="F145" s="240" t="n"/>
      <c r="G145" s="241" t="n"/>
      <c r="H145" s="240" t="n"/>
      <c r="I145" s="241" t="n"/>
      <c r="J145" s="240" t="str">
        <f>IF(AND(ISNUMBER(F145),ISNUMBER(H145)),ROUND(H145-F145,8),"")</f>
        <v/>
      </c>
      <c r="K145" s="241" t="str">
        <f>IF(AND(ISNUMBER(G145),ISNUMBER(I145)),ROUND(I145-G145,8),"")</f>
        <v/>
      </c>
    </row>
    <row r="146" ht="22" customHeight="1">
      <c r="B146" s="242" t="n"/>
      <c r="C146" s="243" t="n"/>
      <c r="D146" s="244" t="n"/>
      <c r="E146" s="245" t="n"/>
      <c r="F146" s="246" t="n"/>
      <c r="G146" s="247" t="n"/>
      <c r="H146" s="246" t="n"/>
      <c r="I146" s="247" t="n"/>
      <c r="J146" s="246" t="str">
        <f>IF(AND(ISNUMBER(F146),ISNUMBER(H146)),ROUND(H146-F146,8),"")</f>
        <v/>
      </c>
      <c r="K146" s="247" t="str">
        <f>IF(AND(ISNUMBER(G146),ISNUMBER(I146)),ROUND(I146-G146,8),"")</f>
        <v/>
      </c>
    </row>
    <row r="147" ht="22" customHeight="1">
      <c r="B147" s="236" t="n"/>
      <c r="C147" s="237" t="n"/>
      <c r="D147" s="238" t="n"/>
      <c r="E147" s="239" t="n"/>
      <c r="F147" s="240" t="n"/>
      <c r="G147" s="241" t="n"/>
      <c r="H147" s="240" t="n"/>
      <c r="I147" s="241" t="n"/>
      <c r="J147" s="240" t="str">
        <f>IF(AND(ISNUMBER(F147),ISNUMBER(H147)),ROUND(H147-F147,8),"")</f>
        <v/>
      </c>
      <c r="K147" s="241" t="str">
        <f>IF(AND(ISNUMBER(G147),ISNUMBER(I147)),ROUND(I147-G147,8),"")</f>
        <v/>
      </c>
    </row>
    <row r="148" ht="22" customHeight="1">
      <c r="B148" s="242" t="n"/>
      <c r="C148" s="243" t="n"/>
      <c r="D148" s="244" t="n"/>
      <c r="E148" s="245" t="n"/>
      <c r="F148" s="246" t="n"/>
      <c r="G148" s="247" t="n"/>
      <c r="H148" s="246" t="n"/>
      <c r="I148" s="247" t="n"/>
      <c r="J148" s="246" t="str">
        <f>IF(AND(ISNUMBER(F148),ISNUMBER(H148)),ROUND(H148-F148,8),"")</f>
        <v/>
      </c>
      <c r="K148" s="247" t="str">
        <f>IF(AND(ISNUMBER(G148),ISNUMBER(I148)),ROUND(I148-G148,8),"")</f>
        <v/>
      </c>
    </row>
    <row r="149" ht="22" customHeight="1">
      <c r="B149" s="236" t="n"/>
      <c r="C149" s="237" t="n"/>
      <c r="D149" s="238" t="n"/>
      <c r="E149" s="239" t="n"/>
      <c r="F149" s="240" t="n"/>
      <c r="G149" s="241" t="n"/>
      <c r="H149" s="240" t="n"/>
      <c r="I149" s="241" t="n"/>
      <c r="J149" s="240" t="str">
        <f>IF(AND(ISNUMBER(F149),ISNUMBER(H149)),ROUND(H149-F149,8),"")</f>
        <v/>
      </c>
      <c r="K149" s="241" t="str">
        <f>IF(AND(ISNUMBER(G149),ISNUMBER(I149)),ROUND(I149-G149,8),"")</f>
        <v/>
      </c>
    </row>
    <row r="150" ht="22" customHeight="1">
      <c r="B150" s="242" t="n"/>
      <c r="C150" s="243" t="n"/>
      <c r="D150" s="244" t="n"/>
      <c r="E150" s="245" t="n"/>
      <c r="F150" s="246" t="n"/>
      <c r="G150" s="247" t="n"/>
      <c r="H150" s="246" t="n"/>
      <c r="I150" s="247" t="n"/>
      <c r="J150" s="246" t="str">
        <f>IF(AND(ISNUMBER(F150),ISNUMBER(H150)),ROUND(H150-F150,8),"")</f>
        <v/>
      </c>
      <c r="K150" s="247" t="str">
        <f>IF(AND(ISNUMBER(G150),ISNUMBER(I150)),ROUND(I150-G150,8),"")</f>
        <v/>
      </c>
    </row>
    <row r="151" ht="22" customHeight="1">
      <c r="B151" s="236" t="n"/>
      <c r="C151" s="237" t="n"/>
      <c r="D151" s="238" t="n"/>
      <c r="E151" s="239" t="n"/>
      <c r="F151" s="240" t="n"/>
      <c r="G151" s="241" t="n"/>
      <c r="H151" s="240" t="n"/>
      <c r="I151" s="241" t="n"/>
      <c r="J151" s="240" t="str">
        <f>IF(AND(ISNUMBER(F151),ISNUMBER(H151)),ROUND(H151-F151,8),"")</f>
        <v/>
      </c>
      <c r="K151" s="241" t="str">
        <f>IF(AND(ISNUMBER(G151),ISNUMBER(I151)),ROUND(I151-G151,8),"")</f>
        <v/>
      </c>
    </row>
    <row r="152" ht="22" customHeight="1">
      <c r="B152" s="242" t="n"/>
      <c r="C152" s="243" t="n"/>
      <c r="D152" s="244" t="n"/>
      <c r="E152" s="245" t="n"/>
      <c r="F152" s="246" t="n"/>
      <c r="G152" s="247" t="n"/>
      <c r="H152" s="246" t="n"/>
      <c r="I152" s="247" t="n"/>
      <c r="J152" s="246" t="str">
        <f>IF(AND(ISNUMBER(F152),ISNUMBER(H152)),ROUND(H152-F152,8),"")</f>
        <v/>
      </c>
      <c r="K152" s="247" t="str">
        <f>IF(AND(ISNUMBER(G152),ISNUMBER(I152)),ROUND(I152-G152,8),"")</f>
        <v/>
      </c>
    </row>
    <row r="153" ht="22" customHeight="1">
      <c r="B153" s="236" t="n"/>
      <c r="C153" s="237" t="n"/>
      <c r="D153" s="238" t="n"/>
      <c r="E153" s="239" t="n"/>
      <c r="F153" s="240" t="n"/>
      <c r="G153" s="241" t="n"/>
      <c r="H153" s="240" t="n"/>
      <c r="I153" s="241" t="n"/>
      <c r="J153" s="240" t="str">
        <f>IF(AND(ISNUMBER(F153),ISNUMBER(H153)),ROUND(H153-F153,8),"")</f>
        <v/>
      </c>
      <c r="K153" s="241" t="str">
        <f>IF(AND(ISNUMBER(G153),ISNUMBER(I153)),ROUND(I153-G153,8),"")</f>
        <v/>
      </c>
    </row>
    <row r="154" ht="22" customHeight="1">
      <c r="B154" s="242" t="n"/>
      <c r="C154" s="243" t="n"/>
      <c r="D154" s="244" t="n"/>
      <c r="E154" s="245" t="n"/>
      <c r="F154" s="246" t="n"/>
      <c r="G154" s="247" t="n"/>
      <c r="H154" s="246" t="n"/>
      <c r="I154" s="247" t="n"/>
      <c r="J154" s="246" t="str">
        <f>IF(AND(ISNUMBER(F154),ISNUMBER(H154)),ROUND(H154-F154,8),"")</f>
        <v/>
      </c>
      <c r="K154" s="247" t="str">
        <f>IF(AND(ISNUMBER(G154),ISNUMBER(I154)),ROUND(I154-G154,8),"")</f>
        <v/>
      </c>
    </row>
    <row r="155" ht="22" customHeight="1">
      <c r="B155" s="236" t="n"/>
      <c r="C155" s="237" t="n"/>
      <c r="D155" s="238" t="n"/>
      <c r="E155" s="239" t="n"/>
      <c r="F155" s="240" t="n"/>
      <c r="G155" s="241" t="n"/>
      <c r="H155" s="240" t="n"/>
      <c r="I155" s="241" t="n"/>
      <c r="J155" s="240" t="str">
        <f>IF(AND(ISNUMBER(F155),ISNUMBER(H155)),ROUND(H155-F155,8),"")</f>
        <v/>
      </c>
      <c r="K155" s="241" t="str">
        <f>IF(AND(ISNUMBER(G155),ISNUMBER(I155)),ROUND(I155-G155,8),"")</f>
        <v/>
      </c>
    </row>
    <row r="156" ht="22" customHeight="1">
      <c r="B156" s="242" t="n"/>
      <c r="C156" s="243" t="n"/>
      <c r="D156" s="244" t="n"/>
      <c r="E156" s="245" t="n"/>
      <c r="F156" s="246" t="n"/>
      <c r="G156" s="247" t="n"/>
      <c r="H156" s="246" t="n"/>
      <c r="I156" s="247" t="n"/>
      <c r="J156" s="246" t="str">
        <f>IF(AND(ISNUMBER(F156),ISNUMBER(H156)),ROUND(H156-F156,8),"")</f>
        <v/>
      </c>
      <c r="K156" s="247" t="str">
        <f>IF(AND(ISNUMBER(G156),ISNUMBER(I156)),ROUND(I156-G156,8),"")</f>
        <v/>
      </c>
    </row>
    <row r="157" ht="22" customHeight="1">
      <c r="B157" s="236" t="n"/>
      <c r="C157" s="237" t="n"/>
      <c r="D157" s="238" t="n"/>
      <c r="E157" s="239" t="n"/>
      <c r="F157" s="240" t="n"/>
      <c r="G157" s="241" t="n"/>
      <c r="H157" s="240" t="n"/>
      <c r="I157" s="241" t="n"/>
      <c r="J157" s="240" t="str">
        <f>IF(AND(ISNUMBER(F157),ISNUMBER(H157)),ROUND(H157-F157,8),"")</f>
        <v/>
      </c>
      <c r="K157" s="241" t="str">
        <f>IF(AND(ISNUMBER(G157),ISNUMBER(I157)),ROUND(I157-G157,8),"")</f>
        <v/>
      </c>
    </row>
    <row r="158" ht="22" customHeight="1">
      <c r="B158" s="242" t="n"/>
      <c r="C158" s="243" t="n"/>
      <c r="D158" s="244" t="n"/>
      <c r="E158" s="245" t="n"/>
      <c r="F158" s="246" t="n"/>
      <c r="G158" s="247" t="n"/>
      <c r="H158" s="246" t="n"/>
      <c r="I158" s="247" t="n"/>
      <c r="J158" s="246" t="str">
        <f>IF(AND(ISNUMBER(F158),ISNUMBER(H158)),ROUND(H158-F158,8),"")</f>
        <v/>
      </c>
      <c r="K158" s="247" t="str">
        <f>IF(AND(ISNUMBER(G158),ISNUMBER(I158)),ROUND(I158-G158,8),"")</f>
        <v/>
      </c>
    </row>
    <row r="159" ht="22" customHeight="1">
      <c r="B159" s="236" t="n"/>
      <c r="C159" s="237" t="n"/>
      <c r="D159" s="238" t="n"/>
      <c r="E159" s="239" t="n"/>
      <c r="F159" s="240" t="n"/>
      <c r="G159" s="241" t="n"/>
      <c r="H159" s="240" t="n"/>
      <c r="I159" s="241" t="n"/>
      <c r="J159" s="240" t="str">
        <f>IF(AND(ISNUMBER(F159),ISNUMBER(H159)),ROUND(H159-F159,8),"")</f>
        <v/>
      </c>
      <c r="K159" s="241" t="str">
        <f>IF(AND(ISNUMBER(G159),ISNUMBER(I159)),ROUND(I159-G159,8),"")</f>
        <v/>
      </c>
    </row>
    <row r="160" ht="22" customHeight="1">
      <c r="B160" s="242" t="n"/>
      <c r="C160" s="243" t="n"/>
      <c r="D160" s="244" t="n"/>
      <c r="E160" s="245" t="n"/>
      <c r="F160" s="246" t="n"/>
      <c r="G160" s="247" t="n"/>
      <c r="H160" s="246" t="n"/>
      <c r="I160" s="247" t="n"/>
      <c r="J160" s="246" t="str">
        <f>IF(AND(ISNUMBER(F160),ISNUMBER(H160)),ROUND(H160-F160,8),"")</f>
        <v/>
      </c>
      <c r="K160" s="247" t="str">
        <f>IF(AND(ISNUMBER(G160),ISNUMBER(I160)),ROUND(I160-G160,8),"")</f>
        <v/>
      </c>
    </row>
    <row r="161" ht="22" customHeight="1">
      <c r="B161" s="236" t="n"/>
      <c r="C161" s="237" t="n"/>
      <c r="D161" s="238" t="n"/>
      <c r="E161" s="239" t="n"/>
      <c r="F161" s="240" t="n"/>
      <c r="G161" s="241" t="n"/>
      <c r="H161" s="240" t="n"/>
      <c r="I161" s="241" t="n"/>
      <c r="J161" s="240" t="str">
        <f>IF(AND(ISNUMBER(F161),ISNUMBER(H161)),ROUND(H161-F161,8),"")</f>
        <v/>
      </c>
      <c r="K161" s="241" t="str">
        <f>IF(AND(ISNUMBER(G161),ISNUMBER(I161)),ROUND(I161-G161,8),"")</f>
        <v/>
      </c>
    </row>
    <row r="162" ht="22" customHeight="1">
      <c r="B162" s="242" t="n"/>
      <c r="C162" s="243" t="n"/>
      <c r="D162" s="244" t="n"/>
      <c r="E162" s="245" t="n"/>
      <c r="F162" s="246" t="n"/>
      <c r="G162" s="247" t="n"/>
      <c r="H162" s="246" t="n"/>
      <c r="I162" s="247" t="n"/>
      <c r="J162" s="246" t="str">
        <f>IF(AND(ISNUMBER(F162),ISNUMBER(H162)),ROUND(H162-F162,8),"")</f>
        <v/>
      </c>
      <c r="K162" s="247" t="str">
        <f>IF(AND(ISNUMBER(G162),ISNUMBER(I162)),ROUND(I162-G162,8),"")</f>
        <v/>
      </c>
    </row>
    <row r="163" ht="22" customHeight="1">
      <c r="B163" s="236" t="n"/>
      <c r="C163" s="237" t="n"/>
      <c r="D163" s="238" t="n"/>
      <c r="E163" s="239" t="n"/>
      <c r="F163" s="240" t="n"/>
      <c r="G163" s="241" t="n"/>
      <c r="H163" s="240" t="n"/>
      <c r="I163" s="241" t="n"/>
      <c r="J163" s="240" t="str">
        <f>IF(AND(ISNUMBER(F163),ISNUMBER(H163)),ROUND(H163-F163,8),"")</f>
        <v/>
      </c>
      <c r="K163" s="241" t="str">
        <f>IF(AND(ISNUMBER(G163),ISNUMBER(I163)),ROUND(I163-G163,8),"")</f>
        <v/>
      </c>
    </row>
    <row r="164" ht="22" customHeight="1">
      <c r="B164" s="242" t="n"/>
      <c r="C164" s="243" t="n"/>
      <c r="D164" s="244" t="n"/>
      <c r="E164" s="245" t="n"/>
      <c r="F164" s="246" t="n"/>
      <c r="G164" s="247" t="n"/>
      <c r="H164" s="246" t="n"/>
      <c r="I164" s="247" t="n"/>
      <c r="J164" s="246" t="str">
        <f>IF(AND(ISNUMBER(F164),ISNUMBER(H164)),ROUND(H164-F164,8),"")</f>
        <v/>
      </c>
      <c r="K164" s="247" t="str">
        <f>IF(AND(ISNUMBER(G164),ISNUMBER(I164)),ROUND(I164-G164,8),"")</f>
        <v/>
      </c>
    </row>
    <row r="165" ht="22" customHeight="1">
      <c r="B165" s="236" t="n"/>
      <c r="C165" s="237" t="n"/>
      <c r="D165" s="238" t="n"/>
      <c r="E165" s="239" t="n"/>
      <c r="F165" s="240" t="n"/>
      <c r="G165" s="241" t="n"/>
      <c r="H165" s="240" t="n"/>
      <c r="I165" s="241" t="n"/>
      <c r="J165" s="240" t="str">
        <f>IF(AND(ISNUMBER(F165),ISNUMBER(H165)),ROUND(H165-F165,8),"")</f>
        <v/>
      </c>
      <c r="K165" s="241" t="str">
        <f>IF(AND(ISNUMBER(G165),ISNUMBER(I165)),ROUND(I165-G165,8),"")</f>
        <v/>
      </c>
    </row>
    <row r="166" ht="22" customHeight="1">
      <c r="B166" s="242" t="n"/>
      <c r="C166" s="243" t="n"/>
      <c r="D166" s="244" t="n"/>
      <c r="E166" s="245" t="n"/>
      <c r="F166" s="246" t="n"/>
      <c r="G166" s="247" t="n"/>
      <c r="H166" s="246" t="n"/>
      <c r="I166" s="247" t="n"/>
      <c r="J166" s="246" t="str">
        <f>IF(AND(ISNUMBER(F166),ISNUMBER(H166)),ROUND(H166-F166,8),"")</f>
        <v/>
      </c>
      <c r="K166" s="247" t="str">
        <f>IF(AND(ISNUMBER(G166),ISNUMBER(I166)),ROUND(I166-G166,8),"")</f>
        <v/>
      </c>
    </row>
    <row r="167" ht="22" customHeight="1">
      <c r="B167" s="236" t="n"/>
      <c r="C167" s="237" t="n"/>
      <c r="D167" s="238" t="n"/>
      <c r="E167" s="239" t="n"/>
      <c r="F167" s="240" t="n"/>
      <c r="G167" s="241" t="n"/>
      <c r="H167" s="240" t="n"/>
      <c r="I167" s="241" t="n"/>
      <c r="J167" s="240" t="str">
        <f>IF(AND(ISNUMBER(F167),ISNUMBER(H167)),ROUND(H167-F167,8),"")</f>
        <v/>
      </c>
      <c r="K167" s="241" t="str">
        <f>IF(AND(ISNUMBER(G167),ISNUMBER(I167)),ROUND(I167-G167,8),"")</f>
        <v/>
      </c>
    </row>
    <row r="168" ht="22" customHeight="1">
      <c r="B168" s="242" t="n"/>
      <c r="C168" s="243" t="n"/>
      <c r="D168" s="244" t="n"/>
      <c r="E168" s="245" t="n"/>
      <c r="F168" s="246" t="n"/>
      <c r="G168" s="247" t="n"/>
      <c r="H168" s="246" t="n"/>
      <c r="I168" s="247" t="n"/>
      <c r="J168" s="246" t="str">
        <f>IF(AND(ISNUMBER(F168),ISNUMBER(H168)),ROUND(H168-F168,8),"")</f>
        <v/>
      </c>
      <c r="K168" s="247" t="str">
        <f>IF(AND(ISNUMBER(G168),ISNUMBER(I168)),ROUND(I168-G168,8),"")</f>
        <v/>
      </c>
    </row>
    <row r="169" ht="22" customHeight="1">
      <c r="B169" s="236" t="n"/>
      <c r="C169" s="237" t="n"/>
      <c r="D169" s="238" t="n"/>
      <c r="E169" s="239" t="n"/>
      <c r="F169" s="240" t="n"/>
      <c r="G169" s="241" t="n"/>
      <c r="H169" s="240" t="n"/>
      <c r="I169" s="241" t="n"/>
      <c r="J169" s="240" t="str">
        <f>IF(AND(ISNUMBER(F169),ISNUMBER(H169)),ROUND(H169-F169,8),"")</f>
        <v/>
      </c>
      <c r="K169" s="241" t="str">
        <f>IF(AND(ISNUMBER(G169),ISNUMBER(I169)),ROUND(I169-G169,8),"")</f>
        <v/>
      </c>
    </row>
    <row r="170" ht="22" customHeight="1">
      <c r="B170" s="242" t="n"/>
      <c r="C170" s="243" t="n"/>
      <c r="D170" s="244" t="n"/>
      <c r="E170" s="245" t="n"/>
      <c r="F170" s="246" t="n"/>
      <c r="G170" s="247" t="n"/>
      <c r="H170" s="246" t="n"/>
      <c r="I170" s="247" t="n"/>
      <c r="J170" s="246" t="str">
        <f>IF(AND(ISNUMBER(F170),ISNUMBER(H170)),ROUND(H170-F170,8),"")</f>
        <v/>
      </c>
      <c r="K170" s="247" t="str">
        <f>IF(AND(ISNUMBER(G170),ISNUMBER(I170)),ROUND(I170-G170,8),"")</f>
        <v/>
      </c>
    </row>
    <row r="171" ht="22" customHeight="1">
      <c r="B171" s="236" t="n"/>
      <c r="C171" s="237" t="n"/>
      <c r="D171" s="238" t="n"/>
      <c r="E171" s="239" t="n"/>
      <c r="F171" s="240" t="n"/>
      <c r="G171" s="241" t="n"/>
      <c r="H171" s="240" t="n"/>
      <c r="I171" s="241" t="n"/>
      <c r="J171" s="240" t="str">
        <f>IF(AND(ISNUMBER(F171),ISNUMBER(H171)),ROUND(H171-F171,8),"")</f>
        <v/>
      </c>
      <c r="K171" s="241" t="str">
        <f>IF(AND(ISNUMBER(G171),ISNUMBER(I171)),ROUND(I171-G171,8),"")</f>
        <v/>
      </c>
    </row>
    <row r="172" ht="22" customHeight="1">
      <c r="B172" s="242" t="n"/>
      <c r="C172" s="243" t="n"/>
      <c r="D172" s="244" t="n"/>
      <c r="E172" s="245" t="n"/>
      <c r="F172" s="246" t="n"/>
      <c r="G172" s="247" t="n"/>
      <c r="H172" s="246" t="n"/>
      <c r="I172" s="247" t="n"/>
      <c r="J172" s="246" t="str">
        <f>IF(AND(ISNUMBER(F172),ISNUMBER(H172)),ROUND(H172-F172,8),"")</f>
        <v/>
      </c>
      <c r="K172" s="247" t="str">
        <f>IF(AND(ISNUMBER(G172),ISNUMBER(I172)),ROUND(I172-G172,8),"")</f>
        <v/>
      </c>
    </row>
    <row r="173" ht="22" customHeight="1">
      <c r="B173" s="236" t="n"/>
      <c r="C173" s="237" t="n"/>
      <c r="D173" s="238" t="n"/>
      <c r="E173" s="239" t="n"/>
      <c r="F173" s="240" t="n"/>
      <c r="G173" s="241" t="n"/>
      <c r="H173" s="240" t="n"/>
      <c r="I173" s="241" t="n"/>
      <c r="J173" s="240" t="str">
        <f>IF(AND(ISNUMBER(F173),ISNUMBER(H173)),ROUND(H173-F173,8),"")</f>
        <v/>
      </c>
      <c r="K173" s="241" t="str">
        <f>IF(AND(ISNUMBER(G173),ISNUMBER(I173)),ROUND(I173-G173,8),"")</f>
        <v/>
      </c>
    </row>
    <row r="174" ht="22" customHeight="1">
      <c r="B174" s="242" t="n"/>
      <c r="C174" s="243" t="n"/>
      <c r="D174" s="244" t="n"/>
      <c r="E174" s="245" t="n"/>
      <c r="F174" s="246" t="n"/>
      <c r="G174" s="247" t="n"/>
      <c r="H174" s="246" t="n"/>
      <c r="I174" s="247" t="n"/>
      <c r="J174" s="246" t="str">
        <f>IF(AND(ISNUMBER(F174),ISNUMBER(H174)),ROUND(H174-F174,8),"")</f>
        <v/>
      </c>
      <c r="K174" s="247" t="str">
        <f>IF(AND(ISNUMBER(G174),ISNUMBER(I174)),ROUND(I174-G174,8),"")</f>
        <v/>
      </c>
    </row>
    <row r="175" ht="22" customHeight="1">
      <c r="B175" s="236" t="n"/>
      <c r="C175" s="237" t="n"/>
      <c r="D175" s="238" t="n"/>
      <c r="E175" s="239" t="n"/>
      <c r="F175" s="240" t="n"/>
      <c r="G175" s="241" t="n"/>
      <c r="H175" s="240" t="n"/>
      <c r="I175" s="241" t="n"/>
      <c r="J175" s="240" t="str">
        <f>IF(AND(ISNUMBER(F175),ISNUMBER(H175)),ROUND(H175-F175,8),"")</f>
        <v/>
      </c>
      <c r="K175" s="241" t="str">
        <f>IF(AND(ISNUMBER(G175),ISNUMBER(I175)),ROUND(I175-G175,8),"")</f>
        <v/>
      </c>
    </row>
    <row r="176" ht="22" customHeight="1">
      <c r="B176" s="242" t="n"/>
      <c r="C176" s="243" t="n"/>
      <c r="D176" s="244" t="n"/>
      <c r="E176" s="245" t="n"/>
      <c r="F176" s="246" t="n"/>
      <c r="G176" s="247" t="n"/>
      <c r="H176" s="246" t="n"/>
      <c r="I176" s="247" t="n"/>
      <c r="J176" s="246" t="str">
        <f>IF(AND(ISNUMBER(F176),ISNUMBER(H176)),ROUND(H176-F176,8),"")</f>
        <v/>
      </c>
      <c r="K176" s="247" t="str">
        <f>IF(AND(ISNUMBER(G176),ISNUMBER(I176)),ROUND(I176-G176,8),"")</f>
        <v/>
      </c>
    </row>
    <row r="177" ht="22" customHeight="1">
      <c r="B177" s="236" t="n"/>
      <c r="C177" s="237" t="n"/>
      <c r="D177" s="238" t="n"/>
      <c r="E177" s="239" t="n"/>
      <c r="F177" s="240" t="n"/>
      <c r="G177" s="241" t="n"/>
      <c r="H177" s="240" t="n"/>
      <c r="I177" s="241" t="n"/>
      <c r="J177" s="240" t="str">
        <f>IF(AND(ISNUMBER(F177),ISNUMBER(H177)),ROUND(H177-F177,8),"")</f>
        <v/>
      </c>
      <c r="K177" s="241" t="str">
        <f>IF(AND(ISNUMBER(G177),ISNUMBER(I177)),ROUND(I177-G177,8),"")</f>
        <v/>
      </c>
    </row>
    <row r="178" ht="22" customHeight="1">
      <c r="B178" s="242" t="n"/>
      <c r="C178" s="243" t="n"/>
      <c r="D178" s="244" t="n"/>
      <c r="E178" s="245" t="n"/>
      <c r="F178" s="246" t="n"/>
      <c r="G178" s="247" t="n"/>
      <c r="H178" s="246" t="n"/>
      <c r="I178" s="247" t="n"/>
      <c r="J178" s="246" t="str">
        <f>IF(AND(ISNUMBER(F178),ISNUMBER(H178)),ROUND(H178-F178,8),"")</f>
        <v/>
      </c>
      <c r="K178" s="247" t="str">
        <f>IF(AND(ISNUMBER(G178),ISNUMBER(I178)),ROUND(I178-G178,8),"")</f>
        <v/>
      </c>
    </row>
    <row r="179" ht="22" customHeight="1">
      <c r="B179" s="236" t="n"/>
      <c r="C179" s="237" t="n"/>
      <c r="D179" s="238" t="n"/>
      <c r="E179" s="239" t="n"/>
      <c r="F179" s="240" t="n"/>
      <c r="G179" s="241" t="n"/>
      <c r="H179" s="240" t="n"/>
      <c r="I179" s="241" t="n"/>
      <c r="J179" s="240" t="str">
        <f>IF(AND(ISNUMBER(F179),ISNUMBER(H179)),ROUND(H179-F179,8),"")</f>
        <v/>
      </c>
      <c r="K179" s="241" t="str">
        <f>IF(AND(ISNUMBER(G179),ISNUMBER(I179)),ROUND(I179-G179,8),"")</f>
        <v/>
      </c>
    </row>
    <row r="180" ht="22" customHeight="1">
      <c r="B180" s="242" t="n"/>
      <c r="C180" s="243" t="n"/>
      <c r="D180" s="244" t="n"/>
      <c r="E180" s="245" t="n"/>
      <c r="F180" s="246" t="n"/>
      <c r="G180" s="247" t="n"/>
      <c r="H180" s="246" t="n"/>
      <c r="I180" s="247" t="n"/>
      <c r="J180" s="246" t="str">
        <f>IF(AND(ISNUMBER(F180),ISNUMBER(H180)),ROUND(H180-F180,8),"")</f>
        <v/>
      </c>
      <c r="K180" s="247" t="str">
        <f>IF(AND(ISNUMBER(G180),ISNUMBER(I180)),ROUND(I180-G180,8),"")</f>
        <v/>
      </c>
    </row>
    <row r="181" ht="22" customHeight="1">
      <c r="B181" s="236" t="n"/>
      <c r="C181" s="237" t="n"/>
      <c r="D181" s="238" t="n"/>
      <c r="E181" s="239" t="n"/>
      <c r="F181" s="240" t="n"/>
      <c r="G181" s="241" t="n"/>
      <c r="H181" s="240" t="n"/>
      <c r="I181" s="241" t="n"/>
      <c r="J181" s="240" t="str">
        <f>IF(AND(ISNUMBER(F181),ISNUMBER(H181)),ROUND(H181-F181,8),"")</f>
        <v/>
      </c>
      <c r="K181" s="241" t="str">
        <f>IF(AND(ISNUMBER(G181),ISNUMBER(I181)),ROUND(I181-G181,8),"")</f>
        <v/>
      </c>
    </row>
    <row r="182" ht="22" customHeight="1">
      <c r="B182" s="242" t="n"/>
      <c r="C182" s="243" t="n"/>
      <c r="D182" s="244" t="n"/>
      <c r="E182" s="245" t="n"/>
      <c r="F182" s="246" t="n"/>
      <c r="G182" s="247" t="n"/>
      <c r="H182" s="246" t="n"/>
      <c r="I182" s="247" t="n"/>
      <c r="J182" s="246" t="str">
        <f>IF(AND(ISNUMBER(F182),ISNUMBER(H182)),ROUND(H182-F182,8),"")</f>
        <v/>
      </c>
      <c r="K182" s="247" t="str">
        <f>IF(AND(ISNUMBER(G182),ISNUMBER(I182)),ROUND(I182-G182,8),"")</f>
        <v/>
      </c>
    </row>
    <row r="183" ht="22" customHeight="1">
      <c r="B183" s="236" t="n"/>
      <c r="C183" s="237" t="n"/>
      <c r="D183" s="238" t="n"/>
      <c r="E183" s="239" t="n"/>
      <c r="F183" s="240" t="n"/>
      <c r="G183" s="241" t="n"/>
      <c r="H183" s="240" t="n"/>
      <c r="I183" s="241" t="n"/>
      <c r="J183" s="240" t="str">
        <f>IF(AND(ISNUMBER(F183),ISNUMBER(H183)),ROUND(H183-F183,8),"")</f>
        <v/>
      </c>
      <c r="K183" s="241" t="str">
        <f>IF(AND(ISNUMBER(G183),ISNUMBER(I183)),ROUND(I183-G183,8),"")</f>
        <v/>
      </c>
    </row>
    <row r="184" ht="22" customHeight="1">
      <c r="B184" s="242" t="n"/>
      <c r="C184" s="243" t="n"/>
      <c r="D184" s="244" t="n"/>
      <c r="E184" s="245" t="n"/>
      <c r="F184" s="246" t="n"/>
      <c r="G184" s="247" t="n"/>
      <c r="H184" s="246" t="n"/>
      <c r="I184" s="247" t="n"/>
      <c r="J184" s="246" t="str">
        <f>IF(AND(ISNUMBER(F184),ISNUMBER(H184)),ROUND(H184-F184,8),"")</f>
        <v/>
      </c>
      <c r="K184" s="247" t="str">
        <f>IF(AND(ISNUMBER(G184),ISNUMBER(I184)),ROUND(I184-G184,8),"")</f>
        <v/>
      </c>
    </row>
    <row r="185" ht="22" customHeight="1">
      <c r="B185" s="236" t="n"/>
      <c r="C185" s="237" t="n"/>
      <c r="D185" s="238" t="n"/>
      <c r="E185" s="239" t="n"/>
      <c r="F185" s="240" t="n"/>
      <c r="G185" s="241" t="n"/>
      <c r="H185" s="240" t="n"/>
      <c r="I185" s="241" t="n"/>
      <c r="J185" s="240" t="str">
        <f>IF(AND(ISNUMBER(F185),ISNUMBER(H185)),ROUND(H185-F185,8),"")</f>
        <v/>
      </c>
      <c r="K185" s="241" t="str">
        <f>IF(AND(ISNUMBER(G185),ISNUMBER(I185)),ROUND(I185-G185,8),"")</f>
        <v/>
      </c>
    </row>
    <row r="186" ht="22" customHeight="1">
      <c r="B186" s="242" t="n"/>
      <c r="C186" s="243" t="n"/>
      <c r="D186" s="244" t="n"/>
      <c r="E186" s="245" t="n"/>
      <c r="F186" s="246" t="n"/>
      <c r="G186" s="247" t="n"/>
      <c r="H186" s="246" t="n"/>
      <c r="I186" s="247" t="n"/>
      <c r="J186" s="246" t="str">
        <f>IF(AND(ISNUMBER(F186),ISNUMBER(H186)),ROUND(H186-F186,8),"")</f>
        <v/>
      </c>
      <c r="K186" s="247" t="str">
        <f>IF(AND(ISNUMBER(G186),ISNUMBER(I186)),ROUND(I186-G186,8),"")</f>
        <v/>
      </c>
    </row>
    <row r="187" ht="22" customHeight="1">
      <c r="B187" s="236" t="n"/>
      <c r="C187" s="237" t="n"/>
      <c r="D187" s="238" t="n"/>
      <c r="E187" s="239" t="n"/>
      <c r="F187" s="240" t="n"/>
      <c r="G187" s="241" t="n"/>
      <c r="H187" s="240" t="n"/>
      <c r="I187" s="241" t="n"/>
      <c r="J187" s="240" t="str">
        <f>IF(AND(ISNUMBER(F187),ISNUMBER(H187)),ROUND(H187-F187,8),"")</f>
        <v/>
      </c>
      <c r="K187" s="241" t="str">
        <f>IF(AND(ISNUMBER(G187),ISNUMBER(I187)),ROUND(I187-G187,8),"")</f>
        <v/>
      </c>
    </row>
    <row r="188" ht="22" customHeight="1">
      <c r="B188" s="242" t="n"/>
      <c r="C188" s="243" t="n"/>
      <c r="D188" s="244" t="n"/>
      <c r="E188" s="245" t="n"/>
      <c r="F188" s="246" t="n"/>
      <c r="G188" s="247" t="n"/>
      <c r="H188" s="246" t="n"/>
      <c r="I188" s="247" t="n"/>
      <c r="J188" s="246" t="str">
        <f>IF(AND(ISNUMBER(F188),ISNUMBER(H188)),ROUND(H188-F188,8),"")</f>
        <v/>
      </c>
      <c r="K188" s="247" t="str">
        <f>IF(AND(ISNUMBER(G188),ISNUMBER(I188)),ROUND(I188-G188,8),"")</f>
        <v/>
      </c>
    </row>
    <row r="189" ht="22" customHeight="1">
      <c r="B189" s="236" t="n"/>
      <c r="C189" s="237" t="n"/>
      <c r="D189" s="238" t="n"/>
      <c r="E189" s="239" t="n"/>
      <c r="F189" s="240" t="n"/>
      <c r="G189" s="241" t="n"/>
      <c r="H189" s="240" t="n"/>
      <c r="I189" s="241" t="n"/>
      <c r="J189" s="240" t="str">
        <f>IF(AND(ISNUMBER(F189),ISNUMBER(H189)),ROUND(H189-F189,8),"")</f>
        <v/>
      </c>
      <c r="K189" s="241" t="str">
        <f>IF(AND(ISNUMBER(G189),ISNUMBER(I189)),ROUND(I189-G189,8),"")</f>
        <v/>
      </c>
    </row>
    <row r="190" ht="22" customHeight="1">
      <c r="B190" s="242" t="n"/>
      <c r="C190" s="243" t="n"/>
      <c r="D190" s="244" t="n"/>
      <c r="E190" s="245" t="n"/>
      <c r="F190" s="246" t="n"/>
      <c r="G190" s="247" t="n"/>
      <c r="H190" s="246" t="n"/>
      <c r="I190" s="247" t="n"/>
      <c r="J190" s="246" t="str">
        <f>IF(AND(ISNUMBER(F190),ISNUMBER(H190)),ROUND(H190-F190,8),"")</f>
        <v/>
      </c>
      <c r="K190" s="247" t="str">
        <f>IF(AND(ISNUMBER(G190),ISNUMBER(I190)),ROUND(I190-G190,8),"")</f>
        <v/>
      </c>
    </row>
    <row r="191" ht="22" customHeight="1">
      <c r="B191" s="236" t="n"/>
      <c r="C191" s="237" t="n"/>
      <c r="D191" s="238" t="n"/>
      <c r="E191" s="239" t="n"/>
      <c r="F191" s="240" t="n"/>
      <c r="G191" s="241" t="n"/>
      <c r="H191" s="240" t="n"/>
      <c r="I191" s="241" t="n"/>
      <c r="J191" s="240" t="str">
        <f>IF(AND(ISNUMBER(F191),ISNUMBER(H191)),ROUND(H191-F191,8),"")</f>
        <v/>
      </c>
      <c r="K191" s="241" t="str">
        <f>IF(AND(ISNUMBER(G191),ISNUMBER(I191)),ROUND(I191-G191,8),"")</f>
        <v/>
      </c>
    </row>
    <row r="192" ht="22" customHeight="1">
      <c r="B192" s="242" t="n"/>
      <c r="C192" s="243" t="n"/>
      <c r="D192" s="244" t="n"/>
      <c r="E192" s="245" t="n"/>
      <c r="F192" s="246" t="n"/>
      <c r="G192" s="247" t="n"/>
      <c r="H192" s="246" t="n"/>
      <c r="I192" s="247" t="n"/>
      <c r="J192" s="246" t="str">
        <f>IF(AND(ISNUMBER(F192),ISNUMBER(H192)),ROUND(H192-F192,8),"")</f>
        <v/>
      </c>
      <c r="K192" s="247" t="str">
        <f>IF(AND(ISNUMBER(G192),ISNUMBER(I192)),ROUND(I192-G192,8),"")</f>
        <v/>
      </c>
    </row>
    <row r="193" ht="22" customHeight="1">
      <c r="B193" s="236" t="n"/>
      <c r="C193" s="237" t="n"/>
      <c r="D193" s="238" t="n"/>
      <c r="E193" s="239" t="n"/>
      <c r="F193" s="240" t="n"/>
      <c r="G193" s="241" t="n"/>
      <c r="H193" s="240" t="n"/>
      <c r="I193" s="241" t="n"/>
      <c r="J193" s="240" t="str">
        <f>IF(AND(ISNUMBER(F193),ISNUMBER(H193)),ROUND(H193-F193,8),"")</f>
        <v/>
      </c>
      <c r="K193" s="241" t="str">
        <f>IF(AND(ISNUMBER(G193),ISNUMBER(I193)),ROUND(I193-G193,8),"")</f>
        <v/>
      </c>
    </row>
    <row r="194" ht="22" customHeight="1">
      <c r="B194" s="242" t="n"/>
      <c r="C194" s="243" t="n"/>
      <c r="D194" s="244" t="n"/>
      <c r="E194" s="245" t="n"/>
      <c r="F194" s="246" t="n"/>
      <c r="G194" s="247" t="n"/>
      <c r="H194" s="246" t="n"/>
      <c r="I194" s="247" t="n"/>
      <c r="J194" s="246" t="str">
        <f>IF(AND(ISNUMBER(F194),ISNUMBER(H194)),ROUND(H194-F194,8),"")</f>
        <v/>
      </c>
      <c r="K194" s="247" t="str">
        <f>IF(AND(ISNUMBER(G194),ISNUMBER(I194)),ROUND(I194-G194,8),"")</f>
        <v/>
      </c>
    </row>
    <row r="195" ht="22" customHeight="1">
      <c r="B195" s="236" t="n"/>
      <c r="C195" s="237" t="n"/>
      <c r="D195" s="238" t="n"/>
      <c r="E195" s="239" t="n"/>
      <c r="F195" s="240" t="n"/>
      <c r="G195" s="241" t="n"/>
      <c r="H195" s="240" t="n"/>
      <c r="I195" s="241" t="n"/>
      <c r="J195" s="240" t="str">
        <f>IF(AND(ISNUMBER(F195),ISNUMBER(H195)),ROUND(H195-F195,8),"")</f>
        <v/>
      </c>
      <c r="K195" s="241" t="str">
        <f>IF(AND(ISNUMBER(G195),ISNUMBER(I195)),ROUND(I195-G195,8),"")</f>
        <v/>
      </c>
    </row>
    <row r="196" ht="22" customHeight="1">
      <c r="B196" s="242" t="n"/>
      <c r="C196" s="243" t="n"/>
      <c r="D196" s="244" t="n"/>
      <c r="E196" s="245" t="n"/>
      <c r="F196" s="246" t="n"/>
      <c r="G196" s="247" t="n"/>
      <c r="H196" s="246" t="n"/>
      <c r="I196" s="247" t="n"/>
      <c r="J196" s="246" t="str">
        <f>IF(AND(ISNUMBER(F196),ISNUMBER(H196)),ROUND(H196-F196,8),"")</f>
        <v/>
      </c>
      <c r="K196" s="247" t="str">
        <f>IF(AND(ISNUMBER(G196),ISNUMBER(I196)),ROUND(I196-G196,8),"")</f>
        <v/>
      </c>
    </row>
    <row r="197" ht="22" customHeight="1">
      <c r="B197" s="236" t="n"/>
      <c r="C197" s="237" t="n"/>
      <c r="D197" s="238" t="n"/>
      <c r="E197" s="239" t="n"/>
      <c r="F197" s="240" t="n"/>
      <c r="G197" s="241" t="n"/>
      <c r="H197" s="240" t="n"/>
      <c r="I197" s="241" t="n"/>
      <c r="J197" s="240" t="str">
        <f>IF(AND(ISNUMBER(F197),ISNUMBER(H197)),ROUND(H197-F197,8),"")</f>
        <v/>
      </c>
      <c r="K197" s="241" t="str">
        <f>IF(AND(ISNUMBER(G197),ISNUMBER(I197)),ROUND(I197-G197,8),"")</f>
        <v/>
      </c>
    </row>
    <row r="198" ht="22" customHeight="1">
      <c r="B198" s="242" t="n"/>
      <c r="C198" s="243" t="n"/>
      <c r="D198" s="244" t="n"/>
      <c r="E198" s="245" t="n"/>
      <c r="F198" s="246" t="n"/>
      <c r="G198" s="247" t="n"/>
      <c r="H198" s="246" t="n"/>
      <c r="I198" s="247" t="n"/>
      <c r="J198" s="246" t="str">
        <f>IF(AND(ISNUMBER(F198),ISNUMBER(H198)),ROUND(H198-F198,8),"")</f>
        <v/>
      </c>
      <c r="K198" s="247" t="str">
        <f>IF(AND(ISNUMBER(G198),ISNUMBER(I198)),ROUND(I198-G198,8),"")</f>
        <v/>
      </c>
    </row>
    <row r="199" ht="22" customHeight="1">
      <c r="B199" s="236" t="n"/>
      <c r="C199" s="237" t="n"/>
      <c r="D199" s="238" t="n"/>
      <c r="E199" s="239" t="n"/>
      <c r="F199" s="240" t="n"/>
      <c r="G199" s="241" t="n"/>
      <c r="H199" s="240" t="n"/>
      <c r="I199" s="241" t="n"/>
      <c r="J199" s="240" t="str">
        <f>IF(AND(ISNUMBER(F199),ISNUMBER(H199)),ROUND(H199-F199,8),"")</f>
        <v/>
      </c>
      <c r="K199" s="241" t="str">
        <f>IF(AND(ISNUMBER(G199),ISNUMBER(I199)),ROUND(I199-G199,8),"")</f>
        <v/>
      </c>
    </row>
    <row r="200" ht="22" customHeight="1">
      <c r="B200" s="242" t="n"/>
      <c r="C200" s="243" t="n"/>
      <c r="D200" s="244" t="n"/>
      <c r="E200" s="245" t="n"/>
      <c r="F200" s="246" t="n"/>
      <c r="G200" s="247" t="n"/>
      <c r="H200" s="246" t="n"/>
      <c r="I200" s="247" t="n"/>
      <c r="J200" s="246" t="str">
        <f>IF(AND(ISNUMBER(F200),ISNUMBER(H200)),ROUND(H200-F200,8),"")</f>
        <v/>
      </c>
      <c r="K200" s="247" t="str">
        <f>IF(AND(ISNUMBER(G200),ISNUMBER(I200)),ROUND(I200-G200,8),"")</f>
        <v/>
      </c>
    </row>
    <row r="201" ht="22" customHeight="1">
      <c r="B201" s="236" t="n"/>
      <c r="C201" s="237" t="n"/>
      <c r="D201" s="238" t="n"/>
      <c r="E201" s="239" t="n"/>
      <c r="F201" s="240" t="n"/>
      <c r="G201" s="241" t="n"/>
      <c r="H201" s="240" t="n"/>
      <c r="I201" s="241" t="n"/>
      <c r="J201" s="240" t="str">
        <f>IF(AND(ISNUMBER(F201),ISNUMBER(H201)),ROUND(H201-F201,8),"")</f>
        <v/>
      </c>
      <c r="K201" s="241" t="str">
        <f>IF(AND(ISNUMBER(G201),ISNUMBER(I201)),ROUND(I201-G201,8),"")</f>
        <v/>
      </c>
    </row>
    <row r="202" ht="22" customHeight="1">
      <c r="B202" s="242" t="n"/>
      <c r="C202" s="243" t="n"/>
      <c r="D202" s="244" t="n"/>
      <c r="E202" s="245" t="n"/>
      <c r="F202" s="246" t="n"/>
      <c r="G202" s="247" t="n"/>
      <c r="H202" s="246" t="n"/>
      <c r="I202" s="247" t="n"/>
      <c r="J202" s="246" t="str">
        <f>IF(AND(ISNUMBER(F202),ISNUMBER(H202)),ROUND(H202-F202,8),"")</f>
        <v/>
      </c>
      <c r="K202" s="247" t="str">
        <f>IF(AND(ISNUMBER(G202),ISNUMBER(I202)),ROUND(I202-G202,8),"")</f>
        <v/>
      </c>
    </row>
    <row r="203" ht="22" customHeight="1">
      <c r="B203" s="236" t="n"/>
      <c r="C203" s="237" t="n"/>
      <c r="D203" s="238" t="n"/>
      <c r="E203" s="239" t="n"/>
      <c r="F203" s="240" t="n"/>
      <c r="G203" s="241" t="n"/>
      <c r="H203" s="240" t="n"/>
      <c r="I203" s="241" t="n"/>
      <c r="J203" s="240" t="str">
        <f>IF(AND(ISNUMBER(F203),ISNUMBER(H203)),ROUND(H203-F203,8),"")</f>
        <v/>
      </c>
      <c r="K203" s="241" t="str">
        <f>IF(AND(ISNUMBER(G203),ISNUMBER(I203)),ROUND(I203-G203,8),"")</f>
        <v/>
      </c>
    </row>
    <row r="204" ht="22" customHeight="1">
      <c r="B204" s="242" t="n"/>
      <c r="C204" s="243" t="n"/>
      <c r="D204" s="244" t="n"/>
      <c r="E204" s="245" t="n"/>
      <c r="F204" s="246" t="n"/>
      <c r="G204" s="247" t="n"/>
      <c r="H204" s="246" t="n"/>
      <c r="I204" s="247" t="n"/>
      <c r="J204" s="246" t="str">
        <f>IF(AND(ISNUMBER(F204),ISNUMBER(H204)),ROUND(H204-F204,8),"")</f>
        <v/>
      </c>
      <c r="K204" s="247" t="str">
        <f>IF(AND(ISNUMBER(G204),ISNUMBER(I204)),ROUND(I204-G204,8),"")</f>
        <v/>
      </c>
    </row>
    <row r="205" ht="22" customHeight="1">
      <c r="B205" s="236" t="n"/>
      <c r="C205" s="237" t="n"/>
      <c r="D205" s="238" t="n"/>
      <c r="E205" s="239" t="n"/>
      <c r="F205" s="240" t="n"/>
      <c r="G205" s="241" t="n"/>
      <c r="H205" s="240" t="n"/>
      <c r="I205" s="241" t="n"/>
      <c r="J205" s="240" t="str">
        <f>IF(AND(ISNUMBER(F205),ISNUMBER(H205)),ROUND(H205-F205,8),"")</f>
        <v/>
      </c>
      <c r="K205" s="241" t="str">
        <f>IF(AND(ISNUMBER(G205),ISNUMBER(I205)),ROUND(I205-G205,8),"")</f>
        <v/>
      </c>
    </row>
    <row r="206" ht="22" customHeight="1">
      <c r="B206" s="242" t="n"/>
      <c r="C206" s="243" t="n"/>
      <c r="D206" s="244" t="n"/>
      <c r="E206" s="245" t="n"/>
      <c r="F206" s="246" t="n"/>
      <c r="G206" s="247" t="n"/>
      <c r="H206" s="246" t="n"/>
      <c r="I206" s="247" t="n"/>
      <c r="J206" s="246" t="str">
        <f>IF(AND(ISNUMBER(F206),ISNUMBER(H206)),ROUND(H206-F206,8),"")</f>
        <v/>
      </c>
      <c r="K206" s="247" t="str">
        <f>IF(AND(ISNUMBER(G206),ISNUMBER(I206)),ROUND(I206-G206,8),"")</f>
        <v/>
      </c>
    </row>
    <row r="207" ht="22" customHeight="1">
      <c r="B207" s="236" t="n"/>
      <c r="C207" s="237" t="n"/>
      <c r="D207" s="238" t="n"/>
      <c r="E207" s="239" t="n"/>
      <c r="F207" s="240" t="n"/>
      <c r="G207" s="241" t="n"/>
      <c r="H207" s="240" t="n"/>
      <c r="I207" s="241" t="n"/>
      <c r="J207" s="240" t="str">
        <f>IF(AND(ISNUMBER(F207),ISNUMBER(H207)),ROUND(H207-F207,8),"")</f>
        <v/>
      </c>
      <c r="K207" s="241" t="str">
        <f>IF(AND(ISNUMBER(G207),ISNUMBER(I207)),ROUND(I207-G207,8),"")</f>
        <v/>
      </c>
    </row>
    <row r="208" ht="22" customHeight="1">
      <c r="B208" s="242" t="n"/>
      <c r="C208" s="243" t="n"/>
      <c r="D208" s="244" t="n"/>
      <c r="E208" s="245" t="n"/>
      <c r="F208" s="246" t="n"/>
      <c r="G208" s="247" t="n"/>
      <c r="H208" s="246" t="n"/>
      <c r="I208" s="247" t="n"/>
      <c r="J208" s="246" t="str">
        <f>IF(AND(ISNUMBER(F208),ISNUMBER(H208)),ROUND(H208-F208,8),"")</f>
        <v/>
      </c>
      <c r="K208" s="247" t="str">
        <f>IF(AND(ISNUMBER(G208),ISNUMBER(I208)),ROUND(I208-G208,8),"")</f>
        <v/>
      </c>
    </row>
    <row r="209" ht="22" customHeight="1">
      <c r="B209" s="236" t="n"/>
      <c r="C209" s="237" t="n"/>
      <c r="D209" s="238" t="n"/>
      <c r="E209" s="239" t="n"/>
      <c r="F209" s="240" t="n"/>
      <c r="G209" s="241" t="n"/>
      <c r="H209" s="240" t="n"/>
      <c r="I209" s="241" t="n"/>
      <c r="J209" s="240" t="str">
        <f>IF(AND(ISNUMBER(F209),ISNUMBER(H209)),ROUND(H209-F209,8),"")</f>
        <v/>
      </c>
      <c r="K209" s="241" t="str">
        <f>IF(AND(ISNUMBER(G209),ISNUMBER(I209)),ROUND(I209-G209,8),"")</f>
        <v/>
      </c>
    </row>
    <row r="210" ht="22" customHeight="1">
      <c r="B210" s="242" t="n"/>
      <c r="C210" s="243" t="n"/>
      <c r="D210" s="244" t="n"/>
      <c r="E210" s="245" t="n"/>
      <c r="F210" s="246" t="n"/>
      <c r="G210" s="247" t="n"/>
      <c r="H210" s="246" t="n"/>
      <c r="I210" s="247" t="n"/>
      <c r="J210" s="246" t="str">
        <f>IF(AND(ISNUMBER(F210),ISNUMBER(H210)),ROUND(H210-F210,8),"")</f>
        <v/>
      </c>
      <c r="K210" s="247" t="str">
        <f>IF(AND(ISNUMBER(G210),ISNUMBER(I210)),ROUND(I210-G210,8),"")</f>
        <v/>
      </c>
    </row>
    <row r="211" ht="22" customHeight="1">
      <c r="B211" s="236" t="n"/>
      <c r="C211" s="237" t="n"/>
      <c r="D211" s="238" t="n"/>
      <c r="E211" s="239" t="n"/>
      <c r="F211" s="240" t="n"/>
      <c r="G211" s="241" t="n"/>
      <c r="H211" s="240" t="n"/>
      <c r="I211" s="241" t="n"/>
      <c r="J211" s="240" t="str">
        <f>IF(AND(ISNUMBER(F211),ISNUMBER(H211)),ROUND(H211-F211,8),"")</f>
        <v/>
      </c>
      <c r="K211" s="241" t="str">
        <f>IF(AND(ISNUMBER(G211),ISNUMBER(I211)),ROUND(I211-G211,8),"")</f>
        <v/>
      </c>
    </row>
    <row r="212" ht="22" customHeight="1">
      <c r="B212" s="242" t="n"/>
      <c r="C212" s="243" t="n"/>
      <c r="D212" s="244" t="n"/>
      <c r="E212" s="245" t="n"/>
      <c r="F212" s="246" t="n"/>
      <c r="G212" s="247" t="n"/>
      <c r="H212" s="246" t="n"/>
      <c r="I212" s="247" t="n"/>
      <c r="J212" s="246" t="str">
        <f>IF(AND(ISNUMBER(F212),ISNUMBER(H212)),ROUND(H212-F212,8),"")</f>
        <v/>
      </c>
      <c r="K212" s="247" t="str">
        <f>IF(AND(ISNUMBER(G212),ISNUMBER(I212)),ROUND(I212-G212,8),"")</f>
        <v/>
      </c>
    </row>
    <row r="213" ht="22" customHeight="1">
      <c r="B213" s="236" t="n"/>
      <c r="C213" s="237" t="n"/>
      <c r="D213" s="238" t="n"/>
      <c r="E213" s="239" t="n"/>
      <c r="F213" s="240" t="n"/>
      <c r="G213" s="241" t="n"/>
      <c r="H213" s="240" t="n"/>
      <c r="I213" s="241" t="n"/>
      <c r="J213" s="240" t="str">
        <f>IF(AND(ISNUMBER(F213),ISNUMBER(H213)),ROUND(H213-F213,8),"")</f>
        <v/>
      </c>
      <c r="K213" s="241" t="str">
        <f>IF(AND(ISNUMBER(G213),ISNUMBER(I213)),ROUND(I213-G213,8),"")</f>
        <v/>
      </c>
    </row>
    <row r="214" ht="22" customHeight="1">
      <c r="B214" s="242" t="n"/>
      <c r="C214" s="243" t="n"/>
      <c r="D214" s="244" t="n"/>
      <c r="E214" s="245" t="n"/>
      <c r="F214" s="246" t="n"/>
      <c r="G214" s="247" t="n"/>
      <c r="H214" s="246" t="n"/>
      <c r="I214" s="247" t="n"/>
      <c r="J214" s="246" t="str">
        <f>IF(AND(ISNUMBER(F214),ISNUMBER(H214)),ROUND(H214-F214,8),"")</f>
        <v/>
      </c>
      <c r="K214" s="247" t="str">
        <f>IF(AND(ISNUMBER(G214),ISNUMBER(I214)),ROUND(I214-G214,8),"")</f>
        <v/>
      </c>
    </row>
    <row r="215" ht="22" customHeight="1">
      <c r="B215" s="236" t="n"/>
      <c r="C215" s="237" t="n"/>
      <c r="D215" s="238" t="n"/>
      <c r="E215" s="239" t="n"/>
      <c r="F215" s="240" t="n"/>
      <c r="G215" s="241" t="n"/>
      <c r="H215" s="240" t="n"/>
      <c r="I215" s="241" t="n"/>
      <c r="J215" s="240" t="str">
        <f>IF(AND(ISNUMBER(F215),ISNUMBER(H215)),ROUND(H215-F215,8),"")</f>
        <v/>
      </c>
      <c r="K215" s="241" t="str">
        <f>IF(AND(ISNUMBER(G215),ISNUMBER(I215)),ROUND(I215-G215,8),"")</f>
        <v/>
      </c>
    </row>
    <row r="216" ht="22" customHeight="1">
      <c r="B216" s="242" t="n"/>
      <c r="C216" s="243" t="n"/>
      <c r="D216" s="244" t="n"/>
      <c r="E216" s="245" t="n"/>
      <c r="F216" s="246" t="n"/>
      <c r="G216" s="247" t="n"/>
      <c r="H216" s="246" t="n"/>
      <c r="I216" s="247" t="n"/>
      <c r="J216" s="246" t="str">
        <f>IF(AND(ISNUMBER(F216),ISNUMBER(H216)),ROUND(H216-F216,8),"")</f>
        <v/>
      </c>
      <c r="K216" s="247" t="str">
        <f>IF(AND(ISNUMBER(G216),ISNUMBER(I216)),ROUND(I216-G216,8),"")</f>
        <v/>
      </c>
    </row>
    <row r="217" ht="22" customHeight="1">
      <c r="B217" s="236" t="n"/>
      <c r="C217" s="237" t="n"/>
      <c r="D217" s="238" t="n"/>
      <c r="E217" s="239" t="n"/>
      <c r="F217" s="240" t="n"/>
      <c r="G217" s="241" t="n"/>
      <c r="H217" s="240" t="n"/>
      <c r="I217" s="241" t="n"/>
      <c r="J217" s="240" t="str">
        <f>IF(AND(ISNUMBER(F217),ISNUMBER(H217)),ROUND(H217-F217,8),"")</f>
        <v/>
      </c>
      <c r="K217" s="241" t="str">
        <f>IF(AND(ISNUMBER(G217),ISNUMBER(I217)),ROUND(I217-G217,8),"")</f>
        <v/>
      </c>
    </row>
    <row r="218" ht="22" customHeight="1">
      <c r="B218" s="242" t="n"/>
      <c r="C218" s="243" t="n"/>
      <c r="D218" s="244" t="n"/>
      <c r="E218" s="245" t="n"/>
      <c r="F218" s="246" t="n"/>
      <c r="G218" s="247" t="n"/>
      <c r="H218" s="246" t="n"/>
      <c r="I218" s="247" t="n"/>
      <c r="J218" s="246" t="str">
        <f>IF(AND(ISNUMBER(F218),ISNUMBER(H218)),ROUND(H218-F218,8),"")</f>
        <v/>
      </c>
      <c r="K218" s="247" t="str">
        <f>IF(AND(ISNUMBER(G218),ISNUMBER(I218)),ROUND(I218-G218,8),"")</f>
        <v/>
      </c>
    </row>
    <row r="219" ht="22" customHeight="1">
      <c r="B219" s="236" t="n"/>
      <c r="C219" s="237" t="n"/>
      <c r="D219" s="238" t="n"/>
      <c r="E219" s="239" t="n"/>
      <c r="F219" s="240" t="n"/>
      <c r="G219" s="241" t="n"/>
      <c r="H219" s="240" t="n"/>
      <c r="I219" s="241" t="n"/>
      <c r="J219" s="240" t="str">
        <f>IF(AND(ISNUMBER(F219),ISNUMBER(H219)),ROUND(H219-F219,8),"")</f>
        <v/>
      </c>
      <c r="K219" s="241" t="str">
        <f>IF(AND(ISNUMBER(G219),ISNUMBER(I219)),ROUND(I219-G219,8),"")</f>
        <v/>
      </c>
    </row>
    <row r="220" ht="22" customHeight="1">
      <c r="B220" s="242" t="n"/>
      <c r="C220" s="243" t="n"/>
      <c r="D220" s="244" t="n"/>
      <c r="E220" s="245" t="n"/>
      <c r="F220" s="246" t="n"/>
      <c r="G220" s="247" t="n"/>
      <c r="H220" s="246" t="n"/>
      <c r="I220" s="247" t="n"/>
      <c r="J220" s="246" t="str">
        <f>IF(AND(ISNUMBER(F220),ISNUMBER(H220)),ROUND(H220-F220,8),"")</f>
        <v/>
      </c>
      <c r="K220" s="247" t="str">
        <f>IF(AND(ISNUMBER(G220),ISNUMBER(I220)),ROUND(I220-G220,8),"")</f>
        <v/>
      </c>
    </row>
    <row r="221" ht="22" customHeight="1">
      <c r="B221" s="236" t="n"/>
      <c r="C221" s="237" t="n"/>
      <c r="D221" s="238" t="n"/>
      <c r="E221" s="239" t="n"/>
      <c r="F221" s="240" t="n"/>
      <c r="G221" s="241" t="n"/>
      <c r="H221" s="240" t="n"/>
      <c r="I221" s="241" t="n"/>
      <c r="J221" s="240" t="str">
        <f>IF(AND(ISNUMBER(F221),ISNUMBER(H221)),ROUND(H221-F221,8),"")</f>
        <v/>
      </c>
      <c r="K221" s="241" t="str">
        <f>IF(AND(ISNUMBER(G221),ISNUMBER(I221)),ROUND(I221-G221,8),"")</f>
        <v/>
      </c>
    </row>
    <row r="222" ht="22" customHeight="1">
      <c r="B222" s="242" t="n"/>
      <c r="C222" s="243" t="n"/>
      <c r="D222" s="244" t="n"/>
      <c r="E222" s="245" t="n"/>
      <c r="F222" s="246" t="n"/>
      <c r="G222" s="247" t="n"/>
      <c r="H222" s="246" t="n"/>
      <c r="I222" s="247" t="n"/>
      <c r="J222" s="246" t="str">
        <f>IF(AND(ISNUMBER(F222),ISNUMBER(H222)),ROUND(H222-F222,8),"")</f>
        <v/>
      </c>
      <c r="K222" s="247" t="str">
        <f>IF(AND(ISNUMBER(G222),ISNUMBER(I222)),ROUND(I222-G222,8),"")</f>
        <v/>
      </c>
    </row>
    <row r="223" ht="22" customHeight="1">
      <c r="B223" s="236" t="n"/>
      <c r="C223" s="237" t="n"/>
      <c r="D223" s="238" t="n"/>
      <c r="E223" s="239" t="n"/>
      <c r="F223" s="240" t="n"/>
      <c r="G223" s="241" t="n"/>
      <c r="H223" s="240" t="n"/>
      <c r="I223" s="241" t="n"/>
      <c r="J223" s="240" t="str">
        <f>IF(AND(ISNUMBER(F223),ISNUMBER(H223)),ROUND(H223-F223,8),"")</f>
        <v/>
      </c>
      <c r="K223" s="241" t="str">
        <f>IF(AND(ISNUMBER(G223),ISNUMBER(I223)),ROUND(I223-G223,8),"")</f>
        <v/>
      </c>
    </row>
    <row r="224" ht="22" customHeight="1">
      <c r="B224" s="242" t="n"/>
      <c r="C224" s="243" t="n"/>
      <c r="D224" s="244" t="n"/>
      <c r="E224" s="245" t="n"/>
      <c r="F224" s="246" t="n"/>
      <c r="G224" s="247" t="n"/>
      <c r="H224" s="246" t="n"/>
      <c r="I224" s="247" t="n"/>
      <c r="J224" s="246" t="str">
        <f>IF(AND(ISNUMBER(F224),ISNUMBER(H224)),ROUND(H224-F224,8),"")</f>
        <v/>
      </c>
      <c r="K224" s="247" t="str">
        <f>IF(AND(ISNUMBER(G224),ISNUMBER(I224)),ROUND(I224-G224,8),"")</f>
        <v/>
      </c>
    </row>
    <row r="225" ht="22" customHeight="1">
      <c r="B225" s="236" t="n"/>
      <c r="C225" s="237" t="n"/>
      <c r="D225" s="238" t="n"/>
      <c r="E225" s="239" t="n"/>
      <c r="F225" s="240" t="n"/>
      <c r="G225" s="241" t="n"/>
      <c r="H225" s="240" t="n"/>
      <c r="I225" s="241" t="n"/>
      <c r="J225" s="240" t="str">
        <f>IF(AND(ISNUMBER(F225),ISNUMBER(H225)),ROUND(H225-F225,8),"")</f>
        <v/>
      </c>
      <c r="K225" s="241" t="str">
        <f>IF(AND(ISNUMBER(G225),ISNUMBER(I225)),ROUND(I225-G225,8),"")</f>
        <v/>
      </c>
    </row>
    <row r="226" ht="22" customHeight="1">
      <c r="B226" s="242" t="n"/>
      <c r="C226" s="243" t="n"/>
      <c r="D226" s="244" t="n"/>
      <c r="E226" s="245" t="n"/>
      <c r="F226" s="246" t="n"/>
      <c r="G226" s="247" t="n"/>
      <c r="H226" s="246" t="n"/>
      <c r="I226" s="247" t="n"/>
      <c r="J226" s="246" t="str">
        <f>IF(AND(ISNUMBER(F226),ISNUMBER(H226)),ROUND(H226-F226,8),"")</f>
        <v/>
      </c>
      <c r="K226" s="247" t="str">
        <f>IF(AND(ISNUMBER(G226),ISNUMBER(I226)),ROUND(I226-G226,8),"")</f>
        <v/>
      </c>
    </row>
    <row r="227" ht="22" customHeight="1">
      <c r="B227" s="236" t="n"/>
      <c r="C227" s="237" t="n"/>
      <c r="D227" s="238" t="n"/>
      <c r="E227" s="239" t="n"/>
      <c r="F227" s="240" t="n"/>
      <c r="G227" s="241" t="n"/>
      <c r="H227" s="240" t="n"/>
      <c r="I227" s="241" t="n"/>
      <c r="J227" s="240" t="str">
        <f>IF(AND(ISNUMBER(F227),ISNUMBER(H227)),ROUND(H227-F227,8),"")</f>
        <v/>
      </c>
      <c r="K227" s="241" t="str">
        <f>IF(AND(ISNUMBER(G227),ISNUMBER(I227)),ROUND(I227-G227,8),"")</f>
        <v/>
      </c>
    </row>
    <row r="228" ht="22" customHeight="1">
      <c r="B228" s="242" t="n"/>
      <c r="C228" s="243" t="n"/>
      <c r="D228" s="244" t="n"/>
      <c r="E228" s="245" t="n"/>
      <c r="F228" s="246" t="n"/>
      <c r="G228" s="247" t="n"/>
      <c r="H228" s="246" t="n"/>
      <c r="I228" s="247" t="n"/>
      <c r="J228" s="246" t="str">
        <f>IF(AND(ISNUMBER(F228),ISNUMBER(H228)),ROUND(H228-F228,8),"")</f>
        <v/>
      </c>
      <c r="K228" s="247" t="str">
        <f>IF(AND(ISNUMBER(G228),ISNUMBER(I228)),ROUND(I228-G228,8),"")</f>
        <v/>
      </c>
    </row>
    <row r="229" ht="22" customHeight="1">
      <c r="B229" s="236" t="n"/>
      <c r="C229" s="237" t="n"/>
      <c r="D229" s="238" t="n"/>
      <c r="E229" s="239" t="n"/>
      <c r="F229" s="240" t="n"/>
      <c r="G229" s="241" t="n"/>
      <c r="H229" s="240" t="n"/>
      <c r="I229" s="241" t="n"/>
      <c r="J229" s="240" t="str">
        <f>IF(AND(ISNUMBER(F229),ISNUMBER(H229)),ROUND(H229-F229,8),"")</f>
        <v/>
      </c>
      <c r="K229" s="241" t="str">
        <f>IF(AND(ISNUMBER(G229),ISNUMBER(I229)),ROUND(I229-G229,8),"")</f>
        <v/>
      </c>
    </row>
    <row r="230" ht="22" customHeight="1">
      <c r="B230" s="242" t="n"/>
      <c r="C230" s="243" t="n"/>
      <c r="D230" s="244" t="n"/>
      <c r="E230" s="245" t="n"/>
      <c r="F230" s="246" t="n"/>
      <c r="G230" s="247" t="n"/>
      <c r="H230" s="246" t="n"/>
      <c r="I230" s="247" t="n"/>
      <c r="J230" s="246" t="str">
        <f>IF(AND(ISNUMBER(F230),ISNUMBER(H230)),ROUND(H230-F230,8),"")</f>
        <v/>
      </c>
      <c r="K230" s="247" t="str">
        <f>IF(AND(ISNUMBER(G230),ISNUMBER(I230)),ROUND(I230-G230,8),"")</f>
        <v/>
      </c>
    </row>
    <row r="231" ht="22" customHeight="1">
      <c r="B231" s="236" t="n"/>
      <c r="C231" s="237" t="n"/>
      <c r="D231" s="238" t="n"/>
      <c r="E231" s="239" t="n"/>
      <c r="F231" s="240" t="n"/>
      <c r="G231" s="241" t="n"/>
      <c r="H231" s="240" t="n"/>
      <c r="I231" s="241" t="n"/>
      <c r="J231" s="240" t="str">
        <f>IF(AND(ISNUMBER(F231),ISNUMBER(H231)),ROUND(H231-F231,8),"")</f>
        <v/>
      </c>
      <c r="K231" s="241" t="str">
        <f>IF(AND(ISNUMBER(G231),ISNUMBER(I231)),ROUND(I231-G231,8),"")</f>
        <v/>
      </c>
    </row>
    <row r="232" ht="22" customHeight="1">
      <c r="B232" s="242" t="n"/>
      <c r="C232" s="243" t="n"/>
      <c r="D232" s="244" t="n"/>
      <c r="E232" s="245" t="n"/>
      <c r="F232" s="246" t="n"/>
      <c r="G232" s="247" t="n"/>
      <c r="H232" s="246" t="n"/>
      <c r="I232" s="247" t="n"/>
      <c r="J232" s="246" t="str">
        <f>IF(AND(ISNUMBER(F232),ISNUMBER(H232)),ROUND(H232-F232,8),"")</f>
        <v/>
      </c>
      <c r="K232" s="247" t="str">
        <f>IF(AND(ISNUMBER(G232),ISNUMBER(I232)),ROUND(I232-G232,8),"")</f>
        <v/>
      </c>
    </row>
    <row r="233" ht="22" customHeight="1">
      <c r="B233" s="236" t="n"/>
      <c r="C233" s="237" t="n"/>
      <c r="D233" s="238" t="n"/>
      <c r="E233" s="239" t="n"/>
      <c r="F233" s="240" t="n"/>
      <c r="G233" s="241" t="n"/>
      <c r="H233" s="240" t="n"/>
      <c r="I233" s="241" t="n"/>
      <c r="J233" s="240" t="str">
        <f>IF(AND(ISNUMBER(F233),ISNUMBER(H233)),ROUND(H233-F233,8),"")</f>
        <v/>
      </c>
      <c r="K233" s="241" t="str">
        <f>IF(AND(ISNUMBER(G233),ISNUMBER(I233)),ROUND(I233-G233,8),"")</f>
        <v/>
      </c>
    </row>
    <row r="234" ht="22" customHeight="1">
      <c r="B234" s="242" t="n"/>
      <c r="C234" s="243" t="n"/>
      <c r="D234" s="244" t="n"/>
      <c r="E234" s="245" t="n"/>
      <c r="F234" s="246" t="n"/>
      <c r="G234" s="247" t="n"/>
      <c r="H234" s="246" t="n"/>
      <c r="I234" s="247" t="n"/>
      <c r="J234" s="246" t="str">
        <f>IF(AND(ISNUMBER(F234),ISNUMBER(H234)),ROUND(H234-F234,8),"")</f>
        <v/>
      </c>
      <c r="K234" s="247" t="str">
        <f>IF(AND(ISNUMBER(G234),ISNUMBER(I234)),ROUND(I234-G234,8),"")</f>
        <v/>
      </c>
    </row>
    <row r="235" ht="22" customHeight="1">
      <c r="B235" s="236" t="n"/>
      <c r="C235" s="237" t="n"/>
      <c r="D235" s="238" t="n"/>
      <c r="E235" s="239" t="n"/>
      <c r="F235" s="240" t="n"/>
      <c r="G235" s="241" t="n"/>
      <c r="H235" s="240" t="n"/>
      <c r="I235" s="241" t="n"/>
      <c r="J235" s="240" t="str">
        <f>IF(AND(ISNUMBER(F235),ISNUMBER(H235)),ROUND(H235-F235,8),"")</f>
        <v/>
      </c>
      <c r="K235" s="241" t="str">
        <f>IF(AND(ISNUMBER(G235),ISNUMBER(I235)),ROUND(I235-G235,8),"")</f>
        <v/>
      </c>
    </row>
    <row r="236" ht="22" customHeight="1">
      <c r="B236" s="242" t="n"/>
      <c r="C236" s="243" t="n"/>
      <c r="D236" s="244" t="n"/>
      <c r="E236" s="245" t="n"/>
      <c r="F236" s="246" t="n"/>
      <c r="G236" s="247" t="n"/>
      <c r="H236" s="246" t="n"/>
      <c r="I236" s="247" t="n"/>
      <c r="J236" s="246" t="str">
        <f>IF(AND(ISNUMBER(F236),ISNUMBER(H236)),ROUND(H236-F236,8),"")</f>
        <v/>
      </c>
      <c r="K236" s="247" t="str">
        <f>IF(AND(ISNUMBER(G236),ISNUMBER(I236)),ROUND(I236-G236,8),"")</f>
        <v/>
      </c>
    </row>
    <row r="237" ht="22" customHeight="1">
      <c r="B237" s="236" t="n"/>
      <c r="C237" s="237" t="n"/>
      <c r="D237" s="238" t="n"/>
      <c r="E237" s="239" t="n"/>
      <c r="F237" s="240" t="n"/>
      <c r="G237" s="241" t="n"/>
      <c r="H237" s="240" t="n"/>
      <c r="I237" s="241" t="n"/>
      <c r="J237" s="240" t="str">
        <f>IF(AND(ISNUMBER(F237),ISNUMBER(H237)),ROUND(H237-F237,8),"")</f>
        <v/>
      </c>
      <c r="K237" s="241" t="str">
        <f>IF(AND(ISNUMBER(G237),ISNUMBER(I237)),ROUND(I237-G237,8),"")</f>
        <v/>
      </c>
    </row>
    <row r="238" ht="22" customHeight="1">
      <c r="B238" s="242" t="n"/>
      <c r="C238" s="243" t="n"/>
      <c r="D238" s="244" t="n"/>
      <c r="E238" s="245" t="n"/>
      <c r="F238" s="246" t="n"/>
      <c r="G238" s="247" t="n"/>
      <c r="H238" s="246" t="n"/>
      <c r="I238" s="247" t="n"/>
      <c r="J238" s="246" t="str">
        <f>IF(AND(ISNUMBER(F238),ISNUMBER(H238)),ROUND(H238-F238,8),"")</f>
        <v/>
      </c>
      <c r="K238" s="247" t="str">
        <f>IF(AND(ISNUMBER(G238),ISNUMBER(I238)),ROUND(I238-G238,8),"")</f>
        <v/>
      </c>
    </row>
    <row r="239" ht="22" customHeight="1">
      <c r="B239" s="236" t="n"/>
      <c r="C239" s="237" t="n"/>
      <c r="D239" s="238" t="n"/>
      <c r="E239" s="239" t="n"/>
      <c r="F239" s="240" t="n"/>
      <c r="G239" s="241" t="n"/>
      <c r="H239" s="240" t="n"/>
      <c r="I239" s="241" t="n"/>
      <c r="J239" s="240" t="str">
        <f>IF(AND(ISNUMBER(F239),ISNUMBER(H239)),ROUND(H239-F239,8),"")</f>
        <v/>
      </c>
      <c r="K239" s="241" t="str">
        <f>IF(AND(ISNUMBER(G239),ISNUMBER(I239)),ROUND(I239-G239,8),"")</f>
        <v/>
      </c>
    </row>
    <row r="240" ht="22" customHeight="1">
      <c r="B240" s="242" t="n"/>
      <c r="C240" s="243" t="n"/>
      <c r="D240" s="244" t="n"/>
      <c r="E240" s="245" t="n"/>
      <c r="F240" s="246" t="n"/>
      <c r="G240" s="247" t="n"/>
      <c r="H240" s="246" t="n"/>
      <c r="I240" s="247" t="n"/>
      <c r="J240" s="246" t="str">
        <f>IF(AND(ISNUMBER(F240),ISNUMBER(H240)),ROUND(H240-F240,8),"")</f>
        <v/>
      </c>
      <c r="K240" s="247" t="str">
        <f>IF(AND(ISNUMBER(G240),ISNUMBER(I240)),ROUND(I240-G240,8),"")</f>
        <v/>
      </c>
    </row>
    <row r="241" ht="22" customHeight="1">
      <c r="B241" s="236" t="n"/>
      <c r="C241" s="237" t="n"/>
      <c r="D241" s="238" t="n"/>
      <c r="E241" s="239" t="n"/>
      <c r="F241" s="240" t="n"/>
      <c r="G241" s="241" t="n"/>
      <c r="H241" s="240" t="n"/>
      <c r="I241" s="241" t="n"/>
      <c r="J241" s="240" t="str">
        <f>IF(AND(ISNUMBER(F241),ISNUMBER(H241)),ROUND(H241-F241,8),"")</f>
        <v/>
      </c>
      <c r="K241" s="241" t="str">
        <f>IF(AND(ISNUMBER(G241),ISNUMBER(I241)),ROUND(I241-G241,8),"")</f>
        <v/>
      </c>
    </row>
    <row r="242" ht="22" customHeight="1">
      <c r="B242" s="242" t="n"/>
      <c r="C242" s="243" t="n"/>
      <c r="D242" s="244" t="n"/>
      <c r="E242" s="245" t="n"/>
      <c r="F242" s="246" t="n"/>
      <c r="G242" s="247" t="n"/>
      <c r="H242" s="246" t="n"/>
      <c r="I242" s="247" t="n"/>
      <c r="J242" s="246" t="str">
        <f>IF(AND(ISNUMBER(F242),ISNUMBER(H242)),ROUND(H242-F242,8),"")</f>
        <v/>
      </c>
      <c r="K242" s="247" t="str">
        <f>IF(AND(ISNUMBER(G242),ISNUMBER(I242)),ROUND(I242-G242,8),"")</f>
        <v/>
      </c>
    </row>
    <row r="243" ht="22" customHeight="1">
      <c r="B243" s="236" t="n"/>
      <c r="C243" s="237" t="n"/>
      <c r="D243" s="238" t="n"/>
      <c r="E243" s="239" t="n"/>
      <c r="F243" s="240" t="n"/>
      <c r="G243" s="241" t="n"/>
      <c r="H243" s="240" t="n"/>
      <c r="I243" s="241" t="n"/>
      <c r="J243" s="240" t="str">
        <f>IF(AND(ISNUMBER(F243),ISNUMBER(H243)),ROUND(H243-F243,8),"")</f>
        <v/>
      </c>
      <c r="K243" s="241" t="str">
        <f>IF(AND(ISNUMBER(G243),ISNUMBER(I243)),ROUND(I243-G243,8),"")</f>
        <v/>
      </c>
    </row>
    <row r="244" ht="22" customHeight="1">
      <c r="B244" s="242" t="n"/>
      <c r="C244" s="243" t="n"/>
      <c r="D244" s="244" t="n"/>
      <c r="E244" s="245" t="n"/>
      <c r="F244" s="246" t="n"/>
      <c r="G244" s="247" t="n"/>
      <c r="H244" s="246" t="n"/>
      <c r="I244" s="247" t="n"/>
      <c r="J244" s="246" t="str">
        <f>IF(AND(ISNUMBER(F244),ISNUMBER(H244)),ROUND(H244-F244,8),"")</f>
        <v/>
      </c>
      <c r="K244" s="247" t="str">
        <f>IF(AND(ISNUMBER(G244),ISNUMBER(I244)),ROUND(I244-G244,8),"")</f>
        <v/>
      </c>
    </row>
    <row r="245" ht="22" customHeight="1">
      <c r="B245" s="236" t="n"/>
      <c r="C245" s="237" t="n"/>
      <c r="D245" s="238" t="n"/>
      <c r="E245" s="239" t="n"/>
      <c r="F245" s="240" t="n"/>
      <c r="G245" s="241" t="n"/>
      <c r="H245" s="240" t="n"/>
      <c r="I245" s="241" t="n"/>
      <c r="J245" s="240" t="str">
        <f>IF(AND(ISNUMBER(F245),ISNUMBER(H245)),ROUND(H245-F245,8),"")</f>
        <v/>
      </c>
      <c r="K245" s="241" t="str">
        <f>IF(AND(ISNUMBER(G245),ISNUMBER(I245)),ROUND(I245-G245,8),"")</f>
        <v/>
      </c>
    </row>
    <row r="246" ht="22" customHeight="1">
      <c r="B246" s="242" t="n"/>
      <c r="C246" s="243" t="n"/>
      <c r="D246" s="244" t="n"/>
      <c r="E246" s="245" t="n"/>
      <c r="F246" s="246" t="n"/>
      <c r="G246" s="247" t="n"/>
      <c r="H246" s="246" t="n"/>
      <c r="I246" s="247" t="n"/>
      <c r="J246" s="246" t="str">
        <f>IF(AND(ISNUMBER(F246),ISNUMBER(H246)),ROUND(H246-F246,8),"")</f>
        <v/>
      </c>
      <c r="K246" s="247" t="str">
        <f>IF(AND(ISNUMBER(G246),ISNUMBER(I246)),ROUND(I246-G246,8),"")</f>
        <v/>
      </c>
    </row>
    <row r="247" ht="22" customHeight="1">
      <c r="B247" s="236" t="n"/>
      <c r="C247" s="237" t="n"/>
      <c r="D247" s="238" t="n"/>
      <c r="E247" s="239" t="n"/>
      <c r="F247" s="240" t="n"/>
      <c r="G247" s="241" t="n"/>
      <c r="H247" s="240" t="n"/>
      <c r="I247" s="241" t="n"/>
      <c r="J247" s="240" t="str">
        <f>IF(AND(ISNUMBER(F247),ISNUMBER(H247)),ROUND(H247-F247,8),"")</f>
        <v/>
      </c>
      <c r="K247" s="241" t="str">
        <f>IF(AND(ISNUMBER(G247),ISNUMBER(I247)),ROUND(I247-G247,8),"")</f>
        <v/>
      </c>
    </row>
    <row r="248" ht="22" customHeight="1">
      <c r="B248" s="242" t="n"/>
      <c r="C248" s="243" t="n"/>
      <c r="D248" s="244" t="n"/>
      <c r="E248" s="245" t="n"/>
      <c r="F248" s="246" t="n"/>
      <c r="G248" s="247" t="n"/>
      <c r="H248" s="246" t="n"/>
      <c r="I248" s="247" t="n"/>
      <c r="J248" s="246" t="str">
        <f>IF(AND(ISNUMBER(F248),ISNUMBER(H248)),ROUND(H248-F248,8),"")</f>
        <v/>
      </c>
      <c r="K248" s="247" t="str">
        <f>IF(AND(ISNUMBER(G248),ISNUMBER(I248)),ROUND(I248-G248,8),"")</f>
        <v/>
      </c>
    </row>
    <row r="249" ht="22" customHeight="1">
      <c r="B249" s="236" t="n"/>
      <c r="C249" s="237" t="n"/>
      <c r="D249" s="238" t="n"/>
      <c r="E249" s="239" t="n"/>
      <c r="F249" s="240" t="n"/>
      <c r="G249" s="241" t="n"/>
      <c r="H249" s="240" t="n"/>
      <c r="I249" s="241" t="n"/>
      <c r="J249" s="240" t="str">
        <f>IF(AND(ISNUMBER(F249),ISNUMBER(H249)),ROUND(H249-F249,8),"")</f>
        <v/>
      </c>
      <c r="K249" s="241" t="str">
        <f>IF(AND(ISNUMBER(G249),ISNUMBER(I249)),ROUND(I249-G249,8),"")</f>
        <v/>
      </c>
    </row>
    <row r="250" ht="22" customHeight="1">
      <c r="B250" s="242" t="n"/>
      <c r="C250" s="243" t="n"/>
      <c r="D250" s="244" t="n"/>
      <c r="E250" s="245" t="n"/>
      <c r="F250" s="246" t="n"/>
      <c r="G250" s="247" t="n"/>
      <c r="H250" s="246" t="n"/>
      <c r="I250" s="247" t="n"/>
      <c r="J250" s="246" t="str">
        <f>IF(AND(ISNUMBER(F250),ISNUMBER(H250)),ROUND(H250-F250,8),"")</f>
        <v/>
      </c>
      <c r="K250" s="247" t="str">
        <f>IF(AND(ISNUMBER(G250),ISNUMBER(I250)),ROUND(I250-G250,8),"")</f>
        <v/>
      </c>
    </row>
    <row r="251" ht="22" customHeight="1">
      <c r="B251" s="236" t="n"/>
      <c r="C251" s="237" t="n"/>
      <c r="D251" s="238" t="n"/>
      <c r="E251" s="239" t="n"/>
      <c r="F251" s="240" t="n"/>
      <c r="G251" s="241" t="n"/>
      <c r="H251" s="240" t="n"/>
      <c r="I251" s="241" t="n"/>
      <c r="J251" s="240" t="str">
        <f>IF(AND(ISNUMBER(F251),ISNUMBER(H251)),ROUND(H251-F251,8),"")</f>
        <v/>
      </c>
      <c r="K251" s="241" t="str">
        <f>IF(AND(ISNUMBER(G251),ISNUMBER(I251)),ROUND(I251-G251,8),"")</f>
        <v/>
      </c>
    </row>
    <row r="252" ht="22" customHeight="1">
      <c r="B252" s="242" t="n"/>
      <c r="C252" s="243" t="n"/>
      <c r="D252" s="244" t="n"/>
      <c r="E252" s="245" t="n"/>
      <c r="F252" s="246" t="n"/>
      <c r="G252" s="247" t="n"/>
      <c r="H252" s="246" t="n"/>
      <c r="I252" s="247" t="n"/>
      <c r="J252" s="246" t="str">
        <f>IF(AND(ISNUMBER(F252),ISNUMBER(H252)),ROUND(H252-F252,8),"")</f>
        <v/>
      </c>
      <c r="K252" s="247" t="str">
        <f>IF(AND(ISNUMBER(G252),ISNUMBER(I252)),ROUND(I252-G252,8),"")</f>
        <v/>
      </c>
    </row>
    <row r="253" ht="22" customHeight="1">
      <c r="B253" s="236" t="n"/>
      <c r="C253" s="237" t="n"/>
      <c r="D253" s="238" t="n"/>
      <c r="E253" s="239" t="n"/>
      <c r="F253" s="240" t="n"/>
      <c r="G253" s="241" t="n"/>
      <c r="H253" s="240" t="n"/>
      <c r="I253" s="241" t="n"/>
      <c r="J253" s="240" t="str">
        <f>IF(AND(ISNUMBER(F253),ISNUMBER(H253)),ROUND(H253-F253,8),"")</f>
        <v/>
      </c>
      <c r="K253" s="241" t="str">
        <f>IF(AND(ISNUMBER(G253),ISNUMBER(I253)),ROUND(I253-G253,8),"")</f>
        <v/>
      </c>
    </row>
    <row r="254" ht="22" customHeight="1">
      <c r="B254" s="242" t="n"/>
      <c r="C254" s="243" t="n"/>
      <c r="D254" s="244" t="n"/>
      <c r="E254" s="245" t="n"/>
      <c r="F254" s="246" t="n"/>
      <c r="G254" s="247" t="n"/>
      <c r="H254" s="246" t="n"/>
      <c r="I254" s="247" t="n"/>
      <c r="J254" s="246" t="str">
        <f>IF(AND(ISNUMBER(F254),ISNUMBER(H254)),ROUND(H254-F254,8),"")</f>
        <v/>
      </c>
      <c r="K254" s="247" t="str">
        <f>IF(AND(ISNUMBER(G254),ISNUMBER(I254)),ROUND(I254-G254,8),"")</f>
        <v/>
      </c>
    </row>
    <row r="255" ht="22" customHeight="1">
      <c r="B255" s="236" t="n"/>
      <c r="C255" s="237" t="n"/>
      <c r="D255" s="238" t="n"/>
      <c r="E255" s="239" t="n"/>
      <c r="F255" s="240" t="n"/>
      <c r="G255" s="241" t="n"/>
      <c r="H255" s="240" t="n"/>
      <c r="I255" s="241" t="n"/>
      <c r="J255" s="240" t="str">
        <f>IF(AND(ISNUMBER(F255),ISNUMBER(H255)),ROUND(H255-F255,8),"")</f>
        <v/>
      </c>
      <c r="K255" s="241" t="str">
        <f>IF(AND(ISNUMBER(G255),ISNUMBER(I255)),ROUND(I255-G255,8),"")</f>
        <v/>
      </c>
    </row>
    <row r="256" ht="22" customHeight="1">
      <c r="B256" s="242" t="n"/>
      <c r="C256" s="243" t="n"/>
      <c r="D256" s="244" t="n"/>
      <c r="E256" s="245" t="n"/>
      <c r="F256" s="246" t="n"/>
      <c r="G256" s="247" t="n"/>
      <c r="H256" s="246" t="n"/>
      <c r="I256" s="247" t="n"/>
      <c r="J256" s="246" t="str">
        <f>IF(AND(ISNUMBER(F256),ISNUMBER(H256)),ROUND(H256-F256,8),"")</f>
        <v/>
      </c>
      <c r="K256" s="247" t="str">
        <f>IF(AND(ISNUMBER(G256),ISNUMBER(I256)),ROUND(I256-G256,8),"")</f>
        <v/>
      </c>
    </row>
    <row r="257" ht="22" customHeight="1">
      <c r="B257" s="236" t="n"/>
      <c r="C257" s="237" t="n"/>
      <c r="D257" s="238" t="n"/>
      <c r="E257" s="239" t="n"/>
      <c r="F257" s="240" t="n"/>
      <c r="G257" s="241" t="n"/>
      <c r="H257" s="240" t="n"/>
      <c r="I257" s="241" t="n"/>
      <c r="J257" s="240" t="str">
        <f>IF(AND(ISNUMBER(F257),ISNUMBER(H257)),ROUND(H257-F257,8),"")</f>
        <v/>
      </c>
      <c r="K257" s="241" t="str">
        <f>IF(AND(ISNUMBER(G257),ISNUMBER(I257)),ROUND(I257-G257,8),"")</f>
        <v/>
      </c>
    </row>
    <row r="258" ht="22" customHeight="1">
      <c r="B258" s="242" t="n"/>
      <c r="C258" s="243" t="n"/>
      <c r="D258" s="244" t="n"/>
      <c r="E258" s="245" t="n"/>
      <c r="F258" s="246" t="n"/>
      <c r="G258" s="247" t="n"/>
      <c r="H258" s="246" t="n"/>
      <c r="I258" s="247" t="n"/>
      <c r="J258" s="246" t="str">
        <f>IF(AND(ISNUMBER(F258),ISNUMBER(H258)),ROUND(H258-F258,8),"")</f>
        <v/>
      </c>
      <c r="K258" s="247" t="str">
        <f>IF(AND(ISNUMBER(G258),ISNUMBER(I258)),ROUND(I258-G258,8),"")</f>
        <v/>
      </c>
    </row>
    <row r="259" ht="22" customHeight="1">
      <c r="B259" s="236" t="n"/>
      <c r="C259" s="237" t="n"/>
      <c r="D259" s="238" t="n"/>
      <c r="E259" s="239" t="n"/>
      <c r="F259" s="240" t="n"/>
      <c r="G259" s="241" t="n"/>
      <c r="H259" s="240" t="n"/>
      <c r="I259" s="241" t="n"/>
      <c r="J259" s="240" t="str">
        <f>IF(AND(ISNUMBER(F259),ISNUMBER(H259)),ROUND(H259-F259,8),"")</f>
        <v/>
      </c>
      <c r="K259" s="241" t="str">
        <f>IF(AND(ISNUMBER(G259),ISNUMBER(I259)),ROUND(I259-G259,8),"")</f>
        <v/>
      </c>
    </row>
    <row r="260" ht="22" customHeight="1">
      <c r="B260" s="242" t="n"/>
      <c r="C260" s="243" t="n"/>
      <c r="D260" s="244" t="n"/>
      <c r="E260" s="245" t="n"/>
      <c r="F260" s="246" t="n"/>
      <c r="G260" s="247" t="n"/>
      <c r="H260" s="246" t="n"/>
      <c r="I260" s="247" t="n"/>
      <c r="J260" s="246" t="str">
        <f>IF(AND(ISNUMBER(F260),ISNUMBER(H260)),ROUND(H260-F260,8),"")</f>
        <v/>
      </c>
      <c r="K260" s="247" t="str">
        <f>IF(AND(ISNUMBER(G260),ISNUMBER(I260)),ROUND(I260-G260,8),"")</f>
        <v/>
      </c>
    </row>
    <row r="261" ht="22" customHeight="1">
      <c r="B261" s="236" t="n"/>
      <c r="C261" s="237" t="n"/>
      <c r="D261" s="238" t="n"/>
      <c r="E261" s="239" t="n"/>
      <c r="F261" s="240" t="n"/>
      <c r="G261" s="241" t="n"/>
      <c r="H261" s="240" t="n"/>
      <c r="I261" s="241" t="n"/>
      <c r="J261" s="240" t="str">
        <f>IF(AND(ISNUMBER(F261),ISNUMBER(H261)),ROUND(H261-F261,8),"")</f>
        <v/>
      </c>
      <c r="K261" s="241" t="str">
        <f>IF(AND(ISNUMBER(G261),ISNUMBER(I261)),ROUND(I261-G261,8),"")</f>
        <v/>
      </c>
    </row>
    <row r="262" ht="22" customHeight="1">
      <c r="B262" s="242" t="n"/>
      <c r="C262" s="243" t="n"/>
      <c r="D262" s="244" t="n"/>
      <c r="E262" s="245" t="n"/>
      <c r="F262" s="246" t="n"/>
      <c r="G262" s="247" t="n"/>
      <c r="H262" s="246" t="n"/>
      <c r="I262" s="247" t="n"/>
      <c r="J262" s="246" t="str">
        <f>IF(AND(ISNUMBER(F262),ISNUMBER(H262)),ROUND(H262-F262,8),"")</f>
        <v/>
      </c>
      <c r="K262" s="247" t="str">
        <f>IF(AND(ISNUMBER(G262),ISNUMBER(I262)),ROUND(I262-G262,8),"")</f>
        <v/>
      </c>
    </row>
    <row r="263" ht="22" customHeight="1">
      <c r="B263" s="236" t="n"/>
      <c r="C263" s="237" t="n"/>
      <c r="D263" s="238" t="n"/>
      <c r="E263" s="239" t="n"/>
      <c r="F263" s="240" t="n"/>
      <c r="G263" s="241" t="n"/>
      <c r="H263" s="240" t="n"/>
      <c r="I263" s="241" t="n"/>
      <c r="J263" s="240" t="str">
        <f>IF(AND(ISNUMBER(F263),ISNUMBER(H263)),ROUND(H263-F263,8),"")</f>
        <v/>
      </c>
      <c r="K263" s="241" t="str">
        <f>IF(AND(ISNUMBER(G263),ISNUMBER(I263)),ROUND(I263-G263,8),"")</f>
        <v/>
      </c>
    </row>
    <row r="264" ht="22" customHeight="1">
      <c r="B264" s="242" t="n"/>
      <c r="C264" s="243" t="n"/>
      <c r="D264" s="244" t="n"/>
      <c r="E264" s="245" t="n"/>
      <c r="F264" s="246" t="n"/>
      <c r="G264" s="247" t="n"/>
      <c r="H264" s="246" t="n"/>
      <c r="I264" s="247" t="n"/>
      <c r="J264" s="246" t="str">
        <f>IF(AND(ISNUMBER(F264),ISNUMBER(H264)),ROUND(H264-F264,8),"")</f>
        <v/>
      </c>
      <c r="K264" s="247" t="str">
        <f>IF(AND(ISNUMBER(G264),ISNUMBER(I264)),ROUND(I264-G264,8),"")</f>
        <v/>
      </c>
    </row>
    <row r="265" ht="22" customHeight="1">
      <c r="B265" s="236" t="n"/>
      <c r="C265" s="237" t="n"/>
      <c r="D265" s="238" t="n"/>
      <c r="E265" s="239" t="n"/>
      <c r="F265" s="240" t="n"/>
      <c r="G265" s="241" t="n"/>
      <c r="H265" s="240" t="n"/>
      <c r="I265" s="241" t="n"/>
      <c r="J265" s="240" t="str">
        <f>IF(AND(ISNUMBER(F265),ISNUMBER(H265)),ROUND(H265-F265,8),"")</f>
        <v/>
      </c>
      <c r="K265" s="241" t="str">
        <f>IF(AND(ISNUMBER(G265),ISNUMBER(I265)),ROUND(I265-G265,8),"")</f>
        <v/>
      </c>
    </row>
    <row r="266" ht="22" customHeight="1">
      <c r="B266" s="242" t="n"/>
      <c r="C266" s="243" t="n"/>
      <c r="D266" s="244" t="n"/>
      <c r="E266" s="245" t="n"/>
      <c r="F266" s="246" t="n"/>
      <c r="G266" s="247" t="n"/>
      <c r="H266" s="246" t="n"/>
      <c r="I266" s="247" t="n"/>
      <c r="J266" s="246" t="str">
        <f>IF(AND(ISNUMBER(F266),ISNUMBER(H266)),ROUND(H266-F266,8),"")</f>
        <v/>
      </c>
      <c r="K266" s="247" t="str">
        <f>IF(AND(ISNUMBER(G266),ISNUMBER(I266)),ROUND(I266-G266,8),"")</f>
        <v/>
      </c>
    </row>
    <row r="267" ht="22" customHeight="1">
      <c r="B267" s="236" t="n"/>
      <c r="C267" s="237" t="n"/>
      <c r="D267" s="238" t="n"/>
      <c r="E267" s="239" t="n"/>
      <c r="F267" s="240" t="n"/>
      <c r="G267" s="241" t="n"/>
      <c r="H267" s="240" t="n"/>
      <c r="I267" s="241" t="n"/>
      <c r="J267" s="240" t="str">
        <f>IF(AND(ISNUMBER(F267),ISNUMBER(H267)),ROUND(H267-F267,8),"")</f>
        <v/>
      </c>
      <c r="K267" s="241" t="str">
        <f>IF(AND(ISNUMBER(G267),ISNUMBER(I267)),ROUND(I267-G267,8),"")</f>
        <v/>
      </c>
    </row>
    <row r="268" ht="22" customHeight="1">
      <c r="B268" s="242" t="n"/>
      <c r="C268" s="243" t="n"/>
      <c r="D268" s="244" t="n"/>
      <c r="E268" s="245" t="n"/>
      <c r="F268" s="246" t="n"/>
      <c r="G268" s="247" t="n"/>
      <c r="H268" s="246" t="n"/>
      <c r="I268" s="247" t="n"/>
      <c r="J268" s="246" t="str">
        <f>IF(AND(ISNUMBER(F268),ISNUMBER(H268)),ROUND(H268-F268,8),"")</f>
        <v/>
      </c>
      <c r="K268" s="247" t="str">
        <f>IF(AND(ISNUMBER(G268),ISNUMBER(I268)),ROUND(I268-G268,8),"")</f>
        <v/>
      </c>
    </row>
    <row r="269" ht="22" customHeight="1">
      <c r="B269" s="236" t="n"/>
      <c r="C269" s="237" t="n"/>
      <c r="D269" s="238" t="n"/>
      <c r="E269" s="239" t="n"/>
      <c r="F269" s="240" t="n"/>
      <c r="G269" s="241" t="n"/>
      <c r="H269" s="240" t="n"/>
      <c r="I269" s="241" t="n"/>
      <c r="J269" s="240" t="str">
        <f>IF(AND(ISNUMBER(F269),ISNUMBER(H269)),ROUND(H269-F269,8),"")</f>
        <v/>
      </c>
      <c r="K269" s="241" t="str">
        <f>IF(AND(ISNUMBER(G269),ISNUMBER(I269)),ROUND(I269-G269,8),"")</f>
        <v/>
      </c>
    </row>
    <row r="270" ht="22" customHeight="1">
      <c r="B270" s="242" t="n"/>
      <c r="C270" s="243" t="n"/>
      <c r="D270" s="244" t="n"/>
      <c r="E270" s="245" t="n"/>
      <c r="F270" s="246" t="n"/>
      <c r="G270" s="247" t="n"/>
      <c r="H270" s="246" t="n"/>
      <c r="I270" s="247" t="n"/>
      <c r="J270" s="246" t="str">
        <f>IF(AND(ISNUMBER(F270),ISNUMBER(H270)),ROUND(H270-F270,8),"")</f>
        <v/>
      </c>
      <c r="K270" s="247" t="str">
        <f>IF(AND(ISNUMBER(G270),ISNUMBER(I270)),ROUND(I270-G270,8),"")</f>
        <v/>
      </c>
    </row>
    <row r="271" ht="22" customHeight="1">
      <c r="B271" s="236" t="n"/>
      <c r="C271" s="237" t="n"/>
      <c r="D271" s="238" t="n"/>
      <c r="E271" s="239" t="n"/>
      <c r="F271" s="240" t="n"/>
      <c r="G271" s="241" t="n"/>
      <c r="H271" s="240" t="n"/>
      <c r="I271" s="241" t="n"/>
      <c r="J271" s="240" t="str">
        <f>IF(AND(ISNUMBER(F271),ISNUMBER(H271)),ROUND(H271-F271,8),"")</f>
        <v/>
      </c>
      <c r="K271" s="241" t="str">
        <f>IF(AND(ISNUMBER(G271),ISNUMBER(I271)),ROUND(I271-G271,8),"")</f>
        <v/>
      </c>
    </row>
    <row r="272" ht="22" customHeight="1">
      <c r="B272" s="242" t="n"/>
      <c r="C272" s="243" t="n"/>
      <c r="D272" s="244" t="n"/>
      <c r="E272" s="245" t="n"/>
      <c r="F272" s="246" t="n"/>
      <c r="G272" s="247" t="n"/>
      <c r="H272" s="246" t="n"/>
      <c r="I272" s="247" t="n"/>
      <c r="J272" s="246" t="str">
        <f>IF(AND(ISNUMBER(F272),ISNUMBER(H272)),ROUND(H272-F272,8),"")</f>
        <v/>
      </c>
      <c r="K272" s="247" t="str">
        <f>IF(AND(ISNUMBER(G272),ISNUMBER(I272)),ROUND(I272-G272,8),"")</f>
        <v/>
      </c>
    </row>
    <row r="273" ht="22" customHeight="1">
      <c r="B273" s="236" t="n"/>
      <c r="C273" s="237" t="n"/>
      <c r="D273" s="238" t="n"/>
      <c r="E273" s="239" t="n"/>
      <c r="F273" s="240" t="n"/>
      <c r="G273" s="241" t="n"/>
      <c r="H273" s="240" t="n"/>
      <c r="I273" s="241" t="n"/>
      <c r="J273" s="240" t="str">
        <f>IF(AND(ISNUMBER(F273),ISNUMBER(H273)),ROUND(H273-F273,8),"")</f>
        <v/>
      </c>
      <c r="K273" s="241" t="str">
        <f>IF(AND(ISNUMBER(G273),ISNUMBER(I273)),ROUND(I273-G273,8),"")</f>
        <v/>
      </c>
    </row>
    <row r="274" ht="22" customHeight="1">
      <c r="B274" s="242" t="n"/>
      <c r="C274" s="243" t="n"/>
      <c r="D274" s="244" t="n"/>
      <c r="E274" s="245" t="n"/>
      <c r="F274" s="246" t="n"/>
      <c r="G274" s="247" t="n"/>
      <c r="H274" s="246" t="n"/>
      <c r="I274" s="247" t="n"/>
      <c r="J274" s="246" t="str">
        <f>IF(AND(ISNUMBER(F274),ISNUMBER(H274)),ROUND(H274-F274,8),"")</f>
        <v/>
      </c>
      <c r="K274" s="247" t="str">
        <f>IF(AND(ISNUMBER(G274),ISNUMBER(I274)),ROUND(I274-G274,8),"")</f>
        <v/>
      </c>
    </row>
    <row r="275" ht="22" customHeight="1">
      <c r="B275" s="236" t="n"/>
      <c r="C275" s="237" t="n"/>
      <c r="D275" s="238" t="n"/>
      <c r="E275" s="239" t="n"/>
      <c r="F275" s="240" t="n"/>
      <c r="G275" s="241" t="n"/>
      <c r="H275" s="240" t="n"/>
      <c r="I275" s="241" t="n"/>
      <c r="J275" s="240" t="str">
        <f>IF(AND(ISNUMBER(F275),ISNUMBER(H275)),ROUND(H275-F275,8),"")</f>
        <v/>
      </c>
      <c r="K275" s="241" t="str">
        <f>IF(AND(ISNUMBER(G275),ISNUMBER(I275)),ROUND(I275-G275,8),"")</f>
        <v/>
      </c>
    </row>
    <row r="276" ht="22" customHeight="1">
      <c r="B276" s="242" t="n"/>
      <c r="C276" s="243" t="n"/>
      <c r="D276" s="244" t="n"/>
      <c r="E276" s="245" t="n"/>
      <c r="F276" s="246" t="n"/>
      <c r="G276" s="247" t="n"/>
      <c r="H276" s="246" t="n"/>
      <c r="I276" s="247" t="n"/>
      <c r="J276" s="246" t="str">
        <f>IF(AND(ISNUMBER(F276),ISNUMBER(H276)),ROUND(H276-F276,8),"")</f>
        <v/>
      </c>
      <c r="K276" s="247" t="str">
        <f>IF(AND(ISNUMBER(G276),ISNUMBER(I276)),ROUND(I276-G276,8),"")</f>
        <v/>
      </c>
    </row>
    <row r="277" ht="22" customHeight="1">
      <c r="B277" s="236" t="n"/>
      <c r="C277" s="237" t="n"/>
      <c r="D277" s="238" t="n"/>
      <c r="E277" s="239" t="n"/>
      <c r="F277" s="240" t="n"/>
      <c r="G277" s="241" t="n"/>
      <c r="H277" s="240" t="n"/>
      <c r="I277" s="241" t="n"/>
      <c r="J277" s="240" t="str">
        <f>IF(AND(ISNUMBER(F277),ISNUMBER(H277)),ROUND(H277-F277,8),"")</f>
        <v/>
      </c>
      <c r="K277" s="241" t="str">
        <f>IF(AND(ISNUMBER(G277),ISNUMBER(I277)),ROUND(I277-G277,8),"")</f>
        <v/>
      </c>
    </row>
    <row r="278" ht="22" customHeight="1">
      <c r="B278" s="242" t="n"/>
      <c r="C278" s="243" t="n"/>
      <c r="D278" s="244" t="n"/>
      <c r="E278" s="245" t="n"/>
      <c r="F278" s="246" t="n"/>
      <c r="G278" s="247" t="n"/>
      <c r="H278" s="246" t="n"/>
      <c r="I278" s="247" t="n"/>
      <c r="J278" s="246" t="str">
        <f>IF(AND(ISNUMBER(F278),ISNUMBER(H278)),ROUND(H278-F278,8),"")</f>
        <v/>
      </c>
      <c r="K278" s="247" t="str">
        <f>IF(AND(ISNUMBER(G278),ISNUMBER(I278)),ROUND(I278-G278,8),"")</f>
        <v/>
      </c>
    </row>
    <row r="279" ht="22" customHeight="1">
      <c r="B279" s="236" t="n"/>
      <c r="C279" s="237" t="n"/>
      <c r="D279" s="238" t="n"/>
      <c r="E279" s="239" t="n"/>
      <c r="F279" s="240" t="n"/>
      <c r="G279" s="241" t="n"/>
      <c r="H279" s="240" t="n"/>
      <c r="I279" s="241" t="n"/>
      <c r="J279" s="240" t="str">
        <f>IF(AND(ISNUMBER(F279),ISNUMBER(H279)),ROUND(H279-F279,8),"")</f>
        <v/>
      </c>
      <c r="K279" s="241" t="str">
        <f>IF(AND(ISNUMBER(G279),ISNUMBER(I279)),ROUND(I279-G279,8),"")</f>
        <v/>
      </c>
    </row>
    <row r="280" ht="22" customHeight="1">
      <c r="B280" s="242" t="n"/>
      <c r="C280" s="243" t="n"/>
      <c r="D280" s="244" t="n"/>
      <c r="E280" s="245" t="n"/>
      <c r="F280" s="246" t="n"/>
      <c r="G280" s="247" t="n"/>
      <c r="H280" s="246" t="n"/>
      <c r="I280" s="247" t="n"/>
      <c r="J280" s="246" t="str">
        <f>IF(AND(ISNUMBER(F280),ISNUMBER(H280)),ROUND(H280-F280,8),"")</f>
        <v/>
      </c>
      <c r="K280" s="247" t="str">
        <f>IF(AND(ISNUMBER(G280),ISNUMBER(I280)),ROUND(I280-G280,8),"")</f>
        <v/>
      </c>
    </row>
    <row r="281" ht="22" customHeight="1">
      <c r="B281" s="236" t="n"/>
      <c r="C281" s="237" t="n"/>
      <c r="D281" s="238" t="n"/>
      <c r="E281" s="239" t="n"/>
      <c r="F281" s="240" t="n"/>
      <c r="G281" s="241" t="n"/>
      <c r="H281" s="240" t="n"/>
      <c r="I281" s="241" t="n"/>
      <c r="J281" s="240" t="str">
        <f>IF(AND(ISNUMBER(F281),ISNUMBER(H281)),ROUND(H281-F281,8),"")</f>
        <v/>
      </c>
      <c r="K281" s="241" t="str">
        <f>IF(AND(ISNUMBER(G281),ISNUMBER(I281)),ROUND(I281-G281,8),"")</f>
        <v/>
      </c>
    </row>
    <row r="282" ht="22" customHeight="1">
      <c r="B282" s="242" t="n"/>
      <c r="C282" s="243" t="n"/>
      <c r="D282" s="244" t="n"/>
      <c r="E282" s="245" t="n"/>
      <c r="F282" s="246" t="n"/>
      <c r="G282" s="247" t="n"/>
      <c r="H282" s="246" t="n"/>
      <c r="I282" s="247" t="n"/>
      <c r="J282" s="246" t="str">
        <f>IF(AND(ISNUMBER(F282),ISNUMBER(H282)),ROUND(H282-F282,8),"")</f>
        <v/>
      </c>
      <c r="K282" s="247" t="str">
        <f>IF(AND(ISNUMBER(G282),ISNUMBER(I282)),ROUND(I282-G282,8),"")</f>
        <v/>
      </c>
    </row>
    <row r="283" ht="22" customHeight="1">
      <c r="B283" s="236" t="n"/>
      <c r="C283" s="237" t="n"/>
      <c r="D283" s="238" t="n"/>
      <c r="E283" s="239" t="n"/>
      <c r="F283" s="240" t="n"/>
      <c r="G283" s="241" t="n"/>
      <c r="H283" s="240" t="n"/>
      <c r="I283" s="241" t="n"/>
      <c r="J283" s="240" t="str">
        <f>IF(AND(ISNUMBER(F283),ISNUMBER(H283)),ROUND(H283-F283,8),"")</f>
        <v/>
      </c>
      <c r="K283" s="241" t="str">
        <f>IF(AND(ISNUMBER(G283),ISNUMBER(I283)),ROUND(I283-G283,8),"")</f>
        <v/>
      </c>
    </row>
    <row r="284" ht="22" customHeight="1">
      <c r="B284" s="242" t="n"/>
      <c r="C284" s="243" t="n"/>
      <c r="D284" s="244" t="n"/>
      <c r="E284" s="245" t="n"/>
      <c r="F284" s="246" t="n"/>
      <c r="G284" s="247" t="n"/>
      <c r="H284" s="246" t="n"/>
      <c r="I284" s="247" t="n"/>
      <c r="J284" s="246" t="str">
        <f>IF(AND(ISNUMBER(F284),ISNUMBER(H284)),ROUND(H284-F284,8),"")</f>
        <v/>
      </c>
      <c r="K284" s="247" t="str">
        <f>IF(AND(ISNUMBER(G284),ISNUMBER(I284)),ROUND(I284-G284,8),"")</f>
        <v/>
      </c>
    </row>
    <row r="285" ht="22" customHeight="1">
      <c r="B285" s="236" t="n"/>
      <c r="C285" s="237" t="n"/>
      <c r="D285" s="238" t="n"/>
      <c r="E285" s="239" t="n"/>
      <c r="F285" s="240" t="n"/>
      <c r="G285" s="241" t="n"/>
      <c r="H285" s="240" t="n"/>
      <c r="I285" s="241" t="n"/>
      <c r="J285" s="240" t="str">
        <f>IF(AND(ISNUMBER(F285),ISNUMBER(H285)),ROUND(H285-F285,8),"")</f>
        <v/>
      </c>
      <c r="K285" s="241" t="str">
        <f>IF(AND(ISNUMBER(G285),ISNUMBER(I285)),ROUND(I285-G285,8),"")</f>
        <v/>
      </c>
    </row>
    <row r="286" ht="22" customHeight="1">
      <c r="B286" s="242" t="n"/>
      <c r="C286" s="243" t="n"/>
      <c r="D286" s="244" t="n"/>
      <c r="E286" s="245" t="n"/>
      <c r="F286" s="246" t="n"/>
      <c r="G286" s="247" t="n"/>
      <c r="H286" s="246" t="n"/>
      <c r="I286" s="247" t="n"/>
      <c r="J286" s="246" t="str">
        <f>IF(AND(ISNUMBER(F286),ISNUMBER(H286)),ROUND(H286-F286,8),"")</f>
        <v/>
      </c>
      <c r="K286" s="247" t="str">
        <f>IF(AND(ISNUMBER(G286),ISNUMBER(I286)),ROUND(I286-G286,8),"")</f>
        <v/>
      </c>
    </row>
    <row r="287" ht="22" customHeight="1">
      <c r="B287" s="236" t="n"/>
      <c r="C287" s="237" t="n"/>
      <c r="D287" s="238" t="n"/>
      <c r="E287" s="239" t="n"/>
      <c r="F287" s="240" t="n"/>
      <c r="G287" s="241" t="n"/>
      <c r="H287" s="240" t="n"/>
      <c r="I287" s="241" t="n"/>
      <c r="J287" s="240" t="str">
        <f>IF(AND(ISNUMBER(F287),ISNUMBER(H287)),ROUND(H287-F287,8),"")</f>
        <v/>
      </c>
      <c r="K287" s="241" t="str">
        <f>IF(AND(ISNUMBER(G287),ISNUMBER(I287)),ROUND(I287-G287,8),"")</f>
        <v/>
      </c>
    </row>
    <row r="288" ht="22" customHeight="1">
      <c r="B288" s="242" t="n"/>
      <c r="C288" s="243" t="n"/>
      <c r="D288" s="244" t="n"/>
      <c r="E288" s="245" t="n"/>
      <c r="F288" s="246" t="n"/>
      <c r="G288" s="247" t="n"/>
      <c r="H288" s="246" t="n"/>
      <c r="I288" s="247" t="n"/>
      <c r="J288" s="246" t="str">
        <f>IF(AND(ISNUMBER(F288),ISNUMBER(H288)),ROUND(H288-F288,8),"")</f>
        <v/>
      </c>
      <c r="K288" s="247" t="str">
        <f>IF(AND(ISNUMBER(G288),ISNUMBER(I288)),ROUND(I288-G288,8),"")</f>
        <v/>
      </c>
    </row>
    <row r="289" ht="22" customHeight="1">
      <c r="B289" s="236" t="n"/>
      <c r="C289" s="237" t="n"/>
      <c r="D289" s="238" t="n"/>
      <c r="E289" s="239" t="n"/>
      <c r="F289" s="240" t="n"/>
      <c r="G289" s="241" t="n"/>
      <c r="H289" s="240" t="n"/>
      <c r="I289" s="241" t="n"/>
      <c r="J289" s="240" t="str">
        <f>IF(AND(ISNUMBER(F289),ISNUMBER(H289)),ROUND(H289-F289,8),"")</f>
        <v/>
      </c>
      <c r="K289" s="241" t="str">
        <f>IF(AND(ISNUMBER(G289),ISNUMBER(I289)),ROUND(I289-G289,8),"")</f>
        <v/>
      </c>
    </row>
    <row r="290" ht="22" customHeight="1">
      <c r="B290" s="242" t="n"/>
      <c r="C290" s="243" t="n"/>
      <c r="D290" s="244" t="n"/>
      <c r="E290" s="245" t="n"/>
      <c r="F290" s="246" t="n"/>
      <c r="G290" s="247" t="n"/>
      <c r="H290" s="246" t="n"/>
      <c r="I290" s="247" t="n"/>
      <c r="J290" s="246" t="str">
        <f>IF(AND(ISNUMBER(F290),ISNUMBER(H290)),ROUND(H290-F290,8),"")</f>
        <v/>
      </c>
      <c r="K290" s="247" t="str">
        <f>IF(AND(ISNUMBER(G290),ISNUMBER(I290)),ROUND(I290-G290,8),"")</f>
        <v/>
      </c>
    </row>
    <row r="291" ht="22" customHeight="1">
      <c r="B291" s="236" t="n"/>
      <c r="C291" s="237" t="n"/>
      <c r="D291" s="238" t="n"/>
      <c r="E291" s="239" t="n"/>
      <c r="F291" s="240" t="n"/>
      <c r="G291" s="241" t="n"/>
      <c r="H291" s="240" t="n"/>
      <c r="I291" s="241" t="n"/>
      <c r="J291" s="240" t="str">
        <f>IF(AND(ISNUMBER(F291),ISNUMBER(H291)),ROUND(H291-F291,8),"")</f>
        <v/>
      </c>
      <c r="K291" s="241" t="str">
        <f>IF(AND(ISNUMBER(G291),ISNUMBER(I291)),ROUND(I291-G291,8),"")</f>
        <v/>
      </c>
    </row>
    <row r="292" ht="22" customHeight="1">
      <c r="B292" s="242" t="n"/>
      <c r="C292" s="243" t="n"/>
      <c r="D292" s="244" t="n"/>
      <c r="E292" s="245" t="n"/>
      <c r="F292" s="246" t="n"/>
      <c r="G292" s="247" t="n"/>
      <c r="H292" s="246" t="n"/>
      <c r="I292" s="247" t="n"/>
      <c r="J292" s="246" t="str">
        <f>IF(AND(ISNUMBER(F292),ISNUMBER(H292)),ROUND(H292-F292,8),"")</f>
        <v/>
      </c>
      <c r="K292" s="247" t="str">
        <f>IF(AND(ISNUMBER(G292),ISNUMBER(I292)),ROUND(I292-G292,8),"")</f>
        <v/>
      </c>
    </row>
    <row r="293" ht="22" customHeight="1">
      <c r="B293" s="236" t="n"/>
      <c r="C293" s="237" t="n"/>
      <c r="D293" s="238" t="n"/>
      <c r="E293" s="239" t="n"/>
      <c r="F293" s="240" t="n"/>
      <c r="G293" s="241" t="n"/>
      <c r="H293" s="240" t="n"/>
      <c r="I293" s="241" t="n"/>
      <c r="J293" s="240" t="str">
        <f>IF(AND(ISNUMBER(F293),ISNUMBER(H293)),ROUND(H293-F293,8),"")</f>
        <v/>
      </c>
      <c r="K293" s="241" t="str">
        <f>IF(AND(ISNUMBER(G293),ISNUMBER(I293)),ROUND(I293-G293,8),"")</f>
        <v/>
      </c>
    </row>
    <row r="294" ht="22" customHeight="1">
      <c r="B294" s="242" t="n"/>
      <c r="C294" s="243" t="n"/>
      <c r="D294" s="244" t="n"/>
      <c r="E294" s="245" t="n"/>
      <c r="F294" s="246" t="n"/>
      <c r="G294" s="247" t="n"/>
      <c r="H294" s="246" t="n"/>
      <c r="I294" s="247" t="n"/>
      <c r="J294" s="246" t="str">
        <f>IF(AND(ISNUMBER(F294),ISNUMBER(H294)),ROUND(H294-F294,8),"")</f>
        <v/>
      </c>
      <c r="K294" s="247" t="str">
        <f>IF(AND(ISNUMBER(G294),ISNUMBER(I294)),ROUND(I294-G294,8),"")</f>
        <v/>
      </c>
    </row>
    <row r="295" ht="22" customHeight="1">
      <c r="B295" s="236" t="n"/>
      <c r="C295" s="237" t="n"/>
      <c r="D295" s="238" t="n"/>
      <c r="E295" s="239" t="n"/>
      <c r="F295" s="240" t="n"/>
      <c r="G295" s="241" t="n"/>
      <c r="H295" s="240" t="n"/>
      <c r="I295" s="241" t="n"/>
      <c r="J295" s="240" t="str">
        <f>IF(AND(ISNUMBER(F295),ISNUMBER(H295)),ROUND(H295-F295,8),"")</f>
        <v/>
      </c>
      <c r="K295" s="241" t="str">
        <f>IF(AND(ISNUMBER(G295),ISNUMBER(I295)),ROUND(I295-G295,8),"")</f>
        <v/>
      </c>
    </row>
    <row r="296" ht="22" customHeight="1">
      <c r="B296" s="242" t="n"/>
      <c r="C296" s="243" t="n"/>
      <c r="D296" s="244" t="n"/>
      <c r="E296" s="245" t="n"/>
      <c r="F296" s="246" t="n"/>
      <c r="G296" s="247" t="n"/>
      <c r="H296" s="246" t="n"/>
      <c r="I296" s="247" t="n"/>
      <c r="J296" s="246" t="str">
        <f>IF(AND(ISNUMBER(F296),ISNUMBER(H296)),ROUND(H296-F296,8),"")</f>
        <v/>
      </c>
      <c r="K296" s="247" t="str">
        <f>IF(AND(ISNUMBER(G296),ISNUMBER(I296)),ROUND(I296-G296,8),"")</f>
        <v/>
      </c>
    </row>
    <row r="297" ht="22" customHeight="1">
      <c r="B297" s="236" t="n"/>
      <c r="C297" s="237" t="n"/>
      <c r="D297" s="238" t="n"/>
      <c r="E297" s="239" t="n"/>
      <c r="F297" s="240" t="n"/>
      <c r="G297" s="241" t="n"/>
      <c r="H297" s="240" t="n"/>
      <c r="I297" s="241" t="n"/>
      <c r="J297" s="240" t="str">
        <f>IF(AND(ISNUMBER(F297),ISNUMBER(H297)),ROUND(H297-F297,8),"")</f>
        <v/>
      </c>
      <c r="K297" s="241" t="str">
        <f>IF(AND(ISNUMBER(G297),ISNUMBER(I297)),ROUND(I297-G297,8),"")</f>
        <v/>
      </c>
    </row>
    <row r="298" ht="22" customHeight="1">
      <c r="B298" s="242" t="n"/>
      <c r="C298" s="243" t="n"/>
      <c r="D298" s="244" t="n"/>
      <c r="E298" s="245" t="n"/>
      <c r="F298" s="246" t="n"/>
      <c r="G298" s="247" t="n"/>
      <c r="H298" s="246" t="n"/>
      <c r="I298" s="247" t="n"/>
      <c r="J298" s="246" t="str">
        <f>IF(AND(ISNUMBER(F298),ISNUMBER(H298)),ROUND(H298-F298,8),"")</f>
        <v/>
      </c>
      <c r="K298" s="247" t="str">
        <f>IF(AND(ISNUMBER(G298),ISNUMBER(I298)),ROUND(I298-G298,8),"")</f>
        <v/>
      </c>
    </row>
    <row r="299" ht="22" customHeight="1">
      <c r="B299" s="236" t="n"/>
      <c r="C299" s="237" t="n"/>
      <c r="D299" s="238" t="n"/>
      <c r="E299" s="239" t="n"/>
      <c r="F299" s="240" t="n"/>
      <c r="G299" s="241" t="n"/>
      <c r="H299" s="240" t="n"/>
      <c r="I299" s="241" t="n"/>
      <c r="J299" s="240" t="str">
        <f>IF(AND(ISNUMBER(F299),ISNUMBER(H299)),ROUND(H299-F299,8),"")</f>
        <v/>
      </c>
      <c r="K299" s="241" t="str">
        <f>IF(AND(ISNUMBER(G299),ISNUMBER(I299)),ROUND(I299-G299,8),"")</f>
        <v/>
      </c>
    </row>
    <row r="300" ht="22" customHeight="1">
      <c r="B300" s="242" t="n"/>
      <c r="C300" s="243" t="n"/>
      <c r="D300" s="244" t="n"/>
      <c r="E300" s="245" t="n"/>
      <c r="F300" s="246" t="n"/>
      <c r="G300" s="247" t="n"/>
      <c r="H300" s="246" t="n"/>
      <c r="I300" s="247" t="n"/>
      <c r="J300" s="246" t="str">
        <f>IF(AND(ISNUMBER(F300),ISNUMBER(H300)),ROUND(H300-F300,8),"")</f>
        <v/>
      </c>
      <c r="K300" s="247" t="str">
        <f>IF(AND(ISNUMBER(G300),ISNUMBER(I300)),ROUND(I300-G300,8),"")</f>
        <v/>
      </c>
    </row>
  </sheetData>
  <autoFilter ref="B4:K300"/>
  <mergeCells count="1">
    <mergeCell ref="B1:K2"/>
  </mergeCells>
  <conditionalFormatting sqref="B5:K300">
    <cfRule type="expression" priority="1" dxfId="2">
      <formula>MOD(ROW(),2)=1</formula>
    </cfRule>
    <cfRule type="expression" priority="2" dxfId="3">
      <formula>MOD(ROW(),2)=0</formula>
    </cfRule>
  </conditionalFormatting>
  <dataValidations count="1">
    <dataValidation type="list" allowBlank="1" showErrorMessage="1" errorTitle="Протокол" error="Выберите значение из списка." sqref="D5:D300">
      <formula1>Список_Протокол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BNB/USDT</t>
        </is>
      </c>
      <c r="C5" s="240">
        <f>IF($B5="","",IF(COUNTIFS(Пул!$E$5:$E$300,$B5,Пул!$F$5:$F$300,"&lt;&gt;")=0,"",ROUND(SUMIFS(Пул!$F$5:$F$300,Пул!$E$5:$E$300,$B5),8)))</f>
        <v>4</v>
      </c>
      <c r="D5" s="241">
        <f>IF($B5="","",IF(COUNTIFS(Пул!$E$5:$E$300,$B5,Пул!$G$5:$G$300,"&lt;&gt;")=0,"",ROUND(SUMIFS(Пул!$G$5:$G$300,Пул!$E$5:$E$300,$B5),8)))</f>
        <v>2360</v>
      </c>
      <c r="E5" s="240">
        <f>IF($B5="","",IF(COUNTIFS(Пул!$E$5:$E$300,$B5,Пул!$H$5:$H$300,"&lt;&gt;")=0,"",ROUND(SUMIFS(Пул!$H$5:$H$300,Пул!$E$5:$E$300,$B5),8)))</f>
        <v>4.2</v>
      </c>
      <c r="F5" s="241">
        <f>IF($B5="","",IF(COUNTIFS(Пул!$E$5:$E$300,$B5,Пул!$I$5:$I$300,"&lt;&gt;")=0,"",ROUND(SUMIFS(Пул!$I$5:$I$300,Пул!$E$5:$E$300,$B5),8)))</f>
        <v>2300</v>
      </c>
      <c r="G5" s="240">
        <f>IF($B5="","",IF(COUNTIFS(Пул!$E$5:$E$300,$B5,Пул!$H$5:$H$300,"&lt;&gt;")=0,"",ROUND(SUMIFS(Пул!$J$5:$J$300,Пул!$E$5:$E$300,$B5),8)))</f>
        <v>0.2</v>
      </c>
      <c r="H5" s="241">
        <f>IF($B5="","",IF(COUNTIFS(Пул!$E$5:$E$300,$B5,Пул!$I$5:$I$300,"&lt;&gt;")=0,"",ROUND(SUMIFS(Пул!$K$5:$K$300,Пул!$E$5:$E$300,$B5),8)))</f>
        <v>-60</v>
      </c>
      <c r="I5" s="236" t="str">
        <f>IF(AND(ISNUMBER(G5),ISNUMBER(H5)),IF(AND(G5&gt;0,H5&lt;0),"Buy",IF(AND(G5&lt;0,H5&gt;0),"Sell","")),"")</f>
        <v>Buy</v>
      </c>
      <c r="J5" s="177">
        <f>IF(I5="Buy",G5,IF(I5="Sell",-G5,""))</f>
        <v>0.2</v>
      </c>
      <c r="K5" s="177">
        <f>IF(AND(ISNUMBER(J5),ISNUMBER(L5),N(J5)&lt;&gt;0),ROUND(L5/J5,8),"")</f>
        <v>300</v>
      </c>
      <c r="L5" s="177">
        <f>IF(I5="Buy",-H5,IF(I5="Sell",H5,""))</f>
        <v>60</v>
      </c>
    </row>
    <row r="6" ht="22" customHeight="1">
      <c r="B6" s="245" t="inlineStr">
        <is>
          <t>BTC/USDT</t>
        </is>
      </c>
      <c r="C6" s="246">
        <f>IF($B6="","",IF(COUNTIFS(Пул!$E$5:$E$300,$B6,Пул!$F$5:$F$300,"&lt;&gt;")=0,"",ROUND(SUMIFS(Пул!$F$5:$F$300,Пул!$E$5:$E$300,$B6),8)))</f>
        <v>0.05</v>
      </c>
      <c r="D6" s="247">
        <f>IF($B6="","",IF(COUNTIFS(Пул!$E$5:$E$300,$B6,Пул!$G$5:$G$300,"&lt;&gt;")=0,"",ROUND(SUMIFS(Пул!$G$5:$G$300,Пул!$E$5:$E$300,$B6),8)))</f>
        <v>3125</v>
      </c>
      <c r="E6" s="246" t="str">
        <f>IF($B6="","",IF(COUNTIFS(Пул!$E$5:$E$300,$B6,Пул!$H$5:$H$300,"&lt;&gt;")=0,"",ROUND(SUMIFS(Пул!$H$5:$H$300,Пул!$E$5:$E$300,$B6),8)))</f>
        <v/>
      </c>
      <c r="F6" s="247" t="str">
        <f>IF($B6="","",IF(COUNTIFS(Пул!$E$5:$E$300,$B6,Пул!$I$5:$I$300,"&lt;&gt;")=0,"",ROUND(SUMIFS(Пул!$I$5:$I$300,Пул!$E$5:$E$300,$B6),8)))</f>
        <v/>
      </c>
      <c r="G6" s="246" t="str">
        <f>IF($B6="","",IF(COUNTIFS(Пул!$E$5:$E$300,$B6,Пул!$H$5:$H$300,"&lt;&gt;")=0,"",ROUND(SUMIFS(Пул!$J$5:$J$300,Пул!$E$5:$E$300,$B6),8)))</f>
        <v/>
      </c>
      <c r="H6" s="247" t="str">
        <f>IF($B6="","",IF(COUNTIFS(Пул!$E$5:$E$300,$B6,Пул!$I$5:$I$300,"&lt;&gt;")=0,"",ROUND(SUMIFS(Пул!$K$5:$K$300,Пул!$E$5:$E$300,$B6),8)))</f>
        <v/>
      </c>
      <c r="I6" s="242" t="str">
        <f>IF(AND(ISNUMBER(G6),ISNUMBER(H6)),IF(AND(G6&gt;0,H6&lt;0),"Buy",IF(AND(G6&lt;0,H6&gt;0),"Sell","")),"")</f>
        <v/>
      </c>
      <c r="J6" s="183" t="str">
        <f>IF(I6="Buy",G6,IF(I6="Sell",-G6,""))</f>
        <v/>
      </c>
      <c r="K6" s="183" t="str">
        <f>IF(AND(ISNUMBER(J6),ISNUMBER(L6),N(J6)&lt;&gt;0),ROUND(L6/J6,8),"")</f>
        <v/>
      </c>
      <c r="L6" s="183" t="str">
        <f>IF(I6="Buy",-H6,IF(I6="Sell",H6,""))</f>
        <v/>
      </c>
    </row>
    <row r="7" ht="22" customHeight="1">
      <c r="B7" s="239" t="inlineStr">
        <is>
          <t>ETH/BTC</t>
        </is>
      </c>
      <c r="C7" s="240">
        <f>IF($B7="","",IF(COUNTIFS(Пул!$E$5:$E$300,$B7,Пул!$F$5:$F$300,"&lt;&gt;")=0,"",ROUND(SUMIFS(Пул!$F$5:$F$300,Пул!$E$5:$E$300,$B7),8)))</f>
        <v>3.2</v>
      </c>
      <c r="D7" s="241">
        <f>IF($B7="","",IF(COUNTIFS(Пул!$E$5:$E$300,$B7,Пул!$G$5:$G$300,"&lt;&gt;")=0,"",ROUND(SUMIFS(Пул!$G$5:$G$300,Пул!$E$5:$E$300,$B7),8)))</f>
        <v>0.1664</v>
      </c>
      <c r="E7" s="240">
        <f>IF($B7="","",IF(COUNTIFS(Пул!$E$5:$E$300,$B7,Пул!$H$5:$H$300,"&lt;&gt;")=0,"",ROUND(SUMIFS(Пул!$H$5:$H$300,Пул!$E$5:$E$300,$B7),8)))</f>
        <v>1.96</v>
      </c>
      <c r="F7" s="241">
        <f>IF($B7="","",IF(COUNTIFS(Пул!$E$5:$E$300,$B7,Пул!$I$5:$I$300,"&lt;&gt;")=0,"",ROUND(SUMIFS(Пул!$I$5:$I$300,Пул!$E$5:$E$300,$B7),8)))</f>
        <v>0.1092</v>
      </c>
      <c r="G7" s="240">
        <f>IF($B7="","",IF(COUNTIFS(Пул!$E$5:$E$300,$B7,Пул!$H$5:$H$300,"&lt;&gt;")=0,"",ROUND(SUMIFS(Пул!$J$5:$J$300,Пул!$E$5:$E$300,$B7),8)))</f>
        <v>-0.04</v>
      </c>
      <c r="H7" s="241">
        <f>IF($B7="","",IF(COUNTIFS(Пул!$E$5:$E$300,$B7,Пул!$I$5:$I$300,"&lt;&gt;")=0,"",ROUND(SUMIFS(Пул!$K$5:$K$300,Пул!$E$5:$E$300,$B7),8)))</f>
        <v>0.0052</v>
      </c>
      <c r="I7" s="236" t="str">
        <f>IF(AND(ISNUMBER(G7),ISNUMBER(H7)),IF(AND(G7&gt;0,H7&lt;0),"Buy",IF(AND(G7&lt;0,H7&gt;0),"Sell","")),"")</f>
        <v>Sell</v>
      </c>
      <c r="J7" s="177">
        <f>IF(I7="Buy",G7,IF(I7="Sell",-G7,""))</f>
        <v>0.04</v>
      </c>
      <c r="K7" s="177">
        <f>IF(AND(ISNUMBER(J7),ISNUMBER(L7),N(J7)&lt;&gt;0),ROUND(L7/J7,8),"")</f>
        <v>0.13</v>
      </c>
      <c r="L7" s="177">
        <f>IF(I7="Buy",-H7,IF(I7="Sell",H7,""))</f>
        <v>0.0052</v>
      </c>
    </row>
    <row r="8" ht="22" customHeight="1">
      <c r="B8" s="245" t="inlineStr">
        <is>
          <t>ETH/USDT</t>
        </is>
      </c>
      <c r="C8" s="246">
        <f>IF($B8="","",IF(COUNTIFS(Пул!$E$5:$E$300,$B8,Пул!$F$5:$F$300,"&lt;&gt;")=0,"",ROUND(SUMIFS(Пул!$F$5:$F$300,Пул!$E$5:$E$300,$B8),8)))</f>
        <v>1.5</v>
      </c>
      <c r="D8" s="247">
        <f>IF($B8="","",IF(COUNTIFS(Пул!$E$5:$E$300,$B8,Пул!$G$5:$G$300,"&lt;&gt;")=0,"",ROUND(SUMIFS(Пул!$G$5:$G$300,Пул!$E$5:$E$300,$B8),8)))</f>
        <v>4800</v>
      </c>
      <c r="E8" s="246" t="str">
        <f>IF($B8="","",IF(COUNTIFS(Пул!$E$5:$E$300,$B8,Пул!$H$5:$H$300,"&lt;&gt;")=0,"",ROUND(SUMIFS(Пул!$H$5:$H$300,Пул!$E$5:$E$300,$B8),8)))</f>
        <v/>
      </c>
      <c r="F8" s="247" t="str">
        <f>IF($B8="","",IF(COUNTIFS(Пул!$E$5:$E$300,$B8,Пул!$I$5:$I$300,"&lt;&gt;")=0,"",ROUND(SUMIFS(Пул!$I$5:$I$300,Пул!$E$5:$E$300,$B8),8)))</f>
        <v/>
      </c>
      <c r="G8" s="246" t="str">
        <f>IF($B8="","",IF(COUNTIFS(Пул!$E$5:$E$300,$B8,Пул!$H$5:$H$300,"&lt;&gt;")=0,"",ROUND(SUMIFS(Пул!$J$5:$J$300,Пул!$E$5:$E$300,$B8),8)))</f>
        <v/>
      </c>
      <c r="H8" s="247" t="str">
        <f>IF($B8="","",IF(COUNTIFS(Пул!$E$5:$E$300,$B8,Пул!$I$5:$I$300,"&lt;&gt;")=0,"",ROUND(SUMIFS(Пул!$K$5:$K$300,Пул!$E$5:$E$300,$B8),8)))</f>
        <v/>
      </c>
      <c r="I8" s="242" t="str">
        <f>IF(AND(ISNUMBER(G8),ISNUMBER(H8)),IF(AND(G8&gt;0,H8&lt;0),"Buy",IF(AND(G8&lt;0,H8&gt;0),"Sell","")),"")</f>
        <v/>
      </c>
      <c r="J8" s="183" t="str">
        <f>IF(I8="Buy",G8,IF(I8="Sell",-G8,""))</f>
        <v/>
      </c>
      <c r="K8" s="183" t="str">
        <f>IF(AND(ISNUMBER(J8),ISNUMBER(L8),N(J8)&lt;&gt;0),ROUND(L8/J8,8),"")</f>
        <v/>
      </c>
      <c r="L8" s="183" t="str">
        <f>IF(I8="Buy",-H8,IF(I8="Sell",H8,""))</f>
        <v/>
      </c>
    </row>
    <row r="9" ht="22" customHeight="1">
      <c r="B9" s="239" t="inlineStr">
        <is>
          <t>SOL/USDT</t>
        </is>
      </c>
      <c r="C9" s="240">
        <f>IF($B9="","",IF(COUNTIFS(Пул!$E$5:$E$300,$B9,Пул!$F$5:$F$300,"&lt;&gt;")=0,"",ROUND(SUMIFS(Пул!$F$5:$F$300,Пул!$E$5:$E$300,$B9),8)))</f>
        <v>67</v>
      </c>
      <c r="D9" s="241">
        <f>IF($B9="","",IF(COUNTIFS(Пул!$E$5:$E$300,$B9,Пул!$G$5:$G$300,"&lt;&gt;")=0,"",ROUND(SUMIFS(Пул!$G$5:$G$300,Пул!$E$5:$E$300,$B9),8)))</f>
        <v>9715</v>
      </c>
      <c r="E9" s="240">
        <f>IF($B9="","",IF(COUNTIFS(Пул!$E$5:$E$300,$B9,Пул!$H$5:$H$300,"&lt;&gt;")=0,"",ROUND(SUMIFS(Пул!$H$5:$H$300,Пул!$E$5:$E$300,$B9),8)))</f>
        <v>41.1</v>
      </c>
      <c r="F9" s="241">
        <f>IF($B9="","",IF(COUNTIFS(Пул!$E$5:$E$300,$B9,Пул!$I$5:$I$300,"&lt;&gt;")=0,"",ROUND(SUMIFS(Пул!$I$5:$I$300,Пул!$E$5:$E$300,$B9),8)))</f>
        <v>6248</v>
      </c>
      <c r="G9" s="240">
        <f>IF($B9="","",IF(COUNTIFS(Пул!$E$5:$E$300,$B9,Пул!$H$5:$H$300,"&lt;&gt;")=0,"",ROUND(SUMIFS(Пул!$J$5:$J$300,Пул!$E$5:$E$300,$B9),8)))</f>
        <v>-0.9</v>
      </c>
      <c r="H9" s="241">
        <f>IF($B9="","",IF(COUNTIFS(Пул!$E$5:$E$300,$B9,Пул!$I$5:$I$300,"&lt;&gt;")=0,"",ROUND(SUMIFS(Пул!$K$5:$K$300,Пул!$E$5:$E$300,$B9),8)))</f>
        <v>158</v>
      </c>
      <c r="I9" s="236" t="str">
        <f>IF(AND(ISNUMBER(G9),ISNUMBER(H9)),IF(AND(G9&gt;0,H9&lt;0),"Buy",IF(AND(G9&lt;0,H9&gt;0),"Sell","")),"")</f>
        <v>Sell</v>
      </c>
      <c r="J9" s="177">
        <f>IF(I9="Buy",G9,IF(I9="Sell",-G9,""))</f>
        <v>0.9</v>
      </c>
      <c r="K9" s="177">
        <f>IF(AND(ISNUMBER(J9),ISNUMBER(L9),N(J9)&lt;&gt;0),ROUND(L9/J9,8),"")</f>
        <v>175.55555556</v>
      </c>
      <c r="L9" s="177">
        <f>IF(I9="Buy",-H9,IF(I9="Sell",H9,""))</f>
        <v>158</v>
      </c>
    </row>
    <row r="10" ht="22" customHeight="1">
      <c r="B10" s="245" t="n"/>
      <c r="C10" s="246" t="str">
        <f>IF($B10="","",IF(COUNTIFS(Пул!$E$5:$E$300,$B10,Пул!$F$5:$F$300,"&lt;&gt;")=0,"",ROUND(SUMIFS(Пул!$F$5:$F$300,Пул!$E$5:$E$300,$B10),8)))</f>
        <v/>
      </c>
      <c r="D10" s="247" t="str">
        <f>IF($B10="","",IF(COUNTIFS(Пул!$E$5:$E$300,$B10,Пул!$G$5:$G$300,"&lt;&gt;")=0,"",ROUND(SUMIFS(Пул!$G$5:$G$300,Пул!$E$5:$E$300,$B10),8)))</f>
        <v/>
      </c>
      <c r="E10" s="246" t="str">
        <f>IF($B10="","",IF(COUNTIFS(Пул!$E$5:$E$300,$B10,Пул!$H$5:$H$300,"&lt;&gt;")=0,"",ROUND(SUMIFS(Пул!$H$5:$H$300,Пул!$E$5:$E$300,$B10),8)))</f>
        <v/>
      </c>
      <c r="F10" s="247" t="str">
        <f>IF($B10="","",IF(COUNTIFS(Пул!$E$5:$E$300,$B10,Пул!$I$5:$I$300,"&lt;&gt;")=0,"",ROUND(SUMIFS(Пул!$I$5:$I$300,Пул!$E$5:$E$300,$B10),8)))</f>
        <v/>
      </c>
      <c r="G10" s="246" t="str">
        <f>IF($B10="","",IF(COUNTIFS(Пул!$E$5:$E$300,$B10,Пул!$H$5:$H$300,"&lt;&gt;")=0,"",ROUND(SUMIFS(Пул!$J$5:$J$300,Пул!$E$5:$E$300,$B10),8)))</f>
        <v/>
      </c>
      <c r="H10" s="247" t="str">
        <f>IF($B10="","",IF(COUNTIFS(Пул!$E$5:$E$300,$B10,Пул!$I$5:$I$300,"&lt;&gt;")=0,"",ROUND(SUMIFS(Пул!$K$5:$K$300,Пул!$E$5:$E$300,$B10),8)))</f>
        <v/>
      </c>
      <c r="I10" s="242" t="str">
        <f>IF(AND(ISNUMBER(G10),ISNUMBER(H10)),IF(AND(G10&gt;0,H10&lt;0),"Buy",IF(AND(G10&lt;0,H10&gt;0),"Sell","")),"")</f>
        <v/>
      </c>
      <c r="J10" s="183" t="str">
        <f>IF(I10="Buy",G10,IF(I10="Sell",-G10,""))</f>
        <v/>
      </c>
      <c r="K10" s="183" t="str">
        <f>IF(AND(ISNUMBER(J10),ISNUMBER(L10),N(J10)&lt;&gt;0),ROUND(L10/J10,8),"")</f>
        <v/>
      </c>
      <c r="L10" s="183" t="str">
        <f>IF(I10="Buy",-H10,IF(I10="Sell",H10,""))</f>
        <v/>
      </c>
    </row>
    <row r="11" ht="22" customHeight="1">
      <c r="B11" s="239" t="n"/>
      <c r="C11" s="240" t="str">
        <f>IF($B11="","",IF(COUNTIFS(Пул!$E$5:$E$300,$B11,Пул!$F$5:$F$300,"&lt;&gt;")=0,"",ROUND(SUMIFS(Пул!$F$5:$F$300,Пул!$E$5:$E$300,$B11),8)))</f>
        <v/>
      </c>
      <c r="D11" s="241" t="str">
        <f>IF($B11="","",IF(COUNTIFS(Пул!$E$5:$E$300,$B11,Пул!$G$5:$G$300,"&lt;&gt;")=0,"",ROUND(SUMIFS(Пул!$G$5:$G$300,Пул!$E$5:$E$300,$B11),8)))</f>
        <v/>
      </c>
      <c r="E11" s="240" t="str">
        <f>IF($B11="","",IF(COUNTIFS(Пул!$E$5:$E$300,$B11,Пул!$H$5:$H$300,"&lt;&gt;")=0,"",ROUND(SUMIFS(Пул!$H$5:$H$300,Пул!$E$5:$E$300,$B11),8)))</f>
        <v/>
      </c>
      <c r="F11" s="241" t="str">
        <f>IF($B11="","",IF(COUNTIFS(Пул!$E$5:$E$300,$B11,Пул!$I$5:$I$300,"&lt;&gt;")=0,"",ROUND(SUMIFS(Пул!$I$5:$I$300,Пул!$E$5:$E$300,$B11),8)))</f>
        <v/>
      </c>
      <c r="G11" s="240" t="str">
        <f>IF($B11="","",IF(COUNTIFS(Пул!$E$5:$E$300,$B11,Пул!$H$5:$H$300,"&lt;&gt;")=0,"",ROUND(SUMIFS(Пул!$J$5:$J$300,Пул!$E$5:$E$300,$B11),8)))</f>
        <v/>
      </c>
      <c r="H11" s="241" t="str">
        <f>IF($B11="","",IF(COUNTIFS(Пул!$E$5:$E$300,$B11,Пул!$I$5:$I$300,"&lt;&gt;")=0,"",ROUND(SUMIFS(Пул!$K$5:$K$300,Пул!$E$5:$E$300,$B11),8)))</f>
        <v/>
      </c>
      <c r="I11" s="236" t="str">
        <f>IF(AND(ISNUMBER(G11),ISNUMBER(H11)),IF(AND(G11&gt;0,H11&lt;0),"Buy",IF(AND(G11&lt;0,H11&gt;0),"Sell","")),"")</f>
        <v/>
      </c>
      <c r="J11" s="177" t="str">
        <f>IF(I11="Buy",G11,IF(I11="Sell",-G11,""))</f>
        <v/>
      </c>
      <c r="K11" s="177" t="str">
        <f>IF(AND(ISNUMBER(J11),ISNUMBER(L11),N(J11)&lt;&gt;0),ROUND(L11/J11,8),"")</f>
        <v/>
      </c>
      <c r="L11" s="177" t="str">
        <f>IF(I11="Buy",-H11,IF(I11="Sell",H11,""))</f>
        <v/>
      </c>
    </row>
    <row r="12" ht="22" customHeight="1">
      <c r="B12" s="245" t="n"/>
      <c r="C12" s="246" t="str">
        <f>IF($B12="","",IF(COUNTIFS(Пул!$E$5:$E$300,$B12,Пул!$F$5:$F$300,"&lt;&gt;")=0,"",ROUND(SUMIFS(Пул!$F$5:$F$300,Пул!$E$5:$E$300,$B12),8)))</f>
        <v/>
      </c>
      <c r="D12" s="247" t="str">
        <f>IF($B12="","",IF(COUNTIFS(Пул!$E$5:$E$300,$B12,Пул!$G$5:$G$300,"&lt;&gt;")=0,"",ROUND(SUMIFS(Пул!$G$5:$G$300,Пул!$E$5:$E$300,$B12),8)))</f>
        <v/>
      </c>
      <c r="E12" s="246" t="str">
        <f>IF($B12="","",IF(COUNTIFS(Пул!$E$5:$E$300,$B12,Пул!$H$5:$H$300,"&lt;&gt;")=0,"",ROUND(SUMIFS(Пул!$H$5:$H$300,Пул!$E$5:$E$300,$B12),8)))</f>
        <v/>
      </c>
      <c r="F12" s="247" t="str">
        <f>IF($B12="","",IF(COUNTIFS(Пул!$E$5:$E$300,$B12,Пул!$I$5:$I$300,"&lt;&gt;")=0,"",ROUND(SUMIFS(Пул!$I$5:$I$300,Пул!$E$5:$E$300,$B12),8)))</f>
        <v/>
      </c>
      <c r="G12" s="246" t="str">
        <f>IF($B12="","",IF(COUNTIFS(Пул!$E$5:$E$300,$B12,Пул!$H$5:$H$300,"&lt;&gt;")=0,"",ROUND(SUMIFS(Пул!$J$5:$J$300,Пул!$E$5:$E$300,$B12),8)))</f>
        <v/>
      </c>
      <c r="H12" s="247" t="str">
        <f>IF($B12="","",IF(COUNTIFS(Пул!$E$5:$E$300,$B12,Пул!$I$5:$I$300,"&lt;&gt;")=0,"",ROUND(SUMIFS(Пул!$K$5:$K$300,Пул!$E$5:$E$300,$B12),8)))</f>
        <v/>
      </c>
      <c r="I12" s="242" t="str">
        <f>IF(AND(ISNUMBER(G12),ISNUMBER(H12)),IF(AND(G12&gt;0,H12&lt;0),"Buy",IF(AND(G12&lt;0,H12&gt;0),"Sell","")),"")</f>
        <v/>
      </c>
      <c r="J12" s="183" t="str">
        <f>IF(I12="Buy",G12,IF(I12="Sell",-G12,""))</f>
        <v/>
      </c>
      <c r="K12" s="183" t="str">
        <f>IF(AND(ISNUMBER(J12),ISNUMBER(L12),N(J12)&lt;&gt;0),ROUND(L12/J12,8),"")</f>
        <v/>
      </c>
      <c r="L12" s="183" t="str">
        <f>IF(I12="Buy",-H12,IF(I12="Sell",H12,""))</f>
        <v/>
      </c>
    </row>
    <row r="13" ht="22" customHeight="1">
      <c r="B13" s="239" t="n"/>
      <c r="C13" s="240" t="str">
        <f>IF($B13="","",IF(COUNTIFS(Пул!$E$5:$E$300,$B13,Пул!$F$5:$F$300,"&lt;&gt;")=0,"",ROUND(SUMIFS(Пул!$F$5:$F$300,Пул!$E$5:$E$300,$B13),8)))</f>
        <v/>
      </c>
      <c r="D13" s="241" t="str">
        <f>IF($B13="","",IF(COUNTIFS(Пул!$E$5:$E$300,$B13,Пул!$G$5:$G$300,"&lt;&gt;")=0,"",ROUND(SUMIFS(Пул!$G$5:$G$300,Пул!$E$5:$E$300,$B13),8)))</f>
        <v/>
      </c>
      <c r="E13" s="240" t="str">
        <f>IF($B13="","",IF(COUNTIFS(Пул!$E$5:$E$300,$B13,Пул!$H$5:$H$300,"&lt;&gt;")=0,"",ROUND(SUMIFS(Пул!$H$5:$H$300,Пул!$E$5:$E$300,$B13),8)))</f>
        <v/>
      </c>
      <c r="F13" s="241" t="str">
        <f>IF($B13="","",IF(COUNTIFS(Пул!$E$5:$E$300,$B13,Пул!$I$5:$I$300,"&lt;&gt;")=0,"",ROUND(SUMIFS(Пул!$I$5:$I$300,Пул!$E$5:$E$300,$B13),8)))</f>
        <v/>
      </c>
      <c r="G13" s="240" t="str">
        <f>IF($B13="","",IF(COUNTIFS(Пул!$E$5:$E$300,$B13,Пул!$H$5:$H$300,"&lt;&gt;")=0,"",ROUND(SUMIFS(Пул!$J$5:$J$300,Пул!$E$5:$E$300,$B13),8)))</f>
        <v/>
      </c>
      <c r="H13" s="241" t="str">
        <f>IF($B13="","",IF(COUNTIFS(Пул!$E$5:$E$300,$B13,Пул!$I$5:$I$300,"&lt;&gt;")=0,"",ROUND(SUMIFS(Пул!$K$5:$K$300,Пул!$E$5:$E$300,$B13),8)))</f>
        <v/>
      </c>
      <c r="I13" s="236" t="str">
        <f>IF(AND(ISNUMBER(G13),ISNUMBER(H13)),IF(AND(G13&gt;0,H13&lt;0),"Buy",IF(AND(G13&lt;0,H13&gt;0),"Sell","")),"")</f>
        <v/>
      </c>
      <c r="J13" s="177" t="str">
        <f>IF(I13="Buy",G13,IF(I13="Sell",-G13,""))</f>
        <v/>
      </c>
      <c r="K13" s="177" t="str">
        <f>IF(AND(ISNUMBER(J13),ISNUMBER(L13),N(J13)&lt;&gt;0),ROUND(L13/J13,8),"")</f>
        <v/>
      </c>
      <c r="L13" s="177" t="str">
        <f>IF(I13="Buy",-H13,IF(I13="Sell",H13,""))</f>
        <v/>
      </c>
    </row>
    <row r="14" ht="22" customHeight="1">
      <c r="B14" s="245" t="n"/>
      <c r="C14" s="246" t="str">
        <f>IF($B14="","",IF(COUNTIFS(Пул!$E$5:$E$300,$B14,Пул!$F$5:$F$300,"&lt;&gt;")=0,"",ROUND(SUMIFS(Пул!$F$5:$F$300,Пул!$E$5:$E$300,$B14),8)))</f>
        <v/>
      </c>
      <c r="D14" s="247" t="str">
        <f>IF($B14="","",IF(COUNTIFS(Пул!$E$5:$E$300,$B14,Пул!$G$5:$G$300,"&lt;&gt;")=0,"",ROUND(SUMIFS(Пул!$G$5:$G$300,Пул!$E$5:$E$300,$B14),8)))</f>
        <v/>
      </c>
      <c r="E14" s="246" t="str">
        <f>IF($B14="","",IF(COUNTIFS(Пул!$E$5:$E$300,$B14,Пул!$H$5:$H$300,"&lt;&gt;")=0,"",ROUND(SUMIFS(Пул!$H$5:$H$300,Пул!$E$5:$E$300,$B14),8)))</f>
        <v/>
      </c>
      <c r="F14" s="247" t="str">
        <f>IF($B14="","",IF(COUNTIFS(Пул!$E$5:$E$300,$B14,Пул!$I$5:$I$300,"&lt;&gt;")=0,"",ROUND(SUMIFS(Пул!$I$5:$I$300,Пул!$E$5:$E$300,$B14),8)))</f>
        <v/>
      </c>
      <c r="G14" s="246" t="str">
        <f>IF($B14="","",IF(COUNTIFS(Пул!$E$5:$E$300,$B14,Пул!$H$5:$H$300,"&lt;&gt;")=0,"",ROUND(SUMIFS(Пул!$J$5:$J$300,Пул!$E$5:$E$300,$B14),8)))</f>
        <v/>
      </c>
      <c r="H14" s="247" t="str">
        <f>IF($B14="","",IF(COUNTIFS(Пул!$E$5:$E$300,$B14,Пул!$I$5:$I$300,"&lt;&gt;")=0,"",ROUND(SUMIFS(Пул!$K$5:$K$300,Пул!$E$5:$E$300,$B14),8)))</f>
        <v/>
      </c>
      <c r="I14" s="242" t="str">
        <f>IF(AND(ISNUMBER(G14),ISNUMBER(H14)),IF(AND(G14&gt;0,H14&lt;0),"Buy",IF(AND(G14&lt;0,H14&gt;0),"Sell","")),"")</f>
        <v/>
      </c>
      <c r="J14" s="183" t="str">
        <f>IF(I14="Buy",G14,IF(I14="Sell",-G14,""))</f>
        <v/>
      </c>
      <c r="K14" s="183" t="str">
        <f>IF(AND(ISNUMBER(J14),ISNUMBER(L14),N(J14)&lt;&gt;0),ROUND(L14/J14,8),"")</f>
        <v/>
      </c>
      <c r="L14" s="183" t="str">
        <f>IF(I14="Buy",-H14,IF(I14="Sell",H14,""))</f>
        <v/>
      </c>
    </row>
    <row r="15" ht="22" customHeight="1">
      <c r="B15" s="239" t="n"/>
      <c r="C15" s="240" t="str">
        <f>IF($B15="","",IF(COUNTIFS(Пул!$E$5:$E$300,$B15,Пул!$F$5:$F$300,"&lt;&gt;")=0,"",ROUND(SUMIFS(Пул!$F$5:$F$300,Пул!$E$5:$E$300,$B15),8)))</f>
        <v/>
      </c>
      <c r="D15" s="241" t="str">
        <f>IF($B15="","",IF(COUNTIFS(Пул!$E$5:$E$300,$B15,Пул!$G$5:$G$300,"&lt;&gt;")=0,"",ROUND(SUMIFS(Пул!$G$5:$G$300,Пул!$E$5:$E$300,$B15),8)))</f>
        <v/>
      </c>
      <c r="E15" s="240" t="str">
        <f>IF($B15="","",IF(COUNTIFS(Пул!$E$5:$E$300,$B15,Пул!$H$5:$H$300,"&lt;&gt;")=0,"",ROUND(SUMIFS(Пул!$H$5:$H$300,Пул!$E$5:$E$300,$B15),8)))</f>
        <v/>
      </c>
      <c r="F15" s="241" t="str">
        <f>IF($B15="","",IF(COUNTIFS(Пул!$E$5:$E$300,$B15,Пул!$I$5:$I$300,"&lt;&gt;")=0,"",ROUND(SUMIFS(Пул!$I$5:$I$300,Пул!$E$5:$E$300,$B15),8)))</f>
        <v/>
      </c>
      <c r="G15" s="240" t="str">
        <f>IF($B15="","",IF(COUNTIFS(Пул!$E$5:$E$300,$B15,Пул!$H$5:$H$300,"&lt;&gt;")=0,"",ROUND(SUMIFS(Пул!$J$5:$J$300,Пул!$E$5:$E$300,$B15),8)))</f>
        <v/>
      </c>
      <c r="H15" s="241" t="str">
        <f>IF($B15="","",IF(COUNTIFS(Пул!$E$5:$E$300,$B15,Пул!$I$5:$I$300,"&lt;&gt;")=0,"",ROUND(SUMIFS(Пул!$K$5:$K$300,Пул!$E$5:$E$300,$B15),8)))</f>
        <v/>
      </c>
      <c r="I15" s="236" t="str">
        <f>IF(AND(ISNUMBER(G15),ISNUMBER(H15)),IF(AND(G15&gt;0,H15&lt;0),"Buy",IF(AND(G15&lt;0,H15&gt;0),"Sell","")),"")</f>
        <v/>
      </c>
      <c r="J15" s="177" t="str">
        <f>IF(I15="Buy",G15,IF(I15="Sell",-G15,""))</f>
        <v/>
      </c>
      <c r="K15" s="177" t="str">
        <f>IF(AND(ISNUMBER(J15),ISNUMBER(L15),N(J15)&lt;&gt;0),ROUND(L15/J15,8),"")</f>
        <v/>
      </c>
      <c r="L15" s="177" t="str">
        <f>IF(I15="Buy",-H15,IF(I15="Sell",H15,""))</f>
        <v/>
      </c>
    </row>
    <row r="16" ht="22" customHeight="1">
      <c r="B16" s="245" t="n"/>
      <c r="C16" s="246" t="str">
        <f>IF($B16="","",IF(COUNTIFS(Пул!$E$5:$E$300,$B16,Пул!$F$5:$F$300,"&lt;&gt;")=0,"",ROUND(SUMIFS(Пул!$F$5:$F$300,Пул!$E$5:$E$300,$B16),8)))</f>
        <v/>
      </c>
      <c r="D16" s="247" t="str">
        <f>IF($B16="","",IF(COUNTIFS(Пул!$E$5:$E$300,$B16,Пул!$G$5:$G$300,"&lt;&gt;")=0,"",ROUND(SUMIFS(Пул!$G$5:$G$300,Пул!$E$5:$E$300,$B16),8)))</f>
        <v/>
      </c>
      <c r="E16" s="246" t="str">
        <f>IF($B16="","",IF(COUNTIFS(Пул!$E$5:$E$300,$B16,Пул!$H$5:$H$300,"&lt;&gt;")=0,"",ROUND(SUMIFS(Пул!$H$5:$H$300,Пул!$E$5:$E$300,$B16),8)))</f>
        <v/>
      </c>
      <c r="F16" s="247" t="str">
        <f>IF($B16="","",IF(COUNTIFS(Пул!$E$5:$E$300,$B16,Пул!$I$5:$I$300,"&lt;&gt;")=0,"",ROUND(SUMIFS(Пул!$I$5:$I$300,Пул!$E$5:$E$300,$B16),8)))</f>
        <v/>
      </c>
      <c r="G16" s="246" t="str">
        <f>IF($B16="","",IF(COUNTIFS(Пул!$E$5:$E$300,$B16,Пул!$H$5:$H$300,"&lt;&gt;")=0,"",ROUND(SUMIFS(Пул!$J$5:$J$300,Пул!$E$5:$E$300,$B16),8)))</f>
        <v/>
      </c>
      <c r="H16" s="247" t="str">
        <f>IF($B16="","",IF(COUNTIFS(Пул!$E$5:$E$300,$B16,Пул!$I$5:$I$300,"&lt;&gt;")=0,"",ROUND(SUMIFS(Пул!$K$5:$K$300,Пул!$E$5:$E$300,$B16),8)))</f>
        <v/>
      </c>
      <c r="I16" s="242" t="str">
        <f>IF(AND(ISNUMBER(G16),ISNUMBER(H16)),IF(AND(G16&gt;0,H16&lt;0),"Buy",IF(AND(G16&lt;0,H16&gt;0),"Sell","")),"")</f>
        <v/>
      </c>
      <c r="J16" s="183" t="str">
        <f>IF(I16="Buy",G16,IF(I16="Sell",-G16,""))</f>
        <v/>
      </c>
      <c r="K16" s="183" t="str">
        <f>IF(AND(ISNUMBER(J16),ISNUMBER(L16),N(J16)&lt;&gt;0),ROUND(L16/J16,8),"")</f>
        <v/>
      </c>
      <c r="L16" s="183" t="str">
        <f>IF(I16="Buy",-H16,IF(I16="Sell",H16,""))</f>
        <v/>
      </c>
    </row>
    <row r="17" ht="22" customHeight="1">
      <c r="B17" s="239" t="n"/>
      <c r="C17" s="240" t="str">
        <f>IF($B17="","",IF(COUNTIFS(Пул!$E$5:$E$300,$B17,Пул!$F$5:$F$300,"&lt;&gt;")=0,"",ROUND(SUMIFS(Пул!$F$5:$F$300,Пул!$E$5:$E$300,$B17),8)))</f>
        <v/>
      </c>
      <c r="D17" s="241" t="str">
        <f>IF($B17="","",IF(COUNTIFS(Пул!$E$5:$E$300,$B17,Пул!$G$5:$G$300,"&lt;&gt;")=0,"",ROUND(SUMIFS(Пул!$G$5:$G$300,Пул!$E$5:$E$300,$B17),8)))</f>
        <v/>
      </c>
      <c r="E17" s="240" t="str">
        <f>IF($B17="","",IF(COUNTIFS(Пул!$E$5:$E$300,$B17,Пул!$H$5:$H$300,"&lt;&gt;")=0,"",ROUND(SUMIFS(Пул!$H$5:$H$300,Пул!$E$5:$E$300,$B17),8)))</f>
        <v/>
      </c>
      <c r="F17" s="241" t="str">
        <f>IF($B17="","",IF(COUNTIFS(Пул!$E$5:$E$300,$B17,Пул!$I$5:$I$300,"&lt;&gt;")=0,"",ROUND(SUMIFS(Пул!$I$5:$I$300,Пул!$E$5:$E$300,$B17),8)))</f>
        <v/>
      </c>
      <c r="G17" s="240" t="str">
        <f>IF($B17="","",IF(COUNTIFS(Пул!$E$5:$E$300,$B17,Пул!$H$5:$H$300,"&lt;&gt;")=0,"",ROUND(SUMIFS(Пул!$J$5:$J$300,Пул!$E$5:$E$300,$B17),8)))</f>
        <v/>
      </c>
      <c r="H17" s="241" t="str">
        <f>IF($B17="","",IF(COUNTIFS(Пул!$E$5:$E$300,$B17,Пул!$I$5:$I$300,"&lt;&gt;")=0,"",ROUND(SUMIFS(Пул!$K$5:$K$300,Пул!$E$5:$E$300,$B17),8)))</f>
        <v/>
      </c>
      <c r="I17" s="236" t="str">
        <f>IF(AND(ISNUMBER(G17),ISNUMBER(H17)),IF(AND(G17&gt;0,H17&lt;0),"Buy",IF(AND(G17&lt;0,H17&gt;0),"Sell","")),"")</f>
        <v/>
      </c>
      <c r="J17" s="177" t="str">
        <f>IF(I17="Buy",G17,IF(I17="Sell",-G17,""))</f>
        <v/>
      </c>
      <c r="K17" s="177" t="str">
        <f>IF(AND(ISNUMBER(J17),ISNUMBER(L17),N(J17)&lt;&gt;0),ROUND(L17/J17,8),"")</f>
        <v/>
      </c>
      <c r="L17" s="177" t="str">
        <f>IF(I17="Buy",-H17,IF(I17="Sell",H17,""))</f>
        <v/>
      </c>
    </row>
    <row r="18" ht="22" customHeight="1">
      <c r="B18" s="245" t="n"/>
      <c r="C18" s="246" t="str">
        <f>IF($B18="","",IF(COUNTIFS(Пул!$E$5:$E$300,$B18,Пул!$F$5:$F$300,"&lt;&gt;")=0,"",ROUND(SUMIFS(Пул!$F$5:$F$300,Пул!$E$5:$E$300,$B18),8)))</f>
        <v/>
      </c>
      <c r="D18" s="247" t="str">
        <f>IF($B18="","",IF(COUNTIFS(Пул!$E$5:$E$300,$B18,Пул!$G$5:$G$300,"&lt;&gt;")=0,"",ROUND(SUMIFS(Пул!$G$5:$G$300,Пул!$E$5:$E$300,$B18),8)))</f>
        <v/>
      </c>
      <c r="E18" s="246" t="str">
        <f>IF($B18="","",IF(COUNTIFS(Пул!$E$5:$E$300,$B18,Пул!$H$5:$H$300,"&lt;&gt;")=0,"",ROUND(SUMIFS(Пул!$H$5:$H$300,Пул!$E$5:$E$300,$B18),8)))</f>
        <v/>
      </c>
      <c r="F18" s="247" t="str">
        <f>IF($B18="","",IF(COUNTIFS(Пул!$E$5:$E$300,$B18,Пул!$I$5:$I$300,"&lt;&gt;")=0,"",ROUND(SUMIFS(Пул!$I$5:$I$300,Пул!$E$5:$E$300,$B18),8)))</f>
        <v/>
      </c>
      <c r="G18" s="246" t="str">
        <f>IF($B18="","",IF(COUNTIFS(Пул!$E$5:$E$300,$B18,Пул!$H$5:$H$300,"&lt;&gt;")=0,"",ROUND(SUMIFS(Пул!$J$5:$J$300,Пул!$E$5:$E$300,$B18),8)))</f>
        <v/>
      </c>
      <c r="H18" s="247" t="str">
        <f>IF($B18="","",IF(COUNTIFS(Пул!$E$5:$E$300,$B18,Пул!$I$5:$I$300,"&lt;&gt;")=0,"",ROUND(SUMIFS(Пул!$K$5:$K$300,Пул!$E$5:$E$300,$B18),8)))</f>
        <v/>
      </c>
      <c r="I18" s="242" t="str">
        <f>IF(AND(ISNUMBER(G18),ISNUMBER(H18)),IF(AND(G18&gt;0,H18&lt;0),"Buy",IF(AND(G18&lt;0,H18&gt;0),"Sell","")),"")</f>
        <v/>
      </c>
      <c r="J18" s="183" t="str">
        <f>IF(I18="Buy",G18,IF(I18="Sell",-G18,""))</f>
        <v/>
      </c>
      <c r="K18" s="183" t="str">
        <f>IF(AND(ISNUMBER(J18),ISNUMBER(L18),N(J18)&lt;&gt;0),ROUND(L18/J18,8),"")</f>
        <v/>
      </c>
      <c r="L18" s="183" t="str">
        <f>IF(I18="Buy",-H18,IF(I18="Sell",H18,""))</f>
        <v/>
      </c>
    </row>
    <row r="19" ht="22" customHeight="1">
      <c r="B19" s="239" t="n"/>
      <c r="C19" s="240" t="str">
        <f>IF($B19="","",IF(COUNTIFS(Пул!$E$5:$E$300,$B19,Пул!$F$5:$F$300,"&lt;&gt;")=0,"",ROUND(SUMIFS(Пул!$F$5:$F$300,Пул!$E$5:$E$300,$B19),8)))</f>
        <v/>
      </c>
      <c r="D19" s="241" t="str">
        <f>IF($B19="","",IF(COUNTIFS(Пул!$E$5:$E$300,$B19,Пул!$G$5:$G$300,"&lt;&gt;")=0,"",ROUND(SUMIFS(Пул!$G$5:$G$300,Пул!$E$5:$E$300,$B19),8)))</f>
        <v/>
      </c>
      <c r="E19" s="240" t="str">
        <f>IF($B19="","",IF(COUNTIFS(Пул!$E$5:$E$300,$B19,Пул!$H$5:$H$300,"&lt;&gt;")=0,"",ROUND(SUMIFS(Пул!$H$5:$H$300,Пул!$E$5:$E$300,$B19),8)))</f>
        <v/>
      </c>
      <c r="F19" s="241" t="str">
        <f>IF($B19="","",IF(COUNTIFS(Пул!$E$5:$E$300,$B19,Пул!$I$5:$I$300,"&lt;&gt;")=0,"",ROUND(SUMIFS(Пул!$I$5:$I$300,Пул!$E$5:$E$300,$B19),8)))</f>
        <v/>
      </c>
      <c r="G19" s="240" t="str">
        <f>IF($B19="","",IF(COUNTIFS(Пул!$E$5:$E$300,$B19,Пул!$H$5:$H$300,"&lt;&gt;")=0,"",ROUND(SUMIFS(Пул!$J$5:$J$300,Пул!$E$5:$E$300,$B19),8)))</f>
        <v/>
      </c>
      <c r="H19" s="241" t="str">
        <f>IF($B19="","",IF(COUNTIFS(Пул!$E$5:$E$300,$B19,Пул!$I$5:$I$300,"&lt;&gt;")=0,"",ROUND(SUMIFS(Пул!$K$5:$K$300,Пул!$E$5:$E$300,$B19),8)))</f>
        <v/>
      </c>
      <c r="I19" s="236" t="str">
        <f>IF(AND(ISNUMBER(G19),ISNUMBER(H19)),IF(AND(G19&gt;0,H19&lt;0),"Buy",IF(AND(G19&lt;0,H19&gt;0),"Sell","")),"")</f>
        <v/>
      </c>
      <c r="J19" s="177" t="str">
        <f>IF(I19="Buy",G19,IF(I19="Sell",-G19,""))</f>
        <v/>
      </c>
      <c r="K19" s="177" t="str">
        <f>IF(AND(ISNUMBER(J19),ISNUMBER(L19),N(J19)&lt;&gt;0),ROUND(L19/J19,8),"")</f>
        <v/>
      </c>
      <c r="L19" s="177" t="str">
        <f>IF(I19="Buy",-H19,IF(I19="Sell",H19,""))</f>
        <v/>
      </c>
    </row>
    <row r="20" ht="22" customHeight="1">
      <c r="B20" s="245" t="n"/>
      <c r="C20" s="246" t="str">
        <f>IF($B20="","",IF(COUNTIFS(Пул!$E$5:$E$300,$B20,Пул!$F$5:$F$300,"&lt;&gt;")=0,"",ROUND(SUMIFS(Пул!$F$5:$F$300,Пул!$E$5:$E$300,$B20),8)))</f>
        <v/>
      </c>
      <c r="D20" s="247" t="str">
        <f>IF($B20="","",IF(COUNTIFS(Пул!$E$5:$E$300,$B20,Пул!$G$5:$G$300,"&lt;&gt;")=0,"",ROUND(SUMIFS(Пул!$G$5:$G$300,Пул!$E$5:$E$300,$B20),8)))</f>
        <v/>
      </c>
      <c r="E20" s="246" t="str">
        <f>IF($B20="","",IF(COUNTIFS(Пул!$E$5:$E$300,$B20,Пул!$H$5:$H$300,"&lt;&gt;")=0,"",ROUND(SUMIFS(Пул!$H$5:$H$300,Пул!$E$5:$E$300,$B20),8)))</f>
        <v/>
      </c>
      <c r="F20" s="247" t="str">
        <f>IF($B20="","",IF(COUNTIFS(Пул!$E$5:$E$300,$B20,Пул!$I$5:$I$300,"&lt;&gt;")=0,"",ROUND(SUMIFS(Пул!$I$5:$I$300,Пул!$E$5:$E$300,$B20),8)))</f>
        <v/>
      </c>
      <c r="G20" s="246" t="str">
        <f>IF($B20="","",IF(COUNTIFS(Пул!$E$5:$E$300,$B20,Пул!$H$5:$H$300,"&lt;&gt;")=0,"",ROUND(SUMIFS(Пул!$J$5:$J$300,Пул!$E$5:$E$300,$B20),8)))</f>
        <v/>
      </c>
      <c r="H20" s="247" t="str">
        <f>IF($B20="","",IF(COUNTIFS(Пул!$E$5:$E$300,$B20,Пул!$I$5:$I$300,"&lt;&gt;")=0,"",ROUND(SUMIFS(Пул!$K$5:$K$300,Пул!$E$5:$E$300,$B20),8)))</f>
        <v/>
      </c>
      <c r="I20" s="242" t="str">
        <f>IF(AND(ISNUMBER(G20),ISNUMBER(H20)),IF(AND(G20&gt;0,H20&lt;0),"Buy",IF(AND(G20&lt;0,H20&gt;0),"Sell","")),"")</f>
        <v/>
      </c>
      <c r="J20" s="183" t="str">
        <f>IF(I20="Buy",G20,IF(I20="Sell",-G20,""))</f>
        <v/>
      </c>
      <c r="K20" s="183" t="str">
        <f>IF(AND(ISNUMBER(J20),ISNUMBER(L20),N(J20)&lt;&gt;0),ROUND(L20/J20,8),"")</f>
        <v/>
      </c>
      <c r="L20" s="183" t="str">
        <f>IF(I20="Buy",-H20,IF(I20="Sell",H20,""))</f>
        <v/>
      </c>
    </row>
    <row r="21" ht="22" customHeight="1">
      <c r="B21" s="239" t="n"/>
      <c r="C21" s="240" t="str">
        <f>IF($B21="","",IF(COUNTIFS(Пул!$E$5:$E$300,$B21,Пул!$F$5:$F$300,"&lt;&gt;")=0,"",ROUND(SUMIFS(Пул!$F$5:$F$300,Пул!$E$5:$E$300,$B21),8)))</f>
        <v/>
      </c>
      <c r="D21" s="241" t="str">
        <f>IF($B21="","",IF(COUNTIFS(Пул!$E$5:$E$300,$B21,Пул!$G$5:$G$300,"&lt;&gt;")=0,"",ROUND(SUMIFS(Пул!$G$5:$G$300,Пул!$E$5:$E$300,$B21),8)))</f>
        <v/>
      </c>
      <c r="E21" s="240" t="str">
        <f>IF($B21="","",IF(COUNTIFS(Пул!$E$5:$E$300,$B21,Пул!$H$5:$H$300,"&lt;&gt;")=0,"",ROUND(SUMIFS(Пул!$H$5:$H$300,Пул!$E$5:$E$300,$B21),8)))</f>
        <v/>
      </c>
      <c r="F21" s="241" t="str">
        <f>IF($B21="","",IF(COUNTIFS(Пул!$E$5:$E$300,$B21,Пул!$I$5:$I$300,"&lt;&gt;")=0,"",ROUND(SUMIFS(Пул!$I$5:$I$300,Пул!$E$5:$E$300,$B21),8)))</f>
        <v/>
      </c>
      <c r="G21" s="240" t="str">
        <f>IF($B21="","",IF(COUNTIFS(Пул!$E$5:$E$300,$B21,Пул!$H$5:$H$300,"&lt;&gt;")=0,"",ROUND(SUMIFS(Пул!$J$5:$J$300,Пул!$E$5:$E$300,$B21),8)))</f>
        <v/>
      </c>
      <c r="H21" s="241" t="str">
        <f>IF($B21="","",IF(COUNTIFS(Пул!$E$5:$E$300,$B21,Пул!$I$5:$I$300,"&lt;&gt;")=0,"",ROUND(SUMIFS(Пул!$K$5:$K$300,Пул!$E$5:$E$300,$B21),8)))</f>
        <v/>
      </c>
      <c r="I21" s="236" t="str">
        <f>IF(AND(ISNUMBER(G21),ISNUMBER(H21)),IF(AND(G21&gt;0,H21&lt;0),"Buy",IF(AND(G21&lt;0,H21&gt;0),"Sell","")),"")</f>
        <v/>
      </c>
      <c r="J21" s="177" t="str">
        <f>IF(I21="Buy",G21,IF(I21="Sell",-G21,""))</f>
        <v/>
      </c>
      <c r="K21" s="177" t="str">
        <f>IF(AND(ISNUMBER(J21),ISNUMBER(L21),N(J21)&lt;&gt;0),ROUND(L21/J21,8),"")</f>
        <v/>
      </c>
      <c r="L21" s="177" t="str">
        <f>IF(I21="Buy",-H21,IF(I21="Sell",H21,""))</f>
        <v/>
      </c>
    </row>
    <row r="22" ht="22" customHeight="1">
      <c r="B22" s="245" t="n"/>
      <c r="C22" s="246" t="str">
        <f>IF($B22="","",IF(COUNTIFS(Пул!$E$5:$E$300,$B22,Пул!$F$5:$F$300,"&lt;&gt;")=0,"",ROUND(SUMIFS(Пул!$F$5:$F$300,Пул!$E$5:$E$300,$B22),8)))</f>
        <v/>
      </c>
      <c r="D22" s="247" t="str">
        <f>IF($B22="","",IF(COUNTIFS(Пул!$E$5:$E$300,$B22,Пул!$G$5:$G$300,"&lt;&gt;")=0,"",ROUND(SUMIFS(Пул!$G$5:$G$300,Пул!$E$5:$E$300,$B22),8)))</f>
        <v/>
      </c>
      <c r="E22" s="246" t="str">
        <f>IF($B22="","",IF(COUNTIFS(Пул!$E$5:$E$300,$B22,Пул!$H$5:$H$300,"&lt;&gt;")=0,"",ROUND(SUMIFS(Пул!$H$5:$H$300,Пул!$E$5:$E$300,$B22),8)))</f>
        <v/>
      </c>
      <c r="F22" s="247" t="str">
        <f>IF($B22="","",IF(COUNTIFS(Пул!$E$5:$E$300,$B22,Пул!$I$5:$I$300,"&lt;&gt;")=0,"",ROUND(SUMIFS(Пул!$I$5:$I$300,Пул!$E$5:$E$300,$B22),8)))</f>
        <v/>
      </c>
      <c r="G22" s="246" t="str">
        <f>IF($B22="","",IF(COUNTIFS(Пул!$E$5:$E$300,$B22,Пул!$H$5:$H$300,"&lt;&gt;")=0,"",ROUND(SUMIFS(Пул!$J$5:$J$300,Пул!$E$5:$E$300,$B22),8)))</f>
        <v/>
      </c>
      <c r="H22" s="247" t="str">
        <f>IF($B22="","",IF(COUNTIFS(Пул!$E$5:$E$300,$B22,Пул!$I$5:$I$300,"&lt;&gt;")=0,"",ROUND(SUMIFS(Пул!$K$5:$K$300,Пул!$E$5:$E$300,$B22),8)))</f>
        <v/>
      </c>
      <c r="I22" s="242" t="str">
        <f>IF(AND(ISNUMBER(G22),ISNUMBER(H22)),IF(AND(G22&gt;0,H22&lt;0),"Buy",IF(AND(G22&lt;0,H22&gt;0),"Sell","")),"")</f>
        <v/>
      </c>
      <c r="J22" s="183" t="str">
        <f>IF(I22="Buy",G22,IF(I22="Sell",-G22,""))</f>
        <v/>
      </c>
      <c r="K22" s="183" t="str">
        <f>IF(AND(ISNUMBER(J22),ISNUMBER(L22),N(J22)&lt;&gt;0),ROUND(L22/J22,8),"")</f>
        <v/>
      </c>
      <c r="L22" s="183" t="str">
        <f>IF(I22="Buy",-H22,IF(I22="Sell",H22,""))</f>
        <v/>
      </c>
    </row>
    <row r="23" ht="22" customHeight="1">
      <c r="B23" s="239" t="n"/>
      <c r="C23" s="240" t="str">
        <f>IF($B23="","",IF(COUNTIFS(Пул!$E$5:$E$300,$B23,Пул!$F$5:$F$300,"&lt;&gt;")=0,"",ROUND(SUMIFS(Пул!$F$5:$F$300,Пул!$E$5:$E$300,$B23),8)))</f>
        <v/>
      </c>
      <c r="D23" s="241" t="str">
        <f>IF($B23="","",IF(COUNTIFS(Пул!$E$5:$E$300,$B23,Пул!$G$5:$G$300,"&lt;&gt;")=0,"",ROUND(SUMIFS(Пул!$G$5:$G$300,Пул!$E$5:$E$300,$B23),8)))</f>
        <v/>
      </c>
      <c r="E23" s="240" t="str">
        <f>IF($B23="","",IF(COUNTIFS(Пул!$E$5:$E$300,$B23,Пул!$H$5:$H$300,"&lt;&gt;")=0,"",ROUND(SUMIFS(Пул!$H$5:$H$300,Пул!$E$5:$E$300,$B23),8)))</f>
        <v/>
      </c>
      <c r="F23" s="241" t="str">
        <f>IF($B23="","",IF(COUNTIFS(Пул!$E$5:$E$300,$B23,Пул!$I$5:$I$300,"&lt;&gt;")=0,"",ROUND(SUMIFS(Пул!$I$5:$I$300,Пул!$E$5:$E$300,$B23),8)))</f>
        <v/>
      </c>
      <c r="G23" s="240" t="str">
        <f>IF($B23="","",IF(COUNTIFS(Пул!$E$5:$E$300,$B23,Пул!$H$5:$H$300,"&lt;&gt;")=0,"",ROUND(SUMIFS(Пул!$J$5:$J$300,Пул!$E$5:$E$300,$B23),8)))</f>
        <v/>
      </c>
      <c r="H23" s="241" t="str">
        <f>IF($B23="","",IF(COUNTIFS(Пул!$E$5:$E$300,$B23,Пул!$I$5:$I$300,"&lt;&gt;")=0,"",ROUND(SUMIFS(Пул!$K$5:$K$300,Пул!$E$5:$E$300,$B23),8)))</f>
        <v/>
      </c>
      <c r="I23" s="236" t="str">
        <f>IF(AND(ISNUMBER(G23),ISNUMBER(H23)),IF(AND(G23&gt;0,H23&lt;0),"Buy",IF(AND(G23&lt;0,H23&gt;0),"Sell","")),"")</f>
        <v/>
      </c>
      <c r="J23" s="177" t="str">
        <f>IF(I23="Buy",G23,IF(I23="Sell",-G23,""))</f>
        <v/>
      </c>
      <c r="K23" s="177" t="str">
        <f>IF(AND(ISNUMBER(J23),ISNUMBER(L23),N(J23)&lt;&gt;0),ROUND(L23/J23,8),"")</f>
        <v/>
      </c>
      <c r="L23" s="177" t="str">
        <f>IF(I23="Buy",-H23,IF(I23="Sell",H23,""))</f>
        <v/>
      </c>
    </row>
    <row r="24" ht="22" customHeight="1">
      <c r="B24" s="245" t="n"/>
      <c r="C24" s="246" t="str">
        <f>IF($B24="","",IF(COUNTIFS(Пул!$E$5:$E$300,$B24,Пул!$F$5:$F$300,"&lt;&gt;")=0,"",ROUND(SUMIFS(Пул!$F$5:$F$300,Пул!$E$5:$E$300,$B24),8)))</f>
        <v/>
      </c>
      <c r="D24" s="247" t="str">
        <f>IF($B24="","",IF(COUNTIFS(Пул!$E$5:$E$300,$B24,Пул!$G$5:$G$300,"&lt;&gt;")=0,"",ROUND(SUMIFS(Пул!$G$5:$G$300,Пул!$E$5:$E$300,$B24),8)))</f>
        <v/>
      </c>
      <c r="E24" s="246" t="str">
        <f>IF($B24="","",IF(COUNTIFS(Пул!$E$5:$E$300,$B24,Пул!$H$5:$H$300,"&lt;&gt;")=0,"",ROUND(SUMIFS(Пул!$H$5:$H$300,Пул!$E$5:$E$300,$B24),8)))</f>
        <v/>
      </c>
      <c r="F24" s="247" t="str">
        <f>IF($B24="","",IF(COUNTIFS(Пул!$E$5:$E$300,$B24,Пул!$I$5:$I$300,"&lt;&gt;")=0,"",ROUND(SUMIFS(Пул!$I$5:$I$300,Пул!$E$5:$E$300,$B24),8)))</f>
        <v/>
      </c>
      <c r="G24" s="246" t="str">
        <f>IF($B24="","",IF(COUNTIFS(Пул!$E$5:$E$300,$B24,Пул!$H$5:$H$300,"&lt;&gt;")=0,"",ROUND(SUMIFS(Пул!$J$5:$J$300,Пул!$E$5:$E$300,$B24),8)))</f>
        <v/>
      </c>
      <c r="H24" s="247" t="str">
        <f>IF($B24="","",IF(COUNTIFS(Пул!$E$5:$E$300,$B24,Пул!$I$5:$I$300,"&lt;&gt;")=0,"",ROUND(SUMIFS(Пул!$K$5:$K$300,Пул!$E$5:$E$300,$B24),8)))</f>
        <v/>
      </c>
      <c r="I24" s="242" t="str">
        <f>IF(AND(ISNUMBER(G24),ISNUMBER(H24)),IF(AND(G24&gt;0,H24&lt;0),"Buy",IF(AND(G24&lt;0,H24&gt;0),"Sell","")),"")</f>
        <v/>
      </c>
      <c r="J24" s="183" t="str">
        <f>IF(I24="Buy",G24,IF(I24="Sell",-G24,""))</f>
        <v/>
      </c>
      <c r="K24" s="183" t="str">
        <f>IF(AND(ISNUMBER(J24),ISNUMBER(L24),N(J24)&lt;&gt;0),ROUND(L24/J24,8),"")</f>
        <v/>
      </c>
      <c r="L24" s="183" t="str">
        <f>IF(I24="Buy",-H24,IF(I24="Sell",H24,""))</f>
        <v/>
      </c>
    </row>
    <row r="25" ht="22" customHeight="1">
      <c r="B25" s="239" t="n"/>
      <c r="C25" s="240" t="str">
        <f>IF($B25="","",IF(COUNTIFS(Пул!$E$5:$E$300,$B25,Пул!$F$5:$F$300,"&lt;&gt;")=0,"",ROUND(SUMIFS(Пул!$F$5:$F$300,Пул!$E$5:$E$300,$B25),8)))</f>
        <v/>
      </c>
      <c r="D25" s="241" t="str">
        <f>IF($B25="","",IF(COUNTIFS(Пул!$E$5:$E$300,$B25,Пул!$G$5:$G$300,"&lt;&gt;")=0,"",ROUND(SUMIFS(Пул!$G$5:$G$300,Пул!$E$5:$E$300,$B25),8)))</f>
        <v/>
      </c>
      <c r="E25" s="240" t="str">
        <f>IF($B25="","",IF(COUNTIFS(Пул!$E$5:$E$300,$B25,Пул!$H$5:$H$300,"&lt;&gt;")=0,"",ROUND(SUMIFS(Пул!$H$5:$H$300,Пул!$E$5:$E$300,$B25),8)))</f>
        <v/>
      </c>
      <c r="F25" s="241" t="str">
        <f>IF($B25="","",IF(COUNTIFS(Пул!$E$5:$E$300,$B25,Пул!$I$5:$I$300,"&lt;&gt;")=0,"",ROUND(SUMIFS(Пул!$I$5:$I$300,Пул!$E$5:$E$300,$B25),8)))</f>
        <v/>
      </c>
      <c r="G25" s="240" t="str">
        <f>IF($B25="","",IF(COUNTIFS(Пул!$E$5:$E$300,$B25,Пул!$H$5:$H$300,"&lt;&gt;")=0,"",ROUND(SUMIFS(Пул!$J$5:$J$300,Пул!$E$5:$E$300,$B25),8)))</f>
        <v/>
      </c>
      <c r="H25" s="241" t="str">
        <f>IF($B25="","",IF(COUNTIFS(Пул!$E$5:$E$300,$B25,Пул!$I$5:$I$300,"&lt;&gt;")=0,"",ROUND(SUMIFS(Пул!$K$5:$K$300,Пул!$E$5:$E$300,$B25),8)))</f>
        <v/>
      </c>
      <c r="I25" s="236" t="str">
        <f>IF(AND(ISNUMBER(G25),ISNUMBER(H25)),IF(AND(G25&gt;0,H25&lt;0),"Buy",IF(AND(G25&lt;0,H25&gt;0),"Sell","")),"")</f>
        <v/>
      </c>
      <c r="J25" s="177" t="str">
        <f>IF(I25="Buy",G25,IF(I25="Sell",-G25,""))</f>
        <v/>
      </c>
      <c r="K25" s="177" t="str">
        <f>IF(AND(ISNUMBER(J25),ISNUMBER(L25),N(J25)&lt;&gt;0),ROUND(L25/J25,8),"")</f>
        <v/>
      </c>
      <c r="L25" s="177" t="str">
        <f>IF(I25="Buy",-H25,IF(I25="Sell",H25,""))</f>
        <v/>
      </c>
    </row>
    <row r="26" ht="22" customHeight="1">
      <c r="B26" s="245" t="n"/>
      <c r="C26" s="246" t="str">
        <f>IF($B26="","",IF(COUNTIFS(Пул!$E$5:$E$300,$B26,Пул!$F$5:$F$300,"&lt;&gt;")=0,"",ROUND(SUMIFS(Пул!$F$5:$F$300,Пул!$E$5:$E$300,$B26),8)))</f>
        <v/>
      </c>
      <c r="D26" s="247" t="str">
        <f>IF($B26="","",IF(COUNTIFS(Пул!$E$5:$E$300,$B26,Пул!$G$5:$G$300,"&lt;&gt;")=0,"",ROUND(SUMIFS(Пул!$G$5:$G$300,Пул!$E$5:$E$300,$B26),8)))</f>
        <v/>
      </c>
      <c r="E26" s="246" t="str">
        <f>IF($B26="","",IF(COUNTIFS(Пул!$E$5:$E$300,$B26,Пул!$H$5:$H$300,"&lt;&gt;")=0,"",ROUND(SUMIFS(Пул!$H$5:$H$300,Пул!$E$5:$E$300,$B26),8)))</f>
        <v/>
      </c>
      <c r="F26" s="247" t="str">
        <f>IF($B26="","",IF(COUNTIFS(Пул!$E$5:$E$300,$B26,Пул!$I$5:$I$300,"&lt;&gt;")=0,"",ROUND(SUMIFS(Пул!$I$5:$I$300,Пул!$E$5:$E$300,$B26),8)))</f>
        <v/>
      </c>
      <c r="G26" s="246" t="str">
        <f>IF($B26="","",IF(COUNTIFS(Пул!$E$5:$E$300,$B26,Пул!$H$5:$H$300,"&lt;&gt;")=0,"",ROUND(SUMIFS(Пул!$J$5:$J$300,Пул!$E$5:$E$300,$B26),8)))</f>
        <v/>
      </c>
      <c r="H26" s="247" t="str">
        <f>IF($B26="","",IF(COUNTIFS(Пул!$E$5:$E$300,$B26,Пул!$I$5:$I$300,"&lt;&gt;")=0,"",ROUND(SUMIFS(Пул!$K$5:$K$300,Пул!$E$5:$E$300,$B26),8)))</f>
        <v/>
      </c>
      <c r="I26" s="242" t="str">
        <f>IF(AND(ISNUMBER(G26),ISNUMBER(H26)),IF(AND(G26&gt;0,H26&lt;0),"Buy",IF(AND(G26&lt;0,H26&gt;0),"Sell","")),"")</f>
        <v/>
      </c>
      <c r="J26" s="183" t="str">
        <f>IF(I26="Buy",G26,IF(I26="Sell",-G26,""))</f>
        <v/>
      </c>
      <c r="K26" s="183" t="str">
        <f>IF(AND(ISNUMBER(J26),ISNUMBER(L26),N(J26)&lt;&gt;0),ROUND(L26/J26,8),"")</f>
        <v/>
      </c>
      <c r="L26" s="183" t="str">
        <f>IF(I26="Buy",-H26,IF(I26="Sell",H26,""))</f>
        <v/>
      </c>
    </row>
    <row r="27" ht="22" customHeight="1">
      <c r="B27" s="239" t="n"/>
      <c r="C27" s="240" t="str">
        <f>IF($B27="","",IF(COUNTIFS(Пул!$E$5:$E$300,$B27,Пул!$F$5:$F$300,"&lt;&gt;")=0,"",ROUND(SUMIFS(Пул!$F$5:$F$300,Пул!$E$5:$E$300,$B27),8)))</f>
        <v/>
      </c>
      <c r="D27" s="241" t="str">
        <f>IF($B27="","",IF(COUNTIFS(Пул!$E$5:$E$300,$B27,Пул!$G$5:$G$300,"&lt;&gt;")=0,"",ROUND(SUMIFS(Пул!$G$5:$G$300,Пул!$E$5:$E$300,$B27),8)))</f>
        <v/>
      </c>
      <c r="E27" s="240" t="str">
        <f>IF($B27="","",IF(COUNTIFS(Пул!$E$5:$E$300,$B27,Пул!$H$5:$H$300,"&lt;&gt;")=0,"",ROUND(SUMIFS(Пул!$H$5:$H$300,Пул!$E$5:$E$300,$B27),8)))</f>
        <v/>
      </c>
      <c r="F27" s="241" t="str">
        <f>IF($B27="","",IF(COUNTIFS(Пул!$E$5:$E$300,$B27,Пул!$I$5:$I$300,"&lt;&gt;")=0,"",ROUND(SUMIFS(Пул!$I$5:$I$300,Пул!$E$5:$E$300,$B27),8)))</f>
        <v/>
      </c>
      <c r="G27" s="240" t="str">
        <f>IF($B27="","",IF(COUNTIFS(Пул!$E$5:$E$300,$B27,Пул!$H$5:$H$300,"&lt;&gt;")=0,"",ROUND(SUMIFS(Пул!$J$5:$J$300,Пул!$E$5:$E$300,$B27),8)))</f>
        <v/>
      </c>
      <c r="H27" s="241" t="str">
        <f>IF($B27="","",IF(COUNTIFS(Пул!$E$5:$E$300,$B27,Пул!$I$5:$I$300,"&lt;&gt;")=0,"",ROUND(SUMIFS(Пул!$K$5:$K$300,Пул!$E$5:$E$300,$B27),8)))</f>
        <v/>
      </c>
      <c r="I27" s="236" t="str">
        <f>IF(AND(ISNUMBER(G27),ISNUMBER(H27)),IF(AND(G27&gt;0,H27&lt;0),"Buy",IF(AND(G27&lt;0,H27&gt;0),"Sell","")),"")</f>
        <v/>
      </c>
      <c r="J27" s="177" t="str">
        <f>IF(I27="Buy",G27,IF(I27="Sell",-G27,""))</f>
        <v/>
      </c>
      <c r="K27" s="177" t="str">
        <f>IF(AND(ISNUMBER(J27),ISNUMBER(L27),N(J27)&lt;&gt;0),ROUND(L27/J27,8),"")</f>
        <v/>
      </c>
      <c r="L27" s="177" t="str">
        <f>IF(I27="Buy",-H27,IF(I27="Sell",H27,""))</f>
        <v/>
      </c>
    </row>
    <row r="28" ht="22" customHeight="1">
      <c r="B28" s="245" t="n"/>
      <c r="C28" s="246" t="str">
        <f>IF($B28="","",IF(COUNTIFS(Пул!$E$5:$E$300,$B28,Пул!$F$5:$F$300,"&lt;&gt;")=0,"",ROUND(SUMIFS(Пул!$F$5:$F$300,Пул!$E$5:$E$300,$B28),8)))</f>
        <v/>
      </c>
      <c r="D28" s="247" t="str">
        <f>IF($B28="","",IF(COUNTIFS(Пул!$E$5:$E$300,$B28,Пул!$G$5:$G$300,"&lt;&gt;")=0,"",ROUND(SUMIFS(Пул!$G$5:$G$300,Пул!$E$5:$E$300,$B28),8)))</f>
        <v/>
      </c>
      <c r="E28" s="246" t="str">
        <f>IF($B28="","",IF(COUNTIFS(Пул!$E$5:$E$300,$B28,Пул!$H$5:$H$300,"&lt;&gt;")=0,"",ROUND(SUMIFS(Пул!$H$5:$H$300,Пул!$E$5:$E$300,$B28),8)))</f>
        <v/>
      </c>
      <c r="F28" s="247" t="str">
        <f>IF($B28="","",IF(COUNTIFS(Пул!$E$5:$E$300,$B28,Пул!$I$5:$I$300,"&lt;&gt;")=0,"",ROUND(SUMIFS(Пул!$I$5:$I$300,Пул!$E$5:$E$300,$B28),8)))</f>
        <v/>
      </c>
      <c r="G28" s="246" t="str">
        <f>IF($B28="","",IF(COUNTIFS(Пул!$E$5:$E$300,$B28,Пул!$H$5:$H$300,"&lt;&gt;")=0,"",ROUND(SUMIFS(Пул!$J$5:$J$300,Пул!$E$5:$E$300,$B28),8)))</f>
        <v/>
      </c>
      <c r="H28" s="247" t="str">
        <f>IF($B28="","",IF(COUNTIFS(Пул!$E$5:$E$300,$B28,Пул!$I$5:$I$300,"&lt;&gt;")=0,"",ROUND(SUMIFS(Пул!$K$5:$K$300,Пул!$E$5:$E$300,$B28),8)))</f>
        <v/>
      </c>
      <c r="I28" s="242" t="str">
        <f>IF(AND(ISNUMBER(G28),ISNUMBER(H28)),IF(AND(G28&gt;0,H28&lt;0),"Buy",IF(AND(G28&lt;0,H28&gt;0),"Sell","")),"")</f>
        <v/>
      </c>
      <c r="J28" s="183" t="str">
        <f>IF(I28="Buy",G28,IF(I28="Sell",-G28,""))</f>
        <v/>
      </c>
      <c r="K28" s="183" t="str">
        <f>IF(AND(ISNUMBER(J28),ISNUMBER(L28),N(J28)&lt;&gt;0),ROUND(L28/J28,8),"")</f>
        <v/>
      </c>
      <c r="L28" s="183" t="str">
        <f>IF(I28="Buy",-H28,IF(I28="Sell",H28,""))</f>
        <v/>
      </c>
    </row>
    <row r="29" ht="22" customHeight="1">
      <c r="B29" s="239" t="n"/>
      <c r="C29" s="240" t="str">
        <f>IF($B29="","",IF(COUNTIFS(Пул!$E$5:$E$300,$B29,Пул!$F$5:$F$300,"&lt;&gt;")=0,"",ROUND(SUMIFS(Пул!$F$5:$F$300,Пул!$E$5:$E$300,$B29),8)))</f>
        <v/>
      </c>
      <c r="D29" s="241" t="str">
        <f>IF($B29="","",IF(COUNTIFS(Пул!$E$5:$E$300,$B29,Пул!$G$5:$G$300,"&lt;&gt;")=0,"",ROUND(SUMIFS(Пул!$G$5:$G$300,Пул!$E$5:$E$300,$B29),8)))</f>
        <v/>
      </c>
      <c r="E29" s="240" t="str">
        <f>IF($B29="","",IF(COUNTIFS(Пул!$E$5:$E$300,$B29,Пул!$H$5:$H$300,"&lt;&gt;")=0,"",ROUND(SUMIFS(Пул!$H$5:$H$300,Пул!$E$5:$E$300,$B29),8)))</f>
        <v/>
      </c>
      <c r="F29" s="241" t="str">
        <f>IF($B29="","",IF(COUNTIFS(Пул!$E$5:$E$300,$B29,Пул!$I$5:$I$300,"&lt;&gt;")=0,"",ROUND(SUMIFS(Пул!$I$5:$I$300,Пул!$E$5:$E$300,$B29),8)))</f>
        <v/>
      </c>
      <c r="G29" s="240" t="str">
        <f>IF($B29="","",IF(COUNTIFS(Пул!$E$5:$E$300,$B29,Пул!$H$5:$H$300,"&lt;&gt;")=0,"",ROUND(SUMIFS(Пул!$J$5:$J$300,Пул!$E$5:$E$300,$B29),8)))</f>
        <v/>
      </c>
      <c r="H29" s="241" t="str">
        <f>IF($B29="","",IF(COUNTIFS(Пул!$E$5:$E$300,$B29,Пул!$I$5:$I$300,"&lt;&gt;")=0,"",ROUND(SUMIFS(Пул!$K$5:$K$300,Пул!$E$5:$E$300,$B29),8)))</f>
        <v/>
      </c>
      <c r="I29" s="236" t="str">
        <f>IF(AND(ISNUMBER(G29),ISNUMBER(H29)),IF(AND(G29&gt;0,H29&lt;0),"Buy",IF(AND(G29&lt;0,H29&gt;0),"Sell","")),"")</f>
        <v/>
      </c>
      <c r="J29" s="177" t="str">
        <f>IF(I29="Buy",G29,IF(I29="Sell",-G29,""))</f>
        <v/>
      </c>
      <c r="K29" s="177" t="str">
        <f>IF(AND(ISNUMBER(J29),ISNUMBER(L29),N(J29)&lt;&gt;0),ROUND(L29/J29,8),"")</f>
        <v/>
      </c>
      <c r="L29" s="177" t="str">
        <f>IF(I29="Buy",-H29,IF(I29="Sell",H29,""))</f>
        <v/>
      </c>
    </row>
    <row r="30" ht="22" customHeight="1">
      <c r="B30" s="245" t="n"/>
      <c r="C30" s="246" t="str">
        <f>IF($B30="","",IF(COUNTIFS(Пул!$E$5:$E$300,$B30,Пул!$F$5:$F$300,"&lt;&gt;")=0,"",ROUND(SUMIFS(Пул!$F$5:$F$300,Пул!$E$5:$E$300,$B30),8)))</f>
        <v/>
      </c>
      <c r="D30" s="247" t="str">
        <f>IF($B30="","",IF(COUNTIFS(Пул!$E$5:$E$300,$B30,Пул!$G$5:$G$300,"&lt;&gt;")=0,"",ROUND(SUMIFS(Пул!$G$5:$G$300,Пул!$E$5:$E$300,$B30),8)))</f>
        <v/>
      </c>
      <c r="E30" s="246" t="str">
        <f>IF($B30="","",IF(COUNTIFS(Пул!$E$5:$E$300,$B30,Пул!$H$5:$H$300,"&lt;&gt;")=0,"",ROUND(SUMIFS(Пул!$H$5:$H$300,Пул!$E$5:$E$300,$B30),8)))</f>
        <v/>
      </c>
      <c r="F30" s="247" t="str">
        <f>IF($B30="","",IF(COUNTIFS(Пул!$E$5:$E$300,$B30,Пул!$I$5:$I$300,"&lt;&gt;")=0,"",ROUND(SUMIFS(Пул!$I$5:$I$300,Пул!$E$5:$E$300,$B30),8)))</f>
        <v/>
      </c>
      <c r="G30" s="246" t="str">
        <f>IF($B30="","",IF(COUNTIFS(Пул!$E$5:$E$300,$B30,Пул!$H$5:$H$300,"&lt;&gt;")=0,"",ROUND(SUMIFS(Пул!$J$5:$J$300,Пул!$E$5:$E$300,$B30),8)))</f>
        <v/>
      </c>
      <c r="H30" s="247" t="str">
        <f>IF($B30="","",IF(COUNTIFS(Пул!$E$5:$E$300,$B30,Пул!$I$5:$I$300,"&lt;&gt;")=0,"",ROUND(SUMIFS(Пул!$K$5:$K$300,Пул!$E$5:$E$300,$B30),8)))</f>
        <v/>
      </c>
      <c r="I30" s="242" t="str">
        <f>IF(AND(ISNUMBER(G30),ISNUMBER(H30)),IF(AND(G30&gt;0,H30&lt;0),"Buy",IF(AND(G30&lt;0,H30&gt;0),"Sell","")),"")</f>
        <v/>
      </c>
      <c r="J30" s="183" t="str">
        <f>IF(I30="Buy",G30,IF(I30="Sell",-G30,""))</f>
        <v/>
      </c>
      <c r="K30" s="183" t="str">
        <f>IF(AND(ISNUMBER(J30),ISNUMBER(L30),N(J30)&lt;&gt;0),ROUND(L30/J30,8),"")</f>
        <v/>
      </c>
      <c r="L30" s="183" t="str">
        <f>IF(I30="Buy",-H30,IF(I30="Sell",H30,""))</f>
        <v/>
      </c>
    </row>
    <row r="31" ht="22" customHeight="1">
      <c r="B31" s="239" t="n"/>
      <c r="C31" s="240" t="str">
        <f>IF($B31="","",IF(COUNTIFS(Пул!$E$5:$E$300,$B31,Пул!$F$5:$F$300,"&lt;&gt;")=0,"",ROUND(SUMIFS(Пул!$F$5:$F$300,Пул!$E$5:$E$300,$B31),8)))</f>
        <v/>
      </c>
      <c r="D31" s="241" t="str">
        <f>IF($B31="","",IF(COUNTIFS(Пул!$E$5:$E$300,$B31,Пул!$G$5:$G$300,"&lt;&gt;")=0,"",ROUND(SUMIFS(Пул!$G$5:$G$300,Пул!$E$5:$E$300,$B31),8)))</f>
        <v/>
      </c>
      <c r="E31" s="240" t="str">
        <f>IF($B31="","",IF(COUNTIFS(Пул!$E$5:$E$300,$B31,Пул!$H$5:$H$300,"&lt;&gt;")=0,"",ROUND(SUMIFS(Пул!$H$5:$H$300,Пул!$E$5:$E$300,$B31),8)))</f>
        <v/>
      </c>
      <c r="F31" s="241" t="str">
        <f>IF($B31="","",IF(COUNTIFS(Пул!$E$5:$E$300,$B31,Пул!$I$5:$I$300,"&lt;&gt;")=0,"",ROUND(SUMIFS(Пул!$I$5:$I$300,Пул!$E$5:$E$300,$B31),8)))</f>
        <v/>
      </c>
      <c r="G31" s="240" t="str">
        <f>IF($B31="","",IF(COUNTIFS(Пул!$E$5:$E$300,$B31,Пул!$H$5:$H$300,"&lt;&gt;")=0,"",ROUND(SUMIFS(Пул!$J$5:$J$300,Пул!$E$5:$E$300,$B31),8)))</f>
        <v/>
      </c>
      <c r="H31" s="241" t="str">
        <f>IF($B31="","",IF(COUNTIFS(Пул!$E$5:$E$300,$B31,Пул!$I$5:$I$300,"&lt;&gt;")=0,"",ROUND(SUMIFS(Пул!$K$5:$K$300,Пул!$E$5:$E$300,$B31),8)))</f>
        <v/>
      </c>
      <c r="I31" s="236" t="str">
        <f>IF(AND(ISNUMBER(G31),ISNUMBER(H31)),IF(AND(G31&gt;0,H31&lt;0),"Buy",IF(AND(G31&lt;0,H31&gt;0),"Sell","")),"")</f>
        <v/>
      </c>
      <c r="J31" s="177" t="str">
        <f>IF(I31="Buy",G31,IF(I31="Sell",-G31,""))</f>
        <v/>
      </c>
      <c r="K31" s="177" t="str">
        <f>IF(AND(ISNUMBER(J31),ISNUMBER(L31),N(J31)&lt;&gt;0),ROUND(L31/J31,8),"")</f>
        <v/>
      </c>
      <c r="L31" s="177" t="str">
        <f>IF(I31="Buy",-H31,IF(I31="Sell",H31,""))</f>
        <v/>
      </c>
    </row>
    <row r="32" ht="22" customHeight="1">
      <c r="B32" s="245" t="n"/>
      <c r="C32" s="246" t="str">
        <f>IF($B32="","",IF(COUNTIFS(Пул!$E$5:$E$300,$B32,Пул!$F$5:$F$300,"&lt;&gt;")=0,"",ROUND(SUMIFS(Пул!$F$5:$F$300,Пул!$E$5:$E$300,$B32),8)))</f>
        <v/>
      </c>
      <c r="D32" s="247" t="str">
        <f>IF($B32="","",IF(COUNTIFS(Пул!$E$5:$E$300,$B32,Пул!$G$5:$G$300,"&lt;&gt;")=0,"",ROUND(SUMIFS(Пул!$G$5:$G$300,Пул!$E$5:$E$300,$B32),8)))</f>
        <v/>
      </c>
      <c r="E32" s="246" t="str">
        <f>IF($B32="","",IF(COUNTIFS(Пул!$E$5:$E$300,$B32,Пул!$H$5:$H$300,"&lt;&gt;")=0,"",ROUND(SUMIFS(Пул!$H$5:$H$300,Пул!$E$5:$E$300,$B32),8)))</f>
        <v/>
      </c>
      <c r="F32" s="247" t="str">
        <f>IF($B32="","",IF(COUNTIFS(Пул!$E$5:$E$300,$B32,Пул!$I$5:$I$300,"&lt;&gt;")=0,"",ROUND(SUMIFS(Пул!$I$5:$I$300,Пул!$E$5:$E$300,$B32),8)))</f>
        <v/>
      </c>
      <c r="G32" s="246" t="str">
        <f>IF($B32="","",IF(COUNTIFS(Пул!$E$5:$E$300,$B32,Пул!$H$5:$H$300,"&lt;&gt;")=0,"",ROUND(SUMIFS(Пул!$J$5:$J$300,Пул!$E$5:$E$300,$B32),8)))</f>
        <v/>
      </c>
      <c r="H32" s="247" t="str">
        <f>IF($B32="","",IF(COUNTIFS(Пул!$E$5:$E$300,$B32,Пул!$I$5:$I$300,"&lt;&gt;")=0,"",ROUND(SUMIFS(Пул!$K$5:$K$300,Пул!$E$5:$E$300,$B32),8)))</f>
        <v/>
      </c>
      <c r="I32" s="242" t="str">
        <f>IF(AND(ISNUMBER(G32),ISNUMBER(H32)),IF(AND(G32&gt;0,H32&lt;0),"Buy",IF(AND(G32&lt;0,H32&gt;0),"Sell","")),"")</f>
        <v/>
      </c>
      <c r="J32" s="183" t="str">
        <f>IF(I32="Buy",G32,IF(I32="Sell",-G32,""))</f>
        <v/>
      </c>
      <c r="K32" s="183" t="str">
        <f>IF(AND(ISNUMBER(J32),ISNUMBER(L32),N(J32)&lt;&gt;0),ROUND(L32/J32,8),"")</f>
        <v/>
      </c>
      <c r="L32" s="183" t="str">
        <f>IF(I32="Buy",-H32,IF(I32="Sell",H32,""))</f>
        <v/>
      </c>
    </row>
    <row r="33" ht="22" customHeight="1">
      <c r="B33" s="239" t="n"/>
      <c r="C33" s="240" t="str">
        <f>IF($B33="","",IF(COUNTIFS(Пул!$E$5:$E$300,$B33,Пул!$F$5:$F$300,"&lt;&gt;")=0,"",ROUND(SUMIFS(Пул!$F$5:$F$300,Пул!$E$5:$E$300,$B33),8)))</f>
        <v/>
      </c>
      <c r="D33" s="241" t="str">
        <f>IF($B33="","",IF(COUNTIFS(Пул!$E$5:$E$300,$B33,Пул!$G$5:$G$300,"&lt;&gt;")=0,"",ROUND(SUMIFS(Пул!$G$5:$G$300,Пул!$E$5:$E$300,$B33),8)))</f>
        <v/>
      </c>
      <c r="E33" s="240" t="str">
        <f>IF($B33="","",IF(COUNTIFS(Пул!$E$5:$E$300,$B33,Пул!$H$5:$H$300,"&lt;&gt;")=0,"",ROUND(SUMIFS(Пул!$H$5:$H$300,Пул!$E$5:$E$300,$B33),8)))</f>
        <v/>
      </c>
      <c r="F33" s="241" t="str">
        <f>IF($B33="","",IF(COUNTIFS(Пул!$E$5:$E$300,$B33,Пул!$I$5:$I$300,"&lt;&gt;")=0,"",ROUND(SUMIFS(Пул!$I$5:$I$300,Пул!$E$5:$E$300,$B33),8)))</f>
        <v/>
      </c>
      <c r="G33" s="240" t="str">
        <f>IF($B33="","",IF(COUNTIFS(Пул!$E$5:$E$300,$B33,Пул!$H$5:$H$300,"&lt;&gt;")=0,"",ROUND(SUMIFS(Пул!$J$5:$J$300,Пул!$E$5:$E$300,$B33),8)))</f>
        <v/>
      </c>
      <c r="H33" s="241" t="str">
        <f>IF($B33="","",IF(COUNTIFS(Пул!$E$5:$E$300,$B33,Пул!$I$5:$I$300,"&lt;&gt;")=0,"",ROUND(SUMIFS(Пул!$K$5:$K$300,Пул!$E$5:$E$300,$B33),8)))</f>
        <v/>
      </c>
      <c r="I33" s="236" t="str">
        <f>IF(AND(ISNUMBER(G33),ISNUMBER(H33)),IF(AND(G33&gt;0,H33&lt;0),"Buy",IF(AND(G33&lt;0,H33&gt;0),"Sell","")),"")</f>
        <v/>
      </c>
      <c r="J33" s="177" t="str">
        <f>IF(I33="Buy",G33,IF(I33="Sell",-G33,""))</f>
        <v/>
      </c>
      <c r="K33" s="177" t="str">
        <f>IF(AND(ISNUMBER(J33),ISNUMBER(L33),N(J33)&lt;&gt;0),ROUND(L33/J33,8),"")</f>
        <v/>
      </c>
      <c r="L33" s="177" t="str">
        <f>IF(I33="Buy",-H33,IF(I33="Sell",H33,""))</f>
        <v/>
      </c>
    </row>
    <row r="34" ht="22" customHeight="1">
      <c r="B34" s="245" t="n"/>
      <c r="C34" s="246" t="str">
        <f>IF($B34="","",IF(COUNTIFS(Пул!$E$5:$E$300,$B34,Пул!$F$5:$F$300,"&lt;&gt;")=0,"",ROUND(SUMIFS(Пул!$F$5:$F$300,Пул!$E$5:$E$300,$B34),8)))</f>
        <v/>
      </c>
      <c r="D34" s="247" t="str">
        <f>IF($B34="","",IF(COUNTIFS(Пул!$E$5:$E$300,$B34,Пул!$G$5:$G$300,"&lt;&gt;")=0,"",ROUND(SUMIFS(Пул!$G$5:$G$300,Пул!$E$5:$E$300,$B34),8)))</f>
        <v/>
      </c>
      <c r="E34" s="246" t="str">
        <f>IF($B34="","",IF(COUNTIFS(Пул!$E$5:$E$300,$B34,Пул!$H$5:$H$300,"&lt;&gt;")=0,"",ROUND(SUMIFS(Пул!$H$5:$H$300,Пул!$E$5:$E$300,$B34),8)))</f>
        <v/>
      </c>
      <c r="F34" s="247" t="str">
        <f>IF($B34="","",IF(COUNTIFS(Пул!$E$5:$E$300,$B34,Пул!$I$5:$I$300,"&lt;&gt;")=0,"",ROUND(SUMIFS(Пул!$I$5:$I$300,Пул!$E$5:$E$300,$B34),8)))</f>
        <v/>
      </c>
      <c r="G34" s="246" t="str">
        <f>IF($B34="","",IF(COUNTIFS(Пул!$E$5:$E$300,$B34,Пул!$H$5:$H$300,"&lt;&gt;")=0,"",ROUND(SUMIFS(Пул!$J$5:$J$300,Пул!$E$5:$E$300,$B34),8)))</f>
        <v/>
      </c>
      <c r="H34" s="247" t="str">
        <f>IF($B34="","",IF(COUNTIFS(Пул!$E$5:$E$300,$B34,Пул!$I$5:$I$300,"&lt;&gt;")=0,"",ROUND(SUMIFS(Пул!$K$5:$K$300,Пул!$E$5:$E$300,$B34),8)))</f>
        <v/>
      </c>
      <c r="I34" s="242" t="str">
        <f>IF(AND(ISNUMBER(G34),ISNUMBER(H34)),IF(AND(G34&gt;0,H34&lt;0),"Buy",IF(AND(G34&lt;0,H34&gt;0),"Sell","")),"")</f>
        <v/>
      </c>
      <c r="J34" s="183" t="str">
        <f>IF(I34="Buy",G34,IF(I34="Sell",-G34,""))</f>
        <v/>
      </c>
      <c r="K34" s="183" t="str">
        <f>IF(AND(ISNUMBER(J34),ISNUMBER(L34),N(J34)&lt;&gt;0),ROUND(L34/J34,8),"")</f>
        <v/>
      </c>
      <c r="L34" s="183" t="str">
        <f>IF(I34="Buy",-H34,IF(I34="Sell",H34,""))</f>
        <v/>
      </c>
    </row>
    <row r="35" ht="22" customHeight="1">
      <c r="B35" s="239" t="n"/>
      <c r="C35" s="240" t="str">
        <f>IF($B35="","",IF(COUNTIFS(Пул!$E$5:$E$300,$B35,Пул!$F$5:$F$300,"&lt;&gt;")=0,"",ROUND(SUMIFS(Пул!$F$5:$F$300,Пул!$E$5:$E$300,$B35),8)))</f>
        <v/>
      </c>
      <c r="D35" s="241" t="str">
        <f>IF($B35="","",IF(COUNTIFS(Пул!$E$5:$E$300,$B35,Пул!$G$5:$G$300,"&lt;&gt;")=0,"",ROUND(SUMIFS(Пул!$G$5:$G$300,Пул!$E$5:$E$300,$B35),8)))</f>
        <v/>
      </c>
      <c r="E35" s="240" t="str">
        <f>IF($B35="","",IF(COUNTIFS(Пул!$E$5:$E$300,$B35,Пул!$H$5:$H$300,"&lt;&gt;")=0,"",ROUND(SUMIFS(Пул!$H$5:$H$300,Пул!$E$5:$E$300,$B35),8)))</f>
        <v/>
      </c>
      <c r="F35" s="241" t="str">
        <f>IF($B35="","",IF(COUNTIFS(Пул!$E$5:$E$300,$B35,Пул!$I$5:$I$300,"&lt;&gt;")=0,"",ROUND(SUMIFS(Пул!$I$5:$I$300,Пул!$E$5:$E$300,$B35),8)))</f>
        <v/>
      </c>
      <c r="G35" s="240" t="str">
        <f>IF($B35="","",IF(COUNTIFS(Пул!$E$5:$E$300,$B35,Пул!$H$5:$H$300,"&lt;&gt;")=0,"",ROUND(SUMIFS(Пул!$J$5:$J$300,Пул!$E$5:$E$300,$B35),8)))</f>
        <v/>
      </c>
      <c r="H35" s="241" t="str">
        <f>IF($B35="","",IF(COUNTIFS(Пул!$E$5:$E$300,$B35,Пул!$I$5:$I$300,"&lt;&gt;")=0,"",ROUND(SUMIFS(Пул!$K$5:$K$300,Пул!$E$5:$E$300,$B35),8)))</f>
        <v/>
      </c>
      <c r="I35" s="236" t="str">
        <f>IF(AND(ISNUMBER(G35),ISNUMBER(H35)),IF(AND(G35&gt;0,H35&lt;0),"Buy",IF(AND(G35&lt;0,H35&gt;0),"Sell","")),"")</f>
        <v/>
      </c>
      <c r="J35" s="177" t="str">
        <f>IF(I35="Buy",G35,IF(I35="Sell",-G35,""))</f>
        <v/>
      </c>
      <c r="K35" s="177" t="str">
        <f>IF(AND(ISNUMBER(J35),ISNUMBER(L35),N(J35)&lt;&gt;0),ROUND(L35/J35,8),"")</f>
        <v/>
      </c>
      <c r="L35" s="177" t="str">
        <f>IF(I35="Buy",-H35,IF(I35="Sell",H35,""))</f>
        <v/>
      </c>
    </row>
    <row r="36" ht="22" customHeight="1">
      <c r="B36" s="245" t="n"/>
      <c r="C36" s="246" t="str">
        <f>IF($B36="","",IF(COUNTIFS(Пул!$E$5:$E$300,$B36,Пул!$F$5:$F$300,"&lt;&gt;")=0,"",ROUND(SUMIFS(Пул!$F$5:$F$300,Пул!$E$5:$E$300,$B36),8)))</f>
        <v/>
      </c>
      <c r="D36" s="247" t="str">
        <f>IF($B36="","",IF(COUNTIFS(Пул!$E$5:$E$300,$B36,Пул!$G$5:$G$300,"&lt;&gt;")=0,"",ROUND(SUMIFS(Пул!$G$5:$G$300,Пул!$E$5:$E$300,$B36),8)))</f>
        <v/>
      </c>
      <c r="E36" s="246" t="str">
        <f>IF($B36="","",IF(COUNTIFS(Пул!$E$5:$E$300,$B36,Пул!$H$5:$H$300,"&lt;&gt;")=0,"",ROUND(SUMIFS(Пул!$H$5:$H$300,Пул!$E$5:$E$300,$B36),8)))</f>
        <v/>
      </c>
      <c r="F36" s="247" t="str">
        <f>IF($B36="","",IF(COUNTIFS(Пул!$E$5:$E$300,$B36,Пул!$I$5:$I$300,"&lt;&gt;")=0,"",ROUND(SUMIFS(Пул!$I$5:$I$300,Пул!$E$5:$E$300,$B36),8)))</f>
        <v/>
      </c>
      <c r="G36" s="246" t="str">
        <f>IF($B36="","",IF(COUNTIFS(Пул!$E$5:$E$300,$B36,Пул!$H$5:$H$300,"&lt;&gt;")=0,"",ROUND(SUMIFS(Пул!$J$5:$J$300,Пул!$E$5:$E$300,$B36),8)))</f>
        <v/>
      </c>
      <c r="H36" s="247" t="str">
        <f>IF($B36="","",IF(COUNTIFS(Пул!$E$5:$E$300,$B36,Пул!$I$5:$I$300,"&lt;&gt;")=0,"",ROUND(SUMIFS(Пул!$K$5:$K$300,Пул!$E$5:$E$300,$B36),8)))</f>
        <v/>
      </c>
      <c r="I36" s="242" t="str">
        <f>IF(AND(ISNUMBER(G36),ISNUMBER(H36)),IF(AND(G36&gt;0,H36&lt;0),"Buy",IF(AND(G36&lt;0,H36&gt;0),"Sell","")),"")</f>
        <v/>
      </c>
      <c r="J36" s="183" t="str">
        <f>IF(I36="Buy",G36,IF(I36="Sell",-G36,""))</f>
        <v/>
      </c>
      <c r="K36" s="183" t="str">
        <f>IF(AND(ISNUMBER(J36),ISNUMBER(L36),N(J36)&lt;&gt;0),ROUND(L36/J36,8),"")</f>
        <v/>
      </c>
      <c r="L36" s="183" t="str">
        <f>IF(I36="Buy",-H36,IF(I36="Sell",H36,""))</f>
        <v/>
      </c>
    </row>
    <row r="37" ht="22" customHeight="1">
      <c r="B37" s="239" t="n"/>
      <c r="C37" s="240" t="str">
        <f>IF($B37="","",IF(COUNTIFS(Пул!$E$5:$E$300,$B37,Пул!$F$5:$F$300,"&lt;&gt;")=0,"",ROUND(SUMIFS(Пул!$F$5:$F$300,Пул!$E$5:$E$300,$B37),8)))</f>
        <v/>
      </c>
      <c r="D37" s="241" t="str">
        <f>IF($B37="","",IF(COUNTIFS(Пул!$E$5:$E$300,$B37,Пул!$G$5:$G$300,"&lt;&gt;")=0,"",ROUND(SUMIFS(Пул!$G$5:$G$300,Пул!$E$5:$E$300,$B37),8)))</f>
        <v/>
      </c>
      <c r="E37" s="240" t="str">
        <f>IF($B37="","",IF(COUNTIFS(Пул!$E$5:$E$300,$B37,Пул!$H$5:$H$300,"&lt;&gt;")=0,"",ROUND(SUMIFS(Пул!$H$5:$H$300,Пул!$E$5:$E$300,$B37),8)))</f>
        <v/>
      </c>
      <c r="F37" s="241" t="str">
        <f>IF($B37="","",IF(COUNTIFS(Пул!$E$5:$E$300,$B37,Пул!$I$5:$I$300,"&lt;&gt;")=0,"",ROUND(SUMIFS(Пул!$I$5:$I$300,Пул!$E$5:$E$300,$B37),8)))</f>
        <v/>
      </c>
      <c r="G37" s="240" t="str">
        <f>IF($B37="","",IF(COUNTIFS(Пул!$E$5:$E$300,$B37,Пул!$H$5:$H$300,"&lt;&gt;")=0,"",ROUND(SUMIFS(Пул!$J$5:$J$300,Пул!$E$5:$E$300,$B37),8)))</f>
        <v/>
      </c>
      <c r="H37" s="241" t="str">
        <f>IF($B37="","",IF(COUNTIFS(Пул!$E$5:$E$300,$B37,Пул!$I$5:$I$300,"&lt;&gt;")=0,"",ROUND(SUMIFS(Пул!$K$5:$K$300,Пул!$E$5:$E$300,$B37),8)))</f>
        <v/>
      </c>
      <c r="I37" s="236" t="str">
        <f>IF(AND(ISNUMBER(G37),ISNUMBER(H37)),IF(AND(G37&gt;0,H37&lt;0),"Buy",IF(AND(G37&lt;0,H37&gt;0),"Sell","")),"")</f>
        <v/>
      </c>
      <c r="J37" s="177" t="str">
        <f>IF(I37="Buy",G37,IF(I37="Sell",-G37,""))</f>
        <v/>
      </c>
      <c r="K37" s="177" t="str">
        <f>IF(AND(ISNUMBER(J37),ISNUMBER(L37),N(J37)&lt;&gt;0),ROUND(L37/J37,8),"")</f>
        <v/>
      </c>
      <c r="L37" s="177" t="str">
        <f>IF(I37="Buy",-H37,IF(I37="Sell",H37,""))</f>
        <v/>
      </c>
    </row>
    <row r="38" ht="22" customHeight="1">
      <c r="B38" s="245" t="n"/>
      <c r="C38" s="246" t="str">
        <f>IF($B38="","",IF(COUNTIFS(Пул!$E$5:$E$300,$B38,Пул!$F$5:$F$300,"&lt;&gt;")=0,"",ROUND(SUMIFS(Пул!$F$5:$F$300,Пул!$E$5:$E$300,$B38),8)))</f>
        <v/>
      </c>
      <c r="D38" s="247" t="str">
        <f>IF($B38="","",IF(COUNTIFS(Пул!$E$5:$E$300,$B38,Пул!$G$5:$G$300,"&lt;&gt;")=0,"",ROUND(SUMIFS(Пул!$G$5:$G$300,Пул!$E$5:$E$300,$B38),8)))</f>
        <v/>
      </c>
      <c r="E38" s="246" t="str">
        <f>IF($B38="","",IF(COUNTIFS(Пул!$E$5:$E$300,$B38,Пул!$H$5:$H$300,"&lt;&gt;")=0,"",ROUND(SUMIFS(Пул!$H$5:$H$300,Пул!$E$5:$E$300,$B38),8)))</f>
        <v/>
      </c>
      <c r="F38" s="247" t="str">
        <f>IF($B38="","",IF(COUNTIFS(Пул!$E$5:$E$300,$B38,Пул!$I$5:$I$300,"&lt;&gt;")=0,"",ROUND(SUMIFS(Пул!$I$5:$I$300,Пул!$E$5:$E$300,$B38),8)))</f>
        <v/>
      </c>
      <c r="G38" s="246" t="str">
        <f>IF($B38="","",IF(COUNTIFS(Пул!$E$5:$E$300,$B38,Пул!$H$5:$H$300,"&lt;&gt;")=0,"",ROUND(SUMIFS(Пул!$J$5:$J$300,Пул!$E$5:$E$300,$B38),8)))</f>
        <v/>
      </c>
      <c r="H38" s="247" t="str">
        <f>IF($B38="","",IF(COUNTIFS(Пул!$E$5:$E$300,$B38,Пул!$I$5:$I$300,"&lt;&gt;")=0,"",ROUND(SUMIFS(Пул!$K$5:$K$300,Пул!$E$5:$E$300,$B38),8)))</f>
        <v/>
      </c>
      <c r="I38" s="242" t="str">
        <f>IF(AND(ISNUMBER(G38),ISNUMBER(H38)),IF(AND(G38&gt;0,H38&lt;0),"Buy",IF(AND(G38&lt;0,H38&gt;0),"Sell","")),"")</f>
        <v/>
      </c>
      <c r="J38" s="183" t="str">
        <f>IF(I38="Buy",G38,IF(I38="Sell",-G38,""))</f>
        <v/>
      </c>
      <c r="K38" s="183" t="str">
        <f>IF(AND(ISNUMBER(J38),ISNUMBER(L38),N(J38)&lt;&gt;0),ROUND(L38/J38,8),"")</f>
        <v/>
      </c>
      <c r="L38" s="183" t="str">
        <f>IF(I38="Buy",-H38,IF(I38="Sell",H38,""))</f>
        <v/>
      </c>
    </row>
    <row r="39" ht="22" customHeight="1">
      <c r="B39" s="239" t="n"/>
      <c r="C39" s="240" t="str">
        <f>IF($B39="","",IF(COUNTIFS(Пул!$E$5:$E$300,$B39,Пул!$F$5:$F$300,"&lt;&gt;")=0,"",ROUND(SUMIFS(Пул!$F$5:$F$300,Пул!$E$5:$E$300,$B39),8)))</f>
        <v/>
      </c>
      <c r="D39" s="241" t="str">
        <f>IF($B39="","",IF(COUNTIFS(Пул!$E$5:$E$300,$B39,Пул!$G$5:$G$300,"&lt;&gt;")=0,"",ROUND(SUMIFS(Пул!$G$5:$G$300,Пул!$E$5:$E$300,$B39),8)))</f>
        <v/>
      </c>
      <c r="E39" s="240" t="str">
        <f>IF($B39="","",IF(COUNTIFS(Пул!$E$5:$E$300,$B39,Пул!$H$5:$H$300,"&lt;&gt;")=0,"",ROUND(SUMIFS(Пул!$H$5:$H$300,Пул!$E$5:$E$300,$B39),8)))</f>
        <v/>
      </c>
      <c r="F39" s="241" t="str">
        <f>IF($B39="","",IF(COUNTIFS(Пул!$E$5:$E$300,$B39,Пул!$I$5:$I$300,"&lt;&gt;")=0,"",ROUND(SUMIFS(Пул!$I$5:$I$300,Пул!$E$5:$E$300,$B39),8)))</f>
        <v/>
      </c>
      <c r="G39" s="240" t="str">
        <f>IF($B39="","",IF(COUNTIFS(Пул!$E$5:$E$300,$B39,Пул!$H$5:$H$300,"&lt;&gt;")=0,"",ROUND(SUMIFS(Пул!$J$5:$J$300,Пул!$E$5:$E$300,$B39),8)))</f>
        <v/>
      </c>
      <c r="H39" s="241" t="str">
        <f>IF($B39="","",IF(COUNTIFS(Пул!$E$5:$E$300,$B39,Пул!$I$5:$I$300,"&lt;&gt;")=0,"",ROUND(SUMIFS(Пул!$K$5:$K$300,Пул!$E$5:$E$300,$B39),8)))</f>
        <v/>
      </c>
      <c r="I39" s="236" t="str">
        <f>IF(AND(ISNUMBER(G39),ISNUMBER(H39)),IF(AND(G39&gt;0,H39&lt;0),"Buy",IF(AND(G39&lt;0,H39&gt;0),"Sell","")),"")</f>
        <v/>
      </c>
      <c r="J39" s="177" t="str">
        <f>IF(I39="Buy",G39,IF(I39="Sell",-G39,""))</f>
        <v/>
      </c>
      <c r="K39" s="177" t="str">
        <f>IF(AND(ISNUMBER(J39),ISNUMBER(L39),N(J39)&lt;&gt;0),ROUND(L39/J39,8),"")</f>
        <v/>
      </c>
      <c r="L39" s="177" t="str">
        <f>IF(I39="Buy",-H39,IF(I39="Sell",H39,""))</f>
        <v/>
      </c>
    </row>
    <row r="40" ht="22" customHeight="1">
      <c r="B40" s="245" t="n"/>
      <c r="C40" s="246" t="str">
        <f>IF($B40="","",IF(COUNTIFS(Пул!$E$5:$E$300,$B40,Пул!$F$5:$F$300,"&lt;&gt;")=0,"",ROUND(SUMIFS(Пул!$F$5:$F$300,Пул!$E$5:$E$300,$B40),8)))</f>
        <v/>
      </c>
      <c r="D40" s="247" t="str">
        <f>IF($B40="","",IF(COUNTIFS(Пул!$E$5:$E$300,$B40,Пул!$G$5:$G$300,"&lt;&gt;")=0,"",ROUND(SUMIFS(Пул!$G$5:$G$300,Пул!$E$5:$E$300,$B40),8)))</f>
        <v/>
      </c>
      <c r="E40" s="246" t="str">
        <f>IF($B40="","",IF(COUNTIFS(Пул!$E$5:$E$300,$B40,Пул!$H$5:$H$300,"&lt;&gt;")=0,"",ROUND(SUMIFS(Пул!$H$5:$H$300,Пул!$E$5:$E$300,$B40),8)))</f>
        <v/>
      </c>
      <c r="F40" s="247" t="str">
        <f>IF($B40="","",IF(COUNTIFS(Пул!$E$5:$E$300,$B40,Пул!$I$5:$I$300,"&lt;&gt;")=0,"",ROUND(SUMIFS(Пул!$I$5:$I$300,Пул!$E$5:$E$300,$B40),8)))</f>
        <v/>
      </c>
      <c r="G40" s="246" t="str">
        <f>IF($B40="","",IF(COUNTIFS(Пул!$E$5:$E$300,$B40,Пул!$H$5:$H$300,"&lt;&gt;")=0,"",ROUND(SUMIFS(Пул!$J$5:$J$300,Пул!$E$5:$E$300,$B40),8)))</f>
        <v/>
      </c>
      <c r="H40" s="247" t="str">
        <f>IF($B40="","",IF(COUNTIFS(Пул!$E$5:$E$300,$B40,Пул!$I$5:$I$300,"&lt;&gt;")=0,"",ROUND(SUMIFS(Пул!$K$5:$K$300,Пул!$E$5:$E$300,$B40),8)))</f>
        <v/>
      </c>
      <c r="I40" s="242" t="str">
        <f>IF(AND(ISNUMBER(G40),ISNUMBER(H40)),IF(AND(G40&gt;0,H40&lt;0),"Buy",IF(AND(G40&lt;0,H40&gt;0),"Sell","")),"")</f>
        <v/>
      </c>
      <c r="J40" s="183" t="str">
        <f>IF(I40="Buy",G40,IF(I40="Sell",-G40,""))</f>
        <v/>
      </c>
      <c r="K40" s="183" t="str">
        <f>IF(AND(ISNUMBER(J40),ISNUMBER(L40),N(J40)&lt;&gt;0),ROUND(L40/J40,8),"")</f>
        <v/>
      </c>
      <c r="L40" s="183" t="str">
        <f>IF(I40="Buy",-H40,IF(I40="Sell",H40,""))</f>
        <v/>
      </c>
    </row>
    <row r="41" ht="22" customHeight="1">
      <c r="B41" s="239" t="n"/>
      <c r="C41" s="240" t="str">
        <f>IF($B41="","",IF(COUNTIFS(Пул!$E$5:$E$300,$B41,Пул!$F$5:$F$300,"&lt;&gt;")=0,"",ROUND(SUMIFS(Пул!$F$5:$F$300,Пул!$E$5:$E$300,$B41),8)))</f>
        <v/>
      </c>
      <c r="D41" s="241" t="str">
        <f>IF($B41="","",IF(COUNTIFS(Пул!$E$5:$E$300,$B41,Пул!$G$5:$G$300,"&lt;&gt;")=0,"",ROUND(SUMIFS(Пул!$G$5:$G$300,Пул!$E$5:$E$300,$B41),8)))</f>
        <v/>
      </c>
      <c r="E41" s="240" t="str">
        <f>IF($B41="","",IF(COUNTIFS(Пул!$E$5:$E$300,$B41,Пул!$H$5:$H$300,"&lt;&gt;")=0,"",ROUND(SUMIFS(Пул!$H$5:$H$300,Пул!$E$5:$E$300,$B41),8)))</f>
        <v/>
      </c>
      <c r="F41" s="241" t="str">
        <f>IF($B41="","",IF(COUNTIFS(Пул!$E$5:$E$300,$B41,Пул!$I$5:$I$300,"&lt;&gt;")=0,"",ROUND(SUMIFS(Пул!$I$5:$I$300,Пул!$E$5:$E$300,$B41),8)))</f>
        <v/>
      </c>
      <c r="G41" s="240" t="str">
        <f>IF($B41="","",IF(COUNTIFS(Пул!$E$5:$E$300,$B41,Пул!$H$5:$H$300,"&lt;&gt;")=0,"",ROUND(SUMIFS(Пул!$J$5:$J$300,Пул!$E$5:$E$300,$B41),8)))</f>
        <v/>
      </c>
      <c r="H41" s="241" t="str">
        <f>IF($B41="","",IF(COUNTIFS(Пул!$E$5:$E$300,$B41,Пул!$I$5:$I$300,"&lt;&gt;")=0,"",ROUND(SUMIFS(Пул!$K$5:$K$300,Пул!$E$5:$E$300,$B41),8)))</f>
        <v/>
      </c>
      <c r="I41" s="236" t="str">
        <f>IF(AND(ISNUMBER(G41),ISNUMBER(H41)),IF(AND(G41&gt;0,H41&lt;0),"Buy",IF(AND(G41&lt;0,H41&gt;0),"Sell","")),"")</f>
        <v/>
      </c>
      <c r="J41" s="177" t="str">
        <f>IF(I41="Buy",G41,IF(I41="Sell",-G41,""))</f>
        <v/>
      </c>
      <c r="K41" s="177" t="str">
        <f>IF(AND(ISNUMBER(J41),ISNUMBER(L41),N(J41)&lt;&gt;0),ROUND(L41/J41,8),"")</f>
        <v/>
      </c>
      <c r="L41" s="177" t="str">
        <f>IF(I41="Buy",-H41,IF(I41="Sell",H41,""))</f>
        <v/>
      </c>
    </row>
    <row r="42" ht="22" customHeight="1">
      <c r="B42" s="245" t="n"/>
      <c r="C42" s="246" t="str">
        <f>IF($B42="","",IF(COUNTIFS(Пул!$E$5:$E$300,$B42,Пул!$F$5:$F$300,"&lt;&gt;")=0,"",ROUND(SUMIFS(Пул!$F$5:$F$300,Пул!$E$5:$E$300,$B42),8)))</f>
        <v/>
      </c>
      <c r="D42" s="247" t="str">
        <f>IF($B42="","",IF(COUNTIFS(Пул!$E$5:$E$300,$B42,Пул!$G$5:$G$300,"&lt;&gt;")=0,"",ROUND(SUMIFS(Пул!$G$5:$G$300,Пул!$E$5:$E$300,$B42),8)))</f>
        <v/>
      </c>
      <c r="E42" s="246" t="str">
        <f>IF($B42="","",IF(COUNTIFS(Пул!$E$5:$E$300,$B42,Пул!$H$5:$H$300,"&lt;&gt;")=0,"",ROUND(SUMIFS(Пул!$H$5:$H$300,Пул!$E$5:$E$300,$B42),8)))</f>
        <v/>
      </c>
      <c r="F42" s="247" t="str">
        <f>IF($B42="","",IF(COUNTIFS(Пул!$E$5:$E$300,$B42,Пул!$I$5:$I$300,"&lt;&gt;")=0,"",ROUND(SUMIFS(Пул!$I$5:$I$300,Пул!$E$5:$E$300,$B42),8)))</f>
        <v/>
      </c>
      <c r="G42" s="246" t="str">
        <f>IF($B42="","",IF(COUNTIFS(Пул!$E$5:$E$300,$B42,Пул!$H$5:$H$300,"&lt;&gt;")=0,"",ROUND(SUMIFS(Пул!$J$5:$J$300,Пул!$E$5:$E$300,$B42),8)))</f>
        <v/>
      </c>
      <c r="H42" s="247" t="str">
        <f>IF($B42="","",IF(COUNTIFS(Пул!$E$5:$E$300,$B42,Пул!$I$5:$I$300,"&lt;&gt;")=0,"",ROUND(SUMIFS(Пул!$K$5:$K$300,Пул!$E$5:$E$300,$B42),8)))</f>
        <v/>
      </c>
      <c r="I42" s="242" t="str">
        <f>IF(AND(ISNUMBER(G42),ISNUMBER(H42)),IF(AND(G42&gt;0,H42&lt;0),"Buy",IF(AND(G42&lt;0,H42&gt;0),"Sell","")),"")</f>
        <v/>
      </c>
      <c r="J42" s="183" t="str">
        <f>IF(I42="Buy",G42,IF(I42="Sell",-G42,""))</f>
        <v/>
      </c>
      <c r="K42" s="183" t="str">
        <f>IF(AND(ISNUMBER(J42),ISNUMBER(L42),N(J42)&lt;&gt;0),ROUND(L42/J42,8),"")</f>
        <v/>
      </c>
      <c r="L42" s="183" t="str">
        <f>IF(I42="Buy",-H42,IF(I42="Sell",H42,""))</f>
        <v/>
      </c>
    </row>
    <row r="43" ht="22" customHeight="1">
      <c r="B43" s="239" t="n"/>
      <c r="C43" s="240" t="str">
        <f>IF($B43="","",IF(COUNTIFS(Пул!$E$5:$E$300,$B43,Пул!$F$5:$F$300,"&lt;&gt;")=0,"",ROUND(SUMIFS(Пул!$F$5:$F$300,Пул!$E$5:$E$300,$B43),8)))</f>
        <v/>
      </c>
      <c r="D43" s="241" t="str">
        <f>IF($B43="","",IF(COUNTIFS(Пул!$E$5:$E$300,$B43,Пул!$G$5:$G$300,"&lt;&gt;")=0,"",ROUND(SUMIFS(Пул!$G$5:$G$300,Пул!$E$5:$E$300,$B43),8)))</f>
        <v/>
      </c>
      <c r="E43" s="240" t="str">
        <f>IF($B43="","",IF(COUNTIFS(Пул!$E$5:$E$300,$B43,Пул!$H$5:$H$300,"&lt;&gt;")=0,"",ROUND(SUMIFS(Пул!$H$5:$H$300,Пул!$E$5:$E$300,$B43),8)))</f>
        <v/>
      </c>
      <c r="F43" s="241" t="str">
        <f>IF($B43="","",IF(COUNTIFS(Пул!$E$5:$E$300,$B43,Пул!$I$5:$I$300,"&lt;&gt;")=0,"",ROUND(SUMIFS(Пул!$I$5:$I$300,Пул!$E$5:$E$300,$B43),8)))</f>
        <v/>
      </c>
      <c r="G43" s="240" t="str">
        <f>IF($B43="","",IF(COUNTIFS(Пул!$E$5:$E$300,$B43,Пул!$H$5:$H$300,"&lt;&gt;")=0,"",ROUND(SUMIFS(Пул!$J$5:$J$300,Пул!$E$5:$E$300,$B43),8)))</f>
        <v/>
      </c>
      <c r="H43" s="241" t="str">
        <f>IF($B43="","",IF(COUNTIFS(Пул!$E$5:$E$300,$B43,Пул!$I$5:$I$300,"&lt;&gt;")=0,"",ROUND(SUMIFS(Пул!$K$5:$K$300,Пул!$E$5:$E$300,$B43),8)))</f>
        <v/>
      </c>
      <c r="I43" s="236" t="str">
        <f>IF(AND(ISNUMBER(G43),ISNUMBER(H43)),IF(AND(G43&gt;0,H43&lt;0),"Buy",IF(AND(G43&lt;0,H43&gt;0),"Sell","")),"")</f>
        <v/>
      </c>
      <c r="J43" s="177" t="str">
        <f>IF(I43="Buy",G43,IF(I43="Sell",-G43,""))</f>
        <v/>
      </c>
      <c r="K43" s="177" t="str">
        <f>IF(AND(ISNUMBER(J43),ISNUMBER(L43),N(J43)&lt;&gt;0),ROUND(L43/J43,8),"")</f>
        <v/>
      </c>
      <c r="L43" s="177" t="str">
        <f>IF(I43="Buy",-H43,IF(I43="Sell",H43,""))</f>
        <v/>
      </c>
    </row>
    <row r="44" ht="22" customHeight="1">
      <c r="B44" s="245" t="n"/>
      <c r="C44" s="246" t="str">
        <f>IF($B44="","",IF(COUNTIFS(Пул!$E$5:$E$300,$B44,Пул!$F$5:$F$300,"&lt;&gt;")=0,"",ROUND(SUMIFS(Пул!$F$5:$F$300,Пул!$E$5:$E$300,$B44),8)))</f>
        <v/>
      </c>
      <c r="D44" s="247" t="str">
        <f>IF($B44="","",IF(COUNTIFS(Пул!$E$5:$E$300,$B44,Пул!$G$5:$G$300,"&lt;&gt;")=0,"",ROUND(SUMIFS(Пул!$G$5:$G$300,Пул!$E$5:$E$300,$B44),8)))</f>
        <v/>
      </c>
      <c r="E44" s="246" t="str">
        <f>IF($B44="","",IF(COUNTIFS(Пул!$E$5:$E$300,$B44,Пул!$H$5:$H$300,"&lt;&gt;")=0,"",ROUND(SUMIFS(Пул!$H$5:$H$300,Пул!$E$5:$E$300,$B44),8)))</f>
        <v/>
      </c>
      <c r="F44" s="247" t="str">
        <f>IF($B44="","",IF(COUNTIFS(Пул!$E$5:$E$300,$B44,Пул!$I$5:$I$300,"&lt;&gt;")=0,"",ROUND(SUMIFS(Пул!$I$5:$I$300,Пул!$E$5:$E$300,$B44),8)))</f>
        <v/>
      </c>
      <c r="G44" s="246" t="str">
        <f>IF($B44="","",IF(COUNTIFS(Пул!$E$5:$E$300,$B44,Пул!$H$5:$H$300,"&lt;&gt;")=0,"",ROUND(SUMIFS(Пул!$J$5:$J$300,Пул!$E$5:$E$300,$B44),8)))</f>
        <v/>
      </c>
      <c r="H44" s="247" t="str">
        <f>IF($B44="","",IF(COUNTIFS(Пул!$E$5:$E$300,$B44,Пул!$I$5:$I$300,"&lt;&gt;")=0,"",ROUND(SUMIFS(Пул!$K$5:$K$300,Пул!$E$5:$E$300,$B44),8)))</f>
        <v/>
      </c>
      <c r="I44" s="242" t="str">
        <f>IF(AND(ISNUMBER(G44),ISNUMBER(H44)),IF(AND(G44&gt;0,H44&lt;0),"Buy",IF(AND(G44&lt;0,H44&gt;0),"Sell","")),"")</f>
        <v/>
      </c>
      <c r="J44" s="183" t="str">
        <f>IF(I44="Buy",G44,IF(I44="Sell",-G44,""))</f>
        <v/>
      </c>
      <c r="K44" s="183" t="str">
        <f>IF(AND(ISNUMBER(J44),ISNUMBER(L44),N(J44)&lt;&gt;0),ROUND(L44/J44,8),"")</f>
        <v/>
      </c>
      <c r="L44" s="183" t="str">
        <f>IF(I44="Buy",-H44,IF(I44="Sell",H44,""))</f>
        <v/>
      </c>
    </row>
    <row r="45" ht="22" customHeight="1">
      <c r="B45" s="239" t="n"/>
      <c r="C45" s="240" t="str">
        <f>IF($B45="","",IF(COUNTIFS(Пул!$E$5:$E$300,$B45,Пул!$F$5:$F$300,"&lt;&gt;")=0,"",ROUND(SUMIFS(Пул!$F$5:$F$300,Пул!$E$5:$E$300,$B45),8)))</f>
        <v/>
      </c>
      <c r="D45" s="241" t="str">
        <f>IF($B45="","",IF(COUNTIFS(Пул!$E$5:$E$300,$B45,Пул!$G$5:$G$300,"&lt;&gt;")=0,"",ROUND(SUMIFS(Пул!$G$5:$G$300,Пул!$E$5:$E$300,$B45),8)))</f>
        <v/>
      </c>
      <c r="E45" s="240" t="str">
        <f>IF($B45="","",IF(COUNTIFS(Пул!$E$5:$E$300,$B45,Пул!$H$5:$H$300,"&lt;&gt;")=0,"",ROUND(SUMIFS(Пул!$H$5:$H$300,Пул!$E$5:$E$300,$B45),8)))</f>
        <v/>
      </c>
      <c r="F45" s="241" t="str">
        <f>IF($B45="","",IF(COUNTIFS(Пул!$E$5:$E$300,$B45,Пул!$I$5:$I$300,"&lt;&gt;")=0,"",ROUND(SUMIFS(Пул!$I$5:$I$300,Пул!$E$5:$E$300,$B45),8)))</f>
        <v/>
      </c>
      <c r="G45" s="240" t="str">
        <f>IF($B45="","",IF(COUNTIFS(Пул!$E$5:$E$300,$B45,Пул!$H$5:$H$300,"&lt;&gt;")=0,"",ROUND(SUMIFS(Пул!$J$5:$J$300,Пул!$E$5:$E$300,$B45),8)))</f>
        <v/>
      </c>
      <c r="H45" s="241" t="str">
        <f>IF($B45="","",IF(COUNTIFS(Пул!$E$5:$E$300,$B45,Пул!$I$5:$I$300,"&lt;&gt;")=0,"",ROUND(SUMIFS(Пул!$K$5:$K$300,Пул!$E$5:$E$300,$B45),8)))</f>
        <v/>
      </c>
      <c r="I45" s="236" t="str">
        <f>IF(AND(ISNUMBER(G45),ISNUMBER(H45)),IF(AND(G45&gt;0,H45&lt;0),"Buy",IF(AND(G45&lt;0,H45&gt;0),"Sell","")),"")</f>
        <v/>
      </c>
      <c r="J45" s="177" t="str">
        <f>IF(I45="Buy",G45,IF(I45="Sell",-G45,""))</f>
        <v/>
      </c>
      <c r="K45" s="177" t="str">
        <f>IF(AND(ISNUMBER(J45),ISNUMBER(L45),N(J45)&lt;&gt;0),ROUND(L45/J45,8),"")</f>
        <v/>
      </c>
      <c r="L45" s="177" t="str">
        <f>IF(I45="Buy",-H45,IF(I45="Sell",H45,""))</f>
        <v/>
      </c>
    </row>
    <row r="46" ht="22" customHeight="1">
      <c r="B46" s="245" t="n"/>
      <c r="C46" s="246" t="str">
        <f>IF($B46="","",IF(COUNTIFS(Пул!$E$5:$E$300,$B46,Пул!$F$5:$F$300,"&lt;&gt;")=0,"",ROUND(SUMIFS(Пул!$F$5:$F$300,Пул!$E$5:$E$300,$B46),8)))</f>
        <v/>
      </c>
      <c r="D46" s="247" t="str">
        <f>IF($B46="","",IF(COUNTIFS(Пул!$E$5:$E$300,$B46,Пул!$G$5:$G$300,"&lt;&gt;")=0,"",ROUND(SUMIFS(Пул!$G$5:$G$300,Пул!$E$5:$E$300,$B46),8)))</f>
        <v/>
      </c>
      <c r="E46" s="246" t="str">
        <f>IF($B46="","",IF(COUNTIFS(Пул!$E$5:$E$300,$B46,Пул!$H$5:$H$300,"&lt;&gt;")=0,"",ROUND(SUMIFS(Пул!$H$5:$H$300,Пул!$E$5:$E$300,$B46),8)))</f>
        <v/>
      </c>
      <c r="F46" s="247" t="str">
        <f>IF($B46="","",IF(COUNTIFS(Пул!$E$5:$E$300,$B46,Пул!$I$5:$I$300,"&lt;&gt;")=0,"",ROUND(SUMIFS(Пул!$I$5:$I$300,Пул!$E$5:$E$300,$B46),8)))</f>
        <v/>
      </c>
      <c r="G46" s="246" t="str">
        <f>IF($B46="","",IF(COUNTIFS(Пул!$E$5:$E$300,$B46,Пул!$H$5:$H$300,"&lt;&gt;")=0,"",ROUND(SUMIFS(Пул!$J$5:$J$300,Пул!$E$5:$E$300,$B46),8)))</f>
        <v/>
      </c>
      <c r="H46" s="247" t="str">
        <f>IF($B46="","",IF(COUNTIFS(Пул!$E$5:$E$300,$B46,Пул!$I$5:$I$300,"&lt;&gt;")=0,"",ROUND(SUMIFS(Пул!$K$5:$K$300,Пул!$E$5:$E$300,$B46),8)))</f>
        <v/>
      </c>
      <c r="I46" s="242" t="str">
        <f>IF(AND(ISNUMBER(G46),ISNUMBER(H46)),IF(AND(G46&gt;0,H46&lt;0),"Buy",IF(AND(G46&lt;0,H46&gt;0),"Sell","")),"")</f>
        <v/>
      </c>
      <c r="J46" s="183" t="str">
        <f>IF(I46="Buy",G46,IF(I46="Sell",-G46,""))</f>
        <v/>
      </c>
      <c r="K46" s="183" t="str">
        <f>IF(AND(ISNUMBER(J46),ISNUMBER(L46),N(J46)&lt;&gt;0),ROUND(L46/J46,8),"")</f>
        <v/>
      </c>
      <c r="L46" s="183" t="str">
        <f>IF(I46="Buy",-H46,IF(I46="Sell",H46,""))</f>
        <v/>
      </c>
    </row>
    <row r="47" ht="22" customHeight="1">
      <c r="B47" s="239" t="n"/>
      <c r="C47" s="240" t="str">
        <f>IF($B47="","",IF(COUNTIFS(Пул!$E$5:$E$300,$B47,Пул!$F$5:$F$300,"&lt;&gt;")=0,"",ROUND(SUMIFS(Пул!$F$5:$F$300,Пул!$E$5:$E$300,$B47),8)))</f>
        <v/>
      </c>
      <c r="D47" s="241" t="str">
        <f>IF($B47="","",IF(COUNTIFS(Пул!$E$5:$E$300,$B47,Пул!$G$5:$G$300,"&lt;&gt;")=0,"",ROUND(SUMIFS(Пул!$G$5:$G$300,Пул!$E$5:$E$300,$B47),8)))</f>
        <v/>
      </c>
      <c r="E47" s="240" t="str">
        <f>IF($B47="","",IF(COUNTIFS(Пул!$E$5:$E$300,$B47,Пул!$H$5:$H$300,"&lt;&gt;")=0,"",ROUND(SUMIFS(Пул!$H$5:$H$300,Пул!$E$5:$E$300,$B47),8)))</f>
        <v/>
      </c>
      <c r="F47" s="241" t="str">
        <f>IF($B47="","",IF(COUNTIFS(Пул!$E$5:$E$300,$B47,Пул!$I$5:$I$300,"&lt;&gt;")=0,"",ROUND(SUMIFS(Пул!$I$5:$I$300,Пул!$E$5:$E$300,$B47),8)))</f>
        <v/>
      </c>
      <c r="G47" s="240" t="str">
        <f>IF($B47="","",IF(COUNTIFS(Пул!$E$5:$E$300,$B47,Пул!$H$5:$H$300,"&lt;&gt;")=0,"",ROUND(SUMIFS(Пул!$J$5:$J$300,Пул!$E$5:$E$300,$B47),8)))</f>
        <v/>
      </c>
      <c r="H47" s="241" t="str">
        <f>IF($B47="","",IF(COUNTIFS(Пул!$E$5:$E$300,$B47,Пул!$I$5:$I$300,"&lt;&gt;")=0,"",ROUND(SUMIFS(Пул!$K$5:$K$300,Пул!$E$5:$E$300,$B47),8)))</f>
        <v/>
      </c>
      <c r="I47" s="236" t="str">
        <f>IF(AND(ISNUMBER(G47),ISNUMBER(H47)),IF(AND(G47&gt;0,H47&lt;0),"Buy",IF(AND(G47&lt;0,H47&gt;0),"Sell","")),"")</f>
        <v/>
      </c>
      <c r="J47" s="177" t="str">
        <f>IF(I47="Buy",G47,IF(I47="Sell",-G47,""))</f>
        <v/>
      </c>
      <c r="K47" s="177" t="str">
        <f>IF(AND(ISNUMBER(J47),ISNUMBER(L47),N(J47)&lt;&gt;0),ROUND(L47/J47,8),"")</f>
        <v/>
      </c>
      <c r="L47" s="177" t="str">
        <f>IF(I47="Buy",-H47,IF(I47="Sell",H47,""))</f>
        <v/>
      </c>
    </row>
    <row r="48" ht="22" customHeight="1">
      <c r="B48" s="245" t="n"/>
      <c r="C48" s="246" t="str">
        <f>IF($B48="","",IF(COUNTIFS(Пул!$E$5:$E$300,$B48,Пул!$F$5:$F$300,"&lt;&gt;")=0,"",ROUND(SUMIFS(Пул!$F$5:$F$300,Пул!$E$5:$E$300,$B48),8)))</f>
        <v/>
      </c>
      <c r="D48" s="247" t="str">
        <f>IF($B48="","",IF(COUNTIFS(Пул!$E$5:$E$300,$B48,Пул!$G$5:$G$300,"&lt;&gt;")=0,"",ROUND(SUMIFS(Пул!$G$5:$G$300,Пул!$E$5:$E$300,$B48),8)))</f>
        <v/>
      </c>
      <c r="E48" s="246" t="str">
        <f>IF($B48="","",IF(COUNTIFS(Пул!$E$5:$E$300,$B48,Пул!$H$5:$H$300,"&lt;&gt;")=0,"",ROUND(SUMIFS(Пул!$H$5:$H$300,Пул!$E$5:$E$300,$B48),8)))</f>
        <v/>
      </c>
      <c r="F48" s="247" t="str">
        <f>IF($B48="","",IF(COUNTIFS(Пул!$E$5:$E$300,$B48,Пул!$I$5:$I$300,"&lt;&gt;")=0,"",ROUND(SUMIFS(Пул!$I$5:$I$300,Пул!$E$5:$E$300,$B48),8)))</f>
        <v/>
      </c>
      <c r="G48" s="246" t="str">
        <f>IF($B48="","",IF(COUNTIFS(Пул!$E$5:$E$300,$B48,Пул!$H$5:$H$300,"&lt;&gt;")=0,"",ROUND(SUMIFS(Пул!$J$5:$J$300,Пул!$E$5:$E$300,$B48),8)))</f>
        <v/>
      </c>
      <c r="H48" s="247" t="str">
        <f>IF($B48="","",IF(COUNTIFS(Пул!$E$5:$E$300,$B48,Пул!$I$5:$I$300,"&lt;&gt;")=0,"",ROUND(SUMIFS(Пул!$K$5:$K$300,Пул!$E$5:$E$300,$B48),8)))</f>
        <v/>
      </c>
      <c r="I48" s="242" t="str">
        <f>IF(AND(ISNUMBER(G48),ISNUMBER(H48)),IF(AND(G48&gt;0,H48&lt;0),"Buy",IF(AND(G48&lt;0,H48&gt;0),"Sell","")),"")</f>
        <v/>
      </c>
      <c r="J48" s="183" t="str">
        <f>IF(I48="Buy",G48,IF(I48="Sell",-G48,""))</f>
        <v/>
      </c>
      <c r="K48" s="183" t="str">
        <f>IF(AND(ISNUMBER(J48),ISNUMBER(L48),N(J48)&lt;&gt;0),ROUND(L48/J48,8),"")</f>
        <v/>
      </c>
      <c r="L48" s="183" t="str">
        <f>IF(I48="Buy",-H48,IF(I48="Sell",H48,""))</f>
        <v/>
      </c>
    </row>
    <row r="49" ht="22" customHeight="1">
      <c r="B49" s="239" t="n"/>
      <c r="C49" s="240" t="str">
        <f>IF($B49="","",IF(COUNTIFS(Пул!$E$5:$E$300,$B49,Пул!$F$5:$F$300,"&lt;&gt;")=0,"",ROUND(SUMIFS(Пул!$F$5:$F$300,Пул!$E$5:$E$300,$B49),8)))</f>
        <v/>
      </c>
      <c r="D49" s="241" t="str">
        <f>IF($B49="","",IF(COUNTIFS(Пул!$E$5:$E$300,$B49,Пул!$G$5:$G$300,"&lt;&gt;")=0,"",ROUND(SUMIFS(Пул!$G$5:$G$300,Пул!$E$5:$E$300,$B49),8)))</f>
        <v/>
      </c>
      <c r="E49" s="240" t="str">
        <f>IF($B49="","",IF(COUNTIFS(Пул!$E$5:$E$300,$B49,Пул!$H$5:$H$300,"&lt;&gt;")=0,"",ROUND(SUMIFS(Пул!$H$5:$H$300,Пул!$E$5:$E$300,$B49),8)))</f>
        <v/>
      </c>
      <c r="F49" s="241" t="str">
        <f>IF($B49="","",IF(COUNTIFS(Пул!$E$5:$E$300,$B49,Пул!$I$5:$I$300,"&lt;&gt;")=0,"",ROUND(SUMIFS(Пул!$I$5:$I$300,Пул!$E$5:$E$300,$B49),8)))</f>
        <v/>
      </c>
      <c r="G49" s="240" t="str">
        <f>IF($B49="","",IF(COUNTIFS(Пул!$E$5:$E$300,$B49,Пул!$H$5:$H$300,"&lt;&gt;")=0,"",ROUND(SUMIFS(Пул!$J$5:$J$300,Пул!$E$5:$E$300,$B49),8)))</f>
        <v/>
      </c>
      <c r="H49" s="241" t="str">
        <f>IF($B49="","",IF(COUNTIFS(Пул!$E$5:$E$300,$B49,Пул!$I$5:$I$300,"&lt;&gt;")=0,"",ROUND(SUMIFS(Пул!$K$5:$K$300,Пул!$E$5:$E$300,$B49),8)))</f>
        <v/>
      </c>
      <c r="I49" s="236" t="str">
        <f>IF(AND(ISNUMBER(G49),ISNUMBER(H49)),IF(AND(G49&gt;0,H49&lt;0),"Buy",IF(AND(G49&lt;0,H49&gt;0),"Sell","")),"")</f>
        <v/>
      </c>
      <c r="J49" s="177" t="str">
        <f>IF(I49="Buy",G49,IF(I49="Sell",-G49,""))</f>
        <v/>
      </c>
      <c r="K49" s="177" t="str">
        <f>IF(AND(ISNUMBER(J49),ISNUMBER(L49),N(J49)&lt;&gt;0),ROUND(L49/J49,8),"")</f>
        <v/>
      </c>
      <c r="L49" s="177" t="str">
        <f>IF(I49="Buy",-H49,IF(I49="Sell",H49,""))</f>
        <v/>
      </c>
    </row>
    <row r="50" ht="22" customHeight="1">
      <c r="B50" s="245" t="n"/>
      <c r="C50" s="246" t="str">
        <f>IF($B50="","",IF(COUNTIFS(Пул!$E$5:$E$300,$B50,Пул!$F$5:$F$300,"&lt;&gt;")=0,"",ROUND(SUMIFS(Пул!$F$5:$F$300,Пул!$E$5:$E$300,$B50),8)))</f>
        <v/>
      </c>
      <c r="D50" s="247" t="str">
        <f>IF($B50="","",IF(COUNTIFS(Пул!$E$5:$E$300,$B50,Пул!$G$5:$G$300,"&lt;&gt;")=0,"",ROUND(SUMIFS(Пул!$G$5:$G$300,Пул!$E$5:$E$300,$B50),8)))</f>
        <v/>
      </c>
      <c r="E50" s="246" t="str">
        <f>IF($B50="","",IF(COUNTIFS(Пул!$E$5:$E$300,$B50,Пул!$H$5:$H$300,"&lt;&gt;")=0,"",ROUND(SUMIFS(Пул!$H$5:$H$300,Пул!$E$5:$E$300,$B50),8)))</f>
        <v/>
      </c>
      <c r="F50" s="247" t="str">
        <f>IF($B50="","",IF(COUNTIFS(Пул!$E$5:$E$300,$B50,Пул!$I$5:$I$300,"&lt;&gt;")=0,"",ROUND(SUMIFS(Пул!$I$5:$I$300,Пул!$E$5:$E$300,$B50),8)))</f>
        <v/>
      </c>
      <c r="G50" s="246" t="str">
        <f>IF($B50="","",IF(COUNTIFS(Пул!$E$5:$E$300,$B50,Пул!$H$5:$H$300,"&lt;&gt;")=0,"",ROUND(SUMIFS(Пул!$J$5:$J$300,Пул!$E$5:$E$300,$B50),8)))</f>
        <v/>
      </c>
      <c r="H50" s="247" t="str">
        <f>IF($B50="","",IF(COUNTIFS(Пул!$E$5:$E$300,$B50,Пул!$I$5:$I$300,"&lt;&gt;")=0,"",ROUND(SUMIFS(Пул!$K$5:$K$300,Пул!$E$5:$E$300,$B50),8)))</f>
        <v/>
      </c>
      <c r="I50" s="242" t="str">
        <f>IF(AND(ISNUMBER(G50),ISNUMBER(H50)),IF(AND(G50&gt;0,H50&lt;0),"Buy",IF(AND(G50&lt;0,H50&gt;0),"Sell","")),"")</f>
        <v/>
      </c>
      <c r="J50" s="183" t="str">
        <f>IF(I50="Buy",G50,IF(I50="Sell",-G50,""))</f>
        <v/>
      </c>
      <c r="K50" s="183" t="str">
        <f>IF(AND(ISNUMBER(J50),ISNUMBER(L50),N(J50)&lt;&gt;0),ROUND(L50/J50,8),"")</f>
        <v/>
      </c>
      <c r="L50" s="183" t="str">
        <f>IF(I50="Buy",-H50,IF(I50="Sell",H50,""))</f>
        <v/>
      </c>
    </row>
    <row r="51" ht="22" customHeight="1">
      <c r="B51" s="239" t="n"/>
      <c r="C51" s="240" t="str">
        <f>IF($B51="","",IF(COUNTIFS(Пул!$E$5:$E$300,$B51,Пул!$F$5:$F$300,"&lt;&gt;")=0,"",ROUND(SUMIFS(Пул!$F$5:$F$300,Пул!$E$5:$E$300,$B51),8)))</f>
        <v/>
      </c>
      <c r="D51" s="241" t="str">
        <f>IF($B51="","",IF(COUNTIFS(Пул!$E$5:$E$300,$B51,Пул!$G$5:$G$300,"&lt;&gt;")=0,"",ROUND(SUMIFS(Пул!$G$5:$G$300,Пул!$E$5:$E$300,$B51),8)))</f>
        <v/>
      </c>
      <c r="E51" s="240" t="str">
        <f>IF($B51="","",IF(COUNTIFS(Пул!$E$5:$E$300,$B51,Пул!$H$5:$H$300,"&lt;&gt;")=0,"",ROUND(SUMIFS(Пул!$H$5:$H$300,Пул!$E$5:$E$300,$B51),8)))</f>
        <v/>
      </c>
      <c r="F51" s="241" t="str">
        <f>IF($B51="","",IF(COUNTIFS(Пул!$E$5:$E$300,$B51,Пул!$I$5:$I$300,"&lt;&gt;")=0,"",ROUND(SUMIFS(Пул!$I$5:$I$300,Пул!$E$5:$E$300,$B51),8)))</f>
        <v/>
      </c>
      <c r="G51" s="240" t="str">
        <f>IF($B51="","",IF(COUNTIFS(Пул!$E$5:$E$300,$B51,Пул!$H$5:$H$300,"&lt;&gt;")=0,"",ROUND(SUMIFS(Пул!$J$5:$J$300,Пул!$E$5:$E$300,$B51),8)))</f>
        <v/>
      </c>
      <c r="H51" s="241" t="str">
        <f>IF($B51="","",IF(COUNTIFS(Пул!$E$5:$E$300,$B51,Пул!$I$5:$I$300,"&lt;&gt;")=0,"",ROUND(SUMIFS(Пул!$K$5:$K$300,Пул!$E$5:$E$300,$B51),8)))</f>
        <v/>
      </c>
      <c r="I51" s="236" t="str">
        <f>IF(AND(ISNUMBER(G51),ISNUMBER(H51)),IF(AND(G51&gt;0,H51&lt;0),"Buy",IF(AND(G51&lt;0,H51&gt;0),"Sell","")),"")</f>
        <v/>
      </c>
      <c r="J51" s="177" t="str">
        <f>IF(I51="Buy",G51,IF(I51="Sell",-G51,""))</f>
        <v/>
      </c>
      <c r="K51" s="177" t="str">
        <f>IF(AND(ISNUMBER(J51),ISNUMBER(L51),N(J51)&lt;&gt;0),ROUND(L51/J51,8),"")</f>
        <v/>
      </c>
      <c r="L51" s="177" t="str">
        <f>IF(I51="Buy",-H51,IF(I51="Sell",H51,""))</f>
        <v/>
      </c>
    </row>
    <row r="52" ht="22" customHeight="1">
      <c r="B52" s="245" t="n"/>
      <c r="C52" s="246" t="str">
        <f>IF($B52="","",IF(COUNTIFS(Пул!$E$5:$E$300,$B52,Пул!$F$5:$F$300,"&lt;&gt;")=0,"",ROUND(SUMIFS(Пул!$F$5:$F$300,Пул!$E$5:$E$300,$B52),8)))</f>
        <v/>
      </c>
      <c r="D52" s="247" t="str">
        <f>IF($B52="","",IF(COUNTIFS(Пул!$E$5:$E$300,$B52,Пул!$G$5:$G$300,"&lt;&gt;")=0,"",ROUND(SUMIFS(Пул!$G$5:$G$300,Пул!$E$5:$E$300,$B52),8)))</f>
        <v/>
      </c>
      <c r="E52" s="246" t="str">
        <f>IF($B52="","",IF(COUNTIFS(Пул!$E$5:$E$300,$B52,Пул!$H$5:$H$300,"&lt;&gt;")=0,"",ROUND(SUMIFS(Пул!$H$5:$H$300,Пул!$E$5:$E$300,$B52),8)))</f>
        <v/>
      </c>
      <c r="F52" s="247" t="str">
        <f>IF($B52="","",IF(COUNTIFS(Пул!$E$5:$E$300,$B52,Пул!$I$5:$I$300,"&lt;&gt;")=0,"",ROUND(SUMIFS(Пул!$I$5:$I$300,Пул!$E$5:$E$300,$B52),8)))</f>
        <v/>
      </c>
      <c r="G52" s="246" t="str">
        <f>IF($B52="","",IF(COUNTIFS(Пул!$E$5:$E$300,$B52,Пул!$H$5:$H$300,"&lt;&gt;")=0,"",ROUND(SUMIFS(Пул!$J$5:$J$300,Пул!$E$5:$E$300,$B52),8)))</f>
        <v/>
      </c>
      <c r="H52" s="247" t="str">
        <f>IF($B52="","",IF(COUNTIFS(Пул!$E$5:$E$300,$B52,Пул!$I$5:$I$300,"&lt;&gt;")=0,"",ROUND(SUMIFS(Пул!$K$5:$K$300,Пул!$E$5:$E$300,$B52),8)))</f>
        <v/>
      </c>
      <c r="I52" s="242" t="str">
        <f>IF(AND(ISNUMBER(G52),ISNUMBER(H52)),IF(AND(G52&gt;0,H52&lt;0),"Buy",IF(AND(G52&lt;0,H52&gt;0),"Sell","")),"")</f>
        <v/>
      </c>
      <c r="J52" s="183" t="str">
        <f>IF(I52="Buy",G52,IF(I52="Sell",-G52,""))</f>
        <v/>
      </c>
      <c r="K52" s="183" t="str">
        <f>IF(AND(ISNUMBER(J52),ISNUMBER(L52),N(J52)&lt;&gt;0),ROUND(L52/J52,8),"")</f>
        <v/>
      </c>
      <c r="L52" s="183" t="str">
        <f>IF(I52="Buy",-H52,IF(I52="Sell",H52,""))</f>
        <v/>
      </c>
    </row>
    <row r="53" ht="22" customHeight="1">
      <c r="B53" s="239" t="n"/>
      <c r="C53" s="240" t="str">
        <f>IF($B53="","",IF(COUNTIFS(Пул!$E$5:$E$300,$B53,Пул!$F$5:$F$300,"&lt;&gt;")=0,"",ROUND(SUMIFS(Пул!$F$5:$F$300,Пул!$E$5:$E$300,$B53),8)))</f>
        <v/>
      </c>
      <c r="D53" s="241" t="str">
        <f>IF($B53="","",IF(COUNTIFS(Пул!$E$5:$E$300,$B53,Пул!$G$5:$G$300,"&lt;&gt;")=0,"",ROUND(SUMIFS(Пул!$G$5:$G$300,Пул!$E$5:$E$300,$B53),8)))</f>
        <v/>
      </c>
      <c r="E53" s="240" t="str">
        <f>IF($B53="","",IF(COUNTIFS(Пул!$E$5:$E$300,$B53,Пул!$H$5:$H$300,"&lt;&gt;")=0,"",ROUND(SUMIFS(Пул!$H$5:$H$300,Пул!$E$5:$E$300,$B53),8)))</f>
        <v/>
      </c>
      <c r="F53" s="241" t="str">
        <f>IF($B53="","",IF(COUNTIFS(Пул!$E$5:$E$300,$B53,Пул!$I$5:$I$300,"&lt;&gt;")=0,"",ROUND(SUMIFS(Пул!$I$5:$I$300,Пул!$E$5:$E$300,$B53),8)))</f>
        <v/>
      </c>
      <c r="G53" s="240" t="str">
        <f>IF($B53="","",IF(COUNTIFS(Пул!$E$5:$E$300,$B53,Пул!$H$5:$H$300,"&lt;&gt;")=0,"",ROUND(SUMIFS(Пул!$J$5:$J$300,Пул!$E$5:$E$300,$B53),8)))</f>
        <v/>
      </c>
      <c r="H53" s="241" t="str">
        <f>IF($B53="","",IF(COUNTIFS(Пул!$E$5:$E$300,$B53,Пул!$I$5:$I$300,"&lt;&gt;")=0,"",ROUND(SUMIFS(Пул!$K$5:$K$300,Пул!$E$5:$E$300,$B53),8)))</f>
        <v/>
      </c>
      <c r="I53" s="236" t="str">
        <f>IF(AND(ISNUMBER(G53),ISNUMBER(H53)),IF(AND(G53&gt;0,H53&lt;0),"Buy",IF(AND(G53&lt;0,H53&gt;0),"Sell","")),"")</f>
        <v/>
      </c>
      <c r="J53" s="177" t="str">
        <f>IF(I53="Buy",G53,IF(I53="Sell",-G53,""))</f>
        <v/>
      </c>
      <c r="K53" s="177" t="str">
        <f>IF(AND(ISNUMBER(J53),ISNUMBER(L53),N(J53)&lt;&gt;0),ROUND(L53/J53,8),"")</f>
        <v/>
      </c>
      <c r="L53" s="177" t="str">
        <f>IF(I53="Buy",-H53,IF(I53="Sell",H53,""))</f>
        <v/>
      </c>
    </row>
    <row r="54" ht="22" customHeight="1">
      <c r="B54" s="245" t="n"/>
      <c r="C54" s="246" t="str">
        <f>IF($B54="","",IF(COUNTIFS(Пул!$E$5:$E$300,$B54,Пул!$F$5:$F$300,"&lt;&gt;")=0,"",ROUND(SUMIFS(Пул!$F$5:$F$300,Пул!$E$5:$E$300,$B54),8)))</f>
        <v/>
      </c>
      <c r="D54" s="247" t="str">
        <f>IF($B54="","",IF(COUNTIFS(Пул!$E$5:$E$300,$B54,Пул!$G$5:$G$300,"&lt;&gt;")=0,"",ROUND(SUMIFS(Пул!$G$5:$G$300,Пул!$E$5:$E$300,$B54),8)))</f>
        <v/>
      </c>
      <c r="E54" s="246" t="str">
        <f>IF($B54="","",IF(COUNTIFS(Пул!$E$5:$E$300,$B54,Пул!$H$5:$H$300,"&lt;&gt;")=0,"",ROUND(SUMIFS(Пул!$H$5:$H$300,Пул!$E$5:$E$300,$B54),8)))</f>
        <v/>
      </c>
      <c r="F54" s="247" t="str">
        <f>IF($B54="","",IF(COUNTIFS(Пул!$E$5:$E$300,$B54,Пул!$I$5:$I$300,"&lt;&gt;")=0,"",ROUND(SUMIFS(Пул!$I$5:$I$300,Пул!$E$5:$E$300,$B54),8)))</f>
        <v/>
      </c>
      <c r="G54" s="246" t="str">
        <f>IF($B54="","",IF(COUNTIFS(Пул!$E$5:$E$300,$B54,Пул!$H$5:$H$300,"&lt;&gt;")=0,"",ROUND(SUMIFS(Пул!$J$5:$J$300,Пул!$E$5:$E$300,$B54),8)))</f>
        <v/>
      </c>
      <c r="H54" s="247" t="str">
        <f>IF($B54="","",IF(COUNTIFS(Пул!$E$5:$E$300,$B54,Пул!$I$5:$I$300,"&lt;&gt;")=0,"",ROUND(SUMIFS(Пул!$K$5:$K$300,Пул!$E$5:$E$300,$B54),8)))</f>
        <v/>
      </c>
      <c r="I54" s="242" t="str">
        <f>IF(AND(ISNUMBER(G54),ISNUMBER(H54)),IF(AND(G54&gt;0,H54&lt;0),"Buy",IF(AND(G54&lt;0,H54&gt;0),"Sell","")),"")</f>
        <v/>
      </c>
      <c r="J54" s="183" t="str">
        <f>IF(I54="Buy",G54,IF(I54="Sell",-G54,""))</f>
        <v/>
      </c>
      <c r="K54" s="183" t="str">
        <f>IF(AND(ISNUMBER(J54),ISNUMBER(L54),N(J54)&lt;&gt;0),ROUND(L54/J54,8),"")</f>
        <v/>
      </c>
      <c r="L54" s="183" t="str">
        <f>IF(I54="Buy",-H54,IF(I54="Sell",H54,""))</f>
        <v/>
      </c>
    </row>
    <row r="55" ht="22" customHeight="1">
      <c r="B55" s="239" t="n"/>
      <c r="C55" s="240" t="str">
        <f>IF($B55="","",IF(COUNTIFS(Пул!$E$5:$E$300,$B55,Пул!$F$5:$F$300,"&lt;&gt;")=0,"",ROUND(SUMIFS(Пул!$F$5:$F$300,Пул!$E$5:$E$300,$B55),8)))</f>
        <v/>
      </c>
      <c r="D55" s="241" t="str">
        <f>IF($B55="","",IF(COUNTIFS(Пул!$E$5:$E$300,$B55,Пул!$G$5:$G$300,"&lt;&gt;")=0,"",ROUND(SUMIFS(Пул!$G$5:$G$300,Пул!$E$5:$E$300,$B55),8)))</f>
        <v/>
      </c>
      <c r="E55" s="240" t="str">
        <f>IF($B55="","",IF(COUNTIFS(Пул!$E$5:$E$300,$B55,Пул!$H$5:$H$300,"&lt;&gt;")=0,"",ROUND(SUMIFS(Пул!$H$5:$H$300,Пул!$E$5:$E$300,$B55),8)))</f>
        <v/>
      </c>
      <c r="F55" s="241" t="str">
        <f>IF($B55="","",IF(COUNTIFS(Пул!$E$5:$E$300,$B55,Пул!$I$5:$I$300,"&lt;&gt;")=0,"",ROUND(SUMIFS(Пул!$I$5:$I$300,Пул!$E$5:$E$300,$B55),8)))</f>
        <v/>
      </c>
      <c r="G55" s="240" t="str">
        <f>IF($B55="","",IF(COUNTIFS(Пул!$E$5:$E$300,$B55,Пул!$H$5:$H$300,"&lt;&gt;")=0,"",ROUND(SUMIFS(Пул!$J$5:$J$300,Пул!$E$5:$E$300,$B55),8)))</f>
        <v/>
      </c>
      <c r="H55" s="241" t="str">
        <f>IF($B55="","",IF(COUNTIFS(Пул!$E$5:$E$300,$B55,Пул!$I$5:$I$300,"&lt;&gt;")=0,"",ROUND(SUMIFS(Пул!$K$5:$K$300,Пул!$E$5:$E$300,$B55),8)))</f>
        <v/>
      </c>
      <c r="I55" s="236" t="str">
        <f>IF(AND(ISNUMBER(G55),ISNUMBER(H55)),IF(AND(G55&gt;0,H55&lt;0),"Buy",IF(AND(G55&lt;0,H55&gt;0),"Sell","")),"")</f>
        <v/>
      </c>
      <c r="J55" s="177" t="str">
        <f>IF(I55="Buy",G55,IF(I55="Sell",-G55,""))</f>
        <v/>
      </c>
      <c r="K55" s="177" t="str">
        <f>IF(AND(ISNUMBER(J55),ISNUMBER(L55),N(J55)&lt;&gt;0),ROUND(L55/J55,8),"")</f>
        <v/>
      </c>
      <c r="L55" s="177" t="str">
        <f>IF(I55="Buy",-H55,IF(I55="Sell",H55,""))</f>
        <v/>
      </c>
    </row>
    <row r="56" ht="22" customHeight="1">
      <c r="B56" s="245" t="n"/>
      <c r="C56" s="246" t="str">
        <f>IF($B56="","",IF(COUNTIFS(Пул!$E$5:$E$300,$B56,Пул!$F$5:$F$300,"&lt;&gt;")=0,"",ROUND(SUMIFS(Пул!$F$5:$F$300,Пул!$E$5:$E$300,$B56),8)))</f>
        <v/>
      </c>
      <c r="D56" s="247" t="str">
        <f>IF($B56="","",IF(COUNTIFS(Пул!$E$5:$E$300,$B56,Пул!$G$5:$G$300,"&lt;&gt;")=0,"",ROUND(SUMIFS(Пул!$G$5:$G$300,Пул!$E$5:$E$300,$B56),8)))</f>
        <v/>
      </c>
      <c r="E56" s="246" t="str">
        <f>IF($B56="","",IF(COUNTIFS(Пул!$E$5:$E$300,$B56,Пул!$H$5:$H$300,"&lt;&gt;")=0,"",ROUND(SUMIFS(Пул!$H$5:$H$300,Пул!$E$5:$E$300,$B56),8)))</f>
        <v/>
      </c>
      <c r="F56" s="247" t="str">
        <f>IF($B56="","",IF(COUNTIFS(Пул!$E$5:$E$300,$B56,Пул!$I$5:$I$300,"&lt;&gt;")=0,"",ROUND(SUMIFS(Пул!$I$5:$I$300,Пул!$E$5:$E$300,$B56),8)))</f>
        <v/>
      </c>
      <c r="G56" s="246" t="str">
        <f>IF($B56="","",IF(COUNTIFS(Пул!$E$5:$E$300,$B56,Пул!$H$5:$H$300,"&lt;&gt;")=0,"",ROUND(SUMIFS(Пул!$J$5:$J$300,Пул!$E$5:$E$300,$B56),8)))</f>
        <v/>
      </c>
      <c r="H56" s="247" t="str">
        <f>IF($B56="","",IF(COUNTIFS(Пул!$E$5:$E$300,$B56,Пул!$I$5:$I$300,"&lt;&gt;")=0,"",ROUND(SUMIFS(Пул!$K$5:$K$300,Пул!$E$5:$E$300,$B56),8)))</f>
        <v/>
      </c>
      <c r="I56" s="242" t="str">
        <f>IF(AND(ISNUMBER(G56),ISNUMBER(H56)),IF(AND(G56&gt;0,H56&lt;0),"Buy",IF(AND(G56&lt;0,H56&gt;0),"Sell","")),"")</f>
        <v/>
      </c>
      <c r="J56" s="183" t="str">
        <f>IF(I56="Buy",G56,IF(I56="Sell",-G56,""))</f>
        <v/>
      </c>
      <c r="K56" s="183" t="str">
        <f>IF(AND(ISNUMBER(J56),ISNUMBER(L56),N(J56)&lt;&gt;0),ROUND(L56/J56,8),"")</f>
        <v/>
      </c>
      <c r="L56" s="183" t="str">
        <f>IF(I56="Buy",-H56,IF(I56="Sell",H56,""))</f>
        <v/>
      </c>
    </row>
    <row r="57" ht="22" customHeight="1">
      <c r="B57" s="239" t="n"/>
      <c r="C57" s="240" t="str">
        <f>IF($B57="","",IF(COUNTIFS(Пул!$E$5:$E$300,$B57,Пул!$F$5:$F$300,"&lt;&gt;")=0,"",ROUND(SUMIFS(Пул!$F$5:$F$300,Пул!$E$5:$E$300,$B57),8)))</f>
        <v/>
      </c>
      <c r="D57" s="241" t="str">
        <f>IF($B57="","",IF(COUNTIFS(Пул!$E$5:$E$300,$B57,Пул!$G$5:$G$300,"&lt;&gt;")=0,"",ROUND(SUMIFS(Пул!$G$5:$G$300,Пул!$E$5:$E$300,$B57),8)))</f>
        <v/>
      </c>
      <c r="E57" s="240" t="str">
        <f>IF($B57="","",IF(COUNTIFS(Пул!$E$5:$E$300,$B57,Пул!$H$5:$H$300,"&lt;&gt;")=0,"",ROUND(SUMIFS(Пул!$H$5:$H$300,Пул!$E$5:$E$300,$B57),8)))</f>
        <v/>
      </c>
      <c r="F57" s="241" t="str">
        <f>IF($B57="","",IF(COUNTIFS(Пул!$E$5:$E$300,$B57,Пул!$I$5:$I$300,"&lt;&gt;")=0,"",ROUND(SUMIFS(Пул!$I$5:$I$300,Пул!$E$5:$E$300,$B57),8)))</f>
        <v/>
      </c>
      <c r="G57" s="240" t="str">
        <f>IF($B57="","",IF(COUNTIFS(Пул!$E$5:$E$300,$B57,Пул!$H$5:$H$300,"&lt;&gt;")=0,"",ROUND(SUMIFS(Пул!$J$5:$J$300,Пул!$E$5:$E$300,$B57),8)))</f>
        <v/>
      </c>
      <c r="H57" s="241" t="str">
        <f>IF($B57="","",IF(COUNTIFS(Пул!$E$5:$E$300,$B57,Пул!$I$5:$I$300,"&lt;&gt;")=0,"",ROUND(SUMIFS(Пул!$K$5:$K$300,Пул!$E$5:$E$300,$B57),8)))</f>
        <v/>
      </c>
      <c r="I57" s="236" t="str">
        <f>IF(AND(ISNUMBER(G57),ISNUMBER(H57)),IF(AND(G57&gt;0,H57&lt;0),"Buy",IF(AND(G57&lt;0,H57&gt;0),"Sell","")),"")</f>
        <v/>
      </c>
      <c r="J57" s="177" t="str">
        <f>IF(I57="Buy",G57,IF(I57="Sell",-G57,""))</f>
        <v/>
      </c>
      <c r="K57" s="177" t="str">
        <f>IF(AND(ISNUMBER(J57),ISNUMBER(L57),N(J57)&lt;&gt;0),ROUND(L57/J57,8),"")</f>
        <v/>
      </c>
      <c r="L57" s="177" t="str">
        <f>IF(I57="Buy",-H57,IF(I57="Sell",H57,""))</f>
        <v/>
      </c>
    </row>
    <row r="58" ht="22" customHeight="1">
      <c r="B58" s="245" t="n"/>
      <c r="C58" s="246" t="str">
        <f>IF($B58="","",IF(COUNTIFS(Пул!$E$5:$E$300,$B58,Пул!$F$5:$F$300,"&lt;&gt;")=0,"",ROUND(SUMIFS(Пул!$F$5:$F$300,Пул!$E$5:$E$300,$B58),8)))</f>
        <v/>
      </c>
      <c r="D58" s="247" t="str">
        <f>IF($B58="","",IF(COUNTIFS(Пул!$E$5:$E$300,$B58,Пул!$G$5:$G$300,"&lt;&gt;")=0,"",ROUND(SUMIFS(Пул!$G$5:$G$300,Пул!$E$5:$E$300,$B58),8)))</f>
        <v/>
      </c>
      <c r="E58" s="246" t="str">
        <f>IF($B58="","",IF(COUNTIFS(Пул!$E$5:$E$300,$B58,Пул!$H$5:$H$300,"&lt;&gt;")=0,"",ROUND(SUMIFS(Пул!$H$5:$H$300,Пул!$E$5:$E$300,$B58),8)))</f>
        <v/>
      </c>
      <c r="F58" s="247" t="str">
        <f>IF($B58="","",IF(COUNTIFS(Пул!$E$5:$E$300,$B58,Пул!$I$5:$I$300,"&lt;&gt;")=0,"",ROUND(SUMIFS(Пул!$I$5:$I$300,Пул!$E$5:$E$300,$B58),8)))</f>
        <v/>
      </c>
      <c r="G58" s="246" t="str">
        <f>IF($B58="","",IF(COUNTIFS(Пул!$E$5:$E$300,$B58,Пул!$H$5:$H$300,"&lt;&gt;")=0,"",ROUND(SUMIFS(Пул!$J$5:$J$300,Пул!$E$5:$E$300,$B58),8)))</f>
        <v/>
      </c>
      <c r="H58" s="247" t="str">
        <f>IF($B58="","",IF(COUNTIFS(Пул!$E$5:$E$300,$B58,Пул!$I$5:$I$300,"&lt;&gt;")=0,"",ROUND(SUMIFS(Пул!$K$5:$K$300,Пул!$E$5:$E$300,$B58),8)))</f>
        <v/>
      </c>
      <c r="I58" s="242" t="str">
        <f>IF(AND(ISNUMBER(G58),ISNUMBER(H58)),IF(AND(G58&gt;0,H58&lt;0),"Buy",IF(AND(G58&lt;0,H58&gt;0),"Sell","")),"")</f>
        <v/>
      </c>
      <c r="J58" s="183" t="str">
        <f>IF(I58="Buy",G58,IF(I58="Sell",-G58,""))</f>
        <v/>
      </c>
      <c r="K58" s="183" t="str">
        <f>IF(AND(ISNUMBER(J58),ISNUMBER(L58),N(J58)&lt;&gt;0),ROUND(L58/J58,8),"")</f>
        <v/>
      </c>
      <c r="L58" s="183" t="str">
        <f>IF(I58="Buy",-H58,IF(I58="Sell",H58,""))</f>
        <v/>
      </c>
    </row>
    <row r="59" ht="22" customHeight="1">
      <c r="B59" s="239" t="n"/>
      <c r="C59" s="240" t="str">
        <f>IF($B59="","",IF(COUNTIFS(Пул!$E$5:$E$300,$B59,Пул!$F$5:$F$300,"&lt;&gt;")=0,"",ROUND(SUMIFS(Пул!$F$5:$F$300,Пул!$E$5:$E$300,$B59),8)))</f>
        <v/>
      </c>
      <c r="D59" s="241" t="str">
        <f>IF($B59="","",IF(COUNTIFS(Пул!$E$5:$E$300,$B59,Пул!$G$5:$G$300,"&lt;&gt;")=0,"",ROUND(SUMIFS(Пул!$G$5:$G$300,Пул!$E$5:$E$300,$B59),8)))</f>
        <v/>
      </c>
      <c r="E59" s="240" t="str">
        <f>IF($B59="","",IF(COUNTIFS(Пул!$E$5:$E$300,$B59,Пул!$H$5:$H$300,"&lt;&gt;")=0,"",ROUND(SUMIFS(Пул!$H$5:$H$300,Пул!$E$5:$E$300,$B59),8)))</f>
        <v/>
      </c>
      <c r="F59" s="241" t="str">
        <f>IF($B59="","",IF(COUNTIFS(Пул!$E$5:$E$300,$B59,Пул!$I$5:$I$300,"&lt;&gt;")=0,"",ROUND(SUMIFS(Пул!$I$5:$I$300,Пул!$E$5:$E$300,$B59),8)))</f>
        <v/>
      </c>
      <c r="G59" s="240" t="str">
        <f>IF($B59="","",IF(COUNTIFS(Пул!$E$5:$E$300,$B59,Пул!$H$5:$H$300,"&lt;&gt;")=0,"",ROUND(SUMIFS(Пул!$J$5:$J$300,Пул!$E$5:$E$300,$B59),8)))</f>
        <v/>
      </c>
      <c r="H59" s="241" t="str">
        <f>IF($B59="","",IF(COUNTIFS(Пул!$E$5:$E$300,$B59,Пул!$I$5:$I$300,"&lt;&gt;")=0,"",ROUND(SUMIFS(Пул!$K$5:$K$300,Пул!$E$5:$E$300,$B59),8)))</f>
        <v/>
      </c>
      <c r="I59" s="236" t="str">
        <f>IF(AND(ISNUMBER(G59),ISNUMBER(H59)),IF(AND(G59&gt;0,H59&lt;0),"Buy",IF(AND(G59&lt;0,H59&gt;0),"Sell","")),"")</f>
        <v/>
      </c>
      <c r="J59" s="177" t="str">
        <f>IF(I59="Buy",G59,IF(I59="Sell",-G59,""))</f>
        <v/>
      </c>
      <c r="K59" s="177" t="str">
        <f>IF(AND(ISNUMBER(J59),ISNUMBER(L59),N(J59)&lt;&gt;0),ROUND(L59/J59,8),"")</f>
        <v/>
      </c>
      <c r="L59" s="177" t="str">
        <f>IF(I59="Buy",-H59,IF(I59="Sell",H59,""))</f>
        <v/>
      </c>
    </row>
    <row r="60" ht="22" customHeight="1">
      <c r="B60" s="245" t="n"/>
      <c r="C60" s="246" t="str">
        <f>IF($B60="","",IF(COUNTIFS(Пул!$E$5:$E$300,$B60,Пул!$F$5:$F$300,"&lt;&gt;")=0,"",ROUND(SUMIFS(Пул!$F$5:$F$300,Пул!$E$5:$E$300,$B60),8)))</f>
        <v/>
      </c>
      <c r="D60" s="247" t="str">
        <f>IF($B60="","",IF(COUNTIFS(Пул!$E$5:$E$300,$B60,Пул!$G$5:$G$300,"&lt;&gt;")=0,"",ROUND(SUMIFS(Пул!$G$5:$G$300,Пул!$E$5:$E$300,$B60),8)))</f>
        <v/>
      </c>
      <c r="E60" s="246" t="str">
        <f>IF($B60="","",IF(COUNTIFS(Пул!$E$5:$E$300,$B60,Пул!$H$5:$H$300,"&lt;&gt;")=0,"",ROUND(SUMIFS(Пул!$H$5:$H$300,Пул!$E$5:$E$300,$B60),8)))</f>
        <v/>
      </c>
      <c r="F60" s="247" t="str">
        <f>IF($B60="","",IF(COUNTIFS(Пул!$E$5:$E$300,$B60,Пул!$I$5:$I$300,"&lt;&gt;")=0,"",ROUND(SUMIFS(Пул!$I$5:$I$300,Пул!$E$5:$E$300,$B60),8)))</f>
        <v/>
      </c>
      <c r="G60" s="246" t="str">
        <f>IF($B60="","",IF(COUNTIFS(Пул!$E$5:$E$300,$B60,Пул!$H$5:$H$300,"&lt;&gt;")=0,"",ROUND(SUMIFS(Пул!$J$5:$J$300,Пул!$E$5:$E$300,$B60),8)))</f>
        <v/>
      </c>
      <c r="H60" s="247" t="str">
        <f>IF($B60="","",IF(COUNTIFS(Пул!$E$5:$E$300,$B60,Пул!$I$5:$I$300,"&lt;&gt;")=0,"",ROUND(SUMIFS(Пул!$K$5:$K$300,Пул!$E$5:$E$300,$B60),8)))</f>
        <v/>
      </c>
      <c r="I60" s="242" t="str">
        <f>IF(AND(ISNUMBER(G60),ISNUMBER(H60)),IF(AND(G60&gt;0,H60&lt;0),"Buy",IF(AND(G60&lt;0,H60&gt;0),"Sell","")),"")</f>
        <v/>
      </c>
      <c r="J60" s="183" t="str">
        <f>IF(I60="Buy",G60,IF(I60="Sell",-G60,""))</f>
        <v/>
      </c>
      <c r="K60" s="183" t="str">
        <f>IF(AND(ISNUMBER(J60),ISNUMBER(L60),N(J60)&lt;&gt;0),ROUND(L60/J60,8),"")</f>
        <v/>
      </c>
      <c r="L60" s="183" t="str">
        <f>IF(I60="Buy",-H60,IF(I60="Sell",H60,""))</f>
        <v/>
      </c>
    </row>
    <row r="61" ht="22" customHeight="1">
      <c r="B61" s="239" t="n"/>
      <c r="C61" s="240" t="str">
        <f>IF($B61="","",IF(COUNTIFS(Пул!$E$5:$E$300,$B61,Пул!$F$5:$F$300,"&lt;&gt;")=0,"",ROUND(SUMIFS(Пул!$F$5:$F$300,Пул!$E$5:$E$300,$B61),8)))</f>
        <v/>
      </c>
      <c r="D61" s="241" t="str">
        <f>IF($B61="","",IF(COUNTIFS(Пул!$E$5:$E$300,$B61,Пул!$G$5:$G$300,"&lt;&gt;")=0,"",ROUND(SUMIFS(Пул!$G$5:$G$300,Пул!$E$5:$E$300,$B61),8)))</f>
        <v/>
      </c>
      <c r="E61" s="240" t="str">
        <f>IF($B61="","",IF(COUNTIFS(Пул!$E$5:$E$300,$B61,Пул!$H$5:$H$300,"&lt;&gt;")=0,"",ROUND(SUMIFS(Пул!$H$5:$H$300,Пул!$E$5:$E$300,$B61),8)))</f>
        <v/>
      </c>
      <c r="F61" s="241" t="str">
        <f>IF($B61="","",IF(COUNTIFS(Пул!$E$5:$E$300,$B61,Пул!$I$5:$I$300,"&lt;&gt;")=0,"",ROUND(SUMIFS(Пул!$I$5:$I$300,Пул!$E$5:$E$300,$B61),8)))</f>
        <v/>
      </c>
      <c r="G61" s="240" t="str">
        <f>IF($B61="","",IF(COUNTIFS(Пул!$E$5:$E$300,$B61,Пул!$H$5:$H$300,"&lt;&gt;")=0,"",ROUND(SUMIFS(Пул!$J$5:$J$300,Пул!$E$5:$E$300,$B61),8)))</f>
        <v/>
      </c>
      <c r="H61" s="241" t="str">
        <f>IF($B61="","",IF(COUNTIFS(Пул!$E$5:$E$300,$B61,Пул!$I$5:$I$300,"&lt;&gt;")=0,"",ROUND(SUMIFS(Пул!$K$5:$K$300,Пул!$E$5:$E$300,$B61),8)))</f>
        <v/>
      </c>
      <c r="I61" s="236" t="str">
        <f>IF(AND(ISNUMBER(G61),ISNUMBER(H61)),IF(AND(G61&gt;0,H61&lt;0),"Buy",IF(AND(G61&lt;0,H61&gt;0),"Sell","")),"")</f>
        <v/>
      </c>
      <c r="J61" s="177" t="str">
        <f>IF(I61="Buy",G61,IF(I61="Sell",-G61,""))</f>
        <v/>
      </c>
      <c r="K61" s="177" t="str">
        <f>IF(AND(ISNUMBER(J61),ISNUMBER(L61),N(J61)&lt;&gt;0),ROUND(L61/J61,8),"")</f>
        <v/>
      </c>
      <c r="L61" s="177" t="str">
        <f>IF(I61="Buy",-H61,IF(I61="Sell",H61,""))</f>
        <v/>
      </c>
    </row>
    <row r="62" ht="22" customHeight="1">
      <c r="B62" s="245" t="n"/>
      <c r="C62" s="246" t="str">
        <f>IF($B62="","",IF(COUNTIFS(Пул!$E$5:$E$300,$B62,Пул!$F$5:$F$300,"&lt;&gt;")=0,"",ROUND(SUMIFS(Пул!$F$5:$F$300,Пул!$E$5:$E$300,$B62),8)))</f>
        <v/>
      </c>
      <c r="D62" s="247" t="str">
        <f>IF($B62="","",IF(COUNTIFS(Пул!$E$5:$E$300,$B62,Пул!$G$5:$G$300,"&lt;&gt;")=0,"",ROUND(SUMIFS(Пул!$G$5:$G$300,Пул!$E$5:$E$300,$B62),8)))</f>
        <v/>
      </c>
      <c r="E62" s="246" t="str">
        <f>IF($B62="","",IF(COUNTIFS(Пул!$E$5:$E$300,$B62,Пул!$H$5:$H$300,"&lt;&gt;")=0,"",ROUND(SUMIFS(Пул!$H$5:$H$300,Пул!$E$5:$E$300,$B62),8)))</f>
        <v/>
      </c>
      <c r="F62" s="247" t="str">
        <f>IF($B62="","",IF(COUNTIFS(Пул!$E$5:$E$300,$B62,Пул!$I$5:$I$300,"&lt;&gt;")=0,"",ROUND(SUMIFS(Пул!$I$5:$I$300,Пул!$E$5:$E$300,$B62),8)))</f>
        <v/>
      </c>
      <c r="G62" s="246" t="str">
        <f>IF($B62="","",IF(COUNTIFS(Пул!$E$5:$E$300,$B62,Пул!$H$5:$H$300,"&lt;&gt;")=0,"",ROUND(SUMIFS(Пул!$J$5:$J$300,Пул!$E$5:$E$300,$B62),8)))</f>
        <v/>
      </c>
      <c r="H62" s="247" t="str">
        <f>IF($B62="","",IF(COUNTIFS(Пул!$E$5:$E$300,$B62,Пул!$I$5:$I$300,"&lt;&gt;")=0,"",ROUND(SUMIFS(Пул!$K$5:$K$300,Пул!$E$5:$E$300,$B62),8)))</f>
        <v/>
      </c>
      <c r="I62" s="242" t="str">
        <f>IF(AND(ISNUMBER(G62),ISNUMBER(H62)),IF(AND(G62&gt;0,H62&lt;0),"Buy",IF(AND(G62&lt;0,H62&gt;0),"Sell","")),"")</f>
        <v/>
      </c>
      <c r="J62" s="183" t="str">
        <f>IF(I62="Buy",G62,IF(I62="Sell",-G62,""))</f>
        <v/>
      </c>
      <c r="K62" s="183" t="str">
        <f>IF(AND(ISNUMBER(J62),ISNUMBER(L62),N(J62)&lt;&gt;0),ROUND(L62/J62,8),"")</f>
        <v/>
      </c>
      <c r="L62" s="183" t="str">
        <f>IF(I62="Buy",-H62,IF(I62="Sell",H62,""))</f>
        <v/>
      </c>
    </row>
    <row r="63" ht="22" customHeight="1">
      <c r="B63" s="239" t="n"/>
      <c r="C63" s="240" t="str">
        <f>IF($B63="","",IF(COUNTIFS(Пул!$E$5:$E$300,$B63,Пул!$F$5:$F$300,"&lt;&gt;")=0,"",ROUND(SUMIFS(Пул!$F$5:$F$300,Пул!$E$5:$E$300,$B63),8)))</f>
        <v/>
      </c>
      <c r="D63" s="241" t="str">
        <f>IF($B63="","",IF(COUNTIFS(Пул!$E$5:$E$300,$B63,Пул!$G$5:$G$300,"&lt;&gt;")=0,"",ROUND(SUMIFS(Пул!$G$5:$G$300,Пул!$E$5:$E$300,$B63),8)))</f>
        <v/>
      </c>
      <c r="E63" s="240" t="str">
        <f>IF($B63="","",IF(COUNTIFS(Пул!$E$5:$E$300,$B63,Пул!$H$5:$H$300,"&lt;&gt;")=0,"",ROUND(SUMIFS(Пул!$H$5:$H$300,Пул!$E$5:$E$300,$B63),8)))</f>
        <v/>
      </c>
      <c r="F63" s="241" t="str">
        <f>IF($B63="","",IF(COUNTIFS(Пул!$E$5:$E$300,$B63,Пул!$I$5:$I$300,"&lt;&gt;")=0,"",ROUND(SUMIFS(Пул!$I$5:$I$300,Пул!$E$5:$E$300,$B63),8)))</f>
        <v/>
      </c>
      <c r="G63" s="240" t="str">
        <f>IF($B63="","",IF(COUNTIFS(Пул!$E$5:$E$300,$B63,Пул!$H$5:$H$300,"&lt;&gt;")=0,"",ROUND(SUMIFS(Пул!$J$5:$J$300,Пул!$E$5:$E$300,$B63),8)))</f>
        <v/>
      </c>
      <c r="H63" s="241" t="str">
        <f>IF($B63="","",IF(COUNTIFS(Пул!$E$5:$E$300,$B63,Пул!$I$5:$I$300,"&lt;&gt;")=0,"",ROUND(SUMIFS(Пул!$K$5:$K$300,Пул!$E$5:$E$300,$B63),8)))</f>
        <v/>
      </c>
      <c r="I63" s="236" t="str">
        <f>IF(AND(ISNUMBER(G63),ISNUMBER(H63)),IF(AND(G63&gt;0,H63&lt;0),"Buy",IF(AND(G63&lt;0,H63&gt;0),"Sell","")),"")</f>
        <v/>
      </c>
      <c r="J63" s="177" t="str">
        <f>IF(I63="Buy",G63,IF(I63="Sell",-G63,""))</f>
        <v/>
      </c>
      <c r="K63" s="177" t="str">
        <f>IF(AND(ISNUMBER(J63),ISNUMBER(L63),N(J63)&lt;&gt;0),ROUND(L63/J63,8),"")</f>
        <v/>
      </c>
      <c r="L63" s="177" t="str">
        <f>IF(I63="Buy",-H63,IF(I63="Sell",H63,""))</f>
        <v/>
      </c>
    </row>
    <row r="64" ht="22" customHeight="1">
      <c r="B64" s="245" t="n"/>
      <c r="C64" s="246" t="str">
        <f>IF($B64="","",IF(COUNTIFS(Пул!$E$5:$E$300,$B64,Пул!$F$5:$F$300,"&lt;&gt;")=0,"",ROUND(SUMIFS(Пул!$F$5:$F$300,Пул!$E$5:$E$300,$B64),8)))</f>
        <v/>
      </c>
      <c r="D64" s="247" t="str">
        <f>IF($B64="","",IF(COUNTIFS(Пул!$E$5:$E$300,$B64,Пул!$G$5:$G$300,"&lt;&gt;")=0,"",ROUND(SUMIFS(Пул!$G$5:$G$300,Пул!$E$5:$E$300,$B64),8)))</f>
        <v/>
      </c>
      <c r="E64" s="246" t="str">
        <f>IF($B64="","",IF(COUNTIFS(Пул!$E$5:$E$300,$B64,Пул!$H$5:$H$300,"&lt;&gt;")=0,"",ROUND(SUMIFS(Пул!$H$5:$H$300,Пул!$E$5:$E$300,$B64),8)))</f>
        <v/>
      </c>
      <c r="F64" s="247" t="str">
        <f>IF($B64="","",IF(COUNTIFS(Пул!$E$5:$E$300,$B64,Пул!$I$5:$I$300,"&lt;&gt;")=0,"",ROUND(SUMIFS(Пул!$I$5:$I$300,Пул!$E$5:$E$300,$B64),8)))</f>
        <v/>
      </c>
      <c r="G64" s="246" t="str">
        <f>IF($B64="","",IF(COUNTIFS(Пул!$E$5:$E$300,$B64,Пул!$H$5:$H$300,"&lt;&gt;")=0,"",ROUND(SUMIFS(Пул!$J$5:$J$300,Пул!$E$5:$E$300,$B64),8)))</f>
        <v/>
      </c>
      <c r="H64" s="247" t="str">
        <f>IF($B64="","",IF(COUNTIFS(Пул!$E$5:$E$300,$B64,Пул!$I$5:$I$300,"&lt;&gt;")=0,"",ROUND(SUMIFS(Пул!$K$5:$K$300,Пул!$E$5:$E$300,$B64),8)))</f>
        <v/>
      </c>
      <c r="I64" s="242" t="str">
        <f>IF(AND(ISNUMBER(G64),ISNUMBER(H64)),IF(AND(G64&gt;0,H64&lt;0),"Buy",IF(AND(G64&lt;0,H64&gt;0),"Sell","")),"")</f>
        <v/>
      </c>
      <c r="J64" s="183" t="str">
        <f>IF(I64="Buy",G64,IF(I64="Sell",-G64,""))</f>
        <v/>
      </c>
      <c r="K64" s="183" t="str">
        <f>IF(AND(ISNUMBER(J64),ISNUMBER(L64),N(J64)&lt;&gt;0),ROUND(L64/J64,8),"")</f>
        <v/>
      </c>
      <c r="L64" s="183" t="str">
        <f>IF(I64="Buy",-H64,IF(I64="Sell",H64,""))</f>
        <v/>
      </c>
    </row>
    <row r="65" ht="22" customHeight="1">
      <c r="B65" s="239" t="n"/>
      <c r="C65" s="240" t="str">
        <f>IF($B65="","",IF(COUNTIFS(Пул!$E$5:$E$300,$B65,Пул!$F$5:$F$300,"&lt;&gt;")=0,"",ROUND(SUMIFS(Пул!$F$5:$F$300,Пул!$E$5:$E$300,$B65),8)))</f>
        <v/>
      </c>
      <c r="D65" s="241" t="str">
        <f>IF($B65="","",IF(COUNTIFS(Пул!$E$5:$E$300,$B65,Пул!$G$5:$G$300,"&lt;&gt;")=0,"",ROUND(SUMIFS(Пул!$G$5:$G$300,Пул!$E$5:$E$300,$B65),8)))</f>
        <v/>
      </c>
      <c r="E65" s="240" t="str">
        <f>IF($B65="","",IF(COUNTIFS(Пул!$E$5:$E$300,$B65,Пул!$H$5:$H$300,"&lt;&gt;")=0,"",ROUND(SUMIFS(Пул!$H$5:$H$300,Пул!$E$5:$E$300,$B65),8)))</f>
        <v/>
      </c>
      <c r="F65" s="241" t="str">
        <f>IF($B65="","",IF(COUNTIFS(Пул!$E$5:$E$300,$B65,Пул!$I$5:$I$300,"&lt;&gt;")=0,"",ROUND(SUMIFS(Пул!$I$5:$I$300,Пул!$E$5:$E$300,$B65),8)))</f>
        <v/>
      </c>
      <c r="G65" s="240" t="str">
        <f>IF($B65="","",IF(COUNTIFS(Пул!$E$5:$E$300,$B65,Пул!$H$5:$H$300,"&lt;&gt;")=0,"",ROUND(SUMIFS(Пул!$J$5:$J$300,Пул!$E$5:$E$300,$B65),8)))</f>
        <v/>
      </c>
      <c r="H65" s="241" t="str">
        <f>IF($B65="","",IF(COUNTIFS(Пул!$E$5:$E$300,$B65,Пул!$I$5:$I$300,"&lt;&gt;")=0,"",ROUND(SUMIFS(Пул!$K$5:$K$300,Пул!$E$5:$E$300,$B65),8)))</f>
        <v/>
      </c>
      <c r="I65" s="236" t="str">
        <f>IF(AND(ISNUMBER(G65),ISNUMBER(H65)),IF(AND(G65&gt;0,H65&lt;0),"Buy",IF(AND(G65&lt;0,H65&gt;0),"Sell","")),"")</f>
        <v/>
      </c>
      <c r="J65" s="177" t="str">
        <f>IF(I65="Buy",G65,IF(I65="Sell",-G65,""))</f>
        <v/>
      </c>
      <c r="K65" s="177" t="str">
        <f>IF(AND(ISNUMBER(J65),ISNUMBER(L65),N(J65)&lt;&gt;0),ROUND(L65/J65,8),"")</f>
        <v/>
      </c>
      <c r="L65" s="177" t="str">
        <f>IF(I65="Buy",-H65,IF(I65="Sell",H65,""))</f>
        <v/>
      </c>
    </row>
    <row r="66" ht="22" customHeight="1">
      <c r="B66" s="245" t="n"/>
      <c r="C66" s="246" t="str">
        <f>IF($B66="","",IF(COUNTIFS(Пул!$E$5:$E$300,$B66,Пул!$F$5:$F$300,"&lt;&gt;")=0,"",ROUND(SUMIFS(Пул!$F$5:$F$300,Пул!$E$5:$E$300,$B66),8)))</f>
        <v/>
      </c>
      <c r="D66" s="247" t="str">
        <f>IF($B66="","",IF(COUNTIFS(Пул!$E$5:$E$300,$B66,Пул!$G$5:$G$300,"&lt;&gt;")=0,"",ROUND(SUMIFS(Пул!$G$5:$G$300,Пул!$E$5:$E$300,$B66),8)))</f>
        <v/>
      </c>
      <c r="E66" s="246" t="str">
        <f>IF($B66="","",IF(COUNTIFS(Пул!$E$5:$E$300,$B66,Пул!$H$5:$H$300,"&lt;&gt;")=0,"",ROUND(SUMIFS(Пул!$H$5:$H$300,Пул!$E$5:$E$300,$B66),8)))</f>
        <v/>
      </c>
      <c r="F66" s="247" t="str">
        <f>IF($B66="","",IF(COUNTIFS(Пул!$E$5:$E$300,$B66,Пул!$I$5:$I$300,"&lt;&gt;")=0,"",ROUND(SUMIFS(Пул!$I$5:$I$300,Пул!$E$5:$E$300,$B66),8)))</f>
        <v/>
      </c>
      <c r="G66" s="246" t="str">
        <f>IF($B66="","",IF(COUNTIFS(Пул!$E$5:$E$300,$B66,Пул!$H$5:$H$300,"&lt;&gt;")=0,"",ROUND(SUMIFS(Пул!$J$5:$J$300,Пул!$E$5:$E$300,$B66),8)))</f>
        <v/>
      </c>
      <c r="H66" s="247" t="str">
        <f>IF($B66="","",IF(COUNTIFS(Пул!$E$5:$E$300,$B66,Пул!$I$5:$I$300,"&lt;&gt;")=0,"",ROUND(SUMIFS(Пул!$K$5:$K$300,Пул!$E$5:$E$300,$B66),8)))</f>
        <v/>
      </c>
      <c r="I66" s="242" t="str">
        <f>IF(AND(ISNUMBER(G66),ISNUMBER(H66)),IF(AND(G66&gt;0,H66&lt;0),"Buy",IF(AND(G66&lt;0,H66&gt;0),"Sell","")),"")</f>
        <v/>
      </c>
      <c r="J66" s="183" t="str">
        <f>IF(I66="Buy",G66,IF(I66="Sell",-G66,""))</f>
        <v/>
      </c>
      <c r="K66" s="183" t="str">
        <f>IF(AND(ISNUMBER(J66),ISNUMBER(L66),N(J66)&lt;&gt;0),ROUND(L66/J66,8),"")</f>
        <v/>
      </c>
      <c r="L66" s="183" t="str">
        <f>IF(I66="Buy",-H66,IF(I66="Sell",H66,""))</f>
        <v/>
      </c>
    </row>
    <row r="67" ht="22" customHeight="1">
      <c r="B67" s="239" t="n"/>
      <c r="C67" s="240" t="str">
        <f>IF($B67="","",IF(COUNTIFS(Пул!$E$5:$E$300,$B67,Пул!$F$5:$F$300,"&lt;&gt;")=0,"",ROUND(SUMIFS(Пул!$F$5:$F$300,Пул!$E$5:$E$300,$B67),8)))</f>
        <v/>
      </c>
      <c r="D67" s="241" t="str">
        <f>IF($B67="","",IF(COUNTIFS(Пул!$E$5:$E$300,$B67,Пул!$G$5:$G$300,"&lt;&gt;")=0,"",ROUND(SUMIFS(Пул!$G$5:$G$300,Пул!$E$5:$E$300,$B67),8)))</f>
        <v/>
      </c>
      <c r="E67" s="240" t="str">
        <f>IF($B67="","",IF(COUNTIFS(Пул!$E$5:$E$300,$B67,Пул!$H$5:$H$300,"&lt;&gt;")=0,"",ROUND(SUMIFS(Пул!$H$5:$H$300,Пул!$E$5:$E$300,$B67),8)))</f>
        <v/>
      </c>
      <c r="F67" s="241" t="str">
        <f>IF($B67="","",IF(COUNTIFS(Пул!$E$5:$E$300,$B67,Пул!$I$5:$I$300,"&lt;&gt;")=0,"",ROUND(SUMIFS(Пул!$I$5:$I$300,Пул!$E$5:$E$300,$B67),8)))</f>
        <v/>
      </c>
      <c r="G67" s="240" t="str">
        <f>IF($B67="","",IF(COUNTIFS(Пул!$E$5:$E$300,$B67,Пул!$H$5:$H$300,"&lt;&gt;")=0,"",ROUND(SUMIFS(Пул!$J$5:$J$300,Пул!$E$5:$E$300,$B67),8)))</f>
        <v/>
      </c>
      <c r="H67" s="241" t="str">
        <f>IF($B67="","",IF(COUNTIFS(Пул!$E$5:$E$300,$B67,Пул!$I$5:$I$300,"&lt;&gt;")=0,"",ROUND(SUMIFS(Пул!$K$5:$K$300,Пул!$E$5:$E$300,$B67),8)))</f>
        <v/>
      </c>
      <c r="I67" s="236" t="str">
        <f>IF(AND(ISNUMBER(G67),ISNUMBER(H67)),IF(AND(G67&gt;0,H67&lt;0),"Buy",IF(AND(G67&lt;0,H67&gt;0),"Sell","")),"")</f>
        <v/>
      </c>
      <c r="J67" s="177" t="str">
        <f>IF(I67="Buy",G67,IF(I67="Sell",-G67,""))</f>
        <v/>
      </c>
      <c r="K67" s="177" t="str">
        <f>IF(AND(ISNUMBER(J67),ISNUMBER(L67),N(J67)&lt;&gt;0),ROUND(L67/J67,8),"")</f>
        <v/>
      </c>
      <c r="L67" s="177" t="str">
        <f>IF(I67="Buy",-H67,IF(I67="Sell",H67,""))</f>
        <v/>
      </c>
    </row>
    <row r="68" ht="22" customHeight="1">
      <c r="B68" s="245" t="n"/>
      <c r="C68" s="246" t="str">
        <f>IF($B68="","",IF(COUNTIFS(Пул!$E$5:$E$300,$B68,Пул!$F$5:$F$300,"&lt;&gt;")=0,"",ROUND(SUMIFS(Пул!$F$5:$F$300,Пул!$E$5:$E$300,$B68),8)))</f>
        <v/>
      </c>
      <c r="D68" s="247" t="str">
        <f>IF($B68="","",IF(COUNTIFS(Пул!$E$5:$E$300,$B68,Пул!$G$5:$G$300,"&lt;&gt;")=0,"",ROUND(SUMIFS(Пул!$G$5:$G$300,Пул!$E$5:$E$300,$B68),8)))</f>
        <v/>
      </c>
      <c r="E68" s="246" t="str">
        <f>IF($B68="","",IF(COUNTIFS(Пул!$E$5:$E$300,$B68,Пул!$H$5:$H$300,"&lt;&gt;")=0,"",ROUND(SUMIFS(Пул!$H$5:$H$300,Пул!$E$5:$E$300,$B68),8)))</f>
        <v/>
      </c>
      <c r="F68" s="247" t="str">
        <f>IF($B68="","",IF(COUNTIFS(Пул!$E$5:$E$300,$B68,Пул!$I$5:$I$300,"&lt;&gt;")=0,"",ROUND(SUMIFS(Пул!$I$5:$I$300,Пул!$E$5:$E$300,$B68),8)))</f>
        <v/>
      </c>
      <c r="G68" s="246" t="str">
        <f>IF($B68="","",IF(COUNTIFS(Пул!$E$5:$E$300,$B68,Пул!$H$5:$H$300,"&lt;&gt;")=0,"",ROUND(SUMIFS(Пул!$J$5:$J$300,Пул!$E$5:$E$300,$B68),8)))</f>
        <v/>
      </c>
      <c r="H68" s="247" t="str">
        <f>IF($B68="","",IF(COUNTIFS(Пул!$E$5:$E$300,$B68,Пул!$I$5:$I$300,"&lt;&gt;")=0,"",ROUND(SUMIFS(Пул!$K$5:$K$300,Пул!$E$5:$E$300,$B68),8)))</f>
        <v/>
      </c>
      <c r="I68" s="242" t="str">
        <f>IF(AND(ISNUMBER(G68),ISNUMBER(H68)),IF(AND(G68&gt;0,H68&lt;0),"Buy",IF(AND(G68&lt;0,H68&gt;0),"Sell","")),"")</f>
        <v/>
      </c>
      <c r="J68" s="183" t="str">
        <f>IF(I68="Buy",G68,IF(I68="Sell",-G68,""))</f>
        <v/>
      </c>
      <c r="K68" s="183" t="str">
        <f>IF(AND(ISNUMBER(J68),ISNUMBER(L68),N(J68)&lt;&gt;0),ROUND(L68/J68,8),"")</f>
        <v/>
      </c>
      <c r="L68" s="183" t="str">
        <f>IF(I68="Buy",-H68,IF(I68="Sell",H68,""))</f>
        <v/>
      </c>
    </row>
    <row r="69" ht="22" customHeight="1">
      <c r="B69" s="239" t="n"/>
      <c r="C69" s="240" t="str">
        <f>IF($B69="","",IF(COUNTIFS(Пул!$E$5:$E$300,$B69,Пул!$F$5:$F$300,"&lt;&gt;")=0,"",ROUND(SUMIFS(Пул!$F$5:$F$300,Пул!$E$5:$E$300,$B69),8)))</f>
        <v/>
      </c>
      <c r="D69" s="241" t="str">
        <f>IF($B69="","",IF(COUNTIFS(Пул!$E$5:$E$300,$B69,Пул!$G$5:$G$300,"&lt;&gt;")=0,"",ROUND(SUMIFS(Пул!$G$5:$G$300,Пул!$E$5:$E$300,$B69),8)))</f>
        <v/>
      </c>
      <c r="E69" s="240" t="str">
        <f>IF($B69="","",IF(COUNTIFS(Пул!$E$5:$E$300,$B69,Пул!$H$5:$H$300,"&lt;&gt;")=0,"",ROUND(SUMIFS(Пул!$H$5:$H$300,Пул!$E$5:$E$300,$B69),8)))</f>
        <v/>
      </c>
      <c r="F69" s="241" t="str">
        <f>IF($B69="","",IF(COUNTIFS(Пул!$E$5:$E$300,$B69,Пул!$I$5:$I$300,"&lt;&gt;")=0,"",ROUND(SUMIFS(Пул!$I$5:$I$300,Пул!$E$5:$E$300,$B69),8)))</f>
        <v/>
      </c>
      <c r="G69" s="240" t="str">
        <f>IF($B69="","",IF(COUNTIFS(Пул!$E$5:$E$300,$B69,Пул!$H$5:$H$300,"&lt;&gt;")=0,"",ROUND(SUMIFS(Пул!$J$5:$J$300,Пул!$E$5:$E$300,$B69),8)))</f>
        <v/>
      </c>
      <c r="H69" s="241" t="str">
        <f>IF($B69="","",IF(COUNTIFS(Пул!$E$5:$E$300,$B69,Пул!$I$5:$I$300,"&lt;&gt;")=0,"",ROUND(SUMIFS(Пул!$K$5:$K$300,Пул!$E$5:$E$300,$B69),8)))</f>
        <v/>
      </c>
      <c r="I69" s="236" t="str">
        <f>IF(AND(ISNUMBER(G69),ISNUMBER(H69)),IF(AND(G69&gt;0,H69&lt;0),"Buy",IF(AND(G69&lt;0,H69&gt;0),"Sell","")),"")</f>
        <v/>
      </c>
      <c r="J69" s="177" t="str">
        <f>IF(I69="Buy",G69,IF(I69="Sell",-G69,""))</f>
        <v/>
      </c>
      <c r="K69" s="177" t="str">
        <f>IF(AND(ISNUMBER(J69),ISNUMBER(L69),N(J69)&lt;&gt;0),ROUND(L69/J69,8),"")</f>
        <v/>
      </c>
      <c r="L69" s="177" t="str">
        <f>IF(I69="Buy",-H69,IF(I69="Sell",H69,""))</f>
        <v/>
      </c>
    </row>
    <row r="70" ht="22" customHeight="1">
      <c r="B70" s="245" t="n"/>
      <c r="C70" s="246" t="str">
        <f>IF($B70="","",IF(COUNTIFS(Пул!$E$5:$E$300,$B70,Пул!$F$5:$F$300,"&lt;&gt;")=0,"",ROUND(SUMIFS(Пул!$F$5:$F$300,Пул!$E$5:$E$300,$B70),8)))</f>
        <v/>
      </c>
      <c r="D70" s="247" t="str">
        <f>IF($B70="","",IF(COUNTIFS(Пул!$E$5:$E$300,$B70,Пул!$G$5:$G$300,"&lt;&gt;")=0,"",ROUND(SUMIFS(Пул!$G$5:$G$300,Пул!$E$5:$E$300,$B70),8)))</f>
        <v/>
      </c>
      <c r="E70" s="246" t="str">
        <f>IF($B70="","",IF(COUNTIFS(Пул!$E$5:$E$300,$B70,Пул!$H$5:$H$300,"&lt;&gt;")=0,"",ROUND(SUMIFS(Пул!$H$5:$H$300,Пул!$E$5:$E$300,$B70),8)))</f>
        <v/>
      </c>
      <c r="F70" s="247" t="str">
        <f>IF($B70="","",IF(COUNTIFS(Пул!$E$5:$E$300,$B70,Пул!$I$5:$I$300,"&lt;&gt;")=0,"",ROUND(SUMIFS(Пул!$I$5:$I$300,Пул!$E$5:$E$300,$B70),8)))</f>
        <v/>
      </c>
      <c r="G70" s="246" t="str">
        <f>IF($B70="","",IF(COUNTIFS(Пул!$E$5:$E$300,$B70,Пул!$H$5:$H$300,"&lt;&gt;")=0,"",ROUND(SUMIFS(Пул!$J$5:$J$300,Пул!$E$5:$E$300,$B70),8)))</f>
        <v/>
      </c>
      <c r="H70" s="247" t="str">
        <f>IF($B70="","",IF(COUNTIFS(Пул!$E$5:$E$300,$B70,Пул!$I$5:$I$300,"&lt;&gt;")=0,"",ROUND(SUMIFS(Пул!$K$5:$K$300,Пул!$E$5:$E$300,$B70),8)))</f>
        <v/>
      </c>
      <c r="I70" s="242" t="str">
        <f>IF(AND(ISNUMBER(G70),ISNUMBER(H70)),IF(AND(G70&gt;0,H70&lt;0),"Buy",IF(AND(G70&lt;0,H70&gt;0),"Sell","")),"")</f>
        <v/>
      </c>
      <c r="J70" s="183" t="str">
        <f>IF(I70="Buy",G70,IF(I70="Sell",-G70,""))</f>
        <v/>
      </c>
      <c r="K70" s="183" t="str">
        <f>IF(AND(ISNUMBER(J70),ISNUMBER(L70),N(J70)&lt;&gt;0),ROUND(L70/J70,8),"")</f>
        <v/>
      </c>
      <c r="L70" s="183" t="str">
        <f>IF(I70="Buy",-H70,IF(I70="Sell",H70,""))</f>
        <v/>
      </c>
    </row>
    <row r="71" ht="22" customHeight="1">
      <c r="B71" s="239" t="n"/>
      <c r="C71" s="240" t="str">
        <f>IF($B71="","",IF(COUNTIFS(Пул!$E$5:$E$300,$B71,Пул!$F$5:$F$300,"&lt;&gt;")=0,"",ROUND(SUMIFS(Пул!$F$5:$F$300,Пул!$E$5:$E$300,$B71),8)))</f>
        <v/>
      </c>
      <c r="D71" s="241" t="str">
        <f>IF($B71="","",IF(COUNTIFS(Пул!$E$5:$E$300,$B71,Пул!$G$5:$G$300,"&lt;&gt;")=0,"",ROUND(SUMIFS(Пул!$G$5:$G$300,Пул!$E$5:$E$300,$B71),8)))</f>
        <v/>
      </c>
      <c r="E71" s="240" t="str">
        <f>IF($B71="","",IF(COUNTIFS(Пул!$E$5:$E$300,$B71,Пул!$H$5:$H$300,"&lt;&gt;")=0,"",ROUND(SUMIFS(Пул!$H$5:$H$300,Пул!$E$5:$E$300,$B71),8)))</f>
        <v/>
      </c>
      <c r="F71" s="241" t="str">
        <f>IF($B71="","",IF(COUNTIFS(Пул!$E$5:$E$300,$B71,Пул!$I$5:$I$300,"&lt;&gt;")=0,"",ROUND(SUMIFS(Пул!$I$5:$I$300,Пул!$E$5:$E$300,$B71),8)))</f>
        <v/>
      </c>
      <c r="G71" s="240" t="str">
        <f>IF($B71="","",IF(COUNTIFS(Пул!$E$5:$E$300,$B71,Пул!$H$5:$H$300,"&lt;&gt;")=0,"",ROUND(SUMIFS(Пул!$J$5:$J$300,Пул!$E$5:$E$300,$B71),8)))</f>
        <v/>
      </c>
      <c r="H71" s="241" t="str">
        <f>IF($B71="","",IF(COUNTIFS(Пул!$E$5:$E$300,$B71,Пул!$I$5:$I$300,"&lt;&gt;")=0,"",ROUND(SUMIFS(Пул!$K$5:$K$300,Пул!$E$5:$E$300,$B71),8)))</f>
        <v/>
      </c>
      <c r="I71" s="236" t="str">
        <f>IF(AND(ISNUMBER(G71),ISNUMBER(H71)),IF(AND(G71&gt;0,H71&lt;0),"Buy",IF(AND(G71&lt;0,H71&gt;0),"Sell","")),"")</f>
        <v/>
      </c>
      <c r="J71" s="177" t="str">
        <f>IF(I71="Buy",G71,IF(I71="Sell",-G71,""))</f>
        <v/>
      </c>
      <c r="K71" s="177" t="str">
        <f>IF(AND(ISNUMBER(J71),ISNUMBER(L71),N(J71)&lt;&gt;0),ROUND(L71/J71,8),"")</f>
        <v/>
      </c>
      <c r="L71" s="177" t="str">
        <f>IF(I71="Buy",-H71,IF(I71="Sell",H71,""))</f>
        <v/>
      </c>
    </row>
    <row r="72" ht="22" customHeight="1">
      <c r="B72" s="245" t="n"/>
      <c r="C72" s="246" t="str">
        <f>IF($B72="","",IF(COUNTIFS(Пул!$E$5:$E$300,$B72,Пул!$F$5:$F$300,"&lt;&gt;")=0,"",ROUND(SUMIFS(Пул!$F$5:$F$300,Пул!$E$5:$E$300,$B72),8)))</f>
        <v/>
      </c>
      <c r="D72" s="247" t="str">
        <f>IF($B72="","",IF(COUNTIFS(Пул!$E$5:$E$300,$B72,Пул!$G$5:$G$300,"&lt;&gt;")=0,"",ROUND(SUMIFS(Пул!$G$5:$G$300,Пул!$E$5:$E$300,$B72),8)))</f>
        <v/>
      </c>
      <c r="E72" s="246" t="str">
        <f>IF($B72="","",IF(COUNTIFS(Пул!$E$5:$E$300,$B72,Пул!$H$5:$H$300,"&lt;&gt;")=0,"",ROUND(SUMIFS(Пул!$H$5:$H$300,Пул!$E$5:$E$300,$B72),8)))</f>
        <v/>
      </c>
      <c r="F72" s="247" t="str">
        <f>IF($B72="","",IF(COUNTIFS(Пул!$E$5:$E$300,$B72,Пул!$I$5:$I$300,"&lt;&gt;")=0,"",ROUND(SUMIFS(Пул!$I$5:$I$300,Пул!$E$5:$E$300,$B72),8)))</f>
        <v/>
      </c>
      <c r="G72" s="246" t="str">
        <f>IF($B72="","",IF(COUNTIFS(Пул!$E$5:$E$300,$B72,Пул!$H$5:$H$300,"&lt;&gt;")=0,"",ROUND(SUMIFS(Пул!$J$5:$J$300,Пул!$E$5:$E$300,$B72),8)))</f>
        <v/>
      </c>
      <c r="H72" s="247" t="str">
        <f>IF($B72="","",IF(COUNTIFS(Пул!$E$5:$E$300,$B72,Пул!$I$5:$I$300,"&lt;&gt;")=0,"",ROUND(SUMIFS(Пул!$K$5:$K$300,Пул!$E$5:$E$300,$B72),8)))</f>
        <v/>
      </c>
      <c r="I72" s="242" t="str">
        <f>IF(AND(ISNUMBER(G72),ISNUMBER(H72)),IF(AND(G72&gt;0,H72&lt;0),"Buy",IF(AND(G72&lt;0,H72&gt;0),"Sell","")),"")</f>
        <v/>
      </c>
      <c r="J72" s="183" t="str">
        <f>IF(I72="Buy",G72,IF(I72="Sell",-G72,""))</f>
        <v/>
      </c>
      <c r="K72" s="183" t="str">
        <f>IF(AND(ISNUMBER(J72),ISNUMBER(L72),N(J72)&lt;&gt;0),ROUND(L72/J72,8),"")</f>
        <v/>
      </c>
      <c r="L72" s="183" t="str">
        <f>IF(I72="Buy",-H72,IF(I72="Sell",H72,""))</f>
        <v/>
      </c>
    </row>
    <row r="73" ht="22" customHeight="1">
      <c r="B73" s="239" t="n"/>
      <c r="C73" s="240" t="str">
        <f>IF($B73="","",IF(COUNTIFS(Пул!$E$5:$E$300,$B73,Пул!$F$5:$F$300,"&lt;&gt;")=0,"",ROUND(SUMIFS(Пул!$F$5:$F$300,Пул!$E$5:$E$300,$B73),8)))</f>
        <v/>
      </c>
      <c r="D73" s="241" t="str">
        <f>IF($B73="","",IF(COUNTIFS(Пул!$E$5:$E$300,$B73,Пул!$G$5:$G$300,"&lt;&gt;")=0,"",ROUND(SUMIFS(Пул!$G$5:$G$300,Пул!$E$5:$E$300,$B73),8)))</f>
        <v/>
      </c>
      <c r="E73" s="240" t="str">
        <f>IF($B73="","",IF(COUNTIFS(Пул!$E$5:$E$300,$B73,Пул!$H$5:$H$300,"&lt;&gt;")=0,"",ROUND(SUMIFS(Пул!$H$5:$H$300,Пул!$E$5:$E$300,$B73),8)))</f>
        <v/>
      </c>
      <c r="F73" s="241" t="str">
        <f>IF($B73="","",IF(COUNTIFS(Пул!$E$5:$E$300,$B73,Пул!$I$5:$I$300,"&lt;&gt;")=0,"",ROUND(SUMIFS(Пул!$I$5:$I$300,Пул!$E$5:$E$300,$B73),8)))</f>
        <v/>
      </c>
      <c r="G73" s="240" t="str">
        <f>IF($B73="","",IF(COUNTIFS(Пул!$E$5:$E$300,$B73,Пул!$H$5:$H$300,"&lt;&gt;")=0,"",ROUND(SUMIFS(Пул!$J$5:$J$300,Пул!$E$5:$E$300,$B73),8)))</f>
        <v/>
      </c>
      <c r="H73" s="241" t="str">
        <f>IF($B73="","",IF(COUNTIFS(Пул!$E$5:$E$300,$B73,Пул!$I$5:$I$300,"&lt;&gt;")=0,"",ROUND(SUMIFS(Пул!$K$5:$K$300,Пул!$E$5:$E$300,$B73),8)))</f>
        <v/>
      </c>
      <c r="I73" s="236" t="str">
        <f>IF(AND(ISNUMBER(G73),ISNUMBER(H73)),IF(AND(G73&gt;0,H73&lt;0),"Buy",IF(AND(G73&lt;0,H73&gt;0),"Sell","")),"")</f>
        <v/>
      </c>
      <c r="J73" s="177" t="str">
        <f>IF(I73="Buy",G73,IF(I73="Sell",-G73,""))</f>
        <v/>
      </c>
      <c r="K73" s="177" t="str">
        <f>IF(AND(ISNUMBER(J73),ISNUMBER(L73),N(J73)&lt;&gt;0),ROUND(L73/J73,8),"")</f>
        <v/>
      </c>
      <c r="L73" s="177" t="str">
        <f>IF(I73="Buy",-H73,IF(I73="Sell",H73,""))</f>
        <v/>
      </c>
    </row>
    <row r="74" ht="22" customHeight="1">
      <c r="B74" s="245" t="n"/>
      <c r="C74" s="246" t="str">
        <f>IF($B74="","",IF(COUNTIFS(Пул!$E$5:$E$300,$B74,Пул!$F$5:$F$300,"&lt;&gt;")=0,"",ROUND(SUMIFS(Пул!$F$5:$F$300,Пул!$E$5:$E$300,$B74),8)))</f>
        <v/>
      </c>
      <c r="D74" s="247" t="str">
        <f>IF($B74="","",IF(COUNTIFS(Пул!$E$5:$E$300,$B74,Пул!$G$5:$G$300,"&lt;&gt;")=0,"",ROUND(SUMIFS(Пул!$G$5:$G$300,Пул!$E$5:$E$300,$B74),8)))</f>
        <v/>
      </c>
      <c r="E74" s="246" t="str">
        <f>IF($B74="","",IF(COUNTIFS(Пул!$E$5:$E$300,$B74,Пул!$H$5:$H$300,"&lt;&gt;")=0,"",ROUND(SUMIFS(Пул!$H$5:$H$300,Пул!$E$5:$E$300,$B74),8)))</f>
        <v/>
      </c>
      <c r="F74" s="247" t="str">
        <f>IF($B74="","",IF(COUNTIFS(Пул!$E$5:$E$300,$B74,Пул!$I$5:$I$300,"&lt;&gt;")=0,"",ROUND(SUMIFS(Пул!$I$5:$I$300,Пул!$E$5:$E$300,$B74),8)))</f>
        <v/>
      </c>
      <c r="G74" s="246" t="str">
        <f>IF($B74="","",IF(COUNTIFS(Пул!$E$5:$E$300,$B74,Пул!$H$5:$H$300,"&lt;&gt;")=0,"",ROUND(SUMIFS(Пул!$J$5:$J$300,Пул!$E$5:$E$300,$B74),8)))</f>
        <v/>
      </c>
      <c r="H74" s="247" t="str">
        <f>IF($B74="","",IF(COUNTIFS(Пул!$E$5:$E$300,$B74,Пул!$I$5:$I$300,"&lt;&gt;")=0,"",ROUND(SUMIFS(Пул!$K$5:$K$300,Пул!$E$5:$E$300,$B74),8)))</f>
        <v/>
      </c>
      <c r="I74" s="242" t="str">
        <f>IF(AND(ISNUMBER(G74),ISNUMBER(H74)),IF(AND(G74&gt;0,H74&lt;0),"Buy",IF(AND(G74&lt;0,H74&gt;0),"Sell","")),"")</f>
        <v/>
      </c>
      <c r="J74" s="183" t="str">
        <f>IF(I74="Buy",G74,IF(I74="Sell",-G74,""))</f>
        <v/>
      </c>
      <c r="K74" s="183" t="str">
        <f>IF(AND(ISNUMBER(J74),ISNUMBER(L74),N(J74)&lt;&gt;0),ROUND(L74/J74,8),"")</f>
        <v/>
      </c>
      <c r="L74" s="183" t="str">
        <f>IF(I74="Buy",-H74,IF(I74="Sell",H74,""))</f>
        <v/>
      </c>
    </row>
    <row r="75" ht="22" customHeight="1">
      <c r="B75" s="239" t="n"/>
      <c r="C75" s="240" t="str">
        <f>IF($B75="","",IF(COUNTIFS(Пул!$E$5:$E$300,$B75,Пул!$F$5:$F$300,"&lt;&gt;")=0,"",ROUND(SUMIFS(Пул!$F$5:$F$300,Пул!$E$5:$E$300,$B75),8)))</f>
        <v/>
      </c>
      <c r="D75" s="241" t="str">
        <f>IF($B75="","",IF(COUNTIFS(Пул!$E$5:$E$300,$B75,Пул!$G$5:$G$300,"&lt;&gt;")=0,"",ROUND(SUMIFS(Пул!$G$5:$G$300,Пул!$E$5:$E$300,$B75),8)))</f>
        <v/>
      </c>
      <c r="E75" s="240" t="str">
        <f>IF($B75="","",IF(COUNTIFS(Пул!$E$5:$E$300,$B75,Пул!$H$5:$H$300,"&lt;&gt;")=0,"",ROUND(SUMIFS(Пул!$H$5:$H$300,Пул!$E$5:$E$300,$B75),8)))</f>
        <v/>
      </c>
      <c r="F75" s="241" t="str">
        <f>IF($B75="","",IF(COUNTIFS(Пул!$E$5:$E$300,$B75,Пул!$I$5:$I$300,"&lt;&gt;")=0,"",ROUND(SUMIFS(Пул!$I$5:$I$300,Пул!$E$5:$E$300,$B75),8)))</f>
        <v/>
      </c>
      <c r="G75" s="240" t="str">
        <f>IF($B75="","",IF(COUNTIFS(Пул!$E$5:$E$300,$B75,Пул!$H$5:$H$300,"&lt;&gt;")=0,"",ROUND(SUMIFS(Пул!$J$5:$J$300,Пул!$E$5:$E$300,$B75),8)))</f>
        <v/>
      </c>
      <c r="H75" s="241" t="str">
        <f>IF($B75="","",IF(COUNTIFS(Пул!$E$5:$E$300,$B75,Пул!$I$5:$I$300,"&lt;&gt;")=0,"",ROUND(SUMIFS(Пул!$K$5:$K$300,Пул!$E$5:$E$300,$B75),8)))</f>
        <v/>
      </c>
      <c r="I75" s="236" t="str">
        <f>IF(AND(ISNUMBER(G75),ISNUMBER(H75)),IF(AND(G75&gt;0,H75&lt;0),"Buy",IF(AND(G75&lt;0,H75&gt;0),"Sell","")),"")</f>
        <v/>
      </c>
      <c r="J75" s="177" t="str">
        <f>IF(I75="Buy",G75,IF(I75="Sell",-G75,""))</f>
        <v/>
      </c>
      <c r="K75" s="177" t="str">
        <f>IF(AND(ISNUMBER(J75),ISNUMBER(L75),N(J75)&lt;&gt;0),ROUND(L75/J75,8),"")</f>
        <v/>
      </c>
      <c r="L75" s="177" t="str">
        <f>IF(I75="Buy",-H75,IF(I75="Sell",H75,""))</f>
        <v/>
      </c>
    </row>
    <row r="76" ht="22" customHeight="1">
      <c r="B76" s="245" t="n"/>
      <c r="C76" s="246" t="str">
        <f>IF($B76="","",IF(COUNTIFS(Пул!$E$5:$E$300,$B76,Пул!$F$5:$F$300,"&lt;&gt;")=0,"",ROUND(SUMIFS(Пул!$F$5:$F$300,Пул!$E$5:$E$300,$B76),8)))</f>
        <v/>
      </c>
      <c r="D76" s="247" t="str">
        <f>IF($B76="","",IF(COUNTIFS(Пул!$E$5:$E$300,$B76,Пул!$G$5:$G$300,"&lt;&gt;")=0,"",ROUND(SUMIFS(Пул!$G$5:$G$300,Пул!$E$5:$E$300,$B76),8)))</f>
        <v/>
      </c>
      <c r="E76" s="246" t="str">
        <f>IF($B76="","",IF(COUNTIFS(Пул!$E$5:$E$300,$B76,Пул!$H$5:$H$300,"&lt;&gt;")=0,"",ROUND(SUMIFS(Пул!$H$5:$H$300,Пул!$E$5:$E$300,$B76),8)))</f>
        <v/>
      </c>
      <c r="F76" s="247" t="str">
        <f>IF($B76="","",IF(COUNTIFS(Пул!$E$5:$E$300,$B76,Пул!$I$5:$I$300,"&lt;&gt;")=0,"",ROUND(SUMIFS(Пул!$I$5:$I$300,Пул!$E$5:$E$300,$B76),8)))</f>
        <v/>
      </c>
      <c r="G76" s="246" t="str">
        <f>IF($B76="","",IF(COUNTIFS(Пул!$E$5:$E$300,$B76,Пул!$H$5:$H$300,"&lt;&gt;")=0,"",ROUND(SUMIFS(Пул!$J$5:$J$300,Пул!$E$5:$E$300,$B76),8)))</f>
        <v/>
      </c>
      <c r="H76" s="247" t="str">
        <f>IF($B76="","",IF(COUNTIFS(Пул!$E$5:$E$300,$B76,Пул!$I$5:$I$300,"&lt;&gt;")=0,"",ROUND(SUMIFS(Пул!$K$5:$K$300,Пул!$E$5:$E$300,$B76),8)))</f>
        <v/>
      </c>
      <c r="I76" s="242" t="str">
        <f>IF(AND(ISNUMBER(G76),ISNUMBER(H76)),IF(AND(G76&gt;0,H76&lt;0),"Buy",IF(AND(G76&lt;0,H76&gt;0),"Sell","")),"")</f>
        <v/>
      </c>
      <c r="J76" s="183" t="str">
        <f>IF(I76="Buy",G76,IF(I76="Sell",-G76,""))</f>
        <v/>
      </c>
      <c r="K76" s="183" t="str">
        <f>IF(AND(ISNUMBER(J76),ISNUMBER(L76),N(J76)&lt;&gt;0),ROUND(L76/J76,8),"")</f>
        <v/>
      </c>
      <c r="L76" s="183" t="str">
        <f>IF(I76="Buy",-H76,IF(I76="Sell",H76,""))</f>
        <v/>
      </c>
    </row>
    <row r="77" ht="22" customHeight="1">
      <c r="B77" s="239" t="n"/>
      <c r="C77" s="240" t="str">
        <f>IF($B77="","",IF(COUNTIFS(Пул!$E$5:$E$300,$B77,Пул!$F$5:$F$300,"&lt;&gt;")=0,"",ROUND(SUMIFS(Пул!$F$5:$F$300,Пул!$E$5:$E$300,$B77),8)))</f>
        <v/>
      </c>
      <c r="D77" s="241" t="str">
        <f>IF($B77="","",IF(COUNTIFS(Пул!$E$5:$E$300,$B77,Пул!$G$5:$G$300,"&lt;&gt;")=0,"",ROUND(SUMIFS(Пул!$G$5:$G$300,Пул!$E$5:$E$300,$B77),8)))</f>
        <v/>
      </c>
      <c r="E77" s="240" t="str">
        <f>IF($B77="","",IF(COUNTIFS(Пул!$E$5:$E$300,$B77,Пул!$H$5:$H$300,"&lt;&gt;")=0,"",ROUND(SUMIFS(Пул!$H$5:$H$300,Пул!$E$5:$E$300,$B77),8)))</f>
        <v/>
      </c>
      <c r="F77" s="241" t="str">
        <f>IF($B77="","",IF(COUNTIFS(Пул!$E$5:$E$300,$B77,Пул!$I$5:$I$300,"&lt;&gt;")=0,"",ROUND(SUMIFS(Пул!$I$5:$I$300,Пул!$E$5:$E$300,$B77),8)))</f>
        <v/>
      </c>
      <c r="G77" s="240" t="str">
        <f>IF($B77="","",IF(COUNTIFS(Пул!$E$5:$E$300,$B77,Пул!$H$5:$H$300,"&lt;&gt;")=0,"",ROUND(SUMIFS(Пул!$J$5:$J$300,Пул!$E$5:$E$300,$B77),8)))</f>
        <v/>
      </c>
      <c r="H77" s="241" t="str">
        <f>IF($B77="","",IF(COUNTIFS(Пул!$E$5:$E$300,$B77,Пул!$I$5:$I$300,"&lt;&gt;")=0,"",ROUND(SUMIFS(Пул!$K$5:$K$300,Пул!$E$5:$E$300,$B77),8)))</f>
        <v/>
      </c>
      <c r="I77" s="236" t="str">
        <f>IF(AND(ISNUMBER(G77),ISNUMBER(H77)),IF(AND(G77&gt;0,H77&lt;0),"Buy",IF(AND(G77&lt;0,H77&gt;0),"Sell","")),"")</f>
        <v/>
      </c>
      <c r="J77" s="177" t="str">
        <f>IF(I77="Buy",G77,IF(I77="Sell",-G77,""))</f>
        <v/>
      </c>
      <c r="K77" s="177" t="str">
        <f>IF(AND(ISNUMBER(J77),ISNUMBER(L77),N(J77)&lt;&gt;0),ROUND(L77/J77,8),"")</f>
        <v/>
      </c>
      <c r="L77" s="177" t="str">
        <f>IF(I77="Buy",-H77,IF(I77="Sell",H77,""))</f>
        <v/>
      </c>
    </row>
    <row r="78" ht="22" customHeight="1">
      <c r="B78" s="245" t="n"/>
      <c r="C78" s="246" t="str">
        <f>IF($B78="","",IF(COUNTIFS(Пул!$E$5:$E$300,$B78,Пул!$F$5:$F$300,"&lt;&gt;")=0,"",ROUND(SUMIFS(Пул!$F$5:$F$300,Пул!$E$5:$E$300,$B78),8)))</f>
        <v/>
      </c>
      <c r="D78" s="247" t="str">
        <f>IF($B78="","",IF(COUNTIFS(Пул!$E$5:$E$300,$B78,Пул!$G$5:$G$300,"&lt;&gt;")=0,"",ROUND(SUMIFS(Пул!$G$5:$G$300,Пул!$E$5:$E$300,$B78),8)))</f>
        <v/>
      </c>
      <c r="E78" s="246" t="str">
        <f>IF($B78="","",IF(COUNTIFS(Пул!$E$5:$E$300,$B78,Пул!$H$5:$H$300,"&lt;&gt;")=0,"",ROUND(SUMIFS(Пул!$H$5:$H$300,Пул!$E$5:$E$300,$B78),8)))</f>
        <v/>
      </c>
      <c r="F78" s="247" t="str">
        <f>IF($B78="","",IF(COUNTIFS(Пул!$E$5:$E$300,$B78,Пул!$I$5:$I$300,"&lt;&gt;")=0,"",ROUND(SUMIFS(Пул!$I$5:$I$300,Пул!$E$5:$E$300,$B78),8)))</f>
        <v/>
      </c>
      <c r="G78" s="246" t="str">
        <f>IF($B78="","",IF(COUNTIFS(Пул!$E$5:$E$300,$B78,Пул!$H$5:$H$300,"&lt;&gt;")=0,"",ROUND(SUMIFS(Пул!$J$5:$J$300,Пул!$E$5:$E$300,$B78),8)))</f>
        <v/>
      </c>
      <c r="H78" s="247" t="str">
        <f>IF($B78="","",IF(COUNTIFS(Пул!$E$5:$E$300,$B78,Пул!$I$5:$I$300,"&lt;&gt;")=0,"",ROUND(SUMIFS(Пул!$K$5:$K$300,Пул!$E$5:$E$300,$B78),8)))</f>
        <v/>
      </c>
      <c r="I78" s="242" t="str">
        <f>IF(AND(ISNUMBER(G78),ISNUMBER(H78)),IF(AND(G78&gt;0,H78&lt;0),"Buy",IF(AND(G78&lt;0,H78&gt;0),"Sell","")),"")</f>
        <v/>
      </c>
      <c r="J78" s="183" t="str">
        <f>IF(I78="Buy",G78,IF(I78="Sell",-G78,""))</f>
        <v/>
      </c>
      <c r="K78" s="183" t="str">
        <f>IF(AND(ISNUMBER(J78),ISNUMBER(L78),N(J78)&lt;&gt;0),ROUND(L78/J78,8),"")</f>
        <v/>
      </c>
      <c r="L78" s="183" t="str">
        <f>IF(I78="Buy",-H78,IF(I78="Sell",H78,""))</f>
        <v/>
      </c>
    </row>
    <row r="79" ht="22" customHeight="1">
      <c r="B79" s="239" t="n"/>
      <c r="C79" s="240" t="str">
        <f>IF($B79="","",IF(COUNTIFS(Пул!$E$5:$E$300,$B79,Пул!$F$5:$F$300,"&lt;&gt;")=0,"",ROUND(SUMIFS(Пул!$F$5:$F$300,Пул!$E$5:$E$300,$B79),8)))</f>
        <v/>
      </c>
      <c r="D79" s="241" t="str">
        <f>IF($B79="","",IF(COUNTIFS(Пул!$E$5:$E$300,$B79,Пул!$G$5:$G$300,"&lt;&gt;")=0,"",ROUND(SUMIFS(Пул!$G$5:$G$300,Пул!$E$5:$E$300,$B79),8)))</f>
        <v/>
      </c>
      <c r="E79" s="240" t="str">
        <f>IF($B79="","",IF(COUNTIFS(Пул!$E$5:$E$300,$B79,Пул!$H$5:$H$300,"&lt;&gt;")=0,"",ROUND(SUMIFS(Пул!$H$5:$H$300,Пул!$E$5:$E$300,$B79),8)))</f>
        <v/>
      </c>
      <c r="F79" s="241" t="str">
        <f>IF($B79="","",IF(COUNTIFS(Пул!$E$5:$E$300,$B79,Пул!$I$5:$I$300,"&lt;&gt;")=0,"",ROUND(SUMIFS(Пул!$I$5:$I$300,Пул!$E$5:$E$300,$B79),8)))</f>
        <v/>
      </c>
      <c r="G79" s="240" t="str">
        <f>IF($B79="","",IF(COUNTIFS(Пул!$E$5:$E$300,$B79,Пул!$H$5:$H$300,"&lt;&gt;")=0,"",ROUND(SUMIFS(Пул!$J$5:$J$300,Пул!$E$5:$E$300,$B79),8)))</f>
        <v/>
      </c>
      <c r="H79" s="241" t="str">
        <f>IF($B79="","",IF(COUNTIFS(Пул!$E$5:$E$300,$B79,Пул!$I$5:$I$300,"&lt;&gt;")=0,"",ROUND(SUMIFS(Пул!$K$5:$K$300,Пул!$E$5:$E$300,$B79),8)))</f>
        <v/>
      </c>
      <c r="I79" s="236" t="str">
        <f>IF(AND(ISNUMBER(G79),ISNUMBER(H79)),IF(AND(G79&gt;0,H79&lt;0),"Buy",IF(AND(G79&lt;0,H79&gt;0),"Sell","")),"")</f>
        <v/>
      </c>
      <c r="J79" s="177" t="str">
        <f>IF(I79="Buy",G79,IF(I79="Sell",-G79,""))</f>
        <v/>
      </c>
      <c r="K79" s="177" t="str">
        <f>IF(AND(ISNUMBER(J79),ISNUMBER(L79),N(J79)&lt;&gt;0),ROUND(L79/J79,8),"")</f>
        <v/>
      </c>
      <c r="L79" s="177" t="str">
        <f>IF(I79="Buy",-H79,IF(I79="Sell",H79,""))</f>
        <v/>
      </c>
    </row>
    <row r="80" ht="22" customHeight="1">
      <c r="B80" s="245" t="n"/>
      <c r="C80" s="246" t="str">
        <f>IF($B80="","",IF(COUNTIFS(Пул!$E$5:$E$300,$B80,Пул!$F$5:$F$300,"&lt;&gt;")=0,"",ROUND(SUMIFS(Пул!$F$5:$F$300,Пул!$E$5:$E$300,$B80),8)))</f>
        <v/>
      </c>
      <c r="D80" s="247" t="str">
        <f>IF($B80="","",IF(COUNTIFS(Пул!$E$5:$E$300,$B80,Пул!$G$5:$G$300,"&lt;&gt;")=0,"",ROUND(SUMIFS(Пул!$G$5:$G$300,Пул!$E$5:$E$300,$B80),8)))</f>
        <v/>
      </c>
      <c r="E80" s="246" t="str">
        <f>IF($B80="","",IF(COUNTIFS(Пул!$E$5:$E$300,$B80,Пул!$H$5:$H$300,"&lt;&gt;")=0,"",ROUND(SUMIFS(Пул!$H$5:$H$300,Пул!$E$5:$E$300,$B80),8)))</f>
        <v/>
      </c>
      <c r="F80" s="247" t="str">
        <f>IF($B80="","",IF(COUNTIFS(Пул!$E$5:$E$300,$B80,Пул!$I$5:$I$300,"&lt;&gt;")=0,"",ROUND(SUMIFS(Пул!$I$5:$I$300,Пул!$E$5:$E$300,$B80),8)))</f>
        <v/>
      </c>
      <c r="G80" s="246" t="str">
        <f>IF($B80="","",IF(COUNTIFS(Пул!$E$5:$E$300,$B80,Пул!$H$5:$H$300,"&lt;&gt;")=0,"",ROUND(SUMIFS(Пул!$J$5:$J$300,Пул!$E$5:$E$300,$B80),8)))</f>
        <v/>
      </c>
      <c r="H80" s="247" t="str">
        <f>IF($B80="","",IF(COUNTIFS(Пул!$E$5:$E$300,$B80,Пул!$I$5:$I$300,"&lt;&gt;")=0,"",ROUND(SUMIFS(Пул!$K$5:$K$300,Пул!$E$5:$E$300,$B80),8)))</f>
        <v/>
      </c>
      <c r="I80" s="242" t="str">
        <f>IF(AND(ISNUMBER(G80),ISNUMBER(H80)),IF(AND(G80&gt;0,H80&lt;0),"Buy",IF(AND(G80&lt;0,H80&gt;0),"Sell","")),"")</f>
        <v/>
      </c>
      <c r="J80" s="183" t="str">
        <f>IF(I80="Buy",G80,IF(I80="Sell",-G80,""))</f>
        <v/>
      </c>
      <c r="K80" s="183" t="str">
        <f>IF(AND(ISNUMBER(J80),ISNUMBER(L80),N(J80)&lt;&gt;0),ROUND(L80/J80,8),"")</f>
        <v/>
      </c>
      <c r="L80" s="183" t="str">
        <f>IF(I80="Buy",-H80,IF(I80="Sell",H80,""))</f>
        <v/>
      </c>
    </row>
    <row r="81" ht="22" customHeight="1">
      <c r="B81" s="239" t="n"/>
      <c r="C81" s="240" t="str">
        <f>IF($B81="","",IF(COUNTIFS(Пул!$E$5:$E$300,$B81,Пул!$F$5:$F$300,"&lt;&gt;")=0,"",ROUND(SUMIFS(Пул!$F$5:$F$300,Пул!$E$5:$E$300,$B81),8)))</f>
        <v/>
      </c>
      <c r="D81" s="241" t="str">
        <f>IF($B81="","",IF(COUNTIFS(Пул!$E$5:$E$300,$B81,Пул!$G$5:$G$300,"&lt;&gt;")=0,"",ROUND(SUMIFS(Пул!$G$5:$G$300,Пул!$E$5:$E$300,$B81),8)))</f>
        <v/>
      </c>
      <c r="E81" s="240" t="str">
        <f>IF($B81="","",IF(COUNTIFS(Пул!$E$5:$E$300,$B81,Пул!$H$5:$H$300,"&lt;&gt;")=0,"",ROUND(SUMIFS(Пул!$H$5:$H$300,Пул!$E$5:$E$300,$B81),8)))</f>
        <v/>
      </c>
      <c r="F81" s="241" t="str">
        <f>IF($B81="","",IF(COUNTIFS(Пул!$E$5:$E$300,$B81,Пул!$I$5:$I$300,"&lt;&gt;")=0,"",ROUND(SUMIFS(Пул!$I$5:$I$300,Пул!$E$5:$E$300,$B81),8)))</f>
        <v/>
      </c>
      <c r="G81" s="240" t="str">
        <f>IF($B81="","",IF(COUNTIFS(Пул!$E$5:$E$300,$B81,Пул!$H$5:$H$300,"&lt;&gt;")=0,"",ROUND(SUMIFS(Пул!$J$5:$J$300,Пул!$E$5:$E$300,$B81),8)))</f>
        <v/>
      </c>
      <c r="H81" s="241" t="str">
        <f>IF($B81="","",IF(COUNTIFS(Пул!$E$5:$E$300,$B81,Пул!$I$5:$I$300,"&lt;&gt;")=0,"",ROUND(SUMIFS(Пул!$K$5:$K$300,Пул!$E$5:$E$300,$B81),8)))</f>
        <v/>
      </c>
      <c r="I81" s="236" t="str">
        <f>IF(AND(ISNUMBER(G81),ISNUMBER(H81)),IF(AND(G81&gt;0,H81&lt;0),"Buy",IF(AND(G81&lt;0,H81&gt;0),"Sell","")),"")</f>
        <v/>
      </c>
      <c r="J81" s="177" t="str">
        <f>IF(I81="Buy",G81,IF(I81="Sell",-G81,""))</f>
        <v/>
      </c>
      <c r="K81" s="177" t="str">
        <f>IF(AND(ISNUMBER(J81),ISNUMBER(L81),N(J81)&lt;&gt;0),ROUND(L81/J81,8),"")</f>
        <v/>
      </c>
      <c r="L81" s="177" t="str">
        <f>IF(I81="Buy",-H81,IF(I81="Sell",H81,""))</f>
        <v/>
      </c>
    </row>
    <row r="82" ht="22" customHeight="1">
      <c r="B82" s="245" t="n"/>
      <c r="C82" s="246" t="str">
        <f>IF($B82="","",IF(COUNTIFS(Пул!$E$5:$E$300,$B82,Пул!$F$5:$F$300,"&lt;&gt;")=0,"",ROUND(SUMIFS(Пул!$F$5:$F$300,Пул!$E$5:$E$300,$B82),8)))</f>
        <v/>
      </c>
      <c r="D82" s="247" t="str">
        <f>IF($B82="","",IF(COUNTIFS(Пул!$E$5:$E$300,$B82,Пул!$G$5:$G$300,"&lt;&gt;")=0,"",ROUND(SUMIFS(Пул!$G$5:$G$300,Пул!$E$5:$E$300,$B82),8)))</f>
        <v/>
      </c>
      <c r="E82" s="246" t="str">
        <f>IF($B82="","",IF(COUNTIFS(Пул!$E$5:$E$300,$B82,Пул!$H$5:$H$300,"&lt;&gt;")=0,"",ROUND(SUMIFS(Пул!$H$5:$H$300,Пул!$E$5:$E$300,$B82),8)))</f>
        <v/>
      </c>
      <c r="F82" s="247" t="str">
        <f>IF($B82="","",IF(COUNTIFS(Пул!$E$5:$E$300,$B82,Пул!$I$5:$I$300,"&lt;&gt;")=0,"",ROUND(SUMIFS(Пул!$I$5:$I$300,Пул!$E$5:$E$300,$B82),8)))</f>
        <v/>
      </c>
      <c r="G82" s="246" t="str">
        <f>IF($B82="","",IF(COUNTIFS(Пул!$E$5:$E$300,$B82,Пул!$H$5:$H$300,"&lt;&gt;")=0,"",ROUND(SUMIFS(Пул!$J$5:$J$300,Пул!$E$5:$E$300,$B82),8)))</f>
        <v/>
      </c>
      <c r="H82" s="247" t="str">
        <f>IF($B82="","",IF(COUNTIFS(Пул!$E$5:$E$300,$B82,Пул!$I$5:$I$300,"&lt;&gt;")=0,"",ROUND(SUMIFS(Пул!$K$5:$K$300,Пул!$E$5:$E$300,$B82),8)))</f>
        <v/>
      </c>
      <c r="I82" s="242" t="str">
        <f>IF(AND(ISNUMBER(G82),ISNUMBER(H82)),IF(AND(G82&gt;0,H82&lt;0),"Buy",IF(AND(G82&lt;0,H82&gt;0),"Sell","")),"")</f>
        <v/>
      </c>
      <c r="J82" s="183" t="str">
        <f>IF(I82="Buy",G82,IF(I82="Sell",-G82,""))</f>
        <v/>
      </c>
      <c r="K82" s="183" t="str">
        <f>IF(AND(ISNUMBER(J82),ISNUMBER(L82),N(J82)&lt;&gt;0),ROUND(L82/J82,8),"")</f>
        <v/>
      </c>
      <c r="L82" s="183" t="str">
        <f>IF(I82="Buy",-H82,IF(I82="Sell",H82,""))</f>
        <v/>
      </c>
    </row>
    <row r="83" ht="22" customHeight="1">
      <c r="B83" s="239" t="n"/>
      <c r="C83" s="240" t="str">
        <f>IF($B83="","",IF(COUNTIFS(Пул!$E$5:$E$300,$B83,Пул!$F$5:$F$300,"&lt;&gt;")=0,"",ROUND(SUMIFS(Пул!$F$5:$F$300,Пул!$E$5:$E$300,$B83),8)))</f>
        <v/>
      </c>
      <c r="D83" s="241" t="str">
        <f>IF($B83="","",IF(COUNTIFS(Пул!$E$5:$E$300,$B83,Пул!$G$5:$G$300,"&lt;&gt;")=0,"",ROUND(SUMIFS(Пул!$G$5:$G$300,Пул!$E$5:$E$300,$B83),8)))</f>
        <v/>
      </c>
      <c r="E83" s="240" t="str">
        <f>IF($B83="","",IF(COUNTIFS(Пул!$E$5:$E$300,$B83,Пул!$H$5:$H$300,"&lt;&gt;")=0,"",ROUND(SUMIFS(Пул!$H$5:$H$300,Пул!$E$5:$E$300,$B83),8)))</f>
        <v/>
      </c>
      <c r="F83" s="241" t="str">
        <f>IF($B83="","",IF(COUNTIFS(Пул!$E$5:$E$300,$B83,Пул!$I$5:$I$300,"&lt;&gt;")=0,"",ROUND(SUMIFS(Пул!$I$5:$I$300,Пул!$E$5:$E$300,$B83),8)))</f>
        <v/>
      </c>
      <c r="G83" s="240" t="str">
        <f>IF($B83="","",IF(COUNTIFS(Пул!$E$5:$E$300,$B83,Пул!$H$5:$H$300,"&lt;&gt;")=0,"",ROUND(SUMIFS(Пул!$J$5:$J$300,Пул!$E$5:$E$300,$B83),8)))</f>
        <v/>
      </c>
      <c r="H83" s="241" t="str">
        <f>IF($B83="","",IF(COUNTIFS(Пул!$E$5:$E$300,$B83,Пул!$I$5:$I$300,"&lt;&gt;")=0,"",ROUND(SUMIFS(Пул!$K$5:$K$300,Пул!$E$5:$E$300,$B83),8)))</f>
        <v/>
      </c>
      <c r="I83" s="236" t="str">
        <f>IF(AND(ISNUMBER(G83),ISNUMBER(H83)),IF(AND(G83&gt;0,H83&lt;0),"Buy",IF(AND(G83&lt;0,H83&gt;0),"Sell","")),"")</f>
        <v/>
      </c>
      <c r="J83" s="177" t="str">
        <f>IF(I83="Buy",G83,IF(I83="Sell",-G83,""))</f>
        <v/>
      </c>
      <c r="K83" s="177" t="str">
        <f>IF(AND(ISNUMBER(J83),ISNUMBER(L83),N(J83)&lt;&gt;0),ROUND(L83/J83,8),"")</f>
        <v/>
      </c>
      <c r="L83" s="177" t="str">
        <f>IF(I83="Buy",-H83,IF(I83="Sell",H83,""))</f>
        <v/>
      </c>
    </row>
    <row r="84" ht="22" customHeight="1">
      <c r="B84" s="245" t="n"/>
      <c r="C84" s="246" t="str">
        <f>IF($B84="","",IF(COUNTIFS(Пул!$E$5:$E$300,$B84,Пул!$F$5:$F$300,"&lt;&gt;")=0,"",ROUND(SUMIFS(Пул!$F$5:$F$300,Пул!$E$5:$E$300,$B84),8)))</f>
        <v/>
      </c>
      <c r="D84" s="247" t="str">
        <f>IF($B84="","",IF(COUNTIFS(Пул!$E$5:$E$300,$B84,Пул!$G$5:$G$300,"&lt;&gt;")=0,"",ROUND(SUMIFS(Пул!$G$5:$G$300,Пул!$E$5:$E$300,$B84),8)))</f>
        <v/>
      </c>
      <c r="E84" s="246" t="str">
        <f>IF($B84="","",IF(COUNTIFS(Пул!$E$5:$E$300,$B84,Пул!$H$5:$H$300,"&lt;&gt;")=0,"",ROUND(SUMIFS(Пул!$H$5:$H$300,Пул!$E$5:$E$300,$B84),8)))</f>
        <v/>
      </c>
      <c r="F84" s="247" t="str">
        <f>IF($B84="","",IF(COUNTIFS(Пул!$E$5:$E$300,$B84,Пул!$I$5:$I$300,"&lt;&gt;")=0,"",ROUND(SUMIFS(Пул!$I$5:$I$300,Пул!$E$5:$E$300,$B84),8)))</f>
        <v/>
      </c>
      <c r="G84" s="246" t="str">
        <f>IF($B84="","",IF(COUNTIFS(Пул!$E$5:$E$300,$B84,Пул!$H$5:$H$300,"&lt;&gt;")=0,"",ROUND(SUMIFS(Пул!$J$5:$J$300,Пул!$E$5:$E$300,$B84),8)))</f>
        <v/>
      </c>
      <c r="H84" s="247" t="str">
        <f>IF($B84="","",IF(COUNTIFS(Пул!$E$5:$E$300,$B84,Пул!$I$5:$I$300,"&lt;&gt;")=0,"",ROUND(SUMIFS(Пул!$K$5:$K$300,Пул!$E$5:$E$300,$B84),8)))</f>
        <v/>
      </c>
      <c r="I84" s="242" t="str">
        <f>IF(AND(ISNUMBER(G84),ISNUMBER(H84)),IF(AND(G84&gt;0,H84&lt;0),"Buy",IF(AND(G84&lt;0,H84&gt;0),"Sell","")),"")</f>
        <v/>
      </c>
      <c r="J84" s="183" t="str">
        <f>IF(I84="Buy",G84,IF(I84="Sell",-G84,""))</f>
        <v/>
      </c>
      <c r="K84" s="183" t="str">
        <f>IF(AND(ISNUMBER(J84),ISNUMBER(L84),N(J84)&lt;&gt;0),ROUND(L84/J84,8),"")</f>
        <v/>
      </c>
      <c r="L84" s="183" t="str">
        <f>IF(I84="Buy",-H84,IF(I84="Sell",H84,""))</f>
        <v/>
      </c>
    </row>
    <row r="85" ht="22" customHeight="1">
      <c r="B85" s="239" t="n"/>
      <c r="C85" s="240" t="str">
        <f>IF($B85="","",IF(COUNTIFS(Пул!$E$5:$E$300,$B85,Пул!$F$5:$F$300,"&lt;&gt;")=0,"",ROUND(SUMIFS(Пул!$F$5:$F$300,Пул!$E$5:$E$300,$B85),8)))</f>
        <v/>
      </c>
      <c r="D85" s="241" t="str">
        <f>IF($B85="","",IF(COUNTIFS(Пул!$E$5:$E$300,$B85,Пул!$G$5:$G$300,"&lt;&gt;")=0,"",ROUND(SUMIFS(Пул!$G$5:$G$300,Пул!$E$5:$E$300,$B85),8)))</f>
        <v/>
      </c>
      <c r="E85" s="240" t="str">
        <f>IF($B85="","",IF(COUNTIFS(Пул!$E$5:$E$300,$B85,Пул!$H$5:$H$300,"&lt;&gt;")=0,"",ROUND(SUMIFS(Пул!$H$5:$H$300,Пул!$E$5:$E$300,$B85),8)))</f>
        <v/>
      </c>
      <c r="F85" s="241" t="str">
        <f>IF($B85="","",IF(COUNTIFS(Пул!$E$5:$E$300,$B85,Пул!$I$5:$I$300,"&lt;&gt;")=0,"",ROUND(SUMIFS(Пул!$I$5:$I$300,Пул!$E$5:$E$300,$B85),8)))</f>
        <v/>
      </c>
      <c r="G85" s="240" t="str">
        <f>IF($B85="","",IF(COUNTIFS(Пул!$E$5:$E$300,$B85,Пул!$H$5:$H$300,"&lt;&gt;")=0,"",ROUND(SUMIFS(Пул!$J$5:$J$300,Пул!$E$5:$E$300,$B85),8)))</f>
        <v/>
      </c>
      <c r="H85" s="241" t="str">
        <f>IF($B85="","",IF(COUNTIFS(Пул!$E$5:$E$300,$B85,Пул!$I$5:$I$300,"&lt;&gt;")=0,"",ROUND(SUMIFS(Пул!$K$5:$K$300,Пул!$E$5:$E$300,$B85),8)))</f>
        <v/>
      </c>
      <c r="I85" s="236" t="str">
        <f>IF(AND(ISNUMBER(G85),ISNUMBER(H85)),IF(AND(G85&gt;0,H85&lt;0),"Buy",IF(AND(G85&lt;0,H85&gt;0),"Sell","")),"")</f>
        <v/>
      </c>
      <c r="J85" s="177" t="str">
        <f>IF(I85="Buy",G85,IF(I85="Sell",-G85,""))</f>
        <v/>
      </c>
      <c r="K85" s="177" t="str">
        <f>IF(AND(ISNUMBER(J85),ISNUMBER(L85),N(J85)&lt;&gt;0),ROUND(L85/J85,8),"")</f>
        <v/>
      </c>
      <c r="L85" s="177" t="str">
        <f>IF(I85="Buy",-H85,IF(I85="Sell",H85,""))</f>
        <v/>
      </c>
    </row>
    <row r="86" ht="22" customHeight="1">
      <c r="B86" s="245" t="n"/>
      <c r="C86" s="246" t="str">
        <f>IF($B86="","",IF(COUNTIFS(Пул!$E$5:$E$300,$B86,Пул!$F$5:$F$300,"&lt;&gt;")=0,"",ROUND(SUMIFS(Пул!$F$5:$F$300,Пул!$E$5:$E$300,$B86),8)))</f>
        <v/>
      </c>
      <c r="D86" s="247" t="str">
        <f>IF($B86="","",IF(COUNTIFS(Пул!$E$5:$E$300,$B86,Пул!$G$5:$G$300,"&lt;&gt;")=0,"",ROUND(SUMIFS(Пул!$G$5:$G$300,Пул!$E$5:$E$300,$B86),8)))</f>
        <v/>
      </c>
      <c r="E86" s="246" t="str">
        <f>IF($B86="","",IF(COUNTIFS(Пул!$E$5:$E$300,$B86,Пул!$H$5:$H$300,"&lt;&gt;")=0,"",ROUND(SUMIFS(Пул!$H$5:$H$300,Пул!$E$5:$E$300,$B86),8)))</f>
        <v/>
      </c>
      <c r="F86" s="247" t="str">
        <f>IF($B86="","",IF(COUNTIFS(Пул!$E$5:$E$300,$B86,Пул!$I$5:$I$300,"&lt;&gt;")=0,"",ROUND(SUMIFS(Пул!$I$5:$I$300,Пул!$E$5:$E$300,$B86),8)))</f>
        <v/>
      </c>
      <c r="G86" s="246" t="str">
        <f>IF($B86="","",IF(COUNTIFS(Пул!$E$5:$E$300,$B86,Пул!$H$5:$H$300,"&lt;&gt;")=0,"",ROUND(SUMIFS(Пул!$J$5:$J$300,Пул!$E$5:$E$300,$B86),8)))</f>
        <v/>
      </c>
      <c r="H86" s="247" t="str">
        <f>IF($B86="","",IF(COUNTIFS(Пул!$E$5:$E$300,$B86,Пул!$I$5:$I$300,"&lt;&gt;")=0,"",ROUND(SUMIFS(Пул!$K$5:$K$300,Пул!$E$5:$E$300,$B86),8)))</f>
        <v/>
      </c>
      <c r="I86" s="242" t="str">
        <f>IF(AND(ISNUMBER(G86),ISNUMBER(H86)),IF(AND(G86&gt;0,H86&lt;0),"Buy",IF(AND(G86&lt;0,H86&gt;0),"Sell","")),"")</f>
        <v/>
      </c>
      <c r="J86" s="183" t="str">
        <f>IF(I86="Buy",G86,IF(I86="Sell",-G86,""))</f>
        <v/>
      </c>
      <c r="K86" s="183" t="str">
        <f>IF(AND(ISNUMBER(J86),ISNUMBER(L86),N(J86)&lt;&gt;0),ROUND(L86/J86,8),"")</f>
        <v/>
      </c>
      <c r="L86" s="183" t="str">
        <f>IF(I86="Buy",-H86,IF(I86="Sell",H86,""))</f>
        <v/>
      </c>
    </row>
    <row r="87" ht="22" customHeight="1">
      <c r="B87" s="239" t="n"/>
      <c r="C87" s="240" t="str">
        <f>IF($B87="","",IF(COUNTIFS(Пул!$E$5:$E$300,$B87,Пул!$F$5:$F$300,"&lt;&gt;")=0,"",ROUND(SUMIFS(Пул!$F$5:$F$300,Пул!$E$5:$E$300,$B87),8)))</f>
        <v/>
      </c>
      <c r="D87" s="241" t="str">
        <f>IF($B87="","",IF(COUNTIFS(Пул!$E$5:$E$300,$B87,Пул!$G$5:$G$300,"&lt;&gt;")=0,"",ROUND(SUMIFS(Пул!$G$5:$G$300,Пул!$E$5:$E$300,$B87),8)))</f>
        <v/>
      </c>
      <c r="E87" s="240" t="str">
        <f>IF($B87="","",IF(COUNTIFS(Пул!$E$5:$E$300,$B87,Пул!$H$5:$H$300,"&lt;&gt;")=0,"",ROUND(SUMIFS(Пул!$H$5:$H$300,Пул!$E$5:$E$300,$B87),8)))</f>
        <v/>
      </c>
      <c r="F87" s="241" t="str">
        <f>IF($B87="","",IF(COUNTIFS(Пул!$E$5:$E$300,$B87,Пул!$I$5:$I$300,"&lt;&gt;")=0,"",ROUND(SUMIFS(Пул!$I$5:$I$300,Пул!$E$5:$E$300,$B87),8)))</f>
        <v/>
      </c>
      <c r="G87" s="240" t="str">
        <f>IF($B87="","",IF(COUNTIFS(Пул!$E$5:$E$300,$B87,Пул!$H$5:$H$300,"&lt;&gt;")=0,"",ROUND(SUMIFS(Пул!$J$5:$J$300,Пул!$E$5:$E$300,$B87),8)))</f>
        <v/>
      </c>
      <c r="H87" s="241" t="str">
        <f>IF($B87="","",IF(COUNTIFS(Пул!$E$5:$E$300,$B87,Пул!$I$5:$I$300,"&lt;&gt;")=0,"",ROUND(SUMIFS(Пул!$K$5:$K$300,Пул!$E$5:$E$300,$B87),8)))</f>
        <v/>
      </c>
      <c r="I87" s="236" t="str">
        <f>IF(AND(ISNUMBER(G87),ISNUMBER(H87)),IF(AND(G87&gt;0,H87&lt;0),"Buy",IF(AND(G87&lt;0,H87&gt;0),"Sell","")),"")</f>
        <v/>
      </c>
      <c r="J87" s="177" t="str">
        <f>IF(I87="Buy",G87,IF(I87="Sell",-G87,""))</f>
        <v/>
      </c>
      <c r="K87" s="177" t="str">
        <f>IF(AND(ISNUMBER(J87),ISNUMBER(L87),N(J87)&lt;&gt;0),ROUND(L87/J87,8),"")</f>
        <v/>
      </c>
      <c r="L87" s="177" t="str">
        <f>IF(I87="Buy",-H87,IF(I87="Sell",H87,""))</f>
        <v/>
      </c>
    </row>
    <row r="88" ht="22" customHeight="1">
      <c r="B88" s="245" t="n"/>
      <c r="C88" s="246" t="str">
        <f>IF($B88="","",IF(COUNTIFS(Пул!$E$5:$E$300,$B88,Пул!$F$5:$F$300,"&lt;&gt;")=0,"",ROUND(SUMIFS(Пул!$F$5:$F$300,Пул!$E$5:$E$300,$B88),8)))</f>
        <v/>
      </c>
      <c r="D88" s="247" t="str">
        <f>IF($B88="","",IF(COUNTIFS(Пул!$E$5:$E$300,$B88,Пул!$G$5:$G$300,"&lt;&gt;")=0,"",ROUND(SUMIFS(Пул!$G$5:$G$300,Пул!$E$5:$E$300,$B88),8)))</f>
        <v/>
      </c>
      <c r="E88" s="246" t="str">
        <f>IF($B88="","",IF(COUNTIFS(Пул!$E$5:$E$300,$B88,Пул!$H$5:$H$300,"&lt;&gt;")=0,"",ROUND(SUMIFS(Пул!$H$5:$H$300,Пул!$E$5:$E$300,$B88),8)))</f>
        <v/>
      </c>
      <c r="F88" s="247" t="str">
        <f>IF($B88="","",IF(COUNTIFS(Пул!$E$5:$E$300,$B88,Пул!$I$5:$I$300,"&lt;&gt;")=0,"",ROUND(SUMIFS(Пул!$I$5:$I$300,Пул!$E$5:$E$300,$B88),8)))</f>
        <v/>
      </c>
      <c r="G88" s="246" t="str">
        <f>IF($B88="","",IF(COUNTIFS(Пул!$E$5:$E$300,$B88,Пул!$H$5:$H$300,"&lt;&gt;")=0,"",ROUND(SUMIFS(Пул!$J$5:$J$300,Пул!$E$5:$E$300,$B88),8)))</f>
        <v/>
      </c>
      <c r="H88" s="247" t="str">
        <f>IF($B88="","",IF(COUNTIFS(Пул!$E$5:$E$300,$B88,Пул!$I$5:$I$300,"&lt;&gt;")=0,"",ROUND(SUMIFS(Пул!$K$5:$K$300,Пул!$E$5:$E$300,$B88),8)))</f>
        <v/>
      </c>
      <c r="I88" s="242" t="str">
        <f>IF(AND(ISNUMBER(G88),ISNUMBER(H88)),IF(AND(G88&gt;0,H88&lt;0),"Buy",IF(AND(G88&lt;0,H88&gt;0),"Sell","")),"")</f>
        <v/>
      </c>
      <c r="J88" s="183" t="str">
        <f>IF(I88="Buy",G88,IF(I88="Sell",-G88,""))</f>
        <v/>
      </c>
      <c r="K88" s="183" t="str">
        <f>IF(AND(ISNUMBER(J88),ISNUMBER(L88),N(J88)&lt;&gt;0),ROUND(L88/J88,8),"")</f>
        <v/>
      </c>
      <c r="L88" s="183" t="str">
        <f>IF(I88="Buy",-H88,IF(I88="Sell",H88,""))</f>
        <v/>
      </c>
    </row>
    <row r="89" ht="22" customHeight="1">
      <c r="B89" s="239" t="n"/>
      <c r="C89" s="240" t="str">
        <f>IF($B89="","",IF(COUNTIFS(Пул!$E$5:$E$300,$B89,Пул!$F$5:$F$300,"&lt;&gt;")=0,"",ROUND(SUMIFS(Пул!$F$5:$F$300,Пул!$E$5:$E$300,$B89),8)))</f>
        <v/>
      </c>
      <c r="D89" s="241" t="str">
        <f>IF($B89="","",IF(COUNTIFS(Пул!$E$5:$E$300,$B89,Пул!$G$5:$G$300,"&lt;&gt;")=0,"",ROUND(SUMIFS(Пул!$G$5:$G$300,Пул!$E$5:$E$300,$B89),8)))</f>
        <v/>
      </c>
      <c r="E89" s="240" t="str">
        <f>IF($B89="","",IF(COUNTIFS(Пул!$E$5:$E$300,$B89,Пул!$H$5:$H$300,"&lt;&gt;")=0,"",ROUND(SUMIFS(Пул!$H$5:$H$300,Пул!$E$5:$E$300,$B89),8)))</f>
        <v/>
      </c>
      <c r="F89" s="241" t="str">
        <f>IF($B89="","",IF(COUNTIFS(Пул!$E$5:$E$300,$B89,Пул!$I$5:$I$300,"&lt;&gt;")=0,"",ROUND(SUMIFS(Пул!$I$5:$I$300,Пул!$E$5:$E$300,$B89),8)))</f>
        <v/>
      </c>
      <c r="G89" s="240" t="str">
        <f>IF($B89="","",IF(COUNTIFS(Пул!$E$5:$E$300,$B89,Пул!$H$5:$H$300,"&lt;&gt;")=0,"",ROUND(SUMIFS(Пул!$J$5:$J$300,Пул!$E$5:$E$300,$B89),8)))</f>
        <v/>
      </c>
      <c r="H89" s="241" t="str">
        <f>IF($B89="","",IF(COUNTIFS(Пул!$E$5:$E$300,$B89,Пул!$I$5:$I$300,"&lt;&gt;")=0,"",ROUND(SUMIFS(Пул!$K$5:$K$300,Пул!$E$5:$E$300,$B89),8)))</f>
        <v/>
      </c>
      <c r="I89" s="236" t="str">
        <f>IF(AND(ISNUMBER(G89),ISNUMBER(H89)),IF(AND(G89&gt;0,H89&lt;0),"Buy",IF(AND(G89&lt;0,H89&gt;0),"Sell","")),"")</f>
        <v/>
      </c>
      <c r="J89" s="177" t="str">
        <f>IF(I89="Buy",G89,IF(I89="Sell",-G89,""))</f>
        <v/>
      </c>
      <c r="K89" s="177" t="str">
        <f>IF(AND(ISNUMBER(J89),ISNUMBER(L89),N(J89)&lt;&gt;0),ROUND(L89/J89,8),"")</f>
        <v/>
      </c>
      <c r="L89" s="177" t="str">
        <f>IF(I89="Buy",-H89,IF(I89="Sell",H89,""))</f>
        <v/>
      </c>
    </row>
    <row r="90" ht="22" customHeight="1">
      <c r="B90" s="245" t="n"/>
      <c r="C90" s="246" t="str">
        <f>IF($B90="","",IF(COUNTIFS(Пул!$E$5:$E$300,$B90,Пул!$F$5:$F$300,"&lt;&gt;")=0,"",ROUND(SUMIFS(Пул!$F$5:$F$300,Пул!$E$5:$E$300,$B90),8)))</f>
        <v/>
      </c>
      <c r="D90" s="247" t="str">
        <f>IF($B90="","",IF(COUNTIFS(Пул!$E$5:$E$300,$B90,Пул!$G$5:$G$300,"&lt;&gt;")=0,"",ROUND(SUMIFS(Пул!$G$5:$G$300,Пул!$E$5:$E$300,$B90),8)))</f>
        <v/>
      </c>
      <c r="E90" s="246" t="str">
        <f>IF($B90="","",IF(COUNTIFS(Пул!$E$5:$E$300,$B90,Пул!$H$5:$H$300,"&lt;&gt;")=0,"",ROUND(SUMIFS(Пул!$H$5:$H$300,Пул!$E$5:$E$300,$B90),8)))</f>
        <v/>
      </c>
      <c r="F90" s="247" t="str">
        <f>IF($B90="","",IF(COUNTIFS(Пул!$E$5:$E$300,$B90,Пул!$I$5:$I$300,"&lt;&gt;")=0,"",ROUND(SUMIFS(Пул!$I$5:$I$300,Пул!$E$5:$E$300,$B90),8)))</f>
        <v/>
      </c>
      <c r="G90" s="246" t="str">
        <f>IF($B90="","",IF(COUNTIFS(Пул!$E$5:$E$300,$B90,Пул!$H$5:$H$300,"&lt;&gt;")=0,"",ROUND(SUMIFS(Пул!$J$5:$J$300,Пул!$E$5:$E$300,$B90),8)))</f>
        <v/>
      </c>
      <c r="H90" s="247" t="str">
        <f>IF($B90="","",IF(COUNTIFS(Пул!$E$5:$E$300,$B90,Пул!$I$5:$I$300,"&lt;&gt;")=0,"",ROUND(SUMIFS(Пул!$K$5:$K$300,Пул!$E$5:$E$300,$B90),8)))</f>
        <v/>
      </c>
      <c r="I90" s="242" t="str">
        <f>IF(AND(ISNUMBER(G90),ISNUMBER(H90)),IF(AND(G90&gt;0,H90&lt;0),"Buy",IF(AND(G90&lt;0,H90&gt;0),"Sell","")),"")</f>
        <v/>
      </c>
      <c r="J90" s="183" t="str">
        <f>IF(I90="Buy",G90,IF(I90="Sell",-G90,""))</f>
        <v/>
      </c>
      <c r="K90" s="183" t="str">
        <f>IF(AND(ISNUMBER(J90),ISNUMBER(L90),N(J90)&lt;&gt;0),ROUND(L90/J90,8),"")</f>
        <v/>
      </c>
      <c r="L90" s="183" t="str">
        <f>IF(I90="Buy",-H90,IF(I90="Sell",H90,""))</f>
        <v/>
      </c>
    </row>
    <row r="91" ht="22" customHeight="1">
      <c r="B91" s="239" t="n"/>
      <c r="C91" s="240" t="str">
        <f>IF($B91="","",IF(COUNTIFS(Пул!$E$5:$E$300,$B91,Пул!$F$5:$F$300,"&lt;&gt;")=0,"",ROUND(SUMIFS(Пул!$F$5:$F$300,Пул!$E$5:$E$300,$B91),8)))</f>
        <v/>
      </c>
      <c r="D91" s="241" t="str">
        <f>IF($B91="","",IF(COUNTIFS(Пул!$E$5:$E$300,$B91,Пул!$G$5:$G$300,"&lt;&gt;")=0,"",ROUND(SUMIFS(Пул!$G$5:$G$300,Пул!$E$5:$E$300,$B91),8)))</f>
        <v/>
      </c>
      <c r="E91" s="240" t="str">
        <f>IF($B91="","",IF(COUNTIFS(Пул!$E$5:$E$300,$B91,Пул!$H$5:$H$300,"&lt;&gt;")=0,"",ROUND(SUMIFS(Пул!$H$5:$H$300,Пул!$E$5:$E$300,$B91),8)))</f>
        <v/>
      </c>
      <c r="F91" s="241" t="str">
        <f>IF($B91="","",IF(COUNTIFS(Пул!$E$5:$E$300,$B91,Пул!$I$5:$I$300,"&lt;&gt;")=0,"",ROUND(SUMIFS(Пул!$I$5:$I$300,Пул!$E$5:$E$300,$B91),8)))</f>
        <v/>
      </c>
      <c r="G91" s="240" t="str">
        <f>IF($B91="","",IF(COUNTIFS(Пул!$E$5:$E$300,$B91,Пул!$H$5:$H$300,"&lt;&gt;")=0,"",ROUND(SUMIFS(Пул!$J$5:$J$300,Пул!$E$5:$E$300,$B91),8)))</f>
        <v/>
      </c>
      <c r="H91" s="241" t="str">
        <f>IF($B91="","",IF(COUNTIFS(Пул!$E$5:$E$300,$B91,Пул!$I$5:$I$300,"&lt;&gt;")=0,"",ROUND(SUMIFS(Пул!$K$5:$K$300,Пул!$E$5:$E$300,$B91),8)))</f>
        <v/>
      </c>
      <c r="I91" s="236" t="str">
        <f>IF(AND(ISNUMBER(G91),ISNUMBER(H91)),IF(AND(G91&gt;0,H91&lt;0),"Buy",IF(AND(G91&lt;0,H91&gt;0),"Sell","")),"")</f>
        <v/>
      </c>
      <c r="J91" s="177" t="str">
        <f>IF(I91="Buy",G91,IF(I91="Sell",-G91,""))</f>
        <v/>
      </c>
      <c r="K91" s="177" t="str">
        <f>IF(AND(ISNUMBER(J91),ISNUMBER(L91),N(J91)&lt;&gt;0),ROUND(L91/J91,8),"")</f>
        <v/>
      </c>
      <c r="L91" s="177" t="str">
        <f>IF(I91="Buy",-H91,IF(I91="Sell",H91,""))</f>
        <v/>
      </c>
    </row>
    <row r="92" ht="22" customHeight="1">
      <c r="B92" s="245" t="n"/>
      <c r="C92" s="246" t="str">
        <f>IF($B92="","",IF(COUNTIFS(Пул!$E$5:$E$300,$B92,Пул!$F$5:$F$300,"&lt;&gt;")=0,"",ROUND(SUMIFS(Пул!$F$5:$F$300,Пул!$E$5:$E$300,$B92),8)))</f>
        <v/>
      </c>
      <c r="D92" s="247" t="str">
        <f>IF($B92="","",IF(COUNTIFS(Пул!$E$5:$E$300,$B92,Пул!$G$5:$G$300,"&lt;&gt;")=0,"",ROUND(SUMIFS(Пул!$G$5:$G$300,Пул!$E$5:$E$300,$B92),8)))</f>
        <v/>
      </c>
      <c r="E92" s="246" t="str">
        <f>IF($B92="","",IF(COUNTIFS(Пул!$E$5:$E$300,$B92,Пул!$H$5:$H$300,"&lt;&gt;")=0,"",ROUND(SUMIFS(Пул!$H$5:$H$300,Пул!$E$5:$E$300,$B92),8)))</f>
        <v/>
      </c>
      <c r="F92" s="247" t="str">
        <f>IF($B92="","",IF(COUNTIFS(Пул!$E$5:$E$300,$B92,Пул!$I$5:$I$300,"&lt;&gt;")=0,"",ROUND(SUMIFS(Пул!$I$5:$I$300,Пул!$E$5:$E$300,$B92),8)))</f>
        <v/>
      </c>
      <c r="G92" s="246" t="str">
        <f>IF($B92="","",IF(COUNTIFS(Пул!$E$5:$E$300,$B92,Пул!$H$5:$H$300,"&lt;&gt;")=0,"",ROUND(SUMIFS(Пул!$J$5:$J$300,Пул!$E$5:$E$300,$B92),8)))</f>
        <v/>
      </c>
      <c r="H92" s="247" t="str">
        <f>IF($B92="","",IF(COUNTIFS(Пул!$E$5:$E$300,$B92,Пул!$I$5:$I$300,"&lt;&gt;")=0,"",ROUND(SUMIFS(Пул!$K$5:$K$300,Пул!$E$5:$E$300,$B92),8)))</f>
        <v/>
      </c>
      <c r="I92" s="242" t="str">
        <f>IF(AND(ISNUMBER(G92),ISNUMBER(H92)),IF(AND(G92&gt;0,H92&lt;0),"Buy",IF(AND(G92&lt;0,H92&gt;0),"Sell","")),"")</f>
        <v/>
      </c>
      <c r="J92" s="183" t="str">
        <f>IF(I92="Buy",G92,IF(I92="Sell",-G92,""))</f>
        <v/>
      </c>
      <c r="K92" s="183" t="str">
        <f>IF(AND(ISNUMBER(J92),ISNUMBER(L92),N(J92)&lt;&gt;0),ROUND(L92/J92,8),"")</f>
        <v/>
      </c>
      <c r="L92" s="183" t="str">
        <f>IF(I92="Buy",-H92,IF(I92="Sell",H92,""))</f>
        <v/>
      </c>
    </row>
    <row r="93" ht="22" customHeight="1">
      <c r="B93" s="239" t="n"/>
      <c r="C93" s="240" t="str">
        <f>IF($B93="","",IF(COUNTIFS(Пул!$E$5:$E$300,$B93,Пул!$F$5:$F$300,"&lt;&gt;")=0,"",ROUND(SUMIFS(Пул!$F$5:$F$300,Пул!$E$5:$E$300,$B93),8)))</f>
        <v/>
      </c>
      <c r="D93" s="241" t="str">
        <f>IF($B93="","",IF(COUNTIFS(Пул!$E$5:$E$300,$B93,Пул!$G$5:$G$300,"&lt;&gt;")=0,"",ROUND(SUMIFS(Пул!$G$5:$G$300,Пул!$E$5:$E$300,$B93),8)))</f>
        <v/>
      </c>
      <c r="E93" s="240" t="str">
        <f>IF($B93="","",IF(COUNTIFS(Пул!$E$5:$E$300,$B93,Пул!$H$5:$H$300,"&lt;&gt;")=0,"",ROUND(SUMIFS(Пул!$H$5:$H$300,Пул!$E$5:$E$300,$B93),8)))</f>
        <v/>
      </c>
      <c r="F93" s="241" t="str">
        <f>IF($B93="","",IF(COUNTIFS(Пул!$E$5:$E$300,$B93,Пул!$I$5:$I$300,"&lt;&gt;")=0,"",ROUND(SUMIFS(Пул!$I$5:$I$300,Пул!$E$5:$E$300,$B93),8)))</f>
        <v/>
      </c>
      <c r="G93" s="240" t="str">
        <f>IF($B93="","",IF(COUNTIFS(Пул!$E$5:$E$300,$B93,Пул!$H$5:$H$300,"&lt;&gt;")=0,"",ROUND(SUMIFS(Пул!$J$5:$J$300,Пул!$E$5:$E$300,$B93),8)))</f>
        <v/>
      </c>
      <c r="H93" s="241" t="str">
        <f>IF($B93="","",IF(COUNTIFS(Пул!$E$5:$E$300,$B93,Пул!$I$5:$I$300,"&lt;&gt;")=0,"",ROUND(SUMIFS(Пул!$K$5:$K$300,Пул!$E$5:$E$300,$B93),8)))</f>
        <v/>
      </c>
      <c r="I93" s="236" t="str">
        <f>IF(AND(ISNUMBER(G93),ISNUMBER(H93)),IF(AND(G93&gt;0,H93&lt;0),"Buy",IF(AND(G93&lt;0,H93&gt;0),"Sell","")),"")</f>
        <v/>
      </c>
      <c r="J93" s="177" t="str">
        <f>IF(I93="Buy",G93,IF(I93="Sell",-G93,""))</f>
        <v/>
      </c>
      <c r="K93" s="177" t="str">
        <f>IF(AND(ISNUMBER(J93),ISNUMBER(L93),N(J93)&lt;&gt;0),ROUND(L93/J93,8),"")</f>
        <v/>
      </c>
      <c r="L93" s="177" t="str">
        <f>IF(I93="Buy",-H93,IF(I93="Sell",H93,""))</f>
        <v/>
      </c>
    </row>
    <row r="94" ht="22" customHeight="1">
      <c r="B94" s="245" t="n"/>
      <c r="C94" s="246" t="str">
        <f>IF($B94="","",IF(COUNTIFS(Пул!$E$5:$E$300,$B94,Пул!$F$5:$F$300,"&lt;&gt;")=0,"",ROUND(SUMIFS(Пул!$F$5:$F$300,Пул!$E$5:$E$300,$B94),8)))</f>
        <v/>
      </c>
      <c r="D94" s="247" t="str">
        <f>IF($B94="","",IF(COUNTIFS(Пул!$E$5:$E$300,$B94,Пул!$G$5:$G$300,"&lt;&gt;")=0,"",ROUND(SUMIFS(Пул!$G$5:$G$300,Пул!$E$5:$E$300,$B94),8)))</f>
        <v/>
      </c>
      <c r="E94" s="246" t="str">
        <f>IF($B94="","",IF(COUNTIFS(Пул!$E$5:$E$300,$B94,Пул!$H$5:$H$300,"&lt;&gt;")=0,"",ROUND(SUMIFS(Пул!$H$5:$H$300,Пул!$E$5:$E$300,$B94),8)))</f>
        <v/>
      </c>
      <c r="F94" s="247" t="str">
        <f>IF($B94="","",IF(COUNTIFS(Пул!$E$5:$E$300,$B94,Пул!$I$5:$I$300,"&lt;&gt;")=0,"",ROUND(SUMIFS(Пул!$I$5:$I$300,Пул!$E$5:$E$300,$B94),8)))</f>
        <v/>
      </c>
      <c r="G94" s="246" t="str">
        <f>IF($B94="","",IF(COUNTIFS(Пул!$E$5:$E$300,$B94,Пул!$H$5:$H$300,"&lt;&gt;")=0,"",ROUND(SUMIFS(Пул!$J$5:$J$300,Пул!$E$5:$E$300,$B94),8)))</f>
        <v/>
      </c>
      <c r="H94" s="247" t="str">
        <f>IF($B94="","",IF(COUNTIFS(Пул!$E$5:$E$300,$B94,Пул!$I$5:$I$300,"&lt;&gt;")=0,"",ROUND(SUMIFS(Пул!$K$5:$K$300,Пул!$E$5:$E$300,$B94),8)))</f>
        <v/>
      </c>
      <c r="I94" s="242" t="str">
        <f>IF(AND(ISNUMBER(G94),ISNUMBER(H94)),IF(AND(G94&gt;0,H94&lt;0),"Buy",IF(AND(G94&lt;0,H94&gt;0),"Sell","")),"")</f>
        <v/>
      </c>
      <c r="J94" s="183" t="str">
        <f>IF(I94="Buy",G94,IF(I94="Sell",-G94,""))</f>
        <v/>
      </c>
      <c r="K94" s="183" t="str">
        <f>IF(AND(ISNUMBER(J94),ISNUMBER(L94),N(J94)&lt;&gt;0),ROUND(L94/J94,8),"")</f>
        <v/>
      </c>
      <c r="L94" s="183" t="str">
        <f>IF(I94="Buy",-H94,IF(I94="Sell",H94,""))</f>
        <v/>
      </c>
    </row>
    <row r="95" ht="22" customHeight="1">
      <c r="B95" s="239" t="n"/>
      <c r="C95" s="240" t="str">
        <f>IF($B95="","",IF(COUNTIFS(Пул!$E$5:$E$300,$B95,Пул!$F$5:$F$300,"&lt;&gt;")=0,"",ROUND(SUMIFS(Пул!$F$5:$F$300,Пул!$E$5:$E$300,$B95),8)))</f>
        <v/>
      </c>
      <c r="D95" s="241" t="str">
        <f>IF($B95="","",IF(COUNTIFS(Пул!$E$5:$E$300,$B95,Пул!$G$5:$G$300,"&lt;&gt;")=0,"",ROUND(SUMIFS(Пул!$G$5:$G$300,Пул!$E$5:$E$300,$B95),8)))</f>
        <v/>
      </c>
      <c r="E95" s="240" t="str">
        <f>IF($B95="","",IF(COUNTIFS(Пул!$E$5:$E$300,$B95,Пул!$H$5:$H$300,"&lt;&gt;")=0,"",ROUND(SUMIFS(Пул!$H$5:$H$300,Пул!$E$5:$E$300,$B95),8)))</f>
        <v/>
      </c>
      <c r="F95" s="241" t="str">
        <f>IF($B95="","",IF(COUNTIFS(Пул!$E$5:$E$300,$B95,Пул!$I$5:$I$300,"&lt;&gt;")=0,"",ROUND(SUMIFS(Пул!$I$5:$I$300,Пул!$E$5:$E$300,$B95),8)))</f>
        <v/>
      </c>
      <c r="G95" s="240" t="str">
        <f>IF($B95="","",IF(COUNTIFS(Пул!$E$5:$E$300,$B95,Пул!$H$5:$H$300,"&lt;&gt;")=0,"",ROUND(SUMIFS(Пул!$J$5:$J$300,Пул!$E$5:$E$300,$B95),8)))</f>
        <v/>
      </c>
      <c r="H95" s="241" t="str">
        <f>IF($B95="","",IF(COUNTIFS(Пул!$E$5:$E$300,$B95,Пул!$I$5:$I$300,"&lt;&gt;")=0,"",ROUND(SUMIFS(Пул!$K$5:$K$300,Пул!$E$5:$E$300,$B95),8)))</f>
        <v/>
      </c>
      <c r="I95" s="236" t="str">
        <f>IF(AND(ISNUMBER(G95),ISNUMBER(H95)),IF(AND(G95&gt;0,H95&lt;0),"Buy",IF(AND(G95&lt;0,H95&gt;0),"Sell","")),"")</f>
        <v/>
      </c>
      <c r="J95" s="177" t="str">
        <f>IF(I95="Buy",G95,IF(I95="Sell",-G95,""))</f>
        <v/>
      </c>
      <c r="K95" s="177" t="str">
        <f>IF(AND(ISNUMBER(J95),ISNUMBER(L95),N(J95)&lt;&gt;0),ROUND(L95/J95,8),"")</f>
        <v/>
      </c>
      <c r="L95" s="177" t="str">
        <f>IF(I95="Buy",-H95,IF(I95="Sell",H95,""))</f>
        <v/>
      </c>
    </row>
    <row r="96" ht="22" customHeight="1">
      <c r="B96" s="245" t="n"/>
      <c r="C96" s="246" t="str">
        <f>IF($B96="","",IF(COUNTIFS(Пул!$E$5:$E$300,$B96,Пул!$F$5:$F$300,"&lt;&gt;")=0,"",ROUND(SUMIFS(Пул!$F$5:$F$300,Пул!$E$5:$E$300,$B96),8)))</f>
        <v/>
      </c>
      <c r="D96" s="247" t="str">
        <f>IF($B96="","",IF(COUNTIFS(Пул!$E$5:$E$300,$B96,Пул!$G$5:$G$300,"&lt;&gt;")=0,"",ROUND(SUMIFS(Пул!$G$5:$G$300,Пул!$E$5:$E$300,$B96),8)))</f>
        <v/>
      </c>
      <c r="E96" s="246" t="str">
        <f>IF($B96="","",IF(COUNTIFS(Пул!$E$5:$E$300,$B96,Пул!$H$5:$H$300,"&lt;&gt;")=0,"",ROUND(SUMIFS(Пул!$H$5:$H$300,Пул!$E$5:$E$300,$B96),8)))</f>
        <v/>
      </c>
      <c r="F96" s="247" t="str">
        <f>IF($B96="","",IF(COUNTIFS(Пул!$E$5:$E$300,$B96,Пул!$I$5:$I$300,"&lt;&gt;")=0,"",ROUND(SUMIFS(Пул!$I$5:$I$300,Пул!$E$5:$E$300,$B96),8)))</f>
        <v/>
      </c>
      <c r="G96" s="246" t="str">
        <f>IF($B96="","",IF(COUNTIFS(Пул!$E$5:$E$300,$B96,Пул!$H$5:$H$300,"&lt;&gt;")=0,"",ROUND(SUMIFS(Пул!$J$5:$J$300,Пул!$E$5:$E$300,$B96),8)))</f>
        <v/>
      </c>
      <c r="H96" s="247" t="str">
        <f>IF($B96="","",IF(COUNTIFS(Пул!$E$5:$E$300,$B96,Пул!$I$5:$I$300,"&lt;&gt;")=0,"",ROUND(SUMIFS(Пул!$K$5:$K$300,Пул!$E$5:$E$300,$B96),8)))</f>
        <v/>
      </c>
      <c r="I96" s="242" t="str">
        <f>IF(AND(ISNUMBER(G96),ISNUMBER(H96)),IF(AND(G96&gt;0,H96&lt;0),"Buy",IF(AND(G96&lt;0,H96&gt;0),"Sell","")),"")</f>
        <v/>
      </c>
      <c r="J96" s="183" t="str">
        <f>IF(I96="Buy",G96,IF(I96="Sell",-G96,""))</f>
        <v/>
      </c>
      <c r="K96" s="183" t="str">
        <f>IF(AND(ISNUMBER(J96),ISNUMBER(L96),N(J96)&lt;&gt;0),ROUND(L96/J96,8),"")</f>
        <v/>
      </c>
      <c r="L96" s="183" t="str">
        <f>IF(I96="Buy",-H96,IF(I96="Sell",H96,""))</f>
        <v/>
      </c>
    </row>
    <row r="97" ht="22" customHeight="1">
      <c r="B97" s="239" t="n"/>
      <c r="C97" s="240" t="str">
        <f>IF($B97="","",IF(COUNTIFS(Пул!$E$5:$E$300,$B97,Пул!$F$5:$F$300,"&lt;&gt;")=0,"",ROUND(SUMIFS(Пул!$F$5:$F$300,Пул!$E$5:$E$300,$B97),8)))</f>
        <v/>
      </c>
      <c r="D97" s="241" t="str">
        <f>IF($B97="","",IF(COUNTIFS(Пул!$E$5:$E$300,$B97,Пул!$G$5:$G$300,"&lt;&gt;")=0,"",ROUND(SUMIFS(Пул!$G$5:$G$300,Пул!$E$5:$E$300,$B97),8)))</f>
        <v/>
      </c>
      <c r="E97" s="240" t="str">
        <f>IF($B97="","",IF(COUNTIFS(Пул!$E$5:$E$300,$B97,Пул!$H$5:$H$300,"&lt;&gt;")=0,"",ROUND(SUMIFS(Пул!$H$5:$H$300,Пул!$E$5:$E$300,$B97),8)))</f>
        <v/>
      </c>
      <c r="F97" s="241" t="str">
        <f>IF($B97="","",IF(COUNTIFS(Пул!$E$5:$E$300,$B97,Пул!$I$5:$I$300,"&lt;&gt;")=0,"",ROUND(SUMIFS(Пул!$I$5:$I$300,Пул!$E$5:$E$300,$B97),8)))</f>
        <v/>
      </c>
      <c r="G97" s="240" t="str">
        <f>IF($B97="","",IF(COUNTIFS(Пул!$E$5:$E$300,$B97,Пул!$H$5:$H$300,"&lt;&gt;")=0,"",ROUND(SUMIFS(Пул!$J$5:$J$300,Пул!$E$5:$E$300,$B97),8)))</f>
        <v/>
      </c>
      <c r="H97" s="241" t="str">
        <f>IF($B97="","",IF(COUNTIFS(Пул!$E$5:$E$300,$B97,Пул!$I$5:$I$300,"&lt;&gt;")=0,"",ROUND(SUMIFS(Пул!$K$5:$K$300,Пул!$E$5:$E$300,$B97),8)))</f>
        <v/>
      </c>
      <c r="I97" s="236" t="str">
        <f>IF(AND(ISNUMBER(G97),ISNUMBER(H97)),IF(AND(G97&gt;0,H97&lt;0),"Buy",IF(AND(G97&lt;0,H97&gt;0),"Sell","")),"")</f>
        <v/>
      </c>
      <c r="J97" s="177" t="str">
        <f>IF(I97="Buy",G97,IF(I97="Sell",-G97,""))</f>
        <v/>
      </c>
      <c r="K97" s="177" t="str">
        <f>IF(AND(ISNUMBER(J97),ISNUMBER(L97),N(J97)&lt;&gt;0),ROUND(L97/J97,8),"")</f>
        <v/>
      </c>
      <c r="L97" s="177" t="str">
        <f>IF(I97="Buy",-H97,IF(I97="Sell",H97,""))</f>
        <v/>
      </c>
    </row>
    <row r="98" ht="22" customHeight="1">
      <c r="B98" s="245" t="n"/>
      <c r="C98" s="246" t="str">
        <f>IF($B98="","",IF(COUNTIFS(Пул!$E$5:$E$300,$B98,Пул!$F$5:$F$300,"&lt;&gt;")=0,"",ROUND(SUMIFS(Пул!$F$5:$F$300,Пул!$E$5:$E$300,$B98),8)))</f>
        <v/>
      </c>
      <c r="D98" s="247" t="str">
        <f>IF($B98="","",IF(COUNTIFS(Пул!$E$5:$E$300,$B98,Пул!$G$5:$G$300,"&lt;&gt;")=0,"",ROUND(SUMIFS(Пул!$G$5:$G$300,Пул!$E$5:$E$300,$B98),8)))</f>
        <v/>
      </c>
      <c r="E98" s="246" t="str">
        <f>IF($B98="","",IF(COUNTIFS(Пул!$E$5:$E$300,$B98,Пул!$H$5:$H$300,"&lt;&gt;")=0,"",ROUND(SUMIFS(Пул!$H$5:$H$300,Пул!$E$5:$E$300,$B98),8)))</f>
        <v/>
      </c>
      <c r="F98" s="247" t="str">
        <f>IF($B98="","",IF(COUNTIFS(Пул!$E$5:$E$300,$B98,Пул!$I$5:$I$300,"&lt;&gt;")=0,"",ROUND(SUMIFS(Пул!$I$5:$I$300,Пул!$E$5:$E$300,$B98),8)))</f>
        <v/>
      </c>
      <c r="G98" s="246" t="str">
        <f>IF($B98="","",IF(COUNTIFS(Пул!$E$5:$E$300,$B98,Пул!$H$5:$H$300,"&lt;&gt;")=0,"",ROUND(SUMIFS(Пул!$J$5:$J$300,Пул!$E$5:$E$300,$B98),8)))</f>
        <v/>
      </c>
      <c r="H98" s="247" t="str">
        <f>IF($B98="","",IF(COUNTIFS(Пул!$E$5:$E$300,$B98,Пул!$I$5:$I$300,"&lt;&gt;")=0,"",ROUND(SUMIFS(Пул!$K$5:$K$300,Пул!$E$5:$E$300,$B98),8)))</f>
        <v/>
      </c>
      <c r="I98" s="242" t="str">
        <f>IF(AND(ISNUMBER(G98),ISNUMBER(H98)),IF(AND(G98&gt;0,H98&lt;0),"Buy",IF(AND(G98&lt;0,H98&gt;0),"Sell","")),"")</f>
        <v/>
      </c>
      <c r="J98" s="183" t="str">
        <f>IF(I98="Buy",G98,IF(I98="Sell",-G98,""))</f>
        <v/>
      </c>
      <c r="K98" s="183" t="str">
        <f>IF(AND(ISNUMBER(J98),ISNUMBER(L98),N(J98)&lt;&gt;0),ROUND(L98/J98,8),"")</f>
        <v/>
      </c>
      <c r="L98" s="183" t="str">
        <f>IF(I98="Buy",-H98,IF(I98="Sell",H98,""))</f>
        <v/>
      </c>
    </row>
    <row r="99" ht="22" customHeight="1">
      <c r="B99" s="239" t="n"/>
      <c r="C99" s="240" t="str">
        <f>IF($B99="","",IF(COUNTIFS(Пул!$E$5:$E$300,$B99,Пул!$F$5:$F$300,"&lt;&gt;")=0,"",ROUND(SUMIFS(Пул!$F$5:$F$300,Пул!$E$5:$E$300,$B99),8)))</f>
        <v/>
      </c>
      <c r="D99" s="241" t="str">
        <f>IF($B99="","",IF(COUNTIFS(Пул!$E$5:$E$300,$B99,Пул!$G$5:$G$300,"&lt;&gt;")=0,"",ROUND(SUMIFS(Пул!$G$5:$G$300,Пул!$E$5:$E$300,$B99),8)))</f>
        <v/>
      </c>
      <c r="E99" s="240" t="str">
        <f>IF($B99="","",IF(COUNTIFS(Пул!$E$5:$E$300,$B99,Пул!$H$5:$H$300,"&lt;&gt;")=0,"",ROUND(SUMIFS(Пул!$H$5:$H$300,Пул!$E$5:$E$300,$B99),8)))</f>
        <v/>
      </c>
      <c r="F99" s="241" t="str">
        <f>IF($B99="","",IF(COUNTIFS(Пул!$E$5:$E$300,$B99,Пул!$I$5:$I$300,"&lt;&gt;")=0,"",ROUND(SUMIFS(Пул!$I$5:$I$300,Пул!$E$5:$E$300,$B99),8)))</f>
        <v/>
      </c>
      <c r="G99" s="240" t="str">
        <f>IF($B99="","",IF(COUNTIFS(Пул!$E$5:$E$300,$B99,Пул!$H$5:$H$300,"&lt;&gt;")=0,"",ROUND(SUMIFS(Пул!$J$5:$J$300,Пул!$E$5:$E$300,$B99),8)))</f>
        <v/>
      </c>
      <c r="H99" s="241" t="str">
        <f>IF($B99="","",IF(COUNTIFS(Пул!$E$5:$E$300,$B99,Пул!$I$5:$I$300,"&lt;&gt;")=0,"",ROUND(SUMIFS(Пул!$K$5:$K$300,Пул!$E$5:$E$300,$B99),8)))</f>
        <v/>
      </c>
      <c r="I99" s="236" t="str">
        <f>IF(AND(ISNUMBER(G99),ISNUMBER(H99)),IF(AND(G99&gt;0,H99&lt;0),"Buy",IF(AND(G99&lt;0,H99&gt;0),"Sell","")),"")</f>
        <v/>
      </c>
      <c r="J99" s="177" t="str">
        <f>IF(I99="Buy",G99,IF(I99="Sell",-G99,""))</f>
        <v/>
      </c>
      <c r="K99" s="177" t="str">
        <f>IF(AND(ISNUMBER(J99),ISNUMBER(L99),N(J99)&lt;&gt;0),ROUND(L99/J99,8),"")</f>
        <v/>
      </c>
      <c r="L99" s="177" t="str">
        <f>IF(I99="Buy",-H99,IF(I99="Sell",H99,""))</f>
        <v/>
      </c>
    </row>
    <row r="100" ht="22" customHeight="1">
      <c r="B100" s="245" t="n"/>
      <c r="C100" s="246" t="str">
        <f>IF($B100="","",IF(COUNTIFS(Пул!$E$5:$E$300,$B100,Пул!$F$5:$F$300,"&lt;&gt;")=0,"",ROUND(SUMIFS(Пул!$F$5:$F$300,Пул!$E$5:$E$300,$B100),8)))</f>
        <v/>
      </c>
      <c r="D100" s="247" t="str">
        <f>IF($B100="","",IF(COUNTIFS(Пул!$E$5:$E$300,$B100,Пул!$G$5:$G$300,"&lt;&gt;")=0,"",ROUND(SUMIFS(Пул!$G$5:$G$300,Пул!$E$5:$E$300,$B100),8)))</f>
        <v/>
      </c>
      <c r="E100" s="246" t="str">
        <f>IF($B100="","",IF(COUNTIFS(Пул!$E$5:$E$300,$B100,Пул!$H$5:$H$300,"&lt;&gt;")=0,"",ROUND(SUMIFS(Пул!$H$5:$H$300,Пул!$E$5:$E$300,$B100),8)))</f>
        <v/>
      </c>
      <c r="F100" s="247" t="str">
        <f>IF($B100="","",IF(COUNTIFS(Пул!$E$5:$E$300,$B100,Пул!$I$5:$I$300,"&lt;&gt;")=0,"",ROUND(SUMIFS(Пул!$I$5:$I$300,Пул!$E$5:$E$300,$B100),8)))</f>
        <v/>
      </c>
      <c r="G100" s="246" t="str">
        <f>IF($B100="","",IF(COUNTIFS(Пул!$E$5:$E$300,$B100,Пул!$H$5:$H$300,"&lt;&gt;")=0,"",ROUND(SUMIFS(Пул!$J$5:$J$300,Пул!$E$5:$E$300,$B100),8)))</f>
        <v/>
      </c>
      <c r="H100" s="247" t="str">
        <f>IF($B100="","",IF(COUNTIFS(Пул!$E$5:$E$300,$B100,Пул!$I$5:$I$300,"&lt;&gt;")=0,"",ROUND(SUMIFS(Пул!$K$5:$K$300,Пул!$E$5:$E$300,$B100),8)))</f>
        <v/>
      </c>
      <c r="I100" s="242" t="str">
        <f>IF(AND(ISNUMBER(G100),ISNUMBER(H100)),IF(AND(G100&gt;0,H100&lt;0),"Buy",IF(AND(G100&lt;0,H100&gt;0),"Sell","")),"")</f>
        <v/>
      </c>
      <c r="J100" s="183" t="str">
        <f>IF(I100="Buy",G100,IF(I100="Sell",-G100,""))</f>
        <v/>
      </c>
      <c r="K100" s="183" t="str">
        <f>IF(AND(ISNUMBER(J100),ISNUMBER(L100),N(J100)&lt;&gt;0),ROUND(L100/J100,8),"")</f>
        <v/>
      </c>
      <c r="L100" s="183" t="str">
        <f>IF(I100="Buy",-H100,IF(I100="Sell",H100,""))</f>
        <v/>
      </c>
    </row>
    <row r="101" ht="22" customHeight="1">
      <c r="B101" s="239" t="n"/>
      <c r="C101" s="240" t="str">
        <f>IF($B101="","",IF(COUNTIFS(Пул!$E$5:$E$300,$B101,Пул!$F$5:$F$300,"&lt;&gt;")=0,"",ROUND(SUMIFS(Пул!$F$5:$F$300,Пул!$E$5:$E$300,$B101),8)))</f>
        <v/>
      </c>
      <c r="D101" s="241" t="str">
        <f>IF($B101="","",IF(COUNTIFS(Пул!$E$5:$E$300,$B101,Пул!$G$5:$G$300,"&lt;&gt;")=0,"",ROUND(SUMIFS(Пул!$G$5:$G$300,Пул!$E$5:$E$300,$B101),8)))</f>
        <v/>
      </c>
      <c r="E101" s="240" t="str">
        <f>IF($B101="","",IF(COUNTIFS(Пул!$E$5:$E$300,$B101,Пул!$H$5:$H$300,"&lt;&gt;")=0,"",ROUND(SUMIFS(Пул!$H$5:$H$300,Пул!$E$5:$E$300,$B101),8)))</f>
        <v/>
      </c>
      <c r="F101" s="241" t="str">
        <f>IF($B101="","",IF(COUNTIFS(Пул!$E$5:$E$300,$B101,Пул!$I$5:$I$300,"&lt;&gt;")=0,"",ROUND(SUMIFS(Пул!$I$5:$I$300,Пул!$E$5:$E$300,$B101),8)))</f>
        <v/>
      </c>
      <c r="G101" s="240" t="str">
        <f>IF($B101="","",IF(COUNTIFS(Пул!$E$5:$E$300,$B101,Пул!$H$5:$H$300,"&lt;&gt;")=0,"",ROUND(SUMIFS(Пул!$J$5:$J$300,Пул!$E$5:$E$300,$B101),8)))</f>
        <v/>
      </c>
      <c r="H101" s="241" t="str">
        <f>IF($B101="","",IF(COUNTIFS(Пул!$E$5:$E$300,$B101,Пул!$I$5:$I$300,"&lt;&gt;")=0,"",ROUND(SUMIFS(Пул!$K$5:$K$300,Пул!$E$5:$E$300,$B101),8)))</f>
        <v/>
      </c>
      <c r="I101" s="236" t="str">
        <f>IF(AND(ISNUMBER(G101),ISNUMBER(H101)),IF(AND(G101&gt;0,H101&lt;0),"Buy",IF(AND(G101&lt;0,H101&gt;0),"Sell","")),"")</f>
        <v/>
      </c>
      <c r="J101" s="177" t="str">
        <f>IF(I101="Buy",G101,IF(I101="Sell",-G101,""))</f>
        <v/>
      </c>
      <c r="K101" s="177" t="str">
        <f>IF(AND(ISNUMBER(J101),ISNUMBER(L101),N(J101)&lt;&gt;0),ROUND(L101/J101,8),"")</f>
        <v/>
      </c>
      <c r="L101" s="177" t="str">
        <f>IF(I101="Buy",-H101,IF(I101="Sell",H101,""))</f>
        <v/>
      </c>
    </row>
    <row r="102" ht="22" customHeight="1">
      <c r="B102" s="245" t="n"/>
      <c r="C102" s="246" t="str">
        <f>IF($B102="","",IF(COUNTIFS(Пул!$E$5:$E$300,$B102,Пул!$F$5:$F$300,"&lt;&gt;")=0,"",ROUND(SUMIFS(Пул!$F$5:$F$300,Пул!$E$5:$E$300,$B102),8)))</f>
        <v/>
      </c>
      <c r="D102" s="247" t="str">
        <f>IF($B102="","",IF(COUNTIFS(Пул!$E$5:$E$300,$B102,Пул!$G$5:$G$300,"&lt;&gt;")=0,"",ROUND(SUMIFS(Пул!$G$5:$G$300,Пул!$E$5:$E$300,$B102),8)))</f>
        <v/>
      </c>
      <c r="E102" s="246" t="str">
        <f>IF($B102="","",IF(COUNTIFS(Пул!$E$5:$E$300,$B102,Пул!$H$5:$H$300,"&lt;&gt;")=0,"",ROUND(SUMIFS(Пул!$H$5:$H$300,Пул!$E$5:$E$300,$B102),8)))</f>
        <v/>
      </c>
      <c r="F102" s="247" t="str">
        <f>IF($B102="","",IF(COUNTIFS(Пул!$E$5:$E$300,$B102,Пул!$I$5:$I$300,"&lt;&gt;")=0,"",ROUND(SUMIFS(Пул!$I$5:$I$300,Пул!$E$5:$E$300,$B102),8)))</f>
        <v/>
      </c>
      <c r="G102" s="246" t="str">
        <f>IF($B102="","",IF(COUNTIFS(Пул!$E$5:$E$300,$B102,Пул!$H$5:$H$300,"&lt;&gt;")=0,"",ROUND(SUMIFS(Пул!$J$5:$J$300,Пул!$E$5:$E$300,$B102),8)))</f>
        <v/>
      </c>
      <c r="H102" s="247" t="str">
        <f>IF($B102="","",IF(COUNTIFS(Пул!$E$5:$E$300,$B102,Пул!$I$5:$I$300,"&lt;&gt;")=0,"",ROUND(SUMIFS(Пул!$K$5:$K$300,Пул!$E$5:$E$300,$B102),8)))</f>
        <v/>
      </c>
      <c r="I102" s="242" t="str">
        <f>IF(AND(ISNUMBER(G102),ISNUMBER(H102)),IF(AND(G102&gt;0,H102&lt;0),"Buy",IF(AND(G102&lt;0,H102&gt;0),"Sell","")),"")</f>
        <v/>
      </c>
      <c r="J102" s="183" t="str">
        <f>IF(I102="Buy",G102,IF(I102="Sell",-G102,""))</f>
        <v/>
      </c>
      <c r="K102" s="183" t="str">
        <f>IF(AND(ISNUMBER(J102),ISNUMBER(L102),N(J102)&lt;&gt;0),ROUND(L102/J102,8),"")</f>
        <v/>
      </c>
      <c r="L102" s="183" t="str">
        <f>IF(I102="Buy",-H102,IF(I102="Sell",H102,""))</f>
        <v/>
      </c>
    </row>
    <row r="103" ht="22" customHeight="1">
      <c r="B103" s="239" t="n"/>
      <c r="C103" s="240" t="str">
        <f>IF($B103="","",IF(COUNTIFS(Пул!$E$5:$E$300,$B103,Пул!$F$5:$F$300,"&lt;&gt;")=0,"",ROUND(SUMIFS(Пул!$F$5:$F$300,Пул!$E$5:$E$300,$B103),8)))</f>
        <v/>
      </c>
      <c r="D103" s="241" t="str">
        <f>IF($B103="","",IF(COUNTIFS(Пул!$E$5:$E$300,$B103,Пул!$G$5:$G$300,"&lt;&gt;")=0,"",ROUND(SUMIFS(Пул!$G$5:$G$300,Пул!$E$5:$E$300,$B103),8)))</f>
        <v/>
      </c>
      <c r="E103" s="240" t="str">
        <f>IF($B103="","",IF(COUNTIFS(Пул!$E$5:$E$300,$B103,Пул!$H$5:$H$300,"&lt;&gt;")=0,"",ROUND(SUMIFS(Пул!$H$5:$H$300,Пул!$E$5:$E$300,$B103),8)))</f>
        <v/>
      </c>
      <c r="F103" s="241" t="str">
        <f>IF($B103="","",IF(COUNTIFS(Пул!$E$5:$E$300,$B103,Пул!$I$5:$I$300,"&lt;&gt;")=0,"",ROUND(SUMIFS(Пул!$I$5:$I$300,Пул!$E$5:$E$300,$B103),8)))</f>
        <v/>
      </c>
      <c r="G103" s="240" t="str">
        <f>IF($B103="","",IF(COUNTIFS(Пул!$E$5:$E$300,$B103,Пул!$H$5:$H$300,"&lt;&gt;")=0,"",ROUND(SUMIFS(Пул!$J$5:$J$300,Пул!$E$5:$E$300,$B103),8)))</f>
        <v/>
      </c>
      <c r="H103" s="241" t="str">
        <f>IF($B103="","",IF(COUNTIFS(Пул!$E$5:$E$300,$B103,Пул!$I$5:$I$300,"&lt;&gt;")=0,"",ROUND(SUMIFS(Пул!$K$5:$K$300,Пул!$E$5:$E$300,$B103),8)))</f>
        <v/>
      </c>
      <c r="I103" s="236" t="str">
        <f>IF(AND(ISNUMBER(G103),ISNUMBER(H103)),IF(AND(G103&gt;0,H103&lt;0),"Buy",IF(AND(G103&lt;0,H103&gt;0),"Sell","")),"")</f>
        <v/>
      </c>
      <c r="J103" s="177" t="str">
        <f>IF(I103="Buy",G103,IF(I103="Sell",-G103,""))</f>
        <v/>
      </c>
      <c r="K103" s="177" t="str">
        <f>IF(AND(ISNUMBER(J103),ISNUMBER(L103),N(J103)&lt;&gt;0),ROUND(L103/J103,8),"")</f>
        <v/>
      </c>
      <c r="L103" s="177" t="str">
        <f>IF(I103="Buy",-H103,IF(I103="Sell",H103,""))</f>
        <v/>
      </c>
    </row>
    <row r="104" ht="22" customHeight="1">
      <c r="B104" s="245" t="n"/>
      <c r="C104" s="246" t="str">
        <f>IF($B104="","",IF(COUNTIFS(Пул!$E$5:$E$300,$B104,Пул!$F$5:$F$300,"&lt;&gt;")=0,"",ROUND(SUMIFS(Пул!$F$5:$F$300,Пул!$E$5:$E$300,$B104),8)))</f>
        <v/>
      </c>
      <c r="D104" s="247" t="str">
        <f>IF($B104="","",IF(COUNTIFS(Пул!$E$5:$E$300,$B104,Пул!$G$5:$G$300,"&lt;&gt;")=0,"",ROUND(SUMIFS(Пул!$G$5:$G$300,Пул!$E$5:$E$300,$B104),8)))</f>
        <v/>
      </c>
      <c r="E104" s="246" t="str">
        <f>IF($B104="","",IF(COUNTIFS(Пул!$E$5:$E$300,$B104,Пул!$H$5:$H$300,"&lt;&gt;")=0,"",ROUND(SUMIFS(Пул!$H$5:$H$300,Пул!$E$5:$E$300,$B104),8)))</f>
        <v/>
      </c>
      <c r="F104" s="247" t="str">
        <f>IF($B104="","",IF(COUNTIFS(Пул!$E$5:$E$300,$B104,Пул!$I$5:$I$300,"&lt;&gt;")=0,"",ROUND(SUMIFS(Пул!$I$5:$I$300,Пул!$E$5:$E$300,$B104),8)))</f>
        <v/>
      </c>
      <c r="G104" s="246" t="str">
        <f>IF($B104="","",IF(COUNTIFS(Пул!$E$5:$E$300,$B104,Пул!$H$5:$H$300,"&lt;&gt;")=0,"",ROUND(SUMIFS(Пул!$J$5:$J$300,Пул!$E$5:$E$300,$B104),8)))</f>
        <v/>
      </c>
      <c r="H104" s="247" t="str">
        <f>IF($B104="","",IF(COUNTIFS(Пул!$E$5:$E$300,$B104,Пул!$I$5:$I$300,"&lt;&gt;")=0,"",ROUND(SUMIFS(Пул!$K$5:$K$300,Пул!$E$5:$E$300,$B104),8)))</f>
        <v/>
      </c>
      <c r="I104" s="242" t="str">
        <f>IF(AND(ISNUMBER(G104),ISNUMBER(H104)),IF(AND(G104&gt;0,H104&lt;0),"Buy",IF(AND(G104&lt;0,H104&gt;0),"Sell","")),"")</f>
        <v/>
      </c>
      <c r="J104" s="183" t="str">
        <f>IF(I104="Buy",G104,IF(I104="Sell",-G104,""))</f>
        <v/>
      </c>
      <c r="K104" s="183" t="str">
        <f>IF(AND(ISNUMBER(J104),ISNUMBER(L104),N(J104)&lt;&gt;0),ROUND(L104/J104,8),"")</f>
        <v/>
      </c>
      <c r="L104" s="183" t="str">
        <f>IF(I104="Buy",-H104,IF(I104="Sell",H104,""))</f>
        <v/>
      </c>
    </row>
    <row r="105" ht="22" customHeight="1">
      <c r="B105" s="239" t="n"/>
      <c r="C105" s="240" t="str">
        <f>IF($B105="","",IF(COUNTIFS(Пул!$E$5:$E$300,$B105,Пул!$F$5:$F$300,"&lt;&gt;")=0,"",ROUND(SUMIFS(Пул!$F$5:$F$300,Пул!$E$5:$E$300,$B105),8)))</f>
        <v/>
      </c>
      <c r="D105" s="241" t="str">
        <f>IF($B105="","",IF(COUNTIFS(Пул!$E$5:$E$300,$B105,Пул!$G$5:$G$300,"&lt;&gt;")=0,"",ROUND(SUMIFS(Пул!$G$5:$G$300,Пул!$E$5:$E$300,$B105),8)))</f>
        <v/>
      </c>
      <c r="E105" s="240" t="str">
        <f>IF($B105="","",IF(COUNTIFS(Пул!$E$5:$E$300,$B105,Пул!$H$5:$H$300,"&lt;&gt;")=0,"",ROUND(SUMIFS(Пул!$H$5:$H$300,Пул!$E$5:$E$300,$B105),8)))</f>
        <v/>
      </c>
      <c r="F105" s="241" t="str">
        <f>IF($B105="","",IF(COUNTIFS(Пул!$E$5:$E$300,$B105,Пул!$I$5:$I$300,"&lt;&gt;")=0,"",ROUND(SUMIFS(Пул!$I$5:$I$300,Пул!$E$5:$E$300,$B105),8)))</f>
        <v/>
      </c>
      <c r="G105" s="240" t="str">
        <f>IF($B105="","",IF(COUNTIFS(Пул!$E$5:$E$300,$B105,Пул!$H$5:$H$300,"&lt;&gt;")=0,"",ROUND(SUMIFS(Пул!$J$5:$J$300,Пул!$E$5:$E$300,$B105),8)))</f>
        <v/>
      </c>
      <c r="H105" s="241" t="str">
        <f>IF($B105="","",IF(COUNTIFS(Пул!$E$5:$E$300,$B105,Пул!$I$5:$I$300,"&lt;&gt;")=0,"",ROUND(SUMIFS(Пул!$K$5:$K$300,Пул!$E$5:$E$300,$B105),8)))</f>
        <v/>
      </c>
      <c r="I105" s="236" t="str">
        <f>IF(AND(ISNUMBER(G105),ISNUMBER(H105)),IF(AND(G105&gt;0,H105&lt;0),"Buy",IF(AND(G105&lt;0,H105&gt;0),"Sell","")),"")</f>
        <v/>
      </c>
      <c r="J105" s="177" t="str">
        <f>IF(I105="Buy",G105,IF(I105="Sell",-G105,""))</f>
        <v/>
      </c>
      <c r="K105" s="177" t="str">
        <f>IF(AND(ISNUMBER(J105),ISNUMBER(L105),N(J105)&lt;&gt;0),ROUND(L105/J105,8),"")</f>
        <v/>
      </c>
      <c r="L105" s="177" t="str">
        <f>IF(I105="Buy",-H105,IF(I105="Sell",H105,""))</f>
        <v/>
      </c>
    </row>
    <row r="106" ht="22" customHeight="1">
      <c r="B106" s="245" t="n"/>
      <c r="C106" s="246" t="str">
        <f>IF($B106="","",IF(COUNTIFS(Пул!$E$5:$E$300,$B106,Пул!$F$5:$F$300,"&lt;&gt;")=0,"",ROUND(SUMIFS(Пул!$F$5:$F$300,Пул!$E$5:$E$300,$B106),8)))</f>
        <v/>
      </c>
      <c r="D106" s="247" t="str">
        <f>IF($B106="","",IF(COUNTIFS(Пул!$E$5:$E$300,$B106,Пул!$G$5:$G$300,"&lt;&gt;")=0,"",ROUND(SUMIFS(Пул!$G$5:$G$300,Пул!$E$5:$E$300,$B106),8)))</f>
        <v/>
      </c>
      <c r="E106" s="246" t="str">
        <f>IF($B106="","",IF(COUNTIFS(Пул!$E$5:$E$300,$B106,Пул!$H$5:$H$300,"&lt;&gt;")=0,"",ROUND(SUMIFS(Пул!$H$5:$H$300,Пул!$E$5:$E$300,$B106),8)))</f>
        <v/>
      </c>
      <c r="F106" s="247" t="str">
        <f>IF($B106="","",IF(COUNTIFS(Пул!$E$5:$E$300,$B106,Пул!$I$5:$I$300,"&lt;&gt;")=0,"",ROUND(SUMIFS(Пул!$I$5:$I$300,Пул!$E$5:$E$300,$B106),8)))</f>
        <v/>
      </c>
      <c r="G106" s="246" t="str">
        <f>IF($B106="","",IF(COUNTIFS(Пул!$E$5:$E$300,$B106,Пул!$H$5:$H$300,"&lt;&gt;")=0,"",ROUND(SUMIFS(Пул!$J$5:$J$300,Пул!$E$5:$E$300,$B106),8)))</f>
        <v/>
      </c>
      <c r="H106" s="247" t="str">
        <f>IF($B106="","",IF(COUNTIFS(Пул!$E$5:$E$300,$B106,Пул!$I$5:$I$300,"&lt;&gt;")=0,"",ROUND(SUMIFS(Пул!$K$5:$K$300,Пул!$E$5:$E$300,$B106),8)))</f>
        <v/>
      </c>
      <c r="I106" s="242" t="str">
        <f>IF(AND(ISNUMBER(G106),ISNUMBER(H106)),IF(AND(G106&gt;0,H106&lt;0),"Buy",IF(AND(G106&lt;0,H106&gt;0),"Sell","")),"")</f>
        <v/>
      </c>
      <c r="J106" s="183" t="str">
        <f>IF(I106="Buy",G106,IF(I106="Sell",-G106,""))</f>
        <v/>
      </c>
      <c r="K106" s="183" t="str">
        <f>IF(AND(ISNUMBER(J106),ISNUMBER(L106),N(J106)&lt;&gt;0),ROUND(L106/J106,8),"")</f>
        <v/>
      </c>
      <c r="L106" s="183" t="str">
        <f>IF(I106="Buy",-H106,IF(I106="Sell",H106,""))</f>
        <v/>
      </c>
    </row>
    <row r="107" ht="22" customHeight="1">
      <c r="B107" s="239" t="n"/>
      <c r="C107" s="240" t="str">
        <f>IF($B107="","",IF(COUNTIFS(Пул!$E$5:$E$300,$B107,Пул!$F$5:$F$300,"&lt;&gt;")=0,"",ROUND(SUMIFS(Пул!$F$5:$F$300,Пул!$E$5:$E$300,$B107),8)))</f>
        <v/>
      </c>
      <c r="D107" s="241" t="str">
        <f>IF($B107="","",IF(COUNTIFS(Пул!$E$5:$E$300,$B107,Пул!$G$5:$G$300,"&lt;&gt;")=0,"",ROUND(SUMIFS(Пул!$G$5:$G$300,Пул!$E$5:$E$300,$B107),8)))</f>
        <v/>
      </c>
      <c r="E107" s="240" t="str">
        <f>IF($B107="","",IF(COUNTIFS(Пул!$E$5:$E$300,$B107,Пул!$H$5:$H$300,"&lt;&gt;")=0,"",ROUND(SUMIFS(Пул!$H$5:$H$300,Пул!$E$5:$E$300,$B107),8)))</f>
        <v/>
      </c>
      <c r="F107" s="241" t="str">
        <f>IF($B107="","",IF(COUNTIFS(Пул!$E$5:$E$300,$B107,Пул!$I$5:$I$300,"&lt;&gt;")=0,"",ROUND(SUMIFS(Пул!$I$5:$I$300,Пул!$E$5:$E$300,$B107),8)))</f>
        <v/>
      </c>
      <c r="G107" s="240" t="str">
        <f>IF($B107="","",IF(COUNTIFS(Пул!$E$5:$E$300,$B107,Пул!$H$5:$H$300,"&lt;&gt;")=0,"",ROUND(SUMIFS(Пул!$J$5:$J$300,Пул!$E$5:$E$300,$B107),8)))</f>
        <v/>
      </c>
      <c r="H107" s="241" t="str">
        <f>IF($B107="","",IF(COUNTIFS(Пул!$E$5:$E$300,$B107,Пул!$I$5:$I$300,"&lt;&gt;")=0,"",ROUND(SUMIFS(Пул!$K$5:$K$300,Пул!$E$5:$E$300,$B107),8)))</f>
        <v/>
      </c>
      <c r="I107" s="236" t="str">
        <f>IF(AND(ISNUMBER(G107),ISNUMBER(H107)),IF(AND(G107&gt;0,H107&lt;0),"Buy",IF(AND(G107&lt;0,H107&gt;0),"Sell","")),"")</f>
        <v/>
      </c>
      <c r="J107" s="177" t="str">
        <f>IF(I107="Buy",G107,IF(I107="Sell",-G107,""))</f>
        <v/>
      </c>
      <c r="K107" s="177" t="str">
        <f>IF(AND(ISNUMBER(J107),ISNUMBER(L107),N(J107)&lt;&gt;0),ROUND(L107/J107,8),"")</f>
        <v/>
      </c>
      <c r="L107" s="177" t="str">
        <f>IF(I107="Buy",-H107,IF(I107="Sell",H107,""))</f>
        <v/>
      </c>
    </row>
    <row r="108" ht="22" customHeight="1">
      <c r="B108" s="245" t="n"/>
      <c r="C108" s="246" t="str">
        <f>IF($B108="","",IF(COUNTIFS(Пул!$E$5:$E$300,$B108,Пул!$F$5:$F$300,"&lt;&gt;")=0,"",ROUND(SUMIFS(Пул!$F$5:$F$300,Пул!$E$5:$E$300,$B108),8)))</f>
        <v/>
      </c>
      <c r="D108" s="247" t="str">
        <f>IF($B108="","",IF(COUNTIFS(Пул!$E$5:$E$300,$B108,Пул!$G$5:$G$300,"&lt;&gt;")=0,"",ROUND(SUMIFS(Пул!$G$5:$G$300,Пул!$E$5:$E$300,$B108),8)))</f>
        <v/>
      </c>
      <c r="E108" s="246" t="str">
        <f>IF($B108="","",IF(COUNTIFS(Пул!$E$5:$E$300,$B108,Пул!$H$5:$H$300,"&lt;&gt;")=0,"",ROUND(SUMIFS(Пул!$H$5:$H$300,Пул!$E$5:$E$300,$B108),8)))</f>
        <v/>
      </c>
      <c r="F108" s="247" t="str">
        <f>IF($B108="","",IF(COUNTIFS(Пул!$E$5:$E$300,$B108,Пул!$I$5:$I$300,"&lt;&gt;")=0,"",ROUND(SUMIFS(Пул!$I$5:$I$300,Пул!$E$5:$E$300,$B108),8)))</f>
        <v/>
      </c>
      <c r="G108" s="246" t="str">
        <f>IF($B108="","",IF(COUNTIFS(Пул!$E$5:$E$300,$B108,Пул!$H$5:$H$300,"&lt;&gt;")=0,"",ROUND(SUMIFS(Пул!$J$5:$J$300,Пул!$E$5:$E$300,$B108),8)))</f>
        <v/>
      </c>
      <c r="H108" s="247" t="str">
        <f>IF($B108="","",IF(COUNTIFS(Пул!$E$5:$E$300,$B108,Пул!$I$5:$I$300,"&lt;&gt;")=0,"",ROUND(SUMIFS(Пул!$K$5:$K$300,Пул!$E$5:$E$300,$B108),8)))</f>
        <v/>
      </c>
      <c r="I108" s="242" t="str">
        <f>IF(AND(ISNUMBER(G108),ISNUMBER(H108)),IF(AND(G108&gt;0,H108&lt;0),"Buy",IF(AND(G108&lt;0,H108&gt;0),"Sell","")),"")</f>
        <v/>
      </c>
      <c r="J108" s="183" t="str">
        <f>IF(I108="Buy",G108,IF(I108="Sell",-G108,""))</f>
        <v/>
      </c>
      <c r="K108" s="183" t="str">
        <f>IF(AND(ISNUMBER(J108),ISNUMBER(L108),N(J108)&lt;&gt;0),ROUND(L108/J108,8),"")</f>
        <v/>
      </c>
      <c r="L108" s="183" t="str">
        <f>IF(I108="Buy",-H108,IF(I108="Sell",H108,""))</f>
        <v/>
      </c>
    </row>
    <row r="109" ht="22" customHeight="1">
      <c r="B109" s="239" t="n"/>
      <c r="C109" s="240" t="str">
        <f>IF($B109="","",IF(COUNTIFS(Пул!$E$5:$E$300,$B109,Пул!$F$5:$F$300,"&lt;&gt;")=0,"",ROUND(SUMIFS(Пул!$F$5:$F$300,Пул!$E$5:$E$300,$B109),8)))</f>
        <v/>
      </c>
      <c r="D109" s="241" t="str">
        <f>IF($B109="","",IF(COUNTIFS(Пул!$E$5:$E$300,$B109,Пул!$G$5:$G$300,"&lt;&gt;")=0,"",ROUND(SUMIFS(Пул!$G$5:$G$300,Пул!$E$5:$E$300,$B109),8)))</f>
        <v/>
      </c>
      <c r="E109" s="240" t="str">
        <f>IF($B109="","",IF(COUNTIFS(Пул!$E$5:$E$300,$B109,Пул!$H$5:$H$300,"&lt;&gt;")=0,"",ROUND(SUMIFS(Пул!$H$5:$H$300,Пул!$E$5:$E$300,$B109),8)))</f>
        <v/>
      </c>
      <c r="F109" s="241" t="str">
        <f>IF($B109="","",IF(COUNTIFS(Пул!$E$5:$E$300,$B109,Пул!$I$5:$I$300,"&lt;&gt;")=0,"",ROUND(SUMIFS(Пул!$I$5:$I$300,Пул!$E$5:$E$300,$B109),8)))</f>
        <v/>
      </c>
      <c r="G109" s="240" t="str">
        <f>IF($B109="","",IF(COUNTIFS(Пул!$E$5:$E$300,$B109,Пул!$H$5:$H$300,"&lt;&gt;")=0,"",ROUND(SUMIFS(Пул!$J$5:$J$300,Пул!$E$5:$E$300,$B109),8)))</f>
        <v/>
      </c>
      <c r="H109" s="241" t="str">
        <f>IF($B109="","",IF(COUNTIFS(Пул!$E$5:$E$300,$B109,Пул!$I$5:$I$300,"&lt;&gt;")=0,"",ROUND(SUMIFS(Пул!$K$5:$K$300,Пул!$E$5:$E$300,$B109),8)))</f>
        <v/>
      </c>
      <c r="I109" s="236" t="str">
        <f>IF(AND(ISNUMBER(G109),ISNUMBER(H109)),IF(AND(G109&gt;0,H109&lt;0),"Buy",IF(AND(G109&lt;0,H109&gt;0),"Sell","")),"")</f>
        <v/>
      </c>
      <c r="J109" s="177" t="str">
        <f>IF(I109="Buy",G109,IF(I109="Sell",-G109,""))</f>
        <v/>
      </c>
      <c r="K109" s="177" t="str">
        <f>IF(AND(ISNUMBER(J109),ISNUMBER(L109),N(J109)&lt;&gt;0),ROUND(L109/J109,8),"")</f>
        <v/>
      </c>
      <c r="L109" s="177" t="str">
        <f>IF(I109="Buy",-H109,IF(I109="Sell",H109,""))</f>
        <v/>
      </c>
    </row>
    <row r="110" ht="22" customHeight="1">
      <c r="B110" s="245" t="n"/>
      <c r="C110" s="246" t="str">
        <f>IF($B110="","",IF(COUNTIFS(Пул!$E$5:$E$300,$B110,Пул!$F$5:$F$300,"&lt;&gt;")=0,"",ROUND(SUMIFS(Пул!$F$5:$F$300,Пул!$E$5:$E$300,$B110),8)))</f>
        <v/>
      </c>
      <c r="D110" s="247" t="str">
        <f>IF($B110="","",IF(COUNTIFS(Пул!$E$5:$E$300,$B110,Пул!$G$5:$G$300,"&lt;&gt;")=0,"",ROUND(SUMIFS(Пул!$G$5:$G$300,Пул!$E$5:$E$300,$B110),8)))</f>
        <v/>
      </c>
      <c r="E110" s="246" t="str">
        <f>IF($B110="","",IF(COUNTIFS(Пул!$E$5:$E$300,$B110,Пул!$H$5:$H$300,"&lt;&gt;")=0,"",ROUND(SUMIFS(Пул!$H$5:$H$300,Пул!$E$5:$E$300,$B110),8)))</f>
        <v/>
      </c>
      <c r="F110" s="247" t="str">
        <f>IF($B110="","",IF(COUNTIFS(Пул!$E$5:$E$300,$B110,Пул!$I$5:$I$300,"&lt;&gt;")=0,"",ROUND(SUMIFS(Пул!$I$5:$I$300,Пул!$E$5:$E$300,$B110),8)))</f>
        <v/>
      </c>
      <c r="G110" s="246" t="str">
        <f>IF($B110="","",IF(COUNTIFS(Пул!$E$5:$E$300,$B110,Пул!$H$5:$H$300,"&lt;&gt;")=0,"",ROUND(SUMIFS(Пул!$J$5:$J$300,Пул!$E$5:$E$300,$B110),8)))</f>
        <v/>
      </c>
      <c r="H110" s="247" t="str">
        <f>IF($B110="","",IF(COUNTIFS(Пул!$E$5:$E$300,$B110,Пул!$I$5:$I$300,"&lt;&gt;")=0,"",ROUND(SUMIFS(Пул!$K$5:$K$300,Пул!$E$5:$E$300,$B110),8)))</f>
        <v/>
      </c>
      <c r="I110" s="242" t="str">
        <f>IF(AND(ISNUMBER(G110),ISNUMBER(H110)),IF(AND(G110&gt;0,H110&lt;0),"Buy",IF(AND(G110&lt;0,H110&gt;0),"Sell","")),"")</f>
        <v/>
      </c>
      <c r="J110" s="183" t="str">
        <f>IF(I110="Buy",G110,IF(I110="Sell",-G110,""))</f>
        <v/>
      </c>
      <c r="K110" s="183" t="str">
        <f>IF(AND(ISNUMBER(J110),ISNUMBER(L110),N(J110)&lt;&gt;0),ROUND(L110/J110,8),"")</f>
        <v/>
      </c>
      <c r="L110" s="183" t="str">
        <f>IF(I110="Buy",-H110,IF(I110="Sell",H110,""))</f>
        <v/>
      </c>
    </row>
    <row r="111" ht="22" customHeight="1">
      <c r="B111" s="239" t="n"/>
      <c r="C111" s="240" t="str">
        <f>IF($B111="","",IF(COUNTIFS(Пул!$E$5:$E$300,$B111,Пул!$F$5:$F$300,"&lt;&gt;")=0,"",ROUND(SUMIFS(Пул!$F$5:$F$300,Пул!$E$5:$E$300,$B111),8)))</f>
        <v/>
      </c>
      <c r="D111" s="241" t="str">
        <f>IF($B111="","",IF(COUNTIFS(Пул!$E$5:$E$300,$B111,Пул!$G$5:$G$300,"&lt;&gt;")=0,"",ROUND(SUMIFS(Пул!$G$5:$G$300,Пул!$E$5:$E$300,$B111),8)))</f>
        <v/>
      </c>
      <c r="E111" s="240" t="str">
        <f>IF($B111="","",IF(COUNTIFS(Пул!$E$5:$E$300,$B111,Пул!$H$5:$H$300,"&lt;&gt;")=0,"",ROUND(SUMIFS(Пул!$H$5:$H$300,Пул!$E$5:$E$300,$B111),8)))</f>
        <v/>
      </c>
      <c r="F111" s="241" t="str">
        <f>IF($B111="","",IF(COUNTIFS(Пул!$E$5:$E$300,$B111,Пул!$I$5:$I$300,"&lt;&gt;")=0,"",ROUND(SUMIFS(Пул!$I$5:$I$300,Пул!$E$5:$E$300,$B111),8)))</f>
        <v/>
      </c>
      <c r="G111" s="240" t="str">
        <f>IF($B111="","",IF(COUNTIFS(Пул!$E$5:$E$300,$B111,Пул!$H$5:$H$300,"&lt;&gt;")=0,"",ROUND(SUMIFS(Пул!$J$5:$J$300,Пул!$E$5:$E$300,$B111),8)))</f>
        <v/>
      </c>
      <c r="H111" s="241" t="str">
        <f>IF($B111="","",IF(COUNTIFS(Пул!$E$5:$E$300,$B111,Пул!$I$5:$I$300,"&lt;&gt;")=0,"",ROUND(SUMIFS(Пул!$K$5:$K$300,Пул!$E$5:$E$300,$B111),8)))</f>
        <v/>
      </c>
      <c r="I111" s="236" t="str">
        <f>IF(AND(ISNUMBER(G111),ISNUMBER(H111)),IF(AND(G111&gt;0,H111&lt;0),"Buy",IF(AND(G111&lt;0,H111&gt;0),"Sell","")),"")</f>
        <v/>
      </c>
      <c r="J111" s="177" t="str">
        <f>IF(I111="Buy",G111,IF(I111="Sell",-G111,""))</f>
        <v/>
      </c>
      <c r="K111" s="177" t="str">
        <f>IF(AND(ISNUMBER(J111),ISNUMBER(L111),N(J111)&lt;&gt;0),ROUND(L111/J111,8),"")</f>
        <v/>
      </c>
      <c r="L111" s="177" t="str">
        <f>IF(I111="Buy",-H111,IF(I111="Sell",H111,""))</f>
        <v/>
      </c>
    </row>
    <row r="112" ht="22" customHeight="1">
      <c r="B112" s="245" t="n"/>
      <c r="C112" s="246" t="str">
        <f>IF($B112="","",IF(COUNTIFS(Пул!$E$5:$E$300,$B112,Пул!$F$5:$F$300,"&lt;&gt;")=0,"",ROUND(SUMIFS(Пул!$F$5:$F$300,Пул!$E$5:$E$300,$B112),8)))</f>
        <v/>
      </c>
      <c r="D112" s="247" t="str">
        <f>IF($B112="","",IF(COUNTIFS(Пул!$E$5:$E$300,$B112,Пул!$G$5:$G$300,"&lt;&gt;")=0,"",ROUND(SUMIFS(Пул!$G$5:$G$300,Пул!$E$5:$E$300,$B112),8)))</f>
        <v/>
      </c>
      <c r="E112" s="246" t="str">
        <f>IF($B112="","",IF(COUNTIFS(Пул!$E$5:$E$300,$B112,Пул!$H$5:$H$300,"&lt;&gt;")=0,"",ROUND(SUMIFS(Пул!$H$5:$H$300,Пул!$E$5:$E$300,$B112),8)))</f>
        <v/>
      </c>
      <c r="F112" s="247" t="str">
        <f>IF($B112="","",IF(COUNTIFS(Пул!$E$5:$E$300,$B112,Пул!$I$5:$I$300,"&lt;&gt;")=0,"",ROUND(SUMIFS(Пул!$I$5:$I$300,Пул!$E$5:$E$300,$B112),8)))</f>
        <v/>
      </c>
      <c r="G112" s="246" t="str">
        <f>IF($B112="","",IF(COUNTIFS(Пул!$E$5:$E$300,$B112,Пул!$H$5:$H$300,"&lt;&gt;")=0,"",ROUND(SUMIFS(Пул!$J$5:$J$300,Пул!$E$5:$E$300,$B112),8)))</f>
        <v/>
      </c>
      <c r="H112" s="247" t="str">
        <f>IF($B112="","",IF(COUNTIFS(Пул!$E$5:$E$300,$B112,Пул!$I$5:$I$300,"&lt;&gt;")=0,"",ROUND(SUMIFS(Пул!$K$5:$K$300,Пул!$E$5:$E$300,$B112),8)))</f>
        <v/>
      </c>
      <c r="I112" s="242" t="str">
        <f>IF(AND(ISNUMBER(G112),ISNUMBER(H112)),IF(AND(G112&gt;0,H112&lt;0),"Buy",IF(AND(G112&lt;0,H112&gt;0),"Sell","")),"")</f>
        <v/>
      </c>
      <c r="J112" s="183" t="str">
        <f>IF(I112="Buy",G112,IF(I112="Sell",-G112,""))</f>
        <v/>
      </c>
      <c r="K112" s="183" t="str">
        <f>IF(AND(ISNUMBER(J112),ISNUMBER(L112),N(J112)&lt;&gt;0),ROUND(L112/J112,8),"")</f>
        <v/>
      </c>
      <c r="L112" s="183" t="str">
        <f>IF(I112="Buy",-H112,IF(I112="Sell",H112,""))</f>
        <v/>
      </c>
    </row>
    <row r="113" ht="22" customHeight="1">
      <c r="B113" s="239" t="n"/>
      <c r="C113" s="240" t="str">
        <f>IF($B113="","",IF(COUNTIFS(Пул!$E$5:$E$300,$B113,Пул!$F$5:$F$300,"&lt;&gt;")=0,"",ROUND(SUMIFS(Пул!$F$5:$F$300,Пул!$E$5:$E$300,$B113),8)))</f>
        <v/>
      </c>
      <c r="D113" s="241" t="str">
        <f>IF($B113="","",IF(COUNTIFS(Пул!$E$5:$E$300,$B113,Пул!$G$5:$G$300,"&lt;&gt;")=0,"",ROUND(SUMIFS(Пул!$G$5:$G$300,Пул!$E$5:$E$300,$B113),8)))</f>
        <v/>
      </c>
      <c r="E113" s="240" t="str">
        <f>IF($B113="","",IF(COUNTIFS(Пул!$E$5:$E$300,$B113,Пул!$H$5:$H$300,"&lt;&gt;")=0,"",ROUND(SUMIFS(Пул!$H$5:$H$300,Пул!$E$5:$E$300,$B113),8)))</f>
        <v/>
      </c>
      <c r="F113" s="241" t="str">
        <f>IF($B113="","",IF(COUNTIFS(Пул!$E$5:$E$300,$B113,Пул!$I$5:$I$300,"&lt;&gt;")=0,"",ROUND(SUMIFS(Пул!$I$5:$I$300,Пул!$E$5:$E$300,$B113),8)))</f>
        <v/>
      </c>
      <c r="G113" s="240" t="str">
        <f>IF($B113="","",IF(COUNTIFS(Пул!$E$5:$E$300,$B113,Пул!$H$5:$H$300,"&lt;&gt;")=0,"",ROUND(SUMIFS(Пул!$J$5:$J$300,Пул!$E$5:$E$300,$B113),8)))</f>
        <v/>
      </c>
      <c r="H113" s="241" t="str">
        <f>IF($B113="","",IF(COUNTIFS(Пул!$E$5:$E$300,$B113,Пул!$I$5:$I$300,"&lt;&gt;")=0,"",ROUND(SUMIFS(Пул!$K$5:$K$300,Пул!$E$5:$E$300,$B113),8)))</f>
        <v/>
      </c>
      <c r="I113" s="236" t="str">
        <f>IF(AND(ISNUMBER(G113),ISNUMBER(H113)),IF(AND(G113&gt;0,H113&lt;0),"Buy",IF(AND(G113&lt;0,H113&gt;0),"Sell","")),"")</f>
        <v/>
      </c>
      <c r="J113" s="177" t="str">
        <f>IF(I113="Buy",G113,IF(I113="Sell",-G113,""))</f>
        <v/>
      </c>
      <c r="K113" s="177" t="str">
        <f>IF(AND(ISNUMBER(J113),ISNUMBER(L113),N(J113)&lt;&gt;0),ROUND(L113/J113,8),"")</f>
        <v/>
      </c>
      <c r="L113" s="177" t="str">
        <f>IF(I113="Buy",-H113,IF(I113="Sell",H113,""))</f>
        <v/>
      </c>
    </row>
    <row r="114" ht="22" customHeight="1">
      <c r="B114" s="245" t="n"/>
      <c r="C114" s="246" t="str">
        <f>IF($B114="","",IF(COUNTIFS(Пул!$E$5:$E$300,$B114,Пул!$F$5:$F$300,"&lt;&gt;")=0,"",ROUND(SUMIFS(Пул!$F$5:$F$300,Пул!$E$5:$E$300,$B114),8)))</f>
        <v/>
      </c>
      <c r="D114" s="247" t="str">
        <f>IF($B114="","",IF(COUNTIFS(Пул!$E$5:$E$300,$B114,Пул!$G$5:$G$300,"&lt;&gt;")=0,"",ROUND(SUMIFS(Пул!$G$5:$G$300,Пул!$E$5:$E$300,$B114),8)))</f>
        <v/>
      </c>
      <c r="E114" s="246" t="str">
        <f>IF($B114="","",IF(COUNTIFS(Пул!$E$5:$E$300,$B114,Пул!$H$5:$H$300,"&lt;&gt;")=0,"",ROUND(SUMIFS(Пул!$H$5:$H$300,Пул!$E$5:$E$300,$B114),8)))</f>
        <v/>
      </c>
      <c r="F114" s="247" t="str">
        <f>IF($B114="","",IF(COUNTIFS(Пул!$E$5:$E$300,$B114,Пул!$I$5:$I$300,"&lt;&gt;")=0,"",ROUND(SUMIFS(Пул!$I$5:$I$300,Пул!$E$5:$E$300,$B114),8)))</f>
        <v/>
      </c>
      <c r="G114" s="246" t="str">
        <f>IF($B114="","",IF(COUNTIFS(Пул!$E$5:$E$300,$B114,Пул!$H$5:$H$300,"&lt;&gt;")=0,"",ROUND(SUMIFS(Пул!$J$5:$J$300,Пул!$E$5:$E$300,$B114),8)))</f>
        <v/>
      </c>
      <c r="H114" s="247" t="str">
        <f>IF($B114="","",IF(COUNTIFS(Пул!$E$5:$E$300,$B114,Пул!$I$5:$I$300,"&lt;&gt;")=0,"",ROUND(SUMIFS(Пул!$K$5:$K$300,Пул!$E$5:$E$300,$B114),8)))</f>
        <v/>
      </c>
      <c r="I114" s="242" t="str">
        <f>IF(AND(ISNUMBER(G114),ISNUMBER(H114)),IF(AND(G114&gt;0,H114&lt;0),"Buy",IF(AND(G114&lt;0,H114&gt;0),"Sell","")),"")</f>
        <v/>
      </c>
      <c r="J114" s="183" t="str">
        <f>IF(I114="Buy",G114,IF(I114="Sell",-G114,""))</f>
        <v/>
      </c>
      <c r="K114" s="183" t="str">
        <f>IF(AND(ISNUMBER(J114),ISNUMBER(L114),N(J114)&lt;&gt;0),ROUND(L114/J114,8),"")</f>
        <v/>
      </c>
      <c r="L114" s="183" t="str">
        <f>IF(I114="Buy",-H114,IF(I114="Sell",H114,""))</f>
        <v/>
      </c>
    </row>
    <row r="115" ht="22" customHeight="1">
      <c r="B115" s="239" t="n"/>
      <c r="C115" s="240" t="str">
        <f>IF($B115="","",IF(COUNTIFS(Пул!$E$5:$E$300,$B115,Пул!$F$5:$F$300,"&lt;&gt;")=0,"",ROUND(SUMIFS(Пул!$F$5:$F$300,Пул!$E$5:$E$300,$B115),8)))</f>
        <v/>
      </c>
      <c r="D115" s="241" t="str">
        <f>IF($B115="","",IF(COUNTIFS(Пул!$E$5:$E$300,$B115,Пул!$G$5:$G$300,"&lt;&gt;")=0,"",ROUND(SUMIFS(Пул!$G$5:$G$300,Пул!$E$5:$E$300,$B115),8)))</f>
        <v/>
      </c>
      <c r="E115" s="240" t="str">
        <f>IF($B115="","",IF(COUNTIFS(Пул!$E$5:$E$300,$B115,Пул!$H$5:$H$300,"&lt;&gt;")=0,"",ROUND(SUMIFS(Пул!$H$5:$H$300,Пул!$E$5:$E$300,$B115),8)))</f>
        <v/>
      </c>
      <c r="F115" s="241" t="str">
        <f>IF($B115="","",IF(COUNTIFS(Пул!$E$5:$E$300,$B115,Пул!$I$5:$I$300,"&lt;&gt;")=0,"",ROUND(SUMIFS(Пул!$I$5:$I$300,Пул!$E$5:$E$300,$B115),8)))</f>
        <v/>
      </c>
      <c r="G115" s="240" t="str">
        <f>IF($B115="","",IF(COUNTIFS(Пул!$E$5:$E$300,$B115,Пул!$H$5:$H$300,"&lt;&gt;")=0,"",ROUND(SUMIFS(Пул!$J$5:$J$300,Пул!$E$5:$E$300,$B115),8)))</f>
        <v/>
      </c>
      <c r="H115" s="241" t="str">
        <f>IF($B115="","",IF(COUNTIFS(Пул!$E$5:$E$300,$B115,Пул!$I$5:$I$300,"&lt;&gt;")=0,"",ROUND(SUMIFS(Пул!$K$5:$K$300,Пул!$E$5:$E$300,$B115),8)))</f>
        <v/>
      </c>
      <c r="I115" s="236" t="str">
        <f>IF(AND(ISNUMBER(G115),ISNUMBER(H115)),IF(AND(G115&gt;0,H115&lt;0),"Buy",IF(AND(G115&lt;0,H115&gt;0),"Sell","")),"")</f>
        <v/>
      </c>
      <c r="J115" s="177" t="str">
        <f>IF(I115="Buy",G115,IF(I115="Sell",-G115,""))</f>
        <v/>
      </c>
      <c r="K115" s="177" t="str">
        <f>IF(AND(ISNUMBER(J115),ISNUMBER(L115),N(J115)&lt;&gt;0),ROUND(L115/J115,8),"")</f>
        <v/>
      </c>
      <c r="L115" s="177" t="str">
        <f>IF(I115="Buy",-H115,IF(I115="Sell",H115,""))</f>
        <v/>
      </c>
    </row>
    <row r="116" ht="22" customHeight="1">
      <c r="B116" s="245" t="n"/>
      <c r="C116" s="246" t="str">
        <f>IF($B116="","",IF(COUNTIFS(Пул!$E$5:$E$300,$B116,Пул!$F$5:$F$300,"&lt;&gt;")=0,"",ROUND(SUMIFS(Пул!$F$5:$F$300,Пул!$E$5:$E$300,$B116),8)))</f>
        <v/>
      </c>
      <c r="D116" s="247" t="str">
        <f>IF($B116="","",IF(COUNTIFS(Пул!$E$5:$E$300,$B116,Пул!$G$5:$G$300,"&lt;&gt;")=0,"",ROUND(SUMIFS(Пул!$G$5:$G$300,Пул!$E$5:$E$300,$B116),8)))</f>
        <v/>
      </c>
      <c r="E116" s="246" t="str">
        <f>IF($B116="","",IF(COUNTIFS(Пул!$E$5:$E$300,$B116,Пул!$H$5:$H$300,"&lt;&gt;")=0,"",ROUND(SUMIFS(Пул!$H$5:$H$300,Пул!$E$5:$E$300,$B116),8)))</f>
        <v/>
      </c>
      <c r="F116" s="247" t="str">
        <f>IF($B116="","",IF(COUNTIFS(Пул!$E$5:$E$300,$B116,Пул!$I$5:$I$300,"&lt;&gt;")=0,"",ROUND(SUMIFS(Пул!$I$5:$I$300,Пул!$E$5:$E$300,$B116),8)))</f>
        <v/>
      </c>
      <c r="G116" s="246" t="str">
        <f>IF($B116="","",IF(COUNTIFS(Пул!$E$5:$E$300,$B116,Пул!$H$5:$H$300,"&lt;&gt;")=0,"",ROUND(SUMIFS(Пул!$J$5:$J$300,Пул!$E$5:$E$300,$B116),8)))</f>
        <v/>
      </c>
      <c r="H116" s="247" t="str">
        <f>IF($B116="","",IF(COUNTIFS(Пул!$E$5:$E$300,$B116,Пул!$I$5:$I$300,"&lt;&gt;")=0,"",ROUND(SUMIFS(Пул!$K$5:$K$300,Пул!$E$5:$E$300,$B116),8)))</f>
        <v/>
      </c>
      <c r="I116" s="242" t="str">
        <f>IF(AND(ISNUMBER(G116),ISNUMBER(H116)),IF(AND(G116&gt;0,H116&lt;0),"Buy",IF(AND(G116&lt;0,H116&gt;0),"Sell","")),"")</f>
        <v/>
      </c>
      <c r="J116" s="183" t="str">
        <f>IF(I116="Buy",G116,IF(I116="Sell",-G116,""))</f>
        <v/>
      </c>
      <c r="K116" s="183" t="str">
        <f>IF(AND(ISNUMBER(J116),ISNUMBER(L116),N(J116)&lt;&gt;0),ROUND(L116/J116,8),"")</f>
        <v/>
      </c>
      <c r="L116" s="183" t="str">
        <f>IF(I116="Buy",-H116,IF(I116="Sell",H116,""))</f>
        <v/>
      </c>
    </row>
    <row r="117" ht="22" customHeight="1">
      <c r="B117" s="239" t="n"/>
      <c r="C117" s="240" t="str">
        <f>IF($B117="","",IF(COUNTIFS(Пул!$E$5:$E$300,$B117,Пул!$F$5:$F$300,"&lt;&gt;")=0,"",ROUND(SUMIFS(Пул!$F$5:$F$300,Пул!$E$5:$E$300,$B117),8)))</f>
        <v/>
      </c>
      <c r="D117" s="241" t="str">
        <f>IF($B117="","",IF(COUNTIFS(Пул!$E$5:$E$300,$B117,Пул!$G$5:$G$300,"&lt;&gt;")=0,"",ROUND(SUMIFS(Пул!$G$5:$G$300,Пул!$E$5:$E$300,$B117),8)))</f>
        <v/>
      </c>
      <c r="E117" s="240" t="str">
        <f>IF($B117="","",IF(COUNTIFS(Пул!$E$5:$E$300,$B117,Пул!$H$5:$H$300,"&lt;&gt;")=0,"",ROUND(SUMIFS(Пул!$H$5:$H$300,Пул!$E$5:$E$300,$B117),8)))</f>
        <v/>
      </c>
      <c r="F117" s="241" t="str">
        <f>IF($B117="","",IF(COUNTIFS(Пул!$E$5:$E$300,$B117,Пул!$I$5:$I$300,"&lt;&gt;")=0,"",ROUND(SUMIFS(Пул!$I$5:$I$300,Пул!$E$5:$E$300,$B117),8)))</f>
        <v/>
      </c>
      <c r="G117" s="240" t="str">
        <f>IF($B117="","",IF(COUNTIFS(Пул!$E$5:$E$300,$B117,Пул!$H$5:$H$300,"&lt;&gt;")=0,"",ROUND(SUMIFS(Пул!$J$5:$J$300,Пул!$E$5:$E$300,$B117),8)))</f>
        <v/>
      </c>
      <c r="H117" s="241" t="str">
        <f>IF($B117="","",IF(COUNTIFS(Пул!$E$5:$E$300,$B117,Пул!$I$5:$I$300,"&lt;&gt;")=0,"",ROUND(SUMIFS(Пул!$K$5:$K$300,Пул!$E$5:$E$300,$B117),8)))</f>
        <v/>
      </c>
      <c r="I117" s="236" t="str">
        <f>IF(AND(ISNUMBER(G117),ISNUMBER(H117)),IF(AND(G117&gt;0,H117&lt;0),"Buy",IF(AND(G117&lt;0,H117&gt;0),"Sell","")),"")</f>
        <v/>
      </c>
      <c r="J117" s="177" t="str">
        <f>IF(I117="Buy",G117,IF(I117="Sell",-G117,""))</f>
        <v/>
      </c>
      <c r="K117" s="177" t="str">
        <f>IF(AND(ISNUMBER(J117),ISNUMBER(L117),N(J117)&lt;&gt;0),ROUND(L117/J117,8),"")</f>
        <v/>
      </c>
      <c r="L117" s="177" t="str">
        <f>IF(I117="Buy",-H117,IF(I117="Sell",H117,""))</f>
        <v/>
      </c>
    </row>
    <row r="118" ht="22" customHeight="1">
      <c r="B118" s="245" t="n"/>
      <c r="C118" s="246" t="str">
        <f>IF($B118="","",IF(COUNTIFS(Пул!$E$5:$E$300,$B118,Пул!$F$5:$F$300,"&lt;&gt;")=0,"",ROUND(SUMIFS(Пул!$F$5:$F$300,Пул!$E$5:$E$300,$B118),8)))</f>
        <v/>
      </c>
      <c r="D118" s="247" t="str">
        <f>IF($B118="","",IF(COUNTIFS(Пул!$E$5:$E$300,$B118,Пул!$G$5:$G$300,"&lt;&gt;")=0,"",ROUND(SUMIFS(Пул!$G$5:$G$300,Пул!$E$5:$E$300,$B118),8)))</f>
        <v/>
      </c>
      <c r="E118" s="246" t="str">
        <f>IF($B118="","",IF(COUNTIFS(Пул!$E$5:$E$300,$B118,Пул!$H$5:$H$300,"&lt;&gt;")=0,"",ROUND(SUMIFS(Пул!$H$5:$H$300,Пул!$E$5:$E$300,$B118),8)))</f>
        <v/>
      </c>
      <c r="F118" s="247" t="str">
        <f>IF($B118="","",IF(COUNTIFS(Пул!$E$5:$E$300,$B118,Пул!$I$5:$I$300,"&lt;&gt;")=0,"",ROUND(SUMIFS(Пул!$I$5:$I$300,Пул!$E$5:$E$300,$B118),8)))</f>
        <v/>
      </c>
      <c r="G118" s="246" t="str">
        <f>IF($B118="","",IF(COUNTIFS(Пул!$E$5:$E$300,$B118,Пул!$H$5:$H$300,"&lt;&gt;")=0,"",ROUND(SUMIFS(Пул!$J$5:$J$300,Пул!$E$5:$E$300,$B118),8)))</f>
        <v/>
      </c>
      <c r="H118" s="247" t="str">
        <f>IF($B118="","",IF(COUNTIFS(Пул!$E$5:$E$300,$B118,Пул!$I$5:$I$300,"&lt;&gt;")=0,"",ROUND(SUMIFS(Пул!$K$5:$K$300,Пул!$E$5:$E$300,$B118),8)))</f>
        <v/>
      </c>
      <c r="I118" s="242" t="str">
        <f>IF(AND(ISNUMBER(G118),ISNUMBER(H118)),IF(AND(G118&gt;0,H118&lt;0),"Buy",IF(AND(G118&lt;0,H118&gt;0),"Sell","")),"")</f>
        <v/>
      </c>
      <c r="J118" s="183" t="str">
        <f>IF(I118="Buy",G118,IF(I118="Sell",-G118,""))</f>
        <v/>
      </c>
      <c r="K118" s="183" t="str">
        <f>IF(AND(ISNUMBER(J118),ISNUMBER(L118),N(J118)&lt;&gt;0),ROUND(L118/J118,8),"")</f>
        <v/>
      </c>
      <c r="L118" s="183" t="str">
        <f>IF(I118="Buy",-H118,IF(I118="Sell",H118,""))</f>
        <v/>
      </c>
    </row>
    <row r="119" ht="22" customHeight="1">
      <c r="B119" s="239" t="n"/>
      <c r="C119" s="240" t="str">
        <f>IF($B119="","",IF(COUNTIFS(Пул!$E$5:$E$300,$B119,Пул!$F$5:$F$300,"&lt;&gt;")=0,"",ROUND(SUMIFS(Пул!$F$5:$F$300,Пул!$E$5:$E$300,$B119),8)))</f>
        <v/>
      </c>
      <c r="D119" s="241" t="str">
        <f>IF($B119="","",IF(COUNTIFS(Пул!$E$5:$E$300,$B119,Пул!$G$5:$G$300,"&lt;&gt;")=0,"",ROUND(SUMIFS(Пул!$G$5:$G$300,Пул!$E$5:$E$300,$B119),8)))</f>
        <v/>
      </c>
      <c r="E119" s="240" t="str">
        <f>IF($B119="","",IF(COUNTIFS(Пул!$E$5:$E$300,$B119,Пул!$H$5:$H$300,"&lt;&gt;")=0,"",ROUND(SUMIFS(Пул!$H$5:$H$300,Пул!$E$5:$E$300,$B119),8)))</f>
        <v/>
      </c>
      <c r="F119" s="241" t="str">
        <f>IF($B119="","",IF(COUNTIFS(Пул!$E$5:$E$300,$B119,Пул!$I$5:$I$300,"&lt;&gt;")=0,"",ROUND(SUMIFS(Пул!$I$5:$I$300,Пул!$E$5:$E$300,$B119),8)))</f>
        <v/>
      </c>
      <c r="G119" s="240" t="str">
        <f>IF($B119="","",IF(COUNTIFS(Пул!$E$5:$E$300,$B119,Пул!$H$5:$H$300,"&lt;&gt;")=0,"",ROUND(SUMIFS(Пул!$J$5:$J$300,Пул!$E$5:$E$300,$B119),8)))</f>
        <v/>
      </c>
      <c r="H119" s="241" t="str">
        <f>IF($B119="","",IF(COUNTIFS(Пул!$E$5:$E$300,$B119,Пул!$I$5:$I$300,"&lt;&gt;")=0,"",ROUND(SUMIFS(Пул!$K$5:$K$300,Пул!$E$5:$E$300,$B119),8)))</f>
        <v/>
      </c>
      <c r="I119" s="236" t="str">
        <f>IF(AND(ISNUMBER(G119),ISNUMBER(H119)),IF(AND(G119&gt;0,H119&lt;0),"Buy",IF(AND(G119&lt;0,H119&gt;0),"Sell","")),"")</f>
        <v/>
      </c>
      <c r="J119" s="177" t="str">
        <f>IF(I119="Buy",G119,IF(I119="Sell",-G119,""))</f>
        <v/>
      </c>
      <c r="K119" s="177" t="str">
        <f>IF(AND(ISNUMBER(J119),ISNUMBER(L119),N(J119)&lt;&gt;0),ROUND(L119/J119,8),"")</f>
        <v/>
      </c>
      <c r="L119" s="177" t="str">
        <f>IF(I119="Buy",-H119,IF(I119="Sell",H119,""))</f>
        <v/>
      </c>
    </row>
    <row r="120" ht="22" customHeight="1">
      <c r="B120" s="245" t="n"/>
      <c r="C120" s="246" t="str">
        <f>IF($B120="","",IF(COUNTIFS(Пул!$E$5:$E$300,$B120,Пул!$F$5:$F$300,"&lt;&gt;")=0,"",ROUND(SUMIFS(Пул!$F$5:$F$300,Пул!$E$5:$E$300,$B120),8)))</f>
        <v/>
      </c>
      <c r="D120" s="247" t="str">
        <f>IF($B120="","",IF(COUNTIFS(Пул!$E$5:$E$300,$B120,Пул!$G$5:$G$300,"&lt;&gt;")=0,"",ROUND(SUMIFS(Пул!$G$5:$G$300,Пул!$E$5:$E$300,$B120),8)))</f>
        <v/>
      </c>
      <c r="E120" s="246" t="str">
        <f>IF($B120="","",IF(COUNTIFS(Пул!$E$5:$E$300,$B120,Пул!$H$5:$H$300,"&lt;&gt;")=0,"",ROUND(SUMIFS(Пул!$H$5:$H$300,Пул!$E$5:$E$300,$B120),8)))</f>
        <v/>
      </c>
      <c r="F120" s="247" t="str">
        <f>IF($B120="","",IF(COUNTIFS(Пул!$E$5:$E$300,$B120,Пул!$I$5:$I$300,"&lt;&gt;")=0,"",ROUND(SUMIFS(Пул!$I$5:$I$300,Пул!$E$5:$E$300,$B120),8)))</f>
        <v/>
      </c>
      <c r="G120" s="246" t="str">
        <f>IF($B120="","",IF(COUNTIFS(Пул!$E$5:$E$300,$B120,Пул!$H$5:$H$300,"&lt;&gt;")=0,"",ROUND(SUMIFS(Пул!$J$5:$J$300,Пул!$E$5:$E$300,$B120),8)))</f>
        <v/>
      </c>
      <c r="H120" s="247" t="str">
        <f>IF($B120="","",IF(COUNTIFS(Пул!$E$5:$E$300,$B120,Пул!$I$5:$I$300,"&lt;&gt;")=0,"",ROUND(SUMIFS(Пул!$K$5:$K$300,Пул!$E$5:$E$300,$B120),8)))</f>
        <v/>
      </c>
      <c r="I120" s="242" t="str">
        <f>IF(AND(ISNUMBER(G120),ISNUMBER(H120)),IF(AND(G120&gt;0,H120&lt;0),"Buy",IF(AND(G120&lt;0,H120&gt;0),"Sell","")),"")</f>
        <v/>
      </c>
      <c r="J120" s="183" t="str">
        <f>IF(I120="Buy",G120,IF(I120="Sell",-G120,""))</f>
        <v/>
      </c>
      <c r="K120" s="183" t="str">
        <f>IF(AND(ISNUMBER(J120),ISNUMBER(L120),N(J120)&lt;&gt;0),ROUND(L120/J120,8),"")</f>
        <v/>
      </c>
      <c r="L120" s="183" t="str">
        <f>IF(I120="Buy",-H120,IF(I120="Sell",H120,""))</f>
        <v/>
      </c>
    </row>
    <row r="121" ht="22" customHeight="1">
      <c r="B121" s="239" t="n"/>
      <c r="C121" s="240" t="str">
        <f>IF($B121="","",IF(COUNTIFS(Пул!$E$5:$E$300,$B121,Пул!$F$5:$F$300,"&lt;&gt;")=0,"",ROUND(SUMIFS(Пул!$F$5:$F$300,Пул!$E$5:$E$300,$B121),8)))</f>
        <v/>
      </c>
      <c r="D121" s="241" t="str">
        <f>IF($B121="","",IF(COUNTIFS(Пул!$E$5:$E$300,$B121,Пул!$G$5:$G$300,"&lt;&gt;")=0,"",ROUND(SUMIFS(Пул!$G$5:$G$300,Пул!$E$5:$E$300,$B121),8)))</f>
        <v/>
      </c>
      <c r="E121" s="240" t="str">
        <f>IF($B121="","",IF(COUNTIFS(Пул!$E$5:$E$300,$B121,Пул!$H$5:$H$300,"&lt;&gt;")=0,"",ROUND(SUMIFS(Пул!$H$5:$H$300,Пул!$E$5:$E$300,$B121),8)))</f>
        <v/>
      </c>
      <c r="F121" s="241" t="str">
        <f>IF($B121="","",IF(COUNTIFS(Пул!$E$5:$E$300,$B121,Пул!$I$5:$I$300,"&lt;&gt;")=0,"",ROUND(SUMIFS(Пул!$I$5:$I$300,Пул!$E$5:$E$300,$B121),8)))</f>
        <v/>
      </c>
      <c r="G121" s="240" t="str">
        <f>IF($B121="","",IF(COUNTIFS(Пул!$E$5:$E$300,$B121,Пул!$H$5:$H$300,"&lt;&gt;")=0,"",ROUND(SUMIFS(Пул!$J$5:$J$300,Пул!$E$5:$E$300,$B121),8)))</f>
        <v/>
      </c>
      <c r="H121" s="241" t="str">
        <f>IF($B121="","",IF(COUNTIFS(Пул!$E$5:$E$300,$B121,Пул!$I$5:$I$300,"&lt;&gt;")=0,"",ROUND(SUMIFS(Пул!$K$5:$K$300,Пул!$E$5:$E$300,$B121),8)))</f>
        <v/>
      </c>
      <c r="I121" s="236" t="str">
        <f>IF(AND(ISNUMBER(G121),ISNUMBER(H121)),IF(AND(G121&gt;0,H121&lt;0),"Buy",IF(AND(G121&lt;0,H121&gt;0),"Sell","")),"")</f>
        <v/>
      </c>
      <c r="J121" s="177" t="str">
        <f>IF(I121="Buy",G121,IF(I121="Sell",-G121,""))</f>
        <v/>
      </c>
      <c r="K121" s="177" t="str">
        <f>IF(AND(ISNUMBER(J121),ISNUMBER(L121),N(J121)&lt;&gt;0),ROUND(L121/J121,8),"")</f>
        <v/>
      </c>
      <c r="L121" s="177" t="str">
        <f>IF(I121="Buy",-H121,IF(I121="Sell",H121,""))</f>
        <v/>
      </c>
    </row>
    <row r="122" ht="22" customHeight="1">
      <c r="B122" s="245" t="n"/>
      <c r="C122" s="246" t="str">
        <f>IF($B122="","",IF(COUNTIFS(Пул!$E$5:$E$300,$B122,Пул!$F$5:$F$300,"&lt;&gt;")=0,"",ROUND(SUMIFS(Пул!$F$5:$F$300,Пул!$E$5:$E$300,$B122),8)))</f>
        <v/>
      </c>
      <c r="D122" s="247" t="str">
        <f>IF($B122="","",IF(COUNTIFS(Пул!$E$5:$E$300,$B122,Пул!$G$5:$G$300,"&lt;&gt;")=0,"",ROUND(SUMIFS(Пул!$G$5:$G$300,Пул!$E$5:$E$300,$B122),8)))</f>
        <v/>
      </c>
      <c r="E122" s="246" t="str">
        <f>IF($B122="","",IF(COUNTIFS(Пул!$E$5:$E$300,$B122,Пул!$H$5:$H$300,"&lt;&gt;")=0,"",ROUND(SUMIFS(Пул!$H$5:$H$300,Пул!$E$5:$E$300,$B122),8)))</f>
        <v/>
      </c>
      <c r="F122" s="247" t="str">
        <f>IF($B122="","",IF(COUNTIFS(Пул!$E$5:$E$300,$B122,Пул!$I$5:$I$300,"&lt;&gt;")=0,"",ROUND(SUMIFS(Пул!$I$5:$I$300,Пул!$E$5:$E$300,$B122),8)))</f>
        <v/>
      </c>
      <c r="G122" s="246" t="str">
        <f>IF($B122="","",IF(COUNTIFS(Пул!$E$5:$E$300,$B122,Пул!$H$5:$H$300,"&lt;&gt;")=0,"",ROUND(SUMIFS(Пул!$J$5:$J$300,Пул!$E$5:$E$300,$B122),8)))</f>
        <v/>
      </c>
      <c r="H122" s="247" t="str">
        <f>IF($B122="","",IF(COUNTIFS(Пул!$E$5:$E$300,$B122,Пул!$I$5:$I$300,"&lt;&gt;")=0,"",ROUND(SUMIFS(Пул!$K$5:$K$300,Пул!$E$5:$E$300,$B122),8)))</f>
        <v/>
      </c>
      <c r="I122" s="242" t="str">
        <f>IF(AND(ISNUMBER(G122),ISNUMBER(H122)),IF(AND(G122&gt;0,H122&lt;0),"Buy",IF(AND(G122&lt;0,H122&gt;0),"Sell","")),"")</f>
        <v/>
      </c>
      <c r="J122" s="183" t="str">
        <f>IF(I122="Buy",G122,IF(I122="Sell",-G122,""))</f>
        <v/>
      </c>
      <c r="K122" s="183" t="str">
        <f>IF(AND(ISNUMBER(J122),ISNUMBER(L122),N(J122)&lt;&gt;0),ROUND(L122/J122,8),"")</f>
        <v/>
      </c>
      <c r="L122" s="183" t="str">
        <f>IF(I122="Buy",-H122,IF(I122="Sell",H122,""))</f>
        <v/>
      </c>
    </row>
    <row r="123" ht="22" customHeight="1">
      <c r="B123" s="239" t="n"/>
      <c r="C123" s="240" t="str">
        <f>IF($B123="","",IF(COUNTIFS(Пул!$E$5:$E$300,$B123,Пул!$F$5:$F$300,"&lt;&gt;")=0,"",ROUND(SUMIFS(Пул!$F$5:$F$300,Пул!$E$5:$E$300,$B123),8)))</f>
        <v/>
      </c>
      <c r="D123" s="241" t="str">
        <f>IF($B123="","",IF(COUNTIFS(Пул!$E$5:$E$300,$B123,Пул!$G$5:$G$300,"&lt;&gt;")=0,"",ROUND(SUMIFS(Пул!$G$5:$G$300,Пул!$E$5:$E$300,$B123),8)))</f>
        <v/>
      </c>
      <c r="E123" s="240" t="str">
        <f>IF($B123="","",IF(COUNTIFS(Пул!$E$5:$E$300,$B123,Пул!$H$5:$H$300,"&lt;&gt;")=0,"",ROUND(SUMIFS(Пул!$H$5:$H$300,Пул!$E$5:$E$300,$B123),8)))</f>
        <v/>
      </c>
      <c r="F123" s="241" t="str">
        <f>IF($B123="","",IF(COUNTIFS(Пул!$E$5:$E$300,$B123,Пул!$I$5:$I$300,"&lt;&gt;")=0,"",ROUND(SUMIFS(Пул!$I$5:$I$300,Пул!$E$5:$E$300,$B123),8)))</f>
        <v/>
      </c>
      <c r="G123" s="240" t="str">
        <f>IF($B123="","",IF(COUNTIFS(Пул!$E$5:$E$300,$B123,Пул!$H$5:$H$300,"&lt;&gt;")=0,"",ROUND(SUMIFS(Пул!$J$5:$J$300,Пул!$E$5:$E$300,$B123),8)))</f>
        <v/>
      </c>
      <c r="H123" s="241" t="str">
        <f>IF($B123="","",IF(COUNTIFS(Пул!$E$5:$E$300,$B123,Пул!$I$5:$I$300,"&lt;&gt;")=0,"",ROUND(SUMIFS(Пул!$K$5:$K$300,Пул!$E$5:$E$300,$B123),8)))</f>
        <v/>
      </c>
      <c r="I123" s="236" t="str">
        <f>IF(AND(ISNUMBER(G123),ISNUMBER(H123)),IF(AND(G123&gt;0,H123&lt;0),"Buy",IF(AND(G123&lt;0,H123&gt;0),"Sell","")),"")</f>
        <v/>
      </c>
      <c r="J123" s="177" t="str">
        <f>IF(I123="Buy",G123,IF(I123="Sell",-G123,""))</f>
        <v/>
      </c>
      <c r="K123" s="177" t="str">
        <f>IF(AND(ISNUMBER(J123),ISNUMBER(L123),N(J123)&lt;&gt;0),ROUND(L123/J123,8),"")</f>
        <v/>
      </c>
      <c r="L123" s="177" t="str">
        <f>IF(I123="Buy",-H123,IF(I123="Sell",H123,""))</f>
        <v/>
      </c>
    </row>
    <row r="124" ht="22" customHeight="1">
      <c r="B124" s="245" t="n"/>
      <c r="C124" s="246" t="str">
        <f>IF($B124="","",IF(COUNTIFS(Пул!$E$5:$E$300,$B124,Пул!$F$5:$F$300,"&lt;&gt;")=0,"",ROUND(SUMIFS(Пул!$F$5:$F$300,Пул!$E$5:$E$300,$B124),8)))</f>
        <v/>
      </c>
      <c r="D124" s="247" t="str">
        <f>IF($B124="","",IF(COUNTIFS(Пул!$E$5:$E$300,$B124,Пул!$G$5:$G$300,"&lt;&gt;")=0,"",ROUND(SUMIFS(Пул!$G$5:$G$300,Пул!$E$5:$E$300,$B124),8)))</f>
        <v/>
      </c>
      <c r="E124" s="246" t="str">
        <f>IF($B124="","",IF(COUNTIFS(Пул!$E$5:$E$300,$B124,Пул!$H$5:$H$300,"&lt;&gt;")=0,"",ROUND(SUMIFS(Пул!$H$5:$H$300,Пул!$E$5:$E$300,$B124),8)))</f>
        <v/>
      </c>
      <c r="F124" s="247" t="str">
        <f>IF($B124="","",IF(COUNTIFS(Пул!$E$5:$E$300,$B124,Пул!$I$5:$I$300,"&lt;&gt;")=0,"",ROUND(SUMIFS(Пул!$I$5:$I$300,Пул!$E$5:$E$300,$B124),8)))</f>
        <v/>
      </c>
      <c r="G124" s="246" t="str">
        <f>IF($B124="","",IF(COUNTIFS(Пул!$E$5:$E$300,$B124,Пул!$H$5:$H$300,"&lt;&gt;")=0,"",ROUND(SUMIFS(Пул!$J$5:$J$300,Пул!$E$5:$E$300,$B124),8)))</f>
        <v/>
      </c>
      <c r="H124" s="247" t="str">
        <f>IF($B124="","",IF(COUNTIFS(Пул!$E$5:$E$300,$B124,Пул!$I$5:$I$300,"&lt;&gt;")=0,"",ROUND(SUMIFS(Пул!$K$5:$K$300,Пул!$E$5:$E$300,$B124),8)))</f>
        <v/>
      </c>
      <c r="I124" s="242" t="str">
        <f>IF(AND(ISNUMBER(G124),ISNUMBER(H124)),IF(AND(G124&gt;0,H124&lt;0),"Buy",IF(AND(G124&lt;0,H124&gt;0),"Sell","")),"")</f>
        <v/>
      </c>
      <c r="J124" s="183" t="str">
        <f>IF(I124="Buy",G124,IF(I124="Sell",-G124,""))</f>
        <v/>
      </c>
      <c r="K124" s="183" t="str">
        <f>IF(AND(ISNUMBER(J124),ISNUMBER(L124),N(J124)&lt;&gt;0),ROUND(L124/J124,8),"")</f>
        <v/>
      </c>
      <c r="L124" s="183" t="str">
        <f>IF(I124="Buy",-H124,IF(I124="Sell",H124,""))</f>
        <v/>
      </c>
    </row>
    <row r="125" ht="22" customHeight="1">
      <c r="B125" s="239" t="n"/>
      <c r="C125" s="240" t="str">
        <f>IF($B125="","",IF(COUNTIFS(Пул!$E$5:$E$300,$B125,Пул!$F$5:$F$300,"&lt;&gt;")=0,"",ROUND(SUMIFS(Пул!$F$5:$F$300,Пул!$E$5:$E$300,$B125),8)))</f>
        <v/>
      </c>
      <c r="D125" s="241" t="str">
        <f>IF($B125="","",IF(COUNTIFS(Пул!$E$5:$E$300,$B125,Пул!$G$5:$G$300,"&lt;&gt;")=0,"",ROUND(SUMIFS(Пул!$G$5:$G$300,Пул!$E$5:$E$300,$B125),8)))</f>
        <v/>
      </c>
      <c r="E125" s="240" t="str">
        <f>IF($B125="","",IF(COUNTIFS(Пул!$E$5:$E$300,$B125,Пул!$H$5:$H$300,"&lt;&gt;")=0,"",ROUND(SUMIFS(Пул!$H$5:$H$300,Пул!$E$5:$E$300,$B125),8)))</f>
        <v/>
      </c>
      <c r="F125" s="241" t="str">
        <f>IF($B125="","",IF(COUNTIFS(Пул!$E$5:$E$300,$B125,Пул!$I$5:$I$300,"&lt;&gt;")=0,"",ROUND(SUMIFS(Пул!$I$5:$I$300,Пул!$E$5:$E$300,$B125),8)))</f>
        <v/>
      </c>
      <c r="G125" s="240" t="str">
        <f>IF($B125="","",IF(COUNTIFS(Пул!$E$5:$E$300,$B125,Пул!$H$5:$H$300,"&lt;&gt;")=0,"",ROUND(SUMIFS(Пул!$J$5:$J$300,Пул!$E$5:$E$300,$B125),8)))</f>
        <v/>
      </c>
      <c r="H125" s="241" t="str">
        <f>IF($B125="","",IF(COUNTIFS(Пул!$E$5:$E$300,$B125,Пул!$I$5:$I$300,"&lt;&gt;")=0,"",ROUND(SUMIFS(Пул!$K$5:$K$300,Пул!$E$5:$E$300,$B125),8)))</f>
        <v/>
      </c>
      <c r="I125" s="236" t="str">
        <f>IF(AND(ISNUMBER(G125),ISNUMBER(H125)),IF(AND(G125&gt;0,H125&lt;0),"Buy",IF(AND(G125&lt;0,H125&gt;0),"Sell","")),"")</f>
        <v/>
      </c>
      <c r="J125" s="177" t="str">
        <f>IF(I125="Buy",G125,IF(I125="Sell",-G125,""))</f>
        <v/>
      </c>
      <c r="K125" s="177" t="str">
        <f>IF(AND(ISNUMBER(J125),ISNUMBER(L125),N(J125)&lt;&gt;0),ROUND(L125/J125,8),"")</f>
        <v/>
      </c>
      <c r="L125" s="177" t="str">
        <f>IF(I125="Buy",-H125,IF(I125="Sell",H125,""))</f>
        <v/>
      </c>
    </row>
    <row r="126" ht="22" customHeight="1">
      <c r="B126" s="245" t="n"/>
      <c r="C126" s="246" t="str">
        <f>IF($B126="","",IF(COUNTIFS(Пул!$E$5:$E$300,$B126,Пул!$F$5:$F$300,"&lt;&gt;")=0,"",ROUND(SUMIFS(Пул!$F$5:$F$300,Пул!$E$5:$E$300,$B126),8)))</f>
        <v/>
      </c>
      <c r="D126" s="247" t="str">
        <f>IF($B126="","",IF(COUNTIFS(Пул!$E$5:$E$300,$B126,Пул!$G$5:$G$300,"&lt;&gt;")=0,"",ROUND(SUMIFS(Пул!$G$5:$G$300,Пул!$E$5:$E$300,$B126),8)))</f>
        <v/>
      </c>
      <c r="E126" s="246" t="str">
        <f>IF($B126="","",IF(COUNTIFS(Пул!$E$5:$E$300,$B126,Пул!$H$5:$H$300,"&lt;&gt;")=0,"",ROUND(SUMIFS(Пул!$H$5:$H$300,Пул!$E$5:$E$300,$B126),8)))</f>
        <v/>
      </c>
      <c r="F126" s="247" t="str">
        <f>IF($B126="","",IF(COUNTIFS(Пул!$E$5:$E$300,$B126,Пул!$I$5:$I$300,"&lt;&gt;")=0,"",ROUND(SUMIFS(Пул!$I$5:$I$300,Пул!$E$5:$E$300,$B126),8)))</f>
        <v/>
      </c>
      <c r="G126" s="246" t="str">
        <f>IF($B126="","",IF(COUNTIFS(Пул!$E$5:$E$300,$B126,Пул!$H$5:$H$300,"&lt;&gt;")=0,"",ROUND(SUMIFS(Пул!$J$5:$J$300,Пул!$E$5:$E$300,$B126),8)))</f>
        <v/>
      </c>
      <c r="H126" s="247" t="str">
        <f>IF($B126="","",IF(COUNTIFS(Пул!$E$5:$E$300,$B126,Пул!$I$5:$I$300,"&lt;&gt;")=0,"",ROUND(SUMIFS(Пул!$K$5:$K$300,Пул!$E$5:$E$300,$B126),8)))</f>
        <v/>
      </c>
      <c r="I126" s="242" t="str">
        <f>IF(AND(ISNUMBER(G126),ISNUMBER(H126)),IF(AND(G126&gt;0,H126&lt;0),"Buy",IF(AND(G126&lt;0,H126&gt;0),"Sell","")),"")</f>
        <v/>
      </c>
      <c r="J126" s="183" t="str">
        <f>IF(I126="Buy",G126,IF(I126="Sell",-G126,""))</f>
        <v/>
      </c>
      <c r="K126" s="183" t="str">
        <f>IF(AND(ISNUMBER(J126),ISNUMBER(L126),N(J126)&lt;&gt;0),ROUND(L126/J126,8),"")</f>
        <v/>
      </c>
      <c r="L126" s="183" t="str">
        <f>IF(I126="Buy",-H126,IF(I126="Sell",H126,""))</f>
        <v/>
      </c>
    </row>
    <row r="127" ht="22" customHeight="1">
      <c r="B127" s="239" t="n"/>
      <c r="C127" s="240" t="str">
        <f>IF($B127="","",IF(COUNTIFS(Пул!$E$5:$E$300,$B127,Пул!$F$5:$F$300,"&lt;&gt;")=0,"",ROUND(SUMIFS(Пул!$F$5:$F$300,Пул!$E$5:$E$300,$B127),8)))</f>
        <v/>
      </c>
      <c r="D127" s="241" t="str">
        <f>IF($B127="","",IF(COUNTIFS(Пул!$E$5:$E$300,$B127,Пул!$G$5:$G$300,"&lt;&gt;")=0,"",ROUND(SUMIFS(Пул!$G$5:$G$300,Пул!$E$5:$E$300,$B127),8)))</f>
        <v/>
      </c>
      <c r="E127" s="240" t="str">
        <f>IF($B127="","",IF(COUNTIFS(Пул!$E$5:$E$300,$B127,Пул!$H$5:$H$300,"&lt;&gt;")=0,"",ROUND(SUMIFS(Пул!$H$5:$H$300,Пул!$E$5:$E$300,$B127),8)))</f>
        <v/>
      </c>
      <c r="F127" s="241" t="str">
        <f>IF($B127="","",IF(COUNTIFS(Пул!$E$5:$E$300,$B127,Пул!$I$5:$I$300,"&lt;&gt;")=0,"",ROUND(SUMIFS(Пул!$I$5:$I$300,Пул!$E$5:$E$300,$B127),8)))</f>
        <v/>
      </c>
      <c r="G127" s="240" t="str">
        <f>IF($B127="","",IF(COUNTIFS(Пул!$E$5:$E$300,$B127,Пул!$H$5:$H$300,"&lt;&gt;")=0,"",ROUND(SUMIFS(Пул!$J$5:$J$300,Пул!$E$5:$E$300,$B127),8)))</f>
        <v/>
      </c>
      <c r="H127" s="241" t="str">
        <f>IF($B127="","",IF(COUNTIFS(Пул!$E$5:$E$300,$B127,Пул!$I$5:$I$300,"&lt;&gt;")=0,"",ROUND(SUMIFS(Пул!$K$5:$K$300,Пул!$E$5:$E$300,$B127),8)))</f>
        <v/>
      </c>
      <c r="I127" s="236" t="str">
        <f>IF(AND(ISNUMBER(G127),ISNUMBER(H127)),IF(AND(G127&gt;0,H127&lt;0),"Buy",IF(AND(G127&lt;0,H127&gt;0),"Sell","")),"")</f>
        <v/>
      </c>
      <c r="J127" s="177" t="str">
        <f>IF(I127="Buy",G127,IF(I127="Sell",-G127,""))</f>
        <v/>
      </c>
      <c r="K127" s="177" t="str">
        <f>IF(AND(ISNUMBER(J127),ISNUMBER(L127),N(J127)&lt;&gt;0),ROUND(L127/J127,8),"")</f>
        <v/>
      </c>
      <c r="L127" s="177" t="str">
        <f>IF(I127="Buy",-H127,IF(I127="Sell",H127,""))</f>
        <v/>
      </c>
    </row>
    <row r="128" ht="22" customHeight="1">
      <c r="B128" s="245" t="n"/>
      <c r="C128" s="246" t="str">
        <f>IF($B128="","",IF(COUNTIFS(Пул!$E$5:$E$300,$B128,Пул!$F$5:$F$300,"&lt;&gt;")=0,"",ROUND(SUMIFS(Пул!$F$5:$F$300,Пул!$E$5:$E$300,$B128),8)))</f>
        <v/>
      </c>
      <c r="D128" s="247" t="str">
        <f>IF($B128="","",IF(COUNTIFS(Пул!$E$5:$E$300,$B128,Пул!$G$5:$G$300,"&lt;&gt;")=0,"",ROUND(SUMIFS(Пул!$G$5:$G$300,Пул!$E$5:$E$300,$B128),8)))</f>
        <v/>
      </c>
      <c r="E128" s="246" t="str">
        <f>IF($B128="","",IF(COUNTIFS(Пул!$E$5:$E$300,$B128,Пул!$H$5:$H$300,"&lt;&gt;")=0,"",ROUND(SUMIFS(Пул!$H$5:$H$300,Пул!$E$5:$E$300,$B128),8)))</f>
        <v/>
      </c>
      <c r="F128" s="247" t="str">
        <f>IF($B128="","",IF(COUNTIFS(Пул!$E$5:$E$300,$B128,Пул!$I$5:$I$300,"&lt;&gt;")=0,"",ROUND(SUMIFS(Пул!$I$5:$I$300,Пул!$E$5:$E$300,$B128),8)))</f>
        <v/>
      </c>
      <c r="G128" s="246" t="str">
        <f>IF($B128="","",IF(COUNTIFS(Пул!$E$5:$E$300,$B128,Пул!$H$5:$H$300,"&lt;&gt;")=0,"",ROUND(SUMIFS(Пул!$J$5:$J$300,Пул!$E$5:$E$300,$B128),8)))</f>
        <v/>
      </c>
      <c r="H128" s="247" t="str">
        <f>IF($B128="","",IF(COUNTIFS(Пул!$E$5:$E$300,$B128,Пул!$I$5:$I$300,"&lt;&gt;")=0,"",ROUND(SUMIFS(Пул!$K$5:$K$300,Пул!$E$5:$E$300,$B128),8)))</f>
        <v/>
      </c>
      <c r="I128" s="242" t="str">
        <f>IF(AND(ISNUMBER(G128),ISNUMBER(H128)),IF(AND(G128&gt;0,H128&lt;0),"Buy",IF(AND(G128&lt;0,H128&gt;0),"Sell","")),"")</f>
        <v/>
      </c>
      <c r="J128" s="183" t="str">
        <f>IF(I128="Buy",G128,IF(I128="Sell",-G128,""))</f>
        <v/>
      </c>
      <c r="K128" s="183" t="str">
        <f>IF(AND(ISNUMBER(J128),ISNUMBER(L128),N(J128)&lt;&gt;0),ROUND(L128/J128,8),"")</f>
        <v/>
      </c>
      <c r="L128" s="183" t="str">
        <f>IF(I128="Buy",-H128,IF(I128="Sell",H128,""))</f>
        <v/>
      </c>
    </row>
    <row r="129" ht="22" customHeight="1">
      <c r="B129" s="239" t="n"/>
      <c r="C129" s="240" t="str">
        <f>IF($B129="","",IF(COUNTIFS(Пул!$E$5:$E$300,$B129,Пул!$F$5:$F$300,"&lt;&gt;")=0,"",ROUND(SUMIFS(Пул!$F$5:$F$300,Пул!$E$5:$E$300,$B129),8)))</f>
        <v/>
      </c>
      <c r="D129" s="241" t="str">
        <f>IF($B129="","",IF(COUNTIFS(Пул!$E$5:$E$300,$B129,Пул!$G$5:$G$300,"&lt;&gt;")=0,"",ROUND(SUMIFS(Пул!$G$5:$G$300,Пул!$E$5:$E$300,$B129),8)))</f>
        <v/>
      </c>
      <c r="E129" s="240" t="str">
        <f>IF($B129="","",IF(COUNTIFS(Пул!$E$5:$E$300,$B129,Пул!$H$5:$H$300,"&lt;&gt;")=0,"",ROUND(SUMIFS(Пул!$H$5:$H$300,Пул!$E$5:$E$300,$B129),8)))</f>
        <v/>
      </c>
      <c r="F129" s="241" t="str">
        <f>IF($B129="","",IF(COUNTIFS(Пул!$E$5:$E$300,$B129,Пул!$I$5:$I$300,"&lt;&gt;")=0,"",ROUND(SUMIFS(Пул!$I$5:$I$300,Пул!$E$5:$E$300,$B129),8)))</f>
        <v/>
      </c>
      <c r="G129" s="240" t="str">
        <f>IF($B129="","",IF(COUNTIFS(Пул!$E$5:$E$300,$B129,Пул!$H$5:$H$300,"&lt;&gt;")=0,"",ROUND(SUMIFS(Пул!$J$5:$J$300,Пул!$E$5:$E$300,$B129),8)))</f>
        <v/>
      </c>
      <c r="H129" s="241" t="str">
        <f>IF($B129="","",IF(COUNTIFS(Пул!$E$5:$E$300,$B129,Пул!$I$5:$I$300,"&lt;&gt;")=0,"",ROUND(SUMIFS(Пул!$K$5:$K$300,Пул!$E$5:$E$300,$B129),8)))</f>
        <v/>
      </c>
      <c r="I129" s="236" t="str">
        <f>IF(AND(ISNUMBER(G129),ISNUMBER(H129)),IF(AND(G129&gt;0,H129&lt;0),"Buy",IF(AND(G129&lt;0,H129&gt;0),"Sell","")),"")</f>
        <v/>
      </c>
      <c r="J129" s="177" t="str">
        <f>IF(I129="Buy",G129,IF(I129="Sell",-G129,""))</f>
        <v/>
      </c>
      <c r="K129" s="177" t="str">
        <f>IF(AND(ISNUMBER(J129),ISNUMBER(L129),N(J129)&lt;&gt;0),ROUND(L129/J129,8),"")</f>
        <v/>
      </c>
      <c r="L129" s="177" t="str">
        <f>IF(I129="Buy",-H129,IF(I129="Sell",H129,""))</f>
        <v/>
      </c>
    </row>
    <row r="130" ht="22" customHeight="1">
      <c r="B130" s="245" t="n"/>
      <c r="C130" s="246" t="str">
        <f>IF($B130="","",IF(COUNTIFS(Пул!$E$5:$E$300,$B130,Пул!$F$5:$F$300,"&lt;&gt;")=0,"",ROUND(SUMIFS(Пул!$F$5:$F$300,Пул!$E$5:$E$300,$B130),8)))</f>
        <v/>
      </c>
      <c r="D130" s="247" t="str">
        <f>IF($B130="","",IF(COUNTIFS(Пул!$E$5:$E$300,$B130,Пул!$G$5:$G$300,"&lt;&gt;")=0,"",ROUND(SUMIFS(Пул!$G$5:$G$300,Пул!$E$5:$E$300,$B130),8)))</f>
        <v/>
      </c>
      <c r="E130" s="246" t="str">
        <f>IF($B130="","",IF(COUNTIFS(Пул!$E$5:$E$300,$B130,Пул!$H$5:$H$300,"&lt;&gt;")=0,"",ROUND(SUMIFS(Пул!$H$5:$H$300,Пул!$E$5:$E$300,$B130),8)))</f>
        <v/>
      </c>
      <c r="F130" s="247" t="str">
        <f>IF($B130="","",IF(COUNTIFS(Пул!$E$5:$E$300,$B130,Пул!$I$5:$I$300,"&lt;&gt;")=0,"",ROUND(SUMIFS(Пул!$I$5:$I$300,Пул!$E$5:$E$300,$B130),8)))</f>
        <v/>
      </c>
      <c r="G130" s="246" t="str">
        <f>IF($B130="","",IF(COUNTIFS(Пул!$E$5:$E$300,$B130,Пул!$H$5:$H$300,"&lt;&gt;")=0,"",ROUND(SUMIFS(Пул!$J$5:$J$300,Пул!$E$5:$E$300,$B130),8)))</f>
        <v/>
      </c>
      <c r="H130" s="247" t="str">
        <f>IF($B130="","",IF(COUNTIFS(Пул!$E$5:$E$300,$B130,Пул!$I$5:$I$300,"&lt;&gt;")=0,"",ROUND(SUMIFS(Пул!$K$5:$K$300,Пул!$E$5:$E$300,$B130),8)))</f>
        <v/>
      </c>
      <c r="I130" s="242" t="str">
        <f>IF(AND(ISNUMBER(G130),ISNUMBER(H130)),IF(AND(G130&gt;0,H130&lt;0),"Buy",IF(AND(G130&lt;0,H130&gt;0),"Sell","")),"")</f>
        <v/>
      </c>
      <c r="J130" s="183" t="str">
        <f>IF(I130="Buy",G130,IF(I130="Sell",-G130,""))</f>
        <v/>
      </c>
      <c r="K130" s="183" t="str">
        <f>IF(AND(ISNUMBER(J130),ISNUMBER(L130),N(J130)&lt;&gt;0),ROUND(L130/J130,8),"")</f>
        <v/>
      </c>
      <c r="L130" s="183" t="str">
        <f>IF(I130="Buy",-H130,IF(I130="Sell",H130,""))</f>
        <v/>
      </c>
    </row>
    <row r="131" ht="22" customHeight="1">
      <c r="B131" s="239" t="n"/>
      <c r="C131" s="240" t="str">
        <f>IF($B131="","",IF(COUNTIFS(Пул!$E$5:$E$300,$B131,Пул!$F$5:$F$300,"&lt;&gt;")=0,"",ROUND(SUMIFS(Пул!$F$5:$F$300,Пул!$E$5:$E$300,$B131),8)))</f>
        <v/>
      </c>
      <c r="D131" s="241" t="str">
        <f>IF($B131="","",IF(COUNTIFS(Пул!$E$5:$E$300,$B131,Пул!$G$5:$G$300,"&lt;&gt;")=0,"",ROUND(SUMIFS(Пул!$G$5:$G$300,Пул!$E$5:$E$300,$B131),8)))</f>
        <v/>
      </c>
      <c r="E131" s="240" t="str">
        <f>IF($B131="","",IF(COUNTIFS(Пул!$E$5:$E$300,$B131,Пул!$H$5:$H$300,"&lt;&gt;")=0,"",ROUND(SUMIFS(Пул!$H$5:$H$300,Пул!$E$5:$E$300,$B131),8)))</f>
        <v/>
      </c>
      <c r="F131" s="241" t="str">
        <f>IF($B131="","",IF(COUNTIFS(Пул!$E$5:$E$300,$B131,Пул!$I$5:$I$300,"&lt;&gt;")=0,"",ROUND(SUMIFS(Пул!$I$5:$I$300,Пул!$E$5:$E$300,$B131),8)))</f>
        <v/>
      </c>
      <c r="G131" s="240" t="str">
        <f>IF($B131="","",IF(COUNTIFS(Пул!$E$5:$E$300,$B131,Пул!$H$5:$H$300,"&lt;&gt;")=0,"",ROUND(SUMIFS(Пул!$J$5:$J$300,Пул!$E$5:$E$300,$B131),8)))</f>
        <v/>
      </c>
      <c r="H131" s="241" t="str">
        <f>IF($B131="","",IF(COUNTIFS(Пул!$E$5:$E$300,$B131,Пул!$I$5:$I$300,"&lt;&gt;")=0,"",ROUND(SUMIFS(Пул!$K$5:$K$300,Пул!$E$5:$E$300,$B131),8)))</f>
        <v/>
      </c>
      <c r="I131" s="236" t="str">
        <f>IF(AND(ISNUMBER(G131),ISNUMBER(H131)),IF(AND(G131&gt;0,H131&lt;0),"Buy",IF(AND(G131&lt;0,H131&gt;0),"Sell","")),"")</f>
        <v/>
      </c>
      <c r="J131" s="177" t="str">
        <f>IF(I131="Buy",G131,IF(I131="Sell",-G131,""))</f>
        <v/>
      </c>
      <c r="K131" s="177" t="str">
        <f>IF(AND(ISNUMBER(J131),ISNUMBER(L131),N(J131)&lt;&gt;0),ROUND(L131/J131,8),"")</f>
        <v/>
      </c>
      <c r="L131" s="177" t="str">
        <f>IF(I131="Buy",-H131,IF(I131="Sell",H131,""))</f>
        <v/>
      </c>
    </row>
    <row r="132" ht="22" customHeight="1">
      <c r="B132" s="245" t="n"/>
      <c r="C132" s="246" t="str">
        <f>IF($B132="","",IF(COUNTIFS(Пул!$E$5:$E$300,$B132,Пул!$F$5:$F$300,"&lt;&gt;")=0,"",ROUND(SUMIFS(Пул!$F$5:$F$300,Пул!$E$5:$E$300,$B132),8)))</f>
        <v/>
      </c>
      <c r="D132" s="247" t="str">
        <f>IF($B132="","",IF(COUNTIFS(Пул!$E$5:$E$300,$B132,Пул!$G$5:$G$300,"&lt;&gt;")=0,"",ROUND(SUMIFS(Пул!$G$5:$G$300,Пул!$E$5:$E$300,$B132),8)))</f>
        <v/>
      </c>
      <c r="E132" s="246" t="str">
        <f>IF($B132="","",IF(COUNTIFS(Пул!$E$5:$E$300,$B132,Пул!$H$5:$H$300,"&lt;&gt;")=0,"",ROUND(SUMIFS(Пул!$H$5:$H$300,Пул!$E$5:$E$300,$B132),8)))</f>
        <v/>
      </c>
      <c r="F132" s="247" t="str">
        <f>IF($B132="","",IF(COUNTIFS(Пул!$E$5:$E$300,$B132,Пул!$I$5:$I$300,"&lt;&gt;")=0,"",ROUND(SUMIFS(Пул!$I$5:$I$300,Пул!$E$5:$E$300,$B132),8)))</f>
        <v/>
      </c>
      <c r="G132" s="246" t="str">
        <f>IF($B132="","",IF(COUNTIFS(Пул!$E$5:$E$300,$B132,Пул!$H$5:$H$300,"&lt;&gt;")=0,"",ROUND(SUMIFS(Пул!$J$5:$J$300,Пул!$E$5:$E$300,$B132),8)))</f>
        <v/>
      </c>
      <c r="H132" s="247" t="str">
        <f>IF($B132="","",IF(COUNTIFS(Пул!$E$5:$E$300,$B132,Пул!$I$5:$I$300,"&lt;&gt;")=0,"",ROUND(SUMIFS(Пул!$K$5:$K$300,Пул!$E$5:$E$300,$B132),8)))</f>
        <v/>
      </c>
      <c r="I132" s="242" t="str">
        <f>IF(AND(ISNUMBER(G132),ISNUMBER(H132)),IF(AND(G132&gt;0,H132&lt;0),"Buy",IF(AND(G132&lt;0,H132&gt;0),"Sell","")),"")</f>
        <v/>
      </c>
      <c r="J132" s="183" t="str">
        <f>IF(I132="Buy",G132,IF(I132="Sell",-G132,""))</f>
        <v/>
      </c>
      <c r="K132" s="183" t="str">
        <f>IF(AND(ISNUMBER(J132),ISNUMBER(L132),N(J132)&lt;&gt;0),ROUND(L132/J132,8),"")</f>
        <v/>
      </c>
      <c r="L132" s="183" t="str">
        <f>IF(I132="Buy",-H132,IF(I132="Sell",H132,""))</f>
        <v/>
      </c>
    </row>
    <row r="133" ht="22" customHeight="1">
      <c r="B133" s="239" t="n"/>
      <c r="C133" s="240" t="str">
        <f>IF($B133="","",IF(COUNTIFS(Пул!$E$5:$E$300,$B133,Пул!$F$5:$F$300,"&lt;&gt;")=0,"",ROUND(SUMIFS(Пул!$F$5:$F$300,Пул!$E$5:$E$300,$B133),8)))</f>
        <v/>
      </c>
      <c r="D133" s="241" t="str">
        <f>IF($B133="","",IF(COUNTIFS(Пул!$E$5:$E$300,$B133,Пул!$G$5:$G$300,"&lt;&gt;")=0,"",ROUND(SUMIFS(Пул!$G$5:$G$300,Пул!$E$5:$E$300,$B133),8)))</f>
        <v/>
      </c>
      <c r="E133" s="240" t="str">
        <f>IF($B133="","",IF(COUNTIFS(Пул!$E$5:$E$300,$B133,Пул!$H$5:$H$300,"&lt;&gt;")=0,"",ROUND(SUMIFS(Пул!$H$5:$H$300,Пул!$E$5:$E$300,$B133),8)))</f>
        <v/>
      </c>
      <c r="F133" s="241" t="str">
        <f>IF($B133="","",IF(COUNTIFS(Пул!$E$5:$E$300,$B133,Пул!$I$5:$I$300,"&lt;&gt;")=0,"",ROUND(SUMIFS(Пул!$I$5:$I$300,Пул!$E$5:$E$300,$B133),8)))</f>
        <v/>
      </c>
      <c r="G133" s="240" t="str">
        <f>IF($B133="","",IF(COUNTIFS(Пул!$E$5:$E$300,$B133,Пул!$H$5:$H$300,"&lt;&gt;")=0,"",ROUND(SUMIFS(Пул!$J$5:$J$300,Пул!$E$5:$E$300,$B133),8)))</f>
        <v/>
      </c>
      <c r="H133" s="241" t="str">
        <f>IF($B133="","",IF(COUNTIFS(Пул!$E$5:$E$300,$B133,Пул!$I$5:$I$300,"&lt;&gt;")=0,"",ROUND(SUMIFS(Пул!$K$5:$K$300,Пул!$E$5:$E$300,$B133),8)))</f>
        <v/>
      </c>
      <c r="I133" s="236" t="str">
        <f>IF(AND(ISNUMBER(G133),ISNUMBER(H133)),IF(AND(G133&gt;0,H133&lt;0),"Buy",IF(AND(G133&lt;0,H133&gt;0),"Sell","")),"")</f>
        <v/>
      </c>
      <c r="J133" s="177" t="str">
        <f>IF(I133="Buy",G133,IF(I133="Sell",-G133,""))</f>
        <v/>
      </c>
      <c r="K133" s="177" t="str">
        <f>IF(AND(ISNUMBER(J133),ISNUMBER(L133),N(J133)&lt;&gt;0),ROUND(L133/J133,8),"")</f>
        <v/>
      </c>
      <c r="L133" s="177" t="str">
        <f>IF(I133="Buy",-H133,IF(I133="Sell",H133,""))</f>
        <v/>
      </c>
    </row>
    <row r="134" ht="22" customHeight="1">
      <c r="B134" s="245" t="n"/>
      <c r="C134" s="246" t="str">
        <f>IF($B134="","",IF(COUNTIFS(Пул!$E$5:$E$300,$B134,Пул!$F$5:$F$300,"&lt;&gt;")=0,"",ROUND(SUMIFS(Пул!$F$5:$F$300,Пул!$E$5:$E$300,$B134),8)))</f>
        <v/>
      </c>
      <c r="D134" s="247" t="str">
        <f>IF($B134="","",IF(COUNTIFS(Пул!$E$5:$E$300,$B134,Пул!$G$5:$G$300,"&lt;&gt;")=0,"",ROUND(SUMIFS(Пул!$G$5:$G$300,Пул!$E$5:$E$300,$B134),8)))</f>
        <v/>
      </c>
      <c r="E134" s="246" t="str">
        <f>IF($B134="","",IF(COUNTIFS(Пул!$E$5:$E$300,$B134,Пул!$H$5:$H$300,"&lt;&gt;")=0,"",ROUND(SUMIFS(Пул!$H$5:$H$300,Пул!$E$5:$E$300,$B134),8)))</f>
        <v/>
      </c>
      <c r="F134" s="247" t="str">
        <f>IF($B134="","",IF(COUNTIFS(Пул!$E$5:$E$300,$B134,Пул!$I$5:$I$300,"&lt;&gt;")=0,"",ROUND(SUMIFS(Пул!$I$5:$I$300,Пул!$E$5:$E$300,$B134),8)))</f>
        <v/>
      </c>
      <c r="G134" s="246" t="str">
        <f>IF($B134="","",IF(COUNTIFS(Пул!$E$5:$E$300,$B134,Пул!$H$5:$H$300,"&lt;&gt;")=0,"",ROUND(SUMIFS(Пул!$J$5:$J$300,Пул!$E$5:$E$300,$B134),8)))</f>
        <v/>
      </c>
      <c r="H134" s="247" t="str">
        <f>IF($B134="","",IF(COUNTIFS(Пул!$E$5:$E$300,$B134,Пул!$I$5:$I$300,"&lt;&gt;")=0,"",ROUND(SUMIFS(Пул!$K$5:$K$300,Пул!$E$5:$E$300,$B134),8)))</f>
        <v/>
      </c>
      <c r="I134" s="242" t="str">
        <f>IF(AND(ISNUMBER(G134),ISNUMBER(H134)),IF(AND(G134&gt;0,H134&lt;0),"Buy",IF(AND(G134&lt;0,H134&gt;0),"Sell","")),"")</f>
        <v/>
      </c>
      <c r="J134" s="183" t="str">
        <f>IF(I134="Buy",G134,IF(I134="Sell",-G134,""))</f>
        <v/>
      </c>
      <c r="K134" s="183" t="str">
        <f>IF(AND(ISNUMBER(J134),ISNUMBER(L134),N(J134)&lt;&gt;0),ROUND(L134/J134,8),"")</f>
        <v/>
      </c>
      <c r="L134" s="183" t="str">
        <f>IF(I134="Buy",-H134,IF(I134="Sell",H134,""))</f>
        <v/>
      </c>
    </row>
    <row r="135" ht="22" customHeight="1">
      <c r="B135" s="239" t="n"/>
      <c r="C135" s="240" t="str">
        <f>IF($B135="","",IF(COUNTIFS(Пул!$E$5:$E$300,$B135,Пул!$F$5:$F$300,"&lt;&gt;")=0,"",ROUND(SUMIFS(Пул!$F$5:$F$300,Пул!$E$5:$E$300,$B135),8)))</f>
        <v/>
      </c>
      <c r="D135" s="241" t="str">
        <f>IF($B135="","",IF(COUNTIFS(Пул!$E$5:$E$300,$B135,Пул!$G$5:$G$300,"&lt;&gt;")=0,"",ROUND(SUMIFS(Пул!$G$5:$G$300,Пул!$E$5:$E$300,$B135),8)))</f>
        <v/>
      </c>
      <c r="E135" s="240" t="str">
        <f>IF($B135="","",IF(COUNTIFS(Пул!$E$5:$E$300,$B135,Пул!$H$5:$H$300,"&lt;&gt;")=0,"",ROUND(SUMIFS(Пул!$H$5:$H$300,Пул!$E$5:$E$300,$B135),8)))</f>
        <v/>
      </c>
      <c r="F135" s="241" t="str">
        <f>IF($B135="","",IF(COUNTIFS(Пул!$E$5:$E$300,$B135,Пул!$I$5:$I$300,"&lt;&gt;")=0,"",ROUND(SUMIFS(Пул!$I$5:$I$300,Пул!$E$5:$E$300,$B135),8)))</f>
        <v/>
      </c>
      <c r="G135" s="240" t="str">
        <f>IF($B135="","",IF(COUNTIFS(Пул!$E$5:$E$300,$B135,Пул!$H$5:$H$300,"&lt;&gt;")=0,"",ROUND(SUMIFS(Пул!$J$5:$J$300,Пул!$E$5:$E$300,$B135),8)))</f>
        <v/>
      </c>
      <c r="H135" s="241" t="str">
        <f>IF($B135="","",IF(COUNTIFS(Пул!$E$5:$E$300,$B135,Пул!$I$5:$I$300,"&lt;&gt;")=0,"",ROUND(SUMIFS(Пул!$K$5:$K$300,Пул!$E$5:$E$300,$B135),8)))</f>
        <v/>
      </c>
      <c r="I135" s="236" t="str">
        <f>IF(AND(ISNUMBER(G135),ISNUMBER(H135)),IF(AND(G135&gt;0,H135&lt;0),"Buy",IF(AND(G135&lt;0,H135&gt;0),"Sell","")),"")</f>
        <v/>
      </c>
      <c r="J135" s="177" t="str">
        <f>IF(I135="Buy",G135,IF(I135="Sell",-G135,""))</f>
        <v/>
      </c>
      <c r="K135" s="177" t="str">
        <f>IF(AND(ISNUMBER(J135),ISNUMBER(L135),N(J135)&lt;&gt;0),ROUND(L135/J135,8),"")</f>
        <v/>
      </c>
      <c r="L135" s="177" t="str">
        <f>IF(I135="Buy",-H135,IF(I135="Sell",H135,""))</f>
        <v/>
      </c>
    </row>
    <row r="136" ht="22" customHeight="1">
      <c r="B136" s="245" t="n"/>
      <c r="C136" s="246" t="str">
        <f>IF($B136="","",IF(COUNTIFS(Пул!$E$5:$E$300,$B136,Пул!$F$5:$F$300,"&lt;&gt;")=0,"",ROUND(SUMIFS(Пул!$F$5:$F$300,Пул!$E$5:$E$300,$B136),8)))</f>
        <v/>
      </c>
      <c r="D136" s="247" t="str">
        <f>IF($B136="","",IF(COUNTIFS(Пул!$E$5:$E$300,$B136,Пул!$G$5:$G$300,"&lt;&gt;")=0,"",ROUND(SUMIFS(Пул!$G$5:$G$300,Пул!$E$5:$E$300,$B136),8)))</f>
        <v/>
      </c>
      <c r="E136" s="246" t="str">
        <f>IF($B136="","",IF(COUNTIFS(Пул!$E$5:$E$300,$B136,Пул!$H$5:$H$300,"&lt;&gt;")=0,"",ROUND(SUMIFS(Пул!$H$5:$H$300,Пул!$E$5:$E$300,$B136),8)))</f>
        <v/>
      </c>
      <c r="F136" s="247" t="str">
        <f>IF($B136="","",IF(COUNTIFS(Пул!$E$5:$E$300,$B136,Пул!$I$5:$I$300,"&lt;&gt;")=0,"",ROUND(SUMIFS(Пул!$I$5:$I$300,Пул!$E$5:$E$300,$B136),8)))</f>
        <v/>
      </c>
      <c r="G136" s="246" t="str">
        <f>IF($B136="","",IF(COUNTIFS(Пул!$E$5:$E$300,$B136,Пул!$H$5:$H$300,"&lt;&gt;")=0,"",ROUND(SUMIFS(Пул!$J$5:$J$300,Пул!$E$5:$E$300,$B136),8)))</f>
        <v/>
      </c>
      <c r="H136" s="247" t="str">
        <f>IF($B136="","",IF(COUNTIFS(Пул!$E$5:$E$300,$B136,Пул!$I$5:$I$300,"&lt;&gt;")=0,"",ROUND(SUMIFS(Пул!$K$5:$K$300,Пул!$E$5:$E$300,$B136),8)))</f>
        <v/>
      </c>
      <c r="I136" s="242" t="str">
        <f>IF(AND(ISNUMBER(G136),ISNUMBER(H136)),IF(AND(G136&gt;0,H136&lt;0),"Buy",IF(AND(G136&lt;0,H136&gt;0),"Sell","")),"")</f>
        <v/>
      </c>
      <c r="J136" s="183" t="str">
        <f>IF(I136="Buy",G136,IF(I136="Sell",-G136,""))</f>
        <v/>
      </c>
      <c r="K136" s="183" t="str">
        <f>IF(AND(ISNUMBER(J136),ISNUMBER(L136),N(J136)&lt;&gt;0),ROUND(L136/J136,8),"")</f>
        <v/>
      </c>
      <c r="L136" s="183" t="str">
        <f>IF(I136="Buy",-H136,IF(I136="Sell",H136,""))</f>
        <v/>
      </c>
    </row>
    <row r="137" ht="22" customHeight="1">
      <c r="B137" s="239" t="n"/>
      <c r="C137" s="240" t="str">
        <f>IF($B137="","",IF(COUNTIFS(Пул!$E$5:$E$300,$B137,Пул!$F$5:$F$300,"&lt;&gt;")=0,"",ROUND(SUMIFS(Пул!$F$5:$F$300,Пул!$E$5:$E$300,$B137),8)))</f>
        <v/>
      </c>
      <c r="D137" s="241" t="str">
        <f>IF($B137="","",IF(COUNTIFS(Пул!$E$5:$E$300,$B137,Пул!$G$5:$G$300,"&lt;&gt;")=0,"",ROUND(SUMIFS(Пул!$G$5:$G$300,Пул!$E$5:$E$300,$B137),8)))</f>
        <v/>
      </c>
      <c r="E137" s="240" t="str">
        <f>IF($B137="","",IF(COUNTIFS(Пул!$E$5:$E$300,$B137,Пул!$H$5:$H$300,"&lt;&gt;")=0,"",ROUND(SUMIFS(Пул!$H$5:$H$300,Пул!$E$5:$E$300,$B137),8)))</f>
        <v/>
      </c>
      <c r="F137" s="241" t="str">
        <f>IF($B137="","",IF(COUNTIFS(Пул!$E$5:$E$300,$B137,Пул!$I$5:$I$300,"&lt;&gt;")=0,"",ROUND(SUMIFS(Пул!$I$5:$I$300,Пул!$E$5:$E$300,$B137),8)))</f>
        <v/>
      </c>
      <c r="G137" s="240" t="str">
        <f>IF($B137="","",IF(COUNTIFS(Пул!$E$5:$E$300,$B137,Пул!$H$5:$H$300,"&lt;&gt;")=0,"",ROUND(SUMIFS(Пул!$J$5:$J$300,Пул!$E$5:$E$300,$B137),8)))</f>
        <v/>
      </c>
      <c r="H137" s="241" t="str">
        <f>IF($B137="","",IF(COUNTIFS(Пул!$E$5:$E$300,$B137,Пул!$I$5:$I$300,"&lt;&gt;")=0,"",ROUND(SUMIFS(Пул!$K$5:$K$300,Пул!$E$5:$E$300,$B137),8)))</f>
        <v/>
      </c>
      <c r="I137" s="236" t="str">
        <f>IF(AND(ISNUMBER(G137),ISNUMBER(H137)),IF(AND(G137&gt;0,H137&lt;0),"Buy",IF(AND(G137&lt;0,H137&gt;0),"Sell","")),"")</f>
        <v/>
      </c>
      <c r="J137" s="177" t="str">
        <f>IF(I137="Buy",G137,IF(I137="Sell",-G137,""))</f>
        <v/>
      </c>
      <c r="K137" s="177" t="str">
        <f>IF(AND(ISNUMBER(J137),ISNUMBER(L137),N(J137)&lt;&gt;0),ROUND(L137/J137,8),"")</f>
        <v/>
      </c>
      <c r="L137" s="177" t="str">
        <f>IF(I137="Buy",-H137,IF(I137="Sell",H137,""))</f>
        <v/>
      </c>
    </row>
    <row r="138" ht="22" customHeight="1">
      <c r="B138" s="245" t="n"/>
      <c r="C138" s="246" t="str">
        <f>IF($B138="","",IF(COUNTIFS(Пул!$E$5:$E$300,$B138,Пул!$F$5:$F$300,"&lt;&gt;")=0,"",ROUND(SUMIFS(Пул!$F$5:$F$300,Пул!$E$5:$E$300,$B138),8)))</f>
        <v/>
      </c>
      <c r="D138" s="247" t="str">
        <f>IF($B138="","",IF(COUNTIFS(Пул!$E$5:$E$300,$B138,Пул!$G$5:$G$300,"&lt;&gt;")=0,"",ROUND(SUMIFS(Пул!$G$5:$G$300,Пул!$E$5:$E$300,$B138),8)))</f>
        <v/>
      </c>
      <c r="E138" s="246" t="str">
        <f>IF($B138="","",IF(COUNTIFS(Пул!$E$5:$E$300,$B138,Пул!$H$5:$H$300,"&lt;&gt;")=0,"",ROUND(SUMIFS(Пул!$H$5:$H$300,Пул!$E$5:$E$300,$B138),8)))</f>
        <v/>
      </c>
      <c r="F138" s="247" t="str">
        <f>IF($B138="","",IF(COUNTIFS(Пул!$E$5:$E$300,$B138,Пул!$I$5:$I$300,"&lt;&gt;")=0,"",ROUND(SUMIFS(Пул!$I$5:$I$300,Пул!$E$5:$E$300,$B138),8)))</f>
        <v/>
      </c>
      <c r="G138" s="246" t="str">
        <f>IF($B138="","",IF(COUNTIFS(Пул!$E$5:$E$300,$B138,Пул!$H$5:$H$300,"&lt;&gt;")=0,"",ROUND(SUMIFS(Пул!$J$5:$J$300,Пул!$E$5:$E$300,$B138),8)))</f>
        <v/>
      </c>
      <c r="H138" s="247" t="str">
        <f>IF($B138="","",IF(COUNTIFS(Пул!$E$5:$E$300,$B138,Пул!$I$5:$I$300,"&lt;&gt;")=0,"",ROUND(SUMIFS(Пул!$K$5:$K$300,Пул!$E$5:$E$300,$B138),8)))</f>
        <v/>
      </c>
      <c r="I138" s="242" t="str">
        <f>IF(AND(ISNUMBER(G138),ISNUMBER(H138)),IF(AND(G138&gt;0,H138&lt;0),"Buy",IF(AND(G138&lt;0,H138&gt;0),"Sell","")),"")</f>
        <v/>
      </c>
      <c r="J138" s="183" t="str">
        <f>IF(I138="Buy",G138,IF(I138="Sell",-G138,""))</f>
        <v/>
      </c>
      <c r="K138" s="183" t="str">
        <f>IF(AND(ISNUMBER(J138),ISNUMBER(L138),N(J138)&lt;&gt;0),ROUND(L138/J138,8),"")</f>
        <v/>
      </c>
      <c r="L138" s="183" t="str">
        <f>IF(I138="Buy",-H138,IF(I138="Sell",H138,""))</f>
        <v/>
      </c>
    </row>
    <row r="139" ht="22" customHeight="1">
      <c r="B139" s="239" t="n"/>
      <c r="C139" s="240" t="str">
        <f>IF($B139="","",IF(COUNTIFS(Пул!$E$5:$E$300,$B139,Пул!$F$5:$F$300,"&lt;&gt;")=0,"",ROUND(SUMIFS(Пул!$F$5:$F$300,Пул!$E$5:$E$300,$B139),8)))</f>
        <v/>
      </c>
      <c r="D139" s="241" t="str">
        <f>IF($B139="","",IF(COUNTIFS(Пул!$E$5:$E$300,$B139,Пул!$G$5:$G$300,"&lt;&gt;")=0,"",ROUND(SUMIFS(Пул!$G$5:$G$300,Пул!$E$5:$E$300,$B139),8)))</f>
        <v/>
      </c>
      <c r="E139" s="240" t="str">
        <f>IF($B139="","",IF(COUNTIFS(Пул!$E$5:$E$300,$B139,Пул!$H$5:$H$300,"&lt;&gt;")=0,"",ROUND(SUMIFS(Пул!$H$5:$H$300,Пул!$E$5:$E$300,$B139),8)))</f>
        <v/>
      </c>
      <c r="F139" s="241" t="str">
        <f>IF($B139="","",IF(COUNTIFS(Пул!$E$5:$E$300,$B139,Пул!$I$5:$I$300,"&lt;&gt;")=0,"",ROUND(SUMIFS(Пул!$I$5:$I$300,Пул!$E$5:$E$300,$B139),8)))</f>
        <v/>
      </c>
      <c r="G139" s="240" t="str">
        <f>IF($B139="","",IF(COUNTIFS(Пул!$E$5:$E$300,$B139,Пул!$H$5:$H$300,"&lt;&gt;")=0,"",ROUND(SUMIFS(Пул!$J$5:$J$300,Пул!$E$5:$E$300,$B139),8)))</f>
        <v/>
      </c>
      <c r="H139" s="241" t="str">
        <f>IF($B139="","",IF(COUNTIFS(Пул!$E$5:$E$300,$B139,Пул!$I$5:$I$300,"&lt;&gt;")=0,"",ROUND(SUMIFS(Пул!$K$5:$K$300,Пул!$E$5:$E$300,$B139),8)))</f>
        <v/>
      </c>
      <c r="I139" s="236" t="str">
        <f>IF(AND(ISNUMBER(G139),ISNUMBER(H139)),IF(AND(G139&gt;0,H139&lt;0),"Buy",IF(AND(G139&lt;0,H139&gt;0),"Sell","")),"")</f>
        <v/>
      </c>
      <c r="J139" s="177" t="str">
        <f>IF(I139="Buy",G139,IF(I139="Sell",-G139,""))</f>
        <v/>
      </c>
      <c r="K139" s="177" t="str">
        <f>IF(AND(ISNUMBER(J139),ISNUMBER(L139),N(J139)&lt;&gt;0),ROUND(L139/J139,8),"")</f>
        <v/>
      </c>
      <c r="L139" s="177" t="str">
        <f>IF(I139="Buy",-H139,IF(I139="Sell",H139,""))</f>
        <v/>
      </c>
    </row>
    <row r="140" ht="22" customHeight="1">
      <c r="B140" s="245" t="n"/>
      <c r="C140" s="246" t="str">
        <f>IF($B140="","",IF(COUNTIFS(Пул!$E$5:$E$300,$B140,Пул!$F$5:$F$300,"&lt;&gt;")=0,"",ROUND(SUMIFS(Пул!$F$5:$F$300,Пул!$E$5:$E$300,$B140),8)))</f>
        <v/>
      </c>
      <c r="D140" s="247" t="str">
        <f>IF($B140="","",IF(COUNTIFS(Пул!$E$5:$E$300,$B140,Пул!$G$5:$G$300,"&lt;&gt;")=0,"",ROUND(SUMIFS(Пул!$G$5:$G$300,Пул!$E$5:$E$300,$B140),8)))</f>
        <v/>
      </c>
      <c r="E140" s="246" t="str">
        <f>IF($B140="","",IF(COUNTIFS(Пул!$E$5:$E$300,$B140,Пул!$H$5:$H$300,"&lt;&gt;")=0,"",ROUND(SUMIFS(Пул!$H$5:$H$300,Пул!$E$5:$E$300,$B140),8)))</f>
        <v/>
      </c>
      <c r="F140" s="247" t="str">
        <f>IF($B140="","",IF(COUNTIFS(Пул!$E$5:$E$300,$B140,Пул!$I$5:$I$300,"&lt;&gt;")=0,"",ROUND(SUMIFS(Пул!$I$5:$I$300,Пул!$E$5:$E$300,$B140),8)))</f>
        <v/>
      </c>
      <c r="G140" s="246" t="str">
        <f>IF($B140="","",IF(COUNTIFS(Пул!$E$5:$E$300,$B140,Пул!$H$5:$H$300,"&lt;&gt;")=0,"",ROUND(SUMIFS(Пул!$J$5:$J$300,Пул!$E$5:$E$300,$B140),8)))</f>
        <v/>
      </c>
      <c r="H140" s="247" t="str">
        <f>IF($B140="","",IF(COUNTIFS(Пул!$E$5:$E$300,$B140,Пул!$I$5:$I$300,"&lt;&gt;")=0,"",ROUND(SUMIFS(Пул!$K$5:$K$300,Пул!$E$5:$E$300,$B140),8)))</f>
        <v/>
      </c>
      <c r="I140" s="242" t="str">
        <f>IF(AND(ISNUMBER(G140),ISNUMBER(H140)),IF(AND(G140&gt;0,H140&lt;0),"Buy",IF(AND(G140&lt;0,H140&gt;0),"Sell","")),"")</f>
        <v/>
      </c>
      <c r="J140" s="183" t="str">
        <f>IF(I140="Buy",G140,IF(I140="Sell",-G140,""))</f>
        <v/>
      </c>
      <c r="K140" s="183" t="str">
        <f>IF(AND(ISNUMBER(J140),ISNUMBER(L140),N(J140)&lt;&gt;0),ROUND(L140/J140,8),"")</f>
        <v/>
      </c>
      <c r="L140" s="183" t="str">
        <f>IF(I140="Buy",-H140,IF(I140="Sell",H140,""))</f>
        <v/>
      </c>
    </row>
    <row r="141" ht="22" customHeight="1">
      <c r="B141" s="239" t="n"/>
      <c r="C141" s="240" t="str">
        <f>IF($B141="","",IF(COUNTIFS(Пул!$E$5:$E$300,$B141,Пул!$F$5:$F$300,"&lt;&gt;")=0,"",ROUND(SUMIFS(Пул!$F$5:$F$300,Пул!$E$5:$E$300,$B141),8)))</f>
        <v/>
      </c>
      <c r="D141" s="241" t="str">
        <f>IF($B141="","",IF(COUNTIFS(Пул!$E$5:$E$300,$B141,Пул!$G$5:$G$300,"&lt;&gt;")=0,"",ROUND(SUMIFS(Пул!$G$5:$G$300,Пул!$E$5:$E$300,$B141),8)))</f>
        <v/>
      </c>
      <c r="E141" s="240" t="str">
        <f>IF($B141="","",IF(COUNTIFS(Пул!$E$5:$E$300,$B141,Пул!$H$5:$H$300,"&lt;&gt;")=0,"",ROUND(SUMIFS(Пул!$H$5:$H$300,Пул!$E$5:$E$300,$B141),8)))</f>
        <v/>
      </c>
      <c r="F141" s="241" t="str">
        <f>IF($B141="","",IF(COUNTIFS(Пул!$E$5:$E$300,$B141,Пул!$I$5:$I$300,"&lt;&gt;")=0,"",ROUND(SUMIFS(Пул!$I$5:$I$300,Пул!$E$5:$E$300,$B141),8)))</f>
        <v/>
      </c>
      <c r="G141" s="240" t="str">
        <f>IF($B141="","",IF(COUNTIFS(Пул!$E$5:$E$300,$B141,Пул!$H$5:$H$300,"&lt;&gt;")=0,"",ROUND(SUMIFS(Пул!$J$5:$J$300,Пул!$E$5:$E$300,$B141),8)))</f>
        <v/>
      </c>
      <c r="H141" s="241" t="str">
        <f>IF($B141="","",IF(COUNTIFS(Пул!$E$5:$E$300,$B141,Пул!$I$5:$I$300,"&lt;&gt;")=0,"",ROUND(SUMIFS(Пул!$K$5:$K$300,Пул!$E$5:$E$300,$B141),8)))</f>
        <v/>
      </c>
      <c r="I141" s="236" t="str">
        <f>IF(AND(ISNUMBER(G141),ISNUMBER(H141)),IF(AND(G141&gt;0,H141&lt;0),"Buy",IF(AND(G141&lt;0,H141&gt;0),"Sell","")),"")</f>
        <v/>
      </c>
      <c r="J141" s="177" t="str">
        <f>IF(I141="Buy",G141,IF(I141="Sell",-G141,""))</f>
        <v/>
      </c>
      <c r="K141" s="177" t="str">
        <f>IF(AND(ISNUMBER(J141),ISNUMBER(L141),N(J141)&lt;&gt;0),ROUND(L141/J141,8),"")</f>
        <v/>
      </c>
      <c r="L141" s="177" t="str">
        <f>IF(I141="Buy",-H141,IF(I141="Sell",H141,""))</f>
        <v/>
      </c>
    </row>
    <row r="142" ht="22" customHeight="1">
      <c r="B142" s="245" t="n"/>
      <c r="C142" s="246" t="str">
        <f>IF($B142="","",IF(COUNTIFS(Пул!$E$5:$E$300,$B142,Пул!$F$5:$F$300,"&lt;&gt;")=0,"",ROUND(SUMIFS(Пул!$F$5:$F$300,Пул!$E$5:$E$300,$B142),8)))</f>
        <v/>
      </c>
      <c r="D142" s="247" t="str">
        <f>IF($B142="","",IF(COUNTIFS(Пул!$E$5:$E$300,$B142,Пул!$G$5:$G$300,"&lt;&gt;")=0,"",ROUND(SUMIFS(Пул!$G$5:$G$300,Пул!$E$5:$E$300,$B142),8)))</f>
        <v/>
      </c>
      <c r="E142" s="246" t="str">
        <f>IF($B142="","",IF(COUNTIFS(Пул!$E$5:$E$300,$B142,Пул!$H$5:$H$300,"&lt;&gt;")=0,"",ROUND(SUMIFS(Пул!$H$5:$H$300,Пул!$E$5:$E$300,$B142),8)))</f>
        <v/>
      </c>
      <c r="F142" s="247" t="str">
        <f>IF($B142="","",IF(COUNTIFS(Пул!$E$5:$E$300,$B142,Пул!$I$5:$I$300,"&lt;&gt;")=0,"",ROUND(SUMIFS(Пул!$I$5:$I$300,Пул!$E$5:$E$300,$B142),8)))</f>
        <v/>
      </c>
      <c r="G142" s="246" t="str">
        <f>IF($B142="","",IF(COUNTIFS(Пул!$E$5:$E$300,$B142,Пул!$H$5:$H$300,"&lt;&gt;")=0,"",ROUND(SUMIFS(Пул!$J$5:$J$300,Пул!$E$5:$E$300,$B142),8)))</f>
        <v/>
      </c>
      <c r="H142" s="247" t="str">
        <f>IF($B142="","",IF(COUNTIFS(Пул!$E$5:$E$300,$B142,Пул!$I$5:$I$300,"&lt;&gt;")=0,"",ROUND(SUMIFS(Пул!$K$5:$K$300,Пул!$E$5:$E$300,$B142),8)))</f>
        <v/>
      </c>
      <c r="I142" s="242" t="str">
        <f>IF(AND(ISNUMBER(G142),ISNUMBER(H142)),IF(AND(G142&gt;0,H142&lt;0),"Buy",IF(AND(G142&lt;0,H142&gt;0),"Sell","")),"")</f>
        <v/>
      </c>
      <c r="J142" s="183" t="str">
        <f>IF(I142="Buy",G142,IF(I142="Sell",-G142,""))</f>
        <v/>
      </c>
      <c r="K142" s="183" t="str">
        <f>IF(AND(ISNUMBER(J142),ISNUMBER(L142),N(J142)&lt;&gt;0),ROUND(L142/J142,8),"")</f>
        <v/>
      </c>
      <c r="L142" s="183" t="str">
        <f>IF(I142="Buy",-H142,IF(I142="Sell",H142,""))</f>
        <v/>
      </c>
    </row>
    <row r="143" ht="22" customHeight="1">
      <c r="B143" s="239" t="n"/>
      <c r="C143" s="240" t="str">
        <f>IF($B143="","",IF(COUNTIFS(Пул!$E$5:$E$300,$B143,Пул!$F$5:$F$300,"&lt;&gt;")=0,"",ROUND(SUMIFS(Пул!$F$5:$F$300,Пул!$E$5:$E$300,$B143),8)))</f>
        <v/>
      </c>
      <c r="D143" s="241" t="str">
        <f>IF($B143="","",IF(COUNTIFS(Пул!$E$5:$E$300,$B143,Пул!$G$5:$G$300,"&lt;&gt;")=0,"",ROUND(SUMIFS(Пул!$G$5:$G$300,Пул!$E$5:$E$300,$B143),8)))</f>
        <v/>
      </c>
      <c r="E143" s="240" t="str">
        <f>IF($B143="","",IF(COUNTIFS(Пул!$E$5:$E$300,$B143,Пул!$H$5:$H$300,"&lt;&gt;")=0,"",ROUND(SUMIFS(Пул!$H$5:$H$300,Пул!$E$5:$E$300,$B143),8)))</f>
        <v/>
      </c>
      <c r="F143" s="241" t="str">
        <f>IF($B143="","",IF(COUNTIFS(Пул!$E$5:$E$300,$B143,Пул!$I$5:$I$300,"&lt;&gt;")=0,"",ROUND(SUMIFS(Пул!$I$5:$I$300,Пул!$E$5:$E$300,$B143),8)))</f>
        <v/>
      </c>
      <c r="G143" s="240" t="str">
        <f>IF($B143="","",IF(COUNTIFS(Пул!$E$5:$E$300,$B143,Пул!$H$5:$H$300,"&lt;&gt;")=0,"",ROUND(SUMIFS(Пул!$J$5:$J$300,Пул!$E$5:$E$300,$B143),8)))</f>
        <v/>
      </c>
      <c r="H143" s="241" t="str">
        <f>IF($B143="","",IF(COUNTIFS(Пул!$E$5:$E$300,$B143,Пул!$I$5:$I$300,"&lt;&gt;")=0,"",ROUND(SUMIFS(Пул!$K$5:$K$300,Пул!$E$5:$E$300,$B143),8)))</f>
        <v/>
      </c>
      <c r="I143" s="236" t="str">
        <f>IF(AND(ISNUMBER(G143),ISNUMBER(H143)),IF(AND(G143&gt;0,H143&lt;0),"Buy",IF(AND(G143&lt;0,H143&gt;0),"Sell","")),"")</f>
        <v/>
      </c>
      <c r="J143" s="177" t="str">
        <f>IF(I143="Buy",G143,IF(I143="Sell",-G143,""))</f>
        <v/>
      </c>
      <c r="K143" s="177" t="str">
        <f>IF(AND(ISNUMBER(J143),ISNUMBER(L143),N(J143)&lt;&gt;0),ROUND(L143/J143,8),"")</f>
        <v/>
      </c>
      <c r="L143" s="177" t="str">
        <f>IF(I143="Buy",-H143,IF(I143="Sell",H143,""))</f>
        <v/>
      </c>
    </row>
    <row r="144" ht="22" customHeight="1">
      <c r="B144" s="245" t="n"/>
      <c r="C144" s="246" t="str">
        <f>IF($B144="","",IF(COUNTIFS(Пул!$E$5:$E$300,$B144,Пул!$F$5:$F$300,"&lt;&gt;")=0,"",ROUND(SUMIFS(Пул!$F$5:$F$300,Пул!$E$5:$E$300,$B144),8)))</f>
        <v/>
      </c>
      <c r="D144" s="247" t="str">
        <f>IF($B144="","",IF(COUNTIFS(Пул!$E$5:$E$300,$B144,Пул!$G$5:$G$300,"&lt;&gt;")=0,"",ROUND(SUMIFS(Пул!$G$5:$G$300,Пул!$E$5:$E$300,$B144),8)))</f>
        <v/>
      </c>
      <c r="E144" s="246" t="str">
        <f>IF($B144="","",IF(COUNTIFS(Пул!$E$5:$E$300,$B144,Пул!$H$5:$H$300,"&lt;&gt;")=0,"",ROUND(SUMIFS(Пул!$H$5:$H$300,Пул!$E$5:$E$300,$B144),8)))</f>
        <v/>
      </c>
      <c r="F144" s="247" t="str">
        <f>IF($B144="","",IF(COUNTIFS(Пул!$E$5:$E$300,$B144,Пул!$I$5:$I$300,"&lt;&gt;")=0,"",ROUND(SUMIFS(Пул!$I$5:$I$300,Пул!$E$5:$E$300,$B144),8)))</f>
        <v/>
      </c>
      <c r="G144" s="246" t="str">
        <f>IF($B144="","",IF(COUNTIFS(Пул!$E$5:$E$300,$B144,Пул!$H$5:$H$300,"&lt;&gt;")=0,"",ROUND(SUMIFS(Пул!$J$5:$J$300,Пул!$E$5:$E$300,$B144),8)))</f>
        <v/>
      </c>
      <c r="H144" s="247" t="str">
        <f>IF($B144="","",IF(COUNTIFS(Пул!$E$5:$E$300,$B144,Пул!$I$5:$I$300,"&lt;&gt;")=0,"",ROUND(SUMIFS(Пул!$K$5:$K$300,Пул!$E$5:$E$300,$B144),8)))</f>
        <v/>
      </c>
      <c r="I144" s="242" t="str">
        <f>IF(AND(ISNUMBER(G144),ISNUMBER(H144)),IF(AND(G144&gt;0,H144&lt;0),"Buy",IF(AND(G144&lt;0,H144&gt;0),"Sell","")),"")</f>
        <v/>
      </c>
      <c r="J144" s="183" t="str">
        <f>IF(I144="Buy",G144,IF(I144="Sell",-G144,""))</f>
        <v/>
      </c>
      <c r="K144" s="183" t="str">
        <f>IF(AND(ISNUMBER(J144),ISNUMBER(L144),N(J144)&lt;&gt;0),ROUND(L144/J144,8),"")</f>
        <v/>
      </c>
      <c r="L144" s="183" t="str">
        <f>IF(I144="Buy",-H144,IF(I144="Sell",H144,""))</f>
        <v/>
      </c>
    </row>
    <row r="145" ht="22" customHeight="1">
      <c r="B145" s="239" t="n"/>
      <c r="C145" s="240" t="str">
        <f>IF($B145="","",IF(COUNTIFS(Пул!$E$5:$E$300,$B145,Пул!$F$5:$F$300,"&lt;&gt;")=0,"",ROUND(SUMIFS(Пул!$F$5:$F$300,Пул!$E$5:$E$300,$B145),8)))</f>
        <v/>
      </c>
      <c r="D145" s="241" t="str">
        <f>IF($B145="","",IF(COUNTIFS(Пул!$E$5:$E$300,$B145,Пул!$G$5:$G$300,"&lt;&gt;")=0,"",ROUND(SUMIFS(Пул!$G$5:$G$300,Пул!$E$5:$E$300,$B145),8)))</f>
        <v/>
      </c>
      <c r="E145" s="240" t="str">
        <f>IF($B145="","",IF(COUNTIFS(Пул!$E$5:$E$300,$B145,Пул!$H$5:$H$300,"&lt;&gt;")=0,"",ROUND(SUMIFS(Пул!$H$5:$H$300,Пул!$E$5:$E$300,$B145),8)))</f>
        <v/>
      </c>
      <c r="F145" s="241" t="str">
        <f>IF($B145="","",IF(COUNTIFS(Пул!$E$5:$E$300,$B145,Пул!$I$5:$I$300,"&lt;&gt;")=0,"",ROUND(SUMIFS(Пул!$I$5:$I$300,Пул!$E$5:$E$300,$B145),8)))</f>
        <v/>
      </c>
      <c r="G145" s="240" t="str">
        <f>IF($B145="","",IF(COUNTIFS(Пул!$E$5:$E$300,$B145,Пул!$H$5:$H$300,"&lt;&gt;")=0,"",ROUND(SUMIFS(Пул!$J$5:$J$300,Пул!$E$5:$E$300,$B145),8)))</f>
        <v/>
      </c>
      <c r="H145" s="241" t="str">
        <f>IF($B145="","",IF(COUNTIFS(Пул!$E$5:$E$300,$B145,Пул!$I$5:$I$300,"&lt;&gt;")=0,"",ROUND(SUMIFS(Пул!$K$5:$K$300,Пул!$E$5:$E$300,$B145),8)))</f>
        <v/>
      </c>
      <c r="I145" s="236" t="str">
        <f>IF(AND(ISNUMBER(G145),ISNUMBER(H145)),IF(AND(G145&gt;0,H145&lt;0),"Buy",IF(AND(G145&lt;0,H145&gt;0),"Sell","")),"")</f>
        <v/>
      </c>
      <c r="J145" s="177" t="str">
        <f>IF(I145="Buy",G145,IF(I145="Sell",-G145,""))</f>
        <v/>
      </c>
      <c r="K145" s="177" t="str">
        <f>IF(AND(ISNUMBER(J145),ISNUMBER(L145),N(J145)&lt;&gt;0),ROUND(L145/J145,8),"")</f>
        <v/>
      </c>
      <c r="L145" s="177" t="str">
        <f>IF(I145="Buy",-H145,IF(I145="Sell",H145,""))</f>
        <v/>
      </c>
    </row>
    <row r="146" ht="22" customHeight="1">
      <c r="B146" s="245" t="n"/>
      <c r="C146" s="246" t="str">
        <f>IF($B146="","",IF(COUNTIFS(Пул!$E$5:$E$300,$B146,Пул!$F$5:$F$300,"&lt;&gt;")=0,"",ROUND(SUMIFS(Пул!$F$5:$F$300,Пул!$E$5:$E$300,$B146),8)))</f>
        <v/>
      </c>
      <c r="D146" s="247" t="str">
        <f>IF($B146="","",IF(COUNTIFS(Пул!$E$5:$E$300,$B146,Пул!$G$5:$G$300,"&lt;&gt;")=0,"",ROUND(SUMIFS(Пул!$G$5:$G$300,Пул!$E$5:$E$300,$B146),8)))</f>
        <v/>
      </c>
      <c r="E146" s="246" t="str">
        <f>IF($B146="","",IF(COUNTIFS(Пул!$E$5:$E$300,$B146,Пул!$H$5:$H$300,"&lt;&gt;")=0,"",ROUND(SUMIFS(Пул!$H$5:$H$300,Пул!$E$5:$E$300,$B146),8)))</f>
        <v/>
      </c>
      <c r="F146" s="247" t="str">
        <f>IF($B146="","",IF(COUNTIFS(Пул!$E$5:$E$300,$B146,Пул!$I$5:$I$300,"&lt;&gt;")=0,"",ROUND(SUMIFS(Пул!$I$5:$I$300,Пул!$E$5:$E$300,$B146),8)))</f>
        <v/>
      </c>
      <c r="G146" s="246" t="str">
        <f>IF($B146="","",IF(COUNTIFS(Пул!$E$5:$E$300,$B146,Пул!$H$5:$H$300,"&lt;&gt;")=0,"",ROUND(SUMIFS(Пул!$J$5:$J$300,Пул!$E$5:$E$300,$B146),8)))</f>
        <v/>
      </c>
      <c r="H146" s="247" t="str">
        <f>IF($B146="","",IF(COUNTIFS(Пул!$E$5:$E$300,$B146,Пул!$I$5:$I$300,"&lt;&gt;")=0,"",ROUND(SUMIFS(Пул!$K$5:$K$300,Пул!$E$5:$E$300,$B146),8)))</f>
        <v/>
      </c>
      <c r="I146" s="242" t="str">
        <f>IF(AND(ISNUMBER(G146),ISNUMBER(H146)),IF(AND(G146&gt;0,H146&lt;0),"Buy",IF(AND(G146&lt;0,H146&gt;0),"Sell","")),"")</f>
        <v/>
      </c>
      <c r="J146" s="183" t="str">
        <f>IF(I146="Buy",G146,IF(I146="Sell",-G146,""))</f>
        <v/>
      </c>
      <c r="K146" s="183" t="str">
        <f>IF(AND(ISNUMBER(J146),ISNUMBER(L146),N(J146)&lt;&gt;0),ROUND(L146/J146,8),"")</f>
        <v/>
      </c>
      <c r="L146" s="183" t="str">
        <f>IF(I146="Buy",-H146,IF(I146="Sell",H146,""))</f>
        <v/>
      </c>
    </row>
    <row r="147" ht="22" customHeight="1">
      <c r="B147" s="239" t="n"/>
      <c r="C147" s="240" t="str">
        <f>IF($B147="","",IF(COUNTIFS(Пул!$E$5:$E$300,$B147,Пул!$F$5:$F$300,"&lt;&gt;")=0,"",ROUND(SUMIFS(Пул!$F$5:$F$300,Пул!$E$5:$E$300,$B147),8)))</f>
        <v/>
      </c>
      <c r="D147" s="241" t="str">
        <f>IF($B147="","",IF(COUNTIFS(Пул!$E$5:$E$300,$B147,Пул!$G$5:$G$300,"&lt;&gt;")=0,"",ROUND(SUMIFS(Пул!$G$5:$G$300,Пул!$E$5:$E$300,$B147),8)))</f>
        <v/>
      </c>
      <c r="E147" s="240" t="str">
        <f>IF($B147="","",IF(COUNTIFS(Пул!$E$5:$E$300,$B147,Пул!$H$5:$H$300,"&lt;&gt;")=0,"",ROUND(SUMIFS(Пул!$H$5:$H$300,Пул!$E$5:$E$300,$B147),8)))</f>
        <v/>
      </c>
      <c r="F147" s="241" t="str">
        <f>IF($B147="","",IF(COUNTIFS(Пул!$E$5:$E$300,$B147,Пул!$I$5:$I$300,"&lt;&gt;")=0,"",ROUND(SUMIFS(Пул!$I$5:$I$300,Пул!$E$5:$E$300,$B147),8)))</f>
        <v/>
      </c>
      <c r="G147" s="240" t="str">
        <f>IF($B147="","",IF(COUNTIFS(Пул!$E$5:$E$300,$B147,Пул!$H$5:$H$300,"&lt;&gt;")=0,"",ROUND(SUMIFS(Пул!$J$5:$J$300,Пул!$E$5:$E$300,$B147),8)))</f>
        <v/>
      </c>
      <c r="H147" s="241" t="str">
        <f>IF($B147="","",IF(COUNTIFS(Пул!$E$5:$E$300,$B147,Пул!$I$5:$I$300,"&lt;&gt;")=0,"",ROUND(SUMIFS(Пул!$K$5:$K$300,Пул!$E$5:$E$300,$B147),8)))</f>
        <v/>
      </c>
      <c r="I147" s="236" t="str">
        <f>IF(AND(ISNUMBER(G147),ISNUMBER(H147)),IF(AND(G147&gt;0,H147&lt;0),"Buy",IF(AND(G147&lt;0,H147&gt;0),"Sell","")),"")</f>
        <v/>
      </c>
      <c r="J147" s="177" t="str">
        <f>IF(I147="Buy",G147,IF(I147="Sell",-G147,""))</f>
        <v/>
      </c>
      <c r="K147" s="177" t="str">
        <f>IF(AND(ISNUMBER(J147),ISNUMBER(L147),N(J147)&lt;&gt;0),ROUND(L147/J147,8),"")</f>
        <v/>
      </c>
      <c r="L147" s="177" t="str">
        <f>IF(I147="Buy",-H147,IF(I147="Sell",H147,""))</f>
        <v/>
      </c>
    </row>
    <row r="148" ht="22" customHeight="1">
      <c r="B148" s="245" t="n"/>
      <c r="C148" s="246" t="str">
        <f>IF($B148="","",IF(COUNTIFS(Пул!$E$5:$E$300,$B148,Пул!$F$5:$F$300,"&lt;&gt;")=0,"",ROUND(SUMIFS(Пул!$F$5:$F$300,Пул!$E$5:$E$300,$B148),8)))</f>
        <v/>
      </c>
      <c r="D148" s="247" t="str">
        <f>IF($B148="","",IF(COUNTIFS(Пул!$E$5:$E$300,$B148,Пул!$G$5:$G$300,"&lt;&gt;")=0,"",ROUND(SUMIFS(Пул!$G$5:$G$300,Пул!$E$5:$E$300,$B148),8)))</f>
        <v/>
      </c>
      <c r="E148" s="246" t="str">
        <f>IF($B148="","",IF(COUNTIFS(Пул!$E$5:$E$300,$B148,Пул!$H$5:$H$300,"&lt;&gt;")=0,"",ROUND(SUMIFS(Пул!$H$5:$H$300,Пул!$E$5:$E$300,$B148),8)))</f>
        <v/>
      </c>
      <c r="F148" s="247" t="str">
        <f>IF($B148="","",IF(COUNTIFS(Пул!$E$5:$E$300,$B148,Пул!$I$5:$I$300,"&lt;&gt;")=0,"",ROUND(SUMIFS(Пул!$I$5:$I$300,Пул!$E$5:$E$300,$B148),8)))</f>
        <v/>
      </c>
      <c r="G148" s="246" t="str">
        <f>IF($B148="","",IF(COUNTIFS(Пул!$E$5:$E$300,$B148,Пул!$H$5:$H$300,"&lt;&gt;")=0,"",ROUND(SUMIFS(Пул!$J$5:$J$300,Пул!$E$5:$E$300,$B148),8)))</f>
        <v/>
      </c>
      <c r="H148" s="247" t="str">
        <f>IF($B148="","",IF(COUNTIFS(Пул!$E$5:$E$300,$B148,Пул!$I$5:$I$300,"&lt;&gt;")=0,"",ROUND(SUMIFS(Пул!$K$5:$K$300,Пул!$E$5:$E$300,$B148),8)))</f>
        <v/>
      </c>
      <c r="I148" s="242" t="str">
        <f>IF(AND(ISNUMBER(G148),ISNUMBER(H148)),IF(AND(G148&gt;0,H148&lt;0),"Buy",IF(AND(G148&lt;0,H148&gt;0),"Sell","")),"")</f>
        <v/>
      </c>
      <c r="J148" s="183" t="str">
        <f>IF(I148="Buy",G148,IF(I148="Sell",-G148,""))</f>
        <v/>
      </c>
      <c r="K148" s="183" t="str">
        <f>IF(AND(ISNUMBER(J148),ISNUMBER(L148),N(J148)&lt;&gt;0),ROUND(L148/J148,8),"")</f>
        <v/>
      </c>
      <c r="L148" s="183" t="str">
        <f>IF(I148="Buy",-H148,IF(I148="Sell",H148,""))</f>
        <v/>
      </c>
    </row>
    <row r="149" ht="22" customHeight="1">
      <c r="B149" s="239" t="n"/>
      <c r="C149" s="240" t="str">
        <f>IF($B149="","",IF(COUNTIFS(Пул!$E$5:$E$300,$B149,Пул!$F$5:$F$300,"&lt;&gt;")=0,"",ROUND(SUMIFS(Пул!$F$5:$F$300,Пул!$E$5:$E$300,$B149),8)))</f>
        <v/>
      </c>
      <c r="D149" s="241" t="str">
        <f>IF($B149="","",IF(COUNTIFS(Пул!$E$5:$E$300,$B149,Пул!$G$5:$G$300,"&lt;&gt;")=0,"",ROUND(SUMIFS(Пул!$G$5:$G$300,Пул!$E$5:$E$300,$B149),8)))</f>
        <v/>
      </c>
      <c r="E149" s="240" t="str">
        <f>IF($B149="","",IF(COUNTIFS(Пул!$E$5:$E$300,$B149,Пул!$H$5:$H$300,"&lt;&gt;")=0,"",ROUND(SUMIFS(Пул!$H$5:$H$300,Пул!$E$5:$E$300,$B149),8)))</f>
        <v/>
      </c>
      <c r="F149" s="241" t="str">
        <f>IF($B149="","",IF(COUNTIFS(Пул!$E$5:$E$300,$B149,Пул!$I$5:$I$300,"&lt;&gt;")=0,"",ROUND(SUMIFS(Пул!$I$5:$I$300,Пул!$E$5:$E$300,$B149),8)))</f>
        <v/>
      </c>
      <c r="G149" s="240" t="str">
        <f>IF($B149="","",IF(COUNTIFS(Пул!$E$5:$E$300,$B149,Пул!$H$5:$H$300,"&lt;&gt;")=0,"",ROUND(SUMIFS(Пул!$J$5:$J$300,Пул!$E$5:$E$300,$B149),8)))</f>
        <v/>
      </c>
      <c r="H149" s="241" t="str">
        <f>IF($B149="","",IF(COUNTIFS(Пул!$E$5:$E$300,$B149,Пул!$I$5:$I$300,"&lt;&gt;")=0,"",ROUND(SUMIFS(Пул!$K$5:$K$300,Пул!$E$5:$E$300,$B149),8)))</f>
        <v/>
      </c>
      <c r="I149" s="236" t="str">
        <f>IF(AND(ISNUMBER(G149),ISNUMBER(H149)),IF(AND(G149&gt;0,H149&lt;0),"Buy",IF(AND(G149&lt;0,H149&gt;0),"Sell","")),"")</f>
        <v/>
      </c>
      <c r="J149" s="177" t="str">
        <f>IF(I149="Buy",G149,IF(I149="Sell",-G149,""))</f>
        <v/>
      </c>
      <c r="K149" s="177" t="str">
        <f>IF(AND(ISNUMBER(J149),ISNUMBER(L149),N(J149)&lt;&gt;0),ROUND(L149/J149,8),"")</f>
        <v/>
      </c>
      <c r="L149" s="177" t="str">
        <f>IF(I149="Buy",-H149,IF(I149="Sell",H149,""))</f>
        <v/>
      </c>
    </row>
    <row r="150" ht="22" customHeight="1">
      <c r="B150" s="245" t="n"/>
      <c r="C150" s="246" t="str">
        <f>IF($B150="","",IF(COUNTIFS(Пул!$E$5:$E$300,$B150,Пул!$F$5:$F$300,"&lt;&gt;")=0,"",ROUND(SUMIFS(Пул!$F$5:$F$300,Пул!$E$5:$E$300,$B150),8)))</f>
        <v/>
      </c>
      <c r="D150" s="247" t="str">
        <f>IF($B150="","",IF(COUNTIFS(Пул!$E$5:$E$300,$B150,Пул!$G$5:$G$300,"&lt;&gt;")=0,"",ROUND(SUMIFS(Пул!$G$5:$G$300,Пул!$E$5:$E$300,$B150),8)))</f>
        <v/>
      </c>
      <c r="E150" s="246" t="str">
        <f>IF($B150="","",IF(COUNTIFS(Пул!$E$5:$E$300,$B150,Пул!$H$5:$H$300,"&lt;&gt;")=0,"",ROUND(SUMIFS(Пул!$H$5:$H$300,Пул!$E$5:$E$300,$B150),8)))</f>
        <v/>
      </c>
      <c r="F150" s="247" t="str">
        <f>IF($B150="","",IF(COUNTIFS(Пул!$E$5:$E$300,$B150,Пул!$I$5:$I$300,"&lt;&gt;")=0,"",ROUND(SUMIFS(Пул!$I$5:$I$300,Пул!$E$5:$E$300,$B150),8)))</f>
        <v/>
      </c>
      <c r="G150" s="246" t="str">
        <f>IF($B150="","",IF(COUNTIFS(Пул!$E$5:$E$300,$B150,Пул!$H$5:$H$300,"&lt;&gt;")=0,"",ROUND(SUMIFS(Пул!$J$5:$J$300,Пул!$E$5:$E$300,$B150),8)))</f>
        <v/>
      </c>
      <c r="H150" s="247" t="str">
        <f>IF($B150="","",IF(COUNTIFS(Пул!$E$5:$E$300,$B150,Пул!$I$5:$I$300,"&lt;&gt;")=0,"",ROUND(SUMIFS(Пул!$K$5:$K$300,Пул!$E$5:$E$300,$B150),8)))</f>
        <v/>
      </c>
      <c r="I150" s="242" t="str">
        <f>IF(AND(ISNUMBER(G150),ISNUMBER(H150)),IF(AND(G150&gt;0,H150&lt;0),"Buy",IF(AND(G150&lt;0,H150&gt;0),"Sell","")),"")</f>
        <v/>
      </c>
      <c r="J150" s="183" t="str">
        <f>IF(I150="Buy",G150,IF(I150="Sell",-G150,""))</f>
        <v/>
      </c>
      <c r="K150" s="183" t="str">
        <f>IF(AND(ISNUMBER(J150),ISNUMBER(L150),N(J150)&lt;&gt;0),ROUND(L150/J150,8),"")</f>
        <v/>
      </c>
      <c r="L150" s="183" t="str">
        <f>IF(I150="Buy",-H150,IF(I150="Sell",H150,""))</f>
        <v/>
      </c>
    </row>
    <row r="151" ht="22" customHeight="1">
      <c r="B151" s="239" t="n"/>
      <c r="C151" s="240" t="str">
        <f>IF($B151="","",IF(COUNTIFS(Пул!$E$5:$E$300,$B151,Пул!$F$5:$F$300,"&lt;&gt;")=0,"",ROUND(SUMIFS(Пул!$F$5:$F$300,Пул!$E$5:$E$300,$B151),8)))</f>
        <v/>
      </c>
      <c r="D151" s="241" t="str">
        <f>IF($B151="","",IF(COUNTIFS(Пул!$E$5:$E$300,$B151,Пул!$G$5:$G$300,"&lt;&gt;")=0,"",ROUND(SUMIFS(Пул!$G$5:$G$300,Пул!$E$5:$E$300,$B151),8)))</f>
        <v/>
      </c>
      <c r="E151" s="240" t="str">
        <f>IF($B151="","",IF(COUNTIFS(Пул!$E$5:$E$300,$B151,Пул!$H$5:$H$300,"&lt;&gt;")=0,"",ROUND(SUMIFS(Пул!$H$5:$H$300,Пул!$E$5:$E$300,$B151),8)))</f>
        <v/>
      </c>
      <c r="F151" s="241" t="str">
        <f>IF($B151="","",IF(COUNTIFS(Пул!$E$5:$E$300,$B151,Пул!$I$5:$I$300,"&lt;&gt;")=0,"",ROUND(SUMIFS(Пул!$I$5:$I$300,Пул!$E$5:$E$300,$B151),8)))</f>
        <v/>
      </c>
      <c r="G151" s="240" t="str">
        <f>IF($B151="","",IF(COUNTIFS(Пул!$E$5:$E$300,$B151,Пул!$H$5:$H$300,"&lt;&gt;")=0,"",ROUND(SUMIFS(Пул!$J$5:$J$300,Пул!$E$5:$E$300,$B151),8)))</f>
        <v/>
      </c>
      <c r="H151" s="241" t="str">
        <f>IF($B151="","",IF(COUNTIFS(Пул!$E$5:$E$300,$B151,Пул!$I$5:$I$300,"&lt;&gt;")=0,"",ROUND(SUMIFS(Пул!$K$5:$K$300,Пул!$E$5:$E$300,$B151),8)))</f>
        <v/>
      </c>
      <c r="I151" s="236" t="str">
        <f>IF(AND(ISNUMBER(G151),ISNUMBER(H151)),IF(AND(G151&gt;0,H151&lt;0),"Buy",IF(AND(G151&lt;0,H151&gt;0),"Sell","")),"")</f>
        <v/>
      </c>
      <c r="J151" s="177" t="str">
        <f>IF(I151="Buy",G151,IF(I151="Sell",-G151,""))</f>
        <v/>
      </c>
      <c r="K151" s="177" t="str">
        <f>IF(AND(ISNUMBER(J151),ISNUMBER(L151),N(J151)&lt;&gt;0),ROUND(L151/J151,8),"")</f>
        <v/>
      </c>
      <c r="L151" s="177" t="str">
        <f>IF(I151="Buy",-H151,IF(I151="Sell",H151,""))</f>
        <v/>
      </c>
    </row>
    <row r="152" ht="22" customHeight="1">
      <c r="B152" s="245" t="n"/>
      <c r="C152" s="246" t="str">
        <f>IF($B152="","",IF(COUNTIFS(Пул!$E$5:$E$300,$B152,Пул!$F$5:$F$300,"&lt;&gt;")=0,"",ROUND(SUMIFS(Пул!$F$5:$F$300,Пул!$E$5:$E$300,$B152),8)))</f>
        <v/>
      </c>
      <c r="D152" s="247" t="str">
        <f>IF($B152="","",IF(COUNTIFS(Пул!$E$5:$E$300,$B152,Пул!$G$5:$G$300,"&lt;&gt;")=0,"",ROUND(SUMIFS(Пул!$G$5:$G$300,Пул!$E$5:$E$300,$B152),8)))</f>
        <v/>
      </c>
      <c r="E152" s="246" t="str">
        <f>IF($B152="","",IF(COUNTIFS(Пул!$E$5:$E$300,$B152,Пул!$H$5:$H$300,"&lt;&gt;")=0,"",ROUND(SUMIFS(Пул!$H$5:$H$300,Пул!$E$5:$E$300,$B152),8)))</f>
        <v/>
      </c>
      <c r="F152" s="247" t="str">
        <f>IF($B152="","",IF(COUNTIFS(Пул!$E$5:$E$300,$B152,Пул!$I$5:$I$300,"&lt;&gt;")=0,"",ROUND(SUMIFS(Пул!$I$5:$I$300,Пул!$E$5:$E$300,$B152),8)))</f>
        <v/>
      </c>
      <c r="G152" s="246" t="str">
        <f>IF($B152="","",IF(COUNTIFS(Пул!$E$5:$E$300,$B152,Пул!$H$5:$H$300,"&lt;&gt;")=0,"",ROUND(SUMIFS(Пул!$J$5:$J$300,Пул!$E$5:$E$300,$B152),8)))</f>
        <v/>
      </c>
      <c r="H152" s="247" t="str">
        <f>IF($B152="","",IF(COUNTIFS(Пул!$E$5:$E$300,$B152,Пул!$I$5:$I$300,"&lt;&gt;")=0,"",ROUND(SUMIFS(Пул!$K$5:$K$300,Пул!$E$5:$E$300,$B152),8)))</f>
        <v/>
      </c>
      <c r="I152" s="242" t="str">
        <f>IF(AND(ISNUMBER(G152),ISNUMBER(H152)),IF(AND(G152&gt;0,H152&lt;0),"Buy",IF(AND(G152&lt;0,H152&gt;0),"Sell","")),"")</f>
        <v/>
      </c>
      <c r="J152" s="183" t="str">
        <f>IF(I152="Buy",G152,IF(I152="Sell",-G152,""))</f>
        <v/>
      </c>
      <c r="K152" s="183" t="str">
        <f>IF(AND(ISNUMBER(J152),ISNUMBER(L152),N(J152)&lt;&gt;0),ROUND(L152/J152,8),"")</f>
        <v/>
      </c>
      <c r="L152" s="183" t="str">
        <f>IF(I152="Buy",-H152,IF(I152="Sell",H152,""))</f>
        <v/>
      </c>
    </row>
    <row r="153" ht="22" customHeight="1">
      <c r="B153" s="239" t="n"/>
      <c r="C153" s="240" t="str">
        <f>IF($B153="","",IF(COUNTIFS(Пул!$E$5:$E$300,$B153,Пул!$F$5:$F$300,"&lt;&gt;")=0,"",ROUND(SUMIFS(Пул!$F$5:$F$300,Пул!$E$5:$E$300,$B153),8)))</f>
        <v/>
      </c>
      <c r="D153" s="241" t="str">
        <f>IF($B153="","",IF(COUNTIFS(Пул!$E$5:$E$300,$B153,Пул!$G$5:$G$300,"&lt;&gt;")=0,"",ROUND(SUMIFS(Пул!$G$5:$G$300,Пул!$E$5:$E$300,$B153),8)))</f>
        <v/>
      </c>
      <c r="E153" s="240" t="str">
        <f>IF($B153="","",IF(COUNTIFS(Пул!$E$5:$E$300,$B153,Пул!$H$5:$H$300,"&lt;&gt;")=0,"",ROUND(SUMIFS(Пул!$H$5:$H$300,Пул!$E$5:$E$300,$B153),8)))</f>
        <v/>
      </c>
      <c r="F153" s="241" t="str">
        <f>IF($B153="","",IF(COUNTIFS(Пул!$E$5:$E$300,$B153,Пул!$I$5:$I$300,"&lt;&gt;")=0,"",ROUND(SUMIFS(Пул!$I$5:$I$300,Пул!$E$5:$E$300,$B153),8)))</f>
        <v/>
      </c>
      <c r="G153" s="240" t="str">
        <f>IF($B153="","",IF(COUNTIFS(Пул!$E$5:$E$300,$B153,Пул!$H$5:$H$300,"&lt;&gt;")=0,"",ROUND(SUMIFS(Пул!$J$5:$J$300,Пул!$E$5:$E$300,$B153),8)))</f>
        <v/>
      </c>
      <c r="H153" s="241" t="str">
        <f>IF($B153="","",IF(COUNTIFS(Пул!$E$5:$E$300,$B153,Пул!$I$5:$I$300,"&lt;&gt;")=0,"",ROUND(SUMIFS(Пул!$K$5:$K$300,Пул!$E$5:$E$300,$B153),8)))</f>
        <v/>
      </c>
      <c r="I153" s="236" t="str">
        <f>IF(AND(ISNUMBER(G153),ISNUMBER(H153)),IF(AND(G153&gt;0,H153&lt;0),"Buy",IF(AND(G153&lt;0,H153&gt;0),"Sell","")),"")</f>
        <v/>
      </c>
      <c r="J153" s="177" t="str">
        <f>IF(I153="Buy",G153,IF(I153="Sell",-G153,""))</f>
        <v/>
      </c>
      <c r="K153" s="177" t="str">
        <f>IF(AND(ISNUMBER(J153),ISNUMBER(L153),N(J153)&lt;&gt;0),ROUND(L153/J153,8),"")</f>
        <v/>
      </c>
      <c r="L153" s="177" t="str">
        <f>IF(I153="Buy",-H153,IF(I153="Sell",H153,""))</f>
        <v/>
      </c>
    </row>
    <row r="154" ht="22" customHeight="1">
      <c r="B154" s="245" t="n"/>
      <c r="C154" s="246" t="str">
        <f>IF($B154="","",IF(COUNTIFS(Пул!$E$5:$E$300,$B154,Пул!$F$5:$F$300,"&lt;&gt;")=0,"",ROUND(SUMIFS(Пул!$F$5:$F$300,Пул!$E$5:$E$300,$B154),8)))</f>
        <v/>
      </c>
      <c r="D154" s="247" t="str">
        <f>IF($B154="","",IF(COUNTIFS(Пул!$E$5:$E$300,$B154,Пул!$G$5:$G$300,"&lt;&gt;")=0,"",ROUND(SUMIFS(Пул!$G$5:$G$300,Пул!$E$5:$E$300,$B154),8)))</f>
        <v/>
      </c>
      <c r="E154" s="246" t="str">
        <f>IF($B154="","",IF(COUNTIFS(Пул!$E$5:$E$300,$B154,Пул!$H$5:$H$300,"&lt;&gt;")=0,"",ROUND(SUMIFS(Пул!$H$5:$H$300,Пул!$E$5:$E$300,$B154),8)))</f>
        <v/>
      </c>
      <c r="F154" s="247" t="str">
        <f>IF($B154="","",IF(COUNTIFS(Пул!$E$5:$E$300,$B154,Пул!$I$5:$I$300,"&lt;&gt;")=0,"",ROUND(SUMIFS(Пул!$I$5:$I$300,Пул!$E$5:$E$300,$B154),8)))</f>
        <v/>
      </c>
      <c r="G154" s="246" t="str">
        <f>IF($B154="","",IF(COUNTIFS(Пул!$E$5:$E$300,$B154,Пул!$H$5:$H$300,"&lt;&gt;")=0,"",ROUND(SUMIFS(Пул!$J$5:$J$300,Пул!$E$5:$E$300,$B154),8)))</f>
        <v/>
      </c>
      <c r="H154" s="247" t="str">
        <f>IF($B154="","",IF(COUNTIFS(Пул!$E$5:$E$300,$B154,Пул!$I$5:$I$300,"&lt;&gt;")=0,"",ROUND(SUMIFS(Пул!$K$5:$K$300,Пул!$E$5:$E$300,$B154),8)))</f>
        <v/>
      </c>
      <c r="I154" s="242" t="str">
        <f>IF(AND(ISNUMBER(G154),ISNUMBER(H154)),IF(AND(G154&gt;0,H154&lt;0),"Buy",IF(AND(G154&lt;0,H154&gt;0),"Sell","")),"")</f>
        <v/>
      </c>
      <c r="J154" s="183" t="str">
        <f>IF(I154="Buy",G154,IF(I154="Sell",-G154,""))</f>
        <v/>
      </c>
      <c r="K154" s="183" t="str">
        <f>IF(AND(ISNUMBER(J154),ISNUMBER(L154),N(J154)&lt;&gt;0),ROUND(L154/J154,8),"")</f>
        <v/>
      </c>
      <c r="L154" s="183" t="str">
        <f>IF(I154="Buy",-H154,IF(I154="Sell",H154,""))</f>
        <v/>
      </c>
    </row>
    <row r="155" ht="22" customHeight="1">
      <c r="B155" s="239" t="n"/>
      <c r="C155" s="240" t="str">
        <f>IF($B155="","",IF(COUNTIFS(Пул!$E$5:$E$300,$B155,Пул!$F$5:$F$300,"&lt;&gt;")=0,"",ROUND(SUMIFS(Пул!$F$5:$F$300,Пул!$E$5:$E$300,$B155),8)))</f>
        <v/>
      </c>
      <c r="D155" s="241" t="str">
        <f>IF($B155="","",IF(COUNTIFS(Пул!$E$5:$E$300,$B155,Пул!$G$5:$G$300,"&lt;&gt;")=0,"",ROUND(SUMIFS(Пул!$G$5:$G$300,Пул!$E$5:$E$300,$B155),8)))</f>
        <v/>
      </c>
      <c r="E155" s="240" t="str">
        <f>IF($B155="","",IF(COUNTIFS(Пул!$E$5:$E$300,$B155,Пул!$H$5:$H$300,"&lt;&gt;")=0,"",ROUND(SUMIFS(Пул!$H$5:$H$300,Пул!$E$5:$E$300,$B155),8)))</f>
        <v/>
      </c>
      <c r="F155" s="241" t="str">
        <f>IF($B155="","",IF(COUNTIFS(Пул!$E$5:$E$300,$B155,Пул!$I$5:$I$300,"&lt;&gt;")=0,"",ROUND(SUMIFS(Пул!$I$5:$I$300,Пул!$E$5:$E$300,$B155),8)))</f>
        <v/>
      </c>
      <c r="G155" s="240" t="str">
        <f>IF($B155="","",IF(COUNTIFS(Пул!$E$5:$E$300,$B155,Пул!$H$5:$H$300,"&lt;&gt;")=0,"",ROUND(SUMIFS(Пул!$J$5:$J$300,Пул!$E$5:$E$300,$B155),8)))</f>
        <v/>
      </c>
      <c r="H155" s="241" t="str">
        <f>IF($B155="","",IF(COUNTIFS(Пул!$E$5:$E$300,$B155,Пул!$I$5:$I$300,"&lt;&gt;")=0,"",ROUND(SUMIFS(Пул!$K$5:$K$300,Пул!$E$5:$E$300,$B155),8)))</f>
        <v/>
      </c>
      <c r="I155" s="236" t="str">
        <f>IF(AND(ISNUMBER(G155),ISNUMBER(H155)),IF(AND(G155&gt;0,H155&lt;0),"Buy",IF(AND(G155&lt;0,H155&gt;0),"Sell","")),"")</f>
        <v/>
      </c>
      <c r="J155" s="177" t="str">
        <f>IF(I155="Buy",G155,IF(I155="Sell",-G155,""))</f>
        <v/>
      </c>
      <c r="K155" s="177" t="str">
        <f>IF(AND(ISNUMBER(J155),ISNUMBER(L155),N(J155)&lt;&gt;0),ROUND(L155/J155,8),"")</f>
        <v/>
      </c>
      <c r="L155" s="177" t="str">
        <f>IF(I155="Buy",-H155,IF(I155="Sell",H155,""))</f>
        <v/>
      </c>
    </row>
    <row r="156" ht="22" customHeight="1">
      <c r="B156" s="245" t="n"/>
      <c r="C156" s="246" t="str">
        <f>IF($B156="","",IF(COUNTIFS(Пул!$E$5:$E$300,$B156,Пул!$F$5:$F$300,"&lt;&gt;")=0,"",ROUND(SUMIFS(Пул!$F$5:$F$300,Пул!$E$5:$E$300,$B156),8)))</f>
        <v/>
      </c>
      <c r="D156" s="247" t="str">
        <f>IF($B156="","",IF(COUNTIFS(Пул!$E$5:$E$300,$B156,Пул!$G$5:$G$300,"&lt;&gt;")=0,"",ROUND(SUMIFS(Пул!$G$5:$G$300,Пул!$E$5:$E$300,$B156),8)))</f>
        <v/>
      </c>
      <c r="E156" s="246" t="str">
        <f>IF($B156="","",IF(COUNTIFS(Пул!$E$5:$E$300,$B156,Пул!$H$5:$H$300,"&lt;&gt;")=0,"",ROUND(SUMIFS(Пул!$H$5:$H$300,Пул!$E$5:$E$300,$B156),8)))</f>
        <v/>
      </c>
      <c r="F156" s="247" t="str">
        <f>IF($B156="","",IF(COUNTIFS(Пул!$E$5:$E$300,$B156,Пул!$I$5:$I$300,"&lt;&gt;")=0,"",ROUND(SUMIFS(Пул!$I$5:$I$300,Пул!$E$5:$E$300,$B156),8)))</f>
        <v/>
      </c>
      <c r="G156" s="246" t="str">
        <f>IF($B156="","",IF(COUNTIFS(Пул!$E$5:$E$300,$B156,Пул!$H$5:$H$300,"&lt;&gt;")=0,"",ROUND(SUMIFS(Пул!$J$5:$J$300,Пул!$E$5:$E$300,$B156),8)))</f>
        <v/>
      </c>
      <c r="H156" s="247" t="str">
        <f>IF($B156="","",IF(COUNTIFS(Пул!$E$5:$E$300,$B156,Пул!$I$5:$I$300,"&lt;&gt;")=0,"",ROUND(SUMIFS(Пул!$K$5:$K$300,Пул!$E$5:$E$300,$B156),8)))</f>
        <v/>
      </c>
      <c r="I156" s="242" t="str">
        <f>IF(AND(ISNUMBER(G156),ISNUMBER(H156)),IF(AND(G156&gt;0,H156&lt;0),"Buy",IF(AND(G156&lt;0,H156&gt;0),"Sell","")),"")</f>
        <v/>
      </c>
      <c r="J156" s="183" t="str">
        <f>IF(I156="Buy",G156,IF(I156="Sell",-G156,""))</f>
        <v/>
      </c>
      <c r="K156" s="183" t="str">
        <f>IF(AND(ISNUMBER(J156),ISNUMBER(L156),N(J156)&lt;&gt;0),ROUND(L156/J156,8),"")</f>
        <v/>
      </c>
      <c r="L156" s="183" t="str">
        <f>IF(I156="Buy",-H156,IF(I156="Sell",H156,""))</f>
        <v/>
      </c>
    </row>
    <row r="157" ht="22" customHeight="1">
      <c r="B157" s="239" t="n"/>
      <c r="C157" s="240" t="str">
        <f>IF($B157="","",IF(COUNTIFS(Пул!$E$5:$E$300,$B157,Пул!$F$5:$F$300,"&lt;&gt;")=0,"",ROUND(SUMIFS(Пул!$F$5:$F$300,Пул!$E$5:$E$300,$B157),8)))</f>
        <v/>
      </c>
      <c r="D157" s="241" t="str">
        <f>IF($B157="","",IF(COUNTIFS(Пул!$E$5:$E$300,$B157,Пул!$G$5:$G$300,"&lt;&gt;")=0,"",ROUND(SUMIFS(Пул!$G$5:$G$300,Пул!$E$5:$E$300,$B157),8)))</f>
        <v/>
      </c>
      <c r="E157" s="240" t="str">
        <f>IF($B157="","",IF(COUNTIFS(Пул!$E$5:$E$300,$B157,Пул!$H$5:$H$300,"&lt;&gt;")=0,"",ROUND(SUMIFS(Пул!$H$5:$H$300,Пул!$E$5:$E$300,$B157),8)))</f>
        <v/>
      </c>
      <c r="F157" s="241" t="str">
        <f>IF($B157="","",IF(COUNTIFS(Пул!$E$5:$E$300,$B157,Пул!$I$5:$I$300,"&lt;&gt;")=0,"",ROUND(SUMIFS(Пул!$I$5:$I$300,Пул!$E$5:$E$300,$B157),8)))</f>
        <v/>
      </c>
      <c r="G157" s="240" t="str">
        <f>IF($B157="","",IF(COUNTIFS(Пул!$E$5:$E$300,$B157,Пул!$H$5:$H$300,"&lt;&gt;")=0,"",ROUND(SUMIFS(Пул!$J$5:$J$300,Пул!$E$5:$E$300,$B157),8)))</f>
        <v/>
      </c>
      <c r="H157" s="241" t="str">
        <f>IF($B157="","",IF(COUNTIFS(Пул!$E$5:$E$300,$B157,Пул!$I$5:$I$300,"&lt;&gt;")=0,"",ROUND(SUMIFS(Пул!$K$5:$K$300,Пул!$E$5:$E$300,$B157),8)))</f>
        <v/>
      </c>
      <c r="I157" s="236" t="str">
        <f>IF(AND(ISNUMBER(G157),ISNUMBER(H157)),IF(AND(G157&gt;0,H157&lt;0),"Buy",IF(AND(G157&lt;0,H157&gt;0),"Sell","")),"")</f>
        <v/>
      </c>
      <c r="J157" s="177" t="str">
        <f>IF(I157="Buy",G157,IF(I157="Sell",-G157,""))</f>
        <v/>
      </c>
      <c r="K157" s="177" t="str">
        <f>IF(AND(ISNUMBER(J157),ISNUMBER(L157),N(J157)&lt;&gt;0),ROUND(L157/J157,8),"")</f>
        <v/>
      </c>
      <c r="L157" s="177" t="str">
        <f>IF(I157="Buy",-H157,IF(I157="Sell",H157,""))</f>
        <v/>
      </c>
    </row>
    <row r="158" ht="22" customHeight="1">
      <c r="B158" s="245" t="n"/>
      <c r="C158" s="246" t="str">
        <f>IF($B158="","",IF(COUNTIFS(Пул!$E$5:$E$300,$B158,Пул!$F$5:$F$300,"&lt;&gt;")=0,"",ROUND(SUMIFS(Пул!$F$5:$F$300,Пул!$E$5:$E$300,$B158),8)))</f>
        <v/>
      </c>
      <c r="D158" s="247" t="str">
        <f>IF($B158="","",IF(COUNTIFS(Пул!$E$5:$E$300,$B158,Пул!$G$5:$G$300,"&lt;&gt;")=0,"",ROUND(SUMIFS(Пул!$G$5:$G$300,Пул!$E$5:$E$300,$B158),8)))</f>
        <v/>
      </c>
      <c r="E158" s="246" t="str">
        <f>IF($B158="","",IF(COUNTIFS(Пул!$E$5:$E$300,$B158,Пул!$H$5:$H$300,"&lt;&gt;")=0,"",ROUND(SUMIFS(Пул!$H$5:$H$300,Пул!$E$5:$E$300,$B158),8)))</f>
        <v/>
      </c>
      <c r="F158" s="247" t="str">
        <f>IF($B158="","",IF(COUNTIFS(Пул!$E$5:$E$300,$B158,Пул!$I$5:$I$300,"&lt;&gt;")=0,"",ROUND(SUMIFS(Пул!$I$5:$I$300,Пул!$E$5:$E$300,$B158),8)))</f>
        <v/>
      </c>
      <c r="G158" s="246" t="str">
        <f>IF($B158="","",IF(COUNTIFS(Пул!$E$5:$E$300,$B158,Пул!$H$5:$H$300,"&lt;&gt;")=0,"",ROUND(SUMIFS(Пул!$J$5:$J$300,Пул!$E$5:$E$300,$B158),8)))</f>
        <v/>
      </c>
      <c r="H158" s="247" t="str">
        <f>IF($B158="","",IF(COUNTIFS(Пул!$E$5:$E$300,$B158,Пул!$I$5:$I$300,"&lt;&gt;")=0,"",ROUND(SUMIFS(Пул!$K$5:$K$300,Пул!$E$5:$E$300,$B158),8)))</f>
        <v/>
      </c>
      <c r="I158" s="242" t="str">
        <f>IF(AND(ISNUMBER(G158),ISNUMBER(H158)),IF(AND(G158&gt;0,H158&lt;0),"Buy",IF(AND(G158&lt;0,H158&gt;0),"Sell","")),"")</f>
        <v/>
      </c>
      <c r="J158" s="183" t="str">
        <f>IF(I158="Buy",G158,IF(I158="Sell",-G158,""))</f>
        <v/>
      </c>
      <c r="K158" s="183" t="str">
        <f>IF(AND(ISNUMBER(J158),ISNUMBER(L158),N(J158)&lt;&gt;0),ROUND(L158/J158,8),"")</f>
        <v/>
      </c>
      <c r="L158" s="183" t="str">
        <f>IF(I158="Buy",-H158,IF(I158="Sell",H158,""))</f>
        <v/>
      </c>
    </row>
    <row r="159" ht="22" customHeight="1">
      <c r="B159" s="239" t="n"/>
      <c r="C159" s="240" t="str">
        <f>IF($B159="","",IF(COUNTIFS(Пул!$E$5:$E$300,$B159,Пул!$F$5:$F$300,"&lt;&gt;")=0,"",ROUND(SUMIFS(Пул!$F$5:$F$300,Пул!$E$5:$E$300,$B159),8)))</f>
        <v/>
      </c>
      <c r="D159" s="241" t="str">
        <f>IF($B159="","",IF(COUNTIFS(Пул!$E$5:$E$300,$B159,Пул!$G$5:$G$300,"&lt;&gt;")=0,"",ROUND(SUMIFS(Пул!$G$5:$G$300,Пул!$E$5:$E$300,$B159),8)))</f>
        <v/>
      </c>
      <c r="E159" s="240" t="str">
        <f>IF($B159="","",IF(COUNTIFS(Пул!$E$5:$E$300,$B159,Пул!$H$5:$H$300,"&lt;&gt;")=0,"",ROUND(SUMIFS(Пул!$H$5:$H$300,Пул!$E$5:$E$300,$B159),8)))</f>
        <v/>
      </c>
      <c r="F159" s="241" t="str">
        <f>IF($B159="","",IF(COUNTIFS(Пул!$E$5:$E$300,$B159,Пул!$I$5:$I$300,"&lt;&gt;")=0,"",ROUND(SUMIFS(Пул!$I$5:$I$300,Пул!$E$5:$E$300,$B159),8)))</f>
        <v/>
      </c>
      <c r="G159" s="240" t="str">
        <f>IF($B159="","",IF(COUNTIFS(Пул!$E$5:$E$300,$B159,Пул!$H$5:$H$300,"&lt;&gt;")=0,"",ROUND(SUMIFS(Пул!$J$5:$J$300,Пул!$E$5:$E$300,$B159),8)))</f>
        <v/>
      </c>
      <c r="H159" s="241" t="str">
        <f>IF($B159="","",IF(COUNTIFS(Пул!$E$5:$E$300,$B159,Пул!$I$5:$I$300,"&lt;&gt;")=0,"",ROUND(SUMIFS(Пул!$K$5:$K$300,Пул!$E$5:$E$300,$B159),8)))</f>
        <v/>
      </c>
      <c r="I159" s="236" t="str">
        <f>IF(AND(ISNUMBER(G159),ISNUMBER(H159)),IF(AND(G159&gt;0,H159&lt;0),"Buy",IF(AND(G159&lt;0,H159&gt;0),"Sell","")),"")</f>
        <v/>
      </c>
      <c r="J159" s="177" t="str">
        <f>IF(I159="Buy",G159,IF(I159="Sell",-G159,""))</f>
        <v/>
      </c>
      <c r="K159" s="177" t="str">
        <f>IF(AND(ISNUMBER(J159),ISNUMBER(L159),N(J159)&lt;&gt;0),ROUND(L159/J159,8),"")</f>
        <v/>
      </c>
      <c r="L159" s="177" t="str">
        <f>IF(I159="Buy",-H159,IF(I159="Sell",H159,""))</f>
        <v/>
      </c>
    </row>
    <row r="160" ht="22" customHeight="1">
      <c r="B160" s="245" t="n"/>
      <c r="C160" s="246" t="str">
        <f>IF($B160="","",IF(COUNTIFS(Пул!$E$5:$E$300,$B160,Пул!$F$5:$F$300,"&lt;&gt;")=0,"",ROUND(SUMIFS(Пул!$F$5:$F$300,Пул!$E$5:$E$300,$B160),8)))</f>
        <v/>
      </c>
      <c r="D160" s="247" t="str">
        <f>IF($B160="","",IF(COUNTIFS(Пул!$E$5:$E$300,$B160,Пул!$G$5:$G$300,"&lt;&gt;")=0,"",ROUND(SUMIFS(Пул!$G$5:$G$300,Пул!$E$5:$E$300,$B160),8)))</f>
        <v/>
      </c>
      <c r="E160" s="246" t="str">
        <f>IF($B160="","",IF(COUNTIFS(Пул!$E$5:$E$300,$B160,Пул!$H$5:$H$300,"&lt;&gt;")=0,"",ROUND(SUMIFS(Пул!$H$5:$H$300,Пул!$E$5:$E$300,$B160),8)))</f>
        <v/>
      </c>
      <c r="F160" s="247" t="str">
        <f>IF($B160="","",IF(COUNTIFS(Пул!$E$5:$E$300,$B160,Пул!$I$5:$I$300,"&lt;&gt;")=0,"",ROUND(SUMIFS(Пул!$I$5:$I$300,Пул!$E$5:$E$300,$B160),8)))</f>
        <v/>
      </c>
      <c r="G160" s="246" t="str">
        <f>IF($B160="","",IF(COUNTIFS(Пул!$E$5:$E$300,$B160,Пул!$H$5:$H$300,"&lt;&gt;")=0,"",ROUND(SUMIFS(Пул!$J$5:$J$300,Пул!$E$5:$E$300,$B160),8)))</f>
        <v/>
      </c>
      <c r="H160" s="247" t="str">
        <f>IF($B160="","",IF(COUNTIFS(Пул!$E$5:$E$300,$B160,Пул!$I$5:$I$300,"&lt;&gt;")=0,"",ROUND(SUMIFS(Пул!$K$5:$K$300,Пул!$E$5:$E$300,$B160),8)))</f>
        <v/>
      </c>
      <c r="I160" s="242" t="str">
        <f>IF(AND(ISNUMBER(G160),ISNUMBER(H160)),IF(AND(G160&gt;0,H160&lt;0),"Buy",IF(AND(G160&lt;0,H160&gt;0),"Sell","")),"")</f>
        <v/>
      </c>
      <c r="J160" s="183" t="str">
        <f>IF(I160="Buy",G160,IF(I160="Sell",-G160,""))</f>
        <v/>
      </c>
      <c r="K160" s="183" t="str">
        <f>IF(AND(ISNUMBER(J160),ISNUMBER(L160),N(J160)&lt;&gt;0),ROUND(L160/J160,8),"")</f>
        <v/>
      </c>
      <c r="L160" s="183" t="str">
        <f>IF(I160="Buy",-H160,IF(I160="Sell",H160,""))</f>
        <v/>
      </c>
    </row>
    <row r="161" ht="22" customHeight="1">
      <c r="B161" s="239" t="n"/>
      <c r="C161" s="240" t="str">
        <f>IF($B161="","",IF(COUNTIFS(Пул!$E$5:$E$300,$B161,Пул!$F$5:$F$300,"&lt;&gt;")=0,"",ROUND(SUMIFS(Пул!$F$5:$F$300,Пул!$E$5:$E$300,$B161),8)))</f>
        <v/>
      </c>
      <c r="D161" s="241" t="str">
        <f>IF($B161="","",IF(COUNTIFS(Пул!$E$5:$E$300,$B161,Пул!$G$5:$G$300,"&lt;&gt;")=0,"",ROUND(SUMIFS(Пул!$G$5:$G$300,Пул!$E$5:$E$300,$B161),8)))</f>
        <v/>
      </c>
      <c r="E161" s="240" t="str">
        <f>IF($B161="","",IF(COUNTIFS(Пул!$E$5:$E$300,$B161,Пул!$H$5:$H$300,"&lt;&gt;")=0,"",ROUND(SUMIFS(Пул!$H$5:$H$300,Пул!$E$5:$E$300,$B161),8)))</f>
        <v/>
      </c>
      <c r="F161" s="241" t="str">
        <f>IF($B161="","",IF(COUNTIFS(Пул!$E$5:$E$300,$B161,Пул!$I$5:$I$300,"&lt;&gt;")=0,"",ROUND(SUMIFS(Пул!$I$5:$I$300,Пул!$E$5:$E$300,$B161),8)))</f>
        <v/>
      </c>
      <c r="G161" s="240" t="str">
        <f>IF($B161="","",IF(COUNTIFS(Пул!$E$5:$E$300,$B161,Пул!$H$5:$H$300,"&lt;&gt;")=0,"",ROUND(SUMIFS(Пул!$J$5:$J$300,Пул!$E$5:$E$300,$B161),8)))</f>
        <v/>
      </c>
      <c r="H161" s="241" t="str">
        <f>IF($B161="","",IF(COUNTIFS(Пул!$E$5:$E$300,$B161,Пул!$I$5:$I$300,"&lt;&gt;")=0,"",ROUND(SUMIFS(Пул!$K$5:$K$300,Пул!$E$5:$E$300,$B161),8)))</f>
        <v/>
      </c>
      <c r="I161" s="236" t="str">
        <f>IF(AND(ISNUMBER(G161),ISNUMBER(H161)),IF(AND(G161&gt;0,H161&lt;0),"Buy",IF(AND(G161&lt;0,H161&gt;0),"Sell","")),"")</f>
        <v/>
      </c>
      <c r="J161" s="177" t="str">
        <f>IF(I161="Buy",G161,IF(I161="Sell",-G161,""))</f>
        <v/>
      </c>
      <c r="K161" s="177" t="str">
        <f>IF(AND(ISNUMBER(J161),ISNUMBER(L161),N(J161)&lt;&gt;0),ROUND(L161/J161,8),"")</f>
        <v/>
      </c>
      <c r="L161" s="177" t="str">
        <f>IF(I161="Buy",-H161,IF(I161="Sell",H161,""))</f>
        <v/>
      </c>
    </row>
    <row r="162" ht="22" customHeight="1">
      <c r="B162" s="245" t="n"/>
      <c r="C162" s="246" t="str">
        <f>IF($B162="","",IF(COUNTIFS(Пул!$E$5:$E$300,$B162,Пул!$F$5:$F$300,"&lt;&gt;")=0,"",ROUND(SUMIFS(Пул!$F$5:$F$300,Пул!$E$5:$E$300,$B162),8)))</f>
        <v/>
      </c>
      <c r="D162" s="247" t="str">
        <f>IF($B162="","",IF(COUNTIFS(Пул!$E$5:$E$300,$B162,Пул!$G$5:$G$300,"&lt;&gt;")=0,"",ROUND(SUMIFS(Пул!$G$5:$G$300,Пул!$E$5:$E$300,$B162),8)))</f>
        <v/>
      </c>
      <c r="E162" s="246" t="str">
        <f>IF($B162="","",IF(COUNTIFS(Пул!$E$5:$E$300,$B162,Пул!$H$5:$H$300,"&lt;&gt;")=0,"",ROUND(SUMIFS(Пул!$H$5:$H$300,Пул!$E$5:$E$300,$B162),8)))</f>
        <v/>
      </c>
      <c r="F162" s="247" t="str">
        <f>IF($B162="","",IF(COUNTIFS(Пул!$E$5:$E$300,$B162,Пул!$I$5:$I$300,"&lt;&gt;")=0,"",ROUND(SUMIFS(Пул!$I$5:$I$300,Пул!$E$5:$E$300,$B162),8)))</f>
        <v/>
      </c>
      <c r="G162" s="246" t="str">
        <f>IF($B162="","",IF(COUNTIFS(Пул!$E$5:$E$300,$B162,Пул!$H$5:$H$300,"&lt;&gt;")=0,"",ROUND(SUMIFS(Пул!$J$5:$J$300,Пул!$E$5:$E$300,$B162),8)))</f>
        <v/>
      </c>
      <c r="H162" s="247" t="str">
        <f>IF($B162="","",IF(COUNTIFS(Пул!$E$5:$E$300,$B162,Пул!$I$5:$I$300,"&lt;&gt;")=0,"",ROUND(SUMIFS(Пул!$K$5:$K$300,Пул!$E$5:$E$300,$B162),8)))</f>
        <v/>
      </c>
      <c r="I162" s="242" t="str">
        <f>IF(AND(ISNUMBER(G162),ISNUMBER(H162)),IF(AND(G162&gt;0,H162&lt;0),"Buy",IF(AND(G162&lt;0,H162&gt;0),"Sell","")),"")</f>
        <v/>
      </c>
      <c r="J162" s="183" t="str">
        <f>IF(I162="Buy",G162,IF(I162="Sell",-G162,""))</f>
        <v/>
      </c>
      <c r="K162" s="183" t="str">
        <f>IF(AND(ISNUMBER(J162),ISNUMBER(L162),N(J162)&lt;&gt;0),ROUND(L162/J162,8),"")</f>
        <v/>
      </c>
      <c r="L162" s="183" t="str">
        <f>IF(I162="Buy",-H162,IF(I162="Sell",H162,""))</f>
        <v/>
      </c>
    </row>
    <row r="163" ht="22" customHeight="1">
      <c r="B163" s="239" t="n"/>
      <c r="C163" s="240" t="str">
        <f>IF($B163="","",IF(COUNTIFS(Пул!$E$5:$E$300,$B163,Пул!$F$5:$F$300,"&lt;&gt;")=0,"",ROUND(SUMIFS(Пул!$F$5:$F$300,Пул!$E$5:$E$300,$B163),8)))</f>
        <v/>
      </c>
      <c r="D163" s="241" t="str">
        <f>IF($B163="","",IF(COUNTIFS(Пул!$E$5:$E$300,$B163,Пул!$G$5:$G$300,"&lt;&gt;")=0,"",ROUND(SUMIFS(Пул!$G$5:$G$300,Пул!$E$5:$E$300,$B163),8)))</f>
        <v/>
      </c>
      <c r="E163" s="240" t="str">
        <f>IF($B163="","",IF(COUNTIFS(Пул!$E$5:$E$300,$B163,Пул!$H$5:$H$300,"&lt;&gt;")=0,"",ROUND(SUMIFS(Пул!$H$5:$H$300,Пул!$E$5:$E$300,$B163),8)))</f>
        <v/>
      </c>
      <c r="F163" s="241" t="str">
        <f>IF($B163="","",IF(COUNTIFS(Пул!$E$5:$E$300,$B163,Пул!$I$5:$I$300,"&lt;&gt;")=0,"",ROUND(SUMIFS(Пул!$I$5:$I$300,Пул!$E$5:$E$300,$B163),8)))</f>
        <v/>
      </c>
      <c r="G163" s="240" t="str">
        <f>IF($B163="","",IF(COUNTIFS(Пул!$E$5:$E$300,$B163,Пул!$H$5:$H$300,"&lt;&gt;")=0,"",ROUND(SUMIFS(Пул!$J$5:$J$300,Пул!$E$5:$E$300,$B163),8)))</f>
        <v/>
      </c>
      <c r="H163" s="241" t="str">
        <f>IF($B163="","",IF(COUNTIFS(Пул!$E$5:$E$300,$B163,Пул!$I$5:$I$300,"&lt;&gt;")=0,"",ROUND(SUMIFS(Пул!$K$5:$K$300,Пул!$E$5:$E$300,$B163),8)))</f>
        <v/>
      </c>
      <c r="I163" s="236" t="str">
        <f>IF(AND(ISNUMBER(G163),ISNUMBER(H163)),IF(AND(G163&gt;0,H163&lt;0),"Buy",IF(AND(G163&lt;0,H163&gt;0),"Sell","")),"")</f>
        <v/>
      </c>
      <c r="J163" s="177" t="str">
        <f>IF(I163="Buy",G163,IF(I163="Sell",-G163,""))</f>
        <v/>
      </c>
      <c r="K163" s="177" t="str">
        <f>IF(AND(ISNUMBER(J163),ISNUMBER(L163),N(J163)&lt;&gt;0),ROUND(L163/J163,8),"")</f>
        <v/>
      </c>
      <c r="L163" s="177" t="str">
        <f>IF(I163="Buy",-H163,IF(I163="Sell",H163,""))</f>
        <v/>
      </c>
    </row>
    <row r="164" ht="22" customHeight="1">
      <c r="B164" s="245" t="n"/>
      <c r="C164" s="246" t="str">
        <f>IF($B164="","",IF(COUNTIFS(Пул!$E$5:$E$300,$B164,Пул!$F$5:$F$300,"&lt;&gt;")=0,"",ROUND(SUMIFS(Пул!$F$5:$F$300,Пул!$E$5:$E$300,$B164),8)))</f>
        <v/>
      </c>
      <c r="D164" s="247" t="str">
        <f>IF($B164="","",IF(COUNTIFS(Пул!$E$5:$E$300,$B164,Пул!$G$5:$G$300,"&lt;&gt;")=0,"",ROUND(SUMIFS(Пул!$G$5:$G$300,Пул!$E$5:$E$300,$B164),8)))</f>
        <v/>
      </c>
      <c r="E164" s="246" t="str">
        <f>IF($B164="","",IF(COUNTIFS(Пул!$E$5:$E$300,$B164,Пул!$H$5:$H$300,"&lt;&gt;")=0,"",ROUND(SUMIFS(Пул!$H$5:$H$300,Пул!$E$5:$E$300,$B164),8)))</f>
        <v/>
      </c>
      <c r="F164" s="247" t="str">
        <f>IF($B164="","",IF(COUNTIFS(Пул!$E$5:$E$300,$B164,Пул!$I$5:$I$300,"&lt;&gt;")=0,"",ROUND(SUMIFS(Пул!$I$5:$I$300,Пул!$E$5:$E$300,$B164),8)))</f>
        <v/>
      </c>
      <c r="G164" s="246" t="str">
        <f>IF($B164="","",IF(COUNTIFS(Пул!$E$5:$E$300,$B164,Пул!$H$5:$H$300,"&lt;&gt;")=0,"",ROUND(SUMIFS(Пул!$J$5:$J$300,Пул!$E$5:$E$300,$B164),8)))</f>
        <v/>
      </c>
      <c r="H164" s="247" t="str">
        <f>IF($B164="","",IF(COUNTIFS(Пул!$E$5:$E$300,$B164,Пул!$I$5:$I$300,"&lt;&gt;")=0,"",ROUND(SUMIFS(Пул!$K$5:$K$300,Пул!$E$5:$E$300,$B164),8)))</f>
        <v/>
      </c>
      <c r="I164" s="242" t="str">
        <f>IF(AND(ISNUMBER(G164),ISNUMBER(H164)),IF(AND(G164&gt;0,H164&lt;0),"Buy",IF(AND(G164&lt;0,H164&gt;0),"Sell","")),"")</f>
        <v/>
      </c>
      <c r="J164" s="183" t="str">
        <f>IF(I164="Buy",G164,IF(I164="Sell",-G164,""))</f>
        <v/>
      </c>
      <c r="K164" s="183" t="str">
        <f>IF(AND(ISNUMBER(J164),ISNUMBER(L164),N(J164)&lt;&gt;0),ROUND(L164/J164,8),"")</f>
        <v/>
      </c>
      <c r="L164" s="183" t="str">
        <f>IF(I164="Buy",-H164,IF(I164="Sell",H164,""))</f>
        <v/>
      </c>
    </row>
    <row r="165" ht="22" customHeight="1">
      <c r="B165" s="239" t="n"/>
      <c r="C165" s="240" t="str">
        <f>IF($B165="","",IF(COUNTIFS(Пул!$E$5:$E$300,$B165,Пул!$F$5:$F$300,"&lt;&gt;")=0,"",ROUND(SUMIFS(Пул!$F$5:$F$300,Пул!$E$5:$E$300,$B165),8)))</f>
        <v/>
      </c>
      <c r="D165" s="241" t="str">
        <f>IF($B165="","",IF(COUNTIFS(Пул!$E$5:$E$300,$B165,Пул!$G$5:$G$300,"&lt;&gt;")=0,"",ROUND(SUMIFS(Пул!$G$5:$G$300,Пул!$E$5:$E$300,$B165),8)))</f>
        <v/>
      </c>
      <c r="E165" s="240" t="str">
        <f>IF($B165="","",IF(COUNTIFS(Пул!$E$5:$E$300,$B165,Пул!$H$5:$H$300,"&lt;&gt;")=0,"",ROUND(SUMIFS(Пул!$H$5:$H$300,Пул!$E$5:$E$300,$B165),8)))</f>
        <v/>
      </c>
      <c r="F165" s="241" t="str">
        <f>IF($B165="","",IF(COUNTIFS(Пул!$E$5:$E$300,$B165,Пул!$I$5:$I$300,"&lt;&gt;")=0,"",ROUND(SUMIFS(Пул!$I$5:$I$300,Пул!$E$5:$E$300,$B165),8)))</f>
        <v/>
      </c>
      <c r="G165" s="240" t="str">
        <f>IF($B165="","",IF(COUNTIFS(Пул!$E$5:$E$300,$B165,Пул!$H$5:$H$300,"&lt;&gt;")=0,"",ROUND(SUMIFS(Пул!$J$5:$J$300,Пул!$E$5:$E$300,$B165),8)))</f>
        <v/>
      </c>
      <c r="H165" s="241" t="str">
        <f>IF($B165="","",IF(COUNTIFS(Пул!$E$5:$E$300,$B165,Пул!$I$5:$I$300,"&lt;&gt;")=0,"",ROUND(SUMIFS(Пул!$K$5:$K$300,Пул!$E$5:$E$300,$B165),8)))</f>
        <v/>
      </c>
      <c r="I165" s="236" t="str">
        <f>IF(AND(ISNUMBER(G165),ISNUMBER(H165)),IF(AND(G165&gt;0,H165&lt;0),"Buy",IF(AND(G165&lt;0,H165&gt;0),"Sell","")),"")</f>
        <v/>
      </c>
      <c r="J165" s="177" t="str">
        <f>IF(I165="Buy",G165,IF(I165="Sell",-G165,""))</f>
        <v/>
      </c>
      <c r="K165" s="177" t="str">
        <f>IF(AND(ISNUMBER(J165),ISNUMBER(L165),N(J165)&lt;&gt;0),ROUND(L165/J165,8),"")</f>
        <v/>
      </c>
      <c r="L165" s="177" t="str">
        <f>IF(I165="Buy",-H165,IF(I165="Sell",H165,""))</f>
        <v/>
      </c>
    </row>
    <row r="166" ht="22" customHeight="1">
      <c r="B166" s="245" t="n"/>
      <c r="C166" s="246" t="str">
        <f>IF($B166="","",IF(COUNTIFS(Пул!$E$5:$E$300,$B166,Пул!$F$5:$F$300,"&lt;&gt;")=0,"",ROUND(SUMIFS(Пул!$F$5:$F$300,Пул!$E$5:$E$300,$B166),8)))</f>
        <v/>
      </c>
      <c r="D166" s="247" t="str">
        <f>IF($B166="","",IF(COUNTIFS(Пул!$E$5:$E$300,$B166,Пул!$G$5:$G$300,"&lt;&gt;")=0,"",ROUND(SUMIFS(Пул!$G$5:$G$300,Пул!$E$5:$E$300,$B166),8)))</f>
        <v/>
      </c>
      <c r="E166" s="246" t="str">
        <f>IF($B166="","",IF(COUNTIFS(Пул!$E$5:$E$300,$B166,Пул!$H$5:$H$300,"&lt;&gt;")=0,"",ROUND(SUMIFS(Пул!$H$5:$H$300,Пул!$E$5:$E$300,$B166),8)))</f>
        <v/>
      </c>
      <c r="F166" s="247" t="str">
        <f>IF($B166="","",IF(COUNTIFS(Пул!$E$5:$E$300,$B166,Пул!$I$5:$I$300,"&lt;&gt;")=0,"",ROUND(SUMIFS(Пул!$I$5:$I$300,Пул!$E$5:$E$300,$B166),8)))</f>
        <v/>
      </c>
      <c r="G166" s="246" t="str">
        <f>IF($B166="","",IF(COUNTIFS(Пул!$E$5:$E$300,$B166,Пул!$H$5:$H$300,"&lt;&gt;")=0,"",ROUND(SUMIFS(Пул!$J$5:$J$300,Пул!$E$5:$E$300,$B166),8)))</f>
        <v/>
      </c>
      <c r="H166" s="247" t="str">
        <f>IF($B166="","",IF(COUNTIFS(Пул!$E$5:$E$300,$B166,Пул!$I$5:$I$300,"&lt;&gt;")=0,"",ROUND(SUMIFS(Пул!$K$5:$K$300,Пул!$E$5:$E$300,$B166),8)))</f>
        <v/>
      </c>
      <c r="I166" s="242" t="str">
        <f>IF(AND(ISNUMBER(G166),ISNUMBER(H166)),IF(AND(G166&gt;0,H166&lt;0),"Buy",IF(AND(G166&lt;0,H166&gt;0),"Sell","")),"")</f>
        <v/>
      </c>
      <c r="J166" s="183" t="str">
        <f>IF(I166="Buy",G166,IF(I166="Sell",-G166,""))</f>
        <v/>
      </c>
      <c r="K166" s="183" t="str">
        <f>IF(AND(ISNUMBER(J166),ISNUMBER(L166),N(J166)&lt;&gt;0),ROUND(L166/J166,8),"")</f>
        <v/>
      </c>
      <c r="L166" s="183" t="str">
        <f>IF(I166="Buy",-H166,IF(I166="Sell",H166,""))</f>
        <v/>
      </c>
    </row>
    <row r="167" ht="22" customHeight="1">
      <c r="B167" s="239" t="n"/>
      <c r="C167" s="240" t="str">
        <f>IF($B167="","",IF(COUNTIFS(Пул!$E$5:$E$300,$B167,Пул!$F$5:$F$300,"&lt;&gt;")=0,"",ROUND(SUMIFS(Пул!$F$5:$F$300,Пул!$E$5:$E$300,$B167),8)))</f>
        <v/>
      </c>
      <c r="D167" s="241" t="str">
        <f>IF($B167="","",IF(COUNTIFS(Пул!$E$5:$E$300,$B167,Пул!$G$5:$G$300,"&lt;&gt;")=0,"",ROUND(SUMIFS(Пул!$G$5:$G$300,Пул!$E$5:$E$300,$B167),8)))</f>
        <v/>
      </c>
      <c r="E167" s="240" t="str">
        <f>IF($B167="","",IF(COUNTIFS(Пул!$E$5:$E$300,$B167,Пул!$H$5:$H$300,"&lt;&gt;")=0,"",ROUND(SUMIFS(Пул!$H$5:$H$300,Пул!$E$5:$E$300,$B167),8)))</f>
        <v/>
      </c>
      <c r="F167" s="241" t="str">
        <f>IF($B167="","",IF(COUNTIFS(Пул!$E$5:$E$300,$B167,Пул!$I$5:$I$300,"&lt;&gt;")=0,"",ROUND(SUMIFS(Пул!$I$5:$I$300,Пул!$E$5:$E$300,$B167),8)))</f>
        <v/>
      </c>
      <c r="G167" s="240" t="str">
        <f>IF($B167="","",IF(COUNTIFS(Пул!$E$5:$E$300,$B167,Пул!$H$5:$H$300,"&lt;&gt;")=0,"",ROUND(SUMIFS(Пул!$J$5:$J$300,Пул!$E$5:$E$300,$B167),8)))</f>
        <v/>
      </c>
      <c r="H167" s="241" t="str">
        <f>IF($B167="","",IF(COUNTIFS(Пул!$E$5:$E$300,$B167,Пул!$I$5:$I$300,"&lt;&gt;")=0,"",ROUND(SUMIFS(Пул!$K$5:$K$300,Пул!$E$5:$E$300,$B167),8)))</f>
        <v/>
      </c>
      <c r="I167" s="236" t="str">
        <f>IF(AND(ISNUMBER(G167),ISNUMBER(H167)),IF(AND(G167&gt;0,H167&lt;0),"Buy",IF(AND(G167&lt;0,H167&gt;0),"Sell","")),"")</f>
        <v/>
      </c>
      <c r="J167" s="177" t="str">
        <f>IF(I167="Buy",G167,IF(I167="Sell",-G167,""))</f>
        <v/>
      </c>
      <c r="K167" s="177" t="str">
        <f>IF(AND(ISNUMBER(J167),ISNUMBER(L167),N(J167)&lt;&gt;0),ROUND(L167/J167,8),"")</f>
        <v/>
      </c>
      <c r="L167" s="177" t="str">
        <f>IF(I167="Buy",-H167,IF(I167="Sell",H167,""))</f>
        <v/>
      </c>
    </row>
    <row r="168" ht="22" customHeight="1">
      <c r="B168" s="245" t="n"/>
      <c r="C168" s="246" t="str">
        <f>IF($B168="","",IF(COUNTIFS(Пул!$E$5:$E$300,$B168,Пул!$F$5:$F$300,"&lt;&gt;")=0,"",ROUND(SUMIFS(Пул!$F$5:$F$300,Пул!$E$5:$E$300,$B168),8)))</f>
        <v/>
      </c>
      <c r="D168" s="247" t="str">
        <f>IF($B168="","",IF(COUNTIFS(Пул!$E$5:$E$300,$B168,Пул!$G$5:$G$300,"&lt;&gt;")=0,"",ROUND(SUMIFS(Пул!$G$5:$G$300,Пул!$E$5:$E$300,$B168),8)))</f>
        <v/>
      </c>
      <c r="E168" s="246" t="str">
        <f>IF($B168="","",IF(COUNTIFS(Пул!$E$5:$E$300,$B168,Пул!$H$5:$H$300,"&lt;&gt;")=0,"",ROUND(SUMIFS(Пул!$H$5:$H$300,Пул!$E$5:$E$300,$B168),8)))</f>
        <v/>
      </c>
      <c r="F168" s="247" t="str">
        <f>IF($B168="","",IF(COUNTIFS(Пул!$E$5:$E$300,$B168,Пул!$I$5:$I$300,"&lt;&gt;")=0,"",ROUND(SUMIFS(Пул!$I$5:$I$300,Пул!$E$5:$E$300,$B168),8)))</f>
        <v/>
      </c>
      <c r="G168" s="246" t="str">
        <f>IF($B168="","",IF(COUNTIFS(Пул!$E$5:$E$300,$B168,Пул!$H$5:$H$300,"&lt;&gt;")=0,"",ROUND(SUMIFS(Пул!$J$5:$J$300,Пул!$E$5:$E$300,$B168),8)))</f>
        <v/>
      </c>
      <c r="H168" s="247" t="str">
        <f>IF($B168="","",IF(COUNTIFS(Пул!$E$5:$E$300,$B168,Пул!$I$5:$I$300,"&lt;&gt;")=0,"",ROUND(SUMIFS(Пул!$K$5:$K$300,Пул!$E$5:$E$300,$B168),8)))</f>
        <v/>
      </c>
      <c r="I168" s="242" t="str">
        <f>IF(AND(ISNUMBER(G168),ISNUMBER(H168)),IF(AND(G168&gt;0,H168&lt;0),"Buy",IF(AND(G168&lt;0,H168&gt;0),"Sell","")),"")</f>
        <v/>
      </c>
      <c r="J168" s="183" t="str">
        <f>IF(I168="Buy",G168,IF(I168="Sell",-G168,""))</f>
        <v/>
      </c>
      <c r="K168" s="183" t="str">
        <f>IF(AND(ISNUMBER(J168),ISNUMBER(L168),N(J168)&lt;&gt;0),ROUND(L168/J168,8),"")</f>
        <v/>
      </c>
      <c r="L168" s="183" t="str">
        <f>IF(I168="Buy",-H168,IF(I168="Sell",H168,""))</f>
        <v/>
      </c>
    </row>
    <row r="169" ht="22" customHeight="1">
      <c r="B169" s="239" t="n"/>
      <c r="C169" s="240" t="str">
        <f>IF($B169="","",IF(COUNTIFS(Пул!$E$5:$E$300,$B169,Пул!$F$5:$F$300,"&lt;&gt;")=0,"",ROUND(SUMIFS(Пул!$F$5:$F$300,Пул!$E$5:$E$300,$B169),8)))</f>
        <v/>
      </c>
      <c r="D169" s="241" t="str">
        <f>IF($B169="","",IF(COUNTIFS(Пул!$E$5:$E$300,$B169,Пул!$G$5:$G$300,"&lt;&gt;")=0,"",ROUND(SUMIFS(Пул!$G$5:$G$300,Пул!$E$5:$E$300,$B169),8)))</f>
        <v/>
      </c>
      <c r="E169" s="240" t="str">
        <f>IF($B169="","",IF(COUNTIFS(Пул!$E$5:$E$300,$B169,Пул!$H$5:$H$300,"&lt;&gt;")=0,"",ROUND(SUMIFS(Пул!$H$5:$H$300,Пул!$E$5:$E$300,$B169),8)))</f>
        <v/>
      </c>
      <c r="F169" s="241" t="str">
        <f>IF($B169="","",IF(COUNTIFS(Пул!$E$5:$E$300,$B169,Пул!$I$5:$I$300,"&lt;&gt;")=0,"",ROUND(SUMIFS(Пул!$I$5:$I$300,Пул!$E$5:$E$300,$B169),8)))</f>
        <v/>
      </c>
      <c r="G169" s="240" t="str">
        <f>IF($B169="","",IF(COUNTIFS(Пул!$E$5:$E$300,$B169,Пул!$H$5:$H$300,"&lt;&gt;")=0,"",ROUND(SUMIFS(Пул!$J$5:$J$300,Пул!$E$5:$E$300,$B169),8)))</f>
        <v/>
      </c>
      <c r="H169" s="241" t="str">
        <f>IF($B169="","",IF(COUNTIFS(Пул!$E$5:$E$300,$B169,Пул!$I$5:$I$300,"&lt;&gt;")=0,"",ROUND(SUMIFS(Пул!$K$5:$K$300,Пул!$E$5:$E$300,$B169),8)))</f>
        <v/>
      </c>
      <c r="I169" s="236" t="str">
        <f>IF(AND(ISNUMBER(G169),ISNUMBER(H169)),IF(AND(G169&gt;0,H169&lt;0),"Buy",IF(AND(G169&lt;0,H169&gt;0),"Sell","")),"")</f>
        <v/>
      </c>
      <c r="J169" s="177" t="str">
        <f>IF(I169="Buy",G169,IF(I169="Sell",-G169,""))</f>
        <v/>
      </c>
      <c r="K169" s="177" t="str">
        <f>IF(AND(ISNUMBER(J169),ISNUMBER(L169),N(J169)&lt;&gt;0),ROUND(L169/J169,8),"")</f>
        <v/>
      </c>
      <c r="L169" s="177" t="str">
        <f>IF(I169="Buy",-H169,IF(I169="Sell",H169,""))</f>
        <v/>
      </c>
    </row>
    <row r="170" ht="22" customHeight="1">
      <c r="B170" s="245" t="n"/>
      <c r="C170" s="246" t="str">
        <f>IF($B170="","",IF(COUNTIFS(Пул!$E$5:$E$300,$B170,Пул!$F$5:$F$300,"&lt;&gt;")=0,"",ROUND(SUMIFS(Пул!$F$5:$F$300,Пул!$E$5:$E$300,$B170),8)))</f>
        <v/>
      </c>
      <c r="D170" s="247" t="str">
        <f>IF($B170="","",IF(COUNTIFS(Пул!$E$5:$E$300,$B170,Пул!$G$5:$G$300,"&lt;&gt;")=0,"",ROUND(SUMIFS(Пул!$G$5:$G$300,Пул!$E$5:$E$300,$B170),8)))</f>
        <v/>
      </c>
      <c r="E170" s="246" t="str">
        <f>IF($B170="","",IF(COUNTIFS(Пул!$E$5:$E$300,$B170,Пул!$H$5:$H$300,"&lt;&gt;")=0,"",ROUND(SUMIFS(Пул!$H$5:$H$300,Пул!$E$5:$E$300,$B170),8)))</f>
        <v/>
      </c>
      <c r="F170" s="247" t="str">
        <f>IF($B170="","",IF(COUNTIFS(Пул!$E$5:$E$300,$B170,Пул!$I$5:$I$300,"&lt;&gt;")=0,"",ROUND(SUMIFS(Пул!$I$5:$I$300,Пул!$E$5:$E$300,$B170),8)))</f>
        <v/>
      </c>
      <c r="G170" s="246" t="str">
        <f>IF($B170="","",IF(COUNTIFS(Пул!$E$5:$E$300,$B170,Пул!$H$5:$H$300,"&lt;&gt;")=0,"",ROUND(SUMIFS(Пул!$J$5:$J$300,Пул!$E$5:$E$300,$B170),8)))</f>
        <v/>
      </c>
      <c r="H170" s="247" t="str">
        <f>IF($B170="","",IF(COUNTIFS(Пул!$E$5:$E$300,$B170,Пул!$I$5:$I$300,"&lt;&gt;")=0,"",ROUND(SUMIFS(Пул!$K$5:$K$300,Пул!$E$5:$E$300,$B170),8)))</f>
        <v/>
      </c>
      <c r="I170" s="242" t="str">
        <f>IF(AND(ISNUMBER(G170),ISNUMBER(H170)),IF(AND(G170&gt;0,H170&lt;0),"Buy",IF(AND(G170&lt;0,H170&gt;0),"Sell","")),"")</f>
        <v/>
      </c>
      <c r="J170" s="183" t="str">
        <f>IF(I170="Buy",G170,IF(I170="Sell",-G170,""))</f>
        <v/>
      </c>
      <c r="K170" s="183" t="str">
        <f>IF(AND(ISNUMBER(J170),ISNUMBER(L170),N(J170)&lt;&gt;0),ROUND(L170/J170,8),"")</f>
        <v/>
      </c>
      <c r="L170" s="183" t="str">
        <f>IF(I170="Buy",-H170,IF(I170="Sell",H170,""))</f>
        <v/>
      </c>
    </row>
    <row r="171" ht="22" customHeight="1">
      <c r="B171" s="239" t="n"/>
      <c r="C171" s="240" t="str">
        <f>IF($B171="","",IF(COUNTIFS(Пул!$E$5:$E$300,$B171,Пул!$F$5:$F$300,"&lt;&gt;")=0,"",ROUND(SUMIFS(Пул!$F$5:$F$300,Пул!$E$5:$E$300,$B171),8)))</f>
        <v/>
      </c>
      <c r="D171" s="241" t="str">
        <f>IF($B171="","",IF(COUNTIFS(Пул!$E$5:$E$300,$B171,Пул!$G$5:$G$300,"&lt;&gt;")=0,"",ROUND(SUMIFS(Пул!$G$5:$G$300,Пул!$E$5:$E$300,$B171),8)))</f>
        <v/>
      </c>
      <c r="E171" s="240" t="str">
        <f>IF($B171="","",IF(COUNTIFS(Пул!$E$5:$E$300,$B171,Пул!$H$5:$H$300,"&lt;&gt;")=0,"",ROUND(SUMIFS(Пул!$H$5:$H$300,Пул!$E$5:$E$300,$B171),8)))</f>
        <v/>
      </c>
      <c r="F171" s="241" t="str">
        <f>IF($B171="","",IF(COUNTIFS(Пул!$E$5:$E$300,$B171,Пул!$I$5:$I$300,"&lt;&gt;")=0,"",ROUND(SUMIFS(Пул!$I$5:$I$300,Пул!$E$5:$E$300,$B171),8)))</f>
        <v/>
      </c>
      <c r="G171" s="240" t="str">
        <f>IF($B171="","",IF(COUNTIFS(Пул!$E$5:$E$300,$B171,Пул!$H$5:$H$300,"&lt;&gt;")=0,"",ROUND(SUMIFS(Пул!$J$5:$J$300,Пул!$E$5:$E$300,$B171),8)))</f>
        <v/>
      </c>
      <c r="H171" s="241" t="str">
        <f>IF($B171="","",IF(COUNTIFS(Пул!$E$5:$E$300,$B171,Пул!$I$5:$I$300,"&lt;&gt;")=0,"",ROUND(SUMIFS(Пул!$K$5:$K$300,Пул!$E$5:$E$300,$B171),8)))</f>
        <v/>
      </c>
      <c r="I171" s="236" t="str">
        <f>IF(AND(ISNUMBER(G171),ISNUMBER(H171)),IF(AND(G171&gt;0,H171&lt;0),"Buy",IF(AND(G171&lt;0,H171&gt;0),"Sell","")),"")</f>
        <v/>
      </c>
      <c r="J171" s="177" t="str">
        <f>IF(I171="Buy",G171,IF(I171="Sell",-G171,""))</f>
        <v/>
      </c>
      <c r="K171" s="177" t="str">
        <f>IF(AND(ISNUMBER(J171),ISNUMBER(L171),N(J171)&lt;&gt;0),ROUND(L171/J171,8),"")</f>
        <v/>
      </c>
      <c r="L171" s="177" t="str">
        <f>IF(I171="Buy",-H171,IF(I171="Sell",H171,""))</f>
        <v/>
      </c>
    </row>
    <row r="172" ht="22" customHeight="1">
      <c r="B172" s="245" t="n"/>
      <c r="C172" s="246" t="str">
        <f>IF($B172="","",IF(COUNTIFS(Пул!$E$5:$E$300,$B172,Пул!$F$5:$F$300,"&lt;&gt;")=0,"",ROUND(SUMIFS(Пул!$F$5:$F$300,Пул!$E$5:$E$300,$B172),8)))</f>
        <v/>
      </c>
      <c r="D172" s="247" t="str">
        <f>IF($B172="","",IF(COUNTIFS(Пул!$E$5:$E$300,$B172,Пул!$G$5:$G$300,"&lt;&gt;")=0,"",ROUND(SUMIFS(Пул!$G$5:$G$300,Пул!$E$5:$E$300,$B172),8)))</f>
        <v/>
      </c>
      <c r="E172" s="246" t="str">
        <f>IF($B172="","",IF(COUNTIFS(Пул!$E$5:$E$300,$B172,Пул!$H$5:$H$300,"&lt;&gt;")=0,"",ROUND(SUMIFS(Пул!$H$5:$H$300,Пул!$E$5:$E$300,$B172),8)))</f>
        <v/>
      </c>
      <c r="F172" s="247" t="str">
        <f>IF($B172="","",IF(COUNTIFS(Пул!$E$5:$E$300,$B172,Пул!$I$5:$I$300,"&lt;&gt;")=0,"",ROUND(SUMIFS(Пул!$I$5:$I$300,Пул!$E$5:$E$300,$B172),8)))</f>
        <v/>
      </c>
      <c r="G172" s="246" t="str">
        <f>IF($B172="","",IF(COUNTIFS(Пул!$E$5:$E$300,$B172,Пул!$H$5:$H$300,"&lt;&gt;")=0,"",ROUND(SUMIFS(Пул!$J$5:$J$300,Пул!$E$5:$E$300,$B172),8)))</f>
        <v/>
      </c>
      <c r="H172" s="247" t="str">
        <f>IF($B172="","",IF(COUNTIFS(Пул!$E$5:$E$300,$B172,Пул!$I$5:$I$300,"&lt;&gt;")=0,"",ROUND(SUMIFS(Пул!$K$5:$K$300,Пул!$E$5:$E$300,$B172),8)))</f>
        <v/>
      </c>
      <c r="I172" s="242" t="str">
        <f>IF(AND(ISNUMBER(G172),ISNUMBER(H172)),IF(AND(G172&gt;0,H172&lt;0),"Buy",IF(AND(G172&lt;0,H172&gt;0),"Sell","")),"")</f>
        <v/>
      </c>
      <c r="J172" s="183" t="str">
        <f>IF(I172="Buy",G172,IF(I172="Sell",-G172,""))</f>
        <v/>
      </c>
      <c r="K172" s="183" t="str">
        <f>IF(AND(ISNUMBER(J172),ISNUMBER(L172),N(J172)&lt;&gt;0),ROUND(L172/J172,8),"")</f>
        <v/>
      </c>
      <c r="L172" s="183" t="str">
        <f>IF(I172="Buy",-H172,IF(I172="Sell",H172,""))</f>
        <v/>
      </c>
    </row>
    <row r="173" ht="22" customHeight="1">
      <c r="B173" s="239" t="n"/>
      <c r="C173" s="240" t="str">
        <f>IF($B173="","",IF(COUNTIFS(Пул!$E$5:$E$300,$B173,Пул!$F$5:$F$300,"&lt;&gt;")=0,"",ROUND(SUMIFS(Пул!$F$5:$F$300,Пул!$E$5:$E$300,$B173),8)))</f>
        <v/>
      </c>
      <c r="D173" s="241" t="str">
        <f>IF($B173="","",IF(COUNTIFS(Пул!$E$5:$E$300,$B173,Пул!$G$5:$G$300,"&lt;&gt;")=0,"",ROUND(SUMIFS(Пул!$G$5:$G$300,Пул!$E$5:$E$300,$B173),8)))</f>
        <v/>
      </c>
      <c r="E173" s="240" t="str">
        <f>IF($B173="","",IF(COUNTIFS(Пул!$E$5:$E$300,$B173,Пул!$H$5:$H$300,"&lt;&gt;")=0,"",ROUND(SUMIFS(Пул!$H$5:$H$300,Пул!$E$5:$E$300,$B173),8)))</f>
        <v/>
      </c>
      <c r="F173" s="241" t="str">
        <f>IF($B173="","",IF(COUNTIFS(Пул!$E$5:$E$300,$B173,Пул!$I$5:$I$300,"&lt;&gt;")=0,"",ROUND(SUMIFS(Пул!$I$5:$I$300,Пул!$E$5:$E$300,$B173),8)))</f>
        <v/>
      </c>
      <c r="G173" s="240" t="str">
        <f>IF($B173="","",IF(COUNTIFS(Пул!$E$5:$E$300,$B173,Пул!$H$5:$H$300,"&lt;&gt;")=0,"",ROUND(SUMIFS(Пул!$J$5:$J$300,Пул!$E$5:$E$300,$B173),8)))</f>
        <v/>
      </c>
      <c r="H173" s="241" t="str">
        <f>IF($B173="","",IF(COUNTIFS(Пул!$E$5:$E$300,$B173,Пул!$I$5:$I$300,"&lt;&gt;")=0,"",ROUND(SUMIFS(Пул!$K$5:$K$300,Пул!$E$5:$E$300,$B173),8)))</f>
        <v/>
      </c>
      <c r="I173" s="236" t="str">
        <f>IF(AND(ISNUMBER(G173),ISNUMBER(H173)),IF(AND(G173&gt;0,H173&lt;0),"Buy",IF(AND(G173&lt;0,H173&gt;0),"Sell","")),"")</f>
        <v/>
      </c>
      <c r="J173" s="177" t="str">
        <f>IF(I173="Buy",G173,IF(I173="Sell",-G173,""))</f>
        <v/>
      </c>
      <c r="K173" s="177" t="str">
        <f>IF(AND(ISNUMBER(J173),ISNUMBER(L173),N(J173)&lt;&gt;0),ROUND(L173/J173,8),"")</f>
        <v/>
      </c>
      <c r="L173" s="177" t="str">
        <f>IF(I173="Buy",-H173,IF(I173="Sell",H173,""))</f>
        <v/>
      </c>
    </row>
    <row r="174" ht="22" customHeight="1">
      <c r="B174" s="245" t="n"/>
      <c r="C174" s="246" t="str">
        <f>IF($B174="","",IF(COUNTIFS(Пул!$E$5:$E$300,$B174,Пул!$F$5:$F$300,"&lt;&gt;")=0,"",ROUND(SUMIFS(Пул!$F$5:$F$300,Пул!$E$5:$E$300,$B174),8)))</f>
        <v/>
      </c>
      <c r="D174" s="247" t="str">
        <f>IF($B174="","",IF(COUNTIFS(Пул!$E$5:$E$300,$B174,Пул!$G$5:$G$300,"&lt;&gt;")=0,"",ROUND(SUMIFS(Пул!$G$5:$G$300,Пул!$E$5:$E$300,$B174),8)))</f>
        <v/>
      </c>
      <c r="E174" s="246" t="str">
        <f>IF($B174="","",IF(COUNTIFS(Пул!$E$5:$E$300,$B174,Пул!$H$5:$H$300,"&lt;&gt;")=0,"",ROUND(SUMIFS(Пул!$H$5:$H$300,Пул!$E$5:$E$300,$B174),8)))</f>
        <v/>
      </c>
      <c r="F174" s="247" t="str">
        <f>IF($B174="","",IF(COUNTIFS(Пул!$E$5:$E$300,$B174,Пул!$I$5:$I$300,"&lt;&gt;")=0,"",ROUND(SUMIFS(Пул!$I$5:$I$300,Пул!$E$5:$E$300,$B174),8)))</f>
        <v/>
      </c>
      <c r="G174" s="246" t="str">
        <f>IF($B174="","",IF(COUNTIFS(Пул!$E$5:$E$300,$B174,Пул!$H$5:$H$300,"&lt;&gt;")=0,"",ROUND(SUMIFS(Пул!$J$5:$J$300,Пул!$E$5:$E$300,$B174),8)))</f>
        <v/>
      </c>
      <c r="H174" s="247" t="str">
        <f>IF($B174="","",IF(COUNTIFS(Пул!$E$5:$E$300,$B174,Пул!$I$5:$I$300,"&lt;&gt;")=0,"",ROUND(SUMIFS(Пул!$K$5:$K$300,Пул!$E$5:$E$300,$B174),8)))</f>
        <v/>
      </c>
      <c r="I174" s="242" t="str">
        <f>IF(AND(ISNUMBER(G174),ISNUMBER(H174)),IF(AND(G174&gt;0,H174&lt;0),"Buy",IF(AND(G174&lt;0,H174&gt;0),"Sell","")),"")</f>
        <v/>
      </c>
      <c r="J174" s="183" t="str">
        <f>IF(I174="Buy",G174,IF(I174="Sell",-G174,""))</f>
        <v/>
      </c>
      <c r="K174" s="183" t="str">
        <f>IF(AND(ISNUMBER(J174),ISNUMBER(L174),N(J174)&lt;&gt;0),ROUND(L174/J174,8),"")</f>
        <v/>
      </c>
      <c r="L174" s="183" t="str">
        <f>IF(I174="Buy",-H174,IF(I174="Sell",H174,""))</f>
        <v/>
      </c>
    </row>
    <row r="175" ht="22" customHeight="1">
      <c r="B175" s="239" t="n"/>
      <c r="C175" s="240" t="str">
        <f>IF($B175="","",IF(COUNTIFS(Пул!$E$5:$E$300,$B175,Пул!$F$5:$F$300,"&lt;&gt;")=0,"",ROUND(SUMIFS(Пул!$F$5:$F$300,Пул!$E$5:$E$300,$B175),8)))</f>
        <v/>
      </c>
      <c r="D175" s="241" t="str">
        <f>IF($B175="","",IF(COUNTIFS(Пул!$E$5:$E$300,$B175,Пул!$G$5:$G$300,"&lt;&gt;")=0,"",ROUND(SUMIFS(Пул!$G$5:$G$300,Пул!$E$5:$E$300,$B175),8)))</f>
        <v/>
      </c>
      <c r="E175" s="240" t="str">
        <f>IF($B175="","",IF(COUNTIFS(Пул!$E$5:$E$300,$B175,Пул!$H$5:$H$300,"&lt;&gt;")=0,"",ROUND(SUMIFS(Пул!$H$5:$H$300,Пул!$E$5:$E$300,$B175),8)))</f>
        <v/>
      </c>
      <c r="F175" s="241" t="str">
        <f>IF($B175="","",IF(COUNTIFS(Пул!$E$5:$E$300,$B175,Пул!$I$5:$I$300,"&lt;&gt;")=0,"",ROUND(SUMIFS(Пул!$I$5:$I$300,Пул!$E$5:$E$300,$B175),8)))</f>
        <v/>
      </c>
      <c r="G175" s="240" t="str">
        <f>IF($B175="","",IF(COUNTIFS(Пул!$E$5:$E$300,$B175,Пул!$H$5:$H$300,"&lt;&gt;")=0,"",ROUND(SUMIFS(Пул!$J$5:$J$300,Пул!$E$5:$E$300,$B175),8)))</f>
        <v/>
      </c>
      <c r="H175" s="241" t="str">
        <f>IF($B175="","",IF(COUNTIFS(Пул!$E$5:$E$300,$B175,Пул!$I$5:$I$300,"&lt;&gt;")=0,"",ROUND(SUMIFS(Пул!$K$5:$K$300,Пул!$E$5:$E$300,$B175),8)))</f>
        <v/>
      </c>
      <c r="I175" s="236" t="str">
        <f>IF(AND(ISNUMBER(G175),ISNUMBER(H175)),IF(AND(G175&gt;0,H175&lt;0),"Buy",IF(AND(G175&lt;0,H175&gt;0),"Sell","")),"")</f>
        <v/>
      </c>
      <c r="J175" s="177" t="str">
        <f>IF(I175="Buy",G175,IF(I175="Sell",-G175,""))</f>
        <v/>
      </c>
      <c r="K175" s="177" t="str">
        <f>IF(AND(ISNUMBER(J175),ISNUMBER(L175),N(J175)&lt;&gt;0),ROUND(L175/J175,8),"")</f>
        <v/>
      </c>
      <c r="L175" s="177" t="str">
        <f>IF(I175="Buy",-H175,IF(I175="Sell",H175,""))</f>
        <v/>
      </c>
    </row>
    <row r="176" ht="22" customHeight="1">
      <c r="B176" s="245" t="n"/>
      <c r="C176" s="246" t="str">
        <f>IF($B176="","",IF(COUNTIFS(Пул!$E$5:$E$300,$B176,Пул!$F$5:$F$300,"&lt;&gt;")=0,"",ROUND(SUMIFS(Пул!$F$5:$F$300,Пул!$E$5:$E$300,$B176),8)))</f>
        <v/>
      </c>
      <c r="D176" s="247" t="str">
        <f>IF($B176="","",IF(COUNTIFS(Пул!$E$5:$E$300,$B176,Пул!$G$5:$G$300,"&lt;&gt;")=0,"",ROUND(SUMIFS(Пул!$G$5:$G$300,Пул!$E$5:$E$300,$B176),8)))</f>
        <v/>
      </c>
      <c r="E176" s="246" t="str">
        <f>IF($B176="","",IF(COUNTIFS(Пул!$E$5:$E$300,$B176,Пул!$H$5:$H$300,"&lt;&gt;")=0,"",ROUND(SUMIFS(Пул!$H$5:$H$300,Пул!$E$5:$E$300,$B176),8)))</f>
        <v/>
      </c>
      <c r="F176" s="247" t="str">
        <f>IF($B176="","",IF(COUNTIFS(Пул!$E$5:$E$300,$B176,Пул!$I$5:$I$300,"&lt;&gt;")=0,"",ROUND(SUMIFS(Пул!$I$5:$I$300,Пул!$E$5:$E$300,$B176),8)))</f>
        <v/>
      </c>
      <c r="G176" s="246" t="str">
        <f>IF($B176="","",IF(COUNTIFS(Пул!$E$5:$E$300,$B176,Пул!$H$5:$H$300,"&lt;&gt;")=0,"",ROUND(SUMIFS(Пул!$J$5:$J$300,Пул!$E$5:$E$300,$B176),8)))</f>
        <v/>
      </c>
      <c r="H176" s="247" t="str">
        <f>IF($B176="","",IF(COUNTIFS(Пул!$E$5:$E$300,$B176,Пул!$I$5:$I$300,"&lt;&gt;")=0,"",ROUND(SUMIFS(Пул!$K$5:$K$300,Пул!$E$5:$E$300,$B176),8)))</f>
        <v/>
      </c>
      <c r="I176" s="242" t="str">
        <f>IF(AND(ISNUMBER(G176),ISNUMBER(H176)),IF(AND(G176&gt;0,H176&lt;0),"Buy",IF(AND(G176&lt;0,H176&gt;0),"Sell","")),"")</f>
        <v/>
      </c>
      <c r="J176" s="183" t="str">
        <f>IF(I176="Buy",G176,IF(I176="Sell",-G176,""))</f>
        <v/>
      </c>
      <c r="K176" s="183" t="str">
        <f>IF(AND(ISNUMBER(J176),ISNUMBER(L176),N(J176)&lt;&gt;0),ROUND(L176/J176,8),"")</f>
        <v/>
      </c>
      <c r="L176" s="183" t="str">
        <f>IF(I176="Buy",-H176,IF(I176="Sell",H176,""))</f>
        <v/>
      </c>
    </row>
    <row r="177" ht="22" customHeight="1">
      <c r="B177" s="239" t="n"/>
      <c r="C177" s="240" t="str">
        <f>IF($B177="","",IF(COUNTIFS(Пул!$E$5:$E$300,$B177,Пул!$F$5:$F$300,"&lt;&gt;")=0,"",ROUND(SUMIFS(Пул!$F$5:$F$300,Пул!$E$5:$E$300,$B177),8)))</f>
        <v/>
      </c>
      <c r="D177" s="241" t="str">
        <f>IF($B177="","",IF(COUNTIFS(Пул!$E$5:$E$300,$B177,Пул!$G$5:$G$300,"&lt;&gt;")=0,"",ROUND(SUMIFS(Пул!$G$5:$G$300,Пул!$E$5:$E$300,$B177),8)))</f>
        <v/>
      </c>
      <c r="E177" s="240" t="str">
        <f>IF($B177="","",IF(COUNTIFS(Пул!$E$5:$E$300,$B177,Пул!$H$5:$H$300,"&lt;&gt;")=0,"",ROUND(SUMIFS(Пул!$H$5:$H$300,Пул!$E$5:$E$300,$B177),8)))</f>
        <v/>
      </c>
      <c r="F177" s="241" t="str">
        <f>IF($B177="","",IF(COUNTIFS(Пул!$E$5:$E$300,$B177,Пул!$I$5:$I$300,"&lt;&gt;")=0,"",ROUND(SUMIFS(Пул!$I$5:$I$300,Пул!$E$5:$E$300,$B177),8)))</f>
        <v/>
      </c>
      <c r="G177" s="240" t="str">
        <f>IF($B177="","",IF(COUNTIFS(Пул!$E$5:$E$300,$B177,Пул!$H$5:$H$300,"&lt;&gt;")=0,"",ROUND(SUMIFS(Пул!$J$5:$J$300,Пул!$E$5:$E$300,$B177),8)))</f>
        <v/>
      </c>
      <c r="H177" s="241" t="str">
        <f>IF($B177="","",IF(COUNTIFS(Пул!$E$5:$E$300,$B177,Пул!$I$5:$I$300,"&lt;&gt;")=0,"",ROUND(SUMIFS(Пул!$K$5:$K$300,Пул!$E$5:$E$300,$B177),8)))</f>
        <v/>
      </c>
      <c r="I177" s="236" t="str">
        <f>IF(AND(ISNUMBER(G177),ISNUMBER(H177)),IF(AND(G177&gt;0,H177&lt;0),"Buy",IF(AND(G177&lt;0,H177&gt;0),"Sell","")),"")</f>
        <v/>
      </c>
      <c r="J177" s="177" t="str">
        <f>IF(I177="Buy",G177,IF(I177="Sell",-G177,""))</f>
        <v/>
      </c>
      <c r="K177" s="177" t="str">
        <f>IF(AND(ISNUMBER(J177),ISNUMBER(L177),N(J177)&lt;&gt;0),ROUND(L177/J177,8),"")</f>
        <v/>
      </c>
      <c r="L177" s="177" t="str">
        <f>IF(I177="Buy",-H177,IF(I177="Sell",H177,""))</f>
        <v/>
      </c>
    </row>
    <row r="178" ht="22" customHeight="1">
      <c r="B178" s="245" t="n"/>
      <c r="C178" s="246" t="str">
        <f>IF($B178="","",IF(COUNTIFS(Пул!$E$5:$E$300,$B178,Пул!$F$5:$F$300,"&lt;&gt;")=0,"",ROUND(SUMIFS(Пул!$F$5:$F$300,Пул!$E$5:$E$300,$B178),8)))</f>
        <v/>
      </c>
      <c r="D178" s="247" t="str">
        <f>IF($B178="","",IF(COUNTIFS(Пул!$E$5:$E$300,$B178,Пул!$G$5:$G$300,"&lt;&gt;")=0,"",ROUND(SUMIFS(Пул!$G$5:$G$300,Пул!$E$5:$E$300,$B178),8)))</f>
        <v/>
      </c>
      <c r="E178" s="246" t="str">
        <f>IF($B178="","",IF(COUNTIFS(Пул!$E$5:$E$300,$B178,Пул!$H$5:$H$300,"&lt;&gt;")=0,"",ROUND(SUMIFS(Пул!$H$5:$H$300,Пул!$E$5:$E$300,$B178),8)))</f>
        <v/>
      </c>
      <c r="F178" s="247" t="str">
        <f>IF($B178="","",IF(COUNTIFS(Пул!$E$5:$E$300,$B178,Пул!$I$5:$I$300,"&lt;&gt;")=0,"",ROUND(SUMIFS(Пул!$I$5:$I$300,Пул!$E$5:$E$300,$B178),8)))</f>
        <v/>
      </c>
      <c r="G178" s="246" t="str">
        <f>IF($B178="","",IF(COUNTIFS(Пул!$E$5:$E$300,$B178,Пул!$H$5:$H$300,"&lt;&gt;")=0,"",ROUND(SUMIFS(Пул!$J$5:$J$300,Пул!$E$5:$E$300,$B178),8)))</f>
        <v/>
      </c>
      <c r="H178" s="247" t="str">
        <f>IF($B178="","",IF(COUNTIFS(Пул!$E$5:$E$300,$B178,Пул!$I$5:$I$300,"&lt;&gt;")=0,"",ROUND(SUMIFS(Пул!$K$5:$K$300,Пул!$E$5:$E$300,$B178),8)))</f>
        <v/>
      </c>
      <c r="I178" s="242" t="str">
        <f>IF(AND(ISNUMBER(G178),ISNUMBER(H178)),IF(AND(G178&gt;0,H178&lt;0),"Buy",IF(AND(G178&lt;0,H178&gt;0),"Sell","")),"")</f>
        <v/>
      </c>
      <c r="J178" s="183" t="str">
        <f>IF(I178="Buy",G178,IF(I178="Sell",-G178,""))</f>
        <v/>
      </c>
      <c r="K178" s="183" t="str">
        <f>IF(AND(ISNUMBER(J178),ISNUMBER(L178),N(J178)&lt;&gt;0),ROUND(L178/J178,8),"")</f>
        <v/>
      </c>
      <c r="L178" s="183" t="str">
        <f>IF(I178="Buy",-H178,IF(I178="Sell",H178,""))</f>
        <v/>
      </c>
    </row>
    <row r="179" ht="22" customHeight="1">
      <c r="B179" s="239" t="n"/>
      <c r="C179" s="240" t="str">
        <f>IF($B179="","",IF(COUNTIFS(Пул!$E$5:$E$300,$B179,Пул!$F$5:$F$300,"&lt;&gt;")=0,"",ROUND(SUMIFS(Пул!$F$5:$F$300,Пул!$E$5:$E$300,$B179),8)))</f>
        <v/>
      </c>
      <c r="D179" s="241" t="str">
        <f>IF($B179="","",IF(COUNTIFS(Пул!$E$5:$E$300,$B179,Пул!$G$5:$G$300,"&lt;&gt;")=0,"",ROUND(SUMIFS(Пул!$G$5:$G$300,Пул!$E$5:$E$300,$B179),8)))</f>
        <v/>
      </c>
      <c r="E179" s="240" t="str">
        <f>IF($B179="","",IF(COUNTIFS(Пул!$E$5:$E$300,$B179,Пул!$H$5:$H$300,"&lt;&gt;")=0,"",ROUND(SUMIFS(Пул!$H$5:$H$300,Пул!$E$5:$E$300,$B179),8)))</f>
        <v/>
      </c>
      <c r="F179" s="241" t="str">
        <f>IF($B179="","",IF(COUNTIFS(Пул!$E$5:$E$300,$B179,Пул!$I$5:$I$300,"&lt;&gt;")=0,"",ROUND(SUMIFS(Пул!$I$5:$I$300,Пул!$E$5:$E$300,$B179),8)))</f>
        <v/>
      </c>
      <c r="G179" s="240" t="str">
        <f>IF($B179="","",IF(COUNTIFS(Пул!$E$5:$E$300,$B179,Пул!$H$5:$H$300,"&lt;&gt;")=0,"",ROUND(SUMIFS(Пул!$J$5:$J$300,Пул!$E$5:$E$300,$B179),8)))</f>
        <v/>
      </c>
      <c r="H179" s="241" t="str">
        <f>IF($B179="","",IF(COUNTIFS(Пул!$E$5:$E$300,$B179,Пул!$I$5:$I$300,"&lt;&gt;")=0,"",ROUND(SUMIFS(Пул!$K$5:$K$300,Пул!$E$5:$E$300,$B179),8)))</f>
        <v/>
      </c>
      <c r="I179" s="236" t="str">
        <f>IF(AND(ISNUMBER(G179),ISNUMBER(H179)),IF(AND(G179&gt;0,H179&lt;0),"Buy",IF(AND(G179&lt;0,H179&gt;0),"Sell","")),"")</f>
        <v/>
      </c>
      <c r="J179" s="177" t="str">
        <f>IF(I179="Buy",G179,IF(I179="Sell",-G179,""))</f>
        <v/>
      </c>
      <c r="K179" s="177" t="str">
        <f>IF(AND(ISNUMBER(J179),ISNUMBER(L179),N(J179)&lt;&gt;0),ROUND(L179/J179,8),"")</f>
        <v/>
      </c>
      <c r="L179" s="177" t="str">
        <f>IF(I179="Buy",-H179,IF(I179="Sell",H179,""))</f>
        <v/>
      </c>
    </row>
    <row r="180" ht="22" customHeight="1">
      <c r="B180" s="245" t="n"/>
      <c r="C180" s="246" t="str">
        <f>IF($B180="","",IF(COUNTIFS(Пул!$E$5:$E$300,$B180,Пул!$F$5:$F$300,"&lt;&gt;")=0,"",ROUND(SUMIFS(Пул!$F$5:$F$300,Пул!$E$5:$E$300,$B180),8)))</f>
        <v/>
      </c>
      <c r="D180" s="247" t="str">
        <f>IF($B180="","",IF(COUNTIFS(Пул!$E$5:$E$300,$B180,Пул!$G$5:$G$300,"&lt;&gt;")=0,"",ROUND(SUMIFS(Пул!$G$5:$G$300,Пул!$E$5:$E$300,$B180),8)))</f>
        <v/>
      </c>
      <c r="E180" s="246" t="str">
        <f>IF($B180="","",IF(COUNTIFS(Пул!$E$5:$E$300,$B180,Пул!$H$5:$H$300,"&lt;&gt;")=0,"",ROUND(SUMIFS(Пул!$H$5:$H$300,Пул!$E$5:$E$300,$B180),8)))</f>
        <v/>
      </c>
      <c r="F180" s="247" t="str">
        <f>IF($B180="","",IF(COUNTIFS(Пул!$E$5:$E$300,$B180,Пул!$I$5:$I$300,"&lt;&gt;")=0,"",ROUND(SUMIFS(Пул!$I$5:$I$300,Пул!$E$5:$E$300,$B180),8)))</f>
        <v/>
      </c>
      <c r="G180" s="246" t="str">
        <f>IF($B180="","",IF(COUNTIFS(Пул!$E$5:$E$300,$B180,Пул!$H$5:$H$300,"&lt;&gt;")=0,"",ROUND(SUMIFS(Пул!$J$5:$J$300,Пул!$E$5:$E$300,$B180),8)))</f>
        <v/>
      </c>
      <c r="H180" s="247" t="str">
        <f>IF($B180="","",IF(COUNTIFS(Пул!$E$5:$E$300,$B180,Пул!$I$5:$I$300,"&lt;&gt;")=0,"",ROUND(SUMIFS(Пул!$K$5:$K$300,Пул!$E$5:$E$300,$B180),8)))</f>
        <v/>
      </c>
      <c r="I180" s="242" t="str">
        <f>IF(AND(ISNUMBER(G180),ISNUMBER(H180)),IF(AND(G180&gt;0,H180&lt;0),"Buy",IF(AND(G180&lt;0,H180&gt;0),"Sell","")),"")</f>
        <v/>
      </c>
      <c r="J180" s="183" t="str">
        <f>IF(I180="Buy",G180,IF(I180="Sell",-G180,""))</f>
        <v/>
      </c>
      <c r="K180" s="183" t="str">
        <f>IF(AND(ISNUMBER(J180),ISNUMBER(L180),N(J180)&lt;&gt;0),ROUND(L180/J180,8),"")</f>
        <v/>
      </c>
      <c r="L180" s="183" t="str">
        <f>IF(I180="Buy",-H180,IF(I180="Sell",H180,""))</f>
        <v/>
      </c>
    </row>
    <row r="181" ht="22" customHeight="1">
      <c r="B181" s="239" t="n"/>
      <c r="C181" s="240" t="str">
        <f>IF($B181="","",IF(COUNTIFS(Пул!$E$5:$E$300,$B181,Пул!$F$5:$F$300,"&lt;&gt;")=0,"",ROUND(SUMIFS(Пул!$F$5:$F$300,Пул!$E$5:$E$300,$B181),8)))</f>
        <v/>
      </c>
      <c r="D181" s="241" t="str">
        <f>IF($B181="","",IF(COUNTIFS(Пул!$E$5:$E$300,$B181,Пул!$G$5:$G$300,"&lt;&gt;")=0,"",ROUND(SUMIFS(Пул!$G$5:$G$300,Пул!$E$5:$E$300,$B181),8)))</f>
        <v/>
      </c>
      <c r="E181" s="240" t="str">
        <f>IF($B181="","",IF(COUNTIFS(Пул!$E$5:$E$300,$B181,Пул!$H$5:$H$300,"&lt;&gt;")=0,"",ROUND(SUMIFS(Пул!$H$5:$H$300,Пул!$E$5:$E$300,$B181),8)))</f>
        <v/>
      </c>
      <c r="F181" s="241" t="str">
        <f>IF($B181="","",IF(COUNTIFS(Пул!$E$5:$E$300,$B181,Пул!$I$5:$I$300,"&lt;&gt;")=0,"",ROUND(SUMIFS(Пул!$I$5:$I$300,Пул!$E$5:$E$300,$B181),8)))</f>
        <v/>
      </c>
      <c r="G181" s="240" t="str">
        <f>IF($B181="","",IF(COUNTIFS(Пул!$E$5:$E$300,$B181,Пул!$H$5:$H$300,"&lt;&gt;")=0,"",ROUND(SUMIFS(Пул!$J$5:$J$300,Пул!$E$5:$E$300,$B181),8)))</f>
        <v/>
      </c>
      <c r="H181" s="241" t="str">
        <f>IF($B181="","",IF(COUNTIFS(Пул!$E$5:$E$300,$B181,Пул!$I$5:$I$300,"&lt;&gt;")=0,"",ROUND(SUMIFS(Пул!$K$5:$K$300,Пул!$E$5:$E$300,$B181),8)))</f>
        <v/>
      </c>
      <c r="I181" s="236" t="str">
        <f>IF(AND(ISNUMBER(G181),ISNUMBER(H181)),IF(AND(G181&gt;0,H181&lt;0),"Buy",IF(AND(G181&lt;0,H181&gt;0),"Sell","")),"")</f>
        <v/>
      </c>
      <c r="J181" s="177" t="str">
        <f>IF(I181="Buy",G181,IF(I181="Sell",-G181,""))</f>
        <v/>
      </c>
      <c r="K181" s="177" t="str">
        <f>IF(AND(ISNUMBER(J181),ISNUMBER(L181),N(J181)&lt;&gt;0),ROUND(L181/J181,8),"")</f>
        <v/>
      </c>
      <c r="L181" s="177" t="str">
        <f>IF(I181="Buy",-H181,IF(I181="Sell",H181,""))</f>
        <v/>
      </c>
    </row>
    <row r="182" ht="22" customHeight="1">
      <c r="B182" s="245" t="n"/>
      <c r="C182" s="246" t="str">
        <f>IF($B182="","",IF(COUNTIFS(Пул!$E$5:$E$300,$B182,Пул!$F$5:$F$300,"&lt;&gt;")=0,"",ROUND(SUMIFS(Пул!$F$5:$F$300,Пул!$E$5:$E$300,$B182),8)))</f>
        <v/>
      </c>
      <c r="D182" s="247" t="str">
        <f>IF($B182="","",IF(COUNTIFS(Пул!$E$5:$E$300,$B182,Пул!$G$5:$G$300,"&lt;&gt;")=0,"",ROUND(SUMIFS(Пул!$G$5:$G$300,Пул!$E$5:$E$300,$B182),8)))</f>
        <v/>
      </c>
      <c r="E182" s="246" t="str">
        <f>IF($B182="","",IF(COUNTIFS(Пул!$E$5:$E$300,$B182,Пул!$H$5:$H$300,"&lt;&gt;")=0,"",ROUND(SUMIFS(Пул!$H$5:$H$300,Пул!$E$5:$E$300,$B182),8)))</f>
        <v/>
      </c>
      <c r="F182" s="247" t="str">
        <f>IF($B182="","",IF(COUNTIFS(Пул!$E$5:$E$300,$B182,Пул!$I$5:$I$300,"&lt;&gt;")=0,"",ROUND(SUMIFS(Пул!$I$5:$I$300,Пул!$E$5:$E$300,$B182),8)))</f>
        <v/>
      </c>
      <c r="G182" s="246" t="str">
        <f>IF($B182="","",IF(COUNTIFS(Пул!$E$5:$E$300,$B182,Пул!$H$5:$H$300,"&lt;&gt;")=0,"",ROUND(SUMIFS(Пул!$J$5:$J$300,Пул!$E$5:$E$300,$B182),8)))</f>
        <v/>
      </c>
      <c r="H182" s="247" t="str">
        <f>IF($B182="","",IF(COUNTIFS(Пул!$E$5:$E$300,$B182,Пул!$I$5:$I$300,"&lt;&gt;")=0,"",ROUND(SUMIFS(Пул!$K$5:$K$300,Пул!$E$5:$E$300,$B182),8)))</f>
        <v/>
      </c>
      <c r="I182" s="242" t="str">
        <f>IF(AND(ISNUMBER(G182),ISNUMBER(H182)),IF(AND(G182&gt;0,H182&lt;0),"Buy",IF(AND(G182&lt;0,H182&gt;0),"Sell","")),"")</f>
        <v/>
      </c>
      <c r="J182" s="183" t="str">
        <f>IF(I182="Buy",G182,IF(I182="Sell",-G182,""))</f>
        <v/>
      </c>
      <c r="K182" s="183" t="str">
        <f>IF(AND(ISNUMBER(J182),ISNUMBER(L182),N(J182)&lt;&gt;0),ROUND(L182/J182,8),"")</f>
        <v/>
      </c>
      <c r="L182" s="183" t="str">
        <f>IF(I182="Buy",-H182,IF(I182="Sell",H182,""))</f>
        <v/>
      </c>
    </row>
    <row r="183" ht="22" customHeight="1">
      <c r="B183" s="239" t="n"/>
      <c r="C183" s="240" t="str">
        <f>IF($B183="","",IF(COUNTIFS(Пул!$E$5:$E$300,$B183,Пул!$F$5:$F$300,"&lt;&gt;")=0,"",ROUND(SUMIFS(Пул!$F$5:$F$300,Пул!$E$5:$E$300,$B183),8)))</f>
        <v/>
      </c>
      <c r="D183" s="241" t="str">
        <f>IF($B183="","",IF(COUNTIFS(Пул!$E$5:$E$300,$B183,Пул!$G$5:$G$300,"&lt;&gt;")=0,"",ROUND(SUMIFS(Пул!$G$5:$G$300,Пул!$E$5:$E$300,$B183),8)))</f>
        <v/>
      </c>
      <c r="E183" s="240" t="str">
        <f>IF($B183="","",IF(COUNTIFS(Пул!$E$5:$E$300,$B183,Пул!$H$5:$H$300,"&lt;&gt;")=0,"",ROUND(SUMIFS(Пул!$H$5:$H$300,Пул!$E$5:$E$300,$B183),8)))</f>
        <v/>
      </c>
      <c r="F183" s="241" t="str">
        <f>IF($B183="","",IF(COUNTIFS(Пул!$E$5:$E$300,$B183,Пул!$I$5:$I$300,"&lt;&gt;")=0,"",ROUND(SUMIFS(Пул!$I$5:$I$300,Пул!$E$5:$E$300,$B183),8)))</f>
        <v/>
      </c>
      <c r="G183" s="240" t="str">
        <f>IF($B183="","",IF(COUNTIFS(Пул!$E$5:$E$300,$B183,Пул!$H$5:$H$300,"&lt;&gt;")=0,"",ROUND(SUMIFS(Пул!$J$5:$J$300,Пул!$E$5:$E$300,$B183),8)))</f>
        <v/>
      </c>
      <c r="H183" s="241" t="str">
        <f>IF($B183="","",IF(COUNTIFS(Пул!$E$5:$E$300,$B183,Пул!$I$5:$I$300,"&lt;&gt;")=0,"",ROUND(SUMIFS(Пул!$K$5:$K$300,Пул!$E$5:$E$300,$B183),8)))</f>
        <v/>
      </c>
      <c r="I183" s="236" t="str">
        <f>IF(AND(ISNUMBER(G183),ISNUMBER(H183)),IF(AND(G183&gt;0,H183&lt;0),"Buy",IF(AND(G183&lt;0,H183&gt;0),"Sell","")),"")</f>
        <v/>
      </c>
      <c r="J183" s="177" t="str">
        <f>IF(I183="Buy",G183,IF(I183="Sell",-G183,""))</f>
        <v/>
      </c>
      <c r="K183" s="177" t="str">
        <f>IF(AND(ISNUMBER(J183),ISNUMBER(L183),N(J183)&lt;&gt;0),ROUND(L183/J183,8),"")</f>
        <v/>
      </c>
      <c r="L183" s="177" t="str">
        <f>IF(I183="Buy",-H183,IF(I183="Sell",H183,""))</f>
        <v/>
      </c>
    </row>
    <row r="184" ht="22" customHeight="1">
      <c r="B184" s="245" t="n"/>
      <c r="C184" s="246" t="str">
        <f>IF($B184="","",IF(COUNTIFS(Пул!$E$5:$E$300,$B184,Пул!$F$5:$F$300,"&lt;&gt;")=0,"",ROUND(SUMIFS(Пул!$F$5:$F$300,Пул!$E$5:$E$300,$B184),8)))</f>
        <v/>
      </c>
      <c r="D184" s="247" t="str">
        <f>IF($B184="","",IF(COUNTIFS(Пул!$E$5:$E$300,$B184,Пул!$G$5:$G$300,"&lt;&gt;")=0,"",ROUND(SUMIFS(Пул!$G$5:$G$300,Пул!$E$5:$E$300,$B184),8)))</f>
        <v/>
      </c>
      <c r="E184" s="246" t="str">
        <f>IF($B184="","",IF(COUNTIFS(Пул!$E$5:$E$300,$B184,Пул!$H$5:$H$300,"&lt;&gt;")=0,"",ROUND(SUMIFS(Пул!$H$5:$H$300,Пул!$E$5:$E$300,$B184),8)))</f>
        <v/>
      </c>
      <c r="F184" s="247" t="str">
        <f>IF($B184="","",IF(COUNTIFS(Пул!$E$5:$E$300,$B184,Пул!$I$5:$I$300,"&lt;&gt;")=0,"",ROUND(SUMIFS(Пул!$I$5:$I$300,Пул!$E$5:$E$300,$B184),8)))</f>
        <v/>
      </c>
      <c r="G184" s="246" t="str">
        <f>IF($B184="","",IF(COUNTIFS(Пул!$E$5:$E$300,$B184,Пул!$H$5:$H$300,"&lt;&gt;")=0,"",ROUND(SUMIFS(Пул!$J$5:$J$300,Пул!$E$5:$E$300,$B184),8)))</f>
        <v/>
      </c>
      <c r="H184" s="247" t="str">
        <f>IF($B184="","",IF(COUNTIFS(Пул!$E$5:$E$300,$B184,Пул!$I$5:$I$300,"&lt;&gt;")=0,"",ROUND(SUMIFS(Пул!$K$5:$K$300,Пул!$E$5:$E$300,$B184),8)))</f>
        <v/>
      </c>
      <c r="I184" s="242" t="str">
        <f>IF(AND(ISNUMBER(G184),ISNUMBER(H184)),IF(AND(G184&gt;0,H184&lt;0),"Buy",IF(AND(G184&lt;0,H184&gt;0),"Sell","")),"")</f>
        <v/>
      </c>
      <c r="J184" s="183" t="str">
        <f>IF(I184="Buy",G184,IF(I184="Sell",-G184,""))</f>
        <v/>
      </c>
      <c r="K184" s="183" t="str">
        <f>IF(AND(ISNUMBER(J184),ISNUMBER(L184),N(J184)&lt;&gt;0),ROUND(L184/J184,8),"")</f>
        <v/>
      </c>
      <c r="L184" s="183" t="str">
        <f>IF(I184="Buy",-H184,IF(I184="Sell",H184,""))</f>
        <v/>
      </c>
    </row>
    <row r="185" ht="22" customHeight="1">
      <c r="B185" s="239" t="n"/>
      <c r="C185" s="240" t="str">
        <f>IF($B185="","",IF(COUNTIFS(Пул!$E$5:$E$300,$B185,Пул!$F$5:$F$300,"&lt;&gt;")=0,"",ROUND(SUMIFS(Пул!$F$5:$F$300,Пул!$E$5:$E$300,$B185),8)))</f>
        <v/>
      </c>
      <c r="D185" s="241" t="str">
        <f>IF($B185="","",IF(COUNTIFS(Пул!$E$5:$E$300,$B185,Пул!$G$5:$G$300,"&lt;&gt;")=0,"",ROUND(SUMIFS(Пул!$G$5:$G$300,Пул!$E$5:$E$300,$B185),8)))</f>
        <v/>
      </c>
      <c r="E185" s="240" t="str">
        <f>IF($B185="","",IF(COUNTIFS(Пул!$E$5:$E$300,$B185,Пул!$H$5:$H$300,"&lt;&gt;")=0,"",ROUND(SUMIFS(Пул!$H$5:$H$300,Пул!$E$5:$E$300,$B185),8)))</f>
        <v/>
      </c>
      <c r="F185" s="241" t="str">
        <f>IF($B185="","",IF(COUNTIFS(Пул!$E$5:$E$300,$B185,Пул!$I$5:$I$300,"&lt;&gt;")=0,"",ROUND(SUMIFS(Пул!$I$5:$I$300,Пул!$E$5:$E$300,$B185),8)))</f>
        <v/>
      </c>
      <c r="G185" s="240" t="str">
        <f>IF($B185="","",IF(COUNTIFS(Пул!$E$5:$E$300,$B185,Пул!$H$5:$H$300,"&lt;&gt;")=0,"",ROUND(SUMIFS(Пул!$J$5:$J$300,Пул!$E$5:$E$300,$B185),8)))</f>
        <v/>
      </c>
      <c r="H185" s="241" t="str">
        <f>IF($B185="","",IF(COUNTIFS(Пул!$E$5:$E$300,$B185,Пул!$I$5:$I$300,"&lt;&gt;")=0,"",ROUND(SUMIFS(Пул!$K$5:$K$300,Пул!$E$5:$E$300,$B185),8)))</f>
        <v/>
      </c>
      <c r="I185" s="236" t="str">
        <f>IF(AND(ISNUMBER(G185),ISNUMBER(H185)),IF(AND(G185&gt;0,H185&lt;0),"Buy",IF(AND(G185&lt;0,H185&gt;0),"Sell","")),"")</f>
        <v/>
      </c>
      <c r="J185" s="177" t="str">
        <f>IF(I185="Buy",G185,IF(I185="Sell",-G185,""))</f>
        <v/>
      </c>
      <c r="K185" s="177" t="str">
        <f>IF(AND(ISNUMBER(J185),ISNUMBER(L185),N(J185)&lt;&gt;0),ROUND(L185/J185,8),"")</f>
        <v/>
      </c>
      <c r="L185" s="177" t="str">
        <f>IF(I185="Buy",-H185,IF(I185="Sell",H185,""))</f>
        <v/>
      </c>
    </row>
    <row r="186" ht="22" customHeight="1">
      <c r="B186" s="245" t="n"/>
      <c r="C186" s="246" t="str">
        <f>IF($B186="","",IF(COUNTIFS(Пул!$E$5:$E$300,$B186,Пул!$F$5:$F$300,"&lt;&gt;")=0,"",ROUND(SUMIFS(Пул!$F$5:$F$300,Пул!$E$5:$E$300,$B186),8)))</f>
        <v/>
      </c>
      <c r="D186" s="247" t="str">
        <f>IF($B186="","",IF(COUNTIFS(Пул!$E$5:$E$300,$B186,Пул!$G$5:$G$300,"&lt;&gt;")=0,"",ROUND(SUMIFS(Пул!$G$5:$G$300,Пул!$E$5:$E$300,$B186),8)))</f>
        <v/>
      </c>
      <c r="E186" s="246" t="str">
        <f>IF($B186="","",IF(COUNTIFS(Пул!$E$5:$E$300,$B186,Пул!$H$5:$H$300,"&lt;&gt;")=0,"",ROUND(SUMIFS(Пул!$H$5:$H$300,Пул!$E$5:$E$300,$B186),8)))</f>
        <v/>
      </c>
      <c r="F186" s="247" t="str">
        <f>IF($B186="","",IF(COUNTIFS(Пул!$E$5:$E$300,$B186,Пул!$I$5:$I$300,"&lt;&gt;")=0,"",ROUND(SUMIFS(Пул!$I$5:$I$300,Пул!$E$5:$E$300,$B186),8)))</f>
        <v/>
      </c>
      <c r="G186" s="246" t="str">
        <f>IF($B186="","",IF(COUNTIFS(Пул!$E$5:$E$300,$B186,Пул!$H$5:$H$300,"&lt;&gt;")=0,"",ROUND(SUMIFS(Пул!$J$5:$J$300,Пул!$E$5:$E$300,$B186),8)))</f>
        <v/>
      </c>
      <c r="H186" s="247" t="str">
        <f>IF($B186="","",IF(COUNTIFS(Пул!$E$5:$E$300,$B186,Пул!$I$5:$I$300,"&lt;&gt;")=0,"",ROUND(SUMIFS(Пул!$K$5:$K$300,Пул!$E$5:$E$300,$B186),8)))</f>
        <v/>
      </c>
      <c r="I186" s="242" t="str">
        <f>IF(AND(ISNUMBER(G186),ISNUMBER(H186)),IF(AND(G186&gt;0,H186&lt;0),"Buy",IF(AND(G186&lt;0,H186&gt;0),"Sell","")),"")</f>
        <v/>
      </c>
      <c r="J186" s="183" t="str">
        <f>IF(I186="Buy",G186,IF(I186="Sell",-G186,""))</f>
        <v/>
      </c>
      <c r="K186" s="183" t="str">
        <f>IF(AND(ISNUMBER(J186),ISNUMBER(L186),N(J186)&lt;&gt;0),ROUND(L186/J186,8),"")</f>
        <v/>
      </c>
      <c r="L186" s="183" t="str">
        <f>IF(I186="Buy",-H186,IF(I186="Sell",H186,""))</f>
        <v/>
      </c>
    </row>
    <row r="187" ht="22" customHeight="1">
      <c r="B187" s="239" t="n"/>
      <c r="C187" s="240" t="str">
        <f>IF($B187="","",IF(COUNTIFS(Пул!$E$5:$E$300,$B187,Пул!$F$5:$F$300,"&lt;&gt;")=0,"",ROUND(SUMIFS(Пул!$F$5:$F$300,Пул!$E$5:$E$300,$B187),8)))</f>
        <v/>
      </c>
      <c r="D187" s="241" t="str">
        <f>IF($B187="","",IF(COUNTIFS(Пул!$E$5:$E$300,$B187,Пул!$G$5:$G$300,"&lt;&gt;")=0,"",ROUND(SUMIFS(Пул!$G$5:$G$300,Пул!$E$5:$E$300,$B187),8)))</f>
        <v/>
      </c>
      <c r="E187" s="240" t="str">
        <f>IF($B187="","",IF(COUNTIFS(Пул!$E$5:$E$300,$B187,Пул!$H$5:$H$300,"&lt;&gt;")=0,"",ROUND(SUMIFS(Пул!$H$5:$H$300,Пул!$E$5:$E$300,$B187),8)))</f>
        <v/>
      </c>
      <c r="F187" s="241" t="str">
        <f>IF($B187="","",IF(COUNTIFS(Пул!$E$5:$E$300,$B187,Пул!$I$5:$I$300,"&lt;&gt;")=0,"",ROUND(SUMIFS(Пул!$I$5:$I$300,Пул!$E$5:$E$300,$B187),8)))</f>
        <v/>
      </c>
      <c r="G187" s="240" t="str">
        <f>IF($B187="","",IF(COUNTIFS(Пул!$E$5:$E$300,$B187,Пул!$H$5:$H$300,"&lt;&gt;")=0,"",ROUND(SUMIFS(Пул!$J$5:$J$300,Пул!$E$5:$E$300,$B187),8)))</f>
        <v/>
      </c>
      <c r="H187" s="241" t="str">
        <f>IF($B187="","",IF(COUNTIFS(Пул!$E$5:$E$300,$B187,Пул!$I$5:$I$300,"&lt;&gt;")=0,"",ROUND(SUMIFS(Пул!$K$5:$K$300,Пул!$E$5:$E$300,$B187),8)))</f>
        <v/>
      </c>
      <c r="I187" s="236" t="str">
        <f>IF(AND(ISNUMBER(G187),ISNUMBER(H187)),IF(AND(G187&gt;0,H187&lt;0),"Buy",IF(AND(G187&lt;0,H187&gt;0),"Sell","")),"")</f>
        <v/>
      </c>
      <c r="J187" s="177" t="str">
        <f>IF(I187="Buy",G187,IF(I187="Sell",-G187,""))</f>
        <v/>
      </c>
      <c r="K187" s="177" t="str">
        <f>IF(AND(ISNUMBER(J187),ISNUMBER(L187),N(J187)&lt;&gt;0),ROUND(L187/J187,8),"")</f>
        <v/>
      </c>
      <c r="L187" s="177" t="str">
        <f>IF(I187="Buy",-H187,IF(I187="Sell",H187,""))</f>
        <v/>
      </c>
    </row>
    <row r="188" ht="22" customHeight="1">
      <c r="B188" s="245" t="n"/>
      <c r="C188" s="246" t="str">
        <f>IF($B188="","",IF(COUNTIFS(Пул!$E$5:$E$300,$B188,Пул!$F$5:$F$300,"&lt;&gt;")=0,"",ROUND(SUMIFS(Пул!$F$5:$F$300,Пул!$E$5:$E$300,$B188),8)))</f>
        <v/>
      </c>
      <c r="D188" s="247" t="str">
        <f>IF($B188="","",IF(COUNTIFS(Пул!$E$5:$E$300,$B188,Пул!$G$5:$G$300,"&lt;&gt;")=0,"",ROUND(SUMIFS(Пул!$G$5:$G$300,Пул!$E$5:$E$300,$B188),8)))</f>
        <v/>
      </c>
      <c r="E188" s="246" t="str">
        <f>IF($B188="","",IF(COUNTIFS(Пул!$E$5:$E$300,$B188,Пул!$H$5:$H$300,"&lt;&gt;")=0,"",ROUND(SUMIFS(Пул!$H$5:$H$300,Пул!$E$5:$E$300,$B188),8)))</f>
        <v/>
      </c>
      <c r="F188" s="247" t="str">
        <f>IF($B188="","",IF(COUNTIFS(Пул!$E$5:$E$300,$B188,Пул!$I$5:$I$300,"&lt;&gt;")=0,"",ROUND(SUMIFS(Пул!$I$5:$I$300,Пул!$E$5:$E$300,$B188),8)))</f>
        <v/>
      </c>
      <c r="G188" s="246" t="str">
        <f>IF($B188="","",IF(COUNTIFS(Пул!$E$5:$E$300,$B188,Пул!$H$5:$H$300,"&lt;&gt;")=0,"",ROUND(SUMIFS(Пул!$J$5:$J$300,Пул!$E$5:$E$300,$B188),8)))</f>
        <v/>
      </c>
      <c r="H188" s="247" t="str">
        <f>IF($B188="","",IF(COUNTIFS(Пул!$E$5:$E$300,$B188,Пул!$I$5:$I$300,"&lt;&gt;")=0,"",ROUND(SUMIFS(Пул!$K$5:$K$300,Пул!$E$5:$E$300,$B188),8)))</f>
        <v/>
      </c>
      <c r="I188" s="242" t="str">
        <f>IF(AND(ISNUMBER(G188),ISNUMBER(H188)),IF(AND(G188&gt;0,H188&lt;0),"Buy",IF(AND(G188&lt;0,H188&gt;0),"Sell","")),"")</f>
        <v/>
      </c>
      <c r="J188" s="183" t="str">
        <f>IF(I188="Buy",G188,IF(I188="Sell",-G188,""))</f>
        <v/>
      </c>
      <c r="K188" s="183" t="str">
        <f>IF(AND(ISNUMBER(J188),ISNUMBER(L188),N(J188)&lt;&gt;0),ROUND(L188/J188,8),"")</f>
        <v/>
      </c>
      <c r="L188" s="183" t="str">
        <f>IF(I188="Buy",-H188,IF(I188="Sell",H188,""))</f>
        <v/>
      </c>
    </row>
    <row r="189" ht="22" customHeight="1">
      <c r="B189" s="239" t="n"/>
      <c r="C189" s="240" t="str">
        <f>IF($B189="","",IF(COUNTIFS(Пул!$E$5:$E$300,$B189,Пул!$F$5:$F$300,"&lt;&gt;")=0,"",ROUND(SUMIFS(Пул!$F$5:$F$300,Пул!$E$5:$E$300,$B189),8)))</f>
        <v/>
      </c>
      <c r="D189" s="241" t="str">
        <f>IF($B189="","",IF(COUNTIFS(Пул!$E$5:$E$300,$B189,Пул!$G$5:$G$300,"&lt;&gt;")=0,"",ROUND(SUMIFS(Пул!$G$5:$G$300,Пул!$E$5:$E$300,$B189),8)))</f>
        <v/>
      </c>
      <c r="E189" s="240" t="str">
        <f>IF($B189="","",IF(COUNTIFS(Пул!$E$5:$E$300,$B189,Пул!$H$5:$H$300,"&lt;&gt;")=0,"",ROUND(SUMIFS(Пул!$H$5:$H$300,Пул!$E$5:$E$300,$B189),8)))</f>
        <v/>
      </c>
      <c r="F189" s="241" t="str">
        <f>IF($B189="","",IF(COUNTIFS(Пул!$E$5:$E$300,$B189,Пул!$I$5:$I$300,"&lt;&gt;")=0,"",ROUND(SUMIFS(Пул!$I$5:$I$300,Пул!$E$5:$E$300,$B189),8)))</f>
        <v/>
      </c>
      <c r="G189" s="240" t="str">
        <f>IF($B189="","",IF(COUNTIFS(Пул!$E$5:$E$300,$B189,Пул!$H$5:$H$300,"&lt;&gt;")=0,"",ROUND(SUMIFS(Пул!$J$5:$J$300,Пул!$E$5:$E$300,$B189),8)))</f>
        <v/>
      </c>
      <c r="H189" s="241" t="str">
        <f>IF($B189="","",IF(COUNTIFS(Пул!$E$5:$E$300,$B189,Пул!$I$5:$I$300,"&lt;&gt;")=0,"",ROUND(SUMIFS(Пул!$K$5:$K$300,Пул!$E$5:$E$300,$B189),8)))</f>
        <v/>
      </c>
      <c r="I189" s="236" t="str">
        <f>IF(AND(ISNUMBER(G189),ISNUMBER(H189)),IF(AND(G189&gt;0,H189&lt;0),"Buy",IF(AND(G189&lt;0,H189&gt;0),"Sell","")),"")</f>
        <v/>
      </c>
      <c r="J189" s="177" t="str">
        <f>IF(I189="Buy",G189,IF(I189="Sell",-G189,""))</f>
        <v/>
      </c>
      <c r="K189" s="177" t="str">
        <f>IF(AND(ISNUMBER(J189),ISNUMBER(L189),N(J189)&lt;&gt;0),ROUND(L189/J189,8),"")</f>
        <v/>
      </c>
      <c r="L189" s="177" t="str">
        <f>IF(I189="Buy",-H189,IF(I189="Sell",H189,""))</f>
        <v/>
      </c>
    </row>
    <row r="190" ht="22" customHeight="1">
      <c r="B190" s="245" t="n"/>
      <c r="C190" s="246" t="str">
        <f>IF($B190="","",IF(COUNTIFS(Пул!$E$5:$E$300,$B190,Пул!$F$5:$F$300,"&lt;&gt;")=0,"",ROUND(SUMIFS(Пул!$F$5:$F$300,Пул!$E$5:$E$300,$B190),8)))</f>
        <v/>
      </c>
      <c r="D190" s="247" t="str">
        <f>IF($B190="","",IF(COUNTIFS(Пул!$E$5:$E$300,$B190,Пул!$G$5:$G$300,"&lt;&gt;")=0,"",ROUND(SUMIFS(Пул!$G$5:$G$300,Пул!$E$5:$E$300,$B190),8)))</f>
        <v/>
      </c>
      <c r="E190" s="246" t="str">
        <f>IF($B190="","",IF(COUNTIFS(Пул!$E$5:$E$300,$B190,Пул!$H$5:$H$300,"&lt;&gt;")=0,"",ROUND(SUMIFS(Пул!$H$5:$H$300,Пул!$E$5:$E$300,$B190),8)))</f>
        <v/>
      </c>
      <c r="F190" s="247" t="str">
        <f>IF($B190="","",IF(COUNTIFS(Пул!$E$5:$E$300,$B190,Пул!$I$5:$I$300,"&lt;&gt;")=0,"",ROUND(SUMIFS(Пул!$I$5:$I$300,Пул!$E$5:$E$300,$B190),8)))</f>
        <v/>
      </c>
      <c r="G190" s="246" t="str">
        <f>IF($B190="","",IF(COUNTIFS(Пул!$E$5:$E$300,$B190,Пул!$H$5:$H$300,"&lt;&gt;")=0,"",ROUND(SUMIFS(Пул!$J$5:$J$300,Пул!$E$5:$E$300,$B190),8)))</f>
        <v/>
      </c>
      <c r="H190" s="247" t="str">
        <f>IF($B190="","",IF(COUNTIFS(Пул!$E$5:$E$300,$B190,Пул!$I$5:$I$300,"&lt;&gt;")=0,"",ROUND(SUMIFS(Пул!$K$5:$K$300,Пул!$E$5:$E$300,$B190),8)))</f>
        <v/>
      </c>
      <c r="I190" s="242" t="str">
        <f>IF(AND(ISNUMBER(G190),ISNUMBER(H190)),IF(AND(G190&gt;0,H190&lt;0),"Buy",IF(AND(G190&lt;0,H190&gt;0),"Sell","")),"")</f>
        <v/>
      </c>
      <c r="J190" s="183" t="str">
        <f>IF(I190="Buy",G190,IF(I190="Sell",-G190,""))</f>
        <v/>
      </c>
      <c r="K190" s="183" t="str">
        <f>IF(AND(ISNUMBER(J190),ISNUMBER(L190),N(J190)&lt;&gt;0),ROUND(L190/J190,8),"")</f>
        <v/>
      </c>
      <c r="L190" s="183" t="str">
        <f>IF(I190="Buy",-H190,IF(I190="Sell",H190,""))</f>
        <v/>
      </c>
    </row>
    <row r="191" ht="22" customHeight="1">
      <c r="B191" s="239" t="n"/>
      <c r="C191" s="240" t="str">
        <f>IF($B191="","",IF(COUNTIFS(Пул!$E$5:$E$300,$B191,Пул!$F$5:$F$300,"&lt;&gt;")=0,"",ROUND(SUMIFS(Пул!$F$5:$F$300,Пул!$E$5:$E$300,$B191),8)))</f>
        <v/>
      </c>
      <c r="D191" s="241" t="str">
        <f>IF($B191="","",IF(COUNTIFS(Пул!$E$5:$E$300,$B191,Пул!$G$5:$G$300,"&lt;&gt;")=0,"",ROUND(SUMIFS(Пул!$G$5:$G$300,Пул!$E$5:$E$300,$B191),8)))</f>
        <v/>
      </c>
      <c r="E191" s="240" t="str">
        <f>IF($B191="","",IF(COUNTIFS(Пул!$E$5:$E$300,$B191,Пул!$H$5:$H$300,"&lt;&gt;")=0,"",ROUND(SUMIFS(Пул!$H$5:$H$300,Пул!$E$5:$E$300,$B191),8)))</f>
        <v/>
      </c>
      <c r="F191" s="241" t="str">
        <f>IF($B191="","",IF(COUNTIFS(Пул!$E$5:$E$300,$B191,Пул!$I$5:$I$300,"&lt;&gt;")=0,"",ROUND(SUMIFS(Пул!$I$5:$I$300,Пул!$E$5:$E$300,$B191),8)))</f>
        <v/>
      </c>
      <c r="G191" s="240" t="str">
        <f>IF($B191="","",IF(COUNTIFS(Пул!$E$5:$E$300,$B191,Пул!$H$5:$H$300,"&lt;&gt;")=0,"",ROUND(SUMIFS(Пул!$J$5:$J$300,Пул!$E$5:$E$300,$B191),8)))</f>
        <v/>
      </c>
      <c r="H191" s="241" t="str">
        <f>IF($B191="","",IF(COUNTIFS(Пул!$E$5:$E$300,$B191,Пул!$I$5:$I$300,"&lt;&gt;")=0,"",ROUND(SUMIFS(Пул!$K$5:$K$300,Пул!$E$5:$E$300,$B191),8)))</f>
        <v/>
      </c>
      <c r="I191" s="236" t="str">
        <f>IF(AND(ISNUMBER(G191),ISNUMBER(H191)),IF(AND(G191&gt;0,H191&lt;0),"Buy",IF(AND(G191&lt;0,H191&gt;0),"Sell","")),"")</f>
        <v/>
      </c>
      <c r="J191" s="177" t="str">
        <f>IF(I191="Buy",G191,IF(I191="Sell",-G191,""))</f>
        <v/>
      </c>
      <c r="K191" s="177" t="str">
        <f>IF(AND(ISNUMBER(J191),ISNUMBER(L191),N(J191)&lt;&gt;0),ROUND(L191/J191,8),"")</f>
        <v/>
      </c>
      <c r="L191" s="177" t="str">
        <f>IF(I191="Buy",-H191,IF(I191="Sell",H191,""))</f>
        <v/>
      </c>
    </row>
    <row r="192" ht="22" customHeight="1">
      <c r="B192" s="245" t="n"/>
      <c r="C192" s="246" t="str">
        <f>IF($B192="","",IF(COUNTIFS(Пул!$E$5:$E$300,$B192,Пул!$F$5:$F$300,"&lt;&gt;")=0,"",ROUND(SUMIFS(Пул!$F$5:$F$300,Пул!$E$5:$E$300,$B192),8)))</f>
        <v/>
      </c>
      <c r="D192" s="247" t="str">
        <f>IF($B192="","",IF(COUNTIFS(Пул!$E$5:$E$300,$B192,Пул!$G$5:$G$300,"&lt;&gt;")=0,"",ROUND(SUMIFS(Пул!$G$5:$G$300,Пул!$E$5:$E$300,$B192),8)))</f>
        <v/>
      </c>
      <c r="E192" s="246" t="str">
        <f>IF($B192="","",IF(COUNTIFS(Пул!$E$5:$E$300,$B192,Пул!$H$5:$H$300,"&lt;&gt;")=0,"",ROUND(SUMIFS(Пул!$H$5:$H$300,Пул!$E$5:$E$300,$B192),8)))</f>
        <v/>
      </c>
      <c r="F192" s="247" t="str">
        <f>IF($B192="","",IF(COUNTIFS(Пул!$E$5:$E$300,$B192,Пул!$I$5:$I$300,"&lt;&gt;")=0,"",ROUND(SUMIFS(Пул!$I$5:$I$300,Пул!$E$5:$E$300,$B192),8)))</f>
        <v/>
      </c>
      <c r="G192" s="246" t="str">
        <f>IF($B192="","",IF(COUNTIFS(Пул!$E$5:$E$300,$B192,Пул!$H$5:$H$300,"&lt;&gt;")=0,"",ROUND(SUMIFS(Пул!$J$5:$J$300,Пул!$E$5:$E$300,$B192),8)))</f>
        <v/>
      </c>
      <c r="H192" s="247" t="str">
        <f>IF($B192="","",IF(COUNTIFS(Пул!$E$5:$E$300,$B192,Пул!$I$5:$I$300,"&lt;&gt;")=0,"",ROUND(SUMIFS(Пул!$K$5:$K$300,Пул!$E$5:$E$300,$B192),8)))</f>
        <v/>
      </c>
      <c r="I192" s="242" t="str">
        <f>IF(AND(ISNUMBER(G192),ISNUMBER(H192)),IF(AND(G192&gt;0,H192&lt;0),"Buy",IF(AND(G192&lt;0,H192&gt;0),"Sell","")),"")</f>
        <v/>
      </c>
      <c r="J192" s="183" t="str">
        <f>IF(I192="Buy",G192,IF(I192="Sell",-G192,""))</f>
        <v/>
      </c>
      <c r="K192" s="183" t="str">
        <f>IF(AND(ISNUMBER(J192),ISNUMBER(L192),N(J192)&lt;&gt;0),ROUND(L192/J192,8),"")</f>
        <v/>
      </c>
      <c r="L192" s="183" t="str">
        <f>IF(I192="Buy",-H192,IF(I192="Sell",H192,""))</f>
        <v/>
      </c>
    </row>
    <row r="193" ht="22" customHeight="1">
      <c r="B193" s="239" t="n"/>
      <c r="C193" s="240" t="str">
        <f>IF($B193="","",IF(COUNTIFS(Пул!$E$5:$E$300,$B193,Пул!$F$5:$F$300,"&lt;&gt;")=0,"",ROUND(SUMIFS(Пул!$F$5:$F$300,Пул!$E$5:$E$300,$B193),8)))</f>
        <v/>
      </c>
      <c r="D193" s="241" t="str">
        <f>IF($B193="","",IF(COUNTIFS(Пул!$E$5:$E$300,$B193,Пул!$G$5:$G$300,"&lt;&gt;")=0,"",ROUND(SUMIFS(Пул!$G$5:$G$300,Пул!$E$5:$E$300,$B193),8)))</f>
        <v/>
      </c>
      <c r="E193" s="240" t="str">
        <f>IF($B193="","",IF(COUNTIFS(Пул!$E$5:$E$300,$B193,Пул!$H$5:$H$300,"&lt;&gt;")=0,"",ROUND(SUMIFS(Пул!$H$5:$H$300,Пул!$E$5:$E$300,$B193),8)))</f>
        <v/>
      </c>
      <c r="F193" s="241" t="str">
        <f>IF($B193="","",IF(COUNTIFS(Пул!$E$5:$E$300,$B193,Пул!$I$5:$I$300,"&lt;&gt;")=0,"",ROUND(SUMIFS(Пул!$I$5:$I$300,Пул!$E$5:$E$300,$B193),8)))</f>
        <v/>
      </c>
      <c r="G193" s="240" t="str">
        <f>IF($B193="","",IF(COUNTIFS(Пул!$E$5:$E$300,$B193,Пул!$H$5:$H$300,"&lt;&gt;")=0,"",ROUND(SUMIFS(Пул!$J$5:$J$300,Пул!$E$5:$E$300,$B193),8)))</f>
        <v/>
      </c>
      <c r="H193" s="241" t="str">
        <f>IF($B193="","",IF(COUNTIFS(Пул!$E$5:$E$300,$B193,Пул!$I$5:$I$300,"&lt;&gt;")=0,"",ROUND(SUMIFS(Пул!$K$5:$K$300,Пул!$E$5:$E$300,$B193),8)))</f>
        <v/>
      </c>
      <c r="I193" s="236" t="str">
        <f>IF(AND(ISNUMBER(G193),ISNUMBER(H193)),IF(AND(G193&gt;0,H193&lt;0),"Buy",IF(AND(G193&lt;0,H193&gt;0),"Sell","")),"")</f>
        <v/>
      </c>
      <c r="J193" s="177" t="str">
        <f>IF(I193="Buy",G193,IF(I193="Sell",-G193,""))</f>
        <v/>
      </c>
      <c r="K193" s="177" t="str">
        <f>IF(AND(ISNUMBER(J193),ISNUMBER(L193),N(J193)&lt;&gt;0),ROUND(L193/J193,8),"")</f>
        <v/>
      </c>
      <c r="L193" s="177" t="str">
        <f>IF(I193="Buy",-H193,IF(I193="Sell",H193,""))</f>
        <v/>
      </c>
    </row>
    <row r="194" ht="22" customHeight="1">
      <c r="B194" s="245" t="n"/>
      <c r="C194" s="246" t="str">
        <f>IF($B194="","",IF(COUNTIFS(Пул!$E$5:$E$300,$B194,Пул!$F$5:$F$300,"&lt;&gt;")=0,"",ROUND(SUMIFS(Пул!$F$5:$F$300,Пул!$E$5:$E$300,$B194),8)))</f>
        <v/>
      </c>
      <c r="D194" s="247" t="str">
        <f>IF($B194="","",IF(COUNTIFS(Пул!$E$5:$E$300,$B194,Пул!$G$5:$G$300,"&lt;&gt;")=0,"",ROUND(SUMIFS(Пул!$G$5:$G$300,Пул!$E$5:$E$300,$B194),8)))</f>
        <v/>
      </c>
      <c r="E194" s="246" t="str">
        <f>IF($B194="","",IF(COUNTIFS(Пул!$E$5:$E$300,$B194,Пул!$H$5:$H$300,"&lt;&gt;")=0,"",ROUND(SUMIFS(Пул!$H$5:$H$300,Пул!$E$5:$E$300,$B194),8)))</f>
        <v/>
      </c>
      <c r="F194" s="247" t="str">
        <f>IF($B194="","",IF(COUNTIFS(Пул!$E$5:$E$300,$B194,Пул!$I$5:$I$300,"&lt;&gt;")=0,"",ROUND(SUMIFS(Пул!$I$5:$I$300,Пул!$E$5:$E$300,$B194),8)))</f>
        <v/>
      </c>
      <c r="G194" s="246" t="str">
        <f>IF($B194="","",IF(COUNTIFS(Пул!$E$5:$E$300,$B194,Пул!$H$5:$H$300,"&lt;&gt;")=0,"",ROUND(SUMIFS(Пул!$J$5:$J$300,Пул!$E$5:$E$300,$B194),8)))</f>
        <v/>
      </c>
      <c r="H194" s="247" t="str">
        <f>IF($B194="","",IF(COUNTIFS(Пул!$E$5:$E$300,$B194,Пул!$I$5:$I$300,"&lt;&gt;")=0,"",ROUND(SUMIFS(Пул!$K$5:$K$300,Пул!$E$5:$E$300,$B194),8)))</f>
        <v/>
      </c>
      <c r="I194" s="242" t="str">
        <f>IF(AND(ISNUMBER(G194),ISNUMBER(H194)),IF(AND(G194&gt;0,H194&lt;0),"Buy",IF(AND(G194&lt;0,H194&gt;0),"Sell","")),"")</f>
        <v/>
      </c>
      <c r="J194" s="183" t="str">
        <f>IF(I194="Buy",G194,IF(I194="Sell",-G194,""))</f>
        <v/>
      </c>
      <c r="K194" s="183" t="str">
        <f>IF(AND(ISNUMBER(J194),ISNUMBER(L194),N(J194)&lt;&gt;0),ROUND(L194/J194,8),"")</f>
        <v/>
      </c>
      <c r="L194" s="183" t="str">
        <f>IF(I194="Buy",-H194,IF(I194="Sell",H194,""))</f>
        <v/>
      </c>
    </row>
    <row r="195" ht="22" customHeight="1">
      <c r="B195" s="239" t="n"/>
      <c r="C195" s="240" t="str">
        <f>IF($B195="","",IF(COUNTIFS(Пул!$E$5:$E$300,$B195,Пул!$F$5:$F$300,"&lt;&gt;")=0,"",ROUND(SUMIFS(Пул!$F$5:$F$300,Пул!$E$5:$E$300,$B195),8)))</f>
        <v/>
      </c>
      <c r="D195" s="241" t="str">
        <f>IF($B195="","",IF(COUNTIFS(Пул!$E$5:$E$300,$B195,Пул!$G$5:$G$300,"&lt;&gt;")=0,"",ROUND(SUMIFS(Пул!$G$5:$G$300,Пул!$E$5:$E$300,$B195),8)))</f>
        <v/>
      </c>
      <c r="E195" s="240" t="str">
        <f>IF($B195="","",IF(COUNTIFS(Пул!$E$5:$E$300,$B195,Пул!$H$5:$H$300,"&lt;&gt;")=0,"",ROUND(SUMIFS(Пул!$H$5:$H$300,Пул!$E$5:$E$300,$B195),8)))</f>
        <v/>
      </c>
      <c r="F195" s="241" t="str">
        <f>IF($B195="","",IF(COUNTIFS(Пул!$E$5:$E$300,$B195,Пул!$I$5:$I$300,"&lt;&gt;")=0,"",ROUND(SUMIFS(Пул!$I$5:$I$300,Пул!$E$5:$E$300,$B195),8)))</f>
        <v/>
      </c>
      <c r="G195" s="240" t="str">
        <f>IF($B195="","",IF(COUNTIFS(Пул!$E$5:$E$300,$B195,Пул!$H$5:$H$300,"&lt;&gt;")=0,"",ROUND(SUMIFS(Пул!$J$5:$J$300,Пул!$E$5:$E$300,$B195),8)))</f>
        <v/>
      </c>
      <c r="H195" s="241" t="str">
        <f>IF($B195="","",IF(COUNTIFS(Пул!$E$5:$E$300,$B195,Пул!$I$5:$I$300,"&lt;&gt;")=0,"",ROUND(SUMIFS(Пул!$K$5:$K$300,Пул!$E$5:$E$300,$B195),8)))</f>
        <v/>
      </c>
      <c r="I195" s="236" t="str">
        <f>IF(AND(ISNUMBER(G195),ISNUMBER(H195)),IF(AND(G195&gt;0,H195&lt;0),"Buy",IF(AND(G195&lt;0,H195&gt;0),"Sell","")),"")</f>
        <v/>
      </c>
      <c r="J195" s="177" t="str">
        <f>IF(I195="Buy",G195,IF(I195="Sell",-G195,""))</f>
        <v/>
      </c>
      <c r="K195" s="177" t="str">
        <f>IF(AND(ISNUMBER(J195),ISNUMBER(L195),N(J195)&lt;&gt;0),ROUND(L195/J195,8),"")</f>
        <v/>
      </c>
      <c r="L195" s="177" t="str">
        <f>IF(I195="Buy",-H195,IF(I195="Sell",H195,""))</f>
        <v/>
      </c>
    </row>
    <row r="196" ht="22" customHeight="1">
      <c r="B196" s="245" t="n"/>
      <c r="C196" s="246" t="str">
        <f>IF($B196="","",IF(COUNTIFS(Пул!$E$5:$E$300,$B196,Пул!$F$5:$F$300,"&lt;&gt;")=0,"",ROUND(SUMIFS(Пул!$F$5:$F$300,Пул!$E$5:$E$300,$B196),8)))</f>
        <v/>
      </c>
      <c r="D196" s="247" t="str">
        <f>IF($B196="","",IF(COUNTIFS(Пул!$E$5:$E$300,$B196,Пул!$G$5:$G$300,"&lt;&gt;")=0,"",ROUND(SUMIFS(Пул!$G$5:$G$300,Пул!$E$5:$E$300,$B196),8)))</f>
        <v/>
      </c>
      <c r="E196" s="246" t="str">
        <f>IF($B196="","",IF(COUNTIFS(Пул!$E$5:$E$300,$B196,Пул!$H$5:$H$300,"&lt;&gt;")=0,"",ROUND(SUMIFS(Пул!$H$5:$H$300,Пул!$E$5:$E$300,$B196),8)))</f>
        <v/>
      </c>
      <c r="F196" s="247" t="str">
        <f>IF($B196="","",IF(COUNTIFS(Пул!$E$5:$E$300,$B196,Пул!$I$5:$I$300,"&lt;&gt;")=0,"",ROUND(SUMIFS(Пул!$I$5:$I$300,Пул!$E$5:$E$300,$B196),8)))</f>
        <v/>
      </c>
      <c r="G196" s="246" t="str">
        <f>IF($B196="","",IF(COUNTIFS(Пул!$E$5:$E$300,$B196,Пул!$H$5:$H$300,"&lt;&gt;")=0,"",ROUND(SUMIFS(Пул!$J$5:$J$300,Пул!$E$5:$E$300,$B196),8)))</f>
        <v/>
      </c>
      <c r="H196" s="247" t="str">
        <f>IF($B196="","",IF(COUNTIFS(Пул!$E$5:$E$300,$B196,Пул!$I$5:$I$300,"&lt;&gt;")=0,"",ROUND(SUMIFS(Пул!$K$5:$K$300,Пул!$E$5:$E$300,$B196),8)))</f>
        <v/>
      </c>
      <c r="I196" s="242" t="str">
        <f>IF(AND(ISNUMBER(G196),ISNUMBER(H196)),IF(AND(G196&gt;0,H196&lt;0),"Buy",IF(AND(G196&lt;0,H196&gt;0),"Sell","")),"")</f>
        <v/>
      </c>
      <c r="J196" s="183" t="str">
        <f>IF(I196="Buy",G196,IF(I196="Sell",-G196,""))</f>
        <v/>
      </c>
      <c r="K196" s="183" t="str">
        <f>IF(AND(ISNUMBER(J196),ISNUMBER(L196),N(J196)&lt;&gt;0),ROUND(L196/J196,8),"")</f>
        <v/>
      </c>
      <c r="L196" s="183" t="str">
        <f>IF(I196="Buy",-H196,IF(I196="Sell",H196,""))</f>
        <v/>
      </c>
    </row>
    <row r="197" ht="22" customHeight="1">
      <c r="B197" s="239" t="n"/>
      <c r="C197" s="240" t="str">
        <f>IF($B197="","",IF(COUNTIFS(Пул!$E$5:$E$300,$B197,Пул!$F$5:$F$300,"&lt;&gt;")=0,"",ROUND(SUMIFS(Пул!$F$5:$F$300,Пул!$E$5:$E$300,$B197),8)))</f>
        <v/>
      </c>
      <c r="D197" s="241" t="str">
        <f>IF($B197="","",IF(COUNTIFS(Пул!$E$5:$E$300,$B197,Пул!$G$5:$G$300,"&lt;&gt;")=0,"",ROUND(SUMIFS(Пул!$G$5:$G$300,Пул!$E$5:$E$300,$B197),8)))</f>
        <v/>
      </c>
      <c r="E197" s="240" t="str">
        <f>IF($B197="","",IF(COUNTIFS(Пул!$E$5:$E$300,$B197,Пул!$H$5:$H$300,"&lt;&gt;")=0,"",ROUND(SUMIFS(Пул!$H$5:$H$300,Пул!$E$5:$E$300,$B197),8)))</f>
        <v/>
      </c>
      <c r="F197" s="241" t="str">
        <f>IF($B197="","",IF(COUNTIFS(Пул!$E$5:$E$300,$B197,Пул!$I$5:$I$300,"&lt;&gt;")=0,"",ROUND(SUMIFS(Пул!$I$5:$I$300,Пул!$E$5:$E$300,$B197),8)))</f>
        <v/>
      </c>
      <c r="G197" s="240" t="str">
        <f>IF($B197="","",IF(COUNTIFS(Пул!$E$5:$E$300,$B197,Пул!$H$5:$H$300,"&lt;&gt;")=0,"",ROUND(SUMIFS(Пул!$J$5:$J$300,Пул!$E$5:$E$300,$B197),8)))</f>
        <v/>
      </c>
      <c r="H197" s="241" t="str">
        <f>IF($B197="","",IF(COUNTIFS(Пул!$E$5:$E$300,$B197,Пул!$I$5:$I$300,"&lt;&gt;")=0,"",ROUND(SUMIFS(Пул!$K$5:$K$300,Пул!$E$5:$E$300,$B197),8)))</f>
        <v/>
      </c>
      <c r="I197" s="236" t="str">
        <f>IF(AND(ISNUMBER(G197),ISNUMBER(H197)),IF(AND(G197&gt;0,H197&lt;0),"Buy",IF(AND(G197&lt;0,H197&gt;0),"Sell","")),"")</f>
        <v/>
      </c>
      <c r="J197" s="177" t="str">
        <f>IF(I197="Buy",G197,IF(I197="Sell",-G197,""))</f>
        <v/>
      </c>
      <c r="K197" s="177" t="str">
        <f>IF(AND(ISNUMBER(J197),ISNUMBER(L197),N(J197)&lt;&gt;0),ROUND(L197/J197,8),"")</f>
        <v/>
      </c>
      <c r="L197" s="177" t="str">
        <f>IF(I197="Buy",-H197,IF(I197="Sell",H197,""))</f>
        <v/>
      </c>
    </row>
    <row r="198" ht="22" customHeight="1">
      <c r="B198" s="245" t="n"/>
      <c r="C198" s="246" t="str">
        <f>IF($B198="","",IF(COUNTIFS(Пул!$E$5:$E$300,$B198,Пул!$F$5:$F$300,"&lt;&gt;")=0,"",ROUND(SUMIFS(Пул!$F$5:$F$300,Пул!$E$5:$E$300,$B198),8)))</f>
        <v/>
      </c>
      <c r="D198" s="247" t="str">
        <f>IF($B198="","",IF(COUNTIFS(Пул!$E$5:$E$300,$B198,Пул!$G$5:$G$300,"&lt;&gt;")=0,"",ROUND(SUMIFS(Пул!$G$5:$G$300,Пул!$E$5:$E$300,$B198),8)))</f>
        <v/>
      </c>
      <c r="E198" s="246" t="str">
        <f>IF($B198="","",IF(COUNTIFS(Пул!$E$5:$E$300,$B198,Пул!$H$5:$H$300,"&lt;&gt;")=0,"",ROUND(SUMIFS(Пул!$H$5:$H$300,Пул!$E$5:$E$300,$B198),8)))</f>
        <v/>
      </c>
      <c r="F198" s="247" t="str">
        <f>IF($B198="","",IF(COUNTIFS(Пул!$E$5:$E$300,$B198,Пул!$I$5:$I$300,"&lt;&gt;")=0,"",ROUND(SUMIFS(Пул!$I$5:$I$300,Пул!$E$5:$E$300,$B198),8)))</f>
        <v/>
      </c>
      <c r="G198" s="246" t="str">
        <f>IF($B198="","",IF(COUNTIFS(Пул!$E$5:$E$300,$B198,Пул!$H$5:$H$300,"&lt;&gt;")=0,"",ROUND(SUMIFS(Пул!$J$5:$J$300,Пул!$E$5:$E$300,$B198),8)))</f>
        <v/>
      </c>
      <c r="H198" s="247" t="str">
        <f>IF($B198="","",IF(COUNTIFS(Пул!$E$5:$E$300,$B198,Пул!$I$5:$I$300,"&lt;&gt;")=0,"",ROUND(SUMIFS(Пул!$K$5:$K$300,Пул!$E$5:$E$300,$B198),8)))</f>
        <v/>
      </c>
      <c r="I198" s="242" t="str">
        <f>IF(AND(ISNUMBER(G198),ISNUMBER(H198)),IF(AND(G198&gt;0,H198&lt;0),"Buy",IF(AND(G198&lt;0,H198&gt;0),"Sell","")),"")</f>
        <v/>
      </c>
      <c r="J198" s="183" t="str">
        <f>IF(I198="Buy",G198,IF(I198="Sell",-G198,""))</f>
        <v/>
      </c>
      <c r="K198" s="183" t="str">
        <f>IF(AND(ISNUMBER(J198),ISNUMBER(L198),N(J198)&lt;&gt;0),ROUND(L198/J198,8),"")</f>
        <v/>
      </c>
      <c r="L198" s="183" t="str">
        <f>IF(I198="Buy",-H198,IF(I198="Sell",H198,""))</f>
        <v/>
      </c>
    </row>
    <row r="199" ht="22" customHeight="1">
      <c r="B199" s="239" t="n"/>
      <c r="C199" s="240" t="str">
        <f>IF($B199="","",IF(COUNTIFS(Пул!$E$5:$E$300,$B199,Пул!$F$5:$F$300,"&lt;&gt;")=0,"",ROUND(SUMIFS(Пул!$F$5:$F$300,Пул!$E$5:$E$300,$B199),8)))</f>
        <v/>
      </c>
      <c r="D199" s="241" t="str">
        <f>IF($B199="","",IF(COUNTIFS(Пул!$E$5:$E$300,$B199,Пул!$G$5:$G$300,"&lt;&gt;")=0,"",ROUND(SUMIFS(Пул!$G$5:$G$300,Пул!$E$5:$E$300,$B199),8)))</f>
        <v/>
      </c>
      <c r="E199" s="240" t="str">
        <f>IF($B199="","",IF(COUNTIFS(Пул!$E$5:$E$300,$B199,Пул!$H$5:$H$300,"&lt;&gt;")=0,"",ROUND(SUMIFS(Пул!$H$5:$H$300,Пул!$E$5:$E$300,$B199),8)))</f>
        <v/>
      </c>
      <c r="F199" s="241" t="str">
        <f>IF($B199="","",IF(COUNTIFS(Пул!$E$5:$E$300,$B199,Пул!$I$5:$I$300,"&lt;&gt;")=0,"",ROUND(SUMIFS(Пул!$I$5:$I$300,Пул!$E$5:$E$300,$B199),8)))</f>
        <v/>
      </c>
      <c r="G199" s="240" t="str">
        <f>IF($B199="","",IF(COUNTIFS(Пул!$E$5:$E$300,$B199,Пул!$H$5:$H$300,"&lt;&gt;")=0,"",ROUND(SUMIFS(Пул!$J$5:$J$300,Пул!$E$5:$E$300,$B199),8)))</f>
        <v/>
      </c>
      <c r="H199" s="241" t="str">
        <f>IF($B199="","",IF(COUNTIFS(Пул!$E$5:$E$300,$B199,Пул!$I$5:$I$300,"&lt;&gt;")=0,"",ROUND(SUMIFS(Пул!$K$5:$K$300,Пул!$E$5:$E$300,$B199),8)))</f>
        <v/>
      </c>
      <c r="I199" s="236" t="str">
        <f>IF(AND(ISNUMBER(G199),ISNUMBER(H199)),IF(AND(G199&gt;0,H199&lt;0),"Buy",IF(AND(G199&lt;0,H199&gt;0),"Sell","")),"")</f>
        <v/>
      </c>
      <c r="J199" s="177" t="str">
        <f>IF(I199="Buy",G199,IF(I199="Sell",-G199,""))</f>
        <v/>
      </c>
      <c r="K199" s="177" t="str">
        <f>IF(AND(ISNUMBER(J199),ISNUMBER(L199),N(J199)&lt;&gt;0),ROUND(L199/J199,8),"")</f>
        <v/>
      </c>
      <c r="L199" s="177" t="str">
        <f>IF(I199="Buy",-H199,IF(I199="Sell",H199,""))</f>
        <v/>
      </c>
    </row>
    <row r="200" ht="22" customHeight="1">
      <c r="B200" s="245" t="n"/>
      <c r="C200" s="246" t="str">
        <f>IF($B200="","",IF(COUNTIFS(Пул!$E$5:$E$300,$B200,Пул!$F$5:$F$300,"&lt;&gt;")=0,"",ROUND(SUMIFS(Пул!$F$5:$F$300,Пул!$E$5:$E$300,$B200),8)))</f>
        <v/>
      </c>
      <c r="D200" s="247" t="str">
        <f>IF($B200="","",IF(COUNTIFS(Пул!$E$5:$E$300,$B200,Пул!$G$5:$G$300,"&lt;&gt;")=0,"",ROUND(SUMIFS(Пул!$G$5:$G$300,Пул!$E$5:$E$300,$B200),8)))</f>
        <v/>
      </c>
      <c r="E200" s="246" t="str">
        <f>IF($B200="","",IF(COUNTIFS(Пул!$E$5:$E$300,$B200,Пул!$H$5:$H$300,"&lt;&gt;")=0,"",ROUND(SUMIFS(Пул!$H$5:$H$300,Пул!$E$5:$E$300,$B200),8)))</f>
        <v/>
      </c>
      <c r="F200" s="247" t="str">
        <f>IF($B200="","",IF(COUNTIFS(Пул!$E$5:$E$300,$B200,Пул!$I$5:$I$300,"&lt;&gt;")=0,"",ROUND(SUMIFS(Пул!$I$5:$I$300,Пул!$E$5:$E$300,$B200),8)))</f>
        <v/>
      </c>
      <c r="G200" s="246" t="str">
        <f>IF($B200="","",IF(COUNTIFS(Пул!$E$5:$E$300,$B200,Пул!$H$5:$H$300,"&lt;&gt;")=0,"",ROUND(SUMIFS(Пул!$J$5:$J$300,Пул!$E$5:$E$300,$B200),8)))</f>
        <v/>
      </c>
      <c r="H200" s="247" t="str">
        <f>IF($B200="","",IF(COUNTIFS(Пул!$E$5:$E$300,$B200,Пул!$I$5:$I$300,"&lt;&gt;")=0,"",ROUND(SUMIFS(Пул!$K$5:$K$300,Пул!$E$5:$E$300,$B200),8)))</f>
        <v/>
      </c>
      <c r="I200" s="242" t="str">
        <f>IF(AND(ISNUMBER(G200),ISNUMBER(H200)),IF(AND(G200&gt;0,H200&lt;0),"Buy",IF(AND(G200&lt;0,H200&gt;0),"Sell","")),"")</f>
        <v/>
      </c>
      <c r="J200" s="183" t="str">
        <f>IF(I200="Buy",G200,IF(I200="Sell",-G200,""))</f>
        <v/>
      </c>
      <c r="K200" s="183" t="str">
        <f>IF(AND(ISNUMBER(J200),ISNUMBER(L200),N(J200)&lt;&gt;0),ROUND(L200/J200,8),"")</f>
        <v/>
      </c>
      <c r="L200" s="183" t="str">
        <f>IF(I200="Buy",-H200,IF(I200="Sell",H200,""))</f>
        <v/>
      </c>
    </row>
    <row r="201" ht="22" customHeight="1">
      <c r="B201" s="239" t="n"/>
      <c r="C201" s="240" t="str">
        <f>IF($B201="","",IF(COUNTIFS(Пул!$E$5:$E$300,$B201,Пул!$F$5:$F$300,"&lt;&gt;")=0,"",ROUND(SUMIFS(Пул!$F$5:$F$300,Пул!$E$5:$E$300,$B201),8)))</f>
        <v/>
      </c>
      <c r="D201" s="241" t="str">
        <f>IF($B201="","",IF(COUNTIFS(Пул!$E$5:$E$300,$B201,Пул!$G$5:$G$300,"&lt;&gt;")=0,"",ROUND(SUMIFS(Пул!$G$5:$G$300,Пул!$E$5:$E$300,$B201),8)))</f>
        <v/>
      </c>
      <c r="E201" s="240" t="str">
        <f>IF($B201="","",IF(COUNTIFS(Пул!$E$5:$E$300,$B201,Пул!$H$5:$H$300,"&lt;&gt;")=0,"",ROUND(SUMIFS(Пул!$H$5:$H$300,Пул!$E$5:$E$300,$B201),8)))</f>
        <v/>
      </c>
      <c r="F201" s="241" t="str">
        <f>IF($B201="","",IF(COUNTIFS(Пул!$E$5:$E$300,$B201,Пул!$I$5:$I$300,"&lt;&gt;")=0,"",ROUND(SUMIFS(Пул!$I$5:$I$300,Пул!$E$5:$E$300,$B201),8)))</f>
        <v/>
      </c>
      <c r="G201" s="240" t="str">
        <f>IF($B201="","",IF(COUNTIFS(Пул!$E$5:$E$300,$B201,Пул!$H$5:$H$300,"&lt;&gt;")=0,"",ROUND(SUMIFS(Пул!$J$5:$J$300,Пул!$E$5:$E$300,$B201),8)))</f>
        <v/>
      </c>
      <c r="H201" s="241" t="str">
        <f>IF($B201="","",IF(COUNTIFS(Пул!$E$5:$E$300,$B201,Пул!$I$5:$I$300,"&lt;&gt;")=0,"",ROUND(SUMIFS(Пул!$K$5:$K$300,Пул!$E$5:$E$300,$B201),8)))</f>
        <v/>
      </c>
      <c r="I201" s="236" t="str">
        <f>IF(AND(ISNUMBER(G201),ISNUMBER(H201)),IF(AND(G201&gt;0,H201&lt;0),"Buy",IF(AND(G201&lt;0,H201&gt;0),"Sell","")),"")</f>
        <v/>
      </c>
      <c r="J201" s="177" t="str">
        <f>IF(I201="Buy",G201,IF(I201="Sell",-G201,""))</f>
        <v/>
      </c>
      <c r="K201" s="177" t="str">
        <f>IF(AND(ISNUMBER(J201),ISNUMBER(L201),N(J201)&lt;&gt;0),ROUND(L201/J201,8),"")</f>
        <v/>
      </c>
      <c r="L201" s="177" t="str">
        <f>IF(I201="Buy",-H201,IF(I201="Sell",H201,""))</f>
        <v/>
      </c>
    </row>
    <row r="202" ht="22" customHeight="1">
      <c r="B202" s="245" t="n"/>
      <c r="C202" s="246" t="str">
        <f>IF($B202="","",IF(COUNTIFS(Пул!$E$5:$E$300,$B202,Пул!$F$5:$F$300,"&lt;&gt;")=0,"",ROUND(SUMIFS(Пул!$F$5:$F$300,Пул!$E$5:$E$300,$B202),8)))</f>
        <v/>
      </c>
      <c r="D202" s="247" t="str">
        <f>IF($B202="","",IF(COUNTIFS(Пул!$E$5:$E$300,$B202,Пул!$G$5:$G$300,"&lt;&gt;")=0,"",ROUND(SUMIFS(Пул!$G$5:$G$300,Пул!$E$5:$E$300,$B202),8)))</f>
        <v/>
      </c>
      <c r="E202" s="246" t="str">
        <f>IF($B202="","",IF(COUNTIFS(Пул!$E$5:$E$300,$B202,Пул!$H$5:$H$300,"&lt;&gt;")=0,"",ROUND(SUMIFS(Пул!$H$5:$H$300,Пул!$E$5:$E$300,$B202),8)))</f>
        <v/>
      </c>
      <c r="F202" s="247" t="str">
        <f>IF($B202="","",IF(COUNTIFS(Пул!$E$5:$E$300,$B202,Пул!$I$5:$I$300,"&lt;&gt;")=0,"",ROUND(SUMIFS(Пул!$I$5:$I$300,Пул!$E$5:$E$300,$B202),8)))</f>
        <v/>
      </c>
      <c r="G202" s="246" t="str">
        <f>IF($B202="","",IF(COUNTIFS(Пул!$E$5:$E$300,$B202,Пул!$H$5:$H$300,"&lt;&gt;")=0,"",ROUND(SUMIFS(Пул!$J$5:$J$300,Пул!$E$5:$E$300,$B202),8)))</f>
        <v/>
      </c>
      <c r="H202" s="247" t="str">
        <f>IF($B202="","",IF(COUNTIFS(Пул!$E$5:$E$300,$B202,Пул!$I$5:$I$300,"&lt;&gt;")=0,"",ROUND(SUMIFS(Пул!$K$5:$K$300,Пул!$E$5:$E$300,$B202),8)))</f>
        <v/>
      </c>
      <c r="I202" s="242" t="str">
        <f>IF(AND(ISNUMBER(G202),ISNUMBER(H202)),IF(AND(G202&gt;0,H202&lt;0),"Buy",IF(AND(G202&lt;0,H202&gt;0),"Sell","")),"")</f>
        <v/>
      </c>
      <c r="J202" s="183" t="str">
        <f>IF(I202="Buy",G202,IF(I202="Sell",-G202,""))</f>
        <v/>
      </c>
      <c r="K202" s="183" t="str">
        <f>IF(AND(ISNUMBER(J202),ISNUMBER(L202),N(J202)&lt;&gt;0),ROUND(L202/J202,8),"")</f>
        <v/>
      </c>
      <c r="L202" s="183" t="str">
        <f>IF(I202="Buy",-H202,IF(I202="Sell",H202,""))</f>
        <v/>
      </c>
    </row>
    <row r="203" ht="22" customHeight="1">
      <c r="B203" s="239" t="n"/>
      <c r="C203" s="240" t="str">
        <f>IF($B203="","",IF(COUNTIFS(Пул!$E$5:$E$300,$B203,Пул!$F$5:$F$300,"&lt;&gt;")=0,"",ROUND(SUMIFS(Пул!$F$5:$F$300,Пул!$E$5:$E$300,$B203),8)))</f>
        <v/>
      </c>
      <c r="D203" s="241" t="str">
        <f>IF($B203="","",IF(COUNTIFS(Пул!$E$5:$E$300,$B203,Пул!$G$5:$G$300,"&lt;&gt;")=0,"",ROUND(SUMIFS(Пул!$G$5:$G$300,Пул!$E$5:$E$300,$B203),8)))</f>
        <v/>
      </c>
      <c r="E203" s="240" t="str">
        <f>IF($B203="","",IF(COUNTIFS(Пул!$E$5:$E$300,$B203,Пул!$H$5:$H$300,"&lt;&gt;")=0,"",ROUND(SUMIFS(Пул!$H$5:$H$300,Пул!$E$5:$E$300,$B203),8)))</f>
        <v/>
      </c>
      <c r="F203" s="241" t="str">
        <f>IF($B203="","",IF(COUNTIFS(Пул!$E$5:$E$300,$B203,Пул!$I$5:$I$300,"&lt;&gt;")=0,"",ROUND(SUMIFS(Пул!$I$5:$I$300,Пул!$E$5:$E$300,$B203),8)))</f>
        <v/>
      </c>
      <c r="G203" s="240" t="str">
        <f>IF($B203="","",IF(COUNTIFS(Пул!$E$5:$E$300,$B203,Пул!$H$5:$H$300,"&lt;&gt;")=0,"",ROUND(SUMIFS(Пул!$J$5:$J$300,Пул!$E$5:$E$300,$B203),8)))</f>
        <v/>
      </c>
      <c r="H203" s="241" t="str">
        <f>IF($B203="","",IF(COUNTIFS(Пул!$E$5:$E$300,$B203,Пул!$I$5:$I$300,"&lt;&gt;")=0,"",ROUND(SUMIFS(Пул!$K$5:$K$300,Пул!$E$5:$E$300,$B203),8)))</f>
        <v/>
      </c>
      <c r="I203" s="236" t="str">
        <f>IF(AND(ISNUMBER(G203),ISNUMBER(H203)),IF(AND(G203&gt;0,H203&lt;0),"Buy",IF(AND(G203&lt;0,H203&gt;0),"Sell","")),"")</f>
        <v/>
      </c>
      <c r="J203" s="177" t="str">
        <f>IF(I203="Buy",G203,IF(I203="Sell",-G203,""))</f>
        <v/>
      </c>
      <c r="K203" s="177" t="str">
        <f>IF(AND(ISNUMBER(J203),ISNUMBER(L203),N(J203)&lt;&gt;0),ROUND(L203/J203,8),"")</f>
        <v/>
      </c>
      <c r="L203" s="177" t="str">
        <f>IF(I203="Buy",-H203,IF(I203="Sell",H203,""))</f>
        <v/>
      </c>
    </row>
    <row r="204" ht="22" customHeight="1">
      <c r="B204" s="245" t="n"/>
      <c r="C204" s="246" t="str">
        <f>IF($B204="","",IF(COUNTIFS(Пул!$E$5:$E$300,$B204,Пул!$F$5:$F$300,"&lt;&gt;")=0,"",ROUND(SUMIFS(Пул!$F$5:$F$300,Пул!$E$5:$E$300,$B204),8)))</f>
        <v/>
      </c>
      <c r="D204" s="247" t="str">
        <f>IF($B204="","",IF(COUNTIFS(Пул!$E$5:$E$300,$B204,Пул!$G$5:$G$300,"&lt;&gt;")=0,"",ROUND(SUMIFS(Пул!$G$5:$G$300,Пул!$E$5:$E$300,$B204),8)))</f>
        <v/>
      </c>
      <c r="E204" s="246" t="str">
        <f>IF($B204="","",IF(COUNTIFS(Пул!$E$5:$E$300,$B204,Пул!$H$5:$H$300,"&lt;&gt;")=0,"",ROUND(SUMIFS(Пул!$H$5:$H$300,Пул!$E$5:$E$300,$B204),8)))</f>
        <v/>
      </c>
      <c r="F204" s="247" t="str">
        <f>IF($B204="","",IF(COUNTIFS(Пул!$E$5:$E$300,$B204,Пул!$I$5:$I$300,"&lt;&gt;")=0,"",ROUND(SUMIFS(Пул!$I$5:$I$300,Пул!$E$5:$E$300,$B204),8)))</f>
        <v/>
      </c>
      <c r="G204" s="246" t="str">
        <f>IF($B204="","",IF(COUNTIFS(Пул!$E$5:$E$300,$B204,Пул!$H$5:$H$300,"&lt;&gt;")=0,"",ROUND(SUMIFS(Пул!$J$5:$J$300,Пул!$E$5:$E$300,$B204),8)))</f>
        <v/>
      </c>
      <c r="H204" s="247" t="str">
        <f>IF($B204="","",IF(COUNTIFS(Пул!$E$5:$E$300,$B204,Пул!$I$5:$I$300,"&lt;&gt;")=0,"",ROUND(SUMIFS(Пул!$K$5:$K$300,Пул!$E$5:$E$300,$B204),8)))</f>
        <v/>
      </c>
      <c r="I204" s="242" t="str">
        <f>IF(AND(ISNUMBER(G204),ISNUMBER(H204)),IF(AND(G204&gt;0,H204&lt;0),"Buy",IF(AND(G204&lt;0,H204&gt;0),"Sell","")),"")</f>
        <v/>
      </c>
      <c r="J204" s="183" t="str">
        <f>IF(I204="Buy",G204,IF(I204="Sell",-G204,""))</f>
        <v/>
      </c>
      <c r="K204" s="183" t="str">
        <f>IF(AND(ISNUMBER(J204),ISNUMBER(L204),N(J204)&lt;&gt;0),ROUND(L204/J204,8),"")</f>
        <v/>
      </c>
      <c r="L204" s="183" t="str">
        <f>IF(I204="Buy",-H204,IF(I204="Sell",H204,""))</f>
        <v/>
      </c>
    </row>
    <row r="205" ht="22" customHeight="1">
      <c r="B205" s="239" t="n"/>
      <c r="C205" s="240" t="str">
        <f>IF($B205="","",IF(COUNTIFS(Пул!$E$5:$E$300,$B205,Пул!$F$5:$F$300,"&lt;&gt;")=0,"",ROUND(SUMIFS(Пул!$F$5:$F$300,Пул!$E$5:$E$300,$B205),8)))</f>
        <v/>
      </c>
      <c r="D205" s="241" t="str">
        <f>IF($B205="","",IF(COUNTIFS(Пул!$E$5:$E$300,$B205,Пул!$G$5:$G$300,"&lt;&gt;")=0,"",ROUND(SUMIFS(Пул!$G$5:$G$300,Пул!$E$5:$E$300,$B205),8)))</f>
        <v/>
      </c>
      <c r="E205" s="240" t="str">
        <f>IF($B205="","",IF(COUNTIFS(Пул!$E$5:$E$300,$B205,Пул!$H$5:$H$300,"&lt;&gt;")=0,"",ROUND(SUMIFS(Пул!$H$5:$H$300,Пул!$E$5:$E$300,$B205),8)))</f>
        <v/>
      </c>
      <c r="F205" s="241" t="str">
        <f>IF($B205="","",IF(COUNTIFS(Пул!$E$5:$E$300,$B205,Пул!$I$5:$I$300,"&lt;&gt;")=0,"",ROUND(SUMIFS(Пул!$I$5:$I$300,Пул!$E$5:$E$300,$B205),8)))</f>
        <v/>
      </c>
      <c r="G205" s="240" t="str">
        <f>IF($B205="","",IF(COUNTIFS(Пул!$E$5:$E$300,$B205,Пул!$H$5:$H$300,"&lt;&gt;")=0,"",ROUND(SUMIFS(Пул!$J$5:$J$300,Пул!$E$5:$E$300,$B205),8)))</f>
        <v/>
      </c>
      <c r="H205" s="241" t="str">
        <f>IF($B205="","",IF(COUNTIFS(Пул!$E$5:$E$300,$B205,Пул!$I$5:$I$300,"&lt;&gt;")=0,"",ROUND(SUMIFS(Пул!$K$5:$K$300,Пул!$E$5:$E$300,$B205),8)))</f>
        <v/>
      </c>
      <c r="I205" s="236" t="str">
        <f>IF(AND(ISNUMBER(G205),ISNUMBER(H205)),IF(AND(G205&gt;0,H205&lt;0),"Buy",IF(AND(G205&lt;0,H205&gt;0),"Sell","")),"")</f>
        <v/>
      </c>
      <c r="J205" s="177" t="str">
        <f>IF(I205="Buy",G205,IF(I205="Sell",-G205,""))</f>
        <v/>
      </c>
      <c r="K205" s="177" t="str">
        <f>IF(AND(ISNUMBER(J205),ISNUMBER(L205),N(J205)&lt;&gt;0),ROUND(L205/J205,8),"")</f>
        <v/>
      </c>
      <c r="L205" s="177" t="str">
        <f>IF(I205="Buy",-H205,IF(I205="Sell",H205,""))</f>
        <v/>
      </c>
    </row>
    <row r="206" ht="22" customHeight="1">
      <c r="B206" s="245" t="n"/>
      <c r="C206" s="246" t="str">
        <f>IF($B206="","",IF(COUNTIFS(Пул!$E$5:$E$300,$B206,Пул!$F$5:$F$300,"&lt;&gt;")=0,"",ROUND(SUMIFS(Пул!$F$5:$F$300,Пул!$E$5:$E$300,$B206),8)))</f>
        <v/>
      </c>
      <c r="D206" s="247" t="str">
        <f>IF($B206="","",IF(COUNTIFS(Пул!$E$5:$E$300,$B206,Пул!$G$5:$G$300,"&lt;&gt;")=0,"",ROUND(SUMIFS(Пул!$G$5:$G$300,Пул!$E$5:$E$300,$B206),8)))</f>
        <v/>
      </c>
      <c r="E206" s="246" t="str">
        <f>IF($B206="","",IF(COUNTIFS(Пул!$E$5:$E$300,$B206,Пул!$H$5:$H$300,"&lt;&gt;")=0,"",ROUND(SUMIFS(Пул!$H$5:$H$300,Пул!$E$5:$E$300,$B206),8)))</f>
        <v/>
      </c>
      <c r="F206" s="247" t="str">
        <f>IF($B206="","",IF(COUNTIFS(Пул!$E$5:$E$300,$B206,Пул!$I$5:$I$300,"&lt;&gt;")=0,"",ROUND(SUMIFS(Пул!$I$5:$I$300,Пул!$E$5:$E$300,$B206),8)))</f>
        <v/>
      </c>
      <c r="G206" s="246" t="str">
        <f>IF($B206="","",IF(COUNTIFS(Пул!$E$5:$E$300,$B206,Пул!$H$5:$H$300,"&lt;&gt;")=0,"",ROUND(SUMIFS(Пул!$J$5:$J$300,Пул!$E$5:$E$300,$B206),8)))</f>
        <v/>
      </c>
      <c r="H206" s="247" t="str">
        <f>IF($B206="","",IF(COUNTIFS(Пул!$E$5:$E$300,$B206,Пул!$I$5:$I$300,"&lt;&gt;")=0,"",ROUND(SUMIFS(Пул!$K$5:$K$300,Пул!$E$5:$E$300,$B206),8)))</f>
        <v/>
      </c>
      <c r="I206" s="242" t="str">
        <f>IF(AND(ISNUMBER(G206),ISNUMBER(H206)),IF(AND(G206&gt;0,H206&lt;0),"Buy",IF(AND(G206&lt;0,H206&gt;0),"Sell","")),"")</f>
        <v/>
      </c>
      <c r="J206" s="183" t="str">
        <f>IF(I206="Buy",G206,IF(I206="Sell",-G206,""))</f>
        <v/>
      </c>
      <c r="K206" s="183" t="str">
        <f>IF(AND(ISNUMBER(J206),ISNUMBER(L206),N(J206)&lt;&gt;0),ROUND(L206/J206,8),"")</f>
        <v/>
      </c>
      <c r="L206" s="183" t="str">
        <f>IF(I206="Buy",-H206,IF(I206="Sell",H206,""))</f>
        <v/>
      </c>
    </row>
    <row r="207" ht="22" customHeight="1">
      <c r="B207" s="239" t="n"/>
      <c r="C207" s="240" t="str">
        <f>IF($B207="","",IF(COUNTIFS(Пул!$E$5:$E$300,$B207,Пул!$F$5:$F$300,"&lt;&gt;")=0,"",ROUND(SUMIFS(Пул!$F$5:$F$300,Пул!$E$5:$E$300,$B207),8)))</f>
        <v/>
      </c>
      <c r="D207" s="241" t="str">
        <f>IF($B207="","",IF(COUNTIFS(Пул!$E$5:$E$300,$B207,Пул!$G$5:$G$300,"&lt;&gt;")=0,"",ROUND(SUMIFS(Пул!$G$5:$G$300,Пул!$E$5:$E$300,$B207),8)))</f>
        <v/>
      </c>
      <c r="E207" s="240" t="str">
        <f>IF($B207="","",IF(COUNTIFS(Пул!$E$5:$E$300,$B207,Пул!$H$5:$H$300,"&lt;&gt;")=0,"",ROUND(SUMIFS(Пул!$H$5:$H$300,Пул!$E$5:$E$300,$B207),8)))</f>
        <v/>
      </c>
      <c r="F207" s="241" t="str">
        <f>IF($B207="","",IF(COUNTIFS(Пул!$E$5:$E$300,$B207,Пул!$I$5:$I$300,"&lt;&gt;")=0,"",ROUND(SUMIFS(Пул!$I$5:$I$300,Пул!$E$5:$E$300,$B207),8)))</f>
        <v/>
      </c>
      <c r="G207" s="240" t="str">
        <f>IF($B207="","",IF(COUNTIFS(Пул!$E$5:$E$300,$B207,Пул!$H$5:$H$300,"&lt;&gt;")=0,"",ROUND(SUMIFS(Пул!$J$5:$J$300,Пул!$E$5:$E$300,$B207),8)))</f>
        <v/>
      </c>
      <c r="H207" s="241" t="str">
        <f>IF($B207="","",IF(COUNTIFS(Пул!$E$5:$E$300,$B207,Пул!$I$5:$I$300,"&lt;&gt;")=0,"",ROUND(SUMIFS(Пул!$K$5:$K$300,Пул!$E$5:$E$300,$B207),8)))</f>
        <v/>
      </c>
      <c r="I207" s="236" t="str">
        <f>IF(AND(ISNUMBER(G207),ISNUMBER(H207)),IF(AND(G207&gt;0,H207&lt;0),"Buy",IF(AND(G207&lt;0,H207&gt;0),"Sell","")),"")</f>
        <v/>
      </c>
      <c r="J207" s="177" t="str">
        <f>IF(I207="Buy",G207,IF(I207="Sell",-G207,""))</f>
        <v/>
      </c>
      <c r="K207" s="177" t="str">
        <f>IF(AND(ISNUMBER(J207),ISNUMBER(L207),N(J207)&lt;&gt;0),ROUND(L207/J207,8),"")</f>
        <v/>
      </c>
      <c r="L207" s="177" t="str">
        <f>IF(I207="Buy",-H207,IF(I207="Sell",H207,""))</f>
        <v/>
      </c>
    </row>
    <row r="208" ht="22" customHeight="1">
      <c r="B208" s="245" t="n"/>
      <c r="C208" s="246" t="str">
        <f>IF($B208="","",IF(COUNTIFS(Пул!$E$5:$E$300,$B208,Пул!$F$5:$F$300,"&lt;&gt;")=0,"",ROUND(SUMIFS(Пул!$F$5:$F$300,Пул!$E$5:$E$300,$B208),8)))</f>
        <v/>
      </c>
      <c r="D208" s="247" t="str">
        <f>IF($B208="","",IF(COUNTIFS(Пул!$E$5:$E$300,$B208,Пул!$G$5:$G$300,"&lt;&gt;")=0,"",ROUND(SUMIFS(Пул!$G$5:$G$300,Пул!$E$5:$E$300,$B208),8)))</f>
        <v/>
      </c>
      <c r="E208" s="246" t="str">
        <f>IF($B208="","",IF(COUNTIFS(Пул!$E$5:$E$300,$B208,Пул!$H$5:$H$300,"&lt;&gt;")=0,"",ROUND(SUMIFS(Пул!$H$5:$H$300,Пул!$E$5:$E$300,$B208),8)))</f>
        <v/>
      </c>
      <c r="F208" s="247" t="str">
        <f>IF($B208="","",IF(COUNTIFS(Пул!$E$5:$E$300,$B208,Пул!$I$5:$I$300,"&lt;&gt;")=0,"",ROUND(SUMIFS(Пул!$I$5:$I$300,Пул!$E$5:$E$300,$B208),8)))</f>
        <v/>
      </c>
      <c r="G208" s="246" t="str">
        <f>IF($B208="","",IF(COUNTIFS(Пул!$E$5:$E$300,$B208,Пул!$H$5:$H$300,"&lt;&gt;")=0,"",ROUND(SUMIFS(Пул!$J$5:$J$300,Пул!$E$5:$E$300,$B208),8)))</f>
        <v/>
      </c>
      <c r="H208" s="247" t="str">
        <f>IF($B208="","",IF(COUNTIFS(Пул!$E$5:$E$300,$B208,Пул!$I$5:$I$300,"&lt;&gt;")=0,"",ROUND(SUMIFS(Пул!$K$5:$K$300,Пул!$E$5:$E$300,$B208),8)))</f>
        <v/>
      </c>
      <c r="I208" s="242" t="str">
        <f>IF(AND(ISNUMBER(G208),ISNUMBER(H208)),IF(AND(G208&gt;0,H208&lt;0),"Buy",IF(AND(G208&lt;0,H208&gt;0),"Sell","")),"")</f>
        <v/>
      </c>
      <c r="J208" s="183" t="str">
        <f>IF(I208="Buy",G208,IF(I208="Sell",-G208,""))</f>
        <v/>
      </c>
      <c r="K208" s="183" t="str">
        <f>IF(AND(ISNUMBER(J208),ISNUMBER(L208),N(J208)&lt;&gt;0),ROUND(L208/J208,8),"")</f>
        <v/>
      </c>
      <c r="L208" s="183" t="str">
        <f>IF(I208="Buy",-H208,IF(I208="Sell",H208,""))</f>
        <v/>
      </c>
    </row>
    <row r="209" ht="22" customHeight="1">
      <c r="B209" s="239" t="n"/>
      <c r="C209" s="240" t="str">
        <f>IF($B209="","",IF(COUNTIFS(Пул!$E$5:$E$300,$B209,Пул!$F$5:$F$300,"&lt;&gt;")=0,"",ROUND(SUMIFS(Пул!$F$5:$F$300,Пул!$E$5:$E$300,$B209),8)))</f>
        <v/>
      </c>
      <c r="D209" s="241" t="str">
        <f>IF($B209="","",IF(COUNTIFS(Пул!$E$5:$E$300,$B209,Пул!$G$5:$G$300,"&lt;&gt;")=0,"",ROUND(SUMIFS(Пул!$G$5:$G$300,Пул!$E$5:$E$300,$B209),8)))</f>
        <v/>
      </c>
      <c r="E209" s="240" t="str">
        <f>IF($B209="","",IF(COUNTIFS(Пул!$E$5:$E$300,$B209,Пул!$H$5:$H$300,"&lt;&gt;")=0,"",ROUND(SUMIFS(Пул!$H$5:$H$300,Пул!$E$5:$E$300,$B209),8)))</f>
        <v/>
      </c>
      <c r="F209" s="241" t="str">
        <f>IF($B209="","",IF(COUNTIFS(Пул!$E$5:$E$300,$B209,Пул!$I$5:$I$300,"&lt;&gt;")=0,"",ROUND(SUMIFS(Пул!$I$5:$I$300,Пул!$E$5:$E$300,$B209),8)))</f>
        <v/>
      </c>
      <c r="G209" s="240" t="str">
        <f>IF($B209="","",IF(COUNTIFS(Пул!$E$5:$E$300,$B209,Пул!$H$5:$H$300,"&lt;&gt;")=0,"",ROUND(SUMIFS(Пул!$J$5:$J$300,Пул!$E$5:$E$300,$B209),8)))</f>
        <v/>
      </c>
      <c r="H209" s="241" t="str">
        <f>IF($B209="","",IF(COUNTIFS(Пул!$E$5:$E$300,$B209,Пул!$I$5:$I$300,"&lt;&gt;")=0,"",ROUND(SUMIFS(Пул!$K$5:$K$300,Пул!$E$5:$E$300,$B209),8)))</f>
        <v/>
      </c>
      <c r="I209" s="236" t="str">
        <f>IF(AND(ISNUMBER(G209),ISNUMBER(H209)),IF(AND(G209&gt;0,H209&lt;0),"Buy",IF(AND(G209&lt;0,H209&gt;0),"Sell","")),"")</f>
        <v/>
      </c>
      <c r="J209" s="177" t="str">
        <f>IF(I209="Buy",G209,IF(I209="Sell",-G209,""))</f>
        <v/>
      </c>
      <c r="K209" s="177" t="str">
        <f>IF(AND(ISNUMBER(J209),ISNUMBER(L209),N(J209)&lt;&gt;0),ROUND(L209/J209,8),"")</f>
        <v/>
      </c>
      <c r="L209" s="177" t="str">
        <f>IF(I209="Buy",-H209,IF(I209="Sell",H209,""))</f>
        <v/>
      </c>
    </row>
    <row r="210" ht="22" customHeight="1">
      <c r="B210" s="245" t="n"/>
      <c r="C210" s="246" t="str">
        <f>IF($B210="","",IF(COUNTIFS(Пул!$E$5:$E$300,$B210,Пул!$F$5:$F$300,"&lt;&gt;")=0,"",ROUND(SUMIFS(Пул!$F$5:$F$300,Пул!$E$5:$E$300,$B210),8)))</f>
        <v/>
      </c>
      <c r="D210" s="247" t="str">
        <f>IF($B210="","",IF(COUNTIFS(Пул!$E$5:$E$300,$B210,Пул!$G$5:$G$300,"&lt;&gt;")=0,"",ROUND(SUMIFS(Пул!$G$5:$G$300,Пул!$E$5:$E$300,$B210),8)))</f>
        <v/>
      </c>
      <c r="E210" s="246" t="str">
        <f>IF($B210="","",IF(COUNTIFS(Пул!$E$5:$E$300,$B210,Пул!$H$5:$H$300,"&lt;&gt;")=0,"",ROUND(SUMIFS(Пул!$H$5:$H$300,Пул!$E$5:$E$300,$B210),8)))</f>
        <v/>
      </c>
      <c r="F210" s="247" t="str">
        <f>IF($B210="","",IF(COUNTIFS(Пул!$E$5:$E$300,$B210,Пул!$I$5:$I$300,"&lt;&gt;")=0,"",ROUND(SUMIFS(Пул!$I$5:$I$300,Пул!$E$5:$E$300,$B210),8)))</f>
        <v/>
      </c>
      <c r="G210" s="246" t="str">
        <f>IF($B210="","",IF(COUNTIFS(Пул!$E$5:$E$300,$B210,Пул!$H$5:$H$300,"&lt;&gt;")=0,"",ROUND(SUMIFS(Пул!$J$5:$J$300,Пул!$E$5:$E$300,$B210),8)))</f>
        <v/>
      </c>
      <c r="H210" s="247" t="str">
        <f>IF($B210="","",IF(COUNTIFS(Пул!$E$5:$E$300,$B210,Пул!$I$5:$I$300,"&lt;&gt;")=0,"",ROUND(SUMIFS(Пул!$K$5:$K$300,Пул!$E$5:$E$300,$B210),8)))</f>
        <v/>
      </c>
      <c r="I210" s="242" t="str">
        <f>IF(AND(ISNUMBER(G210),ISNUMBER(H210)),IF(AND(G210&gt;0,H210&lt;0),"Buy",IF(AND(G210&lt;0,H210&gt;0),"Sell","")),"")</f>
        <v/>
      </c>
      <c r="J210" s="183" t="str">
        <f>IF(I210="Buy",G210,IF(I210="Sell",-G210,""))</f>
        <v/>
      </c>
      <c r="K210" s="183" t="str">
        <f>IF(AND(ISNUMBER(J210),ISNUMBER(L210),N(J210)&lt;&gt;0),ROUND(L210/J210,8),"")</f>
        <v/>
      </c>
      <c r="L210" s="183" t="str">
        <f>IF(I210="Buy",-H210,IF(I210="Sell",H210,""))</f>
        <v/>
      </c>
    </row>
    <row r="211" ht="22" customHeight="1">
      <c r="B211" s="239" t="n"/>
      <c r="C211" s="240" t="str">
        <f>IF($B211="","",IF(COUNTIFS(Пул!$E$5:$E$300,$B211,Пул!$F$5:$F$300,"&lt;&gt;")=0,"",ROUND(SUMIFS(Пул!$F$5:$F$300,Пул!$E$5:$E$300,$B211),8)))</f>
        <v/>
      </c>
      <c r="D211" s="241" t="str">
        <f>IF($B211="","",IF(COUNTIFS(Пул!$E$5:$E$300,$B211,Пул!$G$5:$G$300,"&lt;&gt;")=0,"",ROUND(SUMIFS(Пул!$G$5:$G$300,Пул!$E$5:$E$300,$B211),8)))</f>
        <v/>
      </c>
      <c r="E211" s="240" t="str">
        <f>IF($B211="","",IF(COUNTIFS(Пул!$E$5:$E$300,$B211,Пул!$H$5:$H$300,"&lt;&gt;")=0,"",ROUND(SUMIFS(Пул!$H$5:$H$300,Пул!$E$5:$E$300,$B211),8)))</f>
        <v/>
      </c>
      <c r="F211" s="241" t="str">
        <f>IF($B211="","",IF(COUNTIFS(Пул!$E$5:$E$300,$B211,Пул!$I$5:$I$300,"&lt;&gt;")=0,"",ROUND(SUMIFS(Пул!$I$5:$I$300,Пул!$E$5:$E$300,$B211),8)))</f>
        <v/>
      </c>
      <c r="G211" s="240" t="str">
        <f>IF($B211="","",IF(COUNTIFS(Пул!$E$5:$E$300,$B211,Пул!$H$5:$H$300,"&lt;&gt;")=0,"",ROUND(SUMIFS(Пул!$J$5:$J$300,Пул!$E$5:$E$300,$B211),8)))</f>
        <v/>
      </c>
      <c r="H211" s="241" t="str">
        <f>IF($B211="","",IF(COUNTIFS(Пул!$E$5:$E$300,$B211,Пул!$I$5:$I$300,"&lt;&gt;")=0,"",ROUND(SUMIFS(Пул!$K$5:$K$300,Пул!$E$5:$E$300,$B211),8)))</f>
        <v/>
      </c>
      <c r="I211" s="236" t="str">
        <f>IF(AND(ISNUMBER(G211),ISNUMBER(H211)),IF(AND(G211&gt;0,H211&lt;0),"Buy",IF(AND(G211&lt;0,H211&gt;0),"Sell","")),"")</f>
        <v/>
      </c>
      <c r="J211" s="177" t="str">
        <f>IF(I211="Buy",G211,IF(I211="Sell",-G211,""))</f>
        <v/>
      </c>
      <c r="K211" s="177" t="str">
        <f>IF(AND(ISNUMBER(J211),ISNUMBER(L211),N(J211)&lt;&gt;0),ROUND(L211/J211,8),"")</f>
        <v/>
      </c>
      <c r="L211" s="177" t="str">
        <f>IF(I211="Buy",-H211,IF(I211="Sell",H211,""))</f>
        <v/>
      </c>
    </row>
    <row r="212" ht="22" customHeight="1">
      <c r="B212" s="245" t="n"/>
      <c r="C212" s="246" t="str">
        <f>IF($B212="","",IF(COUNTIFS(Пул!$E$5:$E$300,$B212,Пул!$F$5:$F$300,"&lt;&gt;")=0,"",ROUND(SUMIFS(Пул!$F$5:$F$300,Пул!$E$5:$E$300,$B212),8)))</f>
        <v/>
      </c>
      <c r="D212" s="247" t="str">
        <f>IF($B212="","",IF(COUNTIFS(Пул!$E$5:$E$300,$B212,Пул!$G$5:$G$300,"&lt;&gt;")=0,"",ROUND(SUMIFS(Пул!$G$5:$G$300,Пул!$E$5:$E$300,$B212),8)))</f>
        <v/>
      </c>
      <c r="E212" s="246" t="str">
        <f>IF($B212="","",IF(COUNTIFS(Пул!$E$5:$E$300,$B212,Пул!$H$5:$H$300,"&lt;&gt;")=0,"",ROUND(SUMIFS(Пул!$H$5:$H$300,Пул!$E$5:$E$300,$B212),8)))</f>
        <v/>
      </c>
      <c r="F212" s="247" t="str">
        <f>IF($B212="","",IF(COUNTIFS(Пул!$E$5:$E$300,$B212,Пул!$I$5:$I$300,"&lt;&gt;")=0,"",ROUND(SUMIFS(Пул!$I$5:$I$300,Пул!$E$5:$E$300,$B212),8)))</f>
        <v/>
      </c>
      <c r="G212" s="246" t="str">
        <f>IF($B212="","",IF(COUNTIFS(Пул!$E$5:$E$300,$B212,Пул!$H$5:$H$300,"&lt;&gt;")=0,"",ROUND(SUMIFS(Пул!$J$5:$J$300,Пул!$E$5:$E$300,$B212),8)))</f>
        <v/>
      </c>
      <c r="H212" s="247" t="str">
        <f>IF($B212="","",IF(COUNTIFS(Пул!$E$5:$E$300,$B212,Пул!$I$5:$I$300,"&lt;&gt;")=0,"",ROUND(SUMIFS(Пул!$K$5:$K$300,Пул!$E$5:$E$300,$B212),8)))</f>
        <v/>
      </c>
      <c r="I212" s="242" t="str">
        <f>IF(AND(ISNUMBER(G212),ISNUMBER(H212)),IF(AND(G212&gt;0,H212&lt;0),"Buy",IF(AND(G212&lt;0,H212&gt;0),"Sell","")),"")</f>
        <v/>
      </c>
      <c r="J212" s="183" t="str">
        <f>IF(I212="Buy",G212,IF(I212="Sell",-G212,""))</f>
        <v/>
      </c>
      <c r="K212" s="183" t="str">
        <f>IF(AND(ISNUMBER(J212),ISNUMBER(L212),N(J212)&lt;&gt;0),ROUND(L212/J212,8),"")</f>
        <v/>
      </c>
      <c r="L212" s="183" t="str">
        <f>IF(I212="Buy",-H212,IF(I212="Sell",H212,""))</f>
        <v/>
      </c>
    </row>
    <row r="213" ht="22" customHeight="1">
      <c r="B213" s="239" t="n"/>
      <c r="C213" s="240" t="str">
        <f>IF($B213="","",IF(COUNTIFS(Пул!$E$5:$E$300,$B213,Пул!$F$5:$F$300,"&lt;&gt;")=0,"",ROUND(SUMIFS(Пул!$F$5:$F$300,Пул!$E$5:$E$300,$B213),8)))</f>
        <v/>
      </c>
      <c r="D213" s="241" t="str">
        <f>IF($B213="","",IF(COUNTIFS(Пул!$E$5:$E$300,$B213,Пул!$G$5:$G$300,"&lt;&gt;")=0,"",ROUND(SUMIFS(Пул!$G$5:$G$300,Пул!$E$5:$E$300,$B213),8)))</f>
        <v/>
      </c>
      <c r="E213" s="240" t="str">
        <f>IF($B213="","",IF(COUNTIFS(Пул!$E$5:$E$300,$B213,Пул!$H$5:$H$300,"&lt;&gt;")=0,"",ROUND(SUMIFS(Пул!$H$5:$H$300,Пул!$E$5:$E$300,$B213),8)))</f>
        <v/>
      </c>
      <c r="F213" s="241" t="str">
        <f>IF($B213="","",IF(COUNTIFS(Пул!$E$5:$E$300,$B213,Пул!$I$5:$I$300,"&lt;&gt;")=0,"",ROUND(SUMIFS(Пул!$I$5:$I$300,Пул!$E$5:$E$300,$B213),8)))</f>
        <v/>
      </c>
      <c r="G213" s="240" t="str">
        <f>IF($B213="","",IF(COUNTIFS(Пул!$E$5:$E$300,$B213,Пул!$H$5:$H$300,"&lt;&gt;")=0,"",ROUND(SUMIFS(Пул!$J$5:$J$300,Пул!$E$5:$E$300,$B213),8)))</f>
        <v/>
      </c>
      <c r="H213" s="241" t="str">
        <f>IF($B213="","",IF(COUNTIFS(Пул!$E$5:$E$300,$B213,Пул!$I$5:$I$300,"&lt;&gt;")=0,"",ROUND(SUMIFS(Пул!$K$5:$K$300,Пул!$E$5:$E$300,$B213),8)))</f>
        <v/>
      </c>
      <c r="I213" s="236" t="str">
        <f>IF(AND(ISNUMBER(G213),ISNUMBER(H213)),IF(AND(G213&gt;0,H213&lt;0),"Buy",IF(AND(G213&lt;0,H213&gt;0),"Sell","")),"")</f>
        <v/>
      </c>
      <c r="J213" s="177" t="str">
        <f>IF(I213="Buy",G213,IF(I213="Sell",-G213,""))</f>
        <v/>
      </c>
      <c r="K213" s="177" t="str">
        <f>IF(AND(ISNUMBER(J213),ISNUMBER(L213),N(J213)&lt;&gt;0),ROUND(L213/J213,8),"")</f>
        <v/>
      </c>
      <c r="L213" s="177" t="str">
        <f>IF(I213="Buy",-H213,IF(I213="Sell",H213,""))</f>
        <v/>
      </c>
    </row>
    <row r="214" ht="22" customHeight="1">
      <c r="B214" s="245" t="n"/>
      <c r="C214" s="246" t="str">
        <f>IF($B214="","",IF(COUNTIFS(Пул!$E$5:$E$300,$B214,Пул!$F$5:$F$300,"&lt;&gt;")=0,"",ROUND(SUMIFS(Пул!$F$5:$F$300,Пул!$E$5:$E$300,$B214),8)))</f>
        <v/>
      </c>
      <c r="D214" s="247" t="str">
        <f>IF($B214="","",IF(COUNTIFS(Пул!$E$5:$E$300,$B214,Пул!$G$5:$G$300,"&lt;&gt;")=0,"",ROUND(SUMIFS(Пул!$G$5:$G$300,Пул!$E$5:$E$300,$B214),8)))</f>
        <v/>
      </c>
      <c r="E214" s="246" t="str">
        <f>IF($B214="","",IF(COUNTIFS(Пул!$E$5:$E$300,$B214,Пул!$H$5:$H$300,"&lt;&gt;")=0,"",ROUND(SUMIFS(Пул!$H$5:$H$300,Пул!$E$5:$E$300,$B214),8)))</f>
        <v/>
      </c>
      <c r="F214" s="247" t="str">
        <f>IF($B214="","",IF(COUNTIFS(Пул!$E$5:$E$300,$B214,Пул!$I$5:$I$300,"&lt;&gt;")=0,"",ROUND(SUMIFS(Пул!$I$5:$I$300,Пул!$E$5:$E$300,$B214),8)))</f>
        <v/>
      </c>
      <c r="G214" s="246" t="str">
        <f>IF($B214="","",IF(COUNTIFS(Пул!$E$5:$E$300,$B214,Пул!$H$5:$H$300,"&lt;&gt;")=0,"",ROUND(SUMIFS(Пул!$J$5:$J$300,Пул!$E$5:$E$300,$B214),8)))</f>
        <v/>
      </c>
      <c r="H214" s="247" t="str">
        <f>IF($B214="","",IF(COUNTIFS(Пул!$E$5:$E$300,$B214,Пул!$I$5:$I$300,"&lt;&gt;")=0,"",ROUND(SUMIFS(Пул!$K$5:$K$300,Пул!$E$5:$E$300,$B214),8)))</f>
        <v/>
      </c>
      <c r="I214" s="242" t="str">
        <f>IF(AND(ISNUMBER(G214),ISNUMBER(H214)),IF(AND(G214&gt;0,H214&lt;0),"Buy",IF(AND(G214&lt;0,H214&gt;0),"Sell","")),"")</f>
        <v/>
      </c>
      <c r="J214" s="183" t="str">
        <f>IF(I214="Buy",G214,IF(I214="Sell",-G214,""))</f>
        <v/>
      </c>
      <c r="K214" s="183" t="str">
        <f>IF(AND(ISNUMBER(J214),ISNUMBER(L214),N(J214)&lt;&gt;0),ROUND(L214/J214,8),"")</f>
        <v/>
      </c>
      <c r="L214" s="183" t="str">
        <f>IF(I214="Buy",-H214,IF(I214="Sell",H214,""))</f>
        <v/>
      </c>
    </row>
    <row r="215" ht="22" customHeight="1">
      <c r="B215" s="239" t="n"/>
      <c r="C215" s="240" t="str">
        <f>IF($B215="","",IF(COUNTIFS(Пул!$E$5:$E$300,$B215,Пул!$F$5:$F$300,"&lt;&gt;")=0,"",ROUND(SUMIFS(Пул!$F$5:$F$300,Пул!$E$5:$E$300,$B215),8)))</f>
        <v/>
      </c>
      <c r="D215" s="241" t="str">
        <f>IF($B215="","",IF(COUNTIFS(Пул!$E$5:$E$300,$B215,Пул!$G$5:$G$300,"&lt;&gt;")=0,"",ROUND(SUMIFS(Пул!$G$5:$G$300,Пул!$E$5:$E$300,$B215),8)))</f>
        <v/>
      </c>
      <c r="E215" s="240" t="str">
        <f>IF($B215="","",IF(COUNTIFS(Пул!$E$5:$E$300,$B215,Пул!$H$5:$H$300,"&lt;&gt;")=0,"",ROUND(SUMIFS(Пул!$H$5:$H$300,Пул!$E$5:$E$300,$B215),8)))</f>
        <v/>
      </c>
      <c r="F215" s="241" t="str">
        <f>IF($B215="","",IF(COUNTIFS(Пул!$E$5:$E$300,$B215,Пул!$I$5:$I$300,"&lt;&gt;")=0,"",ROUND(SUMIFS(Пул!$I$5:$I$300,Пул!$E$5:$E$300,$B215),8)))</f>
        <v/>
      </c>
      <c r="G215" s="240" t="str">
        <f>IF($B215="","",IF(COUNTIFS(Пул!$E$5:$E$300,$B215,Пул!$H$5:$H$300,"&lt;&gt;")=0,"",ROUND(SUMIFS(Пул!$J$5:$J$300,Пул!$E$5:$E$300,$B215),8)))</f>
        <v/>
      </c>
      <c r="H215" s="241" t="str">
        <f>IF($B215="","",IF(COUNTIFS(Пул!$E$5:$E$300,$B215,Пул!$I$5:$I$300,"&lt;&gt;")=0,"",ROUND(SUMIFS(Пул!$K$5:$K$300,Пул!$E$5:$E$300,$B215),8)))</f>
        <v/>
      </c>
      <c r="I215" s="236" t="str">
        <f>IF(AND(ISNUMBER(G215),ISNUMBER(H215)),IF(AND(G215&gt;0,H215&lt;0),"Buy",IF(AND(G215&lt;0,H215&gt;0),"Sell","")),"")</f>
        <v/>
      </c>
      <c r="J215" s="177" t="str">
        <f>IF(I215="Buy",G215,IF(I215="Sell",-G215,""))</f>
        <v/>
      </c>
      <c r="K215" s="177" t="str">
        <f>IF(AND(ISNUMBER(J215),ISNUMBER(L215),N(J215)&lt;&gt;0),ROUND(L215/J215,8),"")</f>
        <v/>
      </c>
      <c r="L215" s="177" t="str">
        <f>IF(I215="Buy",-H215,IF(I215="Sell",H215,""))</f>
        <v/>
      </c>
    </row>
    <row r="216" ht="22" customHeight="1">
      <c r="B216" s="245" t="n"/>
      <c r="C216" s="246" t="str">
        <f>IF($B216="","",IF(COUNTIFS(Пул!$E$5:$E$300,$B216,Пул!$F$5:$F$300,"&lt;&gt;")=0,"",ROUND(SUMIFS(Пул!$F$5:$F$300,Пул!$E$5:$E$300,$B216),8)))</f>
        <v/>
      </c>
      <c r="D216" s="247" t="str">
        <f>IF($B216="","",IF(COUNTIFS(Пул!$E$5:$E$300,$B216,Пул!$G$5:$G$300,"&lt;&gt;")=0,"",ROUND(SUMIFS(Пул!$G$5:$G$300,Пул!$E$5:$E$300,$B216),8)))</f>
        <v/>
      </c>
      <c r="E216" s="246" t="str">
        <f>IF($B216="","",IF(COUNTIFS(Пул!$E$5:$E$300,$B216,Пул!$H$5:$H$300,"&lt;&gt;")=0,"",ROUND(SUMIFS(Пул!$H$5:$H$300,Пул!$E$5:$E$300,$B216),8)))</f>
        <v/>
      </c>
      <c r="F216" s="247" t="str">
        <f>IF($B216="","",IF(COUNTIFS(Пул!$E$5:$E$300,$B216,Пул!$I$5:$I$300,"&lt;&gt;")=0,"",ROUND(SUMIFS(Пул!$I$5:$I$300,Пул!$E$5:$E$300,$B216),8)))</f>
        <v/>
      </c>
      <c r="G216" s="246" t="str">
        <f>IF($B216="","",IF(COUNTIFS(Пул!$E$5:$E$300,$B216,Пул!$H$5:$H$300,"&lt;&gt;")=0,"",ROUND(SUMIFS(Пул!$J$5:$J$300,Пул!$E$5:$E$300,$B216),8)))</f>
        <v/>
      </c>
      <c r="H216" s="247" t="str">
        <f>IF($B216="","",IF(COUNTIFS(Пул!$E$5:$E$300,$B216,Пул!$I$5:$I$300,"&lt;&gt;")=0,"",ROUND(SUMIFS(Пул!$K$5:$K$300,Пул!$E$5:$E$300,$B216),8)))</f>
        <v/>
      </c>
      <c r="I216" s="242" t="str">
        <f>IF(AND(ISNUMBER(G216),ISNUMBER(H216)),IF(AND(G216&gt;0,H216&lt;0),"Buy",IF(AND(G216&lt;0,H216&gt;0),"Sell","")),"")</f>
        <v/>
      </c>
      <c r="J216" s="183" t="str">
        <f>IF(I216="Buy",G216,IF(I216="Sell",-G216,""))</f>
        <v/>
      </c>
      <c r="K216" s="183" t="str">
        <f>IF(AND(ISNUMBER(J216),ISNUMBER(L216),N(J216)&lt;&gt;0),ROUND(L216/J216,8),"")</f>
        <v/>
      </c>
      <c r="L216" s="183" t="str">
        <f>IF(I216="Buy",-H216,IF(I216="Sell",H216,""))</f>
        <v/>
      </c>
    </row>
    <row r="217" ht="22" customHeight="1">
      <c r="B217" s="239" t="n"/>
      <c r="C217" s="240" t="str">
        <f>IF($B217="","",IF(COUNTIFS(Пул!$E$5:$E$300,$B217,Пул!$F$5:$F$300,"&lt;&gt;")=0,"",ROUND(SUMIFS(Пул!$F$5:$F$300,Пул!$E$5:$E$300,$B217),8)))</f>
        <v/>
      </c>
      <c r="D217" s="241" t="str">
        <f>IF($B217="","",IF(COUNTIFS(Пул!$E$5:$E$300,$B217,Пул!$G$5:$G$300,"&lt;&gt;")=0,"",ROUND(SUMIFS(Пул!$G$5:$G$300,Пул!$E$5:$E$300,$B217),8)))</f>
        <v/>
      </c>
      <c r="E217" s="240" t="str">
        <f>IF($B217="","",IF(COUNTIFS(Пул!$E$5:$E$300,$B217,Пул!$H$5:$H$300,"&lt;&gt;")=0,"",ROUND(SUMIFS(Пул!$H$5:$H$300,Пул!$E$5:$E$300,$B217),8)))</f>
        <v/>
      </c>
      <c r="F217" s="241" t="str">
        <f>IF($B217="","",IF(COUNTIFS(Пул!$E$5:$E$300,$B217,Пул!$I$5:$I$300,"&lt;&gt;")=0,"",ROUND(SUMIFS(Пул!$I$5:$I$300,Пул!$E$5:$E$300,$B217),8)))</f>
        <v/>
      </c>
      <c r="G217" s="240" t="str">
        <f>IF($B217="","",IF(COUNTIFS(Пул!$E$5:$E$300,$B217,Пул!$H$5:$H$300,"&lt;&gt;")=0,"",ROUND(SUMIFS(Пул!$J$5:$J$300,Пул!$E$5:$E$300,$B217),8)))</f>
        <v/>
      </c>
      <c r="H217" s="241" t="str">
        <f>IF($B217="","",IF(COUNTIFS(Пул!$E$5:$E$300,$B217,Пул!$I$5:$I$300,"&lt;&gt;")=0,"",ROUND(SUMIFS(Пул!$K$5:$K$300,Пул!$E$5:$E$300,$B217),8)))</f>
        <v/>
      </c>
      <c r="I217" s="236" t="str">
        <f>IF(AND(ISNUMBER(G217),ISNUMBER(H217)),IF(AND(G217&gt;0,H217&lt;0),"Buy",IF(AND(G217&lt;0,H217&gt;0),"Sell","")),"")</f>
        <v/>
      </c>
      <c r="J217" s="177" t="str">
        <f>IF(I217="Buy",G217,IF(I217="Sell",-G217,""))</f>
        <v/>
      </c>
      <c r="K217" s="177" t="str">
        <f>IF(AND(ISNUMBER(J217),ISNUMBER(L217),N(J217)&lt;&gt;0),ROUND(L217/J217,8),"")</f>
        <v/>
      </c>
      <c r="L217" s="177" t="str">
        <f>IF(I217="Buy",-H217,IF(I217="Sell",H217,""))</f>
        <v/>
      </c>
    </row>
    <row r="218" ht="22" customHeight="1">
      <c r="B218" s="245" t="n"/>
      <c r="C218" s="246" t="str">
        <f>IF($B218="","",IF(COUNTIFS(Пул!$E$5:$E$300,$B218,Пул!$F$5:$F$300,"&lt;&gt;")=0,"",ROUND(SUMIFS(Пул!$F$5:$F$300,Пул!$E$5:$E$300,$B218),8)))</f>
        <v/>
      </c>
      <c r="D218" s="247" t="str">
        <f>IF($B218="","",IF(COUNTIFS(Пул!$E$5:$E$300,$B218,Пул!$G$5:$G$300,"&lt;&gt;")=0,"",ROUND(SUMIFS(Пул!$G$5:$G$300,Пул!$E$5:$E$300,$B218),8)))</f>
        <v/>
      </c>
      <c r="E218" s="246" t="str">
        <f>IF($B218="","",IF(COUNTIFS(Пул!$E$5:$E$300,$B218,Пул!$H$5:$H$300,"&lt;&gt;")=0,"",ROUND(SUMIFS(Пул!$H$5:$H$300,Пул!$E$5:$E$300,$B218),8)))</f>
        <v/>
      </c>
      <c r="F218" s="247" t="str">
        <f>IF($B218="","",IF(COUNTIFS(Пул!$E$5:$E$300,$B218,Пул!$I$5:$I$300,"&lt;&gt;")=0,"",ROUND(SUMIFS(Пул!$I$5:$I$300,Пул!$E$5:$E$300,$B218),8)))</f>
        <v/>
      </c>
      <c r="G218" s="246" t="str">
        <f>IF($B218="","",IF(COUNTIFS(Пул!$E$5:$E$300,$B218,Пул!$H$5:$H$300,"&lt;&gt;")=0,"",ROUND(SUMIFS(Пул!$J$5:$J$300,Пул!$E$5:$E$300,$B218),8)))</f>
        <v/>
      </c>
      <c r="H218" s="247" t="str">
        <f>IF($B218="","",IF(COUNTIFS(Пул!$E$5:$E$300,$B218,Пул!$I$5:$I$300,"&lt;&gt;")=0,"",ROUND(SUMIFS(Пул!$K$5:$K$300,Пул!$E$5:$E$300,$B218),8)))</f>
        <v/>
      </c>
      <c r="I218" s="242" t="str">
        <f>IF(AND(ISNUMBER(G218),ISNUMBER(H218)),IF(AND(G218&gt;0,H218&lt;0),"Buy",IF(AND(G218&lt;0,H218&gt;0),"Sell","")),"")</f>
        <v/>
      </c>
      <c r="J218" s="183" t="str">
        <f>IF(I218="Buy",G218,IF(I218="Sell",-G218,""))</f>
        <v/>
      </c>
      <c r="K218" s="183" t="str">
        <f>IF(AND(ISNUMBER(J218),ISNUMBER(L218),N(J218)&lt;&gt;0),ROUND(L218/J218,8),"")</f>
        <v/>
      </c>
      <c r="L218" s="183" t="str">
        <f>IF(I218="Buy",-H218,IF(I218="Sell",H218,""))</f>
        <v/>
      </c>
    </row>
    <row r="219" ht="22" customHeight="1">
      <c r="B219" s="239" t="n"/>
      <c r="C219" s="240" t="str">
        <f>IF($B219="","",IF(COUNTIFS(Пул!$E$5:$E$300,$B219,Пул!$F$5:$F$300,"&lt;&gt;")=0,"",ROUND(SUMIFS(Пул!$F$5:$F$300,Пул!$E$5:$E$300,$B219),8)))</f>
        <v/>
      </c>
      <c r="D219" s="241" t="str">
        <f>IF($B219="","",IF(COUNTIFS(Пул!$E$5:$E$300,$B219,Пул!$G$5:$G$300,"&lt;&gt;")=0,"",ROUND(SUMIFS(Пул!$G$5:$G$300,Пул!$E$5:$E$300,$B219),8)))</f>
        <v/>
      </c>
      <c r="E219" s="240" t="str">
        <f>IF($B219="","",IF(COUNTIFS(Пул!$E$5:$E$300,$B219,Пул!$H$5:$H$300,"&lt;&gt;")=0,"",ROUND(SUMIFS(Пул!$H$5:$H$300,Пул!$E$5:$E$300,$B219),8)))</f>
        <v/>
      </c>
      <c r="F219" s="241" t="str">
        <f>IF($B219="","",IF(COUNTIFS(Пул!$E$5:$E$300,$B219,Пул!$I$5:$I$300,"&lt;&gt;")=0,"",ROUND(SUMIFS(Пул!$I$5:$I$300,Пул!$E$5:$E$300,$B219),8)))</f>
        <v/>
      </c>
      <c r="G219" s="240" t="str">
        <f>IF($B219="","",IF(COUNTIFS(Пул!$E$5:$E$300,$B219,Пул!$H$5:$H$300,"&lt;&gt;")=0,"",ROUND(SUMIFS(Пул!$J$5:$J$300,Пул!$E$5:$E$300,$B219),8)))</f>
        <v/>
      </c>
      <c r="H219" s="241" t="str">
        <f>IF($B219="","",IF(COUNTIFS(Пул!$E$5:$E$300,$B219,Пул!$I$5:$I$300,"&lt;&gt;")=0,"",ROUND(SUMIFS(Пул!$K$5:$K$300,Пул!$E$5:$E$300,$B219),8)))</f>
        <v/>
      </c>
      <c r="I219" s="236" t="str">
        <f>IF(AND(ISNUMBER(G219),ISNUMBER(H219)),IF(AND(G219&gt;0,H219&lt;0),"Buy",IF(AND(G219&lt;0,H219&gt;0),"Sell","")),"")</f>
        <v/>
      </c>
      <c r="J219" s="177" t="str">
        <f>IF(I219="Buy",G219,IF(I219="Sell",-G219,""))</f>
        <v/>
      </c>
      <c r="K219" s="177" t="str">
        <f>IF(AND(ISNUMBER(J219),ISNUMBER(L219),N(J219)&lt;&gt;0),ROUND(L219/J219,8),"")</f>
        <v/>
      </c>
      <c r="L219" s="177" t="str">
        <f>IF(I219="Buy",-H219,IF(I219="Sell",H219,""))</f>
        <v/>
      </c>
    </row>
    <row r="220" ht="22" customHeight="1">
      <c r="B220" s="245" t="n"/>
      <c r="C220" s="246" t="str">
        <f>IF($B220="","",IF(COUNTIFS(Пул!$E$5:$E$300,$B220,Пул!$F$5:$F$300,"&lt;&gt;")=0,"",ROUND(SUMIFS(Пул!$F$5:$F$300,Пул!$E$5:$E$300,$B220),8)))</f>
        <v/>
      </c>
      <c r="D220" s="247" t="str">
        <f>IF($B220="","",IF(COUNTIFS(Пул!$E$5:$E$300,$B220,Пул!$G$5:$G$300,"&lt;&gt;")=0,"",ROUND(SUMIFS(Пул!$G$5:$G$300,Пул!$E$5:$E$300,$B220),8)))</f>
        <v/>
      </c>
      <c r="E220" s="246" t="str">
        <f>IF($B220="","",IF(COUNTIFS(Пул!$E$5:$E$300,$B220,Пул!$H$5:$H$300,"&lt;&gt;")=0,"",ROUND(SUMIFS(Пул!$H$5:$H$300,Пул!$E$5:$E$300,$B220),8)))</f>
        <v/>
      </c>
      <c r="F220" s="247" t="str">
        <f>IF($B220="","",IF(COUNTIFS(Пул!$E$5:$E$300,$B220,Пул!$I$5:$I$300,"&lt;&gt;")=0,"",ROUND(SUMIFS(Пул!$I$5:$I$300,Пул!$E$5:$E$300,$B220),8)))</f>
        <v/>
      </c>
      <c r="G220" s="246" t="str">
        <f>IF($B220="","",IF(COUNTIFS(Пул!$E$5:$E$300,$B220,Пул!$H$5:$H$300,"&lt;&gt;")=0,"",ROUND(SUMIFS(Пул!$J$5:$J$300,Пул!$E$5:$E$300,$B220),8)))</f>
        <v/>
      </c>
      <c r="H220" s="247" t="str">
        <f>IF($B220="","",IF(COUNTIFS(Пул!$E$5:$E$300,$B220,Пул!$I$5:$I$300,"&lt;&gt;")=0,"",ROUND(SUMIFS(Пул!$K$5:$K$300,Пул!$E$5:$E$300,$B220),8)))</f>
        <v/>
      </c>
      <c r="I220" s="242" t="str">
        <f>IF(AND(ISNUMBER(G220),ISNUMBER(H220)),IF(AND(G220&gt;0,H220&lt;0),"Buy",IF(AND(G220&lt;0,H220&gt;0),"Sell","")),"")</f>
        <v/>
      </c>
      <c r="J220" s="183" t="str">
        <f>IF(I220="Buy",G220,IF(I220="Sell",-G220,""))</f>
        <v/>
      </c>
      <c r="K220" s="183" t="str">
        <f>IF(AND(ISNUMBER(J220),ISNUMBER(L220),N(J220)&lt;&gt;0),ROUND(L220/J220,8),"")</f>
        <v/>
      </c>
      <c r="L220" s="183" t="str">
        <f>IF(I220="Buy",-H220,IF(I220="Sell",H220,""))</f>
        <v/>
      </c>
    </row>
    <row r="221" ht="22" customHeight="1">
      <c r="B221" s="239" t="n"/>
      <c r="C221" s="240" t="str">
        <f>IF($B221="","",IF(COUNTIFS(Пул!$E$5:$E$300,$B221,Пул!$F$5:$F$300,"&lt;&gt;")=0,"",ROUND(SUMIFS(Пул!$F$5:$F$300,Пул!$E$5:$E$300,$B221),8)))</f>
        <v/>
      </c>
      <c r="D221" s="241" t="str">
        <f>IF($B221="","",IF(COUNTIFS(Пул!$E$5:$E$300,$B221,Пул!$G$5:$G$300,"&lt;&gt;")=0,"",ROUND(SUMIFS(Пул!$G$5:$G$300,Пул!$E$5:$E$300,$B221),8)))</f>
        <v/>
      </c>
      <c r="E221" s="240" t="str">
        <f>IF($B221="","",IF(COUNTIFS(Пул!$E$5:$E$300,$B221,Пул!$H$5:$H$300,"&lt;&gt;")=0,"",ROUND(SUMIFS(Пул!$H$5:$H$300,Пул!$E$5:$E$300,$B221),8)))</f>
        <v/>
      </c>
      <c r="F221" s="241" t="str">
        <f>IF($B221="","",IF(COUNTIFS(Пул!$E$5:$E$300,$B221,Пул!$I$5:$I$300,"&lt;&gt;")=0,"",ROUND(SUMIFS(Пул!$I$5:$I$300,Пул!$E$5:$E$300,$B221),8)))</f>
        <v/>
      </c>
      <c r="G221" s="240" t="str">
        <f>IF($B221="","",IF(COUNTIFS(Пул!$E$5:$E$300,$B221,Пул!$H$5:$H$300,"&lt;&gt;")=0,"",ROUND(SUMIFS(Пул!$J$5:$J$300,Пул!$E$5:$E$300,$B221),8)))</f>
        <v/>
      </c>
      <c r="H221" s="241" t="str">
        <f>IF($B221="","",IF(COUNTIFS(Пул!$E$5:$E$300,$B221,Пул!$I$5:$I$300,"&lt;&gt;")=0,"",ROUND(SUMIFS(Пул!$K$5:$K$300,Пул!$E$5:$E$300,$B221),8)))</f>
        <v/>
      </c>
      <c r="I221" s="236" t="str">
        <f>IF(AND(ISNUMBER(G221),ISNUMBER(H221)),IF(AND(G221&gt;0,H221&lt;0),"Buy",IF(AND(G221&lt;0,H221&gt;0),"Sell","")),"")</f>
        <v/>
      </c>
      <c r="J221" s="177" t="str">
        <f>IF(I221="Buy",G221,IF(I221="Sell",-G221,""))</f>
        <v/>
      </c>
      <c r="K221" s="177" t="str">
        <f>IF(AND(ISNUMBER(J221),ISNUMBER(L221),N(J221)&lt;&gt;0),ROUND(L221/J221,8),"")</f>
        <v/>
      </c>
      <c r="L221" s="177" t="str">
        <f>IF(I221="Buy",-H221,IF(I221="Sell",H221,""))</f>
        <v/>
      </c>
    </row>
    <row r="222" ht="22" customHeight="1">
      <c r="B222" s="245" t="n"/>
      <c r="C222" s="246" t="str">
        <f>IF($B222="","",IF(COUNTIFS(Пул!$E$5:$E$300,$B222,Пул!$F$5:$F$300,"&lt;&gt;")=0,"",ROUND(SUMIFS(Пул!$F$5:$F$300,Пул!$E$5:$E$300,$B222),8)))</f>
        <v/>
      </c>
      <c r="D222" s="247" t="str">
        <f>IF($B222="","",IF(COUNTIFS(Пул!$E$5:$E$300,$B222,Пул!$G$5:$G$300,"&lt;&gt;")=0,"",ROUND(SUMIFS(Пул!$G$5:$G$300,Пул!$E$5:$E$300,$B222),8)))</f>
        <v/>
      </c>
      <c r="E222" s="246" t="str">
        <f>IF($B222="","",IF(COUNTIFS(Пул!$E$5:$E$300,$B222,Пул!$H$5:$H$300,"&lt;&gt;")=0,"",ROUND(SUMIFS(Пул!$H$5:$H$300,Пул!$E$5:$E$300,$B222),8)))</f>
        <v/>
      </c>
      <c r="F222" s="247" t="str">
        <f>IF($B222="","",IF(COUNTIFS(Пул!$E$5:$E$300,$B222,Пул!$I$5:$I$300,"&lt;&gt;")=0,"",ROUND(SUMIFS(Пул!$I$5:$I$300,Пул!$E$5:$E$300,$B222),8)))</f>
        <v/>
      </c>
      <c r="G222" s="246" t="str">
        <f>IF($B222="","",IF(COUNTIFS(Пул!$E$5:$E$300,$B222,Пул!$H$5:$H$300,"&lt;&gt;")=0,"",ROUND(SUMIFS(Пул!$J$5:$J$300,Пул!$E$5:$E$300,$B222),8)))</f>
        <v/>
      </c>
      <c r="H222" s="247" t="str">
        <f>IF($B222="","",IF(COUNTIFS(Пул!$E$5:$E$300,$B222,Пул!$I$5:$I$300,"&lt;&gt;")=0,"",ROUND(SUMIFS(Пул!$K$5:$K$300,Пул!$E$5:$E$300,$B222),8)))</f>
        <v/>
      </c>
      <c r="I222" s="242" t="str">
        <f>IF(AND(ISNUMBER(G222),ISNUMBER(H222)),IF(AND(G222&gt;0,H222&lt;0),"Buy",IF(AND(G222&lt;0,H222&gt;0),"Sell","")),"")</f>
        <v/>
      </c>
      <c r="J222" s="183" t="str">
        <f>IF(I222="Buy",G222,IF(I222="Sell",-G222,""))</f>
        <v/>
      </c>
      <c r="K222" s="183" t="str">
        <f>IF(AND(ISNUMBER(J222),ISNUMBER(L222),N(J222)&lt;&gt;0),ROUND(L222/J222,8),"")</f>
        <v/>
      </c>
      <c r="L222" s="183" t="str">
        <f>IF(I222="Buy",-H222,IF(I222="Sell",H222,""))</f>
        <v/>
      </c>
    </row>
    <row r="223" ht="22" customHeight="1">
      <c r="B223" s="239" t="n"/>
      <c r="C223" s="240" t="str">
        <f>IF($B223="","",IF(COUNTIFS(Пул!$E$5:$E$300,$B223,Пул!$F$5:$F$300,"&lt;&gt;")=0,"",ROUND(SUMIFS(Пул!$F$5:$F$300,Пул!$E$5:$E$300,$B223),8)))</f>
        <v/>
      </c>
      <c r="D223" s="241" t="str">
        <f>IF($B223="","",IF(COUNTIFS(Пул!$E$5:$E$300,$B223,Пул!$G$5:$G$300,"&lt;&gt;")=0,"",ROUND(SUMIFS(Пул!$G$5:$G$300,Пул!$E$5:$E$300,$B223),8)))</f>
        <v/>
      </c>
      <c r="E223" s="240" t="str">
        <f>IF($B223="","",IF(COUNTIFS(Пул!$E$5:$E$300,$B223,Пул!$H$5:$H$300,"&lt;&gt;")=0,"",ROUND(SUMIFS(Пул!$H$5:$H$300,Пул!$E$5:$E$300,$B223),8)))</f>
        <v/>
      </c>
      <c r="F223" s="241" t="str">
        <f>IF($B223="","",IF(COUNTIFS(Пул!$E$5:$E$300,$B223,Пул!$I$5:$I$300,"&lt;&gt;")=0,"",ROUND(SUMIFS(Пул!$I$5:$I$300,Пул!$E$5:$E$300,$B223),8)))</f>
        <v/>
      </c>
      <c r="G223" s="240" t="str">
        <f>IF($B223="","",IF(COUNTIFS(Пул!$E$5:$E$300,$B223,Пул!$H$5:$H$300,"&lt;&gt;")=0,"",ROUND(SUMIFS(Пул!$J$5:$J$300,Пул!$E$5:$E$300,$B223),8)))</f>
        <v/>
      </c>
      <c r="H223" s="241" t="str">
        <f>IF($B223="","",IF(COUNTIFS(Пул!$E$5:$E$300,$B223,Пул!$I$5:$I$300,"&lt;&gt;")=0,"",ROUND(SUMIFS(Пул!$K$5:$K$300,Пул!$E$5:$E$300,$B223),8)))</f>
        <v/>
      </c>
      <c r="I223" s="236" t="str">
        <f>IF(AND(ISNUMBER(G223),ISNUMBER(H223)),IF(AND(G223&gt;0,H223&lt;0),"Buy",IF(AND(G223&lt;0,H223&gt;0),"Sell","")),"")</f>
        <v/>
      </c>
      <c r="J223" s="177" t="str">
        <f>IF(I223="Buy",G223,IF(I223="Sell",-G223,""))</f>
        <v/>
      </c>
      <c r="K223" s="177" t="str">
        <f>IF(AND(ISNUMBER(J223),ISNUMBER(L223),N(J223)&lt;&gt;0),ROUND(L223/J223,8),"")</f>
        <v/>
      </c>
      <c r="L223" s="177" t="str">
        <f>IF(I223="Buy",-H223,IF(I223="Sell",H223,""))</f>
        <v/>
      </c>
    </row>
    <row r="224" ht="22" customHeight="1">
      <c r="B224" s="245" t="n"/>
      <c r="C224" s="246" t="str">
        <f>IF($B224="","",IF(COUNTIFS(Пул!$E$5:$E$300,$B224,Пул!$F$5:$F$300,"&lt;&gt;")=0,"",ROUND(SUMIFS(Пул!$F$5:$F$300,Пул!$E$5:$E$300,$B224),8)))</f>
        <v/>
      </c>
      <c r="D224" s="247" t="str">
        <f>IF($B224="","",IF(COUNTIFS(Пул!$E$5:$E$300,$B224,Пул!$G$5:$G$300,"&lt;&gt;")=0,"",ROUND(SUMIFS(Пул!$G$5:$G$300,Пул!$E$5:$E$300,$B224),8)))</f>
        <v/>
      </c>
      <c r="E224" s="246" t="str">
        <f>IF($B224="","",IF(COUNTIFS(Пул!$E$5:$E$300,$B224,Пул!$H$5:$H$300,"&lt;&gt;")=0,"",ROUND(SUMIFS(Пул!$H$5:$H$300,Пул!$E$5:$E$300,$B224),8)))</f>
        <v/>
      </c>
      <c r="F224" s="247" t="str">
        <f>IF($B224="","",IF(COUNTIFS(Пул!$E$5:$E$300,$B224,Пул!$I$5:$I$300,"&lt;&gt;")=0,"",ROUND(SUMIFS(Пул!$I$5:$I$300,Пул!$E$5:$E$300,$B224),8)))</f>
        <v/>
      </c>
      <c r="G224" s="246" t="str">
        <f>IF($B224="","",IF(COUNTIFS(Пул!$E$5:$E$300,$B224,Пул!$H$5:$H$300,"&lt;&gt;")=0,"",ROUND(SUMIFS(Пул!$J$5:$J$300,Пул!$E$5:$E$300,$B224),8)))</f>
        <v/>
      </c>
      <c r="H224" s="247" t="str">
        <f>IF($B224="","",IF(COUNTIFS(Пул!$E$5:$E$300,$B224,Пул!$I$5:$I$300,"&lt;&gt;")=0,"",ROUND(SUMIFS(Пул!$K$5:$K$300,Пул!$E$5:$E$300,$B224),8)))</f>
        <v/>
      </c>
      <c r="I224" s="242" t="str">
        <f>IF(AND(ISNUMBER(G224),ISNUMBER(H224)),IF(AND(G224&gt;0,H224&lt;0),"Buy",IF(AND(G224&lt;0,H224&gt;0),"Sell","")),"")</f>
        <v/>
      </c>
      <c r="J224" s="183" t="str">
        <f>IF(I224="Buy",G224,IF(I224="Sell",-G224,""))</f>
        <v/>
      </c>
      <c r="K224" s="183" t="str">
        <f>IF(AND(ISNUMBER(J224),ISNUMBER(L224),N(J224)&lt;&gt;0),ROUND(L224/J224,8),"")</f>
        <v/>
      </c>
      <c r="L224" s="183" t="str">
        <f>IF(I224="Buy",-H224,IF(I224="Sell",H224,""))</f>
        <v/>
      </c>
    </row>
    <row r="225" ht="22" customHeight="1">
      <c r="B225" s="239" t="n"/>
      <c r="C225" s="240" t="str">
        <f>IF($B225="","",IF(COUNTIFS(Пул!$E$5:$E$300,$B225,Пул!$F$5:$F$300,"&lt;&gt;")=0,"",ROUND(SUMIFS(Пул!$F$5:$F$300,Пул!$E$5:$E$300,$B225),8)))</f>
        <v/>
      </c>
      <c r="D225" s="241" t="str">
        <f>IF($B225="","",IF(COUNTIFS(Пул!$E$5:$E$300,$B225,Пул!$G$5:$G$300,"&lt;&gt;")=0,"",ROUND(SUMIFS(Пул!$G$5:$G$300,Пул!$E$5:$E$300,$B225),8)))</f>
        <v/>
      </c>
      <c r="E225" s="240" t="str">
        <f>IF($B225="","",IF(COUNTIFS(Пул!$E$5:$E$300,$B225,Пул!$H$5:$H$300,"&lt;&gt;")=0,"",ROUND(SUMIFS(Пул!$H$5:$H$300,Пул!$E$5:$E$300,$B225),8)))</f>
        <v/>
      </c>
      <c r="F225" s="241" t="str">
        <f>IF($B225="","",IF(COUNTIFS(Пул!$E$5:$E$300,$B225,Пул!$I$5:$I$300,"&lt;&gt;")=0,"",ROUND(SUMIFS(Пул!$I$5:$I$300,Пул!$E$5:$E$300,$B225),8)))</f>
        <v/>
      </c>
      <c r="G225" s="240" t="str">
        <f>IF($B225="","",IF(COUNTIFS(Пул!$E$5:$E$300,$B225,Пул!$H$5:$H$300,"&lt;&gt;")=0,"",ROUND(SUMIFS(Пул!$J$5:$J$300,Пул!$E$5:$E$300,$B225),8)))</f>
        <v/>
      </c>
      <c r="H225" s="241" t="str">
        <f>IF($B225="","",IF(COUNTIFS(Пул!$E$5:$E$300,$B225,Пул!$I$5:$I$300,"&lt;&gt;")=0,"",ROUND(SUMIFS(Пул!$K$5:$K$300,Пул!$E$5:$E$300,$B225),8)))</f>
        <v/>
      </c>
      <c r="I225" s="236" t="str">
        <f>IF(AND(ISNUMBER(G225),ISNUMBER(H225)),IF(AND(G225&gt;0,H225&lt;0),"Buy",IF(AND(G225&lt;0,H225&gt;0),"Sell","")),"")</f>
        <v/>
      </c>
      <c r="J225" s="177" t="str">
        <f>IF(I225="Buy",G225,IF(I225="Sell",-G225,""))</f>
        <v/>
      </c>
      <c r="K225" s="177" t="str">
        <f>IF(AND(ISNUMBER(J225),ISNUMBER(L225),N(J225)&lt;&gt;0),ROUND(L225/J225,8),"")</f>
        <v/>
      </c>
      <c r="L225" s="177" t="str">
        <f>IF(I225="Buy",-H225,IF(I225="Sell",H225,""))</f>
        <v/>
      </c>
    </row>
    <row r="226" ht="22" customHeight="1">
      <c r="B226" s="245" t="n"/>
      <c r="C226" s="246" t="str">
        <f>IF($B226="","",IF(COUNTIFS(Пул!$E$5:$E$300,$B226,Пул!$F$5:$F$300,"&lt;&gt;")=0,"",ROUND(SUMIFS(Пул!$F$5:$F$300,Пул!$E$5:$E$300,$B226),8)))</f>
        <v/>
      </c>
      <c r="D226" s="247" t="str">
        <f>IF($B226="","",IF(COUNTIFS(Пул!$E$5:$E$300,$B226,Пул!$G$5:$G$300,"&lt;&gt;")=0,"",ROUND(SUMIFS(Пул!$G$5:$G$300,Пул!$E$5:$E$300,$B226),8)))</f>
        <v/>
      </c>
      <c r="E226" s="246" t="str">
        <f>IF($B226="","",IF(COUNTIFS(Пул!$E$5:$E$300,$B226,Пул!$H$5:$H$300,"&lt;&gt;")=0,"",ROUND(SUMIFS(Пул!$H$5:$H$300,Пул!$E$5:$E$300,$B226),8)))</f>
        <v/>
      </c>
      <c r="F226" s="247" t="str">
        <f>IF($B226="","",IF(COUNTIFS(Пул!$E$5:$E$300,$B226,Пул!$I$5:$I$300,"&lt;&gt;")=0,"",ROUND(SUMIFS(Пул!$I$5:$I$300,Пул!$E$5:$E$300,$B226),8)))</f>
        <v/>
      </c>
      <c r="G226" s="246" t="str">
        <f>IF($B226="","",IF(COUNTIFS(Пул!$E$5:$E$300,$B226,Пул!$H$5:$H$300,"&lt;&gt;")=0,"",ROUND(SUMIFS(Пул!$J$5:$J$300,Пул!$E$5:$E$300,$B226),8)))</f>
        <v/>
      </c>
      <c r="H226" s="247" t="str">
        <f>IF($B226="","",IF(COUNTIFS(Пул!$E$5:$E$300,$B226,Пул!$I$5:$I$300,"&lt;&gt;")=0,"",ROUND(SUMIFS(Пул!$K$5:$K$300,Пул!$E$5:$E$300,$B226),8)))</f>
        <v/>
      </c>
      <c r="I226" s="242" t="str">
        <f>IF(AND(ISNUMBER(G226),ISNUMBER(H226)),IF(AND(G226&gt;0,H226&lt;0),"Buy",IF(AND(G226&lt;0,H226&gt;0),"Sell","")),"")</f>
        <v/>
      </c>
      <c r="J226" s="183" t="str">
        <f>IF(I226="Buy",G226,IF(I226="Sell",-G226,""))</f>
        <v/>
      </c>
      <c r="K226" s="183" t="str">
        <f>IF(AND(ISNUMBER(J226),ISNUMBER(L226),N(J226)&lt;&gt;0),ROUND(L226/J226,8),"")</f>
        <v/>
      </c>
      <c r="L226" s="183" t="str">
        <f>IF(I226="Buy",-H226,IF(I226="Sell",H226,""))</f>
        <v/>
      </c>
    </row>
    <row r="227" ht="22" customHeight="1">
      <c r="B227" s="239" t="n"/>
      <c r="C227" s="240" t="str">
        <f>IF($B227="","",IF(COUNTIFS(Пул!$E$5:$E$300,$B227,Пул!$F$5:$F$300,"&lt;&gt;")=0,"",ROUND(SUMIFS(Пул!$F$5:$F$300,Пул!$E$5:$E$300,$B227),8)))</f>
        <v/>
      </c>
      <c r="D227" s="241" t="str">
        <f>IF($B227="","",IF(COUNTIFS(Пул!$E$5:$E$300,$B227,Пул!$G$5:$G$300,"&lt;&gt;")=0,"",ROUND(SUMIFS(Пул!$G$5:$G$300,Пул!$E$5:$E$300,$B227),8)))</f>
        <v/>
      </c>
      <c r="E227" s="240" t="str">
        <f>IF($B227="","",IF(COUNTIFS(Пул!$E$5:$E$300,$B227,Пул!$H$5:$H$300,"&lt;&gt;")=0,"",ROUND(SUMIFS(Пул!$H$5:$H$300,Пул!$E$5:$E$300,$B227),8)))</f>
        <v/>
      </c>
      <c r="F227" s="241" t="str">
        <f>IF($B227="","",IF(COUNTIFS(Пул!$E$5:$E$300,$B227,Пул!$I$5:$I$300,"&lt;&gt;")=0,"",ROUND(SUMIFS(Пул!$I$5:$I$300,Пул!$E$5:$E$300,$B227),8)))</f>
        <v/>
      </c>
      <c r="G227" s="240" t="str">
        <f>IF($B227="","",IF(COUNTIFS(Пул!$E$5:$E$300,$B227,Пул!$H$5:$H$300,"&lt;&gt;")=0,"",ROUND(SUMIFS(Пул!$J$5:$J$300,Пул!$E$5:$E$300,$B227),8)))</f>
        <v/>
      </c>
      <c r="H227" s="241" t="str">
        <f>IF($B227="","",IF(COUNTIFS(Пул!$E$5:$E$300,$B227,Пул!$I$5:$I$300,"&lt;&gt;")=0,"",ROUND(SUMIFS(Пул!$K$5:$K$300,Пул!$E$5:$E$300,$B227),8)))</f>
        <v/>
      </c>
      <c r="I227" s="236" t="str">
        <f>IF(AND(ISNUMBER(G227),ISNUMBER(H227)),IF(AND(G227&gt;0,H227&lt;0),"Buy",IF(AND(G227&lt;0,H227&gt;0),"Sell","")),"")</f>
        <v/>
      </c>
      <c r="J227" s="177" t="str">
        <f>IF(I227="Buy",G227,IF(I227="Sell",-G227,""))</f>
        <v/>
      </c>
      <c r="K227" s="177" t="str">
        <f>IF(AND(ISNUMBER(J227),ISNUMBER(L227),N(J227)&lt;&gt;0),ROUND(L227/J227,8),"")</f>
        <v/>
      </c>
      <c r="L227" s="177" t="str">
        <f>IF(I227="Buy",-H227,IF(I227="Sell",H227,""))</f>
        <v/>
      </c>
    </row>
    <row r="228" ht="22" customHeight="1">
      <c r="B228" s="245" t="n"/>
      <c r="C228" s="246" t="str">
        <f>IF($B228="","",IF(COUNTIFS(Пул!$E$5:$E$300,$B228,Пул!$F$5:$F$300,"&lt;&gt;")=0,"",ROUND(SUMIFS(Пул!$F$5:$F$300,Пул!$E$5:$E$300,$B228),8)))</f>
        <v/>
      </c>
      <c r="D228" s="247" t="str">
        <f>IF($B228="","",IF(COUNTIFS(Пул!$E$5:$E$300,$B228,Пул!$G$5:$G$300,"&lt;&gt;")=0,"",ROUND(SUMIFS(Пул!$G$5:$G$300,Пул!$E$5:$E$300,$B228),8)))</f>
        <v/>
      </c>
      <c r="E228" s="246" t="str">
        <f>IF($B228="","",IF(COUNTIFS(Пул!$E$5:$E$300,$B228,Пул!$H$5:$H$300,"&lt;&gt;")=0,"",ROUND(SUMIFS(Пул!$H$5:$H$300,Пул!$E$5:$E$300,$B228),8)))</f>
        <v/>
      </c>
      <c r="F228" s="247" t="str">
        <f>IF($B228="","",IF(COUNTIFS(Пул!$E$5:$E$300,$B228,Пул!$I$5:$I$300,"&lt;&gt;")=0,"",ROUND(SUMIFS(Пул!$I$5:$I$300,Пул!$E$5:$E$300,$B228),8)))</f>
        <v/>
      </c>
      <c r="G228" s="246" t="str">
        <f>IF($B228="","",IF(COUNTIFS(Пул!$E$5:$E$300,$B228,Пул!$H$5:$H$300,"&lt;&gt;")=0,"",ROUND(SUMIFS(Пул!$J$5:$J$300,Пул!$E$5:$E$300,$B228),8)))</f>
        <v/>
      </c>
      <c r="H228" s="247" t="str">
        <f>IF($B228="","",IF(COUNTIFS(Пул!$E$5:$E$300,$B228,Пул!$I$5:$I$300,"&lt;&gt;")=0,"",ROUND(SUMIFS(Пул!$K$5:$K$300,Пул!$E$5:$E$300,$B228),8)))</f>
        <v/>
      </c>
      <c r="I228" s="242" t="str">
        <f>IF(AND(ISNUMBER(G228),ISNUMBER(H228)),IF(AND(G228&gt;0,H228&lt;0),"Buy",IF(AND(G228&lt;0,H228&gt;0),"Sell","")),"")</f>
        <v/>
      </c>
      <c r="J228" s="183" t="str">
        <f>IF(I228="Buy",G228,IF(I228="Sell",-G228,""))</f>
        <v/>
      </c>
      <c r="K228" s="183" t="str">
        <f>IF(AND(ISNUMBER(J228),ISNUMBER(L228),N(J228)&lt;&gt;0),ROUND(L228/J228,8),"")</f>
        <v/>
      </c>
      <c r="L228" s="183" t="str">
        <f>IF(I228="Buy",-H228,IF(I228="Sell",H228,""))</f>
        <v/>
      </c>
    </row>
    <row r="229" ht="22" customHeight="1">
      <c r="B229" s="239" t="n"/>
      <c r="C229" s="240" t="str">
        <f>IF($B229="","",IF(COUNTIFS(Пул!$E$5:$E$300,$B229,Пул!$F$5:$F$300,"&lt;&gt;")=0,"",ROUND(SUMIFS(Пул!$F$5:$F$300,Пул!$E$5:$E$300,$B229),8)))</f>
        <v/>
      </c>
      <c r="D229" s="241" t="str">
        <f>IF($B229="","",IF(COUNTIFS(Пул!$E$5:$E$300,$B229,Пул!$G$5:$G$300,"&lt;&gt;")=0,"",ROUND(SUMIFS(Пул!$G$5:$G$300,Пул!$E$5:$E$300,$B229),8)))</f>
        <v/>
      </c>
      <c r="E229" s="240" t="str">
        <f>IF($B229="","",IF(COUNTIFS(Пул!$E$5:$E$300,$B229,Пул!$H$5:$H$300,"&lt;&gt;")=0,"",ROUND(SUMIFS(Пул!$H$5:$H$300,Пул!$E$5:$E$300,$B229),8)))</f>
        <v/>
      </c>
      <c r="F229" s="241" t="str">
        <f>IF($B229="","",IF(COUNTIFS(Пул!$E$5:$E$300,$B229,Пул!$I$5:$I$300,"&lt;&gt;")=0,"",ROUND(SUMIFS(Пул!$I$5:$I$300,Пул!$E$5:$E$300,$B229),8)))</f>
        <v/>
      </c>
      <c r="G229" s="240" t="str">
        <f>IF($B229="","",IF(COUNTIFS(Пул!$E$5:$E$300,$B229,Пул!$H$5:$H$300,"&lt;&gt;")=0,"",ROUND(SUMIFS(Пул!$J$5:$J$300,Пул!$E$5:$E$300,$B229),8)))</f>
        <v/>
      </c>
      <c r="H229" s="241" t="str">
        <f>IF($B229="","",IF(COUNTIFS(Пул!$E$5:$E$300,$B229,Пул!$I$5:$I$300,"&lt;&gt;")=0,"",ROUND(SUMIFS(Пул!$K$5:$K$300,Пул!$E$5:$E$300,$B229),8)))</f>
        <v/>
      </c>
      <c r="I229" s="236" t="str">
        <f>IF(AND(ISNUMBER(G229),ISNUMBER(H229)),IF(AND(G229&gt;0,H229&lt;0),"Buy",IF(AND(G229&lt;0,H229&gt;0),"Sell","")),"")</f>
        <v/>
      </c>
      <c r="J229" s="177" t="str">
        <f>IF(I229="Buy",G229,IF(I229="Sell",-G229,""))</f>
        <v/>
      </c>
      <c r="K229" s="177" t="str">
        <f>IF(AND(ISNUMBER(J229),ISNUMBER(L229),N(J229)&lt;&gt;0),ROUND(L229/J229,8),"")</f>
        <v/>
      </c>
      <c r="L229" s="177" t="str">
        <f>IF(I229="Buy",-H229,IF(I229="Sell",H229,""))</f>
        <v/>
      </c>
    </row>
    <row r="230" ht="22" customHeight="1">
      <c r="B230" s="245" t="n"/>
      <c r="C230" s="246" t="str">
        <f>IF($B230="","",IF(COUNTIFS(Пул!$E$5:$E$300,$B230,Пул!$F$5:$F$300,"&lt;&gt;")=0,"",ROUND(SUMIFS(Пул!$F$5:$F$300,Пул!$E$5:$E$300,$B230),8)))</f>
        <v/>
      </c>
      <c r="D230" s="247" t="str">
        <f>IF($B230="","",IF(COUNTIFS(Пул!$E$5:$E$300,$B230,Пул!$G$5:$G$300,"&lt;&gt;")=0,"",ROUND(SUMIFS(Пул!$G$5:$G$300,Пул!$E$5:$E$300,$B230),8)))</f>
        <v/>
      </c>
      <c r="E230" s="246" t="str">
        <f>IF($B230="","",IF(COUNTIFS(Пул!$E$5:$E$300,$B230,Пул!$H$5:$H$300,"&lt;&gt;")=0,"",ROUND(SUMIFS(Пул!$H$5:$H$300,Пул!$E$5:$E$300,$B230),8)))</f>
        <v/>
      </c>
      <c r="F230" s="247" t="str">
        <f>IF($B230="","",IF(COUNTIFS(Пул!$E$5:$E$300,$B230,Пул!$I$5:$I$300,"&lt;&gt;")=0,"",ROUND(SUMIFS(Пул!$I$5:$I$300,Пул!$E$5:$E$300,$B230),8)))</f>
        <v/>
      </c>
      <c r="G230" s="246" t="str">
        <f>IF($B230="","",IF(COUNTIFS(Пул!$E$5:$E$300,$B230,Пул!$H$5:$H$300,"&lt;&gt;")=0,"",ROUND(SUMIFS(Пул!$J$5:$J$300,Пул!$E$5:$E$300,$B230),8)))</f>
        <v/>
      </c>
      <c r="H230" s="247" t="str">
        <f>IF($B230="","",IF(COUNTIFS(Пул!$E$5:$E$300,$B230,Пул!$I$5:$I$300,"&lt;&gt;")=0,"",ROUND(SUMIFS(Пул!$K$5:$K$300,Пул!$E$5:$E$300,$B230),8)))</f>
        <v/>
      </c>
      <c r="I230" s="242" t="str">
        <f>IF(AND(ISNUMBER(G230),ISNUMBER(H230)),IF(AND(G230&gt;0,H230&lt;0),"Buy",IF(AND(G230&lt;0,H230&gt;0),"Sell","")),"")</f>
        <v/>
      </c>
      <c r="J230" s="183" t="str">
        <f>IF(I230="Buy",G230,IF(I230="Sell",-G230,""))</f>
        <v/>
      </c>
      <c r="K230" s="183" t="str">
        <f>IF(AND(ISNUMBER(J230),ISNUMBER(L230),N(J230)&lt;&gt;0),ROUND(L230/J230,8),"")</f>
        <v/>
      </c>
      <c r="L230" s="183" t="str">
        <f>IF(I230="Buy",-H230,IF(I230="Sell",H230,""))</f>
        <v/>
      </c>
    </row>
    <row r="231" ht="22" customHeight="1">
      <c r="B231" s="239" t="n"/>
      <c r="C231" s="240" t="str">
        <f>IF($B231="","",IF(COUNTIFS(Пул!$E$5:$E$300,$B231,Пул!$F$5:$F$300,"&lt;&gt;")=0,"",ROUND(SUMIFS(Пул!$F$5:$F$300,Пул!$E$5:$E$300,$B231),8)))</f>
        <v/>
      </c>
      <c r="D231" s="241" t="str">
        <f>IF($B231="","",IF(COUNTIFS(Пул!$E$5:$E$300,$B231,Пул!$G$5:$G$300,"&lt;&gt;")=0,"",ROUND(SUMIFS(Пул!$G$5:$G$300,Пул!$E$5:$E$300,$B231),8)))</f>
        <v/>
      </c>
      <c r="E231" s="240" t="str">
        <f>IF($B231="","",IF(COUNTIFS(Пул!$E$5:$E$300,$B231,Пул!$H$5:$H$300,"&lt;&gt;")=0,"",ROUND(SUMIFS(Пул!$H$5:$H$300,Пул!$E$5:$E$300,$B231),8)))</f>
        <v/>
      </c>
      <c r="F231" s="241" t="str">
        <f>IF($B231="","",IF(COUNTIFS(Пул!$E$5:$E$300,$B231,Пул!$I$5:$I$300,"&lt;&gt;")=0,"",ROUND(SUMIFS(Пул!$I$5:$I$300,Пул!$E$5:$E$300,$B231),8)))</f>
        <v/>
      </c>
      <c r="G231" s="240" t="str">
        <f>IF($B231="","",IF(COUNTIFS(Пул!$E$5:$E$300,$B231,Пул!$H$5:$H$300,"&lt;&gt;")=0,"",ROUND(SUMIFS(Пул!$J$5:$J$300,Пул!$E$5:$E$300,$B231),8)))</f>
        <v/>
      </c>
      <c r="H231" s="241" t="str">
        <f>IF($B231="","",IF(COUNTIFS(Пул!$E$5:$E$300,$B231,Пул!$I$5:$I$300,"&lt;&gt;")=0,"",ROUND(SUMIFS(Пул!$K$5:$K$300,Пул!$E$5:$E$300,$B231),8)))</f>
        <v/>
      </c>
      <c r="I231" s="236" t="str">
        <f>IF(AND(ISNUMBER(G231),ISNUMBER(H231)),IF(AND(G231&gt;0,H231&lt;0),"Buy",IF(AND(G231&lt;0,H231&gt;0),"Sell","")),"")</f>
        <v/>
      </c>
      <c r="J231" s="177" t="str">
        <f>IF(I231="Buy",G231,IF(I231="Sell",-G231,""))</f>
        <v/>
      </c>
      <c r="K231" s="177" t="str">
        <f>IF(AND(ISNUMBER(J231),ISNUMBER(L231),N(J231)&lt;&gt;0),ROUND(L231/J231,8),"")</f>
        <v/>
      </c>
      <c r="L231" s="177" t="str">
        <f>IF(I231="Buy",-H231,IF(I231="Sell",H231,""))</f>
        <v/>
      </c>
    </row>
    <row r="232" ht="22" customHeight="1">
      <c r="B232" s="245" t="n"/>
      <c r="C232" s="246" t="str">
        <f>IF($B232="","",IF(COUNTIFS(Пул!$E$5:$E$300,$B232,Пул!$F$5:$F$300,"&lt;&gt;")=0,"",ROUND(SUMIFS(Пул!$F$5:$F$300,Пул!$E$5:$E$300,$B232),8)))</f>
        <v/>
      </c>
      <c r="D232" s="247" t="str">
        <f>IF($B232="","",IF(COUNTIFS(Пул!$E$5:$E$300,$B232,Пул!$G$5:$G$300,"&lt;&gt;")=0,"",ROUND(SUMIFS(Пул!$G$5:$G$300,Пул!$E$5:$E$300,$B232),8)))</f>
        <v/>
      </c>
      <c r="E232" s="246" t="str">
        <f>IF($B232="","",IF(COUNTIFS(Пул!$E$5:$E$300,$B232,Пул!$H$5:$H$300,"&lt;&gt;")=0,"",ROUND(SUMIFS(Пул!$H$5:$H$300,Пул!$E$5:$E$300,$B232),8)))</f>
        <v/>
      </c>
      <c r="F232" s="247" t="str">
        <f>IF($B232="","",IF(COUNTIFS(Пул!$E$5:$E$300,$B232,Пул!$I$5:$I$300,"&lt;&gt;")=0,"",ROUND(SUMIFS(Пул!$I$5:$I$300,Пул!$E$5:$E$300,$B232),8)))</f>
        <v/>
      </c>
      <c r="G232" s="246" t="str">
        <f>IF($B232="","",IF(COUNTIFS(Пул!$E$5:$E$300,$B232,Пул!$H$5:$H$300,"&lt;&gt;")=0,"",ROUND(SUMIFS(Пул!$J$5:$J$300,Пул!$E$5:$E$300,$B232),8)))</f>
        <v/>
      </c>
      <c r="H232" s="247" t="str">
        <f>IF($B232="","",IF(COUNTIFS(Пул!$E$5:$E$300,$B232,Пул!$I$5:$I$300,"&lt;&gt;")=0,"",ROUND(SUMIFS(Пул!$K$5:$K$300,Пул!$E$5:$E$300,$B232),8)))</f>
        <v/>
      </c>
      <c r="I232" s="242" t="str">
        <f>IF(AND(ISNUMBER(G232),ISNUMBER(H232)),IF(AND(G232&gt;0,H232&lt;0),"Buy",IF(AND(G232&lt;0,H232&gt;0),"Sell","")),"")</f>
        <v/>
      </c>
      <c r="J232" s="183" t="str">
        <f>IF(I232="Buy",G232,IF(I232="Sell",-G232,""))</f>
        <v/>
      </c>
      <c r="K232" s="183" t="str">
        <f>IF(AND(ISNUMBER(J232),ISNUMBER(L232),N(J232)&lt;&gt;0),ROUND(L232/J232,8),"")</f>
        <v/>
      </c>
      <c r="L232" s="183" t="str">
        <f>IF(I232="Buy",-H232,IF(I232="Sell",H232,""))</f>
        <v/>
      </c>
    </row>
    <row r="233" ht="22" customHeight="1">
      <c r="B233" s="239" t="n"/>
      <c r="C233" s="240" t="str">
        <f>IF($B233="","",IF(COUNTIFS(Пул!$E$5:$E$300,$B233,Пул!$F$5:$F$300,"&lt;&gt;")=0,"",ROUND(SUMIFS(Пул!$F$5:$F$300,Пул!$E$5:$E$300,$B233),8)))</f>
        <v/>
      </c>
      <c r="D233" s="241" t="str">
        <f>IF($B233="","",IF(COUNTIFS(Пул!$E$5:$E$300,$B233,Пул!$G$5:$G$300,"&lt;&gt;")=0,"",ROUND(SUMIFS(Пул!$G$5:$G$300,Пул!$E$5:$E$300,$B233),8)))</f>
        <v/>
      </c>
      <c r="E233" s="240" t="str">
        <f>IF($B233="","",IF(COUNTIFS(Пул!$E$5:$E$300,$B233,Пул!$H$5:$H$300,"&lt;&gt;")=0,"",ROUND(SUMIFS(Пул!$H$5:$H$300,Пул!$E$5:$E$300,$B233),8)))</f>
        <v/>
      </c>
      <c r="F233" s="241" t="str">
        <f>IF($B233="","",IF(COUNTIFS(Пул!$E$5:$E$300,$B233,Пул!$I$5:$I$300,"&lt;&gt;")=0,"",ROUND(SUMIFS(Пул!$I$5:$I$300,Пул!$E$5:$E$300,$B233),8)))</f>
        <v/>
      </c>
      <c r="G233" s="240" t="str">
        <f>IF($B233="","",IF(COUNTIFS(Пул!$E$5:$E$300,$B233,Пул!$H$5:$H$300,"&lt;&gt;")=0,"",ROUND(SUMIFS(Пул!$J$5:$J$300,Пул!$E$5:$E$300,$B233),8)))</f>
        <v/>
      </c>
      <c r="H233" s="241" t="str">
        <f>IF($B233="","",IF(COUNTIFS(Пул!$E$5:$E$300,$B233,Пул!$I$5:$I$300,"&lt;&gt;")=0,"",ROUND(SUMIFS(Пул!$K$5:$K$300,Пул!$E$5:$E$300,$B233),8)))</f>
        <v/>
      </c>
      <c r="I233" s="236" t="str">
        <f>IF(AND(ISNUMBER(G233),ISNUMBER(H233)),IF(AND(G233&gt;0,H233&lt;0),"Buy",IF(AND(G233&lt;0,H233&gt;0),"Sell","")),"")</f>
        <v/>
      </c>
      <c r="J233" s="177" t="str">
        <f>IF(I233="Buy",G233,IF(I233="Sell",-G233,""))</f>
        <v/>
      </c>
      <c r="K233" s="177" t="str">
        <f>IF(AND(ISNUMBER(J233),ISNUMBER(L233),N(J233)&lt;&gt;0),ROUND(L233/J233,8),"")</f>
        <v/>
      </c>
      <c r="L233" s="177" t="str">
        <f>IF(I233="Buy",-H233,IF(I233="Sell",H233,""))</f>
        <v/>
      </c>
    </row>
    <row r="234" ht="22" customHeight="1">
      <c r="B234" s="245" t="n"/>
      <c r="C234" s="246" t="str">
        <f>IF($B234="","",IF(COUNTIFS(Пул!$E$5:$E$300,$B234,Пул!$F$5:$F$300,"&lt;&gt;")=0,"",ROUND(SUMIFS(Пул!$F$5:$F$300,Пул!$E$5:$E$300,$B234),8)))</f>
        <v/>
      </c>
      <c r="D234" s="247" t="str">
        <f>IF($B234="","",IF(COUNTIFS(Пул!$E$5:$E$300,$B234,Пул!$G$5:$G$300,"&lt;&gt;")=0,"",ROUND(SUMIFS(Пул!$G$5:$G$300,Пул!$E$5:$E$300,$B234),8)))</f>
        <v/>
      </c>
      <c r="E234" s="246" t="str">
        <f>IF($B234="","",IF(COUNTIFS(Пул!$E$5:$E$300,$B234,Пул!$H$5:$H$300,"&lt;&gt;")=0,"",ROUND(SUMIFS(Пул!$H$5:$H$300,Пул!$E$5:$E$300,$B234),8)))</f>
        <v/>
      </c>
      <c r="F234" s="247" t="str">
        <f>IF($B234="","",IF(COUNTIFS(Пул!$E$5:$E$300,$B234,Пул!$I$5:$I$300,"&lt;&gt;")=0,"",ROUND(SUMIFS(Пул!$I$5:$I$300,Пул!$E$5:$E$300,$B234),8)))</f>
        <v/>
      </c>
      <c r="G234" s="246" t="str">
        <f>IF($B234="","",IF(COUNTIFS(Пул!$E$5:$E$300,$B234,Пул!$H$5:$H$300,"&lt;&gt;")=0,"",ROUND(SUMIFS(Пул!$J$5:$J$300,Пул!$E$5:$E$300,$B234),8)))</f>
        <v/>
      </c>
      <c r="H234" s="247" t="str">
        <f>IF($B234="","",IF(COUNTIFS(Пул!$E$5:$E$300,$B234,Пул!$I$5:$I$300,"&lt;&gt;")=0,"",ROUND(SUMIFS(Пул!$K$5:$K$300,Пул!$E$5:$E$300,$B234),8)))</f>
        <v/>
      </c>
      <c r="I234" s="242" t="str">
        <f>IF(AND(ISNUMBER(G234),ISNUMBER(H234)),IF(AND(G234&gt;0,H234&lt;0),"Buy",IF(AND(G234&lt;0,H234&gt;0),"Sell","")),"")</f>
        <v/>
      </c>
      <c r="J234" s="183" t="str">
        <f>IF(I234="Buy",G234,IF(I234="Sell",-G234,""))</f>
        <v/>
      </c>
      <c r="K234" s="183" t="str">
        <f>IF(AND(ISNUMBER(J234),ISNUMBER(L234),N(J234)&lt;&gt;0),ROUND(L234/J234,8),"")</f>
        <v/>
      </c>
      <c r="L234" s="183" t="str">
        <f>IF(I234="Buy",-H234,IF(I234="Sell",H234,""))</f>
        <v/>
      </c>
    </row>
    <row r="235" ht="22" customHeight="1">
      <c r="B235" s="239" t="n"/>
      <c r="C235" s="240" t="str">
        <f>IF($B235="","",IF(COUNTIFS(Пул!$E$5:$E$300,$B235,Пул!$F$5:$F$300,"&lt;&gt;")=0,"",ROUND(SUMIFS(Пул!$F$5:$F$300,Пул!$E$5:$E$300,$B235),8)))</f>
        <v/>
      </c>
      <c r="D235" s="241" t="str">
        <f>IF($B235="","",IF(COUNTIFS(Пул!$E$5:$E$300,$B235,Пул!$G$5:$G$300,"&lt;&gt;")=0,"",ROUND(SUMIFS(Пул!$G$5:$G$300,Пул!$E$5:$E$300,$B235),8)))</f>
        <v/>
      </c>
      <c r="E235" s="240" t="str">
        <f>IF($B235="","",IF(COUNTIFS(Пул!$E$5:$E$300,$B235,Пул!$H$5:$H$300,"&lt;&gt;")=0,"",ROUND(SUMIFS(Пул!$H$5:$H$300,Пул!$E$5:$E$300,$B235),8)))</f>
        <v/>
      </c>
      <c r="F235" s="241" t="str">
        <f>IF($B235="","",IF(COUNTIFS(Пул!$E$5:$E$300,$B235,Пул!$I$5:$I$300,"&lt;&gt;")=0,"",ROUND(SUMIFS(Пул!$I$5:$I$300,Пул!$E$5:$E$300,$B235),8)))</f>
        <v/>
      </c>
      <c r="G235" s="240" t="str">
        <f>IF($B235="","",IF(COUNTIFS(Пул!$E$5:$E$300,$B235,Пул!$H$5:$H$300,"&lt;&gt;")=0,"",ROUND(SUMIFS(Пул!$J$5:$J$300,Пул!$E$5:$E$300,$B235),8)))</f>
        <v/>
      </c>
      <c r="H235" s="241" t="str">
        <f>IF($B235="","",IF(COUNTIFS(Пул!$E$5:$E$300,$B235,Пул!$I$5:$I$300,"&lt;&gt;")=0,"",ROUND(SUMIFS(Пул!$K$5:$K$300,Пул!$E$5:$E$300,$B235),8)))</f>
        <v/>
      </c>
      <c r="I235" s="236" t="str">
        <f>IF(AND(ISNUMBER(G235),ISNUMBER(H235)),IF(AND(G235&gt;0,H235&lt;0),"Buy",IF(AND(G235&lt;0,H235&gt;0),"Sell","")),"")</f>
        <v/>
      </c>
      <c r="J235" s="177" t="str">
        <f>IF(I235="Buy",G235,IF(I235="Sell",-G235,""))</f>
        <v/>
      </c>
      <c r="K235" s="177" t="str">
        <f>IF(AND(ISNUMBER(J235),ISNUMBER(L235),N(J235)&lt;&gt;0),ROUND(L235/J235,8),"")</f>
        <v/>
      </c>
      <c r="L235" s="177" t="str">
        <f>IF(I235="Buy",-H235,IF(I235="Sell",H235,""))</f>
        <v/>
      </c>
    </row>
    <row r="236" ht="22" customHeight="1">
      <c r="B236" s="245" t="n"/>
      <c r="C236" s="246" t="str">
        <f>IF($B236="","",IF(COUNTIFS(Пул!$E$5:$E$300,$B236,Пул!$F$5:$F$300,"&lt;&gt;")=0,"",ROUND(SUMIFS(Пул!$F$5:$F$300,Пул!$E$5:$E$300,$B236),8)))</f>
        <v/>
      </c>
      <c r="D236" s="247" t="str">
        <f>IF($B236="","",IF(COUNTIFS(Пул!$E$5:$E$300,$B236,Пул!$G$5:$G$300,"&lt;&gt;")=0,"",ROUND(SUMIFS(Пул!$G$5:$G$300,Пул!$E$5:$E$300,$B236),8)))</f>
        <v/>
      </c>
      <c r="E236" s="246" t="str">
        <f>IF($B236="","",IF(COUNTIFS(Пул!$E$5:$E$300,$B236,Пул!$H$5:$H$300,"&lt;&gt;")=0,"",ROUND(SUMIFS(Пул!$H$5:$H$300,Пул!$E$5:$E$300,$B236),8)))</f>
        <v/>
      </c>
      <c r="F236" s="247" t="str">
        <f>IF($B236="","",IF(COUNTIFS(Пул!$E$5:$E$300,$B236,Пул!$I$5:$I$300,"&lt;&gt;")=0,"",ROUND(SUMIFS(Пул!$I$5:$I$300,Пул!$E$5:$E$300,$B236),8)))</f>
        <v/>
      </c>
      <c r="G236" s="246" t="str">
        <f>IF($B236="","",IF(COUNTIFS(Пул!$E$5:$E$300,$B236,Пул!$H$5:$H$300,"&lt;&gt;")=0,"",ROUND(SUMIFS(Пул!$J$5:$J$300,Пул!$E$5:$E$300,$B236),8)))</f>
        <v/>
      </c>
      <c r="H236" s="247" t="str">
        <f>IF($B236="","",IF(COUNTIFS(Пул!$E$5:$E$300,$B236,Пул!$I$5:$I$300,"&lt;&gt;")=0,"",ROUND(SUMIFS(Пул!$K$5:$K$300,Пул!$E$5:$E$300,$B236),8)))</f>
        <v/>
      </c>
      <c r="I236" s="242" t="str">
        <f>IF(AND(ISNUMBER(G236),ISNUMBER(H236)),IF(AND(G236&gt;0,H236&lt;0),"Buy",IF(AND(G236&lt;0,H236&gt;0),"Sell","")),"")</f>
        <v/>
      </c>
      <c r="J236" s="183" t="str">
        <f>IF(I236="Buy",G236,IF(I236="Sell",-G236,""))</f>
        <v/>
      </c>
      <c r="K236" s="183" t="str">
        <f>IF(AND(ISNUMBER(J236),ISNUMBER(L236),N(J236)&lt;&gt;0),ROUND(L236/J236,8),"")</f>
        <v/>
      </c>
      <c r="L236" s="183" t="str">
        <f>IF(I236="Buy",-H236,IF(I236="Sell",H236,""))</f>
        <v/>
      </c>
    </row>
    <row r="237" ht="22" customHeight="1">
      <c r="B237" s="239" t="n"/>
      <c r="C237" s="240" t="str">
        <f>IF($B237="","",IF(COUNTIFS(Пул!$E$5:$E$300,$B237,Пул!$F$5:$F$300,"&lt;&gt;")=0,"",ROUND(SUMIFS(Пул!$F$5:$F$300,Пул!$E$5:$E$300,$B237),8)))</f>
        <v/>
      </c>
      <c r="D237" s="241" t="str">
        <f>IF($B237="","",IF(COUNTIFS(Пул!$E$5:$E$300,$B237,Пул!$G$5:$G$300,"&lt;&gt;")=0,"",ROUND(SUMIFS(Пул!$G$5:$G$300,Пул!$E$5:$E$300,$B237),8)))</f>
        <v/>
      </c>
      <c r="E237" s="240" t="str">
        <f>IF($B237="","",IF(COUNTIFS(Пул!$E$5:$E$300,$B237,Пул!$H$5:$H$300,"&lt;&gt;")=0,"",ROUND(SUMIFS(Пул!$H$5:$H$300,Пул!$E$5:$E$300,$B237),8)))</f>
        <v/>
      </c>
      <c r="F237" s="241" t="str">
        <f>IF($B237="","",IF(COUNTIFS(Пул!$E$5:$E$300,$B237,Пул!$I$5:$I$300,"&lt;&gt;")=0,"",ROUND(SUMIFS(Пул!$I$5:$I$300,Пул!$E$5:$E$300,$B237),8)))</f>
        <v/>
      </c>
      <c r="G237" s="240" t="str">
        <f>IF($B237="","",IF(COUNTIFS(Пул!$E$5:$E$300,$B237,Пул!$H$5:$H$300,"&lt;&gt;")=0,"",ROUND(SUMIFS(Пул!$J$5:$J$300,Пул!$E$5:$E$300,$B237),8)))</f>
        <v/>
      </c>
      <c r="H237" s="241" t="str">
        <f>IF($B237="","",IF(COUNTIFS(Пул!$E$5:$E$300,$B237,Пул!$I$5:$I$300,"&lt;&gt;")=0,"",ROUND(SUMIFS(Пул!$K$5:$K$300,Пул!$E$5:$E$300,$B237),8)))</f>
        <v/>
      </c>
      <c r="I237" s="236" t="str">
        <f>IF(AND(ISNUMBER(G237),ISNUMBER(H237)),IF(AND(G237&gt;0,H237&lt;0),"Buy",IF(AND(G237&lt;0,H237&gt;0),"Sell","")),"")</f>
        <v/>
      </c>
      <c r="J237" s="177" t="str">
        <f>IF(I237="Buy",G237,IF(I237="Sell",-G237,""))</f>
        <v/>
      </c>
      <c r="K237" s="177" t="str">
        <f>IF(AND(ISNUMBER(J237),ISNUMBER(L237),N(J237)&lt;&gt;0),ROUND(L237/J237,8),"")</f>
        <v/>
      </c>
      <c r="L237" s="177" t="str">
        <f>IF(I237="Buy",-H237,IF(I237="Sell",H237,""))</f>
        <v/>
      </c>
    </row>
    <row r="238" ht="22" customHeight="1">
      <c r="B238" s="245" t="n"/>
      <c r="C238" s="246" t="str">
        <f>IF($B238="","",IF(COUNTIFS(Пул!$E$5:$E$300,$B238,Пул!$F$5:$F$300,"&lt;&gt;")=0,"",ROUND(SUMIFS(Пул!$F$5:$F$300,Пул!$E$5:$E$300,$B238),8)))</f>
        <v/>
      </c>
      <c r="D238" s="247" t="str">
        <f>IF($B238="","",IF(COUNTIFS(Пул!$E$5:$E$300,$B238,Пул!$G$5:$G$300,"&lt;&gt;")=0,"",ROUND(SUMIFS(Пул!$G$5:$G$300,Пул!$E$5:$E$300,$B238),8)))</f>
        <v/>
      </c>
      <c r="E238" s="246" t="str">
        <f>IF($B238="","",IF(COUNTIFS(Пул!$E$5:$E$300,$B238,Пул!$H$5:$H$300,"&lt;&gt;")=0,"",ROUND(SUMIFS(Пул!$H$5:$H$300,Пул!$E$5:$E$300,$B238),8)))</f>
        <v/>
      </c>
      <c r="F238" s="247" t="str">
        <f>IF($B238="","",IF(COUNTIFS(Пул!$E$5:$E$300,$B238,Пул!$I$5:$I$300,"&lt;&gt;")=0,"",ROUND(SUMIFS(Пул!$I$5:$I$300,Пул!$E$5:$E$300,$B238),8)))</f>
        <v/>
      </c>
      <c r="G238" s="246" t="str">
        <f>IF($B238="","",IF(COUNTIFS(Пул!$E$5:$E$300,$B238,Пул!$H$5:$H$300,"&lt;&gt;")=0,"",ROUND(SUMIFS(Пул!$J$5:$J$300,Пул!$E$5:$E$300,$B238),8)))</f>
        <v/>
      </c>
      <c r="H238" s="247" t="str">
        <f>IF($B238="","",IF(COUNTIFS(Пул!$E$5:$E$300,$B238,Пул!$I$5:$I$300,"&lt;&gt;")=0,"",ROUND(SUMIFS(Пул!$K$5:$K$300,Пул!$E$5:$E$300,$B238),8)))</f>
        <v/>
      </c>
      <c r="I238" s="242" t="str">
        <f>IF(AND(ISNUMBER(G238),ISNUMBER(H238)),IF(AND(G238&gt;0,H238&lt;0),"Buy",IF(AND(G238&lt;0,H238&gt;0),"Sell","")),"")</f>
        <v/>
      </c>
      <c r="J238" s="183" t="str">
        <f>IF(I238="Buy",G238,IF(I238="Sell",-G238,""))</f>
        <v/>
      </c>
      <c r="K238" s="183" t="str">
        <f>IF(AND(ISNUMBER(J238),ISNUMBER(L238),N(J238)&lt;&gt;0),ROUND(L238/J238,8),"")</f>
        <v/>
      </c>
      <c r="L238" s="183" t="str">
        <f>IF(I238="Buy",-H238,IF(I238="Sell",H238,""))</f>
        <v/>
      </c>
    </row>
    <row r="239" ht="22" customHeight="1">
      <c r="B239" s="239" t="n"/>
      <c r="C239" s="240" t="str">
        <f>IF($B239="","",IF(COUNTIFS(Пул!$E$5:$E$300,$B239,Пул!$F$5:$F$300,"&lt;&gt;")=0,"",ROUND(SUMIFS(Пул!$F$5:$F$300,Пул!$E$5:$E$300,$B239),8)))</f>
        <v/>
      </c>
      <c r="D239" s="241" t="str">
        <f>IF($B239="","",IF(COUNTIFS(Пул!$E$5:$E$300,$B239,Пул!$G$5:$G$300,"&lt;&gt;")=0,"",ROUND(SUMIFS(Пул!$G$5:$G$300,Пул!$E$5:$E$300,$B239),8)))</f>
        <v/>
      </c>
      <c r="E239" s="240" t="str">
        <f>IF($B239="","",IF(COUNTIFS(Пул!$E$5:$E$300,$B239,Пул!$H$5:$H$300,"&lt;&gt;")=0,"",ROUND(SUMIFS(Пул!$H$5:$H$300,Пул!$E$5:$E$300,$B239),8)))</f>
        <v/>
      </c>
      <c r="F239" s="241" t="str">
        <f>IF($B239="","",IF(COUNTIFS(Пул!$E$5:$E$300,$B239,Пул!$I$5:$I$300,"&lt;&gt;")=0,"",ROUND(SUMIFS(Пул!$I$5:$I$300,Пул!$E$5:$E$300,$B239),8)))</f>
        <v/>
      </c>
      <c r="G239" s="240" t="str">
        <f>IF($B239="","",IF(COUNTIFS(Пул!$E$5:$E$300,$B239,Пул!$H$5:$H$300,"&lt;&gt;")=0,"",ROUND(SUMIFS(Пул!$J$5:$J$300,Пул!$E$5:$E$300,$B239),8)))</f>
        <v/>
      </c>
      <c r="H239" s="241" t="str">
        <f>IF($B239="","",IF(COUNTIFS(Пул!$E$5:$E$300,$B239,Пул!$I$5:$I$300,"&lt;&gt;")=0,"",ROUND(SUMIFS(Пул!$K$5:$K$300,Пул!$E$5:$E$300,$B239),8)))</f>
        <v/>
      </c>
      <c r="I239" s="236" t="str">
        <f>IF(AND(ISNUMBER(G239),ISNUMBER(H239)),IF(AND(G239&gt;0,H239&lt;0),"Buy",IF(AND(G239&lt;0,H239&gt;0),"Sell","")),"")</f>
        <v/>
      </c>
      <c r="J239" s="177" t="str">
        <f>IF(I239="Buy",G239,IF(I239="Sell",-G239,""))</f>
        <v/>
      </c>
      <c r="K239" s="177" t="str">
        <f>IF(AND(ISNUMBER(J239),ISNUMBER(L239),N(J239)&lt;&gt;0),ROUND(L239/J239,8),"")</f>
        <v/>
      </c>
      <c r="L239" s="177" t="str">
        <f>IF(I239="Buy",-H239,IF(I239="Sell",H239,""))</f>
        <v/>
      </c>
    </row>
    <row r="240" ht="22" customHeight="1">
      <c r="B240" s="245" t="n"/>
      <c r="C240" s="246" t="str">
        <f>IF($B240="","",IF(COUNTIFS(Пул!$E$5:$E$300,$B240,Пул!$F$5:$F$300,"&lt;&gt;")=0,"",ROUND(SUMIFS(Пул!$F$5:$F$300,Пул!$E$5:$E$300,$B240),8)))</f>
        <v/>
      </c>
      <c r="D240" s="247" t="str">
        <f>IF($B240="","",IF(COUNTIFS(Пул!$E$5:$E$300,$B240,Пул!$G$5:$G$300,"&lt;&gt;")=0,"",ROUND(SUMIFS(Пул!$G$5:$G$300,Пул!$E$5:$E$300,$B240),8)))</f>
        <v/>
      </c>
      <c r="E240" s="246" t="str">
        <f>IF($B240="","",IF(COUNTIFS(Пул!$E$5:$E$300,$B240,Пул!$H$5:$H$300,"&lt;&gt;")=0,"",ROUND(SUMIFS(Пул!$H$5:$H$300,Пул!$E$5:$E$300,$B240),8)))</f>
        <v/>
      </c>
      <c r="F240" s="247" t="str">
        <f>IF($B240="","",IF(COUNTIFS(Пул!$E$5:$E$300,$B240,Пул!$I$5:$I$300,"&lt;&gt;")=0,"",ROUND(SUMIFS(Пул!$I$5:$I$300,Пул!$E$5:$E$300,$B240),8)))</f>
        <v/>
      </c>
      <c r="G240" s="246" t="str">
        <f>IF($B240="","",IF(COUNTIFS(Пул!$E$5:$E$300,$B240,Пул!$H$5:$H$300,"&lt;&gt;")=0,"",ROUND(SUMIFS(Пул!$J$5:$J$300,Пул!$E$5:$E$300,$B240),8)))</f>
        <v/>
      </c>
      <c r="H240" s="247" t="str">
        <f>IF($B240="","",IF(COUNTIFS(Пул!$E$5:$E$300,$B240,Пул!$I$5:$I$300,"&lt;&gt;")=0,"",ROUND(SUMIFS(Пул!$K$5:$K$300,Пул!$E$5:$E$300,$B240),8)))</f>
        <v/>
      </c>
      <c r="I240" s="242" t="str">
        <f>IF(AND(ISNUMBER(G240),ISNUMBER(H240)),IF(AND(G240&gt;0,H240&lt;0),"Buy",IF(AND(G240&lt;0,H240&gt;0),"Sell","")),"")</f>
        <v/>
      </c>
      <c r="J240" s="183" t="str">
        <f>IF(I240="Buy",G240,IF(I240="Sell",-G240,""))</f>
        <v/>
      </c>
      <c r="K240" s="183" t="str">
        <f>IF(AND(ISNUMBER(J240),ISNUMBER(L240),N(J240)&lt;&gt;0),ROUND(L240/J240,8),"")</f>
        <v/>
      </c>
      <c r="L240" s="183" t="str">
        <f>IF(I240="Buy",-H240,IF(I240="Sell",H240,""))</f>
        <v/>
      </c>
    </row>
    <row r="241" ht="22" customHeight="1">
      <c r="B241" s="239" t="n"/>
      <c r="C241" s="240" t="str">
        <f>IF($B241="","",IF(COUNTIFS(Пул!$E$5:$E$300,$B241,Пул!$F$5:$F$300,"&lt;&gt;")=0,"",ROUND(SUMIFS(Пул!$F$5:$F$300,Пул!$E$5:$E$300,$B241),8)))</f>
        <v/>
      </c>
      <c r="D241" s="241" t="str">
        <f>IF($B241="","",IF(COUNTIFS(Пул!$E$5:$E$300,$B241,Пул!$G$5:$G$300,"&lt;&gt;")=0,"",ROUND(SUMIFS(Пул!$G$5:$G$300,Пул!$E$5:$E$300,$B241),8)))</f>
        <v/>
      </c>
      <c r="E241" s="240" t="str">
        <f>IF($B241="","",IF(COUNTIFS(Пул!$E$5:$E$300,$B241,Пул!$H$5:$H$300,"&lt;&gt;")=0,"",ROUND(SUMIFS(Пул!$H$5:$H$300,Пул!$E$5:$E$300,$B241),8)))</f>
        <v/>
      </c>
      <c r="F241" s="241" t="str">
        <f>IF($B241="","",IF(COUNTIFS(Пул!$E$5:$E$300,$B241,Пул!$I$5:$I$300,"&lt;&gt;")=0,"",ROUND(SUMIFS(Пул!$I$5:$I$300,Пул!$E$5:$E$300,$B241),8)))</f>
        <v/>
      </c>
      <c r="G241" s="240" t="str">
        <f>IF($B241="","",IF(COUNTIFS(Пул!$E$5:$E$300,$B241,Пул!$H$5:$H$300,"&lt;&gt;")=0,"",ROUND(SUMIFS(Пул!$J$5:$J$300,Пул!$E$5:$E$300,$B241),8)))</f>
        <v/>
      </c>
      <c r="H241" s="241" t="str">
        <f>IF($B241="","",IF(COUNTIFS(Пул!$E$5:$E$300,$B241,Пул!$I$5:$I$300,"&lt;&gt;")=0,"",ROUND(SUMIFS(Пул!$K$5:$K$300,Пул!$E$5:$E$300,$B241),8)))</f>
        <v/>
      </c>
      <c r="I241" s="236" t="str">
        <f>IF(AND(ISNUMBER(G241),ISNUMBER(H241)),IF(AND(G241&gt;0,H241&lt;0),"Buy",IF(AND(G241&lt;0,H241&gt;0),"Sell","")),"")</f>
        <v/>
      </c>
      <c r="J241" s="177" t="str">
        <f>IF(I241="Buy",G241,IF(I241="Sell",-G241,""))</f>
        <v/>
      </c>
      <c r="K241" s="177" t="str">
        <f>IF(AND(ISNUMBER(J241),ISNUMBER(L241),N(J241)&lt;&gt;0),ROUND(L241/J241,8),"")</f>
        <v/>
      </c>
      <c r="L241" s="177" t="str">
        <f>IF(I241="Buy",-H241,IF(I241="Sell",H241,""))</f>
        <v/>
      </c>
    </row>
    <row r="242" ht="22" customHeight="1">
      <c r="B242" s="245" t="n"/>
      <c r="C242" s="246" t="str">
        <f>IF($B242="","",IF(COUNTIFS(Пул!$E$5:$E$300,$B242,Пул!$F$5:$F$300,"&lt;&gt;")=0,"",ROUND(SUMIFS(Пул!$F$5:$F$300,Пул!$E$5:$E$300,$B242),8)))</f>
        <v/>
      </c>
      <c r="D242" s="247" t="str">
        <f>IF($B242="","",IF(COUNTIFS(Пул!$E$5:$E$300,$B242,Пул!$G$5:$G$300,"&lt;&gt;")=0,"",ROUND(SUMIFS(Пул!$G$5:$G$300,Пул!$E$5:$E$300,$B242),8)))</f>
        <v/>
      </c>
      <c r="E242" s="246" t="str">
        <f>IF($B242="","",IF(COUNTIFS(Пул!$E$5:$E$300,$B242,Пул!$H$5:$H$300,"&lt;&gt;")=0,"",ROUND(SUMIFS(Пул!$H$5:$H$300,Пул!$E$5:$E$300,$B242),8)))</f>
        <v/>
      </c>
      <c r="F242" s="247" t="str">
        <f>IF($B242="","",IF(COUNTIFS(Пул!$E$5:$E$300,$B242,Пул!$I$5:$I$300,"&lt;&gt;")=0,"",ROUND(SUMIFS(Пул!$I$5:$I$300,Пул!$E$5:$E$300,$B242),8)))</f>
        <v/>
      </c>
      <c r="G242" s="246" t="str">
        <f>IF($B242="","",IF(COUNTIFS(Пул!$E$5:$E$300,$B242,Пул!$H$5:$H$300,"&lt;&gt;")=0,"",ROUND(SUMIFS(Пул!$J$5:$J$300,Пул!$E$5:$E$300,$B242),8)))</f>
        <v/>
      </c>
      <c r="H242" s="247" t="str">
        <f>IF($B242="","",IF(COUNTIFS(Пул!$E$5:$E$300,$B242,Пул!$I$5:$I$300,"&lt;&gt;")=0,"",ROUND(SUMIFS(Пул!$K$5:$K$300,Пул!$E$5:$E$300,$B242),8)))</f>
        <v/>
      </c>
      <c r="I242" s="242" t="str">
        <f>IF(AND(ISNUMBER(G242),ISNUMBER(H242)),IF(AND(G242&gt;0,H242&lt;0),"Buy",IF(AND(G242&lt;0,H242&gt;0),"Sell","")),"")</f>
        <v/>
      </c>
      <c r="J242" s="183" t="str">
        <f>IF(I242="Buy",G242,IF(I242="Sell",-G242,""))</f>
        <v/>
      </c>
      <c r="K242" s="183" t="str">
        <f>IF(AND(ISNUMBER(J242),ISNUMBER(L242),N(J242)&lt;&gt;0),ROUND(L242/J242,8),"")</f>
        <v/>
      </c>
      <c r="L242" s="183" t="str">
        <f>IF(I242="Buy",-H242,IF(I242="Sell",H242,""))</f>
        <v/>
      </c>
    </row>
    <row r="243" ht="22" customHeight="1">
      <c r="B243" s="239" t="n"/>
      <c r="C243" s="240" t="str">
        <f>IF($B243="","",IF(COUNTIFS(Пул!$E$5:$E$300,$B243,Пул!$F$5:$F$300,"&lt;&gt;")=0,"",ROUND(SUMIFS(Пул!$F$5:$F$300,Пул!$E$5:$E$300,$B243),8)))</f>
        <v/>
      </c>
      <c r="D243" s="241" t="str">
        <f>IF($B243="","",IF(COUNTIFS(Пул!$E$5:$E$300,$B243,Пул!$G$5:$G$300,"&lt;&gt;")=0,"",ROUND(SUMIFS(Пул!$G$5:$G$300,Пул!$E$5:$E$300,$B243),8)))</f>
        <v/>
      </c>
      <c r="E243" s="240" t="str">
        <f>IF($B243="","",IF(COUNTIFS(Пул!$E$5:$E$300,$B243,Пул!$H$5:$H$300,"&lt;&gt;")=0,"",ROUND(SUMIFS(Пул!$H$5:$H$300,Пул!$E$5:$E$300,$B243),8)))</f>
        <v/>
      </c>
      <c r="F243" s="241" t="str">
        <f>IF($B243="","",IF(COUNTIFS(Пул!$E$5:$E$300,$B243,Пул!$I$5:$I$300,"&lt;&gt;")=0,"",ROUND(SUMIFS(Пул!$I$5:$I$300,Пул!$E$5:$E$300,$B243),8)))</f>
        <v/>
      </c>
      <c r="G243" s="240" t="str">
        <f>IF($B243="","",IF(COUNTIFS(Пул!$E$5:$E$300,$B243,Пул!$H$5:$H$300,"&lt;&gt;")=0,"",ROUND(SUMIFS(Пул!$J$5:$J$300,Пул!$E$5:$E$300,$B243),8)))</f>
        <v/>
      </c>
      <c r="H243" s="241" t="str">
        <f>IF($B243="","",IF(COUNTIFS(Пул!$E$5:$E$300,$B243,Пул!$I$5:$I$300,"&lt;&gt;")=0,"",ROUND(SUMIFS(Пул!$K$5:$K$300,Пул!$E$5:$E$300,$B243),8)))</f>
        <v/>
      </c>
      <c r="I243" s="236" t="str">
        <f>IF(AND(ISNUMBER(G243),ISNUMBER(H243)),IF(AND(G243&gt;0,H243&lt;0),"Buy",IF(AND(G243&lt;0,H243&gt;0),"Sell","")),"")</f>
        <v/>
      </c>
      <c r="J243" s="177" t="str">
        <f>IF(I243="Buy",G243,IF(I243="Sell",-G243,""))</f>
        <v/>
      </c>
      <c r="K243" s="177" t="str">
        <f>IF(AND(ISNUMBER(J243),ISNUMBER(L243),N(J243)&lt;&gt;0),ROUND(L243/J243,8),"")</f>
        <v/>
      </c>
      <c r="L243" s="177" t="str">
        <f>IF(I243="Buy",-H243,IF(I243="Sell",H243,""))</f>
        <v/>
      </c>
    </row>
    <row r="244" ht="22" customHeight="1">
      <c r="B244" s="245" t="n"/>
      <c r="C244" s="246" t="str">
        <f>IF($B244="","",IF(COUNTIFS(Пул!$E$5:$E$300,$B244,Пул!$F$5:$F$300,"&lt;&gt;")=0,"",ROUND(SUMIFS(Пул!$F$5:$F$300,Пул!$E$5:$E$300,$B244),8)))</f>
        <v/>
      </c>
      <c r="D244" s="247" t="str">
        <f>IF($B244="","",IF(COUNTIFS(Пул!$E$5:$E$300,$B244,Пул!$G$5:$G$300,"&lt;&gt;")=0,"",ROUND(SUMIFS(Пул!$G$5:$G$300,Пул!$E$5:$E$300,$B244),8)))</f>
        <v/>
      </c>
      <c r="E244" s="246" t="str">
        <f>IF($B244="","",IF(COUNTIFS(Пул!$E$5:$E$300,$B244,Пул!$H$5:$H$300,"&lt;&gt;")=0,"",ROUND(SUMIFS(Пул!$H$5:$H$300,Пул!$E$5:$E$300,$B244),8)))</f>
        <v/>
      </c>
      <c r="F244" s="247" t="str">
        <f>IF($B244="","",IF(COUNTIFS(Пул!$E$5:$E$300,$B244,Пул!$I$5:$I$300,"&lt;&gt;")=0,"",ROUND(SUMIFS(Пул!$I$5:$I$300,Пул!$E$5:$E$300,$B244),8)))</f>
        <v/>
      </c>
      <c r="G244" s="246" t="str">
        <f>IF($B244="","",IF(COUNTIFS(Пул!$E$5:$E$300,$B244,Пул!$H$5:$H$300,"&lt;&gt;")=0,"",ROUND(SUMIFS(Пул!$J$5:$J$300,Пул!$E$5:$E$300,$B244),8)))</f>
        <v/>
      </c>
      <c r="H244" s="247" t="str">
        <f>IF($B244="","",IF(COUNTIFS(Пул!$E$5:$E$300,$B244,Пул!$I$5:$I$300,"&lt;&gt;")=0,"",ROUND(SUMIFS(Пул!$K$5:$K$300,Пул!$E$5:$E$300,$B244),8)))</f>
        <v/>
      </c>
      <c r="I244" s="242" t="str">
        <f>IF(AND(ISNUMBER(G244),ISNUMBER(H244)),IF(AND(G244&gt;0,H244&lt;0),"Buy",IF(AND(G244&lt;0,H244&gt;0),"Sell","")),"")</f>
        <v/>
      </c>
      <c r="J244" s="183" t="str">
        <f>IF(I244="Buy",G244,IF(I244="Sell",-G244,""))</f>
        <v/>
      </c>
      <c r="K244" s="183" t="str">
        <f>IF(AND(ISNUMBER(J244),ISNUMBER(L244),N(J244)&lt;&gt;0),ROUND(L244/J244,8),"")</f>
        <v/>
      </c>
      <c r="L244" s="183" t="str">
        <f>IF(I244="Buy",-H244,IF(I244="Sell",H244,""))</f>
        <v/>
      </c>
    </row>
    <row r="245" ht="22" customHeight="1">
      <c r="B245" s="239" t="n"/>
      <c r="C245" s="240" t="str">
        <f>IF($B245="","",IF(COUNTIFS(Пул!$E$5:$E$300,$B245,Пул!$F$5:$F$300,"&lt;&gt;")=0,"",ROUND(SUMIFS(Пул!$F$5:$F$300,Пул!$E$5:$E$300,$B245),8)))</f>
        <v/>
      </c>
      <c r="D245" s="241" t="str">
        <f>IF($B245="","",IF(COUNTIFS(Пул!$E$5:$E$300,$B245,Пул!$G$5:$G$300,"&lt;&gt;")=0,"",ROUND(SUMIFS(Пул!$G$5:$G$300,Пул!$E$5:$E$300,$B245),8)))</f>
        <v/>
      </c>
      <c r="E245" s="240" t="str">
        <f>IF($B245="","",IF(COUNTIFS(Пул!$E$5:$E$300,$B245,Пул!$H$5:$H$300,"&lt;&gt;")=0,"",ROUND(SUMIFS(Пул!$H$5:$H$300,Пул!$E$5:$E$300,$B245),8)))</f>
        <v/>
      </c>
      <c r="F245" s="241" t="str">
        <f>IF($B245="","",IF(COUNTIFS(Пул!$E$5:$E$300,$B245,Пул!$I$5:$I$300,"&lt;&gt;")=0,"",ROUND(SUMIFS(Пул!$I$5:$I$300,Пул!$E$5:$E$300,$B245),8)))</f>
        <v/>
      </c>
      <c r="G245" s="240" t="str">
        <f>IF($B245="","",IF(COUNTIFS(Пул!$E$5:$E$300,$B245,Пул!$H$5:$H$300,"&lt;&gt;")=0,"",ROUND(SUMIFS(Пул!$J$5:$J$300,Пул!$E$5:$E$300,$B245),8)))</f>
        <v/>
      </c>
      <c r="H245" s="241" t="str">
        <f>IF($B245="","",IF(COUNTIFS(Пул!$E$5:$E$300,$B245,Пул!$I$5:$I$300,"&lt;&gt;")=0,"",ROUND(SUMIFS(Пул!$K$5:$K$300,Пул!$E$5:$E$300,$B245),8)))</f>
        <v/>
      </c>
      <c r="I245" s="236" t="str">
        <f>IF(AND(ISNUMBER(G245),ISNUMBER(H245)),IF(AND(G245&gt;0,H245&lt;0),"Buy",IF(AND(G245&lt;0,H245&gt;0),"Sell","")),"")</f>
        <v/>
      </c>
      <c r="J245" s="177" t="str">
        <f>IF(I245="Buy",G245,IF(I245="Sell",-G245,""))</f>
        <v/>
      </c>
      <c r="K245" s="177" t="str">
        <f>IF(AND(ISNUMBER(J245),ISNUMBER(L245),N(J245)&lt;&gt;0),ROUND(L245/J245,8),"")</f>
        <v/>
      </c>
      <c r="L245" s="177" t="str">
        <f>IF(I245="Buy",-H245,IF(I245="Sell",H245,""))</f>
        <v/>
      </c>
    </row>
    <row r="246" ht="22" customHeight="1">
      <c r="B246" s="245" t="n"/>
      <c r="C246" s="246" t="str">
        <f>IF($B246="","",IF(COUNTIFS(Пул!$E$5:$E$300,$B246,Пул!$F$5:$F$300,"&lt;&gt;")=0,"",ROUND(SUMIFS(Пул!$F$5:$F$300,Пул!$E$5:$E$300,$B246),8)))</f>
        <v/>
      </c>
      <c r="D246" s="247" t="str">
        <f>IF($B246="","",IF(COUNTIFS(Пул!$E$5:$E$300,$B246,Пул!$G$5:$G$300,"&lt;&gt;")=0,"",ROUND(SUMIFS(Пул!$G$5:$G$300,Пул!$E$5:$E$300,$B246),8)))</f>
        <v/>
      </c>
      <c r="E246" s="246" t="str">
        <f>IF($B246="","",IF(COUNTIFS(Пул!$E$5:$E$300,$B246,Пул!$H$5:$H$300,"&lt;&gt;")=0,"",ROUND(SUMIFS(Пул!$H$5:$H$300,Пул!$E$5:$E$300,$B246),8)))</f>
        <v/>
      </c>
      <c r="F246" s="247" t="str">
        <f>IF($B246="","",IF(COUNTIFS(Пул!$E$5:$E$300,$B246,Пул!$I$5:$I$300,"&lt;&gt;")=0,"",ROUND(SUMIFS(Пул!$I$5:$I$300,Пул!$E$5:$E$300,$B246),8)))</f>
        <v/>
      </c>
      <c r="G246" s="246" t="str">
        <f>IF($B246="","",IF(COUNTIFS(Пул!$E$5:$E$300,$B246,Пул!$H$5:$H$300,"&lt;&gt;")=0,"",ROUND(SUMIFS(Пул!$J$5:$J$300,Пул!$E$5:$E$300,$B246),8)))</f>
        <v/>
      </c>
      <c r="H246" s="247" t="str">
        <f>IF($B246="","",IF(COUNTIFS(Пул!$E$5:$E$300,$B246,Пул!$I$5:$I$300,"&lt;&gt;")=0,"",ROUND(SUMIFS(Пул!$K$5:$K$300,Пул!$E$5:$E$300,$B246),8)))</f>
        <v/>
      </c>
      <c r="I246" s="242" t="str">
        <f>IF(AND(ISNUMBER(G246),ISNUMBER(H246)),IF(AND(G246&gt;0,H246&lt;0),"Buy",IF(AND(G246&lt;0,H246&gt;0),"Sell","")),"")</f>
        <v/>
      </c>
      <c r="J246" s="183" t="str">
        <f>IF(I246="Buy",G246,IF(I246="Sell",-G246,""))</f>
        <v/>
      </c>
      <c r="K246" s="183" t="str">
        <f>IF(AND(ISNUMBER(J246),ISNUMBER(L246),N(J246)&lt;&gt;0),ROUND(L246/J246,8),"")</f>
        <v/>
      </c>
      <c r="L246" s="183" t="str">
        <f>IF(I246="Buy",-H246,IF(I246="Sell",H246,""))</f>
        <v/>
      </c>
    </row>
    <row r="247" ht="22" customHeight="1">
      <c r="B247" s="239" t="n"/>
      <c r="C247" s="240" t="str">
        <f>IF($B247="","",IF(COUNTIFS(Пул!$E$5:$E$300,$B247,Пул!$F$5:$F$300,"&lt;&gt;")=0,"",ROUND(SUMIFS(Пул!$F$5:$F$300,Пул!$E$5:$E$300,$B247),8)))</f>
        <v/>
      </c>
      <c r="D247" s="241" t="str">
        <f>IF($B247="","",IF(COUNTIFS(Пул!$E$5:$E$300,$B247,Пул!$G$5:$G$300,"&lt;&gt;")=0,"",ROUND(SUMIFS(Пул!$G$5:$G$300,Пул!$E$5:$E$300,$B247),8)))</f>
        <v/>
      </c>
      <c r="E247" s="240" t="str">
        <f>IF($B247="","",IF(COUNTIFS(Пул!$E$5:$E$300,$B247,Пул!$H$5:$H$300,"&lt;&gt;")=0,"",ROUND(SUMIFS(Пул!$H$5:$H$300,Пул!$E$5:$E$300,$B247),8)))</f>
        <v/>
      </c>
      <c r="F247" s="241" t="str">
        <f>IF($B247="","",IF(COUNTIFS(Пул!$E$5:$E$300,$B247,Пул!$I$5:$I$300,"&lt;&gt;")=0,"",ROUND(SUMIFS(Пул!$I$5:$I$300,Пул!$E$5:$E$300,$B247),8)))</f>
        <v/>
      </c>
      <c r="G247" s="240" t="str">
        <f>IF($B247="","",IF(COUNTIFS(Пул!$E$5:$E$300,$B247,Пул!$H$5:$H$300,"&lt;&gt;")=0,"",ROUND(SUMIFS(Пул!$J$5:$J$300,Пул!$E$5:$E$300,$B247),8)))</f>
        <v/>
      </c>
      <c r="H247" s="241" t="str">
        <f>IF($B247="","",IF(COUNTIFS(Пул!$E$5:$E$300,$B247,Пул!$I$5:$I$300,"&lt;&gt;")=0,"",ROUND(SUMIFS(Пул!$K$5:$K$300,Пул!$E$5:$E$300,$B247),8)))</f>
        <v/>
      </c>
      <c r="I247" s="236" t="str">
        <f>IF(AND(ISNUMBER(G247),ISNUMBER(H247)),IF(AND(G247&gt;0,H247&lt;0),"Buy",IF(AND(G247&lt;0,H247&gt;0),"Sell","")),"")</f>
        <v/>
      </c>
      <c r="J247" s="177" t="str">
        <f>IF(I247="Buy",G247,IF(I247="Sell",-G247,""))</f>
        <v/>
      </c>
      <c r="K247" s="177" t="str">
        <f>IF(AND(ISNUMBER(J247),ISNUMBER(L247),N(J247)&lt;&gt;0),ROUND(L247/J247,8),"")</f>
        <v/>
      </c>
      <c r="L247" s="177" t="str">
        <f>IF(I247="Buy",-H247,IF(I247="Sell",H247,""))</f>
        <v/>
      </c>
    </row>
    <row r="248" ht="22" customHeight="1">
      <c r="B248" s="245" t="n"/>
      <c r="C248" s="246" t="str">
        <f>IF($B248="","",IF(COUNTIFS(Пул!$E$5:$E$300,$B248,Пул!$F$5:$F$300,"&lt;&gt;")=0,"",ROUND(SUMIFS(Пул!$F$5:$F$300,Пул!$E$5:$E$300,$B248),8)))</f>
        <v/>
      </c>
      <c r="D248" s="247" t="str">
        <f>IF($B248="","",IF(COUNTIFS(Пул!$E$5:$E$300,$B248,Пул!$G$5:$G$300,"&lt;&gt;")=0,"",ROUND(SUMIFS(Пул!$G$5:$G$300,Пул!$E$5:$E$300,$B248),8)))</f>
        <v/>
      </c>
      <c r="E248" s="246" t="str">
        <f>IF($B248="","",IF(COUNTIFS(Пул!$E$5:$E$300,$B248,Пул!$H$5:$H$300,"&lt;&gt;")=0,"",ROUND(SUMIFS(Пул!$H$5:$H$300,Пул!$E$5:$E$300,$B248),8)))</f>
        <v/>
      </c>
      <c r="F248" s="247" t="str">
        <f>IF($B248="","",IF(COUNTIFS(Пул!$E$5:$E$300,$B248,Пул!$I$5:$I$300,"&lt;&gt;")=0,"",ROUND(SUMIFS(Пул!$I$5:$I$300,Пул!$E$5:$E$300,$B248),8)))</f>
        <v/>
      </c>
      <c r="G248" s="246" t="str">
        <f>IF($B248="","",IF(COUNTIFS(Пул!$E$5:$E$300,$B248,Пул!$H$5:$H$300,"&lt;&gt;")=0,"",ROUND(SUMIFS(Пул!$J$5:$J$300,Пул!$E$5:$E$300,$B248),8)))</f>
        <v/>
      </c>
      <c r="H248" s="247" t="str">
        <f>IF($B248="","",IF(COUNTIFS(Пул!$E$5:$E$300,$B248,Пул!$I$5:$I$300,"&lt;&gt;")=0,"",ROUND(SUMIFS(Пул!$K$5:$K$300,Пул!$E$5:$E$300,$B248),8)))</f>
        <v/>
      </c>
      <c r="I248" s="242" t="str">
        <f>IF(AND(ISNUMBER(G248),ISNUMBER(H248)),IF(AND(G248&gt;0,H248&lt;0),"Buy",IF(AND(G248&lt;0,H248&gt;0),"Sell","")),"")</f>
        <v/>
      </c>
      <c r="J248" s="183" t="str">
        <f>IF(I248="Buy",G248,IF(I248="Sell",-G248,""))</f>
        <v/>
      </c>
      <c r="K248" s="183" t="str">
        <f>IF(AND(ISNUMBER(J248),ISNUMBER(L248),N(J248)&lt;&gt;0),ROUND(L248/J248,8),"")</f>
        <v/>
      </c>
      <c r="L248" s="183" t="str">
        <f>IF(I248="Buy",-H248,IF(I248="Sell",H248,""))</f>
        <v/>
      </c>
    </row>
    <row r="249" ht="22" customHeight="1">
      <c r="B249" s="239" t="n"/>
      <c r="C249" s="240" t="str">
        <f>IF($B249="","",IF(COUNTIFS(Пул!$E$5:$E$300,$B249,Пул!$F$5:$F$300,"&lt;&gt;")=0,"",ROUND(SUMIFS(Пул!$F$5:$F$300,Пул!$E$5:$E$300,$B249),8)))</f>
        <v/>
      </c>
      <c r="D249" s="241" t="str">
        <f>IF($B249="","",IF(COUNTIFS(Пул!$E$5:$E$300,$B249,Пул!$G$5:$G$300,"&lt;&gt;")=0,"",ROUND(SUMIFS(Пул!$G$5:$G$300,Пул!$E$5:$E$300,$B249),8)))</f>
        <v/>
      </c>
      <c r="E249" s="240" t="str">
        <f>IF($B249="","",IF(COUNTIFS(Пул!$E$5:$E$300,$B249,Пул!$H$5:$H$300,"&lt;&gt;")=0,"",ROUND(SUMIFS(Пул!$H$5:$H$300,Пул!$E$5:$E$300,$B249),8)))</f>
        <v/>
      </c>
      <c r="F249" s="241" t="str">
        <f>IF($B249="","",IF(COUNTIFS(Пул!$E$5:$E$300,$B249,Пул!$I$5:$I$300,"&lt;&gt;")=0,"",ROUND(SUMIFS(Пул!$I$5:$I$300,Пул!$E$5:$E$300,$B249),8)))</f>
        <v/>
      </c>
      <c r="G249" s="240" t="str">
        <f>IF($B249="","",IF(COUNTIFS(Пул!$E$5:$E$300,$B249,Пул!$H$5:$H$300,"&lt;&gt;")=0,"",ROUND(SUMIFS(Пул!$J$5:$J$300,Пул!$E$5:$E$300,$B249),8)))</f>
        <v/>
      </c>
      <c r="H249" s="241" t="str">
        <f>IF($B249="","",IF(COUNTIFS(Пул!$E$5:$E$300,$B249,Пул!$I$5:$I$300,"&lt;&gt;")=0,"",ROUND(SUMIFS(Пул!$K$5:$K$300,Пул!$E$5:$E$300,$B249),8)))</f>
        <v/>
      </c>
      <c r="I249" s="236" t="str">
        <f>IF(AND(ISNUMBER(G249),ISNUMBER(H249)),IF(AND(G249&gt;0,H249&lt;0),"Buy",IF(AND(G249&lt;0,H249&gt;0),"Sell","")),"")</f>
        <v/>
      </c>
      <c r="J249" s="177" t="str">
        <f>IF(I249="Buy",G249,IF(I249="Sell",-G249,""))</f>
        <v/>
      </c>
      <c r="K249" s="177" t="str">
        <f>IF(AND(ISNUMBER(J249),ISNUMBER(L249),N(J249)&lt;&gt;0),ROUND(L249/J249,8),"")</f>
        <v/>
      </c>
      <c r="L249" s="177" t="str">
        <f>IF(I249="Buy",-H249,IF(I249="Sell",H249,""))</f>
        <v/>
      </c>
    </row>
    <row r="250" ht="22" customHeight="1">
      <c r="B250" s="245" t="n"/>
      <c r="C250" s="246" t="str">
        <f>IF($B250="","",IF(COUNTIFS(Пул!$E$5:$E$300,$B250,Пул!$F$5:$F$300,"&lt;&gt;")=0,"",ROUND(SUMIFS(Пул!$F$5:$F$300,Пул!$E$5:$E$300,$B250),8)))</f>
        <v/>
      </c>
      <c r="D250" s="247" t="str">
        <f>IF($B250="","",IF(COUNTIFS(Пул!$E$5:$E$300,$B250,Пул!$G$5:$G$300,"&lt;&gt;")=0,"",ROUND(SUMIFS(Пул!$G$5:$G$300,Пул!$E$5:$E$300,$B250),8)))</f>
        <v/>
      </c>
      <c r="E250" s="246" t="str">
        <f>IF($B250="","",IF(COUNTIFS(Пул!$E$5:$E$300,$B250,Пул!$H$5:$H$300,"&lt;&gt;")=0,"",ROUND(SUMIFS(Пул!$H$5:$H$300,Пул!$E$5:$E$300,$B250),8)))</f>
        <v/>
      </c>
      <c r="F250" s="247" t="str">
        <f>IF($B250="","",IF(COUNTIFS(Пул!$E$5:$E$300,$B250,Пул!$I$5:$I$300,"&lt;&gt;")=0,"",ROUND(SUMIFS(Пул!$I$5:$I$300,Пул!$E$5:$E$300,$B250),8)))</f>
        <v/>
      </c>
      <c r="G250" s="246" t="str">
        <f>IF($B250="","",IF(COUNTIFS(Пул!$E$5:$E$300,$B250,Пул!$H$5:$H$300,"&lt;&gt;")=0,"",ROUND(SUMIFS(Пул!$J$5:$J$300,Пул!$E$5:$E$300,$B250),8)))</f>
        <v/>
      </c>
      <c r="H250" s="247" t="str">
        <f>IF($B250="","",IF(COUNTIFS(Пул!$E$5:$E$300,$B250,Пул!$I$5:$I$300,"&lt;&gt;")=0,"",ROUND(SUMIFS(Пул!$K$5:$K$300,Пул!$E$5:$E$300,$B250),8)))</f>
        <v/>
      </c>
      <c r="I250" s="242" t="str">
        <f>IF(AND(ISNUMBER(G250),ISNUMBER(H250)),IF(AND(G250&gt;0,H250&lt;0),"Buy",IF(AND(G250&lt;0,H250&gt;0),"Sell","")),"")</f>
        <v/>
      </c>
      <c r="J250" s="183" t="str">
        <f>IF(I250="Buy",G250,IF(I250="Sell",-G250,""))</f>
        <v/>
      </c>
      <c r="K250" s="183" t="str">
        <f>IF(AND(ISNUMBER(J250),ISNUMBER(L250),N(J250)&lt;&gt;0),ROUND(L250/J250,8),"")</f>
        <v/>
      </c>
      <c r="L250" s="183" t="str">
        <f>IF(I250="Buy",-H250,IF(I250="Sell",H250,""))</f>
        <v/>
      </c>
    </row>
    <row r="251" ht="22" customHeight="1">
      <c r="B251" s="239" t="n"/>
      <c r="C251" s="240" t="str">
        <f>IF($B251="","",IF(COUNTIFS(Пул!$E$5:$E$300,$B251,Пул!$F$5:$F$300,"&lt;&gt;")=0,"",ROUND(SUMIFS(Пул!$F$5:$F$300,Пул!$E$5:$E$300,$B251),8)))</f>
        <v/>
      </c>
      <c r="D251" s="241" t="str">
        <f>IF($B251="","",IF(COUNTIFS(Пул!$E$5:$E$300,$B251,Пул!$G$5:$G$300,"&lt;&gt;")=0,"",ROUND(SUMIFS(Пул!$G$5:$G$300,Пул!$E$5:$E$300,$B251),8)))</f>
        <v/>
      </c>
      <c r="E251" s="240" t="str">
        <f>IF($B251="","",IF(COUNTIFS(Пул!$E$5:$E$300,$B251,Пул!$H$5:$H$300,"&lt;&gt;")=0,"",ROUND(SUMIFS(Пул!$H$5:$H$300,Пул!$E$5:$E$300,$B251),8)))</f>
        <v/>
      </c>
      <c r="F251" s="241" t="str">
        <f>IF($B251="","",IF(COUNTIFS(Пул!$E$5:$E$300,$B251,Пул!$I$5:$I$300,"&lt;&gt;")=0,"",ROUND(SUMIFS(Пул!$I$5:$I$300,Пул!$E$5:$E$300,$B251),8)))</f>
        <v/>
      </c>
      <c r="G251" s="240" t="str">
        <f>IF($B251="","",IF(COUNTIFS(Пул!$E$5:$E$300,$B251,Пул!$H$5:$H$300,"&lt;&gt;")=0,"",ROUND(SUMIFS(Пул!$J$5:$J$300,Пул!$E$5:$E$300,$B251),8)))</f>
        <v/>
      </c>
      <c r="H251" s="241" t="str">
        <f>IF($B251="","",IF(COUNTIFS(Пул!$E$5:$E$300,$B251,Пул!$I$5:$I$300,"&lt;&gt;")=0,"",ROUND(SUMIFS(Пул!$K$5:$K$300,Пул!$E$5:$E$300,$B251),8)))</f>
        <v/>
      </c>
      <c r="I251" s="236" t="str">
        <f>IF(AND(ISNUMBER(G251),ISNUMBER(H251)),IF(AND(G251&gt;0,H251&lt;0),"Buy",IF(AND(G251&lt;0,H251&gt;0),"Sell","")),"")</f>
        <v/>
      </c>
      <c r="J251" s="177" t="str">
        <f>IF(I251="Buy",G251,IF(I251="Sell",-G251,""))</f>
        <v/>
      </c>
      <c r="K251" s="177" t="str">
        <f>IF(AND(ISNUMBER(J251),ISNUMBER(L251),N(J251)&lt;&gt;0),ROUND(L251/J251,8),"")</f>
        <v/>
      </c>
      <c r="L251" s="177" t="str">
        <f>IF(I251="Buy",-H251,IF(I251="Sell",H251,""))</f>
        <v/>
      </c>
    </row>
    <row r="252" ht="22" customHeight="1">
      <c r="B252" s="245" t="n"/>
      <c r="C252" s="246" t="str">
        <f>IF($B252="","",IF(COUNTIFS(Пул!$E$5:$E$300,$B252,Пул!$F$5:$F$300,"&lt;&gt;")=0,"",ROUND(SUMIFS(Пул!$F$5:$F$300,Пул!$E$5:$E$300,$B252),8)))</f>
        <v/>
      </c>
      <c r="D252" s="247" t="str">
        <f>IF($B252="","",IF(COUNTIFS(Пул!$E$5:$E$300,$B252,Пул!$G$5:$G$300,"&lt;&gt;")=0,"",ROUND(SUMIFS(Пул!$G$5:$G$300,Пул!$E$5:$E$300,$B252),8)))</f>
        <v/>
      </c>
      <c r="E252" s="246" t="str">
        <f>IF($B252="","",IF(COUNTIFS(Пул!$E$5:$E$300,$B252,Пул!$H$5:$H$300,"&lt;&gt;")=0,"",ROUND(SUMIFS(Пул!$H$5:$H$300,Пул!$E$5:$E$300,$B252),8)))</f>
        <v/>
      </c>
      <c r="F252" s="247" t="str">
        <f>IF($B252="","",IF(COUNTIFS(Пул!$E$5:$E$300,$B252,Пул!$I$5:$I$300,"&lt;&gt;")=0,"",ROUND(SUMIFS(Пул!$I$5:$I$300,Пул!$E$5:$E$300,$B252),8)))</f>
        <v/>
      </c>
      <c r="G252" s="246" t="str">
        <f>IF($B252="","",IF(COUNTIFS(Пул!$E$5:$E$300,$B252,Пул!$H$5:$H$300,"&lt;&gt;")=0,"",ROUND(SUMIFS(Пул!$J$5:$J$300,Пул!$E$5:$E$300,$B252),8)))</f>
        <v/>
      </c>
      <c r="H252" s="247" t="str">
        <f>IF($B252="","",IF(COUNTIFS(Пул!$E$5:$E$300,$B252,Пул!$I$5:$I$300,"&lt;&gt;")=0,"",ROUND(SUMIFS(Пул!$K$5:$K$300,Пул!$E$5:$E$300,$B252),8)))</f>
        <v/>
      </c>
      <c r="I252" s="242" t="str">
        <f>IF(AND(ISNUMBER(G252),ISNUMBER(H252)),IF(AND(G252&gt;0,H252&lt;0),"Buy",IF(AND(G252&lt;0,H252&gt;0),"Sell","")),"")</f>
        <v/>
      </c>
      <c r="J252" s="183" t="str">
        <f>IF(I252="Buy",G252,IF(I252="Sell",-G252,""))</f>
        <v/>
      </c>
      <c r="K252" s="183" t="str">
        <f>IF(AND(ISNUMBER(J252),ISNUMBER(L252),N(J252)&lt;&gt;0),ROUND(L252/J252,8),"")</f>
        <v/>
      </c>
      <c r="L252" s="183" t="str">
        <f>IF(I252="Buy",-H252,IF(I252="Sell",H252,""))</f>
        <v/>
      </c>
    </row>
    <row r="253" ht="22" customHeight="1">
      <c r="B253" s="239" t="n"/>
      <c r="C253" s="240" t="str">
        <f>IF($B253="","",IF(COUNTIFS(Пул!$E$5:$E$300,$B253,Пул!$F$5:$F$300,"&lt;&gt;")=0,"",ROUND(SUMIFS(Пул!$F$5:$F$300,Пул!$E$5:$E$300,$B253),8)))</f>
        <v/>
      </c>
      <c r="D253" s="241" t="str">
        <f>IF($B253="","",IF(COUNTIFS(Пул!$E$5:$E$300,$B253,Пул!$G$5:$G$300,"&lt;&gt;")=0,"",ROUND(SUMIFS(Пул!$G$5:$G$300,Пул!$E$5:$E$300,$B253),8)))</f>
        <v/>
      </c>
      <c r="E253" s="240" t="str">
        <f>IF($B253="","",IF(COUNTIFS(Пул!$E$5:$E$300,$B253,Пул!$H$5:$H$300,"&lt;&gt;")=0,"",ROUND(SUMIFS(Пул!$H$5:$H$300,Пул!$E$5:$E$300,$B253),8)))</f>
        <v/>
      </c>
      <c r="F253" s="241" t="str">
        <f>IF($B253="","",IF(COUNTIFS(Пул!$E$5:$E$300,$B253,Пул!$I$5:$I$300,"&lt;&gt;")=0,"",ROUND(SUMIFS(Пул!$I$5:$I$300,Пул!$E$5:$E$300,$B253),8)))</f>
        <v/>
      </c>
      <c r="G253" s="240" t="str">
        <f>IF($B253="","",IF(COUNTIFS(Пул!$E$5:$E$300,$B253,Пул!$H$5:$H$300,"&lt;&gt;")=0,"",ROUND(SUMIFS(Пул!$J$5:$J$300,Пул!$E$5:$E$300,$B253),8)))</f>
        <v/>
      </c>
      <c r="H253" s="241" t="str">
        <f>IF($B253="","",IF(COUNTIFS(Пул!$E$5:$E$300,$B253,Пул!$I$5:$I$300,"&lt;&gt;")=0,"",ROUND(SUMIFS(Пул!$K$5:$K$300,Пул!$E$5:$E$300,$B253),8)))</f>
        <v/>
      </c>
      <c r="I253" s="236" t="str">
        <f>IF(AND(ISNUMBER(G253),ISNUMBER(H253)),IF(AND(G253&gt;0,H253&lt;0),"Buy",IF(AND(G253&lt;0,H253&gt;0),"Sell","")),"")</f>
        <v/>
      </c>
      <c r="J253" s="177" t="str">
        <f>IF(I253="Buy",G253,IF(I253="Sell",-G253,""))</f>
        <v/>
      </c>
      <c r="K253" s="177" t="str">
        <f>IF(AND(ISNUMBER(J253),ISNUMBER(L253),N(J253)&lt;&gt;0),ROUND(L253/J253,8),"")</f>
        <v/>
      </c>
      <c r="L253" s="177" t="str">
        <f>IF(I253="Buy",-H253,IF(I253="Sell",H253,""))</f>
        <v/>
      </c>
    </row>
    <row r="254" ht="22" customHeight="1">
      <c r="B254" s="245" t="n"/>
      <c r="C254" s="246" t="str">
        <f>IF($B254="","",IF(COUNTIFS(Пул!$E$5:$E$300,$B254,Пул!$F$5:$F$300,"&lt;&gt;")=0,"",ROUND(SUMIFS(Пул!$F$5:$F$300,Пул!$E$5:$E$300,$B254),8)))</f>
        <v/>
      </c>
      <c r="D254" s="247" t="str">
        <f>IF($B254="","",IF(COUNTIFS(Пул!$E$5:$E$300,$B254,Пул!$G$5:$G$300,"&lt;&gt;")=0,"",ROUND(SUMIFS(Пул!$G$5:$G$300,Пул!$E$5:$E$300,$B254),8)))</f>
        <v/>
      </c>
      <c r="E254" s="246" t="str">
        <f>IF($B254="","",IF(COUNTIFS(Пул!$E$5:$E$300,$B254,Пул!$H$5:$H$300,"&lt;&gt;")=0,"",ROUND(SUMIFS(Пул!$H$5:$H$300,Пул!$E$5:$E$300,$B254),8)))</f>
        <v/>
      </c>
      <c r="F254" s="247" t="str">
        <f>IF($B254="","",IF(COUNTIFS(Пул!$E$5:$E$300,$B254,Пул!$I$5:$I$300,"&lt;&gt;")=0,"",ROUND(SUMIFS(Пул!$I$5:$I$300,Пул!$E$5:$E$300,$B254),8)))</f>
        <v/>
      </c>
      <c r="G254" s="246" t="str">
        <f>IF($B254="","",IF(COUNTIFS(Пул!$E$5:$E$300,$B254,Пул!$H$5:$H$300,"&lt;&gt;")=0,"",ROUND(SUMIFS(Пул!$J$5:$J$300,Пул!$E$5:$E$300,$B254),8)))</f>
        <v/>
      </c>
      <c r="H254" s="247" t="str">
        <f>IF($B254="","",IF(COUNTIFS(Пул!$E$5:$E$300,$B254,Пул!$I$5:$I$300,"&lt;&gt;")=0,"",ROUND(SUMIFS(Пул!$K$5:$K$300,Пул!$E$5:$E$300,$B254),8)))</f>
        <v/>
      </c>
      <c r="I254" s="242" t="str">
        <f>IF(AND(ISNUMBER(G254),ISNUMBER(H254)),IF(AND(G254&gt;0,H254&lt;0),"Buy",IF(AND(G254&lt;0,H254&gt;0),"Sell","")),"")</f>
        <v/>
      </c>
      <c r="J254" s="183" t="str">
        <f>IF(I254="Buy",G254,IF(I254="Sell",-G254,""))</f>
        <v/>
      </c>
      <c r="K254" s="183" t="str">
        <f>IF(AND(ISNUMBER(J254),ISNUMBER(L254),N(J254)&lt;&gt;0),ROUND(L254/J254,8),"")</f>
        <v/>
      </c>
      <c r="L254" s="183" t="str">
        <f>IF(I254="Buy",-H254,IF(I254="Sell",H254,""))</f>
        <v/>
      </c>
    </row>
    <row r="255" ht="22" customHeight="1">
      <c r="B255" s="239" t="n"/>
      <c r="C255" s="240" t="str">
        <f>IF($B255="","",IF(COUNTIFS(Пул!$E$5:$E$300,$B255,Пул!$F$5:$F$300,"&lt;&gt;")=0,"",ROUND(SUMIFS(Пул!$F$5:$F$300,Пул!$E$5:$E$300,$B255),8)))</f>
        <v/>
      </c>
      <c r="D255" s="241" t="str">
        <f>IF($B255="","",IF(COUNTIFS(Пул!$E$5:$E$300,$B255,Пул!$G$5:$G$300,"&lt;&gt;")=0,"",ROUND(SUMIFS(Пул!$G$5:$G$300,Пул!$E$5:$E$300,$B255),8)))</f>
        <v/>
      </c>
      <c r="E255" s="240" t="str">
        <f>IF($B255="","",IF(COUNTIFS(Пул!$E$5:$E$300,$B255,Пул!$H$5:$H$300,"&lt;&gt;")=0,"",ROUND(SUMIFS(Пул!$H$5:$H$300,Пул!$E$5:$E$300,$B255),8)))</f>
        <v/>
      </c>
      <c r="F255" s="241" t="str">
        <f>IF($B255="","",IF(COUNTIFS(Пул!$E$5:$E$300,$B255,Пул!$I$5:$I$300,"&lt;&gt;")=0,"",ROUND(SUMIFS(Пул!$I$5:$I$300,Пул!$E$5:$E$300,$B255),8)))</f>
        <v/>
      </c>
      <c r="G255" s="240" t="str">
        <f>IF($B255="","",IF(COUNTIFS(Пул!$E$5:$E$300,$B255,Пул!$H$5:$H$300,"&lt;&gt;")=0,"",ROUND(SUMIFS(Пул!$J$5:$J$300,Пул!$E$5:$E$300,$B255),8)))</f>
        <v/>
      </c>
      <c r="H255" s="241" t="str">
        <f>IF($B255="","",IF(COUNTIFS(Пул!$E$5:$E$300,$B255,Пул!$I$5:$I$300,"&lt;&gt;")=0,"",ROUND(SUMIFS(Пул!$K$5:$K$300,Пул!$E$5:$E$300,$B255),8)))</f>
        <v/>
      </c>
      <c r="I255" s="236" t="str">
        <f>IF(AND(ISNUMBER(G255),ISNUMBER(H255)),IF(AND(G255&gt;0,H255&lt;0),"Buy",IF(AND(G255&lt;0,H255&gt;0),"Sell","")),"")</f>
        <v/>
      </c>
      <c r="J255" s="177" t="str">
        <f>IF(I255="Buy",G255,IF(I255="Sell",-G255,""))</f>
        <v/>
      </c>
      <c r="K255" s="177" t="str">
        <f>IF(AND(ISNUMBER(J255),ISNUMBER(L255),N(J255)&lt;&gt;0),ROUND(L255/J255,8),"")</f>
        <v/>
      </c>
      <c r="L255" s="177" t="str">
        <f>IF(I255="Buy",-H255,IF(I255="Sell",H255,""))</f>
        <v/>
      </c>
    </row>
    <row r="256" ht="22" customHeight="1">
      <c r="B256" s="245" t="n"/>
      <c r="C256" s="246" t="str">
        <f>IF($B256="","",IF(COUNTIFS(Пул!$E$5:$E$300,$B256,Пул!$F$5:$F$300,"&lt;&gt;")=0,"",ROUND(SUMIFS(Пул!$F$5:$F$300,Пул!$E$5:$E$300,$B256),8)))</f>
        <v/>
      </c>
      <c r="D256" s="247" t="str">
        <f>IF($B256="","",IF(COUNTIFS(Пул!$E$5:$E$300,$B256,Пул!$G$5:$G$300,"&lt;&gt;")=0,"",ROUND(SUMIFS(Пул!$G$5:$G$300,Пул!$E$5:$E$300,$B256),8)))</f>
        <v/>
      </c>
      <c r="E256" s="246" t="str">
        <f>IF($B256="","",IF(COUNTIFS(Пул!$E$5:$E$300,$B256,Пул!$H$5:$H$300,"&lt;&gt;")=0,"",ROUND(SUMIFS(Пул!$H$5:$H$300,Пул!$E$5:$E$300,$B256),8)))</f>
        <v/>
      </c>
      <c r="F256" s="247" t="str">
        <f>IF($B256="","",IF(COUNTIFS(Пул!$E$5:$E$300,$B256,Пул!$I$5:$I$300,"&lt;&gt;")=0,"",ROUND(SUMIFS(Пул!$I$5:$I$300,Пул!$E$5:$E$300,$B256),8)))</f>
        <v/>
      </c>
      <c r="G256" s="246" t="str">
        <f>IF($B256="","",IF(COUNTIFS(Пул!$E$5:$E$300,$B256,Пул!$H$5:$H$300,"&lt;&gt;")=0,"",ROUND(SUMIFS(Пул!$J$5:$J$300,Пул!$E$5:$E$300,$B256),8)))</f>
        <v/>
      </c>
      <c r="H256" s="247" t="str">
        <f>IF($B256="","",IF(COUNTIFS(Пул!$E$5:$E$300,$B256,Пул!$I$5:$I$300,"&lt;&gt;")=0,"",ROUND(SUMIFS(Пул!$K$5:$K$300,Пул!$E$5:$E$300,$B256),8)))</f>
        <v/>
      </c>
      <c r="I256" s="242" t="str">
        <f>IF(AND(ISNUMBER(G256),ISNUMBER(H256)),IF(AND(G256&gt;0,H256&lt;0),"Buy",IF(AND(G256&lt;0,H256&gt;0),"Sell","")),"")</f>
        <v/>
      </c>
      <c r="J256" s="183" t="str">
        <f>IF(I256="Buy",G256,IF(I256="Sell",-G256,""))</f>
        <v/>
      </c>
      <c r="K256" s="183" t="str">
        <f>IF(AND(ISNUMBER(J256),ISNUMBER(L256),N(J256)&lt;&gt;0),ROUND(L256/J256,8),"")</f>
        <v/>
      </c>
      <c r="L256" s="183" t="str">
        <f>IF(I256="Buy",-H256,IF(I256="Sell",H256,""))</f>
        <v/>
      </c>
    </row>
    <row r="257" ht="22" customHeight="1">
      <c r="B257" s="239" t="n"/>
      <c r="C257" s="240" t="str">
        <f>IF($B257="","",IF(COUNTIFS(Пул!$E$5:$E$300,$B257,Пул!$F$5:$F$300,"&lt;&gt;")=0,"",ROUND(SUMIFS(Пул!$F$5:$F$300,Пул!$E$5:$E$300,$B257),8)))</f>
        <v/>
      </c>
      <c r="D257" s="241" t="str">
        <f>IF($B257="","",IF(COUNTIFS(Пул!$E$5:$E$300,$B257,Пул!$G$5:$G$300,"&lt;&gt;")=0,"",ROUND(SUMIFS(Пул!$G$5:$G$300,Пул!$E$5:$E$300,$B257),8)))</f>
        <v/>
      </c>
      <c r="E257" s="240" t="str">
        <f>IF($B257="","",IF(COUNTIFS(Пул!$E$5:$E$300,$B257,Пул!$H$5:$H$300,"&lt;&gt;")=0,"",ROUND(SUMIFS(Пул!$H$5:$H$300,Пул!$E$5:$E$300,$B257),8)))</f>
        <v/>
      </c>
      <c r="F257" s="241" t="str">
        <f>IF($B257="","",IF(COUNTIFS(Пул!$E$5:$E$300,$B257,Пул!$I$5:$I$300,"&lt;&gt;")=0,"",ROUND(SUMIFS(Пул!$I$5:$I$300,Пул!$E$5:$E$300,$B257),8)))</f>
        <v/>
      </c>
      <c r="G257" s="240" t="str">
        <f>IF($B257="","",IF(COUNTIFS(Пул!$E$5:$E$300,$B257,Пул!$H$5:$H$300,"&lt;&gt;")=0,"",ROUND(SUMIFS(Пул!$J$5:$J$300,Пул!$E$5:$E$300,$B257),8)))</f>
        <v/>
      </c>
      <c r="H257" s="241" t="str">
        <f>IF($B257="","",IF(COUNTIFS(Пул!$E$5:$E$300,$B257,Пул!$I$5:$I$300,"&lt;&gt;")=0,"",ROUND(SUMIFS(Пул!$K$5:$K$300,Пул!$E$5:$E$300,$B257),8)))</f>
        <v/>
      </c>
      <c r="I257" s="236" t="str">
        <f>IF(AND(ISNUMBER(G257),ISNUMBER(H257)),IF(AND(G257&gt;0,H257&lt;0),"Buy",IF(AND(G257&lt;0,H257&gt;0),"Sell","")),"")</f>
        <v/>
      </c>
      <c r="J257" s="177" t="str">
        <f>IF(I257="Buy",G257,IF(I257="Sell",-G257,""))</f>
        <v/>
      </c>
      <c r="K257" s="177" t="str">
        <f>IF(AND(ISNUMBER(J257),ISNUMBER(L257),N(J257)&lt;&gt;0),ROUND(L257/J257,8),"")</f>
        <v/>
      </c>
      <c r="L257" s="177" t="str">
        <f>IF(I257="Buy",-H257,IF(I257="Sell",H257,""))</f>
        <v/>
      </c>
    </row>
    <row r="258" ht="22" customHeight="1">
      <c r="B258" s="245" t="n"/>
      <c r="C258" s="246" t="str">
        <f>IF($B258="","",IF(COUNTIFS(Пул!$E$5:$E$300,$B258,Пул!$F$5:$F$300,"&lt;&gt;")=0,"",ROUND(SUMIFS(Пул!$F$5:$F$300,Пул!$E$5:$E$300,$B258),8)))</f>
        <v/>
      </c>
      <c r="D258" s="247" t="str">
        <f>IF($B258="","",IF(COUNTIFS(Пул!$E$5:$E$300,$B258,Пул!$G$5:$G$300,"&lt;&gt;")=0,"",ROUND(SUMIFS(Пул!$G$5:$G$300,Пул!$E$5:$E$300,$B258),8)))</f>
        <v/>
      </c>
      <c r="E258" s="246" t="str">
        <f>IF($B258="","",IF(COUNTIFS(Пул!$E$5:$E$300,$B258,Пул!$H$5:$H$300,"&lt;&gt;")=0,"",ROUND(SUMIFS(Пул!$H$5:$H$300,Пул!$E$5:$E$300,$B258),8)))</f>
        <v/>
      </c>
      <c r="F258" s="247" t="str">
        <f>IF($B258="","",IF(COUNTIFS(Пул!$E$5:$E$300,$B258,Пул!$I$5:$I$300,"&lt;&gt;")=0,"",ROUND(SUMIFS(Пул!$I$5:$I$300,Пул!$E$5:$E$300,$B258),8)))</f>
        <v/>
      </c>
      <c r="G258" s="246" t="str">
        <f>IF($B258="","",IF(COUNTIFS(Пул!$E$5:$E$300,$B258,Пул!$H$5:$H$300,"&lt;&gt;")=0,"",ROUND(SUMIFS(Пул!$J$5:$J$300,Пул!$E$5:$E$300,$B258),8)))</f>
        <v/>
      </c>
      <c r="H258" s="247" t="str">
        <f>IF($B258="","",IF(COUNTIFS(Пул!$E$5:$E$300,$B258,Пул!$I$5:$I$300,"&lt;&gt;")=0,"",ROUND(SUMIFS(Пул!$K$5:$K$300,Пул!$E$5:$E$300,$B258),8)))</f>
        <v/>
      </c>
      <c r="I258" s="242" t="str">
        <f>IF(AND(ISNUMBER(G258),ISNUMBER(H258)),IF(AND(G258&gt;0,H258&lt;0),"Buy",IF(AND(G258&lt;0,H258&gt;0),"Sell","")),"")</f>
        <v/>
      </c>
      <c r="J258" s="183" t="str">
        <f>IF(I258="Buy",G258,IF(I258="Sell",-G258,""))</f>
        <v/>
      </c>
      <c r="K258" s="183" t="str">
        <f>IF(AND(ISNUMBER(J258),ISNUMBER(L258),N(J258)&lt;&gt;0),ROUND(L258/J258,8),"")</f>
        <v/>
      </c>
      <c r="L258" s="183" t="str">
        <f>IF(I258="Buy",-H258,IF(I258="Sell",H258,""))</f>
        <v/>
      </c>
    </row>
    <row r="259" ht="22" customHeight="1">
      <c r="B259" s="239" t="n"/>
      <c r="C259" s="240" t="str">
        <f>IF($B259="","",IF(COUNTIFS(Пул!$E$5:$E$300,$B259,Пул!$F$5:$F$300,"&lt;&gt;")=0,"",ROUND(SUMIFS(Пул!$F$5:$F$300,Пул!$E$5:$E$300,$B259),8)))</f>
        <v/>
      </c>
      <c r="D259" s="241" t="str">
        <f>IF($B259="","",IF(COUNTIFS(Пул!$E$5:$E$300,$B259,Пул!$G$5:$G$300,"&lt;&gt;")=0,"",ROUND(SUMIFS(Пул!$G$5:$G$300,Пул!$E$5:$E$300,$B259),8)))</f>
        <v/>
      </c>
      <c r="E259" s="240" t="str">
        <f>IF($B259="","",IF(COUNTIFS(Пул!$E$5:$E$300,$B259,Пул!$H$5:$H$300,"&lt;&gt;")=0,"",ROUND(SUMIFS(Пул!$H$5:$H$300,Пул!$E$5:$E$300,$B259),8)))</f>
        <v/>
      </c>
      <c r="F259" s="241" t="str">
        <f>IF($B259="","",IF(COUNTIFS(Пул!$E$5:$E$300,$B259,Пул!$I$5:$I$300,"&lt;&gt;")=0,"",ROUND(SUMIFS(Пул!$I$5:$I$300,Пул!$E$5:$E$300,$B259),8)))</f>
        <v/>
      </c>
      <c r="G259" s="240" t="str">
        <f>IF($B259="","",IF(COUNTIFS(Пул!$E$5:$E$300,$B259,Пул!$H$5:$H$300,"&lt;&gt;")=0,"",ROUND(SUMIFS(Пул!$J$5:$J$300,Пул!$E$5:$E$300,$B259),8)))</f>
        <v/>
      </c>
      <c r="H259" s="241" t="str">
        <f>IF($B259="","",IF(COUNTIFS(Пул!$E$5:$E$300,$B259,Пул!$I$5:$I$300,"&lt;&gt;")=0,"",ROUND(SUMIFS(Пул!$K$5:$K$300,Пул!$E$5:$E$300,$B259),8)))</f>
        <v/>
      </c>
      <c r="I259" s="236" t="str">
        <f>IF(AND(ISNUMBER(G259),ISNUMBER(H259)),IF(AND(G259&gt;0,H259&lt;0),"Buy",IF(AND(G259&lt;0,H259&gt;0),"Sell","")),"")</f>
        <v/>
      </c>
      <c r="J259" s="177" t="str">
        <f>IF(I259="Buy",G259,IF(I259="Sell",-G259,""))</f>
        <v/>
      </c>
      <c r="K259" s="177" t="str">
        <f>IF(AND(ISNUMBER(J259),ISNUMBER(L259),N(J259)&lt;&gt;0),ROUND(L259/J259,8),"")</f>
        <v/>
      </c>
      <c r="L259" s="177" t="str">
        <f>IF(I259="Buy",-H259,IF(I259="Sell",H259,""))</f>
        <v/>
      </c>
    </row>
    <row r="260" ht="22" customHeight="1">
      <c r="B260" s="245" t="n"/>
      <c r="C260" s="246" t="str">
        <f>IF($B260="","",IF(COUNTIFS(Пул!$E$5:$E$300,$B260,Пул!$F$5:$F$300,"&lt;&gt;")=0,"",ROUND(SUMIFS(Пул!$F$5:$F$300,Пул!$E$5:$E$300,$B260),8)))</f>
        <v/>
      </c>
      <c r="D260" s="247" t="str">
        <f>IF($B260="","",IF(COUNTIFS(Пул!$E$5:$E$300,$B260,Пул!$G$5:$G$300,"&lt;&gt;")=0,"",ROUND(SUMIFS(Пул!$G$5:$G$300,Пул!$E$5:$E$300,$B260),8)))</f>
        <v/>
      </c>
      <c r="E260" s="246" t="str">
        <f>IF($B260="","",IF(COUNTIFS(Пул!$E$5:$E$300,$B260,Пул!$H$5:$H$300,"&lt;&gt;")=0,"",ROUND(SUMIFS(Пул!$H$5:$H$300,Пул!$E$5:$E$300,$B260),8)))</f>
        <v/>
      </c>
      <c r="F260" s="247" t="str">
        <f>IF($B260="","",IF(COUNTIFS(Пул!$E$5:$E$300,$B260,Пул!$I$5:$I$300,"&lt;&gt;")=0,"",ROUND(SUMIFS(Пул!$I$5:$I$300,Пул!$E$5:$E$300,$B260),8)))</f>
        <v/>
      </c>
      <c r="G260" s="246" t="str">
        <f>IF($B260="","",IF(COUNTIFS(Пул!$E$5:$E$300,$B260,Пул!$H$5:$H$300,"&lt;&gt;")=0,"",ROUND(SUMIFS(Пул!$J$5:$J$300,Пул!$E$5:$E$300,$B260),8)))</f>
        <v/>
      </c>
      <c r="H260" s="247" t="str">
        <f>IF($B260="","",IF(COUNTIFS(Пул!$E$5:$E$300,$B260,Пул!$I$5:$I$300,"&lt;&gt;")=0,"",ROUND(SUMIFS(Пул!$K$5:$K$300,Пул!$E$5:$E$300,$B260),8)))</f>
        <v/>
      </c>
      <c r="I260" s="242" t="str">
        <f>IF(AND(ISNUMBER(G260),ISNUMBER(H260)),IF(AND(G260&gt;0,H260&lt;0),"Buy",IF(AND(G260&lt;0,H260&gt;0),"Sell","")),"")</f>
        <v/>
      </c>
      <c r="J260" s="183" t="str">
        <f>IF(I260="Buy",G260,IF(I260="Sell",-G260,""))</f>
        <v/>
      </c>
      <c r="K260" s="183" t="str">
        <f>IF(AND(ISNUMBER(J260),ISNUMBER(L260),N(J260)&lt;&gt;0),ROUND(L260/J260,8),"")</f>
        <v/>
      </c>
      <c r="L260" s="183" t="str">
        <f>IF(I260="Buy",-H260,IF(I260="Sell",H260,""))</f>
        <v/>
      </c>
    </row>
    <row r="261" ht="22" customHeight="1">
      <c r="B261" s="239" t="n"/>
      <c r="C261" s="240" t="str">
        <f>IF($B261="","",IF(COUNTIFS(Пул!$E$5:$E$300,$B261,Пул!$F$5:$F$300,"&lt;&gt;")=0,"",ROUND(SUMIFS(Пул!$F$5:$F$300,Пул!$E$5:$E$300,$B261),8)))</f>
        <v/>
      </c>
      <c r="D261" s="241" t="str">
        <f>IF($B261="","",IF(COUNTIFS(Пул!$E$5:$E$300,$B261,Пул!$G$5:$G$300,"&lt;&gt;")=0,"",ROUND(SUMIFS(Пул!$G$5:$G$300,Пул!$E$5:$E$300,$B261),8)))</f>
        <v/>
      </c>
      <c r="E261" s="240" t="str">
        <f>IF($B261="","",IF(COUNTIFS(Пул!$E$5:$E$300,$B261,Пул!$H$5:$H$300,"&lt;&gt;")=0,"",ROUND(SUMIFS(Пул!$H$5:$H$300,Пул!$E$5:$E$300,$B261),8)))</f>
        <v/>
      </c>
      <c r="F261" s="241" t="str">
        <f>IF($B261="","",IF(COUNTIFS(Пул!$E$5:$E$300,$B261,Пул!$I$5:$I$300,"&lt;&gt;")=0,"",ROUND(SUMIFS(Пул!$I$5:$I$300,Пул!$E$5:$E$300,$B261),8)))</f>
        <v/>
      </c>
      <c r="G261" s="240" t="str">
        <f>IF($B261="","",IF(COUNTIFS(Пул!$E$5:$E$300,$B261,Пул!$H$5:$H$300,"&lt;&gt;")=0,"",ROUND(SUMIFS(Пул!$J$5:$J$300,Пул!$E$5:$E$300,$B261),8)))</f>
        <v/>
      </c>
      <c r="H261" s="241" t="str">
        <f>IF($B261="","",IF(COUNTIFS(Пул!$E$5:$E$300,$B261,Пул!$I$5:$I$300,"&lt;&gt;")=0,"",ROUND(SUMIFS(Пул!$K$5:$K$300,Пул!$E$5:$E$300,$B261),8)))</f>
        <v/>
      </c>
      <c r="I261" s="236" t="str">
        <f>IF(AND(ISNUMBER(G261),ISNUMBER(H261)),IF(AND(G261&gt;0,H261&lt;0),"Buy",IF(AND(G261&lt;0,H261&gt;0),"Sell","")),"")</f>
        <v/>
      </c>
      <c r="J261" s="177" t="str">
        <f>IF(I261="Buy",G261,IF(I261="Sell",-G261,""))</f>
        <v/>
      </c>
      <c r="K261" s="177" t="str">
        <f>IF(AND(ISNUMBER(J261),ISNUMBER(L261),N(J261)&lt;&gt;0),ROUND(L261/J261,8),"")</f>
        <v/>
      </c>
      <c r="L261" s="177" t="str">
        <f>IF(I261="Buy",-H261,IF(I261="Sell",H261,""))</f>
        <v/>
      </c>
    </row>
    <row r="262" ht="22" customHeight="1">
      <c r="B262" s="245" t="n"/>
      <c r="C262" s="246" t="str">
        <f>IF($B262="","",IF(COUNTIFS(Пул!$E$5:$E$300,$B262,Пул!$F$5:$F$300,"&lt;&gt;")=0,"",ROUND(SUMIFS(Пул!$F$5:$F$300,Пул!$E$5:$E$300,$B262),8)))</f>
        <v/>
      </c>
      <c r="D262" s="247" t="str">
        <f>IF($B262="","",IF(COUNTIFS(Пул!$E$5:$E$300,$B262,Пул!$G$5:$G$300,"&lt;&gt;")=0,"",ROUND(SUMIFS(Пул!$G$5:$G$300,Пул!$E$5:$E$300,$B262),8)))</f>
        <v/>
      </c>
      <c r="E262" s="246" t="str">
        <f>IF($B262="","",IF(COUNTIFS(Пул!$E$5:$E$300,$B262,Пул!$H$5:$H$300,"&lt;&gt;")=0,"",ROUND(SUMIFS(Пул!$H$5:$H$300,Пул!$E$5:$E$300,$B262),8)))</f>
        <v/>
      </c>
      <c r="F262" s="247" t="str">
        <f>IF($B262="","",IF(COUNTIFS(Пул!$E$5:$E$300,$B262,Пул!$I$5:$I$300,"&lt;&gt;")=0,"",ROUND(SUMIFS(Пул!$I$5:$I$300,Пул!$E$5:$E$300,$B262),8)))</f>
        <v/>
      </c>
      <c r="G262" s="246" t="str">
        <f>IF($B262="","",IF(COUNTIFS(Пул!$E$5:$E$300,$B262,Пул!$H$5:$H$300,"&lt;&gt;")=0,"",ROUND(SUMIFS(Пул!$J$5:$J$300,Пул!$E$5:$E$300,$B262),8)))</f>
        <v/>
      </c>
      <c r="H262" s="247" t="str">
        <f>IF($B262="","",IF(COUNTIFS(Пул!$E$5:$E$300,$B262,Пул!$I$5:$I$300,"&lt;&gt;")=0,"",ROUND(SUMIFS(Пул!$K$5:$K$300,Пул!$E$5:$E$300,$B262),8)))</f>
        <v/>
      </c>
      <c r="I262" s="242" t="str">
        <f>IF(AND(ISNUMBER(G262),ISNUMBER(H262)),IF(AND(G262&gt;0,H262&lt;0),"Buy",IF(AND(G262&lt;0,H262&gt;0),"Sell","")),"")</f>
        <v/>
      </c>
      <c r="J262" s="183" t="str">
        <f>IF(I262="Buy",G262,IF(I262="Sell",-G262,""))</f>
        <v/>
      </c>
      <c r="K262" s="183" t="str">
        <f>IF(AND(ISNUMBER(J262),ISNUMBER(L262),N(J262)&lt;&gt;0),ROUND(L262/J262,8),"")</f>
        <v/>
      </c>
      <c r="L262" s="183" t="str">
        <f>IF(I262="Buy",-H262,IF(I262="Sell",H262,""))</f>
        <v/>
      </c>
    </row>
    <row r="263" ht="22" customHeight="1">
      <c r="B263" s="239" t="n"/>
      <c r="C263" s="240" t="str">
        <f>IF($B263="","",IF(COUNTIFS(Пул!$E$5:$E$300,$B263,Пул!$F$5:$F$300,"&lt;&gt;")=0,"",ROUND(SUMIFS(Пул!$F$5:$F$300,Пул!$E$5:$E$300,$B263),8)))</f>
        <v/>
      </c>
      <c r="D263" s="241" t="str">
        <f>IF($B263="","",IF(COUNTIFS(Пул!$E$5:$E$300,$B263,Пул!$G$5:$G$300,"&lt;&gt;")=0,"",ROUND(SUMIFS(Пул!$G$5:$G$300,Пул!$E$5:$E$300,$B263),8)))</f>
        <v/>
      </c>
      <c r="E263" s="240" t="str">
        <f>IF($B263="","",IF(COUNTIFS(Пул!$E$5:$E$300,$B263,Пул!$H$5:$H$300,"&lt;&gt;")=0,"",ROUND(SUMIFS(Пул!$H$5:$H$300,Пул!$E$5:$E$300,$B263),8)))</f>
        <v/>
      </c>
      <c r="F263" s="241" t="str">
        <f>IF($B263="","",IF(COUNTIFS(Пул!$E$5:$E$300,$B263,Пул!$I$5:$I$300,"&lt;&gt;")=0,"",ROUND(SUMIFS(Пул!$I$5:$I$300,Пул!$E$5:$E$300,$B263),8)))</f>
        <v/>
      </c>
      <c r="G263" s="240" t="str">
        <f>IF($B263="","",IF(COUNTIFS(Пул!$E$5:$E$300,$B263,Пул!$H$5:$H$300,"&lt;&gt;")=0,"",ROUND(SUMIFS(Пул!$J$5:$J$300,Пул!$E$5:$E$300,$B263),8)))</f>
        <v/>
      </c>
      <c r="H263" s="241" t="str">
        <f>IF($B263="","",IF(COUNTIFS(Пул!$E$5:$E$300,$B263,Пул!$I$5:$I$300,"&lt;&gt;")=0,"",ROUND(SUMIFS(Пул!$K$5:$K$300,Пул!$E$5:$E$300,$B263),8)))</f>
        <v/>
      </c>
      <c r="I263" s="236" t="str">
        <f>IF(AND(ISNUMBER(G263),ISNUMBER(H263)),IF(AND(G263&gt;0,H263&lt;0),"Buy",IF(AND(G263&lt;0,H263&gt;0),"Sell","")),"")</f>
        <v/>
      </c>
      <c r="J263" s="177" t="str">
        <f>IF(I263="Buy",G263,IF(I263="Sell",-G263,""))</f>
        <v/>
      </c>
      <c r="K263" s="177" t="str">
        <f>IF(AND(ISNUMBER(J263),ISNUMBER(L263),N(J263)&lt;&gt;0),ROUND(L263/J263,8),"")</f>
        <v/>
      </c>
      <c r="L263" s="177" t="str">
        <f>IF(I263="Buy",-H263,IF(I263="Sell",H263,""))</f>
        <v/>
      </c>
    </row>
    <row r="264" ht="22" customHeight="1">
      <c r="B264" s="245" t="n"/>
      <c r="C264" s="246" t="str">
        <f>IF($B264="","",IF(COUNTIFS(Пул!$E$5:$E$300,$B264,Пул!$F$5:$F$300,"&lt;&gt;")=0,"",ROUND(SUMIFS(Пул!$F$5:$F$300,Пул!$E$5:$E$300,$B264),8)))</f>
        <v/>
      </c>
      <c r="D264" s="247" t="str">
        <f>IF($B264="","",IF(COUNTIFS(Пул!$E$5:$E$300,$B264,Пул!$G$5:$G$300,"&lt;&gt;")=0,"",ROUND(SUMIFS(Пул!$G$5:$G$300,Пул!$E$5:$E$300,$B264),8)))</f>
        <v/>
      </c>
      <c r="E264" s="246" t="str">
        <f>IF($B264="","",IF(COUNTIFS(Пул!$E$5:$E$300,$B264,Пул!$H$5:$H$300,"&lt;&gt;")=0,"",ROUND(SUMIFS(Пул!$H$5:$H$300,Пул!$E$5:$E$300,$B264),8)))</f>
        <v/>
      </c>
      <c r="F264" s="247" t="str">
        <f>IF($B264="","",IF(COUNTIFS(Пул!$E$5:$E$300,$B264,Пул!$I$5:$I$300,"&lt;&gt;")=0,"",ROUND(SUMIFS(Пул!$I$5:$I$300,Пул!$E$5:$E$300,$B264),8)))</f>
        <v/>
      </c>
      <c r="G264" s="246" t="str">
        <f>IF($B264="","",IF(COUNTIFS(Пул!$E$5:$E$300,$B264,Пул!$H$5:$H$300,"&lt;&gt;")=0,"",ROUND(SUMIFS(Пул!$J$5:$J$300,Пул!$E$5:$E$300,$B264),8)))</f>
        <v/>
      </c>
      <c r="H264" s="247" t="str">
        <f>IF($B264="","",IF(COUNTIFS(Пул!$E$5:$E$300,$B264,Пул!$I$5:$I$300,"&lt;&gt;")=0,"",ROUND(SUMIFS(Пул!$K$5:$K$300,Пул!$E$5:$E$300,$B264),8)))</f>
        <v/>
      </c>
      <c r="I264" s="242" t="str">
        <f>IF(AND(ISNUMBER(G264),ISNUMBER(H264)),IF(AND(G264&gt;0,H264&lt;0),"Buy",IF(AND(G264&lt;0,H264&gt;0),"Sell","")),"")</f>
        <v/>
      </c>
      <c r="J264" s="183" t="str">
        <f>IF(I264="Buy",G264,IF(I264="Sell",-G264,""))</f>
        <v/>
      </c>
      <c r="K264" s="183" t="str">
        <f>IF(AND(ISNUMBER(J264),ISNUMBER(L264),N(J264)&lt;&gt;0),ROUND(L264/J264,8),"")</f>
        <v/>
      </c>
      <c r="L264" s="183" t="str">
        <f>IF(I264="Buy",-H264,IF(I264="Sell",H264,""))</f>
        <v/>
      </c>
    </row>
    <row r="265" ht="22" customHeight="1">
      <c r="B265" s="239" t="n"/>
      <c r="C265" s="240" t="str">
        <f>IF($B265="","",IF(COUNTIFS(Пул!$E$5:$E$300,$B265,Пул!$F$5:$F$300,"&lt;&gt;")=0,"",ROUND(SUMIFS(Пул!$F$5:$F$300,Пул!$E$5:$E$300,$B265),8)))</f>
        <v/>
      </c>
      <c r="D265" s="241" t="str">
        <f>IF($B265="","",IF(COUNTIFS(Пул!$E$5:$E$300,$B265,Пул!$G$5:$G$300,"&lt;&gt;")=0,"",ROUND(SUMIFS(Пул!$G$5:$G$300,Пул!$E$5:$E$300,$B265),8)))</f>
        <v/>
      </c>
      <c r="E265" s="240" t="str">
        <f>IF($B265="","",IF(COUNTIFS(Пул!$E$5:$E$300,$B265,Пул!$H$5:$H$300,"&lt;&gt;")=0,"",ROUND(SUMIFS(Пул!$H$5:$H$300,Пул!$E$5:$E$300,$B265),8)))</f>
        <v/>
      </c>
      <c r="F265" s="241" t="str">
        <f>IF($B265="","",IF(COUNTIFS(Пул!$E$5:$E$300,$B265,Пул!$I$5:$I$300,"&lt;&gt;")=0,"",ROUND(SUMIFS(Пул!$I$5:$I$300,Пул!$E$5:$E$300,$B265),8)))</f>
        <v/>
      </c>
      <c r="G265" s="240" t="str">
        <f>IF($B265="","",IF(COUNTIFS(Пул!$E$5:$E$300,$B265,Пул!$H$5:$H$300,"&lt;&gt;")=0,"",ROUND(SUMIFS(Пул!$J$5:$J$300,Пул!$E$5:$E$300,$B265),8)))</f>
        <v/>
      </c>
      <c r="H265" s="241" t="str">
        <f>IF($B265="","",IF(COUNTIFS(Пул!$E$5:$E$300,$B265,Пул!$I$5:$I$300,"&lt;&gt;")=0,"",ROUND(SUMIFS(Пул!$K$5:$K$300,Пул!$E$5:$E$300,$B265),8)))</f>
        <v/>
      </c>
      <c r="I265" s="236" t="str">
        <f>IF(AND(ISNUMBER(G265),ISNUMBER(H265)),IF(AND(G265&gt;0,H265&lt;0),"Buy",IF(AND(G265&lt;0,H265&gt;0),"Sell","")),"")</f>
        <v/>
      </c>
      <c r="J265" s="177" t="str">
        <f>IF(I265="Buy",G265,IF(I265="Sell",-G265,""))</f>
        <v/>
      </c>
      <c r="K265" s="177" t="str">
        <f>IF(AND(ISNUMBER(J265),ISNUMBER(L265),N(J265)&lt;&gt;0),ROUND(L265/J265,8),"")</f>
        <v/>
      </c>
      <c r="L265" s="177" t="str">
        <f>IF(I265="Buy",-H265,IF(I265="Sell",H265,""))</f>
        <v/>
      </c>
    </row>
    <row r="266" ht="22" customHeight="1">
      <c r="B266" s="245" t="n"/>
      <c r="C266" s="246" t="str">
        <f>IF($B266="","",IF(COUNTIFS(Пул!$E$5:$E$300,$B266,Пул!$F$5:$F$300,"&lt;&gt;")=0,"",ROUND(SUMIFS(Пул!$F$5:$F$300,Пул!$E$5:$E$300,$B266),8)))</f>
        <v/>
      </c>
      <c r="D266" s="247" t="str">
        <f>IF($B266="","",IF(COUNTIFS(Пул!$E$5:$E$300,$B266,Пул!$G$5:$G$300,"&lt;&gt;")=0,"",ROUND(SUMIFS(Пул!$G$5:$G$300,Пул!$E$5:$E$300,$B266),8)))</f>
        <v/>
      </c>
      <c r="E266" s="246" t="str">
        <f>IF($B266="","",IF(COUNTIFS(Пул!$E$5:$E$300,$B266,Пул!$H$5:$H$300,"&lt;&gt;")=0,"",ROUND(SUMIFS(Пул!$H$5:$H$300,Пул!$E$5:$E$300,$B266),8)))</f>
        <v/>
      </c>
      <c r="F266" s="247" t="str">
        <f>IF($B266="","",IF(COUNTIFS(Пул!$E$5:$E$300,$B266,Пул!$I$5:$I$300,"&lt;&gt;")=0,"",ROUND(SUMIFS(Пул!$I$5:$I$300,Пул!$E$5:$E$300,$B266),8)))</f>
        <v/>
      </c>
      <c r="G266" s="246" t="str">
        <f>IF($B266="","",IF(COUNTIFS(Пул!$E$5:$E$300,$B266,Пул!$H$5:$H$300,"&lt;&gt;")=0,"",ROUND(SUMIFS(Пул!$J$5:$J$300,Пул!$E$5:$E$300,$B266),8)))</f>
        <v/>
      </c>
      <c r="H266" s="247" t="str">
        <f>IF($B266="","",IF(COUNTIFS(Пул!$E$5:$E$300,$B266,Пул!$I$5:$I$300,"&lt;&gt;")=0,"",ROUND(SUMIFS(Пул!$K$5:$K$300,Пул!$E$5:$E$300,$B266),8)))</f>
        <v/>
      </c>
      <c r="I266" s="242" t="str">
        <f>IF(AND(ISNUMBER(G266),ISNUMBER(H266)),IF(AND(G266&gt;0,H266&lt;0),"Buy",IF(AND(G266&lt;0,H266&gt;0),"Sell","")),"")</f>
        <v/>
      </c>
      <c r="J266" s="183" t="str">
        <f>IF(I266="Buy",G266,IF(I266="Sell",-G266,""))</f>
        <v/>
      </c>
      <c r="K266" s="183" t="str">
        <f>IF(AND(ISNUMBER(J266),ISNUMBER(L266),N(J266)&lt;&gt;0),ROUND(L266/J266,8),"")</f>
        <v/>
      </c>
      <c r="L266" s="183" t="str">
        <f>IF(I266="Buy",-H266,IF(I266="Sell",H266,""))</f>
        <v/>
      </c>
    </row>
    <row r="267" ht="22" customHeight="1">
      <c r="B267" s="239" t="n"/>
      <c r="C267" s="240" t="str">
        <f>IF($B267="","",IF(COUNTIFS(Пул!$E$5:$E$300,$B267,Пул!$F$5:$F$300,"&lt;&gt;")=0,"",ROUND(SUMIFS(Пул!$F$5:$F$300,Пул!$E$5:$E$300,$B267),8)))</f>
        <v/>
      </c>
      <c r="D267" s="241" t="str">
        <f>IF($B267="","",IF(COUNTIFS(Пул!$E$5:$E$300,$B267,Пул!$G$5:$G$300,"&lt;&gt;")=0,"",ROUND(SUMIFS(Пул!$G$5:$G$300,Пул!$E$5:$E$300,$B267),8)))</f>
        <v/>
      </c>
      <c r="E267" s="240" t="str">
        <f>IF($B267="","",IF(COUNTIFS(Пул!$E$5:$E$300,$B267,Пул!$H$5:$H$300,"&lt;&gt;")=0,"",ROUND(SUMIFS(Пул!$H$5:$H$300,Пул!$E$5:$E$300,$B267),8)))</f>
        <v/>
      </c>
      <c r="F267" s="241" t="str">
        <f>IF($B267="","",IF(COUNTIFS(Пул!$E$5:$E$300,$B267,Пул!$I$5:$I$300,"&lt;&gt;")=0,"",ROUND(SUMIFS(Пул!$I$5:$I$300,Пул!$E$5:$E$300,$B267),8)))</f>
        <v/>
      </c>
      <c r="G267" s="240" t="str">
        <f>IF($B267="","",IF(COUNTIFS(Пул!$E$5:$E$300,$B267,Пул!$H$5:$H$300,"&lt;&gt;")=0,"",ROUND(SUMIFS(Пул!$J$5:$J$300,Пул!$E$5:$E$300,$B267),8)))</f>
        <v/>
      </c>
      <c r="H267" s="241" t="str">
        <f>IF($B267="","",IF(COUNTIFS(Пул!$E$5:$E$300,$B267,Пул!$I$5:$I$300,"&lt;&gt;")=0,"",ROUND(SUMIFS(Пул!$K$5:$K$300,Пул!$E$5:$E$300,$B267),8)))</f>
        <v/>
      </c>
      <c r="I267" s="236" t="str">
        <f>IF(AND(ISNUMBER(G267),ISNUMBER(H267)),IF(AND(G267&gt;0,H267&lt;0),"Buy",IF(AND(G267&lt;0,H267&gt;0),"Sell","")),"")</f>
        <v/>
      </c>
      <c r="J267" s="177" t="str">
        <f>IF(I267="Buy",G267,IF(I267="Sell",-G267,""))</f>
        <v/>
      </c>
      <c r="K267" s="177" t="str">
        <f>IF(AND(ISNUMBER(J267),ISNUMBER(L267),N(J267)&lt;&gt;0),ROUND(L267/J267,8),"")</f>
        <v/>
      </c>
      <c r="L267" s="177" t="str">
        <f>IF(I267="Buy",-H267,IF(I267="Sell",H267,""))</f>
        <v/>
      </c>
    </row>
    <row r="268" ht="22" customHeight="1">
      <c r="B268" s="245" t="n"/>
      <c r="C268" s="246" t="str">
        <f>IF($B268="","",IF(COUNTIFS(Пул!$E$5:$E$300,$B268,Пул!$F$5:$F$300,"&lt;&gt;")=0,"",ROUND(SUMIFS(Пул!$F$5:$F$300,Пул!$E$5:$E$300,$B268),8)))</f>
        <v/>
      </c>
      <c r="D268" s="247" t="str">
        <f>IF($B268="","",IF(COUNTIFS(Пул!$E$5:$E$300,$B268,Пул!$G$5:$G$300,"&lt;&gt;")=0,"",ROUND(SUMIFS(Пул!$G$5:$G$300,Пул!$E$5:$E$300,$B268),8)))</f>
        <v/>
      </c>
      <c r="E268" s="246" t="str">
        <f>IF($B268="","",IF(COUNTIFS(Пул!$E$5:$E$300,$B268,Пул!$H$5:$H$300,"&lt;&gt;")=0,"",ROUND(SUMIFS(Пул!$H$5:$H$300,Пул!$E$5:$E$300,$B268),8)))</f>
        <v/>
      </c>
      <c r="F268" s="247" t="str">
        <f>IF($B268="","",IF(COUNTIFS(Пул!$E$5:$E$300,$B268,Пул!$I$5:$I$300,"&lt;&gt;")=0,"",ROUND(SUMIFS(Пул!$I$5:$I$300,Пул!$E$5:$E$300,$B268),8)))</f>
        <v/>
      </c>
      <c r="G268" s="246" t="str">
        <f>IF($B268="","",IF(COUNTIFS(Пул!$E$5:$E$300,$B268,Пул!$H$5:$H$300,"&lt;&gt;")=0,"",ROUND(SUMIFS(Пул!$J$5:$J$300,Пул!$E$5:$E$300,$B268),8)))</f>
        <v/>
      </c>
      <c r="H268" s="247" t="str">
        <f>IF($B268="","",IF(COUNTIFS(Пул!$E$5:$E$300,$B268,Пул!$I$5:$I$300,"&lt;&gt;")=0,"",ROUND(SUMIFS(Пул!$K$5:$K$300,Пул!$E$5:$E$300,$B268),8)))</f>
        <v/>
      </c>
      <c r="I268" s="242" t="str">
        <f>IF(AND(ISNUMBER(G268),ISNUMBER(H268)),IF(AND(G268&gt;0,H268&lt;0),"Buy",IF(AND(G268&lt;0,H268&gt;0),"Sell","")),"")</f>
        <v/>
      </c>
      <c r="J268" s="183" t="str">
        <f>IF(I268="Buy",G268,IF(I268="Sell",-G268,""))</f>
        <v/>
      </c>
      <c r="K268" s="183" t="str">
        <f>IF(AND(ISNUMBER(J268),ISNUMBER(L268),N(J268)&lt;&gt;0),ROUND(L268/J268,8),"")</f>
        <v/>
      </c>
      <c r="L268" s="183" t="str">
        <f>IF(I268="Buy",-H268,IF(I268="Sell",H268,""))</f>
        <v/>
      </c>
    </row>
    <row r="269" ht="22" customHeight="1">
      <c r="B269" s="239" t="n"/>
      <c r="C269" s="240" t="str">
        <f>IF($B269="","",IF(COUNTIFS(Пул!$E$5:$E$300,$B269,Пул!$F$5:$F$300,"&lt;&gt;")=0,"",ROUND(SUMIFS(Пул!$F$5:$F$300,Пул!$E$5:$E$300,$B269),8)))</f>
        <v/>
      </c>
      <c r="D269" s="241" t="str">
        <f>IF($B269="","",IF(COUNTIFS(Пул!$E$5:$E$300,$B269,Пул!$G$5:$G$300,"&lt;&gt;")=0,"",ROUND(SUMIFS(Пул!$G$5:$G$300,Пул!$E$5:$E$300,$B269),8)))</f>
        <v/>
      </c>
      <c r="E269" s="240" t="str">
        <f>IF($B269="","",IF(COUNTIFS(Пул!$E$5:$E$300,$B269,Пул!$H$5:$H$300,"&lt;&gt;")=0,"",ROUND(SUMIFS(Пул!$H$5:$H$300,Пул!$E$5:$E$300,$B269),8)))</f>
        <v/>
      </c>
      <c r="F269" s="241" t="str">
        <f>IF($B269="","",IF(COUNTIFS(Пул!$E$5:$E$300,$B269,Пул!$I$5:$I$300,"&lt;&gt;")=0,"",ROUND(SUMIFS(Пул!$I$5:$I$300,Пул!$E$5:$E$300,$B269),8)))</f>
        <v/>
      </c>
      <c r="G269" s="240" t="str">
        <f>IF($B269="","",IF(COUNTIFS(Пул!$E$5:$E$300,$B269,Пул!$H$5:$H$300,"&lt;&gt;")=0,"",ROUND(SUMIFS(Пул!$J$5:$J$300,Пул!$E$5:$E$300,$B269),8)))</f>
        <v/>
      </c>
      <c r="H269" s="241" t="str">
        <f>IF($B269="","",IF(COUNTIFS(Пул!$E$5:$E$300,$B269,Пул!$I$5:$I$300,"&lt;&gt;")=0,"",ROUND(SUMIFS(Пул!$K$5:$K$300,Пул!$E$5:$E$300,$B269),8)))</f>
        <v/>
      </c>
      <c r="I269" s="236" t="str">
        <f>IF(AND(ISNUMBER(G269),ISNUMBER(H269)),IF(AND(G269&gt;0,H269&lt;0),"Buy",IF(AND(G269&lt;0,H269&gt;0),"Sell","")),"")</f>
        <v/>
      </c>
      <c r="J269" s="177" t="str">
        <f>IF(I269="Buy",G269,IF(I269="Sell",-G269,""))</f>
        <v/>
      </c>
      <c r="K269" s="177" t="str">
        <f>IF(AND(ISNUMBER(J269),ISNUMBER(L269),N(J269)&lt;&gt;0),ROUND(L269/J269,8),"")</f>
        <v/>
      </c>
      <c r="L269" s="177" t="str">
        <f>IF(I269="Buy",-H269,IF(I269="Sell",H269,""))</f>
        <v/>
      </c>
    </row>
    <row r="270" ht="22" customHeight="1">
      <c r="B270" s="245" t="n"/>
      <c r="C270" s="246" t="str">
        <f>IF($B270="","",IF(COUNTIFS(Пул!$E$5:$E$300,$B270,Пул!$F$5:$F$300,"&lt;&gt;")=0,"",ROUND(SUMIFS(Пул!$F$5:$F$300,Пул!$E$5:$E$300,$B270),8)))</f>
        <v/>
      </c>
      <c r="D270" s="247" t="str">
        <f>IF($B270="","",IF(COUNTIFS(Пул!$E$5:$E$300,$B270,Пул!$G$5:$G$300,"&lt;&gt;")=0,"",ROUND(SUMIFS(Пул!$G$5:$G$300,Пул!$E$5:$E$300,$B270),8)))</f>
        <v/>
      </c>
      <c r="E270" s="246" t="str">
        <f>IF($B270="","",IF(COUNTIFS(Пул!$E$5:$E$300,$B270,Пул!$H$5:$H$300,"&lt;&gt;")=0,"",ROUND(SUMIFS(Пул!$H$5:$H$300,Пул!$E$5:$E$300,$B270),8)))</f>
        <v/>
      </c>
      <c r="F270" s="247" t="str">
        <f>IF($B270="","",IF(COUNTIFS(Пул!$E$5:$E$300,$B270,Пул!$I$5:$I$300,"&lt;&gt;")=0,"",ROUND(SUMIFS(Пул!$I$5:$I$300,Пул!$E$5:$E$300,$B270),8)))</f>
        <v/>
      </c>
      <c r="G270" s="246" t="str">
        <f>IF($B270="","",IF(COUNTIFS(Пул!$E$5:$E$300,$B270,Пул!$H$5:$H$300,"&lt;&gt;")=0,"",ROUND(SUMIFS(Пул!$J$5:$J$300,Пул!$E$5:$E$300,$B270),8)))</f>
        <v/>
      </c>
      <c r="H270" s="247" t="str">
        <f>IF($B270="","",IF(COUNTIFS(Пул!$E$5:$E$300,$B270,Пул!$I$5:$I$300,"&lt;&gt;")=0,"",ROUND(SUMIFS(Пул!$K$5:$K$300,Пул!$E$5:$E$300,$B270),8)))</f>
        <v/>
      </c>
      <c r="I270" s="242" t="str">
        <f>IF(AND(ISNUMBER(G270),ISNUMBER(H270)),IF(AND(G270&gt;0,H270&lt;0),"Buy",IF(AND(G270&lt;0,H270&gt;0),"Sell","")),"")</f>
        <v/>
      </c>
      <c r="J270" s="183" t="str">
        <f>IF(I270="Buy",G270,IF(I270="Sell",-G270,""))</f>
        <v/>
      </c>
      <c r="K270" s="183" t="str">
        <f>IF(AND(ISNUMBER(J270),ISNUMBER(L270),N(J270)&lt;&gt;0),ROUND(L270/J270,8),"")</f>
        <v/>
      </c>
      <c r="L270" s="183" t="str">
        <f>IF(I270="Buy",-H270,IF(I270="Sell",H270,""))</f>
        <v/>
      </c>
    </row>
    <row r="271" ht="22" customHeight="1">
      <c r="B271" s="239" t="n"/>
      <c r="C271" s="240" t="str">
        <f>IF($B271="","",IF(COUNTIFS(Пул!$E$5:$E$300,$B271,Пул!$F$5:$F$300,"&lt;&gt;")=0,"",ROUND(SUMIFS(Пул!$F$5:$F$300,Пул!$E$5:$E$300,$B271),8)))</f>
        <v/>
      </c>
      <c r="D271" s="241" t="str">
        <f>IF($B271="","",IF(COUNTIFS(Пул!$E$5:$E$300,$B271,Пул!$G$5:$G$300,"&lt;&gt;")=0,"",ROUND(SUMIFS(Пул!$G$5:$G$300,Пул!$E$5:$E$300,$B271),8)))</f>
        <v/>
      </c>
      <c r="E271" s="240" t="str">
        <f>IF($B271="","",IF(COUNTIFS(Пул!$E$5:$E$300,$B271,Пул!$H$5:$H$300,"&lt;&gt;")=0,"",ROUND(SUMIFS(Пул!$H$5:$H$300,Пул!$E$5:$E$300,$B271),8)))</f>
        <v/>
      </c>
      <c r="F271" s="241" t="str">
        <f>IF($B271="","",IF(COUNTIFS(Пул!$E$5:$E$300,$B271,Пул!$I$5:$I$300,"&lt;&gt;")=0,"",ROUND(SUMIFS(Пул!$I$5:$I$300,Пул!$E$5:$E$300,$B271),8)))</f>
        <v/>
      </c>
      <c r="G271" s="240" t="str">
        <f>IF($B271="","",IF(COUNTIFS(Пул!$E$5:$E$300,$B271,Пул!$H$5:$H$300,"&lt;&gt;")=0,"",ROUND(SUMIFS(Пул!$J$5:$J$300,Пул!$E$5:$E$300,$B271),8)))</f>
        <v/>
      </c>
      <c r="H271" s="241" t="str">
        <f>IF($B271="","",IF(COUNTIFS(Пул!$E$5:$E$300,$B271,Пул!$I$5:$I$300,"&lt;&gt;")=0,"",ROUND(SUMIFS(Пул!$K$5:$K$300,Пул!$E$5:$E$300,$B271),8)))</f>
        <v/>
      </c>
      <c r="I271" s="236" t="str">
        <f>IF(AND(ISNUMBER(G271),ISNUMBER(H271)),IF(AND(G271&gt;0,H271&lt;0),"Buy",IF(AND(G271&lt;0,H271&gt;0),"Sell","")),"")</f>
        <v/>
      </c>
      <c r="J271" s="177" t="str">
        <f>IF(I271="Buy",G271,IF(I271="Sell",-G271,""))</f>
        <v/>
      </c>
      <c r="K271" s="177" t="str">
        <f>IF(AND(ISNUMBER(J271),ISNUMBER(L271),N(J271)&lt;&gt;0),ROUND(L271/J271,8),"")</f>
        <v/>
      </c>
      <c r="L271" s="177" t="str">
        <f>IF(I271="Buy",-H271,IF(I271="Sell",H271,""))</f>
        <v/>
      </c>
    </row>
    <row r="272" ht="22" customHeight="1">
      <c r="B272" s="245" t="n"/>
      <c r="C272" s="246" t="str">
        <f>IF($B272="","",IF(COUNTIFS(Пул!$E$5:$E$300,$B272,Пул!$F$5:$F$300,"&lt;&gt;")=0,"",ROUND(SUMIFS(Пул!$F$5:$F$300,Пул!$E$5:$E$300,$B272),8)))</f>
        <v/>
      </c>
      <c r="D272" s="247" t="str">
        <f>IF($B272="","",IF(COUNTIFS(Пул!$E$5:$E$300,$B272,Пул!$G$5:$G$300,"&lt;&gt;")=0,"",ROUND(SUMIFS(Пул!$G$5:$G$300,Пул!$E$5:$E$300,$B272),8)))</f>
        <v/>
      </c>
      <c r="E272" s="246" t="str">
        <f>IF($B272="","",IF(COUNTIFS(Пул!$E$5:$E$300,$B272,Пул!$H$5:$H$300,"&lt;&gt;")=0,"",ROUND(SUMIFS(Пул!$H$5:$H$300,Пул!$E$5:$E$300,$B272),8)))</f>
        <v/>
      </c>
      <c r="F272" s="247" t="str">
        <f>IF($B272="","",IF(COUNTIFS(Пул!$E$5:$E$300,$B272,Пул!$I$5:$I$300,"&lt;&gt;")=0,"",ROUND(SUMIFS(Пул!$I$5:$I$300,Пул!$E$5:$E$300,$B272),8)))</f>
        <v/>
      </c>
      <c r="G272" s="246" t="str">
        <f>IF($B272="","",IF(COUNTIFS(Пул!$E$5:$E$300,$B272,Пул!$H$5:$H$300,"&lt;&gt;")=0,"",ROUND(SUMIFS(Пул!$J$5:$J$300,Пул!$E$5:$E$300,$B272),8)))</f>
        <v/>
      </c>
      <c r="H272" s="247" t="str">
        <f>IF($B272="","",IF(COUNTIFS(Пул!$E$5:$E$300,$B272,Пул!$I$5:$I$300,"&lt;&gt;")=0,"",ROUND(SUMIFS(Пул!$K$5:$K$300,Пул!$E$5:$E$300,$B272),8)))</f>
        <v/>
      </c>
      <c r="I272" s="242" t="str">
        <f>IF(AND(ISNUMBER(G272),ISNUMBER(H272)),IF(AND(G272&gt;0,H272&lt;0),"Buy",IF(AND(G272&lt;0,H272&gt;0),"Sell","")),"")</f>
        <v/>
      </c>
      <c r="J272" s="183" t="str">
        <f>IF(I272="Buy",G272,IF(I272="Sell",-G272,""))</f>
        <v/>
      </c>
      <c r="K272" s="183" t="str">
        <f>IF(AND(ISNUMBER(J272),ISNUMBER(L272),N(J272)&lt;&gt;0),ROUND(L272/J272,8),"")</f>
        <v/>
      </c>
      <c r="L272" s="183" t="str">
        <f>IF(I272="Buy",-H272,IF(I272="Sell",H272,""))</f>
        <v/>
      </c>
    </row>
    <row r="273" ht="22" customHeight="1">
      <c r="B273" s="239" t="n"/>
      <c r="C273" s="240" t="str">
        <f>IF($B273="","",IF(COUNTIFS(Пул!$E$5:$E$300,$B273,Пул!$F$5:$F$300,"&lt;&gt;")=0,"",ROUND(SUMIFS(Пул!$F$5:$F$300,Пул!$E$5:$E$300,$B273),8)))</f>
        <v/>
      </c>
      <c r="D273" s="241" t="str">
        <f>IF($B273="","",IF(COUNTIFS(Пул!$E$5:$E$300,$B273,Пул!$G$5:$G$300,"&lt;&gt;")=0,"",ROUND(SUMIFS(Пул!$G$5:$G$300,Пул!$E$5:$E$300,$B273),8)))</f>
        <v/>
      </c>
      <c r="E273" s="240" t="str">
        <f>IF($B273="","",IF(COUNTIFS(Пул!$E$5:$E$300,$B273,Пул!$H$5:$H$300,"&lt;&gt;")=0,"",ROUND(SUMIFS(Пул!$H$5:$H$300,Пул!$E$5:$E$300,$B273),8)))</f>
        <v/>
      </c>
      <c r="F273" s="241" t="str">
        <f>IF($B273="","",IF(COUNTIFS(Пул!$E$5:$E$300,$B273,Пул!$I$5:$I$300,"&lt;&gt;")=0,"",ROUND(SUMIFS(Пул!$I$5:$I$300,Пул!$E$5:$E$300,$B273),8)))</f>
        <v/>
      </c>
      <c r="G273" s="240" t="str">
        <f>IF($B273="","",IF(COUNTIFS(Пул!$E$5:$E$300,$B273,Пул!$H$5:$H$300,"&lt;&gt;")=0,"",ROUND(SUMIFS(Пул!$J$5:$J$300,Пул!$E$5:$E$300,$B273),8)))</f>
        <v/>
      </c>
      <c r="H273" s="241" t="str">
        <f>IF($B273="","",IF(COUNTIFS(Пул!$E$5:$E$300,$B273,Пул!$I$5:$I$300,"&lt;&gt;")=0,"",ROUND(SUMIFS(Пул!$K$5:$K$300,Пул!$E$5:$E$300,$B273),8)))</f>
        <v/>
      </c>
      <c r="I273" s="236" t="str">
        <f>IF(AND(ISNUMBER(G273),ISNUMBER(H273)),IF(AND(G273&gt;0,H273&lt;0),"Buy",IF(AND(G273&lt;0,H273&gt;0),"Sell","")),"")</f>
        <v/>
      </c>
      <c r="J273" s="177" t="str">
        <f>IF(I273="Buy",G273,IF(I273="Sell",-G273,""))</f>
        <v/>
      </c>
      <c r="K273" s="177" t="str">
        <f>IF(AND(ISNUMBER(J273),ISNUMBER(L273),N(J273)&lt;&gt;0),ROUND(L273/J273,8),"")</f>
        <v/>
      </c>
      <c r="L273" s="177" t="str">
        <f>IF(I273="Buy",-H273,IF(I273="Sell",H273,""))</f>
        <v/>
      </c>
    </row>
    <row r="274" ht="22" customHeight="1">
      <c r="B274" s="245" t="n"/>
      <c r="C274" s="246" t="str">
        <f>IF($B274="","",IF(COUNTIFS(Пул!$E$5:$E$300,$B274,Пул!$F$5:$F$300,"&lt;&gt;")=0,"",ROUND(SUMIFS(Пул!$F$5:$F$300,Пул!$E$5:$E$300,$B274),8)))</f>
        <v/>
      </c>
      <c r="D274" s="247" t="str">
        <f>IF($B274="","",IF(COUNTIFS(Пул!$E$5:$E$300,$B274,Пул!$G$5:$G$300,"&lt;&gt;")=0,"",ROUND(SUMIFS(Пул!$G$5:$G$300,Пул!$E$5:$E$300,$B274),8)))</f>
        <v/>
      </c>
      <c r="E274" s="246" t="str">
        <f>IF($B274="","",IF(COUNTIFS(Пул!$E$5:$E$300,$B274,Пул!$H$5:$H$300,"&lt;&gt;")=0,"",ROUND(SUMIFS(Пул!$H$5:$H$300,Пул!$E$5:$E$300,$B274),8)))</f>
        <v/>
      </c>
      <c r="F274" s="247" t="str">
        <f>IF($B274="","",IF(COUNTIFS(Пул!$E$5:$E$300,$B274,Пул!$I$5:$I$300,"&lt;&gt;")=0,"",ROUND(SUMIFS(Пул!$I$5:$I$300,Пул!$E$5:$E$300,$B274),8)))</f>
        <v/>
      </c>
      <c r="G274" s="246" t="str">
        <f>IF($B274="","",IF(COUNTIFS(Пул!$E$5:$E$300,$B274,Пул!$H$5:$H$300,"&lt;&gt;")=0,"",ROUND(SUMIFS(Пул!$J$5:$J$300,Пул!$E$5:$E$300,$B274),8)))</f>
        <v/>
      </c>
      <c r="H274" s="247" t="str">
        <f>IF($B274="","",IF(COUNTIFS(Пул!$E$5:$E$300,$B274,Пул!$I$5:$I$300,"&lt;&gt;")=0,"",ROUND(SUMIFS(Пул!$K$5:$K$300,Пул!$E$5:$E$300,$B274),8)))</f>
        <v/>
      </c>
      <c r="I274" s="242" t="str">
        <f>IF(AND(ISNUMBER(G274),ISNUMBER(H274)),IF(AND(G274&gt;0,H274&lt;0),"Buy",IF(AND(G274&lt;0,H274&gt;0),"Sell","")),"")</f>
        <v/>
      </c>
      <c r="J274" s="183" t="str">
        <f>IF(I274="Buy",G274,IF(I274="Sell",-G274,""))</f>
        <v/>
      </c>
      <c r="K274" s="183" t="str">
        <f>IF(AND(ISNUMBER(J274),ISNUMBER(L274),N(J274)&lt;&gt;0),ROUND(L274/J274,8),"")</f>
        <v/>
      </c>
      <c r="L274" s="183" t="str">
        <f>IF(I274="Buy",-H274,IF(I274="Sell",H274,""))</f>
        <v/>
      </c>
    </row>
    <row r="275" ht="22" customHeight="1">
      <c r="B275" s="239" t="n"/>
      <c r="C275" s="240" t="str">
        <f>IF($B275="","",IF(COUNTIFS(Пул!$E$5:$E$300,$B275,Пул!$F$5:$F$300,"&lt;&gt;")=0,"",ROUND(SUMIFS(Пул!$F$5:$F$300,Пул!$E$5:$E$300,$B275),8)))</f>
        <v/>
      </c>
      <c r="D275" s="241" t="str">
        <f>IF($B275="","",IF(COUNTIFS(Пул!$E$5:$E$300,$B275,Пул!$G$5:$G$300,"&lt;&gt;")=0,"",ROUND(SUMIFS(Пул!$G$5:$G$300,Пул!$E$5:$E$300,$B275),8)))</f>
        <v/>
      </c>
      <c r="E275" s="240" t="str">
        <f>IF($B275="","",IF(COUNTIFS(Пул!$E$5:$E$300,$B275,Пул!$H$5:$H$300,"&lt;&gt;")=0,"",ROUND(SUMIFS(Пул!$H$5:$H$300,Пул!$E$5:$E$300,$B275),8)))</f>
        <v/>
      </c>
      <c r="F275" s="241" t="str">
        <f>IF($B275="","",IF(COUNTIFS(Пул!$E$5:$E$300,$B275,Пул!$I$5:$I$300,"&lt;&gt;")=0,"",ROUND(SUMIFS(Пул!$I$5:$I$300,Пул!$E$5:$E$300,$B275),8)))</f>
        <v/>
      </c>
      <c r="G275" s="240" t="str">
        <f>IF($B275="","",IF(COUNTIFS(Пул!$E$5:$E$300,$B275,Пул!$H$5:$H$300,"&lt;&gt;")=0,"",ROUND(SUMIFS(Пул!$J$5:$J$300,Пул!$E$5:$E$300,$B275),8)))</f>
        <v/>
      </c>
      <c r="H275" s="241" t="str">
        <f>IF($B275="","",IF(COUNTIFS(Пул!$E$5:$E$300,$B275,Пул!$I$5:$I$300,"&lt;&gt;")=0,"",ROUND(SUMIFS(Пул!$K$5:$K$300,Пул!$E$5:$E$300,$B275),8)))</f>
        <v/>
      </c>
      <c r="I275" s="236" t="str">
        <f>IF(AND(ISNUMBER(G275),ISNUMBER(H275)),IF(AND(G275&gt;0,H275&lt;0),"Buy",IF(AND(G275&lt;0,H275&gt;0),"Sell","")),"")</f>
        <v/>
      </c>
      <c r="J275" s="177" t="str">
        <f>IF(I275="Buy",G275,IF(I275="Sell",-G275,""))</f>
        <v/>
      </c>
      <c r="K275" s="177" t="str">
        <f>IF(AND(ISNUMBER(J275),ISNUMBER(L275),N(J275)&lt;&gt;0),ROUND(L275/J275,8),"")</f>
        <v/>
      </c>
      <c r="L275" s="177" t="str">
        <f>IF(I275="Buy",-H275,IF(I275="Sell",H275,""))</f>
        <v/>
      </c>
    </row>
    <row r="276" ht="22" customHeight="1">
      <c r="B276" s="245" t="n"/>
      <c r="C276" s="246" t="str">
        <f>IF($B276="","",IF(COUNTIFS(Пул!$E$5:$E$300,$B276,Пул!$F$5:$F$300,"&lt;&gt;")=0,"",ROUND(SUMIFS(Пул!$F$5:$F$300,Пул!$E$5:$E$300,$B276),8)))</f>
        <v/>
      </c>
      <c r="D276" s="247" t="str">
        <f>IF($B276="","",IF(COUNTIFS(Пул!$E$5:$E$300,$B276,Пул!$G$5:$G$300,"&lt;&gt;")=0,"",ROUND(SUMIFS(Пул!$G$5:$G$300,Пул!$E$5:$E$300,$B276),8)))</f>
        <v/>
      </c>
      <c r="E276" s="246" t="str">
        <f>IF($B276="","",IF(COUNTIFS(Пул!$E$5:$E$300,$B276,Пул!$H$5:$H$300,"&lt;&gt;")=0,"",ROUND(SUMIFS(Пул!$H$5:$H$300,Пул!$E$5:$E$300,$B276),8)))</f>
        <v/>
      </c>
      <c r="F276" s="247" t="str">
        <f>IF($B276="","",IF(COUNTIFS(Пул!$E$5:$E$300,$B276,Пул!$I$5:$I$300,"&lt;&gt;")=0,"",ROUND(SUMIFS(Пул!$I$5:$I$300,Пул!$E$5:$E$300,$B276),8)))</f>
        <v/>
      </c>
      <c r="G276" s="246" t="str">
        <f>IF($B276="","",IF(COUNTIFS(Пул!$E$5:$E$300,$B276,Пул!$H$5:$H$300,"&lt;&gt;")=0,"",ROUND(SUMIFS(Пул!$J$5:$J$300,Пул!$E$5:$E$300,$B276),8)))</f>
        <v/>
      </c>
      <c r="H276" s="247" t="str">
        <f>IF($B276="","",IF(COUNTIFS(Пул!$E$5:$E$300,$B276,Пул!$I$5:$I$300,"&lt;&gt;")=0,"",ROUND(SUMIFS(Пул!$K$5:$K$300,Пул!$E$5:$E$300,$B276),8)))</f>
        <v/>
      </c>
      <c r="I276" s="242" t="str">
        <f>IF(AND(ISNUMBER(G276),ISNUMBER(H276)),IF(AND(G276&gt;0,H276&lt;0),"Buy",IF(AND(G276&lt;0,H276&gt;0),"Sell","")),"")</f>
        <v/>
      </c>
      <c r="J276" s="183" t="str">
        <f>IF(I276="Buy",G276,IF(I276="Sell",-G276,""))</f>
        <v/>
      </c>
      <c r="K276" s="183" t="str">
        <f>IF(AND(ISNUMBER(J276),ISNUMBER(L276),N(J276)&lt;&gt;0),ROUND(L276/J276,8),"")</f>
        <v/>
      </c>
      <c r="L276" s="183" t="str">
        <f>IF(I276="Buy",-H276,IF(I276="Sell",H276,""))</f>
        <v/>
      </c>
    </row>
    <row r="277" ht="22" customHeight="1">
      <c r="B277" s="239" t="n"/>
      <c r="C277" s="240" t="str">
        <f>IF($B277="","",IF(COUNTIFS(Пул!$E$5:$E$300,$B277,Пул!$F$5:$F$300,"&lt;&gt;")=0,"",ROUND(SUMIFS(Пул!$F$5:$F$300,Пул!$E$5:$E$300,$B277),8)))</f>
        <v/>
      </c>
      <c r="D277" s="241" t="str">
        <f>IF($B277="","",IF(COUNTIFS(Пул!$E$5:$E$300,$B277,Пул!$G$5:$G$300,"&lt;&gt;")=0,"",ROUND(SUMIFS(Пул!$G$5:$G$300,Пул!$E$5:$E$300,$B277),8)))</f>
        <v/>
      </c>
      <c r="E277" s="240" t="str">
        <f>IF($B277="","",IF(COUNTIFS(Пул!$E$5:$E$300,$B277,Пул!$H$5:$H$300,"&lt;&gt;")=0,"",ROUND(SUMIFS(Пул!$H$5:$H$300,Пул!$E$5:$E$300,$B277),8)))</f>
        <v/>
      </c>
      <c r="F277" s="241" t="str">
        <f>IF($B277="","",IF(COUNTIFS(Пул!$E$5:$E$300,$B277,Пул!$I$5:$I$300,"&lt;&gt;")=0,"",ROUND(SUMIFS(Пул!$I$5:$I$300,Пул!$E$5:$E$300,$B277),8)))</f>
        <v/>
      </c>
      <c r="G277" s="240" t="str">
        <f>IF($B277="","",IF(COUNTIFS(Пул!$E$5:$E$300,$B277,Пул!$H$5:$H$300,"&lt;&gt;")=0,"",ROUND(SUMIFS(Пул!$J$5:$J$300,Пул!$E$5:$E$300,$B277),8)))</f>
        <v/>
      </c>
      <c r="H277" s="241" t="str">
        <f>IF($B277="","",IF(COUNTIFS(Пул!$E$5:$E$300,$B277,Пул!$I$5:$I$300,"&lt;&gt;")=0,"",ROUND(SUMIFS(Пул!$K$5:$K$300,Пул!$E$5:$E$300,$B277),8)))</f>
        <v/>
      </c>
      <c r="I277" s="236" t="str">
        <f>IF(AND(ISNUMBER(G277),ISNUMBER(H277)),IF(AND(G277&gt;0,H277&lt;0),"Buy",IF(AND(G277&lt;0,H277&gt;0),"Sell","")),"")</f>
        <v/>
      </c>
      <c r="J277" s="177" t="str">
        <f>IF(I277="Buy",G277,IF(I277="Sell",-G277,""))</f>
        <v/>
      </c>
      <c r="K277" s="177" t="str">
        <f>IF(AND(ISNUMBER(J277),ISNUMBER(L277),N(J277)&lt;&gt;0),ROUND(L277/J277,8),"")</f>
        <v/>
      </c>
      <c r="L277" s="177" t="str">
        <f>IF(I277="Buy",-H277,IF(I277="Sell",H277,""))</f>
        <v/>
      </c>
    </row>
    <row r="278" ht="22" customHeight="1">
      <c r="B278" s="245" t="n"/>
      <c r="C278" s="246" t="str">
        <f>IF($B278="","",IF(COUNTIFS(Пул!$E$5:$E$300,$B278,Пул!$F$5:$F$300,"&lt;&gt;")=0,"",ROUND(SUMIFS(Пул!$F$5:$F$300,Пул!$E$5:$E$300,$B278),8)))</f>
        <v/>
      </c>
      <c r="D278" s="247" t="str">
        <f>IF($B278="","",IF(COUNTIFS(Пул!$E$5:$E$300,$B278,Пул!$G$5:$G$300,"&lt;&gt;")=0,"",ROUND(SUMIFS(Пул!$G$5:$G$300,Пул!$E$5:$E$300,$B278),8)))</f>
        <v/>
      </c>
      <c r="E278" s="246" t="str">
        <f>IF($B278="","",IF(COUNTIFS(Пул!$E$5:$E$300,$B278,Пул!$H$5:$H$300,"&lt;&gt;")=0,"",ROUND(SUMIFS(Пул!$H$5:$H$300,Пул!$E$5:$E$300,$B278),8)))</f>
        <v/>
      </c>
      <c r="F278" s="247" t="str">
        <f>IF($B278="","",IF(COUNTIFS(Пул!$E$5:$E$300,$B278,Пул!$I$5:$I$300,"&lt;&gt;")=0,"",ROUND(SUMIFS(Пул!$I$5:$I$300,Пул!$E$5:$E$300,$B278),8)))</f>
        <v/>
      </c>
      <c r="G278" s="246" t="str">
        <f>IF($B278="","",IF(COUNTIFS(Пул!$E$5:$E$300,$B278,Пул!$H$5:$H$300,"&lt;&gt;")=0,"",ROUND(SUMIFS(Пул!$J$5:$J$300,Пул!$E$5:$E$300,$B278),8)))</f>
        <v/>
      </c>
      <c r="H278" s="247" t="str">
        <f>IF($B278="","",IF(COUNTIFS(Пул!$E$5:$E$300,$B278,Пул!$I$5:$I$300,"&lt;&gt;")=0,"",ROUND(SUMIFS(Пул!$K$5:$K$300,Пул!$E$5:$E$300,$B278),8)))</f>
        <v/>
      </c>
      <c r="I278" s="242" t="str">
        <f>IF(AND(ISNUMBER(G278),ISNUMBER(H278)),IF(AND(G278&gt;0,H278&lt;0),"Buy",IF(AND(G278&lt;0,H278&gt;0),"Sell","")),"")</f>
        <v/>
      </c>
      <c r="J278" s="183" t="str">
        <f>IF(I278="Buy",G278,IF(I278="Sell",-G278,""))</f>
        <v/>
      </c>
      <c r="K278" s="183" t="str">
        <f>IF(AND(ISNUMBER(J278),ISNUMBER(L278),N(J278)&lt;&gt;0),ROUND(L278/J278,8),"")</f>
        <v/>
      </c>
      <c r="L278" s="183" t="str">
        <f>IF(I278="Buy",-H278,IF(I278="Sell",H278,""))</f>
        <v/>
      </c>
    </row>
    <row r="279" ht="22" customHeight="1">
      <c r="B279" s="239" t="n"/>
      <c r="C279" s="240" t="str">
        <f>IF($B279="","",IF(COUNTIFS(Пул!$E$5:$E$300,$B279,Пул!$F$5:$F$300,"&lt;&gt;")=0,"",ROUND(SUMIFS(Пул!$F$5:$F$300,Пул!$E$5:$E$300,$B279),8)))</f>
        <v/>
      </c>
      <c r="D279" s="241" t="str">
        <f>IF($B279="","",IF(COUNTIFS(Пул!$E$5:$E$300,$B279,Пул!$G$5:$G$300,"&lt;&gt;")=0,"",ROUND(SUMIFS(Пул!$G$5:$G$300,Пул!$E$5:$E$300,$B279),8)))</f>
        <v/>
      </c>
      <c r="E279" s="240" t="str">
        <f>IF($B279="","",IF(COUNTIFS(Пул!$E$5:$E$300,$B279,Пул!$H$5:$H$300,"&lt;&gt;")=0,"",ROUND(SUMIFS(Пул!$H$5:$H$300,Пул!$E$5:$E$300,$B279),8)))</f>
        <v/>
      </c>
      <c r="F279" s="241" t="str">
        <f>IF($B279="","",IF(COUNTIFS(Пул!$E$5:$E$300,$B279,Пул!$I$5:$I$300,"&lt;&gt;")=0,"",ROUND(SUMIFS(Пул!$I$5:$I$300,Пул!$E$5:$E$300,$B279),8)))</f>
        <v/>
      </c>
      <c r="G279" s="240" t="str">
        <f>IF($B279="","",IF(COUNTIFS(Пул!$E$5:$E$300,$B279,Пул!$H$5:$H$300,"&lt;&gt;")=0,"",ROUND(SUMIFS(Пул!$J$5:$J$300,Пул!$E$5:$E$300,$B279),8)))</f>
        <v/>
      </c>
      <c r="H279" s="241" t="str">
        <f>IF($B279="","",IF(COUNTIFS(Пул!$E$5:$E$300,$B279,Пул!$I$5:$I$300,"&lt;&gt;")=0,"",ROUND(SUMIFS(Пул!$K$5:$K$300,Пул!$E$5:$E$300,$B279),8)))</f>
        <v/>
      </c>
      <c r="I279" s="236" t="str">
        <f>IF(AND(ISNUMBER(G279),ISNUMBER(H279)),IF(AND(G279&gt;0,H279&lt;0),"Buy",IF(AND(G279&lt;0,H279&gt;0),"Sell","")),"")</f>
        <v/>
      </c>
      <c r="J279" s="177" t="str">
        <f>IF(I279="Buy",G279,IF(I279="Sell",-G279,""))</f>
        <v/>
      </c>
      <c r="K279" s="177" t="str">
        <f>IF(AND(ISNUMBER(J279),ISNUMBER(L279),N(J279)&lt;&gt;0),ROUND(L279/J279,8),"")</f>
        <v/>
      </c>
      <c r="L279" s="177" t="str">
        <f>IF(I279="Buy",-H279,IF(I279="Sell",H279,""))</f>
        <v/>
      </c>
    </row>
    <row r="280" ht="22" customHeight="1">
      <c r="B280" s="245" t="n"/>
      <c r="C280" s="246" t="str">
        <f>IF($B280="","",IF(COUNTIFS(Пул!$E$5:$E$300,$B280,Пул!$F$5:$F$300,"&lt;&gt;")=0,"",ROUND(SUMIFS(Пул!$F$5:$F$300,Пул!$E$5:$E$300,$B280),8)))</f>
        <v/>
      </c>
      <c r="D280" s="247" t="str">
        <f>IF($B280="","",IF(COUNTIFS(Пул!$E$5:$E$300,$B280,Пул!$G$5:$G$300,"&lt;&gt;")=0,"",ROUND(SUMIFS(Пул!$G$5:$G$300,Пул!$E$5:$E$300,$B280),8)))</f>
        <v/>
      </c>
      <c r="E280" s="246" t="str">
        <f>IF($B280="","",IF(COUNTIFS(Пул!$E$5:$E$300,$B280,Пул!$H$5:$H$300,"&lt;&gt;")=0,"",ROUND(SUMIFS(Пул!$H$5:$H$300,Пул!$E$5:$E$300,$B280),8)))</f>
        <v/>
      </c>
      <c r="F280" s="247" t="str">
        <f>IF($B280="","",IF(COUNTIFS(Пул!$E$5:$E$300,$B280,Пул!$I$5:$I$300,"&lt;&gt;")=0,"",ROUND(SUMIFS(Пул!$I$5:$I$300,Пул!$E$5:$E$300,$B280),8)))</f>
        <v/>
      </c>
      <c r="G280" s="246" t="str">
        <f>IF($B280="","",IF(COUNTIFS(Пул!$E$5:$E$300,$B280,Пул!$H$5:$H$300,"&lt;&gt;")=0,"",ROUND(SUMIFS(Пул!$J$5:$J$300,Пул!$E$5:$E$300,$B280),8)))</f>
        <v/>
      </c>
      <c r="H280" s="247" t="str">
        <f>IF($B280="","",IF(COUNTIFS(Пул!$E$5:$E$300,$B280,Пул!$I$5:$I$300,"&lt;&gt;")=0,"",ROUND(SUMIFS(Пул!$K$5:$K$300,Пул!$E$5:$E$300,$B280),8)))</f>
        <v/>
      </c>
      <c r="I280" s="242" t="str">
        <f>IF(AND(ISNUMBER(G280),ISNUMBER(H280)),IF(AND(G280&gt;0,H280&lt;0),"Buy",IF(AND(G280&lt;0,H280&gt;0),"Sell","")),"")</f>
        <v/>
      </c>
      <c r="J280" s="183" t="str">
        <f>IF(I280="Buy",G280,IF(I280="Sell",-G280,""))</f>
        <v/>
      </c>
      <c r="K280" s="183" t="str">
        <f>IF(AND(ISNUMBER(J280),ISNUMBER(L280),N(J280)&lt;&gt;0),ROUND(L280/J280,8),"")</f>
        <v/>
      </c>
      <c r="L280" s="183" t="str">
        <f>IF(I280="Buy",-H280,IF(I280="Sell",H280,""))</f>
        <v/>
      </c>
    </row>
    <row r="281" ht="22" customHeight="1">
      <c r="B281" s="239" t="n"/>
      <c r="C281" s="240" t="str">
        <f>IF($B281="","",IF(COUNTIFS(Пул!$E$5:$E$300,$B281,Пул!$F$5:$F$300,"&lt;&gt;")=0,"",ROUND(SUMIFS(Пул!$F$5:$F$300,Пул!$E$5:$E$300,$B281),8)))</f>
        <v/>
      </c>
      <c r="D281" s="241" t="str">
        <f>IF($B281="","",IF(COUNTIFS(Пул!$E$5:$E$300,$B281,Пул!$G$5:$G$300,"&lt;&gt;")=0,"",ROUND(SUMIFS(Пул!$G$5:$G$300,Пул!$E$5:$E$300,$B281),8)))</f>
        <v/>
      </c>
      <c r="E281" s="240" t="str">
        <f>IF($B281="","",IF(COUNTIFS(Пул!$E$5:$E$300,$B281,Пул!$H$5:$H$300,"&lt;&gt;")=0,"",ROUND(SUMIFS(Пул!$H$5:$H$300,Пул!$E$5:$E$300,$B281),8)))</f>
        <v/>
      </c>
      <c r="F281" s="241" t="str">
        <f>IF($B281="","",IF(COUNTIFS(Пул!$E$5:$E$300,$B281,Пул!$I$5:$I$300,"&lt;&gt;")=0,"",ROUND(SUMIFS(Пул!$I$5:$I$300,Пул!$E$5:$E$300,$B281),8)))</f>
        <v/>
      </c>
      <c r="G281" s="240" t="str">
        <f>IF($B281="","",IF(COUNTIFS(Пул!$E$5:$E$300,$B281,Пул!$H$5:$H$300,"&lt;&gt;")=0,"",ROUND(SUMIFS(Пул!$J$5:$J$300,Пул!$E$5:$E$300,$B281),8)))</f>
        <v/>
      </c>
      <c r="H281" s="241" t="str">
        <f>IF($B281="","",IF(COUNTIFS(Пул!$E$5:$E$300,$B281,Пул!$I$5:$I$300,"&lt;&gt;")=0,"",ROUND(SUMIFS(Пул!$K$5:$K$300,Пул!$E$5:$E$300,$B281),8)))</f>
        <v/>
      </c>
      <c r="I281" s="236" t="str">
        <f>IF(AND(ISNUMBER(G281),ISNUMBER(H281)),IF(AND(G281&gt;0,H281&lt;0),"Buy",IF(AND(G281&lt;0,H281&gt;0),"Sell","")),"")</f>
        <v/>
      </c>
      <c r="J281" s="177" t="str">
        <f>IF(I281="Buy",G281,IF(I281="Sell",-G281,""))</f>
        <v/>
      </c>
      <c r="K281" s="177" t="str">
        <f>IF(AND(ISNUMBER(J281),ISNUMBER(L281),N(J281)&lt;&gt;0),ROUND(L281/J281,8),"")</f>
        <v/>
      </c>
      <c r="L281" s="177" t="str">
        <f>IF(I281="Buy",-H281,IF(I281="Sell",H281,""))</f>
        <v/>
      </c>
    </row>
    <row r="282" ht="22" customHeight="1">
      <c r="B282" s="245" t="n"/>
      <c r="C282" s="246" t="str">
        <f>IF($B282="","",IF(COUNTIFS(Пул!$E$5:$E$300,$B282,Пул!$F$5:$F$300,"&lt;&gt;")=0,"",ROUND(SUMIFS(Пул!$F$5:$F$300,Пул!$E$5:$E$300,$B282),8)))</f>
        <v/>
      </c>
      <c r="D282" s="247" t="str">
        <f>IF($B282="","",IF(COUNTIFS(Пул!$E$5:$E$300,$B282,Пул!$G$5:$G$300,"&lt;&gt;")=0,"",ROUND(SUMIFS(Пул!$G$5:$G$300,Пул!$E$5:$E$300,$B282),8)))</f>
        <v/>
      </c>
      <c r="E282" s="246" t="str">
        <f>IF($B282="","",IF(COUNTIFS(Пул!$E$5:$E$300,$B282,Пул!$H$5:$H$300,"&lt;&gt;")=0,"",ROUND(SUMIFS(Пул!$H$5:$H$300,Пул!$E$5:$E$300,$B282),8)))</f>
        <v/>
      </c>
      <c r="F282" s="247" t="str">
        <f>IF($B282="","",IF(COUNTIFS(Пул!$E$5:$E$300,$B282,Пул!$I$5:$I$300,"&lt;&gt;")=0,"",ROUND(SUMIFS(Пул!$I$5:$I$300,Пул!$E$5:$E$300,$B282),8)))</f>
        <v/>
      </c>
      <c r="G282" s="246" t="str">
        <f>IF($B282="","",IF(COUNTIFS(Пул!$E$5:$E$300,$B282,Пул!$H$5:$H$300,"&lt;&gt;")=0,"",ROUND(SUMIFS(Пул!$J$5:$J$300,Пул!$E$5:$E$300,$B282),8)))</f>
        <v/>
      </c>
      <c r="H282" s="247" t="str">
        <f>IF($B282="","",IF(COUNTIFS(Пул!$E$5:$E$300,$B282,Пул!$I$5:$I$300,"&lt;&gt;")=0,"",ROUND(SUMIFS(Пул!$K$5:$K$300,Пул!$E$5:$E$300,$B282),8)))</f>
        <v/>
      </c>
      <c r="I282" s="242" t="str">
        <f>IF(AND(ISNUMBER(G282),ISNUMBER(H282)),IF(AND(G282&gt;0,H282&lt;0),"Buy",IF(AND(G282&lt;0,H282&gt;0),"Sell","")),"")</f>
        <v/>
      </c>
      <c r="J282" s="183" t="str">
        <f>IF(I282="Buy",G282,IF(I282="Sell",-G282,""))</f>
        <v/>
      </c>
      <c r="K282" s="183" t="str">
        <f>IF(AND(ISNUMBER(J282),ISNUMBER(L282),N(J282)&lt;&gt;0),ROUND(L282/J282,8),"")</f>
        <v/>
      </c>
      <c r="L282" s="183" t="str">
        <f>IF(I282="Buy",-H282,IF(I282="Sell",H282,""))</f>
        <v/>
      </c>
    </row>
    <row r="283" ht="22" customHeight="1">
      <c r="B283" s="239" t="n"/>
      <c r="C283" s="240" t="str">
        <f>IF($B283="","",IF(COUNTIFS(Пул!$E$5:$E$300,$B283,Пул!$F$5:$F$300,"&lt;&gt;")=0,"",ROUND(SUMIFS(Пул!$F$5:$F$300,Пул!$E$5:$E$300,$B283),8)))</f>
        <v/>
      </c>
      <c r="D283" s="241" t="str">
        <f>IF($B283="","",IF(COUNTIFS(Пул!$E$5:$E$300,$B283,Пул!$G$5:$G$300,"&lt;&gt;")=0,"",ROUND(SUMIFS(Пул!$G$5:$G$300,Пул!$E$5:$E$300,$B283),8)))</f>
        <v/>
      </c>
      <c r="E283" s="240" t="str">
        <f>IF($B283="","",IF(COUNTIFS(Пул!$E$5:$E$300,$B283,Пул!$H$5:$H$300,"&lt;&gt;")=0,"",ROUND(SUMIFS(Пул!$H$5:$H$300,Пул!$E$5:$E$300,$B283),8)))</f>
        <v/>
      </c>
      <c r="F283" s="241" t="str">
        <f>IF($B283="","",IF(COUNTIFS(Пул!$E$5:$E$300,$B283,Пул!$I$5:$I$300,"&lt;&gt;")=0,"",ROUND(SUMIFS(Пул!$I$5:$I$300,Пул!$E$5:$E$300,$B283),8)))</f>
        <v/>
      </c>
      <c r="G283" s="240" t="str">
        <f>IF($B283="","",IF(COUNTIFS(Пул!$E$5:$E$300,$B283,Пул!$H$5:$H$300,"&lt;&gt;")=0,"",ROUND(SUMIFS(Пул!$J$5:$J$300,Пул!$E$5:$E$300,$B283),8)))</f>
        <v/>
      </c>
      <c r="H283" s="241" t="str">
        <f>IF($B283="","",IF(COUNTIFS(Пул!$E$5:$E$300,$B283,Пул!$I$5:$I$300,"&lt;&gt;")=0,"",ROUND(SUMIFS(Пул!$K$5:$K$300,Пул!$E$5:$E$300,$B283),8)))</f>
        <v/>
      </c>
      <c r="I283" s="236" t="str">
        <f>IF(AND(ISNUMBER(G283),ISNUMBER(H283)),IF(AND(G283&gt;0,H283&lt;0),"Buy",IF(AND(G283&lt;0,H283&gt;0),"Sell","")),"")</f>
        <v/>
      </c>
      <c r="J283" s="177" t="str">
        <f>IF(I283="Buy",G283,IF(I283="Sell",-G283,""))</f>
        <v/>
      </c>
      <c r="K283" s="177" t="str">
        <f>IF(AND(ISNUMBER(J283),ISNUMBER(L283),N(J283)&lt;&gt;0),ROUND(L283/J283,8),"")</f>
        <v/>
      </c>
      <c r="L283" s="177" t="str">
        <f>IF(I283="Buy",-H283,IF(I283="Sell",H283,""))</f>
        <v/>
      </c>
    </row>
    <row r="284" ht="22" customHeight="1">
      <c r="B284" s="245" t="n"/>
      <c r="C284" s="246" t="str">
        <f>IF($B284="","",IF(COUNTIFS(Пул!$E$5:$E$300,$B284,Пул!$F$5:$F$300,"&lt;&gt;")=0,"",ROUND(SUMIFS(Пул!$F$5:$F$300,Пул!$E$5:$E$300,$B284),8)))</f>
        <v/>
      </c>
      <c r="D284" s="247" t="str">
        <f>IF($B284="","",IF(COUNTIFS(Пул!$E$5:$E$300,$B284,Пул!$G$5:$G$300,"&lt;&gt;")=0,"",ROUND(SUMIFS(Пул!$G$5:$G$300,Пул!$E$5:$E$300,$B284),8)))</f>
        <v/>
      </c>
      <c r="E284" s="246" t="str">
        <f>IF($B284="","",IF(COUNTIFS(Пул!$E$5:$E$300,$B284,Пул!$H$5:$H$300,"&lt;&gt;")=0,"",ROUND(SUMIFS(Пул!$H$5:$H$300,Пул!$E$5:$E$300,$B284),8)))</f>
        <v/>
      </c>
      <c r="F284" s="247" t="str">
        <f>IF($B284="","",IF(COUNTIFS(Пул!$E$5:$E$300,$B284,Пул!$I$5:$I$300,"&lt;&gt;")=0,"",ROUND(SUMIFS(Пул!$I$5:$I$300,Пул!$E$5:$E$300,$B284),8)))</f>
        <v/>
      </c>
      <c r="G284" s="246" t="str">
        <f>IF($B284="","",IF(COUNTIFS(Пул!$E$5:$E$300,$B284,Пул!$H$5:$H$300,"&lt;&gt;")=0,"",ROUND(SUMIFS(Пул!$J$5:$J$300,Пул!$E$5:$E$300,$B284),8)))</f>
        <v/>
      </c>
      <c r="H284" s="247" t="str">
        <f>IF($B284="","",IF(COUNTIFS(Пул!$E$5:$E$300,$B284,Пул!$I$5:$I$300,"&lt;&gt;")=0,"",ROUND(SUMIFS(Пул!$K$5:$K$300,Пул!$E$5:$E$300,$B284),8)))</f>
        <v/>
      </c>
      <c r="I284" s="242" t="str">
        <f>IF(AND(ISNUMBER(G284),ISNUMBER(H284)),IF(AND(G284&gt;0,H284&lt;0),"Buy",IF(AND(G284&lt;0,H284&gt;0),"Sell","")),"")</f>
        <v/>
      </c>
      <c r="J284" s="183" t="str">
        <f>IF(I284="Buy",G284,IF(I284="Sell",-G284,""))</f>
        <v/>
      </c>
      <c r="K284" s="183" t="str">
        <f>IF(AND(ISNUMBER(J284),ISNUMBER(L284),N(J284)&lt;&gt;0),ROUND(L284/J284,8),"")</f>
        <v/>
      </c>
      <c r="L284" s="183" t="str">
        <f>IF(I284="Buy",-H284,IF(I284="Sell",H284,""))</f>
        <v/>
      </c>
    </row>
    <row r="285" ht="22" customHeight="1">
      <c r="B285" s="239" t="n"/>
      <c r="C285" s="240" t="str">
        <f>IF($B285="","",IF(COUNTIFS(Пул!$E$5:$E$300,$B285,Пул!$F$5:$F$300,"&lt;&gt;")=0,"",ROUND(SUMIFS(Пул!$F$5:$F$300,Пул!$E$5:$E$300,$B285),8)))</f>
        <v/>
      </c>
      <c r="D285" s="241" t="str">
        <f>IF($B285="","",IF(COUNTIFS(Пул!$E$5:$E$300,$B285,Пул!$G$5:$G$300,"&lt;&gt;")=0,"",ROUND(SUMIFS(Пул!$G$5:$G$300,Пул!$E$5:$E$300,$B285),8)))</f>
        <v/>
      </c>
      <c r="E285" s="240" t="str">
        <f>IF($B285="","",IF(COUNTIFS(Пул!$E$5:$E$300,$B285,Пул!$H$5:$H$300,"&lt;&gt;")=0,"",ROUND(SUMIFS(Пул!$H$5:$H$300,Пул!$E$5:$E$300,$B285),8)))</f>
        <v/>
      </c>
      <c r="F285" s="241" t="str">
        <f>IF($B285="","",IF(COUNTIFS(Пул!$E$5:$E$300,$B285,Пул!$I$5:$I$300,"&lt;&gt;")=0,"",ROUND(SUMIFS(Пул!$I$5:$I$300,Пул!$E$5:$E$300,$B285),8)))</f>
        <v/>
      </c>
      <c r="G285" s="240" t="str">
        <f>IF($B285="","",IF(COUNTIFS(Пул!$E$5:$E$300,$B285,Пул!$H$5:$H$300,"&lt;&gt;")=0,"",ROUND(SUMIFS(Пул!$J$5:$J$300,Пул!$E$5:$E$300,$B285),8)))</f>
        <v/>
      </c>
      <c r="H285" s="241" t="str">
        <f>IF($B285="","",IF(COUNTIFS(Пул!$E$5:$E$300,$B285,Пул!$I$5:$I$300,"&lt;&gt;")=0,"",ROUND(SUMIFS(Пул!$K$5:$K$300,Пул!$E$5:$E$300,$B285),8)))</f>
        <v/>
      </c>
      <c r="I285" s="236" t="str">
        <f>IF(AND(ISNUMBER(G285),ISNUMBER(H285)),IF(AND(G285&gt;0,H285&lt;0),"Buy",IF(AND(G285&lt;0,H285&gt;0),"Sell","")),"")</f>
        <v/>
      </c>
      <c r="J285" s="177" t="str">
        <f>IF(I285="Buy",G285,IF(I285="Sell",-G285,""))</f>
        <v/>
      </c>
      <c r="K285" s="177" t="str">
        <f>IF(AND(ISNUMBER(J285),ISNUMBER(L285),N(J285)&lt;&gt;0),ROUND(L285/J285,8),"")</f>
        <v/>
      </c>
      <c r="L285" s="177" t="str">
        <f>IF(I285="Buy",-H285,IF(I285="Sell",H285,""))</f>
        <v/>
      </c>
    </row>
    <row r="286" ht="22" customHeight="1">
      <c r="B286" s="245" t="n"/>
      <c r="C286" s="246" t="str">
        <f>IF($B286="","",IF(COUNTIFS(Пул!$E$5:$E$300,$B286,Пул!$F$5:$F$300,"&lt;&gt;")=0,"",ROUND(SUMIFS(Пул!$F$5:$F$300,Пул!$E$5:$E$300,$B286),8)))</f>
        <v/>
      </c>
      <c r="D286" s="247" t="str">
        <f>IF($B286="","",IF(COUNTIFS(Пул!$E$5:$E$300,$B286,Пул!$G$5:$G$300,"&lt;&gt;")=0,"",ROUND(SUMIFS(Пул!$G$5:$G$300,Пул!$E$5:$E$300,$B286),8)))</f>
        <v/>
      </c>
      <c r="E286" s="246" t="str">
        <f>IF($B286="","",IF(COUNTIFS(Пул!$E$5:$E$300,$B286,Пул!$H$5:$H$300,"&lt;&gt;")=0,"",ROUND(SUMIFS(Пул!$H$5:$H$300,Пул!$E$5:$E$300,$B286),8)))</f>
        <v/>
      </c>
      <c r="F286" s="247" t="str">
        <f>IF($B286="","",IF(COUNTIFS(Пул!$E$5:$E$300,$B286,Пул!$I$5:$I$300,"&lt;&gt;")=0,"",ROUND(SUMIFS(Пул!$I$5:$I$300,Пул!$E$5:$E$300,$B286),8)))</f>
        <v/>
      </c>
      <c r="G286" s="246" t="str">
        <f>IF($B286="","",IF(COUNTIFS(Пул!$E$5:$E$300,$B286,Пул!$H$5:$H$300,"&lt;&gt;")=0,"",ROUND(SUMIFS(Пул!$J$5:$J$300,Пул!$E$5:$E$300,$B286),8)))</f>
        <v/>
      </c>
      <c r="H286" s="247" t="str">
        <f>IF($B286="","",IF(COUNTIFS(Пул!$E$5:$E$300,$B286,Пул!$I$5:$I$300,"&lt;&gt;")=0,"",ROUND(SUMIFS(Пул!$K$5:$K$300,Пул!$E$5:$E$300,$B286),8)))</f>
        <v/>
      </c>
      <c r="I286" s="242" t="str">
        <f>IF(AND(ISNUMBER(G286),ISNUMBER(H286)),IF(AND(G286&gt;0,H286&lt;0),"Buy",IF(AND(G286&lt;0,H286&gt;0),"Sell","")),"")</f>
        <v/>
      </c>
      <c r="J286" s="183" t="str">
        <f>IF(I286="Buy",G286,IF(I286="Sell",-G286,""))</f>
        <v/>
      </c>
      <c r="K286" s="183" t="str">
        <f>IF(AND(ISNUMBER(J286),ISNUMBER(L286),N(J286)&lt;&gt;0),ROUND(L286/J286,8),"")</f>
        <v/>
      </c>
      <c r="L286" s="183" t="str">
        <f>IF(I286="Buy",-H286,IF(I286="Sell",H286,""))</f>
        <v/>
      </c>
    </row>
    <row r="287" ht="22" customHeight="1">
      <c r="B287" s="239" t="n"/>
      <c r="C287" s="240" t="str">
        <f>IF($B287="","",IF(COUNTIFS(Пул!$E$5:$E$300,$B287,Пул!$F$5:$F$300,"&lt;&gt;")=0,"",ROUND(SUMIFS(Пул!$F$5:$F$300,Пул!$E$5:$E$300,$B287),8)))</f>
        <v/>
      </c>
      <c r="D287" s="241" t="str">
        <f>IF($B287="","",IF(COUNTIFS(Пул!$E$5:$E$300,$B287,Пул!$G$5:$G$300,"&lt;&gt;")=0,"",ROUND(SUMIFS(Пул!$G$5:$G$300,Пул!$E$5:$E$300,$B287),8)))</f>
        <v/>
      </c>
      <c r="E287" s="240" t="str">
        <f>IF($B287="","",IF(COUNTIFS(Пул!$E$5:$E$300,$B287,Пул!$H$5:$H$300,"&lt;&gt;")=0,"",ROUND(SUMIFS(Пул!$H$5:$H$300,Пул!$E$5:$E$300,$B287),8)))</f>
        <v/>
      </c>
      <c r="F287" s="241" t="str">
        <f>IF($B287="","",IF(COUNTIFS(Пул!$E$5:$E$300,$B287,Пул!$I$5:$I$300,"&lt;&gt;")=0,"",ROUND(SUMIFS(Пул!$I$5:$I$300,Пул!$E$5:$E$300,$B287),8)))</f>
        <v/>
      </c>
      <c r="G287" s="240" t="str">
        <f>IF($B287="","",IF(COUNTIFS(Пул!$E$5:$E$300,$B287,Пул!$H$5:$H$300,"&lt;&gt;")=0,"",ROUND(SUMIFS(Пул!$J$5:$J$300,Пул!$E$5:$E$300,$B287),8)))</f>
        <v/>
      </c>
      <c r="H287" s="241" t="str">
        <f>IF($B287="","",IF(COUNTIFS(Пул!$E$5:$E$300,$B287,Пул!$I$5:$I$300,"&lt;&gt;")=0,"",ROUND(SUMIFS(Пул!$K$5:$K$300,Пул!$E$5:$E$300,$B287),8)))</f>
        <v/>
      </c>
      <c r="I287" s="236" t="str">
        <f>IF(AND(ISNUMBER(G287),ISNUMBER(H287)),IF(AND(G287&gt;0,H287&lt;0),"Buy",IF(AND(G287&lt;0,H287&gt;0),"Sell","")),"")</f>
        <v/>
      </c>
      <c r="J287" s="177" t="str">
        <f>IF(I287="Buy",G287,IF(I287="Sell",-G287,""))</f>
        <v/>
      </c>
      <c r="K287" s="177" t="str">
        <f>IF(AND(ISNUMBER(J287),ISNUMBER(L287),N(J287)&lt;&gt;0),ROUND(L287/J287,8),"")</f>
        <v/>
      </c>
      <c r="L287" s="177" t="str">
        <f>IF(I287="Buy",-H287,IF(I287="Sell",H287,""))</f>
        <v/>
      </c>
    </row>
    <row r="288" ht="22" customHeight="1">
      <c r="B288" s="245" t="n"/>
      <c r="C288" s="246" t="str">
        <f>IF($B288="","",IF(COUNTIFS(Пул!$E$5:$E$300,$B288,Пул!$F$5:$F$300,"&lt;&gt;")=0,"",ROUND(SUMIFS(Пул!$F$5:$F$300,Пул!$E$5:$E$300,$B288),8)))</f>
        <v/>
      </c>
      <c r="D288" s="247" t="str">
        <f>IF($B288="","",IF(COUNTIFS(Пул!$E$5:$E$300,$B288,Пул!$G$5:$G$300,"&lt;&gt;")=0,"",ROUND(SUMIFS(Пул!$G$5:$G$300,Пул!$E$5:$E$300,$B288),8)))</f>
        <v/>
      </c>
      <c r="E288" s="246" t="str">
        <f>IF($B288="","",IF(COUNTIFS(Пул!$E$5:$E$300,$B288,Пул!$H$5:$H$300,"&lt;&gt;")=0,"",ROUND(SUMIFS(Пул!$H$5:$H$300,Пул!$E$5:$E$300,$B288),8)))</f>
        <v/>
      </c>
      <c r="F288" s="247" t="str">
        <f>IF($B288="","",IF(COUNTIFS(Пул!$E$5:$E$300,$B288,Пул!$I$5:$I$300,"&lt;&gt;")=0,"",ROUND(SUMIFS(Пул!$I$5:$I$300,Пул!$E$5:$E$300,$B288),8)))</f>
        <v/>
      </c>
      <c r="G288" s="246" t="str">
        <f>IF($B288="","",IF(COUNTIFS(Пул!$E$5:$E$300,$B288,Пул!$H$5:$H$300,"&lt;&gt;")=0,"",ROUND(SUMIFS(Пул!$J$5:$J$300,Пул!$E$5:$E$300,$B288),8)))</f>
        <v/>
      </c>
      <c r="H288" s="247" t="str">
        <f>IF($B288="","",IF(COUNTIFS(Пул!$E$5:$E$300,$B288,Пул!$I$5:$I$300,"&lt;&gt;")=0,"",ROUND(SUMIFS(Пул!$K$5:$K$300,Пул!$E$5:$E$300,$B288),8)))</f>
        <v/>
      </c>
      <c r="I288" s="242" t="str">
        <f>IF(AND(ISNUMBER(G288),ISNUMBER(H288)),IF(AND(G288&gt;0,H288&lt;0),"Buy",IF(AND(G288&lt;0,H288&gt;0),"Sell","")),"")</f>
        <v/>
      </c>
      <c r="J288" s="183" t="str">
        <f>IF(I288="Buy",G288,IF(I288="Sell",-G288,""))</f>
        <v/>
      </c>
      <c r="K288" s="183" t="str">
        <f>IF(AND(ISNUMBER(J288),ISNUMBER(L288),N(J288)&lt;&gt;0),ROUND(L288/J288,8),"")</f>
        <v/>
      </c>
      <c r="L288" s="183" t="str">
        <f>IF(I288="Buy",-H288,IF(I288="Sell",H288,""))</f>
        <v/>
      </c>
    </row>
    <row r="289" ht="22" customHeight="1">
      <c r="B289" s="239" t="n"/>
      <c r="C289" s="240" t="str">
        <f>IF($B289="","",IF(COUNTIFS(Пул!$E$5:$E$300,$B289,Пул!$F$5:$F$300,"&lt;&gt;")=0,"",ROUND(SUMIFS(Пул!$F$5:$F$300,Пул!$E$5:$E$300,$B289),8)))</f>
        <v/>
      </c>
      <c r="D289" s="241" t="str">
        <f>IF($B289="","",IF(COUNTIFS(Пул!$E$5:$E$300,$B289,Пул!$G$5:$G$300,"&lt;&gt;")=0,"",ROUND(SUMIFS(Пул!$G$5:$G$300,Пул!$E$5:$E$300,$B289),8)))</f>
        <v/>
      </c>
      <c r="E289" s="240" t="str">
        <f>IF($B289="","",IF(COUNTIFS(Пул!$E$5:$E$300,$B289,Пул!$H$5:$H$300,"&lt;&gt;")=0,"",ROUND(SUMIFS(Пул!$H$5:$H$300,Пул!$E$5:$E$300,$B289),8)))</f>
        <v/>
      </c>
      <c r="F289" s="241" t="str">
        <f>IF($B289="","",IF(COUNTIFS(Пул!$E$5:$E$300,$B289,Пул!$I$5:$I$300,"&lt;&gt;")=0,"",ROUND(SUMIFS(Пул!$I$5:$I$300,Пул!$E$5:$E$300,$B289),8)))</f>
        <v/>
      </c>
      <c r="G289" s="240" t="str">
        <f>IF($B289="","",IF(COUNTIFS(Пул!$E$5:$E$300,$B289,Пул!$H$5:$H$300,"&lt;&gt;")=0,"",ROUND(SUMIFS(Пул!$J$5:$J$300,Пул!$E$5:$E$300,$B289),8)))</f>
        <v/>
      </c>
      <c r="H289" s="241" t="str">
        <f>IF($B289="","",IF(COUNTIFS(Пул!$E$5:$E$300,$B289,Пул!$I$5:$I$300,"&lt;&gt;")=0,"",ROUND(SUMIFS(Пул!$K$5:$K$300,Пул!$E$5:$E$300,$B289),8)))</f>
        <v/>
      </c>
      <c r="I289" s="236" t="str">
        <f>IF(AND(ISNUMBER(G289),ISNUMBER(H289)),IF(AND(G289&gt;0,H289&lt;0),"Buy",IF(AND(G289&lt;0,H289&gt;0),"Sell","")),"")</f>
        <v/>
      </c>
      <c r="J289" s="177" t="str">
        <f>IF(I289="Buy",G289,IF(I289="Sell",-G289,""))</f>
        <v/>
      </c>
      <c r="K289" s="177" t="str">
        <f>IF(AND(ISNUMBER(J289),ISNUMBER(L289),N(J289)&lt;&gt;0),ROUND(L289/J289,8),"")</f>
        <v/>
      </c>
      <c r="L289" s="177" t="str">
        <f>IF(I289="Buy",-H289,IF(I289="Sell",H289,""))</f>
        <v/>
      </c>
    </row>
    <row r="290" ht="22" customHeight="1">
      <c r="B290" s="245" t="n"/>
      <c r="C290" s="246" t="str">
        <f>IF($B290="","",IF(COUNTIFS(Пул!$E$5:$E$300,$B290,Пул!$F$5:$F$300,"&lt;&gt;")=0,"",ROUND(SUMIFS(Пул!$F$5:$F$300,Пул!$E$5:$E$300,$B290),8)))</f>
        <v/>
      </c>
      <c r="D290" s="247" t="str">
        <f>IF($B290="","",IF(COUNTIFS(Пул!$E$5:$E$300,$B290,Пул!$G$5:$G$300,"&lt;&gt;")=0,"",ROUND(SUMIFS(Пул!$G$5:$G$300,Пул!$E$5:$E$300,$B290),8)))</f>
        <v/>
      </c>
      <c r="E290" s="246" t="str">
        <f>IF($B290="","",IF(COUNTIFS(Пул!$E$5:$E$300,$B290,Пул!$H$5:$H$300,"&lt;&gt;")=0,"",ROUND(SUMIFS(Пул!$H$5:$H$300,Пул!$E$5:$E$300,$B290),8)))</f>
        <v/>
      </c>
      <c r="F290" s="247" t="str">
        <f>IF($B290="","",IF(COUNTIFS(Пул!$E$5:$E$300,$B290,Пул!$I$5:$I$300,"&lt;&gt;")=0,"",ROUND(SUMIFS(Пул!$I$5:$I$300,Пул!$E$5:$E$300,$B290),8)))</f>
        <v/>
      </c>
      <c r="G290" s="246" t="str">
        <f>IF($B290="","",IF(COUNTIFS(Пул!$E$5:$E$300,$B290,Пул!$H$5:$H$300,"&lt;&gt;")=0,"",ROUND(SUMIFS(Пул!$J$5:$J$300,Пул!$E$5:$E$300,$B290),8)))</f>
        <v/>
      </c>
      <c r="H290" s="247" t="str">
        <f>IF($B290="","",IF(COUNTIFS(Пул!$E$5:$E$300,$B290,Пул!$I$5:$I$300,"&lt;&gt;")=0,"",ROUND(SUMIFS(Пул!$K$5:$K$300,Пул!$E$5:$E$300,$B290),8)))</f>
        <v/>
      </c>
      <c r="I290" s="242" t="str">
        <f>IF(AND(ISNUMBER(G290),ISNUMBER(H290)),IF(AND(G290&gt;0,H290&lt;0),"Buy",IF(AND(G290&lt;0,H290&gt;0),"Sell","")),"")</f>
        <v/>
      </c>
      <c r="J290" s="183" t="str">
        <f>IF(I290="Buy",G290,IF(I290="Sell",-G290,""))</f>
        <v/>
      </c>
      <c r="K290" s="183" t="str">
        <f>IF(AND(ISNUMBER(J290),ISNUMBER(L290),N(J290)&lt;&gt;0),ROUND(L290/J290,8),"")</f>
        <v/>
      </c>
      <c r="L290" s="183" t="str">
        <f>IF(I290="Buy",-H290,IF(I290="Sell",H290,""))</f>
        <v/>
      </c>
    </row>
    <row r="291" ht="22" customHeight="1">
      <c r="B291" s="239" t="n"/>
      <c r="C291" s="240" t="str">
        <f>IF($B291="","",IF(COUNTIFS(Пул!$E$5:$E$300,$B291,Пул!$F$5:$F$300,"&lt;&gt;")=0,"",ROUND(SUMIFS(Пул!$F$5:$F$300,Пул!$E$5:$E$300,$B291),8)))</f>
        <v/>
      </c>
      <c r="D291" s="241" t="str">
        <f>IF($B291="","",IF(COUNTIFS(Пул!$E$5:$E$300,$B291,Пул!$G$5:$G$300,"&lt;&gt;")=0,"",ROUND(SUMIFS(Пул!$G$5:$G$300,Пул!$E$5:$E$300,$B291),8)))</f>
        <v/>
      </c>
      <c r="E291" s="240" t="str">
        <f>IF($B291="","",IF(COUNTIFS(Пул!$E$5:$E$300,$B291,Пул!$H$5:$H$300,"&lt;&gt;")=0,"",ROUND(SUMIFS(Пул!$H$5:$H$300,Пул!$E$5:$E$300,$B291),8)))</f>
        <v/>
      </c>
      <c r="F291" s="241" t="str">
        <f>IF($B291="","",IF(COUNTIFS(Пул!$E$5:$E$300,$B291,Пул!$I$5:$I$300,"&lt;&gt;")=0,"",ROUND(SUMIFS(Пул!$I$5:$I$300,Пул!$E$5:$E$300,$B291),8)))</f>
        <v/>
      </c>
      <c r="G291" s="240" t="str">
        <f>IF($B291="","",IF(COUNTIFS(Пул!$E$5:$E$300,$B291,Пул!$H$5:$H$300,"&lt;&gt;")=0,"",ROUND(SUMIFS(Пул!$J$5:$J$300,Пул!$E$5:$E$300,$B291),8)))</f>
        <v/>
      </c>
      <c r="H291" s="241" t="str">
        <f>IF($B291="","",IF(COUNTIFS(Пул!$E$5:$E$300,$B291,Пул!$I$5:$I$300,"&lt;&gt;")=0,"",ROUND(SUMIFS(Пул!$K$5:$K$300,Пул!$E$5:$E$300,$B291),8)))</f>
        <v/>
      </c>
      <c r="I291" s="236" t="str">
        <f>IF(AND(ISNUMBER(G291),ISNUMBER(H291)),IF(AND(G291&gt;0,H291&lt;0),"Buy",IF(AND(G291&lt;0,H291&gt;0),"Sell","")),"")</f>
        <v/>
      </c>
      <c r="J291" s="177" t="str">
        <f>IF(I291="Buy",G291,IF(I291="Sell",-G291,""))</f>
        <v/>
      </c>
      <c r="K291" s="177" t="str">
        <f>IF(AND(ISNUMBER(J291),ISNUMBER(L291),N(J291)&lt;&gt;0),ROUND(L291/J291,8),"")</f>
        <v/>
      </c>
      <c r="L291" s="177" t="str">
        <f>IF(I291="Buy",-H291,IF(I291="Sell",H291,""))</f>
        <v/>
      </c>
    </row>
    <row r="292" ht="22" customHeight="1">
      <c r="B292" s="245" t="n"/>
      <c r="C292" s="246" t="str">
        <f>IF($B292="","",IF(COUNTIFS(Пул!$E$5:$E$300,$B292,Пул!$F$5:$F$300,"&lt;&gt;")=0,"",ROUND(SUMIFS(Пул!$F$5:$F$300,Пул!$E$5:$E$300,$B292),8)))</f>
        <v/>
      </c>
      <c r="D292" s="247" t="str">
        <f>IF($B292="","",IF(COUNTIFS(Пул!$E$5:$E$300,$B292,Пул!$G$5:$G$300,"&lt;&gt;")=0,"",ROUND(SUMIFS(Пул!$G$5:$G$300,Пул!$E$5:$E$300,$B292),8)))</f>
        <v/>
      </c>
      <c r="E292" s="246" t="str">
        <f>IF($B292="","",IF(COUNTIFS(Пул!$E$5:$E$300,$B292,Пул!$H$5:$H$300,"&lt;&gt;")=0,"",ROUND(SUMIFS(Пул!$H$5:$H$300,Пул!$E$5:$E$300,$B292),8)))</f>
        <v/>
      </c>
      <c r="F292" s="247" t="str">
        <f>IF($B292="","",IF(COUNTIFS(Пул!$E$5:$E$300,$B292,Пул!$I$5:$I$300,"&lt;&gt;")=0,"",ROUND(SUMIFS(Пул!$I$5:$I$300,Пул!$E$5:$E$300,$B292),8)))</f>
        <v/>
      </c>
      <c r="G292" s="246" t="str">
        <f>IF($B292="","",IF(COUNTIFS(Пул!$E$5:$E$300,$B292,Пул!$H$5:$H$300,"&lt;&gt;")=0,"",ROUND(SUMIFS(Пул!$J$5:$J$300,Пул!$E$5:$E$300,$B292),8)))</f>
        <v/>
      </c>
      <c r="H292" s="247" t="str">
        <f>IF($B292="","",IF(COUNTIFS(Пул!$E$5:$E$300,$B292,Пул!$I$5:$I$300,"&lt;&gt;")=0,"",ROUND(SUMIFS(Пул!$K$5:$K$300,Пул!$E$5:$E$300,$B292),8)))</f>
        <v/>
      </c>
      <c r="I292" s="242" t="str">
        <f>IF(AND(ISNUMBER(G292),ISNUMBER(H292)),IF(AND(G292&gt;0,H292&lt;0),"Buy",IF(AND(G292&lt;0,H292&gt;0),"Sell","")),"")</f>
        <v/>
      </c>
      <c r="J292" s="183" t="str">
        <f>IF(I292="Buy",G292,IF(I292="Sell",-G292,""))</f>
        <v/>
      </c>
      <c r="K292" s="183" t="str">
        <f>IF(AND(ISNUMBER(J292),ISNUMBER(L292),N(J292)&lt;&gt;0),ROUND(L292/J292,8),"")</f>
        <v/>
      </c>
      <c r="L292" s="183" t="str">
        <f>IF(I292="Buy",-H292,IF(I292="Sell",H292,""))</f>
        <v/>
      </c>
    </row>
    <row r="293" ht="22" customHeight="1">
      <c r="B293" s="239" t="n"/>
      <c r="C293" s="240" t="str">
        <f>IF($B293="","",IF(COUNTIFS(Пул!$E$5:$E$300,$B293,Пул!$F$5:$F$300,"&lt;&gt;")=0,"",ROUND(SUMIFS(Пул!$F$5:$F$300,Пул!$E$5:$E$300,$B293),8)))</f>
        <v/>
      </c>
      <c r="D293" s="241" t="str">
        <f>IF($B293="","",IF(COUNTIFS(Пул!$E$5:$E$300,$B293,Пул!$G$5:$G$300,"&lt;&gt;")=0,"",ROUND(SUMIFS(Пул!$G$5:$G$300,Пул!$E$5:$E$300,$B293),8)))</f>
        <v/>
      </c>
      <c r="E293" s="240" t="str">
        <f>IF($B293="","",IF(COUNTIFS(Пул!$E$5:$E$300,$B293,Пул!$H$5:$H$300,"&lt;&gt;")=0,"",ROUND(SUMIFS(Пул!$H$5:$H$300,Пул!$E$5:$E$300,$B293),8)))</f>
        <v/>
      </c>
      <c r="F293" s="241" t="str">
        <f>IF($B293="","",IF(COUNTIFS(Пул!$E$5:$E$300,$B293,Пул!$I$5:$I$300,"&lt;&gt;")=0,"",ROUND(SUMIFS(Пул!$I$5:$I$300,Пул!$E$5:$E$300,$B293),8)))</f>
        <v/>
      </c>
      <c r="G293" s="240" t="str">
        <f>IF($B293="","",IF(COUNTIFS(Пул!$E$5:$E$300,$B293,Пул!$H$5:$H$300,"&lt;&gt;")=0,"",ROUND(SUMIFS(Пул!$J$5:$J$300,Пул!$E$5:$E$300,$B293),8)))</f>
        <v/>
      </c>
      <c r="H293" s="241" t="str">
        <f>IF($B293="","",IF(COUNTIFS(Пул!$E$5:$E$300,$B293,Пул!$I$5:$I$300,"&lt;&gt;")=0,"",ROUND(SUMIFS(Пул!$K$5:$K$300,Пул!$E$5:$E$300,$B293),8)))</f>
        <v/>
      </c>
      <c r="I293" s="236" t="str">
        <f>IF(AND(ISNUMBER(G293),ISNUMBER(H293)),IF(AND(G293&gt;0,H293&lt;0),"Buy",IF(AND(G293&lt;0,H293&gt;0),"Sell","")),"")</f>
        <v/>
      </c>
      <c r="J293" s="177" t="str">
        <f>IF(I293="Buy",G293,IF(I293="Sell",-G293,""))</f>
        <v/>
      </c>
      <c r="K293" s="177" t="str">
        <f>IF(AND(ISNUMBER(J293),ISNUMBER(L293),N(J293)&lt;&gt;0),ROUND(L293/J293,8),"")</f>
        <v/>
      </c>
      <c r="L293" s="177" t="str">
        <f>IF(I293="Buy",-H293,IF(I293="Sell",H293,""))</f>
        <v/>
      </c>
    </row>
    <row r="294" ht="22" customHeight="1">
      <c r="B294" s="245" t="n"/>
      <c r="C294" s="246" t="str">
        <f>IF($B294="","",IF(COUNTIFS(Пул!$E$5:$E$300,$B294,Пул!$F$5:$F$300,"&lt;&gt;")=0,"",ROUND(SUMIFS(Пул!$F$5:$F$300,Пул!$E$5:$E$300,$B294),8)))</f>
        <v/>
      </c>
      <c r="D294" s="247" t="str">
        <f>IF($B294="","",IF(COUNTIFS(Пул!$E$5:$E$300,$B294,Пул!$G$5:$G$300,"&lt;&gt;")=0,"",ROUND(SUMIFS(Пул!$G$5:$G$300,Пул!$E$5:$E$300,$B294),8)))</f>
        <v/>
      </c>
      <c r="E294" s="246" t="str">
        <f>IF($B294="","",IF(COUNTIFS(Пул!$E$5:$E$300,$B294,Пул!$H$5:$H$300,"&lt;&gt;")=0,"",ROUND(SUMIFS(Пул!$H$5:$H$300,Пул!$E$5:$E$300,$B294),8)))</f>
        <v/>
      </c>
      <c r="F294" s="247" t="str">
        <f>IF($B294="","",IF(COUNTIFS(Пул!$E$5:$E$300,$B294,Пул!$I$5:$I$300,"&lt;&gt;")=0,"",ROUND(SUMIFS(Пул!$I$5:$I$300,Пул!$E$5:$E$300,$B294),8)))</f>
        <v/>
      </c>
      <c r="G294" s="246" t="str">
        <f>IF($B294="","",IF(COUNTIFS(Пул!$E$5:$E$300,$B294,Пул!$H$5:$H$300,"&lt;&gt;")=0,"",ROUND(SUMIFS(Пул!$J$5:$J$300,Пул!$E$5:$E$300,$B294),8)))</f>
        <v/>
      </c>
      <c r="H294" s="247" t="str">
        <f>IF($B294="","",IF(COUNTIFS(Пул!$E$5:$E$300,$B294,Пул!$I$5:$I$300,"&lt;&gt;")=0,"",ROUND(SUMIFS(Пул!$K$5:$K$300,Пул!$E$5:$E$300,$B294),8)))</f>
        <v/>
      </c>
      <c r="I294" s="242" t="str">
        <f>IF(AND(ISNUMBER(G294),ISNUMBER(H294)),IF(AND(G294&gt;0,H294&lt;0),"Buy",IF(AND(G294&lt;0,H294&gt;0),"Sell","")),"")</f>
        <v/>
      </c>
      <c r="J294" s="183" t="str">
        <f>IF(I294="Buy",G294,IF(I294="Sell",-G294,""))</f>
        <v/>
      </c>
      <c r="K294" s="183" t="str">
        <f>IF(AND(ISNUMBER(J294),ISNUMBER(L294),N(J294)&lt;&gt;0),ROUND(L294/J294,8),"")</f>
        <v/>
      </c>
      <c r="L294" s="183" t="str">
        <f>IF(I294="Buy",-H294,IF(I294="Sell",H294,""))</f>
        <v/>
      </c>
    </row>
    <row r="295" ht="22" customHeight="1">
      <c r="B295" s="239" t="n"/>
      <c r="C295" s="240" t="str">
        <f>IF($B295="","",IF(COUNTIFS(Пул!$E$5:$E$300,$B295,Пул!$F$5:$F$300,"&lt;&gt;")=0,"",ROUND(SUMIFS(Пул!$F$5:$F$300,Пул!$E$5:$E$300,$B295),8)))</f>
        <v/>
      </c>
      <c r="D295" s="241" t="str">
        <f>IF($B295="","",IF(COUNTIFS(Пул!$E$5:$E$300,$B295,Пул!$G$5:$G$300,"&lt;&gt;")=0,"",ROUND(SUMIFS(Пул!$G$5:$G$300,Пул!$E$5:$E$300,$B295),8)))</f>
        <v/>
      </c>
      <c r="E295" s="240" t="str">
        <f>IF($B295="","",IF(COUNTIFS(Пул!$E$5:$E$300,$B295,Пул!$H$5:$H$300,"&lt;&gt;")=0,"",ROUND(SUMIFS(Пул!$H$5:$H$300,Пул!$E$5:$E$300,$B295),8)))</f>
        <v/>
      </c>
      <c r="F295" s="241" t="str">
        <f>IF($B295="","",IF(COUNTIFS(Пул!$E$5:$E$300,$B295,Пул!$I$5:$I$300,"&lt;&gt;")=0,"",ROUND(SUMIFS(Пул!$I$5:$I$300,Пул!$E$5:$E$300,$B295),8)))</f>
        <v/>
      </c>
      <c r="G295" s="240" t="str">
        <f>IF($B295="","",IF(COUNTIFS(Пул!$E$5:$E$300,$B295,Пул!$H$5:$H$300,"&lt;&gt;")=0,"",ROUND(SUMIFS(Пул!$J$5:$J$300,Пул!$E$5:$E$300,$B295),8)))</f>
        <v/>
      </c>
      <c r="H295" s="241" t="str">
        <f>IF($B295="","",IF(COUNTIFS(Пул!$E$5:$E$300,$B295,Пул!$I$5:$I$300,"&lt;&gt;")=0,"",ROUND(SUMIFS(Пул!$K$5:$K$300,Пул!$E$5:$E$300,$B295),8)))</f>
        <v/>
      </c>
      <c r="I295" s="236" t="str">
        <f>IF(AND(ISNUMBER(G295),ISNUMBER(H295)),IF(AND(G295&gt;0,H295&lt;0),"Buy",IF(AND(G295&lt;0,H295&gt;0),"Sell","")),"")</f>
        <v/>
      </c>
      <c r="J295" s="177" t="str">
        <f>IF(I295="Buy",G295,IF(I295="Sell",-G295,""))</f>
        <v/>
      </c>
      <c r="K295" s="177" t="str">
        <f>IF(AND(ISNUMBER(J295),ISNUMBER(L295),N(J295)&lt;&gt;0),ROUND(L295/J295,8),"")</f>
        <v/>
      </c>
      <c r="L295" s="177" t="str">
        <f>IF(I295="Buy",-H295,IF(I295="Sell",H295,""))</f>
        <v/>
      </c>
    </row>
    <row r="296" ht="22" customHeight="1">
      <c r="B296" s="245" t="n"/>
      <c r="C296" s="246" t="str">
        <f>IF($B296="","",IF(COUNTIFS(Пул!$E$5:$E$300,$B296,Пул!$F$5:$F$300,"&lt;&gt;")=0,"",ROUND(SUMIFS(Пул!$F$5:$F$300,Пул!$E$5:$E$300,$B296),8)))</f>
        <v/>
      </c>
      <c r="D296" s="247" t="str">
        <f>IF($B296="","",IF(COUNTIFS(Пул!$E$5:$E$300,$B296,Пул!$G$5:$G$300,"&lt;&gt;")=0,"",ROUND(SUMIFS(Пул!$G$5:$G$300,Пул!$E$5:$E$300,$B296),8)))</f>
        <v/>
      </c>
      <c r="E296" s="246" t="str">
        <f>IF($B296="","",IF(COUNTIFS(Пул!$E$5:$E$300,$B296,Пул!$H$5:$H$300,"&lt;&gt;")=0,"",ROUND(SUMIFS(Пул!$H$5:$H$300,Пул!$E$5:$E$300,$B296),8)))</f>
        <v/>
      </c>
      <c r="F296" s="247" t="str">
        <f>IF($B296="","",IF(COUNTIFS(Пул!$E$5:$E$300,$B296,Пул!$I$5:$I$300,"&lt;&gt;")=0,"",ROUND(SUMIFS(Пул!$I$5:$I$300,Пул!$E$5:$E$300,$B296),8)))</f>
        <v/>
      </c>
      <c r="G296" s="246" t="str">
        <f>IF($B296="","",IF(COUNTIFS(Пул!$E$5:$E$300,$B296,Пул!$H$5:$H$300,"&lt;&gt;")=0,"",ROUND(SUMIFS(Пул!$J$5:$J$300,Пул!$E$5:$E$300,$B296),8)))</f>
        <v/>
      </c>
      <c r="H296" s="247" t="str">
        <f>IF($B296="","",IF(COUNTIFS(Пул!$E$5:$E$300,$B296,Пул!$I$5:$I$300,"&lt;&gt;")=0,"",ROUND(SUMIFS(Пул!$K$5:$K$300,Пул!$E$5:$E$300,$B296),8)))</f>
        <v/>
      </c>
      <c r="I296" s="242" t="str">
        <f>IF(AND(ISNUMBER(G296),ISNUMBER(H296)),IF(AND(G296&gt;0,H296&lt;0),"Buy",IF(AND(G296&lt;0,H296&gt;0),"Sell","")),"")</f>
        <v/>
      </c>
      <c r="J296" s="183" t="str">
        <f>IF(I296="Buy",G296,IF(I296="Sell",-G296,""))</f>
        <v/>
      </c>
      <c r="K296" s="183" t="str">
        <f>IF(AND(ISNUMBER(J296),ISNUMBER(L296),N(J296)&lt;&gt;0),ROUND(L296/J296,8),"")</f>
        <v/>
      </c>
      <c r="L296" s="183" t="str">
        <f>IF(I296="Buy",-H296,IF(I296="Sell",H296,""))</f>
        <v/>
      </c>
    </row>
    <row r="297" ht="22" customHeight="1">
      <c r="B297" s="239" t="n"/>
      <c r="C297" s="240" t="str">
        <f>IF($B297="","",IF(COUNTIFS(Пул!$E$5:$E$300,$B297,Пул!$F$5:$F$300,"&lt;&gt;")=0,"",ROUND(SUMIFS(Пул!$F$5:$F$300,Пул!$E$5:$E$300,$B297),8)))</f>
        <v/>
      </c>
      <c r="D297" s="241" t="str">
        <f>IF($B297="","",IF(COUNTIFS(Пул!$E$5:$E$300,$B297,Пул!$G$5:$G$300,"&lt;&gt;")=0,"",ROUND(SUMIFS(Пул!$G$5:$G$300,Пул!$E$5:$E$300,$B297),8)))</f>
        <v/>
      </c>
      <c r="E297" s="240" t="str">
        <f>IF($B297="","",IF(COUNTIFS(Пул!$E$5:$E$300,$B297,Пул!$H$5:$H$300,"&lt;&gt;")=0,"",ROUND(SUMIFS(Пул!$H$5:$H$300,Пул!$E$5:$E$300,$B297),8)))</f>
        <v/>
      </c>
      <c r="F297" s="241" t="str">
        <f>IF($B297="","",IF(COUNTIFS(Пул!$E$5:$E$300,$B297,Пул!$I$5:$I$300,"&lt;&gt;")=0,"",ROUND(SUMIFS(Пул!$I$5:$I$300,Пул!$E$5:$E$300,$B297),8)))</f>
        <v/>
      </c>
      <c r="G297" s="240" t="str">
        <f>IF($B297="","",IF(COUNTIFS(Пул!$E$5:$E$300,$B297,Пул!$H$5:$H$300,"&lt;&gt;")=0,"",ROUND(SUMIFS(Пул!$J$5:$J$300,Пул!$E$5:$E$300,$B297),8)))</f>
        <v/>
      </c>
      <c r="H297" s="241" t="str">
        <f>IF($B297="","",IF(COUNTIFS(Пул!$E$5:$E$300,$B297,Пул!$I$5:$I$300,"&lt;&gt;")=0,"",ROUND(SUMIFS(Пул!$K$5:$K$300,Пул!$E$5:$E$300,$B297),8)))</f>
        <v/>
      </c>
      <c r="I297" s="236" t="str">
        <f>IF(AND(ISNUMBER(G297),ISNUMBER(H297)),IF(AND(G297&gt;0,H297&lt;0),"Buy",IF(AND(G297&lt;0,H297&gt;0),"Sell","")),"")</f>
        <v/>
      </c>
      <c r="J297" s="177" t="str">
        <f>IF(I297="Buy",G297,IF(I297="Sell",-G297,""))</f>
        <v/>
      </c>
      <c r="K297" s="177" t="str">
        <f>IF(AND(ISNUMBER(J297),ISNUMBER(L297),N(J297)&lt;&gt;0),ROUND(L297/J297,8),"")</f>
        <v/>
      </c>
      <c r="L297" s="177" t="str">
        <f>IF(I297="Buy",-H297,IF(I297="Sell",H297,""))</f>
        <v/>
      </c>
    </row>
    <row r="298" ht="22" customHeight="1">
      <c r="B298" s="245" t="n"/>
      <c r="C298" s="246" t="str">
        <f>IF($B298="","",IF(COUNTIFS(Пул!$E$5:$E$300,$B298,Пул!$F$5:$F$300,"&lt;&gt;")=0,"",ROUND(SUMIFS(Пул!$F$5:$F$300,Пул!$E$5:$E$300,$B298),8)))</f>
        <v/>
      </c>
      <c r="D298" s="247" t="str">
        <f>IF($B298="","",IF(COUNTIFS(Пул!$E$5:$E$300,$B298,Пул!$G$5:$G$300,"&lt;&gt;")=0,"",ROUND(SUMIFS(Пул!$G$5:$G$300,Пул!$E$5:$E$300,$B298),8)))</f>
        <v/>
      </c>
      <c r="E298" s="246" t="str">
        <f>IF($B298="","",IF(COUNTIFS(Пул!$E$5:$E$300,$B298,Пул!$H$5:$H$300,"&lt;&gt;")=0,"",ROUND(SUMIFS(Пул!$H$5:$H$300,Пул!$E$5:$E$300,$B298),8)))</f>
        <v/>
      </c>
      <c r="F298" s="247" t="str">
        <f>IF($B298="","",IF(COUNTIFS(Пул!$E$5:$E$300,$B298,Пул!$I$5:$I$300,"&lt;&gt;")=0,"",ROUND(SUMIFS(Пул!$I$5:$I$300,Пул!$E$5:$E$300,$B298),8)))</f>
        <v/>
      </c>
      <c r="G298" s="246" t="str">
        <f>IF($B298="","",IF(COUNTIFS(Пул!$E$5:$E$300,$B298,Пул!$H$5:$H$300,"&lt;&gt;")=0,"",ROUND(SUMIFS(Пул!$J$5:$J$300,Пул!$E$5:$E$300,$B298),8)))</f>
        <v/>
      </c>
      <c r="H298" s="247" t="str">
        <f>IF($B298="","",IF(COUNTIFS(Пул!$E$5:$E$300,$B298,Пул!$I$5:$I$300,"&lt;&gt;")=0,"",ROUND(SUMIFS(Пул!$K$5:$K$300,Пул!$E$5:$E$300,$B298),8)))</f>
        <v/>
      </c>
      <c r="I298" s="242" t="str">
        <f>IF(AND(ISNUMBER(G298),ISNUMBER(H298)),IF(AND(G298&gt;0,H298&lt;0),"Buy",IF(AND(G298&lt;0,H298&gt;0),"Sell","")),"")</f>
        <v/>
      </c>
      <c r="J298" s="183" t="str">
        <f>IF(I298="Buy",G298,IF(I298="Sell",-G298,""))</f>
        <v/>
      </c>
      <c r="K298" s="183" t="str">
        <f>IF(AND(ISNUMBER(J298),ISNUMBER(L298),N(J298)&lt;&gt;0),ROUND(L298/J298,8),"")</f>
        <v/>
      </c>
      <c r="L298" s="183" t="str">
        <f>IF(I298="Buy",-H298,IF(I298="Sell",H298,""))</f>
        <v/>
      </c>
    </row>
    <row r="299" ht="22" customHeight="1">
      <c r="B299" s="239" t="n"/>
      <c r="C299" s="240" t="str">
        <f>IF($B299="","",IF(COUNTIFS(Пул!$E$5:$E$300,$B299,Пул!$F$5:$F$300,"&lt;&gt;")=0,"",ROUND(SUMIFS(Пул!$F$5:$F$300,Пул!$E$5:$E$300,$B299),8)))</f>
        <v/>
      </c>
      <c r="D299" s="241" t="str">
        <f>IF($B299="","",IF(COUNTIFS(Пул!$E$5:$E$300,$B299,Пул!$G$5:$G$300,"&lt;&gt;")=0,"",ROUND(SUMIFS(Пул!$G$5:$G$300,Пул!$E$5:$E$300,$B299),8)))</f>
        <v/>
      </c>
      <c r="E299" s="240" t="str">
        <f>IF($B299="","",IF(COUNTIFS(Пул!$E$5:$E$300,$B299,Пул!$H$5:$H$300,"&lt;&gt;")=0,"",ROUND(SUMIFS(Пул!$H$5:$H$300,Пул!$E$5:$E$300,$B299),8)))</f>
        <v/>
      </c>
      <c r="F299" s="241" t="str">
        <f>IF($B299="","",IF(COUNTIFS(Пул!$E$5:$E$300,$B299,Пул!$I$5:$I$300,"&lt;&gt;")=0,"",ROUND(SUMIFS(Пул!$I$5:$I$300,Пул!$E$5:$E$300,$B299),8)))</f>
        <v/>
      </c>
      <c r="G299" s="240" t="str">
        <f>IF($B299="","",IF(COUNTIFS(Пул!$E$5:$E$300,$B299,Пул!$H$5:$H$300,"&lt;&gt;")=0,"",ROUND(SUMIFS(Пул!$J$5:$J$300,Пул!$E$5:$E$300,$B299),8)))</f>
        <v/>
      </c>
      <c r="H299" s="241" t="str">
        <f>IF($B299="","",IF(COUNTIFS(Пул!$E$5:$E$300,$B299,Пул!$I$5:$I$300,"&lt;&gt;")=0,"",ROUND(SUMIFS(Пул!$K$5:$K$300,Пул!$E$5:$E$300,$B299),8)))</f>
        <v/>
      </c>
      <c r="I299" s="236" t="str">
        <f>IF(AND(ISNUMBER(G299),ISNUMBER(H299)),IF(AND(G299&gt;0,H299&lt;0),"Buy",IF(AND(G299&lt;0,H299&gt;0),"Sell","")),"")</f>
        <v/>
      </c>
      <c r="J299" s="177" t="str">
        <f>IF(I299="Buy",G299,IF(I299="Sell",-G299,""))</f>
        <v/>
      </c>
      <c r="K299" s="177" t="str">
        <f>IF(AND(ISNUMBER(J299),ISNUMBER(L299),N(J299)&lt;&gt;0),ROUND(L299/J299,8),"")</f>
        <v/>
      </c>
      <c r="L299" s="177" t="str">
        <f>IF(I299="Buy",-H299,IF(I299="Sell",H299,""))</f>
        <v/>
      </c>
    </row>
    <row r="300" ht="22" customHeight="1">
      <c r="B300" s="245" t="n"/>
      <c r="C300" s="246" t="str">
        <f>IF($B300="","",IF(COUNTIFS(Пул!$E$5:$E$300,$B300,Пул!$F$5:$F$300,"&lt;&gt;")=0,"",ROUND(SUMIFS(Пул!$F$5:$F$300,Пул!$E$5:$E$300,$B300),8)))</f>
        <v/>
      </c>
      <c r="D300" s="247" t="str">
        <f>IF($B300="","",IF(COUNTIFS(Пул!$E$5:$E$300,$B300,Пул!$G$5:$G$300,"&lt;&gt;")=0,"",ROUND(SUMIFS(Пул!$G$5:$G$300,Пул!$E$5:$E$300,$B300),8)))</f>
        <v/>
      </c>
      <c r="E300" s="246" t="str">
        <f>IF($B300="","",IF(COUNTIFS(Пул!$E$5:$E$300,$B300,Пул!$H$5:$H$300,"&lt;&gt;")=0,"",ROUND(SUMIFS(Пул!$H$5:$H$300,Пул!$E$5:$E$300,$B300),8)))</f>
        <v/>
      </c>
      <c r="F300" s="247" t="str">
        <f>IF($B300="","",IF(COUNTIFS(Пул!$E$5:$E$300,$B300,Пул!$I$5:$I$300,"&lt;&gt;")=0,"",ROUND(SUMIFS(Пул!$I$5:$I$300,Пул!$E$5:$E$300,$B300),8)))</f>
        <v/>
      </c>
      <c r="G300" s="246" t="str">
        <f>IF($B300="","",IF(COUNTIFS(Пул!$E$5:$E$300,$B300,Пул!$H$5:$H$300,"&lt;&gt;")=0,"",ROUND(SUMIFS(Пул!$J$5:$J$300,Пул!$E$5:$E$300,$B300),8)))</f>
        <v/>
      </c>
      <c r="H300" s="247" t="str">
        <f>IF($B300="","",IF(COUNTIFS(Пул!$E$5:$E$300,$B300,Пул!$I$5:$I$300,"&lt;&gt;")=0,"",ROUND(SUMIFS(Пул!$K$5:$K$300,Пул!$E$5:$E$300,$B300),8)))</f>
        <v/>
      </c>
      <c r="I300" s="242" t="str">
        <f>IF(AND(ISNUMBER(G300),ISNUMBER(H300)),IF(AND(G300&gt;0,H300&lt;0),"Buy",IF(AND(G300&lt;0,H300&gt;0),"Sell","")),"")</f>
        <v/>
      </c>
      <c r="J300" s="183" t="str">
        <f>IF(I300="Buy",G300,IF(I300="Sell",-G300,""))</f>
        <v/>
      </c>
      <c r="K300" s="183" t="str">
        <f>IF(AND(ISNUMBER(J300),ISNUMBER(L300),N(J300)&lt;&gt;0),ROUND(L300/J300,8),"")</f>
        <v/>
      </c>
      <c r="L300" s="183" t="str">
        <f>IF(I300="Buy",-H300,IF(I300="Sell",H300,""))</f>
        <v/>
      </c>
    </row>
  </sheetData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>
        <v>2</v>
      </c>
      <c r="G5" s="177" t="n">
        <v>586.17</v>
      </c>
      <c r="H5" s="271">
        <f>IF(AND(ISNUMBER(F5),ISNUMBER(G5)),F5*G5,"")</f>
        <v>1172.34</v>
      </c>
      <c r="I5" s="240" t="n">
        <v>2</v>
      </c>
      <c r="J5" s="177" t="n">
        <v>598.8</v>
      </c>
      <c r="K5" s="271">
        <f>IF(AND(ISNUMBER(I5),ISNUMBER(J5)),I5*J5,"")</f>
        <v>1197.6</v>
      </c>
      <c r="L5" s="240">
        <f>IF(COUNT(F5,I5)=0,"",N(F5)-N(I5))</f>
        <v>0</v>
      </c>
      <c r="M5" s="241">
        <f>IF(COUNT(H5,K5)=0,"",N(K5)-N(H5))</f>
        <v>25.26</v>
      </c>
      <c r="N5" s="240">
        <f>IF(AND(ISNUMBER(F5),ISNUMBER(I5),ISNUMBER(H5),ISNUMBER(K5),F5&gt;0,I5&gt;0,H5&lt;&gt;0),ROUND(MIN(F5,I5)*(K5/I5-H5/F5),8),"")</f>
        <v>25.26</v>
      </c>
      <c r="O5" s="177">
        <f>IF(ISNUMBER(N5),ROUND(N5/(MIN(F5,I5)*H5/F5)*100,2),"")</f>
        <v>2.15</v>
      </c>
      <c r="P5" s="207" t="n"/>
      <c r="Q5" s="207" t="n"/>
    </row>
    <row r="6" ht="22" customHeight="1">
      <c r="B6" s="244" t="inlineStr">
        <is>
          <t>T-0006</t>
        </is>
      </c>
      <c r="C6" s="243" t="n">
        <v>46299</v>
      </c>
      <c r="D6" s="244" t="inlineStr">
        <is>
          <t>OKX</t>
        </is>
      </c>
      <c r="E6" s="245" t="inlineStr">
        <is>
          <t>BTC/USDT</t>
        </is>
      </c>
      <c r="F6" s="246" t="n">
        <v>0.05</v>
      </c>
      <c r="G6" s="183" t="n">
        <v>62324.4</v>
      </c>
      <c r="H6" s="271">
        <f>IF(AND(ISNUMBER(F6),ISNUMBER(G6)),F6*G6,"")</f>
        <v>3116.22</v>
      </c>
      <c r="I6" s="246" t="n">
        <v>0.05</v>
      </c>
      <c r="J6" s="183" t="n">
        <v>62874</v>
      </c>
      <c r="K6" s="271">
        <f>IF(AND(ISNUMBER(I6),ISNUMBER(J6)),I6*J6,"")</f>
        <v>3143.7</v>
      </c>
      <c r="L6" s="246">
        <f>IF(COUNT(F6,I6)=0,"",N(F6)-N(I6))</f>
        <v>0</v>
      </c>
      <c r="M6" s="247">
        <f>IF(COUNT(H6,K6)=0,"",N(K6)-N(H6))</f>
        <v>27.48</v>
      </c>
      <c r="N6" s="246">
        <f>IF(AND(ISNUMBER(F6),ISNUMBER(I6),ISNUMBER(H6),ISNUMBER(K6),F6&gt;0,I6&gt;0,H6&lt;&gt;0),ROUND(MIN(F6,I6)*(K6/I6-H6/F6),8),"")</f>
        <v>27.48</v>
      </c>
      <c r="O6" s="183">
        <f>IF(ISNUMBER(N6),ROUND(N6/(MIN(F6,I6)*H6/F6)*100,2),"")</f>
        <v>0.88</v>
      </c>
      <c r="P6" s="207" t="n"/>
      <c r="Q6" s="207" t="n"/>
    </row>
    <row r="7" ht="22" customHeight="1">
      <c r="B7" s="238" t="inlineStr">
        <is>
          <t>T-0002</t>
        </is>
      </c>
      <c r="C7" s="237" t="n">
        <v>46297</v>
      </c>
      <c r="D7" s="238" t="inlineStr">
        <is>
          <t>Bybit</t>
        </is>
      </c>
      <c r="E7" s="239" t="inlineStr">
        <is>
          <t>ETH/USDT</t>
        </is>
      </c>
      <c r="F7" s="240" t="n">
        <v>1</v>
      </c>
      <c r="G7" s="177" t="n">
        <v>3206.4</v>
      </c>
      <c r="H7" s="271">
        <f>IF(AND(ISNUMBER(F7),ISNUMBER(G7)),F7*G7,"")</f>
        <v>3206.4</v>
      </c>
      <c r="I7" s="240" t="n">
        <v>1</v>
      </c>
      <c r="J7" s="177" t="n">
        <v>3343.3</v>
      </c>
      <c r="K7" s="271">
        <f>IF(AND(ISNUMBER(I7),ISNUMBER(J7)),I7*J7,"")</f>
        <v>3343.3</v>
      </c>
      <c r="L7" s="240">
        <f>IF(COUNT(F7,I7)=0,"",N(F7)-N(I7))</f>
        <v>0</v>
      </c>
      <c r="M7" s="241">
        <f>IF(COUNT(H7,K7)=0,"",N(K7)-N(H7))</f>
        <v>136.9</v>
      </c>
      <c r="N7" s="240">
        <f>IF(AND(ISNUMBER(F7),ISNUMBER(I7),ISNUMBER(H7),ISNUMBER(K7),F7&gt;0,I7&gt;0,H7&lt;&gt;0),ROUND(MIN(F7,I7)*(K7/I7-H7/F7),8),"")</f>
        <v>136.9</v>
      </c>
      <c r="O7" s="177">
        <f>IF(ISNUMBER(N7),ROUND(N7/(MIN(F7,I7)*H7/F7)*100,2),"")</f>
        <v>4.27</v>
      </c>
      <c r="P7" s="207" t="n"/>
      <c r="Q7" s="207" t="n"/>
    </row>
    <row r="8" ht="22" customHeight="1">
      <c r="B8" s="244" t="inlineStr">
        <is>
          <t>T-0003</t>
        </is>
      </c>
      <c r="C8" s="243" t="n">
        <v>46298</v>
      </c>
      <c r="D8" s="244" t="inlineStr">
        <is>
          <t>OKX</t>
        </is>
      </c>
      <c r="E8" s="245" t="inlineStr">
        <is>
          <t>SOL/USDT</t>
        </is>
      </c>
      <c r="F8" s="246" t="n">
        <v>20</v>
      </c>
      <c r="G8" s="183" t="n">
        <v>145.29</v>
      </c>
      <c r="H8" s="271">
        <f>IF(AND(ISNUMBER(F8),ISNUMBER(G8)),F8*G8,"")</f>
        <v>2905.8</v>
      </c>
      <c r="I8" s="246" t="n">
        <v>20</v>
      </c>
      <c r="J8" s="183" t="n">
        <v>151.696</v>
      </c>
      <c r="K8" s="271">
        <f>IF(AND(ISNUMBER(I8),ISNUMBER(J8)),I8*J8,"")</f>
        <v>3033.92</v>
      </c>
      <c r="L8" s="246">
        <f>IF(COUNT(F8,I8)=0,"",N(F8)-N(I8))</f>
        <v>0</v>
      </c>
      <c r="M8" s="247">
        <f>IF(COUNT(H8,K8)=0,"",N(K8)-N(H8))</f>
        <v>128.12</v>
      </c>
      <c r="N8" s="246">
        <f>IF(AND(ISNUMBER(F8),ISNUMBER(I8),ISNUMBER(H8),ISNUMBER(K8),F8&gt;0,I8&gt;0,H8&lt;&gt;0),ROUND(MIN(F8,I8)*(K8/I8-H8/F8),8),"")</f>
        <v>128.12</v>
      </c>
      <c r="O8" s="183">
        <f>IF(ISNUMBER(N8),ROUND(N8/(MIN(F8,I8)*H8/F8)*100,2),"")</f>
        <v>4.41</v>
      </c>
      <c r="P8" s="207" t="n"/>
      <c r="Q8" s="207" t="n"/>
    </row>
    <row r="9" ht="22" customHeight="1">
      <c r="B9" s="238" t="inlineStr">
        <is>
          <t>L-0013</t>
        </is>
      </c>
      <c r="C9" s="237" t="n">
        <v>46299</v>
      </c>
      <c r="D9" s="238" t="inlineStr">
        <is>
          <t>Binance</t>
        </is>
      </c>
      <c r="E9" s="239" t="inlineStr">
        <is>
          <t>BNB/USDT</t>
        </is>
      </c>
      <c r="F9" s="240" t="n">
        <v>1.5</v>
      </c>
      <c r="G9" s="177" t="n">
        <v>585</v>
      </c>
      <c r="H9" s="271">
        <f>IF(AND(ISNUMBER(F9),ISNUMBER(G9)),F9*G9,"")</f>
        <v>877.5</v>
      </c>
      <c r="I9" s="240" t="n">
        <v>1.5</v>
      </c>
      <c r="J9" s="177" t="n">
        <v>597</v>
      </c>
      <c r="K9" s="271">
        <f>IF(AND(ISNUMBER(I9),ISNUMBER(J9)),I9*J9,"")</f>
        <v>895.5</v>
      </c>
      <c r="L9" s="240">
        <f>IF(COUNT(F9,I9)=0,"",N(F9)-N(I9))</f>
        <v>0</v>
      </c>
      <c r="M9" s="241">
        <f>IF(COUNT(H9,K9)=0,"",N(K9)-N(H9))</f>
        <v>18</v>
      </c>
      <c r="N9" s="240">
        <f>IF(AND(ISNUMBER(F9),ISNUMBER(I9),ISNUMBER(H9),ISNUMBER(K9),F9&gt;0,I9&gt;0,H9&lt;&gt;0),ROUND(MIN(F9,I9)*(K9/I9-H9/F9),8),"")</f>
        <v>18</v>
      </c>
      <c r="O9" s="177">
        <f>IF(ISNUMBER(N9),ROUND(N9/(MIN(F9,I9)*H9/F9)*100,2),"")</f>
        <v>2.05</v>
      </c>
      <c r="P9" s="207" t="n"/>
      <c r="Q9" s="207" t="n"/>
    </row>
    <row r="10" ht="22" customHeight="1">
      <c r="B10" s="244" t="inlineStr">
        <is>
          <t>L-0014</t>
        </is>
      </c>
      <c r="C10" s="243" t="n">
        <v>46298</v>
      </c>
      <c r="D10" s="244" t="inlineStr">
        <is>
          <t>OKX</t>
        </is>
      </c>
      <c r="E10" s="245" t="inlineStr">
        <is>
          <t>ETH/USDT</t>
        </is>
      </c>
      <c r="F10" s="246" t="n">
        <v>0.5</v>
      </c>
      <c r="G10" s="183" t="n">
        <v>3210</v>
      </c>
      <c r="H10" s="271">
        <f>IF(AND(ISNUMBER(F10),ISNUMBER(G10)),F10*G10,"")</f>
        <v>1605</v>
      </c>
      <c r="I10" s="246" t="n">
        <v>0.5</v>
      </c>
      <c r="J10" s="183" t="n">
        <v>3340</v>
      </c>
      <c r="K10" s="271">
        <f>IF(AND(ISNUMBER(I10),ISNUMBER(J10)),I10*J10,"")</f>
        <v>1670</v>
      </c>
      <c r="L10" s="246">
        <f>IF(COUNT(F10,I10)=0,"",N(F10)-N(I10))</f>
        <v>0</v>
      </c>
      <c r="M10" s="247">
        <f>IF(COUNT(H10,K10)=0,"",N(K10)-N(H10))</f>
        <v>65</v>
      </c>
      <c r="N10" s="246">
        <f>IF(AND(ISNUMBER(F10),ISNUMBER(I10),ISNUMBER(H10),ISNUMBER(K10),F10&gt;0,I10&gt;0,H10&lt;&gt;0),ROUND(MIN(F10,I10)*(K10/I10-H10/F10),8),"")</f>
        <v>65</v>
      </c>
      <c r="O10" s="183">
        <f>IF(ISNUMBER(N10),ROUND(N10/(MIN(F10,I10)*H10/F10)*100,2),"")</f>
        <v>4.05</v>
      </c>
      <c r="P10" s="207" t="n"/>
      <c r="Q10" s="207" t="n"/>
    </row>
    <row r="11" ht="22" customHeight="1">
      <c r="B11" s="238" t="inlineStr">
        <is>
          <t>L-0015</t>
        </is>
      </c>
      <c r="C11" s="237" t="n">
        <v>46297</v>
      </c>
      <c r="D11" s="238" t="inlineStr">
        <is>
          <t>Bybit</t>
        </is>
      </c>
      <c r="E11" s="239" t="inlineStr">
        <is>
          <t>SOL/USDT</t>
        </is>
      </c>
      <c r="F11" s="240" t="n">
        <v>10</v>
      </c>
      <c r="G11" s="177" t="n">
        <v>145</v>
      </c>
      <c r="H11" s="271">
        <f>IF(AND(ISNUMBER(F11),ISNUMBER(G11)),F11*G11,"")</f>
        <v>1450</v>
      </c>
      <c r="I11" s="240" t="n">
        <v>10</v>
      </c>
      <c r="J11" s="177" t="n">
        <v>150.5</v>
      </c>
      <c r="K11" s="271">
        <f>IF(AND(ISNUMBER(I11),ISNUMBER(J11)),I11*J11,"")</f>
        <v>1505</v>
      </c>
      <c r="L11" s="240">
        <f>IF(COUNT(F11,I11)=0,"",N(F11)-N(I11))</f>
        <v>0</v>
      </c>
      <c r="M11" s="241">
        <f>IF(COUNT(H11,K11)=0,"",N(K11)-N(H11))</f>
        <v>55</v>
      </c>
      <c r="N11" s="240">
        <f>IF(AND(ISNUMBER(F11),ISNUMBER(I11),ISNUMBER(H11),ISNUMBER(K11),F11&gt;0,I11&gt;0,H11&lt;&gt;0),ROUND(MIN(F11,I11)*(K11/I11-H11/F11),8),"")</f>
        <v>55</v>
      </c>
      <c r="O11" s="177">
        <f>IF(ISNUMBER(N11),ROUND(N11/(MIN(F11,I11)*H11/F11)*100,2),"")</f>
        <v>3.79</v>
      </c>
      <c r="P11" s="207" t="n"/>
      <c r="Q11" s="207" t="n"/>
    </row>
    <row r="12" ht="22" customHeight="1">
      <c r="B12" s="244" t="n"/>
      <c r="C12" s="243" t="n"/>
      <c r="D12" s="244" t="n"/>
      <c r="E12" s="245" t="n"/>
      <c r="F12" s="246" t="n"/>
      <c r="G12" s="183" t="n"/>
      <c r="H12" s="271" t="str">
        <f>IF(AND(ISNUMBER(F12),ISNUMBER(G12)),F12*G12,"")</f>
        <v/>
      </c>
      <c r="I12" s="246" t="n"/>
      <c r="J12" s="183" t="n"/>
      <c r="K12" s="271" t="str">
        <f>IF(AND(ISNUMBER(I12),ISNUMBER(J12)),I12*J12,"")</f>
        <v/>
      </c>
      <c r="L12" s="246" t="str">
        <f>IF(COUNT(F12,I12)=0,"",N(F12)-N(I12))</f>
        <v/>
      </c>
      <c r="M12" s="247" t="str">
        <f>IF(COUNT(H12,K12)=0,"",N(K12)-N(H12))</f>
        <v/>
      </c>
      <c r="N12" s="246" t="str">
        <f>IF(AND(ISNUMBER(F12),ISNUMBER(I12),ISNUMBER(H12),ISNUMBER(K12),F12&gt;0,I12&gt;0,H12&lt;&gt;0),ROUND(MIN(F12,I12)*(K12/I12-H12/F12),8),"")</f>
        <v/>
      </c>
      <c r="O12" s="183" t="str">
        <f>IF(ISNUMBER(N12),ROUND(N12/(MIN(F12,I12)*H12/F12)*100,2),"")</f>
        <v/>
      </c>
      <c r="P12" s="207" t="n"/>
      <c r="Q12" s="207" t="n"/>
    </row>
    <row r="13" ht="22" customHeight="1">
      <c r="B13" s="238" t="n"/>
      <c r="C13" s="237" t="n"/>
      <c r="D13" s="238" t="n"/>
      <c r="E13" s="239" t="n"/>
      <c r="F13" s="240" t="n"/>
      <c r="G13" s="177" t="n"/>
      <c r="H13" s="271" t="str">
        <f>IF(AND(ISNUMBER(F13),ISNUMBER(G13)),F13*G13,"")</f>
        <v/>
      </c>
      <c r="I13" s="240" t="n"/>
      <c r="J13" s="177" t="n"/>
      <c r="K13" s="271" t="str">
        <f>IF(AND(ISNUMBER(I13),ISNUMBER(J13)),I13*J13,"")</f>
        <v/>
      </c>
      <c r="L13" s="240" t="str">
        <f>IF(COUNT(F13,I13)=0,"",N(F13)-N(I13))</f>
        <v/>
      </c>
      <c r="M13" s="241" t="str">
        <f>IF(COUNT(H13,K13)=0,"",N(K13)-N(H13))</f>
        <v/>
      </c>
      <c r="N13" s="240" t="str">
        <f>IF(AND(ISNUMBER(F13),ISNUMBER(I13),ISNUMBER(H13),ISNUMBER(K13),F13&gt;0,I13&gt;0,H13&lt;&gt;0),ROUND(MIN(F13,I13)*(K13/I13-H13/F13),8),"")</f>
        <v/>
      </c>
      <c r="O13" s="177" t="str">
        <f>IF(ISNUMBER(N13),ROUND(N13/(MIN(F13,I13)*H13/F13)*100,2),"")</f>
        <v/>
      </c>
    </row>
    <row r="14" ht="22" customHeight="1">
      <c r="B14" s="244" t="n"/>
      <c r="C14" s="243" t="n"/>
      <c r="D14" s="244" t="n"/>
      <c r="E14" s="245" t="n"/>
      <c r="F14" s="246" t="n"/>
      <c r="G14" s="183" t="n"/>
      <c r="H14" s="271" t="str">
        <f>IF(AND(ISNUMBER(F14),ISNUMBER(G14)),F14*G14,"")</f>
        <v/>
      </c>
      <c r="I14" s="246" t="n"/>
      <c r="J14" s="183" t="n"/>
      <c r="K14" s="271" t="str">
        <f>IF(AND(ISNUMBER(I14),ISNUMBER(J14)),I14*J14,"")</f>
        <v/>
      </c>
      <c r="L14" s="246" t="str">
        <f>IF(COUNT(F14,I14)=0,"",N(F14)-N(I14))</f>
        <v/>
      </c>
      <c r="M14" s="247" t="str">
        <f>IF(COUNT(H14,K14)=0,"",N(K14)-N(H14))</f>
        <v/>
      </c>
      <c r="N14" s="246" t="str">
        <f>IF(AND(ISNUMBER(F14),ISNUMBER(I14),ISNUMBER(H14),ISNUMBER(K14),F14&gt;0,I14&gt;0,H14&lt;&gt;0),ROUND(MIN(F14,I14)*(K14/I14-H14/F14),8),"")</f>
        <v/>
      </c>
      <c r="O14" s="183" t="str">
        <f>IF(ISNUMBER(N14),ROUND(N14/(MIN(F14,I14)*H14/F14)*100,2),"")</f>
        <v/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IF(AND(ISNUMBER(F15),ISNUMBER(I15),ISNUMBER(H15),ISNUMBER(K15),F15&gt;0,I15&gt;0,H15&lt;&gt;0),ROUND(MIN(F15,I15)*(K15/I15-H15/F15),8),"")</f>
        <v/>
      </c>
      <c r="O15" s="177" t="str">
        <f>IF(ISNUMBER(N15),ROUND(N15/(MIN(F15,I15)*H15/F15)*100,2),"")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IF(AND(ISNUMBER(F16),ISNUMBER(I16),ISNUMBER(H16),ISNUMBER(K16),F16&gt;0,I16&gt;0,H16&lt;&gt;0),ROUND(MIN(F16,I16)*(K16/I16-H16/F16),8),"")</f>
        <v/>
      </c>
      <c r="O16" s="183" t="str">
        <f>IF(ISNUMBER(N16),ROUND(N16/(MIN(F16,I16)*H16/F16)*100,2),"")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IF(AND(ISNUMBER(F17),ISNUMBER(I17),ISNUMBER(H17),ISNUMBER(K17),F17&gt;0,I17&gt;0,H17&lt;&gt;0),ROUND(MIN(F17,I17)*(K17/I17-H17/F17),8),"")</f>
        <v/>
      </c>
      <c r="O17" s="177" t="str">
        <f>IF(ISNUMBER(N17),ROUND(N17/(MIN(F17,I17)*H17/F17)*100,2),"")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IF(AND(ISNUMBER(F18),ISNUMBER(I18),ISNUMBER(H18),ISNUMBER(K18),F18&gt;0,I18&gt;0,H18&lt;&gt;0),ROUND(MIN(F18,I18)*(K18/I18-H18/F18),8),"")</f>
        <v/>
      </c>
      <c r="O18" s="183" t="str">
        <f>IF(ISNUMBER(N18),ROUND(N18/(MIN(F18,I18)*H18/F18)*100,2),"")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IF(AND(ISNUMBER(F19),ISNUMBER(I19),ISNUMBER(H19),ISNUMBER(K19),F19&gt;0,I19&gt;0,H19&lt;&gt;0),ROUND(MIN(F19,I19)*(K19/I19-H19/F19),8),"")</f>
        <v/>
      </c>
      <c r="O19" s="177" t="str">
        <f>IF(ISNUMBER(N19),ROUND(N19/(MIN(F19,I19)*H19/F19)*100,2),"")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IF(AND(ISNUMBER(F20),ISNUMBER(I20),ISNUMBER(H20),ISNUMBER(K20),F20&gt;0,I20&gt;0,H20&lt;&gt;0),ROUND(MIN(F20,I20)*(K20/I20-H20/F20),8),"")</f>
        <v/>
      </c>
      <c r="O20" s="183" t="str">
        <f>IF(ISNUMBER(N20),ROUND(N20/(MIN(F20,I20)*H20/F20)*100,2),"")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IF(AND(ISNUMBER(F21),ISNUMBER(I21),ISNUMBER(H21),ISNUMBER(K21),F21&gt;0,I21&gt;0,H21&lt;&gt;0),ROUND(MIN(F21,I21)*(K21/I21-H21/F21),8),"")</f>
        <v/>
      </c>
      <c r="O21" s="177" t="str">
        <f>IF(ISNUMBER(N21),ROUND(N21/(MIN(F21,I21)*H21/F21)*100,2),"")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IF(AND(ISNUMBER(F22),ISNUMBER(I22),ISNUMBER(H22),ISNUMBER(K22),F22&gt;0,I22&gt;0,H22&lt;&gt;0),ROUND(MIN(F22,I22)*(K22/I22-H22/F22),8),"")</f>
        <v/>
      </c>
      <c r="O22" s="183" t="str">
        <f>IF(ISNUMBER(N22),ROUND(N22/(MIN(F22,I22)*H22/F22)*100,2),"")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IF(AND(ISNUMBER(F23),ISNUMBER(I23),ISNUMBER(H23),ISNUMBER(K23),F23&gt;0,I23&gt;0,H23&lt;&gt;0),ROUND(MIN(F23,I23)*(K23/I23-H23/F23),8),"")</f>
        <v/>
      </c>
      <c r="O23" s="177" t="str">
        <f>IF(ISNUMBER(N23),ROUND(N23/(MIN(F23,I23)*H23/F23)*100,2),"")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IF(AND(ISNUMBER(F24),ISNUMBER(I24),ISNUMBER(H24),ISNUMBER(K24),F24&gt;0,I24&gt;0,H24&lt;&gt;0),ROUND(MIN(F24,I24)*(K24/I24-H24/F24),8),"")</f>
        <v/>
      </c>
      <c r="O24" s="183" t="str">
        <f>IF(ISNUMBER(N24),ROUND(N24/(MIN(F24,I24)*H24/F24)*100,2),"")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IF(AND(ISNUMBER(F25),ISNUMBER(I25),ISNUMBER(H25),ISNUMBER(K25),F25&gt;0,I25&gt;0,H25&lt;&gt;0),ROUND(MIN(F25,I25)*(K25/I25-H25/F25),8),"")</f>
        <v/>
      </c>
      <c r="O25" s="177" t="str">
        <f>IF(ISNUMBER(N25),ROUND(N25/(MIN(F25,I25)*H25/F25)*100,2),"")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IF(AND(ISNUMBER(F26),ISNUMBER(I26),ISNUMBER(H26),ISNUMBER(K26),F26&gt;0,I26&gt;0,H26&lt;&gt;0),ROUND(MIN(F26,I26)*(K26/I26-H26/F26),8),"")</f>
        <v/>
      </c>
      <c r="O26" s="183" t="str">
        <f>IF(ISNUMBER(N26),ROUND(N26/(MIN(F26,I26)*H26/F26)*100,2),"")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IF(AND(ISNUMBER(F27),ISNUMBER(I27),ISNUMBER(H27),ISNUMBER(K27),F27&gt;0,I27&gt;0,H27&lt;&gt;0),ROUND(MIN(F27,I27)*(K27/I27-H27/F27),8),"")</f>
        <v/>
      </c>
      <c r="O27" s="177" t="str">
        <f>IF(ISNUMBER(N27),ROUND(N27/(MIN(F27,I27)*H27/F27)*100,2),"")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IF(AND(ISNUMBER(F28),ISNUMBER(I28),ISNUMBER(H28),ISNUMBER(K28),F28&gt;0,I28&gt;0,H28&lt;&gt;0),ROUND(MIN(F28,I28)*(K28/I28-H28/F28),8),"")</f>
        <v/>
      </c>
      <c r="O28" s="183" t="str">
        <f>IF(ISNUMBER(N28),ROUND(N28/(MIN(F28,I28)*H28/F28)*100,2),"")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IF(AND(ISNUMBER(F29),ISNUMBER(I29),ISNUMBER(H29),ISNUMBER(K29),F29&gt;0,I29&gt;0,H29&lt;&gt;0),ROUND(MIN(F29,I29)*(K29/I29-H29/F29),8),"")</f>
        <v/>
      </c>
      <c r="O29" s="177" t="str">
        <f>IF(ISNUMBER(N29),ROUND(N29/(MIN(F29,I29)*H29/F29)*100,2),"")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IF(AND(ISNUMBER(F30),ISNUMBER(I30),ISNUMBER(H30),ISNUMBER(K30),F30&gt;0,I30&gt;0,H30&lt;&gt;0),ROUND(MIN(F30,I30)*(K30/I30-H30/F30),8),"")</f>
        <v/>
      </c>
      <c r="O30" s="183" t="str">
        <f>IF(ISNUMBER(N30),ROUND(N30/(MIN(F30,I30)*H30/F30)*100,2),"")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IF(AND(ISNUMBER(F31),ISNUMBER(I31),ISNUMBER(H31),ISNUMBER(K31),F31&gt;0,I31&gt;0,H31&lt;&gt;0),ROUND(MIN(F31,I31)*(K31/I31-H31/F31),8),"")</f>
        <v/>
      </c>
      <c r="O31" s="177" t="str">
        <f>IF(ISNUMBER(N31),ROUND(N31/(MIN(F31,I31)*H31/F31)*100,2),"")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IF(AND(ISNUMBER(F32),ISNUMBER(I32),ISNUMBER(H32),ISNUMBER(K32),F32&gt;0,I32&gt;0,H32&lt;&gt;0),ROUND(MIN(F32,I32)*(K32/I32-H32/F32),8),"")</f>
        <v/>
      </c>
      <c r="O32" s="183" t="str">
        <f>IF(ISNUMBER(N32),ROUND(N32/(MIN(F32,I32)*H32/F32)*100,2),"")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IF(AND(ISNUMBER(F33),ISNUMBER(I33),ISNUMBER(H33),ISNUMBER(K33),F33&gt;0,I33&gt;0,H33&lt;&gt;0),ROUND(MIN(F33,I33)*(K33/I33-H33/F33),8),"")</f>
        <v/>
      </c>
      <c r="O33" s="177" t="str">
        <f>IF(ISNUMBER(N33),ROUND(N33/(MIN(F33,I33)*H33/F33)*100,2),"")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IF(AND(ISNUMBER(F34),ISNUMBER(I34),ISNUMBER(H34),ISNUMBER(K34),F34&gt;0,I34&gt;0,H34&lt;&gt;0),ROUND(MIN(F34,I34)*(K34/I34-H34/F34),8),"")</f>
        <v/>
      </c>
      <c r="O34" s="183" t="str">
        <f>IF(ISNUMBER(N34),ROUND(N34/(MIN(F34,I34)*H34/F34)*100,2),"")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IF(AND(ISNUMBER(F35),ISNUMBER(I35),ISNUMBER(H35),ISNUMBER(K35),F35&gt;0,I35&gt;0,H35&lt;&gt;0),ROUND(MIN(F35,I35)*(K35/I35-H35/F35),8),"")</f>
        <v/>
      </c>
      <c r="O35" s="177" t="str">
        <f>IF(ISNUMBER(N35),ROUND(N35/(MIN(F35,I35)*H35/F35)*100,2),"")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IF(AND(ISNUMBER(F36),ISNUMBER(I36),ISNUMBER(H36),ISNUMBER(K36),F36&gt;0,I36&gt;0,H36&lt;&gt;0),ROUND(MIN(F36,I36)*(K36/I36-H36/F36),8),"")</f>
        <v/>
      </c>
      <c r="O36" s="183" t="str">
        <f>IF(ISNUMBER(N36),ROUND(N36/(MIN(F36,I36)*H36/F36)*100,2),"")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IF(AND(ISNUMBER(F37),ISNUMBER(I37),ISNUMBER(H37),ISNUMBER(K37),F37&gt;0,I37&gt;0,H37&lt;&gt;0),ROUND(MIN(F37,I37)*(K37/I37-H37/F37),8),"")</f>
        <v/>
      </c>
      <c r="O37" s="177" t="str">
        <f>IF(ISNUMBER(N37),ROUND(N37/(MIN(F37,I37)*H37/F37)*100,2),"")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IF(AND(ISNUMBER(F38),ISNUMBER(I38),ISNUMBER(H38),ISNUMBER(K38),F38&gt;0,I38&gt;0,H38&lt;&gt;0),ROUND(MIN(F38,I38)*(K38/I38-H38/F38),8),"")</f>
        <v/>
      </c>
      <c r="O38" s="183" t="str">
        <f>IF(ISNUMBER(N38),ROUND(N38/(MIN(F38,I38)*H38/F38)*100,2),"")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IF(AND(ISNUMBER(F39),ISNUMBER(I39),ISNUMBER(H39),ISNUMBER(K39),F39&gt;0,I39&gt;0,H39&lt;&gt;0),ROUND(MIN(F39,I39)*(K39/I39-H39/F39),8),"")</f>
        <v/>
      </c>
      <c r="O39" s="177" t="str">
        <f>IF(ISNUMBER(N39),ROUND(N39/(MIN(F39,I39)*H39/F39)*100,2),"")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IF(AND(ISNUMBER(F40),ISNUMBER(I40),ISNUMBER(H40),ISNUMBER(K40),F40&gt;0,I40&gt;0,H40&lt;&gt;0),ROUND(MIN(F40,I40)*(K40/I40-H40/F40),8),"")</f>
        <v/>
      </c>
      <c r="O40" s="183" t="str">
        <f>IF(ISNUMBER(N40),ROUND(N40/(MIN(F40,I40)*H40/F40)*100,2),"")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IF(AND(ISNUMBER(F41),ISNUMBER(I41),ISNUMBER(H41),ISNUMBER(K41),F41&gt;0,I41&gt;0,H41&lt;&gt;0),ROUND(MIN(F41,I41)*(K41/I41-H41/F41),8),"")</f>
        <v/>
      </c>
      <c r="O41" s="177" t="str">
        <f>IF(ISNUMBER(N41),ROUND(N41/(MIN(F41,I41)*H41/F41)*100,2),"")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IF(AND(ISNUMBER(F42),ISNUMBER(I42),ISNUMBER(H42),ISNUMBER(K42),F42&gt;0,I42&gt;0,H42&lt;&gt;0),ROUND(MIN(F42,I42)*(K42/I42-H42/F42),8),"")</f>
        <v/>
      </c>
      <c r="O42" s="183" t="str">
        <f>IF(ISNUMBER(N42),ROUND(N42/(MIN(F42,I42)*H42/F42)*100,2),"")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IF(AND(ISNUMBER(F43),ISNUMBER(I43),ISNUMBER(H43),ISNUMBER(K43),F43&gt;0,I43&gt;0,H43&lt;&gt;0),ROUND(MIN(F43,I43)*(K43/I43-H43/F43),8),"")</f>
        <v/>
      </c>
      <c r="O43" s="177" t="str">
        <f>IF(ISNUMBER(N43),ROUND(N43/(MIN(F43,I43)*H43/F43)*100,2),"")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IF(AND(ISNUMBER(F44),ISNUMBER(I44),ISNUMBER(H44),ISNUMBER(K44),F44&gt;0,I44&gt;0,H44&lt;&gt;0),ROUND(MIN(F44,I44)*(K44/I44-H44/F44),8),"")</f>
        <v/>
      </c>
      <c r="O44" s="183" t="str">
        <f>IF(ISNUMBER(N44),ROUND(N44/(MIN(F44,I44)*H44/F44)*100,2),"")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IF(AND(ISNUMBER(F45),ISNUMBER(I45),ISNUMBER(H45),ISNUMBER(K45),F45&gt;0,I45&gt;0,H45&lt;&gt;0),ROUND(MIN(F45,I45)*(K45/I45-H45/F45),8),"")</f>
        <v/>
      </c>
      <c r="O45" s="177" t="str">
        <f>IF(ISNUMBER(N45),ROUND(N45/(MIN(F45,I45)*H45/F45)*100,2),"")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IF(AND(ISNUMBER(F46),ISNUMBER(I46),ISNUMBER(H46),ISNUMBER(K46),F46&gt;0,I46&gt;0,H46&lt;&gt;0),ROUND(MIN(F46,I46)*(K46/I46-H46/F46),8),"")</f>
        <v/>
      </c>
      <c r="O46" s="183" t="str">
        <f>IF(ISNUMBER(N46),ROUND(N46/(MIN(F46,I46)*H46/F46)*100,2),"")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IF(AND(ISNUMBER(F47),ISNUMBER(I47),ISNUMBER(H47),ISNUMBER(K47),F47&gt;0,I47&gt;0,H47&lt;&gt;0),ROUND(MIN(F47,I47)*(K47/I47-H47/F47),8),"")</f>
        <v/>
      </c>
      <c r="O47" s="177" t="str">
        <f>IF(ISNUMBER(N47),ROUND(N47/(MIN(F47,I47)*H47/F47)*100,2),"")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IF(AND(ISNUMBER(F48),ISNUMBER(I48),ISNUMBER(H48),ISNUMBER(K48),F48&gt;0,I48&gt;0,H48&lt;&gt;0),ROUND(MIN(F48,I48)*(K48/I48-H48/F48),8),"")</f>
        <v/>
      </c>
      <c r="O48" s="183" t="str">
        <f>IF(ISNUMBER(N48),ROUND(N48/(MIN(F48,I48)*H48/F48)*100,2),"")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IF(AND(ISNUMBER(F49),ISNUMBER(I49),ISNUMBER(H49),ISNUMBER(K49),F49&gt;0,I49&gt;0,H49&lt;&gt;0),ROUND(MIN(F49,I49)*(K49/I49-H49/F49),8),"")</f>
        <v/>
      </c>
      <c r="O49" s="177" t="str">
        <f>IF(ISNUMBER(N49),ROUND(N49/(MIN(F49,I49)*H49/F49)*100,2),"")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IF(AND(ISNUMBER(F50),ISNUMBER(I50),ISNUMBER(H50),ISNUMBER(K50),F50&gt;0,I50&gt;0,H50&lt;&gt;0),ROUND(MIN(F50,I50)*(K50/I50-H50/F50),8),"")</f>
        <v/>
      </c>
      <c r="O50" s="183" t="str">
        <f>IF(ISNUMBER(N50),ROUND(N50/(MIN(F50,I50)*H50/F50)*100,2),"")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IF(AND(ISNUMBER(F51),ISNUMBER(I51),ISNUMBER(H51),ISNUMBER(K51),F51&gt;0,I51&gt;0,H51&lt;&gt;0),ROUND(MIN(F51,I51)*(K51/I51-H51/F51),8),"")</f>
        <v/>
      </c>
      <c r="O51" s="177" t="str">
        <f>IF(ISNUMBER(N51),ROUND(N51/(MIN(F51,I51)*H51/F51)*100,2),"")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IF(AND(ISNUMBER(F52),ISNUMBER(I52),ISNUMBER(H52),ISNUMBER(K52),F52&gt;0,I52&gt;0,H52&lt;&gt;0),ROUND(MIN(F52,I52)*(K52/I52-H52/F52),8),"")</f>
        <v/>
      </c>
      <c r="O52" s="183" t="str">
        <f>IF(ISNUMBER(N52),ROUND(N52/(MIN(F52,I52)*H52/F52)*100,2),"")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IF(AND(ISNUMBER(F53),ISNUMBER(I53),ISNUMBER(H53),ISNUMBER(K53),F53&gt;0,I53&gt;0,H53&lt;&gt;0),ROUND(MIN(F53,I53)*(K53/I53-H53/F53),8),"")</f>
        <v/>
      </c>
      <c r="O53" s="177" t="str">
        <f>IF(ISNUMBER(N53),ROUND(N53/(MIN(F53,I53)*H53/F53)*100,2),"")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IF(AND(ISNUMBER(F54),ISNUMBER(I54),ISNUMBER(H54),ISNUMBER(K54),F54&gt;0,I54&gt;0,H54&lt;&gt;0),ROUND(MIN(F54,I54)*(K54/I54-H54/F54),8),"")</f>
        <v/>
      </c>
      <c r="O54" s="183" t="str">
        <f>IF(ISNUMBER(N54),ROUND(N54/(MIN(F54,I54)*H54/F54)*100,2),"")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IF(AND(ISNUMBER(F55),ISNUMBER(I55),ISNUMBER(H55),ISNUMBER(K55),F55&gt;0,I55&gt;0,H55&lt;&gt;0),ROUND(MIN(F55,I55)*(K55/I55-H55/F55),8),"")</f>
        <v/>
      </c>
      <c r="O55" s="177" t="str">
        <f>IF(ISNUMBER(N55),ROUND(N55/(MIN(F55,I55)*H55/F55)*100,2),"")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IF(AND(ISNUMBER(F56),ISNUMBER(I56),ISNUMBER(H56),ISNUMBER(K56),F56&gt;0,I56&gt;0,H56&lt;&gt;0),ROUND(MIN(F56,I56)*(K56/I56-H56/F56),8),"")</f>
        <v/>
      </c>
      <c r="O56" s="183" t="str">
        <f>IF(ISNUMBER(N56),ROUND(N56/(MIN(F56,I56)*H56/F56)*100,2),"")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IF(AND(ISNUMBER(F57),ISNUMBER(I57),ISNUMBER(H57),ISNUMBER(K57),F57&gt;0,I57&gt;0,H57&lt;&gt;0),ROUND(MIN(F57,I57)*(K57/I57-H57/F57),8),"")</f>
        <v/>
      </c>
      <c r="O57" s="177" t="str">
        <f>IF(ISNUMBER(N57),ROUND(N57/(MIN(F57,I57)*H57/F57)*100,2),"")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IF(AND(ISNUMBER(F58),ISNUMBER(I58),ISNUMBER(H58),ISNUMBER(K58),F58&gt;0,I58&gt;0,H58&lt;&gt;0),ROUND(MIN(F58,I58)*(K58/I58-H58/F58),8),"")</f>
        <v/>
      </c>
      <c r="O58" s="183" t="str">
        <f>IF(ISNUMBER(N58),ROUND(N58/(MIN(F58,I58)*H58/F58)*100,2),"")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IF(AND(ISNUMBER(F59),ISNUMBER(I59),ISNUMBER(H59),ISNUMBER(K59),F59&gt;0,I59&gt;0,H59&lt;&gt;0),ROUND(MIN(F59,I59)*(K59/I59-H59/F59),8),"")</f>
        <v/>
      </c>
      <c r="O59" s="177" t="str">
        <f>IF(ISNUMBER(N59),ROUND(N59/(MIN(F59,I59)*H59/F59)*100,2),"")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IF(AND(ISNUMBER(F60),ISNUMBER(I60),ISNUMBER(H60),ISNUMBER(K60),F60&gt;0,I60&gt;0,H60&lt;&gt;0),ROUND(MIN(F60,I60)*(K60/I60-H60/F60),8),"")</f>
        <v/>
      </c>
      <c r="O60" s="183" t="str">
        <f>IF(ISNUMBER(N60),ROUND(N60/(MIN(F60,I60)*H60/F60)*100,2),"")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IF(AND(ISNUMBER(F61),ISNUMBER(I61),ISNUMBER(H61),ISNUMBER(K61),F61&gt;0,I61&gt;0,H61&lt;&gt;0),ROUND(MIN(F61,I61)*(K61/I61-H61/F61),8),"")</f>
        <v/>
      </c>
      <c r="O61" s="177" t="str">
        <f>IF(ISNUMBER(N61),ROUND(N61/(MIN(F61,I61)*H61/F61)*100,2),"")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IF(AND(ISNUMBER(F62),ISNUMBER(I62),ISNUMBER(H62),ISNUMBER(K62),F62&gt;0,I62&gt;0,H62&lt;&gt;0),ROUND(MIN(F62,I62)*(K62/I62-H62/F62),8),"")</f>
        <v/>
      </c>
      <c r="O62" s="183" t="str">
        <f>IF(ISNUMBER(N62),ROUND(N62/(MIN(F62,I62)*H62/F62)*100,2),"")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IF(AND(ISNUMBER(F63),ISNUMBER(I63),ISNUMBER(H63),ISNUMBER(K63),F63&gt;0,I63&gt;0,H63&lt;&gt;0),ROUND(MIN(F63,I63)*(K63/I63-H63/F63),8),"")</f>
        <v/>
      </c>
      <c r="O63" s="177" t="str">
        <f>IF(ISNUMBER(N63),ROUND(N63/(MIN(F63,I63)*H63/F63)*100,2),"")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IF(AND(ISNUMBER(F64),ISNUMBER(I64),ISNUMBER(H64),ISNUMBER(K64),F64&gt;0,I64&gt;0,H64&lt;&gt;0),ROUND(MIN(F64,I64)*(K64/I64-H64/F64),8),"")</f>
        <v/>
      </c>
      <c r="O64" s="183" t="str">
        <f>IF(ISNUMBER(N64),ROUND(N64/(MIN(F64,I64)*H64/F64)*100,2),"")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IF(AND(ISNUMBER(F65),ISNUMBER(I65),ISNUMBER(H65),ISNUMBER(K65),F65&gt;0,I65&gt;0,H65&lt;&gt;0),ROUND(MIN(F65,I65)*(K65/I65-H65/F65),8),"")</f>
        <v/>
      </c>
      <c r="O65" s="177" t="str">
        <f>IF(ISNUMBER(N65),ROUND(N65/(MIN(F65,I65)*H65/F65)*100,2),"")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IF(AND(ISNUMBER(F66),ISNUMBER(I66),ISNUMBER(H66),ISNUMBER(K66),F66&gt;0,I66&gt;0,H66&lt;&gt;0),ROUND(MIN(F66,I66)*(K66/I66-H66/F66),8),"")</f>
        <v/>
      </c>
      <c r="O66" s="183" t="str">
        <f>IF(ISNUMBER(N66),ROUND(N66/(MIN(F66,I66)*H66/F66)*100,2),"")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IF(AND(ISNUMBER(F67),ISNUMBER(I67),ISNUMBER(H67),ISNUMBER(K67),F67&gt;0,I67&gt;0,H67&lt;&gt;0),ROUND(MIN(F67,I67)*(K67/I67-H67/F67),8),"")</f>
        <v/>
      </c>
      <c r="O67" s="177" t="str">
        <f>IF(ISNUMBER(N67),ROUND(N67/(MIN(F67,I67)*H67/F67)*100,2),"")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IF(AND(ISNUMBER(F68),ISNUMBER(I68),ISNUMBER(H68),ISNUMBER(K68),F68&gt;0,I68&gt;0,H68&lt;&gt;0),ROUND(MIN(F68,I68)*(K68/I68-H68/F68),8),"")</f>
        <v/>
      </c>
      <c r="O68" s="183" t="str">
        <f>IF(ISNUMBER(N68),ROUND(N68/(MIN(F68,I68)*H68/F68)*100,2),"")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IF(AND(ISNUMBER(F69),ISNUMBER(I69),ISNUMBER(H69),ISNUMBER(K69),F69&gt;0,I69&gt;0,H69&lt;&gt;0),ROUND(MIN(F69,I69)*(K69/I69-H69/F69),8),"")</f>
        <v/>
      </c>
      <c r="O69" s="177" t="str">
        <f>IF(ISNUMBER(N69),ROUND(N69/(MIN(F69,I69)*H69/F69)*100,2),"")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IF(AND(ISNUMBER(F70),ISNUMBER(I70),ISNUMBER(H70),ISNUMBER(K70),F70&gt;0,I70&gt;0,H70&lt;&gt;0),ROUND(MIN(F70,I70)*(K70/I70-H70/F70),8),"")</f>
        <v/>
      </c>
      <c r="O70" s="183" t="str">
        <f>IF(ISNUMBER(N70),ROUND(N70/(MIN(F70,I70)*H70/F70)*100,2),"")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IF(AND(ISNUMBER(F71),ISNUMBER(I71),ISNUMBER(H71),ISNUMBER(K71),F71&gt;0,I71&gt;0,H71&lt;&gt;0),ROUND(MIN(F71,I71)*(K71/I71-H71/F71),8),"")</f>
        <v/>
      </c>
      <c r="O71" s="177" t="str">
        <f>IF(ISNUMBER(N71),ROUND(N71/(MIN(F71,I71)*H71/F71)*100,2),"")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IF(AND(ISNUMBER(F72),ISNUMBER(I72),ISNUMBER(H72),ISNUMBER(K72),F72&gt;0,I72&gt;0,H72&lt;&gt;0),ROUND(MIN(F72,I72)*(K72/I72-H72/F72),8),"")</f>
        <v/>
      </c>
      <c r="O72" s="183" t="str">
        <f>IF(ISNUMBER(N72),ROUND(N72/(MIN(F72,I72)*H72/F72)*100,2),"")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IF(AND(ISNUMBER(F73),ISNUMBER(I73),ISNUMBER(H73),ISNUMBER(K73),F73&gt;0,I73&gt;0,H73&lt;&gt;0),ROUND(MIN(F73,I73)*(K73/I73-H73/F73),8),"")</f>
        <v/>
      </c>
      <c r="O73" s="177" t="str">
        <f>IF(ISNUMBER(N73),ROUND(N73/(MIN(F73,I73)*H73/F73)*100,2),"")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IF(AND(ISNUMBER(F74),ISNUMBER(I74),ISNUMBER(H74),ISNUMBER(K74),F74&gt;0,I74&gt;0,H74&lt;&gt;0),ROUND(MIN(F74,I74)*(K74/I74-H74/F74),8),"")</f>
        <v/>
      </c>
      <c r="O74" s="183" t="str">
        <f>IF(ISNUMBER(N74),ROUND(N74/(MIN(F74,I74)*H74/F74)*100,2),"")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IF(AND(ISNUMBER(F75),ISNUMBER(I75),ISNUMBER(H75),ISNUMBER(K75),F75&gt;0,I75&gt;0,H75&lt;&gt;0),ROUND(MIN(F75,I75)*(K75/I75-H75/F75),8),"")</f>
        <v/>
      </c>
      <c r="O75" s="177" t="str">
        <f>IF(ISNUMBER(N75),ROUND(N75/(MIN(F75,I75)*H75/F75)*100,2),"")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IF(AND(ISNUMBER(F76),ISNUMBER(I76),ISNUMBER(H76),ISNUMBER(K76),F76&gt;0,I76&gt;0,H76&lt;&gt;0),ROUND(MIN(F76,I76)*(K76/I76-H76/F76),8),"")</f>
        <v/>
      </c>
      <c r="O76" s="183" t="str">
        <f>IF(ISNUMBER(N76),ROUND(N76/(MIN(F76,I76)*H76/F76)*100,2),"")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IF(AND(ISNUMBER(F77),ISNUMBER(I77),ISNUMBER(H77),ISNUMBER(K77),F77&gt;0,I77&gt;0,H77&lt;&gt;0),ROUND(MIN(F77,I77)*(K77/I77-H77/F77),8),"")</f>
        <v/>
      </c>
      <c r="O77" s="177" t="str">
        <f>IF(ISNUMBER(N77),ROUND(N77/(MIN(F77,I77)*H77/F77)*100,2),"")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IF(AND(ISNUMBER(F78),ISNUMBER(I78),ISNUMBER(H78),ISNUMBER(K78),F78&gt;0,I78&gt;0,H78&lt;&gt;0),ROUND(MIN(F78,I78)*(K78/I78-H78/F78),8),"")</f>
        <v/>
      </c>
      <c r="O78" s="183" t="str">
        <f>IF(ISNUMBER(N78),ROUND(N78/(MIN(F78,I78)*H78/F78)*100,2),"")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IF(AND(ISNUMBER(F79),ISNUMBER(I79),ISNUMBER(H79),ISNUMBER(K79),F79&gt;0,I79&gt;0,H79&lt;&gt;0),ROUND(MIN(F79,I79)*(K79/I79-H79/F79),8),"")</f>
        <v/>
      </c>
      <c r="O79" s="177" t="str">
        <f>IF(ISNUMBER(N79),ROUND(N79/(MIN(F79,I79)*H79/F79)*100,2),"")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IF(AND(ISNUMBER(F80),ISNUMBER(I80),ISNUMBER(H80),ISNUMBER(K80),F80&gt;0,I80&gt;0,H80&lt;&gt;0),ROUND(MIN(F80,I80)*(K80/I80-H80/F80),8),"")</f>
        <v/>
      </c>
      <c r="O80" s="183" t="str">
        <f>IF(ISNUMBER(N80),ROUND(N80/(MIN(F80,I80)*H80/F80)*100,2),"")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IF(AND(ISNUMBER(F81),ISNUMBER(I81),ISNUMBER(H81),ISNUMBER(K81),F81&gt;0,I81&gt;0,H81&lt;&gt;0),ROUND(MIN(F81,I81)*(K81/I81-H81/F81),8),"")</f>
        <v/>
      </c>
      <c r="O81" s="177" t="str">
        <f>IF(ISNUMBER(N81),ROUND(N81/(MIN(F81,I81)*H81/F81)*100,2),"")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IF(AND(ISNUMBER(F82),ISNUMBER(I82),ISNUMBER(H82),ISNUMBER(K82),F82&gt;0,I82&gt;0,H82&lt;&gt;0),ROUND(MIN(F82,I82)*(K82/I82-H82/F82),8),"")</f>
        <v/>
      </c>
      <c r="O82" s="183" t="str">
        <f>IF(ISNUMBER(N82),ROUND(N82/(MIN(F82,I82)*H82/F82)*100,2),"")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IF(AND(ISNUMBER(F83),ISNUMBER(I83),ISNUMBER(H83),ISNUMBER(K83),F83&gt;0,I83&gt;0,H83&lt;&gt;0),ROUND(MIN(F83,I83)*(K83/I83-H83/F83),8),"")</f>
        <v/>
      </c>
      <c r="O83" s="177" t="str">
        <f>IF(ISNUMBER(N83),ROUND(N83/(MIN(F83,I83)*H83/F83)*100,2),"")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IF(AND(ISNUMBER(F84),ISNUMBER(I84),ISNUMBER(H84),ISNUMBER(K84),F84&gt;0,I84&gt;0,H84&lt;&gt;0),ROUND(MIN(F84,I84)*(K84/I84-H84/F84),8),"")</f>
        <v/>
      </c>
      <c r="O84" s="183" t="str">
        <f>IF(ISNUMBER(N84),ROUND(N84/(MIN(F84,I84)*H84/F84)*100,2),"")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IF(AND(ISNUMBER(F85),ISNUMBER(I85),ISNUMBER(H85),ISNUMBER(K85),F85&gt;0,I85&gt;0,H85&lt;&gt;0),ROUND(MIN(F85,I85)*(K85/I85-H85/F85),8),"")</f>
        <v/>
      </c>
      <c r="O85" s="177" t="str">
        <f>IF(ISNUMBER(N85),ROUND(N85/(MIN(F85,I85)*H85/F85)*100,2),"")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IF(AND(ISNUMBER(F86),ISNUMBER(I86),ISNUMBER(H86),ISNUMBER(K86),F86&gt;0,I86&gt;0,H86&lt;&gt;0),ROUND(MIN(F86,I86)*(K86/I86-H86/F86),8),"")</f>
        <v/>
      </c>
      <c r="O86" s="183" t="str">
        <f>IF(ISNUMBER(N86),ROUND(N86/(MIN(F86,I86)*H86/F86)*100,2),"")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IF(AND(ISNUMBER(F87),ISNUMBER(I87),ISNUMBER(H87),ISNUMBER(K87),F87&gt;0,I87&gt;0,H87&lt;&gt;0),ROUND(MIN(F87,I87)*(K87/I87-H87/F87),8),"")</f>
        <v/>
      </c>
      <c r="O87" s="177" t="str">
        <f>IF(ISNUMBER(N87),ROUND(N87/(MIN(F87,I87)*H87/F87)*100,2),"")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IF(AND(ISNUMBER(F88),ISNUMBER(I88),ISNUMBER(H88),ISNUMBER(K88),F88&gt;0,I88&gt;0,H88&lt;&gt;0),ROUND(MIN(F88,I88)*(K88/I88-H88/F88),8),"")</f>
        <v/>
      </c>
      <c r="O88" s="183" t="str">
        <f>IF(ISNUMBER(N88),ROUND(N88/(MIN(F88,I88)*H88/F88)*100,2),"")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IF(AND(ISNUMBER(F89),ISNUMBER(I89),ISNUMBER(H89),ISNUMBER(K89),F89&gt;0,I89&gt;0,H89&lt;&gt;0),ROUND(MIN(F89,I89)*(K89/I89-H89/F89),8),"")</f>
        <v/>
      </c>
      <c r="O89" s="177" t="str">
        <f>IF(ISNUMBER(N89),ROUND(N89/(MIN(F89,I89)*H89/F89)*100,2),"")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IF(AND(ISNUMBER(F90),ISNUMBER(I90),ISNUMBER(H90),ISNUMBER(K90),F90&gt;0,I90&gt;0,H90&lt;&gt;0),ROUND(MIN(F90,I90)*(K90/I90-H90/F90),8),"")</f>
        <v/>
      </c>
      <c r="O90" s="183" t="str">
        <f>IF(ISNUMBER(N90),ROUND(N90/(MIN(F90,I90)*H90/F90)*100,2),"")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IF(AND(ISNUMBER(F91),ISNUMBER(I91),ISNUMBER(H91),ISNUMBER(K91),F91&gt;0,I91&gt;0,H91&lt;&gt;0),ROUND(MIN(F91,I91)*(K91/I91-H91/F91),8),"")</f>
        <v/>
      </c>
      <c r="O91" s="177" t="str">
        <f>IF(ISNUMBER(N91),ROUND(N91/(MIN(F91,I91)*H91/F91)*100,2),"")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IF(AND(ISNUMBER(F92),ISNUMBER(I92),ISNUMBER(H92),ISNUMBER(K92),F92&gt;0,I92&gt;0,H92&lt;&gt;0),ROUND(MIN(F92,I92)*(K92/I92-H92/F92),8),"")</f>
        <v/>
      </c>
      <c r="O92" s="183" t="str">
        <f>IF(ISNUMBER(N92),ROUND(N92/(MIN(F92,I92)*H92/F92)*100,2),"")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IF(AND(ISNUMBER(F93),ISNUMBER(I93),ISNUMBER(H93),ISNUMBER(K93),F93&gt;0,I93&gt;0,H93&lt;&gt;0),ROUND(MIN(F93,I93)*(K93/I93-H93/F93),8),"")</f>
        <v/>
      </c>
      <c r="O93" s="177" t="str">
        <f>IF(ISNUMBER(N93),ROUND(N93/(MIN(F93,I93)*H93/F93)*100,2),"")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IF(AND(ISNUMBER(F94),ISNUMBER(I94),ISNUMBER(H94),ISNUMBER(K94),F94&gt;0,I94&gt;0,H94&lt;&gt;0),ROUND(MIN(F94,I94)*(K94/I94-H94/F94),8),"")</f>
        <v/>
      </c>
      <c r="O94" s="183" t="str">
        <f>IF(ISNUMBER(N94),ROUND(N94/(MIN(F94,I94)*H94/F94)*100,2),"")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IF(AND(ISNUMBER(F95),ISNUMBER(I95),ISNUMBER(H95),ISNUMBER(K95),F95&gt;0,I95&gt;0,H95&lt;&gt;0),ROUND(MIN(F95,I95)*(K95/I95-H95/F95),8),"")</f>
        <v/>
      </c>
      <c r="O95" s="177" t="str">
        <f>IF(ISNUMBER(N95),ROUND(N95/(MIN(F95,I95)*H95/F95)*100,2),"")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IF(AND(ISNUMBER(F96),ISNUMBER(I96),ISNUMBER(H96),ISNUMBER(K96),F96&gt;0,I96&gt;0,H96&lt;&gt;0),ROUND(MIN(F96,I96)*(K96/I96-H96/F96),8),"")</f>
        <v/>
      </c>
      <c r="O96" s="183" t="str">
        <f>IF(ISNUMBER(N96),ROUND(N96/(MIN(F96,I96)*H96/F96)*100,2),"")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IF(AND(ISNUMBER(F97),ISNUMBER(I97),ISNUMBER(H97),ISNUMBER(K97),F97&gt;0,I97&gt;0,H97&lt;&gt;0),ROUND(MIN(F97,I97)*(K97/I97-H97/F97),8),"")</f>
        <v/>
      </c>
      <c r="O97" s="177" t="str">
        <f>IF(ISNUMBER(N97),ROUND(N97/(MIN(F97,I97)*H97/F97)*100,2),"")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IF(AND(ISNUMBER(F98),ISNUMBER(I98),ISNUMBER(H98),ISNUMBER(K98),F98&gt;0,I98&gt;0,H98&lt;&gt;0),ROUND(MIN(F98,I98)*(K98/I98-H98/F98),8),"")</f>
        <v/>
      </c>
      <c r="O98" s="183" t="str">
        <f>IF(ISNUMBER(N98),ROUND(N98/(MIN(F98,I98)*H98/F98)*100,2),"")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IF(AND(ISNUMBER(F99),ISNUMBER(I99),ISNUMBER(H99),ISNUMBER(K99),F99&gt;0,I99&gt;0,H99&lt;&gt;0),ROUND(MIN(F99,I99)*(K99/I99-H99/F99),8),"")</f>
        <v/>
      </c>
      <c r="O99" s="177" t="str">
        <f>IF(ISNUMBER(N99),ROUND(N99/(MIN(F99,I99)*H99/F99)*100,2),"")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IF(AND(ISNUMBER(F100),ISNUMBER(I100),ISNUMBER(H100),ISNUMBER(K100),F100&gt;0,I100&gt;0,H100&lt;&gt;0),ROUND(MIN(F100,I100)*(K100/I100-H100/F100),8),"")</f>
        <v/>
      </c>
      <c r="O100" s="183" t="str">
        <f>IF(ISNUMBER(N100),ROUND(N100/(MIN(F100,I100)*H100/F100)*100,2),"")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IF(AND(ISNUMBER(F101),ISNUMBER(I101),ISNUMBER(H101),ISNUMBER(K101),F101&gt;0,I101&gt;0,H101&lt;&gt;0),ROUND(MIN(F101,I101)*(K101/I101-H101/F101),8),"")</f>
        <v/>
      </c>
      <c r="O101" s="177" t="str">
        <f>IF(ISNUMBER(N101),ROUND(N101/(MIN(F101,I101)*H101/F101)*100,2),"")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IF(AND(ISNUMBER(F102),ISNUMBER(I102),ISNUMBER(H102),ISNUMBER(K102),F102&gt;0,I102&gt;0,H102&lt;&gt;0),ROUND(MIN(F102,I102)*(K102/I102-H102/F102),8),"")</f>
        <v/>
      </c>
      <c r="O102" s="183" t="str">
        <f>IF(ISNUMBER(N102),ROUND(N102/(MIN(F102,I102)*H102/F102)*100,2),"")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IF(AND(ISNUMBER(F103),ISNUMBER(I103),ISNUMBER(H103),ISNUMBER(K103),F103&gt;0,I103&gt;0,H103&lt;&gt;0),ROUND(MIN(F103,I103)*(K103/I103-H103/F103),8),"")</f>
        <v/>
      </c>
      <c r="O103" s="177" t="str">
        <f>IF(ISNUMBER(N103),ROUND(N103/(MIN(F103,I103)*H103/F103)*100,2),"")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IF(AND(ISNUMBER(F104),ISNUMBER(I104),ISNUMBER(H104),ISNUMBER(K104),F104&gt;0,I104&gt;0,H104&lt;&gt;0),ROUND(MIN(F104,I104)*(K104/I104-H104/F104),8),"")</f>
        <v/>
      </c>
      <c r="O104" s="183" t="str">
        <f>IF(ISNUMBER(N104),ROUND(N104/(MIN(F104,I104)*H104/F104)*100,2),"")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IF(AND(ISNUMBER(F105),ISNUMBER(I105),ISNUMBER(H105),ISNUMBER(K105),F105&gt;0,I105&gt;0,H105&lt;&gt;0),ROUND(MIN(F105,I105)*(K105/I105-H105/F105),8),"")</f>
        <v/>
      </c>
      <c r="O105" s="177" t="str">
        <f>IF(ISNUMBER(N105),ROUND(N105/(MIN(F105,I105)*H105/F105)*100,2),"")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IF(AND(ISNUMBER(F106),ISNUMBER(I106),ISNUMBER(H106),ISNUMBER(K106),F106&gt;0,I106&gt;0,H106&lt;&gt;0),ROUND(MIN(F106,I106)*(K106/I106-H106/F106),8),"")</f>
        <v/>
      </c>
      <c r="O106" s="183" t="str">
        <f>IF(ISNUMBER(N106),ROUND(N106/(MIN(F106,I106)*H106/F106)*100,2),"")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IF(AND(ISNUMBER(F107),ISNUMBER(I107),ISNUMBER(H107),ISNUMBER(K107),F107&gt;0,I107&gt;0,H107&lt;&gt;0),ROUND(MIN(F107,I107)*(K107/I107-H107/F107),8),"")</f>
        <v/>
      </c>
      <c r="O107" s="177" t="str">
        <f>IF(ISNUMBER(N107),ROUND(N107/(MIN(F107,I107)*H107/F107)*100,2),"")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IF(AND(ISNUMBER(F108),ISNUMBER(I108),ISNUMBER(H108),ISNUMBER(K108),F108&gt;0,I108&gt;0,H108&lt;&gt;0),ROUND(MIN(F108,I108)*(K108/I108-H108/F108),8),"")</f>
        <v/>
      </c>
      <c r="O108" s="183" t="str">
        <f>IF(ISNUMBER(N108),ROUND(N108/(MIN(F108,I108)*H108/F108)*100,2),"")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IF(AND(ISNUMBER(F109),ISNUMBER(I109),ISNUMBER(H109),ISNUMBER(K109),F109&gt;0,I109&gt;0,H109&lt;&gt;0),ROUND(MIN(F109,I109)*(K109/I109-H109/F109),8),"")</f>
        <v/>
      </c>
      <c r="O109" s="177" t="str">
        <f>IF(ISNUMBER(N109),ROUND(N109/(MIN(F109,I109)*H109/F109)*100,2),"")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IF(AND(ISNUMBER(F110),ISNUMBER(I110),ISNUMBER(H110),ISNUMBER(K110),F110&gt;0,I110&gt;0,H110&lt;&gt;0),ROUND(MIN(F110,I110)*(K110/I110-H110/F110),8),"")</f>
        <v/>
      </c>
      <c r="O110" s="183" t="str">
        <f>IF(ISNUMBER(N110),ROUND(N110/(MIN(F110,I110)*H110/F110)*100,2),"")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IF(AND(ISNUMBER(F111),ISNUMBER(I111),ISNUMBER(H111),ISNUMBER(K111),F111&gt;0,I111&gt;0,H111&lt;&gt;0),ROUND(MIN(F111,I111)*(K111/I111-H111/F111),8),"")</f>
        <v/>
      </c>
      <c r="O111" s="177" t="str">
        <f>IF(ISNUMBER(N111),ROUND(N111/(MIN(F111,I111)*H111/F111)*100,2),"")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IF(AND(ISNUMBER(F112),ISNUMBER(I112),ISNUMBER(H112),ISNUMBER(K112),F112&gt;0,I112&gt;0,H112&lt;&gt;0),ROUND(MIN(F112,I112)*(K112/I112-H112/F112),8),"")</f>
        <v/>
      </c>
      <c r="O112" s="183" t="str">
        <f>IF(ISNUMBER(N112),ROUND(N112/(MIN(F112,I112)*H112/F112)*100,2),"")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IF(AND(ISNUMBER(F113),ISNUMBER(I113),ISNUMBER(H113),ISNUMBER(K113),F113&gt;0,I113&gt;0,H113&lt;&gt;0),ROUND(MIN(F113,I113)*(K113/I113-H113/F113),8),"")</f>
        <v/>
      </c>
      <c r="O113" s="177" t="str">
        <f>IF(ISNUMBER(N113),ROUND(N113/(MIN(F113,I113)*H113/F113)*100,2),"")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IF(AND(ISNUMBER(F114),ISNUMBER(I114),ISNUMBER(H114),ISNUMBER(K114),F114&gt;0,I114&gt;0,H114&lt;&gt;0),ROUND(MIN(F114,I114)*(K114/I114-H114/F114),8),"")</f>
        <v/>
      </c>
      <c r="O114" s="183" t="str">
        <f>IF(ISNUMBER(N114),ROUND(N114/(MIN(F114,I114)*H114/F114)*100,2),"")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IF(AND(ISNUMBER(F115),ISNUMBER(I115),ISNUMBER(H115),ISNUMBER(K115),F115&gt;0,I115&gt;0,H115&lt;&gt;0),ROUND(MIN(F115,I115)*(K115/I115-H115/F115),8),"")</f>
        <v/>
      </c>
      <c r="O115" s="177" t="str">
        <f>IF(ISNUMBER(N115),ROUND(N115/(MIN(F115,I115)*H115/F115)*100,2),"")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IF(AND(ISNUMBER(F116),ISNUMBER(I116),ISNUMBER(H116),ISNUMBER(K116),F116&gt;0,I116&gt;0,H116&lt;&gt;0),ROUND(MIN(F116,I116)*(K116/I116-H116/F116),8),"")</f>
        <v/>
      </c>
      <c r="O116" s="183" t="str">
        <f>IF(ISNUMBER(N116),ROUND(N116/(MIN(F116,I116)*H116/F116)*100,2),"")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IF(AND(ISNUMBER(F117),ISNUMBER(I117),ISNUMBER(H117),ISNUMBER(K117),F117&gt;0,I117&gt;0,H117&lt;&gt;0),ROUND(MIN(F117,I117)*(K117/I117-H117/F117),8),"")</f>
        <v/>
      </c>
      <c r="O117" s="177" t="str">
        <f>IF(ISNUMBER(N117),ROUND(N117/(MIN(F117,I117)*H117/F117)*100,2),"")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IF(AND(ISNUMBER(F118),ISNUMBER(I118),ISNUMBER(H118),ISNUMBER(K118),F118&gt;0,I118&gt;0,H118&lt;&gt;0),ROUND(MIN(F118,I118)*(K118/I118-H118/F118),8),"")</f>
        <v/>
      </c>
      <c r="O118" s="183" t="str">
        <f>IF(ISNUMBER(N118),ROUND(N118/(MIN(F118,I118)*H118/F118)*100,2),"")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IF(AND(ISNUMBER(F119),ISNUMBER(I119),ISNUMBER(H119),ISNUMBER(K119),F119&gt;0,I119&gt;0,H119&lt;&gt;0),ROUND(MIN(F119,I119)*(K119/I119-H119/F119),8),"")</f>
        <v/>
      </c>
      <c r="O119" s="177" t="str">
        <f>IF(ISNUMBER(N119),ROUND(N119/(MIN(F119,I119)*H119/F119)*100,2),"")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IF(AND(ISNUMBER(F120),ISNUMBER(I120),ISNUMBER(H120),ISNUMBER(K120),F120&gt;0,I120&gt;0,H120&lt;&gt;0),ROUND(MIN(F120,I120)*(K120/I120-H120/F120),8),"")</f>
        <v/>
      </c>
      <c r="O120" s="183" t="str">
        <f>IF(ISNUMBER(N120),ROUND(N120/(MIN(F120,I120)*H120/F120)*100,2),"")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IF(AND(ISNUMBER(F121),ISNUMBER(I121),ISNUMBER(H121),ISNUMBER(K121),F121&gt;0,I121&gt;0,H121&lt;&gt;0),ROUND(MIN(F121,I121)*(K121/I121-H121/F121),8),"")</f>
        <v/>
      </c>
      <c r="O121" s="177" t="str">
        <f>IF(ISNUMBER(N121),ROUND(N121/(MIN(F121,I121)*H121/F121)*100,2),"")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IF(AND(ISNUMBER(F122),ISNUMBER(I122),ISNUMBER(H122),ISNUMBER(K122),F122&gt;0,I122&gt;0,H122&lt;&gt;0),ROUND(MIN(F122,I122)*(K122/I122-H122/F122),8),"")</f>
        <v/>
      </c>
      <c r="O122" s="183" t="str">
        <f>IF(ISNUMBER(N122),ROUND(N122/(MIN(F122,I122)*H122/F122)*100,2),"")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IF(AND(ISNUMBER(F123),ISNUMBER(I123),ISNUMBER(H123),ISNUMBER(K123),F123&gt;0,I123&gt;0,H123&lt;&gt;0),ROUND(MIN(F123,I123)*(K123/I123-H123/F123),8),"")</f>
        <v/>
      </c>
      <c r="O123" s="177" t="str">
        <f>IF(ISNUMBER(N123),ROUND(N123/(MIN(F123,I123)*H123/F123)*100,2),"")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IF(AND(ISNUMBER(F124),ISNUMBER(I124),ISNUMBER(H124),ISNUMBER(K124),F124&gt;0,I124&gt;0,H124&lt;&gt;0),ROUND(MIN(F124,I124)*(K124/I124-H124/F124),8),"")</f>
        <v/>
      </c>
      <c r="O124" s="183" t="str">
        <f>IF(ISNUMBER(N124),ROUND(N124/(MIN(F124,I124)*H124/F124)*100,2),"")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IF(AND(ISNUMBER(F125),ISNUMBER(I125),ISNUMBER(H125),ISNUMBER(K125),F125&gt;0,I125&gt;0,H125&lt;&gt;0),ROUND(MIN(F125,I125)*(K125/I125-H125/F125),8),"")</f>
        <v/>
      </c>
      <c r="O125" s="177" t="str">
        <f>IF(ISNUMBER(N125),ROUND(N125/(MIN(F125,I125)*H125/F125)*100,2),"")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IF(AND(ISNUMBER(F126),ISNUMBER(I126),ISNUMBER(H126),ISNUMBER(K126),F126&gt;0,I126&gt;0,H126&lt;&gt;0),ROUND(MIN(F126,I126)*(K126/I126-H126/F126),8),"")</f>
        <v/>
      </c>
      <c r="O126" s="183" t="str">
        <f>IF(ISNUMBER(N126),ROUND(N126/(MIN(F126,I126)*H126/F126)*100,2),"")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IF(AND(ISNUMBER(F127),ISNUMBER(I127),ISNUMBER(H127),ISNUMBER(K127),F127&gt;0,I127&gt;0,H127&lt;&gt;0),ROUND(MIN(F127,I127)*(K127/I127-H127/F127),8),"")</f>
        <v/>
      </c>
      <c r="O127" s="177" t="str">
        <f>IF(ISNUMBER(N127),ROUND(N127/(MIN(F127,I127)*H127/F127)*100,2),"")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IF(AND(ISNUMBER(F128),ISNUMBER(I128),ISNUMBER(H128),ISNUMBER(K128),F128&gt;0,I128&gt;0,H128&lt;&gt;0),ROUND(MIN(F128,I128)*(K128/I128-H128/F128),8),"")</f>
        <v/>
      </c>
      <c r="O128" s="183" t="str">
        <f>IF(ISNUMBER(N128),ROUND(N128/(MIN(F128,I128)*H128/F128)*100,2),"")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IF(AND(ISNUMBER(F129),ISNUMBER(I129),ISNUMBER(H129),ISNUMBER(K129),F129&gt;0,I129&gt;0,H129&lt;&gt;0),ROUND(MIN(F129,I129)*(K129/I129-H129/F129),8),"")</f>
        <v/>
      </c>
      <c r="O129" s="177" t="str">
        <f>IF(ISNUMBER(N129),ROUND(N129/(MIN(F129,I129)*H129/F129)*100,2),"")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IF(AND(ISNUMBER(F130),ISNUMBER(I130),ISNUMBER(H130),ISNUMBER(K130),F130&gt;0,I130&gt;0,H130&lt;&gt;0),ROUND(MIN(F130,I130)*(K130/I130-H130/F130),8),"")</f>
        <v/>
      </c>
      <c r="O130" s="183" t="str">
        <f>IF(ISNUMBER(N130),ROUND(N130/(MIN(F130,I130)*H130/F130)*100,2),"")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IF(AND(ISNUMBER(F131),ISNUMBER(I131),ISNUMBER(H131),ISNUMBER(K131),F131&gt;0,I131&gt;0,H131&lt;&gt;0),ROUND(MIN(F131,I131)*(K131/I131-H131/F131),8),"")</f>
        <v/>
      </c>
      <c r="O131" s="177" t="str">
        <f>IF(ISNUMBER(N131),ROUND(N131/(MIN(F131,I131)*H131/F131)*100,2),"")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IF(AND(ISNUMBER(F132),ISNUMBER(I132),ISNUMBER(H132),ISNUMBER(K132),F132&gt;0,I132&gt;0,H132&lt;&gt;0),ROUND(MIN(F132,I132)*(K132/I132-H132/F132),8),"")</f>
        <v/>
      </c>
      <c r="O132" s="183" t="str">
        <f>IF(ISNUMBER(N132),ROUND(N132/(MIN(F132,I132)*H132/F132)*100,2),"")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IF(AND(ISNUMBER(F133),ISNUMBER(I133),ISNUMBER(H133),ISNUMBER(K133),F133&gt;0,I133&gt;0,H133&lt;&gt;0),ROUND(MIN(F133,I133)*(K133/I133-H133/F133),8),"")</f>
        <v/>
      </c>
      <c r="O133" s="177" t="str">
        <f>IF(ISNUMBER(N133),ROUND(N133/(MIN(F133,I133)*H133/F133)*100,2),"")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IF(AND(ISNUMBER(F134),ISNUMBER(I134),ISNUMBER(H134),ISNUMBER(K134),F134&gt;0,I134&gt;0,H134&lt;&gt;0),ROUND(MIN(F134,I134)*(K134/I134-H134/F134),8),"")</f>
        <v/>
      </c>
      <c r="O134" s="183" t="str">
        <f>IF(ISNUMBER(N134),ROUND(N134/(MIN(F134,I134)*H134/F134)*100,2),"")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IF(AND(ISNUMBER(F135),ISNUMBER(I135),ISNUMBER(H135),ISNUMBER(K135),F135&gt;0,I135&gt;0,H135&lt;&gt;0),ROUND(MIN(F135,I135)*(K135/I135-H135/F135),8),"")</f>
        <v/>
      </c>
      <c r="O135" s="177" t="str">
        <f>IF(ISNUMBER(N135),ROUND(N135/(MIN(F135,I135)*H135/F135)*100,2),"")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IF(AND(ISNUMBER(F136),ISNUMBER(I136),ISNUMBER(H136),ISNUMBER(K136),F136&gt;0,I136&gt;0,H136&lt;&gt;0),ROUND(MIN(F136,I136)*(K136/I136-H136/F136),8),"")</f>
        <v/>
      </c>
      <c r="O136" s="183" t="str">
        <f>IF(ISNUMBER(N136),ROUND(N136/(MIN(F136,I136)*H136/F136)*100,2),"")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IF(AND(ISNUMBER(F137),ISNUMBER(I137),ISNUMBER(H137),ISNUMBER(K137),F137&gt;0,I137&gt;0,H137&lt;&gt;0),ROUND(MIN(F137,I137)*(K137/I137-H137/F137),8),"")</f>
        <v/>
      </c>
      <c r="O137" s="177" t="str">
        <f>IF(ISNUMBER(N137),ROUND(N137/(MIN(F137,I137)*H137/F137)*100,2),"")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IF(AND(ISNUMBER(F138),ISNUMBER(I138),ISNUMBER(H138),ISNUMBER(K138),F138&gt;0,I138&gt;0,H138&lt;&gt;0),ROUND(MIN(F138,I138)*(K138/I138-H138/F138),8),"")</f>
        <v/>
      </c>
      <c r="O138" s="183" t="str">
        <f>IF(ISNUMBER(N138),ROUND(N138/(MIN(F138,I138)*H138/F138)*100,2),"")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IF(AND(ISNUMBER(F139),ISNUMBER(I139),ISNUMBER(H139),ISNUMBER(K139),F139&gt;0,I139&gt;0,H139&lt;&gt;0),ROUND(MIN(F139,I139)*(K139/I139-H139/F139),8),"")</f>
        <v/>
      </c>
      <c r="O139" s="177" t="str">
        <f>IF(ISNUMBER(N139),ROUND(N139/(MIN(F139,I139)*H139/F139)*100,2),"")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IF(AND(ISNUMBER(F140),ISNUMBER(I140),ISNUMBER(H140),ISNUMBER(K140),F140&gt;0,I140&gt;0,H140&lt;&gt;0),ROUND(MIN(F140,I140)*(K140/I140-H140/F140),8),"")</f>
        <v/>
      </c>
      <c r="O140" s="183" t="str">
        <f>IF(ISNUMBER(N140),ROUND(N140/(MIN(F140,I140)*H140/F140)*100,2),"")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IF(AND(ISNUMBER(F141),ISNUMBER(I141),ISNUMBER(H141),ISNUMBER(K141),F141&gt;0,I141&gt;0,H141&lt;&gt;0),ROUND(MIN(F141,I141)*(K141/I141-H141/F141),8),"")</f>
        <v/>
      </c>
      <c r="O141" s="177" t="str">
        <f>IF(ISNUMBER(N141),ROUND(N141/(MIN(F141,I141)*H141/F141)*100,2),"")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IF(AND(ISNUMBER(F142),ISNUMBER(I142),ISNUMBER(H142),ISNUMBER(K142),F142&gt;0,I142&gt;0,H142&lt;&gt;0),ROUND(MIN(F142,I142)*(K142/I142-H142/F142),8),"")</f>
        <v/>
      </c>
      <c r="O142" s="183" t="str">
        <f>IF(ISNUMBER(N142),ROUND(N142/(MIN(F142,I142)*H142/F142)*100,2),"")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IF(AND(ISNUMBER(F143),ISNUMBER(I143),ISNUMBER(H143),ISNUMBER(K143),F143&gt;0,I143&gt;0,H143&lt;&gt;0),ROUND(MIN(F143,I143)*(K143/I143-H143/F143),8),"")</f>
        <v/>
      </c>
      <c r="O143" s="177" t="str">
        <f>IF(ISNUMBER(N143),ROUND(N143/(MIN(F143,I143)*H143/F143)*100,2),"")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IF(AND(ISNUMBER(F144),ISNUMBER(I144),ISNUMBER(H144),ISNUMBER(K144),F144&gt;0,I144&gt;0,H144&lt;&gt;0),ROUND(MIN(F144,I144)*(K144/I144-H144/F144),8),"")</f>
        <v/>
      </c>
      <c r="O144" s="183" t="str">
        <f>IF(ISNUMBER(N144),ROUND(N144/(MIN(F144,I144)*H144/F144)*100,2),"")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IF(AND(ISNUMBER(F145),ISNUMBER(I145),ISNUMBER(H145),ISNUMBER(K145),F145&gt;0,I145&gt;0,H145&lt;&gt;0),ROUND(MIN(F145,I145)*(K145/I145-H145/F145),8),"")</f>
        <v/>
      </c>
      <c r="O145" s="177" t="str">
        <f>IF(ISNUMBER(N145),ROUND(N145/(MIN(F145,I145)*H145/F145)*100,2),"")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IF(AND(ISNUMBER(F146),ISNUMBER(I146),ISNUMBER(H146),ISNUMBER(K146),F146&gt;0,I146&gt;0,H146&lt;&gt;0),ROUND(MIN(F146,I146)*(K146/I146-H146/F146),8),"")</f>
        <v/>
      </c>
      <c r="O146" s="183" t="str">
        <f>IF(ISNUMBER(N146),ROUND(N146/(MIN(F146,I146)*H146/F146)*100,2),"")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IF(AND(ISNUMBER(F147),ISNUMBER(I147),ISNUMBER(H147),ISNUMBER(K147),F147&gt;0,I147&gt;0,H147&lt;&gt;0),ROUND(MIN(F147,I147)*(K147/I147-H147/F147),8),"")</f>
        <v/>
      </c>
      <c r="O147" s="177" t="str">
        <f>IF(ISNUMBER(N147),ROUND(N147/(MIN(F147,I147)*H147/F147)*100,2),"")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IF(AND(ISNUMBER(F148),ISNUMBER(I148),ISNUMBER(H148),ISNUMBER(K148),F148&gt;0,I148&gt;0,H148&lt;&gt;0),ROUND(MIN(F148,I148)*(K148/I148-H148/F148),8),"")</f>
        <v/>
      </c>
      <c r="O148" s="183" t="str">
        <f>IF(ISNUMBER(N148),ROUND(N148/(MIN(F148,I148)*H148/F148)*100,2),"")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IF(AND(ISNUMBER(F149),ISNUMBER(I149),ISNUMBER(H149),ISNUMBER(K149),F149&gt;0,I149&gt;0,H149&lt;&gt;0),ROUND(MIN(F149,I149)*(K149/I149-H149/F149),8),"")</f>
        <v/>
      </c>
      <c r="O149" s="177" t="str">
        <f>IF(ISNUMBER(N149),ROUND(N149/(MIN(F149,I149)*H149/F149)*100,2),"")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IF(AND(ISNUMBER(F150),ISNUMBER(I150),ISNUMBER(H150),ISNUMBER(K150),F150&gt;0,I150&gt;0,H150&lt;&gt;0),ROUND(MIN(F150,I150)*(K150/I150-H150/F150),8),"")</f>
        <v/>
      </c>
      <c r="O150" s="183" t="str">
        <f>IF(ISNUMBER(N150),ROUND(N150/(MIN(F150,I150)*H150/F150)*100,2),"")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IF(AND(ISNUMBER(F151),ISNUMBER(I151),ISNUMBER(H151),ISNUMBER(K151),F151&gt;0,I151&gt;0,H151&lt;&gt;0),ROUND(MIN(F151,I151)*(K151/I151-H151/F151),8),"")</f>
        <v/>
      </c>
      <c r="O151" s="177" t="str">
        <f>IF(ISNUMBER(N151),ROUND(N151/(MIN(F151,I151)*H151/F151)*100,2),"")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IF(AND(ISNUMBER(F152),ISNUMBER(I152),ISNUMBER(H152),ISNUMBER(K152),F152&gt;0,I152&gt;0,H152&lt;&gt;0),ROUND(MIN(F152,I152)*(K152/I152-H152/F152),8),"")</f>
        <v/>
      </c>
      <c r="O152" s="183" t="str">
        <f>IF(ISNUMBER(N152),ROUND(N152/(MIN(F152,I152)*H152/F152)*100,2),"")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IF(AND(ISNUMBER(F153),ISNUMBER(I153),ISNUMBER(H153),ISNUMBER(K153),F153&gt;0,I153&gt;0,H153&lt;&gt;0),ROUND(MIN(F153,I153)*(K153/I153-H153/F153),8),"")</f>
        <v/>
      </c>
      <c r="O153" s="177" t="str">
        <f>IF(ISNUMBER(N153),ROUND(N153/(MIN(F153,I153)*H153/F153)*100,2),"")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IF(AND(ISNUMBER(F154),ISNUMBER(I154),ISNUMBER(H154),ISNUMBER(K154),F154&gt;0,I154&gt;0,H154&lt;&gt;0),ROUND(MIN(F154,I154)*(K154/I154-H154/F154),8),"")</f>
        <v/>
      </c>
      <c r="O154" s="183" t="str">
        <f>IF(ISNUMBER(N154),ROUND(N154/(MIN(F154,I154)*H154/F154)*100,2),"")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IF(AND(ISNUMBER(F155),ISNUMBER(I155),ISNUMBER(H155),ISNUMBER(K155),F155&gt;0,I155&gt;0,H155&lt;&gt;0),ROUND(MIN(F155,I155)*(K155/I155-H155/F155),8),"")</f>
        <v/>
      </c>
      <c r="O155" s="177" t="str">
        <f>IF(ISNUMBER(N155),ROUND(N155/(MIN(F155,I155)*H155/F155)*100,2),"")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IF(AND(ISNUMBER(F156),ISNUMBER(I156),ISNUMBER(H156),ISNUMBER(K156),F156&gt;0,I156&gt;0,H156&lt;&gt;0),ROUND(MIN(F156,I156)*(K156/I156-H156/F156),8),"")</f>
        <v/>
      </c>
      <c r="O156" s="183" t="str">
        <f>IF(ISNUMBER(N156),ROUND(N156/(MIN(F156,I156)*H156/F156)*100,2),"")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IF(AND(ISNUMBER(F157),ISNUMBER(I157),ISNUMBER(H157),ISNUMBER(K157),F157&gt;0,I157&gt;0,H157&lt;&gt;0),ROUND(MIN(F157,I157)*(K157/I157-H157/F157),8),"")</f>
        <v/>
      </c>
      <c r="O157" s="177" t="str">
        <f>IF(ISNUMBER(N157),ROUND(N157/(MIN(F157,I157)*H157/F157)*100,2),"")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IF(AND(ISNUMBER(F158),ISNUMBER(I158),ISNUMBER(H158),ISNUMBER(K158),F158&gt;0,I158&gt;0,H158&lt;&gt;0),ROUND(MIN(F158,I158)*(K158/I158-H158/F158),8),"")</f>
        <v/>
      </c>
      <c r="O158" s="183" t="str">
        <f>IF(ISNUMBER(N158),ROUND(N158/(MIN(F158,I158)*H158/F158)*100,2),"")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IF(AND(ISNUMBER(F159),ISNUMBER(I159),ISNUMBER(H159),ISNUMBER(K159),F159&gt;0,I159&gt;0,H159&lt;&gt;0),ROUND(MIN(F159,I159)*(K159/I159-H159/F159),8),"")</f>
        <v/>
      </c>
      <c r="O159" s="177" t="str">
        <f>IF(ISNUMBER(N159),ROUND(N159/(MIN(F159,I159)*H159/F159)*100,2),"")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IF(AND(ISNUMBER(F160),ISNUMBER(I160),ISNUMBER(H160),ISNUMBER(K160),F160&gt;0,I160&gt;0,H160&lt;&gt;0),ROUND(MIN(F160,I160)*(K160/I160-H160/F160),8),"")</f>
        <v/>
      </c>
      <c r="O160" s="183" t="str">
        <f>IF(ISNUMBER(N160),ROUND(N160/(MIN(F160,I160)*H160/F160)*100,2),"")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IF(AND(ISNUMBER(F161),ISNUMBER(I161),ISNUMBER(H161),ISNUMBER(K161),F161&gt;0,I161&gt;0,H161&lt;&gt;0),ROUND(MIN(F161,I161)*(K161/I161-H161/F161),8),"")</f>
        <v/>
      </c>
      <c r="O161" s="177" t="str">
        <f>IF(ISNUMBER(N161),ROUND(N161/(MIN(F161,I161)*H161/F161)*100,2),"")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IF(AND(ISNUMBER(F162),ISNUMBER(I162),ISNUMBER(H162),ISNUMBER(K162),F162&gt;0,I162&gt;0,H162&lt;&gt;0),ROUND(MIN(F162,I162)*(K162/I162-H162/F162),8),"")</f>
        <v/>
      </c>
      <c r="O162" s="183" t="str">
        <f>IF(ISNUMBER(N162),ROUND(N162/(MIN(F162,I162)*H162/F162)*100,2),"")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IF(AND(ISNUMBER(F163),ISNUMBER(I163),ISNUMBER(H163),ISNUMBER(K163),F163&gt;0,I163&gt;0,H163&lt;&gt;0),ROUND(MIN(F163,I163)*(K163/I163-H163/F163),8),"")</f>
        <v/>
      </c>
      <c r="O163" s="177" t="str">
        <f>IF(ISNUMBER(N163),ROUND(N163/(MIN(F163,I163)*H163/F163)*100,2),"")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IF(AND(ISNUMBER(F164),ISNUMBER(I164),ISNUMBER(H164),ISNUMBER(K164),F164&gt;0,I164&gt;0,H164&lt;&gt;0),ROUND(MIN(F164,I164)*(K164/I164-H164/F164),8),"")</f>
        <v/>
      </c>
      <c r="O164" s="183" t="str">
        <f>IF(ISNUMBER(N164),ROUND(N164/(MIN(F164,I164)*H164/F164)*100,2),"")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IF(AND(ISNUMBER(F165),ISNUMBER(I165),ISNUMBER(H165),ISNUMBER(K165),F165&gt;0,I165&gt;0,H165&lt;&gt;0),ROUND(MIN(F165,I165)*(K165/I165-H165/F165),8),"")</f>
        <v/>
      </c>
      <c r="O165" s="177" t="str">
        <f>IF(ISNUMBER(N165),ROUND(N165/(MIN(F165,I165)*H165/F165)*100,2),"")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IF(AND(ISNUMBER(F166),ISNUMBER(I166),ISNUMBER(H166),ISNUMBER(K166),F166&gt;0,I166&gt;0,H166&lt;&gt;0),ROUND(MIN(F166,I166)*(K166/I166-H166/F166),8),"")</f>
        <v/>
      </c>
      <c r="O166" s="183" t="str">
        <f>IF(ISNUMBER(N166),ROUND(N166/(MIN(F166,I166)*H166/F166)*100,2),"")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IF(AND(ISNUMBER(F167),ISNUMBER(I167),ISNUMBER(H167),ISNUMBER(K167),F167&gt;0,I167&gt;0,H167&lt;&gt;0),ROUND(MIN(F167,I167)*(K167/I167-H167/F167),8),"")</f>
        <v/>
      </c>
      <c r="O167" s="177" t="str">
        <f>IF(ISNUMBER(N167),ROUND(N167/(MIN(F167,I167)*H167/F167)*100,2),"")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IF(AND(ISNUMBER(F168),ISNUMBER(I168),ISNUMBER(H168),ISNUMBER(K168),F168&gt;0,I168&gt;0,H168&lt;&gt;0),ROUND(MIN(F168,I168)*(K168/I168-H168/F168),8),"")</f>
        <v/>
      </c>
      <c r="O168" s="183" t="str">
        <f>IF(ISNUMBER(N168),ROUND(N168/(MIN(F168,I168)*H168/F168)*100,2),"")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IF(AND(ISNUMBER(F169),ISNUMBER(I169),ISNUMBER(H169),ISNUMBER(K169),F169&gt;0,I169&gt;0,H169&lt;&gt;0),ROUND(MIN(F169,I169)*(K169/I169-H169/F169),8),"")</f>
        <v/>
      </c>
      <c r="O169" s="177" t="str">
        <f>IF(ISNUMBER(N169),ROUND(N169/(MIN(F169,I169)*H169/F169)*100,2),"")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IF(AND(ISNUMBER(F170),ISNUMBER(I170),ISNUMBER(H170),ISNUMBER(K170),F170&gt;0,I170&gt;0,H170&lt;&gt;0),ROUND(MIN(F170,I170)*(K170/I170-H170/F170),8),"")</f>
        <v/>
      </c>
      <c r="O170" s="183" t="str">
        <f>IF(ISNUMBER(N170),ROUND(N170/(MIN(F170,I170)*H170/F170)*100,2),"")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IF(AND(ISNUMBER(F171),ISNUMBER(I171),ISNUMBER(H171),ISNUMBER(K171),F171&gt;0,I171&gt;0,H171&lt;&gt;0),ROUND(MIN(F171,I171)*(K171/I171-H171/F171),8),"")</f>
        <v/>
      </c>
      <c r="O171" s="177" t="str">
        <f>IF(ISNUMBER(N171),ROUND(N171/(MIN(F171,I171)*H171/F171)*100,2),"")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IF(AND(ISNUMBER(F172),ISNUMBER(I172),ISNUMBER(H172),ISNUMBER(K172),F172&gt;0,I172&gt;0,H172&lt;&gt;0),ROUND(MIN(F172,I172)*(K172/I172-H172/F172),8),"")</f>
        <v/>
      </c>
      <c r="O172" s="183" t="str">
        <f>IF(ISNUMBER(N172),ROUND(N172/(MIN(F172,I172)*H172/F172)*100,2),"")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IF(AND(ISNUMBER(F173),ISNUMBER(I173),ISNUMBER(H173),ISNUMBER(K173),F173&gt;0,I173&gt;0,H173&lt;&gt;0),ROUND(MIN(F173,I173)*(K173/I173-H173/F173),8),"")</f>
        <v/>
      </c>
      <c r="O173" s="177" t="str">
        <f>IF(ISNUMBER(N173),ROUND(N173/(MIN(F173,I173)*H173/F173)*100,2),"")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IF(AND(ISNUMBER(F174),ISNUMBER(I174),ISNUMBER(H174),ISNUMBER(K174),F174&gt;0,I174&gt;0,H174&lt;&gt;0),ROUND(MIN(F174,I174)*(K174/I174-H174/F174),8),"")</f>
        <v/>
      </c>
      <c r="O174" s="183" t="str">
        <f>IF(ISNUMBER(N174),ROUND(N174/(MIN(F174,I174)*H174/F174)*100,2),"")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IF(AND(ISNUMBER(F175),ISNUMBER(I175),ISNUMBER(H175),ISNUMBER(K175),F175&gt;0,I175&gt;0,H175&lt;&gt;0),ROUND(MIN(F175,I175)*(K175/I175-H175/F175),8),"")</f>
        <v/>
      </c>
      <c r="O175" s="177" t="str">
        <f>IF(ISNUMBER(N175),ROUND(N175/(MIN(F175,I175)*H175/F175)*100,2),"")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IF(AND(ISNUMBER(F176),ISNUMBER(I176),ISNUMBER(H176),ISNUMBER(K176),F176&gt;0,I176&gt;0,H176&lt;&gt;0),ROUND(MIN(F176,I176)*(K176/I176-H176/F176),8),"")</f>
        <v/>
      </c>
      <c r="O176" s="183" t="str">
        <f>IF(ISNUMBER(N176),ROUND(N176/(MIN(F176,I176)*H176/F176)*100,2),"")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IF(AND(ISNUMBER(F177),ISNUMBER(I177),ISNUMBER(H177),ISNUMBER(K177),F177&gt;0,I177&gt;0,H177&lt;&gt;0),ROUND(MIN(F177,I177)*(K177/I177-H177/F177),8),"")</f>
        <v/>
      </c>
      <c r="O177" s="177" t="str">
        <f>IF(ISNUMBER(N177),ROUND(N177/(MIN(F177,I177)*H177/F177)*100,2),"")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IF(AND(ISNUMBER(F178),ISNUMBER(I178),ISNUMBER(H178),ISNUMBER(K178),F178&gt;0,I178&gt;0,H178&lt;&gt;0),ROUND(MIN(F178,I178)*(K178/I178-H178/F178),8),"")</f>
        <v/>
      </c>
      <c r="O178" s="183" t="str">
        <f>IF(ISNUMBER(N178),ROUND(N178/(MIN(F178,I178)*H178/F178)*100,2),"")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IF(AND(ISNUMBER(F179),ISNUMBER(I179),ISNUMBER(H179),ISNUMBER(K179),F179&gt;0,I179&gt;0,H179&lt;&gt;0),ROUND(MIN(F179,I179)*(K179/I179-H179/F179),8),"")</f>
        <v/>
      </c>
      <c r="O179" s="177" t="str">
        <f>IF(ISNUMBER(N179),ROUND(N179/(MIN(F179,I179)*H179/F179)*100,2),"")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IF(AND(ISNUMBER(F180),ISNUMBER(I180),ISNUMBER(H180),ISNUMBER(K180),F180&gt;0,I180&gt;0,H180&lt;&gt;0),ROUND(MIN(F180,I180)*(K180/I180-H180/F180),8),"")</f>
        <v/>
      </c>
      <c r="O180" s="183" t="str">
        <f>IF(ISNUMBER(N180),ROUND(N180/(MIN(F180,I180)*H180/F180)*100,2),"")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IF(AND(ISNUMBER(F181),ISNUMBER(I181),ISNUMBER(H181),ISNUMBER(K181),F181&gt;0,I181&gt;0,H181&lt;&gt;0),ROUND(MIN(F181,I181)*(K181/I181-H181/F181),8),"")</f>
        <v/>
      </c>
      <c r="O181" s="177" t="str">
        <f>IF(ISNUMBER(N181),ROUND(N181/(MIN(F181,I181)*H181/F181)*100,2),"")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IF(AND(ISNUMBER(F182),ISNUMBER(I182),ISNUMBER(H182),ISNUMBER(K182),F182&gt;0,I182&gt;0,H182&lt;&gt;0),ROUND(MIN(F182,I182)*(K182/I182-H182/F182),8),"")</f>
        <v/>
      </c>
      <c r="O182" s="183" t="str">
        <f>IF(ISNUMBER(N182),ROUND(N182/(MIN(F182,I182)*H182/F182)*100,2),"")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IF(AND(ISNUMBER(F183),ISNUMBER(I183),ISNUMBER(H183),ISNUMBER(K183),F183&gt;0,I183&gt;0,H183&lt;&gt;0),ROUND(MIN(F183,I183)*(K183/I183-H183/F183),8),"")</f>
        <v/>
      </c>
      <c r="O183" s="177" t="str">
        <f>IF(ISNUMBER(N183),ROUND(N183/(MIN(F183,I183)*H183/F183)*100,2),"")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IF(AND(ISNUMBER(F184),ISNUMBER(I184),ISNUMBER(H184),ISNUMBER(K184),F184&gt;0,I184&gt;0,H184&lt;&gt;0),ROUND(MIN(F184,I184)*(K184/I184-H184/F184),8),"")</f>
        <v/>
      </c>
      <c r="O184" s="183" t="str">
        <f>IF(ISNUMBER(N184),ROUND(N184/(MIN(F184,I184)*H184/F184)*100,2),"")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IF(AND(ISNUMBER(F185),ISNUMBER(I185),ISNUMBER(H185),ISNUMBER(K185),F185&gt;0,I185&gt;0,H185&lt;&gt;0),ROUND(MIN(F185,I185)*(K185/I185-H185/F185),8),"")</f>
        <v/>
      </c>
      <c r="O185" s="177" t="str">
        <f>IF(ISNUMBER(N185),ROUND(N185/(MIN(F185,I185)*H185/F185)*100,2),"")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IF(AND(ISNUMBER(F186),ISNUMBER(I186),ISNUMBER(H186),ISNUMBER(K186),F186&gt;0,I186&gt;0,H186&lt;&gt;0),ROUND(MIN(F186,I186)*(K186/I186-H186/F186),8),"")</f>
        <v/>
      </c>
      <c r="O186" s="183" t="str">
        <f>IF(ISNUMBER(N186),ROUND(N186/(MIN(F186,I186)*H186/F186)*100,2),"")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IF(AND(ISNUMBER(F187),ISNUMBER(I187),ISNUMBER(H187),ISNUMBER(K187),F187&gt;0,I187&gt;0,H187&lt;&gt;0),ROUND(MIN(F187,I187)*(K187/I187-H187/F187),8),"")</f>
        <v/>
      </c>
      <c r="O187" s="177" t="str">
        <f>IF(ISNUMBER(N187),ROUND(N187/(MIN(F187,I187)*H187/F187)*100,2),"")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IF(AND(ISNUMBER(F188),ISNUMBER(I188),ISNUMBER(H188),ISNUMBER(K188),F188&gt;0,I188&gt;0,H188&lt;&gt;0),ROUND(MIN(F188,I188)*(K188/I188-H188/F188),8),"")</f>
        <v/>
      </c>
      <c r="O188" s="183" t="str">
        <f>IF(ISNUMBER(N188),ROUND(N188/(MIN(F188,I188)*H188/F188)*100,2),"")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IF(AND(ISNUMBER(F189),ISNUMBER(I189),ISNUMBER(H189),ISNUMBER(K189),F189&gt;0,I189&gt;0,H189&lt;&gt;0),ROUND(MIN(F189,I189)*(K189/I189-H189/F189),8),"")</f>
        <v/>
      </c>
      <c r="O189" s="177" t="str">
        <f>IF(ISNUMBER(N189),ROUND(N189/(MIN(F189,I189)*H189/F189)*100,2),"")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IF(AND(ISNUMBER(F190),ISNUMBER(I190),ISNUMBER(H190),ISNUMBER(K190),F190&gt;0,I190&gt;0,H190&lt;&gt;0),ROUND(MIN(F190,I190)*(K190/I190-H190/F190),8),"")</f>
        <v/>
      </c>
      <c r="O190" s="183" t="str">
        <f>IF(ISNUMBER(N190),ROUND(N190/(MIN(F190,I190)*H190/F190)*100,2),"")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IF(AND(ISNUMBER(F191),ISNUMBER(I191),ISNUMBER(H191),ISNUMBER(K191),F191&gt;0,I191&gt;0,H191&lt;&gt;0),ROUND(MIN(F191,I191)*(K191/I191-H191/F191),8),"")</f>
        <v/>
      </c>
      <c r="O191" s="177" t="str">
        <f>IF(ISNUMBER(N191),ROUND(N191/(MIN(F191,I191)*H191/F191)*100,2),"")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IF(AND(ISNUMBER(F192),ISNUMBER(I192),ISNUMBER(H192),ISNUMBER(K192),F192&gt;0,I192&gt;0,H192&lt;&gt;0),ROUND(MIN(F192,I192)*(K192/I192-H192/F192),8),"")</f>
        <v/>
      </c>
      <c r="O192" s="183" t="str">
        <f>IF(ISNUMBER(N192),ROUND(N192/(MIN(F192,I192)*H192/F192)*100,2),"")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IF(AND(ISNUMBER(F193),ISNUMBER(I193),ISNUMBER(H193),ISNUMBER(K193),F193&gt;0,I193&gt;0,H193&lt;&gt;0),ROUND(MIN(F193,I193)*(K193/I193-H193/F193),8),"")</f>
        <v/>
      </c>
      <c r="O193" s="177" t="str">
        <f>IF(ISNUMBER(N193),ROUND(N193/(MIN(F193,I193)*H193/F193)*100,2),"")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IF(AND(ISNUMBER(F194),ISNUMBER(I194),ISNUMBER(H194),ISNUMBER(K194),F194&gt;0,I194&gt;0,H194&lt;&gt;0),ROUND(MIN(F194,I194)*(K194/I194-H194/F194),8),"")</f>
        <v/>
      </c>
      <c r="O194" s="183" t="str">
        <f>IF(ISNUMBER(N194),ROUND(N194/(MIN(F194,I194)*H194/F194)*100,2),"")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IF(AND(ISNUMBER(F195),ISNUMBER(I195),ISNUMBER(H195),ISNUMBER(K195),F195&gt;0,I195&gt;0,H195&lt;&gt;0),ROUND(MIN(F195,I195)*(K195/I195-H195/F195),8),"")</f>
        <v/>
      </c>
      <c r="O195" s="177" t="str">
        <f>IF(ISNUMBER(N195),ROUND(N195/(MIN(F195,I195)*H195/F195)*100,2),"")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IF(AND(ISNUMBER(F196),ISNUMBER(I196),ISNUMBER(H196),ISNUMBER(K196),F196&gt;0,I196&gt;0,H196&lt;&gt;0),ROUND(MIN(F196,I196)*(K196/I196-H196/F196),8),"")</f>
        <v/>
      </c>
      <c r="O196" s="183" t="str">
        <f>IF(ISNUMBER(N196),ROUND(N196/(MIN(F196,I196)*H196/F196)*100,2),"")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IF(AND(ISNUMBER(F197),ISNUMBER(I197),ISNUMBER(H197),ISNUMBER(K197),F197&gt;0,I197&gt;0,H197&lt;&gt;0),ROUND(MIN(F197,I197)*(K197/I197-H197/F197),8),"")</f>
        <v/>
      </c>
      <c r="O197" s="177" t="str">
        <f>IF(ISNUMBER(N197),ROUND(N197/(MIN(F197,I197)*H197/F197)*100,2),"")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IF(AND(ISNUMBER(F198),ISNUMBER(I198),ISNUMBER(H198),ISNUMBER(K198),F198&gt;0,I198&gt;0,H198&lt;&gt;0),ROUND(MIN(F198,I198)*(K198/I198-H198/F198),8),"")</f>
        <v/>
      </c>
      <c r="O198" s="183" t="str">
        <f>IF(ISNUMBER(N198),ROUND(N198/(MIN(F198,I198)*H198/F198)*100,2),"")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IF(AND(ISNUMBER(F199),ISNUMBER(I199),ISNUMBER(H199),ISNUMBER(K199),F199&gt;0,I199&gt;0,H199&lt;&gt;0),ROUND(MIN(F199,I199)*(K199/I199-H199/F199),8),"")</f>
        <v/>
      </c>
      <c r="O199" s="177" t="str">
        <f>IF(ISNUMBER(N199),ROUND(N199/(MIN(F199,I199)*H199/F199)*100,2),"")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IF(AND(ISNUMBER(F200),ISNUMBER(I200),ISNUMBER(H200),ISNUMBER(K200),F200&gt;0,I200&gt;0,H200&lt;&gt;0),ROUND(MIN(F200,I200)*(K200/I200-H200/F200),8),"")</f>
        <v/>
      </c>
      <c r="O200" s="183" t="str">
        <f>IF(ISNUMBER(N200),ROUND(N200/(MIN(F200,I200)*H200/F200)*100,2),"")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IF(AND(ISNUMBER(F201),ISNUMBER(I201),ISNUMBER(H201),ISNUMBER(K201),F201&gt;0,I201&gt;0,H201&lt;&gt;0),ROUND(MIN(F201,I201)*(K201/I201-H201/F201),8),"")</f>
        <v/>
      </c>
      <c r="O201" s="177" t="str">
        <f>IF(ISNUMBER(N201),ROUND(N201/(MIN(F201,I201)*H201/F201)*100,2),"")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IF(AND(ISNUMBER(F202),ISNUMBER(I202),ISNUMBER(H202),ISNUMBER(K202),F202&gt;0,I202&gt;0,H202&lt;&gt;0),ROUND(MIN(F202,I202)*(K202/I202-H202/F202),8),"")</f>
        <v/>
      </c>
      <c r="O202" s="183" t="str">
        <f>IF(ISNUMBER(N202),ROUND(N202/(MIN(F202,I202)*H202/F202)*100,2),"")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IF(AND(ISNUMBER(F203),ISNUMBER(I203),ISNUMBER(H203),ISNUMBER(K203),F203&gt;0,I203&gt;0,H203&lt;&gt;0),ROUND(MIN(F203,I203)*(K203/I203-H203/F203),8),"")</f>
        <v/>
      </c>
      <c r="O203" s="177" t="str">
        <f>IF(ISNUMBER(N203),ROUND(N203/(MIN(F203,I203)*H203/F203)*100,2),"")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IF(AND(ISNUMBER(F204),ISNUMBER(I204),ISNUMBER(H204),ISNUMBER(K204),F204&gt;0,I204&gt;0,H204&lt;&gt;0),ROUND(MIN(F204,I204)*(K204/I204-H204/F204),8),"")</f>
        <v/>
      </c>
      <c r="O204" s="183" t="str">
        <f>IF(ISNUMBER(N204),ROUND(N204/(MIN(F204,I204)*H204/F204)*100,2),"")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IF(AND(ISNUMBER(F205),ISNUMBER(I205),ISNUMBER(H205),ISNUMBER(K205),F205&gt;0,I205&gt;0,H205&lt;&gt;0),ROUND(MIN(F205,I205)*(K205/I205-H205/F205),8),"")</f>
        <v/>
      </c>
      <c r="O205" s="177" t="str">
        <f>IF(ISNUMBER(N205),ROUND(N205/(MIN(F205,I205)*H205/F205)*100,2),"")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IF(AND(ISNUMBER(F206),ISNUMBER(I206),ISNUMBER(H206),ISNUMBER(K206),F206&gt;0,I206&gt;0,H206&lt;&gt;0),ROUND(MIN(F206,I206)*(K206/I206-H206/F206),8),"")</f>
        <v/>
      </c>
      <c r="O206" s="183" t="str">
        <f>IF(ISNUMBER(N206),ROUND(N206/(MIN(F206,I206)*H206/F206)*100,2),"")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IF(AND(ISNUMBER(F207),ISNUMBER(I207),ISNUMBER(H207),ISNUMBER(K207),F207&gt;0,I207&gt;0,H207&lt;&gt;0),ROUND(MIN(F207,I207)*(K207/I207-H207/F207),8),"")</f>
        <v/>
      </c>
      <c r="O207" s="177" t="str">
        <f>IF(ISNUMBER(N207),ROUND(N207/(MIN(F207,I207)*H207/F207)*100,2),"")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IF(AND(ISNUMBER(F208),ISNUMBER(I208),ISNUMBER(H208),ISNUMBER(K208),F208&gt;0,I208&gt;0,H208&lt;&gt;0),ROUND(MIN(F208,I208)*(K208/I208-H208/F208),8),"")</f>
        <v/>
      </c>
      <c r="O208" s="183" t="str">
        <f>IF(ISNUMBER(N208),ROUND(N208/(MIN(F208,I208)*H208/F208)*100,2),"")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IF(AND(ISNUMBER(F209),ISNUMBER(I209),ISNUMBER(H209),ISNUMBER(K209),F209&gt;0,I209&gt;0,H209&lt;&gt;0),ROUND(MIN(F209,I209)*(K209/I209-H209/F209),8),"")</f>
        <v/>
      </c>
      <c r="O209" s="177" t="str">
        <f>IF(ISNUMBER(N209),ROUND(N209/(MIN(F209,I209)*H209/F209)*100,2),"")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IF(AND(ISNUMBER(F210),ISNUMBER(I210),ISNUMBER(H210),ISNUMBER(K210),F210&gt;0,I210&gt;0,H210&lt;&gt;0),ROUND(MIN(F210,I210)*(K210/I210-H210/F210),8),"")</f>
        <v/>
      </c>
      <c r="O210" s="183" t="str">
        <f>IF(ISNUMBER(N210),ROUND(N210/(MIN(F210,I210)*H210/F210)*100,2),"")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IF(AND(ISNUMBER(F211),ISNUMBER(I211),ISNUMBER(H211),ISNUMBER(K211),F211&gt;0,I211&gt;0,H211&lt;&gt;0),ROUND(MIN(F211,I211)*(K211/I211-H211/F211),8),"")</f>
        <v/>
      </c>
      <c r="O211" s="177" t="str">
        <f>IF(ISNUMBER(N211),ROUND(N211/(MIN(F211,I211)*H211/F211)*100,2),"")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IF(AND(ISNUMBER(F212),ISNUMBER(I212),ISNUMBER(H212),ISNUMBER(K212),F212&gt;0,I212&gt;0,H212&lt;&gt;0),ROUND(MIN(F212,I212)*(K212/I212-H212/F212),8),"")</f>
        <v/>
      </c>
      <c r="O212" s="183" t="str">
        <f>IF(ISNUMBER(N212),ROUND(N212/(MIN(F212,I212)*H212/F212)*100,2),"")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IF(AND(ISNUMBER(F213),ISNUMBER(I213),ISNUMBER(H213),ISNUMBER(K213),F213&gt;0,I213&gt;0,H213&lt;&gt;0),ROUND(MIN(F213,I213)*(K213/I213-H213/F213),8),"")</f>
        <v/>
      </c>
      <c r="O213" s="177" t="str">
        <f>IF(ISNUMBER(N213),ROUND(N213/(MIN(F213,I213)*H213/F213)*100,2),"")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IF(AND(ISNUMBER(F214),ISNUMBER(I214),ISNUMBER(H214),ISNUMBER(K214),F214&gt;0,I214&gt;0,H214&lt;&gt;0),ROUND(MIN(F214,I214)*(K214/I214-H214/F214),8),"")</f>
        <v/>
      </c>
      <c r="O214" s="183" t="str">
        <f>IF(ISNUMBER(N214),ROUND(N214/(MIN(F214,I214)*H214/F214)*100,2),"")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IF(AND(ISNUMBER(F215),ISNUMBER(I215),ISNUMBER(H215),ISNUMBER(K215),F215&gt;0,I215&gt;0,H215&lt;&gt;0),ROUND(MIN(F215,I215)*(K215/I215-H215/F215),8),"")</f>
        <v/>
      </c>
      <c r="O215" s="177" t="str">
        <f>IF(ISNUMBER(N215),ROUND(N215/(MIN(F215,I215)*H215/F215)*100,2),"")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IF(AND(ISNUMBER(F216),ISNUMBER(I216),ISNUMBER(H216),ISNUMBER(K216),F216&gt;0,I216&gt;0,H216&lt;&gt;0),ROUND(MIN(F216,I216)*(K216/I216-H216/F216),8),"")</f>
        <v/>
      </c>
      <c r="O216" s="183" t="str">
        <f>IF(ISNUMBER(N216),ROUND(N216/(MIN(F216,I216)*H216/F216)*100,2),"")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IF(AND(ISNUMBER(F217),ISNUMBER(I217),ISNUMBER(H217),ISNUMBER(K217),F217&gt;0,I217&gt;0,H217&lt;&gt;0),ROUND(MIN(F217,I217)*(K217/I217-H217/F217),8),"")</f>
        <v/>
      </c>
      <c r="O217" s="177" t="str">
        <f>IF(ISNUMBER(N217),ROUND(N217/(MIN(F217,I217)*H217/F217)*100,2),"")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IF(AND(ISNUMBER(F218),ISNUMBER(I218),ISNUMBER(H218),ISNUMBER(K218),F218&gt;0,I218&gt;0,H218&lt;&gt;0),ROUND(MIN(F218,I218)*(K218/I218-H218/F218),8),"")</f>
        <v/>
      </c>
      <c r="O218" s="183" t="str">
        <f>IF(ISNUMBER(N218),ROUND(N218/(MIN(F218,I218)*H218/F218)*100,2),"")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IF(AND(ISNUMBER(F219),ISNUMBER(I219),ISNUMBER(H219),ISNUMBER(K219),F219&gt;0,I219&gt;0,H219&lt;&gt;0),ROUND(MIN(F219,I219)*(K219/I219-H219/F219),8),"")</f>
        <v/>
      </c>
      <c r="O219" s="177" t="str">
        <f>IF(ISNUMBER(N219),ROUND(N219/(MIN(F219,I219)*H219/F219)*100,2),"")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IF(AND(ISNUMBER(F220),ISNUMBER(I220),ISNUMBER(H220),ISNUMBER(K220),F220&gt;0,I220&gt;0,H220&lt;&gt;0),ROUND(MIN(F220,I220)*(K220/I220-H220/F220),8),"")</f>
        <v/>
      </c>
      <c r="O220" s="183" t="str">
        <f>IF(ISNUMBER(N220),ROUND(N220/(MIN(F220,I220)*H220/F220)*100,2),"")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IF(AND(ISNUMBER(F221),ISNUMBER(I221),ISNUMBER(H221),ISNUMBER(K221),F221&gt;0,I221&gt;0,H221&lt;&gt;0),ROUND(MIN(F221,I221)*(K221/I221-H221/F221),8),"")</f>
        <v/>
      </c>
      <c r="O221" s="177" t="str">
        <f>IF(ISNUMBER(N221),ROUND(N221/(MIN(F221,I221)*H221/F221)*100,2),"")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IF(AND(ISNUMBER(F222),ISNUMBER(I222),ISNUMBER(H222),ISNUMBER(K222),F222&gt;0,I222&gt;0,H222&lt;&gt;0),ROUND(MIN(F222,I222)*(K222/I222-H222/F222),8),"")</f>
        <v/>
      </c>
      <c r="O222" s="183" t="str">
        <f>IF(ISNUMBER(N222),ROUND(N222/(MIN(F222,I222)*H222/F222)*100,2),"")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IF(AND(ISNUMBER(F223),ISNUMBER(I223),ISNUMBER(H223),ISNUMBER(K223),F223&gt;0,I223&gt;0,H223&lt;&gt;0),ROUND(MIN(F223,I223)*(K223/I223-H223/F223),8),"")</f>
        <v/>
      </c>
      <c r="O223" s="177" t="str">
        <f>IF(ISNUMBER(N223),ROUND(N223/(MIN(F223,I223)*H223/F223)*100,2),"")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IF(AND(ISNUMBER(F224),ISNUMBER(I224),ISNUMBER(H224),ISNUMBER(K224),F224&gt;0,I224&gt;0,H224&lt;&gt;0),ROUND(MIN(F224,I224)*(K224/I224-H224/F224),8),"")</f>
        <v/>
      </c>
      <c r="O224" s="183" t="str">
        <f>IF(ISNUMBER(N224),ROUND(N224/(MIN(F224,I224)*H224/F224)*100,2),"")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IF(AND(ISNUMBER(F225),ISNUMBER(I225),ISNUMBER(H225),ISNUMBER(K225),F225&gt;0,I225&gt;0,H225&lt;&gt;0),ROUND(MIN(F225,I225)*(K225/I225-H225/F225),8),"")</f>
        <v/>
      </c>
      <c r="O225" s="177" t="str">
        <f>IF(ISNUMBER(N225),ROUND(N225/(MIN(F225,I225)*H225/F225)*100,2),"")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IF(AND(ISNUMBER(F226),ISNUMBER(I226),ISNUMBER(H226),ISNUMBER(K226),F226&gt;0,I226&gt;0,H226&lt;&gt;0),ROUND(MIN(F226,I226)*(K226/I226-H226/F226),8),"")</f>
        <v/>
      </c>
      <c r="O226" s="183" t="str">
        <f>IF(ISNUMBER(N226),ROUND(N226/(MIN(F226,I226)*H226/F226)*100,2),"")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IF(AND(ISNUMBER(F227),ISNUMBER(I227),ISNUMBER(H227),ISNUMBER(K227),F227&gt;0,I227&gt;0,H227&lt;&gt;0),ROUND(MIN(F227,I227)*(K227/I227-H227/F227),8),"")</f>
        <v/>
      </c>
      <c r="O227" s="177" t="str">
        <f>IF(ISNUMBER(N227),ROUND(N227/(MIN(F227,I227)*H227/F227)*100,2),"")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IF(AND(ISNUMBER(F228),ISNUMBER(I228),ISNUMBER(H228),ISNUMBER(K228),F228&gt;0,I228&gt;0,H228&lt;&gt;0),ROUND(MIN(F228,I228)*(K228/I228-H228/F228),8),"")</f>
        <v/>
      </c>
      <c r="O228" s="183" t="str">
        <f>IF(ISNUMBER(N228),ROUND(N228/(MIN(F228,I228)*H228/F228)*100,2),"")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IF(AND(ISNUMBER(F229),ISNUMBER(I229),ISNUMBER(H229),ISNUMBER(K229),F229&gt;0,I229&gt;0,H229&lt;&gt;0),ROUND(MIN(F229,I229)*(K229/I229-H229/F229),8),"")</f>
        <v/>
      </c>
      <c r="O229" s="177" t="str">
        <f>IF(ISNUMBER(N229),ROUND(N229/(MIN(F229,I229)*H229/F229)*100,2),"")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IF(AND(ISNUMBER(F230),ISNUMBER(I230),ISNUMBER(H230),ISNUMBER(K230),F230&gt;0,I230&gt;0,H230&lt;&gt;0),ROUND(MIN(F230,I230)*(K230/I230-H230/F230),8),"")</f>
        <v/>
      </c>
      <c r="O230" s="183" t="str">
        <f>IF(ISNUMBER(N230),ROUND(N230/(MIN(F230,I230)*H230/F230)*100,2),"")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IF(AND(ISNUMBER(F231),ISNUMBER(I231),ISNUMBER(H231),ISNUMBER(K231),F231&gt;0,I231&gt;0,H231&lt;&gt;0),ROUND(MIN(F231,I231)*(K231/I231-H231/F231),8),"")</f>
        <v/>
      </c>
      <c r="O231" s="177" t="str">
        <f>IF(ISNUMBER(N231),ROUND(N231/(MIN(F231,I231)*H231/F231)*100,2),"")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IF(AND(ISNUMBER(F232),ISNUMBER(I232),ISNUMBER(H232),ISNUMBER(K232),F232&gt;0,I232&gt;0,H232&lt;&gt;0),ROUND(MIN(F232,I232)*(K232/I232-H232/F232),8),"")</f>
        <v/>
      </c>
      <c r="O232" s="183" t="str">
        <f>IF(ISNUMBER(N232),ROUND(N232/(MIN(F232,I232)*H232/F232)*100,2),"")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IF(AND(ISNUMBER(F233),ISNUMBER(I233),ISNUMBER(H233),ISNUMBER(K233),F233&gt;0,I233&gt;0,H233&lt;&gt;0),ROUND(MIN(F233,I233)*(K233/I233-H233/F233),8),"")</f>
        <v/>
      </c>
      <c r="O233" s="177" t="str">
        <f>IF(ISNUMBER(N233),ROUND(N233/(MIN(F233,I233)*H233/F233)*100,2),"")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IF(AND(ISNUMBER(F234),ISNUMBER(I234),ISNUMBER(H234),ISNUMBER(K234),F234&gt;0,I234&gt;0,H234&lt;&gt;0),ROUND(MIN(F234,I234)*(K234/I234-H234/F234),8),"")</f>
        <v/>
      </c>
      <c r="O234" s="183" t="str">
        <f>IF(ISNUMBER(N234),ROUND(N234/(MIN(F234,I234)*H234/F234)*100,2),"")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IF(AND(ISNUMBER(F235),ISNUMBER(I235),ISNUMBER(H235),ISNUMBER(K235),F235&gt;0,I235&gt;0,H235&lt;&gt;0),ROUND(MIN(F235,I235)*(K235/I235-H235/F235),8),"")</f>
        <v/>
      </c>
      <c r="O235" s="177" t="str">
        <f>IF(ISNUMBER(N235),ROUND(N235/(MIN(F235,I235)*H235/F235)*100,2),"")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IF(AND(ISNUMBER(F236),ISNUMBER(I236),ISNUMBER(H236),ISNUMBER(K236),F236&gt;0,I236&gt;0,H236&lt;&gt;0),ROUND(MIN(F236,I236)*(K236/I236-H236/F236),8),"")</f>
        <v/>
      </c>
      <c r="O236" s="183" t="str">
        <f>IF(ISNUMBER(N236),ROUND(N236/(MIN(F236,I236)*H236/F236)*100,2),"")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IF(AND(ISNUMBER(F237),ISNUMBER(I237),ISNUMBER(H237),ISNUMBER(K237),F237&gt;0,I237&gt;0,H237&lt;&gt;0),ROUND(MIN(F237,I237)*(K237/I237-H237/F237),8),"")</f>
        <v/>
      </c>
      <c r="O237" s="177" t="str">
        <f>IF(ISNUMBER(N237),ROUND(N237/(MIN(F237,I237)*H237/F237)*100,2),"")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IF(AND(ISNUMBER(F238),ISNUMBER(I238),ISNUMBER(H238),ISNUMBER(K238),F238&gt;0,I238&gt;0,H238&lt;&gt;0),ROUND(MIN(F238,I238)*(K238/I238-H238/F238),8),"")</f>
        <v/>
      </c>
      <c r="O238" s="183" t="str">
        <f>IF(ISNUMBER(N238),ROUND(N238/(MIN(F238,I238)*H238/F238)*100,2),"")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IF(AND(ISNUMBER(F239),ISNUMBER(I239),ISNUMBER(H239),ISNUMBER(K239),F239&gt;0,I239&gt;0,H239&lt;&gt;0),ROUND(MIN(F239,I239)*(K239/I239-H239/F239),8),"")</f>
        <v/>
      </c>
      <c r="O239" s="177" t="str">
        <f>IF(ISNUMBER(N239),ROUND(N239/(MIN(F239,I239)*H239/F239)*100,2),"")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IF(AND(ISNUMBER(F240),ISNUMBER(I240),ISNUMBER(H240),ISNUMBER(K240),F240&gt;0,I240&gt;0,H240&lt;&gt;0),ROUND(MIN(F240,I240)*(K240/I240-H240/F240),8),"")</f>
        <v/>
      </c>
      <c r="O240" s="183" t="str">
        <f>IF(ISNUMBER(N240),ROUND(N240/(MIN(F240,I240)*H240/F240)*100,2),"")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IF(AND(ISNUMBER(F241),ISNUMBER(I241),ISNUMBER(H241),ISNUMBER(K241),F241&gt;0,I241&gt;0,H241&lt;&gt;0),ROUND(MIN(F241,I241)*(K241/I241-H241/F241),8),"")</f>
        <v/>
      </c>
      <c r="O241" s="177" t="str">
        <f>IF(ISNUMBER(N241),ROUND(N241/(MIN(F241,I241)*H241/F241)*100,2),"")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IF(AND(ISNUMBER(F242),ISNUMBER(I242),ISNUMBER(H242),ISNUMBER(K242),F242&gt;0,I242&gt;0,H242&lt;&gt;0),ROUND(MIN(F242,I242)*(K242/I242-H242/F242),8),"")</f>
        <v/>
      </c>
      <c r="O242" s="183" t="str">
        <f>IF(ISNUMBER(N242),ROUND(N242/(MIN(F242,I242)*H242/F242)*100,2),"")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IF(AND(ISNUMBER(F243),ISNUMBER(I243),ISNUMBER(H243),ISNUMBER(K243),F243&gt;0,I243&gt;0,H243&lt;&gt;0),ROUND(MIN(F243,I243)*(K243/I243-H243/F243),8),"")</f>
        <v/>
      </c>
      <c r="O243" s="177" t="str">
        <f>IF(ISNUMBER(N243),ROUND(N243/(MIN(F243,I243)*H243/F243)*100,2),"")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IF(AND(ISNUMBER(F244),ISNUMBER(I244),ISNUMBER(H244),ISNUMBER(K244),F244&gt;0,I244&gt;0,H244&lt;&gt;0),ROUND(MIN(F244,I244)*(K244/I244-H244/F244),8),"")</f>
        <v/>
      </c>
      <c r="O244" s="183" t="str">
        <f>IF(ISNUMBER(N244),ROUND(N244/(MIN(F244,I244)*H244/F244)*100,2),"")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IF(AND(ISNUMBER(F245),ISNUMBER(I245),ISNUMBER(H245),ISNUMBER(K245),F245&gt;0,I245&gt;0,H245&lt;&gt;0),ROUND(MIN(F245,I245)*(K245/I245-H245/F245),8),"")</f>
        <v/>
      </c>
      <c r="O245" s="177" t="str">
        <f>IF(ISNUMBER(N245),ROUND(N245/(MIN(F245,I245)*H245/F245)*100,2),"")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IF(AND(ISNUMBER(F246),ISNUMBER(I246),ISNUMBER(H246),ISNUMBER(K246),F246&gt;0,I246&gt;0,H246&lt;&gt;0),ROUND(MIN(F246,I246)*(K246/I246-H246/F246),8),"")</f>
        <v/>
      </c>
      <c r="O246" s="183" t="str">
        <f>IF(ISNUMBER(N246),ROUND(N246/(MIN(F246,I246)*H246/F246)*100,2),"")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IF(AND(ISNUMBER(F247),ISNUMBER(I247),ISNUMBER(H247),ISNUMBER(K247),F247&gt;0,I247&gt;0,H247&lt;&gt;0),ROUND(MIN(F247,I247)*(K247/I247-H247/F247),8),"")</f>
        <v/>
      </c>
      <c r="O247" s="177" t="str">
        <f>IF(ISNUMBER(N247),ROUND(N247/(MIN(F247,I247)*H247/F247)*100,2),"")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IF(AND(ISNUMBER(F248),ISNUMBER(I248),ISNUMBER(H248),ISNUMBER(K248),F248&gt;0,I248&gt;0,H248&lt;&gt;0),ROUND(MIN(F248,I248)*(K248/I248-H248/F248),8),"")</f>
        <v/>
      </c>
      <c r="O248" s="183" t="str">
        <f>IF(ISNUMBER(N248),ROUND(N248/(MIN(F248,I248)*H248/F248)*100,2),"")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IF(AND(ISNUMBER(F249),ISNUMBER(I249),ISNUMBER(H249),ISNUMBER(K249),F249&gt;0,I249&gt;0,H249&lt;&gt;0),ROUND(MIN(F249,I249)*(K249/I249-H249/F249),8),"")</f>
        <v/>
      </c>
      <c r="O249" s="177" t="str">
        <f>IF(ISNUMBER(N249),ROUND(N249/(MIN(F249,I249)*H249/F249)*100,2),"")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IF(AND(ISNUMBER(F250),ISNUMBER(I250),ISNUMBER(H250),ISNUMBER(K250),F250&gt;0,I250&gt;0,H250&lt;&gt;0),ROUND(MIN(F250,I250)*(K250/I250-H250/F250),8),"")</f>
        <v/>
      </c>
      <c r="O250" s="183" t="str">
        <f>IF(ISNUMBER(N250),ROUND(N250/(MIN(F250,I250)*H250/F250)*100,2),"")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IF(AND(ISNUMBER(F251),ISNUMBER(I251),ISNUMBER(H251),ISNUMBER(K251),F251&gt;0,I251&gt;0,H251&lt;&gt;0),ROUND(MIN(F251,I251)*(K251/I251-H251/F251),8),"")</f>
        <v/>
      </c>
      <c r="O251" s="177" t="str">
        <f>IF(ISNUMBER(N251),ROUND(N251/(MIN(F251,I251)*H251/F251)*100,2),"")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IF(AND(ISNUMBER(F252),ISNUMBER(I252),ISNUMBER(H252),ISNUMBER(K252),F252&gt;0,I252&gt;0,H252&lt;&gt;0),ROUND(MIN(F252,I252)*(K252/I252-H252/F252),8),"")</f>
        <v/>
      </c>
      <c r="O252" s="183" t="str">
        <f>IF(ISNUMBER(N252),ROUND(N252/(MIN(F252,I252)*H252/F252)*100,2),"")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IF(AND(ISNUMBER(F253),ISNUMBER(I253),ISNUMBER(H253),ISNUMBER(K253),F253&gt;0,I253&gt;0,H253&lt;&gt;0),ROUND(MIN(F253,I253)*(K253/I253-H253/F253),8),"")</f>
        <v/>
      </c>
      <c r="O253" s="177" t="str">
        <f>IF(ISNUMBER(N253),ROUND(N253/(MIN(F253,I253)*H253/F253)*100,2),"")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IF(AND(ISNUMBER(F254),ISNUMBER(I254),ISNUMBER(H254),ISNUMBER(K254),F254&gt;0,I254&gt;0,H254&lt;&gt;0),ROUND(MIN(F254,I254)*(K254/I254-H254/F254),8),"")</f>
        <v/>
      </c>
      <c r="O254" s="183" t="str">
        <f>IF(ISNUMBER(N254),ROUND(N254/(MIN(F254,I254)*H254/F254)*100,2),"")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IF(AND(ISNUMBER(F255),ISNUMBER(I255),ISNUMBER(H255),ISNUMBER(K255),F255&gt;0,I255&gt;0,H255&lt;&gt;0),ROUND(MIN(F255,I255)*(K255/I255-H255/F255),8),"")</f>
        <v/>
      </c>
      <c r="O255" s="177" t="str">
        <f>IF(ISNUMBER(N255),ROUND(N255/(MIN(F255,I255)*H255/F255)*100,2),"")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IF(AND(ISNUMBER(F256),ISNUMBER(I256),ISNUMBER(H256),ISNUMBER(K256),F256&gt;0,I256&gt;0,H256&lt;&gt;0),ROUND(MIN(F256,I256)*(K256/I256-H256/F256),8),"")</f>
        <v/>
      </c>
      <c r="O256" s="183" t="str">
        <f>IF(ISNUMBER(N256),ROUND(N256/(MIN(F256,I256)*H256/F256)*100,2),"")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IF(AND(ISNUMBER(F257),ISNUMBER(I257),ISNUMBER(H257),ISNUMBER(K257),F257&gt;0,I257&gt;0,H257&lt;&gt;0),ROUND(MIN(F257,I257)*(K257/I257-H257/F257),8),"")</f>
        <v/>
      </c>
      <c r="O257" s="177" t="str">
        <f>IF(ISNUMBER(N257),ROUND(N257/(MIN(F257,I257)*H257/F257)*100,2),"")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IF(AND(ISNUMBER(F258),ISNUMBER(I258),ISNUMBER(H258),ISNUMBER(K258),F258&gt;0,I258&gt;0,H258&lt;&gt;0),ROUND(MIN(F258,I258)*(K258/I258-H258/F258),8),"")</f>
        <v/>
      </c>
      <c r="O258" s="183" t="str">
        <f>IF(ISNUMBER(N258),ROUND(N258/(MIN(F258,I258)*H258/F258)*100,2),"")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IF(AND(ISNUMBER(F259),ISNUMBER(I259),ISNUMBER(H259),ISNUMBER(K259),F259&gt;0,I259&gt;0,H259&lt;&gt;0),ROUND(MIN(F259,I259)*(K259/I259-H259/F259),8),"")</f>
        <v/>
      </c>
      <c r="O259" s="177" t="str">
        <f>IF(ISNUMBER(N259),ROUND(N259/(MIN(F259,I259)*H259/F259)*100,2),"")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IF(AND(ISNUMBER(F260),ISNUMBER(I260),ISNUMBER(H260),ISNUMBER(K260),F260&gt;0,I260&gt;0,H260&lt;&gt;0),ROUND(MIN(F260,I260)*(K260/I260-H260/F260),8),"")</f>
        <v/>
      </c>
      <c r="O260" s="183" t="str">
        <f>IF(ISNUMBER(N260),ROUND(N260/(MIN(F260,I260)*H260/F260)*100,2),"")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IF(AND(ISNUMBER(F261),ISNUMBER(I261),ISNUMBER(H261),ISNUMBER(K261),F261&gt;0,I261&gt;0,H261&lt;&gt;0),ROUND(MIN(F261,I261)*(K261/I261-H261/F261),8),"")</f>
        <v/>
      </c>
      <c r="O261" s="177" t="str">
        <f>IF(ISNUMBER(N261),ROUND(N261/(MIN(F261,I261)*H261/F261)*100,2),"")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IF(AND(ISNUMBER(F262),ISNUMBER(I262),ISNUMBER(H262),ISNUMBER(K262),F262&gt;0,I262&gt;0,H262&lt;&gt;0),ROUND(MIN(F262,I262)*(K262/I262-H262/F262),8),"")</f>
        <v/>
      </c>
      <c r="O262" s="183" t="str">
        <f>IF(ISNUMBER(N262),ROUND(N262/(MIN(F262,I262)*H262/F262)*100,2),"")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IF(AND(ISNUMBER(F263),ISNUMBER(I263),ISNUMBER(H263),ISNUMBER(K263),F263&gt;0,I263&gt;0,H263&lt;&gt;0),ROUND(MIN(F263,I263)*(K263/I263-H263/F263),8),"")</f>
        <v/>
      </c>
      <c r="O263" s="177" t="str">
        <f>IF(ISNUMBER(N263),ROUND(N263/(MIN(F263,I263)*H263/F263)*100,2),"")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IF(AND(ISNUMBER(F264),ISNUMBER(I264),ISNUMBER(H264),ISNUMBER(K264),F264&gt;0,I264&gt;0,H264&lt;&gt;0),ROUND(MIN(F264,I264)*(K264/I264-H264/F264),8),"")</f>
        <v/>
      </c>
      <c r="O264" s="183" t="str">
        <f>IF(ISNUMBER(N264),ROUND(N264/(MIN(F264,I264)*H264/F264)*100,2),"")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IF(AND(ISNUMBER(F265),ISNUMBER(I265),ISNUMBER(H265),ISNUMBER(K265),F265&gt;0,I265&gt;0,H265&lt;&gt;0),ROUND(MIN(F265,I265)*(K265/I265-H265/F265),8),"")</f>
        <v/>
      </c>
      <c r="O265" s="177" t="str">
        <f>IF(ISNUMBER(N265),ROUND(N265/(MIN(F265,I265)*H265/F265)*100,2),"")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IF(AND(ISNUMBER(F266),ISNUMBER(I266),ISNUMBER(H266),ISNUMBER(K266),F266&gt;0,I266&gt;0,H266&lt;&gt;0),ROUND(MIN(F266,I266)*(K266/I266-H266/F266),8),"")</f>
        <v/>
      </c>
      <c r="O266" s="183" t="str">
        <f>IF(ISNUMBER(N266),ROUND(N266/(MIN(F266,I266)*H266/F266)*100,2),"")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IF(AND(ISNUMBER(F267),ISNUMBER(I267),ISNUMBER(H267),ISNUMBER(K267),F267&gt;0,I267&gt;0,H267&lt;&gt;0),ROUND(MIN(F267,I267)*(K267/I267-H267/F267),8),"")</f>
        <v/>
      </c>
      <c r="O267" s="177" t="str">
        <f>IF(ISNUMBER(N267),ROUND(N267/(MIN(F267,I267)*H267/F267)*100,2),"")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IF(AND(ISNUMBER(F268),ISNUMBER(I268),ISNUMBER(H268),ISNUMBER(K268),F268&gt;0,I268&gt;0,H268&lt;&gt;0),ROUND(MIN(F268,I268)*(K268/I268-H268/F268),8),"")</f>
        <v/>
      </c>
      <c r="O268" s="183" t="str">
        <f>IF(ISNUMBER(N268),ROUND(N268/(MIN(F268,I268)*H268/F268)*100,2),"")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IF(AND(ISNUMBER(F269),ISNUMBER(I269),ISNUMBER(H269),ISNUMBER(K269),F269&gt;0,I269&gt;0,H269&lt;&gt;0),ROUND(MIN(F269,I269)*(K269/I269-H269/F269),8),"")</f>
        <v/>
      </c>
      <c r="O269" s="177" t="str">
        <f>IF(ISNUMBER(N269),ROUND(N269/(MIN(F269,I269)*H269/F269)*100,2),"")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IF(AND(ISNUMBER(F270),ISNUMBER(I270),ISNUMBER(H270),ISNUMBER(K270),F270&gt;0,I270&gt;0,H270&lt;&gt;0),ROUND(MIN(F270,I270)*(K270/I270-H270/F270),8),"")</f>
        <v/>
      </c>
      <c r="O270" s="183" t="str">
        <f>IF(ISNUMBER(N270),ROUND(N270/(MIN(F270,I270)*H270/F270)*100,2),"")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IF(AND(ISNUMBER(F271),ISNUMBER(I271),ISNUMBER(H271),ISNUMBER(K271),F271&gt;0,I271&gt;0,H271&lt;&gt;0),ROUND(MIN(F271,I271)*(K271/I271-H271/F271),8),"")</f>
        <v/>
      </c>
      <c r="O271" s="177" t="str">
        <f>IF(ISNUMBER(N271),ROUND(N271/(MIN(F271,I271)*H271/F271)*100,2),"")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IF(AND(ISNUMBER(F272),ISNUMBER(I272),ISNUMBER(H272),ISNUMBER(K272),F272&gt;0,I272&gt;0,H272&lt;&gt;0),ROUND(MIN(F272,I272)*(K272/I272-H272/F272),8),"")</f>
        <v/>
      </c>
      <c r="O272" s="183" t="str">
        <f>IF(ISNUMBER(N272),ROUND(N272/(MIN(F272,I272)*H272/F272)*100,2),"")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IF(AND(ISNUMBER(F273),ISNUMBER(I273),ISNUMBER(H273),ISNUMBER(K273),F273&gt;0,I273&gt;0,H273&lt;&gt;0),ROUND(MIN(F273,I273)*(K273/I273-H273/F273),8),"")</f>
        <v/>
      </c>
      <c r="O273" s="177" t="str">
        <f>IF(ISNUMBER(N273),ROUND(N273/(MIN(F273,I273)*H273/F273)*100,2),"")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IF(AND(ISNUMBER(F274),ISNUMBER(I274),ISNUMBER(H274),ISNUMBER(K274),F274&gt;0,I274&gt;0,H274&lt;&gt;0),ROUND(MIN(F274,I274)*(K274/I274-H274/F274),8),"")</f>
        <v/>
      </c>
      <c r="O274" s="183" t="str">
        <f>IF(ISNUMBER(N274),ROUND(N274/(MIN(F274,I274)*H274/F274)*100,2),"")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IF(AND(ISNUMBER(F275),ISNUMBER(I275),ISNUMBER(H275),ISNUMBER(K275),F275&gt;0,I275&gt;0,H275&lt;&gt;0),ROUND(MIN(F275,I275)*(K275/I275-H275/F275),8),"")</f>
        <v/>
      </c>
      <c r="O275" s="177" t="str">
        <f>IF(ISNUMBER(N275),ROUND(N275/(MIN(F275,I275)*H275/F275)*100,2),"")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IF(AND(ISNUMBER(F276),ISNUMBER(I276),ISNUMBER(H276),ISNUMBER(K276),F276&gt;0,I276&gt;0,H276&lt;&gt;0),ROUND(MIN(F276,I276)*(K276/I276-H276/F276),8),"")</f>
        <v/>
      </c>
      <c r="O276" s="183" t="str">
        <f>IF(ISNUMBER(N276),ROUND(N276/(MIN(F276,I276)*H276/F276)*100,2),"")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IF(AND(ISNUMBER(F277),ISNUMBER(I277),ISNUMBER(H277),ISNUMBER(K277),F277&gt;0,I277&gt;0,H277&lt;&gt;0),ROUND(MIN(F277,I277)*(K277/I277-H277/F277),8),"")</f>
        <v/>
      </c>
      <c r="O277" s="177" t="str">
        <f>IF(ISNUMBER(N277),ROUND(N277/(MIN(F277,I277)*H277/F277)*100,2),"")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IF(AND(ISNUMBER(F278),ISNUMBER(I278),ISNUMBER(H278),ISNUMBER(K278),F278&gt;0,I278&gt;0,H278&lt;&gt;0),ROUND(MIN(F278,I278)*(K278/I278-H278/F278),8),"")</f>
        <v/>
      </c>
      <c r="O278" s="183" t="str">
        <f>IF(ISNUMBER(N278),ROUND(N278/(MIN(F278,I278)*H278/F278)*100,2),"")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IF(AND(ISNUMBER(F279),ISNUMBER(I279),ISNUMBER(H279),ISNUMBER(K279),F279&gt;0,I279&gt;0,H279&lt;&gt;0),ROUND(MIN(F279,I279)*(K279/I279-H279/F279),8),"")</f>
        <v/>
      </c>
      <c r="O279" s="177" t="str">
        <f>IF(ISNUMBER(N279),ROUND(N279/(MIN(F279,I279)*H279/F279)*100,2),"")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IF(AND(ISNUMBER(F280),ISNUMBER(I280),ISNUMBER(H280),ISNUMBER(K280),F280&gt;0,I280&gt;0,H280&lt;&gt;0),ROUND(MIN(F280,I280)*(K280/I280-H280/F280),8),"")</f>
        <v/>
      </c>
      <c r="O280" s="183" t="str">
        <f>IF(ISNUMBER(N280),ROUND(N280/(MIN(F280,I280)*H280/F280)*100,2),"")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IF(AND(ISNUMBER(F281),ISNUMBER(I281),ISNUMBER(H281),ISNUMBER(K281),F281&gt;0,I281&gt;0,H281&lt;&gt;0),ROUND(MIN(F281,I281)*(K281/I281-H281/F281),8),"")</f>
        <v/>
      </c>
      <c r="O281" s="177" t="str">
        <f>IF(ISNUMBER(N281),ROUND(N281/(MIN(F281,I281)*H281/F281)*100,2),"")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IF(AND(ISNUMBER(F282),ISNUMBER(I282),ISNUMBER(H282),ISNUMBER(K282),F282&gt;0,I282&gt;0,H282&lt;&gt;0),ROUND(MIN(F282,I282)*(K282/I282-H282/F282),8),"")</f>
        <v/>
      </c>
      <c r="O282" s="183" t="str">
        <f>IF(ISNUMBER(N282),ROUND(N282/(MIN(F282,I282)*H282/F282)*100,2),"")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IF(AND(ISNUMBER(F283),ISNUMBER(I283),ISNUMBER(H283),ISNUMBER(K283),F283&gt;0,I283&gt;0,H283&lt;&gt;0),ROUND(MIN(F283,I283)*(K283/I283-H283/F283),8),"")</f>
        <v/>
      </c>
      <c r="O283" s="177" t="str">
        <f>IF(ISNUMBER(N283),ROUND(N283/(MIN(F283,I283)*H283/F283)*100,2),"")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IF(AND(ISNUMBER(F284),ISNUMBER(I284),ISNUMBER(H284),ISNUMBER(K284),F284&gt;0,I284&gt;0,H284&lt;&gt;0),ROUND(MIN(F284,I284)*(K284/I284-H284/F284),8),"")</f>
        <v/>
      </c>
      <c r="O284" s="183" t="str">
        <f>IF(ISNUMBER(N284),ROUND(N284/(MIN(F284,I284)*H284/F284)*100,2),"")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IF(AND(ISNUMBER(F285),ISNUMBER(I285),ISNUMBER(H285),ISNUMBER(K285),F285&gt;0,I285&gt;0,H285&lt;&gt;0),ROUND(MIN(F285,I285)*(K285/I285-H285/F285),8),"")</f>
        <v/>
      </c>
      <c r="O285" s="177" t="str">
        <f>IF(ISNUMBER(N285),ROUND(N285/(MIN(F285,I285)*H285/F285)*100,2),"")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IF(AND(ISNUMBER(F286),ISNUMBER(I286),ISNUMBER(H286),ISNUMBER(K286),F286&gt;0,I286&gt;0,H286&lt;&gt;0),ROUND(MIN(F286,I286)*(K286/I286-H286/F286),8),"")</f>
        <v/>
      </c>
      <c r="O286" s="183" t="str">
        <f>IF(ISNUMBER(N286),ROUND(N286/(MIN(F286,I286)*H286/F286)*100,2),"")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IF(AND(ISNUMBER(F287),ISNUMBER(I287),ISNUMBER(H287),ISNUMBER(K287),F287&gt;0,I287&gt;0,H287&lt;&gt;0),ROUND(MIN(F287,I287)*(K287/I287-H287/F287),8),"")</f>
        <v/>
      </c>
      <c r="O287" s="177" t="str">
        <f>IF(ISNUMBER(N287),ROUND(N287/(MIN(F287,I287)*H287/F287)*100,2),"")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IF(AND(ISNUMBER(F288),ISNUMBER(I288),ISNUMBER(H288),ISNUMBER(K288),F288&gt;0,I288&gt;0,H288&lt;&gt;0),ROUND(MIN(F288,I288)*(K288/I288-H288/F288),8),"")</f>
        <v/>
      </c>
      <c r="O288" s="183" t="str">
        <f>IF(ISNUMBER(N288),ROUND(N288/(MIN(F288,I288)*H288/F288)*100,2),"")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IF(AND(ISNUMBER(F289),ISNUMBER(I289),ISNUMBER(H289),ISNUMBER(K289),F289&gt;0,I289&gt;0,H289&lt;&gt;0),ROUND(MIN(F289,I289)*(K289/I289-H289/F289),8),"")</f>
        <v/>
      </c>
      <c r="O289" s="177" t="str">
        <f>IF(ISNUMBER(N289),ROUND(N289/(MIN(F289,I289)*H289/F289)*100,2),"")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IF(AND(ISNUMBER(F290),ISNUMBER(I290),ISNUMBER(H290),ISNUMBER(K290),F290&gt;0,I290&gt;0,H290&lt;&gt;0),ROUND(MIN(F290,I290)*(K290/I290-H290/F290),8),"")</f>
        <v/>
      </c>
      <c r="O290" s="183" t="str">
        <f>IF(ISNUMBER(N290),ROUND(N290/(MIN(F290,I290)*H290/F290)*100,2),"")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IF(AND(ISNUMBER(F291),ISNUMBER(I291),ISNUMBER(H291),ISNUMBER(K291),F291&gt;0,I291&gt;0,H291&lt;&gt;0),ROUND(MIN(F291,I291)*(K291/I291-H291/F291),8),"")</f>
        <v/>
      </c>
      <c r="O291" s="177" t="str">
        <f>IF(ISNUMBER(N291),ROUND(N291/(MIN(F291,I291)*H291/F291)*100,2),"")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IF(AND(ISNUMBER(F292),ISNUMBER(I292),ISNUMBER(H292),ISNUMBER(K292),F292&gt;0,I292&gt;0,H292&lt;&gt;0),ROUND(MIN(F292,I292)*(K292/I292-H292/F292),8),"")</f>
        <v/>
      </c>
      <c r="O292" s="183" t="str">
        <f>IF(ISNUMBER(N292),ROUND(N292/(MIN(F292,I292)*H292/F292)*100,2),"")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IF(AND(ISNUMBER(F293),ISNUMBER(I293),ISNUMBER(H293),ISNUMBER(K293),F293&gt;0,I293&gt;0,H293&lt;&gt;0),ROUND(MIN(F293,I293)*(K293/I293-H293/F293),8),"")</f>
        <v/>
      </c>
      <c r="O293" s="177" t="str">
        <f>IF(ISNUMBER(N293),ROUND(N293/(MIN(F293,I293)*H293/F293)*100,2),"")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IF(AND(ISNUMBER(F294),ISNUMBER(I294),ISNUMBER(H294),ISNUMBER(K294),F294&gt;0,I294&gt;0,H294&lt;&gt;0),ROUND(MIN(F294,I294)*(K294/I294-H294/F294),8),"")</f>
        <v/>
      </c>
      <c r="O294" s="183" t="str">
        <f>IF(ISNUMBER(N294),ROUND(N294/(MIN(F294,I294)*H294/F294)*100,2),"")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IF(AND(ISNUMBER(F295),ISNUMBER(I295),ISNUMBER(H295),ISNUMBER(K295),F295&gt;0,I295&gt;0,H295&lt;&gt;0),ROUND(MIN(F295,I295)*(K295/I295-H295/F295),8),"")</f>
        <v/>
      </c>
      <c r="O295" s="177" t="str">
        <f>IF(ISNUMBER(N295),ROUND(N295/(MIN(F295,I295)*H295/F295)*100,2),"")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IF(AND(ISNUMBER(F296),ISNUMBER(I296),ISNUMBER(H296),ISNUMBER(K296),F296&gt;0,I296&gt;0,H296&lt;&gt;0),ROUND(MIN(F296,I296)*(K296/I296-H296/F296),8),"")</f>
        <v/>
      </c>
      <c r="O296" s="183" t="str">
        <f>IF(ISNUMBER(N296),ROUND(N296/(MIN(F296,I296)*H296/F296)*100,2),"")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IF(AND(ISNUMBER(F297),ISNUMBER(I297),ISNUMBER(H297),ISNUMBER(K297),F297&gt;0,I297&gt;0,H297&lt;&gt;0),ROUND(MIN(F297,I297)*(K297/I297-H297/F297),8),"")</f>
        <v/>
      </c>
      <c r="O297" s="177" t="str">
        <f>IF(ISNUMBER(N297),ROUND(N297/(MIN(F297,I297)*H297/F297)*100,2),"")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IF(AND(ISNUMBER(F298),ISNUMBER(I298),ISNUMBER(H298),ISNUMBER(K298),F298&gt;0,I298&gt;0,H298&lt;&gt;0),ROUND(MIN(F298,I298)*(K298/I298-H298/F298),8),"")</f>
        <v/>
      </c>
      <c r="O298" s="183" t="str">
        <f>IF(ISNUMBER(N298),ROUND(N298/(MIN(F298,I298)*H298/F298)*100,2),"")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IF(AND(ISNUMBER(F299),ISNUMBER(I299),ISNUMBER(H299),ISNUMBER(K299),F299&gt;0,I299&gt;0,H299&lt;&gt;0),ROUND(MIN(F299,I299)*(K299/I299-H299/F299),8),"")</f>
        <v/>
      </c>
      <c r="O299" s="177" t="str">
        <f>IF(ISNUMBER(N299),ROUND(N299/(MIN(F299,I299)*H299/F299)*100,2),"")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IF(AND(ISNUMBER(F300),ISNUMBER(I300),ISNUMBER(H300),ISNUMBER(K300),F300&gt;0,I300&gt;0,H300&lt;&gt;0),ROUND(MIN(F300,I300)*(K300/I300-H300/F300),8),"")</f>
        <v/>
      </c>
      <c r="O300" s="183" t="str">
        <f>IF(ISNUMBER(N300),ROUND(N300/(MIN(F300,I300)*H300/F300)*100,2),"")</f>
        <v/>
      </c>
    </row>
  </sheetData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>3.5</v>
      </c>
      <c r="D5" s="177">
        <f>IF(C5="","",E5/C5)</f>
        <v>585.668571428572</v>
      </c>
      <c r="E5" s="241">
        <f>IF(C5="","",SUMIFS('ИТОГО Торговля'!$E$5:$E$300,'ИТОГО Торговля'!$B$5:$B$300,$B5)+SUMIFS('ИТОГО Лэндинг'!$E$5:$E$300,'ИТОГО Лэндинг'!$B$5:$B$300,$B5))</f>
        <v>2049.84</v>
      </c>
      <c r="F5" s="240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>9.5</v>
      </c>
      <c r="G5" s="177">
        <f>IF(F5="","",H5/F5)</f>
        <v>598.515789473684</v>
      </c>
      <c r="H5" s="241">
        <f>IF(F5="","",SUMIFS('ИТОГО Торговля'!$H$5:$H$300,'ИТОГО Торговля'!$B$5:$B$300,$B5)+SUMIFS('ИТОГО Лэндинг'!$H$5:$H$300,'ИТОГО Лэндинг'!$B$5:$B$300,$B5))</f>
        <v>5685.9</v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>-6</v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>3636.06</v>
      </c>
      <c r="K5" s="240">
        <f>IF(MIN(N(C5),N(F5))&lt;=0,"",ROUND(MIN(N(C5),N(F5))*(N(G5)-N(D5)),8))</f>
        <v>44.96526316</v>
      </c>
      <c r="L5" s="177">
        <f>IF(MIN(N(C5),N(F5))&lt;=0,"",IF(N(D5)=0,"",ROUND((N(G5)/N(D5)-1)*100,2)))</f>
        <v>2.19</v>
      </c>
      <c r="M5" s="177">
        <f>IF(OR(ROUND(N(C5)-N(F5),8)=0,1-N(Ввод!$J$19)/100&lt;=0),"",IF(N(C5)&gt;N(F5),(N(E5)-N(H5))/((N(C5)-N(F5))*(1-N(Ввод!$J$19)/100)),(N(H5)-N(E5))/((N(F5)-N(C5))*(1+N(Ввод!$J$19)/100))))</f>
        <v>604.800399201597</v>
      </c>
    </row>
    <row r="6" ht="22" customHeight="1">
      <c r="B6" s="245" t="inlineStr">
        <is>
          <t>BTC/USDT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>0.25</v>
      </c>
      <c r="D6" s="183">
        <f>IF(C6="","",E6/C6)</f>
        <v>62164.08</v>
      </c>
      <c r="E6" s="247">
        <f>IF(C6="","",SUMIFS('ИТОГО Торговля'!$E$5:$E$300,'ИТОГО Торговля'!$B$5:$B$300,$B6)+SUMIFS('ИТОГО Лэндинг'!$E$5:$E$300,'ИТОГО Лэндинг'!$B$5:$B$300,$B6))</f>
        <v>15541.02</v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>0.05</v>
      </c>
      <c r="G6" s="183">
        <f>IF(F6="","",H6/F6)</f>
        <v>62874</v>
      </c>
      <c r="H6" s="247">
        <f>IF(F6="","",SUMIFS('ИТОГО Торговля'!$H$5:$H$300,'ИТОГО Торговля'!$B$5:$B$300,$B6)+SUMIFS('ИТОГО Лэндинг'!$H$5:$H$300,'ИТОГО Лэндинг'!$B$5:$B$300,$B6))</f>
        <v>3143.7</v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>0.2</v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>-12397.32</v>
      </c>
      <c r="K6" s="246">
        <f>IF(MIN(N(C6),N(F6))&lt;=0,"",ROUND(MIN(N(C6),N(F6))*(N(G6)-N(D6)),8))</f>
        <v>35.496</v>
      </c>
      <c r="L6" s="183">
        <f>IF(MIN(N(C6),N(F6))&lt;=0,"",IF(N(D6)=0,"",ROUND((N(G6)/N(D6)-1)*100,2)))</f>
        <v>1.14</v>
      </c>
      <c r="M6" s="183">
        <f>IF(OR(ROUND(N(C6)-N(F6),8)=0,1-N(Ввод!$J$19)/100&lt;=0),"",IF(N(C6)&gt;N(F6),(N(E6)-N(H6))/((N(C6)-N(F6))*(1-N(Ввод!$J$19)/100)),(N(H6)-N(E6))/((N(F6)-N(C6))*(1+N(Ввод!$J$19)/100))))</f>
        <v>62110.8216432866</v>
      </c>
    </row>
    <row r="7" ht="22" customHeight="1">
      <c r="B7" s="239" t="inlineStr">
        <is>
          <t>ETH/BTC</t>
        </is>
      </c>
      <c r="C7" s="240" t="str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/>
      </c>
      <c r="D7" s="177" t="str">
        <f>IF(C7="","",E7/C7)</f>
        <v/>
      </c>
      <c r="E7" s="241" t="str">
        <f>IF(C7="","",SUMIFS('ИТОГО Торговля'!$E$5:$E$300,'ИТОГО Торговля'!$B$5:$B$300,$B7)+SUMIFS('ИТОГО Лэндинг'!$E$5:$E$300,'ИТОГО Лэндинг'!$B$5:$B$300,$B7))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>3</v>
      </c>
      <c r="G7" s="177">
        <f>IF(F7="","",H7/F7)</f>
        <v>0.052395</v>
      </c>
      <c r="H7" s="241">
        <f>IF(F7="","",SUMIFS('ИТОГО Торговля'!$H$5:$H$300,'ИТОГО Торговля'!$B$5:$B$300,$B7)+SUMIFS('ИТОГО Лэндинг'!$H$5:$H$300,'ИТОГО Лэндинг'!$B$5:$B$300,$B7))</f>
        <v>0.157185</v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>-3</v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>0.157185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>7.5</v>
      </c>
      <c r="D8" s="183">
        <f>IF(C8="","",E8/C8)</f>
        <v>3210.9152</v>
      </c>
      <c r="E8" s="247">
        <f>IF(C8="","",SUMIFS('ИТОГО Торговля'!$E$5:$E$300,'ИТОГО Торговля'!$B$5:$B$300,$B8)+SUMIFS('ИТОГО Лэндинг'!$E$5:$E$300,'ИТОГО Лэндинг'!$B$5:$B$300,$B8))</f>
        <v>24081.864</v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>4.5</v>
      </c>
      <c r="G8" s="183">
        <f>IF(F8="","",H8/F8)</f>
        <v>3376.2</v>
      </c>
      <c r="H8" s="247">
        <f>IF(F8="","",SUMIFS('ИТОГО Торговля'!$H$5:$H$300,'ИТОГО Торговля'!$B$5:$B$300,$B8)+SUMIFS('ИТОГО Лэндинг'!$H$5:$H$300,'ИТОГО Лэндинг'!$B$5:$B$300,$B8))</f>
        <v>15192.9</v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>3</v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>-8888.964</v>
      </c>
      <c r="K8" s="246">
        <f>IF(MIN(N(C8),N(F8))&lt;=0,"",ROUND(MIN(N(C8),N(F8))*(N(G8)-N(D8)),8))</f>
        <v>743.7816</v>
      </c>
      <c r="L8" s="183">
        <f>IF(MIN(N(C8),N(F8))&lt;=0,"",IF(N(D8)=0,"",ROUND((N(G8)/N(D8)-1)*100,2)))</f>
        <v>5.15</v>
      </c>
      <c r="M8" s="183">
        <f>IF(OR(ROUND(N(C8)-N(F8),8)=0,1-N(Ввод!$J$19)/100&lt;=0),"",IF(N(C8)&gt;N(F8),(N(E8)-N(H8))/((N(C8)-N(F8))*(1-N(Ввод!$J$19)/100)),(N(H8)-N(E8))/((N(F8)-N(C8))*(1+N(Ввод!$J$19)/100))))</f>
        <v>2968.92585170341</v>
      </c>
    </row>
    <row r="9" ht="22" customHeight="1">
      <c r="B9" s="239" t="inlineStr">
        <is>
          <t>SOL/USDT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>80</v>
      </c>
      <c r="D9" s="177">
        <f>IF(C9="","",E9/C9)</f>
        <v>145.88</v>
      </c>
      <c r="E9" s="241">
        <f>IF(C9="","",SUMIFS('ИТОГО Торговля'!$E$5:$E$300,'ИТОГО Торговля'!$B$5:$B$300,$B9)+SUMIFS('ИТОГО Лэндинг'!$E$5:$E$300,'ИТОГО Лэндинг'!$B$5:$B$300,$B9))</f>
        <v>11670.4</v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>110</v>
      </c>
      <c r="G9" s="177">
        <f>IF(F9="","",H9/F9)</f>
        <v>150.498545454545</v>
      </c>
      <c r="H9" s="241">
        <f>IF(F9="","",SUMIFS('ИТОГО Торговля'!$H$5:$H$300,'ИТОГО Торговля'!$B$5:$B$300,$B9)+SUMIFS('ИТОГО Лэндинг'!$H$5:$H$300,'ИТОГО Лэндинг'!$B$5:$B$300,$B9))</f>
        <v>16554.84</v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>-30</v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>4884.44</v>
      </c>
      <c r="K9" s="240">
        <f>IF(MIN(N(C9),N(F9))&lt;=0,"",ROUND(MIN(N(C9),N(F9))*(N(G9)-N(D9)),8))</f>
        <v>369.48363636</v>
      </c>
      <c r="L9" s="177">
        <f>IF(MIN(N(C9),N(F9))&lt;=0,"",IF(N(D9)=0,"",ROUND((N(G9)/N(D9)-1)*100,2)))</f>
        <v>3.17</v>
      </c>
      <c r="M9" s="177">
        <f>IF(OR(ROUND(N(C9)-N(F9),8)=0,1-N(Ввод!$J$19)/100&lt;=0),"",IF(N(C9)&gt;N(F9),(N(E9)-N(H9))/((N(C9)-N(F9))*(1-N(Ввод!$J$19)/100)),(N(H9)-N(E9))/((N(F9)-N(C9))*(1+N(Ввод!$J$19)/100))))</f>
        <v>162.489687292082</v>
      </c>
    </row>
    <row r="10" ht="22" customHeight="1">
      <c r="B10" s="245"/>
      <c r="C10" s="246" t="str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/>
      </c>
      <c r="D10" s="183" t="str">
        <f>IF(C10="","",E10/C10)</f>
        <v/>
      </c>
      <c r="E10" s="247" t="str">
        <f>IF(C10="","",SUMIFS('ИТОГО Торговля'!$E$5:$E$300,'ИТОГО Торговля'!$B$5:$B$300,$B10)+SUMIFS('ИТОГО Лэндинг'!$E$5:$E$300,'ИТОГО Лэндинг'!$B$5:$B$300,$B10))</f>
        <v/>
      </c>
      <c r="F10" s="246" t="str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/>
      </c>
      <c r="G10" s="183" t="str">
        <f>IF(F10="","",H10/F10)</f>
        <v/>
      </c>
      <c r="H10" s="247" t="str">
        <f>IF(F10="","",SUMIFS('ИТОГО Торговля'!$H$5:$H$300,'ИТОГО Торговля'!$B$5:$B$300,$B10)+SUMIFS('ИТОГО Лэндинг'!$H$5:$H$300,'ИТОГО Лэндинг'!$B$5:$B$300,$B10))</f>
        <v/>
      </c>
      <c r="I10" s="246" t="str">
        <f>IF($B10="","",IF(AND(C10="",F10=""),"",ROUND(SUMIFS('ИТОГО Торговля'!$I$5:$I$300,'ИТОГО Торговля'!$B$5:$B$300,$B10)+SUMIFS('ИТОГО Лэндинг'!$I$5:$I$300,'ИТОГО Лэндинг'!$B$5:$B$300,$B10),8)))</f>
        <v/>
      </c>
      <c r="J10" s="247" t="str">
        <f>IF($B10="","",IF(AND(C10="",F10=""),"",ROUND(SUMIFS('ИТОГО Торговля'!$J$5:$J$300,'ИТОГО Торговля'!$B$5:$B$300,$B10)+SUMIFS('ИТОГО Лэндинг'!$J$5:$J$300,'ИТОГО Лэндинг'!$B$5:$B$300,$B10),8)))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/>
      <c r="C11" s="240" t="str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/>
      </c>
      <c r="D11" s="177" t="str">
        <f>IF(C11="","",E11/C11)</f>
        <v/>
      </c>
      <c r="E11" s="241" t="str">
        <f>IF(C11="","",SUMIFS('ИТОГО Торговля'!$E$5:$E$300,'ИТОГО Торговля'!$B$5:$B$300,$B11)+SUMIFS('ИТОГО Лэндинг'!$E$5:$E$300,'ИТОГО Лэндинг'!$B$5:$B$300,$B11))</f>
        <v/>
      </c>
      <c r="F11" s="240" t="str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/>
      </c>
      <c r="G11" s="177" t="str">
        <f>IF(F11="","",H11/F11)</f>
        <v/>
      </c>
      <c r="H11" s="241" t="str">
        <f>IF(F11="","",SUMIFS('ИТОГО Торговля'!$H$5:$H$300,'ИТОГО Торговля'!$B$5:$B$300,$B11)+SUMIFS('ИТОГО Лэндинг'!$H$5:$H$300,'ИТОГО Лэндинг'!$B$5:$B$300,$B11))</f>
        <v/>
      </c>
      <c r="I11" s="240" t="str">
        <f>IF($B11="","",IF(AND(C11="",F11=""),"",ROUND(SUMIFS('ИТОГО Торговля'!$I$5:$I$300,'ИТОГО Торговля'!$B$5:$B$300,$B11)+SUMIFS('ИТОГО Лэндинг'!$I$5:$I$300,'ИТОГО Лэндинг'!$B$5:$B$300,$B11),8)))</f>
        <v/>
      </c>
      <c r="J11" s="241" t="str">
        <f>IF($B11="","",IF(AND(C11="",F11=""),"",ROUND(SUMIFS('ИТОГО Торговля'!$J$5:$J$300,'ИТОГО Торговля'!$B$5:$B$300,$B11)+SUMIFS('ИТОГО Лэндинг'!$J$5:$J$300,'ИТОГО Лэндинг'!$B$5:$B$300,$B11),8)))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/>
      <c r="C12" s="246" t="str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/>
      </c>
      <c r="D12" s="183" t="str">
        <f>IF(C12="","",E12/C12)</f>
        <v/>
      </c>
      <c r="E12" s="247" t="str">
        <f>IF(C12="","",SUMIFS('ИТОГО Торговля'!$E$5:$E$300,'ИТОГО Торговля'!$B$5:$B$300,$B12)+SUMIFS('ИТОГО Лэндинг'!$E$5:$E$300,'ИТОГО Лэндинг'!$B$5:$B$300,$B12))</f>
        <v/>
      </c>
      <c r="F12" s="246" t="str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/>
      </c>
      <c r="G12" s="183" t="str">
        <f>IF(F12="","",H12/F12)</f>
        <v/>
      </c>
      <c r="H12" s="247" t="str">
        <f>IF(F12="","",SUMIFS('ИТОГО Торговля'!$H$5:$H$300,'ИТОГО Торговля'!$B$5:$B$300,$B12)+SUMIFS('ИТОГО Лэндинг'!$H$5:$H$300,'ИТОГО Лэндинг'!$B$5:$B$300,$B12))</f>
        <v/>
      </c>
      <c r="I12" s="246" t="str">
        <f>IF($B12="","",IF(AND(C12="",F12=""),"",ROUND(SUMIFS('ИТОГО Торговля'!$I$5:$I$300,'ИТОГО Торговля'!$B$5:$B$300,$B12)+SUMIFS('ИТОГО Лэндинг'!$I$5:$I$300,'ИТОГО Лэндинг'!$B$5:$B$300,$B12),8)))</f>
        <v/>
      </c>
      <c r="J12" s="247" t="str">
        <f>IF($B12="","",IF(AND(C12="",F12=""),"",ROUND(SUMIFS('ИТОГО Торговля'!$J$5:$J$300,'ИТОГО Торговля'!$B$5:$B$300,$B12)+SUMIFS('ИТОГО Лэндинг'!$J$5:$J$300,'ИТОГО Лэндинг'!$B$5:$B$300,$B12),8)))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  <row r="13" ht="22" customHeight="1">
      <c r="B13" s="239" t="n"/>
      <c r="C13" s="240" t="str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/>
      </c>
      <c r="D13" s="177" t="str">
        <f>IF(C13="","",E13/C13)</f>
        <v/>
      </c>
      <c r="E13" s="241" t="str">
        <f>IF(C13="","",SUMIFS('ИТОГО Торговля'!$E$5:$E$300,'ИТОГО Торговля'!$B$5:$B$300,$B13)+SUMIFS('ИТОГО Лэндинг'!$E$5:$E$300,'ИТОГО Лэндинг'!$B$5:$B$300,$B13))</f>
        <v/>
      </c>
      <c r="F13" s="240" t="str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/>
      </c>
      <c r="G13" s="177" t="str">
        <f>IF(F13="","",H13/F13)</f>
        <v/>
      </c>
      <c r="H13" s="241" t="str">
        <f>IF(F13="","",SUMIFS('ИТОГО Торговля'!$H$5:$H$300,'ИТОГО Торговля'!$B$5:$B$300,$B13)+SUMIFS('ИТОГО Лэндинг'!$H$5:$H$300,'ИТОГО Лэндинг'!$B$5:$B$300,$B13))</f>
        <v/>
      </c>
      <c r="I13" s="240" t="str">
        <f>IF($B13="","",IF(AND(C13="",F13=""),"",ROUND(SUMIFS('ИТОГО Торговля'!$I$5:$I$300,'ИТОГО Торговля'!$B$5:$B$300,$B13)+SUMIFS('ИТОГО Лэндинг'!$I$5:$I$300,'ИТОГО Лэндинг'!$B$5:$B$300,$B13),8)))</f>
        <v/>
      </c>
      <c r="J13" s="241" t="str">
        <f>IF($B13="","",IF(AND(C13="",F13=""),"",ROUND(SUMIFS('ИТОГО Торговля'!$J$5:$J$300,'ИТОГО Торговля'!$B$5:$B$300,$B13)+SUMIFS('ИТОГО Лэндинг'!$J$5:$J$300,'ИТОГО Лэндинг'!$B$5:$B$300,$B13),8)))</f>
        <v/>
      </c>
      <c r="K13" s="240" t="str">
        <f>IF(MIN(N(C13),N(F13))&lt;=0,"",ROUND(MIN(N(C13),N(F13))*(N(G13)-N(D13)),8))</f>
        <v/>
      </c>
      <c r="L13" s="177" t="str">
        <f>IF(MIN(N(C13),N(F13))&lt;=0,"",IF(N(D13)=0,"",ROUND((N(G13)/N(D13)-1)*100,2)))</f>
        <v/>
      </c>
      <c r="M13" s="177" t="str">
        <f>IF(OR(ROUND(N(C13)-N(F13),8)=0,1-N(Ввод!$J$19)/100&lt;=0),"",IF(N(C13)&gt;N(F13),(N(E13)-N(H13))/((N(C13)-N(F13))*(1-N(Ввод!$J$19)/100)),(N(H13)-N(E13))/((N(F13)-N(C13))*(1+N(Ввод!$J$19)/100))))</f>
        <v/>
      </c>
    </row>
    <row r="14" ht="22" customHeight="1">
      <c r="B14" s="245" t="n"/>
      <c r="C14" s="246" t="str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/>
      </c>
      <c r="D14" s="183" t="str">
        <f>IF(C14="","",E14/C14)</f>
        <v/>
      </c>
      <c r="E14" s="247" t="str">
        <f>IF(C14="","",SUMIFS('ИТОГО Торговля'!$E$5:$E$300,'ИТОГО Торговля'!$B$5:$B$300,$B14)+SUMIFS('ИТОГО Лэндинг'!$E$5:$E$300,'ИТОГО Лэндинг'!$B$5:$B$300,$B14))</f>
        <v/>
      </c>
      <c r="F14" s="246" t="str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/>
      </c>
      <c r="G14" s="183" t="str">
        <f>IF(F14="","",H14/F14)</f>
        <v/>
      </c>
      <c r="H14" s="247" t="str">
        <f>IF(F14="","",SUMIFS('ИТОГО Торговля'!$H$5:$H$300,'ИТОГО Торговля'!$B$5:$B$300,$B14)+SUMIFS('ИТОГО Лэндинг'!$H$5:$H$300,'ИТОГО Лэндинг'!$B$5:$B$300,$B14))</f>
        <v/>
      </c>
      <c r="I14" s="246" t="str">
        <f>IF($B14="","",IF(AND(C14="",F14=""),"",ROUND(SUMIFS('ИТОГО Торговля'!$I$5:$I$300,'ИТОГО Торговля'!$B$5:$B$300,$B14)+SUMIFS('ИТОГО Лэндинг'!$I$5:$I$300,'ИТОГО Лэндинг'!$B$5:$B$300,$B14),8)))</f>
        <v/>
      </c>
      <c r="J14" s="247" t="str">
        <f>IF($B14="","",IF(AND(C14="",F14=""),"",ROUND(SUMIFS('ИТОГО Торговля'!$J$5:$J$300,'ИТОГО Торговля'!$B$5:$B$300,$B14)+SUMIFS('ИТОГО Лэндинг'!$J$5:$J$300,'ИТОГО Лэндинг'!$B$5:$B$300,$B14),8)))</f>
        <v/>
      </c>
      <c r="K14" s="246" t="str">
        <f>IF(MIN(N(C14),N(F14))&lt;=0,"",ROUND(MIN(N(C14),N(F14))*(N(G14)-N(D14)),8))</f>
        <v/>
      </c>
      <c r="L14" s="183" t="str">
        <f>IF(MIN(N(C14),N(F14))&lt;=0,"",IF(N(D14)=0,"",ROUND((N(G14)/N(D14)-1)*100,2)))</f>
        <v/>
      </c>
      <c r="M14" s="183" t="str">
        <f>IF(OR(ROUND(N(C14)-N(F14),8)=0,1-N(Ввод!$J$19)/100&lt;=0),"",IF(N(C14)&gt;N(F14),(N(E14)-N(H14))/((N(C14)-N(F14))*(1-N(Ввод!$J$19)/100)),(N(H14)-N(E14))/((N(F14)-N(C14))*(1+N(Ввод!$J$19)/100))))</f>
        <v/>
      </c>
    </row>
    <row r="15" ht="22" customHeight="1">
      <c r="B15" s="239" t="n"/>
      <c r="C15" s="240" t="str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/>
      </c>
      <c r="D15" s="177" t="str">
        <f>IF(C15="","",E15/C15)</f>
        <v/>
      </c>
      <c r="E15" s="241" t="str">
        <f>IF(C15="","",SUMIFS('ИТОГО Торговля'!$E$5:$E$300,'ИТОГО Торговля'!$B$5:$B$300,$B15)+SUMIFS('ИТОГО Лэндинг'!$E$5:$E$300,'ИТОГО Лэндинг'!$B$5:$B$300,$B15))</f>
        <v/>
      </c>
      <c r="F15" s="240" t="str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/>
      </c>
      <c r="G15" s="177" t="str">
        <f>IF(F15="","",H15/F15)</f>
        <v/>
      </c>
      <c r="H15" s="241" t="str">
        <f>IF(F15="","",SUMIFS('ИТОГО Торговля'!$H$5:$H$300,'ИТОГО Торговля'!$B$5:$B$300,$B15)+SUMIFS('ИТОГО Лэндинг'!$H$5:$H$300,'ИТОГО Лэндинг'!$B$5:$B$300,$B15))</f>
        <v/>
      </c>
      <c r="I15" s="240" t="str">
        <f>IF($B15="","",IF(AND(C15="",F15=""),"",ROUND(SUMIFS('ИТОГО Торговля'!$I$5:$I$300,'ИТОГО Торговля'!$B$5:$B$300,$B15)+SUMIFS('ИТОГО Лэндинг'!$I$5:$I$300,'ИТОГО Лэндинг'!$B$5:$B$300,$B15),8)))</f>
        <v/>
      </c>
      <c r="J15" s="241" t="str">
        <f>IF($B15="","",IF(AND(C15="",F15=""),"",ROUND(SUMIFS('ИТОГО Торговля'!$J$5:$J$300,'ИТОГО Торговля'!$B$5:$B$300,$B15)+SUMIFS('ИТОГО Лэндинг'!$J$5:$J$300,'ИТОГО Лэндинг'!$B$5:$B$300,$B15),8)))</f>
        <v/>
      </c>
      <c r="K15" s="240" t="str">
        <f>IF(MIN(N(C15),N(F15))&lt;=0,"",ROUND(MIN(N(C15),N(F15))*(N(G15)-N(D15)),8))</f>
        <v/>
      </c>
      <c r="L15" s="177" t="str">
        <f>IF(MIN(N(C15),N(F15))&lt;=0,"",IF(N(D15)=0,"",ROUND((N(G15)/N(D15)-1)*100,2)))</f>
        <v/>
      </c>
      <c r="M15" s="177" t="str">
        <f>IF(OR(ROUND(N(C15)-N(F15),8)=0,1-N(Ввод!$J$19)/100&lt;=0),"",IF(N(C15)&gt;N(F15),(N(E15)-N(H15))/((N(C15)-N(F15))*(1-N(Ввод!$J$19)/100)),(N(H15)-N(E15))/((N(F15)-N(C15))*(1+N(Ввод!$J$19)/100))))</f>
        <v/>
      </c>
    </row>
    <row r="16" ht="22" customHeight="1">
      <c r="B16" s="245" t="n"/>
      <c r="C16" s="246" t="str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 t="str">
        <f>IF(C16="","",E16/C16)</f>
        <v/>
      </c>
      <c r="E16" s="247" t="str">
        <f>IF(C16="","",SUMIFS('ИТОГО Торговля'!$E$5:$E$300,'ИТОГО Торговля'!$B$5:$B$300,$B16)+SUMIFS('ИТОГО Лэндинг'!$E$5:$E$300,'ИТОГО Лэндинг'!$B$5:$B$300,$B16))</f>
        <v/>
      </c>
      <c r="F16" s="246" t="str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/>
      </c>
      <c r="G16" s="183" t="str">
        <f>IF(F16="","",H16/F16)</f>
        <v/>
      </c>
      <c r="H16" s="247" t="str">
        <f>IF(F16="","",SUMIFS('ИТОГО Торговля'!$H$5:$H$300,'ИТОГО Торговля'!$B$5:$B$300,$B16)+SUMIFS('ИТОГО Лэндинг'!$H$5:$H$300,'ИТОГО Лэндинг'!$B$5:$B$300,$B16))</f>
        <v/>
      </c>
      <c r="I16" s="246" t="str">
        <f>IF($B16="","",IF(AND(C16="",F16=""),"",ROUND(SUMIFS('ИТОГО Торговля'!$I$5:$I$300,'ИТОГО Торговля'!$B$5:$B$300,$B16)+SUMIFS('ИТОГО Лэндинг'!$I$5:$I$300,'ИТОГО Лэндинг'!$B$5:$B$300,$B16),8)))</f>
        <v/>
      </c>
      <c r="J16" s="247" t="str">
        <f>IF($B16="","",IF(AND(C16="",F16=""),"",ROUND(SUMIFS('ИТОГО Торговля'!$J$5:$J$300,'ИТОГО Торговля'!$B$5:$B$300,$B16)+SUMIFS('ИТОГО Лэндинг'!$J$5:$J$300,'ИТОГО Лэндинг'!$B$5:$B$300,$B16),8)))</f>
        <v/>
      </c>
      <c r="K16" s="246" t="str">
        <f>IF(MIN(N(C16),N(F16))&lt;=0,"",ROUND(MIN(N(C16),N(F16))*(N(G16)-N(D16)),8))</f>
        <v/>
      </c>
      <c r="L16" s="183" t="str">
        <f>IF(MIN(N(C16),N(F16))&lt;=0,"",IF(N(D16)=0,"",ROUND((N(G16)/N(D16)-1)*100,2)))</f>
        <v/>
      </c>
      <c r="M16" s="183" t="str">
        <f>IF(OR(ROUND(N(C16)-N(F16),8)=0,1-N(Ввод!$J$19)/100&lt;=0),"",IF(N(C16)&gt;N(F16),(N(E16)-N(H16))/((N(C16)-N(F16))*(1-N(Ввод!$J$19)/100)),(N(H16)-N(E16))/((N(F16)-N(C16))*(1+N(Ввод!$J$19)/100))))</f>
        <v/>
      </c>
    </row>
    <row r="17" ht="22" customHeight="1">
      <c r="B17" s="239" t="n"/>
      <c r="C17" s="240" t="str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/>
      </c>
      <c r="D17" s="177" t="str">
        <f>IF(C17="","",E17/C17)</f>
        <v/>
      </c>
      <c r="E17" s="241" t="str">
        <f>IF(C17="","",SUMIFS('ИТОГО Торговля'!$E$5:$E$300,'ИТОГО Торговля'!$B$5:$B$300,$B17)+SUMIFS('ИТОГО Лэндинг'!$E$5:$E$300,'ИТОГО Лэндинг'!$B$5:$B$300,$B17))</f>
        <v/>
      </c>
      <c r="F17" s="240" t="str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/>
      </c>
      <c r="G17" s="177" t="str">
        <f>IF(F17="","",H17/F17)</f>
        <v/>
      </c>
      <c r="H17" s="241" t="str">
        <f>IF(F17="","",SUMIFS('ИТОГО Торговля'!$H$5:$H$300,'ИТОГО Торговля'!$B$5:$B$300,$B17)+SUMIFS('ИТОГО Лэндинг'!$H$5:$H$300,'ИТОГО Лэндинг'!$B$5:$B$300,$B17))</f>
        <v/>
      </c>
      <c r="I17" s="240" t="str">
        <f>IF($B17="","",IF(AND(C17="",F17=""),"",ROUND(SUMIFS('ИТОГО Торговля'!$I$5:$I$300,'ИТОГО Торговля'!$B$5:$B$300,$B17)+SUMIFS('ИТОГО Лэндинг'!$I$5:$I$300,'ИТОГО Лэндинг'!$B$5:$B$300,$B17),8)))</f>
        <v/>
      </c>
      <c r="J17" s="241" t="str">
        <f>IF($B17="","",IF(AND(C17="",F17=""),"",ROUND(SUMIFS('ИТОГО Торговля'!$J$5:$J$300,'ИТОГО Торговля'!$B$5:$B$300,$B17)+SUMIFS('ИТОГО Лэндинг'!$J$5:$J$300,'ИТОГО Лэндинг'!$B$5:$B$300,$B17),8)))</f>
        <v/>
      </c>
      <c r="K17" s="240" t="str">
        <f>IF(MIN(N(C17),N(F17))&lt;=0,"",ROUND(MIN(N(C17),N(F17))*(N(G17)-N(D17)),8))</f>
        <v/>
      </c>
      <c r="L17" s="177" t="str">
        <f>IF(MIN(N(C17),N(F17))&lt;=0,"",IF(N(D17)=0,"",ROUND((N(G17)/N(D17)-1)*100,2)))</f>
        <v/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n"/>
      <c r="C18" s="246" t="str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/>
      </c>
      <c r="D18" s="183" t="str">
        <f>IF(C18="","",E18/C18)</f>
        <v/>
      </c>
      <c r="E18" s="247" t="str">
        <f>IF(C18="","",SUMIFS('ИТОГО Торговля'!$E$5:$E$300,'ИТОГО Торговля'!$B$5:$B$300,$B18)+SUMIFS('ИТОГО Лэндинг'!$E$5:$E$300,'ИТОГО Лэндинг'!$B$5:$B$300,$B18))</f>
        <v/>
      </c>
      <c r="F18" s="246" t="str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/>
      </c>
      <c r="G18" s="183" t="str">
        <f>IF(F18="","",H18/F18)</f>
        <v/>
      </c>
      <c r="H18" s="247" t="str">
        <f>IF(F18="","",SUMIFS('ИТОГО Торговля'!$H$5:$H$300,'ИТОГО Торговля'!$B$5:$B$300,$B18)+SUMIFS('ИТОГО Лэндинг'!$H$5:$H$300,'ИТОГО Лэндинг'!$B$5:$B$300,$B18))</f>
        <v/>
      </c>
      <c r="I18" s="246" t="str">
        <f>IF($B18="","",IF(AND(C18="",F18=""),"",ROUND(SUMIFS('ИТОГО Торговля'!$I$5:$I$300,'ИТОГО Торговля'!$B$5:$B$300,$B18)+SUMIFS('ИТОГО Лэндинг'!$I$5:$I$300,'ИТОГО Лэндинг'!$B$5:$B$300,$B18),8)))</f>
        <v/>
      </c>
      <c r="J18" s="247" t="str">
        <f>IF($B18="","",IF(AND(C18="",F18=""),"",ROUND(SUMIFS('ИТОГО Торговля'!$J$5:$J$300,'ИТОГО Торговля'!$B$5:$B$300,$B18)+SUMIFS('ИТОГО Лэндинг'!$J$5:$J$300,'ИТОГО Лэндинг'!$B$5:$B$300,$B18),8)))</f>
        <v/>
      </c>
      <c r="K18" s="246" t="str">
        <f>IF(MIN(N(C18),N(F18))&lt;=0,"",ROUND(MIN(N(C18),N(F18))*(N(G18)-N(D18)),8))</f>
        <v/>
      </c>
      <c r="L18" s="183" t="str">
        <f>IF(MIN(N(C18),N(F18))&lt;=0,"",IF(N(D18)=0,"",ROUND((N(G18)/N(D18)-1)*100,2)))</f>
        <v/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n"/>
      <c r="C19" s="240" t="str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/>
      </c>
      <c r="D19" s="177" t="str">
        <f>IF(C19="","",E19/C19)</f>
        <v/>
      </c>
      <c r="E19" s="241" t="str">
        <f>IF(C19="","",SUMIFS('ИТОГО Торговля'!$E$5:$E$300,'ИТОГО Торговля'!$B$5:$B$300,$B19)+SUMIFS('ИТОГО Лэндинг'!$E$5:$E$300,'ИТОГО Лэндинг'!$B$5:$B$300,$B19))</f>
        <v/>
      </c>
      <c r="F19" s="240" t="str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/>
      </c>
      <c r="G19" s="177" t="str">
        <f>IF(F19="","",H19/F19)</f>
        <v/>
      </c>
      <c r="H19" s="241" t="str">
        <f>IF(F19="","",SUMIFS('ИТОГО Торговля'!$H$5:$H$300,'ИТОГО Торговля'!$B$5:$B$300,$B19)+SUMIFS('ИТОГО Лэндинг'!$H$5:$H$300,'ИТОГО Лэндинг'!$B$5:$B$300,$B19))</f>
        <v/>
      </c>
      <c r="I19" s="240" t="str">
        <f>IF($B19="","",IF(AND(C19="",F19=""),"",ROUND(SUMIFS('ИТОГО Торговля'!$I$5:$I$300,'ИТОГО Торговля'!$B$5:$B$300,$B19)+SUMIFS('ИТОГО Лэндинг'!$I$5:$I$300,'ИТОГО Лэндинг'!$B$5:$B$300,$B19),8)))</f>
        <v/>
      </c>
      <c r="J19" s="241" t="str">
        <f>IF($B19="","",IF(AND(C19="",F19=""),"",ROUND(SUMIFS('ИТОГО Торговля'!$J$5:$J$300,'ИТОГО Торговля'!$B$5:$B$300,$B19)+SUMIFS('ИТОГО Лэндинг'!$J$5:$J$300,'ИТОГО Лэндинг'!$B$5:$B$300,$B19),8)))</f>
        <v/>
      </c>
      <c r="K19" s="240" t="str">
        <f>IF(MIN(N(C19),N(F19))&lt;=0,"",ROUND(MIN(N(C19),N(F19))*(N(G19)-N(D19)),8))</f>
        <v/>
      </c>
      <c r="L19" s="177" t="str">
        <f>IF(MIN(N(C19),N(F19))&lt;=0,"",IF(N(D19)=0,"",ROUND((N(G19)/N(D19)-1)*100,2)))</f>
        <v/>
      </c>
      <c r="M19" s="177" t="str">
        <f>IF(OR(ROUND(N(C19)-N(F19),8)=0,1-N(Ввод!$J$19)/100&lt;=0),"",IF(N(C19)&gt;N(F19),(N(E19)-N(H19))/((N(C19)-N(F19))*(1-N(Ввод!$J$19)/100)),(N(H19)-N(E19))/((N(F19)-N(C19))*(1+N(Ввод!$J$19)/100))))</f>
        <v/>
      </c>
    </row>
    <row r="20" ht="22" customHeight="1">
      <c r="B20" s="245" t="n"/>
      <c r="C20" s="246" t="str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/>
      </c>
      <c r="D20" s="183" t="str">
        <f>IF(C20="","",E20/C20)</f>
        <v/>
      </c>
      <c r="E20" s="247" t="str">
        <f>IF(C20="","",SUMIFS('ИТОГО Торговля'!$E$5:$E$300,'ИТОГО Торговля'!$B$5:$B$300,$B20)+SUMIFS('ИТОГО Лэндинг'!$E$5:$E$300,'ИТОГО Лэндинг'!$B$5:$B$300,$B20))</f>
        <v/>
      </c>
      <c r="F20" s="246" t="str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/>
      </c>
      <c r="G20" s="183" t="str">
        <f>IF(F20="","",H20/F20)</f>
        <v/>
      </c>
      <c r="H20" s="247" t="str">
        <f>IF(F20="","",SUMIFS('ИТОГО Торговля'!$H$5:$H$300,'ИТОГО Торговля'!$B$5:$B$300,$B20)+SUMIFS('ИТОГО Лэндинг'!$H$5:$H$300,'ИТОГО Лэндинг'!$B$5:$B$300,$B20))</f>
        <v/>
      </c>
      <c r="I20" s="246" t="str">
        <f>IF($B20="","",IF(AND(C20="",F20=""),"",ROUND(SUMIFS('ИТОГО Торговля'!$I$5:$I$300,'ИТОГО Торговля'!$B$5:$B$300,$B20)+SUMIFS('ИТОГО Лэндинг'!$I$5:$I$300,'ИТОГО Лэндинг'!$B$5:$B$300,$B20),8)))</f>
        <v/>
      </c>
      <c r="J20" s="247" t="str">
        <f>IF($B20="","",IF(AND(C20="",F20=""),"",ROUND(SUMIFS('ИТОГО Торговля'!$J$5:$J$300,'ИТОГО Торговля'!$B$5:$B$300,$B20)+SUMIFS('ИТОГО Лэндинг'!$J$5:$J$300,'ИТОГО Лэндинг'!$B$5:$B$300,$B20),8)))</f>
        <v/>
      </c>
      <c r="K20" s="246" t="str">
        <f>IF(MIN(N(C20),N(F20))&lt;=0,"",ROUND(MIN(N(C20),N(F20))*(N(G20)-N(D20)),8))</f>
        <v/>
      </c>
      <c r="L20" s="183" t="str">
        <f>IF(MIN(N(C20),N(F20))&lt;=0,"",IF(N(D20)=0,"",ROUND((N(G20)/N(D20)-1)*100,2)))</f>
        <v/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n"/>
      <c r="C21" s="240" t="str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/>
      </c>
      <c r="D21" s="177" t="str">
        <f>IF(C21="","",E21/C21)</f>
        <v/>
      </c>
      <c r="E21" s="241" t="str">
        <f>IF(C21="","",SUMIFS('ИТОГО Торговля'!$E$5:$E$300,'ИТОГО Торговля'!$B$5:$B$300,$B21)+SUMIFS('ИТОГО Лэндинг'!$E$5:$E$300,'ИТОГО Лэндинг'!$B$5:$B$300,$B21))</f>
        <v/>
      </c>
      <c r="F21" s="240" t="str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 t="str">
        <f>IF(F21="","",H21/F21)</f>
        <v/>
      </c>
      <c r="H21" s="241" t="str">
        <f>IF(F21="","",SUMIFS('ИТОГО Торговля'!$H$5:$H$300,'ИТОГО Торговля'!$B$5:$B$300,$B21)+SUMIFS('ИТОГО Лэндинг'!$H$5:$H$300,'ИТОГО Лэндинг'!$B$5:$B$300,$B21))</f>
        <v/>
      </c>
      <c r="I21" s="240" t="str">
        <f>IF($B21="","",IF(AND(C21="",F21=""),"",ROUND(SUMIFS('ИТОГО Торговля'!$I$5:$I$300,'ИТОГО Торговля'!$B$5:$B$300,$B21)+SUMIFS('ИТОГО Лэндинг'!$I$5:$I$300,'ИТОГО Лэндинг'!$B$5:$B$300,$B21),8)))</f>
        <v/>
      </c>
      <c r="J21" s="241" t="str">
        <f>IF($B21="","",IF(AND(C21="",F21=""),"",ROUND(SUMIFS('ИТОГО Торговля'!$J$5:$J$300,'ИТОГО Торговля'!$B$5:$B$300,$B21)+SUMIFS('ИТОГО Лэндинг'!$J$5:$J$300,'ИТОГО Лэндинг'!$B$5:$B$300,$B21),8)))</f>
        <v/>
      </c>
      <c r="K21" s="240" t="str">
        <f>IF(MIN(N(C21),N(F21))&lt;=0,"",ROUND(MIN(N(C21),N(F21))*(N(G21)-N(D21)),8))</f>
        <v/>
      </c>
      <c r="L21" s="177" t="str">
        <f>IF(MIN(N(C21),N(F21))&lt;=0,"",IF(N(D21)=0,"",ROUND((N(G21)/N(D21)-1)*100,2)))</f>
        <v/>
      </c>
      <c r="M21" s="177" t="str">
        <f>IF(OR(ROUND(N(C21)-N(F21),8)=0,1-N(Ввод!$J$19)/100&lt;=0),"",IF(N(C21)&gt;N(F21),(N(E21)-N(H21))/((N(C21)-N(F21))*(1-N(Ввод!$J$19)/100)),(N(H21)-N(E21))/((N(F21)-N(C21))*(1+N(Ввод!$J$19)/100))))</f>
        <v/>
      </c>
    </row>
    <row r="22" ht="22" customHeight="1">
      <c r="B22" s="245" t="n"/>
      <c r="C22" s="246" t="str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/>
      </c>
      <c r="D22" s="183" t="str">
        <f>IF(C22="","",E22/C22)</f>
        <v/>
      </c>
      <c r="E22" s="247" t="str">
        <f>IF(C22="","",SUMIFS('ИТОГО Торговля'!$E$5:$E$300,'ИТОГО Торговля'!$B$5:$B$300,$B22)+SUMIFS('ИТОГО Лэндинг'!$E$5:$E$300,'ИТОГО Лэндинг'!$B$5:$B$300,$B22))</f>
        <v/>
      </c>
      <c r="F22" s="246" t="str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/>
      </c>
      <c r="G22" s="183" t="str">
        <f>IF(F22="","",H22/F22)</f>
        <v/>
      </c>
      <c r="H22" s="247" t="str">
        <f>IF(F22="","",SUMIFS('ИТОГО Торговля'!$H$5:$H$300,'ИТОГО Торговля'!$B$5:$B$300,$B22)+SUMIFS('ИТОГО Лэндинг'!$H$5:$H$300,'ИТОГО Лэндинг'!$B$5:$B$300,$B22))</f>
        <v/>
      </c>
      <c r="I22" s="246" t="str">
        <f>IF($B22="","",IF(AND(C22="",F22=""),"",ROUND(SUMIFS('ИТОГО Торговля'!$I$5:$I$300,'ИТОГО Торговля'!$B$5:$B$300,$B22)+SUMIFS('ИТОГО Лэндинг'!$I$5:$I$300,'ИТОГО Лэндинг'!$B$5:$B$300,$B22),8)))</f>
        <v/>
      </c>
      <c r="J22" s="247" t="str">
        <f>IF($B22="","",IF(AND(C22="",F22=""),"",ROUND(SUMIFS('ИТОГО Торговля'!$J$5:$J$300,'ИТОГО Торговля'!$B$5:$B$300,$B22)+SUMIFS('ИТОГО Лэндинг'!$J$5:$J$300,'ИТОГО Лэндинг'!$B$5:$B$300,$B22),8)))</f>
        <v/>
      </c>
      <c r="K22" s="246" t="str">
        <f>IF(MIN(N(C22),N(F22))&lt;=0,"",ROUND(MIN(N(C22),N(F22))*(N(G22)-N(D22)),8))</f>
        <v/>
      </c>
      <c r="L22" s="183" t="str">
        <f>IF(MIN(N(C22),N(F22))&lt;=0,"",IF(N(D22)=0,"",ROUND((N(G22)/N(D22)-1)*100,2)))</f>
        <v/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/>
      </c>
      <c r="D23" s="177" t="str">
        <f>IF(C23="","",E23/C23)</f>
        <v/>
      </c>
      <c r="E23" s="241" t="str">
        <f>IF(C23="","",SUMIFS('ИТОГО Торговля'!$E$5:$E$300,'ИТОГО Торговля'!$B$5:$B$300,$B23)+SUMIFS('ИТОГО Лэндинг'!$E$5:$E$300,'ИТОГО Лэндинг'!$B$5:$B$300,$B23))</f>
        <v/>
      </c>
      <c r="F23" s="240" t="str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/>
      </c>
      <c r="G23" s="177" t="str">
        <f>IF(F23="","",H23/F23)</f>
        <v/>
      </c>
      <c r="H23" s="241" t="str">
        <f>IF(F23="","",SUMIFS('ИТОГО Торговля'!$H$5:$H$300,'ИТОГО Торговля'!$B$5:$B$300,$B23)+SUMIFS('ИТОГО Лэндинг'!$H$5:$H$300,'ИТОГО Лэндинг'!$B$5:$B$300,$B23))</f>
        <v/>
      </c>
      <c r="I23" s="240" t="str">
        <f>IF($B23="","",IF(AND(C23="",F23=""),"",ROUND(SUMIFS('ИТОГО Торговля'!$I$5:$I$300,'ИТОГО Торговля'!$B$5:$B$300,$B23)+SUMIFS('ИТОГО Лэндинг'!$I$5:$I$300,'ИТОГО Лэндинг'!$B$5:$B$300,$B23),8)))</f>
        <v/>
      </c>
      <c r="J23" s="241" t="str">
        <f>IF($B23="","",IF(AND(C23="",F23=""),"",ROUND(SUMIFS('ИТОГО Торговля'!$J$5:$J$300,'ИТОГО Торговля'!$B$5:$B$300,$B23)+SUMIFS('ИТОГО Лэндинг'!$J$5:$J$300,'ИТОГО Лэндинг'!$B$5:$B$300,$B23),8)))</f>
        <v/>
      </c>
      <c r="K23" s="240" t="str">
        <f>IF(MIN(N(C23),N(F23))&lt;=0,"",ROUND(MIN(N(C23),N(F23))*(N(G23)-N(D23)),8))</f>
        <v/>
      </c>
      <c r="L23" s="177" t="str">
        <f>IF(MIN(N(C23),N(F23))&lt;=0,"",IF(N(D23)=0,"",ROUND((N(G23)/N(D23)-1)*100,2)))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 t="str">
        <f>IF(C24="","",E24/C24)</f>
        <v/>
      </c>
      <c r="E24" s="247" t="str">
        <f>IF(C24="","",SUMIFS('ИТОГО Торговля'!$E$5:$E$300,'ИТОГО Торговля'!$B$5:$B$300,$B24)+SUMIFS('ИТОГО Лэндинг'!$E$5:$E$300,'ИТОГО Лэндинг'!$B$5:$B$300,$B24))</f>
        <v/>
      </c>
      <c r="F24" s="246" t="str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/>
      </c>
      <c r="G24" s="183" t="str">
        <f>IF(F24="","",H24/F24)</f>
        <v/>
      </c>
      <c r="H24" s="247" t="str">
        <f>IF(F24="","",SUMIFS('ИТОГО Торговля'!$H$5:$H$300,'ИТОГО Торговля'!$B$5:$B$300,$B24)+SUMIFS('ИТОГО Лэндинг'!$H$5:$H$300,'ИТОГО Лэндинг'!$B$5:$B$300,$B24))</f>
        <v/>
      </c>
      <c r="I24" s="246" t="str">
        <f>IF($B24="","",IF(AND(C24="",F24=""),"",ROUND(SUMIFS('ИТОГО Торговля'!$I$5:$I$300,'ИТОГО Торговля'!$B$5:$B$300,$B24)+SUMIFS('ИТОГО Лэндинг'!$I$5:$I$300,'ИТОГО Лэндинг'!$B$5:$B$300,$B24),8)))</f>
        <v/>
      </c>
      <c r="J24" s="247" t="str">
        <f>IF($B24="","",IF(AND(C24="",F24=""),"",ROUND(SUMIFS('ИТОГО Торговля'!$J$5:$J$300,'ИТОГО Торговля'!$B$5:$B$300,$B24)+SUMIFS('ИТОГО Лэндинг'!$J$5:$J$300,'ИТОГО Лэндинг'!$B$5:$B$300,$B24),8)))</f>
        <v/>
      </c>
      <c r="K24" s="246" t="str">
        <f>IF(MIN(N(C24),N(F24))&lt;=0,"",ROUND(MIN(N(C24),N(F24))*(N(G24)-N(D24)),8))</f>
        <v/>
      </c>
      <c r="L24" s="183" t="str">
        <f>IF(MIN(N(C24),N(F24))&lt;=0,"",IF(N(D24)=0,"",ROUND((N(G24)/N(D24)-1)*100,2)))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/>
      </c>
      <c r="D25" s="177" t="str">
        <f>IF(C25="","",E25/C25)</f>
        <v/>
      </c>
      <c r="E25" s="241" t="str">
        <f>IF(C25="","",SUMIFS('ИТОГО Торговля'!$E$5:$E$300,'ИТОГО Торговля'!$B$5:$B$300,$B25)+SUMIFS('ИТОГО Лэндинг'!$E$5:$E$300,'ИТОГО Лэндинг'!$B$5:$B$300,$B25))</f>
        <v/>
      </c>
      <c r="F25" s="240" t="str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/>
      </c>
      <c r="G25" s="177" t="str">
        <f>IF(F25="","",H25/F25)</f>
        <v/>
      </c>
      <c r="H25" s="241" t="str">
        <f>IF(F25="","",SUMIFS('ИТОГО Торговля'!$H$5:$H$300,'ИТОГО Торговля'!$B$5:$B$300,$B25)+SUMIFS('ИТОГО Лэндинг'!$H$5:$H$300,'ИТОГО Лэндинг'!$B$5:$B$300,$B25))</f>
        <v/>
      </c>
      <c r="I25" s="240" t="str">
        <f>IF($B25="","",IF(AND(C25="",F25=""),"",ROUND(SUMIFS('ИТОГО Торговля'!$I$5:$I$300,'ИТОГО Торговля'!$B$5:$B$300,$B25)+SUMIFS('ИТОГО Лэндинг'!$I$5:$I$300,'ИТОГО Лэндинг'!$B$5:$B$300,$B25),8)))</f>
        <v/>
      </c>
      <c r="J25" s="241" t="str">
        <f>IF($B25="","",IF(AND(C25="",F25=""),"",ROUND(SUMIFS('ИТОГО Торговля'!$J$5:$J$300,'ИТОГО Торговля'!$B$5:$B$300,$B25)+SUMIFS('ИТОГО Лэндинг'!$J$5:$J$300,'ИТОГО Лэндинг'!$B$5:$B$300,$B25),8)))</f>
        <v/>
      </c>
      <c r="K25" s="240" t="str">
        <f>IF(MIN(N(C25),N(F25))&lt;=0,"",ROUND(MIN(N(C25),N(F25))*(N(G25)-N(D25)),8))</f>
        <v/>
      </c>
      <c r="L25" s="177" t="str">
        <f>IF(MIN(N(C25),N(F25))&lt;=0,"",IF(N(D25)=0,"",ROUND((N(G25)/N(D25)-1)*100,2)))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 t="str">
        <f>IF(C26="","",E26/C26)</f>
        <v/>
      </c>
      <c r="E26" s="247" t="str">
        <f>IF(C26="","",SUMIFS('ИТОГО Торговля'!$E$5:$E$300,'ИТОГО Торговля'!$B$5:$B$300,$B26)+SUMIFS('ИТОГО Лэндинг'!$E$5:$E$300,'ИТОГО Лэндинг'!$B$5:$B$300,$B26))</f>
        <v/>
      </c>
      <c r="F26" s="246" t="str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 t="str">
        <f>IF(F26="","",H26/F26)</f>
        <v/>
      </c>
      <c r="H26" s="247" t="str">
        <f>IF(F26="","",SUMIFS('ИТОГО Торговля'!$H$5:$H$300,'ИТОГО Торговля'!$B$5:$B$300,$B26)+SUMIFS('ИТОГО Лэндинг'!$H$5:$H$300,'ИТОГО Лэндинг'!$B$5:$B$300,$B26))</f>
        <v/>
      </c>
      <c r="I26" s="246" t="str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 t="str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 t="str">
        <f>IF(MIN(N(C26),N(F26))&lt;=0,"",ROUND(MIN(N(C26),N(F26))*(N(G26)-N(D26)),8))</f>
        <v/>
      </c>
      <c r="L26" s="183" t="str">
        <f>IF(MIN(N(C26),N(F26))&lt;=0,"",IF(N(D26)=0,"",ROUND((N(G26)/N(D26)-1)*100,2)))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 t="str">
        <f>IF(C27="","",E27/C27)</f>
        <v/>
      </c>
      <c r="E27" s="241" t="str">
        <f>IF(C27="","",SUMIFS('ИТОГО Торговля'!$E$5:$E$300,'ИТОГО Торговля'!$B$5:$B$300,$B27)+SUMIFS('ИТОГО Лэндинг'!$E$5:$E$300,'ИТОГО Лэндинг'!$B$5:$B$300,$B27))</f>
        <v/>
      </c>
      <c r="F27" s="240" t="str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 t="str">
        <f>IF(F27="","",H27/F27)</f>
        <v/>
      </c>
      <c r="H27" s="241" t="str">
        <f>IF(F27="","",SUMIFS('ИТОГО Торговля'!$H$5:$H$300,'ИТОГО Торговля'!$B$5:$B$300,$B27)+SUMIFS('ИТОГО Лэндинг'!$H$5:$H$300,'ИТОГО Лэндинг'!$B$5:$B$300,$B27))</f>
        <v/>
      </c>
      <c r="I27" s="240" t="str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 t="str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 t="str">
        <f>IF(MIN(N(C27),N(F27))&lt;=0,"",ROUND(MIN(N(C27),N(F27))*(N(G27)-N(D27)),8))</f>
        <v/>
      </c>
      <c r="L27" s="177" t="str">
        <f>IF(MIN(N(C27),N(F27))&lt;=0,"",IF(N(D27)=0,"",ROUND((N(G27)/N(D27)-1)*100,2)))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 t="str">
        <f>IF(C28="","",E28/C28)</f>
        <v/>
      </c>
      <c r="E28" s="247" t="str">
        <f>IF(C28="","",SUMIFS('ИТОГО Торговля'!$E$5:$E$300,'ИТОГО Торговля'!$B$5:$B$300,$B28)+SUMIFS('ИТОГО Лэндинг'!$E$5:$E$300,'ИТОГО Лэндинг'!$B$5:$B$300,$B28))</f>
        <v/>
      </c>
      <c r="F28" s="246" t="str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 t="str">
        <f>IF(F28="","",H28/F28)</f>
        <v/>
      </c>
      <c r="H28" s="247" t="str">
        <f>IF(F28="","",SUMIFS('ИТОГО Торговля'!$H$5:$H$300,'ИТОГО Торговля'!$B$5:$B$300,$B28)+SUMIFS('ИТОГО Лэндинг'!$H$5:$H$300,'ИТОГО Лэндинг'!$B$5:$B$300,$B28))</f>
        <v/>
      </c>
      <c r="I28" s="246" t="str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 t="str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 t="str">
        <f>IF(MIN(N(C28),N(F28))&lt;=0,"",ROUND(MIN(N(C28),N(F28))*(N(G28)-N(D28)),8))</f>
        <v/>
      </c>
      <c r="L28" s="183" t="str">
        <f>IF(MIN(N(C28),N(F28))&lt;=0,"",IF(N(D28)=0,"",ROUND((N(G28)/N(D28)-1)*100,2)))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 t="str">
        <f>IF(C29="","",E29/C29)</f>
        <v/>
      </c>
      <c r="E29" s="241" t="str">
        <f>IF(C29="","",SUMIFS('ИТОГО Торговля'!$E$5:$E$300,'ИТОГО Торговля'!$B$5:$B$300,$B29)+SUMIFS('ИТОГО Лэндинг'!$E$5:$E$300,'ИТОГО Лэндинг'!$B$5:$B$300,$B29))</f>
        <v/>
      </c>
      <c r="F29" s="240" t="str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 t="str">
        <f>IF(F29="","",H29/F29)</f>
        <v/>
      </c>
      <c r="H29" s="241" t="str">
        <f>IF(F29="","",SUMIFS('ИТОГО Торговля'!$H$5:$H$300,'ИТОГО Торговля'!$B$5:$B$300,$B29)+SUMIFS('ИТОГО Лэндинг'!$H$5:$H$300,'ИТОГО Лэндинг'!$B$5:$B$300,$B29))</f>
        <v/>
      </c>
      <c r="I29" s="240" t="str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 t="str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 t="str">
        <f>IF(MIN(N(C29),N(F29))&lt;=0,"",ROUND(MIN(N(C29),N(F29))*(N(G29)-N(D29)),8))</f>
        <v/>
      </c>
      <c r="L29" s="177" t="str">
        <f>IF(MIN(N(C29),N(F29))&lt;=0,"",IF(N(D29)=0,"",ROUND((N(G29)/N(D29)-1)*100,2)))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 t="str">
        <f>IF(C30="","",E30/C30)</f>
        <v/>
      </c>
      <c r="E30" s="247" t="str">
        <f>IF(C30="","",SUMIFS('ИТОГО Торговля'!$E$5:$E$300,'ИТОГО Торговля'!$B$5:$B$300,$B30)+SUMIFS('ИТОГО Лэндинг'!$E$5:$E$300,'ИТОГО Лэндинг'!$B$5:$B$300,$B30))</f>
        <v/>
      </c>
      <c r="F30" s="246" t="str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 t="str">
        <f>IF(F30="","",H30/F30)</f>
        <v/>
      </c>
      <c r="H30" s="247" t="str">
        <f>IF(F30="","",SUMIFS('ИТОГО Торговля'!$H$5:$H$300,'ИТОГО Торговля'!$B$5:$B$300,$B30)+SUMIFS('ИТОГО Лэндинг'!$H$5:$H$300,'ИТОГО Лэндинг'!$B$5:$B$300,$B30))</f>
        <v/>
      </c>
      <c r="I30" s="246" t="str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 t="str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 t="str">
        <f>IF(MIN(N(C30),N(F30))&lt;=0,"",ROUND(MIN(N(C30),N(F30))*(N(G30)-N(D30)),8))</f>
        <v/>
      </c>
      <c r="L30" s="183" t="str">
        <f>IF(MIN(N(C30),N(F30))&lt;=0,"",IF(N(D30)=0,"",ROUND((N(G30)/N(D30)-1)*100,2)))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 t="str">
        <f>IF(C31="","",E31/C31)</f>
        <v/>
      </c>
      <c r="E31" s="241" t="str">
        <f>IF(C31="","",SUMIFS('ИТОГО Торговля'!$E$5:$E$300,'ИТОГО Торговля'!$B$5:$B$300,$B31)+SUMIFS('ИТОГО Лэндинг'!$E$5:$E$300,'ИТОГО Лэндинг'!$B$5:$B$300,$B31))</f>
        <v/>
      </c>
      <c r="F31" s="240" t="str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 t="str">
        <f>IF(F31="","",H31/F31)</f>
        <v/>
      </c>
      <c r="H31" s="241" t="str">
        <f>IF(F31="","",SUMIFS('ИТОГО Торговля'!$H$5:$H$300,'ИТОГО Торговля'!$B$5:$B$300,$B31)+SUMIFS('ИТОГО Лэндинг'!$H$5:$H$300,'ИТОГО Лэндинг'!$B$5:$B$300,$B31))</f>
        <v/>
      </c>
      <c r="I31" s="240" t="str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 t="str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 t="str">
        <f>IF(MIN(N(C31),N(F31))&lt;=0,"",ROUND(MIN(N(C31),N(F31))*(N(G31)-N(D31)),8))</f>
        <v/>
      </c>
      <c r="L31" s="177" t="str">
        <f>IF(MIN(N(C31),N(F31))&lt;=0,"",IF(N(D31)=0,"",ROUND((N(G31)/N(D31)-1)*100,2)))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 t="str">
        <f>IF(C32="","",E32/C32)</f>
        <v/>
      </c>
      <c r="E32" s="247" t="str">
        <f>IF(C32="","",SUMIFS('ИТОГО Торговля'!$E$5:$E$300,'ИТОГО Торговля'!$B$5:$B$300,$B32)+SUMIFS('ИТОГО Лэндинг'!$E$5:$E$300,'ИТОГО Лэндинг'!$B$5:$B$300,$B32))</f>
        <v/>
      </c>
      <c r="F32" s="246" t="str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 t="str">
        <f>IF(F32="","",H32/F32)</f>
        <v/>
      </c>
      <c r="H32" s="247" t="str">
        <f>IF(F32="","",SUMIFS('ИТОГО Торговля'!$H$5:$H$300,'ИТОГО Торговля'!$B$5:$B$300,$B32)+SUMIFS('ИТОГО Лэндинг'!$H$5:$H$300,'ИТОГО Лэндинг'!$B$5:$B$300,$B32))</f>
        <v/>
      </c>
      <c r="I32" s="246" t="str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 t="str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 t="str">
        <f>IF(MIN(N(C32),N(F32))&lt;=0,"",ROUND(MIN(N(C32),N(F32))*(N(G32)-N(D32)),8))</f>
        <v/>
      </c>
      <c r="L32" s="183" t="str">
        <f>IF(MIN(N(C32),N(F32))&lt;=0,"",IF(N(D32)=0,"",ROUND((N(G32)/N(D32)-1)*100,2)))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 t="str">
        <f>IF(C33="","",E33/C33)</f>
        <v/>
      </c>
      <c r="E33" s="241" t="str">
        <f>IF(C33="","",SUMIFS('ИТОГО Торговля'!$E$5:$E$300,'ИТОГО Торговля'!$B$5:$B$300,$B33)+SUMIFS('ИТОГО Лэндинг'!$E$5:$E$300,'ИТОГО Лэндинг'!$B$5:$B$300,$B33))</f>
        <v/>
      </c>
      <c r="F33" s="240" t="str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 t="str">
        <f>IF(F33="","",H33/F33)</f>
        <v/>
      </c>
      <c r="H33" s="241" t="str">
        <f>IF(F33="","",SUMIFS('ИТОГО Торговля'!$H$5:$H$300,'ИТОГО Торговля'!$B$5:$B$300,$B33)+SUMIFS('ИТОГО Лэндинг'!$H$5:$H$300,'ИТОГО Лэндинг'!$B$5:$B$300,$B33))</f>
        <v/>
      </c>
      <c r="I33" s="240" t="str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 t="str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 t="str">
        <f>IF(MIN(N(C33),N(F33))&lt;=0,"",ROUND(MIN(N(C33),N(F33))*(N(G33)-N(D33)),8))</f>
        <v/>
      </c>
      <c r="L33" s="177" t="str">
        <f>IF(MIN(N(C33),N(F33))&lt;=0,"",IF(N(D33)=0,"",ROUND((N(G33)/N(D33)-1)*100,2)))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 t="str">
        <f>IF(C34="","",E34/C34)</f>
        <v/>
      </c>
      <c r="E34" s="247" t="str">
        <f>IF(C34="","",SUMIFS('ИТОГО Торговля'!$E$5:$E$300,'ИТОГО Торговля'!$B$5:$B$300,$B34)+SUMIFS('ИТОГО Лэндинг'!$E$5:$E$300,'ИТОГО Лэндинг'!$B$5:$B$300,$B34))</f>
        <v/>
      </c>
      <c r="F34" s="246" t="str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 t="str">
        <f>IF(F34="","",H34/F34)</f>
        <v/>
      </c>
      <c r="H34" s="247" t="str">
        <f>IF(F34="","",SUMIFS('ИТОГО Торговля'!$H$5:$H$300,'ИТОГО Торговля'!$B$5:$B$300,$B34)+SUMIFS('ИТОГО Лэндинг'!$H$5:$H$300,'ИТОГО Лэндинг'!$B$5:$B$300,$B34))</f>
        <v/>
      </c>
      <c r="I34" s="246" t="str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 t="str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 t="str">
        <f>IF(MIN(N(C34),N(F34))&lt;=0,"",ROUND(MIN(N(C34),N(F34))*(N(G34)-N(D34)),8))</f>
        <v/>
      </c>
      <c r="L34" s="183" t="str">
        <f>IF(MIN(N(C34),N(F34))&lt;=0,"",IF(N(D34)=0,"",ROUND((N(G34)/N(D34)-1)*100,2)))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 t="str">
        <f>IF(C35="","",E35/C35)</f>
        <v/>
      </c>
      <c r="E35" s="241" t="str">
        <f>IF(C35="","",SUMIFS('ИТОГО Торговля'!$E$5:$E$300,'ИТОГО Торговля'!$B$5:$B$300,$B35)+SUMIFS('ИТОГО Лэндинг'!$E$5:$E$300,'ИТОГО Лэндинг'!$B$5:$B$300,$B35))</f>
        <v/>
      </c>
      <c r="F35" s="240" t="str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 t="str">
        <f>IF(F35="","",H35/F35)</f>
        <v/>
      </c>
      <c r="H35" s="241" t="str">
        <f>IF(F35="","",SUMIFS('ИТОГО Торговля'!$H$5:$H$300,'ИТОГО Торговля'!$B$5:$B$300,$B35)+SUMIFS('ИТОГО Лэндинг'!$H$5:$H$300,'ИТОГО Лэндинг'!$B$5:$B$300,$B35))</f>
        <v/>
      </c>
      <c r="I35" s="240" t="str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 t="str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 t="str">
        <f>IF(MIN(N(C35),N(F35))&lt;=0,"",ROUND(MIN(N(C35),N(F35))*(N(G35)-N(D35)),8))</f>
        <v/>
      </c>
      <c r="L35" s="177" t="str">
        <f>IF(MIN(N(C35),N(F35))&lt;=0,"",IF(N(D35)=0,"",ROUND((N(G35)/N(D35)-1)*100,2)))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 t="str">
        <f>IF(C36="","",E36/C36)</f>
        <v/>
      </c>
      <c r="E36" s="247" t="str">
        <f>IF(C36="","",SUMIFS('ИТОГО Торговля'!$E$5:$E$300,'ИТОГО Торговля'!$B$5:$B$300,$B36)+SUMIFS('ИТОГО Лэндинг'!$E$5:$E$300,'ИТОГО Лэндинг'!$B$5:$B$300,$B36))</f>
        <v/>
      </c>
      <c r="F36" s="246" t="str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 t="str">
        <f>IF(F36="","",H36/F36)</f>
        <v/>
      </c>
      <c r="H36" s="247" t="str">
        <f>IF(F36="","",SUMIFS('ИТОГО Торговля'!$H$5:$H$300,'ИТОГО Торговля'!$B$5:$B$300,$B36)+SUMIFS('ИТОГО Лэндинг'!$H$5:$H$300,'ИТОГО Лэндинг'!$B$5:$B$300,$B36))</f>
        <v/>
      </c>
      <c r="I36" s="246" t="str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 t="str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 t="str">
        <f>IF(MIN(N(C36),N(F36))&lt;=0,"",ROUND(MIN(N(C36),N(F36))*(N(G36)-N(D36)),8))</f>
        <v/>
      </c>
      <c r="L36" s="183" t="str">
        <f>IF(MIN(N(C36),N(F36))&lt;=0,"",IF(N(D36)=0,"",ROUND((N(G36)/N(D36)-1)*100,2)))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 t="str">
        <f>IF(C37="","",E37/C37)</f>
        <v/>
      </c>
      <c r="E37" s="241" t="str">
        <f>IF(C37="","",SUMIFS('ИТОГО Торговля'!$E$5:$E$300,'ИТОГО Торговля'!$B$5:$B$300,$B37)+SUMIFS('ИТОГО Лэндинг'!$E$5:$E$300,'ИТОГО Лэндинг'!$B$5:$B$300,$B37))</f>
        <v/>
      </c>
      <c r="F37" s="240" t="str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 t="str">
        <f>IF(F37="","",H37/F37)</f>
        <v/>
      </c>
      <c r="H37" s="241" t="str">
        <f>IF(F37="","",SUMIFS('ИТОГО Торговля'!$H$5:$H$300,'ИТОГО Торговля'!$B$5:$B$300,$B37)+SUMIFS('ИТОГО Лэндинг'!$H$5:$H$300,'ИТОГО Лэндинг'!$B$5:$B$300,$B37))</f>
        <v/>
      </c>
      <c r="I37" s="240" t="str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 t="str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 t="str">
        <f>IF(MIN(N(C37),N(F37))&lt;=0,"",ROUND(MIN(N(C37),N(F37))*(N(G37)-N(D37)),8))</f>
        <v/>
      </c>
      <c r="L37" s="177" t="str">
        <f>IF(MIN(N(C37),N(F37))&lt;=0,"",IF(N(D37)=0,"",ROUND((N(G37)/N(D37)-1)*100,2)))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 t="str">
        <f>IF(C38="","",E38/C38)</f>
        <v/>
      </c>
      <c r="E38" s="247" t="str">
        <f>IF(C38="","",SUMIFS('ИТОГО Торговля'!$E$5:$E$300,'ИТОГО Торговля'!$B$5:$B$300,$B38)+SUMIFS('ИТОГО Лэндинг'!$E$5:$E$300,'ИТОГО Лэндинг'!$B$5:$B$300,$B38))</f>
        <v/>
      </c>
      <c r="F38" s="246" t="str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 t="str">
        <f>IF(F38="","",H38/F38)</f>
        <v/>
      </c>
      <c r="H38" s="247" t="str">
        <f>IF(F38="","",SUMIFS('ИТОГО Торговля'!$H$5:$H$300,'ИТОГО Торговля'!$B$5:$B$300,$B38)+SUMIFS('ИТОГО Лэндинг'!$H$5:$H$300,'ИТОГО Лэндинг'!$B$5:$B$300,$B38))</f>
        <v/>
      </c>
      <c r="I38" s="246" t="str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 t="str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 t="str">
        <f>IF(MIN(N(C38),N(F38))&lt;=0,"",ROUND(MIN(N(C38),N(F38))*(N(G38)-N(D38)),8))</f>
        <v/>
      </c>
      <c r="L38" s="183" t="str">
        <f>IF(MIN(N(C38),N(F38))&lt;=0,"",IF(N(D38)=0,"",ROUND((N(G38)/N(D38)-1)*100,2)))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 t="str">
        <f>IF(C39="","",E39/C39)</f>
        <v/>
      </c>
      <c r="E39" s="241" t="str">
        <f>IF(C39="","",SUMIFS('ИТОГО Торговля'!$E$5:$E$300,'ИТОГО Торговля'!$B$5:$B$300,$B39)+SUMIFS('ИТОГО Лэндинг'!$E$5:$E$300,'ИТОГО Лэндинг'!$B$5:$B$300,$B39))</f>
        <v/>
      </c>
      <c r="F39" s="240" t="str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 t="str">
        <f>IF(F39="","",H39/F39)</f>
        <v/>
      </c>
      <c r="H39" s="241" t="str">
        <f>IF(F39="","",SUMIFS('ИТОГО Торговля'!$H$5:$H$300,'ИТОГО Торговля'!$B$5:$B$300,$B39)+SUMIFS('ИТОГО Лэндинг'!$H$5:$H$300,'ИТОГО Лэндинг'!$B$5:$B$300,$B39))</f>
        <v/>
      </c>
      <c r="I39" s="240" t="str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 t="str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 t="str">
        <f>IF(MIN(N(C39),N(F39))&lt;=0,"",ROUND(MIN(N(C39),N(F39))*(N(G39)-N(D39)),8))</f>
        <v/>
      </c>
      <c r="L39" s="177" t="str">
        <f>IF(MIN(N(C39),N(F39))&lt;=0,"",IF(N(D39)=0,"",ROUND((N(G39)/N(D39)-1)*100,2)))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 t="str">
        <f>IF(C40="","",E40/C40)</f>
        <v/>
      </c>
      <c r="E40" s="247" t="str">
        <f>IF(C40="","",SUMIFS('ИТОГО Торговля'!$E$5:$E$300,'ИТОГО Торговля'!$B$5:$B$300,$B40)+SUMIFS('ИТОГО Лэндинг'!$E$5:$E$300,'ИТОГО Лэндинг'!$B$5:$B$300,$B40))</f>
        <v/>
      </c>
      <c r="F40" s="246" t="str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 t="str">
        <f>IF(F40="","",H40/F40)</f>
        <v/>
      </c>
      <c r="H40" s="247" t="str">
        <f>IF(F40="","",SUMIFS('ИТОГО Торговля'!$H$5:$H$300,'ИТОГО Торговля'!$B$5:$B$300,$B40)+SUMIFS('ИТОГО Лэндинг'!$H$5:$H$300,'ИТОГО Лэндинг'!$B$5:$B$300,$B40))</f>
        <v/>
      </c>
      <c r="I40" s="246" t="str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 t="str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 t="str">
        <f>IF(MIN(N(C40),N(F40))&lt;=0,"",ROUND(MIN(N(C40),N(F40))*(N(G40)-N(D40)),8))</f>
        <v/>
      </c>
      <c r="L40" s="183" t="str">
        <f>IF(MIN(N(C40),N(F40))&lt;=0,"",IF(N(D40)=0,"",ROUND((N(G40)/N(D40)-1)*100,2)))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 t="str">
        <f>IF(C41="","",E41/C41)</f>
        <v/>
      </c>
      <c r="E41" s="241" t="str">
        <f>IF(C41="","",SUMIFS('ИТОГО Торговля'!$E$5:$E$300,'ИТОГО Торговля'!$B$5:$B$300,$B41)+SUMIFS('ИТОГО Лэндинг'!$E$5:$E$300,'ИТОГО Лэндинг'!$B$5:$B$300,$B41))</f>
        <v/>
      </c>
      <c r="F41" s="240" t="str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 t="str">
        <f>IF(F41="","",H41/F41)</f>
        <v/>
      </c>
      <c r="H41" s="241" t="str">
        <f>IF(F41="","",SUMIFS('ИТОГО Торговля'!$H$5:$H$300,'ИТОГО Торговля'!$B$5:$B$300,$B41)+SUMIFS('ИТОГО Лэндинг'!$H$5:$H$300,'ИТОГО Лэндинг'!$B$5:$B$300,$B41))</f>
        <v/>
      </c>
      <c r="I41" s="240" t="str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 t="str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 t="str">
        <f>IF(MIN(N(C41),N(F41))&lt;=0,"",ROUND(MIN(N(C41),N(F41))*(N(G41)-N(D41)),8))</f>
        <v/>
      </c>
      <c r="L41" s="177" t="str">
        <f>IF(MIN(N(C41),N(F41))&lt;=0,"",IF(N(D41)=0,"",ROUND((N(G41)/N(D41)-1)*100,2)))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 t="str">
        <f>IF(C42="","",E42/C42)</f>
        <v/>
      </c>
      <c r="E42" s="247" t="str">
        <f>IF(C42="","",SUMIFS('ИТОГО Торговля'!$E$5:$E$300,'ИТОГО Торговля'!$B$5:$B$300,$B42)+SUMIFS('ИТОГО Лэндинг'!$E$5:$E$300,'ИТОГО Лэндинг'!$B$5:$B$300,$B42))</f>
        <v/>
      </c>
      <c r="F42" s="246" t="str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 t="str">
        <f>IF(F42="","",H42/F42)</f>
        <v/>
      </c>
      <c r="H42" s="247" t="str">
        <f>IF(F42="","",SUMIFS('ИТОГО Торговля'!$H$5:$H$300,'ИТОГО Торговля'!$B$5:$B$300,$B42)+SUMIFS('ИТОГО Лэндинг'!$H$5:$H$300,'ИТОГО Лэндинг'!$B$5:$B$300,$B42))</f>
        <v/>
      </c>
      <c r="I42" s="246" t="str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 t="str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 t="str">
        <f>IF(MIN(N(C42),N(F42))&lt;=0,"",ROUND(MIN(N(C42),N(F42))*(N(G42)-N(D42)),8))</f>
        <v/>
      </c>
      <c r="L42" s="183" t="str">
        <f>IF(MIN(N(C42),N(F42))&lt;=0,"",IF(N(D42)=0,"",ROUND((N(G42)/N(D42)-1)*100,2)))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 t="str">
        <f>IF(C43="","",E43/C43)</f>
        <v/>
      </c>
      <c r="E43" s="241" t="str">
        <f>IF(C43="","",SUMIFS('ИТОГО Торговля'!$E$5:$E$300,'ИТОГО Торговля'!$B$5:$B$300,$B43)+SUMIFS('ИТОГО Лэндинг'!$E$5:$E$300,'ИТОГО Лэндинг'!$B$5:$B$300,$B43))</f>
        <v/>
      </c>
      <c r="F43" s="240" t="str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 t="str">
        <f>IF(F43="","",H43/F43)</f>
        <v/>
      </c>
      <c r="H43" s="241" t="str">
        <f>IF(F43="","",SUMIFS('ИТОГО Торговля'!$H$5:$H$300,'ИТОГО Торговля'!$B$5:$B$300,$B43)+SUMIFS('ИТОГО Лэндинг'!$H$5:$H$300,'ИТОГО Лэндинг'!$B$5:$B$300,$B43))</f>
        <v/>
      </c>
      <c r="I43" s="240" t="str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 t="str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 t="str">
        <f>IF(MIN(N(C43),N(F43))&lt;=0,"",ROUND(MIN(N(C43),N(F43))*(N(G43)-N(D43)),8))</f>
        <v/>
      </c>
      <c r="L43" s="177" t="str">
        <f>IF(MIN(N(C43),N(F43))&lt;=0,"",IF(N(D43)=0,"",ROUND((N(G43)/N(D43)-1)*100,2)))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 t="str">
        <f>IF(C44="","",E44/C44)</f>
        <v/>
      </c>
      <c r="E44" s="247" t="str">
        <f>IF(C44="","",SUMIFS('ИТОГО Торговля'!$E$5:$E$300,'ИТОГО Торговля'!$B$5:$B$300,$B44)+SUMIFS('ИТОГО Лэндинг'!$E$5:$E$300,'ИТОГО Лэндинг'!$B$5:$B$300,$B44))</f>
        <v/>
      </c>
      <c r="F44" s="246" t="str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 t="str">
        <f>IF(F44="","",H44/F44)</f>
        <v/>
      </c>
      <c r="H44" s="247" t="str">
        <f>IF(F44="","",SUMIFS('ИТОГО Торговля'!$H$5:$H$300,'ИТОГО Торговля'!$B$5:$B$300,$B44)+SUMIFS('ИТОГО Лэндинг'!$H$5:$H$300,'ИТОГО Лэндинг'!$B$5:$B$300,$B44))</f>
        <v/>
      </c>
      <c r="I44" s="246" t="str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 t="str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 t="str">
        <f>IF(MIN(N(C44),N(F44))&lt;=0,"",ROUND(MIN(N(C44),N(F44))*(N(G44)-N(D44)),8))</f>
        <v/>
      </c>
      <c r="L44" s="183" t="str">
        <f>IF(MIN(N(C44),N(F44))&lt;=0,"",IF(N(D44)=0,"",ROUND((N(G44)/N(D44)-1)*100,2)))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 t="str">
        <f>IF(C45="","",E45/C45)</f>
        <v/>
      </c>
      <c r="E45" s="241" t="str">
        <f>IF(C45="","",SUMIFS('ИТОГО Торговля'!$E$5:$E$300,'ИТОГО Торговля'!$B$5:$B$300,$B45)+SUMIFS('ИТОГО Лэндинг'!$E$5:$E$300,'ИТОГО Лэндинг'!$B$5:$B$300,$B45))</f>
        <v/>
      </c>
      <c r="F45" s="240" t="str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 t="str">
        <f>IF(F45="","",H45/F45)</f>
        <v/>
      </c>
      <c r="H45" s="241" t="str">
        <f>IF(F45="","",SUMIFS('ИТОГО Торговля'!$H$5:$H$300,'ИТОГО Торговля'!$B$5:$B$300,$B45)+SUMIFS('ИТОГО Лэндинг'!$H$5:$H$300,'ИТОГО Лэндинг'!$B$5:$B$300,$B45))</f>
        <v/>
      </c>
      <c r="I45" s="240" t="str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 t="str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 t="str">
        <f>IF(MIN(N(C45),N(F45))&lt;=0,"",ROUND(MIN(N(C45),N(F45))*(N(G45)-N(D45)),8))</f>
        <v/>
      </c>
      <c r="L45" s="177" t="str">
        <f>IF(MIN(N(C45),N(F45))&lt;=0,"",IF(N(D45)=0,"",ROUND((N(G45)/N(D45)-1)*100,2)))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 t="str">
        <f>IF(C46="","",E46/C46)</f>
        <v/>
      </c>
      <c r="E46" s="247" t="str">
        <f>IF(C46="","",SUMIFS('ИТОГО Торговля'!$E$5:$E$300,'ИТОГО Торговля'!$B$5:$B$300,$B46)+SUMIFS('ИТОГО Лэндинг'!$E$5:$E$300,'ИТОГО Лэндинг'!$B$5:$B$300,$B46))</f>
        <v/>
      </c>
      <c r="F46" s="246" t="str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 t="str">
        <f>IF(F46="","",H46/F46)</f>
        <v/>
      </c>
      <c r="H46" s="247" t="str">
        <f>IF(F46="","",SUMIFS('ИТОГО Торговля'!$H$5:$H$300,'ИТОГО Торговля'!$B$5:$B$300,$B46)+SUMIFS('ИТОГО Лэндинг'!$H$5:$H$300,'ИТОГО Лэндинг'!$B$5:$B$300,$B46))</f>
        <v/>
      </c>
      <c r="I46" s="246" t="str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 t="str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 t="str">
        <f>IF(MIN(N(C46),N(F46))&lt;=0,"",ROUND(MIN(N(C46),N(F46))*(N(G46)-N(D46)),8))</f>
        <v/>
      </c>
      <c r="L46" s="183" t="str">
        <f>IF(MIN(N(C46),N(F46))&lt;=0,"",IF(N(D46)=0,"",ROUND((N(G46)/N(D46)-1)*100,2)))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 t="str">
        <f>IF(C47="","",E47/C47)</f>
        <v/>
      </c>
      <c r="E47" s="241" t="str">
        <f>IF(C47="","",SUMIFS('ИТОГО Торговля'!$E$5:$E$300,'ИТОГО Торговля'!$B$5:$B$300,$B47)+SUMIFS('ИТОГО Лэндинг'!$E$5:$E$300,'ИТОГО Лэндинг'!$B$5:$B$300,$B47))</f>
        <v/>
      </c>
      <c r="F47" s="240" t="str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 t="str">
        <f>IF(F47="","",H47/F47)</f>
        <v/>
      </c>
      <c r="H47" s="241" t="str">
        <f>IF(F47="","",SUMIFS('ИТОГО Торговля'!$H$5:$H$300,'ИТОГО Торговля'!$B$5:$B$300,$B47)+SUMIFS('ИТОГО Лэндинг'!$H$5:$H$300,'ИТОГО Лэндинг'!$B$5:$B$300,$B47))</f>
        <v/>
      </c>
      <c r="I47" s="240" t="str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 t="str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 t="str">
        <f>IF(MIN(N(C47),N(F47))&lt;=0,"",ROUND(MIN(N(C47),N(F47))*(N(G47)-N(D47)),8))</f>
        <v/>
      </c>
      <c r="L47" s="177" t="str">
        <f>IF(MIN(N(C47),N(F47))&lt;=0,"",IF(N(D47)=0,"",ROUND((N(G47)/N(D47)-1)*100,2)))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 t="str">
        <f>IF(C48="","",E48/C48)</f>
        <v/>
      </c>
      <c r="E48" s="247" t="str">
        <f>IF(C48="","",SUMIFS('ИТОГО Торговля'!$E$5:$E$300,'ИТОГО Торговля'!$B$5:$B$300,$B48)+SUMIFS('ИТОГО Лэндинг'!$E$5:$E$300,'ИТОГО Лэндинг'!$B$5:$B$300,$B48))</f>
        <v/>
      </c>
      <c r="F48" s="246" t="str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 t="str">
        <f>IF(F48="","",H48/F48)</f>
        <v/>
      </c>
      <c r="H48" s="247" t="str">
        <f>IF(F48="","",SUMIFS('ИТОГО Торговля'!$H$5:$H$300,'ИТОГО Торговля'!$B$5:$B$300,$B48)+SUMIFS('ИТОГО Лэндинг'!$H$5:$H$300,'ИТОГО Лэндинг'!$B$5:$B$300,$B48))</f>
        <v/>
      </c>
      <c r="I48" s="246" t="str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 t="str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 t="str">
        <f>IF(MIN(N(C48),N(F48))&lt;=0,"",ROUND(MIN(N(C48),N(F48))*(N(G48)-N(D48)),8))</f>
        <v/>
      </c>
      <c r="L48" s="183" t="str">
        <f>IF(MIN(N(C48),N(F48))&lt;=0,"",IF(N(D48)=0,"",ROUND((N(G48)/N(D48)-1)*100,2)))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 t="str">
        <f>IF(C49="","",E49/C49)</f>
        <v/>
      </c>
      <c r="E49" s="241" t="str">
        <f>IF(C49="","",SUMIFS('ИТОГО Торговля'!$E$5:$E$300,'ИТОГО Торговля'!$B$5:$B$300,$B49)+SUMIFS('ИТОГО Лэндинг'!$E$5:$E$300,'ИТОГО Лэндинг'!$B$5:$B$300,$B49))</f>
        <v/>
      </c>
      <c r="F49" s="240" t="str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 t="str">
        <f>IF(F49="","",H49/F49)</f>
        <v/>
      </c>
      <c r="H49" s="241" t="str">
        <f>IF(F49="","",SUMIFS('ИТОГО Торговля'!$H$5:$H$300,'ИТОГО Торговля'!$B$5:$B$300,$B49)+SUMIFS('ИТОГО Лэндинг'!$H$5:$H$300,'ИТОГО Лэндинг'!$B$5:$B$300,$B49))</f>
        <v/>
      </c>
      <c r="I49" s="240" t="str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 t="str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 t="str">
        <f>IF(MIN(N(C49),N(F49))&lt;=0,"",ROUND(MIN(N(C49),N(F49))*(N(G49)-N(D49)),8))</f>
        <v/>
      </c>
      <c r="L49" s="177" t="str">
        <f>IF(MIN(N(C49),N(F49))&lt;=0,"",IF(N(D49)=0,"",ROUND((N(G49)/N(D49)-1)*100,2)))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 t="str">
        <f>IF(C50="","",E50/C50)</f>
        <v/>
      </c>
      <c r="E50" s="247" t="str">
        <f>IF(C50="","",SUMIFS('ИТОГО Торговля'!$E$5:$E$300,'ИТОГО Торговля'!$B$5:$B$300,$B50)+SUMIFS('ИТОГО Лэндинг'!$E$5:$E$300,'ИТОГО Лэндинг'!$B$5:$B$300,$B50))</f>
        <v/>
      </c>
      <c r="F50" s="246" t="str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 t="str">
        <f>IF(F50="","",H50/F50)</f>
        <v/>
      </c>
      <c r="H50" s="247" t="str">
        <f>IF(F50="","",SUMIFS('ИТОГО Торговля'!$H$5:$H$300,'ИТОГО Торговля'!$B$5:$B$300,$B50)+SUMIFS('ИТОГО Лэндинг'!$H$5:$H$300,'ИТОГО Лэндинг'!$B$5:$B$300,$B50))</f>
        <v/>
      </c>
      <c r="I50" s="246" t="str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 t="str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 t="str">
        <f>IF(MIN(N(C50),N(F50))&lt;=0,"",ROUND(MIN(N(C50),N(F50))*(N(G50)-N(D50)),8))</f>
        <v/>
      </c>
      <c r="L50" s="183" t="str">
        <f>IF(MIN(N(C50),N(F50))&lt;=0,"",IF(N(D50)=0,"",ROUND((N(G50)/N(D50)-1)*100,2)))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 t="str">
        <f>IF(C51="","",E51/C51)</f>
        <v/>
      </c>
      <c r="E51" s="241" t="str">
        <f>IF(C51="","",SUMIFS('ИТОГО Торговля'!$E$5:$E$300,'ИТОГО Торговля'!$B$5:$B$300,$B51)+SUMIFS('ИТОГО Лэндинг'!$E$5:$E$300,'ИТОГО Лэндинг'!$B$5:$B$300,$B51))</f>
        <v/>
      </c>
      <c r="F51" s="240" t="str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 t="str">
        <f>IF(F51="","",H51/F51)</f>
        <v/>
      </c>
      <c r="H51" s="241" t="str">
        <f>IF(F51="","",SUMIFS('ИТОГО Торговля'!$H$5:$H$300,'ИТОГО Торговля'!$B$5:$B$300,$B51)+SUMIFS('ИТОГО Лэндинг'!$H$5:$H$300,'ИТОГО Лэндинг'!$B$5:$B$300,$B51))</f>
        <v/>
      </c>
      <c r="I51" s="240" t="str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 t="str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 t="str">
        <f>IF(MIN(N(C51),N(F51))&lt;=0,"",ROUND(MIN(N(C51),N(F51))*(N(G51)-N(D51)),8))</f>
        <v/>
      </c>
      <c r="L51" s="177" t="str">
        <f>IF(MIN(N(C51),N(F51))&lt;=0,"",IF(N(D51)=0,"",ROUND((N(G51)/N(D51)-1)*100,2)))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 t="str">
        <f>IF(C52="","",E52/C52)</f>
        <v/>
      </c>
      <c r="E52" s="247" t="str">
        <f>IF(C52="","",SUMIFS('ИТОГО Торговля'!$E$5:$E$300,'ИТОГО Торговля'!$B$5:$B$300,$B52)+SUMIFS('ИТОГО Лэндинг'!$E$5:$E$300,'ИТОГО Лэндинг'!$B$5:$B$300,$B52))</f>
        <v/>
      </c>
      <c r="F52" s="246" t="str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 t="str">
        <f>IF(F52="","",H52/F52)</f>
        <v/>
      </c>
      <c r="H52" s="247" t="str">
        <f>IF(F52="","",SUMIFS('ИТОГО Торговля'!$H$5:$H$300,'ИТОГО Торговля'!$B$5:$B$300,$B52)+SUMIFS('ИТОГО Лэндинг'!$H$5:$H$300,'ИТОГО Лэндинг'!$B$5:$B$300,$B52))</f>
        <v/>
      </c>
      <c r="I52" s="246" t="str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 t="str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 t="str">
        <f>IF(MIN(N(C52),N(F52))&lt;=0,"",ROUND(MIN(N(C52),N(F52))*(N(G52)-N(D52)),8))</f>
        <v/>
      </c>
      <c r="L52" s="183" t="str">
        <f>IF(MIN(N(C52),N(F52))&lt;=0,"",IF(N(D52)=0,"",ROUND((N(G52)/N(D52)-1)*100,2)))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 t="str">
        <f>IF(C53="","",E53/C53)</f>
        <v/>
      </c>
      <c r="E53" s="241" t="str">
        <f>IF(C53="","",SUMIFS('ИТОГО Торговля'!$E$5:$E$300,'ИТОГО Торговля'!$B$5:$B$300,$B53)+SUMIFS('ИТОГО Лэндинг'!$E$5:$E$300,'ИТОГО Лэндинг'!$B$5:$B$300,$B53))</f>
        <v/>
      </c>
      <c r="F53" s="240" t="str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 t="str">
        <f>IF(F53="","",H53/F53)</f>
        <v/>
      </c>
      <c r="H53" s="241" t="str">
        <f>IF(F53="","",SUMIFS('ИТОГО Торговля'!$H$5:$H$300,'ИТОГО Торговля'!$B$5:$B$300,$B53)+SUMIFS('ИТОГО Лэндинг'!$H$5:$H$300,'ИТОГО Лэндинг'!$B$5:$B$300,$B53))</f>
        <v/>
      </c>
      <c r="I53" s="240" t="str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 t="str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 t="str">
        <f>IF(MIN(N(C53),N(F53))&lt;=0,"",ROUND(MIN(N(C53),N(F53))*(N(G53)-N(D53)),8))</f>
        <v/>
      </c>
      <c r="L53" s="177" t="str">
        <f>IF(MIN(N(C53),N(F53))&lt;=0,"",IF(N(D53)=0,"",ROUND((N(G53)/N(D53)-1)*100,2)))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 t="str">
        <f>IF(C54="","",E54/C54)</f>
        <v/>
      </c>
      <c r="E54" s="247" t="str">
        <f>IF(C54="","",SUMIFS('ИТОГО Торговля'!$E$5:$E$300,'ИТОГО Торговля'!$B$5:$B$300,$B54)+SUMIFS('ИТОГО Лэндинг'!$E$5:$E$300,'ИТОГО Лэндинг'!$B$5:$B$300,$B54))</f>
        <v/>
      </c>
      <c r="F54" s="246" t="str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 t="str">
        <f>IF(F54="","",H54/F54)</f>
        <v/>
      </c>
      <c r="H54" s="247" t="str">
        <f>IF(F54="","",SUMIFS('ИТОГО Торговля'!$H$5:$H$300,'ИТОГО Торговля'!$B$5:$B$300,$B54)+SUMIFS('ИТОГО Лэндинг'!$H$5:$H$300,'ИТОГО Лэндинг'!$B$5:$B$300,$B54))</f>
        <v/>
      </c>
      <c r="I54" s="246" t="str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 t="str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 t="str">
        <f>IF(MIN(N(C54),N(F54))&lt;=0,"",ROUND(MIN(N(C54),N(F54))*(N(G54)-N(D54)),8))</f>
        <v/>
      </c>
      <c r="L54" s="183" t="str">
        <f>IF(MIN(N(C54),N(F54))&lt;=0,"",IF(N(D54)=0,"",ROUND((N(G54)/N(D54)-1)*100,2)))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 t="str">
        <f>IF(C55="","",E55/C55)</f>
        <v/>
      </c>
      <c r="E55" s="241" t="str">
        <f>IF(C55="","",SUMIFS('ИТОГО Торговля'!$E$5:$E$300,'ИТОГО Торговля'!$B$5:$B$300,$B55)+SUMIFS('ИТОГО Лэндинг'!$E$5:$E$300,'ИТОГО Лэндинг'!$B$5:$B$300,$B55))</f>
        <v/>
      </c>
      <c r="F55" s="240" t="str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 t="str">
        <f>IF(F55="","",H55/F55)</f>
        <v/>
      </c>
      <c r="H55" s="241" t="str">
        <f>IF(F55="","",SUMIFS('ИТОГО Торговля'!$H$5:$H$300,'ИТОГО Торговля'!$B$5:$B$300,$B55)+SUMIFS('ИТОГО Лэндинг'!$H$5:$H$300,'ИТОГО Лэндинг'!$B$5:$B$300,$B55))</f>
        <v/>
      </c>
      <c r="I55" s="240" t="str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 t="str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 t="str">
        <f>IF(MIN(N(C55),N(F55))&lt;=0,"",ROUND(MIN(N(C55),N(F55))*(N(G55)-N(D55)),8))</f>
        <v/>
      </c>
      <c r="L55" s="177" t="str">
        <f>IF(MIN(N(C55),N(F55))&lt;=0,"",IF(N(D55)=0,"",ROUND((N(G55)/N(D55)-1)*100,2)))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 t="str">
        <f>IF(C56="","",E56/C56)</f>
        <v/>
      </c>
      <c r="E56" s="247" t="str">
        <f>IF(C56="","",SUMIFS('ИТОГО Торговля'!$E$5:$E$300,'ИТОГО Торговля'!$B$5:$B$300,$B56)+SUMIFS('ИТОГО Лэндинг'!$E$5:$E$300,'ИТОГО Лэндинг'!$B$5:$B$300,$B56))</f>
        <v/>
      </c>
      <c r="F56" s="246" t="str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 t="str">
        <f>IF(F56="","",H56/F56)</f>
        <v/>
      </c>
      <c r="H56" s="247" t="str">
        <f>IF(F56="","",SUMIFS('ИТОГО Торговля'!$H$5:$H$300,'ИТОГО Торговля'!$B$5:$B$300,$B56)+SUMIFS('ИТОГО Лэндинг'!$H$5:$H$300,'ИТОГО Лэндинг'!$B$5:$B$300,$B56))</f>
        <v/>
      </c>
      <c r="I56" s="246" t="str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 t="str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 t="str">
        <f>IF(MIN(N(C56),N(F56))&lt;=0,"",ROUND(MIN(N(C56),N(F56))*(N(G56)-N(D56)),8))</f>
        <v/>
      </c>
      <c r="L56" s="183" t="str">
        <f>IF(MIN(N(C56),N(F56))&lt;=0,"",IF(N(D56)=0,"",ROUND((N(G56)/N(D56)-1)*100,2)))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 t="str">
        <f>IF(C57="","",E57/C57)</f>
        <v/>
      </c>
      <c r="E57" s="241" t="str">
        <f>IF(C57="","",SUMIFS('ИТОГО Торговля'!$E$5:$E$300,'ИТОГО Торговля'!$B$5:$B$300,$B57)+SUMIFS('ИТОГО Лэндинг'!$E$5:$E$300,'ИТОГО Лэндинг'!$B$5:$B$300,$B57))</f>
        <v/>
      </c>
      <c r="F57" s="240" t="str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 t="str">
        <f>IF(F57="","",H57/F57)</f>
        <v/>
      </c>
      <c r="H57" s="241" t="str">
        <f>IF(F57="","",SUMIFS('ИТОГО Торговля'!$H$5:$H$300,'ИТОГО Торговля'!$B$5:$B$300,$B57)+SUMIFS('ИТОГО Лэндинг'!$H$5:$H$300,'ИТОГО Лэндинг'!$B$5:$B$300,$B57))</f>
        <v/>
      </c>
      <c r="I57" s="240" t="str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 t="str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 t="str">
        <f>IF(MIN(N(C57),N(F57))&lt;=0,"",ROUND(MIN(N(C57),N(F57))*(N(G57)-N(D57)),8))</f>
        <v/>
      </c>
      <c r="L57" s="177" t="str">
        <f>IF(MIN(N(C57),N(F57))&lt;=0,"",IF(N(D57)=0,"",ROUND((N(G57)/N(D57)-1)*100,2)))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 t="str">
        <f>IF(C58="","",E58/C58)</f>
        <v/>
      </c>
      <c r="E58" s="247" t="str">
        <f>IF(C58="","",SUMIFS('ИТОГО Торговля'!$E$5:$E$300,'ИТОГО Торговля'!$B$5:$B$300,$B58)+SUMIFS('ИТОГО Лэндинг'!$E$5:$E$300,'ИТОГО Лэндинг'!$B$5:$B$300,$B58))</f>
        <v/>
      </c>
      <c r="F58" s="246" t="str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 t="str">
        <f>IF(F58="","",H58/F58)</f>
        <v/>
      </c>
      <c r="H58" s="247" t="str">
        <f>IF(F58="","",SUMIFS('ИТОГО Торговля'!$H$5:$H$300,'ИТОГО Торговля'!$B$5:$B$300,$B58)+SUMIFS('ИТОГО Лэндинг'!$H$5:$H$300,'ИТОГО Лэндинг'!$B$5:$B$300,$B58))</f>
        <v/>
      </c>
      <c r="I58" s="246" t="str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 t="str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 t="str">
        <f>IF(MIN(N(C58),N(F58))&lt;=0,"",ROUND(MIN(N(C58),N(F58))*(N(G58)-N(D58)),8))</f>
        <v/>
      </c>
      <c r="L58" s="183" t="str">
        <f>IF(MIN(N(C58),N(F58))&lt;=0,"",IF(N(D58)=0,"",ROUND((N(G58)/N(D58)-1)*100,2)))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 t="str">
        <f>IF(C59="","",E59/C59)</f>
        <v/>
      </c>
      <c r="E59" s="241" t="str">
        <f>IF(C59="","",SUMIFS('ИТОГО Торговля'!$E$5:$E$300,'ИТОГО Торговля'!$B$5:$B$300,$B59)+SUMIFS('ИТОГО Лэндинг'!$E$5:$E$300,'ИТОГО Лэндинг'!$B$5:$B$300,$B59))</f>
        <v/>
      </c>
      <c r="F59" s="240" t="str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 t="str">
        <f>IF(F59="","",H59/F59)</f>
        <v/>
      </c>
      <c r="H59" s="241" t="str">
        <f>IF(F59="","",SUMIFS('ИТОГО Торговля'!$H$5:$H$300,'ИТОГО Торговля'!$B$5:$B$300,$B59)+SUMIFS('ИТОГО Лэндинг'!$H$5:$H$300,'ИТОГО Лэндинг'!$B$5:$B$300,$B59))</f>
        <v/>
      </c>
      <c r="I59" s="240" t="str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 t="str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 t="str">
        <f>IF(MIN(N(C59),N(F59))&lt;=0,"",ROUND(MIN(N(C59),N(F59))*(N(G59)-N(D59)),8))</f>
        <v/>
      </c>
      <c r="L59" s="177" t="str">
        <f>IF(MIN(N(C59),N(F59))&lt;=0,"",IF(N(D59)=0,"",ROUND((N(G59)/N(D59)-1)*100,2)))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 t="str">
        <f>IF(C60="","",E60/C60)</f>
        <v/>
      </c>
      <c r="E60" s="247" t="str">
        <f>IF(C60="","",SUMIFS('ИТОГО Торговля'!$E$5:$E$300,'ИТОГО Торговля'!$B$5:$B$300,$B60)+SUMIFS('ИТОГО Лэндинг'!$E$5:$E$300,'ИТОГО Лэндинг'!$B$5:$B$300,$B60))</f>
        <v/>
      </c>
      <c r="F60" s="246" t="str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 t="str">
        <f>IF(F60="","",H60/F60)</f>
        <v/>
      </c>
      <c r="H60" s="247" t="str">
        <f>IF(F60="","",SUMIFS('ИТОГО Торговля'!$H$5:$H$300,'ИТОГО Торговля'!$B$5:$B$300,$B60)+SUMIFS('ИТОГО Лэндинг'!$H$5:$H$300,'ИТОГО Лэндинг'!$B$5:$B$300,$B60))</f>
        <v/>
      </c>
      <c r="I60" s="246" t="str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 t="str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 t="str">
        <f>IF(MIN(N(C60),N(F60))&lt;=0,"",ROUND(MIN(N(C60),N(F60))*(N(G60)-N(D60)),8))</f>
        <v/>
      </c>
      <c r="L60" s="183" t="str">
        <f>IF(MIN(N(C60),N(F60))&lt;=0,"",IF(N(D60)=0,"",ROUND((N(G60)/N(D60)-1)*100,2)))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 t="str">
        <f>IF(C61="","",E61/C61)</f>
        <v/>
      </c>
      <c r="E61" s="241" t="str">
        <f>IF(C61="","",SUMIFS('ИТОГО Торговля'!$E$5:$E$300,'ИТОГО Торговля'!$B$5:$B$300,$B61)+SUMIFS('ИТОГО Лэндинг'!$E$5:$E$300,'ИТОГО Лэндинг'!$B$5:$B$300,$B61))</f>
        <v/>
      </c>
      <c r="F61" s="240" t="str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 t="str">
        <f>IF(F61="","",H61/F61)</f>
        <v/>
      </c>
      <c r="H61" s="241" t="str">
        <f>IF(F61="","",SUMIFS('ИТОГО Торговля'!$H$5:$H$300,'ИТОГО Торговля'!$B$5:$B$300,$B61)+SUMIFS('ИТОГО Лэндинг'!$H$5:$H$300,'ИТОГО Лэндинг'!$B$5:$B$300,$B61))</f>
        <v/>
      </c>
      <c r="I61" s="240" t="str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 t="str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 t="str">
        <f>IF(MIN(N(C61),N(F61))&lt;=0,"",ROUND(MIN(N(C61),N(F61))*(N(G61)-N(D61)),8))</f>
        <v/>
      </c>
      <c r="L61" s="177" t="str">
        <f>IF(MIN(N(C61),N(F61))&lt;=0,"",IF(N(D61)=0,"",ROUND((N(G61)/N(D61)-1)*100,2)))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 t="str">
        <f>IF(C62="","",E62/C62)</f>
        <v/>
      </c>
      <c r="E62" s="247" t="str">
        <f>IF(C62="","",SUMIFS('ИТОГО Торговля'!$E$5:$E$300,'ИТОГО Торговля'!$B$5:$B$300,$B62)+SUMIFS('ИТОГО Лэндинг'!$E$5:$E$300,'ИТОГО Лэндинг'!$B$5:$B$300,$B62))</f>
        <v/>
      </c>
      <c r="F62" s="246" t="str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 t="str">
        <f>IF(F62="","",H62/F62)</f>
        <v/>
      </c>
      <c r="H62" s="247" t="str">
        <f>IF(F62="","",SUMIFS('ИТОГО Торговля'!$H$5:$H$300,'ИТОГО Торговля'!$B$5:$B$300,$B62)+SUMIFS('ИТОГО Лэндинг'!$H$5:$H$300,'ИТОГО Лэндинг'!$B$5:$B$300,$B62))</f>
        <v/>
      </c>
      <c r="I62" s="246" t="str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 t="str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 t="str">
        <f>IF(MIN(N(C62),N(F62))&lt;=0,"",ROUND(MIN(N(C62),N(F62))*(N(G62)-N(D62)),8))</f>
        <v/>
      </c>
      <c r="L62" s="183" t="str">
        <f>IF(MIN(N(C62),N(F62))&lt;=0,"",IF(N(D62)=0,"",ROUND((N(G62)/N(D62)-1)*100,2)))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 t="str">
        <f>IF(C63="","",E63/C63)</f>
        <v/>
      </c>
      <c r="E63" s="241" t="str">
        <f>IF(C63="","",SUMIFS('ИТОГО Торговля'!$E$5:$E$300,'ИТОГО Торговля'!$B$5:$B$300,$B63)+SUMIFS('ИТОГО Лэндинг'!$E$5:$E$300,'ИТОГО Лэндинг'!$B$5:$B$300,$B63))</f>
        <v/>
      </c>
      <c r="F63" s="240" t="str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 t="str">
        <f>IF(F63="","",H63/F63)</f>
        <v/>
      </c>
      <c r="H63" s="241" t="str">
        <f>IF(F63="","",SUMIFS('ИТОГО Торговля'!$H$5:$H$300,'ИТОГО Торговля'!$B$5:$B$300,$B63)+SUMIFS('ИТОГО Лэндинг'!$H$5:$H$300,'ИТОГО Лэндинг'!$B$5:$B$300,$B63))</f>
        <v/>
      </c>
      <c r="I63" s="240" t="str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 t="str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 t="str">
        <f>IF(MIN(N(C63),N(F63))&lt;=0,"",ROUND(MIN(N(C63),N(F63))*(N(G63)-N(D63)),8))</f>
        <v/>
      </c>
      <c r="L63" s="177" t="str">
        <f>IF(MIN(N(C63),N(F63))&lt;=0,"",IF(N(D63)=0,"",ROUND((N(G63)/N(D63)-1)*100,2)))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 t="str">
        <f>IF(C64="","",E64/C64)</f>
        <v/>
      </c>
      <c r="E64" s="247" t="str">
        <f>IF(C64="","",SUMIFS('ИТОГО Торговля'!$E$5:$E$300,'ИТОГО Торговля'!$B$5:$B$300,$B64)+SUMIFS('ИТОГО Лэндинг'!$E$5:$E$300,'ИТОГО Лэндинг'!$B$5:$B$300,$B64))</f>
        <v/>
      </c>
      <c r="F64" s="246" t="str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 t="str">
        <f>IF(F64="","",H64/F64)</f>
        <v/>
      </c>
      <c r="H64" s="247" t="str">
        <f>IF(F64="","",SUMIFS('ИТОГО Торговля'!$H$5:$H$300,'ИТОГО Торговля'!$B$5:$B$300,$B64)+SUMIFS('ИТОГО Лэндинг'!$H$5:$H$300,'ИТОГО Лэндинг'!$B$5:$B$300,$B64))</f>
        <v/>
      </c>
      <c r="I64" s="246" t="str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 t="str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 t="str">
        <f>IF(MIN(N(C64),N(F64))&lt;=0,"",ROUND(MIN(N(C64),N(F64))*(N(G64)-N(D64)),8))</f>
        <v/>
      </c>
      <c r="L64" s="183" t="str">
        <f>IF(MIN(N(C64),N(F64))&lt;=0,"",IF(N(D64)=0,"",ROUND((N(G64)/N(D64)-1)*100,2)))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 t="str">
        <f>IF(C65="","",E65/C65)</f>
        <v/>
      </c>
      <c r="E65" s="241" t="str">
        <f>IF(C65="","",SUMIFS('ИТОГО Торговля'!$E$5:$E$300,'ИТОГО Торговля'!$B$5:$B$300,$B65)+SUMIFS('ИТОГО Лэндинг'!$E$5:$E$300,'ИТОГО Лэндинг'!$B$5:$B$300,$B65))</f>
        <v/>
      </c>
      <c r="F65" s="240" t="str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 t="str">
        <f>IF(F65="","",H65/F65)</f>
        <v/>
      </c>
      <c r="H65" s="241" t="str">
        <f>IF(F65="","",SUMIFS('ИТОГО Торговля'!$H$5:$H$300,'ИТОГО Торговля'!$B$5:$B$300,$B65)+SUMIFS('ИТОГО Лэндинг'!$H$5:$H$300,'ИТОГО Лэндинг'!$B$5:$B$300,$B65))</f>
        <v/>
      </c>
      <c r="I65" s="240" t="str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 t="str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 t="str">
        <f>IF(MIN(N(C65),N(F65))&lt;=0,"",ROUND(MIN(N(C65),N(F65))*(N(G65)-N(D65)),8))</f>
        <v/>
      </c>
      <c r="L65" s="177" t="str">
        <f>IF(MIN(N(C65),N(F65))&lt;=0,"",IF(N(D65)=0,"",ROUND((N(G65)/N(D65)-1)*100,2)))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 t="str">
        <f>IF(C66="","",E66/C66)</f>
        <v/>
      </c>
      <c r="E66" s="247" t="str">
        <f>IF(C66="","",SUMIFS('ИТОГО Торговля'!$E$5:$E$300,'ИТОГО Торговля'!$B$5:$B$300,$B66)+SUMIFS('ИТОГО Лэндинг'!$E$5:$E$300,'ИТОГО Лэндинг'!$B$5:$B$300,$B66))</f>
        <v/>
      </c>
      <c r="F66" s="246" t="str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 t="str">
        <f>IF(F66="","",H66/F66)</f>
        <v/>
      </c>
      <c r="H66" s="247" t="str">
        <f>IF(F66="","",SUMIFS('ИТОГО Торговля'!$H$5:$H$300,'ИТОГО Торговля'!$B$5:$B$300,$B66)+SUMIFS('ИТОГО Лэндинг'!$H$5:$H$300,'ИТОГО Лэндинг'!$B$5:$B$300,$B66))</f>
        <v/>
      </c>
      <c r="I66" s="246" t="str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 t="str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 t="str">
        <f>IF(MIN(N(C66),N(F66))&lt;=0,"",ROUND(MIN(N(C66),N(F66))*(N(G66)-N(D66)),8))</f>
        <v/>
      </c>
      <c r="L66" s="183" t="str">
        <f>IF(MIN(N(C66),N(F66))&lt;=0,"",IF(N(D66)=0,"",ROUND((N(G66)/N(D66)-1)*100,2)))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 t="str">
        <f>IF(C67="","",E67/C67)</f>
        <v/>
      </c>
      <c r="E67" s="241" t="str">
        <f>IF(C67="","",SUMIFS('ИТОГО Торговля'!$E$5:$E$300,'ИТОГО Торговля'!$B$5:$B$300,$B67)+SUMIFS('ИТОГО Лэндинг'!$E$5:$E$300,'ИТОГО Лэндинг'!$B$5:$B$300,$B67))</f>
        <v/>
      </c>
      <c r="F67" s="240" t="str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 t="str">
        <f>IF(F67="","",H67/F67)</f>
        <v/>
      </c>
      <c r="H67" s="241" t="str">
        <f>IF(F67="","",SUMIFS('ИТОГО Торговля'!$H$5:$H$300,'ИТОГО Торговля'!$B$5:$B$300,$B67)+SUMIFS('ИТОГО Лэндинг'!$H$5:$H$300,'ИТОГО Лэндинг'!$B$5:$B$300,$B67))</f>
        <v/>
      </c>
      <c r="I67" s="240" t="str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 t="str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 t="str">
        <f>IF(MIN(N(C67),N(F67))&lt;=0,"",ROUND(MIN(N(C67),N(F67))*(N(G67)-N(D67)),8))</f>
        <v/>
      </c>
      <c r="L67" s="177" t="str">
        <f>IF(MIN(N(C67),N(F67))&lt;=0,"",IF(N(D67)=0,"",ROUND((N(G67)/N(D67)-1)*100,2)))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 t="str">
        <f>IF(C68="","",E68/C68)</f>
        <v/>
      </c>
      <c r="E68" s="247" t="str">
        <f>IF(C68="","",SUMIFS('ИТОГО Торговля'!$E$5:$E$300,'ИТОГО Торговля'!$B$5:$B$300,$B68)+SUMIFS('ИТОГО Лэндинг'!$E$5:$E$300,'ИТОГО Лэндинг'!$B$5:$B$300,$B68))</f>
        <v/>
      </c>
      <c r="F68" s="246" t="str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 t="str">
        <f>IF(F68="","",H68/F68)</f>
        <v/>
      </c>
      <c r="H68" s="247" t="str">
        <f>IF(F68="","",SUMIFS('ИТОГО Торговля'!$H$5:$H$300,'ИТОГО Торговля'!$B$5:$B$300,$B68)+SUMIFS('ИТОГО Лэндинг'!$H$5:$H$300,'ИТОГО Лэндинг'!$B$5:$B$300,$B68))</f>
        <v/>
      </c>
      <c r="I68" s="246" t="str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 t="str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 t="str">
        <f>IF(MIN(N(C68),N(F68))&lt;=0,"",ROUND(MIN(N(C68),N(F68))*(N(G68)-N(D68)),8))</f>
        <v/>
      </c>
      <c r="L68" s="183" t="str">
        <f>IF(MIN(N(C68),N(F68))&lt;=0,"",IF(N(D68)=0,"",ROUND((N(G68)/N(D68)-1)*100,2)))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 t="str">
        <f>IF(C69="","",E69/C69)</f>
        <v/>
      </c>
      <c r="E69" s="241" t="str">
        <f>IF(C69="","",SUMIFS('ИТОГО Торговля'!$E$5:$E$300,'ИТОГО Торговля'!$B$5:$B$300,$B69)+SUMIFS('ИТОГО Лэндинг'!$E$5:$E$300,'ИТОГО Лэндинг'!$B$5:$B$300,$B69))</f>
        <v/>
      </c>
      <c r="F69" s="240" t="str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 t="str">
        <f>IF(F69="","",H69/F69)</f>
        <v/>
      </c>
      <c r="H69" s="241" t="str">
        <f>IF(F69="","",SUMIFS('ИТОГО Торговля'!$H$5:$H$300,'ИТОГО Торговля'!$B$5:$B$300,$B69)+SUMIFS('ИТОГО Лэндинг'!$H$5:$H$300,'ИТОГО Лэндинг'!$B$5:$B$300,$B69))</f>
        <v/>
      </c>
      <c r="I69" s="240" t="str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 t="str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 t="str">
        <f>IF(MIN(N(C69),N(F69))&lt;=0,"",ROUND(MIN(N(C69),N(F69))*(N(G69)-N(D69)),8))</f>
        <v/>
      </c>
      <c r="L69" s="177" t="str">
        <f>IF(MIN(N(C69),N(F69))&lt;=0,"",IF(N(D69)=0,"",ROUND((N(G69)/N(D69)-1)*100,2)))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 t="str">
        <f>IF(C70="","",E70/C70)</f>
        <v/>
      </c>
      <c r="E70" s="247" t="str">
        <f>IF(C70="","",SUMIFS('ИТОГО Торговля'!$E$5:$E$300,'ИТОГО Торговля'!$B$5:$B$300,$B70)+SUMIFS('ИТОГО Лэндинг'!$E$5:$E$300,'ИТОГО Лэндинг'!$B$5:$B$300,$B70))</f>
        <v/>
      </c>
      <c r="F70" s="246" t="str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 t="str">
        <f>IF(F70="","",H70/F70)</f>
        <v/>
      </c>
      <c r="H70" s="247" t="str">
        <f>IF(F70="","",SUMIFS('ИТОГО Торговля'!$H$5:$H$300,'ИТОГО Торговля'!$B$5:$B$300,$B70)+SUMIFS('ИТОГО Лэндинг'!$H$5:$H$300,'ИТОГО Лэндинг'!$B$5:$B$300,$B70))</f>
        <v/>
      </c>
      <c r="I70" s="246" t="str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 t="str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 t="str">
        <f>IF(MIN(N(C70),N(F70))&lt;=0,"",ROUND(MIN(N(C70),N(F70))*(N(G70)-N(D70)),8))</f>
        <v/>
      </c>
      <c r="L70" s="183" t="str">
        <f>IF(MIN(N(C70),N(F70))&lt;=0,"",IF(N(D70)=0,"",ROUND((N(G70)/N(D70)-1)*100,2)))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 t="str">
        <f>IF(C71="","",E71/C71)</f>
        <v/>
      </c>
      <c r="E71" s="241" t="str">
        <f>IF(C71="","",SUMIFS('ИТОГО Торговля'!$E$5:$E$300,'ИТОГО Торговля'!$B$5:$B$300,$B71)+SUMIFS('ИТОГО Лэндинг'!$E$5:$E$300,'ИТОГО Лэндинг'!$B$5:$B$300,$B71))</f>
        <v/>
      </c>
      <c r="F71" s="240" t="str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 t="str">
        <f>IF(F71="","",H71/F71)</f>
        <v/>
      </c>
      <c r="H71" s="241" t="str">
        <f>IF(F71="","",SUMIFS('ИТОГО Торговля'!$H$5:$H$300,'ИТОГО Торговля'!$B$5:$B$300,$B71)+SUMIFS('ИТОГО Лэндинг'!$H$5:$H$300,'ИТОГО Лэндинг'!$B$5:$B$300,$B71))</f>
        <v/>
      </c>
      <c r="I71" s="240" t="str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 t="str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 t="str">
        <f>IF(MIN(N(C71),N(F71))&lt;=0,"",ROUND(MIN(N(C71),N(F71))*(N(G71)-N(D71)),8))</f>
        <v/>
      </c>
      <c r="L71" s="177" t="str">
        <f>IF(MIN(N(C71),N(F71))&lt;=0,"",IF(N(D71)=0,"",ROUND((N(G71)/N(D71)-1)*100,2)))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 t="str">
        <f>IF(C72="","",E72/C72)</f>
        <v/>
      </c>
      <c r="E72" s="247" t="str">
        <f>IF(C72="","",SUMIFS('ИТОГО Торговля'!$E$5:$E$300,'ИТОГО Торговля'!$B$5:$B$300,$B72)+SUMIFS('ИТОГО Лэндинг'!$E$5:$E$300,'ИТОГО Лэндинг'!$B$5:$B$300,$B72))</f>
        <v/>
      </c>
      <c r="F72" s="246" t="str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 t="str">
        <f>IF(F72="","",H72/F72)</f>
        <v/>
      </c>
      <c r="H72" s="247" t="str">
        <f>IF(F72="","",SUMIFS('ИТОГО Торговля'!$H$5:$H$300,'ИТОГО Торговля'!$B$5:$B$300,$B72)+SUMIFS('ИТОГО Лэндинг'!$H$5:$H$300,'ИТОГО Лэндинг'!$B$5:$B$300,$B72))</f>
        <v/>
      </c>
      <c r="I72" s="246" t="str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 t="str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 t="str">
        <f>IF(MIN(N(C72),N(F72))&lt;=0,"",ROUND(MIN(N(C72),N(F72))*(N(G72)-N(D72)),8))</f>
        <v/>
      </c>
      <c r="L72" s="183" t="str">
        <f>IF(MIN(N(C72),N(F72))&lt;=0,"",IF(N(D72)=0,"",ROUND((N(G72)/N(D72)-1)*100,2)))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 t="str">
        <f>IF(C73="","",E73/C73)</f>
        <v/>
      </c>
      <c r="E73" s="241" t="str">
        <f>IF(C73="","",SUMIFS('ИТОГО Торговля'!$E$5:$E$300,'ИТОГО Торговля'!$B$5:$B$300,$B73)+SUMIFS('ИТОГО Лэндинг'!$E$5:$E$300,'ИТОГО Лэндинг'!$B$5:$B$300,$B73))</f>
        <v/>
      </c>
      <c r="F73" s="240" t="str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 t="str">
        <f>IF(F73="","",H73/F73)</f>
        <v/>
      </c>
      <c r="H73" s="241" t="str">
        <f>IF(F73="","",SUMIFS('ИТОГО Торговля'!$H$5:$H$300,'ИТОГО Торговля'!$B$5:$B$300,$B73)+SUMIFS('ИТОГО Лэндинг'!$H$5:$H$300,'ИТОГО Лэндинг'!$B$5:$B$300,$B73))</f>
        <v/>
      </c>
      <c r="I73" s="240" t="str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 t="str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 t="str">
        <f>IF(MIN(N(C73),N(F73))&lt;=0,"",ROUND(MIN(N(C73),N(F73))*(N(G73)-N(D73)),8))</f>
        <v/>
      </c>
      <c r="L73" s="177" t="str">
        <f>IF(MIN(N(C73),N(F73))&lt;=0,"",IF(N(D73)=0,"",ROUND((N(G73)/N(D73)-1)*100,2)))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 t="str">
        <f>IF(C74="","",E74/C74)</f>
        <v/>
      </c>
      <c r="E74" s="247" t="str">
        <f>IF(C74="","",SUMIFS('ИТОГО Торговля'!$E$5:$E$300,'ИТОГО Торговля'!$B$5:$B$300,$B74)+SUMIFS('ИТОГО Лэндинг'!$E$5:$E$300,'ИТОГО Лэндинг'!$B$5:$B$300,$B74))</f>
        <v/>
      </c>
      <c r="F74" s="246" t="str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 t="str">
        <f>IF(F74="","",H74/F74)</f>
        <v/>
      </c>
      <c r="H74" s="247" t="str">
        <f>IF(F74="","",SUMIFS('ИТОГО Торговля'!$H$5:$H$300,'ИТОГО Торговля'!$B$5:$B$300,$B74)+SUMIFS('ИТОГО Лэндинг'!$H$5:$H$300,'ИТОГО Лэндинг'!$B$5:$B$300,$B74))</f>
        <v/>
      </c>
      <c r="I74" s="246" t="str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 t="str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 t="str">
        <f>IF(MIN(N(C74),N(F74))&lt;=0,"",ROUND(MIN(N(C74),N(F74))*(N(G74)-N(D74)),8))</f>
        <v/>
      </c>
      <c r="L74" s="183" t="str">
        <f>IF(MIN(N(C74),N(F74))&lt;=0,"",IF(N(D74)=0,"",ROUND((N(G74)/N(D74)-1)*100,2)))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 t="str">
        <f>IF(C75="","",E75/C75)</f>
        <v/>
      </c>
      <c r="E75" s="241" t="str">
        <f>IF(C75="","",SUMIFS('ИТОГО Торговля'!$E$5:$E$300,'ИТОГО Торговля'!$B$5:$B$300,$B75)+SUMIFS('ИТОГО Лэндинг'!$E$5:$E$300,'ИТОГО Лэндинг'!$B$5:$B$300,$B75))</f>
        <v/>
      </c>
      <c r="F75" s="240" t="str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 t="str">
        <f>IF(F75="","",H75/F75)</f>
        <v/>
      </c>
      <c r="H75" s="241" t="str">
        <f>IF(F75="","",SUMIFS('ИТОГО Торговля'!$H$5:$H$300,'ИТОГО Торговля'!$B$5:$B$300,$B75)+SUMIFS('ИТОГО Лэндинг'!$H$5:$H$300,'ИТОГО Лэндинг'!$B$5:$B$300,$B75))</f>
        <v/>
      </c>
      <c r="I75" s="240" t="str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 t="str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 t="str">
        <f>IF(MIN(N(C75),N(F75))&lt;=0,"",ROUND(MIN(N(C75),N(F75))*(N(G75)-N(D75)),8))</f>
        <v/>
      </c>
      <c r="L75" s="177" t="str">
        <f>IF(MIN(N(C75),N(F75))&lt;=0,"",IF(N(D75)=0,"",ROUND((N(G75)/N(D75)-1)*100,2)))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 t="str">
        <f>IF(C76="","",E76/C76)</f>
        <v/>
      </c>
      <c r="E76" s="247" t="str">
        <f>IF(C76="","",SUMIFS('ИТОГО Торговля'!$E$5:$E$300,'ИТОГО Торговля'!$B$5:$B$300,$B76)+SUMIFS('ИТОГО Лэндинг'!$E$5:$E$300,'ИТОГО Лэндинг'!$B$5:$B$300,$B76))</f>
        <v/>
      </c>
      <c r="F76" s="246" t="str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 t="str">
        <f>IF(F76="","",H76/F76)</f>
        <v/>
      </c>
      <c r="H76" s="247" t="str">
        <f>IF(F76="","",SUMIFS('ИТОГО Торговля'!$H$5:$H$300,'ИТОГО Торговля'!$B$5:$B$300,$B76)+SUMIFS('ИТОГО Лэндинг'!$H$5:$H$300,'ИТОГО Лэндинг'!$B$5:$B$300,$B76))</f>
        <v/>
      </c>
      <c r="I76" s="246" t="str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 t="str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 t="str">
        <f>IF(MIN(N(C76),N(F76))&lt;=0,"",ROUND(MIN(N(C76),N(F76))*(N(G76)-N(D76)),8))</f>
        <v/>
      </c>
      <c r="L76" s="183" t="str">
        <f>IF(MIN(N(C76),N(F76))&lt;=0,"",IF(N(D76)=0,"",ROUND((N(G76)/N(D76)-1)*100,2)))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 t="str">
        <f>IF(C77="","",E77/C77)</f>
        <v/>
      </c>
      <c r="E77" s="241" t="str">
        <f>IF(C77="","",SUMIFS('ИТОГО Торговля'!$E$5:$E$300,'ИТОГО Торговля'!$B$5:$B$300,$B77)+SUMIFS('ИТОГО Лэндинг'!$E$5:$E$300,'ИТОГО Лэндинг'!$B$5:$B$300,$B77))</f>
        <v/>
      </c>
      <c r="F77" s="240" t="str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 t="str">
        <f>IF(F77="","",H77/F77)</f>
        <v/>
      </c>
      <c r="H77" s="241" t="str">
        <f>IF(F77="","",SUMIFS('ИТОГО Торговля'!$H$5:$H$300,'ИТОГО Торговля'!$B$5:$B$300,$B77)+SUMIFS('ИТОГО Лэндинг'!$H$5:$H$300,'ИТОГО Лэндинг'!$B$5:$B$300,$B77))</f>
        <v/>
      </c>
      <c r="I77" s="240" t="str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 t="str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 t="str">
        <f>IF(MIN(N(C77),N(F77))&lt;=0,"",ROUND(MIN(N(C77),N(F77))*(N(G77)-N(D77)),8))</f>
        <v/>
      </c>
      <c r="L77" s="177" t="str">
        <f>IF(MIN(N(C77),N(F77))&lt;=0,"",IF(N(D77)=0,"",ROUND((N(G77)/N(D77)-1)*100,2)))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 t="str">
        <f>IF(C78="","",E78/C78)</f>
        <v/>
      </c>
      <c r="E78" s="247" t="str">
        <f>IF(C78="","",SUMIFS('ИТОГО Торговля'!$E$5:$E$300,'ИТОГО Торговля'!$B$5:$B$300,$B78)+SUMIFS('ИТОГО Лэндинг'!$E$5:$E$300,'ИТОГО Лэндинг'!$B$5:$B$300,$B78))</f>
        <v/>
      </c>
      <c r="F78" s="246" t="str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 t="str">
        <f>IF(F78="","",H78/F78)</f>
        <v/>
      </c>
      <c r="H78" s="247" t="str">
        <f>IF(F78="","",SUMIFS('ИТОГО Торговля'!$H$5:$H$300,'ИТОГО Торговля'!$B$5:$B$300,$B78)+SUMIFS('ИТОГО Лэндинг'!$H$5:$H$300,'ИТОГО Лэндинг'!$B$5:$B$300,$B78))</f>
        <v/>
      </c>
      <c r="I78" s="246" t="str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 t="str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 t="str">
        <f>IF(MIN(N(C78),N(F78))&lt;=0,"",ROUND(MIN(N(C78),N(F78))*(N(G78)-N(D78)),8))</f>
        <v/>
      </c>
      <c r="L78" s="183" t="str">
        <f>IF(MIN(N(C78),N(F78))&lt;=0,"",IF(N(D78)=0,"",ROUND((N(G78)/N(D78)-1)*100,2)))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 t="str">
        <f>IF(C79="","",E79/C79)</f>
        <v/>
      </c>
      <c r="E79" s="241" t="str">
        <f>IF(C79="","",SUMIFS('ИТОГО Торговля'!$E$5:$E$300,'ИТОГО Торговля'!$B$5:$B$300,$B79)+SUMIFS('ИТОГО Лэндинг'!$E$5:$E$300,'ИТОГО Лэндинг'!$B$5:$B$300,$B79))</f>
        <v/>
      </c>
      <c r="F79" s="240" t="str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 t="str">
        <f>IF(F79="","",H79/F79)</f>
        <v/>
      </c>
      <c r="H79" s="241" t="str">
        <f>IF(F79="","",SUMIFS('ИТОГО Торговля'!$H$5:$H$300,'ИТОГО Торговля'!$B$5:$B$300,$B79)+SUMIFS('ИТОГО Лэндинг'!$H$5:$H$300,'ИТОГО Лэндинг'!$B$5:$B$300,$B79))</f>
        <v/>
      </c>
      <c r="I79" s="240" t="str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 t="str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 t="str">
        <f>IF(MIN(N(C79),N(F79))&lt;=0,"",ROUND(MIN(N(C79),N(F79))*(N(G79)-N(D79)),8))</f>
        <v/>
      </c>
      <c r="L79" s="177" t="str">
        <f>IF(MIN(N(C79),N(F79))&lt;=0,"",IF(N(D79)=0,"",ROUND((N(G79)/N(D79)-1)*100,2)))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 t="str">
        <f>IF(C80="","",E80/C80)</f>
        <v/>
      </c>
      <c r="E80" s="247" t="str">
        <f>IF(C80="","",SUMIFS('ИТОГО Торговля'!$E$5:$E$300,'ИТОГО Торговля'!$B$5:$B$300,$B80)+SUMIFS('ИТОГО Лэндинг'!$E$5:$E$300,'ИТОГО Лэндинг'!$B$5:$B$300,$B80))</f>
        <v/>
      </c>
      <c r="F80" s="246" t="str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 t="str">
        <f>IF(F80="","",H80/F80)</f>
        <v/>
      </c>
      <c r="H80" s="247" t="str">
        <f>IF(F80="","",SUMIFS('ИТОГО Торговля'!$H$5:$H$300,'ИТОГО Торговля'!$B$5:$B$300,$B80)+SUMIFS('ИТОГО Лэндинг'!$H$5:$H$300,'ИТОГО Лэндинг'!$B$5:$B$300,$B80))</f>
        <v/>
      </c>
      <c r="I80" s="246" t="str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 t="str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 t="str">
        <f>IF(MIN(N(C80),N(F80))&lt;=0,"",ROUND(MIN(N(C80),N(F80))*(N(G80)-N(D80)),8))</f>
        <v/>
      </c>
      <c r="L80" s="183" t="str">
        <f>IF(MIN(N(C80),N(F80))&lt;=0,"",IF(N(D80)=0,"",ROUND((N(G80)/N(D80)-1)*100,2)))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 t="str">
        <f>IF(C81="","",E81/C81)</f>
        <v/>
      </c>
      <c r="E81" s="241" t="str">
        <f>IF(C81="","",SUMIFS('ИТОГО Торговля'!$E$5:$E$300,'ИТОГО Торговля'!$B$5:$B$300,$B81)+SUMIFS('ИТОГО Лэндинг'!$E$5:$E$300,'ИТОГО Лэндинг'!$B$5:$B$300,$B81))</f>
        <v/>
      </c>
      <c r="F81" s="240" t="str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 t="str">
        <f>IF(F81="","",H81/F81)</f>
        <v/>
      </c>
      <c r="H81" s="241" t="str">
        <f>IF(F81="","",SUMIFS('ИТОГО Торговля'!$H$5:$H$300,'ИТОГО Торговля'!$B$5:$B$300,$B81)+SUMIFS('ИТОГО Лэндинг'!$H$5:$H$300,'ИТОГО Лэндинг'!$B$5:$B$300,$B81))</f>
        <v/>
      </c>
      <c r="I81" s="240" t="str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 t="str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 t="str">
        <f>IF(MIN(N(C81),N(F81))&lt;=0,"",ROUND(MIN(N(C81),N(F81))*(N(G81)-N(D81)),8))</f>
        <v/>
      </c>
      <c r="L81" s="177" t="str">
        <f>IF(MIN(N(C81),N(F81))&lt;=0,"",IF(N(D81)=0,"",ROUND((N(G81)/N(D81)-1)*100,2)))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 t="str">
        <f>IF(C82="","",E82/C82)</f>
        <v/>
      </c>
      <c r="E82" s="247" t="str">
        <f>IF(C82="","",SUMIFS('ИТОГО Торговля'!$E$5:$E$300,'ИТОГО Торговля'!$B$5:$B$300,$B82)+SUMIFS('ИТОГО Лэндинг'!$E$5:$E$300,'ИТОГО Лэндинг'!$B$5:$B$300,$B82))</f>
        <v/>
      </c>
      <c r="F82" s="246" t="str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 t="str">
        <f>IF(F82="","",H82/F82)</f>
        <v/>
      </c>
      <c r="H82" s="247" t="str">
        <f>IF(F82="","",SUMIFS('ИТОГО Торговля'!$H$5:$H$300,'ИТОГО Торговля'!$B$5:$B$300,$B82)+SUMIFS('ИТОГО Лэндинг'!$H$5:$H$300,'ИТОГО Лэндинг'!$B$5:$B$300,$B82))</f>
        <v/>
      </c>
      <c r="I82" s="246" t="str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 t="str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 t="str">
        <f>IF(MIN(N(C82),N(F82))&lt;=0,"",ROUND(MIN(N(C82),N(F82))*(N(G82)-N(D82)),8))</f>
        <v/>
      </c>
      <c r="L82" s="183" t="str">
        <f>IF(MIN(N(C82),N(F82))&lt;=0,"",IF(N(D82)=0,"",ROUND((N(G82)/N(D82)-1)*100,2)))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 t="str">
        <f>IF(C83="","",E83/C83)</f>
        <v/>
      </c>
      <c r="E83" s="241" t="str">
        <f>IF(C83="","",SUMIFS('ИТОГО Торговля'!$E$5:$E$300,'ИТОГО Торговля'!$B$5:$B$300,$B83)+SUMIFS('ИТОГО Лэндинг'!$E$5:$E$300,'ИТОГО Лэндинг'!$B$5:$B$300,$B83))</f>
        <v/>
      </c>
      <c r="F83" s="240" t="str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 t="str">
        <f>IF(F83="","",H83/F83)</f>
        <v/>
      </c>
      <c r="H83" s="241" t="str">
        <f>IF(F83="","",SUMIFS('ИТОГО Торговля'!$H$5:$H$300,'ИТОГО Торговля'!$B$5:$B$300,$B83)+SUMIFS('ИТОГО Лэндинг'!$H$5:$H$300,'ИТОГО Лэндинг'!$B$5:$B$300,$B83))</f>
        <v/>
      </c>
      <c r="I83" s="240" t="str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 t="str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 t="str">
        <f>IF(MIN(N(C83),N(F83))&lt;=0,"",ROUND(MIN(N(C83),N(F83))*(N(G83)-N(D83)),8))</f>
        <v/>
      </c>
      <c r="L83" s="177" t="str">
        <f>IF(MIN(N(C83),N(F83))&lt;=0,"",IF(N(D83)=0,"",ROUND((N(G83)/N(D83)-1)*100,2)))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 t="str">
        <f>IF(C84="","",E84/C84)</f>
        <v/>
      </c>
      <c r="E84" s="247" t="str">
        <f>IF(C84="","",SUMIFS('ИТОГО Торговля'!$E$5:$E$300,'ИТОГО Торговля'!$B$5:$B$300,$B84)+SUMIFS('ИТОГО Лэндинг'!$E$5:$E$300,'ИТОГО Лэндинг'!$B$5:$B$300,$B84))</f>
        <v/>
      </c>
      <c r="F84" s="246" t="str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 t="str">
        <f>IF(F84="","",H84/F84)</f>
        <v/>
      </c>
      <c r="H84" s="247" t="str">
        <f>IF(F84="","",SUMIFS('ИТОГО Торговля'!$H$5:$H$300,'ИТОГО Торговля'!$B$5:$B$300,$B84)+SUMIFS('ИТОГО Лэндинг'!$H$5:$H$300,'ИТОГО Лэндинг'!$B$5:$B$300,$B84))</f>
        <v/>
      </c>
      <c r="I84" s="246" t="str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 t="str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 t="str">
        <f>IF(MIN(N(C84),N(F84))&lt;=0,"",ROUND(MIN(N(C84),N(F84))*(N(G84)-N(D84)),8))</f>
        <v/>
      </c>
      <c r="L84" s="183" t="str">
        <f>IF(MIN(N(C84),N(F84))&lt;=0,"",IF(N(D84)=0,"",ROUND((N(G84)/N(D84)-1)*100,2)))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 t="str">
        <f>IF(C85="","",E85/C85)</f>
        <v/>
      </c>
      <c r="E85" s="241" t="str">
        <f>IF(C85="","",SUMIFS('ИТОГО Торговля'!$E$5:$E$300,'ИТОГО Торговля'!$B$5:$B$300,$B85)+SUMIFS('ИТОГО Лэндинг'!$E$5:$E$300,'ИТОГО Лэндинг'!$B$5:$B$300,$B85))</f>
        <v/>
      </c>
      <c r="F85" s="240" t="str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 t="str">
        <f>IF(F85="","",H85/F85)</f>
        <v/>
      </c>
      <c r="H85" s="241" t="str">
        <f>IF(F85="","",SUMIFS('ИТОГО Торговля'!$H$5:$H$300,'ИТОГО Торговля'!$B$5:$B$300,$B85)+SUMIFS('ИТОГО Лэндинг'!$H$5:$H$300,'ИТОГО Лэндинг'!$B$5:$B$300,$B85))</f>
        <v/>
      </c>
      <c r="I85" s="240" t="str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 t="str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 t="str">
        <f>IF(MIN(N(C85),N(F85))&lt;=0,"",ROUND(MIN(N(C85),N(F85))*(N(G85)-N(D85)),8))</f>
        <v/>
      </c>
      <c r="L85" s="177" t="str">
        <f>IF(MIN(N(C85),N(F85))&lt;=0,"",IF(N(D85)=0,"",ROUND((N(G85)/N(D85)-1)*100,2)))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 t="str">
        <f>IF(C86="","",E86/C86)</f>
        <v/>
      </c>
      <c r="E86" s="247" t="str">
        <f>IF(C86="","",SUMIFS('ИТОГО Торговля'!$E$5:$E$300,'ИТОГО Торговля'!$B$5:$B$300,$B86)+SUMIFS('ИТОГО Лэндинг'!$E$5:$E$300,'ИТОГО Лэндинг'!$B$5:$B$300,$B86))</f>
        <v/>
      </c>
      <c r="F86" s="246" t="str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 t="str">
        <f>IF(F86="","",H86/F86)</f>
        <v/>
      </c>
      <c r="H86" s="247" t="str">
        <f>IF(F86="","",SUMIFS('ИТОГО Торговля'!$H$5:$H$300,'ИТОГО Торговля'!$B$5:$B$300,$B86)+SUMIFS('ИТОГО Лэндинг'!$H$5:$H$300,'ИТОГО Лэндинг'!$B$5:$B$300,$B86))</f>
        <v/>
      </c>
      <c r="I86" s="246" t="str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 t="str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 t="str">
        <f>IF(MIN(N(C86),N(F86))&lt;=0,"",ROUND(MIN(N(C86),N(F86))*(N(G86)-N(D86)),8))</f>
        <v/>
      </c>
      <c r="L86" s="183" t="str">
        <f>IF(MIN(N(C86),N(F86))&lt;=0,"",IF(N(D86)=0,"",ROUND((N(G86)/N(D86)-1)*100,2)))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 t="str">
        <f>IF(C87="","",E87/C87)</f>
        <v/>
      </c>
      <c r="E87" s="241" t="str">
        <f>IF(C87="","",SUMIFS('ИТОГО Торговля'!$E$5:$E$300,'ИТОГО Торговля'!$B$5:$B$300,$B87)+SUMIFS('ИТОГО Лэндинг'!$E$5:$E$300,'ИТОГО Лэндинг'!$B$5:$B$300,$B87))</f>
        <v/>
      </c>
      <c r="F87" s="240" t="str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 t="str">
        <f>IF(F87="","",H87/F87)</f>
        <v/>
      </c>
      <c r="H87" s="241" t="str">
        <f>IF(F87="","",SUMIFS('ИТОГО Торговля'!$H$5:$H$300,'ИТОГО Торговля'!$B$5:$B$300,$B87)+SUMIFS('ИТОГО Лэндинг'!$H$5:$H$300,'ИТОГО Лэндинг'!$B$5:$B$300,$B87))</f>
        <v/>
      </c>
      <c r="I87" s="240" t="str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 t="str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 t="str">
        <f>IF(MIN(N(C87),N(F87))&lt;=0,"",ROUND(MIN(N(C87),N(F87))*(N(G87)-N(D87)),8))</f>
        <v/>
      </c>
      <c r="L87" s="177" t="str">
        <f>IF(MIN(N(C87),N(F87))&lt;=0,"",IF(N(D87)=0,"",ROUND((N(G87)/N(D87)-1)*100,2)))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 t="str">
        <f>IF(C88="","",E88/C88)</f>
        <v/>
      </c>
      <c r="E88" s="247" t="str">
        <f>IF(C88="","",SUMIFS('ИТОГО Торговля'!$E$5:$E$300,'ИТОГО Торговля'!$B$5:$B$300,$B88)+SUMIFS('ИТОГО Лэндинг'!$E$5:$E$300,'ИТОГО Лэндинг'!$B$5:$B$300,$B88))</f>
        <v/>
      </c>
      <c r="F88" s="246" t="str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 t="str">
        <f>IF(F88="","",H88/F88)</f>
        <v/>
      </c>
      <c r="H88" s="247" t="str">
        <f>IF(F88="","",SUMIFS('ИТОГО Торговля'!$H$5:$H$300,'ИТОГО Торговля'!$B$5:$B$300,$B88)+SUMIFS('ИТОГО Лэндинг'!$H$5:$H$300,'ИТОГО Лэндинг'!$B$5:$B$300,$B88))</f>
        <v/>
      </c>
      <c r="I88" s="246" t="str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 t="str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 t="str">
        <f>IF(MIN(N(C88),N(F88))&lt;=0,"",ROUND(MIN(N(C88),N(F88))*(N(G88)-N(D88)),8))</f>
        <v/>
      </c>
      <c r="L88" s="183" t="str">
        <f>IF(MIN(N(C88),N(F88))&lt;=0,"",IF(N(D88)=0,"",ROUND((N(G88)/N(D88)-1)*100,2)))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 t="str">
        <f>IF(C89="","",E89/C89)</f>
        <v/>
      </c>
      <c r="E89" s="241" t="str">
        <f>IF(C89="","",SUMIFS('ИТОГО Торговля'!$E$5:$E$300,'ИТОГО Торговля'!$B$5:$B$300,$B89)+SUMIFS('ИТОГО Лэндинг'!$E$5:$E$300,'ИТОГО Лэндинг'!$B$5:$B$300,$B89))</f>
        <v/>
      </c>
      <c r="F89" s="240" t="str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 t="str">
        <f>IF(F89="","",H89/F89)</f>
        <v/>
      </c>
      <c r="H89" s="241" t="str">
        <f>IF(F89="","",SUMIFS('ИТОГО Торговля'!$H$5:$H$300,'ИТОГО Торговля'!$B$5:$B$300,$B89)+SUMIFS('ИТОГО Лэндинг'!$H$5:$H$300,'ИТОГО Лэндинг'!$B$5:$B$300,$B89))</f>
        <v/>
      </c>
      <c r="I89" s="240" t="str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 t="str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 t="str">
        <f>IF(MIN(N(C89),N(F89))&lt;=0,"",ROUND(MIN(N(C89),N(F89))*(N(G89)-N(D89)),8))</f>
        <v/>
      </c>
      <c r="L89" s="177" t="str">
        <f>IF(MIN(N(C89),N(F89))&lt;=0,"",IF(N(D89)=0,"",ROUND((N(G89)/N(D89)-1)*100,2)))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 t="str">
        <f>IF(C90="","",E90/C90)</f>
        <v/>
      </c>
      <c r="E90" s="247" t="str">
        <f>IF(C90="","",SUMIFS('ИТОГО Торговля'!$E$5:$E$300,'ИТОГО Торговля'!$B$5:$B$300,$B90)+SUMIFS('ИТОГО Лэндинг'!$E$5:$E$300,'ИТОГО Лэндинг'!$B$5:$B$300,$B90))</f>
        <v/>
      </c>
      <c r="F90" s="246" t="str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 t="str">
        <f>IF(F90="","",H90/F90)</f>
        <v/>
      </c>
      <c r="H90" s="247" t="str">
        <f>IF(F90="","",SUMIFS('ИТОГО Торговля'!$H$5:$H$300,'ИТОГО Торговля'!$B$5:$B$300,$B90)+SUMIFS('ИТОГО Лэндинг'!$H$5:$H$300,'ИТОГО Лэндинг'!$B$5:$B$300,$B90))</f>
        <v/>
      </c>
      <c r="I90" s="246" t="str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 t="str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 t="str">
        <f>IF(MIN(N(C90),N(F90))&lt;=0,"",ROUND(MIN(N(C90),N(F90))*(N(G90)-N(D90)),8))</f>
        <v/>
      </c>
      <c r="L90" s="183" t="str">
        <f>IF(MIN(N(C90),N(F90))&lt;=0,"",IF(N(D90)=0,"",ROUND((N(G90)/N(D90)-1)*100,2)))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 t="str">
        <f>IF(C91="","",E91/C91)</f>
        <v/>
      </c>
      <c r="E91" s="241" t="str">
        <f>IF(C91="","",SUMIFS('ИТОГО Торговля'!$E$5:$E$300,'ИТОГО Торговля'!$B$5:$B$300,$B91)+SUMIFS('ИТОГО Лэндинг'!$E$5:$E$300,'ИТОГО Лэндинг'!$B$5:$B$300,$B91))</f>
        <v/>
      </c>
      <c r="F91" s="240" t="str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 t="str">
        <f>IF(F91="","",H91/F91)</f>
        <v/>
      </c>
      <c r="H91" s="241" t="str">
        <f>IF(F91="","",SUMIFS('ИТОГО Торговля'!$H$5:$H$300,'ИТОГО Торговля'!$B$5:$B$300,$B91)+SUMIFS('ИТОГО Лэндинг'!$H$5:$H$300,'ИТОГО Лэндинг'!$B$5:$B$300,$B91))</f>
        <v/>
      </c>
      <c r="I91" s="240" t="str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 t="str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 t="str">
        <f>IF(MIN(N(C91),N(F91))&lt;=0,"",ROUND(MIN(N(C91),N(F91))*(N(G91)-N(D91)),8))</f>
        <v/>
      </c>
      <c r="L91" s="177" t="str">
        <f>IF(MIN(N(C91),N(F91))&lt;=0,"",IF(N(D91)=0,"",ROUND((N(G91)/N(D91)-1)*100,2)))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 t="str">
        <f>IF(C92="","",E92/C92)</f>
        <v/>
      </c>
      <c r="E92" s="247" t="str">
        <f>IF(C92="","",SUMIFS('ИТОГО Торговля'!$E$5:$E$300,'ИТОГО Торговля'!$B$5:$B$300,$B92)+SUMIFS('ИТОГО Лэндинг'!$E$5:$E$300,'ИТОГО Лэндинг'!$B$5:$B$300,$B92))</f>
        <v/>
      </c>
      <c r="F92" s="246" t="str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 t="str">
        <f>IF(F92="","",H92/F92)</f>
        <v/>
      </c>
      <c r="H92" s="247" t="str">
        <f>IF(F92="","",SUMIFS('ИТОГО Торговля'!$H$5:$H$300,'ИТОГО Торговля'!$B$5:$B$300,$B92)+SUMIFS('ИТОГО Лэндинг'!$H$5:$H$300,'ИТОГО Лэндинг'!$B$5:$B$300,$B92))</f>
        <v/>
      </c>
      <c r="I92" s="246" t="str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 t="str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 t="str">
        <f>IF(MIN(N(C92),N(F92))&lt;=0,"",ROUND(MIN(N(C92),N(F92))*(N(G92)-N(D92)),8))</f>
        <v/>
      </c>
      <c r="L92" s="183" t="str">
        <f>IF(MIN(N(C92),N(F92))&lt;=0,"",IF(N(D92)=0,"",ROUND((N(G92)/N(D92)-1)*100,2)))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 t="str">
        <f>IF(C93="","",E93/C93)</f>
        <v/>
      </c>
      <c r="E93" s="241" t="str">
        <f>IF(C93="","",SUMIFS('ИТОГО Торговля'!$E$5:$E$300,'ИТОГО Торговля'!$B$5:$B$300,$B93)+SUMIFS('ИТОГО Лэндинг'!$E$5:$E$300,'ИТОГО Лэндинг'!$B$5:$B$300,$B93))</f>
        <v/>
      </c>
      <c r="F93" s="240" t="str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 t="str">
        <f>IF(F93="","",H93/F93)</f>
        <v/>
      </c>
      <c r="H93" s="241" t="str">
        <f>IF(F93="","",SUMIFS('ИТОГО Торговля'!$H$5:$H$300,'ИТОГО Торговля'!$B$5:$B$300,$B93)+SUMIFS('ИТОГО Лэндинг'!$H$5:$H$300,'ИТОГО Лэндинг'!$B$5:$B$300,$B93))</f>
        <v/>
      </c>
      <c r="I93" s="240" t="str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 t="str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 t="str">
        <f>IF(MIN(N(C93),N(F93))&lt;=0,"",ROUND(MIN(N(C93),N(F93))*(N(G93)-N(D93)),8))</f>
        <v/>
      </c>
      <c r="L93" s="177" t="str">
        <f>IF(MIN(N(C93),N(F93))&lt;=0,"",IF(N(D93)=0,"",ROUND((N(G93)/N(D93)-1)*100,2)))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 t="str">
        <f>IF(C94="","",E94/C94)</f>
        <v/>
      </c>
      <c r="E94" s="247" t="str">
        <f>IF(C94="","",SUMIFS('ИТОГО Торговля'!$E$5:$E$300,'ИТОГО Торговля'!$B$5:$B$300,$B94)+SUMIFS('ИТОГО Лэндинг'!$E$5:$E$300,'ИТОГО Лэндинг'!$B$5:$B$300,$B94))</f>
        <v/>
      </c>
      <c r="F94" s="246" t="str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 t="str">
        <f>IF(F94="","",H94/F94)</f>
        <v/>
      </c>
      <c r="H94" s="247" t="str">
        <f>IF(F94="","",SUMIFS('ИТОГО Торговля'!$H$5:$H$300,'ИТОГО Торговля'!$B$5:$B$300,$B94)+SUMIFS('ИТОГО Лэндинг'!$H$5:$H$300,'ИТОГО Лэндинг'!$B$5:$B$300,$B94))</f>
        <v/>
      </c>
      <c r="I94" s="246" t="str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 t="str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 t="str">
        <f>IF(MIN(N(C94),N(F94))&lt;=0,"",ROUND(MIN(N(C94),N(F94))*(N(G94)-N(D94)),8))</f>
        <v/>
      </c>
      <c r="L94" s="183" t="str">
        <f>IF(MIN(N(C94),N(F94))&lt;=0,"",IF(N(D94)=0,"",ROUND((N(G94)/N(D94)-1)*100,2)))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 t="str">
        <f>IF(C95="","",E95/C95)</f>
        <v/>
      </c>
      <c r="E95" s="241" t="str">
        <f>IF(C95="","",SUMIFS('ИТОГО Торговля'!$E$5:$E$300,'ИТОГО Торговля'!$B$5:$B$300,$B95)+SUMIFS('ИТОГО Лэндинг'!$E$5:$E$300,'ИТОГО Лэндинг'!$B$5:$B$300,$B95))</f>
        <v/>
      </c>
      <c r="F95" s="240" t="str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 t="str">
        <f>IF(F95="","",H95/F95)</f>
        <v/>
      </c>
      <c r="H95" s="241" t="str">
        <f>IF(F95="","",SUMIFS('ИТОГО Торговля'!$H$5:$H$300,'ИТОГО Торговля'!$B$5:$B$300,$B95)+SUMIFS('ИТОГО Лэндинг'!$H$5:$H$300,'ИТОГО Лэндинг'!$B$5:$B$300,$B95))</f>
        <v/>
      </c>
      <c r="I95" s="240" t="str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 t="str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 t="str">
        <f>IF(MIN(N(C95),N(F95))&lt;=0,"",ROUND(MIN(N(C95),N(F95))*(N(G95)-N(D95)),8))</f>
        <v/>
      </c>
      <c r="L95" s="177" t="str">
        <f>IF(MIN(N(C95),N(F95))&lt;=0,"",IF(N(D95)=0,"",ROUND((N(G95)/N(D95)-1)*100,2)))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 t="str">
        <f>IF(C96="","",E96/C96)</f>
        <v/>
      </c>
      <c r="E96" s="247" t="str">
        <f>IF(C96="","",SUMIFS('ИТОГО Торговля'!$E$5:$E$300,'ИТОГО Торговля'!$B$5:$B$300,$B96)+SUMIFS('ИТОГО Лэндинг'!$E$5:$E$300,'ИТОГО Лэндинг'!$B$5:$B$300,$B96))</f>
        <v/>
      </c>
      <c r="F96" s="246" t="str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 t="str">
        <f>IF(F96="","",H96/F96)</f>
        <v/>
      </c>
      <c r="H96" s="247" t="str">
        <f>IF(F96="","",SUMIFS('ИТОГО Торговля'!$H$5:$H$300,'ИТОГО Торговля'!$B$5:$B$300,$B96)+SUMIFS('ИТОГО Лэндинг'!$H$5:$H$300,'ИТОГО Лэндинг'!$B$5:$B$300,$B96))</f>
        <v/>
      </c>
      <c r="I96" s="246" t="str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 t="str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 t="str">
        <f>IF(MIN(N(C96),N(F96))&lt;=0,"",ROUND(MIN(N(C96),N(F96))*(N(G96)-N(D96)),8))</f>
        <v/>
      </c>
      <c r="L96" s="183" t="str">
        <f>IF(MIN(N(C96),N(F96))&lt;=0,"",IF(N(D96)=0,"",ROUND((N(G96)/N(D96)-1)*100,2)))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 t="str">
        <f>IF(C97="","",E97/C97)</f>
        <v/>
      </c>
      <c r="E97" s="241" t="str">
        <f>IF(C97="","",SUMIFS('ИТОГО Торговля'!$E$5:$E$300,'ИТОГО Торговля'!$B$5:$B$300,$B97)+SUMIFS('ИТОГО Лэндинг'!$E$5:$E$300,'ИТОГО Лэндинг'!$B$5:$B$300,$B97))</f>
        <v/>
      </c>
      <c r="F97" s="240" t="str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 t="str">
        <f>IF(F97="","",H97/F97)</f>
        <v/>
      </c>
      <c r="H97" s="241" t="str">
        <f>IF(F97="","",SUMIFS('ИТОГО Торговля'!$H$5:$H$300,'ИТОГО Торговля'!$B$5:$B$300,$B97)+SUMIFS('ИТОГО Лэндинг'!$H$5:$H$300,'ИТОГО Лэндинг'!$B$5:$B$300,$B97))</f>
        <v/>
      </c>
      <c r="I97" s="240" t="str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 t="str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 t="str">
        <f>IF(MIN(N(C97),N(F97))&lt;=0,"",ROUND(MIN(N(C97),N(F97))*(N(G97)-N(D97)),8))</f>
        <v/>
      </c>
      <c r="L97" s="177" t="str">
        <f>IF(MIN(N(C97),N(F97))&lt;=0,"",IF(N(D97)=0,"",ROUND((N(G97)/N(D97)-1)*100,2)))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 t="str">
        <f>IF(C98="","",E98/C98)</f>
        <v/>
      </c>
      <c r="E98" s="247" t="str">
        <f>IF(C98="","",SUMIFS('ИТОГО Торговля'!$E$5:$E$300,'ИТОГО Торговля'!$B$5:$B$300,$B98)+SUMIFS('ИТОГО Лэндинг'!$E$5:$E$300,'ИТОГО Лэндинг'!$B$5:$B$300,$B98))</f>
        <v/>
      </c>
      <c r="F98" s="246" t="str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 t="str">
        <f>IF(F98="","",H98/F98)</f>
        <v/>
      </c>
      <c r="H98" s="247" t="str">
        <f>IF(F98="","",SUMIFS('ИТОГО Торговля'!$H$5:$H$300,'ИТОГО Торговля'!$B$5:$B$300,$B98)+SUMIFS('ИТОГО Лэндинг'!$H$5:$H$300,'ИТОГО Лэндинг'!$B$5:$B$300,$B98))</f>
        <v/>
      </c>
      <c r="I98" s="246" t="str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 t="str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 t="str">
        <f>IF(MIN(N(C98),N(F98))&lt;=0,"",ROUND(MIN(N(C98),N(F98))*(N(G98)-N(D98)),8))</f>
        <v/>
      </c>
      <c r="L98" s="183" t="str">
        <f>IF(MIN(N(C98),N(F98))&lt;=0,"",IF(N(D98)=0,"",ROUND((N(G98)/N(D98)-1)*100,2)))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 t="str">
        <f>IF(C99="","",E99/C99)</f>
        <v/>
      </c>
      <c r="E99" s="241" t="str">
        <f>IF(C99="","",SUMIFS('ИТОГО Торговля'!$E$5:$E$300,'ИТОГО Торговля'!$B$5:$B$300,$B99)+SUMIFS('ИТОГО Лэндинг'!$E$5:$E$300,'ИТОГО Лэндинг'!$B$5:$B$300,$B99))</f>
        <v/>
      </c>
      <c r="F99" s="240" t="str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 t="str">
        <f>IF(F99="","",H99/F99)</f>
        <v/>
      </c>
      <c r="H99" s="241" t="str">
        <f>IF(F99="","",SUMIFS('ИТОГО Торговля'!$H$5:$H$300,'ИТОГО Торговля'!$B$5:$B$300,$B99)+SUMIFS('ИТОГО Лэндинг'!$H$5:$H$300,'ИТОГО Лэндинг'!$B$5:$B$300,$B99))</f>
        <v/>
      </c>
      <c r="I99" s="240" t="str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 t="str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 t="str">
        <f>IF(MIN(N(C99),N(F99))&lt;=0,"",ROUND(MIN(N(C99),N(F99))*(N(G99)-N(D99)),8))</f>
        <v/>
      </c>
      <c r="L99" s="177" t="str">
        <f>IF(MIN(N(C99),N(F99))&lt;=0,"",IF(N(D99)=0,"",ROUND((N(G99)/N(D99)-1)*100,2)))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 t="str">
        <f>IF(C100="","",E100/C100)</f>
        <v/>
      </c>
      <c r="E100" s="247" t="str">
        <f>IF(C100="","",SUMIFS('ИТОГО Торговля'!$E$5:$E$300,'ИТОГО Торговля'!$B$5:$B$300,$B100)+SUMIFS('ИТОГО Лэндинг'!$E$5:$E$300,'ИТОГО Лэндинг'!$B$5:$B$300,$B100))</f>
        <v/>
      </c>
      <c r="F100" s="246" t="str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 t="str">
        <f>IF(F100="","",H100/F100)</f>
        <v/>
      </c>
      <c r="H100" s="247" t="str">
        <f>IF(F100="","",SUMIFS('ИТОГО Торговля'!$H$5:$H$300,'ИТОГО Торговля'!$B$5:$B$300,$B100)+SUMIFS('ИТОГО Лэндинг'!$H$5:$H$300,'ИТОГО Лэндинг'!$B$5:$B$300,$B100))</f>
        <v/>
      </c>
      <c r="I100" s="246" t="str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 t="str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 t="str">
        <f>IF(MIN(N(C100),N(F100))&lt;=0,"",ROUND(MIN(N(C100),N(F100))*(N(G100)-N(D100)),8))</f>
        <v/>
      </c>
      <c r="L100" s="183" t="str">
        <f>IF(MIN(N(C100),N(F100))&lt;=0,"",IF(N(D100)=0,"",ROUND((N(G100)/N(D100)-1)*100,2)))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 t="str">
        <f>IF(C101="","",E101/C101)</f>
        <v/>
      </c>
      <c r="E101" s="241" t="str">
        <f>IF(C101="","",SUMIFS('ИТОГО Торговля'!$E$5:$E$300,'ИТОГО Торговля'!$B$5:$B$300,$B101)+SUMIFS('ИТОГО Лэндинг'!$E$5:$E$300,'ИТОГО Лэндинг'!$B$5:$B$300,$B101))</f>
        <v/>
      </c>
      <c r="F101" s="240" t="str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 t="str">
        <f>IF(F101="","",H101/F101)</f>
        <v/>
      </c>
      <c r="H101" s="241" t="str">
        <f>IF(F101="","",SUMIFS('ИТОГО Торговля'!$H$5:$H$300,'ИТОГО Торговля'!$B$5:$B$300,$B101)+SUMIFS('ИТОГО Лэндинг'!$H$5:$H$300,'ИТОГО Лэндинг'!$B$5:$B$300,$B101))</f>
        <v/>
      </c>
      <c r="I101" s="240" t="str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 t="str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 t="str">
        <f>IF(MIN(N(C101),N(F101))&lt;=0,"",ROUND(MIN(N(C101),N(F101))*(N(G101)-N(D101)),8))</f>
        <v/>
      </c>
      <c r="L101" s="177" t="str">
        <f>IF(MIN(N(C101),N(F101))&lt;=0,"",IF(N(D101)=0,"",ROUND((N(G101)/N(D101)-1)*100,2)))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 t="str">
        <f>IF(C102="","",E102/C102)</f>
        <v/>
      </c>
      <c r="E102" s="247" t="str">
        <f>IF(C102="","",SUMIFS('ИТОГО Торговля'!$E$5:$E$300,'ИТОГО Торговля'!$B$5:$B$300,$B102)+SUMIFS('ИТОГО Лэндинг'!$E$5:$E$300,'ИТОГО Лэндинг'!$B$5:$B$300,$B102))</f>
        <v/>
      </c>
      <c r="F102" s="246" t="str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 t="str">
        <f>IF(F102="","",H102/F102)</f>
        <v/>
      </c>
      <c r="H102" s="247" t="str">
        <f>IF(F102="","",SUMIFS('ИТОГО Торговля'!$H$5:$H$300,'ИТОГО Торговля'!$B$5:$B$300,$B102)+SUMIFS('ИТОГО Лэндинг'!$H$5:$H$300,'ИТОГО Лэндинг'!$B$5:$B$300,$B102))</f>
        <v/>
      </c>
      <c r="I102" s="246" t="str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 t="str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 t="str">
        <f>IF(MIN(N(C102),N(F102))&lt;=0,"",ROUND(MIN(N(C102),N(F102))*(N(G102)-N(D102)),8))</f>
        <v/>
      </c>
      <c r="L102" s="183" t="str">
        <f>IF(MIN(N(C102),N(F102))&lt;=0,"",IF(N(D102)=0,"",ROUND((N(G102)/N(D102)-1)*100,2)))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 t="str">
        <f>IF(C103="","",E103/C103)</f>
        <v/>
      </c>
      <c r="E103" s="241" t="str">
        <f>IF(C103="","",SUMIFS('ИТОГО Торговля'!$E$5:$E$300,'ИТОГО Торговля'!$B$5:$B$300,$B103)+SUMIFS('ИТОГО Лэндинг'!$E$5:$E$300,'ИТОГО Лэндинг'!$B$5:$B$300,$B103))</f>
        <v/>
      </c>
      <c r="F103" s="240" t="str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 t="str">
        <f>IF(F103="","",H103/F103)</f>
        <v/>
      </c>
      <c r="H103" s="241" t="str">
        <f>IF(F103="","",SUMIFS('ИТОГО Торговля'!$H$5:$H$300,'ИТОГО Торговля'!$B$5:$B$300,$B103)+SUMIFS('ИТОГО Лэндинг'!$H$5:$H$300,'ИТОГО Лэндинг'!$B$5:$B$300,$B103))</f>
        <v/>
      </c>
      <c r="I103" s="240" t="str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 t="str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 t="str">
        <f>IF(MIN(N(C103),N(F103))&lt;=0,"",ROUND(MIN(N(C103),N(F103))*(N(G103)-N(D103)),8))</f>
        <v/>
      </c>
      <c r="L103" s="177" t="str">
        <f>IF(MIN(N(C103),N(F103))&lt;=0,"",IF(N(D103)=0,"",ROUND((N(G103)/N(D103)-1)*100,2)))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 t="str">
        <f>IF(C104="","",E104/C104)</f>
        <v/>
      </c>
      <c r="E104" s="247" t="str">
        <f>IF(C104="","",SUMIFS('ИТОГО Торговля'!$E$5:$E$300,'ИТОГО Торговля'!$B$5:$B$300,$B104)+SUMIFS('ИТОГО Лэндинг'!$E$5:$E$300,'ИТОГО Лэндинг'!$B$5:$B$300,$B104))</f>
        <v/>
      </c>
      <c r="F104" s="246" t="str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 t="str">
        <f>IF(F104="","",H104/F104)</f>
        <v/>
      </c>
      <c r="H104" s="247" t="str">
        <f>IF(F104="","",SUMIFS('ИТОГО Торговля'!$H$5:$H$300,'ИТОГО Торговля'!$B$5:$B$300,$B104)+SUMIFS('ИТОГО Лэндинг'!$H$5:$H$300,'ИТОГО Лэндинг'!$B$5:$B$300,$B104))</f>
        <v/>
      </c>
      <c r="I104" s="246" t="str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 t="str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 t="str">
        <f>IF(MIN(N(C104),N(F104))&lt;=0,"",ROUND(MIN(N(C104),N(F104))*(N(G104)-N(D104)),8))</f>
        <v/>
      </c>
      <c r="L104" s="183" t="str">
        <f>IF(MIN(N(C104),N(F104))&lt;=0,"",IF(N(D104)=0,"",ROUND((N(G104)/N(D104)-1)*100,2)))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 t="str">
        <f>IF(C105="","",E105/C105)</f>
        <v/>
      </c>
      <c r="E105" s="241" t="str">
        <f>IF(C105="","",SUMIFS('ИТОГО Торговля'!$E$5:$E$300,'ИТОГО Торговля'!$B$5:$B$300,$B105)+SUMIFS('ИТОГО Лэндинг'!$E$5:$E$300,'ИТОГО Лэндинг'!$B$5:$B$300,$B105))</f>
        <v/>
      </c>
      <c r="F105" s="240" t="str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 t="str">
        <f>IF(F105="","",H105/F105)</f>
        <v/>
      </c>
      <c r="H105" s="241" t="str">
        <f>IF(F105="","",SUMIFS('ИТОГО Торговля'!$H$5:$H$300,'ИТОГО Торговля'!$B$5:$B$300,$B105)+SUMIFS('ИТОГО Лэндинг'!$H$5:$H$300,'ИТОГО Лэндинг'!$B$5:$B$300,$B105))</f>
        <v/>
      </c>
      <c r="I105" s="240" t="str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 t="str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 t="str">
        <f>IF(MIN(N(C105),N(F105))&lt;=0,"",ROUND(MIN(N(C105),N(F105))*(N(G105)-N(D105)),8))</f>
        <v/>
      </c>
      <c r="L105" s="177" t="str">
        <f>IF(MIN(N(C105),N(F105))&lt;=0,"",IF(N(D105)=0,"",ROUND((N(G105)/N(D105)-1)*100,2)))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 t="str">
        <f>IF(C106="","",E106/C106)</f>
        <v/>
      </c>
      <c r="E106" s="247" t="str">
        <f>IF(C106="","",SUMIFS('ИТОГО Торговля'!$E$5:$E$300,'ИТОГО Торговля'!$B$5:$B$300,$B106)+SUMIFS('ИТОГО Лэндинг'!$E$5:$E$300,'ИТОГО Лэндинг'!$B$5:$B$300,$B106))</f>
        <v/>
      </c>
      <c r="F106" s="246" t="str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 t="str">
        <f>IF(F106="","",H106/F106)</f>
        <v/>
      </c>
      <c r="H106" s="247" t="str">
        <f>IF(F106="","",SUMIFS('ИТОГО Торговля'!$H$5:$H$300,'ИТОГО Торговля'!$B$5:$B$300,$B106)+SUMIFS('ИТОГО Лэндинг'!$H$5:$H$300,'ИТОГО Лэндинг'!$B$5:$B$300,$B106))</f>
        <v/>
      </c>
      <c r="I106" s="246" t="str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 t="str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 t="str">
        <f>IF(MIN(N(C106),N(F106))&lt;=0,"",ROUND(MIN(N(C106),N(F106))*(N(G106)-N(D106)),8))</f>
        <v/>
      </c>
      <c r="L106" s="183" t="str">
        <f>IF(MIN(N(C106),N(F106))&lt;=0,"",IF(N(D106)=0,"",ROUND((N(G106)/N(D106)-1)*100,2)))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 t="str">
        <f>IF(C107="","",E107/C107)</f>
        <v/>
      </c>
      <c r="E107" s="241" t="str">
        <f>IF(C107="","",SUMIFS('ИТОГО Торговля'!$E$5:$E$300,'ИТОГО Торговля'!$B$5:$B$300,$B107)+SUMIFS('ИТОГО Лэндинг'!$E$5:$E$300,'ИТОГО Лэндинг'!$B$5:$B$300,$B107))</f>
        <v/>
      </c>
      <c r="F107" s="240" t="str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 t="str">
        <f>IF(F107="","",H107/F107)</f>
        <v/>
      </c>
      <c r="H107" s="241" t="str">
        <f>IF(F107="","",SUMIFS('ИТОГО Торговля'!$H$5:$H$300,'ИТОГО Торговля'!$B$5:$B$300,$B107)+SUMIFS('ИТОГО Лэндинг'!$H$5:$H$300,'ИТОГО Лэндинг'!$B$5:$B$300,$B107))</f>
        <v/>
      </c>
      <c r="I107" s="240" t="str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 t="str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 t="str">
        <f>IF(MIN(N(C107),N(F107))&lt;=0,"",ROUND(MIN(N(C107),N(F107))*(N(G107)-N(D107)),8))</f>
        <v/>
      </c>
      <c r="L107" s="177" t="str">
        <f>IF(MIN(N(C107),N(F107))&lt;=0,"",IF(N(D107)=0,"",ROUND((N(G107)/N(D107)-1)*100,2)))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 t="str">
        <f>IF(C108="","",E108/C108)</f>
        <v/>
      </c>
      <c r="E108" s="247" t="str">
        <f>IF(C108="","",SUMIFS('ИТОГО Торговля'!$E$5:$E$300,'ИТОГО Торговля'!$B$5:$B$300,$B108)+SUMIFS('ИТОГО Лэндинг'!$E$5:$E$300,'ИТОГО Лэндинг'!$B$5:$B$300,$B108))</f>
        <v/>
      </c>
      <c r="F108" s="246" t="str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 t="str">
        <f>IF(F108="","",H108/F108)</f>
        <v/>
      </c>
      <c r="H108" s="247" t="str">
        <f>IF(F108="","",SUMIFS('ИТОГО Торговля'!$H$5:$H$300,'ИТОГО Торговля'!$B$5:$B$300,$B108)+SUMIFS('ИТОГО Лэндинг'!$H$5:$H$300,'ИТОГО Лэндинг'!$B$5:$B$300,$B108))</f>
        <v/>
      </c>
      <c r="I108" s="246" t="str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 t="str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 t="str">
        <f>IF(MIN(N(C108),N(F108))&lt;=0,"",ROUND(MIN(N(C108),N(F108))*(N(G108)-N(D108)),8))</f>
        <v/>
      </c>
      <c r="L108" s="183" t="str">
        <f>IF(MIN(N(C108),N(F108))&lt;=0,"",IF(N(D108)=0,"",ROUND((N(G108)/N(D108)-1)*100,2)))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 t="str">
        <f>IF(C109="","",E109/C109)</f>
        <v/>
      </c>
      <c r="E109" s="241" t="str">
        <f>IF(C109="","",SUMIFS('ИТОГО Торговля'!$E$5:$E$300,'ИТОГО Торговля'!$B$5:$B$300,$B109)+SUMIFS('ИТОГО Лэндинг'!$E$5:$E$300,'ИТОГО Лэндинг'!$B$5:$B$300,$B109))</f>
        <v/>
      </c>
      <c r="F109" s="240" t="str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 t="str">
        <f>IF(F109="","",H109/F109)</f>
        <v/>
      </c>
      <c r="H109" s="241" t="str">
        <f>IF(F109="","",SUMIFS('ИТОГО Торговля'!$H$5:$H$300,'ИТОГО Торговля'!$B$5:$B$300,$B109)+SUMIFS('ИТОГО Лэндинг'!$H$5:$H$300,'ИТОГО Лэндинг'!$B$5:$B$300,$B109))</f>
        <v/>
      </c>
      <c r="I109" s="240" t="str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 t="str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 t="str">
        <f>IF(MIN(N(C109),N(F109))&lt;=0,"",ROUND(MIN(N(C109),N(F109))*(N(G109)-N(D109)),8))</f>
        <v/>
      </c>
      <c r="L109" s="177" t="str">
        <f>IF(MIN(N(C109),N(F109))&lt;=0,"",IF(N(D109)=0,"",ROUND((N(G109)/N(D109)-1)*100,2)))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 t="str">
        <f>IF(C110="","",E110/C110)</f>
        <v/>
      </c>
      <c r="E110" s="247" t="str">
        <f>IF(C110="","",SUMIFS('ИТОГО Торговля'!$E$5:$E$300,'ИТОГО Торговля'!$B$5:$B$300,$B110)+SUMIFS('ИТОГО Лэндинг'!$E$5:$E$300,'ИТОГО Лэндинг'!$B$5:$B$300,$B110))</f>
        <v/>
      </c>
      <c r="F110" s="246" t="str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 t="str">
        <f>IF(F110="","",H110/F110)</f>
        <v/>
      </c>
      <c r="H110" s="247" t="str">
        <f>IF(F110="","",SUMIFS('ИТОГО Торговля'!$H$5:$H$300,'ИТОГО Торговля'!$B$5:$B$300,$B110)+SUMIFS('ИТОГО Лэндинг'!$H$5:$H$300,'ИТОГО Лэндинг'!$B$5:$B$300,$B110))</f>
        <v/>
      </c>
      <c r="I110" s="246" t="str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 t="str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 t="str">
        <f>IF(MIN(N(C110),N(F110))&lt;=0,"",ROUND(MIN(N(C110),N(F110))*(N(G110)-N(D110)),8))</f>
        <v/>
      </c>
      <c r="L110" s="183" t="str">
        <f>IF(MIN(N(C110),N(F110))&lt;=0,"",IF(N(D110)=0,"",ROUND((N(G110)/N(D110)-1)*100,2)))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 t="str">
        <f>IF(C111="","",E111/C111)</f>
        <v/>
      </c>
      <c r="E111" s="241" t="str">
        <f>IF(C111="","",SUMIFS('ИТОГО Торговля'!$E$5:$E$300,'ИТОГО Торговля'!$B$5:$B$300,$B111)+SUMIFS('ИТОГО Лэндинг'!$E$5:$E$300,'ИТОГО Лэндинг'!$B$5:$B$300,$B111))</f>
        <v/>
      </c>
      <c r="F111" s="240" t="str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 t="str">
        <f>IF(F111="","",H111/F111)</f>
        <v/>
      </c>
      <c r="H111" s="241" t="str">
        <f>IF(F111="","",SUMIFS('ИТОГО Торговля'!$H$5:$H$300,'ИТОГО Торговля'!$B$5:$B$300,$B111)+SUMIFS('ИТОГО Лэндинг'!$H$5:$H$300,'ИТОГО Лэндинг'!$B$5:$B$300,$B111))</f>
        <v/>
      </c>
      <c r="I111" s="240" t="str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 t="str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 t="str">
        <f>IF(MIN(N(C111),N(F111))&lt;=0,"",ROUND(MIN(N(C111),N(F111))*(N(G111)-N(D111)),8))</f>
        <v/>
      </c>
      <c r="L111" s="177" t="str">
        <f>IF(MIN(N(C111),N(F111))&lt;=0,"",IF(N(D111)=0,"",ROUND((N(G111)/N(D111)-1)*100,2)))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 t="str">
        <f>IF(C112="","",E112/C112)</f>
        <v/>
      </c>
      <c r="E112" s="247" t="str">
        <f>IF(C112="","",SUMIFS('ИТОГО Торговля'!$E$5:$E$300,'ИТОГО Торговля'!$B$5:$B$300,$B112)+SUMIFS('ИТОГО Лэндинг'!$E$5:$E$300,'ИТОГО Лэндинг'!$B$5:$B$300,$B112))</f>
        <v/>
      </c>
      <c r="F112" s="246" t="str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 t="str">
        <f>IF(F112="","",H112/F112)</f>
        <v/>
      </c>
      <c r="H112" s="247" t="str">
        <f>IF(F112="","",SUMIFS('ИТОГО Торговля'!$H$5:$H$300,'ИТОГО Торговля'!$B$5:$B$300,$B112)+SUMIFS('ИТОГО Лэндинг'!$H$5:$H$300,'ИТОГО Лэндинг'!$B$5:$B$300,$B112))</f>
        <v/>
      </c>
      <c r="I112" s="246" t="str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 t="str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 t="str">
        <f>IF(MIN(N(C112),N(F112))&lt;=0,"",ROUND(MIN(N(C112),N(F112))*(N(G112)-N(D112)),8))</f>
        <v/>
      </c>
      <c r="L112" s="183" t="str">
        <f>IF(MIN(N(C112),N(F112))&lt;=0,"",IF(N(D112)=0,"",ROUND((N(G112)/N(D112)-1)*100,2)))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 t="str">
        <f>IF(C113="","",E113/C113)</f>
        <v/>
      </c>
      <c r="E113" s="241" t="str">
        <f>IF(C113="","",SUMIFS('ИТОГО Торговля'!$E$5:$E$300,'ИТОГО Торговля'!$B$5:$B$300,$B113)+SUMIFS('ИТОГО Лэндинг'!$E$5:$E$300,'ИТОГО Лэндинг'!$B$5:$B$300,$B113))</f>
        <v/>
      </c>
      <c r="F113" s="240" t="str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 t="str">
        <f>IF(F113="","",H113/F113)</f>
        <v/>
      </c>
      <c r="H113" s="241" t="str">
        <f>IF(F113="","",SUMIFS('ИТОГО Торговля'!$H$5:$H$300,'ИТОГО Торговля'!$B$5:$B$300,$B113)+SUMIFS('ИТОГО Лэндинг'!$H$5:$H$300,'ИТОГО Лэндинг'!$B$5:$B$300,$B113))</f>
        <v/>
      </c>
      <c r="I113" s="240" t="str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 t="str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 t="str">
        <f>IF(MIN(N(C113),N(F113))&lt;=0,"",ROUND(MIN(N(C113),N(F113))*(N(G113)-N(D113)),8))</f>
        <v/>
      </c>
      <c r="L113" s="177" t="str">
        <f>IF(MIN(N(C113),N(F113))&lt;=0,"",IF(N(D113)=0,"",ROUND((N(G113)/N(D113)-1)*100,2)))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 t="str">
        <f>IF(C114="","",E114/C114)</f>
        <v/>
      </c>
      <c r="E114" s="247" t="str">
        <f>IF(C114="","",SUMIFS('ИТОГО Торговля'!$E$5:$E$300,'ИТОГО Торговля'!$B$5:$B$300,$B114)+SUMIFS('ИТОГО Лэндинг'!$E$5:$E$300,'ИТОГО Лэндинг'!$B$5:$B$300,$B114))</f>
        <v/>
      </c>
      <c r="F114" s="246" t="str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 t="str">
        <f>IF(F114="","",H114/F114)</f>
        <v/>
      </c>
      <c r="H114" s="247" t="str">
        <f>IF(F114="","",SUMIFS('ИТОГО Торговля'!$H$5:$H$300,'ИТОГО Торговля'!$B$5:$B$300,$B114)+SUMIFS('ИТОГО Лэндинг'!$H$5:$H$300,'ИТОГО Лэндинг'!$B$5:$B$300,$B114))</f>
        <v/>
      </c>
      <c r="I114" s="246" t="str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 t="str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 t="str">
        <f>IF(MIN(N(C114),N(F114))&lt;=0,"",ROUND(MIN(N(C114),N(F114))*(N(G114)-N(D114)),8))</f>
        <v/>
      </c>
      <c r="L114" s="183" t="str">
        <f>IF(MIN(N(C114),N(F114))&lt;=0,"",IF(N(D114)=0,"",ROUND((N(G114)/N(D114)-1)*100,2)))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 t="str">
        <f>IF(C115="","",E115/C115)</f>
        <v/>
      </c>
      <c r="E115" s="241" t="str">
        <f>IF(C115="","",SUMIFS('ИТОГО Торговля'!$E$5:$E$300,'ИТОГО Торговля'!$B$5:$B$300,$B115)+SUMIFS('ИТОГО Лэндинг'!$E$5:$E$300,'ИТОГО Лэндинг'!$B$5:$B$300,$B115))</f>
        <v/>
      </c>
      <c r="F115" s="240" t="str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 t="str">
        <f>IF(F115="","",H115/F115)</f>
        <v/>
      </c>
      <c r="H115" s="241" t="str">
        <f>IF(F115="","",SUMIFS('ИТОГО Торговля'!$H$5:$H$300,'ИТОГО Торговля'!$B$5:$B$300,$B115)+SUMIFS('ИТОГО Лэндинг'!$H$5:$H$300,'ИТОГО Лэндинг'!$B$5:$B$300,$B115))</f>
        <v/>
      </c>
      <c r="I115" s="240" t="str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 t="str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 t="str">
        <f>IF(MIN(N(C115),N(F115))&lt;=0,"",ROUND(MIN(N(C115),N(F115))*(N(G115)-N(D115)),8))</f>
        <v/>
      </c>
      <c r="L115" s="177" t="str">
        <f>IF(MIN(N(C115),N(F115))&lt;=0,"",IF(N(D115)=0,"",ROUND((N(G115)/N(D115)-1)*100,2)))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 t="str">
        <f>IF(C116="","",E116/C116)</f>
        <v/>
      </c>
      <c r="E116" s="247" t="str">
        <f>IF(C116="","",SUMIFS('ИТОГО Торговля'!$E$5:$E$300,'ИТОГО Торговля'!$B$5:$B$300,$B116)+SUMIFS('ИТОГО Лэндинг'!$E$5:$E$300,'ИТОГО Лэндинг'!$B$5:$B$300,$B116))</f>
        <v/>
      </c>
      <c r="F116" s="246" t="str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 t="str">
        <f>IF(F116="","",H116/F116)</f>
        <v/>
      </c>
      <c r="H116" s="247" t="str">
        <f>IF(F116="","",SUMIFS('ИТОГО Торговля'!$H$5:$H$300,'ИТОГО Торговля'!$B$5:$B$300,$B116)+SUMIFS('ИТОГО Лэндинг'!$H$5:$H$300,'ИТОГО Лэндинг'!$B$5:$B$300,$B116))</f>
        <v/>
      </c>
      <c r="I116" s="246" t="str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 t="str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 t="str">
        <f>IF(MIN(N(C116),N(F116))&lt;=0,"",ROUND(MIN(N(C116),N(F116))*(N(G116)-N(D116)),8))</f>
        <v/>
      </c>
      <c r="L116" s="183" t="str">
        <f>IF(MIN(N(C116),N(F116))&lt;=0,"",IF(N(D116)=0,"",ROUND((N(G116)/N(D116)-1)*100,2)))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 t="str">
        <f>IF(C117="","",E117/C117)</f>
        <v/>
      </c>
      <c r="E117" s="241" t="str">
        <f>IF(C117="","",SUMIFS('ИТОГО Торговля'!$E$5:$E$300,'ИТОГО Торговля'!$B$5:$B$300,$B117)+SUMIFS('ИТОГО Лэндинг'!$E$5:$E$300,'ИТОГО Лэндинг'!$B$5:$B$300,$B117))</f>
        <v/>
      </c>
      <c r="F117" s="240" t="str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 t="str">
        <f>IF(F117="","",H117/F117)</f>
        <v/>
      </c>
      <c r="H117" s="241" t="str">
        <f>IF(F117="","",SUMIFS('ИТОГО Торговля'!$H$5:$H$300,'ИТОГО Торговля'!$B$5:$B$300,$B117)+SUMIFS('ИТОГО Лэндинг'!$H$5:$H$300,'ИТОГО Лэндинг'!$B$5:$B$300,$B117))</f>
        <v/>
      </c>
      <c r="I117" s="240" t="str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 t="str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 t="str">
        <f>IF(MIN(N(C117),N(F117))&lt;=0,"",ROUND(MIN(N(C117),N(F117))*(N(G117)-N(D117)),8))</f>
        <v/>
      </c>
      <c r="L117" s="177" t="str">
        <f>IF(MIN(N(C117),N(F117))&lt;=0,"",IF(N(D117)=0,"",ROUND((N(G117)/N(D117)-1)*100,2)))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 t="str">
        <f>IF(C118="","",E118/C118)</f>
        <v/>
      </c>
      <c r="E118" s="247" t="str">
        <f>IF(C118="","",SUMIFS('ИТОГО Торговля'!$E$5:$E$300,'ИТОГО Торговля'!$B$5:$B$300,$B118)+SUMIFS('ИТОГО Лэндинг'!$E$5:$E$300,'ИТОГО Лэндинг'!$B$5:$B$300,$B118))</f>
        <v/>
      </c>
      <c r="F118" s="246" t="str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 t="str">
        <f>IF(F118="","",H118/F118)</f>
        <v/>
      </c>
      <c r="H118" s="247" t="str">
        <f>IF(F118="","",SUMIFS('ИТОГО Торговля'!$H$5:$H$300,'ИТОГО Торговля'!$B$5:$B$300,$B118)+SUMIFS('ИТОГО Лэндинг'!$H$5:$H$300,'ИТОГО Лэндинг'!$B$5:$B$300,$B118))</f>
        <v/>
      </c>
      <c r="I118" s="246" t="str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 t="str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 t="str">
        <f>IF(MIN(N(C118),N(F118))&lt;=0,"",ROUND(MIN(N(C118),N(F118))*(N(G118)-N(D118)),8))</f>
        <v/>
      </c>
      <c r="L118" s="183" t="str">
        <f>IF(MIN(N(C118),N(F118))&lt;=0,"",IF(N(D118)=0,"",ROUND((N(G118)/N(D118)-1)*100,2)))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 t="str">
        <f>IF(C119="","",E119/C119)</f>
        <v/>
      </c>
      <c r="E119" s="241" t="str">
        <f>IF(C119="","",SUMIFS('ИТОГО Торговля'!$E$5:$E$300,'ИТОГО Торговля'!$B$5:$B$300,$B119)+SUMIFS('ИТОГО Лэндинг'!$E$5:$E$300,'ИТОГО Лэндинг'!$B$5:$B$300,$B119))</f>
        <v/>
      </c>
      <c r="F119" s="240" t="str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 t="str">
        <f>IF(F119="","",H119/F119)</f>
        <v/>
      </c>
      <c r="H119" s="241" t="str">
        <f>IF(F119="","",SUMIFS('ИТОГО Торговля'!$H$5:$H$300,'ИТОГО Торговля'!$B$5:$B$300,$B119)+SUMIFS('ИТОГО Лэндинг'!$H$5:$H$300,'ИТОГО Лэндинг'!$B$5:$B$300,$B119))</f>
        <v/>
      </c>
      <c r="I119" s="240" t="str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 t="str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 t="str">
        <f>IF(MIN(N(C119),N(F119))&lt;=0,"",ROUND(MIN(N(C119),N(F119))*(N(G119)-N(D119)),8))</f>
        <v/>
      </c>
      <c r="L119" s="177" t="str">
        <f>IF(MIN(N(C119),N(F119))&lt;=0,"",IF(N(D119)=0,"",ROUND((N(G119)/N(D119)-1)*100,2)))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 t="str">
        <f>IF(C120="","",E120/C120)</f>
        <v/>
      </c>
      <c r="E120" s="247" t="str">
        <f>IF(C120="","",SUMIFS('ИТОГО Торговля'!$E$5:$E$300,'ИТОГО Торговля'!$B$5:$B$300,$B120)+SUMIFS('ИТОГО Лэндинг'!$E$5:$E$300,'ИТОГО Лэндинг'!$B$5:$B$300,$B120))</f>
        <v/>
      </c>
      <c r="F120" s="246" t="str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 t="str">
        <f>IF(F120="","",H120/F120)</f>
        <v/>
      </c>
      <c r="H120" s="247" t="str">
        <f>IF(F120="","",SUMIFS('ИТОГО Торговля'!$H$5:$H$300,'ИТОГО Торговля'!$B$5:$B$300,$B120)+SUMIFS('ИТОГО Лэндинг'!$H$5:$H$300,'ИТОГО Лэндинг'!$B$5:$B$300,$B120))</f>
        <v/>
      </c>
      <c r="I120" s="246" t="str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 t="str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 t="str">
        <f>IF(MIN(N(C120),N(F120))&lt;=0,"",ROUND(MIN(N(C120),N(F120))*(N(G120)-N(D120)),8))</f>
        <v/>
      </c>
      <c r="L120" s="183" t="str">
        <f>IF(MIN(N(C120),N(F120))&lt;=0,"",IF(N(D120)=0,"",ROUND((N(G120)/N(D120)-1)*100,2)))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 t="str">
        <f>IF(C121="","",E121/C121)</f>
        <v/>
      </c>
      <c r="E121" s="241" t="str">
        <f>IF(C121="","",SUMIFS('ИТОГО Торговля'!$E$5:$E$300,'ИТОГО Торговля'!$B$5:$B$300,$B121)+SUMIFS('ИТОГО Лэндинг'!$E$5:$E$300,'ИТОГО Лэндинг'!$B$5:$B$300,$B121))</f>
        <v/>
      </c>
      <c r="F121" s="240" t="str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 t="str">
        <f>IF(F121="","",H121/F121)</f>
        <v/>
      </c>
      <c r="H121" s="241" t="str">
        <f>IF(F121="","",SUMIFS('ИТОГО Торговля'!$H$5:$H$300,'ИТОГО Торговля'!$B$5:$B$300,$B121)+SUMIFS('ИТОГО Лэндинг'!$H$5:$H$300,'ИТОГО Лэндинг'!$B$5:$B$300,$B121))</f>
        <v/>
      </c>
      <c r="I121" s="240" t="str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 t="str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 t="str">
        <f>IF(MIN(N(C121),N(F121))&lt;=0,"",ROUND(MIN(N(C121),N(F121))*(N(G121)-N(D121)),8))</f>
        <v/>
      </c>
      <c r="L121" s="177" t="str">
        <f>IF(MIN(N(C121),N(F121))&lt;=0,"",IF(N(D121)=0,"",ROUND((N(G121)/N(D121)-1)*100,2)))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 t="str">
        <f>IF(C122="","",E122/C122)</f>
        <v/>
      </c>
      <c r="E122" s="247" t="str">
        <f>IF(C122="","",SUMIFS('ИТОГО Торговля'!$E$5:$E$300,'ИТОГО Торговля'!$B$5:$B$300,$B122)+SUMIFS('ИТОГО Лэндинг'!$E$5:$E$300,'ИТОГО Лэндинг'!$B$5:$B$300,$B122))</f>
        <v/>
      </c>
      <c r="F122" s="246" t="str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 t="str">
        <f>IF(F122="","",H122/F122)</f>
        <v/>
      </c>
      <c r="H122" s="247" t="str">
        <f>IF(F122="","",SUMIFS('ИТОГО Торговля'!$H$5:$H$300,'ИТОГО Торговля'!$B$5:$B$300,$B122)+SUMIFS('ИТОГО Лэндинг'!$H$5:$H$300,'ИТОГО Лэндинг'!$B$5:$B$300,$B122))</f>
        <v/>
      </c>
      <c r="I122" s="246" t="str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 t="str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 t="str">
        <f>IF(MIN(N(C122),N(F122))&lt;=0,"",ROUND(MIN(N(C122),N(F122))*(N(G122)-N(D122)),8))</f>
        <v/>
      </c>
      <c r="L122" s="183" t="str">
        <f>IF(MIN(N(C122),N(F122))&lt;=0,"",IF(N(D122)=0,"",ROUND((N(G122)/N(D122)-1)*100,2)))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 t="str">
        <f>IF(C123="","",E123/C123)</f>
        <v/>
      </c>
      <c r="E123" s="241" t="str">
        <f>IF(C123="","",SUMIFS('ИТОГО Торговля'!$E$5:$E$300,'ИТОГО Торговля'!$B$5:$B$300,$B123)+SUMIFS('ИТОГО Лэндинг'!$E$5:$E$300,'ИТОГО Лэндинг'!$B$5:$B$300,$B123))</f>
        <v/>
      </c>
      <c r="F123" s="240" t="str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 t="str">
        <f>IF(F123="","",H123/F123)</f>
        <v/>
      </c>
      <c r="H123" s="241" t="str">
        <f>IF(F123="","",SUMIFS('ИТОГО Торговля'!$H$5:$H$300,'ИТОГО Торговля'!$B$5:$B$300,$B123)+SUMIFS('ИТОГО Лэндинг'!$H$5:$H$300,'ИТОГО Лэндинг'!$B$5:$B$300,$B123))</f>
        <v/>
      </c>
      <c r="I123" s="240" t="str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 t="str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 t="str">
        <f>IF(MIN(N(C123),N(F123))&lt;=0,"",ROUND(MIN(N(C123),N(F123))*(N(G123)-N(D123)),8))</f>
        <v/>
      </c>
      <c r="L123" s="177" t="str">
        <f>IF(MIN(N(C123),N(F123))&lt;=0,"",IF(N(D123)=0,"",ROUND((N(G123)/N(D123)-1)*100,2)))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 t="str">
        <f>IF(C124="","",E124/C124)</f>
        <v/>
      </c>
      <c r="E124" s="247" t="str">
        <f>IF(C124="","",SUMIFS('ИТОГО Торговля'!$E$5:$E$300,'ИТОГО Торговля'!$B$5:$B$300,$B124)+SUMIFS('ИТОГО Лэндинг'!$E$5:$E$300,'ИТОГО Лэндинг'!$B$5:$B$300,$B124))</f>
        <v/>
      </c>
      <c r="F124" s="246" t="str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 t="str">
        <f>IF(F124="","",H124/F124)</f>
        <v/>
      </c>
      <c r="H124" s="247" t="str">
        <f>IF(F124="","",SUMIFS('ИТОГО Торговля'!$H$5:$H$300,'ИТОГО Торговля'!$B$5:$B$300,$B124)+SUMIFS('ИТОГО Лэндинг'!$H$5:$H$300,'ИТОГО Лэндинг'!$B$5:$B$300,$B124))</f>
        <v/>
      </c>
      <c r="I124" s="246" t="str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 t="str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 t="str">
        <f>IF(MIN(N(C124),N(F124))&lt;=0,"",ROUND(MIN(N(C124),N(F124))*(N(G124)-N(D124)),8))</f>
        <v/>
      </c>
      <c r="L124" s="183" t="str">
        <f>IF(MIN(N(C124),N(F124))&lt;=0,"",IF(N(D124)=0,"",ROUND((N(G124)/N(D124)-1)*100,2)))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 t="str">
        <f>IF(C125="","",E125/C125)</f>
        <v/>
      </c>
      <c r="E125" s="241" t="str">
        <f>IF(C125="","",SUMIFS('ИТОГО Торговля'!$E$5:$E$300,'ИТОГО Торговля'!$B$5:$B$300,$B125)+SUMIFS('ИТОГО Лэндинг'!$E$5:$E$300,'ИТОГО Лэндинг'!$B$5:$B$300,$B125))</f>
        <v/>
      </c>
      <c r="F125" s="240" t="str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 t="str">
        <f>IF(F125="","",H125/F125)</f>
        <v/>
      </c>
      <c r="H125" s="241" t="str">
        <f>IF(F125="","",SUMIFS('ИТОГО Торговля'!$H$5:$H$300,'ИТОГО Торговля'!$B$5:$B$300,$B125)+SUMIFS('ИТОГО Лэндинг'!$H$5:$H$300,'ИТОГО Лэндинг'!$B$5:$B$300,$B125))</f>
        <v/>
      </c>
      <c r="I125" s="240" t="str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 t="str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 t="str">
        <f>IF(MIN(N(C125),N(F125))&lt;=0,"",ROUND(MIN(N(C125),N(F125))*(N(G125)-N(D125)),8))</f>
        <v/>
      </c>
      <c r="L125" s="177" t="str">
        <f>IF(MIN(N(C125),N(F125))&lt;=0,"",IF(N(D125)=0,"",ROUND((N(G125)/N(D125)-1)*100,2)))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 t="str">
        <f>IF(C126="","",E126/C126)</f>
        <v/>
      </c>
      <c r="E126" s="247" t="str">
        <f>IF(C126="","",SUMIFS('ИТОГО Торговля'!$E$5:$E$300,'ИТОГО Торговля'!$B$5:$B$300,$B126)+SUMIFS('ИТОГО Лэндинг'!$E$5:$E$300,'ИТОГО Лэндинг'!$B$5:$B$300,$B126))</f>
        <v/>
      </c>
      <c r="F126" s="246" t="str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 t="str">
        <f>IF(F126="","",H126/F126)</f>
        <v/>
      </c>
      <c r="H126" s="247" t="str">
        <f>IF(F126="","",SUMIFS('ИТОГО Торговля'!$H$5:$H$300,'ИТОГО Торговля'!$B$5:$B$300,$B126)+SUMIFS('ИТОГО Лэндинг'!$H$5:$H$300,'ИТОГО Лэндинг'!$B$5:$B$300,$B126))</f>
        <v/>
      </c>
      <c r="I126" s="246" t="str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 t="str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 t="str">
        <f>IF(MIN(N(C126),N(F126))&lt;=0,"",ROUND(MIN(N(C126),N(F126))*(N(G126)-N(D126)),8))</f>
        <v/>
      </c>
      <c r="L126" s="183" t="str">
        <f>IF(MIN(N(C126),N(F126))&lt;=0,"",IF(N(D126)=0,"",ROUND((N(G126)/N(D126)-1)*100,2)))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 t="str">
        <f>IF(C127="","",E127/C127)</f>
        <v/>
      </c>
      <c r="E127" s="241" t="str">
        <f>IF(C127="","",SUMIFS('ИТОГО Торговля'!$E$5:$E$300,'ИТОГО Торговля'!$B$5:$B$300,$B127)+SUMIFS('ИТОГО Лэндинг'!$E$5:$E$300,'ИТОГО Лэндинг'!$B$5:$B$300,$B127))</f>
        <v/>
      </c>
      <c r="F127" s="240" t="str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 t="str">
        <f>IF(F127="","",H127/F127)</f>
        <v/>
      </c>
      <c r="H127" s="241" t="str">
        <f>IF(F127="","",SUMIFS('ИТОГО Торговля'!$H$5:$H$300,'ИТОГО Торговля'!$B$5:$B$300,$B127)+SUMIFS('ИТОГО Лэндинг'!$H$5:$H$300,'ИТОГО Лэндинг'!$B$5:$B$300,$B127))</f>
        <v/>
      </c>
      <c r="I127" s="240" t="str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 t="str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 t="str">
        <f>IF(MIN(N(C127),N(F127))&lt;=0,"",ROUND(MIN(N(C127),N(F127))*(N(G127)-N(D127)),8))</f>
        <v/>
      </c>
      <c r="L127" s="177" t="str">
        <f>IF(MIN(N(C127),N(F127))&lt;=0,"",IF(N(D127)=0,"",ROUND((N(G127)/N(D127)-1)*100,2)))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 t="str">
        <f>IF(C128="","",E128/C128)</f>
        <v/>
      </c>
      <c r="E128" s="247" t="str">
        <f>IF(C128="","",SUMIFS('ИТОГО Торговля'!$E$5:$E$300,'ИТОГО Торговля'!$B$5:$B$300,$B128)+SUMIFS('ИТОГО Лэндинг'!$E$5:$E$300,'ИТОГО Лэндинг'!$B$5:$B$300,$B128))</f>
        <v/>
      </c>
      <c r="F128" s="246" t="str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 t="str">
        <f>IF(F128="","",H128/F128)</f>
        <v/>
      </c>
      <c r="H128" s="247" t="str">
        <f>IF(F128="","",SUMIFS('ИТОГО Торговля'!$H$5:$H$300,'ИТОГО Торговля'!$B$5:$B$300,$B128)+SUMIFS('ИТОГО Лэндинг'!$H$5:$H$300,'ИТОГО Лэндинг'!$B$5:$B$300,$B128))</f>
        <v/>
      </c>
      <c r="I128" s="246" t="str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 t="str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 t="str">
        <f>IF(MIN(N(C128),N(F128))&lt;=0,"",ROUND(MIN(N(C128),N(F128))*(N(G128)-N(D128)),8))</f>
        <v/>
      </c>
      <c r="L128" s="183" t="str">
        <f>IF(MIN(N(C128),N(F128))&lt;=0,"",IF(N(D128)=0,"",ROUND((N(G128)/N(D128)-1)*100,2)))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 t="str">
        <f>IF(C129="","",E129/C129)</f>
        <v/>
      </c>
      <c r="E129" s="241" t="str">
        <f>IF(C129="","",SUMIFS('ИТОГО Торговля'!$E$5:$E$300,'ИТОГО Торговля'!$B$5:$B$300,$B129)+SUMIFS('ИТОГО Лэндинг'!$E$5:$E$300,'ИТОГО Лэндинг'!$B$5:$B$300,$B129))</f>
        <v/>
      </c>
      <c r="F129" s="240" t="str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 t="str">
        <f>IF(F129="","",H129/F129)</f>
        <v/>
      </c>
      <c r="H129" s="241" t="str">
        <f>IF(F129="","",SUMIFS('ИТОГО Торговля'!$H$5:$H$300,'ИТОГО Торговля'!$B$5:$B$300,$B129)+SUMIFS('ИТОГО Лэндинг'!$H$5:$H$300,'ИТОГО Лэндинг'!$B$5:$B$300,$B129))</f>
        <v/>
      </c>
      <c r="I129" s="240" t="str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 t="str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 t="str">
        <f>IF(MIN(N(C129),N(F129))&lt;=0,"",ROUND(MIN(N(C129),N(F129))*(N(G129)-N(D129)),8))</f>
        <v/>
      </c>
      <c r="L129" s="177" t="str">
        <f>IF(MIN(N(C129),N(F129))&lt;=0,"",IF(N(D129)=0,"",ROUND((N(G129)/N(D129)-1)*100,2)))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 t="str">
        <f>IF(C130="","",E130/C130)</f>
        <v/>
      </c>
      <c r="E130" s="247" t="str">
        <f>IF(C130="","",SUMIFS('ИТОГО Торговля'!$E$5:$E$300,'ИТОГО Торговля'!$B$5:$B$300,$B130)+SUMIFS('ИТОГО Лэндинг'!$E$5:$E$300,'ИТОГО Лэндинг'!$B$5:$B$300,$B130))</f>
        <v/>
      </c>
      <c r="F130" s="246" t="str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 t="str">
        <f>IF(F130="","",H130/F130)</f>
        <v/>
      </c>
      <c r="H130" s="247" t="str">
        <f>IF(F130="","",SUMIFS('ИТОГО Торговля'!$H$5:$H$300,'ИТОГО Торговля'!$B$5:$B$300,$B130)+SUMIFS('ИТОГО Лэндинг'!$H$5:$H$300,'ИТОГО Лэндинг'!$B$5:$B$300,$B130))</f>
        <v/>
      </c>
      <c r="I130" s="246" t="str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 t="str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 t="str">
        <f>IF(MIN(N(C130),N(F130))&lt;=0,"",ROUND(MIN(N(C130),N(F130))*(N(G130)-N(D130)),8))</f>
        <v/>
      </c>
      <c r="L130" s="183" t="str">
        <f>IF(MIN(N(C130),N(F130))&lt;=0,"",IF(N(D130)=0,"",ROUND((N(G130)/N(D130)-1)*100,2)))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 t="str">
        <f>IF(C131="","",E131/C131)</f>
        <v/>
      </c>
      <c r="E131" s="241" t="str">
        <f>IF(C131="","",SUMIFS('ИТОГО Торговля'!$E$5:$E$300,'ИТОГО Торговля'!$B$5:$B$300,$B131)+SUMIFS('ИТОГО Лэндинг'!$E$5:$E$300,'ИТОГО Лэндинг'!$B$5:$B$300,$B131))</f>
        <v/>
      </c>
      <c r="F131" s="240" t="str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 t="str">
        <f>IF(F131="","",H131/F131)</f>
        <v/>
      </c>
      <c r="H131" s="241" t="str">
        <f>IF(F131="","",SUMIFS('ИТОГО Торговля'!$H$5:$H$300,'ИТОГО Торговля'!$B$5:$B$300,$B131)+SUMIFS('ИТОГО Лэндинг'!$H$5:$H$300,'ИТОГО Лэндинг'!$B$5:$B$300,$B131))</f>
        <v/>
      </c>
      <c r="I131" s="240" t="str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 t="str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 t="str">
        <f>IF(MIN(N(C131),N(F131))&lt;=0,"",ROUND(MIN(N(C131),N(F131))*(N(G131)-N(D131)),8))</f>
        <v/>
      </c>
      <c r="L131" s="177" t="str">
        <f>IF(MIN(N(C131),N(F131))&lt;=0,"",IF(N(D131)=0,"",ROUND((N(G131)/N(D131)-1)*100,2)))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 t="str">
        <f>IF(C132="","",E132/C132)</f>
        <v/>
      </c>
      <c r="E132" s="247" t="str">
        <f>IF(C132="","",SUMIFS('ИТОГО Торговля'!$E$5:$E$300,'ИТОГО Торговля'!$B$5:$B$300,$B132)+SUMIFS('ИТОГО Лэндинг'!$E$5:$E$300,'ИТОГО Лэндинг'!$B$5:$B$300,$B132))</f>
        <v/>
      </c>
      <c r="F132" s="246" t="str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 t="str">
        <f>IF(F132="","",H132/F132)</f>
        <v/>
      </c>
      <c r="H132" s="247" t="str">
        <f>IF(F132="","",SUMIFS('ИТОГО Торговля'!$H$5:$H$300,'ИТОГО Торговля'!$B$5:$B$300,$B132)+SUMIFS('ИТОГО Лэндинг'!$H$5:$H$300,'ИТОГО Лэндинг'!$B$5:$B$300,$B132))</f>
        <v/>
      </c>
      <c r="I132" s="246" t="str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 t="str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 t="str">
        <f>IF(MIN(N(C132),N(F132))&lt;=0,"",ROUND(MIN(N(C132),N(F132))*(N(G132)-N(D132)),8))</f>
        <v/>
      </c>
      <c r="L132" s="183" t="str">
        <f>IF(MIN(N(C132),N(F132))&lt;=0,"",IF(N(D132)=0,"",ROUND((N(G132)/N(D132)-1)*100,2)))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 t="str">
        <f>IF(C133="","",E133/C133)</f>
        <v/>
      </c>
      <c r="E133" s="241" t="str">
        <f>IF(C133="","",SUMIFS('ИТОГО Торговля'!$E$5:$E$300,'ИТОГО Торговля'!$B$5:$B$300,$B133)+SUMIFS('ИТОГО Лэндинг'!$E$5:$E$300,'ИТОГО Лэндинг'!$B$5:$B$300,$B133))</f>
        <v/>
      </c>
      <c r="F133" s="240" t="str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 t="str">
        <f>IF(F133="","",H133/F133)</f>
        <v/>
      </c>
      <c r="H133" s="241" t="str">
        <f>IF(F133="","",SUMIFS('ИТОГО Торговля'!$H$5:$H$300,'ИТОГО Торговля'!$B$5:$B$300,$B133)+SUMIFS('ИТОГО Лэндинг'!$H$5:$H$300,'ИТОГО Лэндинг'!$B$5:$B$300,$B133))</f>
        <v/>
      </c>
      <c r="I133" s="240" t="str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 t="str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 t="str">
        <f>IF(MIN(N(C133),N(F133))&lt;=0,"",ROUND(MIN(N(C133),N(F133))*(N(G133)-N(D133)),8))</f>
        <v/>
      </c>
      <c r="L133" s="177" t="str">
        <f>IF(MIN(N(C133),N(F133))&lt;=0,"",IF(N(D133)=0,"",ROUND((N(G133)/N(D133)-1)*100,2)))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 t="str">
        <f>IF(C134="","",E134/C134)</f>
        <v/>
      </c>
      <c r="E134" s="247" t="str">
        <f>IF(C134="","",SUMIFS('ИТОГО Торговля'!$E$5:$E$300,'ИТОГО Торговля'!$B$5:$B$300,$B134)+SUMIFS('ИТОГО Лэндинг'!$E$5:$E$300,'ИТОГО Лэндинг'!$B$5:$B$300,$B134))</f>
        <v/>
      </c>
      <c r="F134" s="246" t="str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 t="str">
        <f>IF(F134="","",H134/F134)</f>
        <v/>
      </c>
      <c r="H134" s="247" t="str">
        <f>IF(F134="","",SUMIFS('ИТОГО Торговля'!$H$5:$H$300,'ИТОГО Торговля'!$B$5:$B$300,$B134)+SUMIFS('ИТОГО Лэндинг'!$H$5:$H$300,'ИТОГО Лэндинг'!$B$5:$B$300,$B134))</f>
        <v/>
      </c>
      <c r="I134" s="246" t="str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 t="str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 t="str">
        <f>IF(MIN(N(C134),N(F134))&lt;=0,"",ROUND(MIN(N(C134),N(F134))*(N(G134)-N(D134)),8))</f>
        <v/>
      </c>
      <c r="L134" s="183" t="str">
        <f>IF(MIN(N(C134),N(F134))&lt;=0,"",IF(N(D134)=0,"",ROUND((N(G134)/N(D134)-1)*100,2)))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 t="str">
        <f>IF(C135="","",E135/C135)</f>
        <v/>
      </c>
      <c r="E135" s="241" t="str">
        <f>IF(C135="","",SUMIFS('ИТОГО Торговля'!$E$5:$E$300,'ИТОГО Торговля'!$B$5:$B$300,$B135)+SUMIFS('ИТОГО Лэндинг'!$E$5:$E$300,'ИТОГО Лэндинг'!$B$5:$B$300,$B135))</f>
        <v/>
      </c>
      <c r="F135" s="240" t="str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 t="str">
        <f>IF(F135="","",H135/F135)</f>
        <v/>
      </c>
      <c r="H135" s="241" t="str">
        <f>IF(F135="","",SUMIFS('ИТОГО Торговля'!$H$5:$H$300,'ИТОГО Торговля'!$B$5:$B$300,$B135)+SUMIFS('ИТОГО Лэндинг'!$H$5:$H$300,'ИТОГО Лэндинг'!$B$5:$B$300,$B135))</f>
        <v/>
      </c>
      <c r="I135" s="240" t="str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 t="str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 t="str">
        <f>IF(MIN(N(C135),N(F135))&lt;=0,"",ROUND(MIN(N(C135),N(F135))*(N(G135)-N(D135)),8))</f>
        <v/>
      </c>
      <c r="L135" s="177" t="str">
        <f>IF(MIN(N(C135),N(F135))&lt;=0,"",IF(N(D135)=0,"",ROUND((N(G135)/N(D135)-1)*100,2)))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 t="str">
        <f>IF(C136="","",E136/C136)</f>
        <v/>
      </c>
      <c r="E136" s="247" t="str">
        <f>IF(C136="","",SUMIFS('ИТОГО Торговля'!$E$5:$E$300,'ИТОГО Торговля'!$B$5:$B$300,$B136)+SUMIFS('ИТОГО Лэндинг'!$E$5:$E$300,'ИТОГО Лэндинг'!$B$5:$B$300,$B136))</f>
        <v/>
      </c>
      <c r="F136" s="246" t="str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 t="str">
        <f>IF(F136="","",H136/F136)</f>
        <v/>
      </c>
      <c r="H136" s="247" t="str">
        <f>IF(F136="","",SUMIFS('ИТОГО Торговля'!$H$5:$H$300,'ИТОГО Торговля'!$B$5:$B$300,$B136)+SUMIFS('ИТОГО Лэндинг'!$H$5:$H$300,'ИТОГО Лэндинг'!$B$5:$B$300,$B136))</f>
        <v/>
      </c>
      <c r="I136" s="246" t="str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 t="str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 t="str">
        <f>IF(MIN(N(C136),N(F136))&lt;=0,"",ROUND(MIN(N(C136),N(F136))*(N(G136)-N(D136)),8))</f>
        <v/>
      </c>
      <c r="L136" s="183" t="str">
        <f>IF(MIN(N(C136),N(F136))&lt;=0,"",IF(N(D136)=0,"",ROUND((N(G136)/N(D136)-1)*100,2)))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 t="str">
        <f>IF(C137="","",E137/C137)</f>
        <v/>
      </c>
      <c r="E137" s="241" t="str">
        <f>IF(C137="","",SUMIFS('ИТОГО Торговля'!$E$5:$E$300,'ИТОГО Торговля'!$B$5:$B$300,$B137)+SUMIFS('ИТОГО Лэндинг'!$E$5:$E$300,'ИТОГО Лэндинг'!$B$5:$B$300,$B137))</f>
        <v/>
      </c>
      <c r="F137" s="240" t="str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 t="str">
        <f>IF(F137="","",H137/F137)</f>
        <v/>
      </c>
      <c r="H137" s="241" t="str">
        <f>IF(F137="","",SUMIFS('ИТОГО Торговля'!$H$5:$H$300,'ИТОГО Торговля'!$B$5:$B$300,$B137)+SUMIFS('ИТОГО Лэндинг'!$H$5:$H$300,'ИТОГО Лэндинг'!$B$5:$B$300,$B137))</f>
        <v/>
      </c>
      <c r="I137" s="240" t="str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 t="str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 t="str">
        <f>IF(MIN(N(C137),N(F137))&lt;=0,"",ROUND(MIN(N(C137),N(F137))*(N(G137)-N(D137)),8))</f>
        <v/>
      </c>
      <c r="L137" s="177" t="str">
        <f>IF(MIN(N(C137),N(F137))&lt;=0,"",IF(N(D137)=0,"",ROUND((N(G137)/N(D137)-1)*100,2)))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 t="str">
        <f>IF(C138="","",E138/C138)</f>
        <v/>
      </c>
      <c r="E138" s="247" t="str">
        <f>IF(C138="","",SUMIFS('ИТОГО Торговля'!$E$5:$E$300,'ИТОГО Торговля'!$B$5:$B$300,$B138)+SUMIFS('ИТОГО Лэндинг'!$E$5:$E$300,'ИТОГО Лэндинг'!$B$5:$B$300,$B138))</f>
        <v/>
      </c>
      <c r="F138" s="246" t="str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 t="str">
        <f>IF(F138="","",H138/F138)</f>
        <v/>
      </c>
      <c r="H138" s="247" t="str">
        <f>IF(F138="","",SUMIFS('ИТОГО Торговля'!$H$5:$H$300,'ИТОГО Торговля'!$B$5:$B$300,$B138)+SUMIFS('ИТОГО Лэндинг'!$H$5:$H$300,'ИТОГО Лэндинг'!$B$5:$B$300,$B138))</f>
        <v/>
      </c>
      <c r="I138" s="246" t="str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 t="str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 t="str">
        <f>IF(MIN(N(C138),N(F138))&lt;=0,"",ROUND(MIN(N(C138),N(F138))*(N(G138)-N(D138)),8))</f>
        <v/>
      </c>
      <c r="L138" s="183" t="str">
        <f>IF(MIN(N(C138),N(F138))&lt;=0,"",IF(N(D138)=0,"",ROUND((N(G138)/N(D138)-1)*100,2)))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 t="str">
        <f>IF(C139="","",E139/C139)</f>
        <v/>
      </c>
      <c r="E139" s="241" t="str">
        <f>IF(C139="","",SUMIFS('ИТОГО Торговля'!$E$5:$E$300,'ИТОГО Торговля'!$B$5:$B$300,$B139)+SUMIFS('ИТОГО Лэндинг'!$E$5:$E$300,'ИТОГО Лэндинг'!$B$5:$B$300,$B139))</f>
        <v/>
      </c>
      <c r="F139" s="240" t="str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 t="str">
        <f>IF(F139="","",H139/F139)</f>
        <v/>
      </c>
      <c r="H139" s="241" t="str">
        <f>IF(F139="","",SUMIFS('ИТОГО Торговля'!$H$5:$H$300,'ИТОГО Торговля'!$B$5:$B$300,$B139)+SUMIFS('ИТОГО Лэндинг'!$H$5:$H$300,'ИТОГО Лэндинг'!$B$5:$B$300,$B139))</f>
        <v/>
      </c>
      <c r="I139" s="240" t="str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 t="str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 t="str">
        <f>IF(MIN(N(C139),N(F139))&lt;=0,"",ROUND(MIN(N(C139),N(F139))*(N(G139)-N(D139)),8))</f>
        <v/>
      </c>
      <c r="L139" s="177" t="str">
        <f>IF(MIN(N(C139),N(F139))&lt;=0,"",IF(N(D139)=0,"",ROUND((N(G139)/N(D139)-1)*100,2)))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 t="str">
        <f>IF(C140="","",E140/C140)</f>
        <v/>
      </c>
      <c r="E140" s="247" t="str">
        <f>IF(C140="","",SUMIFS('ИТОГО Торговля'!$E$5:$E$300,'ИТОГО Торговля'!$B$5:$B$300,$B140)+SUMIFS('ИТОГО Лэндинг'!$E$5:$E$300,'ИТОГО Лэндинг'!$B$5:$B$300,$B140))</f>
        <v/>
      </c>
      <c r="F140" s="246" t="str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 t="str">
        <f>IF(F140="","",H140/F140)</f>
        <v/>
      </c>
      <c r="H140" s="247" t="str">
        <f>IF(F140="","",SUMIFS('ИТОГО Торговля'!$H$5:$H$300,'ИТОГО Торговля'!$B$5:$B$300,$B140)+SUMIFS('ИТОГО Лэндинг'!$H$5:$H$300,'ИТОГО Лэндинг'!$B$5:$B$300,$B140))</f>
        <v/>
      </c>
      <c r="I140" s="246" t="str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 t="str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 t="str">
        <f>IF(MIN(N(C140),N(F140))&lt;=0,"",ROUND(MIN(N(C140),N(F140))*(N(G140)-N(D140)),8))</f>
        <v/>
      </c>
      <c r="L140" s="183" t="str">
        <f>IF(MIN(N(C140),N(F140))&lt;=0,"",IF(N(D140)=0,"",ROUND((N(G140)/N(D140)-1)*100,2)))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 t="str">
        <f>IF(C141="","",E141/C141)</f>
        <v/>
      </c>
      <c r="E141" s="241" t="str">
        <f>IF(C141="","",SUMIFS('ИТОГО Торговля'!$E$5:$E$300,'ИТОГО Торговля'!$B$5:$B$300,$B141)+SUMIFS('ИТОГО Лэндинг'!$E$5:$E$300,'ИТОГО Лэндинг'!$B$5:$B$300,$B141))</f>
        <v/>
      </c>
      <c r="F141" s="240" t="str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 t="str">
        <f>IF(F141="","",H141/F141)</f>
        <v/>
      </c>
      <c r="H141" s="241" t="str">
        <f>IF(F141="","",SUMIFS('ИТОГО Торговля'!$H$5:$H$300,'ИТОГО Торговля'!$B$5:$B$300,$B141)+SUMIFS('ИТОГО Лэндинг'!$H$5:$H$300,'ИТОГО Лэндинг'!$B$5:$B$300,$B141))</f>
        <v/>
      </c>
      <c r="I141" s="240" t="str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 t="str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 t="str">
        <f>IF(MIN(N(C141),N(F141))&lt;=0,"",ROUND(MIN(N(C141),N(F141))*(N(G141)-N(D141)),8))</f>
        <v/>
      </c>
      <c r="L141" s="177" t="str">
        <f>IF(MIN(N(C141),N(F141))&lt;=0,"",IF(N(D141)=0,"",ROUND((N(G141)/N(D141)-1)*100,2)))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 t="str">
        <f>IF(C142="","",E142/C142)</f>
        <v/>
      </c>
      <c r="E142" s="247" t="str">
        <f>IF(C142="","",SUMIFS('ИТОГО Торговля'!$E$5:$E$300,'ИТОГО Торговля'!$B$5:$B$300,$B142)+SUMIFS('ИТОГО Лэндинг'!$E$5:$E$300,'ИТОГО Лэндинг'!$B$5:$B$300,$B142))</f>
        <v/>
      </c>
      <c r="F142" s="246" t="str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 t="str">
        <f>IF(F142="","",H142/F142)</f>
        <v/>
      </c>
      <c r="H142" s="247" t="str">
        <f>IF(F142="","",SUMIFS('ИТОГО Торговля'!$H$5:$H$300,'ИТОГО Торговля'!$B$5:$B$300,$B142)+SUMIFS('ИТОГО Лэндинг'!$H$5:$H$300,'ИТОГО Лэндинг'!$B$5:$B$300,$B142))</f>
        <v/>
      </c>
      <c r="I142" s="246" t="str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 t="str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 t="str">
        <f>IF(MIN(N(C142),N(F142))&lt;=0,"",ROUND(MIN(N(C142),N(F142))*(N(G142)-N(D142)),8))</f>
        <v/>
      </c>
      <c r="L142" s="183" t="str">
        <f>IF(MIN(N(C142),N(F142))&lt;=0,"",IF(N(D142)=0,"",ROUND((N(G142)/N(D142)-1)*100,2)))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 t="str">
        <f>IF(C143="","",E143/C143)</f>
        <v/>
      </c>
      <c r="E143" s="241" t="str">
        <f>IF(C143="","",SUMIFS('ИТОГО Торговля'!$E$5:$E$300,'ИТОГО Торговля'!$B$5:$B$300,$B143)+SUMIFS('ИТОГО Лэндинг'!$E$5:$E$300,'ИТОГО Лэндинг'!$B$5:$B$300,$B143))</f>
        <v/>
      </c>
      <c r="F143" s="240" t="str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 t="str">
        <f>IF(F143="","",H143/F143)</f>
        <v/>
      </c>
      <c r="H143" s="241" t="str">
        <f>IF(F143="","",SUMIFS('ИТОГО Торговля'!$H$5:$H$300,'ИТОГО Торговля'!$B$5:$B$300,$B143)+SUMIFS('ИТОГО Лэндинг'!$H$5:$H$300,'ИТОГО Лэндинг'!$B$5:$B$300,$B143))</f>
        <v/>
      </c>
      <c r="I143" s="240" t="str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 t="str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 t="str">
        <f>IF(MIN(N(C143),N(F143))&lt;=0,"",ROUND(MIN(N(C143),N(F143))*(N(G143)-N(D143)),8))</f>
        <v/>
      </c>
      <c r="L143" s="177" t="str">
        <f>IF(MIN(N(C143),N(F143))&lt;=0,"",IF(N(D143)=0,"",ROUND((N(G143)/N(D143)-1)*100,2)))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 t="str">
        <f>IF(C144="","",E144/C144)</f>
        <v/>
      </c>
      <c r="E144" s="247" t="str">
        <f>IF(C144="","",SUMIFS('ИТОГО Торговля'!$E$5:$E$300,'ИТОГО Торговля'!$B$5:$B$300,$B144)+SUMIFS('ИТОГО Лэндинг'!$E$5:$E$300,'ИТОГО Лэндинг'!$B$5:$B$300,$B144))</f>
        <v/>
      </c>
      <c r="F144" s="246" t="str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 t="str">
        <f>IF(F144="","",H144/F144)</f>
        <v/>
      </c>
      <c r="H144" s="247" t="str">
        <f>IF(F144="","",SUMIFS('ИТОГО Торговля'!$H$5:$H$300,'ИТОГО Торговля'!$B$5:$B$300,$B144)+SUMIFS('ИТОГО Лэндинг'!$H$5:$H$300,'ИТОГО Лэндинг'!$B$5:$B$300,$B144))</f>
        <v/>
      </c>
      <c r="I144" s="246" t="str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 t="str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 t="str">
        <f>IF(MIN(N(C144),N(F144))&lt;=0,"",ROUND(MIN(N(C144),N(F144))*(N(G144)-N(D144)),8))</f>
        <v/>
      </c>
      <c r="L144" s="183" t="str">
        <f>IF(MIN(N(C144),N(F144))&lt;=0,"",IF(N(D144)=0,"",ROUND((N(G144)/N(D144)-1)*100,2)))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 t="str">
        <f>IF(C145="","",E145/C145)</f>
        <v/>
      </c>
      <c r="E145" s="241" t="str">
        <f>IF(C145="","",SUMIFS('ИТОГО Торговля'!$E$5:$E$300,'ИТОГО Торговля'!$B$5:$B$300,$B145)+SUMIFS('ИТОГО Лэндинг'!$E$5:$E$300,'ИТОГО Лэндинг'!$B$5:$B$300,$B145))</f>
        <v/>
      </c>
      <c r="F145" s="240" t="str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 t="str">
        <f>IF(F145="","",H145/F145)</f>
        <v/>
      </c>
      <c r="H145" s="241" t="str">
        <f>IF(F145="","",SUMIFS('ИТОГО Торговля'!$H$5:$H$300,'ИТОГО Торговля'!$B$5:$B$300,$B145)+SUMIFS('ИТОГО Лэндинг'!$H$5:$H$300,'ИТОГО Лэндинг'!$B$5:$B$300,$B145))</f>
        <v/>
      </c>
      <c r="I145" s="240" t="str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 t="str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 t="str">
        <f>IF(MIN(N(C145),N(F145))&lt;=0,"",ROUND(MIN(N(C145),N(F145))*(N(G145)-N(D145)),8))</f>
        <v/>
      </c>
      <c r="L145" s="177" t="str">
        <f>IF(MIN(N(C145),N(F145))&lt;=0,"",IF(N(D145)=0,"",ROUND((N(G145)/N(D145)-1)*100,2)))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 t="str">
        <f>IF(C146="","",E146/C146)</f>
        <v/>
      </c>
      <c r="E146" s="247" t="str">
        <f>IF(C146="","",SUMIFS('ИТОГО Торговля'!$E$5:$E$300,'ИТОГО Торговля'!$B$5:$B$300,$B146)+SUMIFS('ИТОГО Лэндинг'!$E$5:$E$300,'ИТОГО Лэндинг'!$B$5:$B$300,$B146))</f>
        <v/>
      </c>
      <c r="F146" s="246" t="str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 t="str">
        <f>IF(F146="","",H146/F146)</f>
        <v/>
      </c>
      <c r="H146" s="247" t="str">
        <f>IF(F146="","",SUMIFS('ИТОГО Торговля'!$H$5:$H$300,'ИТОГО Торговля'!$B$5:$B$300,$B146)+SUMIFS('ИТОГО Лэндинг'!$H$5:$H$300,'ИТОГО Лэндинг'!$B$5:$B$300,$B146))</f>
        <v/>
      </c>
      <c r="I146" s="246" t="str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 t="str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 t="str">
        <f>IF(MIN(N(C146),N(F146))&lt;=0,"",ROUND(MIN(N(C146),N(F146))*(N(G146)-N(D146)),8))</f>
        <v/>
      </c>
      <c r="L146" s="183" t="str">
        <f>IF(MIN(N(C146),N(F146))&lt;=0,"",IF(N(D146)=0,"",ROUND((N(G146)/N(D146)-1)*100,2)))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 t="str">
        <f>IF(C147="","",E147/C147)</f>
        <v/>
      </c>
      <c r="E147" s="241" t="str">
        <f>IF(C147="","",SUMIFS('ИТОГО Торговля'!$E$5:$E$300,'ИТОГО Торговля'!$B$5:$B$300,$B147)+SUMIFS('ИТОГО Лэндинг'!$E$5:$E$300,'ИТОГО Лэндинг'!$B$5:$B$300,$B147))</f>
        <v/>
      </c>
      <c r="F147" s="240" t="str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 t="str">
        <f>IF(F147="","",H147/F147)</f>
        <v/>
      </c>
      <c r="H147" s="241" t="str">
        <f>IF(F147="","",SUMIFS('ИТОГО Торговля'!$H$5:$H$300,'ИТОГО Торговля'!$B$5:$B$300,$B147)+SUMIFS('ИТОГО Лэндинг'!$H$5:$H$300,'ИТОГО Лэндинг'!$B$5:$B$300,$B147))</f>
        <v/>
      </c>
      <c r="I147" s="240" t="str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 t="str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 t="str">
        <f>IF(MIN(N(C147),N(F147))&lt;=0,"",ROUND(MIN(N(C147),N(F147))*(N(G147)-N(D147)),8))</f>
        <v/>
      </c>
      <c r="L147" s="177" t="str">
        <f>IF(MIN(N(C147),N(F147))&lt;=0,"",IF(N(D147)=0,"",ROUND((N(G147)/N(D147)-1)*100,2)))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 t="str">
        <f>IF(C148="","",E148/C148)</f>
        <v/>
      </c>
      <c r="E148" s="247" t="str">
        <f>IF(C148="","",SUMIFS('ИТОГО Торговля'!$E$5:$E$300,'ИТОГО Торговля'!$B$5:$B$300,$B148)+SUMIFS('ИТОГО Лэндинг'!$E$5:$E$300,'ИТОГО Лэндинг'!$B$5:$B$300,$B148))</f>
        <v/>
      </c>
      <c r="F148" s="246" t="str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 t="str">
        <f>IF(F148="","",H148/F148)</f>
        <v/>
      </c>
      <c r="H148" s="247" t="str">
        <f>IF(F148="","",SUMIFS('ИТОГО Торговля'!$H$5:$H$300,'ИТОГО Торговля'!$B$5:$B$300,$B148)+SUMIFS('ИТОГО Лэндинг'!$H$5:$H$300,'ИТОГО Лэндинг'!$B$5:$B$300,$B148))</f>
        <v/>
      </c>
      <c r="I148" s="246" t="str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 t="str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 t="str">
        <f>IF(MIN(N(C148),N(F148))&lt;=0,"",ROUND(MIN(N(C148),N(F148))*(N(G148)-N(D148)),8))</f>
        <v/>
      </c>
      <c r="L148" s="183" t="str">
        <f>IF(MIN(N(C148),N(F148))&lt;=0,"",IF(N(D148)=0,"",ROUND((N(G148)/N(D148)-1)*100,2)))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 t="str">
        <f>IF(C149="","",E149/C149)</f>
        <v/>
      </c>
      <c r="E149" s="241" t="str">
        <f>IF(C149="","",SUMIFS('ИТОГО Торговля'!$E$5:$E$300,'ИТОГО Торговля'!$B$5:$B$300,$B149)+SUMIFS('ИТОГО Лэндинг'!$E$5:$E$300,'ИТОГО Лэндинг'!$B$5:$B$300,$B149))</f>
        <v/>
      </c>
      <c r="F149" s="240" t="str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 t="str">
        <f>IF(F149="","",H149/F149)</f>
        <v/>
      </c>
      <c r="H149" s="241" t="str">
        <f>IF(F149="","",SUMIFS('ИТОГО Торговля'!$H$5:$H$300,'ИТОГО Торговля'!$B$5:$B$300,$B149)+SUMIFS('ИТОГО Лэндинг'!$H$5:$H$300,'ИТОГО Лэндинг'!$B$5:$B$300,$B149))</f>
        <v/>
      </c>
      <c r="I149" s="240" t="str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 t="str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 t="str">
        <f>IF(MIN(N(C149),N(F149))&lt;=0,"",ROUND(MIN(N(C149),N(F149))*(N(G149)-N(D149)),8))</f>
        <v/>
      </c>
      <c r="L149" s="177" t="str">
        <f>IF(MIN(N(C149),N(F149))&lt;=0,"",IF(N(D149)=0,"",ROUND((N(G149)/N(D149)-1)*100,2)))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 t="str">
        <f>IF(C150="","",E150/C150)</f>
        <v/>
      </c>
      <c r="E150" s="247" t="str">
        <f>IF(C150="","",SUMIFS('ИТОГО Торговля'!$E$5:$E$300,'ИТОГО Торговля'!$B$5:$B$300,$B150)+SUMIFS('ИТОГО Лэндинг'!$E$5:$E$300,'ИТОГО Лэндинг'!$B$5:$B$300,$B150))</f>
        <v/>
      </c>
      <c r="F150" s="246" t="str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 t="str">
        <f>IF(F150="","",H150/F150)</f>
        <v/>
      </c>
      <c r="H150" s="247" t="str">
        <f>IF(F150="","",SUMIFS('ИТОГО Торговля'!$H$5:$H$300,'ИТОГО Торговля'!$B$5:$B$300,$B150)+SUMIFS('ИТОГО Лэндинг'!$H$5:$H$300,'ИТОГО Лэндинг'!$B$5:$B$300,$B150))</f>
        <v/>
      </c>
      <c r="I150" s="246" t="str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 t="str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 t="str">
        <f>IF(MIN(N(C150),N(F150))&lt;=0,"",ROUND(MIN(N(C150),N(F150))*(N(G150)-N(D150)),8))</f>
        <v/>
      </c>
      <c r="L150" s="183" t="str">
        <f>IF(MIN(N(C150),N(F150))&lt;=0,"",IF(N(D150)=0,"",ROUND((N(G150)/N(D150)-1)*100,2)))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 t="str">
        <f>IF(C151="","",E151/C151)</f>
        <v/>
      </c>
      <c r="E151" s="241" t="str">
        <f>IF(C151="","",SUMIFS('ИТОГО Торговля'!$E$5:$E$300,'ИТОГО Торговля'!$B$5:$B$300,$B151)+SUMIFS('ИТОГО Лэндинг'!$E$5:$E$300,'ИТОГО Лэндинг'!$B$5:$B$300,$B151))</f>
        <v/>
      </c>
      <c r="F151" s="240" t="str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 t="str">
        <f>IF(F151="","",H151/F151)</f>
        <v/>
      </c>
      <c r="H151" s="241" t="str">
        <f>IF(F151="","",SUMIFS('ИТОГО Торговля'!$H$5:$H$300,'ИТОГО Торговля'!$B$5:$B$300,$B151)+SUMIFS('ИТОГО Лэндинг'!$H$5:$H$300,'ИТОГО Лэндинг'!$B$5:$B$300,$B151))</f>
        <v/>
      </c>
      <c r="I151" s="240" t="str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 t="str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 t="str">
        <f>IF(MIN(N(C151),N(F151))&lt;=0,"",ROUND(MIN(N(C151),N(F151))*(N(G151)-N(D151)),8))</f>
        <v/>
      </c>
      <c r="L151" s="177" t="str">
        <f>IF(MIN(N(C151),N(F151))&lt;=0,"",IF(N(D151)=0,"",ROUND((N(G151)/N(D151)-1)*100,2)))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 t="str">
        <f>IF(C152="","",E152/C152)</f>
        <v/>
      </c>
      <c r="E152" s="247" t="str">
        <f>IF(C152="","",SUMIFS('ИТОГО Торговля'!$E$5:$E$300,'ИТОГО Торговля'!$B$5:$B$300,$B152)+SUMIFS('ИТОГО Лэндинг'!$E$5:$E$300,'ИТОГО Лэндинг'!$B$5:$B$300,$B152))</f>
        <v/>
      </c>
      <c r="F152" s="246" t="str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 t="str">
        <f>IF(F152="","",H152/F152)</f>
        <v/>
      </c>
      <c r="H152" s="247" t="str">
        <f>IF(F152="","",SUMIFS('ИТОГО Торговля'!$H$5:$H$300,'ИТОГО Торговля'!$B$5:$B$300,$B152)+SUMIFS('ИТОГО Лэндинг'!$H$5:$H$300,'ИТОГО Лэндинг'!$B$5:$B$300,$B152))</f>
        <v/>
      </c>
      <c r="I152" s="246" t="str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 t="str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 t="str">
        <f>IF(MIN(N(C152),N(F152))&lt;=0,"",ROUND(MIN(N(C152),N(F152))*(N(G152)-N(D152)),8))</f>
        <v/>
      </c>
      <c r="L152" s="183" t="str">
        <f>IF(MIN(N(C152),N(F152))&lt;=0,"",IF(N(D152)=0,"",ROUND((N(G152)/N(D152)-1)*100,2)))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 t="str">
        <f>IF(C153="","",E153/C153)</f>
        <v/>
      </c>
      <c r="E153" s="241" t="str">
        <f>IF(C153="","",SUMIFS('ИТОГО Торговля'!$E$5:$E$300,'ИТОГО Торговля'!$B$5:$B$300,$B153)+SUMIFS('ИТОГО Лэндинг'!$E$5:$E$300,'ИТОГО Лэндинг'!$B$5:$B$300,$B153))</f>
        <v/>
      </c>
      <c r="F153" s="240" t="str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 t="str">
        <f>IF(F153="","",H153/F153)</f>
        <v/>
      </c>
      <c r="H153" s="241" t="str">
        <f>IF(F153="","",SUMIFS('ИТОГО Торговля'!$H$5:$H$300,'ИТОГО Торговля'!$B$5:$B$300,$B153)+SUMIFS('ИТОГО Лэндинг'!$H$5:$H$300,'ИТОГО Лэндинг'!$B$5:$B$300,$B153))</f>
        <v/>
      </c>
      <c r="I153" s="240" t="str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 t="str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 t="str">
        <f>IF(MIN(N(C153),N(F153))&lt;=0,"",ROUND(MIN(N(C153),N(F153))*(N(G153)-N(D153)),8))</f>
        <v/>
      </c>
      <c r="L153" s="177" t="str">
        <f>IF(MIN(N(C153),N(F153))&lt;=0,"",IF(N(D153)=0,"",ROUND((N(G153)/N(D153)-1)*100,2)))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 t="str">
        <f>IF(C154="","",E154/C154)</f>
        <v/>
      </c>
      <c r="E154" s="247" t="str">
        <f>IF(C154="","",SUMIFS('ИТОГО Торговля'!$E$5:$E$300,'ИТОГО Торговля'!$B$5:$B$300,$B154)+SUMIFS('ИТОГО Лэндинг'!$E$5:$E$300,'ИТОГО Лэндинг'!$B$5:$B$300,$B154))</f>
        <v/>
      </c>
      <c r="F154" s="246" t="str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 t="str">
        <f>IF(F154="","",H154/F154)</f>
        <v/>
      </c>
      <c r="H154" s="247" t="str">
        <f>IF(F154="","",SUMIFS('ИТОГО Торговля'!$H$5:$H$300,'ИТОГО Торговля'!$B$5:$B$300,$B154)+SUMIFS('ИТОГО Лэндинг'!$H$5:$H$300,'ИТОГО Лэндинг'!$B$5:$B$300,$B154))</f>
        <v/>
      </c>
      <c r="I154" s="246" t="str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 t="str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 t="str">
        <f>IF(MIN(N(C154),N(F154))&lt;=0,"",ROUND(MIN(N(C154),N(F154))*(N(G154)-N(D154)),8))</f>
        <v/>
      </c>
      <c r="L154" s="183" t="str">
        <f>IF(MIN(N(C154),N(F154))&lt;=0,"",IF(N(D154)=0,"",ROUND((N(G154)/N(D154)-1)*100,2)))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 t="str">
        <f>IF(C155="","",E155/C155)</f>
        <v/>
      </c>
      <c r="E155" s="241" t="str">
        <f>IF(C155="","",SUMIFS('ИТОГО Торговля'!$E$5:$E$300,'ИТОГО Торговля'!$B$5:$B$300,$B155)+SUMIFS('ИТОГО Лэндинг'!$E$5:$E$300,'ИТОГО Лэндинг'!$B$5:$B$300,$B155))</f>
        <v/>
      </c>
      <c r="F155" s="240" t="str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 t="str">
        <f>IF(F155="","",H155/F155)</f>
        <v/>
      </c>
      <c r="H155" s="241" t="str">
        <f>IF(F155="","",SUMIFS('ИТОГО Торговля'!$H$5:$H$300,'ИТОГО Торговля'!$B$5:$B$300,$B155)+SUMIFS('ИТОГО Лэндинг'!$H$5:$H$300,'ИТОГО Лэндинг'!$B$5:$B$300,$B155))</f>
        <v/>
      </c>
      <c r="I155" s="240" t="str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 t="str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 t="str">
        <f>IF(MIN(N(C155),N(F155))&lt;=0,"",ROUND(MIN(N(C155),N(F155))*(N(G155)-N(D155)),8))</f>
        <v/>
      </c>
      <c r="L155" s="177" t="str">
        <f>IF(MIN(N(C155),N(F155))&lt;=0,"",IF(N(D155)=0,"",ROUND((N(G155)/N(D155)-1)*100,2)))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 t="str">
        <f>IF(C156="","",E156/C156)</f>
        <v/>
      </c>
      <c r="E156" s="247" t="str">
        <f>IF(C156="","",SUMIFS('ИТОГО Торговля'!$E$5:$E$300,'ИТОГО Торговля'!$B$5:$B$300,$B156)+SUMIFS('ИТОГО Лэндинг'!$E$5:$E$300,'ИТОГО Лэндинг'!$B$5:$B$300,$B156))</f>
        <v/>
      </c>
      <c r="F156" s="246" t="str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 t="str">
        <f>IF(F156="","",H156/F156)</f>
        <v/>
      </c>
      <c r="H156" s="247" t="str">
        <f>IF(F156="","",SUMIFS('ИТОГО Торговля'!$H$5:$H$300,'ИТОГО Торговля'!$B$5:$B$300,$B156)+SUMIFS('ИТОГО Лэндинг'!$H$5:$H$300,'ИТОГО Лэндинг'!$B$5:$B$300,$B156))</f>
        <v/>
      </c>
      <c r="I156" s="246" t="str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 t="str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 t="str">
        <f>IF(MIN(N(C156),N(F156))&lt;=0,"",ROUND(MIN(N(C156),N(F156))*(N(G156)-N(D156)),8))</f>
        <v/>
      </c>
      <c r="L156" s="183" t="str">
        <f>IF(MIN(N(C156),N(F156))&lt;=0,"",IF(N(D156)=0,"",ROUND((N(G156)/N(D156)-1)*100,2)))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 t="str">
        <f>IF(C157="","",E157/C157)</f>
        <v/>
      </c>
      <c r="E157" s="241" t="str">
        <f>IF(C157="","",SUMIFS('ИТОГО Торговля'!$E$5:$E$300,'ИТОГО Торговля'!$B$5:$B$300,$B157)+SUMIFS('ИТОГО Лэндинг'!$E$5:$E$300,'ИТОГО Лэндинг'!$B$5:$B$300,$B157))</f>
        <v/>
      </c>
      <c r="F157" s="240" t="str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 t="str">
        <f>IF(F157="","",H157/F157)</f>
        <v/>
      </c>
      <c r="H157" s="241" t="str">
        <f>IF(F157="","",SUMIFS('ИТОГО Торговля'!$H$5:$H$300,'ИТОГО Торговля'!$B$5:$B$300,$B157)+SUMIFS('ИТОГО Лэндинг'!$H$5:$H$300,'ИТОГО Лэндинг'!$B$5:$B$300,$B157))</f>
        <v/>
      </c>
      <c r="I157" s="240" t="str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 t="str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 t="str">
        <f>IF(MIN(N(C157),N(F157))&lt;=0,"",ROUND(MIN(N(C157),N(F157))*(N(G157)-N(D157)),8))</f>
        <v/>
      </c>
      <c r="L157" s="177" t="str">
        <f>IF(MIN(N(C157),N(F157))&lt;=0,"",IF(N(D157)=0,"",ROUND((N(G157)/N(D157)-1)*100,2)))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 t="str">
        <f>IF(C158="","",E158/C158)</f>
        <v/>
      </c>
      <c r="E158" s="247" t="str">
        <f>IF(C158="","",SUMIFS('ИТОГО Торговля'!$E$5:$E$300,'ИТОГО Торговля'!$B$5:$B$300,$B158)+SUMIFS('ИТОГО Лэндинг'!$E$5:$E$300,'ИТОГО Лэндинг'!$B$5:$B$300,$B158))</f>
        <v/>
      </c>
      <c r="F158" s="246" t="str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 t="str">
        <f>IF(F158="","",H158/F158)</f>
        <v/>
      </c>
      <c r="H158" s="247" t="str">
        <f>IF(F158="","",SUMIFS('ИТОГО Торговля'!$H$5:$H$300,'ИТОГО Торговля'!$B$5:$B$300,$B158)+SUMIFS('ИТОГО Лэндинг'!$H$5:$H$300,'ИТОГО Лэндинг'!$B$5:$B$300,$B158))</f>
        <v/>
      </c>
      <c r="I158" s="246" t="str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 t="str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 t="str">
        <f>IF(MIN(N(C158),N(F158))&lt;=0,"",ROUND(MIN(N(C158),N(F158))*(N(G158)-N(D158)),8))</f>
        <v/>
      </c>
      <c r="L158" s="183" t="str">
        <f>IF(MIN(N(C158),N(F158))&lt;=0,"",IF(N(D158)=0,"",ROUND((N(G158)/N(D158)-1)*100,2)))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 t="str">
        <f>IF(C159="","",E159/C159)</f>
        <v/>
      </c>
      <c r="E159" s="241" t="str">
        <f>IF(C159="","",SUMIFS('ИТОГО Торговля'!$E$5:$E$300,'ИТОГО Торговля'!$B$5:$B$300,$B159)+SUMIFS('ИТОГО Лэндинг'!$E$5:$E$300,'ИТОГО Лэндинг'!$B$5:$B$300,$B159))</f>
        <v/>
      </c>
      <c r="F159" s="240" t="str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 t="str">
        <f>IF(F159="","",H159/F159)</f>
        <v/>
      </c>
      <c r="H159" s="241" t="str">
        <f>IF(F159="","",SUMIFS('ИТОГО Торговля'!$H$5:$H$300,'ИТОГО Торговля'!$B$5:$B$300,$B159)+SUMIFS('ИТОГО Лэндинг'!$H$5:$H$300,'ИТОГО Лэндинг'!$B$5:$B$300,$B159))</f>
        <v/>
      </c>
      <c r="I159" s="240" t="str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 t="str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 t="str">
        <f>IF(MIN(N(C159),N(F159))&lt;=0,"",ROUND(MIN(N(C159),N(F159))*(N(G159)-N(D159)),8))</f>
        <v/>
      </c>
      <c r="L159" s="177" t="str">
        <f>IF(MIN(N(C159),N(F159))&lt;=0,"",IF(N(D159)=0,"",ROUND((N(G159)/N(D159)-1)*100,2)))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 t="str">
        <f>IF(C160="","",E160/C160)</f>
        <v/>
      </c>
      <c r="E160" s="247" t="str">
        <f>IF(C160="","",SUMIFS('ИТОГО Торговля'!$E$5:$E$300,'ИТОГО Торговля'!$B$5:$B$300,$B160)+SUMIFS('ИТОГО Лэндинг'!$E$5:$E$300,'ИТОГО Лэндинг'!$B$5:$B$300,$B160))</f>
        <v/>
      </c>
      <c r="F160" s="246" t="str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 t="str">
        <f>IF(F160="","",H160/F160)</f>
        <v/>
      </c>
      <c r="H160" s="247" t="str">
        <f>IF(F160="","",SUMIFS('ИТОГО Торговля'!$H$5:$H$300,'ИТОГО Торговля'!$B$5:$B$300,$B160)+SUMIFS('ИТОГО Лэндинг'!$H$5:$H$300,'ИТОГО Лэндинг'!$B$5:$B$300,$B160))</f>
        <v/>
      </c>
      <c r="I160" s="246" t="str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 t="str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 t="str">
        <f>IF(MIN(N(C160),N(F160))&lt;=0,"",ROUND(MIN(N(C160),N(F160))*(N(G160)-N(D160)),8))</f>
        <v/>
      </c>
      <c r="L160" s="183" t="str">
        <f>IF(MIN(N(C160),N(F160))&lt;=0,"",IF(N(D160)=0,"",ROUND((N(G160)/N(D160)-1)*100,2)))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 t="str">
        <f>IF(C161="","",E161/C161)</f>
        <v/>
      </c>
      <c r="E161" s="241" t="str">
        <f>IF(C161="","",SUMIFS('ИТОГО Торговля'!$E$5:$E$300,'ИТОГО Торговля'!$B$5:$B$300,$B161)+SUMIFS('ИТОГО Лэндинг'!$E$5:$E$300,'ИТОГО Лэндинг'!$B$5:$B$300,$B161))</f>
        <v/>
      </c>
      <c r="F161" s="240" t="str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 t="str">
        <f>IF(F161="","",H161/F161)</f>
        <v/>
      </c>
      <c r="H161" s="241" t="str">
        <f>IF(F161="","",SUMIFS('ИТОГО Торговля'!$H$5:$H$300,'ИТОГО Торговля'!$B$5:$B$300,$B161)+SUMIFS('ИТОГО Лэндинг'!$H$5:$H$300,'ИТОГО Лэндинг'!$B$5:$B$300,$B161))</f>
        <v/>
      </c>
      <c r="I161" s="240" t="str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 t="str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 t="str">
        <f>IF(MIN(N(C161),N(F161))&lt;=0,"",ROUND(MIN(N(C161),N(F161))*(N(G161)-N(D161)),8))</f>
        <v/>
      </c>
      <c r="L161" s="177" t="str">
        <f>IF(MIN(N(C161),N(F161))&lt;=0,"",IF(N(D161)=0,"",ROUND((N(G161)/N(D161)-1)*100,2)))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 t="str">
        <f>IF(C162="","",E162/C162)</f>
        <v/>
      </c>
      <c r="E162" s="247" t="str">
        <f>IF(C162="","",SUMIFS('ИТОГО Торговля'!$E$5:$E$300,'ИТОГО Торговля'!$B$5:$B$300,$B162)+SUMIFS('ИТОГО Лэндинг'!$E$5:$E$300,'ИТОГО Лэндинг'!$B$5:$B$300,$B162))</f>
        <v/>
      </c>
      <c r="F162" s="246" t="str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 t="str">
        <f>IF(F162="","",H162/F162)</f>
        <v/>
      </c>
      <c r="H162" s="247" t="str">
        <f>IF(F162="","",SUMIFS('ИТОГО Торговля'!$H$5:$H$300,'ИТОГО Торговля'!$B$5:$B$300,$B162)+SUMIFS('ИТОГО Лэндинг'!$H$5:$H$300,'ИТОГО Лэндинг'!$B$5:$B$300,$B162))</f>
        <v/>
      </c>
      <c r="I162" s="246" t="str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 t="str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 t="str">
        <f>IF(MIN(N(C162),N(F162))&lt;=0,"",ROUND(MIN(N(C162),N(F162))*(N(G162)-N(D162)),8))</f>
        <v/>
      </c>
      <c r="L162" s="183" t="str">
        <f>IF(MIN(N(C162),N(F162))&lt;=0,"",IF(N(D162)=0,"",ROUND((N(G162)/N(D162)-1)*100,2)))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 t="str">
        <f>IF(C163="","",E163/C163)</f>
        <v/>
      </c>
      <c r="E163" s="241" t="str">
        <f>IF(C163="","",SUMIFS('ИТОГО Торговля'!$E$5:$E$300,'ИТОГО Торговля'!$B$5:$B$300,$B163)+SUMIFS('ИТОГО Лэндинг'!$E$5:$E$300,'ИТОГО Лэндинг'!$B$5:$B$300,$B163))</f>
        <v/>
      </c>
      <c r="F163" s="240" t="str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 t="str">
        <f>IF(F163="","",H163/F163)</f>
        <v/>
      </c>
      <c r="H163" s="241" t="str">
        <f>IF(F163="","",SUMIFS('ИТОГО Торговля'!$H$5:$H$300,'ИТОГО Торговля'!$B$5:$B$300,$B163)+SUMIFS('ИТОГО Лэндинг'!$H$5:$H$300,'ИТОГО Лэндинг'!$B$5:$B$300,$B163))</f>
        <v/>
      </c>
      <c r="I163" s="240" t="str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 t="str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 t="str">
        <f>IF(MIN(N(C163),N(F163))&lt;=0,"",ROUND(MIN(N(C163),N(F163))*(N(G163)-N(D163)),8))</f>
        <v/>
      </c>
      <c r="L163" s="177" t="str">
        <f>IF(MIN(N(C163),N(F163))&lt;=0,"",IF(N(D163)=0,"",ROUND((N(G163)/N(D163)-1)*100,2)))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 t="str">
        <f>IF(C164="","",E164/C164)</f>
        <v/>
      </c>
      <c r="E164" s="247" t="str">
        <f>IF(C164="","",SUMIFS('ИТОГО Торговля'!$E$5:$E$300,'ИТОГО Торговля'!$B$5:$B$300,$B164)+SUMIFS('ИТОГО Лэндинг'!$E$5:$E$300,'ИТОГО Лэндинг'!$B$5:$B$300,$B164))</f>
        <v/>
      </c>
      <c r="F164" s="246" t="str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 t="str">
        <f>IF(F164="","",H164/F164)</f>
        <v/>
      </c>
      <c r="H164" s="247" t="str">
        <f>IF(F164="","",SUMIFS('ИТОГО Торговля'!$H$5:$H$300,'ИТОГО Торговля'!$B$5:$B$300,$B164)+SUMIFS('ИТОГО Лэндинг'!$H$5:$H$300,'ИТОГО Лэндинг'!$B$5:$B$300,$B164))</f>
        <v/>
      </c>
      <c r="I164" s="246" t="str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 t="str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 t="str">
        <f>IF(MIN(N(C164),N(F164))&lt;=0,"",ROUND(MIN(N(C164),N(F164))*(N(G164)-N(D164)),8))</f>
        <v/>
      </c>
      <c r="L164" s="183" t="str">
        <f>IF(MIN(N(C164),N(F164))&lt;=0,"",IF(N(D164)=0,"",ROUND((N(G164)/N(D164)-1)*100,2)))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 t="str">
        <f>IF(C165="","",E165/C165)</f>
        <v/>
      </c>
      <c r="E165" s="241" t="str">
        <f>IF(C165="","",SUMIFS('ИТОГО Торговля'!$E$5:$E$300,'ИТОГО Торговля'!$B$5:$B$300,$B165)+SUMIFS('ИТОГО Лэндинг'!$E$5:$E$300,'ИТОГО Лэндинг'!$B$5:$B$300,$B165))</f>
        <v/>
      </c>
      <c r="F165" s="240" t="str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 t="str">
        <f>IF(F165="","",H165/F165)</f>
        <v/>
      </c>
      <c r="H165" s="241" t="str">
        <f>IF(F165="","",SUMIFS('ИТОГО Торговля'!$H$5:$H$300,'ИТОГО Торговля'!$B$5:$B$300,$B165)+SUMIFS('ИТОГО Лэндинг'!$H$5:$H$300,'ИТОГО Лэндинг'!$B$5:$B$300,$B165))</f>
        <v/>
      </c>
      <c r="I165" s="240" t="str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 t="str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 t="str">
        <f>IF(MIN(N(C165),N(F165))&lt;=0,"",ROUND(MIN(N(C165),N(F165))*(N(G165)-N(D165)),8))</f>
        <v/>
      </c>
      <c r="L165" s="177" t="str">
        <f>IF(MIN(N(C165),N(F165))&lt;=0,"",IF(N(D165)=0,"",ROUND((N(G165)/N(D165)-1)*100,2)))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 t="str">
        <f>IF(C166="","",E166/C166)</f>
        <v/>
      </c>
      <c r="E166" s="247" t="str">
        <f>IF(C166="","",SUMIFS('ИТОГО Торговля'!$E$5:$E$300,'ИТОГО Торговля'!$B$5:$B$300,$B166)+SUMIFS('ИТОГО Лэндинг'!$E$5:$E$300,'ИТОГО Лэндинг'!$B$5:$B$300,$B166))</f>
        <v/>
      </c>
      <c r="F166" s="246" t="str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 t="str">
        <f>IF(F166="","",H166/F166)</f>
        <v/>
      </c>
      <c r="H166" s="247" t="str">
        <f>IF(F166="","",SUMIFS('ИТОГО Торговля'!$H$5:$H$300,'ИТОГО Торговля'!$B$5:$B$300,$B166)+SUMIFS('ИТОГО Лэндинг'!$H$5:$H$300,'ИТОГО Лэндинг'!$B$5:$B$300,$B166))</f>
        <v/>
      </c>
      <c r="I166" s="246" t="str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 t="str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 t="str">
        <f>IF(MIN(N(C166),N(F166))&lt;=0,"",ROUND(MIN(N(C166),N(F166))*(N(G166)-N(D166)),8))</f>
        <v/>
      </c>
      <c r="L166" s="183" t="str">
        <f>IF(MIN(N(C166),N(F166))&lt;=0,"",IF(N(D166)=0,"",ROUND((N(G166)/N(D166)-1)*100,2)))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 t="str">
        <f>IF(C167="","",E167/C167)</f>
        <v/>
      </c>
      <c r="E167" s="241" t="str">
        <f>IF(C167="","",SUMIFS('ИТОГО Торговля'!$E$5:$E$300,'ИТОГО Торговля'!$B$5:$B$300,$B167)+SUMIFS('ИТОГО Лэндинг'!$E$5:$E$300,'ИТОГО Лэндинг'!$B$5:$B$300,$B167))</f>
        <v/>
      </c>
      <c r="F167" s="240" t="str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 t="str">
        <f>IF(F167="","",H167/F167)</f>
        <v/>
      </c>
      <c r="H167" s="241" t="str">
        <f>IF(F167="","",SUMIFS('ИТОГО Торговля'!$H$5:$H$300,'ИТОГО Торговля'!$B$5:$B$300,$B167)+SUMIFS('ИТОГО Лэндинг'!$H$5:$H$300,'ИТОГО Лэндинг'!$B$5:$B$300,$B167))</f>
        <v/>
      </c>
      <c r="I167" s="240" t="str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 t="str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 t="str">
        <f>IF(MIN(N(C167),N(F167))&lt;=0,"",ROUND(MIN(N(C167),N(F167))*(N(G167)-N(D167)),8))</f>
        <v/>
      </c>
      <c r="L167" s="177" t="str">
        <f>IF(MIN(N(C167),N(F167))&lt;=0,"",IF(N(D167)=0,"",ROUND((N(G167)/N(D167)-1)*100,2)))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 t="str">
        <f>IF(C168="","",E168/C168)</f>
        <v/>
      </c>
      <c r="E168" s="247" t="str">
        <f>IF(C168="","",SUMIFS('ИТОГО Торговля'!$E$5:$E$300,'ИТОГО Торговля'!$B$5:$B$300,$B168)+SUMIFS('ИТОГО Лэндинг'!$E$5:$E$300,'ИТОГО Лэндинг'!$B$5:$B$300,$B168))</f>
        <v/>
      </c>
      <c r="F168" s="246" t="str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 t="str">
        <f>IF(F168="","",H168/F168)</f>
        <v/>
      </c>
      <c r="H168" s="247" t="str">
        <f>IF(F168="","",SUMIFS('ИТОГО Торговля'!$H$5:$H$300,'ИТОГО Торговля'!$B$5:$B$300,$B168)+SUMIFS('ИТОГО Лэндинг'!$H$5:$H$300,'ИТОГО Лэндинг'!$B$5:$B$300,$B168))</f>
        <v/>
      </c>
      <c r="I168" s="246" t="str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 t="str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 t="str">
        <f>IF(MIN(N(C168),N(F168))&lt;=0,"",ROUND(MIN(N(C168),N(F168))*(N(G168)-N(D168)),8))</f>
        <v/>
      </c>
      <c r="L168" s="183" t="str">
        <f>IF(MIN(N(C168),N(F168))&lt;=0,"",IF(N(D168)=0,"",ROUND((N(G168)/N(D168)-1)*100,2)))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 t="str">
        <f>IF(C169="","",E169/C169)</f>
        <v/>
      </c>
      <c r="E169" s="241" t="str">
        <f>IF(C169="","",SUMIFS('ИТОГО Торговля'!$E$5:$E$300,'ИТОГО Торговля'!$B$5:$B$300,$B169)+SUMIFS('ИТОГО Лэндинг'!$E$5:$E$300,'ИТОГО Лэндинг'!$B$5:$B$300,$B169))</f>
        <v/>
      </c>
      <c r="F169" s="240" t="str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 t="str">
        <f>IF(F169="","",H169/F169)</f>
        <v/>
      </c>
      <c r="H169" s="241" t="str">
        <f>IF(F169="","",SUMIFS('ИТОГО Торговля'!$H$5:$H$300,'ИТОГО Торговля'!$B$5:$B$300,$B169)+SUMIFS('ИТОГО Лэндинг'!$H$5:$H$300,'ИТОГО Лэндинг'!$B$5:$B$300,$B169))</f>
        <v/>
      </c>
      <c r="I169" s="240" t="str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 t="str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 t="str">
        <f>IF(MIN(N(C169),N(F169))&lt;=0,"",ROUND(MIN(N(C169),N(F169))*(N(G169)-N(D169)),8))</f>
        <v/>
      </c>
      <c r="L169" s="177" t="str">
        <f>IF(MIN(N(C169),N(F169))&lt;=0,"",IF(N(D169)=0,"",ROUND((N(G169)/N(D169)-1)*100,2)))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 t="str">
        <f>IF(C170="","",E170/C170)</f>
        <v/>
      </c>
      <c r="E170" s="247" t="str">
        <f>IF(C170="","",SUMIFS('ИТОГО Торговля'!$E$5:$E$300,'ИТОГО Торговля'!$B$5:$B$300,$B170)+SUMIFS('ИТОГО Лэндинг'!$E$5:$E$300,'ИТОГО Лэндинг'!$B$5:$B$300,$B170))</f>
        <v/>
      </c>
      <c r="F170" s="246" t="str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 t="str">
        <f>IF(F170="","",H170/F170)</f>
        <v/>
      </c>
      <c r="H170" s="247" t="str">
        <f>IF(F170="","",SUMIFS('ИТОГО Торговля'!$H$5:$H$300,'ИТОГО Торговля'!$B$5:$B$300,$B170)+SUMIFS('ИТОГО Лэндинг'!$H$5:$H$300,'ИТОГО Лэндинг'!$B$5:$B$300,$B170))</f>
        <v/>
      </c>
      <c r="I170" s="246" t="str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 t="str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 t="str">
        <f>IF(MIN(N(C170),N(F170))&lt;=0,"",ROUND(MIN(N(C170),N(F170))*(N(G170)-N(D170)),8))</f>
        <v/>
      </c>
      <c r="L170" s="183" t="str">
        <f>IF(MIN(N(C170),N(F170))&lt;=0,"",IF(N(D170)=0,"",ROUND((N(G170)/N(D170)-1)*100,2)))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 t="str">
        <f>IF(C171="","",E171/C171)</f>
        <v/>
      </c>
      <c r="E171" s="241" t="str">
        <f>IF(C171="","",SUMIFS('ИТОГО Торговля'!$E$5:$E$300,'ИТОГО Торговля'!$B$5:$B$300,$B171)+SUMIFS('ИТОГО Лэндинг'!$E$5:$E$300,'ИТОГО Лэндинг'!$B$5:$B$300,$B171))</f>
        <v/>
      </c>
      <c r="F171" s="240" t="str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 t="str">
        <f>IF(F171="","",H171/F171)</f>
        <v/>
      </c>
      <c r="H171" s="241" t="str">
        <f>IF(F171="","",SUMIFS('ИТОГО Торговля'!$H$5:$H$300,'ИТОГО Торговля'!$B$5:$B$300,$B171)+SUMIFS('ИТОГО Лэндинг'!$H$5:$H$300,'ИТОГО Лэндинг'!$B$5:$B$300,$B171))</f>
        <v/>
      </c>
      <c r="I171" s="240" t="str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 t="str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 t="str">
        <f>IF(MIN(N(C171),N(F171))&lt;=0,"",ROUND(MIN(N(C171),N(F171))*(N(G171)-N(D171)),8))</f>
        <v/>
      </c>
      <c r="L171" s="177" t="str">
        <f>IF(MIN(N(C171),N(F171))&lt;=0,"",IF(N(D171)=0,"",ROUND((N(G171)/N(D171)-1)*100,2)))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 t="str">
        <f>IF(C172="","",E172/C172)</f>
        <v/>
      </c>
      <c r="E172" s="247" t="str">
        <f>IF(C172="","",SUMIFS('ИТОГО Торговля'!$E$5:$E$300,'ИТОГО Торговля'!$B$5:$B$300,$B172)+SUMIFS('ИТОГО Лэндинг'!$E$5:$E$300,'ИТОГО Лэндинг'!$B$5:$B$300,$B172))</f>
        <v/>
      </c>
      <c r="F172" s="246" t="str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 t="str">
        <f>IF(F172="","",H172/F172)</f>
        <v/>
      </c>
      <c r="H172" s="247" t="str">
        <f>IF(F172="","",SUMIFS('ИТОГО Торговля'!$H$5:$H$300,'ИТОГО Торговля'!$B$5:$B$300,$B172)+SUMIFS('ИТОГО Лэндинг'!$H$5:$H$300,'ИТОГО Лэндинг'!$B$5:$B$300,$B172))</f>
        <v/>
      </c>
      <c r="I172" s="246" t="str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 t="str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 t="str">
        <f>IF(MIN(N(C172),N(F172))&lt;=0,"",ROUND(MIN(N(C172),N(F172))*(N(G172)-N(D172)),8))</f>
        <v/>
      </c>
      <c r="L172" s="183" t="str">
        <f>IF(MIN(N(C172),N(F172))&lt;=0,"",IF(N(D172)=0,"",ROUND((N(G172)/N(D172)-1)*100,2)))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 t="str">
        <f>IF(C173="","",E173/C173)</f>
        <v/>
      </c>
      <c r="E173" s="241" t="str">
        <f>IF(C173="","",SUMIFS('ИТОГО Торговля'!$E$5:$E$300,'ИТОГО Торговля'!$B$5:$B$300,$B173)+SUMIFS('ИТОГО Лэндинг'!$E$5:$E$300,'ИТОГО Лэндинг'!$B$5:$B$300,$B173))</f>
        <v/>
      </c>
      <c r="F173" s="240" t="str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 t="str">
        <f>IF(F173="","",H173/F173)</f>
        <v/>
      </c>
      <c r="H173" s="241" t="str">
        <f>IF(F173="","",SUMIFS('ИТОГО Торговля'!$H$5:$H$300,'ИТОГО Торговля'!$B$5:$B$300,$B173)+SUMIFS('ИТОГО Лэндинг'!$H$5:$H$300,'ИТОГО Лэндинг'!$B$5:$B$300,$B173))</f>
        <v/>
      </c>
      <c r="I173" s="240" t="str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 t="str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 t="str">
        <f>IF(MIN(N(C173),N(F173))&lt;=0,"",ROUND(MIN(N(C173),N(F173))*(N(G173)-N(D173)),8))</f>
        <v/>
      </c>
      <c r="L173" s="177" t="str">
        <f>IF(MIN(N(C173),N(F173))&lt;=0,"",IF(N(D173)=0,"",ROUND((N(G173)/N(D173)-1)*100,2)))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 t="str">
        <f>IF(C174="","",E174/C174)</f>
        <v/>
      </c>
      <c r="E174" s="247" t="str">
        <f>IF(C174="","",SUMIFS('ИТОГО Торговля'!$E$5:$E$300,'ИТОГО Торговля'!$B$5:$B$300,$B174)+SUMIFS('ИТОГО Лэндинг'!$E$5:$E$300,'ИТОГО Лэндинг'!$B$5:$B$300,$B174))</f>
        <v/>
      </c>
      <c r="F174" s="246" t="str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 t="str">
        <f>IF(F174="","",H174/F174)</f>
        <v/>
      </c>
      <c r="H174" s="247" t="str">
        <f>IF(F174="","",SUMIFS('ИТОГО Торговля'!$H$5:$H$300,'ИТОГО Торговля'!$B$5:$B$300,$B174)+SUMIFS('ИТОГО Лэндинг'!$H$5:$H$300,'ИТОГО Лэндинг'!$B$5:$B$300,$B174))</f>
        <v/>
      </c>
      <c r="I174" s="246" t="str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 t="str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 t="str">
        <f>IF(MIN(N(C174),N(F174))&lt;=0,"",ROUND(MIN(N(C174),N(F174))*(N(G174)-N(D174)),8))</f>
        <v/>
      </c>
      <c r="L174" s="183" t="str">
        <f>IF(MIN(N(C174),N(F174))&lt;=0,"",IF(N(D174)=0,"",ROUND((N(G174)/N(D174)-1)*100,2)))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 t="str">
        <f>IF(C175="","",E175/C175)</f>
        <v/>
      </c>
      <c r="E175" s="241" t="str">
        <f>IF(C175="","",SUMIFS('ИТОГО Торговля'!$E$5:$E$300,'ИТОГО Торговля'!$B$5:$B$300,$B175)+SUMIFS('ИТОГО Лэндинг'!$E$5:$E$300,'ИТОГО Лэндинг'!$B$5:$B$300,$B175))</f>
        <v/>
      </c>
      <c r="F175" s="240" t="str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 t="str">
        <f>IF(F175="","",H175/F175)</f>
        <v/>
      </c>
      <c r="H175" s="241" t="str">
        <f>IF(F175="","",SUMIFS('ИТОГО Торговля'!$H$5:$H$300,'ИТОГО Торговля'!$B$5:$B$300,$B175)+SUMIFS('ИТОГО Лэндинг'!$H$5:$H$300,'ИТОГО Лэндинг'!$B$5:$B$300,$B175))</f>
        <v/>
      </c>
      <c r="I175" s="240" t="str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 t="str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 t="str">
        <f>IF(MIN(N(C175),N(F175))&lt;=0,"",ROUND(MIN(N(C175),N(F175))*(N(G175)-N(D175)),8))</f>
        <v/>
      </c>
      <c r="L175" s="177" t="str">
        <f>IF(MIN(N(C175),N(F175))&lt;=0,"",IF(N(D175)=0,"",ROUND((N(G175)/N(D175)-1)*100,2)))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 t="str">
        <f>IF(C176="","",E176/C176)</f>
        <v/>
      </c>
      <c r="E176" s="247" t="str">
        <f>IF(C176="","",SUMIFS('ИТОГО Торговля'!$E$5:$E$300,'ИТОГО Торговля'!$B$5:$B$300,$B176)+SUMIFS('ИТОГО Лэндинг'!$E$5:$E$300,'ИТОГО Лэндинг'!$B$5:$B$300,$B176))</f>
        <v/>
      </c>
      <c r="F176" s="246" t="str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 t="str">
        <f>IF(F176="","",H176/F176)</f>
        <v/>
      </c>
      <c r="H176" s="247" t="str">
        <f>IF(F176="","",SUMIFS('ИТОГО Торговля'!$H$5:$H$300,'ИТОГО Торговля'!$B$5:$B$300,$B176)+SUMIFS('ИТОГО Лэндинг'!$H$5:$H$300,'ИТОГО Лэндинг'!$B$5:$B$300,$B176))</f>
        <v/>
      </c>
      <c r="I176" s="246" t="str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 t="str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 t="str">
        <f>IF(MIN(N(C176),N(F176))&lt;=0,"",ROUND(MIN(N(C176),N(F176))*(N(G176)-N(D176)),8))</f>
        <v/>
      </c>
      <c r="L176" s="183" t="str">
        <f>IF(MIN(N(C176),N(F176))&lt;=0,"",IF(N(D176)=0,"",ROUND((N(G176)/N(D176)-1)*100,2)))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 t="str">
        <f>IF(C177="","",E177/C177)</f>
        <v/>
      </c>
      <c r="E177" s="241" t="str">
        <f>IF(C177="","",SUMIFS('ИТОГО Торговля'!$E$5:$E$300,'ИТОГО Торговля'!$B$5:$B$300,$B177)+SUMIFS('ИТОГО Лэндинг'!$E$5:$E$300,'ИТОГО Лэндинг'!$B$5:$B$300,$B177))</f>
        <v/>
      </c>
      <c r="F177" s="240" t="str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 t="str">
        <f>IF(F177="","",H177/F177)</f>
        <v/>
      </c>
      <c r="H177" s="241" t="str">
        <f>IF(F177="","",SUMIFS('ИТОГО Торговля'!$H$5:$H$300,'ИТОГО Торговля'!$B$5:$B$300,$B177)+SUMIFS('ИТОГО Лэндинг'!$H$5:$H$300,'ИТОГО Лэндинг'!$B$5:$B$300,$B177))</f>
        <v/>
      </c>
      <c r="I177" s="240" t="str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 t="str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 t="str">
        <f>IF(MIN(N(C177),N(F177))&lt;=0,"",ROUND(MIN(N(C177),N(F177))*(N(G177)-N(D177)),8))</f>
        <v/>
      </c>
      <c r="L177" s="177" t="str">
        <f>IF(MIN(N(C177),N(F177))&lt;=0,"",IF(N(D177)=0,"",ROUND((N(G177)/N(D177)-1)*100,2)))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 t="str">
        <f>IF(C178="","",E178/C178)</f>
        <v/>
      </c>
      <c r="E178" s="247" t="str">
        <f>IF(C178="","",SUMIFS('ИТОГО Торговля'!$E$5:$E$300,'ИТОГО Торговля'!$B$5:$B$300,$B178)+SUMIFS('ИТОГО Лэндинг'!$E$5:$E$300,'ИТОГО Лэндинг'!$B$5:$B$300,$B178))</f>
        <v/>
      </c>
      <c r="F178" s="246" t="str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 t="str">
        <f>IF(F178="","",H178/F178)</f>
        <v/>
      </c>
      <c r="H178" s="247" t="str">
        <f>IF(F178="","",SUMIFS('ИТОГО Торговля'!$H$5:$H$300,'ИТОГО Торговля'!$B$5:$B$300,$B178)+SUMIFS('ИТОГО Лэндинг'!$H$5:$H$300,'ИТОГО Лэндинг'!$B$5:$B$300,$B178))</f>
        <v/>
      </c>
      <c r="I178" s="246" t="str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 t="str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 t="str">
        <f>IF(MIN(N(C178),N(F178))&lt;=0,"",ROUND(MIN(N(C178),N(F178))*(N(G178)-N(D178)),8))</f>
        <v/>
      </c>
      <c r="L178" s="183" t="str">
        <f>IF(MIN(N(C178),N(F178))&lt;=0,"",IF(N(D178)=0,"",ROUND((N(G178)/N(D178)-1)*100,2)))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 t="str">
        <f>IF(C179="","",E179/C179)</f>
        <v/>
      </c>
      <c r="E179" s="241" t="str">
        <f>IF(C179="","",SUMIFS('ИТОГО Торговля'!$E$5:$E$300,'ИТОГО Торговля'!$B$5:$B$300,$B179)+SUMIFS('ИТОГО Лэндинг'!$E$5:$E$300,'ИТОГО Лэндинг'!$B$5:$B$300,$B179))</f>
        <v/>
      </c>
      <c r="F179" s="240" t="str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 t="str">
        <f>IF(F179="","",H179/F179)</f>
        <v/>
      </c>
      <c r="H179" s="241" t="str">
        <f>IF(F179="","",SUMIFS('ИТОГО Торговля'!$H$5:$H$300,'ИТОГО Торговля'!$B$5:$B$300,$B179)+SUMIFS('ИТОГО Лэндинг'!$H$5:$H$300,'ИТОГО Лэндинг'!$B$5:$B$300,$B179))</f>
        <v/>
      </c>
      <c r="I179" s="240" t="str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 t="str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 t="str">
        <f>IF(MIN(N(C179),N(F179))&lt;=0,"",ROUND(MIN(N(C179),N(F179))*(N(G179)-N(D179)),8))</f>
        <v/>
      </c>
      <c r="L179" s="177" t="str">
        <f>IF(MIN(N(C179),N(F179))&lt;=0,"",IF(N(D179)=0,"",ROUND((N(G179)/N(D179)-1)*100,2)))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 t="str">
        <f>IF(C180="","",E180/C180)</f>
        <v/>
      </c>
      <c r="E180" s="247" t="str">
        <f>IF(C180="","",SUMIFS('ИТОГО Торговля'!$E$5:$E$300,'ИТОГО Торговля'!$B$5:$B$300,$B180)+SUMIFS('ИТОГО Лэндинг'!$E$5:$E$300,'ИТОГО Лэндинг'!$B$5:$B$300,$B180))</f>
        <v/>
      </c>
      <c r="F180" s="246" t="str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 t="str">
        <f>IF(F180="","",H180/F180)</f>
        <v/>
      </c>
      <c r="H180" s="247" t="str">
        <f>IF(F180="","",SUMIFS('ИТОГО Торговля'!$H$5:$H$300,'ИТОГО Торговля'!$B$5:$B$300,$B180)+SUMIFS('ИТОГО Лэндинг'!$H$5:$H$300,'ИТОГО Лэндинг'!$B$5:$B$300,$B180))</f>
        <v/>
      </c>
      <c r="I180" s="246" t="str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 t="str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 t="str">
        <f>IF(MIN(N(C180),N(F180))&lt;=0,"",ROUND(MIN(N(C180),N(F180))*(N(G180)-N(D180)),8))</f>
        <v/>
      </c>
      <c r="L180" s="183" t="str">
        <f>IF(MIN(N(C180),N(F180))&lt;=0,"",IF(N(D180)=0,"",ROUND((N(G180)/N(D180)-1)*100,2)))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 t="str">
        <f>IF(C181="","",E181/C181)</f>
        <v/>
      </c>
      <c r="E181" s="241" t="str">
        <f>IF(C181="","",SUMIFS('ИТОГО Торговля'!$E$5:$E$300,'ИТОГО Торговля'!$B$5:$B$300,$B181)+SUMIFS('ИТОГО Лэндинг'!$E$5:$E$300,'ИТОГО Лэндинг'!$B$5:$B$300,$B181))</f>
        <v/>
      </c>
      <c r="F181" s="240" t="str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 t="str">
        <f>IF(F181="","",H181/F181)</f>
        <v/>
      </c>
      <c r="H181" s="241" t="str">
        <f>IF(F181="","",SUMIFS('ИТОГО Торговля'!$H$5:$H$300,'ИТОГО Торговля'!$B$5:$B$300,$B181)+SUMIFS('ИТОГО Лэндинг'!$H$5:$H$300,'ИТОГО Лэндинг'!$B$5:$B$300,$B181))</f>
        <v/>
      </c>
      <c r="I181" s="240" t="str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 t="str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 t="str">
        <f>IF(MIN(N(C181),N(F181))&lt;=0,"",ROUND(MIN(N(C181),N(F181))*(N(G181)-N(D181)),8))</f>
        <v/>
      </c>
      <c r="L181" s="177" t="str">
        <f>IF(MIN(N(C181),N(F181))&lt;=0,"",IF(N(D181)=0,"",ROUND((N(G181)/N(D181)-1)*100,2)))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 t="str">
        <f>IF(C182="","",E182/C182)</f>
        <v/>
      </c>
      <c r="E182" s="247" t="str">
        <f>IF(C182="","",SUMIFS('ИТОГО Торговля'!$E$5:$E$300,'ИТОГО Торговля'!$B$5:$B$300,$B182)+SUMIFS('ИТОГО Лэндинг'!$E$5:$E$300,'ИТОГО Лэндинг'!$B$5:$B$300,$B182))</f>
        <v/>
      </c>
      <c r="F182" s="246" t="str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 t="str">
        <f>IF(F182="","",H182/F182)</f>
        <v/>
      </c>
      <c r="H182" s="247" t="str">
        <f>IF(F182="","",SUMIFS('ИТОГО Торговля'!$H$5:$H$300,'ИТОГО Торговля'!$B$5:$B$300,$B182)+SUMIFS('ИТОГО Лэндинг'!$H$5:$H$300,'ИТОГО Лэндинг'!$B$5:$B$300,$B182))</f>
        <v/>
      </c>
      <c r="I182" s="246" t="str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 t="str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 t="str">
        <f>IF(MIN(N(C182),N(F182))&lt;=0,"",ROUND(MIN(N(C182),N(F182))*(N(G182)-N(D182)),8))</f>
        <v/>
      </c>
      <c r="L182" s="183" t="str">
        <f>IF(MIN(N(C182),N(F182))&lt;=0,"",IF(N(D182)=0,"",ROUND((N(G182)/N(D182)-1)*100,2)))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 t="str">
        <f>IF(C183="","",E183/C183)</f>
        <v/>
      </c>
      <c r="E183" s="241" t="str">
        <f>IF(C183="","",SUMIFS('ИТОГО Торговля'!$E$5:$E$300,'ИТОГО Торговля'!$B$5:$B$300,$B183)+SUMIFS('ИТОГО Лэндинг'!$E$5:$E$300,'ИТОГО Лэндинг'!$B$5:$B$300,$B183))</f>
        <v/>
      </c>
      <c r="F183" s="240" t="str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 t="str">
        <f>IF(F183="","",H183/F183)</f>
        <v/>
      </c>
      <c r="H183" s="241" t="str">
        <f>IF(F183="","",SUMIFS('ИТОГО Торговля'!$H$5:$H$300,'ИТОГО Торговля'!$B$5:$B$300,$B183)+SUMIFS('ИТОГО Лэндинг'!$H$5:$H$300,'ИТОГО Лэндинг'!$B$5:$B$300,$B183))</f>
        <v/>
      </c>
      <c r="I183" s="240" t="str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 t="str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 t="str">
        <f>IF(MIN(N(C183),N(F183))&lt;=0,"",ROUND(MIN(N(C183),N(F183))*(N(G183)-N(D183)),8))</f>
        <v/>
      </c>
      <c r="L183" s="177" t="str">
        <f>IF(MIN(N(C183),N(F183))&lt;=0,"",IF(N(D183)=0,"",ROUND((N(G183)/N(D183)-1)*100,2)))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 t="str">
        <f>IF(C184="","",E184/C184)</f>
        <v/>
      </c>
      <c r="E184" s="247" t="str">
        <f>IF(C184="","",SUMIFS('ИТОГО Торговля'!$E$5:$E$300,'ИТОГО Торговля'!$B$5:$B$300,$B184)+SUMIFS('ИТОГО Лэндинг'!$E$5:$E$300,'ИТОГО Лэндинг'!$B$5:$B$300,$B184))</f>
        <v/>
      </c>
      <c r="F184" s="246" t="str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 t="str">
        <f>IF(F184="","",H184/F184)</f>
        <v/>
      </c>
      <c r="H184" s="247" t="str">
        <f>IF(F184="","",SUMIFS('ИТОГО Торговля'!$H$5:$H$300,'ИТОГО Торговля'!$B$5:$B$300,$B184)+SUMIFS('ИТОГО Лэндинг'!$H$5:$H$300,'ИТОГО Лэндинг'!$B$5:$B$300,$B184))</f>
        <v/>
      </c>
      <c r="I184" s="246" t="str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 t="str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 t="str">
        <f>IF(MIN(N(C184),N(F184))&lt;=0,"",ROUND(MIN(N(C184),N(F184))*(N(G184)-N(D184)),8))</f>
        <v/>
      </c>
      <c r="L184" s="183" t="str">
        <f>IF(MIN(N(C184),N(F184))&lt;=0,"",IF(N(D184)=0,"",ROUND((N(G184)/N(D184)-1)*100,2)))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 t="str">
        <f>IF(C185="","",E185/C185)</f>
        <v/>
      </c>
      <c r="E185" s="241" t="str">
        <f>IF(C185="","",SUMIFS('ИТОГО Торговля'!$E$5:$E$300,'ИТОГО Торговля'!$B$5:$B$300,$B185)+SUMIFS('ИТОГО Лэндинг'!$E$5:$E$300,'ИТОГО Лэндинг'!$B$5:$B$300,$B185))</f>
        <v/>
      </c>
      <c r="F185" s="240" t="str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 t="str">
        <f>IF(F185="","",H185/F185)</f>
        <v/>
      </c>
      <c r="H185" s="241" t="str">
        <f>IF(F185="","",SUMIFS('ИТОГО Торговля'!$H$5:$H$300,'ИТОГО Торговля'!$B$5:$B$300,$B185)+SUMIFS('ИТОГО Лэндинг'!$H$5:$H$300,'ИТОГО Лэндинг'!$B$5:$B$300,$B185))</f>
        <v/>
      </c>
      <c r="I185" s="240" t="str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 t="str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 t="str">
        <f>IF(MIN(N(C185),N(F185))&lt;=0,"",ROUND(MIN(N(C185),N(F185))*(N(G185)-N(D185)),8))</f>
        <v/>
      </c>
      <c r="L185" s="177" t="str">
        <f>IF(MIN(N(C185),N(F185))&lt;=0,"",IF(N(D185)=0,"",ROUND((N(G185)/N(D185)-1)*100,2)))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 t="str">
        <f>IF(C186="","",E186/C186)</f>
        <v/>
      </c>
      <c r="E186" s="247" t="str">
        <f>IF(C186="","",SUMIFS('ИТОГО Торговля'!$E$5:$E$300,'ИТОГО Торговля'!$B$5:$B$300,$B186)+SUMIFS('ИТОГО Лэндинг'!$E$5:$E$300,'ИТОГО Лэндинг'!$B$5:$B$300,$B186))</f>
        <v/>
      </c>
      <c r="F186" s="246" t="str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 t="str">
        <f>IF(F186="","",H186/F186)</f>
        <v/>
      </c>
      <c r="H186" s="247" t="str">
        <f>IF(F186="","",SUMIFS('ИТОГО Торговля'!$H$5:$H$300,'ИТОГО Торговля'!$B$5:$B$300,$B186)+SUMIFS('ИТОГО Лэндинг'!$H$5:$H$300,'ИТОГО Лэндинг'!$B$5:$B$300,$B186))</f>
        <v/>
      </c>
      <c r="I186" s="246" t="str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 t="str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 t="str">
        <f>IF(MIN(N(C186),N(F186))&lt;=0,"",ROUND(MIN(N(C186),N(F186))*(N(G186)-N(D186)),8))</f>
        <v/>
      </c>
      <c r="L186" s="183" t="str">
        <f>IF(MIN(N(C186),N(F186))&lt;=0,"",IF(N(D186)=0,"",ROUND((N(G186)/N(D186)-1)*100,2)))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 t="str">
        <f>IF(C187="","",E187/C187)</f>
        <v/>
      </c>
      <c r="E187" s="241" t="str">
        <f>IF(C187="","",SUMIFS('ИТОГО Торговля'!$E$5:$E$300,'ИТОГО Торговля'!$B$5:$B$300,$B187)+SUMIFS('ИТОГО Лэндинг'!$E$5:$E$300,'ИТОГО Лэндинг'!$B$5:$B$300,$B187))</f>
        <v/>
      </c>
      <c r="F187" s="240" t="str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 t="str">
        <f>IF(F187="","",H187/F187)</f>
        <v/>
      </c>
      <c r="H187" s="241" t="str">
        <f>IF(F187="","",SUMIFS('ИТОГО Торговля'!$H$5:$H$300,'ИТОГО Торговля'!$B$5:$B$300,$B187)+SUMIFS('ИТОГО Лэндинг'!$H$5:$H$300,'ИТОГО Лэндинг'!$B$5:$B$300,$B187))</f>
        <v/>
      </c>
      <c r="I187" s="240" t="str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 t="str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 t="str">
        <f>IF(MIN(N(C187),N(F187))&lt;=0,"",ROUND(MIN(N(C187),N(F187))*(N(G187)-N(D187)),8))</f>
        <v/>
      </c>
      <c r="L187" s="177" t="str">
        <f>IF(MIN(N(C187),N(F187))&lt;=0,"",IF(N(D187)=0,"",ROUND((N(G187)/N(D187)-1)*100,2)))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 t="str">
        <f>IF(C188="","",E188/C188)</f>
        <v/>
      </c>
      <c r="E188" s="247" t="str">
        <f>IF(C188="","",SUMIFS('ИТОГО Торговля'!$E$5:$E$300,'ИТОГО Торговля'!$B$5:$B$300,$B188)+SUMIFS('ИТОГО Лэндинг'!$E$5:$E$300,'ИТОГО Лэндинг'!$B$5:$B$300,$B188))</f>
        <v/>
      </c>
      <c r="F188" s="246" t="str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 t="str">
        <f>IF(F188="","",H188/F188)</f>
        <v/>
      </c>
      <c r="H188" s="247" t="str">
        <f>IF(F188="","",SUMIFS('ИТОГО Торговля'!$H$5:$H$300,'ИТОГО Торговля'!$B$5:$B$300,$B188)+SUMIFS('ИТОГО Лэндинг'!$H$5:$H$300,'ИТОГО Лэндинг'!$B$5:$B$300,$B188))</f>
        <v/>
      </c>
      <c r="I188" s="246" t="str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 t="str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 t="str">
        <f>IF(MIN(N(C188),N(F188))&lt;=0,"",ROUND(MIN(N(C188),N(F188))*(N(G188)-N(D188)),8))</f>
        <v/>
      </c>
      <c r="L188" s="183" t="str">
        <f>IF(MIN(N(C188),N(F188))&lt;=0,"",IF(N(D188)=0,"",ROUND((N(G188)/N(D188)-1)*100,2)))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 t="str">
        <f>IF(C189="","",E189/C189)</f>
        <v/>
      </c>
      <c r="E189" s="241" t="str">
        <f>IF(C189="","",SUMIFS('ИТОГО Торговля'!$E$5:$E$300,'ИТОГО Торговля'!$B$5:$B$300,$B189)+SUMIFS('ИТОГО Лэндинг'!$E$5:$E$300,'ИТОГО Лэндинг'!$B$5:$B$300,$B189))</f>
        <v/>
      </c>
      <c r="F189" s="240" t="str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 t="str">
        <f>IF(F189="","",H189/F189)</f>
        <v/>
      </c>
      <c r="H189" s="241" t="str">
        <f>IF(F189="","",SUMIFS('ИТОГО Торговля'!$H$5:$H$300,'ИТОГО Торговля'!$B$5:$B$300,$B189)+SUMIFS('ИТОГО Лэндинг'!$H$5:$H$300,'ИТОГО Лэндинг'!$B$5:$B$300,$B189))</f>
        <v/>
      </c>
      <c r="I189" s="240" t="str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 t="str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 t="str">
        <f>IF(MIN(N(C189),N(F189))&lt;=0,"",ROUND(MIN(N(C189),N(F189))*(N(G189)-N(D189)),8))</f>
        <v/>
      </c>
      <c r="L189" s="177" t="str">
        <f>IF(MIN(N(C189),N(F189))&lt;=0,"",IF(N(D189)=0,"",ROUND((N(G189)/N(D189)-1)*100,2)))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 t="str">
        <f>IF(C190="","",E190/C190)</f>
        <v/>
      </c>
      <c r="E190" s="247" t="str">
        <f>IF(C190="","",SUMIFS('ИТОГО Торговля'!$E$5:$E$300,'ИТОГО Торговля'!$B$5:$B$300,$B190)+SUMIFS('ИТОГО Лэндинг'!$E$5:$E$300,'ИТОГО Лэндинг'!$B$5:$B$300,$B190))</f>
        <v/>
      </c>
      <c r="F190" s="246" t="str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 t="str">
        <f>IF(F190="","",H190/F190)</f>
        <v/>
      </c>
      <c r="H190" s="247" t="str">
        <f>IF(F190="","",SUMIFS('ИТОГО Торговля'!$H$5:$H$300,'ИТОГО Торговля'!$B$5:$B$300,$B190)+SUMIFS('ИТОГО Лэндинг'!$H$5:$H$300,'ИТОГО Лэндинг'!$B$5:$B$300,$B190))</f>
        <v/>
      </c>
      <c r="I190" s="246" t="str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 t="str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 t="str">
        <f>IF(MIN(N(C190),N(F190))&lt;=0,"",ROUND(MIN(N(C190),N(F190))*(N(G190)-N(D190)),8))</f>
        <v/>
      </c>
      <c r="L190" s="183" t="str">
        <f>IF(MIN(N(C190),N(F190))&lt;=0,"",IF(N(D190)=0,"",ROUND((N(G190)/N(D190)-1)*100,2)))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 t="str">
        <f>IF(C191="","",E191/C191)</f>
        <v/>
      </c>
      <c r="E191" s="241" t="str">
        <f>IF(C191="","",SUMIFS('ИТОГО Торговля'!$E$5:$E$300,'ИТОГО Торговля'!$B$5:$B$300,$B191)+SUMIFS('ИТОГО Лэндинг'!$E$5:$E$300,'ИТОГО Лэндинг'!$B$5:$B$300,$B191))</f>
        <v/>
      </c>
      <c r="F191" s="240" t="str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 t="str">
        <f>IF(F191="","",H191/F191)</f>
        <v/>
      </c>
      <c r="H191" s="241" t="str">
        <f>IF(F191="","",SUMIFS('ИТОГО Торговля'!$H$5:$H$300,'ИТОГО Торговля'!$B$5:$B$300,$B191)+SUMIFS('ИТОГО Лэндинг'!$H$5:$H$300,'ИТОГО Лэндинг'!$B$5:$B$300,$B191))</f>
        <v/>
      </c>
      <c r="I191" s="240" t="str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 t="str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 t="str">
        <f>IF(MIN(N(C191),N(F191))&lt;=0,"",ROUND(MIN(N(C191),N(F191))*(N(G191)-N(D191)),8))</f>
        <v/>
      </c>
      <c r="L191" s="177" t="str">
        <f>IF(MIN(N(C191),N(F191))&lt;=0,"",IF(N(D191)=0,"",ROUND((N(G191)/N(D191)-1)*100,2)))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 t="str">
        <f>IF(C192="","",E192/C192)</f>
        <v/>
      </c>
      <c r="E192" s="247" t="str">
        <f>IF(C192="","",SUMIFS('ИТОГО Торговля'!$E$5:$E$300,'ИТОГО Торговля'!$B$5:$B$300,$B192)+SUMIFS('ИТОГО Лэндинг'!$E$5:$E$300,'ИТОГО Лэндинг'!$B$5:$B$300,$B192))</f>
        <v/>
      </c>
      <c r="F192" s="246" t="str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 t="str">
        <f>IF(F192="","",H192/F192)</f>
        <v/>
      </c>
      <c r="H192" s="247" t="str">
        <f>IF(F192="","",SUMIFS('ИТОГО Торговля'!$H$5:$H$300,'ИТОГО Торговля'!$B$5:$B$300,$B192)+SUMIFS('ИТОГО Лэндинг'!$H$5:$H$300,'ИТОГО Лэндинг'!$B$5:$B$300,$B192))</f>
        <v/>
      </c>
      <c r="I192" s="246" t="str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 t="str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 t="str">
        <f>IF(MIN(N(C192),N(F192))&lt;=0,"",ROUND(MIN(N(C192),N(F192))*(N(G192)-N(D192)),8))</f>
        <v/>
      </c>
      <c r="L192" s="183" t="str">
        <f>IF(MIN(N(C192),N(F192))&lt;=0,"",IF(N(D192)=0,"",ROUND((N(G192)/N(D192)-1)*100,2)))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 t="str">
        <f>IF(C193="","",E193/C193)</f>
        <v/>
      </c>
      <c r="E193" s="241" t="str">
        <f>IF(C193="","",SUMIFS('ИТОГО Торговля'!$E$5:$E$300,'ИТОГО Торговля'!$B$5:$B$300,$B193)+SUMIFS('ИТОГО Лэндинг'!$E$5:$E$300,'ИТОГО Лэндинг'!$B$5:$B$300,$B193))</f>
        <v/>
      </c>
      <c r="F193" s="240" t="str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 t="str">
        <f>IF(F193="","",H193/F193)</f>
        <v/>
      </c>
      <c r="H193" s="241" t="str">
        <f>IF(F193="","",SUMIFS('ИТОГО Торговля'!$H$5:$H$300,'ИТОГО Торговля'!$B$5:$B$300,$B193)+SUMIFS('ИТОГО Лэндинг'!$H$5:$H$300,'ИТОГО Лэндинг'!$B$5:$B$300,$B193))</f>
        <v/>
      </c>
      <c r="I193" s="240" t="str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 t="str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 t="str">
        <f>IF(MIN(N(C193),N(F193))&lt;=0,"",ROUND(MIN(N(C193),N(F193))*(N(G193)-N(D193)),8))</f>
        <v/>
      </c>
      <c r="L193" s="177" t="str">
        <f>IF(MIN(N(C193),N(F193))&lt;=0,"",IF(N(D193)=0,"",ROUND((N(G193)/N(D193)-1)*100,2)))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 t="str">
        <f>IF(C194="","",E194/C194)</f>
        <v/>
      </c>
      <c r="E194" s="247" t="str">
        <f>IF(C194="","",SUMIFS('ИТОГО Торговля'!$E$5:$E$300,'ИТОГО Торговля'!$B$5:$B$300,$B194)+SUMIFS('ИТОГО Лэндинг'!$E$5:$E$300,'ИТОГО Лэндинг'!$B$5:$B$300,$B194))</f>
        <v/>
      </c>
      <c r="F194" s="246" t="str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 t="str">
        <f>IF(F194="","",H194/F194)</f>
        <v/>
      </c>
      <c r="H194" s="247" t="str">
        <f>IF(F194="","",SUMIFS('ИТОГО Торговля'!$H$5:$H$300,'ИТОГО Торговля'!$B$5:$B$300,$B194)+SUMIFS('ИТОГО Лэндинг'!$H$5:$H$300,'ИТОГО Лэндинг'!$B$5:$B$300,$B194))</f>
        <v/>
      </c>
      <c r="I194" s="246" t="str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 t="str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 t="str">
        <f>IF(MIN(N(C194),N(F194))&lt;=0,"",ROUND(MIN(N(C194),N(F194))*(N(G194)-N(D194)),8))</f>
        <v/>
      </c>
      <c r="L194" s="183" t="str">
        <f>IF(MIN(N(C194),N(F194))&lt;=0,"",IF(N(D194)=0,"",ROUND((N(G194)/N(D194)-1)*100,2)))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 t="str">
        <f>IF(C195="","",E195/C195)</f>
        <v/>
      </c>
      <c r="E195" s="241" t="str">
        <f>IF(C195="","",SUMIFS('ИТОГО Торговля'!$E$5:$E$300,'ИТОГО Торговля'!$B$5:$B$300,$B195)+SUMIFS('ИТОГО Лэндинг'!$E$5:$E$300,'ИТОГО Лэндинг'!$B$5:$B$300,$B195))</f>
        <v/>
      </c>
      <c r="F195" s="240" t="str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 t="str">
        <f>IF(F195="","",H195/F195)</f>
        <v/>
      </c>
      <c r="H195" s="241" t="str">
        <f>IF(F195="","",SUMIFS('ИТОГО Торговля'!$H$5:$H$300,'ИТОГО Торговля'!$B$5:$B$300,$B195)+SUMIFS('ИТОГО Лэндинг'!$H$5:$H$300,'ИТОГО Лэндинг'!$B$5:$B$300,$B195))</f>
        <v/>
      </c>
      <c r="I195" s="240" t="str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 t="str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 t="str">
        <f>IF(MIN(N(C195),N(F195))&lt;=0,"",ROUND(MIN(N(C195),N(F195))*(N(G195)-N(D195)),8))</f>
        <v/>
      </c>
      <c r="L195" s="177" t="str">
        <f>IF(MIN(N(C195),N(F195))&lt;=0,"",IF(N(D195)=0,"",ROUND((N(G195)/N(D195)-1)*100,2)))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 t="str">
        <f>IF(C196="","",E196/C196)</f>
        <v/>
      </c>
      <c r="E196" s="247" t="str">
        <f>IF(C196="","",SUMIFS('ИТОГО Торговля'!$E$5:$E$300,'ИТОГО Торговля'!$B$5:$B$300,$B196)+SUMIFS('ИТОГО Лэндинг'!$E$5:$E$300,'ИТОГО Лэндинг'!$B$5:$B$300,$B196))</f>
        <v/>
      </c>
      <c r="F196" s="246" t="str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 t="str">
        <f>IF(F196="","",H196/F196)</f>
        <v/>
      </c>
      <c r="H196" s="247" t="str">
        <f>IF(F196="","",SUMIFS('ИТОГО Торговля'!$H$5:$H$300,'ИТОГО Торговля'!$B$5:$B$300,$B196)+SUMIFS('ИТОГО Лэндинг'!$H$5:$H$300,'ИТОГО Лэндинг'!$B$5:$B$300,$B196))</f>
        <v/>
      </c>
      <c r="I196" s="246" t="str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 t="str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 t="str">
        <f>IF(MIN(N(C196),N(F196))&lt;=0,"",ROUND(MIN(N(C196),N(F196))*(N(G196)-N(D196)),8))</f>
        <v/>
      </c>
      <c r="L196" s="183" t="str">
        <f>IF(MIN(N(C196),N(F196))&lt;=0,"",IF(N(D196)=0,"",ROUND((N(G196)/N(D196)-1)*100,2)))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 t="str">
        <f>IF(C197="","",E197/C197)</f>
        <v/>
      </c>
      <c r="E197" s="241" t="str">
        <f>IF(C197="","",SUMIFS('ИТОГО Торговля'!$E$5:$E$300,'ИТОГО Торговля'!$B$5:$B$300,$B197)+SUMIFS('ИТОГО Лэндинг'!$E$5:$E$300,'ИТОГО Лэндинг'!$B$5:$B$300,$B197))</f>
        <v/>
      </c>
      <c r="F197" s="240" t="str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 t="str">
        <f>IF(F197="","",H197/F197)</f>
        <v/>
      </c>
      <c r="H197" s="241" t="str">
        <f>IF(F197="","",SUMIFS('ИТОГО Торговля'!$H$5:$H$300,'ИТОГО Торговля'!$B$5:$B$300,$B197)+SUMIFS('ИТОГО Лэндинг'!$H$5:$H$300,'ИТОГО Лэндинг'!$B$5:$B$300,$B197))</f>
        <v/>
      </c>
      <c r="I197" s="240" t="str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 t="str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 t="str">
        <f>IF(MIN(N(C197),N(F197))&lt;=0,"",ROUND(MIN(N(C197),N(F197))*(N(G197)-N(D197)),8))</f>
        <v/>
      </c>
      <c r="L197" s="177" t="str">
        <f>IF(MIN(N(C197),N(F197))&lt;=0,"",IF(N(D197)=0,"",ROUND((N(G197)/N(D197)-1)*100,2)))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 t="str">
        <f>IF(C198="","",E198/C198)</f>
        <v/>
      </c>
      <c r="E198" s="247" t="str">
        <f>IF(C198="","",SUMIFS('ИТОГО Торговля'!$E$5:$E$300,'ИТОГО Торговля'!$B$5:$B$300,$B198)+SUMIFS('ИТОГО Лэндинг'!$E$5:$E$300,'ИТОГО Лэндинг'!$B$5:$B$300,$B198))</f>
        <v/>
      </c>
      <c r="F198" s="246" t="str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 t="str">
        <f>IF(F198="","",H198/F198)</f>
        <v/>
      </c>
      <c r="H198" s="247" t="str">
        <f>IF(F198="","",SUMIFS('ИТОГО Торговля'!$H$5:$H$300,'ИТОГО Торговля'!$B$5:$B$300,$B198)+SUMIFS('ИТОГО Лэндинг'!$H$5:$H$300,'ИТОГО Лэндинг'!$B$5:$B$300,$B198))</f>
        <v/>
      </c>
      <c r="I198" s="246" t="str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 t="str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 t="str">
        <f>IF(MIN(N(C198),N(F198))&lt;=0,"",ROUND(MIN(N(C198),N(F198))*(N(G198)-N(D198)),8))</f>
        <v/>
      </c>
      <c r="L198" s="183" t="str">
        <f>IF(MIN(N(C198),N(F198))&lt;=0,"",IF(N(D198)=0,"",ROUND((N(G198)/N(D198)-1)*100,2)))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 t="str">
        <f>IF(C199="","",E199/C199)</f>
        <v/>
      </c>
      <c r="E199" s="241" t="str">
        <f>IF(C199="","",SUMIFS('ИТОГО Торговля'!$E$5:$E$300,'ИТОГО Торговля'!$B$5:$B$300,$B199)+SUMIFS('ИТОГО Лэндинг'!$E$5:$E$300,'ИТОГО Лэндинг'!$B$5:$B$300,$B199))</f>
        <v/>
      </c>
      <c r="F199" s="240" t="str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 t="str">
        <f>IF(F199="","",H199/F199)</f>
        <v/>
      </c>
      <c r="H199" s="241" t="str">
        <f>IF(F199="","",SUMIFS('ИТОГО Торговля'!$H$5:$H$300,'ИТОГО Торговля'!$B$5:$B$300,$B199)+SUMIFS('ИТОГО Лэндинг'!$H$5:$H$300,'ИТОГО Лэндинг'!$B$5:$B$300,$B199))</f>
        <v/>
      </c>
      <c r="I199" s="240" t="str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 t="str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 t="str">
        <f>IF(MIN(N(C199),N(F199))&lt;=0,"",ROUND(MIN(N(C199),N(F199))*(N(G199)-N(D199)),8))</f>
        <v/>
      </c>
      <c r="L199" s="177" t="str">
        <f>IF(MIN(N(C199),N(F199))&lt;=0,"",IF(N(D199)=0,"",ROUND((N(G199)/N(D199)-1)*100,2)))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 t="str">
        <f>IF(C200="","",E200/C200)</f>
        <v/>
      </c>
      <c r="E200" s="247" t="str">
        <f>IF(C200="","",SUMIFS('ИТОГО Торговля'!$E$5:$E$300,'ИТОГО Торговля'!$B$5:$B$300,$B200)+SUMIFS('ИТОГО Лэндинг'!$E$5:$E$300,'ИТОГО Лэндинг'!$B$5:$B$300,$B200))</f>
        <v/>
      </c>
      <c r="F200" s="246" t="str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 t="str">
        <f>IF(F200="","",H200/F200)</f>
        <v/>
      </c>
      <c r="H200" s="247" t="str">
        <f>IF(F200="","",SUMIFS('ИТОГО Торговля'!$H$5:$H$300,'ИТОГО Торговля'!$B$5:$B$300,$B200)+SUMIFS('ИТОГО Лэндинг'!$H$5:$H$300,'ИТОГО Лэндинг'!$B$5:$B$300,$B200))</f>
        <v/>
      </c>
      <c r="I200" s="246" t="str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 t="str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 t="str">
        <f>IF(MIN(N(C200),N(F200))&lt;=0,"",ROUND(MIN(N(C200),N(F200))*(N(G200)-N(D200)),8))</f>
        <v/>
      </c>
      <c r="L200" s="183" t="str">
        <f>IF(MIN(N(C200),N(F200))&lt;=0,"",IF(N(D200)=0,"",ROUND((N(G200)/N(D200)-1)*100,2)))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 t="str">
        <f>IF(C201="","",E201/C201)</f>
        <v/>
      </c>
      <c r="E201" s="241" t="str">
        <f>IF(C201="","",SUMIFS('ИТОГО Торговля'!$E$5:$E$300,'ИТОГО Торговля'!$B$5:$B$300,$B201)+SUMIFS('ИТОГО Лэндинг'!$E$5:$E$300,'ИТОГО Лэндинг'!$B$5:$B$300,$B201))</f>
        <v/>
      </c>
      <c r="F201" s="240" t="str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 t="str">
        <f>IF(F201="","",H201/F201)</f>
        <v/>
      </c>
      <c r="H201" s="241" t="str">
        <f>IF(F201="","",SUMIFS('ИТОГО Торговля'!$H$5:$H$300,'ИТОГО Торговля'!$B$5:$B$300,$B201)+SUMIFS('ИТОГО Лэндинг'!$H$5:$H$300,'ИТОГО Лэндинг'!$B$5:$B$300,$B201))</f>
        <v/>
      </c>
      <c r="I201" s="240" t="str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 t="str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 t="str">
        <f>IF(MIN(N(C201),N(F201))&lt;=0,"",ROUND(MIN(N(C201),N(F201))*(N(G201)-N(D201)),8))</f>
        <v/>
      </c>
      <c r="L201" s="177" t="str">
        <f>IF(MIN(N(C201),N(F201))&lt;=0,"",IF(N(D201)=0,"",ROUND((N(G201)/N(D201)-1)*100,2)))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 t="str">
        <f>IF(C202="","",E202/C202)</f>
        <v/>
      </c>
      <c r="E202" s="247" t="str">
        <f>IF(C202="","",SUMIFS('ИТОГО Торговля'!$E$5:$E$300,'ИТОГО Торговля'!$B$5:$B$300,$B202)+SUMIFS('ИТОГО Лэндинг'!$E$5:$E$300,'ИТОГО Лэндинг'!$B$5:$B$300,$B202))</f>
        <v/>
      </c>
      <c r="F202" s="246" t="str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 t="str">
        <f>IF(F202="","",H202/F202)</f>
        <v/>
      </c>
      <c r="H202" s="247" t="str">
        <f>IF(F202="","",SUMIFS('ИТОГО Торговля'!$H$5:$H$300,'ИТОГО Торговля'!$B$5:$B$300,$B202)+SUMIFS('ИТОГО Лэндинг'!$H$5:$H$300,'ИТОГО Лэндинг'!$B$5:$B$300,$B202))</f>
        <v/>
      </c>
      <c r="I202" s="246" t="str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 t="str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 t="str">
        <f>IF(MIN(N(C202),N(F202))&lt;=0,"",ROUND(MIN(N(C202),N(F202))*(N(G202)-N(D202)),8))</f>
        <v/>
      </c>
      <c r="L202" s="183" t="str">
        <f>IF(MIN(N(C202),N(F202))&lt;=0,"",IF(N(D202)=0,"",ROUND((N(G202)/N(D202)-1)*100,2)))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 t="str">
        <f>IF(C203="","",E203/C203)</f>
        <v/>
      </c>
      <c r="E203" s="241" t="str">
        <f>IF(C203="","",SUMIFS('ИТОГО Торговля'!$E$5:$E$300,'ИТОГО Торговля'!$B$5:$B$300,$B203)+SUMIFS('ИТОГО Лэндинг'!$E$5:$E$300,'ИТОГО Лэндинг'!$B$5:$B$300,$B203))</f>
        <v/>
      </c>
      <c r="F203" s="240" t="str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 t="str">
        <f>IF(F203="","",H203/F203)</f>
        <v/>
      </c>
      <c r="H203" s="241" t="str">
        <f>IF(F203="","",SUMIFS('ИТОГО Торговля'!$H$5:$H$300,'ИТОГО Торговля'!$B$5:$B$300,$B203)+SUMIFS('ИТОГО Лэндинг'!$H$5:$H$300,'ИТОГО Лэндинг'!$B$5:$B$300,$B203))</f>
        <v/>
      </c>
      <c r="I203" s="240" t="str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 t="str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 t="str">
        <f>IF(MIN(N(C203),N(F203))&lt;=0,"",ROUND(MIN(N(C203),N(F203))*(N(G203)-N(D203)),8))</f>
        <v/>
      </c>
      <c r="L203" s="177" t="str">
        <f>IF(MIN(N(C203),N(F203))&lt;=0,"",IF(N(D203)=0,"",ROUND((N(G203)/N(D203)-1)*100,2)))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 t="str">
        <f>IF(C204="","",E204/C204)</f>
        <v/>
      </c>
      <c r="E204" s="247" t="str">
        <f>IF(C204="","",SUMIFS('ИТОГО Торговля'!$E$5:$E$300,'ИТОГО Торговля'!$B$5:$B$300,$B204)+SUMIFS('ИТОГО Лэндинг'!$E$5:$E$300,'ИТОГО Лэндинг'!$B$5:$B$300,$B204))</f>
        <v/>
      </c>
      <c r="F204" s="246" t="str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 t="str">
        <f>IF(F204="","",H204/F204)</f>
        <v/>
      </c>
      <c r="H204" s="247" t="str">
        <f>IF(F204="","",SUMIFS('ИТОГО Торговля'!$H$5:$H$300,'ИТОГО Торговля'!$B$5:$B$300,$B204)+SUMIFS('ИТОГО Лэндинг'!$H$5:$H$300,'ИТОГО Лэндинг'!$B$5:$B$300,$B204))</f>
        <v/>
      </c>
      <c r="I204" s="246" t="str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 t="str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 t="str">
        <f>IF(MIN(N(C204),N(F204))&lt;=0,"",ROUND(MIN(N(C204),N(F204))*(N(G204)-N(D204)),8))</f>
        <v/>
      </c>
      <c r="L204" s="183" t="str">
        <f>IF(MIN(N(C204),N(F204))&lt;=0,"",IF(N(D204)=0,"",ROUND((N(G204)/N(D204)-1)*100,2)))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 t="str">
        <f>IF(C205="","",E205/C205)</f>
        <v/>
      </c>
      <c r="E205" s="241" t="str">
        <f>IF(C205="","",SUMIFS('ИТОГО Торговля'!$E$5:$E$300,'ИТОГО Торговля'!$B$5:$B$300,$B205)+SUMIFS('ИТОГО Лэндинг'!$E$5:$E$300,'ИТОГО Лэндинг'!$B$5:$B$300,$B205))</f>
        <v/>
      </c>
      <c r="F205" s="240" t="str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 t="str">
        <f>IF(F205="","",H205/F205)</f>
        <v/>
      </c>
      <c r="H205" s="241" t="str">
        <f>IF(F205="","",SUMIFS('ИТОГО Торговля'!$H$5:$H$300,'ИТОГО Торговля'!$B$5:$B$300,$B205)+SUMIFS('ИТОГО Лэндинг'!$H$5:$H$300,'ИТОГО Лэндинг'!$B$5:$B$300,$B205))</f>
        <v/>
      </c>
      <c r="I205" s="240" t="str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 t="str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 t="str">
        <f>IF(MIN(N(C205),N(F205))&lt;=0,"",ROUND(MIN(N(C205),N(F205))*(N(G205)-N(D205)),8))</f>
        <v/>
      </c>
      <c r="L205" s="177" t="str">
        <f>IF(MIN(N(C205),N(F205))&lt;=0,"",IF(N(D205)=0,"",ROUND((N(G205)/N(D205)-1)*100,2)))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 t="str">
        <f>IF(C206="","",E206/C206)</f>
        <v/>
      </c>
      <c r="E206" s="247" t="str">
        <f>IF(C206="","",SUMIFS('ИТОГО Торговля'!$E$5:$E$300,'ИТОГО Торговля'!$B$5:$B$300,$B206)+SUMIFS('ИТОГО Лэндинг'!$E$5:$E$300,'ИТОГО Лэндинг'!$B$5:$B$300,$B206))</f>
        <v/>
      </c>
      <c r="F206" s="246" t="str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 t="str">
        <f>IF(F206="","",H206/F206)</f>
        <v/>
      </c>
      <c r="H206" s="247" t="str">
        <f>IF(F206="","",SUMIFS('ИТОГО Торговля'!$H$5:$H$300,'ИТОГО Торговля'!$B$5:$B$300,$B206)+SUMIFS('ИТОГО Лэндинг'!$H$5:$H$300,'ИТОГО Лэндинг'!$B$5:$B$300,$B206))</f>
        <v/>
      </c>
      <c r="I206" s="246" t="str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 t="str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 t="str">
        <f>IF(MIN(N(C206),N(F206))&lt;=0,"",ROUND(MIN(N(C206),N(F206))*(N(G206)-N(D206)),8))</f>
        <v/>
      </c>
      <c r="L206" s="183" t="str">
        <f>IF(MIN(N(C206),N(F206))&lt;=0,"",IF(N(D206)=0,"",ROUND((N(G206)/N(D206)-1)*100,2)))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 t="str">
        <f>IF(C207="","",E207/C207)</f>
        <v/>
      </c>
      <c r="E207" s="241" t="str">
        <f>IF(C207="","",SUMIFS('ИТОГО Торговля'!$E$5:$E$300,'ИТОГО Торговля'!$B$5:$B$300,$B207)+SUMIFS('ИТОГО Лэндинг'!$E$5:$E$300,'ИТОГО Лэндинг'!$B$5:$B$300,$B207))</f>
        <v/>
      </c>
      <c r="F207" s="240" t="str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 t="str">
        <f>IF(F207="","",H207/F207)</f>
        <v/>
      </c>
      <c r="H207" s="241" t="str">
        <f>IF(F207="","",SUMIFS('ИТОГО Торговля'!$H$5:$H$300,'ИТОГО Торговля'!$B$5:$B$300,$B207)+SUMIFS('ИТОГО Лэндинг'!$H$5:$H$300,'ИТОГО Лэндинг'!$B$5:$B$300,$B207))</f>
        <v/>
      </c>
      <c r="I207" s="240" t="str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 t="str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 t="str">
        <f>IF(MIN(N(C207),N(F207))&lt;=0,"",ROUND(MIN(N(C207),N(F207))*(N(G207)-N(D207)),8))</f>
        <v/>
      </c>
      <c r="L207" s="177" t="str">
        <f>IF(MIN(N(C207),N(F207))&lt;=0,"",IF(N(D207)=0,"",ROUND((N(G207)/N(D207)-1)*100,2)))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 t="str">
        <f>IF(C208="","",E208/C208)</f>
        <v/>
      </c>
      <c r="E208" s="247" t="str">
        <f>IF(C208="","",SUMIFS('ИТОГО Торговля'!$E$5:$E$300,'ИТОГО Торговля'!$B$5:$B$300,$B208)+SUMIFS('ИТОГО Лэндинг'!$E$5:$E$300,'ИТОГО Лэндинг'!$B$5:$B$300,$B208))</f>
        <v/>
      </c>
      <c r="F208" s="246" t="str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 t="str">
        <f>IF(F208="","",H208/F208)</f>
        <v/>
      </c>
      <c r="H208" s="247" t="str">
        <f>IF(F208="","",SUMIFS('ИТОГО Торговля'!$H$5:$H$300,'ИТОГО Торговля'!$B$5:$B$300,$B208)+SUMIFS('ИТОГО Лэндинг'!$H$5:$H$300,'ИТОГО Лэндинг'!$B$5:$B$300,$B208))</f>
        <v/>
      </c>
      <c r="I208" s="246" t="str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 t="str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 t="str">
        <f>IF(MIN(N(C208),N(F208))&lt;=0,"",ROUND(MIN(N(C208),N(F208))*(N(G208)-N(D208)),8))</f>
        <v/>
      </c>
      <c r="L208" s="183" t="str">
        <f>IF(MIN(N(C208),N(F208))&lt;=0,"",IF(N(D208)=0,"",ROUND((N(G208)/N(D208)-1)*100,2)))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 t="str">
        <f>IF(C209="","",E209/C209)</f>
        <v/>
      </c>
      <c r="E209" s="241" t="str">
        <f>IF(C209="","",SUMIFS('ИТОГО Торговля'!$E$5:$E$300,'ИТОГО Торговля'!$B$5:$B$300,$B209)+SUMIFS('ИТОГО Лэндинг'!$E$5:$E$300,'ИТОГО Лэндинг'!$B$5:$B$300,$B209))</f>
        <v/>
      </c>
      <c r="F209" s="240" t="str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 t="str">
        <f>IF(F209="","",H209/F209)</f>
        <v/>
      </c>
      <c r="H209" s="241" t="str">
        <f>IF(F209="","",SUMIFS('ИТОГО Торговля'!$H$5:$H$300,'ИТОГО Торговля'!$B$5:$B$300,$B209)+SUMIFS('ИТОГО Лэндинг'!$H$5:$H$300,'ИТОГО Лэндинг'!$B$5:$B$300,$B209))</f>
        <v/>
      </c>
      <c r="I209" s="240" t="str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 t="str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 t="str">
        <f>IF(MIN(N(C209),N(F209))&lt;=0,"",ROUND(MIN(N(C209),N(F209))*(N(G209)-N(D209)),8))</f>
        <v/>
      </c>
      <c r="L209" s="177" t="str">
        <f>IF(MIN(N(C209),N(F209))&lt;=0,"",IF(N(D209)=0,"",ROUND((N(G209)/N(D209)-1)*100,2)))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 t="str">
        <f>IF(C210="","",E210/C210)</f>
        <v/>
      </c>
      <c r="E210" s="247" t="str">
        <f>IF(C210="","",SUMIFS('ИТОГО Торговля'!$E$5:$E$300,'ИТОГО Торговля'!$B$5:$B$300,$B210)+SUMIFS('ИТОГО Лэндинг'!$E$5:$E$300,'ИТОГО Лэндинг'!$B$5:$B$300,$B210))</f>
        <v/>
      </c>
      <c r="F210" s="246" t="str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 t="str">
        <f>IF(F210="","",H210/F210)</f>
        <v/>
      </c>
      <c r="H210" s="247" t="str">
        <f>IF(F210="","",SUMIFS('ИТОГО Торговля'!$H$5:$H$300,'ИТОГО Торговля'!$B$5:$B$300,$B210)+SUMIFS('ИТОГО Лэндинг'!$H$5:$H$300,'ИТОГО Лэндинг'!$B$5:$B$300,$B210))</f>
        <v/>
      </c>
      <c r="I210" s="246" t="str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 t="str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 t="str">
        <f>IF(MIN(N(C210),N(F210))&lt;=0,"",ROUND(MIN(N(C210),N(F210))*(N(G210)-N(D210)),8))</f>
        <v/>
      </c>
      <c r="L210" s="183" t="str">
        <f>IF(MIN(N(C210),N(F210))&lt;=0,"",IF(N(D210)=0,"",ROUND((N(G210)/N(D210)-1)*100,2)))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 t="str">
        <f>IF(C211="","",E211/C211)</f>
        <v/>
      </c>
      <c r="E211" s="241" t="str">
        <f>IF(C211="","",SUMIFS('ИТОГО Торговля'!$E$5:$E$300,'ИТОГО Торговля'!$B$5:$B$300,$B211)+SUMIFS('ИТОГО Лэндинг'!$E$5:$E$300,'ИТОГО Лэндинг'!$B$5:$B$300,$B211))</f>
        <v/>
      </c>
      <c r="F211" s="240" t="str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 t="str">
        <f>IF(F211="","",H211/F211)</f>
        <v/>
      </c>
      <c r="H211" s="241" t="str">
        <f>IF(F211="","",SUMIFS('ИТОГО Торговля'!$H$5:$H$300,'ИТОГО Торговля'!$B$5:$B$300,$B211)+SUMIFS('ИТОГО Лэндинг'!$H$5:$H$300,'ИТОГО Лэндинг'!$B$5:$B$300,$B211))</f>
        <v/>
      </c>
      <c r="I211" s="240" t="str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 t="str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 t="str">
        <f>IF(MIN(N(C211),N(F211))&lt;=0,"",ROUND(MIN(N(C211),N(F211))*(N(G211)-N(D211)),8))</f>
        <v/>
      </c>
      <c r="L211" s="177" t="str">
        <f>IF(MIN(N(C211),N(F211))&lt;=0,"",IF(N(D211)=0,"",ROUND((N(G211)/N(D211)-1)*100,2)))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 t="str">
        <f>IF(C212="","",E212/C212)</f>
        <v/>
      </c>
      <c r="E212" s="247" t="str">
        <f>IF(C212="","",SUMIFS('ИТОГО Торговля'!$E$5:$E$300,'ИТОГО Торговля'!$B$5:$B$300,$B212)+SUMIFS('ИТОГО Лэндинг'!$E$5:$E$300,'ИТОГО Лэндинг'!$B$5:$B$300,$B212))</f>
        <v/>
      </c>
      <c r="F212" s="246" t="str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 t="str">
        <f>IF(F212="","",H212/F212)</f>
        <v/>
      </c>
      <c r="H212" s="247" t="str">
        <f>IF(F212="","",SUMIFS('ИТОГО Торговля'!$H$5:$H$300,'ИТОГО Торговля'!$B$5:$B$300,$B212)+SUMIFS('ИТОГО Лэндинг'!$H$5:$H$300,'ИТОГО Лэндинг'!$B$5:$B$300,$B212))</f>
        <v/>
      </c>
      <c r="I212" s="246" t="str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 t="str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 t="str">
        <f>IF(MIN(N(C212),N(F212))&lt;=0,"",ROUND(MIN(N(C212),N(F212))*(N(G212)-N(D212)),8))</f>
        <v/>
      </c>
      <c r="L212" s="183" t="str">
        <f>IF(MIN(N(C212),N(F212))&lt;=0,"",IF(N(D212)=0,"",ROUND((N(G212)/N(D212)-1)*100,2)))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 t="str">
        <f>IF(C213="","",E213/C213)</f>
        <v/>
      </c>
      <c r="E213" s="241" t="str">
        <f>IF(C213="","",SUMIFS('ИТОГО Торговля'!$E$5:$E$300,'ИТОГО Торговля'!$B$5:$B$300,$B213)+SUMIFS('ИТОГО Лэндинг'!$E$5:$E$300,'ИТОГО Лэндинг'!$B$5:$B$300,$B213))</f>
        <v/>
      </c>
      <c r="F213" s="240" t="str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 t="str">
        <f>IF(F213="","",H213/F213)</f>
        <v/>
      </c>
      <c r="H213" s="241" t="str">
        <f>IF(F213="","",SUMIFS('ИТОГО Торговля'!$H$5:$H$300,'ИТОГО Торговля'!$B$5:$B$300,$B213)+SUMIFS('ИТОГО Лэндинг'!$H$5:$H$300,'ИТОГО Лэндинг'!$B$5:$B$300,$B213))</f>
        <v/>
      </c>
      <c r="I213" s="240" t="str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 t="str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 t="str">
        <f>IF(MIN(N(C213),N(F213))&lt;=0,"",ROUND(MIN(N(C213),N(F213))*(N(G213)-N(D213)),8))</f>
        <v/>
      </c>
      <c r="L213" s="177" t="str">
        <f>IF(MIN(N(C213),N(F213))&lt;=0,"",IF(N(D213)=0,"",ROUND((N(G213)/N(D213)-1)*100,2)))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 t="str">
        <f>IF(C214="","",E214/C214)</f>
        <v/>
      </c>
      <c r="E214" s="247" t="str">
        <f>IF(C214="","",SUMIFS('ИТОГО Торговля'!$E$5:$E$300,'ИТОГО Торговля'!$B$5:$B$300,$B214)+SUMIFS('ИТОГО Лэндинг'!$E$5:$E$300,'ИТОГО Лэндинг'!$B$5:$B$300,$B214))</f>
        <v/>
      </c>
      <c r="F214" s="246" t="str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 t="str">
        <f>IF(F214="","",H214/F214)</f>
        <v/>
      </c>
      <c r="H214" s="247" t="str">
        <f>IF(F214="","",SUMIFS('ИТОГО Торговля'!$H$5:$H$300,'ИТОГО Торговля'!$B$5:$B$300,$B214)+SUMIFS('ИТОГО Лэндинг'!$H$5:$H$300,'ИТОГО Лэндинг'!$B$5:$B$300,$B214))</f>
        <v/>
      </c>
      <c r="I214" s="246" t="str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 t="str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 t="str">
        <f>IF(MIN(N(C214),N(F214))&lt;=0,"",ROUND(MIN(N(C214),N(F214))*(N(G214)-N(D214)),8))</f>
        <v/>
      </c>
      <c r="L214" s="183" t="str">
        <f>IF(MIN(N(C214),N(F214))&lt;=0,"",IF(N(D214)=0,"",ROUND((N(G214)/N(D214)-1)*100,2)))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 t="str">
        <f>IF(C215="","",E215/C215)</f>
        <v/>
      </c>
      <c r="E215" s="241" t="str">
        <f>IF(C215="","",SUMIFS('ИТОГО Торговля'!$E$5:$E$300,'ИТОГО Торговля'!$B$5:$B$300,$B215)+SUMIFS('ИТОГО Лэндинг'!$E$5:$E$300,'ИТОГО Лэндинг'!$B$5:$B$300,$B215))</f>
        <v/>
      </c>
      <c r="F215" s="240" t="str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 t="str">
        <f>IF(F215="","",H215/F215)</f>
        <v/>
      </c>
      <c r="H215" s="241" t="str">
        <f>IF(F215="","",SUMIFS('ИТОГО Торговля'!$H$5:$H$300,'ИТОГО Торговля'!$B$5:$B$300,$B215)+SUMIFS('ИТОГО Лэндинг'!$H$5:$H$300,'ИТОГО Лэндинг'!$B$5:$B$300,$B215))</f>
        <v/>
      </c>
      <c r="I215" s="240" t="str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 t="str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 t="str">
        <f>IF(MIN(N(C215),N(F215))&lt;=0,"",ROUND(MIN(N(C215),N(F215))*(N(G215)-N(D215)),8))</f>
        <v/>
      </c>
      <c r="L215" s="177" t="str">
        <f>IF(MIN(N(C215),N(F215))&lt;=0,"",IF(N(D215)=0,"",ROUND((N(G215)/N(D215)-1)*100,2)))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 t="str">
        <f>IF(C216="","",E216/C216)</f>
        <v/>
      </c>
      <c r="E216" s="247" t="str">
        <f>IF(C216="","",SUMIFS('ИТОГО Торговля'!$E$5:$E$300,'ИТОГО Торговля'!$B$5:$B$300,$B216)+SUMIFS('ИТОГО Лэндинг'!$E$5:$E$300,'ИТОГО Лэндинг'!$B$5:$B$300,$B216))</f>
        <v/>
      </c>
      <c r="F216" s="246" t="str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 t="str">
        <f>IF(F216="","",H216/F216)</f>
        <v/>
      </c>
      <c r="H216" s="247" t="str">
        <f>IF(F216="","",SUMIFS('ИТОГО Торговля'!$H$5:$H$300,'ИТОГО Торговля'!$B$5:$B$300,$B216)+SUMIFS('ИТОГО Лэндинг'!$H$5:$H$300,'ИТОГО Лэндинг'!$B$5:$B$300,$B216))</f>
        <v/>
      </c>
      <c r="I216" s="246" t="str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 t="str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 t="str">
        <f>IF(MIN(N(C216),N(F216))&lt;=0,"",ROUND(MIN(N(C216),N(F216))*(N(G216)-N(D216)),8))</f>
        <v/>
      </c>
      <c r="L216" s="183" t="str">
        <f>IF(MIN(N(C216),N(F216))&lt;=0,"",IF(N(D216)=0,"",ROUND((N(G216)/N(D216)-1)*100,2)))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 t="str">
        <f>IF(C217="","",E217/C217)</f>
        <v/>
      </c>
      <c r="E217" s="241" t="str">
        <f>IF(C217="","",SUMIFS('ИТОГО Торговля'!$E$5:$E$300,'ИТОГО Торговля'!$B$5:$B$300,$B217)+SUMIFS('ИТОГО Лэндинг'!$E$5:$E$300,'ИТОГО Лэндинг'!$B$5:$B$300,$B217))</f>
        <v/>
      </c>
      <c r="F217" s="240" t="str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 t="str">
        <f>IF(F217="","",H217/F217)</f>
        <v/>
      </c>
      <c r="H217" s="241" t="str">
        <f>IF(F217="","",SUMIFS('ИТОГО Торговля'!$H$5:$H$300,'ИТОГО Торговля'!$B$5:$B$300,$B217)+SUMIFS('ИТОГО Лэндинг'!$H$5:$H$300,'ИТОГО Лэндинг'!$B$5:$B$300,$B217))</f>
        <v/>
      </c>
      <c r="I217" s="240" t="str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 t="str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 t="str">
        <f>IF(MIN(N(C217),N(F217))&lt;=0,"",ROUND(MIN(N(C217),N(F217))*(N(G217)-N(D217)),8))</f>
        <v/>
      </c>
      <c r="L217" s="177" t="str">
        <f>IF(MIN(N(C217),N(F217))&lt;=0,"",IF(N(D217)=0,"",ROUND((N(G217)/N(D217)-1)*100,2)))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 t="str">
        <f>IF(C218="","",E218/C218)</f>
        <v/>
      </c>
      <c r="E218" s="247" t="str">
        <f>IF(C218="","",SUMIFS('ИТОГО Торговля'!$E$5:$E$300,'ИТОГО Торговля'!$B$5:$B$300,$B218)+SUMIFS('ИТОГО Лэндинг'!$E$5:$E$300,'ИТОГО Лэндинг'!$B$5:$B$300,$B218))</f>
        <v/>
      </c>
      <c r="F218" s="246" t="str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 t="str">
        <f>IF(F218="","",H218/F218)</f>
        <v/>
      </c>
      <c r="H218" s="247" t="str">
        <f>IF(F218="","",SUMIFS('ИТОГО Торговля'!$H$5:$H$300,'ИТОГО Торговля'!$B$5:$B$300,$B218)+SUMIFS('ИТОГО Лэндинг'!$H$5:$H$300,'ИТОГО Лэндинг'!$B$5:$B$300,$B218))</f>
        <v/>
      </c>
      <c r="I218" s="246" t="str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 t="str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 t="str">
        <f>IF(MIN(N(C218),N(F218))&lt;=0,"",ROUND(MIN(N(C218),N(F218))*(N(G218)-N(D218)),8))</f>
        <v/>
      </c>
      <c r="L218" s="183" t="str">
        <f>IF(MIN(N(C218),N(F218))&lt;=0,"",IF(N(D218)=0,"",ROUND((N(G218)/N(D218)-1)*100,2)))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 t="str">
        <f>IF(C219="","",E219/C219)</f>
        <v/>
      </c>
      <c r="E219" s="241" t="str">
        <f>IF(C219="","",SUMIFS('ИТОГО Торговля'!$E$5:$E$300,'ИТОГО Торговля'!$B$5:$B$300,$B219)+SUMIFS('ИТОГО Лэндинг'!$E$5:$E$300,'ИТОГО Лэндинг'!$B$5:$B$300,$B219))</f>
        <v/>
      </c>
      <c r="F219" s="240" t="str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 t="str">
        <f>IF(F219="","",H219/F219)</f>
        <v/>
      </c>
      <c r="H219" s="241" t="str">
        <f>IF(F219="","",SUMIFS('ИТОГО Торговля'!$H$5:$H$300,'ИТОГО Торговля'!$B$5:$B$300,$B219)+SUMIFS('ИТОГО Лэндинг'!$H$5:$H$300,'ИТОГО Лэндинг'!$B$5:$B$300,$B219))</f>
        <v/>
      </c>
      <c r="I219" s="240" t="str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 t="str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 t="str">
        <f>IF(MIN(N(C219),N(F219))&lt;=0,"",ROUND(MIN(N(C219),N(F219))*(N(G219)-N(D219)),8))</f>
        <v/>
      </c>
      <c r="L219" s="177" t="str">
        <f>IF(MIN(N(C219),N(F219))&lt;=0,"",IF(N(D219)=0,"",ROUND((N(G219)/N(D219)-1)*100,2)))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 t="str">
        <f>IF(C220="","",E220/C220)</f>
        <v/>
      </c>
      <c r="E220" s="247" t="str">
        <f>IF(C220="","",SUMIFS('ИТОГО Торговля'!$E$5:$E$300,'ИТОГО Торговля'!$B$5:$B$300,$B220)+SUMIFS('ИТОГО Лэндинг'!$E$5:$E$300,'ИТОГО Лэндинг'!$B$5:$B$300,$B220))</f>
        <v/>
      </c>
      <c r="F220" s="246" t="str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 t="str">
        <f>IF(F220="","",H220/F220)</f>
        <v/>
      </c>
      <c r="H220" s="247" t="str">
        <f>IF(F220="","",SUMIFS('ИТОГО Торговля'!$H$5:$H$300,'ИТОГО Торговля'!$B$5:$B$300,$B220)+SUMIFS('ИТОГО Лэндинг'!$H$5:$H$300,'ИТОГО Лэндинг'!$B$5:$B$300,$B220))</f>
        <v/>
      </c>
      <c r="I220" s="246" t="str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 t="str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 t="str">
        <f>IF(MIN(N(C220),N(F220))&lt;=0,"",ROUND(MIN(N(C220),N(F220))*(N(G220)-N(D220)),8))</f>
        <v/>
      </c>
      <c r="L220" s="183" t="str">
        <f>IF(MIN(N(C220),N(F220))&lt;=0,"",IF(N(D220)=0,"",ROUND((N(G220)/N(D220)-1)*100,2)))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 t="str">
        <f>IF(C221="","",E221/C221)</f>
        <v/>
      </c>
      <c r="E221" s="241" t="str">
        <f>IF(C221="","",SUMIFS('ИТОГО Торговля'!$E$5:$E$300,'ИТОГО Торговля'!$B$5:$B$300,$B221)+SUMIFS('ИТОГО Лэндинг'!$E$5:$E$300,'ИТОГО Лэндинг'!$B$5:$B$300,$B221))</f>
        <v/>
      </c>
      <c r="F221" s="240" t="str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 t="str">
        <f>IF(F221="","",H221/F221)</f>
        <v/>
      </c>
      <c r="H221" s="241" t="str">
        <f>IF(F221="","",SUMIFS('ИТОГО Торговля'!$H$5:$H$300,'ИТОГО Торговля'!$B$5:$B$300,$B221)+SUMIFS('ИТОГО Лэндинг'!$H$5:$H$300,'ИТОГО Лэндинг'!$B$5:$B$300,$B221))</f>
        <v/>
      </c>
      <c r="I221" s="240" t="str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 t="str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 t="str">
        <f>IF(MIN(N(C221),N(F221))&lt;=0,"",ROUND(MIN(N(C221),N(F221))*(N(G221)-N(D221)),8))</f>
        <v/>
      </c>
      <c r="L221" s="177" t="str">
        <f>IF(MIN(N(C221),N(F221))&lt;=0,"",IF(N(D221)=0,"",ROUND((N(G221)/N(D221)-1)*100,2)))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 t="str">
        <f>IF(C222="","",E222/C222)</f>
        <v/>
      </c>
      <c r="E222" s="247" t="str">
        <f>IF(C222="","",SUMIFS('ИТОГО Торговля'!$E$5:$E$300,'ИТОГО Торговля'!$B$5:$B$300,$B222)+SUMIFS('ИТОГО Лэндинг'!$E$5:$E$300,'ИТОГО Лэндинг'!$B$5:$B$300,$B222))</f>
        <v/>
      </c>
      <c r="F222" s="246" t="str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 t="str">
        <f>IF(F222="","",H222/F222)</f>
        <v/>
      </c>
      <c r="H222" s="247" t="str">
        <f>IF(F222="","",SUMIFS('ИТОГО Торговля'!$H$5:$H$300,'ИТОГО Торговля'!$B$5:$B$300,$B222)+SUMIFS('ИТОГО Лэндинг'!$H$5:$H$300,'ИТОГО Лэндинг'!$B$5:$B$300,$B222))</f>
        <v/>
      </c>
      <c r="I222" s="246" t="str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 t="str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 t="str">
        <f>IF(MIN(N(C222),N(F222))&lt;=0,"",ROUND(MIN(N(C222),N(F222))*(N(G222)-N(D222)),8))</f>
        <v/>
      </c>
      <c r="L222" s="183" t="str">
        <f>IF(MIN(N(C222),N(F222))&lt;=0,"",IF(N(D222)=0,"",ROUND((N(G222)/N(D222)-1)*100,2)))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 t="str">
        <f>IF(C223="","",E223/C223)</f>
        <v/>
      </c>
      <c r="E223" s="241" t="str">
        <f>IF(C223="","",SUMIFS('ИТОГО Торговля'!$E$5:$E$300,'ИТОГО Торговля'!$B$5:$B$300,$B223)+SUMIFS('ИТОГО Лэндинг'!$E$5:$E$300,'ИТОГО Лэндинг'!$B$5:$B$300,$B223))</f>
        <v/>
      </c>
      <c r="F223" s="240" t="str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 t="str">
        <f>IF(F223="","",H223/F223)</f>
        <v/>
      </c>
      <c r="H223" s="241" t="str">
        <f>IF(F223="","",SUMIFS('ИТОГО Торговля'!$H$5:$H$300,'ИТОГО Торговля'!$B$5:$B$300,$B223)+SUMIFS('ИТОГО Лэндинг'!$H$5:$H$300,'ИТОГО Лэндинг'!$B$5:$B$300,$B223))</f>
        <v/>
      </c>
      <c r="I223" s="240" t="str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 t="str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 t="str">
        <f>IF(MIN(N(C223),N(F223))&lt;=0,"",ROUND(MIN(N(C223),N(F223))*(N(G223)-N(D223)),8))</f>
        <v/>
      </c>
      <c r="L223" s="177" t="str">
        <f>IF(MIN(N(C223),N(F223))&lt;=0,"",IF(N(D223)=0,"",ROUND((N(G223)/N(D223)-1)*100,2)))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 t="str">
        <f>IF(C224="","",E224/C224)</f>
        <v/>
      </c>
      <c r="E224" s="247" t="str">
        <f>IF(C224="","",SUMIFS('ИТОГО Торговля'!$E$5:$E$300,'ИТОГО Торговля'!$B$5:$B$300,$B224)+SUMIFS('ИТОГО Лэндинг'!$E$5:$E$300,'ИТОГО Лэндинг'!$B$5:$B$300,$B224))</f>
        <v/>
      </c>
      <c r="F224" s="246" t="str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 t="str">
        <f>IF(F224="","",H224/F224)</f>
        <v/>
      </c>
      <c r="H224" s="247" t="str">
        <f>IF(F224="","",SUMIFS('ИТОГО Торговля'!$H$5:$H$300,'ИТОГО Торговля'!$B$5:$B$300,$B224)+SUMIFS('ИТОГО Лэндинг'!$H$5:$H$300,'ИТОГО Лэндинг'!$B$5:$B$300,$B224))</f>
        <v/>
      </c>
      <c r="I224" s="246" t="str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 t="str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 t="str">
        <f>IF(MIN(N(C224),N(F224))&lt;=0,"",ROUND(MIN(N(C224),N(F224))*(N(G224)-N(D224)),8))</f>
        <v/>
      </c>
      <c r="L224" s="183" t="str">
        <f>IF(MIN(N(C224),N(F224))&lt;=0,"",IF(N(D224)=0,"",ROUND((N(G224)/N(D224)-1)*100,2)))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 t="str">
        <f>IF(C225="","",E225/C225)</f>
        <v/>
      </c>
      <c r="E225" s="241" t="str">
        <f>IF(C225="","",SUMIFS('ИТОГО Торговля'!$E$5:$E$300,'ИТОГО Торговля'!$B$5:$B$300,$B225)+SUMIFS('ИТОГО Лэндинг'!$E$5:$E$300,'ИТОГО Лэндинг'!$B$5:$B$300,$B225))</f>
        <v/>
      </c>
      <c r="F225" s="240" t="str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 t="str">
        <f>IF(F225="","",H225/F225)</f>
        <v/>
      </c>
      <c r="H225" s="241" t="str">
        <f>IF(F225="","",SUMIFS('ИТОГО Торговля'!$H$5:$H$300,'ИТОГО Торговля'!$B$5:$B$300,$B225)+SUMIFS('ИТОГО Лэндинг'!$H$5:$H$300,'ИТОГО Лэндинг'!$B$5:$B$300,$B225))</f>
        <v/>
      </c>
      <c r="I225" s="240" t="str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 t="str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 t="str">
        <f>IF(MIN(N(C225),N(F225))&lt;=0,"",ROUND(MIN(N(C225),N(F225))*(N(G225)-N(D225)),8))</f>
        <v/>
      </c>
      <c r="L225" s="177" t="str">
        <f>IF(MIN(N(C225),N(F225))&lt;=0,"",IF(N(D225)=0,"",ROUND((N(G225)/N(D225)-1)*100,2)))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 t="str">
        <f>IF(C226="","",E226/C226)</f>
        <v/>
      </c>
      <c r="E226" s="247" t="str">
        <f>IF(C226="","",SUMIFS('ИТОГО Торговля'!$E$5:$E$300,'ИТОГО Торговля'!$B$5:$B$300,$B226)+SUMIFS('ИТОГО Лэндинг'!$E$5:$E$300,'ИТОГО Лэндинг'!$B$5:$B$300,$B226))</f>
        <v/>
      </c>
      <c r="F226" s="246" t="str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 t="str">
        <f>IF(F226="","",H226/F226)</f>
        <v/>
      </c>
      <c r="H226" s="247" t="str">
        <f>IF(F226="","",SUMIFS('ИТОГО Торговля'!$H$5:$H$300,'ИТОГО Торговля'!$B$5:$B$300,$B226)+SUMIFS('ИТОГО Лэндинг'!$H$5:$H$300,'ИТОГО Лэндинг'!$B$5:$B$300,$B226))</f>
        <v/>
      </c>
      <c r="I226" s="246" t="str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 t="str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 t="str">
        <f>IF(MIN(N(C226),N(F226))&lt;=0,"",ROUND(MIN(N(C226),N(F226))*(N(G226)-N(D226)),8))</f>
        <v/>
      </c>
      <c r="L226" s="183" t="str">
        <f>IF(MIN(N(C226),N(F226))&lt;=0,"",IF(N(D226)=0,"",ROUND((N(G226)/N(D226)-1)*100,2)))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 t="str">
        <f>IF(C227="","",E227/C227)</f>
        <v/>
      </c>
      <c r="E227" s="241" t="str">
        <f>IF(C227="","",SUMIFS('ИТОГО Торговля'!$E$5:$E$300,'ИТОГО Торговля'!$B$5:$B$300,$B227)+SUMIFS('ИТОГО Лэндинг'!$E$5:$E$300,'ИТОГО Лэндинг'!$B$5:$B$300,$B227))</f>
        <v/>
      </c>
      <c r="F227" s="240" t="str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 t="str">
        <f>IF(F227="","",H227/F227)</f>
        <v/>
      </c>
      <c r="H227" s="241" t="str">
        <f>IF(F227="","",SUMIFS('ИТОГО Торговля'!$H$5:$H$300,'ИТОГО Торговля'!$B$5:$B$300,$B227)+SUMIFS('ИТОГО Лэндинг'!$H$5:$H$300,'ИТОГО Лэндинг'!$B$5:$B$300,$B227))</f>
        <v/>
      </c>
      <c r="I227" s="240" t="str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 t="str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 t="str">
        <f>IF(MIN(N(C227),N(F227))&lt;=0,"",ROUND(MIN(N(C227),N(F227))*(N(G227)-N(D227)),8))</f>
        <v/>
      </c>
      <c r="L227" s="177" t="str">
        <f>IF(MIN(N(C227),N(F227))&lt;=0,"",IF(N(D227)=0,"",ROUND((N(G227)/N(D227)-1)*100,2)))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 t="str">
        <f>IF(C228="","",E228/C228)</f>
        <v/>
      </c>
      <c r="E228" s="247" t="str">
        <f>IF(C228="","",SUMIFS('ИТОГО Торговля'!$E$5:$E$300,'ИТОГО Торговля'!$B$5:$B$300,$B228)+SUMIFS('ИТОГО Лэндинг'!$E$5:$E$300,'ИТОГО Лэндинг'!$B$5:$B$300,$B228))</f>
        <v/>
      </c>
      <c r="F228" s="246" t="str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 t="str">
        <f>IF(F228="","",H228/F228)</f>
        <v/>
      </c>
      <c r="H228" s="247" t="str">
        <f>IF(F228="","",SUMIFS('ИТОГО Торговля'!$H$5:$H$300,'ИТОГО Торговля'!$B$5:$B$300,$B228)+SUMIFS('ИТОГО Лэндинг'!$H$5:$H$300,'ИТОГО Лэндинг'!$B$5:$B$300,$B228))</f>
        <v/>
      </c>
      <c r="I228" s="246" t="str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 t="str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 t="str">
        <f>IF(MIN(N(C228),N(F228))&lt;=0,"",ROUND(MIN(N(C228),N(F228))*(N(G228)-N(D228)),8))</f>
        <v/>
      </c>
      <c r="L228" s="183" t="str">
        <f>IF(MIN(N(C228),N(F228))&lt;=0,"",IF(N(D228)=0,"",ROUND((N(G228)/N(D228)-1)*100,2)))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 t="str">
        <f>IF(C229="","",E229/C229)</f>
        <v/>
      </c>
      <c r="E229" s="241" t="str">
        <f>IF(C229="","",SUMIFS('ИТОГО Торговля'!$E$5:$E$300,'ИТОГО Торговля'!$B$5:$B$300,$B229)+SUMIFS('ИТОГО Лэндинг'!$E$5:$E$300,'ИТОГО Лэндинг'!$B$5:$B$300,$B229))</f>
        <v/>
      </c>
      <c r="F229" s="240" t="str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 t="str">
        <f>IF(F229="","",H229/F229)</f>
        <v/>
      </c>
      <c r="H229" s="241" t="str">
        <f>IF(F229="","",SUMIFS('ИТОГО Торговля'!$H$5:$H$300,'ИТОГО Торговля'!$B$5:$B$300,$B229)+SUMIFS('ИТОГО Лэндинг'!$H$5:$H$300,'ИТОГО Лэндинг'!$B$5:$B$300,$B229))</f>
        <v/>
      </c>
      <c r="I229" s="240" t="str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 t="str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 t="str">
        <f>IF(MIN(N(C229),N(F229))&lt;=0,"",ROUND(MIN(N(C229),N(F229))*(N(G229)-N(D229)),8))</f>
        <v/>
      </c>
      <c r="L229" s="177" t="str">
        <f>IF(MIN(N(C229),N(F229))&lt;=0,"",IF(N(D229)=0,"",ROUND((N(G229)/N(D229)-1)*100,2)))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 t="str">
        <f>IF(C230="","",E230/C230)</f>
        <v/>
      </c>
      <c r="E230" s="247" t="str">
        <f>IF(C230="","",SUMIFS('ИТОГО Торговля'!$E$5:$E$300,'ИТОГО Торговля'!$B$5:$B$300,$B230)+SUMIFS('ИТОГО Лэндинг'!$E$5:$E$300,'ИТОГО Лэндинг'!$B$5:$B$300,$B230))</f>
        <v/>
      </c>
      <c r="F230" s="246" t="str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 t="str">
        <f>IF(F230="","",H230/F230)</f>
        <v/>
      </c>
      <c r="H230" s="247" t="str">
        <f>IF(F230="","",SUMIFS('ИТОГО Торговля'!$H$5:$H$300,'ИТОГО Торговля'!$B$5:$B$300,$B230)+SUMIFS('ИТОГО Лэндинг'!$H$5:$H$300,'ИТОГО Лэндинг'!$B$5:$B$300,$B230))</f>
        <v/>
      </c>
      <c r="I230" s="246" t="str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 t="str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 t="str">
        <f>IF(MIN(N(C230),N(F230))&lt;=0,"",ROUND(MIN(N(C230),N(F230))*(N(G230)-N(D230)),8))</f>
        <v/>
      </c>
      <c r="L230" s="183" t="str">
        <f>IF(MIN(N(C230),N(F230))&lt;=0,"",IF(N(D230)=0,"",ROUND((N(G230)/N(D230)-1)*100,2)))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 t="str">
        <f>IF(C231="","",E231/C231)</f>
        <v/>
      </c>
      <c r="E231" s="241" t="str">
        <f>IF(C231="","",SUMIFS('ИТОГО Торговля'!$E$5:$E$300,'ИТОГО Торговля'!$B$5:$B$300,$B231)+SUMIFS('ИТОГО Лэндинг'!$E$5:$E$300,'ИТОГО Лэндинг'!$B$5:$B$300,$B231))</f>
        <v/>
      </c>
      <c r="F231" s="240" t="str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 t="str">
        <f>IF(F231="","",H231/F231)</f>
        <v/>
      </c>
      <c r="H231" s="241" t="str">
        <f>IF(F231="","",SUMIFS('ИТОГО Торговля'!$H$5:$H$300,'ИТОГО Торговля'!$B$5:$B$300,$B231)+SUMIFS('ИТОГО Лэндинг'!$H$5:$H$300,'ИТОГО Лэндинг'!$B$5:$B$300,$B231))</f>
        <v/>
      </c>
      <c r="I231" s="240" t="str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 t="str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 t="str">
        <f>IF(MIN(N(C231),N(F231))&lt;=0,"",ROUND(MIN(N(C231),N(F231))*(N(G231)-N(D231)),8))</f>
        <v/>
      </c>
      <c r="L231" s="177" t="str">
        <f>IF(MIN(N(C231),N(F231))&lt;=0,"",IF(N(D231)=0,"",ROUND((N(G231)/N(D231)-1)*100,2)))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 t="str">
        <f>IF(C232="","",E232/C232)</f>
        <v/>
      </c>
      <c r="E232" s="247" t="str">
        <f>IF(C232="","",SUMIFS('ИТОГО Торговля'!$E$5:$E$300,'ИТОГО Торговля'!$B$5:$B$300,$B232)+SUMIFS('ИТОГО Лэндинг'!$E$5:$E$300,'ИТОГО Лэндинг'!$B$5:$B$300,$B232))</f>
        <v/>
      </c>
      <c r="F232" s="246" t="str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 t="str">
        <f>IF(F232="","",H232/F232)</f>
        <v/>
      </c>
      <c r="H232" s="247" t="str">
        <f>IF(F232="","",SUMIFS('ИТОГО Торговля'!$H$5:$H$300,'ИТОГО Торговля'!$B$5:$B$300,$B232)+SUMIFS('ИТОГО Лэндинг'!$H$5:$H$300,'ИТОГО Лэндинг'!$B$5:$B$300,$B232))</f>
        <v/>
      </c>
      <c r="I232" s="246" t="str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 t="str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 t="str">
        <f>IF(MIN(N(C232),N(F232))&lt;=0,"",ROUND(MIN(N(C232),N(F232))*(N(G232)-N(D232)),8))</f>
        <v/>
      </c>
      <c r="L232" s="183" t="str">
        <f>IF(MIN(N(C232),N(F232))&lt;=0,"",IF(N(D232)=0,"",ROUND((N(G232)/N(D232)-1)*100,2)))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 t="str">
        <f>IF(C233="","",E233/C233)</f>
        <v/>
      </c>
      <c r="E233" s="241" t="str">
        <f>IF(C233="","",SUMIFS('ИТОГО Торговля'!$E$5:$E$300,'ИТОГО Торговля'!$B$5:$B$300,$B233)+SUMIFS('ИТОГО Лэндинг'!$E$5:$E$300,'ИТОГО Лэндинг'!$B$5:$B$300,$B233))</f>
        <v/>
      </c>
      <c r="F233" s="240" t="str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 t="str">
        <f>IF(F233="","",H233/F233)</f>
        <v/>
      </c>
      <c r="H233" s="241" t="str">
        <f>IF(F233="","",SUMIFS('ИТОГО Торговля'!$H$5:$H$300,'ИТОГО Торговля'!$B$5:$B$300,$B233)+SUMIFS('ИТОГО Лэндинг'!$H$5:$H$300,'ИТОГО Лэндинг'!$B$5:$B$300,$B233))</f>
        <v/>
      </c>
      <c r="I233" s="240" t="str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 t="str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 t="str">
        <f>IF(MIN(N(C233),N(F233))&lt;=0,"",ROUND(MIN(N(C233),N(F233))*(N(G233)-N(D233)),8))</f>
        <v/>
      </c>
      <c r="L233" s="177" t="str">
        <f>IF(MIN(N(C233),N(F233))&lt;=0,"",IF(N(D233)=0,"",ROUND((N(G233)/N(D233)-1)*100,2)))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 t="str">
        <f>IF(C234="","",E234/C234)</f>
        <v/>
      </c>
      <c r="E234" s="247" t="str">
        <f>IF(C234="","",SUMIFS('ИТОГО Торговля'!$E$5:$E$300,'ИТОГО Торговля'!$B$5:$B$300,$B234)+SUMIFS('ИТОГО Лэндинг'!$E$5:$E$300,'ИТОГО Лэндинг'!$B$5:$B$300,$B234))</f>
        <v/>
      </c>
      <c r="F234" s="246" t="str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 t="str">
        <f>IF(F234="","",H234/F234)</f>
        <v/>
      </c>
      <c r="H234" s="247" t="str">
        <f>IF(F234="","",SUMIFS('ИТОГО Торговля'!$H$5:$H$300,'ИТОГО Торговля'!$B$5:$B$300,$B234)+SUMIFS('ИТОГО Лэндинг'!$H$5:$H$300,'ИТОГО Лэндинг'!$B$5:$B$300,$B234))</f>
        <v/>
      </c>
      <c r="I234" s="246" t="str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 t="str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 t="str">
        <f>IF(MIN(N(C234),N(F234))&lt;=0,"",ROUND(MIN(N(C234),N(F234))*(N(G234)-N(D234)),8))</f>
        <v/>
      </c>
      <c r="L234" s="183" t="str">
        <f>IF(MIN(N(C234),N(F234))&lt;=0,"",IF(N(D234)=0,"",ROUND((N(G234)/N(D234)-1)*100,2)))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 t="str">
        <f>IF(C235="","",E235/C235)</f>
        <v/>
      </c>
      <c r="E235" s="241" t="str">
        <f>IF(C235="","",SUMIFS('ИТОГО Торговля'!$E$5:$E$300,'ИТОГО Торговля'!$B$5:$B$300,$B235)+SUMIFS('ИТОГО Лэндинг'!$E$5:$E$300,'ИТОГО Лэндинг'!$B$5:$B$300,$B235))</f>
        <v/>
      </c>
      <c r="F235" s="240" t="str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 t="str">
        <f>IF(F235="","",H235/F235)</f>
        <v/>
      </c>
      <c r="H235" s="241" t="str">
        <f>IF(F235="","",SUMIFS('ИТОГО Торговля'!$H$5:$H$300,'ИТОГО Торговля'!$B$5:$B$300,$B235)+SUMIFS('ИТОГО Лэндинг'!$H$5:$H$300,'ИТОГО Лэндинг'!$B$5:$B$300,$B235))</f>
        <v/>
      </c>
      <c r="I235" s="240" t="str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 t="str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 t="str">
        <f>IF(MIN(N(C235),N(F235))&lt;=0,"",ROUND(MIN(N(C235),N(F235))*(N(G235)-N(D235)),8))</f>
        <v/>
      </c>
      <c r="L235" s="177" t="str">
        <f>IF(MIN(N(C235),N(F235))&lt;=0,"",IF(N(D235)=0,"",ROUND((N(G235)/N(D235)-1)*100,2)))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 t="str">
        <f>IF(C236="","",E236/C236)</f>
        <v/>
      </c>
      <c r="E236" s="247" t="str">
        <f>IF(C236="","",SUMIFS('ИТОГО Торговля'!$E$5:$E$300,'ИТОГО Торговля'!$B$5:$B$300,$B236)+SUMIFS('ИТОГО Лэндинг'!$E$5:$E$300,'ИТОГО Лэндинг'!$B$5:$B$300,$B236))</f>
        <v/>
      </c>
      <c r="F236" s="246" t="str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 t="str">
        <f>IF(F236="","",H236/F236)</f>
        <v/>
      </c>
      <c r="H236" s="247" t="str">
        <f>IF(F236="","",SUMIFS('ИТОГО Торговля'!$H$5:$H$300,'ИТОГО Торговля'!$B$5:$B$300,$B236)+SUMIFS('ИТОГО Лэндинг'!$H$5:$H$300,'ИТОГО Лэндинг'!$B$5:$B$300,$B236))</f>
        <v/>
      </c>
      <c r="I236" s="246" t="str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 t="str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 t="str">
        <f>IF(MIN(N(C236),N(F236))&lt;=0,"",ROUND(MIN(N(C236),N(F236))*(N(G236)-N(D236)),8))</f>
        <v/>
      </c>
      <c r="L236" s="183" t="str">
        <f>IF(MIN(N(C236),N(F236))&lt;=0,"",IF(N(D236)=0,"",ROUND((N(G236)/N(D236)-1)*100,2)))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 t="str">
        <f>IF(C237="","",E237/C237)</f>
        <v/>
      </c>
      <c r="E237" s="241" t="str">
        <f>IF(C237="","",SUMIFS('ИТОГО Торговля'!$E$5:$E$300,'ИТОГО Торговля'!$B$5:$B$300,$B237)+SUMIFS('ИТОГО Лэндинг'!$E$5:$E$300,'ИТОГО Лэндинг'!$B$5:$B$300,$B237))</f>
        <v/>
      </c>
      <c r="F237" s="240" t="str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 t="str">
        <f>IF(F237="","",H237/F237)</f>
        <v/>
      </c>
      <c r="H237" s="241" t="str">
        <f>IF(F237="","",SUMIFS('ИТОГО Торговля'!$H$5:$H$300,'ИТОГО Торговля'!$B$5:$B$300,$B237)+SUMIFS('ИТОГО Лэндинг'!$H$5:$H$300,'ИТОГО Лэндинг'!$B$5:$B$300,$B237))</f>
        <v/>
      </c>
      <c r="I237" s="240" t="str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 t="str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 t="str">
        <f>IF(MIN(N(C237),N(F237))&lt;=0,"",ROUND(MIN(N(C237),N(F237))*(N(G237)-N(D237)),8))</f>
        <v/>
      </c>
      <c r="L237" s="177" t="str">
        <f>IF(MIN(N(C237),N(F237))&lt;=0,"",IF(N(D237)=0,"",ROUND((N(G237)/N(D237)-1)*100,2)))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 t="str">
        <f>IF(C238="","",E238/C238)</f>
        <v/>
      </c>
      <c r="E238" s="247" t="str">
        <f>IF(C238="","",SUMIFS('ИТОГО Торговля'!$E$5:$E$300,'ИТОГО Торговля'!$B$5:$B$300,$B238)+SUMIFS('ИТОГО Лэндинг'!$E$5:$E$300,'ИТОГО Лэндинг'!$B$5:$B$300,$B238))</f>
        <v/>
      </c>
      <c r="F238" s="246" t="str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 t="str">
        <f>IF(F238="","",H238/F238)</f>
        <v/>
      </c>
      <c r="H238" s="247" t="str">
        <f>IF(F238="","",SUMIFS('ИТОГО Торговля'!$H$5:$H$300,'ИТОГО Торговля'!$B$5:$B$300,$B238)+SUMIFS('ИТОГО Лэндинг'!$H$5:$H$300,'ИТОГО Лэндинг'!$B$5:$B$300,$B238))</f>
        <v/>
      </c>
      <c r="I238" s="246" t="str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 t="str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 t="str">
        <f>IF(MIN(N(C238),N(F238))&lt;=0,"",ROUND(MIN(N(C238),N(F238))*(N(G238)-N(D238)),8))</f>
        <v/>
      </c>
      <c r="L238" s="183" t="str">
        <f>IF(MIN(N(C238),N(F238))&lt;=0,"",IF(N(D238)=0,"",ROUND((N(G238)/N(D238)-1)*100,2)))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 t="str">
        <f>IF(C239="","",E239/C239)</f>
        <v/>
      </c>
      <c r="E239" s="241" t="str">
        <f>IF(C239="","",SUMIFS('ИТОГО Торговля'!$E$5:$E$300,'ИТОГО Торговля'!$B$5:$B$300,$B239)+SUMIFS('ИТОГО Лэндинг'!$E$5:$E$300,'ИТОГО Лэндинг'!$B$5:$B$300,$B239))</f>
        <v/>
      </c>
      <c r="F239" s="240" t="str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 t="str">
        <f>IF(F239="","",H239/F239)</f>
        <v/>
      </c>
      <c r="H239" s="241" t="str">
        <f>IF(F239="","",SUMIFS('ИТОГО Торговля'!$H$5:$H$300,'ИТОГО Торговля'!$B$5:$B$300,$B239)+SUMIFS('ИТОГО Лэндинг'!$H$5:$H$300,'ИТОГО Лэндинг'!$B$5:$B$300,$B239))</f>
        <v/>
      </c>
      <c r="I239" s="240" t="str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 t="str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 t="str">
        <f>IF(MIN(N(C239),N(F239))&lt;=0,"",ROUND(MIN(N(C239),N(F239))*(N(G239)-N(D239)),8))</f>
        <v/>
      </c>
      <c r="L239" s="177" t="str">
        <f>IF(MIN(N(C239),N(F239))&lt;=0,"",IF(N(D239)=0,"",ROUND((N(G239)/N(D239)-1)*100,2)))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 t="str">
        <f>IF(C240="","",E240/C240)</f>
        <v/>
      </c>
      <c r="E240" s="247" t="str">
        <f>IF(C240="","",SUMIFS('ИТОГО Торговля'!$E$5:$E$300,'ИТОГО Торговля'!$B$5:$B$300,$B240)+SUMIFS('ИТОГО Лэндинг'!$E$5:$E$300,'ИТОГО Лэндинг'!$B$5:$B$300,$B240))</f>
        <v/>
      </c>
      <c r="F240" s="246" t="str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 t="str">
        <f>IF(F240="","",H240/F240)</f>
        <v/>
      </c>
      <c r="H240" s="247" t="str">
        <f>IF(F240="","",SUMIFS('ИТОГО Торговля'!$H$5:$H$300,'ИТОГО Торговля'!$B$5:$B$300,$B240)+SUMIFS('ИТОГО Лэндинг'!$H$5:$H$300,'ИТОГО Лэндинг'!$B$5:$B$300,$B240))</f>
        <v/>
      </c>
      <c r="I240" s="246" t="str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 t="str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 t="str">
        <f>IF(MIN(N(C240),N(F240))&lt;=0,"",ROUND(MIN(N(C240),N(F240))*(N(G240)-N(D240)),8))</f>
        <v/>
      </c>
      <c r="L240" s="183" t="str">
        <f>IF(MIN(N(C240),N(F240))&lt;=0,"",IF(N(D240)=0,"",ROUND((N(G240)/N(D240)-1)*100,2)))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 t="str">
        <f>IF(C241="","",E241/C241)</f>
        <v/>
      </c>
      <c r="E241" s="241" t="str">
        <f>IF(C241="","",SUMIFS('ИТОГО Торговля'!$E$5:$E$300,'ИТОГО Торговля'!$B$5:$B$300,$B241)+SUMIFS('ИТОГО Лэндинг'!$E$5:$E$300,'ИТОГО Лэндинг'!$B$5:$B$300,$B241))</f>
        <v/>
      </c>
      <c r="F241" s="240" t="str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 t="str">
        <f>IF(F241="","",H241/F241)</f>
        <v/>
      </c>
      <c r="H241" s="241" t="str">
        <f>IF(F241="","",SUMIFS('ИТОГО Торговля'!$H$5:$H$300,'ИТОГО Торговля'!$B$5:$B$300,$B241)+SUMIFS('ИТОГО Лэндинг'!$H$5:$H$300,'ИТОГО Лэндинг'!$B$5:$B$300,$B241))</f>
        <v/>
      </c>
      <c r="I241" s="240" t="str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 t="str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 t="str">
        <f>IF(MIN(N(C241),N(F241))&lt;=0,"",ROUND(MIN(N(C241),N(F241))*(N(G241)-N(D241)),8))</f>
        <v/>
      </c>
      <c r="L241" s="177" t="str">
        <f>IF(MIN(N(C241),N(F241))&lt;=0,"",IF(N(D241)=0,"",ROUND((N(G241)/N(D241)-1)*100,2)))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 t="str">
        <f>IF(C242="","",E242/C242)</f>
        <v/>
      </c>
      <c r="E242" s="247" t="str">
        <f>IF(C242="","",SUMIFS('ИТОГО Торговля'!$E$5:$E$300,'ИТОГО Торговля'!$B$5:$B$300,$B242)+SUMIFS('ИТОГО Лэндинг'!$E$5:$E$300,'ИТОГО Лэндинг'!$B$5:$B$300,$B242))</f>
        <v/>
      </c>
      <c r="F242" s="246" t="str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 t="str">
        <f>IF(F242="","",H242/F242)</f>
        <v/>
      </c>
      <c r="H242" s="247" t="str">
        <f>IF(F242="","",SUMIFS('ИТОГО Торговля'!$H$5:$H$300,'ИТОГО Торговля'!$B$5:$B$300,$B242)+SUMIFS('ИТОГО Лэндинг'!$H$5:$H$300,'ИТОГО Лэндинг'!$B$5:$B$300,$B242))</f>
        <v/>
      </c>
      <c r="I242" s="246" t="str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 t="str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 t="str">
        <f>IF(MIN(N(C242),N(F242))&lt;=0,"",ROUND(MIN(N(C242),N(F242))*(N(G242)-N(D242)),8))</f>
        <v/>
      </c>
      <c r="L242" s="183" t="str">
        <f>IF(MIN(N(C242),N(F242))&lt;=0,"",IF(N(D242)=0,"",ROUND((N(G242)/N(D242)-1)*100,2)))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 t="str">
        <f>IF(C243="","",E243/C243)</f>
        <v/>
      </c>
      <c r="E243" s="241" t="str">
        <f>IF(C243="","",SUMIFS('ИТОГО Торговля'!$E$5:$E$300,'ИТОГО Торговля'!$B$5:$B$300,$B243)+SUMIFS('ИТОГО Лэндинг'!$E$5:$E$300,'ИТОГО Лэндинг'!$B$5:$B$300,$B243))</f>
        <v/>
      </c>
      <c r="F243" s="240" t="str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 t="str">
        <f>IF(F243="","",H243/F243)</f>
        <v/>
      </c>
      <c r="H243" s="241" t="str">
        <f>IF(F243="","",SUMIFS('ИТОГО Торговля'!$H$5:$H$300,'ИТОГО Торговля'!$B$5:$B$300,$B243)+SUMIFS('ИТОГО Лэндинг'!$H$5:$H$300,'ИТОГО Лэндинг'!$B$5:$B$300,$B243))</f>
        <v/>
      </c>
      <c r="I243" s="240" t="str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 t="str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 t="str">
        <f>IF(MIN(N(C243),N(F243))&lt;=0,"",ROUND(MIN(N(C243),N(F243))*(N(G243)-N(D243)),8))</f>
        <v/>
      </c>
      <c r="L243" s="177" t="str">
        <f>IF(MIN(N(C243),N(F243))&lt;=0,"",IF(N(D243)=0,"",ROUND((N(G243)/N(D243)-1)*100,2)))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 t="str">
        <f>IF(C244="","",E244/C244)</f>
        <v/>
      </c>
      <c r="E244" s="247" t="str">
        <f>IF(C244="","",SUMIFS('ИТОГО Торговля'!$E$5:$E$300,'ИТОГО Торговля'!$B$5:$B$300,$B244)+SUMIFS('ИТОГО Лэндинг'!$E$5:$E$300,'ИТОГО Лэндинг'!$B$5:$B$300,$B244))</f>
        <v/>
      </c>
      <c r="F244" s="246" t="str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 t="str">
        <f>IF(F244="","",H244/F244)</f>
        <v/>
      </c>
      <c r="H244" s="247" t="str">
        <f>IF(F244="","",SUMIFS('ИТОГО Торговля'!$H$5:$H$300,'ИТОГО Торговля'!$B$5:$B$300,$B244)+SUMIFS('ИТОГО Лэндинг'!$H$5:$H$300,'ИТОГО Лэндинг'!$B$5:$B$300,$B244))</f>
        <v/>
      </c>
      <c r="I244" s="246" t="str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 t="str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 t="str">
        <f>IF(MIN(N(C244),N(F244))&lt;=0,"",ROUND(MIN(N(C244),N(F244))*(N(G244)-N(D244)),8))</f>
        <v/>
      </c>
      <c r="L244" s="183" t="str">
        <f>IF(MIN(N(C244),N(F244))&lt;=0,"",IF(N(D244)=0,"",ROUND((N(G244)/N(D244)-1)*100,2)))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 t="str">
        <f>IF(C245="","",E245/C245)</f>
        <v/>
      </c>
      <c r="E245" s="241" t="str">
        <f>IF(C245="","",SUMIFS('ИТОГО Торговля'!$E$5:$E$300,'ИТОГО Торговля'!$B$5:$B$300,$B245)+SUMIFS('ИТОГО Лэндинг'!$E$5:$E$300,'ИТОГО Лэндинг'!$B$5:$B$300,$B245))</f>
        <v/>
      </c>
      <c r="F245" s="240" t="str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 t="str">
        <f>IF(F245="","",H245/F245)</f>
        <v/>
      </c>
      <c r="H245" s="241" t="str">
        <f>IF(F245="","",SUMIFS('ИТОГО Торговля'!$H$5:$H$300,'ИТОГО Торговля'!$B$5:$B$300,$B245)+SUMIFS('ИТОГО Лэндинг'!$H$5:$H$300,'ИТОГО Лэндинг'!$B$5:$B$300,$B245))</f>
        <v/>
      </c>
      <c r="I245" s="240" t="str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 t="str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 t="str">
        <f>IF(MIN(N(C245),N(F245))&lt;=0,"",ROUND(MIN(N(C245),N(F245))*(N(G245)-N(D245)),8))</f>
        <v/>
      </c>
      <c r="L245" s="177" t="str">
        <f>IF(MIN(N(C245),N(F245))&lt;=0,"",IF(N(D245)=0,"",ROUND((N(G245)/N(D245)-1)*100,2)))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 t="str">
        <f>IF(C246="","",E246/C246)</f>
        <v/>
      </c>
      <c r="E246" s="247" t="str">
        <f>IF(C246="","",SUMIFS('ИТОГО Торговля'!$E$5:$E$300,'ИТОГО Торговля'!$B$5:$B$300,$B246)+SUMIFS('ИТОГО Лэндинг'!$E$5:$E$300,'ИТОГО Лэндинг'!$B$5:$B$300,$B246))</f>
        <v/>
      </c>
      <c r="F246" s="246" t="str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 t="str">
        <f>IF(F246="","",H246/F246)</f>
        <v/>
      </c>
      <c r="H246" s="247" t="str">
        <f>IF(F246="","",SUMIFS('ИТОГО Торговля'!$H$5:$H$300,'ИТОГО Торговля'!$B$5:$B$300,$B246)+SUMIFS('ИТОГО Лэндинг'!$H$5:$H$300,'ИТОГО Лэндинг'!$B$5:$B$300,$B246))</f>
        <v/>
      </c>
      <c r="I246" s="246" t="str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 t="str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 t="str">
        <f>IF(MIN(N(C246),N(F246))&lt;=0,"",ROUND(MIN(N(C246),N(F246))*(N(G246)-N(D246)),8))</f>
        <v/>
      </c>
      <c r="L246" s="183" t="str">
        <f>IF(MIN(N(C246),N(F246))&lt;=0,"",IF(N(D246)=0,"",ROUND((N(G246)/N(D246)-1)*100,2)))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 t="str">
        <f>IF(C247="","",E247/C247)</f>
        <v/>
      </c>
      <c r="E247" s="241" t="str">
        <f>IF(C247="","",SUMIFS('ИТОГО Торговля'!$E$5:$E$300,'ИТОГО Торговля'!$B$5:$B$300,$B247)+SUMIFS('ИТОГО Лэндинг'!$E$5:$E$300,'ИТОГО Лэндинг'!$B$5:$B$300,$B247))</f>
        <v/>
      </c>
      <c r="F247" s="240" t="str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 t="str">
        <f>IF(F247="","",H247/F247)</f>
        <v/>
      </c>
      <c r="H247" s="241" t="str">
        <f>IF(F247="","",SUMIFS('ИТОГО Торговля'!$H$5:$H$300,'ИТОГО Торговля'!$B$5:$B$300,$B247)+SUMIFS('ИТОГО Лэндинг'!$H$5:$H$300,'ИТОГО Лэндинг'!$B$5:$B$300,$B247))</f>
        <v/>
      </c>
      <c r="I247" s="240" t="str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 t="str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 t="str">
        <f>IF(MIN(N(C247),N(F247))&lt;=0,"",ROUND(MIN(N(C247),N(F247))*(N(G247)-N(D247)),8))</f>
        <v/>
      </c>
      <c r="L247" s="177" t="str">
        <f>IF(MIN(N(C247),N(F247))&lt;=0,"",IF(N(D247)=0,"",ROUND((N(G247)/N(D247)-1)*100,2)))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 t="str">
        <f>IF(C248="","",E248/C248)</f>
        <v/>
      </c>
      <c r="E248" s="247" t="str">
        <f>IF(C248="","",SUMIFS('ИТОГО Торговля'!$E$5:$E$300,'ИТОГО Торговля'!$B$5:$B$300,$B248)+SUMIFS('ИТОГО Лэндинг'!$E$5:$E$300,'ИТОГО Лэндинг'!$B$5:$B$300,$B248))</f>
        <v/>
      </c>
      <c r="F248" s="246" t="str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 t="str">
        <f>IF(F248="","",H248/F248)</f>
        <v/>
      </c>
      <c r="H248" s="247" t="str">
        <f>IF(F248="","",SUMIFS('ИТОГО Торговля'!$H$5:$H$300,'ИТОГО Торговля'!$B$5:$B$300,$B248)+SUMIFS('ИТОГО Лэндинг'!$H$5:$H$300,'ИТОГО Лэндинг'!$B$5:$B$300,$B248))</f>
        <v/>
      </c>
      <c r="I248" s="246" t="str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 t="str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 t="str">
        <f>IF(MIN(N(C248),N(F248))&lt;=0,"",ROUND(MIN(N(C248),N(F248))*(N(G248)-N(D248)),8))</f>
        <v/>
      </c>
      <c r="L248" s="183" t="str">
        <f>IF(MIN(N(C248),N(F248))&lt;=0,"",IF(N(D248)=0,"",ROUND((N(G248)/N(D248)-1)*100,2)))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 t="str">
        <f>IF(C249="","",E249/C249)</f>
        <v/>
      </c>
      <c r="E249" s="241" t="str">
        <f>IF(C249="","",SUMIFS('ИТОГО Торговля'!$E$5:$E$300,'ИТОГО Торговля'!$B$5:$B$300,$B249)+SUMIFS('ИТОГО Лэндинг'!$E$5:$E$300,'ИТОГО Лэндинг'!$B$5:$B$300,$B249))</f>
        <v/>
      </c>
      <c r="F249" s="240" t="str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 t="str">
        <f>IF(F249="","",H249/F249)</f>
        <v/>
      </c>
      <c r="H249" s="241" t="str">
        <f>IF(F249="","",SUMIFS('ИТОГО Торговля'!$H$5:$H$300,'ИТОГО Торговля'!$B$5:$B$300,$B249)+SUMIFS('ИТОГО Лэндинг'!$H$5:$H$300,'ИТОГО Лэндинг'!$B$5:$B$300,$B249))</f>
        <v/>
      </c>
      <c r="I249" s="240" t="str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 t="str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 t="str">
        <f>IF(MIN(N(C249),N(F249))&lt;=0,"",ROUND(MIN(N(C249),N(F249))*(N(G249)-N(D249)),8))</f>
        <v/>
      </c>
      <c r="L249" s="177" t="str">
        <f>IF(MIN(N(C249),N(F249))&lt;=0,"",IF(N(D249)=0,"",ROUND((N(G249)/N(D249)-1)*100,2)))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 t="str">
        <f>IF(C250="","",E250/C250)</f>
        <v/>
      </c>
      <c r="E250" s="247" t="str">
        <f>IF(C250="","",SUMIFS('ИТОГО Торговля'!$E$5:$E$300,'ИТОГО Торговля'!$B$5:$B$300,$B250)+SUMIFS('ИТОГО Лэндинг'!$E$5:$E$300,'ИТОГО Лэндинг'!$B$5:$B$300,$B250))</f>
        <v/>
      </c>
      <c r="F250" s="246" t="str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 t="str">
        <f>IF(F250="","",H250/F250)</f>
        <v/>
      </c>
      <c r="H250" s="247" t="str">
        <f>IF(F250="","",SUMIFS('ИТОГО Торговля'!$H$5:$H$300,'ИТОГО Торговля'!$B$5:$B$300,$B250)+SUMIFS('ИТОГО Лэндинг'!$H$5:$H$300,'ИТОГО Лэндинг'!$B$5:$B$300,$B250))</f>
        <v/>
      </c>
      <c r="I250" s="246" t="str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 t="str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 t="str">
        <f>IF(MIN(N(C250),N(F250))&lt;=0,"",ROUND(MIN(N(C250),N(F250))*(N(G250)-N(D250)),8))</f>
        <v/>
      </c>
      <c r="L250" s="183" t="str">
        <f>IF(MIN(N(C250),N(F250))&lt;=0,"",IF(N(D250)=0,"",ROUND((N(G250)/N(D250)-1)*100,2)))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 t="str">
        <f>IF(C251="","",E251/C251)</f>
        <v/>
      </c>
      <c r="E251" s="241" t="str">
        <f>IF(C251="","",SUMIFS('ИТОГО Торговля'!$E$5:$E$300,'ИТОГО Торговля'!$B$5:$B$300,$B251)+SUMIFS('ИТОГО Лэндинг'!$E$5:$E$300,'ИТОГО Лэндинг'!$B$5:$B$300,$B251))</f>
        <v/>
      </c>
      <c r="F251" s="240" t="str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 t="str">
        <f>IF(F251="","",H251/F251)</f>
        <v/>
      </c>
      <c r="H251" s="241" t="str">
        <f>IF(F251="","",SUMIFS('ИТОГО Торговля'!$H$5:$H$300,'ИТОГО Торговля'!$B$5:$B$300,$B251)+SUMIFS('ИТОГО Лэндинг'!$H$5:$H$300,'ИТОГО Лэндинг'!$B$5:$B$300,$B251))</f>
        <v/>
      </c>
      <c r="I251" s="240" t="str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 t="str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 t="str">
        <f>IF(MIN(N(C251),N(F251))&lt;=0,"",ROUND(MIN(N(C251),N(F251))*(N(G251)-N(D251)),8))</f>
        <v/>
      </c>
      <c r="L251" s="177" t="str">
        <f>IF(MIN(N(C251),N(F251))&lt;=0,"",IF(N(D251)=0,"",ROUND((N(G251)/N(D251)-1)*100,2)))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 t="str">
        <f>IF(C252="","",E252/C252)</f>
        <v/>
      </c>
      <c r="E252" s="247" t="str">
        <f>IF(C252="","",SUMIFS('ИТОГО Торговля'!$E$5:$E$300,'ИТОГО Торговля'!$B$5:$B$300,$B252)+SUMIFS('ИТОГО Лэндинг'!$E$5:$E$300,'ИТОГО Лэндинг'!$B$5:$B$300,$B252))</f>
        <v/>
      </c>
      <c r="F252" s="246" t="str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 t="str">
        <f>IF(F252="","",H252/F252)</f>
        <v/>
      </c>
      <c r="H252" s="247" t="str">
        <f>IF(F252="","",SUMIFS('ИТОГО Торговля'!$H$5:$H$300,'ИТОГО Торговля'!$B$5:$B$300,$B252)+SUMIFS('ИТОГО Лэндинг'!$H$5:$H$300,'ИТОГО Лэндинг'!$B$5:$B$300,$B252))</f>
        <v/>
      </c>
      <c r="I252" s="246" t="str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 t="str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 t="str">
        <f>IF(MIN(N(C252),N(F252))&lt;=0,"",ROUND(MIN(N(C252),N(F252))*(N(G252)-N(D252)),8))</f>
        <v/>
      </c>
      <c r="L252" s="183" t="str">
        <f>IF(MIN(N(C252),N(F252))&lt;=0,"",IF(N(D252)=0,"",ROUND((N(G252)/N(D252)-1)*100,2)))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 t="str">
        <f>IF(C253="","",E253/C253)</f>
        <v/>
      </c>
      <c r="E253" s="241" t="str">
        <f>IF(C253="","",SUMIFS('ИТОГО Торговля'!$E$5:$E$300,'ИТОГО Торговля'!$B$5:$B$300,$B253)+SUMIFS('ИТОГО Лэндинг'!$E$5:$E$300,'ИТОГО Лэндинг'!$B$5:$B$300,$B253))</f>
        <v/>
      </c>
      <c r="F253" s="240" t="str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 t="str">
        <f>IF(F253="","",H253/F253)</f>
        <v/>
      </c>
      <c r="H253" s="241" t="str">
        <f>IF(F253="","",SUMIFS('ИТОГО Торговля'!$H$5:$H$300,'ИТОГО Торговля'!$B$5:$B$300,$B253)+SUMIFS('ИТОГО Лэндинг'!$H$5:$H$300,'ИТОГО Лэндинг'!$B$5:$B$300,$B253))</f>
        <v/>
      </c>
      <c r="I253" s="240" t="str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 t="str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 t="str">
        <f>IF(MIN(N(C253),N(F253))&lt;=0,"",ROUND(MIN(N(C253),N(F253))*(N(G253)-N(D253)),8))</f>
        <v/>
      </c>
      <c r="L253" s="177" t="str">
        <f>IF(MIN(N(C253),N(F253))&lt;=0,"",IF(N(D253)=0,"",ROUND((N(G253)/N(D253)-1)*100,2)))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 t="str">
        <f>IF(C254="","",E254/C254)</f>
        <v/>
      </c>
      <c r="E254" s="247" t="str">
        <f>IF(C254="","",SUMIFS('ИТОГО Торговля'!$E$5:$E$300,'ИТОГО Торговля'!$B$5:$B$300,$B254)+SUMIFS('ИТОГО Лэндинг'!$E$5:$E$300,'ИТОГО Лэндинг'!$B$5:$B$300,$B254))</f>
        <v/>
      </c>
      <c r="F254" s="246" t="str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 t="str">
        <f>IF(F254="","",H254/F254)</f>
        <v/>
      </c>
      <c r="H254" s="247" t="str">
        <f>IF(F254="","",SUMIFS('ИТОГО Торговля'!$H$5:$H$300,'ИТОГО Торговля'!$B$5:$B$300,$B254)+SUMIFS('ИТОГО Лэндинг'!$H$5:$H$300,'ИТОГО Лэндинг'!$B$5:$B$300,$B254))</f>
        <v/>
      </c>
      <c r="I254" s="246" t="str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 t="str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 t="str">
        <f>IF(MIN(N(C254),N(F254))&lt;=0,"",ROUND(MIN(N(C254),N(F254))*(N(G254)-N(D254)),8))</f>
        <v/>
      </c>
      <c r="L254" s="183" t="str">
        <f>IF(MIN(N(C254),N(F254))&lt;=0,"",IF(N(D254)=0,"",ROUND((N(G254)/N(D254)-1)*100,2)))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 t="str">
        <f>IF(C255="","",E255/C255)</f>
        <v/>
      </c>
      <c r="E255" s="241" t="str">
        <f>IF(C255="","",SUMIFS('ИТОГО Торговля'!$E$5:$E$300,'ИТОГО Торговля'!$B$5:$B$300,$B255)+SUMIFS('ИТОГО Лэндинг'!$E$5:$E$300,'ИТОГО Лэндинг'!$B$5:$B$300,$B255))</f>
        <v/>
      </c>
      <c r="F255" s="240" t="str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 t="str">
        <f>IF(F255="","",H255/F255)</f>
        <v/>
      </c>
      <c r="H255" s="241" t="str">
        <f>IF(F255="","",SUMIFS('ИТОГО Торговля'!$H$5:$H$300,'ИТОГО Торговля'!$B$5:$B$300,$B255)+SUMIFS('ИТОГО Лэндинг'!$H$5:$H$300,'ИТОГО Лэндинг'!$B$5:$B$300,$B255))</f>
        <v/>
      </c>
      <c r="I255" s="240" t="str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 t="str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 t="str">
        <f>IF(MIN(N(C255),N(F255))&lt;=0,"",ROUND(MIN(N(C255),N(F255))*(N(G255)-N(D255)),8))</f>
        <v/>
      </c>
      <c r="L255" s="177" t="str">
        <f>IF(MIN(N(C255),N(F255))&lt;=0,"",IF(N(D255)=0,"",ROUND((N(G255)/N(D255)-1)*100,2)))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 t="str">
        <f>IF(C256="","",E256/C256)</f>
        <v/>
      </c>
      <c r="E256" s="247" t="str">
        <f>IF(C256="","",SUMIFS('ИТОГО Торговля'!$E$5:$E$300,'ИТОГО Торговля'!$B$5:$B$300,$B256)+SUMIFS('ИТОГО Лэндинг'!$E$5:$E$300,'ИТОГО Лэндинг'!$B$5:$B$300,$B256))</f>
        <v/>
      </c>
      <c r="F256" s="246" t="str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 t="str">
        <f>IF(F256="","",H256/F256)</f>
        <v/>
      </c>
      <c r="H256" s="247" t="str">
        <f>IF(F256="","",SUMIFS('ИТОГО Торговля'!$H$5:$H$300,'ИТОГО Торговля'!$B$5:$B$300,$B256)+SUMIFS('ИТОГО Лэндинг'!$H$5:$H$300,'ИТОГО Лэндинг'!$B$5:$B$300,$B256))</f>
        <v/>
      </c>
      <c r="I256" s="246" t="str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 t="str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 t="str">
        <f>IF(MIN(N(C256),N(F256))&lt;=0,"",ROUND(MIN(N(C256),N(F256))*(N(G256)-N(D256)),8))</f>
        <v/>
      </c>
      <c r="L256" s="183" t="str">
        <f>IF(MIN(N(C256),N(F256))&lt;=0,"",IF(N(D256)=0,"",ROUND((N(G256)/N(D256)-1)*100,2)))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 t="str">
        <f>IF(C257="","",E257/C257)</f>
        <v/>
      </c>
      <c r="E257" s="241" t="str">
        <f>IF(C257="","",SUMIFS('ИТОГО Торговля'!$E$5:$E$300,'ИТОГО Торговля'!$B$5:$B$300,$B257)+SUMIFS('ИТОГО Лэндинг'!$E$5:$E$300,'ИТОГО Лэндинг'!$B$5:$B$300,$B257))</f>
        <v/>
      </c>
      <c r="F257" s="240" t="str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 t="str">
        <f>IF(F257="","",H257/F257)</f>
        <v/>
      </c>
      <c r="H257" s="241" t="str">
        <f>IF(F257="","",SUMIFS('ИТОГО Торговля'!$H$5:$H$300,'ИТОГО Торговля'!$B$5:$B$300,$B257)+SUMIFS('ИТОГО Лэндинг'!$H$5:$H$300,'ИТОГО Лэндинг'!$B$5:$B$300,$B257))</f>
        <v/>
      </c>
      <c r="I257" s="240" t="str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 t="str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 t="str">
        <f>IF(MIN(N(C257),N(F257))&lt;=0,"",ROUND(MIN(N(C257),N(F257))*(N(G257)-N(D257)),8))</f>
        <v/>
      </c>
      <c r="L257" s="177" t="str">
        <f>IF(MIN(N(C257),N(F257))&lt;=0,"",IF(N(D257)=0,"",ROUND((N(G257)/N(D257)-1)*100,2)))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 t="str">
        <f>IF(C258="","",E258/C258)</f>
        <v/>
      </c>
      <c r="E258" s="247" t="str">
        <f>IF(C258="","",SUMIFS('ИТОГО Торговля'!$E$5:$E$300,'ИТОГО Торговля'!$B$5:$B$300,$B258)+SUMIFS('ИТОГО Лэндинг'!$E$5:$E$300,'ИТОГО Лэндинг'!$B$5:$B$300,$B258))</f>
        <v/>
      </c>
      <c r="F258" s="246" t="str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 t="str">
        <f>IF(F258="","",H258/F258)</f>
        <v/>
      </c>
      <c r="H258" s="247" t="str">
        <f>IF(F258="","",SUMIFS('ИТОГО Торговля'!$H$5:$H$300,'ИТОГО Торговля'!$B$5:$B$300,$B258)+SUMIFS('ИТОГО Лэндинг'!$H$5:$H$300,'ИТОГО Лэндинг'!$B$5:$B$300,$B258))</f>
        <v/>
      </c>
      <c r="I258" s="246" t="str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 t="str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 t="str">
        <f>IF(MIN(N(C258),N(F258))&lt;=0,"",ROUND(MIN(N(C258),N(F258))*(N(G258)-N(D258)),8))</f>
        <v/>
      </c>
      <c r="L258" s="183" t="str">
        <f>IF(MIN(N(C258),N(F258))&lt;=0,"",IF(N(D258)=0,"",ROUND((N(G258)/N(D258)-1)*100,2)))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 t="str">
        <f>IF(C259="","",E259/C259)</f>
        <v/>
      </c>
      <c r="E259" s="241" t="str">
        <f>IF(C259="","",SUMIFS('ИТОГО Торговля'!$E$5:$E$300,'ИТОГО Торговля'!$B$5:$B$300,$B259)+SUMIFS('ИТОГО Лэндинг'!$E$5:$E$300,'ИТОГО Лэндинг'!$B$5:$B$300,$B259))</f>
        <v/>
      </c>
      <c r="F259" s="240" t="str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 t="str">
        <f>IF(F259="","",H259/F259)</f>
        <v/>
      </c>
      <c r="H259" s="241" t="str">
        <f>IF(F259="","",SUMIFS('ИТОГО Торговля'!$H$5:$H$300,'ИТОГО Торговля'!$B$5:$B$300,$B259)+SUMIFS('ИТОГО Лэндинг'!$H$5:$H$300,'ИТОГО Лэндинг'!$B$5:$B$300,$B259))</f>
        <v/>
      </c>
      <c r="I259" s="240" t="str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 t="str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 t="str">
        <f>IF(MIN(N(C259),N(F259))&lt;=0,"",ROUND(MIN(N(C259),N(F259))*(N(G259)-N(D259)),8))</f>
        <v/>
      </c>
      <c r="L259" s="177" t="str">
        <f>IF(MIN(N(C259),N(F259))&lt;=0,"",IF(N(D259)=0,"",ROUND((N(G259)/N(D259)-1)*100,2)))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 t="str">
        <f>IF(C260="","",E260/C260)</f>
        <v/>
      </c>
      <c r="E260" s="247" t="str">
        <f>IF(C260="","",SUMIFS('ИТОГО Торговля'!$E$5:$E$300,'ИТОГО Торговля'!$B$5:$B$300,$B260)+SUMIFS('ИТОГО Лэндинг'!$E$5:$E$300,'ИТОГО Лэндинг'!$B$5:$B$300,$B260))</f>
        <v/>
      </c>
      <c r="F260" s="246" t="str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 t="str">
        <f>IF(F260="","",H260/F260)</f>
        <v/>
      </c>
      <c r="H260" s="247" t="str">
        <f>IF(F260="","",SUMIFS('ИТОГО Торговля'!$H$5:$H$300,'ИТОГО Торговля'!$B$5:$B$300,$B260)+SUMIFS('ИТОГО Лэндинг'!$H$5:$H$300,'ИТОГО Лэндинг'!$B$5:$B$300,$B260))</f>
        <v/>
      </c>
      <c r="I260" s="246" t="str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 t="str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 t="str">
        <f>IF(MIN(N(C260),N(F260))&lt;=0,"",ROUND(MIN(N(C260),N(F260))*(N(G260)-N(D260)),8))</f>
        <v/>
      </c>
      <c r="L260" s="183" t="str">
        <f>IF(MIN(N(C260),N(F260))&lt;=0,"",IF(N(D260)=0,"",ROUND((N(G260)/N(D260)-1)*100,2)))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 t="str">
        <f>IF(C261="","",E261/C261)</f>
        <v/>
      </c>
      <c r="E261" s="241" t="str">
        <f>IF(C261="","",SUMIFS('ИТОГО Торговля'!$E$5:$E$300,'ИТОГО Торговля'!$B$5:$B$300,$B261)+SUMIFS('ИТОГО Лэндинг'!$E$5:$E$300,'ИТОГО Лэндинг'!$B$5:$B$300,$B261))</f>
        <v/>
      </c>
      <c r="F261" s="240" t="str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 t="str">
        <f>IF(F261="","",H261/F261)</f>
        <v/>
      </c>
      <c r="H261" s="241" t="str">
        <f>IF(F261="","",SUMIFS('ИТОГО Торговля'!$H$5:$H$300,'ИТОГО Торговля'!$B$5:$B$300,$B261)+SUMIFS('ИТОГО Лэндинг'!$H$5:$H$300,'ИТОГО Лэндинг'!$B$5:$B$300,$B261))</f>
        <v/>
      </c>
      <c r="I261" s="240" t="str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 t="str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 t="str">
        <f>IF(MIN(N(C261),N(F261))&lt;=0,"",ROUND(MIN(N(C261),N(F261))*(N(G261)-N(D261)),8))</f>
        <v/>
      </c>
      <c r="L261" s="177" t="str">
        <f>IF(MIN(N(C261),N(F261))&lt;=0,"",IF(N(D261)=0,"",ROUND((N(G261)/N(D261)-1)*100,2)))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 t="str">
        <f>IF(C262="","",E262/C262)</f>
        <v/>
      </c>
      <c r="E262" s="247" t="str">
        <f>IF(C262="","",SUMIFS('ИТОГО Торговля'!$E$5:$E$300,'ИТОГО Торговля'!$B$5:$B$300,$B262)+SUMIFS('ИТОГО Лэндинг'!$E$5:$E$300,'ИТОГО Лэндинг'!$B$5:$B$300,$B262))</f>
        <v/>
      </c>
      <c r="F262" s="246" t="str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 t="str">
        <f>IF(F262="","",H262/F262)</f>
        <v/>
      </c>
      <c r="H262" s="247" t="str">
        <f>IF(F262="","",SUMIFS('ИТОГО Торговля'!$H$5:$H$300,'ИТОГО Торговля'!$B$5:$B$300,$B262)+SUMIFS('ИТОГО Лэндинг'!$H$5:$H$300,'ИТОГО Лэндинг'!$B$5:$B$300,$B262))</f>
        <v/>
      </c>
      <c r="I262" s="246" t="str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 t="str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 t="str">
        <f>IF(MIN(N(C262),N(F262))&lt;=0,"",ROUND(MIN(N(C262),N(F262))*(N(G262)-N(D262)),8))</f>
        <v/>
      </c>
      <c r="L262" s="183" t="str">
        <f>IF(MIN(N(C262),N(F262))&lt;=0,"",IF(N(D262)=0,"",ROUND((N(G262)/N(D262)-1)*100,2)))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 t="str">
        <f>IF(C263="","",E263/C263)</f>
        <v/>
      </c>
      <c r="E263" s="241" t="str">
        <f>IF(C263="","",SUMIFS('ИТОГО Торговля'!$E$5:$E$300,'ИТОГО Торговля'!$B$5:$B$300,$B263)+SUMIFS('ИТОГО Лэндинг'!$E$5:$E$300,'ИТОГО Лэндинг'!$B$5:$B$300,$B263))</f>
        <v/>
      </c>
      <c r="F263" s="240" t="str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 t="str">
        <f>IF(F263="","",H263/F263)</f>
        <v/>
      </c>
      <c r="H263" s="241" t="str">
        <f>IF(F263="","",SUMIFS('ИТОГО Торговля'!$H$5:$H$300,'ИТОГО Торговля'!$B$5:$B$300,$B263)+SUMIFS('ИТОГО Лэндинг'!$H$5:$H$300,'ИТОГО Лэндинг'!$B$5:$B$300,$B263))</f>
        <v/>
      </c>
      <c r="I263" s="240" t="str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 t="str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 t="str">
        <f>IF(MIN(N(C263),N(F263))&lt;=0,"",ROUND(MIN(N(C263),N(F263))*(N(G263)-N(D263)),8))</f>
        <v/>
      </c>
      <c r="L263" s="177" t="str">
        <f>IF(MIN(N(C263),N(F263))&lt;=0,"",IF(N(D263)=0,"",ROUND((N(G263)/N(D263)-1)*100,2)))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 t="str">
        <f>IF(C264="","",E264/C264)</f>
        <v/>
      </c>
      <c r="E264" s="247" t="str">
        <f>IF(C264="","",SUMIFS('ИТОГО Торговля'!$E$5:$E$300,'ИТОГО Торговля'!$B$5:$B$300,$B264)+SUMIFS('ИТОГО Лэндинг'!$E$5:$E$300,'ИТОГО Лэндинг'!$B$5:$B$300,$B264))</f>
        <v/>
      </c>
      <c r="F264" s="246" t="str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 t="str">
        <f>IF(F264="","",H264/F264)</f>
        <v/>
      </c>
      <c r="H264" s="247" t="str">
        <f>IF(F264="","",SUMIFS('ИТОГО Торговля'!$H$5:$H$300,'ИТОГО Торговля'!$B$5:$B$300,$B264)+SUMIFS('ИТОГО Лэндинг'!$H$5:$H$300,'ИТОГО Лэндинг'!$B$5:$B$300,$B264))</f>
        <v/>
      </c>
      <c r="I264" s="246" t="str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 t="str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 t="str">
        <f>IF(MIN(N(C264),N(F264))&lt;=0,"",ROUND(MIN(N(C264),N(F264))*(N(G264)-N(D264)),8))</f>
        <v/>
      </c>
      <c r="L264" s="183" t="str">
        <f>IF(MIN(N(C264),N(F264))&lt;=0,"",IF(N(D264)=0,"",ROUND((N(G264)/N(D264)-1)*100,2)))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 t="str">
        <f>IF(C265="","",E265/C265)</f>
        <v/>
      </c>
      <c r="E265" s="241" t="str">
        <f>IF(C265="","",SUMIFS('ИТОГО Торговля'!$E$5:$E$300,'ИТОГО Торговля'!$B$5:$B$300,$B265)+SUMIFS('ИТОГО Лэндинг'!$E$5:$E$300,'ИТОГО Лэндинг'!$B$5:$B$300,$B265))</f>
        <v/>
      </c>
      <c r="F265" s="240" t="str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 t="str">
        <f>IF(F265="","",H265/F265)</f>
        <v/>
      </c>
      <c r="H265" s="241" t="str">
        <f>IF(F265="","",SUMIFS('ИТОГО Торговля'!$H$5:$H$300,'ИТОГО Торговля'!$B$5:$B$300,$B265)+SUMIFS('ИТОГО Лэндинг'!$H$5:$H$300,'ИТОГО Лэндинг'!$B$5:$B$300,$B265))</f>
        <v/>
      </c>
      <c r="I265" s="240" t="str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 t="str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 t="str">
        <f>IF(MIN(N(C265),N(F265))&lt;=0,"",ROUND(MIN(N(C265),N(F265))*(N(G265)-N(D265)),8))</f>
        <v/>
      </c>
      <c r="L265" s="177" t="str">
        <f>IF(MIN(N(C265),N(F265))&lt;=0,"",IF(N(D265)=0,"",ROUND((N(G265)/N(D265)-1)*100,2)))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 t="str">
        <f>IF(C266="","",E266/C266)</f>
        <v/>
      </c>
      <c r="E266" s="247" t="str">
        <f>IF(C266="","",SUMIFS('ИТОГО Торговля'!$E$5:$E$300,'ИТОГО Торговля'!$B$5:$B$300,$B266)+SUMIFS('ИТОГО Лэндинг'!$E$5:$E$300,'ИТОГО Лэндинг'!$B$5:$B$300,$B266))</f>
        <v/>
      </c>
      <c r="F266" s="246" t="str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 t="str">
        <f>IF(F266="","",H266/F266)</f>
        <v/>
      </c>
      <c r="H266" s="247" t="str">
        <f>IF(F266="","",SUMIFS('ИТОГО Торговля'!$H$5:$H$300,'ИТОГО Торговля'!$B$5:$B$300,$B266)+SUMIFS('ИТОГО Лэндинг'!$H$5:$H$300,'ИТОГО Лэндинг'!$B$5:$B$300,$B266))</f>
        <v/>
      </c>
      <c r="I266" s="246" t="str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 t="str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 t="str">
        <f>IF(MIN(N(C266),N(F266))&lt;=0,"",ROUND(MIN(N(C266),N(F266))*(N(G266)-N(D266)),8))</f>
        <v/>
      </c>
      <c r="L266" s="183" t="str">
        <f>IF(MIN(N(C266),N(F266))&lt;=0,"",IF(N(D266)=0,"",ROUND((N(G266)/N(D266)-1)*100,2)))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 t="str">
        <f>IF(C267="","",E267/C267)</f>
        <v/>
      </c>
      <c r="E267" s="241" t="str">
        <f>IF(C267="","",SUMIFS('ИТОГО Торговля'!$E$5:$E$300,'ИТОГО Торговля'!$B$5:$B$300,$B267)+SUMIFS('ИТОГО Лэндинг'!$E$5:$E$300,'ИТОГО Лэндинг'!$B$5:$B$300,$B267))</f>
        <v/>
      </c>
      <c r="F267" s="240" t="str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 t="str">
        <f>IF(F267="","",H267/F267)</f>
        <v/>
      </c>
      <c r="H267" s="241" t="str">
        <f>IF(F267="","",SUMIFS('ИТОГО Торговля'!$H$5:$H$300,'ИТОГО Торговля'!$B$5:$B$300,$B267)+SUMIFS('ИТОГО Лэндинг'!$H$5:$H$300,'ИТОГО Лэндинг'!$B$5:$B$300,$B267))</f>
        <v/>
      </c>
      <c r="I267" s="240" t="str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 t="str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 t="str">
        <f>IF(MIN(N(C267),N(F267))&lt;=0,"",ROUND(MIN(N(C267),N(F267))*(N(G267)-N(D267)),8))</f>
        <v/>
      </c>
      <c r="L267" s="177" t="str">
        <f>IF(MIN(N(C267),N(F267))&lt;=0,"",IF(N(D267)=0,"",ROUND((N(G267)/N(D267)-1)*100,2)))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 t="str">
        <f>IF(C268="","",E268/C268)</f>
        <v/>
      </c>
      <c r="E268" s="247" t="str">
        <f>IF(C268="","",SUMIFS('ИТОГО Торговля'!$E$5:$E$300,'ИТОГО Торговля'!$B$5:$B$300,$B268)+SUMIFS('ИТОГО Лэндинг'!$E$5:$E$300,'ИТОГО Лэндинг'!$B$5:$B$300,$B268))</f>
        <v/>
      </c>
      <c r="F268" s="246" t="str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 t="str">
        <f>IF(F268="","",H268/F268)</f>
        <v/>
      </c>
      <c r="H268" s="247" t="str">
        <f>IF(F268="","",SUMIFS('ИТОГО Торговля'!$H$5:$H$300,'ИТОГО Торговля'!$B$5:$B$300,$B268)+SUMIFS('ИТОГО Лэндинг'!$H$5:$H$300,'ИТОГО Лэндинг'!$B$5:$B$300,$B268))</f>
        <v/>
      </c>
      <c r="I268" s="246" t="str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 t="str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 t="str">
        <f>IF(MIN(N(C268),N(F268))&lt;=0,"",ROUND(MIN(N(C268),N(F268))*(N(G268)-N(D268)),8))</f>
        <v/>
      </c>
      <c r="L268" s="183" t="str">
        <f>IF(MIN(N(C268),N(F268))&lt;=0,"",IF(N(D268)=0,"",ROUND((N(G268)/N(D268)-1)*100,2)))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 t="str">
        <f>IF(C269="","",E269/C269)</f>
        <v/>
      </c>
      <c r="E269" s="241" t="str">
        <f>IF(C269="","",SUMIFS('ИТОГО Торговля'!$E$5:$E$300,'ИТОГО Торговля'!$B$5:$B$300,$B269)+SUMIFS('ИТОГО Лэндинг'!$E$5:$E$300,'ИТОГО Лэндинг'!$B$5:$B$300,$B269))</f>
        <v/>
      </c>
      <c r="F269" s="240" t="str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 t="str">
        <f>IF(F269="","",H269/F269)</f>
        <v/>
      </c>
      <c r="H269" s="241" t="str">
        <f>IF(F269="","",SUMIFS('ИТОГО Торговля'!$H$5:$H$300,'ИТОГО Торговля'!$B$5:$B$300,$B269)+SUMIFS('ИТОГО Лэндинг'!$H$5:$H$300,'ИТОГО Лэндинг'!$B$5:$B$300,$B269))</f>
        <v/>
      </c>
      <c r="I269" s="240" t="str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 t="str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 t="str">
        <f>IF(MIN(N(C269),N(F269))&lt;=0,"",ROUND(MIN(N(C269),N(F269))*(N(G269)-N(D269)),8))</f>
        <v/>
      </c>
      <c r="L269" s="177" t="str">
        <f>IF(MIN(N(C269),N(F269))&lt;=0,"",IF(N(D269)=0,"",ROUND((N(G269)/N(D269)-1)*100,2)))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 t="str">
        <f>IF(C270="","",E270/C270)</f>
        <v/>
      </c>
      <c r="E270" s="247" t="str">
        <f>IF(C270="","",SUMIFS('ИТОГО Торговля'!$E$5:$E$300,'ИТОГО Торговля'!$B$5:$B$300,$B270)+SUMIFS('ИТОГО Лэндинг'!$E$5:$E$300,'ИТОГО Лэндинг'!$B$5:$B$300,$B270))</f>
        <v/>
      </c>
      <c r="F270" s="246" t="str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 t="str">
        <f>IF(F270="","",H270/F270)</f>
        <v/>
      </c>
      <c r="H270" s="247" t="str">
        <f>IF(F270="","",SUMIFS('ИТОГО Торговля'!$H$5:$H$300,'ИТОГО Торговля'!$B$5:$B$300,$B270)+SUMIFS('ИТОГО Лэндинг'!$H$5:$H$300,'ИТОГО Лэндинг'!$B$5:$B$300,$B270))</f>
        <v/>
      </c>
      <c r="I270" s="246" t="str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 t="str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 t="str">
        <f>IF(MIN(N(C270),N(F270))&lt;=0,"",ROUND(MIN(N(C270),N(F270))*(N(G270)-N(D270)),8))</f>
        <v/>
      </c>
      <c r="L270" s="183" t="str">
        <f>IF(MIN(N(C270),N(F270))&lt;=0,"",IF(N(D270)=0,"",ROUND((N(G270)/N(D270)-1)*100,2)))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 t="str">
        <f>IF(C271="","",E271/C271)</f>
        <v/>
      </c>
      <c r="E271" s="241" t="str">
        <f>IF(C271="","",SUMIFS('ИТОГО Торговля'!$E$5:$E$300,'ИТОГО Торговля'!$B$5:$B$300,$B271)+SUMIFS('ИТОГО Лэндинг'!$E$5:$E$300,'ИТОГО Лэндинг'!$B$5:$B$300,$B271))</f>
        <v/>
      </c>
      <c r="F271" s="240" t="str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 t="str">
        <f>IF(F271="","",H271/F271)</f>
        <v/>
      </c>
      <c r="H271" s="241" t="str">
        <f>IF(F271="","",SUMIFS('ИТОГО Торговля'!$H$5:$H$300,'ИТОГО Торговля'!$B$5:$B$300,$B271)+SUMIFS('ИТОГО Лэндинг'!$H$5:$H$300,'ИТОГО Лэндинг'!$B$5:$B$300,$B271))</f>
        <v/>
      </c>
      <c r="I271" s="240" t="str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 t="str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 t="str">
        <f>IF(MIN(N(C271),N(F271))&lt;=0,"",ROUND(MIN(N(C271),N(F271))*(N(G271)-N(D271)),8))</f>
        <v/>
      </c>
      <c r="L271" s="177" t="str">
        <f>IF(MIN(N(C271),N(F271))&lt;=0,"",IF(N(D271)=0,"",ROUND((N(G271)/N(D271)-1)*100,2)))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 t="str">
        <f>IF(C272="","",E272/C272)</f>
        <v/>
      </c>
      <c r="E272" s="247" t="str">
        <f>IF(C272="","",SUMIFS('ИТОГО Торговля'!$E$5:$E$300,'ИТОГО Торговля'!$B$5:$B$300,$B272)+SUMIFS('ИТОГО Лэндинг'!$E$5:$E$300,'ИТОГО Лэндинг'!$B$5:$B$300,$B272))</f>
        <v/>
      </c>
      <c r="F272" s="246" t="str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 t="str">
        <f>IF(F272="","",H272/F272)</f>
        <v/>
      </c>
      <c r="H272" s="247" t="str">
        <f>IF(F272="","",SUMIFS('ИТОГО Торговля'!$H$5:$H$300,'ИТОГО Торговля'!$B$5:$B$300,$B272)+SUMIFS('ИТОГО Лэндинг'!$H$5:$H$300,'ИТОГО Лэндинг'!$B$5:$B$300,$B272))</f>
        <v/>
      </c>
      <c r="I272" s="246" t="str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 t="str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 t="str">
        <f>IF(MIN(N(C272),N(F272))&lt;=0,"",ROUND(MIN(N(C272),N(F272))*(N(G272)-N(D272)),8))</f>
        <v/>
      </c>
      <c r="L272" s="183" t="str">
        <f>IF(MIN(N(C272),N(F272))&lt;=0,"",IF(N(D272)=0,"",ROUND((N(G272)/N(D272)-1)*100,2)))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 t="str">
        <f>IF(C273="","",E273/C273)</f>
        <v/>
      </c>
      <c r="E273" s="241" t="str">
        <f>IF(C273="","",SUMIFS('ИТОГО Торговля'!$E$5:$E$300,'ИТОГО Торговля'!$B$5:$B$300,$B273)+SUMIFS('ИТОГО Лэндинг'!$E$5:$E$300,'ИТОГО Лэндинг'!$B$5:$B$300,$B273))</f>
        <v/>
      </c>
      <c r="F273" s="240" t="str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 t="str">
        <f>IF(F273="","",H273/F273)</f>
        <v/>
      </c>
      <c r="H273" s="241" t="str">
        <f>IF(F273="","",SUMIFS('ИТОГО Торговля'!$H$5:$H$300,'ИТОГО Торговля'!$B$5:$B$300,$B273)+SUMIFS('ИТОГО Лэндинг'!$H$5:$H$300,'ИТОГО Лэндинг'!$B$5:$B$300,$B273))</f>
        <v/>
      </c>
      <c r="I273" s="240" t="str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 t="str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 t="str">
        <f>IF(MIN(N(C273),N(F273))&lt;=0,"",ROUND(MIN(N(C273),N(F273))*(N(G273)-N(D273)),8))</f>
        <v/>
      </c>
      <c r="L273" s="177" t="str">
        <f>IF(MIN(N(C273),N(F273))&lt;=0,"",IF(N(D273)=0,"",ROUND((N(G273)/N(D273)-1)*100,2)))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 t="str">
        <f>IF(C274="","",E274/C274)</f>
        <v/>
      </c>
      <c r="E274" s="247" t="str">
        <f>IF(C274="","",SUMIFS('ИТОГО Торговля'!$E$5:$E$300,'ИТОГО Торговля'!$B$5:$B$300,$B274)+SUMIFS('ИТОГО Лэндинг'!$E$5:$E$300,'ИТОГО Лэндинг'!$B$5:$B$300,$B274))</f>
        <v/>
      </c>
      <c r="F274" s="246" t="str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 t="str">
        <f>IF(F274="","",H274/F274)</f>
        <v/>
      </c>
      <c r="H274" s="247" t="str">
        <f>IF(F274="","",SUMIFS('ИТОГО Торговля'!$H$5:$H$300,'ИТОГО Торговля'!$B$5:$B$300,$B274)+SUMIFS('ИТОГО Лэндинг'!$H$5:$H$300,'ИТОГО Лэндинг'!$B$5:$B$300,$B274))</f>
        <v/>
      </c>
      <c r="I274" s="246" t="str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 t="str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 t="str">
        <f>IF(MIN(N(C274),N(F274))&lt;=0,"",ROUND(MIN(N(C274),N(F274))*(N(G274)-N(D274)),8))</f>
        <v/>
      </c>
      <c r="L274" s="183" t="str">
        <f>IF(MIN(N(C274),N(F274))&lt;=0,"",IF(N(D274)=0,"",ROUND((N(G274)/N(D274)-1)*100,2)))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 t="str">
        <f>IF(C275="","",E275/C275)</f>
        <v/>
      </c>
      <c r="E275" s="241" t="str">
        <f>IF(C275="","",SUMIFS('ИТОГО Торговля'!$E$5:$E$300,'ИТОГО Торговля'!$B$5:$B$300,$B275)+SUMIFS('ИТОГО Лэндинг'!$E$5:$E$300,'ИТОГО Лэндинг'!$B$5:$B$300,$B275))</f>
        <v/>
      </c>
      <c r="F275" s="240" t="str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 t="str">
        <f>IF(F275="","",H275/F275)</f>
        <v/>
      </c>
      <c r="H275" s="241" t="str">
        <f>IF(F275="","",SUMIFS('ИТОГО Торговля'!$H$5:$H$300,'ИТОГО Торговля'!$B$5:$B$300,$B275)+SUMIFS('ИТОГО Лэндинг'!$H$5:$H$300,'ИТОГО Лэндинг'!$B$5:$B$300,$B275))</f>
        <v/>
      </c>
      <c r="I275" s="240" t="str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 t="str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 t="str">
        <f>IF(MIN(N(C275),N(F275))&lt;=0,"",ROUND(MIN(N(C275),N(F275))*(N(G275)-N(D275)),8))</f>
        <v/>
      </c>
      <c r="L275" s="177" t="str">
        <f>IF(MIN(N(C275),N(F275))&lt;=0,"",IF(N(D275)=0,"",ROUND((N(G275)/N(D275)-1)*100,2)))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 t="str">
        <f>IF(C276="","",E276/C276)</f>
        <v/>
      </c>
      <c r="E276" s="247" t="str">
        <f>IF(C276="","",SUMIFS('ИТОГО Торговля'!$E$5:$E$300,'ИТОГО Торговля'!$B$5:$B$300,$B276)+SUMIFS('ИТОГО Лэндинг'!$E$5:$E$300,'ИТОГО Лэндинг'!$B$5:$B$300,$B276))</f>
        <v/>
      </c>
      <c r="F276" s="246" t="str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 t="str">
        <f>IF(F276="","",H276/F276)</f>
        <v/>
      </c>
      <c r="H276" s="247" t="str">
        <f>IF(F276="","",SUMIFS('ИТОГО Торговля'!$H$5:$H$300,'ИТОГО Торговля'!$B$5:$B$300,$B276)+SUMIFS('ИТОГО Лэндинг'!$H$5:$H$300,'ИТОГО Лэндинг'!$B$5:$B$300,$B276))</f>
        <v/>
      </c>
      <c r="I276" s="246" t="str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 t="str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 t="str">
        <f>IF(MIN(N(C276),N(F276))&lt;=0,"",ROUND(MIN(N(C276),N(F276))*(N(G276)-N(D276)),8))</f>
        <v/>
      </c>
      <c r="L276" s="183" t="str">
        <f>IF(MIN(N(C276),N(F276))&lt;=0,"",IF(N(D276)=0,"",ROUND((N(G276)/N(D276)-1)*100,2)))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 t="str">
        <f>IF(C277="","",E277/C277)</f>
        <v/>
      </c>
      <c r="E277" s="241" t="str">
        <f>IF(C277="","",SUMIFS('ИТОГО Торговля'!$E$5:$E$300,'ИТОГО Торговля'!$B$5:$B$300,$B277)+SUMIFS('ИТОГО Лэндинг'!$E$5:$E$300,'ИТОГО Лэндинг'!$B$5:$B$300,$B277))</f>
        <v/>
      </c>
      <c r="F277" s="240" t="str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 t="str">
        <f>IF(F277="","",H277/F277)</f>
        <v/>
      </c>
      <c r="H277" s="241" t="str">
        <f>IF(F277="","",SUMIFS('ИТОГО Торговля'!$H$5:$H$300,'ИТОГО Торговля'!$B$5:$B$300,$B277)+SUMIFS('ИТОГО Лэндинг'!$H$5:$H$300,'ИТОГО Лэндинг'!$B$5:$B$300,$B277))</f>
        <v/>
      </c>
      <c r="I277" s="240" t="str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 t="str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 t="str">
        <f>IF(MIN(N(C277),N(F277))&lt;=0,"",ROUND(MIN(N(C277),N(F277))*(N(G277)-N(D277)),8))</f>
        <v/>
      </c>
      <c r="L277" s="177" t="str">
        <f>IF(MIN(N(C277),N(F277))&lt;=0,"",IF(N(D277)=0,"",ROUND((N(G277)/N(D277)-1)*100,2)))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 t="str">
        <f>IF(C278="","",E278/C278)</f>
        <v/>
      </c>
      <c r="E278" s="247" t="str">
        <f>IF(C278="","",SUMIFS('ИТОГО Торговля'!$E$5:$E$300,'ИТОГО Торговля'!$B$5:$B$300,$B278)+SUMIFS('ИТОГО Лэндинг'!$E$5:$E$300,'ИТОГО Лэндинг'!$B$5:$B$300,$B278))</f>
        <v/>
      </c>
      <c r="F278" s="246" t="str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 t="str">
        <f>IF(F278="","",H278/F278)</f>
        <v/>
      </c>
      <c r="H278" s="247" t="str">
        <f>IF(F278="","",SUMIFS('ИТОГО Торговля'!$H$5:$H$300,'ИТОГО Торговля'!$B$5:$B$300,$B278)+SUMIFS('ИТОГО Лэндинг'!$H$5:$H$300,'ИТОГО Лэндинг'!$B$5:$B$300,$B278))</f>
        <v/>
      </c>
      <c r="I278" s="246" t="str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 t="str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 t="str">
        <f>IF(MIN(N(C278),N(F278))&lt;=0,"",ROUND(MIN(N(C278),N(F278))*(N(G278)-N(D278)),8))</f>
        <v/>
      </c>
      <c r="L278" s="183" t="str">
        <f>IF(MIN(N(C278),N(F278))&lt;=0,"",IF(N(D278)=0,"",ROUND((N(G278)/N(D278)-1)*100,2)))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 t="str">
        <f>IF(C279="","",E279/C279)</f>
        <v/>
      </c>
      <c r="E279" s="241" t="str">
        <f>IF(C279="","",SUMIFS('ИТОГО Торговля'!$E$5:$E$300,'ИТОГО Торговля'!$B$5:$B$300,$B279)+SUMIFS('ИТОГО Лэндинг'!$E$5:$E$300,'ИТОГО Лэндинг'!$B$5:$B$300,$B279))</f>
        <v/>
      </c>
      <c r="F279" s="240" t="str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 t="str">
        <f>IF(F279="","",H279/F279)</f>
        <v/>
      </c>
      <c r="H279" s="241" t="str">
        <f>IF(F279="","",SUMIFS('ИТОГО Торговля'!$H$5:$H$300,'ИТОГО Торговля'!$B$5:$B$300,$B279)+SUMIFS('ИТОГО Лэндинг'!$H$5:$H$300,'ИТОГО Лэндинг'!$B$5:$B$300,$B279))</f>
        <v/>
      </c>
      <c r="I279" s="240" t="str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 t="str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 t="str">
        <f>IF(MIN(N(C279),N(F279))&lt;=0,"",ROUND(MIN(N(C279),N(F279))*(N(G279)-N(D279)),8))</f>
        <v/>
      </c>
      <c r="L279" s="177" t="str">
        <f>IF(MIN(N(C279),N(F279))&lt;=0,"",IF(N(D279)=0,"",ROUND((N(G279)/N(D279)-1)*100,2)))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 t="str">
        <f>IF(C280="","",E280/C280)</f>
        <v/>
      </c>
      <c r="E280" s="247" t="str">
        <f>IF(C280="","",SUMIFS('ИТОГО Торговля'!$E$5:$E$300,'ИТОГО Торговля'!$B$5:$B$300,$B280)+SUMIFS('ИТОГО Лэндинг'!$E$5:$E$300,'ИТОГО Лэндинг'!$B$5:$B$300,$B280))</f>
        <v/>
      </c>
      <c r="F280" s="246" t="str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 t="str">
        <f>IF(F280="","",H280/F280)</f>
        <v/>
      </c>
      <c r="H280" s="247" t="str">
        <f>IF(F280="","",SUMIFS('ИТОГО Торговля'!$H$5:$H$300,'ИТОГО Торговля'!$B$5:$B$300,$B280)+SUMIFS('ИТОГО Лэндинг'!$H$5:$H$300,'ИТОГО Лэндинг'!$B$5:$B$300,$B280))</f>
        <v/>
      </c>
      <c r="I280" s="246" t="str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 t="str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 t="str">
        <f>IF(MIN(N(C280),N(F280))&lt;=0,"",ROUND(MIN(N(C280),N(F280))*(N(G280)-N(D280)),8))</f>
        <v/>
      </c>
      <c r="L280" s="183" t="str">
        <f>IF(MIN(N(C280),N(F280))&lt;=0,"",IF(N(D280)=0,"",ROUND((N(G280)/N(D280)-1)*100,2)))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 t="str">
        <f>IF(C281="","",E281/C281)</f>
        <v/>
      </c>
      <c r="E281" s="241" t="str">
        <f>IF(C281="","",SUMIFS('ИТОГО Торговля'!$E$5:$E$300,'ИТОГО Торговля'!$B$5:$B$300,$B281)+SUMIFS('ИТОГО Лэндинг'!$E$5:$E$300,'ИТОГО Лэндинг'!$B$5:$B$300,$B281))</f>
        <v/>
      </c>
      <c r="F281" s="240" t="str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 t="str">
        <f>IF(F281="","",H281/F281)</f>
        <v/>
      </c>
      <c r="H281" s="241" t="str">
        <f>IF(F281="","",SUMIFS('ИТОГО Торговля'!$H$5:$H$300,'ИТОГО Торговля'!$B$5:$B$300,$B281)+SUMIFS('ИТОГО Лэндинг'!$H$5:$H$300,'ИТОГО Лэндинг'!$B$5:$B$300,$B281))</f>
        <v/>
      </c>
      <c r="I281" s="240" t="str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 t="str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 t="str">
        <f>IF(MIN(N(C281),N(F281))&lt;=0,"",ROUND(MIN(N(C281),N(F281))*(N(G281)-N(D281)),8))</f>
        <v/>
      </c>
      <c r="L281" s="177" t="str">
        <f>IF(MIN(N(C281),N(F281))&lt;=0,"",IF(N(D281)=0,"",ROUND((N(G281)/N(D281)-1)*100,2)))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 t="str">
        <f>IF(C282="","",E282/C282)</f>
        <v/>
      </c>
      <c r="E282" s="247" t="str">
        <f>IF(C282="","",SUMIFS('ИТОГО Торговля'!$E$5:$E$300,'ИТОГО Торговля'!$B$5:$B$300,$B282)+SUMIFS('ИТОГО Лэндинг'!$E$5:$E$300,'ИТОГО Лэндинг'!$B$5:$B$300,$B282))</f>
        <v/>
      </c>
      <c r="F282" s="246" t="str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 t="str">
        <f>IF(F282="","",H282/F282)</f>
        <v/>
      </c>
      <c r="H282" s="247" t="str">
        <f>IF(F282="","",SUMIFS('ИТОГО Торговля'!$H$5:$H$300,'ИТОГО Торговля'!$B$5:$B$300,$B282)+SUMIFS('ИТОГО Лэндинг'!$H$5:$H$300,'ИТОГО Лэндинг'!$B$5:$B$300,$B282))</f>
        <v/>
      </c>
      <c r="I282" s="246" t="str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 t="str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 t="str">
        <f>IF(MIN(N(C282),N(F282))&lt;=0,"",ROUND(MIN(N(C282),N(F282))*(N(G282)-N(D282)),8))</f>
        <v/>
      </c>
      <c r="L282" s="183" t="str">
        <f>IF(MIN(N(C282),N(F282))&lt;=0,"",IF(N(D282)=0,"",ROUND((N(G282)/N(D282)-1)*100,2)))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 t="str">
        <f>IF(C283="","",E283/C283)</f>
        <v/>
      </c>
      <c r="E283" s="241" t="str">
        <f>IF(C283="","",SUMIFS('ИТОГО Торговля'!$E$5:$E$300,'ИТОГО Торговля'!$B$5:$B$300,$B283)+SUMIFS('ИТОГО Лэндинг'!$E$5:$E$300,'ИТОГО Лэндинг'!$B$5:$B$300,$B283))</f>
        <v/>
      </c>
      <c r="F283" s="240" t="str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 t="str">
        <f>IF(F283="","",H283/F283)</f>
        <v/>
      </c>
      <c r="H283" s="241" t="str">
        <f>IF(F283="","",SUMIFS('ИТОГО Торговля'!$H$5:$H$300,'ИТОГО Торговля'!$B$5:$B$300,$B283)+SUMIFS('ИТОГО Лэндинг'!$H$5:$H$300,'ИТОГО Лэндинг'!$B$5:$B$300,$B283))</f>
        <v/>
      </c>
      <c r="I283" s="240" t="str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 t="str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 t="str">
        <f>IF(MIN(N(C283),N(F283))&lt;=0,"",ROUND(MIN(N(C283),N(F283))*(N(G283)-N(D283)),8))</f>
        <v/>
      </c>
      <c r="L283" s="177" t="str">
        <f>IF(MIN(N(C283),N(F283))&lt;=0,"",IF(N(D283)=0,"",ROUND((N(G283)/N(D283)-1)*100,2)))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 t="str">
        <f>IF(C284="","",E284/C284)</f>
        <v/>
      </c>
      <c r="E284" s="247" t="str">
        <f>IF(C284="","",SUMIFS('ИТОГО Торговля'!$E$5:$E$300,'ИТОГО Торговля'!$B$5:$B$300,$B284)+SUMIFS('ИТОГО Лэндинг'!$E$5:$E$300,'ИТОГО Лэндинг'!$B$5:$B$300,$B284))</f>
        <v/>
      </c>
      <c r="F284" s="246" t="str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 t="str">
        <f>IF(F284="","",H284/F284)</f>
        <v/>
      </c>
      <c r="H284" s="247" t="str">
        <f>IF(F284="","",SUMIFS('ИТОГО Торговля'!$H$5:$H$300,'ИТОГО Торговля'!$B$5:$B$300,$B284)+SUMIFS('ИТОГО Лэндинг'!$H$5:$H$300,'ИТОГО Лэндинг'!$B$5:$B$300,$B284))</f>
        <v/>
      </c>
      <c r="I284" s="246" t="str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 t="str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 t="str">
        <f>IF(MIN(N(C284),N(F284))&lt;=0,"",ROUND(MIN(N(C284),N(F284))*(N(G284)-N(D284)),8))</f>
        <v/>
      </c>
      <c r="L284" s="183" t="str">
        <f>IF(MIN(N(C284),N(F284))&lt;=0,"",IF(N(D284)=0,"",ROUND((N(G284)/N(D284)-1)*100,2)))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 t="str">
        <f>IF(C285="","",E285/C285)</f>
        <v/>
      </c>
      <c r="E285" s="241" t="str">
        <f>IF(C285="","",SUMIFS('ИТОГО Торговля'!$E$5:$E$300,'ИТОГО Торговля'!$B$5:$B$300,$B285)+SUMIFS('ИТОГО Лэндинг'!$E$5:$E$300,'ИТОГО Лэндинг'!$B$5:$B$300,$B285))</f>
        <v/>
      </c>
      <c r="F285" s="240" t="str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 t="str">
        <f>IF(F285="","",H285/F285)</f>
        <v/>
      </c>
      <c r="H285" s="241" t="str">
        <f>IF(F285="","",SUMIFS('ИТОГО Торговля'!$H$5:$H$300,'ИТОГО Торговля'!$B$5:$B$300,$B285)+SUMIFS('ИТОГО Лэндинг'!$H$5:$H$300,'ИТОГО Лэндинг'!$B$5:$B$300,$B285))</f>
        <v/>
      </c>
      <c r="I285" s="240" t="str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 t="str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 t="str">
        <f>IF(MIN(N(C285),N(F285))&lt;=0,"",ROUND(MIN(N(C285),N(F285))*(N(G285)-N(D285)),8))</f>
        <v/>
      </c>
      <c r="L285" s="177" t="str">
        <f>IF(MIN(N(C285),N(F285))&lt;=0,"",IF(N(D285)=0,"",ROUND((N(G285)/N(D285)-1)*100,2)))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 t="str">
        <f>IF(C286="","",E286/C286)</f>
        <v/>
      </c>
      <c r="E286" s="247" t="str">
        <f>IF(C286="","",SUMIFS('ИТОГО Торговля'!$E$5:$E$300,'ИТОГО Торговля'!$B$5:$B$300,$B286)+SUMIFS('ИТОГО Лэндинг'!$E$5:$E$300,'ИТОГО Лэндинг'!$B$5:$B$300,$B286))</f>
        <v/>
      </c>
      <c r="F286" s="246" t="str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 t="str">
        <f>IF(F286="","",H286/F286)</f>
        <v/>
      </c>
      <c r="H286" s="247" t="str">
        <f>IF(F286="","",SUMIFS('ИТОГО Торговля'!$H$5:$H$300,'ИТОГО Торговля'!$B$5:$B$300,$B286)+SUMIFS('ИТОГО Лэндинг'!$H$5:$H$300,'ИТОГО Лэндинг'!$B$5:$B$300,$B286))</f>
        <v/>
      </c>
      <c r="I286" s="246" t="str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 t="str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 t="str">
        <f>IF(MIN(N(C286),N(F286))&lt;=0,"",ROUND(MIN(N(C286),N(F286))*(N(G286)-N(D286)),8))</f>
        <v/>
      </c>
      <c r="L286" s="183" t="str">
        <f>IF(MIN(N(C286),N(F286))&lt;=0,"",IF(N(D286)=0,"",ROUND((N(G286)/N(D286)-1)*100,2)))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 t="str">
        <f>IF(C287="","",E287/C287)</f>
        <v/>
      </c>
      <c r="E287" s="241" t="str">
        <f>IF(C287="","",SUMIFS('ИТОГО Торговля'!$E$5:$E$300,'ИТОГО Торговля'!$B$5:$B$300,$B287)+SUMIFS('ИТОГО Лэндинг'!$E$5:$E$300,'ИТОГО Лэндинг'!$B$5:$B$300,$B287))</f>
        <v/>
      </c>
      <c r="F287" s="240" t="str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 t="str">
        <f>IF(F287="","",H287/F287)</f>
        <v/>
      </c>
      <c r="H287" s="241" t="str">
        <f>IF(F287="","",SUMIFS('ИТОГО Торговля'!$H$5:$H$300,'ИТОГО Торговля'!$B$5:$B$300,$B287)+SUMIFS('ИТОГО Лэндинг'!$H$5:$H$300,'ИТОГО Лэндинг'!$B$5:$B$300,$B287))</f>
        <v/>
      </c>
      <c r="I287" s="240" t="str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 t="str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 t="str">
        <f>IF(MIN(N(C287),N(F287))&lt;=0,"",ROUND(MIN(N(C287),N(F287))*(N(G287)-N(D287)),8))</f>
        <v/>
      </c>
      <c r="L287" s="177" t="str">
        <f>IF(MIN(N(C287),N(F287))&lt;=0,"",IF(N(D287)=0,"",ROUND((N(G287)/N(D287)-1)*100,2)))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 t="str">
        <f>IF(C288="","",E288/C288)</f>
        <v/>
      </c>
      <c r="E288" s="247" t="str">
        <f>IF(C288="","",SUMIFS('ИТОГО Торговля'!$E$5:$E$300,'ИТОГО Торговля'!$B$5:$B$300,$B288)+SUMIFS('ИТОГО Лэндинг'!$E$5:$E$300,'ИТОГО Лэндинг'!$B$5:$B$300,$B288))</f>
        <v/>
      </c>
      <c r="F288" s="246" t="str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 t="str">
        <f>IF(F288="","",H288/F288)</f>
        <v/>
      </c>
      <c r="H288" s="247" t="str">
        <f>IF(F288="","",SUMIFS('ИТОГО Торговля'!$H$5:$H$300,'ИТОГО Торговля'!$B$5:$B$300,$B288)+SUMIFS('ИТОГО Лэндинг'!$H$5:$H$300,'ИТОГО Лэндинг'!$B$5:$B$300,$B288))</f>
        <v/>
      </c>
      <c r="I288" s="246" t="str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 t="str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 t="str">
        <f>IF(MIN(N(C288),N(F288))&lt;=0,"",ROUND(MIN(N(C288),N(F288))*(N(G288)-N(D288)),8))</f>
        <v/>
      </c>
      <c r="L288" s="183" t="str">
        <f>IF(MIN(N(C288),N(F288))&lt;=0,"",IF(N(D288)=0,"",ROUND((N(G288)/N(D288)-1)*100,2)))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 t="str">
        <f>IF(C289="","",E289/C289)</f>
        <v/>
      </c>
      <c r="E289" s="241" t="str">
        <f>IF(C289="","",SUMIFS('ИТОГО Торговля'!$E$5:$E$300,'ИТОГО Торговля'!$B$5:$B$300,$B289)+SUMIFS('ИТОГО Лэндинг'!$E$5:$E$300,'ИТОГО Лэндинг'!$B$5:$B$300,$B289))</f>
        <v/>
      </c>
      <c r="F289" s="240" t="str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 t="str">
        <f>IF(F289="","",H289/F289)</f>
        <v/>
      </c>
      <c r="H289" s="241" t="str">
        <f>IF(F289="","",SUMIFS('ИТОГО Торговля'!$H$5:$H$300,'ИТОГО Торговля'!$B$5:$B$300,$B289)+SUMIFS('ИТОГО Лэндинг'!$H$5:$H$300,'ИТОГО Лэндинг'!$B$5:$B$300,$B289))</f>
        <v/>
      </c>
      <c r="I289" s="240" t="str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 t="str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 t="str">
        <f>IF(MIN(N(C289),N(F289))&lt;=0,"",ROUND(MIN(N(C289),N(F289))*(N(G289)-N(D289)),8))</f>
        <v/>
      </c>
      <c r="L289" s="177" t="str">
        <f>IF(MIN(N(C289),N(F289))&lt;=0,"",IF(N(D289)=0,"",ROUND((N(G289)/N(D289)-1)*100,2)))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 t="str">
        <f>IF(C290="","",E290/C290)</f>
        <v/>
      </c>
      <c r="E290" s="247" t="str">
        <f>IF(C290="","",SUMIFS('ИТОГО Торговля'!$E$5:$E$300,'ИТОГО Торговля'!$B$5:$B$300,$B290)+SUMIFS('ИТОГО Лэндинг'!$E$5:$E$300,'ИТОГО Лэндинг'!$B$5:$B$300,$B290))</f>
        <v/>
      </c>
      <c r="F290" s="246" t="str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 t="str">
        <f>IF(F290="","",H290/F290)</f>
        <v/>
      </c>
      <c r="H290" s="247" t="str">
        <f>IF(F290="","",SUMIFS('ИТОГО Торговля'!$H$5:$H$300,'ИТОГО Торговля'!$B$5:$B$300,$B290)+SUMIFS('ИТОГО Лэндинг'!$H$5:$H$300,'ИТОГО Лэндинг'!$B$5:$B$300,$B290))</f>
        <v/>
      </c>
      <c r="I290" s="246" t="str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 t="str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 t="str">
        <f>IF(MIN(N(C290),N(F290))&lt;=0,"",ROUND(MIN(N(C290),N(F290))*(N(G290)-N(D290)),8))</f>
        <v/>
      </c>
      <c r="L290" s="183" t="str">
        <f>IF(MIN(N(C290),N(F290))&lt;=0,"",IF(N(D290)=0,"",ROUND((N(G290)/N(D290)-1)*100,2)))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 t="str">
        <f>IF(C291="","",E291/C291)</f>
        <v/>
      </c>
      <c r="E291" s="241" t="str">
        <f>IF(C291="","",SUMIFS('ИТОГО Торговля'!$E$5:$E$300,'ИТОГО Торговля'!$B$5:$B$300,$B291)+SUMIFS('ИТОГО Лэндинг'!$E$5:$E$300,'ИТОГО Лэндинг'!$B$5:$B$300,$B291))</f>
        <v/>
      </c>
      <c r="F291" s="240" t="str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 t="str">
        <f>IF(F291="","",H291/F291)</f>
        <v/>
      </c>
      <c r="H291" s="241" t="str">
        <f>IF(F291="","",SUMIFS('ИТОГО Торговля'!$H$5:$H$300,'ИТОГО Торговля'!$B$5:$B$300,$B291)+SUMIFS('ИТОГО Лэндинг'!$H$5:$H$300,'ИТОГО Лэндинг'!$B$5:$B$300,$B291))</f>
        <v/>
      </c>
      <c r="I291" s="240" t="str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 t="str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 t="str">
        <f>IF(MIN(N(C291),N(F291))&lt;=0,"",ROUND(MIN(N(C291),N(F291))*(N(G291)-N(D291)),8))</f>
        <v/>
      </c>
      <c r="L291" s="177" t="str">
        <f>IF(MIN(N(C291),N(F291))&lt;=0,"",IF(N(D291)=0,"",ROUND((N(G291)/N(D291)-1)*100,2)))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 t="str">
        <f>IF(C292="","",E292/C292)</f>
        <v/>
      </c>
      <c r="E292" s="247" t="str">
        <f>IF(C292="","",SUMIFS('ИТОГО Торговля'!$E$5:$E$300,'ИТОГО Торговля'!$B$5:$B$300,$B292)+SUMIFS('ИТОГО Лэндинг'!$E$5:$E$300,'ИТОГО Лэндинг'!$B$5:$B$300,$B292))</f>
        <v/>
      </c>
      <c r="F292" s="246" t="str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 t="str">
        <f>IF(F292="","",H292/F292)</f>
        <v/>
      </c>
      <c r="H292" s="247" t="str">
        <f>IF(F292="","",SUMIFS('ИТОГО Торговля'!$H$5:$H$300,'ИТОГО Торговля'!$B$5:$B$300,$B292)+SUMIFS('ИТОГО Лэндинг'!$H$5:$H$300,'ИТОГО Лэндинг'!$B$5:$B$300,$B292))</f>
        <v/>
      </c>
      <c r="I292" s="246" t="str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 t="str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 t="str">
        <f>IF(MIN(N(C292),N(F292))&lt;=0,"",ROUND(MIN(N(C292),N(F292))*(N(G292)-N(D292)),8))</f>
        <v/>
      </c>
      <c r="L292" s="183" t="str">
        <f>IF(MIN(N(C292),N(F292))&lt;=0,"",IF(N(D292)=0,"",ROUND((N(G292)/N(D292)-1)*100,2)))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 t="str">
        <f>IF(C293="","",E293/C293)</f>
        <v/>
      </c>
      <c r="E293" s="241" t="str">
        <f>IF(C293="","",SUMIFS('ИТОГО Торговля'!$E$5:$E$300,'ИТОГО Торговля'!$B$5:$B$300,$B293)+SUMIFS('ИТОГО Лэндинг'!$E$5:$E$300,'ИТОГО Лэндинг'!$B$5:$B$300,$B293))</f>
        <v/>
      </c>
      <c r="F293" s="240" t="str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 t="str">
        <f>IF(F293="","",H293/F293)</f>
        <v/>
      </c>
      <c r="H293" s="241" t="str">
        <f>IF(F293="","",SUMIFS('ИТОГО Торговля'!$H$5:$H$300,'ИТОГО Торговля'!$B$5:$B$300,$B293)+SUMIFS('ИТОГО Лэндинг'!$H$5:$H$300,'ИТОГО Лэндинг'!$B$5:$B$300,$B293))</f>
        <v/>
      </c>
      <c r="I293" s="240" t="str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 t="str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 t="str">
        <f>IF(MIN(N(C293),N(F293))&lt;=0,"",ROUND(MIN(N(C293),N(F293))*(N(G293)-N(D293)),8))</f>
        <v/>
      </c>
      <c r="L293" s="177" t="str">
        <f>IF(MIN(N(C293),N(F293))&lt;=0,"",IF(N(D293)=0,"",ROUND((N(G293)/N(D293)-1)*100,2)))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 t="str">
        <f>IF(C294="","",E294/C294)</f>
        <v/>
      </c>
      <c r="E294" s="247" t="str">
        <f>IF(C294="","",SUMIFS('ИТОГО Торговля'!$E$5:$E$300,'ИТОГО Торговля'!$B$5:$B$300,$B294)+SUMIFS('ИТОГО Лэндинг'!$E$5:$E$300,'ИТОГО Лэндинг'!$B$5:$B$300,$B294))</f>
        <v/>
      </c>
      <c r="F294" s="246" t="str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 t="str">
        <f>IF(F294="","",H294/F294)</f>
        <v/>
      </c>
      <c r="H294" s="247" t="str">
        <f>IF(F294="","",SUMIFS('ИТОГО Торговля'!$H$5:$H$300,'ИТОГО Торговля'!$B$5:$B$300,$B294)+SUMIFS('ИТОГО Лэндинг'!$H$5:$H$300,'ИТОГО Лэндинг'!$B$5:$B$300,$B294))</f>
        <v/>
      </c>
      <c r="I294" s="246" t="str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 t="str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 t="str">
        <f>IF(MIN(N(C294),N(F294))&lt;=0,"",ROUND(MIN(N(C294),N(F294))*(N(G294)-N(D294)),8))</f>
        <v/>
      </c>
      <c r="L294" s="183" t="str">
        <f>IF(MIN(N(C294),N(F294))&lt;=0,"",IF(N(D294)=0,"",ROUND((N(G294)/N(D294)-1)*100,2)))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 t="str">
        <f>IF(C295="","",E295/C295)</f>
        <v/>
      </c>
      <c r="E295" s="241" t="str">
        <f>IF(C295="","",SUMIFS('ИТОГО Торговля'!$E$5:$E$300,'ИТОГО Торговля'!$B$5:$B$300,$B295)+SUMIFS('ИТОГО Лэндинг'!$E$5:$E$300,'ИТОГО Лэндинг'!$B$5:$B$300,$B295))</f>
        <v/>
      </c>
      <c r="F295" s="240" t="str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 t="str">
        <f>IF(F295="","",H295/F295)</f>
        <v/>
      </c>
      <c r="H295" s="241" t="str">
        <f>IF(F295="","",SUMIFS('ИТОГО Торговля'!$H$5:$H$300,'ИТОГО Торговля'!$B$5:$B$300,$B295)+SUMIFS('ИТОГО Лэндинг'!$H$5:$H$300,'ИТОГО Лэндинг'!$B$5:$B$300,$B295))</f>
        <v/>
      </c>
      <c r="I295" s="240" t="str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 t="str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 t="str">
        <f>IF(MIN(N(C295),N(F295))&lt;=0,"",ROUND(MIN(N(C295),N(F295))*(N(G295)-N(D295)),8))</f>
        <v/>
      </c>
      <c r="L295" s="177" t="str">
        <f>IF(MIN(N(C295),N(F295))&lt;=0,"",IF(N(D295)=0,"",ROUND((N(G295)/N(D295)-1)*100,2)))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 t="str">
        <f>IF(C296="","",E296/C296)</f>
        <v/>
      </c>
      <c r="E296" s="247" t="str">
        <f>IF(C296="","",SUMIFS('ИТОГО Торговля'!$E$5:$E$300,'ИТОГО Торговля'!$B$5:$B$300,$B296)+SUMIFS('ИТОГО Лэндинг'!$E$5:$E$300,'ИТОГО Лэндинг'!$B$5:$B$300,$B296))</f>
        <v/>
      </c>
      <c r="F296" s="246" t="str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 t="str">
        <f>IF(F296="","",H296/F296)</f>
        <v/>
      </c>
      <c r="H296" s="247" t="str">
        <f>IF(F296="","",SUMIFS('ИТОГО Торговля'!$H$5:$H$300,'ИТОГО Торговля'!$B$5:$B$300,$B296)+SUMIFS('ИТОГО Лэндинг'!$H$5:$H$300,'ИТОГО Лэндинг'!$B$5:$B$300,$B296))</f>
        <v/>
      </c>
      <c r="I296" s="246" t="str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 t="str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 t="str">
        <f>IF(MIN(N(C296),N(F296))&lt;=0,"",ROUND(MIN(N(C296),N(F296))*(N(G296)-N(D296)),8))</f>
        <v/>
      </c>
      <c r="L296" s="183" t="str">
        <f>IF(MIN(N(C296),N(F296))&lt;=0,"",IF(N(D296)=0,"",ROUND((N(G296)/N(D296)-1)*100,2)))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 t="str">
        <f>IF(C297="","",E297/C297)</f>
        <v/>
      </c>
      <c r="E297" s="241" t="str">
        <f>IF(C297="","",SUMIFS('ИТОГО Торговля'!$E$5:$E$300,'ИТОГО Торговля'!$B$5:$B$300,$B297)+SUMIFS('ИТОГО Лэндинг'!$E$5:$E$300,'ИТОГО Лэндинг'!$B$5:$B$300,$B297))</f>
        <v/>
      </c>
      <c r="F297" s="240" t="str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 t="str">
        <f>IF(F297="","",H297/F297)</f>
        <v/>
      </c>
      <c r="H297" s="241" t="str">
        <f>IF(F297="","",SUMIFS('ИТОГО Торговля'!$H$5:$H$300,'ИТОГО Торговля'!$B$5:$B$300,$B297)+SUMIFS('ИТОГО Лэндинг'!$H$5:$H$300,'ИТОГО Лэндинг'!$B$5:$B$300,$B297))</f>
        <v/>
      </c>
      <c r="I297" s="240" t="str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 t="str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 t="str">
        <f>IF(MIN(N(C297),N(F297))&lt;=0,"",ROUND(MIN(N(C297),N(F297))*(N(G297)-N(D297)),8))</f>
        <v/>
      </c>
      <c r="L297" s="177" t="str">
        <f>IF(MIN(N(C297),N(F297))&lt;=0,"",IF(N(D297)=0,"",ROUND((N(G297)/N(D297)-1)*100,2)))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 t="str">
        <f>IF(C298="","",E298/C298)</f>
        <v/>
      </c>
      <c r="E298" s="247" t="str">
        <f>IF(C298="","",SUMIFS('ИТОГО Торговля'!$E$5:$E$300,'ИТОГО Торговля'!$B$5:$B$300,$B298)+SUMIFS('ИТОГО Лэндинг'!$E$5:$E$300,'ИТОГО Лэндинг'!$B$5:$B$300,$B298))</f>
        <v/>
      </c>
      <c r="F298" s="246" t="str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 t="str">
        <f>IF(F298="","",H298/F298)</f>
        <v/>
      </c>
      <c r="H298" s="247" t="str">
        <f>IF(F298="","",SUMIFS('ИТОГО Торговля'!$H$5:$H$300,'ИТОГО Торговля'!$B$5:$B$300,$B298)+SUMIFS('ИТОГО Лэндинг'!$H$5:$H$300,'ИТОГО Лэндинг'!$B$5:$B$300,$B298))</f>
        <v/>
      </c>
      <c r="I298" s="246" t="str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 t="str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 t="str">
        <f>IF(MIN(N(C298),N(F298))&lt;=0,"",ROUND(MIN(N(C298),N(F298))*(N(G298)-N(D298)),8))</f>
        <v/>
      </c>
      <c r="L298" s="183" t="str">
        <f>IF(MIN(N(C298),N(F298))&lt;=0,"",IF(N(D298)=0,"",ROUND((N(G298)/N(D298)-1)*100,2)))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 t="str">
        <f>IF(C299="","",E299/C299)</f>
        <v/>
      </c>
      <c r="E299" s="241" t="str">
        <f>IF(C299="","",SUMIFS('ИТОГО Торговля'!$E$5:$E$300,'ИТОГО Торговля'!$B$5:$B$300,$B299)+SUMIFS('ИТОГО Лэндинг'!$E$5:$E$300,'ИТОГО Лэндинг'!$B$5:$B$300,$B299))</f>
        <v/>
      </c>
      <c r="F299" s="240" t="str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 t="str">
        <f>IF(F299="","",H299/F299)</f>
        <v/>
      </c>
      <c r="H299" s="241" t="str">
        <f>IF(F299="","",SUMIFS('ИТОГО Торговля'!$H$5:$H$300,'ИТОГО Торговля'!$B$5:$B$300,$B299)+SUMIFS('ИТОГО Лэндинг'!$H$5:$H$300,'ИТОГО Лэндинг'!$B$5:$B$300,$B299))</f>
        <v/>
      </c>
      <c r="I299" s="240" t="str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 t="str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 t="str">
        <f>IF(MIN(N(C299),N(F299))&lt;=0,"",ROUND(MIN(N(C299),N(F299))*(N(G299)-N(D299)),8))</f>
        <v/>
      </c>
      <c r="L299" s="177" t="str">
        <f>IF(MIN(N(C299),N(F299))&lt;=0,"",IF(N(D299)=0,"",ROUND((N(G299)/N(D299)-1)*100,2)))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 t="str">
        <f>IF(C300="","",E300/C300)</f>
        <v/>
      </c>
      <c r="E300" s="247" t="str">
        <f>IF(C300="","",SUMIFS('ИТОГО Торговля'!$E$5:$E$300,'ИТОГО Торговля'!$B$5:$B$300,$B300)+SUMIFS('ИТОГО Лэндинг'!$E$5:$E$300,'ИТОГО Лэндинг'!$B$5:$B$300,$B300))</f>
        <v/>
      </c>
      <c r="F300" s="246" t="str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 t="str">
        <f>IF(F300="","",H300/F300)</f>
        <v/>
      </c>
      <c r="H300" s="247" t="str">
        <f>IF(F300="","",SUMIFS('ИТОГО Торговля'!$H$5:$H$300,'ИТОГО Торговля'!$B$5:$B$300,$B300)+SUMIFS('ИТОГО Лэндинг'!$H$5:$H$300,'ИТОГО Лэндинг'!$B$5:$B$300,$B300))</f>
        <v/>
      </c>
      <c r="I300" s="246" t="str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 t="str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 t="str">
        <f>IF(MIN(N(C300),N(F300))&lt;=0,"",ROUND(MIN(N(C300),N(F300))*(N(G300)-N(D300)),8))</f>
        <v/>
      </c>
      <c r="L300" s="183" t="str">
        <f>IF(MIN(N(C300),N(F300))&lt;=0,"",IF(N(D300)=0,"",ROUND((N(G300)/N(D300)-1)*100,2)))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205"/>
      <c r="G3" s="205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>
        <v>12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>
        <v>15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>
        <v>8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 ht="22" customHeight="1">
      <c r="B11" s="206" t="inlineStr">
        <is>
          <t>PancakeSwap</t>
        </is>
      </c>
      <c r="C11" s="207" t="n"/>
    </row>
    <row r="12" ht="22" customHeight="1">
      <c r="B12" s="206" t="inlineStr">
        <is>
          <t>Orca</t>
        </is>
      </c>
      <c r="C12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2026-10-07T08:56:46Z</dcterms:modified>
</cp:coreProperties>
</file>