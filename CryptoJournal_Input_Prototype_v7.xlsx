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IF(AND(ISNUMBER(J7),ISNUMBER(J9),J7&lt;&gt;0),IF(J6="Buy",J9/(J7*(1+N(J19)/100)),IF(AND(J6="Sell",1-N(J19)/100&lt;&gt;0),J9/(J7*(1-N(J19)/100)),"")),"")</f>
        <v>0.998003992015968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2">
    <dataValidation sqref="H14" showDropDown="0" showInputMessage="0" showErrorMessage="0" allowBlank="1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586.17</v>
      </c>
      <c r="E5" s="241">
        <f>IF(C5="","",SUMIFS(Торговля!$H$5:$H$300,Торговля!$E$5:$E$300,$B5)+SUMIFS(Закрытые!$H$5:$H$300,Закрытые!$E$5:$E$300,$B5,Закрытые!$B$5:$B$300,"T-*"))</f>
        <v>1172.34</v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>5</v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>598.8</v>
      </c>
      <c r="H5" s="241">
        <f>IF(F5="","",SUMIFS(Торговля!$K$5:$K$300,Торговля!$E$5:$E$300,$B5)+SUMIFS(Закрытые!$K$5:$K$300,Закрытые!$E$5:$E$300,$B5,Закрытые!$B$5:$B$300,"T-*"))</f>
        <v>2994</v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-3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0.15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62190.8</v>
      </c>
      <c r="E6" s="247">
        <f>IF(C6="","",SUMIFS(Торговля!$H$5:$H$300,Торговля!$E$5:$E$300,$B6)+SUMIFS(Закрытые!$H$5:$H$300,Закрытые!$E$5:$E$300,$B6,Закрытые!$B$5:$B$300,"T-*"))</f>
        <v>9328.62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0.05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62874</v>
      </c>
      <c r="H6" s="247">
        <f>IF(F6="","",SUMIFS(Торговля!$K$5:$K$300,Торговля!$E$5:$E$300,$B6)+SUMIFS(Закрытые!$K$5:$K$300,Закрытые!$E$5:$E$300,$B6,Закрытые!$B$5:$B$300,"T-*"))</f>
        <v>3143.7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0.1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 t="str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 t="str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1.5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0.052395</v>
      </c>
      <c r="H7" s="241">
        <f>IF(F7="","",SUMIFS(Торговля!$K$5:$K$300,Торговля!$E$5:$E$300,$B7)+SUMIFS(Закрытые!$K$5:$K$300,Закрытые!$E$5:$E$300,$B7,Закрытые!$B$5:$B$300,"T-*"))</f>
        <v>0.0785925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-1.5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4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3210.408</v>
      </c>
      <c r="E8" s="247">
        <f>IF(C8="","",SUMIFS(Торговля!$H$5:$H$300,Торговля!$E$5:$E$300,$B8)+SUMIFS(Закрытые!$H$5:$H$300,Закрытые!$E$5:$E$300,$B8,Закрытые!$B$5:$B$300,"T-*"))</f>
        <v>12841.632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2.5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3373.24</v>
      </c>
      <c r="H8" s="247">
        <f>IF(F8="","",SUMIFS(Торговля!$K$5:$K$300,Торговля!$E$5:$E$300,$B8)+SUMIFS(Закрытые!$K$5:$K$300,Закрытые!$E$5:$E$300,$B8,Закрытые!$B$5:$B$300,"T-*"))</f>
        <v>8433.1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1.5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45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145.846666666667</v>
      </c>
      <c r="E9" s="241">
        <f>IF(C9="","",SUMIFS(Торговля!$H$5:$H$300,Торговля!$E$5:$E$300,$B9)+SUMIFS(Закрытые!$H$5:$H$300,Закрытые!$E$5:$E$300,$B9,Закрытые!$B$5:$B$300,"T-*"))</f>
        <v>6563.1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60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150.698</v>
      </c>
      <c r="H9" s="241">
        <f>IF(F9="","",SUMIFS(Торговля!$K$5:$K$300,Торговля!$E$5:$E$300,$B9)+SUMIFS(Закрытые!$K$5:$K$300,Закрытые!$E$5:$E$300,$B9,Закрытые!$B$5:$B$300,"T-*"))</f>
        <v>9041.88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-15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 t="str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 t="str">
        <f>IF(C10="","",SUMIFS(Торговля!$H$5:$H$300,Торговля!$E$5:$E$300,$B10)+SUMIFS(Закрытые!$H$5:$H$300,Закрытые!$E$5:$E$300,$B10,Закрытые!$B$5:$B$300,"T-*"))</f>
        <v/>
      </c>
      <c r="F10" s="246" t="str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 t="str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 t="str">
        <f>IF(F10="","",SUMIFS(Торговля!$K$5:$K$300,Торговля!$E$5:$E$300,$B10)+SUMIFS(Закрытые!$K$5:$K$300,Закрытые!$E$5:$E$300,$B10,Закрытые!$B$5:$B$300,"T-*"))</f>
        <v/>
      </c>
      <c r="I10" s="246" t="str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 t="str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 t="str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 t="str">
        <f>IF(C11="","",SUMIFS(Торговля!$H$5:$H$300,Торговля!$E$5:$E$300,$B11)+SUMIFS(Закрытые!$H$5:$H$300,Закрытые!$E$5:$E$300,$B11,Закрытые!$B$5:$B$300,"T-*"))</f>
        <v/>
      </c>
      <c r="F11" s="240" t="str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 t="str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 t="str">
        <f>IF(F11="","",SUMIFS(Торговля!$K$5:$K$300,Торговля!$E$5:$E$300,$B11)+SUMIFS(Закрытые!$K$5:$K$300,Закрытые!$E$5:$E$300,$B11,Закрытые!$B$5:$B$300,"T-*"))</f>
        <v/>
      </c>
      <c r="I11" s="240" t="str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 t="str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 t="str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 t="str">
        <f>IF(C12="","",SUMIFS(Торговля!$H$5:$H$300,Торговля!$E$5:$E$300,$B12)+SUMIFS(Закрытые!$H$5:$H$300,Закрытые!$E$5:$E$300,$B12,Закрытые!$B$5:$B$300,"T-*"))</f>
        <v/>
      </c>
      <c r="F12" s="246" t="str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 t="str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 t="str">
        <f>IF(F12="","",SUMIFS(Торговля!$K$5:$K$300,Торговля!$E$5:$E$300,$B12)+SUMIFS(Закрытые!$K$5:$K$300,Закрытые!$E$5:$E$300,$B12,Закрытые!$B$5:$B$300,"T-*"))</f>
        <v/>
      </c>
      <c r="I12" s="246" t="str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 t="str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1.5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585</v>
      </c>
      <c r="E5" s="241">
        <f>IF(C5="","",SUMIFS(Лэндинг!$H$5:$H$300,Лэндинг!$E$5:$E$300,$B5)+SUMIFS(Закрытые!$H$5:$H$300,Закрытые!$E$5:$E$300,$B5,Закрытые!$B$5:$B$300,"L-*"))</f>
        <v>877.5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4.5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598.2</v>
      </c>
      <c r="H5" s="241">
        <f>IF(F5="","",SUMIFS(Лэндинг!$K$5:$K$300,Лэндинг!$E$5:$E$300,$B5)+SUMIFS(Закрытые!$K$5:$K$300,Закрытые!$E$5:$E$300,$B5,Закрытые!$B$5:$B$300,"L-*"))</f>
        <v>2691.9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-3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>0.1</v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>62124</v>
      </c>
      <c r="E6" s="247">
        <f>IF(C6="","",SUMIFS(Лэндинг!$H$5:$H$300,Лэндинг!$E$5:$E$300,$B6)+SUMIFS(Закрытые!$H$5:$H$300,Закрытые!$E$5:$E$300,$B6,Закрытые!$B$5:$B$300,"L-*"))</f>
        <v>6212.4</v>
      </c>
      <c r="F6" s="246" t="str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 t="str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 t="str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0.1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 t="str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 t="str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1.5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0.052395</v>
      </c>
      <c r="H7" s="241">
        <f>IF(F7="","",SUMIFS(Лэндинг!$K$5:$K$300,Лэндинг!$E$5:$E$300,$B7)+SUMIFS(Закрытые!$K$5:$K$300,Закрытые!$E$5:$E$300,$B7,Закрытые!$B$5:$B$300,"L-*"))</f>
        <v>0.0785925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-1.5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3.5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3211.49485714286</v>
      </c>
      <c r="E8" s="247">
        <f>IF(C8="","",SUMIFS(Лэндинг!$H$5:$H$300,Лэндинг!$E$5:$E$300,$B8)+SUMIFS(Закрытые!$H$5:$H$300,Закрытые!$E$5:$E$300,$B8,Закрытые!$B$5:$B$300,"L-*"))</f>
        <v>11240.232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2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3379.9</v>
      </c>
      <c r="H8" s="247">
        <f>IF(F8="","",SUMIFS(Лэндинг!$K$5:$K$300,Лэндинг!$E$5:$E$300,$B8)+SUMIFS(Закрытые!$K$5:$K$300,Закрытые!$E$5:$E$300,$B8,Закрытые!$B$5:$B$300,"L-*"))</f>
        <v>6759.8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1.5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35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145.922857142857</v>
      </c>
      <c r="E9" s="241">
        <f>IF(C9="","",SUMIFS(Лэндинг!$H$5:$H$300,Лэндинг!$E$5:$E$300,$B9)+SUMIFS(Закрытые!$H$5:$H$300,Закрытые!$E$5:$E$300,$B9,Закрытые!$B$5:$B$300,"L-*"))</f>
        <v>5107.3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50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150.2592</v>
      </c>
      <c r="H9" s="241">
        <f>IF(F9="","",SUMIFS(Лэндинг!$K$5:$K$300,Лэндинг!$E$5:$E$300,$B9)+SUMIFS(Закрытые!$K$5:$K$300,Закрытые!$E$5:$E$300,$B9,Закрытые!$B$5:$B$300,"L-*"))</f>
        <v>7512.96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-15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 t="str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 t="str">
        <f>IF(C10="","",SUMIFS(Лэндинг!$H$5:$H$300,Лэндинг!$E$5:$E$300,$B10)+SUMIFS(Закрытые!$H$5:$H$300,Закрытые!$E$5:$E$300,$B10,Закрытые!$B$5:$B$300,"L-*"))</f>
        <v/>
      </c>
      <c r="F10" s="246" t="str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 t="str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 t="str">
        <f>IF(F10="","",SUMIFS(Лэндинг!$K$5:$K$300,Лэндинг!$E$5:$E$300,$B10)+SUMIFS(Закрытые!$K$5:$K$300,Закрытые!$E$5:$E$300,$B10,Закрытые!$B$5:$B$300,"L-*"))</f>
        <v/>
      </c>
      <c r="I10" s="246" t="str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 t="str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 t="str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 t="str">
        <f>IF(C11="","",SUMIFS(Лэндинг!$H$5:$H$300,Лэндинг!$E$5:$E$300,$B11)+SUMIFS(Закрытые!$H$5:$H$300,Закрытые!$E$5:$E$300,$B11,Закрытые!$B$5:$B$300,"L-*"))</f>
        <v/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 t="str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 t="str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 t="str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 t="str">
        <f>IF(C12="","",SUMIFS(Лэндинг!$H$5:$H$300,Лэндинг!$E$5:$E$300,$B12)+SUMIFS(Закрытые!$H$5:$H$300,Закрытые!$E$5:$E$300,$B12,Закрытые!$B$5:$B$300,"L-*"))</f>
        <v/>
      </c>
      <c r="F12" s="246" t="str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 t="str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 t="str">
        <f>IF(F12="","",SUMIFS(Лэндинг!$K$5:$K$300,Лэндинг!$E$5:$E$300,$B12)+SUMIFS(Закрытые!$K$5:$K$300,Закрытые!$E$5:$E$300,$B12,Закрытые!$B$5:$B$300,"L-*"))</f>
        <v/>
      </c>
      <c r="I12" s="246" t="str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 t="str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>0.2</v>
      </c>
      <c r="K5" s="241">
        <f>IF(AND(ISNUMBER(G5),ISNUMBER(I5)),ROUND(I5-G5,8),"")</f>
        <v>-60</v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IF(AND(ISNUMBER(F6),ISNUMBER(H6)),ROUND(H6-F6,8),"")</f>
        <v/>
      </c>
      <c r="K6" s="247" t="str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>-0.04</v>
      </c>
      <c r="K7" s="241">
        <f>IF(AND(ISNUMBER(G7),ISNUMBER(I7)),ROUND(I7-G7,8),"")</f>
        <v>0.0052</v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IF(AND(ISNUMBER(F8),ISNUMBER(H8)),ROUND(H8-F8,8),"")</f>
        <v/>
      </c>
      <c r="K8" s="247" t="str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IF(AND(ISNUMBER(F9),ISNUMBER(H9)),ROUND(H9-F9,8),"")</f>
        <v/>
      </c>
      <c r="K9" s="241" t="str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>-1.5</v>
      </c>
      <c r="K10" s="247">
        <f>IF(AND(ISNUMBER(G10),ISNUMBER(I10)),ROUND(I10-G10,8),"")</f>
        <v>210</v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>0.6</v>
      </c>
      <c r="K11" s="241">
        <f>IF(AND(ISNUMBER(G11),ISNUMBER(I11)),ROUND(I11-G11,8),"")</f>
        <v>-52</v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 t="str">
        <f>IF(AND(ISNUMBER(F12),ISNUMBER(H12)),ROUND(H12-F12,8),"")</f>
        <v/>
      </c>
      <c r="K12" s="247" t="str">
        <f>IF(AND(ISNUMBER(G12),ISNUMBER(I12)),ROUND(I12-G12,8),"")</f>
        <v/>
      </c>
    </row>
  </sheetData>
  <autoFilter ref="B4:K12"/>
  <mergeCells count="1">
    <mergeCell ref="B1:K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IF($B5="","",IF(COUNTIFS(Пул!$E$5:$E$200,$B5,Пул!$F$5:$F$200,"&lt;&gt;")=0,"",ROUND(SUMIFS(Пул!$F$5:$F$200,Пул!$E$5:$E$200,$B5),8)))</f>
        <v>4</v>
      </c>
      <c r="D5" s="241">
        <f>IF($B5="","",IF(COUNTIFS(Пул!$E$5:$E$200,$B5,Пул!$G$5:$G$200,"&lt;&gt;")=0,"",ROUND(SUMIFS(Пул!$G$5:$G$200,Пул!$E$5:$E$200,$B5),8)))</f>
        <v>2360</v>
      </c>
      <c r="E5" s="240">
        <f>IF($B5="","",IF(COUNTIFS(Пул!$E$5:$E$200,$B5,Пул!$H$5:$H$200,"&lt;&gt;")=0,"",ROUND(SUMIFS(Пул!$H$5:$H$200,Пул!$E$5:$E$200,$B5),8)))</f>
        <v>4.2</v>
      </c>
      <c r="F5" s="241">
        <f>IF($B5="","",IF(COUNTIFS(Пул!$E$5:$E$200,$B5,Пул!$I$5:$I$200,"&lt;&gt;")=0,"",ROUND(SUMIFS(Пул!$I$5:$I$200,Пул!$E$5:$E$200,$B5),8)))</f>
        <v>2300</v>
      </c>
      <c r="G5" s="240">
        <f>IF($B5="","",IF(COUNTIFS(Пул!$E$5:$E$200,$B5,Пул!$H$5:$H$200,"&lt;&gt;")=0,"",ROUND(SUMIFS(Пул!$J$5:$J$200,Пул!$E$5:$E$200,$B5),8)))</f>
        <v>0.2</v>
      </c>
      <c r="H5" s="241">
        <f>IF($B5="","",IF(COUNTIFS(Пул!$E$5:$E$200,$B5,Пул!$I$5:$I$200,"&lt;&gt;")=0,"",ROUND(SUMIFS(Пул!$K$5:$K$200,Пул!$E$5:$E$200,$B5),8)))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IF($B6="","",IF(COUNTIFS(Пул!$E$5:$E$200,$B6,Пул!$F$5:$F$200,"&lt;&gt;")=0,"",ROUND(SUMIFS(Пул!$F$5:$F$200,Пул!$E$5:$E$200,$B6),8)))</f>
        <v>0.05</v>
      </c>
      <c r="D6" s="247">
        <f>IF($B6="","",IF(COUNTIFS(Пул!$E$5:$E$200,$B6,Пул!$G$5:$G$200,"&lt;&gt;")=0,"",ROUND(SUMIFS(Пул!$G$5:$G$200,Пул!$E$5:$E$200,$B6),8)))</f>
        <v>3125</v>
      </c>
      <c r="E6" s="246" t="str">
        <f>IF($B6="","",IF(COUNTIFS(Пул!$E$5:$E$200,$B6,Пул!$H$5:$H$200,"&lt;&gt;")=0,"",ROUND(SUMIFS(Пул!$H$5:$H$200,Пул!$E$5:$E$200,$B6),8)))</f>
        <v/>
      </c>
      <c r="F6" s="247" t="str">
        <f>IF($B6="","",IF(COUNTIFS(Пул!$E$5:$E$200,$B6,Пул!$I$5:$I$200,"&lt;&gt;")=0,"",ROUND(SUMIFS(Пул!$I$5:$I$200,Пул!$E$5:$E$200,$B6),8)))</f>
        <v/>
      </c>
      <c r="G6" s="246" t="str">
        <f>IF($B6="","",IF(COUNTIFS(Пул!$E$5:$E$200,$B6,Пул!$H$5:$H$200,"&lt;&gt;")=0,"",ROUND(SUMIFS(Пул!$J$5:$J$200,Пул!$E$5:$E$200,$B6),8)))</f>
        <v/>
      </c>
      <c r="H6" s="247" t="str">
        <f>IF($B6="","",IF(COUNTIFS(Пул!$E$5:$E$200,$B6,Пул!$I$5:$I$200,"&lt;&gt;")=0,"",ROUND(SUMIFS(Пул!$K$5:$K$200,Пул!$E$5:$E$200,$B6),8)))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IF($B7="","",IF(COUNTIFS(Пул!$E$5:$E$200,$B7,Пул!$F$5:$F$200,"&lt;&gt;")=0,"",ROUND(SUMIFS(Пул!$F$5:$F$200,Пул!$E$5:$E$200,$B7),8)))</f>
        <v>3.2</v>
      </c>
      <c r="D7" s="241">
        <f>IF($B7="","",IF(COUNTIFS(Пул!$E$5:$E$200,$B7,Пул!$G$5:$G$200,"&lt;&gt;")=0,"",ROUND(SUMIFS(Пул!$G$5:$G$200,Пул!$E$5:$E$200,$B7),8)))</f>
        <v>0.1664</v>
      </c>
      <c r="E7" s="240">
        <f>IF($B7="","",IF(COUNTIFS(Пул!$E$5:$E$200,$B7,Пул!$H$5:$H$200,"&lt;&gt;")=0,"",ROUND(SUMIFS(Пул!$H$5:$H$200,Пул!$E$5:$E$200,$B7),8)))</f>
        <v>1.96</v>
      </c>
      <c r="F7" s="241">
        <f>IF($B7="","",IF(COUNTIFS(Пул!$E$5:$E$200,$B7,Пул!$I$5:$I$200,"&lt;&gt;")=0,"",ROUND(SUMIFS(Пул!$I$5:$I$200,Пул!$E$5:$E$200,$B7),8)))</f>
        <v>0.1092</v>
      </c>
      <c r="G7" s="240">
        <f>IF($B7="","",IF(COUNTIFS(Пул!$E$5:$E$200,$B7,Пул!$H$5:$H$200,"&lt;&gt;")=0,"",ROUND(SUMIFS(Пул!$J$5:$J$200,Пул!$E$5:$E$200,$B7),8)))</f>
        <v>-0.04</v>
      </c>
      <c r="H7" s="241">
        <f>IF($B7="","",IF(COUNTIFS(Пул!$E$5:$E$200,$B7,Пул!$I$5:$I$200,"&lt;&gt;")=0,"",ROUND(SUMIFS(Пул!$K$5:$K$200,Пул!$E$5:$E$200,$B7),8)))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IF($B8="","",IF(COUNTIFS(Пул!$E$5:$E$200,$B8,Пул!$F$5:$F$200,"&lt;&gt;")=0,"",ROUND(SUMIFS(Пул!$F$5:$F$200,Пул!$E$5:$E$200,$B8),8)))</f>
        <v>1.5</v>
      </c>
      <c r="D8" s="247">
        <f>IF($B8="","",IF(COUNTIFS(Пул!$E$5:$E$200,$B8,Пул!$G$5:$G$200,"&lt;&gt;")=0,"",ROUND(SUMIFS(Пул!$G$5:$G$200,Пул!$E$5:$E$200,$B8),8)))</f>
        <v>4800</v>
      </c>
      <c r="E8" s="246" t="str">
        <f>IF($B8="","",IF(COUNTIFS(Пул!$E$5:$E$200,$B8,Пул!$H$5:$H$200,"&lt;&gt;")=0,"",ROUND(SUMIFS(Пул!$H$5:$H$200,Пул!$E$5:$E$200,$B8),8)))</f>
        <v/>
      </c>
      <c r="F8" s="247" t="str">
        <f>IF($B8="","",IF(COUNTIFS(Пул!$E$5:$E$200,$B8,Пул!$I$5:$I$200,"&lt;&gt;")=0,"",ROUND(SUMIFS(Пул!$I$5:$I$200,Пул!$E$5:$E$200,$B8),8)))</f>
        <v/>
      </c>
      <c r="G8" s="246" t="str">
        <f>IF($B8="","",IF(COUNTIFS(Пул!$E$5:$E$200,$B8,Пул!$H$5:$H$200,"&lt;&gt;")=0,"",ROUND(SUMIFS(Пул!$J$5:$J$200,Пул!$E$5:$E$200,$B8),8)))</f>
        <v/>
      </c>
      <c r="H8" s="247" t="str">
        <f>IF($B8="","",IF(COUNTIFS(Пул!$E$5:$E$200,$B8,Пул!$I$5:$I$200,"&lt;&gt;")=0,"",ROUND(SUMIFS(Пул!$K$5:$K$200,Пул!$E$5:$E$200,$B8),8)))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IF($B9="","",IF(COUNTIFS(Пул!$E$5:$E$200,$B9,Пул!$F$5:$F$200,"&lt;&gt;")=0,"",ROUND(SUMIFS(Пул!$F$5:$F$200,Пул!$E$5:$E$200,$B9),8)))</f>
        <v>67</v>
      </c>
      <c r="D9" s="241">
        <f>IF($B9="","",IF(COUNTIFS(Пул!$E$5:$E$200,$B9,Пул!$G$5:$G$200,"&lt;&gt;")=0,"",ROUND(SUMIFS(Пул!$G$5:$G$200,Пул!$E$5:$E$200,$B9),8)))</f>
        <v>9715</v>
      </c>
      <c r="E9" s="240">
        <f>IF($B9="","",IF(COUNTIFS(Пул!$E$5:$E$200,$B9,Пул!$H$5:$H$200,"&lt;&gt;")=0,"",ROUND(SUMIFS(Пул!$H$5:$H$200,Пул!$E$5:$E$200,$B9),8)))</f>
        <v>41.1</v>
      </c>
      <c r="F9" s="241">
        <f>IF($B9="","",IF(COUNTIFS(Пул!$E$5:$E$200,$B9,Пул!$I$5:$I$200,"&lt;&gt;")=0,"",ROUND(SUMIFS(Пул!$I$5:$I$200,Пул!$E$5:$E$200,$B9),8)))</f>
        <v>6248</v>
      </c>
      <c r="G9" s="240">
        <f>IF($B9="","",IF(COUNTIFS(Пул!$E$5:$E$200,$B9,Пул!$H$5:$H$200,"&lt;&gt;")=0,"",ROUND(SUMIFS(Пул!$J$5:$J$200,Пул!$E$5:$E$200,$B9),8)))</f>
        <v>-0.9</v>
      </c>
      <c r="H9" s="241">
        <f>IF($B9="","",IF(COUNTIFS(Пул!$E$5:$E$200,$B9,Пул!$I$5:$I$200,"&lt;&gt;")=0,"",ROUND(SUMIFS(Пул!$K$5:$K$200,Пул!$E$5:$E$200,$B9),8)))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IF($B10="","",IF(COUNTIFS(Пул!$E$5:$E$200,$B10,Пул!$F$5:$F$200,"&lt;&gt;")=0,"",ROUND(SUMIFS(Пул!$F$5:$F$200,Пул!$E$5:$E$200,$B10),8)))</f>
        <v/>
      </c>
      <c r="D10" s="247" t="str">
        <f>IF($B10="","",IF(COUNTIFS(Пул!$E$5:$E$200,$B10,Пул!$G$5:$G$200,"&lt;&gt;")=0,"",ROUND(SUMIFS(Пул!$G$5:$G$200,Пул!$E$5:$E$200,$B10),8)))</f>
        <v/>
      </c>
      <c r="E10" s="246" t="str">
        <f>IF($B10="","",IF(COUNTIFS(Пул!$E$5:$E$200,$B10,Пул!$H$5:$H$200,"&lt;&gt;")=0,"",ROUND(SUMIFS(Пул!$H$5:$H$200,Пул!$E$5:$E$200,$B10),8)))</f>
        <v/>
      </c>
      <c r="F10" s="247" t="str">
        <f>IF($B10="","",IF(COUNTIFS(Пул!$E$5:$E$200,$B10,Пул!$I$5:$I$200,"&lt;&gt;")=0,"",ROUND(SUMIFS(Пул!$I$5:$I$200,Пул!$E$5:$E$200,$B10),8)))</f>
        <v/>
      </c>
      <c r="G10" s="246" t="str">
        <f>IF($B10="","",IF(COUNTIFS(Пул!$E$5:$E$200,$B10,Пул!$H$5:$H$200,"&lt;&gt;")=0,"",ROUND(SUMIFS(Пул!$J$5:$J$200,Пул!$E$5:$E$200,$B10),8)))</f>
        <v/>
      </c>
      <c r="H10" s="247" t="str">
        <f>IF($B10="","",IF(COUNTIFS(Пул!$E$5:$E$200,$B10,Пул!$I$5:$I$200,"&lt;&gt;")=0,"",ROUND(SUMIFS(Пул!$K$5:$K$200,Пул!$E$5:$E$200,$B10),8)))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IF($B11="","",IF(COUNTIFS(Пул!$E$5:$E$200,$B11,Пул!$F$5:$F$200,"&lt;&gt;")=0,"",ROUND(SUMIFS(Пул!$F$5:$F$200,Пул!$E$5:$E$200,$B11),8)))</f>
        <v/>
      </c>
      <c r="D11" s="241" t="str">
        <f>IF($B11="","",IF(COUNTIFS(Пул!$E$5:$E$200,$B11,Пул!$G$5:$G$200,"&lt;&gt;")=0,"",ROUND(SUMIFS(Пул!$G$5:$G$200,Пул!$E$5:$E$200,$B11),8)))</f>
        <v/>
      </c>
      <c r="E11" s="240" t="str">
        <f>IF($B11="","",IF(COUNTIFS(Пул!$E$5:$E$200,$B11,Пул!$H$5:$H$200,"&lt;&gt;")=0,"",ROUND(SUMIFS(Пул!$H$5:$H$200,Пул!$E$5:$E$200,$B11),8)))</f>
        <v/>
      </c>
      <c r="F11" s="241" t="str">
        <f>IF($B11="","",IF(COUNTIFS(Пул!$E$5:$E$200,$B11,Пул!$I$5:$I$200,"&lt;&gt;")=0,"",ROUND(SUMIFS(Пул!$I$5:$I$200,Пул!$E$5:$E$200,$B11),8)))</f>
        <v/>
      </c>
      <c r="G11" s="240" t="str">
        <f>IF($B11="","",IF(COUNTIFS(Пул!$E$5:$E$200,$B11,Пул!$H$5:$H$200,"&lt;&gt;")=0,"",ROUND(SUMIFS(Пул!$J$5:$J$200,Пул!$E$5:$E$200,$B11),8)))</f>
        <v/>
      </c>
      <c r="H11" s="241" t="str">
        <f>IF($B11="","",IF(COUNTIFS(Пул!$E$5:$E$200,$B11,Пул!$I$5:$I$200,"&lt;&gt;")=0,"",ROUND(SUMIFS(Пул!$K$5:$K$200,Пул!$E$5:$E$200,$B11),8)))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IF($B12="","",IF(COUNTIFS(Пул!$E$5:$E$200,$B12,Пул!$F$5:$F$200,"&lt;&gt;")=0,"",ROUND(SUMIFS(Пул!$F$5:$F$200,Пул!$E$5:$E$200,$B12),8)))</f>
        <v/>
      </c>
      <c r="D12" s="247" t="str">
        <f>IF($B12="","",IF(COUNTIFS(Пул!$E$5:$E$200,$B12,Пул!$G$5:$G$200,"&lt;&gt;")=0,"",ROUND(SUMIFS(Пул!$G$5:$G$200,Пул!$E$5:$E$200,$B12),8)))</f>
        <v/>
      </c>
      <c r="E12" s="246" t="str">
        <f>IF($B12="","",IF(COUNTIFS(Пул!$E$5:$E$200,$B12,Пул!$H$5:$H$200,"&lt;&gt;")=0,"",ROUND(SUMIFS(Пул!$H$5:$H$200,Пул!$E$5:$E$200,$B12),8)))</f>
        <v/>
      </c>
      <c r="F12" s="247" t="str">
        <f>IF($B12="","",IF(COUNTIFS(Пул!$E$5:$E$200,$B12,Пул!$I$5:$I$200,"&lt;&gt;")=0,"",ROUND(SUMIFS(Пул!$I$5:$I$200,Пул!$E$5:$E$200,$B12),8)))</f>
        <v/>
      </c>
      <c r="G12" s="246" t="str">
        <f>IF($B12="","",IF(COUNTIFS(Пул!$E$5:$E$200,$B12,Пул!$H$5:$H$200,"&lt;&gt;")=0,"",ROUND(SUMIFS(Пул!$J$5:$J$200,Пул!$E$5:$E$200,$B12),8)))</f>
        <v/>
      </c>
      <c r="H12" s="247" t="str">
        <f>IF($B12="","",IF(COUNTIFS(Пул!$E$5:$E$200,$B12,Пул!$I$5:$I$200,"&lt;&gt;")=0,"",ROUND(SUMIFS(Пул!$K$5:$K$200,Пул!$E$5:$E$200,$B12),8)))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41" t="n">
        <v>1172.34</v>
      </c>
      <c r="I5" s="240" t="n">
        <v>2</v>
      </c>
      <c r="J5" s="177" t="n">
        <v>598.8</v>
      </c>
      <c r="K5" s="241" t="n"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47" t="n">
        <v>3116.22</v>
      </c>
      <c r="I6" s="246" t="n">
        <v>0.05</v>
      </c>
      <c r="J6" s="183" t="n">
        <v>62874</v>
      </c>
      <c r="K6" s="247" t="n"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41" t="n">
        <v>3206.4</v>
      </c>
      <c r="I7" s="240" t="n">
        <v>1</v>
      </c>
      <c r="J7" s="177" t="n">
        <v>3343.3</v>
      </c>
      <c r="K7" s="241" t="n"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47" t="n">
        <v>2905.8</v>
      </c>
      <c r="I8" s="246" t="n">
        <v>20</v>
      </c>
      <c r="J8" s="183" t="n">
        <v>151.696</v>
      </c>
      <c r="K8" s="247" t="n"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41" t="n">
        <v>877.5</v>
      </c>
      <c r="I9" s="240" t="n">
        <v>1.5</v>
      </c>
      <c r="J9" s="177" t="n">
        <v>597</v>
      </c>
      <c r="K9" s="241" t="n"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47" t="n">
        <v>1605</v>
      </c>
      <c r="I10" s="246" t="n">
        <v>0.5</v>
      </c>
      <c r="J10" s="183" t="n">
        <v>3340</v>
      </c>
      <c r="K10" s="247" t="n"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41" t="n">
        <v>1450</v>
      </c>
      <c r="I11" s="240" t="n">
        <v>10</v>
      </c>
      <c r="J11" s="177" t="n">
        <v>150.5</v>
      </c>
      <c r="K11" s="241" t="n"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47" t="n"/>
      <c r="I12" s="246" t="n"/>
      <c r="J12" s="183" t="n"/>
      <c r="K12" s="247" t="n"/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 ht="22" customHeight="1">
      <c r="B13" s="238" t="n"/>
      <c r="C13" s="237" t="n"/>
      <c r="D13" s="238" t="n"/>
      <c r="E13" s="239" t="n"/>
      <c r="F13" s="240" t="n"/>
      <c r="G13" s="177" t="n"/>
      <c r="H13" s="241" t="n"/>
      <c r="I13" s="240" t="n"/>
      <c r="J13" s="177" t="n"/>
      <c r="K13" s="241" t="n"/>
      <c r="L13" s="240" t="str">
        <f>IF(COUNT(F13,I13)=0,"",N(F13)-N(I13))</f>
        <v/>
      </c>
      <c r="M13" s="241" t="str">
        <f>IF(COUNT(H13,K13)=0,"",N(K13)-N(H13))</f>
        <v/>
      </c>
      <c r="N13" s="240" t="str">
        <f>IF(AND(ISNUMBER(F13),ISNUMBER(I13),ISNUMBER(H13),ISNUMBER(K13),F13&gt;0,I13&gt;0,H13&lt;&gt;0),ROUND(MIN(F13,I13)*(K13/I13-H13/F13),8),"")</f>
        <v/>
      </c>
      <c r="O13" s="177" t="str">
        <f>IF(ISNUMBER(N13),ROUND(N13/(MIN(F13,I13)*H13/F13)*100,2),"")</f>
        <v/>
      </c>
    </row>
    <row r="14" ht="22" customHeight="1">
      <c r="B14" s="244" t="n"/>
      <c r="C14" s="243" t="n"/>
      <c r="D14" s="244" t="n"/>
      <c r="E14" s="245" t="n"/>
      <c r="F14" s="246" t="n"/>
      <c r="G14" s="183" t="n"/>
      <c r="H14" s="247" t="n"/>
      <c r="I14" s="246" t="n"/>
      <c r="J14" s="183" t="n"/>
      <c r="K14" s="247" t="n"/>
      <c r="L14" s="246" t="str">
        <f>IF(COUNT(F14,I14)=0,"",N(F14)-N(I14))</f>
        <v/>
      </c>
      <c r="M14" s="247" t="str">
        <f>IF(COUNT(H14,K14)=0,"",N(K14)-N(H14))</f>
        <v/>
      </c>
      <c r="N14" s="246" t="str">
        <f>IF(AND(ISNUMBER(F14),ISNUMBER(I14),ISNUMBER(H14),ISNUMBER(K14),F14&gt;0,I14&gt;0,H14&lt;&gt;0),ROUND(MIN(F14,I14)*(K14/I14-H14/F14),8),"")</f>
        <v/>
      </c>
      <c r="O14" s="183" t="str">
        <f>IF(ISNUMBER(N14),ROUND(N14/(MIN(F14,I14)*H14/F14)*100,2),"")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41" t="n"/>
      <c r="I15" s="240" t="n"/>
      <c r="J15" s="177" t="n"/>
      <c r="K15" s="241" t="n"/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IF(AND(ISNUMBER(F15),ISNUMBER(I15),ISNUMBER(H15),ISNUMBER(K15),F15&gt;0,I15&gt;0,H15&lt;&gt;0),ROUND(MIN(F15,I15)*(K15/I15-H15/F15),8),"")</f>
        <v/>
      </c>
      <c r="O15" s="177" t="str">
        <f>IF(ISNUMBER(N15),ROUND(N15/(MIN(F15,I15)*H15/F15)*100,2),"")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47" t="n"/>
      <c r="I16" s="246" t="n"/>
      <c r="J16" s="183" t="n"/>
      <c r="K16" s="247" t="n"/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IF(AND(ISNUMBER(F16),ISNUMBER(I16),ISNUMBER(H16),ISNUMBER(K16),F16&gt;0,I16&gt;0,H16&lt;&gt;0),ROUND(MIN(F16,I16)*(K16/I16-H16/F16),8),"")</f>
        <v/>
      </c>
      <c r="O16" s="183" t="str">
        <f>IF(ISNUMBER(N16),ROUND(N16/(MIN(F16,I16)*H16/F16)*100,2),"")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41" t="n"/>
      <c r="I17" s="240" t="n"/>
      <c r="J17" s="177" t="n"/>
      <c r="K17" s="241" t="n"/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IF(AND(ISNUMBER(F17),ISNUMBER(I17),ISNUMBER(H17),ISNUMBER(K17),F17&gt;0,I17&gt;0,H17&lt;&gt;0),ROUND(MIN(F17,I17)*(K17/I17-H17/F17),8),"")</f>
        <v/>
      </c>
      <c r="O17" s="177" t="str">
        <f>IF(ISNUMBER(N17),ROUND(N17/(MIN(F17,I17)*H17/F17)*100,2),"")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47" t="n"/>
      <c r="I18" s="246" t="n"/>
      <c r="J18" s="183" t="n"/>
      <c r="K18" s="247" t="n"/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IF(AND(ISNUMBER(F18),ISNUMBER(I18),ISNUMBER(H18),ISNUMBER(K18),F18&gt;0,I18&gt;0,H18&lt;&gt;0),ROUND(MIN(F18,I18)*(K18/I18-H18/F18),8),"")</f>
        <v/>
      </c>
      <c r="O18" s="183" t="str">
        <f>IF(ISNUMBER(N18),ROUND(N18/(MIN(F18,I18)*H18/F18)*100,2),"")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41" t="n"/>
      <c r="I19" s="240" t="n"/>
      <c r="J19" s="177" t="n"/>
      <c r="K19" s="241" t="n"/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IF(AND(ISNUMBER(F19),ISNUMBER(I19),ISNUMBER(H19),ISNUMBER(K19),F19&gt;0,I19&gt;0,H19&lt;&gt;0),ROUND(MIN(F19,I19)*(K19/I19-H19/F19),8),"")</f>
        <v/>
      </c>
      <c r="O19" s="177" t="str">
        <f>IF(ISNUMBER(N19),ROUND(N19/(MIN(F19,I19)*H19/F19)*100,2),"")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47" t="n"/>
      <c r="I20" s="246" t="n"/>
      <c r="J20" s="183" t="n"/>
      <c r="K20" s="247" t="n"/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IF(AND(ISNUMBER(F20),ISNUMBER(I20),ISNUMBER(H20),ISNUMBER(K20),F20&gt;0,I20&gt;0,H20&lt;&gt;0),ROUND(MIN(F20,I20)*(K20/I20-H20/F20),8),"")</f>
        <v/>
      </c>
      <c r="O20" s="183" t="str">
        <f>IF(ISNUMBER(N20),ROUND(N20/(MIN(F20,I20)*H20/F20)*100,2),"")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41" t="n"/>
      <c r="I21" s="240" t="n"/>
      <c r="J21" s="177" t="n"/>
      <c r="K21" s="241" t="n"/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IF(AND(ISNUMBER(F21),ISNUMBER(I21),ISNUMBER(H21),ISNUMBER(K21),F21&gt;0,I21&gt;0,H21&lt;&gt;0),ROUND(MIN(F21,I21)*(K21/I21-H21/F21),8),"")</f>
        <v/>
      </c>
      <c r="O21" s="177" t="str">
        <f>IF(ISNUMBER(N21),ROUND(N21/(MIN(F21,I21)*H21/F21)*100,2),"")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47" t="n"/>
      <c r="I22" s="246" t="n"/>
      <c r="J22" s="183" t="n"/>
      <c r="K22" s="247" t="n"/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IF(AND(ISNUMBER(F22),ISNUMBER(I22),ISNUMBER(H22),ISNUMBER(K22),F22&gt;0,I22&gt;0,H22&lt;&gt;0),ROUND(MIN(F22,I22)*(K22/I22-H22/F22),8),"")</f>
        <v/>
      </c>
      <c r="O22" s="183" t="str">
        <f>IF(ISNUMBER(N22),ROUND(N22/(MIN(F22,I22)*H22/F22)*100,2),"")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41" t="n"/>
      <c r="I23" s="240" t="n"/>
      <c r="J23" s="177" t="n"/>
      <c r="K23" s="241" t="n"/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IF(AND(ISNUMBER(F23),ISNUMBER(I23),ISNUMBER(H23),ISNUMBER(K23),F23&gt;0,I23&gt;0,H23&lt;&gt;0),ROUND(MIN(F23,I23)*(K23/I23-H23/F23),8),"")</f>
        <v/>
      </c>
      <c r="O23" s="177" t="str">
        <f>IF(ISNUMBER(N23),ROUND(N23/(MIN(F23,I23)*H23/F23)*100,2),"")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47" t="n"/>
      <c r="I24" s="246" t="n"/>
      <c r="J24" s="183" t="n"/>
      <c r="K24" s="247" t="n"/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IF(AND(ISNUMBER(F24),ISNUMBER(I24),ISNUMBER(H24),ISNUMBER(K24),F24&gt;0,I24&gt;0,H24&lt;&gt;0),ROUND(MIN(F24,I24)*(K24/I24-H24/F24),8),"")</f>
        <v/>
      </c>
      <c r="O24" s="183" t="str">
        <f>IF(ISNUMBER(N24),ROUND(N24/(MIN(F24,I24)*H24/F24)*100,2),"")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41" t="n"/>
      <c r="I25" s="240" t="n"/>
      <c r="J25" s="177" t="n"/>
      <c r="K25" s="241" t="n"/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IF(AND(ISNUMBER(F25),ISNUMBER(I25),ISNUMBER(H25),ISNUMBER(K25),F25&gt;0,I25&gt;0,H25&lt;&gt;0),ROUND(MIN(F25,I25)*(K25/I25-H25/F25),8),"")</f>
        <v/>
      </c>
      <c r="O25" s="177" t="str">
        <f>IF(ISNUMBER(N25),ROUND(N25/(MIN(F25,I25)*H25/F25)*100,2),"")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47" t="n"/>
      <c r="I26" s="246" t="n"/>
      <c r="J26" s="183" t="n"/>
      <c r="K26" s="247" t="n"/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IF(AND(ISNUMBER(F26),ISNUMBER(I26),ISNUMBER(H26),ISNUMBER(K26),F26&gt;0,I26&gt;0,H26&lt;&gt;0),ROUND(MIN(F26,I26)*(K26/I26-H26/F26),8),"")</f>
        <v/>
      </c>
      <c r="O26" s="183" t="str">
        <f>IF(ISNUMBER(N26),ROUND(N26/(MIN(F26,I26)*H26/F26)*100,2),"")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41" t="n"/>
      <c r="I27" s="240" t="n"/>
      <c r="J27" s="177" t="n"/>
      <c r="K27" s="241" t="n"/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IF(AND(ISNUMBER(F27),ISNUMBER(I27),ISNUMBER(H27),ISNUMBER(K27),F27&gt;0,I27&gt;0,H27&lt;&gt;0),ROUND(MIN(F27,I27)*(K27/I27-H27/F27),8),"")</f>
        <v/>
      </c>
      <c r="O27" s="177" t="str">
        <f>IF(ISNUMBER(N27),ROUND(N27/(MIN(F27,I27)*H27/F27)*100,2),"")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47" t="n"/>
      <c r="I28" s="246" t="n"/>
      <c r="J28" s="183" t="n"/>
      <c r="K28" s="247" t="n"/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IF(AND(ISNUMBER(F28),ISNUMBER(I28),ISNUMBER(H28),ISNUMBER(K28),F28&gt;0,I28&gt;0,H28&lt;&gt;0),ROUND(MIN(F28,I28)*(K28/I28-H28/F28),8),"")</f>
        <v/>
      </c>
      <c r="O28" s="183" t="str">
        <f>IF(ISNUMBER(N28),ROUND(N28/(MIN(F28,I28)*H28/F28)*100,2),"")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41" t="n"/>
      <c r="I29" s="240" t="n"/>
      <c r="J29" s="177" t="n"/>
      <c r="K29" s="241" t="n"/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IF(AND(ISNUMBER(F29),ISNUMBER(I29),ISNUMBER(H29),ISNUMBER(K29),F29&gt;0,I29&gt;0,H29&lt;&gt;0),ROUND(MIN(F29,I29)*(K29/I29-H29/F29),8),"")</f>
        <v/>
      </c>
      <c r="O29" s="177" t="str">
        <f>IF(ISNUMBER(N29),ROUND(N29/(MIN(F29,I29)*H29/F29)*100,2),"")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47" t="n"/>
      <c r="I30" s="246" t="n"/>
      <c r="J30" s="183" t="n"/>
      <c r="K30" s="247" t="n"/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IF(AND(ISNUMBER(F30),ISNUMBER(I30),ISNUMBER(H30),ISNUMBER(K30),F30&gt;0,I30&gt;0,H30&lt;&gt;0),ROUND(MIN(F30,I30)*(K30/I30-H30/F30),8),"")</f>
        <v/>
      </c>
      <c r="O30" s="183" t="str">
        <f>IF(ISNUMBER(N30),ROUND(N30/(MIN(F30,I30)*H30/F30)*100,2),"")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41" t="n"/>
      <c r="I31" s="240" t="n"/>
      <c r="J31" s="177" t="n"/>
      <c r="K31" s="241" t="n"/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IF(AND(ISNUMBER(F31),ISNUMBER(I31),ISNUMBER(H31),ISNUMBER(K31),F31&gt;0,I31&gt;0,H31&lt;&gt;0),ROUND(MIN(F31,I31)*(K31/I31-H31/F31),8),"")</f>
        <v/>
      </c>
      <c r="O31" s="177" t="str">
        <f>IF(ISNUMBER(N31),ROUND(N31/(MIN(F31,I31)*H31/F31)*100,2),"")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47" t="n"/>
      <c r="I32" s="246" t="n"/>
      <c r="J32" s="183" t="n"/>
      <c r="K32" s="247" t="n"/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41" t="n"/>
      <c r="I33" s="240" t="n"/>
      <c r="J33" s="177" t="n"/>
      <c r="K33" s="241" t="n"/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47" t="n"/>
      <c r="I34" s="246" t="n"/>
      <c r="J34" s="183" t="n"/>
      <c r="K34" s="247" t="n"/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41" t="n"/>
      <c r="I35" s="240" t="n"/>
      <c r="J35" s="177" t="n"/>
      <c r="K35" s="241" t="n"/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47" t="n"/>
      <c r="I36" s="246" t="n"/>
      <c r="J36" s="183" t="n"/>
      <c r="K36" s="247" t="n"/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41" t="n"/>
      <c r="I37" s="240" t="n"/>
      <c r="J37" s="177" t="n"/>
      <c r="K37" s="241" t="n"/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47" t="n"/>
      <c r="I38" s="246" t="n"/>
      <c r="J38" s="183" t="n"/>
      <c r="K38" s="247" t="n"/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41" t="n"/>
      <c r="I39" s="240" t="n"/>
      <c r="J39" s="177" t="n"/>
      <c r="K39" s="241" t="n"/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47" t="n"/>
      <c r="I40" s="246" t="n"/>
      <c r="J40" s="183" t="n"/>
      <c r="K40" s="247" t="n"/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41" t="n"/>
      <c r="I41" s="240" t="n"/>
      <c r="J41" s="177" t="n"/>
      <c r="K41" s="241" t="n"/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47" t="n"/>
      <c r="I42" s="246" t="n"/>
      <c r="J42" s="183" t="n"/>
      <c r="K42" s="247" t="n"/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41" t="n"/>
      <c r="I43" s="240" t="n"/>
      <c r="J43" s="177" t="n"/>
      <c r="K43" s="241" t="n"/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47" t="n"/>
      <c r="I44" s="246" t="n"/>
      <c r="J44" s="183" t="n"/>
      <c r="K44" s="247" t="n"/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41" t="n"/>
      <c r="I45" s="240" t="n"/>
      <c r="J45" s="177" t="n"/>
      <c r="K45" s="241" t="n"/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47" t="n"/>
      <c r="I46" s="246" t="n"/>
      <c r="J46" s="183" t="n"/>
      <c r="K46" s="247" t="n"/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41" t="n"/>
      <c r="I47" s="240" t="n"/>
      <c r="J47" s="177" t="n"/>
      <c r="K47" s="241" t="n"/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47" t="n"/>
      <c r="I48" s="246" t="n"/>
      <c r="J48" s="183" t="n"/>
      <c r="K48" s="247" t="n"/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41" t="n"/>
      <c r="I49" s="240" t="n"/>
      <c r="J49" s="177" t="n"/>
      <c r="K49" s="241" t="n"/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47" t="n"/>
      <c r="I50" s="246" t="n"/>
      <c r="J50" s="183" t="n"/>
      <c r="K50" s="247" t="n"/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41" t="n"/>
      <c r="I51" s="240" t="n"/>
      <c r="J51" s="177" t="n"/>
      <c r="K51" s="241" t="n"/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47" t="n"/>
      <c r="I52" s="246" t="n"/>
      <c r="J52" s="183" t="n"/>
      <c r="K52" s="247" t="n"/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41" t="n"/>
      <c r="I53" s="240" t="n"/>
      <c r="J53" s="177" t="n"/>
      <c r="K53" s="241" t="n"/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47" t="n"/>
      <c r="I54" s="246" t="n"/>
      <c r="J54" s="183" t="n"/>
      <c r="K54" s="247" t="n"/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41" t="n"/>
      <c r="I55" s="240" t="n"/>
      <c r="J55" s="177" t="n"/>
      <c r="K55" s="241" t="n"/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47" t="n"/>
      <c r="I56" s="246" t="n"/>
      <c r="J56" s="183" t="n"/>
      <c r="K56" s="247" t="n"/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41" t="n"/>
      <c r="I57" s="240" t="n"/>
      <c r="J57" s="177" t="n"/>
      <c r="K57" s="241" t="n"/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47" t="n"/>
      <c r="I58" s="246" t="n"/>
      <c r="J58" s="183" t="n"/>
      <c r="K58" s="247" t="n"/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41" t="n"/>
      <c r="I59" s="240" t="n"/>
      <c r="J59" s="177" t="n"/>
      <c r="K59" s="241" t="n"/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47" t="n"/>
      <c r="I60" s="246" t="n"/>
      <c r="J60" s="183" t="n"/>
      <c r="K60" s="247" t="n"/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41" t="n"/>
      <c r="I61" s="240" t="n"/>
      <c r="J61" s="177" t="n"/>
      <c r="K61" s="241" t="n"/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47" t="n"/>
      <c r="I62" s="246" t="n"/>
      <c r="J62" s="183" t="n"/>
      <c r="K62" s="247" t="n"/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41" t="n"/>
      <c r="I63" s="240" t="n"/>
      <c r="J63" s="177" t="n"/>
      <c r="K63" s="241" t="n"/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47" t="n"/>
      <c r="I64" s="246" t="n"/>
      <c r="J64" s="183" t="n"/>
      <c r="K64" s="247" t="n"/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41" t="n"/>
      <c r="I65" s="240" t="n"/>
      <c r="J65" s="177" t="n"/>
      <c r="K65" s="241" t="n"/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47" t="n"/>
      <c r="I66" s="246" t="n"/>
      <c r="J66" s="183" t="n"/>
      <c r="K66" s="247" t="n"/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41" t="n"/>
      <c r="I67" s="240" t="n"/>
      <c r="J67" s="177" t="n"/>
      <c r="K67" s="241" t="n"/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47" t="n"/>
      <c r="I68" s="246" t="n"/>
      <c r="J68" s="183" t="n"/>
      <c r="K68" s="247" t="n"/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41" t="n"/>
      <c r="I69" s="240" t="n"/>
      <c r="J69" s="177" t="n"/>
      <c r="K69" s="241" t="n"/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47" t="n"/>
      <c r="I70" s="246" t="n"/>
      <c r="J70" s="183" t="n"/>
      <c r="K70" s="247" t="n"/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41" t="n"/>
      <c r="I71" s="240" t="n"/>
      <c r="J71" s="177" t="n"/>
      <c r="K71" s="241" t="n"/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47" t="n"/>
      <c r="I72" s="246" t="n"/>
      <c r="J72" s="183" t="n"/>
      <c r="K72" s="247" t="n"/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41" t="n"/>
      <c r="I73" s="240" t="n"/>
      <c r="J73" s="177" t="n"/>
      <c r="K73" s="241" t="n"/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47" t="n"/>
      <c r="I74" s="246" t="n"/>
      <c r="J74" s="183" t="n"/>
      <c r="K74" s="247" t="n"/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41" t="n"/>
      <c r="I75" s="240" t="n"/>
      <c r="J75" s="177" t="n"/>
      <c r="K75" s="241" t="n"/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47" t="n"/>
      <c r="I76" s="246" t="n"/>
      <c r="J76" s="183" t="n"/>
      <c r="K76" s="247" t="n"/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41" t="n"/>
      <c r="I77" s="240" t="n"/>
      <c r="J77" s="177" t="n"/>
      <c r="K77" s="241" t="n"/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47" t="n"/>
      <c r="I78" s="246" t="n"/>
      <c r="J78" s="183" t="n"/>
      <c r="K78" s="247" t="n"/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41" t="n"/>
      <c r="I79" s="240" t="n"/>
      <c r="J79" s="177" t="n"/>
      <c r="K79" s="241" t="n"/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47" t="n"/>
      <c r="I80" s="246" t="n"/>
      <c r="J80" s="183" t="n"/>
      <c r="K80" s="247" t="n"/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41" t="n"/>
      <c r="I81" s="240" t="n"/>
      <c r="J81" s="177" t="n"/>
      <c r="K81" s="241" t="n"/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47" t="n"/>
      <c r="I82" s="246" t="n"/>
      <c r="J82" s="183" t="n"/>
      <c r="K82" s="247" t="n"/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41" t="n"/>
      <c r="I83" s="240" t="n"/>
      <c r="J83" s="177" t="n"/>
      <c r="K83" s="241" t="n"/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47" t="n"/>
      <c r="I84" s="246" t="n"/>
      <c r="J84" s="183" t="n"/>
      <c r="K84" s="247" t="n"/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41" t="n"/>
      <c r="I85" s="240" t="n"/>
      <c r="J85" s="177" t="n"/>
      <c r="K85" s="241" t="n"/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47" t="n"/>
      <c r="I86" s="246" t="n"/>
      <c r="J86" s="183" t="n"/>
      <c r="K86" s="247" t="n"/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41" t="n"/>
      <c r="I87" s="240" t="n"/>
      <c r="J87" s="177" t="n"/>
      <c r="K87" s="241" t="n"/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47" t="n"/>
      <c r="I88" s="246" t="n"/>
      <c r="J88" s="183" t="n"/>
      <c r="K88" s="247" t="n"/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41" t="n"/>
      <c r="I89" s="240" t="n"/>
      <c r="J89" s="177" t="n"/>
      <c r="K89" s="241" t="n"/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47" t="n"/>
      <c r="I90" s="246" t="n"/>
      <c r="J90" s="183" t="n"/>
      <c r="K90" s="247" t="n"/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41" t="n"/>
      <c r="I91" s="240" t="n"/>
      <c r="J91" s="177" t="n"/>
      <c r="K91" s="241" t="n"/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47" t="n"/>
      <c r="I92" s="246" t="n"/>
      <c r="J92" s="183" t="n"/>
      <c r="K92" s="247" t="n"/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41" t="n"/>
      <c r="I93" s="240" t="n"/>
      <c r="J93" s="177" t="n"/>
      <c r="K93" s="241" t="n"/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47" t="n"/>
      <c r="I94" s="246" t="n"/>
      <c r="J94" s="183" t="n"/>
      <c r="K94" s="247" t="n"/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41" t="n"/>
      <c r="I95" s="240" t="n"/>
      <c r="J95" s="177" t="n"/>
      <c r="K95" s="241" t="n"/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47" t="n"/>
      <c r="I96" s="246" t="n"/>
      <c r="J96" s="183" t="n"/>
      <c r="K96" s="247" t="n"/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41" t="n"/>
      <c r="I97" s="240" t="n"/>
      <c r="J97" s="177" t="n"/>
      <c r="K97" s="241" t="n"/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47" t="n"/>
      <c r="I98" s="246" t="n"/>
      <c r="J98" s="183" t="n"/>
      <c r="K98" s="247" t="n"/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41" t="n"/>
      <c r="I99" s="240" t="n"/>
      <c r="J99" s="177" t="n"/>
      <c r="K99" s="241" t="n"/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47" t="n"/>
      <c r="I100" s="246" t="n"/>
      <c r="J100" s="183" t="n"/>
      <c r="K100" s="247" t="n"/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41" t="n"/>
      <c r="I101" s="240" t="n"/>
      <c r="J101" s="177" t="n"/>
      <c r="K101" s="241" t="n"/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47" t="n"/>
      <c r="I102" s="246" t="n"/>
      <c r="J102" s="183" t="n"/>
      <c r="K102" s="247" t="n"/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41" t="n"/>
      <c r="I103" s="240" t="n"/>
      <c r="J103" s="177" t="n"/>
      <c r="K103" s="241" t="n"/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47" t="n"/>
      <c r="I104" s="246" t="n"/>
      <c r="J104" s="183" t="n"/>
      <c r="K104" s="247" t="n"/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41" t="n"/>
      <c r="I105" s="240" t="n"/>
      <c r="J105" s="177" t="n"/>
      <c r="K105" s="241" t="n"/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47" t="n"/>
      <c r="I106" s="246" t="n"/>
      <c r="J106" s="183" t="n"/>
      <c r="K106" s="247" t="n"/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41" t="n"/>
      <c r="I107" s="240" t="n"/>
      <c r="J107" s="177" t="n"/>
      <c r="K107" s="241" t="n"/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47" t="n"/>
      <c r="I108" s="246" t="n"/>
      <c r="J108" s="183" t="n"/>
      <c r="K108" s="247" t="n"/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41" t="n"/>
      <c r="I109" s="240" t="n"/>
      <c r="J109" s="177" t="n"/>
      <c r="K109" s="241" t="n"/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47" t="n"/>
      <c r="I110" s="246" t="n"/>
      <c r="J110" s="183" t="n"/>
      <c r="K110" s="247" t="n"/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41" t="n"/>
      <c r="I111" s="240" t="n"/>
      <c r="J111" s="177" t="n"/>
      <c r="K111" s="241" t="n"/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47" t="n"/>
      <c r="I112" s="246" t="n"/>
      <c r="J112" s="183" t="n"/>
      <c r="K112" s="247" t="n"/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41" t="n"/>
      <c r="I113" s="240" t="n"/>
      <c r="J113" s="177" t="n"/>
      <c r="K113" s="241" t="n"/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47" t="n"/>
      <c r="I114" s="246" t="n"/>
      <c r="J114" s="183" t="n"/>
      <c r="K114" s="247" t="n"/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41" t="n"/>
      <c r="I115" s="240" t="n"/>
      <c r="J115" s="177" t="n"/>
      <c r="K115" s="241" t="n"/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47" t="n"/>
      <c r="I116" s="246" t="n"/>
      <c r="J116" s="183" t="n"/>
      <c r="K116" s="247" t="n"/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41" t="n"/>
      <c r="I117" s="240" t="n"/>
      <c r="J117" s="177" t="n"/>
      <c r="K117" s="241" t="n"/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47" t="n"/>
      <c r="I118" s="246" t="n"/>
      <c r="J118" s="183" t="n"/>
      <c r="K118" s="247" t="n"/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41" t="n"/>
      <c r="I119" s="240" t="n"/>
      <c r="J119" s="177" t="n"/>
      <c r="K119" s="241" t="n"/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47" t="n"/>
      <c r="I120" s="246" t="n"/>
      <c r="J120" s="183" t="n"/>
      <c r="K120" s="247" t="n"/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41" t="n"/>
      <c r="I121" s="240" t="n"/>
      <c r="J121" s="177" t="n"/>
      <c r="K121" s="241" t="n"/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47" t="n"/>
      <c r="I122" s="246" t="n"/>
      <c r="J122" s="183" t="n"/>
      <c r="K122" s="247" t="n"/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41" t="n"/>
      <c r="I123" s="240" t="n"/>
      <c r="J123" s="177" t="n"/>
      <c r="K123" s="241" t="n"/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47" t="n"/>
      <c r="I124" s="246" t="n"/>
      <c r="J124" s="183" t="n"/>
      <c r="K124" s="247" t="n"/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41" t="n"/>
      <c r="I125" s="240" t="n"/>
      <c r="J125" s="177" t="n"/>
      <c r="K125" s="241" t="n"/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47" t="n"/>
      <c r="I126" s="246" t="n"/>
      <c r="J126" s="183" t="n"/>
      <c r="K126" s="247" t="n"/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41" t="n"/>
      <c r="I127" s="240" t="n"/>
      <c r="J127" s="177" t="n"/>
      <c r="K127" s="241" t="n"/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47" t="n"/>
      <c r="I128" s="246" t="n"/>
      <c r="J128" s="183" t="n"/>
      <c r="K128" s="247" t="n"/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41" t="n"/>
      <c r="I129" s="240" t="n"/>
      <c r="J129" s="177" t="n"/>
      <c r="K129" s="241" t="n"/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47" t="n"/>
      <c r="I130" s="246" t="n"/>
      <c r="J130" s="183" t="n"/>
      <c r="K130" s="247" t="n"/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41" t="n"/>
      <c r="I131" s="240" t="n"/>
      <c r="J131" s="177" t="n"/>
      <c r="K131" s="241" t="n"/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47" t="n"/>
      <c r="I132" s="246" t="n"/>
      <c r="J132" s="183" t="n"/>
      <c r="K132" s="247" t="n"/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41" t="n"/>
      <c r="I133" s="240" t="n"/>
      <c r="J133" s="177" t="n"/>
      <c r="K133" s="241" t="n"/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47" t="n"/>
      <c r="I134" s="246" t="n"/>
      <c r="J134" s="183" t="n"/>
      <c r="K134" s="247" t="n"/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41" t="n"/>
      <c r="I135" s="240" t="n"/>
      <c r="J135" s="177" t="n"/>
      <c r="K135" s="241" t="n"/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47" t="n"/>
      <c r="I136" s="246" t="n"/>
      <c r="J136" s="183" t="n"/>
      <c r="K136" s="247" t="n"/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41" t="n"/>
      <c r="I137" s="240" t="n"/>
      <c r="J137" s="177" t="n"/>
      <c r="K137" s="241" t="n"/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47" t="n"/>
      <c r="I138" s="246" t="n"/>
      <c r="J138" s="183" t="n"/>
      <c r="K138" s="247" t="n"/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41" t="n"/>
      <c r="I139" s="240" t="n"/>
      <c r="J139" s="177" t="n"/>
      <c r="K139" s="241" t="n"/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47" t="n"/>
      <c r="I140" s="246" t="n"/>
      <c r="J140" s="183" t="n"/>
      <c r="K140" s="247" t="n"/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41" t="n"/>
      <c r="I141" s="240" t="n"/>
      <c r="J141" s="177" t="n"/>
      <c r="K141" s="241" t="n"/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47" t="n"/>
      <c r="I142" s="246" t="n"/>
      <c r="J142" s="183" t="n"/>
      <c r="K142" s="247" t="n"/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41" t="n"/>
      <c r="I143" s="240" t="n"/>
      <c r="J143" s="177" t="n"/>
      <c r="K143" s="241" t="n"/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47" t="n"/>
      <c r="I144" s="246" t="n"/>
      <c r="J144" s="183" t="n"/>
      <c r="K144" s="247" t="n"/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41" t="n"/>
      <c r="I145" s="240" t="n"/>
      <c r="J145" s="177" t="n"/>
      <c r="K145" s="241" t="n"/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47" t="n"/>
      <c r="I146" s="246" t="n"/>
      <c r="J146" s="183" t="n"/>
      <c r="K146" s="247" t="n"/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41" t="n"/>
      <c r="I147" s="240" t="n"/>
      <c r="J147" s="177" t="n"/>
      <c r="K147" s="241" t="n"/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47" t="n"/>
      <c r="I148" s="246" t="n"/>
      <c r="J148" s="183" t="n"/>
      <c r="K148" s="247" t="n"/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41" t="n"/>
      <c r="I149" s="240" t="n"/>
      <c r="J149" s="177" t="n"/>
      <c r="K149" s="241" t="n"/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47" t="n"/>
      <c r="I150" s="246" t="n"/>
      <c r="J150" s="183" t="n"/>
      <c r="K150" s="247" t="n"/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41" t="n"/>
      <c r="I151" s="240" t="n"/>
      <c r="J151" s="177" t="n"/>
      <c r="K151" s="241" t="n"/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47" t="n"/>
      <c r="I152" s="246" t="n"/>
      <c r="J152" s="183" t="n"/>
      <c r="K152" s="247" t="n"/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41" t="n"/>
      <c r="I153" s="240" t="n"/>
      <c r="J153" s="177" t="n"/>
      <c r="K153" s="241" t="n"/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47" t="n"/>
      <c r="I154" s="246" t="n"/>
      <c r="J154" s="183" t="n"/>
      <c r="K154" s="247" t="n"/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41" t="n"/>
      <c r="I155" s="240" t="n"/>
      <c r="J155" s="177" t="n"/>
      <c r="K155" s="241" t="n"/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47" t="n"/>
      <c r="I156" s="246" t="n"/>
      <c r="J156" s="183" t="n"/>
      <c r="K156" s="247" t="n"/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41" t="n"/>
      <c r="I157" s="240" t="n"/>
      <c r="J157" s="177" t="n"/>
      <c r="K157" s="241" t="n"/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47" t="n"/>
      <c r="I158" s="246" t="n"/>
      <c r="J158" s="183" t="n"/>
      <c r="K158" s="247" t="n"/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41" t="n"/>
      <c r="I159" s="240" t="n"/>
      <c r="J159" s="177" t="n"/>
      <c r="K159" s="241" t="n"/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47" t="n"/>
      <c r="I160" s="246" t="n"/>
      <c r="J160" s="183" t="n"/>
      <c r="K160" s="247" t="n"/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41" t="n"/>
      <c r="I161" s="240" t="n"/>
      <c r="J161" s="177" t="n"/>
      <c r="K161" s="241" t="n"/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47" t="n"/>
      <c r="I162" s="246" t="n"/>
      <c r="J162" s="183" t="n"/>
      <c r="K162" s="247" t="n"/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41" t="n"/>
      <c r="I163" s="240" t="n"/>
      <c r="J163" s="177" t="n"/>
      <c r="K163" s="241" t="n"/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47" t="n"/>
      <c r="I164" s="246" t="n"/>
      <c r="J164" s="183" t="n"/>
      <c r="K164" s="247" t="n"/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41" t="n"/>
      <c r="I165" s="240" t="n"/>
      <c r="J165" s="177" t="n"/>
      <c r="K165" s="241" t="n"/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47" t="n"/>
      <c r="I166" s="246" t="n"/>
      <c r="J166" s="183" t="n"/>
      <c r="K166" s="247" t="n"/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41" t="n"/>
      <c r="I167" s="240" t="n"/>
      <c r="J167" s="177" t="n"/>
      <c r="K167" s="241" t="n"/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47" t="n"/>
      <c r="I168" s="246" t="n"/>
      <c r="J168" s="183" t="n"/>
      <c r="K168" s="247" t="n"/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41" t="n"/>
      <c r="I169" s="240" t="n"/>
      <c r="J169" s="177" t="n"/>
      <c r="K169" s="241" t="n"/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47" t="n"/>
      <c r="I170" s="246" t="n"/>
      <c r="J170" s="183" t="n"/>
      <c r="K170" s="247" t="n"/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41" t="n"/>
      <c r="I171" s="240" t="n"/>
      <c r="J171" s="177" t="n"/>
      <c r="K171" s="241" t="n"/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47" t="n"/>
      <c r="I172" s="246" t="n"/>
      <c r="J172" s="183" t="n"/>
      <c r="K172" s="247" t="n"/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41" t="n"/>
      <c r="I173" s="240" t="n"/>
      <c r="J173" s="177" t="n"/>
      <c r="K173" s="241" t="n"/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47" t="n"/>
      <c r="I174" s="246" t="n"/>
      <c r="J174" s="183" t="n"/>
      <c r="K174" s="247" t="n"/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41" t="n"/>
      <c r="I175" s="240" t="n"/>
      <c r="J175" s="177" t="n"/>
      <c r="K175" s="241" t="n"/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47" t="n"/>
      <c r="I176" s="246" t="n"/>
      <c r="J176" s="183" t="n"/>
      <c r="K176" s="247" t="n"/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41" t="n"/>
      <c r="I177" s="240" t="n"/>
      <c r="J177" s="177" t="n"/>
      <c r="K177" s="241" t="n"/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47" t="n"/>
      <c r="I178" s="246" t="n"/>
      <c r="J178" s="183" t="n"/>
      <c r="K178" s="247" t="n"/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41" t="n"/>
      <c r="I179" s="240" t="n"/>
      <c r="J179" s="177" t="n"/>
      <c r="K179" s="241" t="n"/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47" t="n"/>
      <c r="I180" s="246" t="n"/>
      <c r="J180" s="183" t="n"/>
      <c r="K180" s="247" t="n"/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41" t="n"/>
      <c r="I181" s="240" t="n"/>
      <c r="J181" s="177" t="n"/>
      <c r="K181" s="241" t="n"/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47" t="n"/>
      <c r="I182" s="246" t="n"/>
      <c r="J182" s="183" t="n"/>
      <c r="K182" s="247" t="n"/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41" t="n"/>
      <c r="I183" s="240" t="n"/>
      <c r="J183" s="177" t="n"/>
      <c r="K183" s="241" t="n"/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47" t="n"/>
      <c r="I184" s="246" t="n"/>
      <c r="J184" s="183" t="n"/>
      <c r="K184" s="247" t="n"/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41" t="n"/>
      <c r="I185" s="240" t="n"/>
      <c r="J185" s="177" t="n"/>
      <c r="K185" s="241" t="n"/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47" t="n"/>
      <c r="I186" s="246" t="n"/>
      <c r="J186" s="183" t="n"/>
      <c r="K186" s="247" t="n"/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41" t="n"/>
      <c r="I187" s="240" t="n"/>
      <c r="J187" s="177" t="n"/>
      <c r="K187" s="241" t="n"/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47" t="n"/>
      <c r="I188" s="246" t="n"/>
      <c r="J188" s="183" t="n"/>
      <c r="K188" s="247" t="n"/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41" t="n"/>
      <c r="I189" s="240" t="n"/>
      <c r="J189" s="177" t="n"/>
      <c r="K189" s="241" t="n"/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47" t="n"/>
      <c r="I190" s="246" t="n"/>
      <c r="J190" s="183" t="n"/>
      <c r="K190" s="247" t="n"/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41" t="n"/>
      <c r="I191" s="240" t="n"/>
      <c r="J191" s="177" t="n"/>
      <c r="K191" s="241" t="n"/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47" t="n"/>
      <c r="I192" s="246" t="n"/>
      <c r="J192" s="183" t="n"/>
      <c r="K192" s="247" t="n"/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41" t="n"/>
      <c r="I193" s="240" t="n"/>
      <c r="J193" s="177" t="n"/>
      <c r="K193" s="241" t="n"/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47" t="n"/>
      <c r="I194" s="246" t="n"/>
      <c r="J194" s="183" t="n"/>
      <c r="K194" s="247" t="n"/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41" t="n"/>
      <c r="I195" s="240" t="n"/>
      <c r="J195" s="177" t="n"/>
      <c r="K195" s="241" t="n"/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47" t="n"/>
      <c r="I196" s="246" t="n"/>
      <c r="J196" s="183" t="n"/>
      <c r="K196" s="247" t="n"/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41" t="n"/>
      <c r="I197" s="240" t="n"/>
      <c r="J197" s="177" t="n"/>
      <c r="K197" s="241" t="n"/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47" t="n"/>
      <c r="I198" s="246" t="n"/>
      <c r="J198" s="183" t="n"/>
      <c r="K198" s="247" t="n"/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41" t="n"/>
      <c r="I199" s="240" t="n"/>
      <c r="J199" s="177" t="n"/>
      <c r="K199" s="241" t="n"/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47" t="n"/>
      <c r="I200" s="246" t="n"/>
      <c r="J200" s="183" t="n"/>
      <c r="K200" s="247" t="n"/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41" t="n"/>
      <c r="I201" s="240" t="n"/>
      <c r="J201" s="177" t="n"/>
      <c r="K201" s="241" t="n"/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47" t="n"/>
      <c r="I202" s="246" t="n"/>
      <c r="J202" s="183" t="n"/>
      <c r="K202" s="247" t="n"/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41" t="n"/>
      <c r="I203" s="240" t="n"/>
      <c r="J203" s="177" t="n"/>
      <c r="K203" s="241" t="n"/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47" t="n"/>
      <c r="I204" s="246" t="n"/>
      <c r="J204" s="183" t="n"/>
      <c r="K204" s="247" t="n"/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41" t="n"/>
      <c r="I205" s="240" t="n"/>
      <c r="J205" s="177" t="n"/>
      <c r="K205" s="241" t="n"/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47" t="n"/>
      <c r="I206" s="246" t="n"/>
      <c r="J206" s="183" t="n"/>
      <c r="K206" s="247" t="n"/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41" t="n"/>
      <c r="I207" s="240" t="n"/>
      <c r="J207" s="177" t="n"/>
      <c r="K207" s="241" t="n"/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47" t="n"/>
      <c r="I208" s="246" t="n"/>
      <c r="J208" s="183" t="n"/>
      <c r="K208" s="247" t="n"/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41" t="n"/>
      <c r="I209" s="240" t="n"/>
      <c r="J209" s="177" t="n"/>
      <c r="K209" s="241" t="n"/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47" t="n"/>
      <c r="I210" s="246" t="n"/>
      <c r="J210" s="183" t="n"/>
      <c r="K210" s="247" t="n"/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41" t="n"/>
      <c r="I211" s="240" t="n"/>
      <c r="J211" s="177" t="n"/>
      <c r="K211" s="241" t="n"/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47" t="n"/>
      <c r="I212" s="246" t="n"/>
      <c r="J212" s="183" t="n"/>
      <c r="K212" s="247" t="n"/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41" t="n"/>
      <c r="I213" s="240" t="n"/>
      <c r="J213" s="177" t="n"/>
      <c r="K213" s="241" t="n"/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47" t="n"/>
      <c r="I214" s="246" t="n"/>
      <c r="J214" s="183" t="n"/>
      <c r="K214" s="247" t="n"/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41" t="n"/>
      <c r="I215" s="240" t="n"/>
      <c r="J215" s="177" t="n"/>
      <c r="K215" s="241" t="n"/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47" t="n"/>
      <c r="I216" s="246" t="n"/>
      <c r="J216" s="183" t="n"/>
      <c r="K216" s="247" t="n"/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41" t="n"/>
      <c r="I217" s="240" t="n"/>
      <c r="J217" s="177" t="n"/>
      <c r="K217" s="241" t="n"/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47" t="n"/>
      <c r="I218" s="246" t="n"/>
      <c r="J218" s="183" t="n"/>
      <c r="K218" s="247" t="n"/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41" t="n"/>
      <c r="I219" s="240" t="n"/>
      <c r="J219" s="177" t="n"/>
      <c r="K219" s="241" t="n"/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47" t="n"/>
      <c r="I220" s="246" t="n"/>
      <c r="J220" s="183" t="n"/>
      <c r="K220" s="247" t="n"/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41" t="n"/>
      <c r="I221" s="240" t="n"/>
      <c r="J221" s="177" t="n"/>
      <c r="K221" s="241" t="n"/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47" t="n"/>
      <c r="I222" s="246" t="n"/>
      <c r="J222" s="183" t="n"/>
      <c r="K222" s="247" t="n"/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41" t="n"/>
      <c r="I223" s="240" t="n"/>
      <c r="J223" s="177" t="n"/>
      <c r="K223" s="241" t="n"/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47" t="n"/>
      <c r="I224" s="246" t="n"/>
      <c r="J224" s="183" t="n"/>
      <c r="K224" s="247" t="n"/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41" t="n"/>
      <c r="I225" s="240" t="n"/>
      <c r="J225" s="177" t="n"/>
      <c r="K225" s="241" t="n"/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47" t="n"/>
      <c r="I226" s="246" t="n"/>
      <c r="J226" s="183" t="n"/>
      <c r="K226" s="247" t="n"/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41" t="n"/>
      <c r="I227" s="240" t="n"/>
      <c r="J227" s="177" t="n"/>
      <c r="K227" s="241" t="n"/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47" t="n"/>
      <c r="I228" s="246" t="n"/>
      <c r="J228" s="183" t="n"/>
      <c r="K228" s="247" t="n"/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41" t="n"/>
      <c r="I229" s="240" t="n"/>
      <c r="J229" s="177" t="n"/>
      <c r="K229" s="241" t="n"/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47" t="n"/>
      <c r="I230" s="246" t="n"/>
      <c r="J230" s="183" t="n"/>
      <c r="K230" s="247" t="n"/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41" t="n"/>
      <c r="I231" s="240" t="n"/>
      <c r="J231" s="177" t="n"/>
      <c r="K231" s="241" t="n"/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47" t="n"/>
      <c r="I232" s="246" t="n"/>
      <c r="J232" s="183" t="n"/>
      <c r="K232" s="247" t="n"/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41" t="n"/>
      <c r="I233" s="240" t="n"/>
      <c r="J233" s="177" t="n"/>
      <c r="K233" s="241" t="n"/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47" t="n"/>
      <c r="I234" s="246" t="n"/>
      <c r="J234" s="183" t="n"/>
      <c r="K234" s="247" t="n"/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41" t="n"/>
      <c r="I235" s="240" t="n"/>
      <c r="J235" s="177" t="n"/>
      <c r="K235" s="241" t="n"/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47" t="n"/>
      <c r="I236" s="246" t="n"/>
      <c r="J236" s="183" t="n"/>
      <c r="K236" s="247" t="n"/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41" t="n"/>
      <c r="I237" s="240" t="n"/>
      <c r="J237" s="177" t="n"/>
      <c r="K237" s="241" t="n"/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47" t="n"/>
      <c r="I238" s="246" t="n"/>
      <c r="J238" s="183" t="n"/>
      <c r="K238" s="247" t="n"/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41" t="n"/>
      <c r="I239" s="240" t="n"/>
      <c r="J239" s="177" t="n"/>
      <c r="K239" s="241" t="n"/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47" t="n"/>
      <c r="I240" s="246" t="n"/>
      <c r="J240" s="183" t="n"/>
      <c r="K240" s="247" t="n"/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41" t="n"/>
      <c r="I241" s="240" t="n"/>
      <c r="J241" s="177" t="n"/>
      <c r="K241" s="241" t="n"/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47" t="n"/>
      <c r="I242" s="246" t="n"/>
      <c r="J242" s="183" t="n"/>
      <c r="K242" s="247" t="n"/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41" t="n"/>
      <c r="I243" s="240" t="n"/>
      <c r="J243" s="177" t="n"/>
      <c r="K243" s="241" t="n"/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47" t="n"/>
      <c r="I244" s="246" t="n"/>
      <c r="J244" s="183" t="n"/>
      <c r="K244" s="247" t="n"/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41" t="n"/>
      <c r="I245" s="240" t="n"/>
      <c r="J245" s="177" t="n"/>
      <c r="K245" s="241" t="n"/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47" t="n"/>
      <c r="I246" s="246" t="n"/>
      <c r="J246" s="183" t="n"/>
      <c r="K246" s="247" t="n"/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41" t="n"/>
      <c r="I247" s="240" t="n"/>
      <c r="J247" s="177" t="n"/>
      <c r="K247" s="241" t="n"/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47" t="n"/>
      <c r="I248" s="246" t="n"/>
      <c r="J248" s="183" t="n"/>
      <c r="K248" s="247" t="n"/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41" t="n"/>
      <c r="I249" s="240" t="n"/>
      <c r="J249" s="177" t="n"/>
      <c r="K249" s="241" t="n"/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47" t="n"/>
      <c r="I250" s="246" t="n"/>
      <c r="J250" s="183" t="n"/>
      <c r="K250" s="247" t="n"/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41" t="n"/>
      <c r="I251" s="240" t="n"/>
      <c r="J251" s="177" t="n"/>
      <c r="K251" s="241" t="n"/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47" t="n"/>
      <c r="I252" s="246" t="n"/>
      <c r="J252" s="183" t="n"/>
      <c r="K252" s="247" t="n"/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41" t="n"/>
      <c r="I253" s="240" t="n"/>
      <c r="J253" s="177" t="n"/>
      <c r="K253" s="241" t="n"/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47" t="n"/>
      <c r="I254" s="246" t="n"/>
      <c r="J254" s="183" t="n"/>
      <c r="K254" s="247" t="n"/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41" t="n"/>
      <c r="I255" s="240" t="n"/>
      <c r="J255" s="177" t="n"/>
      <c r="K255" s="241" t="n"/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47" t="n"/>
      <c r="I256" s="246" t="n"/>
      <c r="J256" s="183" t="n"/>
      <c r="K256" s="247" t="n"/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41" t="n"/>
      <c r="I257" s="240" t="n"/>
      <c r="J257" s="177" t="n"/>
      <c r="K257" s="241" t="n"/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47" t="n"/>
      <c r="I258" s="246" t="n"/>
      <c r="J258" s="183" t="n"/>
      <c r="K258" s="247" t="n"/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41" t="n"/>
      <c r="I259" s="240" t="n"/>
      <c r="J259" s="177" t="n"/>
      <c r="K259" s="241" t="n"/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47" t="n"/>
      <c r="I260" s="246" t="n"/>
      <c r="J260" s="183" t="n"/>
      <c r="K260" s="247" t="n"/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41" t="n"/>
      <c r="I261" s="240" t="n"/>
      <c r="J261" s="177" t="n"/>
      <c r="K261" s="241" t="n"/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47" t="n"/>
      <c r="I262" s="246" t="n"/>
      <c r="J262" s="183" t="n"/>
      <c r="K262" s="247" t="n"/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41" t="n"/>
      <c r="I263" s="240" t="n"/>
      <c r="J263" s="177" t="n"/>
      <c r="K263" s="241" t="n"/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47" t="n"/>
      <c r="I264" s="246" t="n"/>
      <c r="J264" s="183" t="n"/>
      <c r="K264" s="247" t="n"/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41" t="n"/>
      <c r="I265" s="240" t="n"/>
      <c r="J265" s="177" t="n"/>
      <c r="K265" s="241" t="n"/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47" t="n"/>
      <c r="I266" s="246" t="n"/>
      <c r="J266" s="183" t="n"/>
      <c r="K266" s="247" t="n"/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41" t="n"/>
      <c r="I267" s="240" t="n"/>
      <c r="J267" s="177" t="n"/>
      <c r="K267" s="241" t="n"/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47" t="n"/>
      <c r="I268" s="246" t="n"/>
      <c r="J268" s="183" t="n"/>
      <c r="K268" s="247" t="n"/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41" t="n"/>
      <c r="I269" s="240" t="n"/>
      <c r="J269" s="177" t="n"/>
      <c r="K269" s="241" t="n"/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47" t="n"/>
      <c r="I270" s="246" t="n"/>
      <c r="J270" s="183" t="n"/>
      <c r="K270" s="247" t="n"/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41" t="n"/>
      <c r="I271" s="240" t="n"/>
      <c r="J271" s="177" t="n"/>
      <c r="K271" s="241" t="n"/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47" t="n"/>
      <c r="I272" s="246" t="n"/>
      <c r="J272" s="183" t="n"/>
      <c r="K272" s="247" t="n"/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41" t="n"/>
      <c r="I273" s="240" t="n"/>
      <c r="J273" s="177" t="n"/>
      <c r="K273" s="241" t="n"/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47" t="n"/>
      <c r="I274" s="246" t="n"/>
      <c r="J274" s="183" t="n"/>
      <c r="K274" s="247" t="n"/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41" t="n"/>
      <c r="I275" s="240" t="n"/>
      <c r="J275" s="177" t="n"/>
      <c r="K275" s="241" t="n"/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47" t="n"/>
      <c r="I276" s="246" t="n"/>
      <c r="J276" s="183" t="n"/>
      <c r="K276" s="247" t="n"/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41" t="n"/>
      <c r="I277" s="240" t="n"/>
      <c r="J277" s="177" t="n"/>
      <c r="K277" s="241" t="n"/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47" t="n"/>
      <c r="I278" s="246" t="n"/>
      <c r="J278" s="183" t="n"/>
      <c r="K278" s="247" t="n"/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41" t="n"/>
      <c r="I279" s="240" t="n"/>
      <c r="J279" s="177" t="n"/>
      <c r="K279" s="241" t="n"/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47" t="n"/>
      <c r="I280" s="246" t="n"/>
      <c r="J280" s="183" t="n"/>
      <c r="K280" s="247" t="n"/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41" t="n"/>
      <c r="I281" s="240" t="n"/>
      <c r="J281" s="177" t="n"/>
      <c r="K281" s="241" t="n"/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47" t="n"/>
      <c r="I282" s="246" t="n"/>
      <c r="J282" s="183" t="n"/>
      <c r="K282" s="247" t="n"/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41" t="n"/>
      <c r="I283" s="240" t="n"/>
      <c r="J283" s="177" t="n"/>
      <c r="K283" s="241" t="n"/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47" t="n"/>
      <c r="I284" s="246" t="n"/>
      <c r="J284" s="183" t="n"/>
      <c r="K284" s="247" t="n"/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41" t="n"/>
      <c r="I285" s="240" t="n"/>
      <c r="J285" s="177" t="n"/>
      <c r="K285" s="241" t="n"/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47" t="n"/>
      <c r="I286" s="246" t="n"/>
      <c r="J286" s="183" t="n"/>
      <c r="K286" s="247" t="n"/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41" t="n"/>
      <c r="I287" s="240" t="n"/>
      <c r="J287" s="177" t="n"/>
      <c r="K287" s="241" t="n"/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47" t="n"/>
      <c r="I288" s="246" t="n"/>
      <c r="J288" s="183" t="n"/>
      <c r="K288" s="247" t="n"/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41" t="n"/>
      <c r="I289" s="240" t="n"/>
      <c r="J289" s="177" t="n"/>
      <c r="K289" s="241" t="n"/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47" t="n"/>
      <c r="I290" s="246" t="n"/>
      <c r="J290" s="183" t="n"/>
      <c r="K290" s="247" t="n"/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41" t="n"/>
      <c r="I291" s="240" t="n"/>
      <c r="J291" s="177" t="n"/>
      <c r="K291" s="241" t="n"/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47" t="n"/>
      <c r="I292" s="246" t="n"/>
      <c r="J292" s="183" t="n"/>
      <c r="K292" s="247" t="n"/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41" t="n"/>
      <c r="I293" s="240" t="n"/>
      <c r="J293" s="177" t="n"/>
      <c r="K293" s="241" t="n"/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47" t="n"/>
      <c r="I294" s="246" t="n"/>
      <c r="J294" s="183" t="n"/>
      <c r="K294" s="247" t="n"/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41" t="n"/>
      <c r="I295" s="240" t="n"/>
      <c r="J295" s="177" t="n"/>
      <c r="K295" s="241" t="n"/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47" t="n"/>
      <c r="I296" s="246" t="n"/>
      <c r="J296" s="183" t="n"/>
      <c r="K296" s="247" t="n"/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41" t="n"/>
      <c r="I297" s="240" t="n"/>
      <c r="J297" s="177" t="n"/>
      <c r="K297" s="241" t="n"/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47" t="n"/>
      <c r="I298" s="246" t="n"/>
      <c r="J298" s="183" t="n"/>
      <c r="K298" s="247" t="n"/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41" t="n"/>
      <c r="I299" s="240" t="n"/>
      <c r="J299" s="177" t="n"/>
      <c r="K299" s="241" t="n"/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47" t="n"/>
      <c r="I300" s="246" t="n"/>
      <c r="J300" s="183" t="n"/>
      <c r="K300" s="247" t="n"/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IF($B5="","",IF(SUMIFS('ИТОГО Торговля'!$C$5:$C$200,'ИТОГО Торговля'!$B$5:$B$200,$B5)+SUMIFS('ИТОГО Лэндинг'!$C$5:$C$200,'ИТОГО Лэндинг'!$B$5:$B$200,$B5)=0,"",SUMIFS('ИТОГО Торговля'!$C$5:$C$200,'ИТОГО Торговля'!$B$5:$B$200,$B5)+SUMIFS('ИТОГО Лэндинг'!$C$5:$C$200,'ИТОГО Лэндинг'!$B$5:$B$200,$B5)))</f>
        <v>3.5</v>
      </c>
      <c r="D5" s="177">
        <f>IF(C5="","",E5/C5)</f>
        <v>585.668571428572</v>
      </c>
      <c r="E5" s="241">
        <f>IF(C5="","",SUMIFS('ИТОГО Торговля'!$E$5:$E$200,'ИТОГО Торговля'!$B$5:$B$200,$B5)+SUMIFS('ИТОГО Лэндинг'!$E$5:$E$200,'ИТОГО Лэндинг'!$B$5:$B$200,$B5))</f>
        <v>2049.84</v>
      </c>
      <c r="F5" s="240">
        <f>IF($B5="","",IF(SUMIFS('ИТОГО Торговля'!$F$5:$F$200,'ИТОГО Торговля'!$B$5:$B$200,$B5)+SUMIFS('ИТОГО Лэндинг'!$F$5:$F$200,'ИТОГО Лэндинг'!$B$5:$B$200,$B5)=0,"",SUMIFS('ИТОГО Торговля'!$F$5:$F$200,'ИТОГО Торговля'!$B$5:$B$200,$B5)+SUMIFS('ИТОГО Лэндинг'!$F$5:$F$200,'ИТОГО Лэндинг'!$B$5:$B$200,$B5)))</f>
        <v>9.5</v>
      </c>
      <c r="G5" s="177">
        <f>IF(F5="","",H5/F5)</f>
        <v>598.515789473684</v>
      </c>
      <c r="H5" s="241">
        <f>IF(F5="","",SUMIFS('ИТОГО Торговля'!$H$5:$H$200,'ИТОГО Торговля'!$B$5:$B$200,$B5)+SUMIFS('ИТОГО Лэндинг'!$H$5:$H$200,'ИТОГО Лэндинг'!$B$5:$B$200,$B5))</f>
        <v>5685.9</v>
      </c>
      <c r="I5" s="240">
        <f>IF($B5="","",IF(AND(C5="",F5=""),"",ROUND(SUMIFS('ИТОГО Торговля'!$I$5:$I$200,'ИТОГО Торговля'!$B$5:$B$200,$B5)+SUMIFS('ИТОГО Лэндинг'!$I$5:$I$200,'ИТОГО Лэндинг'!$B$5:$B$200,$B5),8)))</f>
        <v>-6</v>
      </c>
      <c r="J5" s="241">
        <f>IF($B5="","",IF(AND(C5="",F5=""),"",ROUND(SUMIFS('ИТОГО Торговля'!$J$5:$J$200,'ИТОГО Торговля'!$B$5:$B$200,$B5)+SUMIFS('ИТОГО Лэндинг'!$J$5:$J$200,'ИТОГО Лэндинг'!$B$5:$B$200,$B5),8)))</f>
        <v>3636.06</v>
      </c>
      <c r="K5" s="240">
        <f>IF(MIN(N(C5),N(F5))&lt;=0,"",ROUND(MIN(N(C5),N(F5))*(N(G5)-N(D5)),8))</f>
        <v>44.96526316</v>
      </c>
      <c r="L5" s="177">
        <f>IF(MIN(N(C5),N(F5))&lt;=0,"",IF(N(D5)=0,"",ROUND((N(G5)/N(D5)-1)*100,2)))</f>
        <v>2.19</v>
      </c>
      <c r="M5" s="177">
        <f>IF(OR(ROUND(N(C5)-N(F5),8)=0,1-N(Ввод!$J$19)/100&lt;=0),"",IF(N(C5)&gt;N(F5),(N(E5)-N(H5))/((N(C5)-N(F5))*(1-N(Ввод!$J$19)/100)),(N(H5)-N(E5))/((N(F5)-N(C5))*(1+N(Ввод!$J$19)/100))))</f>
        <v>604.800399201597</v>
      </c>
    </row>
    <row r="6" ht="22" customHeight="1">
      <c r="B6" s="245" t="inlineStr">
        <is>
          <t>BTC/USDT</t>
        </is>
      </c>
      <c r="C6" s="246">
        <f>IF($B6="","",IF(SUMIFS('ИТОГО Торговля'!$C$5:$C$200,'ИТОГО Торговля'!$B$5:$B$200,$B6)+SUMIFS('ИТОГО Лэндинг'!$C$5:$C$200,'ИТОГО Лэндинг'!$B$5:$B$200,$B6)=0,"",SUMIFS('ИТОГО Торговля'!$C$5:$C$200,'ИТОГО Торговля'!$B$5:$B$200,$B6)+SUMIFS('ИТОГО Лэндинг'!$C$5:$C$200,'ИТОГО Лэндинг'!$B$5:$B$200,$B6)))</f>
        <v>0.25</v>
      </c>
      <c r="D6" s="183">
        <f>IF(C6="","",E6/C6)</f>
        <v>62164.08</v>
      </c>
      <c r="E6" s="247">
        <f>IF(C6="","",SUMIFS('ИТОГО Торговля'!$E$5:$E$200,'ИТОГО Торговля'!$B$5:$B$200,$B6)+SUMIFS('ИТОГО Лэндинг'!$E$5:$E$200,'ИТОГО Лэндинг'!$B$5:$B$200,$B6))</f>
        <v>15541.02</v>
      </c>
      <c r="F6" s="246">
        <f>IF($B6="","",IF(SUMIFS('ИТОГО Торговля'!$F$5:$F$200,'ИТОГО Торговля'!$B$5:$B$200,$B6)+SUMIFS('ИТОГО Лэндинг'!$F$5:$F$200,'ИТОГО Лэндинг'!$B$5:$B$200,$B6)=0,"",SUMIFS('ИТОГО Торговля'!$F$5:$F$200,'ИТОГО Торговля'!$B$5:$B$200,$B6)+SUMIFS('ИТОГО Лэндинг'!$F$5:$F$200,'ИТОГО Лэндинг'!$B$5:$B$200,$B6)))</f>
        <v>0.05</v>
      </c>
      <c r="G6" s="183">
        <f>IF(F6="","",H6/F6)</f>
        <v>62874</v>
      </c>
      <c r="H6" s="247">
        <f>IF(F6="","",SUMIFS('ИТОГО Торговля'!$H$5:$H$200,'ИТОГО Торговля'!$B$5:$B$200,$B6)+SUMIFS('ИТОГО Лэндинг'!$H$5:$H$200,'ИТОГО Лэндинг'!$B$5:$B$200,$B6))</f>
        <v>3143.7</v>
      </c>
      <c r="I6" s="246">
        <f>IF($B6="","",IF(AND(C6="",F6=""),"",ROUND(SUMIFS('ИТОГО Торговля'!$I$5:$I$200,'ИТОГО Торговля'!$B$5:$B$200,$B6)+SUMIFS('ИТОГО Лэндинг'!$I$5:$I$200,'ИТОГО Лэндинг'!$B$5:$B$200,$B6),8)))</f>
        <v>0.2</v>
      </c>
      <c r="J6" s="247">
        <f>IF($B6="","",IF(AND(C6="",F6=""),"",ROUND(SUMIFS('ИТОГО Торговля'!$J$5:$J$200,'ИТОГО Торговля'!$B$5:$B$200,$B6)+SUMIFS('ИТОГО Лэндинг'!$J$5:$J$200,'ИТОГО Лэндинг'!$B$5:$B$200,$B6),8)))</f>
        <v>-12397.32</v>
      </c>
      <c r="K6" s="246">
        <f>IF(MIN(N(C6),N(F6))&lt;=0,"",ROUND(MIN(N(C6),N(F6))*(N(G6)-N(D6)),8))</f>
        <v>35.496</v>
      </c>
      <c r="L6" s="183">
        <f>IF(MIN(N(C6),N(F6))&lt;=0,"",IF(N(D6)=0,"",ROUND((N(G6)/N(D6)-1)*100,2)))</f>
        <v>1.14</v>
      </c>
      <c r="M6" s="183">
        <f>IF(OR(ROUND(N(C6)-N(F6),8)=0,1-N(Ввод!$J$19)/100&lt;=0),"",IF(N(C6)&gt;N(F6),(N(E6)-N(H6))/((N(C6)-N(F6))*(1-N(Ввод!$J$19)/100)),(N(H6)-N(E6))/((N(F6)-N(C6))*(1+N(Ввод!$J$19)/100))))</f>
        <v>62110.8216432866</v>
      </c>
    </row>
    <row r="7" ht="22" customHeight="1">
      <c r="B7" s="239" t="inlineStr">
        <is>
          <t>ETH/BTC</t>
        </is>
      </c>
      <c r="C7" s="240" t="str">
        <f>IF($B7="","",IF(SUMIFS('ИТОГО Торговля'!$C$5:$C$200,'ИТОГО Торговля'!$B$5:$B$200,$B7)+SUMIFS('ИТОГО Лэндинг'!$C$5:$C$200,'ИТОГО Лэндинг'!$B$5:$B$200,$B7)=0,"",SUMIFS('ИТОГО Торговля'!$C$5:$C$200,'ИТОГО Торговля'!$B$5:$B$200,$B7)+SUMIFS('ИТОГО Лэндинг'!$C$5:$C$200,'ИТОГО Лэндинг'!$B$5:$B$200,$B7)))</f>
        <v/>
      </c>
      <c r="D7" s="177" t="str">
        <f>IF(C7="","",E7/C7)</f>
        <v/>
      </c>
      <c r="E7" s="241" t="str">
        <f>IF(C7="","",SUMIFS('ИТОГО Торговля'!$E$5:$E$200,'ИТОГО Торговля'!$B$5:$B$200,$B7)+SUMIFS('ИТОГО Лэндинг'!$E$5:$E$200,'ИТОГО Лэндинг'!$B$5:$B$200,$B7))</f>
        <v/>
      </c>
      <c r="F7" s="240">
        <f>IF($B7="","",IF(SUMIFS('ИТОГО Торговля'!$F$5:$F$200,'ИТОГО Торговля'!$B$5:$B$200,$B7)+SUMIFS('ИТОГО Лэндинг'!$F$5:$F$200,'ИТОГО Лэндинг'!$B$5:$B$200,$B7)=0,"",SUMIFS('ИТОГО Торговля'!$F$5:$F$200,'ИТОГО Торговля'!$B$5:$B$200,$B7)+SUMIFS('ИТОГО Лэндинг'!$F$5:$F$200,'ИТОГО Лэндинг'!$B$5:$B$200,$B7)))</f>
        <v>3</v>
      </c>
      <c r="G7" s="177">
        <f>IF(F7="","",H7/F7)</f>
        <v>0.052395</v>
      </c>
      <c r="H7" s="241">
        <f>IF(F7="","",SUMIFS('ИТОГО Торговля'!$H$5:$H$200,'ИТОГО Торговля'!$B$5:$B$200,$B7)+SUMIFS('ИТОГО Лэндинг'!$H$5:$H$200,'ИТОГО Лэндинг'!$B$5:$B$200,$B7))</f>
        <v>0.157185</v>
      </c>
      <c r="I7" s="240">
        <f>IF($B7="","",IF(AND(C7="",F7=""),"",ROUND(SUMIFS('ИТОГО Торговля'!$I$5:$I$200,'ИТОГО Торговля'!$B$5:$B$200,$B7)+SUMIFS('ИТОГО Лэндинг'!$I$5:$I$200,'ИТОГО Лэндинг'!$B$5:$B$200,$B7),8)))</f>
        <v>-3</v>
      </c>
      <c r="J7" s="241">
        <f>IF($B7="","",IF(AND(C7="",F7=""),"",ROUND(SUMIFS('ИТОГО Торговля'!$J$5:$J$200,'ИТОГО Торговля'!$B$5:$B$200,$B7)+SUMIFS('ИТОГО Лэндинг'!$J$5:$J$200,'ИТОГО Лэндинг'!$B$5:$B$200,$B7),8)))</f>
        <v>0.157185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IF($B8="","",IF(SUMIFS('ИТОГО Торговля'!$C$5:$C$200,'ИТОГО Торговля'!$B$5:$B$200,$B8)+SUMIFS('ИТОГО Лэндинг'!$C$5:$C$200,'ИТОГО Лэндинг'!$B$5:$B$200,$B8)=0,"",SUMIFS('ИТОГО Торговля'!$C$5:$C$200,'ИТОГО Торговля'!$B$5:$B$200,$B8)+SUMIFS('ИТОГО Лэндинг'!$C$5:$C$200,'ИТОГО Лэндинг'!$B$5:$B$200,$B8)))</f>
        <v>7.5</v>
      </c>
      <c r="D8" s="183">
        <f>IF(C8="","",E8/C8)</f>
        <v>3210.9152</v>
      </c>
      <c r="E8" s="247">
        <f>IF(C8="","",SUMIFS('ИТОГО Торговля'!$E$5:$E$200,'ИТОГО Торговля'!$B$5:$B$200,$B8)+SUMIFS('ИТОГО Лэндинг'!$E$5:$E$200,'ИТОГО Лэндинг'!$B$5:$B$200,$B8))</f>
        <v>24081.864</v>
      </c>
      <c r="F8" s="246">
        <f>IF($B8="","",IF(SUMIFS('ИТОГО Торговля'!$F$5:$F$200,'ИТОГО Торговля'!$B$5:$B$200,$B8)+SUMIFS('ИТОГО Лэндинг'!$F$5:$F$200,'ИТОГО Лэндинг'!$B$5:$B$200,$B8)=0,"",SUMIFS('ИТОГО Торговля'!$F$5:$F$200,'ИТОГО Торговля'!$B$5:$B$200,$B8)+SUMIFS('ИТОГО Лэндинг'!$F$5:$F$200,'ИТОГО Лэндинг'!$B$5:$B$200,$B8)))</f>
        <v>4.5</v>
      </c>
      <c r="G8" s="183">
        <f>IF(F8="","",H8/F8)</f>
        <v>3376.2</v>
      </c>
      <c r="H8" s="247">
        <f>IF(F8="","",SUMIFS('ИТОГО Торговля'!$H$5:$H$200,'ИТОГО Торговля'!$B$5:$B$200,$B8)+SUMIFS('ИТОГО Лэндинг'!$H$5:$H$200,'ИТОГО Лэндинг'!$B$5:$B$200,$B8))</f>
        <v>15192.9</v>
      </c>
      <c r="I8" s="246">
        <f>IF($B8="","",IF(AND(C8="",F8=""),"",ROUND(SUMIFS('ИТОГО Торговля'!$I$5:$I$200,'ИТОГО Торговля'!$B$5:$B$200,$B8)+SUMIFS('ИТОГО Лэндинг'!$I$5:$I$200,'ИТОГО Лэндинг'!$B$5:$B$200,$B8),8)))</f>
        <v>3</v>
      </c>
      <c r="J8" s="247">
        <f>IF($B8="","",IF(AND(C8="",F8=""),"",ROUND(SUMIFS('ИТОГО Торговля'!$J$5:$J$200,'ИТОГО Торговля'!$B$5:$B$200,$B8)+SUMIFS('ИТОГО Лэндинг'!$J$5:$J$200,'ИТОГО Лэндинг'!$B$5:$B$200,$B8),8)))</f>
        <v>-8888.964</v>
      </c>
      <c r="K8" s="246">
        <f>IF(MIN(N(C8),N(F8))&lt;=0,"",ROUND(MIN(N(C8),N(F8))*(N(G8)-N(D8)),8))</f>
        <v>743.7816</v>
      </c>
      <c r="L8" s="183">
        <f>IF(MIN(N(C8),N(F8))&lt;=0,"",IF(N(D8)=0,"",ROUND((N(G8)/N(D8)-1)*100,2)))</f>
        <v>5.15</v>
      </c>
      <c r="M8" s="183">
        <f>IF(OR(ROUND(N(C8)-N(F8),8)=0,1-N(Ввод!$J$19)/100&lt;=0),"",IF(N(C8)&gt;N(F8),(N(E8)-N(H8))/((N(C8)-N(F8))*(1-N(Ввод!$J$19)/100)),(N(H8)-N(E8))/((N(F8)-N(C8))*(1+N(Ввод!$J$19)/100))))</f>
        <v>2968.92585170341</v>
      </c>
    </row>
    <row r="9" ht="22" customHeight="1">
      <c r="B9" s="239" t="inlineStr">
        <is>
          <t>SOL/USDT</t>
        </is>
      </c>
      <c r="C9" s="240">
        <f>IF($B9="","",IF(SUMIFS('ИТОГО Торговля'!$C$5:$C$200,'ИТОГО Торговля'!$B$5:$B$200,$B9)+SUMIFS('ИТОГО Лэндинг'!$C$5:$C$200,'ИТОГО Лэндинг'!$B$5:$B$200,$B9)=0,"",SUMIFS('ИТОГО Торговля'!$C$5:$C$200,'ИТОГО Торговля'!$B$5:$B$200,$B9)+SUMIFS('ИТОГО Лэндинг'!$C$5:$C$200,'ИТОГО Лэндинг'!$B$5:$B$200,$B9)))</f>
        <v>80</v>
      </c>
      <c r="D9" s="177">
        <f>IF(C9="","",E9/C9)</f>
        <v>145.88</v>
      </c>
      <c r="E9" s="241">
        <f>IF(C9="","",SUMIFS('ИТОГО Торговля'!$E$5:$E$200,'ИТОГО Торговля'!$B$5:$B$200,$B9)+SUMIFS('ИТОГО Лэндинг'!$E$5:$E$200,'ИТОГО Лэндинг'!$B$5:$B$200,$B9))</f>
        <v>11670.4</v>
      </c>
      <c r="F9" s="240">
        <f>IF($B9="","",IF(SUMIFS('ИТОГО Торговля'!$F$5:$F$200,'ИТОГО Торговля'!$B$5:$B$200,$B9)+SUMIFS('ИТОГО Лэндинг'!$F$5:$F$200,'ИТОГО Лэндинг'!$B$5:$B$200,$B9)=0,"",SUMIFS('ИТОГО Торговля'!$F$5:$F$200,'ИТОГО Торговля'!$B$5:$B$200,$B9)+SUMIFS('ИТОГО Лэндинг'!$F$5:$F$200,'ИТОГО Лэндинг'!$B$5:$B$200,$B9)))</f>
        <v>110</v>
      </c>
      <c r="G9" s="177">
        <f>IF(F9="","",H9/F9)</f>
        <v>150.498545454545</v>
      </c>
      <c r="H9" s="241">
        <f>IF(F9="","",SUMIFS('ИТОГО Торговля'!$H$5:$H$200,'ИТОГО Торговля'!$B$5:$B$200,$B9)+SUMIFS('ИТОГО Лэндинг'!$H$5:$H$200,'ИТОГО Лэндинг'!$B$5:$B$200,$B9))</f>
        <v>16554.84</v>
      </c>
      <c r="I9" s="240">
        <f>IF($B9="","",IF(AND(C9="",F9=""),"",ROUND(SUMIFS('ИТОГО Торговля'!$I$5:$I$200,'ИТОГО Торговля'!$B$5:$B$200,$B9)+SUMIFS('ИТОГО Лэндинг'!$I$5:$I$200,'ИТОГО Лэндинг'!$B$5:$B$200,$B9),8)))</f>
        <v>-30</v>
      </c>
      <c r="J9" s="241">
        <f>IF($B9="","",IF(AND(C9="",F9=""),"",ROUND(SUMIFS('ИТОГО Торговля'!$J$5:$J$200,'ИТОГО Торговля'!$B$5:$B$200,$B9)+SUMIFS('ИТОГО Лэндинг'!$J$5:$J$200,'ИТОГО Лэндинг'!$B$5:$B$200,$B9),8)))</f>
        <v>4884.44</v>
      </c>
      <c r="K9" s="240">
        <f>IF(MIN(N(C9),N(F9))&lt;=0,"",ROUND(MIN(N(C9),N(F9))*(N(G9)-N(D9)),8))</f>
        <v>369.48363636</v>
      </c>
      <c r="L9" s="177">
        <f>IF(MIN(N(C9),N(F9))&lt;=0,"",IF(N(D9)=0,"",ROUND((N(G9)/N(D9)-1)*100,2)))</f>
        <v>3.17</v>
      </c>
      <c r="M9" s="177">
        <f>IF(OR(ROUND(N(C9)-N(F9),8)=0,1-N(Ввод!$J$19)/100&lt;=0),"",IF(N(C9)&gt;N(F9),(N(E9)-N(H9))/((N(C9)-N(F9))*(1-N(Ввод!$J$19)/100)),(N(H9)-N(E9))/((N(F9)-N(C9))*(1+N(Ввод!$J$19)/100))))</f>
        <v>162.489687292082</v>
      </c>
    </row>
    <row r="10" ht="22" customHeight="1">
      <c r="B10" s="245"/>
      <c r="C10" s="246" t="str">
        <f>IF($B10="","",IF(SUMIFS('ИТОГО Торговля'!$C$5:$C$200,'ИТОГО Торговля'!$B$5:$B$200,$B10)+SUMIFS('ИТОГО Лэндинг'!$C$5:$C$200,'ИТОГО Лэндинг'!$B$5:$B$200,$B10)=0,"",SUMIFS('ИТОГО Торговля'!$C$5:$C$200,'ИТОГО Торговля'!$B$5:$B$200,$B10)+SUMIFS('ИТОГО Лэндинг'!$C$5:$C$200,'ИТОГО Лэндинг'!$B$5:$B$200,$B10)))</f>
        <v/>
      </c>
      <c r="D10" s="183" t="str">
        <f>IF(C10="","",E10/C10)</f>
        <v/>
      </c>
      <c r="E10" s="247" t="str">
        <f>IF(C10="","",SUMIFS('ИТОГО Торговля'!$E$5:$E$200,'ИТОГО Торговля'!$B$5:$B$200,$B10)+SUMIFS('ИТОГО Лэндинг'!$E$5:$E$200,'ИТОГО Лэндинг'!$B$5:$B$200,$B10))</f>
        <v/>
      </c>
      <c r="F10" s="246" t="str">
        <f>IF($B10="","",IF(SUMIFS('ИТОГО Торговля'!$F$5:$F$200,'ИТОГО Торговля'!$B$5:$B$200,$B10)+SUMIFS('ИТОГО Лэндинг'!$F$5:$F$200,'ИТОГО Лэндинг'!$B$5:$B$200,$B10)=0,"",SUMIFS('ИТОГО Торговля'!$F$5:$F$200,'ИТОГО Торговля'!$B$5:$B$200,$B10)+SUMIFS('ИТОГО Лэндинг'!$F$5:$F$200,'ИТОГО Лэндинг'!$B$5:$B$200,$B10)))</f>
        <v/>
      </c>
      <c r="G10" s="183" t="str">
        <f>IF(F10="","",H10/F10)</f>
        <v/>
      </c>
      <c r="H10" s="247" t="str">
        <f>IF(F10="","",SUMIFS('ИТОГО Торговля'!$H$5:$H$200,'ИТОГО Торговля'!$B$5:$B$200,$B10)+SUMIFS('ИТОГО Лэндинг'!$H$5:$H$200,'ИТОГО Лэндинг'!$B$5:$B$200,$B10))</f>
        <v/>
      </c>
      <c r="I10" s="246" t="str">
        <f>IF($B10="","",IF(AND(C10="",F10=""),"",ROUND(SUMIFS('ИТОГО Торговля'!$I$5:$I$200,'ИТОГО Торговля'!$B$5:$B$200,$B10)+SUMIFS('ИТОГО Лэндинг'!$I$5:$I$200,'ИТОГО Лэндинг'!$B$5:$B$200,$B10),8)))</f>
        <v/>
      </c>
      <c r="J10" s="247" t="str">
        <f>IF($B10="","",IF(AND(C10="",F10=""),"",ROUND(SUMIFS('ИТОГО Торговля'!$J$5:$J$200,'ИТОГО Торговля'!$B$5:$B$200,$B10)+SUMIFS('ИТОГО Лэндинг'!$J$5:$J$200,'ИТОГО Лэндинг'!$B$5:$B$200,$B10),8)))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/>
      <c r="C11" s="240" t="str">
        <f>IF($B11="","",IF(SUMIFS('ИТОГО Торговля'!$C$5:$C$200,'ИТОГО Торговля'!$B$5:$B$200,$B11)+SUMIFS('ИТОГО Лэндинг'!$C$5:$C$200,'ИТОГО Лэндинг'!$B$5:$B$200,$B11)=0,"",SUMIFS('ИТОГО Торговля'!$C$5:$C$200,'ИТОГО Торговля'!$B$5:$B$200,$B11)+SUMIFS('ИТОГО Лэндинг'!$C$5:$C$200,'ИТОГО Лэндинг'!$B$5:$B$200,$B11)))</f>
        <v/>
      </c>
      <c r="D11" s="177" t="str">
        <f>IF(C11="","",E11/C11)</f>
        <v/>
      </c>
      <c r="E11" s="241" t="str">
        <f>IF(C11="","",SUMIFS('ИТОГО Торговля'!$E$5:$E$200,'ИТОГО Торговля'!$B$5:$B$200,$B11)+SUMIFS('ИТОГО Лэндинг'!$E$5:$E$200,'ИТОГО Лэндинг'!$B$5:$B$200,$B11))</f>
        <v/>
      </c>
      <c r="F11" s="240" t="str">
        <f>IF($B11="","",IF(SUMIFS('ИТОГО Торговля'!$F$5:$F$200,'ИТОГО Торговля'!$B$5:$B$200,$B11)+SUMIFS('ИТОГО Лэндинг'!$F$5:$F$200,'ИТОГО Лэндинг'!$B$5:$B$200,$B11)=0,"",SUMIFS('ИТОГО Торговля'!$F$5:$F$200,'ИТОГО Торговля'!$B$5:$B$200,$B11)+SUMIFS('ИТОГО Лэндинг'!$F$5:$F$200,'ИТОГО Лэндинг'!$B$5:$B$200,$B11)))</f>
        <v/>
      </c>
      <c r="G11" s="177" t="str">
        <f>IF(F11="","",H11/F11)</f>
        <v/>
      </c>
      <c r="H11" s="241" t="str">
        <f>IF(F11="","",SUMIFS('ИТОГО Торговля'!$H$5:$H$200,'ИТОГО Торговля'!$B$5:$B$200,$B11)+SUMIFS('ИТОГО Лэндинг'!$H$5:$H$200,'ИТОГО Лэндинг'!$B$5:$B$200,$B11))</f>
        <v/>
      </c>
      <c r="I11" s="240" t="str">
        <f>IF($B11="","",IF(AND(C11="",F11=""),"",ROUND(SUMIFS('ИТОГО Торговля'!$I$5:$I$200,'ИТОГО Торговля'!$B$5:$B$200,$B11)+SUMIFS('ИТОГО Лэндинг'!$I$5:$I$200,'ИТОГО Лэндинг'!$B$5:$B$200,$B11),8)))</f>
        <v/>
      </c>
      <c r="J11" s="241" t="str">
        <f>IF($B11="","",IF(AND(C11="",F11=""),"",ROUND(SUMIFS('ИТОГО Торговля'!$J$5:$J$200,'ИТОГО Торговля'!$B$5:$B$200,$B11)+SUMIFS('ИТОГО Лэндинг'!$J$5:$J$200,'ИТОГО Лэндинг'!$B$5:$B$200,$B11),8)))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/>
      <c r="C12" s="246" t="str">
        <f>IF($B12="","",IF(SUMIFS('ИТОГО Торговля'!$C$5:$C$200,'ИТОГО Торговля'!$B$5:$B$200,$B12)+SUMIFS('ИТОГО Лэндинг'!$C$5:$C$200,'ИТОГО Лэндинг'!$B$5:$B$200,$B12)=0,"",SUMIFS('ИТОГО Торговля'!$C$5:$C$200,'ИТОГО Торговля'!$B$5:$B$200,$B12)+SUMIFS('ИТОГО Лэндинг'!$C$5:$C$200,'ИТОГО Лэндинг'!$B$5:$B$200,$B12)))</f>
        <v/>
      </c>
      <c r="D12" s="183" t="str">
        <f>IF(C12="","",E12/C12)</f>
        <v/>
      </c>
      <c r="E12" s="247" t="str">
        <f>IF(C12="","",SUMIFS('ИТОГО Торговля'!$E$5:$E$200,'ИТОГО Торговля'!$B$5:$B$200,$B12)+SUMIFS('ИТОГО Лэндинг'!$E$5:$E$200,'ИТОГО Лэндинг'!$B$5:$B$200,$B12))</f>
        <v/>
      </c>
      <c r="F12" s="246" t="str">
        <f>IF($B12="","",IF(SUMIFS('ИТОГО Торговля'!$F$5:$F$200,'ИТОГО Торговля'!$B$5:$B$200,$B12)+SUMIFS('ИТОГО Лэндинг'!$F$5:$F$200,'ИТОГО Лэндинг'!$B$5:$B$200,$B12)=0,"",SUMIFS('ИТОГО Торговля'!$F$5:$F$200,'ИТОГО Торговля'!$B$5:$B$200,$B12)+SUMIFS('ИТОГО Лэндинг'!$F$5:$F$200,'ИТОГО Лэндинг'!$B$5:$B$200,$B12)))</f>
        <v/>
      </c>
      <c r="G12" s="183" t="str">
        <f>IF(F12="","",H12/F12)</f>
        <v/>
      </c>
      <c r="H12" s="247" t="str">
        <f>IF(F12="","",SUMIFS('ИТОГО Торговля'!$H$5:$H$200,'ИТОГО Торговля'!$B$5:$B$200,$B12)+SUMIFS('ИТОГО Лэндинг'!$H$5:$H$200,'ИТОГО Лэндинг'!$B$5:$B$200,$B12))</f>
        <v/>
      </c>
      <c r="I12" s="246" t="str">
        <f>IF($B12="","",IF(AND(C12="",F12=""),"",ROUND(SUMIFS('ИТОГО Торговля'!$I$5:$I$200,'ИТОГО Торговля'!$B$5:$B$200,$B12)+SUMIFS('ИТОГО Лэндинг'!$I$5:$I$200,'ИТОГО Лэндинг'!$B$5:$B$200,$B12),8)))</f>
        <v/>
      </c>
      <c r="J12" s="247" t="str">
        <f>IF($B12="","",IF(AND(C12="",F12=""),"",ROUND(SUMIFS('ИТОГО Торговля'!$J$5:$J$200,'ИТОГО Торговля'!$B$5:$B$200,$B12)+SUMIFS('ИТОГО Лэндинг'!$J$5:$J$200,'ИТОГО Лэндинг'!$B$5:$B$200,$B12),8)))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