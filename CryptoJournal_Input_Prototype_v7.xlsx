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'Пул'!$B$4:$L$300</definedName>
    <definedName name="_xlnm.Print_Area" localSheetId="5">'Пул'!$A$1:$L$13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/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 t="str">
        <f>IF(AND(ISNUMBER(J7),ISNUMBER(J9),J7&lt;&gt;0),IF(J6="Buy",J9/(J7*(1+N(J19)/100)),IF(AND(J6="Sell",1-N(J19)/100&lt;&gt;0),J9/(J7*(1-N(J19)/100)),"")),"")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/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позиции</t>
        </is>
      </c>
      <c r="H10" s="194" t="inlineStr">
        <is>
          <t>T-0001</t>
        </is>
      </c>
      <c r="I10" s="9" t="inlineStr">
        <is>
          <t>ID позиции</t>
        </is>
      </c>
      <c r="J10" s="194" t="n"/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Кол-во закрыть</t>
        </is>
      </c>
      <c r="H11" s="225" t="n">
        <v>0.1</v>
      </c>
      <c r="I11" s="9" t="inlineStr">
        <is>
          <t>Кол-во закрыть</t>
        </is>
      </c>
      <c r="J11" s="225" t="n"/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/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n"/>
      <c r="I15" s="14" t="inlineStr">
        <is>
          <t>Кол-во 2</t>
        </is>
      </c>
      <c r="J15" s="193" t="n"/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conditionalFormatting sqref="G5:H11">
    <cfRule type="expression" priority="1" dxfId="4">
      <formula>COUNTA($J$7,$J$9,$J$10,$J$11,$H$15,$J$14,$J$15)&gt;0</formula>
    </cfRule>
  </conditionalFormatting>
  <conditionalFormatting sqref="I5:J11">
    <cfRule type="expression" priority="2" dxfId="4">
      <formula>COUNTA($H$7,$H$8,$H$10,$H$11,$H$15,$J$14,$J$15)&gt;0</formula>
    </cfRule>
  </conditionalFormatting>
  <conditionalFormatting sqref="G13:J15">
    <cfRule type="expression" priority="3" dxfId="4">
      <formula>COUNTA($H$7,$H$8,$H$10,$H$11,$J$7,$J$9,$J$10,$J$11)&gt;0</formula>
    </cfRule>
  </conditionalFormatting>
  <dataValidations count="19">
    <dataValidation sqref="H14" showDropDown="0" showInputMessage="0" showErrorMessage="0" allowBlank="1" type="list">
      <formula1>"Добавить,Вывести,Закрыть"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7">
      <formula1>AND(AND(ISNUMBER(H7),H7&gt;0),COUNTA($J$7,$J$9,$J$10,$J$11,$H$15,$J$14,$J$15)=0)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8">
      <formula1>AND(AND(ISNUMBER(H8),H8&gt;0),COUNTA($J$7,$J$9,$J$10,$J$11,$H$15,$J$14,$J$15)=0)</formula1>
    </dataValidation>
    <dataValidation type="custom" allowBlank="1" showErrorMessage="1" errorTitle="Один раздел" error="Введите ID в формате T-0001. Заполнять можно только один раздел: другой раздел уже заполнен, сначала очистите его." sqref="H10">
      <formula1>AND(IFERROR(AND(EXACT(LEFT(H10,2),"T-"),ISNUMBER(--MID(H10,3,20)),MID(H10,3,20)=TEXT(--MID(H10,3,20),"0000")),FALSE),COUNTA($J$7,$J$9,$J$10,$J$11,$H$15,$J$14,$J$15)=0)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11">
      <formula1>AND(AND(ISNUMBER(H11),H11&gt;0),COUNTA($J$7,$J$9,$J$10,$J$11,$H$15,$J$14,$J$15)=0)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7">
      <formula1>AND(AND(ISNUMBER(J7),J7&gt;0),COUNTA($H$7,$H$8,$H$10,$H$11,$H$15,$J$14,$J$15)=0)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9">
      <formula1>AND(AND(ISNUMBER(J9),J9&gt;0),COUNTA($H$7,$H$8,$H$10,$H$11,$H$15,$J$14,$J$15)=0)</formula1>
    </dataValidation>
    <dataValidation type="custom" allowBlank="1" showErrorMessage="1" errorTitle="Один раздел" error="Введите ID в формате L-0001. Заполнять можно только один раздел: другой раздел уже заполнен, сначала очистите его." sqref="J10">
      <formula1>AND(IFERROR(AND(EXACT(LEFT(J10,2),"L-"),ISNUMBER(--MID(J10,3,20)),MID(J10,3,20)=TEXT(--MID(J10,3,20),"0000")),FALSE),COUNTA($H$7,$H$8,$H$10,$H$11,$H$15,$J$14,$J$15)=0)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1">
      <formula1>AND(AND(ISNUMBER(J11),J11&gt;0),COUNTA($H$7,$H$8,$H$10,$H$11,$H$15,$J$14,$J$15)=0)</formula1>
    </dataValidation>
    <dataValidation type="custom" allowBlank="1" showErrorMessage="1" errorTitle="Один раздел" error="Введите ID в формате P-0001. Заполнять можно только один раздел: другой раздел уже заполнен, сначала очистите его." sqref="H15">
      <formula1>AND(IFERROR(AND(EXACT(LEFT(H15,2),"P-"),ISNUMBER(--MID(H15,3,20)),MID(H15,3,20)=TEXT(--MID(H15,3,20),"0000")),FALSE),COUNTA($H$7,$H$8,$H$10,$H$11,$J$7,$J$9,$J$10,$J$11)=0)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4">
      <formula1>AND(AND(ISNUMBER(J14),J14&gt;0),COUNTA($H$7,$H$8,$H$10,$H$11,$J$7,$J$9,$J$10,$J$11)=0)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5">
      <formula1>AND(AND(ISNUMBER(J15),J15&gt;0),COUNTA($H$7,$H$8,$H$10,$H$11,$J$7,$J$9,$J$10,$J$11)=0)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586.17</v>
      </c>
      <c r="E5" s="241">
        <f>IF(C5="","",SUMIFS(Торговля!$H$5:$H$300,Торговля!$E$5:$E$300,$B5)+SUMIFS(Закрытые!$H$5:$H$300,Закрытые!$E$5:$E$300,$B5,Закрытые!$B$5:$B$300,"T-*"))</f>
        <v>1172.34</v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>5</v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>598.8</v>
      </c>
      <c r="H5" s="241">
        <f>IF(F5="","",SUMIFS(Торговля!$K$5:$K$300,Торговля!$E$5:$E$300,$B5)+SUMIFS(Закрытые!$K$5:$K$300,Закрытые!$E$5:$E$300,$B5,Закрытые!$B$5:$B$300,"T-*"))</f>
        <v>2994</v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-3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0.15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62190.8</v>
      </c>
      <c r="E6" s="247">
        <f>IF(C6="","",SUMIFS(Торговля!$H$5:$H$300,Торговля!$E$5:$E$300,$B6)+SUMIFS(Закрытые!$H$5:$H$300,Закрытые!$E$5:$E$300,$B6,Закрытые!$B$5:$B$300,"T-*"))</f>
        <v>9328.62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0.05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62874</v>
      </c>
      <c r="H6" s="247">
        <f>IF(F6="","",SUMIFS(Торговля!$K$5:$K$300,Торговля!$E$5:$E$300,$B6)+SUMIFS(Закрытые!$K$5:$K$300,Закрытые!$E$5:$E$300,$B6,Закрытые!$B$5:$B$300,"T-*"))</f>
        <v>3143.7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0.1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 t="str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 t="str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1.5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0.052395</v>
      </c>
      <c r="H7" s="241">
        <f>IF(F7="","",SUMIFS(Торговля!$K$5:$K$300,Торговля!$E$5:$E$300,$B7)+SUMIFS(Закрытые!$K$5:$K$300,Закрытые!$E$5:$E$300,$B7,Закрытые!$B$5:$B$300,"T-*"))</f>
        <v>0.0785925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-1.5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4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3210.408</v>
      </c>
      <c r="E8" s="247">
        <f>IF(C8="","",SUMIFS(Торговля!$H$5:$H$300,Торговля!$E$5:$E$300,$B8)+SUMIFS(Закрытые!$H$5:$H$300,Закрытые!$E$5:$E$300,$B8,Закрытые!$B$5:$B$300,"T-*"))</f>
        <v>12841.632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2.5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3373.24</v>
      </c>
      <c r="H8" s="247">
        <f>IF(F8="","",SUMIFS(Торговля!$K$5:$K$300,Торговля!$E$5:$E$300,$B8)+SUMIFS(Закрытые!$K$5:$K$300,Закрытые!$E$5:$E$300,$B8,Закрытые!$B$5:$B$300,"T-*"))</f>
        <v>8433.1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1.5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45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145.846666666667</v>
      </c>
      <c r="E9" s="241">
        <f>IF(C9="","",SUMIFS(Торговля!$H$5:$H$300,Торговля!$E$5:$E$300,$B9)+SUMIFS(Закрытые!$H$5:$H$300,Закрытые!$E$5:$E$300,$B9,Закрытые!$B$5:$B$300,"T-*"))</f>
        <v>6563.1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60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150.698</v>
      </c>
      <c r="H9" s="241">
        <f>IF(F9="","",SUMIFS(Торговля!$K$5:$K$300,Торговля!$E$5:$E$300,$B9)+SUMIFS(Закрытые!$K$5:$K$300,Закрытые!$E$5:$E$300,$B9,Закрытые!$B$5:$B$300,"T-*"))</f>
        <v>9041.88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-15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 t="str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 t="str">
        <f>IF(C10="","",SUMIFS(Торговля!$H$5:$H$300,Торговля!$E$5:$E$300,$B10)+SUMIFS(Закрытые!$H$5:$H$300,Закрытые!$E$5:$E$300,$B10,Закрытые!$B$5:$B$300,"T-*"))</f>
        <v/>
      </c>
      <c r="F10" s="246" t="str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 t="str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 t="str">
        <f>IF(F10="","",SUMIFS(Торговля!$K$5:$K$300,Торговля!$E$5:$E$300,$B10)+SUMIFS(Закрытые!$K$5:$K$300,Закрытые!$E$5:$E$300,$B10,Закрытые!$B$5:$B$300,"T-*"))</f>
        <v/>
      </c>
      <c r="I10" s="246" t="str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 t="str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 t="str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 t="str">
        <f>IF(C11="","",SUMIFS(Торговля!$H$5:$H$300,Торговля!$E$5:$E$300,$B11)+SUMIFS(Закрытые!$H$5:$H$300,Закрытые!$E$5:$E$300,$B11,Закрытые!$B$5:$B$300,"T-*"))</f>
        <v/>
      </c>
      <c r="F11" s="240" t="str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 t="str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 t="str">
        <f>IF(F11="","",SUMIFS(Торговля!$K$5:$K$300,Торговля!$E$5:$E$300,$B11)+SUMIFS(Закрытые!$K$5:$K$300,Закрытые!$E$5:$E$300,$B11,Закрытые!$B$5:$B$300,"T-*"))</f>
        <v/>
      </c>
      <c r="I11" s="240" t="str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 t="str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 t="str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 t="str">
        <f>IF(C12="","",SUMIFS(Торговля!$H$5:$H$300,Торговля!$E$5:$E$300,$B12)+SUMIFS(Закрытые!$H$5:$H$300,Закрытые!$E$5:$E$300,$B12,Закрытые!$B$5:$B$300,"T-*"))</f>
        <v/>
      </c>
      <c r="F12" s="246" t="str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 t="str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 t="str">
        <f>IF(F12="","",SUMIFS(Торговля!$K$5:$K$300,Торговля!$E$5:$E$300,$B12)+SUMIFS(Закрытые!$K$5:$K$300,Закрытые!$E$5:$E$300,$B12,Закрытые!$B$5:$B$300,"T-*"))</f>
        <v/>
      </c>
      <c r="I12" s="246" t="str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 t="str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 t="str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 t="str">
        <f>IF(C13="","",SUMIFS(Торговля!$H$5:$H$300,Торговля!$E$5:$E$300,$B13)+SUMIFS(Закрытые!$H$5:$H$300,Закрытые!$E$5:$E$300,$B13,Закрытые!$B$5:$B$300,"T-*"))</f>
        <v/>
      </c>
      <c r="F13" s="240" t="str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 t="str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 t="str">
        <f>IF(F13="","",SUMIFS(Торговля!$K$5:$K$300,Торговля!$E$5:$E$300,$B13)+SUMIFS(Закрытые!$K$5:$K$300,Закрытые!$E$5:$E$300,$B13,Закрытые!$B$5:$B$300,"T-*"))</f>
        <v/>
      </c>
      <c r="I13" s="240" t="str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 t="str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 t="str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 t="str">
        <f>IF(C14="","",SUMIFS(Торговля!$H$5:$H$300,Торговля!$E$5:$E$300,$B14)+SUMIFS(Закрытые!$H$5:$H$300,Закрытые!$E$5:$E$300,$B14,Закрытые!$B$5:$B$300,"T-*"))</f>
        <v/>
      </c>
      <c r="F14" s="246" t="str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 t="str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 t="str">
        <f>IF(F14="","",SUMIFS(Торговля!$K$5:$K$300,Торговля!$E$5:$E$300,$B14)+SUMIFS(Закрытые!$K$5:$K$300,Закрытые!$E$5:$E$300,$B14,Закрытые!$B$5:$B$300,"T-*"))</f>
        <v/>
      </c>
      <c r="I14" s="246" t="str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 t="str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 t="str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 t="str">
        <f>IF(C15="","",SUMIFS(Торговля!$H$5:$H$300,Торговля!$E$5:$E$300,$B15)+SUMIFS(Закрытые!$H$5:$H$300,Закрытые!$E$5:$E$300,$B15,Закрытые!$B$5:$B$300,"T-*"))</f>
        <v/>
      </c>
      <c r="F15" s="240" t="str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 t="str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 t="str">
        <f>IF(F15="","",SUMIFS(Торговля!$K$5:$K$300,Торговля!$E$5:$E$300,$B15)+SUMIFS(Закрытые!$K$5:$K$300,Закрытые!$E$5:$E$300,$B15,Закрытые!$B$5:$B$300,"T-*"))</f>
        <v/>
      </c>
      <c r="I15" s="240" t="str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 t="str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 t="str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 t="str">
        <f>IF(C16="","",SUMIFS(Торговля!$H$5:$H$300,Торговля!$E$5:$E$300,$B16)+SUMIFS(Закрытые!$H$5:$H$300,Закрытые!$E$5:$E$300,$B16,Закрытые!$B$5:$B$300,"T-*"))</f>
        <v/>
      </c>
      <c r="F16" s="246" t="str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 t="str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 t="str">
        <f>IF(F16="","",SUMIFS(Торговля!$K$5:$K$300,Торговля!$E$5:$E$300,$B16)+SUMIFS(Закрытые!$K$5:$K$300,Закрытые!$E$5:$E$300,$B16,Закрытые!$B$5:$B$300,"T-*"))</f>
        <v/>
      </c>
      <c r="I16" s="246" t="str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 t="str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 t="str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 t="str">
        <f>IF(C17="","",SUMIFS(Торговля!$H$5:$H$300,Торговля!$E$5:$E$300,$B17)+SUMIFS(Закрытые!$H$5:$H$300,Закрытые!$E$5:$E$300,$B17,Закрытые!$B$5:$B$300,"T-*"))</f>
        <v/>
      </c>
      <c r="F17" s="240" t="str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 t="str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 t="str">
        <f>IF(F17="","",SUMIFS(Торговля!$K$5:$K$300,Торговля!$E$5:$E$300,$B17)+SUMIFS(Закрытые!$K$5:$K$300,Закрытые!$E$5:$E$300,$B17,Закрытые!$B$5:$B$300,"T-*"))</f>
        <v/>
      </c>
      <c r="I17" s="240" t="str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 t="str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 t="str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 t="str">
        <f>IF(C18="","",SUMIFS(Торговля!$H$5:$H$300,Торговля!$E$5:$E$300,$B18)+SUMIFS(Закрытые!$H$5:$H$300,Закрытые!$E$5:$E$300,$B18,Закрытые!$B$5:$B$300,"T-*"))</f>
        <v/>
      </c>
      <c r="F18" s="246" t="str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 t="str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 t="str">
        <f>IF(F18="","",SUMIFS(Торговля!$K$5:$K$300,Торговля!$E$5:$E$300,$B18)+SUMIFS(Закрытые!$K$5:$K$300,Закрытые!$E$5:$E$300,$B18,Закрытые!$B$5:$B$300,"T-*"))</f>
        <v/>
      </c>
      <c r="I18" s="246" t="str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 t="str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 t="str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 t="str">
        <f>IF(C19="","",SUMIFS(Торговля!$H$5:$H$300,Торговля!$E$5:$E$300,$B19)+SUMIFS(Закрытые!$H$5:$H$300,Закрытые!$E$5:$E$300,$B19,Закрытые!$B$5:$B$300,"T-*"))</f>
        <v/>
      </c>
      <c r="F19" s="240" t="str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 t="str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 t="str">
        <f>IF(F19="","",SUMIFS(Торговля!$K$5:$K$300,Торговля!$E$5:$E$300,$B19)+SUMIFS(Закрытые!$K$5:$K$300,Закрытые!$E$5:$E$300,$B19,Закрытые!$B$5:$B$300,"T-*"))</f>
        <v/>
      </c>
      <c r="I19" s="240" t="str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 t="str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 t="str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 t="str">
        <f>IF(C20="","",SUMIFS(Торговля!$H$5:$H$300,Торговля!$E$5:$E$300,$B20)+SUMIFS(Закрытые!$H$5:$H$300,Закрытые!$E$5:$E$300,$B20,Закрытые!$B$5:$B$300,"T-*"))</f>
        <v/>
      </c>
      <c r="F20" s="246" t="str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 t="str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 t="str">
        <f>IF(F20="","",SUMIFS(Торговля!$K$5:$K$300,Торговля!$E$5:$E$300,$B20)+SUMIFS(Закрытые!$K$5:$K$300,Закрытые!$E$5:$E$300,$B20,Закрытые!$B$5:$B$300,"T-*"))</f>
        <v/>
      </c>
      <c r="I20" s="246" t="str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 t="str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 t="str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 t="str">
        <f>IF(C21="","",SUMIFS(Торговля!$H$5:$H$300,Торговля!$E$5:$E$300,$B21)+SUMIFS(Закрытые!$H$5:$H$300,Закрытые!$E$5:$E$300,$B21,Закрытые!$B$5:$B$300,"T-*"))</f>
        <v/>
      </c>
      <c r="F21" s="240" t="str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 t="str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 t="str">
        <f>IF(F21="","",SUMIFS(Торговля!$K$5:$K$300,Торговля!$E$5:$E$300,$B21)+SUMIFS(Закрытые!$K$5:$K$300,Закрытые!$E$5:$E$300,$B21,Закрытые!$B$5:$B$300,"T-*"))</f>
        <v/>
      </c>
      <c r="I21" s="240" t="str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 t="str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 t="str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 t="str">
        <f>IF(C22="","",SUMIFS(Торговля!$H$5:$H$300,Торговля!$E$5:$E$300,$B22)+SUMIFS(Закрытые!$H$5:$H$300,Закрытые!$E$5:$E$300,$B22,Закрытые!$B$5:$B$300,"T-*"))</f>
        <v/>
      </c>
      <c r="F22" s="246" t="str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 t="str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 t="str">
        <f>IF(F22="","",SUMIFS(Торговля!$K$5:$K$300,Торговля!$E$5:$E$300,$B22)+SUMIFS(Закрытые!$K$5:$K$300,Закрытые!$E$5:$E$300,$B22,Закрытые!$B$5:$B$300,"T-*"))</f>
        <v/>
      </c>
      <c r="I22" s="246" t="str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 t="str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 t="str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 t="str">
        <f>IF(C23="","",SUMIFS(Торговля!$H$5:$H$300,Торговля!$E$5:$E$300,$B23)+SUMIFS(Закрытые!$H$5:$H$300,Закрытые!$E$5:$E$300,$B23,Закрытые!$B$5:$B$300,"T-*"))</f>
        <v/>
      </c>
      <c r="F23" s="240" t="str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 t="str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 t="str">
        <f>IF(F23="","",SUMIFS(Торговля!$K$5:$K$300,Торговля!$E$5:$E$300,$B23)+SUMIFS(Закрытые!$K$5:$K$300,Закрытые!$E$5:$E$300,$B23,Закрытые!$B$5:$B$300,"T-*"))</f>
        <v/>
      </c>
      <c r="I23" s="240" t="str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 t="str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 t="str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 t="str">
        <f>IF(C24="","",SUMIFS(Торговля!$H$5:$H$300,Торговля!$E$5:$E$300,$B24)+SUMIFS(Закрытые!$H$5:$H$300,Закрытые!$E$5:$E$300,$B24,Закрытые!$B$5:$B$300,"T-*"))</f>
        <v/>
      </c>
      <c r="F24" s="246" t="str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 t="str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 t="str">
        <f>IF(F24="","",SUMIFS(Торговля!$K$5:$K$300,Торговля!$E$5:$E$300,$B24)+SUMIFS(Закрытые!$K$5:$K$300,Закрытые!$E$5:$E$300,$B24,Закрытые!$B$5:$B$300,"T-*"))</f>
        <v/>
      </c>
      <c r="I24" s="246" t="str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 t="str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 t="str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 t="str">
        <f>IF(C25="","",SUMIFS(Торговля!$H$5:$H$300,Торговля!$E$5:$E$300,$B25)+SUMIFS(Закрытые!$H$5:$H$300,Закрытые!$E$5:$E$300,$B25,Закрытые!$B$5:$B$300,"T-*"))</f>
        <v/>
      </c>
      <c r="F25" s="240" t="str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 t="str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 t="str">
        <f>IF(F25="","",SUMIFS(Торговля!$K$5:$K$300,Торговля!$E$5:$E$300,$B25)+SUMIFS(Закрытые!$K$5:$K$300,Закрытые!$E$5:$E$300,$B25,Закрытые!$B$5:$B$300,"T-*"))</f>
        <v/>
      </c>
      <c r="I25" s="240" t="str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 t="str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 t="str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 t="str">
        <f>IF(C26="","",SUMIFS(Торговля!$H$5:$H$300,Торговля!$E$5:$E$300,$B26)+SUMIFS(Закрытые!$H$5:$H$300,Закрытые!$E$5:$E$300,$B26,Закрытые!$B$5:$B$300,"T-*"))</f>
        <v/>
      </c>
      <c r="F26" s="246" t="str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 t="str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 t="str">
        <f>IF(F26="","",SUMIFS(Торговля!$K$5:$K$300,Торговля!$E$5:$E$300,$B26)+SUMIFS(Закрытые!$K$5:$K$300,Закрытые!$E$5:$E$300,$B26,Закрытые!$B$5:$B$300,"T-*"))</f>
        <v/>
      </c>
      <c r="I26" s="246" t="str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 t="str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 t="str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 t="str">
        <f>IF(C27="","",SUMIFS(Торговля!$H$5:$H$300,Торговля!$E$5:$E$300,$B27)+SUMIFS(Закрытые!$H$5:$H$300,Закрытые!$E$5:$E$300,$B27,Закрытые!$B$5:$B$300,"T-*"))</f>
        <v/>
      </c>
      <c r="F27" s="240" t="str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 t="str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 t="str">
        <f>IF(F27="","",SUMIFS(Торговля!$K$5:$K$300,Торговля!$E$5:$E$300,$B27)+SUMIFS(Закрытые!$K$5:$K$300,Закрытые!$E$5:$E$300,$B27,Закрытые!$B$5:$B$300,"T-*"))</f>
        <v/>
      </c>
      <c r="I27" s="240" t="str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 t="str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 t="str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 t="str">
        <f>IF(C28="","",SUMIFS(Торговля!$H$5:$H$300,Торговля!$E$5:$E$300,$B28)+SUMIFS(Закрытые!$H$5:$H$300,Закрытые!$E$5:$E$300,$B28,Закрытые!$B$5:$B$300,"T-*"))</f>
        <v/>
      </c>
      <c r="F28" s="246" t="str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 t="str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 t="str">
        <f>IF(F28="","",SUMIFS(Торговля!$K$5:$K$300,Торговля!$E$5:$E$300,$B28)+SUMIFS(Закрытые!$K$5:$K$300,Закрытые!$E$5:$E$300,$B28,Закрытые!$B$5:$B$300,"T-*"))</f>
        <v/>
      </c>
      <c r="I28" s="246" t="str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 t="str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 t="str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 t="str">
        <f>IF(C29="","",SUMIFS(Торговля!$H$5:$H$300,Торговля!$E$5:$E$300,$B29)+SUMIFS(Закрытые!$H$5:$H$300,Закрытые!$E$5:$E$300,$B29,Закрытые!$B$5:$B$300,"T-*"))</f>
        <v/>
      </c>
      <c r="F29" s="240" t="str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 t="str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 t="str">
        <f>IF(F29="","",SUMIFS(Торговля!$K$5:$K$300,Торговля!$E$5:$E$300,$B29)+SUMIFS(Закрытые!$K$5:$K$300,Закрытые!$E$5:$E$300,$B29,Закрытые!$B$5:$B$300,"T-*"))</f>
        <v/>
      </c>
      <c r="I29" s="240" t="str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 t="str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 t="str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 t="str">
        <f>IF(C30="","",SUMIFS(Торговля!$H$5:$H$300,Торговля!$E$5:$E$300,$B30)+SUMIFS(Закрытые!$H$5:$H$300,Закрытые!$E$5:$E$300,$B30,Закрытые!$B$5:$B$300,"T-*"))</f>
        <v/>
      </c>
      <c r="F30" s="246" t="str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 t="str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 t="str">
        <f>IF(F30="","",SUMIFS(Торговля!$K$5:$K$300,Торговля!$E$5:$E$300,$B30)+SUMIFS(Закрытые!$K$5:$K$300,Закрытые!$E$5:$E$300,$B30,Закрытые!$B$5:$B$300,"T-*"))</f>
        <v/>
      </c>
      <c r="I30" s="246" t="str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 t="str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 t="str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 t="str">
        <f>IF(C31="","",SUMIFS(Торговля!$H$5:$H$300,Торговля!$E$5:$E$300,$B31)+SUMIFS(Закрытые!$H$5:$H$300,Закрытые!$E$5:$E$300,$B31,Закрытые!$B$5:$B$300,"T-*"))</f>
        <v/>
      </c>
      <c r="F31" s="240" t="str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 t="str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 t="str">
        <f>IF(F31="","",SUMIFS(Торговля!$K$5:$K$300,Торговля!$E$5:$E$300,$B31)+SUMIFS(Закрытые!$K$5:$K$300,Закрытые!$E$5:$E$300,$B31,Закрытые!$B$5:$B$300,"T-*"))</f>
        <v/>
      </c>
      <c r="I31" s="240" t="str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 t="str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 t="str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 t="str">
        <f>IF(C32="","",SUMIFS(Торговля!$H$5:$H$300,Торговля!$E$5:$E$300,$B32)+SUMIFS(Закрытые!$H$5:$H$300,Закрытые!$E$5:$E$300,$B32,Закрытые!$B$5:$B$300,"T-*"))</f>
        <v/>
      </c>
      <c r="F32" s="246" t="str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 t="str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 t="str">
        <f>IF(F32="","",SUMIFS(Торговля!$K$5:$K$300,Торговля!$E$5:$E$300,$B32)+SUMIFS(Закрытые!$K$5:$K$300,Закрытые!$E$5:$E$300,$B32,Закрытые!$B$5:$B$300,"T-*"))</f>
        <v/>
      </c>
      <c r="I32" s="246" t="str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 t="str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 t="str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 t="str">
        <f>IF(C33="","",SUMIFS(Торговля!$H$5:$H$300,Торговля!$E$5:$E$300,$B33)+SUMIFS(Закрытые!$H$5:$H$300,Закрытые!$E$5:$E$300,$B33,Закрытые!$B$5:$B$300,"T-*"))</f>
        <v/>
      </c>
      <c r="F33" s="240" t="str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 t="str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 t="str">
        <f>IF(F33="","",SUMIFS(Торговля!$K$5:$K$300,Торговля!$E$5:$E$300,$B33)+SUMIFS(Закрытые!$K$5:$K$300,Закрытые!$E$5:$E$300,$B33,Закрытые!$B$5:$B$300,"T-*"))</f>
        <v/>
      </c>
      <c r="I33" s="240" t="str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 t="str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 t="str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 t="str">
        <f>IF(C34="","",SUMIFS(Торговля!$H$5:$H$300,Торговля!$E$5:$E$300,$B34)+SUMIFS(Закрытые!$H$5:$H$300,Закрытые!$E$5:$E$300,$B34,Закрытые!$B$5:$B$300,"T-*"))</f>
        <v/>
      </c>
      <c r="F34" s="246" t="str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 t="str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 t="str">
        <f>IF(F34="","",SUMIFS(Торговля!$K$5:$K$300,Торговля!$E$5:$E$300,$B34)+SUMIFS(Закрытые!$K$5:$K$300,Закрытые!$E$5:$E$300,$B34,Закрытые!$B$5:$B$300,"T-*"))</f>
        <v/>
      </c>
      <c r="I34" s="246" t="str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 t="str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 t="str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 t="str">
        <f>IF(C35="","",SUMIFS(Торговля!$H$5:$H$300,Торговля!$E$5:$E$300,$B35)+SUMIFS(Закрытые!$H$5:$H$300,Закрытые!$E$5:$E$300,$B35,Закрытые!$B$5:$B$300,"T-*"))</f>
        <v/>
      </c>
      <c r="F35" s="240" t="str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 t="str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 t="str">
        <f>IF(F35="","",SUMIFS(Торговля!$K$5:$K$300,Торговля!$E$5:$E$300,$B35)+SUMIFS(Закрытые!$K$5:$K$300,Закрытые!$E$5:$E$300,$B35,Закрытые!$B$5:$B$300,"T-*"))</f>
        <v/>
      </c>
      <c r="I35" s="240" t="str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 t="str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 t="str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 t="str">
        <f>IF(C36="","",SUMIFS(Торговля!$H$5:$H$300,Торговля!$E$5:$E$300,$B36)+SUMIFS(Закрытые!$H$5:$H$300,Закрытые!$E$5:$E$300,$B36,Закрытые!$B$5:$B$300,"T-*"))</f>
        <v/>
      </c>
      <c r="F36" s="246" t="str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 t="str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 t="str">
        <f>IF(F36="","",SUMIFS(Торговля!$K$5:$K$300,Торговля!$E$5:$E$300,$B36)+SUMIFS(Закрытые!$K$5:$K$300,Закрытые!$E$5:$E$300,$B36,Закрытые!$B$5:$B$300,"T-*"))</f>
        <v/>
      </c>
      <c r="I36" s="246" t="str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 t="str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 t="str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 t="str">
        <f>IF(C37="","",SUMIFS(Торговля!$H$5:$H$300,Торговля!$E$5:$E$300,$B37)+SUMIFS(Закрытые!$H$5:$H$300,Закрытые!$E$5:$E$300,$B37,Закрытые!$B$5:$B$300,"T-*"))</f>
        <v/>
      </c>
      <c r="F37" s="240" t="str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 t="str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 t="str">
        <f>IF(F37="","",SUMIFS(Торговля!$K$5:$K$300,Торговля!$E$5:$E$300,$B37)+SUMIFS(Закрытые!$K$5:$K$300,Закрытые!$E$5:$E$300,$B37,Закрытые!$B$5:$B$300,"T-*"))</f>
        <v/>
      </c>
      <c r="I37" s="240" t="str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 t="str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 t="str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 t="str">
        <f>IF(C38="","",SUMIFS(Торговля!$H$5:$H$300,Торговля!$E$5:$E$300,$B38)+SUMIFS(Закрытые!$H$5:$H$300,Закрытые!$E$5:$E$300,$B38,Закрытые!$B$5:$B$300,"T-*"))</f>
        <v/>
      </c>
      <c r="F38" s="246" t="str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 t="str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 t="str">
        <f>IF(F38="","",SUMIFS(Торговля!$K$5:$K$300,Торговля!$E$5:$E$300,$B38)+SUMIFS(Закрытые!$K$5:$K$300,Закрытые!$E$5:$E$300,$B38,Закрытые!$B$5:$B$300,"T-*"))</f>
        <v/>
      </c>
      <c r="I38" s="246" t="str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 t="str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 t="str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 t="str">
        <f>IF(C39="","",SUMIFS(Торговля!$H$5:$H$300,Торговля!$E$5:$E$300,$B39)+SUMIFS(Закрытые!$H$5:$H$300,Закрытые!$E$5:$E$300,$B39,Закрытые!$B$5:$B$300,"T-*"))</f>
        <v/>
      </c>
      <c r="F39" s="240" t="str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 t="str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 t="str">
        <f>IF(F39="","",SUMIFS(Торговля!$K$5:$K$300,Торговля!$E$5:$E$300,$B39)+SUMIFS(Закрытые!$K$5:$K$300,Закрытые!$E$5:$E$300,$B39,Закрытые!$B$5:$B$300,"T-*"))</f>
        <v/>
      </c>
      <c r="I39" s="240" t="str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 t="str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 t="str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 t="str">
        <f>IF(C40="","",SUMIFS(Торговля!$H$5:$H$300,Торговля!$E$5:$E$300,$B40)+SUMIFS(Закрытые!$H$5:$H$300,Закрытые!$E$5:$E$300,$B40,Закрытые!$B$5:$B$300,"T-*"))</f>
        <v/>
      </c>
      <c r="F40" s="246" t="str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 t="str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 t="str">
        <f>IF(F40="","",SUMIFS(Торговля!$K$5:$K$300,Торговля!$E$5:$E$300,$B40)+SUMIFS(Закрытые!$K$5:$K$300,Закрытые!$E$5:$E$300,$B40,Закрытые!$B$5:$B$300,"T-*"))</f>
        <v/>
      </c>
      <c r="I40" s="246" t="str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 t="str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 t="str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 t="str">
        <f>IF(C41="","",SUMIFS(Торговля!$H$5:$H$300,Торговля!$E$5:$E$300,$B41)+SUMIFS(Закрытые!$H$5:$H$300,Закрытые!$E$5:$E$300,$B41,Закрытые!$B$5:$B$300,"T-*"))</f>
        <v/>
      </c>
      <c r="F41" s="240" t="str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 t="str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 t="str">
        <f>IF(F41="","",SUMIFS(Торговля!$K$5:$K$300,Торговля!$E$5:$E$300,$B41)+SUMIFS(Закрытые!$K$5:$K$300,Закрытые!$E$5:$E$300,$B41,Закрытые!$B$5:$B$300,"T-*"))</f>
        <v/>
      </c>
      <c r="I41" s="240" t="str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 t="str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 t="str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 t="str">
        <f>IF(C42="","",SUMIFS(Торговля!$H$5:$H$300,Торговля!$E$5:$E$300,$B42)+SUMIFS(Закрытые!$H$5:$H$300,Закрытые!$E$5:$E$300,$B42,Закрытые!$B$5:$B$300,"T-*"))</f>
        <v/>
      </c>
      <c r="F42" s="246" t="str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 t="str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 t="str">
        <f>IF(F42="","",SUMIFS(Торговля!$K$5:$K$300,Торговля!$E$5:$E$300,$B42)+SUMIFS(Закрытые!$K$5:$K$300,Закрытые!$E$5:$E$300,$B42,Закрытые!$B$5:$B$300,"T-*"))</f>
        <v/>
      </c>
      <c r="I42" s="246" t="str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 t="str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 t="str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 t="str">
        <f>IF(C43="","",SUMIFS(Торговля!$H$5:$H$300,Торговля!$E$5:$E$300,$B43)+SUMIFS(Закрытые!$H$5:$H$300,Закрытые!$E$5:$E$300,$B43,Закрытые!$B$5:$B$300,"T-*"))</f>
        <v/>
      </c>
      <c r="F43" s="240" t="str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 t="str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 t="str">
        <f>IF(F43="","",SUMIFS(Торговля!$K$5:$K$300,Торговля!$E$5:$E$300,$B43)+SUMIFS(Закрытые!$K$5:$K$300,Закрытые!$E$5:$E$300,$B43,Закрытые!$B$5:$B$300,"T-*"))</f>
        <v/>
      </c>
      <c r="I43" s="240" t="str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 t="str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 t="str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 t="str">
        <f>IF(C44="","",SUMIFS(Торговля!$H$5:$H$300,Торговля!$E$5:$E$300,$B44)+SUMIFS(Закрытые!$H$5:$H$300,Закрытые!$E$5:$E$300,$B44,Закрытые!$B$5:$B$300,"T-*"))</f>
        <v/>
      </c>
      <c r="F44" s="246" t="str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 t="str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 t="str">
        <f>IF(F44="","",SUMIFS(Торговля!$K$5:$K$300,Торговля!$E$5:$E$300,$B44)+SUMIFS(Закрытые!$K$5:$K$300,Закрытые!$E$5:$E$300,$B44,Закрытые!$B$5:$B$300,"T-*"))</f>
        <v/>
      </c>
      <c r="I44" s="246" t="str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 t="str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 t="str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 t="str">
        <f>IF(C45="","",SUMIFS(Торговля!$H$5:$H$300,Торговля!$E$5:$E$300,$B45)+SUMIFS(Закрытые!$H$5:$H$300,Закрытые!$E$5:$E$300,$B45,Закрытые!$B$5:$B$300,"T-*"))</f>
        <v/>
      </c>
      <c r="F45" s="240" t="str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 t="str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 t="str">
        <f>IF(F45="","",SUMIFS(Торговля!$K$5:$K$300,Торговля!$E$5:$E$300,$B45)+SUMIFS(Закрытые!$K$5:$K$300,Закрытые!$E$5:$E$300,$B45,Закрытые!$B$5:$B$300,"T-*"))</f>
        <v/>
      </c>
      <c r="I45" s="240" t="str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 t="str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 t="str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 t="str">
        <f>IF(C46="","",SUMIFS(Торговля!$H$5:$H$300,Торговля!$E$5:$E$300,$B46)+SUMIFS(Закрытые!$H$5:$H$300,Закрытые!$E$5:$E$300,$B46,Закрытые!$B$5:$B$300,"T-*"))</f>
        <v/>
      </c>
      <c r="F46" s="246" t="str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 t="str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 t="str">
        <f>IF(F46="","",SUMIFS(Торговля!$K$5:$K$300,Торговля!$E$5:$E$300,$B46)+SUMIFS(Закрытые!$K$5:$K$300,Закрытые!$E$5:$E$300,$B46,Закрытые!$B$5:$B$300,"T-*"))</f>
        <v/>
      </c>
      <c r="I46" s="246" t="str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 t="str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 t="str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 t="str">
        <f>IF(C47="","",SUMIFS(Торговля!$H$5:$H$300,Торговля!$E$5:$E$300,$B47)+SUMIFS(Закрытые!$H$5:$H$300,Закрытые!$E$5:$E$300,$B47,Закрытые!$B$5:$B$300,"T-*"))</f>
        <v/>
      </c>
      <c r="F47" s="240" t="str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 t="str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 t="str">
        <f>IF(F47="","",SUMIFS(Торговля!$K$5:$K$300,Торговля!$E$5:$E$300,$B47)+SUMIFS(Закрытые!$K$5:$K$300,Закрытые!$E$5:$E$300,$B47,Закрытые!$B$5:$B$300,"T-*"))</f>
        <v/>
      </c>
      <c r="I47" s="240" t="str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 t="str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 t="str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 t="str">
        <f>IF(C48="","",SUMIFS(Торговля!$H$5:$H$300,Торговля!$E$5:$E$300,$B48)+SUMIFS(Закрытые!$H$5:$H$300,Закрытые!$E$5:$E$300,$B48,Закрытые!$B$5:$B$300,"T-*"))</f>
        <v/>
      </c>
      <c r="F48" s="246" t="str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 t="str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 t="str">
        <f>IF(F48="","",SUMIFS(Торговля!$K$5:$K$300,Торговля!$E$5:$E$300,$B48)+SUMIFS(Закрытые!$K$5:$K$300,Закрытые!$E$5:$E$300,$B48,Закрытые!$B$5:$B$300,"T-*"))</f>
        <v/>
      </c>
      <c r="I48" s="246" t="str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 t="str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 t="str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 t="str">
        <f>IF(C49="","",SUMIFS(Торговля!$H$5:$H$300,Торговля!$E$5:$E$300,$B49)+SUMIFS(Закрытые!$H$5:$H$300,Закрытые!$E$5:$E$300,$B49,Закрытые!$B$5:$B$300,"T-*"))</f>
        <v/>
      </c>
      <c r="F49" s="240" t="str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 t="str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 t="str">
        <f>IF(F49="","",SUMIFS(Торговля!$K$5:$K$300,Торговля!$E$5:$E$300,$B49)+SUMIFS(Закрытые!$K$5:$K$300,Закрытые!$E$5:$E$300,$B49,Закрытые!$B$5:$B$300,"T-*"))</f>
        <v/>
      </c>
      <c r="I49" s="240" t="str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 t="str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 t="str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 t="str">
        <f>IF(C50="","",SUMIFS(Торговля!$H$5:$H$300,Торговля!$E$5:$E$300,$B50)+SUMIFS(Закрытые!$H$5:$H$300,Закрытые!$E$5:$E$300,$B50,Закрытые!$B$5:$B$300,"T-*"))</f>
        <v/>
      </c>
      <c r="F50" s="246" t="str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 t="str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 t="str">
        <f>IF(F50="","",SUMIFS(Торговля!$K$5:$K$300,Торговля!$E$5:$E$300,$B50)+SUMIFS(Закрытые!$K$5:$K$300,Закрытые!$E$5:$E$300,$B50,Закрытые!$B$5:$B$300,"T-*"))</f>
        <v/>
      </c>
      <c r="I50" s="246" t="str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 t="str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 t="str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 t="str">
        <f>IF(C51="","",SUMIFS(Торговля!$H$5:$H$300,Торговля!$E$5:$E$300,$B51)+SUMIFS(Закрытые!$H$5:$H$300,Закрытые!$E$5:$E$300,$B51,Закрытые!$B$5:$B$300,"T-*"))</f>
        <v/>
      </c>
      <c r="F51" s="240" t="str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 t="str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 t="str">
        <f>IF(F51="","",SUMIFS(Торговля!$K$5:$K$300,Торговля!$E$5:$E$300,$B51)+SUMIFS(Закрытые!$K$5:$K$300,Закрытые!$E$5:$E$300,$B51,Закрытые!$B$5:$B$300,"T-*"))</f>
        <v/>
      </c>
      <c r="I51" s="240" t="str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 t="str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 t="str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 t="str">
        <f>IF(C52="","",SUMIFS(Торговля!$H$5:$H$300,Торговля!$E$5:$E$300,$B52)+SUMIFS(Закрытые!$H$5:$H$300,Закрытые!$E$5:$E$300,$B52,Закрытые!$B$5:$B$300,"T-*"))</f>
        <v/>
      </c>
      <c r="F52" s="246" t="str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 t="str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 t="str">
        <f>IF(F52="","",SUMIFS(Торговля!$K$5:$K$300,Торговля!$E$5:$E$300,$B52)+SUMIFS(Закрытые!$K$5:$K$300,Закрытые!$E$5:$E$300,$B52,Закрытые!$B$5:$B$300,"T-*"))</f>
        <v/>
      </c>
      <c r="I52" s="246" t="str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 t="str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 t="str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 t="str">
        <f>IF(C53="","",SUMIFS(Торговля!$H$5:$H$300,Торговля!$E$5:$E$300,$B53)+SUMIFS(Закрытые!$H$5:$H$300,Закрытые!$E$5:$E$300,$B53,Закрытые!$B$5:$B$300,"T-*"))</f>
        <v/>
      </c>
      <c r="F53" s="240" t="str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 t="str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 t="str">
        <f>IF(F53="","",SUMIFS(Торговля!$K$5:$K$300,Торговля!$E$5:$E$300,$B53)+SUMIFS(Закрытые!$K$5:$K$300,Закрытые!$E$5:$E$300,$B53,Закрытые!$B$5:$B$300,"T-*"))</f>
        <v/>
      </c>
      <c r="I53" s="240" t="str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 t="str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 t="str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 t="str">
        <f>IF(C54="","",SUMIFS(Торговля!$H$5:$H$300,Торговля!$E$5:$E$300,$B54)+SUMIFS(Закрытые!$H$5:$H$300,Закрытые!$E$5:$E$300,$B54,Закрытые!$B$5:$B$300,"T-*"))</f>
        <v/>
      </c>
      <c r="F54" s="246" t="str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 t="str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 t="str">
        <f>IF(F54="","",SUMIFS(Торговля!$K$5:$K$300,Торговля!$E$5:$E$300,$B54)+SUMIFS(Закрытые!$K$5:$K$300,Закрытые!$E$5:$E$300,$B54,Закрытые!$B$5:$B$300,"T-*"))</f>
        <v/>
      </c>
      <c r="I54" s="246" t="str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 t="str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 t="str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 t="str">
        <f>IF(C55="","",SUMIFS(Торговля!$H$5:$H$300,Торговля!$E$5:$E$300,$B55)+SUMIFS(Закрытые!$H$5:$H$300,Закрытые!$E$5:$E$300,$B55,Закрытые!$B$5:$B$300,"T-*"))</f>
        <v/>
      </c>
      <c r="F55" s="240" t="str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 t="str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 t="str">
        <f>IF(F55="","",SUMIFS(Торговля!$K$5:$K$300,Торговля!$E$5:$E$300,$B55)+SUMIFS(Закрытые!$K$5:$K$300,Закрытые!$E$5:$E$300,$B55,Закрытые!$B$5:$B$300,"T-*"))</f>
        <v/>
      </c>
      <c r="I55" s="240" t="str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 t="str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 t="str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 t="str">
        <f>IF(C56="","",SUMIFS(Торговля!$H$5:$H$300,Торговля!$E$5:$E$300,$B56)+SUMIFS(Закрытые!$H$5:$H$300,Закрытые!$E$5:$E$300,$B56,Закрытые!$B$5:$B$300,"T-*"))</f>
        <v/>
      </c>
      <c r="F56" s="246" t="str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 t="str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 t="str">
        <f>IF(F56="","",SUMIFS(Торговля!$K$5:$K$300,Торговля!$E$5:$E$300,$B56)+SUMIFS(Закрытые!$K$5:$K$300,Закрытые!$E$5:$E$300,$B56,Закрытые!$B$5:$B$300,"T-*"))</f>
        <v/>
      </c>
      <c r="I56" s="246" t="str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 t="str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 t="str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 t="str">
        <f>IF(C57="","",SUMIFS(Торговля!$H$5:$H$300,Торговля!$E$5:$E$300,$B57)+SUMIFS(Закрытые!$H$5:$H$300,Закрытые!$E$5:$E$300,$B57,Закрытые!$B$5:$B$300,"T-*"))</f>
        <v/>
      </c>
      <c r="F57" s="240" t="str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 t="str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 t="str">
        <f>IF(F57="","",SUMIFS(Торговля!$K$5:$K$300,Торговля!$E$5:$E$300,$B57)+SUMIFS(Закрытые!$K$5:$K$300,Закрытые!$E$5:$E$300,$B57,Закрытые!$B$5:$B$300,"T-*"))</f>
        <v/>
      </c>
      <c r="I57" s="240" t="str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 t="str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 t="str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 t="str">
        <f>IF(C58="","",SUMIFS(Торговля!$H$5:$H$300,Торговля!$E$5:$E$300,$B58)+SUMIFS(Закрытые!$H$5:$H$300,Закрытые!$E$5:$E$300,$B58,Закрытые!$B$5:$B$300,"T-*"))</f>
        <v/>
      </c>
      <c r="F58" s="246" t="str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 t="str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 t="str">
        <f>IF(F58="","",SUMIFS(Торговля!$K$5:$K$300,Торговля!$E$5:$E$300,$B58)+SUMIFS(Закрытые!$K$5:$K$300,Закрытые!$E$5:$E$300,$B58,Закрытые!$B$5:$B$300,"T-*"))</f>
        <v/>
      </c>
      <c r="I58" s="246" t="str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 t="str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 t="str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 t="str">
        <f>IF(C59="","",SUMIFS(Торговля!$H$5:$H$300,Торговля!$E$5:$E$300,$B59)+SUMIFS(Закрытые!$H$5:$H$300,Закрытые!$E$5:$E$300,$B59,Закрытые!$B$5:$B$300,"T-*"))</f>
        <v/>
      </c>
      <c r="F59" s="240" t="str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 t="str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 t="str">
        <f>IF(F59="","",SUMIFS(Торговля!$K$5:$K$300,Торговля!$E$5:$E$300,$B59)+SUMIFS(Закрытые!$K$5:$K$300,Закрытые!$E$5:$E$300,$B59,Закрытые!$B$5:$B$300,"T-*"))</f>
        <v/>
      </c>
      <c r="I59" s="240" t="str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 t="str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 t="str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 t="str">
        <f>IF(C60="","",SUMIFS(Торговля!$H$5:$H$300,Торговля!$E$5:$E$300,$B60)+SUMIFS(Закрытые!$H$5:$H$300,Закрытые!$E$5:$E$300,$B60,Закрытые!$B$5:$B$300,"T-*"))</f>
        <v/>
      </c>
      <c r="F60" s="246" t="str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 t="str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 t="str">
        <f>IF(F60="","",SUMIFS(Торговля!$K$5:$K$300,Торговля!$E$5:$E$300,$B60)+SUMIFS(Закрытые!$K$5:$K$300,Закрытые!$E$5:$E$300,$B60,Закрытые!$B$5:$B$300,"T-*"))</f>
        <v/>
      </c>
      <c r="I60" s="246" t="str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 t="str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 t="str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 t="str">
        <f>IF(C61="","",SUMIFS(Торговля!$H$5:$H$300,Торговля!$E$5:$E$300,$B61)+SUMIFS(Закрытые!$H$5:$H$300,Закрытые!$E$5:$E$300,$B61,Закрытые!$B$5:$B$300,"T-*"))</f>
        <v/>
      </c>
      <c r="F61" s="240" t="str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 t="str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 t="str">
        <f>IF(F61="","",SUMIFS(Торговля!$K$5:$K$300,Торговля!$E$5:$E$300,$B61)+SUMIFS(Закрытые!$K$5:$K$300,Закрытые!$E$5:$E$300,$B61,Закрытые!$B$5:$B$300,"T-*"))</f>
        <v/>
      </c>
      <c r="I61" s="240" t="str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 t="str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 t="str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 t="str">
        <f>IF(C62="","",SUMIFS(Торговля!$H$5:$H$300,Торговля!$E$5:$E$300,$B62)+SUMIFS(Закрытые!$H$5:$H$300,Закрытые!$E$5:$E$300,$B62,Закрытые!$B$5:$B$300,"T-*"))</f>
        <v/>
      </c>
      <c r="F62" s="246" t="str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 t="str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 t="str">
        <f>IF(F62="","",SUMIFS(Торговля!$K$5:$K$300,Торговля!$E$5:$E$300,$B62)+SUMIFS(Закрытые!$K$5:$K$300,Закрытые!$E$5:$E$300,$B62,Закрытые!$B$5:$B$300,"T-*"))</f>
        <v/>
      </c>
      <c r="I62" s="246" t="str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 t="str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 t="str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 t="str">
        <f>IF(C63="","",SUMIFS(Торговля!$H$5:$H$300,Торговля!$E$5:$E$300,$B63)+SUMIFS(Закрытые!$H$5:$H$300,Закрытые!$E$5:$E$300,$B63,Закрытые!$B$5:$B$300,"T-*"))</f>
        <v/>
      </c>
      <c r="F63" s="240" t="str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 t="str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 t="str">
        <f>IF(F63="","",SUMIFS(Торговля!$K$5:$K$300,Торговля!$E$5:$E$300,$B63)+SUMIFS(Закрытые!$K$5:$K$300,Закрытые!$E$5:$E$300,$B63,Закрытые!$B$5:$B$300,"T-*"))</f>
        <v/>
      </c>
      <c r="I63" s="240" t="str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 t="str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 t="str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 t="str">
        <f>IF(C64="","",SUMIFS(Торговля!$H$5:$H$300,Торговля!$E$5:$E$300,$B64)+SUMIFS(Закрытые!$H$5:$H$300,Закрытые!$E$5:$E$300,$B64,Закрытые!$B$5:$B$300,"T-*"))</f>
        <v/>
      </c>
      <c r="F64" s="246" t="str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 t="str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 t="str">
        <f>IF(F64="","",SUMIFS(Торговля!$K$5:$K$300,Торговля!$E$5:$E$300,$B64)+SUMIFS(Закрытые!$K$5:$K$300,Закрытые!$E$5:$E$300,$B64,Закрытые!$B$5:$B$300,"T-*"))</f>
        <v/>
      </c>
      <c r="I64" s="246" t="str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 t="str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 t="str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 t="str">
        <f>IF(C65="","",SUMIFS(Торговля!$H$5:$H$300,Торговля!$E$5:$E$300,$B65)+SUMIFS(Закрытые!$H$5:$H$300,Закрытые!$E$5:$E$300,$B65,Закрытые!$B$5:$B$300,"T-*"))</f>
        <v/>
      </c>
      <c r="F65" s="240" t="str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 t="str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 t="str">
        <f>IF(F65="","",SUMIFS(Торговля!$K$5:$K$300,Торговля!$E$5:$E$300,$B65)+SUMIFS(Закрытые!$K$5:$K$300,Закрытые!$E$5:$E$300,$B65,Закрытые!$B$5:$B$300,"T-*"))</f>
        <v/>
      </c>
      <c r="I65" s="240" t="str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 t="str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 t="str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 t="str">
        <f>IF(C66="","",SUMIFS(Торговля!$H$5:$H$300,Торговля!$E$5:$E$300,$B66)+SUMIFS(Закрытые!$H$5:$H$300,Закрытые!$E$5:$E$300,$B66,Закрытые!$B$5:$B$300,"T-*"))</f>
        <v/>
      </c>
      <c r="F66" s="246" t="str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 t="str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 t="str">
        <f>IF(F66="","",SUMIFS(Торговля!$K$5:$K$300,Торговля!$E$5:$E$300,$B66)+SUMIFS(Закрытые!$K$5:$K$300,Закрытые!$E$5:$E$300,$B66,Закрытые!$B$5:$B$300,"T-*"))</f>
        <v/>
      </c>
      <c r="I66" s="246" t="str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 t="str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 t="str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 t="str">
        <f>IF(C67="","",SUMIFS(Торговля!$H$5:$H$300,Торговля!$E$5:$E$300,$B67)+SUMIFS(Закрытые!$H$5:$H$300,Закрытые!$E$5:$E$300,$B67,Закрытые!$B$5:$B$300,"T-*"))</f>
        <v/>
      </c>
      <c r="F67" s="240" t="str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 t="str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 t="str">
        <f>IF(F67="","",SUMIFS(Торговля!$K$5:$K$300,Торговля!$E$5:$E$300,$B67)+SUMIFS(Закрытые!$K$5:$K$300,Закрытые!$E$5:$E$300,$B67,Закрытые!$B$5:$B$300,"T-*"))</f>
        <v/>
      </c>
      <c r="I67" s="240" t="str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 t="str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 t="str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 t="str">
        <f>IF(C68="","",SUMIFS(Торговля!$H$5:$H$300,Торговля!$E$5:$E$300,$B68)+SUMIFS(Закрытые!$H$5:$H$300,Закрытые!$E$5:$E$300,$B68,Закрытые!$B$5:$B$300,"T-*"))</f>
        <v/>
      </c>
      <c r="F68" s="246" t="str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 t="str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 t="str">
        <f>IF(F68="","",SUMIFS(Торговля!$K$5:$K$300,Торговля!$E$5:$E$300,$B68)+SUMIFS(Закрытые!$K$5:$K$300,Закрытые!$E$5:$E$300,$B68,Закрытые!$B$5:$B$300,"T-*"))</f>
        <v/>
      </c>
      <c r="I68" s="246" t="str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 t="str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 t="str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 t="str">
        <f>IF(C69="","",SUMIFS(Торговля!$H$5:$H$300,Торговля!$E$5:$E$300,$B69)+SUMIFS(Закрытые!$H$5:$H$300,Закрытые!$E$5:$E$300,$B69,Закрытые!$B$5:$B$300,"T-*"))</f>
        <v/>
      </c>
      <c r="F69" s="240" t="str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 t="str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 t="str">
        <f>IF(F69="","",SUMIFS(Торговля!$K$5:$K$300,Торговля!$E$5:$E$300,$B69)+SUMIFS(Закрытые!$K$5:$K$300,Закрытые!$E$5:$E$300,$B69,Закрытые!$B$5:$B$300,"T-*"))</f>
        <v/>
      </c>
      <c r="I69" s="240" t="str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 t="str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 t="str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 t="str">
        <f>IF(C70="","",SUMIFS(Торговля!$H$5:$H$300,Торговля!$E$5:$E$300,$B70)+SUMIFS(Закрытые!$H$5:$H$300,Закрытые!$E$5:$E$300,$B70,Закрытые!$B$5:$B$300,"T-*"))</f>
        <v/>
      </c>
      <c r="F70" s="246" t="str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 t="str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 t="str">
        <f>IF(F70="","",SUMIFS(Торговля!$K$5:$K$300,Торговля!$E$5:$E$300,$B70)+SUMIFS(Закрытые!$K$5:$K$300,Закрытые!$E$5:$E$300,$B70,Закрытые!$B$5:$B$300,"T-*"))</f>
        <v/>
      </c>
      <c r="I70" s="246" t="str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 t="str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 t="str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 t="str">
        <f>IF(C71="","",SUMIFS(Торговля!$H$5:$H$300,Торговля!$E$5:$E$300,$B71)+SUMIFS(Закрытые!$H$5:$H$300,Закрытые!$E$5:$E$300,$B71,Закрытые!$B$5:$B$300,"T-*"))</f>
        <v/>
      </c>
      <c r="F71" s="240" t="str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 t="str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 t="str">
        <f>IF(F71="","",SUMIFS(Торговля!$K$5:$K$300,Торговля!$E$5:$E$300,$B71)+SUMIFS(Закрытые!$K$5:$K$300,Закрытые!$E$5:$E$300,$B71,Закрытые!$B$5:$B$300,"T-*"))</f>
        <v/>
      </c>
      <c r="I71" s="240" t="str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 t="str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 t="str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 t="str">
        <f>IF(C72="","",SUMIFS(Торговля!$H$5:$H$300,Торговля!$E$5:$E$300,$B72)+SUMIFS(Закрытые!$H$5:$H$300,Закрытые!$E$5:$E$300,$B72,Закрытые!$B$5:$B$300,"T-*"))</f>
        <v/>
      </c>
      <c r="F72" s="246" t="str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 t="str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 t="str">
        <f>IF(F72="","",SUMIFS(Торговля!$K$5:$K$300,Торговля!$E$5:$E$300,$B72)+SUMIFS(Закрытые!$K$5:$K$300,Закрытые!$E$5:$E$300,$B72,Закрытые!$B$5:$B$300,"T-*"))</f>
        <v/>
      </c>
      <c r="I72" s="246" t="str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 t="str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 t="str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 t="str">
        <f>IF(C73="","",SUMIFS(Торговля!$H$5:$H$300,Торговля!$E$5:$E$300,$B73)+SUMIFS(Закрытые!$H$5:$H$300,Закрытые!$E$5:$E$300,$B73,Закрытые!$B$5:$B$300,"T-*"))</f>
        <v/>
      </c>
      <c r="F73" s="240" t="str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 t="str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 t="str">
        <f>IF(F73="","",SUMIFS(Торговля!$K$5:$K$300,Торговля!$E$5:$E$300,$B73)+SUMIFS(Закрытые!$K$5:$K$300,Закрытые!$E$5:$E$300,$B73,Закрытые!$B$5:$B$300,"T-*"))</f>
        <v/>
      </c>
      <c r="I73" s="240" t="str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 t="str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 t="str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 t="str">
        <f>IF(C74="","",SUMIFS(Торговля!$H$5:$H$300,Торговля!$E$5:$E$300,$B74)+SUMIFS(Закрытые!$H$5:$H$300,Закрытые!$E$5:$E$300,$B74,Закрытые!$B$5:$B$300,"T-*"))</f>
        <v/>
      </c>
      <c r="F74" s="246" t="str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 t="str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 t="str">
        <f>IF(F74="","",SUMIFS(Торговля!$K$5:$K$300,Торговля!$E$5:$E$300,$B74)+SUMIFS(Закрытые!$K$5:$K$300,Закрытые!$E$5:$E$300,$B74,Закрытые!$B$5:$B$300,"T-*"))</f>
        <v/>
      </c>
      <c r="I74" s="246" t="str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 t="str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 t="str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 t="str">
        <f>IF(C75="","",SUMIFS(Торговля!$H$5:$H$300,Торговля!$E$5:$E$300,$B75)+SUMIFS(Закрытые!$H$5:$H$300,Закрытые!$E$5:$E$300,$B75,Закрытые!$B$5:$B$300,"T-*"))</f>
        <v/>
      </c>
      <c r="F75" s="240" t="str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 t="str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 t="str">
        <f>IF(F75="","",SUMIFS(Торговля!$K$5:$K$300,Торговля!$E$5:$E$300,$B75)+SUMIFS(Закрытые!$K$5:$K$300,Закрытые!$E$5:$E$300,$B75,Закрытые!$B$5:$B$300,"T-*"))</f>
        <v/>
      </c>
      <c r="I75" s="240" t="str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 t="str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 t="str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 t="str">
        <f>IF(C76="","",SUMIFS(Торговля!$H$5:$H$300,Торговля!$E$5:$E$300,$B76)+SUMIFS(Закрытые!$H$5:$H$300,Закрытые!$E$5:$E$300,$B76,Закрытые!$B$5:$B$300,"T-*"))</f>
        <v/>
      </c>
      <c r="F76" s="246" t="str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 t="str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 t="str">
        <f>IF(F76="","",SUMIFS(Торговля!$K$5:$K$300,Торговля!$E$5:$E$300,$B76)+SUMIFS(Закрытые!$K$5:$K$300,Закрытые!$E$5:$E$300,$B76,Закрытые!$B$5:$B$300,"T-*"))</f>
        <v/>
      </c>
      <c r="I76" s="246" t="str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 t="str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 t="str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 t="str">
        <f>IF(C77="","",SUMIFS(Торговля!$H$5:$H$300,Торговля!$E$5:$E$300,$B77)+SUMIFS(Закрытые!$H$5:$H$300,Закрытые!$E$5:$E$300,$B77,Закрытые!$B$5:$B$300,"T-*"))</f>
        <v/>
      </c>
      <c r="F77" s="240" t="str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 t="str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 t="str">
        <f>IF(F77="","",SUMIFS(Торговля!$K$5:$K$300,Торговля!$E$5:$E$300,$B77)+SUMIFS(Закрытые!$K$5:$K$300,Закрытые!$E$5:$E$300,$B77,Закрытые!$B$5:$B$300,"T-*"))</f>
        <v/>
      </c>
      <c r="I77" s="240" t="str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 t="str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 t="str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 t="str">
        <f>IF(C78="","",SUMIFS(Торговля!$H$5:$H$300,Торговля!$E$5:$E$300,$B78)+SUMIFS(Закрытые!$H$5:$H$300,Закрытые!$E$5:$E$300,$B78,Закрытые!$B$5:$B$300,"T-*"))</f>
        <v/>
      </c>
      <c r="F78" s="246" t="str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 t="str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 t="str">
        <f>IF(F78="","",SUMIFS(Торговля!$K$5:$K$300,Торговля!$E$5:$E$300,$B78)+SUMIFS(Закрытые!$K$5:$K$300,Закрытые!$E$5:$E$300,$B78,Закрытые!$B$5:$B$300,"T-*"))</f>
        <v/>
      </c>
      <c r="I78" s="246" t="str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 t="str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 t="str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 t="str">
        <f>IF(C79="","",SUMIFS(Торговля!$H$5:$H$300,Торговля!$E$5:$E$300,$B79)+SUMIFS(Закрытые!$H$5:$H$300,Закрытые!$E$5:$E$300,$B79,Закрытые!$B$5:$B$300,"T-*"))</f>
        <v/>
      </c>
      <c r="F79" s="240" t="str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 t="str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 t="str">
        <f>IF(F79="","",SUMIFS(Торговля!$K$5:$K$300,Торговля!$E$5:$E$300,$B79)+SUMIFS(Закрытые!$K$5:$K$300,Закрытые!$E$5:$E$300,$B79,Закрытые!$B$5:$B$300,"T-*"))</f>
        <v/>
      </c>
      <c r="I79" s="240" t="str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 t="str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 t="str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 t="str">
        <f>IF(C80="","",SUMIFS(Торговля!$H$5:$H$300,Торговля!$E$5:$E$300,$B80)+SUMIFS(Закрытые!$H$5:$H$300,Закрытые!$E$5:$E$300,$B80,Закрытые!$B$5:$B$300,"T-*"))</f>
        <v/>
      </c>
      <c r="F80" s="246" t="str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 t="str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 t="str">
        <f>IF(F80="","",SUMIFS(Торговля!$K$5:$K$300,Торговля!$E$5:$E$300,$B80)+SUMIFS(Закрытые!$K$5:$K$300,Закрытые!$E$5:$E$300,$B80,Закрытые!$B$5:$B$300,"T-*"))</f>
        <v/>
      </c>
      <c r="I80" s="246" t="str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 t="str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 t="str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 t="str">
        <f>IF(C81="","",SUMIFS(Торговля!$H$5:$H$300,Торговля!$E$5:$E$300,$B81)+SUMIFS(Закрытые!$H$5:$H$300,Закрытые!$E$5:$E$300,$B81,Закрытые!$B$5:$B$300,"T-*"))</f>
        <v/>
      </c>
      <c r="F81" s="240" t="str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 t="str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 t="str">
        <f>IF(F81="","",SUMIFS(Торговля!$K$5:$K$300,Торговля!$E$5:$E$300,$B81)+SUMIFS(Закрытые!$K$5:$K$300,Закрытые!$E$5:$E$300,$B81,Закрытые!$B$5:$B$300,"T-*"))</f>
        <v/>
      </c>
      <c r="I81" s="240" t="str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 t="str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 t="str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 t="str">
        <f>IF(C82="","",SUMIFS(Торговля!$H$5:$H$300,Торговля!$E$5:$E$300,$B82)+SUMIFS(Закрытые!$H$5:$H$300,Закрытые!$E$5:$E$300,$B82,Закрытые!$B$5:$B$300,"T-*"))</f>
        <v/>
      </c>
      <c r="F82" s="246" t="str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 t="str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 t="str">
        <f>IF(F82="","",SUMIFS(Торговля!$K$5:$K$300,Торговля!$E$5:$E$300,$B82)+SUMIFS(Закрытые!$K$5:$K$300,Закрытые!$E$5:$E$300,$B82,Закрытые!$B$5:$B$300,"T-*"))</f>
        <v/>
      </c>
      <c r="I82" s="246" t="str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 t="str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 t="str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 t="str">
        <f>IF(C83="","",SUMIFS(Торговля!$H$5:$H$300,Торговля!$E$5:$E$300,$B83)+SUMIFS(Закрытые!$H$5:$H$300,Закрытые!$E$5:$E$300,$B83,Закрытые!$B$5:$B$300,"T-*"))</f>
        <v/>
      </c>
      <c r="F83" s="240" t="str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 t="str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 t="str">
        <f>IF(F83="","",SUMIFS(Торговля!$K$5:$K$300,Торговля!$E$5:$E$300,$B83)+SUMIFS(Закрытые!$K$5:$K$300,Закрытые!$E$5:$E$300,$B83,Закрытые!$B$5:$B$300,"T-*"))</f>
        <v/>
      </c>
      <c r="I83" s="240" t="str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 t="str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 t="str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 t="str">
        <f>IF(C84="","",SUMIFS(Торговля!$H$5:$H$300,Торговля!$E$5:$E$300,$B84)+SUMIFS(Закрытые!$H$5:$H$300,Закрытые!$E$5:$E$300,$B84,Закрытые!$B$5:$B$300,"T-*"))</f>
        <v/>
      </c>
      <c r="F84" s="246" t="str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 t="str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 t="str">
        <f>IF(F84="","",SUMIFS(Торговля!$K$5:$K$300,Торговля!$E$5:$E$300,$B84)+SUMIFS(Закрытые!$K$5:$K$300,Закрытые!$E$5:$E$300,$B84,Закрытые!$B$5:$B$300,"T-*"))</f>
        <v/>
      </c>
      <c r="I84" s="246" t="str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 t="str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 t="str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 t="str">
        <f>IF(C85="","",SUMIFS(Торговля!$H$5:$H$300,Торговля!$E$5:$E$300,$B85)+SUMIFS(Закрытые!$H$5:$H$300,Закрытые!$E$5:$E$300,$B85,Закрытые!$B$5:$B$300,"T-*"))</f>
        <v/>
      </c>
      <c r="F85" s="240" t="str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 t="str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 t="str">
        <f>IF(F85="","",SUMIFS(Торговля!$K$5:$K$300,Торговля!$E$5:$E$300,$B85)+SUMIFS(Закрытые!$K$5:$K$300,Закрытые!$E$5:$E$300,$B85,Закрытые!$B$5:$B$300,"T-*"))</f>
        <v/>
      </c>
      <c r="I85" s="240" t="str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 t="str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 t="str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 t="str">
        <f>IF(C86="","",SUMIFS(Торговля!$H$5:$H$300,Торговля!$E$5:$E$300,$B86)+SUMIFS(Закрытые!$H$5:$H$300,Закрытые!$E$5:$E$300,$B86,Закрытые!$B$5:$B$300,"T-*"))</f>
        <v/>
      </c>
      <c r="F86" s="246" t="str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 t="str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 t="str">
        <f>IF(F86="","",SUMIFS(Торговля!$K$5:$K$300,Торговля!$E$5:$E$300,$B86)+SUMIFS(Закрытые!$K$5:$K$300,Закрытые!$E$5:$E$300,$B86,Закрытые!$B$5:$B$300,"T-*"))</f>
        <v/>
      </c>
      <c r="I86" s="246" t="str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 t="str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 t="str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 t="str">
        <f>IF(C87="","",SUMIFS(Торговля!$H$5:$H$300,Торговля!$E$5:$E$300,$B87)+SUMIFS(Закрытые!$H$5:$H$300,Закрытые!$E$5:$E$300,$B87,Закрытые!$B$5:$B$300,"T-*"))</f>
        <v/>
      </c>
      <c r="F87" s="240" t="str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 t="str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 t="str">
        <f>IF(F87="","",SUMIFS(Торговля!$K$5:$K$300,Торговля!$E$5:$E$300,$B87)+SUMIFS(Закрытые!$K$5:$K$300,Закрытые!$E$5:$E$300,$B87,Закрытые!$B$5:$B$300,"T-*"))</f>
        <v/>
      </c>
      <c r="I87" s="240" t="str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 t="str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 t="str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 t="str">
        <f>IF(C88="","",SUMIFS(Торговля!$H$5:$H$300,Торговля!$E$5:$E$300,$B88)+SUMIFS(Закрытые!$H$5:$H$300,Закрытые!$E$5:$E$300,$B88,Закрытые!$B$5:$B$300,"T-*"))</f>
        <v/>
      </c>
      <c r="F88" s="246" t="str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 t="str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 t="str">
        <f>IF(F88="","",SUMIFS(Торговля!$K$5:$K$300,Торговля!$E$5:$E$300,$B88)+SUMIFS(Закрытые!$K$5:$K$300,Закрытые!$E$5:$E$300,$B88,Закрытые!$B$5:$B$300,"T-*"))</f>
        <v/>
      </c>
      <c r="I88" s="246" t="str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 t="str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 t="str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 t="str">
        <f>IF(C89="","",SUMIFS(Торговля!$H$5:$H$300,Торговля!$E$5:$E$300,$B89)+SUMIFS(Закрытые!$H$5:$H$300,Закрытые!$E$5:$E$300,$B89,Закрытые!$B$5:$B$300,"T-*"))</f>
        <v/>
      </c>
      <c r="F89" s="240" t="str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 t="str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 t="str">
        <f>IF(F89="","",SUMIFS(Торговля!$K$5:$K$300,Торговля!$E$5:$E$300,$B89)+SUMIFS(Закрытые!$K$5:$K$300,Закрытые!$E$5:$E$300,$B89,Закрытые!$B$5:$B$300,"T-*"))</f>
        <v/>
      </c>
      <c r="I89" s="240" t="str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 t="str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 t="str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 t="str">
        <f>IF(C90="","",SUMIFS(Торговля!$H$5:$H$300,Торговля!$E$5:$E$300,$B90)+SUMIFS(Закрытые!$H$5:$H$300,Закрытые!$E$5:$E$300,$B90,Закрытые!$B$5:$B$300,"T-*"))</f>
        <v/>
      </c>
      <c r="F90" s="246" t="str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 t="str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 t="str">
        <f>IF(F90="","",SUMIFS(Торговля!$K$5:$K$300,Торговля!$E$5:$E$300,$B90)+SUMIFS(Закрытые!$K$5:$K$300,Закрытые!$E$5:$E$300,$B90,Закрытые!$B$5:$B$300,"T-*"))</f>
        <v/>
      </c>
      <c r="I90" s="246" t="str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 t="str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 t="str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 t="str">
        <f>IF(C91="","",SUMIFS(Торговля!$H$5:$H$300,Торговля!$E$5:$E$300,$B91)+SUMIFS(Закрытые!$H$5:$H$300,Закрытые!$E$5:$E$300,$B91,Закрытые!$B$5:$B$300,"T-*"))</f>
        <v/>
      </c>
      <c r="F91" s="240" t="str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 t="str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 t="str">
        <f>IF(F91="","",SUMIFS(Торговля!$K$5:$K$300,Торговля!$E$5:$E$300,$B91)+SUMIFS(Закрытые!$K$5:$K$300,Закрытые!$E$5:$E$300,$B91,Закрытые!$B$5:$B$300,"T-*"))</f>
        <v/>
      </c>
      <c r="I91" s="240" t="str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 t="str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 t="str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 t="str">
        <f>IF(C92="","",SUMIFS(Торговля!$H$5:$H$300,Торговля!$E$5:$E$300,$B92)+SUMIFS(Закрытые!$H$5:$H$300,Закрытые!$E$5:$E$300,$B92,Закрытые!$B$5:$B$300,"T-*"))</f>
        <v/>
      </c>
      <c r="F92" s="246" t="str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 t="str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 t="str">
        <f>IF(F92="","",SUMIFS(Торговля!$K$5:$K$300,Торговля!$E$5:$E$300,$B92)+SUMIFS(Закрытые!$K$5:$K$300,Закрытые!$E$5:$E$300,$B92,Закрытые!$B$5:$B$300,"T-*"))</f>
        <v/>
      </c>
      <c r="I92" s="246" t="str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 t="str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 t="str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 t="str">
        <f>IF(C93="","",SUMIFS(Торговля!$H$5:$H$300,Торговля!$E$5:$E$300,$B93)+SUMIFS(Закрытые!$H$5:$H$300,Закрытые!$E$5:$E$300,$B93,Закрытые!$B$5:$B$300,"T-*"))</f>
        <v/>
      </c>
      <c r="F93" s="240" t="str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 t="str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 t="str">
        <f>IF(F93="","",SUMIFS(Торговля!$K$5:$K$300,Торговля!$E$5:$E$300,$B93)+SUMIFS(Закрытые!$K$5:$K$300,Закрытые!$E$5:$E$300,$B93,Закрытые!$B$5:$B$300,"T-*"))</f>
        <v/>
      </c>
      <c r="I93" s="240" t="str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 t="str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 t="str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 t="str">
        <f>IF(C94="","",SUMIFS(Торговля!$H$5:$H$300,Торговля!$E$5:$E$300,$B94)+SUMIFS(Закрытые!$H$5:$H$300,Закрытые!$E$5:$E$300,$B94,Закрытые!$B$5:$B$300,"T-*"))</f>
        <v/>
      </c>
      <c r="F94" s="246" t="str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 t="str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 t="str">
        <f>IF(F94="","",SUMIFS(Торговля!$K$5:$K$300,Торговля!$E$5:$E$300,$B94)+SUMIFS(Закрытые!$K$5:$K$300,Закрытые!$E$5:$E$300,$B94,Закрытые!$B$5:$B$300,"T-*"))</f>
        <v/>
      </c>
      <c r="I94" s="246" t="str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 t="str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 t="str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 t="str">
        <f>IF(C95="","",SUMIFS(Торговля!$H$5:$H$300,Торговля!$E$5:$E$300,$B95)+SUMIFS(Закрытые!$H$5:$H$300,Закрытые!$E$5:$E$300,$B95,Закрытые!$B$5:$B$300,"T-*"))</f>
        <v/>
      </c>
      <c r="F95" s="240" t="str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 t="str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 t="str">
        <f>IF(F95="","",SUMIFS(Торговля!$K$5:$K$300,Торговля!$E$5:$E$300,$B95)+SUMIFS(Закрытые!$K$5:$K$300,Закрытые!$E$5:$E$300,$B95,Закрытые!$B$5:$B$300,"T-*"))</f>
        <v/>
      </c>
      <c r="I95" s="240" t="str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 t="str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 t="str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 t="str">
        <f>IF(C96="","",SUMIFS(Торговля!$H$5:$H$300,Торговля!$E$5:$E$300,$B96)+SUMIFS(Закрытые!$H$5:$H$300,Закрытые!$E$5:$E$300,$B96,Закрытые!$B$5:$B$300,"T-*"))</f>
        <v/>
      </c>
      <c r="F96" s="246" t="str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 t="str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 t="str">
        <f>IF(F96="","",SUMIFS(Торговля!$K$5:$K$300,Торговля!$E$5:$E$300,$B96)+SUMIFS(Закрытые!$K$5:$K$300,Закрытые!$E$5:$E$300,$B96,Закрытые!$B$5:$B$300,"T-*"))</f>
        <v/>
      </c>
      <c r="I96" s="246" t="str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 t="str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 t="str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 t="str">
        <f>IF(C97="","",SUMIFS(Торговля!$H$5:$H$300,Торговля!$E$5:$E$300,$B97)+SUMIFS(Закрытые!$H$5:$H$300,Закрытые!$E$5:$E$300,$B97,Закрытые!$B$5:$B$300,"T-*"))</f>
        <v/>
      </c>
      <c r="F97" s="240" t="str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 t="str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 t="str">
        <f>IF(F97="","",SUMIFS(Торговля!$K$5:$K$300,Торговля!$E$5:$E$300,$B97)+SUMIFS(Закрытые!$K$5:$K$300,Закрытые!$E$5:$E$300,$B97,Закрытые!$B$5:$B$300,"T-*"))</f>
        <v/>
      </c>
      <c r="I97" s="240" t="str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 t="str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 t="str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 t="str">
        <f>IF(C98="","",SUMIFS(Торговля!$H$5:$H$300,Торговля!$E$5:$E$300,$B98)+SUMIFS(Закрытые!$H$5:$H$300,Закрытые!$E$5:$E$300,$B98,Закрытые!$B$5:$B$300,"T-*"))</f>
        <v/>
      </c>
      <c r="F98" s="246" t="str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 t="str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 t="str">
        <f>IF(F98="","",SUMIFS(Торговля!$K$5:$K$300,Торговля!$E$5:$E$300,$B98)+SUMIFS(Закрытые!$K$5:$K$300,Закрытые!$E$5:$E$300,$B98,Закрытые!$B$5:$B$300,"T-*"))</f>
        <v/>
      </c>
      <c r="I98" s="246" t="str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 t="str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 t="str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 t="str">
        <f>IF(C99="","",SUMIFS(Торговля!$H$5:$H$300,Торговля!$E$5:$E$300,$B99)+SUMIFS(Закрытые!$H$5:$H$300,Закрытые!$E$5:$E$300,$B99,Закрытые!$B$5:$B$300,"T-*"))</f>
        <v/>
      </c>
      <c r="F99" s="240" t="str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 t="str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 t="str">
        <f>IF(F99="","",SUMIFS(Торговля!$K$5:$K$300,Торговля!$E$5:$E$300,$B99)+SUMIFS(Закрытые!$K$5:$K$300,Закрытые!$E$5:$E$300,$B99,Закрытые!$B$5:$B$300,"T-*"))</f>
        <v/>
      </c>
      <c r="I99" s="240" t="str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 t="str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 t="str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 t="str">
        <f>IF(C100="","",SUMIFS(Торговля!$H$5:$H$300,Торговля!$E$5:$E$300,$B100)+SUMIFS(Закрытые!$H$5:$H$300,Закрытые!$E$5:$E$300,$B100,Закрытые!$B$5:$B$300,"T-*"))</f>
        <v/>
      </c>
      <c r="F100" s="246" t="str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 t="str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 t="str">
        <f>IF(F100="","",SUMIFS(Торговля!$K$5:$K$300,Торговля!$E$5:$E$300,$B100)+SUMIFS(Закрытые!$K$5:$K$300,Закрытые!$E$5:$E$300,$B100,Закрытые!$B$5:$B$300,"T-*"))</f>
        <v/>
      </c>
      <c r="I100" s="246" t="str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 t="str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 t="str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 t="str">
        <f>IF(C101="","",SUMIFS(Торговля!$H$5:$H$300,Торговля!$E$5:$E$300,$B101)+SUMIFS(Закрытые!$H$5:$H$300,Закрытые!$E$5:$E$300,$B101,Закрытые!$B$5:$B$300,"T-*"))</f>
        <v/>
      </c>
      <c r="F101" s="240" t="str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 t="str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 t="str">
        <f>IF(F101="","",SUMIFS(Торговля!$K$5:$K$300,Торговля!$E$5:$E$300,$B101)+SUMIFS(Закрытые!$K$5:$K$300,Закрытые!$E$5:$E$300,$B101,Закрытые!$B$5:$B$300,"T-*"))</f>
        <v/>
      </c>
      <c r="I101" s="240" t="str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 t="str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 t="str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 t="str">
        <f>IF(C102="","",SUMIFS(Торговля!$H$5:$H$300,Торговля!$E$5:$E$300,$B102)+SUMIFS(Закрытые!$H$5:$H$300,Закрытые!$E$5:$E$300,$B102,Закрытые!$B$5:$B$300,"T-*"))</f>
        <v/>
      </c>
      <c r="F102" s="246" t="str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 t="str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 t="str">
        <f>IF(F102="","",SUMIFS(Торговля!$K$5:$K$300,Торговля!$E$5:$E$300,$B102)+SUMIFS(Закрытые!$K$5:$K$300,Закрытые!$E$5:$E$300,$B102,Закрытые!$B$5:$B$300,"T-*"))</f>
        <v/>
      </c>
      <c r="I102" s="246" t="str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 t="str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 t="str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 t="str">
        <f>IF(C103="","",SUMIFS(Торговля!$H$5:$H$300,Торговля!$E$5:$E$300,$B103)+SUMIFS(Закрытые!$H$5:$H$300,Закрытые!$E$5:$E$300,$B103,Закрытые!$B$5:$B$300,"T-*"))</f>
        <v/>
      </c>
      <c r="F103" s="240" t="str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 t="str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 t="str">
        <f>IF(F103="","",SUMIFS(Торговля!$K$5:$K$300,Торговля!$E$5:$E$300,$B103)+SUMIFS(Закрытые!$K$5:$K$300,Закрытые!$E$5:$E$300,$B103,Закрытые!$B$5:$B$300,"T-*"))</f>
        <v/>
      </c>
      <c r="I103" s="240" t="str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 t="str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 t="str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 t="str">
        <f>IF(C104="","",SUMIFS(Торговля!$H$5:$H$300,Торговля!$E$5:$E$300,$B104)+SUMIFS(Закрытые!$H$5:$H$300,Закрытые!$E$5:$E$300,$B104,Закрытые!$B$5:$B$300,"T-*"))</f>
        <v/>
      </c>
      <c r="F104" s="246" t="str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 t="str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 t="str">
        <f>IF(F104="","",SUMIFS(Торговля!$K$5:$K$300,Торговля!$E$5:$E$300,$B104)+SUMIFS(Закрытые!$K$5:$K$300,Закрытые!$E$5:$E$300,$B104,Закрытые!$B$5:$B$300,"T-*"))</f>
        <v/>
      </c>
      <c r="I104" s="246" t="str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 t="str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 t="str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 t="str">
        <f>IF(C105="","",SUMIFS(Торговля!$H$5:$H$300,Торговля!$E$5:$E$300,$B105)+SUMIFS(Закрытые!$H$5:$H$300,Закрытые!$E$5:$E$300,$B105,Закрытые!$B$5:$B$300,"T-*"))</f>
        <v/>
      </c>
      <c r="F105" s="240" t="str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 t="str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 t="str">
        <f>IF(F105="","",SUMIFS(Торговля!$K$5:$K$300,Торговля!$E$5:$E$300,$B105)+SUMIFS(Закрытые!$K$5:$K$300,Закрытые!$E$5:$E$300,$B105,Закрытые!$B$5:$B$300,"T-*"))</f>
        <v/>
      </c>
      <c r="I105" s="240" t="str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 t="str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 t="str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 t="str">
        <f>IF(C106="","",SUMIFS(Торговля!$H$5:$H$300,Торговля!$E$5:$E$300,$B106)+SUMIFS(Закрытые!$H$5:$H$300,Закрытые!$E$5:$E$300,$B106,Закрытые!$B$5:$B$300,"T-*"))</f>
        <v/>
      </c>
      <c r="F106" s="246" t="str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 t="str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 t="str">
        <f>IF(F106="","",SUMIFS(Торговля!$K$5:$K$300,Торговля!$E$5:$E$300,$B106)+SUMIFS(Закрытые!$K$5:$K$300,Закрытые!$E$5:$E$300,$B106,Закрытые!$B$5:$B$300,"T-*"))</f>
        <v/>
      </c>
      <c r="I106" s="246" t="str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 t="str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 t="str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 t="str">
        <f>IF(C107="","",SUMIFS(Торговля!$H$5:$H$300,Торговля!$E$5:$E$300,$B107)+SUMIFS(Закрытые!$H$5:$H$300,Закрытые!$E$5:$E$300,$B107,Закрытые!$B$5:$B$300,"T-*"))</f>
        <v/>
      </c>
      <c r="F107" s="240" t="str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 t="str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 t="str">
        <f>IF(F107="","",SUMIFS(Торговля!$K$5:$K$300,Торговля!$E$5:$E$300,$B107)+SUMIFS(Закрытые!$K$5:$K$300,Закрытые!$E$5:$E$300,$B107,Закрытые!$B$5:$B$300,"T-*"))</f>
        <v/>
      </c>
      <c r="I107" s="240" t="str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 t="str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 t="str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 t="str">
        <f>IF(C108="","",SUMIFS(Торговля!$H$5:$H$300,Торговля!$E$5:$E$300,$B108)+SUMIFS(Закрытые!$H$5:$H$300,Закрытые!$E$5:$E$300,$B108,Закрытые!$B$5:$B$300,"T-*"))</f>
        <v/>
      </c>
      <c r="F108" s="246" t="str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 t="str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 t="str">
        <f>IF(F108="","",SUMIFS(Торговля!$K$5:$K$300,Торговля!$E$5:$E$300,$B108)+SUMIFS(Закрытые!$K$5:$K$300,Закрытые!$E$5:$E$300,$B108,Закрытые!$B$5:$B$300,"T-*"))</f>
        <v/>
      </c>
      <c r="I108" s="246" t="str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 t="str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 t="str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 t="str">
        <f>IF(C109="","",SUMIFS(Торговля!$H$5:$H$300,Торговля!$E$5:$E$300,$B109)+SUMIFS(Закрытые!$H$5:$H$300,Закрытые!$E$5:$E$300,$B109,Закрытые!$B$5:$B$300,"T-*"))</f>
        <v/>
      </c>
      <c r="F109" s="240" t="str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 t="str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 t="str">
        <f>IF(F109="","",SUMIFS(Торговля!$K$5:$K$300,Торговля!$E$5:$E$300,$B109)+SUMIFS(Закрытые!$K$5:$K$300,Закрытые!$E$5:$E$300,$B109,Закрытые!$B$5:$B$300,"T-*"))</f>
        <v/>
      </c>
      <c r="I109" s="240" t="str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 t="str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 t="str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 t="str">
        <f>IF(C110="","",SUMIFS(Торговля!$H$5:$H$300,Торговля!$E$5:$E$300,$B110)+SUMIFS(Закрытые!$H$5:$H$300,Закрытые!$E$5:$E$300,$B110,Закрытые!$B$5:$B$300,"T-*"))</f>
        <v/>
      </c>
      <c r="F110" s="246" t="str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 t="str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 t="str">
        <f>IF(F110="","",SUMIFS(Торговля!$K$5:$K$300,Торговля!$E$5:$E$300,$B110)+SUMIFS(Закрытые!$K$5:$K$300,Закрытые!$E$5:$E$300,$B110,Закрытые!$B$5:$B$300,"T-*"))</f>
        <v/>
      </c>
      <c r="I110" s="246" t="str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 t="str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 t="str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 t="str">
        <f>IF(C111="","",SUMIFS(Торговля!$H$5:$H$300,Торговля!$E$5:$E$300,$B111)+SUMIFS(Закрытые!$H$5:$H$300,Закрытые!$E$5:$E$300,$B111,Закрытые!$B$5:$B$300,"T-*"))</f>
        <v/>
      </c>
      <c r="F111" s="240" t="str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 t="str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 t="str">
        <f>IF(F111="","",SUMIFS(Торговля!$K$5:$K$300,Торговля!$E$5:$E$300,$B111)+SUMIFS(Закрытые!$K$5:$K$300,Закрытые!$E$5:$E$300,$B111,Закрытые!$B$5:$B$300,"T-*"))</f>
        <v/>
      </c>
      <c r="I111" s="240" t="str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 t="str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 t="str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 t="str">
        <f>IF(C112="","",SUMIFS(Торговля!$H$5:$H$300,Торговля!$E$5:$E$300,$B112)+SUMIFS(Закрытые!$H$5:$H$300,Закрытые!$E$5:$E$300,$B112,Закрытые!$B$5:$B$300,"T-*"))</f>
        <v/>
      </c>
      <c r="F112" s="246" t="str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 t="str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 t="str">
        <f>IF(F112="","",SUMIFS(Торговля!$K$5:$K$300,Торговля!$E$5:$E$300,$B112)+SUMIFS(Закрытые!$K$5:$K$300,Закрытые!$E$5:$E$300,$B112,Закрытые!$B$5:$B$300,"T-*"))</f>
        <v/>
      </c>
      <c r="I112" s="246" t="str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 t="str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 t="str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 t="str">
        <f>IF(C113="","",SUMIFS(Торговля!$H$5:$H$300,Торговля!$E$5:$E$300,$B113)+SUMIFS(Закрытые!$H$5:$H$300,Закрытые!$E$5:$E$300,$B113,Закрытые!$B$5:$B$300,"T-*"))</f>
        <v/>
      </c>
      <c r="F113" s="240" t="str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 t="str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 t="str">
        <f>IF(F113="","",SUMIFS(Торговля!$K$5:$K$300,Торговля!$E$5:$E$300,$B113)+SUMIFS(Закрытые!$K$5:$K$300,Закрытые!$E$5:$E$300,$B113,Закрытые!$B$5:$B$300,"T-*"))</f>
        <v/>
      </c>
      <c r="I113" s="240" t="str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 t="str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 t="str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 t="str">
        <f>IF(C114="","",SUMIFS(Торговля!$H$5:$H$300,Торговля!$E$5:$E$300,$B114)+SUMIFS(Закрытые!$H$5:$H$300,Закрытые!$E$5:$E$300,$B114,Закрытые!$B$5:$B$300,"T-*"))</f>
        <v/>
      </c>
      <c r="F114" s="246" t="str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 t="str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 t="str">
        <f>IF(F114="","",SUMIFS(Торговля!$K$5:$K$300,Торговля!$E$5:$E$300,$B114)+SUMIFS(Закрытые!$K$5:$K$300,Закрытые!$E$5:$E$300,$B114,Закрытые!$B$5:$B$300,"T-*"))</f>
        <v/>
      </c>
      <c r="I114" s="246" t="str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 t="str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 t="str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 t="str">
        <f>IF(C115="","",SUMIFS(Торговля!$H$5:$H$300,Торговля!$E$5:$E$300,$B115)+SUMIFS(Закрытые!$H$5:$H$300,Закрытые!$E$5:$E$300,$B115,Закрытые!$B$5:$B$300,"T-*"))</f>
        <v/>
      </c>
      <c r="F115" s="240" t="str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 t="str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 t="str">
        <f>IF(F115="","",SUMIFS(Торговля!$K$5:$K$300,Торговля!$E$5:$E$300,$B115)+SUMIFS(Закрытые!$K$5:$K$300,Закрытые!$E$5:$E$300,$B115,Закрытые!$B$5:$B$300,"T-*"))</f>
        <v/>
      </c>
      <c r="I115" s="240" t="str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 t="str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 t="str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 t="str">
        <f>IF(C116="","",SUMIFS(Торговля!$H$5:$H$300,Торговля!$E$5:$E$300,$B116)+SUMIFS(Закрытые!$H$5:$H$300,Закрытые!$E$5:$E$300,$B116,Закрытые!$B$5:$B$300,"T-*"))</f>
        <v/>
      </c>
      <c r="F116" s="246" t="str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 t="str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 t="str">
        <f>IF(F116="","",SUMIFS(Торговля!$K$5:$K$300,Торговля!$E$5:$E$300,$B116)+SUMIFS(Закрытые!$K$5:$K$300,Закрытые!$E$5:$E$300,$B116,Закрытые!$B$5:$B$300,"T-*"))</f>
        <v/>
      </c>
      <c r="I116" s="246" t="str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 t="str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 t="str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 t="str">
        <f>IF(C117="","",SUMIFS(Торговля!$H$5:$H$300,Торговля!$E$5:$E$300,$B117)+SUMIFS(Закрытые!$H$5:$H$300,Закрытые!$E$5:$E$300,$B117,Закрытые!$B$5:$B$300,"T-*"))</f>
        <v/>
      </c>
      <c r="F117" s="240" t="str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 t="str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 t="str">
        <f>IF(F117="","",SUMIFS(Торговля!$K$5:$K$300,Торговля!$E$5:$E$300,$B117)+SUMIFS(Закрытые!$K$5:$K$300,Закрытые!$E$5:$E$300,$B117,Закрытые!$B$5:$B$300,"T-*"))</f>
        <v/>
      </c>
      <c r="I117" s="240" t="str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 t="str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 t="str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 t="str">
        <f>IF(C118="","",SUMIFS(Торговля!$H$5:$H$300,Торговля!$E$5:$E$300,$B118)+SUMIFS(Закрытые!$H$5:$H$300,Закрытые!$E$5:$E$300,$B118,Закрытые!$B$5:$B$300,"T-*"))</f>
        <v/>
      </c>
      <c r="F118" s="246" t="str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 t="str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 t="str">
        <f>IF(F118="","",SUMIFS(Торговля!$K$5:$K$300,Торговля!$E$5:$E$300,$B118)+SUMIFS(Закрытые!$K$5:$K$300,Закрытые!$E$5:$E$300,$B118,Закрытые!$B$5:$B$300,"T-*"))</f>
        <v/>
      </c>
      <c r="I118" s="246" t="str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 t="str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 t="str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 t="str">
        <f>IF(C119="","",SUMIFS(Торговля!$H$5:$H$300,Торговля!$E$5:$E$300,$B119)+SUMIFS(Закрытые!$H$5:$H$300,Закрытые!$E$5:$E$300,$B119,Закрытые!$B$5:$B$300,"T-*"))</f>
        <v/>
      </c>
      <c r="F119" s="240" t="str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 t="str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 t="str">
        <f>IF(F119="","",SUMIFS(Торговля!$K$5:$K$300,Торговля!$E$5:$E$300,$B119)+SUMIFS(Закрытые!$K$5:$K$300,Закрытые!$E$5:$E$300,$B119,Закрытые!$B$5:$B$300,"T-*"))</f>
        <v/>
      </c>
      <c r="I119" s="240" t="str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 t="str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 t="str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 t="str">
        <f>IF(C120="","",SUMIFS(Торговля!$H$5:$H$300,Торговля!$E$5:$E$300,$B120)+SUMIFS(Закрытые!$H$5:$H$300,Закрытые!$E$5:$E$300,$B120,Закрытые!$B$5:$B$300,"T-*"))</f>
        <v/>
      </c>
      <c r="F120" s="246" t="str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 t="str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 t="str">
        <f>IF(F120="","",SUMIFS(Торговля!$K$5:$K$300,Торговля!$E$5:$E$300,$B120)+SUMIFS(Закрытые!$K$5:$K$300,Закрытые!$E$5:$E$300,$B120,Закрытые!$B$5:$B$300,"T-*"))</f>
        <v/>
      </c>
      <c r="I120" s="246" t="str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 t="str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 t="str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 t="str">
        <f>IF(C121="","",SUMIFS(Торговля!$H$5:$H$300,Торговля!$E$5:$E$300,$B121)+SUMIFS(Закрытые!$H$5:$H$300,Закрытые!$E$5:$E$300,$B121,Закрытые!$B$5:$B$300,"T-*"))</f>
        <v/>
      </c>
      <c r="F121" s="240" t="str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 t="str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 t="str">
        <f>IF(F121="","",SUMIFS(Торговля!$K$5:$K$300,Торговля!$E$5:$E$300,$B121)+SUMIFS(Закрытые!$K$5:$K$300,Закрытые!$E$5:$E$300,$B121,Закрытые!$B$5:$B$300,"T-*"))</f>
        <v/>
      </c>
      <c r="I121" s="240" t="str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 t="str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 t="str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 t="str">
        <f>IF(C122="","",SUMIFS(Торговля!$H$5:$H$300,Торговля!$E$5:$E$300,$B122)+SUMIFS(Закрытые!$H$5:$H$300,Закрытые!$E$5:$E$300,$B122,Закрытые!$B$5:$B$300,"T-*"))</f>
        <v/>
      </c>
      <c r="F122" s="246" t="str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 t="str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 t="str">
        <f>IF(F122="","",SUMIFS(Торговля!$K$5:$K$300,Торговля!$E$5:$E$300,$B122)+SUMIFS(Закрытые!$K$5:$K$300,Закрытые!$E$5:$E$300,$B122,Закрытые!$B$5:$B$300,"T-*"))</f>
        <v/>
      </c>
      <c r="I122" s="246" t="str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 t="str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 t="str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 t="str">
        <f>IF(C123="","",SUMIFS(Торговля!$H$5:$H$300,Торговля!$E$5:$E$300,$B123)+SUMIFS(Закрытые!$H$5:$H$300,Закрытые!$E$5:$E$300,$B123,Закрытые!$B$5:$B$300,"T-*"))</f>
        <v/>
      </c>
      <c r="F123" s="240" t="str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 t="str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 t="str">
        <f>IF(F123="","",SUMIFS(Торговля!$K$5:$K$300,Торговля!$E$5:$E$300,$B123)+SUMIFS(Закрытые!$K$5:$K$300,Закрытые!$E$5:$E$300,$B123,Закрытые!$B$5:$B$300,"T-*"))</f>
        <v/>
      </c>
      <c r="I123" s="240" t="str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 t="str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 t="str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 t="str">
        <f>IF(C124="","",SUMIFS(Торговля!$H$5:$H$300,Торговля!$E$5:$E$300,$B124)+SUMIFS(Закрытые!$H$5:$H$300,Закрытые!$E$5:$E$300,$B124,Закрытые!$B$5:$B$300,"T-*"))</f>
        <v/>
      </c>
      <c r="F124" s="246" t="str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 t="str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 t="str">
        <f>IF(F124="","",SUMIFS(Торговля!$K$5:$K$300,Торговля!$E$5:$E$300,$B124)+SUMIFS(Закрытые!$K$5:$K$300,Закрытые!$E$5:$E$300,$B124,Закрытые!$B$5:$B$300,"T-*"))</f>
        <v/>
      </c>
      <c r="I124" s="246" t="str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 t="str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 t="str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 t="str">
        <f>IF(C125="","",SUMIFS(Торговля!$H$5:$H$300,Торговля!$E$5:$E$300,$B125)+SUMIFS(Закрытые!$H$5:$H$300,Закрытые!$E$5:$E$300,$B125,Закрытые!$B$5:$B$300,"T-*"))</f>
        <v/>
      </c>
      <c r="F125" s="240" t="str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 t="str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 t="str">
        <f>IF(F125="","",SUMIFS(Торговля!$K$5:$K$300,Торговля!$E$5:$E$300,$B125)+SUMIFS(Закрытые!$K$5:$K$300,Закрытые!$E$5:$E$300,$B125,Закрытые!$B$5:$B$300,"T-*"))</f>
        <v/>
      </c>
      <c r="I125" s="240" t="str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 t="str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 t="str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 t="str">
        <f>IF(C126="","",SUMIFS(Торговля!$H$5:$H$300,Торговля!$E$5:$E$300,$B126)+SUMIFS(Закрытые!$H$5:$H$300,Закрытые!$E$5:$E$300,$B126,Закрытые!$B$5:$B$300,"T-*"))</f>
        <v/>
      </c>
      <c r="F126" s="246" t="str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 t="str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 t="str">
        <f>IF(F126="","",SUMIFS(Торговля!$K$5:$K$300,Торговля!$E$5:$E$300,$B126)+SUMIFS(Закрытые!$K$5:$K$300,Закрытые!$E$5:$E$300,$B126,Закрытые!$B$5:$B$300,"T-*"))</f>
        <v/>
      </c>
      <c r="I126" s="246" t="str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 t="str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 t="str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 t="str">
        <f>IF(C127="","",SUMIFS(Торговля!$H$5:$H$300,Торговля!$E$5:$E$300,$B127)+SUMIFS(Закрытые!$H$5:$H$300,Закрытые!$E$5:$E$300,$B127,Закрытые!$B$5:$B$300,"T-*"))</f>
        <v/>
      </c>
      <c r="F127" s="240" t="str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 t="str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 t="str">
        <f>IF(F127="","",SUMIFS(Торговля!$K$5:$K$300,Торговля!$E$5:$E$300,$B127)+SUMIFS(Закрытые!$K$5:$K$300,Закрытые!$E$5:$E$300,$B127,Закрытые!$B$5:$B$300,"T-*"))</f>
        <v/>
      </c>
      <c r="I127" s="240" t="str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 t="str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 t="str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 t="str">
        <f>IF(C128="","",SUMIFS(Торговля!$H$5:$H$300,Торговля!$E$5:$E$300,$B128)+SUMIFS(Закрытые!$H$5:$H$300,Закрытые!$E$5:$E$300,$B128,Закрытые!$B$5:$B$300,"T-*"))</f>
        <v/>
      </c>
      <c r="F128" s="246" t="str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 t="str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 t="str">
        <f>IF(F128="","",SUMIFS(Торговля!$K$5:$K$300,Торговля!$E$5:$E$300,$B128)+SUMIFS(Закрытые!$K$5:$K$300,Закрытые!$E$5:$E$300,$B128,Закрытые!$B$5:$B$300,"T-*"))</f>
        <v/>
      </c>
      <c r="I128" s="246" t="str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 t="str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 t="str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 t="str">
        <f>IF(C129="","",SUMIFS(Торговля!$H$5:$H$300,Торговля!$E$5:$E$300,$B129)+SUMIFS(Закрытые!$H$5:$H$300,Закрытые!$E$5:$E$300,$B129,Закрытые!$B$5:$B$300,"T-*"))</f>
        <v/>
      </c>
      <c r="F129" s="240" t="str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 t="str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 t="str">
        <f>IF(F129="","",SUMIFS(Торговля!$K$5:$K$300,Торговля!$E$5:$E$300,$B129)+SUMIFS(Закрытые!$K$5:$K$300,Закрытые!$E$5:$E$300,$B129,Закрытые!$B$5:$B$300,"T-*"))</f>
        <v/>
      </c>
      <c r="I129" s="240" t="str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 t="str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 t="str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 t="str">
        <f>IF(C130="","",SUMIFS(Торговля!$H$5:$H$300,Торговля!$E$5:$E$300,$B130)+SUMIFS(Закрытые!$H$5:$H$300,Закрытые!$E$5:$E$300,$B130,Закрытые!$B$5:$B$300,"T-*"))</f>
        <v/>
      </c>
      <c r="F130" s="246" t="str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 t="str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 t="str">
        <f>IF(F130="","",SUMIFS(Торговля!$K$5:$K$300,Торговля!$E$5:$E$300,$B130)+SUMIFS(Закрытые!$K$5:$K$300,Закрытые!$E$5:$E$300,$B130,Закрытые!$B$5:$B$300,"T-*"))</f>
        <v/>
      </c>
      <c r="I130" s="246" t="str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 t="str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 t="str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 t="str">
        <f>IF(C131="","",SUMIFS(Торговля!$H$5:$H$300,Торговля!$E$5:$E$300,$B131)+SUMIFS(Закрытые!$H$5:$H$300,Закрытые!$E$5:$E$300,$B131,Закрытые!$B$5:$B$300,"T-*"))</f>
        <v/>
      </c>
      <c r="F131" s="240" t="str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 t="str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 t="str">
        <f>IF(F131="","",SUMIFS(Торговля!$K$5:$K$300,Торговля!$E$5:$E$300,$B131)+SUMIFS(Закрытые!$K$5:$K$300,Закрытые!$E$5:$E$300,$B131,Закрытые!$B$5:$B$300,"T-*"))</f>
        <v/>
      </c>
      <c r="I131" s="240" t="str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 t="str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 t="str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 t="str">
        <f>IF(C132="","",SUMIFS(Торговля!$H$5:$H$300,Торговля!$E$5:$E$300,$B132)+SUMIFS(Закрытые!$H$5:$H$300,Закрытые!$E$5:$E$300,$B132,Закрытые!$B$5:$B$300,"T-*"))</f>
        <v/>
      </c>
      <c r="F132" s="246" t="str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 t="str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 t="str">
        <f>IF(F132="","",SUMIFS(Торговля!$K$5:$K$300,Торговля!$E$5:$E$300,$B132)+SUMIFS(Закрытые!$K$5:$K$300,Закрытые!$E$5:$E$300,$B132,Закрытые!$B$5:$B$300,"T-*"))</f>
        <v/>
      </c>
      <c r="I132" s="246" t="str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 t="str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 t="str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 t="str">
        <f>IF(C133="","",SUMIFS(Торговля!$H$5:$H$300,Торговля!$E$5:$E$300,$B133)+SUMIFS(Закрытые!$H$5:$H$300,Закрытые!$E$5:$E$300,$B133,Закрытые!$B$5:$B$300,"T-*"))</f>
        <v/>
      </c>
      <c r="F133" s="240" t="str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 t="str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 t="str">
        <f>IF(F133="","",SUMIFS(Торговля!$K$5:$K$300,Торговля!$E$5:$E$300,$B133)+SUMIFS(Закрытые!$K$5:$K$300,Закрытые!$E$5:$E$300,$B133,Закрытые!$B$5:$B$300,"T-*"))</f>
        <v/>
      </c>
      <c r="I133" s="240" t="str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 t="str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 t="str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 t="str">
        <f>IF(C134="","",SUMIFS(Торговля!$H$5:$H$300,Торговля!$E$5:$E$300,$B134)+SUMIFS(Закрытые!$H$5:$H$300,Закрытые!$E$5:$E$300,$B134,Закрытые!$B$5:$B$300,"T-*"))</f>
        <v/>
      </c>
      <c r="F134" s="246" t="str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 t="str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 t="str">
        <f>IF(F134="","",SUMIFS(Торговля!$K$5:$K$300,Торговля!$E$5:$E$300,$B134)+SUMIFS(Закрытые!$K$5:$K$300,Закрытые!$E$5:$E$300,$B134,Закрытые!$B$5:$B$300,"T-*"))</f>
        <v/>
      </c>
      <c r="I134" s="246" t="str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 t="str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 t="str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 t="str">
        <f>IF(C135="","",SUMIFS(Торговля!$H$5:$H$300,Торговля!$E$5:$E$300,$B135)+SUMIFS(Закрытые!$H$5:$H$300,Закрытые!$E$5:$E$300,$B135,Закрытые!$B$5:$B$300,"T-*"))</f>
        <v/>
      </c>
      <c r="F135" s="240" t="str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 t="str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 t="str">
        <f>IF(F135="","",SUMIFS(Торговля!$K$5:$K$300,Торговля!$E$5:$E$300,$B135)+SUMIFS(Закрытые!$K$5:$K$300,Закрытые!$E$5:$E$300,$B135,Закрытые!$B$5:$B$300,"T-*"))</f>
        <v/>
      </c>
      <c r="I135" s="240" t="str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 t="str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 t="str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 t="str">
        <f>IF(C136="","",SUMIFS(Торговля!$H$5:$H$300,Торговля!$E$5:$E$300,$B136)+SUMIFS(Закрытые!$H$5:$H$300,Закрытые!$E$5:$E$300,$B136,Закрытые!$B$5:$B$300,"T-*"))</f>
        <v/>
      </c>
      <c r="F136" s="246" t="str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 t="str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 t="str">
        <f>IF(F136="","",SUMIFS(Торговля!$K$5:$K$300,Торговля!$E$5:$E$300,$B136)+SUMIFS(Закрытые!$K$5:$K$300,Закрытые!$E$5:$E$300,$B136,Закрытые!$B$5:$B$300,"T-*"))</f>
        <v/>
      </c>
      <c r="I136" s="246" t="str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 t="str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 t="str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 t="str">
        <f>IF(C137="","",SUMIFS(Торговля!$H$5:$H$300,Торговля!$E$5:$E$300,$B137)+SUMIFS(Закрытые!$H$5:$H$300,Закрытые!$E$5:$E$300,$B137,Закрытые!$B$5:$B$300,"T-*"))</f>
        <v/>
      </c>
      <c r="F137" s="240" t="str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 t="str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 t="str">
        <f>IF(F137="","",SUMIFS(Торговля!$K$5:$K$300,Торговля!$E$5:$E$300,$B137)+SUMIFS(Закрытые!$K$5:$K$300,Закрытые!$E$5:$E$300,$B137,Закрытые!$B$5:$B$300,"T-*"))</f>
        <v/>
      </c>
      <c r="I137" s="240" t="str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 t="str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 t="str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 t="str">
        <f>IF(C138="","",SUMIFS(Торговля!$H$5:$H$300,Торговля!$E$5:$E$300,$B138)+SUMIFS(Закрытые!$H$5:$H$300,Закрытые!$E$5:$E$300,$B138,Закрытые!$B$5:$B$300,"T-*"))</f>
        <v/>
      </c>
      <c r="F138" s="246" t="str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 t="str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 t="str">
        <f>IF(F138="","",SUMIFS(Торговля!$K$5:$K$300,Торговля!$E$5:$E$300,$B138)+SUMIFS(Закрытые!$K$5:$K$300,Закрытые!$E$5:$E$300,$B138,Закрытые!$B$5:$B$300,"T-*"))</f>
        <v/>
      </c>
      <c r="I138" s="246" t="str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 t="str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 t="str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 t="str">
        <f>IF(C139="","",SUMIFS(Торговля!$H$5:$H$300,Торговля!$E$5:$E$300,$B139)+SUMIFS(Закрытые!$H$5:$H$300,Закрытые!$E$5:$E$300,$B139,Закрытые!$B$5:$B$300,"T-*"))</f>
        <v/>
      </c>
      <c r="F139" s="240" t="str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 t="str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 t="str">
        <f>IF(F139="","",SUMIFS(Торговля!$K$5:$K$300,Торговля!$E$5:$E$300,$B139)+SUMIFS(Закрытые!$K$5:$K$300,Закрытые!$E$5:$E$300,$B139,Закрытые!$B$5:$B$300,"T-*"))</f>
        <v/>
      </c>
      <c r="I139" s="240" t="str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 t="str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 t="str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 t="str">
        <f>IF(C140="","",SUMIFS(Торговля!$H$5:$H$300,Торговля!$E$5:$E$300,$B140)+SUMIFS(Закрытые!$H$5:$H$300,Закрытые!$E$5:$E$300,$B140,Закрытые!$B$5:$B$300,"T-*"))</f>
        <v/>
      </c>
      <c r="F140" s="246" t="str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 t="str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 t="str">
        <f>IF(F140="","",SUMIFS(Торговля!$K$5:$K$300,Торговля!$E$5:$E$300,$B140)+SUMIFS(Закрытые!$K$5:$K$300,Закрытые!$E$5:$E$300,$B140,Закрытые!$B$5:$B$300,"T-*"))</f>
        <v/>
      </c>
      <c r="I140" s="246" t="str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 t="str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 t="str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 t="str">
        <f>IF(C141="","",SUMIFS(Торговля!$H$5:$H$300,Торговля!$E$5:$E$300,$B141)+SUMIFS(Закрытые!$H$5:$H$300,Закрытые!$E$5:$E$300,$B141,Закрытые!$B$5:$B$300,"T-*"))</f>
        <v/>
      </c>
      <c r="F141" s="240" t="str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 t="str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 t="str">
        <f>IF(F141="","",SUMIFS(Торговля!$K$5:$K$300,Торговля!$E$5:$E$300,$B141)+SUMIFS(Закрытые!$K$5:$K$300,Закрытые!$E$5:$E$300,$B141,Закрытые!$B$5:$B$300,"T-*"))</f>
        <v/>
      </c>
      <c r="I141" s="240" t="str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 t="str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 t="str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 t="str">
        <f>IF(C142="","",SUMIFS(Торговля!$H$5:$H$300,Торговля!$E$5:$E$300,$B142)+SUMIFS(Закрытые!$H$5:$H$300,Закрытые!$E$5:$E$300,$B142,Закрытые!$B$5:$B$300,"T-*"))</f>
        <v/>
      </c>
      <c r="F142" s="246" t="str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 t="str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 t="str">
        <f>IF(F142="","",SUMIFS(Торговля!$K$5:$K$300,Торговля!$E$5:$E$300,$B142)+SUMIFS(Закрытые!$K$5:$K$300,Закрытые!$E$5:$E$300,$B142,Закрытые!$B$5:$B$300,"T-*"))</f>
        <v/>
      </c>
      <c r="I142" s="246" t="str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 t="str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 t="str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 t="str">
        <f>IF(C143="","",SUMIFS(Торговля!$H$5:$H$300,Торговля!$E$5:$E$300,$B143)+SUMIFS(Закрытые!$H$5:$H$300,Закрытые!$E$5:$E$300,$B143,Закрытые!$B$5:$B$300,"T-*"))</f>
        <v/>
      </c>
      <c r="F143" s="240" t="str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 t="str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 t="str">
        <f>IF(F143="","",SUMIFS(Торговля!$K$5:$K$300,Торговля!$E$5:$E$300,$B143)+SUMIFS(Закрытые!$K$5:$K$300,Закрытые!$E$5:$E$300,$B143,Закрытые!$B$5:$B$300,"T-*"))</f>
        <v/>
      </c>
      <c r="I143" s="240" t="str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 t="str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 t="str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 t="str">
        <f>IF(C144="","",SUMIFS(Торговля!$H$5:$H$300,Торговля!$E$5:$E$300,$B144)+SUMIFS(Закрытые!$H$5:$H$300,Закрытые!$E$5:$E$300,$B144,Закрытые!$B$5:$B$300,"T-*"))</f>
        <v/>
      </c>
      <c r="F144" s="246" t="str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 t="str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 t="str">
        <f>IF(F144="","",SUMIFS(Торговля!$K$5:$K$300,Торговля!$E$5:$E$300,$B144)+SUMIFS(Закрытые!$K$5:$K$300,Закрытые!$E$5:$E$300,$B144,Закрытые!$B$5:$B$300,"T-*"))</f>
        <v/>
      </c>
      <c r="I144" s="246" t="str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 t="str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 t="str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 t="str">
        <f>IF(C145="","",SUMIFS(Торговля!$H$5:$H$300,Торговля!$E$5:$E$300,$B145)+SUMIFS(Закрытые!$H$5:$H$300,Закрытые!$E$5:$E$300,$B145,Закрытые!$B$5:$B$300,"T-*"))</f>
        <v/>
      </c>
      <c r="F145" s="240" t="str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 t="str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 t="str">
        <f>IF(F145="","",SUMIFS(Торговля!$K$5:$K$300,Торговля!$E$5:$E$300,$B145)+SUMIFS(Закрытые!$K$5:$K$300,Закрытые!$E$5:$E$300,$B145,Закрытые!$B$5:$B$300,"T-*"))</f>
        <v/>
      </c>
      <c r="I145" s="240" t="str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 t="str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 t="str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 t="str">
        <f>IF(C146="","",SUMIFS(Торговля!$H$5:$H$300,Торговля!$E$5:$E$300,$B146)+SUMIFS(Закрытые!$H$5:$H$300,Закрытые!$E$5:$E$300,$B146,Закрытые!$B$5:$B$300,"T-*"))</f>
        <v/>
      </c>
      <c r="F146" s="246" t="str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 t="str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 t="str">
        <f>IF(F146="","",SUMIFS(Торговля!$K$5:$K$300,Торговля!$E$5:$E$300,$B146)+SUMIFS(Закрытые!$K$5:$K$300,Закрытые!$E$5:$E$300,$B146,Закрытые!$B$5:$B$300,"T-*"))</f>
        <v/>
      </c>
      <c r="I146" s="246" t="str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 t="str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 t="str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 t="str">
        <f>IF(C147="","",SUMIFS(Торговля!$H$5:$H$300,Торговля!$E$5:$E$300,$B147)+SUMIFS(Закрытые!$H$5:$H$300,Закрытые!$E$5:$E$300,$B147,Закрытые!$B$5:$B$300,"T-*"))</f>
        <v/>
      </c>
      <c r="F147" s="240" t="str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 t="str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 t="str">
        <f>IF(F147="","",SUMIFS(Торговля!$K$5:$K$300,Торговля!$E$5:$E$300,$B147)+SUMIFS(Закрытые!$K$5:$K$300,Закрытые!$E$5:$E$300,$B147,Закрытые!$B$5:$B$300,"T-*"))</f>
        <v/>
      </c>
      <c r="I147" s="240" t="str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 t="str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 t="str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 t="str">
        <f>IF(C148="","",SUMIFS(Торговля!$H$5:$H$300,Торговля!$E$5:$E$300,$B148)+SUMIFS(Закрытые!$H$5:$H$300,Закрытые!$E$5:$E$300,$B148,Закрытые!$B$5:$B$300,"T-*"))</f>
        <v/>
      </c>
      <c r="F148" s="246" t="str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 t="str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 t="str">
        <f>IF(F148="","",SUMIFS(Торговля!$K$5:$K$300,Торговля!$E$5:$E$300,$B148)+SUMIFS(Закрытые!$K$5:$K$300,Закрытые!$E$5:$E$300,$B148,Закрытые!$B$5:$B$300,"T-*"))</f>
        <v/>
      </c>
      <c r="I148" s="246" t="str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 t="str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 t="str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 t="str">
        <f>IF(C149="","",SUMIFS(Торговля!$H$5:$H$300,Торговля!$E$5:$E$300,$B149)+SUMIFS(Закрытые!$H$5:$H$300,Закрытые!$E$5:$E$300,$B149,Закрытые!$B$5:$B$300,"T-*"))</f>
        <v/>
      </c>
      <c r="F149" s="240" t="str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 t="str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 t="str">
        <f>IF(F149="","",SUMIFS(Торговля!$K$5:$K$300,Торговля!$E$5:$E$300,$B149)+SUMIFS(Закрытые!$K$5:$K$300,Закрытые!$E$5:$E$300,$B149,Закрытые!$B$5:$B$300,"T-*"))</f>
        <v/>
      </c>
      <c r="I149" s="240" t="str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 t="str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 t="str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 t="str">
        <f>IF(C150="","",SUMIFS(Торговля!$H$5:$H$300,Торговля!$E$5:$E$300,$B150)+SUMIFS(Закрытые!$H$5:$H$300,Закрытые!$E$5:$E$300,$B150,Закрытые!$B$5:$B$300,"T-*"))</f>
        <v/>
      </c>
      <c r="F150" s="246" t="str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 t="str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 t="str">
        <f>IF(F150="","",SUMIFS(Торговля!$K$5:$K$300,Торговля!$E$5:$E$300,$B150)+SUMIFS(Закрытые!$K$5:$K$300,Закрытые!$E$5:$E$300,$B150,Закрытые!$B$5:$B$300,"T-*"))</f>
        <v/>
      </c>
      <c r="I150" s="246" t="str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 t="str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 t="str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 t="str">
        <f>IF(C151="","",SUMIFS(Торговля!$H$5:$H$300,Торговля!$E$5:$E$300,$B151)+SUMIFS(Закрытые!$H$5:$H$300,Закрытые!$E$5:$E$300,$B151,Закрытые!$B$5:$B$300,"T-*"))</f>
        <v/>
      </c>
      <c r="F151" s="240" t="str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 t="str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 t="str">
        <f>IF(F151="","",SUMIFS(Торговля!$K$5:$K$300,Торговля!$E$5:$E$300,$B151)+SUMIFS(Закрытые!$K$5:$K$300,Закрытые!$E$5:$E$300,$B151,Закрытые!$B$5:$B$300,"T-*"))</f>
        <v/>
      </c>
      <c r="I151" s="240" t="str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 t="str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 t="str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 t="str">
        <f>IF(C152="","",SUMIFS(Торговля!$H$5:$H$300,Торговля!$E$5:$E$300,$B152)+SUMIFS(Закрытые!$H$5:$H$300,Закрытые!$E$5:$E$300,$B152,Закрытые!$B$5:$B$300,"T-*"))</f>
        <v/>
      </c>
      <c r="F152" s="246" t="str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 t="str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 t="str">
        <f>IF(F152="","",SUMIFS(Торговля!$K$5:$K$300,Торговля!$E$5:$E$300,$B152)+SUMIFS(Закрытые!$K$5:$K$300,Закрытые!$E$5:$E$300,$B152,Закрытые!$B$5:$B$300,"T-*"))</f>
        <v/>
      </c>
      <c r="I152" s="246" t="str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 t="str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 t="str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 t="str">
        <f>IF(C153="","",SUMIFS(Торговля!$H$5:$H$300,Торговля!$E$5:$E$300,$B153)+SUMIFS(Закрытые!$H$5:$H$300,Закрытые!$E$5:$E$300,$B153,Закрытые!$B$5:$B$300,"T-*"))</f>
        <v/>
      </c>
      <c r="F153" s="240" t="str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 t="str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 t="str">
        <f>IF(F153="","",SUMIFS(Торговля!$K$5:$K$300,Торговля!$E$5:$E$300,$B153)+SUMIFS(Закрытые!$K$5:$K$300,Закрытые!$E$5:$E$300,$B153,Закрытые!$B$5:$B$300,"T-*"))</f>
        <v/>
      </c>
      <c r="I153" s="240" t="str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 t="str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 t="str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 t="str">
        <f>IF(C154="","",SUMIFS(Торговля!$H$5:$H$300,Торговля!$E$5:$E$300,$B154)+SUMIFS(Закрытые!$H$5:$H$300,Закрытые!$E$5:$E$300,$B154,Закрытые!$B$5:$B$300,"T-*"))</f>
        <v/>
      </c>
      <c r="F154" s="246" t="str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 t="str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 t="str">
        <f>IF(F154="","",SUMIFS(Торговля!$K$5:$K$300,Торговля!$E$5:$E$300,$B154)+SUMIFS(Закрытые!$K$5:$K$300,Закрытые!$E$5:$E$300,$B154,Закрытые!$B$5:$B$300,"T-*"))</f>
        <v/>
      </c>
      <c r="I154" s="246" t="str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 t="str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 t="str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 t="str">
        <f>IF(C155="","",SUMIFS(Торговля!$H$5:$H$300,Торговля!$E$5:$E$300,$B155)+SUMIFS(Закрытые!$H$5:$H$300,Закрытые!$E$5:$E$300,$B155,Закрытые!$B$5:$B$300,"T-*"))</f>
        <v/>
      </c>
      <c r="F155" s="240" t="str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 t="str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 t="str">
        <f>IF(F155="","",SUMIFS(Торговля!$K$5:$K$300,Торговля!$E$5:$E$300,$B155)+SUMIFS(Закрытые!$K$5:$K$300,Закрытые!$E$5:$E$300,$B155,Закрытые!$B$5:$B$300,"T-*"))</f>
        <v/>
      </c>
      <c r="I155" s="240" t="str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 t="str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 t="str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 t="str">
        <f>IF(C156="","",SUMIFS(Торговля!$H$5:$H$300,Торговля!$E$5:$E$300,$B156)+SUMIFS(Закрытые!$H$5:$H$300,Закрытые!$E$5:$E$300,$B156,Закрытые!$B$5:$B$300,"T-*"))</f>
        <v/>
      </c>
      <c r="F156" s="246" t="str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 t="str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 t="str">
        <f>IF(F156="","",SUMIFS(Торговля!$K$5:$K$300,Торговля!$E$5:$E$300,$B156)+SUMIFS(Закрытые!$K$5:$K$300,Закрытые!$E$5:$E$300,$B156,Закрытые!$B$5:$B$300,"T-*"))</f>
        <v/>
      </c>
      <c r="I156" s="246" t="str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 t="str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 t="str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 t="str">
        <f>IF(C157="","",SUMIFS(Торговля!$H$5:$H$300,Торговля!$E$5:$E$300,$B157)+SUMIFS(Закрытые!$H$5:$H$300,Закрытые!$E$5:$E$300,$B157,Закрытые!$B$5:$B$300,"T-*"))</f>
        <v/>
      </c>
      <c r="F157" s="240" t="str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 t="str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 t="str">
        <f>IF(F157="","",SUMIFS(Торговля!$K$5:$K$300,Торговля!$E$5:$E$300,$B157)+SUMIFS(Закрытые!$K$5:$K$300,Закрытые!$E$5:$E$300,$B157,Закрытые!$B$5:$B$300,"T-*"))</f>
        <v/>
      </c>
      <c r="I157" s="240" t="str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 t="str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 t="str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 t="str">
        <f>IF(C158="","",SUMIFS(Торговля!$H$5:$H$300,Торговля!$E$5:$E$300,$B158)+SUMIFS(Закрытые!$H$5:$H$300,Закрытые!$E$5:$E$300,$B158,Закрытые!$B$5:$B$300,"T-*"))</f>
        <v/>
      </c>
      <c r="F158" s="246" t="str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 t="str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 t="str">
        <f>IF(F158="","",SUMIFS(Торговля!$K$5:$K$300,Торговля!$E$5:$E$300,$B158)+SUMIFS(Закрытые!$K$5:$K$300,Закрытые!$E$5:$E$300,$B158,Закрытые!$B$5:$B$300,"T-*"))</f>
        <v/>
      </c>
      <c r="I158" s="246" t="str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 t="str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 t="str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 t="str">
        <f>IF(C159="","",SUMIFS(Торговля!$H$5:$H$300,Торговля!$E$5:$E$300,$B159)+SUMIFS(Закрытые!$H$5:$H$300,Закрытые!$E$5:$E$300,$B159,Закрытые!$B$5:$B$300,"T-*"))</f>
        <v/>
      </c>
      <c r="F159" s="240" t="str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 t="str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 t="str">
        <f>IF(F159="","",SUMIFS(Торговля!$K$5:$K$300,Торговля!$E$5:$E$300,$B159)+SUMIFS(Закрытые!$K$5:$K$300,Закрытые!$E$5:$E$300,$B159,Закрытые!$B$5:$B$300,"T-*"))</f>
        <v/>
      </c>
      <c r="I159" s="240" t="str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 t="str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 t="str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 t="str">
        <f>IF(C160="","",SUMIFS(Торговля!$H$5:$H$300,Торговля!$E$5:$E$300,$B160)+SUMIFS(Закрытые!$H$5:$H$300,Закрытые!$E$5:$E$300,$B160,Закрытые!$B$5:$B$300,"T-*"))</f>
        <v/>
      </c>
      <c r="F160" s="246" t="str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 t="str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 t="str">
        <f>IF(F160="","",SUMIFS(Торговля!$K$5:$K$300,Торговля!$E$5:$E$300,$B160)+SUMIFS(Закрытые!$K$5:$K$300,Закрытые!$E$5:$E$300,$B160,Закрытые!$B$5:$B$300,"T-*"))</f>
        <v/>
      </c>
      <c r="I160" s="246" t="str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 t="str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 t="str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 t="str">
        <f>IF(C161="","",SUMIFS(Торговля!$H$5:$H$300,Торговля!$E$5:$E$300,$B161)+SUMIFS(Закрытые!$H$5:$H$300,Закрытые!$E$5:$E$300,$B161,Закрытые!$B$5:$B$300,"T-*"))</f>
        <v/>
      </c>
      <c r="F161" s="240" t="str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 t="str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 t="str">
        <f>IF(F161="","",SUMIFS(Торговля!$K$5:$K$300,Торговля!$E$5:$E$300,$B161)+SUMIFS(Закрытые!$K$5:$K$300,Закрытые!$E$5:$E$300,$B161,Закрытые!$B$5:$B$300,"T-*"))</f>
        <v/>
      </c>
      <c r="I161" s="240" t="str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 t="str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 t="str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 t="str">
        <f>IF(C162="","",SUMIFS(Торговля!$H$5:$H$300,Торговля!$E$5:$E$300,$B162)+SUMIFS(Закрытые!$H$5:$H$300,Закрытые!$E$5:$E$300,$B162,Закрытые!$B$5:$B$300,"T-*"))</f>
        <v/>
      </c>
      <c r="F162" s="246" t="str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 t="str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 t="str">
        <f>IF(F162="","",SUMIFS(Торговля!$K$5:$K$300,Торговля!$E$5:$E$300,$B162)+SUMIFS(Закрытые!$K$5:$K$300,Закрытые!$E$5:$E$300,$B162,Закрытые!$B$5:$B$300,"T-*"))</f>
        <v/>
      </c>
      <c r="I162" s="246" t="str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 t="str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 t="str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 t="str">
        <f>IF(C163="","",SUMIFS(Торговля!$H$5:$H$300,Торговля!$E$5:$E$300,$B163)+SUMIFS(Закрытые!$H$5:$H$300,Закрытые!$E$5:$E$300,$B163,Закрытые!$B$5:$B$300,"T-*"))</f>
        <v/>
      </c>
      <c r="F163" s="240" t="str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 t="str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 t="str">
        <f>IF(F163="","",SUMIFS(Торговля!$K$5:$K$300,Торговля!$E$5:$E$300,$B163)+SUMIFS(Закрытые!$K$5:$K$300,Закрытые!$E$5:$E$300,$B163,Закрытые!$B$5:$B$300,"T-*"))</f>
        <v/>
      </c>
      <c r="I163" s="240" t="str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 t="str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 t="str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 t="str">
        <f>IF(C164="","",SUMIFS(Торговля!$H$5:$H$300,Торговля!$E$5:$E$300,$B164)+SUMIFS(Закрытые!$H$5:$H$300,Закрытые!$E$5:$E$300,$B164,Закрытые!$B$5:$B$300,"T-*"))</f>
        <v/>
      </c>
      <c r="F164" s="246" t="str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 t="str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 t="str">
        <f>IF(F164="","",SUMIFS(Торговля!$K$5:$K$300,Торговля!$E$5:$E$300,$B164)+SUMIFS(Закрытые!$K$5:$K$300,Закрытые!$E$5:$E$300,$B164,Закрытые!$B$5:$B$300,"T-*"))</f>
        <v/>
      </c>
      <c r="I164" s="246" t="str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 t="str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 t="str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 t="str">
        <f>IF(C165="","",SUMIFS(Торговля!$H$5:$H$300,Торговля!$E$5:$E$300,$B165)+SUMIFS(Закрытые!$H$5:$H$300,Закрытые!$E$5:$E$300,$B165,Закрытые!$B$5:$B$300,"T-*"))</f>
        <v/>
      </c>
      <c r="F165" s="240" t="str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 t="str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 t="str">
        <f>IF(F165="","",SUMIFS(Торговля!$K$5:$K$300,Торговля!$E$5:$E$300,$B165)+SUMIFS(Закрытые!$K$5:$K$300,Закрытые!$E$5:$E$300,$B165,Закрытые!$B$5:$B$300,"T-*"))</f>
        <v/>
      </c>
      <c r="I165" s="240" t="str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 t="str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 t="str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 t="str">
        <f>IF(C166="","",SUMIFS(Торговля!$H$5:$H$300,Торговля!$E$5:$E$300,$B166)+SUMIFS(Закрытые!$H$5:$H$300,Закрытые!$E$5:$E$300,$B166,Закрытые!$B$5:$B$300,"T-*"))</f>
        <v/>
      </c>
      <c r="F166" s="246" t="str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 t="str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 t="str">
        <f>IF(F166="","",SUMIFS(Торговля!$K$5:$K$300,Торговля!$E$5:$E$300,$B166)+SUMIFS(Закрытые!$K$5:$K$300,Закрытые!$E$5:$E$300,$B166,Закрытые!$B$5:$B$300,"T-*"))</f>
        <v/>
      </c>
      <c r="I166" s="246" t="str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 t="str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 t="str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 t="str">
        <f>IF(C167="","",SUMIFS(Торговля!$H$5:$H$300,Торговля!$E$5:$E$300,$B167)+SUMIFS(Закрытые!$H$5:$H$300,Закрытые!$E$5:$E$300,$B167,Закрытые!$B$5:$B$300,"T-*"))</f>
        <v/>
      </c>
      <c r="F167" s="240" t="str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 t="str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 t="str">
        <f>IF(F167="","",SUMIFS(Торговля!$K$5:$K$300,Торговля!$E$5:$E$300,$B167)+SUMIFS(Закрытые!$K$5:$K$300,Закрытые!$E$5:$E$300,$B167,Закрытые!$B$5:$B$300,"T-*"))</f>
        <v/>
      </c>
      <c r="I167" s="240" t="str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 t="str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 t="str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 t="str">
        <f>IF(C168="","",SUMIFS(Торговля!$H$5:$H$300,Торговля!$E$5:$E$300,$B168)+SUMIFS(Закрытые!$H$5:$H$300,Закрытые!$E$5:$E$300,$B168,Закрытые!$B$5:$B$300,"T-*"))</f>
        <v/>
      </c>
      <c r="F168" s="246" t="str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 t="str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 t="str">
        <f>IF(F168="","",SUMIFS(Торговля!$K$5:$K$300,Торговля!$E$5:$E$300,$B168)+SUMIFS(Закрытые!$K$5:$K$300,Закрытые!$E$5:$E$300,$B168,Закрытые!$B$5:$B$300,"T-*"))</f>
        <v/>
      </c>
      <c r="I168" s="246" t="str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 t="str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 t="str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 t="str">
        <f>IF(C169="","",SUMIFS(Торговля!$H$5:$H$300,Торговля!$E$5:$E$300,$B169)+SUMIFS(Закрытые!$H$5:$H$300,Закрытые!$E$5:$E$300,$B169,Закрытые!$B$5:$B$300,"T-*"))</f>
        <v/>
      </c>
      <c r="F169" s="240" t="str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 t="str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 t="str">
        <f>IF(F169="","",SUMIFS(Торговля!$K$5:$K$300,Торговля!$E$5:$E$300,$B169)+SUMIFS(Закрытые!$K$5:$K$300,Закрытые!$E$5:$E$300,$B169,Закрытые!$B$5:$B$300,"T-*"))</f>
        <v/>
      </c>
      <c r="I169" s="240" t="str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 t="str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 t="str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 t="str">
        <f>IF(C170="","",SUMIFS(Торговля!$H$5:$H$300,Торговля!$E$5:$E$300,$B170)+SUMIFS(Закрытые!$H$5:$H$300,Закрытые!$E$5:$E$300,$B170,Закрытые!$B$5:$B$300,"T-*"))</f>
        <v/>
      </c>
      <c r="F170" s="246" t="str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 t="str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 t="str">
        <f>IF(F170="","",SUMIFS(Торговля!$K$5:$K$300,Торговля!$E$5:$E$300,$B170)+SUMIFS(Закрытые!$K$5:$K$300,Закрытые!$E$5:$E$300,$B170,Закрытые!$B$5:$B$300,"T-*"))</f>
        <v/>
      </c>
      <c r="I170" s="246" t="str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 t="str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 t="str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 t="str">
        <f>IF(C171="","",SUMIFS(Торговля!$H$5:$H$300,Торговля!$E$5:$E$300,$B171)+SUMIFS(Закрытые!$H$5:$H$300,Закрытые!$E$5:$E$300,$B171,Закрытые!$B$5:$B$300,"T-*"))</f>
        <v/>
      </c>
      <c r="F171" s="240" t="str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 t="str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 t="str">
        <f>IF(F171="","",SUMIFS(Торговля!$K$5:$K$300,Торговля!$E$5:$E$300,$B171)+SUMIFS(Закрытые!$K$5:$K$300,Закрытые!$E$5:$E$300,$B171,Закрытые!$B$5:$B$300,"T-*"))</f>
        <v/>
      </c>
      <c r="I171" s="240" t="str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 t="str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 t="str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 t="str">
        <f>IF(C172="","",SUMIFS(Торговля!$H$5:$H$300,Торговля!$E$5:$E$300,$B172)+SUMIFS(Закрытые!$H$5:$H$300,Закрытые!$E$5:$E$300,$B172,Закрытые!$B$5:$B$300,"T-*"))</f>
        <v/>
      </c>
      <c r="F172" s="246" t="str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 t="str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 t="str">
        <f>IF(F172="","",SUMIFS(Торговля!$K$5:$K$300,Торговля!$E$5:$E$300,$B172)+SUMIFS(Закрытые!$K$5:$K$300,Закрытые!$E$5:$E$300,$B172,Закрытые!$B$5:$B$300,"T-*"))</f>
        <v/>
      </c>
      <c r="I172" s="246" t="str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 t="str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 t="str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 t="str">
        <f>IF(C173="","",SUMIFS(Торговля!$H$5:$H$300,Торговля!$E$5:$E$300,$B173)+SUMIFS(Закрытые!$H$5:$H$300,Закрытые!$E$5:$E$300,$B173,Закрытые!$B$5:$B$300,"T-*"))</f>
        <v/>
      </c>
      <c r="F173" s="240" t="str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 t="str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 t="str">
        <f>IF(F173="","",SUMIFS(Торговля!$K$5:$K$300,Торговля!$E$5:$E$300,$B173)+SUMIFS(Закрытые!$K$5:$K$300,Закрытые!$E$5:$E$300,$B173,Закрытые!$B$5:$B$300,"T-*"))</f>
        <v/>
      </c>
      <c r="I173" s="240" t="str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 t="str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 t="str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 t="str">
        <f>IF(C174="","",SUMIFS(Торговля!$H$5:$H$300,Торговля!$E$5:$E$300,$B174)+SUMIFS(Закрытые!$H$5:$H$300,Закрытые!$E$5:$E$300,$B174,Закрытые!$B$5:$B$300,"T-*"))</f>
        <v/>
      </c>
      <c r="F174" s="246" t="str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 t="str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 t="str">
        <f>IF(F174="","",SUMIFS(Торговля!$K$5:$K$300,Торговля!$E$5:$E$300,$B174)+SUMIFS(Закрытые!$K$5:$K$300,Закрытые!$E$5:$E$300,$B174,Закрытые!$B$5:$B$300,"T-*"))</f>
        <v/>
      </c>
      <c r="I174" s="246" t="str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 t="str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 t="str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 t="str">
        <f>IF(C175="","",SUMIFS(Торговля!$H$5:$H$300,Торговля!$E$5:$E$300,$B175)+SUMIFS(Закрытые!$H$5:$H$300,Закрытые!$E$5:$E$300,$B175,Закрытые!$B$5:$B$300,"T-*"))</f>
        <v/>
      </c>
      <c r="F175" s="240" t="str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 t="str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 t="str">
        <f>IF(F175="","",SUMIFS(Торговля!$K$5:$K$300,Торговля!$E$5:$E$300,$B175)+SUMIFS(Закрытые!$K$5:$K$300,Закрытые!$E$5:$E$300,$B175,Закрытые!$B$5:$B$300,"T-*"))</f>
        <v/>
      </c>
      <c r="I175" s="240" t="str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 t="str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 t="str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 t="str">
        <f>IF(C176="","",SUMIFS(Торговля!$H$5:$H$300,Торговля!$E$5:$E$300,$B176)+SUMIFS(Закрытые!$H$5:$H$300,Закрытые!$E$5:$E$300,$B176,Закрытые!$B$5:$B$300,"T-*"))</f>
        <v/>
      </c>
      <c r="F176" s="246" t="str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 t="str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 t="str">
        <f>IF(F176="","",SUMIFS(Торговля!$K$5:$K$300,Торговля!$E$5:$E$300,$B176)+SUMIFS(Закрытые!$K$5:$K$300,Закрытые!$E$5:$E$300,$B176,Закрытые!$B$5:$B$300,"T-*"))</f>
        <v/>
      </c>
      <c r="I176" s="246" t="str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 t="str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 t="str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 t="str">
        <f>IF(C177="","",SUMIFS(Торговля!$H$5:$H$300,Торговля!$E$5:$E$300,$B177)+SUMIFS(Закрытые!$H$5:$H$300,Закрытые!$E$5:$E$300,$B177,Закрытые!$B$5:$B$300,"T-*"))</f>
        <v/>
      </c>
      <c r="F177" s="240" t="str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 t="str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 t="str">
        <f>IF(F177="","",SUMIFS(Торговля!$K$5:$K$300,Торговля!$E$5:$E$300,$B177)+SUMIFS(Закрытые!$K$5:$K$300,Закрытые!$E$5:$E$300,$B177,Закрытые!$B$5:$B$300,"T-*"))</f>
        <v/>
      </c>
      <c r="I177" s="240" t="str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 t="str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 t="str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 t="str">
        <f>IF(C178="","",SUMIFS(Торговля!$H$5:$H$300,Торговля!$E$5:$E$300,$B178)+SUMIFS(Закрытые!$H$5:$H$300,Закрытые!$E$5:$E$300,$B178,Закрытые!$B$5:$B$300,"T-*"))</f>
        <v/>
      </c>
      <c r="F178" s="246" t="str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 t="str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 t="str">
        <f>IF(F178="","",SUMIFS(Торговля!$K$5:$K$300,Торговля!$E$5:$E$300,$B178)+SUMIFS(Закрытые!$K$5:$K$300,Закрытые!$E$5:$E$300,$B178,Закрытые!$B$5:$B$300,"T-*"))</f>
        <v/>
      </c>
      <c r="I178" s="246" t="str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 t="str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 t="str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 t="str">
        <f>IF(C179="","",SUMIFS(Торговля!$H$5:$H$300,Торговля!$E$5:$E$300,$B179)+SUMIFS(Закрытые!$H$5:$H$300,Закрытые!$E$5:$E$300,$B179,Закрытые!$B$5:$B$300,"T-*"))</f>
        <v/>
      </c>
      <c r="F179" s="240" t="str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 t="str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 t="str">
        <f>IF(F179="","",SUMIFS(Торговля!$K$5:$K$300,Торговля!$E$5:$E$300,$B179)+SUMIFS(Закрытые!$K$5:$K$300,Закрытые!$E$5:$E$300,$B179,Закрытые!$B$5:$B$300,"T-*"))</f>
        <v/>
      </c>
      <c r="I179" s="240" t="str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 t="str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 t="str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 t="str">
        <f>IF(C180="","",SUMIFS(Торговля!$H$5:$H$300,Торговля!$E$5:$E$300,$B180)+SUMIFS(Закрытые!$H$5:$H$300,Закрытые!$E$5:$E$300,$B180,Закрытые!$B$5:$B$300,"T-*"))</f>
        <v/>
      </c>
      <c r="F180" s="246" t="str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 t="str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 t="str">
        <f>IF(F180="","",SUMIFS(Торговля!$K$5:$K$300,Торговля!$E$5:$E$300,$B180)+SUMIFS(Закрытые!$K$5:$K$300,Закрытые!$E$5:$E$300,$B180,Закрытые!$B$5:$B$300,"T-*"))</f>
        <v/>
      </c>
      <c r="I180" s="246" t="str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 t="str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 t="str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 t="str">
        <f>IF(C181="","",SUMIFS(Торговля!$H$5:$H$300,Торговля!$E$5:$E$300,$B181)+SUMIFS(Закрытые!$H$5:$H$300,Закрытые!$E$5:$E$300,$B181,Закрытые!$B$5:$B$300,"T-*"))</f>
        <v/>
      </c>
      <c r="F181" s="240" t="str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 t="str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 t="str">
        <f>IF(F181="","",SUMIFS(Торговля!$K$5:$K$300,Торговля!$E$5:$E$300,$B181)+SUMIFS(Закрытые!$K$5:$K$300,Закрытые!$E$5:$E$300,$B181,Закрытые!$B$5:$B$300,"T-*"))</f>
        <v/>
      </c>
      <c r="I181" s="240" t="str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 t="str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 t="str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 t="str">
        <f>IF(C182="","",SUMIFS(Торговля!$H$5:$H$300,Торговля!$E$5:$E$300,$B182)+SUMIFS(Закрытые!$H$5:$H$300,Закрытые!$E$5:$E$300,$B182,Закрытые!$B$5:$B$300,"T-*"))</f>
        <v/>
      </c>
      <c r="F182" s="246" t="str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 t="str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 t="str">
        <f>IF(F182="","",SUMIFS(Торговля!$K$5:$K$300,Торговля!$E$5:$E$300,$B182)+SUMIFS(Закрытые!$K$5:$K$300,Закрытые!$E$5:$E$300,$B182,Закрытые!$B$5:$B$300,"T-*"))</f>
        <v/>
      </c>
      <c r="I182" s="246" t="str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 t="str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 t="str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 t="str">
        <f>IF(C183="","",SUMIFS(Торговля!$H$5:$H$300,Торговля!$E$5:$E$300,$B183)+SUMIFS(Закрытые!$H$5:$H$300,Закрытые!$E$5:$E$300,$B183,Закрытые!$B$5:$B$300,"T-*"))</f>
        <v/>
      </c>
      <c r="F183" s="240" t="str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 t="str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 t="str">
        <f>IF(F183="","",SUMIFS(Торговля!$K$5:$K$300,Торговля!$E$5:$E$300,$B183)+SUMIFS(Закрытые!$K$5:$K$300,Закрытые!$E$5:$E$300,$B183,Закрытые!$B$5:$B$300,"T-*"))</f>
        <v/>
      </c>
      <c r="I183" s="240" t="str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 t="str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 t="str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 t="str">
        <f>IF(C184="","",SUMIFS(Торговля!$H$5:$H$300,Торговля!$E$5:$E$300,$B184)+SUMIFS(Закрытые!$H$5:$H$300,Закрытые!$E$5:$E$300,$B184,Закрытые!$B$5:$B$300,"T-*"))</f>
        <v/>
      </c>
      <c r="F184" s="246" t="str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 t="str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 t="str">
        <f>IF(F184="","",SUMIFS(Торговля!$K$5:$K$300,Торговля!$E$5:$E$300,$B184)+SUMIFS(Закрытые!$K$5:$K$300,Закрытые!$E$5:$E$300,$B184,Закрытые!$B$5:$B$300,"T-*"))</f>
        <v/>
      </c>
      <c r="I184" s="246" t="str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 t="str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 t="str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 t="str">
        <f>IF(C185="","",SUMIFS(Торговля!$H$5:$H$300,Торговля!$E$5:$E$300,$B185)+SUMIFS(Закрытые!$H$5:$H$300,Закрытые!$E$5:$E$300,$B185,Закрытые!$B$5:$B$300,"T-*"))</f>
        <v/>
      </c>
      <c r="F185" s="240" t="str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 t="str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 t="str">
        <f>IF(F185="","",SUMIFS(Торговля!$K$5:$K$300,Торговля!$E$5:$E$300,$B185)+SUMIFS(Закрытые!$K$5:$K$300,Закрытые!$E$5:$E$300,$B185,Закрытые!$B$5:$B$300,"T-*"))</f>
        <v/>
      </c>
      <c r="I185" s="240" t="str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 t="str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 t="str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 t="str">
        <f>IF(C186="","",SUMIFS(Торговля!$H$5:$H$300,Торговля!$E$5:$E$300,$B186)+SUMIFS(Закрытые!$H$5:$H$300,Закрытые!$E$5:$E$300,$B186,Закрытые!$B$5:$B$300,"T-*"))</f>
        <v/>
      </c>
      <c r="F186" s="246" t="str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 t="str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 t="str">
        <f>IF(F186="","",SUMIFS(Торговля!$K$5:$K$300,Торговля!$E$5:$E$300,$B186)+SUMIFS(Закрытые!$K$5:$K$300,Закрытые!$E$5:$E$300,$B186,Закрытые!$B$5:$B$300,"T-*"))</f>
        <v/>
      </c>
      <c r="I186" s="246" t="str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 t="str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 t="str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 t="str">
        <f>IF(C187="","",SUMIFS(Торговля!$H$5:$H$300,Торговля!$E$5:$E$300,$B187)+SUMIFS(Закрытые!$H$5:$H$300,Закрытые!$E$5:$E$300,$B187,Закрытые!$B$5:$B$300,"T-*"))</f>
        <v/>
      </c>
      <c r="F187" s="240" t="str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 t="str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 t="str">
        <f>IF(F187="","",SUMIFS(Торговля!$K$5:$K$300,Торговля!$E$5:$E$300,$B187)+SUMIFS(Закрытые!$K$5:$K$300,Закрытые!$E$5:$E$300,$B187,Закрытые!$B$5:$B$300,"T-*"))</f>
        <v/>
      </c>
      <c r="I187" s="240" t="str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 t="str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 t="str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 t="str">
        <f>IF(C188="","",SUMIFS(Торговля!$H$5:$H$300,Торговля!$E$5:$E$300,$B188)+SUMIFS(Закрытые!$H$5:$H$300,Закрытые!$E$5:$E$300,$B188,Закрытые!$B$5:$B$300,"T-*"))</f>
        <v/>
      </c>
      <c r="F188" s="246" t="str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 t="str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 t="str">
        <f>IF(F188="","",SUMIFS(Торговля!$K$5:$K$300,Торговля!$E$5:$E$300,$B188)+SUMIFS(Закрытые!$K$5:$K$300,Закрытые!$E$5:$E$300,$B188,Закрытые!$B$5:$B$300,"T-*"))</f>
        <v/>
      </c>
      <c r="I188" s="246" t="str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 t="str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 t="str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 t="str">
        <f>IF(C189="","",SUMIFS(Торговля!$H$5:$H$300,Торговля!$E$5:$E$300,$B189)+SUMIFS(Закрытые!$H$5:$H$300,Закрытые!$E$5:$E$300,$B189,Закрытые!$B$5:$B$300,"T-*"))</f>
        <v/>
      </c>
      <c r="F189" s="240" t="str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 t="str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 t="str">
        <f>IF(F189="","",SUMIFS(Торговля!$K$5:$K$300,Торговля!$E$5:$E$300,$B189)+SUMIFS(Закрытые!$K$5:$K$300,Закрытые!$E$5:$E$300,$B189,Закрытые!$B$5:$B$300,"T-*"))</f>
        <v/>
      </c>
      <c r="I189" s="240" t="str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 t="str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 t="str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 t="str">
        <f>IF(C190="","",SUMIFS(Торговля!$H$5:$H$300,Торговля!$E$5:$E$300,$B190)+SUMIFS(Закрытые!$H$5:$H$300,Закрытые!$E$5:$E$300,$B190,Закрытые!$B$5:$B$300,"T-*"))</f>
        <v/>
      </c>
      <c r="F190" s="246" t="str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 t="str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 t="str">
        <f>IF(F190="","",SUMIFS(Торговля!$K$5:$K$300,Торговля!$E$5:$E$300,$B190)+SUMIFS(Закрытые!$K$5:$K$300,Закрытые!$E$5:$E$300,$B190,Закрытые!$B$5:$B$300,"T-*"))</f>
        <v/>
      </c>
      <c r="I190" s="246" t="str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 t="str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 t="str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 t="str">
        <f>IF(C191="","",SUMIFS(Торговля!$H$5:$H$300,Торговля!$E$5:$E$300,$B191)+SUMIFS(Закрытые!$H$5:$H$300,Закрытые!$E$5:$E$300,$B191,Закрытые!$B$5:$B$300,"T-*"))</f>
        <v/>
      </c>
      <c r="F191" s="240" t="str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 t="str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 t="str">
        <f>IF(F191="","",SUMIFS(Торговля!$K$5:$K$300,Торговля!$E$5:$E$300,$B191)+SUMIFS(Закрытые!$K$5:$K$300,Закрытые!$E$5:$E$300,$B191,Закрытые!$B$5:$B$300,"T-*"))</f>
        <v/>
      </c>
      <c r="I191" s="240" t="str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 t="str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 t="str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 t="str">
        <f>IF(C192="","",SUMIFS(Торговля!$H$5:$H$300,Торговля!$E$5:$E$300,$B192)+SUMIFS(Закрытые!$H$5:$H$300,Закрытые!$E$5:$E$300,$B192,Закрытые!$B$5:$B$300,"T-*"))</f>
        <v/>
      </c>
      <c r="F192" s="246" t="str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 t="str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 t="str">
        <f>IF(F192="","",SUMIFS(Торговля!$K$5:$K$300,Торговля!$E$5:$E$300,$B192)+SUMIFS(Закрытые!$K$5:$K$300,Закрытые!$E$5:$E$300,$B192,Закрытые!$B$5:$B$300,"T-*"))</f>
        <v/>
      </c>
      <c r="I192" s="246" t="str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 t="str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 t="str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 t="str">
        <f>IF(C193="","",SUMIFS(Торговля!$H$5:$H$300,Торговля!$E$5:$E$300,$B193)+SUMIFS(Закрытые!$H$5:$H$300,Закрытые!$E$5:$E$300,$B193,Закрытые!$B$5:$B$300,"T-*"))</f>
        <v/>
      </c>
      <c r="F193" s="240" t="str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 t="str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 t="str">
        <f>IF(F193="","",SUMIFS(Торговля!$K$5:$K$300,Торговля!$E$5:$E$300,$B193)+SUMIFS(Закрытые!$K$5:$K$300,Закрытые!$E$5:$E$300,$B193,Закрытые!$B$5:$B$300,"T-*"))</f>
        <v/>
      </c>
      <c r="I193" s="240" t="str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 t="str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 t="str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 t="str">
        <f>IF(C194="","",SUMIFS(Торговля!$H$5:$H$300,Торговля!$E$5:$E$300,$B194)+SUMIFS(Закрытые!$H$5:$H$300,Закрытые!$E$5:$E$300,$B194,Закрытые!$B$5:$B$300,"T-*"))</f>
        <v/>
      </c>
      <c r="F194" s="246" t="str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 t="str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 t="str">
        <f>IF(F194="","",SUMIFS(Торговля!$K$5:$K$300,Торговля!$E$5:$E$300,$B194)+SUMIFS(Закрытые!$K$5:$K$300,Закрытые!$E$5:$E$300,$B194,Закрытые!$B$5:$B$300,"T-*"))</f>
        <v/>
      </c>
      <c r="I194" s="246" t="str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 t="str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 t="str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 t="str">
        <f>IF(C195="","",SUMIFS(Торговля!$H$5:$H$300,Торговля!$E$5:$E$300,$B195)+SUMIFS(Закрытые!$H$5:$H$300,Закрытые!$E$5:$E$300,$B195,Закрытые!$B$5:$B$300,"T-*"))</f>
        <v/>
      </c>
      <c r="F195" s="240" t="str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 t="str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 t="str">
        <f>IF(F195="","",SUMIFS(Торговля!$K$5:$K$300,Торговля!$E$5:$E$300,$B195)+SUMIFS(Закрытые!$K$5:$K$300,Закрытые!$E$5:$E$300,$B195,Закрытые!$B$5:$B$300,"T-*"))</f>
        <v/>
      </c>
      <c r="I195" s="240" t="str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 t="str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 t="str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 t="str">
        <f>IF(C196="","",SUMIFS(Торговля!$H$5:$H$300,Торговля!$E$5:$E$300,$B196)+SUMIFS(Закрытые!$H$5:$H$300,Закрытые!$E$5:$E$300,$B196,Закрытые!$B$5:$B$300,"T-*"))</f>
        <v/>
      </c>
      <c r="F196" s="246" t="str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 t="str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 t="str">
        <f>IF(F196="","",SUMIFS(Торговля!$K$5:$K$300,Торговля!$E$5:$E$300,$B196)+SUMIFS(Закрытые!$K$5:$K$300,Закрытые!$E$5:$E$300,$B196,Закрытые!$B$5:$B$300,"T-*"))</f>
        <v/>
      </c>
      <c r="I196" s="246" t="str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 t="str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 t="str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 t="str">
        <f>IF(C197="","",SUMIFS(Торговля!$H$5:$H$300,Торговля!$E$5:$E$300,$B197)+SUMIFS(Закрытые!$H$5:$H$300,Закрытые!$E$5:$E$300,$B197,Закрытые!$B$5:$B$300,"T-*"))</f>
        <v/>
      </c>
      <c r="F197" s="240" t="str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 t="str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 t="str">
        <f>IF(F197="","",SUMIFS(Торговля!$K$5:$K$300,Торговля!$E$5:$E$300,$B197)+SUMIFS(Закрытые!$K$5:$K$300,Закрытые!$E$5:$E$300,$B197,Закрытые!$B$5:$B$300,"T-*"))</f>
        <v/>
      </c>
      <c r="I197" s="240" t="str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 t="str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 t="str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 t="str">
        <f>IF(C198="","",SUMIFS(Торговля!$H$5:$H$300,Торговля!$E$5:$E$300,$B198)+SUMIFS(Закрытые!$H$5:$H$300,Закрытые!$E$5:$E$300,$B198,Закрытые!$B$5:$B$300,"T-*"))</f>
        <v/>
      </c>
      <c r="F198" s="246" t="str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 t="str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 t="str">
        <f>IF(F198="","",SUMIFS(Торговля!$K$5:$K$300,Торговля!$E$5:$E$300,$B198)+SUMIFS(Закрытые!$K$5:$K$300,Закрытые!$E$5:$E$300,$B198,Закрытые!$B$5:$B$300,"T-*"))</f>
        <v/>
      </c>
      <c r="I198" s="246" t="str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 t="str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 t="str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 t="str">
        <f>IF(C199="","",SUMIFS(Торговля!$H$5:$H$300,Торговля!$E$5:$E$300,$B199)+SUMIFS(Закрытые!$H$5:$H$300,Закрытые!$E$5:$E$300,$B199,Закрытые!$B$5:$B$300,"T-*"))</f>
        <v/>
      </c>
      <c r="F199" s="240" t="str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 t="str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 t="str">
        <f>IF(F199="","",SUMIFS(Торговля!$K$5:$K$300,Торговля!$E$5:$E$300,$B199)+SUMIFS(Закрытые!$K$5:$K$300,Закрытые!$E$5:$E$300,$B199,Закрытые!$B$5:$B$300,"T-*"))</f>
        <v/>
      </c>
      <c r="I199" s="240" t="str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 t="str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 t="str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 t="str">
        <f>IF(C200="","",SUMIFS(Торговля!$H$5:$H$300,Торговля!$E$5:$E$300,$B200)+SUMIFS(Закрытые!$H$5:$H$300,Закрытые!$E$5:$E$300,$B200,Закрытые!$B$5:$B$300,"T-*"))</f>
        <v/>
      </c>
      <c r="F200" s="246" t="str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 t="str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 t="str">
        <f>IF(F200="","",SUMIFS(Торговля!$K$5:$K$300,Торговля!$E$5:$E$300,$B200)+SUMIFS(Закрытые!$K$5:$K$300,Закрытые!$E$5:$E$300,$B200,Закрытые!$B$5:$B$300,"T-*"))</f>
        <v/>
      </c>
      <c r="I200" s="246" t="str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 t="str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 t="str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 t="str">
        <f>IF(C201="","",SUMIFS(Торговля!$H$5:$H$300,Торговля!$E$5:$E$300,$B201)+SUMIFS(Закрытые!$H$5:$H$300,Закрытые!$E$5:$E$300,$B201,Закрытые!$B$5:$B$300,"T-*"))</f>
        <v/>
      </c>
      <c r="F201" s="240" t="str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 t="str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 t="str">
        <f>IF(F201="","",SUMIFS(Торговля!$K$5:$K$300,Торговля!$E$5:$E$300,$B201)+SUMIFS(Закрытые!$K$5:$K$300,Закрытые!$E$5:$E$300,$B201,Закрытые!$B$5:$B$300,"T-*"))</f>
        <v/>
      </c>
      <c r="I201" s="240" t="str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 t="str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 t="str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 t="str">
        <f>IF(C202="","",SUMIFS(Торговля!$H$5:$H$300,Торговля!$E$5:$E$300,$B202)+SUMIFS(Закрытые!$H$5:$H$300,Закрытые!$E$5:$E$300,$B202,Закрытые!$B$5:$B$300,"T-*"))</f>
        <v/>
      </c>
      <c r="F202" s="246" t="str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 t="str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 t="str">
        <f>IF(F202="","",SUMIFS(Торговля!$K$5:$K$300,Торговля!$E$5:$E$300,$B202)+SUMIFS(Закрытые!$K$5:$K$300,Закрытые!$E$5:$E$300,$B202,Закрытые!$B$5:$B$300,"T-*"))</f>
        <v/>
      </c>
      <c r="I202" s="246" t="str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 t="str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 t="str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 t="str">
        <f>IF(C203="","",SUMIFS(Торговля!$H$5:$H$300,Торговля!$E$5:$E$300,$B203)+SUMIFS(Закрытые!$H$5:$H$300,Закрытые!$E$5:$E$300,$B203,Закрытые!$B$5:$B$300,"T-*"))</f>
        <v/>
      </c>
      <c r="F203" s="240" t="str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 t="str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 t="str">
        <f>IF(F203="","",SUMIFS(Торговля!$K$5:$K$300,Торговля!$E$5:$E$300,$B203)+SUMIFS(Закрытые!$K$5:$K$300,Закрытые!$E$5:$E$300,$B203,Закрытые!$B$5:$B$300,"T-*"))</f>
        <v/>
      </c>
      <c r="I203" s="240" t="str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 t="str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 t="str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 t="str">
        <f>IF(C204="","",SUMIFS(Торговля!$H$5:$H$300,Торговля!$E$5:$E$300,$B204)+SUMIFS(Закрытые!$H$5:$H$300,Закрытые!$E$5:$E$300,$B204,Закрытые!$B$5:$B$300,"T-*"))</f>
        <v/>
      </c>
      <c r="F204" s="246" t="str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 t="str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 t="str">
        <f>IF(F204="","",SUMIFS(Торговля!$K$5:$K$300,Торговля!$E$5:$E$300,$B204)+SUMIFS(Закрытые!$K$5:$K$300,Закрытые!$E$5:$E$300,$B204,Закрытые!$B$5:$B$300,"T-*"))</f>
        <v/>
      </c>
      <c r="I204" s="246" t="str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 t="str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 t="str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 t="str">
        <f>IF(C205="","",SUMIFS(Торговля!$H$5:$H$300,Торговля!$E$5:$E$300,$B205)+SUMIFS(Закрытые!$H$5:$H$300,Закрытые!$E$5:$E$300,$B205,Закрытые!$B$5:$B$300,"T-*"))</f>
        <v/>
      </c>
      <c r="F205" s="240" t="str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 t="str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 t="str">
        <f>IF(F205="","",SUMIFS(Торговля!$K$5:$K$300,Торговля!$E$5:$E$300,$B205)+SUMIFS(Закрытые!$K$5:$K$300,Закрытые!$E$5:$E$300,$B205,Закрытые!$B$5:$B$300,"T-*"))</f>
        <v/>
      </c>
      <c r="I205" s="240" t="str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 t="str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 t="str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 t="str">
        <f>IF(C206="","",SUMIFS(Торговля!$H$5:$H$300,Торговля!$E$5:$E$300,$B206)+SUMIFS(Закрытые!$H$5:$H$300,Закрытые!$E$5:$E$300,$B206,Закрытые!$B$5:$B$300,"T-*"))</f>
        <v/>
      </c>
      <c r="F206" s="246" t="str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 t="str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 t="str">
        <f>IF(F206="","",SUMIFS(Торговля!$K$5:$K$300,Торговля!$E$5:$E$300,$B206)+SUMIFS(Закрытые!$K$5:$K$300,Закрытые!$E$5:$E$300,$B206,Закрытые!$B$5:$B$300,"T-*"))</f>
        <v/>
      </c>
      <c r="I206" s="246" t="str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 t="str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 t="str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 t="str">
        <f>IF(C207="","",SUMIFS(Торговля!$H$5:$H$300,Торговля!$E$5:$E$300,$B207)+SUMIFS(Закрытые!$H$5:$H$300,Закрытые!$E$5:$E$300,$B207,Закрытые!$B$5:$B$300,"T-*"))</f>
        <v/>
      </c>
      <c r="F207" s="240" t="str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 t="str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 t="str">
        <f>IF(F207="","",SUMIFS(Торговля!$K$5:$K$300,Торговля!$E$5:$E$300,$B207)+SUMIFS(Закрытые!$K$5:$K$300,Закрытые!$E$5:$E$300,$B207,Закрытые!$B$5:$B$300,"T-*"))</f>
        <v/>
      </c>
      <c r="I207" s="240" t="str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 t="str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 t="str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 t="str">
        <f>IF(C208="","",SUMIFS(Торговля!$H$5:$H$300,Торговля!$E$5:$E$300,$B208)+SUMIFS(Закрытые!$H$5:$H$300,Закрытые!$E$5:$E$300,$B208,Закрытые!$B$5:$B$300,"T-*"))</f>
        <v/>
      </c>
      <c r="F208" s="246" t="str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 t="str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 t="str">
        <f>IF(F208="","",SUMIFS(Торговля!$K$5:$K$300,Торговля!$E$5:$E$300,$B208)+SUMIFS(Закрытые!$K$5:$K$300,Закрытые!$E$5:$E$300,$B208,Закрытые!$B$5:$B$300,"T-*"))</f>
        <v/>
      </c>
      <c r="I208" s="246" t="str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 t="str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 t="str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 t="str">
        <f>IF(C209="","",SUMIFS(Торговля!$H$5:$H$300,Торговля!$E$5:$E$300,$B209)+SUMIFS(Закрытые!$H$5:$H$300,Закрытые!$E$5:$E$300,$B209,Закрытые!$B$5:$B$300,"T-*"))</f>
        <v/>
      </c>
      <c r="F209" s="240" t="str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 t="str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 t="str">
        <f>IF(F209="","",SUMIFS(Торговля!$K$5:$K$300,Торговля!$E$5:$E$300,$B209)+SUMIFS(Закрытые!$K$5:$K$300,Закрытые!$E$5:$E$300,$B209,Закрытые!$B$5:$B$300,"T-*"))</f>
        <v/>
      </c>
      <c r="I209" s="240" t="str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 t="str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 t="str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 t="str">
        <f>IF(C210="","",SUMIFS(Торговля!$H$5:$H$300,Торговля!$E$5:$E$300,$B210)+SUMIFS(Закрытые!$H$5:$H$300,Закрытые!$E$5:$E$300,$B210,Закрытые!$B$5:$B$300,"T-*"))</f>
        <v/>
      </c>
      <c r="F210" s="246" t="str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 t="str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 t="str">
        <f>IF(F210="","",SUMIFS(Торговля!$K$5:$K$300,Торговля!$E$5:$E$300,$B210)+SUMIFS(Закрытые!$K$5:$K$300,Закрытые!$E$5:$E$300,$B210,Закрытые!$B$5:$B$300,"T-*"))</f>
        <v/>
      </c>
      <c r="I210" s="246" t="str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 t="str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 t="str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 t="str">
        <f>IF(C211="","",SUMIFS(Торговля!$H$5:$H$300,Торговля!$E$5:$E$300,$B211)+SUMIFS(Закрытые!$H$5:$H$300,Закрытые!$E$5:$E$300,$B211,Закрытые!$B$5:$B$300,"T-*"))</f>
        <v/>
      </c>
      <c r="F211" s="240" t="str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 t="str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 t="str">
        <f>IF(F211="","",SUMIFS(Торговля!$K$5:$K$300,Торговля!$E$5:$E$300,$B211)+SUMIFS(Закрытые!$K$5:$K$300,Закрытые!$E$5:$E$300,$B211,Закрытые!$B$5:$B$300,"T-*"))</f>
        <v/>
      </c>
      <c r="I211" s="240" t="str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 t="str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 t="str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 t="str">
        <f>IF(C212="","",SUMIFS(Торговля!$H$5:$H$300,Торговля!$E$5:$E$300,$B212)+SUMIFS(Закрытые!$H$5:$H$300,Закрытые!$E$5:$E$300,$B212,Закрытые!$B$5:$B$300,"T-*"))</f>
        <v/>
      </c>
      <c r="F212" s="246" t="str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 t="str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 t="str">
        <f>IF(F212="","",SUMIFS(Торговля!$K$5:$K$300,Торговля!$E$5:$E$300,$B212)+SUMIFS(Закрытые!$K$5:$K$300,Закрытые!$E$5:$E$300,$B212,Закрытые!$B$5:$B$300,"T-*"))</f>
        <v/>
      </c>
      <c r="I212" s="246" t="str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 t="str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 t="str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 t="str">
        <f>IF(C213="","",SUMIFS(Торговля!$H$5:$H$300,Торговля!$E$5:$E$300,$B213)+SUMIFS(Закрытые!$H$5:$H$300,Закрытые!$E$5:$E$300,$B213,Закрытые!$B$5:$B$300,"T-*"))</f>
        <v/>
      </c>
      <c r="F213" s="240" t="str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 t="str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 t="str">
        <f>IF(F213="","",SUMIFS(Торговля!$K$5:$K$300,Торговля!$E$5:$E$300,$B213)+SUMIFS(Закрытые!$K$5:$K$300,Закрытые!$E$5:$E$300,$B213,Закрытые!$B$5:$B$300,"T-*"))</f>
        <v/>
      </c>
      <c r="I213" s="240" t="str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 t="str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 t="str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 t="str">
        <f>IF(C214="","",SUMIFS(Торговля!$H$5:$H$300,Торговля!$E$5:$E$300,$B214)+SUMIFS(Закрытые!$H$5:$H$300,Закрытые!$E$5:$E$300,$B214,Закрытые!$B$5:$B$300,"T-*"))</f>
        <v/>
      </c>
      <c r="F214" s="246" t="str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 t="str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 t="str">
        <f>IF(F214="","",SUMIFS(Торговля!$K$5:$K$300,Торговля!$E$5:$E$300,$B214)+SUMIFS(Закрытые!$K$5:$K$300,Закрытые!$E$5:$E$300,$B214,Закрытые!$B$5:$B$300,"T-*"))</f>
        <v/>
      </c>
      <c r="I214" s="246" t="str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 t="str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 t="str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 t="str">
        <f>IF(C215="","",SUMIFS(Торговля!$H$5:$H$300,Торговля!$E$5:$E$300,$B215)+SUMIFS(Закрытые!$H$5:$H$300,Закрытые!$E$5:$E$300,$B215,Закрытые!$B$5:$B$300,"T-*"))</f>
        <v/>
      </c>
      <c r="F215" s="240" t="str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 t="str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 t="str">
        <f>IF(F215="","",SUMIFS(Торговля!$K$5:$K$300,Торговля!$E$5:$E$300,$B215)+SUMIFS(Закрытые!$K$5:$K$300,Закрытые!$E$5:$E$300,$B215,Закрытые!$B$5:$B$300,"T-*"))</f>
        <v/>
      </c>
      <c r="I215" s="240" t="str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 t="str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 t="str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 t="str">
        <f>IF(C216="","",SUMIFS(Торговля!$H$5:$H$300,Торговля!$E$5:$E$300,$B216)+SUMIFS(Закрытые!$H$5:$H$300,Закрытые!$E$5:$E$300,$B216,Закрытые!$B$5:$B$300,"T-*"))</f>
        <v/>
      </c>
      <c r="F216" s="246" t="str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 t="str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 t="str">
        <f>IF(F216="","",SUMIFS(Торговля!$K$5:$K$300,Торговля!$E$5:$E$300,$B216)+SUMIFS(Закрытые!$K$5:$K$300,Закрытые!$E$5:$E$300,$B216,Закрытые!$B$5:$B$300,"T-*"))</f>
        <v/>
      </c>
      <c r="I216" s="246" t="str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 t="str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 t="str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 t="str">
        <f>IF(C217="","",SUMIFS(Торговля!$H$5:$H$300,Торговля!$E$5:$E$300,$B217)+SUMIFS(Закрытые!$H$5:$H$300,Закрытые!$E$5:$E$300,$B217,Закрытые!$B$5:$B$300,"T-*"))</f>
        <v/>
      </c>
      <c r="F217" s="240" t="str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 t="str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 t="str">
        <f>IF(F217="","",SUMIFS(Торговля!$K$5:$K$300,Торговля!$E$5:$E$300,$B217)+SUMIFS(Закрытые!$K$5:$K$300,Закрытые!$E$5:$E$300,$B217,Закрытые!$B$5:$B$300,"T-*"))</f>
        <v/>
      </c>
      <c r="I217" s="240" t="str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 t="str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 t="str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 t="str">
        <f>IF(C218="","",SUMIFS(Торговля!$H$5:$H$300,Торговля!$E$5:$E$300,$B218)+SUMIFS(Закрытые!$H$5:$H$300,Закрытые!$E$5:$E$300,$B218,Закрытые!$B$5:$B$300,"T-*"))</f>
        <v/>
      </c>
      <c r="F218" s="246" t="str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 t="str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 t="str">
        <f>IF(F218="","",SUMIFS(Торговля!$K$5:$K$300,Торговля!$E$5:$E$300,$B218)+SUMIFS(Закрытые!$K$5:$K$300,Закрытые!$E$5:$E$300,$B218,Закрытые!$B$5:$B$300,"T-*"))</f>
        <v/>
      </c>
      <c r="I218" s="246" t="str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 t="str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 t="str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 t="str">
        <f>IF(C219="","",SUMIFS(Торговля!$H$5:$H$300,Торговля!$E$5:$E$300,$B219)+SUMIFS(Закрытые!$H$5:$H$300,Закрытые!$E$5:$E$300,$B219,Закрытые!$B$5:$B$300,"T-*"))</f>
        <v/>
      </c>
      <c r="F219" s="240" t="str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 t="str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 t="str">
        <f>IF(F219="","",SUMIFS(Торговля!$K$5:$K$300,Торговля!$E$5:$E$300,$B219)+SUMIFS(Закрытые!$K$5:$K$300,Закрытые!$E$5:$E$300,$B219,Закрытые!$B$5:$B$300,"T-*"))</f>
        <v/>
      </c>
      <c r="I219" s="240" t="str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 t="str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 t="str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 t="str">
        <f>IF(C220="","",SUMIFS(Торговля!$H$5:$H$300,Торговля!$E$5:$E$300,$B220)+SUMIFS(Закрытые!$H$5:$H$300,Закрытые!$E$5:$E$300,$B220,Закрытые!$B$5:$B$300,"T-*"))</f>
        <v/>
      </c>
      <c r="F220" s="246" t="str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 t="str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 t="str">
        <f>IF(F220="","",SUMIFS(Торговля!$K$5:$K$300,Торговля!$E$5:$E$300,$B220)+SUMIFS(Закрытые!$K$5:$K$300,Закрытые!$E$5:$E$300,$B220,Закрытые!$B$5:$B$300,"T-*"))</f>
        <v/>
      </c>
      <c r="I220" s="246" t="str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 t="str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 t="str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 t="str">
        <f>IF(C221="","",SUMIFS(Торговля!$H$5:$H$300,Торговля!$E$5:$E$300,$B221)+SUMIFS(Закрытые!$H$5:$H$300,Закрытые!$E$5:$E$300,$B221,Закрытые!$B$5:$B$300,"T-*"))</f>
        <v/>
      </c>
      <c r="F221" s="240" t="str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 t="str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 t="str">
        <f>IF(F221="","",SUMIFS(Торговля!$K$5:$K$300,Торговля!$E$5:$E$300,$B221)+SUMIFS(Закрытые!$K$5:$K$300,Закрытые!$E$5:$E$300,$B221,Закрытые!$B$5:$B$300,"T-*"))</f>
        <v/>
      </c>
      <c r="I221" s="240" t="str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 t="str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 t="str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 t="str">
        <f>IF(C222="","",SUMIFS(Торговля!$H$5:$H$300,Торговля!$E$5:$E$300,$B222)+SUMIFS(Закрытые!$H$5:$H$300,Закрытые!$E$5:$E$300,$B222,Закрытые!$B$5:$B$300,"T-*"))</f>
        <v/>
      </c>
      <c r="F222" s="246" t="str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 t="str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 t="str">
        <f>IF(F222="","",SUMIFS(Торговля!$K$5:$K$300,Торговля!$E$5:$E$300,$B222)+SUMIFS(Закрытые!$K$5:$K$300,Закрытые!$E$5:$E$300,$B222,Закрытые!$B$5:$B$300,"T-*"))</f>
        <v/>
      </c>
      <c r="I222" s="246" t="str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 t="str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 t="str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 t="str">
        <f>IF(C223="","",SUMIFS(Торговля!$H$5:$H$300,Торговля!$E$5:$E$300,$B223)+SUMIFS(Закрытые!$H$5:$H$300,Закрытые!$E$5:$E$300,$B223,Закрытые!$B$5:$B$300,"T-*"))</f>
        <v/>
      </c>
      <c r="F223" s="240" t="str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 t="str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 t="str">
        <f>IF(F223="","",SUMIFS(Торговля!$K$5:$K$300,Торговля!$E$5:$E$300,$B223)+SUMIFS(Закрытые!$K$5:$K$300,Закрытые!$E$5:$E$300,$B223,Закрытые!$B$5:$B$300,"T-*"))</f>
        <v/>
      </c>
      <c r="I223" s="240" t="str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 t="str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 t="str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 t="str">
        <f>IF(C224="","",SUMIFS(Торговля!$H$5:$H$300,Торговля!$E$5:$E$300,$B224)+SUMIFS(Закрытые!$H$5:$H$300,Закрытые!$E$5:$E$300,$B224,Закрытые!$B$5:$B$300,"T-*"))</f>
        <v/>
      </c>
      <c r="F224" s="246" t="str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 t="str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 t="str">
        <f>IF(F224="","",SUMIFS(Торговля!$K$5:$K$300,Торговля!$E$5:$E$300,$B224)+SUMIFS(Закрытые!$K$5:$K$300,Закрытые!$E$5:$E$300,$B224,Закрытые!$B$5:$B$300,"T-*"))</f>
        <v/>
      </c>
      <c r="I224" s="246" t="str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 t="str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 t="str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 t="str">
        <f>IF(C225="","",SUMIFS(Торговля!$H$5:$H$300,Торговля!$E$5:$E$300,$B225)+SUMIFS(Закрытые!$H$5:$H$300,Закрытые!$E$5:$E$300,$B225,Закрытые!$B$5:$B$300,"T-*"))</f>
        <v/>
      </c>
      <c r="F225" s="240" t="str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 t="str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 t="str">
        <f>IF(F225="","",SUMIFS(Торговля!$K$5:$K$300,Торговля!$E$5:$E$300,$B225)+SUMIFS(Закрытые!$K$5:$K$300,Закрытые!$E$5:$E$300,$B225,Закрытые!$B$5:$B$300,"T-*"))</f>
        <v/>
      </c>
      <c r="I225" s="240" t="str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 t="str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 t="str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 t="str">
        <f>IF(C226="","",SUMIFS(Торговля!$H$5:$H$300,Торговля!$E$5:$E$300,$B226)+SUMIFS(Закрытые!$H$5:$H$300,Закрытые!$E$5:$E$300,$B226,Закрытые!$B$5:$B$300,"T-*"))</f>
        <v/>
      </c>
      <c r="F226" s="246" t="str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 t="str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 t="str">
        <f>IF(F226="","",SUMIFS(Торговля!$K$5:$K$300,Торговля!$E$5:$E$300,$B226)+SUMIFS(Закрытые!$K$5:$K$300,Закрытые!$E$5:$E$300,$B226,Закрытые!$B$5:$B$300,"T-*"))</f>
        <v/>
      </c>
      <c r="I226" s="246" t="str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 t="str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 t="str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 t="str">
        <f>IF(C227="","",SUMIFS(Торговля!$H$5:$H$300,Торговля!$E$5:$E$300,$B227)+SUMIFS(Закрытые!$H$5:$H$300,Закрытые!$E$5:$E$300,$B227,Закрытые!$B$5:$B$300,"T-*"))</f>
        <v/>
      </c>
      <c r="F227" s="240" t="str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 t="str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 t="str">
        <f>IF(F227="","",SUMIFS(Торговля!$K$5:$K$300,Торговля!$E$5:$E$300,$B227)+SUMIFS(Закрытые!$K$5:$K$300,Закрытые!$E$5:$E$300,$B227,Закрытые!$B$5:$B$300,"T-*"))</f>
        <v/>
      </c>
      <c r="I227" s="240" t="str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 t="str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 t="str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 t="str">
        <f>IF(C228="","",SUMIFS(Торговля!$H$5:$H$300,Торговля!$E$5:$E$300,$B228)+SUMIFS(Закрытые!$H$5:$H$300,Закрытые!$E$5:$E$300,$B228,Закрытые!$B$5:$B$300,"T-*"))</f>
        <v/>
      </c>
      <c r="F228" s="246" t="str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 t="str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 t="str">
        <f>IF(F228="","",SUMIFS(Торговля!$K$5:$K$300,Торговля!$E$5:$E$300,$B228)+SUMIFS(Закрытые!$K$5:$K$300,Закрытые!$E$5:$E$300,$B228,Закрытые!$B$5:$B$300,"T-*"))</f>
        <v/>
      </c>
      <c r="I228" s="246" t="str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 t="str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 t="str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 t="str">
        <f>IF(C229="","",SUMIFS(Торговля!$H$5:$H$300,Торговля!$E$5:$E$300,$B229)+SUMIFS(Закрытые!$H$5:$H$300,Закрытые!$E$5:$E$300,$B229,Закрытые!$B$5:$B$300,"T-*"))</f>
        <v/>
      </c>
      <c r="F229" s="240" t="str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 t="str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 t="str">
        <f>IF(F229="","",SUMIFS(Торговля!$K$5:$K$300,Торговля!$E$5:$E$300,$B229)+SUMIFS(Закрытые!$K$5:$K$300,Закрытые!$E$5:$E$300,$B229,Закрытые!$B$5:$B$300,"T-*"))</f>
        <v/>
      </c>
      <c r="I229" s="240" t="str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 t="str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 t="str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 t="str">
        <f>IF(C230="","",SUMIFS(Торговля!$H$5:$H$300,Торговля!$E$5:$E$300,$B230)+SUMIFS(Закрытые!$H$5:$H$300,Закрытые!$E$5:$E$300,$B230,Закрытые!$B$5:$B$300,"T-*"))</f>
        <v/>
      </c>
      <c r="F230" s="246" t="str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 t="str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 t="str">
        <f>IF(F230="","",SUMIFS(Торговля!$K$5:$K$300,Торговля!$E$5:$E$300,$B230)+SUMIFS(Закрытые!$K$5:$K$300,Закрытые!$E$5:$E$300,$B230,Закрытые!$B$5:$B$300,"T-*"))</f>
        <v/>
      </c>
      <c r="I230" s="246" t="str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 t="str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 t="str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 t="str">
        <f>IF(C231="","",SUMIFS(Торговля!$H$5:$H$300,Торговля!$E$5:$E$300,$B231)+SUMIFS(Закрытые!$H$5:$H$300,Закрытые!$E$5:$E$300,$B231,Закрытые!$B$5:$B$300,"T-*"))</f>
        <v/>
      </c>
      <c r="F231" s="240" t="str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 t="str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 t="str">
        <f>IF(F231="","",SUMIFS(Торговля!$K$5:$K$300,Торговля!$E$5:$E$300,$B231)+SUMIFS(Закрытые!$K$5:$K$300,Закрытые!$E$5:$E$300,$B231,Закрытые!$B$5:$B$300,"T-*"))</f>
        <v/>
      </c>
      <c r="I231" s="240" t="str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 t="str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 t="str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 t="str">
        <f>IF(C232="","",SUMIFS(Торговля!$H$5:$H$300,Торговля!$E$5:$E$300,$B232)+SUMIFS(Закрытые!$H$5:$H$300,Закрытые!$E$5:$E$300,$B232,Закрытые!$B$5:$B$300,"T-*"))</f>
        <v/>
      </c>
      <c r="F232" s="246" t="str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 t="str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 t="str">
        <f>IF(F232="","",SUMIFS(Торговля!$K$5:$K$300,Торговля!$E$5:$E$300,$B232)+SUMIFS(Закрытые!$K$5:$K$300,Закрытые!$E$5:$E$300,$B232,Закрытые!$B$5:$B$300,"T-*"))</f>
        <v/>
      </c>
      <c r="I232" s="246" t="str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 t="str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 t="str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 t="str">
        <f>IF(C233="","",SUMIFS(Торговля!$H$5:$H$300,Торговля!$E$5:$E$300,$B233)+SUMIFS(Закрытые!$H$5:$H$300,Закрытые!$E$5:$E$300,$B233,Закрытые!$B$5:$B$300,"T-*"))</f>
        <v/>
      </c>
      <c r="F233" s="240" t="str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 t="str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 t="str">
        <f>IF(F233="","",SUMIFS(Торговля!$K$5:$K$300,Торговля!$E$5:$E$300,$B233)+SUMIFS(Закрытые!$K$5:$K$300,Закрытые!$E$5:$E$300,$B233,Закрытые!$B$5:$B$300,"T-*"))</f>
        <v/>
      </c>
      <c r="I233" s="240" t="str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 t="str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 t="str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 t="str">
        <f>IF(C234="","",SUMIFS(Торговля!$H$5:$H$300,Торговля!$E$5:$E$300,$B234)+SUMIFS(Закрытые!$H$5:$H$300,Закрытые!$E$5:$E$300,$B234,Закрытые!$B$5:$B$300,"T-*"))</f>
        <v/>
      </c>
      <c r="F234" s="246" t="str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 t="str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 t="str">
        <f>IF(F234="","",SUMIFS(Торговля!$K$5:$K$300,Торговля!$E$5:$E$300,$B234)+SUMIFS(Закрытые!$K$5:$K$300,Закрытые!$E$5:$E$300,$B234,Закрытые!$B$5:$B$300,"T-*"))</f>
        <v/>
      </c>
      <c r="I234" s="246" t="str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 t="str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 t="str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 t="str">
        <f>IF(C235="","",SUMIFS(Торговля!$H$5:$H$300,Торговля!$E$5:$E$300,$B235)+SUMIFS(Закрытые!$H$5:$H$300,Закрытые!$E$5:$E$300,$B235,Закрытые!$B$5:$B$300,"T-*"))</f>
        <v/>
      </c>
      <c r="F235" s="240" t="str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 t="str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 t="str">
        <f>IF(F235="","",SUMIFS(Торговля!$K$5:$K$300,Торговля!$E$5:$E$300,$B235)+SUMIFS(Закрытые!$K$5:$K$300,Закрытые!$E$5:$E$300,$B235,Закрытые!$B$5:$B$300,"T-*"))</f>
        <v/>
      </c>
      <c r="I235" s="240" t="str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 t="str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 t="str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 t="str">
        <f>IF(C236="","",SUMIFS(Торговля!$H$5:$H$300,Торговля!$E$5:$E$300,$B236)+SUMIFS(Закрытые!$H$5:$H$300,Закрытые!$E$5:$E$300,$B236,Закрытые!$B$5:$B$300,"T-*"))</f>
        <v/>
      </c>
      <c r="F236" s="246" t="str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 t="str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 t="str">
        <f>IF(F236="","",SUMIFS(Торговля!$K$5:$K$300,Торговля!$E$5:$E$300,$B236)+SUMIFS(Закрытые!$K$5:$K$300,Закрытые!$E$5:$E$300,$B236,Закрытые!$B$5:$B$300,"T-*"))</f>
        <v/>
      </c>
      <c r="I236" s="246" t="str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 t="str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 t="str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 t="str">
        <f>IF(C237="","",SUMIFS(Торговля!$H$5:$H$300,Торговля!$E$5:$E$300,$B237)+SUMIFS(Закрытые!$H$5:$H$300,Закрытые!$E$5:$E$300,$B237,Закрытые!$B$5:$B$300,"T-*"))</f>
        <v/>
      </c>
      <c r="F237" s="240" t="str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 t="str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 t="str">
        <f>IF(F237="","",SUMIFS(Торговля!$K$5:$K$300,Торговля!$E$5:$E$300,$B237)+SUMIFS(Закрытые!$K$5:$K$300,Закрытые!$E$5:$E$300,$B237,Закрытые!$B$5:$B$300,"T-*"))</f>
        <v/>
      </c>
      <c r="I237" s="240" t="str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 t="str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 t="str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 t="str">
        <f>IF(C238="","",SUMIFS(Торговля!$H$5:$H$300,Торговля!$E$5:$E$300,$B238)+SUMIFS(Закрытые!$H$5:$H$300,Закрытые!$E$5:$E$300,$B238,Закрытые!$B$5:$B$300,"T-*"))</f>
        <v/>
      </c>
      <c r="F238" s="246" t="str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 t="str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 t="str">
        <f>IF(F238="","",SUMIFS(Торговля!$K$5:$K$300,Торговля!$E$5:$E$300,$B238)+SUMIFS(Закрытые!$K$5:$K$300,Закрытые!$E$5:$E$300,$B238,Закрытые!$B$5:$B$300,"T-*"))</f>
        <v/>
      </c>
      <c r="I238" s="246" t="str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 t="str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 t="str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 t="str">
        <f>IF(C239="","",SUMIFS(Торговля!$H$5:$H$300,Торговля!$E$5:$E$300,$B239)+SUMIFS(Закрытые!$H$5:$H$300,Закрытые!$E$5:$E$300,$B239,Закрытые!$B$5:$B$300,"T-*"))</f>
        <v/>
      </c>
      <c r="F239" s="240" t="str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 t="str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 t="str">
        <f>IF(F239="","",SUMIFS(Торговля!$K$5:$K$300,Торговля!$E$5:$E$300,$B239)+SUMIFS(Закрытые!$K$5:$K$300,Закрытые!$E$5:$E$300,$B239,Закрытые!$B$5:$B$300,"T-*"))</f>
        <v/>
      </c>
      <c r="I239" s="240" t="str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 t="str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 t="str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 t="str">
        <f>IF(C240="","",SUMIFS(Торговля!$H$5:$H$300,Торговля!$E$5:$E$300,$B240)+SUMIFS(Закрытые!$H$5:$H$300,Закрытые!$E$5:$E$300,$B240,Закрытые!$B$5:$B$300,"T-*"))</f>
        <v/>
      </c>
      <c r="F240" s="246" t="str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 t="str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 t="str">
        <f>IF(F240="","",SUMIFS(Торговля!$K$5:$K$300,Торговля!$E$5:$E$300,$B240)+SUMIFS(Закрытые!$K$5:$K$300,Закрытые!$E$5:$E$300,$B240,Закрытые!$B$5:$B$300,"T-*"))</f>
        <v/>
      </c>
      <c r="I240" s="246" t="str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 t="str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 t="str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 t="str">
        <f>IF(C241="","",SUMIFS(Торговля!$H$5:$H$300,Торговля!$E$5:$E$300,$B241)+SUMIFS(Закрытые!$H$5:$H$300,Закрытые!$E$5:$E$300,$B241,Закрытые!$B$5:$B$300,"T-*"))</f>
        <v/>
      </c>
      <c r="F241" s="240" t="str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 t="str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 t="str">
        <f>IF(F241="","",SUMIFS(Торговля!$K$5:$K$300,Торговля!$E$5:$E$300,$B241)+SUMIFS(Закрытые!$K$5:$K$300,Закрытые!$E$5:$E$300,$B241,Закрытые!$B$5:$B$300,"T-*"))</f>
        <v/>
      </c>
      <c r="I241" s="240" t="str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 t="str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 t="str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 t="str">
        <f>IF(C242="","",SUMIFS(Торговля!$H$5:$H$300,Торговля!$E$5:$E$300,$B242)+SUMIFS(Закрытые!$H$5:$H$300,Закрытые!$E$5:$E$300,$B242,Закрытые!$B$5:$B$300,"T-*"))</f>
        <v/>
      </c>
      <c r="F242" s="246" t="str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 t="str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 t="str">
        <f>IF(F242="","",SUMIFS(Торговля!$K$5:$K$300,Торговля!$E$5:$E$300,$B242)+SUMIFS(Закрытые!$K$5:$K$300,Закрытые!$E$5:$E$300,$B242,Закрытые!$B$5:$B$300,"T-*"))</f>
        <v/>
      </c>
      <c r="I242" s="246" t="str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 t="str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 t="str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 t="str">
        <f>IF(C243="","",SUMIFS(Торговля!$H$5:$H$300,Торговля!$E$5:$E$300,$B243)+SUMIFS(Закрытые!$H$5:$H$300,Закрытые!$E$5:$E$300,$B243,Закрытые!$B$5:$B$300,"T-*"))</f>
        <v/>
      </c>
      <c r="F243" s="240" t="str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 t="str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 t="str">
        <f>IF(F243="","",SUMIFS(Торговля!$K$5:$K$300,Торговля!$E$5:$E$300,$B243)+SUMIFS(Закрытые!$K$5:$K$300,Закрытые!$E$5:$E$300,$B243,Закрытые!$B$5:$B$300,"T-*"))</f>
        <v/>
      </c>
      <c r="I243" s="240" t="str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 t="str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 t="str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 t="str">
        <f>IF(C244="","",SUMIFS(Торговля!$H$5:$H$300,Торговля!$E$5:$E$300,$B244)+SUMIFS(Закрытые!$H$5:$H$300,Закрытые!$E$5:$E$300,$B244,Закрытые!$B$5:$B$300,"T-*"))</f>
        <v/>
      </c>
      <c r="F244" s="246" t="str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 t="str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 t="str">
        <f>IF(F244="","",SUMIFS(Торговля!$K$5:$K$300,Торговля!$E$5:$E$300,$B244)+SUMIFS(Закрытые!$K$5:$K$300,Закрытые!$E$5:$E$300,$B244,Закрытые!$B$5:$B$300,"T-*"))</f>
        <v/>
      </c>
      <c r="I244" s="246" t="str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 t="str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 t="str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 t="str">
        <f>IF(C245="","",SUMIFS(Торговля!$H$5:$H$300,Торговля!$E$5:$E$300,$B245)+SUMIFS(Закрытые!$H$5:$H$300,Закрытые!$E$5:$E$300,$B245,Закрытые!$B$5:$B$300,"T-*"))</f>
        <v/>
      </c>
      <c r="F245" s="240" t="str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 t="str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 t="str">
        <f>IF(F245="","",SUMIFS(Торговля!$K$5:$K$300,Торговля!$E$5:$E$300,$B245)+SUMIFS(Закрытые!$K$5:$K$300,Закрытые!$E$5:$E$300,$B245,Закрытые!$B$5:$B$300,"T-*"))</f>
        <v/>
      </c>
      <c r="I245" s="240" t="str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 t="str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 t="str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 t="str">
        <f>IF(C246="","",SUMIFS(Торговля!$H$5:$H$300,Торговля!$E$5:$E$300,$B246)+SUMIFS(Закрытые!$H$5:$H$300,Закрытые!$E$5:$E$300,$B246,Закрытые!$B$5:$B$300,"T-*"))</f>
        <v/>
      </c>
      <c r="F246" s="246" t="str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 t="str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 t="str">
        <f>IF(F246="","",SUMIFS(Торговля!$K$5:$K$300,Торговля!$E$5:$E$300,$B246)+SUMIFS(Закрытые!$K$5:$K$300,Закрытые!$E$5:$E$300,$B246,Закрытые!$B$5:$B$300,"T-*"))</f>
        <v/>
      </c>
      <c r="I246" s="246" t="str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 t="str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 t="str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 t="str">
        <f>IF(C247="","",SUMIFS(Торговля!$H$5:$H$300,Торговля!$E$5:$E$300,$B247)+SUMIFS(Закрытые!$H$5:$H$300,Закрытые!$E$5:$E$300,$B247,Закрытые!$B$5:$B$300,"T-*"))</f>
        <v/>
      </c>
      <c r="F247" s="240" t="str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 t="str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 t="str">
        <f>IF(F247="","",SUMIFS(Торговля!$K$5:$K$300,Торговля!$E$5:$E$300,$B247)+SUMIFS(Закрытые!$K$5:$K$300,Закрытые!$E$5:$E$300,$B247,Закрытые!$B$5:$B$300,"T-*"))</f>
        <v/>
      </c>
      <c r="I247" s="240" t="str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 t="str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 t="str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 t="str">
        <f>IF(C248="","",SUMIFS(Торговля!$H$5:$H$300,Торговля!$E$5:$E$300,$B248)+SUMIFS(Закрытые!$H$5:$H$300,Закрытые!$E$5:$E$300,$B248,Закрытые!$B$5:$B$300,"T-*"))</f>
        <v/>
      </c>
      <c r="F248" s="246" t="str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 t="str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 t="str">
        <f>IF(F248="","",SUMIFS(Торговля!$K$5:$K$300,Торговля!$E$5:$E$300,$B248)+SUMIFS(Закрытые!$K$5:$K$300,Закрытые!$E$5:$E$300,$B248,Закрытые!$B$5:$B$300,"T-*"))</f>
        <v/>
      </c>
      <c r="I248" s="246" t="str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 t="str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 t="str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 t="str">
        <f>IF(C249="","",SUMIFS(Торговля!$H$5:$H$300,Торговля!$E$5:$E$300,$B249)+SUMIFS(Закрытые!$H$5:$H$300,Закрытые!$E$5:$E$300,$B249,Закрытые!$B$5:$B$300,"T-*"))</f>
        <v/>
      </c>
      <c r="F249" s="240" t="str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 t="str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 t="str">
        <f>IF(F249="","",SUMIFS(Торговля!$K$5:$K$300,Торговля!$E$5:$E$300,$B249)+SUMIFS(Закрытые!$K$5:$K$300,Закрытые!$E$5:$E$300,$B249,Закрытые!$B$5:$B$300,"T-*"))</f>
        <v/>
      </c>
      <c r="I249" s="240" t="str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 t="str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 t="str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 t="str">
        <f>IF(C250="","",SUMIFS(Торговля!$H$5:$H$300,Торговля!$E$5:$E$300,$B250)+SUMIFS(Закрытые!$H$5:$H$300,Закрытые!$E$5:$E$300,$B250,Закрытые!$B$5:$B$300,"T-*"))</f>
        <v/>
      </c>
      <c r="F250" s="246" t="str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 t="str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 t="str">
        <f>IF(F250="","",SUMIFS(Торговля!$K$5:$K$300,Торговля!$E$5:$E$300,$B250)+SUMIFS(Закрытые!$K$5:$K$300,Закрытые!$E$5:$E$300,$B250,Закрытые!$B$5:$B$300,"T-*"))</f>
        <v/>
      </c>
      <c r="I250" s="246" t="str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 t="str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 t="str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 t="str">
        <f>IF(C251="","",SUMIFS(Торговля!$H$5:$H$300,Торговля!$E$5:$E$300,$B251)+SUMIFS(Закрытые!$H$5:$H$300,Закрытые!$E$5:$E$300,$B251,Закрытые!$B$5:$B$300,"T-*"))</f>
        <v/>
      </c>
      <c r="F251" s="240" t="str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 t="str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 t="str">
        <f>IF(F251="","",SUMIFS(Торговля!$K$5:$K$300,Торговля!$E$5:$E$300,$B251)+SUMIFS(Закрытые!$K$5:$K$300,Закрытые!$E$5:$E$300,$B251,Закрытые!$B$5:$B$300,"T-*"))</f>
        <v/>
      </c>
      <c r="I251" s="240" t="str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 t="str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 t="str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 t="str">
        <f>IF(C252="","",SUMIFS(Торговля!$H$5:$H$300,Торговля!$E$5:$E$300,$B252)+SUMIFS(Закрытые!$H$5:$H$300,Закрытые!$E$5:$E$300,$B252,Закрытые!$B$5:$B$300,"T-*"))</f>
        <v/>
      </c>
      <c r="F252" s="246" t="str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 t="str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 t="str">
        <f>IF(F252="","",SUMIFS(Торговля!$K$5:$K$300,Торговля!$E$5:$E$300,$B252)+SUMIFS(Закрытые!$K$5:$K$300,Закрытые!$E$5:$E$300,$B252,Закрытые!$B$5:$B$300,"T-*"))</f>
        <v/>
      </c>
      <c r="I252" s="246" t="str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 t="str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 t="str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 t="str">
        <f>IF(C253="","",SUMIFS(Торговля!$H$5:$H$300,Торговля!$E$5:$E$300,$B253)+SUMIFS(Закрытые!$H$5:$H$300,Закрытые!$E$5:$E$300,$B253,Закрытые!$B$5:$B$300,"T-*"))</f>
        <v/>
      </c>
      <c r="F253" s="240" t="str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 t="str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 t="str">
        <f>IF(F253="","",SUMIFS(Торговля!$K$5:$K$300,Торговля!$E$5:$E$300,$B253)+SUMIFS(Закрытые!$K$5:$K$300,Закрытые!$E$5:$E$300,$B253,Закрытые!$B$5:$B$300,"T-*"))</f>
        <v/>
      </c>
      <c r="I253" s="240" t="str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 t="str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 t="str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 t="str">
        <f>IF(C254="","",SUMIFS(Торговля!$H$5:$H$300,Торговля!$E$5:$E$300,$B254)+SUMIFS(Закрытые!$H$5:$H$300,Закрытые!$E$5:$E$300,$B254,Закрытые!$B$5:$B$300,"T-*"))</f>
        <v/>
      </c>
      <c r="F254" s="246" t="str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 t="str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 t="str">
        <f>IF(F254="","",SUMIFS(Торговля!$K$5:$K$300,Торговля!$E$5:$E$300,$B254)+SUMIFS(Закрытые!$K$5:$K$300,Закрытые!$E$5:$E$300,$B254,Закрытые!$B$5:$B$300,"T-*"))</f>
        <v/>
      </c>
      <c r="I254" s="246" t="str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 t="str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 t="str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 t="str">
        <f>IF(C255="","",SUMIFS(Торговля!$H$5:$H$300,Торговля!$E$5:$E$300,$B255)+SUMIFS(Закрытые!$H$5:$H$300,Закрытые!$E$5:$E$300,$B255,Закрытые!$B$5:$B$300,"T-*"))</f>
        <v/>
      </c>
      <c r="F255" s="240" t="str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 t="str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 t="str">
        <f>IF(F255="","",SUMIFS(Торговля!$K$5:$K$300,Торговля!$E$5:$E$300,$B255)+SUMIFS(Закрытые!$K$5:$K$300,Закрытые!$E$5:$E$300,$B255,Закрытые!$B$5:$B$300,"T-*"))</f>
        <v/>
      </c>
      <c r="I255" s="240" t="str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 t="str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 t="str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 t="str">
        <f>IF(C256="","",SUMIFS(Торговля!$H$5:$H$300,Торговля!$E$5:$E$300,$B256)+SUMIFS(Закрытые!$H$5:$H$300,Закрытые!$E$5:$E$300,$B256,Закрытые!$B$5:$B$300,"T-*"))</f>
        <v/>
      </c>
      <c r="F256" s="246" t="str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 t="str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 t="str">
        <f>IF(F256="","",SUMIFS(Торговля!$K$5:$K$300,Торговля!$E$5:$E$300,$B256)+SUMIFS(Закрытые!$K$5:$K$300,Закрытые!$E$5:$E$300,$B256,Закрытые!$B$5:$B$300,"T-*"))</f>
        <v/>
      </c>
      <c r="I256" s="246" t="str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 t="str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 t="str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 t="str">
        <f>IF(C257="","",SUMIFS(Торговля!$H$5:$H$300,Торговля!$E$5:$E$300,$B257)+SUMIFS(Закрытые!$H$5:$H$300,Закрытые!$E$5:$E$300,$B257,Закрытые!$B$5:$B$300,"T-*"))</f>
        <v/>
      </c>
      <c r="F257" s="240" t="str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 t="str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 t="str">
        <f>IF(F257="","",SUMIFS(Торговля!$K$5:$K$300,Торговля!$E$5:$E$300,$B257)+SUMIFS(Закрытые!$K$5:$K$300,Закрытые!$E$5:$E$300,$B257,Закрытые!$B$5:$B$300,"T-*"))</f>
        <v/>
      </c>
      <c r="I257" s="240" t="str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 t="str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 t="str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 t="str">
        <f>IF(C258="","",SUMIFS(Торговля!$H$5:$H$300,Торговля!$E$5:$E$300,$B258)+SUMIFS(Закрытые!$H$5:$H$300,Закрытые!$E$5:$E$300,$B258,Закрытые!$B$5:$B$300,"T-*"))</f>
        <v/>
      </c>
      <c r="F258" s="246" t="str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 t="str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 t="str">
        <f>IF(F258="","",SUMIFS(Торговля!$K$5:$K$300,Торговля!$E$5:$E$300,$B258)+SUMIFS(Закрытые!$K$5:$K$300,Закрытые!$E$5:$E$300,$B258,Закрытые!$B$5:$B$300,"T-*"))</f>
        <v/>
      </c>
      <c r="I258" s="246" t="str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 t="str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 t="str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 t="str">
        <f>IF(C259="","",SUMIFS(Торговля!$H$5:$H$300,Торговля!$E$5:$E$300,$B259)+SUMIFS(Закрытые!$H$5:$H$300,Закрытые!$E$5:$E$300,$B259,Закрытые!$B$5:$B$300,"T-*"))</f>
        <v/>
      </c>
      <c r="F259" s="240" t="str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 t="str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 t="str">
        <f>IF(F259="","",SUMIFS(Торговля!$K$5:$K$300,Торговля!$E$5:$E$300,$B259)+SUMIFS(Закрытые!$K$5:$K$300,Закрытые!$E$5:$E$300,$B259,Закрытые!$B$5:$B$300,"T-*"))</f>
        <v/>
      </c>
      <c r="I259" s="240" t="str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 t="str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 t="str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 t="str">
        <f>IF(C260="","",SUMIFS(Торговля!$H$5:$H$300,Торговля!$E$5:$E$300,$B260)+SUMIFS(Закрытые!$H$5:$H$300,Закрытые!$E$5:$E$300,$B260,Закрытые!$B$5:$B$300,"T-*"))</f>
        <v/>
      </c>
      <c r="F260" s="246" t="str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 t="str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 t="str">
        <f>IF(F260="","",SUMIFS(Торговля!$K$5:$K$300,Торговля!$E$5:$E$300,$B260)+SUMIFS(Закрытые!$K$5:$K$300,Закрытые!$E$5:$E$300,$B260,Закрытые!$B$5:$B$300,"T-*"))</f>
        <v/>
      </c>
      <c r="I260" s="246" t="str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 t="str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 t="str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 t="str">
        <f>IF(C261="","",SUMIFS(Торговля!$H$5:$H$300,Торговля!$E$5:$E$300,$B261)+SUMIFS(Закрытые!$H$5:$H$300,Закрытые!$E$5:$E$300,$B261,Закрытые!$B$5:$B$300,"T-*"))</f>
        <v/>
      </c>
      <c r="F261" s="240" t="str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 t="str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 t="str">
        <f>IF(F261="","",SUMIFS(Торговля!$K$5:$K$300,Торговля!$E$5:$E$300,$B261)+SUMIFS(Закрытые!$K$5:$K$300,Закрытые!$E$5:$E$300,$B261,Закрытые!$B$5:$B$300,"T-*"))</f>
        <v/>
      </c>
      <c r="I261" s="240" t="str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 t="str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 t="str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 t="str">
        <f>IF(C262="","",SUMIFS(Торговля!$H$5:$H$300,Торговля!$E$5:$E$300,$B262)+SUMIFS(Закрытые!$H$5:$H$300,Закрытые!$E$5:$E$300,$B262,Закрытые!$B$5:$B$300,"T-*"))</f>
        <v/>
      </c>
      <c r="F262" s="246" t="str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 t="str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 t="str">
        <f>IF(F262="","",SUMIFS(Торговля!$K$5:$K$300,Торговля!$E$5:$E$300,$B262)+SUMIFS(Закрытые!$K$5:$K$300,Закрытые!$E$5:$E$300,$B262,Закрытые!$B$5:$B$300,"T-*"))</f>
        <v/>
      </c>
      <c r="I262" s="246" t="str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 t="str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 t="str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 t="str">
        <f>IF(C263="","",SUMIFS(Торговля!$H$5:$H$300,Торговля!$E$5:$E$300,$B263)+SUMIFS(Закрытые!$H$5:$H$300,Закрытые!$E$5:$E$300,$B263,Закрытые!$B$5:$B$300,"T-*"))</f>
        <v/>
      </c>
      <c r="F263" s="240" t="str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 t="str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 t="str">
        <f>IF(F263="","",SUMIFS(Торговля!$K$5:$K$300,Торговля!$E$5:$E$300,$B263)+SUMIFS(Закрытые!$K$5:$K$300,Закрытые!$E$5:$E$300,$B263,Закрытые!$B$5:$B$300,"T-*"))</f>
        <v/>
      </c>
      <c r="I263" s="240" t="str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 t="str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 t="str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 t="str">
        <f>IF(C264="","",SUMIFS(Торговля!$H$5:$H$300,Торговля!$E$5:$E$300,$B264)+SUMIFS(Закрытые!$H$5:$H$300,Закрытые!$E$5:$E$300,$B264,Закрытые!$B$5:$B$300,"T-*"))</f>
        <v/>
      </c>
      <c r="F264" s="246" t="str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 t="str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 t="str">
        <f>IF(F264="","",SUMIFS(Торговля!$K$5:$K$300,Торговля!$E$5:$E$300,$B264)+SUMIFS(Закрытые!$K$5:$K$300,Закрытые!$E$5:$E$300,$B264,Закрытые!$B$5:$B$300,"T-*"))</f>
        <v/>
      </c>
      <c r="I264" s="246" t="str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 t="str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 t="str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 t="str">
        <f>IF(C265="","",SUMIFS(Торговля!$H$5:$H$300,Торговля!$E$5:$E$300,$B265)+SUMIFS(Закрытые!$H$5:$H$300,Закрытые!$E$5:$E$300,$B265,Закрытые!$B$5:$B$300,"T-*"))</f>
        <v/>
      </c>
      <c r="F265" s="240" t="str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 t="str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 t="str">
        <f>IF(F265="","",SUMIFS(Торговля!$K$5:$K$300,Торговля!$E$5:$E$300,$B265)+SUMIFS(Закрытые!$K$5:$K$300,Закрытые!$E$5:$E$300,$B265,Закрытые!$B$5:$B$300,"T-*"))</f>
        <v/>
      </c>
      <c r="I265" s="240" t="str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 t="str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 t="str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 t="str">
        <f>IF(C266="","",SUMIFS(Торговля!$H$5:$H$300,Торговля!$E$5:$E$300,$B266)+SUMIFS(Закрытые!$H$5:$H$300,Закрытые!$E$5:$E$300,$B266,Закрытые!$B$5:$B$300,"T-*"))</f>
        <v/>
      </c>
      <c r="F266" s="246" t="str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 t="str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 t="str">
        <f>IF(F266="","",SUMIFS(Торговля!$K$5:$K$300,Торговля!$E$5:$E$300,$B266)+SUMIFS(Закрытые!$K$5:$K$300,Закрытые!$E$5:$E$300,$B266,Закрытые!$B$5:$B$300,"T-*"))</f>
        <v/>
      </c>
      <c r="I266" s="246" t="str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 t="str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 t="str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 t="str">
        <f>IF(C267="","",SUMIFS(Торговля!$H$5:$H$300,Торговля!$E$5:$E$300,$B267)+SUMIFS(Закрытые!$H$5:$H$300,Закрытые!$E$5:$E$300,$B267,Закрытые!$B$5:$B$300,"T-*"))</f>
        <v/>
      </c>
      <c r="F267" s="240" t="str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 t="str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 t="str">
        <f>IF(F267="","",SUMIFS(Торговля!$K$5:$K$300,Торговля!$E$5:$E$300,$B267)+SUMIFS(Закрытые!$K$5:$K$300,Закрытые!$E$5:$E$300,$B267,Закрытые!$B$5:$B$300,"T-*"))</f>
        <v/>
      </c>
      <c r="I267" s="240" t="str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 t="str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 t="str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 t="str">
        <f>IF(C268="","",SUMIFS(Торговля!$H$5:$H$300,Торговля!$E$5:$E$300,$B268)+SUMIFS(Закрытые!$H$5:$H$300,Закрытые!$E$5:$E$300,$B268,Закрытые!$B$5:$B$300,"T-*"))</f>
        <v/>
      </c>
      <c r="F268" s="246" t="str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 t="str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 t="str">
        <f>IF(F268="","",SUMIFS(Торговля!$K$5:$K$300,Торговля!$E$5:$E$300,$B268)+SUMIFS(Закрытые!$K$5:$K$300,Закрытые!$E$5:$E$300,$B268,Закрытые!$B$5:$B$300,"T-*"))</f>
        <v/>
      </c>
      <c r="I268" s="246" t="str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 t="str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 t="str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 t="str">
        <f>IF(C269="","",SUMIFS(Торговля!$H$5:$H$300,Торговля!$E$5:$E$300,$B269)+SUMIFS(Закрытые!$H$5:$H$300,Закрытые!$E$5:$E$300,$B269,Закрытые!$B$5:$B$300,"T-*"))</f>
        <v/>
      </c>
      <c r="F269" s="240" t="str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 t="str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 t="str">
        <f>IF(F269="","",SUMIFS(Торговля!$K$5:$K$300,Торговля!$E$5:$E$300,$B269)+SUMIFS(Закрытые!$K$5:$K$300,Закрытые!$E$5:$E$300,$B269,Закрытые!$B$5:$B$300,"T-*"))</f>
        <v/>
      </c>
      <c r="I269" s="240" t="str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 t="str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 t="str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 t="str">
        <f>IF(C270="","",SUMIFS(Торговля!$H$5:$H$300,Торговля!$E$5:$E$300,$B270)+SUMIFS(Закрытые!$H$5:$H$300,Закрытые!$E$5:$E$300,$B270,Закрытые!$B$5:$B$300,"T-*"))</f>
        <v/>
      </c>
      <c r="F270" s="246" t="str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 t="str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 t="str">
        <f>IF(F270="","",SUMIFS(Торговля!$K$5:$K$300,Торговля!$E$5:$E$300,$B270)+SUMIFS(Закрытые!$K$5:$K$300,Закрытые!$E$5:$E$300,$B270,Закрытые!$B$5:$B$300,"T-*"))</f>
        <v/>
      </c>
      <c r="I270" s="246" t="str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 t="str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 t="str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 t="str">
        <f>IF(C271="","",SUMIFS(Торговля!$H$5:$H$300,Торговля!$E$5:$E$300,$B271)+SUMIFS(Закрытые!$H$5:$H$300,Закрытые!$E$5:$E$300,$B271,Закрытые!$B$5:$B$300,"T-*"))</f>
        <v/>
      </c>
      <c r="F271" s="240" t="str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 t="str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 t="str">
        <f>IF(F271="","",SUMIFS(Торговля!$K$5:$K$300,Торговля!$E$5:$E$300,$B271)+SUMIFS(Закрытые!$K$5:$K$300,Закрытые!$E$5:$E$300,$B271,Закрытые!$B$5:$B$300,"T-*"))</f>
        <v/>
      </c>
      <c r="I271" s="240" t="str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 t="str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 t="str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 t="str">
        <f>IF(C272="","",SUMIFS(Торговля!$H$5:$H$300,Торговля!$E$5:$E$300,$B272)+SUMIFS(Закрытые!$H$5:$H$300,Закрытые!$E$5:$E$300,$B272,Закрытые!$B$5:$B$300,"T-*"))</f>
        <v/>
      </c>
      <c r="F272" s="246" t="str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 t="str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 t="str">
        <f>IF(F272="","",SUMIFS(Торговля!$K$5:$K$300,Торговля!$E$5:$E$300,$B272)+SUMIFS(Закрытые!$K$5:$K$300,Закрытые!$E$5:$E$300,$B272,Закрытые!$B$5:$B$300,"T-*"))</f>
        <v/>
      </c>
      <c r="I272" s="246" t="str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 t="str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 t="str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 t="str">
        <f>IF(C273="","",SUMIFS(Торговля!$H$5:$H$300,Торговля!$E$5:$E$300,$B273)+SUMIFS(Закрытые!$H$5:$H$300,Закрытые!$E$5:$E$300,$B273,Закрытые!$B$5:$B$300,"T-*"))</f>
        <v/>
      </c>
      <c r="F273" s="240" t="str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 t="str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 t="str">
        <f>IF(F273="","",SUMIFS(Торговля!$K$5:$K$300,Торговля!$E$5:$E$300,$B273)+SUMIFS(Закрытые!$K$5:$K$300,Закрытые!$E$5:$E$300,$B273,Закрытые!$B$5:$B$300,"T-*"))</f>
        <v/>
      </c>
      <c r="I273" s="240" t="str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 t="str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 t="str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 t="str">
        <f>IF(C274="","",SUMIFS(Торговля!$H$5:$H$300,Торговля!$E$5:$E$300,$B274)+SUMIFS(Закрытые!$H$5:$H$300,Закрытые!$E$5:$E$300,$B274,Закрытые!$B$5:$B$300,"T-*"))</f>
        <v/>
      </c>
      <c r="F274" s="246" t="str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 t="str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 t="str">
        <f>IF(F274="","",SUMIFS(Торговля!$K$5:$K$300,Торговля!$E$5:$E$300,$B274)+SUMIFS(Закрытые!$K$5:$K$300,Закрытые!$E$5:$E$300,$B274,Закрытые!$B$5:$B$300,"T-*"))</f>
        <v/>
      </c>
      <c r="I274" s="246" t="str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 t="str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 t="str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 t="str">
        <f>IF(C275="","",SUMIFS(Торговля!$H$5:$H$300,Торговля!$E$5:$E$300,$B275)+SUMIFS(Закрытые!$H$5:$H$300,Закрытые!$E$5:$E$300,$B275,Закрытые!$B$5:$B$300,"T-*"))</f>
        <v/>
      </c>
      <c r="F275" s="240" t="str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 t="str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 t="str">
        <f>IF(F275="","",SUMIFS(Торговля!$K$5:$K$300,Торговля!$E$5:$E$300,$B275)+SUMIFS(Закрытые!$K$5:$K$300,Закрытые!$E$5:$E$300,$B275,Закрытые!$B$5:$B$300,"T-*"))</f>
        <v/>
      </c>
      <c r="I275" s="240" t="str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 t="str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 t="str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 t="str">
        <f>IF(C276="","",SUMIFS(Торговля!$H$5:$H$300,Торговля!$E$5:$E$300,$B276)+SUMIFS(Закрытые!$H$5:$H$300,Закрытые!$E$5:$E$300,$B276,Закрытые!$B$5:$B$300,"T-*"))</f>
        <v/>
      </c>
      <c r="F276" s="246" t="str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 t="str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 t="str">
        <f>IF(F276="","",SUMIFS(Торговля!$K$5:$K$300,Торговля!$E$5:$E$300,$B276)+SUMIFS(Закрытые!$K$5:$K$300,Закрытые!$E$5:$E$300,$B276,Закрытые!$B$5:$B$300,"T-*"))</f>
        <v/>
      </c>
      <c r="I276" s="246" t="str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 t="str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 t="str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 t="str">
        <f>IF(C277="","",SUMIFS(Торговля!$H$5:$H$300,Торговля!$E$5:$E$300,$B277)+SUMIFS(Закрытые!$H$5:$H$300,Закрытые!$E$5:$E$300,$B277,Закрытые!$B$5:$B$300,"T-*"))</f>
        <v/>
      </c>
      <c r="F277" s="240" t="str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 t="str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 t="str">
        <f>IF(F277="","",SUMIFS(Торговля!$K$5:$K$300,Торговля!$E$5:$E$300,$B277)+SUMIFS(Закрытые!$K$5:$K$300,Закрытые!$E$5:$E$300,$B277,Закрытые!$B$5:$B$300,"T-*"))</f>
        <v/>
      </c>
      <c r="I277" s="240" t="str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 t="str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 t="str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 t="str">
        <f>IF(C278="","",SUMIFS(Торговля!$H$5:$H$300,Торговля!$E$5:$E$300,$B278)+SUMIFS(Закрытые!$H$5:$H$300,Закрытые!$E$5:$E$300,$B278,Закрытые!$B$5:$B$300,"T-*"))</f>
        <v/>
      </c>
      <c r="F278" s="246" t="str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 t="str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 t="str">
        <f>IF(F278="","",SUMIFS(Торговля!$K$5:$K$300,Торговля!$E$5:$E$300,$B278)+SUMIFS(Закрытые!$K$5:$K$300,Закрытые!$E$5:$E$300,$B278,Закрытые!$B$5:$B$300,"T-*"))</f>
        <v/>
      </c>
      <c r="I278" s="246" t="str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 t="str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 t="str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 t="str">
        <f>IF(C279="","",SUMIFS(Торговля!$H$5:$H$300,Торговля!$E$5:$E$300,$B279)+SUMIFS(Закрытые!$H$5:$H$300,Закрытые!$E$5:$E$300,$B279,Закрытые!$B$5:$B$300,"T-*"))</f>
        <v/>
      </c>
      <c r="F279" s="240" t="str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 t="str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 t="str">
        <f>IF(F279="","",SUMIFS(Торговля!$K$5:$K$300,Торговля!$E$5:$E$300,$B279)+SUMIFS(Закрытые!$K$5:$K$300,Закрытые!$E$5:$E$300,$B279,Закрытые!$B$5:$B$300,"T-*"))</f>
        <v/>
      </c>
      <c r="I279" s="240" t="str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 t="str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 t="str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 t="str">
        <f>IF(C280="","",SUMIFS(Торговля!$H$5:$H$300,Торговля!$E$5:$E$300,$B280)+SUMIFS(Закрытые!$H$5:$H$300,Закрытые!$E$5:$E$300,$B280,Закрытые!$B$5:$B$300,"T-*"))</f>
        <v/>
      </c>
      <c r="F280" s="246" t="str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 t="str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 t="str">
        <f>IF(F280="","",SUMIFS(Торговля!$K$5:$K$300,Торговля!$E$5:$E$300,$B280)+SUMIFS(Закрытые!$K$5:$K$300,Закрытые!$E$5:$E$300,$B280,Закрытые!$B$5:$B$300,"T-*"))</f>
        <v/>
      </c>
      <c r="I280" s="246" t="str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 t="str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 t="str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 t="str">
        <f>IF(C281="","",SUMIFS(Торговля!$H$5:$H$300,Торговля!$E$5:$E$300,$B281)+SUMIFS(Закрытые!$H$5:$H$300,Закрытые!$E$5:$E$300,$B281,Закрытые!$B$5:$B$300,"T-*"))</f>
        <v/>
      </c>
      <c r="F281" s="240" t="str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 t="str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 t="str">
        <f>IF(F281="","",SUMIFS(Торговля!$K$5:$K$300,Торговля!$E$5:$E$300,$B281)+SUMIFS(Закрытые!$K$5:$K$300,Закрытые!$E$5:$E$300,$B281,Закрытые!$B$5:$B$300,"T-*"))</f>
        <v/>
      </c>
      <c r="I281" s="240" t="str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 t="str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 t="str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 t="str">
        <f>IF(C282="","",SUMIFS(Торговля!$H$5:$H$300,Торговля!$E$5:$E$300,$B282)+SUMIFS(Закрытые!$H$5:$H$300,Закрытые!$E$5:$E$300,$B282,Закрытые!$B$5:$B$300,"T-*"))</f>
        <v/>
      </c>
      <c r="F282" s="246" t="str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 t="str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 t="str">
        <f>IF(F282="","",SUMIFS(Торговля!$K$5:$K$300,Торговля!$E$5:$E$300,$B282)+SUMIFS(Закрытые!$K$5:$K$300,Закрытые!$E$5:$E$300,$B282,Закрытые!$B$5:$B$300,"T-*"))</f>
        <v/>
      </c>
      <c r="I282" s="246" t="str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 t="str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 t="str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 t="str">
        <f>IF(C283="","",SUMIFS(Торговля!$H$5:$H$300,Торговля!$E$5:$E$300,$B283)+SUMIFS(Закрытые!$H$5:$H$300,Закрытые!$E$5:$E$300,$B283,Закрытые!$B$5:$B$300,"T-*"))</f>
        <v/>
      </c>
      <c r="F283" s="240" t="str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 t="str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 t="str">
        <f>IF(F283="","",SUMIFS(Торговля!$K$5:$K$300,Торговля!$E$5:$E$300,$B283)+SUMIFS(Закрытые!$K$5:$K$300,Закрытые!$E$5:$E$300,$B283,Закрытые!$B$5:$B$300,"T-*"))</f>
        <v/>
      </c>
      <c r="I283" s="240" t="str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 t="str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 t="str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 t="str">
        <f>IF(C284="","",SUMIFS(Торговля!$H$5:$H$300,Торговля!$E$5:$E$300,$B284)+SUMIFS(Закрытые!$H$5:$H$300,Закрытые!$E$5:$E$300,$B284,Закрытые!$B$5:$B$300,"T-*"))</f>
        <v/>
      </c>
      <c r="F284" s="246" t="str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 t="str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 t="str">
        <f>IF(F284="","",SUMIFS(Торговля!$K$5:$K$300,Торговля!$E$5:$E$300,$B284)+SUMIFS(Закрытые!$K$5:$K$300,Закрытые!$E$5:$E$300,$B284,Закрытые!$B$5:$B$300,"T-*"))</f>
        <v/>
      </c>
      <c r="I284" s="246" t="str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 t="str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 t="str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 t="str">
        <f>IF(C285="","",SUMIFS(Торговля!$H$5:$H$300,Торговля!$E$5:$E$300,$B285)+SUMIFS(Закрытые!$H$5:$H$300,Закрытые!$E$5:$E$300,$B285,Закрытые!$B$5:$B$300,"T-*"))</f>
        <v/>
      </c>
      <c r="F285" s="240" t="str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 t="str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 t="str">
        <f>IF(F285="","",SUMIFS(Торговля!$K$5:$K$300,Торговля!$E$5:$E$300,$B285)+SUMIFS(Закрытые!$K$5:$K$300,Закрытые!$E$5:$E$300,$B285,Закрытые!$B$5:$B$300,"T-*"))</f>
        <v/>
      </c>
      <c r="I285" s="240" t="str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 t="str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 t="str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 t="str">
        <f>IF(C286="","",SUMIFS(Торговля!$H$5:$H$300,Торговля!$E$5:$E$300,$B286)+SUMIFS(Закрытые!$H$5:$H$300,Закрытые!$E$5:$E$300,$B286,Закрытые!$B$5:$B$300,"T-*"))</f>
        <v/>
      </c>
      <c r="F286" s="246" t="str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 t="str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 t="str">
        <f>IF(F286="","",SUMIFS(Торговля!$K$5:$K$300,Торговля!$E$5:$E$300,$B286)+SUMIFS(Закрытые!$K$5:$K$300,Закрытые!$E$5:$E$300,$B286,Закрытые!$B$5:$B$300,"T-*"))</f>
        <v/>
      </c>
      <c r="I286" s="246" t="str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 t="str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 t="str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 t="str">
        <f>IF(C287="","",SUMIFS(Торговля!$H$5:$H$300,Торговля!$E$5:$E$300,$B287)+SUMIFS(Закрытые!$H$5:$H$300,Закрытые!$E$5:$E$300,$B287,Закрытые!$B$5:$B$300,"T-*"))</f>
        <v/>
      </c>
      <c r="F287" s="240" t="str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 t="str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 t="str">
        <f>IF(F287="","",SUMIFS(Торговля!$K$5:$K$300,Торговля!$E$5:$E$300,$B287)+SUMIFS(Закрытые!$K$5:$K$300,Закрытые!$E$5:$E$300,$B287,Закрытые!$B$5:$B$300,"T-*"))</f>
        <v/>
      </c>
      <c r="I287" s="240" t="str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 t="str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 t="str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 t="str">
        <f>IF(C288="","",SUMIFS(Торговля!$H$5:$H$300,Торговля!$E$5:$E$300,$B288)+SUMIFS(Закрытые!$H$5:$H$300,Закрытые!$E$5:$E$300,$B288,Закрытые!$B$5:$B$300,"T-*"))</f>
        <v/>
      </c>
      <c r="F288" s="246" t="str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 t="str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 t="str">
        <f>IF(F288="","",SUMIFS(Торговля!$K$5:$K$300,Торговля!$E$5:$E$300,$B288)+SUMIFS(Закрытые!$K$5:$K$300,Закрытые!$E$5:$E$300,$B288,Закрытые!$B$5:$B$300,"T-*"))</f>
        <v/>
      </c>
      <c r="I288" s="246" t="str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 t="str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 t="str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 t="str">
        <f>IF(C289="","",SUMIFS(Торговля!$H$5:$H$300,Торговля!$E$5:$E$300,$B289)+SUMIFS(Закрытые!$H$5:$H$300,Закрытые!$E$5:$E$300,$B289,Закрытые!$B$5:$B$300,"T-*"))</f>
        <v/>
      </c>
      <c r="F289" s="240" t="str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 t="str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 t="str">
        <f>IF(F289="","",SUMIFS(Торговля!$K$5:$K$300,Торговля!$E$5:$E$300,$B289)+SUMIFS(Закрытые!$K$5:$K$300,Закрытые!$E$5:$E$300,$B289,Закрытые!$B$5:$B$300,"T-*"))</f>
        <v/>
      </c>
      <c r="I289" s="240" t="str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 t="str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 t="str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 t="str">
        <f>IF(C290="","",SUMIFS(Торговля!$H$5:$H$300,Торговля!$E$5:$E$300,$B290)+SUMIFS(Закрытые!$H$5:$H$300,Закрытые!$E$5:$E$300,$B290,Закрытые!$B$5:$B$300,"T-*"))</f>
        <v/>
      </c>
      <c r="F290" s="246" t="str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 t="str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 t="str">
        <f>IF(F290="","",SUMIFS(Торговля!$K$5:$K$300,Торговля!$E$5:$E$300,$B290)+SUMIFS(Закрытые!$K$5:$K$300,Закрытые!$E$5:$E$300,$B290,Закрытые!$B$5:$B$300,"T-*"))</f>
        <v/>
      </c>
      <c r="I290" s="246" t="str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 t="str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 t="str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 t="str">
        <f>IF(C291="","",SUMIFS(Торговля!$H$5:$H$300,Торговля!$E$5:$E$300,$B291)+SUMIFS(Закрытые!$H$5:$H$300,Закрытые!$E$5:$E$300,$B291,Закрытые!$B$5:$B$300,"T-*"))</f>
        <v/>
      </c>
      <c r="F291" s="240" t="str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 t="str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 t="str">
        <f>IF(F291="","",SUMIFS(Торговля!$K$5:$K$300,Торговля!$E$5:$E$300,$B291)+SUMIFS(Закрытые!$K$5:$K$300,Закрытые!$E$5:$E$300,$B291,Закрытые!$B$5:$B$300,"T-*"))</f>
        <v/>
      </c>
      <c r="I291" s="240" t="str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 t="str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 t="str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 t="str">
        <f>IF(C292="","",SUMIFS(Торговля!$H$5:$H$300,Торговля!$E$5:$E$300,$B292)+SUMIFS(Закрытые!$H$5:$H$300,Закрытые!$E$5:$E$300,$B292,Закрытые!$B$5:$B$300,"T-*"))</f>
        <v/>
      </c>
      <c r="F292" s="246" t="str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 t="str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 t="str">
        <f>IF(F292="","",SUMIFS(Торговля!$K$5:$K$300,Торговля!$E$5:$E$300,$B292)+SUMIFS(Закрытые!$K$5:$K$300,Закрытые!$E$5:$E$300,$B292,Закрытые!$B$5:$B$300,"T-*"))</f>
        <v/>
      </c>
      <c r="I292" s="246" t="str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 t="str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 t="str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 t="str">
        <f>IF(C293="","",SUMIFS(Торговля!$H$5:$H$300,Торговля!$E$5:$E$300,$B293)+SUMIFS(Закрытые!$H$5:$H$300,Закрытые!$E$5:$E$300,$B293,Закрытые!$B$5:$B$300,"T-*"))</f>
        <v/>
      </c>
      <c r="F293" s="240" t="str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 t="str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 t="str">
        <f>IF(F293="","",SUMIFS(Торговля!$K$5:$K$300,Торговля!$E$5:$E$300,$B293)+SUMIFS(Закрытые!$K$5:$K$300,Закрытые!$E$5:$E$300,$B293,Закрытые!$B$5:$B$300,"T-*"))</f>
        <v/>
      </c>
      <c r="I293" s="240" t="str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 t="str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 t="str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 t="str">
        <f>IF(C294="","",SUMIFS(Торговля!$H$5:$H$300,Торговля!$E$5:$E$300,$B294)+SUMIFS(Закрытые!$H$5:$H$300,Закрытые!$E$5:$E$300,$B294,Закрытые!$B$5:$B$300,"T-*"))</f>
        <v/>
      </c>
      <c r="F294" s="246" t="str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 t="str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 t="str">
        <f>IF(F294="","",SUMIFS(Торговля!$K$5:$K$300,Торговля!$E$5:$E$300,$B294)+SUMIFS(Закрытые!$K$5:$K$300,Закрытые!$E$5:$E$300,$B294,Закрытые!$B$5:$B$300,"T-*"))</f>
        <v/>
      </c>
      <c r="I294" s="246" t="str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 t="str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 t="str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 t="str">
        <f>IF(C295="","",SUMIFS(Торговля!$H$5:$H$300,Торговля!$E$5:$E$300,$B295)+SUMIFS(Закрытые!$H$5:$H$300,Закрытые!$E$5:$E$300,$B295,Закрытые!$B$5:$B$300,"T-*"))</f>
        <v/>
      </c>
      <c r="F295" s="240" t="str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 t="str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 t="str">
        <f>IF(F295="","",SUMIFS(Торговля!$K$5:$K$300,Торговля!$E$5:$E$300,$B295)+SUMIFS(Закрытые!$K$5:$K$300,Закрытые!$E$5:$E$300,$B295,Закрытые!$B$5:$B$300,"T-*"))</f>
        <v/>
      </c>
      <c r="I295" s="240" t="str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 t="str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 t="str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 t="str">
        <f>IF(C296="","",SUMIFS(Торговля!$H$5:$H$300,Торговля!$E$5:$E$300,$B296)+SUMIFS(Закрытые!$H$5:$H$300,Закрытые!$E$5:$E$300,$B296,Закрытые!$B$5:$B$300,"T-*"))</f>
        <v/>
      </c>
      <c r="F296" s="246" t="str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 t="str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 t="str">
        <f>IF(F296="","",SUMIFS(Торговля!$K$5:$K$300,Торговля!$E$5:$E$300,$B296)+SUMIFS(Закрытые!$K$5:$K$300,Закрытые!$E$5:$E$300,$B296,Закрытые!$B$5:$B$300,"T-*"))</f>
        <v/>
      </c>
      <c r="I296" s="246" t="str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 t="str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 t="str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 t="str">
        <f>IF(C297="","",SUMIFS(Торговля!$H$5:$H$300,Торговля!$E$5:$E$300,$B297)+SUMIFS(Закрытые!$H$5:$H$300,Закрытые!$E$5:$E$300,$B297,Закрытые!$B$5:$B$300,"T-*"))</f>
        <v/>
      </c>
      <c r="F297" s="240" t="str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 t="str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 t="str">
        <f>IF(F297="","",SUMIFS(Торговля!$K$5:$K$300,Торговля!$E$5:$E$300,$B297)+SUMIFS(Закрытые!$K$5:$K$300,Закрытые!$E$5:$E$300,$B297,Закрытые!$B$5:$B$300,"T-*"))</f>
        <v/>
      </c>
      <c r="I297" s="240" t="str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 t="str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 t="str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 t="str">
        <f>IF(C298="","",SUMIFS(Торговля!$H$5:$H$300,Торговля!$E$5:$E$300,$B298)+SUMIFS(Закрытые!$H$5:$H$300,Закрытые!$E$5:$E$300,$B298,Закрытые!$B$5:$B$300,"T-*"))</f>
        <v/>
      </c>
      <c r="F298" s="246" t="str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 t="str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 t="str">
        <f>IF(F298="","",SUMIFS(Торговля!$K$5:$K$300,Торговля!$E$5:$E$300,$B298)+SUMIFS(Закрытые!$K$5:$K$300,Закрытые!$E$5:$E$300,$B298,Закрытые!$B$5:$B$300,"T-*"))</f>
        <v/>
      </c>
      <c r="I298" s="246" t="str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 t="str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 t="str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 t="str">
        <f>IF(C299="","",SUMIFS(Торговля!$H$5:$H$300,Торговля!$E$5:$E$300,$B299)+SUMIFS(Закрытые!$H$5:$H$300,Закрытые!$E$5:$E$300,$B299,Закрытые!$B$5:$B$300,"T-*"))</f>
        <v/>
      </c>
      <c r="F299" s="240" t="str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 t="str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 t="str">
        <f>IF(F299="","",SUMIFS(Торговля!$K$5:$K$300,Торговля!$E$5:$E$300,$B299)+SUMIFS(Закрытые!$K$5:$K$300,Закрытые!$E$5:$E$300,$B299,Закрытые!$B$5:$B$300,"T-*"))</f>
        <v/>
      </c>
      <c r="I299" s="240" t="str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 t="str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 t="str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 t="str">
        <f>IF(C300="","",SUMIFS(Торговля!$H$5:$H$300,Торговля!$E$5:$E$300,$B300)+SUMIFS(Закрытые!$H$5:$H$300,Закрытые!$E$5:$E$300,$B300,Закрытые!$B$5:$B$300,"T-*"))</f>
        <v/>
      </c>
      <c r="F300" s="246" t="str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 t="str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 t="str">
        <f>IF(F300="","",SUMIFS(Торговля!$K$5:$K$300,Торговля!$E$5:$E$300,$B300)+SUMIFS(Закрытые!$K$5:$K$300,Закрытые!$E$5:$E$300,$B300,Закрытые!$B$5:$B$300,"T-*"))</f>
        <v/>
      </c>
      <c r="I300" s="246" t="str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 t="str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1.5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585</v>
      </c>
      <c r="E5" s="241">
        <f>IF(C5="","",SUMIFS(Лэндинг!$H$5:$H$300,Лэндинг!$E$5:$E$300,$B5)+SUMIFS(Закрытые!$H$5:$H$300,Закрытые!$E$5:$E$300,$B5,Закрытые!$B$5:$B$300,"L-*"))</f>
        <v>877.5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4.5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598.2</v>
      </c>
      <c r="H5" s="241">
        <f>IF(F5="","",SUMIFS(Лэндинг!$K$5:$K$300,Лэндинг!$E$5:$E$300,$B5)+SUMIFS(Закрытые!$K$5:$K$300,Закрытые!$E$5:$E$300,$B5,Закрытые!$B$5:$B$300,"L-*"))</f>
        <v>2691.9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-3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>0.1</v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>62124</v>
      </c>
      <c r="E6" s="247">
        <f>IF(C6="","",SUMIFS(Лэндинг!$H$5:$H$300,Лэндинг!$E$5:$E$300,$B6)+SUMIFS(Закрытые!$H$5:$H$300,Закрытые!$E$5:$E$300,$B6,Закрытые!$B$5:$B$300,"L-*"))</f>
        <v>6212.4</v>
      </c>
      <c r="F6" s="246" t="str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 t="str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 t="str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0.1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 t="str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 t="str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1.5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0.052395</v>
      </c>
      <c r="H7" s="241">
        <f>IF(F7="","",SUMIFS(Лэндинг!$K$5:$K$300,Лэндинг!$E$5:$E$300,$B7)+SUMIFS(Закрытые!$K$5:$K$300,Закрытые!$E$5:$E$300,$B7,Закрытые!$B$5:$B$300,"L-*"))</f>
        <v>0.0785925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-1.5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3.5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3211.49485714286</v>
      </c>
      <c r="E8" s="247">
        <f>IF(C8="","",SUMIFS(Лэндинг!$H$5:$H$300,Лэндинг!$E$5:$E$300,$B8)+SUMIFS(Закрытые!$H$5:$H$300,Закрытые!$E$5:$E$300,$B8,Закрытые!$B$5:$B$300,"L-*"))</f>
        <v>11240.232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2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3379.9</v>
      </c>
      <c r="H8" s="247">
        <f>IF(F8="","",SUMIFS(Лэндинг!$K$5:$K$300,Лэндинг!$E$5:$E$300,$B8)+SUMIFS(Закрытые!$K$5:$K$300,Закрытые!$E$5:$E$300,$B8,Закрытые!$B$5:$B$300,"L-*"))</f>
        <v>6759.8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1.5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35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145.922857142857</v>
      </c>
      <c r="E9" s="241">
        <f>IF(C9="","",SUMIFS(Лэндинг!$H$5:$H$300,Лэндинг!$E$5:$E$300,$B9)+SUMIFS(Закрытые!$H$5:$H$300,Закрытые!$E$5:$E$300,$B9,Закрытые!$B$5:$B$300,"L-*"))</f>
        <v>5107.3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50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150.2592</v>
      </c>
      <c r="H9" s="241">
        <f>IF(F9="","",SUMIFS(Лэндинг!$K$5:$K$300,Лэндинг!$E$5:$E$300,$B9)+SUMIFS(Закрытые!$K$5:$K$300,Закрытые!$E$5:$E$300,$B9,Закрытые!$B$5:$B$300,"L-*"))</f>
        <v>7512.96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-15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 t="str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 t="str">
        <f>IF(C10="","",SUMIFS(Лэндинг!$H$5:$H$300,Лэндинг!$E$5:$E$300,$B10)+SUMIFS(Закрытые!$H$5:$H$300,Закрытые!$E$5:$E$300,$B10,Закрытые!$B$5:$B$300,"L-*"))</f>
        <v/>
      </c>
      <c r="F10" s="246" t="str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 t="str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 t="str">
        <f>IF(F10="","",SUMIFS(Лэндинг!$K$5:$K$300,Лэндинг!$E$5:$E$300,$B10)+SUMIFS(Закрытые!$K$5:$K$300,Закрытые!$E$5:$E$300,$B10,Закрытые!$B$5:$B$300,"L-*"))</f>
        <v/>
      </c>
      <c r="I10" s="246" t="str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 t="str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 t="str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 t="str">
        <f>IF(C11="","",SUMIFS(Лэндинг!$H$5:$H$300,Лэндинг!$E$5:$E$300,$B11)+SUMIFS(Закрытые!$H$5:$H$300,Закрытые!$E$5:$E$300,$B11,Закрытые!$B$5:$B$300,"L-*"))</f>
        <v/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 t="str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 t="str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 t="str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 t="str">
        <f>IF(C12="","",SUMIFS(Лэндинг!$H$5:$H$300,Лэндинг!$E$5:$E$300,$B12)+SUMIFS(Закрытые!$H$5:$H$300,Закрытые!$E$5:$E$300,$B12,Закрытые!$B$5:$B$300,"L-*"))</f>
        <v/>
      </c>
      <c r="F12" s="246" t="str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 t="str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 t="str">
        <f>IF(F12="","",SUMIFS(Лэндинг!$K$5:$K$300,Лэндинг!$E$5:$E$300,$B12)+SUMIFS(Закрытые!$K$5:$K$300,Закрытые!$E$5:$E$300,$B12,Закрытые!$B$5:$B$300,"L-*"))</f>
        <v/>
      </c>
      <c r="I12" s="246" t="str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 t="str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 t="str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 t="str">
        <f>IF(C13="","",SUMIFS(Лэндинг!$H$5:$H$300,Лэндинг!$E$5:$E$300,$B13)+SUMIFS(Закрытые!$H$5:$H$300,Закрытые!$E$5:$E$300,$B13,Закрытые!$B$5:$B$300,"L-*"))</f>
        <v/>
      </c>
      <c r="F13" s="240" t="str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 t="str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 t="str">
        <f>IF(F13="","",SUMIFS(Лэндинг!$K$5:$K$300,Лэндинг!$E$5:$E$300,$B13)+SUMIFS(Закрытые!$K$5:$K$300,Закрытые!$E$5:$E$300,$B13,Закрытые!$B$5:$B$300,"L-*"))</f>
        <v/>
      </c>
      <c r="I13" s="240" t="str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 t="str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 t="str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 t="str">
        <f>IF(C14="","",SUMIFS(Лэндинг!$H$5:$H$300,Лэндинг!$E$5:$E$300,$B14)+SUMIFS(Закрытые!$H$5:$H$300,Закрытые!$E$5:$E$300,$B14,Закрытые!$B$5:$B$300,"L-*"))</f>
        <v/>
      </c>
      <c r="F14" s="246" t="str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 t="str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 t="str">
        <f>IF(F14="","",SUMIFS(Лэндинг!$K$5:$K$300,Лэндинг!$E$5:$E$300,$B14)+SUMIFS(Закрытые!$K$5:$K$300,Закрытые!$E$5:$E$300,$B14,Закрытые!$B$5:$B$300,"L-*"))</f>
        <v/>
      </c>
      <c r="I14" s="246" t="str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 t="str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 t="str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 t="str">
        <f>IF(C15="","",SUMIFS(Лэндинг!$H$5:$H$300,Лэндинг!$E$5:$E$300,$B15)+SUMIFS(Закрытые!$H$5:$H$300,Закрытые!$E$5:$E$300,$B15,Закрытые!$B$5:$B$300,"L-*"))</f>
        <v/>
      </c>
      <c r="F15" s="240" t="str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 t="str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 t="str">
        <f>IF(F15="","",SUMIFS(Лэндинг!$K$5:$K$300,Лэндинг!$E$5:$E$300,$B15)+SUMIFS(Закрытые!$K$5:$K$300,Закрытые!$E$5:$E$300,$B15,Закрытые!$B$5:$B$300,"L-*"))</f>
        <v/>
      </c>
      <c r="I15" s="240" t="str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 t="str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 t="str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 t="str">
        <f>IF(C16="","",SUMIFS(Лэндинг!$H$5:$H$300,Лэндинг!$E$5:$E$300,$B16)+SUMIFS(Закрытые!$H$5:$H$300,Закрытые!$E$5:$E$300,$B16,Закрытые!$B$5:$B$300,"L-*"))</f>
        <v/>
      </c>
      <c r="F16" s="246" t="str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 t="str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 t="str">
        <f>IF(F16="","",SUMIFS(Лэндинг!$K$5:$K$300,Лэндинг!$E$5:$E$300,$B16)+SUMIFS(Закрытые!$K$5:$K$300,Закрытые!$E$5:$E$300,$B16,Закрытые!$B$5:$B$300,"L-*"))</f>
        <v/>
      </c>
      <c r="I16" s="246" t="str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 t="str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 t="str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 t="str">
        <f>IF(C17="","",SUMIFS(Лэндинг!$H$5:$H$300,Лэндинг!$E$5:$E$300,$B17)+SUMIFS(Закрытые!$H$5:$H$300,Закрытые!$E$5:$E$300,$B17,Закрытые!$B$5:$B$300,"L-*"))</f>
        <v/>
      </c>
      <c r="F17" s="240" t="str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 t="str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 t="str">
        <f>IF(F17="","",SUMIFS(Лэндинг!$K$5:$K$300,Лэндинг!$E$5:$E$300,$B17)+SUMIFS(Закрытые!$K$5:$K$300,Закрытые!$E$5:$E$300,$B17,Закрытые!$B$5:$B$300,"L-*"))</f>
        <v/>
      </c>
      <c r="I17" s="240" t="str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 t="str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 t="str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 t="str">
        <f>IF(C18="","",SUMIFS(Лэндинг!$H$5:$H$300,Лэндинг!$E$5:$E$300,$B18)+SUMIFS(Закрытые!$H$5:$H$300,Закрытые!$E$5:$E$300,$B18,Закрытые!$B$5:$B$300,"L-*"))</f>
        <v/>
      </c>
      <c r="F18" s="246" t="str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 t="str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 t="str">
        <f>IF(F18="","",SUMIFS(Лэндинг!$K$5:$K$300,Лэндинг!$E$5:$E$300,$B18)+SUMIFS(Закрытые!$K$5:$K$300,Закрытые!$E$5:$E$300,$B18,Закрытые!$B$5:$B$300,"L-*"))</f>
        <v/>
      </c>
      <c r="I18" s="246" t="str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 t="str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 t="str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 t="str">
        <f>IF(C19="","",SUMIFS(Лэндинг!$H$5:$H$300,Лэндинг!$E$5:$E$300,$B19)+SUMIFS(Закрытые!$H$5:$H$300,Закрытые!$E$5:$E$300,$B19,Закрытые!$B$5:$B$300,"L-*"))</f>
        <v/>
      </c>
      <c r="F19" s="240" t="str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 t="str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 t="str">
        <f>IF(F19="","",SUMIFS(Лэндинг!$K$5:$K$300,Лэндинг!$E$5:$E$300,$B19)+SUMIFS(Закрытые!$K$5:$K$300,Закрытые!$E$5:$E$300,$B19,Закрытые!$B$5:$B$300,"L-*"))</f>
        <v/>
      </c>
      <c r="I19" s="240" t="str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 t="str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 t="str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 t="str">
        <f>IF(C20="","",SUMIFS(Лэндинг!$H$5:$H$300,Лэндинг!$E$5:$E$300,$B20)+SUMIFS(Закрытые!$H$5:$H$300,Закрытые!$E$5:$E$300,$B20,Закрытые!$B$5:$B$300,"L-*"))</f>
        <v/>
      </c>
      <c r="F20" s="246" t="str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 t="str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 t="str">
        <f>IF(F20="","",SUMIFS(Лэндинг!$K$5:$K$300,Лэндинг!$E$5:$E$300,$B20)+SUMIFS(Закрытые!$K$5:$K$300,Закрытые!$E$5:$E$300,$B20,Закрытые!$B$5:$B$300,"L-*"))</f>
        <v/>
      </c>
      <c r="I20" s="246" t="str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 t="str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 t="str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 t="str">
        <f>IF(C21="","",SUMIFS(Лэндинг!$H$5:$H$300,Лэндинг!$E$5:$E$300,$B21)+SUMIFS(Закрытые!$H$5:$H$300,Закрытые!$E$5:$E$300,$B21,Закрытые!$B$5:$B$300,"L-*"))</f>
        <v/>
      </c>
      <c r="F21" s="240" t="str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 t="str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 t="str">
        <f>IF(F21="","",SUMIFS(Лэндинг!$K$5:$K$300,Лэндинг!$E$5:$E$300,$B21)+SUMIFS(Закрытые!$K$5:$K$300,Закрытые!$E$5:$E$300,$B21,Закрытые!$B$5:$B$300,"L-*"))</f>
        <v/>
      </c>
      <c r="I21" s="240" t="str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 t="str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 t="str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 t="str">
        <f>IF(C22="","",SUMIFS(Лэндинг!$H$5:$H$300,Лэндинг!$E$5:$E$300,$B22)+SUMIFS(Закрытые!$H$5:$H$300,Закрытые!$E$5:$E$300,$B22,Закрытые!$B$5:$B$300,"L-*"))</f>
        <v/>
      </c>
      <c r="F22" s="246" t="str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 t="str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 t="str">
        <f>IF(F22="","",SUMIFS(Лэндинг!$K$5:$K$300,Лэндинг!$E$5:$E$300,$B22)+SUMIFS(Закрытые!$K$5:$K$300,Закрытые!$E$5:$E$300,$B22,Закрытые!$B$5:$B$300,"L-*"))</f>
        <v/>
      </c>
      <c r="I22" s="246" t="str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 t="str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 t="str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 t="str">
        <f>IF(C23="","",SUMIFS(Лэндинг!$H$5:$H$300,Лэндинг!$E$5:$E$300,$B23)+SUMIFS(Закрытые!$H$5:$H$300,Закрытые!$E$5:$E$300,$B23,Закрытые!$B$5:$B$300,"L-*"))</f>
        <v/>
      </c>
      <c r="F23" s="240" t="str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 t="str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 t="str">
        <f>IF(F23="","",SUMIFS(Лэндинг!$K$5:$K$300,Лэндинг!$E$5:$E$300,$B23)+SUMIFS(Закрытые!$K$5:$K$300,Закрытые!$E$5:$E$300,$B23,Закрытые!$B$5:$B$300,"L-*"))</f>
        <v/>
      </c>
      <c r="I23" s="240" t="str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 t="str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 t="str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 t="str">
        <f>IF(C24="","",SUMIFS(Лэндинг!$H$5:$H$300,Лэндинг!$E$5:$E$300,$B24)+SUMIFS(Закрытые!$H$5:$H$300,Закрытые!$E$5:$E$300,$B24,Закрытые!$B$5:$B$300,"L-*"))</f>
        <v/>
      </c>
      <c r="F24" s="246" t="str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 t="str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 t="str">
        <f>IF(F24="","",SUMIFS(Лэндинг!$K$5:$K$300,Лэндинг!$E$5:$E$300,$B24)+SUMIFS(Закрытые!$K$5:$K$300,Закрытые!$E$5:$E$300,$B24,Закрытые!$B$5:$B$300,"L-*"))</f>
        <v/>
      </c>
      <c r="I24" s="246" t="str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 t="str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 t="str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 t="str">
        <f>IF(C25="","",SUMIFS(Лэндинг!$H$5:$H$300,Лэндинг!$E$5:$E$300,$B25)+SUMIFS(Закрытые!$H$5:$H$300,Закрытые!$E$5:$E$300,$B25,Закрытые!$B$5:$B$300,"L-*"))</f>
        <v/>
      </c>
      <c r="F25" s="240" t="str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 t="str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 t="str">
        <f>IF(F25="","",SUMIFS(Лэндинг!$K$5:$K$300,Лэндинг!$E$5:$E$300,$B25)+SUMIFS(Закрытые!$K$5:$K$300,Закрытые!$E$5:$E$300,$B25,Закрытые!$B$5:$B$300,"L-*"))</f>
        <v/>
      </c>
      <c r="I25" s="240" t="str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 t="str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 t="str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 t="str">
        <f>IF(C26="","",SUMIFS(Лэндинг!$H$5:$H$300,Лэндинг!$E$5:$E$300,$B26)+SUMIFS(Закрытые!$H$5:$H$300,Закрытые!$E$5:$E$300,$B26,Закрытые!$B$5:$B$300,"L-*"))</f>
        <v/>
      </c>
      <c r="F26" s="246" t="str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 t="str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 t="str">
        <f>IF(F26="","",SUMIFS(Лэндинг!$K$5:$K$300,Лэндинг!$E$5:$E$300,$B26)+SUMIFS(Закрытые!$K$5:$K$300,Закрытые!$E$5:$E$300,$B26,Закрытые!$B$5:$B$300,"L-*"))</f>
        <v/>
      </c>
      <c r="I26" s="246" t="str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 t="str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 t="str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 t="str">
        <f>IF(C27="","",SUMIFS(Лэндинг!$H$5:$H$300,Лэндинг!$E$5:$E$300,$B27)+SUMIFS(Закрытые!$H$5:$H$300,Закрытые!$E$5:$E$300,$B27,Закрытые!$B$5:$B$300,"L-*"))</f>
        <v/>
      </c>
      <c r="F27" s="240" t="str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 t="str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 t="str">
        <f>IF(F27="","",SUMIFS(Лэндинг!$K$5:$K$300,Лэндинг!$E$5:$E$300,$B27)+SUMIFS(Закрытые!$K$5:$K$300,Закрытые!$E$5:$E$300,$B27,Закрытые!$B$5:$B$300,"L-*"))</f>
        <v/>
      </c>
      <c r="I27" s="240" t="str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 t="str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 t="str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 t="str">
        <f>IF(C28="","",SUMIFS(Лэндинг!$H$5:$H$300,Лэндинг!$E$5:$E$300,$B28)+SUMIFS(Закрытые!$H$5:$H$300,Закрытые!$E$5:$E$300,$B28,Закрытые!$B$5:$B$300,"L-*"))</f>
        <v/>
      </c>
      <c r="F28" s="246" t="str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 t="str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 t="str">
        <f>IF(F28="","",SUMIFS(Лэндинг!$K$5:$K$300,Лэндинг!$E$5:$E$300,$B28)+SUMIFS(Закрытые!$K$5:$K$300,Закрытые!$E$5:$E$300,$B28,Закрытые!$B$5:$B$300,"L-*"))</f>
        <v/>
      </c>
      <c r="I28" s="246" t="str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 t="str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 t="str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 t="str">
        <f>IF(C29="","",SUMIFS(Лэндинг!$H$5:$H$300,Лэндинг!$E$5:$E$300,$B29)+SUMIFS(Закрытые!$H$5:$H$300,Закрытые!$E$5:$E$300,$B29,Закрытые!$B$5:$B$300,"L-*"))</f>
        <v/>
      </c>
      <c r="F29" s="240" t="str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 t="str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 t="str">
        <f>IF(F29="","",SUMIFS(Лэндинг!$K$5:$K$300,Лэндинг!$E$5:$E$300,$B29)+SUMIFS(Закрытые!$K$5:$K$300,Закрытые!$E$5:$E$300,$B29,Закрытые!$B$5:$B$300,"L-*"))</f>
        <v/>
      </c>
      <c r="I29" s="240" t="str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 t="str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 t="str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 t="str">
        <f>IF(C30="","",SUMIFS(Лэндинг!$H$5:$H$300,Лэндинг!$E$5:$E$300,$B30)+SUMIFS(Закрытые!$H$5:$H$300,Закрытые!$E$5:$E$300,$B30,Закрытые!$B$5:$B$300,"L-*"))</f>
        <v/>
      </c>
      <c r="F30" s="246" t="str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 t="str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 t="str">
        <f>IF(F30="","",SUMIFS(Лэндинг!$K$5:$K$300,Лэндинг!$E$5:$E$300,$B30)+SUMIFS(Закрытые!$K$5:$K$300,Закрытые!$E$5:$E$300,$B30,Закрытые!$B$5:$B$300,"L-*"))</f>
        <v/>
      </c>
      <c r="I30" s="246" t="str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 t="str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 t="str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 t="str">
        <f>IF(C31="","",SUMIFS(Лэндинг!$H$5:$H$300,Лэндинг!$E$5:$E$300,$B31)+SUMIFS(Закрытые!$H$5:$H$300,Закрытые!$E$5:$E$300,$B31,Закрытые!$B$5:$B$300,"L-*"))</f>
        <v/>
      </c>
      <c r="F31" s="240" t="str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 t="str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 t="str">
        <f>IF(F31="","",SUMIFS(Лэндинг!$K$5:$K$300,Лэндинг!$E$5:$E$300,$B31)+SUMIFS(Закрытые!$K$5:$K$300,Закрытые!$E$5:$E$300,$B31,Закрытые!$B$5:$B$300,"L-*"))</f>
        <v/>
      </c>
      <c r="I31" s="240" t="str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 t="str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 t="str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 t="str">
        <f>IF(C32="","",SUMIFS(Лэндинг!$H$5:$H$300,Лэндинг!$E$5:$E$300,$B32)+SUMIFS(Закрытые!$H$5:$H$300,Закрытые!$E$5:$E$300,$B32,Закрытые!$B$5:$B$300,"L-*"))</f>
        <v/>
      </c>
      <c r="F32" s="246" t="str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 t="str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 t="str">
        <f>IF(F32="","",SUMIFS(Лэндинг!$K$5:$K$300,Лэндинг!$E$5:$E$300,$B32)+SUMIFS(Закрытые!$K$5:$K$300,Закрытые!$E$5:$E$300,$B32,Закрытые!$B$5:$B$300,"L-*"))</f>
        <v/>
      </c>
      <c r="I32" s="246" t="str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 t="str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 t="str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 t="str">
        <f>IF(C33="","",SUMIFS(Лэндинг!$H$5:$H$300,Лэндинг!$E$5:$E$300,$B33)+SUMIFS(Закрытые!$H$5:$H$300,Закрытые!$E$5:$E$300,$B33,Закрытые!$B$5:$B$300,"L-*"))</f>
        <v/>
      </c>
      <c r="F33" s="240" t="str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 t="str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 t="str">
        <f>IF(F33="","",SUMIFS(Лэндинг!$K$5:$K$300,Лэндинг!$E$5:$E$300,$B33)+SUMIFS(Закрытые!$K$5:$K$300,Закрытые!$E$5:$E$300,$B33,Закрытые!$B$5:$B$300,"L-*"))</f>
        <v/>
      </c>
      <c r="I33" s="240" t="str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 t="str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 t="str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 t="str">
        <f>IF(C34="","",SUMIFS(Лэндинг!$H$5:$H$300,Лэндинг!$E$5:$E$300,$B34)+SUMIFS(Закрытые!$H$5:$H$300,Закрытые!$E$5:$E$300,$B34,Закрытые!$B$5:$B$300,"L-*"))</f>
        <v/>
      </c>
      <c r="F34" s="246" t="str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 t="str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 t="str">
        <f>IF(F34="","",SUMIFS(Лэндинг!$K$5:$K$300,Лэндинг!$E$5:$E$300,$B34)+SUMIFS(Закрытые!$K$5:$K$300,Закрытые!$E$5:$E$300,$B34,Закрытые!$B$5:$B$300,"L-*"))</f>
        <v/>
      </c>
      <c r="I34" s="246" t="str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 t="str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 t="str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 t="str">
        <f>IF(C35="","",SUMIFS(Лэндинг!$H$5:$H$300,Лэндинг!$E$5:$E$300,$B35)+SUMIFS(Закрытые!$H$5:$H$300,Закрытые!$E$5:$E$300,$B35,Закрытые!$B$5:$B$300,"L-*"))</f>
        <v/>
      </c>
      <c r="F35" s="240" t="str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 t="str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 t="str">
        <f>IF(F35="","",SUMIFS(Лэндинг!$K$5:$K$300,Лэндинг!$E$5:$E$300,$B35)+SUMIFS(Закрытые!$K$5:$K$300,Закрытые!$E$5:$E$300,$B35,Закрытые!$B$5:$B$300,"L-*"))</f>
        <v/>
      </c>
      <c r="I35" s="240" t="str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 t="str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 t="str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 t="str">
        <f>IF(C36="","",SUMIFS(Лэндинг!$H$5:$H$300,Лэндинг!$E$5:$E$300,$B36)+SUMIFS(Закрытые!$H$5:$H$300,Закрытые!$E$5:$E$300,$B36,Закрытые!$B$5:$B$300,"L-*"))</f>
        <v/>
      </c>
      <c r="F36" s="246" t="str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 t="str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 t="str">
        <f>IF(F36="","",SUMIFS(Лэндинг!$K$5:$K$300,Лэндинг!$E$5:$E$300,$B36)+SUMIFS(Закрытые!$K$5:$K$300,Закрытые!$E$5:$E$300,$B36,Закрытые!$B$5:$B$300,"L-*"))</f>
        <v/>
      </c>
      <c r="I36" s="246" t="str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 t="str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 t="str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 t="str">
        <f>IF(C37="","",SUMIFS(Лэндинг!$H$5:$H$300,Лэндинг!$E$5:$E$300,$B37)+SUMIFS(Закрытые!$H$5:$H$300,Закрытые!$E$5:$E$300,$B37,Закрытые!$B$5:$B$300,"L-*"))</f>
        <v/>
      </c>
      <c r="F37" s="240" t="str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 t="str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 t="str">
        <f>IF(F37="","",SUMIFS(Лэндинг!$K$5:$K$300,Лэндинг!$E$5:$E$300,$B37)+SUMIFS(Закрытые!$K$5:$K$300,Закрытые!$E$5:$E$300,$B37,Закрытые!$B$5:$B$300,"L-*"))</f>
        <v/>
      </c>
      <c r="I37" s="240" t="str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 t="str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 t="str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 t="str">
        <f>IF(C38="","",SUMIFS(Лэндинг!$H$5:$H$300,Лэндинг!$E$5:$E$300,$B38)+SUMIFS(Закрытые!$H$5:$H$300,Закрытые!$E$5:$E$300,$B38,Закрытые!$B$5:$B$300,"L-*"))</f>
        <v/>
      </c>
      <c r="F38" s="246" t="str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 t="str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 t="str">
        <f>IF(F38="","",SUMIFS(Лэндинг!$K$5:$K$300,Лэндинг!$E$5:$E$300,$B38)+SUMIFS(Закрытые!$K$5:$K$300,Закрытые!$E$5:$E$300,$B38,Закрытые!$B$5:$B$300,"L-*"))</f>
        <v/>
      </c>
      <c r="I38" s="246" t="str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 t="str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 t="str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 t="str">
        <f>IF(C39="","",SUMIFS(Лэндинг!$H$5:$H$300,Лэндинг!$E$5:$E$300,$B39)+SUMIFS(Закрытые!$H$5:$H$300,Закрытые!$E$5:$E$300,$B39,Закрытые!$B$5:$B$300,"L-*"))</f>
        <v/>
      </c>
      <c r="F39" s="240" t="str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 t="str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 t="str">
        <f>IF(F39="","",SUMIFS(Лэндинг!$K$5:$K$300,Лэндинг!$E$5:$E$300,$B39)+SUMIFS(Закрытые!$K$5:$K$300,Закрытые!$E$5:$E$300,$B39,Закрытые!$B$5:$B$300,"L-*"))</f>
        <v/>
      </c>
      <c r="I39" s="240" t="str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 t="str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 t="str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 t="str">
        <f>IF(C40="","",SUMIFS(Лэндинг!$H$5:$H$300,Лэндинг!$E$5:$E$300,$B40)+SUMIFS(Закрытые!$H$5:$H$300,Закрытые!$E$5:$E$300,$B40,Закрытые!$B$5:$B$300,"L-*"))</f>
        <v/>
      </c>
      <c r="F40" s="246" t="str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 t="str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 t="str">
        <f>IF(F40="","",SUMIFS(Лэндинг!$K$5:$K$300,Лэндинг!$E$5:$E$300,$B40)+SUMIFS(Закрытые!$K$5:$K$300,Закрытые!$E$5:$E$300,$B40,Закрытые!$B$5:$B$300,"L-*"))</f>
        <v/>
      </c>
      <c r="I40" s="246" t="str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 t="str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 t="str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 t="str">
        <f>IF(C41="","",SUMIFS(Лэндинг!$H$5:$H$300,Лэндинг!$E$5:$E$300,$B41)+SUMIFS(Закрытые!$H$5:$H$300,Закрытые!$E$5:$E$300,$B41,Закрытые!$B$5:$B$300,"L-*"))</f>
        <v/>
      </c>
      <c r="F41" s="240" t="str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 t="str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 t="str">
        <f>IF(F41="","",SUMIFS(Лэндинг!$K$5:$K$300,Лэндинг!$E$5:$E$300,$B41)+SUMIFS(Закрытые!$K$5:$K$300,Закрытые!$E$5:$E$300,$B41,Закрытые!$B$5:$B$300,"L-*"))</f>
        <v/>
      </c>
      <c r="I41" s="240" t="str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 t="str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 t="str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 t="str">
        <f>IF(C42="","",SUMIFS(Лэндинг!$H$5:$H$300,Лэндинг!$E$5:$E$300,$B42)+SUMIFS(Закрытые!$H$5:$H$300,Закрытые!$E$5:$E$300,$B42,Закрытые!$B$5:$B$300,"L-*"))</f>
        <v/>
      </c>
      <c r="F42" s="246" t="str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 t="str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 t="str">
        <f>IF(F42="","",SUMIFS(Лэндинг!$K$5:$K$300,Лэндинг!$E$5:$E$300,$B42)+SUMIFS(Закрытые!$K$5:$K$300,Закрытые!$E$5:$E$300,$B42,Закрытые!$B$5:$B$300,"L-*"))</f>
        <v/>
      </c>
      <c r="I42" s="246" t="str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 t="str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 t="str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 t="str">
        <f>IF(C43="","",SUMIFS(Лэндинг!$H$5:$H$300,Лэндинг!$E$5:$E$300,$B43)+SUMIFS(Закрытые!$H$5:$H$300,Закрытые!$E$5:$E$300,$B43,Закрытые!$B$5:$B$300,"L-*"))</f>
        <v/>
      </c>
      <c r="F43" s="240" t="str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 t="str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 t="str">
        <f>IF(F43="","",SUMIFS(Лэндинг!$K$5:$K$300,Лэндинг!$E$5:$E$300,$B43)+SUMIFS(Закрытые!$K$5:$K$300,Закрытые!$E$5:$E$300,$B43,Закрытые!$B$5:$B$300,"L-*"))</f>
        <v/>
      </c>
      <c r="I43" s="240" t="str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 t="str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 t="str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 t="str">
        <f>IF(C44="","",SUMIFS(Лэндинг!$H$5:$H$300,Лэндинг!$E$5:$E$300,$B44)+SUMIFS(Закрытые!$H$5:$H$300,Закрытые!$E$5:$E$300,$B44,Закрытые!$B$5:$B$300,"L-*"))</f>
        <v/>
      </c>
      <c r="F44" s="246" t="str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 t="str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 t="str">
        <f>IF(F44="","",SUMIFS(Лэндинг!$K$5:$K$300,Лэндинг!$E$5:$E$300,$B44)+SUMIFS(Закрытые!$K$5:$K$300,Закрытые!$E$5:$E$300,$B44,Закрытые!$B$5:$B$300,"L-*"))</f>
        <v/>
      </c>
      <c r="I44" s="246" t="str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 t="str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 t="str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 t="str">
        <f>IF(C45="","",SUMIFS(Лэндинг!$H$5:$H$300,Лэндинг!$E$5:$E$300,$B45)+SUMIFS(Закрытые!$H$5:$H$300,Закрытые!$E$5:$E$300,$B45,Закрытые!$B$5:$B$300,"L-*"))</f>
        <v/>
      </c>
      <c r="F45" s="240" t="str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 t="str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 t="str">
        <f>IF(F45="","",SUMIFS(Лэндинг!$K$5:$K$300,Лэндинг!$E$5:$E$300,$B45)+SUMIFS(Закрытые!$K$5:$K$300,Закрытые!$E$5:$E$300,$B45,Закрытые!$B$5:$B$300,"L-*"))</f>
        <v/>
      </c>
      <c r="I45" s="240" t="str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 t="str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 t="str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 t="str">
        <f>IF(C46="","",SUMIFS(Лэндинг!$H$5:$H$300,Лэндинг!$E$5:$E$300,$B46)+SUMIFS(Закрытые!$H$5:$H$300,Закрытые!$E$5:$E$300,$B46,Закрытые!$B$5:$B$300,"L-*"))</f>
        <v/>
      </c>
      <c r="F46" s="246" t="str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 t="str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 t="str">
        <f>IF(F46="","",SUMIFS(Лэндинг!$K$5:$K$300,Лэндинг!$E$5:$E$300,$B46)+SUMIFS(Закрытые!$K$5:$K$300,Закрытые!$E$5:$E$300,$B46,Закрытые!$B$5:$B$300,"L-*"))</f>
        <v/>
      </c>
      <c r="I46" s="246" t="str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 t="str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 t="str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 t="str">
        <f>IF(C47="","",SUMIFS(Лэндинг!$H$5:$H$300,Лэндинг!$E$5:$E$300,$B47)+SUMIFS(Закрытые!$H$5:$H$300,Закрытые!$E$5:$E$300,$B47,Закрытые!$B$5:$B$300,"L-*"))</f>
        <v/>
      </c>
      <c r="F47" s="240" t="str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 t="str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 t="str">
        <f>IF(F47="","",SUMIFS(Лэндинг!$K$5:$K$300,Лэндинг!$E$5:$E$300,$B47)+SUMIFS(Закрытые!$K$5:$K$300,Закрытые!$E$5:$E$300,$B47,Закрытые!$B$5:$B$300,"L-*"))</f>
        <v/>
      </c>
      <c r="I47" s="240" t="str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 t="str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 t="str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 t="str">
        <f>IF(C48="","",SUMIFS(Лэндинг!$H$5:$H$300,Лэндинг!$E$5:$E$300,$B48)+SUMIFS(Закрытые!$H$5:$H$300,Закрытые!$E$5:$E$300,$B48,Закрытые!$B$5:$B$300,"L-*"))</f>
        <v/>
      </c>
      <c r="F48" s="246" t="str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 t="str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 t="str">
        <f>IF(F48="","",SUMIFS(Лэндинг!$K$5:$K$300,Лэндинг!$E$5:$E$300,$B48)+SUMIFS(Закрытые!$K$5:$K$300,Закрытые!$E$5:$E$300,$B48,Закрытые!$B$5:$B$300,"L-*"))</f>
        <v/>
      </c>
      <c r="I48" s="246" t="str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 t="str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 t="str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 t="str">
        <f>IF(C49="","",SUMIFS(Лэндинг!$H$5:$H$300,Лэндинг!$E$5:$E$300,$B49)+SUMIFS(Закрытые!$H$5:$H$300,Закрытые!$E$5:$E$300,$B49,Закрытые!$B$5:$B$300,"L-*"))</f>
        <v/>
      </c>
      <c r="F49" s="240" t="str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 t="str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 t="str">
        <f>IF(F49="","",SUMIFS(Лэндинг!$K$5:$K$300,Лэндинг!$E$5:$E$300,$B49)+SUMIFS(Закрытые!$K$5:$K$300,Закрытые!$E$5:$E$300,$B49,Закрытые!$B$5:$B$300,"L-*"))</f>
        <v/>
      </c>
      <c r="I49" s="240" t="str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 t="str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 t="str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 t="str">
        <f>IF(C50="","",SUMIFS(Лэндинг!$H$5:$H$300,Лэндинг!$E$5:$E$300,$B50)+SUMIFS(Закрытые!$H$5:$H$300,Закрытые!$E$5:$E$300,$B50,Закрытые!$B$5:$B$300,"L-*"))</f>
        <v/>
      </c>
      <c r="F50" s="246" t="str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 t="str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 t="str">
        <f>IF(F50="","",SUMIFS(Лэндинг!$K$5:$K$300,Лэндинг!$E$5:$E$300,$B50)+SUMIFS(Закрытые!$K$5:$K$300,Закрытые!$E$5:$E$300,$B50,Закрытые!$B$5:$B$300,"L-*"))</f>
        <v/>
      </c>
      <c r="I50" s="246" t="str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 t="str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 t="str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 t="str">
        <f>IF(C51="","",SUMIFS(Лэндинг!$H$5:$H$300,Лэндинг!$E$5:$E$300,$B51)+SUMIFS(Закрытые!$H$5:$H$300,Закрытые!$E$5:$E$300,$B51,Закрытые!$B$5:$B$300,"L-*"))</f>
        <v/>
      </c>
      <c r="F51" s="240" t="str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 t="str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 t="str">
        <f>IF(F51="","",SUMIFS(Лэндинг!$K$5:$K$300,Лэндинг!$E$5:$E$300,$B51)+SUMIFS(Закрытые!$K$5:$K$300,Закрытые!$E$5:$E$300,$B51,Закрытые!$B$5:$B$300,"L-*"))</f>
        <v/>
      </c>
      <c r="I51" s="240" t="str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 t="str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 t="str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 t="str">
        <f>IF(C52="","",SUMIFS(Лэндинг!$H$5:$H$300,Лэндинг!$E$5:$E$300,$B52)+SUMIFS(Закрытые!$H$5:$H$300,Закрытые!$E$5:$E$300,$B52,Закрытые!$B$5:$B$300,"L-*"))</f>
        <v/>
      </c>
      <c r="F52" s="246" t="str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 t="str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 t="str">
        <f>IF(F52="","",SUMIFS(Лэндинг!$K$5:$K$300,Лэндинг!$E$5:$E$300,$B52)+SUMIFS(Закрытые!$K$5:$K$300,Закрытые!$E$5:$E$300,$B52,Закрытые!$B$5:$B$300,"L-*"))</f>
        <v/>
      </c>
      <c r="I52" s="246" t="str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 t="str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 t="str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 t="str">
        <f>IF(C53="","",SUMIFS(Лэндинг!$H$5:$H$300,Лэндинг!$E$5:$E$300,$B53)+SUMIFS(Закрытые!$H$5:$H$300,Закрытые!$E$5:$E$300,$B53,Закрытые!$B$5:$B$300,"L-*"))</f>
        <v/>
      </c>
      <c r="F53" s="240" t="str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 t="str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 t="str">
        <f>IF(F53="","",SUMIFS(Лэндинг!$K$5:$K$300,Лэндинг!$E$5:$E$300,$B53)+SUMIFS(Закрытые!$K$5:$K$300,Закрытые!$E$5:$E$300,$B53,Закрытые!$B$5:$B$300,"L-*"))</f>
        <v/>
      </c>
      <c r="I53" s="240" t="str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 t="str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 t="str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 t="str">
        <f>IF(C54="","",SUMIFS(Лэндинг!$H$5:$H$300,Лэндинг!$E$5:$E$300,$B54)+SUMIFS(Закрытые!$H$5:$H$300,Закрытые!$E$5:$E$300,$B54,Закрытые!$B$5:$B$300,"L-*"))</f>
        <v/>
      </c>
      <c r="F54" s="246" t="str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 t="str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 t="str">
        <f>IF(F54="","",SUMIFS(Лэндинг!$K$5:$K$300,Лэндинг!$E$5:$E$300,$B54)+SUMIFS(Закрытые!$K$5:$K$300,Закрытые!$E$5:$E$300,$B54,Закрытые!$B$5:$B$300,"L-*"))</f>
        <v/>
      </c>
      <c r="I54" s="246" t="str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 t="str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 t="str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 t="str">
        <f>IF(C55="","",SUMIFS(Лэндинг!$H$5:$H$300,Лэндинг!$E$5:$E$300,$B55)+SUMIFS(Закрытые!$H$5:$H$300,Закрытые!$E$5:$E$300,$B55,Закрытые!$B$5:$B$300,"L-*"))</f>
        <v/>
      </c>
      <c r="F55" s="240" t="str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 t="str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 t="str">
        <f>IF(F55="","",SUMIFS(Лэндинг!$K$5:$K$300,Лэндинг!$E$5:$E$300,$B55)+SUMIFS(Закрытые!$K$5:$K$300,Закрытые!$E$5:$E$300,$B55,Закрытые!$B$5:$B$300,"L-*"))</f>
        <v/>
      </c>
      <c r="I55" s="240" t="str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 t="str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 t="str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 t="str">
        <f>IF(C56="","",SUMIFS(Лэндинг!$H$5:$H$300,Лэндинг!$E$5:$E$300,$B56)+SUMIFS(Закрытые!$H$5:$H$300,Закрытые!$E$5:$E$300,$B56,Закрытые!$B$5:$B$300,"L-*"))</f>
        <v/>
      </c>
      <c r="F56" s="246" t="str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 t="str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 t="str">
        <f>IF(F56="","",SUMIFS(Лэндинг!$K$5:$K$300,Лэндинг!$E$5:$E$300,$B56)+SUMIFS(Закрытые!$K$5:$K$300,Закрытые!$E$5:$E$300,$B56,Закрытые!$B$5:$B$300,"L-*"))</f>
        <v/>
      </c>
      <c r="I56" s="246" t="str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 t="str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 t="str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 t="str">
        <f>IF(C57="","",SUMIFS(Лэндинг!$H$5:$H$300,Лэндинг!$E$5:$E$300,$B57)+SUMIFS(Закрытые!$H$5:$H$300,Закрытые!$E$5:$E$300,$B57,Закрытые!$B$5:$B$300,"L-*"))</f>
        <v/>
      </c>
      <c r="F57" s="240" t="str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 t="str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 t="str">
        <f>IF(F57="","",SUMIFS(Лэндинг!$K$5:$K$300,Лэндинг!$E$5:$E$300,$B57)+SUMIFS(Закрытые!$K$5:$K$300,Закрытые!$E$5:$E$300,$B57,Закрытые!$B$5:$B$300,"L-*"))</f>
        <v/>
      </c>
      <c r="I57" s="240" t="str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 t="str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 t="str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 t="str">
        <f>IF(C58="","",SUMIFS(Лэндинг!$H$5:$H$300,Лэндинг!$E$5:$E$300,$B58)+SUMIFS(Закрытые!$H$5:$H$300,Закрытые!$E$5:$E$300,$B58,Закрытые!$B$5:$B$300,"L-*"))</f>
        <v/>
      </c>
      <c r="F58" s="246" t="str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 t="str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 t="str">
        <f>IF(F58="","",SUMIFS(Лэндинг!$K$5:$K$300,Лэндинг!$E$5:$E$300,$B58)+SUMIFS(Закрытые!$K$5:$K$300,Закрытые!$E$5:$E$300,$B58,Закрытые!$B$5:$B$300,"L-*"))</f>
        <v/>
      </c>
      <c r="I58" s="246" t="str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 t="str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 t="str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 t="str">
        <f>IF(C59="","",SUMIFS(Лэндинг!$H$5:$H$300,Лэндинг!$E$5:$E$300,$B59)+SUMIFS(Закрытые!$H$5:$H$300,Закрытые!$E$5:$E$300,$B59,Закрытые!$B$5:$B$300,"L-*"))</f>
        <v/>
      </c>
      <c r="F59" s="240" t="str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 t="str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 t="str">
        <f>IF(F59="","",SUMIFS(Лэндинг!$K$5:$K$300,Лэндинг!$E$5:$E$300,$B59)+SUMIFS(Закрытые!$K$5:$K$300,Закрытые!$E$5:$E$300,$B59,Закрытые!$B$5:$B$300,"L-*"))</f>
        <v/>
      </c>
      <c r="I59" s="240" t="str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 t="str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 t="str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 t="str">
        <f>IF(C60="","",SUMIFS(Лэндинг!$H$5:$H$300,Лэндинг!$E$5:$E$300,$B60)+SUMIFS(Закрытые!$H$5:$H$300,Закрытые!$E$5:$E$300,$B60,Закрытые!$B$5:$B$300,"L-*"))</f>
        <v/>
      </c>
      <c r="F60" s="246" t="str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 t="str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 t="str">
        <f>IF(F60="","",SUMIFS(Лэндинг!$K$5:$K$300,Лэндинг!$E$5:$E$300,$B60)+SUMIFS(Закрытые!$K$5:$K$300,Закрытые!$E$5:$E$300,$B60,Закрытые!$B$5:$B$300,"L-*"))</f>
        <v/>
      </c>
      <c r="I60" s="246" t="str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 t="str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 t="str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 t="str">
        <f>IF(C61="","",SUMIFS(Лэндинг!$H$5:$H$300,Лэндинг!$E$5:$E$300,$B61)+SUMIFS(Закрытые!$H$5:$H$300,Закрытые!$E$5:$E$300,$B61,Закрытые!$B$5:$B$300,"L-*"))</f>
        <v/>
      </c>
      <c r="F61" s="240" t="str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 t="str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 t="str">
        <f>IF(F61="","",SUMIFS(Лэндинг!$K$5:$K$300,Лэндинг!$E$5:$E$300,$B61)+SUMIFS(Закрытые!$K$5:$K$300,Закрытые!$E$5:$E$300,$B61,Закрытые!$B$5:$B$300,"L-*"))</f>
        <v/>
      </c>
      <c r="I61" s="240" t="str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 t="str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 t="str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 t="str">
        <f>IF(C62="","",SUMIFS(Лэндинг!$H$5:$H$300,Лэндинг!$E$5:$E$300,$B62)+SUMIFS(Закрытые!$H$5:$H$300,Закрытые!$E$5:$E$300,$B62,Закрытые!$B$5:$B$300,"L-*"))</f>
        <v/>
      </c>
      <c r="F62" s="246" t="str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 t="str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 t="str">
        <f>IF(F62="","",SUMIFS(Лэндинг!$K$5:$K$300,Лэндинг!$E$5:$E$300,$B62)+SUMIFS(Закрытые!$K$5:$K$300,Закрытые!$E$5:$E$300,$B62,Закрытые!$B$5:$B$300,"L-*"))</f>
        <v/>
      </c>
      <c r="I62" s="246" t="str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 t="str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 t="str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 t="str">
        <f>IF(C63="","",SUMIFS(Лэндинг!$H$5:$H$300,Лэндинг!$E$5:$E$300,$B63)+SUMIFS(Закрытые!$H$5:$H$300,Закрытые!$E$5:$E$300,$B63,Закрытые!$B$5:$B$300,"L-*"))</f>
        <v/>
      </c>
      <c r="F63" s="240" t="str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 t="str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 t="str">
        <f>IF(F63="","",SUMIFS(Лэндинг!$K$5:$K$300,Лэндинг!$E$5:$E$300,$B63)+SUMIFS(Закрытые!$K$5:$K$300,Закрытые!$E$5:$E$300,$B63,Закрытые!$B$5:$B$300,"L-*"))</f>
        <v/>
      </c>
      <c r="I63" s="240" t="str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 t="str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 t="str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 t="str">
        <f>IF(C64="","",SUMIFS(Лэндинг!$H$5:$H$300,Лэндинг!$E$5:$E$300,$B64)+SUMIFS(Закрытые!$H$5:$H$300,Закрытые!$E$5:$E$300,$B64,Закрытые!$B$5:$B$300,"L-*"))</f>
        <v/>
      </c>
      <c r="F64" s="246" t="str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 t="str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 t="str">
        <f>IF(F64="","",SUMIFS(Лэндинг!$K$5:$K$300,Лэндинг!$E$5:$E$300,$B64)+SUMIFS(Закрытые!$K$5:$K$300,Закрытые!$E$5:$E$300,$B64,Закрытые!$B$5:$B$300,"L-*"))</f>
        <v/>
      </c>
      <c r="I64" s="246" t="str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 t="str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 t="str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 t="str">
        <f>IF(C65="","",SUMIFS(Лэндинг!$H$5:$H$300,Лэндинг!$E$5:$E$300,$B65)+SUMIFS(Закрытые!$H$5:$H$300,Закрытые!$E$5:$E$300,$B65,Закрытые!$B$5:$B$300,"L-*"))</f>
        <v/>
      </c>
      <c r="F65" s="240" t="str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 t="str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 t="str">
        <f>IF(F65="","",SUMIFS(Лэндинг!$K$5:$K$300,Лэндинг!$E$5:$E$300,$B65)+SUMIFS(Закрытые!$K$5:$K$300,Закрытые!$E$5:$E$300,$B65,Закрытые!$B$5:$B$300,"L-*"))</f>
        <v/>
      </c>
      <c r="I65" s="240" t="str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 t="str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 t="str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 t="str">
        <f>IF(C66="","",SUMIFS(Лэндинг!$H$5:$H$300,Лэндинг!$E$5:$E$300,$B66)+SUMIFS(Закрытые!$H$5:$H$300,Закрытые!$E$5:$E$300,$B66,Закрытые!$B$5:$B$300,"L-*"))</f>
        <v/>
      </c>
      <c r="F66" s="246" t="str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 t="str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 t="str">
        <f>IF(F66="","",SUMIFS(Лэндинг!$K$5:$K$300,Лэндинг!$E$5:$E$300,$B66)+SUMIFS(Закрытые!$K$5:$K$300,Закрытые!$E$5:$E$300,$B66,Закрытые!$B$5:$B$300,"L-*"))</f>
        <v/>
      </c>
      <c r="I66" s="246" t="str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 t="str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 t="str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 t="str">
        <f>IF(C67="","",SUMIFS(Лэндинг!$H$5:$H$300,Лэндинг!$E$5:$E$300,$B67)+SUMIFS(Закрытые!$H$5:$H$300,Закрытые!$E$5:$E$300,$B67,Закрытые!$B$5:$B$300,"L-*"))</f>
        <v/>
      </c>
      <c r="F67" s="240" t="str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 t="str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 t="str">
        <f>IF(F67="","",SUMIFS(Лэндинг!$K$5:$K$300,Лэндинг!$E$5:$E$300,$B67)+SUMIFS(Закрытые!$K$5:$K$300,Закрытые!$E$5:$E$300,$B67,Закрытые!$B$5:$B$300,"L-*"))</f>
        <v/>
      </c>
      <c r="I67" s="240" t="str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 t="str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 t="str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 t="str">
        <f>IF(C68="","",SUMIFS(Лэндинг!$H$5:$H$300,Лэндинг!$E$5:$E$300,$B68)+SUMIFS(Закрытые!$H$5:$H$300,Закрытые!$E$5:$E$300,$B68,Закрытые!$B$5:$B$300,"L-*"))</f>
        <v/>
      </c>
      <c r="F68" s="246" t="str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 t="str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 t="str">
        <f>IF(F68="","",SUMIFS(Лэндинг!$K$5:$K$300,Лэндинг!$E$5:$E$300,$B68)+SUMIFS(Закрытые!$K$5:$K$300,Закрытые!$E$5:$E$300,$B68,Закрытые!$B$5:$B$300,"L-*"))</f>
        <v/>
      </c>
      <c r="I68" s="246" t="str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 t="str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 t="str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 t="str">
        <f>IF(C69="","",SUMIFS(Лэндинг!$H$5:$H$300,Лэндинг!$E$5:$E$300,$B69)+SUMIFS(Закрытые!$H$5:$H$300,Закрытые!$E$5:$E$300,$B69,Закрытые!$B$5:$B$300,"L-*"))</f>
        <v/>
      </c>
      <c r="F69" s="240" t="str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 t="str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 t="str">
        <f>IF(F69="","",SUMIFS(Лэндинг!$K$5:$K$300,Лэндинг!$E$5:$E$300,$B69)+SUMIFS(Закрытые!$K$5:$K$300,Закрытые!$E$5:$E$300,$B69,Закрытые!$B$5:$B$300,"L-*"))</f>
        <v/>
      </c>
      <c r="I69" s="240" t="str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 t="str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 t="str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 t="str">
        <f>IF(C70="","",SUMIFS(Лэндинг!$H$5:$H$300,Лэндинг!$E$5:$E$300,$B70)+SUMIFS(Закрытые!$H$5:$H$300,Закрытые!$E$5:$E$300,$B70,Закрытые!$B$5:$B$300,"L-*"))</f>
        <v/>
      </c>
      <c r="F70" s="246" t="str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 t="str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 t="str">
        <f>IF(F70="","",SUMIFS(Лэндинг!$K$5:$K$300,Лэндинг!$E$5:$E$300,$B70)+SUMIFS(Закрытые!$K$5:$K$300,Закрытые!$E$5:$E$300,$B70,Закрытые!$B$5:$B$300,"L-*"))</f>
        <v/>
      </c>
      <c r="I70" s="246" t="str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 t="str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 t="str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 t="str">
        <f>IF(C71="","",SUMIFS(Лэндинг!$H$5:$H$300,Лэндинг!$E$5:$E$300,$B71)+SUMIFS(Закрытые!$H$5:$H$300,Закрытые!$E$5:$E$300,$B71,Закрытые!$B$5:$B$300,"L-*"))</f>
        <v/>
      </c>
      <c r="F71" s="240" t="str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 t="str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 t="str">
        <f>IF(F71="","",SUMIFS(Лэндинг!$K$5:$K$300,Лэндинг!$E$5:$E$300,$B71)+SUMIFS(Закрытые!$K$5:$K$300,Закрытые!$E$5:$E$300,$B71,Закрытые!$B$5:$B$300,"L-*"))</f>
        <v/>
      </c>
      <c r="I71" s="240" t="str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 t="str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 t="str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 t="str">
        <f>IF(C72="","",SUMIFS(Лэндинг!$H$5:$H$300,Лэндинг!$E$5:$E$300,$B72)+SUMIFS(Закрытые!$H$5:$H$300,Закрытые!$E$5:$E$300,$B72,Закрытые!$B$5:$B$300,"L-*"))</f>
        <v/>
      </c>
      <c r="F72" s="246" t="str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 t="str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 t="str">
        <f>IF(F72="","",SUMIFS(Лэндинг!$K$5:$K$300,Лэндинг!$E$5:$E$300,$B72)+SUMIFS(Закрытые!$K$5:$K$300,Закрытые!$E$5:$E$300,$B72,Закрытые!$B$5:$B$300,"L-*"))</f>
        <v/>
      </c>
      <c r="I72" s="246" t="str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 t="str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 t="str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 t="str">
        <f>IF(C73="","",SUMIFS(Лэндинг!$H$5:$H$300,Лэндинг!$E$5:$E$300,$B73)+SUMIFS(Закрытые!$H$5:$H$300,Закрытые!$E$5:$E$300,$B73,Закрытые!$B$5:$B$300,"L-*"))</f>
        <v/>
      </c>
      <c r="F73" s="240" t="str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 t="str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 t="str">
        <f>IF(F73="","",SUMIFS(Лэндинг!$K$5:$K$300,Лэндинг!$E$5:$E$300,$B73)+SUMIFS(Закрытые!$K$5:$K$300,Закрытые!$E$5:$E$300,$B73,Закрытые!$B$5:$B$300,"L-*"))</f>
        <v/>
      </c>
      <c r="I73" s="240" t="str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 t="str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 t="str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 t="str">
        <f>IF(C74="","",SUMIFS(Лэндинг!$H$5:$H$300,Лэндинг!$E$5:$E$300,$B74)+SUMIFS(Закрытые!$H$5:$H$300,Закрытые!$E$5:$E$300,$B74,Закрытые!$B$5:$B$300,"L-*"))</f>
        <v/>
      </c>
      <c r="F74" s="246" t="str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 t="str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 t="str">
        <f>IF(F74="","",SUMIFS(Лэндинг!$K$5:$K$300,Лэндинг!$E$5:$E$300,$B74)+SUMIFS(Закрытые!$K$5:$K$300,Закрытые!$E$5:$E$300,$B74,Закрытые!$B$5:$B$300,"L-*"))</f>
        <v/>
      </c>
      <c r="I74" s="246" t="str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 t="str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 t="str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 t="str">
        <f>IF(C75="","",SUMIFS(Лэндинг!$H$5:$H$300,Лэндинг!$E$5:$E$300,$B75)+SUMIFS(Закрытые!$H$5:$H$300,Закрытые!$E$5:$E$300,$B75,Закрытые!$B$5:$B$300,"L-*"))</f>
        <v/>
      </c>
      <c r="F75" s="240" t="str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 t="str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 t="str">
        <f>IF(F75="","",SUMIFS(Лэндинг!$K$5:$K$300,Лэндинг!$E$5:$E$300,$B75)+SUMIFS(Закрытые!$K$5:$K$300,Закрытые!$E$5:$E$300,$B75,Закрытые!$B$5:$B$300,"L-*"))</f>
        <v/>
      </c>
      <c r="I75" s="240" t="str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 t="str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 t="str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 t="str">
        <f>IF(C76="","",SUMIFS(Лэндинг!$H$5:$H$300,Лэндинг!$E$5:$E$300,$B76)+SUMIFS(Закрытые!$H$5:$H$300,Закрытые!$E$5:$E$300,$B76,Закрытые!$B$5:$B$300,"L-*"))</f>
        <v/>
      </c>
      <c r="F76" s="246" t="str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 t="str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 t="str">
        <f>IF(F76="","",SUMIFS(Лэндинг!$K$5:$K$300,Лэндинг!$E$5:$E$300,$B76)+SUMIFS(Закрытые!$K$5:$K$300,Закрытые!$E$5:$E$300,$B76,Закрытые!$B$5:$B$300,"L-*"))</f>
        <v/>
      </c>
      <c r="I76" s="246" t="str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 t="str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 t="str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 t="str">
        <f>IF(C77="","",SUMIFS(Лэндинг!$H$5:$H$300,Лэндинг!$E$5:$E$300,$B77)+SUMIFS(Закрытые!$H$5:$H$300,Закрытые!$E$5:$E$300,$B77,Закрытые!$B$5:$B$300,"L-*"))</f>
        <v/>
      </c>
      <c r="F77" s="240" t="str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 t="str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 t="str">
        <f>IF(F77="","",SUMIFS(Лэндинг!$K$5:$K$300,Лэндинг!$E$5:$E$300,$B77)+SUMIFS(Закрытые!$K$5:$K$300,Закрытые!$E$5:$E$300,$B77,Закрытые!$B$5:$B$300,"L-*"))</f>
        <v/>
      </c>
      <c r="I77" s="240" t="str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 t="str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 t="str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 t="str">
        <f>IF(C78="","",SUMIFS(Лэндинг!$H$5:$H$300,Лэндинг!$E$5:$E$300,$B78)+SUMIFS(Закрытые!$H$5:$H$300,Закрытые!$E$5:$E$300,$B78,Закрытые!$B$5:$B$300,"L-*"))</f>
        <v/>
      </c>
      <c r="F78" s="246" t="str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 t="str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 t="str">
        <f>IF(F78="","",SUMIFS(Лэндинг!$K$5:$K$300,Лэндинг!$E$5:$E$300,$B78)+SUMIFS(Закрытые!$K$5:$K$300,Закрытые!$E$5:$E$300,$B78,Закрытые!$B$5:$B$300,"L-*"))</f>
        <v/>
      </c>
      <c r="I78" s="246" t="str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 t="str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 t="str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 t="str">
        <f>IF(C79="","",SUMIFS(Лэндинг!$H$5:$H$300,Лэндинг!$E$5:$E$300,$B79)+SUMIFS(Закрытые!$H$5:$H$300,Закрытые!$E$5:$E$300,$B79,Закрытые!$B$5:$B$300,"L-*"))</f>
        <v/>
      </c>
      <c r="F79" s="240" t="str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 t="str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 t="str">
        <f>IF(F79="","",SUMIFS(Лэндинг!$K$5:$K$300,Лэндинг!$E$5:$E$300,$B79)+SUMIFS(Закрытые!$K$5:$K$300,Закрытые!$E$5:$E$300,$B79,Закрытые!$B$5:$B$300,"L-*"))</f>
        <v/>
      </c>
      <c r="I79" s="240" t="str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 t="str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 t="str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 t="str">
        <f>IF(C80="","",SUMIFS(Лэндинг!$H$5:$H$300,Лэндинг!$E$5:$E$300,$B80)+SUMIFS(Закрытые!$H$5:$H$300,Закрытые!$E$5:$E$300,$B80,Закрытые!$B$5:$B$300,"L-*"))</f>
        <v/>
      </c>
      <c r="F80" s="246" t="str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 t="str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 t="str">
        <f>IF(F80="","",SUMIFS(Лэндинг!$K$5:$K$300,Лэндинг!$E$5:$E$300,$B80)+SUMIFS(Закрытые!$K$5:$K$300,Закрытые!$E$5:$E$300,$B80,Закрытые!$B$5:$B$300,"L-*"))</f>
        <v/>
      </c>
      <c r="I80" s="246" t="str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 t="str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 t="str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 t="str">
        <f>IF(C81="","",SUMIFS(Лэндинг!$H$5:$H$300,Лэндинг!$E$5:$E$300,$B81)+SUMIFS(Закрытые!$H$5:$H$300,Закрытые!$E$5:$E$300,$B81,Закрытые!$B$5:$B$300,"L-*"))</f>
        <v/>
      </c>
      <c r="F81" s="240" t="str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 t="str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 t="str">
        <f>IF(F81="","",SUMIFS(Лэндинг!$K$5:$K$300,Лэндинг!$E$5:$E$300,$B81)+SUMIFS(Закрытые!$K$5:$K$300,Закрытые!$E$5:$E$300,$B81,Закрытые!$B$5:$B$300,"L-*"))</f>
        <v/>
      </c>
      <c r="I81" s="240" t="str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 t="str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 t="str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 t="str">
        <f>IF(C82="","",SUMIFS(Лэндинг!$H$5:$H$300,Лэндинг!$E$5:$E$300,$B82)+SUMIFS(Закрытые!$H$5:$H$300,Закрытые!$E$5:$E$300,$B82,Закрытые!$B$5:$B$300,"L-*"))</f>
        <v/>
      </c>
      <c r="F82" s="246" t="str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 t="str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 t="str">
        <f>IF(F82="","",SUMIFS(Лэндинг!$K$5:$K$300,Лэндинг!$E$5:$E$300,$B82)+SUMIFS(Закрытые!$K$5:$K$300,Закрытые!$E$5:$E$300,$B82,Закрытые!$B$5:$B$300,"L-*"))</f>
        <v/>
      </c>
      <c r="I82" s="246" t="str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 t="str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 t="str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 t="str">
        <f>IF(C83="","",SUMIFS(Лэндинг!$H$5:$H$300,Лэндинг!$E$5:$E$300,$B83)+SUMIFS(Закрытые!$H$5:$H$300,Закрытые!$E$5:$E$300,$B83,Закрытые!$B$5:$B$300,"L-*"))</f>
        <v/>
      </c>
      <c r="F83" s="240" t="str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 t="str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 t="str">
        <f>IF(F83="","",SUMIFS(Лэндинг!$K$5:$K$300,Лэндинг!$E$5:$E$300,$B83)+SUMIFS(Закрытые!$K$5:$K$300,Закрытые!$E$5:$E$300,$B83,Закрытые!$B$5:$B$300,"L-*"))</f>
        <v/>
      </c>
      <c r="I83" s="240" t="str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 t="str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 t="str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 t="str">
        <f>IF(C84="","",SUMIFS(Лэндинг!$H$5:$H$300,Лэндинг!$E$5:$E$300,$B84)+SUMIFS(Закрытые!$H$5:$H$300,Закрытые!$E$5:$E$300,$B84,Закрытые!$B$5:$B$300,"L-*"))</f>
        <v/>
      </c>
      <c r="F84" s="246" t="str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 t="str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 t="str">
        <f>IF(F84="","",SUMIFS(Лэндинг!$K$5:$K$300,Лэндинг!$E$5:$E$300,$B84)+SUMIFS(Закрытые!$K$5:$K$300,Закрытые!$E$5:$E$300,$B84,Закрытые!$B$5:$B$300,"L-*"))</f>
        <v/>
      </c>
      <c r="I84" s="246" t="str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 t="str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 t="str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 t="str">
        <f>IF(C85="","",SUMIFS(Лэндинг!$H$5:$H$300,Лэндинг!$E$5:$E$300,$B85)+SUMIFS(Закрытые!$H$5:$H$300,Закрытые!$E$5:$E$300,$B85,Закрытые!$B$5:$B$300,"L-*"))</f>
        <v/>
      </c>
      <c r="F85" s="240" t="str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 t="str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 t="str">
        <f>IF(F85="","",SUMIFS(Лэндинг!$K$5:$K$300,Лэндинг!$E$5:$E$300,$B85)+SUMIFS(Закрытые!$K$5:$K$300,Закрытые!$E$5:$E$300,$B85,Закрытые!$B$5:$B$300,"L-*"))</f>
        <v/>
      </c>
      <c r="I85" s="240" t="str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 t="str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 t="str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 t="str">
        <f>IF(C86="","",SUMIFS(Лэндинг!$H$5:$H$300,Лэндинг!$E$5:$E$300,$B86)+SUMIFS(Закрытые!$H$5:$H$300,Закрытые!$E$5:$E$300,$B86,Закрытые!$B$5:$B$300,"L-*"))</f>
        <v/>
      </c>
      <c r="F86" s="246" t="str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 t="str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 t="str">
        <f>IF(F86="","",SUMIFS(Лэндинг!$K$5:$K$300,Лэндинг!$E$5:$E$300,$B86)+SUMIFS(Закрытые!$K$5:$K$300,Закрытые!$E$5:$E$300,$B86,Закрытые!$B$5:$B$300,"L-*"))</f>
        <v/>
      </c>
      <c r="I86" s="246" t="str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 t="str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 t="str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 t="str">
        <f>IF(C87="","",SUMIFS(Лэндинг!$H$5:$H$300,Лэндинг!$E$5:$E$300,$B87)+SUMIFS(Закрытые!$H$5:$H$300,Закрытые!$E$5:$E$300,$B87,Закрытые!$B$5:$B$300,"L-*"))</f>
        <v/>
      </c>
      <c r="F87" s="240" t="str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 t="str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 t="str">
        <f>IF(F87="","",SUMIFS(Лэндинг!$K$5:$K$300,Лэндинг!$E$5:$E$300,$B87)+SUMIFS(Закрытые!$K$5:$K$300,Закрытые!$E$5:$E$300,$B87,Закрытые!$B$5:$B$300,"L-*"))</f>
        <v/>
      </c>
      <c r="I87" s="240" t="str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 t="str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 t="str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 t="str">
        <f>IF(C88="","",SUMIFS(Лэндинг!$H$5:$H$300,Лэндинг!$E$5:$E$300,$B88)+SUMIFS(Закрытые!$H$5:$H$300,Закрытые!$E$5:$E$300,$B88,Закрытые!$B$5:$B$300,"L-*"))</f>
        <v/>
      </c>
      <c r="F88" s="246" t="str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 t="str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 t="str">
        <f>IF(F88="","",SUMIFS(Лэндинг!$K$5:$K$300,Лэндинг!$E$5:$E$300,$B88)+SUMIFS(Закрытые!$K$5:$K$300,Закрытые!$E$5:$E$300,$B88,Закрытые!$B$5:$B$300,"L-*"))</f>
        <v/>
      </c>
      <c r="I88" s="246" t="str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 t="str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 t="str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 t="str">
        <f>IF(C89="","",SUMIFS(Лэндинг!$H$5:$H$300,Лэндинг!$E$5:$E$300,$B89)+SUMIFS(Закрытые!$H$5:$H$300,Закрытые!$E$5:$E$300,$B89,Закрытые!$B$5:$B$300,"L-*"))</f>
        <v/>
      </c>
      <c r="F89" s="240" t="str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 t="str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 t="str">
        <f>IF(F89="","",SUMIFS(Лэндинг!$K$5:$K$300,Лэндинг!$E$5:$E$300,$B89)+SUMIFS(Закрытые!$K$5:$K$300,Закрытые!$E$5:$E$300,$B89,Закрытые!$B$5:$B$300,"L-*"))</f>
        <v/>
      </c>
      <c r="I89" s="240" t="str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 t="str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 t="str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 t="str">
        <f>IF(C90="","",SUMIFS(Лэндинг!$H$5:$H$300,Лэндинг!$E$5:$E$300,$B90)+SUMIFS(Закрытые!$H$5:$H$300,Закрытые!$E$5:$E$300,$B90,Закрытые!$B$5:$B$300,"L-*"))</f>
        <v/>
      </c>
      <c r="F90" s="246" t="str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 t="str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 t="str">
        <f>IF(F90="","",SUMIFS(Лэндинг!$K$5:$K$300,Лэндинг!$E$5:$E$300,$B90)+SUMIFS(Закрытые!$K$5:$K$300,Закрытые!$E$5:$E$300,$B90,Закрытые!$B$5:$B$300,"L-*"))</f>
        <v/>
      </c>
      <c r="I90" s="246" t="str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 t="str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 t="str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 t="str">
        <f>IF(C91="","",SUMIFS(Лэндинг!$H$5:$H$300,Лэндинг!$E$5:$E$300,$B91)+SUMIFS(Закрытые!$H$5:$H$300,Закрытые!$E$5:$E$300,$B91,Закрытые!$B$5:$B$300,"L-*"))</f>
        <v/>
      </c>
      <c r="F91" s="240" t="str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 t="str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 t="str">
        <f>IF(F91="","",SUMIFS(Лэндинг!$K$5:$K$300,Лэндинг!$E$5:$E$300,$B91)+SUMIFS(Закрытые!$K$5:$K$300,Закрытые!$E$5:$E$300,$B91,Закрытые!$B$5:$B$300,"L-*"))</f>
        <v/>
      </c>
      <c r="I91" s="240" t="str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 t="str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 t="str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 t="str">
        <f>IF(C92="","",SUMIFS(Лэндинг!$H$5:$H$300,Лэндинг!$E$5:$E$300,$B92)+SUMIFS(Закрытые!$H$5:$H$300,Закрытые!$E$5:$E$300,$B92,Закрытые!$B$5:$B$300,"L-*"))</f>
        <v/>
      </c>
      <c r="F92" s="246" t="str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 t="str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 t="str">
        <f>IF(F92="","",SUMIFS(Лэндинг!$K$5:$K$300,Лэндинг!$E$5:$E$300,$B92)+SUMIFS(Закрытые!$K$5:$K$300,Закрытые!$E$5:$E$300,$B92,Закрытые!$B$5:$B$300,"L-*"))</f>
        <v/>
      </c>
      <c r="I92" s="246" t="str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 t="str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 t="str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 t="str">
        <f>IF(C93="","",SUMIFS(Лэндинг!$H$5:$H$300,Лэндинг!$E$5:$E$300,$B93)+SUMIFS(Закрытые!$H$5:$H$300,Закрытые!$E$5:$E$300,$B93,Закрытые!$B$5:$B$300,"L-*"))</f>
        <v/>
      </c>
      <c r="F93" s="240" t="str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 t="str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 t="str">
        <f>IF(F93="","",SUMIFS(Лэндинг!$K$5:$K$300,Лэндинг!$E$5:$E$300,$B93)+SUMIFS(Закрытые!$K$5:$K$300,Закрытые!$E$5:$E$300,$B93,Закрытые!$B$5:$B$300,"L-*"))</f>
        <v/>
      </c>
      <c r="I93" s="240" t="str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 t="str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 t="str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 t="str">
        <f>IF(C94="","",SUMIFS(Лэндинг!$H$5:$H$300,Лэндинг!$E$5:$E$300,$B94)+SUMIFS(Закрытые!$H$5:$H$300,Закрытые!$E$5:$E$300,$B94,Закрытые!$B$5:$B$300,"L-*"))</f>
        <v/>
      </c>
      <c r="F94" s="246" t="str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 t="str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 t="str">
        <f>IF(F94="","",SUMIFS(Лэндинг!$K$5:$K$300,Лэндинг!$E$5:$E$300,$B94)+SUMIFS(Закрытые!$K$5:$K$300,Закрытые!$E$5:$E$300,$B94,Закрытые!$B$5:$B$300,"L-*"))</f>
        <v/>
      </c>
      <c r="I94" s="246" t="str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 t="str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 t="str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 t="str">
        <f>IF(C95="","",SUMIFS(Лэндинг!$H$5:$H$300,Лэндинг!$E$5:$E$300,$B95)+SUMIFS(Закрытые!$H$5:$H$300,Закрытые!$E$5:$E$300,$B95,Закрытые!$B$5:$B$300,"L-*"))</f>
        <v/>
      </c>
      <c r="F95" s="240" t="str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 t="str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 t="str">
        <f>IF(F95="","",SUMIFS(Лэндинг!$K$5:$K$300,Лэндинг!$E$5:$E$300,$B95)+SUMIFS(Закрытые!$K$5:$K$300,Закрытые!$E$5:$E$300,$B95,Закрытые!$B$5:$B$300,"L-*"))</f>
        <v/>
      </c>
      <c r="I95" s="240" t="str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 t="str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 t="str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 t="str">
        <f>IF(C96="","",SUMIFS(Лэндинг!$H$5:$H$300,Лэндинг!$E$5:$E$300,$B96)+SUMIFS(Закрытые!$H$5:$H$300,Закрытые!$E$5:$E$300,$B96,Закрытые!$B$5:$B$300,"L-*"))</f>
        <v/>
      </c>
      <c r="F96" s="246" t="str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 t="str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 t="str">
        <f>IF(F96="","",SUMIFS(Лэндинг!$K$5:$K$300,Лэндинг!$E$5:$E$300,$B96)+SUMIFS(Закрытые!$K$5:$K$300,Закрытые!$E$5:$E$300,$B96,Закрытые!$B$5:$B$300,"L-*"))</f>
        <v/>
      </c>
      <c r="I96" s="246" t="str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 t="str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 t="str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 t="str">
        <f>IF(C97="","",SUMIFS(Лэндинг!$H$5:$H$300,Лэндинг!$E$5:$E$300,$B97)+SUMIFS(Закрытые!$H$5:$H$300,Закрытые!$E$5:$E$300,$B97,Закрытые!$B$5:$B$300,"L-*"))</f>
        <v/>
      </c>
      <c r="F97" s="240" t="str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 t="str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 t="str">
        <f>IF(F97="","",SUMIFS(Лэндинг!$K$5:$K$300,Лэндинг!$E$5:$E$300,$B97)+SUMIFS(Закрытые!$K$5:$K$300,Закрытые!$E$5:$E$300,$B97,Закрытые!$B$5:$B$300,"L-*"))</f>
        <v/>
      </c>
      <c r="I97" s="240" t="str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 t="str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 t="str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 t="str">
        <f>IF(C98="","",SUMIFS(Лэндинг!$H$5:$H$300,Лэндинг!$E$5:$E$300,$B98)+SUMIFS(Закрытые!$H$5:$H$300,Закрытые!$E$5:$E$300,$B98,Закрытые!$B$5:$B$300,"L-*"))</f>
        <v/>
      </c>
      <c r="F98" s="246" t="str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 t="str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 t="str">
        <f>IF(F98="","",SUMIFS(Лэндинг!$K$5:$K$300,Лэндинг!$E$5:$E$300,$B98)+SUMIFS(Закрытые!$K$5:$K$300,Закрытые!$E$5:$E$300,$B98,Закрытые!$B$5:$B$300,"L-*"))</f>
        <v/>
      </c>
      <c r="I98" s="246" t="str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 t="str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 t="str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 t="str">
        <f>IF(C99="","",SUMIFS(Лэндинг!$H$5:$H$300,Лэндинг!$E$5:$E$300,$B99)+SUMIFS(Закрытые!$H$5:$H$300,Закрытые!$E$5:$E$300,$B99,Закрытые!$B$5:$B$300,"L-*"))</f>
        <v/>
      </c>
      <c r="F99" s="240" t="str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 t="str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 t="str">
        <f>IF(F99="","",SUMIFS(Лэндинг!$K$5:$K$300,Лэндинг!$E$5:$E$300,$B99)+SUMIFS(Закрытые!$K$5:$K$300,Закрытые!$E$5:$E$300,$B99,Закрытые!$B$5:$B$300,"L-*"))</f>
        <v/>
      </c>
      <c r="I99" s="240" t="str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 t="str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 t="str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 t="str">
        <f>IF(C100="","",SUMIFS(Лэндинг!$H$5:$H$300,Лэндинг!$E$5:$E$300,$B100)+SUMIFS(Закрытые!$H$5:$H$300,Закрытые!$E$5:$E$300,$B100,Закрытые!$B$5:$B$300,"L-*"))</f>
        <v/>
      </c>
      <c r="F100" s="246" t="str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 t="str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 t="str">
        <f>IF(F100="","",SUMIFS(Лэндинг!$K$5:$K$300,Лэндинг!$E$5:$E$300,$B100)+SUMIFS(Закрытые!$K$5:$K$300,Закрытые!$E$5:$E$300,$B100,Закрытые!$B$5:$B$300,"L-*"))</f>
        <v/>
      </c>
      <c r="I100" s="246" t="str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 t="str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 t="str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 t="str">
        <f>IF(C101="","",SUMIFS(Лэндинг!$H$5:$H$300,Лэндинг!$E$5:$E$300,$B101)+SUMIFS(Закрытые!$H$5:$H$300,Закрытые!$E$5:$E$300,$B101,Закрытые!$B$5:$B$300,"L-*"))</f>
        <v/>
      </c>
      <c r="F101" s="240" t="str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 t="str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 t="str">
        <f>IF(F101="","",SUMIFS(Лэндинг!$K$5:$K$300,Лэндинг!$E$5:$E$300,$B101)+SUMIFS(Закрытые!$K$5:$K$300,Закрытые!$E$5:$E$300,$B101,Закрытые!$B$5:$B$300,"L-*"))</f>
        <v/>
      </c>
      <c r="I101" s="240" t="str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 t="str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 t="str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 t="str">
        <f>IF(C102="","",SUMIFS(Лэндинг!$H$5:$H$300,Лэндинг!$E$5:$E$300,$B102)+SUMIFS(Закрытые!$H$5:$H$300,Закрытые!$E$5:$E$300,$B102,Закрытые!$B$5:$B$300,"L-*"))</f>
        <v/>
      </c>
      <c r="F102" s="246" t="str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 t="str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 t="str">
        <f>IF(F102="","",SUMIFS(Лэндинг!$K$5:$K$300,Лэндинг!$E$5:$E$300,$B102)+SUMIFS(Закрытые!$K$5:$K$300,Закрытые!$E$5:$E$300,$B102,Закрытые!$B$5:$B$300,"L-*"))</f>
        <v/>
      </c>
      <c r="I102" s="246" t="str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 t="str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 t="str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 t="str">
        <f>IF(C103="","",SUMIFS(Лэндинг!$H$5:$H$300,Лэндинг!$E$5:$E$300,$B103)+SUMIFS(Закрытые!$H$5:$H$300,Закрытые!$E$5:$E$300,$B103,Закрытые!$B$5:$B$300,"L-*"))</f>
        <v/>
      </c>
      <c r="F103" s="240" t="str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 t="str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 t="str">
        <f>IF(F103="","",SUMIFS(Лэндинг!$K$5:$K$300,Лэндинг!$E$5:$E$300,$B103)+SUMIFS(Закрытые!$K$5:$K$300,Закрытые!$E$5:$E$300,$B103,Закрытые!$B$5:$B$300,"L-*"))</f>
        <v/>
      </c>
      <c r="I103" s="240" t="str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 t="str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 t="str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 t="str">
        <f>IF(C104="","",SUMIFS(Лэндинг!$H$5:$H$300,Лэндинг!$E$5:$E$300,$B104)+SUMIFS(Закрытые!$H$5:$H$300,Закрытые!$E$5:$E$300,$B104,Закрытые!$B$5:$B$300,"L-*"))</f>
        <v/>
      </c>
      <c r="F104" s="246" t="str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 t="str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 t="str">
        <f>IF(F104="","",SUMIFS(Лэндинг!$K$5:$K$300,Лэндинг!$E$5:$E$300,$B104)+SUMIFS(Закрытые!$K$5:$K$300,Закрытые!$E$5:$E$300,$B104,Закрытые!$B$5:$B$300,"L-*"))</f>
        <v/>
      </c>
      <c r="I104" s="246" t="str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 t="str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 t="str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 t="str">
        <f>IF(C105="","",SUMIFS(Лэндинг!$H$5:$H$300,Лэндинг!$E$5:$E$300,$B105)+SUMIFS(Закрытые!$H$5:$H$300,Закрытые!$E$5:$E$300,$B105,Закрытые!$B$5:$B$300,"L-*"))</f>
        <v/>
      </c>
      <c r="F105" s="240" t="str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 t="str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 t="str">
        <f>IF(F105="","",SUMIFS(Лэндинг!$K$5:$K$300,Лэндинг!$E$5:$E$300,$B105)+SUMIFS(Закрытые!$K$5:$K$300,Закрытые!$E$5:$E$300,$B105,Закрытые!$B$5:$B$300,"L-*"))</f>
        <v/>
      </c>
      <c r="I105" s="240" t="str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 t="str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 t="str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 t="str">
        <f>IF(C106="","",SUMIFS(Лэндинг!$H$5:$H$300,Лэндинг!$E$5:$E$300,$B106)+SUMIFS(Закрытые!$H$5:$H$300,Закрытые!$E$5:$E$300,$B106,Закрытые!$B$5:$B$300,"L-*"))</f>
        <v/>
      </c>
      <c r="F106" s="246" t="str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 t="str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 t="str">
        <f>IF(F106="","",SUMIFS(Лэндинг!$K$5:$K$300,Лэндинг!$E$5:$E$300,$B106)+SUMIFS(Закрытые!$K$5:$K$300,Закрытые!$E$5:$E$300,$B106,Закрытые!$B$5:$B$300,"L-*"))</f>
        <v/>
      </c>
      <c r="I106" s="246" t="str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 t="str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 t="str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 t="str">
        <f>IF(C107="","",SUMIFS(Лэндинг!$H$5:$H$300,Лэндинг!$E$5:$E$300,$B107)+SUMIFS(Закрытые!$H$5:$H$300,Закрытые!$E$5:$E$300,$B107,Закрытые!$B$5:$B$300,"L-*"))</f>
        <v/>
      </c>
      <c r="F107" s="240" t="str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 t="str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 t="str">
        <f>IF(F107="","",SUMIFS(Лэндинг!$K$5:$K$300,Лэндинг!$E$5:$E$300,$B107)+SUMIFS(Закрытые!$K$5:$K$300,Закрытые!$E$5:$E$300,$B107,Закрытые!$B$5:$B$300,"L-*"))</f>
        <v/>
      </c>
      <c r="I107" s="240" t="str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 t="str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 t="str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 t="str">
        <f>IF(C108="","",SUMIFS(Лэндинг!$H$5:$H$300,Лэндинг!$E$5:$E$300,$B108)+SUMIFS(Закрытые!$H$5:$H$300,Закрытые!$E$5:$E$300,$B108,Закрытые!$B$5:$B$300,"L-*"))</f>
        <v/>
      </c>
      <c r="F108" s="246" t="str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 t="str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 t="str">
        <f>IF(F108="","",SUMIFS(Лэндинг!$K$5:$K$300,Лэндинг!$E$5:$E$300,$B108)+SUMIFS(Закрытые!$K$5:$K$300,Закрытые!$E$5:$E$300,$B108,Закрытые!$B$5:$B$300,"L-*"))</f>
        <v/>
      </c>
      <c r="I108" s="246" t="str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 t="str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 t="str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 t="str">
        <f>IF(C109="","",SUMIFS(Лэндинг!$H$5:$H$300,Лэндинг!$E$5:$E$300,$B109)+SUMIFS(Закрытые!$H$5:$H$300,Закрытые!$E$5:$E$300,$B109,Закрытые!$B$5:$B$300,"L-*"))</f>
        <v/>
      </c>
      <c r="F109" s="240" t="str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 t="str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 t="str">
        <f>IF(F109="","",SUMIFS(Лэндинг!$K$5:$K$300,Лэндинг!$E$5:$E$300,$B109)+SUMIFS(Закрытые!$K$5:$K$300,Закрытые!$E$5:$E$300,$B109,Закрытые!$B$5:$B$300,"L-*"))</f>
        <v/>
      </c>
      <c r="I109" s="240" t="str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 t="str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 t="str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 t="str">
        <f>IF(C110="","",SUMIFS(Лэндинг!$H$5:$H$300,Лэндинг!$E$5:$E$300,$B110)+SUMIFS(Закрытые!$H$5:$H$300,Закрытые!$E$5:$E$300,$B110,Закрытые!$B$5:$B$300,"L-*"))</f>
        <v/>
      </c>
      <c r="F110" s="246" t="str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 t="str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 t="str">
        <f>IF(F110="","",SUMIFS(Лэндинг!$K$5:$K$300,Лэндинг!$E$5:$E$300,$B110)+SUMIFS(Закрытые!$K$5:$K$300,Закрытые!$E$5:$E$300,$B110,Закрытые!$B$5:$B$300,"L-*"))</f>
        <v/>
      </c>
      <c r="I110" s="246" t="str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 t="str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 t="str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 t="str">
        <f>IF(C111="","",SUMIFS(Лэндинг!$H$5:$H$300,Лэндинг!$E$5:$E$300,$B111)+SUMIFS(Закрытые!$H$5:$H$300,Закрытые!$E$5:$E$300,$B111,Закрытые!$B$5:$B$300,"L-*"))</f>
        <v/>
      </c>
      <c r="F111" s="240" t="str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 t="str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 t="str">
        <f>IF(F111="","",SUMIFS(Лэндинг!$K$5:$K$300,Лэндинг!$E$5:$E$300,$B111)+SUMIFS(Закрытые!$K$5:$K$300,Закрытые!$E$5:$E$300,$B111,Закрытые!$B$5:$B$300,"L-*"))</f>
        <v/>
      </c>
      <c r="I111" s="240" t="str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 t="str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 t="str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 t="str">
        <f>IF(C112="","",SUMIFS(Лэндинг!$H$5:$H$300,Лэндинг!$E$5:$E$300,$B112)+SUMIFS(Закрытые!$H$5:$H$300,Закрытые!$E$5:$E$300,$B112,Закрытые!$B$5:$B$300,"L-*"))</f>
        <v/>
      </c>
      <c r="F112" s="246" t="str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 t="str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 t="str">
        <f>IF(F112="","",SUMIFS(Лэндинг!$K$5:$K$300,Лэндинг!$E$5:$E$300,$B112)+SUMIFS(Закрытые!$K$5:$K$300,Закрытые!$E$5:$E$300,$B112,Закрытые!$B$5:$B$300,"L-*"))</f>
        <v/>
      </c>
      <c r="I112" s="246" t="str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 t="str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 t="str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 t="str">
        <f>IF(C113="","",SUMIFS(Лэндинг!$H$5:$H$300,Лэндинг!$E$5:$E$300,$B113)+SUMIFS(Закрытые!$H$5:$H$300,Закрытые!$E$5:$E$300,$B113,Закрытые!$B$5:$B$300,"L-*"))</f>
        <v/>
      </c>
      <c r="F113" s="240" t="str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 t="str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 t="str">
        <f>IF(F113="","",SUMIFS(Лэндинг!$K$5:$K$300,Лэндинг!$E$5:$E$300,$B113)+SUMIFS(Закрытые!$K$5:$K$300,Закрытые!$E$5:$E$300,$B113,Закрытые!$B$5:$B$300,"L-*"))</f>
        <v/>
      </c>
      <c r="I113" s="240" t="str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 t="str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 t="str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 t="str">
        <f>IF(C114="","",SUMIFS(Лэндинг!$H$5:$H$300,Лэндинг!$E$5:$E$300,$B114)+SUMIFS(Закрытые!$H$5:$H$300,Закрытые!$E$5:$E$300,$B114,Закрытые!$B$5:$B$300,"L-*"))</f>
        <v/>
      </c>
      <c r="F114" s="246" t="str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 t="str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 t="str">
        <f>IF(F114="","",SUMIFS(Лэндинг!$K$5:$K$300,Лэндинг!$E$5:$E$300,$B114)+SUMIFS(Закрытые!$K$5:$K$300,Закрытые!$E$5:$E$300,$B114,Закрытые!$B$5:$B$300,"L-*"))</f>
        <v/>
      </c>
      <c r="I114" s="246" t="str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 t="str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 t="str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 t="str">
        <f>IF(C115="","",SUMIFS(Лэндинг!$H$5:$H$300,Лэндинг!$E$5:$E$300,$B115)+SUMIFS(Закрытые!$H$5:$H$300,Закрытые!$E$5:$E$300,$B115,Закрытые!$B$5:$B$300,"L-*"))</f>
        <v/>
      </c>
      <c r="F115" s="240" t="str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 t="str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 t="str">
        <f>IF(F115="","",SUMIFS(Лэндинг!$K$5:$K$300,Лэндинг!$E$5:$E$300,$B115)+SUMIFS(Закрытые!$K$5:$K$300,Закрытые!$E$5:$E$300,$B115,Закрытые!$B$5:$B$300,"L-*"))</f>
        <v/>
      </c>
      <c r="I115" s="240" t="str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 t="str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 t="str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 t="str">
        <f>IF(C116="","",SUMIFS(Лэндинг!$H$5:$H$300,Лэндинг!$E$5:$E$300,$B116)+SUMIFS(Закрытые!$H$5:$H$300,Закрытые!$E$5:$E$300,$B116,Закрытые!$B$5:$B$300,"L-*"))</f>
        <v/>
      </c>
      <c r="F116" s="246" t="str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 t="str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 t="str">
        <f>IF(F116="","",SUMIFS(Лэндинг!$K$5:$K$300,Лэндинг!$E$5:$E$300,$B116)+SUMIFS(Закрытые!$K$5:$K$300,Закрытые!$E$5:$E$300,$B116,Закрытые!$B$5:$B$300,"L-*"))</f>
        <v/>
      </c>
      <c r="I116" s="246" t="str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 t="str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 t="str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 t="str">
        <f>IF(C117="","",SUMIFS(Лэндинг!$H$5:$H$300,Лэндинг!$E$5:$E$300,$B117)+SUMIFS(Закрытые!$H$5:$H$300,Закрытые!$E$5:$E$300,$B117,Закрытые!$B$5:$B$300,"L-*"))</f>
        <v/>
      </c>
      <c r="F117" s="240" t="str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 t="str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 t="str">
        <f>IF(F117="","",SUMIFS(Лэндинг!$K$5:$K$300,Лэндинг!$E$5:$E$300,$B117)+SUMIFS(Закрытые!$K$5:$K$300,Закрытые!$E$5:$E$300,$B117,Закрытые!$B$5:$B$300,"L-*"))</f>
        <v/>
      </c>
      <c r="I117" s="240" t="str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 t="str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 t="str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 t="str">
        <f>IF(C118="","",SUMIFS(Лэндинг!$H$5:$H$300,Лэндинг!$E$5:$E$300,$B118)+SUMIFS(Закрытые!$H$5:$H$300,Закрытые!$E$5:$E$300,$B118,Закрытые!$B$5:$B$300,"L-*"))</f>
        <v/>
      </c>
      <c r="F118" s="246" t="str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 t="str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 t="str">
        <f>IF(F118="","",SUMIFS(Лэндинг!$K$5:$K$300,Лэндинг!$E$5:$E$300,$B118)+SUMIFS(Закрытые!$K$5:$K$300,Закрытые!$E$5:$E$300,$B118,Закрытые!$B$5:$B$300,"L-*"))</f>
        <v/>
      </c>
      <c r="I118" s="246" t="str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 t="str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 t="str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 t="str">
        <f>IF(C119="","",SUMIFS(Лэндинг!$H$5:$H$300,Лэндинг!$E$5:$E$300,$B119)+SUMIFS(Закрытые!$H$5:$H$300,Закрытые!$E$5:$E$300,$B119,Закрытые!$B$5:$B$300,"L-*"))</f>
        <v/>
      </c>
      <c r="F119" s="240" t="str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 t="str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 t="str">
        <f>IF(F119="","",SUMIFS(Лэндинг!$K$5:$K$300,Лэндинг!$E$5:$E$300,$B119)+SUMIFS(Закрытые!$K$5:$K$300,Закрытые!$E$5:$E$300,$B119,Закрытые!$B$5:$B$300,"L-*"))</f>
        <v/>
      </c>
      <c r="I119" s="240" t="str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 t="str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 t="str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 t="str">
        <f>IF(C120="","",SUMIFS(Лэндинг!$H$5:$H$300,Лэндинг!$E$5:$E$300,$B120)+SUMIFS(Закрытые!$H$5:$H$300,Закрытые!$E$5:$E$300,$B120,Закрытые!$B$5:$B$300,"L-*"))</f>
        <v/>
      </c>
      <c r="F120" s="246" t="str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 t="str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 t="str">
        <f>IF(F120="","",SUMIFS(Лэндинг!$K$5:$K$300,Лэндинг!$E$5:$E$300,$B120)+SUMIFS(Закрытые!$K$5:$K$300,Закрытые!$E$5:$E$300,$B120,Закрытые!$B$5:$B$300,"L-*"))</f>
        <v/>
      </c>
      <c r="I120" s="246" t="str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 t="str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 t="str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 t="str">
        <f>IF(C121="","",SUMIFS(Лэндинг!$H$5:$H$300,Лэндинг!$E$5:$E$300,$B121)+SUMIFS(Закрытые!$H$5:$H$300,Закрытые!$E$5:$E$300,$B121,Закрытые!$B$5:$B$300,"L-*"))</f>
        <v/>
      </c>
      <c r="F121" s="240" t="str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 t="str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 t="str">
        <f>IF(F121="","",SUMIFS(Лэндинг!$K$5:$K$300,Лэндинг!$E$5:$E$300,$B121)+SUMIFS(Закрытые!$K$5:$K$300,Закрытые!$E$5:$E$300,$B121,Закрытые!$B$5:$B$300,"L-*"))</f>
        <v/>
      </c>
      <c r="I121" s="240" t="str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 t="str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 t="str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 t="str">
        <f>IF(C122="","",SUMIFS(Лэндинг!$H$5:$H$300,Лэндинг!$E$5:$E$300,$B122)+SUMIFS(Закрытые!$H$5:$H$300,Закрытые!$E$5:$E$300,$B122,Закрытые!$B$5:$B$300,"L-*"))</f>
        <v/>
      </c>
      <c r="F122" s="246" t="str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 t="str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 t="str">
        <f>IF(F122="","",SUMIFS(Лэндинг!$K$5:$K$300,Лэндинг!$E$5:$E$300,$B122)+SUMIFS(Закрытые!$K$5:$K$300,Закрытые!$E$5:$E$300,$B122,Закрытые!$B$5:$B$300,"L-*"))</f>
        <v/>
      </c>
      <c r="I122" s="246" t="str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 t="str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 t="str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 t="str">
        <f>IF(C123="","",SUMIFS(Лэндинг!$H$5:$H$300,Лэндинг!$E$5:$E$300,$B123)+SUMIFS(Закрытые!$H$5:$H$300,Закрытые!$E$5:$E$300,$B123,Закрытые!$B$5:$B$300,"L-*"))</f>
        <v/>
      </c>
      <c r="F123" s="240" t="str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 t="str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 t="str">
        <f>IF(F123="","",SUMIFS(Лэндинг!$K$5:$K$300,Лэндинг!$E$5:$E$300,$B123)+SUMIFS(Закрытые!$K$5:$K$300,Закрытые!$E$5:$E$300,$B123,Закрытые!$B$5:$B$300,"L-*"))</f>
        <v/>
      </c>
      <c r="I123" s="240" t="str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 t="str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 t="str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 t="str">
        <f>IF(C124="","",SUMIFS(Лэндинг!$H$5:$H$300,Лэндинг!$E$5:$E$300,$B124)+SUMIFS(Закрытые!$H$5:$H$300,Закрытые!$E$5:$E$300,$B124,Закрытые!$B$5:$B$300,"L-*"))</f>
        <v/>
      </c>
      <c r="F124" s="246" t="str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 t="str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 t="str">
        <f>IF(F124="","",SUMIFS(Лэндинг!$K$5:$K$300,Лэндинг!$E$5:$E$300,$B124)+SUMIFS(Закрытые!$K$5:$K$300,Закрытые!$E$5:$E$300,$B124,Закрытые!$B$5:$B$300,"L-*"))</f>
        <v/>
      </c>
      <c r="I124" s="246" t="str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 t="str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 t="str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 t="str">
        <f>IF(C125="","",SUMIFS(Лэндинг!$H$5:$H$300,Лэндинг!$E$5:$E$300,$B125)+SUMIFS(Закрытые!$H$5:$H$300,Закрытые!$E$5:$E$300,$B125,Закрытые!$B$5:$B$300,"L-*"))</f>
        <v/>
      </c>
      <c r="F125" s="240" t="str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 t="str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 t="str">
        <f>IF(F125="","",SUMIFS(Лэндинг!$K$5:$K$300,Лэндинг!$E$5:$E$300,$B125)+SUMIFS(Закрытые!$K$5:$K$300,Закрытые!$E$5:$E$300,$B125,Закрытые!$B$5:$B$300,"L-*"))</f>
        <v/>
      </c>
      <c r="I125" s="240" t="str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 t="str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 t="str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 t="str">
        <f>IF(C126="","",SUMIFS(Лэндинг!$H$5:$H$300,Лэндинг!$E$5:$E$300,$B126)+SUMIFS(Закрытые!$H$5:$H$300,Закрытые!$E$5:$E$300,$B126,Закрытые!$B$5:$B$300,"L-*"))</f>
        <v/>
      </c>
      <c r="F126" s="246" t="str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 t="str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 t="str">
        <f>IF(F126="","",SUMIFS(Лэндинг!$K$5:$K$300,Лэндинг!$E$5:$E$300,$B126)+SUMIFS(Закрытые!$K$5:$K$300,Закрытые!$E$5:$E$300,$B126,Закрытые!$B$5:$B$300,"L-*"))</f>
        <v/>
      </c>
      <c r="I126" s="246" t="str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 t="str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 t="str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 t="str">
        <f>IF(C127="","",SUMIFS(Лэндинг!$H$5:$H$300,Лэндинг!$E$5:$E$300,$B127)+SUMIFS(Закрытые!$H$5:$H$300,Закрытые!$E$5:$E$300,$B127,Закрытые!$B$5:$B$300,"L-*"))</f>
        <v/>
      </c>
      <c r="F127" s="240" t="str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 t="str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 t="str">
        <f>IF(F127="","",SUMIFS(Лэндинг!$K$5:$K$300,Лэндинг!$E$5:$E$300,$B127)+SUMIFS(Закрытые!$K$5:$K$300,Закрытые!$E$5:$E$300,$B127,Закрытые!$B$5:$B$300,"L-*"))</f>
        <v/>
      </c>
      <c r="I127" s="240" t="str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 t="str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 t="str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 t="str">
        <f>IF(C128="","",SUMIFS(Лэндинг!$H$5:$H$300,Лэндинг!$E$5:$E$300,$B128)+SUMIFS(Закрытые!$H$5:$H$300,Закрытые!$E$5:$E$300,$B128,Закрытые!$B$5:$B$300,"L-*"))</f>
        <v/>
      </c>
      <c r="F128" s="246" t="str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 t="str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 t="str">
        <f>IF(F128="","",SUMIFS(Лэндинг!$K$5:$K$300,Лэндинг!$E$5:$E$300,$B128)+SUMIFS(Закрытые!$K$5:$K$300,Закрытые!$E$5:$E$300,$B128,Закрытые!$B$5:$B$300,"L-*"))</f>
        <v/>
      </c>
      <c r="I128" s="246" t="str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 t="str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 t="str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 t="str">
        <f>IF(C129="","",SUMIFS(Лэндинг!$H$5:$H$300,Лэндинг!$E$5:$E$300,$B129)+SUMIFS(Закрытые!$H$5:$H$300,Закрытые!$E$5:$E$300,$B129,Закрытые!$B$5:$B$300,"L-*"))</f>
        <v/>
      </c>
      <c r="F129" s="240" t="str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 t="str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 t="str">
        <f>IF(F129="","",SUMIFS(Лэндинг!$K$5:$K$300,Лэндинг!$E$5:$E$300,$B129)+SUMIFS(Закрытые!$K$5:$K$300,Закрытые!$E$5:$E$300,$B129,Закрытые!$B$5:$B$300,"L-*"))</f>
        <v/>
      </c>
      <c r="I129" s="240" t="str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 t="str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 t="str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 t="str">
        <f>IF(C130="","",SUMIFS(Лэндинг!$H$5:$H$300,Лэндинг!$E$5:$E$300,$B130)+SUMIFS(Закрытые!$H$5:$H$300,Закрытые!$E$5:$E$300,$B130,Закрытые!$B$5:$B$300,"L-*"))</f>
        <v/>
      </c>
      <c r="F130" s="246" t="str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 t="str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 t="str">
        <f>IF(F130="","",SUMIFS(Лэндинг!$K$5:$K$300,Лэндинг!$E$5:$E$300,$B130)+SUMIFS(Закрытые!$K$5:$K$300,Закрытые!$E$5:$E$300,$B130,Закрытые!$B$5:$B$300,"L-*"))</f>
        <v/>
      </c>
      <c r="I130" s="246" t="str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 t="str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 t="str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 t="str">
        <f>IF(C131="","",SUMIFS(Лэндинг!$H$5:$H$300,Лэндинг!$E$5:$E$300,$B131)+SUMIFS(Закрытые!$H$5:$H$300,Закрытые!$E$5:$E$300,$B131,Закрытые!$B$5:$B$300,"L-*"))</f>
        <v/>
      </c>
      <c r="F131" s="240" t="str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 t="str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 t="str">
        <f>IF(F131="","",SUMIFS(Лэндинг!$K$5:$K$300,Лэндинг!$E$5:$E$300,$B131)+SUMIFS(Закрытые!$K$5:$K$300,Закрытые!$E$5:$E$300,$B131,Закрытые!$B$5:$B$300,"L-*"))</f>
        <v/>
      </c>
      <c r="I131" s="240" t="str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 t="str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 t="str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 t="str">
        <f>IF(C132="","",SUMIFS(Лэндинг!$H$5:$H$300,Лэндинг!$E$5:$E$300,$B132)+SUMIFS(Закрытые!$H$5:$H$300,Закрытые!$E$5:$E$300,$B132,Закрытые!$B$5:$B$300,"L-*"))</f>
        <v/>
      </c>
      <c r="F132" s="246" t="str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 t="str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 t="str">
        <f>IF(F132="","",SUMIFS(Лэндинг!$K$5:$K$300,Лэндинг!$E$5:$E$300,$B132)+SUMIFS(Закрытые!$K$5:$K$300,Закрытые!$E$5:$E$300,$B132,Закрытые!$B$5:$B$300,"L-*"))</f>
        <v/>
      </c>
      <c r="I132" s="246" t="str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 t="str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 t="str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 t="str">
        <f>IF(C133="","",SUMIFS(Лэндинг!$H$5:$H$300,Лэндинг!$E$5:$E$300,$B133)+SUMIFS(Закрытые!$H$5:$H$300,Закрытые!$E$5:$E$300,$B133,Закрытые!$B$5:$B$300,"L-*"))</f>
        <v/>
      </c>
      <c r="F133" s="240" t="str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 t="str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 t="str">
        <f>IF(F133="","",SUMIFS(Лэндинг!$K$5:$K$300,Лэндинг!$E$5:$E$300,$B133)+SUMIFS(Закрытые!$K$5:$K$300,Закрытые!$E$5:$E$300,$B133,Закрытые!$B$5:$B$300,"L-*"))</f>
        <v/>
      </c>
      <c r="I133" s="240" t="str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 t="str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 t="str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 t="str">
        <f>IF(C134="","",SUMIFS(Лэндинг!$H$5:$H$300,Лэндинг!$E$5:$E$300,$B134)+SUMIFS(Закрытые!$H$5:$H$300,Закрытые!$E$5:$E$300,$B134,Закрытые!$B$5:$B$300,"L-*"))</f>
        <v/>
      </c>
      <c r="F134" s="246" t="str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 t="str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 t="str">
        <f>IF(F134="","",SUMIFS(Лэндинг!$K$5:$K$300,Лэндинг!$E$5:$E$300,$B134)+SUMIFS(Закрытые!$K$5:$K$300,Закрытые!$E$5:$E$300,$B134,Закрытые!$B$5:$B$300,"L-*"))</f>
        <v/>
      </c>
      <c r="I134" s="246" t="str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 t="str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 t="str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 t="str">
        <f>IF(C135="","",SUMIFS(Лэндинг!$H$5:$H$300,Лэндинг!$E$5:$E$300,$B135)+SUMIFS(Закрытые!$H$5:$H$300,Закрытые!$E$5:$E$300,$B135,Закрытые!$B$5:$B$300,"L-*"))</f>
        <v/>
      </c>
      <c r="F135" s="240" t="str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 t="str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 t="str">
        <f>IF(F135="","",SUMIFS(Лэндинг!$K$5:$K$300,Лэндинг!$E$5:$E$300,$B135)+SUMIFS(Закрытые!$K$5:$K$300,Закрытые!$E$5:$E$300,$B135,Закрытые!$B$5:$B$300,"L-*"))</f>
        <v/>
      </c>
      <c r="I135" s="240" t="str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 t="str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 t="str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 t="str">
        <f>IF(C136="","",SUMIFS(Лэндинг!$H$5:$H$300,Лэндинг!$E$5:$E$300,$B136)+SUMIFS(Закрытые!$H$5:$H$300,Закрытые!$E$5:$E$300,$B136,Закрытые!$B$5:$B$300,"L-*"))</f>
        <v/>
      </c>
      <c r="F136" s="246" t="str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 t="str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 t="str">
        <f>IF(F136="","",SUMIFS(Лэндинг!$K$5:$K$300,Лэндинг!$E$5:$E$300,$B136)+SUMIFS(Закрытые!$K$5:$K$300,Закрытые!$E$5:$E$300,$B136,Закрытые!$B$5:$B$300,"L-*"))</f>
        <v/>
      </c>
      <c r="I136" s="246" t="str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 t="str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 t="str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 t="str">
        <f>IF(C137="","",SUMIFS(Лэндинг!$H$5:$H$300,Лэндинг!$E$5:$E$300,$B137)+SUMIFS(Закрытые!$H$5:$H$300,Закрытые!$E$5:$E$300,$B137,Закрытые!$B$5:$B$300,"L-*"))</f>
        <v/>
      </c>
      <c r="F137" s="240" t="str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 t="str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 t="str">
        <f>IF(F137="","",SUMIFS(Лэндинг!$K$5:$K$300,Лэндинг!$E$5:$E$300,$B137)+SUMIFS(Закрытые!$K$5:$K$300,Закрытые!$E$5:$E$300,$B137,Закрытые!$B$5:$B$300,"L-*"))</f>
        <v/>
      </c>
      <c r="I137" s="240" t="str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 t="str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 t="str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 t="str">
        <f>IF(C138="","",SUMIFS(Лэндинг!$H$5:$H$300,Лэндинг!$E$5:$E$300,$B138)+SUMIFS(Закрытые!$H$5:$H$300,Закрытые!$E$5:$E$300,$B138,Закрытые!$B$5:$B$300,"L-*"))</f>
        <v/>
      </c>
      <c r="F138" s="246" t="str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 t="str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 t="str">
        <f>IF(F138="","",SUMIFS(Лэндинг!$K$5:$K$300,Лэндинг!$E$5:$E$300,$B138)+SUMIFS(Закрытые!$K$5:$K$300,Закрытые!$E$5:$E$300,$B138,Закрытые!$B$5:$B$300,"L-*"))</f>
        <v/>
      </c>
      <c r="I138" s="246" t="str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 t="str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 t="str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 t="str">
        <f>IF(C139="","",SUMIFS(Лэндинг!$H$5:$H$300,Лэндинг!$E$5:$E$300,$B139)+SUMIFS(Закрытые!$H$5:$H$300,Закрытые!$E$5:$E$300,$B139,Закрытые!$B$5:$B$300,"L-*"))</f>
        <v/>
      </c>
      <c r="F139" s="240" t="str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 t="str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 t="str">
        <f>IF(F139="","",SUMIFS(Лэндинг!$K$5:$K$300,Лэндинг!$E$5:$E$300,$B139)+SUMIFS(Закрытые!$K$5:$K$300,Закрытые!$E$5:$E$300,$B139,Закрытые!$B$5:$B$300,"L-*"))</f>
        <v/>
      </c>
      <c r="I139" s="240" t="str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 t="str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 t="str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 t="str">
        <f>IF(C140="","",SUMIFS(Лэндинг!$H$5:$H$300,Лэндинг!$E$5:$E$300,$B140)+SUMIFS(Закрытые!$H$5:$H$300,Закрытые!$E$5:$E$300,$B140,Закрытые!$B$5:$B$300,"L-*"))</f>
        <v/>
      </c>
      <c r="F140" s="246" t="str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 t="str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 t="str">
        <f>IF(F140="","",SUMIFS(Лэндинг!$K$5:$K$300,Лэндинг!$E$5:$E$300,$B140)+SUMIFS(Закрытые!$K$5:$K$300,Закрытые!$E$5:$E$300,$B140,Закрытые!$B$5:$B$300,"L-*"))</f>
        <v/>
      </c>
      <c r="I140" s="246" t="str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 t="str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 t="str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 t="str">
        <f>IF(C141="","",SUMIFS(Лэндинг!$H$5:$H$300,Лэндинг!$E$5:$E$300,$B141)+SUMIFS(Закрытые!$H$5:$H$300,Закрытые!$E$5:$E$300,$B141,Закрытые!$B$5:$B$300,"L-*"))</f>
        <v/>
      </c>
      <c r="F141" s="240" t="str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 t="str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 t="str">
        <f>IF(F141="","",SUMIFS(Лэндинг!$K$5:$K$300,Лэндинг!$E$5:$E$300,$B141)+SUMIFS(Закрытые!$K$5:$K$300,Закрытые!$E$5:$E$300,$B141,Закрытые!$B$5:$B$300,"L-*"))</f>
        <v/>
      </c>
      <c r="I141" s="240" t="str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 t="str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 t="str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 t="str">
        <f>IF(C142="","",SUMIFS(Лэндинг!$H$5:$H$300,Лэндинг!$E$5:$E$300,$B142)+SUMIFS(Закрытые!$H$5:$H$300,Закрытые!$E$5:$E$300,$B142,Закрытые!$B$5:$B$300,"L-*"))</f>
        <v/>
      </c>
      <c r="F142" s="246" t="str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 t="str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 t="str">
        <f>IF(F142="","",SUMIFS(Лэндинг!$K$5:$K$300,Лэндинг!$E$5:$E$300,$B142)+SUMIFS(Закрытые!$K$5:$K$300,Закрытые!$E$5:$E$300,$B142,Закрытые!$B$5:$B$300,"L-*"))</f>
        <v/>
      </c>
      <c r="I142" s="246" t="str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 t="str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 t="str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 t="str">
        <f>IF(C143="","",SUMIFS(Лэндинг!$H$5:$H$300,Лэндинг!$E$5:$E$300,$B143)+SUMIFS(Закрытые!$H$5:$H$300,Закрытые!$E$5:$E$300,$B143,Закрытые!$B$5:$B$300,"L-*"))</f>
        <v/>
      </c>
      <c r="F143" s="240" t="str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 t="str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 t="str">
        <f>IF(F143="","",SUMIFS(Лэндинг!$K$5:$K$300,Лэндинг!$E$5:$E$300,$B143)+SUMIFS(Закрытые!$K$5:$K$300,Закрытые!$E$5:$E$300,$B143,Закрытые!$B$5:$B$300,"L-*"))</f>
        <v/>
      </c>
      <c r="I143" s="240" t="str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 t="str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 t="str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 t="str">
        <f>IF(C144="","",SUMIFS(Лэндинг!$H$5:$H$300,Лэндинг!$E$5:$E$300,$B144)+SUMIFS(Закрытые!$H$5:$H$300,Закрытые!$E$5:$E$300,$B144,Закрытые!$B$5:$B$300,"L-*"))</f>
        <v/>
      </c>
      <c r="F144" s="246" t="str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 t="str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 t="str">
        <f>IF(F144="","",SUMIFS(Лэндинг!$K$5:$K$300,Лэндинг!$E$5:$E$300,$B144)+SUMIFS(Закрытые!$K$5:$K$300,Закрытые!$E$5:$E$300,$B144,Закрытые!$B$5:$B$300,"L-*"))</f>
        <v/>
      </c>
      <c r="I144" s="246" t="str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 t="str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 t="str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 t="str">
        <f>IF(C145="","",SUMIFS(Лэндинг!$H$5:$H$300,Лэндинг!$E$5:$E$300,$B145)+SUMIFS(Закрытые!$H$5:$H$300,Закрытые!$E$5:$E$300,$B145,Закрытые!$B$5:$B$300,"L-*"))</f>
        <v/>
      </c>
      <c r="F145" s="240" t="str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 t="str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 t="str">
        <f>IF(F145="","",SUMIFS(Лэндинг!$K$5:$K$300,Лэндинг!$E$5:$E$300,$B145)+SUMIFS(Закрытые!$K$5:$K$300,Закрытые!$E$5:$E$300,$B145,Закрытые!$B$5:$B$300,"L-*"))</f>
        <v/>
      </c>
      <c r="I145" s="240" t="str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 t="str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 t="str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 t="str">
        <f>IF(C146="","",SUMIFS(Лэндинг!$H$5:$H$300,Лэндинг!$E$5:$E$300,$B146)+SUMIFS(Закрытые!$H$5:$H$300,Закрытые!$E$5:$E$300,$B146,Закрытые!$B$5:$B$300,"L-*"))</f>
        <v/>
      </c>
      <c r="F146" s="246" t="str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 t="str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 t="str">
        <f>IF(F146="","",SUMIFS(Лэндинг!$K$5:$K$300,Лэндинг!$E$5:$E$300,$B146)+SUMIFS(Закрытые!$K$5:$K$300,Закрытые!$E$5:$E$300,$B146,Закрытые!$B$5:$B$300,"L-*"))</f>
        <v/>
      </c>
      <c r="I146" s="246" t="str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 t="str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 t="str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 t="str">
        <f>IF(C147="","",SUMIFS(Лэндинг!$H$5:$H$300,Лэндинг!$E$5:$E$300,$B147)+SUMIFS(Закрытые!$H$5:$H$300,Закрытые!$E$5:$E$300,$B147,Закрытые!$B$5:$B$300,"L-*"))</f>
        <v/>
      </c>
      <c r="F147" s="240" t="str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 t="str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 t="str">
        <f>IF(F147="","",SUMIFS(Лэндинг!$K$5:$K$300,Лэндинг!$E$5:$E$300,$B147)+SUMIFS(Закрытые!$K$5:$K$300,Закрытые!$E$5:$E$300,$B147,Закрытые!$B$5:$B$300,"L-*"))</f>
        <v/>
      </c>
      <c r="I147" s="240" t="str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 t="str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 t="str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 t="str">
        <f>IF(C148="","",SUMIFS(Лэндинг!$H$5:$H$300,Лэндинг!$E$5:$E$300,$B148)+SUMIFS(Закрытые!$H$5:$H$300,Закрытые!$E$5:$E$300,$B148,Закрытые!$B$5:$B$300,"L-*"))</f>
        <v/>
      </c>
      <c r="F148" s="246" t="str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 t="str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 t="str">
        <f>IF(F148="","",SUMIFS(Лэндинг!$K$5:$K$300,Лэндинг!$E$5:$E$300,$B148)+SUMIFS(Закрытые!$K$5:$K$300,Закрытые!$E$5:$E$300,$B148,Закрытые!$B$5:$B$300,"L-*"))</f>
        <v/>
      </c>
      <c r="I148" s="246" t="str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 t="str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 t="str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 t="str">
        <f>IF(C149="","",SUMIFS(Лэндинг!$H$5:$H$300,Лэндинг!$E$5:$E$300,$B149)+SUMIFS(Закрытые!$H$5:$H$300,Закрытые!$E$5:$E$300,$B149,Закрытые!$B$5:$B$300,"L-*"))</f>
        <v/>
      </c>
      <c r="F149" s="240" t="str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 t="str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 t="str">
        <f>IF(F149="","",SUMIFS(Лэндинг!$K$5:$K$300,Лэндинг!$E$5:$E$300,$B149)+SUMIFS(Закрытые!$K$5:$K$300,Закрытые!$E$5:$E$300,$B149,Закрытые!$B$5:$B$300,"L-*"))</f>
        <v/>
      </c>
      <c r="I149" s="240" t="str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 t="str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 t="str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 t="str">
        <f>IF(C150="","",SUMIFS(Лэндинг!$H$5:$H$300,Лэндинг!$E$5:$E$300,$B150)+SUMIFS(Закрытые!$H$5:$H$300,Закрытые!$E$5:$E$300,$B150,Закрытые!$B$5:$B$300,"L-*"))</f>
        <v/>
      </c>
      <c r="F150" s="246" t="str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 t="str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 t="str">
        <f>IF(F150="","",SUMIFS(Лэндинг!$K$5:$K$300,Лэндинг!$E$5:$E$300,$B150)+SUMIFS(Закрытые!$K$5:$K$300,Закрытые!$E$5:$E$300,$B150,Закрытые!$B$5:$B$300,"L-*"))</f>
        <v/>
      </c>
      <c r="I150" s="246" t="str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 t="str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 t="str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 t="str">
        <f>IF(C151="","",SUMIFS(Лэндинг!$H$5:$H$300,Лэндинг!$E$5:$E$300,$B151)+SUMIFS(Закрытые!$H$5:$H$300,Закрытые!$E$5:$E$300,$B151,Закрытые!$B$5:$B$300,"L-*"))</f>
        <v/>
      </c>
      <c r="F151" s="240" t="str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 t="str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 t="str">
        <f>IF(F151="","",SUMIFS(Лэндинг!$K$5:$K$300,Лэндинг!$E$5:$E$300,$B151)+SUMIFS(Закрытые!$K$5:$K$300,Закрытые!$E$5:$E$300,$B151,Закрытые!$B$5:$B$300,"L-*"))</f>
        <v/>
      </c>
      <c r="I151" s="240" t="str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 t="str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 t="str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 t="str">
        <f>IF(C152="","",SUMIFS(Лэндинг!$H$5:$H$300,Лэндинг!$E$5:$E$300,$B152)+SUMIFS(Закрытые!$H$5:$H$300,Закрытые!$E$5:$E$300,$B152,Закрытые!$B$5:$B$300,"L-*"))</f>
        <v/>
      </c>
      <c r="F152" s="246" t="str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 t="str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 t="str">
        <f>IF(F152="","",SUMIFS(Лэндинг!$K$5:$K$300,Лэндинг!$E$5:$E$300,$B152)+SUMIFS(Закрытые!$K$5:$K$300,Закрытые!$E$5:$E$300,$B152,Закрытые!$B$5:$B$300,"L-*"))</f>
        <v/>
      </c>
      <c r="I152" s="246" t="str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 t="str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 t="str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 t="str">
        <f>IF(C153="","",SUMIFS(Лэндинг!$H$5:$H$300,Лэндинг!$E$5:$E$300,$B153)+SUMIFS(Закрытые!$H$5:$H$300,Закрытые!$E$5:$E$300,$B153,Закрытые!$B$5:$B$300,"L-*"))</f>
        <v/>
      </c>
      <c r="F153" s="240" t="str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 t="str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 t="str">
        <f>IF(F153="","",SUMIFS(Лэндинг!$K$5:$K$300,Лэндинг!$E$5:$E$300,$B153)+SUMIFS(Закрытые!$K$5:$K$300,Закрытые!$E$5:$E$300,$B153,Закрытые!$B$5:$B$300,"L-*"))</f>
        <v/>
      </c>
      <c r="I153" s="240" t="str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 t="str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 t="str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 t="str">
        <f>IF(C154="","",SUMIFS(Лэндинг!$H$5:$H$300,Лэндинг!$E$5:$E$300,$B154)+SUMIFS(Закрытые!$H$5:$H$300,Закрытые!$E$5:$E$300,$B154,Закрытые!$B$5:$B$300,"L-*"))</f>
        <v/>
      </c>
      <c r="F154" s="246" t="str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 t="str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 t="str">
        <f>IF(F154="","",SUMIFS(Лэндинг!$K$5:$K$300,Лэндинг!$E$5:$E$300,$B154)+SUMIFS(Закрытые!$K$5:$K$300,Закрытые!$E$5:$E$300,$B154,Закрытые!$B$5:$B$300,"L-*"))</f>
        <v/>
      </c>
      <c r="I154" s="246" t="str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 t="str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 t="str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 t="str">
        <f>IF(C155="","",SUMIFS(Лэндинг!$H$5:$H$300,Лэндинг!$E$5:$E$300,$B155)+SUMIFS(Закрытые!$H$5:$H$300,Закрытые!$E$5:$E$300,$B155,Закрытые!$B$5:$B$300,"L-*"))</f>
        <v/>
      </c>
      <c r="F155" s="240" t="str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 t="str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 t="str">
        <f>IF(F155="","",SUMIFS(Лэндинг!$K$5:$K$300,Лэндинг!$E$5:$E$300,$B155)+SUMIFS(Закрытые!$K$5:$K$300,Закрытые!$E$5:$E$300,$B155,Закрытые!$B$5:$B$300,"L-*"))</f>
        <v/>
      </c>
      <c r="I155" s="240" t="str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 t="str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 t="str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 t="str">
        <f>IF(C156="","",SUMIFS(Лэндинг!$H$5:$H$300,Лэндинг!$E$5:$E$300,$B156)+SUMIFS(Закрытые!$H$5:$H$300,Закрытые!$E$5:$E$300,$B156,Закрытые!$B$5:$B$300,"L-*"))</f>
        <v/>
      </c>
      <c r="F156" s="246" t="str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 t="str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 t="str">
        <f>IF(F156="","",SUMIFS(Лэндинг!$K$5:$K$300,Лэндинг!$E$5:$E$300,$B156)+SUMIFS(Закрытые!$K$5:$K$300,Закрытые!$E$5:$E$300,$B156,Закрытые!$B$5:$B$300,"L-*"))</f>
        <v/>
      </c>
      <c r="I156" s="246" t="str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 t="str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 t="str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 t="str">
        <f>IF(C157="","",SUMIFS(Лэндинг!$H$5:$H$300,Лэндинг!$E$5:$E$300,$B157)+SUMIFS(Закрытые!$H$5:$H$300,Закрытые!$E$5:$E$300,$B157,Закрытые!$B$5:$B$300,"L-*"))</f>
        <v/>
      </c>
      <c r="F157" s="240" t="str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 t="str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 t="str">
        <f>IF(F157="","",SUMIFS(Лэндинг!$K$5:$K$300,Лэндинг!$E$5:$E$300,$B157)+SUMIFS(Закрытые!$K$5:$K$300,Закрытые!$E$5:$E$300,$B157,Закрытые!$B$5:$B$300,"L-*"))</f>
        <v/>
      </c>
      <c r="I157" s="240" t="str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 t="str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 t="str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 t="str">
        <f>IF(C158="","",SUMIFS(Лэндинг!$H$5:$H$300,Лэндинг!$E$5:$E$300,$B158)+SUMIFS(Закрытые!$H$5:$H$300,Закрытые!$E$5:$E$300,$B158,Закрытые!$B$5:$B$300,"L-*"))</f>
        <v/>
      </c>
      <c r="F158" s="246" t="str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 t="str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 t="str">
        <f>IF(F158="","",SUMIFS(Лэндинг!$K$5:$K$300,Лэндинг!$E$5:$E$300,$B158)+SUMIFS(Закрытые!$K$5:$K$300,Закрытые!$E$5:$E$300,$B158,Закрытые!$B$5:$B$300,"L-*"))</f>
        <v/>
      </c>
      <c r="I158" s="246" t="str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 t="str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 t="str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 t="str">
        <f>IF(C159="","",SUMIFS(Лэндинг!$H$5:$H$300,Лэндинг!$E$5:$E$300,$B159)+SUMIFS(Закрытые!$H$5:$H$300,Закрытые!$E$5:$E$300,$B159,Закрытые!$B$5:$B$300,"L-*"))</f>
        <v/>
      </c>
      <c r="F159" s="240" t="str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 t="str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 t="str">
        <f>IF(F159="","",SUMIFS(Лэндинг!$K$5:$K$300,Лэндинг!$E$5:$E$300,$B159)+SUMIFS(Закрытые!$K$5:$K$300,Закрытые!$E$5:$E$300,$B159,Закрытые!$B$5:$B$300,"L-*"))</f>
        <v/>
      </c>
      <c r="I159" s="240" t="str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 t="str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 t="str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 t="str">
        <f>IF(C160="","",SUMIFS(Лэндинг!$H$5:$H$300,Лэндинг!$E$5:$E$300,$B160)+SUMIFS(Закрытые!$H$5:$H$300,Закрытые!$E$5:$E$300,$B160,Закрытые!$B$5:$B$300,"L-*"))</f>
        <v/>
      </c>
      <c r="F160" s="246" t="str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 t="str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 t="str">
        <f>IF(F160="","",SUMIFS(Лэндинг!$K$5:$K$300,Лэндинг!$E$5:$E$300,$B160)+SUMIFS(Закрытые!$K$5:$K$300,Закрытые!$E$5:$E$300,$B160,Закрытые!$B$5:$B$300,"L-*"))</f>
        <v/>
      </c>
      <c r="I160" s="246" t="str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 t="str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 t="str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 t="str">
        <f>IF(C161="","",SUMIFS(Лэндинг!$H$5:$H$300,Лэндинг!$E$5:$E$300,$B161)+SUMIFS(Закрытые!$H$5:$H$300,Закрытые!$E$5:$E$300,$B161,Закрытые!$B$5:$B$300,"L-*"))</f>
        <v/>
      </c>
      <c r="F161" s="240" t="str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 t="str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 t="str">
        <f>IF(F161="","",SUMIFS(Лэндинг!$K$5:$K$300,Лэндинг!$E$5:$E$300,$B161)+SUMIFS(Закрытые!$K$5:$K$300,Закрытые!$E$5:$E$300,$B161,Закрытые!$B$5:$B$300,"L-*"))</f>
        <v/>
      </c>
      <c r="I161" s="240" t="str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 t="str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 t="str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 t="str">
        <f>IF(C162="","",SUMIFS(Лэндинг!$H$5:$H$300,Лэндинг!$E$5:$E$300,$B162)+SUMIFS(Закрытые!$H$5:$H$300,Закрытые!$E$5:$E$300,$B162,Закрытые!$B$5:$B$300,"L-*"))</f>
        <v/>
      </c>
      <c r="F162" s="246" t="str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 t="str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 t="str">
        <f>IF(F162="","",SUMIFS(Лэндинг!$K$5:$K$300,Лэндинг!$E$5:$E$300,$B162)+SUMIFS(Закрытые!$K$5:$K$300,Закрытые!$E$5:$E$300,$B162,Закрытые!$B$5:$B$300,"L-*"))</f>
        <v/>
      </c>
      <c r="I162" s="246" t="str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 t="str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 t="str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 t="str">
        <f>IF(C163="","",SUMIFS(Лэндинг!$H$5:$H$300,Лэндинг!$E$5:$E$300,$B163)+SUMIFS(Закрытые!$H$5:$H$300,Закрытые!$E$5:$E$300,$B163,Закрытые!$B$5:$B$300,"L-*"))</f>
        <v/>
      </c>
      <c r="F163" s="240" t="str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 t="str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 t="str">
        <f>IF(F163="","",SUMIFS(Лэндинг!$K$5:$K$300,Лэндинг!$E$5:$E$300,$B163)+SUMIFS(Закрытые!$K$5:$K$300,Закрытые!$E$5:$E$300,$B163,Закрытые!$B$5:$B$300,"L-*"))</f>
        <v/>
      </c>
      <c r="I163" s="240" t="str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 t="str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 t="str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 t="str">
        <f>IF(C164="","",SUMIFS(Лэндинг!$H$5:$H$300,Лэндинг!$E$5:$E$300,$B164)+SUMIFS(Закрытые!$H$5:$H$300,Закрытые!$E$5:$E$300,$B164,Закрытые!$B$5:$B$300,"L-*"))</f>
        <v/>
      </c>
      <c r="F164" s="246" t="str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 t="str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 t="str">
        <f>IF(F164="","",SUMIFS(Лэндинг!$K$5:$K$300,Лэндинг!$E$5:$E$300,$B164)+SUMIFS(Закрытые!$K$5:$K$300,Закрытые!$E$5:$E$300,$B164,Закрытые!$B$5:$B$300,"L-*"))</f>
        <v/>
      </c>
      <c r="I164" s="246" t="str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 t="str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 t="str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 t="str">
        <f>IF(C165="","",SUMIFS(Лэндинг!$H$5:$H$300,Лэндинг!$E$5:$E$300,$B165)+SUMIFS(Закрытые!$H$5:$H$300,Закрытые!$E$5:$E$300,$B165,Закрытые!$B$5:$B$300,"L-*"))</f>
        <v/>
      </c>
      <c r="F165" s="240" t="str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 t="str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 t="str">
        <f>IF(F165="","",SUMIFS(Лэндинг!$K$5:$K$300,Лэндинг!$E$5:$E$300,$B165)+SUMIFS(Закрытые!$K$5:$K$300,Закрытые!$E$5:$E$300,$B165,Закрытые!$B$5:$B$300,"L-*"))</f>
        <v/>
      </c>
      <c r="I165" s="240" t="str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 t="str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 t="str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 t="str">
        <f>IF(C166="","",SUMIFS(Лэндинг!$H$5:$H$300,Лэндинг!$E$5:$E$300,$B166)+SUMIFS(Закрытые!$H$5:$H$300,Закрытые!$E$5:$E$300,$B166,Закрытые!$B$5:$B$300,"L-*"))</f>
        <v/>
      </c>
      <c r="F166" s="246" t="str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 t="str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 t="str">
        <f>IF(F166="","",SUMIFS(Лэндинг!$K$5:$K$300,Лэндинг!$E$5:$E$300,$B166)+SUMIFS(Закрытые!$K$5:$K$300,Закрытые!$E$5:$E$300,$B166,Закрытые!$B$5:$B$300,"L-*"))</f>
        <v/>
      </c>
      <c r="I166" s="246" t="str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 t="str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 t="str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 t="str">
        <f>IF(C167="","",SUMIFS(Лэндинг!$H$5:$H$300,Лэндинг!$E$5:$E$300,$B167)+SUMIFS(Закрытые!$H$5:$H$300,Закрытые!$E$5:$E$300,$B167,Закрытые!$B$5:$B$300,"L-*"))</f>
        <v/>
      </c>
      <c r="F167" s="240" t="str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 t="str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 t="str">
        <f>IF(F167="","",SUMIFS(Лэндинг!$K$5:$K$300,Лэндинг!$E$5:$E$300,$B167)+SUMIFS(Закрытые!$K$5:$K$300,Закрытые!$E$5:$E$300,$B167,Закрытые!$B$5:$B$300,"L-*"))</f>
        <v/>
      </c>
      <c r="I167" s="240" t="str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 t="str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 t="str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 t="str">
        <f>IF(C168="","",SUMIFS(Лэндинг!$H$5:$H$300,Лэндинг!$E$5:$E$300,$B168)+SUMIFS(Закрытые!$H$5:$H$300,Закрытые!$E$5:$E$300,$B168,Закрытые!$B$5:$B$300,"L-*"))</f>
        <v/>
      </c>
      <c r="F168" s="246" t="str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 t="str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 t="str">
        <f>IF(F168="","",SUMIFS(Лэндинг!$K$5:$K$300,Лэндинг!$E$5:$E$300,$B168)+SUMIFS(Закрытые!$K$5:$K$300,Закрытые!$E$5:$E$300,$B168,Закрытые!$B$5:$B$300,"L-*"))</f>
        <v/>
      </c>
      <c r="I168" s="246" t="str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 t="str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 t="str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 t="str">
        <f>IF(C169="","",SUMIFS(Лэндинг!$H$5:$H$300,Лэндинг!$E$5:$E$300,$B169)+SUMIFS(Закрытые!$H$5:$H$300,Закрытые!$E$5:$E$300,$B169,Закрытые!$B$5:$B$300,"L-*"))</f>
        <v/>
      </c>
      <c r="F169" s="240" t="str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 t="str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 t="str">
        <f>IF(F169="","",SUMIFS(Лэндинг!$K$5:$K$300,Лэндинг!$E$5:$E$300,$B169)+SUMIFS(Закрытые!$K$5:$K$300,Закрытые!$E$5:$E$300,$B169,Закрытые!$B$5:$B$300,"L-*"))</f>
        <v/>
      </c>
      <c r="I169" s="240" t="str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 t="str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 t="str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 t="str">
        <f>IF(C170="","",SUMIFS(Лэндинг!$H$5:$H$300,Лэндинг!$E$5:$E$300,$B170)+SUMIFS(Закрытые!$H$5:$H$300,Закрытые!$E$5:$E$300,$B170,Закрытые!$B$5:$B$300,"L-*"))</f>
        <v/>
      </c>
      <c r="F170" s="246" t="str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 t="str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 t="str">
        <f>IF(F170="","",SUMIFS(Лэндинг!$K$5:$K$300,Лэндинг!$E$5:$E$300,$B170)+SUMIFS(Закрытые!$K$5:$K$300,Закрытые!$E$5:$E$300,$B170,Закрытые!$B$5:$B$300,"L-*"))</f>
        <v/>
      </c>
      <c r="I170" s="246" t="str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 t="str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 t="str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 t="str">
        <f>IF(C171="","",SUMIFS(Лэндинг!$H$5:$H$300,Лэндинг!$E$5:$E$300,$B171)+SUMIFS(Закрытые!$H$5:$H$300,Закрытые!$E$5:$E$300,$B171,Закрытые!$B$5:$B$300,"L-*"))</f>
        <v/>
      </c>
      <c r="F171" s="240" t="str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 t="str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 t="str">
        <f>IF(F171="","",SUMIFS(Лэндинг!$K$5:$K$300,Лэндинг!$E$5:$E$300,$B171)+SUMIFS(Закрытые!$K$5:$K$300,Закрытые!$E$5:$E$300,$B171,Закрытые!$B$5:$B$300,"L-*"))</f>
        <v/>
      </c>
      <c r="I171" s="240" t="str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 t="str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 t="str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 t="str">
        <f>IF(C172="","",SUMIFS(Лэндинг!$H$5:$H$300,Лэндинг!$E$5:$E$300,$B172)+SUMIFS(Закрытые!$H$5:$H$300,Закрытые!$E$5:$E$300,$B172,Закрытые!$B$5:$B$300,"L-*"))</f>
        <v/>
      </c>
      <c r="F172" s="246" t="str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 t="str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 t="str">
        <f>IF(F172="","",SUMIFS(Лэндинг!$K$5:$K$300,Лэндинг!$E$5:$E$300,$B172)+SUMIFS(Закрытые!$K$5:$K$300,Закрытые!$E$5:$E$300,$B172,Закрытые!$B$5:$B$300,"L-*"))</f>
        <v/>
      </c>
      <c r="I172" s="246" t="str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 t="str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 t="str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 t="str">
        <f>IF(C173="","",SUMIFS(Лэндинг!$H$5:$H$300,Лэндинг!$E$5:$E$300,$B173)+SUMIFS(Закрытые!$H$5:$H$300,Закрытые!$E$5:$E$300,$B173,Закрытые!$B$5:$B$300,"L-*"))</f>
        <v/>
      </c>
      <c r="F173" s="240" t="str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 t="str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 t="str">
        <f>IF(F173="","",SUMIFS(Лэндинг!$K$5:$K$300,Лэндинг!$E$5:$E$300,$B173)+SUMIFS(Закрытые!$K$5:$K$300,Закрытые!$E$5:$E$300,$B173,Закрытые!$B$5:$B$300,"L-*"))</f>
        <v/>
      </c>
      <c r="I173" s="240" t="str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 t="str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 t="str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 t="str">
        <f>IF(C174="","",SUMIFS(Лэндинг!$H$5:$H$300,Лэндинг!$E$5:$E$300,$B174)+SUMIFS(Закрытые!$H$5:$H$300,Закрытые!$E$5:$E$300,$B174,Закрытые!$B$5:$B$300,"L-*"))</f>
        <v/>
      </c>
      <c r="F174" s="246" t="str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 t="str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 t="str">
        <f>IF(F174="","",SUMIFS(Лэндинг!$K$5:$K$300,Лэндинг!$E$5:$E$300,$B174)+SUMIFS(Закрытые!$K$5:$K$300,Закрытые!$E$5:$E$300,$B174,Закрытые!$B$5:$B$300,"L-*"))</f>
        <v/>
      </c>
      <c r="I174" s="246" t="str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 t="str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 t="str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 t="str">
        <f>IF(C175="","",SUMIFS(Лэндинг!$H$5:$H$300,Лэндинг!$E$5:$E$300,$B175)+SUMIFS(Закрытые!$H$5:$H$300,Закрытые!$E$5:$E$300,$B175,Закрытые!$B$5:$B$300,"L-*"))</f>
        <v/>
      </c>
      <c r="F175" s="240" t="str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 t="str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 t="str">
        <f>IF(F175="","",SUMIFS(Лэндинг!$K$5:$K$300,Лэндинг!$E$5:$E$300,$B175)+SUMIFS(Закрытые!$K$5:$K$300,Закрытые!$E$5:$E$300,$B175,Закрытые!$B$5:$B$300,"L-*"))</f>
        <v/>
      </c>
      <c r="I175" s="240" t="str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 t="str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 t="str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 t="str">
        <f>IF(C176="","",SUMIFS(Лэндинг!$H$5:$H$300,Лэндинг!$E$5:$E$300,$B176)+SUMIFS(Закрытые!$H$5:$H$300,Закрытые!$E$5:$E$300,$B176,Закрытые!$B$5:$B$300,"L-*"))</f>
        <v/>
      </c>
      <c r="F176" s="246" t="str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 t="str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 t="str">
        <f>IF(F176="","",SUMIFS(Лэндинг!$K$5:$K$300,Лэндинг!$E$5:$E$300,$B176)+SUMIFS(Закрытые!$K$5:$K$300,Закрытые!$E$5:$E$300,$B176,Закрытые!$B$5:$B$300,"L-*"))</f>
        <v/>
      </c>
      <c r="I176" s="246" t="str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 t="str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 t="str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 t="str">
        <f>IF(C177="","",SUMIFS(Лэндинг!$H$5:$H$300,Лэндинг!$E$5:$E$300,$B177)+SUMIFS(Закрытые!$H$5:$H$300,Закрытые!$E$5:$E$300,$B177,Закрытые!$B$5:$B$300,"L-*"))</f>
        <v/>
      </c>
      <c r="F177" s="240" t="str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 t="str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 t="str">
        <f>IF(F177="","",SUMIFS(Лэндинг!$K$5:$K$300,Лэндинг!$E$5:$E$300,$B177)+SUMIFS(Закрытые!$K$5:$K$300,Закрытые!$E$5:$E$300,$B177,Закрытые!$B$5:$B$300,"L-*"))</f>
        <v/>
      </c>
      <c r="I177" s="240" t="str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 t="str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 t="str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 t="str">
        <f>IF(C178="","",SUMIFS(Лэндинг!$H$5:$H$300,Лэндинг!$E$5:$E$300,$B178)+SUMIFS(Закрытые!$H$5:$H$300,Закрытые!$E$5:$E$300,$B178,Закрытые!$B$5:$B$300,"L-*"))</f>
        <v/>
      </c>
      <c r="F178" s="246" t="str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 t="str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 t="str">
        <f>IF(F178="","",SUMIFS(Лэндинг!$K$5:$K$300,Лэндинг!$E$5:$E$300,$B178)+SUMIFS(Закрытые!$K$5:$K$300,Закрытые!$E$5:$E$300,$B178,Закрытые!$B$5:$B$300,"L-*"))</f>
        <v/>
      </c>
      <c r="I178" s="246" t="str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 t="str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 t="str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 t="str">
        <f>IF(C179="","",SUMIFS(Лэндинг!$H$5:$H$300,Лэндинг!$E$5:$E$300,$B179)+SUMIFS(Закрытые!$H$5:$H$300,Закрытые!$E$5:$E$300,$B179,Закрытые!$B$5:$B$300,"L-*"))</f>
        <v/>
      </c>
      <c r="F179" s="240" t="str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 t="str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 t="str">
        <f>IF(F179="","",SUMIFS(Лэндинг!$K$5:$K$300,Лэндинг!$E$5:$E$300,$B179)+SUMIFS(Закрытые!$K$5:$K$300,Закрытые!$E$5:$E$300,$B179,Закрытые!$B$5:$B$300,"L-*"))</f>
        <v/>
      </c>
      <c r="I179" s="240" t="str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 t="str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 t="str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 t="str">
        <f>IF(C180="","",SUMIFS(Лэндинг!$H$5:$H$300,Лэндинг!$E$5:$E$300,$B180)+SUMIFS(Закрытые!$H$5:$H$300,Закрытые!$E$5:$E$300,$B180,Закрытые!$B$5:$B$300,"L-*"))</f>
        <v/>
      </c>
      <c r="F180" s="246" t="str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 t="str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 t="str">
        <f>IF(F180="","",SUMIFS(Лэндинг!$K$5:$K$300,Лэндинг!$E$5:$E$300,$B180)+SUMIFS(Закрытые!$K$5:$K$300,Закрытые!$E$5:$E$300,$B180,Закрытые!$B$5:$B$300,"L-*"))</f>
        <v/>
      </c>
      <c r="I180" s="246" t="str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 t="str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 t="str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 t="str">
        <f>IF(C181="","",SUMIFS(Лэндинг!$H$5:$H$300,Лэндинг!$E$5:$E$300,$B181)+SUMIFS(Закрытые!$H$5:$H$300,Закрытые!$E$5:$E$300,$B181,Закрытые!$B$5:$B$300,"L-*"))</f>
        <v/>
      </c>
      <c r="F181" s="240" t="str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 t="str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 t="str">
        <f>IF(F181="","",SUMIFS(Лэндинг!$K$5:$K$300,Лэндинг!$E$5:$E$300,$B181)+SUMIFS(Закрытые!$K$5:$K$300,Закрытые!$E$5:$E$300,$B181,Закрытые!$B$5:$B$300,"L-*"))</f>
        <v/>
      </c>
      <c r="I181" s="240" t="str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 t="str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 t="str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 t="str">
        <f>IF(C182="","",SUMIFS(Лэндинг!$H$5:$H$300,Лэндинг!$E$5:$E$300,$B182)+SUMIFS(Закрытые!$H$5:$H$300,Закрытые!$E$5:$E$300,$B182,Закрытые!$B$5:$B$300,"L-*"))</f>
        <v/>
      </c>
      <c r="F182" s="246" t="str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 t="str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 t="str">
        <f>IF(F182="","",SUMIFS(Лэндинг!$K$5:$K$300,Лэндинг!$E$5:$E$300,$B182)+SUMIFS(Закрытые!$K$5:$K$300,Закрытые!$E$5:$E$300,$B182,Закрытые!$B$5:$B$300,"L-*"))</f>
        <v/>
      </c>
      <c r="I182" s="246" t="str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 t="str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 t="str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 t="str">
        <f>IF(C183="","",SUMIFS(Лэндинг!$H$5:$H$300,Лэндинг!$E$5:$E$300,$B183)+SUMIFS(Закрытые!$H$5:$H$300,Закрытые!$E$5:$E$300,$B183,Закрытые!$B$5:$B$300,"L-*"))</f>
        <v/>
      </c>
      <c r="F183" s="240" t="str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 t="str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 t="str">
        <f>IF(F183="","",SUMIFS(Лэндинг!$K$5:$K$300,Лэндинг!$E$5:$E$300,$B183)+SUMIFS(Закрытые!$K$5:$K$300,Закрытые!$E$5:$E$300,$B183,Закрытые!$B$5:$B$300,"L-*"))</f>
        <v/>
      </c>
      <c r="I183" s="240" t="str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 t="str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 t="str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 t="str">
        <f>IF(C184="","",SUMIFS(Лэндинг!$H$5:$H$300,Лэндинг!$E$5:$E$300,$B184)+SUMIFS(Закрытые!$H$5:$H$300,Закрытые!$E$5:$E$300,$B184,Закрытые!$B$5:$B$300,"L-*"))</f>
        <v/>
      </c>
      <c r="F184" s="246" t="str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 t="str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 t="str">
        <f>IF(F184="","",SUMIFS(Лэндинг!$K$5:$K$300,Лэндинг!$E$5:$E$300,$B184)+SUMIFS(Закрытые!$K$5:$K$300,Закрытые!$E$5:$E$300,$B184,Закрытые!$B$5:$B$300,"L-*"))</f>
        <v/>
      </c>
      <c r="I184" s="246" t="str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 t="str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 t="str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 t="str">
        <f>IF(C185="","",SUMIFS(Лэндинг!$H$5:$H$300,Лэндинг!$E$5:$E$300,$B185)+SUMIFS(Закрытые!$H$5:$H$300,Закрытые!$E$5:$E$300,$B185,Закрытые!$B$5:$B$300,"L-*"))</f>
        <v/>
      </c>
      <c r="F185" s="240" t="str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 t="str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 t="str">
        <f>IF(F185="","",SUMIFS(Лэндинг!$K$5:$K$300,Лэндинг!$E$5:$E$300,$B185)+SUMIFS(Закрытые!$K$5:$K$300,Закрытые!$E$5:$E$300,$B185,Закрытые!$B$5:$B$300,"L-*"))</f>
        <v/>
      </c>
      <c r="I185" s="240" t="str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 t="str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 t="str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 t="str">
        <f>IF(C186="","",SUMIFS(Лэндинг!$H$5:$H$300,Лэндинг!$E$5:$E$300,$B186)+SUMIFS(Закрытые!$H$5:$H$300,Закрытые!$E$5:$E$300,$B186,Закрытые!$B$5:$B$300,"L-*"))</f>
        <v/>
      </c>
      <c r="F186" s="246" t="str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 t="str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 t="str">
        <f>IF(F186="","",SUMIFS(Лэндинг!$K$5:$K$300,Лэндинг!$E$5:$E$300,$B186)+SUMIFS(Закрытые!$K$5:$K$300,Закрытые!$E$5:$E$300,$B186,Закрытые!$B$5:$B$300,"L-*"))</f>
        <v/>
      </c>
      <c r="I186" s="246" t="str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 t="str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 t="str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 t="str">
        <f>IF(C187="","",SUMIFS(Лэндинг!$H$5:$H$300,Лэндинг!$E$5:$E$300,$B187)+SUMIFS(Закрытые!$H$5:$H$300,Закрытые!$E$5:$E$300,$B187,Закрытые!$B$5:$B$300,"L-*"))</f>
        <v/>
      </c>
      <c r="F187" s="240" t="str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 t="str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 t="str">
        <f>IF(F187="","",SUMIFS(Лэндинг!$K$5:$K$300,Лэндинг!$E$5:$E$300,$B187)+SUMIFS(Закрытые!$K$5:$K$300,Закрытые!$E$5:$E$300,$B187,Закрытые!$B$5:$B$300,"L-*"))</f>
        <v/>
      </c>
      <c r="I187" s="240" t="str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 t="str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 t="str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 t="str">
        <f>IF(C188="","",SUMIFS(Лэндинг!$H$5:$H$300,Лэндинг!$E$5:$E$300,$B188)+SUMIFS(Закрытые!$H$5:$H$300,Закрытые!$E$5:$E$300,$B188,Закрытые!$B$5:$B$300,"L-*"))</f>
        <v/>
      </c>
      <c r="F188" s="246" t="str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 t="str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 t="str">
        <f>IF(F188="","",SUMIFS(Лэндинг!$K$5:$K$300,Лэндинг!$E$5:$E$300,$B188)+SUMIFS(Закрытые!$K$5:$K$300,Закрытые!$E$5:$E$300,$B188,Закрытые!$B$5:$B$300,"L-*"))</f>
        <v/>
      </c>
      <c r="I188" s="246" t="str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 t="str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 t="str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 t="str">
        <f>IF(C189="","",SUMIFS(Лэндинг!$H$5:$H$300,Лэндинг!$E$5:$E$300,$B189)+SUMIFS(Закрытые!$H$5:$H$300,Закрытые!$E$5:$E$300,$B189,Закрытые!$B$5:$B$300,"L-*"))</f>
        <v/>
      </c>
      <c r="F189" s="240" t="str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 t="str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 t="str">
        <f>IF(F189="","",SUMIFS(Лэндинг!$K$5:$K$300,Лэндинг!$E$5:$E$300,$B189)+SUMIFS(Закрытые!$K$5:$K$300,Закрытые!$E$5:$E$300,$B189,Закрытые!$B$5:$B$300,"L-*"))</f>
        <v/>
      </c>
      <c r="I189" s="240" t="str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 t="str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 t="str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 t="str">
        <f>IF(C190="","",SUMIFS(Лэндинг!$H$5:$H$300,Лэндинг!$E$5:$E$300,$B190)+SUMIFS(Закрытые!$H$5:$H$300,Закрытые!$E$5:$E$300,$B190,Закрытые!$B$5:$B$300,"L-*"))</f>
        <v/>
      </c>
      <c r="F190" s="246" t="str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 t="str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 t="str">
        <f>IF(F190="","",SUMIFS(Лэндинг!$K$5:$K$300,Лэндинг!$E$5:$E$300,$B190)+SUMIFS(Закрытые!$K$5:$K$300,Закрытые!$E$5:$E$300,$B190,Закрытые!$B$5:$B$300,"L-*"))</f>
        <v/>
      </c>
      <c r="I190" s="246" t="str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 t="str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 t="str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 t="str">
        <f>IF(C191="","",SUMIFS(Лэндинг!$H$5:$H$300,Лэндинг!$E$5:$E$300,$B191)+SUMIFS(Закрытые!$H$5:$H$300,Закрытые!$E$5:$E$300,$B191,Закрытые!$B$5:$B$300,"L-*"))</f>
        <v/>
      </c>
      <c r="F191" s="240" t="str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 t="str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 t="str">
        <f>IF(F191="","",SUMIFS(Лэндинг!$K$5:$K$300,Лэндинг!$E$5:$E$300,$B191)+SUMIFS(Закрытые!$K$5:$K$300,Закрытые!$E$5:$E$300,$B191,Закрытые!$B$5:$B$300,"L-*"))</f>
        <v/>
      </c>
      <c r="I191" s="240" t="str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 t="str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 t="str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 t="str">
        <f>IF(C192="","",SUMIFS(Лэндинг!$H$5:$H$300,Лэндинг!$E$5:$E$300,$B192)+SUMIFS(Закрытые!$H$5:$H$300,Закрытые!$E$5:$E$300,$B192,Закрытые!$B$5:$B$300,"L-*"))</f>
        <v/>
      </c>
      <c r="F192" s="246" t="str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 t="str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 t="str">
        <f>IF(F192="","",SUMIFS(Лэндинг!$K$5:$K$300,Лэндинг!$E$5:$E$300,$B192)+SUMIFS(Закрытые!$K$5:$K$300,Закрытые!$E$5:$E$300,$B192,Закрытые!$B$5:$B$300,"L-*"))</f>
        <v/>
      </c>
      <c r="I192" s="246" t="str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 t="str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 t="str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 t="str">
        <f>IF(C193="","",SUMIFS(Лэндинг!$H$5:$H$300,Лэндинг!$E$5:$E$300,$B193)+SUMIFS(Закрытые!$H$5:$H$300,Закрытые!$E$5:$E$300,$B193,Закрытые!$B$5:$B$300,"L-*"))</f>
        <v/>
      </c>
      <c r="F193" s="240" t="str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 t="str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 t="str">
        <f>IF(F193="","",SUMIFS(Лэндинг!$K$5:$K$300,Лэндинг!$E$5:$E$300,$B193)+SUMIFS(Закрытые!$K$5:$K$300,Закрытые!$E$5:$E$300,$B193,Закрытые!$B$5:$B$300,"L-*"))</f>
        <v/>
      </c>
      <c r="I193" s="240" t="str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 t="str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 t="str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 t="str">
        <f>IF(C194="","",SUMIFS(Лэндинг!$H$5:$H$300,Лэндинг!$E$5:$E$300,$B194)+SUMIFS(Закрытые!$H$5:$H$300,Закрытые!$E$5:$E$300,$B194,Закрытые!$B$5:$B$300,"L-*"))</f>
        <v/>
      </c>
      <c r="F194" s="246" t="str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 t="str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 t="str">
        <f>IF(F194="","",SUMIFS(Лэндинг!$K$5:$K$300,Лэндинг!$E$5:$E$300,$B194)+SUMIFS(Закрытые!$K$5:$K$300,Закрытые!$E$5:$E$300,$B194,Закрытые!$B$5:$B$300,"L-*"))</f>
        <v/>
      </c>
      <c r="I194" s="246" t="str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 t="str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 t="str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 t="str">
        <f>IF(C195="","",SUMIFS(Лэндинг!$H$5:$H$300,Лэндинг!$E$5:$E$300,$B195)+SUMIFS(Закрытые!$H$5:$H$300,Закрытые!$E$5:$E$300,$B195,Закрытые!$B$5:$B$300,"L-*"))</f>
        <v/>
      </c>
      <c r="F195" s="240" t="str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 t="str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 t="str">
        <f>IF(F195="","",SUMIFS(Лэндинг!$K$5:$K$300,Лэндинг!$E$5:$E$300,$B195)+SUMIFS(Закрытые!$K$5:$K$300,Закрытые!$E$5:$E$300,$B195,Закрытые!$B$5:$B$300,"L-*"))</f>
        <v/>
      </c>
      <c r="I195" s="240" t="str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 t="str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 t="str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 t="str">
        <f>IF(C196="","",SUMIFS(Лэндинг!$H$5:$H$300,Лэндинг!$E$5:$E$300,$B196)+SUMIFS(Закрытые!$H$5:$H$300,Закрытые!$E$5:$E$300,$B196,Закрытые!$B$5:$B$300,"L-*"))</f>
        <v/>
      </c>
      <c r="F196" s="246" t="str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 t="str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 t="str">
        <f>IF(F196="","",SUMIFS(Лэндинг!$K$5:$K$300,Лэндинг!$E$5:$E$300,$B196)+SUMIFS(Закрытые!$K$5:$K$300,Закрытые!$E$5:$E$300,$B196,Закрытые!$B$5:$B$300,"L-*"))</f>
        <v/>
      </c>
      <c r="I196" s="246" t="str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 t="str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 t="str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 t="str">
        <f>IF(C197="","",SUMIFS(Лэндинг!$H$5:$H$300,Лэндинг!$E$5:$E$300,$B197)+SUMIFS(Закрытые!$H$5:$H$300,Закрытые!$E$5:$E$300,$B197,Закрытые!$B$5:$B$300,"L-*"))</f>
        <v/>
      </c>
      <c r="F197" s="240" t="str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 t="str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 t="str">
        <f>IF(F197="","",SUMIFS(Лэндинг!$K$5:$K$300,Лэндинг!$E$5:$E$300,$B197)+SUMIFS(Закрытые!$K$5:$K$300,Закрытые!$E$5:$E$300,$B197,Закрытые!$B$5:$B$300,"L-*"))</f>
        <v/>
      </c>
      <c r="I197" s="240" t="str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 t="str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 t="str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 t="str">
        <f>IF(C198="","",SUMIFS(Лэндинг!$H$5:$H$300,Лэндинг!$E$5:$E$300,$B198)+SUMIFS(Закрытые!$H$5:$H$300,Закрытые!$E$5:$E$300,$B198,Закрытые!$B$5:$B$300,"L-*"))</f>
        <v/>
      </c>
      <c r="F198" s="246" t="str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 t="str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 t="str">
        <f>IF(F198="","",SUMIFS(Лэндинг!$K$5:$K$300,Лэндинг!$E$5:$E$300,$B198)+SUMIFS(Закрытые!$K$5:$K$300,Закрытые!$E$5:$E$300,$B198,Закрытые!$B$5:$B$300,"L-*"))</f>
        <v/>
      </c>
      <c r="I198" s="246" t="str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 t="str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 t="str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 t="str">
        <f>IF(C199="","",SUMIFS(Лэндинг!$H$5:$H$300,Лэндинг!$E$5:$E$300,$B199)+SUMIFS(Закрытые!$H$5:$H$300,Закрытые!$E$5:$E$300,$B199,Закрытые!$B$5:$B$300,"L-*"))</f>
        <v/>
      </c>
      <c r="F199" s="240" t="str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 t="str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 t="str">
        <f>IF(F199="","",SUMIFS(Лэндинг!$K$5:$K$300,Лэндинг!$E$5:$E$300,$B199)+SUMIFS(Закрытые!$K$5:$K$300,Закрытые!$E$5:$E$300,$B199,Закрытые!$B$5:$B$300,"L-*"))</f>
        <v/>
      </c>
      <c r="I199" s="240" t="str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 t="str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 t="str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 t="str">
        <f>IF(C200="","",SUMIFS(Лэндинг!$H$5:$H$300,Лэндинг!$E$5:$E$300,$B200)+SUMIFS(Закрытые!$H$5:$H$300,Закрытые!$E$5:$E$300,$B200,Закрытые!$B$5:$B$300,"L-*"))</f>
        <v/>
      </c>
      <c r="F200" s="246" t="str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 t="str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 t="str">
        <f>IF(F200="","",SUMIFS(Лэндинг!$K$5:$K$300,Лэндинг!$E$5:$E$300,$B200)+SUMIFS(Закрытые!$K$5:$K$300,Закрытые!$E$5:$E$300,$B200,Закрытые!$B$5:$B$300,"L-*"))</f>
        <v/>
      </c>
      <c r="I200" s="246" t="str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 t="str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 t="str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 t="str">
        <f>IF(C201="","",SUMIFS(Лэндинг!$H$5:$H$300,Лэндинг!$E$5:$E$300,$B201)+SUMIFS(Закрытые!$H$5:$H$300,Закрытые!$E$5:$E$300,$B201,Закрытые!$B$5:$B$300,"L-*"))</f>
        <v/>
      </c>
      <c r="F201" s="240" t="str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 t="str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 t="str">
        <f>IF(F201="","",SUMIFS(Лэндинг!$K$5:$K$300,Лэндинг!$E$5:$E$300,$B201)+SUMIFS(Закрытые!$K$5:$K$300,Закрытые!$E$5:$E$300,$B201,Закрытые!$B$5:$B$300,"L-*"))</f>
        <v/>
      </c>
      <c r="I201" s="240" t="str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 t="str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 t="str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 t="str">
        <f>IF(C202="","",SUMIFS(Лэндинг!$H$5:$H$300,Лэндинг!$E$5:$E$300,$B202)+SUMIFS(Закрытые!$H$5:$H$300,Закрытые!$E$5:$E$300,$B202,Закрытые!$B$5:$B$300,"L-*"))</f>
        <v/>
      </c>
      <c r="F202" s="246" t="str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 t="str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 t="str">
        <f>IF(F202="","",SUMIFS(Лэндинг!$K$5:$K$300,Лэндинг!$E$5:$E$300,$B202)+SUMIFS(Закрытые!$K$5:$K$300,Закрытые!$E$5:$E$300,$B202,Закрытые!$B$5:$B$300,"L-*"))</f>
        <v/>
      </c>
      <c r="I202" s="246" t="str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 t="str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 t="str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 t="str">
        <f>IF(C203="","",SUMIFS(Лэндинг!$H$5:$H$300,Лэндинг!$E$5:$E$300,$B203)+SUMIFS(Закрытые!$H$5:$H$300,Закрытые!$E$5:$E$300,$B203,Закрытые!$B$5:$B$300,"L-*"))</f>
        <v/>
      </c>
      <c r="F203" s="240" t="str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 t="str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 t="str">
        <f>IF(F203="","",SUMIFS(Лэндинг!$K$5:$K$300,Лэндинг!$E$5:$E$300,$B203)+SUMIFS(Закрытые!$K$5:$K$300,Закрытые!$E$5:$E$300,$B203,Закрытые!$B$5:$B$300,"L-*"))</f>
        <v/>
      </c>
      <c r="I203" s="240" t="str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 t="str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 t="str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 t="str">
        <f>IF(C204="","",SUMIFS(Лэндинг!$H$5:$H$300,Лэндинг!$E$5:$E$300,$B204)+SUMIFS(Закрытые!$H$5:$H$300,Закрытые!$E$5:$E$300,$B204,Закрытые!$B$5:$B$300,"L-*"))</f>
        <v/>
      </c>
      <c r="F204" s="246" t="str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 t="str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 t="str">
        <f>IF(F204="","",SUMIFS(Лэндинг!$K$5:$K$300,Лэндинг!$E$5:$E$300,$B204)+SUMIFS(Закрытые!$K$5:$K$300,Закрытые!$E$5:$E$300,$B204,Закрытые!$B$5:$B$300,"L-*"))</f>
        <v/>
      </c>
      <c r="I204" s="246" t="str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 t="str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 t="str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 t="str">
        <f>IF(C205="","",SUMIFS(Лэндинг!$H$5:$H$300,Лэндинг!$E$5:$E$300,$B205)+SUMIFS(Закрытые!$H$5:$H$300,Закрытые!$E$5:$E$300,$B205,Закрытые!$B$5:$B$300,"L-*"))</f>
        <v/>
      </c>
      <c r="F205" s="240" t="str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 t="str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 t="str">
        <f>IF(F205="","",SUMIFS(Лэндинг!$K$5:$K$300,Лэндинг!$E$5:$E$300,$B205)+SUMIFS(Закрытые!$K$5:$K$300,Закрытые!$E$5:$E$300,$B205,Закрытые!$B$5:$B$300,"L-*"))</f>
        <v/>
      </c>
      <c r="I205" s="240" t="str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 t="str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 t="str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 t="str">
        <f>IF(C206="","",SUMIFS(Лэндинг!$H$5:$H$300,Лэндинг!$E$5:$E$300,$B206)+SUMIFS(Закрытые!$H$5:$H$300,Закрытые!$E$5:$E$300,$B206,Закрытые!$B$5:$B$300,"L-*"))</f>
        <v/>
      </c>
      <c r="F206" s="246" t="str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 t="str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 t="str">
        <f>IF(F206="","",SUMIFS(Лэндинг!$K$5:$K$300,Лэндинг!$E$5:$E$300,$B206)+SUMIFS(Закрытые!$K$5:$K$300,Закрытые!$E$5:$E$300,$B206,Закрытые!$B$5:$B$300,"L-*"))</f>
        <v/>
      </c>
      <c r="I206" s="246" t="str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 t="str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 t="str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 t="str">
        <f>IF(C207="","",SUMIFS(Лэндинг!$H$5:$H$300,Лэндинг!$E$5:$E$300,$B207)+SUMIFS(Закрытые!$H$5:$H$300,Закрытые!$E$5:$E$300,$B207,Закрытые!$B$5:$B$300,"L-*"))</f>
        <v/>
      </c>
      <c r="F207" s="240" t="str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 t="str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 t="str">
        <f>IF(F207="","",SUMIFS(Лэндинг!$K$5:$K$300,Лэндинг!$E$5:$E$300,$B207)+SUMIFS(Закрытые!$K$5:$K$300,Закрытые!$E$5:$E$300,$B207,Закрытые!$B$5:$B$300,"L-*"))</f>
        <v/>
      </c>
      <c r="I207" s="240" t="str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 t="str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 t="str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 t="str">
        <f>IF(C208="","",SUMIFS(Лэндинг!$H$5:$H$300,Лэндинг!$E$5:$E$300,$B208)+SUMIFS(Закрытые!$H$5:$H$300,Закрытые!$E$5:$E$300,$B208,Закрытые!$B$5:$B$300,"L-*"))</f>
        <v/>
      </c>
      <c r="F208" s="246" t="str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 t="str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 t="str">
        <f>IF(F208="","",SUMIFS(Лэндинг!$K$5:$K$300,Лэндинг!$E$5:$E$300,$B208)+SUMIFS(Закрытые!$K$5:$K$300,Закрытые!$E$5:$E$300,$B208,Закрытые!$B$5:$B$300,"L-*"))</f>
        <v/>
      </c>
      <c r="I208" s="246" t="str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 t="str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 t="str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 t="str">
        <f>IF(C209="","",SUMIFS(Лэндинг!$H$5:$H$300,Лэндинг!$E$5:$E$300,$B209)+SUMIFS(Закрытые!$H$5:$H$300,Закрытые!$E$5:$E$300,$B209,Закрытые!$B$5:$B$300,"L-*"))</f>
        <v/>
      </c>
      <c r="F209" s="240" t="str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 t="str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 t="str">
        <f>IF(F209="","",SUMIFS(Лэндинг!$K$5:$K$300,Лэндинг!$E$5:$E$300,$B209)+SUMIFS(Закрытые!$K$5:$K$300,Закрытые!$E$5:$E$300,$B209,Закрытые!$B$5:$B$300,"L-*"))</f>
        <v/>
      </c>
      <c r="I209" s="240" t="str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 t="str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 t="str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 t="str">
        <f>IF(C210="","",SUMIFS(Лэндинг!$H$5:$H$300,Лэндинг!$E$5:$E$300,$B210)+SUMIFS(Закрытые!$H$5:$H$300,Закрытые!$E$5:$E$300,$B210,Закрытые!$B$5:$B$300,"L-*"))</f>
        <v/>
      </c>
      <c r="F210" s="246" t="str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 t="str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 t="str">
        <f>IF(F210="","",SUMIFS(Лэндинг!$K$5:$K$300,Лэндинг!$E$5:$E$300,$B210)+SUMIFS(Закрытые!$K$5:$K$300,Закрытые!$E$5:$E$300,$B210,Закрытые!$B$5:$B$300,"L-*"))</f>
        <v/>
      </c>
      <c r="I210" s="246" t="str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 t="str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 t="str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 t="str">
        <f>IF(C211="","",SUMIFS(Лэндинг!$H$5:$H$300,Лэндинг!$E$5:$E$300,$B211)+SUMIFS(Закрытые!$H$5:$H$300,Закрытые!$E$5:$E$300,$B211,Закрытые!$B$5:$B$300,"L-*"))</f>
        <v/>
      </c>
      <c r="F211" s="240" t="str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 t="str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 t="str">
        <f>IF(F211="","",SUMIFS(Лэндинг!$K$5:$K$300,Лэндинг!$E$5:$E$300,$B211)+SUMIFS(Закрытые!$K$5:$K$300,Закрытые!$E$5:$E$300,$B211,Закрытые!$B$5:$B$300,"L-*"))</f>
        <v/>
      </c>
      <c r="I211" s="240" t="str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 t="str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 t="str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 t="str">
        <f>IF(C212="","",SUMIFS(Лэндинг!$H$5:$H$300,Лэндинг!$E$5:$E$300,$B212)+SUMIFS(Закрытые!$H$5:$H$300,Закрытые!$E$5:$E$300,$B212,Закрытые!$B$5:$B$300,"L-*"))</f>
        <v/>
      </c>
      <c r="F212" s="246" t="str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 t="str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 t="str">
        <f>IF(F212="","",SUMIFS(Лэндинг!$K$5:$K$300,Лэндинг!$E$5:$E$300,$B212)+SUMIFS(Закрытые!$K$5:$K$300,Закрытые!$E$5:$E$300,$B212,Закрытые!$B$5:$B$300,"L-*"))</f>
        <v/>
      </c>
      <c r="I212" s="246" t="str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 t="str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 t="str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 t="str">
        <f>IF(C213="","",SUMIFS(Лэндинг!$H$5:$H$300,Лэндинг!$E$5:$E$300,$B213)+SUMIFS(Закрытые!$H$5:$H$300,Закрытые!$E$5:$E$300,$B213,Закрытые!$B$5:$B$300,"L-*"))</f>
        <v/>
      </c>
      <c r="F213" s="240" t="str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 t="str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 t="str">
        <f>IF(F213="","",SUMIFS(Лэндинг!$K$5:$K$300,Лэндинг!$E$5:$E$300,$B213)+SUMIFS(Закрытые!$K$5:$K$300,Закрытые!$E$5:$E$300,$B213,Закрытые!$B$5:$B$300,"L-*"))</f>
        <v/>
      </c>
      <c r="I213" s="240" t="str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 t="str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 t="str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 t="str">
        <f>IF(C214="","",SUMIFS(Лэндинг!$H$5:$H$300,Лэндинг!$E$5:$E$300,$B214)+SUMIFS(Закрытые!$H$5:$H$300,Закрытые!$E$5:$E$300,$B214,Закрытые!$B$5:$B$300,"L-*"))</f>
        <v/>
      </c>
      <c r="F214" s="246" t="str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 t="str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 t="str">
        <f>IF(F214="","",SUMIFS(Лэндинг!$K$5:$K$300,Лэндинг!$E$5:$E$300,$B214)+SUMIFS(Закрытые!$K$5:$K$300,Закрытые!$E$5:$E$300,$B214,Закрытые!$B$5:$B$300,"L-*"))</f>
        <v/>
      </c>
      <c r="I214" s="246" t="str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 t="str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 t="str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 t="str">
        <f>IF(C215="","",SUMIFS(Лэндинг!$H$5:$H$300,Лэндинг!$E$5:$E$300,$B215)+SUMIFS(Закрытые!$H$5:$H$300,Закрытые!$E$5:$E$300,$B215,Закрытые!$B$5:$B$300,"L-*"))</f>
        <v/>
      </c>
      <c r="F215" s="240" t="str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 t="str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 t="str">
        <f>IF(F215="","",SUMIFS(Лэндинг!$K$5:$K$300,Лэндинг!$E$5:$E$300,$B215)+SUMIFS(Закрытые!$K$5:$K$300,Закрытые!$E$5:$E$300,$B215,Закрытые!$B$5:$B$300,"L-*"))</f>
        <v/>
      </c>
      <c r="I215" s="240" t="str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 t="str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 t="str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 t="str">
        <f>IF(C216="","",SUMIFS(Лэндинг!$H$5:$H$300,Лэндинг!$E$5:$E$300,$B216)+SUMIFS(Закрытые!$H$5:$H$300,Закрытые!$E$5:$E$300,$B216,Закрытые!$B$5:$B$300,"L-*"))</f>
        <v/>
      </c>
      <c r="F216" s="246" t="str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 t="str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 t="str">
        <f>IF(F216="","",SUMIFS(Лэндинг!$K$5:$K$300,Лэндинг!$E$5:$E$300,$B216)+SUMIFS(Закрытые!$K$5:$K$300,Закрытые!$E$5:$E$300,$B216,Закрытые!$B$5:$B$300,"L-*"))</f>
        <v/>
      </c>
      <c r="I216" s="246" t="str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 t="str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 t="str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 t="str">
        <f>IF(C217="","",SUMIFS(Лэндинг!$H$5:$H$300,Лэндинг!$E$5:$E$300,$B217)+SUMIFS(Закрытые!$H$5:$H$300,Закрытые!$E$5:$E$300,$B217,Закрытые!$B$5:$B$300,"L-*"))</f>
        <v/>
      </c>
      <c r="F217" s="240" t="str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 t="str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 t="str">
        <f>IF(F217="","",SUMIFS(Лэндинг!$K$5:$K$300,Лэндинг!$E$5:$E$300,$B217)+SUMIFS(Закрытые!$K$5:$K$300,Закрытые!$E$5:$E$300,$B217,Закрытые!$B$5:$B$300,"L-*"))</f>
        <v/>
      </c>
      <c r="I217" s="240" t="str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 t="str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 t="str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 t="str">
        <f>IF(C218="","",SUMIFS(Лэндинг!$H$5:$H$300,Лэндинг!$E$5:$E$300,$B218)+SUMIFS(Закрытые!$H$5:$H$300,Закрытые!$E$5:$E$300,$B218,Закрытые!$B$5:$B$300,"L-*"))</f>
        <v/>
      </c>
      <c r="F218" s="246" t="str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 t="str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 t="str">
        <f>IF(F218="","",SUMIFS(Лэндинг!$K$5:$K$300,Лэндинг!$E$5:$E$300,$B218)+SUMIFS(Закрытые!$K$5:$K$300,Закрытые!$E$5:$E$300,$B218,Закрытые!$B$5:$B$300,"L-*"))</f>
        <v/>
      </c>
      <c r="I218" s="246" t="str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 t="str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 t="str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 t="str">
        <f>IF(C219="","",SUMIFS(Лэндинг!$H$5:$H$300,Лэндинг!$E$5:$E$300,$B219)+SUMIFS(Закрытые!$H$5:$H$300,Закрытые!$E$5:$E$300,$B219,Закрытые!$B$5:$B$300,"L-*"))</f>
        <v/>
      </c>
      <c r="F219" s="240" t="str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 t="str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 t="str">
        <f>IF(F219="","",SUMIFS(Лэндинг!$K$5:$K$300,Лэндинг!$E$5:$E$300,$B219)+SUMIFS(Закрытые!$K$5:$K$300,Закрытые!$E$5:$E$300,$B219,Закрытые!$B$5:$B$300,"L-*"))</f>
        <v/>
      </c>
      <c r="I219" s="240" t="str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 t="str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 t="str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 t="str">
        <f>IF(C220="","",SUMIFS(Лэндинг!$H$5:$H$300,Лэндинг!$E$5:$E$300,$B220)+SUMIFS(Закрытые!$H$5:$H$300,Закрытые!$E$5:$E$300,$B220,Закрытые!$B$5:$B$300,"L-*"))</f>
        <v/>
      </c>
      <c r="F220" s="246" t="str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 t="str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 t="str">
        <f>IF(F220="","",SUMIFS(Лэндинг!$K$5:$K$300,Лэндинг!$E$5:$E$300,$B220)+SUMIFS(Закрытые!$K$5:$K$300,Закрытые!$E$5:$E$300,$B220,Закрытые!$B$5:$B$300,"L-*"))</f>
        <v/>
      </c>
      <c r="I220" s="246" t="str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 t="str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 t="str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 t="str">
        <f>IF(C221="","",SUMIFS(Лэндинг!$H$5:$H$300,Лэндинг!$E$5:$E$300,$B221)+SUMIFS(Закрытые!$H$5:$H$300,Закрытые!$E$5:$E$300,$B221,Закрытые!$B$5:$B$300,"L-*"))</f>
        <v/>
      </c>
      <c r="F221" s="240" t="str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 t="str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 t="str">
        <f>IF(F221="","",SUMIFS(Лэндинг!$K$5:$K$300,Лэндинг!$E$5:$E$300,$B221)+SUMIFS(Закрытые!$K$5:$K$300,Закрытые!$E$5:$E$300,$B221,Закрытые!$B$5:$B$300,"L-*"))</f>
        <v/>
      </c>
      <c r="I221" s="240" t="str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 t="str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 t="str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 t="str">
        <f>IF(C222="","",SUMIFS(Лэндинг!$H$5:$H$300,Лэндинг!$E$5:$E$300,$B222)+SUMIFS(Закрытые!$H$5:$H$300,Закрытые!$E$5:$E$300,$B222,Закрытые!$B$5:$B$300,"L-*"))</f>
        <v/>
      </c>
      <c r="F222" s="246" t="str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 t="str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 t="str">
        <f>IF(F222="","",SUMIFS(Лэндинг!$K$5:$K$300,Лэндинг!$E$5:$E$300,$B222)+SUMIFS(Закрытые!$K$5:$K$300,Закрытые!$E$5:$E$300,$B222,Закрытые!$B$5:$B$300,"L-*"))</f>
        <v/>
      </c>
      <c r="I222" s="246" t="str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 t="str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 t="str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 t="str">
        <f>IF(C223="","",SUMIFS(Лэндинг!$H$5:$H$300,Лэндинг!$E$5:$E$300,$B223)+SUMIFS(Закрытые!$H$5:$H$300,Закрытые!$E$5:$E$300,$B223,Закрытые!$B$5:$B$300,"L-*"))</f>
        <v/>
      </c>
      <c r="F223" s="240" t="str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 t="str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 t="str">
        <f>IF(F223="","",SUMIFS(Лэндинг!$K$5:$K$300,Лэндинг!$E$5:$E$300,$B223)+SUMIFS(Закрытые!$K$5:$K$300,Закрытые!$E$5:$E$300,$B223,Закрытые!$B$5:$B$300,"L-*"))</f>
        <v/>
      </c>
      <c r="I223" s="240" t="str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 t="str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 t="str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 t="str">
        <f>IF(C224="","",SUMIFS(Лэндинг!$H$5:$H$300,Лэндинг!$E$5:$E$300,$B224)+SUMIFS(Закрытые!$H$5:$H$300,Закрытые!$E$5:$E$300,$B224,Закрытые!$B$5:$B$300,"L-*"))</f>
        <v/>
      </c>
      <c r="F224" s="246" t="str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 t="str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 t="str">
        <f>IF(F224="","",SUMIFS(Лэндинг!$K$5:$K$300,Лэндинг!$E$5:$E$300,$B224)+SUMIFS(Закрытые!$K$5:$K$300,Закрытые!$E$5:$E$300,$B224,Закрытые!$B$5:$B$300,"L-*"))</f>
        <v/>
      </c>
      <c r="I224" s="246" t="str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 t="str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 t="str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 t="str">
        <f>IF(C225="","",SUMIFS(Лэндинг!$H$5:$H$300,Лэндинг!$E$5:$E$300,$B225)+SUMIFS(Закрытые!$H$5:$H$300,Закрытые!$E$5:$E$300,$B225,Закрытые!$B$5:$B$300,"L-*"))</f>
        <v/>
      </c>
      <c r="F225" s="240" t="str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 t="str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 t="str">
        <f>IF(F225="","",SUMIFS(Лэндинг!$K$5:$K$300,Лэндинг!$E$5:$E$300,$B225)+SUMIFS(Закрытые!$K$5:$K$300,Закрытые!$E$5:$E$300,$B225,Закрытые!$B$5:$B$300,"L-*"))</f>
        <v/>
      </c>
      <c r="I225" s="240" t="str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 t="str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 t="str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 t="str">
        <f>IF(C226="","",SUMIFS(Лэндинг!$H$5:$H$300,Лэндинг!$E$5:$E$300,$B226)+SUMIFS(Закрытые!$H$5:$H$300,Закрытые!$E$5:$E$300,$B226,Закрытые!$B$5:$B$300,"L-*"))</f>
        <v/>
      </c>
      <c r="F226" s="246" t="str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 t="str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 t="str">
        <f>IF(F226="","",SUMIFS(Лэндинг!$K$5:$K$300,Лэндинг!$E$5:$E$300,$B226)+SUMIFS(Закрытые!$K$5:$K$300,Закрытые!$E$5:$E$300,$B226,Закрытые!$B$5:$B$300,"L-*"))</f>
        <v/>
      </c>
      <c r="I226" s="246" t="str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 t="str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 t="str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 t="str">
        <f>IF(C227="","",SUMIFS(Лэндинг!$H$5:$H$300,Лэндинг!$E$5:$E$300,$B227)+SUMIFS(Закрытые!$H$5:$H$300,Закрытые!$E$5:$E$300,$B227,Закрытые!$B$5:$B$300,"L-*"))</f>
        <v/>
      </c>
      <c r="F227" s="240" t="str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 t="str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 t="str">
        <f>IF(F227="","",SUMIFS(Лэндинг!$K$5:$K$300,Лэндинг!$E$5:$E$300,$B227)+SUMIFS(Закрытые!$K$5:$K$300,Закрытые!$E$5:$E$300,$B227,Закрытые!$B$5:$B$300,"L-*"))</f>
        <v/>
      </c>
      <c r="I227" s="240" t="str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 t="str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 t="str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 t="str">
        <f>IF(C228="","",SUMIFS(Лэндинг!$H$5:$H$300,Лэндинг!$E$5:$E$300,$B228)+SUMIFS(Закрытые!$H$5:$H$300,Закрытые!$E$5:$E$300,$B228,Закрытые!$B$5:$B$300,"L-*"))</f>
        <v/>
      </c>
      <c r="F228" s="246" t="str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 t="str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 t="str">
        <f>IF(F228="","",SUMIFS(Лэндинг!$K$5:$K$300,Лэндинг!$E$5:$E$300,$B228)+SUMIFS(Закрытые!$K$5:$K$300,Закрытые!$E$5:$E$300,$B228,Закрытые!$B$5:$B$300,"L-*"))</f>
        <v/>
      </c>
      <c r="I228" s="246" t="str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 t="str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 t="str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 t="str">
        <f>IF(C229="","",SUMIFS(Лэндинг!$H$5:$H$300,Лэндинг!$E$5:$E$300,$B229)+SUMIFS(Закрытые!$H$5:$H$300,Закрытые!$E$5:$E$300,$B229,Закрытые!$B$5:$B$300,"L-*"))</f>
        <v/>
      </c>
      <c r="F229" s="240" t="str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 t="str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 t="str">
        <f>IF(F229="","",SUMIFS(Лэндинг!$K$5:$K$300,Лэндинг!$E$5:$E$300,$B229)+SUMIFS(Закрытые!$K$5:$K$300,Закрытые!$E$5:$E$300,$B229,Закрытые!$B$5:$B$300,"L-*"))</f>
        <v/>
      </c>
      <c r="I229" s="240" t="str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 t="str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 t="str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 t="str">
        <f>IF(C230="","",SUMIFS(Лэндинг!$H$5:$H$300,Лэндинг!$E$5:$E$300,$B230)+SUMIFS(Закрытые!$H$5:$H$300,Закрытые!$E$5:$E$300,$B230,Закрытые!$B$5:$B$300,"L-*"))</f>
        <v/>
      </c>
      <c r="F230" s="246" t="str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 t="str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 t="str">
        <f>IF(F230="","",SUMIFS(Лэндинг!$K$5:$K$300,Лэндинг!$E$5:$E$300,$B230)+SUMIFS(Закрытые!$K$5:$K$300,Закрытые!$E$5:$E$300,$B230,Закрытые!$B$5:$B$300,"L-*"))</f>
        <v/>
      </c>
      <c r="I230" s="246" t="str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 t="str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 t="str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 t="str">
        <f>IF(C231="","",SUMIFS(Лэндинг!$H$5:$H$300,Лэндинг!$E$5:$E$300,$B231)+SUMIFS(Закрытые!$H$5:$H$300,Закрытые!$E$5:$E$300,$B231,Закрытые!$B$5:$B$300,"L-*"))</f>
        <v/>
      </c>
      <c r="F231" s="240" t="str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 t="str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 t="str">
        <f>IF(F231="","",SUMIFS(Лэндинг!$K$5:$K$300,Лэндинг!$E$5:$E$300,$B231)+SUMIFS(Закрытые!$K$5:$K$300,Закрытые!$E$5:$E$300,$B231,Закрытые!$B$5:$B$300,"L-*"))</f>
        <v/>
      </c>
      <c r="I231" s="240" t="str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 t="str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 t="str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 t="str">
        <f>IF(C232="","",SUMIFS(Лэндинг!$H$5:$H$300,Лэндинг!$E$5:$E$300,$B232)+SUMIFS(Закрытые!$H$5:$H$300,Закрытые!$E$5:$E$300,$B232,Закрытые!$B$5:$B$300,"L-*"))</f>
        <v/>
      </c>
      <c r="F232" s="246" t="str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 t="str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 t="str">
        <f>IF(F232="","",SUMIFS(Лэндинг!$K$5:$K$300,Лэндинг!$E$5:$E$300,$B232)+SUMIFS(Закрытые!$K$5:$K$300,Закрытые!$E$5:$E$300,$B232,Закрытые!$B$5:$B$300,"L-*"))</f>
        <v/>
      </c>
      <c r="I232" s="246" t="str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 t="str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 t="str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 t="str">
        <f>IF(C233="","",SUMIFS(Лэндинг!$H$5:$H$300,Лэндинг!$E$5:$E$300,$B233)+SUMIFS(Закрытые!$H$5:$H$300,Закрытые!$E$5:$E$300,$B233,Закрытые!$B$5:$B$300,"L-*"))</f>
        <v/>
      </c>
      <c r="F233" s="240" t="str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 t="str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 t="str">
        <f>IF(F233="","",SUMIFS(Лэндинг!$K$5:$K$300,Лэндинг!$E$5:$E$300,$B233)+SUMIFS(Закрытые!$K$5:$K$300,Закрытые!$E$5:$E$300,$B233,Закрытые!$B$5:$B$300,"L-*"))</f>
        <v/>
      </c>
      <c r="I233" s="240" t="str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 t="str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 t="str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 t="str">
        <f>IF(C234="","",SUMIFS(Лэндинг!$H$5:$H$300,Лэндинг!$E$5:$E$300,$B234)+SUMIFS(Закрытые!$H$5:$H$300,Закрытые!$E$5:$E$300,$B234,Закрытые!$B$5:$B$300,"L-*"))</f>
        <v/>
      </c>
      <c r="F234" s="246" t="str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 t="str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 t="str">
        <f>IF(F234="","",SUMIFS(Лэндинг!$K$5:$K$300,Лэндинг!$E$5:$E$300,$B234)+SUMIFS(Закрытые!$K$5:$K$300,Закрытые!$E$5:$E$300,$B234,Закрытые!$B$5:$B$300,"L-*"))</f>
        <v/>
      </c>
      <c r="I234" s="246" t="str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 t="str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 t="str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 t="str">
        <f>IF(C235="","",SUMIFS(Лэндинг!$H$5:$H$300,Лэндинг!$E$5:$E$300,$B235)+SUMIFS(Закрытые!$H$5:$H$300,Закрытые!$E$5:$E$300,$B235,Закрытые!$B$5:$B$300,"L-*"))</f>
        <v/>
      </c>
      <c r="F235" s="240" t="str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 t="str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 t="str">
        <f>IF(F235="","",SUMIFS(Лэндинг!$K$5:$K$300,Лэндинг!$E$5:$E$300,$B235)+SUMIFS(Закрытые!$K$5:$K$300,Закрытые!$E$5:$E$300,$B235,Закрытые!$B$5:$B$300,"L-*"))</f>
        <v/>
      </c>
      <c r="I235" s="240" t="str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 t="str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 t="str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 t="str">
        <f>IF(C236="","",SUMIFS(Лэндинг!$H$5:$H$300,Лэндинг!$E$5:$E$300,$B236)+SUMIFS(Закрытые!$H$5:$H$300,Закрытые!$E$5:$E$300,$B236,Закрытые!$B$5:$B$300,"L-*"))</f>
        <v/>
      </c>
      <c r="F236" s="246" t="str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 t="str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 t="str">
        <f>IF(F236="","",SUMIFS(Лэндинг!$K$5:$K$300,Лэндинг!$E$5:$E$300,$B236)+SUMIFS(Закрытые!$K$5:$K$300,Закрытые!$E$5:$E$300,$B236,Закрытые!$B$5:$B$300,"L-*"))</f>
        <v/>
      </c>
      <c r="I236" s="246" t="str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 t="str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 t="str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 t="str">
        <f>IF(C237="","",SUMIFS(Лэндинг!$H$5:$H$300,Лэндинг!$E$5:$E$300,$B237)+SUMIFS(Закрытые!$H$5:$H$300,Закрытые!$E$5:$E$300,$B237,Закрытые!$B$5:$B$300,"L-*"))</f>
        <v/>
      </c>
      <c r="F237" s="240" t="str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 t="str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 t="str">
        <f>IF(F237="","",SUMIFS(Лэндинг!$K$5:$K$300,Лэндинг!$E$5:$E$300,$B237)+SUMIFS(Закрытые!$K$5:$K$300,Закрытые!$E$5:$E$300,$B237,Закрытые!$B$5:$B$300,"L-*"))</f>
        <v/>
      </c>
      <c r="I237" s="240" t="str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 t="str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 t="str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 t="str">
        <f>IF(C238="","",SUMIFS(Лэндинг!$H$5:$H$300,Лэндинг!$E$5:$E$300,$B238)+SUMIFS(Закрытые!$H$5:$H$300,Закрытые!$E$5:$E$300,$B238,Закрытые!$B$5:$B$300,"L-*"))</f>
        <v/>
      </c>
      <c r="F238" s="246" t="str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 t="str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 t="str">
        <f>IF(F238="","",SUMIFS(Лэндинг!$K$5:$K$300,Лэндинг!$E$5:$E$300,$B238)+SUMIFS(Закрытые!$K$5:$K$300,Закрытые!$E$5:$E$300,$B238,Закрытые!$B$5:$B$300,"L-*"))</f>
        <v/>
      </c>
      <c r="I238" s="246" t="str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 t="str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 t="str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 t="str">
        <f>IF(C239="","",SUMIFS(Лэндинг!$H$5:$H$300,Лэндинг!$E$5:$E$300,$B239)+SUMIFS(Закрытые!$H$5:$H$300,Закрытые!$E$5:$E$300,$B239,Закрытые!$B$5:$B$300,"L-*"))</f>
        <v/>
      </c>
      <c r="F239" s="240" t="str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 t="str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 t="str">
        <f>IF(F239="","",SUMIFS(Лэндинг!$K$5:$K$300,Лэндинг!$E$5:$E$300,$B239)+SUMIFS(Закрытые!$K$5:$K$300,Закрытые!$E$5:$E$300,$B239,Закрытые!$B$5:$B$300,"L-*"))</f>
        <v/>
      </c>
      <c r="I239" s="240" t="str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 t="str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 t="str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 t="str">
        <f>IF(C240="","",SUMIFS(Лэндинг!$H$5:$H$300,Лэндинг!$E$5:$E$300,$B240)+SUMIFS(Закрытые!$H$5:$H$300,Закрытые!$E$5:$E$300,$B240,Закрытые!$B$5:$B$300,"L-*"))</f>
        <v/>
      </c>
      <c r="F240" s="246" t="str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 t="str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 t="str">
        <f>IF(F240="","",SUMIFS(Лэндинг!$K$5:$K$300,Лэндинг!$E$5:$E$300,$B240)+SUMIFS(Закрытые!$K$5:$K$300,Закрытые!$E$5:$E$300,$B240,Закрытые!$B$5:$B$300,"L-*"))</f>
        <v/>
      </c>
      <c r="I240" s="246" t="str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 t="str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 t="str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 t="str">
        <f>IF(C241="","",SUMIFS(Лэндинг!$H$5:$H$300,Лэндинг!$E$5:$E$300,$B241)+SUMIFS(Закрытые!$H$5:$H$300,Закрытые!$E$5:$E$300,$B241,Закрытые!$B$5:$B$300,"L-*"))</f>
        <v/>
      </c>
      <c r="F241" s="240" t="str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 t="str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 t="str">
        <f>IF(F241="","",SUMIFS(Лэндинг!$K$5:$K$300,Лэндинг!$E$5:$E$300,$B241)+SUMIFS(Закрытые!$K$5:$K$300,Закрытые!$E$5:$E$300,$B241,Закрытые!$B$5:$B$300,"L-*"))</f>
        <v/>
      </c>
      <c r="I241" s="240" t="str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 t="str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 t="str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 t="str">
        <f>IF(C242="","",SUMIFS(Лэндинг!$H$5:$H$300,Лэндинг!$E$5:$E$300,$B242)+SUMIFS(Закрытые!$H$5:$H$300,Закрытые!$E$5:$E$300,$B242,Закрытые!$B$5:$B$300,"L-*"))</f>
        <v/>
      </c>
      <c r="F242" s="246" t="str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 t="str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 t="str">
        <f>IF(F242="","",SUMIFS(Лэндинг!$K$5:$K$300,Лэндинг!$E$5:$E$300,$B242)+SUMIFS(Закрытые!$K$5:$K$300,Закрытые!$E$5:$E$300,$B242,Закрытые!$B$5:$B$300,"L-*"))</f>
        <v/>
      </c>
      <c r="I242" s="246" t="str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 t="str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 t="str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 t="str">
        <f>IF(C243="","",SUMIFS(Лэндинг!$H$5:$H$300,Лэндинг!$E$5:$E$300,$B243)+SUMIFS(Закрытые!$H$5:$H$300,Закрытые!$E$5:$E$300,$B243,Закрытые!$B$5:$B$300,"L-*"))</f>
        <v/>
      </c>
      <c r="F243" s="240" t="str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 t="str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 t="str">
        <f>IF(F243="","",SUMIFS(Лэндинг!$K$5:$K$300,Лэндинг!$E$5:$E$300,$B243)+SUMIFS(Закрытые!$K$5:$K$300,Закрытые!$E$5:$E$300,$B243,Закрытые!$B$5:$B$300,"L-*"))</f>
        <v/>
      </c>
      <c r="I243" s="240" t="str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 t="str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 t="str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 t="str">
        <f>IF(C244="","",SUMIFS(Лэндинг!$H$5:$H$300,Лэндинг!$E$5:$E$300,$B244)+SUMIFS(Закрытые!$H$5:$H$300,Закрытые!$E$5:$E$300,$B244,Закрытые!$B$5:$B$300,"L-*"))</f>
        <v/>
      </c>
      <c r="F244" s="246" t="str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 t="str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 t="str">
        <f>IF(F244="","",SUMIFS(Лэндинг!$K$5:$K$300,Лэндинг!$E$5:$E$300,$B244)+SUMIFS(Закрытые!$K$5:$K$300,Закрытые!$E$5:$E$300,$B244,Закрытые!$B$5:$B$300,"L-*"))</f>
        <v/>
      </c>
      <c r="I244" s="246" t="str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 t="str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 t="str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 t="str">
        <f>IF(C245="","",SUMIFS(Лэндинг!$H$5:$H$300,Лэндинг!$E$5:$E$300,$B245)+SUMIFS(Закрытые!$H$5:$H$300,Закрытые!$E$5:$E$300,$B245,Закрытые!$B$5:$B$300,"L-*"))</f>
        <v/>
      </c>
      <c r="F245" s="240" t="str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 t="str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 t="str">
        <f>IF(F245="","",SUMIFS(Лэндинг!$K$5:$K$300,Лэндинг!$E$5:$E$300,$B245)+SUMIFS(Закрытые!$K$5:$K$300,Закрытые!$E$5:$E$300,$B245,Закрытые!$B$5:$B$300,"L-*"))</f>
        <v/>
      </c>
      <c r="I245" s="240" t="str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 t="str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 t="str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 t="str">
        <f>IF(C246="","",SUMIFS(Лэндинг!$H$5:$H$300,Лэндинг!$E$5:$E$300,$B246)+SUMIFS(Закрытые!$H$5:$H$300,Закрытые!$E$5:$E$300,$B246,Закрытые!$B$5:$B$300,"L-*"))</f>
        <v/>
      </c>
      <c r="F246" s="246" t="str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 t="str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 t="str">
        <f>IF(F246="","",SUMIFS(Лэндинг!$K$5:$K$300,Лэндинг!$E$5:$E$300,$B246)+SUMIFS(Закрытые!$K$5:$K$300,Закрытые!$E$5:$E$300,$B246,Закрытые!$B$5:$B$300,"L-*"))</f>
        <v/>
      </c>
      <c r="I246" s="246" t="str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 t="str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 t="str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 t="str">
        <f>IF(C247="","",SUMIFS(Лэндинг!$H$5:$H$300,Лэндинг!$E$5:$E$300,$B247)+SUMIFS(Закрытые!$H$5:$H$300,Закрытые!$E$5:$E$300,$B247,Закрытые!$B$5:$B$300,"L-*"))</f>
        <v/>
      </c>
      <c r="F247" s="240" t="str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 t="str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 t="str">
        <f>IF(F247="","",SUMIFS(Лэндинг!$K$5:$K$300,Лэндинг!$E$5:$E$300,$B247)+SUMIFS(Закрытые!$K$5:$K$300,Закрытые!$E$5:$E$300,$B247,Закрытые!$B$5:$B$300,"L-*"))</f>
        <v/>
      </c>
      <c r="I247" s="240" t="str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 t="str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 t="str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 t="str">
        <f>IF(C248="","",SUMIFS(Лэндинг!$H$5:$H$300,Лэндинг!$E$5:$E$300,$B248)+SUMIFS(Закрытые!$H$5:$H$300,Закрытые!$E$5:$E$300,$B248,Закрытые!$B$5:$B$300,"L-*"))</f>
        <v/>
      </c>
      <c r="F248" s="246" t="str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 t="str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 t="str">
        <f>IF(F248="","",SUMIFS(Лэндинг!$K$5:$K$300,Лэндинг!$E$5:$E$300,$B248)+SUMIFS(Закрытые!$K$5:$K$300,Закрытые!$E$5:$E$300,$B248,Закрытые!$B$5:$B$300,"L-*"))</f>
        <v/>
      </c>
      <c r="I248" s="246" t="str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 t="str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 t="str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 t="str">
        <f>IF(C249="","",SUMIFS(Лэндинг!$H$5:$H$300,Лэндинг!$E$5:$E$300,$B249)+SUMIFS(Закрытые!$H$5:$H$300,Закрытые!$E$5:$E$300,$B249,Закрытые!$B$5:$B$300,"L-*"))</f>
        <v/>
      </c>
      <c r="F249" s="240" t="str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 t="str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 t="str">
        <f>IF(F249="","",SUMIFS(Лэндинг!$K$5:$K$300,Лэндинг!$E$5:$E$300,$B249)+SUMIFS(Закрытые!$K$5:$K$300,Закрытые!$E$5:$E$300,$B249,Закрытые!$B$5:$B$300,"L-*"))</f>
        <v/>
      </c>
      <c r="I249" s="240" t="str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 t="str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 t="str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 t="str">
        <f>IF(C250="","",SUMIFS(Лэндинг!$H$5:$H$300,Лэндинг!$E$5:$E$300,$B250)+SUMIFS(Закрытые!$H$5:$H$300,Закрытые!$E$5:$E$300,$B250,Закрытые!$B$5:$B$300,"L-*"))</f>
        <v/>
      </c>
      <c r="F250" s="246" t="str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 t="str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 t="str">
        <f>IF(F250="","",SUMIFS(Лэндинг!$K$5:$K$300,Лэндинг!$E$5:$E$300,$B250)+SUMIFS(Закрытые!$K$5:$K$300,Закрытые!$E$5:$E$300,$B250,Закрытые!$B$5:$B$300,"L-*"))</f>
        <v/>
      </c>
      <c r="I250" s="246" t="str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 t="str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 t="str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 t="str">
        <f>IF(C251="","",SUMIFS(Лэндинг!$H$5:$H$300,Лэндинг!$E$5:$E$300,$B251)+SUMIFS(Закрытые!$H$5:$H$300,Закрытые!$E$5:$E$300,$B251,Закрытые!$B$5:$B$300,"L-*"))</f>
        <v/>
      </c>
      <c r="F251" s="240" t="str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 t="str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 t="str">
        <f>IF(F251="","",SUMIFS(Лэндинг!$K$5:$K$300,Лэндинг!$E$5:$E$300,$B251)+SUMIFS(Закрытые!$K$5:$K$300,Закрытые!$E$5:$E$300,$B251,Закрытые!$B$5:$B$300,"L-*"))</f>
        <v/>
      </c>
      <c r="I251" s="240" t="str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 t="str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 t="str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 t="str">
        <f>IF(C252="","",SUMIFS(Лэндинг!$H$5:$H$300,Лэндинг!$E$5:$E$300,$B252)+SUMIFS(Закрытые!$H$5:$H$300,Закрытые!$E$5:$E$300,$B252,Закрытые!$B$5:$B$300,"L-*"))</f>
        <v/>
      </c>
      <c r="F252" s="246" t="str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 t="str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 t="str">
        <f>IF(F252="","",SUMIFS(Лэндинг!$K$5:$K$300,Лэндинг!$E$5:$E$300,$B252)+SUMIFS(Закрытые!$K$5:$K$300,Закрытые!$E$5:$E$300,$B252,Закрытые!$B$5:$B$300,"L-*"))</f>
        <v/>
      </c>
      <c r="I252" s="246" t="str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 t="str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 t="str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 t="str">
        <f>IF(C253="","",SUMIFS(Лэндинг!$H$5:$H$300,Лэндинг!$E$5:$E$300,$B253)+SUMIFS(Закрытые!$H$5:$H$300,Закрытые!$E$5:$E$300,$B253,Закрытые!$B$5:$B$300,"L-*"))</f>
        <v/>
      </c>
      <c r="F253" s="240" t="str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 t="str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 t="str">
        <f>IF(F253="","",SUMIFS(Лэндинг!$K$5:$K$300,Лэндинг!$E$5:$E$300,$B253)+SUMIFS(Закрытые!$K$5:$K$300,Закрытые!$E$5:$E$300,$B253,Закрытые!$B$5:$B$300,"L-*"))</f>
        <v/>
      </c>
      <c r="I253" s="240" t="str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 t="str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 t="str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 t="str">
        <f>IF(C254="","",SUMIFS(Лэндинг!$H$5:$H$300,Лэндинг!$E$5:$E$300,$B254)+SUMIFS(Закрытые!$H$5:$H$300,Закрытые!$E$5:$E$300,$B254,Закрытые!$B$5:$B$300,"L-*"))</f>
        <v/>
      </c>
      <c r="F254" s="246" t="str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 t="str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 t="str">
        <f>IF(F254="","",SUMIFS(Лэндинг!$K$5:$K$300,Лэндинг!$E$5:$E$300,$B254)+SUMIFS(Закрытые!$K$5:$K$300,Закрытые!$E$5:$E$300,$B254,Закрытые!$B$5:$B$300,"L-*"))</f>
        <v/>
      </c>
      <c r="I254" s="246" t="str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 t="str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 t="str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 t="str">
        <f>IF(C255="","",SUMIFS(Лэндинг!$H$5:$H$300,Лэндинг!$E$5:$E$300,$B255)+SUMIFS(Закрытые!$H$5:$H$300,Закрытые!$E$5:$E$300,$B255,Закрытые!$B$5:$B$300,"L-*"))</f>
        <v/>
      </c>
      <c r="F255" s="240" t="str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 t="str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 t="str">
        <f>IF(F255="","",SUMIFS(Лэндинг!$K$5:$K$300,Лэндинг!$E$5:$E$300,$B255)+SUMIFS(Закрытые!$K$5:$K$300,Закрытые!$E$5:$E$300,$B255,Закрытые!$B$5:$B$300,"L-*"))</f>
        <v/>
      </c>
      <c r="I255" s="240" t="str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 t="str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 t="str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 t="str">
        <f>IF(C256="","",SUMIFS(Лэндинг!$H$5:$H$300,Лэндинг!$E$5:$E$300,$B256)+SUMIFS(Закрытые!$H$5:$H$300,Закрытые!$E$5:$E$300,$B256,Закрытые!$B$5:$B$300,"L-*"))</f>
        <v/>
      </c>
      <c r="F256" s="246" t="str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 t="str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 t="str">
        <f>IF(F256="","",SUMIFS(Лэндинг!$K$5:$K$300,Лэндинг!$E$5:$E$300,$B256)+SUMIFS(Закрытые!$K$5:$K$300,Закрытые!$E$5:$E$300,$B256,Закрытые!$B$5:$B$300,"L-*"))</f>
        <v/>
      </c>
      <c r="I256" s="246" t="str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 t="str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 t="str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 t="str">
        <f>IF(C257="","",SUMIFS(Лэндинг!$H$5:$H$300,Лэндинг!$E$5:$E$300,$B257)+SUMIFS(Закрытые!$H$5:$H$300,Закрытые!$E$5:$E$300,$B257,Закрытые!$B$5:$B$300,"L-*"))</f>
        <v/>
      </c>
      <c r="F257" s="240" t="str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 t="str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 t="str">
        <f>IF(F257="","",SUMIFS(Лэндинг!$K$5:$K$300,Лэндинг!$E$5:$E$300,$B257)+SUMIFS(Закрытые!$K$5:$K$300,Закрытые!$E$5:$E$300,$B257,Закрытые!$B$5:$B$300,"L-*"))</f>
        <v/>
      </c>
      <c r="I257" s="240" t="str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 t="str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 t="str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 t="str">
        <f>IF(C258="","",SUMIFS(Лэндинг!$H$5:$H$300,Лэндинг!$E$5:$E$300,$B258)+SUMIFS(Закрытые!$H$5:$H$300,Закрытые!$E$5:$E$300,$B258,Закрытые!$B$5:$B$300,"L-*"))</f>
        <v/>
      </c>
      <c r="F258" s="246" t="str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 t="str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 t="str">
        <f>IF(F258="","",SUMIFS(Лэндинг!$K$5:$K$300,Лэндинг!$E$5:$E$300,$B258)+SUMIFS(Закрытые!$K$5:$K$300,Закрытые!$E$5:$E$300,$B258,Закрытые!$B$5:$B$300,"L-*"))</f>
        <v/>
      </c>
      <c r="I258" s="246" t="str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 t="str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 t="str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 t="str">
        <f>IF(C259="","",SUMIFS(Лэндинг!$H$5:$H$300,Лэндинг!$E$5:$E$300,$B259)+SUMIFS(Закрытые!$H$5:$H$300,Закрытые!$E$5:$E$300,$B259,Закрытые!$B$5:$B$300,"L-*"))</f>
        <v/>
      </c>
      <c r="F259" s="240" t="str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 t="str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 t="str">
        <f>IF(F259="","",SUMIFS(Лэндинг!$K$5:$K$300,Лэндинг!$E$5:$E$300,$B259)+SUMIFS(Закрытые!$K$5:$K$300,Закрытые!$E$5:$E$300,$B259,Закрытые!$B$5:$B$300,"L-*"))</f>
        <v/>
      </c>
      <c r="I259" s="240" t="str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 t="str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 t="str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 t="str">
        <f>IF(C260="","",SUMIFS(Лэндинг!$H$5:$H$300,Лэндинг!$E$5:$E$300,$B260)+SUMIFS(Закрытые!$H$5:$H$300,Закрытые!$E$5:$E$300,$B260,Закрытые!$B$5:$B$300,"L-*"))</f>
        <v/>
      </c>
      <c r="F260" s="246" t="str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 t="str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 t="str">
        <f>IF(F260="","",SUMIFS(Лэндинг!$K$5:$K$300,Лэндинг!$E$5:$E$300,$B260)+SUMIFS(Закрытые!$K$5:$K$300,Закрытые!$E$5:$E$300,$B260,Закрытые!$B$5:$B$300,"L-*"))</f>
        <v/>
      </c>
      <c r="I260" s="246" t="str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 t="str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 t="str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 t="str">
        <f>IF(C261="","",SUMIFS(Лэндинг!$H$5:$H$300,Лэндинг!$E$5:$E$300,$B261)+SUMIFS(Закрытые!$H$5:$H$300,Закрытые!$E$5:$E$300,$B261,Закрытые!$B$5:$B$300,"L-*"))</f>
        <v/>
      </c>
      <c r="F261" s="240" t="str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 t="str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 t="str">
        <f>IF(F261="","",SUMIFS(Лэндинг!$K$5:$K$300,Лэндинг!$E$5:$E$300,$B261)+SUMIFS(Закрытые!$K$5:$K$300,Закрытые!$E$5:$E$300,$B261,Закрытые!$B$5:$B$300,"L-*"))</f>
        <v/>
      </c>
      <c r="I261" s="240" t="str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 t="str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 t="str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 t="str">
        <f>IF(C262="","",SUMIFS(Лэндинг!$H$5:$H$300,Лэндинг!$E$5:$E$300,$B262)+SUMIFS(Закрытые!$H$5:$H$300,Закрытые!$E$5:$E$300,$B262,Закрытые!$B$5:$B$300,"L-*"))</f>
        <v/>
      </c>
      <c r="F262" s="246" t="str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 t="str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 t="str">
        <f>IF(F262="","",SUMIFS(Лэндинг!$K$5:$K$300,Лэндинг!$E$5:$E$300,$B262)+SUMIFS(Закрытые!$K$5:$K$300,Закрытые!$E$5:$E$300,$B262,Закрытые!$B$5:$B$300,"L-*"))</f>
        <v/>
      </c>
      <c r="I262" s="246" t="str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 t="str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 t="str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 t="str">
        <f>IF(C263="","",SUMIFS(Лэндинг!$H$5:$H$300,Лэндинг!$E$5:$E$300,$B263)+SUMIFS(Закрытые!$H$5:$H$300,Закрытые!$E$5:$E$300,$B263,Закрытые!$B$5:$B$300,"L-*"))</f>
        <v/>
      </c>
      <c r="F263" s="240" t="str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 t="str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 t="str">
        <f>IF(F263="","",SUMIFS(Лэндинг!$K$5:$K$300,Лэндинг!$E$5:$E$300,$B263)+SUMIFS(Закрытые!$K$5:$K$300,Закрытые!$E$5:$E$300,$B263,Закрытые!$B$5:$B$300,"L-*"))</f>
        <v/>
      </c>
      <c r="I263" s="240" t="str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 t="str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 t="str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 t="str">
        <f>IF(C264="","",SUMIFS(Лэндинг!$H$5:$H$300,Лэндинг!$E$5:$E$300,$B264)+SUMIFS(Закрытые!$H$5:$H$300,Закрытые!$E$5:$E$300,$B264,Закрытые!$B$5:$B$300,"L-*"))</f>
        <v/>
      </c>
      <c r="F264" s="246" t="str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 t="str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 t="str">
        <f>IF(F264="","",SUMIFS(Лэндинг!$K$5:$K$300,Лэндинг!$E$5:$E$300,$B264)+SUMIFS(Закрытые!$K$5:$K$300,Закрытые!$E$5:$E$300,$B264,Закрытые!$B$5:$B$300,"L-*"))</f>
        <v/>
      </c>
      <c r="I264" s="246" t="str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 t="str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 t="str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 t="str">
        <f>IF(C265="","",SUMIFS(Лэндинг!$H$5:$H$300,Лэндинг!$E$5:$E$300,$B265)+SUMIFS(Закрытые!$H$5:$H$300,Закрытые!$E$5:$E$300,$B265,Закрытые!$B$5:$B$300,"L-*"))</f>
        <v/>
      </c>
      <c r="F265" s="240" t="str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 t="str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 t="str">
        <f>IF(F265="","",SUMIFS(Лэндинг!$K$5:$K$300,Лэндинг!$E$5:$E$300,$B265)+SUMIFS(Закрытые!$K$5:$K$300,Закрытые!$E$5:$E$300,$B265,Закрытые!$B$5:$B$300,"L-*"))</f>
        <v/>
      </c>
      <c r="I265" s="240" t="str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 t="str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 t="str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 t="str">
        <f>IF(C266="","",SUMIFS(Лэндинг!$H$5:$H$300,Лэндинг!$E$5:$E$300,$B266)+SUMIFS(Закрытые!$H$5:$H$300,Закрытые!$E$5:$E$300,$B266,Закрытые!$B$5:$B$300,"L-*"))</f>
        <v/>
      </c>
      <c r="F266" s="246" t="str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 t="str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 t="str">
        <f>IF(F266="","",SUMIFS(Лэндинг!$K$5:$K$300,Лэндинг!$E$5:$E$300,$B266)+SUMIFS(Закрытые!$K$5:$K$300,Закрытые!$E$5:$E$300,$B266,Закрытые!$B$5:$B$300,"L-*"))</f>
        <v/>
      </c>
      <c r="I266" s="246" t="str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 t="str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 t="str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 t="str">
        <f>IF(C267="","",SUMIFS(Лэндинг!$H$5:$H$300,Лэндинг!$E$5:$E$300,$B267)+SUMIFS(Закрытые!$H$5:$H$300,Закрытые!$E$5:$E$300,$B267,Закрытые!$B$5:$B$300,"L-*"))</f>
        <v/>
      </c>
      <c r="F267" s="240" t="str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 t="str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 t="str">
        <f>IF(F267="","",SUMIFS(Лэндинг!$K$5:$K$300,Лэндинг!$E$5:$E$300,$B267)+SUMIFS(Закрытые!$K$5:$K$300,Закрытые!$E$5:$E$300,$B267,Закрытые!$B$5:$B$300,"L-*"))</f>
        <v/>
      </c>
      <c r="I267" s="240" t="str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 t="str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 t="str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 t="str">
        <f>IF(C268="","",SUMIFS(Лэндинг!$H$5:$H$300,Лэндинг!$E$5:$E$300,$B268)+SUMIFS(Закрытые!$H$5:$H$300,Закрытые!$E$5:$E$300,$B268,Закрытые!$B$5:$B$300,"L-*"))</f>
        <v/>
      </c>
      <c r="F268" s="246" t="str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 t="str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 t="str">
        <f>IF(F268="","",SUMIFS(Лэндинг!$K$5:$K$300,Лэндинг!$E$5:$E$300,$B268)+SUMIFS(Закрытые!$K$5:$K$300,Закрытые!$E$5:$E$300,$B268,Закрытые!$B$5:$B$300,"L-*"))</f>
        <v/>
      </c>
      <c r="I268" s="246" t="str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 t="str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 t="str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 t="str">
        <f>IF(C269="","",SUMIFS(Лэндинг!$H$5:$H$300,Лэндинг!$E$5:$E$300,$B269)+SUMIFS(Закрытые!$H$5:$H$300,Закрытые!$E$5:$E$300,$B269,Закрытые!$B$5:$B$300,"L-*"))</f>
        <v/>
      </c>
      <c r="F269" s="240" t="str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 t="str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 t="str">
        <f>IF(F269="","",SUMIFS(Лэндинг!$K$5:$K$300,Лэндинг!$E$5:$E$300,$B269)+SUMIFS(Закрытые!$K$5:$K$300,Закрытые!$E$5:$E$300,$B269,Закрытые!$B$5:$B$300,"L-*"))</f>
        <v/>
      </c>
      <c r="I269" s="240" t="str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 t="str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 t="str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 t="str">
        <f>IF(C270="","",SUMIFS(Лэндинг!$H$5:$H$300,Лэндинг!$E$5:$E$300,$B270)+SUMIFS(Закрытые!$H$5:$H$300,Закрытые!$E$5:$E$300,$B270,Закрытые!$B$5:$B$300,"L-*"))</f>
        <v/>
      </c>
      <c r="F270" s="246" t="str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 t="str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 t="str">
        <f>IF(F270="","",SUMIFS(Лэндинг!$K$5:$K$300,Лэндинг!$E$5:$E$300,$B270)+SUMIFS(Закрытые!$K$5:$K$300,Закрытые!$E$5:$E$300,$B270,Закрытые!$B$5:$B$300,"L-*"))</f>
        <v/>
      </c>
      <c r="I270" s="246" t="str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 t="str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 t="str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 t="str">
        <f>IF(C271="","",SUMIFS(Лэндинг!$H$5:$H$300,Лэндинг!$E$5:$E$300,$B271)+SUMIFS(Закрытые!$H$5:$H$300,Закрытые!$E$5:$E$300,$B271,Закрытые!$B$5:$B$300,"L-*"))</f>
        <v/>
      </c>
      <c r="F271" s="240" t="str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 t="str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 t="str">
        <f>IF(F271="","",SUMIFS(Лэндинг!$K$5:$K$300,Лэндинг!$E$5:$E$300,$B271)+SUMIFS(Закрытые!$K$5:$K$300,Закрытые!$E$5:$E$300,$B271,Закрытые!$B$5:$B$300,"L-*"))</f>
        <v/>
      </c>
      <c r="I271" s="240" t="str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 t="str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 t="str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 t="str">
        <f>IF(C272="","",SUMIFS(Лэндинг!$H$5:$H$300,Лэндинг!$E$5:$E$300,$B272)+SUMIFS(Закрытые!$H$5:$H$300,Закрытые!$E$5:$E$300,$B272,Закрытые!$B$5:$B$300,"L-*"))</f>
        <v/>
      </c>
      <c r="F272" s="246" t="str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 t="str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 t="str">
        <f>IF(F272="","",SUMIFS(Лэндинг!$K$5:$K$300,Лэндинг!$E$5:$E$300,$B272)+SUMIFS(Закрытые!$K$5:$K$300,Закрытые!$E$5:$E$300,$B272,Закрытые!$B$5:$B$300,"L-*"))</f>
        <v/>
      </c>
      <c r="I272" s="246" t="str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 t="str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 t="str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 t="str">
        <f>IF(C273="","",SUMIFS(Лэндинг!$H$5:$H$300,Лэндинг!$E$5:$E$300,$B273)+SUMIFS(Закрытые!$H$5:$H$300,Закрытые!$E$5:$E$300,$B273,Закрытые!$B$5:$B$300,"L-*"))</f>
        <v/>
      </c>
      <c r="F273" s="240" t="str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 t="str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 t="str">
        <f>IF(F273="","",SUMIFS(Лэндинг!$K$5:$K$300,Лэндинг!$E$5:$E$300,$B273)+SUMIFS(Закрытые!$K$5:$K$300,Закрытые!$E$5:$E$300,$B273,Закрытые!$B$5:$B$300,"L-*"))</f>
        <v/>
      </c>
      <c r="I273" s="240" t="str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 t="str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 t="str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 t="str">
        <f>IF(C274="","",SUMIFS(Лэндинг!$H$5:$H$300,Лэндинг!$E$5:$E$300,$B274)+SUMIFS(Закрытые!$H$5:$H$300,Закрытые!$E$5:$E$300,$B274,Закрытые!$B$5:$B$300,"L-*"))</f>
        <v/>
      </c>
      <c r="F274" s="246" t="str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 t="str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 t="str">
        <f>IF(F274="","",SUMIFS(Лэндинг!$K$5:$K$300,Лэндинг!$E$5:$E$300,$B274)+SUMIFS(Закрытые!$K$5:$K$300,Закрытые!$E$5:$E$300,$B274,Закрытые!$B$5:$B$300,"L-*"))</f>
        <v/>
      </c>
      <c r="I274" s="246" t="str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 t="str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 t="str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 t="str">
        <f>IF(C275="","",SUMIFS(Лэндинг!$H$5:$H$300,Лэндинг!$E$5:$E$300,$B275)+SUMIFS(Закрытые!$H$5:$H$300,Закрытые!$E$5:$E$300,$B275,Закрытые!$B$5:$B$300,"L-*"))</f>
        <v/>
      </c>
      <c r="F275" s="240" t="str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 t="str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 t="str">
        <f>IF(F275="","",SUMIFS(Лэндинг!$K$5:$K$300,Лэндинг!$E$5:$E$300,$B275)+SUMIFS(Закрытые!$K$5:$K$300,Закрытые!$E$5:$E$300,$B275,Закрытые!$B$5:$B$300,"L-*"))</f>
        <v/>
      </c>
      <c r="I275" s="240" t="str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 t="str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 t="str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 t="str">
        <f>IF(C276="","",SUMIFS(Лэндинг!$H$5:$H$300,Лэндинг!$E$5:$E$300,$B276)+SUMIFS(Закрытые!$H$5:$H$300,Закрытые!$E$5:$E$300,$B276,Закрытые!$B$5:$B$300,"L-*"))</f>
        <v/>
      </c>
      <c r="F276" s="246" t="str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 t="str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 t="str">
        <f>IF(F276="","",SUMIFS(Лэндинг!$K$5:$K$300,Лэндинг!$E$5:$E$300,$B276)+SUMIFS(Закрытые!$K$5:$K$300,Закрытые!$E$5:$E$300,$B276,Закрытые!$B$5:$B$300,"L-*"))</f>
        <v/>
      </c>
      <c r="I276" s="246" t="str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 t="str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 t="str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 t="str">
        <f>IF(C277="","",SUMIFS(Лэндинг!$H$5:$H$300,Лэндинг!$E$5:$E$300,$B277)+SUMIFS(Закрытые!$H$5:$H$300,Закрытые!$E$5:$E$300,$B277,Закрытые!$B$5:$B$300,"L-*"))</f>
        <v/>
      </c>
      <c r="F277" s="240" t="str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 t="str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 t="str">
        <f>IF(F277="","",SUMIFS(Лэндинг!$K$5:$K$300,Лэндинг!$E$5:$E$300,$B277)+SUMIFS(Закрытые!$K$5:$K$300,Закрытые!$E$5:$E$300,$B277,Закрытые!$B$5:$B$300,"L-*"))</f>
        <v/>
      </c>
      <c r="I277" s="240" t="str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 t="str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 t="str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 t="str">
        <f>IF(C278="","",SUMIFS(Лэндинг!$H$5:$H$300,Лэндинг!$E$5:$E$300,$B278)+SUMIFS(Закрытые!$H$5:$H$300,Закрытые!$E$5:$E$300,$B278,Закрытые!$B$5:$B$300,"L-*"))</f>
        <v/>
      </c>
      <c r="F278" s="246" t="str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 t="str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 t="str">
        <f>IF(F278="","",SUMIFS(Лэндинг!$K$5:$K$300,Лэндинг!$E$5:$E$300,$B278)+SUMIFS(Закрытые!$K$5:$K$300,Закрытые!$E$5:$E$300,$B278,Закрытые!$B$5:$B$300,"L-*"))</f>
        <v/>
      </c>
      <c r="I278" s="246" t="str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 t="str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 t="str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 t="str">
        <f>IF(C279="","",SUMIFS(Лэндинг!$H$5:$H$300,Лэндинг!$E$5:$E$300,$B279)+SUMIFS(Закрытые!$H$5:$H$300,Закрытые!$E$5:$E$300,$B279,Закрытые!$B$5:$B$300,"L-*"))</f>
        <v/>
      </c>
      <c r="F279" s="240" t="str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 t="str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 t="str">
        <f>IF(F279="","",SUMIFS(Лэндинг!$K$5:$K$300,Лэндинг!$E$5:$E$300,$B279)+SUMIFS(Закрытые!$K$5:$K$300,Закрытые!$E$5:$E$300,$B279,Закрытые!$B$5:$B$300,"L-*"))</f>
        <v/>
      </c>
      <c r="I279" s="240" t="str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 t="str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 t="str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 t="str">
        <f>IF(C280="","",SUMIFS(Лэндинг!$H$5:$H$300,Лэндинг!$E$5:$E$300,$B280)+SUMIFS(Закрытые!$H$5:$H$300,Закрытые!$E$5:$E$300,$B280,Закрытые!$B$5:$B$300,"L-*"))</f>
        <v/>
      </c>
      <c r="F280" s="246" t="str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 t="str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 t="str">
        <f>IF(F280="","",SUMIFS(Лэндинг!$K$5:$K$300,Лэндинг!$E$5:$E$300,$B280)+SUMIFS(Закрытые!$K$5:$K$300,Закрытые!$E$5:$E$300,$B280,Закрытые!$B$5:$B$300,"L-*"))</f>
        <v/>
      </c>
      <c r="I280" s="246" t="str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 t="str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 t="str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 t="str">
        <f>IF(C281="","",SUMIFS(Лэндинг!$H$5:$H$300,Лэндинг!$E$5:$E$300,$B281)+SUMIFS(Закрытые!$H$5:$H$300,Закрытые!$E$5:$E$300,$B281,Закрытые!$B$5:$B$300,"L-*"))</f>
        <v/>
      </c>
      <c r="F281" s="240" t="str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 t="str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 t="str">
        <f>IF(F281="","",SUMIFS(Лэндинг!$K$5:$K$300,Лэндинг!$E$5:$E$300,$B281)+SUMIFS(Закрытые!$K$5:$K$300,Закрытые!$E$5:$E$300,$B281,Закрытые!$B$5:$B$300,"L-*"))</f>
        <v/>
      </c>
      <c r="I281" s="240" t="str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 t="str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 t="str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 t="str">
        <f>IF(C282="","",SUMIFS(Лэндинг!$H$5:$H$300,Лэндинг!$E$5:$E$300,$B282)+SUMIFS(Закрытые!$H$5:$H$300,Закрытые!$E$5:$E$300,$B282,Закрытые!$B$5:$B$300,"L-*"))</f>
        <v/>
      </c>
      <c r="F282" s="246" t="str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 t="str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 t="str">
        <f>IF(F282="","",SUMIFS(Лэндинг!$K$5:$K$300,Лэндинг!$E$5:$E$300,$B282)+SUMIFS(Закрытые!$K$5:$K$300,Закрытые!$E$5:$E$300,$B282,Закрытые!$B$5:$B$300,"L-*"))</f>
        <v/>
      </c>
      <c r="I282" s="246" t="str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 t="str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 t="str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 t="str">
        <f>IF(C283="","",SUMIFS(Лэндинг!$H$5:$H$300,Лэндинг!$E$5:$E$300,$B283)+SUMIFS(Закрытые!$H$5:$H$300,Закрытые!$E$5:$E$300,$B283,Закрытые!$B$5:$B$300,"L-*"))</f>
        <v/>
      </c>
      <c r="F283" s="240" t="str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 t="str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 t="str">
        <f>IF(F283="","",SUMIFS(Лэндинг!$K$5:$K$300,Лэндинг!$E$5:$E$300,$B283)+SUMIFS(Закрытые!$K$5:$K$300,Закрытые!$E$5:$E$300,$B283,Закрытые!$B$5:$B$300,"L-*"))</f>
        <v/>
      </c>
      <c r="I283" s="240" t="str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 t="str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 t="str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 t="str">
        <f>IF(C284="","",SUMIFS(Лэндинг!$H$5:$H$300,Лэндинг!$E$5:$E$300,$B284)+SUMIFS(Закрытые!$H$5:$H$300,Закрытые!$E$5:$E$300,$B284,Закрытые!$B$5:$B$300,"L-*"))</f>
        <v/>
      </c>
      <c r="F284" s="246" t="str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 t="str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 t="str">
        <f>IF(F284="","",SUMIFS(Лэндинг!$K$5:$K$300,Лэндинг!$E$5:$E$300,$B284)+SUMIFS(Закрытые!$K$5:$K$300,Закрытые!$E$5:$E$300,$B284,Закрытые!$B$5:$B$300,"L-*"))</f>
        <v/>
      </c>
      <c r="I284" s="246" t="str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 t="str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 t="str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 t="str">
        <f>IF(C285="","",SUMIFS(Лэндинг!$H$5:$H$300,Лэндинг!$E$5:$E$300,$B285)+SUMIFS(Закрытые!$H$5:$H$300,Закрытые!$E$5:$E$300,$B285,Закрытые!$B$5:$B$300,"L-*"))</f>
        <v/>
      </c>
      <c r="F285" s="240" t="str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 t="str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 t="str">
        <f>IF(F285="","",SUMIFS(Лэндинг!$K$5:$K$300,Лэндинг!$E$5:$E$300,$B285)+SUMIFS(Закрытые!$K$5:$K$300,Закрытые!$E$5:$E$300,$B285,Закрытые!$B$5:$B$300,"L-*"))</f>
        <v/>
      </c>
      <c r="I285" s="240" t="str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 t="str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 t="str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 t="str">
        <f>IF(C286="","",SUMIFS(Лэндинг!$H$5:$H$300,Лэндинг!$E$5:$E$300,$B286)+SUMIFS(Закрытые!$H$5:$H$300,Закрытые!$E$5:$E$300,$B286,Закрытые!$B$5:$B$300,"L-*"))</f>
        <v/>
      </c>
      <c r="F286" s="246" t="str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 t="str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 t="str">
        <f>IF(F286="","",SUMIFS(Лэндинг!$K$5:$K$300,Лэндинг!$E$5:$E$300,$B286)+SUMIFS(Закрытые!$K$5:$K$300,Закрытые!$E$5:$E$300,$B286,Закрытые!$B$5:$B$300,"L-*"))</f>
        <v/>
      </c>
      <c r="I286" s="246" t="str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 t="str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 t="str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 t="str">
        <f>IF(C287="","",SUMIFS(Лэндинг!$H$5:$H$300,Лэндинг!$E$5:$E$300,$B287)+SUMIFS(Закрытые!$H$5:$H$300,Закрытые!$E$5:$E$300,$B287,Закрытые!$B$5:$B$300,"L-*"))</f>
        <v/>
      </c>
      <c r="F287" s="240" t="str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 t="str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 t="str">
        <f>IF(F287="","",SUMIFS(Лэндинг!$K$5:$K$300,Лэндинг!$E$5:$E$300,$B287)+SUMIFS(Закрытые!$K$5:$K$300,Закрытые!$E$5:$E$300,$B287,Закрытые!$B$5:$B$300,"L-*"))</f>
        <v/>
      </c>
      <c r="I287" s="240" t="str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 t="str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 t="str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 t="str">
        <f>IF(C288="","",SUMIFS(Лэндинг!$H$5:$H$300,Лэндинг!$E$5:$E$300,$B288)+SUMIFS(Закрытые!$H$5:$H$300,Закрытые!$E$5:$E$300,$B288,Закрытые!$B$5:$B$300,"L-*"))</f>
        <v/>
      </c>
      <c r="F288" s="246" t="str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 t="str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 t="str">
        <f>IF(F288="","",SUMIFS(Лэндинг!$K$5:$K$300,Лэндинг!$E$5:$E$300,$B288)+SUMIFS(Закрытые!$K$5:$K$300,Закрытые!$E$5:$E$300,$B288,Закрытые!$B$5:$B$300,"L-*"))</f>
        <v/>
      </c>
      <c r="I288" s="246" t="str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 t="str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 t="str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 t="str">
        <f>IF(C289="","",SUMIFS(Лэндинг!$H$5:$H$300,Лэндинг!$E$5:$E$300,$B289)+SUMIFS(Закрытые!$H$5:$H$300,Закрытые!$E$5:$E$300,$B289,Закрытые!$B$5:$B$300,"L-*"))</f>
        <v/>
      </c>
      <c r="F289" s="240" t="str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 t="str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 t="str">
        <f>IF(F289="","",SUMIFS(Лэндинг!$K$5:$K$300,Лэндинг!$E$5:$E$300,$B289)+SUMIFS(Закрытые!$K$5:$K$300,Закрытые!$E$5:$E$300,$B289,Закрытые!$B$5:$B$300,"L-*"))</f>
        <v/>
      </c>
      <c r="I289" s="240" t="str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 t="str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 t="str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 t="str">
        <f>IF(C290="","",SUMIFS(Лэндинг!$H$5:$H$300,Лэндинг!$E$5:$E$300,$B290)+SUMIFS(Закрытые!$H$5:$H$300,Закрытые!$E$5:$E$300,$B290,Закрытые!$B$5:$B$300,"L-*"))</f>
        <v/>
      </c>
      <c r="F290" s="246" t="str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 t="str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 t="str">
        <f>IF(F290="","",SUMIFS(Лэндинг!$K$5:$K$300,Лэндинг!$E$5:$E$300,$B290)+SUMIFS(Закрытые!$K$5:$K$300,Закрытые!$E$5:$E$300,$B290,Закрытые!$B$5:$B$300,"L-*"))</f>
        <v/>
      </c>
      <c r="I290" s="246" t="str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 t="str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 t="str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 t="str">
        <f>IF(C291="","",SUMIFS(Лэндинг!$H$5:$H$300,Лэндинг!$E$5:$E$300,$B291)+SUMIFS(Закрытые!$H$5:$H$300,Закрытые!$E$5:$E$300,$B291,Закрытые!$B$5:$B$300,"L-*"))</f>
        <v/>
      </c>
      <c r="F291" s="240" t="str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 t="str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 t="str">
        <f>IF(F291="","",SUMIFS(Лэндинг!$K$5:$K$300,Лэндинг!$E$5:$E$300,$B291)+SUMIFS(Закрытые!$K$5:$K$300,Закрытые!$E$5:$E$300,$B291,Закрытые!$B$5:$B$300,"L-*"))</f>
        <v/>
      </c>
      <c r="I291" s="240" t="str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 t="str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 t="str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 t="str">
        <f>IF(C292="","",SUMIFS(Лэндинг!$H$5:$H$300,Лэндинг!$E$5:$E$300,$B292)+SUMIFS(Закрытые!$H$5:$H$300,Закрытые!$E$5:$E$300,$B292,Закрытые!$B$5:$B$300,"L-*"))</f>
        <v/>
      </c>
      <c r="F292" s="246" t="str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 t="str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 t="str">
        <f>IF(F292="","",SUMIFS(Лэндинг!$K$5:$K$300,Лэндинг!$E$5:$E$300,$B292)+SUMIFS(Закрытые!$K$5:$K$300,Закрытые!$E$5:$E$300,$B292,Закрытые!$B$5:$B$300,"L-*"))</f>
        <v/>
      </c>
      <c r="I292" s="246" t="str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 t="str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 t="str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 t="str">
        <f>IF(C293="","",SUMIFS(Лэндинг!$H$5:$H$300,Лэндинг!$E$5:$E$300,$B293)+SUMIFS(Закрытые!$H$5:$H$300,Закрытые!$E$5:$E$300,$B293,Закрытые!$B$5:$B$300,"L-*"))</f>
        <v/>
      </c>
      <c r="F293" s="240" t="str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 t="str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 t="str">
        <f>IF(F293="","",SUMIFS(Лэндинг!$K$5:$K$300,Лэндинг!$E$5:$E$300,$B293)+SUMIFS(Закрытые!$K$5:$K$300,Закрытые!$E$5:$E$300,$B293,Закрытые!$B$5:$B$300,"L-*"))</f>
        <v/>
      </c>
      <c r="I293" s="240" t="str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 t="str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 t="str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 t="str">
        <f>IF(C294="","",SUMIFS(Лэндинг!$H$5:$H$300,Лэндинг!$E$5:$E$300,$B294)+SUMIFS(Закрытые!$H$5:$H$300,Закрытые!$E$5:$E$300,$B294,Закрытые!$B$5:$B$300,"L-*"))</f>
        <v/>
      </c>
      <c r="F294" s="246" t="str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 t="str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 t="str">
        <f>IF(F294="","",SUMIFS(Лэндинг!$K$5:$K$300,Лэндинг!$E$5:$E$300,$B294)+SUMIFS(Закрытые!$K$5:$K$300,Закрытые!$E$5:$E$300,$B294,Закрытые!$B$5:$B$300,"L-*"))</f>
        <v/>
      </c>
      <c r="I294" s="246" t="str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 t="str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 t="str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 t="str">
        <f>IF(C295="","",SUMIFS(Лэндинг!$H$5:$H$300,Лэндинг!$E$5:$E$300,$B295)+SUMIFS(Закрытые!$H$5:$H$300,Закрытые!$E$5:$E$300,$B295,Закрытые!$B$5:$B$300,"L-*"))</f>
        <v/>
      </c>
      <c r="F295" s="240" t="str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 t="str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 t="str">
        <f>IF(F295="","",SUMIFS(Лэндинг!$K$5:$K$300,Лэндинг!$E$5:$E$300,$B295)+SUMIFS(Закрытые!$K$5:$K$300,Закрытые!$E$5:$E$300,$B295,Закрытые!$B$5:$B$300,"L-*"))</f>
        <v/>
      </c>
      <c r="I295" s="240" t="str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 t="str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 t="str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 t="str">
        <f>IF(C296="","",SUMIFS(Лэндинг!$H$5:$H$300,Лэндинг!$E$5:$E$300,$B296)+SUMIFS(Закрытые!$H$5:$H$300,Закрытые!$E$5:$E$300,$B296,Закрытые!$B$5:$B$300,"L-*"))</f>
        <v/>
      </c>
      <c r="F296" s="246" t="str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 t="str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 t="str">
        <f>IF(F296="","",SUMIFS(Лэндинг!$K$5:$K$300,Лэндинг!$E$5:$E$300,$B296)+SUMIFS(Закрытые!$K$5:$K$300,Закрытые!$E$5:$E$300,$B296,Закрытые!$B$5:$B$300,"L-*"))</f>
        <v/>
      </c>
      <c r="I296" s="246" t="str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 t="str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 t="str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 t="str">
        <f>IF(C297="","",SUMIFS(Лэндинг!$H$5:$H$300,Лэндинг!$E$5:$E$300,$B297)+SUMIFS(Закрытые!$H$5:$H$300,Закрытые!$E$5:$E$300,$B297,Закрытые!$B$5:$B$300,"L-*"))</f>
        <v/>
      </c>
      <c r="F297" s="240" t="str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 t="str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 t="str">
        <f>IF(F297="","",SUMIFS(Лэндинг!$K$5:$K$300,Лэндинг!$E$5:$E$300,$B297)+SUMIFS(Закрытые!$K$5:$K$300,Закрытые!$E$5:$E$300,$B297,Закрытые!$B$5:$B$300,"L-*"))</f>
        <v/>
      </c>
      <c r="I297" s="240" t="str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 t="str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 t="str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 t="str">
        <f>IF(C298="","",SUMIFS(Лэндинг!$H$5:$H$300,Лэндинг!$E$5:$E$300,$B298)+SUMIFS(Закрытые!$H$5:$H$300,Закрытые!$E$5:$E$300,$B298,Закрытые!$B$5:$B$300,"L-*"))</f>
        <v/>
      </c>
      <c r="F298" s="246" t="str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 t="str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 t="str">
        <f>IF(F298="","",SUMIFS(Лэндинг!$K$5:$K$300,Лэндинг!$E$5:$E$300,$B298)+SUMIFS(Закрытые!$K$5:$K$300,Закрытые!$E$5:$E$300,$B298,Закрытые!$B$5:$B$300,"L-*"))</f>
        <v/>
      </c>
      <c r="I298" s="246" t="str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 t="str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 t="str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 t="str">
        <f>IF(C299="","",SUMIFS(Лэндинг!$H$5:$H$300,Лэндинг!$E$5:$E$300,$B299)+SUMIFS(Закрытые!$H$5:$H$300,Закрытые!$E$5:$E$300,$B299,Закрытые!$B$5:$B$300,"L-*"))</f>
        <v/>
      </c>
      <c r="F299" s="240" t="str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 t="str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 t="str">
        <f>IF(F299="","",SUMIFS(Лэндинг!$K$5:$K$300,Лэндинг!$E$5:$E$300,$B299)+SUMIFS(Закрытые!$K$5:$K$300,Закрытые!$E$5:$E$300,$B299,Закрытые!$B$5:$B$300,"L-*"))</f>
        <v/>
      </c>
      <c r="I299" s="240" t="str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 t="str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 t="str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 t="str">
        <f>IF(C300="","",SUMIFS(Лэндинг!$H$5:$H$300,Лэндинг!$E$5:$E$300,$B300)+SUMIFS(Закрытые!$H$5:$H$300,Закрытые!$E$5:$E$300,$B300,Закрытые!$B$5:$B$300,"L-*"))</f>
        <v/>
      </c>
      <c r="F300" s="246" t="str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 t="str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 t="str">
        <f>IF(F300="","",SUMIFS(Лэндинг!$K$5:$K$300,Лэндинг!$E$5:$E$300,$B300)+SUMIFS(Закрытые!$K$5:$K$300,Закрытые!$E$5:$E$300,$B300,Закрытые!$B$5:$B$300,"L-*"))</f>
        <v/>
      </c>
      <c r="I300" s="246" t="str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 t="str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IF(AND(L5="Закрыт",ISNUMBER(F5),ISNUMBER(H5)),ROUND(H5-F5,8),"")</f>
        <v>0.2</v>
      </c>
      <c r="K5" s="241">
        <f>IF(AND(L5="Закрыт",ISNUMBER(G5),ISNUMBER(I5)),ROUND(I5-G5,8),"")</f>
        <v>-60</v>
      </c>
      <c r="L5" s="238" t="inlineStr">
        <is>
          <t>Закрыт</t>
        </is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IF(AND(L6="Закрыт",ISNUMBER(F6),ISNUMBER(H6)),ROUND(H6-F6,8),"")</f>
        <v/>
      </c>
      <c r="K6" s="247" t="str">
        <f>IF(AND(L6="Закрыт",ISNUMBER(G6),ISNUMBER(I6)),ROUND(I6-G6,8),"")</f>
        <v/>
      </c>
      <c r="L6" s="244" t="inlineStr">
        <is>
          <t>Открыт</t>
        </is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IF(AND(L7="Закрыт",ISNUMBER(F7),ISNUMBER(H7)),ROUND(H7-F7,8),"")</f>
        <v>-0.04</v>
      </c>
      <c r="K7" s="241">
        <f>IF(AND(L7="Закрыт",ISNUMBER(G7),ISNUMBER(I7)),ROUND(I7-G7,8),"")</f>
        <v>0.0052</v>
      </c>
      <c r="L7" s="238" t="inlineStr">
        <is>
          <t>Закрыт</t>
        </is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IF(AND(L8="Закрыт",ISNUMBER(F8),ISNUMBER(H8)),ROUND(H8-F8,8),"")</f>
        <v/>
      </c>
      <c r="K8" s="247" t="str">
        <f>IF(AND(L8="Закрыт",ISNUMBER(G8),ISNUMBER(I8)),ROUND(I8-G8,8),"")</f>
        <v/>
      </c>
      <c r="L8" s="244" t="inlineStr">
        <is>
          <t>Открыт</t>
        </is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IF(AND(L9="Закрыт",ISNUMBER(F9),ISNUMBER(H9)),ROUND(H9-F9,8),"")</f>
        <v/>
      </c>
      <c r="K9" s="241" t="str">
        <f>IF(AND(L9="Закрыт",ISNUMBER(G9),ISNUMBER(I9)),ROUND(I9-G9,8),"")</f>
        <v/>
      </c>
      <c r="L9" s="238" t="inlineStr">
        <is>
          <t>Открыт</t>
        </is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IF(AND(L10="Закрыт",ISNUMBER(F10),ISNUMBER(H10)),ROUND(H10-F10,8),"")</f>
        <v>-1.5</v>
      </c>
      <c r="K10" s="247">
        <f>IF(AND(L10="Закрыт",ISNUMBER(G10),ISNUMBER(I10)),ROUND(I10-G10,8),"")</f>
        <v>210</v>
      </c>
      <c r="L10" s="244" t="inlineStr">
        <is>
          <t>Закрыт</t>
        </is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IF(AND(L11="Закрыт",ISNUMBER(F11),ISNUMBER(H11)),ROUND(H11-F11,8),"")</f>
        <v>0.6</v>
      </c>
      <c r="K11" s="241">
        <f>IF(AND(L11="Закрыт",ISNUMBER(G11),ISNUMBER(I11)),ROUND(I11-G11,8),"")</f>
        <v>-52</v>
      </c>
      <c r="L11" s="238" t="inlineStr">
        <is>
          <t>Закрыт</t>
        </is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>
        <v>10</v>
      </c>
      <c r="I12" s="247" t="n">
        <v>1480</v>
      </c>
      <c r="J12" s="246" t="str">
        <f>IF(AND(L12="Закрыт",ISNUMBER(F12),ISNUMBER(H12)),ROUND(H12-F12,8),"")</f>
        <v/>
      </c>
      <c r="K12" s="247" t="str">
        <f>IF(AND(L12="Закрыт",ISNUMBER(G12),ISNUMBER(I12)),ROUND(I12-G12,8),"")</f>
        <v/>
      </c>
      <c r="L12" s="244" t="inlineStr">
        <is>
          <t>Открыт</t>
        </is>
      </c>
    </row>
    <row r="13" ht="22" customHeight="1">
      <c r="B13" s="236" t="n"/>
      <c r="C13" s="237" t="n"/>
      <c r="D13" s="238" t="n"/>
      <c r="E13" s="239" t="n"/>
      <c r="F13" s="240" t="n"/>
      <c r="G13" s="241" t="n"/>
      <c r="H13" s="240" t="n"/>
      <c r="I13" s="241" t="n"/>
      <c r="J13" s="240" t="str">
        <f>IF(AND(L13="Закрыт",ISNUMBER(F13),ISNUMBER(H13)),ROUND(H13-F13,8),"")</f>
        <v/>
      </c>
      <c r="K13" s="241" t="str">
        <f>IF(AND(L13="Закрыт",ISNUMBER(G13),ISNUMBER(I13)),ROUND(I13-G13,8),"")</f>
        <v/>
      </c>
      <c r="L13" s="238" t="n"/>
    </row>
    <row r="14" ht="22" customHeight="1">
      <c r="B14" s="242" t="n"/>
      <c r="C14" s="243" t="n"/>
      <c r="D14" s="244" t="n"/>
      <c r="E14" s="245" t="n"/>
      <c r="F14" s="246" t="n"/>
      <c r="G14" s="247" t="n"/>
      <c r="H14" s="246" t="n"/>
      <c r="I14" s="247" t="n"/>
      <c r="J14" s="246" t="str">
        <f>IF(AND(L14="Закрыт",ISNUMBER(F14),ISNUMBER(H14)),ROUND(H14-F14,8),"")</f>
        <v/>
      </c>
      <c r="K14" s="247" t="str">
        <f>IF(AND(L14="Закрыт",ISNUMBER(G14),ISNUMBER(I14)),ROUND(I14-G14,8),"")</f>
        <v/>
      </c>
      <c r="L14" s="244" t="n"/>
    </row>
    <row r="15" ht="22" customHeight="1">
      <c r="B15" s="236" t="n"/>
      <c r="C15" s="237" t="n"/>
      <c r="D15" s="238" t="n"/>
      <c r="E15" s="239" t="n"/>
      <c r="F15" s="240" t="n"/>
      <c r="G15" s="241" t="n"/>
      <c r="H15" s="240" t="n"/>
      <c r="I15" s="241" t="n"/>
      <c r="J15" s="240" t="str">
        <f>IF(AND(L15="Закрыт",ISNUMBER(F15),ISNUMBER(H15)),ROUND(H15-F15,8),"")</f>
        <v/>
      </c>
      <c r="K15" s="241" t="str">
        <f>IF(AND(L15="Закрыт",ISNUMBER(G15),ISNUMBER(I15)),ROUND(I15-G15,8),"")</f>
        <v/>
      </c>
      <c r="L15" s="238" t="n"/>
    </row>
    <row r="16" ht="22" customHeight="1">
      <c r="B16" s="242" t="n"/>
      <c r="C16" s="243" t="n"/>
      <c r="D16" s="244" t="n"/>
      <c r="E16" s="245" t="n"/>
      <c r="F16" s="246" t="n"/>
      <c r="G16" s="247" t="n"/>
      <c r="H16" s="246" t="n"/>
      <c r="I16" s="247" t="n"/>
      <c r="J16" s="246" t="str">
        <f>IF(AND(L16="Закрыт",ISNUMBER(F16),ISNUMBER(H16)),ROUND(H16-F16,8),"")</f>
        <v/>
      </c>
      <c r="K16" s="247" t="str">
        <f>IF(AND(L16="Закрыт",ISNUMBER(G16),ISNUMBER(I16)),ROUND(I16-G16,8),"")</f>
        <v/>
      </c>
      <c r="L16" s="244" t="n"/>
    </row>
    <row r="17" ht="22" customHeight="1">
      <c r="B17" s="236" t="n"/>
      <c r="C17" s="237" t="n"/>
      <c r="D17" s="238" t="n"/>
      <c r="E17" s="239" t="n"/>
      <c r="F17" s="240" t="n"/>
      <c r="G17" s="241" t="n"/>
      <c r="H17" s="240" t="n"/>
      <c r="I17" s="241" t="n"/>
      <c r="J17" s="240" t="str">
        <f>IF(AND(L17="Закрыт",ISNUMBER(F17),ISNUMBER(H17)),ROUND(H17-F17,8),"")</f>
        <v/>
      </c>
      <c r="K17" s="241" t="str">
        <f>IF(AND(L17="Закрыт",ISNUMBER(G17),ISNUMBER(I17)),ROUND(I17-G17,8),"")</f>
        <v/>
      </c>
      <c r="L17" s="238" t="n"/>
    </row>
    <row r="18" ht="22" customHeight="1">
      <c r="B18" s="242" t="n"/>
      <c r="C18" s="243" t="n"/>
      <c r="D18" s="244" t="n"/>
      <c r="E18" s="245" t="n"/>
      <c r="F18" s="246" t="n"/>
      <c r="G18" s="247" t="n"/>
      <c r="H18" s="246" t="n"/>
      <c r="I18" s="247" t="n"/>
      <c r="J18" s="246" t="str">
        <f>IF(AND(L18="Закрыт",ISNUMBER(F18),ISNUMBER(H18)),ROUND(H18-F18,8),"")</f>
        <v/>
      </c>
      <c r="K18" s="247" t="str">
        <f>IF(AND(L18="Закрыт",ISNUMBER(G18),ISNUMBER(I18)),ROUND(I18-G18,8),"")</f>
        <v/>
      </c>
      <c r="L18" s="244" t="n"/>
    </row>
    <row r="19" ht="22" customHeight="1">
      <c r="B19" s="236" t="n"/>
      <c r="C19" s="237" t="n"/>
      <c r="D19" s="238" t="n"/>
      <c r="E19" s="239" t="n"/>
      <c r="F19" s="240" t="n"/>
      <c r="G19" s="241" t="n"/>
      <c r="H19" s="240" t="n"/>
      <c r="I19" s="241" t="n"/>
      <c r="J19" s="240" t="str">
        <f>IF(AND(L19="Закрыт",ISNUMBER(F19),ISNUMBER(H19)),ROUND(H19-F19,8),"")</f>
        <v/>
      </c>
      <c r="K19" s="241" t="str">
        <f>IF(AND(L19="Закрыт",ISNUMBER(G19),ISNUMBER(I19)),ROUND(I19-G19,8),"")</f>
        <v/>
      </c>
      <c r="L19" s="238" t="n"/>
    </row>
    <row r="20" ht="22" customHeight="1">
      <c r="B20" s="242" t="n"/>
      <c r="C20" s="243" t="n"/>
      <c r="D20" s="244" t="n"/>
      <c r="E20" s="245" t="n"/>
      <c r="F20" s="246" t="n"/>
      <c r="G20" s="247" t="n"/>
      <c r="H20" s="246" t="n"/>
      <c r="I20" s="247" t="n"/>
      <c r="J20" s="246" t="str">
        <f>IF(AND(L20="Закрыт",ISNUMBER(F20),ISNUMBER(H20)),ROUND(H20-F20,8),"")</f>
        <v/>
      </c>
      <c r="K20" s="247" t="str">
        <f>IF(AND(L20="Закрыт",ISNUMBER(G20),ISNUMBER(I20)),ROUND(I20-G20,8),"")</f>
        <v/>
      </c>
      <c r="L20" s="244" t="n"/>
    </row>
    <row r="21" ht="22" customHeight="1">
      <c r="B21" s="236" t="n"/>
      <c r="C21" s="237" t="n"/>
      <c r="D21" s="238" t="n"/>
      <c r="E21" s="239" t="n"/>
      <c r="F21" s="240" t="n"/>
      <c r="G21" s="241" t="n"/>
      <c r="H21" s="240" t="n"/>
      <c r="I21" s="241" t="n"/>
      <c r="J21" s="240" t="str">
        <f>IF(AND(L21="Закрыт",ISNUMBER(F21),ISNUMBER(H21)),ROUND(H21-F21,8),"")</f>
        <v/>
      </c>
      <c r="K21" s="241" t="str">
        <f>IF(AND(L21="Закрыт",ISNUMBER(G21),ISNUMBER(I21)),ROUND(I21-G21,8),"")</f>
        <v/>
      </c>
      <c r="L21" s="238" t="n"/>
    </row>
    <row r="22" ht="22" customHeight="1">
      <c r="B22" s="242" t="n"/>
      <c r="C22" s="243" t="n"/>
      <c r="D22" s="244" t="n"/>
      <c r="E22" s="245" t="n"/>
      <c r="F22" s="246" t="n"/>
      <c r="G22" s="247" t="n"/>
      <c r="H22" s="246" t="n"/>
      <c r="I22" s="247" t="n"/>
      <c r="J22" s="246" t="str">
        <f>IF(AND(L22="Закрыт",ISNUMBER(F22),ISNUMBER(H22)),ROUND(H22-F22,8),"")</f>
        <v/>
      </c>
      <c r="K22" s="247" t="str">
        <f>IF(AND(L22="Закрыт",ISNUMBER(G22),ISNUMBER(I22)),ROUND(I22-G22,8),"")</f>
        <v/>
      </c>
      <c r="L22" s="244" t="n"/>
    </row>
    <row r="23" ht="22" customHeight="1">
      <c r="B23" s="236" t="n"/>
      <c r="C23" s="237" t="n"/>
      <c r="D23" s="238" t="n"/>
      <c r="E23" s="239" t="n"/>
      <c r="F23" s="240" t="n"/>
      <c r="G23" s="241" t="n"/>
      <c r="H23" s="240" t="n"/>
      <c r="I23" s="241" t="n"/>
      <c r="J23" s="240" t="str">
        <f>IF(AND(L23="Закрыт",ISNUMBER(F23),ISNUMBER(H23)),ROUND(H23-F23,8),"")</f>
        <v/>
      </c>
      <c r="K23" s="241" t="str">
        <f>IF(AND(L23="Закрыт",ISNUMBER(G23),ISNUMBER(I23)),ROUND(I23-G23,8),"")</f>
        <v/>
      </c>
      <c r="L23" s="238" t="n"/>
    </row>
    <row r="24" ht="22" customHeight="1">
      <c r="B24" s="242" t="n"/>
      <c r="C24" s="243" t="n"/>
      <c r="D24" s="244" t="n"/>
      <c r="E24" s="245" t="n"/>
      <c r="F24" s="246" t="n"/>
      <c r="G24" s="247" t="n"/>
      <c r="H24" s="246" t="n"/>
      <c r="I24" s="247" t="n"/>
      <c r="J24" s="246" t="str">
        <f>IF(AND(L24="Закрыт",ISNUMBER(F24),ISNUMBER(H24)),ROUND(H24-F24,8),"")</f>
        <v/>
      </c>
      <c r="K24" s="247" t="str">
        <f>IF(AND(L24="Закрыт",ISNUMBER(G24),ISNUMBER(I24)),ROUND(I24-G24,8),"")</f>
        <v/>
      </c>
      <c r="L24" s="244" t="n"/>
    </row>
    <row r="25" ht="22" customHeight="1">
      <c r="B25" s="236" t="n"/>
      <c r="C25" s="237" t="n"/>
      <c r="D25" s="238" t="n"/>
      <c r="E25" s="239" t="n"/>
      <c r="F25" s="240" t="n"/>
      <c r="G25" s="241" t="n"/>
      <c r="H25" s="240" t="n"/>
      <c r="I25" s="241" t="n"/>
      <c r="J25" s="240" t="str">
        <f>IF(AND(L25="Закрыт",ISNUMBER(F25),ISNUMBER(H25)),ROUND(H25-F25,8),"")</f>
        <v/>
      </c>
      <c r="K25" s="241" t="str">
        <f>IF(AND(L25="Закрыт",ISNUMBER(G25),ISNUMBER(I25)),ROUND(I25-G25,8),"")</f>
        <v/>
      </c>
      <c r="L25" s="238" t="n"/>
    </row>
    <row r="26" ht="22" customHeight="1">
      <c r="B26" s="242" t="n"/>
      <c r="C26" s="243" t="n"/>
      <c r="D26" s="244" t="n"/>
      <c r="E26" s="245" t="n"/>
      <c r="F26" s="246" t="n"/>
      <c r="G26" s="247" t="n"/>
      <c r="H26" s="246" t="n"/>
      <c r="I26" s="247" t="n"/>
      <c r="J26" s="246" t="str">
        <f>IF(AND(L26="Закрыт",ISNUMBER(F26),ISNUMBER(H26)),ROUND(H26-F26,8),"")</f>
        <v/>
      </c>
      <c r="K26" s="247" t="str">
        <f>IF(AND(L26="Закрыт",ISNUMBER(G26),ISNUMBER(I26)),ROUND(I26-G26,8),"")</f>
        <v/>
      </c>
      <c r="L26" s="244" t="n"/>
    </row>
    <row r="27" ht="22" customHeight="1">
      <c r="B27" s="236" t="n"/>
      <c r="C27" s="237" t="n"/>
      <c r="D27" s="238" t="n"/>
      <c r="E27" s="239" t="n"/>
      <c r="F27" s="240" t="n"/>
      <c r="G27" s="241" t="n"/>
      <c r="H27" s="240" t="n"/>
      <c r="I27" s="241" t="n"/>
      <c r="J27" s="240" t="str">
        <f>IF(AND(L27="Закрыт",ISNUMBER(F27),ISNUMBER(H27)),ROUND(H27-F27,8),"")</f>
        <v/>
      </c>
      <c r="K27" s="241" t="str">
        <f>IF(AND(L27="Закрыт",ISNUMBER(G27),ISNUMBER(I27)),ROUND(I27-G27,8),"")</f>
        <v/>
      </c>
      <c r="L27" s="238" t="n"/>
    </row>
    <row r="28" ht="22" customHeight="1">
      <c r="B28" s="242" t="n"/>
      <c r="C28" s="243" t="n"/>
      <c r="D28" s="244" t="n"/>
      <c r="E28" s="245" t="n"/>
      <c r="F28" s="246" t="n"/>
      <c r="G28" s="247" t="n"/>
      <c r="H28" s="246" t="n"/>
      <c r="I28" s="247" t="n"/>
      <c r="J28" s="246" t="str">
        <f>IF(AND(L28="Закрыт",ISNUMBER(F28),ISNUMBER(H28)),ROUND(H28-F28,8),"")</f>
        <v/>
      </c>
      <c r="K28" s="247" t="str">
        <f>IF(AND(L28="Закрыт",ISNUMBER(G28),ISNUMBER(I28)),ROUND(I28-G28,8),"")</f>
        <v/>
      </c>
      <c r="L28" s="244" t="n"/>
    </row>
    <row r="29" ht="22" customHeight="1">
      <c r="B29" s="236" t="n"/>
      <c r="C29" s="237" t="n"/>
      <c r="D29" s="238" t="n"/>
      <c r="E29" s="239" t="n"/>
      <c r="F29" s="240" t="n"/>
      <c r="G29" s="241" t="n"/>
      <c r="H29" s="240" t="n"/>
      <c r="I29" s="241" t="n"/>
      <c r="J29" s="240" t="str">
        <f>IF(AND(L29="Закрыт",ISNUMBER(F29),ISNUMBER(H29)),ROUND(H29-F29,8),"")</f>
        <v/>
      </c>
      <c r="K29" s="241" t="str">
        <f>IF(AND(L29="Закрыт",ISNUMBER(G29),ISNUMBER(I29)),ROUND(I29-G29,8),"")</f>
        <v/>
      </c>
      <c r="L29" s="238" t="n"/>
    </row>
    <row r="30" ht="22" customHeight="1">
      <c r="B30" s="242" t="n"/>
      <c r="C30" s="243" t="n"/>
      <c r="D30" s="244" t="n"/>
      <c r="E30" s="245" t="n"/>
      <c r="F30" s="246" t="n"/>
      <c r="G30" s="247" t="n"/>
      <c r="H30" s="246" t="n"/>
      <c r="I30" s="247" t="n"/>
      <c r="J30" s="246" t="str">
        <f>IF(AND(L30="Закрыт",ISNUMBER(F30),ISNUMBER(H30)),ROUND(H30-F30,8),"")</f>
        <v/>
      </c>
      <c r="K30" s="247" t="str">
        <f>IF(AND(L30="Закрыт",ISNUMBER(G30),ISNUMBER(I30)),ROUND(I30-G30,8),"")</f>
        <v/>
      </c>
      <c r="L30" s="244" t="n"/>
    </row>
    <row r="31" ht="22" customHeight="1">
      <c r="B31" s="236" t="n"/>
      <c r="C31" s="237" t="n"/>
      <c r="D31" s="238" t="n"/>
      <c r="E31" s="239" t="n"/>
      <c r="F31" s="240" t="n"/>
      <c r="G31" s="241" t="n"/>
      <c r="H31" s="240" t="n"/>
      <c r="I31" s="241" t="n"/>
      <c r="J31" s="240" t="str">
        <f>IF(AND(L31="Закрыт",ISNUMBER(F31),ISNUMBER(H31)),ROUND(H31-F31,8),"")</f>
        <v/>
      </c>
      <c r="K31" s="241" t="str">
        <f>IF(AND(L31="Закрыт",ISNUMBER(G31),ISNUMBER(I31)),ROUND(I31-G31,8),"")</f>
        <v/>
      </c>
      <c r="L31" s="238" t="n"/>
    </row>
    <row r="32" ht="22" customHeight="1">
      <c r="B32" s="242" t="n"/>
      <c r="C32" s="243" t="n"/>
      <c r="D32" s="244" t="n"/>
      <c r="E32" s="245" t="n"/>
      <c r="F32" s="246" t="n"/>
      <c r="G32" s="247" t="n"/>
      <c r="H32" s="246" t="n"/>
      <c r="I32" s="247" t="n"/>
      <c r="J32" s="246" t="str">
        <f>IF(AND(L32="Закрыт",ISNUMBER(F32),ISNUMBER(H32)),ROUND(H32-F32,8),"")</f>
        <v/>
      </c>
      <c r="K32" s="247" t="str">
        <f>IF(AND(L32="Закрыт",ISNUMBER(G32),ISNUMBER(I32)),ROUND(I32-G32,8),"")</f>
        <v/>
      </c>
      <c r="L32" s="244" t="n"/>
    </row>
    <row r="33" ht="22" customHeight="1">
      <c r="B33" s="236" t="n"/>
      <c r="C33" s="237" t="n"/>
      <c r="D33" s="238" t="n"/>
      <c r="E33" s="239" t="n"/>
      <c r="F33" s="240" t="n"/>
      <c r="G33" s="241" t="n"/>
      <c r="H33" s="240" t="n"/>
      <c r="I33" s="241" t="n"/>
      <c r="J33" s="240" t="str">
        <f>IF(AND(L33="Закрыт",ISNUMBER(F33),ISNUMBER(H33)),ROUND(H33-F33,8),"")</f>
        <v/>
      </c>
      <c r="K33" s="241" t="str">
        <f>IF(AND(L33="Закрыт",ISNUMBER(G33),ISNUMBER(I33)),ROUND(I33-G33,8),"")</f>
        <v/>
      </c>
      <c r="L33" s="238" t="n"/>
    </row>
    <row r="34" ht="22" customHeight="1">
      <c r="B34" s="242" t="n"/>
      <c r="C34" s="243" t="n"/>
      <c r="D34" s="244" t="n"/>
      <c r="E34" s="245" t="n"/>
      <c r="F34" s="246" t="n"/>
      <c r="G34" s="247" t="n"/>
      <c r="H34" s="246" t="n"/>
      <c r="I34" s="247" t="n"/>
      <c r="J34" s="246" t="str">
        <f>IF(AND(L34="Закрыт",ISNUMBER(F34),ISNUMBER(H34)),ROUND(H34-F34,8),"")</f>
        <v/>
      </c>
      <c r="K34" s="247" t="str">
        <f>IF(AND(L34="Закрыт",ISNUMBER(G34),ISNUMBER(I34)),ROUND(I34-G34,8),"")</f>
        <v/>
      </c>
      <c r="L34" s="244" t="n"/>
    </row>
    <row r="35" ht="22" customHeight="1">
      <c r="B35" s="236" t="n"/>
      <c r="C35" s="237" t="n"/>
      <c r="D35" s="238" t="n"/>
      <c r="E35" s="239" t="n"/>
      <c r="F35" s="240" t="n"/>
      <c r="G35" s="241" t="n"/>
      <c r="H35" s="240" t="n"/>
      <c r="I35" s="241" t="n"/>
      <c r="J35" s="240" t="str">
        <f>IF(AND(L35="Закрыт",ISNUMBER(F35),ISNUMBER(H35)),ROUND(H35-F35,8),"")</f>
        <v/>
      </c>
      <c r="K35" s="241" t="str">
        <f>IF(AND(L35="Закрыт",ISNUMBER(G35),ISNUMBER(I35)),ROUND(I35-G35,8),"")</f>
        <v/>
      </c>
      <c r="L35" s="238" t="n"/>
    </row>
    <row r="36" ht="22" customHeight="1">
      <c r="B36" s="242" t="n"/>
      <c r="C36" s="243" t="n"/>
      <c r="D36" s="244" t="n"/>
      <c r="E36" s="245" t="n"/>
      <c r="F36" s="246" t="n"/>
      <c r="G36" s="247" t="n"/>
      <c r="H36" s="246" t="n"/>
      <c r="I36" s="247" t="n"/>
      <c r="J36" s="246" t="str">
        <f>IF(AND(L36="Закрыт",ISNUMBER(F36),ISNUMBER(H36)),ROUND(H36-F36,8),"")</f>
        <v/>
      </c>
      <c r="K36" s="247" t="str">
        <f>IF(AND(L36="Закрыт",ISNUMBER(G36),ISNUMBER(I36)),ROUND(I36-G36,8),"")</f>
        <v/>
      </c>
      <c r="L36" s="244" t="n"/>
    </row>
    <row r="37" ht="22" customHeight="1">
      <c r="B37" s="236" t="n"/>
      <c r="C37" s="237" t="n"/>
      <c r="D37" s="238" t="n"/>
      <c r="E37" s="239" t="n"/>
      <c r="F37" s="240" t="n"/>
      <c r="G37" s="241" t="n"/>
      <c r="H37" s="240" t="n"/>
      <c r="I37" s="241" t="n"/>
      <c r="J37" s="240" t="str">
        <f>IF(AND(L37="Закрыт",ISNUMBER(F37),ISNUMBER(H37)),ROUND(H37-F37,8),"")</f>
        <v/>
      </c>
      <c r="K37" s="241" t="str">
        <f>IF(AND(L37="Закрыт",ISNUMBER(G37),ISNUMBER(I37)),ROUND(I37-G37,8),"")</f>
        <v/>
      </c>
      <c r="L37" s="238" t="n"/>
    </row>
    <row r="38" ht="22" customHeight="1">
      <c r="B38" s="242" t="n"/>
      <c r="C38" s="243" t="n"/>
      <c r="D38" s="244" t="n"/>
      <c r="E38" s="245" t="n"/>
      <c r="F38" s="246" t="n"/>
      <c r="G38" s="247" t="n"/>
      <c r="H38" s="246" t="n"/>
      <c r="I38" s="247" t="n"/>
      <c r="J38" s="246" t="str">
        <f>IF(AND(L38="Закрыт",ISNUMBER(F38),ISNUMBER(H38)),ROUND(H38-F38,8),"")</f>
        <v/>
      </c>
      <c r="K38" s="247" t="str">
        <f>IF(AND(L38="Закрыт",ISNUMBER(G38),ISNUMBER(I38)),ROUND(I38-G38,8),"")</f>
        <v/>
      </c>
      <c r="L38" s="244" t="n"/>
    </row>
    <row r="39" ht="22" customHeight="1">
      <c r="B39" s="236" t="n"/>
      <c r="C39" s="237" t="n"/>
      <c r="D39" s="238" t="n"/>
      <c r="E39" s="239" t="n"/>
      <c r="F39" s="240" t="n"/>
      <c r="G39" s="241" t="n"/>
      <c r="H39" s="240" t="n"/>
      <c r="I39" s="241" t="n"/>
      <c r="J39" s="240" t="str">
        <f>IF(AND(L39="Закрыт",ISNUMBER(F39),ISNUMBER(H39)),ROUND(H39-F39,8),"")</f>
        <v/>
      </c>
      <c r="K39" s="241" t="str">
        <f>IF(AND(L39="Закрыт",ISNUMBER(G39),ISNUMBER(I39)),ROUND(I39-G39,8),"")</f>
        <v/>
      </c>
      <c r="L39" s="238" t="n"/>
    </row>
    <row r="40" ht="22" customHeight="1">
      <c r="B40" s="242" t="n"/>
      <c r="C40" s="243" t="n"/>
      <c r="D40" s="244" t="n"/>
      <c r="E40" s="245" t="n"/>
      <c r="F40" s="246" t="n"/>
      <c r="G40" s="247" t="n"/>
      <c r="H40" s="246" t="n"/>
      <c r="I40" s="247" t="n"/>
      <c r="J40" s="246" t="str">
        <f>IF(AND(L40="Закрыт",ISNUMBER(F40),ISNUMBER(H40)),ROUND(H40-F40,8),"")</f>
        <v/>
      </c>
      <c r="K40" s="247" t="str">
        <f>IF(AND(L40="Закрыт",ISNUMBER(G40),ISNUMBER(I40)),ROUND(I40-G40,8),"")</f>
        <v/>
      </c>
      <c r="L40" s="244" t="n"/>
    </row>
    <row r="41" ht="22" customHeight="1">
      <c r="B41" s="236" t="n"/>
      <c r="C41" s="237" t="n"/>
      <c r="D41" s="238" t="n"/>
      <c r="E41" s="239" t="n"/>
      <c r="F41" s="240" t="n"/>
      <c r="G41" s="241" t="n"/>
      <c r="H41" s="240" t="n"/>
      <c r="I41" s="241" t="n"/>
      <c r="J41" s="240" t="str">
        <f>IF(AND(L41="Закрыт",ISNUMBER(F41),ISNUMBER(H41)),ROUND(H41-F41,8),"")</f>
        <v/>
      </c>
      <c r="K41" s="241" t="str">
        <f>IF(AND(L41="Закрыт",ISNUMBER(G41),ISNUMBER(I41)),ROUND(I41-G41,8),"")</f>
        <v/>
      </c>
      <c r="L41" s="238" t="n"/>
    </row>
    <row r="42" ht="22" customHeight="1">
      <c r="B42" s="242" t="n"/>
      <c r="C42" s="243" t="n"/>
      <c r="D42" s="244" t="n"/>
      <c r="E42" s="245" t="n"/>
      <c r="F42" s="246" t="n"/>
      <c r="G42" s="247" t="n"/>
      <c r="H42" s="246" t="n"/>
      <c r="I42" s="247" t="n"/>
      <c r="J42" s="246" t="str">
        <f>IF(AND(L42="Закрыт",ISNUMBER(F42),ISNUMBER(H42)),ROUND(H42-F42,8),"")</f>
        <v/>
      </c>
      <c r="K42" s="247" t="str">
        <f>IF(AND(L42="Закрыт",ISNUMBER(G42),ISNUMBER(I42)),ROUND(I42-G42,8),"")</f>
        <v/>
      </c>
      <c r="L42" s="244" t="n"/>
    </row>
    <row r="43" ht="22" customHeight="1">
      <c r="B43" s="236" t="n"/>
      <c r="C43" s="237" t="n"/>
      <c r="D43" s="238" t="n"/>
      <c r="E43" s="239" t="n"/>
      <c r="F43" s="240" t="n"/>
      <c r="G43" s="241" t="n"/>
      <c r="H43" s="240" t="n"/>
      <c r="I43" s="241" t="n"/>
      <c r="J43" s="240" t="str">
        <f>IF(AND(L43="Закрыт",ISNUMBER(F43),ISNUMBER(H43)),ROUND(H43-F43,8),"")</f>
        <v/>
      </c>
      <c r="K43" s="241" t="str">
        <f>IF(AND(L43="Закрыт",ISNUMBER(G43),ISNUMBER(I43)),ROUND(I43-G43,8),"")</f>
        <v/>
      </c>
      <c r="L43" s="238" t="n"/>
    </row>
    <row r="44" ht="22" customHeight="1">
      <c r="B44" s="242" t="n"/>
      <c r="C44" s="243" t="n"/>
      <c r="D44" s="244" t="n"/>
      <c r="E44" s="245" t="n"/>
      <c r="F44" s="246" t="n"/>
      <c r="G44" s="247" t="n"/>
      <c r="H44" s="246" t="n"/>
      <c r="I44" s="247" t="n"/>
      <c r="J44" s="246" t="str">
        <f>IF(AND(L44="Закрыт",ISNUMBER(F44),ISNUMBER(H44)),ROUND(H44-F44,8),"")</f>
        <v/>
      </c>
      <c r="K44" s="247" t="str">
        <f>IF(AND(L44="Закрыт",ISNUMBER(G44),ISNUMBER(I44)),ROUND(I44-G44,8),"")</f>
        <v/>
      </c>
      <c r="L44" s="244" t="n"/>
    </row>
    <row r="45" ht="22" customHeight="1">
      <c r="B45" s="236" t="n"/>
      <c r="C45" s="237" t="n"/>
      <c r="D45" s="238" t="n"/>
      <c r="E45" s="239" t="n"/>
      <c r="F45" s="240" t="n"/>
      <c r="G45" s="241" t="n"/>
      <c r="H45" s="240" t="n"/>
      <c r="I45" s="241" t="n"/>
      <c r="J45" s="240" t="str">
        <f>IF(AND(L45="Закрыт",ISNUMBER(F45),ISNUMBER(H45)),ROUND(H45-F45,8),"")</f>
        <v/>
      </c>
      <c r="K45" s="241" t="str">
        <f>IF(AND(L45="Закрыт",ISNUMBER(G45),ISNUMBER(I45)),ROUND(I45-G45,8),"")</f>
        <v/>
      </c>
      <c r="L45" s="238" t="n"/>
    </row>
    <row r="46" ht="22" customHeight="1">
      <c r="B46" s="242" t="n"/>
      <c r="C46" s="243" t="n"/>
      <c r="D46" s="244" t="n"/>
      <c r="E46" s="245" t="n"/>
      <c r="F46" s="246" t="n"/>
      <c r="G46" s="247" t="n"/>
      <c r="H46" s="246" t="n"/>
      <c r="I46" s="247" t="n"/>
      <c r="J46" s="246" t="str">
        <f>IF(AND(L46="Закрыт",ISNUMBER(F46),ISNUMBER(H46)),ROUND(H46-F46,8),"")</f>
        <v/>
      </c>
      <c r="K46" s="247" t="str">
        <f>IF(AND(L46="Закрыт",ISNUMBER(G46),ISNUMBER(I46)),ROUND(I46-G46,8),"")</f>
        <v/>
      </c>
      <c r="L46" s="244" t="n"/>
    </row>
    <row r="47" ht="22" customHeight="1">
      <c r="B47" s="236" t="n"/>
      <c r="C47" s="237" t="n"/>
      <c r="D47" s="238" t="n"/>
      <c r="E47" s="239" t="n"/>
      <c r="F47" s="240" t="n"/>
      <c r="G47" s="241" t="n"/>
      <c r="H47" s="240" t="n"/>
      <c r="I47" s="241" t="n"/>
      <c r="J47" s="240" t="str">
        <f>IF(AND(L47="Закрыт",ISNUMBER(F47),ISNUMBER(H47)),ROUND(H47-F47,8),"")</f>
        <v/>
      </c>
      <c r="K47" s="241" t="str">
        <f>IF(AND(L47="Закрыт",ISNUMBER(G47),ISNUMBER(I47)),ROUND(I47-G47,8),"")</f>
        <v/>
      </c>
      <c r="L47" s="238" t="n"/>
    </row>
    <row r="48" ht="22" customHeight="1">
      <c r="B48" s="242" t="n"/>
      <c r="C48" s="243" t="n"/>
      <c r="D48" s="244" t="n"/>
      <c r="E48" s="245" t="n"/>
      <c r="F48" s="246" t="n"/>
      <c r="G48" s="247" t="n"/>
      <c r="H48" s="246" t="n"/>
      <c r="I48" s="247" t="n"/>
      <c r="J48" s="246" t="str">
        <f>IF(AND(L48="Закрыт",ISNUMBER(F48),ISNUMBER(H48)),ROUND(H48-F48,8),"")</f>
        <v/>
      </c>
      <c r="K48" s="247" t="str">
        <f>IF(AND(L48="Закрыт",ISNUMBER(G48),ISNUMBER(I48)),ROUND(I48-G48,8),"")</f>
        <v/>
      </c>
      <c r="L48" s="244" t="n"/>
    </row>
    <row r="49" ht="22" customHeight="1">
      <c r="B49" s="236" t="n"/>
      <c r="C49" s="237" t="n"/>
      <c r="D49" s="238" t="n"/>
      <c r="E49" s="239" t="n"/>
      <c r="F49" s="240" t="n"/>
      <c r="G49" s="241" t="n"/>
      <c r="H49" s="240" t="n"/>
      <c r="I49" s="241" t="n"/>
      <c r="J49" s="240" t="str">
        <f>IF(AND(L49="Закрыт",ISNUMBER(F49),ISNUMBER(H49)),ROUND(H49-F49,8),"")</f>
        <v/>
      </c>
      <c r="K49" s="241" t="str">
        <f>IF(AND(L49="Закрыт",ISNUMBER(G49),ISNUMBER(I49)),ROUND(I49-G49,8),"")</f>
        <v/>
      </c>
      <c r="L49" s="238" t="n"/>
    </row>
    <row r="50" ht="22" customHeight="1">
      <c r="B50" s="242" t="n"/>
      <c r="C50" s="243" t="n"/>
      <c r="D50" s="244" t="n"/>
      <c r="E50" s="245" t="n"/>
      <c r="F50" s="246" t="n"/>
      <c r="G50" s="247" t="n"/>
      <c r="H50" s="246" t="n"/>
      <c r="I50" s="247" t="n"/>
      <c r="J50" s="246" t="str">
        <f>IF(AND(L50="Закрыт",ISNUMBER(F50),ISNUMBER(H50)),ROUND(H50-F50,8),"")</f>
        <v/>
      </c>
      <c r="K50" s="247" t="str">
        <f>IF(AND(L50="Закрыт",ISNUMBER(G50),ISNUMBER(I50)),ROUND(I50-G50,8),"")</f>
        <v/>
      </c>
      <c r="L50" s="244" t="n"/>
    </row>
    <row r="51" ht="22" customHeight="1">
      <c r="B51" s="236" t="n"/>
      <c r="C51" s="237" t="n"/>
      <c r="D51" s="238" t="n"/>
      <c r="E51" s="239" t="n"/>
      <c r="F51" s="240" t="n"/>
      <c r="G51" s="241" t="n"/>
      <c r="H51" s="240" t="n"/>
      <c r="I51" s="241" t="n"/>
      <c r="J51" s="240" t="str">
        <f>IF(AND(L51="Закрыт",ISNUMBER(F51),ISNUMBER(H51)),ROUND(H51-F51,8),"")</f>
        <v/>
      </c>
      <c r="K51" s="241" t="str">
        <f>IF(AND(L51="Закрыт",ISNUMBER(G51),ISNUMBER(I51)),ROUND(I51-G51,8),"")</f>
        <v/>
      </c>
      <c r="L51" s="238" t="n"/>
    </row>
    <row r="52" ht="22" customHeight="1">
      <c r="B52" s="242" t="n"/>
      <c r="C52" s="243" t="n"/>
      <c r="D52" s="244" t="n"/>
      <c r="E52" s="245" t="n"/>
      <c r="F52" s="246" t="n"/>
      <c r="G52" s="247" t="n"/>
      <c r="H52" s="246" t="n"/>
      <c r="I52" s="247" t="n"/>
      <c r="J52" s="246" t="str">
        <f>IF(AND(L52="Закрыт",ISNUMBER(F52),ISNUMBER(H52)),ROUND(H52-F52,8),"")</f>
        <v/>
      </c>
      <c r="K52" s="247" t="str">
        <f>IF(AND(L52="Закрыт",ISNUMBER(G52),ISNUMBER(I52)),ROUND(I52-G52,8),"")</f>
        <v/>
      </c>
      <c r="L52" s="244" t="n"/>
    </row>
    <row r="53" ht="22" customHeight="1">
      <c r="B53" s="236" t="n"/>
      <c r="C53" s="237" t="n"/>
      <c r="D53" s="238" t="n"/>
      <c r="E53" s="239" t="n"/>
      <c r="F53" s="240" t="n"/>
      <c r="G53" s="241" t="n"/>
      <c r="H53" s="240" t="n"/>
      <c r="I53" s="241" t="n"/>
      <c r="J53" s="240" t="str">
        <f>IF(AND(L53="Закрыт",ISNUMBER(F53),ISNUMBER(H53)),ROUND(H53-F53,8),"")</f>
        <v/>
      </c>
      <c r="K53" s="241" t="str">
        <f>IF(AND(L53="Закрыт",ISNUMBER(G53),ISNUMBER(I53)),ROUND(I53-G53,8),"")</f>
        <v/>
      </c>
      <c r="L53" s="238" t="n"/>
    </row>
    <row r="54" ht="22" customHeight="1">
      <c r="B54" s="242" t="n"/>
      <c r="C54" s="243" t="n"/>
      <c r="D54" s="244" t="n"/>
      <c r="E54" s="245" t="n"/>
      <c r="F54" s="246" t="n"/>
      <c r="G54" s="247" t="n"/>
      <c r="H54" s="246" t="n"/>
      <c r="I54" s="247" t="n"/>
      <c r="J54" s="246" t="str">
        <f>IF(AND(L54="Закрыт",ISNUMBER(F54),ISNUMBER(H54)),ROUND(H54-F54,8),"")</f>
        <v/>
      </c>
      <c r="K54" s="247" t="str">
        <f>IF(AND(L54="Закрыт",ISNUMBER(G54),ISNUMBER(I54)),ROUND(I54-G54,8),"")</f>
        <v/>
      </c>
      <c r="L54" s="244" t="n"/>
    </row>
    <row r="55" ht="22" customHeight="1">
      <c r="B55" s="236" t="n"/>
      <c r="C55" s="237" t="n"/>
      <c r="D55" s="238" t="n"/>
      <c r="E55" s="239" t="n"/>
      <c r="F55" s="240" t="n"/>
      <c r="G55" s="241" t="n"/>
      <c r="H55" s="240" t="n"/>
      <c r="I55" s="241" t="n"/>
      <c r="J55" s="240" t="str">
        <f>IF(AND(L55="Закрыт",ISNUMBER(F55),ISNUMBER(H55)),ROUND(H55-F55,8),"")</f>
        <v/>
      </c>
      <c r="K55" s="241" t="str">
        <f>IF(AND(L55="Закрыт",ISNUMBER(G55),ISNUMBER(I55)),ROUND(I55-G55,8),"")</f>
        <v/>
      </c>
      <c r="L55" s="238" t="n"/>
    </row>
    <row r="56" ht="22" customHeight="1">
      <c r="B56" s="242" t="n"/>
      <c r="C56" s="243" t="n"/>
      <c r="D56" s="244" t="n"/>
      <c r="E56" s="245" t="n"/>
      <c r="F56" s="246" t="n"/>
      <c r="G56" s="247" t="n"/>
      <c r="H56" s="246" t="n"/>
      <c r="I56" s="247" t="n"/>
      <c r="J56" s="246" t="str">
        <f>IF(AND(L56="Закрыт",ISNUMBER(F56),ISNUMBER(H56)),ROUND(H56-F56,8),"")</f>
        <v/>
      </c>
      <c r="K56" s="247" t="str">
        <f>IF(AND(L56="Закрыт",ISNUMBER(G56),ISNUMBER(I56)),ROUND(I56-G56,8),"")</f>
        <v/>
      </c>
      <c r="L56" s="244" t="n"/>
    </row>
    <row r="57" ht="22" customHeight="1">
      <c r="B57" s="236" t="n"/>
      <c r="C57" s="237" t="n"/>
      <c r="D57" s="238" t="n"/>
      <c r="E57" s="239" t="n"/>
      <c r="F57" s="240" t="n"/>
      <c r="G57" s="241" t="n"/>
      <c r="H57" s="240" t="n"/>
      <c r="I57" s="241" t="n"/>
      <c r="J57" s="240" t="str">
        <f>IF(AND(L57="Закрыт",ISNUMBER(F57),ISNUMBER(H57)),ROUND(H57-F57,8),"")</f>
        <v/>
      </c>
      <c r="K57" s="241" t="str">
        <f>IF(AND(L57="Закрыт",ISNUMBER(G57),ISNUMBER(I57)),ROUND(I57-G57,8),"")</f>
        <v/>
      </c>
      <c r="L57" s="238" t="n"/>
    </row>
    <row r="58" ht="22" customHeight="1">
      <c r="B58" s="242" t="n"/>
      <c r="C58" s="243" t="n"/>
      <c r="D58" s="244" t="n"/>
      <c r="E58" s="245" t="n"/>
      <c r="F58" s="246" t="n"/>
      <c r="G58" s="247" t="n"/>
      <c r="H58" s="246" t="n"/>
      <c r="I58" s="247" t="n"/>
      <c r="J58" s="246" t="str">
        <f>IF(AND(L58="Закрыт",ISNUMBER(F58),ISNUMBER(H58)),ROUND(H58-F58,8),"")</f>
        <v/>
      </c>
      <c r="K58" s="247" t="str">
        <f>IF(AND(L58="Закрыт",ISNUMBER(G58),ISNUMBER(I58)),ROUND(I58-G58,8),"")</f>
        <v/>
      </c>
      <c r="L58" s="244" t="n"/>
    </row>
    <row r="59" ht="22" customHeight="1">
      <c r="B59" s="236" t="n"/>
      <c r="C59" s="237" t="n"/>
      <c r="D59" s="238" t="n"/>
      <c r="E59" s="239" t="n"/>
      <c r="F59" s="240" t="n"/>
      <c r="G59" s="241" t="n"/>
      <c r="H59" s="240" t="n"/>
      <c r="I59" s="241" t="n"/>
      <c r="J59" s="240" t="str">
        <f>IF(AND(L59="Закрыт",ISNUMBER(F59),ISNUMBER(H59)),ROUND(H59-F59,8),"")</f>
        <v/>
      </c>
      <c r="K59" s="241" t="str">
        <f>IF(AND(L59="Закрыт",ISNUMBER(G59),ISNUMBER(I59)),ROUND(I59-G59,8),"")</f>
        <v/>
      </c>
      <c r="L59" s="238" t="n"/>
    </row>
    <row r="60" ht="22" customHeight="1">
      <c r="B60" s="242" t="n"/>
      <c r="C60" s="243" t="n"/>
      <c r="D60" s="244" t="n"/>
      <c r="E60" s="245" t="n"/>
      <c r="F60" s="246" t="n"/>
      <c r="G60" s="247" t="n"/>
      <c r="H60" s="246" t="n"/>
      <c r="I60" s="247" t="n"/>
      <c r="J60" s="246" t="str">
        <f>IF(AND(L60="Закрыт",ISNUMBER(F60),ISNUMBER(H60)),ROUND(H60-F60,8),"")</f>
        <v/>
      </c>
      <c r="K60" s="247" t="str">
        <f>IF(AND(L60="Закрыт",ISNUMBER(G60),ISNUMBER(I60)),ROUND(I60-G60,8),"")</f>
        <v/>
      </c>
      <c r="L60" s="244" t="n"/>
    </row>
    <row r="61" ht="22" customHeight="1">
      <c r="B61" s="236" t="n"/>
      <c r="C61" s="237" t="n"/>
      <c r="D61" s="238" t="n"/>
      <c r="E61" s="239" t="n"/>
      <c r="F61" s="240" t="n"/>
      <c r="G61" s="241" t="n"/>
      <c r="H61" s="240" t="n"/>
      <c r="I61" s="241" t="n"/>
      <c r="J61" s="240" t="str">
        <f>IF(AND(L61="Закрыт",ISNUMBER(F61),ISNUMBER(H61)),ROUND(H61-F61,8),"")</f>
        <v/>
      </c>
      <c r="K61" s="241" t="str">
        <f>IF(AND(L61="Закрыт",ISNUMBER(G61),ISNUMBER(I61)),ROUND(I61-G61,8),"")</f>
        <v/>
      </c>
      <c r="L61" s="238" t="n"/>
    </row>
    <row r="62" ht="22" customHeight="1">
      <c r="B62" s="242" t="n"/>
      <c r="C62" s="243" t="n"/>
      <c r="D62" s="244" t="n"/>
      <c r="E62" s="245" t="n"/>
      <c r="F62" s="246" t="n"/>
      <c r="G62" s="247" t="n"/>
      <c r="H62" s="246" t="n"/>
      <c r="I62" s="247" t="n"/>
      <c r="J62" s="246" t="str">
        <f>IF(AND(L62="Закрыт",ISNUMBER(F62),ISNUMBER(H62)),ROUND(H62-F62,8),"")</f>
        <v/>
      </c>
      <c r="K62" s="247" t="str">
        <f>IF(AND(L62="Закрыт",ISNUMBER(G62),ISNUMBER(I62)),ROUND(I62-G62,8),"")</f>
        <v/>
      </c>
      <c r="L62" s="244" t="n"/>
    </row>
    <row r="63" ht="22" customHeight="1">
      <c r="B63" s="236" t="n"/>
      <c r="C63" s="237" t="n"/>
      <c r="D63" s="238" t="n"/>
      <c r="E63" s="239" t="n"/>
      <c r="F63" s="240" t="n"/>
      <c r="G63" s="241" t="n"/>
      <c r="H63" s="240" t="n"/>
      <c r="I63" s="241" t="n"/>
      <c r="J63" s="240" t="str">
        <f>IF(AND(L63="Закрыт",ISNUMBER(F63),ISNUMBER(H63)),ROUND(H63-F63,8),"")</f>
        <v/>
      </c>
      <c r="K63" s="241" t="str">
        <f>IF(AND(L63="Закрыт",ISNUMBER(G63),ISNUMBER(I63)),ROUND(I63-G63,8),"")</f>
        <v/>
      </c>
      <c r="L63" s="238" t="n"/>
    </row>
    <row r="64" ht="22" customHeight="1">
      <c r="B64" s="242" t="n"/>
      <c r="C64" s="243" t="n"/>
      <c r="D64" s="244" t="n"/>
      <c r="E64" s="245" t="n"/>
      <c r="F64" s="246" t="n"/>
      <c r="G64" s="247" t="n"/>
      <c r="H64" s="246" t="n"/>
      <c r="I64" s="247" t="n"/>
      <c r="J64" s="246" t="str">
        <f>IF(AND(L64="Закрыт",ISNUMBER(F64),ISNUMBER(H64)),ROUND(H64-F64,8),"")</f>
        <v/>
      </c>
      <c r="K64" s="247" t="str">
        <f>IF(AND(L64="Закрыт",ISNUMBER(G64),ISNUMBER(I64)),ROUND(I64-G64,8),"")</f>
        <v/>
      </c>
      <c r="L64" s="244" t="n"/>
    </row>
    <row r="65" ht="22" customHeight="1">
      <c r="B65" s="236" t="n"/>
      <c r="C65" s="237" t="n"/>
      <c r="D65" s="238" t="n"/>
      <c r="E65" s="239" t="n"/>
      <c r="F65" s="240" t="n"/>
      <c r="G65" s="241" t="n"/>
      <c r="H65" s="240" t="n"/>
      <c r="I65" s="241" t="n"/>
      <c r="J65" s="240" t="str">
        <f>IF(AND(L65="Закрыт",ISNUMBER(F65),ISNUMBER(H65)),ROUND(H65-F65,8),"")</f>
        <v/>
      </c>
      <c r="K65" s="241" t="str">
        <f>IF(AND(L65="Закрыт",ISNUMBER(G65),ISNUMBER(I65)),ROUND(I65-G65,8),"")</f>
        <v/>
      </c>
      <c r="L65" s="238" t="n"/>
    </row>
    <row r="66" ht="22" customHeight="1">
      <c r="B66" s="242" t="n"/>
      <c r="C66" s="243" t="n"/>
      <c r="D66" s="244" t="n"/>
      <c r="E66" s="245" t="n"/>
      <c r="F66" s="246" t="n"/>
      <c r="G66" s="247" t="n"/>
      <c r="H66" s="246" t="n"/>
      <c r="I66" s="247" t="n"/>
      <c r="J66" s="246" t="str">
        <f>IF(AND(L66="Закрыт",ISNUMBER(F66),ISNUMBER(H66)),ROUND(H66-F66,8),"")</f>
        <v/>
      </c>
      <c r="K66" s="247" t="str">
        <f>IF(AND(L66="Закрыт",ISNUMBER(G66),ISNUMBER(I66)),ROUND(I66-G66,8),"")</f>
        <v/>
      </c>
      <c r="L66" s="244" t="n"/>
    </row>
    <row r="67" ht="22" customHeight="1">
      <c r="B67" s="236" t="n"/>
      <c r="C67" s="237" t="n"/>
      <c r="D67" s="238" t="n"/>
      <c r="E67" s="239" t="n"/>
      <c r="F67" s="240" t="n"/>
      <c r="G67" s="241" t="n"/>
      <c r="H67" s="240" t="n"/>
      <c r="I67" s="241" t="n"/>
      <c r="J67" s="240" t="str">
        <f>IF(AND(L67="Закрыт",ISNUMBER(F67),ISNUMBER(H67)),ROUND(H67-F67,8),"")</f>
        <v/>
      </c>
      <c r="K67" s="241" t="str">
        <f>IF(AND(L67="Закрыт",ISNUMBER(G67),ISNUMBER(I67)),ROUND(I67-G67,8),"")</f>
        <v/>
      </c>
      <c r="L67" s="238" t="n"/>
    </row>
    <row r="68" ht="22" customHeight="1">
      <c r="B68" s="242" t="n"/>
      <c r="C68" s="243" t="n"/>
      <c r="D68" s="244" t="n"/>
      <c r="E68" s="245" t="n"/>
      <c r="F68" s="246" t="n"/>
      <c r="G68" s="247" t="n"/>
      <c r="H68" s="246" t="n"/>
      <c r="I68" s="247" t="n"/>
      <c r="J68" s="246" t="str">
        <f>IF(AND(L68="Закрыт",ISNUMBER(F68),ISNUMBER(H68)),ROUND(H68-F68,8),"")</f>
        <v/>
      </c>
      <c r="K68" s="247" t="str">
        <f>IF(AND(L68="Закрыт",ISNUMBER(G68),ISNUMBER(I68)),ROUND(I68-G68,8),"")</f>
        <v/>
      </c>
      <c r="L68" s="244" t="n"/>
    </row>
    <row r="69" ht="22" customHeight="1">
      <c r="B69" s="236" t="n"/>
      <c r="C69" s="237" t="n"/>
      <c r="D69" s="238" t="n"/>
      <c r="E69" s="239" t="n"/>
      <c r="F69" s="240" t="n"/>
      <c r="G69" s="241" t="n"/>
      <c r="H69" s="240" t="n"/>
      <c r="I69" s="241" t="n"/>
      <c r="J69" s="240" t="str">
        <f>IF(AND(L69="Закрыт",ISNUMBER(F69),ISNUMBER(H69)),ROUND(H69-F69,8),"")</f>
        <v/>
      </c>
      <c r="K69" s="241" t="str">
        <f>IF(AND(L69="Закрыт",ISNUMBER(G69),ISNUMBER(I69)),ROUND(I69-G69,8),"")</f>
        <v/>
      </c>
      <c r="L69" s="238" t="n"/>
    </row>
    <row r="70" ht="22" customHeight="1">
      <c r="B70" s="242" t="n"/>
      <c r="C70" s="243" t="n"/>
      <c r="D70" s="244" t="n"/>
      <c r="E70" s="245" t="n"/>
      <c r="F70" s="246" t="n"/>
      <c r="G70" s="247" t="n"/>
      <c r="H70" s="246" t="n"/>
      <c r="I70" s="247" t="n"/>
      <c r="J70" s="246" t="str">
        <f>IF(AND(L70="Закрыт",ISNUMBER(F70),ISNUMBER(H70)),ROUND(H70-F70,8),"")</f>
        <v/>
      </c>
      <c r="K70" s="247" t="str">
        <f>IF(AND(L70="Закрыт",ISNUMBER(G70),ISNUMBER(I70)),ROUND(I70-G70,8),"")</f>
        <v/>
      </c>
      <c r="L70" s="244" t="n"/>
    </row>
    <row r="71" ht="22" customHeight="1">
      <c r="B71" s="236" t="n"/>
      <c r="C71" s="237" t="n"/>
      <c r="D71" s="238" t="n"/>
      <c r="E71" s="239" t="n"/>
      <c r="F71" s="240" t="n"/>
      <c r="G71" s="241" t="n"/>
      <c r="H71" s="240" t="n"/>
      <c r="I71" s="241" t="n"/>
      <c r="J71" s="240" t="str">
        <f>IF(AND(L71="Закрыт",ISNUMBER(F71),ISNUMBER(H71)),ROUND(H71-F71,8),"")</f>
        <v/>
      </c>
      <c r="K71" s="241" t="str">
        <f>IF(AND(L71="Закрыт",ISNUMBER(G71),ISNUMBER(I71)),ROUND(I71-G71,8),"")</f>
        <v/>
      </c>
      <c r="L71" s="238" t="n"/>
    </row>
    <row r="72" ht="22" customHeight="1">
      <c r="B72" s="242" t="n"/>
      <c r="C72" s="243" t="n"/>
      <c r="D72" s="244" t="n"/>
      <c r="E72" s="245" t="n"/>
      <c r="F72" s="246" t="n"/>
      <c r="G72" s="247" t="n"/>
      <c r="H72" s="246" t="n"/>
      <c r="I72" s="247" t="n"/>
      <c r="J72" s="246" t="str">
        <f>IF(AND(L72="Закрыт",ISNUMBER(F72),ISNUMBER(H72)),ROUND(H72-F72,8),"")</f>
        <v/>
      </c>
      <c r="K72" s="247" t="str">
        <f>IF(AND(L72="Закрыт",ISNUMBER(G72),ISNUMBER(I72)),ROUND(I72-G72,8),"")</f>
        <v/>
      </c>
      <c r="L72" s="244" t="n"/>
    </row>
    <row r="73" ht="22" customHeight="1">
      <c r="B73" s="236" t="n"/>
      <c r="C73" s="237" t="n"/>
      <c r="D73" s="238" t="n"/>
      <c r="E73" s="239" t="n"/>
      <c r="F73" s="240" t="n"/>
      <c r="G73" s="241" t="n"/>
      <c r="H73" s="240" t="n"/>
      <c r="I73" s="241" t="n"/>
      <c r="J73" s="240" t="str">
        <f>IF(AND(L73="Закрыт",ISNUMBER(F73),ISNUMBER(H73)),ROUND(H73-F73,8),"")</f>
        <v/>
      </c>
      <c r="K73" s="241" t="str">
        <f>IF(AND(L73="Закрыт",ISNUMBER(G73),ISNUMBER(I73)),ROUND(I73-G73,8),"")</f>
        <v/>
      </c>
      <c r="L73" s="238" t="n"/>
    </row>
    <row r="74" ht="22" customHeight="1">
      <c r="B74" s="242" t="n"/>
      <c r="C74" s="243" t="n"/>
      <c r="D74" s="244" t="n"/>
      <c r="E74" s="245" t="n"/>
      <c r="F74" s="246" t="n"/>
      <c r="G74" s="247" t="n"/>
      <c r="H74" s="246" t="n"/>
      <c r="I74" s="247" t="n"/>
      <c r="J74" s="246" t="str">
        <f>IF(AND(L74="Закрыт",ISNUMBER(F74),ISNUMBER(H74)),ROUND(H74-F74,8),"")</f>
        <v/>
      </c>
      <c r="K74" s="247" t="str">
        <f>IF(AND(L74="Закрыт",ISNUMBER(G74),ISNUMBER(I74)),ROUND(I74-G74,8),"")</f>
        <v/>
      </c>
      <c r="L74" s="244" t="n"/>
    </row>
    <row r="75" ht="22" customHeight="1">
      <c r="B75" s="236" t="n"/>
      <c r="C75" s="237" t="n"/>
      <c r="D75" s="238" t="n"/>
      <c r="E75" s="239" t="n"/>
      <c r="F75" s="240" t="n"/>
      <c r="G75" s="241" t="n"/>
      <c r="H75" s="240" t="n"/>
      <c r="I75" s="241" t="n"/>
      <c r="J75" s="240" t="str">
        <f>IF(AND(L75="Закрыт",ISNUMBER(F75),ISNUMBER(H75)),ROUND(H75-F75,8),"")</f>
        <v/>
      </c>
      <c r="K75" s="241" t="str">
        <f>IF(AND(L75="Закрыт",ISNUMBER(G75),ISNUMBER(I75)),ROUND(I75-G75,8),"")</f>
        <v/>
      </c>
      <c r="L75" s="238" t="n"/>
    </row>
    <row r="76" ht="22" customHeight="1">
      <c r="B76" s="242" t="n"/>
      <c r="C76" s="243" t="n"/>
      <c r="D76" s="244" t="n"/>
      <c r="E76" s="245" t="n"/>
      <c r="F76" s="246" t="n"/>
      <c r="G76" s="247" t="n"/>
      <c r="H76" s="246" t="n"/>
      <c r="I76" s="247" t="n"/>
      <c r="J76" s="246" t="str">
        <f>IF(AND(L76="Закрыт",ISNUMBER(F76),ISNUMBER(H76)),ROUND(H76-F76,8),"")</f>
        <v/>
      </c>
      <c r="K76" s="247" t="str">
        <f>IF(AND(L76="Закрыт",ISNUMBER(G76),ISNUMBER(I76)),ROUND(I76-G76,8),"")</f>
        <v/>
      </c>
      <c r="L76" s="244" t="n"/>
    </row>
    <row r="77" ht="22" customHeight="1">
      <c r="B77" s="236" t="n"/>
      <c r="C77" s="237" t="n"/>
      <c r="D77" s="238" t="n"/>
      <c r="E77" s="239" t="n"/>
      <c r="F77" s="240" t="n"/>
      <c r="G77" s="241" t="n"/>
      <c r="H77" s="240" t="n"/>
      <c r="I77" s="241" t="n"/>
      <c r="J77" s="240" t="str">
        <f>IF(AND(L77="Закрыт",ISNUMBER(F77),ISNUMBER(H77)),ROUND(H77-F77,8),"")</f>
        <v/>
      </c>
      <c r="K77" s="241" t="str">
        <f>IF(AND(L77="Закрыт",ISNUMBER(G77),ISNUMBER(I77)),ROUND(I77-G77,8),"")</f>
        <v/>
      </c>
      <c r="L77" s="238" t="n"/>
    </row>
    <row r="78" ht="22" customHeight="1">
      <c r="B78" s="242" t="n"/>
      <c r="C78" s="243" t="n"/>
      <c r="D78" s="244" t="n"/>
      <c r="E78" s="245" t="n"/>
      <c r="F78" s="246" t="n"/>
      <c r="G78" s="247" t="n"/>
      <c r="H78" s="246" t="n"/>
      <c r="I78" s="247" t="n"/>
      <c r="J78" s="246" t="str">
        <f>IF(AND(L78="Закрыт",ISNUMBER(F78),ISNUMBER(H78)),ROUND(H78-F78,8),"")</f>
        <v/>
      </c>
      <c r="K78" s="247" t="str">
        <f>IF(AND(L78="Закрыт",ISNUMBER(G78),ISNUMBER(I78)),ROUND(I78-G78,8),"")</f>
        <v/>
      </c>
      <c r="L78" s="244" t="n"/>
    </row>
    <row r="79" ht="22" customHeight="1">
      <c r="B79" s="236" t="n"/>
      <c r="C79" s="237" t="n"/>
      <c r="D79" s="238" t="n"/>
      <c r="E79" s="239" t="n"/>
      <c r="F79" s="240" t="n"/>
      <c r="G79" s="241" t="n"/>
      <c r="H79" s="240" t="n"/>
      <c r="I79" s="241" t="n"/>
      <c r="J79" s="240" t="str">
        <f>IF(AND(L79="Закрыт",ISNUMBER(F79),ISNUMBER(H79)),ROUND(H79-F79,8),"")</f>
        <v/>
      </c>
      <c r="K79" s="241" t="str">
        <f>IF(AND(L79="Закрыт",ISNUMBER(G79),ISNUMBER(I79)),ROUND(I79-G79,8),"")</f>
        <v/>
      </c>
      <c r="L79" s="238" t="n"/>
    </row>
    <row r="80" ht="22" customHeight="1">
      <c r="B80" s="242" t="n"/>
      <c r="C80" s="243" t="n"/>
      <c r="D80" s="244" t="n"/>
      <c r="E80" s="245" t="n"/>
      <c r="F80" s="246" t="n"/>
      <c r="G80" s="247" t="n"/>
      <c r="H80" s="246" t="n"/>
      <c r="I80" s="247" t="n"/>
      <c r="J80" s="246" t="str">
        <f>IF(AND(L80="Закрыт",ISNUMBER(F80),ISNUMBER(H80)),ROUND(H80-F80,8),"")</f>
        <v/>
      </c>
      <c r="K80" s="247" t="str">
        <f>IF(AND(L80="Закрыт",ISNUMBER(G80),ISNUMBER(I80)),ROUND(I80-G80,8),"")</f>
        <v/>
      </c>
      <c r="L80" s="244" t="n"/>
    </row>
    <row r="81" ht="22" customHeight="1">
      <c r="B81" s="236" t="n"/>
      <c r="C81" s="237" t="n"/>
      <c r="D81" s="238" t="n"/>
      <c r="E81" s="239" t="n"/>
      <c r="F81" s="240" t="n"/>
      <c r="G81" s="241" t="n"/>
      <c r="H81" s="240" t="n"/>
      <c r="I81" s="241" t="n"/>
      <c r="J81" s="240" t="str">
        <f>IF(AND(L81="Закрыт",ISNUMBER(F81),ISNUMBER(H81)),ROUND(H81-F81,8),"")</f>
        <v/>
      </c>
      <c r="K81" s="241" t="str">
        <f>IF(AND(L81="Закрыт",ISNUMBER(G81),ISNUMBER(I81)),ROUND(I81-G81,8),"")</f>
        <v/>
      </c>
      <c r="L81" s="238" t="n"/>
    </row>
    <row r="82" ht="22" customHeight="1">
      <c r="B82" s="242" t="n"/>
      <c r="C82" s="243" t="n"/>
      <c r="D82" s="244" t="n"/>
      <c r="E82" s="245" t="n"/>
      <c r="F82" s="246" t="n"/>
      <c r="G82" s="247" t="n"/>
      <c r="H82" s="246" t="n"/>
      <c r="I82" s="247" t="n"/>
      <c r="J82" s="246" t="str">
        <f>IF(AND(L82="Закрыт",ISNUMBER(F82),ISNUMBER(H82)),ROUND(H82-F82,8),"")</f>
        <v/>
      </c>
      <c r="K82" s="247" t="str">
        <f>IF(AND(L82="Закрыт",ISNUMBER(G82),ISNUMBER(I82)),ROUND(I82-G82,8),"")</f>
        <v/>
      </c>
      <c r="L82" s="244" t="n"/>
    </row>
    <row r="83" ht="22" customHeight="1">
      <c r="B83" s="236" t="n"/>
      <c r="C83" s="237" t="n"/>
      <c r="D83" s="238" t="n"/>
      <c r="E83" s="239" t="n"/>
      <c r="F83" s="240" t="n"/>
      <c r="G83" s="241" t="n"/>
      <c r="H83" s="240" t="n"/>
      <c r="I83" s="241" t="n"/>
      <c r="J83" s="240" t="str">
        <f>IF(AND(L83="Закрыт",ISNUMBER(F83),ISNUMBER(H83)),ROUND(H83-F83,8),"")</f>
        <v/>
      </c>
      <c r="K83" s="241" t="str">
        <f>IF(AND(L83="Закрыт",ISNUMBER(G83),ISNUMBER(I83)),ROUND(I83-G83,8),"")</f>
        <v/>
      </c>
      <c r="L83" s="238" t="n"/>
    </row>
    <row r="84" ht="22" customHeight="1">
      <c r="B84" s="242" t="n"/>
      <c r="C84" s="243" t="n"/>
      <c r="D84" s="244" t="n"/>
      <c r="E84" s="245" t="n"/>
      <c r="F84" s="246" t="n"/>
      <c r="G84" s="247" t="n"/>
      <c r="H84" s="246" t="n"/>
      <c r="I84" s="247" t="n"/>
      <c r="J84" s="246" t="str">
        <f>IF(AND(L84="Закрыт",ISNUMBER(F84),ISNUMBER(H84)),ROUND(H84-F84,8),"")</f>
        <v/>
      </c>
      <c r="K84" s="247" t="str">
        <f>IF(AND(L84="Закрыт",ISNUMBER(G84),ISNUMBER(I84)),ROUND(I84-G84,8),"")</f>
        <v/>
      </c>
      <c r="L84" s="244" t="n"/>
    </row>
    <row r="85" ht="22" customHeight="1">
      <c r="B85" s="236" t="n"/>
      <c r="C85" s="237" t="n"/>
      <c r="D85" s="238" t="n"/>
      <c r="E85" s="239" t="n"/>
      <c r="F85" s="240" t="n"/>
      <c r="G85" s="241" t="n"/>
      <c r="H85" s="240" t="n"/>
      <c r="I85" s="241" t="n"/>
      <c r="J85" s="240" t="str">
        <f>IF(AND(L85="Закрыт",ISNUMBER(F85),ISNUMBER(H85)),ROUND(H85-F85,8),"")</f>
        <v/>
      </c>
      <c r="K85" s="241" t="str">
        <f>IF(AND(L85="Закрыт",ISNUMBER(G85),ISNUMBER(I85)),ROUND(I85-G85,8),"")</f>
        <v/>
      </c>
      <c r="L85" s="238" t="n"/>
    </row>
    <row r="86" ht="22" customHeight="1">
      <c r="B86" s="242" t="n"/>
      <c r="C86" s="243" t="n"/>
      <c r="D86" s="244" t="n"/>
      <c r="E86" s="245" t="n"/>
      <c r="F86" s="246" t="n"/>
      <c r="G86" s="247" t="n"/>
      <c r="H86" s="246" t="n"/>
      <c r="I86" s="247" t="n"/>
      <c r="J86" s="246" t="str">
        <f>IF(AND(L86="Закрыт",ISNUMBER(F86),ISNUMBER(H86)),ROUND(H86-F86,8),"")</f>
        <v/>
      </c>
      <c r="K86" s="247" t="str">
        <f>IF(AND(L86="Закрыт",ISNUMBER(G86),ISNUMBER(I86)),ROUND(I86-G86,8),"")</f>
        <v/>
      </c>
      <c r="L86" s="244" t="n"/>
    </row>
    <row r="87" ht="22" customHeight="1">
      <c r="B87" s="236" t="n"/>
      <c r="C87" s="237" t="n"/>
      <c r="D87" s="238" t="n"/>
      <c r="E87" s="239" t="n"/>
      <c r="F87" s="240" t="n"/>
      <c r="G87" s="241" t="n"/>
      <c r="H87" s="240" t="n"/>
      <c r="I87" s="241" t="n"/>
      <c r="J87" s="240" t="str">
        <f>IF(AND(L87="Закрыт",ISNUMBER(F87),ISNUMBER(H87)),ROUND(H87-F87,8),"")</f>
        <v/>
      </c>
      <c r="K87" s="241" t="str">
        <f>IF(AND(L87="Закрыт",ISNUMBER(G87),ISNUMBER(I87)),ROUND(I87-G87,8),"")</f>
        <v/>
      </c>
      <c r="L87" s="238" t="n"/>
    </row>
    <row r="88" ht="22" customHeight="1">
      <c r="B88" s="242" t="n"/>
      <c r="C88" s="243" t="n"/>
      <c r="D88" s="244" t="n"/>
      <c r="E88" s="245" t="n"/>
      <c r="F88" s="246" t="n"/>
      <c r="G88" s="247" t="n"/>
      <c r="H88" s="246" t="n"/>
      <c r="I88" s="247" t="n"/>
      <c r="J88" s="246" t="str">
        <f>IF(AND(L88="Закрыт",ISNUMBER(F88),ISNUMBER(H88)),ROUND(H88-F88,8),"")</f>
        <v/>
      </c>
      <c r="K88" s="247" t="str">
        <f>IF(AND(L88="Закрыт",ISNUMBER(G88),ISNUMBER(I88)),ROUND(I88-G88,8),"")</f>
        <v/>
      </c>
      <c r="L88" s="244" t="n"/>
    </row>
    <row r="89" ht="22" customHeight="1">
      <c r="B89" s="236" t="n"/>
      <c r="C89" s="237" t="n"/>
      <c r="D89" s="238" t="n"/>
      <c r="E89" s="239" t="n"/>
      <c r="F89" s="240" t="n"/>
      <c r="G89" s="241" t="n"/>
      <c r="H89" s="240" t="n"/>
      <c r="I89" s="241" t="n"/>
      <c r="J89" s="240" t="str">
        <f>IF(AND(L89="Закрыт",ISNUMBER(F89),ISNUMBER(H89)),ROUND(H89-F89,8),"")</f>
        <v/>
      </c>
      <c r="K89" s="241" t="str">
        <f>IF(AND(L89="Закрыт",ISNUMBER(G89),ISNUMBER(I89)),ROUND(I89-G89,8),"")</f>
        <v/>
      </c>
      <c r="L89" s="238" t="n"/>
    </row>
    <row r="90" ht="22" customHeight="1">
      <c r="B90" s="242" t="n"/>
      <c r="C90" s="243" t="n"/>
      <c r="D90" s="244" t="n"/>
      <c r="E90" s="245" t="n"/>
      <c r="F90" s="246" t="n"/>
      <c r="G90" s="247" t="n"/>
      <c r="H90" s="246" t="n"/>
      <c r="I90" s="247" t="n"/>
      <c r="J90" s="246" t="str">
        <f>IF(AND(L90="Закрыт",ISNUMBER(F90),ISNUMBER(H90)),ROUND(H90-F90,8),"")</f>
        <v/>
      </c>
      <c r="K90" s="247" t="str">
        <f>IF(AND(L90="Закрыт",ISNUMBER(G90),ISNUMBER(I90)),ROUND(I90-G90,8),"")</f>
        <v/>
      </c>
      <c r="L90" s="244" t="n"/>
    </row>
    <row r="91" ht="22" customHeight="1">
      <c r="B91" s="236" t="n"/>
      <c r="C91" s="237" t="n"/>
      <c r="D91" s="238" t="n"/>
      <c r="E91" s="239" t="n"/>
      <c r="F91" s="240" t="n"/>
      <c r="G91" s="241" t="n"/>
      <c r="H91" s="240" t="n"/>
      <c r="I91" s="241" t="n"/>
      <c r="J91" s="240" t="str">
        <f>IF(AND(L91="Закрыт",ISNUMBER(F91),ISNUMBER(H91)),ROUND(H91-F91,8),"")</f>
        <v/>
      </c>
      <c r="K91" s="241" t="str">
        <f>IF(AND(L91="Закрыт",ISNUMBER(G91),ISNUMBER(I91)),ROUND(I91-G91,8),"")</f>
        <v/>
      </c>
      <c r="L91" s="238" t="n"/>
    </row>
    <row r="92" ht="22" customHeight="1">
      <c r="B92" s="242" t="n"/>
      <c r="C92" s="243" t="n"/>
      <c r="D92" s="244" t="n"/>
      <c r="E92" s="245" t="n"/>
      <c r="F92" s="246" t="n"/>
      <c r="G92" s="247" t="n"/>
      <c r="H92" s="246" t="n"/>
      <c r="I92" s="247" t="n"/>
      <c r="J92" s="246" t="str">
        <f>IF(AND(L92="Закрыт",ISNUMBER(F92),ISNUMBER(H92)),ROUND(H92-F92,8),"")</f>
        <v/>
      </c>
      <c r="K92" s="247" t="str">
        <f>IF(AND(L92="Закрыт",ISNUMBER(G92),ISNUMBER(I92)),ROUND(I92-G92,8),"")</f>
        <v/>
      </c>
      <c r="L92" s="244" t="n"/>
    </row>
    <row r="93" ht="22" customHeight="1">
      <c r="B93" s="236" t="n"/>
      <c r="C93" s="237" t="n"/>
      <c r="D93" s="238" t="n"/>
      <c r="E93" s="239" t="n"/>
      <c r="F93" s="240" t="n"/>
      <c r="G93" s="241" t="n"/>
      <c r="H93" s="240" t="n"/>
      <c r="I93" s="241" t="n"/>
      <c r="J93" s="240" t="str">
        <f>IF(AND(L93="Закрыт",ISNUMBER(F93),ISNUMBER(H93)),ROUND(H93-F93,8),"")</f>
        <v/>
      </c>
      <c r="K93" s="241" t="str">
        <f>IF(AND(L93="Закрыт",ISNUMBER(G93),ISNUMBER(I93)),ROUND(I93-G93,8),"")</f>
        <v/>
      </c>
      <c r="L93" s="238" t="n"/>
    </row>
    <row r="94" ht="22" customHeight="1">
      <c r="B94" s="242" t="n"/>
      <c r="C94" s="243" t="n"/>
      <c r="D94" s="244" t="n"/>
      <c r="E94" s="245" t="n"/>
      <c r="F94" s="246" t="n"/>
      <c r="G94" s="247" t="n"/>
      <c r="H94" s="246" t="n"/>
      <c r="I94" s="247" t="n"/>
      <c r="J94" s="246" t="str">
        <f>IF(AND(L94="Закрыт",ISNUMBER(F94),ISNUMBER(H94)),ROUND(H94-F94,8),"")</f>
        <v/>
      </c>
      <c r="K94" s="247" t="str">
        <f>IF(AND(L94="Закрыт",ISNUMBER(G94),ISNUMBER(I94)),ROUND(I94-G94,8),"")</f>
        <v/>
      </c>
      <c r="L94" s="244" t="n"/>
    </row>
    <row r="95" ht="22" customHeight="1">
      <c r="B95" s="236" t="n"/>
      <c r="C95" s="237" t="n"/>
      <c r="D95" s="238" t="n"/>
      <c r="E95" s="239" t="n"/>
      <c r="F95" s="240" t="n"/>
      <c r="G95" s="241" t="n"/>
      <c r="H95" s="240" t="n"/>
      <c r="I95" s="241" t="n"/>
      <c r="J95" s="240" t="str">
        <f>IF(AND(L95="Закрыт",ISNUMBER(F95),ISNUMBER(H95)),ROUND(H95-F95,8),"")</f>
        <v/>
      </c>
      <c r="K95" s="241" t="str">
        <f>IF(AND(L95="Закрыт",ISNUMBER(G95),ISNUMBER(I95)),ROUND(I95-G95,8),"")</f>
        <v/>
      </c>
      <c r="L95" s="238" t="n"/>
    </row>
    <row r="96" ht="22" customHeight="1">
      <c r="B96" s="242" t="n"/>
      <c r="C96" s="243" t="n"/>
      <c r="D96" s="244" t="n"/>
      <c r="E96" s="245" t="n"/>
      <c r="F96" s="246" t="n"/>
      <c r="G96" s="247" t="n"/>
      <c r="H96" s="246" t="n"/>
      <c r="I96" s="247" t="n"/>
      <c r="J96" s="246" t="str">
        <f>IF(AND(L96="Закрыт",ISNUMBER(F96),ISNUMBER(H96)),ROUND(H96-F96,8),"")</f>
        <v/>
      </c>
      <c r="K96" s="247" t="str">
        <f>IF(AND(L96="Закрыт",ISNUMBER(G96),ISNUMBER(I96)),ROUND(I96-G96,8),"")</f>
        <v/>
      </c>
      <c r="L96" s="244" t="n"/>
    </row>
    <row r="97" ht="22" customHeight="1">
      <c r="B97" s="236" t="n"/>
      <c r="C97" s="237" t="n"/>
      <c r="D97" s="238" t="n"/>
      <c r="E97" s="239" t="n"/>
      <c r="F97" s="240" t="n"/>
      <c r="G97" s="241" t="n"/>
      <c r="H97" s="240" t="n"/>
      <c r="I97" s="241" t="n"/>
      <c r="J97" s="240" t="str">
        <f>IF(AND(L97="Закрыт",ISNUMBER(F97),ISNUMBER(H97)),ROUND(H97-F97,8),"")</f>
        <v/>
      </c>
      <c r="K97" s="241" t="str">
        <f>IF(AND(L97="Закрыт",ISNUMBER(G97),ISNUMBER(I97)),ROUND(I97-G97,8),"")</f>
        <v/>
      </c>
      <c r="L97" s="238" t="n"/>
    </row>
    <row r="98" ht="22" customHeight="1">
      <c r="B98" s="242" t="n"/>
      <c r="C98" s="243" t="n"/>
      <c r="D98" s="244" t="n"/>
      <c r="E98" s="245" t="n"/>
      <c r="F98" s="246" t="n"/>
      <c r="G98" s="247" t="n"/>
      <c r="H98" s="246" t="n"/>
      <c r="I98" s="247" t="n"/>
      <c r="J98" s="246" t="str">
        <f>IF(AND(L98="Закрыт",ISNUMBER(F98),ISNUMBER(H98)),ROUND(H98-F98,8),"")</f>
        <v/>
      </c>
      <c r="K98" s="247" t="str">
        <f>IF(AND(L98="Закрыт",ISNUMBER(G98),ISNUMBER(I98)),ROUND(I98-G98,8),"")</f>
        <v/>
      </c>
      <c r="L98" s="244" t="n"/>
    </row>
    <row r="99" ht="22" customHeight="1">
      <c r="B99" s="236" t="n"/>
      <c r="C99" s="237" t="n"/>
      <c r="D99" s="238" t="n"/>
      <c r="E99" s="239" t="n"/>
      <c r="F99" s="240" t="n"/>
      <c r="G99" s="241" t="n"/>
      <c r="H99" s="240" t="n"/>
      <c r="I99" s="241" t="n"/>
      <c r="J99" s="240" t="str">
        <f>IF(AND(L99="Закрыт",ISNUMBER(F99),ISNUMBER(H99)),ROUND(H99-F99,8),"")</f>
        <v/>
      </c>
      <c r="K99" s="241" t="str">
        <f>IF(AND(L99="Закрыт",ISNUMBER(G99),ISNUMBER(I99)),ROUND(I99-G99,8),"")</f>
        <v/>
      </c>
      <c r="L99" s="238" t="n"/>
    </row>
    <row r="100" ht="22" customHeight="1">
      <c r="B100" s="242" t="n"/>
      <c r="C100" s="243" t="n"/>
      <c r="D100" s="244" t="n"/>
      <c r="E100" s="245" t="n"/>
      <c r="F100" s="246" t="n"/>
      <c r="G100" s="247" t="n"/>
      <c r="H100" s="246" t="n"/>
      <c r="I100" s="247" t="n"/>
      <c r="J100" s="246" t="str">
        <f>IF(AND(L100="Закрыт",ISNUMBER(F100),ISNUMBER(H100)),ROUND(H100-F100,8),"")</f>
        <v/>
      </c>
      <c r="K100" s="247" t="str">
        <f>IF(AND(L100="Закрыт",ISNUMBER(G100),ISNUMBER(I100)),ROUND(I100-G100,8),"")</f>
        <v/>
      </c>
      <c r="L100" s="244" t="n"/>
    </row>
    <row r="101" ht="22" customHeight="1">
      <c r="B101" s="236" t="n"/>
      <c r="C101" s="237" t="n"/>
      <c r="D101" s="238" t="n"/>
      <c r="E101" s="239" t="n"/>
      <c r="F101" s="240" t="n"/>
      <c r="G101" s="241" t="n"/>
      <c r="H101" s="240" t="n"/>
      <c r="I101" s="241" t="n"/>
      <c r="J101" s="240" t="str">
        <f>IF(AND(L101="Закрыт",ISNUMBER(F101),ISNUMBER(H101)),ROUND(H101-F101,8),"")</f>
        <v/>
      </c>
      <c r="K101" s="241" t="str">
        <f>IF(AND(L101="Закрыт",ISNUMBER(G101),ISNUMBER(I101)),ROUND(I101-G101,8),"")</f>
        <v/>
      </c>
      <c r="L101" s="238" t="n"/>
    </row>
    <row r="102" ht="22" customHeight="1">
      <c r="B102" s="242" t="n"/>
      <c r="C102" s="243" t="n"/>
      <c r="D102" s="244" t="n"/>
      <c r="E102" s="245" t="n"/>
      <c r="F102" s="246" t="n"/>
      <c r="G102" s="247" t="n"/>
      <c r="H102" s="246" t="n"/>
      <c r="I102" s="247" t="n"/>
      <c r="J102" s="246" t="str">
        <f>IF(AND(L102="Закрыт",ISNUMBER(F102),ISNUMBER(H102)),ROUND(H102-F102,8),"")</f>
        <v/>
      </c>
      <c r="K102" s="247" t="str">
        <f>IF(AND(L102="Закрыт",ISNUMBER(G102),ISNUMBER(I102)),ROUND(I102-G102,8),"")</f>
        <v/>
      </c>
      <c r="L102" s="244" t="n"/>
    </row>
    <row r="103" ht="22" customHeight="1">
      <c r="B103" s="236" t="n"/>
      <c r="C103" s="237" t="n"/>
      <c r="D103" s="238" t="n"/>
      <c r="E103" s="239" t="n"/>
      <c r="F103" s="240" t="n"/>
      <c r="G103" s="241" t="n"/>
      <c r="H103" s="240" t="n"/>
      <c r="I103" s="241" t="n"/>
      <c r="J103" s="240" t="str">
        <f>IF(AND(L103="Закрыт",ISNUMBER(F103),ISNUMBER(H103)),ROUND(H103-F103,8),"")</f>
        <v/>
      </c>
      <c r="K103" s="241" t="str">
        <f>IF(AND(L103="Закрыт",ISNUMBER(G103),ISNUMBER(I103)),ROUND(I103-G103,8),"")</f>
        <v/>
      </c>
      <c r="L103" s="238" t="n"/>
    </row>
    <row r="104" ht="22" customHeight="1">
      <c r="B104" s="242" t="n"/>
      <c r="C104" s="243" t="n"/>
      <c r="D104" s="244" t="n"/>
      <c r="E104" s="245" t="n"/>
      <c r="F104" s="246" t="n"/>
      <c r="G104" s="247" t="n"/>
      <c r="H104" s="246" t="n"/>
      <c r="I104" s="247" t="n"/>
      <c r="J104" s="246" t="str">
        <f>IF(AND(L104="Закрыт",ISNUMBER(F104),ISNUMBER(H104)),ROUND(H104-F104,8),"")</f>
        <v/>
      </c>
      <c r="K104" s="247" t="str">
        <f>IF(AND(L104="Закрыт",ISNUMBER(G104),ISNUMBER(I104)),ROUND(I104-G104,8),"")</f>
        <v/>
      </c>
      <c r="L104" s="244" t="n"/>
    </row>
    <row r="105" ht="22" customHeight="1">
      <c r="B105" s="236" t="n"/>
      <c r="C105" s="237" t="n"/>
      <c r="D105" s="238" t="n"/>
      <c r="E105" s="239" t="n"/>
      <c r="F105" s="240" t="n"/>
      <c r="G105" s="241" t="n"/>
      <c r="H105" s="240" t="n"/>
      <c r="I105" s="241" t="n"/>
      <c r="J105" s="240" t="str">
        <f>IF(AND(L105="Закрыт",ISNUMBER(F105),ISNUMBER(H105)),ROUND(H105-F105,8),"")</f>
        <v/>
      </c>
      <c r="K105" s="241" t="str">
        <f>IF(AND(L105="Закрыт",ISNUMBER(G105),ISNUMBER(I105)),ROUND(I105-G105,8),"")</f>
        <v/>
      </c>
      <c r="L105" s="238" t="n"/>
    </row>
    <row r="106" ht="22" customHeight="1">
      <c r="B106" s="242" t="n"/>
      <c r="C106" s="243" t="n"/>
      <c r="D106" s="244" t="n"/>
      <c r="E106" s="245" t="n"/>
      <c r="F106" s="246" t="n"/>
      <c r="G106" s="247" t="n"/>
      <c r="H106" s="246" t="n"/>
      <c r="I106" s="247" t="n"/>
      <c r="J106" s="246" t="str">
        <f>IF(AND(L106="Закрыт",ISNUMBER(F106),ISNUMBER(H106)),ROUND(H106-F106,8),"")</f>
        <v/>
      </c>
      <c r="K106" s="247" t="str">
        <f>IF(AND(L106="Закрыт",ISNUMBER(G106),ISNUMBER(I106)),ROUND(I106-G106,8),"")</f>
        <v/>
      </c>
      <c r="L106" s="244" t="n"/>
    </row>
    <row r="107" ht="22" customHeight="1">
      <c r="B107" s="236" t="n"/>
      <c r="C107" s="237" t="n"/>
      <c r="D107" s="238" t="n"/>
      <c r="E107" s="239" t="n"/>
      <c r="F107" s="240" t="n"/>
      <c r="G107" s="241" t="n"/>
      <c r="H107" s="240" t="n"/>
      <c r="I107" s="241" t="n"/>
      <c r="J107" s="240" t="str">
        <f>IF(AND(L107="Закрыт",ISNUMBER(F107),ISNUMBER(H107)),ROUND(H107-F107,8),"")</f>
        <v/>
      </c>
      <c r="K107" s="241" t="str">
        <f>IF(AND(L107="Закрыт",ISNUMBER(G107),ISNUMBER(I107)),ROUND(I107-G107,8),"")</f>
        <v/>
      </c>
      <c r="L107" s="238" t="n"/>
    </row>
    <row r="108" ht="22" customHeight="1">
      <c r="B108" s="242" t="n"/>
      <c r="C108" s="243" t="n"/>
      <c r="D108" s="244" t="n"/>
      <c r="E108" s="245" t="n"/>
      <c r="F108" s="246" t="n"/>
      <c r="G108" s="247" t="n"/>
      <c r="H108" s="246" t="n"/>
      <c r="I108" s="247" t="n"/>
      <c r="J108" s="246" t="str">
        <f>IF(AND(L108="Закрыт",ISNUMBER(F108),ISNUMBER(H108)),ROUND(H108-F108,8),"")</f>
        <v/>
      </c>
      <c r="K108" s="247" t="str">
        <f>IF(AND(L108="Закрыт",ISNUMBER(G108),ISNUMBER(I108)),ROUND(I108-G108,8),"")</f>
        <v/>
      </c>
      <c r="L108" s="244" t="n"/>
    </row>
    <row r="109" ht="22" customHeight="1">
      <c r="B109" s="236" t="n"/>
      <c r="C109" s="237" t="n"/>
      <c r="D109" s="238" t="n"/>
      <c r="E109" s="239" t="n"/>
      <c r="F109" s="240" t="n"/>
      <c r="G109" s="241" t="n"/>
      <c r="H109" s="240" t="n"/>
      <c r="I109" s="241" t="n"/>
      <c r="J109" s="240" t="str">
        <f>IF(AND(L109="Закрыт",ISNUMBER(F109),ISNUMBER(H109)),ROUND(H109-F109,8),"")</f>
        <v/>
      </c>
      <c r="K109" s="241" t="str">
        <f>IF(AND(L109="Закрыт",ISNUMBER(G109),ISNUMBER(I109)),ROUND(I109-G109,8),"")</f>
        <v/>
      </c>
      <c r="L109" s="238" t="n"/>
    </row>
    <row r="110" ht="22" customHeight="1">
      <c r="B110" s="242" t="n"/>
      <c r="C110" s="243" t="n"/>
      <c r="D110" s="244" t="n"/>
      <c r="E110" s="245" t="n"/>
      <c r="F110" s="246" t="n"/>
      <c r="G110" s="247" t="n"/>
      <c r="H110" s="246" t="n"/>
      <c r="I110" s="247" t="n"/>
      <c r="J110" s="246" t="str">
        <f>IF(AND(L110="Закрыт",ISNUMBER(F110),ISNUMBER(H110)),ROUND(H110-F110,8),"")</f>
        <v/>
      </c>
      <c r="K110" s="247" t="str">
        <f>IF(AND(L110="Закрыт",ISNUMBER(G110),ISNUMBER(I110)),ROUND(I110-G110,8),"")</f>
        <v/>
      </c>
      <c r="L110" s="244" t="n"/>
    </row>
    <row r="111" ht="22" customHeight="1">
      <c r="B111" s="236" t="n"/>
      <c r="C111" s="237" t="n"/>
      <c r="D111" s="238" t="n"/>
      <c r="E111" s="239" t="n"/>
      <c r="F111" s="240" t="n"/>
      <c r="G111" s="241" t="n"/>
      <c r="H111" s="240" t="n"/>
      <c r="I111" s="241" t="n"/>
      <c r="J111" s="240" t="str">
        <f>IF(AND(L111="Закрыт",ISNUMBER(F111),ISNUMBER(H111)),ROUND(H111-F111,8),"")</f>
        <v/>
      </c>
      <c r="K111" s="241" t="str">
        <f>IF(AND(L111="Закрыт",ISNUMBER(G111),ISNUMBER(I111)),ROUND(I111-G111,8),"")</f>
        <v/>
      </c>
      <c r="L111" s="238" t="n"/>
    </row>
    <row r="112" ht="22" customHeight="1">
      <c r="B112" s="242" t="n"/>
      <c r="C112" s="243" t="n"/>
      <c r="D112" s="244" t="n"/>
      <c r="E112" s="245" t="n"/>
      <c r="F112" s="246" t="n"/>
      <c r="G112" s="247" t="n"/>
      <c r="H112" s="246" t="n"/>
      <c r="I112" s="247" t="n"/>
      <c r="J112" s="246" t="str">
        <f>IF(AND(L112="Закрыт",ISNUMBER(F112),ISNUMBER(H112)),ROUND(H112-F112,8),"")</f>
        <v/>
      </c>
      <c r="K112" s="247" t="str">
        <f>IF(AND(L112="Закрыт",ISNUMBER(G112),ISNUMBER(I112)),ROUND(I112-G112,8),"")</f>
        <v/>
      </c>
      <c r="L112" s="244" t="n"/>
    </row>
    <row r="113" ht="22" customHeight="1">
      <c r="B113" s="236" t="n"/>
      <c r="C113" s="237" t="n"/>
      <c r="D113" s="238" t="n"/>
      <c r="E113" s="239" t="n"/>
      <c r="F113" s="240" t="n"/>
      <c r="G113" s="241" t="n"/>
      <c r="H113" s="240" t="n"/>
      <c r="I113" s="241" t="n"/>
      <c r="J113" s="240" t="str">
        <f>IF(AND(L113="Закрыт",ISNUMBER(F113),ISNUMBER(H113)),ROUND(H113-F113,8),"")</f>
        <v/>
      </c>
      <c r="K113" s="241" t="str">
        <f>IF(AND(L113="Закрыт",ISNUMBER(G113),ISNUMBER(I113)),ROUND(I113-G113,8),"")</f>
        <v/>
      </c>
      <c r="L113" s="238" t="n"/>
    </row>
    <row r="114" ht="22" customHeight="1">
      <c r="B114" s="242" t="n"/>
      <c r="C114" s="243" t="n"/>
      <c r="D114" s="244" t="n"/>
      <c r="E114" s="245" t="n"/>
      <c r="F114" s="246" t="n"/>
      <c r="G114" s="247" t="n"/>
      <c r="H114" s="246" t="n"/>
      <c r="I114" s="247" t="n"/>
      <c r="J114" s="246" t="str">
        <f>IF(AND(L114="Закрыт",ISNUMBER(F114),ISNUMBER(H114)),ROUND(H114-F114,8),"")</f>
        <v/>
      </c>
      <c r="K114" s="247" t="str">
        <f>IF(AND(L114="Закрыт",ISNUMBER(G114),ISNUMBER(I114)),ROUND(I114-G114,8),"")</f>
        <v/>
      </c>
      <c r="L114" s="244" t="n"/>
    </row>
    <row r="115" ht="22" customHeight="1">
      <c r="B115" s="236" t="n"/>
      <c r="C115" s="237" t="n"/>
      <c r="D115" s="238" t="n"/>
      <c r="E115" s="239" t="n"/>
      <c r="F115" s="240" t="n"/>
      <c r="G115" s="241" t="n"/>
      <c r="H115" s="240" t="n"/>
      <c r="I115" s="241" t="n"/>
      <c r="J115" s="240" t="str">
        <f>IF(AND(L115="Закрыт",ISNUMBER(F115),ISNUMBER(H115)),ROUND(H115-F115,8),"")</f>
        <v/>
      </c>
      <c r="K115" s="241" t="str">
        <f>IF(AND(L115="Закрыт",ISNUMBER(G115),ISNUMBER(I115)),ROUND(I115-G115,8),"")</f>
        <v/>
      </c>
      <c r="L115" s="238" t="n"/>
    </row>
    <row r="116" ht="22" customHeight="1">
      <c r="B116" s="242" t="n"/>
      <c r="C116" s="243" t="n"/>
      <c r="D116" s="244" t="n"/>
      <c r="E116" s="245" t="n"/>
      <c r="F116" s="246" t="n"/>
      <c r="G116" s="247" t="n"/>
      <c r="H116" s="246" t="n"/>
      <c r="I116" s="247" t="n"/>
      <c r="J116" s="246" t="str">
        <f>IF(AND(L116="Закрыт",ISNUMBER(F116),ISNUMBER(H116)),ROUND(H116-F116,8),"")</f>
        <v/>
      </c>
      <c r="K116" s="247" t="str">
        <f>IF(AND(L116="Закрыт",ISNUMBER(G116),ISNUMBER(I116)),ROUND(I116-G116,8),"")</f>
        <v/>
      </c>
      <c r="L116" s="244" t="n"/>
    </row>
    <row r="117" ht="22" customHeight="1">
      <c r="B117" s="236" t="n"/>
      <c r="C117" s="237" t="n"/>
      <c r="D117" s="238" t="n"/>
      <c r="E117" s="239" t="n"/>
      <c r="F117" s="240" t="n"/>
      <c r="G117" s="241" t="n"/>
      <c r="H117" s="240" t="n"/>
      <c r="I117" s="241" t="n"/>
      <c r="J117" s="240" t="str">
        <f>IF(AND(L117="Закрыт",ISNUMBER(F117),ISNUMBER(H117)),ROUND(H117-F117,8),"")</f>
        <v/>
      </c>
      <c r="K117" s="241" t="str">
        <f>IF(AND(L117="Закрыт",ISNUMBER(G117),ISNUMBER(I117)),ROUND(I117-G117,8),"")</f>
        <v/>
      </c>
      <c r="L117" s="238" t="n"/>
    </row>
    <row r="118" ht="22" customHeight="1">
      <c r="B118" s="242" t="n"/>
      <c r="C118" s="243" t="n"/>
      <c r="D118" s="244" t="n"/>
      <c r="E118" s="245" t="n"/>
      <c r="F118" s="246" t="n"/>
      <c r="G118" s="247" t="n"/>
      <c r="H118" s="246" t="n"/>
      <c r="I118" s="247" t="n"/>
      <c r="J118" s="246" t="str">
        <f>IF(AND(L118="Закрыт",ISNUMBER(F118),ISNUMBER(H118)),ROUND(H118-F118,8),"")</f>
        <v/>
      </c>
      <c r="K118" s="247" t="str">
        <f>IF(AND(L118="Закрыт",ISNUMBER(G118),ISNUMBER(I118)),ROUND(I118-G118,8),"")</f>
        <v/>
      </c>
      <c r="L118" s="244" t="n"/>
    </row>
    <row r="119" ht="22" customHeight="1">
      <c r="B119" s="236" t="n"/>
      <c r="C119" s="237" t="n"/>
      <c r="D119" s="238" t="n"/>
      <c r="E119" s="239" t="n"/>
      <c r="F119" s="240" t="n"/>
      <c r="G119" s="241" t="n"/>
      <c r="H119" s="240" t="n"/>
      <c r="I119" s="241" t="n"/>
      <c r="J119" s="240" t="str">
        <f>IF(AND(L119="Закрыт",ISNUMBER(F119),ISNUMBER(H119)),ROUND(H119-F119,8),"")</f>
        <v/>
      </c>
      <c r="K119" s="241" t="str">
        <f>IF(AND(L119="Закрыт",ISNUMBER(G119),ISNUMBER(I119)),ROUND(I119-G119,8),"")</f>
        <v/>
      </c>
      <c r="L119" s="238" t="n"/>
    </row>
    <row r="120" ht="22" customHeight="1">
      <c r="B120" s="242" t="n"/>
      <c r="C120" s="243" t="n"/>
      <c r="D120" s="244" t="n"/>
      <c r="E120" s="245" t="n"/>
      <c r="F120" s="246" t="n"/>
      <c r="G120" s="247" t="n"/>
      <c r="H120" s="246" t="n"/>
      <c r="I120" s="247" t="n"/>
      <c r="J120" s="246" t="str">
        <f>IF(AND(L120="Закрыт",ISNUMBER(F120),ISNUMBER(H120)),ROUND(H120-F120,8),"")</f>
        <v/>
      </c>
      <c r="K120" s="247" t="str">
        <f>IF(AND(L120="Закрыт",ISNUMBER(G120),ISNUMBER(I120)),ROUND(I120-G120,8),"")</f>
        <v/>
      </c>
      <c r="L120" s="244" t="n"/>
    </row>
    <row r="121" ht="22" customHeight="1">
      <c r="B121" s="236" t="n"/>
      <c r="C121" s="237" t="n"/>
      <c r="D121" s="238" t="n"/>
      <c r="E121" s="239" t="n"/>
      <c r="F121" s="240" t="n"/>
      <c r="G121" s="241" t="n"/>
      <c r="H121" s="240" t="n"/>
      <c r="I121" s="241" t="n"/>
      <c r="J121" s="240" t="str">
        <f>IF(AND(L121="Закрыт",ISNUMBER(F121),ISNUMBER(H121)),ROUND(H121-F121,8),"")</f>
        <v/>
      </c>
      <c r="K121" s="241" t="str">
        <f>IF(AND(L121="Закрыт",ISNUMBER(G121),ISNUMBER(I121)),ROUND(I121-G121,8),"")</f>
        <v/>
      </c>
      <c r="L121" s="238" t="n"/>
    </row>
    <row r="122" ht="22" customHeight="1">
      <c r="B122" s="242" t="n"/>
      <c r="C122" s="243" t="n"/>
      <c r="D122" s="244" t="n"/>
      <c r="E122" s="245" t="n"/>
      <c r="F122" s="246" t="n"/>
      <c r="G122" s="247" t="n"/>
      <c r="H122" s="246" t="n"/>
      <c r="I122" s="247" t="n"/>
      <c r="J122" s="246" t="str">
        <f>IF(AND(L122="Закрыт",ISNUMBER(F122),ISNUMBER(H122)),ROUND(H122-F122,8),"")</f>
        <v/>
      </c>
      <c r="K122" s="247" t="str">
        <f>IF(AND(L122="Закрыт",ISNUMBER(G122),ISNUMBER(I122)),ROUND(I122-G122,8),"")</f>
        <v/>
      </c>
      <c r="L122" s="244" t="n"/>
    </row>
    <row r="123" ht="22" customHeight="1">
      <c r="B123" s="236" t="n"/>
      <c r="C123" s="237" t="n"/>
      <c r="D123" s="238" t="n"/>
      <c r="E123" s="239" t="n"/>
      <c r="F123" s="240" t="n"/>
      <c r="G123" s="241" t="n"/>
      <c r="H123" s="240" t="n"/>
      <c r="I123" s="241" t="n"/>
      <c r="J123" s="240" t="str">
        <f>IF(AND(L123="Закрыт",ISNUMBER(F123),ISNUMBER(H123)),ROUND(H123-F123,8),"")</f>
        <v/>
      </c>
      <c r="K123" s="241" t="str">
        <f>IF(AND(L123="Закрыт",ISNUMBER(G123),ISNUMBER(I123)),ROUND(I123-G123,8),"")</f>
        <v/>
      </c>
      <c r="L123" s="238" t="n"/>
    </row>
    <row r="124" ht="22" customHeight="1">
      <c r="B124" s="242" t="n"/>
      <c r="C124" s="243" t="n"/>
      <c r="D124" s="244" t="n"/>
      <c r="E124" s="245" t="n"/>
      <c r="F124" s="246" t="n"/>
      <c r="G124" s="247" t="n"/>
      <c r="H124" s="246" t="n"/>
      <c r="I124" s="247" t="n"/>
      <c r="J124" s="246" t="str">
        <f>IF(AND(L124="Закрыт",ISNUMBER(F124),ISNUMBER(H124)),ROUND(H124-F124,8),"")</f>
        <v/>
      </c>
      <c r="K124" s="247" t="str">
        <f>IF(AND(L124="Закрыт",ISNUMBER(G124),ISNUMBER(I124)),ROUND(I124-G124,8),"")</f>
        <v/>
      </c>
      <c r="L124" s="244" t="n"/>
    </row>
    <row r="125" ht="22" customHeight="1">
      <c r="B125" s="236" t="n"/>
      <c r="C125" s="237" t="n"/>
      <c r="D125" s="238" t="n"/>
      <c r="E125" s="239" t="n"/>
      <c r="F125" s="240" t="n"/>
      <c r="G125" s="241" t="n"/>
      <c r="H125" s="240" t="n"/>
      <c r="I125" s="241" t="n"/>
      <c r="J125" s="240" t="str">
        <f>IF(AND(L125="Закрыт",ISNUMBER(F125),ISNUMBER(H125)),ROUND(H125-F125,8),"")</f>
        <v/>
      </c>
      <c r="K125" s="241" t="str">
        <f>IF(AND(L125="Закрыт",ISNUMBER(G125),ISNUMBER(I125)),ROUND(I125-G125,8),"")</f>
        <v/>
      </c>
      <c r="L125" s="238" t="n"/>
    </row>
    <row r="126" ht="22" customHeight="1">
      <c r="B126" s="242" t="n"/>
      <c r="C126" s="243" t="n"/>
      <c r="D126" s="244" t="n"/>
      <c r="E126" s="245" t="n"/>
      <c r="F126" s="246" t="n"/>
      <c r="G126" s="247" t="n"/>
      <c r="H126" s="246" t="n"/>
      <c r="I126" s="247" t="n"/>
      <c r="J126" s="246" t="str">
        <f>IF(AND(L126="Закрыт",ISNUMBER(F126),ISNUMBER(H126)),ROUND(H126-F126,8),"")</f>
        <v/>
      </c>
      <c r="K126" s="247" t="str">
        <f>IF(AND(L126="Закрыт",ISNUMBER(G126),ISNUMBER(I126)),ROUND(I126-G126,8),"")</f>
        <v/>
      </c>
      <c r="L126" s="244" t="n"/>
    </row>
    <row r="127" ht="22" customHeight="1">
      <c r="B127" s="236" t="n"/>
      <c r="C127" s="237" t="n"/>
      <c r="D127" s="238" t="n"/>
      <c r="E127" s="239" t="n"/>
      <c r="F127" s="240" t="n"/>
      <c r="G127" s="241" t="n"/>
      <c r="H127" s="240" t="n"/>
      <c r="I127" s="241" t="n"/>
      <c r="J127" s="240" t="str">
        <f>IF(AND(L127="Закрыт",ISNUMBER(F127),ISNUMBER(H127)),ROUND(H127-F127,8),"")</f>
        <v/>
      </c>
      <c r="K127" s="241" t="str">
        <f>IF(AND(L127="Закрыт",ISNUMBER(G127),ISNUMBER(I127)),ROUND(I127-G127,8),"")</f>
        <v/>
      </c>
      <c r="L127" s="238" t="n"/>
    </row>
    <row r="128" ht="22" customHeight="1">
      <c r="B128" s="242" t="n"/>
      <c r="C128" s="243" t="n"/>
      <c r="D128" s="244" t="n"/>
      <c r="E128" s="245" t="n"/>
      <c r="F128" s="246" t="n"/>
      <c r="G128" s="247" t="n"/>
      <c r="H128" s="246" t="n"/>
      <c r="I128" s="247" t="n"/>
      <c r="J128" s="246" t="str">
        <f>IF(AND(L128="Закрыт",ISNUMBER(F128),ISNUMBER(H128)),ROUND(H128-F128,8),"")</f>
        <v/>
      </c>
      <c r="K128" s="247" t="str">
        <f>IF(AND(L128="Закрыт",ISNUMBER(G128),ISNUMBER(I128)),ROUND(I128-G128,8),"")</f>
        <v/>
      </c>
      <c r="L128" s="244" t="n"/>
    </row>
    <row r="129" ht="22" customHeight="1">
      <c r="B129" s="236" t="n"/>
      <c r="C129" s="237" t="n"/>
      <c r="D129" s="238" t="n"/>
      <c r="E129" s="239" t="n"/>
      <c r="F129" s="240" t="n"/>
      <c r="G129" s="241" t="n"/>
      <c r="H129" s="240" t="n"/>
      <c r="I129" s="241" t="n"/>
      <c r="J129" s="240" t="str">
        <f>IF(AND(L129="Закрыт",ISNUMBER(F129),ISNUMBER(H129)),ROUND(H129-F129,8),"")</f>
        <v/>
      </c>
      <c r="K129" s="241" t="str">
        <f>IF(AND(L129="Закрыт",ISNUMBER(G129),ISNUMBER(I129)),ROUND(I129-G129,8),"")</f>
        <v/>
      </c>
      <c r="L129" s="238" t="n"/>
    </row>
    <row r="130" ht="22" customHeight="1">
      <c r="B130" s="242" t="n"/>
      <c r="C130" s="243" t="n"/>
      <c r="D130" s="244" t="n"/>
      <c r="E130" s="245" t="n"/>
      <c r="F130" s="246" t="n"/>
      <c r="G130" s="247" t="n"/>
      <c r="H130" s="246" t="n"/>
      <c r="I130" s="247" t="n"/>
      <c r="J130" s="246" t="str">
        <f>IF(AND(L130="Закрыт",ISNUMBER(F130),ISNUMBER(H130)),ROUND(H130-F130,8),"")</f>
        <v/>
      </c>
      <c r="K130" s="247" t="str">
        <f>IF(AND(L130="Закрыт",ISNUMBER(G130),ISNUMBER(I130)),ROUND(I130-G130,8),"")</f>
        <v/>
      </c>
      <c r="L130" s="244" t="n"/>
    </row>
    <row r="131" ht="22" customHeight="1">
      <c r="B131" s="236" t="n"/>
      <c r="C131" s="237" t="n"/>
      <c r="D131" s="238" t="n"/>
      <c r="E131" s="239" t="n"/>
      <c r="F131" s="240" t="n"/>
      <c r="G131" s="241" t="n"/>
      <c r="H131" s="240" t="n"/>
      <c r="I131" s="241" t="n"/>
      <c r="J131" s="240" t="str">
        <f>IF(AND(L131="Закрыт",ISNUMBER(F131),ISNUMBER(H131)),ROUND(H131-F131,8),"")</f>
        <v/>
      </c>
      <c r="K131" s="241" t="str">
        <f>IF(AND(L131="Закрыт",ISNUMBER(G131),ISNUMBER(I131)),ROUND(I131-G131,8),"")</f>
        <v/>
      </c>
      <c r="L131" s="238" t="n"/>
    </row>
    <row r="132" ht="22" customHeight="1">
      <c r="B132" s="242" t="n"/>
      <c r="C132" s="243" t="n"/>
      <c r="D132" s="244" t="n"/>
      <c r="E132" s="245" t="n"/>
      <c r="F132" s="246" t="n"/>
      <c r="G132" s="247" t="n"/>
      <c r="H132" s="246" t="n"/>
      <c r="I132" s="247" t="n"/>
      <c r="J132" s="246" t="str">
        <f>IF(AND(L132="Закрыт",ISNUMBER(F132),ISNUMBER(H132)),ROUND(H132-F132,8),"")</f>
        <v/>
      </c>
      <c r="K132" s="247" t="str">
        <f>IF(AND(L132="Закрыт",ISNUMBER(G132),ISNUMBER(I132)),ROUND(I132-G132,8),"")</f>
        <v/>
      </c>
      <c r="L132" s="244" t="n"/>
    </row>
    <row r="133" ht="22" customHeight="1">
      <c r="B133" s="236" t="n"/>
      <c r="C133" s="237" t="n"/>
      <c r="D133" s="238" t="n"/>
      <c r="E133" s="239" t="n"/>
      <c r="F133" s="240" t="n"/>
      <c r="G133" s="241" t="n"/>
      <c r="H133" s="240" t="n"/>
      <c r="I133" s="241" t="n"/>
      <c r="J133" s="240" t="str">
        <f>IF(AND(L133="Закрыт",ISNUMBER(F133),ISNUMBER(H133)),ROUND(H133-F133,8),"")</f>
        <v/>
      </c>
      <c r="K133" s="241" t="str">
        <f>IF(AND(L133="Закрыт",ISNUMBER(G133),ISNUMBER(I133)),ROUND(I133-G133,8),"")</f>
        <v/>
      </c>
      <c r="L133" s="238" t="n"/>
    </row>
    <row r="134" ht="22" customHeight="1">
      <c r="B134" s="242" t="n"/>
      <c r="C134" s="243" t="n"/>
      <c r="D134" s="244" t="n"/>
      <c r="E134" s="245" t="n"/>
      <c r="F134" s="246" t="n"/>
      <c r="G134" s="247" t="n"/>
      <c r="H134" s="246" t="n"/>
      <c r="I134" s="247" t="n"/>
      <c r="J134" s="246" t="str">
        <f>IF(AND(L134="Закрыт",ISNUMBER(F134),ISNUMBER(H134)),ROUND(H134-F134,8),"")</f>
        <v/>
      </c>
      <c r="K134" s="247" t="str">
        <f>IF(AND(L134="Закрыт",ISNUMBER(G134),ISNUMBER(I134)),ROUND(I134-G134,8),"")</f>
        <v/>
      </c>
      <c r="L134" s="244" t="n"/>
    </row>
    <row r="135" ht="22" customHeight="1">
      <c r="B135" s="236" t="n"/>
      <c r="C135" s="237" t="n"/>
      <c r="D135" s="238" t="n"/>
      <c r="E135" s="239" t="n"/>
      <c r="F135" s="240" t="n"/>
      <c r="G135" s="241" t="n"/>
      <c r="H135" s="240" t="n"/>
      <c r="I135" s="241" t="n"/>
      <c r="J135" s="240" t="str">
        <f>IF(AND(L135="Закрыт",ISNUMBER(F135),ISNUMBER(H135)),ROUND(H135-F135,8),"")</f>
        <v/>
      </c>
      <c r="K135" s="241" t="str">
        <f>IF(AND(L135="Закрыт",ISNUMBER(G135),ISNUMBER(I135)),ROUND(I135-G135,8),"")</f>
        <v/>
      </c>
      <c r="L135" s="238" t="n"/>
    </row>
    <row r="136" ht="22" customHeight="1">
      <c r="B136" s="242" t="n"/>
      <c r="C136" s="243" t="n"/>
      <c r="D136" s="244" t="n"/>
      <c r="E136" s="245" t="n"/>
      <c r="F136" s="246" t="n"/>
      <c r="G136" s="247" t="n"/>
      <c r="H136" s="246" t="n"/>
      <c r="I136" s="247" t="n"/>
      <c r="J136" s="246" t="str">
        <f>IF(AND(L136="Закрыт",ISNUMBER(F136),ISNUMBER(H136)),ROUND(H136-F136,8),"")</f>
        <v/>
      </c>
      <c r="K136" s="247" t="str">
        <f>IF(AND(L136="Закрыт",ISNUMBER(G136),ISNUMBER(I136)),ROUND(I136-G136,8),"")</f>
        <v/>
      </c>
      <c r="L136" s="244" t="n"/>
    </row>
    <row r="137" ht="22" customHeight="1">
      <c r="B137" s="236" t="n"/>
      <c r="C137" s="237" t="n"/>
      <c r="D137" s="238" t="n"/>
      <c r="E137" s="239" t="n"/>
      <c r="F137" s="240" t="n"/>
      <c r="G137" s="241" t="n"/>
      <c r="H137" s="240" t="n"/>
      <c r="I137" s="241" t="n"/>
      <c r="J137" s="240" t="str">
        <f>IF(AND(L137="Закрыт",ISNUMBER(F137),ISNUMBER(H137)),ROUND(H137-F137,8),"")</f>
        <v/>
      </c>
      <c r="K137" s="241" t="str">
        <f>IF(AND(L137="Закрыт",ISNUMBER(G137),ISNUMBER(I137)),ROUND(I137-G137,8),"")</f>
        <v/>
      </c>
      <c r="L137" s="238" t="n"/>
    </row>
    <row r="138" ht="22" customHeight="1">
      <c r="B138" s="242" t="n"/>
      <c r="C138" s="243" t="n"/>
      <c r="D138" s="244" t="n"/>
      <c r="E138" s="245" t="n"/>
      <c r="F138" s="246" t="n"/>
      <c r="G138" s="247" t="n"/>
      <c r="H138" s="246" t="n"/>
      <c r="I138" s="247" t="n"/>
      <c r="J138" s="246" t="str">
        <f>IF(AND(L138="Закрыт",ISNUMBER(F138),ISNUMBER(H138)),ROUND(H138-F138,8),"")</f>
        <v/>
      </c>
      <c r="K138" s="247" t="str">
        <f>IF(AND(L138="Закрыт",ISNUMBER(G138),ISNUMBER(I138)),ROUND(I138-G138,8),"")</f>
        <v/>
      </c>
      <c r="L138" s="244" t="n"/>
    </row>
    <row r="139" ht="22" customHeight="1">
      <c r="B139" s="236" t="n"/>
      <c r="C139" s="237" t="n"/>
      <c r="D139" s="238" t="n"/>
      <c r="E139" s="239" t="n"/>
      <c r="F139" s="240" t="n"/>
      <c r="G139" s="241" t="n"/>
      <c r="H139" s="240" t="n"/>
      <c r="I139" s="241" t="n"/>
      <c r="J139" s="240" t="str">
        <f>IF(AND(L139="Закрыт",ISNUMBER(F139),ISNUMBER(H139)),ROUND(H139-F139,8),"")</f>
        <v/>
      </c>
      <c r="K139" s="241" t="str">
        <f>IF(AND(L139="Закрыт",ISNUMBER(G139),ISNUMBER(I139)),ROUND(I139-G139,8),"")</f>
        <v/>
      </c>
      <c r="L139" s="238" t="n"/>
    </row>
    <row r="140" ht="22" customHeight="1">
      <c r="B140" s="242" t="n"/>
      <c r="C140" s="243" t="n"/>
      <c r="D140" s="244" t="n"/>
      <c r="E140" s="245" t="n"/>
      <c r="F140" s="246" t="n"/>
      <c r="G140" s="247" t="n"/>
      <c r="H140" s="246" t="n"/>
      <c r="I140" s="247" t="n"/>
      <c r="J140" s="246" t="str">
        <f>IF(AND(L140="Закрыт",ISNUMBER(F140),ISNUMBER(H140)),ROUND(H140-F140,8),"")</f>
        <v/>
      </c>
      <c r="K140" s="247" t="str">
        <f>IF(AND(L140="Закрыт",ISNUMBER(G140),ISNUMBER(I140)),ROUND(I140-G140,8),"")</f>
        <v/>
      </c>
      <c r="L140" s="244" t="n"/>
    </row>
    <row r="141" ht="22" customHeight="1">
      <c r="B141" s="236" t="n"/>
      <c r="C141" s="237" t="n"/>
      <c r="D141" s="238" t="n"/>
      <c r="E141" s="239" t="n"/>
      <c r="F141" s="240" t="n"/>
      <c r="G141" s="241" t="n"/>
      <c r="H141" s="240" t="n"/>
      <c r="I141" s="241" t="n"/>
      <c r="J141" s="240" t="str">
        <f>IF(AND(L141="Закрыт",ISNUMBER(F141),ISNUMBER(H141)),ROUND(H141-F141,8),"")</f>
        <v/>
      </c>
      <c r="K141" s="241" t="str">
        <f>IF(AND(L141="Закрыт",ISNUMBER(G141),ISNUMBER(I141)),ROUND(I141-G141,8),"")</f>
        <v/>
      </c>
      <c r="L141" s="238" t="n"/>
    </row>
    <row r="142" ht="22" customHeight="1">
      <c r="B142" s="242" t="n"/>
      <c r="C142" s="243" t="n"/>
      <c r="D142" s="244" t="n"/>
      <c r="E142" s="245" t="n"/>
      <c r="F142" s="246" t="n"/>
      <c r="G142" s="247" t="n"/>
      <c r="H142" s="246" t="n"/>
      <c r="I142" s="247" t="n"/>
      <c r="J142" s="246" t="str">
        <f>IF(AND(L142="Закрыт",ISNUMBER(F142),ISNUMBER(H142)),ROUND(H142-F142,8),"")</f>
        <v/>
      </c>
      <c r="K142" s="247" t="str">
        <f>IF(AND(L142="Закрыт",ISNUMBER(G142),ISNUMBER(I142)),ROUND(I142-G142,8),"")</f>
        <v/>
      </c>
      <c r="L142" s="244" t="n"/>
    </row>
    <row r="143" ht="22" customHeight="1">
      <c r="B143" s="236" t="n"/>
      <c r="C143" s="237" t="n"/>
      <c r="D143" s="238" t="n"/>
      <c r="E143" s="239" t="n"/>
      <c r="F143" s="240" t="n"/>
      <c r="G143" s="241" t="n"/>
      <c r="H143" s="240" t="n"/>
      <c r="I143" s="241" t="n"/>
      <c r="J143" s="240" t="str">
        <f>IF(AND(L143="Закрыт",ISNUMBER(F143),ISNUMBER(H143)),ROUND(H143-F143,8),"")</f>
        <v/>
      </c>
      <c r="K143" s="241" t="str">
        <f>IF(AND(L143="Закрыт",ISNUMBER(G143),ISNUMBER(I143)),ROUND(I143-G143,8),"")</f>
        <v/>
      </c>
      <c r="L143" s="238" t="n"/>
    </row>
    <row r="144" ht="22" customHeight="1">
      <c r="B144" s="242" t="n"/>
      <c r="C144" s="243" t="n"/>
      <c r="D144" s="244" t="n"/>
      <c r="E144" s="245" t="n"/>
      <c r="F144" s="246" t="n"/>
      <c r="G144" s="247" t="n"/>
      <c r="H144" s="246" t="n"/>
      <c r="I144" s="247" t="n"/>
      <c r="J144" s="246" t="str">
        <f>IF(AND(L144="Закрыт",ISNUMBER(F144),ISNUMBER(H144)),ROUND(H144-F144,8),"")</f>
        <v/>
      </c>
      <c r="K144" s="247" t="str">
        <f>IF(AND(L144="Закрыт",ISNUMBER(G144),ISNUMBER(I144)),ROUND(I144-G144,8),"")</f>
        <v/>
      </c>
      <c r="L144" s="244" t="n"/>
    </row>
    <row r="145" ht="22" customHeight="1">
      <c r="B145" s="236" t="n"/>
      <c r="C145" s="237" t="n"/>
      <c r="D145" s="238" t="n"/>
      <c r="E145" s="239" t="n"/>
      <c r="F145" s="240" t="n"/>
      <c r="G145" s="241" t="n"/>
      <c r="H145" s="240" t="n"/>
      <c r="I145" s="241" t="n"/>
      <c r="J145" s="240" t="str">
        <f>IF(AND(L145="Закрыт",ISNUMBER(F145),ISNUMBER(H145)),ROUND(H145-F145,8),"")</f>
        <v/>
      </c>
      <c r="K145" s="241" t="str">
        <f>IF(AND(L145="Закрыт",ISNUMBER(G145),ISNUMBER(I145)),ROUND(I145-G145,8),"")</f>
        <v/>
      </c>
      <c r="L145" s="238" t="n"/>
    </row>
    <row r="146" ht="22" customHeight="1">
      <c r="B146" s="242" t="n"/>
      <c r="C146" s="243" t="n"/>
      <c r="D146" s="244" t="n"/>
      <c r="E146" s="245" t="n"/>
      <c r="F146" s="246" t="n"/>
      <c r="G146" s="247" t="n"/>
      <c r="H146" s="246" t="n"/>
      <c r="I146" s="247" t="n"/>
      <c r="J146" s="246" t="str">
        <f>IF(AND(L146="Закрыт",ISNUMBER(F146),ISNUMBER(H146)),ROUND(H146-F146,8),"")</f>
        <v/>
      </c>
      <c r="K146" s="247" t="str">
        <f>IF(AND(L146="Закрыт",ISNUMBER(G146),ISNUMBER(I146)),ROUND(I146-G146,8),"")</f>
        <v/>
      </c>
      <c r="L146" s="244" t="n"/>
    </row>
    <row r="147" ht="22" customHeight="1">
      <c r="B147" s="236" t="n"/>
      <c r="C147" s="237" t="n"/>
      <c r="D147" s="238" t="n"/>
      <c r="E147" s="239" t="n"/>
      <c r="F147" s="240" t="n"/>
      <c r="G147" s="241" t="n"/>
      <c r="H147" s="240" t="n"/>
      <c r="I147" s="241" t="n"/>
      <c r="J147" s="240" t="str">
        <f>IF(AND(L147="Закрыт",ISNUMBER(F147),ISNUMBER(H147)),ROUND(H147-F147,8),"")</f>
        <v/>
      </c>
      <c r="K147" s="241" t="str">
        <f>IF(AND(L147="Закрыт",ISNUMBER(G147),ISNUMBER(I147)),ROUND(I147-G147,8),"")</f>
        <v/>
      </c>
      <c r="L147" s="238" t="n"/>
    </row>
    <row r="148" ht="22" customHeight="1">
      <c r="B148" s="242" t="n"/>
      <c r="C148" s="243" t="n"/>
      <c r="D148" s="244" t="n"/>
      <c r="E148" s="245" t="n"/>
      <c r="F148" s="246" t="n"/>
      <c r="G148" s="247" t="n"/>
      <c r="H148" s="246" t="n"/>
      <c r="I148" s="247" t="n"/>
      <c r="J148" s="246" t="str">
        <f>IF(AND(L148="Закрыт",ISNUMBER(F148),ISNUMBER(H148)),ROUND(H148-F148,8),"")</f>
        <v/>
      </c>
      <c r="K148" s="247" t="str">
        <f>IF(AND(L148="Закрыт",ISNUMBER(G148),ISNUMBER(I148)),ROUND(I148-G148,8),"")</f>
        <v/>
      </c>
      <c r="L148" s="244" t="n"/>
    </row>
    <row r="149" ht="22" customHeight="1">
      <c r="B149" s="236" t="n"/>
      <c r="C149" s="237" t="n"/>
      <c r="D149" s="238" t="n"/>
      <c r="E149" s="239" t="n"/>
      <c r="F149" s="240" t="n"/>
      <c r="G149" s="241" t="n"/>
      <c r="H149" s="240" t="n"/>
      <c r="I149" s="241" t="n"/>
      <c r="J149" s="240" t="str">
        <f>IF(AND(L149="Закрыт",ISNUMBER(F149),ISNUMBER(H149)),ROUND(H149-F149,8),"")</f>
        <v/>
      </c>
      <c r="K149" s="241" t="str">
        <f>IF(AND(L149="Закрыт",ISNUMBER(G149),ISNUMBER(I149)),ROUND(I149-G149,8),"")</f>
        <v/>
      </c>
      <c r="L149" s="238" t="n"/>
    </row>
    <row r="150" ht="22" customHeight="1">
      <c r="B150" s="242" t="n"/>
      <c r="C150" s="243" t="n"/>
      <c r="D150" s="244" t="n"/>
      <c r="E150" s="245" t="n"/>
      <c r="F150" s="246" t="n"/>
      <c r="G150" s="247" t="n"/>
      <c r="H150" s="246" t="n"/>
      <c r="I150" s="247" t="n"/>
      <c r="J150" s="246" t="str">
        <f>IF(AND(L150="Закрыт",ISNUMBER(F150),ISNUMBER(H150)),ROUND(H150-F150,8),"")</f>
        <v/>
      </c>
      <c r="K150" s="247" t="str">
        <f>IF(AND(L150="Закрыт",ISNUMBER(G150),ISNUMBER(I150)),ROUND(I150-G150,8),"")</f>
        <v/>
      </c>
      <c r="L150" s="244" t="n"/>
    </row>
    <row r="151" ht="22" customHeight="1">
      <c r="B151" s="236" t="n"/>
      <c r="C151" s="237" t="n"/>
      <c r="D151" s="238" t="n"/>
      <c r="E151" s="239" t="n"/>
      <c r="F151" s="240" t="n"/>
      <c r="G151" s="241" t="n"/>
      <c r="H151" s="240" t="n"/>
      <c r="I151" s="241" t="n"/>
      <c r="J151" s="240" t="str">
        <f>IF(AND(L151="Закрыт",ISNUMBER(F151),ISNUMBER(H151)),ROUND(H151-F151,8),"")</f>
        <v/>
      </c>
      <c r="K151" s="241" t="str">
        <f>IF(AND(L151="Закрыт",ISNUMBER(G151),ISNUMBER(I151)),ROUND(I151-G151,8),"")</f>
        <v/>
      </c>
      <c r="L151" s="238" t="n"/>
    </row>
    <row r="152" ht="22" customHeight="1">
      <c r="B152" s="242" t="n"/>
      <c r="C152" s="243" t="n"/>
      <c r="D152" s="244" t="n"/>
      <c r="E152" s="245" t="n"/>
      <c r="F152" s="246" t="n"/>
      <c r="G152" s="247" t="n"/>
      <c r="H152" s="246" t="n"/>
      <c r="I152" s="247" t="n"/>
      <c r="J152" s="246" t="str">
        <f>IF(AND(L152="Закрыт",ISNUMBER(F152),ISNUMBER(H152)),ROUND(H152-F152,8),"")</f>
        <v/>
      </c>
      <c r="K152" s="247" t="str">
        <f>IF(AND(L152="Закрыт",ISNUMBER(G152),ISNUMBER(I152)),ROUND(I152-G152,8),"")</f>
        <v/>
      </c>
      <c r="L152" s="244" t="n"/>
    </row>
    <row r="153" ht="22" customHeight="1">
      <c r="B153" s="236" t="n"/>
      <c r="C153" s="237" t="n"/>
      <c r="D153" s="238" t="n"/>
      <c r="E153" s="239" t="n"/>
      <c r="F153" s="240" t="n"/>
      <c r="G153" s="241" t="n"/>
      <c r="H153" s="240" t="n"/>
      <c r="I153" s="241" t="n"/>
      <c r="J153" s="240" t="str">
        <f>IF(AND(L153="Закрыт",ISNUMBER(F153),ISNUMBER(H153)),ROUND(H153-F153,8),"")</f>
        <v/>
      </c>
      <c r="K153" s="241" t="str">
        <f>IF(AND(L153="Закрыт",ISNUMBER(G153),ISNUMBER(I153)),ROUND(I153-G153,8),"")</f>
        <v/>
      </c>
      <c r="L153" s="238" t="n"/>
    </row>
    <row r="154" ht="22" customHeight="1">
      <c r="B154" s="242" t="n"/>
      <c r="C154" s="243" t="n"/>
      <c r="D154" s="244" t="n"/>
      <c r="E154" s="245" t="n"/>
      <c r="F154" s="246" t="n"/>
      <c r="G154" s="247" t="n"/>
      <c r="H154" s="246" t="n"/>
      <c r="I154" s="247" t="n"/>
      <c r="J154" s="246" t="str">
        <f>IF(AND(L154="Закрыт",ISNUMBER(F154),ISNUMBER(H154)),ROUND(H154-F154,8),"")</f>
        <v/>
      </c>
      <c r="K154" s="247" t="str">
        <f>IF(AND(L154="Закрыт",ISNUMBER(G154),ISNUMBER(I154)),ROUND(I154-G154,8),"")</f>
        <v/>
      </c>
      <c r="L154" s="244" t="n"/>
    </row>
    <row r="155" ht="22" customHeight="1">
      <c r="B155" s="236" t="n"/>
      <c r="C155" s="237" t="n"/>
      <c r="D155" s="238" t="n"/>
      <c r="E155" s="239" t="n"/>
      <c r="F155" s="240" t="n"/>
      <c r="G155" s="241" t="n"/>
      <c r="H155" s="240" t="n"/>
      <c r="I155" s="241" t="n"/>
      <c r="J155" s="240" t="str">
        <f>IF(AND(L155="Закрыт",ISNUMBER(F155),ISNUMBER(H155)),ROUND(H155-F155,8),"")</f>
        <v/>
      </c>
      <c r="K155" s="241" t="str">
        <f>IF(AND(L155="Закрыт",ISNUMBER(G155),ISNUMBER(I155)),ROUND(I155-G155,8),"")</f>
        <v/>
      </c>
      <c r="L155" s="238" t="n"/>
    </row>
    <row r="156" ht="22" customHeight="1">
      <c r="B156" s="242" t="n"/>
      <c r="C156" s="243" t="n"/>
      <c r="D156" s="244" t="n"/>
      <c r="E156" s="245" t="n"/>
      <c r="F156" s="246" t="n"/>
      <c r="G156" s="247" t="n"/>
      <c r="H156" s="246" t="n"/>
      <c r="I156" s="247" t="n"/>
      <c r="J156" s="246" t="str">
        <f>IF(AND(L156="Закрыт",ISNUMBER(F156),ISNUMBER(H156)),ROUND(H156-F156,8),"")</f>
        <v/>
      </c>
      <c r="K156" s="247" t="str">
        <f>IF(AND(L156="Закрыт",ISNUMBER(G156),ISNUMBER(I156)),ROUND(I156-G156,8),"")</f>
        <v/>
      </c>
      <c r="L156" s="244" t="n"/>
    </row>
    <row r="157" ht="22" customHeight="1">
      <c r="B157" s="236" t="n"/>
      <c r="C157" s="237" t="n"/>
      <c r="D157" s="238" t="n"/>
      <c r="E157" s="239" t="n"/>
      <c r="F157" s="240" t="n"/>
      <c r="G157" s="241" t="n"/>
      <c r="H157" s="240" t="n"/>
      <c r="I157" s="241" t="n"/>
      <c r="J157" s="240" t="str">
        <f>IF(AND(L157="Закрыт",ISNUMBER(F157),ISNUMBER(H157)),ROUND(H157-F157,8),"")</f>
        <v/>
      </c>
      <c r="K157" s="241" t="str">
        <f>IF(AND(L157="Закрыт",ISNUMBER(G157),ISNUMBER(I157)),ROUND(I157-G157,8),"")</f>
        <v/>
      </c>
      <c r="L157" s="238" t="n"/>
    </row>
    <row r="158" ht="22" customHeight="1">
      <c r="B158" s="242" t="n"/>
      <c r="C158" s="243" t="n"/>
      <c r="D158" s="244" t="n"/>
      <c r="E158" s="245" t="n"/>
      <c r="F158" s="246" t="n"/>
      <c r="G158" s="247" t="n"/>
      <c r="H158" s="246" t="n"/>
      <c r="I158" s="247" t="n"/>
      <c r="J158" s="246" t="str">
        <f>IF(AND(L158="Закрыт",ISNUMBER(F158),ISNUMBER(H158)),ROUND(H158-F158,8),"")</f>
        <v/>
      </c>
      <c r="K158" s="247" t="str">
        <f>IF(AND(L158="Закрыт",ISNUMBER(G158),ISNUMBER(I158)),ROUND(I158-G158,8),"")</f>
        <v/>
      </c>
      <c r="L158" s="244" t="n"/>
    </row>
    <row r="159" ht="22" customHeight="1">
      <c r="B159" s="236" t="n"/>
      <c r="C159" s="237" t="n"/>
      <c r="D159" s="238" t="n"/>
      <c r="E159" s="239" t="n"/>
      <c r="F159" s="240" t="n"/>
      <c r="G159" s="241" t="n"/>
      <c r="H159" s="240" t="n"/>
      <c r="I159" s="241" t="n"/>
      <c r="J159" s="240" t="str">
        <f>IF(AND(L159="Закрыт",ISNUMBER(F159),ISNUMBER(H159)),ROUND(H159-F159,8),"")</f>
        <v/>
      </c>
      <c r="K159" s="241" t="str">
        <f>IF(AND(L159="Закрыт",ISNUMBER(G159),ISNUMBER(I159)),ROUND(I159-G159,8),"")</f>
        <v/>
      </c>
      <c r="L159" s="238" t="n"/>
    </row>
    <row r="160" ht="22" customHeight="1">
      <c r="B160" s="242" t="n"/>
      <c r="C160" s="243" t="n"/>
      <c r="D160" s="244" t="n"/>
      <c r="E160" s="245" t="n"/>
      <c r="F160" s="246" t="n"/>
      <c r="G160" s="247" t="n"/>
      <c r="H160" s="246" t="n"/>
      <c r="I160" s="247" t="n"/>
      <c r="J160" s="246" t="str">
        <f>IF(AND(L160="Закрыт",ISNUMBER(F160),ISNUMBER(H160)),ROUND(H160-F160,8),"")</f>
        <v/>
      </c>
      <c r="K160" s="247" t="str">
        <f>IF(AND(L160="Закрыт",ISNUMBER(G160),ISNUMBER(I160)),ROUND(I160-G160,8),"")</f>
        <v/>
      </c>
      <c r="L160" s="244" t="n"/>
    </row>
    <row r="161" ht="22" customHeight="1">
      <c r="B161" s="236" t="n"/>
      <c r="C161" s="237" t="n"/>
      <c r="D161" s="238" t="n"/>
      <c r="E161" s="239" t="n"/>
      <c r="F161" s="240" t="n"/>
      <c r="G161" s="241" t="n"/>
      <c r="H161" s="240" t="n"/>
      <c r="I161" s="241" t="n"/>
      <c r="J161" s="240" t="str">
        <f>IF(AND(L161="Закрыт",ISNUMBER(F161),ISNUMBER(H161)),ROUND(H161-F161,8),"")</f>
        <v/>
      </c>
      <c r="K161" s="241" t="str">
        <f>IF(AND(L161="Закрыт",ISNUMBER(G161),ISNUMBER(I161)),ROUND(I161-G161,8),"")</f>
        <v/>
      </c>
      <c r="L161" s="238" t="n"/>
    </row>
    <row r="162" ht="22" customHeight="1">
      <c r="B162" s="242" t="n"/>
      <c r="C162" s="243" t="n"/>
      <c r="D162" s="244" t="n"/>
      <c r="E162" s="245" t="n"/>
      <c r="F162" s="246" t="n"/>
      <c r="G162" s="247" t="n"/>
      <c r="H162" s="246" t="n"/>
      <c r="I162" s="247" t="n"/>
      <c r="J162" s="246" t="str">
        <f>IF(AND(L162="Закрыт",ISNUMBER(F162),ISNUMBER(H162)),ROUND(H162-F162,8),"")</f>
        <v/>
      </c>
      <c r="K162" s="247" t="str">
        <f>IF(AND(L162="Закрыт",ISNUMBER(G162),ISNUMBER(I162)),ROUND(I162-G162,8),"")</f>
        <v/>
      </c>
      <c r="L162" s="244" t="n"/>
    </row>
    <row r="163" ht="22" customHeight="1">
      <c r="B163" s="236" t="n"/>
      <c r="C163" s="237" t="n"/>
      <c r="D163" s="238" t="n"/>
      <c r="E163" s="239" t="n"/>
      <c r="F163" s="240" t="n"/>
      <c r="G163" s="241" t="n"/>
      <c r="H163" s="240" t="n"/>
      <c r="I163" s="241" t="n"/>
      <c r="J163" s="240" t="str">
        <f>IF(AND(L163="Закрыт",ISNUMBER(F163),ISNUMBER(H163)),ROUND(H163-F163,8),"")</f>
        <v/>
      </c>
      <c r="K163" s="241" t="str">
        <f>IF(AND(L163="Закрыт",ISNUMBER(G163),ISNUMBER(I163)),ROUND(I163-G163,8),"")</f>
        <v/>
      </c>
      <c r="L163" s="238" t="n"/>
    </row>
    <row r="164" ht="22" customHeight="1">
      <c r="B164" s="242" t="n"/>
      <c r="C164" s="243" t="n"/>
      <c r="D164" s="244" t="n"/>
      <c r="E164" s="245" t="n"/>
      <c r="F164" s="246" t="n"/>
      <c r="G164" s="247" t="n"/>
      <c r="H164" s="246" t="n"/>
      <c r="I164" s="247" t="n"/>
      <c r="J164" s="246" t="str">
        <f>IF(AND(L164="Закрыт",ISNUMBER(F164),ISNUMBER(H164)),ROUND(H164-F164,8),"")</f>
        <v/>
      </c>
      <c r="K164" s="247" t="str">
        <f>IF(AND(L164="Закрыт",ISNUMBER(G164),ISNUMBER(I164)),ROUND(I164-G164,8),"")</f>
        <v/>
      </c>
      <c r="L164" s="244" t="n"/>
    </row>
    <row r="165" ht="22" customHeight="1">
      <c r="B165" s="236" t="n"/>
      <c r="C165" s="237" t="n"/>
      <c r="D165" s="238" t="n"/>
      <c r="E165" s="239" t="n"/>
      <c r="F165" s="240" t="n"/>
      <c r="G165" s="241" t="n"/>
      <c r="H165" s="240" t="n"/>
      <c r="I165" s="241" t="n"/>
      <c r="J165" s="240" t="str">
        <f>IF(AND(L165="Закрыт",ISNUMBER(F165),ISNUMBER(H165)),ROUND(H165-F165,8),"")</f>
        <v/>
      </c>
      <c r="K165" s="241" t="str">
        <f>IF(AND(L165="Закрыт",ISNUMBER(G165),ISNUMBER(I165)),ROUND(I165-G165,8),"")</f>
        <v/>
      </c>
      <c r="L165" s="238" t="n"/>
    </row>
    <row r="166" ht="22" customHeight="1">
      <c r="B166" s="242" t="n"/>
      <c r="C166" s="243" t="n"/>
      <c r="D166" s="244" t="n"/>
      <c r="E166" s="245" t="n"/>
      <c r="F166" s="246" t="n"/>
      <c r="G166" s="247" t="n"/>
      <c r="H166" s="246" t="n"/>
      <c r="I166" s="247" t="n"/>
      <c r="J166" s="246" t="str">
        <f>IF(AND(L166="Закрыт",ISNUMBER(F166),ISNUMBER(H166)),ROUND(H166-F166,8),"")</f>
        <v/>
      </c>
      <c r="K166" s="247" t="str">
        <f>IF(AND(L166="Закрыт",ISNUMBER(G166),ISNUMBER(I166)),ROUND(I166-G166,8),"")</f>
        <v/>
      </c>
      <c r="L166" s="244" t="n"/>
    </row>
    <row r="167" ht="22" customHeight="1">
      <c r="B167" s="236" t="n"/>
      <c r="C167" s="237" t="n"/>
      <c r="D167" s="238" t="n"/>
      <c r="E167" s="239" t="n"/>
      <c r="F167" s="240" t="n"/>
      <c r="G167" s="241" t="n"/>
      <c r="H167" s="240" t="n"/>
      <c r="I167" s="241" t="n"/>
      <c r="J167" s="240" t="str">
        <f>IF(AND(L167="Закрыт",ISNUMBER(F167),ISNUMBER(H167)),ROUND(H167-F167,8),"")</f>
        <v/>
      </c>
      <c r="K167" s="241" t="str">
        <f>IF(AND(L167="Закрыт",ISNUMBER(G167),ISNUMBER(I167)),ROUND(I167-G167,8),"")</f>
        <v/>
      </c>
      <c r="L167" s="238" t="n"/>
    </row>
    <row r="168" ht="22" customHeight="1">
      <c r="B168" s="242" t="n"/>
      <c r="C168" s="243" t="n"/>
      <c r="D168" s="244" t="n"/>
      <c r="E168" s="245" t="n"/>
      <c r="F168" s="246" t="n"/>
      <c r="G168" s="247" t="n"/>
      <c r="H168" s="246" t="n"/>
      <c r="I168" s="247" t="n"/>
      <c r="J168" s="246" t="str">
        <f>IF(AND(L168="Закрыт",ISNUMBER(F168),ISNUMBER(H168)),ROUND(H168-F168,8),"")</f>
        <v/>
      </c>
      <c r="K168" s="247" t="str">
        <f>IF(AND(L168="Закрыт",ISNUMBER(G168),ISNUMBER(I168)),ROUND(I168-G168,8),"")</f>
        <v/>
      </c>
      <c r="L168" s="244" t="n"/>
    </row>
    <row r="169" ht="22" customHeight="1">
      <c r="B169" s="236" t="n"/>
      <c r="C169" s="237" t="n"/>
      <c r="D169" s="238" t="n"/>
      <c r="E169" s="239" t="n"/>
      <c r="F169" s="240" t="n"/>
      <c r="G169" s="241" t="n"/>
      <c r="H169" s="240" t="n"/>
      <c r="I169" s="241" t="n"/>
      <c r="J169" s="240" t="str">
        <f>IF(AND(L169="Закрыт",ISNUMBER(F169),ISNUMBER(H169)),ROUND(H169-F169,8),"")</f>
        <v/>
      </c>
      <c r="K169" s="241" t="str">
        <f>IF(AND(L169="Закрыт",ISNUMBER(G169),ISNUMBER(I169)),ROUND(I169-G169,8),"")</f>
        <v/>
      </c>
      <c r="L169" s="238" t="n"/>
    </row>
    <row r="170" ht="22" customHeight="1">
      <c r="B170" s="242" t="n"/>
      <c r="C170" s="243" t="n"/>
      <c r="D170" s="244" t="n"/>
      <c r="E170" s="245" t="n"/>
      <c r="F170" s="246" t="n"/>
      <c r="G170" s="247" t="n"/>
      <c r="H170" s="246" t="n"/>
      <c r="I170" s="247" t="n"/>
      <c r="J170" s="246" t="str">
        <f>IF(AND(L170="Закрыт",ISNUMBER(F170),ISNUMBER(H170)),ROUND(H170-F170,8),"")</f>
        <v/>
      </c>
      <c r="K170" s="247" t="str">
        <f>IF(AND(L170="Закрыт",ISNUMBER(G170),ISNUMBER(I170)),ROUND(I170-G170,8),"")</f>
        <v/>
      </c>
      <c r="L170" s="244" t="n"/>
    </row>
    <row r="171" ht="22" customHeight="1">
      <c r="B171" s="236" t="n"/>
      <c r="C171" s="237" t="n"/>
      <c r="D171" s="238" t="n"/>
      <c r="E171" s="239" t="n"/>
      <c r="F171" s="240" t="n"/>
      <c r="G171" s="241" t="n"/>
      <c r="H171" s="240" t="n"/>
      <c r="I171" s="241" t="n"/>
      <c r="J171" s="240" t="str">
        <f>IF(AND(L171="Закрыт",ISNUMBER(F171),ISNUMBER(H171)),ROUND(H171-F171,8),"")</f>
        <v/>
      </c>
      <c r="K171" s="241" t="str">
        <f>IF(AND(L171="Закрыт",ISNUMBER(G171),ISNUMBER(I171)),ROUND(I171-G171,8),"")</f>
        <v/>
      </c>
      <c r="L171" s="238" t="n"/>
    </row>
    <row r="172" ht="22" customHeight="1">
      <c r="B172" s="242" t="n"/>
      <c r="C172" s="243" t="n"/>
      <c r="D172" s="244" t="n"/>
      <c r="E172" s="245" t="n"/>
      <c r="F172" s="246" t="n"/>
      <c r="G172" s="247" t="n"/>
      <c r="H172" s="246" t="n"/>
      <c r="I172" s="247" t="n"/>
      <c r="J172" s="246" t="str">
        <f>IF(AND(L172="Закрыт",ISNUMBER(F172),ISNUMBER(H172)),ROUND(H172-F172,8),"")</f>
        <v/>
      </c>
      <c r="K172" s="247" t="str">
        <f>IF(AND(L172="Закрыт",ISNUMBER(G172),ISNUMBER(I172)),ROUND(I172-G172,8),"")</f>
        <v/>
      </c>
      <c r="L172" s="244" t="n"/>
    </row>
    <row r="173" ht="22" customHeight="1">
      <c r="B173" s="236" t="n"/>
      <c r="C173" s="237" t="n"/>
      <c r="D173" s="238" t="n"/>
      <c r="E173" s="239" t="n"/>
      <c r="F173" s="240" t="n"/>
      <c r="G173" s="241" t="n"/>
      <c r="H173" s="240" t="n"/>
      <c r="I173" s="241" t="n"/>
      <c r="J173" s="240" t="str">
        <f>IF(AND(L173="Закрыт",ISNUMBER(F173),ISNUMBER(H173)),ROUND(H173-F173,8),"")</f>
        <v/>
      </c>
      <c r="K173" s="241" t="str">
        <f>IF(AND(L173="Закрыт",ISNUMBER(G173),ISNUMBER(I173)),ROUND(I173-G173,8),"")</f>
        <v/>
      </c>
      <c r="L173" s="238" t="n"/>
    </row>
    <row r="174" ht="22" customHeight="1">
      <c r="B174" s="242" t="n"/>
      <c r="C174" s="243" t="n"/>
      <c r="D174" s="244" t="n"/>
      <c r="E174" s="245" t="n"/>
      <c r="F174" s="246" t="n"/>
      <c r="G174" s="247" t="n"/>
      <c r="H174" s="246" t="n"/>
      <c r="I174" s="247" t="n"/>
      <c r="J174" s="246" t="str">
        <f>IF(AND(L174="Закрыт",ISNUMBER(F174),ISNUMBER(H174)),ROUND(H174-F174,8),"")</f>
        <v/>
      </c>
      <c r="K174" s="247" t="str">
        <f>IF(AND(L174="Закрыт",ISNUMBER(G174),ISNUMBER(I174)),ROUND(I174-G174,8),"")</f>
        <v/>
      </c>
      <c r="L174" s="244" t="n"/>
    </row>
    <row r="175" ht="22" customHeight="1">
      <c r="B175" s="236" t="n"/>
      <c r="C175" s="237" t="n"/>
      <c r="D175" s="238" t="n"/>
      <c r="E175" s="239" t="n"/>
      <c r="F175" s="240" t="n"/>
      <c r="G175" s="241" t="n"/>
      <c r="H175" s="240" t="n"/>
      <c r="I175" s="241" t="n"/>
      <c r="J175" s="240" t="str">
        <f>IF(AND(L175="Закрыт",ISNUMBER(F175),ISNUMBER(H175)),ROUND(H175-F175,8),"")</f>
        <v/>
      </c>
      <c r="K175" s="241" t="str">
        <f>IF(AND(L175="Закрыт",ISNUMBER(G175),ISNUMBER(I175)),ROUND(I175-G175,8),"")</f>
        <v/>
      </c>
      <c r="L175" s="238" t="n"/>
    </row>
    <row r="176" ht="22" customHeight="1">
      <c r="B176" s="242" t="n"/>
      <c r="C176" s="243" t="n"/>
      <c r="D176" s="244" t="n"/>
      <c r="E176" s="245" t="n"/>
      <c r="F176" s="246" t="n"/>
      <c r="G176" s="247" t="n"/>
      <c r="H176" s="246" t="n"/>
      <c r="I176" s="247" t="n"/>
      <c r="J176" s="246" t="str">
        <f>IF(AND(L176="Закрыт",ISNUMBER(F176),ISNUMBER(H176)),ROUND(H176-F176,8),"")</f>
        <v/>
      </c>
      <c r="K176" s="247" t="str">
        <f>IF(AND(L176="Закрыт",ISNUMBER(G176),ISNUMBER(I176)),ROUND(I176-G176,8),"")</f>
        <v/>
      </c>
      <c r="L176" s="244" t="n"/>
    </row>
    <row r="177" ht="22" customHeight="1">
      <c r="B177" s="236" t="n"/>
      <c r="C177" s="237" t="n"/>
      <c r="D177" s="238" t="n"/>
      <c r="E177" s="239" t="n"/>
      <c r="F177" s="240" t="n"/>
      <c r="G177" s="241" t="n"/>
      <c r="H177" s="240" t="n"/>
      <c r="I177" s="241" t="n"/>
      <c r="J177" s="240" t="str">
        <f>IF(AND(L177="Закрыт",ISNUMBER(F177),ISNUMBER(H177)),ROUND(H177-F177,8),"")</f>
        <v/>
      </c>
      <c r="K177" s="241" t="str">
        <f>IF(AND(L177="Закрыт",ISNUMBER(G177),ISNUMBER(I177)),ROUND(I177-G177,8),"")</f>
        <v/>
      </c>
      <c r="L177" s="238" t="n"/>
    </row>
    <row r="178" ht="22" customHeight="1">
      <c r="B178" s="242" t="n"/>
      <c r="C178" s="243" t="n"/>
      <c r="D178" s="244" t="n"/>
      <c r="E178" s="245" t="n"/>
      <c r="F178" s="246" t="n"/>
      <c r="G178" s="247" t="n"/>
      <c r="H178" s="246" t="n"/>
      <c r="I178" s="247" t="n"/>
      <c r="J178" s="246" t="str">
        <f>IF(AND(L178="Закрыт",ISNUMBER(F178),ISNUMBER(H178)),ROUND(H178-F178,8),"")</f>
        <v/>
      </c>
      <c r="K178" s="247" t="str">
        <f>IF(AND(L178="Закрыт",ISNUMBER(G178),ISNUMBER(I178)),ROUND(I178-G178,8),"")</f>
        <v/>
      </c>
      <c r="L178" s="244" t="n"/>
    </row>
    <row r="179" ht="22" customHeight="1">
      <c r="B179" s="236" t="n"/>
      <c r="C179" s="237" t="n"/>
      <c r="D179" s="238" t="n"/>
      <c r="E179" s="239" t="n"/>
      <c r="F179" s="240" t="n"/>
      <c r="G179" s="241" t="n"/>
      <c r="H179" s="240" t="n"/>
      <c r="I179" s="241" t="n"/>
      <c r="J179" s="240" t="str">
        <f>IF(AND(L179="Закрыт",ISNUMBER(F179),ISNUMBER(H179)),ROUND(H179-F179,8),"")</f>
        <v/>
      </c>
      <c r="K179" s="241" t="str">
        <f>IF(AND(L179="Закрыт",ISNUMBER(G179),ISNUMBER(I179)),ROUND(I179-G179,8),"")</f>
        <v/>
      </c>
      <c r="L179" s="238" t="n"/>
    </row>
    <row r="180" ht="22" customHeight="1">
      <c r="B180" s="242" t="n"/>
      <c r="C180" s="243" t="n"/>
      <c r="D180" s="244" t="n"/>
      <c r="E180" s="245" t="n"/>
      <c r="F180" s="246" t="n"/>
      <c r="G180" s="247" t="n"/>
      <c r="H180" s="246" t="n"/>
      <c r="I180" s="247" t="n"/>
      <c r="J180" s="246" t="str">
        <f>IF(AND(L180="Закрыт",ISNUMBER(F180),ISNUMBER(H180)),ROUND(H180-F180,8),"")</f>
        <v/>
      </c>
      <c r="K180" s="247" t="str">
        <f>IF(AND(L180="Закрыт",ISNUMBER(G180),ISNUMBER(I180)),ROUND(I180-G180,8),"")</f>
        <v/>
      </c>
      <c r="L180" s="244" t="n"/>
    </row>
    <row r="181" ht="22" customHeight="1">
      <c r="B181" s="236" t="n"/>
      <c r="C181" s="237" t="n"/>
      <c r="D181" s="238" t="n"/>
      <c r="E181" s="239" t="n"/>
      <c r="F181" s="240" t="n"/>
      <c r="G181" s="241" t="n"/>
      <c r="H181" s="240" t="n"/>
      <c r="I181" s="241" t="n"/>
      <c r="J181" s="240" t="str">
        <f>IF(AND(L181="Закрыт",ISNUMBER(F181),ISNUMBER(H181)),ROUND(H181-F181,8),"")</f>
        <v/>
      </c>
      <c r="K181" s="241" t="str">
        <f>IF(AND(L181="Закрыт",ISNUMBER(G181),ISNUMBER(I181)),ROUND(I181-G181,8),"")</f>
        <v/>
      </c>
      <c r="L181" s="238" t="n"/>
    </row>
    <row r="182" ht="22" customHeight="1">
      <c r="B182" s="242" t="n"/>
      <c r="C182" s="243" t="n"/>
      <c r="D182" s="244" t="n"/>
      <c r="E182" s="245" t="n"/>
      <c r="F182" s="246" t="n"/>
      <c r="G182" s="247" t="n"/>
      <c r="H182" s="246" t="n"/>
      <c r="I182" s="247" t="n"/>
      <c r="J182" s="246" t="str">
        <f>IF(AND(L182="Закрыт",ISNUMBER(F182),ISNUMBER(H182)),ROUND(H182-F182,8),"")</f>
        <v/>
      </c>
      <c r="K182" s="247" t="str">
        <f>IF(AND(L182="Закрыт",ISNUMBER(G182),ISNUMBER(I182)),ROUND(I182-G182,8),"")</f>
        <v/>
      </c>
      <c r="L182" s="244" t="n"/>
    </row>
    <row r="183" ht="22" customHeight="1">
      <c r="B183" s="236" t="n"/>
      <c r="C183" s="237" t="n"/>
      <c r="D183" s="238" t="n"/>
      <c r="E183" s="239" t="n"/>
      <c r="F183" s="240" t="n"/>
      <c r="G183" s="241" t="n"/>
      <c r="H183" s="240" t="n"/>
      <c r="I183" s="241" t="n"/>
      <c r="J183" s="240" t="str">
        <f>IF(AND(L183="Закрыт",ISNUMBER(F183),ISNUMBER(H183)),ROUND(H183-F183,8),"")</f>
        <v/>
      </c>
      <c r="K183" s="241" t="str">
        <f>IF(AND(L183="Закрыт",ISNUMBER(G183),ISNUMBER(I183)),ROUND(I183-G183,8),"")</f>
        <v/>
      </c>
      <c r="L183" s="238" t="n"/>
    </row>
    <row r="184" ht="22" customHeight="1">
      <c r="B184" s="242" t="n"/>
      <c r="C184" s="243" t="n"/>
      <c r="D184" s="244" t="n"/>
      <c r="E184" s="245" t="n"/>
      <c r="F184" s="246" t="n"/>
      <c r="G184" s="247" t="n"/>
      <c r="H184" s="246" t="n"/>
      <c r="I184" s="247" t="n"/>
      <c r="J184" s="246" t="str">
        <f>IF(AND(L184="Закрыт",ISNUMBER(F184),ISNUMBER(H184)),ROUND(H184-F184,8),"")</f>
        <v/>
      </c>
      <c r="K184" s="247" t="str">
        <f>IF(AND(L184="Закрыт",ISNUMBER(G184),ISNUMBER(I184)),ROUND(I184-G184,8),"")</f>
        <v/>
      </c>
      <c r="L184" s="244" t="n"/>
    </row>
    <row r="185" ht="22" customHeight="1">
      <c r="B185" s="236" t="n"/>
      <c r="C185" s="237" t="n"/>
      <c r="D185" s="238" t="n"/>
      <c r="E185" s="239" t="n"/>
      <c r="F185" s="240" t="n"/>
      <c r="G185" s="241" t="n"/>
      <c r="H185" s="240" t="n"/>
      <c r="I185" s="241" t="n"/>
      <c r="J185" s="240" t="str">
        <f>IF(AND(L185="Закрыт",ISNUMBER(F185),ISNUMBER(H185)),ROUND(H185-F185,8),"")</f>
        <v/>
      </c>
      <c r="K185" s="241" t="str">
        <f>IF(AND(L185="Закрыт",ISNUMBER(G185),ISNUMBER(I185)),ROUND(I185-G185,8),"")</f>
        <v/>
      </c>
      <c r="L185" s="238" t="n"/>
    </row>
    <row r="186" ht="22" customHeight="1">
      <c r="B186" s="242" t="n"/>
      <c r="C186" s="243" t="n"/>
      <c r="D186" s="244" t="n"/>
      <c r="E186" s="245" t="n"/>
      <c r="F186" s="246" t="n"/>
      <c r="G186" s="247" t="n"/>
      <c r="H186" s="246" t="n"/>
      <c r="I186" s="247" t="n"/>
      <c r="J186" s="246" t="str">
        <f>IF(AND(L186="Закрыт",ISNUMBER(F186),ISNUMBER(H186)),ROUND(H186-F186,8),"")</f>
        <v/>
      </c>
      <c r="K186" s="247" t="str">
        <f>IF(AND(L186="Закрыт",ISNUMBER(G186),ISNUMBER(I186)),ROUND(I186-G186,8),"")</f>
        <v/>
      </c>
      <c r="L186" s="244" t="n"/>
    </row>
    <row r="187" ht="22" customHeight="1">
      <c r="B187" s="236" t="n"/>
      <c r="C187" s="237" t="n"/>
      <c r="D187" s="238" t="n"/>
      <c r="E187" s="239" t="n"/>
      <c r="F187" s="240" t="n"/>
      <c r="G187" s="241" t="n"/>
      <c r="H187" s="240" t="n"/>
      <c r="I187" s="241" t="n"/>
      <c r="J187" s="240" t="str">
        <f>IF(AND(L187="Закрыт",ISNUMBER(F187),ISNUMBER(H187)),ROUND(H187-F187,8),"")</f>
        <v/>
      </c>
      <c r="K187" s="241" t="str">
        <f>IF(AND(L187="Закрыт",ISNUMBER(G187),ISNUMBER(I187)),ROUND(I187-G187,8),"")</f>
        <v/>
      </c>
      <c r="L187" s="238" t="n"/>
    </row>
    <row r="188" ht="22" customHeight="1">
      <c r="B188" s="242" t="n"/>
      <c r="C188" s="243" t="n"/>
      <c r="D188" s="244" t="n"/>
      <c r="E188" s="245" t="n"/>
      <c r="F188" s="246" t="n"/>
      <c r="G188" s="247" t="n"/>
      <c r="H188" s="246" t="n"/>
      <c r="I188" s="247" t="n"/>
      <c r="J188" s="246" t="str">
        <f>IF(AND(L188="Закрыт",ISNUMBER(F188),ISNUMBER(H188)),ROUND(H188-F188,8),"")</f>
        <v/>
      </c>
      <c r="K188" s="247" t="str">
        <f>IF(AND(L188="Закрыт",ISNUMBER(G188),ISNUMBER(I188)),ROUND(I188-G188,8),"")</f>
        <v/>
      </c>
      <c r="L188" s="244" t="n"/>
    </row>
    <row r="189" ht="22" customHeight="1">
      <c r="B189" s="236" t="n"/>
      <c r="C189" s="237" t="n"/>
      <c r="D189" s="238" t="n"/>
      <c r="E189" s="239" t="n"/>
      <c r="F189" s="240" t="n"/>
      <c r="G189" s="241" t="n"/>
      <c r="H189" s="240" t="n"/>
      <c r="I189" s="241" t="n"/>
      <c r="J189" s="240" t="str">
        <f>IF(AND(L189="Закрыт",ISNUMBER(F189),ISNUMBER(H189)),ROUND(H189-F189,8),"")</f>
        <v/>
      </c>
      <c r="K189" s="241" t="str">
        <f>IF(AND(L189="Закрыт",ISNUMBER(G189),ISNUMBER(I189)),ROUND(I189-G189,8),"")</f>
        <v/>
      </c>
      <c r="L189" s="238" t="n"/>
    </row>
    <row r="190" ht="22" customHeight="1">
      <c r="B190" s="242" t="n"/>
      <c r="C190" s="243" t="n"/>
      <c r="D190" s="244" t="n"/>
      <c r="E190" s="245" t="n"/>
      <c r="F190" s="246" t="n"/>
      <c r="G190" s="247" t="n"/>
      <c r="H190" s="246" t="n"/>
      <c r="I190" s="247" t="n"/>
      <c r="J190" s="246" t="str">
        <f>IF(AND(L190="Закрыт",ISNUMBER(F190),ISNUMBER(H190)),ROUND(H190-F190,8),"")</f>
        <v/>
      </c>
      <c r="K190" s="247" t="str">
        <f>IF(AND(L190="Закрыт",ISNUMBER(G190),ISNUMBER(I190)),ROUND(I190-G190,8),"")</f>
        <v/>
      </c>
      <c r="L190" s="244" t="n"/>
    </row>
    <row r="191" ht="22" customHeight="1">
      <c r="B191" s="236" t="n"/>
      <c r="C191" s="237" t="n"/>
      <c r="D191" s="238" t="n"/>
      <c r="E191" s="239" t="n"/>
      <c r="F191" s="240" t="n"/>
      <c r="G191" s="241" t="n"/>
      <c r="H191" s="240" t="n"/>
      <c r="I191" s="241" t="n"/>
      <c r="J191" s="240" t="str">
        <f>IF(AND(L191="Закрыт",ISNUMBER(F191),ISNUMBER(H191)),ROUND(H191-F191,8),"")</f>
        <v/>
      </c>
      <c r="K191" s="241" t="str">
        <f>IF(AND(L191="Закрыт",ISNUMBER(G191),ISNUMBER(I191)),ROUND(I191-G191,8),"")</f>
        <v/>
      </c>
      <c r="L191" s="238" t="n"/>
    </row>
    <row r="192" ht="22" customHeight="1">
      <c r="B192" s="242" t="n"/>
      <c r="C192" s="243" t="n"/>
      <c r="D192" s="244" t="n"/>
      <c r="E192" s="245" t="n"/>
      <c r="F192" s="246" t="n"/>
      <c r="G192" s="247" t="n"/>
      <c r="H192" s="246" t="n"/>
      <c r="I192" s="247" t="n"/>
      <c r="J192" s="246" t="str">
        <f>IF(AND(L192="Закрыт",ISNUMBER(F192),ISNUMBER(H192)),ROUND(H192-F192,8),"")</f>
        <v/>
      </c>
      <c r="K192" s="247" t="str">
        <f>IF(AND(L192="Закрыт",ISNUMBER(G192),ISNUMBER(I192)),ROUND(I192-G192,8),"")</f>
        <v/>
      </c>
      <c r="L192" s="244" t="n"/>
    </row>
    <row r="193" ht="22" customHeight="1">
      <c r="B193" s="236" t="n"/>
      <c r="C193" s="237" t="n"/>
      <c r="D193" s="238" t="n"/>
      <c r="E193" s="239" t="n"/>
      <c r="F193" s="240" t="n"/>
      <c r="G193" s="241" t="n"/>
      <c r="H193" s="240" t="n"/>
      <c r="I193" s="241" t="n"/>
      <c r="J193" s="240" t="str">
        <f>IF(AND(L193="Закрыт",ISNUMBER(F193),ISNUMBER(H193)),ROUND(H193-F193,8),"")</f>
        <v/>
      </c>
      <c r="K193" s="241" t="str">
        <f>IF(AND(L193="Закрыт",ISNUMBER(G193),ISNUMBER(I193)),ROUND(I193-G193,8),"")</f>
        <v/>
      </c>
      <c r="L193" s="238" t="n"/>
    </row>
    <row r="194" ht="22" customHeight="1">
      <c r="B194" s="242" t="n"/>
      <c r="C194" s="243" t="n"/>
      <c r="D194" s="244" t="n"/>
      <c r="E194" s="245" t="n"/>
      <c r="F194" s="246" t="n"/>
      <c r="G194" s="247" t="n"/>
      <c r="H194" s="246" t="n"/>
      <c r="I194" s="247" t="n"/>
      <c r="J194" s="246" t="str">
        <f>IF(AND(L194="Закрыт",ISNUMBER(F194),ISNUMBER(H194)),ROUND(H194-F194,8),"")</f>
        <v/>
      </c>
      <c r="K194" s="247" t="str">
        <f>IF(AND(L194="Закрыт",ISNUMBER(G194),ISNUMBER(I194)),ROUND(I194-G194,8),"")</f>
        <v/>
      </c>
      <c r="L194" s="244" t="n"/>
    </row>
    <row r="195" ht="22" customHeight="1">
      <c r="B195" s="236" t="n"/>
      <c r="C195" s="237" t="n"/>
      <c r="D195" s="238" t="n"/>
      <c r="E195" s="239" t="n"/>
      <c r="F195" s="240" t="n"/>
      <c r="G195" s="241" t="n"/>
      <c r="H195" s="240" t="n"/>
      <c r="I195" s="241" t="n"/>
      <c r="J195" s="240" t="str">
        <f>IF(AND(L195="Закрыт",ISNUMBER(F195),ISNUMBER(H195)),ROUND(H195-F195,8),"")</f>
        <v/>
      </c>
      <c r="K195" s="241" t="str">
        <f>IF(AND(L195="Закрыт",ISNUMBER(G195),ISNUMBER(I195)),ROUND(I195-G195,8),"")</f>
        <v/>
      </c>
      <c r="L195" s="238" t="n"/>
    </row>
    <row r="196" ht="22" customHeight="1">
      <c r="B196" s="242" t="n"/>
      <c r="C196" s="243" t="n"/>
      <c r="D196" s="244" t="n"/>
      <c r="E196" s="245" t="n"/>
      <c r="F196" s="246" t="n"/>
      <c r="G196" s="247" t="n"/>
      <c r="H196" s="246" t="n"/>
      <c r="I196" s="247" t="n"/>
      <c r="J196" s="246" t="str">
        <f>IF(AND(L196="Закрыт",ISNUMBER(F196),ISNUMBER(H196)),ROUND(H196-F196,8),"")</f>
        <v/>
      </c>
      <c r="K196" s="247" t="str">
        <f>IF(AND(L196="Закрыт",ISNUMBER(G196),ISNUMBER(I196)),ROUND(I196-G196,8),"")</f>
        <v/>
      </c>
      <c r="L196" s="244" t="n"/>
    </row>
    <row r="197" ht="22" customHeight="1">
      <c r="B197" s="236" t="n"/>
      <c r="C197" s="237" t="n"/>
      <c r="D197" s="238" t="n"/>
      <c r="E197" s="239" t="n"/>
      <c r="F197" s="240" t="n"/>
      <c r="G197" s="241" t="n"/>
      <c r="H197" s="240" t="n"/>
      <c r="I197" s="241" t="n"/>
      <c r="J197" s="240" t="str">
        <f>IF(AND(L197="Закрыт",ISNUMBER(F197),ISNUMBER(H197)),ROUND(H197-F197,8),"")</f>
        <v/>
      </c>
      <c r="K197" s="241" t="str">
        <f>IF(AND(L197="Закрыт",ISNUMBER(G197),ISNUMBER(I197)),ROUND(I197-G197,8),"")</f>
        <v/>
      </c>
      <c r="L197" s="238" t="n"/>
    </row>
    <row r="198" ht="22" customHeight="1">
      <c r="B198" s="242" t="n"/>
      <c r="C198" s="243" t="n"/>
      <c r="D198" s="244" t="n"/>
      <c r="E198" s="245" t="n"/>
      <c r="F198" s="246" t="n"/>
      <c r="G198" s="247" t="n"/>
      <c r="H198" s="246" t="n"/>
      <c r="I198" s="247" t="n"/>
      <c r="J198" s="246" t="str">
        <f>IF(AND(L198="Закрыт",ISNUMBER(F198),ISNUMBER(H198)),ROUND(H198-F198,8),"")</f>
        <v/>
      </c>
      <c r="K198" s="247" t="str">
        <f>IF(AND(L198="Закрыт",ISNUMBER(G198),ISNUMBER(I198)),ROUND(I198-G198,8),"")</f>
        <v/>
      </c>
      <c r="L198" s="244" t="n"/>
    </row>
    <row r="199" ht="22" customHeight="1">
      <c r="B199" s="236" t="n"/>
      <c r="C199" s="237" t="n"/>
      <c r="D199" s="238" t="n"/>
      <c r="E199" s="239" t="n"/>
      <c r="F199" s="240" t="n"/>
      <c r="G199" s="241" t="n"/>
      <c r="H199" s="240" t="n"/>
      <c r="I199" s="241" t="n"/>
      <c r="J199" s="240" t="str">
        <f>IF(AND(L199="Закрыт",ISNUMBER(F199),ISNUMBER(H199)),ROUND(H199-F199,8),"")</f>
        <v/>
      </c>
      <c r="K199" s="241" t="str">
        <f>IF(AND(L199="Закрыт",ISNUMBER(G199),ISNUMBER(I199)),ROUND(I199-G199,8),"")</f>
        <v/>
      </c>
      <c r="L199" s="238" t="n"/>
    </row>
    <row r="200" ht="22" customHeight="1">
      <c r="B200" s="242" t="n"/>
      <c r="C200" s="243" t="n"/>
      <c r="D200" s="244" t="n"/>
      <c r="E200" s="245" t="n"/>
      <c r="F200" s="246" t="n"/>
      <c r="G200" s="247" t="n"/>
      <c r="H200" s="246" t="n"/>
      <c r="I200" s="247" t="n"/>
      <c r="J200" s="246" t="str">
        <f>IF(AND(L200="Закрыт",ISNUMBER(F200),ISNUMBER(H200)),ROUND(H200-F200,8),"")</f>
        <v/>
      </c>
      <c r="K200" s="247" t="str">
        <f>IF(AND(L200="Закрыт",ISNUMBER(G200),ISNUMBER(I200)),ROUND(I200-G200,8),"")</f>
        <v/>
      </c>
      <c r="L200" s="244" t="n"/>
    </row>
    <row r="201" ht="22" customHeight="1">
      <c r="B201" s="236" t="n"/>
      <c r="C201" s="237" t="n"/>
      <c r="D201" s="238" t="n"/>
      <c r="E201" s="239" t="n"/>
      <c r="F201" s="240" t="n"/>
      <c r="G201" s="241" t="n"/>
      <c r="H201" s="240" t="n"/>
      <c r="I201" s="241" t="n"/>
      <c r="J201" s="240" t="str">
        <f>IF(AND(L201="Закрыт",ISNUMBER(F201),ISNUMBER(H201)),ROUND(H201-F201,8),"")</f>
        <v/>
      </c>
      <c r="K201" s="241" t="str">
        <f>IF(AND(L201="Закрыт",ISNUMBER(G201),ISNUMBER(I201)),ROUND(I201-G201,8),"")</f>
        <v/>
      </c>
      <c r="L201" s="238" t="n"/>
    </row>
    <row r="202" ht="22" customHeight="1">
      <c r="B202" s="242" t="n"/>
      <c r="C202" s="243" t="n"/>
      <c r="D202" s="244" t="n"/>
      <c r="E202" s="245" t="n"/>
      <c r="F202" s="246" t="n"/>
      <c r="G202" s="247" t="n"/>
      <c r="H202" s="246" t="n"/>
      <c r="I202" s="247" t="n"/>
      <c r="J202" s="246" t="str">
        <f>IF(AND(L202="Закрыт",ISNUMBER(F202),ISNUMBER(H202)),ROUND(H202-F202,8),"")</f>
        <v/>
      </c>
      <c r="K202" s="247" t="str">
        <f>IF(AND(L202="Закрыт",ISNUMBER(G202),ISNUMBER(I202)),ROUND(I202-G202,8),"")</f>
        <v/>
      </c>
      <c r="L202" s="244" t="n"/>
    </row>
    <row r="203" ht="22" customHeight="1">
      <c r="B203" s="236" t="n"/>
      <c r="C203" s="237" t="n"/>
      <c r="D203" s="238" t="n"/>
      <c r="E203" s="239" t="n"/>
      <c r="F203" s="240" t="n"/>
      <c r="G203" s="241" t="n"/>
      <c r="H203" s="240" t="n"/>
      <c r="I203" s="241" t="n"/>
      <c r="J203" s="240" t="str">
        <f>IF(AND(L203="Закрыт",ISNUMBER(F203),ISNUMBER(H203)),ROUND(H203-F203,8),"")</f>
        <v/>
      </c>
      <c r="K203" s="241" t="str">
        <f>IF(AND(L203="Закрыт",ISNUMBER(G203),ISNUMBER(I203)),ROUND(I203-G203,8),"")</f>
        <v/>
      </c>
      <c r="L203" s="238" t="n"/>
    </row>
    <row r="204" ht="22" customHeight="1">
      <c r="B204" s="242" t="n"/>
      <c r="C204" s="243" t="n"/>
      <c r="D204" s="244" t="n"/>
      <c r="E204" s="245" t="n"/>
      <c r="F204" s="246" t="n"/>
      <c r="G204" s="247" t="n"/>
      <c r="H204" s="246" t="n"/>
      <c r="I204" s="247" t="n"/>
      <c r="J204" s="246" t="str">
        <f>IF(AND(L204="Закрыт",ISNUMBER(F204),ISNUMBER(H204)),ROUND(H204-F204,8),"")</f>
        <v/>
      </c>
      <c r="K204" s="247" t="str">
        <f>IF(AND(L204="Закрыт",ISNUMBER(G204),ISNUMBER(I204)),ROUND(I204-G204,8),"")</f>
        <v/>
      </c>
      <c r="L204" s="244" t="n"/>
    </row>
    <row r="205" ht="22" customHeight="1">
      <c r="B205" s="236" t="n"/>
      <c r="C205" s="237" t="n"/>
      <c r="D205" s="238" t="n"/>
      <c r="E205" s="239" t="n"/>
      <c r="F205" s="240" t="n"/>
      <c r="G205" s="241" t="n"/>
      <c r="H205" s="240" t="n"/>
      <c r="I205" s="241" t="n"/>
      <c r="J205" s="240" t="str">
        <f>IF(AND(L205="Закрыт",ISNUMBER(F205),ISNUMBER(H205)),ROUND(H205-F205,8),"")</f>
        <v/>
      </c>
      <c r="K205" s="241" t="str">
        <f>IF(AND(L205="Закрыт",ISNUMBER(G205),ISNUMBER(I205)),ROUND(I205-G205,8),"")</f>
        <v/>
      </c>
      <c r="L205" s="238" t="n"/>
    </row>
    <row r="206" ht="22" customHeight="1">
      <c r="B206" s="242" t="n"/>
      <c r="C206" s="243" t="n"/>
      <c r="D206" s="244" t="n"/>
      <c r="E206" s="245" t="n"/>
      <c r="F206" s="246" t="n"/>
      <c r="G206" s="247" t="n"/>
      <c r="H206" s="246" t="n"/>
      <c r="I206" s="247" t="n"/>
      <c r="J206" s="246" t="str">
        <f>IF(AND(L206="Закрыт",ISNUMBER(F206),ISNUMBER(H206)),ROUND(H206-F206,8),"")</f>
        <v/>
      </c>
      <c r="K206" s="247" t="str">
        <f>IF(AND(L206="Закрыт",ISNUMBER(G206),ISNUMBER(I206)),ROUND(I206-G206,8),"")</f>
        <v/>
      </c>
      <c r="L206" s="244" t="n"/>
    </row>
    <row r="207" ht="22" customHeight="1">
      <c r="B207" s="236" t="n"/>
      <c r="C207" s="237" t="n"/>
      <c r="D207" s="238" t="n"/>
      <c r="E207" s="239" t="n"/>
      <c r="F207" s="240" t="n"/>
      <c r="G207" s="241" t="n"/>
      <c r="H207" s="240" t="n"/>
      <c r="I207" s="241" t="n"/>
      <c r="J207" s="240" t="str">
        <f>IF(AND(L207="Закрыт",ISNUMBER(F207),ISNUMBER(H207)),ROUND(H207-F207,8),"")</f>
        <v/>
      </c>
      <c r="K207" s="241" t="str">
        <f>IF(AND(L207="Закрыт",ISNUMBER(G207),ISNUMBER(I207)),ROUND(I207-G207,8),"")</f>
        <v/>
      </c>
      <c r="L207" s="238" t="n"/>
    </row>
    <row r="208" ht="22" customHeight="1">
      <c r="B208" s="242" t="n"/>
      <c r="C208" s="243" t="n"/>
      <c r="D208" s="244" t="n"/>
      <c r="E208" s="245" t="n"/>
      <c r="F208" s="246" t="n"/>
      <c r="G208" s="247" t="n"/>
      <c r="H208" s="246" t="n"/>
      <c r="I208" s="247" t="n"/>
      <c r="J208" s="246" t="str">
        <f>IF(AND(L208="Закрыт",ISNUMBER(F208),ISNUMBER(H208)),ROUND(H208-F208,8),"")</f>
        <v/>
      </c>
      <c r="K208" s="247" t="str">
        <f>IF(AND(L208="Закрыт",ISNUMBER(G208),ISNUMBER(I208)),ROUND(I208-G208,8),"")</f>
        <v/>
      </c>
      <c r="L208" s="244" t="n"/>
    </row>
    <row r="209" ht="22" customHeight="1">
      <c r="B209" s="236" t="n"/>
      <c r="C209" s="237" t="n"/>
      <c r="D209" s="238" t="n"/>
      <c r="E209" s="239" t="n"/>
      <c r="F209" s="240" t="n"/>
      <c r="G209" s="241" t="n"/>
      <c r="H209" s="240" t="n"/>
      <c r="I209" s="241" t="n"/>
      <c r="J209" s="240" t="str">
        <f>IF(AND(L209="Закрыт",ISNUMBER(F209),ISNUMBER(H209)),ROUND(H209-F209,8),"")</f>
        <v/>
      </c>
      <c r="K209" s="241" t="str">
        <f>IF(AND(L209="Закрыт",ISNUMBER(G209),ISNUMBER(I209)),ROUND(I209-G209,8),"")</f>
        <v/>
      </c>
      <c r="L209" s="238" t="n"/>
    </row>
    <row r="210" ht="22" customHeight="1">
      <c r="B210" s="242" t="n"/>
      <c r="C210" s="243" t="n"/>
      <c r="D210" s="244" t="n"/>
      <c r="E210" s="245" t="n"/>
      <c r="F210" s="246" t="n"/>
      <c r="G210" s="247" t="n"/>
      <c r="H210" s="246" t="n"/>
      <c r="I210" s="247" t="n"/>
      <c r="J210" s="246" t="str">
        <f>IF(AND(L210="Закрыт",ISNUMBER(F210),ISNUMBER(H210)),ROUND(H210-F210,8),"")</f>
        <v/>
      </c>
      <c r="K210" s="247" t="str">
        <f>IF(AND(L210="Закрыт",ISNUMBER(G210),ISNUMBER(I210)),ROUND(I210-G210,8),"")</f>
        <v/>
      </c>
      <c r="L210" s="244" t="n"/>
    </row>
    <row r="211" ht="22" customHeight="1">
      <c r="B211" s="236" t="n"/>
      <c r="C211" s="237" t="n"/>
      <c r="D211" s="238" t="n"/>
      <c r="E211" s="239" t="n"/>
      <c r="F211" s="240" t="n"/>
      <c r="G211" s="241" t="n"/>
      <c r="H211" s="240" t="n"/>
      <c r="I211" s="241" t="n"/>
      <c r="J211" s="240" t="str">
        <f>IF(AND(L211="Закрыт",ISNUMBER(F211),ISNUMBER(H211)),ROUND(H211-F211,8),"")</f>
        <v/>
      </c>
      <c r="K211" s="241" t="str">
        <f>IF(AND(L211="Закрыт",ISNUMBER(G211),ISNUMBER(I211)),ROUND(I211-G211,8),"")</f>
        <v/>
      </c>
      <c r="L211" s="238" t="n"/>
    </row>
    <row r="212" ht="22" customHeight="1">
      <c r="B212" s="242" t="n"/>
      <c r="C212" s="243" t="n"/>
      <c r="D212" s="244" t="n"/>
      <c r="E212" s="245" t="n"/>
      <c r="F212" s="246" t="n"/>
      <c r="G212" s="247" t="n"/>
      <c r="H212" s="246" t="n"/>
      <c r="I212" s="247" t="n"/>
      <c r="J212" s="246" t="str">
        <f>IF(AND(L212="Закрыт",ISNUMBER(F212),ISNUMBER(H212)),ROUND(H212-F212,8),"")</f>
        <v/>
      </c>
      <c r="K212" s="247" t="str">
        <f>IF(AND(L212="Закрыт",ISNUMBER(G212),ISNUMBER(I212)),ROUND(I212-G212,8),"")</f>
        <v/>
      </c>
      <c r="L212" s="244" t="n"/>
    </row>
    <row r="213" ht="22" customHeight="1">
      <c r="B213" s="236" t="n"/>
      <c r="C213" s="237" t="n"/>
      <c r="D213" s="238" t="n"/>
      <c r="E213" s="239" t="n"/>
      <c r="F213" s="240" t="n"/>
      <c r="G213" s="241" t="n"/>
      <c r="H213" s="240" t="n"/>
      <c r="I213" s="241" t="n"/>
      <c r="J213" s="240" t="str">
        <f>IF(AND(L213="Закрыт",ISNUMBER(F213),ISNUMBER(H213)),ROUND(H213-F213,8),"")</f>
        <v/>
      </c>
      <c r="K213" s="241" t="str">
        <f>IF(AND(L213="Закрыт",ISNUMBER(G213),ISNUMBER(I213)),ROUND(I213-G213,8),"")</f>
        <v/>
      </c>
      <c r="L213" s="238" t="n"/>
    </row>
    <row r="214" ht="22" customHeight="1">
      <c r="B214" s="242" t="n"/>
      <c r="C214" s="243" t="n"/>
      <c r="D214" s="244" t="n"/>
      <c r="E214" s="245" t="n"/>
      <c r="F214" s="246" t="n"/>
      <c r="G214" s="247" t="n"/>
      <c r="H214" s="246" t="n"/>
      <c r="I214" s="247" t="n"/>
      <c r="J214" s="246" t="str">
        <f>IF(AND(L214="Закрыт",ISNUMBER(F214),ISNUMBER(H214)),ROUND(H214-F214,8),"")</f>
        <v/>
      </c>
      <c r="K214" s="247" t="str">
        <f>IF(AND(L214="Закрыт",ISNUMBER(G214),ISNUMBER(I214)),ROUND(I214-G214,8),"")</f>
        <v/>
      </c>
      <c r="L214" s="244" t="n"/>
    </row>
    <row r="215" ht="22" customHeight="1">
      <c r="B215" s="236" t="n"/>
      <c r="C215" s="237" t="n"/>
      <c r="D215" s="238" t="n"/>
      <c r="E215" s="239" t="n"/>
      <c r="F215" s="240" t="n"/>
      <c r="G215" s="241" t="n"/>
      <c r="H215" s="240" t="n"/>
      <c r="I215" s="241" t="n"/>
      <c r="J215" s="240" t="str">
        <f>IF(AND(L215="Закрыт",ISNUMBER(F215),ISNUMBER(H215)),ROUND(H215-F215,8),"")</f>
        <v/>
      </c>
      <c r="K215" s="241" t="str">
        <f>IF(AND(L215="Закрыт",ISNUMBER(G215),ISNUMBER(I215)),ROUND(I215-G215,8),"")</f>
        <v/>
      </c>
      <c r="L215" s="238" t="n"/>
    </row>
    <row r="216" ht="22" customHeight="1">
      <c r="B216" s="242" t="n"/>
      <c r="C216" s="243" t="n"/>
      <c r="D216" s="244" t="n"/>
      <c r="E216" s="245" t="n"/>
      <c r="F216" s="246" t="n"/>
      <c r="G216" s="247" t="n"/>
      <c r="H216" s="246" t="n"/>
      <c r="I216" s="247" t="n"/>
      <c r="J216" s="246" t="str">
        <f>IF(AND(L216="Закрыт",ISNUMBER(F216),ISNUMBER(H216)),ROUND(H216-F216,8),"")</f>
        <v/>
      </c>
      <c r="K216" s="247" t="str">
        <f>IF(AND(L216="Закрыт",ISNUMBER(G216),ISNUMBER(I216)),ROUND(I216-G216,8),"")</f>
        <v/>
      </c>
      <c r="L216" s="244" t="n"/>
    </row>
    <row r="217" ht="22" customHeight="1">
      <c r="B217" s="236" t="n"/>
      <c r="C217" s="237" t="n"/>
      <c r="D217" s="238" t="n"/>
      <c r="E217" s="239" t="n"/>
      <c r="F217" s="240" t="n"/>
      <c r="G217" s="241" t="n"/>
      <c r="H217" s="240" t="n"/>
      <c r="I217" s="241" t="n"/>
      <c r="J217" s="240" t="str">
        <f>IF(AND(L217="Закрыт",ISNUMBER(F217),ISNUMBER(H217)),ROUND(H217-F217,8),"")</f>
        <v/>
      </c>
      <c r="K217" s="241" t="str">
        <f>IF(AND(L217="Закрыт",ISNUMBER(G217),ISNUMBER(I217)),ROUND(I217-G217,8),"")</f>
        <v/>
      </c>
      <c r="L217" s="238" t="n"/>
    </row>
    <row r="218" ht="22" customHeight="1">
      <c r="B218" s="242" t="n"/>
      <c r="C218" s="243" t="n"/>
      <c r="D218" s="244" t="n"/>
      <c r="E218" s="245" t="n"/>
      <c r="F218" s="246" t="n"/>
      <c r="G218" s="247" t="n"/>
      <c r="H218" s="246" t="n"/>
      <c r="I218" s="247" t="n"/>
      <c r="J218" s="246" t="str">
        <f>IF(AND(L218="Закрыт",ISNUMBER(F218),ISNUMBER(H218)),ROUND(H218-F218,8),"")</f>
        <v/>
      </c>
      <c r="K218" s="247" t="str">
        <f>IF(AND(L218="Закрыт",ISNUMBER(G218),ISNUMBER(I218)),ROUND(I218-G218,8),"")</f>
        <v/>
      </c>
      <c r="L218" s="244" t="n"/>
    </row>
    <row r="219" ht="22" customHeight="1">
      <c r="B219" s="236" t="n"/>
      <c r="C219" s="237" t="n"/>
      <c r="D219" s="238" t="n"/>
      <c r="E219" s="239" t="n"/>
      <c r="F219" s="240" t="n"/>
      <c r="G219" s="241" t="n"/>
      <c r="H219" s="240" t="n"/>
      <c r="I219" s="241" t="n"/>
      <c r="J219" s="240" t="str">
        <f>IF(AND(L219="Закрыт",ISNUMBER(F219),ISNUMBER(H219)),ROUND(H219-F219,8),"")</f>
        <v/>
      </c>
      <c r="K219" s="241" t="str">
        <f>IF(AND(L219="Закрыт",ISNUMBER(G219),ISNUMBER(I219)),ROUND(I219-G219,8),"")</f>
        <v/>
      </c>
      <c r="L219" s="238" t="n"/>
    </row>
    <row r="220" ht="22" customHeight="1">
      <c r="B220" s="242" t="n"/>
      <c r="C220" s="243" t="n"/>
      <c r="D220" s="244" t="n"/>
      <c r="E220" s="245" t="n"/>
      <c r="F220" s="246" t="n"/>
      <c r="G220" s="247" t="n"/>
      <c r="H220" s="246" t="n"/>
      <c r="I220" s="247" t="n"/>
      <c r="J220" s="246" t="str">
        <f>IF(AND(L220="Закрыт",ISNUMBER(F220),ISNUMBER(H220)),ROUND(H220-F220,8),"")</f>
        <v/>
      </c>
      <c r="K220" s="247" t="str">
        <f>IF(AND(L220="Закрыт",ISNUMBER(G220),ISNUMBER(I220)),ROUND(I220-G220,8),"")</f>
        <v/>
      </c>
      <c r="L220" s="244" t="n"/>
    </row>
    <row r="221" ht="22" customHeight="1">
      <c r="B221" s="236" t="n"/>
      <c r="C221" s="237" t="n"/>
      <c r="D221" s="238" t="n"/>
      <c r="E221" s="239" t="n"/>
      <c r="F221" s="240" t="n"/>
      <c r="G221" s="241" t="n"/>
      <c r="H221" s="240" t="n"/>
      <c r="I221" s="241" t="n"/>
      <c r="J221" s="240" t="str">
        <f>IF(AND(L221="Закрыт",ISNUMBER(F221),ISNUMBER(H221)),ROUND(H221-F221,8),"")</f>
        <v/>
      </c>
      <c r="K221" s="241" t="str">
        <f>IF(AND(L221="Закрыт",ISNUMBER(G221),ISNUMBER(I221)),ROUND(I221-G221,8),"")</f>
        <v/>
      </c>
      <c r="L221" s="238" t="n"/>
    </row>
    <row r="222" ht="22" customHeight="1">
      <c r="B222" s="242" t="n"/>
      <c r="C222" s="243" t="n"/>
      <c r="D222" s="244" t="n"/>
      <c r="E222" s="245" t="n"/>
      <c r="F222" s="246" t="n"/>
      <c r="G222" s="247" t="n"/>
      <c r="H222" s="246" t="n"/>
      <c r="I222" s="247" t="n"/>
      <c r="J222" s="246" t="str">
        <f>IF(AND(L222="Закрыт",ISNUMBER(F222),ISNUMBER(H222)),ROUND(H222-F222,8),"")</f>
        <v/>
      </c>
      <c r="K222" s="247" t="str">
        <f>IF(AND(L222="Закрыт",ISNUMBER(G222),ISNUMBER(I222)),ROUND(I222-G222,8),"")</f>
        <v/>
      </c>
      <c r="L222" s="244" t="n"/>
    </row>
    <row r="223" ht="22" customHeight="1">
      <c r="B223" s="236" t="n"/>
      <c r="C223" s="237" t="n"/>
      <c r="D223" s="238" t="n"/>
      <c r="E223" s="239" t="n"/>
      <c r="F223" s="240" t="n"/>
      <c r="G223" s="241" t="n"/>
      <c r="H223" s="240" t="n"/>
      <c r="I223" s="241" t="n"/>
      <c r="J223" s="240" t="str">
        <f>IF(AND(L223="Закрыт",ISNUMBER(F223),ISNUMBER(H223)),ROUND(H223-F223,8),"")</f>
        <v/>
      </c>
      <c r="K223" s="241" t="str">
        <f>IF(AND(L223="Закрыт",ISNUMBER(G223),ISNUMBER(I223)),ROUND(I223-G223,8),"")</f>
        <v/>
      </c>
      <c r="L223" s="238" t="n"/>
    </row>
    <row r="224" ht="22" customHeight="1">
      <c r="B224" s="242" t="n"/>
      <c r="C224" s="243" t="n"/>
      <c r="D224" s="244" t="n"/>
      <c r="E224" s="245" t="n"/>
      <c r="F224" s="246" t="n"/>
      <c r="G224" s="247" t="n"/>
      <c r="H224" s="246" t="n"/>
      <c r="I224" s="247" t="n"/>
      <c r="J224" s="246" t="str">
        <f>IF(AND(L224="Закрыт",ISNUMBER(F224),ISNUMBER(H224)),ROUND(H224-F224,8),"")</f>
        <v/>
      </c>
      <c r="K224" s="247" t="str">
        <f>IF(AND(L224="Закрыт",ISNUMBER(G224),ISNUMBER(I224)),ROUND(I224-G224,8),"")</f>
        <v/>
      </c>
      <c r="L224" s="244" t="n"/>
    </row>
    <row r="225" ht="22" customHeight="1">
      <c r="B225" s="236" t="n"/>
      <c r="C225" s="237" t="n"/>
      <c r="D225" s="238" t="n"/>
      <c r="E225" s="239" t="n"/>
      <c r="F225" s="240" t="n"/>
      <c r="G225" s="241" t="n"/>
      <c r="H225" s="240" t="n"/>
      <c r="I225" s="241" t="n"/>
      <c r="J225" s="240" t="str">
        <f>IF(AND(L225="Закрыт",ISNUMBER(F225),ISNUMBER(H225)),ROUND(H225-F225,8),"")</f>
        <v/>
      </c>
      <c r="K225" s="241" t="str">
        <f>IF(AND(L225="Закрыт",ISNUMBER(G225),ISNUMBER(I225)),ROUND(I225-G225,8),"")</f>
        <v/>
      </c>
      <c r="L225" s="238" t="n"/>
    </row>
    <row r="226" ht="22" customHeight="1">
      <c r="B226" s="242" t="n"/>
      <c r="C226" s="243" t="n"/>
      <c r="D226" s="244" t="n"/>
      <c r="E226" s="245" t="n"/>
      <c r="F226" s="246" t="n"/>
      <c r="G226" s="247" t="n"/>
      <c r="H226" s="246" t="n"/>
      <c r="I226" s="247" t="n"/>
      <c r="J226" s="246" t="str">
        <f>IF(AND(L226="Закрыт",ISNUMBER(F226),ISNUMBER(H226)),ROUND(H226-F226,8),"")</f>
        <v/>
      </c>
      <c r="K226" s="247" t="str">
        <f>IF(AND(L226="Закрыт",ISNUMBER(G226),ISNUMBER(I226)),ROUND(I226-G226,8),"")</f>
        <v/>
      </c>
      <c r="L226" s="244" t="n"/>
    </row>
    <row r="227" ht="22" customHeight="1">
      <c r="B227" s="236" t="n"/>
      <c r="C227" s="237" t="n"/>
      <c r="D227" s="238" t="n"/>
      <c r="E227" s="239" t="n"/>
      <c r="F227" s="240" t="n"/>
      <c r="G227" s="241" t="n"/>
      <c r="H227" s="240" t="n"/>
      <c r="I227" s="241" t="n"/>
      <c r="J227" s="240" t="str">
        <f>IF(AND(L227="Закрыт",ISNUMBER(F227),ISNUMBER(H227)),ROUND(H227-F227,8),"")</f>
        <v/>
      </c>
      <c r="K227" s="241" t="str">
        <f>IF(AND(L227="Закрыт",ISNUMBER(G227),ISNUMBER(I227)),ROUND(I227-G227,8),"")</f>
        <v/>
      </c>
      <c r="L227" s="238" t="n"/>
    </row>
    <row r="228" ht="22" customHeight="1">
      <c r="B228" s="242" t="n"/>
      <c r="C228" s="243" t="n"/>
      <c r="D228" s="244" t="n"/>
      <c r="E228" s="245" t="n"/>
      <c r="F228" s="246" t="n"/>
      <c r="G228" s="247" t="n"/>
      <c r="H228" s="246" t="n"/>
      <c r="I228" s="247" t="n"/>
      <c r="J228" s="246" t="str">
        <f>IF(AND(L228="Закрыт",ISNUMBER(F228),ISNUMBER(H228)),ROUND(H228-F228,8),"")</f>
        <v/>
      </c>
      <c r="K228" s="247" t="str">
        <f>IF(AND(L228="Закрыт",ISNUMBER(G228),ISNUMBER(I228)),ROUND(I228-G228,8),"")</f>
        <v/>
      </c>
      <c r="L228" s="244" t="n"/>
    </row>
    <row r="229" ht="22" customHeight="1">
      <c r="B229" s="236" t="n"/>
      <c r="C229" s="237" t="n"/>
      <c r="D229" s="238" t="n"/>
      <c r="E229" s="239" t="n"/>
      <c r="F229" s="240" t="n"/>
      <c r="G229" s="241" t="n"/>
      <c r="H229" s="240" t="n"/>
      <c r="I229" s="241" t="n"/>
      <c r="J229" s="240" t="str">
        <f>IF(AND(L229="Закрыт",ISNUMBER(F229),ISNUMBER(H229)),ROUND(H229-F229,8),"")</f>
        <v/>
      </c>
      <c r="K229" s="241" t="str">
        <f>IF(AND(L229="Закрыт",ISNUMBER(G229),ISNUMBER(I229)),ROUND(I229-G229,8),"")</f>
        <v/>
      </c>
      <c r="L229" s="238" t="n"/>
    </row>
    <row r="230" ht="22" customHeight="1">
      <c r="B230" s="242" t="n"/>
      <c r="C230" s="243" t="n"/>
      <c r="D230" s="244" t="n"/>
      <c r="E230" s="245" t="n"/>
      <c r="F230" s="246" t="n"/>
      <c r="G230" s="247" t="n"/>
      <c r="H230" s="246" t="n"/>
      <c r="I230" s="247" t="n"/>
      <c r="J230" s="246" t="str">
        <f>IF(AND(L230="Закрыт",ISNUMBER(F230),ISNUMBER(H230)),ROUND(H230-F230,8),"")</f>
        <v/>
      </c>
      <c r="K230" s="247" t="str">
        <f>IF(AND(L230="Закрыт",ISNUMBER(G230),ISNUMBER(I230)),ROUND(I230-G230,8),"")</f>
        <v/>
      </c>
      <c r="L230" s="244" t="n"/>
    </row>
    <row r="231" ht="22" customHeight="1">
      <c r="B231" s="236" t="n"/>
      <c r="C231" s="237" t="n"/>
      <c r="D231" s="238" t="n"/>
      <c r="E231" s="239" t="n"/>
      <c r="F231" s="240" t="n"/>
      <c r="G231" s="241" t="n"/>
      <c r="H231" s="240" t="n"/>
      <c r="I231" s="241" t="n"/>
      <c r="J231" s="240" t="str">
        <f>IF(AND(L231="Закрыт",ISNUMBER(F231),ISNUMBER(H231)),ROUND(H231-F231,8),"")</f>
        <v/>
      </c>
      <c r="K231" s="241" t="str">
        <f>IF(AND(L231="Закрыт",ISNUMBER(G231),ISNUMBER(I231)),ROUND(I231-G231,8),"")</f>
        <v/>
      </c>
      <c r="L231" s="238" t="n"/>
    </row>
    <row r="232" ht="22" customHeight="1">
      <c r="B232" s="242" t="n"/>
      <c r="C232" s="243" t="n"/>
      <c r="D232" s="244" t="n"/>
      <c r="E232" s="245" t="n"/>
      <c r="F232" s="246" t="n"/>
      <c r="G232" s="247" t="n"/>
      <c r="H232" s="246" t="n"/>
      <c r="I232" s="247" t="n"/>
      <c r="J232" s="246" t="str">
        <f>IF(AND(L232="Закрыт",ISNUMBER(F232),ISNUMBER(H232)),ROUND(H232-F232,8),"")</f>
        <v/>
      </c>
      <c r="K232" s="247" t="str">
        <f>IF(AND(L232="Закрыт",ISNUMBER(G232),ISNUMBER(I232)),ROUND(I232-G232,8),"")</f>
        <v/>
      </c>
      <c r="L232" s="244" t="n"/>
    </row>
    <row r="233" ht="22" customHeight="1">
      <c r="B233" s="236" t="n"/>
      <c r="C233" s="237" t="n"/>
      <c r="D233" s="238" t="n"/>
      <c r="E233" s="239" t="n"/>
      <c r="F233" s="240" t="n"/>
      <c r="G233" s="241" t="n"/>
      <c r="H233" s="240" t="n"/>
      <c r="I233" s="241" t="n"/>
      <c r="J233" s="240" t="str">
        <f>IF(AND(L233="Закрыт",ISNUMBER(F233),ISNUMBER(H233)),ROUND(H233-F233,8),"")</f>
        <v/>
      </c>
      <c r="K233" s="241" t="str">
        <f>IF(AND(L233="Закрыт",ISNUMBER(G233),ISNUMBER(I233)),ROUND(I233-G233,8),"")</f>
        <v/>
      </c>
      <c r="L233" s="238" t="n"/>
    </row>
    <row r="234" ht="22" customHeight="1">
      <c r="B234" s="242" t="n"/>
      <c r="C234" s="243" t="n"/>
      <c r="D234" s="244" t="n"/>
      <c r="E234" s="245" t="n"/>
      <c r="F234" s="246" t="n"/>
      <c r="G234" s="247" t="n"/>
      <c r="H234" s="246" t="n"/>
      <c r="I234" s="247" t="n"/>
      <c r="J234" s="246" t="str">
        <f>IF(AND(L234="Закрыт",ISNUMBER(F234),ISNUMBER(H234)),ROUND(H234-F234,8),"")</f>
        <v/>
      </c>
      <c r="K234" s="247" t="str">
        <f>IF(AND(L234="Закрыт",ISNUMBER(G234),ISNUMBER(I234)),ROUND(I234-G234,8),"")</f>
        <v/>
      </c>
      <c r="L234" s="244" t="n"/>
    </row>
    <row r="235" ht="22" customHeight="1">
      <c r="B235" s="236" t="n"/>
      <c r="C235" s="237" t="n"/>
      <c r="D235" s="238" t="n"/>
      <c r="E235" s="239" t="n"/>
      <c r="F235" s="240" t="n"/>
      <c r="G235" s="241" t="n"/>
      <c r="H235" s="240" t="n"/>
      <c r="I235" s="241" t="n"/>
      <c r="J235" s="240" t="str">
        <f>IF(AND(L235="Закрыт",ISNUMBER(F235),ISNUMBER(H235)),ROUND(H235-F235,8),"")</f>
        <v/>
      </c>
      <c r="K235" s="241" t="str">
        <f>IF(AND(L235="Закрыт",ISNUMBER(G235),ISNUMBER(I235)),ROUND(I235-G235,8),"")</f>
        <v/>
      </c>
      <c r="L235" s="238" t="n"/>
    </row>
    <row r="236" ht="22" customHeight="1">
      <c r="B236" s="242" t="n"/>
      <c r="C236" s="243" t="n"/>
      <c r="D236" s="244" t="n"/>
      <c r="E236" s="245" t="n"/>
      <c r="F236" s="246" t="n"/>
      <c r="G236" s="247" t="n"/>
      <c r="H236" s="246" t="n"/>
      <c r="I236" s="247" t="n"/>
      <c r="J236" s="246" t="str">
        <f>IF(AND(L236="Закрыт",ISNUMBER(F236),ISNUMBER(H236)),ROUND(H236-F236,8),"")</f>
        <v/>
      </c>
      <c r="K236" s="247" t="str">
        <f>IF(AND(L236="Закрыт",ISNUMBER(G236),ISNUMBER(I236)),ROUND(I236-G236,8),"")</f>
        <v/>
      </c>
      <c r="L236" s="244" t="n"/>
    </row>
    <row r="237" ht="22" customHeight="1">
      <c r="B237" s="236" t="n"/>
      <c r="C237" s="237" t="n"/>
      <c r="D237" s="238" t="n"/>
      <c r="E237" s="239" t="n"/>
      <c r="F237" s="240" t="n"/>
      <c r="G237" s="241" t="n"/>
      <c r="H237" s="240" t="n"/>
      <c r="I237" s="241" t="n"/>
      <c r="J237" s="240" t="str">
        <f>IF(AND(L237="Закрыт",ISNUMBER(F237),ISNUMBER(H237)),ROUND(H237-F237,8),"")</f>
        <v/>
      </c>
      <c r="K237" s="241" t="str">
        <f>IF(AND(L237="Закрыт",ISNUMBER(G237),ISNUMBER(I237)),ROUND(I237-G237,8),"")</f>
        <v/>
      </c>
      <c r="L237" s="238" t="n"/>
    </row>
    <row r="238" ht="22" customHeight="1">
      <c r="B238" s="242" t="n"/>
      <c r="C238" s="243" t="n"/>
      <c r="D238" s="244" t="n"/>
      <c r="E238" s="245" t="n"/>
      <c r="F238" s="246" t="n"/>
      <c r="G238" s="247" t="n"/>
      <c r="H238" s="246" t="n"/>
      <c r="I238" s="247" t="n"/>
      <c r="J238" s="246" t="str">
        <f>IF(AND(L238="Закрыт",ISNUMBER(F238),ISNUMBER(H238)),ROUND(H238-F238,8),"")</f>
        <v/>
      </c>
      <c r="K238" s="247" t="str">
        <f>IF(AND(L238="Закрыт",ISNUMBER(G238),ISNUMBER(I238)),ROUND(I238-G238,8),"")</f>
        <v/>
      </c>
      <c r="L238" s="244" t="n"/>
    </row>
    <row r="239" ht="22" customHeight="1">
      <c r="B239" s="236" t="n"/>
      <c r="C239" s="237" t="n"/>
      <c r="D239" s="238" t="n"/>
      <c r="E239" s="239" t="n"/>
      <c r="F239" s="240" t="n"/>
      <c r="G239" s="241" t="n"/>
      <c r="H239" s="240" t="n"/>
      <c r="I239" s="241" t="n"/>
      <c r="J239" s="240" t="str">
        <f>IF(AND(L239="Закрыт",ISNUMBER(F239),ISNUMBER(H239)),ROUND(H239-F239,8),"")</f>
        <v/>
      </c>
      <c r="K239" s="241" t="str">
        <f>IF(AND(L239="Закрыт",ISNUMBER(G239),ISNUMBER(I239)),ROUND(I239-G239,8),"")</f>
        <v/>
      </c>
      <c r="L239" s="238" t="n"/>
    </row>
    <row r="240" ht="22" customHeight="1">
      <c r="B240" s="242" t="n"/>
      <c r="C240" s="243" t="n"/>
      <c r="D240" s="244" t="n"/>
      <c r="E240" s="245" t="n"/>
      <c r="F240" s="246" t="n"/>
      <c r="G240" s="247" t="n"/>
      <c r="H240" s="246" t="n"/>
      <c r="I240" s="247" t="n"/>
      <c r="J240" s="246" t="str">
        <f>IF(AND(L240="Закрыт",ISNUMBER(F240),ISNUMBER(H240)),ROUND(H240-F240,8),"")</f>
        <v/>
      </c>
      <c r="K240" s="247" t="str">
        <f>IF(AND(L240="Закрыт",ISNUMBER(G240),ISNUMBER(I240)),ROUND(I240-G240,8),"")</f>
        <v/>
      </c>
      <c r="L240" s="244" t="n"/>
    </row>
    <row r="241" ht="22" customHeight="1">
      <c r="B241" s="236" t="n"/>
      <c r="C241" s="237" t="n"/>
      <c r="D241" s="238" t="n"/>
      <c r="E241" s="239" t="n"/>
      <c r="F241" s="240" t="n"/>
      <c r="G241" s="241" t="n"/>
      <c r="H241" s="240" t="n"/>
      <c r="I241" s="241" t="n"/>
      <c r="J241" s="240" t="str">
        <f>IF(AND(L241="Закрыт",ISNUMBER(F241),ISNUMBER(H241)),ROUND(H241-F241,8),"")</f>
        <v/>
      </c>
      <c r="K241" s="241" t="str">
        <f>IF(AND(L241="Закрыт",ISNUMBER(G241),ISNUMBER(I241)),ROUND(I241-G241,8),"")</f>
        <v/>
      </c>
      <c r="L241" s="238" t="n"/>
    </row>
    <row r="242" ht="22" customHeight="1">
      <c r="B242" s="242" t="n"/>
      <c r="C242" s="243" t="n"/>
      <c r="D242" s="244" t="n"/>
      <c r="E242" s="245" t="n"/>
      <c r="F242" s="246" t="n"/>
      <c r="G242" s="247" t="n"/>
      <c r="H242" s="246" t="n"/>
      <c r="I242" s="247" t="n"/>
      <c r="J242" s="246" t="str">
        <f>IF(AND(L242="Закрыт",ISNUMBER(F242),ISNUMBER(H242)),ROUND(H242-F242,8),"")</f>
        <v/>
      </c>
      <c r="K242" s="247" t="str">
        <f>IF(AND(L242="Закрыт",ISNUMBER(G242),ISNUMBER(I242)),ROUND(I242-G242,8),"")</f>
        <v/>
      </c>
      <c r="L242" s="244" t="n"/>
    </row>
    <row r="243" ht="22" customHeight="1">
      <c r="B243" s="236" t="n"/>
      <c r="C243" s="237" t="n"/>
      <c r="D243" s="238" t="n"/>
      <c r="E243" s="239" t="n"/>
      <c r="F243" s="240" t="n"/>
      <c r="G243" s="241" t="n"/>
      <c r="H243" s="240" t="n"/>
      <c r="I243" s="241" t="n"/>
      <c r="J243" s="240" t="str">
        <f>IF(AND(L243="Закрыт",ISNUMBER(F243),ISNUMBER(H243)),ROUND(H243-F243,8),"")</f>
        <v/>
      </c>
      <c r="K243" s="241" t="str">
        <f>IF(AND(L243="Закрыт",ISNUMBER(G243),ISNUMBER(I243)),ROUND(I243-G243,8),"")</f>
        <v/>
      </c>
      <c r="L243" s="238" t="n"/>
    </row>
    <row r="244" ht="22" customHeight="1">
      <c r="B244" s="242" t="n"/>
      <c r="C244" s="243" t="n"/>
      <c r="D244" s="244" t="n"/>
      <c r="E244" s="245" t="n"/>
      <c r="F244" s="246" t="n"/>
      <c r="G244" s="247" t="n"/>
      <c r="H244" s="246" t="n"/>
      <c r="I244" s="247" t="n"/>
      <c r="J244" s="246" t="str">
        <f>IF(AND(L244="Закрыт",ISNUMBER(F244),ISNUMBER(H244)),ROUND(H244-F244,8),"")</f>
        <v/>
      </c>
      <c r="K244" s="247" t="str">
        <f>IF(AND(L244="Закрыт",ISNUMBER(G244),ISNUMBER(I244)),ROUND(I244-G244,8),"")</f>
        <v/>
      </c>
      <c r="L244" s="244" t="n"/>
    </row>
    <row r="245" ht="22" customHeight="1">
      <c r="B245" s="236" t="n"/>
      <c r="C245" s="237" t="n"/>
      <c r="D245" s="238" t="n"/>
      <c r="E245" s="239" t="n"/>
      <c r="F245" s="240" t="n"/>
      <c r="G245" s="241" t="n"/>
      <c r="H245" s="240" t="n"/>
      <c r="I245" s="241" t="n"/>
      <c r="J245" s="240" t="str">
        <f>IF(AND(L245="Закрыт",ISNUMBER(F245),ISNUMBER(H245)),ROUND(H245-F245,8),"")</f>
        <v/>
      </c>
      <c r="K245" s="241" t="str">
        <f>IF(AND(L245="Закрыт",ISNUMBER(G245),ISNUMBER(I245)),ROUND(I245-G245,8),"")</f>
        <v/>
      </c>
      <c r="L245" s="238" t="n"/>
    </row>
    <row r="246" ht="22" customHeight="1">
      <c r="B246" s="242" t="n"/>
      <c r="C246" s="243" t="n"/>
      <c r="D246" s="244" t="n"/>
      <c r="E246" s="245" t="n"/>
      <c r="F246" s="246" t="n"/>
      <c r="G246" s="247" t="n"/>
      <c r="H246" s="246" t="n"/>
      <c r="I246" s="247" t="n"/>
      <c r="J246" s="246" t="str">
        <f>IF(AND(L246="Закрыт",ISNUMBER(F246),ISNUMBER(H246)),ROUND(H246-F246,8),"")</f>
        <v/>
      </c>
      <c r="K246" s="247" t="str">
        <f>IF(AND(L246="Закрыт",ISNUMBER(G246),ISNUMBER(I246)),ROUND(I246-G246,8),"")</f>
        <v/>
      </c>
      <c r="L246" s="244" t="n"/>
    </row>
    <row r="247" ht="22" customHeight="1">
      <c r="B247" s="236" t="n"/>
      <c r="C247" s="237" t="n"/>
      <c r="D247" s="238" t="n"/>
      <c r="E247" s="239" t="n"/>
      <c r="F247" s="240" t="n"/>
      <c r="G247" s="241" t="n"/>
      <c r="H247" s="240" t="n"/>
      <c r="I247" s="241" t="n"/>
      <c r="J247" s="240" t="str">
        <f>IF(AND(L247="Закрыт",ISNUMBER(F247),ISNUMBER(H247)),ROUND(H247-F247,8),"")</f>
        <v/>
      </c>
      <c r="K247" s="241" t="str">
        <f>IF(AND(L247="Закрыт",ISNUMBER(G247),ISNUMBER(I247)),ROUND(I247-G247,8),"")</f>
        <v/>
      </c>
      <c r="L247" s="238" t="n"/>
    </row>
    <row r="248" ht="22" customHeight="1">
      <c r="B248" s="242" t="n"/>
      <c r="C248" s="243" t="n"/>
      <c r="D248" s="244" t="n"/>
      <c r="E248" s="245" t="n"/>
      <c r="F248" s="246" t="n"/>
      <c r="G248" s="247" t="n"/>
      <c r="H248" s="246" t="n"/>
      <c r="I248" s="247" t="n"/>
      <c r="J248" s="246" t="str">
        <f>IF(AND(L248="Закрыт",ISNUMBER(F248),ISNUMBER(H248)),ROUND(H248-F248,8),"")</f>
        <v/>
      </c>
      <c r="K248" s="247" t="str">
        <f>IF(AND(L248="Закрыт",ISNUMBER(G248),ISNUMBER(I248)),ROUND(I248-G248,8),"")</f>
        <v/>
      </c>
      <c r="L248" s="244" t="n"/>
    </row>
    <row r="249" ht="22" customHeight="1">
      <c r="B249" s="236" t="n"/>
      <c r="C249" s="237" t="n"/>
      <c r="D249" s="238" t="n"/>
      <c r="E249" s="239" t="n"/>
      <c r="F249" s="240" t="n"/>
      <c r="G249" s="241" t="n"/>
      <c r="H249" s="240" t="n"/>
      <c r="I249" s="241" t="n"/>
      <c r="J249" s="240" t="str">
        <f>IF(AND(L249="Закрыт",ISNUMBER(F249),ISNUMBER(H249)),ROUND(H249-F249,8),"")</f>
        <v/>
      </c>
      <c r="K249" s="241" t="str">
        <f>IF(AND(L249="Закрыт",ISNUMBER(G249),ISNUMBER(I249)),ROUND(I249-G249,8),"")</f>
        <v/>
      </c>
      <c r="L249" s="238" t="n"/>
    </row>
    <row r="250" ht="22" customHeight="1">
      <c r="B250" s="242" t="n"/>
      <c r="C250" s="243" t="n"/>
      <c r="D250" s="244" t="n"/>
      <c r="E250" s="245" t="n"/>
      <c r="F250" s="246" t="n"/>
      <c r="G250" s="247" t="n"/>
      <c r="H250" s="246" t="n"/>
      <c r="I250" s="247" t="n"/>
      <c r="J250" s="246" t="str">
        <f>IF(AND(L250="Закрыт",ISNUMBER(F250),ISNUMBER(H250)),ROUND(H250-F250,8),"")</f>
        <v/>
      </c>
      <c r="K250" s="247" t="str">
        <f>IF(AND(L250="Закрыт",ISNUMBER(G250),ISNUMBER(I250)),ROUND(I250-G250,8),"")</f>
        <v/>
      </c>
      <c r="L250" s="244" t="n"/>
    </row>
    <row r="251" ht="22" customHeight="1">
      <c r="B251" s="236" t="n"/>
      <c r="C251" s="237" t="n"/>
      <c r="D251" s="238" t="n"/>
      <c r="E251" s="239" t="n"/>
      <c r="F251" s="240" t="n"/>
      <c r="G251" s="241" t="n"/>
      <c r="H251" s="240" t="n"/>
      <c r="I251" s="241" t="n"/>
      <c r="J251" s="240" t="str">
        <f>IF(AND(L251="Закрыт",ISNUMBER(F251),ISNUMBER(H251)),ROUND(H251-F251,8),"")</f>
        <v/>
      </c>
      <c r="K251" s="241" t="str">
        <f>IF(AND(L251="Закрыт",ISNUMBER(G251),ISNUMBER(I251)),ROUND(I251-G251,8),"")</f>
        <v/>
      </c>
      <c r="L251" s="238" t="n"/>
    </row>
    <row r="252" ht="22" customHeight="1">
      <c r="B252" s="242" t="n"/>
      <c r="C252" s="243" t="n"/>
      <c r="D252" s="244" t="n"/>
      <c r="E252" s="245" t="n"/>
      <c r="F252" s="246" t="n"/>
      <c r="G252" s="247" t="n"/>
      <c r="H252" s="246" t="n"/>
      <c r="I252" s="247" t="n"/>
      <c r="J252" s="246" t="str">
        <f>IF(AND(L252="Закрыт",ISNUMBER(F252),ISNUMBER(H252)),ROUND(H252-F252,8),"")</f>
        <v/>
      </c>
      <c r="K252" s="247" t="str">
        <f>IF(AND(L252="Закрыт",ISNUMBER(G252),ISNUMBER(I252)),ROUND(I252-G252,8),"")</f>
        <v/>
      </c>
      <c r="L252" s="244" t="n"/>
    </row>
    <row r="253" ht="22" customHeight="1">
      <c r="B253" s="236" t="n"/>
      <c r="C253" s="237" t="n"/>
      <c r="D253" s="238" t="n"/>
      <c r="E253" s="239" t="n"/>
      <c r="F253" s="240" t="n"/>
      <c r="G253" s="241" t="n"/>
      <c r="H253" s="240" t="n"/>
      <c r="I253" s="241" t="n"/>
      <c r="J253" s="240" t="str">
        <f>IF(AND(L253="Закрыт",ISNUMBER(F253),ISNUMBER(H253)),ROUND(H253-F253,8),"")</f>
        <v/>
      </c>
      <c r="K253" s="241" t="str">
        <f>IF(AND(L253="Закрыт",ISNUMBER(G253),ISNUMBER(I253)),ROUND(I253-G253,8),"")</f>
        <v/>
      </c>
      <c r="L253" s="238" t="n"/>
    </row>
    <row r="254" ht="22" customHeight="1">
      <c r="B254" s="242" t="n"/>
      <c r="C254" s="243" t="n"/>
      <c r="D254" s="244" t="n"/>
      <c r="E254" s="245" t="n"/>
      <c r="F254" s="246" t="n"/>
      <c r="G254" s="247" t="n"/>
      <c r="H254" s="246" t="n"/>
      <c r="I254" s="247" t="n"/>
      <c r="J254" s="246" t="str">
        <f>IF(AND(L254="Закрыт",ISNUMBER(F254),ISNUMBER(H254)),ROUND(H254-F254,8),"")</f>
        <v/>
      </c>
      <c r="K254" s="247" t="str">
        <f>IF(AND(L254="Закрыт",ISNUMBER(G254),ISNUMBER(I254)),ROUND(I254-G254,8),"")</f>
        <v/>
      </c>
      <c r="L254" s="244" t="n"/>
    </row>
    <row r="255" ht="22" customHeight="1">
      <c r="B255" s="236" t="n"/>
      <c r="C255" s="237" t="n"/>
      <c r="D255" s="238" t="n"/>
      <c r="E255" s="239" t="n"/>
      <c r="F255" s="240" t="n"/>
      <c r="G255" s="241" t="n"/>
      <c r="H255" s="240" t="n"/>
      <c r="I255" s="241" t="n"/>
      <c r="J255" s="240" t="str">
        <f>IF(AND(L255="Закрыт",ISNUMBER(F255),ISNUMBER(H255)),ROUND(H255-F255,8),"")</f>
        <v/>
      </c>
      <c r="K255" s="241" t="str">
        <f>IF(AND(L255="Закрыт",ISNUMBER(G255),ISNUMBER(I255)),ROUND(I255-G255,8),"")</f>
        <v/>
      </c>
      <c r="L255" s="238" t="n"/>
    </row>
    <row r="256" ht="22" customHeight="1">
      <c r="B256" s="242" t="n"/>
      <c r="C256" s="243" t="n"/>
      <c r="D256" s="244" t="n"/>
      <c r="E256" s="245" t="n"/>
      <c r="F256" s="246" t="n"/>
      <c r="G256" s="247" t="n"/>
      <c r="H256" s="246" t="n"/>
      <c r="I256" s="247" t="n"/>
      <c r="J256" s="246" t="str">
        <f>IF(AND(L256="Закрыт",ISNUMBER(F256),ISNUMBER(H256)),ROUND(H256-F256,8),"")</f>
        <v/>
      </c>
      <c r="K256" s="247" t="str">
        <f>IF(AND(L256="Закрыт",ISNUMBER(G256),ISNUMBER(I256)),ROUND(I256-G256,8),"")</f>
        <v/>
      </c>
      <c r="L256" s="244" t="n"/>
    </row>
    <row r="257" ht="22" customHeight="1">
      <c r="B257" s="236" t="n"/>
      <c r="C257" s="237" t="n"/>
      <c r="D257" s="238" t="n"/>
      <c r="E257" s="239" t="n"/>
      <c r="F257" s="240" t="n"/>
      <c r="G257" s="241" t="n"/>
      <c r="H257" s="240" t="n"/>
      <c r="I257" s="241" t="n"/>
      <c r="J257" s="240" t="str">
        <f>IF(AND(L257="Закрыт",ISNUMBER(F257),ISNUMBER(H257)),ROUND(H257-F257,8),"")</f>
        <v/>
      </c>
      <c r="K257" s="241" t="str">
        <f>IF(AND(L257="Закрыт",ISNUMBER(G257),ISNUMBER(I257)),ROUND(I257-G257,8),"")</f>
        <v/>
      </c>
      <c r="L257" s="238" t="n"/>
    </row>
    <row r="258" ht="22" customHeight="1">
      <c r="B258" s="242" t="n"/>
      <c r="C258" s="243" t="n"/>
      <c r="D258" s="244" t="n"/>
      <c r="E258" s="245" t="n"/>
      <c r="F258" s="246" t="n"/>
      <c r="G258" s="247" t="n"/>
      <c r="H258" s="246" t="n"/>
      <c r="I258" s="247" t="n"/>
      <c r="J258" s="246" t="str">
        <f>IF(AND(L258="Закрыт",ISNUMBER(F258),ISNUMBER(H258)),ROUND(H258-F258,8),"")</f>
        <v/>
      </c>
      <c r="K258" s="247" t="str">
        <f>IF(AND(L258="Закрыт",ISNUMBER(G258),ISNUMBER(I258)),ROUND(I258-G258,8),"")</f>
        <v/>
      </c>
      <c r="L258" s="244" t="n"/>
    </row>
    <row r="259" ht="22" customHeight="1">
      <c r="B259" s="236" t="n"/>
      <c r="C259" s="237" t="n"/>
      <c r="D259" s="238" t="n"/>
      <c r="E259" s="239" t="n"/>
      <c r="F259" s="240" t="n"/>
      <c r="G259" s="241" t="n"/>
      <c r="H259" s="240" t="n"/>
      <c r="I259" s="241" t="n"/>
      <c r="J259" s="240" t="str">
        <f>IF(AND(L259="Закрыт",ISNUMBER(F259),ISNUMBER(H259)),ROUND(H259-F259,8),"")</f>
        <v/>
      </c>
      <c r="K259" s="241" t="str">
        <f>IF(AND(L259="Закрыт",ISNUMBER(G259),ISNUMBER(I259)),ROUND(I259-G259,8),"")</f>
        <v/>
      </c>
      <c r="L259" s="238" t="n"/>
    </row>
    <row r="260" ht="22" customHeight="1">
      <c r="B260" s="242" t="n"/>
      <c r="C260" s="243" t="n"/>
      <c r="D260" s="244" t="n"/>
      <c r="E260" s="245" t="n"/>
      <c r="F260" s="246" t="n"/>
      <c r="G260" s="247" t="n"/>
      <c r="H260" s="246" t="n"/>
      <c r="I260" s="247" t="n"/>
      <c r="J260" s="246" t="str">
        <f>IF(AND(L260="Закрыт",ISNUMBER(F260),ISNUMBER(H260)),ROUND(H260-F260,8),"")</f>
        <v/>
      </c>
      <c r="K260" s="247" t="str">
        <f>IF(AND(L260="Закрыт",ISNUMBER(G260),ISNUMBER(I260)),ROUND(I260-G260,8),"")</f>
        <v/>
      </c>
      <c r="L260" s="244" t="n"/>
    </row>
    <row r="261" ht="22" customHeight="1">
      <c r="B261" s="236" t="n"/>
      <c r="C261" s="237" t="n"/>
      <c r="D261" s="238" t="n"/>
      <c r="E261" s="239" t="n"/>
      <c r="F261" s="240" t="n"/>
      <c r="G261" s="241" t="n"/>
      <c r="H261" s="240" t="n"/>
      <c r="I261" s="241" t="n"/>
      <c r="J261" s="240" t="str">
        <f>IF(AND(L261="Закрыт",ISNUMBER(F261),ISNUMBER(H261)),ROUND(H261-F261,8),"")</f>
        <v/>
      </c>
      <c r="K261" s="241" t="str">
        <f>IF(AND(L261="Закрыт",ISNUMBER(G261),ISNUMBER(I261)),ROUND(I261-G261,8),"")</f>
        <v/>
      </c>
      <c r="L261" s="238" t="n"/>
    </row>
    <row r="262" ht="22" customHeight="1">
      <c r="B262" s="242" t="n"/>
      <c r="C262" s="243" t="n"/>
      <c r="D262" s="244" t="n"/>
      <c r="E262" s="245" t="n"/>
      <c r="F262" s="246" t="n"/>
      <c r="G262" s="247" t="n"/>
      <c r="H262" s="246" t="n"/>
      <c r="I262" s="247" t="n"/>
      <c r="J262" s="246" t="str">
        <f>IF(AND(L262="Закрыт",ISNUMBER(F262),ISNUMBER(H262)),ROUND(H262-F262,8),"")</f>
        <v/>
      </c>
      <c r="K262" s="247" t="str">
        <f>IF(AND(L262="Закрыт",ISNUMBER(G262),ISNUMBER(I262)),ROUND(I262-G262,8),"")</f>
        <v/>
      </c>
      <c r="L262" s="244" t="n"/>
    </row>
    <row r="263" ht="22" customHeight="1">
      <c r="B263" s="236" t="n"/>
      <c r="C263" s="237" t="n"/>
      <c r="D263" s="238" t="n"/>
      <c r="E263" s="239" t="n"/>
      <c r="F263" s="240" t="n"/>
      <c r="G263" s="241" t="n"/>
      <c r="H263" s="240" t="n"/>
      <c r="I263" s="241" t="n"/>
      <c r="J263" s="240" t="str">
        <f>IF(AND(L263="Закрыт",ISNUMBER(F263),ISNUMBER(H263)),ROUND(H263-F263,8),"")</f>
        <v/>
      </c>
      <c r="K263" s="241" t="str">
        <f>IF(AND(L263="Закрыт",ISNUMBER(G263),ISNUMBER(I263)),ROUND(I263-G263,8),"")</f>
        <v/>
      </c>
      <c r="L263" s="238" t="n"/>
    </row>
    <row r="264" ht="22" customHeight="1">
      <c r="B264" s="242" t="n"/>
      <c r="C264" s="243" t="n"/>
      <c r="D264" s="244" t="n"/>
      <c r="E264" s="245" t="n"/>
      <c r="F264" s="246" t="n"/>
      <c r="G264" s="247" t="n"/>
      <c r="H264" s="246" t="n"/>
      <c r="I264" s="247" t="n"/>
      <c r="J264" s="246" t="str">
        <f>IF(AND(L264="Закрыт",ISNUMBER(F264),ISNUMBER(H264)),ROUND(H264-F264,8),"")</f>
        <v/>
      </c>
      <c r="K264" s="247" t="str">
        <f>IF(AND(L264="Закрыт",ISNUMBER(G264),ISNUMBER(I264)),ROUND(I264-G264,8),"")</f>
        <v/>
      </c>
      <c r="L264" s="244" t="n"/>
    </row>
    <row r="265" ht="22" customHeight="1">
      <c r="B265" s="236" t="n"/>
      <c r="C265" s="237" t="n"/>
      <c r="D265" s="238" t="n"/>
      <c r="E265" s="239" t="n"/>
      <c r="F265" s="240" t="n"/>
      <c r="G265" s="241" t="n"/>
      <c r="H265" s="240" t="n"/>
      <c r="I265" s="241" t="n"/>
      <c r="J265" s="240" t="str">
        <f>IF(AND(L265="Закрыт",ISNUMBER(F265),ISNUMBER(H265)),ROUND(H265-F265,8),"")</f>
        <v/>
      </c>
      <c r="K265" s="241" t="str">
        <f>IF(AND(L265="Закрыт",ISNUMBER(G265),ISNUMBER(I265)),ROUND(I265-G265,8),"")</f>
        <v/>
      </c>
      <c r="L265" s="238" t="n"/>
    </row>
    <row r="266" ht="22" customHeight="1">
      <c r="B266" s="242" t="n"/>
      <c r="C266" s="243" t="n"/>
      <c r="D266" s="244" t="n"/>
      <c r="E266" s="245" t="n"/>
      <c r="F266" s="246" t="n"/>
      <c r="G266" s="247" t="n"/>
      <c r="H266" s="246" t="n"/>
      <c r="I266" s="247" t="n"/>
      <c r="J266" s="246" t="str">
        <f>IF(AND(L266="Закрыт",ISNUMBER(F266),ISNUMBER(H266)),ROUND(H266-F266,8),"")</f>
        <v/>
      </c>
      <c r="K266" s="247" t="str">
        <f>IF(AND(L266="Закрыт",ISNUMBER(G266),ISNUMBER(I266)),ROUND(I266-G266,8),"")</f>
        <v/>
      </c>
      <c r="L266" s="244" t="n"/>
    </row>
    <row r="267" ht="22" customHeight="1">
      <c r="B267" s="236" t="n"/>
      <c r="C267" s="237" t="n"/>
      <c r="D267" s="238" t="n"/>
      <c r="E267" s="239" t="n"/>
      <c r="F267" s="240" t="n"/>
      <c r="G267" s="241" t="n"/>
      <c r="H267" s="240" t="n"/>
      <c r="I267" s="241" t="n"/>
      <c r="J267" s="240" t="str">
        <f>IF(AND(L267="Закрыт",ISNUMBER(F267),ISNUMBER(H267)),ROUND(H267-F267,8),"")</f>
        <v/>
      </c>
      <c r="K267" s="241" t="str">
        <f>IF(AND(L267="Закрыт",ISNUMBER(G267),ISNUMBER(I267)),ROUND(I267-G267,8),"")</f>
        <v/>
      </c>
      <c r="L267" s="238" t="n"/>
    </row>
    <row r="268" ht="22" customHeight="1">
      <c r="B268" s="242" t="n"/>
      <c r="C268" s="243" t="n"/>
      <c r="D268" s="244" t="n"/>
      <c r="E268" s="245" t="n"/>
      <c r="F268" s="246" t="n"/>
      <c r="G268" s="247" t="n"/>
      <c r="H268" s="246" t="n"/>
      <c r="I268" s="247" t="n"/>
      <c r="J268" s="246" t="str">
        <f>IF(AND(L268="Закрыт",ISNUMBER(F268),ISNUMBER(H268)),ROUND(H268-F268,8),"")</f>
        <v/>
      </c>
      <c r="K268" s="247" t="str">
        <f>IF(AND(L268="Закрыт",ISNUMBER(G268),ISNUMBER(I268)),ROUND(I268-G268,8),"")</f>
        <v/>
      </c>
      <c r="L268" s="244" t="n"/>
    </row>
    <row r="269" ht="22" customHeight="1">
      <c r="B269" s="236" t="n"/>
      <c r="C269" s="237" t="n"/>
      <c r="D269" s="238" t="n"/>
      <c r="E269" s="239" t="n"/>
      <c r="F269" s="240" t="n"/>
      <c r="G269" s="241" t="n"/>
      <c r="H269" s="240" t="n"/>
      <c r="I269" s="241" t="n"/>
      <c r="J269" s="240" t="str">
        <f>IF(AND(L269="Закрыт",ISNUMBER(F269),ISNUMBER(H269)),ROUND(H269-F269,8),"")</f>
        <v/>
      </c>
      <c r="K269" s="241" t="str">
        <f>IF(AND(L269="Закрыт",ISNUMBER(G269),ISNUMBER(I269)),ROUND(I269-G269,8),"")</f>
        <v/>
      </c>
      <c r="L269" s="238" t="n"/>
    </row>
    <row r="270" ht="22" customHeight="1">
      <c r="B270" s="242" t="n"/>
      <c r="C270" s="243" t="n"/>
      <c r="D270" s="244" t="n"/>
      <c r="E270" s="245" t="n"/>
      <c r="F270" s="246" t="n"/>
      <c r="G270" s="247" t="n"/>
      <c r="H270" s="246" t="n"/>
      <c r="I270" s="247" t="n"/>
      <c r="J270" s="246" t="str">
        <f>IF(AND(L270="Закрыт",ISNUMBER(F270),ISNUMBER(H270)),ROUND(H270-F270,8),"")</f>
        <v/>
      </c>
      <c r="K270" s="247" t="str">
        <f>IF(AND(L270="Закрыт",ISNUMBER(G270),ISNUMBER(I270)),ROUND(I270-G270,8),"")</f>
        <v/>
      </c>
      <c r="L270" s="244" t="n"/>
    </row>
    <row r="271" ht="22" customHeight="1">
      <c r="B271" s="236" t="n"/>
      <c r="C271" s="237" t="n"/>
      <c r="D271" s="238" t="n"/>
      <c r="E271" s="239" t="n"/>
      <c r="F271" s="240" t="n"/>
      <c r="G271" s="241" t="n"/>
      <c r="H271" s="240" t="n"/>
      <c r="I271" s="241" t="n"/>
      <c r="J271" s="240" t="str">
        <f>IF(AND(L271="Закрыт",ISNUMBER(F271),ISNUMBER(H271)),ROUND(H271-F271,8),"")</f>
        <v/>
      </c>
      <c r="K271" s="241" t="str">
        <f>IF(AND(L271="Закрыт",ISNUMBER(G271),ISNUMBER(I271)),ROUND(I271-G271,8),"")</f>
        <v/>
      </c>
      <c r="L271" s="238" t="n"/>
    </row>
    <row r="272" ht="22" customHeight="1">
      <c r="B272" s="242" t="n"/>
      <c r="C272" s="243" t="n"/>
      <c r="D272" s="244" t="n"/>
      <c r="E272" s="245" t="n"/>
      <c r="F272" s="246" t="n"/>
      <c r="G272" s="247" t="n"/>
      <c r="H272" s="246" t="n"/>
      <c r="I272" s="247" t="n"/>
      <c r="J272" s="246" t="str">
        <f>IF(AND(L272="Закрыт",ISNUMBER(F272),ISNUMBER(H272)),ROUND(H272-F272,8),"")</f>
        <v/>
      </c>
      <c r="K272" s="247" t="str">
        <f>IF(AND(L272="Закрыт",ISNUMBER(G272),ISNUMBER(I272)),ROUND(I272-G272,8),"")</f>
        <v/>
      </c>
      <c r="L272" s="244" t="n"/>
    </row>
    <row r="273" ht="22" customHeight="1">
      <c r="B273" s="236" t="n"/>
      <c r="C273" s="237" t="n"/>
      <c r="D273" s="238" t="n"/>
      <c r="E273" s="239" t="n"/>
      <c r="F273" s="240" t="n"/>
      <c r="G273" s="241" t="n"/>
      <c r="H273" s="240" t="n"/>
      <c r="I273" s="241" t="n"/>
      <c r="J273" s="240" t="str">
        <f>IF(AND(L273="Закрыт",ISNUMBER(F273),ISNUMBER(H273)),ROUND(H273-F273,8),"")</f>
        <v/>
      </c>
      <c r="K273" s="241" t="str">
        <f>IF(AND(L273="Закрыт",ISNUMBER(G273),ISNUMBER(I273)),ROUND(I273-G273,8),"")</f>
        <v/>
      </c>
      <c r="L273" s="238" t="n"/>
    </row>
    <row r="274" ht="22" customHeight="1">
      <c r="B274" s="242" t="n"/>
      <c r="C274" s="243" t="n"/>
      <c r="D274" s="244" t="n"/>
      <c r="E274" s="245" t="n"/>
      <c r="F274" s="246" t="n"/>
      <c r="G274" s="247" t="n"/>
      <c r="H274" s="246" t="n"/>
      <c r="I274" s="247" t="n"/>
      <c r="J274" s="246" t="str">
        <f>IF(AND(L274="Закрыт",ISNUMBER(F274),ISNUMBER(H274)),ROUND(H274-F274,8),"")</f>
        <v/>
      </c>
      <c r="K274" s="247" t="str">
        <f>IF(AND(L274="Закрыт",ISNUMBER(G274),ISNUMBER(I274)),ROUND(I274-G274,8),"")</f>
        <v/>
      </c>
      <c r="L274" s="244" t="n"/>
    </row>
    <row r="275" ht="22" customHeight="1">
      <c r="B275" s="236" t="n"/>
      <c r="C275" s="237" t="n"/>
      <c r="D275" s="238" t="n"/>
      <c r="E275" s="239" t="n"/>
      <c r="F275" s="240" t="n"/>
      <c r="G275" s="241" t="n"/>
      <c r="H275" s="240" t="n"/>
      <c r="I275" s="241" t="n"/>
      <c r="J275" s="240" t="str">
        <f>IF(AND(L275="Закрыт",ISNUMBER(F275),ISNUMBER(H275)),ROUND(H275-F275,8),"")</f>
        <v/>
      </c>
      <c r="K275" s="241" t="str">
        <f>IF(AND(L275="Закрыт",ISNUMBER(G275),ISNUMBER(I275)),ROUND(I275-G275,8),"")</f>
        <v/>
      </c>
      <c r="L275" s="238" t="n"/>
    </row>
    <row r="276" ht="22" customHeight="1">
      <c r="B276" s="242" t="n"/>
      <c r="C276" s="243" t="n"/>
      <c r="D276" s="244" t="n"/>
      <c r="E276" s="245" t="n"/>
      <c r="F276" s="246" t="n"/>
      <c r="G276" s="247" t="n"/>
      <c r="H276" s="246" t="n"/>
      <c r="I276" s="247" t="n"/>
      <c r="J276" s="246" t="str">
        <f>IF(AND(L276="Закрыт",ISNUMBER(F276),ISNUMBER(H276)),ROUND(H276-F276,8),"")</f>
        <v/>
      </c>
      <c r="K276" s="247" t="str">
        <f>IF(AND(L276="Закрыт",ISNUMBER(G276),ISNUMBER(I276)),ROUND(I276-G276,8),"")</f>
        <v/>
      </c>
      <c r="L276" s="244" t="n"/>
    </row>
    <row r="277" ht="22" customHeight="1">
      <c r="B277" s="236" t="n"/>
      <c r="C277" s="237" t="n"/>
      <c r="D277" s="238" t="n"/>
      <c r="E277" s="239" t="n"/>
      <c r="F277" s="240" t="n"/>
      <c r="G277" s="241" t="n"/>
      <c r="H277" s="240" t="n"/>
      <c r="I277" s="241" t="n"/>
      <c r="J277" s="240" t="str">
        <f>IF(AND(L277="Закрыт",ISNUMBER(F277),ISNUMBER(H277)),ROUND(H277-F277,8),"")</f>
        <v/>
      </c>
      <c r="K277" s="241" t="str">
        <f>IF(AND(L277="Закрыт",ISNUMBER(G277),ISNUMBER(I277)),ROUND(I277-G277,8),"")</f>
        <v/>
      </c>
      <c r="L277" s="238" t="n"/>
    </row>
    <row r="278" ht="22" customHeight="1">
      <c r="B278" s="242" t="n"/>
      <c r="C278" s="243" t="n"/>
      <c r="D278" s="244" t="n"/>
      <c r="E278" s="245" t="n"/>
      <c r="F278" s="246" t="n"/>
      <c r="G278" s="247" t="n"/>
      <c r="H278" s="246" t="n"/>
      <c r="I278" s="247" t="n"/>
      <c r="J278" s="246" t="str">
        <f>IF(AND(L278="Закрыт",ISNUMBER(F278),ISNUMBER(H278)),ROUND(H278-F278,8),"")</f>
        <v/>
      </c>
      <c r="K278" s="247" t="str">
        <f>IF(AND(L278="Закрыт",ISNUMBER(G278),ISNUMBER(I278)),ROUND(I278-G278,8),"")</f>
        <v/>
      </c>
      <c r="L278" s="244" t="n"/>
    </row>
    <row r="279" ht="22" customHeight="1">
      <c r="B279" s="236" t="n"/>
      <c r="C279" s="237" t="n"/>
      <c r="D279" s="238" t="n"/>
      <c r="E279" s="239" t="n"/>
      <c r="F279" s="240" t="n"/>
      <c r="G279" s="241" t="n"/>
      <c r="H279" s="240" t="n"/>
      <c r="I279" s="241" t="n"/>
      <c r="J279" s="240" t="str">
        <f>IF(AND(L279="Закрыт",ISNUMBER(F279),ISNUMBER(H279)),ROUND(H279-F279,8),"")</f>
        <v/>
      </c>
      <c r="K279" s="241" t="str">
        <f>IF(AND(L279="Закрыт",ISNUMBER(G279),ISNUMBER(I279)),ROUND(I279-G279,8),"")</f>
        <v/>
      </c>
      <c r="L279" s="238" t="n"/>
    </row>
    <row r="280" ht="22" customHeight="1">
      <c r="B280" s="242" t="n"/>
      <c r="C280" s="243" t="n"/>
      <c r="D280" s="244" t="n"/>
      <c r="E280" s="245" t="n"/>
      <c r="F280" s="246" t="n"/>
      <c r="G280" s="247" t="n"/>
      <c r="H280" s="246" t="n"/>
      <c r="I280" s="247" t="n"/>
      <c r="J280" s="246" t="str">
        <f>IF(AND(L280="Закрыт",ISNUMBER(F280),ISNUMBER(H280)),ROUND(H280-F280,8),"")</f>
        <v/>
      </c>
      <c r="K280" s="247" t="str">
        <f>IF(AND(L280="Закрыт",ISNUMBER(G280),ISNUMBER(I280)),ROUND(I280-G280,8),"")</f>
        <v/>
      </c>
      <c r="L280" s="244" t="n"/>
    </row>
    <row r="281" ht="22" customHeight="1">
      <c r="B281" s="236" t="n"/>
      <c r="C281" s="237" t="n"/>
      <c r="D281" s="238" t="n"/>
      <c r="E281" s="239" t="n"/>
      <c r="F281" s="240" t="n"/>
      <c r="G281" s="241" t="n"/>
      <c r="H281" s="240" t="n"/>
      <c r="I281" s="241" t="n"/>
      <c r="J281" s="240" t="str">
        <f>IF(AND(L281="Закрыт",ISNUMBER(F281),ISNUMBER(H281)),ROUND(H281-F281,8),"")</f>
        <v/>
      </c>
      <c r="K281" s="241" t="str">
        <f>IF(AND(L281="Закрыт",ISNUMBER(G281),ISNUMBER(I281)),ROUND(I281-G281,8),"")</f>
        <v/>
      </c>
      <c r="L281" s="238" t="n"/>
    </row>
    <row r="282" ht="22" customHeight="1">
      <c r="B282" s="242" t="n"/>
      <c r="C282" s="243" t="n"/>
      <c r="D282" s="244" t="n"/>
      <c r="E282" s="245" t="n"/>
      <c r="F282" s="246" t="n"/>
      <c r="G282" s="247" t="n"/>
      <c r="H282" s="246" t="n"/>
      <c r="I282" s="247" t="n"/>
      <c r="J282" s="246" t="str">
        <f>IF(AND(L282="Закрыт",ISNUMBER(F282),ISNUMBER(H282)),ROUND(H282-F282,8),"")</f>
        <v/>
      </c>
      <c r="K282" s="247" t="str">
        <f>IF(AND(L282="Закрыт",ISNUMBER(G282),ISNUMBER(I282)),ROUND(I282-G282,8),"")</f>
        <v/>
      </c>
      <c r="L282" s="244" t="n"/>
    </row>
    <row r="283" ht="22" customHeight="1">
      <c r="B283" s="236" t="n"/>
      <c r="C283" s="237" t="n"/>
      <c r="D283" s="238" t="n"/>
      <c r="E283" s="239" t="n"/>
      <c r="F283" s="240" t="n"/>
      <c r="G283" s="241" t="n"/>
      <c r="H283" s="240" t="n"/>
      <c r="I283" s="241" t="n"/>
      <c r="J283" s="240" t="str">
        <f>IF(AND(L283="Закрыт",ISNUMBER(F283),ISNUMBER(H283)),ROUND(H283-F283,8),"")</f>
        <v/>
      </c>
      <c r="K283" s="241" t="str">
        <f>IF(AND(L283="Закрыт",ISNUMBER(G283),ISNUMBER(I283)),ROUND(I283-G283,8),"")</f>
        <v/>
      </c>
      <c r="L283" s="238" t="n"/>
    </row>
    <row r="284" ht="22" customHeight="1">
      <c r="B284" s="242" t="n"/>
      <c r="C284" s="243" t="n"/>
      <c r="D284" s="244" t="n"/>
      <c r="E284" s="245" t="n"/>
      <c r="F284" s="246" t="n"/>
      <c r="G284" s="247" t="n"/>
      <c r="H284" s="246" t="n"/>
      <c r="I284" s="247" t="n"/>
      <c r="J284" s="246" t="str">
        <f>IF(AND(L284="Закрыт",ISNUMBER(F284),ISNUMBER(H284)),ROUND(H284-F284,8),"")</f>
        <v/>
      </c>
      <c r="K284" s="247" t="str">
        <f>IF(AND(L284="Закрыт",ISNUMBER(G284),ISNUMBER(I284)),ROUND(I284-G284,8),"")</f>
        <v/>
      </c>
      <c r="L284" s="244" t="n"/>
    </row>
    <row r="285" ht="22" customHeight="1">
      <c r="B285" s="236" t="n"/>
      <c r="C285" s="237" t="n"/>
      <c r="D285" s="238" t="n"/>
      <c r="E285" s="239" t="n"/>
      <c r="F285" s="240" t="n"/>
      <c r="G285" s="241" t="n"/>
      <c r="H285" s="240" t="n"/>
      <c r="I285" s="241" t="n"/>
      <c r="J285" s="240" t="str">
        <f>IF(AND(L285="Закрыт",ISNUMBER(F285),ISNUMBER(H285)),ROUND(H285-F285,8),"")</f>
        <v/>
      </c>
      <c r="K285" s="241" t="str">
        <f>IF(AND(L285="Закрыт",ISNUMBER(G285),ISNUMBER(I285)),ROUND(I285-G285,8),"")</f>
        <v/>
      </c>
      <c r="L285" s="238" t="n"/>
    </row>
    <row r="286" ht="22" customHeight="1">
      <c r="B286" s="242" t="n"/>
      <c r="C286" s="243" t="n"/>
      <c r="D286" s="244" t="n"/>
      <c r="E286" s="245" t="n"/>
      <c r="F286" s="246" t="n"/>
      <c r="G286" s="247" t="n"/>
      <c r="H286" s="246" t="n"/>
      <c r="I286" s="247" t="n"/>
      <c r="J286" s="246" t="str">
        <f>IF(AND(L286="Закрыт",ISNUMBER(F286),ISNUMBER(H286)),ROUND(H286-F286,8),"")</f>
        <v/>
      </c>
      <c r="K286" s="247" t="str">
        <f>IF(AND(L286="Закрыт",ISNUMBER(G286),ISNUMBER(I286)),ROUND(I286-G286,8),"")</f>
        <v/>
      </c>
      <c r="L286" s="244" t="n"/>
    </row>
    <row r="287" ht="22" customHeight="1">
      <c r="B287" s="236" t="n"/>
      <c r="C287" s="237" t="n"/>
      <c r="D287" s="238" t="n"/>
      <c r="E287" s="239" t="n"/>
      <c r="F287" s="240" t="n"/>
      <c r="G287" s="241" t="n"/>
      <c r="H287" s="240" t="n"/>
      <c r="I287" s="241" t="n"/>
      <c r="J287" s="240" t="str">
        <f>IF(AND(L287="Закрыт",ISNUMBER(F287),ISNUMBER(H287)),ROUND(H287-F287,8),"")</f>
        <v/>
      </c>
      <c r="K287" s="241" t="str">
        <f>IF(AND(L287="Закрыт",ISNUMBER(G287),ISNUMBER(I287)),ROUND(I287-G287,8),"")</f>
        <v/>
      </c>
      <c r="L287" s="238" t="n"/>
    </row>
    <row r="288" ht="22" customHeight="1">
      <c r="B288" s="242" t="n"/>
      <c r="C288" s="243" t="n"/>
      <c r="D288" s="244" t="n"/>
      <c r="E288" s="245" t="n"/>
      <c r="F288" s="246" t="n"/>
      <c r="G288" s="247" t="n"/>
      <c r="H288" s="246" t="n"/>
      <c r="I288" s="247" t="n"/>
      <c r="J288" s="246" t="str">
        <f>IF(AND(L288="Закрыт",ISNUMBER(F288),ISNUMBER(H288)),ROUND(H288-F288,8),"")</f>
        <v/>
      </c>
      <c r="K288" s="247" t="str">
        <f>IF(AND(L288="Закрыт",ISNUMBER(G288),ISNUMBER(I288)),ROUND(I288-G288,8),"")</f>
        <v/>
      </c>
      <c r="L288" s="244" t="n"/>
    </row>
    <row r="289" ht="22" customHeight="1">
      <c r="B289" s="236" t="n"/>
      <c r="C289" s="237" t="n"/>
      <c r="D289" s="238" t="n"/>
      <c r="E289" s="239" t="n"/>
      <c r="F289" s="240" t="n"/>
      <c r="G289" s="241" t="n"/>
      <c r="H289" s="240" t="n"/>
      <c r="I289" s="241" t="n"/>
      <c r="J289" s="240" t="str">
        <f>IF(AND(L289="Закрыт",ISNUMBER(F289),ISNUMBER(H289)),ROUND(H289-F289,8),"")</f>
        <v/>
      </c>
      <c r="K289" s="241" t="str">
        <f>IF(AND(L289="Закрыт",ISNUMBER(G289),ISNUMBER(I289)),ROUND(I289-G289,8),"")</f>
        <v/>
      </c>
      <c r="L289" s="238" t="n"/>
    </row>
    <row r="290" ht="22" customHeight="1">
      <c r="B290" s="242" t="n"/>
      <c r="C290" s="243" t="n"/>
      <c r="D290" s="244" t="n"/>
      <c r="E290" s="245" t="n"/>
      <c r="F290" s="246" t="n"/>
      <c r="G290" s="247" t="n"/>
      <c r="H290" s="246" t="n"/>
      <c r="I290" s="247" t="n"/>
      <c r="J290" s="246" t="str">
        <f>IF(AND(L290="Закрыт",ISNUMBER(F290),ISNUMBER(H290)),ROUND(H290-F290,8),"")</f>
        <v/>
      </c>
      <c r="K290" s="247" t="str">
        <f>IF(AND(L290="Закрыт",ISNUMBER(G290),ISNUMBER(I290)),ROUND(I290-G290,8),"")</f>
        <v/>
      </c>
      <c r="L290" s="244" t="n"/>
    </row>
    <row r="291" ht="22" customHeight="1">
      <c r="B291" s="236" t="n"/>
      <c r="C291" s="237" t="n"/>
      <c r="D291" s="238" t="n"/>
      <c r="E291" s="239" t="n"/>
      <c r="F291" s="240" t="n"/>
      <c r="G291" s="241" t="n"/>
      <c r="H291" s="240" t="n"/>
      <c r="I291" s="241" t="n"/>
      <c r="J291" s="240" t="str">
        <f>IF(AND(L291="Закрыт",ISNUMBER(F291),ISNUMBER(H291)),ROUND(H291-F291,8),"")</f>
        <v/>
      </c>
      <c r="K291" s="241" t="str">
        <f>IF(AND(L291="Закрыт",ISNUMBER(G291),ISNUMBER(I291)),ROUND(I291-G291,8),"")</f>
        <v/>
      </c>
      <c r="L291" s="238" t="n"/>
    </row>
    <row r="292" ht="22" customHeight="1">
      <c r="B292" s="242" t="n"/>
      <c r="C292" s="243" t="n"/>
      <c r="D292" s="244" t="n"/>
      <c r="E292" s="245" t="n"/>
      <c r="F292" s="246" t="n"/>
      <c r="G292" s="247" t="n"/>
      <c r="H292" s="246" t="n"/>
      <c r="I292" s="247" t="n"/>
      <c r="J292" s="246" t="str">
        <f>IF(AND(L292="Закрыт",ISNUMBER(F292),ISNUMBER(H292)),ROUND(H292-F292,8),"")</f>
        <v/>
      </c>
      <c r="K292" s="247" t="str">
        <f>IF(AND(L292="Закрыт",ISNUMBER(G292),ISNUMBER(I292)),ROUND(I292-G292,8),"")</f>
        <v/>
      </c>
      <c r="L292" s="244" t="n"/>
    </row>
    <row r="293" ht="22" customHeight="1">
      <c r="B293" s="236" t="n"/>
      <c r="C293" s="237" t="n"/>
      <c r="D293" s="238" t="n"/>
      <c r="E293" s="239" t="n"/>
      <c r="F293" s="240" t="n"/>
      <c r="G293" s="241" t="n"/>
      <c r="H293" s="240" t="n"/>
      <c r="I293" s="241" t="n"/>
      <c r="J293" s="240" t="str">
        <f>IF(AND(L293="Закрыт",ISNUMBER(F293),ISNUMBER(H293)),ROUND(H293-F293,8),"")</f>
        <v/>
      </c>
      <c r="K293" s="241" t="str">
        <f>IF(AND(L293="Закрыт",ISNUMBER(G293),ISNUMBER(I293)),ROUND(I293-G293,8),"")</f>
        <v/>
      </c>
      <c r="L293" s="238" t="n"/>
    </row>
    <row r="294" ht="22" customHeight="1">
      <c r="B294" s="242" t="n"/>
      <c r="C294" s="243" t="n"/>
      <c r="D294" s="244" t="n"/>
      <c r="E294" s="245" t="n"/>
      <c r="F294" s="246" t="n"/>
      <c r="G294" s="247" t="n"/>
      <c r="H294" s="246" t="n"/>
      <c r="I294" s="247" t="n"/>
      <c r="J294" s="246" t="str">
        <f>IF(AND(L294="Закрыт",ISNUMBER(F294),ISNUMBER(H294)),ROUND(H294-F294,8),"")</f>
        <v/>
      </c>
      <c r="K294" s="247" t="str">
        <f>IF(AND(L294="Закрыт",ISNUMBER(G294),ISNUMBER(I294)),ROUND(I294-G294,8),"")</f>
        <v/>
      </c>
      <c r="L294" s="244" t="n"/>
    </row>
    <row r="295" ht="22" customHeight="1">
      <c r="B295" s="236" t="n"/>
      <c r="C295" s="237" t="n"/>
      <c r="D295" s="238" t="n"/>
      <c r="E295" s="239" t="n"/>
      <c r="F295" s="240" t="n"/>
      <c r="G295" s="241" t="n"/>
      <c r="H295" s="240" t="n"/>
      <c r="I295" s="241" t="n"/>
      <c r="J295" s="240" t="str">
        <f>IF(AND(L295="Закрыт",ISNUMBER(F295),ISNUMBER(H295)),ROUND(H295-F295,8),"")</f>
        <v/>
      </c>
      <c r="K295" s="241" t="str">
        <f>IF(AND(L295="Закрыт",ISNUMBER(G295),ISNUMBER(I295)),ROUND(I295-G295,8),"")</f>
        <v/>
      </c>
      <c r="L295" s="238" t="n"/>
    </row>
    <row r="296" ht="22" customHeight="1">
      <c r="B296" s="242" t="n"/>
      <c r="C296" s="243" t="n"/>
      <c r="D296" s="244" t="n"/>
      <c r="E296" s="245" t="n"/>
      <c r="F296" s="246" t="n"/>
      <c r="G296" s="247" t="n"/>
      <c r="H296" s="246" t="n"/>
      <c r="I296" s="247" t="n"/>
      <c r="J296" s="246" t="str">
        <f>IF(AND(L296="Закрыт",ISNUMBER(F296),ISNUMBER(H296)),ROUND(H296-F296,8),"")</f>
        <v/>
      </c>
      <c r="K296" s="247" t="str">
        <f>IF(AND(L296="Закрыт",ISNUMBER(G296),ISNUMBER(I296)),ROUND(I296-G296,8),"")</f>
        <v/>
      </c>
      <c r="L296" s="244" t="n"/>
    </row>
    <row r="297" ht="22" customHeight="1">
      <c r="B297" s="236" t="n"/>
      <c r="C297" s="237" t="n"/>
      <c r="D297" s="238" t="n"/>
      <c r="E297" s="239" t="n"/>
      <c r="F297" s="240" t="n"/>
      <c r="G297" s="241" t="n"/>
      <c r="H297" s="240" t="n"/>
      <c r="I297" s="241" t="n"/>
      <c r="J297" s="240" t="str">
        <f>IF(AND(L297="Закрыт",ISNUMBER(F297),ISNUMBER(H297)),ROUND(H297-F297,8),"")</f>
        <v/>
      </c>
      <c r="K297" s="241" t="str">
        <f>IF(AND(L297="Закрыт",ISNUMBER(G297),ISNUMBER(I297)),ROUND(I297-G297,8),"")</f>
        <v/>
      </c>
      <c r="L297" s="238" t="n"/>
    </row>
    <row r="298" ht="22" customHeight="1">
      <c r="B298" s="242" t="n"/>
      <c r="C298" s="243" t="n"/>
      <c r="D298" s="244" t="n"/>
      <c r="E298" s="245" t="n"/>
      <c r="F298" s="246" t="n"/>
      <c r="G298" s="247" t="n"/>
      <c r="H298" s="246" t="n"/>
      <c r="I298" s="247" t="n"/>
      <c r="J298" s="246" t="str">
        <f>IF(AND(L298="Закрыт",ISNUMBER(F298),ISNUMBER(H298)),ROUND(H298-F298,8),"")</f>
        <v/>
      </c>
      <c r="K298" s="247" t="str">
        <f>IF(AND(L298="Закрыт",ISNUMBER(G298),ISNUMBER(I298)),ROUND(I298-G298,8),"")</f>
        <v/>
      </c>
      <c r="L298" s="244" t="n"/>
    </row>
    <row r="299" ht="22" customHeight="1">
      <c r="B299" s="236" t="n"/>
      <c r="C299" s="237" t="n"/>
      <c r="D299" s="238" t="n"/>
      <c r="E299" s="239" t="n"/>
      <c r="F299" s="240" t="n"/>
      <c r="G299" s="241" t="n"/>
      <c r="H299" s="240" t="n"/>
      <c r="I299" s="241" t="n"/>
      <c r="J299" s="240" t="str">
        <f>IF(AND(L299="Закрыт",ISNUMBER(F299),ISNUMBER(H299)),ROUND(H299-F299,8),"")</f>
        <v/>
      </c>
      <c r="K299" s="241" t="str">
        <f>IF(AND(L299="Закрыт",ISNUMBER(G299),ISNUMBER(I299)),ROUND(I299-G299,8),"")</f>
        <v/>
      </c>
      <c r="L299" s="238" t="n"/>
    </row>
    <row r="300" ht="22" customHeight="1">
      <c r="B300" s="242" t="n"/>
      <c r="C300" s="243" t="n"/>
      <c r="D300" s="244" t="n"/>
      <c r="E300" s="245" t="n"/>
      <c r="F300" s="246" t="n"/>
      <c r="G300" s="247" t="n"/>
      <c r="H300" s="246" t="n"/>
      <c r="I300" s="247" t="n"/>
      <c r="J300" s="246" t="str">
        <f>IF(AND(L300="Закрыт",ISNUMBER(F300),ISNUMBER(H300)),ROUND(H300-F300,8),"")</f>
        <v/>
      </c>
      <c r="K300" s="247" t="str">
        <f>IF(AND(L300="Закрыт",ISNUMBER(G300),ISNUMBER(I300)),ROUND(I300-G300,8),"")</f>
        <v/>
      </c>
      <c r="L300" s="244" t="n"/>
    </row>
  </sheetData>
  <autoFilter ref="B4:L300"/>
  <mergeCells count="1">
    <mergeCell ref="B1:L2"/>
  </mergeCells>
  <conditionalFormatting sqref="B5:L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type="list" allowBlank="1" showErrorMessage="1" errorTitle="Протокол" error="Выберите значение из списка." sqref="D5:D300">
      <formula1>Список_Протокол</formula1>
    </dataValidation>
    <dataValidation type="list" allowBlank="1" showErrorMessage="1" errorTitle="Статус" error="Выберите Открыт или Закрыт." sqref="L5:L300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IF($B5="","",IF(COUNTIFS(Пул!$E$5:$E$300,$B5,Пул!$F$5:$F$300,"&lt;&gt;")=0,"",ROUND(SUMIFS(Пул!$F$5:$F$300,Пул!$E$5:$E$300,$B5),8)))</f>
        <v>4</v>
      </c>
      <c r="D5" s="241">
        <f>IF($B5="","",IF(COUNTIFS(Пул!$E$5:$E$300,$B5,Пул!$G$5:$G$300,"&lt;&gt;")=0,"",ROUND(SUMIFS(Пул!$G$5:$G$300,Пул!$E$5:$E$300,$B5),8)))</f>
        <v>2360</v>
      </c>
      <c r="E5" s="240">
        <f>IF($B5="","",IF(COUNTIFS(Пул!$E$5:$E$300,$B5,Пул!$L$5:$L$300,"Закрыт")=0,"",ROUND(SUMIFS(Пул!$H$5:$H$300,Пул!$E$5:$E$300,$B5,Пул!$L$5:$L$300,"Закрыт"),8)))</f>
        <v>4.2</v>
      </c>
      <c r="F5" s="241">
        <f>IF($B5="","",IF(COUNTIFS(Пул!$E$5:$E$300,$B5,Пул!$L$5:$L$300,"Закрыт")=0,"",ROUND(SUMIFS(Пул!$I$5:$I$300,Пул!$E$5:$E$300,$B5,Пул!$L$5:$L$300,"Закрыт"),8)))</f>
        <v>2300</v>
      </c>
      <c r="G5" s="240">
        <f>IF($B5="","",IF(COUNTIFS(Пул!$E$5:$E$300,$B5,Пул!$L$5:$L$300,"Закрыт")=0,"",ROUND(SUMIFS(Пул!$J$5:$J$300,Пул!$E$5:$E$300,$B5,Пул!$L$5:$L$300,"Закрыт"),8)))</f>
        <v>0.2</v>
      </c>
      <c r="H5" s="241">
        <f>IF($B5="","",IF(COUNTIFS(Пул!$E$5:$E$300,$B5,Пул!$L$5:$L$300,"Закрыт")=0,"",ROUND(SUMIFS(Пул!$K$5:$K$300,Пул!$E$5:$E$300,$B5,Пул!$L$5:$L$300,"Закрыт"),8)))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IF($B6="","",IF(COUNTIFS(Пул!$E$5:$E$300,$B6,Пул!$F$5:$F$300,"&lt;&gt;")=0,"",ROUND(SUMIFS(Пул!$F$5:$F$300,Пул!$E$5:$E$300,$B6),8)))</f>
        <v>0.05</v>
      </c>
      <c r="D6" s="247">
        <f>IF($B6="","",IF(COUNTIFS(Пул!$E$5:$E$300,$B6,Пул!$G$5:$G$300,"&lt;&gt;")=0,"",ROUND(SUMIFS(Пул!$G$5:$G$300,Пул!$E$5:$E$300,$B6),8)))</f>
        <v>3125</v>
      </c>
      <c r="E6" s="246" t="str">
        <f>IF($B6="","",IF(COUNTIFS(Пул!$E$5:$E$300,$B6,Пул!$L$5:$L$300,"Закрыт")=0,"",ROUND(SUMIFS(Пул!$H$5:$H$300,Пул!$E$5:$E$300,$B6,Пул!$L$5:$L$300,"Закрыт"),8)))</f>
        <v/>
      </c>
      <c r="F6" s="247" t="str">
        <f>IF($B6="","",IF(COUNTIFS(Пул!$E$5:$E$300,$B6,Пул!$L$5:$L$300,"Закрыт")=0,"",ROUND(SUMIFS(Пул!$I$5:$I$300,Пул!$E$5:$E$300,$B6,Пул!$L$5:$L$300,"Закрыт"),8)))</f>
        <v/>
      </c>
      <c r="G6" s="246" t="str">
        <f>IF($B6="","",IF(COUNTIFS(Пул!$E$5:$E$300,$B6,Пул!$L$5:$L$300,"Закрыт")=0,"",ROUND(SUMIFS(Пул!$J$5:$J$300,Пул!$E$5:$E$300,$B6,Пул!$L$5:$L$300,"Закрыт"),8)))</f>
        <v/>
      </c>
      <c r="H6" s="247" t="str">
        <f>IF($B6="","",IF(COUNTIFS(Пул!$E$5:$E$300,$B6,Пул!$L$5:$L$300,"Закрыт")=0,"",ROUND(SUMIFS(Пул!$K$5:$K$300,Пул!$E$5:$E$300,$B6,Пул!$L$5:$L$300,"Закрыт"),8)))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IF($B7="","",IF(COUNTIFS(Пул!$E$5:$E$300,$B7,Пул!$F$5:$F$300,"&lt;&gt;")=0,"",ROUND(SUMIFS(Пул!$F$5:$F$300,Пул!$E$5:$E$300,$B7),8)))</f>
        <v>3.2</v>
      </c>
      <c r="D7" s="241">
        <f>IF($B7="","",IF(COUNTIFS(Пул!$E$5:$E$300,$B7,Пул!$G$5:$G$300,"&lt;&gt;")=0,"",ROUND(SUMIFS(Пул!$G$5:$G$300,Пул!$E$5:$E$300,$B7),8)))</f>
        <v>0.1664</v>
      </c>
      <c r="E7" s="240">
        <f>IF($B7="","",IF(COUNTIFS(Пул!$E$5:$E$300,$B7,Пул!$L$5:$L$300,"Закрыт")=0,"",ROUND(SUMIFS(Пул!$H$5:$H$300,Пул!$E$5:$E$300,$B7,Пул!$L$5:$L$300,"Закрыт"),8)))</f>
        <v>1.96</v>
      </c>
      <c r="F7" s="241">
        <f>IF($B7="","",IF(COUNTIFS(Пул!$E$5:$E$300,$B7,Пул!$L$5:$L$300,"Закрыт")=0,"",ROUND(SUMIFS(Пул!$I$5:$I$300,Пул!$E$5:$E$300,$B7,Пул!$L$5:$L$300,"Закрыт"),8)))</f>
        <v>0.1092</v>
      </c>
      <c r="G7" s="240">
        <f>IF($B7="","",IF(COUNTIFS(Пул!$E$5:$E$300,$B7,Пул!$L$5:$L$300,"Закрыт")=0,"",ROUND(SUMIFS(Пул!$J$5:$J$300,Пул!$E$5:$E$300,$B7,Пул!$L$5:$L$300,"Закрыт"),8)))</f>
        <v>-0.04</v>
      </c>
      <c r="H7" s="241">
        <f>IF($B7="","",IF(COUNTIFS(Пул!$E$5:$E$300,$B7,Пул!$L$5:$L$300,"Закрыт")=0,"",ROUND(SUMIFS(Пул!$K$5:$K$300,Пул!$E$5:$E$300,$B7,Пул!$L$5:$L$300,"Закрыт"),8)))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IF($B8="","",IF(COUNTIFS(Пул!$E$5:$E$300,$B8,Пул!$F$5:$F$300,"&lt;&gt;")=0,"",ROUND(SUMIFS(Пул!$F$5:$F$300,Пул!$E$5:$E$300,$B8),8)))</f>
        <v>1.5</v>
      </c>
      <c r="D8" s="247">
        <f>IF($B8="","",IF(COUNTIFS(Пул!$E$5:$E$300,$B8,Пул!$G$5:$G$300,"&lt;&gt;")=0,"",ROUND(SUMIFS(Пул!$G$5:$G$300,Пул!$E$5:$E$300,$B8),8)))</f>
        <v>4800</v>
      </c>
      <c r="E8" s="246" t="str">
        <f>IF($B8="","",IF(COUNTIFS(Пул!$E$5:$E$300,$B8,Пул!$L$5:$L$300,"Закрыт")=0,"",ROUND(SUMIFS(Пул!$H$5:$H$300,Пул!$E$5:$E$300,$B8,Пул!$L$5:$L$300,"Закрыт"),8)))</f>
        <v/>
      </c>
      <c r="F8" s="247" t="str">
        <f>IF($B8="","",IF(COUNTIFS(Пул!$E$5:$E$300,$B8,Пул!$L$5:$L$300,"Закрыт")=0,"",ROUND(SUMIFS(Пул!$I$5:$I$300,Пул!$E$5:$E$300,$B8,Пул!$L$5:$L$300,"Закрыт"),8)))</f>
        <v/>
      </c>
      <c r="G8" s="246" t="str">
        <f>IF($B8="","",IF(COUNTIFS(Пул!$E$5:$E$300,$B8,Пул!$L$5:$L$300,"Закрыт")=0,"",ROUND(SUMIFS(Пул!$J$5:$J$300,Пул!$E$5:$E$300,$B8,Пул!$L$5:$L$300,"Закрыт"),8)))</f>
        <v/>
      </c>
      <c r="H8" s="247" t="str">
        <f>IF($B8="","",IF(COUNTIFS(Пул!$E$5:$E$300,$B8,Пул!$L$5:$L$300,"Закрыт")=0,"",ROUND(SUMIFS(Пул!$K$5:$K$300,Пул!$E$5:$E$300,$B8,Пул!$L$5:$L$300,"Закрыт"),8)))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IF($B9="","",IF(COUNTIFS(Пул!$E$5:$E$300,$B9,Пул!$F$5:$F$300,"&lt;&gt;")=0,"",ROUND(SUMIFS(Пул!$F$5:$F$300,Пул!$E$5:$E$300,$B9),8)))</f>
        <v>67</v>
      </c>
      <c r="D9" s="241">
        <f>IF($B9="","",IF(COUNTIFS(Пул!$E$5:$E$300,$B9,Пул!$G$5:$G$300,"&lt;&gt;")=0,"",ROUND(SUMIFS(Пул!$G$5:$G$300,Пул!$E$5:$E$300,$B9),8)))</f>
        <v>9715</v>
      </c>
      <c r="E9" s="240">
        <f>IF($B9="","",IF(COUNTIFS(Пул!$E$5:$E$300,$B9,Пул!$L$5:$L$300,"Закрыт")=0,"",ROUND(SUMIFS(Пул!$H$5:$H$300,Пул!$E$5:$E$300,$B9,Пул!$L$5:$L$300,"Закрыт"),8)))</f>
        <v>41.1</v>
      </c>
      <c r="F9" s="241">
        <f>IF($B9="","",IF(COUNTIFS(Пул!$E$5:$E$300,$B9,Пул!$L$5:$L$300,"Закрыт")=0,"",ROUND(SUMIFS(Пул!$I$5:$I$300,Пул!$E$5:$E$300,$B9,Пул!$L$5:$L$300,"Закрыт"),8)))</f>
        <v>6248</v>
      </c>
      <c r="G9" s="240">
        <f>IF($B9="","",IF(COUNTIFS(Пул!$E$5:$E$300,$B9,Пул!$L$5:$L$300,"Закрыт")=0,"",ROUND(SUMIFS(Пул!$J$5:$J$300,Пул!$E$5:$E$300,$B9,Пул!$L$5:$L$300,"Закрыт"),8)))</f>
        <v>-0.9</v>
      </c>
      <c r="H9" s="241">
        <f>IF($B9="","",IF(COUNTIFS(Пул!$E$5:$E$300,$B9,Пул!$L$5:$L$300,"Закрыт")=0,"",ROUND(SUMIFS(Пул!$K$5:$K$300,Пул!$E$5:$E$300,$B9,Пул!$L$5:$L$300,"Закрыт"),8)))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IF($B10="","",IF(COUNTIFS(Пул!$E$5:$E$300,$B10,Пул!$F$5:$F$300,"&lt;&gt;")=0,"",ROUND(SUMIFS(Пул!$F$5:$F$300,Пул!$E$5:$E$300,$B10),8)))</f>
        <v/>
      </c>
      <c r="D10" s="247" t="str">
        <f>IF($B10="","",IF(COUNTIFS(Пул!$E$5:$E$300,$B10,Пул!$G$5:$G$300,"&lt;&gt;")=0,"",ROUND(SUMIFS(Пул!$G$5:$G$300,Пул!$E$5:$E$300,$B10),8)))</f>
        <v/>
      </c>
      <c r="E10" s="246" t="str">
        <f>IF($B10="","",IF(COUNTIFS(Пул!$E$5:$E$300,$B10,Пул!$L$5:$L$300,"Закрыт")=0,"",ROUND(SUMIFS(Пул!$H$5:$H$300,Пул!$E$5:$E$300,$B10,Пул!$L$5:$L$300,"Закрыт"),8)))</f>
        <v/>
      </c>
      <c r="F10" s="247" t="str">
        <f>IF($B10="","",IF(COUNTIFS(Пул!$E$5:$E$300,$B10,Пул!$L$5:$L$300,"Закрыт")=0,"",ROUND(SUMIFS(Пул!$I$5:$I$300,Пул!$E$5:$E$300,$B10,Пул!$L$5:$L$300,"Закрыт"),8)))</f>
        <v/>
      </c>
      <c r="G10" s="246" t="str">
        <f>IF($B10="","",IF(COUNTIFS(Пул!$E$5:$E$300,$B10,Пул!$L$5:$L$300,"Закрыт")=0,"",ROUND(SUMIFS(Пул!$J$5:$J$300,Пул!$E$5:$E$300,$B10,Пул!$L$5:$L$300,"Закрыт"),8)))</f>
        <v/>
      </c>
      <c r="H10" s="247" t="str">
        <f>IF($B10="","",IF(COUNTIFS(Пул!$E$5:$E$300,$B10,Пул!$L$5:$L$300,"Закрыт")=0,"",ROUND(SUMIFS(Пул!$K$5:$K$300,Пул!$E$5:$E$300,$B10,Пул!$L$5:$L$300,"Закрыт"),8)))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IF($B11="","",IF(COUNTIFS(Пул!$E$5:$E$300,$B11,Пул!$F$5:$F$300,"&lt;&gt;")=0,"",ROUND(SUMIFS(Пул!$F$5:$F$300,Пул!$E$5:$E$300,$B11),8)))</f>
        <v/>
      </c>
      <c r="D11" s="241" t="str">
        <f>IF($B11="","",IF(COUNTIFS(Пул!$E$5:$E$300,$B11,Пул!$G$5:$G$300,"&lt;&gt;")=0,"",ROUND(SUMIFS(Пул!$G$5:$G$300,Пул!$E$5:$E$300,$B11),8)))</f>
        <v/>
      </c>
      <c r="E11" s="240" t="str">
        <f>IF($B11="","",IF(COUNTIFS(Пул!$E$5:$E$300,$B11,Пул!$L$5:$L$300,"Закрыт")=0,"",ROUND(SUMIFS(Пул!$H$5:$H$300,Пул!$E$5:$E$300,$B11,Пул!$L$5:$L$300,"Закрыт"),8)))</f>
        <v/>
      </c>
      <c r="F11" s="241" t="str">
        <f>IF($B11="","",IF(COUNTIFS(Пул!$E$5:$E$300,$B11,Пул!$L$5:$L$300,"Закрыт")=0,"",ROUND(SUMIFS(Пул!$I$5:$I$300,Пул!$E$5:$E$300,$B11,Пул!$L$5:$L$300,"Закрыт"),8)))</f>
        <v/>
      </c>
      <c r="G11" s="240" t="str">
        <f>IF($B11="","",IF(COUNTIFS(Пул!$E$5:$E$300,$B11,Пул!$L$5:$L$300,"Закрыт")=0,"",ROUND(SUMIFS(Пул!$J$5:$J$300,Пул!$E$5:$E$300,$B11,Пул!$L$5:$L$300,"Закрыт"),8)))</f>
        <v/>
      </c>
      <c r="H11" s="241" t="str">
        <f>IF($B11="","",IF(COUNTIFS(Пул!$E$5:$E$300,$B11,Пул!$L$5:$L$300,"Закрыт")=0,"",ROUND(SUMIFS(Пул!$K$5:$K$300,Пул!$E$5:$E$300,$B11,Пул!$L$5:$L$300,"Закрыт"),8)))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IF($B12="","",IF(COUNTIFS(Пул!$E$5:$E$300,$B12,Пул!$F$5:$F$300,"&lt;&gt;")=0,"",ROUND(SUMIFS(Пул!$F$5:$F$300,Пул!$E$5:$E$300,$B12),8)))</f>
        <v/>
      </c>
      <c r="D12" s="247" t="str">
        <f>IF($B12="","",IF(COUNTIFS(Пул!$E$5:$E$300,$B12,Пул!$G$5:$G$300,"&lt;&gt;")=0,"",ROUND(SUMIFS(Пул!$G$5:$G$300,Пул!$E$5:$E$300,$B12),8)))</f>
        <v/>
      </c>
      <c r="E12" s="246" t="str">
        <f>IF($B12="","",IF(COUNTIFS(Пул!$E$5:$E$300,$B12,Пул!$L$5:$L$300,"Закрыт")=0,"",ROUND(SUMIFS(Пул!$H$5:$H$300,Пул!$E$5:$E$300,$B12,Пул!$L$5:$L$300,"Закрыт"),8)))</f>
        <v/>
      </c>
      <c r="F12" s="247" t="str">
        <f>IF($B12="","",IF(COUNTIFS(Пул!$E$5:$E$300,$B12,Пул!$L$5:$L$300,"Закрыт")=0,"",ROUND(SUMIFS(Пул!$I$5:$I$300,Пул!$E$5:$E$300,$B12,Пул!$L$5:$L$300,"Закрыт"),8)))</f>
        <v/>
      </c>
      <c r="G12" s="246" t="str">
        <f>IF($B12="","",IF(COUNTIFS(Пул!$E$5:$E$300,$B12,Пул!$L$5:$L$300,"Закрыт")=0,"",ROUND(SUMIFS(Пул!$J$5:$J$300,Пул!$E$5:$E$300,$B12,Пул!$L$5:$L$300,"Закрыт"),8)))</f>
        <v/>
      </c>
      <c r="H12" s="247" t="str">
        <f>IF($B12="","",IF(COUNTIFS(Пул!$E$5:$E$300,$B12,Пул!$L$5:$L$300,"Закрыт")=0,"",ROUND(SUMIFS(Пул!$K$5:$K$300,Пул!$E$5:$E$300,$B12,Пул!$L$5:$L$300,"Закрыт"),8)))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  <row r="13" ht="22" customHeight="1">
      <c r="B13" s="239" t="n"/>
      <c r="C13" s="240" t="str">
        <f>IF($B13="","",IF(COUNTIFS(Пул!$E$5:$E$300,$B13,Пул!$F$5:$F$300,"&lt;&gt;")=0,"",ROUND(SUMIFS(Пул!$F$5:$F$300,Пул!$E$5:$E$300,$B13),8)))</f>
        <v/>
      </c>
      <c r="D13" s="241" t="str">
        <f>IF($B13="","",IF(COUNTIFS(Пул!$E$5:$E$300,$B13,Пул!$G$5:$G$300,"&lt;&gt;")=0,"",ROUND(SUMIFS(Пул!$G$5:$G$300,Пул!$E$5:$E$300,$B13),8)))</f>
        <v/>
      </c>
      <c r="E13" s="240" t="str">
        <f>IF($B13="","",IF(COUNTIFS(Пул!$E$5:$E$300,$B13,Пул!$L$5:$L$300,"Закрыт")=0,"",ROUND(SUMIFS(Пул!$H$5:$H$300,Пул!$E$5:$E$300,$B13,Пул!$L$5:$L$300,"Закрыт"),8)))</f>
        <v/>
      </c>
      <c r="F13" s="241" t="str">
        <f>IF($B13="","",IF(COUNTIFS(Пул!$E$5:$E$300,$B13,Пул!$L$5:$L$300,"Закрыт")=0,"",ROUND(SUMIFS(Пул!$I$5:$I$300,Пул!$E$5:$E$300,$B13,Пул!$L$5:$L$300,"Закрыт"),8)))</f>
        <v/>
      </c>
      <c r="G13" s="240" t="str">
        <f>IF($B13="","",IF(COUNTIFS(Пул!$E$5:$E$300,$B13,Пул!$L$5:$L$300,"Закрыт")=0,"",ROUND(SUMIFS(Пул!$J$5:$J$300,Пул!$E$5:$E$300,$B13,Пул!$L$5:$L$300,"Закрыт"),8)))</f>
        <v/>
      </c>
      <c r="H13" s="241" t="str">
        <f>IF($B13="","",IF(COUNTIFS(Пул!$E$5:$E$300,$B13,Пул!$L$5:$L$300,"Закрыт")=0,"",ROUND(SUMIFS(Пул!$K$5:$K$300,Пул!$E$5:$E$300,$B13,Пул!$L$5:$L$300,"Закрыт"),8)))</f>
        <v/>
      </c>
      <c r="I13" s="236" t="str">
        <f>IF(AND(ISNUMBER(G13),ISNUMBER(H13)),IF(AND(G13&gt;0,H13&lt;0),"Buy",IF(AND(G13&lt;0,H13&gt;0),"Sell","")),"")</f>
        <v/>
      </c>
      <c r="J13" s="177" t="str">
        <f>IF(I13="Buy",G13,IF(I13="Sell",-G13,""))</f>
        <v/>
      </c>
      <c r="K13" s="177" t="str">
        <f>IF(AND(ISNUMBER(J13),ISNUMBER(L13),N(J13)&lt;&gt;0),ROUND(L13/J13,8),"")</f>
        <v/>
      </c>
      <c r="L13" s="177" t="str">
        <f>IF(I13="Buy",-H13,IF(I13="Sell",H13,""))</f>
        <v/>
      </c>
    </row>
    <row r="14" ht="22" customHeight="1">
      <c r="B14" s="245" t="n"/>
      <c r="C14" s="246" t="str">
        <f>IF($B14="","",IF(COUNTIFS(Пул!$E$5:$E$300,$B14,Пул!$F$5:$F$300,"&lt;&gt;")=0,"",ROUND(SUMIFS(Пул!$F$5:$F$300,Пул!$E$5:$E$300,$B14),8)))</f>
        <v/>
      </c>
      <c r="D14" s="247" t="str">
        <f>IF($B14="","",IF(COUNTIFS(Пул!$E$5:$E$300,$B14,Пул!$G$5:$G$300,"&lt;&gt;")=0,"",ROUND(SUMIFS(Пул!$G$5:$G$300,Пул!$E$5:$E$300,$B14),8)))</f>
        <v/>
      </c>
      <c r="E14" s="246" t="str">
        <f>IF($B14="","",IF(COUNTIFS(Пул!$E$5:$E$300,$B14,Пул!$L$5:$L$300,"Закрыт")=0,"",ROUND(SUMIFS(Пул!$H$5:$H$300,Пул!$E$5:$E$300,$B14,Пул!$L$5:$L$300,"Закрыт"),8)))</f>
        <v/>
      </c>
      <c r="F14" s="247" t="str">
        <f>IF($B14="","",IF(COUNTIFS(Пул!$E$5:$E$300,$B14,Пул!$L$5:$L$300,"Закрыт")=0,"",ROUND(SUMIFS(Пул!$I$5:$I$300,Пул!$E$5:$E$300,$B14,Пул!$L$5:$L$300,"Закрыт"),8)))</f>
        <v/>
      </c>
      <c r="G14" s="246" t="str">
        <f>IF($B14="","",IF(COUNTIFS(Пул!$E$5:$E$300,$B14,Пул!$L$5:$L$300,"Закрыт")=0,"",ROUND(SUMIFS(Пул!$J$5:$J$300,Пул!$E$5:$E$300,$B14,Пул!$L$5:$L$300,"Закрыт"),8)))</f>
        <v/>
      </c>
      <c r="H14" s="247" t="str">
        <f>IF($B14="","",IF(COUNTIFS(Пул!$E$5:$E$300,$B14,Пул!$L$5:$L$300,"Закрыт")=0,"",ROUND(SUMIFS(Пул!$K$5:$K$300,Пул!$E$5:$E$300,$B14,Пул!$L$5:$L$300,"Закрыт"),8)))</f>
        <v/>
      </c>
      <c r="I14" s="242" t="str">
        <f>IF(AND(ISNUMBER(G14),ISNUMBER(H14)),IF(AND(G14&gt;0,H14&lt;0),"Buy",IF(AND(G14&lt;0,H14&gt;0),"Sell","")),"")</f>
        <v/>
      </c>
      <c r="J14" s="183" t="str">
        <f>IF(I14="Buy",G14,IF(I14="Sell",-G14,""))</f>
        <v/>
      </c>
      <c r="K14" s="183" t="str">
        <f>IF(AND(ISNUMBER(J14),ISNUMBER(L14),N(J14)&lt;&gt;0),ROUND(L14/J14,8),"")</f>
        <v/>
      </c>
      <c r="L14" s="183" t="str">
        <f>IF(I14="Buy",-H14,IF(I14="Sell",H14,""))</f>
        <v/>
      </c>
    </row>
    <row r="15" ht="22" customHeight="1">
      <c r="B15" s="239" t="n"/>
      <c r="C15" s="240" t="str">
        <f>IF($B15="","",IF(COUNTIFS(Пул!$E$5:$E$300,$B15,Пул!$F$5:$F$300,"&lt;&gt;")=0,"",ROUND(SUMIFS(Пул!$F$5:$F$300,Пул!$E$5:$E$300,$B15),8)))</f>
        <v/>
      </c>
      <c r="D15" s="241" t="str">
        <f>IF($B15="","",IF(COUNTIFS(Пул!$E$5:$E$300,$B15,Пул!$G$5:$G$300,"&lt;&gt;")=0,"",ROUND(SUMIFS(Пул!$G$5:$G$300,Пул!$E$5:$E$300,$B15),8)))</f>
        <v/>
      </c>
      <c r="E15" s="240" t="str">
        <f>IF($B15="","",IF(COUNTIFS(Пул!$E$5:$E$300,$B15,Пул!$L$5:$L$300,"Закрыт")=0,"",ROUND(SUMIFS(Пул!$H$5:$H$300,Пул!$E$5:$E$300,$B15,Пул!$L$5:$L$300,"Закрыт"),8)))</f>
        <v/>
      </c>
      <c r="F15" s="241" t="str">
        <f>IF($B15="","",IF(COUNTIFS(Пул!$E$5:$E$300,$B15,Пул!$L$5:$L$300,"Закрыт")=0,"",ROUND(SUMIFS(Пул!$I$5:$I$300,Пул!$E$5:$E$300,$B15,Пул!$L$5:$L$300,"Закрыт"),8)))</f>
        <v/>
      </c>
      <c r="G15" s="240" t="str">
        <f>IF($B15="","",IF(COUNTIFS(Пул!$E$5:$E$300,$B15,Пул!$L$5:$L$300,"Закрыт")=0,"",ROUND(SUMIFS(Пул!$J$5:$J$300,Пул!$E$5:$E$300,$B15,Пул!$L$5:$L$300,"Закрыт"),8)))</f>
        <v/>
      </c>
      <c r="H15" s="241" t="str">
        <f>IF($B15="","",IF(COUNTIFS(Пул!$E$5:$E$300,$B15,Пул!$L$5:$L$300,"Закрыт")=0,"",ROUND(SUMIFS(Пул!$K$5:$K$300,Пул!$E$5:$E$300,$B15,Пул!$L$5:$L$300,"Закрыт"),8)))</f>
        <v/>
      </c>
      <c r="I15" s="236" t="str">
        <f>IF(AND(ISNUMBER(G15),ISNUMBER(H15)),IF(AND(G15&gt;0,H15&lt;0),"Buy",IF(AND(G15&lt;0,H15&gt;0),"Sell","")),"")</f>
        <v/>
      </c>
      <c r="J15" s="177" t="str">
        <f>IF(I15="Buy",G15,IF(I15="Sell",-G15,""))</f>
        <v/>
      </c>
      <c r="K15" s="177" t="str">
        <f>IF(AND(ISNUMBER(J15),ISNUMBER(L15),N(J15)&lt;&gt;0),ROUND(L15/J15,8),"")</f>
        <v/>
      </c>
      <c r="L15" s="177" t="str">
        <f>IF(I15="Buy",-H15,IF(I15="Sell",H15,""))</f>
        <v/>
      </c>
    </row>
    <row r="16" ht="22" customHeight="1">
      <c r="B16" s="245" t="n"/>
      <c r="C16" s="246" t="str">
        <f>IF($B16="","",IF(COUNTIFS(Пул!$E$5:$E$300,$B16,Пул!$F$5:$F$300,"&lt;&gt;")=0,"",ROUND(SUMIFS(Пул!$F$5:$F$300,Пул!$E$5:$E$300,$B16),8)))</f>
        <v/>
      </c>
      <c r="D16" s="247" t="str">
        <f>IF($B16="","",IF(COUNTIFS(Пул!$E$5:$E$300,$B16,Пул!$G$5:$G$300,"&lt;&gt;")=0,"",ROUND(SUMIFS(Пул!$G$5:$G$300,Пул!$E$5:$E$300,$B16),8)))</f>
        <v/>
      </c>
      <c r="E16" s="246" t="str">
        <f>IF($B16="","",IF(COUNTIFS(Пул!$E$5:$E$300,$B16,Пул!$L$5:$L$300,"Закрыт")=0,"",ROUND(SUMIFS(Пул!$H$5:$H$300,Пул!$E$5:$E$300,$B16,Пул!$L$5:$L$300,"Закрыт"),8)))</f>
        <v/>
      </c>
      <c r="F16" s="247" t="str">
        <f>IF($B16="","",IF(COUNTIFS(Пул!$E$5:$E$300,$B16,Пул!$L$5:$L$300,"Закрыт")=0,"",ROUND(SUMIFS(Пул!$I$5:$I$300,Пул!$E$5:$E$300,$B16,Пул!$L$5:$L$300,"Закрыт"),8)))</f>
        <v/>
      </c>
      <c r="G16" s="246" t="str">
        <f>IF($B16="","",IF(COUNTIFS(Пул!$E$5:$E$300,$B16,Пул!$L$5:$L$300,"Закрыт")=0,"",ROUND(SUMIFS(Пул!$J$5:$J$300,Пул!$E$5:$E$300,$B16,Пул!$L$5:$L$300,"Закрыт"),8)))</f>
        <v/>
      </c>
      <c r="H16" s="247" t="str">
        <f>IF($B16="","",IF(COUNTIFS(Пул!$E$5:$E$300,$B16,Пул!$L$5:$L$300,"Закрыт")=0,"",ROUND(SUMIFS(Пул!$K$5:$K$300,Пул!$E$5:$E$300,$B16,Пул!$L$5:$L$300,"Закрыт"),8)))</f>
        <v/>
      </c>
      <c r="I16" s="242" t="str">
        <f>IF(AND(ISNUMBER(G16),ISNUMBER(H16)),IF(AND(G16&gt;0,H16&lt;0),"Buy",IF(AND(G16&lt;0,H16&gt;0),"Sell","")),"")</f>
        <v/>
      </c>
      <c r="J16" s="183" t="str">
        <f>IF(I16="Buy",G16,IF(I16="Sell",-G16,""))</f>
        <v/>
      </c>
      <c r="K16" s="183" t="str">
        <f>IF(AND(ISNUMBER(J16),ISNUMBER(L16),N(J16)&lt;&gt;0),ROUND(L16/J16,8),"")</f>
        <v/>
      </c>
      <c r="L16" s="183" t="str">
        <f>IF(I16="Buy",-H16,IF(I16="Sell",H16,""))</f>
        <v/>
      </c>
    </row>
    <row r="17" ht="22" customHeight="1">
      <c r="B17" s="239" t="n"/>
      <c r="C17" s="240" t="str">
        <f>IF($B17="","",IF(COUNTIFS(Пул!$E$5:$E$300,$B17,Пул!$F$5:$F$300,"&lt;&gt;")=0,"",ROUND(SUMIFS(Пул!$F$5:$F$300,Пул!$E$5:$E$300,$B17),8)))</f>
        <v/>
      </c>
      <c r="D17" s="241" t="str">
        <f>IF($B17="","",IF(COUNTIFS(Пул!$E$5:$E$300,$B17,Пул!$G$5:$G$300,"&lt;&gt;")=0,"",ROUND(SUMIFS(Пул!$G$5:$G$300,Пул!$E$5:$E$300,$B17),8)))</f>
        <v/>
      </c>
      <c r="E17" s="240" t="str">
        <f>IF($B17="","",IF(COUNTIFS(Пул!$E$5:$E$300,$B17,Пул!$L$5:$L$300,"Закрыт")=0,"",ROUND(SUMIFS(Пул!$H$5:$H$300,Пул!$E$5:$E$300,$B17,Пул!$L$5:$L$300,"Закрыт"),8)))</f>
        <v/>
      </c>
      <c r="F17" s="241" t="str">
        <f>IF($B17="","",IF(COUNTIFS(Пул!$E$5:$E$300,$B17,Пул!$L$5:$L$300,"Закрыт")=0,"",ROUND(SUMIFS(Пул!$I$5:$I$300,Пул!$E$5:$E$300,$B17,Пул!$L$5:$L$300,"Закрыт"),8)))</f>
        <v/>
      </c>
      <c r="G17" s="240" t="str">
        <f>IF($B17="","",IF(COUNTIFS(Пул!$E$5:$E$300,$B17,Пул!$L$5:$L$300,"Закрыт")=0,"",ROUND(SUMIFS(Пул!$J$5:$J$300,Пул!$E$5:$E$300,$B17,Пул!$L$5:$L$300,"Закрыт"),8)))</f>
        <v/>
      </c>
      <c r="H17" s="241" t="str">
        <f>IF($B17="","",IF(COUNTIFS(Пул!$E$5:$E$300,$B17,Пул!$L$5:$L$300,"Закрыт")=0,"",ROUND(SUMIFS(Пул!$K$5:$K$300,Пул!$E$5:$E$300,$B17,Пул!$L$5:$L$300,"Закрыт"),8)))</f>
        <v/>
      </c>
      <c r="I17" s="236" t="str">
        <f>IF(AND(ISNUMBER(G17),ISNUMBER(H17)),IF(AND(G17&gt;0,H17&lt;0),"Buy",IF(AND(G17&lt;0,H17&gt;0),"Sell","")),"")</f>
        <v/>
      </c>
      <c r="J17" s="177" t="str">
        <f>IF(I17="Buy",G17,IF(I17="Sell",-G17,""))</f>
        <v/>
      </c>
      <c r="K17" s="177" t="str">
        <f>IF(AND(ISNUMBER(J17),ISNUMBER(L17),N(J17)&lt;&gt;0),ROUND(L17/J17,8),"")</f>
        <v/>
      </c>
      <c r="L17" s="177" t="str">
        <f>IF(I17="Buy",-H17,IF(I17="Sell",H17,""))</f>
        <v/>
      </c>
    </row>
    <row r="18" ht="22" customHeight="1">
      <c r="B18" s="245" t="n"/>
      <c r="C18" s="246" t="str">
        <f>IF($B18="","",IF(COUNTIFS(Пул!$E$5:$E$300,$B18,Пул!$F$5:$F$300,"&lt;&gt;")=0,"",ROUND(SUMIFS(Пул!$F$5:$F$300,Пул!$E$5:$E$300,$B18),8)))</f>
        <v/>
      </c>
      <c r="D18" s="247" t="str">
        <f>IF($B18="","",IF(COUNTIFS(Пул!$E$5:$E$300,$B18,Пул!$G$5:$G$300,"&lt;&gt;")=0,"",ROUND(SUMIFS(Пул!$G$5:$G$300,Пул!$E$5:$E$300,$B18),8)))</f>
        <v/>
      </c>
      <c r="E18" s="246" t="str">
        <f>IF($B18="","",IF(COUNTIFS(Пул!$E$5:$E$300,$B18,Пул!$L$5:$L$300,"Закрыт")=0,"",ROUND(SUMIFS(Пул!$H$5:$H$300,Пул!$E$5:$E$300,$B18,Пул!$L$5:$L$300,"Закрыт"),8)))</f>
        <v/>
      </c>
      <c r="F18" s="247" t="str">
        <f>IF($B18="","",IF(COUNTIFS(Пул!$E$5:$E$300,$B18,Пул!$L$5:$L$300,"Закрыт")=0,"",ROUND(SUMIFS(Пул!$I$5:$I$300,Пул!$E$5:$E$300,$B18,Пул!$L$5:$L$300,"Закрыт"),8)))</f>
        <v/>
      </c>
      <c r="G18" s="246" t="str">
        <f>IF($B18="","",IF(COUNTIFS(Пул!$E$5:$E$300,$B18,Пул!$L$5:$L$300,"Закрыт")=0,"",ROUND(SUMIFS(Пул!$J$5:$J$300,Пул!$E$5:$E$300,$B18,Пул!$L$5:$L$300,"Закрыт"),8)))</f>
        <v/>
      </c>
      <c r="H18" s="247" t="str">
        <f>IF($B18="","",IF(COUNTIFS(Пул!$E$5:$E$300,$B18,Пул!$L$5:$L$300,"Закрыт")=0,"",ROUND(SUMIFS(Пул!$K$5:$K$300,Пул!$E$5:$E$300,$B18,Пул!$L$5:$L$300,"Закрыт"),8)))</f>
        <v/>
      </c>
      <c r="I18" s="242" t="str">
        <f>IF(AND(ISNUMBER(G18),ISNUMBER(H18)),IF(AND(G18&gt;0,H18&lt;0),"Buy",IF(AND(G18&lt;0,H18&gt;0),"Sell","")),"")</f>
        <v/>
      </c>
      <c r="J18" s="183" t="str">
        <f>IF(I18="Buy",G18,IF(I18="Sell",-G18,""))</f>
        <v/>
      </c>
      <c r="K18" s="183" t="str">
        <f>IF(AND(ISNUMBER(J18),ISNUMBER(L18),N(J18)&lt;&gt;0),ROUND(L18/J18,8),"")</f>
        <v/>
      </c>
      <c r="L18" s="183" t="str">
        <f>IF(I18="Buy",-H18,IF(I18="Sell",H18,""))</f>
        <v/>
      </c>
    </row>
    <row r="19" ht="22" customHeight="1">
      <c r="B19" s="239" t="n"/>
      <c r="C19" s="240" t="str">
        <f>IF($B19="","",IF(COUNTIFS(Пул!$E$5:$E$300,$B19,Пул!$F$5:$F$300,"&lt;&gt;")=0,"",ROUND(SUMIFS(Пул!$F$5:$F$300,Пул!$E$5:$E$300,$B19),8)))</f>
        <v/>
      </c>
      <c r="D19" s="241" t="str">
        <f>IF($B19="","",IF(COUNTIFS(Пул!$E$5:$E$300,$B19,Пул!$G$5:$G$300,"&lt;&gt;")=0,"",ROUND(SUMIFS(Пул!$G$5:$G$300,Пул!$E$5:$E$300,$B19),8)))</f>
        <v/>
      </c>
      <c r="E19" s="240" t="str">
        <f>IF($B19="","",IF(COUNTIFS(Пул!$E$5:$E$300,$B19,Пул!$L$5:$L$300,"Закрыт")=0,"",ROUND(SUMIFS(Пул!$H$5:$H$300,Пул!$E$5:$E$300,$B19,Пул!$L$5:$L$300,"Закрыт"),8)))</f>
        <v/>
      </c>
      <c r="F19" s="241" t="str">
        <f>IF($B19="","",IF(COUNTIFS(Пул!$E$5:$E$300,$B19,Пул!$L$5:$L$300,"Закрыт")=0,"",ROUND(SUMIFS(Пул!$I$5:$I$300,Пул!$E$5:$E$300,$B19,Пул!$L$5:$L$300,"Закрыт"),8)))</f>
        <v/>
      </c>
      <c r="G19" s="240" t="str">
        <f>IF($B19="","",IF(COUNTIFS(Пул!$E$5:$E$300,$B19,Пул!$L$5:$L$300,"Закрыт")=0,"",ROUND(SUMIFS(Пул!$J$5:$J$300,Пул!$E$5:$E$300,$B19,Пул!$L$5:$L$300,"Закрыт"),8)))</f>
        <v/>
      </c>
      <c r="H19" s="241" t="str">
        <f>IF($B19="","",IF(COUNTIFS(Пул!$E$5:$E$300,$B19,Пул!$L$5:$L$300,"Закрыт")=0,"",ROUND(SUMIFS(Пул!$K$5:$K$300,Пул!$E$5:$E$300,$B19,Пул!$L$5:$L$300,"Закрыт"),8)))</f>
        <v/>
      </c>
      <c r="I19" s="236" t="str">
        <f>IF(AND(ISNUMBER(G19),ISNUMBER(H19)),IF(AND(G19&gt;0,H19&lt;0),"Buy",IF(AND(G19&lt;0,H19&gt;0),"Sell","")),"")</f>
        <v/>
      </c>
      <c r="J19" s="177" t="str">
        <f>IF(I19="Buy",G19,IF(I19="Sell",-G19,""))</f>
        <v/>
      </c>
      <c r="K19" s="177" t="str">
        <f>IF(AND(ISNUMBER(J19),ISNUMBER(L19),N(J19)&lt;&gt;0),ROUND(L19/J19,8),"")</f>
        <v/>
      </c>
      <c r="L19" s="177" t="str">
        <f>IF(I19="Buy",-H19,IF(I19="Sell",H19,""))</f>
        <v/>
      </c>
    </row>
    <row r="20" ht="22" customHeight="1">
      <c r="B20" s="245" t="n"/>
      <c r="C20" s="246" t="str">
        <f>IF($B20="","",IF(COUNTIFS(Пул!$E$5:$E$300,$B20,Пул!$F$5:$F$300,"&lt;&gt;")=0,"",ROUND(SUMIFS(Пул!$F$5:$F$300,Пул!$E$5:$E$300,$B20),8)))</f>
        <v/>
      </c>
      <c r="D20" s="247" t="str">
        <f>IF($B20="","",IF(COUNTIFS(Пул!$E$5:$E$300,$B20,Пул!$G$5:$G$300,"&lt;&gt;")=0,"",ROUND(SUMIFS(Пул!$G$5:$G$300,Пул!$E$5:$E$300,$B20),8)))</f>
        <v/>
      </c>
      <c r="E20" s="246" t="str">
        <f>IF($B20="","",IF(COUNTIFS(Пул!$E$5:$E$300,$B20,Пул!$L$5:$L$300,"Закрыт")=0,"",ROUND(SUMIFS(Пул!$H$5:$H$300,Пул!$E$5:$E$300,$B20,Пул!$L$5:$L$300,"Закрыт"),8)))</f>
        <v/>
      </c>
      <c r="F20" s="247" t="str">
        <f>IF($B20="","",IF(COUNTIFS(Пул!$E$5:$E$300,$B20,Пул!$L$5:$L$300,"Закрыт")=0,"",ROUND(SUMIFS(Пул!$I$5:$I$300,Пул!$E$5:$E$300,$B20,Пул!$L$5:$L$300,"Закрыт"),8)))</f>
        <v/>
      </c>
      <c r="G20" s="246" t="str">
        <f>IF($B20="","",IF(COUNTIFS(Пул!$E$5:$E$300,$B20,Пул!$L$5:$L$300,"Закрыт")=0,"",ROUND(SUMIFS(Пул!$J$5:$J$300,Пул!$E$5:$E$300,$B20,Пул!$L$5:$L$300,"Закрыт"),8)))</f>
        <v/>
      </c>
      <c r="H20" s="247" t="str">
        <f>IF($B20="","",IF(COUNTIFS(Пул!$E$5:$E$300,$B20,Пул!$L$5:$L$300,"Закрыт")=0,"",ROUND(SUMIFS(Пул!$K$5:$K$300,Пул!$E$5:$E$300,$B20,Пул!$L$5:$L$300,"Закрыт"),8)))</f>
        <v/>
      </c>
      <c r="I20" s="242" t="str">
        <f>IF(AND(ISNUMBER(G20),ISNUMBER(H20)),IF(AND(G20&gt;0,H20&lt;0),"Buy",IF(AND(G20&lt;0,H20&gt;0),"Sell","")),"")</f>
        <v/>
      </c>
      <c r="J20" s="183" t="str">
        <f>IF(I20="Buy",G20,IF(I20="Sell",-G20,""))</f>
        <v/>
      </c>
      <c r="K20" s="183" t="str">
        <f>IF(AND(ISNUMBER(J20),ISNUMBER(L20),N(J20)&lt;&gt;0),ROUND(L20/J20,8),"")</f>
        <v/>
      </c>
      <c r="L20" s="183" t="str">
        <f>IF(I20="Buy",-H20,IF(I20="Sell",H20,""))</f>
        <v/>
      </c>
    </row>
    <row r="21" ht="22" customHeight="1">
      <c r="B21" s="239" t="n"/>
      <c r="C21" s="240" t="str">
        <f>IF($B21="","",IF(COUNTIFS(Пул!$E$5:$E$300,$B21,Пул!$F$5:$F$300,"&lt;&gt;")=0,"",ROUND(SUMIFS(Пул!$F$5:$F$300,Пул!$E$5:$E$300,$B21),8)))</f>
        <v/>
      </c>
      <c r="D21" s="241" t="str">
        <f>IF($B21="","",IF(COUNTIFS(Пул!$E$5:$E$300,$B21,Пул!$G$5:$G$300,"&lt;&gt;")=0,"",ROUND(SUMIFS(Пул!$G$5:$G$300,Пул!$E$5:$E$300,$B21),8)))</f>
        <v/>
      </c>
      <c r="E21" s="240" t="str">
        <f>IF($B21="","",IF(COUNTIFS(Пул!$E$5:$E$300,$B21,Пул!$L$5:$L$300,"Закрыт")=0,"",ROUND(SUMIFS(Пул!$H$5:$H$300,Пул!$E$5:$E$300,$B21,Пул!$L$5:$L$300,"Закрыт"),8)))</f>
        <v/>
      </c>
      <c r="F21" s="241" t="str">
        <f>IF($B21="","",IF(COUNTIFS(Пул!$E$5:$E$300,$B21,Пул!$L$5:$L$300,"Закрыт")=0,"",ROUND(SUMIFS(Пул!$I$5:$I$300,Пул!$E$5:$E$300,$B21,Пул!$L$5:$L$300,"Закрыт"),8)))</f>
        <v/>
      </c>
      <c r="G21" s="240" t="str">
        <f>IF($B21="","",IF(COUNTIFS(Пул!$E$5:$E$300,$B21,Пул!$L$5:$L$300,"Закрыт")=0,"",ROUND(SUMIFS(Пул!$J$5:$J$300,Пул!$E$5:$E$300,$B21,Пул!$L$5:$L$300,"Закрыт"),8)))</f>
        <v/>
      </c>
      <c r="H21" s="241" t="str">
        <f>IF($B21="","",IF(COUNTIFS(Пул!$E$5:$E$300,$B21,Пул!$L$5:$L$300,"Закрыт")=0,"",ROUND(SUMIFS(Пул!$K$5:$K$300,Пул!$E$5:$E$300,$B21,Пул!$L$5:$L$300,"Закрыт"),8)))</f>
        <v/>
      </c>
      <c r="I21" s="236" t="str">
        <f>IF(AND(ISNUMBER(G21),ISNUMBER(H21)),IF(AND(G21&gt;0,H21&lt;0),"Buy",IF(AND(G21&lt;0,H21&gt;0),"Sell","")),"")</f>
        <v/>
      </c>
      <c r="J21" s="177" t="str">
        <f>IF(I21="Buy",G21,IF(I21="Sell",-G21,""))</f>
        <v/>
      </c>
      <c r="K21" s="177" t="str">
        <f>IF(AND(ISNUMBER(J21),ISNUMBER(L21),N(J21)&lt;&gt;0),ROUND(L21/J21,8),"")</f>
        <v/>
      </c>
      <c r="L21" s="177" t="str">
        <f>IF(I21="Buy",-H21,IF(I21="Sell",H21,""))</f>
        <v/>
      </c>
    </row>
    <row r="22" ht="22" customHeight="1">
      <c r="B22" s="245" t="n"/>
      <c r="C22" s="246" t="str">
        <f>IF($B22="","",IF(COUNTIFS(Пул!$E$5:$E$300,$B22,Пул!$F$5:$F$300,"&lt;&gt;")=0,"",ROUND(SUMIFS(Пул!$F$5:$F$300,Пул!$E$5:$E$300,$B22),8)))</f>
        <v/>
      </c>
      <c r="D22" s="247" t="str">
        <f>IF($B22="","",IF(COUNTIFS(Пул!$E$5:$E$300,$B22,Пул!$G$5:$G$300,"&lt;&gt;")=0,"",ROUND(SUMIFS(Пул!$G$5:$G$300,Пул!$E$5:$E$300,$B22),8)))</f>
        <v/>
      </c>
      <c r="E22" s="246" t="str">
        <f>IF($B22="","",IF(COUNTIFS(Пул!$E$5:$E$300,$B22,Пул!$L$5:$L$300,"Закрыт")=0,"",ROUND(SUMIFS(Пул!$H$5:$H$300,Пул!$E$5:$E$300,$B22,Пул!$L$5:$L$300,"Закрыт"),8)))</f>
        <v/>
      </c>
      <c r="F22" s="247" t="str">
        <f>IF($B22="","",IF(COUNTIFS(Пул!$E$5:$E$300,$B22,Пул!$L$5:$L$300,"Закрыт")=0,"",ROUND(SUMIFS(Пул!$I$5:$I$300,Пул!$E$5:$E$300,$B22,Пул!$L$5:$L$300,"Закрыт"),8)))</f>
        <v/>
      </c>
      <c r="G22" s="246" t="str">
        <f>IF($B22="","",IF(COUNTIFS(Пул!$E$5:$E$300,$B22,Пул!$L$5:$L$300,"Закрыт")=0,"",ROUND(SUMIFS(Пул!$J$5:$J$300,Пул!$E$5:$E$300,$B22,Пул!$L$5:$L$300,"Закрыт"),8)))</f>
        <v/>
      </c>
      <c r="H22" s="247" t="str">
        <f>IF($B22="","",IF(COUNTIFS(Пул!$E$5:$E$300,$B22,Пул!$L$5:$L$300,"Закрыт")=0,"",ROUND(SUMIFS(Пул!$K$5:$K$300,Пул!$E$5:$E$300,$B22,Пул!$L$5:$L$300,"Закрыт"),8)))</f>
        <v/>
      </c>
      <c r="I22" s="242" t="str">
        <f>IF(AND(ISNUMBER(G22),ISNUMBER(H22)),IF(AND(G22&gt;0,H22&lt;0),"Buy",IF(AND(G22&lt;0,H22&gt;0),"Sell","")),"")</f>
        <v/>
      </c>
      <c r="J22" s="183" t="str">
        <f>IF(I22="Buy",G22,IF(I22="Sell",-G22,""))</f>
        <v/>
      </c>
      <c r="K22" s="183" t="str">
        <f>IF(AND(ISNUMBER(J22),ISNUMBER(L22),N(J22)&lt;&gt;0),ROUND(L22/J22,8),"")</f>
        <v/>
      </c>
      <c r="L22" s="183" t="str">
        <f>IF(I22="Buy",-H22,IF(I22="Sell",H22,""))</f>
        <v/>
      </c>
    </row>
    <row r="23" ht="22" customHeight="1">
      <c r="B23" s="239" t="n"/>
      <c r="C23" s="240" t="str">
        <f>IF($B23="","",IF(COUNTIFS(Пул!$E$5:$E$300,$B23,Пул!$F$5:$F$300,"&lt;&gt;")=0,"",ROUND(SUMIFS(Пул!$F$5:$F$300,Пул!$E$5:$E$300,$B23),8)))</f>
        <v/>
      </c>
      <c r="D23" s="241" t="str">
        <f>IF($B23="","",IF(COUNTIFS(Пул!$E$5:$E$300,$B23,Пул!$G$5:$G$300,"&lt;&gt;")=0,"",ROUND(SUMIFS(Пул!$G$5:$G$300,Пул!$E$5:$E$300,$B23),8)))</f>
        <v/>
      </c>
      <c r="E23" s="240" t="str">
        <f>IF($B23="","",IF(COUNTIFS(Пул!$E$5:$E$300,$B23,Пул!$L$5:$L$300,"Закрыт")=0,"",ROUND(SUMIFS(Пул!$H$5:$H$300,Пул!$E$5:$E$300,$B23,Пул!$L$5:$L$300,"Закрыт"),8)))</f>
        <v/>
      </c>
      <c r="F23" s="241" t="str">
        <f>IF($B23="","",IF(COUNTIFS(Пул!$E$5:$E$300,$B23,Пул!$L$5:$L$300,"Закрыт")=0,"",ROUND(SUMIFS(Пул!$I$5:$I$300,Пул!$E$5:$E$300,$B23,Пул!$L$5:$L$300,"Закрыт"),8)))</f>
        <v/>
      </c>
      <c r="G23" s="240" t="str">
        <f>IF($B23="","",IF(COUNTIFS(Пул!$E$5:$E$300,$B23,Пул!$L$5:$L$300,"Закрыт")=0,"",ROUND(SUMIFS(Пул!$J$5:$J$300,Пул!$E$5:$E$300,$B23,Пул!$L$5:$L$300,"Закрыт"),8)))</f>
        <v/>
      </c>
      <c r="H23" s="241" t="str">
        <f>IF($B23="","",IF(COUNTIFS(Пул!$E$5:$E$300,$B23,Пул!$L$5:$L$300,"Закрыт")=0,"",ROUND(SUMIFS(Пул!$K$5:$K$300,Пул!$E$5:$E$300,$B23,Пул!$L$5:$L$300,"Закрыт"),8)))</f>
        <v/>
      </c>
      <c r="I23" s="236" t="str">
        <f>IF(AND(ISNUMBER(G23),ISNUMBER(H23)),IF(AND(G23&gt;0,H23&lt;0),"Buy",IF(AND(G23&lt;0,H23&gt;0),"Sell","")),"")</f>
        <v/>
      </c>
      <c r="J23" s="177" t="str">
        <f>IF(I23="Buy",G23,IF(I23="Sell",-G23,""))</f>
        <v/>
      </c>
      <c r="K23" s="177" t="str">
        <f>IF(AND(ISNUMBER(J23),ISNUMBER(L23),N(J23)&lt;&gt;0),ROUND(L23/J23,8),"")</f>
        <v/>
      </c>
      <c r="L23" s="177" t="str">
        <f>IF(I23="Buy",-H23,IF(I23="Sell",H23,""))</f>
        <v/>
      </c>
    </row>
    <row r="24" ht="22" customHeight="1">
      <c r="B24" s="245" t="n"/>
      <c r="C24" s="246" t="str">
        <f>IF($B24="","",IF(COUNTIFS(Пул!$E$5:$E$300,$B24,Пул!$F$5:$F$300,"&lt;&gt;")=0,"",ROUND(SUMIFS(Пул!$F$5:$F$300,Пул!$E$5:$E$300,$B24),8)))</f>
        <v/>
      </c>
      <c r="D24" s="247" t="str">
        <f>IF($B24="","",IF(COUNTIFS(Пул!$E$5:$E$300,$B24,Пул!$G$5:$G$300,"&lt;&gt;")=0,"",ROUND(SUMIFS(Пул!$G$5:$G$300,Пул!$E$5:$E$300,$B24),8)))</f>
        <v/>
      </c>
      <c r="E24" s="246" t="str">
        <f>IF($B24="","",IF(COUNTIFS(Пул!$E$5:$E$300,$B24,Пул!$L$5:$L$300,"Закрыт")=0,"",ROUND(SUMIFS(Пул!$H$5:$H$300,Пул!$E$5:$E$300,$B24,Пул!$L$5:$L$300,"Закрыт"),8)))</f>
        <v/>
      </c>
      <c r="F24" s="247" t="str">
        <f>IF($B24="","",IF(COUNTIFS(Пул!$E$5:$E$300,$B24,Пул!$L$5:$L$300,"Закрыт")=0,"",ROUND(SUMIFS(Пул!$I$5:$I$300,Пул!$E$5:$E$300,$B24,Пул!$L$5:$L$300,"Закрыт"),8)))</f>
        <v/>
      </c>
      <c r="G24" s="246" t="str">
        <f>IF($B24="","",IF(COUNTIFS(Пул!$E$5:$E$300,$B24,Пул!$L$5:$L$300,"Закрыт")=0,"",ROUND(SUMIFS(Пул!$J$5:$J$300,Пул!$E$5:$E$300,$B24,Пул!$L$5:$L$300,"Закрыт"),8)))</f>
        <v/>
      </c>
      <c r="H24" s="247" t="str">
        <f>IF($B24="","",IF(COUNTIFS(Пул!$E$5:$E$300,$B24,Пул!$L$5:$L$300,"Закрыт")=0,"",ROUND(SUMIFS(Пул!$K$5:$K$300,Пул!$E$5:$E$300,$B24,Пул!$L$5:$L$300,"Закрыт"),8)))</f>
        <v/>
      </c>
      <c r="I24" s="242" t="str">
        <f>IF(AND(ISNUMBER(G24),ISNUMBER(H24)),IF(AND(G24&gt;0,H24&lt;0),"Buy",IF(AND(G24&lt;0,H24&gt;0),"Sell","")),"")</f>
        <v/>
      </c>
      <c r="J24" s="183" t="str">
        <f>IF(I24="Buy",G24,IF(I24="Sell",-G24,""))</f>
        <v/>
      </c>
      <c r="K24" s="183" t="str">
        <f>IF(AND(ISNUMBER(J24),ISNUMBER(L24),N(J24)&lt;&gt;0),ROUND(L24/J24,8),"")</f>
        <v/>
      </c>
      <c r="L24" s="183" t="str">
        <f>IF(I24="Buy",-H24,IF(I24="Sell",H24,""))</f>
        <v/>
      </c>
    </row>
    <row r="25" ht="22" customHeight="1">
      <c r="B25" s="239" t="n"/>
      <c r="C25" s="240" t="str">
        <f>IF($B25="","",IF(COUNTIFS(Пул!$E$5:$E$300,$B25,Пул!$F$5:$F$300,"&lt;&gt;")=0,"",ROUND(SUMIFS(Пул!$F$5:$F$300,Пул!$E$5:$E$300,$B25),8)))</f>
        <v/>
      </c>
      <c r="D25" s="241" t="str">
        <f>IF($B25="","",IF(COUNTIFS(Пул!$E$5:$E$300,$B25,Пул!$G$5:$G$300,"&lt;&gt;")=0,"",ROUND(SUMIFS(Пул!$G$5:$G$300,Пул!$E$5:$E$300,$B25),8)))</f>
        <v/>
      </c>
      <c r="E25" s="240" t="str">
        <f>IF($B25="","",IF(COUNTIFS(Пул!$E$5:$E$300,$B25,Пул!$L$5:$L$300,"Закрыт")=0,"",ROUND(SUMIFS(Пул!$H$5:$H$300,Пул!$E$5:$E$300,$B25,Пул!$L$5:$L$300,"Закрыт"),8)))</f>
        <v/>
      </c>
      <c r="F25" s="241" t="str">
        <f>IF($B25="","",IF(COUNTIFS(Пул!$E$5:$E$300,$B25,Пул!$L$5:$L$300,"Закрыт")=0,"",ROUND(SUMIFS(Пул!$I$5:$I$300,Пул!$E$5:$E$300,$B25,Пул!$L$5:$L$300,"Закрыт"),8)))</f>
        <v/>
      </c>
      <c r="G25" s="240" t="str">
        <f>IF($B25="","",IF(COUNTIFS(Пул!$E$5:$E$300,$B25,Пул!$L$5:$L$300,"Закрыт")=0,"",ROUND(SUMIFS(Пул!$J$5:$J$300,Пул!$E$5:$E$300,$B25,Пул!$L$5:$L$300,"Закрыт"),8)))</f>
        <v/>
      </c>
      <c r="H25" s="241" t="str">
        <f>IF($B25="","",IF(COUNTIFS(Пул!$E$5:$E$300,$B25,Пул!$L$5:$L$300,"Закрыт")=0,"",ROUND(SUMIFS(Пул!$K$5:$K$300,Пул!$E$5:$E$300,$B25,Пул!$L$5:$L$300,"Закрыт"),8)))</f>
        <v/>
      </c>
      <c r="I25" s="236" t="str">
        <f>IF(AND(ISNUMBER(G25),ISNUMBER(H25)),IF(AND(G25&gt;0,H25&lt;0),"Buy",IF(AND(G25&lt;0,H25&gt;0),"Sell","")),"")</f>
        <v/>
      </c>
      <c r="J25" s="177" t="str">
        <f>IF(I25="Buy",G25,IF(I25="Sell",-G25,""))</f>
        <v/>
      </c>
      <c r="K25" s="177" t="str">
        <f>IF(AND(ISNUMBER(J25),ISNUMBER(L25),N(J25)&lt;&gt;0),ROUND(L25/J25,8),"")</f>
        <v/>
      </c>
      <c r="L25" s="177" t="str">
        <f>IF(I25="Buy",-H25,IF(I25="Sell",H25,""))</f>
        <v/>
      </c>
    </row>
    <row r="26" ht="22" customHeight="1">
      <c r="B26" s="245" t="n"/>
      <c r="C26" s="246" t="str">
        <f>IF($B26="","",IF(COUNTIFS(Пул!$E$5:$E$300,$B26,Пул!$F$5:$F$300,"&lt;&gt;")=0,"",ROUND(SUMIFS(Пул!$F$5:$F$300,Пул!$E$5:$E$300,$B26),8)))</f>
        <v/>
      </c>
      <c r="D26" s="247" t="str">
        <f>IF($B26="","",IF(COUNTIFS(Пул!$E$5:$E$300,$B26,Пул!$G$5:$G$300,"&lt;&gt;")=0,"",ROUND(SUMIFS(Пул!$G$5:$G$300,Пул!$E$5:$E$300,$B26),8)))</f>
        <v/>
      </c>
      <c r="E26" s="246" t="str">
        <f>IF($B26="","",IF(COUNTIFS(Пул!$E$5:$E$300,$B26,Пул!$L$5:$L$300,"Закрыт")=0,"",ROUND(SUMIFS(Пул!$H$5:$H$300,Пул!$E$5:$E$300,$B26,Пул!$L$5:$L$300,"Закрыт"),8)))</f>
        <v/>
      </c>
      <c r="F26" s="247" t="str">
        <f>IF($B26="","",IF(COUNTIFS(Пул!$E$5:$E$300,$B26,Пул!$L$5:$L$300,"Закрыт")=0,"",ROUND(SUMIFS(Пул!$I$5:$I$300,Пул!$E$5:$E$300,$B26,Пул!$L$5:$L$300,"Закрыт"),8)))</f>
        <v/>
      </c>
      <c r="G26" s="246" t="str">
        <f>IF($B26="","",IF(COUNTIFS(Пул!$E$5:$E$300,$B26,Пул!$L$5:$L$300,"Закрыт")=0,"",ROUND(SUMIFS(Пул!$J$5:$J$300,Пул!$E$5:$E$300,$B26,Пул!$L$5:$L$300,"Закрыт"),8)))</f>
        <v/>
      </c>
      <c r="H26" s="247" t="str">
        <f>IF($B26="","",IF(COUNTIFS(Пул!$E$5:$E$300,$B26,Пул!$L$5:$L$300,"Закрыт")=0,"",ROUND(SUMIFS(Пул!$K$5:$K$300,Пул!$E$5:$E$300,$B26,Пул!$L$5:$L$300,"Закрыт"),8)))</f>
        <v/>
      </c>
      <c r="I26" s="242" t="str">
        <f>IF(AND(ISNUMBER(G26),ISNUMBER(H26)),IF(AND(G26&gt;0,H26&lt;0),"Buy",IF(AND(G26&lt;0,H26&gt;0),"Sell","")),"")</f>
        <v/>
      </c>
      <c r="J26" s="183" t="str">
        <f>IF(I26="Buy",G26,IF(I26="Sell",-G26,""))</f>
        <v/>
      </c>
      <c r="K26" s="183" t="str">
        <f>IF(AND(ISNUMBER(J26),ISNUMBER(L26),N(J26)&lt;&gt;0),ROUND(L26/J26,8),"")</f>
        <v/>
      </c>
      <c r="L26" s="183" t="str">
        <f>IF(I26="Buy",-H26,IF(I26="Sell",H26,""))</f>
        <v/>
      </c>
    </row>
    <row r="27" ht="22" customHeight="1">
      <c r="B27" s="239" t="n"/>
      <c r="C27" s="240" t="str">
        <f>IF($B27="","",IF(COUNTIFS(Пул!$E$5:$E$300,$B27,Пул!$F$5:$F$300,"&lt;&gt;")=0,"",ROUND(SUMIFS(Пул!$F$5:$F$300,Пул!$E$5:$E$300,$B27),8)))</f>
        <v/>
      </c>
      <c r="D27" s="241" t="str">
        <f>IF($B27="","",IF(COUNTIFS(Пул!$E$5:$E$300,$B27,Пул!$G$5:$G$300,"&lt;&gt;")=0,"",ROUND(SUMIFS(Пул!$G$5:$G$300,Пул!$E$5:$E$300,$B27),8)))</f>
        <v/>
      </c>
      <c r="E27" s="240" t="str">
        <f>IF($B27="","",IF(COUNTIFS(Пул!$E$5:$E$300,$B27,Пул!$L$5:$L$300,"Закрыт")=0,"",ROUND(SUMIFS(Пул!$H$5:$H$300,Пул!$E$5:$E$300,$B27,Пул!$L$5:$L$300,"Закрыт"),8)))</f>
        <v/>
      </c>
      <c r="F27" s="241" t="str">
        <f>IF($B27="","",IF(COUNTIFS(Пул!$E$5:$E$300,$B27,Пул!$L$5:$L$300,"Закрыт")=0,"",ROUND(SUMIFS(Пул!$I$5:$I$300,Пул!$E$5:$E$300,$B27,Пул!$L$5:$L$300,"Закрыт"),8)))</f>
        <v/>
      </c>
      <c r="G27" s="240" t="str">
        <f>IF($B27="","",IF(COUNTIFS(Пул!$E$5:$E$300,$B27,Пул!$L$5:$L$300,"Закрыт")=0,"",ROUND(SUMIFS(Пул!$J$5:$J$300,Пул!$E$5:$E$300,$B27,Пул!$L$5:$L$300,"Закрыт"),8)))</f>
        <v/>
      </c>
      <c r="H27" s="241" t="str">
        <f>IF($B27="","",IF(COUNTIFS(Пул!$E$5:$E$300,$B27,Пул!$L$5:$L$300,"Закрыт")=0,"",ROUND(SUMIFS(Пул!$K$5:$K$300,Пул!$E$5:$E$300,$B27,Пул!$L$5:$L$300,"Закрыт"),8)))</f>
        <v/>
      </c>
      <c r="I27" s="236" t="str">
        <f>IF(AND(ISNUMBER(G27),ISNUMBER(H27)),IF(AND(G27&gt;0,H27&lt;0),"Buy",IF(AND(G27&lt;0,H27&gt;0),"Sell","")),"")</f>
        <v/>
      </c>
      <c r="J27" s="177" t="str">
        <f>IF(I27="Buy",G27,IF(I27="Sell",-G27,""))</f>
        <v/>
      </c>
      <c r="K27" s="177" t="str">
        <f>IF(AND(ISNUMBER(J27),ISNUMBER(L27),N(J27)&lt;&gt;0),ROUND(L27/J27,8),"")</f>
        <v/>
      </c>
      <c r="L27" s="177" t="str">
        <f>IF(I27="Buy",-H27,IF(I27="Sell",H27,""))</f>
        <v/>
      </c>
    </row>
    <row r="28" ht="22" customHeight="1">
      <c r="B28" s="245" t="n"/>
      <c r="C28" s="246" t="str">
        <f>IF($B28="","",IF(COUNTIFS(Пул!$E$5:$E$300,$B28,Пул!$F$5:$F$300,"&lt;&gt;")=0,"",ROUND(SUMIFS(Пул!$F$5:$F$300,Пул!$E$5:$E$300,$B28),8)))</f>
        <v/>
      </c>
      <c r="D28" s="247" t="str">
        <f>IF($B28="","",IF(COUNTIFS(Пул!$E$5:$E$300,$B28,Пул!$G$5:$G$300,"&lt;&gt;")=0,"",ROUND(SUMIFS(Пул!$G$5:$G$300,Пул!$E$5:$E$300,$B28),8)))</f>
        <v/>
      </c>
      <c r="E28" s="246" t="str">
        <f>IF($B28="","",IF(COUNTIFS(Пул!$E$5:$E$300,$B28,Пул!$L$5:$L$300,"Закрыт")=0,"",ROUND(SUMIFS(Пул!$H$5:$H$300,Пул!$E$5:$E$300,$B28,Пул!$L$5:$L$300,"Закрыт"),8)))</f>
        <v/>
      </c>
      <c r="F28" s="247" t="str">
        <f>IF($B28="","",IF(COUNTIFS(Пул!$E$5:$E$300,$B28,Пул!$L$5:$L$300,"Закрыт")=0,"",ROUND(SUMIFS(Пул!$I$5:$I$300,Пул!$E$5:$E$300,$B28,Пул!$L$5:$L$300,"Закрыт"),8)))</f>
        <v/>
      </c>
      <c r="G28" s="246" t="str">
        <f>IF($B28="","",IF(COUNTIFS(Пул!$E$5:$E$300,$B28,Пул!$L$5:$L$300,"Закрыт")=0,"",ROUND(SUMIFS(Пул!$J$5:$J$300,Пул!$E$5:$E$300,$B28,Пул!$L$5:$L$300,"Закрыт"),8)))</f>
        <v/>
      </c>
      <c r="H28" s="247" t="str">
        <f>IF($B28="","",IF(COUNTIFS(Пул!$E$5:$E$300,$B28,Пул!$L$5:$L$300,"Закрыт")=0,"",ROUND(SUMIFS(Пул!$K$5:$K$300,Пул!$E$5:$E$300,$B28,Пул!$L$5:$L$300,"Закрыт"),8)))</f>
        <v/>
      </c>
      <c r="I28" s="242" t="str">
        <f>IF(AND(ISNUMBER(G28),ISNUMBER(H28)),IF(AND(G28&gt;0,H28&lt;0),"Buy",IF(AND(G28&lt;0,H28&gt;0),"Sell","")),"")</f>
        <v/>
      </c>
      <c r="J28" s="183" t="str">
        <f>IF(I28="Buy",G28,IF(I28="Sell",-G28,""))</f>
        <v/>
      </c>
      <c r="K28" s="183" t="str">
        <f>IF(AND(ISNUMBER(J28),ISNUMBER(L28),N(J28)&lt;&gt;0),ROUND(L28/J28,8),"")</f>
        <v/>
      </c>
      <c r="L28" s="183" t="str">
        <f>IF(I28="Buy",-H28,IF(I28="Sell",H28,""))</f>
        <v/>
      </c>
    </row>
    <row r="29" ht="22" customHeight="1">
      <c r="B29" s="239" t="n"/>
      <c r="C29" s="240" t="str">
        <f>IF($B29="","",IF(COUNTIFS(Пул!$E$5:$E$300,$B29,Пул!$F$5:$F$300,"&lt;&gt;")=0,"",ROUND(SUMIFS(Пул!$F$5:$F$300,Пул!$E$5:$E$300,$B29),8)))</f>
        <v/>
      </c>
      <c r="D29" s="241" t="str">
        <f>IF($B29="","",IF(COUNTIFS(Пул!$E$5:$E$300,$B29,Пул!$G$5:$G$300,"&lt;&gt;")=0,"",ROUND(SUMIFS(Пул!$G$5:$G$300,Пул!$E$5:$E$300,$B29),8)))</f>
        <v/>
      </c>
      <c r="E29" s="240" t="str">
        <f>IF($B29="","",IF(COUNTIFS(Пул!$E$5:$E$300,$B29,Пул!$L$5:$L$300,"Закрыт")=0,"",ROUND(SUMIFS(Пул!$H$5:$H$300,Пул!$E$5:$E$300,$B29,Пул!$L$5:$L$300,"Закрыт"),8)))</f>
        <v/>
      </c>
      <c r="F29" s="241" t="str">
        <f>IF($B29="","",IF(COUNTIFS(Пул!$E$5:$E$300,$B29,Пул!$L$5:$L$300,"Закрыт")=0,"",ROUND(SUMIFS(Пул!$I$5:$I$300,Пул!$E$5:$E$300,$B29,Пул!$L$5:$L$300,"Закрыт"),8)))</f>
        <v/>
      </c>
      <c r="G29" s="240" t="str">
        <f>IF($B29="","",IF(COUNTIFS(Пул!$E$5:$E$300,$B29,Пул!$L$5:$L$300,"Закрыт")=0,"",ROUND(SUMIFS(Пул!$J$5:$J$300,Пул!$E$5:$E$300,$B29,Пул!$L$5:$L$300,"Закрыт"),8)))</f>
        <v/>
      </c>
      <c r="H29" s="241" t="str">
        <f>IF($B29="","",IF(COUNTIFS(Пул!$E$5:$E$300,$B29,Пул!$L$5:$L$300,"Закрыт")=0,"",ROUND(SUMIFS(Пул!$K$5:$K$300,Пул!$E$5:$E$300,$B29,Пул!$L$5:$L$300,"Закрыт"),8)))</f>
        <v/>
      </c>
      <c r="I29" s="236" t="str">
        <f>IF(AND(ISNUMBER(G29),ISNUMBER(H29)),IF(AND(G29&gt;0,H29&lt;0),"Buy",IF(AND(G29&lt;0,H29&gt;0),"Sell","")),"")</f>
        <v/>
      </c>
      <c r="J29" s="177" t="str">
        <f>IF(I29="Buy",G29,IF(I29="Sell",-G29,""))</f>
        <v/>
      </c>
      <c r="K29" s="177" t="str">
        <f>IF(AND(ISNUMBER(J29),ISNUMBER(L29),N(J29)&lt;&gt;0),ROUND(L29/J29,8),"")</f>
        <v/>
      </c>
      <c r="L29" s="177" t="str">
        <f>IF(I29="Buy",-H29,IF(I29="Sell",H29,""))</f>
        <v/>
      </c>
    </row>
    <row r="30" ht="22" customHeight="1">
      <c r="B30" s="245" t="n"/>
      <c r="C30" s="246" t="str">
        <f>IF($B30="","",IF(COUNTIFS(Пул!$E$5:$E$300,$B30,Пул!$F$5:$F$300,"&lt;&gt;")=0,"",ROUND(SUMIFS(Пул!$F$5:$F$300,Пул!$E$5:$E$300,$B30),8)))</f>
        <v/>
      </c>
      <c r="D30" s="247" t="str">
        <f>IF($B30="","",IF(COUNTIFS(Пул!$E$5:$E$300,$B30,Пул!$G$5:$G$300,"&lt;&gt;")=0,"",ROUND(SUMIFS(Пул!$G$5:$G$300,Пул!$E$5:$E$300,$B30),8)))</f>
        <v/>
      </c>
      <c r="E30" s="246" t="str">
        <f>IF($B30="","",IF(COUNTIFS(Пул!$E$5:$E$300,$B30,Пул!$L$5:$L$300,"Закрыт")=0,"",ROUND(SUMIFS(Пул!$H$5:$H$300,Пул!$E$5:$E$300,$B30,Пул!$L$5:$L$300,"Закрыт"),8)))</f>
        <v/>
      </c>
      <c r="F30" s="247" t="str">
        <f>IF($B30="","",IF(COUNTIFS(Пул!$E$5:$E$300,$B30,Пул!$L$5:$L$300,"Закрыт")=0,"",ROUND(SUMIFS(Пул!$I$5:$I$300,Пул!$E$5:$E$300,$B30,Пул!$L$5:$L$300,"Закрыт"),8)))</f>
        <v/>
      </c>
      <c r="G30" s="246" t="str">
        <f>IF($B30="","",IF(COUNTIFS(Пул!$E$5:$E$300,$B30,Пул!$L$5:$L$300,"Закрыт")=0,"",ROUND(SUMIFS(Пул!$J$5:$J$300,Пул!$E$5:$E$300,$B30,Пул!$L$5:$L$300,"Закрыт"),8)))</f>
        <v/>
      </c>
      <c r="H30" s="247" t="str">
        <f>IF($B30="","",IF(COUNTIFS(Пул!$E$5:$E$300,$B30,Пул!$L$5:$L$300,"Закрыт")=0,"",ROUND(SUMIFS(Пул!$K$5:$K$300,Пул!$E$5:$E$300,$B30,Пул!$L$5:$L$300,"Закрыт"),8)))</f>
        <v/>
      </c>
      <c r="I30" s="242" t="str">
        <f>IF(AND(ISNUMBER(G30),ISNUMBER(H30)),IF(AND(G30&gt;0,H30&lt;0),"Buy",IF(AND(G30&lt;0,H30&gt;0),"Sell","")),"")</f>
        <v/>
      </c>
      <c r="J30" s="183" t="str">
        <f>IF(I30="Buy",G30,IF(I30="Sell",-G30,""))</f>
        <v/>
      </c>
      <c r="K30" s="183" t="str">
        <f>IF(AND(ISNUMBER(J30),ISNUMBER(L30),N(J30)&lt;&gt;0),ROUND(L30/J30,8),"")</f>
        <v/>
      </c>
      <c r="L30" s="183" t="str">
        <f>IF(I30="Buy",-H30,IF(I30="Sell",H30,""))</f>
        <v/>
      </c>
    </row>
    <row r="31" ht="22" customHeight="1">
      <c r="B31" s="239" t="n"/>
      <c r="C31" s="240" t="str">
        <f>IF($B31="","",IF(COUNTIFS(Пул!$E$5:$E$300,$B31,Пул!$F$5:$F$300,"&lt;&gt;")=0,"",ROUND(SUMIFS(Пул!$F$5:$F$300,Пул!$E$5:$E$300,$B31),8)))</f>
        <v/>
      </c>
      <c r="D31" s="241" t="str">
        <f>IF($B31="","",IF(COUNTIFS(Пул!$E$5:$E$300,$B31,Пул!$G$5:$G$300,"&lt;&gt;")=0,"",ROUND(SUMIFS(Пул!$G$5:$G$300,Пул!$E$5:$E$300,$B31),8)))</f>
        <v/>
      </c>
      <c r="E31" s="240" t="str">
        <f>IF($B31="","",IF(COUNTIFS(Пул!$E$5:$E$300,$B31,Пул!$L$5:$L$300,"Закрыт")=0,"",ROUND(SUMIFS(Пул!$H$5:$H$300,Пул!$E$5:$E$300,$B31,Пул!$L$5:$L$300,"Закрыт"),8)))</f>
        <v/>
      </c>
      <c r="F31" s="241" t="str">
        <f>IF($B31="","",IF(COUNTIFS(Пул!$E$5:$E$300,$B31,Пул!$L$5:$L$300,"Закрыт")=0,"",ROUND(SUMIFS(Пул!$I$5:$I$300,Пул!$E$5:$E$300,$B31,Пул!$L$5:$L$300,"Закрыт"),8)))</f>
        <v/>
      </c>
      <c r="G31" s="240" t="str">
        <f>IF($B31="","",IF(COUNTIFS(Пул!$E$5:$E$300,$B31,Пул!$L$5:$L$300,"Закрыт")=0,"",ROUND(SUMIFS(Пул!$J$5:$J$300,Пул!$E$5:$E$300,$B31,Пул!$L$5:$L$300,"Закрыт"),8)))</f>
        <v/>
      </c>
      <c r="H31" s="241" t="str">
        <f>IF($B31="","",IF(COUNTIFS(Пул!$E$5:$E$300,$B31,Пул!$L$5:$L$300,"Закрыт")=0,"",ROUND(SUMIFS(Пул!$K$5:$K$300,Пул!$E$5:$E$300,$B31,Пул!$L$5:$L$300,"Закрыт"),8)))</f>
        <v/>
      </c>
      <c r="I31" s="236" t="str">
        <f>IF(AND(ISNUMBER(G31),ISNUMBER(H31)),IF(AND(G31&gt;0,H31&lt;0),"Buy",IF(AND(G31&lt;0,H31&gt;0),"Sell","")),"")</f>
        <v/>
      </c>
      <c r="J31" s="177" t="str">
        <f>IF(I31="Buy",G31,IF(I31="Sell",-G31,""))</f>
        <v/>
      </c>
      <c r="K31" s="177" t="str">
        <f>IF(AND(ISNUMBER(J31),ISNUMBER(L31),N(J31)&lt;&gt;0),ROUND(L31/J31,8),"")</f>
        <v/>
      </c>
      <c r="L31" s="177" t="str">
        <f>IF(I31="Buy",-H31,IF(I31="Sell",H31,""))</f>
        <v/>
      </c>
    </row>
    <row r="32" ht="22" customHeight="1">
      <c r="B32" s="245" t="n"/>
      <c r="C32" s="246" t="str">
        <f>IF($B32="","",IF(COUNTIFS(Пул!$E$5:$E$300,$B32,Пул!$F$5:$F$300,"&lt;&gt;")=0,"",ROUND(SUMIFS(Пул!$F$5:$F$300,Пул!$E$5:$E$300,$B32),8)))</f>
        <v/>
      </c>
      <c r="D32" s="247" t="str">
        <f>IF($B32="","",IF(COUNTIFS(Пул!$E$5:$E$300,$B32,Пул!$G$5:$G$300,"&lt;&gt;")=0,"",ROUND(SUMIFS(Пул!$G$5:$G$300,Пул!$E$5:$E$300,$B32),8)))</f>
        <v/>
      </c>
      <c r="E32" s="246" t="str">
        <f>IF($B32="","",IF(COUNTIFS(Пул!$E$5:$E$300,$B32,Пул!$L$5:$L$300,"Закрыт")=0,"",ROUND(SUMIFS(Пул!$H$5:$H$300,Пул!$E$5:$E$300,$B32,Пул!$L$5:$L$300,"Закрыт"),8)))</f>
        <v/>
      </c>
      <c r="F32" s="247" t="str">
        <f>IF($B32="","",IF(COUNTIFS(Пул!$E$5:$E$300,$B32,Пул!$L$5:$L$300,"Закрыт")=0,"",ROUND(SUMIFS(Пул!$I$5:$I$300,Пул!$E$5:$E$300,$B32,Пул!$L$5:$L$300,"Закрыт"),8)))</f>
        <v/>
      </c>
      <c r="G32" s="246" t="str">
        <f>IF($B32="","",IF(COUNTIFS(Пул!$E$5:$E$300,$B32,Пул!$L$5:$L$300,"Закрыт")=0,"",ROUND(SUMIFS(Пул!$J$5:$J$300,Пул!$E$5:$E$300,$B32,Пул!$L$5:$L$300,"Закрыт"),8)))</f>
        <v/>
      </c>
      <c r="H32" s="247" t="str">
        <f>IF($B32="","",IF(COUNTIFS(Пул!$E$5:$E$300,$B32,Пул!$L$5:$L$300,"Закрыт")=0,"",ROUND(SUMIFS(Пул!$K$5:$K$300,Пул!$E$5:$E$300,$B32,Пул!$L$5:$L$300,"Закрыт"),8)))</f>
        <v/>
      </c>
      <c r="I32" s="242" t="str">
        <f>IF(AND(ISNUMBER(G32),ISNUMBER(H32)),IF(AND(G32&gt;0,H32&lt;0),"Buy",IF(AND(G32&lt;0,H32&gt;0),"Sell","")),"")</f>
        <v/>
      </c>
      <c r="J32" s="183" t="str">
        <f>IF(I32="Buy",G32,IF(I32="Sell",-G32,""))</f>
        <v/>
      </c>
      <c r="K32" s="183" t="str">
        <f>IF(AND(ISNUMBER(J32),ISNUMBER(L32),N(J32)&lt;&gt;0),ROUND(L32/J32,8),"")</f>
        <v/>
      </c>
      <c r="L32" s="183" t="str">
        <f>IF(I32="Buy",-H32,IF(I32="Sell",H32,""))</f>
        <v/>
      </c>
    </row>
    <row r="33" ht="22" customHeight="1">
      <c r="B33" s="239" t="n"/>
      <c r="C33" s="240" t="str">
        <f>IF($B33="","",IF(COUNTIFS(Пул!$E$5:$E$300,$B33,Пул!$F$5:$F$300,"&lt;&gt;")=0,"",ROUND(SUMIFS(Пул!$F$5:$F$300,Пул!$E$5:$E$300,$B33),8)))</f>
        <v/>
      </c>
      <c r="D33" s="241" t="str">
        <f>IF($B33="","",IF(COUNTIFS(Пул!$E$5:$E$300,$B33,Пул!$G$5:$G$300,"&lt;&gt;")=0,"",ROUND(SUMIFS(Пул!$G$5:$G$300,Пул!$E$5:$E$300,$B33),8)))</f>
        <v/>
      </c>
      <c r="E33" s="240" t="str">
        <f>IF($B33="","",IF(COUNTIFS(Пул!$E$5:$E$300,$B33,Пул!$L$5:$L$300,"Закрыт")=0,"",ROUND(SUMIFS(Пул!$H$5:$H$300,Пул!$E$5:$E$300,$B33,Пул!$L$5:$L$300,"Закрыт"),8)))</f>
        <v/>
      </c>
      <c r="F33" s="241" t="str">
        <f>IF($B33="","",IF(COUNTIFS(Пул!$E$5:$E$300,$B33,Пул!$L$5:$L$300,"Закрыт")=0,"",ROUND(SUMIFS(Пул!$I$5:$I$300,Пул!$E$5:$E$300,$B33,Пул!$L$5:$L$300,"Закрыт"),8)))</f>
        <v/>
      </c>
      <c r="G33" s="240" t="str">
        <f>IF($B33="","",IF(COUNTIFS(Пул!$E$5:$E$300,$B33,Пул!$L$5:$L$300,"Закрыт")=0,"",ROUND(SUMIFS(Пул!$J$5:$J$300,Пул!$E$5:$E$300,$B33,Пул!$L$5:$L$300,"Закрыт"),8)))</f>
        <v/>
      </c>
      <c r="H33" s="241" t="str">
        <f>IF($B33="","",IF(COUNTIFS(Пул!$E$5:$E$300,$B33,Пул!$L$5:$L$300,"Закрыт")=0,"",ROUND(SUMIFS(Пул!$K$5:$K$300,Пул!$E$5:$E$300,$B33,Пул!$L$5:$L$300,"Закрыт"),8)))</f>
        <v/>
      </c>
      <c r="I33" s="236" t="str">
        <f>IF(AND(ISNUMBER(G33),ISNUMBER(H33)),IF(AND(G33&gt;0,H33&lt;0),"Buy",IF(AND(G33&lt;0,H33&gt;0),"Sell","")),"")</f>
        <v/>
      </c>
      <c r="J33" s="177" t="str">
        <f>IF(I33="Buy",G33,IF(I33="Sell",-G33,""))</f>
        <v/>
      </c>
      <c r="K33" s="177" t="str">
        <f>IF(AND(ISNUMBER(J33),ISNUMBER(L33),N(J33)&lt;&gt;0),ROUND(L33/J33,8),"")</f>
        <v/>
      </c>
      <c r="L33" s="177" t="str">
        <f>IF(I33="Buy",-H33,IF(I33="Sell",H33,""))</f>
        <v/>
      </c>
    </row>
    <row r="34" ht="22" customHeight="1">
      <c r="B34" s="245" t="n"/>
      <c r="C34" s="246" t="str">
        <f>IF($B34="","",IF(COUNTIFS(Пул!$E$5:$E$300,$B34,Пул!$F$5:$F$300,"&lt;&gt;")=0,"",ROUND(SUMIFS(Пул!$F$5:$F$300,Пул!$E$5:$E$300,$B34),8)))</f>
        <v/>
      </c>
      <c r="D34" s="247" t="str">
        <f>IF($B34="","",IF(COUNTIFS(Пул!$E$5:$E$300,$B34,Пул!$G$5:$G$300,"&lt;&gt;")=0,"",ROUND(SUMIFS(Пул!$G$5:$G$300,Пул!$E$5:$E$300,$B34),8)))</f>
        <v/>
      </c>
      <c r="E34" s="246" t="str">
        <f>IF($B34="","",IF(COUNTIFS(Пул!$E$5:$E$300,$B34,Пул!$L$5:$L$300,"Закрыт")=0,"",ROUND(SUMIFS(Пул!$H$5:$H$300,Пул!$E$5:$E$300,$B34,Пул!$L$5:$L$300,"Закрыт"),8)))</f>
        <v/>
      </c>
      <c r="F34" s="247" t="str">
        <f>IF($B34="","",IF(COUNTIFS(Пул!$E$5:$E$300,$B34,Пул!$L$5:$L$300,"Закрыт")=0,"",ROUND(SUMIFS(Пул!$I$5:$I$300,Пул!$E$5:$E$300,$B34,Пул!$L$5:$L$300,"Закрыт"),8)))</f>
        <v/>
      </c>
      <c r="G34" s="246" t="str">
        <f>IF($B34="","",IF(COUNTIFS(Пул!$E$5:$E$300,$B34,Пул!$L$5:$L$300,"Закрыт")=0,"",ROUND(SUMIFS(Пул!$J$5:$J$300,Пул!$E$5:$E$300,$B34,Пул!$L$5:$L$300,"Закрыт"),8)))</f>
        <v/>
      </c>
      <c r="H34" s="247" t="str">
        <f>IF($B34="","",IF(COUNTIFS(Пул!$E$5:$E$300,$B34,Пул!$L$5:$L$300,"Закрыт")=0,"",ROUND(SUMIFS(Пул!$K$5:$K$300,Пул!$E$5:$E$300,$B34,Пул!$L$5:$L$300,"Закрыт"),8)))</f>
        <v/>
      </c>
      <c r="I34" s="242" t="str">
        <f>IF(AND(ISNUMBER(G34),ISNUMBER(H34)),IF(AND(G34&gt;0,H34&lt;0),"Buy",IF(AND(G34&lt;0,H34&gt;0),"Sell","")),"")</f>
        <v/>
      </c>
      <c r="J34" s="183" t="str">
        <f>IF(I34="Buy",G34,IF(I34="Sell",-G34,""))</f>
        <v/>
      </c>
      <c r="K34" s="183" t="str">
        <f>IF(AND(ISNUMBER(J34),ISNUMBER(L34),N(J34)&lt;&gt;0),ROUND(L34/J34,8),"")</f>
        <v/>
      </c>
      <c r="L34" s="183" t="str">
        <f>IF(I34="Buy",-H34,IF(I34="Sell",H34,""))</f>
        <v/>
      </c>
    </row>
    <row r="35" ht="22" customHeight="1">
      <c r="B35" s="239" t="n"/>
      <c r="C35" s="240" t="str">
        <f>IF($B35="","",IF(COUNTIFS(Пул!$E$5:$E$300,$B35,Пул!$F$5:$F$300,"&lt;&gt;")=0,"",ROUND(SUMIFS(Пул!$F$5:$F$300,Пул!$E$5:$E$300,$B35),8)))</f>
        <v/>
      </c>
      <c r="D35" s="241" t="str">
        <f>IF($B35="","",IF(COUNTIFS(Пул!$E$5:$E$300,$B35,Пул!$G$5:$G$300,"&lt;&gt;")=0,"",ROUND(SUMIFS(Пул!$G$5:$G$300,Пул!$E$5:$E$300,$B35),8)))</f>
        <v/>
      </c>
      <c r="E35" s="240" t="str">
        <f>IF($B35="","",IF(COUNTIFS(Пул!$E$5:$E$300,$B35,Пул!$L$5:$L$300,"Закрыт")=0,"",ROUND(SUMIFS(Пул!$H$5:$H$300,Пул!$E$5:$E$300,$B35,Пул!$L$5:$L$300,"Закрыт"),8)))</f>
        <v/>
      </c>
      <c r="F35" s="241" t="str">
        <f>IF($B35="","",IF(COUNTIFS(Пул!$E$5:$E$300,$B35,Пул!$L$5:$L$300,"Закрыт")=0,"",ROUND(SUMIFS(Пул!$I$5:$I$300,Пул!$E$5:$E$300,$B35,Пул!$L$5:$L$300,"Закрыт"),8)))</f>
        <v/>
      </c>
      <c r="G35" s="240" t="str">
        <f>IF($B35="","",IF(COUNTIFS(Пул!$E$5:$E$300,$B35,Пул!$L$5:$L$300,"Закрыт")=0,"",ROUND(SUMIFS(Пул!$J$5:$J$300,Пул!$E$5:$E$300,$B35,Пул!$L$5:$L$300,"Закрыт"),8)))</f>
        <v/>
      </c>
      <c r="H35" s="241" t="str">
        <f>IF($B35="","",IF(COUNTIFS(Пул!$E$5:$E$300,$B35,Пул!$L$5:$L$300,"Закрыт")=0,"",ROUND(SUMIFS(Пул!$K$5:$K$300,Пул!$E$5:$E$300,$B35,Пул!$L$5:$L$300,"Закрыт"),8)))</f>
        <v/>
      </c>
      <c r="I35" s="236" t="str">
        <f>IF(AND(ISNUMBER(G35),ISNUMBER(H35)),IF(AND(G35&gt;0,H35&lt;0),"Buy",IF(AND(G35&lt;0,H35&gt;0),"Sell","")),"")</f>
        <v/>
      </c>
      <c r="J35" s="177" t="str">
        <f>IF(I35="Buy",G35,IF(I35="Sell",-G35,""))</f>
        <v/>
      </c>
      <c r="K35" s="177" t="str">
        <f>IF(AND(ISNUMBER(J35),ISNUMBER(L35),N(J35)&lt;&gt;0),ROUND(L35/J35,8),"")</f>
        <v/>
      </c>
      <c r="L35" s="177" t="str">
        <f>IF(I35="Buy",-H35,IF(I35="Sell",H35,""))</f>
        <v/>
      </c>
    </row>
    <row r="36" ht="22" customHeight="1">
      <c r="B36" s="245" t="n"/>
      <c r="C36" s="246" t="str">
        <f>IF($B36="","",IF(COUNTIFS(Пул!$E$5:$E$300,$B36,Пул!$F$5:$F$300,"&lt;&gt;")=0,"",ROUND(SUMIFS(Пул!$F$5:$F$300,Пул!$E$5:$E$300,$B36),8)))</f>
        <v/>
      </c>
      <c r="D36" s="247" t="str">
        <f>IF($B36="","",IF(COUNTIFS(Пул!$E$5:$E$300,$B36,Пул!$G$5:$G$300,"&lt;&gt;")=0,"",ROUND(SUMIFS(Пул!$G$5:$G$300,Пул!$E$5:$E$300,$B36),8)))</f>
        <v/>
      </c>
      <c r="E36" s="246" t="str">
        <f>IF($B36="","",IF(COUNTIFS(Пул!$E$5:$E$300,$B36,Пул!$L$5:$L$300,"Закрыт")=0,"",ROUND(SUMIFS(Пул!$H$5:$H$300,Пул!$E$5:$E$300,$B36,Пул!$L$5:$L$300,"Закрыт"),8)))</f>
        <v/>
      </c>
      <c r="F36" s="247" t="str">
        <f>IF($B36="","",IF(COUNTIFS(Пул!$E$5:$E$300,$B36,Пул!$L$5:$L$300,"Закрыт")=0,"",ROUND(SUMIFS(Пул!$I$5:$I$300,Пул!$E$5:$E$300,$B36,Пул!$L$5:$L$300,"Закрыт"),8)))</f>
        <v/>
      </c>
      <c r="G36" s="246" t="str">
        <f>IF($B36="","",IF(COUNTIFS(Пул!$E$5:$E$300,$B36,Пул!$L$5:$L$300,"Закрыт")=0,"",ROUND(SUMIFS(Пул!$J$5:$J$300,Пул!$E$5:$E$300,$B36,Пул!$L$5:$L$300,"Закрыт"),8)))</f>
        <v/>
      </c>
      <c r="H36" s="247" t="str">
        <f>IF($B36="","",IF(COUNTIFS(Пул!$E$5:$E$300,$B36,Пул!$L$5:$L$300,"Закрыт")=0,"",ROUND(SUMIFS(Пул!$K$5:$K$300,Пул!$E$5:$E$300,$B36,Пул!$L$5:$L$300,"Закрыт"),8)))</f>
        <v/>
      </c>
      <c r="I36" s="242" t="str">
        <f>IF(AND(ISNUMBER(G36),ISNUMBER(H36)),IF(AND(G36&gt;0,H36&lt;0),"Buy",IF(AND(G36&lt;0,H36&gt;0),"Sell","")),"")</f>
        <v/>
      </c>
      <c r="J36" s="183" t="str">
        <f>IF(I36="Buy",G36,IF(I36="Sell",-G36,""))</f>
        <v/>
      </c>
      <c r="K36" s="183" t="str">
        <f>IF(AND(ISNUMBER(J36),ISNUMBER(L36),N(J36)&lt;&gt;0),ROUND(L36/J36,8),"")</f>
        <v/>
      </c>
      <c r="L36" s="183" t="str">
        <f>IF(I36="Buy",-H36,IF(I36="Sell",H36,""))</f>
        <v/>
      </c>
    </row>
    <row r="37" ht="22" customHeight="1">
      <c r="B37" s="239" t="n"/>
      <c r="C37" s="240" t="str">
        <f>IF($B37="","",IF(COUNTIFS(Пул!$E$5:$E$300,$B37,Пул!$F$5:$F$300,"&lt;&gt;")=0,"",ROUND(SUMIFS(Пул!$F$5:$F$300,Пул!$E$5:$E$300,$B37),8)))</f>
        <v/>
      </c>
      <c r="D37" s="241" t="str">
        <f>IF($B37="","",IF(COUNTIFS(Пул!$E$5:$E$300,$B37,Пул!$G$5:$G$300,"&lt;&gt;")=0,"",ROUND(SUMIFS(Пул!$G$5:$G$300,Пул!$E$5:$E$300,$B37),8)))</f>
        <v/>
      </c>
      <c r="E37" s="240" t="str">
        <f>IF($B37="","",IF(COUNTIFS(Пул!$E$5:$E$300,$B37,Пул!$L$5:$L$300,"Закрыт")=0,"",ROUND(SUMIFS(Пул!$H$5:$H$300,Пул!$E$5:$E$300,$B37,Пул!$L$5:$L$300,"Закрыт"),8)))</f>
        <v/>
      </c>
      <c r="F37" s="241" t="str">
        <f>IF($B37="","",IF(COUNTIFS(Пул!$E$5:$E$300,$B37,Пул!$L$5:$L$300,"Закрыт")=0,"",ROUND(SUMIFS(Пул!$I$5:$I$300,Пул!$E$5:$E$300,$B37,Пул!$L$5:$L$300,"Закрыт"),8)))</f>
        <v/>
      </c>
      <c r="G37" s="240" t="str">
        <f>IF($B37="","",IF(COUNTIFS(Пул!$E$5:$E$300,$B37,Пул!$L$5:$L$300,"Закрыт")=0,"",ROUND(SUMIFS(Пул!$J$5:$J$300,Пул!$E$5:$E$300,$B37,Пул!$L$5:$L$300,"Закрыт"),8)))</f>
        <v/>
      </c>
      <c r="H37" s="241" t="str">
        <f>IF($B37="","",IF(COUNTIFS(Пул!$E$5:$E$300,$B37,Пул!$L$5:$L$300,"Закрыт")=0,"",ROUND(SUMIFS(Пул!$K$5:$K$300,Пул!$E$5:$E$300,$B37,Пул!$L$5:$L$300,"Закрыт"),8)))</f>
        <v/>
      </c>
      <c r="I37" s="236" t="str">
        <f>IF(AND(ISNUMBER(G37),ISNUMBER(H37)),IF(AND(G37&gt;0,H37&lt;0),"Buy",IF(AND(G37&lt;0,H37&gt;0),"Sell","")),"")</f>
        <v/>
      </c>
      <c r="J37" s="177" t="str">
        <f>IF(I37="Buy",G37,IF(I37="Sell",-G37,""))</f>
        <v/>
      </c>
      <c r="K37" s="177" t="str">
        <f>IF(AND(ISNUMBER(J37),ISNUMBER(L37),N(J37)&lt;&gt;0),ROUND(L37/J37,8),"")</f>
        <v/>
      </c>
      <c r="L37" s="177" t="str">
        <f>IF(I37="Buy",-H37,IF(I37="Sell",H37,""))</f>
        <v/>
      </c>
    </row>
    <row r="38" ht="22" customHeight="1">
      <c r="B38" s="245" t="n"/>
      <c r="C38" s="246" t="str">
        <f>IF($B38="","",IF(COUNTIFS(Пул!$E$5:$E$300,$B38,Пул!$F$5:$F$300,"&lt;&gt;")=0,"",ROUND(SUMIFS(Пул!$F$5:$F$300,Пул!$E$5:$E$300,$B38),8)))</f>
        <v/>
      </c>
      <c r="D38" s="247" t="str">
        <f>IF($B38="","",IF(COUNTIFS(Пул!$E$5:$E$300,$B38,Пул!$G$5:$G$300,"&lt;&gt;")=0,"",ROUND(SUMIFS(Пул!$G$5:$G$300,Пул!$E$5:$E$300,$B38),8)))</f>
        <v/>
      </c>
      <c r="E38" s="246" t="str">
        <f>IF($B38="","",IF(COUNTIFS(Пул!$E$5:$E$300,$B38,Пул!$L$5:$L$300,"Закрыт")=0,"",ROUND(SUMIFS(Пул!$H$5:$H$300,Пул!$E$5:$E$300,$B38,Пул!$L$5:$L$300,"Закрыт"),8)))</f>
        <v/>
      </c>
      <c r="F38" s="247" t="str">
        <f>IF($B38="","",IF(COUNTIFS(Пул!$E$5:$E$300,$B38,Пул!$L$5:$L$300,"Закрыт")=0,"",ROUND(SUMIFS(Пул!$I$5:$I$300,Пул!$E$5:$E$300,$B38,Пул!$L$5:$L$300,"Закрыт"),8)))</f>
        <v/>
      </c>
      <c r="G38" s="246" t="str">
        <f>IF($B38="","",IF(COUNTIFS(Пул!$E$5:$E$300,$B38,Пул!$L$5:$L$300,"Закрыт")=0,"",ROUND(SUMIFS(Пул!$J$5:$J$300,Пул!$E$5:$E$300,$B38,Пул!$L$5:$L$300,"Закрыт"),8)))</f>
        <v/>
      </c>
      <c r="H38" s="247" t="str">
        <f>IF($B38="","",IF(COUNTIFS(Пул!$E$5:$E$300,$B38,Пул!$L$5:$L$300,"Закрыт")=0,"",ROUND(SUMIFS(Пул!$K$5:$K$300,Пул!$E$5:$E$300,$B38,Пул!$L$5:$L$300,"Закрыт"),8)))</f>
        <v/>
      </c>
      <c r="I38" s="242" t="str">
        <f>IF(AND(ISNUMBER(G38),ISNUMBER(H38)),IF(AND(G38&gt;0,H38&lt;0),"Buy",IF(AND(G38&lt;0,H38&gt;0),"Sell","")),"")</f>
        <v/>
      </c>
      <c r="J38" s="183" t="str">
        <f>IF(I38="Buy",G38,IF(I38="Sell",-G38,""))</f>
        <v/>
      </c>
      <c r="K38" s="183" t="str">
        <f>IF(AND(ISNUMBER(J38),ISNUMBER(L38),N(J38)&lt;&gt;0),ROUND(L38/J38,8),"")</f>
        <v/>
      </c>
      <c r="L38" s="183" t="str">
        <f>IF(I38="Buy",-H38,IF(I38="Sell",H38,""))</f>
        <v/>
      </c>
    </row>
    <row r="39" ht="22" customHeight="1">
      <c r="B39" s="239" t="n"/>
      <c r="C39" s="240" t="str">
        <f>IF($B39="","",IF(COUNTIFS(Пул!$E$5:$E$300,$B39,Пул!$F$5:$F$300,"&lt;&gt;")=0,"",ROUND(SUMIFS(Пул!$F$5:$F$300,Пул!$E$5:$E$300,$B39),8)))</f>
        <v/>
      </c>
      <c r="D39" s="241" t="str">
        <f>IF($B39="","",IF(COUNTIFS(Пул!$E$5:$E$300,$B39,Пул!$G$5:$G$300,"&lt;&gt;")=0,"",ROUND(SUMIFS(Пул!$G$5:$G$300,Пул!$E$5:$E$300,$B39),8)))</f>
        <v/>
      </c>
      <c r="E39" s="240" t="str">
        <f>IF($B39="","",IF(COUNTIFS(Пул!$E$5:$E$300,$B39,Пул!$L$5:$L$300,"Закрыт")=0,"",ROUND(SUMIFS(Пул!$H$5:$H$300,Пул!$E$5:$E$300,$B39,Пул!$L$5:$L$300,"Закрыт"),8)))</f>
        <v/>
      </c>
      <c r="F39" s="241" t="str">
        <f>IF($B39="","",IF(COUNTIFS(Пул!$E$5:$E$300,$B39,Пул!$L$5:$L$300,"Закрыт")=0,"",ROUND(SUMIFS(Пул!$I$5:$I$300,Пул!$E$5:$E$300,$B39,Пул!$L$5:$L$300,"Закрыт"),8)))</f>
        <v/>
      </c>
      <c r="G39" s="240" t="str">
        <f>IF($B39="","",IF(COUNTIFS(Пул!$E$5:$E$300,$B39,Пул!$L$5:$L$300,"Закрыт")=0,"",ROUND(SUMIFS(Пул!$J$5:$J$300,Пул!$E$5:$E$300,$B39,Пул!$L$5:$L$300,"Закрыт"),8)))</f>
        <v/>
      </c>
      <c r="H39" s="241" t="str">
        <f>IF($B39="","",IF(COUNTIFS(Пул!$E$5:$E$300,$B39,Пул!$L$5:$L$300,"Закрыт")=0,"",ROUND(SUMIFS(Пул!$K$5:$K$300,Пул!$E$5:$E$300,$B39,Пул!$L$5:$L$300,"Закрыт"),8)))</f>
        <v/>
      </c>
      <c r="I39" s="236" t="str">
        <f>IF(AND(ISNUMBER(G39),ISNUMBER(H39)),IF(AND(G39&gt;0,H39&lt;0),"Buy",IF(AND(G39&lt;0,H39&gt;0),"Sell","")),"")</f>
        <v/>
      </c>
      <c r="J39" s="177" t="str">
        <f>IF(I39="Buy",G39,IF(I39="Sell",-G39,""))</f>
        <v/>
      </c>
      <c r="K39" s="177" t="str">
        <f>IF(AND(ISNUMBER(J39),ISNUMBER(L39),N(J39)&lt;&gt;0),ROUND(L39/J39,8),"")</f>
        <v/>
      </c>
      <c r="L39" s="177" t="str">
        <f>IF(I39="Buy",-H39,IF(I39="Sell",H39,""))</f>
        <v/>
      </c>
    </row>
    <row r="40" ht="22" customHeight="1">
      <c r="B40" s="245" t="n"/>
      <c r="C40" s="246" t="str">
        <f>IF($B40="","",IF(COUNTIFS(Пул!$E$5:$E$300,$B40,Пул!$F$5:$F$300,"&lt;&gt;")=0,"",ROUND(SUMIFS(Пул!$F$5:$F$300,Пул!$E$5:$E$300,$B40),8)))</f>
        <v/>
      </c>
      <c r="D40" s="247" t="str">
        <f>IF($B40="","",IF(COUNTIFS(Пул!$E$5:$E$300,$B40,Пул!$G$5:$G$300,"&lt;&gt;")=0,"",ROUND(SUMIFS(Пул!$G$5:$G$300,Пул!$E$5:$E$300,$B40),8)))</f>
        <v/>
      </c>
      <c r="E40" s="246" t="str">
        <f>IF($B40="","",IF(COUNTIFS(Пул!$E$5:$E$300,$B40,Пул!$L$5:$L$300,"Закрыт")=0,"",ROUND(SUMIFS(Пул!$H$5:$H$300,Пул!$E$5:$E$300,$B40,Пул!$L$5:$L$300,"Закрыт"),8)))</f>
        <v/>
      </c>
      <c r="F40" s="247" t="str">
        <f>IF($B40="","",IF(COUNTIFS(Пул!$E$5:$E$300,$B40,Пул!$L$5:$L$300,"Закрыт")=0,"",ROUND(SUMIFS(Пул!$I$5:$I$300,Пул!$E$5:$E$300,$B40,Пул!$L$5:$L$300,"Закрыт"),8)))</f>
        <v/>
      </c>
      <c r="G40" s="246" t="str">
        <f>IF($B40="","",IF(COUNTIFS(Пул!$E$5:$E$300,$B40,Пул!$L$5:$L$300,"Закрыт")=0,"",ROUND(SUMIFS(Пул!$J$5:$J$300,Пул!$E$5:$E$300,$B40,Пул!$L$5:$L$300,"Закрыт"),8)))</f>
        <v/>
      </c>
      <c r="H40" s="247" t="str">
        <f>IF($B40="","",IF(COUNTIFS(Пул!$E$5:$E$300,$B40,Пул!$L$5:$L$300,"Закрыт")=0,"",ROUND(SUMIFS(Пул!$K$5:$K$300,Пул!$E$5:$E$300,$B40,Пул!$L$5:$L$300,"Закрыт"),8)))</f>
        <v/>
      </c>
      <c r="I40" s="242" t="str">
        <f>IF(AND(ISNUMBER(G40),ISNUMBER(H40)),IF(AND(G40&gt;0,H40&lt;0),"Buy",IF(AND(G40&lt;0,H40&gt;0),"Sell","")),"")</f>
        <v/>
      </c>
      <c r="J40" s="183" t="str">
        <f>IF(I40="Buy",G40,IF(I40="Sell",-G40,""))</f>
        <v/>
      </c>
      <c r="K40" s="183" t="str">
        <f>IF(AND(ISNUMBER(J40),ISNUMBER(L40),N(J40)&lt;&gt;0),ROUND(L40/J40,8),"")</f>
        <v/>
      </c>
      <c r="L40" s="183" t="str">
        <f>IF(I40="Buy",-H40,IF(I40="Sell",H40,""))</f>
        <v/>
      </c>
    </row>
    <row r="41" ht="22" customHeight="1">
      <c r="B41" s="239" t="n"/>
      <c r="C41" s="240" t="str">
        <f>IF($B41="","",IF(COUNTIFS(Пул!$E$5:$E$300,$B41,Пул!$F$5:$F$300,"&lt;&gt;")=0,"",ROUND(SUMIFS(Пул!$F$5:$F$300,Пул!$E$5:$E$300,$B41),8)))</f>
        <v/>
      </c>
      <c r="D41" s="241" t="str">
        <f>IF($B41="","",IF(COUNTIFS(Пул!$E$5:$E$300,$B41,Пул!$G$5:$G$300,"&lt;&gt;")=0,"",ROUND(SUMIFS(Пул!$G$5:$G$300,Пул!$E$5:$E$300,$B41),8)))</f>
        <v/>
      </c>
      <c r="E41" s="240" t="str">
        <f>IF($B41="","",IF(COUNTIFS(Пул!$E$5:$E$300,$B41,Пул!$L$5:$L$300,"Закрыт")=0,"",ROUND(SUMIFS(Пул!$H$5:$H$300,Пул!$E$5:$E$300,$B41,Пул!$L$5:$L$300,"Закрыт"),8)))</f>
        <v/>
      </c>
      <c r="F41" s="241" t="str">
        <f>IF($B41="","",IF(COUNTIFS(Пул!$E$5:$E$300,$B41,Пул!$L$5:$L$300,"Закрыт")=0,"",ROUND(SUMIFS(Пул!$I$5:$I$300,Пул!$E$5:$E$300,$B41,Пул!$L$5:$L$300,"Закрыт"),8)))</f>
        <v/>
      </c>
      <c r="G41" s="240" t="str">
        <f>IF($B41="","",IF(COUNTIFS(Пул!$E$5:$E$300,$B41,Пул!$L$5:$L$300,"Закрыт")=0,"",ROUND(SUMIFS(Пул!$J$5:$J$300,Пул!$E$5:$E$300,$B41,Пул!$L$5:$L$300,"Закрыт"),8)))</f>
        <v/>
      </c>
      <c r="H41" s="241" t="str">
        <f>IF($B41="","",IF(COUNTIFS(Пул!$E$5:$E$300,$B41,Пул!$L$5:$L$300,"Закрыт")=0,"",ROUND(SUMIFS(Пул!$K$5:$K$300,Пул!$E$5:$E$300,$B41,Пул!$L$5:$L$300,"Закрыт"),8)))</f>
        <v/>
      </c>
      <c r="I41" s="236" t="str">
        <f>IF(AND(ISNUMBER(G41),ISNUMBER(H41)),IF(AND(G41&gt;0,H41&lt;0),"Buy",IF(AND(G41&lt;0,H41&gt;0),"Sell","")),"")</f>
        <v/>
      </c>
      <c r="J41" s="177" t="str">
        <f>IF(I41="Buy",G41,IF(I41="Sell",-G41,""))</f>
        <v/>
      </c>
      <c r="K41" s="177" t="str">
        <f>IF(AND(ISNUMBER(J41),ISNUMBER(L41),N(J41)&lt;&gt;0),ROUND(L41/J41,8),"")</f>
        <v/>
      </c>
      <c r="L41" s="177" t="str">
        <f>IF(I41="Buy",-H41,IF(I41="Sell",H41,""))</f>
        <v/>
      </c>
    </row>
    <row r="42" ht="22" customHeight="1">
      <c r="B42" s="245" t="n"/>
      <c r="C42" s="246" t="str">
        <f>IF($B42="","",IF(COUNTIFS(Пул!$E$5:$E$300,$B42,Пул!$F$5:$F$300,"&lt;&gt;")=0,"",ROUND(SUMIFS(Пул!$F$5:$F$300,Пул!$E$5:$E$300,$B42),8)))</f>
        <v/>
      </c>
      <c r="D42" s="247" t="str">
        <f>IF($B42="","",IF(COUNTIFS(Пул!$E$5:$E$300,$B42,Пул!$G$5:$G$300,"&lt;&gt;")=0,"",ROUND(SUMIFS(Пул!$G$5:$G$300,Пул!$E$5:$E$300,$B42),8)))</f>
        <v/>
      </c>
      <c r="E42" s="246" t="str">
        <f>IF($B42="","",IF(COUNTIFS(Пул!$E$5:$E$300,$B42,Пул!$L$5:$L$300,"Закрыт")=0,"",ROUND(SUMIFS(Пул!$H$5:$H$300,Пул!$E$5:$E$300,$B42,Пул!$L$5:$L$300,"Закрыт"),8)))</f>
        <v/>
      </c>
      <c r="F42" s="247" t="str">
        <f>IF($B42="","",IF(COUNTIFS(Пул!$E$5:$E$300,$B42,Пул!$L$5:$L$300,"Закрыт")=0,"",ROUND(SUMIFS(Пул!$I$5:$I$300,Пул!$E$5:$E$300,$B42,Пул!$L$5:$L$300,"Закрыт"),8)))</f>
        <v/>
      </c>
      <c r="G42" s="246" t="str">
        <f>IF($B42="","",IF(COUNTIFS(Пул!$E$5:$E$300,$B42,Пул!$L$5:$L$300,"Закрыт")=0,"",ROUND(SUMIFS(Пул!$J$5:$J$300,Пул!$E$5:$E$300,$B42,Пул!$L$5:$L$300,"Закрыт"),8)))</f>
        <v/>
      </c>
      <c r="H42" s="247" t="str">
        <f>IF($B42="","",IF(COUNTIFS(Пул!$E$5:$E$300,$B42,Пул!$L$5:$L$300,"Закрыт")=0,"",ROUND(SUMIFS(Пул!$K$5:$K$300,Пул!$E$5:$E$300,$B42,Пул!$L$5:$L$300,"Закрыт"),8)))</f>
        <v/>
      </c>
      <c r="I42" s="242" t="str">
        <f>IF(AND(ISNUMBER(G42),ISNUMBER(H42)),IF(AND(G42&gt;0,H42&lt;0),"Buy",IF(AND(G42&lt;0,H42&gt;0),"Sell","")),"")</f>
        <v/>
      </c>
      <c r="J42" s="183" t="str">
        <f>IF(I42="Buy",G42,IF(I42="Sell",-G42,""))</f>
        <v/>
      </c>
      <c r="K42" s="183" t="str">
        <f>IF(AND(ISNUMBER(J42),ISNUMBER(L42),N(J42)&lt;&gt;0),ROUND(L42/J42,8),"")</f>
        <v/>
      </c>
      <c r="L42" s="183" t="str">
        <f>IF(I42="Buy",-H42,IF(I42="Sell",H42,""))</f>
        <v/>
      </c>
    </row>
    <row r="43" ht="22" customHeight="1">
      <c r="B43" s="239" t="n"/>
      <c r="C43" s="240" t="str">
        <f>IF($B43="","",IF(COUNTIFS(Пул!$E$5:$E$300,$B43,Пул!$F$5:$F$300,"&lt;&gt;")=0,"",ROUND(SUMIFS(Пул!$F$5:$F$300,Пул!$E$5:$E$300,$B43),8)))</f>
        <v/>
      </c>
      <c r="D43" s="241" t="str">
        <f>IF($B43="","",IF(COUNTIFS(Пул!$E$5:$E$300,$B43,Пул!$G$5:$G$300,"&lt;&gt;")=0,"",ROUND(SUMIFS(Пул!$G$5:$G$300,Пул!$E$5:$E$300,$B43),8)))</f>
        <v/>
      </c>
      <c r="E43" s="240" t="str">
        <f>IF($B43="","",IF(COUNTIFS(Пул!$E$5:$E$300,$B43,Пул!$L$5:$L$300,"Закрыт")=0,"",ROUND(SUMIFS(Пул!$H$5:$H$300,Пул!$E$5:$E$300,$B43,Пул!$L$5:$L$300,"Закрыт"),8)))</f>
        <v/>
      </c>
      <c r="F43" s="241" t="str">
        <f>IF($B43="","",IF(COUNTIFS(Пул!$E$5:$E$300,$B43,Пул!$L$5:$L$300,"Закрыт")=0,"",ROUND(SUMIFS(Пул!$I$5:$I$300,Пул!$E$5:$E$300,$B43,Пул!$L$5:$L$300,"Закрыт"),8)))</f>
        <v/>
      </c>
      <c r="G43" s="240" t="str">
        <f>IF($B43="","",IF(COUNTIFS(Пул!$E$5:$E$300,$B43,Пул!$L$5:$L$300,"Закрыт")=0,"",ROUND(SUMIFS(Пул!$J$5:$J$300,Пул!$E$5:$E$300,$B43,Пул!$L$5:$L$300,"Закрыт"),8)))</f>
        <v/>
      </c>
      <c r="H43" s="241" t="str">
        <f>IF($B43="","",IF(COUNTIFS(Пул!$E$5:$E$300,$B43,Пул!$L$5:$L$300,"Закрыт")=0,"",ROUND(SUMIFS(Пул!$K$5:$K$300,Пул!$E$5:$E$300,$B43,Пул!$L$5:$L$300,"Закрыт"),8)))</f>
        <v/>
      </c>
      <c r="I43" s="236" t="str">
        <f>IF(AND(ISNUMBER(G43),ISNUMBER(H43)),IF(AND(G43&gt;0,H43&lt;0),"Buy",IF(AND(G43&lt;0,H43&gt;0),"Sell","")),"")</f>
        <v/>
      </c>
      <c r="J43" s="177" t="str">
        <f>IF(I43="Buy",G43,IF(I43="Sell",-G43,""))</f>
        <v/>
      </c>
      <c r="K43" s="177" t="str">
        <f>IF(AND(ISNUMBER(J43),ISNUMBER(L43),N(J43)&lt;&gt;0),ROUND(L43/J43,8),"")</f>
        <v/>
      </c>
      <c r="L43" s="177" t="str">
        <f>IF(I43="Buy",-H43,IF(I43="Sell",H43,""))</f>
        <v/>
      </c>
    </row>
    <row r="44" ht="22" customHeight="1">
      <c r="B44" s="245" t="n"/>
      <c r="C44" s="246" t="str">
        <f>IF($B44="","",IF(COUNTIFS(Пул!$E$5:$E$300,$B44,Пул!$F$5:$F$300,"&lt;&gt;")=0,"",ROUND(SUMIFS(Пул!$F$5:$F$300,Пул!$E$5:$E$300,$B44),8)))</f>
        <v/>
      </c>
      <c r="D44" s="247" t="str">
        <f>IF($B44="","",IF(COUNTIFS(Пул!$E$5:$E$300,$B44,Пул!$G$5:$G$300,"&lt;&gt;")=0,"",ROUND(SUMIFS(Пул!$G$5:$G$300,Пул!$E$5:$E$300,$B44),8)))</f>
        <v/>
      </c>
      <c r="E44" s="246" t="str">
        <f>IF($B44="","",IF(COUNTIFS(Пул!$E$5:$E$300,$B44,Пул!$L$5:$L$300,"Закрыт")=0,"",ROUND(SUMIFS(Пул!$H$5:$H$300,Пул!$E$5:$E$300,$B44,Пул!$L$5:$L$300,"Закрыт"),8)))</f>
        <v/>
      </c>
      <c r="F44" s="247" t="str">
        <f>IF($B44="","",IF(COUNTIFS(Пул!$E$5:$E$300,$B44,Пул!$L$5:$L$300,"Закрыт")=0,"",ROUND(SUMIFS(Пул!$I$5:$I$300,Пул!$E$5:$E$300,$B44,Пул!$L$5:$L$300,"Закрыт"),8)))</f>
        <v/>
      </c>
      <c r="G44" s="246" t="str">
        <f>IF($B44="","",IF(COUNTIFS(Пул!$E$5:$E$300,$B44,Пул!$L$5:$L$300,"Закрыт")=0,"",ROUND(SUMIFS(Пул!$J$5:$J$300,Пул!$E$5:$E$300,$B44,Пул!$L$5:$L$300,"Закрыт"),8)))</f>
        <v/>
      </c>
      <c r="H44" s="247" t="str">
        <f>IF($B44="","",IF(COUNTIFS(Пул!$E$5:$E$300,$B44,Пул!$L$5:$L$300,"Закрыт")=0,"",ROUND(SUMIFS(Пул!$K$5:$K$300,Пул!$E$5:$E$300,$B44,Пул!$L$5:$L$300,"Закрыт"),8)))</f>
        <v/>
      </c>
      <c r="I44" s="242" t="str">
        <f>IF(AND(ISNUMBER(G44),ISNUMBER(H44)),IF(AND(G44&gt;0,H44&lt;0),"Buy",IF(AND(G44&lt;0,H44&gt;0),"Sell","")),"")</f>
        <v/>
      </c>
      <c r="J44" s="183" t="str">
        <f>IF(I44="Buy",G44,IF(I44="Sell",-G44,""))</f>
        <v/>
      </c>
      <c r="K44" s="183" t="str">
        <f>IF(AND(ISNUMBER(J44),ISNUMBER(L44),N(J44)&lt;&gt;0),ROUND(L44/J44,8),"")</f>
        <v/>
      </c>
      <c r="L44" s="183" t="str">
        <f>IF(I44="Buy",-H44,IF(I44="Sell",H44,""))</f>
        <v/>
      </c>
    </row>
    <row r="45" ht="22" customHeight="1">
      <c r="B45" s="239" t="n"/>
      <c r="C45" s="240" t="str">
        <f>IF($B45="","",IF(COUNTIFS(Пул!$E$5:$E$300,$B45,Пул!$F$5:$F$300,"&lt;&gt;")=0,"",ROUND(SUMIFS(Пул!$F$5:$F$300,Пул!$E$5:$E$300,$B45),8)))</f>
        <v/>
      </c>
      <c r="D45" s="241" t="str">
        <f>IF($B45="","",IF(COUNTIFS(Пул!$E$5:$E$300,$B45,Пул!$G$5:$G$300,"&lt;&gt;")=0,"",ROUND(SUMIFS(Пул!$G$5:$G$300,Пул!$E$5:$E$300,$B45),8)))</f>
        <v/>
      </c>
      <c r="E45" s="240" t="str">
        <f>IF($B45="","",IF(COUNTIFS(Пул!$E$5:$E$300,$B45,Пул!$L$5:$L$300,"Закрыт")=0,"",ROUND(SUMIFS(Пул!$H$5:$H$300,Пул!$E$5:$E$300,$B45,Пул!$L$5:$L$300,"Закрыт"),8)))</f>
        <v/>
      </c>
      <c r="F45" s="241" t="str">
        <f>IF($B45="","",IF(COUNTIFS(Пул!$E$5:$E$300,$B45,Пул!$L$5:$L$300,"Закрыт")=0,"",ROUND(SUMIFS(Пул!$I$5:$I$300,Пул!$E$5:$E$300,$B45,Пул!$L$5:$L$300,"Закрыт"),8)))</f>
        <v/>
      </c>
      <c r="G45" s="240" t="str">
        <f>IF($B45="","",IF(COUNTIFS(Пул!$E$5:$E$300,$B45,Пул!$L$5:$L$300,"Закрыт")=0,"",ROUND(SUMIFS(Пул!$J$5:$J$300,Пул!$E$5:$E$300,$B45,Пул!$L$5:$L$300,"Закрыт"),8)))</f>
        <v/>
      </c>
      <c r="H45" s="241" t="str">
        <f>IF($B45="","",IF(COUNTIFS(Пул!$E$5:$E$300,$B45,Пул!$L$5:$L$300,"Закрыт")=0,"",ROUND(SUMIFS(Пул!$K$5:$K$300,Пул!$E$5:$E$300,$B45,Пул!$L$5:$L$300,"Закрыт"),8)))</f>
        <v/>
      </c>
      <c r="I45" s="236" t="str">
        <f>IF(AND(ISNUMBER(G45),ISNUMBER(H45)),IF(AND(G45&gt;0,H45&lt;0),"Buy",IF(AND(G45&lt;0,H45&gt;0),"Sell","")),"")</f>
        <v/>
      </c>
      <c r="J45" s="177" t="str">
        <f>IF(I45="Buy",G45,IF(I45="Sell",-G45,""))</f>
        <v/>
      </c>
      <c r="K45" s="177" t="str">
        <f>IF(AND(ISNUMBER(J45),ISNUMBER(L45),N(J45)&lt;&gt;0),ROUND(L45/J45,8),"")</f>
        <v/>
      </c>
      <c r="L45" s="177" t="str">
        <f>IF(I45="Buy",-H45,IF(I45="Sell",H45,""))</f>
        <v/>
      </c>
    </row>
    <row r="46" ht="22" customHeight="1">
      <c r="B46" s="245" t="n"/>
      <c r="C46" s="246" t="str">
        <f>IF($B46="","",IF(COUNTIFS(Пул!$E$5:$E$300,$B46,Пул!$F$5:$F$300,"&lt;&gt;")=0,"",ROUND(SUMIFS(Пул!$F$5:$F$300,Пул!$E$5:$E$300,$B46),8)))</f>
        <v/>
      </c>
      <c r="D46" s="247" t="str">
        <f>IF($B46="","",IF(COUNTIFS(Пул!$E$5:$E$300,$B46,Пул!$G$5:$G$300,"&lt;&gt;")=0,"",ROUND(SUMIFS(Пул!$G$5:$G$300,Пул!$E$5:$E$300,$B46),8)))</f>
        <v/>
      </c>
      <c r="E46" s="246" t="str">
        <f>IF($B46="","",IF(COUNTIFS(Пул!$E$5:$E$300,$B46,Пул!$L$5:$L$300,"Закрыт")=0,"",ROUND(SUMIFS(Пул!$H$5:$H$300,Пул!$E$5:$E$300,$B46,Пул!$L$5:$L$300,"Закрыт"),8)))</f>
        <v/>
      </c>
      <c r="F46" s="247" t="str">
        <f>IF($B46="","",IF(COUNTIFS(Пул!$E$5:$E$300,$B46,Пул!$L$5:$L$300,"Закрыт")=0,"",ROUND(SUMIFS(Пул!$I$5:$I$300,Пул!$E$5:$E$300,$B46,Пул!$L$5:$L$300,"Закрыт"),8)))</f>
        <v/>
      </c>
      <c r="G46" s="246" t="str">
        <f>IF($B46="","",IF(COUNTIFS(Пул!$E$5:$E$300,$B46,Пул!$L$5:$L$300,"Закрыт")=0,"",ROUND(SUMIFS(Пул!$J$5:$J$300,Пул!$E$5:$E$300,$B46,Пул!$L$5:$L$300,"Закрыт"),8)))</f>
        <v/>
      </c>
      <c r="H46" s="247" t="str">
        <f>IF($B46="","",IF(COUNTIFS(Пул!$E$5:$E$300,$B46,Пул!$L$5:$L$300,"Закрыт")=0,"",ROUND(SUMIFS(Пул!$K$5:$K$300,Пул!$E$5:$E$300,$B46,Пул!$L$5:$L$300,"Закрыт"),8)))</f>
        <v/>
      </c>
      <c r="I46" s="242" t="str">
        <f>IF(AND(ISNUMBER(G46),ISNUMBER(H46)),IF(AND(G46&gt;0,H46&lt;0),"Buy",IF(AND(G46&lt;0,H46&gt;0),"Sell","")),"")</f>
        <v/>
      </c>
      <c r="J46" s="183" t="str">
        <f>IF(I46="Buy",G46,IF(I46="Sell",-G46,""))</f>
        <v/>
      </c>
      <c r="K46" s="183" t="str">
        <f>IF(AND(ISNUMBER(J46),ISNUMBER(L46),N(J46)&lt;&gt;0),ROUND(L46/J46,8),"")</f>
        <v/>
      </c>
      <c r="L46" s="183" t="str">
        <f>IF(I46="Buy",-H46,IF(I46="Sell",H46,""))</f>
        <v/>
      </c>
    </row>
    <row r="47" ht="22" customHeight="1">
      <c r="B47" s="239" t="n"/>
      <c r="C47" s="240" t="str">
        <f>IF($B47="","",IF(COUNTIFS(Пул!$E$5:$E$300,$B47,Пул!$F$5:$F$300,"&lt;&gt;")=0,"",ROUND(SUMIFS(Пул!$F$5:$F$300,Пул!$E$5:$E$300,$B47),8)))</f>
        <v/>
      </c>
      <c r="D47" s="241" t="str">
        <f>IF($B47="","",IF(COUNTIFS(Пул!$E$5:$E$300,$B47,Пул!$G$5:$G$300,"&lt;&gt;")=0,"",ROUND(SUMIFS(Пул!$G$5:$G$300,Пул!$E$5:$E$300,$B47),8)))</f>
        <v/>
      </c>
      <c r="E47" s="240" t="str">
        <f>IF($B47="","",IF(COUNTIFS(Пул!$E$5:$E$300,$B47,Пул!$L$5:$L$300,"Закрыт")=0,"",ROUND(SUMIFS(Пул!$H$5:$H$300,Пул!$E$5:$E$300,$B47,Пул!$L$5:$L$300,"Закрыт"),8)))</f>
        <v/>
      </c>
      <c r="F47" s="241" t="str">
        <f>IF($B47="","",IF(COUNTIFS(Пул!$E$5:$E$300,$B47,Пул!$L$5:$L$300,"Закрыт")=0,"",ROUND(SUMIFS(Пул!$I$5:$I$300,Пул!$E$5:$E$300,$B47,Пул!$L$5:$L$300,"Закрыт"),8)))</f>
        <v/>
      </c>
      <c r="G47" s="240" t="str">
        <f>IF($B47="","",IF(COUNTIFS(Пул!$E$5:$E$300,$B47,Пул!$L$5:$L$300,"Закрыт")=0,"",ROUND(SUMIFS(Пул!$J$5:$J$300,Пул!$E$5:$E$300,$B47,Пул!$L$5:$L$300,"Закрыт"),8)))</f>
        <v/>
      </c>
      <c r="H47" s="241" t="str">
        <f>IF($B47="","",IF(COUNTIFS(Пул!$E$5:$E$300,$B47,Пул!$L$5:$L$300,"Закрыт")=0,"",ROUND(SUMIFS(Пул!$K$5:$K$300,Пул!$E$5:$E$300,$B47,Пул!$L$5:$L$300,"Закрыт"),8)))</f>
        <v/>
      </c>
      <c r="I47" s="236" t="str">
        <f>IF(AND(ISNUMBER(G47),ISNUMBER(H47)),IF(AND(G47&gt;0,H47&lt;0),"Buy",IF(AND(G47&lt;0,H47&gt;0),"Sell","")),"")</f>
        <v/>
      </c>
      <c r="J47" s="177" t="str">
        <f>IF(I47="Buy",G47,IF(I47="Sell",-G47,""))</f>
        <v/>
      </c>
      <c r="K47" s="177" t="str">
        <f>IF(AND(ISNUMBER(J47),ISNUMBER(L47),N(J47)&lt;&gt;0),ROUND(L47/J47,8),"")</f>
        <v/>
      </c>
      <c r="L47" s="177" t="str">
        <f>IF(I47="Buy",-H47,IF(I47="Sell",H47,""))</f>
        <v/>
      </c>
    </row>
    <row r="48" ht="22" customHeight="1">
      <c r="B48" s="245" t="n"/>
      <c r="C48" s="246" t="str">
        <f>IF($B48="","",IF(COUNTIFS(Пул!$E$5:$E$300,$B48,Пул!$F$5:$F$300,"&lt;&gt;")=0,"",ROUND(SUMIFS(Пул!$F$5:$F$300,Пул!$E$5:$E$300,$B48),8)))</f>
        <v/>
      </c>
      <c r="D48" s="247" t="str">
        <f>IF($B48="","",IF(COUNTIFS(Пул!$E$5:$E$300,$B48,Пул!$G$5:$G$300,"&lt;&gt;")=0,"",ROUND(SUMIFS(Пул!$G$5:$G$300,Пул!$E$5:$E$300,$B48),8)))</f>
        <v/>
      </c>
      <c r="E48" s="246" t="str">
        <f>IF($B48="","",IF(COUNTIFS(Пул!$E$5:$E$300,$B48,Пул!$L$5:$L$300,"Закрыт")=0,"",ROUND(SUMIFS(Пул!$H$5:$H$300,Пул!$E$5:$E$300,$B48,Пул!$L$5:$L$300,"Закрыт"),8)))</f>
        <v/>
      </c>
      <c r="F48" s="247" t="str">
        <f>IF($B48="","",IF(COUNTIFS(Пул!$E$5:$E$300,$B48,Пул!$L$5:$L$300,"Закрыт")=0,"",ROUND(SUMIFS(Пул!$I$5:$I$300,Пул!$E$5:$E$300,$B48,Пул!$L$5:$L$300,"Закрыт"),8)))</f>
        <v/>
      </c>
      <c r="G48" s="246" t="str">
        <f>IF($B48="","",IF(COUNTIFS(Пул!$E$5:$E$300,$B48,Пул!$L$5:$L$300,"Закрыт")=0,"",ROUND(SUMIFS(Пул!$J$5:$J$300,Пул!$E$5:$E$300,$B48,Пул!$L$5:$L$300,"Закрыт"),8)))</f>
        <v/>
      </c>
      <c r="H48" s="247" t="str">
        <f>IF($B48="","",IF(COUNTIFS(Пул!$E$5:$E$300,$B48,Пул!$L$5:$L$300,"Закрыт")=0,"",ROUND(SUMIFS(Пул!$K$5:$K$300,Пул!$E$5:$E$300,$B48,Пул!$L$5:$L$300,"Закрыт"),8)))</f>
        <v/>
      </c>
      <c r="I48" s="242" t="str">
        <f>IF(AND(ISNUMBER(G48),ISNUMBER(H48)),IF(AND(G48&gt;0,H48&lt;0),"Buy",IF(AND(G48&lt;0,H48&gt;0),"Sell","")),"")</f>
        <v/>
      </c>
      <c r="J48" s="183" t="str">
        <f>IF(I48="Buy",G48,IF(I48="Sell",-G48,""))</f>
        <v/>
      </c>
      <c r="K48" s="183" t="str">
        <f>IF(AND(ISNUMBER(J48),ISNUMBER(L48),N(J48)&lt;&gt;0),ROUND(L48/J48,8),"")</f>
        <v/>
      </c>
      <c r="L48" s="183" t="str">
        <f>IF(I48="Buy",-H48,IF(I48="Sell",H48,""))</f>
        <v/>
      </c>
    </row>
    <row r="49" ht="22" customHeight="1">
      <c r="B49" s="239" t="n"/>
      <c r="C49" s="240" t="str">
        <f>IF($B49="","",IF(COUNTIFS(Пул!$E$5:$E$300,$B49,Пул!$F$5:$F$300,"&lt;&gt;")=0,"",ROUND(SUMIFS(Пул!$F$5:$F$300,Пул!$E$5:$E$300,$B49),8)))</f>
        <v/>
      </c>
      <c r="D49" s="241" t="str">
        <f>IF($B49="","",IF(COUNTIFS(Пул!$E$5:$E$300,$B49,Пул!$G$5:$G$300,"&lt;&gt;")=0,"",ROUND(SUMIFS(Пул!$G$5:$G$300,Пул!$E$5:$E$300,$B49),8)))</f>
        <v/>
      </c>
      <c r="E49" s="240" t="str">
        <f>IF($B49="","",IF(COUNTIFS(Пул!$E$5:$E$300,$B49,Пул!$L$5:$L$300,"Закрыт")=0,"",ROUND(SUMIFS(Пул!$H$5:$H$300,Пул!$E$5:$E$300,$B49,Пул!$L$5:$L$300,"Закрыт"),8)))</f>
        <v/>
      </c>
      <c r="F49" s="241" t="str">
        <f>IF($B49="","",IF(COUNTIFS(Пул!$E$5:$E$300,$B49,Пул!$L$5:$L$300,"Закрыт")=0,"",ROUND(SUMIFS(Пул!$I$5:$I$300,Пул!$E$5:$E$300,$B49,Пул!$L$5:$L$300,"Закрыт"),8)))</f>
        <v/>
      </c>
      <c r="G49" s="240" t="str">
        <f>IF($B49="","",IF(COUNTIFS(Пул!$E$5:$E$300,$B49,Пул!$L$5:$L$300,"Закрыт")=0,"",ROUND(SUMIFS(Пул!$J$5:$J$300,Пул!$E$5:$E$300,$B49,Пул!$L$5:$L$300,"Закрыт"),8)))</f>
        <v/>
      </c>
      <c r="H49" s="241" t="str">
        <f>IF($B49="","",IF(COUNTIFS(Пул!$E$5:$E$300,$B49,Пул!$L$5:$L$300,"Закрыт")=0,"",ROUND(SUMIFS(Пул!$K$5:$K$300,Пул!$E$5:$E$300,$B49,Пул!$L$5:$L$300,"Закрыт"),8)))</f>
        <v/>
      </c>
      <c r="I49" s="236" t="str">
        <f>IF(AND(ISNUMBER(G49),ISNUMBER(H49)),IF(AND(G49&gt;0,H49&lt;0),"Buy",IF(AND(G49&lt;0,H49&gt;0),"Sell","")),"")</f>
        <v/>
      </c>
      <c r="J49" s="177" t="str">
        <f>IF(I49="Buy",G49,IF(I49="Sell",-G49,""))</f>
        <v/>
      </c>
      <c r="K49" s="177" t="str">
        <f>IF(AND(ISNUMBER(J49),ISNUMBER(L49),N(J49)&lt;&gt;0),ROUND(L49/J49,8),"")</f>
        <v/>
      </c>
      <c r="L49" s="177" t="str">
        <f>IF(I49="Buy",-H49,IF(I49="Sell",H49,""))</f>
        <v/>
      </c>
    </row>
    <row r="50" ht="22" customHeight="1">
      <c r="B50" s="245" t="n"/>
      <c r="C50" s="246" t="str">
        <f>IF($B50="","",IF(COUNTIFS(Пул!$E$5:$E$300,$B50,Пул!$F$5:$F$300,"&lt;&gt;")=0,"",ROUND(SUMIFS(Пул!$F$5:$F$300,Пул!$E$5:$E$300,$B50),8)))</f>
        <v/>
      </c>
      <c r="D50" s="247" t="str">
        <f>IF($B50="","",IF(COUNTIFS(Пул!$E$5:$E$300,$B50,Пул!$G$5:$G$300,"&lt;&gt;")=0,"",ROUND(SUMIFS(Пул!$G$5:$G$300,Пул!$E$5:$E$300,$B50),8)))</f>
        <v/>
      </c>
      <c r="E50" s="246" t="str">
        <f>IF($B50="","",IF(COUNTIFS(Пул!$E$5:$E$300,$B50,Пул!$L$5:$L$300,"Закрыт")=0,"",ROUND(SUMIFS(Пул!$H$5:$H$300,Пул!$E$5:$E$300,$B50,Пул!$L$5:$L$300,"Закрыт"),8)))</f>
        <v/>
      </c>
      <c r="F50" s="247" t="str">
        <f>IF($B50="","",IF(COUNTIFS(Пул!$E$5:$E$300,$B50,Пул!$L$5:$L$300,"Закрыт")=0,"",ROUND(SUMIFS(Пул!$I$5:$I$300,Пул!$E$5:$E$300,$B50,Пул!$L$5:$L$300,"Закрыт"),8)))</f>
        <v/>
      </c>
      <c r="G50" s="246" t="str">
        <f>IF($B50="","",IF(COUNTIFS(Пул!$E$5:$E$300,$B50,Пул!$L$5:$L$300,"Закрыт")=0,"",ROUND(SUMIFS(Пул!$J$5:$J$300,Пул!$E$5:$E$300,$B50,Пул!$L$5:$L$300,"Закрыт"),8)))</f>
        <v/>
      </c>
      <c r="H50" s="247" t="str">
        <f>IF($B50="","",IF(COUNTIFS(Пул!$E$5:$E$300,$B50,Пул!$L$5:$L$300,"Закрыт")=0,"",ROUND(SUMIFS(Пул!$K$5:$K$300,Пул!$E$5:$E$300,$B50,Пул!$L$5:$L$300,"Закрыт"),8)))</f>
        <v/>
      </c>
      <c r="I50" s="242" t="str">
        <f>IF(AND(ISNUMBER(G50),ISNUMBER(H50)),IF(AND(G50&gt;0,H50&lt;0),"Buy",IF(AND(G50&lt;0,H50&gt;0),"Sell","")),"")</f>
        <v/>
      </c>
      <c r="J50" s="183" t="str">
        <f>IF(I50="Buy",G50,IF(I50="Sell",-G50,""))</f>
        <v/>
      </c>
      <c r="K50" s="183" t="str">
        <f>IF(AND(ISNUMBER(J50),ISNUMBER(L50),N(J50)&lt;&gt;0),ROUND(L50/J50,8),"")</f>
        <v/>
      </c>
      <c r="L50" s="183" t="str">
        <f>IF(I50="Buy",-H50,IF(I50="Sell",H50,""))</f>
        <v/>
      </c>
    </row>
    <row r="51" ht="22" customHeight="1">
      <c r="B51" s="239" t="n"/>
      <c r="C51" s="240" t="str">
        <f>IF($B51="","",IF(COUNTIFS(Пул!$E$5:$E$300,$B51,Пул!$F$5:$F$300,"&lt;&gt;")=0,"",ROUND(SUMIFS(Пул!$F$5:$F$300,Пул!$E$5:$E$300,$B51),8)))</f>
        <v/>
      </c>
      <c r="D51" s="241" t="str">
        <f>IF($B51="","",IF(COUNTIFS(Пул!$E$5:$E$300,$B51,Пул!$G$5:$G$300,"&lt;&gt;")=0,"",ROUND(SUMIFS(Пул!$G$5:$G$300,Пул!$E$5:$E$300,$B51),8)))</f>
        <v/>
      </c>
      <c r="E51" s="240" t="str">
        <f>IF($B51="","",IF(COUNTIFS(Пул!$E$5:$E$300,$B51,Пул!$L$5:$L$300,"Закрыт")=0,"",ROUND(SUMIFS(Пул!$H$5:$H$300,Пул!$E$5:$E$300,$B51,Пул!$L$5:$L$300,"Закрыт"),8)))</f>
        <v/>
      </c>
      <c r="F51" s="241" t="str">
        <f>IF($B51="","",IF(COUNTIFS(Пул!$E$5:$E$300,$B51,Пул!$L$5:$L$300,"Закрыт")=0,"",ROUND(SUMIFS(Пул!$I$5:$I$300,Пул!$E$5:$E$300,$B51,Пул!$L$5:$L$300,"Закрыт"),8)))</f>
        <v/>
      </c>
      <c r="G51" s="240" t="str">
        <f>IF($B51="","",IF(COUNTIFS(Пул!$E$5:$E$300,$B51,Пул!$L$5:$L$300,"Закрыт")=0,"",ROUND(SUMIFS(Пул!$J$5:$J$300,Пул!$E$5:$E$300,$B51,Пул!$L$5:$L$300,"Закрыт"),8)))</f>
        <v/>
      </c>
      <c r="H51" s="241" t="str">
        <f>IF($B51="","",IF(COUNTIFS(Пул!$E$5:$E$300,$B51,Пул!$L$5:$L$300,"Закрыт")=0,"",ROUND(SUMIFS(Пул!$K$5:$K$300,Пул!$E$5:$E$300,$B51,Пул!$L$5:$L$300,"Закрыт"),8)))</f>
        <v/>
      </c>
      <c r="I51" s="236" t="str">
        <f>IF(AND(ISNUMBER(G51),ISNUMBER(H51)),IF(AND(G51&gt;0,H51&lt;0),"Buy",IF(AND(G51&lt;0,H51&gt;0),"Sell","")),"")</f>
        <v/>
      </c>
      <c r="J51" s="177" t="str">
        <f>IF(I51="Buy",G51,IF(I51="Sell",-G51,""))</f>
        <v/>
      </c>
      <c r="K51" s="177" t="str">
        <f>IF(AND(ISNUMBER(J51),ISNUMBER(L51),N(J51)&lt;&gt;0),ROUND(L51/J51,8),"")</f>
        <v/>
      </c>
      <c r="L51" s="177" t="str">
        <f>IF(I51="Buy",-H51,IF(I51="Sell",H51,""))</f>
        <v/>
      </c>
    </row>
    <row r="52" ht="22" customHeight="1">
      <c r="B52" s="245" t="n"/>
      <c r="C52" s="246" t="str">
        <f>IF($B52="","",IF(COUNTIFS(Пул!$E$5:$E$300,$B52,Пул!$F$5:$F$300,"&lt;&gt;")=0,"",ROUND(SUMIFS(Пул!$F$5:$F$300,Пул!$E$5:$E$300,$B52),8)))</f>
        <v/>
      </c>
      <c r="D52" s="247" t="str">
        <f>IF($B52="","",IF(COUNTIFS(Пул!$E$5:$E$300,$B52,Пул!$G$5:$G$300,"&lt;&gt;")=0,"",ROUND(SUMIFS(Пул!$G$5:$G$300,Пул!$E$5:$E$300,$B52),8)))</f>
        <v/>
      </c>
      <c r="E52" s="246" t="str">
        <f>IF($B52="","",IF(COUNTIFS(Пул!$E$5:$E$300,$B52,Пул!$L$5:$L$300,"Закрыт")=0,"",ROUND(SUMIFS(Пул!$H$5:$H$300,Пул!$E$5:$E$300,$B52,Пул!$L$5:$L$300,"Закрыт"),8)))</f>
        <v/>
      </c>
      <c r="F52" s="247" t="str">
        <f>IF($B52="","",IF(COUNTIFS(Пул!$E$5:$E$300,$B52,Пул!$L$5:$L$300,"Закрыт")=0,"",ROUND(SUMIFS(Пул!$I$5:$I$300,Пул!$E$5:$E$300,$B52,Пул!$L$5:$L$300,"Закрыт"),8)))</f>
        <v/>
      </c>
      <c r="G52" s="246" t="str">
        <f>IF($B52="","",IF(COUNTIFS(Пул!$E$5:$E$300,$B52,Пул!$L$5:$L$300,"Закрыт")=0,"",ROUND(SUMIFS(Пул!$J$5:$J$300,Пул!$E$5:$E$300,$B52,Пул!$L$5:$L$300,"Закрыт"),8)))</f>
        <v/>
      </c>
      <c r="H52" s="247" t="str">
        <f>IF($B52="","",IF(COUNTIFS(Пул!$E$5:$E$300,$B52,Пул!$L$5:$L$300,"Закрыт")=0,"",ROUND(SUMIFS(Пул!$K$5:$K$300,Пул!$E$5:$E$300,$B52,Пул!$L$5:$L$300,"Закрыт"),8)))</f>
        <v/>
      </c>
      <c r="I52" s="242" t="str">
        <f>IF(AND(ISNUMBER(G52),ISNUMBER(H52)),IF(AND(G52&gt;0,H52&lt;0),"Buy",IF(AND(G52&lt;0,H52&gt;0),"Sell","")),"")</f>
        <v/>
      </c>
      <c r="J52" s="183" t="str">
        <f>IF(I52="Buy",G52,IF(I52="Sell",-G52,""))</f>
        <v/>
      </c>
      <c r="K52" s="183" t="str">
        <f>IF(AND(ISNUMBER(J52),ISNUMBER(L52),N(J52)&lt;&gt;0),ROUND(L52/J52,8),"")</f>
        <v/>
      </c>
      <c r="L52" s="183" t="str">
        <f>IF(I52="Buy",-H52,IF(I52="Sell",H52,""))</f>
        <v/>
      </c>
    </row>
    <row r="53" ht="22" customHeight="1">
      <c r="B53" s="239" t="n"/>
      <c r="C53" s="240" t="str">
        <f>IF($B53="","",IF(COUNTIFS(Пул!$E$5:$E$300,$B53,Пул!$F$5:$F$300,"&lt;&gt;")=0,"",ROUND(SUMIFS(Пул!$F$5:$F$300,Пул!$E$5:$E$300,$B53),8)))</f>
        <v/>
      </c>
      <c r="D53" s="241" t="str">
        <f>IF($B53="","",IF(COUNTIFS(Пул!$E$5:$E$300,$B53,Пул!$G$5:$G$300,"&lt;&gt;")=0,"",ROUND(SUMIFS(Пул!$G$5:$G$300,Пул!$E$5:$E$300,$B53),8)))</f>
        <v/>
      </c>
      <c r="E53" s="240" t="str">
        <f>IF($B53="","",IF(COUNTIFS(Пул!$E$5:$E$300,$B53,Пул!$L$5:$L$300,"Закрыт")=0,"",ROUND(SUMIFS(Пул!$H$5:$H$300,Пул!$E$5:$E$300,$B53,Пул!$L$5:$L$300,"Закрыт"),8)))</f>
        <v/>
      </c>
      <c r="F53" s="241" t="str">
        <f>IF($B53="","",IF(COUNTIFS(Пул!$E$5:$E$300,$B53,Пул!$L$5:$L$300,"Закрыт")=0,"",ROUND(SUMIFS(Пул!$I$5:$I$300,Пул!$E$5:$E$300,$B53,Пул!$L$5:$L$300,"Закрыт"),8)))</f>
        <v/>
      </c>
      <c r="G53" s="240" t="str">
        <f>IF($B53="","",IF(COUNTIFS(Пул!$E$5:$E$300,$B53,Пул!$L$5:$L$300,"Закрыт")=0,"",ROUND(SUMIFS(Пул!$J$5:$J$300,Пул!$E$5:$E$300,$B53,Пул!$L$5:$L$300,"Закрыт"),8)))</f>
        <v/>
      </c>
      <c r="H53" s="241" t="str">
        <f>IF($B53="","",IF(COUNTIFS(Пул!$E$5:$E$300,$B53,Пул!$L$5:$L$300,"Закрыт")=0,"",ROUND(SUMIFS(Пул!$K$5:$K$300,Пул!$E$5:$E$300,$B53,Пул!$L$5:$L$300,"Закрыт"),8)))</f>
        <v/>
      </c>
      <c r="I53" s="236" t="str">
        <f>IF(AND(ISNUMBER(G53),ISNUMBER(H53)),IF(AND(G53&gt;0,H53&lt;0),"Buy",IF(AND(G53&lt;0,H53&gt;0),"Sell","")),"")</f>
        <v/>
      </c>
      <c r="J53" s="177" t="str">
        <f>IF(I53="Buy",G53,IF(I53="Sell",-G53,""))</f>
        <v/>
      </c>
      <c r="K53" s="177" t="str">
        <f>IF(AND(ISNUMBER(J53),ISNUMBER(L53),N(J53)&lt;&gt;0),ROUND(L53/J53,8),"")</f>
        <v/>
      </c>
      <c r="L53" s="177" t="str">
        <f>IF(I53="Buy",-H53,IF(I53="Sell",H53,""))</f>
        <v/>
      </c>
    </row>
    <row r="54" ht="22" customHeight="1">
      <c r="B54" s="245" t="n"/>
      <c r="C54" s="246" t="str">
        <f>IF($B54="","",IF(COUNTIFS(Пул!$E$5:$E$300,$B54,Пул!$F$5:$F$300,"&lt;&gt;")=0,"",ROUND(SUMIFS(Пул!$F$5:$F$300,Пул!$E$5:$E$300,$B54),8)))</f>
        <v/>
      </c>
      <c r="D54" s="247" t="str">
        <f>IF($B54="","",IF(COUNTIFS(Пул!$E$5:$E$300,$B54,Пул!$G$5:$G$300,"&lt;&gt;")=0,"",ROUND(SUMIFS(Пул!$G$5:$G$300,Пул!$E$5:$E$300,$B54),8)))</f>
        <v/>
      </c>
      <c r="E54" s="246" t="str">
        <f>IF($B54="","",IF(COUNTIFS(Пул!$E$5:$E$300,$B54,Пул!$L$5:$L$300,"Закрыт")=0,"",ROUND(SUMIFS(Пул!$H$5:$H$300,Пул!$E$5:$E$300,$B54,Пул!$L$5:$L$300,"Закрыт"),8)))</f>
        <v/>
      </c>
      <c r="F54" s="247" t="str">
        <f>IF($B54="","",IF(COUNTIFS(Пул!$E$5:$E$300,$B54,Пул!$L$5:$L$300,"Закрыт")=0,"",ROUND(SUMIFS(Пул!$I$5:$I$300,Пул!$E$5:$E$300,$B54,Пул!$L$5:$L$300,"Закрыт"),8)))</f>
        <v/>
      </c>
      <c r="G54" s="246" t="str">
        <f>IF($B54="","",IF(COUNTIFS(Пул!$E$5:$E$300,$B54,Пул!$L$5:$L$300,"Закрыт")=0,"",ROUND(SUMIFS(Пул!$J$5:$J$300,Пул!$E$5:$E$300,$B54,Пул!$L$5:$L$300,"Закрыт"),8)))</f>
        <v/>
      </c>
      <c r="H54" s="247" t="str">
        <f>IF($B54="","",IF(COUNTIFS(Пул!$E$5:$E$300,$B54,Пул!$L$5:$L$300,"Закрыт")=0,"",ROUND(SUMIFS(Пул!$K$5:$K$300,Пул!$E$5:$E$300,$B54,Пул!$L$5:$L$300,"Закрыт"),8)))</f>
        <v/>
      </c>
      <c r="I54" s="242" t="str">
        <f>IF(AND(ISNUMBER(G54),ISNUMBER(H54)),IF(AND(G54&gt;0,H54&lt;0),"Buy",IF(AND(G54&lt;0,H54&gt;0),"Sell","")),"")</f>
        <v/>
      </c>
      <c r="J54" s="183" t="str">
        <f>IF(I54="Buy",G54,IF(I54="Sell",-G54,""))</f>
        <v/>
      </c>
      <c r="K54" s="183" t="str">
        <f>IF(AND(ISNUMBER(J54),ISNUMBER(L54),N(J54)&lt;&gt;0),ROUND(L54/J54,8),"")</f>
        <v/>
      </c>
      <c r="L54" s="183" t="str">
        <f>IF(I54="Buy",-H54,IF(I54="Sell",H54,""))</f>
        <v/>
      </c>
    </row>
    <row r="55" ht="22" customHeight="1">
      <c r="B55" s="239" t="n"/>
      <c r="C55" s="240" t="str">
        <f>IF($B55="","",IF(COUNTIFS(Пул!$E$5:$E$300,$B55,Пул!$F$5:$F$300,"&lt;&gt;")=0,"",ROUND(SUMIFS(Пул!$F$5:$F$300,Пул!$E$5:$E$300,$B55),8)))</f>
        <v/>
      </c>
      <c r="D55" s="241" t="str">
        <f>IF($B55="","",IF(COUNTIFS(Пул!$E$5:$E$300,$B55,Пул!$G$5:$G$300,"&lt;&gt;")=0,"",ROUND(SUMIFS(Пул!$G$5:$G$300,Пул!$E$5:$E$300,$B55),8)))</f>
        <v/>
      </c>
      <c r="E55" s="240" t="str">
        <f>IF($B55="","",IF(COUNTIFS(Пул!$E$5:$E$300,$B55,Пул!$L$5:$L$300,"Закрыт")=0,"",ROUND(SUMIFS(Пул!$H$5:$H$300,Пул!$E$5:$E$300,$B55,Пул!$L$5:$L$300,"Закрыт"),8)))</f>
        <v/>
      </c>
      <c r="F55" s="241" t="str">
        <f>IF($B55="","",IF(COUNTIFS(Пул!$E$5:$E$300,$B55,Пул!$L$5:$L$300,"Закрыт")=0,"",ROUND(SUMIFS(Пул!$I$5:$I$300,Пул!$E$5:$E$300,$B55,Пул!$L$5:$L$300,"Закрыт"),8)))</f>
        <v/>
      </c>
      <c r="G55" s="240" t="str">
        <f>IF($B55="","",IF(COUNTIFS(Пул!$E$5:$E$300,$B55,Пул!$L$5:$L$300,"Закрыт")=0,"",ROUND(SUMIFS(Пул!$J$5:$J$300,Пул!$E$5:$E$300,$B55,Пул!$L$5:$L$300,"Закрыт"),8)))</f>
        <v/>
      </c>
      <c r="H55" s="241" t="str">
        <f>IF($B55="","",IF(COUNTIFS(Пул!$E$5:$E$300,$B55,Пул!$L$5:$L$300,"Закрыт")=0,"",ROUND(SUMIFS(Пул!$K$5:$K$300,Пул!$E$5:$E$300,$B55,Пул!$L$5:$L$300,"Закрыт"),8)))</f>
        <v/>
      </c>
      <c r="I55" s="236" t="str">
        <f>IF(AND(ISNUMBER(G55),ISNUMBER(H55)),IF(AND(G55&gt;0,H55&lt;0),"Buy",IF(AND(G55&lt;0,H55&gt;0),"Sell","")),"")</f>
        <v/>
      </c>
      <c r="J55" s="177" t="str">
        <f>IF(I55="Buy",G55,IF(I55="Sell",-G55,""))</f>
        <v/>
      </c>
      <c r="K55" s="177" t="str">
        <f>IF(AND(ISNUMBER(J55),ISNUMBER(L55),N(J55)&lt;&gt;0),ROUND(L55/J55,8),"")</f>
        <v/>
      </c>
      <c r="L55" s="177" t="str">
        <f>IF(I55="Buy",-H55,IF(I55="Sell",H55,""))</f>
        <v/>
      </c>
    </row>
    <row r="56" ht="22" customHeight="1">
      <c r="B56" s="245" t="n"/>
      <c r="C56" s="246" t="str">
        <f>IF($B56="","",IF(COUNTIFS(Пул!$E$5:$E$300,$B56,Пул!$F$5:$F$300,"&lt;&gt;")=0,"",ROUND(SUMIFS(Пул!$F$5:$F$300,Пул!$E$5:$E$300,$B56),8)))</f>
        <v/>
      </c>
      <c r="D56" s="247" t="str">
        <f>IF($B56="","",IF(COUNTIFS(Пул!$E$5:$E$300,$B56,Пул!$G$5:$G$300,"&lt;&gt;")=0,"",ROUND(SUMIFS(Пул!$G$5:$G$300,Пул!$E$5:$E$300,$B56),8)))</f>
        <v/>
      </c>
      <c r="E56" s="246" t="str">
        <f>IF($B56="","",IF(COUNTIFS(Пул!$E$5:$E$300,$B56,Пул!$L$5:$L$300,"Закрыт")=0,"",ROUND(SUMIFS(Пул!$H$5:$H$300,Пул!$E$5:$E$300,$B56,Пул!$L$5:$L$300,"Закрыт"),8)))</f>
        <v/>
      </c>
      <c r="F56" s="247" t="str">
        <f>IF($B56="","",IF(COUNTIFS(Пул!$E$5:$E$300,$B56,Пул!$L$5:$L$300,"Закрыт")=0,"",ROUND(SUMIFS(Пул!$I$5:$I$300,Пул!$E$5:$E$300,$B56,Пул!$L$5:$L$300,"Закрыт"),8)))</f>
        <v/>
      </c>
      <c r="G56" s="246" t="str">
        <f>IF($B56="","",IF(COUNTIFS(Пул!$E$5:$E$300,$B56,Пул!$L$5:$L$300,"Закрыт")=0,"",ROUND(SUMIFS(Пул!$J$5:$J$300,Пул!$E$5:$E$300,$B56,Пул!$L$5:$L$300,"Закрыт"),8)))</f>
        <v/>
      </c>
      <c r="H56" s="247" t="str">
        <f>IF($B56="","",IF(COUNTIFS(Пул!$E$5:$E$300,$B56,Пул!$L$5:$L$300,"Закрыт")=0,"",ROUND(SUMIFS(Пул!$K$5:$K$300,Пул!$E$5:$E$300,$B56,Пул!$L$5:$L$300,"Закрыт"),8)))</f>
        <v/>
      </c>
      <c r="I56" s="242" t="str">
        <f>IF(AND(ISNUMBER(G56),ISNUMBER(H56)),IF(AND(G56&gt;0,H56&lt;0),"Buy",IF(AND(G56&lt;0,H56&gt;0),"Sell","")),"")</f>
        <v/>
      </c>
      <c r="J56" s="183" t="str">
        <f>IF(I56="Buy",G56,IF(I56="Sell",-G56,""))</f>
        <v/>
      </c>
      <c r="K56" s="183" t="str">
        <f>IF(AND(ISNUMBER(J56),ISNUMBER(L56),N(J56)&lt;&gt;0),ROUND(L56/J56,8),"")</f>
        <v/>
      </c>
      <c r="L56" s="183" t="str">
        <f>IF(I56="Buy",-H56,IF(I56="Sell",H56,""))</f>
        <v/>
      </c>
    </row>
    <row r="57" ht="22" customHeight="1">
      <c r="B57" s="239" t="n"/>
      <c r="C57" s="240" t="str">
        <f>IF($B57="","",IF(COUNTIFS(Пул!$E$5:$E$300,$B57,Пул!$F$5:$F$300,"&lt;&gt;")=0,"",ROUND(SUMIFS(Пул!$F$5:$F$300,Пул!$E$5:$E$300,$B57),8)))</f>
        <v/>
      </c>
      <c r="D57" s="241" t="str">
        <f>IF($B57="","",IF(COUNTIFS(Пул!$E$5:$E$300,$B57,Пул!$G$5:$G$300,"&lt;&gt;")=0,"",ROUND(SUMIFS(Пул!$G$5:$G$300,Пул!$E$5:$E$300,$B57),8)))</f>
        <v/>
      </c>
      <c r="E57" s="240" t="str">
        <f>IF($B57="","",IF(COUNTIFS(Пул!$E$5:$E$300,$B57,Пул!$L$5:$L$300,"Закрыт")=0,"",ROUND(SUMIFS(Пул!$H$5:$H$300,Пул!$E$5:$E$300,$B57,Пул!$L$5:$L$300,"Закрыт"),8)))</f>
        <v/>
      </c>
      <c r="F57" s="241" t="str">
        <f>IF($B57="","",IF(COUNTIFS(Пул!$E$5:$E$300,$B57,Пул!$L$5:$L$300,"Закрыт")=0,"",ROUND(SUMIFS(Пул!$I$5:$I$300,Пул!$E$5:$E$300,$B57,Пул!$L$5:$L$300,"Закрыт"),8)))</f>
        <v/>
      </c>
      <c r="G57" s="240" t="str">
        <f>IF($B57="","",IF(COUNTIFS(Пул!$E$5:$E$300,$B57,Пул!$L$5:$L$300,"Закрыт")=0,"",ROUND(SUMIFS(Пул!$J$5:$J$300,Пул!$E$5:$E$300,$B57,Пул!$L$5:$L$300,"Закрыт"),8)))</f>
        <v/>
      </c>
      <c r="H57" s="241" t="str">
        <f>IF($B57="","",IF(COUNTIFS(Пул!$E$5:$E$300,$B57,Пул!$L$5:$L$300,"Закрыт")=0,"",ROUND(SUMIFS(Пул!$K$5:$K$300,Пул!$E$5:$E$300,$B57,Пул!$L$5:$L$300,"Закрыт"),8)))</f>
        <v/>
      </c>
      <c r="I57" s="236" t="str">
        <f>IF(AND(ISNUMBER(G57),ISNUMBER(H57)),IF(AND(G57&gt;0,H57&lt;0),"Buy",IF(AND(G57&lt;0,H57&gt;0),"Sell","")),"")</f>
        <v/>
      </c>
      <c r="J57" s="177" t="str">
        <f>IF(I57="Buy",G57,IF(I57="Sell",-G57,""))</f>
        <v/>
      </c>
      <c r="K57" s="177" t="str">
        <f>IF(AND(ISNUMBER(J57),ISNUMBER(L57),N(J57)&lt;&gt;0),ROUND(L57/J57,8),"")</f>
        <v/>
      </c>
      <c r="L57" s="177" t="str">
        <f>IF(I57="Buy",-H57,IF(I57="Sell",H57,""))</f>
        <v/>
      </c>
    </row>
    <row r="58" ht="22" customHeight="1">
      <c r="B58" s="245" t="n"/>
      <c r="C58" s="246" t="str">
        <f>IF($B58="","",IF(COUNTIFS(Пул!$E$5:$E$300,$B58,Пул!$F$5:$F$300,"&lt;&gt;")=0,"",ROUND(SUMIFS(Пул!$F$5:$F$300,Пул!$E$5:$E$300,$B58),8)))</f>
        <v/>
      </c>
      <c r="D58" s="247" t="str">
        <f>IF($B58="","",IF(COUNTIFS(Пул!$E$5:$E$300,$B58,Пул!$G$5:$G$300,"&lt;&gt;")=0,"",ROUND(SUMIFS(Пул!$G$5:$G$300,Пул!$E$5:$E$300,$B58),8)))</f>
        <v/>
      </c>
      <c r="E58" s="246" t="str">
        <f>IF($B58="","",IF(COUNTIFS(Пул!$E$5:$E$300,$B58,Пул!$L$5:$L$300,"Закрыт")=0,"",ROUND(SUMIFS(Пул!$H$5:$H$300,Пул!$E$5:$E$300,$B58,Пул!$L$5:$L$300,"Закрыт"),8)))</f>
        <v/>
      </c>
      <c r="F58" s="247" t="str">
        <f>IF($B58="","",IF(COUNTIFS(Пул!$E$5:$E$300,$B58,Пул!$L$5:$L$300,"Закрыт")=0,"",ROUND(SUMIFS(Пул!$I$5:$I$300,Пул!$E$5:$E$300,$B58,Пул!$L$5:$L$300,"Закрыт"),8)))</f>
        <v/>
      </c>
      <c r="G58" s="246" t="str">
        <f>IF($B58="","",IF(COUNTIFS(Пул!$E$5:$E$300,$B58,Пул!$L$5:$L$300,"Закрыт")=0,"",ROUND(SUMIFS(Пул!$J$5:$J$300,Пул!$E$5:$E$300,$B58,Пул!$L$5:$L$300,"Закрыт"),8)))</f>
        <v/>
      </c>
      <c r="H58" s="247" t="str">
        <f>IF($B58="","",IF(COUNTIFS(Пул!$E$5:$E$300,$B58,Пул!$L$5:$L$300,"Закрыт")=0,"",ROUND(SUMIFS(Пул!$K$5:$K$300,Пул!$E$5:$E$300,$B58,Пул!$L$5:$L$300,"Закрыт"),8)))</f>
        <v/>
      </c>
      <c r="I58" s="242" t="str">
        <f>IF(AND(ISNUMBER(G58),ISNUMBER(H58)),IF(AND(G58&gt;0,H58&lt;0),"Buy",IF(AND(G58&lt;0,H58&gt;0),"Sell","")),"")</f>
        <v/>
      </c>
      <c r="J58" s="183" t="str">
        <f>IF(I58="Buy",G58,IF(I58="Sell",-G58,""))</f>
        <v/>
      </c>
      <c r="K58" s="183" t="str">
        <f>IF(AND(ISNUMBER(J58),ISNUMBER(L58),N(J58)&lt;&gt;0),ROUND(L58/J58,8),"")</f>
        <v/>
      </c>
      <c r="L58" s="183" t="str">
        <f>IF(I58="Buy",-H58,IF(I58="Sell",H58,""))</f>
        <v/>
      </c>
    </row>
    <row r="59" ht="22" customHeight="1">
      <c r="B59" s="239" t="n"/>
      <c r="C59" s="240" t="str">
        <f>IF($B59="","",IF(COUNTIFS(Пул!$E$5:$E$300,$B59,Пул!$F$5:$F$300,"&lt;&gt;")=0,"",ROUND(SUMIFS(Пул!$F$5:$F$300,Пул!$E$5:$E$300,$B59),8)))</f>
        <v/>
      </c>
      <c r="D59" s="241" t="str">
        <f>IF($B59="","",IF(COUNTIFS(Пул!$E$5:$E$300,$B59,Пул!$G$5:$G$300,"&lt;&gt;")=0,"",ROUND(SUMIFS(Пул!$G$5:$G$300,Пул!$E$5:$E$300,$B59),8)))</f>
        <v/>
      </c>
      <c r="E59" s="240" t="str">
        <f>IF($B59="","",IF(COUNTIFS(Пул!$E$5:$E$300,$B59,Пул!$L$5:$L$300,"Закрыт")=0,"",ROUND(SUMIFS(Пул!$H$5:$H$300,Пул!$E$5:$E$300,$B59,Пул!$L$5:$L$300,"Закрыт"),8)))</f>
        <v/>
      </c>
      <c r="F59" s="241" t="str">
        <f>IF($B59="","",IF(COUNTIFS(Пул!$E$5:$E$300,$B59,Пул!$L$5:$L$300,"Закрыт")=0,"",ROUND(SUMIFS(Пул!$I$5:$I$300,Пул!$E$5:$E$300,$B59,Пул!$L$5:$L$300,"Закрыт"),8)))</f>
        <v/>
      </c>
      <c r="G59" s="240" t="str">
        <f>IF($B59="","",IF(COUNTIFS(Пул!$E$5:$E$300,$B59,Пул!$L$5:$L$300,"Закрыт")=0,"",ROUND(SUMIFS(Пул!$J$5:$J$300,Пул!$E$5:$E$300,$B59,Пул!$L$5:$L$300,"Закрыт"),8)))</f>
        <v/>
      </c>
      <c r="H59" s="241" t="str">
        <f>IF($B59="","",IF(COUNTIFS(Пул!$E$5:$E$300,$B59,Пул!$L$5:$L$300,"Закрыт")=0,"",ROUND(SUMIFS(Пул!$K$5:$K$300,Пул!$E$5:$E$300,$B59,Пул!$L$5:$L$300,"Закрыт"),8)))</f>
        <v/>
      </c>
      <c r="I59" s="236" t="str">
        <f>IF(AND(ISNUMBER(G59),ISNUMBER(H59)),IF(AND(G59&gt;0,H59&lt;0),"Buy",IF(AND(G59&lt;0,H59&gt;0),"Sell","")),"")</f>
        <v/>
      </c>
      <c r="J59" s="177" t="str">
        <f>IF(I59="Buy",G59,IF(I59="Sell",-G59,""))</f>
        <v/>
      </c>
      <c r="K59" s="177" t="str">
        <f>IF(AND(ISNUMBER(J59),ISNUMBER(L59),N(J59)&lt;&gt;0),ROUND(L59/J59,8),"")</f>
        <v/>
      </c>
      <c r="L59" s="177" t="str">
        <f>IF(I59="Buy",-H59,IF(I59="Sell",H59,""))</f>
        <v/>
      </c>
    </row>
    <row r="60" ht="22" customHeight="1">
      <c r="B60" s="245" t="n"/>
      <c r="C60" s="246" t="str">
        <f>IF($B60="","",IF(COUNTIFS(Пул!$E$5:$E$300,$B60,Пул!$F$5:$F$300,"&lt;&gt;")=0,"",ROUND(SUMIFS(Пул!$F$5:$F$300,Пул!$E$5:$E$300,$B60),8)))</f>
        <v/>
      </c>
      <c r="D60" s="247" t="str">
        <f>IF($B60="","",IF(COUNTIFS(Пул!$E$5:$E$300,$B60,Пул!$G$5:$G$300,"&lt;&gt;")=0,"",ROUND(SUMIFS(Пул!$G$5:$G$300,Пул!$E$5:$E$300,$B60),8)))</f>
        <v/>
      </c>
      <c r="E60" s="246" t="str">
        <f>IF($B60="","",IF(COUNTIFS(Пул!$E$5:$E$300,$B60,Пул!$L$5:$L$300,"Закрыт")=0,"",ROUND(SUMIFS(Пул!$H$5:$H$300,Пул!$E$5:$E$300,$B60,Пул!$L$5:$L$300,"Закрыт"),8)))</f>
        <v/>
      </c>
      <c r="F60" s="247" t="str">
        <f>IF($B60="","",IF(COUNTIFS(Пул!$E$5:$E$300,$B60,Пул!$L$5:$L$300,"Закрыт")=0,"",ROUND(SUMIFS(Пул!$I$5:$I$300,Пул!$E$5:$E$300,$B60,Пул!$L$5:$L$300,"Закрыт"),8)))</f>
        <v/>
      </c>
      <c r="G60" s="246" t="str">
        <f>IF($B60="","",IF(COUNTIFS(Пул!$E$5:$E$300,$B60,Пул!$L$5:$L$300,"Закрыт")=0,"",ROUND(SUMIFS(Пул!$J$5:$J$300,Пул!$E$5:$E$300,$B60,Пул!$L$5:$L$300,"Закрыт"),8)))</f>
        <v/>
      </c>
      <c r="H60" s="247" t="str">
        <f>IF($B60="","",IF(COUNTIFS(Пул!$E$5:$E$300,$B60,Пул!$L$5:$L$300,"Закрыт")=0,"",ROUND(SUMIFS(Пул!$K$5:$K$300,Пул!$E$5:$E$300,$B60,Пул!$L$5:$L$300,"Закрыт"),8)))</f>
        <v/>
      </c>
      <c r="I60" s="242" t="str">
        <f>IF(AND(ISNUMBER(G60),ISNUMBER(H60)),IF(AND(G60&gt;0,H60&lt;0),"Buy",IF(AND(G60&lt;0,H60&gt;0),"Sell","")),"")</f>
        <v/>
      </c>
      <c r="J60" s="183" t="str">
        <f>IF(I60="Buy",G60,IF(I60="Sell",-G60,""))</f>
        <v/>
      </c>
      <c r="K60" s="183" t="str">
        <f>IF(AND(ISNUMBER(J60),ISNUMBER(L60),N(J60)&lt;&gt;0),ROUND(L60/J60,8),"")</f>
        <v/>
      </c>
      <c r="L60" s="183" t="str">
        <f>IF(I60="Buy",-H60,IF(I60="Sell",H60,""))</f>
        <v/>
      </c>
    </row>
    <row r="61" ht="22" customHeight="1">
      <c r="B61" s="239" t="n"/>
      <c r="C61" s="240" t="str">
        <f>IF($B61="","",IF(COUNTIFS(Пул!$E$5:$E$300,$B61,Пул!$F$5:$F$300,"&lt;&gt;")=0,"",ROUND(SUMIFS(Пул!$F$5:$F$300,Пул!$E$5:$E$300,$B61),8)))</f>
        <v/>
      </c>
      <c r="D61" s="241" t="str">
        <f>IF($B61="","",IF(COUNTIFS(Пул!$E$5:$E$300,$B61,Пул!$G$5:$G$300,"&lt;&gt;")=0,"",ROUND(SUMIFS(Пул!$G$5:$G$300,Пул!$E$5:$E$300,$B61),8)))</f>
        <v/>
      </c>
      <c r="E61" s="240" t="str">
        <f>IF($B61="","",IF(COUNTIFS(Пул!$E$5:$E$300,$B61,Пул!$L$5:$L$300,"Закрыт")=0,"",ROUND(SUMIFS(Пул!$H$5:$H$300,Пул!$E$5:$E$300,$B61,Пул!$L$5:$L$300,"Закрыт"),8)))</f>
        <v/>
      </c>
      <c r="F61" s="241" t="str">
        <f>IF($B61="","",IF(COUNTIFS(Пул!$E$5:$E$300,$B61,Пул!$L$5:$L$300,"Закрыт")=0,"",ROUND(SUMIFS(Пул!$I$5:$I$300,Пул!$E$5:$E$300,$B61,Пул!$L$5:$L$300,"Закрыт"),8)))</f>
        <v/>
      </c>
      <c r="G61" s="240" t="str">
        <f>IF($B61="","",IF(COUNTIFS(Пул!$E$5:$E$300,$B61,Пул!$L$5:$L$300,"Закрыт")=0,"",ROUND(SUMIFS(Пул!$J$5:$J$300,Пул!$E$5:$E$300,$B61,Пул!$L$5:$L$300,"Закрыт"),8)))</f>
        <v/>
      </c>
      <c r="H61" s="241" t="str">
        <f>IF($B61="","",IF(COUNTIFS(Пул!$E$5:$E$300,$B61,Пул!$L$5:$L$300,"Закрыт")=0,"",ROUND(SUMIFS(Пул!$K$5:$K$300,Пул!$E$5:$E$300,$B61,Пул!$L$5:$L$300,"Закрыт"),8)))</f>
        <v/>
      </c>
      <c r="I61" s="236" t="str">
        <f>IF(AND(ISNUMBER(G61),ISNUMBER(H61)),IF(AND(G61&gt;0,H61&lt;0),"Buy",IF(AND(G61&lt;0,H61&gt;0),"Sell","")),"")</f>
        <v/>
      </c>
      <c r="J61" s="177" t="str">
        <f>IF(I61="Buy",G61,IF(I61="Sell",-G61,""))</f>
        <v/>
      </c>
      <c r="K61" s="177" t="str">
        <f>IF(AND(ISNUMBER(J61),ISNUMBER(L61),N(J61)&lt;&gt;0),ROUND(L61/J61,8),"")</f>
        <v/>
      </c>
      <c r="L61" s="177" t="str">
        <f>IF(I61="Buy",-H61,IF(I61="Sell",H61,""))</f>
        <v/>
      </c>
    </row>
    <row r="62" ht="22" customHeight="1">
      <c r="B62" s="245" t="n"/>
      <c r="C62" s="246" t="str">
        <f>IF($B62="","",IF(COUNTIFS(Пул!$E$5:$E$300,$B62,Пул!$F$5:$F$300,"&lt;&gt;")=0,"",ROUND(SUMIFS(Пул!$F$5:$F$300,Пул!$E$5:$E$300,$B62),8)))</f>
        <v/>
      </c>
      <c r="D62" s="247" t="str">
        <f>IF($B62="","",IF(COUNTIFS(Пул!$E$5:$E$300,$B62,Пул!$G$5:$G$300,"&lt;&gt;")=0,"",ROUND(SUMIFS(Пул!$G$5:$G$300,Пул!$E$5:$E$300,$B62),8)))</f>
        <v/>
      </c>
      <c r="E62" s="246" t="str">
        <f>IF($B62="","",IF(COUNTIFS(Пул!$E$5:$E$300,$B62,Пул!$L$5:$L$300,"Закрыт")=0,"",ROUND(SUMIFS(Пул!$H$5:$H$300,Пул!$E$5:$E$300,$B62,Пул!$L$5:$L$300,"Закрыт"),8)))</f>
        <v/>
      </c>
      <c r="F62" s="247" t="str">
        <f>IF($B62="","",IF(COUNTIFS(Пул!$E$5:$E$300,$B62,Пул!$L$5:$L$300,"Закрыт")=0,"",ROUND(SUMIFS(Пул!$I$5:$I$300,Пул!$E$5:$E$300,$B62,Пул!$L$5:$L$300,"Закрыт"),8)))</f>
        <v/>
      </c>
      <c r="G62" s="246" t="str">
        <f>IF($B62="","",IF(COUNTIFS(Пул!$E$5:$E$300,$B62,Пул!$L$5:$L$300,"Закрыт")=0,"",ROUND(SUMIFS(Пул!$J$5:$J$300,Пул!$E$5:$E$300,$B62,Пул!$L$5:$L$300,"Закрыт"),8)))</f>
        <v/>
      </c>
      <c r="H62" s="247" t="str">
        <f>IF($B62="","",IF(COUNTIFS(Пул!$E$5:$E$300,$B62,Пул!$L$5:$L$300,"Закрыт")=0,"",ROUND(SUMIFS(Пул!$K$5:$K$300,Пул!$E$5:$E$300,$B62,Пул!$L$5:$L$300,"Закрыт"),8)))</f>
        <v/>
      </c>
      <c r="I62" s="242" t="str">
        <f>IF(AND(ISNUMBER(G62),ISNUMBER(H62)),IF(AND(G62&gt;0,H62&lt;0),"Buy",IF(AND(G62&lt;0,H62&gt;0),"Sell","")),"")</f>
        <v/>
      </c>
      <c r="J62" s="183" t="str">
        <f>IF(I62="Buy",G62,IF(I62="Sell",-G62,""))</f>
        <v/>
      </c>
      <c r="K62" s="183" t="str">
        <f>IF(AND(ISNUMBER(J62),ISNUMBER(L62),N(J62)&lt;&gt;0),ROUND(L62/J62,8),"")</f>
        <v/>
      </c>
      <c r="L62" s="183" t="str">
        <f>IF(I62="Buy",-H62,IF(I62="Sell",H62,""))</f>
        <v/>
      </c>
    </row>
    <row r="63" ht="22" customHeight="1">
      <c r="B63" s="239" t="n"/>
      <c r="C63" s="240" t="str">
        <f>IF($B63="","",IF(COUNTIFS(Пул!$E$5:$E$300,$B63,Пул!$F$5:$F$300,"&lt;&gt;")=0,"",ROUND(SUMIFS(Пул!$F$5:$F$300,Пул!$E$5:$E$300,$B63),8)))</f>
        <v/>
      </c>
      <c r="D63" s="241" t="str">
        <f>IF($B63="","",IF(COUNTIFS(Пул!$E$5:$E$300,$B63,Пул!$G$5:$G$300,"&lt;&gt;")=0,"",ROUND(SUMIFS(Пул!$G$5:$G$300,Пул!$E$5:$E$300,$B63),8)))</f>
        <v/>
      </c>
      <c r="E63" s="240" t="str">
        <f>IF($B63="","",IF(COUNTIFS(Пул!$E$5:$E$300,$B63,Пул!$L$5:$L$300,"Закрыт")=0,"",ROUND(SUMIFS(Пул!$H$5:$H$300,Пул!$E$5:$E$300,$B63,Пул!$L$5:$L$300,"Закрыт"),8)))</f>
        <v/>
      </c>
      <c r="F63" s="241" t="str">
        <f>IF($B63="","",IF(COUNTIFS(Пул!$E$5:$E$300,$B63,Пул!$L$5:$L$300,"Закрыт")=0,"",ROUND(SUMIFS(Пул!$I$5:$I$300,Пул!$E$5:$E$300,$B63,Пул!$L$5:$L$300,"Закрыт"),8)))</f>
        <v/>
      </c>
      <c r="G63" s="240" t="str">
        <f>IF($B63="","",IF(COUNTIFS(Пул!$E$5:$E$300,$B63,Пул!$L$5:$L$300,"Закрыт")=0,"",ROUND(SUMIFS(Пул!$J$5:$J$300,Пул!$E$5:$E$300,$B63,Пул!$L$5:$L$300,"Закрыт"),8)))</f>
        <v/>
      </c>
      <c r="H63" s="241" t="str">
        <f>IF($B63="","",IF(COUNTIFS(Пул!$E$5:$E$300,$B63,Пул!$L$5:$L$300,"Закрыт")=0,"",ROUND(SUMIFS(Пул!$K$5:$K$300,Пул!$E$5:$E$300,$B63,Пул!$L$5:$L$300,"Закрыт"),8)))</f>
        <v/>
      </c>
      <c r="I63" s="236" t="str">
        <f>IF(AND(ISNUMBER(G63),ISNUMBER(H63)),IF(AND(G63&gt;0,H63&lt;0),"Buy",IF(AND(G63&lt;0,H63&gt;0),"Sell","")),"")</f>
        <v/>
      </c>
      <c r="J63" s="177" t="str">
        <f>IF(I63="Buy",G63,IF(I63="Sell",-G63,""))</f>
        <v/>
      </c>
      <c r="K63" s="177" t="str">
        <f>IF(AND(ISNUMBER(J63),ISNUMBER(L63),N(J63)&lt;&gt;0),ROUND(L63/J63,8),"")</f>
        <v/>
      </c>
      <c r="L63" s="177" t="str">
        <f>IF(I63="Buy",-H63,IF(I63="Sell",H63,""))</f>
        <v/>
      </c>
    </row>
    <row r="64" ht="22" customHeight="1">
      <c r="B64" s="245" t="n"/>
      <c r="C64" s="246" t="str">
        <f>IF($B64="","",IF(COUNTIFS(Пул!$E$5:$E$300,$B64,Пул!$F$5:$F$300,"&lt;&gt;")=0,"",ROUND(SUMIFS(Пул!$F$5:$F$300,Пул!$E$5:$E$300,$B64),8)))</f>
        <v/>
      </c>
      <c r="D64" s="247" t="str">
        <f>IF($B64="","",IF(COUNTIFS(Пул!$E$5:$E$300,$B64,Пул!$G$5:$G$300,"&lt;&gt;")=0,"",ROUND(SUMIFS(Пул!$G$5:$G$300,Пул!$E$5:$E$300,$B64),8)))</f>
        <v/>
      </c>
      <c r="E64" s="246" t="str">
        <f>IF($B64="","",IF(COUNTIFS(Пул!$E$5:$E$300,$B64,Пул!$L$5:$L$300,"Закрыт")=0,"",ROUND(SUMIFS(Пул!$H$5:$H$300,Пул!$E$5:$E$300,$B64,Пул!$L$5:$L$300,"Закрыт"),8)))</f>
        <v/>
      </c>
      <c r="F64" s="247" t="str">
        <f>IF($B64="","",IF(COUNTIFS(Пул!$E$5:$E$300,$B64,Пул!$L$5:$L$300,"Закрыт")=0,"",ROUND(SUMIFS(Пул!$I$5:$I$300,Пул!$E$5:$E$300,$B64,Пул!$L$5:$L$300,"Закрыт"),8)))</f>
        <v/>
      </c>
      <c r="G64" s="246" t="str">
        <f>IF($B64="","",IF(COUNTIFS(Пул!$E$5:$E$300,$B64,Пул!$L$5:$L$300,"Закрыт")=0,"",ROUND(SUMIFS(Пул!$J$5:$J$300,Пул!$E$5:$E$300,$B64,Пул!$L$5:$L$300,"Закрыт"),8)))</f>
        <v/>
      </c>
      <c r="H64" s="247" t="str">
        <f>IF($B64="","",IF(COUNTIFS(Пул!$E$5:$E$300,$B64,Пул!$L$5:$L$300,"Закрыт")=0,"",ROUND(SUMIFS(Пул!$K$5:$K$300,Пул!$E$5:$E$300,$B64,Пул!$L$5:$L$300,"Закрыт"),8)))</f>
        <v/>
      </c>
      <c r="I64" s="242" t="str">
        <f>IF(AND(ISNUMBER(G64),ISNUMBER(H64)),IF(AND(G64&gt;0,H64&lt;0),"Buy",IF(AND(G64&lt;0,H64&gt;0),"Sell","")),"")</f>
        <v/>
      </c>
      <c r="J64" s="183" t="str">
        <f>IF(I64="Buy",G64,IF(I64="Sell",-G64,""))</f>
        <v/>
      </c>
      <c r="K64" s="183" t="str">
        <f>IF(AND(ISNUMBER(J64),ISNUMBER(L64),N(J64)&lt;&gt;0),ROUND(L64/J64,8),"")</f>
        <v/>
      </c>
      <c r="L64" s="183" t="str">
        <f>IF(I64="Buy",-H64,IF(I64="Sell",H64,""))</f>
        <v/>
      </c>
    </row>
    <row r="65" ht="22" customHeight="1">
      <c r="B65" s="239" t="n"/>
      <c r="C65" s="240" t="str">
        <f>IF($B65="","",IF(COUNTIFS(Пул!$E$5:$E$300,$B65,Пул!$F$5:$F$300,"&lt;&gt;")=0,"",ROUND(SUMIFS(Пул!$F$5:$F$300,Пул!$E$5:$E$300,$B65),8)))</f>
        <v/>
      </c>
      <c r="D65" s="241" t="str">
        <f>IF($B65="","",IF(COUNTIFS(Пул!$E$5:$E$300,$B65,Пул!$G$5:$G$300,"&lt;&gt;")=0,"",ROUND(SUMIFS(Пул!$G$5:$G$300,Пул!$E$5:$E$300,$B65),8)))</f>
        <v/>
      </c>
      <c r="E65" s="240" t="str">
        <f>IF($B65="","",IF(COUNTIFS(Пул!$E$5:$E$300,$B65,Пул!$L$5:$L$300,"Закрыт")=0,"",ROUND(SUMIFS(Пул!$H$5:$H$300,Пул!$E$5:$E$300,$B65,Пул!$L$5:$L$300,"Закрыт"),8)))</f>
        <v/>
      </c>
      <c r="F65" s="241" t="str">
        <f>IF($B65="","",IF(COUNTIFS(Пул!$E$5:$E$300,$B65,Пул!$L$5:$L$300,"Закрыт")=0,"",ROUND(SUMIFS(Пул!$I$5:$I$300,Пул!$E$5:$E$300,$B65,Пул!$L$5:$L$300,"Закрыт"),8)))</f>
        <v/>
      </c>
      <c r="G65" s="240" t="str">
        <f>IF($B65="","",IF(COUNTIFS(Пул!$E$5:$E$300,$B65,Пул!$L$5:$L$300,"Закрыт")=0,"",ROUND(SUMIFS(Пул!$J$5:$J$300,Пул!$E$5:$E$300,$B65,Пул!$L$5:$L$300,"Закрыт"),8)))</f>
        <v/>
      </c>
      <c r="H65" s="241" t="str">
        <f>IF($B65="","",IF(COUNTIFS(Пул!$E$5:$E$300,$B65,Пул!$L$5:$L$300,"Закрыт")=0,"",ROUND(SUMIFS(Пул!$K$5:$K$300,Пул!$E$5:$E$300,$B65,Пул!$L$5:$L$300,"Закрыт"),8)))</f>
        <v/>
      </c>
      <c r="I65" s="236" t="str">
        <f>IF(AND(ISNUMBER(G65),ISNUMBER(H65)),IF(AND(G65&gt;0,H65&lt;0),"Buy",IF(AND(G65&lt;0,H65&gt;0),"Sell","")),"")</f>
        <v/>
      </c>
      <c r="J65" s="177" t="str">
        <f>IF(I65="Buy",G65,IF(I65="Sell",-G65,""))</f>
        <v/>
      </c>
      <c r="K65" s="177" t="str">
        <f>IF(AND(ISNUMBER(J65),ISNUMBER(L65),N(J65)&lt;&gt;0),ROUND(L65/J65,8),"")</f>
        <v/>
      </c>
      <c r="L65" s="177" t="str">
        <f>IF(I65="Buy",-H65,IF(I65="Sell",H65,""))</f>
        <v/>
      </c>
    </row>
    <row r="66" ht="22" customHeight="1">
      <c r="B66" s="245" t="n"/>
      <c r="C66" s="246" t="str">
        <f>IF($B66="","",IF(COUNTIFS(Пул!$E$5:$E$300,$B66,Пул!$F$5:$F$300,"&lt;&gt;")=0,"",ROUND(SUMIFS(Пул!$F$5:$F$300,Пул!$E$5:$E$300,$B66),8)))</f>
        <v/>
      </c>
      <c r="D66" s="247" t="str">
        <f>IF($B66="","",IF(COUNTIFS(Пул!$E$5:$E$300,$B66,Пул!$G$5:$G$300,"&lt;&gt;")=0,"",ROUND(SUMIFS(Пул!$G$5:$G$300,Пул!$E$5:$E$300,$B66),8)))</f>
        <v/>
      </c>
      <c r="E66" s="246" t="str">
        <f>IF($B66="","",IF(COUNTIFS(Пул!$E$5:$E$300,$B66,Пул!$L$5:$L$300,"Закрыт")=0,"",ROUND(SUMIFS(Пул!$H$5:$H$300,Пул!$E$5:$E$300,$B66,Пул!$L$5:$L$300,"Закрыт"),8)))</f>
        <v/>
      </c>
      <c r="F66" s="247" t="str">
        <f>IF($B66="","",IF(COUNTIFS(Пул!$E$5:$E$300,$B66,Пул!$L$5:$L$300,"Закрыт")=0,"",ROUND(SUMIFS(Пул!$I$5:$I$300,Пул!$E$5:$E$300,$B66,Пул!$L$5:$L$300,"Закрыт"),8)))</f>
        <v/>
      </c>
      <c r="G66" s="246" t="str">
        <f>IF($B66="","",IF(COUNTIFS(Пул!$E$5:$E$300,$B66,Пул!$L$5:$L$300,"Закрыт")=0,"",ROUND(SUMIFS(Пул!$J$5:$J$300,Пул!$E$5:$E$300,$B66,Пул!$L$5:$L$300,"Закрыт"),8)))</f>
        <v/>
      </c>
      <c r="H66" s="247" t="str">
        <f>IF($B66="","",IF(COUNTIFS(Пул!$E$5:$E$300,$B66,Пул!$L$5:$L$300,"Закрыт")=0,"",ROUND(SUMIFS(Пул!$K$5:$K$300,Пул!$E$5:$E$300,$B66,Пул!$L$5:$L$300,"Закрыт"),8)))</f>
        <v/>
      </c>
      <c r="I66" s="242" t="str">
        <f>IF(AND(ISNUMBER(G66),ISNUMBER(H66)),IF(AND(G66&gt;0,H66&lt;0),"Buy",IF(AND(G66&lt;0,H66&gt;0),"Sell","")),"")</f>
        <v/>
      </c>
      <c r="J66" s="183" t="str">
        <f>IF(I66="Buy",G66,IF(I66="Sell",-G66,""))</f>
        <v/>
      </c>
      <c r="K66" s="183" t="str">
        <f>IF(AND(ISNUMBER(J66),ISNUMBER(L66),N(J66)&lt;&gt;0),ROUND(L66/J66,8),"")</f>
        <v/>
      </c>
      <c r="L66" s="183" t="str">
        <f>IF(I66="Buy",-H66,IF(I66="Sell",H66,""))</f>
        <v/>
      </c>
    </row>
    <row r="67" ht="22" customHeight="1">
      <c r="B67" s="239" t="n"/>
      <c r="C67" s="240" t="str">
        <f>IF($B67="","",IF(COUNTIFS(Пул!$E$5:$E$300,$B67,Пул!$F$5:$F$300,"&lt;&gt;")=0,"",ROUND(SUMIFS(Пул!$F$5:$F$300,Пул!$E$5:$E$300,$B67),8)))</f>
        <v/>
      </c>
      <c r="D67" s="241" t="str">
        <f>IF($B67="","",IF(COUNTIFS(Пул!$E$5:$E$300,$B67,Пул!$G$5:$G$300,"&lt;&gt;")=0,"",ROUND(SUMIFS(Пул!$G$5:$G$300,Пул!$E$5:$E$300,$B67),8)))</f>
        <v/>
      </c>
      <c r="E67" s="240" t="str">
        <f>IF($B67="","",IF(COUNTIFS(Пул!$E$5:$E$300,$B67,Пул!$L$5:$L$300,"Закрыт")=0,"",ROUND(SUMIFS(Пул!$H$5:$H$300,Пул!$E$5:$E$300,$B67,Пул!$L$5:$L$300,"Закрыт"),8)))</f>
        <v/>
      </c>
      <c r="F67" s="241" t="str">
        <f>IF($B67="","",IF(COUNTIFS(Пул!$E$5:$E$300,$B67,Пул!$L$5:$L$300,"Закрыт")=0,"",ROUND(SUMIFS(Пул!$I$5:$I$300,Пул!$E$5:$E$300,$B67,Пул!$L$5:$L$300,"Закрыт"),8)))</f>
        <v/>
      </c>
      <c r="G67" s="240" t="str">
        <f>IF($B67="","",IF(COUNTIFS(Пул!$E$5:$E$300,$B67,Пул!$L$5:$L$300,"Закрыт")=0,"",ROUND(SUMIFS(Пул!$J$5:$J$300,Пул!$E$5:$E$300,$B67,Пул!$L$5:$L$300,"Закрыт"),8)))</f>
        <v/>
      </c>
      <c r="H67" s="241" t="str">
        <f>IF($B67="","",IF(COUNTIFS(Пул!$E$5:$E$300,$B67,Пул!$L$5:$L$300,"Закрыт")=0,"",ROUND(SUMIFS(Пул!$K$5:$K$300,Пул!$E$5:$E$300,$B67,Пул!$L$5:$L$300,"Закрыт"),8)))</f>
        <v/>
      </c>
      <c r="I67" s="236" t="str">
        <f>IF(AND(ISNUMBER(G67),ISNUMBER(H67)),IF(AND(G67&gt;0,H67&lt;0),"Buy",IF(AND(G67&lt;0,H67&gt;0),"Sell","")),"")</f>
        <v/>
      </c>
      <c r="J67" s="177" t="str">
        <f>IF(I67="Buy",G67,IF(I67="Sell",-G67,""))</f>
        <v/>
      </c>
      <c r="K67" s="177" t="str">
        <f>IF(AND(ISNUMBER(J67),ISNUMBER(L67),N(J67)&lt;&gt;0),ROUND(L67/J67,8),"")</f>
        <v/>
      </c>
      <c r="L67" s="177" t="str">
        <f>IF(I67="Buy",-H67,IF(I67="Sell",H67,""))</f>
        <v/>
      </c>
    </row>
    <row r="68" ht="22" customHeight="1">
      <c r="B68" s="245" t="n"/>
      <c r="C68" s="246" t="str">
        <f>IF($B68="","",IF(COUNTIFS(Пул!$E$5:$E$300,$B68,Пул!$F$5:$F$300,"&lt;&gt;")=0,"",ROUND(SUMIFS(Пул!$F$5:$F$300,Пул!$E$5:$E$300,$B68),8)))</f>
        <v/>
      </c>
      <c r="D68" s="247" t="str">
        <f>IF($B68="","",IF(COUNTIFS(Пул!$E$5:$E$300,$B68,Пул!$G$5:$G$300,"&lt;&gt;")=0,"",ROUND(SUMIFS(Пул!$G$5:$G$300,Пул!$E$5:$E$300,$B68),8)))</f>
        <v/>
      </c>
      <c r="E68" s="246" t="str">
        <f>IF($B68="","",IF(COUNTIFS(Пул!$E$5:$E$300,$B68,Пул!$L$5:$L$300,"Закрыт")=0,"",ROUND(SUMIFS(Пул!$H$5:$H$300,Пул!$E$5:$E$300,$B68,Пул!$L$5:$L$300,"Закрыт"),8)))</f>
        <v/>
      </c>
      <c r="F68" s="247" t="str">
        <f>IF($B68="","",IF(COUNTIFS(Пул!$E$5:$E$300,$B68,Пул!$L$5:$L$300,"Закрыт")=0,"",ROUND(SUMIFS(Пул!$I$5:$I$300,Пул!$E$5:$E$300,$B68,Пул!$L$5:$L$300,"Закрыт"),8)))</f>
        <v/>
      </c>
      <c r="G68" s="246" t="str">
        <f>IF($B68="","",IF(COUNTIFS(Пул!$E$5:$E$300,$B68,Пул!$L$5:$L$300,"Закрыт")=0,"",ROUND(SUMIFS(Пул!$J$5:$J$300,Пул!$E$5:$E$300,$B68,Пул!$L$5:$L$300,"Закрыт"),8)))</f>
        <v/>
      </c>
      <c r="H68" s="247" t="str">
        <f>IF($B68="","",IF(COUNTIFS(Пул!$E$5:$E$300,$B68,Пул!$L$5:$L$300,"Закрыт")=0,"",ROUND(SUMIFS(Пул!$K$5:$K$300,Пул!$E$5:$E$300,$B68,Пул!$L$5:$L$300,"Закрыт"),8)))</f>
        <v/>
      </c>
      <c r="I68" s="242" t="str">
        <f>IF(AND(ISNUMBER(G68),ISNUMBER(H68)),IF(AND(G68&gt;0,H68&lt;0),"Buy",IF(AND(G68&lt;0,H68&gt;0),"Sell","")),"")</f>
        <v/>
      </c>
      <c r="J68" s="183" t="str">
        <f>IF(I68="Buy",G68,IF(I68="Sell",-G68,""))</f>
        <v/>
      </c>
      <c r="K68" s="183" t="str">
        <f>IF(AND(ISNUMBER(J68),ISNUMBER(L68),N(J68)&lt;&gt;0),ROUND(L68/J68,8),"")</f>
        <v/>
      </c>
      <c r="L68" s="183" t="str">
        <f>IF(I68="Buy",-H68,IF(I68="Sell",H68,""))</f>
        <v/>
      </c>
    </row>
    <row r="69" ht="22" customHeight="1">
      <c r="B69" s="239" t="n"/>
      <c r="C69" s="240" t="str">
        <f>IF($B69="","",IF(COUNTIFS(Пул!$E$5:$E$300,$B69,Пул!$F$5:$F$300,"&lt;&gt;")=0,"",ROUND(SUMIFS(Пул!$F$5:$F$300,Пул!$E$5:$E$300,$B69),8)))</f>
        <v/>
      </c>
      <c r="D69" s="241" t="str">
        <f>IF($B69="","",IF(COUNTIFS(Пул!$E$5:$E$300,$B69,Пул!$G$5:$G$300,"&lt;&gt;")=0,"",ROUND(SUMIFS(Пул!$G$5:$G$300,Пул!$E$5:$E$300,$B69),8)))</f>
        <v/>
      </c>
      <c r="E69" s="240" t="str">
        <f>IF($B69="","",IF(COUNTIFS(Пул!$E$5:$E$300,$B69,Пул!$L$5:$L$300,"Закрыт")=0,"",ROUND(SUMIFS(Пул!$H$5:$H$300,Пул!$E$5:$E$300,$B69,Пул!$L$5:$L$300,"Закрыт"),8)))</f>
        <v/>
      </c>
      <c r="F69" s="241" t="str">
        <f>IF($B69="","",IF(COUNTIFS(Пул!$E$5:$E$300,$B69,Пул!$L$5:$L$300,"Закрыт")=0,"",ROUND(SUMIFS(Пул!$I$5:$I$300,Пул!$E$5:$E$300,$B69,Пул!$L$5:$L$300,"Закрыт"),8)))</f>
        <v/>
      </c>
      <c r="G69" s="240" t="str">
        <f>IF($B69="","",IF(COUNTIFS(Пул!$E$5:$E$300,$B69,Пул!$L$5:$L$300,"Закрыт")=0,"",ROUND(SUMIFS(Пул!$J$5:$J$300,Пул!$E$5:$E$300,$B69,Пул!$L$5:$L$300,"Закрыт"),8)))</f>
        <v/>
      </c>
      <c r="H69" s="241" t="str">
        <f>IF($B69="","",IF(COUNTIFS(Пул!$E$5:$E$300,$B69,Пул!$L$5:$L$300,"Закрыт")=0,"",ROUND(SUMIFS(Пул!$K$5:$K$300,Пул!$E$5:$E$300,$B69,Пул!$L$5:$L$300,"Закрыт"),8)))</f>
        <v/>
      </c>
      <c r="I69" s="236" t="str">
        <f>IF(AND(ISNUMBER(G69),ISNUMBER(H69)),IF(AND(G69&gt;0,H69&lt;0),"Buy",IF(AND(G69&lt;0,H69&gt;0),"Sell","")),"")</f>
        <v/>
      </c>
      <c r="J69" s="177" t="str">
        <f>IF(I69="Buy",G69,IF(I69="Sell",-G69,""))</f>
        <v/>
      </c>
      <c r="K69" s="177" t="str">
        <f>IF(AND(ISNUMBER(J69),ISNUMBER(L69),N(J69)&lt;&gt;0),ROUND(L69/J69,8),"")</f>
        <v/>
      </c>
      <c r="L69" s="177" t="str">
        <f>IF(I69="Buy",-H69,IF(I69="Sell",H69,""))</f>
        <v/>
      </c>
    </row>
    <row r="70" ht="22" customHeight="1">
      <c r="B70" s="245" t="n"/>
      <c r="C70" s="246" t="str">
        <f>IF($B70="","",IF(COUNTIFS(Пул!$E$5:$E$300,$B70,Пул!$F$5:$F$300,"&lt;&gt;")=0,"",ROUND(SUMIFS(Пул!$F$5:$F$300,Пул!$E$5:$E$300,$B70),8)))</f>
        <v/>
      </c>
      <c r="D70" s="247" t="str">
        <f>IF($B70="","",IF(COUNTIFS(Пул!$E$5:$E$300,$B70,Пул!$G$5:$G$300,"&lt;&gt;")=0,"",ROUND(SUMIFS(Пул!$G$5:$G$300,Пул!$E$5:$E$300,$B70),8)))</f>
        <v/>
      </c>
      <c r="E70" s="246" t="str">
        <f>IF($B70="","",IF(COUNTIFS(Пул!$E$5:$E$300,$B70,Пул!$L$5:$L$300,"Закрыт")=0,"",ROUND(SUMIFS(Пул!$H$5:$H$300,Пул!$E$5:$E$300,$B70,Пул!$L$5:$L$300,"Закрыт"),8)))</f>
        <v/>
      </c>
      <c r="F70" s="247" t="str">
        <f>IF($B70="","",IF(COUNTIFS(Пул!$E$5:$E$300,$B70,Пул!$L$5:$L$300,"Закрыт")=0,"",ROUND(SUMIFS(Пул!$I$5:$I$300,Пул!$E$5:$E$300,$B70,Пул!$L$5:$L$300,"Закрыт"),8)))</f>
        <v/>
      </c>
      <c r="G70" s="246" t="str">
        <f>IF($B70="","",IF(COUNTIFS(Пул!$E$5:$E$300,$B70,Пул!$L$5:$L$300,"Закрыт")=0,"",ROUND(SUMIFS(Пул!$J$5:$J$300,Пул!$E$5:$E$300,$B70,Пул!$L$5:$L$300,"Закрыт"),8)))</f>
        <v/>
      </c>
      <c r="H70" s="247" t="str">
        <f>IF($B70="","",IF(COUNTIFS(Пул!$E$5:$E$300,$B70,Пул!$L$5:$L$300,"Закрыт")=0,"",ROUND(SUMIFS(Пул!$K$5:$K$300,Пул!$E$5:$E$300,$B70,Пул!$L$5:$L$300,"Закрыт"),8)))</f>
        <v/>
      </c>
      <c r="I70" s="242" t="str">
        <f>IF(AND(ISNUMBER(G70),ISNUMBER(H70)),IF(AND(G70&gt;0,H70&lt;0),"Buy",IF(AND(G70&lt;0,H70&gt;0),"Sell","")),"")</f>
        <v/>
      </c>
      <c r="J70" s="183" t="str">
        <f>IF(I70="Buy",G70,IF(I70="Sell",-G70,""))</f>
        <v/>
      </c>
      <c r="K70" s="183" t="str">
        <f>IF(AND(ISNUMBER(J70),ISNUMBER(L70),N(J70)&lt;&gt;0),ROUND(L70/J70,8),"")</f>
        <v/>
      </c>
      <c r="L70" s="183" t="str">
        <f>IF(I70="Buy",-H70,IF(I70="Sell",H70,""))</f>
        <v/>
      </c>
    </row>
    <row r="71" ht="22" customHeight="1">
      <c r="B71" s="239" t="n"/>
      <c r="C71" s="240" t="str">
        <f>IF($B71="","",IF(COUNTIFS(Пул!$E$5:$E$300,$B71,Пул!$F$5:$F$300,"&lt;&gt;")=0,"",ROUND(SUMIFS(Пул!$F$5:$F$300,Пул!$E$5:$E$300,$B71),8)))</f>
        <v/>
      </c>
      <c r="D71" s="241" t="str">
        <f>IF($B71="","",IF(COUNTIFS(Пул!$E$5:$E$300,$B71,Пул!$G$5:$G$300,"&lt;&gt;")=0,"",ROUND(SUMIFS(Пул!$G$5:$G$300,Пул!$E$5:$E$300,$B71),8)))</f>
        <v/>
      </c>
      <c r="E71" s="240" t="str">
        <f>IF($B71="","",IF(COUNTIFS(Пул!$E$5:$E$300,$B71,Пул!$L$5:$L$300,"Закрыт")=0,"",ROUND(SUMIFS(Пул!$H$5:$H$300,Пул!$E$5:$E$300,$B71,Пул!$L$5:$L$300,"Закрыт"),8)))</f>
        <v/>
      </c>
      <c r="F71" s="241" t="str">
        <f>IF($B71="","",IF(COUNTIFS(Пул!$E$5:$E$300,$B71,Пул!$L$5:$L$300,"Закрыт")=0,"",ROUND(SUMIFS(Пул!$I$5:$I$300,Пул!$E$5:$E$300,$B71,Пул!$L$5:$L$300,"Закрыт"),8)))</f>
        <v/>
      </c>
      <c r="G71" s="240" t="str">
        <f>IF($B71="","",IF(COUNTIFS(Пул!$E$5:$E$300,$B71,Пул!$L$5:$L$300,"Закрыт")=0,"",ROUND(SUMIFS(Пул!$J$5:$J$300,Пул!$E$5:$E$300,$B71,Пул!$L$5:$L$300,"Закрыт"),8)))</f>
        <v/>
      </c>
      <c r="H71" s="241" t="str">
        <f>IF($B71="","",IF(COUNTIFS(Пул!$E$5:$E$300,$B71,Пул!$L$5:$L$300,"Закрыт")=0,"",ROUND(SUMIFS(Пул!$K$5:$K$300,Пул!$E$5:$E$300,$B71,Пул!$L$5:$L$300,"Закрыт"),8)))</f>
        <v/>
      </c>
      <c r="I71" s="236" t="str">
        <f>IF(AND(ISNUMBER(G71),ISNUMBER(H71)),IF(AND(G71&gt;0,H71&lt;0),"Buy",IF(AND(G71&lt;0,H71&gt;0),"Sell","")),"")</f>
        <v/>
      </c>
      <c r="J71" s="177" t="str">
        <f>IF(I71="Buy",G71,IF(I71="Sell",-G71,""))</f>
        <v/>
      </c>
      <c r="K71" s="177" t="str">
        <f>IF(AND(ISNUMBER(J71),ISNUMBER(L71),N(J71)&lt;&gt;0),ROUND(L71/J71,8),"")</f>
        <v/>
      </c>
      <c r="L71" s="177" t="str">
        <f>IF(I71="Buy",-H71,IF(I71="Sell",H71,""))</f>
        <v/>
      </c>
    </row>
    <row r="72" ht="22" customHeight="1">
      <c r="B72" s="245" t="n"/>
      <c r="C72" s="246" t="str">
        <f>IF($B72="","",IF(COUNTIFS(Пул!$E$5:$E$300,$B72,Пул!$F$5:$F$300,"&lt;&gt;")=0,"",ROUND(SUMIFS(Пул!$F$5:$F$300,Пул!$E$5:$E$300,$B72),8)))</f>
        <v/>
      </c>
      <c r="D72" s="247" t="str">
        <f>IF($B72="","",IF(COUNTIFS(Пул!$E$5:$E$300,$B72,Пул!$G$5:$G$300,"&lt;&gt;")=0,"",ROUND(SUMIFS(Пул!$G$5:$G$300,Пул!$E$5:$E$300,$B72),8)))</f>
        <v/>
      </c>
      <c r="E72" s="246" t="str">
        <f>IF($B72="","",IF(COUNTIFS(Пул!$E$5:$E$300,$B72,Пул!$L$5:$L$300,"Закрыт")=0,"",ROUND(SUMIFS(Пул!$H$5:$H$300,Пул!$E$5:$E$300,$B72,Пул!$L$5:$L$300,"Закрыт"),8)))</f>
        <v/>
      </c>
      <c r="F72" s="247" t="str">
        <f>IF($B72="","",IF(COUNTIFS(Пул!$E$5:$E$300,$B72,Пул!$L$5:$L$300,"Закрыт")=0,"",ROUND(SUMIFS(Пул!$I$5:$I$300,Пул!$E$5:$E$300,$B72,Пул!$L$5:$L$300,"Закрыт"),8)))</f>
        <v/>
      </c>
      <c r="G72" s="246" t="str">
        <f>IF($B72="","",IF(COUNTIFS(Пул!$E$5:$E$300,$B72,Пул!$L$5:$L$300,"Закрыт")=0,"",ROUND(SUMIFS(Пул!$J$5:$J$300,Пул!$E$5:$E$300,$B72,Пул!$L$5:$L$300,"Закрыт"),8)))</f>
        <v/>
      </c>
      <c r="H72" s="247" t="str">
        <f>IF($B72="","",IF(COUNTIFS(Пул!$E$5:$E$300,$B72,Пул!$L$5:$L$300,"Закрыт")=0,"",ROUND(SUMIFS(Пул!$K$5:$K$300,Пул!$E$5:$E$300,$B72,Пул!$L$5:$L$300,"Закрыт"),8)))</f>
        <v/>
      </c>
      <c r="I72" s="242" t="str">
        <f>IF(AND(ISNUMBER(G72),ISNUMBER(H72)),IF(AND(G72&gt;0,H72&lt;0),"Buy",IF(AND(G72&lt;0,H72&gt;0),"Sell","")),"")</f>
        <v/>
      </c>
      <c r="J72" s="183" t="str">
        <f>IF(I72="Buy",G72,IF(I72="Sell",-G72,""))</f>
        <v/>
      </c>
      <c r="K72" s="183" t="str">
        <f>IF(AND(ISNUMBER(J72),ISNUMBER(L72),N(J72)&lt;&gt;0),ROUND(L72/J72,8),"")</f>
        <v/>
      </c>
      <c r="L72" s="183" t="str">
        <f>IF(I72="Buy",-H72,IF(I72="Sell",H72,""))</f>
        <v/>
      </c>
    </row>
    <row r="73" ht="22" customHeight="1">
      <c r="B73" s="239" t="n"/>
      <c r="C73" s="240" t="str">
        <f>IF($B73="","",IF(COUNTIFS(Пул!$E$5:$E$300,$B73,Пул!$F$5:$F$300,"&lt;&gt;")=0,"",ROUND(SUMIFS(Пул!$F$5:$F$300,Пул!$E$5:$E$300,$B73),8)))</f>
        <v/>
      </c>
      <c r="D73" s="241" t="str">
        <f>IF($B73="","",IF(COUNTIFS(Пул!$E$5:$E$300,$B73,Пул!$G$5:$G$300,"&lt;&gt;")=0,"",ROUND(SUMIFS(Пул!$G$5:$G$300,Пул!$E$5:$E$300,$B73),8)))</f>
        <v/>
      </c>
      <c r="E73" s="240" t="str">
        <f>IF($B73="","",IF(COUNTIFS(Пул!$E$5:$E$300,$B73,Пул!$L$5:$L$300,"Закрыт")=0,"",ROUND(SUMIFS(Пул!$H$5:$H$300,Пул!$E$5:$E$300,$B73,Пул!$L$5:$L$300,"Закрыт"),8)))</f>
        <v/>
      </c>
      <c r="F73" s="241" t="str">
        <f>IF($B73="","",IF(COUNTIFS(Пул!$E$5:$E$300,$B73,Пул!$L$5:$L$300,"Закрыт")=0,"",ROUND(SUMIFS(Пул!$I$5:$I$300,Пул!$E$5:$E$300,$B73,Пул!$L$5:$L$300,"Закрыт"),8)))</f>
        <v/>
      </c>
      <c r="G73" s="240" t="str">
        <f>IF($B73="","",IF(COUNTIFS(Пул!$E$5:$E$300,$B73,Пул!$L$5:$L$300,"Закрыт")=0,"",ROUND(SUMIFS(Пул!$J$5:$J$300,Пул!$E$5:$E$300,$B73,Пул!$L$5:$L$300,"Закрыт"),8)))</f>
        <v/>
      </c>
      <c r="H73" s="241" t="str">
        <f>IF($B73="","",IF(COUNTIFS(Пул!$E$5:$E$300,$B73,Пул!$L$5:$L$300,"Закрыт")=0,"",ROUND(SUMIFS(Пул!$K$5:$K$300,Пул!$E$5:$E$300,$B73,Пул!$L$5:$L$300,"Закрыт"),8)))</f>
        <v/>
      </c>
      <c r="I73" s="236" t="str">
        <f>IF(AND(ISNUMBER(G73),ISNUMBER(H73)),IF(AND(G73&gt;0,H73&lt;0),"Buy",IF(AND(G73&lt;0,H73&gt;0),"Sell","")),"")</f>
        <v/>
      </c>
      <c r="J73" s="177" t="str">
        <f>IF(I73="Buy",G73,IF(I73="Sell",-G73,""))</f>
        <v/>
      </c>
      <c r="K73" s="177" t="str">
        <f>IF(AND(ISNUMBER(J73),ISNUMBER(L73),N(J73)&lt;&gt;0),ROUND(L73/J73,8),"")</f>
        <v/>
      </c>
      <c r="L73" s="177" t="str">
        <f>IF(I73="Buy",-H73,IF(I73="Sell",H73,""))</f>
        <v/>
      </c>
    </row>
    <row r="74" ht="22" customHeight="1">
      <c r="B74" s="245" t="n"/>
      <c r="C74" s="246" t="str">
        <f>IF($B74="","",IF(COUNTIFS(Пул!$E$5:$E$300,$B74,Пул!$F$5:$F$300,"&lt;&gt;")=0,"",ROUND(SUMIFS(Пул!$F$5:$F$300,Пул!$E$5:$E$300,$B74),8)))</f>
        <v/>
      </c>
      <c r="D74" s="247" t="str">
        <f>IF($B74="","",IF(COUNTIFS(Пул!$E$5:$E$300,$B74,Пул!$G$5:$G$300,"&lt;&gt;")=0,"",ROUND(SUMIFS(Пул!$G$5:$G$300,Пул!$E$5:$E$300,$B74),8)))</f>
        <v/>
      </c>
      <c r="E74" s="246" t="str">
        <f>IF($B74="","",IF(COUNTIFS(Пул!$E$5:$E$300,$B74,Пул!$L$5:$L$300,"Закрыт")=0,"",ROUND(SUMIFS(Пул!$H$5:$H$300,Пул!$E$5:$E$300,$B74,Пул!$L$5:$L$300,"Закрыт"),8)))</f>
        <v/>
      </c>
      <c r="F74" s="247" t="str">
        <f>IF($B74="","",IF(COUNTIFS(Пул!$E$5:$E$300,$B74,Пул!$L$5:$L$300,"Закрыт")=0,"",ROUND(SUMIFS(Пул!$I$5:$I$300,Пул!$E$5:$E$300,$B74,Пул!$L$5:$L$300,"Закрыт"),8)))</f>
        <v/>
      </c>
      <c r="G74" s="246" t="str">
        <f>IF($B74="","",IF(COUNTIFS(Пул!$E$5:$E$300,$B74,Пул!$L$5:$L$300,"Закрыт")=0,"",ROUND(SUMIFS(Пул!$J$5:$J$300,Пул!$E$5:$E$300,$B74,Пул!$L$5:$L$300,"Закрыт"),8)))</f>
        <v/>
      </c>
      <c r="H74" s="247" t="str">
        <f>IF($B74="","",IF(COUNTIFS(Пул!$E$5:$E$300,$B74,Пул!$L$5:$L$300,"Закрыт")=0,"",ROUND(SUMIFS(Пул!$K$5:$K$300,Пул!$E$5:$E$300,$B74,Пул!$L$5:$L$300,"Закрыт"),8)))</f>
        <v/>
      </c>
      <c r="I74" s="242" t="str">
        <f>IF(AND(ISNUMBER(G74),ISNUMBER(H74)),IF(AND(G74&gt;0,H74&lt;0),"Buy",IF(AND(G74&lt;0,H74&gt;0),"Sell","")),"")</f>
        <v/>
      </c>
      <c r="J74" s="183" t="str">
        <f>IF(I74="Buy",G74,IF(I74="Sell",-G74,""))</f>
        <v/>
      </c>
      <c r="K74" s="183" t="str">
        <f>IF(AND(ISNUMBER(J74),ISNUMBER(L74),N(J74)&lt;&gt;0),ROUND(L74/J74,8),"")</f>
        <v/>
      </c>
      <c r="L74" s="183" t="str">
        <f>IF(I74="Buy",-H74,IF(I74="Sell",H74,""))</f>
        <v/>
      </c>
    </row>
    <row r="75" ht="22" customHeight="1">
      <c r="B75" s="239" t="n"/>
      <c r="C75" s="240" t="str">
        <f>IF($B75="","",IF(COUNTIFS(Пул!$E$5:$E$300,$B75,Пул!$F$5:$F$300,"&lt;&gt;")=0,"",ROUND(SUMIFS(Пул!$F$5:$F$300,Пул!$E$5:$E$300,$B75),8)))</f>
        <v/>
      </c>
      <c r="D75" s="241" t="str">
        <f>IF($B75="","",IF(COUNTIFS(Пул!$E$5:$E$300,$B75,Пул!$G$5:$G$300,"&lt;&gt;")=0,"",ROUND(SUMIFS(Пул!$G$5:$G$300,Пул!$E$5:$E$300,$B75),8)))</f>
        <v/>
      </c>
      <c r="E75" s="240" t="str">
        <f>IF($B75="","",IF(COUNTIFS(Пул!$E$5:$E$300,$B75,Пул!$L$5:$L$300,"Закрыт")=0,"",ROUND(SUMIFS(Пул!$H$5:$H$300,Пул!$E$5:$E$300,$B75,Пул!$L$5:$L$300,"Закрыт"),8)))</f>
        <v/>
      </c>
      <c r="F75" s="241" t="str">
        <f>IF($B75="","",IF(COUNTIFS(Пул!$E$5:$E$300,$B75,Пул!$L$5:$L$300,"Закрыт")=0,"",ROUND(SUMIFS(Пул!$I$5:$I$300,Пул!$E$5:$E$300,$B75,Пул!$L$5:$L$300,"Закрыт"),8)))</f>
        <v/>
      </c>
      <c r="G75" s="240" t="str">
        <f>IF($B75="","",IF(COUNTIFS(Пул!$E$5:$E$300,$B75,Пул!$L$5:$L$300,"Закрыт")=0,"",ROUND(SUMIFS(Пул!$J$5:$J$300,Пул!$E$5:$E$300,$B75,Пул!$L$5:$L$300,"Закрыт"),8)))</f>
        <v/>
      </c>
      <c r="H75" s="241" t="str">
        <f>IF($B75="","",IF(COUNTIFS(Пул!$E$5:$E$300,$B75,Пул!$L$5:$L$300,"Закрыт")=0,"",ROUND(SUMIFS(Пул!$K$5:$K$300,Пул!$E$5:$E$300,$B75,Пул!$L$5:$L$300,"Закрыт"),8)))</f>
        <v/>
      </c>
      <c r="I75" s="236" t="str">
        <f>IF(AND(ISNUMBER(G75),ISNUMBER(H75)),IF(AND(G75&gt;0,H75&lt;0),"Buy",IF(AND(G75&lt;0,H75&gt;0),"Sell","")),"")</f>
        <v/>
      </c>
      <c r="J75" s="177" t="str">
        <f>IF(I75="Buy",G75,IF(I75="Sell",-G75,""))</f>
        <v/>
      </c>
      <c r="K75" s="177" t="str">
        <f>IF(AND(ISNUMBER(J75),ISNUMBER(L75),N(J75)&lt;&gt;0),ROUND(L75/J75,8),"")</f>
        <v/>
      </c>
      <c r="L75" s="177" t="str">
        <f>IF(I75="Buy",-H75,IF(I75="Sell",H75,""))</f>
        <v/>
      </c>
    </row>
    <row r="76" ht="22" customHeight="1">
      <c r="B76" s="245" t="n"/>
      <c r="C76" s="246" t="str">
        <f>IF($B76="","",IF(COUNTIFS(Пул!$E$5:$E$300,$B76,Пул!$F$5:$F$300,"&lt;&gt;")=0,"",ROUND(SUMIFS(Пул!$F$5:$F$300,Пул!$E$5:$E$300,$B76),8)))</f>
        <v/>
      </c>
      <c r="D76" s="247" t="str">
        <f>IF($B76="","",IF(COUNTIFS(Пул!$E$5:$E$300,$B76,Пул!$G$5:$G$300,"&lt;&gt;")=0,"",ROUND(SUMIFS(Пул!$G$5:$G$300,Пул!$E$5:$E$300,$B76),8)))</f>
        <v/>
      </c>
      <c r="E76" s="246" t="str">
        <f>IF($B76="","",IF(COUNTIFS(Пул!$E$5:$E$300,$B76,Пул!$L$5:$L$300,"Закрыт")=0,"",ROUND(SUMIFS(Пул!$H$5:$H$300,Пул!$E$5:$E$300,$B76,Пул!$L$5:$L$300,"Закрыт"),8)))</f>
        <v/>
      </c>
      <c r="F76" s="247" t="str">
        <f>IF($B76="","",IF(COUNTIFS(Пул!$E$5:$E$300,$B76,Пул!$L$5:$L$300,"Закрыт")=0,"",ROUND(SUMIFS(Пул!$I$5:$I$300,Пул!$E$5:$E$300,$B76,Пул!$L$5:$L$300,"Закрыт"),8)))</f>
        <v/>
      </c>
      <c r="G76" s="246" t="str">
        <f>IF($B76="","",IF(COUNTIFS(Пул!$E$5:$E$300,$B76,Пул!$L$5:$L$300,"Закрыт")=0,"",ROUND(SUMIFS(Пул!$J$5:$J$300,Пул!$E$5:$E$300,$B76,Пул!$L$5:$L$300,"Закрыт"),8)))</f>
        <v/>
      </c>
      <c r="H76" s="247" t="str">
        <f>IF($B76="","",IF(COUNTIFS(Пул!$E$5:$E$300,$B76,Пул!$L$5:$L$300,"Закрыт")=0,"",ROUND(SUMIFS(Пул!$K$5:$K$300,Пул!$E$5:$E$300,$B76,Пул!$L$5:$L$300,"Закрыт"),8)))</f>
        <v/>
      </c>
      <c r="I76" s="242" t="str">
        <f>IF(AND(ISNUMBER(G76),ISNUMBER(H76)),IF(AND(G76&gt;0,H76&lt;0),"Buy",IF(AND(G76&lt;0,H76&gt;0),"Sell","")),"")</f>
        <v/>
      </c>
      <c r="J76" s="183" t="str">
        <f>IF(I76="Buy",G76,IF(I76="Sell",-G76,""))</f>
        <v/>
      </c>
      <c r="K76" s="183" t="str">
        <f>IF(AND(ISNUMBER(J76),ISNUMBER(L76),N(J76)&lt;&gt;0),ROUND(L76/J76,8),"")</f>
        <v/>
      </c>
      <c r="L76" s="183" t="str">
        <f>IF(I76="Buy",-H76,IF(I76="Sell",H76,""))</f>
        <v/>
      </c>
    </row>
    <row r="77" ht="22" customHeight="1">
      <c r="B77" s="239" t="n"/>
      <c r="C77" s="240" t="str">
        <f>IF($B77="","",IF(COUNTIFS(Пул!$E$5:$E$300,$B77,Пул!$F$5:$F$300,"&lt;&gt;")=0,"",ROUND(SUMIFS(Пул!$F$5:$F$300,Пул!$E$5:$E$300,$B77),8)))</f>
        <v/>
      </c>
      <c r="D77" s="241" t="str">
        <f>IF($B77="","",IF(COUNTIFS(Пул!$E$5:$E$300,$B77,Пул!$G$5:$G$300,"&lt;&gt;")=0,"",ROUND(SUMIFS(Пул!$G$5:$G$300,Пул!$E$5:$E$300,$B77),8)))</f>
        <v/>
      </c>
      <c r="E77" s="240" t="str">
        <f>IF($B77="","",IF(COUNTIFS(Пул!$E$5:$E$300,$B77,Пул!$L$5:$L$300,"Закрыт")=0,"",ROUND(SUMIFS(Пул!$H$5:$H$300,Пул!$E$5:$E$300,$B77,Пул!$L$5:$L$300,"Закрыт"),8)))</f>
        <v/>
      </c>
      <c r="F77" s="241" t="str">
        <f>IF($B77="","",IF(COUNTIFS(Пул!$E$5:$E$300,$B77,Пул!$L$5:$L$300,"Закрыт")=0,"",ROUND(SUMIFS(Пул!$I$5:$I$300,Пул!$E$5:$E$300,$B77,Пул!$L$5:$L$300,"Закрыт"),8)))</f>
        <v/>
      </c>
      <c r="G77" s="240" t="str">
        <f>IF($B77="","",IF(COUNTIFS(Пул!$E$5:$E$300,$B77,Пул!$L$5:$L$300,"Закрыт")=0,"",ROUND(SUMIFS(Пул!$J$5:$J$300,Пул!$E$5:$E$300,$B77,Пул!$L$5:$L$300,"Закрыт"),8)))</f>
        <v/>
      </c>
      <c r="H77" s="241" t="str">
        <f>IF($B77="","",IF(COUNTIFS(Пул!$E$5:$E$300,$B77,Пул!$L$5:$L$300,"Закрыт")=0,"",ROUND(SUMIFS(Пул!$K$5:$K$300,Пул!$E$5:$E$300,$B77,Пул!$L$5:$L$300,"Закрыт"),8)))</f>
        <v/>
      </c>
      <c r="I77" s="236" t="str">
        <f>IF(AND(ISNUMBER(G77),ISNUMBER(H77)),IF(AND(G77&gt;0,H77&lt;0),"Buy",IF(AND(G77&lt;0,H77&gt;0),"Sell","")),"")</f>
        <v/>
      </c>
      <c r="J77" s="177" t="str">
        <f>IF(I77="Buy",G77,IF(I77="Sell",-G77,""))</f>
        <v/>
      </c>
      <c r="K77" s="177" t="str">
        <f>IF(AND(ISNUMBER(J77),ISNUMBER(L77),N(J77)&lt;&gt;0),ROUND(L77/J77,8),"")</f>
        <v/>
      </c>
      <c r="L77" s="177" t="str">
        <f>IF(I77="Buy",-H77,IF(I77="Sell",H77,""))</f>
        <v/>
      </c>
    </row>
    <row r="78" ht="22" customHeight="1">
      <c r="B78" s="245" t="n"/>
      <c r="C78" s="246" t="str">
        <f>IF($B78="","",IF(COUNTIFS(Пул!$E$5:$E$300,$B78,Пул!$F$5:$F$300,"&lt;&gt;")=0,"",ROUND(SUMIFS(Пул!$F$5:$F$300,Пул!$E$5:$E$300,$B78),8)))</f>
        <v/>
      </c>
      <c r="D78" s="247" t="str">
        <f>IF($B78="","",IF(COUNTIFS(Пул!$E$5:$E$300,$B78,Пул!$G$5:$G$300,"&lt;&gt;")=0,"",ROUND(SUMIFS(Пул!$G$5:$G$300,Пул!$E$5:$E$300,$B78),8)))</f>
        <v/>
      </c>
      <c r="E78" s="246" t="str">
        <f>IF($B78="","",IF(COUNTIFS(Пул!$E$5:$E$300,$B78,Пул!$L$5:$L$300,"Закрыт")=0,"",ROUND(SUMIFS(Пул!$H$5:$H$300,Пул!$E$5:$E$300,$B78,Пул!$L$5:$L$300,"Закрыт"),8)))</f>
        <v/>
      </c>
      <c r="F78" s="247" t="str">
        <f>IF($B78="","",IF(COUNTIFS(Пул!$E$5:$E$300,$B78,Пул!$L$5:$L$300,"Закрыт")=0,"",ROUND(SUMIFS(Пул!$I$5:$I$300,Пул!$E$5:$E$300,$B78,Пул!$L$5:$L$300,"Закрыт"),8)))</f>
        <v/>
      </c>
      <c r="G78" s="246" t="str">
        <f>IF($B78="","",IF(COUNTIFS(Пул!$E$5:$E$300,$B78,Пул!$L$5:$L$300,"Закрыт")=0,"",ROUND(SUMIFS(Пул!$J$5:$J$300,Пул!$E$5:$E$300,$B78,Пул!$L$5:$L$300,"Закрыт"),8)))</f>
        <v/>
      </c>
      <c r="H78" s="247" t="str">
        <f>IF($B78="","",IF(COUNTIFS(Пул!$E$5:$E$300,$B78,Пул!$L$5:$L$300,"Закрыт")=0,"",ROUND(SUMIFS(Пул!$K$5:$K$300,Пул!$E$5:$E$300,$B78,Пул!$L$5:$L$300,"Закрыт"),8)))</f>
        <v/>
      </c>
      <c r="I78" s="242" t="str">
        <f>IF(AND(ISNUMBER(G78),ISNUMBER(H78)),IF(AND(G78&gt;0,H78&lt;0),"Buy",IF(AND(G78&lt;0,H78&gt;0),"Sell","")),"")</f>
        <v/>
      </c>
      <c r="J78" s="183" t="str">
        <f>IF(I78="Buy",G78,IF(I78="Sell",-G78,""))</f>
        <v/>
      </c>
      <c r="K78" s="183" t="str">
        <f>IF(AND(ISNUMBER(J78),ISNUMBER(L78),N(J78)&lt;&gt;0),ROUND(L78/J78,8),"")</f>
        <v/>
      </c>
      <c r="L78" s="183" t="str">
        <f>IF(I78="Buy",-H78,IF(I78="Sell",H78,""))</f>
        <v/>
      </c>
    </row>
    <row r="79" ht="22" customHeight="1">
      <c r="B79" s="239" t="n"/>
      <c r="C79" s="240" t="str">
        <f>IF($B79="","",IF(COUNTIFS(Пул!$E$5:$E$300,$B79,Пул!$F$5:$F$300,"&lt;&gt;")=0,"",ROUND(SUMIFS(Пул!$F$5:$F$300,Пул!$E$5:$E$300,$B79),8)))</f>
        <v/>
      </c>
      <c r="D79" s="241" t="str">
        <f>IF($B79="","",IF(COUNTIFS(Пул!$E$5:$E$300,$B79,Пул!$G$5:$G$300,"&lt;&gt;")=0,"",ROUND(SUMIFS(Пул!$G$5:$G$300,Пул!$E$5:$E$300,$B79),8)))</f>
        <v/>
      </c>
      <c r="E79" s="240" t="str">
        <f>IF($B79="","",IF(COUNTIFS(Пул!$E$5:$E$300,$B79,Пул!$L$5:$L$300,"Закрыт")=0,"",ROUND(SUMIFS(Пул!$H$5:$H$300,Пул!$E$5:$E$300,$B79,Пул!$L$5:$L$300,"Закрыт"),8)))</f>
        <v/>
      </c>
      <c r="F79" s="241" t="str">
        <f>IF($B79="","",IF(COUNTIFS(Пул!$E$5:$E$300,$B79,Пул!$L$5:$L$300,"Закрыт")=0,"",ROUND(SUMIFS(Пул!$I$5:$I$300,Пул!$E$5:$E$300,$B79,Пул!$L$5:$L$300,"Закрыт"),8)))</f>
        <v/>
      </c>
      <c r="G79" s="240" t="str">
        <f>IF($B79="","",IF(COUNTIFS(Пул!$E$5:$E$300,$B79,Пул!$L$5:$L$300,"Закрыт")=0,"",ROUND(SUMIFS(Пул!$J$5:$J$300,Пул!$E$5:$E$300,$B79,Пул!$L$5:$L$300,"Закрыт"),8)))</f>
        <v/>
      </c>
      <c r="H79" s="241" t="str">
        <f>IF($B79="","",IF(COUNTIFS(Пул!$E$5:$E$300,$B79,Пул!$L$5:$L$300,"Закрыт")=0,"",ROUND(SUMIFS(Пул!$K$5:$K$300,Пул!$E$5:$E$300,$B79,Пул!$L$5:$L$300,"Закрыт"),8)))</f>
        <v/>
      </c>
      <c r="I79" s="236" t="str">
        <f>IF(AND(ISNUMBER(G79),ISNUMBER(H79)),IF(AND(G79&gt;0,H79&lt;0),"Buy",IF(AND(G79&lt;0,H79&gt;0),"Sell","")),"")</f>
        <v/>
      </c>
      <c r="J79" s="177" t="str">
        <f>IF(I79="Buy",G79,IF(I79="Sell",-G79,""))</f>
        <v/>
      </c>
      <c r="K79" s="177" t="str">
        <f>IF(AND(ISNUMBER(J79),ISNUMBER(L79),N(J79)&lt;&gt;0),ROUND(L79/J79,8),"")</f>
        <v/>
      </c>
      <c r="L79" s="177" t="str">
        <f>IF(I79="Buy",-H79,IF(I79="Sell",H79,""))</f>
        <v/>
      </c>
    </row>
    <row r="80" ht="22" customHeight="1">
      <c r="B80" s="245" t="n"/>
      <c r="C80" s="246" t="str">
        <f>IF($B80="","",IF(COUNTIFS(Пул!$E$5:$E$300,$B80,Пул!$F$5:$F$300,"&lt;&gt;")=0,"",ROUND(SUMIFS(Пул!$F$5:$F$300,Пул!$E$5:$E$300,$B80),8)))</f>
        <v/>
      </c>
      <c r="D80" s="247" t="str">
        <f>IF($B80="","",IF(COUNTIFS(Пул!$E$5:$E$300,$B80,Пул!$G$5:$G$300,"&lt;&gt;")=0,"",ROUND(SUMIFS(Пул!$G$5:$G$300,Пул!$E$5:$E$300,$B80),8)))</f>
        <v/>
      </c>
      <c r="E80" s="246" t="str">
        <f>IF($B80="","",IF(COUNTIFS(Пул!$E$5:$E$300,$B80,Пул!$L$5:$L$300,"Закрыт")=0,"",ROUND(SUMIFS(Пул!$H$5:$H$300,Пул!$E$5:$E$300,$B80,Пул!$L$5:$L$300,"Закрыт"),8)))</f>
        <v/>
      </c>
      <c r="F80" s="247" t="str">
        <f>IF($B80="","",IF(COUNTIFS(Пул!$E$5:$E$300,$B80,Пул!$L$5:$L$300,"Закрыт")=0,"",ROUND(SUMIFS(Пул!$I$5:$I$300,Пул!$E$5:$E$300,$B80,Пул!$L$5:$L$300,"Закрыт"),8)))</f>
        <v/>
      </c>
      <c r="G80" s="246" t="str">
        <f>IF($B80="","",IF(COUNTIFS(Пул!$E$5:$E$300,$B80,Пул!$L$5:$L$300,"Закрыт")=0,"",ROUND(SUMIFS(Пул!$J$5:$J$300,Пул!$E$5:$E$300,$B80,Пул!$L$5:$L$300,"Закрыт"),8)))</f>
        <v/>
      </c>
      <c r="H80" s="247" t="str">
        <f>IF($B80="","",IF(COUNTIFS(Пул!$E$5:$E$300,$B80,Пул!$L$5:$L$300,"Закрыт")=0,"",ROUND(SUMIFS(Пул!$K$5:$K$300,Пул!$E$5:$E$300,$B80,Пул!$L$5:$L$300,"Закрыт"),8)))</f>
        <v/>
      </c>
      <c r="I80" s="242" t="str">
        <f>IF(AND(ISNUMBER(G80),ISNUMBER(H80)),IF(AND(G80&gt;0,H80&lt;0),"Buy",IF(AND(G80&lt;0,H80&gt;0),"Sell","")),"")</f>
        <v/>
      </c>
      <c r="J80" s="183" t="str">
        <f>IF(I80="Buy",G80,IF(I80="Sell",-G80,""))</f>
        <v/>
      </c>
      <c r="K80" s="183" t="str">
        <f>IF(AND(ISNUMBER(J80),ISNUMBER(L80),N(J80)&lt;&gt;0),ROUND(L80/J80,8),"")</f>
        <v/>
      </c>
      <c r="L80" s="183" t="str">
        <f>IF(I80="Buy",-H80,IF(I80="Sell",H80,""))</f>
        <v/>
      </c>
    </row>
    <row r="81" ht="22" customHeight="1">
      <c r="B81" s="239" t="n"/>
      <c r="C81" s="240" t="str">
        <f>IF($B81="","",IF(COUNTIFS(Пул!$E$5:$E$300,$B81,Пул!$F$5:$F$300,"&lt;&gt;")=0,"",ROUND(SUMIFS(Пул!$F$5:$F$300,Пул!$E$5:$E$300,$B81),8)))</f>
        <v/>
      </c>
      <c r="D81" s="241" t="str">
        <f>IF($B81="","",IF(COUNTIFS(Пул!$E$5:$E$300,$B81,Пул!$G$5:$G$300,"&lt;&gt;")=0,"",ROUND(SUMIFS(Пул!$G$5:$G$300,Пул!$E$5:$E$300,$B81),8)))</f>
        <v/>
      </c>
      <c r="E81" s="240" t="str">
        <f>IF($B81="","",IF(COUNTIFS(Пул!$E$5:$E$300,$B81,Пул!$L$5:$L$300,"Закрыт")=0,"",ROUND(SUMIFS(Пул!$H$5:$H$300,Пул!$E$5:$E$300,$B81,Пул!$L$5:$L$300,"Закрыт"),8)))</f>
        <v/>
      </c>
      <c r="F81" s="241" t="str">
        <f>IF($B81="","",IF(COUNTIFS(Пул!$E$5:$E$300,$B81,Пул!$L$5:$L$300,"Закрыт")=0,"",ROUND(SUMIFS(Пул!$I$5:$I$300,Пул!$E$5:$E$300,$B81,Пул!$L$5:$L$300,"Закрыт"),8)))</f>
        <v/>
      </c>
      <c r="G81" s="240" t="str">
        <f>IF($B81="","",IF(COUNTIFS(Пул!$E$5:$E$300,$B81,Пул!$L$5:$L$300,"Закрыт")=0,"",ROUND(SUMIFS(Пул!$J$5:$J$300,Пул!$E$5:$E$300,$B81,Пул!$L$5:$L$300,"Закрыт"),8)))</f>
        <v/>
      </c>
      <c r="H81" s="241" t="str">
        <f>IF($B81="","",IF(COUNTIFS(Пул!$E$5:$E$300,$B81,Пул!$L$5:$L$300,"Закрыт")=0,"",ROUND(SUMIFS(Пул!$K$5:$K$300,Пул!$E$5:$E$300,$B81,Пул!$L$5:$L$300,"Закрыт"),8)))</f>
        <v/>
      </c>
      <c r="I81" s="236" t="str">
        <f>IF(AND(ISNUMBER(G81),ISNUMBER(H81)),IF(AND(G81&gt;0,H81&lt;0),"Buy",IF(AND(G81&lt;0,H81&gt;0),"Sell","")),"")</f>
        <v/>
      </c>
      <c r="J81" s="177" t="str">
        <f>IF(I81="Buy",G81,IF(I81="Sell",-G81,""))</f>
        <v/>
      </c>
      <c r="K81" s="177" t="str">
        <f>IF(AND(ISNUMBER(J81),ISNUMBER(L81),N(J81)&lt;&gt;0),ROUND(L81/J81,8),"")</f>
        <v/>
      </c>
      <c r="L81" s="177" t="str">
        <f>IF(I81="Buy",-H81,IF(I81="Sell",H81,""))</f>
        <v/>
      </c>
    </row>
    <row r="82" ht="22" customHeight="1">
      <c r="B82" s="245" t="n"/>
      <c r="C82" s="246" t="str">
        <f>IF($B82="","",IF(COUNTIFS(Пул!$E$5:$E$300,$B82,Пул!$F$5:$F$300,"&lt;&gt;")=0,"",ROUND(SUMIFS(Пул!$F$5:$F$300,Пул!$E$5:$E$300,$B82),8)))</f>
        <v/>
      </c>
      <c r="D82" s="247" t="str">
        <f>IF($B82="","",IF(COUNTIFS(Пул!$E$5:$E$300,$B82,Пул!$G$5:$G$300,"&lt;&gt;")=0,"",ROUND(SUMIFS(Пул!$G$5:$G$300,Пул!$E$5:$E$300,$B82),8)))</f>
        <v/>
      </c>
      <c r="E82" s="246" t="str">
        <f>IF($B82="","",IF(COUNTIFS(Пул!$E$5:$E$300,$B82,Пул!$L$5:$L$300,"Закрыт")=0,"",ROUND(SUMIFS(Пул!$H$5:$H$300,Пул!$E$5:$E$300,$B82,Пул!$L$5:$L$300,"Закрыт"),8)))</f>
        <v/>
      </c>
      <c r="F82" s="247" t="str">
        <f>IF($B82="","",IF(COUNTIFS(Пул!$E$5:$E$300,$B82,Пул!$L$5:$L$300,"Закрыт")=0,"",ROUND(SUMIFS(Пул!$I$5:$I$300,Пул!$E$5:$E$300,$B82,Пул!$L$5:$L$300,"Закрыт"),8)))</f>
        <v/>
      </c>
      <c r="G82" s="246" t="str">
        <f>IF($B82="","",IF(COUNTIFS(Пул!$E$5:$E$300,$B82,Пул!$L$5:$L$300,"Закрыт")=0,"",ROUND(SUMIFS(Пул!$J$5:$J$300,Пул!$E$5:$E$300,$B82,Пул!$L$5:$L$300,"Закрыт"),8)))</f>
        <v/>
      </c>
      <c r="H82" s="247" t="str">
        <f>IF($B82="","",IF(COUNTIFS(Пул!$E$5:$E$300,$B82,Пул!$L$5:$L$300,"Закрыт")=0,"",ROUND(SUMIFS(Пул!$K$5:$K$300,Пул!$E$5:$E$300,$B82,Пул!$L$5:$L$300,"Закрыт"),8)))</f>
        <v/>
      </c>
      <c r="I82" s="242" t="str">
        <f>IF(AND(ISNUMBER(G82),ISNUMBER(H82)),IF(AND(G82&gt;0,H82&lt;0),"Buy",IF(AND(G82&lt;0,H82&gt;0),"Sell","")),"")</f>
        <v/>
      </c>
      <c r="J82" s="183" t="str">
        <f>IF(I82="Buy",G82,IF(I82="Sell",-G82,""))</f>
        <v/>
      </c>
      <c r="K82" s="183" t="str">
        <f>IF(AND(ISNUMBER(J82),ISNUMBER(L82),N(J82)&lt;&gt;0),ROUND(L82/J82,8),"")</f>
        <v/>
      </c>
      <c r="L82" s="183" t="str">
        <f>IF(I82="Buy",-H82,IF(I82="Sell",H82,""))</f>
        <v/>
      </c>
    </row>
    <row r="83" ht="22" customHeight="1">
      <c r="B83" s="239" t="n"/>
      <c r="C83" s="240" t="str">
        <f>IF($B83="","",IF(COUNTIFS(Пул!$E$5:$E$300,$B83,Пул!$F$5:$F$300,"&lt;&gt;")=0,"",ROUND(SUMIFS(Пул!$F$5:$F$300,Пул!$E$5:$E$300,$B83),8)))</f>
        <v/>
      </c>
      <c r="D83" s="241" t="str">
        <f>IF($B83="","",IF(COUNTIFS(Пул!$E$5:$E$300,$B83,Пул!$G$5:$G$300,"&lt;&gt;")=0,"",ROUND(SUMIFS(Пул!$G$5:$G$300,Пул!$E$5:$E$300,$B83),8)))</f>
        <v/>
      </c>
      <c r="E83" s="240" t="str">
        <f>IF($B83="","",IF(COUNTIFS(Пул!$E$5:$E$300,$B83,Пул!$L$5:$L$300,"Закрыт")=0,"",ROUND(SUMIFS(Пул!$H$5:$H$300,Пул!$E$5:$E$300,$B83,Пул!$L$5:$L$300,"Закрыт"),8)))</f>
        <v/>
      </c>
      <c r="F83" s="241" t="str">
        <f>IF($B83="","",IF(COUNTIFS(Пул!$E$5:$E$300,$B83,Пул!$L$5:$L$300,"Закрыт")=0,"",ROUND(SUMIFS(Пул!$I$5:$I$300,Пул!$E$5:$E$300,$B83,Пул!$L$5:$L$300,"Закрыт"),8)))</f>
        <v/>
      </c>
      <c r="G83" s="240" t="str">
        <f>IF($B83="","",IF(COUNTIFS(Пул!$E$5:$E$300,$B83,Пул!$L$5:$L$300,"Закрыт")=0,"",ROUND(SUMIFS(Пул!$J$5:$J$300,Пул!$E$5:$E$300,$B83,Пул!$L$5:$L$300,"Закрыт"),8)))</f>
        <v/>
      </c>
      <c r="H83" s="241" t="str">
        <f>IF($B83="","",IF(COUNTIFS(Пул!$E$5:$E$300,$B83,Пул!$L$5:$L$300,"Закрыт")=0,"",ROUND(SUMIFS(Пул!$K$5:$K$300,Пул!$E$5:$E$300,$B83,Пул!$L$5:$L$300,"Закрыт"),8)))</f>
        <v/>
      </c>
      <c r="I83" s="236" t="str">
        <f>IF(AND(ISNUMBER(G83),ISNUMBER(H83)),IF(AND(G83&gt;0,H83&lt;0),"Buy",IF(AND(G83&lt;0,H83&gt;0),"Sell","")),"")</f>
        <v/>
      </c>
      <c r="J83" s="177" t="str">
        <f>IF(I83="Buy",G83,IF(I83="Sell",-G83,""))</f>
        <v/>
      </c>
      <c r="K83" s="177" t="str">
        <f>IF(AND(ISNUMBER(J83),ISNUMBER(L83),N(J83)&lt;&gt;0),ROUND(L83/J83,8),"")</f>
        <v/>
      </c>
      <c r="L83" s="177" t="str">
        <f>IF(I83="Buy",-H83,IF(I83="Sell",H83,""))</f>
        <v/>
      </c>
    </row>
    <row r="84" ht="22" customHeight="1">
      <c r="B84" s="245" t="n"/>
      <c r="C84" s="246" t="str">
        <f>IF($B84="","",IF(COUNTIFS(Пул!$E$5:$E$300,$B84,Пул!$F$5:$F$300,"&lt;&gt;")=0,"",ROUND(SUMIFS(Пул!$F$5:$F$300,Пул!$E$5:$E$300,$B84),8)))</f>
        <v/>
      </c>
      <c r="D84" s="247" t="str">
        <f>IF($B84="","",IF(COUNTIFS(Пул!$E$5:$E$300,$B84,Пул!$G$5:$G$300,"&lt;&gt;")=0,"",ROUND(SUMIFS(Пул!$G$5:$G$300,Пул!$E$5:$E$300,$B84),8)))</f>
        <v/>
      </c>
      <c r="E84" s="246" t="str">
        <f>IF($B84="","",IF(COUNTIFS(Пул!$E$5:$E$300,$B84,Пул!$L$5:$L$300,"Закрыт")=0,"",ROUND(SUMIFS(Пул!$H$5:$H$300,Пул!$E$5:$E$300,$B84,Пул!$L$5:$L$300,"Закрыт"),8)))</f>
        <v/>
      </c>
      <c r="F84" s="247" t="str">
        <f>IF($B84="","",IF(COUNTIFS(Пул!$E$5:$E$300,$B84,Пул!$L$5:$L$300,"Закрыт")=0,"",ROUND(SUMIFS(Пул!$I$5:$I$300,Пул!$E$5:$E$300,$B84,Пул!$L$5:$L$300,"Закрыт"),8)))</f>
        <v/>
      </c>
      <c r="G84" s="246" t="str">
        <f>IF($B84="","",IF(COUNTIFS(Пул!$E$5:$E$300,$B84,Пул!$L$5:$L$300,"Закрыт")=0,"",ROUND(SUMIFS(Пул!$J$5:$J$300,Пул!$E$5:$E$300,$B84,Пул!$L$5:$L$300,"Закрыт"),8)))</f>
        <v/>
      </c>
      <c r="H84" s="247" t="str">
        <f>IF($B84="","",IF(COUNTIFS(Пул!$E$5:$E$300,$B84,Пул!$L$5:$L$300,"Закрыт")=0,"",ROUND(SUMIFS(Пул!$K$5:$K$300,Пул!$E$5:$E$300,$B84,Пул!$L$5:$L$300,"Закрыт"),8)))</f>
        <v/>
      </c>
      <c r="I84" s="242" t="str">
        <f>IF(AND(ISNUMBER(G84),ISNUMBER(H84)),IF(AND(G84&gt;0,H84&lt;0),"Buy",IF(AND(G84&lt;0,H84&gt;0),"Sell","")),"")</f>
        <v/>
      </c>
      <c r="J84" s="183" t="str">
        <f>IF(I84="Buy",G84,IF(I84="Sell",-G84,""))</f>
        <v/>
      </c>
      <c r="K84" s="183" t="str">
        <f>IF(AND(ISNUMBER(J84),ISNUMBER(L84),N(J84)&lt;&gt;0),ROUND(L84/J84,8),"")</f>
        <v/>
      </c>
      <c r="L84" s="183" t="str">
        <f>IF(I84="Buy",-H84,IF(I84="Sell",H84,""))</f>
        <v/>
      </c>
    </row>
    <row r="85" ht="22" customHeight="1">
      <c r="B85" s="239" t="n"/>
      <c r="C85" s="240" t="str">
        <f>IF($B85="","",IF(COUNTIFS(Пул!$E$5:$E$300,$B85,Пул!$F$5:$F$300,"&lt;&gt;")=0,"",ROUND(SUMIFS(Пул!$F$5:$F$300,Пул!$E$5:$E$300,$B85),8)))</f>
        <v/>
      </c>
      <c r="D85" s="241" t="str">
        <f>IF($B85="","",IF(COUNTIFS(Пул!$E$5:$E$300,$B85,Пул!$G$5:$G$300,"&lt;&gt;")=0,"",ROUND(SUMIFS(Пул!$G$5:$G$300,Пул!$E$5:$E$300,$B85),8)))</f>
        <v/>
      </c>
      <c r="E85" s="240" t="str">
        <f>IF($B85="","",IF(COUNTIFS(Пул!$E$5:$E$300,$B85,Пул!$L$5:$L$300,"Закрыт")=0,"",ROUND(SUMIFS(Пул!$H$5:$H$300,Пул!$E$5:$E$300,$B85,Пул!$L$5:$L$300,"Закрыт"),8)))</f>
        <v/>
      </c>
      <c r="F85" s="241" t="str">
        <f>IF($B85="","",IF(COUNTIFS(Пул!$E$5:$E$300,$B85,Пул!$L$5:$L$300,"Закрыт")=0,"",ROUND(SUMIFS(Пул!$I$5:$I$300,Пул!$E$5:$E$300,$B85,Пул!$L$5:$L$300,"Закрыт"),8)))</f>
        <v/>
      </c>
      <c r="G85" s="240" t="str">
        <f>IF($B85="","",IF(COUNTIFS(Пул!$E$5:$E$300,$B85,Пул!$L$5:$L$300,"Закрыт")=0,"",ROUND(SUMIFS(Пул!$J$5:$J$300,Пул!$E$5:$E$300,$B85,Пул!$L$5:$L$300,"Закрыт"),8)))</f>
        <v/>
      </c>
      <c r="H85" s="241" t="str">
        <f>IF($B85="","",IF(COUNTIFS(Пул!$E$5:$E$300,$B85,Пул!$L$5:$L$300,"Закрыт")=0,"",ROUND(SUMIFS(Пул!$K$5:$K$300,Пул!$E$5:$E$300,$B85,Пул!$L$5:$L$300,"Закрыт"),8)))</f>
        <v/>
      </c>
      <c r="I85" s="236" t="str">
        <f>IF(AND(ISNUMBER(G85),ISNUMBER(H85)),IF(AND(G85&gt;0,H85&lt;0),"Buy",IF(AND(G85&lt;0,H85&gt;0),"Sell","")),"")</f>
        <v/>
      </c>
      <c r="J85" s="177" t="str">
        <f>IF(I85="Buy",G85,IF(I85="Sell",-G85,""))</f>
        <v/>
      </c>
      <c r="K85" s="177" t="str">
        <f>IF(AND(ISNUMBER(J85),ISNUMBER(L85),N(J85)&lt;&gt;0),ROUND(L85/J85,8),"")</f>
        <v/>
      </c>
      <c r="L85" s="177" t="str">
        <f>IF(I85="Buy",-H85,IF(I85="Sell",H85,""))</f>
        <v/>
      </c>
    </row>
    <row r="86" ht="22" customHeight="1">
      <c r="B86" s="245" t="n"/>
      <c r="C86" s="246" t="str">
        <f>IF($B86="","",IF(COUNTIFS(Пул!$E$5:$E$300,$B86,Пул!$F$5:$F$300,"&lt;&gt;")=0,"",ROUND(SUMIFS(Пул!$F$5:$F$300,Пул!$E$5:$E$300,$B86),8)))</f>
        <v/>
      </c>
      <c r="D86" s="247" t="str">
        <f>IF($B86="","",IF(COUNTIFS(Пул!$E$5:$E$300,$B86,Пул!$G$5:$G$300,"&lt;&gt;")=0,"",ROUND(SUMIFS(Пул!$G$5:$G$300,Пул!$E$5:$E$300,$B86),8)))</f>
        <v/>
      </c>
      <c r="E86" s="246" t="str">
        <f>IF($B86="","",IF(COUNTIFS(Пул!$E$5:$E$300,$B86,Пул!$L$5:$L$300,"Закрыт")=0,"",ROUND(SUMIFS(Пул!$H$5:$H$300,Пул!$E$5:$E$300,$B86,Пул!$L$5:$L$300,"Закрыт"),8)))</f>
        <v/>
      </c>
      <c r="F86" s="247" t="str">
        <f>IF($B86="","",IF(COUNTIFS(Пул!$E$5:$E$300,$B86,Пул!$L$5:$L$300,"Закрыт")=0,"",ROUND(SUMIFS(Пул!$I$5:$I$300,Пул!$E$5:$E$300,$B86,Пул!$L$5:$L$300,"Закрыт"),8)))</f>
        <v/>
      </c>
      <c r="G86" s="246" t="str">
        <f>IF($B86="","",IF(COUNTIFS(Пул!$E$5:$E$300,$B86,Пул!$L$5:$L$300,"Закрыт")=0,"",ROUND(SUMIFS(Пул!$J$5:$J$300,Пул!$E$5:$E$300,$B86,Пул!$L$5:$L$300,"Закрыт"),8)))</f>
        <v/>
      </c>
      <c r="H86" s="247" t="str">
        <f>IF($B86="","",IF(COUNTIFS(Пул!$E$5:$E$300,$B86,Пул!$L$5:$L$300,"Закрыт")=0,"",ROUND(SUMIFS(Пул!$K$5:$K$300,Пул!$E$5:$E$300,$B86,Пул!$L$5:$L$300,"Закрыт"),8)))</f>
        <v/>
      </c>
      <c r="I86" s="242" t="str">
        <f>IF(AND(ISNUMBER(G86),ISNUMBER(H86)),IF(AND(G86&gt;0,H86&lt;0),"Buy",IF(AND(G86&lt;0,H86&gt;0),"Sell","")),"")</f>
        <v/>
      </c>
      <c r="J86" s="183" t="str">
        <f>IF(I86="Buy",G86,IF(I86="Sell",-G86,""))</f>
        <v/>
      </c>
      <c r="K86" s="183" t="str">
        <f>IF(AND(ISNUMBER(J86),ISNUMBER(L86),N(J86)&lt;&gt;0),ROUND(L86/J86,8),"")</f>
        <v/>
      </c>
      <c r="L86" s="183" t="str">
        <f>IF(I86="Buy",-H86,IF(I86="Sell",H86,""))</f>
        <v/>
      </c>
    </row>
    <row r="87" ht="22" customHeight="1">
      <c r="B87" s="239" t="n"/>
      <c r="C87" s="240" t="str">
        <f>IF($B87="","",IF(COUNTIFS(Пул!$E$5:$E$300,$B87,Пул!$F$5:$F$300,"&lt;&gt;")=0,"",ROUND(SUMIFS(Пул!$F$5:$F$300,Пул!$E$5:$E$300,$B87),8)))</f>
        <v/>
      </c>
      <c r="D87" s="241" t="str">
        <f>IF($B87="","",IF(COUNTIFS(Пул!$E$5:$E$300,$B87,Пул!$G$5:$G$300,"&lt;&gt;")=0,"",ROUND(SUMIFS(Пул!$G$5:$G$300,Пул!$E$5:$E$300,$B87),8)))</f>
        <v/>
      </c>
      <c r="E87" s="240" t="str">
        <f>IF($B87="","",IF(COUNTIFS(Пул!$E$5:$E$300,$B87,Пул!$L$5:$L$300,"Закрыт")=0,"",ROUND(SUMIFS(Пул!$H$5:$H$300,Пул!$E$5:$E$300,$B87,Пул!$L$5:$L$300,"Закрыт"),8)))</f>
        <v/>
      </c>
      <c r="F87" s="241" t="str">
        <f>IF($B87="","",IF(COUNTIFS(Пул!$E$5:$E$300,$B87,Пул!$L$5:$L$300,"Закрыт")=0,"",ROUND(SUMIFS(Пул!$I$5:$I$300,Пул!$E$5:$E$300,$B87,Пул!$L$5:$L$300,"Закрыт"),8)))</f>
        <v/>
      </c>
      <c r="G87" s="240" t="str">
        <f>IF($B87="","",IF(COUNTIFS(Пул!$E$5:$E$300,$B87,Пул!$L$5:$L$300,"Закрыт")=0,"",ROUND(SUMIFS(Пул!$J$5:$J$300,Пул!$E$5:$E$300,$B87,Пул!$L$5:$L$300,"Закрыт"),8)))</f>
        <v/>
      </c>
      <c r="H87" s="241" t="str">
        <f>IF($B87="","",IF(COUNTIFS(Пул!$E$5:$E$300,$B87,Пул!$L$5:$L$300,"Закрыт")=0,"",ROUND(SUMIFS(Пул!$K$5:$K$300,Пул!$E$5:$E$300,$B87,Пул!$L$5:$L$300,"Закрыт"),8)))</f>
        <v/>
      </c>
      <c r="I87" s="236" t="str">
        <f>IF(AND(ISNUMBER(G87),ISNUMBER(H87)),IF(AND(G87&gt;0,H87&lt;0),"Buy",IF(AND(G87&lt;0,H87&gt;0),"Sell","")),"")</f>
        <v/>
      </c>
      <c r="J87" s="177" t="str">
        <f>IF(I87="Buy",G87,IF(I87="Sell",-G87,""))</f>
        <v/>
      </c>
      <c r="K87" s="177" t="str">
        <f>IF(AND(ISNUMBER(J87),ISNUMBER(L87),N(J87)&lt;&gt;0),ROUND(L87/J87,8),"")</f>
        <v/>
      </c>
      <c r="L87" s="177" t="str">
        <f>IF(I87="Buy",-H87,IF(I87="Sell",H87,""))</f>
        <v/>
      </c>
    </row>
    <row r="88" ht="22" customHeight="1">
      <c r="B88" s="245" t="n"/>
      <c r="C88" s="246" t="str">
        <f>IF($B88="","",IF(COUNTIFS(Пул!$E$5:$E$300,$B88,Пул!$F$5:$F$300,"&lt;&gt;")=0,"",ROUND(SUMIFS(Пул!$F$5:$F$300,Пул!$E$5:$E$300,$B88),8)))</f>
        <v/>
      </c>
      <c r="D88" s="247" t="str">
        <f>IF($B88="","",IF(COUNTIFS(Пул!$E$5:$E$300,$B88,Пул!$G$5:$G$300,"&lt;&gt;")=0,"",ROUND(SUMIFS(Пул!$G$5:$G$300,Пул!$E$5:$E$300,$B88),8)))</f>
        <v/>
      </c>
      <c r="E88" s="246" t="str">
        <f>IF($B88="","",IF(COUNTIFS(Пул!$E$5:$E$300,$B88,Пул!$L$5:$L$300,"Закрыт")=0,"",ROUND(SUMIFS(Пул!$H$5:$H$300,Пул!$E$5:$E$300,$B88,Пул!$L$5:$L$300,"Закрыт"),8)))</f>
        <v/>
      </c>
      <c r="F88" s="247" t="str">
        <f>IF($B88="","",IF(COUNTIFS(Пул!$E$5:$E$300,$B88,Пул!$L$5:$L$300,"Закрыт")=0,"",ROUND(SUMIFS(Пул!$I$5:$I$300,Пул!$E$5:$E$300,$B88,Пул!$L$5:$L$300,"Закрыт"),8)))</f>
        <v/>
      </c>
      <c r="G88" s="246" t="str">
        <f>IF($B88="","",IF(COUNTIFS(Пул!$E$5:$E$300,$B88,Пул!$L$5:$L$300,"Закрыт")=0,"",ROUND(SUMIFS(Пул!$J$5:$J$300,Пул!$E$5:$E$300,$B88,Пул!$L$5:$L$300,"Закрыт"),8)))</f>
        <v/>
      </c>
      <c r="H88" s="247" t="str">
        <f>IF($B88="","",IF(COUNTIFS(Пул!$E$5:$E$300,$B88,Пул!$L$5:$L$300,"Закрыт")=0,"",ROUND(SUMIFS(Пул!$K$5:$K$300,Пул!$E$5:$E$300,$B88,Пул!$L$5:$L$300,"Закрыт"),8)))</f>
        <v/>
      </c>
      <c r="I88" s="242" t="str">
        <f>IF(AND(ISNUMBER(G88),ISNUMBER(H88)),IF(AND(G88&gt;0,H88&lt;0),"Buy",IF(AND(G88&lt;0,H88&gt;0),"Sell","")),"")</f>
        <v/>
      </c>
      <c r="J88" s="183" t="str">
        <f>IF(I88="Buy",G88,IF(I88="Sell",-G88,""))</f>
        <v/>
      </c>
      <c r="K88" s="183" t="str">
        <f>IF(AND(ISNUMBER(J88),ISNUMBER(L88),N(J88)&lt;&gt;0),ROUND(L88/J88,8),"")</f>
        <v/>
      </c>
      <c r="L88" s="183" t="str">
        <f>IF(I88="Buy",-H88,IF(I88="Sell",H88,""))</f>
        <v/>
      </c>
    </row>
    <row r="89" ht="22" customHeight="1">
      <c r="B89" s="239" t="n"/>
      <c r="C89" s="240" t="str">
        <f>IF($B89="","",IF(COUNTIFS(Пул!$E$5:$E$300,$B89,Пул!$F$5:$F$300,"&lt;&gt;")=0,"",ROUND(SUMIFS(Пул!$F$5:$F$300,Пул!$E$5:$E$300,$B89),8)))</f>
        <v/>
      </c>
      <c r="D89" s="241" t="str">
        <f>IF($B89="","",IF(COUNTIFS(Пул!$E$5:$E$300,$B89,Пул!$G$5:$G$300,"&lt;&gt;")=0,"",ROUND(SUMIFS(Пул!$G$5:$G$300,Пул!$E$5:$E$300,$B89),8)))</f>
        <v/>
      </c>
      <c r="E89" s="240" t="str">
        <f>IF($B89="","",IF(COUNTIFS(Пул!$E$5:$E$300,$B89,Пул!$L$5:$L$300,"Закрыт")=0,"",ROUND(SUMIFS(Пул!$H$5:$H$300,Пул!$E$5:$E$300,$B89,Пул!$L$5:$L$300,"Закрыт"),8)))</f>
        <v/>
      </c>
      <c r="F89" s="241" t="str">
        <f>IF($B89="","",IF(COUNTIFS(Пул!$E$5:$E$300,$B89,Пул!$L$5:$L$300,"Закрыт")=0,"",ROUND(SUMIFS(Пул!$I$5:$I$300,Пул!$E$5:$E$300,$B89,Пул!$L$5:$L$300,"Закрыт"),8)))</f>
        <v/>
      </c>
      <c r="G89" s="240" t="str">
        <f>IF($B89="","",IF(COUNTIFS(Пул!$E$5:$E$300,$B89,Пул!$L$5:$L$300,"Закрыт")=0,"",ROUND(SUMIFS(Пул!$J$5:$J$300,Пул!$E$5:$E$300,$B89,Пул!$L$5:$L$300,"Закрыт"),8)))</f>
        <v/>
      </c>
      <c r="H89" s="241" t="str">
        <f>IF($B89="","",IF(COUNTIFS(Пул!$E$5:$E$300,$B89,Пул!$L$5:$L$300,"Закрыт")=0,"",ROUND(SUMIFS(Пул!$K$5:$K$300,Пул!$E$5:$E$300,$B89,Пул!$L$5:$L$300,"Закрыт"),8)))</f>
        <v/>
      </c>
      <c r="I89" s="236" t="str">
        <f>IF(AND(ISNUMBER(G89),ISNUMBER(H89)),IF(AND(G89&gt;0,H89&lt;0),"Buy",IF(AND(G89&lt;0,H89&gt;0),"Sell","")),"")</f>
        <v/>
      </c>
      <c r="J89" s="177" t="str">
        <f>IF(I89="Buy",G89,IF(I89="Sell",-G89,""))</f>
        <v/>
      </c>
      <c r="K89" s="177" t="str">
        <f>IF(AND(ISNUMBER(J89),ISNUMBER(L89),N(J89)&lt;&gt;0),ROUND(L89/J89,8),"")</f>
        <v/>
      </c>
      <c r="L89" s="177" t="str">
        <f>IF(I89="Buy",-H89,IF(I89="Sell",H89,""))</f>
        <v/>
      </c>
    </row>
    <row r="90" ht="22" customHeight="1">
      <c r="B90" s="245" t="n"/>
      <c r="C90" s="246" t="str">
        <f>IF($B90="","",IF(COUNTIFS(Пул!$E$5:$E$300,$B90,Пул!$F$5:$F$300,"&lt;&gt;")=0,"",ROUND(SUMIFS(Пул!$F$5:$F$300,Пул!$E$5:$E$300,$B90),8)))</f>
        <v/>
      </c>
      <c r="D90" s="247" t="str">
        <f>IF($B90="","",IF(COUNTIFS(Пул!$E$5:$E$300,$B90,Пул!$G$5:$G$300,"&lt;&gt;")=0,"",ROUND(SUMIFS(Пул!$G$5:$G$300,Пул!$E$5:$E$300,$B90),8)))</f>
        <v/>
      </c>
      <c r="E90" s="246" t="str">
        <f>IF($B90="","",IF(COUNTIFS(Пул!$E$5:$E$300,$B90,Пул!$L$5:$L$300,"Закрыт")=0,"",ROUND(SUMIFS(Пул!$H$5:$H$300,Пул!$E$5:$E$300,$B90,Пул!$L$5:$L$300,"Закрыт"),8)))</f>
        <v/>
      </c>
      <c r="F90" s="247" t="str">
        <f>IF($B90="","",IF(COUNTIFS(Пул!$E$5:$E$300,$B90,Пул!$L$5:$L$300,"Закрыт")=0,"",ROUND(SUMIFS(Пул!$I$5:$I$300,Пул!$E$5:$E$300,$B90,Пул!$L$5:$L$300,"Закрыт"),8)))</f>
        <v/>
      </c>
      <c r="G90" s="246" t="str">
        <f>IF($B90="","",IF(COUNTIFS(Пул!$E$5:$E$300,$B90,Пул!$L$5:$L$300,"Закрыт")=0,"",ROUND(SUMIFS(Пул!$J$5:$J$300,Пул!$E$5:$E$300,$B90,Пул!$L$5:$L$300,"Закрыт"),8)))</f>
        <v/>
      </c>
      <c r="H90" s="247" t="str">
        <f>IF($B90="","",IF(COUNTIFS(Пул!$E$5:$E$300,$B90,Пул!$L$5:$L$300,"Закрыт")=0,"",ROUND(SUMIFS(Пул!$K$5:$K$300,Пул!$E$5:$E$300,$B90,Пул!$L$5:$L$300,"Закрыт"),8)))</f>
        <v/>
      </c>
      <c r="I90" s="242" t="str">
        <f>IF(AND(ISNUMBER(G90),ISNUMBER(H90)),IF(AND(G90&gt;0,H90&lt;0),"Buy",IF(AND(G90&lt;0,H90&gt;0),"Sell","")),"")</f>
        <v/>
      </c>
      <c r="J90" s="183" t="str">
        <f>IF(I90="Buy",G90,IF(I90="Sell",-G90,""))</f>
        <v/>
      </c>
      <c r="K90" s="183" t="str">
        <f>IF(AND(ISNUMBER(J90),ISNUMBER(L90),N(J90)&lt;&gt;0),ROUND(L90/J90,8),"")</f>
        <v/>
      </c>
      <c r="L90" s="183" t="str">
        <f>IF(I90="Buy",-H90,IF(I90="Sell",H90,""))</f>
        <v/>
      </c>
    </row>
    <row r="91" ht="22" customHeight="1">
      <c r="B91" s="239" t="n"/>
      <c r="C91" s="240" t="str">
        <f>IF($B91="","",IF(COUNTIFS(Пул!$E$5:$E$300,$B91,Пул!$F$5:$F$300,"&lt;&gt;")=0,"",ROUND(SUMIFS(Пул!$F$5:$F$300,Пул!$E$5:$E$300,$B91),8)))</f>
        <v/>
      </c>
      <c r="D91" s="241" t="str">
        <f>IF($B91="","",IF(COUNTIFS(Пул!$E$5:$E$300,$B91,Пул!$G$5:$G$300,"&lt;&gt;")=0,"",ROUND(SUMIFS(Пул!$G$5:$G$300,Пул!$E$5:$E$300,$B91),8)))</f>
        <v/>
      </c>
      <c r="E91" s="240" t="str">
        <f>IF($B91="","",IF(COUNTIFS(Пул!$E$5:$E$300,$B91,Пул!$L$5:$L$300,"Закрыт")=0,"",ROUND(SUMIFS(Пул!$H$5:$H$300,Пул!$E$5:$E$300,$B91,Пул!$L$5:$L$300,"Закрыт"),8)))</f>
        <v/>
      </c>
      <c r="F91" s="241" t="str">
        <f>IF($B91="","",IF(COUNTIFS(Пул!$E$5:$E$300,$B91,Пул!$L$5:$L$300,"Закрыт")=0,"",ROUND(SUMIFS(Пул!$I$5:$I$300,Пул!$E$5:$E$300,$B91,Пул!$L$5:$L$300,"Закрыт"),8)))</f>
        <v/>
      </c>
      <c r="G91" s="240" t="str">
        <f>IF($B91="","",IF(COUNTIFS(Пул!$E$5:$E$300,$B91,Пул!$L$5:$L$300,"Закрыт")=0,"",ROUND(SUMIFS(Пул!$J$5:$J$300,Пул!$E$5:$E$300,$B91,Пул!$L$5:$L$300,"Закрыт"),8)))</f>
        <v/>
      </c>
      <c r="H91" s="241" t="str">
        <f>IF($B91="","",IF(COUNTIFS(Пул!$E$5:$E$300,$B91,Пул!$L$5:$L$300,"Закрыт")=0,"",ROUND(SUMIFS(Пул!$K$5:$K$300,Пул!$E$5:$E$300,$B91,Пул!$L$5:$L$300,"Закрыт"),8)))</f>
        <v/>
      </c>
      <c r="I91" s="236" t="str">
        <f>IF(AND(ISNUMBER(G91),ISNUMBER(H91)),IF(AND(G91&gt;0,H91&lt;0),"Buy",IF(AND(G91&lt;0,H91&gt;0),"Sell","")),"")</f>
        <v/>
      </c>
      <c r="J91" s="177" t="str">
        <f>IF(I91="Buy",G91,IF(I91="Sell",-G91,""))</f>
        <v/>
      </c>
      <c r="K91" s="177" t="str">
        <f>IF(AND(ISNUMBER(J91),ISNUMBER(L91),N(J91)&lt;&gt;0),ROUND(L91/J91,8),"")</f>
        <v/>
      </c>
      <c r="L91" s="177" t="str">
        <f>IF(I91="Buy",-H91,IF(I91="Sell",H91,""))</f>
        <v/>
      </c>
    </row>
    <row r="92" ht="22" customHeight="1">
      <c r="B92" s="245" t="n"/>
      <c r="C92" s="246" t="str">
        <f>IF($B92="","",IF(COUNTIFS(Пул!$E$5:$E$300,$B92,Пул!$F$5:$F$300,"&lt;&gt;")=0,"",ROUND(SUMIFS(Пул!$F$5:$F$300,Пул!$E$5:$E$300,$B92),8)))</f>
        <v/>
      </c>
      <c r="D92" s="247" t="str">
        <f>IF($B92="","",IF(COUNTIFS(Пул!$E$5:$E$300,$B92,Пул!$G$5:$G$300,"&lt;&gt;")=0,"",ROUND(SUMIFS(Пул!$G$5:$G$300,Пул!$E$5:$E$300,$B92),8)))</f>
        <v/>
      </c>
      <c r="E92" s="246" t="str">
        <f>IF($B92="","",IF(COUNTIFS(Пул!$E$5:$E$300,$B92,Пул!$L$5:$L$300,"Закрыт")=0,"",ROUND(SUMIFS(Пул!$H$5:$H$300,Пул!$E$5:$E$300,$B92,Пул!$L$5:$L$300,"Закрыт"),8)))</f>
        <v/>
      </c>
      <c r="F92" s="247" t="str">
        <f>IF($B92="","",IF(COUNTIFS(Пул!$E$5:$E$300,$B92,Пул!$L$5:$L$300,"Закрыт")=0,"",ROUND(SUMIFS(Пул!$I$5:$I$300,Пул!$E$5:$E$300,$B92,Пул!$L$5:$L$300,"Закрыт"),8)))</f>
        <v/>
      </c>
      <c r="G92" s="246" t="str">
        <f>IF($B92="","",IF(COUNTIFS(Пул!$E$5:$E$300,$B92,Пул!$L$5:$L$300,"Закрыт")=0,"",ROUND(SUMIFS(Пул!$J$5:$J$300,Пул!$E$5:$E$300,$B92,Пул!$L$5:$L$300,"Закрыт"),8)))</f>
        <v/>
      </c>
      <c r="H92" s="247" t="str">
        <f>IF($B92="","",IF(COUNTIFS(Пул!$E$5:$E$300,$B92,Пул!$L$5:$L$300,"Закрыт")=0,"",ROUND(SUMIFS(Пул!$K$5:$K$300,Пул!$E$5:$E$300,$B92,Пул!$L$5:$L$300,"Закрыт"),8)))</f>
        <v/>
      </c>
      <c r="I92" s="242" t="str">
        <f>IF(AND(ISNUMBER(G92),ISNUMBER(H92)),IF(AND(G92&gt;0,H92&lt;0),"Buy",IF(AND(G92&lt;0,H92&gt;0),"Sell","")),"")</f>
        <v/>
      </c>
      <c r="J92" s="183" t="str">
        <f>IF(I92="Buy",G92,IF(I92="Sell",-G92,""))</f>
        <v/>
      </c>
      <c r="K92" s="183" t="str">
        <f>IF(AND(ISNUMBER(J92),ISNUMBER(L92),N(J92)&lt;&gt;0),ROUND(L92/J92,8),"")</f>
        <v/>
      </c>
      <c r="L92" s="183" t="str">
        <f>IF(I92="Buy",-H92,IF(I92="Sell",H92,""))</f>
        <v/>
      </c>
    </row>
    <row r="93" ht="22" customHeight="1">
      <c r="B93" s="239" t="n"/>
      <c r="C93" s="240" t="str">
        <f>IF($B93="","",IF(COUNTIFS(Пул!$E$5:$E$300,$B93,Пул!$F$5:$F$300,"&lt;&gt;")=0,"",ROUND(SUMIFS(Пул!$F$5:$F$300,Пул!$E$5:$E$300,$B93),8)))</f>
        <v/>
      </c>
      <c r="D93" s="241" t="str">
        <f>IF($B93="","",IF(COUNTIFS(Пул!$E$5:$E$300,$B93,Пул!$G$5:$G$300,"&lt;&gt;")=0,"",ROUND(SUMIFS(Пул!$G$5:$G$300,Пул!$E$5:$E$300,$B93),8)))</f>
        <v/>
      </c>
      <c r="E93" s="240" t="str">
        <f>IF($B93="","",IF(COUNTIFS(Пул!$E$5:$E$300,$B93,Пул!$L$5:$L$300,"Закрыт")=0,"",ROUND(SUMIFS(Пул!$H$5:$H$300,Пул!$E$5:$E$300,$B93,Пул!$L$5:$L$300,"Закрыт"),8)))</f>
        <v/>
      </c>
      <c r="F93" s="241" t="str">
        <f>IF($B93="","",IF(COUNTIFS(Пул!$E$5:$E$300,$B93,Пул!$L$5:$L$300,"Закрыт")=0,"",ROUND(SUMIFS(Пул!$I$5:$I$300,Пул!$E$5:$E$300,$B93,Пул!$L$5:$L$300,"Закрыт"),8)))</f>
        <v/>
      </c>
      <c r="G93" s="240" t="str">
        <f>IF($B93="","",IF(COUNTIFS(Пул!$E$5:$E$300,$B93,Пул!$L$5:$L$300,"Закрыт")=0,"",ROUND(SUMIFS(Пул!$J$5:$J$300,Пул!$E$5:$E$300,$B93,Пул!$L$5:$L$300,"Закрыт"),8)))</f>
        <v/>
      </c>
      <c r="H93" s="241" t="str">
        <f>IF($B93="","",IF(COUNTIFS(Пул!$E$5:$E$300,$B93,Пул!$L$5:$L$300,"Закрыт")=0,"",ROUND(SUMIFS(Пул!$K$5:$K$300,Пул!$E$5:$E$300,$B93,Пул!$L$5:$L$300,"Закрыт"),8)))</f>
        <v/>
      </c>
      <c r="I93" s="236" t="str">
        <f>IF(AND(ISNUMBER(G93),ISNUMBER(H93)),IF(AND(G93&gt;0,H93&lt;0),"Buy",IF(AND(G93&lt;0,H93&gt;0),"Sell","")),"")</f>
        <v/>
      </c>
      <c r="J93" s="177" t="str">
        <f>IF(I93="Buy",G93,IF(I93="Sell",-G93,""))</f>
        <v/>
      </c>
      <c r="K93" s="177" t="str">
        <f>IF(AND(ISNUMBER(J93),ISNUMBER(L93),N(J93)&lt;&gt;0),ROUND(L93/J93,8),"")</f>
        <v/>
      </c>
      <c r="L93" s="177" t="str">
        <f>IF(I93="Buy",-H93,IF(I93="Sell",H93,""))</f>
        <v/>
      </c>
    </row>
    <row r="94" ht="22" customHeight="1">
      <c r="B94" s="245" t="n"/>
      <c r="C94" s="246" t="str">
        <f>IF($B94="","",IF(COUNTIFS(Пул!$E$5:$E$300,$B94,Пул!$F$5:$F$300,"&lt;&gt;")=0,"",ROUND(SUMIFS(Пул!$F$5:$F$300,Пул!$E$5:$E$300,$B94),8)))</f>
        <v/>
      </c>
      <c r="D94" s="247" t="str">
        <f>IF($B94="","",IF(COUNTIFS(Пул!$E$5:$E$300,$B94,Пул!$G$5:$G$300,"&lt;&gt;")=0,"",ROUND(SUMIFS(Пул!$G$5:$G$300,Пул!$E$5:$E$300,$B94),8)))</f>
        <v/>
      </c>
      <c r="E94" s="246" t="str">
        <f>IF($B94="","",IF(COUNTIFS(Пул!$E$5:$E$300,$B94,Пул!$L$5:$L$300,"Закрыт")=0,"",ROUND(SUMIFS(Пул!$H$5:$H$300,Пул!$E$5:$E$300,$B94,Пул!$L$5:$L$300,"Закрыт"),8)))</f>
        <v/>
      </c>
      <c r="F94" s="247" t="str">
        <f>IF($B94="","",IF(COUNTIFS(Пул!$E$5:$E$300,$B94,Пул!$L$5:$L$300,"Закрыт")=0,"",ROUND(SUMIFS(Пул!$I$5:$I$300,Пул!$E$5:$E$300,$B94,Пул!$L$5:$L$300,"Закрыт"),8)))</f>
        <v/>
      </c>
      <c r="G94" s="246" t="str">
        <f>IF($B94="","",IF(COUNTIFS(Пул!$E$5:$E$300,$B94,Пул!$L$5:$L$300,"Закрыт")=0,"",ROUND(SUMIFS(Пул!$J$5:$J$300,Пул!$E$5:$E$300,$B94,Пул!$L$5:$L$300,"Закрыт"),8)))</f>
        <v/>
      </c>
      <c r="H94" s="247" t="str">
        <f>IF($B94="","",IF(COUNTIFS(Пул!$E$5:$E$300,$B94,Пул!$L$5:$L$300,"Закрыт")=0,"",ROUND(SUMIFS(Пул!$K$5:$K$300,Пул!$E$5:$E$300,$B94,Пул!$L$5:$L$300,"Закрыт"),8)))</f>
        <v/>
      </c>
      <c r="I94" s="242" t="str">
        <f>IF(AND(ISNUMBER(G94),ISNUMBER(H94)),IF(AND(G94&gt;0,H94&lt;0),"Buy",IF(AND(G94&lt;0,H94&gt;0),"Sell","")),"")</f>
        <v/>
      </c>
      <c r="J94" s="183" t="str">
        <f>IF(I94="Buy",G94,IF(I94="Sell",-G94,""))</f>
        <v/>
      </c>
      <c r="K94" s="183" t="str">
        <f>IF(AND(ISNUMBER(J94),ISNUMBER(L94),N(J94)&lt;&gt;0),ROUND(L94/J94,8),"")</f>
        <v/>
      </c>
      <c r="L94" s="183" t="str">
        <f>IF(I94="Buy",-H94,IF(I94="Sell",H94,""))</f>
        <v/>
      </c>
    </row>
    <row r="95" ht="22" customHeight="1">
      <c r="B95" s="239" t="n"/>
      <c r="C95" s="240" t="str">
        <f>IF($B95="","",IF(COUNTIFS(Пул!$E$5:$E$300,$B95,Пул!$F$5:$F$300,"&lt;&gt;")=0,"",ROUND(SUMIFS(Пул!$F$5:$F$300,Пул!$E$5:$E$300,$B95),8)))</f>
        <v/>
      </c>
      <c r="D95" s="241" t="str">
        <f>IF($B95="","",IF(COUNTIFS(Пул!$E$5:$E$300,$B95,Пул!$G$5:$G$300,"&lt;&gt;")=0,"",ROUND(SUMIFS(Пул!$G$5:$G$300,Пул!$E$5:$E$300,$B95),8)))</f>
        <v/>
      </c>
      <c r="E95" s="240" t="str">
        <f>IF($B95="","",IF(COUNTIFS(Пул!$E$5:$E$300,$B95,Пул!$L$5:$L$300,"Закрыт")=0,"",ROUND(SUMIFS(Пул!$H$5:$H$300,Пул!$E$5:$E$300,$B95,Пул!$L$5:$L$300,"Закрыт"),8)))</f>
        <v/>
      </c>
      <c r="F95" s="241" t="str">
        <f>IF($B95="","",IF(COUNTIFS(Пул!$E$5:$E$300,$B95,Пул!$L$5:$L$300,"Закрыт")=0,"",ROUND(SUMIFS(Пул!$I$5:$I$300,Пул!$E$5:$E$300,$B95,Пул!$L$5:$L$300,"Закрыт"),8)))</f>
        <v/>
      </c>
      <c r="G95" s="240" t="str">
        <f>IF($B95="","",IF(COUNTIFS(Пул!$E$5:$E$300,$B95,Пул!$L$5:$L$300,"Закрыт")=0,"",ROUND(SUMIFS(Пул!$J$5:$J$300,Пул!$E$5:$E$300,$B95,Пул!$L$5:$L$300,"Закрыт"),8)))</f>
        <v/>
      </c>
      <c r="H95" s="241" t="str">
        <f>IF($B95="","",IF(COUNTIFS(Пул!$E$5:$E$300,$B95,Пул!$L$5:$L$300,"Закрыт")=0,"",ROUND(SUMIFS(Пул!$K$5:$K$300,Пул!$E$5:$E$300,$B95,Пул!$L$5:$L$300,"Закрыт"),8)))</f>
        <v/>
      </c>
      <c r="I95" s="236" t="str">
        <f>IF(AND(ISNUMBER(G95),ISNUMBER(H95)),IF(AND(G95&gt;0,H95&lt;0),"Buy",IF(AND(G95&lt;0,H95&gt;0),"Sell","")),"")</f>
        <v/>
      </c>
      <c r="J95" s="177" t="str">
        <f>IF(I95="Buy",G95,IF(I95="Sell",-G95,""))</f>
        <v/>
      </c>
      <c r="K95" s="177" t="str">
        <f>IF(AND(ISNUMBER(J95),ISNUMBER(L95),N(J95)&lt;&gt;0),ROUND(L95/J95,8),"")</f>
        <v/>
      </c>
      <c r="L95" s="177" t="str">
        <f>IF(I95="Buy",-H95,IF(I95="Sell",H95,""))</f>
        <v/>
      </c>
    </row>
    <row r="96" ht="22" customHeight="1">
      <c r="B96" s="245" t="n"/>
      <c r="C96" s="246" t="str">
        <f>IF($B96="","",IF(COUNTIFS(Пул!$E$5:$E$300,$B96,Пул!$F$5:$F$300,"&lt;&gt;")=0,"",ROUND(SUMIFS(Пул!$F$5:$F$300,Пул!$E$5:$E$300,$B96),8)))</f>
        <v/>
      </c>
      <c r="D96" s="247" t="str">
        <f>IF($B96="","",IF(COUNTIFS(Пул!$E$5:$E$300,$B96,Пул!$G$5:$G$300,"&lt;&gt;")=0,"",ROUND(SUMIFS(Пул!$G$5:$G$300,Пул!$E$5:$E$300,$B96),8)))</f>
        <v/>
      </c>
      <c r="E96" s="246" t="str">
        <f>IF($B96="","",IF(COUNTIFS(Пул!$E$5:$E$300,$B96,Пул!$L$5:$L$300,"Закрыт")=0,"",ROUND(SUMIFS(Пул!$H$5:$H$300,Пул!$E$5:$E$300,$B96,Пул!$L$5:$L$300,"Закрыт"),8)))</f>
        <v/>
      </c>
      <c r="F96" s="247" t="str">
        <f>IF($B96="","",IF(COUNTIFS(Пул!$E$5:$E$300,$B96,Пул!$L$5:$L$300,"Закрыт")=0,"",ROUND(SUMIFS(Пул!$I$5:$I$300,Пул!$E$5:$E$300,$B96,Пул!$L$5:$L$300,"Закрыт"),8)))</f>
        <v/>
      </c>
      <c r="G96" s="246" t="str">
        <f>IF($B96="","",IF(COUNTIFS(Пул!$E$5:$E$300,$B96,Пул!$L$5:$L$300,"Закрыт")=0,"",ROUND(SUMIFS(Пул!$J$5:$J$300,Пул!$E$5:$E$300,$B96,Пул!$L$5:$L$300,"Закрыт"),8)))</f>
        <v/>
      </c>
      <c r="H96" s="247" t="str">
        <f>IF($B96="","",IF(COUNTIFS(Пул!$E$5:$E$300,$B96,Пул!$L$5:$L$300,"Закрыт")=0,"",ROUND(SUMIFS(Пул!$K$5:$K$300,Пул!$E$5:$E$300,$B96,Пул!$L$5:$L$300,"Закрыт"),8)))</f>
        <v/>
      </c>
      <c r="I96" s="242" t="str">
        <f>IF(AND(ISNUMBER(G96),ISNUMBER(H96)),IF(AND(G96&gt;0,H96&lt;0),"Buy",IF(AND(G96&lt;0,H96&gt;0),"Sell","")),"")</f>
        <v/>
      </c>
      <c r="J96" s="183" t="str">
        <f>IF(I96="Buy",G96,IF(I96="Sell",-G96,""))</f>
        <v/>
      </c>
      <c r="K96" s="183" t="str">
        <f>IF(AND(ISNUMBER(J96),ISNUMBER(L96),N(J96)&lt;&gt;0),ROUND(L96/J96,8),"")</f>
        <v/>
      </c>
      <c r="L96" s="183" t="str">
        <f>IF(I96="Buy",-H96,IF(I96="Sell",H96,""))</f>
        <v/>
      </c>
    </row>
    <row r="97" ht="22" customHeight="1">
      <c r="B97" s="239" t="n"/>
      <c r="C97" s="240" t="str">
        <f>IF($B97="","",IF(COUNTIFS(Пул!$E$5:$E$300,$B97,Пул!$F$5:$F$300,"&lt;&gt;")=0,"",ROUND(SUMIFS(Пул!$F$5:$F$300,Пул!$E$5:$E$300,$B97),8)))</f>
        <v/>
      </c>
      <c r="D97" s="241" t="str">
        <f>IF($B97="","",IF(COUNTIFS(Пул!$E$5:$E$300,$B97,Пул!$G$5:$G$300,"&lt;&gt;")=0,"",ROUND(SUMIFS(Пул!$G$5:$G$300,Пул!$E$5:$E$300,$B97),8)))</f>
        <v/>
      </c>
      <c r="E97" s="240" t="str">
        <f>IF($B97="","",IF(COUNTIFS(Пул!$E$5:$E$300,$B97,Пул!$L$5:$L$300,"Закрыт")=0,"",ROUND(SUMIFS(Пул!$H$5:$H$300,Пул!$E$5:$E$300,$B97,Пул!$L$5:$L$300,"Закрыт"),8)))</f>
        <v/>
      </c>
      <c r="F97" s="241" t="str">
        <f>IF($B97="","",IF(COUNTIFS(Пул!$E$5:$E$300,$B97,Пул!$L$5:$L$300,"Закрыт")=0,"",ROUND(SUMIFS(Пул!$I$5:$I$300,Пул!$E$5:$E$300,$B97,Пул!$L$5:$L$300,"Закрыт"),8)))</f>
        <v/>
      </c>
      <c r="G97" s="240" t="str">
        <f>IF($B97="","",IF(COUNTIFS(Пул!$E$5:$E$300,$B97,Пул!$L$5:$L$300,"Закрыт")=0,"",ROUND(SUMIFS(Пул!$J$5:$J$300,Пул!$E$5:$E$300,$B97,Пул!$L$5:$L$300,"Закрыт"),8)))</f>
        <v/>
      </c>
      <c r="H97" s="241" t="str">
        <f>IF($B97="","",IF(COUNTIFS(Пул!$E$5:$E$300,$B97,Пул!$L$5:$L$300,"Закрыт")=0,"",ROUND(SUMIFS(Пул!$K$5:$K$300,Пул!$E$5:$E$300,$B97,Пул!$L$5:$L$300,"Закрыт"),8)))</f>
        <v/>
      </c>
      <c r="I97" s="236" t="str">
        <f>IF(AND(ISNUMBER(G97),ISNUMBER(H97)),IF(AND(G97&gt;0,H97&lt;0),"Buy",IF(AND(G97&lt;0,H97&gt;0),"Sell","")),"")</f>
        <v/>
      </c>
      <c r="J97" s="177" t="str">
        <f>IF(I97="Buy",G97,IF(I97="Sell",-G97,""))</f>
        <v/>
      </c>
      <c r="K97" s="177" t="str">
        <f>IF(AND(ISNUMBER(J97),ISNUMBER(L97),N(J97)&lt;&gt;0),ROUND(L97/J97,8),"")</f>
        <v/>
      </c>
      <c r="L97" s="177" t="str">
        <f>IF(I97="Buy",-H97,IF(I97="Sell",H97,""))</f>
        <v/>
      </c>
    </row>
    <row r="98" ht="22" customHeight="1">
      <c r="B98" s="245" t="n"/>
      <c r="C98" s="246" t="str">
        <f>IF($B98="","",IF(COUNTIFS(Пул!$E$5:$E$300,$B98,Пул!$F$5:$F$300,"&lt;&gt;")=0,"",ROUND(SUMIFS(Пул!$F$5:$F$300,Пул!$E$5:$E$300,$B98),8)))</f>
        <v/>
      </c>
      <c r="D98" s="247" t="str">
        <f>IF($B98="","",IF(COUNTIFS(Пул!$E$5:$E$300,$B98,Пул!$G$5:$G$300,"&lt;&gt;")=0,"",ROUND(SUMIFS(Пул!$G$5:$G$300,Пул!$E$5:$E$300,$B98),8)))</f>
        <v/>
      </c>
      <c r="E98" s="246" t="str">
        <f>IF($B98="","",IF(COUNTIFS(Пул!$E$5:$E$300,$B98,Пул!$L$5:$L$300,"Закрыт")=0,"",ROUND(SUMIFS(Пул!$H$5:$H$300,Пул!$E$5:$E$300,$B98,Пул!$L$5:$L$300,"Закрыт"),8)))</f>
        <v/>
      </c>
      <c r="F98" s="247" t="str">
        <f>IF($B98="","",IF(COUNTIFS(Пул!$E$5:$E$300,$B98,Пул!$L$5:$L$300,"Закрыт")=0,"",ROUND(SUMIFS(Пул!$I$5:$I$300,Пул!$E$5:$E$300,$B98,Пул!$L$5:$L$300,"Закрыт"),8)))</f>
        <v/>
      </c>
      <c r="G98" s="246" t="str">
        <f>IF($B98="","",IF(COUNTIFS(Пул!$E$5:$E$300,$B98,Пул!$L$5:$L$300,"Закрыт")=0,"",ROUND(SUMIFS(Пул!$J$5:$J$300,Пул!$E$5:$E$300,$B98,Пул!$L$5:$L$300,"Закрыт"),8)))</f>
        <v/>
      </c>
      <c r="H98" s="247" t="str">
        <f>IF($B98="","",IF(COUNTIFS(Пул!$E$5:$E$300,$B98,Пул!$L$5:$L$300,"Закрыт")=0,"",ROUND(SUMIFS(Пул!$K$5:$K$300,Пул!$E$5:$E$300,$B98,Пул!$L$5:$L$300,"Закрыт"),8)))</f>
        <v/>
      </c>
      <c r="I98" s="242" t="str">
        <f>IF(AND(ISNUMBER(G98),ISNUMBER(H98)),IF(AND(G98&gt;0,H98&lt;0),"Buy",IF(AND(G98&lt;0,H98&gt;0),"Sell","")),"")</f>
        <v/>
      </c>
      <c r="J98" s="183" t="str">
        <f>IF(I98="Buy",G98,IF(I98="Sell",-G98,""))</f>
        <v/>
      </c>
      <c r="K98" s="183" t="str">
        <f>IF(AND(ISNUMBER(J98),ISNUMBER(L98),N(J98)&lt;&gt;0),ROUND(L98/J98,8),"")</f>
        <v/>
      </c>
      <c r="L98" s="183" t="str">
        <f>IF(I98="Buy",-H98,IF(I98="Sell",H98,""))</f>
        <v/>
      </c>
    </row>
    <row r="99" ht="22" customHeight="1">
      <c r="B99" s="239" t="n"/>
      <c r="C99" s="240" t="str">
        <f>IF($B99="","",IF(COUNTIFS(Пул!$E$5:$E$300,$B99,Пул!$F$5:$F$300,"&lt;&gt;")=0,"",ROUND(SUMIFS(Пул!$F$5:$F$300,Пул!$E$5:$E$300,$B99),8)))</f>
        <v/>
      </c>
      <c r="D99" s="241" t="str">
        <f>IF($B99="","",IF(COUNTIFS(Пул!$E$5:$E$300,$B99,Пул!$G$5:$G$300,"&lt;&gt;")=0,"",ROUND(SUMIFS(Пул!$G$5:$G$300,Пул!$E$5:$E$300,$B99),8)))</f>
        <v/>
      </c>
      <c r="E99" s="240" t="str">
        <f>IF($B99="","",IF(COUNTIFS(Пул!$E$5:$E$300,$B99,Пул!$L$5:$L$300,"Закрыт")=0,"",ROUND(SUMIFS(Пул!$H$5:$H$300,Пул!$E$5:$E$300,$B99,Пул!$L$5:$L$300,"Закрыт"),8)))</f>
        <v/>
      </c>
      <c r="F99" s="241" t="str">
        <f>IF($B99="","",IF(COUNTIFS(Пул!$E$5:$E$300,$B99,Пул!$L$5:$L$300,"Закрыт")=0,"",ROUND(SUMIFS(Пул!$I$5:$I$300,Пул!$E$5:$E$300,$B99,Пул!$L$5:$L$300,"Закрыт"),8)))</f>
        <v/>
      </c>
      <c r="G99" s="240" t="str">
        <f>IF($B99="","",IF(COUNTIFS(Пул!$E$5:$E$300,$B99,Пул!$L$5:$L$300,"Закрыт")=0,"",ROUND(SUMIFS(Пул!$J$5:$J$300,Пул!$E$5:$E$300,$B99,Пул!$L$5:$L$300,"Закрыт"),8)))</f>
        <v/>
      </c>
      <c r="H99" s="241" t="str">
        <f>IF($B99="","",IF(COUNTIFS(Пул!$E$5:$E$300,$B99,Пул!$L$5:$L$300,"Закрыт")=0,"",ROUND(SUMIFS(Пул!$K$5:$K$300,Пул!$E$5:$E$300,$B99,Пул!$L$5:$L$300,"Закрыт"),8)))</f>
        <v/>
      </c>
      <c r="I99" s="236" t="str">
        <f>IF(AND(ISNUMBER(G99),ISNUMBER(H99)),IF(AND(G99&gt;0,H99&lt;0),"Buy",IF(AND(G99&lt;0,H99&gt;0),"Sell","")),"")</f>
        <v/>
      </c>
      <c r="J99" s="177" t="str">
        <f>IF(I99="Buy",G99,IF(I99="Sell",-G99,""))</f>
        <v/>
      </c>
      <c r="K99" s="177" t="str">
        <f>IF(AND(ISNUMBER(J99),ISNUMBER(L99),N(J99)&lt;&gt;0),ROUND(L99/J99,8),"")</f>
        <v/>
      </c>
      <c r="L99" s="177" t="str">
        <f>IF(I99="Buy",-H99,IF(I99="Sell",H99,""))</f>
        <v/>
      </c>
    </row>
    <row r="100" ht="22" customHeight="1">
      <c r="B100" s="245" t="n"/>
      <c r="C100" s="246" t="str">
        <f>IF($B100="","",IF(COUNTIFS(Пул!$E$5:$E$300,$B100,Пул!$F$5:$F$300,"&lt;&gt;")=0,"",ROUND(SUMIFS(Пул!$F$5:$F$300,Пул!$E$5:$E$300,$B100),8)))</f>
        <v/>
      </c>
      <c r="D100" s="247" t="str">
        <f>IF($B100="","",IF(COUNTIFS(Пул!$E$5:$E$300,$B100,Пул!$G$5:$G$300,"&lt;&gt;")=0,"",ROUND(SUMIFS(Пул!$G$5:$G$300,Пул!$E$5:$E$300,$B100),8)))</f>
        <v/>
      </c>
      <c r="E100" s="246" t="str">
        <f>IF($B100="","",IF(COUNTIFS(Пул!$E$5:$E$300,$B100,Пул!$L$5:$L$300,"Закрыт")=0,"",ROUND(SUMIFS(Пул!$H$5:$H$300,Пул!$E$5:$E$300,$B100,Пул!$L$5:$L$300,"Закрыт"),8)))</f>
        <v/>
      </c>
      <c r="F100" s="247" t="str">
        <f>IF($B100="","",IF(COUNTIFS(Пул!$E$5:$E$300,$B100,Пул!$L$5:$L$300,"Закрыт")=0,"",ROUND(SUMIFS(Пул!$I$5:$I$300,Пул!$E$5:$E$300,$B100,Пул!$L$5:$L$300,"Закрыт"),8)))</f>
        <v/>
      </c>
      <c r="G100" s="246" t="str">
        <f>IF($B100="","",IF(COUNTIFS(Пул!$E$5:$E$300,$B100,Пул!$L$5:$L$300,"Закрыт")=0,"",ROUND(SUMIFS(Пул!$J$5:$J$300,Пул!$E$5:$E$300,$B100,Пул!$L$5:$L$300,"Закрыт"),8)))</f>
        <v/>
      </c>
      <c r="H100" s="247" t="str">
        <f>IF($B100="","",IF(COUNTIFS(Пул!$E$5:$E$300,$B100,Пул!$L$5:$L$300,"Закрыт")=0,"",ROUND(SUMIFS(Пул!$K$5:$K$300,Пул!$E$5:$E$300,$B100,Пул!$L$5:$L$300,"Закрыт"),8)))</f>
        <v/>
      </c>
      <c r="I100" s="242" t="str">
        <f>IF(AND(ISNUMBER(G100),ISNUMBER(H100)),IF(AND(G100&gt;0,H100&lt;0),"Buy",IF(AND(G100&lt;0,H100&gt;0),"Sell","")),"")</f>
        <v/>
      </c>
      <c r="J100" s="183" t="str">
        <f>IF(I100="Buy",G100,IF(I100="Sell",-G100,""))</f>
        <v/>
      </c>
      <c r="K100" s="183" t="str">
        <f>IF(AND(ISNUMBER(J100),ISNUMBER(L100),N(J100)&lt;&gt;0),ROUND(L100/J100,8),"")</f>
        <v/>
      </c>
      <c r="L100" s="183" t="str">
        <f>IF(I100="Buy",-H100,IF(I100="Sell",H100,""))</f>
        <v/>
      </c>
    </row>
    <row r="101" ht="22" customHeight="1">
      <c r="B101" s="239" t="n"/>
      <c r="C101" s="240" t="str">
        <f>IF($B101="","",IF(COUNTIFS(Пул!$E$5:$E$300,$B101,Пул!$F$5:$F$300,"&lt;&gt;")=0,"",ROUND(SUMIFS(Пул!$F$5:$F$300,Пул!$E$5:$E$300,$B101),8)))</f>
        <v/>
      </c>
      <c r="D101" s="241" t="str">
        <f>IF($B101="","",IF(COUNTIFS(Пул!$E$5:$E$300,$B101,Пул!$G$5:$G$300,"&lt;&gt;")=0,"",ROUND(SUMIFS(Пул!$G$5:$G$300,Пул!$E$5:$E$300,$B101),8)))</f>
        <v/>
      </c>
      <c r="E101" s="240" t="str">
        <f>IF($B101="","",IF(COUNTIFS(Пул!$E$5:$E$300,$B101,Пул!$L$5:$L$300,"Закрыт")=0,"",ROUND(SUMIFS(Пул!$H$5:$H$300,Пул!$E$5:$E$300,$B101,Пул!$L$5:$L$300,"Закрыт"),8)))</f>
        <v/>
      </c>
      <c r="F101" s="241" t="str">
        <f>IF($B101="","",IF(COUNTIFS(Пул!$E$5:$E$300,$B101,Пул!$L$5:$L$300,"Закрыт")=0,"",ROUND(SUMIFS(Пул!$I$5:$I$300,Пул!$E$5:$E$300,$B101,Пул!$L$5:$L$300,"Закрыт"),8)))</f>
        <v/>
      </c>
      <c r="G101" s="240" t="str">
        <f>IF($B101="","",IF(COUNTIFS(Пул!$E$5:$E$300,$B101,Пул!$L$5:$L$300,"Закрыт")=0,"",ROUND(SUMIFS(Пул!$J$5:$J$300,Пул!$E$5:$E$300,$B101,Пул!$L$5:$L$300,"Закрыт"),8)))</f>
        <v/>
      </c>
      <c r="H101" s="241" t="str">
        <f>IF($B101="","",IF(COUNTIFS(Пул!$E$5:$E$300,$B101,Пул!$L$5:$L$300,"Закрыт")=0,"",ROUND(SUMIFS(Пул!$K$5:$K$300,Пул!$E$5:$E$300,$B101,Пул!$L$5:$L$300,"Закрыт"),8)))</f>
        <v/>
      </c>
      <c r="I101" s="236" t="str">
        <f>IF(AND(ISNUMBER(G101),ISNUMBER(H101)),IF(AND(G101&gt;0,H101&lt;0),"Buy",IF(AND(G101&lt;0,H101&gt;0),"Sell","")),"")</f>
        <v/>
      </c>
      <c r="J101" s="177" t="str">
        <f>IF(I101="Buy",G101,IF(I101="Sell",-G101,""))</f>
        <v/>
      </c>
      <c r="K101" s="177" t="str">
        <f>IF(AND(ISNUMBER(J101),ISNUMBER(L101),N(J101)&lt;&gt;0),ROUND(L101/J101,8),"")</f>
        <v/>
      </c>
      <c r="L101" s="177" t="str">
        <f>IF(I101="Buy",-H101,IF(I101="Sell",H101,""))</f>
        <v/>
      </c>
    </row>
    <row r="102" ht="22" customHeight="1">
      <c r="B102" s="245" t="n"/>
      <c r="C102" s="246" t="str">
        <f>IF($B102="","",IF(COUNTIFS(Пул!$E$5:$E$300,$B102,Пул!$F$5:$F$300,"&lt;&gt;")=0,"",ROUND(SUMIFS(Пул!$F$5:$F$300,Пул!$E$5:$E$300,$B102),8)))</f>
        <v/>
      </c>
      <c r="D102" s="247" t="str">
        <f>IF($B102="","",IF(COUNTIFS(Пул!$E$5:$E$300,$B102,Пул!$G$5:$G$300,"&lt;&gt;")=0,"",ROUND(SUMIFS(Пул!$G$5:$G$300,Пул!$E$5:$E$300,$B102),8)))</f>
        <v/>
      </c>
      <c r="E102" s="246" t="str">
        <f>IF($B102="","",IF(COUNTIFS(Пул!$E$5:$E$300,$B102,Пул!$L$5:$L$300,"Закрыт")=0,"",ROUND(SUMIFS(Пул!$H$5:$H$300,Пул!$E$5:$E$300,$B102,Пул!$L$5:$L$300,"Закрыт"),8)))</f>
        <v/>
      </c>
      <c r="F102" s="247" t="str">
        <f>IF($B102="","",IF(COUNTIFS(Пул!$E$5:$E$300,$B102,Пул!$L$5:$L$300,"Закрыт")=0,"",ROUND(SUMIFS(Пул!$I$5:$I$300,Пул!$E$5:$E$300,$B102,Пул!$L$5:$L$300,"Закрыт"),8)))</f>
        <v/>
      </c>
      <c r="G102" s="246" t="str">
        <f>IF($B102="","",IF(COUNTIFS(Пул!$E$5:$E$300,$B102,Пул!$L$5:$L$300,"Закрыт")=0,"",ROUND(SUMIFS(Пул!$J$5:$J$300,Пул!$E$5:$E$300,$B102,Пул!$L$5:$L$300,"Закрыт"),8)))</f>
        <v/>
      </c>
      <c r="H102" s="247" t="str">
        <f>IF($B102="","",IF(COUNTIFS(Пул!$E$5:$E$300,$B102,Пул!$L$5:$L$300,"Закрыт")=0,"",ROUND(SUMIFS(Пул!$K$5:$K$300,Пул!$E$5:$E$300,$B102,Пул!$L$5:$L$300,"Закрыт"),8)))</f>
        <v/>
      </c>
      <c r="I102" s="242" t="str">
        <f>IF(AND(ISNUMBER(G102),ISNUMBER(H102)),IF(AND(G102&gt;0,H102&lt;0),"Buy",IF(AND(G102&lt;0,H102&gt;0),"Sell","")),"")</f>
        <v/>
      </c>
      <c r="J102" s="183" t="str">
        <f>IF(I102="Buy",G102,IF(I102="Sell",-G102,""))</f>
        <v/>
      </c>
      <c r="K102" s="183" t="str">
        <f>IF(AND(ISNUMBER(J102),ISNUMBER(L102),N(J102)&lt;&gt;0),ROUND(L102/J102,8),"")</f>
        <v/>
      </c>
      <c r="L102" s="183" t="str">
        <f>IF(I102="Buy",-H102,IF(I102="Sell",H102,""))</f>
        <v/>
      </c>
    </row>
    <row r="103" ht="22" customHeight="1">
      <c r="B103" s="239" t="n"/>
      <c r="C103" s="240" t="str">
        <f>IF($B103="","",IF(COUNTIFS(Пул!$E$5:$E$300,$B103,Пул!$F$5:$F$300,"&lt;&gt;")=0,"",ROUND(SUMIFS(Пул!$F$5:$F$300,Пул!$E$5:$E$300,$B103),8)))</f>
        <v/>
      </c>
      <c r="D103" s="241" t="str">
        <f>IF($B103="","",IF(COUNTIFS(Пул!$E$5:$E$300,$B103,Пул!$G$5:$G$300,"&lt;&gt;")=0,"",ROUND(SUMIFS(Пул!$G$5:$G$300,Пул!$E$5:$E$300,$B103),8)))</f>
        <v/>
      </c>
      <c r="E103" s="240" t="str">
        <f>IF($B103="","",IF(COUNTIFS(Пул!$E$5:$E$300,$B103,Пул!$L$5:$L$300,"Закрыт")=0,"",ROUND(SUMIFS(Пул!$H$5:$H$300,Пул!$E$5:$E$300,$B103,Пул!$L$5:$L$300,"Закрыт"),8)))</f>
        <v/>
      </c>
      <c r="F103" s="241" t="str">
        <f>IF($B103="","",IF(COUNTIFS(Пул!$E$5:$E$300,$B103,Пул!$L$5:$L$300,"Закрыт")=0,"",ROUND(SUMIFS(Пул!$I$5:$I$300,Пул!$E$5:$E$300,$B103,Пул!$L$5:$L$300,"Закрыт"),8)))</f>
        <v/>
      </c>
      <c r="G103" s="240" t="str">
        <f>IF($B103="","",IF(COUNTIFS(Пул!$E$5:$E$300,$B103,Пул!$L$5:$L$300,"Закрыт")=0,"",ROUND(SUMIFS(Пул!$J$5:$J$300,Пул!$E$5:$E$300,$B103,Пул!$L$5:$L$300,"Закрыт"),8)))</f>
        <v/>
      </c>
      <c r="H103" s="241" t="str">
        <f>IF($B103="","",IF(COUNTIFS(Пул!$E$5:$E$300,$B103,Пул!$L$5:$L$300,"Закрыт")=0,"",ROUND(SUMIFS(Пул!$K$5:$K$300,Пул!$E$5:$E$300,$B103,Пул!$L$5:$L$300,"Закрыт"),8)))</f>
        <v/>
      </c>
      <c r="I103" s="236" t="str">
        <f>IF(AND(ISNUMBER(G103),ISNUMBER(H103)),IF(AND(G103&gt;0,H103&lt;0),"Buy",IF(AND(G103&lt;0,H103&gt;0),"Sell","")),"")</f>
        <v/>
      </c>
      <c r="J103" s="177" t="str">
        <f>IF(I103="Buy",G103,IF(I103="Sell",-G103,""))</f>
        <v/>
      </c>
      <c r="K103" s="177" t="str">
        <f>IF(AND(ISNUMBER(J103),ISNUMBER(L103),N(J103)&lt;&gt;0),ROUND(L103/J103,8),"")</f>
        <v/>
      </c>
      <c r="L103" s="177" t="str">
        <f>IF(I103="Buy",-H103,IF(I103="Sell",H103,""))</f>
        <v/>
      </c>
    </row>
    <row r="104" ht="22" customHeight="1">
      <c r="B104" s="245" t="n"/>
      <c r="C104" s="246" t="str">
        <f>IF($B104="","",IF(COUNTIFS(Пул!$E$5:$E$300,$B104,Пул!$F$5:$F$300,"&lt;&gt;")=0,"",ROUND(SUMIFS(Пул!$F$5:$F$300,Пул!$E$5:$E$300,$B104),8)))</f>
        <v/>
      </c>
      <c r="D104" s="247" t="str">
        <f>IF($B104="","",IF(COUNTIFS(Пул!$E$5:$E$300,$B104,Пул!$G$5:$G$300,"&lt;&gt;")=0,"",ROUND(SUMIFS(Пул!$G$5:$G$300,Пул!$E$5:$E$300,$B104),8)))</f>
        <v/>
      </c>
      <c r="E104" s="246" t="str">
        <f>IF($B104="","",IF(COUNTIFS(Пул!$E$5:$E$300,$B104,Пул!$L$5:$L$300,"Закрыт")=0,"",ROUND(SUMIFS(Пул!$H$5:$H$300,Пул!$E$5:$E$300,$B104,Пул!$L$5:$L$300,"Закрыт"),8)))</f>
        <v/>
      </c>
      <c r="F104" s="247" t="str">
        <f>IF($B104="","",IF(COUNTIFS(Пул!$E$5:$E$300,$B104,Пул!$L$5:$L$300,"Закрыт")=0,"",ROUND(SUMIFS(Пул!$I$5:$I$300,Пул!$E$5:$E$300,$B104,Пул!$L$5:$L$300,"Закрыт"),8)))</f>
        <v/>
      </c>
      <c r="G104" s="246" t="str">
        <f>IF($B104="","",IF(COUNTIFS(Пул!$E$5:$E$300,$B104,Пул!$L$5:$L$300,"Закрыт")=0,"",ROUND(SUMIFS(Пул!$J$5:$J$300,Пул!$E$5:$E$300,$B104,Пул!$L$5:$L$300,"Закрыт"),8)))</f>
        <v/>
      </c>
      <c r="H104" s="247" t="str">
        <f>IF($B104="","",IF(COUNTIFS(Пул!$E$5:$E$300,$B104,Пул!$L$5:$L$300,"Закрыт")=0,"",ROUND(SUMIFS(Пул!$K$5:$K$300,Пул!$E$5:$E$300,$B104,Пул!$L$5:$L$300,"Закрыт"),8)))</f>
        <v/>
      </c>
      <c r="I104" s="242" t="str">
        <f>IF(AND(ISNUMBER(G104),ISNUMBER(H104)),IF(AND(G104&gt;0,H104&lt;0),"Buy",IF(AND(G104&lt;0,H104&gt;0),"Sell","")),"")</f>
        <v/>
      </c>
      <c r="J104" s="183" t="str">
        <f>IF(I104="Buy",G104,IF(I104="Sell",-G104,""))</f>
        <v/>
      </c>
      <c r="K104" s="183" t="str">
        <f>IF(AND(ISNUMBER(J104),ISNUMBER(L104),N(J104)&lt;&gt;0),ROUND(L104/J104,8),"")</f>
        <v/>
      </c>
      <c r="L104" s="183" t="str">
        <f>IF(I104="Buy",-H104,IF(I104="Sell",H104,""))</f>
        <v/>
      </c>
    </row>
    <row r="105" ht="22" customHeight="1">
      <c r="B105" s="239" t="n"/>
      <c r="C105" s="240" t="str">
        <f>IF($B105="","",IF(COUNTIFS(Пул!$E$5:$E$300,$B105,Пул!$F$5:$F$300,"&lt;&gt;")=0,"",ROUND(SUMIFS(Пул!$F$5:$F$300,Пул!$E$5:$E$300,$B105),8)))</f>
        <v/>
      </c>
      <c r="D105" s="241" t="str">
        <f>IF($B105="","",IF(COUNTIFS(Пул!$E$5:$E$300,$B105,Пул!$G$5:$G$300,"&lt;&gt;")=0,"",ROUND(SUMIFS(Пул!$G$5:$G$300,Пул!$E$5:$E$300,$B105),8)))</f>
        <v/>
      </c>
      <c r="E105" s="240" t="str">
        <f>IF($B105="","",IF(COUNTIFS(Пул!$E$5:$E$300,$B105,Пул!$L$5:$L$300,"Закрыт")=0,"",ROUND(SUMIFS(Пул!$H$5:$H$300,Пул!$E$5:$E$300,$B105,Пул!$L$5:$L$300,"Закрыт"),8)))</f>
        <v/>
      </c>
      <c r="F105" s="241" t="str">
        <f>IF($B105="","",IF(COUNTIFS(Пул!$E$5:$E$300,$B105,Пул!$L$5:$L$300,"Закрыт")=0,"",ROUND(SUMIFS(Пул!$I$5:$I$300,Пул!$E$5:$E$300,$B105,Пул!$L$5:$L$300,"Закрыт"),8)))</f>
        <v/>
      </c>
      <c r="G105" s="240" t="str">
        <f>IF($B105="","",IF(COUNTIFS(Пул!$E$5:$E$300,$B105,Пул!$L$5:$L$300,"Закрыт")=0,"",ROUND(SUMIFS(Пул!$J$5:$J$300,Пул!$E$5:$E$300,$B105,Пул!$L$5:$L$300,"Закрыт"),8)))</f>
        <v/>
      </c>
      <c r="H105" s="241" t="str">
        <f>IF($B105="","",IF(COUNTIFS(Пул!$E$5:$E$300,$B105,Пул!$L$5:$L$300,"Закрыт")=0,"",ROUND(SUMIFS(Пул!$K$5:$K$300,Пул!$E$5:$E$300,$B105,Пул!$L$5:$L$300,"Закрыт"),8)))</f>
        <v/>
      </c>
      <c r="I105" s="236" t="str">
        <f>IF(AND(ISNUMBER(G105),ISNUMBER(H105)),IF(AND(G105&gt;0,H105&lt;0),"Buy",IF(AND(G105&lt;0,H105&gt;0),"Sell","")),"")</f>
        <v/>
      </c>
      <c r="J105" s="177" t="str">
        <f>IF(I105="Buy",G105,IF(I105="Sell",-G105,""))</f>
        <v/>
      </c>
      <c r="K105" s="177" t="str">
        <f>IF(AND(ISNUMBER(J105),ISNUMBER(L105),N(J105)&lt;&gt;0),ROUND(L105/J105,8),"")</f>
        <v/>
      </c>
      <c r="L105" s="177" t="str">
        <f>IF(I105="Buy",-H105,IF(I105="Sell",H105,""))</f>
        <v/>
      </c>
    </row>
    <row r="106" ht="22" customHeight="1">
      <c r="B106" s="245" t="n"/>
      <c r="C106" s="246" t="str">
        <f>IF($B106="","",IF(COUNTIFS(Пул!$E$5:$E$300,$B106,Пул!$F$5:$F$300,"&lt;&gt;")=0,"",ROUND(SUMIFS(Пул!$F$5:$F$300,Пул!$E$5:$E$300,$B106),8)))</f>
        <v/>
      </c>
      <c r="D106" s="247" t="str">
        <f>IF($B106="","",IF(COUNTIFS(Пул!$E$5:$E$300,$B106,Пул!$G$5:$G$300,"&lt;&gt;")=0,"",ROUND(SUMIFS(Пул!$G$5:$G$300,Пул!$E$5:$E$300,$B106),8)))</f>
        <v/>
      </c>
      <c r="E106" s="246" t="str">
        <f>IF($B106="","",IF(COUNTIFS(Пул!$E$5:$E$300,$B106,Пул!$L$5:$L$300,"Закрыт")=0,"",ROUND(SUMIFS(Пул!$H$5:$H$300,Пул!$E$5:$E$300,$B106,Пул!$L$5:$L$300,"Закрыт"),8)))</f>
        <v/>
      </c>
      <c r="F106" s="247" t="str">
        <f>IF($B106="","",IF(COUNTIFS(Пул!$E$5:$E$300,$B106,Пул!$L$5:$L$300,"Закрыт")=0,"",ROUND(SUMIFS(Пул!$I$5:$I$300,Пул!$E$5:$E$300,$B106,Пул!$L$5:$L$300,"Закрыт"),8)))</f>
        <v/>
      </c>
      <c r="G106" s="246" t="str">
        <f>IF($B106="","",IF(COUNTIFS(Пул!$E$5:$E$300,$B106,Пул!$L$5:$L$300,"Закрыт")=0,"",ROUND(SUMIFS(Пул!$J$5:$J$300,Пул!$E$5:$E$300,$B106,Пул!$L$5:$L$300,"Закрыт"),8)))</f>
        <v/>
      </c>
      <c r="H106" s="247" t="str">
        <f>IF($B106="","",IF(COUNTIFS(Пул!$E$5:$E$300,$B106,Пул!$L$5:$L$300,"Закрыт")=0,"",ROUND(SUMIFS(Пул!$K$5:$K$300,Пул!$E$5:$E$300,$B106,Пул!$L$5:$L$300,"Закрыт"),8)))</f>
        <v/>
      </c>
      <c r="I106" s="242" t="str">
        <f>IF(AND(ISNUMBER(G106),ISNUMBER(H106)),IF(AND(G106&gt;0,H106&lt;0),"Buy",IF(AND(G106&lt;0,H106&gt;0),"Sell","")),"")</f>
        <v/>
      </c>
      <c r="J106" s="183" t="str">
        <f>IF(I106="Buy",G106,IF(I106="Sell",-G106,""))</f>
        <v/>
      </c>
      <c r="K106" s="183" t="str">
        <f>IF(AND(ISNUMBER(J106),ISNUMBER(L106),N(J106)&lt;&gt;0),ROUND(L106/J106,8),"")</f>
        <v/>
      </c>
      <c r="L106" s="183" t="str">
        <f>IF(I106="Buy",-H106,IF(I106="Sell",H106,""))</f>
        <v/>
      </c>
    </row>
    <row r="107" ht="22" customHeight="1">
      <c r="B107" s="239" t="n"/>
      <c r="C107" s="240" t="str">
        <f>IF($B107="","",IF(COUNTIFS(Пул!$E$5:$E$300,$B107,Пул!$F$5:$F$300,"&lt;&gt;")=0,"",ROUND(SUMIFS(Пул!$F$5:$F$300,Пул!$E$5:$E$300,$B107),8)))</f>
        <v/>
      </c>
      <c r="D107" s="241" t="str">
        <f>IF($B107="","",IF(COUNTIFS(Пул!$E$5:$E$300,$B107,Пул!$G$5:$G$300,"&lt;&gt;")=0,"",ROUND(SUMIFS(Пул!$G$5:$G$300,Пул!$E$5:$E$300,$B107),8)))</f>
        <v/>
      </c>
      <c r="E107" s="240" t="str">
        <f>IF($B107="","",IF(COUNTIFS(Пул!$E$5:$E$300,$B107,Пул!$L$5:$L$300,"Закрыт")=0,"",ROUND(SUMIFS(Пул!$H$5:$H$300,Пул!$E$5:$E$300,$B107,Пул!$L$5:$L$300,"Закрыт"),8)))</f>
        <v/>
      </c>
      <c r="F107" s="241" t="str">
        <f>IF($B107="","",IF(COUNTIFS(Пул!$E$5:$E$300,$B107,Пул!$L$5:$L$300,"Закрыт")=0,"",ROUND(SUMIFS(Пул!$I$5:$I$300,Пул!$E$5:$E$300,$B107,Пул!$L$5:$L$300,"Закрыт"),8)))</f>
        <v/>
      </c>
      <c r="G107" s="240" t="str">
        <f>IF($B107="","",IF(COUNTIFS(Пул!$E$5:$E$300,$B107,Пул!$L$5:$L$300,"Закрыт")=0,"",ROUND(SUMIFS(Пул!$J$5:$J$300,Пул!$E$5:$E$300,$B107,Пул!$L$5:$L$300,"Закрыт"),8)))</f>
        <v/>
      </c>
      <c r="H107" s="241" t="str">
        <f>IF($B107="","",IF(COUNTIFS(Пул!$E$5:$E$300,$B107,Пул!$L$5:$L$300,"Закрыт")=0,"",ROUND(SUMIFS(Пул!$K$5:$K$300,Пул!$E$5:$E$300,$B107,Пул!$L$5:$L$300,"Закрыт"),8)))</f>
        <v/>
      </c>
      <c r="I107" s="236" t="str">
        <f>IF(AND(ISNUMBER(G107),ISNUMBER(H107)),IF(AND(G107&gt;0,H107&lt;0),"Buy",IF(AND(G107&lt;0,H107&gt;0),"Sell","")),"")</f>
        <v/>
      </c>
      <c r="J107" s="177" t="str">
        <f>IF(I107="Buy",G107,IF(I107="Sell",-G107,""))</f>
        <v/>
      </c>
      <c r="K107" s="177" t="str">
        <f>IF(AND(ISNUMBER(J107),ISNUMBER(L107),N(J107)&lt;&gt;0),ROUND(L107/J107,8),"")</f>
        <v/>
      </c>
      <c r="L107" s="177" t="str">
        <f>IF(I107="Buy",-H107,IF(I107="Sell",H107,""))</f>
        <v/>
      </c>
    </row>
    <row r="108" ht="22" customHeight="1">
      <c r="B108" s="245" t="n"/>
      <c r="C108" s="246" t="str">
        <f>IF($B108="","",IF(COUNTIFS(Пул!$E$5:$E$300,$B108,Пул!$F$5:$F$300,"&lt;&gt;")=0,"",ROUND(SUMIFS(Пул!$F$5:$F$300,Пул!$E$5:$E$300,$B108),8)))</f>
        <v/>
      </c>
      <c r="D108" s="247" t="str">
        <f>IF($B108="","",IF(COUNTIFS(Пул!$E$5:$E$300,$B108,Пул!$G$5:$G$300,"&lt;&gt;")=0,"",ROUND(SUMIFS(Пул!$G$5:$G$300,Пул!$E$5:$E$300,$B108),8)))</f>
        <v/>
      </c>
      <c r="E108" s="246" t="str">
        <f>IF($B108="","",IF(COUNTIFS(Пул!$E$5:$E$300,$B108,Пул!$L$5:$L$300,"Закрыт")=0,"",ROUND(SUMIFS(Пул!$H$5:$H$300,Пул!$E$5:$E$300,$B108,Пул!$L$5:$L$300,"Закрыт"),8)))</f>
        <v/>
      </c>
      <c r="F108" s="247" t="str">
        <f>IF($B108="","",IF(COUNTIFS(Пул!$E$5:$E$300,$B108,Пул!$L$5:$L$300,"Закрыт")=0,"",ROUND(SUMIFS(Пул!$I$5:$I$300,Пул!$E$5:$E$300,$B108,Пул!$L$5:$L$300,"Закрыт"),8)))</f>
        <v/>
      </c>
      <c r="G108" s="246" t="str">
        <f>IF($B108="","",IF(COUNTIFS(Пул!$E$5:$E$300,$B108,Пул!$L$5:$L$300,"Закрыт")=0,"",ROUND(SUMIFS(Пул!$J$5:$J$300,Пул!$E$5:$E$300,$B108,Пул!$L$5:$L$300,"Закрыт"),8)))</f>
        <v/>
      </c>
      <c r="H108" s="247" t="str">
        <f>IF($B108="","",IF(COUNTIFS(Пул!$E$5:$E$300,$B108,Пул!$L$5:$L$300,"Закрыт")=0,"",ROUND(SUMIFS(Пул!$K$5:$K$300,Пул!$E$5:$E$300,$B108,Пул!$L$5:$L$300,"Закрыт"),8)))</f>
        <v/>
      </c>
      <c r="I108" s="242" t="str">
        <f>IF(AND(ISNUMBER(G108),ISNUMBER(H108)),IF(AND(G108&gt;0,H108&lt;0),"Buy",IF(AND(G108&lt;0,H108&gt;0),"Sell","")),"")</f>
        <v/>
      </c>
      <c r="J108" s="183" t="str">
        <f>IF(I108="Buy",G108,IF(I108="Sell",-G108,""))</f>
        <v/>
      </c>
      <c r="K108" s="183" t="str">
        <f>IF(AND(ISNUMBER(J108),ISNUMBER(L108),N(J108)&lt;&gt;0),ROUND(L108/J108,8),"")</f>
        <v/>
      </c>
      <c r="L108" s="183" t="str">
        <f>IF(I108="Buy",-H108,IF(I108="Sell",H108,""))</f>
        <v/>
      </c>
    </row>
    <row r="109" ht="22" customHeight="1">
      <c r="B109" s="239" t="n"/>
      <c r="C109" s="240" t="str">
        <f>IF($B109="","",IF(COUNTIFS(Пул!$E$5:$E$300,$B109,Пул!$F$5:$F$300,"&lt;&gt;")=0,"",ROUND(SUMIFS(Пул!$F$5:$F$300,Пул!$E$5:$E$300,$B109),8)))</f>
        <v/>
      </c>
      <c r="D109" s="241" t="str">
        <f>IF($B109="","",IF(COUNTIFS(Пул!$E$5:$E$300,$B109,Пул!$G$5:$G$300,"&lt;&gt;")=0,"",ROUND(SUMIFS(Пул!$G$5:$G$300,Пул!$E$5:$E$300,$B109),8)))</f>
        <v/>
      </c>
      <c r="E109" s="240" t="str">
        <f>IF($B109="","",IF(COUNTIFS(Пул!$E$5:$E$300,$B109,Пул!$L$5:$L$300,"Закрыт")=0,"",ROUND(SUMIFS(Пул!$H$5:$H$300,Пул!$E$5:$E$300,$B109,Пул!$L$5:$L$300,"Закрыт"),8)))</f>
        <v/>
      </c>
      <c r="F109" s="241" t="str">
        <f>IF($B109="","",IF(COUNTIFS(Пул!$E$5:$E$300,$B109,Пул!$L$5:$L$300,"Закрыт")=0,"",ROUND(SUMIFS(Пул!$I$5:$I$300,Пул!$E$5:$E$300,$B109,Пул!$L$5:$L$300,"Закрыт"),8)))</f>
        <v/>
      </c>
      <c r="G109" s="240" t="str">
        <f>IF($B109="","",IF(COUNTIFS(Пул!$E$5:$E$300,$B109,Пул!$L$5:$L$300,"Закрыт")=0,"",ROUND(SUMIFS(Пул!$J$5:$J$300,Пул!$E$5:$E$300,$B109,Пул!$L$5:$L$300,"Закрыт"),8)))</f>
        <v/>
      </c>
      <c r="H109" s="241" t="str">
        <f>IF($B109="","",IF(COUNTIFS(Пул!$E$5:$E$300,$B109,Пул!$L$5:$L$300,"Закрыт")=0,"",ROUND(SUMIFS(Пул!$K$5:$K$300,Пул!$E$5:$E$300,$B109,Пул!$L$5:$L$300,"Закрыт"),8)))</f>
        <v/>
      </c>
      <c r="I109" s="236" t="str">
        <f>IF(AND(ISNUMBER(G109),ISNUMBER(H109)),IF(AND(G109&gt;0,H109&lt;0),"Buy",IF(AND(G109&lt;0,H109&gt;0),"Sell","")),"")</f>
        <v/>
      </c>
      <c r="J109" s="177" t="str">
        <f>IF(I109="Buy",G109,IF(I109="Sell",-G109,""))</f>
        <v/>
      </c>
      <c r="K109" s="177" t="str">
        <f>IF(AND(ISNUMBER(J109),ISNUMBER(L109),N(J109)&lt;&gt;0),ROUND(L109/J109,8),"")</f>
        <v/>
      </c>
      <c r="L109" s="177" t="str">
        <f>IF(I109="Buy",-H109,IF(I109="Sell",H109,""))</f>
        <v/>
      </c>
    </row>
    <row r="110" ht="22" customHeight="1">
      <c r="B110" s="245" t="n"/>
      <c r="C110" s="246" t="str">
        <f>IF($B110="","",IF(COUNTIFS(Пул!$E$5:$E$300,$B110,Пул!$F$5:$F$300,"&lt;&gt;")=0,"",ROUND(SUMIFS(Пул!$F$5:$F$300,Пул!$E$5:$E$300,$B110),8)))</f>
        <v/>
      </c>
      <c r="D110" s="247" t="str">
        <f>IF($B110="","",IF(COUNTIFS(Пул!$E$5:$E$300,$B110,Пул!$G$5:$G$300,"&lt;&gt;")=0,"",ROUND(SUMIFS(Пул!$G$5:$G$300,Пул!$E$5:$E$300,$B110),8)))</f>
        <v/>
      </c>
      <c r="E110" s="246" t="str">
        <f>IF($B110="","",IF(COUNTIFS(Пул!$E$5:$E$300,$B110,Пул!$L$5:$L$300,"Закрыт")=0,"",ROUND(SUMIFS(Пул!$H$5:$H$300,Пул!$E$5:$E$300,$B110,Пул!$L$5:$L$300,"Закрыт"),8)))</f>
        <v/>
      </c>
      <c r="F110" s="247" t="str">
        <f>IF($B110="","",IF(COUNTIFS(Пул!$E$5:$E$300,$B110,Пул!$L$5:$L$300,"Закрыт")=0,"",ROUND(SUMIFS(Пул!$I$5:$I$300,Пул!$E$5:$E$300,$B110,Пул!$L$5:$L$300,"Закрыт"),8)))</f>
        <v/>
      </c>
      <c r="G110" s="246" t="str">
        <f>IF($B110="","",IF(COUNTIFS(Пул!$E$5:$E$300,$B110,Пул!$L$5:$L$300,"Закрыт")=0,"",ROUND(SUMIFS(Пул!$J$5:$J$300,Пул!$E$5:$E$300,$B110,Пул!$L$5:$L$300,"Закрыт"),8)))</f>
        <v/>
      </c>
      <c r="H110" s="247" t="str">
        <f>IF($B110="","",IF(COUNTIFS(Пул!$E$5:$E$300,$B110,Пул!$L$5:$L$300,"Закрыт")=0,"",ROUND(SUMIFS(Пул!$K$5:$K$300,Пул!$E$5:$E$300,$B110,Пул!$L$5:$L$300,"Закрыт"),8)))</f>
        <v/>
      </c>
      <c r="I110" s="242" t="str">
        <f>IF(AND(ISNUMBER(G110),ISNUMBER(H110)),IF(AND(G110&gt;0,H110&lt;0),"Buy",IF(AND(G110&lt;0,H110&gt;0),"Sell","")),"")</f>
        <v/>
      </c>
      <c r="J110" s="183" t="str">
        <f>IF(I110="Buy",G110,IF(I110="Sell",-G110,""))</f>
        <v/>
      </c>
      <c r="K110" s="183" t="str">
        <f>IF(AND(ISNUMBER(J110),ISNUMBER(L110),N(J110)&lt;&gt;0),ROUND(L110/J110,8),"")</f>
        <v/>
      </c>
      <c r="L110" s="183" t="str">
        <f>IF(I110="Buy",-H110,IF(I110="Sell",H110,""))</f>
        <v/>
      </c>
    </row>
    <row r="111" ht="22" customHeight="1">
      <c r="B111" s="239" t="n"/>
      <c r="C111" s="240" t="str">
        <f>IF($B111="","",IF(COUNTIFS(Пул!$E$5:$E$300,$B111,Пул!$F$5:$F$300,"&lt;&gt;")=0,"",ROUND(SUMIFS(Пул!$F$5:$F$300,Пул!$E$5:$E$300,$B111),8)))</f>
        <v/>
      </c>
      <c r="D111" s="241" t="str">
        <f>IF($B111="","",IF(COUNTIFS(Пул!$E$5:$E$300,$B111,Пул!$G$5:$G$300,"&lt;&gt;")=0,"",ROUND(SUMIFS(Пул!$G$5:$G$300,Пул!$E$5:$E$300,$B111),8)))</f>
        <v/>
      </c>
      <c r="E111" s="240" t="str">
        <f>IF($B111="","",IF(COUNTIFS(Пул!$E$5:$E$300,$B111,Пул!$L$5:$L$300,"Закрыт")=0,"",ROUND(SUMIFS(Пул!$H$5:$H$300,Пул!$E$5:$E$300,$B111,Пул!$L$5:$L$300,"Закрыт"),8)))</f>
        <v/>
      </c>
      <c r="F111" s="241" t="str">
        <f>IF($B111="","",IF(COUNTIFS(Пул!$E$5:$E$300,$B111,Пул!$L$5:$L$300,"Закрыт")=0,"",ROUND(SUMIFS(Пул!$I$5:$I$300,Пул!$E$5:$E$300,$B111,Пул!$L$5:$L$300,"Закрыт"),8)))</f>
        <v/>
      </c>
      <c r="G111" s="240" t="str">
        <f>IF($B111="","",IF(COUNTIFS(Пул!$E$5:$E$300,$B111,Пул!$L$5:$L$300,"Закрыт")=0,"",ROUND(SUMIFS(Пул!$J$5:$J$300,Пул!$E$5:$E$300,$B111,Пул!$L$5:$L$300,"Закрыт"),8)))</f>
        <v/>
      </c>
      <c r="H111" s="241" t="str">
        <f>IF($B111="","",IF(COUNTIFS(Пул!$E$5:$E$300,$B111,Пул!$L$5:$L$300,"Закрыт")=0,"",ROUND(SUMIFS(Пул!$K$5:$K$300,Пул!$E$5:$E$300,$B111,Пул!$L$5:$L$300,"Закрыт"),8)))</f>
        <v/>
      </c>
      <c r="I111" s="236" t="str">
        <f>IF(AND(ISNUMBER(G111),ISNUMBER(H111)),IF(AND(G111&gt;0,H111&lt;0),"Buy",IF(AND(G111&lt;0,H111&gt;0),"Sell","")),"")</f>
        <v/>
      </c>
      <c r="J111" s="177" t="str">
        <f>IF(I111="Buy",G111,IF(I111="Sell",-G111,""))</f>
        <v/>
      </c>
      <c r="K111" s="177" t="str">
        <f>IF(AND(ISNUMBER(J111),ISNUMBER(L111),N(J111)&lt;&gt;0),ROUND(L111/J111,8),"")</f>
        <v/>
      </c>
      <c r="L111" s="177" t="str">
        <f>IF(I111="Buy",-H111,IF(I111="Sell",H111,""))</f>
        <v/>
      </c>
    </row>
    <row r="112" ht="22" customHeight="1">
      <c r="B112" s="245" t="n"/>
      <c r="C112" s="246" t="str">
        <f>IF($B112="","",IF(COUNTIFS(Пул!$E$5:$E$300,$B112,Пул!$F$5:$F$300,"&lt;&gt;")=0,"",ROUND(SUMIFS(Пул!$F$5:$F$300,Пул!$E$5:$E$300,$B112),8)))</f>
        <v/>
      </c>
      <c r="D112" s="247" t="str">
        <f>IF($B112="","",IF(COUNTIFS(Пул!$E$5:$E$300,$B112,Пул!$G$5:$G$300,"&lt;&gt;")=0,"",ROUND(SUMIFS(Пул!$G$5:$G$300,Пул!$E$5:$E$300,$B112),8)))</f>
        <v/>
      </c>
      <c r="E112" s="246" t="str">
        <f>IF($B112="","",IF(COUNTIFS(Пул!$E$5:$E$300,$B112,Пул!$L$5:$L$300,"Закрыт")=0,"",ROUND(SUMIFS(Пул!$H$5:$H$300,Пул!$E$5:$E$300,$B112,Пул!$L$5:$L$300,"Закрыт"),8)))</f>
        <v/>
      </c>
      <c r="F112" s="247" t="str">
        <f>IF($B112="","",IF(COUNTIFS(Пул!$E$5:$E$300,$B112,Пул!$L$5:$L$300,"Закрыт")=0,"",ROUND(SUMIFS(Пул!$I$5:$I$300,Пул!$E$5:$E$300,$B112,Пул!$L$5:$L$300,"Закрыт"),8)))</f>
        <v/>
      </c>
      <c r="G112" s="246" t="str">
        <f>IF($B112="","",IF(COUNTIFS(Пул!$E$5:$E$300,$B112,Пул!$L$5:$L$300,"Закрыт")=0,"",ROUND(SUMIFS(Пул!$J$5:$J$300,Пул!$E$5:$E$300,$B112,Пул!$L$5:$L$300,"Закрыт"),8)))</f>
        <v/>
      </c>
      <c r="H112" s="247" t="str">
        <f>IF($B112="","",IF(COUNTIFS(Пул!$E$5:$E$300,$B112,Пул!$L$5:$L$300,"Закрыт")=0,"",ROUND(SUMIFS(Пул!$K$5:$K$300,Пул!$E$5:$E$300,$B112,Пул!$L$5:$L$300,"Закрыт"),8)))</f>
        <v/>
      </c>
      <c r="I112" s="242" t="str">
        <f>IF(AND(ISNUMBER(G112),ISNUMBER(H112)),IF(AND(G112&gt;0,H112&lt;0),"Buy",IF(AND(G112&lt;0,H112&gt;0),"Sell","")),"")</f>
        <v/>
      </c>
      <c r="J112" s="183" t="str">
        <f>IF(I112="Buy",G112,IF(I112="Sell",-G112,""))</f>
        <v/>
      </c>
      <c r="K112" s="183" t="str">
        <f>IF(AND(ISNUMBER(J112),ISNUMBER(L112),N(J112)&lt;&gt;0),ROUND(L112/J112,8),"")</f>
        <v/>
      </c>
      <c r="L112" s="183" t="str">
        <f>IF(I112="Buy",-H112,IF(I112="Sell",H112,""))</f>
        <v/>
      </c>
    </row>
    <row r="113" ht="22" customHeight="1">
      <c r="B113" s="239" t="n"/>
      <c r="C113" s="240" t="str">
        <f>IF($B113="","",IF(COUNTIFS(Пул!$E$5:$E$300,$B113,Пул!$F$5:$F$300,"&lt;&gt;")=0,"",ROUND(SUMIFS(Пул!$F$5:$F$300,Пул!$E$5:$E$300,$B113),8)))</f>
        <v/>
      </c>
      <c r="D113" s="241" t="str">
        <f>IF($B113="","",IF(COUNTIFS(Пул!$E$5:$E$300,$B113,Пул!$G$5:$G$300,"&lt;&gt;")=0,"",ROUND(SUMIFS(Пул!$G$5:$G$300,Пул!$E$5:$E$300,$B113),8)))</f>
        <v/>
      </c>
      <c r="E113" s="240" t="str">
        <f>IF($B113="","",IF(COUNTIFS(Пул!$E$5:$E$300,$B113,Пул!$L$5:$L$300,"Закрыт")=0,"",ROUND(SUMIFS(Пул!$H$5:$H$300,Пул!$E$5:$E$300,$B113,Пул!$L$5:$L$300,"Закрыт"),8)))</f>
        <v/>
      </c>
      <c r="F113" s="241" t="str">
        <f>IF($B113="","",IF(COUNTIFS(Пул!$E$5:$E$300,$B113,Пул!$L$5:$L$300,"Закрыт")=0,"",ROUND(SUMIFS(Пул!$I$5:$I$300,Пул!$E$5:$E$300,$B113,Пул!$L$5:$L$300,"Закрыт"),8)))</f>
        <v/>
      </c>
      <c r="G113" s="240" t="str">
        <f>IF($B113="","",IF(COUNTIFS(Пул!$E$5:$E$300,$B113,Пул!$L$5:$L$300,"Закрыт")=0,"",ROUND(SUMIFS(Пул!$J$5:$J$300,Пул!$E$5:$E$300,$B113,Пул!$L$5:$L$300,"Закрыт"),8)))</f>
        <v/>
      </c>
      <c r="H113" s="241" t="str">
        <f>IF($B113="","",IF(COUNTIFS(Пул!$E$5:$E$300,$B113,Пул!$L$5:$L$300,"Закрыт")=0,"",ROUND(SUMIFS(Пул!$K$5:$K$300,Пул!$E$5:$E$300,$B113,Пул!$L$5:$L$300,"Закрыт"),8)))</f>
        <v/>
      </c>
      <c r="I113" s="236" t="str">
        <f>IF(AND(ISNUMBER(G113),ISNUMBER(H113)),IF(AND(G113&gt;0,H113&lt;0),"Buy",IF(AND(G113&lt;0,H113&gt;0),"Sell","")),"")</f>
        <v/>
      </c>
      <c r="J113" s="177" t="str">
        <f>IF(I113="Buy",G113,IF(I113="Sell",-G113,""))</f>
        <v/>
      </c>
      <c r="K113" s="177" t="str">
        <f>IF(AND(ISNUMBER(J113),ISNUMBER(L113),N(J113)&lt;&gt;0),ROUND(L113/J113,8),"")</f>
        <v/>
      </c>
      <c r="L113" s="177" t="str">
        <f>IF(I113="Buy",-H113,IF(I113="Sell",H113,""))</f>
        <v/>
      </c>
    </row>
    <row r="114" ht="22" customHeight="1">
      <c r="B114" s="245" t="n"/>
      <c r="C114" s="246" t="str">
        <f>IF($B114="","",IF(COUNTIFS(Пул!$E$5:$E$300,$B114,Пул!$F$5:$F$300,"&lt;&gt;")=0,"",ROUND(SUMIFS(Пул!$F$5:$F$300,Пул!$E$5:$E$300,$B114),8)))</f>
        <v/>
      </c>
      <c r="D114" s="247" t="str">
        <f>IF($B114="","",IF(COUNTIFS(Пул!$E$5:$E$300,$B114,Пул!$G$5:$G$300,"&lt;&gt;")=0,"",ROUND(SUMIFS(Пул!$G$5:$G$300,Пул!$E$5:$E$300,$B114),8)))</f>
        <v/>
      </c>
      <c r="E114" s="246" t="str">
        <f>IF($B114="","",IF(COUNTIFS(Пул!$E$5:$E$300,$B114,Пул!$L$5:$L$300,"Закрыт")=0,"",ROUND(SUMIFS(Пул!$H$5:$H$300,Пул!$E$5:$E$300,$B114,Пул!$L$5:$L$300,"Закрыт"),8)))</f>
        <v/>
      </c>
      <c r="F114" s="247" t="str">
        <f>IF($B114="","",IF(COUNTIFS(Пул!$E$5:$E$300,$B114,Пул!$L$5:$L$300,"Закрыт")=0,"",ROUND(SUMIFS(Пул!$I$5:$I$300,Пул!$E$5:$E$300,$B114,Пул!$L$5:$L$300,"Закрыт"),8)))</f>
        <v/>
      </c>
      <c r="G114" s="246" t="str">
        <f>IF($B114="","",IF(COUNTIFS(Пул!$E$5:$E$300,$B114,Пул!$L$5:$L$300,"Закрыт")=0,"",ROUND(SUMIFS(Пул!$J$5:$J$300,Пул!$E$5:$E$300,$B114,Пул!$L$5:$L$300,"Закрыт"),8)))</f>
        <v/>
      </c>
      <c r="H114" s="247" t="str">
        <f>IF($B114="","",IF(COUNTIFS(Пул!$E$5:$E$300,$B114,Пул!$L$5:$L$300,"Закрыт")=0,"",ROUND(SUMIFS(Пул!$K$5:$K$300,Пул!$E$5:$E$300,$B114,Пул!$L$5:$L$300,"Закрыт"),8)))</f>
        <v/>
      </c>
      <c r="I114" s="242" t="str">
        <f>IF(AND(ISNUMBER(G114),ISNUMBER(H114)),IF(AND(G114&gt;0,H114&lt;0),"Buy",IF(AND(G114&lt;0,H114&gt;0),"Sell","")),"")</f>
        <v/>
      </c>
      <c r="J114" s="183" t="str">
        <f>IF(I114="Buy",G114,IF(I114="Sell",-G114,""))</f>
        <v/>
      </c>
      <c r="K114" s="183" t="str">
        <f>IF(AND(ISNUMBER(J114),ISNUMBER(L114),N(J114)&lt;&gt;0),ROUND(L114/J114,8),"")</f>
        <v/>
      </c>
      <c r="L114" s="183" t="str">
        <f>IF(I114="Buy",-H114,IF(I114="Sell",H114,""))</f>
        <v/>
      </c>
    </row>
    <row r="115" ht="22" customHeight="1">
      <c r="B115" s="239" t="n"/>
      <c r="C115" s="240" t="str">
        <f>IF($B115="","",IF(COUNTIFS(Пул!$E$5:$E$300,$B115,Пул!$F$5:$F$300,"&lt;&gt;")=0,"",ROUND(SUMIFS(Пул!$F$5:$F$300,Пул!$E$5:$E$300,$B115),8)))</f>
        <v/>
      </c>
      <c r="D115" s="241" t="str">
        <f>IF($B115="","",IF(COUNTIFS(Пул!$E$5:$E$300,$B115,Пул!$G$5:$G$300,"&lt;&gt;")=0,"",ROUND(SUMIFS(Пул!$G$5:$G$300,Пул!$E$5:$E$300,$B115),8)))</f>
        <v/>
      </c>
      <c r="E115" s="240" t="str">
        <f>IF($B115="","",IF(COUNTIFS(Пул!$E$5:$E$300,$B115,Пул!$L$5:$L$300,"Закрыт")=0,"",ROUND(SUMIFS(Пул!$H$5:$H$300,Пул!$E$5:$E$300,$B115,Пул!$L$5:$L$300,"Закрыт"),8)))</f>
        <v/>
      </c>
      <c r="F115" s="241" t="str">
        <f>IF($B115="","",IF(COUNTIFS(Пул!$E$5:$E$300,$B115,Пул!$L$5:$L$300,"Закрыт")=0,"",ROUND(SUMIFS(Пул!$I$5:$I$300,Пул!$E$5:$E$300,$B115,Пул!$L$5:$L$300,"Закрыт"),8)))</f>
        <v/>
      </c>
      <c r="G115" s="240" t="str">
        <f>IF($B115="","",IF(COUNTIFS(Пул!$E$5:$E$300,$B115,Пул!$L$5:$L$300,"Закрыт")=0,"",ROUND(SUMIFS(Пул!$J$5:$J$300,Пул!$E$5:$E$300,$B115,Пул!$L$5:$L$300,"Закрыт"),8)))</f>
        <v/>
      </c>
      <c r="H115" s="241" t="str">
        <f>IF($B115="","",IF(COUNTIFS(Пул!$E$5:$E$300,$B115,Пул!$L$5:$L$300,"Закрыт")=0,"",ROUND(SUMIFS(Пул!$K$5:$K$300,Пул!$E$5:$E$300,$B115,Пул!$L$5:$L$300,"Закрыт"),8)))</f>
        <v/>
      </c>
      <c r="I115" s="236" t="str">
        <f>IF(AND(ISNUMBER(G115),ISNUMBER(H115)),IF(AND(G115&gt;0,H115&lt;0),"Buy",IF(AND(G115&lt;0,H115&gt;0),"Sell","")),"")</f>
        <v/>
      </c>
      <c r="J115" s="177" t="str">
        <f>IF(I115="Buy",G115,IF(I115="Sell",-G115,""))</f>
        <v/>
      </c>
      <c r="K115" s="177" t="str">
        <f>IF(AND(ISNUMBER(J115),ISNUMBER(L115),N(J115)&lt;&gt;0),ROUND(L115/J115,8),"")</f>
        <v/>
      </c>
      <c r="L115" s="177" t="str">
        <f>IF(I115="Buy",-H115,IF(I115="Sell",H115,""))</f>
        <v/>
      </c>
    </row>
    <row r="116" ht="22" customHeight="1">
      <c r="B116" s="245" t="n"/>
      <c r="C116" s="246" t="str">
        <f>IF($B116="","",IF(COUNTIFS(Пул!$E$5:$E$300,$B116,Пул!$F$5:$F$300,"&lt;&gt;")=0,"",ROUND(SUMIFS(Пул!$F$5:$F$300,Пул!$E$5:$E$300,$B116),8)))</f>
        <v/>
      </c>
      <c r="D116" s="247" t="str">
        <f>IF($B116="","",IF(COUNTIFS(Пул!$E$5:$E$300,$B116,Пул!$G$5:$G$300,"&lt;&gt;")=0,"",ROUND(SUMIFS(Пул!$G$5:$G$300,Пул!$E$5:$E$300,$B116),8)))</f>
        <v/>
      </c>
      <c r="E116" s="246" t="str">
        <f>IF($B116="","",IF(COUNTIFS(Пул!$E$5:$E$300,$B116,Пул!$L$5:$L$300,"Закрыт")=0,"",ROUND(SUMIFS(Пул!$H$5:$H$300,Пул!$E$5:$E$300,$B116,Пул!$L$5:$L$300,"Закрыт"),8)))</f>
        <v/>
      </c>
      <c r="F116" s="247" t="str">
        <f>IF($B116="","",IF(COUNTIFS(Пул!$E$5:$E$300,$B116,Пул!$L$5:$L$300,"Закрыт")=0,"",ROUND(SUMIFS(Пул!$I$5:$I$300,Пул!$E$5:$E$300,$B116,Пул!$L$5:$L$300,"Закрыт"),8)))</f>
        <v/>
      </c>
      <c r="G116" s="246" t="str">
        <f>IF($B116="","",IF(COUNTIFS(Пул!$E$5:$E$300,$B116,Пул!$L$5:$L$300,"Закрыт")=0,"",ROUND(SUMIFS(Пул!$J$5:$J$300,Пул!$E$5:$E$300,$B116,Пул!$L$5:$L$300,"Закрыт"),8)))</f>
        <v/>
      </c>
      <c r="H116" s="247" t="str">
        <f>IF($B116="","",IF(COUNTIFS(Пул!$E$5:$E$300,$B116,Пул!$L$5:$L$300,"Закрыт")=0,"",ROUND(SUMIFS(Пул!$K$5:$K$300,Пул!$E$5:$E$300,$B116,Пул!$L$5:$L$300,"Закрыт"),8)))</f>
        <v/>
      </c>
      <c r="I116" s="242" t="str">
        <f>IF(AND(ISNUMBER(G116),ISNUMBER(H116)),IF(AND(G116&gt;0,H116&lt;0),"Buy",IF(AND(G116&lt;0,H116&gt;0),"Sell","")),"")</f>
        <v/>
      </c>
      <c r="J116" s="183" t="str">
        <f>IF(I116="Buy",G116,IF(I116="Sell",-G116,""))</f>
        <v/>
      </c>
      <c r="K116" s="183" t="str">
        <f>IF(AND(ISNUMBER(J116),ISNUMBER(L116),N(J116)&lt;&gt;0),ROUND(L116/J116,8),"")</f>
        <v/>
      </c>
      <c r="L116" s="183" t="str">
        <f>IF(I116="Buy",-H116,IF(I116="Sell",H116,""))</f>
        <v/>
      </c>
    </row>
    <row r="117" ht="22" customHeight="1">
      <c r="B117" s="239" t="n"/>
      <c r="C117" s="240" t="str">
        <f>IF($B117="","",IF(COUNTIFS(Пул!$E$5:$E$300,$B117,Пул!$F$5:$F$300,"&lt;&gt;")=0,"",ROUND(SUMIFS(Пул!$F$5:$F$300,Пул!$E$5:$E$300,$B117),8)))</f>
        <v/>
      </c>
      <c r="D117" s="241" t="str">
        <f>IF($B117="","",IF(COUNTIFS(Пул!$E$5:$E$300,$B117,Пул!$G$5:$G$300,"&lt;&gt;")=0,"",ROUND(SUMIFS(Пул!$G$5:$G$300,Пул!$E$5:$E$300,$B117),8)))</f>
        <v/>
      </c>
      <c r="E117" s="240" t="str">
        <f>IF($B117="","",IF(COUNTIFS(Пул!$E$5:$E$300,$B117,Пул!$L$5:$L$300,"Закрыт")=0,"",ROUND(SUMIFS(Пул!$H$5:$H$300,Пул!$E$5:$E$300,$B117,Пул!$L$5:$L$300,"Закрыт"),8)))</f>
        <v/>
      </c>
      <c r="F117" s="241" t="str">
        <f>IF($B117="","",IF(COUNTIFS(Пул!$E$5:$E$300,$B117,Пул!$L$5:$L$300,"Закрыт")=0,"",ROUND(SUMIFS(Пул!$I$5:$I$300,Пул!$E$5:$E$300,$B117,Пул!$L$5:$L$300,"Закрыт"),8)))</f>
        <v/>
      </c>
      <c r="G117" s="240" t="str">
        <f>IF($B117="","",IF(COUNTIFS(Пул!$E$5:$E$300,$B117,Пул!$L$5:$L$300,"Закрыт")=0,"",ROUND(SUMIFS(Пул!$J$5:$J$300,Пул!$E$5:$E$300,$B117,Пул!$L$5:$L$300,"Закрыт"),8)))</f>
        <v/>
      </c>
      <c r="H117" s="241" t="str">
        <f>IF($B117="","",IF(COUNTIFS(Пул!$E$5:$E$300,$B117,Пул!$L$5:$L$300,"Закрыт")=0,"",ROUND(SUMIFS(Пул!$K$5:$K$300,Пул!$E$5:$E$300,$B117,Пул!$L$5:$L$300,"Закрыт"),8)))</f>
        <v/>
      </c>
      <c r="I117" s="236" t="str">
        <f>IF(AND(ISNUMBER(G117),ISNUMBER(H117)),IF(AND(G117&gt;0,H117&lt;0),"Buy",IF(AND(G117&lt;0,H117&gt;0),"Sell","")),"")</f>
        <v/>
      </c>
      <c r="J117" s="177" t="str">
        <f>IF(I117="Buy",G117,IF(I117="Sell",-G117,""))</f>
        <v/>
      </c>
      <c r="K117" s="177" t="str">
        <f>IF(AND(ISNUMBER(J117),ISNUMBER(L117),N(J117)&lt;&gt;0),ROUND(L117/J117,8),"")</f>
        <v/>
      </c>
      <c r="L117" s="177" t="str">
        <f>IF(I117="Buy",-H117,IF(I117="Sell",H117,""))</f>
        <v/>
      </c>
    </row>
    <row r="118" ht="22" customHeight="1">
      <c r="B118" s="245" t="n"/>
      <c r="C118" s="246" t="str">
        <f>IF($B118="","",IF(COUNTIFS(Пул!$E$5:$E$300,$B118,Пул!$F$5:$F$300,"&lt;&gt;")=0,"",ROUND(SUMIFS(Пул!$F$5:$F$300,Пул!$E$5:$E$300,$B118),8)))</f>
        <v/>
      </c>
      <c r="D118" s="247" t="str">
        <f>IF($B118="","",IF(COUNTIFS(Пул!$E$5:$E$300,$B118,Пул!$G$5:$G$300,"&lt;&gt;")=0,"",ROUND(SUMIFS(Пул!$G$5:$G$300,Пул!$E$5:$E$300,$B118),8)))</f>
        <v/>
      </c>
      <c r="E118" s="246" t="str">
        <f>IF($B118="","",IF(COUNTIFS(Пул!$E$5:$E$300,$B118,Пул!$L$5:$L$300,"Закрыт")=0,"",ROUND(SUMIFS(Пул!$H$5:$H$300,Пул!$E$5:$E$300,$B118,Пул!$L$5:$L$300,"Закрыт"),8)))</f>
        <v/>
      </c>
      <c r="F118" s="247" t="str">
        <f>IF($B118="","",IF(COUNTIFS(Пул!$E$5:$E$300,$B118,Пул!$L$5:$L$300,"Закрыт")=0,"",ROUND(SUMIFS(Пул!$I$5:$I$300,Пул!$E$5:$E$300,$B118,Пул!$L$5:$L$300,"Закрыт"),8)))</f>
        <v/>
      </c>
      <c r="G118" s="246" t="str">
        <f>IF($B118="","",IF(COUNTIFS(Пул!$E$5:$E$300,$B118,Пул!$L$5:$L$300,"Закрыт")=0,"",ROUND(SUMIFS(Пул!$J$5:$J$300,Пул!$E$5:$E$300,$B118,Пул!$L$5:$L$300,"Закрыт"),8)))</f>
        <v/>
      </c>
      <c r="H118" s="247" t="str">
        <f>IF($B118="","",IF(COUNTIFS(Пул!$E$5:$E$300,$B118,Пул!$L$5:$L$300,"Закрыт")=0,"",ROUND(SUMIFS(Пул!$K$5:$K$300,Пул!$E$5:$E$300,$B118,Пул!$L$5:$L$300,"Закрыт"),8)))</f>
        <v/>
      </c>
      <c r="I118" s="242" t="str">
        <f>IF(AND(ISNUMBER(G118),ISNUMBER(H118)),IF(AND(G118&gt;0,H118&lt;0),"Buy",IF(AND(G118&lt;0,H118&gt;0),"Sell","")),"")</f>
        <v/>
      </c>
      <c r="J118" s="183" t="str">
        <f>IF(I118="Buy",G118,IF(I118="Sell",-G118,""))</f>
        <v/>
      </c>
      <c r="K118" s="183" t="str">
        <f>IF(AND(ISNUMBER(J118),ISNUMBER(L118),N(J118)&lt;&gt;0),ROUND(L118/J118,8),"")</f>
        <v/>
      </c>
      <c r="L118" s="183" t="str">
        <f>IF(I118="Buy",-H118,IF(I118="Sell",H118,""))</f>
        <v/>
      </c>
    </row>
    <row r="119" ht="22" customHeight="1">
      <c r="B119" s="239" t="n"/>
      <c r="C119" s="240" t="str">
        <f>IF($B119="","",IF(COUNTIFS(Пул!$E$5:$E$300,$B119,Пул!$F$5:$F$300,"&lt;&gt;")=0,"",ROUND(SUMIFS(Пул!$F$5:$F$300,Пул!$E$5:$E$300,$B119),8)))</f>
        <v/>
      </c>
      <c r="D119" s="241" t="str">
        <f>IF($B119="","",IF(COUNTIFS(Пул!$E$5:$E$300,$B119,Пул!$G$5:$G$300,"&lt;&gt;")=0,"",ROUND(SUMIFS(Пул!$G$5:$G$300,Пул!$E$5:$E$300,$B119),8)))</f>
        <v/>
      </c>
      <c r="E119" s="240" t="str">
        <f>IF($B119="","",IF(COUNTIFS(Пул!$E$5:$E$300,$B119,Пул!$L$5:$L$300,"Закрыт")=0,"",ROUND(SUMIFS(Пул!$H$5:$H$300,Пул!$E$5:$E$300,$B119,Пул!$L$5:$L$300,"Закрыт"),8)))</f>
        <v/>
      </c>
      <c r="F119" s="241" t="str">
        <f>IF($B119="","",IF(COUNTIFS(Пул!$E$5:$E$300,$B119,Пул!$L$5:$L$300,"Закрыт")=0,"",ROUND(SUMIFS(Пул!$I$5:$I$300,Пул!$E$5:$E$300,$B119,Пул!$L$5:$L$300,"Закрыт"),8)))</f>
        <v/>
      </c>
      <c r="G119" s="240" t="str">
        <f>IF($B119="","",IF(COUNTIFS(Пул!$E$5:$E$300,$B119,Пул!$L$5:$L$300,"Закрыт")=0,"",ROUND(SUMIFS(Пул!$J$5:$J$300,Пул!$E$5:$E$300,$B119,Пул!$L$5:$L$300,"Закрыт"),8)))</f>
        <v/>
      </c>
      <c r="H119" s="241" t="str">
        <f>IF($B119="","",IF(COUNTIFS(Пул!$E$5:$E$300,$B119,Пул!$L$5:$L$300,"Закрыт")=0,"",ROUND(SUMIFS(Пул!$K$5:$K$300,Пул!$E$5:$E$300,$B119,Пул!$L$5:$L$300,"Закрыт"),8)))</f>
        <v/>
      </c>
      <c r="I119" s="236" t="str">
        <f>IF(AND(ISNUMBER(G119),ISNUMBER(H119)),IF(AND(G119&gt;0,H119&lt;0),"Buy",IF(AND(G119&lt;0,H119&gt;0),"Sell","")),"")</f>
        <v/>
      </c>
      <c r="J119" s="177" t="str">
        <f>IF(I119="Buy",G119,IF(I119="Sell",-G119,""))</f>
        <v/>
      </c>
      <c r="K119" s="177" t="str">
        <f>IF(AND(ISNUMBER(J119),ISNUMBER(L119),N(J119)&lt;&gt;0),ROUND(L119/J119,8),"")</f>
        <v/>
      </c>
      <c r="L119" s="177" t="str">
        <f>IF(I119="Buy",-H119,IF(I119="Sell",H119,""))</f>
        <v/>
      </c>
    </row>
    <row r="120" ht="22" customHeight="1">
      <c r="B120" s="245" t="n"/>
      <c r="C120" s="246" t="str">
        <f>IF($B120="","",IF(COUNTIFS(Пул!$E$5:$E$300,$B120,Пул!$F$5:$F$300,"&lt;&gt;")=0,"",ROUND(SUMIFS(Пул!$F$5:$F$300,Пул!$E$5:$E$300,$B120),8)))</f>
        <v/>
      </c>
      <c r="D120" s="247" t="str">
        <f>IF($B120="","",IF(COUNTIFS(Пул!$E$5:$E$300,$B120,Пул!$G$5:$G$300,"&lt;&gt;")=0,"",ROUND(SUMIFS(Пул!$G$5:$G$300,Пул!$E$5:$E$300,$B120),8)))</f>
        <v/>
      </c>
      <c r="E120" s="246" t="str">
        <f>IF($B120="","",IF(COUNTIFS(Пул!$E$5:$E$300,$B120,Пул!$L$5:$L$300,"Закрыт")=0,"",ROUND(SUMIFS(Пул!$H$5:$H$300,Пул!$E$5:$E$300,$B120,Пул!$L$5:$L$300,"Закрыт"),8)))</f>
        <v/>
      </c>
      <c r="F120" s="247" t="str">
        <f>IF($B120="","",IF(COUNTIFS(Пул!$E$5:$E$300,$B120,Пул!$L$5:$L$300,"Закрыт")=0,"",ROUND(SUMIFS(Пул!$I$5:$I$300,Пул!$E$5:$E$300,$B120,Пул!$L$5:$L$300,"Закрыт"),8)))</f>
        <v/>
      </c>
      <c r="G120" s="246" t="str">
        <f>IF($B120="","",IF(COUNTIFS(Пул!$E$5:$E$300,$B120,Пул!$L$5:$L$300,"Закрыт")=0,"",ROUND(SUMIFS(Пул!$J$5:$J$300,Пул!$E$5:$E$300,$B120,Пул!$L$5:$L$300,"Закрыт"),8)))</f>
        <v/>
      </c>
      <c r="H120" s="247" t="str">
        <f>IF($B120="","",IF(COUNTIFS(Пул!$E$5:$E$300,$B120,Пул!$L$5:$L$300,"Закрыт")=0,"",ROUND(SUMIFS(Пул!$K$5:$K$300,Пул!$E$5:$E$300,$B120,Пул!$L$5:$L$300,"Закрыт"),8)))</f>
        <v/>
      </c>
      <c r="I120" s="242" t="str">
        <f>IF(AND(ISNUMBER(G120),ISNUMBER(H120)),IF(AND(G120&gt;0,H120&lt;0),"Buy",IF(AND(G120&lt;0,H120&gt;0),"Sell","")),"")</f>
        <v/>
      </c>
      <c r="J120" s="183" t="str">
        <f>IF(I120="Buy",G120,IF(I120="Sell",-G120,""))</f>
        <v/>
      </c>
      <c r="K120" s="183" t="str">
        <f>IF(AND(ISNUMBER(J120),ISNUMBER(L120),N(J120)&lt;&gt;0),ROUND(L120/J120,8),"")</f>
        <v/>
      </c>
      <c r="L120" s="183" t="str">
        <f>IF(I120="Buy",-H120,IF(I120="Sell",H120,""))</f>
        <v/>
      </c>
    </row>
    <row r="121" ht="22" customHeight="1">
      <c r="B121" s="239" t="n"/>
      <c r="C121" s="240" t="str">
        <f>IF($B121="","",IF(COUNTIFS(Пул!$E$5:$E$300,$B121,Пул!$F$5:$F$300,"&lt;&gt;")=0,"",ROUND(SUMIFS(Пул!$F$5:$F$300,Пул!$E$5:$E$300,$B121),8)))</f>
        <v/>
      </c>
      <c r="D121" s="241" t="str">
        <f>IF($B121="","",IF(COUNTIFS(Пул!$E$5:$E$300,$B121,Пул!$G$5:$G$300,"&lt;&gt;")=0,"",ROUND(SUMIFS(Пул!$G$5:$G$300,Пул!$E$5:$E$300,$B121),8)))</f>
        <v/>
      </c>
      <c r="E121" s="240" t="str">
        <f>IF($B121="","",IF(COUNTIFS(Пул!$E$5:$E$300,$B121,Пул!$L$5:$L$300,"Закрыт")=0,"",ROUND(SUMIFS(Пул!$H$5:$H$300,Пул!$E$5:$E$300,$B121,Пул!$L$5:$L$300,"Закрыт"),8)))</f>
        <v/>
      </c>
      <c r="F121" s="241" t="str">
        <f>IF($B121="","",IF(COUNTIFS(Пул!$E$5:$E$300,$B121,Пул!$L$5:$L$300,"Закрыт")=0,"",ROUND(SUMIFS(Пул!$I$5:$I$300,Пул!$E$5:$E$300,$B121,Пул!$L$5:$L$300,"Закрыт"),8)))</f>
        <v/>
      </c>
      <c r="G121" s="240" t="str">
        <f>IF($B121="","",IF(COUNTIFS(Пул!$E$5:$E$300,$B121,Пул!$L$5:$L$300,"Закрыт")=0,"",ROUND(SUMIFS(Пул!$J$5:$J$300,Пул!$E$5:$E$300,$B121,Пул!$L$5:$L$300,"Закрыт"),8)))</f>
        <v/>
      </c>
      <c r="H121" s="241" t="str">
        <f>IF($B121="","",IF(COUNTIFS(Пул!$E$5:$E$300,$B121,Пул!$L$5:$L$300,"Закрыт")=0,"",ROUND(SUMIFS(Пул!$K$5:$K$300,Пул!$E$5:$E$300,$B121,Пул!$L$5:$L$300,"Закрыт"),8)))</f>
        <v/>
      </c>
      <c r="I121" s="236" t="str">
        <f>IF(AND(ISNUMBER(G121),ISNUMBER(H121)),IF(AND(G121&gt;0,H121&lt;0),"Buy",IF(AND(G121&lt;0,H121&gt;0),"Sell","")),"")</f>
        <v/>
      </c>
      <c r="J121" s="177" t="str">
        <f>IF(I121="Buy",G121,IF(I121="Sell",-G121,""))</f>
        <v/>
      </c>
      <c r="K121" s="177" t="str">
        <f>IF(AND(ISNUMBER(J121),ISNUMBER(L121),N(J121)&lt;&gt;0),ROUND(L121/J121,8),"")</f>
        <v/>
      </c>
      <c r="L121" s="177" t="str">
        <f>IF(I121="Buy",-H121,IF(I121="Sell",H121,""))</f>
        <v/>
      </c>
    </row>
    <row r="122" ht="22" customHeight="1">
      <c r="B122" s="245" t="n"/>
      <c r="C122" s="246" t="str">
        <f>IF($B122="","",IF(COUNTIFS(Пул!$E$5:$E$300,$B122,Пул!$F$5:$F$300,"&lt;&gt;")=0,"",ROUND(SUMIFS(Пул!$F$5:$F$300,Пул!$E$5:$E$300,$B122),8)))</f>
        <v/>
      </c>
      <c r="D122" s="247" t="str">
        <f>IF($B122="","",IF(COUNTIFS(Пул!$E$5:$E$300,$B122,Пул!$G$5:$G$300,"&lt;&gt;")=0,"",ROUND(SUMIFS(Пул!$G$5:$G$300,Пул!$E$5:$E$300,$B122),8)))</f>
        <v/>
      </c>
      <c r="E122" s="246" t="str">
        <f>IF($B122="","",IF(COUNTIFS(Пул!$E$5:$E$300,$B122,Пул!$L$5:$L$300,"Закрыт")=0,"",ROUND(SUMIFS(Пул!$H$5:$H$300,Пул!$E$5:$E$300,$B122,Пул!$L$5:$L$300,"Закрыт"),8)))</f>
        <v/>
      </c>
      <c r="F122" s="247" t="str">
        <f>IF($B122="","",IF(COUNTIFS(Пул!$E$5:$E$300,$B122,Пул!$L$5:$L$300,"Закрыт")=0,"",ROUND(SUMIFS(Пул!$I$5:$I$300,Пул!$E$5:$E$300,$B122,Пул!$L$5:$L$300,"Закрыт"),8)))</f>
        <v/>
      </c>
      <c r="G122" s="246" t="str">
        <f>IF($B122="","",IF(COUNTIFS(Пул!$E$5:$E$300,$B122,Пул!$L$5:$L$300,"Закрыт")=0,"",ROUND(SUMIFS(Пул!$J$5:$J$300,Пул!$E$5:$E$300,$B122,Пул!$L$5:$L$300,"Закрыт"),8)))</f>
        <v/>
      </c>
      <c r="H122" s="247" t="str">
        <f>IF($B122="","",IF(COUNTIFS(Пул!$E$5:$E$300,$B122,Пул!$L$5:$L$300,"Закрыт")=0,"",ROUND(SUMIFS(Пул!$K$5:$K$300,Пул!$E$5:$E$300,$B122,Пул!$L$5:$L$300,"Закрыт"),8)))</f>
        <v/>
      </c>
      <c r="I122" s="242" t="str">
        <f>IF(AND(ISNUMBER(G122),ISNUMBER(H122)),IF(AND(G122&gt;0,H122&lt;0),"Buy",IF(AND(G122&lt;0,H122&gt;0),"Sell","")),"")</f>
        <v/>
      </c>
      <c r="J122" s="183" t="str">
        <f>IF(I122="Buy",G122,IF(I122="Sell",-G122,""))</f>
        <v/>
      </c>
      <c r="K122" s="183" t="str">
        <f>IF(AND(ISNUMBER(J122),ISNUMBER(L122),N(J122)&lt;&gt;0),ROUND(L122/J122,8),"")</f>
        <v/>
      </c>
      <c r="L122" s="183" t="str">
        <f>IF(I122="Buy",-H122,IF(I122="Sell",H122,""))</f>
        <v/>
      </c>
    </row>
    <row r="123" ht="22" customHeight="1">
      <c r="B123" s="239" t="n"/>
      <c r="C123" s="240" t="str">
        <f>IF($B123="","",IF(COUNTIFS(Пул!$E$5:$E$300,$B123,Пул!$F$5:$F$300,"&lt;&gt;")=0,"",ROUND(SUMIFS(Пул!$F$5:$F$300,Пул!$E$5:$E$300,$B123),8)))</f>
        <v/>
      </c>
      <c r="D123" s="241" t="str">
        <f>IF($B123="","",IF(COUNTIFS(Пул!$E$5:$E$300,$B123,Пул!$G$5:$G$300,"&lt;&gt;")=0,"",ROUND(SUMIFS(Пул!$G$5:$G$300,Пул!$E$5:$E$300,$B123),8)))</f>
        <v/>
      </c>
      <c r="E123" s="240" t="str">
        <f>IF($B123="","",IF(COUNTIFS(Пул!$E$5:$E$300,$B123,Пул!$L$5:$L$300,"Закрыт")=0,"",ROUND(SUMIFS(Пул!$H$5:$H$300,Пул!$E$5:$E$300,$B123,Пул!$L$5:$L$300,"Закрыт"),8)))</f>
        <v/>
      </c>
      <c r="F123" s="241" t="str">
        <f>IF($B123="","",IF(COUNTIFS(Пул!$E$5:$E$300,$B123,Пул!$L$5:$L$300,"Закрыт")=0,"",ROUND(SUMIFS(Пул!$I$5:$I$300,Пул!$E$5:$E$300,$B123,Пул!$L$5:$L$300,"Закрыт"),8)))</f>
        <v/>
      </c>
      <c r="G123" s="240" t="str">
        <f>IF($B123="","",IF(COUNTIFS(Пул!$E$5:$E$300,$B123,Пул!$L$5:$L$300,"Закрыт")=0,"",ROUND(SUMIFS(Пул!$J$5:$J$300,Пул!$E$5:$E$300,$B123,Пул!$L$5:$L$300,"Закрыт"),8)))</f>
        <v/>
      </c>
      <c r="H123" s="241" t="str">
        <f>IF($B123="","",IF(COUNTIFS(Пул!$E$5:$E$300,$B123,Пул!$L$5:$L$300,"Закрыт")=0,"",ROUND(SUMIFS(Пул!$K$5:$K$300,Пул!$E$5:$E$300,$B123,Пул!$L$5:$L$300,"Закрыт"),8)))</f>
        <v/>
      </c>
      <c r="I123" s="236" t="str">
        <f>IF(AND(ISNUMBER(G123),ISNUMBER(H123)),IF(AND(G123&gt;0,H123&lt;0),"Buy",IF(AND(G123&lt;0,H123&gt;0),"Sell","")),"")</f>
        <v/>
      </c>
      <c r="J123" s="177" t="str">
        <f>IF(I123="Buy",G123,IF(I123="Sell",-G123,""))</f>
        <v/>
      </c>
      <c r="K123" s="177" t="str">
        <f>IF(AND(ISNUMBER(J123),ISNUMBER(L123),N(J123)&lt;&gt;0),ROUND(L123/J123,8),"")</f>
        <v/>
      </c>
      <c r="L123" s="177" t="str">
        <f>IF(I123="Buy",-H123,IF(I123="Sell",H123,""))</f>
        <v/>
      </c>
    </row>
    <row r="124" ht="22" customHeight="1">
      <c r="B124" s="245" t="n"/>
      <c r="C124" s="246" t="str">
        <f>IF($B124="","",IF(COUNTIFS(Пул!$E$5:$E$300,$B124,Пул!$F$5:$F$300,"&lt;&gt;")=0,"",ROUND(SUMIFS(Пул!$F$5:$F$300,Пул!$E$5:$E$300,$B124),8)))</f>
        <v/>
      </c>
      <c r="D124" s="247" t="str">
        <f>IF($B124="","",IF(COUNTIFS(Пул!$E$5:$E$300,$B124,Пул!$G$5:$G$300,"&lt;&gt;")=0,"",ROUND(SUMIFS(Пул!$G$5:$G$300,Пул!$E$5:$E$300,$B124),8)))</f>
        <v/>
      </c>
      <c r="E124" s="246" t="str">
        <f>IF($B124="","",IF(COUNTIFS(Пул!$E$5:$E$300,$B124,Пул!$L$5:$L$300,"Закрыт")=0,"",ROUND(SUMIFS(Пул!$H$5:$H$300,Пул!$E$5:$E$300,$B124,Пул!$L$5:$L$300,"Закрыт"),8)))</f>
        <v/>
      </c>
      <c r="F124" s="247" t="str">
        <f>IF($B124="","",IF(COUNTIFS(Пул!$E$5:$E$300,$B124,Пул!$L$5:$L$300,"Закрыт")=0,"",ROUND(SUMIFS(Пул!$I$5:$I$300,Пул!$E$5:$E$300,$B124,Пул!$L$5:$L$300,"Закрыт"),8)))</f>
        <v/>
      </c>
      <c r="G124" s="246" t="str">
        <f>IF($B124="","",IF(COUNTIFS(Пул!$E$5:$E$300,$B124,Пул!$L$5:$L$300,"Закрыт")=0,"",ROUND(SUMIFS(Пул!$J$5:$J$300,Пул!$E$5:$E$300,$B124,Пул!$L$5:$L$300,"Закрыт"),8)))</f>
        <v/>
      </c>
      <c r="H124" s="247" t="str">
        <f>IF($B124="","",IF(COUNTIFS(Пул!$E$5:$E$300,$B124,Пул!$L$5:$L$300,"Закрыт")=0,"",ROUND(SUMIFS(Пул!$K$5:$K$300,Пул!$E$5:$E$300,$B124,Пул!$L$5:$L$300,"Закрыт"),8)))</f>
        <v/>
      </c>
      <c r="I124" s="242" t="str">
        <f>IF(AND(ISNUMBER(G124),ISNUMBER(H124)),IF(AND(G124&gt;0,H124&lt;0),"Buy",IF(AND(G124&lt;0,H124&gt;0),"Sell","")),"")</f>
        <v/>
      </c>
      <c r="J124" s="183" t="str">
        <f>IF(I124="Buy",G124,IF(I124="Sell",-G124,""))</f>
        <v/>
      </c>
      <c r="K124" s="183" t="str">
        <f>IF(AND(ISNUMBER(J124),ISNUMBER(L124),N(J124)&lt;&gt;0),ROUND(L124/J124,8),"")</f>
        <v/>
      </c>
      <c r="L124" s="183" t="str">
        <f>IF(I124="Buy",-H124,IF(I124="Sell",H124,""))</f>
        <v/>
      </c>
    </row>
    <row r="125" ht="22" customHeight="1">
      <c r="B125" s="239" t="n"/>
      <c r="C125" s="240" t="str">
        <f>IF($B125="","",IF(COUNTIFS(Пул!$E$5:$E$300,$B125,Пул!$F$5:$F$300,"&lt;&gt;")=0,"",ROUND(SUMIFS(Пул!$F$5:$F$300,Пул!$E$5:$E$300,$B125),8)))</f>
        <v/>
      </c>
      <c r="D125" s="241" t="str">
        <f>IF($B125="","",IF(COUNTIFS(Пул!$E$5:$E$300,$B125,Пул!$G$5:$G$300,"&lt;&gt;")=0,"",ROUND(SUMIFS(Пул!$G$5:$G$300,Пул!$E$5:$E$300,$B125),8)))</f>
        <v/>
      </c>
      <c r="E125" s="240" t="str">
        <f>IF($B125="","",IF(COUNTIFS(Пул!$E$5:$E$300,$B125,Пул!$L$5:$L$300,"Закрыт")=0,"",ROUND(SUMIFS(Пул!$H$5:$H$300,Пул!$E$5:$E$300,$B125,Пул!$L$5:$L$300,"Закрыт"),8)))</f>
        <v/>
      </c>
      <c r="F125" s="241" t="str">
        <f>IF($B125="","",IF(COUNTIFS(Пул!$E$5:$E$300,$B125,Пул!$L$5:$L$300,"Закрыт")=0,"",ROUND(SUMIFS(Пул!$I$5:$I$300,Пул!$E$5:$E$300,$B125,Пул!$L$5:$L$300,"Закрыт"),8)))</f>
        <v/>
      </c>
      <c r="G125" s="240" t="str">
        <f>IF($B125="","",IF(COUNTIFS(Пул!$E$5:$E$300,$B125,Пул!$L$5:$L$300,"Закрыт")=0,"",ROUND(SUMIFS(Пул!$J$5:$J$300,Пул!$E$5:$E$300,$B125,Пул!$L$5:$L$300,"Закрыт"),8)))</f>
        <v/>
      </c>
      <c r="H125" s="241" t="str">
        <f>IF($B125="","",IF(COUNTIFS(Пул!$E$5:$E$300,$B125,Пул!$L$5:$L$300,"Закрыт")=0,"",ROUND(SUMIFS(Пул!$K$5:$K$300,Пул!$E$5:$E$300,$B125,Пул!$L$5:$L$300,"Закрыт"),8)))</f>
        <v/>
      </c>
      <c r="I125" s="236" t="str">
        <f>IF(AND(ISNUMBER(G125),ISNUMBER(H125)),IF(AND(G125&gt;0,H125&lt;0),"Buy",IF(AND(G125&lt;0,H125&gt;0),"Sell","")),"")</f>
        <v/>
      </c>
      <c r="J125" s="177" t="str">
        <f>IF(I125="Buy",G125,IF(I125="Sell",-G125,""))</f>
        <v/>
      </c>
      <c r="K125" s="177" t="str">
        <f>IF(AND(ISNUMBER(J125),ISNUMBER(L125),N(J125)&lt;&gt;0),ROUND(L125/J125,8),"")</f>
        <v/>
      </c>
      <c r="L125" s="177" t="str">
        <f>IF(I125="Buy",-H125,IF(I125="Sell",H125,""))</f>
        <v/>
      </c>
    </row>
    <row r="126" ht="22" customHeight="1">
      <c r="B126" s="245" t="n"/>
      <c r="C126" s="246" t="str">
        <f>IF($B126="","",IF(COUNTIFS(Пул!$E$5:$E$300,$B126,Пул!$F$5:$F$300,"&lt;&gt;")=0,"",ROUND(SUMIFS(Пул!$F$5:$F$300,Пул!$E$5:$E$300,$B126),8)))</f>
        <v/>
      </c>
      <c r="D126" s="247" t="str">
        <f>IF($B126="","",IF(COUNTIFS(Пул!$E$5:$E$300,$B126,Пул!$G$5:$G$300,"&lt;&gt;")=0,"",ROUND(SUMIFS(Пул!$G$5:$G$300,Пул!$E$5:$E$300,$B126),8)))</f>
        <v/>
      </c>
      <c r="E126" s="246" t="str">
        <f>IF($B126="","",IF(COUNTIFS(Пул!$E$5:$E$300,$B126,Пул!$L$5:$L$300,"Закрыт")=0,"",ROUND(SUMIFS(Пул!$H$5:$H$300,Пул!$E$5:$E$300,$B126,Пул!$L$5:$L$300,"Закрыт"),8)))</f>
        <v/>
      </c>
      <c r="F126" s="247" t="str">
        <f>IF($B126="","",IF(COUNTIFS(Пул!$E$5:$E$300,$B126,Пул!$L$5:$L$300,"Закрыт")=0,"",ROUND(SUMIFS(Пул!$I$5:$I$300,Пул!$E$5:$E$300,$B126,Пул!$L$5:$L$300,"Закрыт"),8)))</f>
        <v/>
      </c>
      <c r="G126" s="246" t="str">
        <f>IF($B126="","",IF(COUNTIFS(Пул!$E$5:$E$300,$B126,Пул!$L$5:$L$300,"Закрыт")=0,"",ROUND(SUMIFS(Пул!$J$5:$J$300,Пул!$E$5:$E$300,$B126,Пул!$L$5:$L$300,"Закрыт"),8)))</f>
        <v/>
      </c>
      <c r="H126" s="247" t="str">
        <f>IF($B126="","",IF(COUNTIFS(Пул!$E$5:$E$300,$B126,Пул!$L$5:$L$300,"Закрыт")=0,"",ROUND(SUMIFS(Пул!$K$5:$K$300,Пул!$E$5:$E$300,$B126,Пул!$L$5:$L$300,"Закрыт"),8)))</f>
        <v/>
      </c>
      <c r="I126" s="242" t="str">
        <f>IF(AND(ISNUMBER(G126),ISNUMBER(H126)),IF(AND(G126&gt;0,H126&lt;0),"Buy",IF(AND(G126&lt;0,H126&gt;0),"Sell","")),"")</f>
        <v/>
      </c>
      <c r="J126" s="183" t="str">
        <f>IF(I126="Buy",G126,IF(I126="Sell",-G126,""))</f>
        <v/>
      </c>
      <c r="K126" s="183" t="str">
        <f>IF(AND(ISNUMBER(J126),ISNUMBER(L126),N(J126)&lt;&gt;0),ROUND(L126/J126,8),"")</f>
        <v/>
      </c>
      <c r="L126" s="183" t="str">
        <f>IF(I126="Buy",-H126,IF(I126="Sell",H126,""))</f>
        <v/>
      </c>
    </row>
    <row r="127" ht="22" customHeight="1">
      <c r="B127" s="239" t="n"/>
      <c r="C127" s="240" t="str">
        <f>IF($B127="","",IF(COUNTIFS(Пул!$E$5:$E$300,$B127,Пул!$F$5:$F$300,"&lt;&gt;")=0,"",ROUND(SUMIFS(Пул!$F$5:$F$300,Пул!$E$5:$E$300,$B127),8)))</f>
        <v/>
      </c>
      <c r="D127" s="241" t="str">
        <f>IF($B127="","",IF(COUNTIFS(Пул!$E$5:$E$300,$B127,Пул!$G$5:$G$300,"&lt;&gt;")=0,"",ROUND(SUMIFS(Пул!$G$5:$G$300,Пул!$E$5:$E$300,$B127),8)))</f>
        <v/>
      </c>
      <c r="E127" s="240" t="str">
        <f>IF($B127="","",IF(COUNTIFS(Пул!$E$5:$E$300,$B127,Пул!$L$5:$L$300,"Закрыт")=0,"",ROUND(SUMIFS(Пул!$H$5:$H$300,Пул!$E$5:$E$300,$B127,Пул!$L$5:$L$300,"Закрыт"),8)))</f>
        <v/>
      </c>
      <c r="F127" s="241" t="str">
        <f>IF($B127="","",IF(COUNTIFS(Пул!$E$5:$E$300,$B127,Пул!$L$5:$L$300,"Закрыт")=0,"",ROUND(SUMIFS(Пул!$I$5:$I$300,Пул!$E$5:$E$300,$B127,Пул!$L$5:$L$300,"Закрыт"),8)))</f>
        <v/>
      </c>
      <c r="G127" s="240" t="str">
        <f>IF($B127="","",IF(COUNTIFS(Пул!$E$5:$E$300,$B127,Пул!$L$5:$L$300,"Закрыт")=0,"",ROUND(SUMIFS(Пул!$J$5:$J$300,Пул!$E$5:$E$300,$B127,Пул!$L$5:$L$300,"Закрыт"),8)))</f>
        <v/>
      </c>
      <c r="H127" s="241" t="str">
        <f>IF($B127="","",IF(COUNTIFS(Пул!$E$5:$E$300,$B127,Пул!$L$5:$L$300,"Закрыт")=0,"",ROUND(SUMIFS(Пул!$K$5:$K$300,Пул!$E$5:$E$300,$B127,Пул!$L$5:$L$300,"Закрыт"),8)))</f>
        <v/>
      </c>
      <c r="I127" s="236" t="str">
        <f>IF(AND(ISNUMBER(G127),ISNUMBER(H127)),IF(AND(G127&gt;0,H127&lt;0),"Buy",IF(AND(G127&lt;0,H127&gt;0),"Sell","")),"")</f>
        <v/>
      </c>
      <c r="J127" s="177" t="str">
        <f>IF(I127="Buy",G127,IF(I127="Sell",-G127,""))</f>
        <v/>
      </c>
      <c r="K127" s="177" t="str">
        <f>IF(AND(ISNUMBER(J127),ISNUMBER(L127),N(J127)&lt;&gt;0),ROUND(L127/J127,8),"")</f>
        <v/>
      </c>
      <c r="L127" s="177" t="str">
        <f>IF(I127="Buy",-H127,IF(I127="Sell",H127,""))</f>
        <v/>
      </c>
    </row>
    <row r="128" ht="22" customHeight="1">
      <c r="B128" s="245" t="n"/>
      <c r="C128" s="246" t="str">
        <f>IF($B128="","",IF(COUNTIFS(Пул!$E$5:$E$300,$B128,Пул!$F$5:$F$300,"&lt;&gt;")=0,"",ROUND(SUMIFS(Пул!$F$5:$F$300,Пул!$E$5:$E$300,$B128),8)))</f>
        <v/>
      </c>
      <c r="D128" s="247" t="str">
        <f>IF($B128="","",IF(COUNTIFS(Пул!$E$5:$E$300,$B128,Пул!$G$5:$G$300,"&lt;&gt;")=0,"",ROUND(SUMIFS(Пул!$G$5:$G$300,Пул!$E$5:$E$300,$B128),8)))</f>
        <v/>
      </c>
      <c r="E128" s="246" t="str">
        <f>IF($B128="","",IF(COUNTIFS(Пул!$E$5:$E$300,$B128,Пул!$L$5:$L$300,"Закрыт")=0,"",ROUND(SUMIFS(Пул!$H$5:$H$300,Пул!$E$5:$E$300,$B128,Пул!$L$5:$L$300,"Закрыт"),8)))</f>
        <v/>
      </c>
      <c r="F128" s="247" t="str">
        <f>IF($B128="","",IF(COUNTIFS(Пул!$E$5:$E$300,$B128,Пул!$L$5:$L$300,"Закрыт")=0,"",ROUND(SUMIFS(Пул!$I$5:$I$300,Пул!$E$5:$E$300,$B128,Пул!$L$5:$L$300,"Закрыт"),8)))</f>
        <v/>
      </c>
      <c r="G128" s="246" t="str">
        <f>IF($B128="","",IF(COUNTIFS(Пул!$E$5:$E$300,$B128,Пул!$L$5:$L$300,"Закрыт")=0,"",ROUND(SUMIFS(Пул!$J$5:$J$300,Пул!$E$5:$E$300,$B128,Пул!$L$5:$L$300,"Закрыт"),8)))</f>
        <v/>
      </c>
      <c r="H128" s="247" t="str">
        <f>IF($B128="","",IF(COUNTIFS(Пул!$E$5:$E$300,$B128,Пул!$L$5:$L$300,"Закрыт")=0,"",ROUND(SUMIFS(Пул!$K$5:$K$300,Пул!$E$5:$E$300,$B128,Пул!$L$5:$L$300,"Закрыт"),8)))</f>
        <v/>
      </c>
      <c r="I128" s="242" t="str">
        <f>IF(AND(ISNUMBER(G128),ISNUMBER(H128)),IF(AND(G128&gt;0,H128&lt;0),"Buy",IF(AND(G128&lt;0,H128&gt;0),"Sell","")),"")</f>
        <v/>
      </c>
      <c r="J128" s="183" t="str">
        <f>IF(I128="Buy",G128,IF(I128="Sell",-G128,""))</f>
        <v/>
      </c>
      <c r="K128" s="183" t="str">
        <f>IF(AND(ISNUMBER(J128),ISNUMBER(L128),N(J128)&lt;&gt;0),ROUND(L128/J128,8),"")</f>
        <v/>
      </c>
      <c r="L128" s="183" t="str">
        <f>IF(I128="Buy",-H128,IF(I128="Sell",H128,""))</f>
        <v/>
      </c>
    </row>
    <row r="129" ht="22" customHeight="1">
      <c r="B129" s="239" t="n"/>
      <c r="C129" s="240" t="str">
        <f>IF($B129="","",IF(COUNTIFS(Пул!$E$5:$E$300,$B129,Пул!$F$5:$F$300,"&lt;&gt;")=0,"",ROUND(SUMIFS(Пул!$F$5:$F$300,Пул!$E$5:$E$300,$B129),8)))</f>
        <v/>
      </c>
      <c r="D129" s="241" t="str">
        <f>IF($B129="","",IF(COUNTIFS(Пул!$E$5:$E$300,$B129,Пул!$G$5:$G$300,"&lt;&gt;")=0,"",ROUND(SUMIFS(Пул!$G$5:$G$300,Пул!$E$5:$E$300,$B129),8)))</f>
        <v/>
      </c>
      <c r="E129" s="240" t="str">
        <f>IF($B129="","",IF(COUNTIFS(Пул!$E$5:$E$300,$B129,Пул!$L$5:$L$300,"Закрыт")=0,"",ROUND(SUMIFS(Пул!$H$5:$H$300,Пул!$E$5:$E$300,$B129,Пул!$L$5:$L$300,"Закрыт"),8)))</f>
        <v/>
      </c>
      <c r="F129" s="241" t="str">
        <f>IF($B129="","",IF(COUNTIFS(Пул!$E$5:$E$300,$B129,Пул!$L$5:$L$300,"Закрыт")=0,"",ROUND(SUMIFS(Пул!$I$5:$I$300,Пул!$E$5:$E$300,$B129,Пул!$L$5:$L$300,"Закрыт"),8)))</f>
        <v/>
      </c>
      <c r="G129" s="240" t="str">
        <f>IF($B129="","",IF(COUNTIFS(Пул!$E$5:$E$300,$B129,Пул!$L$5:$L$300,"Закрыт")=0,"",ROUND(SUMIFS(Пул!$J$5:$J$300,Пул!$E$5:$E$300,$B129,Пул!$L$5:$L$300,"Закрыт"),8)))</f>
        <v/>
      </c>
      <c r="H129" s="241" t="str">
        <f>IF($B129="","",IF(COUNTIFS(Пул!$E$5:$E$300,$B129,Пул!$L$5:$L$300,"Закрыт")=0,"",ROUND(SUMIFS(Пул!$K$5:$K$300,Пул!$E$5:$E$300,$B129,Пул!$L$5:$L$300,"Закрыт"),8)))</f>
        <v/>
      </c>
      <c r="I129" s="236" t="str">
        <f>IF(AND(ISNUMBER(G129),ISNUMBER(H129)),IF(AND(G129&gt;0,H129&lt;0),"Buy",IF(AND(G129&lt;0,H129&gt;0),"Sell","")),"")</f>
        <v/>
      </c>
      <c r="J129" s="177" t="str">
        <f>IF(I129="Buy",G129,IF(I129="Sell",-G129,""))</f>
        <v/>
      </c>
      <c r="K129" s="177" t="str">
        <f>IF(AND(ISNUMBER(J129),ISNUMBER(L129),N(J129)&lt;&gt;0),ROUND(L129/J129,8),"")</f>
        <v/>
      </c>
      <c r="L129" s="177" t="str">
        <f>IF(I129="Buy",-H129,IF(I129="Sell",H129,""))</f>
        <v/>
      </c>
    </row>
    <row r="130" ht="22" customHeight="1">
      <c r="B130" s="245" t="n"/>
      <c r="C130" s="246" t="str">
        <f>IF($B130="","",IF(COUNTIFS(Пул!$E$5:$E$300,$B130,Пул!$F$5:$F$300,"&lt;&gt;")=0,"",ROUND(SUMIFS(Пул!$F$5:$F$300,Пул!$E$5:$E$300,$B130),8)))</f>
        <v/>
      </c>
      <c r="D130" s="247" t="str">
        <f>IF($B130="","",IF(COUNTIFS(Пул!$E$5:$E$300,$B130,Пул!$G$5:$G$300,"&lt;&gt;")=0,"",ROUND(SUMIFS(Пул!$G$5:$G$300,Пул!$E$5:$E$300,$B130),8)))</f>
        <v/>
      </c>
      <c r="E130" s="246" t="str">
        <f>IF($B130="","",IF(COUNTIFS(Пул!$E$5:$E$300,$B130,Пул!$L$5:$L$300,"Закрыт")=0,"",ROUND(SUMIFS(Пул!$H$5:$H$300,Пул!$E$5:$E$300,$B130,Пул!$L$5:$L$300,"Закрыт"),8)))</f>
        <v/>
      </c>
      <c r="F130" s="247" t="str">
        <f>IF($B130="","",IF(COUNTIFS(Пул!$E$5:$E$300,$B130,Пул!$L$5:$L$300,"Закрыт")=0,"",ROUND(SUMIFS(Пул!$I$5:$I$300,Пул!$E$5:$E$300,$B130,Пул!$L$5:$L$300,"Закрыт"),8)))</f>
        <v/>
      </c>
      <c r="G130" s="246" t="str">
        <f>IF($B130="","",IF(COUNTIFS(Пул!$E$5:$E$300,$B130,Пул!$L$5:$L$300,"Закрыт")=0,"",ROUND(SUMIFS(Пул!$J$5:$J$300,Пул!$E$5:$E$300,$B130,Пул!$L$5:$L$300,"Закрыт"),8)))</f>
        <v/>
      </c>
      <c r="H130" s="247" t="str">
        <f>IF($B130="","",IF(COUNTIFS(Пул!$E$5:$E$300,$B130,Пул!$L$5:$L$300,"Закрыт")=0,"",ROUND(SUMIFS(Пул!$K$5:$K$300,Пул!$E$5:$E$300,$B130,Пул!$L$5:$L$300,"Закрыт"),8)))</f>
        <v/>
      </c>
      <c r="I130" s="242" t="str">
        <f>IF(AND(ISNUMBER(G130),ISNUMBER(H130)),IF(AND(G130&gt;0,H130&lt;0),"Buy",IF(AND(G130&lt;0,H130&gt;0),"Sell","")),"")</f>
        <v/>
      </c>
      <c r="J130" s="183" t="str">
        <f>IF(I130="Buy",G130,IF(I130="Sell",-G130,""))</f>
        <v/>
      </c>
      <c r="K130" s="183" t="str">
        <f>IF(AND(ISNUMBER(J130),ISNUMBER(L130),N(J130)&lt;&gt;0),ROUND(L130/J130,8),"")</f>
        <v/>
      </c>
      <c r="L130" s="183" t="str">
        <f>IF(I130="Buy",-H130,IF(I130="Sell",H130,""))</f>
        <v/>
      </c>
    </row>
    <row r="131" ht="22" customHeight="1">
      <c r="B131" s="239" t="n"/>
      <c r="C131" s="240" t="str">
        <f>IF($B131="","",IF(COUNTIFS(Пул!$E$5:$E$300,$B131,Пул!$F$5:$F$300,"&lt;&gt;")=0,"",ROUND(SUMIFS(Пул!$F$5:$F$300,Пул!$E$5:$E$300,$B131),8)))</f>
        <v/>
      </c>
      <c r="D131" s="241" t="str">
        <f>IF($B131="","",IF(COUNTIFS(Пул!$E$5:$E$300,$B131,Пул!$G$5:$G$300,"&lt;&gt;")=0,"",ROUND(SUMIFS(Пул!$G$5:$G$300,Пул!$E$5:$E$300,$B131),8)))</f>
        <v/>
      </c>
      <c r="E131" s="240" t="str">
        <f>IF($B131="","",IF(COUNTIFS(Пул!$E$5:$E$300,$B131,Пул!$L$5:$L$300,"Закрыт")=0,"",ROUND(SUMIFS(Пул!$H$5:$H$300,Пул!$E$5:$E$300,$B131,Пул!$L$5:$L$300,"Закрыт"),8)))</f>
        <v/>
      </c>
      <c r="F131" s="241" t="str">
        <f>IF($B131="","",IF(COUNTIFS(Пул!$E$5:$E$300,$B131,Пул!$L$5:$L$300,"Закрыт")=0,"",ROUND(SUMIFS(Пул!$I$5:$I$300,Пул!$E$5:$E$300,$B131,Пул!$L$5:$L$300,"Закрыт"),8)))</f>
        <v/>
      </c>
      <c r="G131" s="240" t="str">
        <f>IF($B131="","",IF(COUNTIFS(Пул!$E$5:$E$300,$B131,Пул!$L$5:$L$300,"Закрыт")=0,"",ROUND(SUMIFS(Пул!$J$5:$J$300,Пул!$E$5:$E$300,$B131,Пул!$L$5:$L$300,"Закрыт"),8)))</f>
        <v/>
      </c>
      <c r="H131" s="241" t="str">
        <f>IF($B131="","",IF(COUNTIFS(Пул!$E$5:$E$300,$B131,Пул!$L$5:$L$300,"Закрыт")=0,"",ROUND(SUMIFS(Пул!$K$5:$K$300,Пул!$E$5:$E$300,$B131,Пул!$L$5:$L$300,"Закрыт"),8)))</f>
        <v/>
      </c>
      <c r="I131" s="236" t="str">
        <f>IF(AND(ISNUMBER(G131),ISNUMBER(H131)),IF(AND(G131&gt;0,H131&lt;0),"Buy",IF(AND(G131&lt;0,H131&gt;0),"Sell","")),"")</f>
        <v/>
      </c>
      <c r="J131" s="177" t="str">
        <f>IF(I131="Buy",G131,IF(I131="Sell",-G131,""))</f>
        <v/>
      </c>
      <c r="K131" s="177" t="str">
        <f>IF(AND(ISNUMBER(J131),ISNUMBER(L131),N(J131)&lt;&gt;0),ROUND(L131/J131,8),"")</f>
        <v/>
      </c>
      <c r="L131" s="177" t="str">
        <f>IF(I131="Buy",-H131,IF(I131="Sell",H131,""))</f>
        <v/>
      </c>
    </row>
    <row r="132" ht="22" customHeight="1">
      <c r="B132" s="245" t="n"/>
      <c r="C132" s="246" t="str">
        <f>IF($B132="","",IF(COUNTIFS(Пул!$E$5:$E$300,$B132,Пул!$F$5:$F$300,"&lt;&gt;")=0,"",ROUND(SUMIFS(Пул!$F$5:$F$300,Пул!$E$5:$E$300,$B132),8)))</f>
        <v/>
      </c>
      <c r="D132" s="247" t="str">
        <f>IF($B132="","",IF(COUNTIFS(Пул!$E$5:$E$300,$B132,Пул!$G$5:$G$300,"&lt;&gt;")=0,"",ROUND(SUMIFS(Пул!$G$5:$G$300,Пул!$E$5:$E$300,$B132),8)))</f>
        <v/>
      </c>
      <c r="E132" s="246" t="str">
        <f>IF($B132="","",IF(COUNTIFS(Пул!$E$5:$E$300,$B132,Пул!$L$5:$L$300,"Закрыт")=0,"",ROUND(SUMIFS(Пул!$H$5:$H$300,Пул!$E$5:$E$300,$B132,Пул!$L$5:$L$300,"Закрыт"),8)))</f>
        <v/>
      </c>
      <c r="F132" s="247" t="str">
        <f>IF($B132="","",IF(COUNTIFS(Пул!$E$5:$E$300,$B132,Пул!$L$5:$L$300,"Закрыт")=0,"",ROUND(SUMIFS(Пул!$I$5:$I$300,Пул!$E$5:$E$300,$B132,Пул!$L$5:$L$300,"Закрыт"),8)))</f>
        <v/>
      </c>
      <c r="G132" s="246" t="str">
        <f>IF($B132="","",IF(COUNTIFS(Пул!$E$5:$E$300,$B132,Пул!$L$5:$L$300,"Закрыт")=0,"",ROUND(SUMIFS(Пул!$J$5:$J$300,Пул!$E$5:$E$300,$B132,Пул!$L$5:$L$300,"Закрыт"),8)))</f>
        <v/>
      </c>
      <c r="H132" s="247" t="str">
        <f>IF($B132="","",IF(COUNTIFS(Пул!$E$5:$E$300,$B132,Пул!$L$5:$L$300,"Закрыт")=0,"",ROUND(SUMIFS(Пул!$K$5:$K$300,Пул!$E$5:$E$300,$B132,Пул!$L$5:$L$300,"Закрыт"),8)))</f>
        <v/>
      </c>
      <c r="I132" s="242" t="str">
        <f>IF(AND(ISNUMBER(G132),ISNUMBER(H132)),IF(AND(G132&gt;0,H132&lt;0),"Buy",IF(AND(G132&lt;0,H132&gt;0),"Sell","")),"")</f>
        <v/>
      </c>
      <c r="J132" s="183" t="str">
        <f>IF(I132="Buy",G132,IF(I132="Sell",-G132,""))</f>
        <v/>
      </c>
      <c r="K132" s="183" t="str">
        <f>IF(AND(ISNUMBER(J132),ISNUMBER(L132),N(J132)&lt;&gt;0),ROUND(L132/J132,8),"")</f>
        <v/>
      </c>
      <c r="L132" s="183" t="str">
        <f>IF(I132="Buy",-H132,IF(I132="Sell",H132,""))</f>
        <v/>
      </c>
    </row>
    <row r="133" ht="22" customHeight="1">
      <c r="B133" s="239" t="n"/>
      <c r="C133" s="240" t="str">
        <f>IF($B133="","",IF(COUNTIFS(Пул!$E$5:$E$300,$B133,Пул!$F$5:$F$300,"&lt;&gt;")=0,"",ROUND(SUMIFS(Пул!$F$5:$F$300,Пул!$E$5:$E$300,$B133),8)))</f>
        <v/>
      </c>
      <c r="D133" s="241" t="str">
        <f>IF($B133="","",IF(COUNTIFS(Пул!$E$5:$E$300,$B133,Пул!$G$5:$G$300,"&lt;&gt;")=0,"",ROUND(SUMIFS(Пул!$G$5:$G$300,Пул!$E$5:$E$300,$B133),8)))</f>
        <v/>
      </c>
      <c r="E133" s="240" t="str">
        <f>IF($B133="","",IF(COUNTIFS(Пул!$E$5:$E$300,$B133,Пул!$L$5:$L$300,"Закрыт")=0,"",ROUND(SUMIFS(Пул!$H$5:$H$300,Пул!$E$5:$E$300,$B133,Пул!$L$5:$L$300,"Закрыт"),8)))</f>
        <v/>
      </c>
      <c r="F133" s="241" t="str">
        <f>IF($B133="","",IF(COUNTIFS(Пул!$E$5:$E$300,$B133,Пул!$L$5:$L$300,"Закрыт")=0,"",ROUND(SUMIFS(Пул!$I$5:$I$300,Пул!$E$5:$E$300,$B133,Пул!$L$5:$L$300,"Закрыт"),8)))</f>
        <v/>
      </c>
      <c r="G133" s="240" t="str">
        <f>IF($B133="","",IF(COUNTIFS(Пул!$E$5:$E$300,$B133,Пул!$L$5:$L$300,"Закрыт")=0,"",ROUND(SUMIFS(Пул!$J$5:$J$300,Пул!$E$5:$E$300,$B133,Пул!$L$5:$L$300,"Закрыт"),8)))</f>
        <v/>
      </c>
      <c r="H133" s="241" t="str">
        <f>IF($B133="","",IF(COUNTIFS(Пул!$E$5:$E$300,$B133,Пул!$L$5:$L$300,"Закрыт")=0,"",ROUND(SUMIFS(Пул!$K$5:$K$300,Пул!$E$5:$E$300,$B133,Пул!$L$5:$L$300,"Закрыт"),8)))</f>
        <v/>
      </c>
      <c r="I133" s="236" t="str">
        <f>IF(AND(ISNUMBER(G133),ISNUMBER(H133)),IF(AND(G133&gt;0,H133&lt;0),"Buy",IF(AND(G133&lt;0,H133&gt;0),"Sell","")),"")</f>
        <v/>
      </c>
      <c r="J133" s="177" t="str">
        <f>IF(I133="Buy",G133,IF(I133="Sell",-G133,""))</f>
        <v/>
      </c>
      <c r="K133" s="177" t="str">
        <f>IF(AND(ISNUMBER(J133),ISNUMBER(L133),N(J133)&lt;&gt;0),ROUND(L133/J133,8),"")</f>
        <v/>
      </c>
      <c r="L133" s="177" t="str">
        <f>IF(I133="Buy",-H133,IF(I133="Sell",H133,""))</f>
        <v/>
      </c>
    </row>
    <row r="134" ht="22" customHeight="1">
      <c r="B134" s="245" t="n"/>
      <c r="C134" s="246" t="str">
        <f>IF($B134="","",IF(COUNTIFS(Пул!$E$5:$E$300,$B134,Пул!$F$5:$F$300,"&lt;&gt;")=0,"",ROUND(SUMIFS(Пул!$F$5:$F$300,Пул!$E$5:$E$300,$B134),8)))</f>
        <v/>
      </c>
      <c r="D134" s="247" t="str">
        <f>IF($B134="","",IF(COUNTIFS(Пул!$E$5:$E$300,$B134,Пул!$G$5:$G$300,"&lt;&gt;")=0,"",ROUND(SUMIFS(Пул!$G$5:$G$300,Пул!$E$5:$E$300,$B134),8)))</f>
        <v/>
      </c>
      <c r="E134" s="246" t="str">
        <f>IF($B134="","",IF(COUNTIFS(Пул!$E$5:$E$300,$B134,Пул!$L$5:$L$300,"Закрыт")=0,"",ROUND(SUMIFS(Пул!$H$5:$H$300,Пул!$E$5:$E$300,$B134,Пул!$L$5:$L$300,"Закрыт"),8)))</f>
        <v/>
      </c>
      <c r="F134" s="247" t="str">
        <f>IF($B134="","",IF(COUNTIFS(Пул!$E$5:$E$300,$B134,Пул!$L$5:$L$300,"Закрыт")=0,"",ROUND(SUMIFS(Пул!$I$5:$I$300,Пул!$E$5:$E$300,$B134,Пул!$L$5:$L$300,"Закрыт"),8)))</f>
        <v/>
      </c>
      <c r="G134" s="246" t="str">
        <f>IF($B134="","",IF(COUNTIFS(Пул!$E$5:$E$300,$B134,Пул!$L$5:$L$300,"Закрыт")=0,"",ROUND(SUMIFS(Пул!$J$5:$J$300,Пул!$E$5:$E$300,$B134,Пул!$L$5:$L$300,"Закрыт"),8)))</f>
        <v/>
      </c>
      <c r="H134" s="247" t="str">
        <f>IF($B134="","",IF(COUNTIFS(Пул!$E$5:$E$300,$B134,Пул!$L$5:$L$300,"Закрыт")=0,"",ROUND(SUMIFS(Пул!$K$5:$K$300,Пул!$E$5:$E$300,$B134,Пул!$L$5:$L$300,"Закрыт"),8)))</f>
        <v/>
      </c>
      <c r="I134" s="242" t="str">
        <f>IF(AND(ISNUMBER(G134),ISNUMBER(H134)),IF(AND(G134&gt;0,H134&lt;0),"Buy",IF(AND(G134&lt;0,H134&gt;0),"Sell","")),"")</f>
        <v/>
      </c>
      <c r="J134" s="183" t="str">
        <f>IF(I134="Buy",G134,IF(I134="Sell",-G134,""))</f>
        <v/>
      </c>
      <c r="K134" s="183" t="str">
        <f>IF(AND(ISNUMBER(J134),ISNUMBER(L134),N(J134)&lt;&gt;0),ROUND(L134/J134,8),"")</f>
        <v/>
      </c>
      <c r="L134" s="183" t="str">
        <f>IF(I134="Buy",-H134,IF(I134="Sell",H134,""))</f>
        <v/>
      </c>
    </row>
    <row r="135" ht="22" customHeight="1">
      <c r="B135" s="239" t="n"/>
      <c r="C135" s="240" t="str">
        <f>IF($B135="","",IF(COUNTIFS(Пул!$E$5:$E$300,$B135,Пул!$F$5:$F$300,"&lt;&gt;")=0,"",ROUND(SUMIFS(Пул!$F$5:$F$300,Пул!$E$5:$E$300,$B135),8)))</f>
        <v/>
      </c>
      <c r="D135" s="241" t="str">
        <f>IF($B135="","",IF(COUNTIFS(Пул!$E$5:$E$300,$B135,Пул!$G$5:$G$300,"&lt;&gt;")=0,"",ROUND(SUMIFS(Пул!$G$5:$G$300,Пул!$E$5:$E$300,$B135),8)))</f>
        <v/>
      </c>
      <c r="E135" s="240" t="str">
        <f>IF($B135="","",IF(COUNTIFS(Пул!$E$5:$E$300,$B135,Пул!$L$5:$L$300,"Закрыт")=0,"",ROUND(SUMIFS(Пул!$H$5:$H$300,Пул!$E$5:$E$300,$B135,Пул!$L$5:$L$300,"Закрыт"),8)))</f>
        <v/>
      </c>
      <c r="F135" s="241" t="str">
        <f>IF($B135="","",IF(COUNTIFS(Пул!$E$5:$E$300,$B135,Пул!$L$5:$L$300,"Закрыт")=0,"",ROUND(SUMIFS(Пул!$I$5:$I$300,Пул!$E$5:$E$300,$B135,Пул!$L$5:$L$300,"Закрыт"),8)))</f>
        <v/>
      </c>
      <c r="G135" s="240" t="str">
        <f>IF($B135="","",IF(COUNTIFS(Пул!$E$5:$E$300,$B135,Пул!$L$5:$L$300,"Закрыт")=0,"",ROUND(SUMIFS(Пул!$J$5:$J$300,Пул!$E$5:$E$300,$B135,Пул!$L$5:$L$300,"Закрыт"),8)))</f>
        <v/>
      </c>
      <c r="H135" s="241" t="str">
        <f>IF($B135="","",IF(COUNTIFS(Пул!$E$5:$E$300,$B135,Пул!$L$5:$L$300,"Закрыт")=0,"",ROUND(SUMIFS(Пул!$K$5:$K$300,Пул!$E$5:$E$300,$B135,Пул!$L$5:$L$300,"Закрыт"),8)))</f>
        <v/>
      </c>
      <c r="I135" s="236" t="str">
        <f>IF(AND(ISNUMBER(G135),ISNUMBER(H135)),IF(AND(G135&gt;0,H135&lt;0),"Buy",IF(AND(G135&lt;0,H135&gt;0),"Sell","")),"")</f>
        <v/>
      </c>
      <c r="J135" s="177" t="str">
        <f>IF(I135="Buy",G135,IF(I135="Sell",-G135,""))</f>
        <v/>
      </c>
      <c r="K135" s="177" t="str">
        <f>IF(AND(ISNUMBER(J135),ISNUMBER(L135),N(J135)&lt;&gt;0),ROUND(L135/J135,8),"")</f>
        <v/>
      </c>
      <c r="L135" s="177" t="str">
        <f>IF(I135="Buy",-H135,IF(I135="Sell",H135,""))</f>
        <v/>
      </c>
    </row>
    <row r="136" ht="22" customHeight="1">
      <c r="B136" s="245" t="n"/>
      <c r="C136" s="246" t="str">
        <f>IF($B136="","",IF(COUNTIFS(Пул!$E$5:$E$300,$B136,Пул!$F$5:$F$300,"&lt;&gt;")=0,"",ROUND(SUMIFS(Пул!$F$5:$F$300,Пул!$E$5:$E$300,$B136),8)))</f>
        <v/>
      </c>
      <c r="D136" s="247" t="str">
        <f>IF($B136="","",IF(COUNTIFS(Пул!$E$5:$E$300,$B136,Пул!$G$5:$G$300,"&lt;&gt;")=0,"",ROUND(SUMIFS(Пул!$G$5:$G$300,Пул!$E$5:$E$300,$B136),8)))</f>
        <v/>
      </c>
      <c r="E136" s="246" t="str">
        <f>IF($B136="","",IF(COUNTIFS(Пул!$E$5:$E$300,$B136,Пул!$L$5:$L$300,"Закрыт")=0,"",ROUND(SUMIFS(Пул!$H$5:$H$300,Пул!$E$5:$E$300,$B136,Пул!$L$5:$L$300,"Закрыт"),8)))</f>
        <v/>
      </c>
      <c r="F136" s="247" t="str">
        <f>IF($B136="","",IF(COUNTIFS(Пул!$E$5:$E$300,$B136,Пул!$L$5:$L$300,"Закрыт")=0,"",ROUND(SUMIFS(Пул!$I$5:$I$300,Пул!$E$5:$E$300,$B136,Пул!$L$5:$L$300,"Закрыт"),8)))</f>
        <v/>
      </c>
      <c r="G136" s="246" t="str">
        <f>IF($B136="","",IF(COUNTIFS(Пул!$E$5:$E$300,$B136,Пул!$L$5:$L$300,"Закрыт")=0,"",ROUND(SUMIFS(Пул!$J$5:$J$300,Пул!$E$5:$E$300,$B136,Пул!$L$5:$L$300,"Закрыт"),8)))</f>
        <v/>
      </c>
      <c r="H136" s="247" t="str">
        <f>IF($B136="","",IF(COUNTIFS(Пул!$E$5:$E$300,$B136,Пул!$L$5:$L$300,"Закрыт")=0,"",ROUND(SUMIFS(Пул!$K$5:$K$300,Пул!$E$5:$E$300,$B136,Пул!$L$5:$L$300,"Закрыт"),8)))</f>
        <v/>
      </c>
      <c r="I136" s="242" t="str">
        <f>IF(AND(ISNUMBER(G136),ISNUMBER(H136)),IF(AND(G136&gt;0,H136&lt;0),"Buy",IF(AND(G136&lt;0,H136&gt;0),"Sell","")),"")</f>
        <v/>
      </c>
      <c r="J136" s="183" t="str">
        <f>IF(I136="Buy",G136,IF(I136="Sell",-G136,""))</f>
        <v/>
      </c>
      <c r="K136" s="183" t="str">
        <f>IF(AND(ISNUMBER(J136),ISNUMBER(L136),N(J136)&lt;&gt;0),ROUND(L136/J136,8),"")</f>
        <v/>
      </c>
      <c r="L136" s="183" t="str">
        <f>IF(I136="Buy",-H136,IF(I136="Sell",H136,""))</f>
        <v/>
      </c>
    </row>
    <row r="137" ht="22" customHeight="1">
      <c r="B137" s="239" t="n"/>
      <c r="C137" s="240" t="str">
        <f>IF($B137="","",IF(COUNTIFS(Пул!$E$5:$E$300,$B137,Пул!$F$5:$F$300,"&lt;&gt;")=0,"",ROUND(SUMIFS(Пул!$F$5:$F$300,Пул!$E$5:$E$300,$B137),8)))</f>
        <v/>
      </c>
      <c r="D137" s="241" t="str">
        <f>IF($B137="","",IF(COUNTIFS(Пул!$E$5:$E$300,$B137,Пул!$G$5:$G$300,"&lt;&gt;")=0,"",ROUND(SUMIFS(Пул!$G$5:$G$300,Пул!$E$5:$E$300,$B137),8)))</f>
        <v/>
      </c>
      <c r="E137" s="240" t="str">
        <f>IF($B137="","",IF(COUNTIFS(Пул!$E$5:$E$300,$B137,Пул!$L$5:$L$300,"Закрыт")=0,"",ROUND(SUMIFS(Пул!$H$5:$H$300,Пул!$E$5:$E$300,$B137,Пул!$L$5:$L$300,"Закрыт"),8)))</f>
        <v/>
      </c>
      <c r="F137" s="241" t="str">
        <f>IF($B137="","",IF(COUNTIFS(Пул!$E$5:$E$300,$B137,Пул!$L$5:$L$300,"Закрыт")=0,"",ROUND(SUMIFS(Пул!$I$5:$I$300,Пул!$E$5:$E$300,$B137,Пул!$L$5:$L$300,"Закрыт"),8)))</f>
        <v/>
      </c>
      <c r="G137" s="240" t="str">
        <f>IF($B137="","",IF(COUNTIFS(Пул!$E$5:$E$300,$B137,Пул!$L$5:$L$300,"Закрыт")=0,"",ROUND(SUMIFS(Пул!$J$5:$J$300,Пул!$E$5:$E$300,$B137,Пул!$L$5:$L$300,"Закрыт"),8)))</f>
        <v/>
      </c>
      <c r="H137" s="241" t="str">
        <f>IF($B137="","",IF(COUNTIFS(Пул!$E$5:$E$300,$B137,Пул!$L$5:$L$300,"Закрыт")=0,"",ROUND(SUMIFS(Пул!$K$5:$K$300,Пул!$E$5:$E$300,$B137,Пул!$L$5:$L$300,"Закрыт"),8)))</f>
        <v/>
      </c>
      <c r="I137" s="236" t="str">
        <f>IF(AND(ISNUMBER(G137),ISNUMBER(H137)),IF(AND(G137&gt;0,H137&lt;0),"Buy",IF(AND(G137&lt;0,H137&gt;0),"Sell","")),"")</f>
        <v/>
      </c>
      <c r="J137" s="177" t="str">
        <f>IF(I137="Buy",G137,IF(I137="Sell",-G137,""))</f>
        <v/>
      </c>
      <c r="K137" s="177" t="str">
        <f>IF(AND(ISNUMBER(J137),ISNUMBER(L137),N(J137)&lt;&gt;0),ROUND(L137/J137,8),"")</f>
        <v/>
      </c>
      <c r="L137" s="177" t="str">
        <f>IF(I137="Buy",-H137,IF(I137="Sell",H137,""))</f>
        <v/>
      </c>
    </row>
    <row r="138" ht="22" customHeight="1">
      <c r="B138" s="245" t="n"/>
      <c r="C138" s="246" t="str">
        <f>IF($B138="","",IF(COUNTIFS(Пул!$E$5:$E$300,$B138,Пул!$F$5:$F$300,"&lt;&gt;")=0,"",ROUND(SUMIFS(Пул!$F$5:$F$300,Пул!$E$5:$E$300,$B138),8)))</f>
        <v/>
      </c>
      <c r="D138" s="247" t="str">
        <f>IF($B138="","",IF(COUNTIFS(Пул!$E$5:$E$300,$B138,Пул!$G$5:$G$300,"&lt;&gt;")=0,"",ROUND(SUMIFS(Пул!$G$5:$G$300,Пул!$E$5:$E$300,$B138),8)))</f>
        <v/>
      </c>
      <c r="E138" s="246" t="str">
        <f>IF($B138="","",IF(COUNTIFS(Пул!$E$5:$E$300,$B138,Пул!$L$5:$L$300,"Закрыт")=0,"",ROUND(SUMIFS(Пул!$H$5:$H$300,Пул!$E$5:$E$300,$B138,Пул!$L$5:$L$300,"Закрыт"),8)))</f>
        <v/>
      </c>
      <c r="F138" s="247" t="str">
        <f>IF($B138="","",IF(COUNTIFS(Пул!$E$5:$E$300,$B138,Пул!$L$5:$L$300,"Закрыт")=0,"",ROUND(SUMIFS(Пул!$I$5:$I$300,Пул!$E$5:$E$300,$B138,Пул!$L$5:$L$300,"Закрыт"),8)))</f>
        <v/>
      </c>
      <c r="G138" s="246" t="str">
        <f>IF($B138="","",IF(COUNTIFS(Пул!$E$5:$E$300,$B138,Пул!$L$5:$L$300,"Закрыт")=0,"",ROUND(SUMIFS(Пул!$J$5:$J$300,Пул!$E$5:$E$300,$B138,Пул!$L$5:$L$300,"Закрыт"),8)))</f>
        <v/>
      </c>
      <c r="H138" s="247" t="str">
        <f>IF($B138="","",IF(COUNTIFS(Пул!$E$5:$E$300,$B138,Пул!$L$5:$L$300,"Закрыт")=0,"",ROUND(SUMIFS(Пул!$K$5:$K$300,Пул!$E$5:$E$300,$B138,Пул!$L$5:$L$300,"Закрыт"),8)))</f>
        <v/>
      </c>
      <c r="I138" s="242" t="str">
        <f>IF(AND(ISNUMBER(G138),ISNUMBER(H138)),IF(AND(G138&gt;0,H138&lt;0),"Buy",IF(AND(G138&lt;0,H138&gt;0),"Sell","")),"")</f>
        <v/>
      </c>
      <c r="J138" s="183" t="str">
        <f>IF(I138="Buy",G138,IF(I138="Sell",-G138,""))</f>
        <v/>
      </c>
      <c r="K138" s="183" t="str">
        <f>IF(AND(ISNUMBER(J138),ISNUMBER(L138),N(J138)&lt;&gt;0),ROUND(L138/J138,8),"")</f>
        <v/>
      </c>
      <c r="L138" s="183" t="str">
        <f>IF(I138="Buy",-H138,IF(I138="Sell",H138,""))</f>
        <v/>
      </c>
    </row>
    <row r="139" ht="22" customHeight="1">
      <c r="B139" s="239" t="n"/>
      <c r="C139" s="240" t="str">
        <f>IF($B139="","",IF(COUNTIFS(Пул!$E$5:$E$300,$B139,Пул!$F$5:$F$300,"&lt;&gt;")=0,"",ROUND(SUMIFS(Пул!$F$5:$F$300,Пул!$E$5:$E$300,$B139),8)))</f>
        <v/>
      </c>
      <c r="D139" s="241" t="str">
        <f>IF($B139="","",IF(COUNTIFS(Пул!$E$5:$E$300,$B139,Пул!$G$5:$G$300,"&lt;&gt;")=0,"",ROUND(SUMIFS(Пул!$G$5:$G$300,Пул!$E$5:$E$300,$B139),8)))</f>
        <v/>
      </c>
      <c r="E139" s="240" t="str">
        <f>IF($B139="","",IF(COUNTIFS(Пул!$E$5:$E$300,$B139,Пул!$L$5:$L$300,"Закрыт")=0,"",ROUND(SUMIFS(Пул!$H$5:$H$300,Пул!$E$5:$E$300,$B139,Пул!$L$5:$L$300,"Закрыт"),8)))</f>
        <v/>
      </c>
      <c r="F139" s="241" t="str">
        <f>IF($B139="","",IF(COUNTIFS(Пул!$E$5:$E$300,$B139,Пул!$L$5:$L$300,"Закрыт")=0,"",ROUND(SUMIFS(Пул!$I$5:$I$300,Пул!$E$5:$E$300,$B139,Пул!$L$5:$L$300,"Закрыт"),8)))</f>
        <v/>
      </c>
      <c r="G139" s="240" t="str">
        <f>IF($B139="","",IF(COUNTIFS(Пул!$E$5:$E$300,$B139,Пул!$L$5:$L$300,"Закрыт")=0,"",ROUND(SUMIFS(Пул!$J$5:$J$300,Пул!$E$5:$E$300,$B139,Пул!$L$5:$L$300,"Закрыт"),8)))</f>
        <v/>
      </c>
      <c r="H139" s="241" t="str">
        <f>IF($B139="","",IF(COUNTIFS(Пул!$E$5:$E$300,$B139,Пул!$L$5:$L$300,"Закрыт")=0,"",ROUND(SUMIFS(Пул!$K$5:$K$300,Пул!$E$5:$E$300,$B139,Пул!$L$5:$L$300,"Закрыт"),8)))</f>
        <v/>
      </c>
      <c r="I139" s="236" t="str">
        <f>IF(AND(ISNUMBER(G139),ISNUMBER(H139)),IF(AND(G139&gt;0,H139&lt;0),"Buy",IF(AND(G139&lt;0,H139&gt;0),"Sell","")),"")</f>
        <v/>
      </c>
      <c r="J139" s="177" t="str">
        <f>IF(I139="Buy",G139,IF(I139="Sell",-G139,""))</f>
        <v/>
      </c>
      <c r="K139" s="177" t="str">
        <f>IF(AND(ISNUMBER(J139),ISNUMBER(L139),N(J139)&lt;&gt;0),ROUND(L139/J139,8),"")</f>
        <v/>
      </c>
      <c r="L139" s="177" t="str">
        <f>IF(I139="Buy",-H139,IF(I139="Sell",H139,""))</f>
        <v/>
      </c>
    </row>
    <row r="140" ht="22" customHeight="1">
      <c r="B140" s="245" t="n"/>
      <c r="C140" s="246" t="str">
        <f>IF($B140="","",IF(COUNTIFS(Пул!$E$5:$E$300,$B140,Пул!$F$5:$F$300,"&lt;&gt;")=0,"",ROUND(SUMIFS(Пул!$F$5:$F$300,Пул!$E$5:$E$300,$B140),8)))</f>
        <v/>
      </c>
      <c r="D140" s="247" t="str">
        <f>IF($B140="","",IF(COUNTIFS(Пул!$E$5:$E$300,$B140,Пул!$G$5:$G$300,"&lt;&gt;")=0,"",ROUND(SUMIFS(Пул!$G$5:$G$300,Пул!$E$5:$E$300,$B140),8)))</f>
        <v/>
      </c>
      <c r="E140" s="246" t="str">
        <f>IF($B140="","",IF(COUNTIFS(Пул!$E$5:$E$300,$B140,Пул!$L$5:$L$300,"Закрыт")=0,"",ROUND(SUMIFS(Пул!$H$5:$H$300,Пул!$E$5:$E$300,$B140,Пул!$L$5:$L$300,"Закрыт"),8)))</f>
        <v/>
      </c>
      <c r="F140" s="247" t="str">
        <f>IF($B140="","",IF(COUNTIFS(Пул!$E$5:$E$300,$B140,Пул!$L$5:$L$300,"Закрыт")=0,"",ROUND(SUMIFS(Пул!$I$5:$I$300,Пул!$E$5:$E$300,$B140,Пул!$L$5:$L$300,"Закрыт"),8)))</f>
        <v/>
      </c>
      <c r="G140" s="246" t="str">
        <f>IF($B140="","",IF(COUNTIFS(Пул!$E$5:$E$300,$B140,Пул!$L$5:$L$300,"Закрыт")=0,"",ROUND(SUMIFS(Пул!$J$5:$J$300,Пул!$E$5:$E$300,$B140,Пул!$L$5:$L$300,"Закрыт"),8)))</f>
        <v/>
      </c>
      <c r="H140" s="247" t="str">
        <f>IF($B140="","",IF(COUNTIFS(Пул!$E$5:$E$300,$B140,Пул!$L$5:$L$300,"Закрыт")=0,"",ROUND(SUMIFS(Пул!$K$5:$K$300,Пул!$E$5:$E$300,$B140,Пул!$L$5:$L$300,"Закрыт"),8)))</f>
        <v/>
      </c>
      <c r="I140" s="242" t="str">
        <f>IF(AND(ISNUMBER(G140),ISNUMBER(H140)),IF(AND(G140&gt;0,H140&lt;0),"Buy",IF(AND(G140&lt;0,H140&gt;0),"Sell","")),"")</f>
        <v/>
      </c>
      <c r="J140" s="183" t="str">
        <f>IF(I140="Buy",G140,IF(I140="Sell",-G140,""))</f>
        <v/>
      </c>
      <c r="K140" s="183" t="str">
        <f>IF(AND(ISNUMBER(J140),ISNUMBER(L140),N(J140)&lt;&gt;0),ROUND(L140/J140,8),"")</f>
        <v/>
      </c>
      <c r="L140" s="183" t="str">
        <f>IF(I140="Buy",-H140,IF(I140="Sell",H140,""))</f>
        <v/>
      </c>
    </row>
    <row r="141" ht="22" customHeight="1">
      <c r="B141" s="239" t="n"/>
      <c r="C141" s="240" t="str">
        <f>IF($B141="","",IF(COUNTIFS(Пул!$E$5:$E$300,$B141,Пул!$F$5:$F$300,"&lt;&gt;")=0,"",ROUND(SUMIFS(Пул!$F$5:$F$300,Пул!$E$5:$E$300,$B141),8)))</f>
        <v/>
      </c>
      <c r="D141" s="241" t="str">
        <f>IF($B141="","",IF(COUNTIFS(Пул!$E$5:$E$300,$B141,Пул!$G$5:$G$300,"&lt;&gt;")=0,"",ROUND(SUMIFS(Пул!$G$5:$G$300,Пул!$E$5:$E$300,$B141),8)))</f>
        <v/>
      </c>
      <c r="E141" s="240" t="str">
        <f>IF($B141="","",IF(COUNTIFS(Пул!$E$5:$E$300,$B141,Пул!$L$5:$L$300,"Закрыт")=0,"",ROUND(SUMIFS(Пул!$H$5:$H$300,Пул!$E$5:$E$300,$B141,Пул!$L$5:$L$300,"Закрыт"),8)))</f>
        <v/>
      </c>
      <c r="F141" s="241" t="str">
        <f>IF($B141="","",IF(COUNTIFS(Пул!$E$5:$E$300,$B141,Пул!$L$5:$L$300,"Закрыт")=0,"",ROUND(SUMIFS(Пул!$I$5:$I$300,Пул!$E$5:$E$300,$B141,Пул!$L$5:$L$300,"Закрыт"),8)))</f>
        <v/>
      </c>
      <c r="G141" s="240" t="str">
        <f>IF($B141="","",IF(COUNTIFS(Пул!$E$5:$E$300,$B141,Пул!$L$5:$L$300,"Закрыт")=0,"",ROUND(SUMIFS(Пул!$J$5:$J$300,Пул!$E$5:$E$300,$B141,Пул!$L$5:$L$300,"Закрыт"),8)))</f>
        <v/>
      </c>
      <c r="H141" s="241" t="str">
        <f>IF($B141="","",IF(COUNTIFS(Пул!$E$5:$E$300,$B141,Пул!$L$5:$L$300,"Закрыт")=0,"",ROUND(SUMIFS(Пул!$K$5:$K$300,Пул!$E$5:$E$300,$B141,Пул!$L$5:$L$300,"Закрыт"),8)))</f>
        <v/>
      </c>
      <c r="I141" s="236" t="str">
        <f>IF(AND(ISNUMBER(G141),ISNUMBER(H141)),IF(AND(G141&gt;0,H141&lt;0),"Buy",IF(AND(G141&lt;0,H141&gt;0),"Sell","")),"")</f>
        <v/>
      </c>
      <c r="J141" s="177" t="str">
        <f>IF(I141="Buy",G141,IF(I141="Sell",-G141,""))</f>
        <v/>
      </c>
      <c r="K141" s="177" t="str">
        <f>IF(AND(ISNUMBER(J141),ISNUMBER(L141),N(J141)&lt;&gt;0),ROUND(L141/J141,8),"")</f>
        <v/>
      </c>
      <c r="L141" s="177" t="str">
        <f>IF(I141="Buy",-H141,IF(I141="Sell",H141,""))</f>
        <v/>
      </c>
    </row>
    <row r="142" ht="22" customHeight="1">
      <c r="B142" s="245" t="n"/>
      <c r="C142" s="246" t="str">
        <f>IF($B142="","",IF(COUNTIFS(Пул!$E$5:$E$300,$B142,Пул!$F$5:$F$300,"&lt;&gt;")=0,"",ROUND(SUMIFS(Пул!$F$5:$F$300,Пул!$E$5:$E$300,$B142),8)))</f>
        <v/>
      </c>
      <c r="D142" s="247" t="str">
        <f>IF($B142="","",IF(COUNTIFS(Пул!$E$5:$E$300,$B142,Пул!$G$5:$G$300,"&lt;&gt;")=0,"",ROUND(SUMIFS(Пул!$G$5:$G$300,Пул!$E$5:$E$300,$B142),8)))</f>
        <v/>
      </c>
      <c r="E142" s="246" t="str">
        <f>IF($B142="","",IF(COUNTIFS(Пул!$E$5:$E$300,$B142,Пул!$L$5:$L$300,"Закрыт")=0,"",ROUND(SUMIFS(Пул!$H$5:$H$300,Пул!$E$5:$E$300,$B142,Пул!$L$5:$L$300,"Закрыт"),8)))</f>
        <v/>
      </c>
      <c r="F142" s="247" t="str">
        <f>IF($B142="","",IF(COUNTIFS(Пул!$E$5:$E$300,$B142,Пул!$L$5:$L$300,"Закрыт")=0,"",ROUND(SUMIFS(Пул!$I$5:$I$300,Пул!$E$5:$E$300,$B142,Пул!$L$5:$L$300,"Закрыт"),8)))</f>
        <v/>
      </c>
      <c r="G142" s="246" t="str">
        <f>IF($B142="","",IF(COUNTIFS(Пул!$E$5:$E$300,$B142,Пул!$L$5:$L$300,"Закрыт")=0,"",ROUND(SUMIFS(Пул!$J$5:$J$300,Пул!$E$5:$E$300,$B142,Пул!$L$5:$L$300,"Закрыт"),8)))</f>
        <v/>
      </c>
      <c r="H142" s="247" t="str">
        <f>IF($B142="","",IF(COUNTIFS(Пул!$E$5:$E$300,$B142,Пул!$L$5:$L$300,"Закрыт")=0,"",ROUND(SUMIFS(Пул!$K$5:$K$300,Пул!$E$5:$E$300,$B142,Пул!$L$5:$L$300,"Закрыт"),8)))</f>
        <v/>
      </c>
      <c r="I142" s="242" t="str">
        <f>IF(AND(ISNUMBER(G142),ISNUMBER(H142)),IF(AND(G142&gt;0,H142&lt;0),"Buy",IF(AND(G142&lt;0,H142&gt;0),"Sell","")),"")</f>
        <v/>
      </c>
      <c r="J142" s="183" t="str">
        <f>IF(I142="Buy",G142,IF(I142="Sell",-G142,""))</f>
        <v/>
      </c>
      <c r="K142" s="183" t="str">
        <f>IF(AND(ISNUMBER(J142),ISNUMBER(L142),N(J142)&lt;&gt;0),ROUND(L142/J142,8),"")</f>
        <v/>
      </c>
      <c r="L142" s="183" t="str">
        <f>IF(I142="Buy",-H142,IF(I142="Sell",H142,""))</f>
        <v/>
      </c>
    </row>
    <row r="143" ht="22" customHeight="1">
      <c r="B143" s="239" t="n"/>
      <c r="C143" s="240" t="str">
        <f>IF($B143="","",IF(COUNTIFS(Пул!$E$5:$E$300,$B143,Пул!$F$5:$F$300,"&lt;&gt;")=0,"",ROUND(SUMIFS(Пул!$F$5:$F$300,Пул!$E$5:$E$300,$B143),8)))</f>
        <v/>
      </c>
      <c r="D143" s="241" t="str">
        <f>IF($B143="","",IF(COUNTIFS(Пул!$E$5:$E$300,$B143,Пул!$G$5:$G$300,"&lt;&gt;")=0,"",ROUND(SUMIFS(Пул!$G$5:$G$300,Пул!$E$5:$E$300,$B143),8)))</f>
        <v/>
      </c>
      <c r="E143" s="240" t="str">
        <f>IF($B143="","",IF(COUNTIFS(Пул!$E$5:$E$300,$B143,Пул!$L$5:$L$300,"Закрыт")=0,"",ROUND(SUMIFS(Пул!$H$5:$H$300,Пул!$E$5:$E$300,$B143,Пул!$L$5:$L$300,"Закрыт"),8)))</f>
        <v/>
      </c>
      <c r="F143" s="241" t="str">
        <f>IF($B143="","",IF(COUNTIFS(Пул!$E$5:$E$300,$B143,Пул!$L$5:$L$300,"Закрыт")=0,"",ROUND(SUMIFS(Пул!$I$5:$I$300,Пул!$E$5:$E$300,$B143,Пул!$L$5:$L$300,"Закрыт"),8)))</f>
        <v/>
      </c>
      <c r="G143" s="240" t="str">
        <f>IF($B143="","",IF(COUNTIFS(Пул!$E$5:$E$300,$B143,Пул!$L$5:$L$300,"Закрыт")=0,"",ROUND(SUMIFS(Пул!$J$5:$J$300,Пул!$E$5:$E$300,$B143,Пул!$L$5:$L$300,"Закрыт"),8)))</f>
        <v/>
      </c>
      <c r="H143" s="241" t="str">
        <f>IF($B143="","",IF(COUNTIFS(Пул!$E$5:$E$300,$B143,Пул!$L$5:$L$300,"Закрыт")=0,"",ROUND(SUMIFS(Пул!$K$5:$K$300,Пул!$E$5:$E$300,$B143,Пул!$L$5:$L$300,"Закрыт"),8)))</f>
        <v/>
      </c>
      <c r="I143" s="236" t="str">
        <f>IF(AND(ISNUMBER(G143),ISNUMBER(H143)),IF(AND(G143&gt;0,H143&lt;0),"Buy",IF(AND(G143&lt;0,H143&gt;0),"Sell","")),"")</f>
        <v/>
      </c>
      <c r="J143" s="177" t="str">
        <f>IF(I143="Buy",G143,IF(I143="Sell",-G143,""))</f>
        <v/>
      </c>
      <c r="K143" s="177" t="str">
        <f>IF(AND(ISNUMBER(J143),ISNUMBER(L143),N(J143)&lt;&gt;0),ROUND(L143/J143,8),"")</f>
        <v/>
      </c>
      <c r="L143" s="177" t="str">
        <f>IF(I143="Buy",-H143,IF(I143="Sell",H143,""))</f>
        <v/>
      </c>
    </row>
    <row r="144" ht="22" customHeight="1">
      <c r="B144" s="245" t="n"/>
      <c r="C144" s="246" t="str">
        <f>IF($B144="","",IF(COUNTIFS(Пул!$E$5:$E$300,$B144,Пул!$F$5:$F$300,"&lt;&gt;")=0,"",ROUND(SUMIFS(Пул!$F$5:$F$300,Пул!$E$5:$E$300,$B144),8)))</f>
        <v/>
      </c>
      <c r="D144" s="247" t="str">
        <f>IF($B144="","",IF(COUNTIFS(Пул!$E$5:$E$300,$B144,Пул!$G$5:$G$300,"&lt;&gt;")=0,"",ROUND(SUMIFS(Пул!$G$5:$G$300,Пул!$E$5:$E$300,$B144),8)))</f>
        <v/>
      </c>
      <c r="E144" s="246" t="str">
        <f>IF($B144="","",IF(COUNTIFS(Пул!$E$5:$E$300,$B144,Пул!$L$5:$L$300,"Закрыт")=0,"",ROUND(SUMIFS(Пул!$H$5:$H$300,Пул!$E$5:$E$300,$B144,Пул!$L$5:$L$300,"Закрыт"),8)))</f>
        <v/>
      </c>
      <c r="F144" s="247" t="str">
        <f>IF($B144="","",IF(COUNTIFS(Пул!$E$5:$E$300,$B144,Пул!$L$5:$L$300,"Закрыт")=0,"",ROUND(SUMIFS(Пул!$I$5:$I$300,Пул!$E$5:$E$300,$B144,Пул!$L$5:$L$300,"Закрыт"),8)))</f>
        <v/>
      </c>
      <c r="G144" s="246" t="str">
        <f>IF($B144="","",IF(COUNTIFS(Пул!$E$5:$E$300,$B144,Пул!$L$5:$L$300,"Закрыт")=0,"",ROUND(SUMIFS(Пул!$J$5:$J$300,Пул!$E$5:$E$300,$B144,Пул!$L$5:$L$300,"Закрыт"),8)))</f>
        <v/>
      </c>
      <c r="H144" s="247" t="str">
        <f>IF($B144="","",IF(COUNTIFS(Пул!$E$5:$E$300,$B144,Пул!$L$5:$L$300,"Закрыт")=0,"",ROUND(SUMIFS(Пул!$K$5:$K$300,Пул!$E$5:$E$300,$B144,Пул!$L$5:$L$300,"Закрыт"),8)))</f>
        <v/>
      </c>
      <c r="I144" s="242" t="str">
        <f>IF(AND(ISNUMBER(G144),ISNUMBER(H144)),IF(AND(G144&gt;0,H144&lt;0),"Buy",IF(AND(G144&lt;0,H144&gt;0),"Sell","")),"")</f>
        <v/>
      </c>
      <c r="J144" s="183" t="str">
        <f>IF(I144="Buy",G144,IF(I144="Sell",-G144,""))</f>
        <v/>
      </c>
      <c r="K144" s="183" t="str">
        <f>IF(AND(ISNUMBER(J144),ISNUMBER(L144),N(J144)&lt;&gt;0),ROUND(L144/J144,8),"")</f>
        <v/>
      </c>
      <c r="L144" s="183" t="str">
        <f>IF(I144="Buy",-H144,IF(I144="Sell",H144,""))</f>
        <v/>
      </c>
    </row>
    <row r="145" ht="22" customHeight="1">
      <c r="B145" s="239" t="n"/>
      <c r="C145" s="240" t="str">
        <f>IF($B145="","",IF(COUNTIFS(Пул!$E$5:$E$300,$B145,Пул!$F$5:$F$300,"&lt;&gt;")=0,"",ROUND(SUMIFS(Пул!$F$5:$F$300,Пул!$E$5:$E$300,$B145),8)))</f>
        <v/>
      </c>
      <c r="D145" s="241" t="str">
        <f>IF($B145="","",IF(COUNTIFS(Пул!$E$5:$E$300,$B145,Пул!$G$5:$G$300,"&lt;&gt;")=0,"",ROUND(SUMIFS(Пул!$G$5:$G$300,Пул!$E$5:$E$300,$B145),8)))</f>
        <v/>
      </c>
      <c r="E145" s="240" t="str">
        <f>IF($B145="","",IF(COUNTIFS(Пул!$E$5:$E$300,$B145,Пул!$L$5:$L$300,"Закрыт")=0,"",ROUND(SUMIFS(Пул!$H$5:$H$300,Пул!$E$5:$E$300,$B145,Пул!$L$5:$L$300,"Закрыт"),8)))</f>
        <v/>
      </c>
      <c r="F145" s="241" t="str">
        <f>IF($B145="","",IF(COUNTIFS(Пул!$E$5:$E$300,$B145,Пул!$L$5:$L$300,"Закрыт")=0,"",ROUND(SUMIFS(Пул!$I$5:$I$300,Пул!$E$5:$E$300,$B145,Пул!$L$5:$L$300,"Закрыт"),8)))</f>
        <v/>
      </c>
      <c r="G145" s="240" t="str">
        <f>IF($B145="","",IF(COUNTIFS(Пул!$E$5:$E$300,$B145,Пул!$L$5:$L$300,"Закрыт")=0,"",ROUND(SUMIFS(Пул!$J$5:$J$300,Пул!$E$5:$E$300,$B145,Пул!$L$5:$L$300,"Закрыт"),8)))</f>
        <v/>
      </c>
      <c r="H145" s="241" t="str">
        <f>IF($B145="","",IF(COUNTIFS(Пул!$E$5:$E$300,$B145,Пул!$L$5:$L$300,"Закрыт")=0,"",ROUND(SUMIFS(Пул!$K$5:$K$300,Пул!$E$5:$E$300,$B145,Пул!$L$5:$L$300,"Закрыт"),8)))</f>
        <v/>
      </c>
      <c r="I145" s="236" t="str">
        <f>IF(AND(ISNUMBER(G145),ISNUMBER(H145)),IF(AND(G145&gt;0,H145&lt;0),"Buy",IF(AND(G145&lt;0,H145&gt;0),"Sell","")),"")</f>
        <v/>
      </c>
      <c r="J145" s="177" t="str">
        <f>IF(I145="Buy",G145,IF(I145="Sell",-G145,""))</f>
        <v/>
      </c>
      <c r="K145" s="177" t="str">
        <f>IF(AND(ISNUMBER(J145),ISNUMBER(L145),N(J145)&lt;&gt;0),ROUND(L145/J145,8),"")</f>
        <v/>
      </c>
      <c r="L145" s="177" t="str">
        <f>IF(I145="Buy",-H145,IF(I145="Sell",H145,""))</f>
        <v/>
      </c>
    </row>
    <row r="146" ht="22" customHeight="1">
      <c r="B146" s="245" t="n"/>
      <c r="C146" s="246" t="str">
        <f>IF($B146="","",IF(COUNTIFS(Пул!$E$5:$E$300,$B146,Пул!$F$5:$F$300,"&lt;&gt;")=0,"",ROUND(SUMIFS(Пул!$F$5:$F$300,Пул!$E$5:$E$300,$B146),8)))</f>
        <v/>
      </c>
      <c r="D146" s="247" t="str">
        <f>IF($B146="","",IF(COUNTIFS(Пул!$E$5:$E$300,$B146,Пул!$G$5:$G$300,"&lt;&gt;")=0,"",ROUND(SUMIFS(Пул!$G$5:$G$300,Пул!$E$5:$E$300,$B146),8)))</f>
        <v/>
      </c>
      <c r="E146" s="246" t="str">
        <f>IF($B146="","",IF(COUNTIFS(Пул!$E$5:$E$300,$B146,Пул!$L$5:$L$300,"Закрыт")=0,"",ROUND(SUMIFS(Пул!$H$5:$H$300,Пул!$E$5:$E$300,$B146,Пул!$L$5:$L$300,"Закрыт"),8)))</f>
        <v/>
      </c>
      <c r="F146" s="247" t="str">
        <f>IF($B146="","",IF(COUNTIFS(Пул!$E$5:$E$300,$B146,Пул!$L$5:$L$300,"Закрыт")=0,"",ROUND(SUMIFS(Пул!$I$5:$I$300,Пул!$E$5:$E$300,$B146,Пул!$L$5:$L$300,"Закрыт"),8)))</f>
        <v/>
      </c>
      <c r="G146" s="246" t="str">
        <f>IF($B146="","",IF(COUNTIFS(Пул!$E$5:$E$300,$B146,Пул!$L$5:$L$300,"Закрыт")=0,"",ROUND(SUMIFS(Пул!$J$5:$J$300,Пул!$E$5:$E$300,$B146,Пул!$L$5:$L$300,"Закрыт"),8)))</f>
        <v/>
      </c>
      <c r="H146" s="247" t="str">
        <f>IF($B146="","",IF(COUNTIFS(Пул!$E$5:$E$300,$B146,Пул!$L$5:$L$300,"Закрыт")=0,"",ROUND(SUMIFS(Пул!$K$5:$K$300,Пул!$E$5:$E$300,$B146,Пул!$L$5:$L$300,"Закрыт"),8)))</f>
        <v/>
      </c>
      <c r="I146" s="242" t="str">
        <f>IF(AND(ISNUMBER(G146),ISNUMBER(H146)),IF(AND(G146&gt;0,H146&lt;0),"Buy",IF(AND(G146&lt;0,H146&gt;0),"Sell","")),"")</f>
        <v/>
      </c>
      <c r="J146" s="183" t="str">
        <f>IF(I146="Buy",G146,IF(I146="Sell",-G146,""))</f>
        <v/>
      </c>
      <c r="K146" s="183" t="str">
        <f>IF(AND(ISNUMBER(J146),ISNUMBER(L146),N(J146)&lt;&gt;0),ROUND(L146/J146,8),"")</f>
        <v/>
      </c>
      <c r="L146" s="183" t="str">
        <f>IF(I146="Buy",-H146,IF(I146="Sell",H146,""))</f>
        <v/>
      </c>
    </row>
    <row r="147" ht="22" customHeight="1">
      <c r="B147" s="239" t="n"/>
      <c r="C147" s="240" t="str">
        <f>IF($B147="","",IF(COUNTIFS(Пул!$E$5:$E$300,$B147,Пул!$F$5:$F$300,"&lt;&gt;")=0,"",ROUND(SUMIFS(Пул!$F$5:$F$300,Пул!$E$5:$E$300,$B147),8)))</f>
        <v/>
      </c>
      <c r="D147" s="241" t="str">
        <f>IF($B147="","",IF(COUNTIFS(Пул!$E$5:$E$300,$B147,Пул!$G$5:$G$300,"&lt;&gt;")=0,"",ROUND(SUMIFS(Пул!$G$5:$G$300,Пул!$E$5:$E$300,$B147),8)))</f>
        <v/>
      </c>
      <c r="E147" s="240" t="str">
        <f>IF($B147="","",IF(COUNTIFS(Пул!$E$5:$E$300,$B147,Пул!$L$5:$L$300,"Закрыт")=0,"",ROUND(SUMIFS(Пул!$H$5:$H$300,Пул!$E$5:$E$300,$B147,Пул!$L$5:$L$300,"Закрыт"),8)))</f>
        <v/>
      </c>
      <c r="F147" s="241" t="str">
        <f>IF($B147="","",IF(COUNTIFS(Пул!$E$5:$E$300,$B147,Пул!$L$5:$L$300,"Закрыт")=0,"",ROUND(SUMIFS(Пул!$I$5:$I$300,Пул!$E$5:$E$300,$B147,Пул!$L$5:$L$300,"Закрыт"),8)))</f>
        <v/>
      </c>
      <c r="G147" s="240" t="str">
        <f>IF($B147="","",IF(COUNTIFS(Пул!$E$5:$E$300,$B147,Пул!$L$5:$L$300,"Закрыт")=0,"",ROUND(SUMIFS(Пул!$J$5:$J$300,Пул!$E$5:$E$300,$B147,Пул!$L$5:$L$300,"Закрыт"),8)))</f>
        <v/>
      </c>
      <c r="H147" s="241" t="str">
        <f>IF($B147="","",IF(COUNTIFS(Пул!$E$5:$E$300,$B147,Пул!$L$5:$L$300,"Закрыт")=0,"",ROUND(SUMIFS(Пул!$K$5:$K$300,Пул!$E$5:$E$300,$B147,Пул!$L$5:$L$300,"Закрыт"),8)))</f>
        <v/>
      </c>
      <c r="I147" s="236" t="str">
        <f>IF(AND(ISNUMBER(G147),ISNUMBER(H147)),IF(AND(G147&gt;0,H147&lt;0),"Buy",IF(AND(G147&lt;0,H147&gt;0),"Sell","")),"")</f>
        <v/>
      </c>
      <c r="J147" s="177" t="str">
        <f>IF(I147="Buy",G147,IF(I147="Sell",-G147,""))</f>
        <v/>
      </c>
      <c r="K147" s="177" t="str">
        <f>IF(AND(ISNUMBER(J147),ISNUMBER(L147),N(J147)&lt;&gt;0),ROUND(L147/J147,8),"")</f>
        <v/>
      </c>
      <c r="L147" s="177" t="str">
        <f>IF(I147="Buy",-H147,IF(I147="Sell",H147,""))</f>
        <v/>
      </c>
    </row>
    <row r="148" ht="22" customHeight="1">
      <c r="B148" s="245" t="n"/>
      <c r="C148" s="246" t="str">
        <f>IF($B148="","",IF(COUNTIFS(Пул!$E$5:$E$300,$B148,Пул!$F$5:$F$300,"&lt;&gt;")=0,"",ROUND(SUMIFS(Пул!$F$5:$F$300,Пул!$E$5:$E$300,$B148),8)))</f>
        <v/>
      </c>
      <c r="D148" s="247" t="str">
        <f>IF($B148="","",IF(COUNTIFS(Пул!$E$5:$E$300,$B148,Пул!$G$5:$G$300,"&lt;&gt;")=0,"",ROUND(SUMIFS(Пул!$G$5:$G$300,Пул!$E$5:$E$300,$B148),8)))</f>
        <v/>
      </c>
      <c r="E148" s="246" t="str">
        <f>IF($B148="","",IF(COUNTIFS(Пул!$E$5:$E$300,$B148,Пул!$L$5:$L$300,"Закрыт")=0,"",ROUND(SUMIFS(Пул!$H$5:$H$300,Пул!$E$5:$E$300,$B148,Пул!$L$5:$L$300,"Закрыт"),8)))</f>
        <v/>
      </c>
      <c r="F148" s="247" t="str">
        <f>IF($B148="","",IF(COUNTIFS(Пул!$E$5:$E$300,$B148,Пул!$L$5:$L$300,"Закрыт")=0,"",ROUND(SUMIFS(Пул!$I$5:$I$300,Пул!$E$5:$E$300,$B148,Пул!$L$5:$L$300,"Закрыт"),8)))</f>
        <v/>
      </c>
      <c r="G148" s="246" t="str">
        <f>IF($B148="","",IF(COUNTIFS(Пул!$E$5:$E$300,$B148,Пул!$L$5:$L$300,"Закрыт")=0,"",ROUND(SUMIFS(Пул!$J$5:$J$300,Пул!$E$5:$E$300,$B148,Пул!$L$5:$L$300,"Закрыт"),8)))</f>
        <v/>
      </c>
      <c r="H148" s="247" t="str">
        <f>IF($B148="","",IF(COUNTIFS(Пул!$E$5:$E$300,$B148,Пул!$L$5:$L$300,"Закрыт")=0,"",ROUND(SUMIFS(Пул!$K$5:$K$300,Пул!$E$5:$E$300,$B148,Пул!$L$5:$L$300,"Закрыт"),8)))</f>
        <v/>
      </c>
      <c r="I148" s="242" t="str">
        <f>IF(AND(ISNUMBER(G148),ISNUMBER(H148)),IF(AND(G148&gt;0,H148&lt;0),"Buy",IF(AND(G148&lt;0,H148&gt;0),"Sell","")),"")</f>
        <v/>
      </c>
      <c r="J148" s="183" t="str">
        <f>IF(I148="Buy",G148,IF(I148="Sell",-G148,""))</f>
        <v/>
      </c>
      <c r="K148" s="183" t="str">
        <f>IF(AND(ISNUMBER(J148),ISNUMBER(L148),N(J148)&lt;&gt;0),ROUND(L148/J148,8),"")</f>
        <v/>
      </c>
      <c r="L148" s="183" t="str">
        <f>IF(I148="Buy",-H148,IF(I148="Sell",H148,""))</f>
        <v/>
      </c>
    </row>
    <row r="149" ht="22" customHeight="1">
      <c r="B149" s="239" t="n"/>
      <c r="C149" s="240" t="str">
        <f>IF($B149="","",IF(COUNTIFS(Пул!$E$5:$E$300,$B149,Пул!$F$5:$F$300,"&lt;&gt;")=0,"",ROUND(SUMIFS(Пул!$F$5:$F$300,Пул!$E$5:$E$300,$B149),8)))</f>
        <v/>
      </c>
      <c r="D149" s="241" t="str">
        <f>IF($B149="","",IF(COUNTIFS(Пул!$E$5:$E$300,$B149,Пул!$G$5:$G$300,"&lt;&gt;")=0,"",ROUND(SUMIFS(Пул!$G$5:$G$300,Пул!$E$5:$E$300,$B149),8)))</f>
        <v/>
      </c>
      <c r="E149" s="240" t="str">
        <f>IF($B149="","",IF(COUNTIFS(Пул!$E$5:$E$300,$B149,Пул!$L$5:$L$300,"Закрыт")=0,"",ROUND(SUMIFS(Пул!$H$5:$H$300,Пул!$E$5:$E$300,$B149,Пул!$L$5:$L$300,"Закрыт"),8)))</f>
        <v/>
      </c>
      <c r="F149" s="241" t="str">
        <f>IF($B149="","",IF(COUNTIFS(Пул!$E$5:$E$300,$B149,Пул!$L$5:$L$300,"Закрыт")=0,"",ROUND(SUMIFS(Пул!$I$5:$I$300,Пул!$E$5:$E$300,$B149,Пул!$L$5:$L$300,"Закрыт"),8)))</f>
        <v/>
      </c>
      <c r="G149" s="240" t="str">
        <f>IF($B149="","",IF(COUNTIFS(Пул!$E$5:$E$300,$B149,Пул!$L$5:$L$300,"Закрыт")=0,"",ROUND(SUMIFS(Пул!$J$5:$J$300,Пул!$E$5:$E$300,$B149,Пул!$L$5:$L$300,"Закрыт"),8)))</f>
        <v/>
      </c>
      <c r="H149" s="241" t="str">
        <f>IF($B149="","",IF(COUNTIFS(Пул!$E$5:$E$300,$B149,Пул!$L$5:$L$300,"Закрыт")=0,"",ROUND(SUMIFS(Пул!$K$5:$K$300,Пул!$E$5:$E$300,$B149,Пул!$L$5:$L$300,"Закрыт"),8)))</f>
        <v/>
      </c>
      <c r="I149" s="236" t="str">
        <f>IF(AND(ISNUMBER(G149),ISNUMBER(H149)),IF(AND(G149&gt;0,H149&lt;0),"Buy",IF(AND(G149&lt;0,H149&gt;0),"Sell","")),"")</f>
        <v/>
      </c>
      <c r="J149" s="177" t="str">
        <f>IF(I149="Buy",G149,IF(I149="Sell",-G149,""))</f>
        <v/>
      </c>
      <c r="K149" s="177" t="str">
        <f>IF(AND(ISNUMBER(J149),ISNUMBER(L149),N(J149)&lt;&gt;0),ROUND(L149/J149,8),"")</f>
        <v/>
      </c>
      <c r="L149" s="177" t="str">
        <f>IF(I149="Buy",-H149,IF(I149="Sell",H149,""))</f>
        <v/>
      </c>
    </row>
    <row r="150" ht="22" customHeight="1">
      <c r="B150" s="245" t="n"/>
      <c r="C150" s="246" t="str">
        <f>IF($B150="","",IF(COUNTIFS(Пул!$E$5:$E$300,$B150,Пул!$F$5:$F$300,"&lt;&gt;")=0,"",ROUND(SUMIFS(Пул!$F$5:$F$300,Пул!$E$5:$E$300,$B150),8)))</f>
        <v/>
      </c>
      <c r="D150" s="247" t="str">
        <f>IF($B150="","",IF(COUNTIFS(Пул!$E$5:$E$300,$B150,Пул!$G$5:$G$300,"&lt;&gt;")=0,"",ROUND(SUMIFS(Пул!$G$5:$G$300,Пул!$E$5:$E$300,$B150),8)))</f>
        <v/>
      </c>
      <c r="E150" s="246" t="str">
        <f>IF($B150="","",IF(COUNTIFS(Пул!$E$5:$E$300,$B150,Пул!$L$5:$L$300,"Закрыт")=0,"",ROUND(SUMIFS(Пул!$H$5:$H$300,Пул!$E$5:$E$300,$B150,Пул!$L$5:$L$300,"Закрыт"),8)))</f>
        <v/>
      </c>
      <c r="F150" s="247" t="str">
        <f>IF($B150="","",IF(COUNTIFS(Пул!$E$5:$E$300,$B150,Пул!$L$5:$L$300,"Закрыт")=0,"",ROUND(SUMIFS(Пул!$I$5:$I$300,Пул!$E$5:$E$300,$B150,Пул!$L$5:$L$300,"Закрыт"),8)))</f>
        <v/>
      </c>
      <c r="G150" s="246" t="str">
        <f>IF($B150="","",IF(COUNTIFS(Пул!$E$5:$E$300,$B150,Пул!$L$5:$L$300,"Закрыт")=0,"",ROUND(SUMIFS(Пул!$J$5:$J$300,Пул!$E$5:$E$300,$B150,Пул!$L$5:$L$300,"Закрыт"),8)))</f>
        <v/>
      </c>
      <c r="H150" s="247" t="str">
        <f>IF($B150="","",IF(COUNTIFS(Пул!$E$5:$E$300,$B150,Пул!$L$5:$L$300,"Закрыт")=0,"",ROUND(SUMIFS(Пул!$K$5:$K$300,Пул!$E$5:$E$300,$B150,Пул!$L$5:$L$300,"Закрыт"),8)))</f>
        <v/>
      </c>
      <c r="I150" s="242" t="str">
        <f>IF(AND(ISNUMBER(G150),ISNUMBER(H150)),IF(AND(G150&gt;0,H150&lt;0),"Buy",IF(AND(G150&lt;0,H150&gt;0),"Sell","")),"")</f>
        <v/>
      </c>
      <c r="J150" s="183" t="str">
        <f>IF(I150="Buy",G150,IF(I150="Sell",-G150,""))</f>
        <v/>
      </c>
      <c r="K150" s="183" t="str">
        <f>IF(AND(ISNUMBER(J150),ISNUMBER(L150),N(J150)&lt;&gt;0),ROUND(L150/J150,8),"")</f>
        <v/>
      </c>
      <c r="L150" s="183" t="str">
        <f>IF(I150="Buy",-H150,IF(I150="Sell",H150,""))</f>
        <v/>
      </c>
    </row>
    <row r="151" ht="22" customHeight="1">
      <c r="B151" s="239" t="n"/>
      <c r="C151" s="240" t="str">
        <f>IF($B151="","",IF(COUNTIFS(Пул!$E$5:$E$300,$B151,Пул!$F$5:$F$300,"&lt;&gt;")=0,"",ROUND(SUMIFS(Пул!$F$5:$F$300,Пул!$E$5:$E$300,$B151),8)))</f>
        <v/>
      </c>
      <c r="D151" s="241" t="str">
        <f>IF($B151="","",IF(COUNTIFS(Пул!$E$5:$E$300,$B151,Пул!$G$5:$G$300,"&lt;&gt;")=0,"",ROUND(SUMIFS(Пул!$G$5:$G$300,Пул!$E$5:$E$300,$B151),8)))</f>
        <v/>
      </c>
      <c r="E151" s="240" t="str">
        <f>IF($B151="","",IF(COUNTIFS(Пул!$E$5:$E$300,$B151,Пул!$L$5:$L$300,"Закрыт")=0,"",ROUND(SUMIFS(Пул!$H$5:$H$300,Пул!$E$5:$E$300,$B151,Пул!$L$5:$L$300,"Закрыт"),8)))</f>
        <v/>
      </c>
      <c r="F151" s="241" t="str">
        <f>IF($B151="","",IF(COUNTIFS(Пул!$E$5:$E$300,$B151,Пул!$L$5:$L$300,"Закрыт")=0,"",ROUND(SUMIFS(Пул!$I$5:$I$300,Пул!$E$5:$E$300,$B151,Пул!$L$5:$L$300,"Закрыт"),8)))</f>
        <v/>
      </c>
      <c r="G151" s="240" t="str">
        <f>IF($B151="","",IF(COUNTIFS(Пул!$E$5:$E$300,$B151,Пул!$L$5:$L$300,"Закрыт")=0,"",ROUND(SUMIFS(Пул!$J$5:$J$300,Пул!$E$5:$E$300,$B151,Пул!$L$5:$L$300,"Закрыт"),8)))</f>
        <v/>
      </c>
      <c r="H151" s="241" t="str">
        <f>IF($B151="","",IF(COUNTIFS(Пул!$E$5:$E$300,$B151,Пул!$L$5:$L$300,"Закрыт")=0,"",ROUND(SUMIFS(Пул!$K$5:$K$300,Пул!$E$5:$E$300,$B151,Пул!$L$5:$L$300,"Закрыт"),8)))</f>
        <v/>
      </c>
      <c r="I151" s="236" t="str">
        <f>IF(AND(ISNUMBER(G151),ISNUMBER(H151)),IF(AND(G151&gt;0,H151&lt;0),"Buy",IF(AND(G151&lt;0,H151&gt;0),"Sell","")),"")</f>
        <v/>
      </c>
      <c r="J151" s="177" t="str">
        <f>IF(I151="Buy",G151,IF(I151="Sell",-G151,""))</f>
        <v/>
      </c>
      <c r="K151" s="177" t="str">
        <f>IF(AND(ISNUMBER(J151),ISNUMBER(L151),N(J151)&lt;&gt;0),ROUND(L151/J151,8),"")</f>
        <v/>
      </c>
      <c r="L151" s="177" t="str">
        <f>IF(I151="Buy",-H151,IF(I151="Sell",H151,""))</f>
        <v/>
      </c>
    </row>
    <row r="152" ht="22" customHeight="1">
      <c r="B152" s="245" t="n"/>
      <c r="C152" s="246" t="str">
        <f>IF($B152="","",IF(COUNTIFS(Пул!$E$5:$E$300,$B152,Пул!$F$5:$F$300,"&lt;&gt;")=0,"",ROUND(SUMIFS(Пул!$F$5:$F$300,Пул!$E$5:$E$300,$B152),8)))</f>
        <v/>
      </c>
      <c r="D152" s="247" t="str">
        <f>IF($B152="","",IF(COUNTIFS(Пул!$E$5:$E$300,$B152,Пул!$G$5:$G$300,"&lt;&gt;")=0,"",ROUND(SUMIFS(Пул!$G$5:$G$300,Пул!$E$5:$E$300,$B152),8)))</f>
        <v/>
      </c>
      <c r="E152" s="246" t="str">
        <f>IF($B152="","",IF(COUNTIFS(Пул!$E$5:$E$300,$B152,Пул!$L$5:$L$300,"Закрыт")=0,"",ROUND(SUMIFS(Пул!$H$5:$H$300,Пул!$E$5:$E$300,$B152,Пул!$L$5:$L$300,"Закрыт"),8)))</f>
        <v/>
      </c>
      <c r="F152" s="247" t="str">
        <f>IF($B152="","",IF(COUNTIFS(Пул!$E$5:$E$300,$B152,Пул!$L$5:$L$300,"Закрыт")=0,"",ROUND(SUMIFS(Пул!$I$5:$I$300,Пул!$E$5:$E$300,$B152,Пул!$L$5:$L$300,"Закрыт"),8)))</f>
        <v/>
      </c>
      <c r="G152" s="246" t="str">
        <f>IF($B152="","",IF(COUNTIFS(Пул!$E$5:$E$300,$B152,Пул!$L$5:$L$300,"Закрыт")=0,"",ROUND(SUMIFS(Пул!$J$5:$J$300,Пул!$E$5:$E$300,$B152,Пул!$L$5:$L$300,"Закрыт"),8)))</f>
        <v/>
      </c>
      <c r="H152" s="247" t="str">
        <f>IF($B152="","",IF(COUNTIFS(Пул!$E$5:$E$300,$B152,Пул!$L$5:$L$300,"Закрыт")=0,"",ROUND(SUMIFS(Пул!$K$5:$K$300,Пул!$E$5:$E$300,$B152,Пул!$L$5:$L$300,"Закрыт"),8)))</f>
        <v/>
      </c>
      <c r="I152" s="242" t="str">
        <f>IF(AND(ISNUMBER(G152),ISNUMBER(H152)),IF(AND(G152&gt;0,H152&lt;0),"Buy",IF(AND(G152&lt;0,H152&gt;0),"Sell","")),"")</f>
        <v/>
      </c>
      <c r="J152" s="183" t="str">
        <f>IF(I152="Buy",G152,IF(I152="Sell",-G152,""))</f>
        <v/>
      </c>
      <c r="K152" s="183" t="str">
        <f>IF(AND(ISNUMBER(J152),ISNUMBER(L152),N(J152)&lt;&gt;0),ROUND(L152/J152,8),"")</f>
        <v/>
      </c>
      <c r="L152" s="183" t="str">
        <f>IF(I152="Buy",-H152,IF(I152="Sell",H152,""))</f>
        <v/>
      </c>
    </row>
    <row r="153" ht="22" customHeight="1">
      <c r="B153" s="239" t="n"/>
      <c r="C153" s="240" t="str">
        <f>IF($B153="","",IF(COUNTIFS(Пул!$E$5:$E$300,$B153,Пул!$F$5:$F$300,"&lt;&gt;")=0,"",ROUND(SUMIFS(Пул!$F$5:$F$300,Пул!$E$5:$E$300,$B153),8)))</f>
        <v/>
      </c>
      <c r="D153" s="241" t="str">
        <f>IF($B153="","",IF(COUNTIFS(Пул!$E$5:$E$300,$B153,Пул!$G$5:$G$300,"&lt;&gt;")=0,"",ROUND(SUMIFS(Пул!$G$5:$G$300,Пул!$E$5:$E$300,$B153),8)))</f>
        <v/>
      </c>
      <c r="E153" s="240" t="str">
        <f>IF($B153="","",IF(COUNTIFS(Пул!$E$5:$E$300,$B153,Пул!$L$5:$L$300,"Закрыт")=0,"",ROUND(SUMIFS(Пул!$H$5:$H$300,Пул!$E$5:$E$300,$B153,Пул!$L$5:$L$300,"Закрыт"),8)))</f>
        <v/>
      </c>
      <c r="F153" s="241" t="str">
        <f>IF($B153="","",IF(COUNTIFS(Пул!$E$5:$E$300,$B153,Пул!$L$5:$L$300,"Закрыт")=0,"",ROUND(SUMIFS(Пул!$I$5:$I$300,Пул!$E$5:$E$300,$B153,Пул!$L$5:$L$300,"Закрыт"),8)))</f>
        <v/>
      </c>
      <c r="G153" s="240" t="str">
        <f>IF($B153="","",IF(COUNTIFS(Пул!$E$5:$E$300,$B153,Пул!$L$5:$L$300,"Закрыт")=0,"",ROUND(SUMIFS(Пул!$J$5:$J$300,Пул!$E$5:$E$300,$B153,Пул!$L$5:$L$300,"Закрыт"),8)))</f>
        <v/>
      </c>
      <c r="H153" s="241" t="str">
        <f>IF($B153="","",IF(COUNTIFS(Пул!$E$5:$E$300,$B153,Пул!$L$5:$L$300,"Закрыт")=0,"",ROUND(SUMIFS(Пул!$K$5:$K$300,Пул!$E$5:$E$300,$B153,Пул!$L$5:$L$300,"Закрыт"),8)))</f>
        <v/>
      </c>
      <c r="I153" s="236" t="str">
        <f>IF(AND(ISNUMBER(G153),ISNUMBER(H153)),IF(AND(G153&gt;0,H153&lt;0),"Buy",IF(AND(G153&lt;0,H153&gt;0),"Sell","")),"")</f>
        <v/>
      </c>
      <c r="J153" s="177" t="str">
        <f>IF(I153="Buy",G153,IF(I153="Sell",-G153,""))</f>
        <v/>
      </c>
      <c r="K153" s="177" t="str">
        <f>IF(AND(ISNUMBER(J153),ISNUMBER(L153),N(J153)&lt;&gt;0),ROUND(L153/J153,8),"")</f>
        <v/>
      </c>
      <c r="L153" s="177" t="str">
        <f>IF(I153="Buy",-H153,IF(I153="Sell",H153,""))</f>
        <v/>
      </c>
    </row>
    <row r="154" ht="22" customHeight="1">
      <c r="B154" s="245" t="n"/>
      <c r="C154" s="246" t="str">
        <f>IF($B154="","",IF(COUNTIFS(Пул!$E$5:$E$300,$B154,Пул!$F$5:$F$300,"&lt;&gt;")=0,"",ROUND(SUMIFS(Пул!$F$5:$F$300,Пул!$E$5:$E$300,$B154),8)))</f>
        <v/>
      </c>
      <c r="D154" s="247" t="str">
        <f>IF($B154="","",IF(COUNTIFS(Пул!$E$5:$E$300,$B154,Пул!$G$5:$G$300,"&lt;&gt;")=0,"",ROUND(SUMIFS(Пул!$G$5:$G$300,Пул!$E$5:$E$300,$B154),8)))</f>
        <v/>
      </c>
      <c r="E154" s="246" t="str">
        <f>IF($B154="","",IF(COUNTIFS(Пул!$E$5:$E$300,$B154,Пул!$L$5:$L$300,"Закрыт")=0,"",ROUND(SUMIFS(Пул!$H$5:$H$300,Пул!$E$5:$E$300,$B154,Пул!$L$5:$L$300,"Закрыт"),8)))</f>
        <v/>
      </c>
      <c r="F154" s="247" t="str">
        <f>IF($B154="","",IF(COUNTIFS(Пул!$E$5:$E$300,$B154,Пул!$L$5:$L$300,"Закрыт")=0,"",ROUND(SUMIFS(Пул!$I$5:$I$300,Пул!$E$5:$E$300,$B154,Пул!$L$5:$L$300,"Закрыт"),8)))</f>
        <v/>
      </c>
      <c r="G154" s="246" t="str">
        <f>IF($B154="","",IF(COUNTIFS(Пул!$E$5:$E$300,$B154,Пул!$L$5:$L$300,"Закрыт")=0,"",ROUND(SUMIFS(Пул!$J$5:$J$300,Пул!$E$5:$E$300,$B154,Пул!$L$5:$L$300,"Закрыт"),8)))</f>
        <v/>
      </c>
      <c r="H154" s="247" t="str">
        <f>IF($B154="","",IF(COUNTIFS(Пул!$E$5:$E$300,$B154,Пул!$L$5:$L$300,"Закрыт")=0,"",ROUND(SUMIFS(Пул!$K$5:$K$300,Пул!$E$5:$E$300,$B154,Пул!$L$5:$L$300,"Закрыт"),8)))</f>
        <v/>
      </c>
      <c r="I154" s="242" t="str">
        <f>IF(AND(ISNUMBER(G154),ISNUMBER(H154)),IF(AND(G154&gt;0,H154&lt;0),"Buy",IF(AND(G154&lt;0,H154&gt;0),"Sell","")),"")</f>
        <v/>
      </c>
      <c r="J154" s="183" t="str">
        <f>IF(I154="Buy",G154,IF(I154="Sell",-G154,""))</f>
        <v/>
      </c>
      <c r="K154" s="183" t="str">
        <f>IF(AND(ISNUMBER(J154),ISNUMBER(L154),N(J154)&lt;&gt;0),ROUND(L154/J154,8),"")</f>
        <v/>
      </c>
      <c r="L154" s="183" t="str">
        <f>IF(I154="Buy",-H154,IF(I154="Sell",H154,""))</f>
        <v/>
      </c>
    </row>
    <row r="155" ht="22" customHeight="1">
      <c r="B155" s="239" t="n"/>
      <c r="C155" s="240" t="str">
        <f>IF($B155="","",IF(COUNTIFS(Пул!$E$5:$E$300,$B155,Пул!$F$5:$F$300,"&lt;&gt;")=0,"",ROUND(SUMIFS(Пул!$F$5:$F$300,Пул!$E$5:$E$300,$B155),8)))</f>
        <v/>
      </c>
      <c r="D155" s="241" t="str">
        <f>IF($B155="","",IF(COUNTIFS(Пул!$E$5:$E$300,$B155,Пул!$G$5:$G$300,"&lt;&gt;")=0,"",ROUND(SUMIFS(Пул!$G$5:$G$300,Пул!$E$5:$E$300,$B155),8)))</f>
        <v/>
      </c>
      <c r="E155" s="240" t="str">
        <f>IF($B155="","",IF(COUNTIFS(Пул!$E$5:$E$300,$B155,Пул!$L$5:$L$300,"Закрыт")=0,"",ROUND(SUMIFS(Пул!$H$5:$H$300,Пул!$E$5:$E$300,$B155,Пул!$L$5:$L$300,"Закрыт"),8)))</f>
        <v/>
      </c>
      <c r="F155" s="241" t="str">
        <f>IF($B155="","",IF(COUNTIFS(Пул!$E$5:$E$300,$B155,Пул!$L$5:$L$300,"Закрыт")=0,"",ROUND(SUMIFS(Пул!$I$5:$I$300,Пул!$E$5:$E$300,$B155,Пул!$L$5:$L$300,"Закрыт"),8)))</f>
        <v/>
      </c>
      <c r="G155" s="240" t="str">
        <f>IF($B155="","",IF(COUNTIFS(Пул!$E$5:$E$300,$B155,Пул!$L$5:$L$300,"Закрыт")=0,"",ROUND(SUMIFS(Пул!$J$5:$J$300,Пул!$E$5:$E$300,$B155,Пул!$L$5:$L$300,"Закрыт"),8)))</f>
        <v/>
      </c>
      <c r="H155" s="241" t="str">
        <f>IF($B155="","",IF(COUNTIFS(Пул!$E$5:$E$300,$B155,Пул!$L$5:$L$300,"Закрыт")=0,"",ROUND(SUMIFS(Пул!$K$5:$K$300,Пул!$E$5:$E$300,$B155,Пул!$L$5:$L$300,"Закрыт"),8)))</f>
        <v/>
      </c>
      <c r="I155" s="236" t="str">
        <f>IF(AND(ISNUMBER(G155),ISNUMBER(H155)),IF(AND(G155&gt;0,H155&lt;0),"Buy",IF(AND(G155&lt;0,H155&gt;0),"Sell","")),"")</f>
        <v/>
      </c>
      <c r="J155" s="177" t="str">
        <f>IF(I155="Buy",G155,IF(I155="Sell",-G155,""))</f>
        <v/>
      </c>
      <c r="K155" s="177" t="str">
        <f>IF(AND(ISNUMBER(J155),ISNUMBER(L155),N(J155)&lt;&gt;0),ROUND(L155/J155,8),"")</f>
        <v/>
      </c>
      <c r="L155" s="177" t="str">
        <f>IF(I155="Buy",-H155,IF(I155="Sell",H155,""))</f>
        <v/>
      </c>
    </row>
    <row r="156" ht="22" customHeight="1">
      <c r="B156" s="245" t="n"/>
      <c r="C156" s="246" t="str">
        <f>IF($B156="","",IF(COUNTIFS(Пул!$E$5:$E$300,$B156,Пул!$F$5:$F$300,"&lt;&gt;")=0,"",ROUND(SUMIFS(Пул!$F$5:$F$300,Пул!$E$5:$E$300,$B156),8)))</f>
        <v/>
      </c>
      <c r="D156" s="247" t="str">
        <f>IF($B156="","",IF(COUNTIFS(Пул!$E$5:$E$300,$B156,Пул!$G$5:$G$300,"&lt;&gt;")=0,"",ROUND(SUMIFS(Пул!$G$5:$G$300,Пул!$E$5:$E$300,$B156),8)))</f>
        <v/>
      </c>
      <c r="E156" s="246" t="str">
        <f>IF($B156="","",IF(COUNTIFS(Пул!$E$5:$E$300,$B156,Пул!$L$5:$L$300,"Закрыт")=0,"",ROUND(SUMIFS(Пул!$H$5:$H$300,Пул!$E$5:$E$300,$B156,Пул!$L$5:$L$300,"Закрыт"),8)))</f>
        <v/>
      </c>
      <c r="F156" s="247" t="str">
        <f>IF($B156="","",IF(COUNTIFS(Пул!$E$5:$E$300,$B156,Пул!$L$5:$L$300,"Закрыт")=0,"",ROUND(SUMIFS(Пул!$I$5:$I$300,Пул!$E$5:$E$300,$B156,Пул!$L$5:$L$300,"Закрыт"),8)))</f>
        <v/>
      </c>
      <c r="G156" s="246" t="str">
        <f>IF($B156="","",IF(COUNTIFS(Пул!$E$5:$E$300,$B156,Пул!$L$5:$L$300,"Закрыт")=0,"",ROUND(SUMIFS(Пул!$J$5:$J$300,Пул!$E$5:$E$300,$B156,Пул!$L$5:$L$300,"Закрыт"),8)))</f>
        <v/>
      </c>
      <c r="H156" s="247" t="str">
        <f>IF($B156="","",IF(COUNTIFS(Пул!$E$5:$E$300,$B156,Пул!$L$5:$L$300,"Закрыт")=0,"",ROUND(SUMIFS(Пул!$K$5:$K$300,Пул!$E$5:$E$300,$B156,Пул!$L$5:$L$300,"Закрыт"),8)))</f>
        <v/>
      </c>
      <c r="I156" s="242" t="str">
        <f>IF(AND(ISNUMBER(G156),ISNUMBER(H156)),IF(AND(G156&gt;0,H156&lt;0),"Buy",IF(AND(G156&lt;0,H156&gt;0),"Sell","")),"")</f>
        <v/>
      </c>
      <c r="J156" s="183" t="str">
        <f>IF(I156="Buy",G156,IF(I156="Sell",-G156,""))</f>
        <v/>
      </c>
      <c r="K156" s="183" t="str">
        <f>IF(AND(ISNUMBER(J156),ISNUMBER(L156),N(J156)&lt;&gt;0),ROUND(L156/J156,8),"")</f>
        <v/>
      </c>
      <c r="L156" s="183" t="str">
        <f>IF(I156="Buy",-H156,IF(I156="Sell",H156,""))</f>
        <v/>
      </c>
    </row>
    <row r="157" ht="22" customHeight="1">
      <c r="B157" s="239" t="n"/>
      <c r="C157" s="240" t="str">
        <f>IF($B157="","",IF(COUNTIFS(Пул!$E$5:$E$300,$B157,Пул!$F$5:$F$300,"&lt;&gt;")=0,"",ROUND(SUMIFS(Пул!$F$5:$F$300,Пул!$E$5:$E$300,$B157),8)))</f>
        <v/>
      </c>
      <c r="D157" s="241" t="str">
        <f>IF($B157="","",IF(COUNTIFS(Пул!$E$5:$E$300,$B157,Пул!$G$5:$G$300,"&lt;&gt;")=0,"",ROUND(SUMIFS(Пул!$G$5:$G$300,Пул!$E$5:$E$300,$B157),8)))</f>
        <v/>
      </c>
      <c r="E157" s="240" t="str">
        <f>IF($B157="","",IF(COUNTIFS(Пул!$E$5:$E$300,$B157,Пул!$L$5:$L$300,"Закрыт")=0,"",ROUND(SUMIFS(Пул!$H$5:$H$300,Пул!$E$5:$E$300,$B157,Пул!$L$5:$L$300,"Закрыт"),8)))</f>
        <v/>
      </c>
      <c r="F157" s="241" t="str">
        <f>IF($B157="","",IF(COUNTIFS(Пул!$E$5:$E$300,$B157,Пул!$L$5:$L$300,"Закрыт")=0,"",ROUND(SUMIFS(Пул!$I$5:$I$300,Пул!$E$5:$E$300,$B157,Пул!$L$5:$L$300,"Закрыт"),8)))</f>
        <v/>
      </c>
      <c r="G157" s="240" t="str">
        <f>IF($B157="","",IF(COUNTIFS(Пул!$E$5:$E$300,$B157,Пул!$L$5:$L$300,"Закрыт")=0,"",ROUND(SUMIFS(Пул!$J$5:$J$300,Пул!$E$5:$E$300,$B157,Пул!$L$5:$L$300,"Закрыт"),8)))</f>
        <v/>
      </c>
      <c r="H157" s="241" t="str">
        <f>IF($B157="","",IF(COUNTIFS(Пул!$E$5:$E$300,$B157,Пул!$L$5:$L$300,"Закрыт")=0,"",ROUND(SUMIFS(Пул!$K$5:$K$300,Пул!$E$5:$E$300,$B157,Пул!$L$5:$L$300,"Закрыт"),8)))</f>
        <v/>
      </c>
      <c r="I157" s="236" t="str">
        <f>IF(AND(ISNUMBER(G157),ISNUMBER(H157)),IF(AND(G157&gt;0,H157&lt;0),"Buy",IF(AND(G157&lt;0,H157&gt;0),"Sell","")),"")</f>
        <v/>
      </c>
      <c r="J157" s="177" t="str">
        <f>IF(I157="Buy",G157,IF(I157="Sell",-G157,""))</f>
        <v/>
      </c>
      <c r="K157" s="177" t="str">
        <f>IF(AND(ISNUMBER(J157),ISNUMBER(L157),N(J157)&lt;&gt;0),ROUND(L157/J157,8),"")</f>
        <v/>
      </c>
      <c r="L157" s="177" t="str">
        <f>IF(I157="Buy",-H157,IF(I157="Sell",H157,""))</f>
        <v/>
      </c>
    </row>
    <row r="158" ht="22" customHeight="1">
      <c r="B158" s="245" t="n"/>
      <c r="C158" s="246" t="str">
        <f>IF($B158="","",IF(COUNTIFS(Пул!$E$5:$E$300,$B158,Пул!$F$5:$F$300,"&lt;&gt;")=0,"",ROUND(SUMIFS(Пул!$F$5:$F$300,Пул!$E$5:$E$300,$B158),8)))</f>
        <v/>
      </c>
      <c r="D158" s="247" t="str">
        <f>IF($B158="","",IF(COUNTIFS(Пул!$E$5:$E$300,$B158,Пул!$G$5:$G$300,"&lt;&gt;")=0,"",ROUND(SUMIFS(Пул!$G$5:$G$300,Пул!$E$5:$E$300,$B158),8)))</f>
        <v/>
      </c>
      <c r="E158" s="246" t="str">
        <f>IF($B158="","",IF(COUNTIFS(Пул!$E$5:$E$300,$B158,Пул!$L$5:$L$300,"Закрыт")=0,"",ROUND(SUMIFS(Пул!$H$5:$H$300,Пул!$E$5:$E$300,$B158,Пул!$L$5:$L$300,"Закрыт"),8)))</f>
        <v/>
      </c>
      <c r="F158" s="247" t="str">
        <f>IF($B158="","",IF(COUNTIFS(Пул!$E$5:$E$300,$B158,Пул!$L$5:$L$300,"Закрыт")=0,"",ROUND(SUMIFS(Пул!$I$5:$I$300,Пул!$E$5:$E$300,$B158,Пул!$L$5:$L$300,"Закрыт"),8)))</f>
        <v/>
      </c>
      <c r="G158" s="246" t="str">
        <f>IF($B158="","",IF(COUNTIFS(Пул!$E$5:$E$300,$B158,Пул!$L$5:$L$300,"Закрыт")=0,"",ROUND(SUMIFS(Пул!$J$5:$J$300,Пул!$E$5:$E$300,$B158,Пул!$L$5:$L$300,"Закрыт"),8)))</f>
        <v/>
      </c>
      <c r="H158" s="247" t="str">
        <f>IF($B158="","",IF(COUNTIFS(Пул!$E$5:$E$300,$B158,Пул!$L$5:$L$300,"Закрыт")=0,"",ROUND(SUMIFS(Пул!$K$5:$K$300,Пул!$E$5:$E$300,$B158,Пул!$L$5:$L$300,"Закрыт"),8)))</f>
        <v/>
      </c>
      <c r="I158" s="242" t="str">
        <f>IF(AND(ISNUMBER(G158),ISNUMBER(H158)),IF(AND(G158&gt;0,H158&lt;0),"Buy",IF(AND(G158&lt;0,H158&gt;0),"Sell","")),"")</f>
        <v/>
      </c>
      <c r="J158" s="183" t="str">
        <f>IF(I158="Buy",G158,IF(I158="Sell",-G158,""))</f>
        <v/>
      </c>
      <c r="K158" s="183" t="str">
        <f>IF(AND(ISNUMBER(J158),ISNUMBER(L158),N(J158)&lt;&gt;0),ROUND(L158/J158,8),"")</f>
        <v/>
      </c>
      <c r="L158" s="183" t="str">
        <f>IF(I158="Buy",-H158,IF(I158="Sell",H158,""))</f>
        <v/>
      </c>
    </row>
    <row r="159" ht="22" customHeight="1">
      <c r="B159" s="239" t="n"/>
      <c r="C159" s="240" t="str">
        <f>IF($B159="","",IF(COUNTIFS(Пул!$E$5:$E$300,$B159,Пул!$F$5:$F$300,"&lt;&gt;")=0,"",ROUND(SUMIFS(Пул!$F$5:$F$300,Пул!$E$5:$E$300,$B159),8)))</f>
        <v/>
      </c>
      <c r="D159" s="241" t="str">
        <f>IF($B159="","",IF(COUNTIFS(Пул!$E$5:$E$300,$B159,Пул!$G$5:$G$300,"&lt;&gt;")=0,"",ROUND(SUMIFS(Пул!$G$5:$G$300,Пул!$E$5:$E$300,$B159),8)))</f>
        <v/>
      </c>
      <c r="E159" s="240" t="str">
        <f>IF($B159="","",IF(COUNTIFS(Пул!$E$5:$E$300,$B159,Пул!$L$5:$L$300,"Закрыт")=0,"",ROUND(SUMIFS(Пул!$H$5:$H$300,Пул!$E$5:$E$300,$B159,Пул!$L$5:$L$300,"Закрыт"),8)))</f>
        <v/>
      </c>
      <c r="F159" s="241" t="str">
        <f>IF($B159="","",IF(COUNTIFS(Пул!$E$5:$E$300,$B159,Пул!$L$5:$L$300,"Закрыт")=0,"",ROUND(SUMIFS(Пул!$I$5:$I$300,Пул!$E$5:$E$300,$B159,Пул!$L$5:$L$300,"Закрыт"),8)))</f>
        <v/>
      </c>
      <c r="G159" s="240" t="str">
        <f>IF($B159="","",IF(COUNTIFS(Пул!$E$5:$E$300,$B159,Пул!$L$5:$L$300,"Закрыт")=0,"",ROUND(SUMIFS(Пул!$J$5:$J$300,Пул!$E$5:$E$300,$B159,Пул!$L$5:$L$300,"Закрыт"),8)))</f>
        <v/>
      </c>
      <c r="H159" s="241" t="str">
        <f>IF($B159="","",IF(COUNTIFS(Пул!$E$5:$E$300,$B159,Пул!$L$5:$L$300,"Закрыт")=0,"",ROUND(SUMIFS(Пул!$K$5:$K$300,Пул!$E$5:$E$300,$B159,Пул!$L$5:$L$300,"Закрыт"),8)))</f>
        <v/>
      </c>
      <c r="I159" s="236" t="str">
        <f>IF(AND(ISNUMBER(G159),ISNUMBER(H159)),IF(AND(G159&gt;0,H159&lt;0),"Buy",IF(AND(G159&lt;0,H159&gt;0),"Sell","")),"")</f>
        <v/>
      </c>
      <c r="J159" s="177" t="str">
        <f>IF(I159="Buy",G159,IF(I159="Sell",-G159,""))</f>
        <v/>
      </c>
      <c r="K159" s="177" t="str">
        <f>IF(AND(ISNUMBER(J159),ISNUMBER(L159),N(J159)&lt;&gt;0),ROUND(L159/J159,8),"")</f>
        <v/>
      </c>
      <c r="L159" s="177" t="str">
        <f>IF(I159="Buy",-H159,IF(I159="Sell",H159,""))</f>
        <v/>
      </c>
    </row>
    <row r="160" ht="22" customHeight="1">
      <c r="B160" s="245" t="n"/>
      <c r="C160" s="246" t="str">
        <f>IF($B160="","",IF(COUNTIFS(Пул!$E$5:$E$300,$B160,Пул!$F$5:$F$300,"&lt;&gt;")=0,"",ROUND(SUMIFS(Пул!$F$5:$F$300,Пул!$E$5:$E$300,$B160),8)))</f>
        <v/>
      </c>
      <c r="D160" s="247" t="str">
        <f>IF($B160="","",IF(COUNTIFS(Пул!$E$5:$E$300,$B160,Пул!$G$5:$G$300,"&lt;&gt;")=0,"",ROUND(SUMIFS(Пул!$G$5:$G$300,Пул!$E$5:$E$300,$B160),8)))</f>
        <v/>
      </c>
      <c r="E160" s="246" t="str">
        <f>IF($B160="","",IF(COUNTIFS(Пул!$E$5:$E$300,$B160,Пул!$L$5:$L$300,"Закрыт")=0,"",ROUND(SUMIFS(Пул!$H$5:$H$300,Пул!$E$5:$E$300,$B160,Пул!$L$5:$L$300,"Закрыт"),8)))</f>
        <v/>
      </c>
      <c r="F160" s="247" t="str">
        <f>IF($B160="","",IF(COUNTIFS(Пул!$E$5:$E$300,$B160,Пул!$L$5:$L$300,"Закрыт")=0,"",ROUND(SUMIFS(Пул!$I$5:$I$300,Пул!$E$5:$E$300,$B160,Пул!$L$5:$L$300,"Закрыт"),8)))</f>
        <v/>
      </c>
      <c r="G160" s="246" t="str">
        <f>IF($B160="","",IF(COUNTIFS(Пул!$E$5:$E$300,$B160,Пул!$L$5:$L$300,"Закрыт")=0,"",ROUND(SUMIFS(Пул!$J$5:$J$300,Пул!$E$5:$E$300,$B160,Пул!$L$5:$L$300,"Закрыт"),8)))</f>
        <v/>
      </c>
      <c r="H160" s="247" t="str">
        <f>IF($B160="","",IF(COUNTIFS(Пул!$E$5:$E$300,$B160,Пул!$L$5:$L$300,"Закрыт")=0,"",ROUND(SUMIFS(Пул!$K$5:$K$300,Пул!$E$5:$E$300,$B160,Пул!$L$5:$L$300,"Закрыт"),8)))</f>
        <v/>
      </c>
      <c r="I160" s="242" t="str">
        <f>IF(AND(ISNUMBER(G160),ISNUMBER(H160)),IF(AND(G160&gt;0,H160&lt;0),"Buy",IF(AND(G160&lt;0,H160&gt;0),"Sell","")),"")</f>
        <v/>
      </c>
      <c r="J160" s="183" t="str">
        <f>IF(I160="Buy",G160,IF(I160="Sell",-G160,""))</f>
        <v/>
      </c>
      <c r="K160" s="183" t="str">
        <f>IF(AND(ISNUMBER(J160),ISNUMBER(L160),N(J160)&lt;&gt;0),ROUND(L160/J160,8),"")</f>
        <v/>
      </c>
      <c r="L160" s="183" t="str">
        <f>IF(I160="Buy",-H160,IF(I160="Sell",H160,""))</f>
        <v/>
      </c>
    </row>
    <row r="161" ht="22" customHeight="1">
      <c r="B161" s="239" t="n"/>
      <c r="C161" s="240" t="str">
        <f>IF($B161="","",IF(COUNTIFS(Пул!$E$5:$E$300,$B161,Пул!$F$5:$F$300,"&lt;&gt;")=0,"",ROUND(SUMIFS(Пул!$F$5:$F$300,Пул!$E$5:$E$300,$B161),8)))</f>
        <v/>
      </c>
      <c r="D161" s="241" t="str">
        <f>IF($B161="","",IF(COUNTIFS(Пул!$E$5:$E$300,$B161,Пул!$G$5:$G$300,"&lt;&gt;")=0,"",ROUND(SUMIFS(Пул!$G$5:$G$300,Пул!$E$5:$E$300,$B161),8)))</f>
        <v/>
      </c>
      <c r="E161" s="240" t="str">
        <f>IF($B161="","",IF(COUNTIFS(Пул!$E$5:$E$300,$B161,Пул!$L$5:$L$300,"Закрыт")=0,"",ROUND(SUMIFS(Пул!$H$5:$H$300,Пул!$E$5:$E$300,$B161,Пул!$L$5:$L$300,"Закрыт"),8)))</f>
        <v/>
      </c>
      <c r="F161" s="241" t="str">
        <f>IF($B161="","",IF(COUNTIFS(Пул!$E$5:$E$300,$B161,Пул!$L$5:$L$300,"Закрыт")=0,"",ROUND(SUMIFS(Пул!$I$5:$I$300,Пул!$E$5:$E$300,$B161,Пул!$L$5:$L$300,"Закрыт"),8)))</f>
        <v/>
      </c>
      <c r="G161" s="240" t="str">
        <f>IF($B161="","",IF(COUNTIFS(Пул!$E$5:$E$300,$B161,Пул!$L$5:$L$300,"Закрыт")=0,"",ROUND(SUMIFS(Пул!$J$5:$J$300,Пул!$E$5:$E$300,$B161,Пул!$L$5:$L$300,"Закрыт"),8)))</f>
        <v/>
      </c>
      <c r="H161" s="241" t="str">
        <f>IF($B161="","",IF(COUNTIFS(Пул!$E$5:$E$300,$B161,Пул!$L$5:$L$300,"Закрыт")=0,"",ROUND(SUMIFS(Пул!$K$5:$K$300,Пул!$E$5:$E$300,$B161,Пул!$L$5:$L$300,"Закрыт"),8)))</f>
        <v/>
      </c>
      <c r="I161" s="236" t="str">
        <f>IF(AND(ISNUMBER(G161),ISNUMBER(H161)),IF(AND(G161&gt;0,H161&lt;0),"Buy",IF(AND(G161&lt;0,H161&gt;0),"Sell","")),"")</f>
        <v/>
      </c>
      <c r="J161" s="177" t="str">
        <f>IF(I161="Buy",G161,IF(I161="Sell",-G161,""))</f>
        <v/>
      </c>
      <c r="K161" s="177" t="str">
        <f>IF(AND(ISNUMBER(J161),ISNUMBER(L161),N(J161)&lt;&gt;0),ROUND(L161/J161,8),"")</f>
        <v/>
      </c>
      <c r="L161" s="177" t="str">
        <f>IF(I161="Buy",-H161,IF(I161="Sell",H161,""))</f>
        <v/>
      </c>
    </row>
    <row r="162" ht="22" customHeight="1">
      <c r="B162" s="245" t="n"/>
      <c r="C162" s="246" t="str">
        <f>IF($B162="","",IF(COUNTIFS(Пул!$E$5:$E$300,$B162,Пул!$F$5:$F$300,"&lt;&gt;")=0,"",ROUND(SUMIFS(Пул!$F$5:$F$300,Пул!$E$5:$E$300,$B162),8)))</f>
        <v/>
      </c>
      <c r="D162" s="247" t="str">
        <f>IF($B162="","",IF(COUNTIFS(Пул!$E$5:$E$300,$B162,Пул!$G$5:$G$300,"&lt;&gt;")=0,"",ROUND(SUMIFS(Пул!$G$5:$G$300,Пул!$E$5:$E$300,$B162),8)))</f>
        <v/>
      </c>
      <c r="E162" s="246" t="str">
        <f>IF($B162="","",IF(COUNTIFS(Пул!$E$5:$E$300,$B162,Пул!$L$5:$L$300,"Закрыт")=0,"",ROUND(SUMIFS(Пул!$H$5:$H$300,Пул!$E$5:$E$300,$B162,Пул!$L$5:$L$300,"Закрыт"),8)))</f>
        <v/>
      </c>
      <c r="F162" s="247" t="str">
        <f>IF($B162="","",IF(COUNTIFS(Пул!$E$5:$E$300,$B162,Пул!$L$5:$L$300,"Закрыт")=0,"",ROUND(SUMIFS(Пул!$I$5:$I$300,Пул!$E$5:$E$300,$B162,Пул!$L$5:$L$300,"Закрыт"),8)))</f>
        <v/>
      </c>
      <c r="G162" s="246" t="str">
        <f>IF($B162="","",IF(COUNTIFS(Пул!$E$5:$E$300,$B162,Пул!$L$5:$L$300,"Закрыт")=0,"",ROUND(SUMIFS(Пул!$J$5:$J$300,Пул!$E$5:$E$300,$B162,Пул!$L$5:$L$300,"Закрыт"),8)))</f>
        <v/>
      </c>
      <c r="H162" s="247" t="str">
        <f>IF($B162="","",IF(COUNTIFS(Пул!$E$5:$E$300,$B162,Пул!$L$5:$L$300,"Закрыт")=0,"",ROUND(SUMIFS(Пул!$K$5:$K$300,Пул!$E$5:$E$300,$B162,Пул!$L$5:$L$300,"Закрыт"),8)))</f>
        <v/>
      </c>
      <c r="I162" s="242" t="str">
        <f>IF(AND(ISNUMBER(G162),ISNUMBER(H162)),IF(AND(G162&gt;0,H162&lt;0),"Buy",IF(AND(G162&lt;0,H162&gt;0),"Sell","")),"")</f>
        <v/>
      </c>
      <c r="J162" s="183" t="str">
        <f>IF(I162="Buy",G162,IF(I162="Sell",-G162,""))</f>
        <v/>
      </c>
      <c r="K162" s="183" t="str">
        <f>IF(AND(ISNUMBER(J162),ISNUMBER(L162),N(J162)&lt;&gt;0),ROUND(L162/J162,8),"")</f>
        <v/>
      </c>
      <c r="L162" s="183" t="str">
        <f>IF(I162="Buy",-H162,IF(I162="Sell",H162,""))</f>
        <v/>
      </c>
    </row>
    <row r="163" ht="22" customHeight="1">
      <c r="B163" s="239" t="n"/>
      <c r="C163" s="240" t="str">
        <f>IF($B163="","",IF(COUNTIFS(Пул!$E$5:$E$300,$B163,Пул!$F$5:$F$300,"&lt;&gt;")=0,"",ROUND(SUMIFS(Пул!$F$5:$F$300,Пул!$E$5:$E$300,$B163),8)))</f>
        <v/>
      </c>
      <c r="D163" s="241" t="str">
        <f>IF($B163="","",IF(COUNTIFS(Пул!$E$5:$E$300,$B163,Пул!$G$5:$G$300,"&lt;&gt;")=0,"",ROUND(SUMIFS(Пул!$G$5:$G$300,Пул!$E$5:$E$300,$B163),8)))</f>
        <v/>
      </c>
      <c r="E163" s="240" t="str">
        <f>IF($B163="","",IF(COUNTIFS(Пул!$E$5:$E$300,$B163,Пул!$L$5:$L$300,"Закрыт")=0,"",ROUND(SUMIFS(Пул!$H$5:$H$300,Пул!$E$5:$E$300,$B163,Пул!$L$5:$L$300,"Закрыт"),8)))</f>
        <v/>
      </c>
      <c r="F163" s="241" t="str">
        <f>IF($B163="","",IF(COUNTIFS(Пул!$E$5:$E$300,$B163,Пул!$L$5:$L$300,"Закрыт")=0,"",ROUND(SUMIFS(Пул!$I$5:$I$300,Пул!$E$5:$E$300,$B163,Пул!$L$5:$L$300,"Закрыт"),8)))</f>
        <v/>
      </c>
      <c r="G163" s="240" t="str">
        <f>IF($B163="","",IF(COUNTIFS(Пул!$E$5:$E$300,$B163,Пул!$L$5:$L$300,"Закрыт")=0,"",ROUND(SUMIFS(Пул!$J$5:$J$300,Пул!$E$5:$E$300,$B163,Пул!$L$5:$L$300,"Закрыт"),8)))</f>
        <v/>
      </c>
      <c r="H163" s="241" t="str">
        <f>IF($B163="","",IF(COUNTIFS(Пул!$E$5:$E$300,$B163,Пул!$L$5:$L$300,"Закрыт")=0,"",ROUND(SUMIFS(Пул!$K$5:$K$300,Пул!$E$5:$E$300,$B163,Пул!$L$5:$L$300,"Закрыт"),8)))</f>
        <v/>
      </c>
      <c r="I163" s="236" t="str">
        <f>IF(AND(ISNUMBER(G163),ISNUMBER(H163)),IF(AND(G163&gt;0,H163&lt;0),"Buy",IF(AND(G163&lt;0,H163&gt;0),"Sell","")),"")</f>
        <v/>
      </c>
      <c r="J163" s="177" t="str">
        <f>IF(I163="Buy",G163,IF(I163="Sell",-G163,""))</f>
        <v/>
      </c>
      <c r="K163" s="177" t="str">
        <f>IF(AND(ISNUMBER(J163),ISNUMBER(L163),N(J163)&lt;&gt;0),ROUND(L163/J163,8),"")</f>
        <v/>
      </c>
      <c r="L163" s="177" t="str">
        <f>IF(I163="Buy",-H163,IF(I163="Sell",H163,""))</f>
        <v/>
      </c>
    </row>
    <row r="164" ht="22" customHeight="1">
      <c r="B164" s="245" t="n"/>
      <c r="C164" s="246" t="str">
        <f>IF($B164="","",IF(COUNTIFS(Пул!$E$5:$E$300,$B164,Пул!$F$5:$F$300,"&lt;&gt;")=0,"",ROUND(SUMIFS(Пул!$F$5:$F$300,Пул!$E$5:$E$300,$B164),8)))</f>
        <v/>
      </c>
      <c r="D164" s="247" t="str">
        <f>IF($B164="","",IF(COUNTIFS(Пул!$E$5:$E$300,$B164,Пул!$G$5:$G$300,"&lt;&gt;")=0,"",ROUND(SUMIFS(Пул!$G$5:$G$300,Пул!$E$5:$E$300,$B164),8)))</f>
        <v/>
      </c>
      <c r="E164" s="246" t="str">
        <f>IF($B164="","",IF(COUNTIFS(Пул!$E$5:$E$300,$B164,Пул!$L$5:$L$300,"Закрыт")=0,"",ROUND(SUMIFS(Пул!$H$5:$H$300,Пул!$E$5:$E$300,$B164,Пул!$L$5:$L$300,"Закрыт"),8)))</f>
        <v/>
      </c>
      <c r="F164" s="247" t="str">
        <f>IF($B164="","",IF(COUNTIFS(Пул!$E$5:$E$300,$B164,Пул!$L$5:$L$300,"Закрыт")=0,"",ROUND(SUMIFS(Пул!$I$5:$I$300,Пул!$E$5:$E$300,$B164,Пул!$L$5:$L$300,"Закрыт"),8)))</f>
        <v/>
      </c>
      <c r="G164" s="246" t="str">
        <f>IF($B164="","",IF(COUNTIFS(Пул!$E$5:$E$300,$B164,Пул!$L$5:$L$300,"Закрыт")=0,"",ROUND(SUMIFS(Пул!$J$5:$J$300,Пул!$E$5:$E$300,$B164,Пул!$L$5:$L$300,"Закрыт"),8)))</f>
        <v/>
      </c>
      <c r="H164" s="247" t="str">
        <f>IF($B164="","",IF(COUNTIFS(Пул!$E$5:$E$300,$B164,Пул!$L$5:$L$300,"Закрыт")=0,"",ROUND(SUMIFS(Пул!$K$5:$K$300,Пул!$E$5:$E$300,$B164,Пул!$L$5:$L$300,"Закрыт"),8)))</f>
        <v/>
      </c>
      <c r="I164" s="242" t="str">
        <f>IF(AND(ISNUMBER(G164),ISNUMBER(H164)),IF(AND(G164&gt;0,H164&lt;0),"Buy",IF(AND(G164&lt;0,H164&gt;0),"Sell","")),"")</f>
        <v/>
      </c>
      <c r="J164" s="183" t="str">
        <f>IF(I164="Buy",G164,IF(I164="Sell",-G164,""))</f>
        <v/>
      </c>
      <c r="K164" s="183" t="str">
        <f>IF(AND(ISNUMBER(J164),ISNUMBER(L164),N(J164)&lt;&gt;0),ROUND(L164/J164,8),"")</f>
        <v/>
      </c>
      <c r="L164" s="183" t="str">
        <f>IF(I164="Buy",-H164,IF(I164="Sell",H164,""))</f>
        <v/>
      </c>
    </row>
    <row r="165" ht="22" customHeight="1">
      <c r="B165" s="239" t="n"/>
      <c r="C165" s="240" t="str">
        <f>IF($B165="","",IF(COUNTIFS(Пул!$E$5:$E$300,$B165,Пул!$F$5:$F$300,"&lt;&gt;")=0,"",ROUND(SUMIFS(Пул!$F$5:$F$300,Пул!$E$5:$E$300,$B165),8)))</f>
        <v/>
      </c>
      <c r="D165" s="241" t="str">
        <f>IF($B165="","",IF(COUNTIFS(Пул!$E$5:$E$300,$B165,Пул!$G$5:$G$300,"&lt;&gt;")=0,"",ROUND(SUMIFS(Пул!$G$5:$G$300,Пул!$E$5:$E$300,$B165),8)))</f>
        <v/>
      </c>
      <c r="E165" s="240" t="str">
        <f>IF($B165="","",IF(COUNTIFS(Пул!$E$5:$E$300,$B165,Пул!$L$5:$L$300,"Закрыт")=0,"",ROUND(SUMIFS(Пул!$H$5:$H$300,Пул!$E$5:$E$300,$B165,Пул!$L$5:$L$300,"Закрыт"),8)))</f>
        <v/>
      </c>
      <c r="F165" s="241" t="str">
        <f>IF($B165="","",IF(COUNTIFS(Пул!$E$5:$E$300,$B165,Пул!$L$5:$L$300,"Закрыт")=0,"",ROUND(SUMIFS(Пул!$I$5:$I$300,Пул!$E$5:$E$300,$B165,Пул!$L$5:$L$300,"Закрыт"),8)))</f>
        <v/>
      </c>
      <c r="G165" s="240" t="str">
        <f>IF($B165="","",IF(COUNTIFS(Пул!$E$5:$E$300,$B165,Пул!$L$5:$L$300,"Закрыт")=0,"",ROUND(SUMIFS(Пул!$J$5:$J$300,Пул!$E$5:$E$300,$B165,Пул!$L$5:$L$300,"Закрыт"),8)))</f>
        <v/>
      </c>
      <c r="H165" s="241" t="str">
        <f>IF($B165="","",IF(COUNTIFS(Пул!$E$5:$E$300,$B165,Пул!$L$5:$L$300,"Закрыт")=0,"",ROUND(SUMIFS(Пул!$K$5:$K$300,Пул!$E$5:$E$300,$B165,Пул!$L$5:$L$300,"Закрыт"),8)))</f>
        <v/>
      </c>
      <c r="I165" s="236" t="str">
        <f>IF(AND(ISNUMBER(G165),ISNUMBER(H165)),IF(AND(G165&gt;0,H165&lt;0),"Buy",IF(AND(G165&lt;0,H165&gt;0),"Sell","")),"")</f>
        <v/>
      </c>
      <c r="J165" s="177" t="str">
        <f>IF(I165="Buy",G165,IF(I165="Sell",-G165,""))</f>
        <v/>
      </c>
      <c r="K165" s="177" t="str">
        <f>IF(AND(ISNUMBER(J165),ISNUMBER(L165),N(J165)&lt;&gt;0),ROUND(L165/J165,8),"")</f>
        <v/>
      </c>
      <c r="L165" s="177" t="str">
        <f>IF(I165="Buy",-H165,IF(I165="Sell",H165,""))</f>
        <v/>
      </c>
    </row>
    <row r="166" ht="22" customHeight="1">
      <c r="B166" s="245" t="n"/>
      <c r="C166" s="246" t="str">
        <f>IF($B166="","",IF(COUNTIFS(Пул!$E$5:$E$300,$B166,Пул!$F$5:$F$300,"&lt;&gt;")=0,"",ROUND(SUMIFS(Пул!$F$5:$F$300,Пул!$E$5:$E$300,$B166),8)))</f>
        <v/>
      </c>
      <c r="D166" s="247" t="str">
        <f>IF($B166="","",IF(COUNTIFS(Пул!$E$5:$E$300,$B166,Пул!$G$5:$G$300,"&lt;&gt;")=0,"",ROUND(SUMIFS(Пул!$G$5:$G$300,Пул!$E$5:$E$300,$B166),8)))</f>
        <v/>
      </c>
      <c r="E166" s="246" t="str">
        <f>IF($B166="","",IF(COUNTIFS(Пул!$E$5:$E$300,$B166,Пул!$L$5:$L$300,"Закрыт")=0,"",ROUND(SUMIFS(Пул!$H$5:$H$300,Пул!$E$5:$E$300,$B166,Пул!$L$5:$L$300,"Закрыт"),8)))</f>
        <v/>
      </c>
      <c r="F166" s="247" t="str">
        <f>IF($B166="","",IF(COUNTIFS(Пул!$E$5:$E$300,$B166,Пул!$L$5:$L$300,"Закрыт")=0,"",ROUND(SUMIFS(Пул!$I$5:$I$300,Пул!$E$5:$E$300,$B166,Пул!$L$5:$L$300,"Закрыт"),8)))</f>
        <v/>
      </c>
      <c r="G166" s="246" t="str">
        <f>IF($B166="","",IF(COUNTIFS(Пул!$E$5:$E$300,$B166,Пул!$L$5:$L$300,"Закрыт")=0,"",ROUND(SUMIFS(Пул!$J$5:$J$300,Пул!$E$5:$E$300,$B166,Пул!$L$5:$L$300,"Закрыт"),8)))</f>
        <v/>
      </c>
      <c r="H166" s="247" t="str">
        <f>IF($B166="","",IF(COUNTIFS(Пул!$E$5:$E$300,$B166,Пул!$L$5:$L$300,"Закрыт")=0,"",ROUND(SUMIFS(Пул!$K$5:$K$300,Пул!$E$5:$E$300,$B166,Пул!$L$5:$L$300,"Закрыт"),8)))</f>
        <v/>
      </c>
      <c r="I166" s="242" t="str">
        <f>IF(AND(ISNUMBER(G166),ISNUMBER(H166)),IF(AND(G166&gt;0,H166&lt;0),"Buy",IF(AND(G166&lt;0,H166&gt;0),"Sell","")),"")</f>
        <v/>
      </c>
      <c r="J166" s="183" t="str">
        <f>IF(I166="Buy",G166,IF(I166="Sell",-G166,""))</f>
        <v/>
      </c>
      <c r="K166" s="183" t="str">
        <f>IF(AND(ISNUMBER(J166),ISNUMBER(L166),N(J166)&lt;&gt;0),ROUND(L166/J166,8),"")</f>
        <v/>
      </c>
      <c r="L166" s="183" t="str">
        <f>IF(I166="Buy",-H166,IF(I166="Sell",H166,""))</f>
        <v/>
      </c>
    </row>
    <row r="167" ht="22" customHeight="1">
      <c r="B167" s="239" t="n"/>
      <c r="C167" s="240" t="str">
        <f>IF($B167="","",IF(COUNTIFS(Пул!$E$5:$E$300,$B167,Пул!$F$5:$F$300,"&lt;&gt;")=0,"",ROUND(SUMIFS(Пул!$F$5:$F$300,Пул!$E$5:$E$300,$B167),8)))</f>
        <v/>
      </c>
      <c r="D167" s="241" t="str">
        <f>IF($B167="","",IF(COUNTIFS(Пул!$E$5:$E$300,$B167,Пул!$G$5:$G$300,"&lt;&gt;")=0,"",ROUND(SUMIFS(Пул!$G$5:$G$300,Пул!$E$5:$E$300,$B167),8)))</f>
        <v/>
      </c>
      <c r="E167" s="240" t="str">
        <f>IF($B167="","",IF(COUNTIFS(Пул!$E$5:$E$300,$B167,Пул!$L$5:$L$300,"Закрыт")=0,"",ROUND(SUMIFS(Пул!$H$5:$H$300,Пул!$E$5:$E$300,$B167,Пул!$L$5:$L$300,"Закрыт"),8)))</f>
        <v/>
      </c>
      <c r="F167" s="241" t="str">
        <f>IF($B167="","",IF(COUNTIFS(Пул!$E$5:$E$300,$B167,Пул!$L$5:$L$300,"Закрыт")=0,"",ROUND(SUMIFS(Пул!$I$5:$I$300,Пул!$E$5:$E$300,$B167,Пул!$L$5:$L$300,"Закрыт"),8)))</f>
        <v/>
      </c>
      <c r="G167" s="240" t="str">
        <f>IF($B167="","",IF(COUNTIFS(Пул!$E$5:$E$300,$B167,Пул!$L$5:$L$300,"Закрыт")=0,"",ROUND(SUMIFS(Пул!$J$5:$J$300,Пул!$E$5:$E$300,$B167,Пул!$L$5:$L$300,"Закрыт"),8)))</f>
        <v/>
      </c>
      <c r="H167" s="241" t="str">
        <f>IF($B167="","",IF(COUNTIFS(Пул!$E$5:$E$300,$B167,Пул!$L$5:$L$300,"Закрыт")=0,"",ROUND(SUMIFS(Пул!$K$5:$K$300,Пул!$E$5:$E$300,$B167,Пул!$L$5:$L$300,"Закрыт"),8)))</f>
        <v/>
      </c>
      <c r="I167" s="236" t="str">
        <f>IF(AND(ISNUMBER(G167),ISNUMBER(H167)),IF(AND(G167&gt;0,H167&lt;0),"Buy",IF(AND(G167&lt;0,H167&gt;0),"Sell","")),"")</f>
        <v/>
      </c>
      <c r="J167" s="177" t="str">
        <f>IF(I167="Buy",G167,IF(I167="Sell",-G167,""))</f>
        <v/>
      </c>
      <c r="K167" s="177" t="str">
        <f>IF(AND(ISNUMBER(J167),ISNUMBER(L167),N(J167)&lt;&gt;0),ROUND(L167/J167,8),"")</f>
        <v/>
      </c>
      <c r="L167" s="177" t="str">
        <f>IF(I167="Buy",-H167,IF(I167="Sell",H167,""))</f>
        <v/>
      </c>
    </row>
    <row r="168" ht="22" customHeight="1">
      <c r="B168" s="245" t="n"/>
      <c r="C168" s="246" t="str">
        <f>IF($B168="","",IF(COUNTIFS(Пул!$E$5:$E$300,$B168,Пул!$F$5:$F$300,"&lt;&gt;")=0,"",ROUND(SUMIFS(Пул!$F$5:$F$300,Пул!$E$5:$E$300,$B168),8)))</f>
        <v/>
      </c>
      <c r="D168" s="247" t="str">
        <f>IF($B168="","",IF(COUNTIFS(Пул!$E$5:$E$300,$B168,Пул!$G$5:$G$300,"&lt;&gt;")=0,"",ROUND(SUMIFS(Пул!$G$5:$G$300,Пул!$E$5:$E$300,$B168),8)))</f>
        <v/>
      </c>
      <c r="E168" s="246" t="str">
        <f>IF($B168="","",IF(COUNTIFS(Пул!$E$5:$E$300,$B168,Пул!$L$5:$L$300,"Закрыт")=0,"",ROUND(SUMIFS(Пул!$H$5:$H$300,Пул!$E$5:$E$300,$B168,Пул!$L$5:$L$300,"Закрыт"),8)))</f>
        <v/>
      </c>
      <c r="F168" s="247" t="str">
        <f>IF($B168="","",IF(COUNTIFS(Пул!$E$5:$E$300,$B168,Пул!$L$5:$L$300,"Закрыт")=0,"",ROUND(SUMIFS(Пул!$I$5:$I$300,Пул!$E$5:$E$300,$B168,Пул!$L$5:$L$300,"Закрыт"),8)))</f>
        <v/>
      </c>
      <c r="G168" s="246" t="str">
        <f>IF($B168="","",IF(COUNTIFS(Пул!$E$5:$E$300,$B168,Пул!$L$5:$L$300,"Закрыт")=0,"",ROUND(SUMIFS(Пул!$J$5:$J$300,Пул!$E$5:$E$300,$B168,Пул!$L$5:$L$300,"Закрыт"),8)))</f>
        <v/>
      </c>
      <c r="H168" s="247" t="str">
        <f>IF($B168="","",IF(COUNTIFS(Пул!$E$5:$E$300,$B168,Пул!$L$5:$L$300,"Закрыт")=0,"",ROUND(SUMIFS(Пул!$K$5:$K$300,Пул!$E$5:$E$300,$B168,Пул!$L$5:$L$300,"Закрыт"),8)))</f>
        <v/>
      </c>
      <c r="I168" s="242" t="str">
        <f>IF(AND(ISNUMBER(G168),ISNUMBER(H168)),IF(AND(G168&gt;0,H168&lt;0),"Buy",IF(AND(G168&lt;0,H168&gt;0),"Sell","")),"")</f>
        <v/>
      </c>
      <c r="J168" s="183" t="str">
        <f>IF(I168="Buy",G168,IF(I168="Sell",-G168,""))</f>
        <v/>
      </c>
      <c r="K168" s="183" t="str">
        <f>IF(AND(ISNUMBER(J168),ISNUMBER(L168),N(J168)&lt;&gt;0),ROUND(L168/J168,8),"")</f>
        <v/>
      </c>
      <c r="L168" s="183" t="str">
        <f>IF(I168="Buy",-H168,IF(I168="Sell",H168,""))</f>
        <v/>
      </c>
    </row>
    <row r="169" ht="22" customHeight="1">
      <c r="B169" s="239" t="n"/>
      <c r="C169" s="240" t="str">
        <f>IF($B169="","",IF(COUNTIFS(Пул!$E$5:$E$300,$B169,Пул!$F$5:$F$300,"&lt;&gt;")=0,"",ROUND(SUMIFS(Пул!$F$5:$F$300,Пул!$E$5:$E$300,$B169),8)))</f>
        <v/>
      </c>
      <c r="D169" s="241" t="str">
        <f>IF($B169="","",IF(COUNTIFS(Пул!$E$5:$E$300,$B169,Пул!$G$5:$G$300,"&lt;&gt;")=0,"",ROUND(SUMIFS(Пул!$G$5:$G$300,Пул!$E$5:$E$300,$B169),8)))</f>
        <v/>
      </c>
      <c r="E169" s="240" t="str">
        <f>IF($B169="","",IF(COUNTIFS(Пул!$E$5:$E$300,$B169,Пул!$L$5:$L$300,"Закрыт")=0,"",ROUND(SUMIFS(Пул!$H$5:$H$300,Пул!$E$5:$E$300,$B169,Пул!$L$5:$L$300,"Закрыт"),8)))</f>
        <v/>
      </c>
      <c r="F169" s="241" t="str">
        <f>IF($B169="","",IF(COUNTIFS(Пул!$E$5:$E$300,$B169,Пул!$L$5:$L$300,"Закрыт")=0,"",ROUND(SUMIFS(Пул!$I$5:$I$300,Пул!$E$5:$E$300,$B169,Пул!$L$5:$L$300,"Закрыт"),8)))</f>
        <v/>
      </c>
      <c r="G169" s="240" t="str">
        <f>IF($B169="","",IF(COUNTIFS(Пул!$E$5:$E$300,$B169,Пул!$L$5:$L$300,"Закрыт")=0,"",ROUND(SUMIFS(Пул!$J$5:$J$300,Пул!$E$5:$E$300,$B169,Пул!$L$5:$L$300,"Закрыт"),8)))</f>
        <v/>
      </c>
      <c r="H169" s="241" t="str">
        <f>IF($B169="","",IF(COUNTIFS(Пул!$E$5:$E$300,$B169,Пул!$L$5:$L$300,"Закрыт")=0,"",ROUND(SUMIFS(Пул!$K$5:$K$300,Пул!$E$5:$E$300,$B169,Пул!$L$5:$L$300,"Закрыт"),8)))</f>
        <v/>
      </c>
      <c r="I169" s="236" t="str">
        <f>IF(AND(ISNUMBER(G169),ISNUMBER(H169)),IF(AND(G169&gt;0,H169&lt;0),"Buy",IF(AND(G169&lt;0,H169&gt;0),"Sell","")),"")</f>
        <v/>
      </c>
      <c r="J169" s="177" t="str">
        <f>IF(I169="Buy",G169,IF(I169="Sell",-G169,""))</f>
        <v/>
      </c>
      <c r="K169" s="177" t="str">
        <f>IF(AND(ISNUMBER(J169),ISNUMBER(L169),N(J169)&lt;&gt;0),ROUND(L169/J169,8),"")</f>
        <v/>
      </c>
      <c r="L169" s="177" t="str">
        <f>IF(I169="Buy",-H169,IF(I169="Sell",H169,""))</f>
        <v/>
      </c>
    </row>
    <row r="170" ht="22" customHeight="1">
      <c r="B170" s="245" t="n"/>
      <c r="C170" s="246" t="str">
        <f>IF($B170="","",IF(COUNTIFS(Пул!$E$5:$E$300,$B170,Пул!$F$5:$F$300,"&lt;&gt;")=0,"",ROUND(SUMIFS(Пул!$F$5:$F$300,Пул!$E$5:$E$300,$B170),8)))</f>
        <v/>
      </c>
      <c r="D170" s="247" t="str">
        <f>IF($B170="","",IF(COUNTIFS(Пул!$E$5:$E$300,$B170,Пул!$G$5:$G$300,"&lt;&gt;")=0,"",ROUND(SUMIFS(Пул!$G$5:$G$300,Пул!$E$5:$E$300,$B170),8)))</f>
        <v/>
      </c>
      <c r="E170" s="246" t="str">
        <f>IF($B170="","",IF(COUNTIFS(Пул!$E$5:$E$300,$B170,Пул!$L$5:$L$300,"Закрыт")=0,"",ROUND(SUMIFS(Пул!$H$5:$H$300,Пул!$E$5:$E$300,$B170,Пул!$L$5:$L$300,"Закрыт"),8)))</f>
        <v/>
      </c>
      <c r="F170" s="247" t="str">
        <f>IF($B170="","",IF(COUNTIFS(Пул!$E$5:$E$300,$B170,Пул!$L$5:$L$300,"Закрыт")=0,"",ROUND(SUMIFS(Пул!$I$5:$I$300,Пул!$E$5:$E$300,$B170,Пул!$L$5:$L$300,"Закрыт"),8)))</f>
        <v/>
      </c>
      <c r="G170" s="246" t="str">
        <f>IF($B170="","",IF(COUNTIFS(Пул!$E$5:$E$300,$B170,Пул!$L$5:$L$300,"Закрыт")=0,"",ROUND(SUMIFS(Пул!$J$5:$J$300,Пул!$E$5:$E$300,$B170,Пул!$L$5:$L$300,"Закрыт"),8)))</f>
        <v/>
      </c>
      <c r="H170" s="247" t="str">
        <f>IF($B170="","",IF(COUNTIFS(Пул!$E$5:$E$300,$B170,Пул!$L$5:$L$300,"Закрыт")=0,"",ROUND(SUMIFS(Пул!$K$5:$K$300,Пул!$E$5:$E$300,$B170,Пул!$L$5:$L$300,"Закрыт"),8)))</f>
        <v/>
      </c>
      <c r="I170" s="242" t="str">
        <f>IF(AND(ISNUMBER(G170),ISNUMBER(H170)),IF(AND(G170&gt;0,H170&lt;0),"Buy",IF(AND(G170&lt;0,H170&gt;0),"Sell","")),"")</f>
        <v/>
      </c>
      <c r="J170" s="183" t="str">
        <f>IF(I170="Buy",G170,IF(I170="Sell",-G170,""))</f>
        <v/>
      </c>
      <c r="K170" s="183" t="str">
        <f>IF(AND(ISNUMBER(J170),ISNUMBER(L170),N(J170)&lt;&gt;0),ROUND(L170/J170,8),"")</f>
        <v/>
      </c>
      <c r="L170" s="183" t="str">
        <f>IF(I170="Buy",-H170,IF(I170="Sell",H170,""))</f>
        <v/>
      </c>
    </row>
    <row r="171" ht="22" customHeight="1">
      <c r="B171" s="239" t="n"/>
      <c r="C171" s="240" t="str">
        <f>IF($B171="","",IF(COUNTIFS(Пул!$E$5:$E$300,$B171,Пул!$F$5:$F$300,"&lt;&gt;")=0,"",ROUND(SUMIFS(Пул!$F$5:$F$300,Пул!$E$5:$E$300,$B171),8)))</f>
        <v/>
      </c>
      <c r="D171" s="241" t="str">
        <f>IF($B171="","",IF(COUNTIFS(Пул!$E$5:$E$300,$B171,Пул!$G$5:$G$300,"&lt;&gt;")=0,"",ROUND(SUMIFS(Пул!$G$5:$G$300,Пул!$E$5:$E$300,$B171),8)))</f>
        <v/>
      </c>
      <c r="E171" s="240" t="str">
        <f>IF($B171="","",IF(COUNTIFS(Пул!$E$5:$E$300,$B171,Пул!$L$5:$L$300,"Закрыт")=0,"",ROUND(SUMIFS(Пул!$H$5:$H$300,Пул!$E$5:$E$300,$B171,Пул!$L$5:$L$300,"Закрыт"),8)))</f>
        <v/>
      </c>
      <c r="F171" s="241" t="str">
        <f>IF($B171="","",IF(COUNTIFS(Пул!$E$5:$E$300,$B171,Пул!$L$5:$L$300,"Закрыт")=0,"",ROUND(SUMIFS(Пул!$I$5:$I$300,Пул!$E$5:$E$300,$B171,Пул!$L$5:$L$300,"Закрыт"),8)))</f>
        <v/>
      </c>
      <c r="G171" s="240" t="str">
        <f>IF($B171="","",IF(COUNTIFS(Пул!$E$5:$E$300,$B171,Пул!$L$5:$L$300,"Закрыт")=0,"",ROUND(SUMIFS(Пул!$J$5:$J$300,Пул!$E$5:$E$300,$B171,Пул!$L$5:$L$300,"Закрыт"),8)))</f>
        <v/>
      </c>
      <c r="H171" s="241" t="str">
        <f>IF($B171="","",IF(COUNTIFS(Пул!$E$5:$E$300,$B171,Пул!$L$5:$L$300,"Закрыт")=0,"",ROUND(SUMIFS(Пул!$K$5:$K$300,Пул!$E$5:$E$300,$B171,Пул!$L$5:$L$300,"Закрыт"),8)))</f>
        <v/>
      </c>
      <c r="I171" s="236" t="str">
        <f>IF(AND(ISNUMBER(G171),ISNUMBER(H171)),IF(AND(G171&gt;0,H171&lt;0),"Buy",IF(AND(G171&lt;0,H171&gt;0),"Sell","")),"")</f>
        <v/>
      </c>
      <c r="J171" s="177" t="str">
        <f>IF(I171="Buy",G171,IF(I171="Sell",-G171,""))</f>
        <v/>
      </c>
      <c r="K171" s="177" t="str">
        <f>IF(AND(ISNUMBER(J171),ISNUMBER(L171),N(J171)&lt;&gt;0),ROUND(L171/J171,8),"")</f>
        <v/>
      </c>
      <c r="L171" s="177" t="str">
        <f>IF(I171="Buy",-H171,IF(I171="Sell",H171,""))</f>
        <v/>
      </c>
    </row>
    <row r="172" ht="22" customHeight="1">
      <c r="B172" s="245" t="n"/>
      <c r="C172" s="246" t="str">
        <f>IF($B172="","",IF(COUNTIFS(Пул!$E$5:$E$300,$B172,Пул!$F$5:$F$300,"&lt;&gt;")=0,"",ROUND(SUMIFS(Пул!$F$5:$F$300,Пул!$E$5:$E$300,$B172),8)))</f>
        <v/>
      </c>
      <c r="D172" s="247" t="str">
        <f>IF($B172="","",IF(COUNTIFS(Пул!$E$5:$E$300,$B172,Пул!$G$5:$G$300,"&lt;&gt;")=0,"",ROUND(SUMIFS(Пул!$G$5:$G$300,Пул!$E$5:$E$300,$B172),8)))</f>
        <v/>
      </c>
      <c r="E172" s="246" t="str">
        <f>IF($B172="","",IF(COUNTIFS(Пул!$E$5:$E$300,$B172,Пул!$L$5:$L$300,"Закрыт")=0,"",ROUND(SUMIFS(Пул!$H$5:$H$300,Пул!$E$5:$E$300,$B172,Пул!$L$5:$L$300,"Закрыт"),8)))</f>
        <v/>
      </c>
      <c r="F172" s="247" t="str">
        <f>IF($B172="","",IF(COUNTIFS(Пул!$E$5:$E$300,$B172,Пул!$L$5:$L$300,"Закрыт")=0,"",ROUND(SUMIFS(Пул!$I$5:$I$300,Пул!$E$5:$E$300,$B172,Пул!$L$5:$L$300,"Закрыт"),8)))</f>
        <v/>
      </c>
      <c r="G172" s="246" t="str">
        <f>IF($B172="","",IF(COUNTIFS(Пул!$E$5:$E$300,$B172,Пул!$L$5:$L$300,"Закрыт")=0,"",ROUND(SUMIFS(Пул!$J$5:$J$300,Пул!$E$5:$E$300,$B172,Пул!$L$5:$L$300,"Закрыт"),8)))</f>
        <v/>
      </c>
      <c r="H172" s="247" t="str">
        <f>IF($B172="","",IF(COUNTIFS(Пул!$E$5:$E$300,$B172,Пул!$L$5:$L$300,"Закрыт")=0,"",ROUND(SUMIFS(Пул!$K$5:$K$300,Пул!$E$5:$E$300,$B172,Пул!$L$5:$L$300,"Закрыт"),8)))</f>
        <v/>
      </c>
      <c r="I172" s="242" t="str">
        <f>IF(AND(ISNUMBER(G172),ISNUMBER(H172)),IF(AND(G172&gt;0,H172&lt;0),"Buy",IF(AND(G172&lt;0,H172&gt;0),"Sell","")),"")</f>
        <v/>
      </c>
      <c r="J172" s="183" t="str">
        <f>IF(I172="Buy",G172,IF(I172="Sell",-G172,""))</f>
        <v/>
      </c>
      <c r="K172" s="183" t="str">
        <f>IF(AND(ISNUMBER(J172),ISNUMBER(L172),N(J172)&lt;&gt;0),ROUND(L172/J172,8),"")</f>
        <v/>
      </c>
      <c r="L172" s="183" t="str">
        <f>IF(I172="Buy",-H172,IF(I172="Sell",H172,""))</f>
        <v/>
      </c>
    </row>
    <row r="173" ht="22" customHeight="1">
      <c r="B173" s="239" t="n"/>
      <c r="C173" s="240" t="str">
        <f>IF($B173="","",IF(COUNTIFS(Пул!$E$5:$E$300,$B173,Пул!$F$5:$F$300,"&lt;&gt;")=0,"",ROUND(SUMIFS(Пул!$F$5:$F$300,Пул!$E$5:$E$300,$B173),8)))</f>
        <v/>
      </c>
      <c r="D173" s="241" t="str">
        <f>IF($B173="","",IF(COUNTIFS(Пул!$E$5:$E$300,$B173,Пул!$G$5:$G$300,"&lt;&gt;")=0,"",ROUND(SUMIFS(Пул!$G$5:$G$300,Пул!$E$5:$E$300,$B173),8)))</f>
        <v/>
      </c>
      <c r="E173" s="240" t="str">
        <f>IF($B173="","",IF(COUNTIFS(Пул!$E$5:$E$300,$B173,Пул!$L$5:$L$300,"Закрыт")=0,"",ROUND(SUMIFS(Пул!$H$5:$H$300,Пул!$E$5:$E$300,$B173,Пул!$L$5:$L$300,"Закрыт"),8)))</f>
        <v/>
      </c>
      <c r="F173" s="241" t="str">
        <f>IF($B173="","",IF(COUNTIFS(Пул!$E$5:$E$300,$B173,Пул!$L$5:$L$300,"Закрыт")=0,"",ROUND(SUMIFS(Пул!$I$5:$I$300,Пул!$E$5:$E$300,$B173,Пул!$L$5:$L$300,"Закрыт"),8)))</f>
        <v/>
      </c>
      <c r="G173" s="240" t="str">
        <f>IF($B173="","",IF(COUNTIFS(Пул!$E$5:$E$300,$B173,Пул!$L$5:$L$300,"Закрыт")=0,"",ROUND(SUMIFS(Пул!$J$5:$J$300,Пул!$E$5:$E$300,$B173,Пул!$L$5:$L$300,"Закрыт"),8)))</f>
        <v/>
      </c>
      <c r="H173" s="241" t="str">
        <f>IF($B173="","",IF(COUNTIFS(Пул!$E$5:$E$300,$B173,Пул!$L$5:$L$300,"Закрыт")=0,"",ROUND(SUMIFS(Пул!$K$5:$K$300,Пул!$E$5:$E$300,$B173,Пул!$L$5:$L$300,"Закрыт"),8)))</f>
        <v/>
      </c>
      <c r="I173" s="236" t="str">
        <f>IF(AND(ISNUMBER(G173),ISNUMBER(H173)),IF(AND(G173&gt;0,H173&lt;0),"Buy",IF(AND(G173&lt;0,H173&gt;0),"Sell","")),"")</f>
        <v/>
      </c>
      <c r="J173" s="177" t="str">
        <f>IF(I173="Buy",G173,IF(I173="Sell",-G173,""))</f>
        <v/>
      </c>
      <c r="K173" s="177" t="str">
        <f>IF(AND(ISNUMBER(J173),ISNUMBER(L173),N(J173)&lt;&gt;0),ROUND(L173/J173,8),"")</f>
        <v/>
      </c>
      <c r="L173" s="177" t="str">
        <f>IF(I173="Buy",-H173,IF(I173="Sell",H173,""))</f>
        <v/>
      </c>
    </row>
    <row r="174" ht="22" customHeight="1">
      <c r="B174" s="245" t="n"/>
      <c r="C174" s="246" t="str">
        <f>IF($B174="","",IF(COUNTIFS(Пул!$E$5:$E$300,$B174,Пул!$F$5:$F$300,"&lt;&gt;")=0,"",ROUND(SUMIFS(Пул!$F$5:$F$300,Пул!$E$5:$E$300,$B174),8)))</f>
        <v/>
      </c>
      <c r="D174" s="247" t="str">
        <f>IF($B174="","",IF(COUNTIFS(Пул!$E$5:$E$300,$B174,Пул!$G$5:$G$300,"&lt;&gt;")=0,"",ROUND(SUMIFS(Пул!$G$5:$G$300,Пул!$E$5:$E$300,$B174),8)))</f>
        <v/>
      </c>
      <c r="E174" s="246" t="str">
        <f>IF($B174="","",IF(COUNTIFS(Пул!$E$5:$E$300,$B174,Пул!$L$5:$L$300,"Закрыт")=0,"",ROUND(SUMIFS(Пул!$H$5:$H$300,Пул!$E$5:$E$300,$B174,Пул!$L$5:$L$300,"Закрыт"),8)))</f>
        <v/>
      </c>
      <c r="F174" s="247" t="str">
        <f>IF($B174="","",IF(COUNTIFS(Пул!$E$5:$E$300,$B174,Пул!$L$5:$L$300,"Закрыт")=0,"",ROUND(SUMIFS(Пул!$I$5:$I$300,Пул!$E$5:$E$300,$B174,Пул!$L$5:$L$300,"Закрыт"),8)))</f>
        <v/>
      </c>
      <c r="G174" s="246" t="str">
        <f>IF($B174="","",IF(COUNTIFS(Пул!$E$5:$E$300,$B174,Пул!$L$5:$L$300,"Закрыт")=0,"",ROUND(SUMIFS(Пул!$J$5:$J$300,Пул!$E$5:$E$300,$B174,Пул!$L$5:$L$300,"Закрыт"),8)))</f>
        <v/>
      </c>
      <c r="H174" s="247" t="str">
        <f>IF($B174="","",IF(COUNTIFS(Пул!$E$5:$E$300,$B174,Пул!$L$5:$L$300,"Закрыт")=0,"",ROUND(SUMIFS(Пул!$K$5:$K$300,Пул!$E$5:$E$300,$B174,Пул!$L$5:$L$300,"Закрыт"),8)))</f>
        <v/>
      </c>
      <c r="I174" s="242" t="str">
        <f>IF(AND(ISNUMBER(G174),ISNUMBER(H174)),IF(AND(G174&gt;0,H174&lt;0),"Buy",IF(AND(G174&lt;0,H174&gt;0),"Sell","")),"")</f>
        <v/>
      </c>
      <c r="J174" s="183" t="str">
        <f>IF(I174="Buy",G174,IF(I174="Sell",-G174,""))</f>
        <v/>
      </c>
      <c r="K174" s="183" t="str">
        <f>IF(AND(ISNUMBER(J174),ISNUMBER(L174),N(J174)&lt;&gt;0),ROUND(L174/J174,8),"")</f>
        <v/>
      </c>
      <c r="L174" s="183" t="str">
        <f>IF(I174="Buy",-H174,IF(I174="Sell",H174,""))</f>
        <v/>
      </c>
    </row>
    <row r="175" ht="22" customHeight="1">
      <c r="B175" s="239" t="n"/>
      <c r="C175" s="240" t="str">
        <f>IF($B175="","",IF(COUNTIFS(Пул!$E$5:$E$300,$B175,Пул!$F$5:$F$300,"&lt;&gt;")=0,"",ROUND(SUMIFS(Пул!$F$5:$F$300,Пул!$E$5:$E$300,$B175),8)))</f>
        <v/>
      </c>
      <c r="D175" s="241" t="str">
        <f>IF($B175="","",IF(COUNTIFS(Пул!$E$5:$E$300,$B175,Пул!$G$5:$G$300,"&lt;&gt;")=0,"",ROUND(SUMIFS(Пул!$G$5:$G$300,Пул!$E$5:$E$300,$B175),8)))</f>
        <v/>
      </c>
      <c r="E175" s="240" t="str">
        <f>IF($B175="","",IF(COUNTIFS(Пул!$E$5:$E$300,$B175,Пул!$L$5:$L$300,"Закрыт")=0,"",ROUND(SUMIFS(Пул!$H$5:$H$300,Пул!$E$5:$E$300,$B175,Пул!$L$5:$L$300,"Закрыт"),8)))</f>
        <v/>
      </c>
      <c r="F175" s="241" t="str">
        <f>IF($B175="","",IF(COUNTIFS(Пул!$E$5:$E$300,$B175,Пул!$L$5:$L$300,"Закрыт")=0,"",ROUND(SUMIFS(Пул!$I$5:$I$300,Пул!$E$5:$E$300,$B175,Пул!$L$5:$L$300,"Закрыт"),8)))</f>
        <v/>
      </c>
      <c r="G175" s="240" t="str">
        <f>IF($B175="","",IF(COUNTIFS(Пул!$E$5:$E$300,$B175,Пул!$L$5:$L$300,"Закрыт")=0,"",ROUND(SUMIFS(Пул!$J$5:$J$300,Пул!$E$5:$E$300,$B175,Пул!$L$5:$L$300,"Закрыт"),8)))</f>
        <v/>
      </c>
      <c r="H175" s="241" t="str">
        <f>IF($B175="","",IF(COUNTIFS(Пул!$E$5:$E$300,$B175,Пул!$L$5:$L$300,"Закрыт")=0,"",ROUND(SUMIFS(Пул!$K$5:$K$300,Пул!$E$5:$E$300,$B175,Пул!$L$5:$L$300,"Закрыт"),8)))</f>
        <v/>
      </c>
      <c r="I175" s="236" t="str">
        <f>IF(AND(ISNUMBER(G175),ISNUMBER(H175)),IF(AND(G175&gt;0,H175&lt;0),"Buy",IF(AND(G175&lt;0,H175&gt;0),"Sell","")),"")</f>
        <v/>
      </c>
      <c r="J175" s="177" t="str">
        <f>IF(I175="Buy",G175,IF(I175="Sell",-G175,""))</f>
        <v/>
      </c>
      <c r="K175" s="177" t="str">
        <f>IF(AND(ISNUMBER(J175),ISNUMBER(L175),N(J175)&lt;&gt;0),ROUND(L175/J175,8),"")</f>
        <v/>
      </c>
      <c r="L175" s="177" t="str">
        <f>IF(I175="Buy",-H175,IF(I175="Sell",H175,""))</f>
        <v/>
      </c>
    </row>
    <row r="176" ht="22" customHeight="1">
      <c r="B176" s="245" t="n"/>
      <c r="C176" s="246" t="str">
        <f>IF($B176="","",IF(COUNTIFS(Пул!$E$5:$E$300,$B176,Пул!$F$5:$F$300,"&lt;&gt;")=0,"",ROUND(SUMIFS(Пул!$F$5:$F$300,Пул!$E$5:$E$300,$B176),8)))</f>
        <v/>
      </c>
      <c r="D176" s="247" t="str">
        <f>IF($B176="","",IF(COUNTIFS(Пул!$E$5:$E$300,$B176,Пул!$G$5:$G$300,"&lt;&gt;")=0,"",ROUND(SUMIFS(Пул!$G$5:$G$300,Пул!$E$5:$E$300,$B176),8)))</f>
        <v/>
      </c>
      <c r="E176" s="246" t="str">
        <f>IF($B176="","",IF(COUNTIFS(Пул!$E$5:$E$300,$B176,Пул!$L$5:$L$300,"Закрыт")=0,"",ROUND(SUMIFS(Пул!$H$5:$H$300,Пул!$E$5:$E$300,$B176,Пул!$L$5:$L$300,"Закрыт"),8)))</f>
        <v/>
      </c>
      <c r="F176" s="247" t="str">
        <f>IF($B176="","",IF(COUNTIFS(Пул!$E$5:$E$300,$B176,Пул!$L$5:$L$300,"Закрыт")=0,"",ROUND(SUMIFS(Пул!$I$5:$I$300,Пул!$E$5:$E$300,$B176,Пул!$L$5:$L$300,"Закрыт"),8)))</f>
        <v/>
      </c>
      <c r="G176" s="246" t="str">
        <f>IF($B176="","",IF(COUNTIFS(Пул!$E$5:$E$300,$B176,Пул!$L$5:$L$300,"Закрыт")=0,"",ROUND(SUMIFS(Пул!$J$5:$J$300,Пул!$E$5:$E$300,$B176,Пул!$L$5:$L$300,"Закрыт"),8)))</f>
        <v/>
      </c>
      <c r="H176" s="247" t="str">
        <f>IF($B176="","",IF(COUNTIFS(Пул!$E$5:$E$300,$B176,Пул!$L$5:$L$300,"Закрыт")=0,"",ROUND(SUMIFS(Пул!$K$5:$K$300,Пул!$E$5:$E$300,$B176,Пул!$L$5:$L$300,"Закрыт"),8)))</f>
        <v/>
      </c>
      <c r="I176" s="242" t="str">
        <f>IF(AND(ISNUMBER(G176),ISNUMBER(H176)),IF(AND(G176&gt;0,H176&lt;0),"Buy",IF(AND(G176&lt;0,H176&gt;0),"Sell","")),"")</f>
        <v/>
      </c>
      <c r="J176" s="183" t="str">
        <f>IF(I176="Buy",G176,IF(I176="Sell",-G176,""))</f>
        <v/>
      </c>
      <c r="K176" s="183" t="str">
        <f>IF(AND(ISNUMBER(J176),ISNUMBER(L176),N(J176)&lt;&gt;0),ROUND(L176/J176,8),"")</f>
        <v/>
      </c>
      <c r="L176" s="183" t="str">
        <f>IF(I176="Buy",-H176,IF(I176="Sell",H176,""))</f>
        <v/>
      </c>
    </row>
    <row r="177" ht="22" customHeight="1">
      <c r="B177" s="239" t="n"/>
      <c r="C177" s="240" t="str">
        <f>IF($B177="","",IF(COUNTIFS(Пул!$E$5:$E$300,$B177,Пул!$F$5:$F$300,"&lt;&gt;")=0,"",ROUND(SUMIFS(Пул!$F$5:$F$300,Пул!$E$5:$E$300,$B177),8)))</f>
        <v/>
      </c>
      <c r="D177" s="241" t="str">
        <f>IF($B177="","",IF(COUNTIFS(Пул!$E$5:$E$300,$B177,Пул!$G$5:$G$300,"&lt;&gt;")=0,"",ROUND(SUMIFS(Пул!$G$5:$G$300,Пул!$E$5:$E$300,$B177),8)))</f>
        <v/>
      </c>
      <c r="E177" s="240" t="str">
        <f>IF($B177="","",IF(COUNTIFS(Пул!$E$5:$E$300,$B177,Пул!$L$5:$L$300,"Закрыт")=0,"",ROUND(SUMIFS(Пул!$H$5:$H$300,Пул!$E$5:$E$300,$B177,Пул!$L$5:$L$300,"Закрыт"),8)))</f>
        <v/>
      </c>
      <c r="F177" s="241" t="str">
        <f>IF($B177="","",IF(COUNTIFS(Пул!$E$5:$E$300,$B177,Пул!$L$5:$L$300,"Закрыт")=0,"",ROUND(SUMIFS(Пул!$I$5:$I$300,Пул!$E$5:$E$300,$B177,Пул!$L$5:$L$300,"Закрыт"),8)))</f>
        <v/>
      </c>
      <c r="G177" s="240" t="str">
        <f>IF($B177="","",IF(COUNTIFS(Пул!$E$5:$E$300,$B177,Пул!$L$5:$L$300,"Закрыт")=0,"",ROUND(SUMIFS(Пул!$J$5:$J$300,Пул!$E$5:$E$300,$B177,Пул!$L$5:$L$300,"Закрыт"),8)))</f>
        <v/>
      </c>
      <c r="H177" s="241" t="str">
        <f>IF($B177="","",IF(COUNTIFS(Пул!$E$5:$E$300,$B177,Пул!$L$5:$L$300,"Закрыт")=0,"",ROUND(SUMIFS(Пул!$K$5:$K$300,Пул!$E$5:$E$300,$B177,Пул!$L$5:$L$300,"Закрыт"),8)))</f>
        <v/>
      </c>
      <c r="I177" s="236" t="str">
        <f>IF(AND(ISNUMBER(G177),ISNUMBER(H177)),IF(AND(G177&gt;0,H177&lt;0),"Buy",IF(AND(G177&lt;0,H177&gt;0),"Sell","")),"")</f>
        <v/>
      </c>
      <c r="J177" s="177" t="str">
        <f>IF(I177="Buy",G177,IF(I177="Sell",-G177,""))</f>
        <v/>
      </c>
      <c r="K177" s="177" t="str">
        <f>IF(AND(ISNUMBER(J177),ISNUMBER(L177),N(J177)&lt;&gt;0),ROUND(L177/J177,8),"")</f>
        <v/>
      </c>
      <c r="L177" s="177" t="str">
        <f>IF(I177="Buy",-H177,IF(I177="Sell",H177,""))</f>
        <v/>
      </c>
    </row>
    <row r="178" ht="22" customHeight="1">
      <c r="B178" s="245" t="n"/>
      <c r="C178" s="246" t="str">
        <f>IF($B178="","",IF(COUNTIFS(Пул!$E$5:$E$300,$B178,Пул!$F$5:$F$300,"&lt;&gt;")=0,"",ROUND(SUMIFS(Пул!$F$5:$F$300,Пул!$E$5:$E$300,$B178),8)))</f>
        <v/>
      </c>
      <c r="D178" s="247" t="str">
        <f>IF($B178="","",IF(COUNTIFS(Пул!$E$5:$E$300,$B178,Пул!$G$5:$G$300,"&lt;&gt;")=0,"",ROUND(SUMIFS(Пул!$G$5:$G$300,Пул!$E$5:$E$300,$B178),8)))</f>
        <v/>
      </c>
      <c r="E178" s="246" t="str">
        <f>IF($B178="","",IF(COUNTIFS(Пул!$E$5:$E$300,$B178,Пул!$L$5:$L$300,"Закрыт")=0,"",ROUND(SUMIFS(Пул!$H$5:$H$300,Пул!$E$5:$E$300,$B178,Пул!$L$5:$L$300,"Закрыт"),8)))</f>
        <v/>
      </c>
      <c r="F178" s="247" t="str">
        <f>IF($B178="","",IF(COUNTIFS(Пул!$E$5:$E$300,$B178,Пул!$L$5:$L$300,"Закрыт")=0,"",ROUND(SUMIFS(Пул!$I$5:$I$300,Пул!$E$5:$E$300,$B178,Пул!$L$5:$L$300,"Закрыт"),8)))</f>
        <v/>
      </c>
      <c r="G178" s="246" t="str">
        <f>IF($B178="","",IF(COUNTIFS(Пул!$E$5:$E$300,$B178,Пул!$L$5:$L$300,"Закрыт")=0,"",ROUND(SUMIFS(Пул!$J$5:$J$300,Пул!$E$5:$E$300,$B178,Пул!$L$5:$L$300,"Закрыт"),8)))</f>
        <v/>
      </c>
      <c r="H178" s="247" t="str">
        <f>IF($B178="","",IF(COUNTIFS(Пул!$E$5:$E$300,$B178,Пул!$L$5:$L$300,"Закрыт")=0,"",ROUND(SUMIFS(Пул!$K$5:$K$300,Пул!$E$5:$E$300,$B178,Пул!$L$5:$L$300,"Закрыт"),8)))</f>
        <v/>
      </c>
      <c r="I178" s="242" t="str">
        <f>IF(AND(ISNUMBER(G178),ISNUMBER(H178)),IF(AND(G178&gt;0,H178&lt;0),"Buy",IF(AND(G178&lt;0,H178&gt;0),"Sell","")),"")</f>
        <v/>
      </c>
      <c r="J178" s="183" t="str">
        <f>IF(I178="Buy",G178,IF(I178="Sell",-G178,""))</f>
        <v/>
      </c>
      <c r="K178" s="183" t="str">
        <f>IF(AND(ISNUMBER(J178),ISNUMBER(L178),N(J178)&lt;&gt;0),ROUND(L178/J178,8),"")</f>
        <v/>
      </c>
      <c r="L178" s="183" t="str">
        <f>IF(I178="Buy",-H178,IF(I178="Sell",H178,""))</f>
        <v/>
      </c>
    </row>
    <row r="179" ht="22" customHeight="1">
      <c r="B179" s="239" t="n"/>
      <c r="C179" s="240" t="str">
        <f>IF($B179="","",IF(COUNTIFS(Пул!$E$5:$E$300,$B179,Пул!$F$5:$F$300,"&lt;&gt;")=0,"",ROUND(SUMIFS(Пул!$F$5:$F$300,Пул!$E$5:$E$300,$B179),8)))</f>
        <v/>
      </c>
      <c r="D179" s="241" t="str">
        <f>IF($B179="","",IF(COUNTIFS(Пул!$E$5:$E$300,$B179,Пул!$G$5:$G$300,"&lt;&gt;")=0,"",ROUND(SUMIFS(Пул!$G$5:$G$300,Пул!$E$5:$E$300,$B179),8)))</f>
        <v/>
      </c>
      <c r="E179" s="240" t="str">
        <f>IF($B179="","",IF(COUNTIFS(Пул!$E$5:$E$300,$B179,Пул!$L$5:$L$300,"Закрыт")=0,"",ROUND(SUMIFS(Пул!$H$5:$H$300,Пул!$E$5:$E$300,$B179,Пул!$L$5:$L$300,"Закрыт"),8)))</f>
        <v/>
      </c>
      <c r="F179" s="241" t="str">
        <f>IF($B179="","",IF(COUNTIFS(Пул!$E$5:$E$300,$B179,Пул!$L$5:$L$300,"Закрыт")=0,"",ROUND(SUMIFS(Пул!$I$5:$I$300,Пул!$E$5:$E$300,$B179,Пул!$L$5:$L$300,"Закрыт"),8)))</f>
        <v/>
      </c>
      <c r="G179" s="240" t="str">
        <f>IF($B179="","",IF(COUNTIFS(Пул!$E$5:$E$300,$B179,Пул!$L$5:$L$300,"Закрыт")=0,"",ROUND(SUMIFS(Пул!$J$5:$J$300,Пул!$E$5:$E$300,$B179,Пул!$L$5:$L$300,"Закрыт"),8)))</f>
        <v/>
      </c>
      <c r="H179" s="241" t="str">
        <f>IF($B179="","",IF(COUNTIFS(Пул!$E$5:$E$300,$B179,Пул!$L$5:$L$300,"Закрыт")=0,"",ROUND(SUMIFS(Пул!$K$5:$K$300,Пул!$E$5:$E$300,$B179,Пул!$L$5:$L$300,"Закрыт"),8)))</f>
        <v/>
      </c>
      <c r="I179" s="236" t="str">
        <f>IF(AND(ISNUMBER(G179),ISNUMBER(H179)),IF(AND(G179&gt;0,H179&lt;0),"Buy",IF(AND(G179&lt;0,H179&gt;0),"Sell","")),"")</f>
        <v/>
      </c>
      <c r="J179" s="177" t="str">
        <f>IF(I179="Buy",G179,IF(I179="Sell",-G179,""))</f>
        <v/>
      </c>
      <c r="K179" s="177" t="str">
        <f>IF(AND(ISNUMBER(J179),ISNUMBER(L179),N(J179)&lt;&gt;0),ROUND(L179/J179,8),"")</f>
        <v/>
      </c>
      <c r="L179" s="177" t="str">
        <f>IF(I179="Buy",-H179,IF(I179="Sell",H179,""))</f>
        <v/>
      </c>
    </row>
    <row r="180" ht="22" customHeight="1">
      <c r="B180" s="245" t="n"/>
      <c r="C180" s="246" t="str">
        <f>IF($B180="","",IF(COUNTIFS(Пул!$E$5:$E$300,$B180,Пул!$F$5:$F$300,"&lt;&gt;")=0,"",ROUND(SUMIFS(Пул!$F$5:$F$300,Пул!$E$5:$E$300,$B180),8)))</f>
        <v/>
      </c>
      <c r="D180" s="247" t="str">
        <f>IF($B180="","",IF(COUNTIFS(Пул!$E$5:$E$300,$B180,Пул!$G$5:$G$300,"&lt;&gt;")=0,"",ROUND(SUMIFS(Пул!$G$5:$G$300,Пул!$E$5:$E$300,$B180),8)))</f>
        <v/>
      </c>
      <c r="E180" s="246" t="str">
        <f>IF($B180="","",IF(COUNTIFS(Пул!$E$5:$E$300,$B180,Пул!$L$5:$L$300,"Закрыт")=0,"",ROUND(SUMIFS(Пул!$H$5:$H$300,Пул!$E$5:$E$300,$B180,Пул!$L$5:$L$300,"Закрыт"),8)))</f>
        <v/>
      </c>
      <c r="F180" s="247" t="str">
        <f>IF($B180="","",IF(COUNTIFS(Пул!$E$5:$E$300,$B180,Пул!$L$5:$L$300,"Закрыт")=0,"",ROUND(SUMIFS(Пул!$I$5:$I$300,Пул!$E$5:$E$300,$B180,Пул!$L$5:$L$300,"Закрыт"),8)))</f>
        <v/>
      </c>
      <c r="G180" s="246" t="str">
        <f>IF($B180="","",IF(COUNTIFS(Пул!$E$5:$E$300,$B180,Пул!$L$5:$L$300,"Закрыт")=0,"",ROUND(SUMIFS(Пул!$J$5:$J$300,Пул!$E$5:$E$300,$B180,Пул!$L$5:$L$300,"Закрыт"),8)))</f>
        <v/>
      </c>
      <c r="H180" s="247" t="str">
        <f>IF($B180="","",IF(COUNTIFS(Пул!$E$5:$E$300,$B180,Пул!$L$5:$L$300,"Закрыт")=0,"",ROUND(SUMIFS(Пул!$K$5:$K$300,Пул!$E$5:$E$300,$B180,Пул!$L$5:$L$300,"Закрыт"),8)))</f>
        <v/>
      </c>
      <c r="I180" s="242" t="str">
        <f>IF(AND(ISNUMBER(G180),ISNUMBER(H180)),IF(AND(G180&gt;0,H180&lt;0),"Buy",IF(AND(G180&lt;0,H180&gt;0),"Sell","")),"")</f>
        <v/>
      </c>
      <c r="J180" s="183" t="str">
        <f>IF(I180="Buy",G180,IF(I180="Sell",-G180,""))</f>
        <v/>
      </c>
      <c r="K180" s="183" t="str">
        <f>IF(AND(ISNUMBER(J180),ISNUMBER(L180),N(J180)&lt;&gt;0),ROUND(L180/J180,8),"")</f>
        <v/>
      </c>
      <c r="L180" s="183" t="str">
        <f>IF(I180="Buy",-H180,IF(I180="Sell",H180,""))</f>
        <v/>
      </c>
    </row>
    <row r="181" ht="22" customHeight="1">
      <c r="B181" s="239" t="n"/>
      <c r="C181" s="240" t="str">
        <f>IF($B181="","",IF(COUNTIFS(Пул!$E$5:$E$300,$B181,Пул!$F$5:$F$300,"&lt;&gt;")=0,"",ROUND(SUMIFS(Пул!$F$5:$F$300,Пул!$E$5:$E$300,$B181),8)))</f>
        <v/>
      </c>
      <c r="D181" s="241" t="str">
        <f>IF($B181="","",IF(COUNTIFS(Пул!$E$5:$E$300,$B181,Пул!$G$5:$G$300,"&lt;&gt;")=0,"",ROUND(SUMIFS(Пул!$G$5:$G$300,Пул!$E$5:$E$300,$B181),8)))</f>
        <v/>
      </c>
      <c r="E181" s="240" t="str">
        <f>IF($B181="","",IF(COUNTIFS(Пул!$E$5:$E$300,$B181,Пул!$L$5:$L$300,"Закрыт")=0,"",ROUND(SUMIFS(Пул!$H$5:$H$300,Пул!$E$5:$E$300,$B181,Пул!$L$5:$L$300,"Закрыт"),8)))</f>
        <v/>
      </c>
      <c r="F181" s="241" t="str">
        <f>IF($B181="","",IF(COUNTIFS(Пул!$E$5:$E$300,$B181,Пул!$L$5:$L$300,"Закрыт")=0,"",ROUND(SUMIFS(Пул!$I$5:$I$300,Пул!$E$5:$E$300,$B181,Пул!$L$5:$L$300,"Закрыт"),8)))</f>
        <v/>
      </c>
      <c r="G181" s="240" t="str">
        <f>IF($B181="","",IF(COUNTIFS(Пул!$E$5:$E$300,$B181,Пул!$L$5:$L$300,"Закрыт")=0,"",ROUND(SUMIFS(Пул!$J$5:$J$300,Пул!$E$5:$E$300,$B181,Пул!$L$5:$L$300,"Закрыт"),8)))</f>
        <v/>
      </c>
      <c r="H181" s="241" t="str">
        <f>IF($B181="","",IF(COUNTIFS(Пул!$E$5:$E$300,$B181,Пул!$L$5:$L$300,"Закрыт")=0,"",ROUND(SUMIFS(Пул!$K$5:$K$300,Пул!$E$5:$E$300,$B181,Пул!$L$5:$L$300,"Закрыт"),8)))</f>
        <v/>
      </c>
      <c r="I181" s="236" t="str">
        <f>IF(AND(ISNUMBER(G181),ISNUMBER(H181)),IF(AND(G181&gt;0,H181&lt;0),"Buy",IF(AND(G181&lt;0,H181&gt;0),"Sell","")),"")</f>
        <v/>
      </c>
      <c r="J181" s="177" t="str">
        <f>IF(I181="Buy",G181,IF(I181="Sell",-G181,""))</f>
        <v/>
      </c>
      <c r="K181" s="177" t="str">
        <f>IF(AND(ISNUMBER(J181),ISNUMBER(L181),N(J181)&lt;&gt;0),ROUND(L181/J181,8),"")</f>
        <v/>
      </c>
      <c r="L181" s="177" t="str">
        <f>IF(I181="Buy",-H181,IF(I181="Sell",H181,""))</f>
        <v/>
      </c>
    </row>
    <row r="182" ht="22" customHeight="1">
      <c r="B182" s="245" t="n"/>
      <c r="C182" s="246" t="str">
        <f>IF($B182="","",IF(COUNTIFS(Пул!$E$5:$E$300,$B182,Пул!$F$5:$F$300,"&lt;&gt;")=0,"",ROUND(SUMIFS(Пул!$F$5:$F$300,Пул!$E$5:$E$300,$B182),8)))</f>
        <v/>
      </c>
      <c r="D182" s="247" t="str">
        <f>IF($B182="","",IF(COUNTIFS(Пул!$E$5:$E$300,$B182,Пул!$G$5:$G$300,"&lt;&gt;")=0,"",ROUND(SUMIFS(Пул!$G$5:$G$300,Пул!$E$5:$E$300,$B182),8)))</f>
        <v/>
      </c>
      <c r="E182" s="246" t="str">
        <f>IF($B182="","",IF(COUNTIFS(Пул!$E$5:$E$300,$B182,Пул!$L$5:$L$300,"Закрыт")=0,"",ROUND(SUMIFS(Пул!$H$5:$H$300,Пул!$E$5:$E$300,$B182,Пул!$L$5:$L$300,"Закрыт"),8)))</f>
        <v/>
      </c>
      <c r="F182" s="247" t="str">
        <f>IF($B182="","",IF(COUNTIFS(Пул!$E$5:$E$300,$B182,Пул!$L$5:$L$300,"Закрыт")=0,"",ROUND(SUMIFS(Пул!$I$5:$I$300,Пул!$E$5:$E$300,$B182,Пул!$L$5:$L$300,"Закрыт"),8)))</f>
        <v/>
      </c>
      <c r="G182" s="246" t="str">
        <f>IF($B182="","",IF(COUNTIFS(Пул!$E$5:$E$300,$B182,Пул!$L$5:$L$300,"Закрыт")=0,"",ROUND(SUMIFS(Пул!$J$5:$J$300,Пул!$E$5:$E$300,$B182,Пул!$L$5:$L$300,"Закрыт"),8)))</f>
        <v/>
      </c>
      <c r="H182" s="247" t="str">
        <f>IF($B182="","",IF(COUNTIFS(Пул!$E$5:$E$300,$B182,Пул!$L$5:$L$300,"Закрыт")=0,"",ROUND(SUMIFS(Пул!$K$5:$K$300,Пул!$E$5:$E$300,$B182,Пул!$L$5:$L$300,"Закрыт"),8)))</f>
        <v/>
      </c>
      <c r="I182" s="242" t="str">
        <f>IF(AND(ISNUMBER(G182),ISNUMBER(H182)),IF(AND(G182&gt;0,H182&lt;0),"Buy",IF(AND(G182&lt;0,H182&gt;0),"Sell","")),"")</f>
        <v/>
      </c>
      <c r="J182" s="183" t="str">
        <f>IF(I182="Buy",G182,IF(I182="Sell",-G182,""))</f>
        <v/>
      </c>
      <c r="K182" s="183" t="str">
        <f>IF(AND(ISNUMBER(J182),ISNUMBER(L182),N(J182)&lt;&gt;0),ROUND(L182/J182,8),"")</f>
        <v/>
      </c>
      <c r="L182" s="183" t="str">
        <f>IF(I182="Buy",-H182,IF(I182="Sell",H182,""))</f>
        <v/>
      </c>
    </row>
    <row r="183" ht="22" customHeight="1">
      <c r="B183" s="239" t="n"/>
      <c r="C183" s="240" t="str">
        <f>IF($B183="","",IF(COUNTIFS(Пул!$E$5:$E$300,$B183,Пул!$F$5:$F$300,"&lt;&gt;")=0,"",ROUND(SUMIFS(Пул!$F$5:$F$300,Пул!$E$5:$E$300,$B183),8)))</f>
        <v/>
      </c>
      <c r="D183" s="241" t="str">
        <f>IF($B183="","",IF(COUNTIFS(Пул!$E$5:$E$300,$B183,Пул!$G$5:$G$300,"&lt;&gt;")=0,"",ROUND(SUMIFS(Пул!$G$5:$G$300,Пул!$E$5:$E$300,$B183),8)))</f>
        <v/>
      </c>
      <c r="E183" s="240" t="str">
        <f>IF($B183="","",IF(COUNTIFS(Пул!$E$5:$E$300,$B183,Пул!$L$5:$L$300,"Закрыт")=0,"",ROUND(SUMIFS(Пул!$H$5:$H$300,Пул!$E$5:$E$300,$B183,Пул!$L$5:$L$300,"Закрыт"),8)))</f>
        <v/>
      </c>
      <c r="F183" s="241" t="str">
        <f>IF($B183="","",IF(COUNTIFS(Пул!$E$5:$E$300,$B183,Пул!$L$5:$L$300,"Закрыт")=0,"",ROUND(SUMIFS(Пул!$I$5:$I$300,Пул!$E$5:$E$300,$B183,Пул!$L$5:$L$300,"Закрыт"),8)))</f>
        <v/>
      </c>
      <c r="G183" s="240" t="str">
        <f>IF($B183="","",IF(COUNTIFS(Пул!$E$5:$E$300,$B183,Пул!$L$5:$L$300,"Закрыт")=0,"",ROUND(SUMIFS(Пул!$J$5:$J$300,Пул!$E$5:$E$300,$B183,Пул!$L$5:$L$300,"Закрыт"),8)))</f>
        <v/>
      </c>
      <c r="H183" s="241" t="str">
        <f>IF($B183="","",IF(COUNTIFS(Пул!$E$5:$E$300,$B183,Пул!$L$5:$L$300,"Закрыт")=0,"",ROUND(SUMIFS(Пул!$K$5:$K$300,Пул!$E$5:$E$300,$B183,Пул!$L$5:$L$300,"Закрыт"),8)))</f>
        <v/>
      </c>
      <c r="I183" s="236" t="str">
        <f>IF(AND(ISNUMBER(G183),ISNUMBER(H183)),IF(AND(G183&gt;0,H183&lt;0),"Buy",IF(AND(G183&lt;0,H183&gt;0),"Sell","")),"")</f>
        <v/>
      </c>
      <c r="J183" s="177" t="str">
        <f>IF(I183="Buy",G183,IF(I183="Sell",-G183,""))</f>
        <v/>
      </c>
      <c r="K183" s="177" t="str">
        <f>IF(AND(ISNUMBER(J183),ISNUMBER(L183),N(J183)&lt;&gt;0),ROUND(L183/J183,8),"")</f>
        <v/>
      </c>
      <c r="L183" s="177" t="str">
        <f>IF(I183="Buy",-H183,IF(I183="Sell",H183,""))</f>
        <v/>
      </c>
    </row>
    <row r="184" ht="22" customHeight="1">
      <c r="B184" s="245" t="n"/>
      <c r="C184" s="246" t="str">
        <f>IF($B184="","",IF(COUNTIFS(Пул!$E$5:$E$300,$B184,Пул!$F$5:$F$300,"&lt;&gt;")=0,"",ROUND(SUMIFS(Пул!$F$5:$F$300,Пул!$E$5:$E$300,$B184),8)))</f>
        <v/>
      </c>
      <c r="D184" s="247" t="str">
        <f>IF($B184="","",IF(COUNTIFS(Пул!$E$5:$E$300,$B184,Пул!$G$5:$G$300,"&lt;&gt;")=0,"",ROUND(SUMIFS(Пул!$G$5:$G$300,Пул!$E$5:$E$300,$B184),8)))</f>
        <v/>
      </c>
      <c r="E184" s="246" t="str">
        <f>IF($B184="","",IF(COUNTIFS(Пул!$E$5:$E$300,$B184,Пул!$L$5:$L$300,"Закрыт")=0,"",ROUND(SUMIFS(Пул!$H$5:$H$300,Пул!$E$5:$E$300,$B184,Пул!$L$5:$L$300,"Закрыт"),8)))</f>
        <v/>
      </c>
      <c r="F184" s="247" t="str">
        <f>IF($B184="","",IF(COUNTIFS(Пул!$E$5:$E$300,$B184,Пул!$L$5:$L$300,"Закрыт")=0,"",ROUND(SUMIFS(Пул!$I$5:$I$300,Пул!$E$5:$E$300,$B184,Пул!$L$5:$L$300,"Закрыт"),8)))</f>
        <v/>
      </c>
      <c r="G184" s="246" t="str">
        <f>IF($B184="","",IF(COUNTIFS(Пул!$E$5:$E$300,$B184,Пул!$L$5:$L$300,"Закрыт")=0,"",ROUND(SUMIFS(Пул!$J$5:$J$300,Пул!$E$5:$E$300,$B184,Пул!$L$5:$L$300,"Закрыт"),8)))</f>
        <v/>
      </c>
      <c r="H184" s="247" t="str">
        <f>IF($B184="","",IF(COUNTIFS(Пул!$E$5:$E$300,$B184,Пул!$L$5:$L$300,"Закрыт")=0,"",ROUND(SUMIFS(Пул!$K$5:$K$300,Пул!$E$5:$E$300,$B184,Пул!$L$5:$L$300,"Закрыт"),8)))</f>
        <v/>
      </c>
      <c r="I184" s="242" t="str">
        <f>IF(AND(ISNUMBER(G184),ISNUMBER(H184)),IF(AND(G184&gt;0,H184&lt;0),"Buy",IF(AND(G184&lt;0,H184&gt;0),"Sell","")),"")</f>
        <v/>
      </c>
      <c r="J184" s="183" t="str">
        <f>IF(I184="Buy",G184,IF(I184="Sell",-G184,""))</f>
        <v/>
      </c>
      <c r="K184" s="183" t="str">
        <f>IF(AND(ISNUMBER(J184),ISNUMBER(L184),N(J184)&lt;&gt;0),ROUND(L184/J184,8),"")</f>
        <v/>
      </c>
      <c r="L184" s="183" t="str">
        <f>IF(I184="Buy",-H184,IF(I184="Sell",H184,""))</f>
        <v/>
      </c>
    </row>
    <row r="185" ht="22" customHeight="1">
      <c r="B185" s="239" t="n"/>
      <c r="C185" s="240" t="str">
        <f>IF($B185="","",IF(COUNTIFS(Пул!$E$5:$E$300,$B185,Пул!$F$5:$F$300,"&lt;&gt;")=0,"",ROUND(SUMIFS(Пул!$F$5:$F$300,Пул!$E$5:$E$300,$B185),8)))</f>
        <v/>
      </c>
      <c r="D185" s="241" t="str">
        <f>IF($B185="","",IF(COUNTIFS(Пул!$E$5:$E$300,$B185,Пул!$G$5:$G$300,"&lt;&gt;")=0,"",ROUND(SUMIFS(Пул!$G$5:$G$300,Пул!$E$5:$E$300,$B185),8)))</f>
        <v/>
      </c>
      <c r="E185" s="240" t="str">
        <f>IF($B185="","",IF(COUNTIFS(Пул!$E$5:$E$300,$B185,Пул!$L$5:$L$300,"Закрыт")=0,"",ROUND(SUMIFS(Пул!$H$5:$H$300,Пул!$E$5:$E$300,$B185,Пул!$L$5:$L$300,"Закрыт"),8)))</f>
        <v/>
      </c>
      <c r="F185" s="241" t="str">
        <f>IF($B185="","",IF(COUNTIFS(Пул!$E$5:$E$300,$B185,Пул!$L$5:$L$300,"Закрыт")=0,"",ROUND(SUMIFS(Пул!$I$5:$I$300,Пул!$E$5:$E$300,$B185,Пул!$L$5:$L$300,"Закрыт"),8)))</f>
        <v/>
      </c>
      <c r="G185" s="240" t="str">
        <f>IF($B185="","",IF(COUNTIFS(Пул!$E$5:$E$300,$B185,Пул!$L$5:$L$300,"Закрыт")=0,"",ROUND(SUMIFS(Пул!$J$5:$J$300,Пул!$E$5:$E$300,$B185,Пул!$L$5:$L$300,"Закрыт"),8)))</f>
        <v/>
      </c>
      <c r="H185" s="241" t="str">
        <f>IF($B185="","",IF(COUNTIFS(Пул!$E$5:$E$300,$B185,Пул!$L$5:$L$300,"Закрыт")=0,"",ROUND(SUMIFS(Пул!$K$5:$K$300,Пул!$E$5:$E$300,$B185,Пул!$L$5:$L$300,"Закрыт"),8)))</f>
        <v/>
      </c>
      <c r="I185" s="236" t="str">
        <f>IF(AND(ISNUMBER(G185),ISNUMBER(H185)),IF(AND(G185&gt;0,H185&lt;0),"Buy",IF(AND(G185&lt;0,H185&gt;0),"Sell","")),"")</f>
        <v/>
      </c>
      <c r="J185" s="177" t="str">
        <f>IF(I185="Buy",G185,IF(I185="Sell",-G185,""))</f>
        <v/>
      </c>
      <c r="K185" s="177" t="str">
        <f>IF(AND(ISNUMBER(J185),ISNUMBER(L185),N(J185)&lt;&gt;0),ROUND(L185/J185,8),"")</f>
        <v/>
      </c>
      <c r="L185" s="177" t="str">
        <f>IF(I185="Buy",-H185,IF(I185="Sell",H185,""))</f>
        <v/>
      </c>
    </row>
    <row r="186" ht="22" customHeight="1">
      <c r="B186" s="245" t="n"/>
      <c r="C186" s="246" t="str">
        <f>IF($B186="","",IF(COUNTIFS(Пул!$E$5:$E$300,$B186,Пул!$F$5:$F$300,"&lt;&gt;")=0,"",ROUND(SUMIFS(Пул!$F$5:$F$300,Пул!$E$5:$E$300,$B186),8)))</f>
        <v/>
      </c>
      <c r="D186" s="247" t="str">
        <f>IF($B186="","",IF(COUNTIFS(Пул!$E$5:$E$300,$B186,Пул!$G$5:$G$300,"&lt;&gt;")=0,"",ROUND(SUMIFS(Пул!$G$5:$G$300,Пул!$E$5:$E$300,$B186),8)))</f>
        <v/>
      </c>
      <c r="E186" s="246" t="str">
        <f>IF($B186="","",IF(COUNTIFS(Пул!$E$5:$E$300,$B186,Пул!$L$5:$L$300,"Закрыт")=0,"",ROUND(SUMIFS(Пул!$H$5:$H$300,Пул!$E$5:$E$300,$B186,Пул!$L$5:$L$300,"Закрыт"),8)))</f>
        <v/>
      </c>
      <c r="F186" s="247" t="str">
        <f>IF($B186="","",IF(COUNTIFS(Пул!$E$5:$E$300,$B186,Пул!$L$5:$L$300,"Закрыт")=0,"",ROUND(SUMIFS(Пул!$I$5:$I$300,Пул!$E$5:$E$300,$B186,Пул!$L$5:$L$300,"Закрыт"),8)))</f>
        <v/>
      </c>
      <c r="G186" s="246" t="str">
        <f>IF($B186="","",IF(COUNTIFS(Пул!$E$5:$E$300,$B186,Пул!$L$5:$L$300,"Закрыт")=0,"",ROUND(SUMIFS(Пул!$J$5:$J$300,Пул!$E$5:$E$300,$B186,Пул!$L$5:$L$300,"Закрыт"),8)))</f>
        <v/>
      </c>
      <c r="H186" s="247" t="str">
        <f>IF($B186="","",IF(COUNTIFS(Пул!$E$5:$E$300,$B186,Пул!$L$5:$L$300,"Закрыт")=0,"",ROUND(SUMIFS(Пул!$K$5:$K$300,Пул!$E$5:$E$300,$B186,Пул!$L$5:$L$300,"Закрыт"),8)))</f>
        <v/>
      </c>
      <c r="I186" s="242" t="str">
        <f>IF(AND(ISNUMBER(G186),ISNUMBER(H186)),IF(AND(G186&gt;0,H186&lt;0),"Buy",IF(AND(G186&lt;0,H186&gt;0),"Sell","")),"")</f>
        <v/>
      </c>
      <c r="J186" s="183" t="str">
        <f>IF(I186="Buy",G186,IF(I186="Sell",-G186,""))</f>
        <v/>
      </c>
      <c r="K186" s="183" t="str">
        <f>IF(AND(ISNUMBER(J186),ISNUMBER(L186),N(J186)&lt;&gt;0),ROUND(L186/J186,8),"")</f>
        <v/>
      </c>
      <c r="L186" s="183" t="str">
        <f>IF(I186="Buy",-H186,IF(I186="Sell",H186,""))</f>
        <v/>
      </c>
    </row>
    <row r="187" ht="22" customHeight="1">
      <c r="B187" s="239" t="n"/>
      <c r="C187" s="240" t="str">
        <f>IF($B187="","",IF(COUNTIFS(Пул!$E$5:$E$300,$B187,Пул!$F$5:$F$300,"&lt;&gt;")=0,"",ROUND(SUMIFS(Пул!$F$5:$F$300,Пул!$E$5:$E$300,$B187),8)))</f>
        <v/>
      </c>
      <c r="D187" s="241" t="str">
        <f>IF($B187="","",IF(COUNTIFS(Пул!$E$5:$E$300,$B187,Пул!$G$5:$G$300,"&lt;&gt;")=0,"",ROUND(SUMIFS(Пул!$G$5:$G$300,Пул!$E$5:$E$300,$B187),8)))</f>
        <v/>
      </c>
      <c r="E187" s="240" t="str">
        <f>IF($B187="","",IF(COUNTIFS(Пул!$E$5:$E$300,$B187,Пул!$L$5:$L$300,"Закрыт")=0,"",ROUND(SUMIFS(Пул!$H$5:$H$300,Пул!$E$5:$E$300,$B187,Пул!$L$5:$L$300,"Закрыт"),8)))</f>
        <v/>
      </c>
      <c r="F187" s="241" t="str">
        <f>IF($B187="","",IF(COUNTIFS(Пул!$E$5:$E$300,$B187,Пул!$L$5:$L$300,"Закрыт")=0,"",ROUND(SUMIFS(Пул!$I$5:$I$300,Пул!$E$5:$E$300,$B187,Пул!$L$5:$L$300,"Закрыт"),8)))</f>
        <v/>
      </c>
      <c r="G187" s="240" t="str">
        <f>IF($B187="","",IF(COUNTIFS(Пул!$E$5:$E$300,$B187,Пул!$L$5:$L$300,"Закрыт")=0,"",ROUND(SUMIFS(Пул!$J$5:$J$300,Пул!$E$5:$E$300,$B187,Пул!$L$5:$L$300,"Закрыт"),8)))</f>
        <v/>
      </c>
      <c r="H187" s="241" t="str">
        <f>IF($B187="","",IF(COUNTIFS(Пул!$E$5:$E$300,$B187,Пул!$L$5:$L$300,"Закрыт")=0,"",ROUND(SUMIFS(Пул!$K$5:$K$300,Пул!$E$5:$E$300,$B187,Пул!$L$5:$L$300,"Закрыт"),8)))</f>
        <v/>
      </c>
      <c r="I187" s="236" t="str">
        <f>IF(AND(ISNUMBER(G187),ISNUMBER(H187)),IF(AND(G187&gt;0,H187&lt;0),"Buy",IF(AND(G187&lt;0,H187&gt;0),"Sell","")),"")</f>
        <v/>
      </c>
      <c r="J187" s="177" t="str">
        <f>IF(I187="Buy",G187,IF(I187="Sell",-G187,""))</f>
        <v/>
      </c>
      <c r="K187" s="177" t="str">
        <f>IF(AND(ISNUMBER(J187),ISNUMBER(L187),N(J187)&lt;&gt;0),ROUND(L187/J187,8),"")</f>
        <v/>
      </c>
      <c r="L187" s="177" t="str">
        <f>IF(I187="Buy",-H187,IF(I187="Sell",H187,""))</f>
        <v/>
      </c>
    </row>
    <row r="188" ht="22" customHeight="1">
      <c r="B188" s="245" t="n"/>
      <c r="C188" s="246" t="str">
        <f>IF($B188="","",IF(COUNTIFS(Пул!$E$5:$E$300,$B188,Пул!$F$5:$F$300,"&lt;&gt;")=0,"",ROUND(SUMIFS(Пул!$F$5:$F$300,Пул!$E$5:$E$300,$B188),8)))</f>
        <v/>
      </c>
      <c r="D188" s="247" t="str">
        <f>IF($B188="","",IF(COUNTIFS(Пул!$E$5:$E$300,$B188,Пул!$G$5:$G$300,"&lt;&gt;")=0,"",ROUND(SUMIFS(Пул!$G$5:$G$300,Пул!$E$5:$E$300,$B188),8)))</f>
        <v/>
      </c>
      <c r="E188" s="246" t="str">
        <f>IF($B188="","",IF(COUNTIFS(Пул!$E$5:$E$300,$B188,Пул!$L$5:$L$300,"Закрыт")=0,"",ROUND(SUMIFS(Пул!$H$5:$H$300,Пул!$E$5:$E$300,$B188,Пул!$L$5:$L$300,"Закрыт"),8)))</f>
        <v/>
      </c>
      <c r="F188" s="247" t="str">
        <f>IF($B188="","",IF(COUNTIFS(Пул!$E$5:$E$300,$B188,Пул!$L$5:$L$300,"Закрыт")=0,"",ROUND(SUMIFS(Пул!$I$5:$I$300,Пул!$E$5:$E$300,$B188,Пул!$L$5:$L$300,"Закрыт"),8)))</f>
        <v/>
      </c>
      <c r="G188" s="246" t="str">
        <f>IF($B188="","",IF(COUNTIFS(Пул!$E$5:$E$300,$B188,Пул!$L$5:$L$300,"Закрыт")=0,"",ROUND(SUMIFS(Пул!$J$5:$J$300,Пул!$E$5:$E$300,$B188,Пул!$L$5:$L$300,"Закрыт"),8)))</f>
        <v/>
      </c>
      <c r="H188" s="247" t="str">
        <f>IF($B188="","",IF(COUNTIFS(Пул!$E$5:$E$300,$B188,Пул!$L$5:$L$300,"Закрыт")=0,"",ROUND(SUMIFS(Пул!$K$5:$K$300,Пул!$E$5:$E$300,$B188,Пул!$L$5:$L$300,"Закрыт"),8)))</f>
        <v/>
      </c>
      <c r="I188" s="242" t="str">
        <f>IF(AND(ISNUMBER(G188),ISNUMBER(H188)),IF(AND(G188&gt;0,H188&lt;0),"Buy",IF(AND(G188&lt;0,H188&gt;0),"Sell","")),"")</f>
        <v/>
      </c>
      <c r="J188" s="183" t="str">
        <f>IF(I188="Buy",G188,IF(I188="Sell",-G188,""))</f>
        <v/>
      </c>
      <c r="K188" s="183" t="str">
        <f>IF(AND(ISNUMBER(J188),ISNUMBER(L188),N(J188)&lt;&gt;0),ROUND(L188/J188,8),"")</f>
        <v/>
      </c>
      <c r="L188" s="183" t="str">
        <f>IF(I188="Buy",-H188,IF(I188="Sell",H188,""))</f>
        <v/>
      </c>
    </row>
    <row r="189" ht="22" customHeight="1">
      <c r="B189" s="239" t="n"/>
      <c r="C189" s="240" t="str">
        <f>IF($B189="","",IF(COUNTIFS(Пул!$E$5:$E$300,$B189,Пул!$F$5:$F$300,"&lt;&gt;")=0,"",ROUND(SUMIFS(Пул!$F$5:$F$300,Пул!$E$5:$E$300,$B189),8)))</f>
        <v/>
      </c>
      <c r="D189" s="241" t="str">
        <f>IF($B189="","",IF(COUNTIFS(Пул!$E$5:$E$300,$B189,Пул!$G$5:$G$300,"&lt;&gt;")=0,"",ROUND(SUMIFS(Пул!$G$5:$G$300,Пул!$E$5:$E$300,$B189),8)))</f>
        <v/>
      </c>
      <c r="E189" s="240" t="str">
        <f>IF($B189="","",IF(COUNTIFS(Пул!$E$5:$E$300,$B189,Пул!$L$5:$L$300,"Закрыт")=0,"",ROUND(SUMIFS(Пул!$H$5:$H$300,Пул!$E$5:$E$300,$B189,Пул!$L$5:$L$300,"Закрыт"),8)))</f>
        <v/>
      </c>
      <c r="F189" s="241" t="str">
        <f>IF($B189="","",IF(COUNTIFS(Пул!$E$5:$E$300,$B189,Пул!$L$5:$L$300,"Закрыт")=0,"",ROUND(SUMIFS(Пул!$I$5:$I$300,Пул!$E$5:$E$300,$B189,Пул!$L$5:$L$300,"Закрыт"),8)))</f>
        <v/>
      </c>
      <c r="G189" s="240" t="str">
        <f>IF($B189="","",IF(COUNTIFS(Пул!$E$5:$E$300,$B189,Пул!$L$5:$L$300,"Закрыт")=0,"",ROUND(SUMIFS(Пул!$J$5:$J$300,Пул!$E$5:$E$300,$B189,Пул!$L$5:$L$300,"Закрыт"),8)))</f>
        <v/>
      </c>
      <c r="H189" s="241" t="str">
        <f>IF($B189="","",IF(COUNTIFS(Пул!$E$5:$E$300,$B189,Пул!$L$5:$L$300,"Закрыт")=0,"",ROUND(SUMIFS(Пул!$K$5:$K$300,Пул!$E$5:$E$300,$B189,Пул!$L$5:$L$300,"Закрыт"),8)))</f>
        <v/>
      </c>
      <c r="I189" s="236" t="str">
        <f>IF(AND(ISNUMBER(G189),ISNUMBER(H189)),IF(AND(G189&gt;0,H189&lt;0),"Buy",IF(AND(G189&lt;0,H189&gt;0),"Sell","")),"")</f>
        <v/>
      </c>
      <c r="J189" s="177" t="str">
        <f>IF(I189="Buy",G189,IF(I189="Sell",-G189,""))</f>
        <v/>
      </c>
      <c r="K189" s="177" t="str">
        <f>IF(AND(ISNUMBER(J189),ISNUMBER(L189),N(J189)&lt;&gt;0),ROUND(L189/J189,8),"")</f>
        <v/>
      </c>
      <c r="L189" s="177" t="str">
        <f>IF(I189="Buy",-H189,IF(I189="Sell",H189,""))</f>
        <v/>
      </c>
    </row>
    <row r="190" ht="22" customHeight="1">
      <c r="B190" s="245" t="n"/>
      <c r="C190" s="246" t="str">
        <f>IF($B190="","",IF(COUNTIFS(Пул!$E$5:$E$300,$B190,Пул!$F$5:$F$300,"&lt;&gt;")=0,"",ROUND(SUMIFS(Пул!$F$5:$F$300,Пул!$E$5:$E$300,$B190),8)))</f>
        <v/>
      </c>
      <c r="D190" s="247" t="str">
        <f>IF($B190="","",IF(COUNTIFS(Пул!$E$5:$E$300,$B190,Пул!$G$5:$G$300,"&lt;&gt;")=0,"",ROUND(SUMIFS(Пул!$G$5:$G$300,Пул!$E$5:$E$300,$B190),8)))</f>
        <v/>
      </c>
      <c r="E190" s="246" t="str">
        <f>IF($B190="","",IF(COUNTIFS(Пул!$E$5:$E$300,$B190,Пул!$L$5:$L$300,"Закрыт")=0,"",ROUND(SUMIFS(Пул!$H$5:$H$300,Пул!$E$5:$E$300,$B190,Пул!$L$5:$L$300,"Закрыт"),8)))</f>
        <v/>
      </c>
      <c r="F190" s="247" t="str">
        <f>IF($B190="","",IF(COUNTIFS(Пул!$E$5:$E$300,$B190,Пул!$L$5:$L$300,"Закрыт")=0,"",ROUND(SUMIFS(Пул!$I$5:$I$300,Пул!$E$5:$E$300,$B190,Пул!$L$5:$L$300,"Закрыт"),8)))</f>
        <v/>
      </c>
      <c r="G190" s="246" t="str">
        <f>IF($B190="","",IF(COUNTIFS(Пул!$E$5:$E$300,$B190,Пул!$L$5:$L$300,"Закрыт")=0,"",ROUND(SUMIFS(Пул!$J$5:$J$300,Пул!$E$5:$E$300,$B190,Пул!$L$5:$L$300,"Закрыт"),8)))</f>
        <v/>
      </c>
      <c r="H190" s="247" t="str">
        <f>IF($B190="","",IF(COUNTIFS(Пул!$E$5:$E$300,$B190,Пул!$L$5:$L$300,"Закрыт")=0,"",ROUND(SUMIFS(Пул!$K$5:$K$300,Пул!$E$5:$E$300,$B190,Пул!$L$5:$L$300,"Закрыт"),8)))</f>
        <v/>
      </c>
      <c r="I190" s="242" t="str">
        <f>IF(AND(ISNUMBER(G190),ISNUMBER(H190)),IF(AND(G190&gt;0,H190&lt;0),"Buy",IF(AND(G190&lt;0,H190&gt;0),"Sell","")),"")</f>
        <v/>
      </c>
      <c r="J190" s="183" t="str">
        <f>IF(I190="Buy",G190,IF(I190="Sell",-G190,""))</f>
        <v/>
      </c>
      <c r="K190" s="183" t="str">
        <f>IF(AND(ISNUMBER(J190),ISNUMBER(L190),N(J190)&lt;&gt;0),ROUND(L190/J190,8),"")</f>
        <v/>
      </c>
      <c r="L190" s="183" t="str">
        <f>IF(I190="Buy",-H190,IF(I190="Sell",H190,""))</f>
        <v/>
      </c>
    </row>
    <row r="191" ht="22" customHeight="1">
      <c r="B191" s="239" t="n"/>
      <c r="C191" s="240" t="str">
        <f>IF($B191="","",IF(COUNTIFS(Пул!$E$5:$E$300,$B191,Пул!$F$5:$F$300,"&lt;&gt;")=0,"",ROUND(SUMIFS(Пул!$F$5:$F$300,Пул!$E$5:$E$300,$B191),8)))</f>
        <v/>
      </c>
      <c r="D191" s="241" t="str">
        <f>IF($B191="","",IF(COUNTIFS(Пул!$E$5:$E$300,$B191,Пул!$G$5:$G$300,"&lt;&gt;")=0,"",ROUND(SUMIFS(Пул!$G$5:$G$300,Пул!$E$5:$E$300,$B191),8)))</f>
        <v/>
      </c>
      <c r="E191" s="240" t="str">
        <f>IF($B191="","",IF(COUNTIFS(Пул!$E$5:$E$300,$B191,Пул!$L$5:$L$300,"Закрыт")=0,"",ROUND(SUMIFS(Пул!$H$5:$H$300,Пул!$E$5:$E$300,$B191,Пул!$L$5:$L$300,"Закрыт"),8)))</f>
        <v/>
      </c>
      <c r="F191" s="241" t="str">
        <f>IF($B191="","",IF(COUNTIFS(Пул!$E$5:$E$300,$B191,Пул!$L$5:$L$300,"Закрыт")=0,"",ROUND(SUMIFS(Пул!$I$5:$I$300,Пул!$E$5:$E$300,$B191,Пул!$L$5:$L$300,"Закрыт"),8)))</f>
        <v/>
      </c>
      <c r="G191" s="240" t="str">
        <f>IF($B191="","",IF(COUNTIFS(Пул!$E$5:$E$300,$B191,Пул!$L$5:$L$300,"Закрыт")=0,"",ROUND(SUMIFS(Пул!$J$5:$J$300,Пул!$E$5:$E$300,$B191,Пул!$L$5:$L$300,"Закрыт"),8)))</f>
        <v/>
      </c>
      <c r="H191" s="241" t="str">
        <f>IF($B191="","",IF(COUNTIFS(Пул!$E$5:$E$300,$B191,Пул!$L$5:$L$300,"Закрыт")=0,"",ROUND(SUMIFS(Пул!$K$5:$K$300,Пул!$E$5:$E$300,$B191,Пул!$L$5:$L$300,"Закрыт"),8)))</f>
        <v/>
      </c>
      <c r="I191" s="236" t="str">
        <f>IF(AND(ISNUMBER(G191),ISNUMBER(H191)),IF(AND(G191&gt;0,H191&lt;0),"Buy",IF(AND(G191&lt;0,H191&gt;0),"Sell","")),"")</f>
        <v/>
      </c>
      <c r="J191" s="177" t="str">
        <f>IF(I191="Buy",G191,IF(I191="Sell",-G191,""))</f>
        <v/>
      </c>
      <c r="K191" s="177" t="str">
        <f>IF(AND(ISNUMBER(J191),ISNUMBER(L191),N(J191)&lt;&gt;0),ROUND(L191/J191,8),"")</f>
        <v/>
      </c>
      <c r="L191" s="177" t="str">
        <f>IF(I191="Buy",-H191,IF(I191="Sell",H191,""))</f>
        <v/>
      </c>
    </row>
    <row r="192" ht="22" customHeight="1">
      <c r="B192" s="245" t="n"/>
      <c r="C192" s="246" t="str">
        <f>IF($B192="","",IF(COUNTIFS(Пул!$E$5:$E$300,$B192,Пул!$F$5:$F$300,"&lt;&gt;")=0,"",ROUND(SUMIFS(Пул!$F$5:$F$300,Пул!$E$5:$E$300,$B192),8)))</f>
        <v/>
      </c>
      <c r="D192" s="247" t="str">
        <f>IF($B192="","",IF(COUNTIFS(Пул!$E$5:$E$300,$B192,Пул!$G$5:$G$300,"&lt;&gt;")=0,"",ROUND(SUMIFS(Пул!$G$5:$G$300,Пул!$E$5:$E$300,$B192),8)))</f>
        <v/>
      </c>
      <c r="E192" s="246" t="str">
        <f>IF($B192="","",IF(COUNTIFS(Пул!$E$5:$E$300,$B192,Пул!$L$5:$L$300,"Закрыт")=0,"",ROUND(SUMIFS(Пул!$H$5:$H$300,Пул!$E$5:$E$300,$B192,Пул!$L$5:$L$300,"Закрыт"),8)))</f>
        <v/>
      </c>
      <c r="F192" s="247" t="str">
        <f>IF($B192="","",IF(COUNTIFS(Пул!$E$5:$E$300,$B192,Пул!$L$5:$L$300,"Закрыт")=0,"",ROUND(SUMIFS(Пул!$I$5:$I$300,Пул!$E$5:$E$300,$B192,Пул!$L$5:$L$300,"Закрыт"),8)))</f>
        <v/>
      </c>
      <c r="G192" s="246" t="str">
        <f>IF($B192="","",IF(COUNTIFS(Пул!$E$5:$E$300,$B192,Пул!$L$5:$L$300,"Закрыт")=0,"",ROUND(SUMIFS(Пул!$J$5:$J$300,Пул!$E$5:$E$300,$B192,Пул!$L$5:$L$300,"Закрыт"),8)))</f>
        <v/>
      </c>
      <c r="H192" s="247" t="str">
        <f>IF($B192="","",IF(COUNTIFS(Пул!$E$5:$E$300,$B192,Пул!$L$5:$L$300,"Закрыт")=0,"",ROUND(SUMIFS(Пул!$K$5:$K$300,Пул!$E$5:$E$300,$B192,Пул!$L$5:$L$300,"Закрыт"),8)))</f>
        <v/>
      </c>
      <c r="I192" s="242" t="str">
        <f>IF(AND(ISNUMBER(G192),ISNUMBER(H192)),IF(AND(G192&gt;0,H192&lt;0),"Buy",IF(AND(G192&lt;0,H192&gt;0),"Sell","")),"")</f>
        <v/>
      </c>
      <c r="J192" s="183" t="str">
        <f>IF(I192="Buy",G192,IF(I192="Sell",-G192,""))</f>
        <v/>
      </c>
      <c r="K192" s="183" t="str">
        <f>IF(AND(ISNUMBER(J192),ISNUMBER(L192),N(J192)&lt;&gt;0),ROUND(L192/J192,8),"")</f>
        <v/>
      </c>
      <c r="L192" s="183" t="str">
        <f>IF(I192="Buy",-H192,IF(I192="Sell",H192,""))</f>
        <v/>
      </c>
    </row>
    <row r="193" ht="22" customHeight="1">
      <c r="B193" s="239" t="n"/>
      <c r="C193" s="240" t="str">
        <f>IF($B193="","",IF(COUNTIFS(Пул!$E$5:$E$300,$B193,Пул!$F$5:$F$300,"&lt;&gt;")=0,"",ROUND(SUMIFS(Пул!$F$5:$F$300,Пул!$E$5:$E$300,$B193),8)))</f>
        <v/>
      </c>
      <c r="D193" s="241" t="str">
        <f>IF($B193="","",IF(COUNTIFS(Пул!$E$5:$E$300,$B193,Пул!$G$5:$G$300,"&lt;&gt;")=0,"",ROUND(SUMIFS(Пул!$G$5:$G$300,Пул!$E$5:$E$300,$B193),8)))</f>
        <v/>
      </c>
      <c r="E193" s="240" t="str">
        <f>IF($B193="","",IF(COUNTIFS(Пул!$E$5:$E$300,$B193,Пул!$L$5:$L$300,"Закрыт")=0,"",ROUND(SUMIFS(Пул!$H$5:$H$300,Пул!$E$5:$E$300,$B193,Пул!$L$5:$L$300,"Закрыт"),8)))</f>
        <v/>
      </c>
      <c r="F193" s="241" t="str">
        <f>IF($B193="","",IF(COUNTIFS(Пул!$E$5:$E$300,$B193,Пул!$L$5:$L$300,"Закрыт")=0,"",ROUND(SUMIFS(Пул!$I$5:$I$300,Пул!$E$5:$E$300,$B193,Пул!$L$5:$L$300,"Закрыт"),8)))</f>
        <v/>
      </c>
      <c r="G193" s="240" t="str">
        <f>IF($B193="","",IF(COUNTIFS(Пул!$E$5:$E$300,$B193,Пул!$L$5:$L$300,"Закрыт")=0,"",ROUND(SUMIFS(Пул!$J$5:$J$300,Пул!$E$5:$E$300,$B193,Пул!$L$5:$L$300,"Закрыт"),8)))</f>
        <v/>
      </c>
      <c r="H193" s="241" t="str">
        <f>IF($B193="","",IF(COUNTIFS(Пул!$E$5:$E$300,$B193,Пул!$L$5:$L$300,"Закрыт")=0,"",ROUND(SUMIFS(Пул!$K$5:$K$300,Пул!$E$5:$E$300,$B193,Пул!$L$5:$L$300,"Закрыт"),8)))</f>
        <v/>
      </c>
      <c r="I193" s="236" t="str">
        <f>IF(AND(ISNUMBER(G193),ISNUMBER(H193)),IF(AND(G193&gt;0,H193&lt;0),"Buy",IF(AND(G193&lt;0,H193&gt;0),"Sell","")),"")</f>
        <v/>
      </c>
      <c r="J193" s="177" t="str">
        <f>IF(I193="Buy",G193,IF(I193="Sell",-G193,""))</f>
        <v/>
      </c>
      <c r="K193" s="177" t="str">
        <f>IF(AND(ISNUMBER(J193),ISNUMBER(L193),N(J193)&lt;&gt;0),ROUND(L193/J193,8),"")</f>
        <v/>
      </c>
      <c r="L193" s="177" t="str">
        <f>IF(I193="Buy",-H193,IF(I193="Sell",H193,""))</f>
        <v/>
      </c>
    </row>
    <row r="194" ht="22" customHeight="1">
      <c r="B194" s="245" t="n"/>
      <c r="C194" s="246" t="str">
        <f>IF($B194="","",IF(COUNTIFS(Пул!$E$5:$E$300,$B194,Пул!$F$5:$F$300,"&lt;&gt;")=0,"",ROUND(SUMIFS(Пул!$F$5:$F$300,Пул!$E$5:$E$300,$B194),8)))</f>
        <v/>
      </c>
      <c r="D194" s="247" t="str">
        <f>IF($B194="","",IF(COUNTIFS(Пул!$E$5:$E$300,$B194,Пул!$G$5:$G$300,"&lt;&gt;")=0,"",ROUND(SUMIFS(Пул!$G$5:$G$300,Пул!$E$5:$E$300,$B194),8)))</f>
        <v/>
      </c>
      <c r="E194" s="246" t="str">
        <f>IF($B194="","",IF(COUNTIFS(Пул!$E$5:$E$300,$B194,Пул!$L$5:$L$300,"Закрыт")=0,"",ROUND(SUMIFS(Пул!$H$5:$H$300,Пул!$E$5:$E$300,$B194,Пул!$L$5:$L$300,"Закрыт"),8)))</f>
        <v/>
      </c>
      <c r="F194" s="247" t="str">
        <f>IF($B194="","",IF(COUNTIFS(Пул!$E$5:$E$300,$B194,Пул!$L$5:$L$300,"Закрыт")=0,"",ROUND(SUMIFS(Пул!$I$5:$I$300,Пул!$E$5:$E$300,$B194,Пул!$L$5:$L$300,"Закрыт"),8)))</f>
        <v/>
      </c>
      <c r="G194" s="246" t="str">
        <f>IF($B194="","",IF(COUNTIFS(Пул!$E$5:$E$300,$B194,Пул!$L$5:$L$300,"Закрыт")=0,"",ROUND(SUMIFS(Пул!$J$5:$J$300,Пул!$E$5:$E$300,$B194,Пул!$L$5:$L$300,"Закрыт"),8)))</f>
        <v/>
      </c>
      <c r="H194" s="247" t="str">
        <f>IF($B194="","",IF(COUNTIFS(Пул!$E$5:$E$300,$B194,Пул!$L$5:$L$300,"Закрыт")=0,"",ROUND(SUMIFS(Пул!$K$5:$K$300,Пул!$E$5:$E$300,$B194,Пул!$L$5:$L$300,"Закрыт"),8)))</f>
        <v/>
      </c>
      <c r="I194" s="242" t="str">
        <f>IF(AND(ISNUMBER(G194),ISNUMBER(H194)),IF(AND(G194&gt;0,H194&lt;0),"Buy",IF(AND(G194&lt;0,H194&gt;0),"Sell","")),"")</f>
        <v/>
      </c>
      <c r="J194" s="183" t="str">
        <f>IF(I194="Buy",G194,IF(I194="Sell",-G194,""))</f>
        <v/>
      </c>
      <c r="K194" s="183" t="str">
        <f>IF(AND(ISNUMBER(J194),ISNUMBER(L194),N(J194)&lt;&gt;0),ROUND(L194/J194,8),"")</f>
        <v/>
      </c>
      <c r="L194" s="183" t="str">
        <f>IF(I194="Buy",-H194,IF(I194="Sell",H194,""))</f>
        <v/>
      </c>
    </row>
    <row r="195" ht="22" customHeight="1">
      <c r="B195" s="239" t="n"/>
      <c r="C195" s="240" t="str">
        <f>IF($B195="","",IF(COUNTIFS(Пул!$E$5:$E$300,$B195,Пул!$F$5:$F$300,"&lt;&gt;")=0,"",ROUND(SUMIFS(Пул!$F$5:$F$300,Пул!$E$5:$E$300,$B195),8)))</f>
        <v/>
      </c>
      <c r="D195" s="241" t="str">
        <f>IF($B195="","",IF(COUNTIFS(Пул!$E$5:$E$300,$B195,Пул!$G$5:$G$300,"&lt;&gt;")=0,"",ROUND(SUMIFS(Пул!$G$5:$G$300,Пул!$E$5:$E$300,$B195),8)))</f>
        <v/>
      </c>
      <c r="E195" s="240" t="str">
        <f>IF($B195="","",IF(COUNTIFS(Пул!$E$5:$E$300,$B195,Пул!$L$5:$L$300,"Закрыт")=0,"",ROUND(SUMIFS(Пул!$H$5:$H$300,Пул!$E$5:$E$300,$B195,Пул!$L$5:$L$300,"Закрыт"),8)))</f>
        <v/>
      </c>
      <c r="F195" s="241" t="str">
        <f>IF($B195="","",IF(COUNTIFS(Пул!$E$5:$E$300,$B195,Пул!$L$5:$L$300,"Закрыт")=0,"",ROUND(SUMIFS(Пул!$I$5:$I$300,Пул!$E$5:$E$300,$B195,Пул!$L$5:$L$300,"Закрыт"),8)))</f>
        <v/>
      </c>
      <c r="G195" s="240" t="str">
        <f>IF($B195="","",IF(COUNTIFS(Пул!$E$5:$E$300,$B195,Пул!$L$5:$L$300,"Закрыт")=0,"",ROUND(SUMIFS(Пул!$J$5:$J$300,Пул!$E$5:$E$300,$B195,Пул!$L$5:$L$300,"Закрыт"),8)))</f>
        <v/>
      </c>
      <c r="H195" s="241" t="str">
        <f>IF($B195="","",IF(COUNTIFS(Пул!$E$5:$E$300,$B195,Пул!$L$5:$L$300,"Закрыт")=0,"",ROUND(SUMIFS(Пул!$K$5:$K$300,Пул!$E$5:$E$300,$B195,Пул!$L$5:$L$300,"Закрыт"),8)))</f>
        <v/>
      </c>
      <c r="I195" s="236" t="str">
        <f>IF(AND(ISNUMBER(G195),ISNUMBER(H195)),IF(AND(G195&gt;0,H195&lt;0),"Buy",IF(AND(G195&lt;0,H195&gt;0),"Sell","")),"")</f>
        <v/>
      </c>
      <c r="J195" s="177" t="str">
        <f>IF(I195="Buy",G195,IF(I195="Sell",-G195,""))</f>
        <v/>
      </c>
      <c r="K195" s="177" t="str">
        <f>IF(AND(ISNUMBER(J195),ISNUMBER(L195),N(J195)&lt;&gt;0),ROUND(L195/J195,8),"")</f>
        <v/>
      </c>
      <c r="L195" s="177" t="str">
        <f>IF(I195="Buy",-H195,IF(I195="Sell",H195,""))</f>
        <v/>
      </c>
    </row>
    <row r="196" ht="22" customHeight="1">
      <c r="B196" s="245" t="n"/>
      <c r="C196" s="246" t="str">
        <f>IF($B196="","",IF(COUNTIFS(Пул!$E$5:$E$300,$B196,Пул!$F$5:$F$300,"&lt;&gt;")=0,"",ROUND(SUMIFS(Пул!$F$5:$F$300,Пул!$E$5:$E$300,$B196),8)))</f>
        <v/>
      </c>
      <c r="D196" s="247" t="str">
        <f>IF($B196="","",IF(COUNTIFS(Пул!$E$5:$E$300,$B196,Пул!$G$5:$G$300,"&lt;&gt;")=0,"",ROUND(SUMIFS(Пул!$G$5:$G$300,Пул!$E$5:$E$300,$B196),8)))</f>
        <v/>
      </c>
      <c r="E196" s="246" t="str">
        <f>IF($B196="","",IF(COUNTIFS(Пул!$E$5:$E$300,$B196,Пул!$L$5:$L$300,"Закрыт")=0,"",ROUND(SUMIFS(Пул!$H$5:$H$300,Пул!$E$5:$E$300,$B196,Пул!$L$5:$L$300,"Закрыт"),8)))</f>
        <v/>
      </c>
      <c r="F196" s="247" t="str">
        <f>IF($B196="","",IF(COUNTIFS(Пул!$E$5:$E$300,$B196,Пул!$L$5:$L$300,"Закрыт")=0,"",ROUND(SUMIFS(Пул!$I$5:$I$300,Пул!$E$5:$E$300,$B196,Пул!$L$5:$L$300,"Закрыт"),8)))</f>
        <v/>
      </c>
      <c r="G196" s="246" t="str">
        <f>IF($B196="","",IF(COUNTIFS(Пул!$E$5:$E$300,$B196,Пул!$L$5:$L$300,"Закрыт")=0,"",ROUND(SUMIFS(Пул!$J$5:$J$300,Пул!$E$5:$E$300,$B196,Пул!$L$5:$L$300,"Закрыт"),8)))</f>
        <v/>
      </c>
      <c r="H196" s="247" t="str">
        <f>IF($B196="","",IF(COUNTIFS(Пул!$E$5:$E$300,$B196,Пул!$L$5:$L$300,"Закрыт")=0,"",ROUND(SUMIFS(Пул!$K$5:$K$300,Пул!$E$5:$E$300,$B196,Пул!$L$5:$L$300,"Закрыт"),8)))</f>
        <v/>
      </c>
      <c r="I196" s="242" t="str">
        <f>IF(AND(ISNUMBER(G196),ISNUMBER(H196)),IF(AND(G196&gt;0,H196&lt;0),"Buy",IF(AND(G196&lt;0,H196&gt;0),"Sell","")),"")</f>
        <v/>
      </c>
      <c r="J196" s="183" t="str">
        <f>IF(I196="Buy",G196,IF(I196="Sell",-G196,""))</f>
        <v/>
      </c>
      <c r="K196" s="183" t="str">
        <f>IF(AND(ISNUMBER(J196),ISNUMBER(L196),N(J196)&lt;&gt;0),ROUND(L196/J196,8),"")</f>
        <v/>
      </c>
      <c r="L196" s="183" t="str">
        <f>IF(I196="Buy",-H196,IF(I196="Sell",H196,""))</f>
        <v/>
      </c>
    </row>
    <row r="197" ht="22" customHeight="1">
      <c r="B197" s="239" t="n"/>
      <c r="C197" s="240" t="str">
        <f>IF($B197="","",IF(COUNTIFS(Пул!$E$5:$E$300,$B197,Пул!$F$5:$F$300,"&lt;&gt;")=0,"",ROUND(SUMIFS(Пул!$F$5:$F$300,Пул!$E$5:$E$300,$B197),8)))</f>
        <v/>
      </c>
      <c r="D197" s="241" t="str">
        <f>IF($B197="","",IF(COUNTIFS(Пул!$E$5:$E$300,$B197,Пул!$G$5:$G$300,"&lt;&gt;")=0,"",ROUND(SUMIFS(Пул!$G$5:$G$300,Пул!$E$5:$E$300,$B197),8)))</f>
        <v/>
      </c>
      <c r="E197" s="240" t="str">
        <f>IF($B197="","",IF(COUNTIFS(Пул!$E$5:$E$300,$B197,Пул!$L$5:$L$300,"Закрыт")=0,"",ROUND(SUMIFS(Пул!$H$5:$H$300,Пул!$E$5:$E$300,$B197,Пул!$L$5:$L$300,"Закрыт"),8)))</f>
        <v/>
      </c>
      <c r="F197" s="241" t="str">
        <f>IF($B197="","",IF(COUNTIFS(Пул!$E$5:$E$300,$B197,Пул!$L$5:$L$300,"Закрыт")=0,"",ROUND(SUMIFS(Пул!$I$5:$I$300,Пул!$E$5:$E$300,$B197,Пул!$L$5:$L$300,"Закрыт"),8)))</f>
        <v/>
      </c>
      <c r="G197" s="240" t="str">
        <f>IF($B197="","",IF(COUNTIFS(Пул!$E$5:$E$300,$B197,Пул!$L$5:$L$300,"Закрыт")=0,"",ROUND(SUMIFS(Пул!$J$5:$J$300,Пул!$E$5:$E$300,$B197,Пул!$L$5:$L$300,"Закрыт"),8)))</f>
        <v/>
      </c>
      <c r="H197" s="241" t="str">
        <f>IF($B197="","",IF(COUNTIFS(Пул!$E$5:$E$300,$B197,Пул!$L$5:$L$300,"Закрыт")=0,"",ROUND(SUMIFS(Пул!$K$5:$K$300,Пул!$E$5:$E$300,$B197,Пул!$L$5:$L$300,"Закрыт"),8)))</f>
        <v/>
      </c>
      <c r="I197" s="236" t="str">
        <f>IF(AND(ISNUMBER(G197),ISNUMBER(H197)),IF(AND(G197&gt;0,H197&lt;0),"Buy",IF(AND(G197&lt;0,H197&gt;0),"Sell","")),"")</f>
        <v/>
      </c>
      <c r="J197" s="177" t="str">
        <f>IF(I197="Buy",G197,IF(I197="Sell",-G197,""))</f>
        <v/>
      </c>
      <c r="K197" s="177" t="str">
        <f>IF(AND(ISNUMBER(J197),ISNUMBER(L197),N(J197)&lt;&gt;0),ROUND(L197/J197,8),"")</f>
        <v/>
      </c>
      <c r="L197" s="177" t="str">
        <f>IF(I197="Buy",-H197,IF(I197="Sell",H197,""))</f>
        <v/>
      </c>
    </row>
    <row r="198" ht="22" customHeight="1">
      <c r="B198" s="245" t="n"/>
      <c r="C198" s="246" t="str">
        <f>IF($B198="","",IF(COUNTIFS(Пул!$E$5:$E$300,$B198,Пул!$F$5:$F$300,"&lt;&gt;")=0,"",ROUND(SUMIFS(Пул!$F$5:$F$300,Пул!$E$5:$E$300,$B198),8)))</f>
        <v/>
      </c>
      <c r="D198" s="247" t="str">
        <f>IF($B198="","",IF(COUNTIFS(Пул!$E$5:$E$300,$B198,Пул!$G$5:$G$300,"&lt;&gt;")=0,"",ROUND(SUMIFS(Пул!$G$5:$G$300,Пул!$E$5:$E$300,$B198),8)))</f>
        <v/>
      </c>
      <c r="E198" s="246" t="str">
        <f>IF($B198="","",IF(COUNTIFS(Пул!$E$5:$E$300,$B198,Пул!$L$5:$L$300,"Закрыт")=0,"",ROUND(SUMIFS(Пул!$H$5:$H$300,Пул!$E$5:$E$300,$B198,Пул!$L$5:$L$300,"Закрыт"),8)))</f>
        <v/>
      </c>
      <c r="F198" s="247" t="str">
        <f>IF($B198="","",IF(COUNTIFS(Пул!$E$5:$E$300,$B198,Пул!$L$5:$L$300,"Закрыт")=0,"",ROUND(SUMIFS(Пул!$I$5:$I$300,Пул!$E$5:$E$300,$B198,Пул!$L$5:$L$300,"Закрыт"),8)))</f>
        <v/>
      </c>
      <c r="G198" s="246" t="str">
        <f>IF($B198="","",IF(COUNTIFS(Пул!$E$5:$E$300,$B198,Пул!$L$5:$L$300,"Закрыт")=0,"",ROUND(SUMIFS(Пул!$J$5:$J$300,Пул!$E$5:$E$300,$B198,Пул!$L$5:$L$300,"Закрыт"),8)))</f>
        <v/>
      </c>
      <c r="H198" s="247" t="str">
        <f>IF($B198="","",IF(COUNTIFS(Пул!$E$5:$E$300,$B198,Пул!$L$5:$L$300,"Закрыт")=0,"",ROUND(SUMIFS(Пул!$K$5:$K$300,Пул!$E$5:$E$300,$B198,Пул!$L$5:$L$300,"Закрыт"),8)))</f>
        <v/>
      </c>
      <c r="I198" s="242" t="str">
        <f>IF(AND(ISNUMBER(G198),ISNUMBER(H198)),IF(AND(G198&gt;0,H198&lt;0),"Buy",IF(AND(G198&lt;0,H198&gt;0),"Sell","")),"")</f>
        <v/>
      </c>
      <c r="J198" s="183" t="str">
        <f>IF(I198="Buy",G198,IF(I198="Sell",-G198,""))</f>
        <v/>
      </c>
      <c r="K198" s="183" t="str">
        <f>IF(AND(ISNUMBER(J198),ISNUMBER(L198),N(J198)&lt;&gt;0),ROUND(L198/J198,8),"")</f>
        <v/>
      </c>
      <c r="L198" s="183" t="str">
        <f>IF(I198="Buy",-H198,IF(I198="Sell",H198,""))</f>
        <v/>
      </c>
    </row>
    <row r="199" ht="22" customHeight="1">
      <c r="B199" s="239" t="n"/>
      <c r="C199" s="240" t="str">
        <f>IF($B199="","",IF(COUNTIFS(Пул!$E$5:$E$300,$B199,Пул!$F$5:$F$300,"&lt;&gt;")=0,"",ROUND(SUMIFS(Пул!$F$5:$F$300,Пул!$E$5:$E$300,$B199),8)))</f>
        <v/>
      </c>
      <c r="D199" s="241" t="str">
        <f>IF($B199="","",IF(COUNTIFS(Пул!$E$5:$E$300,$B199,Пул!$G$5:$G$300,"&lt;&gt;")=0,"",ROUND(SUMIFS(Пул!$G$5:$G$300,Пул!$E$5:$E$300,$B199),8)))</f>
        <v/>
      </c>
      <c r="E199" s="240" t="str">
        <f>IF($B199="","",IF(COUNTIFS(Пул!$E$5:$E$300,$B199,Пул!$L$5:$L$300,"Закрыт")=0,"",ROUND(SUMIFS(Пул!$H$5:$H$300,Пул!$E$5:$E$300,$B199,Пул!$L$5:$L$300,"Закрыт"),8)))</f>
        <v/>
      </c>
      <c r="F199" s="241" t="str">
        <f>IF($B199="","",IF(COUNTIFS(Пул!$E$5:$E$300,$B199,Пул!$L$5:$L$300,"Закрыт")=0,"",ROUND(SUMIFS(Пул!$I$5:$I$300,Пул!$E$5:$E$300,$B199,Пул!$L$5:$L$300,"Закрыт"),8)))</f>
        <v/>
      </c>
      <c r="G199" s="240" t="str">
        <f>IF($B199="","",IF(COUNTIFS(Пул!$E$5:$E$300,$B199,Пул!$L$5:$L$300,"Закрыт")=0,"",ROUND(SUMIFS(Пул!$J$5:$J$300,Пул!$E$5:$E$300,$B199,Пул!$L$5:$L$300,"Закрыт"),8)))</f>
        <v/>
      </c>
      <c r="H199" s="241" t="str">
        <f>IF($B199="","",IF(COUNTIFS(Пул!$E$5:$E$300,$B199,Пул!$L$5:$L$300,"Закрыт")=0,"",ROUND(SUMIFS(Пул!$K$5:$K$300,Пул!$E$5:$E$300,$B199,Пул!$L$5:$L$300,"Закрыт"),8)))</f>
        <v/>
      </c>
      <c r="I199" s="236" t="str">
        <f>IF(AND(ISNUMBER(G199),ISNUMBER(H199)),IF(AND(G199&gt;0,H199&lt;0),"Buy",IF(AND(G199&lt;0,H199&gt;0),"Sell","")),"")</f>
        <v/>
      </c>
      <c r="J199" s="177" t="str">
        <f>IF(I199="Buy",G199,IF(I199="Sell",-G199,""))</f>
        <v/>
      </c>
      <c r="K199" s="177" t="str">
        <f>IF(AND(ISNUMBER(J199),ISNUMBER(L199),N(J199)&lt;&gt;0),ROUND(L199/J199,8),"")</f>
        <v/>
      </c>
      <c r="L199" s="177" t="str">
        <f>IF(I199="Buy",-H199,IF(I199="Sell",H199,""))</f>
        <v/>
      </c>
    </row>
    <row r="200" ht="22" customHeight="1">
      <c r="B200" s="245" t="n"/>
      <c r="C200" s="246" t="str">
        <f>IF($B200="","",IF(COUNTIFS(Пул!$E$5:$E$300,$B200,Пул!$F$5:$F$300,"&lt;&gt;")=0,"",ROUND(SUMIFS(Пул!$F$5:$F$300,Пул!$E$5:$E$300,$B200),8)))</f>
        <v/>
      </c>
      <c r="D200" s="247" t="str">
        <f>IF($B200="","",IF(COUNTIFS(Пул!$E$5:$E$300,$B200,Пул!$G$5:$G$300,"&lt;&gt;")=0,"",ROUND(SUMIFS(Пул!$G$5:$G$300,Пул!$E$5:$E$300,$B200),8)))</f>
        <v/>
      </c>
      <c r="E200" s="246" t="str">
        <f>IF($B200="","",IF(COUNTIFS(Пул!$E$5:$E$300,$B200,Пул!$L$5:$L$300,"Закрыт")=0,"",ROUND(SUMIFS(Пул!$H$5:$H$300,Пул!$E$5:$E$300,$B200,Пул!$L$5:$L$300,"Закрыт"),8)))</f>
        <v/>
      </c>
      <c r="F200" s="247" t="str">
        <f>IF($B200="","",IF(COUNTIFS(Пул!$E$5:$E$300,$B200,Пул!$L$5:$L$300,"Закрыт")=0,"",ROUND(SUMIFS(Пул!$I$5:$I$300,Пул!$E$5:$E$300,$B200,Пул!$L$5:$L$300,"Закрыт"),8)))</f>
        <v/>
      </c>
      <c r="G200" s="246" t="str">
        <f>IF($B200="","",IF(COUNTIFS(Пул!$E$5:$E$300,$B200,Пул!$L$5:$L$300,"Закрыт")=0,"",ROUND(SUMIFS(Пул!$J$5:$J$300,Пул!$E$5:$E$300,$B200,Пул!$L$5:$L$300,"Закрыт"),8)))</f>
        <v/>
      </c>
      <c r="H200" s="247" t="str">
        <f>IF($B200="","",IF(COUNTIFS(Пул!$E$5:$E$300,$B200,Пул!$L$5:$L$300,"Закрыт")=0,"",ROUND(SUMIFS(Пул!$K$5:$K$300,Пул!$E$5:$E$300,$B200,Пул!$L$5:$L$300,"Закрыт"),8)))</f>
        <v/>
      </c>
      <c r="I200" s="242" t="str">
        <f>IF(AND(ISNUMBER(G200),ISNUMBER(H200)),IF(AND(G200&gt;0,H200&lt;0),"Buy",IF(AND(G200&lt;0,H200&gt;0),"Sell","")),"")</f>
        <v/>
      </c>
      <c r="J200" s="183" t="str">
        <f>IF(I200="Buy",G200,IF(I200="Sell",-G200,""))</f>
        <v/>
      </c>
      <c r="K200" s="183" t="str">
        <f>IF(AND(ISNUMBER(J200),ISNUMBER(L200),N(J200)&lt;&gt;0),ROUND(L200/J200,8),"")</f>
        <v/>
      </c>
      <c r="L200" s="183" t="str">
        <f>IF(I200="Buy",-H200,IF(I200="Sell",H200,""))</f>
        <v/>
      </c>
    </row>
    <row r="201" ht="22" customHeight="1">
      <c r="B201" s="239" t="n"/>
      <c r="C201" s="240" t="str">
        <f>IF($B201="","",IF(COUNTIFS(Пул!$E$5:$E$300,$B201,Пул!$F$5:$F$300,"&lt;&gt;")=0,"",ROUND(SUMIFS(Пул!$F$5:$F$300,Пул!$E$5:$E$300,$B201),8)))</f>
        <v/>
      </c>
      <c r="D201" s="241" t="str">
        <f>IF($B201="","",IF(COUNTIFS(Пул!$E$5:$E$300,$B201,Пул!$G$5:$G$300,"&lt;&gt;")=0,"",ROUND(SUMIFS(Пул!$G$5:$G$300,Пул!$E$5:$E$300,$B201),8)))</f>
        <v/>
      </c>
      <c r="E201" s="240" t="str">
        <f>IF($B201="","",IF(COUNTIFS(Пул!$E$5:$E$300,$B201,Пул!$L$5:$L$300,"Закрыт")=0,"",ROUND(SUMIFS(Пул!$H$5:$H$300,Пул!$E$5:$E$300,$B201,Пул!$L$5:$L$300,"Закрыт"),8)))</f>
        <v/>
      </c>
      <c r="F201" s="241" t="str">
        <f>IF($B201="","",IF(COUNTIFS(Пул!$E$5:$E$300,$B201,Пул!$L$5:$L$300,"Закрыт")=0,"",ROUND(SUMIFS(Пул!$I$5:$I$300,Пул!$E$5:$E$300,$B201,Пул!$L$5:$L$300,"Закрыт"),8)))</f>
        <v/>
      </c>
      <c r="G201" s="240" t="str">
        <f>IF($B201="","",IF(COUNTIFS(Пул!$E$5:$E$300,$B201,Пул!$L$5:$L$300,"Закрыт")=0,"",ROUND(SUMIFS(Пул!$J$5:$J$300,Пул!$E$5:$E$300,$B201,Пул!$L$5:$L$300,"Закрыт"),8)))</f>
        <v/>
      </c>
      <c r="H201" s="241" t="str">
        <f>IF($B201="","",IF(COUNTIFS(Пул!$E$5:$E$300,$B201,Пул!$L$5:$L$300,"Закрыт")=0,"",ROUND(SUMIFS(Пул!$K$5:$K$300,Пул!$E$5:$E$300,$B201,Пул!$L$5:$L$300,"Закрыт"),8)))</f>
        <v/>
      </c>
      <c r="I201" s="236" t="str">
        <f>IF(AND(ISNUMBER(G201),ISNUMBER(H201)),IF(AND(G201&gt;0,H201&lt;0),"Buy",IF(AND(G201&lt;0,H201&gt;0),"Sell","")),"")</f>
        <v/>
      </c>
      <c r="J201" s="177" t="str">
        <f>IF(I201="Buy",G201,IF(I201="Sell",-G201,""))</f>
        <v/>
      </c>
      <c r="K201" s="177" t="str">
        <f>IF(AND(ISNUMBER(J201),ISNUMBER(L201),N(J201)&lt;&gt;0),ROUND(L201/J201,8),"")</f>
        <v/>
      </c>
      <c r="L201" s="177" t="str">
        <f>IF(I201="Buy",-H201,IF(I201="Sell",H201,""))</f>
        <v/>
      </c>
    </row>
    <row r="202" ht="22" customHeight="1">
      <c r="B202" s="245" t="n"/>
      <c r="C202" s="246" t="str">
        <f>IF($B202="","",IF(COUNTIFS(Пул!$E$5:$E$300,$B202,Пул!$F$5:$F$300,"&lt;&gt;")=0,"",ROUND(SUMIFS(Пул!$F$5:$F$300,Пул!$E$5:$E$300,$B202),8)))</f>
        <v/>
      </c>
      <c r="D202" s="247" t="str">
        <f>IF($B202="","",IF(COUNTIFS(Пул!$E$5:$E$300,$B202,Пул!$G$5:$G$300,"&lt;&gt;")=0,"",ROUND(SUMIFS(Пул!$G$5:$G$300,Пул!$E$5:$E$300,$B202),8)))</f>
        <v/>
      </c>
      <c r="E202" s="246" t="str">
        <f>IF($B202="","",IF(COUNTIFS(Пул!$E$5:$E$300,$B202,Пул!$L$5:$L$300,"Закрыт")=0,"",ROUND(SUMIFS(Пул!$H$5:$H$300,Пул!$E$5:$E$300,$B202,Пул!$L$5:$L$300,"Закрыт"),8)))</f>
        <v/>
      </c>
      <c r="F202" s="247" t="str">
        <f>IF($B202="","",IF(COUNTIFS(Пул!$E$5:$E$300,$B202,Пул!$L$5:$L$300,"Закрыт")=0,"",ROUND(SUMIFS(Пул!$I$5:$I$300,Пул!$E$5:$E$300,$B202,Пул!$L$5:$L$300,"Закрыт"),8)))</f>
        <v/>
      </c>
      <c r="G202" s="246" t="str">
        <f>IF($B202="","",IF(COUNTIFS(Пул!$E$5:$E$300,$B202,Пул!$L$5:$L$300,"Закрыт")=0,"",ROUND(SUMIFS(Пул!$J$5:$J$300,Пул!$E$5:$E$300,$B202,Пул!$L$5:$L$300,"Закрыт"),8)))</f>
        <v/>
      </c>
      <c r="H202" s="247" t="str">
        <f>IF($B202="","",IF(COUNTIFS(Пул!$E$5:$E$300,$B202,Пул!$L$5:$L$300,"Закрыт")=0,"",ROUND(SUMIFS(Пул!$K$5:$K$300,Пул!$E$5:$E$300,$B202,Пул!$L$5:$L$300,"Закрыт"),8)))</f>
        <v/>
      </c>
      <c r="I202" s="242" t="str">
        <f>IF(AND(ISNUMBER(G202),ISNUMBER(H202)),IF(AND(G202&gt;0,H202&lt;0),"Buy",IF(AND(G202&lt;0,H202&gt;0),"Sell","")),"")</f>
        <v/>
      </c>
      <c r="J202" s="183" t="str">
        <f>IF(I202="Buy",G202,IF(I202="Sell",-G202,""))</f>
        <v/>
      </c>
      <c r="K202" s="183" t="str">
        <f>IF(AND(ISNUMBER(J202),ISNUMBER(L202),N(J202)&lt;&gt;0),ROUND(L202/J202,8),"")</f>
        <v/>
      </c>
      <c r="L202" s="183" t="str">
        <f>IF(I202="Buy",-H202,IF(I202="Sell",H202,""))</f>
        <v/>
      </c>
    </row>
    <row r="203" ht="22" customHeight="1">
      <c r="B203" s="239" t="n"/>
      <c r="C203" s="240" t="str">
        <f>IF($B203="","",IF(COUNTIFS(Пул!$E$5:$E$300,$B203,Пул!$F$5:$F$300,"&lt;&gt;")=0,"",ROUND(SUMIFS(Пул!$F$5:$F$300,Пул!$E$5:$E$300,$B203),8)))</f>
        <v/>
      </c>
      <c r="D203" s="241" t="str">
        <f>IF($B203="","",IF(COUNTIFS(Пул!$E$5:$E$300,$B203,Пул!$G$5:$G$300,"&lt;&gt;")=0,"",ROUND(SUMIFS(Пул!$G$5:$G$300,Пул!$E$5:$E$300,$B203),8)))</f>
        <v/>
      </c>
      <c r="E203" s="240" t="str">
        <f>IF($B203="","",IF(COUNTIFS(Пул!$E$5:$E$300,$B203,Пул!$L$5:$L$300,"Закрыт")=0,"",ROUND(SUMIFS(Пул!$H$5:$H$300,Пул!$E$5:$E$300,$B203,Пул!$L$5:$L$300,"Закрыт"),8)))</f>
        <v/>
      </c>
      <c r="F203" s="241" t="str">
        <f>IF($B203="","",IF(COUNTIFS(Пул!$E$5:$E$300,$B203,Пул!$L$5:$L$300,"Закрыт")=0,"",ROUND(SUMIFS(Пул!$I$5:$I$300,Пул!$E$5:$E$300,$B203,Пул!$L$5:$L$300,"Закрыт"),8)))</f>
        <v/>
      </c>
      <c r="G203" s="240" t="str">
        <f>IF($B203="","",IF(COUNTIFS(Пул!$E$5:$E$300,$B203,Пул!$L$5:$L$300,"Закрыт")=0,"",ROUND(SUMIFS(Пул!$J$5:$J$300,Пул!$E$5:$E$300,$B203,Пул!$L$5:$L$300,"Закрыт"),8)))</f>
        <v/>
      </c>
      <c r="H203" s="241" t="str">
        <f>IF($B203="","",IF(COUNTIFS(Пул!$E$5:$E$300,$B203,Пул!$L$5:$L$300,"Закрыт")=0,"",ROUND(SUMIFS(Пул!$K$5:$K$300,Пул!$E$5:$E$300,$B203,Пул!$L$5:$L$300,"Закрыт"),8)))</f>
        <v/>
      </c>
      <c r="I203" s="236" t="str">
        <f>IF(AND(ISNUMBER(G203),ISNUMBER(H203)),IF(AND(G203&gt;0,H203&lt;0),"Buy",IF(AND(G203&lt;0,H203&gt;0),"Sell","")),"")</f>
        <v/>
      </c>
      <c r="J203" s="177" t="str">
        <f>IF(I203="Buy",G203,IF(I203="Sell",-G203,""))</f>
        <v/>
      </c>
      <c r="K203" s="177" t="str">
        <f>IF(AND(ISNUMBER(J203),ISNUMBER(L203),N(J203)&lt;&gt;0),ROUND(L203/J203,8),"")</f>
        <v/>
      </c>
      <c r="L203" s="177" t="str">
        <f>IF(I203="Buy",-H203,IF(I203="Sell",H203,""))</f>
        <v/>
      </c>
    </row>
    <row r="204" ht="22" customHeight="1">
      <c r="B204" s="245" t="n"/>
      <c r="C204" s="246" t="str">
        <f>IF($B204="","",IF(COUNTIFS(Пул!$E$5:$E$300,$B204,Пул!$F$5:$F$300,"&lt;&gt;")=0,"",ROUND(SUMIFS(Пул!$F$5:$F$300,Пул!$E$5:$E$300,$B204),8)))</f>
        <v/>
      </c>
      <c r="D204" s="247" t="str">
        <f>IF($B204="","",IF(COUNTIFS(Пул!$E$5:$E$300,$B204,Пул!$G$5:$G$300,"&lt;&gt;")=0,"",ROUND(SUMIFS(Пул!$G$5:$G$300,Пул!$E$5:$E$300,$B204),8)))</f>
        <v/>
      </c>
      <c r="E204" s="246" t="str">
        <f>IF($B204="","",IF(COUNTIFS(Пул!$E$5:$E$300,$B204,Пул!$L$5:$L$300,"Закрыт")=0,"",ROUND(SUMIFS(Пул!$H$5:$H$300,Пул!$E$5:$E$300,$B204,Пул!$L$5:$L$300,"Закрыт"),8)))</f>
        <v/>
      </c>
      <c r="F204" s="247" t="str">
        <f>IF($B204="","",IF(COUNTIFS(Пул!$E$5:$E$300,$B204,Пул!$L$5:$L$300,"Закрыт")=0,"",ROUND(SUMIFS(Пул!$I$5:$I$300,Пул!$E$5:$E$300,$B204,Пул!$L$5:$L$300,"Закрыт"),8)))</f>
        <v/>
      </c>
      <c r="G204" s="246" t="str">
        <f>IF($B204="","",IF(COUNTIFS(Пул!$E$5:$E$300,$B204,Пул!$L$5:$L$300,"Закрыт")=0,"",ROUND(SUMIFS(Пул!$J$5:$J$300,Пул!$E$5:$E$300,$B204,Пул!$L$5:$L$300,"Закрыт"),8)))</f>
        <v/>
      </c>
      <c r="H204" s="247" t="str">
        <f>IF($B204="","",IF(COUNTIFS(Пул!$E$5:$E$300,$B204,Пул!$L$5:$L$300,"Закрыт")=0,"",ROUND(SUMIFS(Пул!$K$5:$K$300,Пул!$E$5:$E$300,$B204,Пул!$L$5:$L$300,"Закрыт"),8)))</f>
        <v/>
      </c>
      <c r="I204" s="242" t="str">
        <f>IF(AND(ISNUMBER(G204),ISNUMBER(H204)),IF(AND(G204&gt;0,H204&lt;0),"Buy",IF(AND(G204&lt;0,H204&gt;0),"Sell","")),"")</f>
        <v/>
      </c>
      <c r="J204" s="183" t="str">
        <f>IF(I204="Buy",G204,IF(I204="Sell",-G204,""))</f>
        <v/>
      </c>
      <c r="K204" s="183" t="str">
        <f>IF(AND(ISNUMBER(J204),ISNUMBER(L204),N(J204)&lt;&gt;0),ROUND(L204/J204,8),"")</f>
        <v/>
      </c>
      <c r="L204" s="183" t="str">
        <f>IF(I204="Buy",-H204,IF(I204="Sell",H204,""))</f>
        <v/>
      </c>
    </row>
    <row r="205" ht="22" customHeight="1">
      <c r="B205" s="239" t="n"/>
      <c r="C205" s="240" t="str">
        <f>IF($B205="","",IF(COUNTIFS(Пул!$E$5:$E$300,$B205,Пул!$F$5:$F$300,"&lt;&gt;")=0,"",ROUND(SUMIFS(Пул!$F$5:$F$300,Пул!$E$5:$E$300,$B205),8)))</f>
        <v/>
      </c>
      <c r="D205" s="241" t="str">
        <f>IF($B205="","",IF(COUNTIFS(Пул!$E$5:$E$300,$B205,Пул!$G$5:$G$300,"&lt;&gt;")=0,"",ROUND(SUMIFS(Пул!$G$5:$G$300,Пул!$E$5:$E$300,$B205),8)))</f>
        <v/>
      </c>
      <c r="E205" s="240" t="str">
        <f>IF($B205="","",IF(COUNTIFS(Пул!$E$5:$E$300,$B205,Пул!$L$5:$L$300,"Закрыт")=0,"",ROUND(SUMIFS(Пул!$H$5:$H$300,Пул!$E$5:$E$300,$B205,Пул!$L$5:$L$300,"Закрыт"),8)))</f>
        <v/>
      </c>
      <c r="F205" s="241" t="str">
        <f>IF($B205="","",IF(COUNTIFS(Пул!$E$5:$E$300,$B205,Пул!$L$5:$L$300,"Закрыт")=0,"",ROUND(SUMIFS(Пул!$I$5:$I$300,Пул!$E$5:$E$300,$B205,Пул!$L$5:$L$300,"Закрыт"),8)))</f>
        <v/>
      </c>
      <c r="G205" s="240" t="str">
        <f>IF($B205="","",IF(COUNTIFS(Пул!$E$5:$E$300,$B205,Пул!$L$5:$L$300,"Закрыт")=0,"",ROUND(SUMIFS(Пул!$J$5:$J$300,Пул!$E$5:$E$300,$B205,Пул!$L$5:$L$300,"Закрыт"),8)))</f>
        <v/>
      </c>
      <c r="H205" s="241" t="str">
        <f>IF($B205="","",IF(COUNTIFS(Пул!$E$5:$E$300,$B205,Пул!$L$5:$L$300,"Закрыт")=0,"",ROUND(SUMIFS(Пул!$K$5:$K$300,Пул!$E$5:$E$300,$B205,Пул!$L$5:$L$300,"Закрыт"),8)))</f>
        <v/>
      </c>
      <c r="I205" s="236" t="str">
        <f>IF(AND(ISNUMBER(G205),ISNUMBER(H205)),IF(AND(G205&gt;0,H205&lt;0),"Buy",IF(AND(G205&lt;0,H205&gt;0),"Sell","")),"")</f>
        <v/>
      </c>
      <c r="J205" s="177" t="str">
        <f>IF(I205="Buy",G205,IF(I205="Sell",-G205,""))</f>
        <v/>
      </c>
      <c r="K205" s="177" t="str">
        <f>IF(AND(ISNUMBER(J205),ISNUMBER(L205),N(J205)&lt;&gt;0),ROUND(L205/J205,8),"")</f>
        <v/>
      </c>
      <c r="L205" s="177" t="str">
        <f>IF(I205="Buy",-H205,IF(I205="Sell",H205,""))</f>
        <v/>
      </c>
    </row>
    <row r="206" ht="22" customHeight="1">
      <c r="B206" s="245" t="n"/>
      <c r="C206" s="246" t="str">
        <f>IF($B206="","",IF(COUNTIFS(Пул!$E$5:$E$300,$B206,Пул!$F$5:$F$300,"&lt;&gt;")=0,"",ROUND(SUMIFS(Пул!$F$5:$F$300,Пул!$E$5:$E$300,$B206),8)))</f>
        <v/>
      </c>
      <c r="D206" s="247" t="str">
        <f>IF($B206="","",IF(COUNTIFS(Пул!$E$5:$E$300,$B206,Пул!$G$5:$G$300,"&lt;&gt;")=0,"",ROUND(SUMIFS(Пул!$G$5:$G$300,Пул!$E$5:$E$300,$B206),8)))</f>
        <v/>
      </c>
      <c r="E206" s="246" t="str">
        <f>IF($B206="","",IF(COUNTIFS(Пул!$E$5:$E$300,$B206,Пул!$L$5:$L$300,"Закрыт")=0,"",ROUND(SUMIFS(Пул!$H$5:$H$300,Пул!$E$5:$E$300,$B206,Пул!$L$5:$L$300,"Закрыт"),8)))</f>
        <v/>
      </c>
      <c r="F206" s="247" t="str">
        <f>IF($B206="","",IF(COUNTIFS(Пул!$E$5:$E$300,$B206,Пул!$L$5:$L$300,"Закрыт")=0,"",ROUND(SUMIFS(Пул!$I$5:$I$300,Пул!$E$5:$E$300,$B206,Пул!$L$5:$L$300,"Закрыт"),8)))</f>
        <v/>
      </c>
      <c r="G206" s="246" t="str">
        <f>IF($B206="","",IF(COUNTIFS(Пул!$E$5:$E$300,$B206,Пул!$L$5:$L$300,"Закрыт")=0,"",ROUND(SUMIFS(Пул!$J$5:$J$300,Пул!$E$5:$E$300,$B206,Пул!$L$5:$L$300,"Закрыт"),8)))</f>
        <v/>
      </c>
      <c r="H206" s="247" t="str">
        <f>IF($B206="","",IF(COUNTIFS(Пул!$E$5:$E$300,$B206,Пул!$L$5:$L$300,"Закрыт")=0,"",ROUND(SUMIFS(Пул!$K$5:$K$300,Пул!$E$5:$E$300,$B206,Пул!$L$5:$L$300,"Закрыт"),8)))</f>
        <v/>
      </c>
      <c r="I206" s="242" t="str">
        <f>IF(AND(ISNUMBER(G206),ISNUMBER(H206)),IF(AND(G206&gt;0,H206&lt;0),"Buy",IF(AND(G206&lt;0,H206&gt;0),"Sell","")),"")</f>
        <v/>
      </c>
      <c r="J206" s="183" t="str">
        <f>IF(I206="Buy",G206,IF(I206="Sell",-G206,""))</f>
        <v/>
      </c>
      <c r="K206" s="183" t="str">
        <f>IF(AND(ISNUMBER(J206),ISNUMBER(L206),N(J206)&lt;&gt;0),ROUND(L206/J206,8),"")</f>
        <v/>
      </c>
      <c r="L206" s="183" t="str">
        <f>IF(I206="Buy",-H206,IF(I206="Sell",H206,""))</f>
        <v/>
      </c>
    </row>
    <row r="207" ht="22" customHeight="1">
      <c r="B207" s="239" t="n"/>
      <c r="C207" s="240" t="str">
        <f>IF($B207="","",IF(COUNTIFS(Пул!$E$5:$E$300,$B207,Пул!$F$5:$F$300,"&lt;&gt;")=0,"",ROUND(SUMIFS(Пул!$F$5:$F$300,Пул!$E$5:$E$300,$B207),8)))</f>
        <v/>
      </c>
      <c r="D207" s="241" t="str">
        <f>IF($B207="","",IF(COUNTIFS(Пул!$E$5:$E$300,$B207,Пул!$G$5:$G$300,"&lt;&gt;")=0,"",ROUND(SUMIFS(Пул!$G$5:$G$300,Пул!$E$5:$E$300,$B207),8)))</f>
        <v/>
      </c>
      <c r="E207" s="240" t="str">
        <f>IF($B207="","",IF(COUNTIFS(Пул!$E$5:$E$300,$B207,Пул!$L$5:$L$300,"Закрыт")=0,"",ROUND(SUMIFS(Пул!$H$5:$H$300,Пул!$E$5:$E$300,$B207,Пул!$L$5:$L$300,"Закрыт"),8)))</f>
        <v/>
      </c>
      <c r="F207" s="241" t="str">
        <f>IF($B207="","",IF(COUNTIFS(Пул!$E$5:$E$300,$B207,Пул!$L$5:$L$300,"Закрыт")=0,"",ROUND(SUMIFS(Пул!$I$5:$I$300,Пул!$E$5:$E$300,$B207,Пул!$L$5:$L$300,"Закрыт"),8)))</f>
        <v/>
      </c>
      <c r="G207" s="240" t="str">
        <f>IF($B207="","",IF(COUNTIFS(Пул!$E$5:$E$300,$B207,Пул!$L$5:$L$300,"Закрыт")=0,"",ROUND(SUMIFS(Пул!$J$5:$J$300,Пул!$E$5:$E$300,$B207,Пул!$L$5:$L$300,"Закрыт"),8)))</f>
        <v/>
      </c>
      <c r="H207" s="241" t="str">
        <f>IF($B207="","",IF(COUNTIFS(Пул!$E$5:$E$300,$B207,Пул!$L$5:$L$300,"Закрыт")=0,"",ROUND(SUMIFS(Пул!$K$5:$K$300,Пул!$E$5:$E$300,$B207,Пул!$L$5:$L$300,"Закрыт"),8)))</f>
        <v/>
      </c>
      <c r="I207" s="236" t="str">
        <f>IF(AND(ISNUMBER(G207),ISNUMBER(H207)),IF(AND(G207&gt;0,H207&lt;0),"Buy",IF(AND(G207&lt;0,H207&gt;0),"Sell","")),"")</f>
        <v/>
      </c>
      <c r="J207" s="177" t="str">
        <f>IF(I207="Buy",G207,IF(I207="Sell",-G207,""))</f>
        <v/>
      </c>
      <c r="K207" s="177" t="str">
        <f>IF(AND(ISNUMBER(J207),ISNUMBER(L207),N(J207)&lt;&gt;0),ROUND(L207/J207,8),"")</f>
        <v/>
      </c>
      <c r="L207" s="177" t="str">
        <f>IF(I207="Buy",-H207,IF(I207="Sell",H207,""))</f>
        <v/>
      </c>
    </row>
    <row r="208" ht="22" customHeight="1">
      <c r="B208" s="245" t="n"/>
      <c r="C208" s="246" t="str">
        <f>IF($B208="","",IF(COUNTIFS(Пул!$E$5:$E$300,$B208,Пул!$F$5:$F$300,"&lt;&gt;")=0,"",ROUND(SUMIFS(Пул!$F$5:$F$300,Пул!$E$5:$E$300,$B208),8)))</f>
        <v/>
      </c>
      <c r="D208" s="247" t="str">
        <f>IF($B208="","",IF(COUNTIFS(Пул!$E$5:$E$300,$B208,Пул!$G$5:$G$300,"&lt;&gt;")=0,"",ROUND(SUMIFS(Пул!$G$5:$G$300,Пул!$E$5:$E$300,$B208),8)))</f>
        <v/>
      </c>
      <c r="E208" s="246" t="str">
        <f>IF($B208="","",IF(COUNTIFS(Пул!$E$5:$E$300,$B208,Пул!$L$5:$L$300,"Закрыт")=0,"",ROUND(SUMIFS(Пул!$H$5:$H$300,Пул!$E$5:$E$300,$B208,Пул!$L$5:$L$300,"Закрыт"),8)))</f>
        <v/>
      </c>
      <c r="F208" s="247" t="str">
        <f>IF($B208="","",IF(COUNTIFS(Пул!$E$5:$E$300,$B208,Пул!$L$5:$L$300,"Закрыт")=0,"",ROUND(SUMIFS(Пул!$I$5:$I$300,Пул!$E$5:$E$300,$B208,Пул!$L$5:$L$300,"Закрыт"),8)))</f>
        <v/>
      </c>
      <c r="G208" s="246" t="str">
        <f>IF($B208="","",IF(COUNTIFS(Пул!$E$5:$E$300,$B208,Пул!$L$5:$L$300,"Закрыт")=0,"",ROUND(SUMIFS(Пул!$J$5:$J$300,Пул!$E$5:$E$300,$B208,Пул!$L$5:$L$300,"Закрыт"),8)))</f>
        <v/>
      </c>
      <c r="H208" s="247" t="str">
        <f>IF($B208="","",IF(COUNTIFS(Пул!$E$5:$E$300,$B208,Пул!$L$5:$L$300,"Закрыт")=0,"",ROUND(SUMIFS(Пул!$K$5:$K$300,Пул!$E$5:$E$300,$B208,Пул!$L$5:$L$300,"Закрыт"),8)))</f>
        <v/>
      </c>
      <c r="I208" s="242" t="str">
        <f>IF(AND(ISNUMBER(G208),ISNUMBER(H208)),IF(AND(G208&gt;0,H208&lt;0),"Buy",IF(AND(G208&lt;0,H208&gt;0),"Sell","")),"")</f>
        <v/>
      </c>
      <c r="J208" s="183" t="str">
        <f>IF(I208="Buy",G208,IF(I208="Sell",-G208,""))</f>
        <v/>
      </c>
      <c r="K208" s="183" t="str">
        <f>IF(AND(ISNUMBER(J208),ISNUMBER(L208),N(J208)&lt;&gt;0),ROUND(L208/J208,8),"")</f>
        <v/>
      </c>
      <c r="L208" s="183" t="str">
        <f>IF(I208="Buy",-H208,IF(I208="Sell",H208,""))</f>
        <v/>
      </c>
    </row>
    <row r="209" ht="22" customHeight="1">
      <c r="B209" s="239" t="n"/>
      <c r="C209" s="240" t="str">
        <f>IF($B209="","",IF(COUNTIFS(Пул!$E$5:$E$300,$B209,Пул!$F$5:$F$300,"&lt;&gt;")=0,"",ROUND(SUMIFS(Пул!$F$5:$F$300,Пул!$E$5:$E$300,$B209),8)))</f>
        <v/>
      </c>
      <c r="D209" s="241" t="str">
        <f>IF($B209="","",IF(COUNTIFS(Пул!$E$5:$E$300,$B209,Пул!$G$5:$G$300,"&lt;&gt;")=0,"",ROUND(SUMIFS(Пул!$G$5:$G$300,Пул!$E$5:$E$300,$B209),8)))</f>
        <v/>
      </c>
      <c r="E209" s="240" t="str">
        <f>IF($B209="","",IF(COUNTIFS(Пул!$E$5:$E$300,$B209,Пул!$L$5:$L$300,"Закрыт")=0,"",ROUND(SUMIFS(Пул!$H$5:$H$300,Пул!$E$5:$E$300,$B209,Пул!$L$5:$L$300,"Закрыт"),8)))</f>
        <v/>
      </c>
      <c r="F209" s="241" t="str">
        <f>IF($B209="","",IF(COUNTIFS(Пул!$E$5:$E$300,$B209,Пул!$L$5:$L$300,"Закрыт")=0,"",ROUND(SUMIFS(Пул!$I$5:$I$300,Пул!$E$5:$E$300,$B209,Пул!$L$5:$L$300,"Закрыт"),8)))</f>
        <v/>
      </c>
      <c r="G209" s="240" t="str">
        <f>IF($B209="","",IF(COUNTIFS(Пул!$E$5:$E$300,$B209,Пул!$L$5:$L$300,"Закрыт")=0,"",ROUND(SUMIFS(Пул!$J$5:$J$300,Пул!$E$5:$E$300,$B209,Пул!$L$5:$L$300,"Закрыт"),8)))</f>
        <v/>
      </c>
      <c r="H209" s="241" t="str">
        <f>IF($B209="","",IF(COUNTIFS(Пул!$E$5:$E$300,$B209,Пул!$L$5:$L$300,"Закрыт")=0,"",ROUND(SUMIFS(Пул!$K$5:$K$300,Пул!$E$5:$E$300,$B209,Пул!$L$5:$L$300,"Закрыт"),8)))</f>
        <v/>
      </c>
      <c r="I209" s="236" t="str">
        <f>IF(AND(ISNUMBER(G209),ISNUMBER(H209)),IF(AND(G209&gt;0,H209&lt;0),"Buy",IF(AND(G209&lt;0,H209&gt;0),"Sell","")),"")</f>
        <v/>
      </c>
      <c r="J209" s="177" t="str">
        <f>IF(I209="Buy",G209,IF(I209="Sell",-G209,""))</f>
        <v/>
      </c>
      <c r="K209" s="177" t="str">
        <f>IF(AND(ISNUMBER(J209),ISNUMBER(L209),N(J209)&lt;&gt;0),ROUND(L209/J209,8),"")</f>
        <v/>
      </c>
      <c r="L209" s="177" t="str">
        <f>IF(I209="Buy",-H209,IF(I209="Sell",H209,""))</f>
        <v/>
      </c>
    </row>
    <row r="210" ht="22" customHeight="1">
      <c r="B210" s="245" t="n"/>
      <c r="C210" s="246" t="str">
        <f>IF($B210="","",IF(COUNTIFS(Пул!$E$5:$E$300,$B210,Пул!$F$5:$F$300,"&lt;&gt;")=0,"",ROUND(SUMIFS(Пул!$F$5:$F$300,Пул!$E$5:$E$300,$B210),8)))</f>
        <v/>
      </c>
      <c r="D210" s="247" t="str">
        <f>IF($B210="","",IF(COUNTIFS(Пул!$E$5:$E$300,$B210,Пул!$G$5:$G$300,"&lt;&gt;")=0,"",ROUND(SUMIFS(Пул!$G$5:$G$300,Пул!$E$5:$E$300,$B210),8)))</f>
        <v/>
      </c>
      <c r="E210" s="246" t="str">
        <f>IF($B210="","",IF(COUNTIFS(Пул!$E$5:$E$300,$B210,Пул!$L$5:$L$300,"Закрыт")=0,"",ROUND(SUMIFS(Пул!$H$5:$H$300,Пул!$E$5:$E$300,$B210,Пул!$L$5:$L$300,"Закрыт"),8)))</f>
        <v/>
      </c>
      <c r="F210" s="247" t="str">
        <f>IF($B210="","",IF(COUNTIFS(Пул!$E$5:$E$300,$B210,Пул!$L$5:$L$300,"Закрыт")=0,"",ROUND(SUMIFS(Пул!$I$5:$I$300,Пул!$E$5:$E$300,$B210,Пул!$L$5:$L$300,"Закрыт"),8)))</f>
        <v/>
      </c>
      <c r="G210" s="246" t="str">
        <f>IF($B210="","",IF(COUNTIFS(Пул!$E$5:$E$300,$B210,Пул!$L$5:$L$300,"Закрыт")=0,"",ROUND(SUMIFS(Пул!$J$5:$J$300,Пул!$E$5:$E$300,$B210,Пул!$L$5:$L$300,"Закрыт"),8)))</f>
        <v/>
      </c>
      <c r="H210" s="247" t="str">
        <f>IF($B210="","",IF(COUNTIFS(Пул!$E$5:$E$300,$B210,Пул!$L$5:$L$300,"Закрыт")=0,"",ROUND(SUMIFS(Пул!$K$5:$K$300,Пул!$E$5:$E$300,$B210,Пул!$L$5:$L$300,"Закрыт"),8)))</f>
        <v/>
      </c>
      <c r="I210" s="242" t="str">
        <f>IF(AND(ISNUMBER(G210),ISNUMBER(H210)),IF(AND(G210&gt;0,H210&lt;0),"Buy",IF(AND(G210&lt;0,H210&gt;0),"Sell","")),"")</f>
        <v/>
      </c>
      <c r="J210" s="183" t="str">
        <f>IF(I210="Buy",G210,IF(I210="Sell",-G210,""))</f>
        <v/>
      </c>
      <c r="K210" s="183" t="str">
        <f>IF(AND(ISNUMBER(J210),ISNUMBER(L210),N(J210)&lt;&gt;0),ROUND(L210/J210,8),"")</f>
        <v/>
      </c>
      <c r="L210" s="183" t="str">
        <f>IF(I210="Buy",-H210,IF(I210="Sell",H210,""))</f>
        <v/>
      </c>
    </row>
    <row r="211" ht="22" customHeight="1">
      <c r="B211" s="239" t="n"/>
      <c r="C211" s="240" t="str">
        <f>IF($B211="","",IF(COUNTIFS(Пул!$E$5:$E$300,$B211,Пул!$F$5:$F$300,"&lt;&gt;")=0,"",ROUND(SUMIFS(Пул!$F$5:$F$300,Пул!$E$5:$E$300,$B211),8)))</f>
        <v/>
      </c>
      <c r="D211" s="241" t="str">
        <f>IF($B211="","",IF(COUNTIFS(Пул!$E$5:$E$300,$B211,Пул!$G$5:$G$300,"&lt;&gt;")=0,"",ROUND(SUMIFS(Пул!$G$5:$G$300,Пул!$E$5:$E$300,$B211),8)))</f>
        <v/>
      </c>
      <c r="E211" s="240" t="str">
        <f>IF($B211="","",IF(COUNTIFS(Пул!$E$5:$E$300,$B211,Пул!$L$5:$L$300,"Закрыт")=0,"",ROUND(SUMIFS(Пул!$H$5:$H$300,Пул!$E$5:$E$300,$B211,Пул!$L$5:$L$300,"Закрыт"),8)))</f>
        <v/>
      </c>
      <c r="F211" s="241" t="str">
        <f>IF($B211="","",IF(COUNTIFS(Пул!$E$5:$E$300,$B211,Пул!$L$5:$L$300,"Закрыт")=0,"",ROUND(SUMIFS(Пул!$I$5:$I$300,Пул!$E$5:$E$300,$B211,Пул!$L$5:$L$300,"Закрыт"),8)))</f>
        <v/>
      </c>
      <c r="G211" s="240" t="str">
        <f>IF($B211="","",IF(COUNTIFS(Пул!$E$5:$E$300,$B211,Пул!$L$5:$L$300,"Закрыт")=0,"",ROUND(SUMIFS(Пул!$J$5:$J$300,Пул!$E$5:$E$300,$B211,Пул!$L$5:$L$300,"Закрыт"),8)))</f>
        <v/>
      </c>
      <c r="H211" s="241" t="str">
        <f>IF($B211="","",IF(COUNTIFS(Пул!$E$5:$E$300,$B211,Пул!$L$5:$L$300,"Закрыт")=0,"",ROUND(SUMIFS(Пул!$K$5:$K$300,Пул!$E$5:$E$300,$B211,Пул!$L$5:$L$300,"Закрыт"),8)))</f>
        <v/>
      </c>
      <c r="I211" s="236" t="str">
        <f>IF(AND(ISNUMBER(G211),ISNUMBER(H211)),IF(AND(G211&gt;0,H211&lt;0),"Buy",IF(AND(G211&lt;0,H211&gt;0),"Sell","")),"")</f>
        <v/>
      </c>
      <c r="J211" s="177" t="str">
        <f>IF(I211="Buy",G211,IF(I211="Sell",-G211,""))</f>
        <v/>
      </c>
      <c r="K211" s="177" t="str">
        <f>IF(AND(ISNUMBER(J211),ISNUMBER(L211),N(J211)&lt;&gt;0),ROUND(L211/J211,8),"")</f>
        <v/>
      </c>
      <c r="L211" s="177" t="str">
        <f>IF(I211="Buy",-H211,IF(I211="Sell",H211,""))</f>
        <v/>
      </c>
    </row>
    <row r="212" ht="22" customHeight="1">
      <c r="B212" s="245" t="n"/>
      <c r="C212" s="246" t="str">
        <f>IF($B212="","",IF(COUNTIFS(Пул!$E$5:$E$300,$B212,Пул!$F$5:$F$300,"&lt;&gt;")=0,"",ROUND(SUMIFS(Пул!$F$5:$F$300,Пул!$E$5:$E$300,$B212),8)))</f>
        <v/>
      </c>
      <c r="D212" s="247" t="str">
        <f>IF($B212="","",IF(COUNTIFS(Пул!$E$5:$E$300,$B212,Пул!$G$5:$G$300,"&lt;&gt;")=0,"",ROUND(SUMIFS(Пул!$G$5:$G$300,Пул!$E$5:$E$300,$B212),8)))</f>
        <v/>
      </c>
      <c r="E212" s="246" t="str">
        <f>IF($B212="","",IF(COUNTIFS(Пул!$E$5:$E$300,$B212,Пул!$L$5:$L$300,"Закрыт")=0,"",ROUND(SUMIFS(Пул!$H$5:$H$300,Пул!$E$5:$E$300,$B212,Пул!$L$5:$L$300,"Закрыт"),8)))</f>
        <v/>
      </c>
      <c r="F212" s="247" t="str">
        <f>IF($B212="","",IF(COUNTIFS(Пул!$E$5:$E$300,$B212,Пул!$L$5:$L$300,"Закрыт")=0,"",ROUND(SUMIFS(Пул!$I$5:$I$300,Пул!$E$5:$E$300,$B212,Пул!$L$5:$L$300,"Закрыт"),8)))</f>
        <v/>
      </c>
      <c r="G212" s="246" t="str">
        <f>IF($B212="","",IF(COUNTIFS(Пул!$E$5:$E$300,$B212,Пул!$L$5:$L$300,"Закрыт")=0,"",ROUND(SUMIFS(Пул!$J$5:$J$300,Пул!$E$5:$E$300,$B212,Пул!$L$5:$L$300,"Закрыт"),8)))</f>
        <v/>
      </c>
      <c r="H212" s="247" t="str">
        <f>IF($B212="","",IF(COUNTIFS(Пул!$E$5:$E$300,$B212,Пул!$L$5:$L$300,"Закрыт")=0,"",ROUND(SUMIFS(Пул!$K$5:$K$300,Пул!$E$5:$E$300,$B212,Пул!$L$5:$L$300,"Закрыт"),8)))</f>
        <v/>
      </c>
      <c r="I212" s="242" t="str">
        <f>IF(AND(ISNUMBER(G212),ISNUMBER(H212)),IF(AND(G212&gt;0,H212&lt;0),"Buy",IF(AND(G212&lt;0,H212&gt;0),"Sell","")),"")</f>
        <v/>
      </c>
      <c r="J212" s="183" t="str">
        <f>IF(I212="Buy",G212,IF(I212="Sell",-G212,""))</f>
        <v/>
      </c>
      <c r="K212" s="183" t="str">
        <f>IF(AND(ISNUMBER(J212),ISNUMBER(L212),N(J212)&lt;&gt;0),ROUND(L212/J212,8),"")</f>
        <v/>
      </c>
      <c r="L212" s="183" t="str">
        <f>IF(I212="Buy",-H212,IF(I212="Sell",H212,""))</f>
        <v/>
      </c>
    </row>
    <row r="213" ht="22" customHeight="1">
      <c r="B213" s="239" t="n"/>
      <c r="C213" s="240" t="str">
        <f>IF($B213="","",IF(COUNTIFS(Пул!$E$5:$E$300,$B213,Пул!$F$5:$F$300,"&lt;&gt;")=0,"",ROUND(SUMIFS(Пул!$F$5:$F$300,Пул!$E$5:$E$300,$B213),8)))</f>
        <v/>
      </c>
      <c r="D213" s="241" t="str">
        <f>IF($B213="","",IF(COUNTIFS(Пул!$E$5:$E$300,$B213,Пул!$G$5:$G$300,"&lt;&gt;")=0,"",ROUND(SUMIFS(Пул!$G$5:$G$300,Пул!$E$5:$E$300,$B213),8)))</f>
        <v/>
      </c>
      <c r="E213" s="240" t="str">
        <f>IF($B213="","",IF(COUNTIFS(Пул!$E$5:$E$300,$B213,Пул!$L$5:$L$300,"Закрыт")=0,"",ROUND(SUMIFS(Пул!$H$5:$H$300,Пул!$E$5:$E$300,$B213,Пул!$L$5:$L$300,"Закрыт"),8)))</f>
        <v/>
      </c>
      <c r="F213" s="241" t="str">
        <f>IF($B213="","",IF(COUNTIFS(Пул!$E$5:$E$300,$B213,Пул!$L$5:$L$300,"Закрыт")=0,"",ROUND(SUMIFS(Пул!$I$5:$I$300,Пул!$E$5:$E$300,$B213,Пул!$L$5:$L$300,"Закрыт"),8)))</f>
        <v/>
      </c>
      <c r="G213" s="240" t="str">
        <f>IF($B213="","",IF(COUNTIFS(Пул!$E$5:$E$300,$B213,Пул!$L$5:$L$300,"Закрыт")=0,"",ROUND(SUMIFS(Пул!$J$5:$J$300,Пул!$E$5:$E$300,$B213,Пул!$L$5:$L$300,"Закрыт"),8)))</f>
        <v/>
      </c>
      <c r="H213" s="241" t="str">
        <f>IF($B213="","",IF(COUNTIFS(Пул!$E$5:$E$300,$B213,Пул!$L$5:$L$300,"Закрыт")=0,"",ROUND(SUMIFS(Пул!$K$5:$K$300,Пул!$E$5:$E$300,$B213,Пул!$L$5:$L$300,"Закрыт"),8)))</f>
        <v/>
      </c>
      <c r="I213" s="236" t="str">
        <f>IF(AND(ISNUMBER(G213),ISNUMBER(H213)),IF(AND(G213&gt;0,H213&lt;0),"Buy",IF(AND(G213&lt;0,H213&gt;0),"Sell","")),"")</f>
        <v/>
      </c>
      <c r="J213" s="177" t="str">
        <f>IF(I213="Buy",G213,IF(I213="Sell",-G213,""))</f>
        <v/>
      </c>
      <c r="K213" s="177" t="str">
        <f>IF(AND(ISNUMBER(J213),ISNUMBER(L213),N(J213)&lt;&gt;0),ROUND(L213/J213,8),"")</f>
        <v/>
      </c>
      <c r="L213" s="177" t="str">
        <f>IF(I213="Buy",-H213,IF(I213="Sell",H213,""))</f>
        <v/>
      </c>
    </row>
    <row r="214" ht="22" customHeight="1">
      <c r="B214" s="245" t="n"/>
      <c r="C214" s="246" t="str">
        <f>IF($B214="","",IF(COUNTIFS(Пул!$E$5:$E$300,$B214,Пул!$F$5:$F$300,"&lt;&gt;")=0,"",ROUND(SUMIFS(Пул!$F$5:$F$300,Пул!$E$5:$E$300,$B214),8)))</f>
        <v/>
      </c>
      <c r="D214" s="247" t="str">
        <f>IF($B214="","",IF(COUNTIFS(Пул!$E$5:$E$300,$B214,Пул!$G$5:$G$300,"&lt;&gt;")=0,"",ROUND(SUMIFS(Пул!$G$5:$G$300,Пул!$E$5:$E$300,$B214),8)))</f>
        <v/>
      </c>
      <c r="E214" s="246" t="str">
        <f>IF($B214="","",IF(COUNTIFS(Пул!$E$5:$E$300,$B214,Пул!$L$5:$L$300,"Закрыт")=0,"",ROUND(SUMIFS(Пул!$H$5:$H$300,Пул!$E$5:$E$300,$B214,Пул!$L$5:$L$300,"Закрыт"),8)))</f>
        <v/>
      </c>
      <c r="F214" s="247" t="str">
        <f>IF($B214="","",IF(COUNTIFS(Пул!$E$5:$E$300,$B214,Пул!$L$5:$L$300,"Закрыт")=0,"",ROUND(SUMIFS(Пул!$I$5:$I$300,Пул!$E$5:$E$300,$B214,Пул!$L$5:$L$300,"Закрыт"),8)))</f>
        <v/>
      </c>
      <c r="G214" s="246" t="str">
        <f>IF($B214="","",IF(COUNTIFS(Пул!$E$5:$E$300,$B214,Пул!$L$5:$L$300,"Закрыт")=0,"",ROUND(SUMIFS(Пул!$J$5:$J$300,Пул!$E$5:$E$300,$B214,Пул!$L$5:$L$300,"Закрыт"),8)))</f>
        <v/>
      </c>
      <c r="H214" s="247" t="str">
        <f>IF($B214="","",IF(COUNTIFS(Пул!$E$5:$E$300,$B214,Пул!$L$5:$L$300,"Закрыт")=0,"",ROUND(SUMIFS(Пул!$K$5:$K$300,Пул!$E$5:$E$300,$B214,Пул!$L$5:$L$300,"Закрыт"),8)))</f>
        <v/>
      </c>
      <c r="I214" s="242" t="str">
        <f>IF(AND(ISNUMBER(G214),ISNUMBER(H214)),IF(AND(G214&gt;0,H214&lt;0),"Buy",IF(AND(G214&lt;0,H214&gt;0),"Sell","")),"")</f>
        <v/>
      </c>
      <c r="J214" s="183" t="str">
        <f>IF(I214="Buy",G214,IF(I214="Sell",-G214,""))</f>
        <v/>
      </c>
      <c r="K214" s="183" t="str">
        <f>IF(AND(ISNUMBER(J214),ISNUMBER(L214),N(J214)&lt;&gt;0),ROUND(L214/J214,8),"")</f>
        <v/>
      </c>
      <c r="L214" s="183" t="str">
        <f>IF(I214="Buy",-H214,IF(I214="Sell",H214,""))</f>
        <v/>
      </c>
    </row>
    <row r="215" ht="22" customHeight="1">
      <c r="B215" s="239" t="n"/>
      <c r="C215" s="240" t="str">
        <f>IF($B215="","",IF(COUNTIFS(Пул!$E$5:$E$300,$B215,Пул!$F$5:$F$300,"&lt;&gt;")=0,"",ROUND(SUMIFS(Пул!$F$5:$F$300,Пул!$E$5:$E$300,$B215),8)))</f>
        <v/>
      </c>
      <c r="D215" s="241" t="str">
        <f>IF($B215="","",IF(COUNTIFS(Пул!$E$5:$E$300,$B215,Пул!$G$5:$G$300,"&lt;&gt;")=0,"",ROUND(SUMIFS(Пул!$G$5:$G$300,Пул!$E$5:$E$300,$B215),8)))</f>
        <v/>
      </c>
      <c r="E215" s="240" t="str">
        <f>IF($B215="","",IF(COUNTIFS(Пул!$E$5:$E$300,$B215,Пул!$L$5:$L$300,"Закрыт")=0,"",ROUND(SUMIFS(Пул!$H$5:$H$300,Пул!$E$5:$E$300,$B215,Пул!$L$5:$L$300,"Закрыт"),8)))</f>
        <v/>
      </c>
      <c r="F215" s="241" t="str">
        <f>IF($B215="","",IF(COUNTIFS(Пул!$E$5:$E$300,$B215,Пул!$L$5:$L$300,"Закрыт")=0,"",ROUND(SUMIFS(Пул!$I$5:$I$300,Пул!$E$5:$E$300,$B215,Пул!$L$5:$L$300,"Закрыт"),8)))</f>
        <v/>
      </c>
      <c r="G215" s="240" t="str">
        <f>IF($B215="","",IF(COUNTIFS(Пул!$E$5:$E$300,$B215,Пул!$L$5:$L$300,"Закрыт")=0,"",ROUND(SUMIFS(Пул!$J$5:$J$300,Пул!$E$5:$E$300,$B215,Пул!$L$5:$L$300,"Закрыт"),8)))</f>
        <v/>
      </c>
      <c r="H215" s="241" t="str">
        <f>IF($B215="","",IF(COUNTIFS(Пул!$E$5:$E$300,$B215,Пул!$L$5:$L$300,"Закрыт")=0,"",ROUND(SUMIFS(Пул!$K$5:$K$300,Пул!$E$5:$E$300,$B215,Пул!$L$5:$L$300,"Закрыт"),8)))</f>
        <v/>
      </c>
      <c r="I215" s="236" t="str">
        <f>IF(AND(ISNUMBER(G215),ISNUMBER(H215)),IF(AND(G215&gt;0,H215&lt;0),"Buy",IF(AND(G215&lt;0,H215&gt;0),"Sell","")),"")</f>
        <v/>
      </c>
      <c r="J215" s="177" t="str">
        <f>IF(I215="Buy",G215,IF(I215="Sell",-G215,""))</f>
        <v/>
      </c>
      <c r="K215" s="177" t="str">
        <f>IF(AND(ISNUMBER(J215),ISNUMBER(L215),N(J215)&lt;&gt;0),ROUND(L215/J215,8),"")</f>
        <v/>
      </c>
      <c r="L215" s="177" t="str">
        <f>IF(I215="Buy",-H215,IF(I215="Sell",H215,""))</f>
        <v/>
      </c>
    </row>
    <row r="216" ht="22" customHeight="1">
      <c r="B216" s="245" t="n"/>
      <c r="C216" s="246" t="str">
        <f>IF($B216="","",IF(COUNTIFS(Пул!$E$5:$E$300,$B216,Пул!$F$5:$F$300,"&lt;&gt;")=0,"",ROUND(SUMIFS(Пул!$F$5:$F$300,Пул!$E$5:$E$300,$B216),8)))</f>
        <v/>
      </c>
      <c r="D216" s="247" t="str">
        <f>IF($B216="","",IF(COUNTIFS(Пул!$E$5:$E$300,$B216,Пул!$G$5:$G$300,"&lt;&gt;")=0,"",ROUND(SUMIFS(Пул!$G$5:$G$300,Пул!$E$5:$E$300,$B216),8)))</f>
        <v/>
      </c>
      <c r="E216" s="246" t="str">
        <f>IF($B216="","",IF(COUNTIFS(Пул!$E$5:$E$300,$B216,Пул!$L$5:$L$300,"Закрыт")=0,"",ROUND(SUMIFS(Пул!$H$5:$H$300,Пул!$E$5:$E$300,$B216,Пул!$L$5:$L$300,"Закрыт"),8)))</f>
        <v/>
      </c>
      <c r="F216" s="247" t="str">
        <f>IF($B216="","",IF(COUNTIFS(Пул!$E$5:$E$300,$B216,Пул!$L$5:$L$300,"Закрыт")=0,"",ROUND(SUMIFS(Пул!$I$5:$I$300,Пул!$E$5:$E$300,$B216,Пул!$L$5:$L$300,"Закрыт"),8)))</f>
        <v/>
      </c>
      <c r="G216" s="246" t="str">
        <f>IF($B216="","",IF(COUNTIFS(Пул!$E$5:$E$300,$B216,Пул!$L$5:$L$300,"Закрыт")=0,"",ROUND(SUMIFS(Пул!$J$5:$J$300,Пул!$E$5:$E$300,$B216,Пул!$L$5:$L$300,"Закрыт"),8)))</f>
        <v/>
      </c>
      <c r="H216" s="247" t="str">
        <f>IF($B216="","",IF(COUNTIFS(Пул!$E$5:$E$300,$B216,Пул!$L$5:$L$300,"Закрыт")=0,"",ROUND(SUMIFS(Пул!$K$5:$K$300,Пул!$E$5:$E$300,$B216,Пул!$L$5:$L$300,"Закрыт"),8)))</f>
        <v/>
      </c>
      <c r="I216" s="242" t="str">
        <f>IF(AND(ISNUMBER(G216),ISNUMBER(H216)),IF(AND(G216&gt;0,H216&lt;0),"Buy",IF(AND(G216&lt;0,H216&gt;0),"Sell","")),"")</f>
        <v/>
      </c>
      <c r="J216" s="183" t="str">
        <f>IF(I216="Buy",G216,IF(I216="Sell",-G216,""))</f>
        <v/>
      </c>
      <c r="K216" s="183" t="str">
        <f>IF(AND(ISNUMBER(J216),ISNUMBER(L216),N(J216)&lt;&gt;0),ROUND(L216/J216,8),"")</f>
        <v/>
      </c>
      <c r="L216" s="183" t="str">
        <f>IF(I216="Buy",-H216,IF(I216="Sell",H216,""))</f>
        <v/>
      </c>
    </row>
    <row r="217" ht="22" customHeight="1">
      <c r="B217" s="239" t="n"/>
      <c r="C217" s="240" t="str">
        <f>IF($B217="","",IF(COUNTIFS(Пул!$E$5:$E$300,$B217,Пул!$F$5:$F$300,"&lt;&gt;")=0,"",ROUND(SUMIFS(Пул!$F$5:$F$300,Пул!$E$5:$E$300,$B217),8)))</f>
        <v/>
      </c>
      <c r="D217" s="241" t="str">
        <f>IF($B217="","",IF(COUNTIFS(Пул!$E$5:$E$300,$B217,Пул!$G$5:$G$300,"&lt;&gt;")=0,"",ROUND(SUMIFS(Пул!$G$5:$G$300,Пул!$E$5:$E$300,$B217),8)))</f>
        <v/>
      </c>
      <c r="E217" s="240" t="str">
        <f>IF($B217="","",IF(COUNTIFS(Пул!$E$5:$E$300,$B217,Пул!$L$5:$L$300,"Закрыт")=0,"",ROUND(SUMIFS(Пул!$H$5:$H$300,Пул!$E$5:$E$300,$B217,Пул!$L$5:$L$300,"Закрыт"),8)))</f>
        <v/>
      </c>
      <c r="F217" s="241" t="str">
        <f>IF($B217="","",IF(COUNTIFS(Пул!$E$5:$E$300,$B217,Пул!$L$5:$L$300,"Закрыт")=0,"",ROUND(SUMIFS(Пул!$I$5:$I$300,Пул!$E$5:$E$300,$B217,Пул!$L$5:$L$300,"Закрыт"),8)))</f>
        <v/>
      </c>
      <c r="G217" s="240" t="str">
        <f>IF($B217="","",IF(COUNTIFS(Пул!$E$5:$E$300,$B217,Пул!$L$5:$L$300,"Закрыт")=0,"",ROUND(SUMIFS(Пул!$J$5:$J$300,Пул!$E$5:$E$300,$B217,Пул!$L$5:$L$300,"Закрыт"),8)))</f>
        <v/>
      </c>
      <c r="H217" s="241" t="str">
        <f>IF($B217="","",IF(COUNTIFS(Пул!$E$5:$E$300,$B217,Пул!$L$5:$L$300,"Закрыт")=0,"",ROUND(SUMIFS(Пул!$K$5:$K$300,Пул!$E$5:$E$300,$B217,Пул!$L$5:$L$300,"Закрыт"),8)))</f>
        <v/>
      </c>
      <c r="I217" s="236" t="str">
        <f>IF(AND(ISNUMBER(G217),ISNUMBER(H217)),IF(AND(G217&gt;0,H217&lt;0),"Buy",IF(AND(G217&lt;0,H217&gt;0),"Sell","")),"")</f>
        <v/>
      </c>
      <c r="J217" s="177" t="str">
        <f>IF(I217="Buy",G217,IF(I217="Sell",-G217,""))</f>
        <v/>
      </c>
      <c r="K217" s="177" t="str">
        <f>IF(AND(ISNUMBER(J217),ISNUMBER(L217),N(J217)&lt;&gt;0),ROUND(L217/J217,8),"")</f>
        <v/>
      </c>
      <c r="L217" s="177" t="str">
        <f>IF(I217="Buy",-H217,IF(I217="Sell",H217,""))</f>
        <v/>
      </c>
    </row>
    <row r="218" ht="22" customHeight="1">
      <c r="B218" s="245" t="n"/>
      <c r="C218" s="246" t="str">
        <f>IF($B218="","",IF(COUNTIFS(Пул!$E$5:$E$300,$B218,Пул!$F$5:$F$300,"&lt;&gt;")=0,"",ROUND(SUMIFS(Пул!$F$5:$F$300,Пул!$E$5:$E$300,$B218),8)))</f>
        <v/>
      </c>
      <c r="D218" s="247" t="str">
        <f>IF($B218="","",IF(COUNTIFS(Пул!$E$5:$E$300,$B218,Пул!$G$5:$G$300,"&lt;&gt;")=0,"",ROUND(SUMIFS(Пул!$G$5:$G$300,Пул!$E$5:$E$300,$B218),8)))</f>
        <v/>
      </c>
      <c r="E218" s="246" t="str">
        <f>IF($B218="","",IF(COUNTIFS(Пул!$E$5:$E$300,$B218,Пул!$L$5:$L$300,"Закрыт")=0,"",ROUND(SUMIFS(Пул!$H$5:$H$300,Пул!$E$5:$E$300,$B218,Пул!$L$5:$L$300,"Закрыт"),8)))</f>
        <v/>
      </c>
      <c r="F218" s="247" t="str">
        <f>IF($B218="","",IF(COUNTIFS(Пул!$E$5:$E$300,$B218,Пул!$L$5:$L$300,"Закрыт")=0,"",ROUND(SUMIFS(Пул!$I$5:$I$300,Пул!$E$5:$E$300,$B218,Пул!$L$5:$L$300,"Закрыт"),8)))</f>
        <v/>
      </c>
      <c r="G218" s="246" t="str">
        <f>IF($B218="","",IF(COUNTIFS(Пул!$E$5:$E$300,$B218,Пул!$L$5:$L$300,"Закрыт")=0,"",ROUND(SUMIFS(Пул!$J$5:$J$300,Пул!$E$5:$E$300,$B218,Пул!$L$5:$L$300,"Закрыт"),8)))</f>
        <v/>
      </c>
      <c r="H218" s="247" t="str">
        <f>IF($B218="","",IF(COUNTIFS(Пул!$E$5:$E$300,$B218,Пул!$L$5:$L$300,"Закрыт")=0,"",ROUND(SUMIFS(Пул!$K$5:$K$300,Пул!$E$5:$E$300,$B218,Пул!$L$5:$L$300,"Закрыт"),8)))</f>
        <v/>
      </c>
      <c r="I218" s="242" t="str">
        <f>IF(AND(ISNUMBER(G218),ISNUMBER(H218)),IF(AND(G218&gt;0,H218&lt;0),"Buy",IF(AND(G218&lt;0,H218&gt;0),"Sell","")),"")</f>
        <v/>
      </c>
      <c r="J218" s="183" t="str">
        <f>IF(I218="Buy",G218,IF(I218="Sell",-G218,""))</f>
        <v/>
      </c>
      <c r="K218" s="183" t="str">
        <f>IF(AND(ISNUMBER(J218),ISNUMBER(L218),N(J218)&lt;&gt;0),ROUND(L218/J218,8),"")</f>
        <v/>
      </c>
      <c r="L218" s="183" t="str">
        <f>IF(I218="Buy",-H218,IF(I218="Sell",H218,""))</f>
        <v/>
      </c>
    </row>
    <row r="219" ht="22" customHeight="1">
      <c r="B219" s="239" t="n"/>
      <c r="C219" s="240" t="str">
        <f>IF($B219="","",IF(COUNTIFS(Пул!$E$5:$E$300,$B219,Пул!$F$5:$F$300,"&lt;&gt;")=0,"",ROUND(SUMIFS(Пул!$F$5:$F$300,Пул!$E$5:$E$300,$B219),8)))</f>
        <v/>
      </c>
      <c r="D219" s="241" t="str">
        <f>IF($B219="","",IF(COUNTIFS(Пул!$E$5:$E$300,$B219,Пул!$G$5:$G$300,"&lt;&gt;")=0,"",ROUND(SUMIFS(Пул!$G$5:$G$300,Пул!$E$5:$E$300,$B219),8)))</f>
        <v/>
      </c>
      <c r="E219" s="240" t="str">
        <f>IF($B219="","",IF(COUNTIFS(Пул!$E$5:$E$300,$B219,Пул!$L$5:$L$300,"Закрыт")=0,"",ROUND(SUMIFS(Пул!$H$5:$H$300,Пул!$E$5:$E$300,$B219,Пул!$L$5:$L$300,"Закрыт"),8)))</f>
        <v/>
      </c>
      <c r="F219" s="241" t="str">
        <f>IF($B219="","",IF(COUNTIFS(Пул!$E$5:$E$300,$B219,Пул!$L$5:$L$300,"Закрыт")=0,"",ROUND(SUMIFS(Пул!$I$5:$I$300,Пул!$E$5:$E$300,$B219,Пул!$L$5:$L$300,"Закрыт"),8)))</f>
        <v/>
      </c>
      <c r="G219" s="240" t="str">
        <f>IF($B219="","",IF(COUNTIFS(Пул!$E$5:$E$300,$B219,Пул!$L$5:$L$300,"Закрыт")=0,"",ROUND(SUMIFS(Пул!$J$5:$J$300,Пул!$E$5:$E$300,$B219,Пул!$L$5:$L$300,"Закрыт"),8)))</f>
        <v/>
      </c>
      <c r="H219" s="241" t="str">
        <f>IF($B219="","",IF(COUNTIFS(Пул!$E$5:$E$300,$B219,Пул!$L$5:$L$300,"Закрыт")=0,"",ROUND(SUMIFS(Пул!$K$5:$K$300,Пул!$E$5:$E$300,$B219,Пул!$L$5:$L$300,"Закрыт"),8)))</f>
        <v/>
      </c>
      <c r="I219" s="236" t="str">
        <f>IF(AND(ISNUMBER(G219),ISNUMBER(H219)),IF(AND(G219&gt;0,H219&lt;0),"Buy",IF(AND(G219&lt;0,H219&gt;0),"Sell","")),"")</f>
        <v/>
      </c>
      <c r="J219" s="177" t="str">
        <f>IF(I219="Buy",G219,IF(I219="Sell",-G219,""))</f>
        <v/>
      </c>
      <c r="K219" s="177" t="str">
        <f>IF(AND(ISNUMBER(J219),ISNUMBER(L219),N(J219)&lt;&gt;0),ROUND(L219/J219,8),"")</f>
        <v/>
      </c>
      <c r="L219" s="177" t="str">
        <f>IF(I219="Buy",-H219,IF(I219="Sell",H219,""))</f>
        <v/>
      </c>
    </row>
    <row r="220" ht="22" customHeight="1">
      <c r="B220" s="245" t="n"/>
      <c r="C220" s="246" t="str">
        <f>IF($B220="","",IF(COUNTIFS(Пул!$E$5:$E$300,$B220,Пул!$F$5:$F$300,"&lt;&gt;")=0,"",ROUND(SUMIFS(Пул!$F$5:$F$300,Пул!$E$5:$E$300,$B220),8)))</f>
        <v/>
      </c>
      <c r="D220" s="247" t="str">
        <f>IF($B220="","",IF(COUNTIFS(Пул!$E$5:$E$300,$B220,Пул!$G$5:$G$300,"&lt;&gt;")=0,"",ROUND(SUMIFS(Пул!$G$5:$G$300,Пул!$E$5:$E$300,$B220),8)))</f>
        <v/>
      </c>
      <c r="E220" s="246" t="str">
        <f>IF($B220="","",IF(COUNTIFS(Пул!$E$5:$E$300,$B220,Пул!$L$5:$L$300,"Закрыт")=0,"",ROUND(SUMIFS(Пул!$H$5:$H$300,Пул!$E$5:$E$300,$B220,Пул!$L$5:$L$300,"Закрыт"),8)))</f>
        <v/>
      </c>
      <c r="F220" s="247" t="str">
        <f>IF($B220="","",IF(COUNTIFS(Пул!$E$5:$E$300,$B220,Пул!$L$5:$L$300,"Закрыт")=0,"",ROUND(SUMIFS(Пул!$I$5:$I$300,Пул!$E$5:$E$300,$B220,Пул!$L$5:$L$300,"Закрыт"),8)))</f>
        <v/>
      </c>
      <c r="G220" s="246" t="str">
        <f>IF($B220="","",IF(COUNTIFS(Пул!$E$5:$E$300,$B220,Пул!$L$5:$L$300,"Закрыт")=0,"",ROUND(SUMIFS(Пул!$J$5:$J$300,Пул!$E$5:$E$300,$B220,Пул!$L$5:$L$300,"Закрыт"),8)))</f>
        <v/>
      </c>
      <c r="H220" s="247" t="str">
        <f>IF($B220="","",IF(COUNTIFS(Пул!$E$5:$E$300,$B220,Пул!$L$5:$L$300,"Закрыт")=0,"",ROUND(SUMIFS(Пул!$K$5:$K$300,Пул!$E$5:$E$300,$B220,Пул!$L$5:$L$300,"Закрыт"),8)))</f>
        <v/>
      </c>
      <c r="I220" s="242" t="str">
        <f>IF(AND(ISNUMBER(G220),ISNUMBER(H220)),IF(AND(G220&gt;0,H220&lt;0),"Buy",IF(AND(G220&lt;0,H220&gt;0),"Sell","")),"")</f>
        <v/>
      </c>
      <c r="J220" s="183" t="str">
        <f>IF(I220="Buy",G220,IF(I220="Sell",-G220,""))</f>
        <v/>
      </c>
      <c r="K220" s="183" t="str">
        <f>IF(AND(ISNUMBER(J220),ISNUMBER(L220),N(J220)&lt;&gt;0),ROUND(L220/J220,8),"")</f>
        <v/>
      </c>
      <c r="L220" s="183" t="str">
        <f>IF(I220="Buy",-H220,IF(I220="Sell",H220,""))</f>
        <v/>
      </c>
    </row>
    <row r="221" ht="22" customHeight="1">
      <c r="B221" s="239" t="n"/>
      <c r="C221" s="240" t="str">
        <f>IF($B221="","",IF(COUNTIFS(Пул!$E$5:$E$300,$B221,Пул!$F$5:$F$300,"&lt;&gt;")=0,"",ROUND(SUMIFS(Пул!$F$5:$F$300,Пул!$E$5:$E$300,$B221),8)))</f>
        <v/>
      </c>
      <c r="D221" s="241" t="str">
        <f>IF($B221="","",IF(COUNTIFS(Пул!$E$5:$E$300,$B221,Пул!$G$5:$G$300,"&lt;&gt;")=0,"",ROUND(SUMIFS(Пул!$G$5:$G$300,Пул!$E$5:$E$300,$B221),8)))</f>
        <v/>
      </c>
      <c r="E221" s="240" t="str">
        <f>IF($B221="","",IF(COUNTIFS(Пул!$E$5:$E$300,$B221,Пул!$L$5:$L$300,"Закрыт")=0,"",ROUND(SUMIFS(Пул!$H$5:$H$300,Пул!$E$5:$E$300,$B221,Пул!$L$5:$L$300,"Закрыт"),8)))</f>
        <v/>
      </c>
      <c r="F221" s="241" t="str">
        <f>IF($B221="","",IF(COUNTIFS(Пул!$E$5:$E$300,$B221,Пул!$L$5:$L$300,"Закрыт")=0,"",ROUND(SUMIFS(Пул!$I$5:$I$300,Пул!$E$5:$E$300,$B221,Пул!$L$5:$L$300,"Закрыт"),8)))</f>
        <v/>
      </c>
      <c r="G221" s="240" t="str">
        <f>IF($B221="","",IF(COUNTIFS(Пул!$E$5:$E$300,$B221,Пул!$L$5:$L$300,"Закрыт")=0,"",ROUND(SUMIFS(Пул!$J$5:$J$300,Пул!$E$5:$E$300,$B221,Пул!$L$5:$L$300,"Закрыт"),8)))</f>
        <v/>
      </c>
      <c r="H221" s="241" t="str">
        <f>IF($B221="","",IF(COUNTIFS(Пул!$E$5:$E$300,$B221,Пул!$L$5:$L$300,"Закрыт")=0,"",ROUND(SUMIFS(Пул!$K$5:$K$300,Пул!$E$5:$E$300,$B221,Пул!$L$5:$L$300,"Закрыт"),8)))</f>
        <v/>
      </c>
      <c r="I221" s="236" t="str">
        <f>IF(AND(ISNUMBER(G221),ISNUMBER(H221)),IF(AND(G221&gt;0,H221&lt;0),"Buy",IF(AND(G221&lt;0,H221&gt;0),"Sell","")),"")</f>
        <v/>
      </c>
      <c r="J221" s="177" t="str">
        <f>IF(I221="Buy",G221,IF(I221="Sell",-G221,""))</f>
        <v/>
      </c>
      <c r="K221" s="177" t="str">
        <f>IF(AND(ISNUMBER(J221),ISNUMBER(L221),N(J221)&lt;&gt;0),ROUND(L221/J221,8),"")</f>
        <v/>
      </c>
      <c r="L221" s="177" t="str">
        <f>IF(I221="Buy",-H221,IF(I221="Sell",H221,""))</f>
        <v/>
      </c>
    </row>
    <row r="222" ht="22" customHeight="1">
      <c r="B222" s="245" t="n"/>
      <c r="C222" s="246" t="str">
        <f>IF($B222="","",IF(COUNTIFS(Пул!$E$5:$E$300,$B222,Пул!$F$5:$F$300,"&lt;&gt;")=0,"",ROUND(SUMIFS(Пул!$F$5:$F$300,Пул!$E$5:$E$300,$B222),8)))</f>
        <v/>
      </c>
      <c r="D222" s="247" t="str">
        <f>IF($B222="","",IF(COUNTIFS(Пул!$E$5:$E$300,$B222,Пул!$G$5:$G$300,"&lt;&gt;")=0,"",ROUND(SUMIFS(Пул!$G$5:$G$300,Пул!$E$5:$E$300,$B222),8)))</f>
        <v/>
      </c>
      <c r="E222" s="246" t="str">
        <f>IF($B222="","",IF(COUNTIFS(Пул!$E$5:$E$300,$B222,Пул!$L$5:$L$300,"Закрыт")=0,"",ROUND(SUMIFS(Пул!$H$5:$H$300,Пул!$E$5:$E$300,$B222,Пул!$L$5:$L$300,"Закрыт"),8)))</f>
        <v/>
      </c>
      <c r="F222" s="247" t="str">
        <f>IF($B222="","",IF(COUNTIFS(Пул!$E$5:$E$300,$B222,Пул!$L$5:$L$300,"Закрыт")=0,"",ROUND(SUMIFS(Пул!$I$5:$I$300,Пул!$E$5:$E$300,$B222,Пул!$L$5:$L$300,"Закрыт"),8)))</f>
        <v/>
      </c>
      <c r="G222" s="246" t="str">
        <f>IF($B222="","",IF(COUNTIFS(Пул!$E$5:$E$300,$B222,Пул!$L$5:$L$300,"Закрыт")=0,"",ROUND(SUMIFS(Пул!$J$5:$J$300,Пул!$E$5:$E$300,$B222,Пул!$L$5:$L$300,"Закрыт"),8)))</f>
        <v/>
      </c>
      <c r="H222" s="247" t="str">
        <f>IF($B222="","",IF(COUNTIFS(Пул!$E$5:$E$300,$B222,Пул!$L$5:$L$300,"Закрыт")=0,"",ROUND(SUMIFS(Пул!$K$5:$K$300,Пул!$E$5:$E$300,$B222,Пул!$L$5:$L$300,"Закрыт"),8)))</f>
        <v/>
      </c>
      <c r="I222" s="242" t="str">
        <f>IF(AND(ISNUMBER(G222),ISNUMBER(H222)),IF(AND(G222&gt;0,H222&lt;0),"Buy",IF(AND(G222&lt;0,H222&gt;0),"Sell","")),"")</f>
        <v/>
      </c>
      <c r="J222" s="183" t="str">
        <f>IF(I222="Buy",G222,IF(I222="Sell",-G222,""))</f>
        <v/>
      </c>
      <c r="K222" s="183" t="str">
        <f>IF(AND(ISNUMBER(J222),ISNUMBER(L222),N(J222)&lt;&gt;0),ROUND(L222/J222,8),"")</f>
        <v/>
      </c>
      <c r="L222" s="183" t="str">
        <f>IF(I222="Buy",-H222,IF(I222="Sell",H222,""))</f>
        <v/>
      </c>
    </row>
    <row r="223" ht="22" customHeight="1">
      <c r="B223" s="239" t="n"/>
      <c r="C223" s="240" t="str">
        <f>IF($B223="","",IF(COUNTIFS(Пул!$E$5:$E$300,$B223,Пул!$F$5:$F$300,"&lt;&gt;")=0,"",ROUND(SUMIFS(Пул!$F$5:$F$300,Пул!$E$5:$E$300,$B223),8)))</f>
        <v/>
      </c>
      <c r="D223" s="241" t="str">
        <f>IF($B223="","",IF(COUNTIFS(Пул!$E$5:$E$300,$B223,Пул!$G$5:$G$300,"&lt;&gt;")=0,"",ROUND(SUMIFS(Пул!$G$5:$G$300,Пул!$E$5:$E$300,$B223),8)))</f>
        <v/>
      </c>
      <c r="E223" s="240" t="str">
        <f>IF($B223="","",IF(COUNTIFS(Пул!$E$5:$E$300,$B223,Пул!$L$5:$L$300,"Закрыт")=0,"",ROUND(SUMIFS(Пул!$H$5:$H$300,Пул!$E$5:$E$300,$B223,Пул!$L$5:$L$300,"Закрыт"),8)))</f>
        <v/>
      </c>
      <c r="F223" s="241" t="str">
        <f>IF($B223="","",IF(COUNTIFS(Пул!$E$5:$E$300,$B223,Пул!$L$5:$L$300,"Закрыт")=0,"",ROUND(SUMIFS(Пул!$I$5:$I$300,Пул!$E$5:$E$300,$B223,Пул!$L$5:$L$300,"Закрыт"),8)))</f>
        <v/>
      </c>
      <c r="G223" s="240" t="str">
        <f>IF($B223="","",IF(COUNTIFS(Пул!$E$5:$E$300,$B223,Пул!$L$5:$L$300,"Закрыт")=0,"",ROUND(SUMIFS(Пул!$J$5:$J$300,Пул!$E$5:$E$300,$B223,Пул!$L$5:$L$300,"Закрыт"),8)))</f>
        <v/>
      </c>
      <c r="H223" s="241" t="str">
        <f>IF($B223="","",IF(COUNTIFS(Пул!$E$5:$E$300,$B223,Пул!$L$5:$L$300,"Закрыт")=0,"",ROUND(SUMIFS(Пул!$K$5:$K$300,Пул!$E$5:$E$300,$B223,Пул!$L$5:$L$300,"Закрыт"),8)))</f>
        <v/>
      </c>
      <c r="I223" s="236" t="str">
        <f>IF(AND(ISNUMBER(G223),ISNUMBER(H223)),IF(AND(G223&gt;0,H223&lt;0),"Buy",IF(AND(G223&lt;0,H223&gt;0),"Sell","")),"")</f>
        <v/>
      </c>
      <c r="J223" s="177" t="str">
        <f>IF(I223="Buy",G223,IF(I223="Sell",-G223,""))</f>
        <v/>
      </c>
      <c r="K223" s="177" t="str">
        <f>IF(AND(ISNUMBER(J223),ISNUMBER(L223),N(J223)&lt;&gt;0),ROUND(L223/J223,8),"")</f>
        <v/>
      </c>
      <c r="L223" s="177" t="str">
        <f>IF(I223="Buy",-H223,IF(I223="Sell",H223,""))</f>
        <v/>
      </c>
    </row>
    <row r="224" ht="22" customHeight="1">
      <c r="B224" s="245" t="n"/>
      <c r="C224" s="246" t="str">
        <f>IF($B224="","",IF(COUNTIFS(Пул!$E$5:$E$300,$B224,Пул!$F$5:$F$300,"&lt;&gt;")=0,"",ROUND(SUMIFS(Пул!$F$5:$F$300,Пул!$E$5:$E$300,$B224),8)))</f>
        <v/>
      </c>
      <c r="D224" s="247" t="str">
        <f>IF($B224="","",IF(COUNTIFS(Пул!$E$5:$E$300,$B224,Пул!$G$5:$G$300,"&lt;&gt;")=0,"",ROUND(SUMIFS(Пул!$G$5:$G$300,Пул!$E$5:$E$300,$B224),8)))</f>
        <v/>
      </c>
      <c r="E224" s="246" t="str">
        <f>IF($B224="","",IF(COUNTIFS(Пул!$E$5:$E$300,$B224,Пул!$L$5:$L$300,"Закрыт")=0,"",ROUND(SUMIFS(Пул!$H$5:$H$300,Пул!$E$5:$E$300,$B224,Пул!$L$5:$L$300,"Закрыт"),8)))</f>
        <v/>
      </c>
      <c r="F224" s="247" t="str">
        <f>IF($B224="","",IF(COUNTIFS(Пул!$E$5:$E$300,$B224,Пул!$L$5:$L$300,"Закрыт")=0,"",ROUND(SUMIFS(Пул!$I$5:$I$300,Пул!$E$5:$E$300,$B224,Пул!$L$5:$L$300,"Закрыт"),8)))</f>
        <v/>
      </c>
      <c r="G224" s="246" t="str">
        <f>IF($B224="","",IF(COUNTIFS(Пул!$E$5:$E$300,$B224,Пул!$L$5:$L$300,"Закрыт")=0,"",ROUND(SUMIFS(Пул!$J$5:$J$300,Пул!$E$5:$E$300,$B224,Пул!$L$5:$L$300,"Закрыт"),8)))</f>
        <v/>
      </c>
      <c r="H224" s="247" t="str">
        <f>IF($B224="","",IF(COUNTIFS(Пул!$E$5:$E$300,$B224,Пул!$L$5:$L$300,"Закрыт")=0,"",ROUND(SUMIFS(Пул!$K$5:$K$300,Пул!$E$5:$E$300,$B224,Пул!$L$5:$L$300,"Закрыт"),8)))</f>
        <v/>
      </c>
      <c r="I224" s="242" t="str">
        <f>IF(AND(ISNUMBER(G224),ISNUMBER(H224)),IF(AND(G224&gt;0,H224&lt;0),"Buy",IF(AND(G224&lt;0,H224&gt;0),"Sell","")),"")</f>
        <v/>
      </c>
      <c r="J224" s="183" t="str">
        <f>IF(I224="Buy",G224,IF(I224="Sell",-G224,""))</f>
        <v/>
      </c>
      <c r="K224" s="183" t="str">
        <f>IF(AND(ISNUMBER(J224),ISNUMBER(L224),N(J224)&lt;&gt;0),ROUND(L224/J224,8),"")</f>
        <v/>
      </c>
      <c r="L224" s="183" t="str">
        <f>IF(I224="Buy",-H224,IF(I224="Sell",H224,""))</f>
        <v/>
      </c>
    </row>
    <row r="225" ht="22" customHeight="1">
      <c r="B225" s="239" t="n"/>
      <c r="C225" s="240" t="str">
        <f>IF($B225="","",IF(COUNTIFS(Пул!$E$5:$E$300,$B225,Пул!$F$5:$F$300,"&lt;&gt;")=0,"",ROUND(SUMIFS(Пул!$F$5:$F$300,Пул!$E$5:$E$300,$B225),8)))</f>
        <v/>
      </c>
      <c r="D225" s="241" t="str">
        <f>IF($B225="","",IF(COUNTIFS(Пул!$E$5:$E$300,$B225,Пул!$G$5:$G$300,"&lt;&gt;")=0,"",ROUND(SUMIFS(Пул!$G$5:$G$300,Пул!$E$5:$E$300,$B225),8)))</f>
        <v/>
      </c>
      <c r="E225" s="240" t="str">
        <f>IF($B225="","",IF(COUNTIFS(Пул!$E$5:$E$300,$B225,Пул!$L$5:$L$300,"Закрыт")=0,"",ROUND(SUMIFS(Пул!$H$5:$H$300,Пул!$E$5:$E$300,$B225,Пул!$L$5:$L$300,"Закрыт"),8)))</f>
        <v/>
      </c>
      <c r="F225" s="241" t="str">
        <f>IF($B225="","",IF(COUNTIFS(Пул!$E$5:$E$300,$B225,Пул!$L$5:$L$300,"Закрыт")=0,"",ROUND(SUMIFS(Пул!$I$5:$I$300,Пул!$E$5:$E$300,$B225,Пул!$L$5:$L$300,"Закрыт"),8)))</f>
        <v/>
      </c>
      <c r="G225" s="240" t="str">
        <f>IF($B225="","",IF(COUNTIFS(Пул!$E$5:$E$300,$B225,Пул!$L$5:$L$300,"Закрыт")=0,"",ROUND(SUMIFS(Пул!$J$5:$J$300,Пул!$E$5:$E$300,$B225,Пул!$L$5:$L$300,"Закрыт"),8)))</f>
        <v/>
      </c>
      <c r="H225" s="241" t="str">
        <f>IF($B225="","",IF(COUNTIFS(Пул!$E$5:$E$300,$B225,Пул!$L$5:$L$300,"Закрыт")=0,"",ROUND(SUMIFS(Пул!$K$5:$K$300,Пул!$E$5:$E$300,$B225,Пул!$L$5:$L$300,"Закрыт"),8)))</f>
        <v/>
      </c>
      <c r="I225" s="236" t="str">
        <f>IF(AND(ISNUMBER(G225),ISNUMBER(H225)),IF(AND(G225&gt;0,H225&lt;0),"Buy",IF(AND(G225&lt;0,H225&gt;0),"Sell","")),"")</f>
        <v/>
      </c>
      <c r="J225" s="177" t="str">
        <f>IF(I225="Buy",G225,IF(I225="Sell",-G225,""))</f>
        <v/>
      </c>
      <c r="K225" s="177" t="str">
        <f>IF(AND(ISNUMBER(J225),ISNUMBER(L225),N(J225)&lt;&gt;0),ROUND(L225/J225,8),"")</f>
        <v/>
      </c>
      <c r="L225" s="177" t="str">
        <f>IF(I225="Buy",-H225,IF(I225="Sell",H225,""))</f>
        <v/>
      </c>
    </row>
    <row r="226" ht="22" customHeight="1">
      <c r="B226" s="245" t="n"/>
      <c r="C226" s="246" t="str">
        <f>IF($B226="","",IF(COUNTIFS(Пул!$E$5:$E$300,$B226,Пул!$F$5:$F$300,"&lt;&gt;")=0,"",ROUND(SUMIFS(Пул!$F$5:$F$300,Пул!$E$5:$E$300,$B226),8)))</f>
        <v/>
      </c>
      <c r="D226" s="247" t="str">
        <f>IF($B226="","",IF(COUNTIFS(Пул!$E$5:$E$300,$B226,Пул!$G$5:$G$300,"&lt;&gt;")=0,"",ROUND(SUMIFS(Пул!$G$5:$G$300,Пул!$E$5:$E$300,$B226),8)))</f>
        <v/>
      </c>
      <c r="E226" s="246" t="str">
        <f>IF($B226="","",IF(COUNTIFS(Пул!$E$5:$E$300,$B226,Пул!$L$5:$L$300,"Закрыт")=0,"",ROUND(SUMIFS(Пул!$H$5:$H$300,Пул!$E$5:$E$300,$B226,Пул!$L$5:$L$300,"Закрыт"),8)))</f>
        <v/>
      </c>
      <c r="F226" s="247" t="str">
        <f>IF($B226="","",IF(COUNTIFS(Пул!$E$5:$E$300,$B226,Пул!$L$5:$L$300,"Закрыт")=0,"",ROUND(SUMIFS(Пул!$I$5:$I$300,Пул!$E$5:$E$300,$B226,Пул!$L$5:$L$300,"Закрыт"),8)))</f>
        <v/>
      </c>
      <c r="G226" s="246" t="str">
        <f>IF($B226="","",IF(COUNTIFS(Пул!$E$5:$E$300,$B226,Пул!$L$5:$L$300,"Закрыт")=0,"",ROUND(SUMIFS(Пул!$J$5:$J$300,Пул!$E$5:$E$300,$B226,Пул!$L$5:$L$300,"Закрыт"),8)))</f>
        <v/>
      </c>
      <c r="H226" s="247" t="str">
        <f>IF($B226="","",IF(COUNTIFS(Пул!$E$5:$E$300,$B226,Пул!$L$5:$L$300,"Закрыт")=0,"",ROUND(SUMIFS(Пул!$K$5:$K$300,Пул!$E$5:$E$300,$B226,Пул!$L$5:$L$300,"Закрыт"),8)))</f>
        <v/>
      </c>
      <c r="I226" s="242" t="str">
        <f>IF(AND(ISNUMBER(G226),ISNUMBER(H226)),IF(AND(G226&gt;0,H226&lt;0),"Buy",IF(AND(G226&lt;0,H226&gt;0),"Sell","")),"")</f>
        <v/>
      </c>
      <c r="J226" s="183" t="str">
        <f>IF(I226="Buy",G226,IF(I226="Sell",-G226,""))</f>
        <v/>
      </c>
      <c r="K226" s="183" t="str">
        <f>IF(AND(ISNUMBER(J226),ISNUMBER(L226),N(J226)&lt;&gt;0),ROUND(L226/J226,8),"")</f>
        <v/>
      </c>
      <c r="L226" s="183" t="str">
        <f>IF(I226="Buy",-H226,IF(I226="Sell",H226,""))</f>
        <v/>
      </c>
    </row>
    <row r="227" ht="22" customHeight="1">
      <c r="B227" s="239" t="n"/>
      <c r="C227" s="240" t="str">
        <f>IF($B227="","",IF(COUNTIFS(Пул!$E$5:$E$300,$B227,Пул!$F$5:$F$300,"&lt;&gt;")=0,"",ROUND(SUMIFS(Пул!$F$5:$F$300,Пул!$E$5:$E$300,$B227),8)))</f>
        <v/>
      </c>
      <c r="D227" s="241" t="str">
        <f>IF($B227="","",IF(COUNTIFS(Пул!$E$5:$E$300,$B227,Пул!$G$5:$G$300,"&lt;&gt;")=0,"",ROUND(SUMIFS(Пул!$G$5:$G$300,Пул!$E$5:$E$300,$B227),8)))</f>
        <v/>
      </c>
      <c r="E227" s="240" t="str">
        <f>IF($B227="","",IF(COUNTIFS(Пул!$E$5:$E$300,$B227,Пул!$L$5:$L$300,"Закрыт")=0,"",ROUND(SUMIFS(Пул!$H$5:$H$300,Пул!$E$5:$E$300,$B227,Пул!$L$5:$L$300,"Закрыт"),8)))</f>
        <v/>
      </c>
      <c r="F227" s="241" t="str">
        <f>IF($B227="","",IF(COUNTIFS(Пул!$E$5:$E$300,$B227,Пул!$L$5:$L$300,"Закрыт")=0,"",ROUND(SUMIFS(Пул!$I$5:$I$300,Пул!$E$5:$E$300,$B227,Пул!$L$5:$L$300,"Закрыт"),8)))</f>
        <v/>
      </c>
      <c r="G227" s="240" t="str">
        <f>IF($B227="","",IF(COUNTIFS(Пул!$E$5:$E$300,$B227,Пул!$L$5:$L$300,"Закрыт")=0,"",ROUND(SUMIFS(Пул!$J$5:$J$300,Пул!$E$5:$E$300,$B227,Пул!$L$5:$L$300,"Закрыт"),8)))</f>
        <v/>
      </c>
      <c r="H227" s="241" t="str">
        <f>IF($B227="","",IF(COUNTIFS(Пул!$E$5:$E$300,$B227,Пул!$L$5:$L$300,"Закрыт")=0,"",ROUND(SUMIFS(Пул!$K$5:$K$300,Пул!$E$5:$E$300,$B227,Пул!$L$5:$L$300,"Закрыт"),8)))</f>
        <v/>
      </c>
      <c r="I227" s="236" t="str">
        <f>IF(AND(ISNUMBER(G227),ISNUMBER(H227)),IF(AND(G227&gt;0,H227&lt;0),"Buy",IF(AND(G227&lt;0,H227&gt;0),"Sell","")),"")</f>
        <v/>
      </c>
      <c r="J227" s="177" t="str">
        <f>IF(I227="Buy",G227,IF(I227="Sell",-G227,""))</f>
        <v/>
      </c>
      <c r="K227" s="177" t="str">
        <f>IF(AND(ISNUMBER(J227),ISNUMBER(L227),N(J227)&lt;&gt;0),ROUND(L227/J227,8),"")</f>
        <v/>
      </c>
      <c r="L227" s="177" t="str">
        <f>IF(I227="Buy",-H227,IF(I227="Sell",H227,""))</f>
        <v/>
      </c>
    </row>
    <row r="228" ht="22" customHeight="1">
      <c r="B228" s="245" t="n"/>
      <c r="C228" s="246" t="str">
        <f>IF($B228="","",IF(COUNTIFS(Пул!$E$5:$E$300,$B228,Пул!$F$5:$F$300,"&lt;&gt;")=0,"",ROUND(SUMIFS(Пул!$F$5:$F$300,Пул!$E$5:$E$300,$B228),8)))</f>
        <v/>
      </c>
      <c r="D228" s="247" t="str">
        <f>IF($B228="","",IF(COUNTIFS(Пул!$E$5:$E$300,$B228,Пул!$G$5:$G$300,"&lt;&gt;")=0,"",ROUND(SUMIFS(Пул!$G$5:$G$300,Пул!$E$5:$E$300,$B228),8)))</f>
        <v/>
      </c>
      <c r="E228" s="246" t="str">
        <f>IF($B228="","",IF(COUNTIFS(Пул!$E$5:$E$300,$B228,Пул!$L$5:$L$300,"Закрыт")=0,"",ROUND(SUMIFS(Пул!$H$5:$H$300,Пул!$E$5:$E$300,$B228,Пул!$L$5:$L$300,"Закрыт"),8)))</f>
        <v/>
      </c>
      <c r="F228" s="247" t="str">
        <f>IF($B228="","",IF(COUNTIFS(Пул!$E$5:$E$300,$B228,Пул!$L$5:$L$300,"Закрыт")=0,"",ROUND(SUMIFS(Пул!$I$5:$I$300,Пул!$E$5:$E$300,$B228,Пул!$L$5:$L$300,"Закрыт"),8)))</f>
        <v/>
      </c>
      <c r="G228" s="246" t="str">
        <f>IF($B228="","",IF(COUNTIFS(Пул!$E$5:$E$300,$B228,Пул!$L$5:$L$300,"Закрыт")=0,"",ROUND(SUMIFS(Пул!$J$5:$J$300,Пул!$E$5:$E$300,$B228,Пул!$L$5:$L$300,"Закрыт"),8)))</f>
        <v/>
      </c>
      <c r="H228" s="247" t="str">
        <f>IF($B228="","",IF(COUNTIFS(Пул!$E$5:$E$300,$B228,Пул!$L$5:$L$300,"Закрыт")=0,"",ROUND(SUMIFS(Пул!$K$5:$K$300,Пул!$E$5:$E$300,$B228,Пул!$L$5:$L$300,"Закрыт"),8)))</f>
        <v/>
      </c>
      <c r="I228" s="242" t="str">
        <f>IF(AND(ISNUMBER(G228),ISNUMBER(H228)),IF(AND(G228&gt;0,H228&lt;0),"Buy",IF(AND(G228&lt;0,H228&gt;0),"Sell","")),"")</f>
        <v/>
      </c>
      <c r="J228" s="183" t="str">
        <f>IF(I228="Buy",G228,IF(I228="Sell",-G228,""))</f>
        <v/>
      </c>
      <c r="K228" s="183" t="str">
        <f>IF(AND(ISNUMBER(J228),ISNUMBER(L228),N(J228)&lt;&gt;0),ROUND(L228/J228,8),"")</f>
        <v/>
      </c>
      <c r="L228" s="183" t="str">
        <f>IF(I228="Buy",-H228,IF(I228="Sell",H228,""))</f>
        <v/>
      </c>
    </row>
    <row r="229" ht="22" customHeight="1">
      <c r="B229" s="239" t="n"/>
      <c r="C229" s="240" t="str">
        <f>IF($B229="","",IF(COUNTIFS(Пул!$E$5:$E$300,$B229,Пул!$F$5:$F$300,"&lt;&gt;")=0,"",ROUND(SUMIFS(Пул!$F$5:$F$300,Пул!$E$5:$E$300,$B229),8)))</f>
        <v/>
      </c>
      <c r="D229" s="241" t="str">
        <f>IF($B229="","",IF(COUNTIFS(Пул!$E$5:$E$300,$B229,Пул!$G$5:$G$300,"&lt;&gt;")=0,"",ROUND(SUMIFS(Пул!$G$5:$G$300,Пул!$E$5:$E$300,$B229),8)))</f>
        <v/>
      </c>
      <c r="E229" s="240" t="str">
        <f>IF($B229="","",IF(COUNTIFS(Пул!$E$5:$E$300,$B229,Пул!$L$5:$L$300,"Закрыт")=0,"",ROUND(SUMIFS(Пул!$H$5:$H$300,Пул!$E$5:$E$300,$B229,Пул!$L$5:$L$300,"Закрыт"),8)))</f>
        <v/>
      </c>
      <c r="F229" s="241" t="str">
        <f>IF($B229="","",IF(COUNTIFS(Пул!$E$5:$E$300,$B229,Пул!$L$5:$L$300,"Закрыт")=0,"",ROUND(SUMIFS(Пул!$I$5:$I$300,Пул!$E$5:$E$300,$B229,Пул!$L$5:$L$300,"Закрыт"),8)))</f>
        <v/>
      </c>
      <c r="G229" s="240" t="str">
        <f>IF($B229="","",IF(COUNTIFS(Пул!$E$5:$E$300,$B229,Пул!$L$5:$L$300,"Закрыт")=0,"",ROUND(SUMIFS(Пул!$J$5:$J$300,Пул!$E$5:$E$300,$B229,Пул!$L$5:$L$300,"Закрыт"),8)))</f>
        <v/>
      </c>
      <c r="H229" s="241" t="str">
        <f>IF($B229="","",IF(COUNTIFS(Пул!$E$5:$E$300,$B229,Пул!$L$5:$L$300,"Закрыт")=0,"",ROUND(SUMIFS(Пул!$K$5:$K$300,Пул!$E$5:$E$300,$B229,Пул!$L$5:$L$300,"Закрыт"),8)))</f>
        <v/>
      </c>
      <c r="I229" s="236" t="str">
        <f>IF(AND(ISNUMBER(G229),ISNUMBER(H229)),IF(AND(G229&gt;0,H229&lt;0),"Buy",IF(AND(G229&lt;0,H229&gt;0),"Sell","")),"")</f>
        <v/>
      </c>
      <c r="J229" s="177" t="str">
        <f>IF(I229="Buy",G229,IF(I229="Sell",-G229,""))</f>
        <v/>
      </c>
      <c r="K229" s="177" t="str">
        <f>IF(AND(ISNUMBER(J229),ISNUMBER(L229),N(J229)&lt;&gt;0),ROUND(L229/J229,8),"")</f>
        <v/>
      </c>
      <c r="L229" s="177" t="str">
        <f>IF(I229="Buy",-H229,IF(I229="Sell",H229,""))</f>
        <v/>
      </c>
    </row>
    <row r="230" ht="22" customHeight="1">
      <c r="B230" s="245" t="n"/>
      <c r="C230" s="246" t="str">
        <f>IF($B230="","",IF(COUNTIFS(Пул!$E$5:$E$300,$B230,Пул!$F$5:$F$300,"&lt;&gt;")=0,"",ROUND(SUMIFS(Пул!$F$5:$F$300,Пул!$E$5:$E$300,$B230),8)))</f>
        <v/>
      </c>
      <c r="D230" s="247" t="str">
        <f>IF($B230="","",IF(COUNTIFS(Пул!$E$5:$E$300,$B230,Пул!$G$5:$G$300,"&lt;&gt;")=0,"",ROUND(SUMIFS(Пул!$G$5:$G$300,Пул!$E$5:$E$300,$B230),8)))</f>
        <v/>
      </c>
      <c r="E230" s="246" t="str">
        <f>IF($B230="","",IF(COUNTIFS(Пул!$E$5:$E$300,$B230,Пул!$L$5:$L$300,"Закрыт")=0,"",ROUND(SUMIFS(Пул!$H$5:$H$300,Пул!$E$5:$E$300,$B230,Пул!$L$5:$L$300,"Закрыт"),8)))</f>
        <v/>
      </c>
      <c r="F230" s="247" t="str">
        <f>IF($B230="","",IF(COUNTIFS(Пул!$E$5:$E$300,$B230,Пул!$L$5:$L$300,"Закрыт")=0,"",ROUND(SUMIFS(Пул!$I$5:$I$300,Пул!$E$5:$E$300,$B230,Пул!$L$5:$L$300,"Закрыт"),8)))</f>
        <v/>
      </c>
      <c r="G230" s="246" t="str">
        <f>IF($B230="","",IF(COUNTIFS(Пул!$E$5:$E$300,$B230,Пул!$L$5:$L$300,"Закрыт")=0,"",ROUND(SUMIFS(Пул!$J$5:$J$300,Пул!$E$5:$E$300,$B230,Пул!$L$5:$L$300,"Закрыт"),8)))</f>
        <v/>
      </c>
      <c r="H230" s="247" t="str">
        <f>IF($B230="","",IF(COUNTIFS(Пул!$E$5:$E$300,$B230,Пул!$L$5:$L$300,"Закрыт")=0,"",ROUND(SUMIFS(Пул!$K$5:$K$300,Пул!$E$5:$E$300,$B230,Пул!$L$5:$L$300,"Закрыт"),8)))</f>
        <v/>
      </c>
      <c r="I230" s="242" t="str">
        <f>IF(AND(ISNUMBER(G230),ISNUMBER(H230)),IF(AND(G230&gt;0,H230&lt;0),"Buy",IF(AND(G230&lt;0,H230&gt;0),"Sell","")),"")</f>
        <v/>
      </c>
      <c r="J230" s="183" t="str">
        <f>IF(I230="Buy",G230,IF(I230="Sell",-G230,""))</f>
        <v/>
      </c>
      <c r="K230" s="183" t="str">
        <f>IF(AND(ISNUMBER(J230),ISNUMBER(L230),N(J230)&lt;&gt;0),ROUND(L230/J230,8),"")</f>
        <v/>
      </c>
      <c r="L230" s="183" t="str">
        <f>IF(I230="Buy",-H230,IF(I230="Sell",H230,""))</f>
        <v/>
      </c>
    </row>
    <row r="231" ht="22" customHeight="1">
      <c r="B231" s="239" t="n"/>
      <c r="C231" s="240" t="str">
        <f>IF($B231="","",IF(COUNTIFS(Пул!$E$5:$E$300,$B231,Пул!$F$5:$F$300,"&lt;&gt;")=0,"",ROUND(SUMIFS(Пул!$F$5:$F$300,Пул!$E$5:$E$300,$B231),8)))</f>
        <v/>
      </c>
      <c r="D231" s="241" t="str">
        <f>IF($B231="","",IF(COUNTIFS(Пул!$E$5:$E$300,$B231,Пул!$G$5:$G$300,"&lt;&gt;")=0,"",ROUND(SUMIFS(Пул!$G$5:$G$300,Пул!$E$5:$E$300,$B231),8)))</f>
        <v/>
      </c>
      <c r="E231" s="240" t="str">
        <f>IF($B231="","",IF(COUNTIFS(Пул!$E$5:$E$300,$B231,Пул!$L$5:$L$300,"Закрыт")=0,"",ROUND(SUMIFS(Пул!$H$5:$H$300,Пул!$E$5:$E$300,$B231,Пул!$L$5:$L$300,"Закрыт"),8)))</f>
        <v/>
      </c>
      <c r="F231" s="241" t="str">
        <f>IF($B231="","",IF(COUNTIFS(Пул!$E$5:$E$300,$B231,Пул!$L$5:$L$300,"Закрыт")=0,"",ROUND(SUMIFS(Пул!$I$5:$I$300,Пул!$E$5:$E$300,$B231,Пул!$L$5:$L$300,"Закрыт"),8)))</f>
        <v/>
      </c>
      <c r="G231" s="240" t="str">
        <f>IF($B231="","",IF(COUNTIFS(Пул!$E$5:$E$300,$B231,Пул!$L$5:$L$300,"Закрыт")=0,"",ROUND(SUMIFS(Пул!$J$5:$J$300,Пул!$E$5:$E$300,$B231,Пул!$L$5:$L$300,"Закрыт"),8)))</f>
        <v/>
      </c>
      <c r="H231" s="241" t="str">
        <f>IF($B231="","",IF(COUNTIFS(Пул!$E$5:$E$300,$B231,Пул!$L$5:$L$300,"Закрыт")=0,"",ROUND(SUMIFS(Пул!$K$5:$K$300,Пул!$E$5:$E$300,$B231,Пул!$L$5:$L$300,"Закрыт"),8)))</f>
        <v/>
      </c>
      <c r="I231" s="236" t="str">
        <f>IF(AND(ISNUMBER(G231),ISNUMBER(H231)),IF(AND(G231&gt;0,H231&lt;0),"Buy",IF(AND(G231&lt;0,H231&gt;0),"Sell","")),"")</f>
        <v/>
      </c>
      <c r="J231" s="177" t="str">
        <f>IF(I231="Buy",G231,IF(I231="Sell",-G231,""))</f>
        <v/>
      </c>
      <c r="K231" s="177" t="str">
        <f>IF(AND(ISNUMBER(J231),ISNUMBER(L231),N(J231)&lt;&gt;0),ROUND(L231/J231,8),"")</f>
        <v/>
      </c>
      <c r="L231" s="177" t="str">
        <f>IF(I231="Buy",-H231,IF(I231="Sell",H231,""))</f>
        <v/>
      </c>
    </row>
    <row r="232" ht="22" customHeight="1">
      <c r="B232" s="245" t="n"/>
      <c r="C232" s="246" t="str">
        <f>IF($B232="","",IF(COUNTIFS(Пул!$E$5:$E$300,$B232,Пул!$F$5:$F$300,"&lt;&gt;")=0,"",ROUND(SUMIFS(Пул!$F$5:$F$300,Пул!$E$5:$E$300,$B232),8)))</f>
        <v/>
      </c>
      <c r="D232" s="247" t="str">
        <f>IF($B232="","",IF(COUNTIFS(Пул!$E$5:$E$300,$B232,Пул!$G$5:$G$300,"&lt;&gt;")=0,"",ROUND(SUMIFS(Пул!$G$5:$G$300,Пул!$E$5:$E$300,$B232),8)))</f>
        <v/>
      </c>
      <c r="E232" s="246" t="str">
        <f>IF($B232="","",IF(COUNTIFS(Пул!$E$5:$E$300,$B232,Пул!$L$5:$L$300,"Закрыт")=0,"",ROUND(SUMIFS(Пул!$H$5:$H$300,Пул!$E$5:$E$300,$B232,Пул!$L$5:$L$300,"Закрыт"),8)))</f>
        <v/>
      </c>
      <c r="F232" s="247" t="str">
        <f>IF($B232="","",IF(COUNTIFS(Пул!$E$5:$E$300,$B232,Пул!$L$5:$L$300,"Закрыт")=0,"",ROUND(SUMIFS(Пул!$I$5:$I$300,Пул!$E$5:$E$300,$B232,Пул!$L$5:$L$300,"Закрыт"),8)))</f>
        <v/>
      </c>
      <c r="G232" s="246" t="str">
        <f>IF($B232="","",IF(COUNTIFS(Пул!$E$5:$E$300,$B232,Пул!$L$5:$L$300,"Закрыт")=0,"",ROUND(SUMIFS(Пул!$J$5:$J$300,Пул!$E$5:$E$300,$B232,Пул!$L$5:$L$300,"Закрыт"),8)))</f>
        <v/>
      </c>
      <c r="H232" s="247" t="str">
        <f>IF($B232="","",IF(COUNTIFS(Пул!$E$5:$E$300,$B232,Пул!$L$5:$L$300,"Закрыт")=0,"",ROUND(SUMIFS(Пул!$K$5:$K$300,Пул!$E$5:$E$300,$B232,Пул!$L$5:$L$300,"Закрыт"),8)))</f>
        <v/>
      </c>
      <c r="I232" s="242" t="str">
        <f>IF(AND(ISNUMBER(G232),ISNUMBER(H232)),IF(AND(G232&gt;0,H232&lt;0),"Buy",IF(AND(G232&lt;0,H232&gt;0),"Sell","")),"")</f>
        <v/>
      </c>
      <c r="J232" s="183" t="str">
        <f>IF(I232="Buy",G232,IF(I232="Sell",-G232,""))</f>
        <v/>
      </c>
      <c r="K232" s="183" t="str">
        <f>IF(AND(ISNUMBER(J232),ISNUMBER(L232),N(J232)&lt;&gt;0),ROUND(L232/J232,8),"")</f>
        <v/>
      </c>
      <c r="L232" s="183" t="str">
        <f>IF(I232="Buy",-H232,IF(I232="Sell",H232,""))</f>
        <v/>
      </c>
    </row>
    <row r="233" ht="22" customHeight="1">
      <c r="B233" s="239" t="n"/>
      <c r="C233" s="240" t="str">
        <f>IF($B233="","",IF(COUNTIFS(Пул!$E$5:$E$300,$B233,Пул!$F$5:$F$300,"&lt;&gt;")=0,"",ROUND(SUMIFS(Пул!$F$5:$F$300,Пул!$E$5:$E$300,$B233),8)))</f>
        <v/>
      </c>
      <c r="D233" s="241" t="str">
        <f>IF($B233="","",IF(COUNTIFS(Пул!$E$5:$E$300,$B233,Пул!$G$5:$G$300,"&lt;&gt;")=0,"",ROUND(SUMIFS(Пул!$G$5:$G$300,Пул!$E$5:$E$300,$B233),8)))</f>
        <v/>
      </c>
      <c r="E233" s="240" t="str">
        <f>IF($B233="","",IF(COUNTIFS(Пул!$E$5:$E$300,$B233,Пул!$L$5:$L$300,"Закрыт")=0,"",ROUND(SUMIFS(Пул!$H$5:$H$300,Пул!$E$5:$E$300,$B233,Пул!$L$5:$L$300,"Закрыт"),8)))</f>
        <v/>
      </c>
      <c r="F233" s="241" t="str">
        <f>IF($B233="","",IF(COUNTIFS(Пул!$E$5:$E$300,$B233,Пул!$L$5:$L$300,"Закрыт")=0,"",ROUND(SUMIFS(Пул!$I$5:$I$300,Пул!$E$5:$E$300,$B233,Пул!$L$5:$L$300,"Закрыт"),8)))</f>
        <v/>
      </c>
      <c r="G233" s="240" t="str">
        <f>IF($B233="","",IF(COUNTIFS(Пул!$E$5:$E$300,$B233,Пул!$L$5:$L$300,"Закрыт")=0,"",ROUND(SUMIFS(Пул!$J$5:$J$300,Пул!$E$5:$E$300,$B233,Пул!$L$5:$L$300,"Закрыт"),8)))</f>
        <v/>
      </c>
      <c r="H233" s="241" t="str">
        <f>IF($B233="","",IF(COUNTIFS(Пул!$E$5:$E$300,$B233,Пул!$L$5:$L$300,"Закрыт")=0,"",ROUND(SUMIFS(Пул!$K$5:$K$300,Пул!$E$5:$E$300,$B233,Пул!$L$5:$L$300,"Закрыт"),8)))</f>
        <v/>
      </c>
      <c r="I233" s="236" t="str">
        <f>IF(AND(ISNUMBER(G233),ISNUMBER(H233)),IF(AND(G233&gt;0,H233&lt;0),"Buy",IF(AND(G233&lt;0,H233&gt;0),"Sell","")),"")</f>
        <v/>
      </c>
      <c r="J233" s="177" t="str">
        <f>IF(I233="Buy",G233,IF(I233="Sell",-G233,""))</f>
        <v/>
      </c>
      <c r="K233" s="177" t="str">
        <f>IF(AND(ISNUMBER(J233),ISNUMBER(L233),N(J233)&lt;&gt;0),ROUND(L233/J233,8),"")</f>
        <v/>
      </c>
      <c r="L233" s="177" t="str">
        <f>IF(I233="Buy",-H233,IF(I233="Sell",H233,""))</f>
        <v/>
      </c>
    </row>
    <row r="234" ht="22" customHeight="1">
      <c r="B234" s="245" t="n"/>
      <c r="C234" s="246" t="str">
        <f>IF($B234="","",IF(COUNTIFS(Пул!$E$5:$E$300,$B234,Пул!$F$5:$F$300,"&lt;&gt;")=0,"",ROUND(SUMIFS(Пул!$F$5:$F$300,Пул!$E$5:$E$300,$B234),8)))</f>
        <v/>
      </c>
      <c r="D234" s="247" t="str">
        <f>IF($B234="","",IF(COUNTIFS(Пул!$E$5:$E$300,$B234,Пул!$G$5:$G$300,"&lt;&gt;")=0,"",ROUND(SUMIFS(Пул!$G$5:$G$300,Пул!$E$5:$E$300,$B234),8)))</f>
        <v/>
      </c>
      <c r="E234" s="246" t="str">
        <f>IF($B234="","",IF(COUNTIFS(Пул!$E$5:$E$300,$B234,Пул!$L$5:$L$300,"Закрыт")=0,"",ROUND(SUMIFS(Пул!$H$5:$H$300,Пул!$E$5:$E$300,$B234,Пул!$L$5:$L$300,"Закрыт"),8)))</f>
        <v/>
      </c>
      <c r="F234" s="247" t="str">
        <f>IF($B234="","",IF(COUNTIFS(Пул!$E$5:$E$300,$B234,Пул!$L$5:$L$300,"Закрыт")=0,"",ROUND(SUMIFS(Пул!$I$5:$I$300,Пул!$E$5:$E$300,$B234,Пул!$L$5:$L$300,"Закрыт"),8)))</f>
        <v/>
      </c>
      <c r="G234" s="246" t="str">
        <f>IF($B234="","",IF(COUNTIFS(Пул!$E$5:$E$300,$B234,Пул!$L$5:$L$300,"Закрыт")=0,"",ROUND(SUMIFS(Пул!$J$5:$J$300,Пул!$E$5:$E$300,$B234,Пул!$L$5:$L$300,"Закрыт"),8)))</f>
        <v/>
      </c>
      <c r="H234" s="247" t="str">
        <f>IF($B234="","",IF(COUNTIFS(Пул!$E$5:$E$300,$B234,Пул!$L$5:$L$300,"Закрыт")=0,"",ROUND(SUMIFS(Пул!$K$5:$K$300,Пул!$E$5:$E$300,$B234,Пул!$L$5:$L$300,"Закрыт"),8)))</f>
        <v/>
      </c>
      <c r="I234" s="242" t="str">
        <f>IF(AND(ISNUMBER(G234),ISNUMBER(H234)),IF(AND(G234&gt;0,H234&lt;0),"Buy",IF(AND(G234&lt;0,H234&gt;0),"Sell","")),"")</f>
        <v/>
      </c>
      <c r="J234" s="183" t="str">
        <f>IF(I234="Buy",G234,IF(I234="Sell",-G234,""))</f>
        <v/>
      </c>
      <c r="K234" s="183" t="str">
        <f>IF(AND(ISNUMBER(J234),ISNUMBER(L234),N(J234)&lt;&gt;0),ROUND(L234/J234,8),"")</f>
        <v/>
      </c>
      <c r="L234" s="183" t="str">
        <f>IF(I234="Buy",-H234,IF(I234="Sell",H234,""))</f>
        <v/>
      </c>
    </row>
    <row r="235" ht="22" customHeight="1">
      <c r="B235" s="239" t="n"/>
      <c r="C235" s="240" t="str">
        <f>IF($B235="","",IF(COUNTIFS(Пул!$E$5:$E$300,$B235,Пул!$F$5:$F$300,"&lt;&gt;")=0,"",ROUND(SUMIFS(Пул!$F$5:$F$300,Пул!$E$5:$E$300,$B235),8)))</f>
        <v/>
      </c>
      <c r="D235" s="241" t="str">
        <f>IF($B235="","",IF(COUNTIFS(Пул!$E$5:$E$300,$B235,Пул!$G$5:$G$300,"&lt;&gt;")=0,"",ROUND(SUMIFS(Пул!$G$5:$G$300,Пул!$E$5:$E$300,$B235),8)))</f>
        <v/>
      </c>
      <c r="E235" s="240" t="str">
        <f>IF($B235="","",IF(COUNTIFS(Пул!$E$5:$E$300,$B235,Пул!$L$5:$L$300,"Закрыт")=0,"",ROUND(SUMIFS(Пул!$H$5:$H$300,Пул!$E$5:$E$300,$B235,Пул!$L$5:$L$300,"Закрыт"),8)))</f>
        <v/>
      </c>
      <c r="F235" s="241" t="str">
        <f>IF($B235="","",IF(COUNTIFS(Пул!$E$5:$E$300,$B235,Пул!$L$5:$L$300,"Закрыт")=0,"",ROUND(SUMIFS(Пул!$I$5:$I$300,Пул!$E$5:$E$300,$B235,Пул!$L$5:$L$300,"Закрыт"),8)))</f>
        <v/>
      </c>
      <c r="G235" s="240" t="str">
        <f>IF($B235="","",IF(COUNTIFS(Пул!$E$5:$E$300,$B235,Пул!$L$5:$L$300,"Закрыт")=0,"",ROUND(SUMIFS(Пул!$J$5:$J$300,Пул!$E$5:$E$300,$B235,Пул!$L$5:$L$300,"Закрыт"),8)))</f>
        <v/>
      </c>
      <c r="H235" s="241" t="str">
        <f>IF($B235="","",IF(COUNTIFS(Пул!$E$5:$E$300,$B235,Пул!$L$5:$L$300,"Закрыт")=0,"",ROUND(SUMIFS(Пул!$K$5:$K$300,Пул!$E$5:$E$300,$B235,Пул!$L$5:$L$300,"Закрыт"),8)))</f>
        <v/>
      </c>
      <c r="I235" s="236" t="str">
        <f>IF(AND(ISNUMBER(G235),ISNUMBER(H235)),IF(AND(G235&gt;0,H235&lt;0),"Buy",IF(AND(G235&lt;0,H235&gt;0),"Sell","")),"")</f>
        <v/>
      </c>
      <c r="J235" s="177" t="str">
        <f>IF(I235="Buy",G235,IF(I235="Sell",-G235,""))</f>
        <v/>
      </c>
      <c r="K235" s="177" t="str">
        <f>IF(AND(ISNUMBER(J235),ISNUMBER(L235),N(J235)&lt;&gt;0),ROUND(L235/J235,8),"")</f>
        <v/>
      </c>
      <c r="L235" s="177" t="str">
        <f>IF(I235="Buy",-H235,IF(I235="Sell",H235,""))</f>
        <v/>
      </c>
    </row>
    <row r="236" ht="22" customHeight="1">
      <c r="B236" s="245" t="n"/>
      <c r="C236" s="246" t="str">
        <f>IF($B236="","",IF(COUNTIFS(Пул!$E$5:$E$300,$B236,Пул!$F$5:$F$300,"&lt;&gt;")=0,"",ROUND(SUMIFS(Пул!$F$5:$F$300,Пул!$E$5:$E$300,$B236),8)))</f>
        <v/>
      </c>
      <c r="D236" s="247" t="str">
        <f>IF($B236="","",IF(COUNTIFS(Пул!$E$5:$E$300,$B236,Пул!$G$5:$G$300,"&lt;&gt;")=0,"",ROUND(SUMIFS(Пул!$G$5:$G$300,Пул!$E$5:$E$300,$B236),8)))</f>
        <v/>
      </c>
      <c r="E236" s="246" t="str">
        <f>IF($B236="","",IF(COUNTIFS(Пул!$E$5:$E$300,$B236,Пул!$L$5:$L$300,"Закрыт")=0,"",ROUND(SUMIFS(Пул!$H$5:$H$300,Пул!$E$5:$E$300,$B236,Пул!$L$5:$L$300,"Закрыт"),8)))</f>
        <v/>
      </c>
      <c r="F236" s="247" t="str">
        <f>IF($B236="","",IF(COUNTIFS(Пул!$E$5:$E$300,$B236,Пул!$L$5:$L$300,"Закрыт")=0,"",ROUND(SUMIFS(Пул!$I$5:$I$300,Пул!$E$5:$E$300,$B236,Пул!$L$5:$L$300,"Закрыт"),8)))</f>
        <v/>
      </c>
      <c r="G236" s="246" t="str">
        <f>IF($B236="","",IF(COUNTIFS(Пул!$E$5:$E$300,$B236,Пул!$L$5:$L$300,"Закрыт")=0,"",ROUND(SUMIFS(Пул!$J$5:$J$300,Пул!$E$5:$E$300,$B236,Пул!$L$5:$L$300,"Закрыт"),8)))</f>
        <v/>
      </c>
      <c r="H236" s="247" t="str">
        <f>IF($B236="","",IF(COUNTIFS(Пул!$E$5:$E$300,$B236,Пул!$L$5:$L$300,"Закрыт")=0,"",ROUND(SUMIFS(Пул!$K$5:$K$300,Пул!$E$5:$E$300,$B236,Пул!$L$5:$L$300,"Закрыт"),8)))</f>
        <v/>
      </c>
      <c r="I236" s="242" t="str">
        <f>IF(AND(ISNUMBER(G236),ISNUMBER(H236)),IF(AND(G236&gt;0,H236&lt;0),"Buy",IF(AND(G236&lt;0,H236&gt;0),"Sell","")),"")</f>
        <v/>
      </c>
      <c r="J236" s="183" t="str">
        <f>IF(I236="Buy",G236,IF(I236="Sell",-G236,""))</f>
        <v/>
      </c>
      <c r="K236" s="183" t="str">
        <f>IF(AND(ISNUMBER(J236),ISNUMBER(L236),N(J236)&lt;&gt;0),ROUND(L236/J236,8),"")</f>
        <v/>
      </c>
      <c r="L236" s="183" t="str">
        <f>IF(I236="Buy",-H236,IF(I236="Sell",H236,""))</f>
        <v/>
      </c>
    </row>
    <row r="237" ht="22" customHeight="1">
      <c r="B237" s="239" t="n"/>
      <c r="C237" s="240" t="str">
        <f>IF($B237="","",IF(COUNTIFS(Пул!$E$5:$E$300,$B237,Пул!$F$5:$F$300,"&lt;&gt;")=0,"",ROUND(SUMIFS(Пул!$F$5:$F$300,Пул!$E$5:$E$300,$B237),8)))</f>
        <v/>
      </c>
      <c r="D237" s="241" t="str">
        <f>IF($B237="","",IF(COUNTIFS(Пул!$E$5:$E$300,$B237,Пул!$G$5:$G$300,"&lt;&gt;")=0,"",ROUND(SUMIFS(Пул!$G$5:$G$300,Пул!$E$5:$E$300,$B237),8)))</f>
        <v/>
      </c>
      <c r="E237" s="240" t="str">
        <f>IF($B237="","",IF(COUNTIFS(Пул!$E$5:$E$300,$B237,Пул!$L$5:$L$300,"Закрыт")=0,"",ROUND(SUMIFS(Пул!$H$5:$H$300,Пул!$E$5:$E$300,$B237,Пул!$L$5:$L$300,"Закрыт"),8)))</f>
        <v/>
      </c>
      <c r="F237" s="241" t="str">
        <f>IF($B237="","",IF(COUNTIFS(Пул!$E$5:$E$300,$B237,Пул!$L$5:$L$300,"Закрыт")=0,"",ROUND(SUMIFS(Пул!$I$5:$I$300,Пул!$E$5:$E$300,$B237,Пул!$L$5:$L$300,"Закрыт"),8)))</f>
        <v/>
      </c>
      <c r="G237" s="240" t="str">
        <f>IF($B237="","",IF(COUNTIFS(Пул!$E$5:$E$300,$B237,Пул!$L$5:$L$300,"Закрыт")=0,"",ROUND(SUMIFS(Пул!$J$5:$J$300,Пул!$E$5:$E$300,$B237,Пул!$L$5:$L$300,"Закрыт"),8)))</f>
        <v/>
      </c>
      <c r="H237" s="241" t="str">
        <f>IF($B237="","",IF(COUNTIFS(Пул!$E$5:$E$300,$B237,Пул!$L$5:$L$300,"Закрыт")=0,"",ROUND(SUMIFS(Пул!$K$5:$K$300,Пул!$E$5:$E$300,$B237,Пул!$L$5:$L$300,"Закрыт"),8)))</f>
        <v/>
      </c>
      <c r="I237" s="236" t="str">
        <f>IF(AND(ISNUMBER(G237),ISNUMBER(H237)),IF(AND(G237&gt;0,H237&lt;0),"Buy",IF(AND(G237&lt;0,H237&gt;0),"Sell","")),"")</f>
        <v/>
      </c>
      <c r="J237" s="177" t="str">
        <f>IF(I237="Buy",G237,IF(I237="Sell",-G237,""))</f>
        <v/>
      </c>
      <c r="K237" s="177" t="str">
        <f>IF(AND(ISNUMBER(J237),ISNUMBER(L237),N(J237)&lt;&gt;0),ROUND(L237/J237,8),"")</f>
        <v/>
      </c>
      <c r="L237" s="177" t="str">
        <f>IF(I237="Buy",-H237,IF(I237="Sell",H237,""))</f>
        <v/>
      </c>
    </row>
    <row r="238" ht="22" customHeight="1">
      <c r="B238" s="245" t="n"/>
      <c r="C238" s="246" t="str">
        <f>IF($B238="","",IF(COUNTIFS(Пул!$E$5:$E$300,$B238,Пул!$F$5:$F$300,"&lt;&gt;")=0,"",ROUND(SUMIFS(Пул!$F$5:$F$300,Пул!$E$5:$E$300,$B238),8)))</f>
        <v/>
      </c>
      <c r="D238" s="247" t="str">
        <f>IF($B238="","",IF(COUNTIFS(Пул!$E$5:$E$300,$B238,Пул!$G$5:$G$300,"&lt;&gt;")=0,"",ROUND(SUMIFS(Пул!$G$5:$G$300,Пул!$E$5:$E$300,$B238),8)))</f>
        <v/>
      </c>
      <c r="E238" s="246" t="str">
        <f>IF($B238="","",IF(COUNTIFS(Пул!$E$5:$E$300,$B238,Пул!$L$5:$L$300,"Закрыт")=0,"",ROUND(SUMIFS(Пул!$H$5:$H$300,Пул!$E$5:$E$300,$B238,Пул!$L$5:$L$300,"Закрыт"),8)))</f>
        <v/>
      </c>
      <c r="F238" s="247" t="str">
        <f>IF($B238="","",IF(COUNTIFS(Пул!$E$5:$E$300,$B238,Пул!$L$5:$L$300,"Закрыт")=0,"",ROUND(SUMIFS(Пул!$I$5:$I$300,Пул!$E$5:$E$300,$B238,Пул!$L$5:$L$300,"Закрыт"),8)))</f>
        <v/>
      </c>
      <c r="G238" s="246" t="str">
        <f>IF($B238="","",IF(COUNTIFS(Пул!$E$5:$E$300,$B238,Пул!$L$5:$L$300,"Закрыт")=0,"",ROUND(SUMIFS(Пул!$J$5:$J$300,Пул!$E$5:$E$300,$B238,Пул!$L$5:$L$300,"Закрыт"),8)))</f>
        <v/>
      </c>
      <c r="H238" s="247" t="str">
        <f>IF($B238="","",IF(COUNTIFS(Пул!$E$5:$E$300,$B238,Пул!$L$5:$L$300,"Закрыт")=0,"",ROUND(SUMIFS(Пул!$K$5:$K$300,Пул!$E$5:$E$300,$B238,Пул!$L$5:$L$300,"Закрыт"),8)))</f>
        <v/>
      </c>
      <c r="I238" s="242" t="str">
        <f>IF(AND(ISNUMBER(G238),ISNUMBER(H238)),IF(AND(G238&gt;0,H238&lt;0),"Buy",IF(AND(G238&lt;0,H238&gt;0),"Sell","")),"")</f>
        <v/>
      </c>
      <c r="J238" s="183" t="str">
        <f>IF(I238="Buy",G238,IF(I238="Sell",-G238,""))</f>
        <v/>
      </c>
      <c r="K238" s="183" t="str">
        <f>IF(AND(ISNUMBER(J238),ISNUMBER(L238),N(J238)&lt;&gt;0),ROUND(L238/J238,8),"")</f>
        <v/>
      </c>
      <c r="L238" s="183" t="str">
        <f>IF(I238="Buy",-H238,IF(I238="Sell",H238,""))</f>
        <v/>
      </c>
    </row>
    <row r="239" ht="22" customHeight="1">
      <c r="B239" s="239" t="n"/>
      <c r="C239" s="240" t="str">
        <f>IF($B239="","",IF(COUNTIFS(Пул!$E$5:$E$300,$B239,Пул!$F$5:$F$300,"&lt;&gt;")=0,"",ROUND(SUMIFS(Пул!$F$5:$F$300,Пул!$E$5:$E$300,$B239),8)))</f>
        <v/>
      </c>
      <c r="D239" s="241" t="str">
        <f>IF($B239="","",IF(COUNTIFS(Пул!$E$5:$E$300,$B239,Пул!$G$5:$G$300,"&lt;&gt;")=0,"",ROUND(SUMIFS(Пул!$G$5:$G$300,Пул!$E$5:$E$300,$B239),8)))</f>
        <v/>
      </c>
      <c r="E239" s="240" t="str">
        <f>IF($B239="","",IF(COUNTIFS(Пул!$E$5:$E$300,$B239,Пул!$L$5:$L$300,"Закрыт")=0,"",ROUND(SUMIFS(Пул!$H$5:$H$300,Пул!$E$5:$E$300,$B239,Пул!$L$5:$L$300,"Закрыт"),8)))</f>
        <v/>
      </c>
      <c r="F239" s="241" t="str">
        <f>IF($B239="","",IF(COUNTIFS(Пул!$E$5:$E$300,$B239,Пул!$L$5:$L$300,"Закрыт")=0,"",ROUND(SUMIFS(Пул!$I$5:$I$300,Пул!$E$5:$E$300,$B239,Пул!$L$5:$L$300,"Закрыт"),8)))</f>
        <v/>
      </c>
      <c r="G239" s="240" t="str">
        <f>IF($B239="","",IF(COUNTIFS(Пул!$E$5:$E$300,$B239,Пул!$L$5:$L$300,"Закрыт")=0,"",ROUND(SUMIFS(Пул!$J$5:$J$300,Пул!$E$5:$E$300,$B239,Пул!$L$5:$L$300,"Закрыт"),8)))</f>
        <v/>
      </c>
      <c r="H239" s="241" t="str">
        <f>IF($B239="","",IF(COUNTIFS(Пул!$E$5:$E$300,$B239,Пул!$L$5:$L$300,"Закрыт")=0,"",ROUND(SUMIFS(Пул!$K$5:$K$300,Пул!$E$5:$E$300,$B239,Пул!$L$5:$L$300,"Закрыт"),8)))</f>
        <v/>
      </c>
      <c r="I239" s="236" t="str">
        <f>IF(AND(ISNUMBER(G239),ISNUMBER(H239)),IF(AND(G239&gt;0,H239&lt;0),"Buy",IF(AND(G239&lt;0,H239&gt;0),"Sell","")),"")</f>
        <v/>
      </c>
      <c r="J239" s="177" t="str">
        <f>IF(I239="Buy",G239,IF(I239="Sell",-G239,""))</f>
        <v/>
      </c>
      <c r="K239" s="177" t="str">
        <f>IF(AND(ISNUMBER(J239),ISNUMBER(L239),N(J239)&lt;&gt;0),ROUND(L239/J239,8),"")</f>
        <v/>
      </c>
      <c r="L239" s="177" t="str">
        <f>IF(I239="Buy",-H239,IF(I239="Sell",H239,""))</f>
        <v/>
      </c>
    </row>
    <row r="240" ht="22" customHeight="1">
      <c r="B240" s="245" t="n"/>
      <c r="C240" s="246" t="str">
        <f>IF($B240="","",IF(COUNTIFS(Пул!$E$5:$E$300,$B240,Пул!$F$5:$F$300,"&lt;&gt;")=0,"",ROUND(SUMIFS(Пул!$F$5:$F$300,Пул!$E$5:$E$300,$B240),8)))</f>
        <v/>
      </c>
      <c r="D240" s="247" t="str">
        <f>IF($B240="","",IF(COUNTIFS(Пул!$E$5:$E$300,$B240,Пул!$G$5:$G$300,"&lt;&gt;")=0,"",ROUND(SUMIFS(Пул!$G$5:$G$300,Пул!$E$5:$E$300,$B240),8)))</f>
        <v/>
      </c>
      <c r="E240" s="246" t="str">
        <f>IF($B240="","",IF(COUNTIFS(Пул!$E$5:$E$300,$B240,Пул!$L$5:$L$300,"Закрыт")=0,"",ROUND(SUMIFS(Пул!$H$5:$H$300,Пул!$E$5:$E$300,$B240,Пул!$L$5:$L$300,"Закрыт"),8)))</f>
        <v/>
      </c>
      <c r="F240" s="247" t="str">
        <f>IF($B240="","",IF(COUNTIFS(Пул!$E$5:$E$300,$B240,Пул!$L$5:$L$300,"Закрыт")=0,"",ROUND(SUMIFS(Пул!$I$5:$I$300,Пул!$E$5:$E$300,$B240,Пул!$L$5:$L$300,"Закрыт"),8)))</f>
        <v/>
      </c>
      <c r="G240" s="246" t="str">
        <f>IF($B240="","",IF(COUNTIFS(Пул!$E$5:$E$300,$B240,Пул!$L$5:$L$300,"Закрыт")=0,"",ROUND(SUMIFS(Пул!$J$5:$J$300,Пул!$E$5:$E$300,$B240,Пул!$L$5:$L$300,"Закрыт"),8)))</f>
        <v/>
      </c>
      <c r="H240" s="247" t="str">
        <f>IF($B240="","",IF(COUNTIFS(Пул!$E$5:$E$300,$B240,Пул!$L$5:$L$300,"Закрыт")=0,"",ROUND(SUMIFS(Пул!$K$5:$K$300,Пул!$E$5:$E$300,$B240,Пул!$L$5:$L$300,"Закрыт"),8)))</f>
        <v/>
      </c>
      <c r="I240" s="242" t="str">
        <f>IF(AND(ISNUMBER(G240),ISNUMBER(H240)),IF(AND(G240&gt;0,H240&lt;0),"Buy",IF(AND(G240&lt;0,H240&gt;0),"Sell","")),"")</f>
        <v/>
      </c>
      <c r="J240" s="183" t="str">
        <f>IF(I240="Buy",G240,IF(I240="Sell",-G240,""))</f>
        <v/>
      </c>
      <c r="K240" s="183" t="str">
        <f>IF(AND(ISNUMBER(J240),ISNUMBER(L240),N(J240)&lt;&gt;0),ROUND(L240/J240,8),"")</f>
        <v/>
      </c>
      <c r="L240" s="183" t="str">
        <f>IF(I240="Buy",-H240,IF(I240="Sell",H240,""))</f>
        <v/>
      </c>
    </row>
    <row r="241" ht="22" customHeight="1">
      <c r="B241" s="239" t="n"/>
      <c r="C241" s="240" t="str">
        <f>IF($B241="","",IF(COUNTIFS(Пул!$E$5:$E$300,$B241,Пул!$F$5:$F$300,"&lt;&gt;")=0,"",ROUND(SUMIFS(Пул!$F$5:$F$300,Пул!$E$5:$E$300,$B241),8)))</f>
        <v/>
      </c>
      <c r="D241" s="241" t="str">
        <f>IF($B241="","",IF(COUNTIFS(Пул!$E$5:$E$300,$B241,Пул!$G$5:$G$300,"&lt;&gt;")=0,"",ROUND(SUMIFS(Пул!$G$5:$G$300,Пул!$E$5:$E$300,$B241),8)))</f>
        <v/>
      </c>
      <c r="E241" s="240" t="str">
        <f>IF($B241="","",IF(COUNTIFS(Пул!$E$5:$E$300,$B241,Пул!$L$5:$L$300,"Закрыт")=0,"",ROUND(SUMIFS(Пул!$H$5:$H$300,Пул!$E$5:$E$300,$B241,Пул!$L$5:$L$300,"Закрыт"),8)))</f>
        <v/>
      </c>
      <c r="F241" s="241" t="str">
        <f>IF($B241="","",IF(COUNTIFS(Пул!$E$5:$E$300,$B241,Пул!$L$5:$L$300,"Закрыт")=0,"",ROUND(SUMIFS(Пул!$I$5:$I$300,Пул!$E$5:$E$300,$B241,Пул!$L$5:$L$300,"Закрыт"),8)))</f>
        <v/>
      </c>
      <c r="G241" s="240" t="str">
        <f>IF($B241="","",IF(COUNTIFS(Пул!$E$5:$E$300,$B241,Пул!$L$5:$L$300,"Закрыт")=0,"",ROUND(SUMIFS(Пул!$J$5:$J$300,Пул!$E$5:$E$300,$B241,Пул!$L$5:$L$300,"Закрыт"),8)))</f>
        <v/>
      </c>
      <c r="H241" s="241" t="str">
        <f>IF($B241="","",IF(COUNTIFS(Пул!$E$5:$E$300,$B241,Пул!$L$5:$L$300,"Закрыт")=0,"",ROUND(SUMIFS(Пул!$K$5:$K$300,Пул!$E$5:$E$300,$B241,Пул!$L$5:$L$300,"Закрыт"),8)))</f>
        <v/>
      </c>
      <c r="I241" s="236" t="str">
        <f>IF(AND(ISNUMBER(G241),ISNUMBER(H241)),IF(AND(G241&gt;0,H241&lt;0),"Buy",IF(AND(G241&lt;0,H241&gt;0),"Sell","")),"")</f>
        <v/>
      </c>
      <c r="J241" s="177" t="str">
        <f>IF(I241="Buy",G241,IF(I241="Sell",-G241,""))</f>
        <v/>
      </c>
      <c r="K241" s="177" t="str">
        <f>IF(AND(ISNUMBER(J241),ISNUMBER(L241),N(J241)&lt;&gt;0),ROUND(L241/J241,8),"")</f>
        <v/>
      </c>
      <c r="L241" s="177" t="str">
        <f>IF(I241="Buy",-H241,IF(I241="Sell",H241,""))</f>
        <v/>
      </c>
    </row>
    <row r="242" ht="22" customHeight="1">
      <c r="B242" s="245" t="n"/>
      <c r="C242" s="246" t="str">
        <f>IF($B242="","",IF(COUNTIFS(Пул!$E$5:$E$300,$B242,Пул!$F$5:$F$300,"&lt;&gt;")=0,"",ROUND(SUMIFS(Пул!$F$5:$F$300,Пул!$E$5:$E$300,$B242),8)))</f>
        <v/>
      </c>
      <c r="D242" s="247" t="str">
        <f>IF($B242="","",IF(COUNTIFS(Пул!$E$5:$E$300,$B242,Пул!$G$5:$G$300,"&lt;&gt;")=0,"",ROUND(SUMIFS(Пул!$G$5:$G$300,Пул!$E$5:$E$300,$B242),8)))</f>
        <v/>
      </c>
      <c r="E242" s="246" t="str">
        <f>IF($B242="","",IF(COUNTIFS(Пул!$E$5:$E$300,$B242,Пул!$L$5:$L$300,"Закрыт")=0,"",ROUND(SUMIFS(Пул!$H$5:$H$300,Пул!$E$5:$E$300,$B242,Пул!$L$5:$L$300,"Закрыт"),8)))</f>
        <v/>
      </c>
      <c r="F242" s="247" t="str">
        <f>IF($B242="","",IF(COUNTIFS(Пул!$E$5:$E$300,$B242,Пул!$L$5:$L$300,"Закрыт")=0,"",ROUND(SUMIFS(Пул!$I$5:$I$300,Пул!$E$5:$E$300,$B242,Пул!$L$5:$L$300,"Закрыт"),8)))</f>
        <v/>
      </c>
      <c r="G242" s="246" t="str">
        <f>IF($B242="","",IF(COUNTIFS(Пул!$E$5:$E$300,$B242,Пул!$L$5:$L$300,"Закрыт")=0,"",ROUND(SUMIFS(Пул!$J$5:$J$300,Пул!$E$5:$E$300,$B242,Пул!$L$5:$L$300,"Закрыт"),8)))</f>
        <v/>
      </c>
      <c r="H242" s="247" t="str">
        <f>IF($B242="","",IF(COUNTIFS(Пул!$E$5:$E$300,$B242,Пул!$L$5:$L$300,"Закрыт")=0,"",ROUND(SUMIFS(Пул!$K$5:$K$300,Пул!$E$5:$E$300,$B242,Пул!$L$5:$L$300,"Закрыт"),8)))</f>
        <v/>
      </c>
      <c r="I242" s="242" t="str">
        <f>IF(AND(ISNUMBER(G242),ISNUMBER(H242)),IF(AND(G242&gt;0,H242&lt;0),"Buy",IF(AND(G242&lt;0,H242&gt;0),"Sell","")),"")</f>
        <v/>
      </c>
      <c r="J242" s="183" t="str">
        <f>IF(I242="Buy",G242,IF(I242="Sell",-G242,""))</f>
        <v/>
      </c>
      <c r="K242" s="183" t="str">
        <f>IF(AND(ISNUMBER(J242),ISNUMBER(L242),N(J242)&lt;&gt;0),ROUND(L242/J242,8),"")</f>
        <v/>
      </c>
      <c r="L242" s="183" t="str">
        <f>IF(I242="Buy",-H242,IF(I242="Sell",H242,""))</f>
        <v/>
      </c>
    </row>
    <row r="243" ht="22" customHeight="1">
      <c r="B243" s="239" t="n"/>
      <c r="C243" s="240" t="str">
        <f>IF($B243="","",IF(COUNTIFS(Пул!$E$5:$E$300,$B243,Пул!$F$5:$F$300,"&lt;&gt;")=0,"",ROUND(SUMIFS(Пул!$F$5:$F$300,Пул!$E$5:$E$300,$B243),8)))</f>
        <v/>
      </c>
      <c r="D243" s="241" t="str">
        <f>IF($B243="","",IF(COUNTIFS(Пул!$E$5:$E$300,$B243,Пул!$G$5:$G$300,"&lt;&gt;")=0,"",ROUND(SUMIFS(Пул!$G$5:$G$300,Пул!$E$5:$E$300,$B243),8)))</f>
        <v/>
      </c>
      <c r="E243" s="240" t="str">
        <f>IF($B243="","",IF(COUNTIFS(Пул!$E$5:$E$300,$B243,Пул!$L$5:$L$300,"Закрыт")=0,"",ROUND(SUMIFS(Пул!$H$5:$H$300,Пул!$E$5:$E$300,$B243,Пул!$L$5:$L$300,"Закрыт"),8)))</f>
        <v/>
      </c>
      <c r="F243" s="241" t="str">
        <f>IF($B243="","",IF(COUNTIFS(Пул!$E$5:$E$300,$B243,Пул!$L$5:$L$300,"Закрыт")=0,"",ROUND(SUMIFS(Пул!$I$5:$I$300,Пул!$E$5:$E$300,$B243,Пул!$L$5:$L$300,"Закрыт"),8)))</f>
        <v/>
      </c>
      <c r="G243" s="240" t="str">
        <f>IF($B243="","",IF(COUNTIFS(Пул!$E$5:$E$300,$B243,Пул!$L$5:$L$300,"Закрыт")=0,"",ROUND(SUMIFS(Пул!$J$5:$J$300,Пул!$E$5:$E$300,$B243,Пул!$L$5:$L$300,"Закрыт"),8)))</f>
        <v/>
      </c>
      <c r="H243" s="241" t="str">
        <f>IF($B243="","",IF(COUNTIFS(Пул!$E$5:$E$300,$B243,Пул!$L$5:$L$300,"Закрыт")=0,"",ROUND(SUMIFS(Пул!$K$5:$K$300,Пул!$E$5:$E$300,$B243,Пул!$L$5:$L$300,"Закрыт"),8)))</f>
        <v/>
      </c>
      <c r="I243" s="236" t="str">
        <f>IF(AND(ISNUMBER(G243),ISNUMBER(H243)),IF(AND(G243&gt;0,H243&lt;0),"Buy",IF(AND(G243&lt;0,H243&gt;0),"Sell","")),"")</f>
        <v/>
      </c>
      <c r="J243" s="177" t="str">
        <f>IF(I243="Buy",G243,IF(I243="Sell",-G243,""))</f>
        <v/>
      </c>
      <c r="K243" s="177" t="str">
        <f>IF(AND(ISNUMBER(J243),ISNUMBER(L243),N(J243)&lt;&gt;0),ROUND(L243/J243,8),"")</f>
        <v/>
      </c>
      <c r="L243" s="177" t="str">
        <f>IF(I243="Buy",-H243,IF(I243="Sell",H243,""))</f>
        <v/>
      </c>
    </row>
    <row r="244" ht="22" customHeight="1">
      <c r="B244" s="245" t="n"/>
      <c r="C244" s="246" t="str">
        <f>IF($B244="","",IF(COUNTIFS(Пул!$E$5:$E$300,$B244,Пул!$F$5:$F$300,"&lt;&gt;")=0,"",ROUND(SUMIFS(Пул!$F$5:$F$300,Пул!$E$5:$E$300,$B244),8)))</f>
        <v/>
      </c>
      <c r="D244" s="247" t="str">
        <f>IF($B244="","",IF(COUNTIFS(Пул!$E$5:$E$300,$B244,Пул!$G$5:$G$300,"&lt;&gt;")=0,"",ROUND(SUMIFS(Пул!$G$5:$G$300,Пул!$E$5:$E$300,$B244),8)))</f>
        <v/>
      </c>
      <c r="E244" s="246" t="str">
        <f>IF($B244="","",IF(COUNTIFS(Пул!$E$5:$E$300,$B244,Пул!$L$5:$L$300,"Закрыт")=0,"",ROUND(SUMIFS(Пул!$H$5:$H$300,Пул!$E$5:$E$300,$B244,Пул!$L$5:$L$300,"Закрыт"),8)))</f>
        <v/>
      </c>
      <c r="F244" s="247" t="str">
        <f>IF($B244="","",IF(COUNTIFS(Пул!$E$5:$E$300,$B244,Пул!$L$5:$L$300,"Закрыт")=0,"",ROUND(SUMIFS(Пул!$I$5:$I$300,Пул!$E$5:$E$300,$B244,Пул!$L$5:$L$300,"Закрыт"),8)))</f>
        <v/>
      </c>
      <c r="G244" s="246" t="str">
        <f>IF($B244="","",IF(COUNTIFS(Пул!$E$5:$E$300,$B244,Пул!$L$5:$L$300,"Закрыт")=0,"",ROUND(SUMIFS(Пул!$J$5:$J$300,Пул!$E$5:$E$300,$B244,Пул!$L$5:$L$300,"Закрыт"),8)))</f>
        <v/>
      </c>
      <c r="H244" s="247" t="str">
        <f>IF($B244="","",IF(COUNTIFS(Пул!$E$5:$E$300,$B244,Пул!$L$5:$L$300,"Закрыт")=0,"",ROUND(SUMIFS(Пул!$K$5:$K$300,Пул!$E$5:$E$300,$B244,Пул!$L$5:$L$300,"Закрыт"),8)))</f>
        <v/>
      </c>
      <c r="I244" s="242" t="str">
        <f>IF(AND(ISNUMBER(G244),ISNUMBER(H244)),IF(AND(G244&gt;0,H244&lt;0),"Buy",IF(AND(G244&lt;0,H244&gt;0),"Sell","")),"")</f>
        <v/>
      </c>
      <c r="J244" s="183" t="str">
        <f>IF(I244="Buy",G244,IF(I244="Sell",-G244,""))</f>
        <v/>
      </c>
      <c r="K244" s="183" t="str">
        <f>IF(AND(ISNUMBER(J244),ISNUMBER(L244),N(J244)&lt;&gt;0),ROUND(L244/J244,8),"")</f>
        <v/>
      </c>
      <c r="L244" s="183" t="str">
        <f>IF(I244="Buy",-H244,IF(I244="Sell",H244,""))</f>
        <v/>
      </c>
    </row>
    <row r="245" ht="22" customHeight="1">
      <c r="B245" s="239" t="n"/>
      <c r="C245" s="240" t="str">
        <f>IF($B245="","",IF(COUNTIFS(Пул!$E$5:$E$300,$B245,Пул!$F$5:$F$300,"&lt;&gt;")=0,"",ROUND(SUMIFS(Пул!$F$5:$F$300,Пул!$E$5:$E$300,$B245),8)))</f>
        <v/>
      </c>
      <c r="D245" s="241" t="str">
        <f>IF($B245="","",IF(COUNTIFS(Пул!$E$5:$E$300,$B245,Пул!$G$5:$G$300,"&lt;&gt;")=0,"",ROUND(SUMIFS(Пул!$G$5:$G$300,Пул!$E$5:$E$300,$B245),8)))</f>
        <v/>
      </c>
      <c r="E245" s="240" t="str">
        <f>IF($B245="","",IF(COUNTIFS(Пул!$E$5:$E$300,$B245,Пул!$L$5:$L$300,"Закрыт")=0,"",ROUND(SUMIFS(Пул!$H$5:$H$300,Пул!$E$5:$E$300,$B245,Пул!$L$5:$L$300,"Закрыт"),8)))</f>
        <v/>
      </c>
      <c r="F245" s="241" t="str">
        <f>IF($B245="","",IF(COUNTIFS(Пул!$E$5:$E$300,$B245,Пул!$L$5:$L$300,"Закрыт")=0,"",ROUND(SUMIFS(Пул!$I$5:$I$300,Пул!$E$5:$E$300,$B245,Пул!$L$5:$L$300,"Закрыт"),8)))</f>
        <v/>
      </c>
      <c r="G245" s="240" t="str">
        <f>IF($B245="","",IF(COUNTIFS(Пул!$E$5:$E$300,$B245,Пул!$L$5:$L$300,"Закрыт")=0,"",ROUND(SUMIFS(Пул!$J$5:$J$300,Пул!$E$5:$E$300,$B245,Пул!$L$5:$L$300,"Закрыт"),8)))</f>
        <v/>
      </c>
      <c r="H245" s="241" t="str">
        <f>IF($B245="","",IF(COUNTIFS(Пул!$E$5:$E$300,$B245,Пул!$L$5:$L$300,"Закрыт")=0,"",ROUND(SUMIFS(Пул!$K$5:$K$300,Пул!$E$5:$E$300,$B245,Пул!$L$5:$L$300,"Закрыт"),8)))</f>
        <v/>
      </c>
      <c r="I245" s="236" t="str">
        <f>IF(AND(ISNUMBER(G245),ISNUMBER(H245)),IF(AND(G245&gt;0,H245&lt;0),"Buy",IF(AND(G245&lt;0,H245&gt;0),"Sell","")),"")</f>
        <v/>
      </c>
      <c r="J245" s="177" t="str">
        <f>IF(I245="Buy",G245,IF(I245="Sell",-G245,""))</f>
        <v/>
      </c>
      <c r="K245" s="177" t="str">
        <f>IF(AND(ISNUMBER(J245),ISNUMBER(L245),N(J245)&lt;&gt;0),ROUND(L245/J245,8),"")</f>
        <v/>
      </c>
      <c r="L245" s="177" t="str">
        <f>IF(I245="Buy",-H245,IF(I245="Sell",H245,""))</f>
        <v/>
      </c>
    </row>
    <row r="246" ht="22" customHeight="1">
      <c r="B246" s="245" t="n"/>
      <c r="C246" s="246" t="str">
        <f>IF($B246="","",IF(COUNTIFS(Пул!$E$5:$E$300,$B246,Пул!$F$5:$F$300,"&lt;&gt;")=0,"",ROUND(SUMIFS(Пул!$F$5:$F$300,Пул!$E$5:$E$300,$B246),8)))</f>
        <v/>
      </c>
      <c r="D246" s="247" t="str">
        <f>IF($B246="","",IF(COUNTIFS(Пул!$E$5:$E$300,$B246,Пул!$G$5:$G$300,"&lt;&gt;")=0,"",ROUND(SUMIFS(Пул!$G$5:$G$300,Пул!$E$5:$E$300,$B246),8)))</f>
        <v/>
      </c>
      <c r="E246" s="246" t="str">
        <f>IF($B246="","",IF(COUNTIFS(Пул!$E$5:$E$300,$B246,Пул!$L$5:$L$300,"Закрыт")=0,"",ROUND(SUMIFS(Пул!$H$5:$H$300,Пул!$E$5:$E$300,$B246,Пул!$L$5:$L$300,"Закрыт"),8)))</f>
        <v/>
      </c>
      <c r="F246" s="247" t="str">
        <f>IF($B246="","",IF(COUNTIFS(Пул!$E$5:$E$300,$B246,Пул!$L$5:$L$300,"Закрыт")=0,"",ROUND(SUMIFS(Пул!$I$5:$I$300,Пул!$E$5:$E$300,$B246,Пул!$L$5:$L$300,"Закрыт"),8)))</f>
        <v/>
      </c>
      <c r="G246" s="246" t="str">
        <f>IF($B246="","",IF(COUNTIFS(Пул!$E$5:$E$300,$B246,Пул!$L$5:$L$300,"Закрыт")=0,"",ROUND(SUMIFS(Пул!$J$5:$J$300,Пул!$E$5:$E$300,$B246,Пул!$L$5:$L$300,"Закрыт"),8)))</f>
        <v/>
      </c>
      <c r="H246" s="247" t="str">
        <f>IF($B246="","",IF(COUNTIFS(Пул!$E$5:$E$300,$B246,Пул!$L$5:$L$300,"Закрыт")=0,"",ROUND(SUMIFS(Пул!$K$5:$K$300,Пул!$E$5:$E$300,$B246,Пул!$L$5:$L$300,"Закрыт"),8)))</f>
        <v/>
      </c>
      <c r="I246" s="242" t="str">
        <f>IF(AND(ISNUMBER(G246),ISNUMBER(H246)),IF(AND(G246&gt;0,H246&lt;0),"Buy",IF(AND(G246&lt;0,H246&gt;0),"Sell","")),"")</f>
        <v/>
      </c>
      <c r="J246" s="183" t="str">
        <f>IF(I246="Buy",G246,IF(I246="Sell",-G246,""))</f>
        <v/>
      </c>
      <c r="K246" s="183" t="str">
        <f>IF(AND(ISNUMBER(J246),ISNUMBER(L246),N(J246)&lt;&gt;0),ROUND(L246/J246,8),"")</f>
        <v/>
      </c>
      <c r="L246" s="183" t="str">
        <f>IF(I246="Buy",-H246,IF(I246="Sell",H246,""))</f>
        <v/>
      </c>
    </row>
    <row r="247" ht="22" customHeight="1">
      <c r="B247" s="239" t="n"/>
      <c r="C247" s="240" t="str">
        <f>IF($B247="","",IF(COUNTIFS(Пул!$E$5:$E$300,$B247,Пул!$F$5:$F$300,"&lt;&gt;")=0,"",ROUND(SUMIFS(Пул!$F$5:$F$300,Пул!$E$5:$E$300,$B247),8)))</f>
        <v/>
      </c>
      <c r="D247" s="241" t="str">
        <f>IF($B247="","",IF(COUNTIFS(Пул!$E$5:$E$300,$B247,Пул!$G$5:$G$300,"&lt;&gt;")=0,"",ROUND(SUMIFS(Пул!$G$5:$G$300,Пул!$E$5:$E$300,$B247),8)))</f>
        <v/>
      </c>
      <c r="E247" s="240" t="str">
        <f>IF($B247="","",IF(COUNTIFS(Пул!$E$5:$E$300,$B247,Пул!$L$5:$L$300,"Закрыт")=0,"",ROUND(SUMIFS(Пул!$H$5:$H$300,Пул!$E$5:$E$300,$B247,Пул!$L$5:$L$300,"Закрыт"),8)))</f>
        <v/>
      </c>
      <c r="F247" s="241" t="str">
        <f>IF($B247="","",IF(COUNTIFS(Пул!$E$5:$E$300,$B247,Пул!$L$5:$L$300,"Закрыт")=0,"",ROUND(SUMIFS(Пул!$I$5:$I$300,Пул!$E$5:$E$300,$B247,Пул!$L$5:$L$300,"Закрыт"),8)))</f>
        <v/>
      </c>
      <c r="G247" s="240" t="str">
        <f>IF($B247="","",IF(COUNTIFS(Пул!$E$5:$E$300,$B247,Пул!$L$5:$L$300,"Закрыт")=0,"",ROUND(SUMIFS(Пул!$J$5:$J$300,Пул!$E$5:$E$300,$B247,Пул!$L$5:$L$300,"Закрыт"),8)))</f>
        <v/>
      </c>
      <c r="H247" s="241" t="str">
        <f>IF($B247="","",IF(COUNTIFS(Пул!$E$5:$E$300,$B247,Пул!$L$5:$L$300,"Закрыт")=0,"",ROUND(SUMIFS(Пул!$K$5:$K$300,Пул!$E$5:$E$300,$B247,Пул!$L$5:$L$300,"Закрыт"),8)))</f>
        <v/>
      </c>
      <c r="I247" s="236" t="str">
        <f>IF(AND(ISNUMBER(G247),ISNUMBER(H247)),IF(AND(G247&gt;0,H247&lt;0),"Buy",IF(AND(G247&lt;0,H247&gt;0),"Sell","")),"")</f>
        <v/>
      </c>
      <c r="J247" s="177" t="str">
        <f>IF(I247="Buy",G247,IF(I247="Sell",-G247,""))</f>
        <v/>
      </c>
      <c r="K247" s="177" t="str">
        <f>IF(AND(ISNUMBER(J247),ISNUMBER(L247),N(J247)&lt;&gt;0),ROUND(L247/J247,8),"")</f>
        <v/>
      </c>
      <c r="L247" s="177" t="str">
        <f>IF(I247="Buy",-H247,IF(I247="Sell",H247,""))</f>
        <v/>
      </c>
    </row>
    <row r="248" ht="22" customHeight="1">
      <c r="B248" s="245" t="n"/>
      <c r="C248" s="246" t="str">
        <f>IF($B248="","",IF(COUNTIFS(Пул!$E$5:$E$300,$B248,Пул!$F$5:$F$300,"&lt;&gt;")=0,"",ROUND(SUMIFS(Пул!$F$5:$F$300,Пул!$E$5:$E$300,$B248),8)))</f>
        <v/>
      </c>
      <c r="D248" s="247" t="str">
        <f>IF($B248="","",IF(COUNTIFS(Пул!$E$5:$E$300,$B248,Пул!$G$5:$G$300,"&lt;&gt;")=0,"",ROUND(SUMIFS(Пул!$G$5:$G$300,Пул!$E$5:$E$300,$B248),8)))</f>
        <v/>
      </c>
      <c r="E248" s="246" t="str">
        <f>IF($B248="","",IF(COUNTIFS(Пул!$E$5:$E$300,$B248,Пул!$L$5:$L$300,"Закрыт")=0,"",ROUND(SUMIFS(Пул!$H$5:$H$300,Пул!$E$5:$E$300,$B248,Пул!$L$5:$L$300,"Закрыт"),8)))</f>
        <v/>
      </c>
      <c r="F248" s="247" t="str">
        <f>IF($B248="","",IF(COUNTIFS(Пул!$E$5:$E$300,$B248,Пул!$L$5:$L$300,"Закрыт")=0,"",ROUND(SUMIFS(Пул!$I$5:$I$300,Пул!$E$5:$E$300,$B248,Пул!$L$5:$L$300,"Закрыт"),8)))</f>
        <v/>
      </c>
      <c r="G248" s="246" t="str">
        <f>IF($B248="","",IF(COUNTIFS(Пул!$E$5:$E$300,$B248,Пул!$L$5:$L$300,"Закрыт")=0,"",ROUND(SUMIFS(Пул!$J$5:$J$300,Пул!$E$5:$E$300,$B248,Пул!$L$5:$L$300,"Закрыт"),8)))</f>
        <v/>
      </c>
      <c r="H248" s="247" t="str">
        <f>IF($B248="","",IF(COUNTIFS(Пул!$E$5:$E$300,$B248,Пул!$L$5:$L$300,"Закрыт")=0,"",ROUND(SUMIFS(Пул!$K$5:$K$300,Пул!$E$5:$E$300,$B248,Пул!$L$5:$L$300,"Закрыт"),8)))</f>
        <v/>
      </c>
      <c r="I248" s="242" t="str">
        <f>IF(AND(ISNUMBER(G248),ISNUMBER(H248)),IF(AND(G248&gt;0,H248&lt;0),"Buy",IF(AND(G248&lt;0,H248&gt;0),"Sell","")),"")</f>
        <v/>
      </c>
      <c r="J248" s="183" t="str">
        <f>IF(I248="Buy",G248,IF(I248="Sell",-G248,""))</f>
        <v/>
      </c>
      <c r="K248" s="183" t="str">
        <f>IF(AND(ISNUMBER(J248),ISNUMBER(L248),N(J248)&lt;&gt;0),ROUND(L248/J248,8),"")</f>
        <v/>
      </c>
      <c r="L248" s="183" t="str">
        <f>IF(I248="Buy",-H248,IF(I248="Sell",H248,""))</f>
        <v/>
      </c>
    </row>
    <row r="249" ht="22" customHeight="1">
      <c r="B249" s="239" t="n"/>
      <c r="C249" s="240" t="str">
        <f>IF($B249="","",IF(COUNTIFS(Пул!$E$5:$E$300,$B249,Пул!$F$5:$F$300,"&lt;&gt;")=0,"",ROUND(SUMIFS(Пул!$F$5:$F$300,Пул!$E$5:$E$300,$B249),8)))</f>
        <v/>
      </c>
      <c r="D249" s="241" t="str">
        <f>IF($B249="","",IF(COUNTIFS(Пул!$E$5:$E$300,$B249,Пул!$G$5:$G$300,"&lt;&gt;")=0,"",ROUND(SUMIFS(Пул!$G$5:$G$300,Пул!$E$5:$E$300,$B249),8)))</f>
        <v/>
      </c>
      <c r="E249" s="240" t="str">
        <f>IF($B249="","",IF(COUNTIFS(Пул!$E$5:$E$300,$B249,Пул!$L$5:$L$300,"Закрыт")=0,"",ROUND(SUMIFS(Пул!$H$5:$H$300,Пул!$E$5:$E$300,$B249,Пул!$L$5:$L$300,"Закрыт"),8)))</f>
        <v/>
      </c>
      <c r="F249" s="241" t="str">
        <f>IF($B249="","",IF(COUNTIFS(Пул!$E$5:$E$300,$B249,Пул!$L$5:$L$300,"Закрыт")=0,"",ROUND(SUMIFS(Пул!$I$5:$I$300,Пул!$E$5:$E$300,$B249,Пул!$L$5:$L$300,"Закрыт"),8)))</f>
        <v/>
      </c>
      <c r="G249" s="240" t="str">
        <f>IF($B249="","",IF(COUNTIFS(Пул!$E$5:$E$300,$B249,Пул!$L$5:$L$300,"Закрыт")=0,"",ROUND(SUMIFS(Пул!$J$5:$J$300,Пул!$E$5:$E$300,$B249,Пул!$L$5:$L$300,"Закрыт"),8)))</f>
        <v/>
      </c>
      <c r="H249" s="241" t="str">
        <f>IF($B249="","",IF(COUNTIFS(Пул!$E$5:$E$300,$B249,Пул!$L$5:$L$300,"Закрыт")=0,"",ROUND(SUMIFS(Пул!$K$5:$K$300,Пул!$E$5:$E$300,$B249,Пул!$L$5:$L$300,"Закрыт"),8)))</f>
        <v/>
      </c>
      <c r="I249" s="236" t="str">
        <f>IF(AND(ISNUMBER(G249),ISNUMBER(H249)),IF(AND(G249&gt;0,H249&lt;0),"Buy",IF(AND(G249&lt;0,H249&gt;0),"Sell","")),"")</f>
        <v/>
      </c>
      <c r="J249" s="177" t="str">
        <f>IF(I249="Buy",G249,IF(I249="Sell",-G249,""))</f>
        <v/>
      </c>
      <c r="K249" s="177" t="str">
        <f>IF(AND(ISNUMBER(J249),ISNUMBER(L249),N(J249)&lt;&gt;0),ROUND(L249/J249,8),"")</f>
        <v/>
      </c>
      <c r="L249" s="177" t="str">
        <f>IF(I249="Buy",-H249,IF(I249="Sell",H249,""))</f>
        <v/>
      </c>
    </row>
    <row r="250" ht="22" customHeight="1">
      <c r="B250" s="245" t="n"/>
      <c r="C250" s="246" t="str">
        <f>IF($B250="","",IF(COUNTIFS(Пул!$E$5:$E$300,$B250,Пул!$F$5:$F$300,"&lt;&gt;")=0,"",ROUND(SUMIFS(Пул!$F$5:$F$300,Пул!$E$5:$E$300,$B250),8)))</f>
        <v/>
      </c>
      <c r="D250" s="247" t="str">
        <f>IF($B250="","",IF(COUNTIFS(Пул!$E$5:$E$300,$B250,Пул!$G$5:$G$300,"&lt;&gt;")=0,"",ROUND(SUMIFS(Пул!$G$5:$G$300,Пул!$E$5:$E$300,$B250),8)))</f>
        <v/>
      </c>
      <c r="E250" s="246" t="str">
        <f>IF($B250="","",IF(COUNTIFS(Пул!$E$5:$E$300,$B250,Пул!$L$5:$L$300,"Закрыт")=0,"",ROUND(SUMIFS(Пул!$H$5:$H$300,Пул!$E$5:$E$300,$B250,Пул!$L$5:$L$300,"Закрыт"),8)))</f>
        <v/>
      </c>
      <c r="F250" s="247" t="str">
        <f>IF($B250="","",IF(COUNTIFS(Пул!$E$5:$E$300,$B250,Пул!$L$5:$L$300,"Закрыт")=0,"",ROUND(SUMIFS(Пул!$I$5:$I$300,Пул!$E$5:$E$300,$B250,Пул!$L$5:$L$300,"Закрыт"),8)))</f>
        <v/>
      </c>
      <c r="G250" s="246" t="str">
        <f>IF($B250="","",IF(COUNTIFS(Пул!$E$5:$E$300,$B250,Пул!$L$5:$L$300,"Закрыт")=0,"",ROUND(SUMIFS(Пул!$J$5:$J$300,Пул!$E$5:$E$300,$B250,Пул!$L$5:$L$300,"Закрыт"),8)))</f>
        <v/>
      </c>
      <c r="H250" s="247" t="str">
        <f>IF($B250="","",IF(COUNTIFS(Пул!$E$5:$E$300,$B250,Пул!$L$5:$L$300,"Закрыт")=0,"",ROUND(SUMIFS(Пул!$K$5:$K$300,Пул!$E$5:$E$300,$B250,Пул!$L$5:$L$300,"Закрыт"),8)))</f>
        <v/>
      </c>
      <c r="I250" s="242" t="str">
        <f>IF(AND(ISNUMBER(G250),ISNUMBER(H250)),IF(AND(G250&gt;0,H250&lt;0),"Buy",IF(AND(G250&lt;0,H250&gt;0),"Sell","")),"")</f>
        <v/>
      </c>
      <c r="J250" s="183" t="str">
        <f>IF(I250="Buy",G250,IF(I250="Sell",-G250,""))</f>
        <v/>
      </c>
      <c r="K250" s="183" t="str">
        <f>IF(AND(ISNUMBER(J250),ISNUMBER(L250),N(J250)&lt;&gt;0),ROUND(L250/J250,8),"")</f>
        <v/>
      </c>
      <c r="L250" s="183" t="str">
        <f>IF(I250="Buy",-H250,IF(I250="Sell",H250,""))</f>
        <v/>
      </c>
    </row>
    <row r="251" ht="22" customHeight="1">
      <c r="B251" s="239" t="n"/>
      <c r="C251" s="240" t="str">
        <f>IF($B251="","",IF(COUNTIFS(Пул!$E$5:$E$300,$B251,Пул!$F$5:$F$300,"&lt;&gt;")=0,"",ROUND(SUMIFS(Пул!$F$5:$F$300,Пул!$E$5:$E$300,$B251),8)))</f>
        <v/>
      </c>
      <c r="D251" s="241" t="str">
        <f>IF($B251="","",IF(COUNTIFS(Пул!$E$5:$E$300,$B251,Пул!$G$5:$G$300,"&lt;&gt;")=0,"",ROUND(SUMIFS(Пул!$G$5:$G$300,Пул!$E$5:$E$300,$B251),8)))</f>
        <v/>
      </c>
      <c r="E251" s="240" t="str">
        <f>IF($B251="","",IF(COUNTIFS(Пул!$E$5:$E$300,$B251,Пул!$L$5:$L$300,"Закрыт")=0,"",ROUND(SUMIFS(Пул!$H$5:$H$300,Пул!$E$5:$E$300,$B251,Пул!$L$5:$L$300,"Закрыт"),8)))</f>
        <v/>
      </c>
      <c r="F251" s="241" t="str">
        <f>IF($B251="","",IF(COUNTIFS(Пул!$E$5:$E$300,$B251,Пул!$L$5:$L$300,"Закрыт")=0,"",ROUND(SUMIFS(Пул!$I$5:$I$300,Пул!$E$5:$E$300,$B251,Пул!$L$5:$L$300,"Закрыт"),8)))</f>
        <v/>
      </c>
      <c r="G251" s="240" t="str">
        <f>IF($B251="","",IF(COUNTIFS(Пул!$E$5:$E$300,$B251,Пул!$L$5:$L$300,"Закрыт")=0,"",ROUND(SUMIFS(Пул!$J$5:$J$300,Пул!$E$5:$E$300,$B251,Пул!$L$5:$L$300,"Закрыт"),8)))</f>
        <v/>
      </c>
      <c r="H251" s="241" t="str">
        <f>IF($B251="","",IF(COUNTIFS(Пул!$E$5:$E$300,$B251,Пул!$L$5:$L$300,"Закрыт")=0,"",ROUND(SUMIFS(Пул!$K$5:$K$300,Пул!$E$5:$E$300,$B251,Пул!$L$5:$L$300,"Закрыт"),8)))</f>
        <v/>
      </c>
      <c r="I251" s="236" t="str">
        <f>IF(AND(ISNUMBER(G251),ISNUMBER(H251)),IF(AND(G251&gt;0,H251&lt;0),"Buy",IF(AND(G251&lt;0,H251&gt;0),"Sell","")),"")</f>
        <v/>
      </c>
      <c r="J251" s="177" t="str">
        <f>IF(I251="Buy",G251,IF(I251="Sell",-G251,""))</f>
        <v/>
      </c>
      <c r="K251" s="177" t="str">
        <f>IF(AND(ISNUMBER(J251),ISNUMBER(L251),N(J251)&lt;&gt;0),ROUND(L251/J251,8),"")</f>
        <v/>
      </c>
      <c r="L251" s="177" t="str">
        <f>IF(I251="Buy",-H251,IF(I251="Sell",H251,""))</f>
        <v/>
      </c>
    </row>
    <row r="252" ht="22" customHeight="1">
      <c r="B252" s="245" t="n"/>
      <c r="C252" s="246" t="str">
        <f>IF($B252="","",IF(COUNTIFS(Пул!$E$5:$E$300,$B252,Пул!$F$5:$F$300,"&lt;&gt;")=0,"",ROUND(SUMIFS(Пул!$F$5:$F$300,Пул!$E$5:$E$300,$B252),8)))</f>
        <v/>
      </c>
      <c r="D252" s="247" t="str">
        <f>IF($B252="","",IF(COUNTIFS(Пул!$E$5:$E$300,$B252,Пул!$G$5:$G$300,"&lt;&gt;")=0,"",ROUND(SUMIFS(Пул!$G$5:$G$300,Пул!$E$5:$E$300,$B252),8)))</f>
        <v/>
      </c>
      <c r="E252" s="246" t="str">
        <f>IF($B252="","",IF(COUNTIFS(Пул!$E$5:$E$300,$B252,Пул!$L$5:$L$300,"Закрыт")=0,"",ROUND(SUMIFS(Пул!$H$5:$H$300,Пул!$E$5:$E$300,$B252,Пул!$L$5:$L$300,"Закрыт"),8)))</f>
        <v/>
      </c>
      <c r="F252" s="247" t="str">
        <f>IF($B252="","",IF(COUNTIFS(Пул!$E$5:$E$300,$B252,Пул!$L$5:$L$300,"Закрыт")=0,"",ROUND(SUMIFS(Пул!$I$5:$I$300,Пул!$E$5:$E$300,$B252,Пул!$L$5:$L$300,"Закрыт"),8)))</f>
        <v/>
      </c>
      <c r="G252" s="246" t="str">
        <f>IF($B252="","",IF(COUNTIFS(Пул!$E$5:$E$300,$B252,Пул!$L$5:$L$300,"Закрыт")=0,"",ROUND(SUMIFS(Пул!$J$5:$J$300,Пул!$E$5:$E$300,$B252,Пул!$L$5:$L$300,"Закрыт"),8)))</f>
        <v/>
      </c>
      <c r="H252" s="247" t="str">
        <f>IF($B252="","",IF(COUNTIFS(Пул!$E$5:$E$300,$B252,Пул!$L$5:$L$300,"Закрыт")=0,"",ROUND(SUMIFS(Пул!$K$5:$K$300,Пул!$E$5:$E$300,$B252,Пул!$L$5:$L$300,"Закрыт"),8)))</f>
        <v/>
      </c>
      <c r="I252" s="242" t="str">
        <f>IF(AND(ISNUMBER(G252),ISNUMBER(H252)),IF(AND(G252&gt;0,H252&lt;0),"Buy",IF(AND(G252&lt;0,H252&gt;0),"Sell","")),"")</f>
        <v/>
      </c>
      <c r="J252" s="183" t="str">
        <f>IF(I252="Buy",G252,IF(I252="Sell",-G252,""))</f>
        <v/>
      </c>
      <c r="K252" s="183" t="str">
        <f>IF(AND(ISNUMBER(J252),ISNUMBER(L252),N(J252)&lt;&gt;0),ROUND(L252/J252,8),"")</f>
        <v/>
      </c>
      <c r="L252" s="183" t="str">
        <f>IF(I252="Buy",-H252,IF(I252="Sell",H252,""))</f>
        <v/>
      </c>
    </row>
    <row r="253" ht="22" customHeight="1">
      <c r="B253" s="239" t="n"/>
      <c r="C253" s="240" t="str">
        <f>IF($B253="","",IF(COUNTIFS(Пул!$E$5:$E$300,$B253,Пул!$F$5:$F$300,"&lt;&gt;")=0,"",ROUND(SUMIFS(Пул!$F$5:$F$300,Пул!$E$5:$E$300,$B253),8)))</f>
        <v/>
      </c>
      <c r="D253" s="241" t="str">
        <f>IF($B253="","",IF(COUNTIFS(Пул!$E$5:$E$300,$B253,Пул!$G$5:$G$300,"&lt;&gt;")=0,"",ROUND(SUMIFS(Пул!$G$5:$G$300,Пул!$E$5:$E$300,$B253),8)))</f>
        <v/>
      </c>
      <c r="E253" s="240" t="str">
        <f>IF($B253="","",IF(COUNTIFS(Пул!$E$5:$E$300,$B253,Пул!$L$5:$L$300,"Закрыт")=0,"",ROUND(SUMIFS(Пул!$H$5:$H$300,Пул!$E$5:$E$300,$B253,Пул!$L$5:$L$300,"Закрыт"),8)))</f>
        <v/>
      </c>
      <c r="F253" s="241" t="str">
        <f>IF($B253="","",IF(COUNTIFS(Пул!$E$5:$E$300,$B253,Пул!$L$5:$L$300,"Закрыт")=0,"",ROUND(SUMIFS(Пул!$I$5:$I$300,Пул!$E$5:$E$300,$B253,Пул!$L$5:$L$300,"Закрыт"),8)))</f>
        <v/>
      </c>
      <c r="G253" s="240" t="str">
        <f>IF($B253="","",IF(COUNTIFS(Пул!$E$5:$E$300,$B253,Пул!$L$5:$L$300,"Закрыт")=0,"",ROUND(SUMIFS(Пул!$J$5:$J$300,Пул!$E$5:$E$300,$B253,Пул!$L$5:$L$300,"Закрыт"),8)))</f>
        <v/>
      </c>
      <c r="H253" s="241" t="str">
        <f>IF($B253="","",IF(COUNTIFS(Пул!$E$5:$E$300,$B253,Пул!$L$5:$L$300,"Закрыт")=0,"",ROUND(SUMIFS(Пул!$K$5:$K$300,Пул!$E$5:$E$300,$B253,Пул!$L$5:$L$300,"Закрыт"),8)))</f>
        <v/>
      </c>
      <c r="I253" s="236" t="str">
        <f>IF(AND(ISNUMBER(G253),ISNUMBER(H253)),IF(AND(G253&gt;0,H253&lt;0),"Buy",IF(AND(G253&lt;0,H253&gt;0),"Sell","")),"")</f>
        <v/>
      </c>
      <c r="J253" s="177" t="str">
        <f>IF(I253="Buy",G253,IF(I253="Sell",-G253,""))</f>
        <v/>
      </c>
      <c r="K253" s="177" t="str">
        <f>IF(AND(ISNUMBER(J253),ISNUMBER(L253),N(J253)&lt;&gt;0),ROUND(L253/J253,8),"")</f>
        <v/>
      </c>
      <c r="L253" s="177" t="str">
        <f>IF(I253="Buy",-H253,IF(I253="Sell",H253,""))</f>
        <v/>
      </c>
    </row>
    <row r="254" ht="22" customHeight="1">
      <c r="B254" s="245" t="n"/>
      <c r="C254" s="246" t="str">
        <f>IF($B254="","",IF(COUNTIFS(Пул!$E$5:$E$300,$B254,Пул!$F$5:$F$300,"&lt;&gt;")=0,"",ROUND(SUMIFS(Пул!$F$5:$F$300,Пул!$E$5:$E$300,$B254),8)))</f>
        <v/>
      </c>
      <c r="D254" s="247" t="str">
        <f>IF($B254="","",IF(COUNTIFS(Пул!$E$5:$E$300,$B254,Пул!$G$5:$G$300,"&lt;&gt;")=0,"",ROUND(SUMIFS(Пул!$G$5:$G$300,Пул!$E$5:$E$300,$B254),8)))</f>
        <v/>
      </c>
      <c r="E254" s="246" t="str">
        <f>IF($B254="","",IF(COUNTIFS(Пул!$E$5:$E$300,$B254,Пул!$L$5:$L$300,"Закрыт")=0,"",ROUND(SUMIFS(Пул!$H$5:$H$300,Пул!$E$5:$E$300,$B254,Пул!$L$5:$L$300,"Закрыт"),8)))</f>
        <v/>
      </c>
      <c r="F254" s="247" t="str">
        <f>IF($B254="","",IF(COUNTIFS(Пул!$E$5:$E$300,$B254,Пул!$L$5:$L$300,"Закрыт")=0,"",ROUND(SUMIFS(Пул!$I$5:$I$300,Пул!$E$5:$E$300,$B254,Пул!$L$5:$L$300,"Закрыт"),8)))</f>
        <v/>
      </c>
      <c r="G254" s="246" t="str">
        <f>IF($B254="","",IF(COUNTIFS(Пул!$E$5:$E$300,$B254,Пул!$L$5:$L$300,"Закрыт")=0,"",ROUND(SUMIFS(Пул!$J$5:$J$300,Пул!$E$5:$E$300,$B254,Пул!$L$5:$L$300,"Закрыт"),8)))</f>
        <v/>
      </c>
      <c r="H254" s="247" t="str">
        <f>IF($B254="","",IF(COUNTIFS(Пул!$E$5:$E$300,$B254,Пул!$L$5:$L$300,"Закрыт")=0,"",ROUND(SUMIFS(Пул!$K$5:$K$300,Пул!$E$5:$E$300,$B254,Пул!$L$5:$L$300,"Закрыт"),8)))</f>
        <v/>
      </c>
      <c r="I254" s="242" t="str">
        <f>IF(AND(ISNUMBER(G254),ISNUMBER(H254)),IF(AND(G254&gt;0,H254&lt;0),"Buy",IF(AND(G254&lt;0,H254&gt;0),"Sell","")),"")</f>
        <v/>
      </c>
      <c r="J254" s="183" t="str">
        <f>IF(I254="Buy",G254,IF(I254="Sell",-G254,""))</f>
        <v/>
      </c>
      <c r="K254" s="183" t="str">
        <f>IF(AND(ISNUMBER(J254),ISNUMBER(L254),N(J254)&lt;&gt;0),ROUND(L254/J254,8),"")</f>
        <v/>
      </c>
      <c r="L254" s="183" t="str">
        <f>IF(I254="Buy",-H254,IF(I254="Sell",H254,""))</f>
        <v/>
      </c>
    </row>
    <row r="255" ht="22" customHeight="1">
      <c r="B255" s="239" t="n"/>
      <c r="C255" s="240" t="str">
        <f>IF($B255="","",IF(COUNTIFS(Пул!$E$5:$E$300,$B255,Пул!$F$5:$F$300,"&lt;&gt;")=0,"",ROUND(SUMIFS(Пул!$F$5:$F$300,Пул!$E$5:$E$300,$B255),8)))</f>
        <v/>
      </c>
      <c r="D255" s="241" t="str">
        <f>IF($B255="","",IF(COUNTIFS(Пул!$E$5:$E$300,$B255,Пул!$G$5:$G$300,"&lt;&gt;")=0,"",ROUND(SUMIFS(Пул!$G$5:$G$300,Пул!$E$5:$E$300,$B255),8)))</f>
        <v/>
      </c>
      <c r="E255" s="240" t="str">
        <f>IF($B255="","",IF(COUNTIFS(Пул!$E$5:$E$300,$B255,Пул!$L$5:$L$300,"Закрыт")=0,"",ROUND(SUMIFS(Пул!$H$5:$H$300,Пул!$E$5:$E$300,$B255,Пул!$L$5:$L$300,"Закрыт"),8)))</f>
        <v/>
      </c>
      <c r="F255" s="241" t="str">
        <f>IF($B255="","",IF(COUNTIFS(Пул!$E$5:$E$300,$B255,Пул!$L$5:$L$300,"Закрыт")=0,"",ROUND(SUMIFS(Пул!$I$5:$I$300,Пул!$E$5:$E$300,$B255,Пул!$L$5:$L$300,"Закрыт"),8)))</f>
        <v/>
      </c>
      <c r="G255" s="240" t="str">
        <f>IF($B255="","",IF(COUNTIFS(Пул!$E$5:$E$300,$B255,Пул!$L$5:$L$300,"Закрыт")=0,"",ROUND(SUMIFS(Пул!$J$5:$J$300,Пул!$E$5:$E$300,$B255,Пул!$L$5:$L$300,"Закрыт"),8)))</f>
        <v/>
      </c>
      <c r="H255" s="241" t="str">
        <f>IF($B255="","",IF(COUNTIFS(Пул!$E$5:$E$300,$B255,Пул!$L$5:$L$300,"Закрыт")=0,"",ROUND(SUMIFS(Пул!$K$5:$K$300,Пул!$E$5:$E$300,$B255,Пул!$L$5:$L$300,"Закрыт"),8)))</f>
        <v/>
      </c>
      <c r="I255" s="236" t="str">
        <f>IF(AND(ISNUMBER(G255),ISNUMBER(H255)),IF(AND(G255&gt;0,H255&lt;0),"Buy",IF(AND(G255&lt;0,H255&gt;0),"Sell","")),"")</f>
        <v/>
      </c>
      <c r="J255" s="177" t="str">
        <f>IF(I255="Buy",G255,IF(I255="Sell",-G255,""))</f>
        <v/>
      </c>
      <c r="K255" s="177" t="str">
        <f>IF(AND(ISNUMBER(J255),ISNUMBER(L255),N(J255)&lt;&gt;0),ROUND(L255/J255,8),"")</f>
        <v/>
      </c>
      <c r="L255" s="177" t="str">
        <f>IF(I255="Buy",-H255,IF(I255="Sell",H255,""))</f>
        <v/>
      </c>
    </row>
    <row r="256" ht="22" customHeight="1">
      <c r="B256" s="245" t="n"/>
      <c r="C256" s="246" t="str">
        <f>IF($B256="","",IF(COUNTIFS(Пул!$E$5:$E$300,$B256,Пул!$F$5:$F$300,"&lt;&gt;")=0,"",ROUND(SUMIFS(Пул!$F$5:$F$300,Пул!$E$5:$E$300,$B256),8)))</f>
        <v/>
      </c>
      <c r="D256" s="247" t="str">
        <f>IF($B256="","",IF(COUNTIFS(Пул!$E$5:$E$300,$B256,Пул!$G$5:$G$300,"&lt;&gt;")=0,"",ROUND(SUMIFS(Пул!$G$5:$G$300,Пул!$E$5:$E$300,$B256),8)))</f>
        <v/>
      </c>
      <c r="E256" s="246" t="str">
        <f>IF($B256="","",IF(COUNTIFS(Пул!$E$5:$E$300,$B256,Пул!$L$5:$L$300,"Закрыт")=0,"",ROUND(SUMIFS(Пул!$H$5:$H$300,Пул!$E$5:$E$300,$B256,Пул!$L$5:$L$300,"Закрыт"),8)))</f>
        <v/>
      </c>
      <c r="F256" s="247" t="str">
        <f>IF($B256="","",IF(COUNTIFS(Пул!$E$5:$E$300,$B256,Пул!$L$5:$L$300,"Закрыт")=0,"",ROUND(SUMIFS(Пул!$I$5:$I$300,Пул!$E$5:$E$300,$B256,Пул!$L$5:$L$300,"Закрыт"),8)))</f>
        <v/>
      </c>
      <c r="G256" s="246" t="str">
        <f>IF($B256="","",IF(COUNTIFS(Пул!$E$5:$E$300,$B256,Пул!$L$5:$L$300,"Закрыт")=0,"",ROUND(SUMIFS(Пул!$J$5:$J$300,Пул!$E$5:$E$300,$B256,Пул!$L$5:$L$300,"Закрыт"),8)))</f>
        <v/>
      </c>
      <c r="H256" s="247" t="str">
        <f>IF($B256="","",IF(COUNTIFS(Пул!$E$5:$E$300,$B256,Пул!$L$5:$L$300,"Закрыт")=0,"",ROUND(SUMIFS(Пул!$K$5:$K$300,Пул!$E$5:$E$300,$B256,Пул!$L$5:$L$300,"Закрыт"),8)))</f>
        <v/>
      </c>
      <c r="I256" s="242" t="str">
        <f>IF(AND(ISNUMBER(G256),ISNUMBER(H256)),IF(AND(G256&gt;0,H256&lt;0),"Buy",IF(AND(G256&lt;0,H256&gt;0),"Sell","")),"")</f>
        <v/>
      </c>
      <c r="J256" s="183" t="str">
        <f>IF(I256="Buy",G256,IF(I256="Sell",-G256,""))</f>
        <v/>
      </c>
      <c r="K256" s="183" t="str">
        <f>IF(AND(ISNUMBER(J256),ISNUMBER(L256),N(J256)&lt;&gt;0),ROUND(L256/J256,8),"")</f>
        <v/>
      </c>
      <c r="L256" s="183" t="str">
        <f>IF(I256="Buy",-H256,IF(I256="Sell",H256,""))</f>
        <v/>
      </c>
    </row>
    <row r="257" ht="22" customHeight="1">
      <c r="B257" s="239" t="n"/>
      <c r="C257" s="240" t="str">
        <f>IF($B257="","",IF(COUNTIFS(Пул!$E$5:$E$300,$B257,Пул!$F$5:$F$300,"&lt;&gt;")=0,"",ROUND(SUMIFS(Пул!$F$5:$F$300,Пул!$E$5:$E$300,$B257),8)))</f>
        <v/>
      </c>
      <c r="D257" s="241" t="str">
        <f>IF($B257="","",IF(COUNTIFS(Пул!$E$5:$E$300,$B257,Пул!$G$5:$G$300,"&lt;&gt;")=0,"",ROUND(SUMIFS(Пул!$G$5:$G$300,Пул!$E$5:$E$300,$B257),8)))</f>
        <v/>
      </c>
      <c r="E257" s="240" t="str">
        <f>IF($B257="","",IF(COUNTIFS(Пул!$E$5:$E$300,$B257,Пул!$L$5:$L$300,"Закрыт")=0,"",ROUND(SUMIFS(Пул!$H$5:$H$300,Пул!$E$5:$E$300,$B257,Пул!$L$5:$L$300,"Закрыт"),8)))</f>
        <v/>
      </c>
      <c r="F257" s="241" t="str">
        <f>IF($B257="","",IF(COUNTIFS(Пул!$E$5:$E$300,$B257,Пул!$L$5:$L$300,"Закрыт")=0,"",ROUND(SUMIFS(Пул!$I$5:$I$300,Пул!$E$5:$E$300,$B257,Пул!$L$5:$L$300,"Закрыт"),8)))</f>
        <v/>
      </c>
      <c r="G257" s="240" t="str">
        <f>IF($B257="","",IF(COUNTIFS(Пул!$E$5:$E$300,$B257,Пул!$L$5:$L$300,"Закрыт")=0,"",ROUND(SUMIFS(Пул!$J$5:$J$300,Пул!$E$5:$E$300,$B257,Пул!$L$5:$L$300,"Закрыт"),8)))</f>
        <v/>
      </c>
      <c r="H257" s="241" t="str">
        <f>IF($B257="","",IF(COUNTIFS(Пул!$E$5:$E$300,$B257,Пул!$L$5:$L$300,"Закрыт")=0,"",ROUND(SUMIFS(Пул!$K$5:$K$300,Пул!$E$5:$E$300,$B257,Пул!$L$5:$L$300,"Закрыт"),8)))</f>
        <v/>
      </c>
      <c r="I257" s="236" t="str">
        <f>IF(AND(ISNUMBER(G257),ISNUMBER(H257)),IF(AND(G257&gt;0,H257&lt;0),"Buy",IF(AND(G257&lt;0,H257&gt;0),"Sell","")),"")</f>
        <v/>
      </c>
      <c r="J257" s="177" t="str">
        <f>IF(I257="Buy",G257,IF(I257="Sell",-G257,""))</f>
        <v/>
      </c>
      <c r="K257" s="177" t="str">
        <f>IF(AND(ISNUMBER(J257),ISNUMBER(L257),N(J257)&lt;&gt;0),ROUND(L257/J257,8),"")</f>
        <v/>
      </c>
      <c r="L257" s="177" t="str">
        <f>IF(I257="Buy",-H257,IF(I257="Sell",H257,""))</f>
        <v/>
      </c>
    </row>
    <row r="258" ht="22" customHeight="1">
      <c r="B258" s="245" t="n"/>
      <c r="C258" s="246" t="str">
        <f>IF($B258="","",IF(COUNTIFS(Пул!$E$5:$E$300,$B258,Пул!$F$5:$F$300,"&lt;&gt;")=0,"",ROUND(SUMIFS(Пул!$F$5:$F$300,Пул!$E$5:$E$300,$B258),8)))</f>
        <v/>
      </c>
      <c r="D258" s="247" t="str">
        <f>IF($B258="","",IF(COUNTIFS(Пул!$E$5:$E$300,$B258,Пул!$G$5:$G$300,"&lt;&gt;")=0,"",ROUND(SUMIFS(Пул!$G$5:$G$300,Пул!$E$5:$E$300,$B258),8)))</f>
        <v/>
      </c>
      <c r="E258" s="246" t="str">
        <f>IF($B258="","",IF(COUNTIFS(Пул!$E$5:$E$300,$B258,Пул!$L$5:$L$300,"Закрыт")=0,"",ROUND(SUMIFS(Пул!$H$5:$H$300,Пул!$E$5:$E$300,$B258,Пул!$L$5:$L$300,"Закрыт"),8)))</f>
        <v/>
      </c>
      <c r="F258" s="247" t="str">
        <f>IF($B258="","",IF(COUNTIFS(Пул!$E$5:$E$300,$B258,Пул!$L$5:$L$300,"Закрыт")=0,"",ROUND(SUMIFS(Пул!$I$5:$I$300,Пул!$E$5:$E$300,$B258,Пул!$L$5:$L$300,"Закрыт"),8)))</f>
        <v/>
      </c>
      <c r="G258" s="246" t="str">
        <f>IF($B258="","",IF(COUNTIFS(Пул!$E$5:$E$300,$B258,Пул!$L$5:$L$300,"Закрыт")=0,"",ROUND(SUMIFS(Пул!$J$5:$J$300,Пул!$E$5:$E$300,$B258,Пул!$L$5:$L$300,"Закрыт"),8)))</f>
        <v/>
      </c>
      <c r="H258" s="247" t="str">
        <f>IF($B258="","",IF(COUNTIFS(Пул!$E$5:$E$300,$B258,Пул!$L$5:$L$300,"Закрыт")=0,"",ROUND(SUMIFS(Пул!$K$5:$K$300,Пул!$E$5:$E$300,$B258,Пул!$L$5:$L$300,"Закрыт"),8)))</f>
        <v/>
      </c>
      <c r="I258" s="242" t="str">
        <f>IF(AND(ISNUMBER(G258),ISNUMBER(H258)),IF(AND(G258&gt;0,H258&lt;0),"Buy",IF(AND(G258&lt;0,H258&gt;0),"Sell","")),"")</f>
        <v/>
      </c>
      <c r="J258" s="183" t="str">
        <f>IF(I258="Buy",G258,IF(I258="Sell",-G258,""))</f>
        <v/>
      </c>
      <c r="K258" s="183" t="str">
        <f>IF(AND(ISNUMBER(J258),ISNUMBER(L258),N(J258)&lt;&gt;0),ROUND(L258/J258,8),"")</f>
        <v/>
      </c>
      <c r="L258" s="183" t="str">
        <f>IF(I258="Buy",-H258,IF(I258="Sell",H258,""))</f>
        <v/>
      </c>
    </row>
    <row r="259" ht="22" customHeight="1">
      <c r="B259" s="239" t="n"/>
      <c r="C259" s="240" t="str">
        <f>IF($B259="","",IF(COUNTIFS(Пул!$E$5:$E$300,$B259,Пул!$F$5:$F$300,"&lt;&gt;")=0,"",ROUND(SUMIFS(Пул!$F$5:$F$300,Пул!$E$5:$E$300,$B259),8)))</f>
        <v/>
      </c>
      <c r="D259" s="241" t="str">
        <f>IF($B259="","",IF(COUNTIFS(Пул!$E$5:$E$300,$B259,Пул!$G$5:$G$300,"&lt;&gt;")=0,"",ROUND(SUMIFS(Пул!$G$5:$G$300,Пул!$E$5:$E$300,$B259),8)))</f>
        <v/>
      </c>
      <c r="E259" s="240" t="str">
        <f>IF($B259="","",IF(COUNTIFS(Пул!$E$5:$E$300,$B259,Пул!$L$5:$L$300,"Закрыт")=0,"",ROUND(SUMIFS(Пул!$H$5:$H$300,Пул!$E$5:$E$300,$B259,Пул!$L$5:$L$300,"Закрыт"),8)))</f>
        <v/>
      </c>
      <c r="F259" s="241" t="str">
        <f>IF($B259="","",IF(COUNTIFS(Пул!$E$5:$E$300,$B259,Пул!$L$5:$L$300,"Закрыт")=0,"",ROUND(SUMIFS(Пул!$I$5:$I$300,Пул!$E$5:$E$300,$B259,Пул!$L$5:$L$300,"Закрыт"),8)))</f>
        <v/>
      </c>
      <c r="G259" s="240" t="str">
        <f>IF($B259="","",IF(COUNTIFS(Пул!$E$5:$E$300,$B259,Пул!$L$5:$L$300,"Закрыт")=0,"",ROUND(SUMIFS(Пул!$J$5:$J$300,Пул!$E$5:$E$300,$B259,Пул!$L$5:$L$300,"Закрыт"),8)))</f>
        <v/>
      </c>
      <c r="H259" s="241" t="str">
        <f>IF($B259="","",IF(COUNTIFS(Пул!$E$5:$E$300,$B259,Пул!$L$5:$L$300,"Закрыт")=0,"",ROUND(SUMIFS(Пул!$K$5:$K$300,Пул!$E$5:$E$300,$B259,Пул!$L$5:$L$300,"Закрыт"),8)))</f>
        <v/>
      </c>
      <c r="I259" s="236" t="str">
        <f>IF(AND(ISNUMBER(G259),ISNUMBER(H259)),IF(AND(G259&gt;0,H259&lt;0),"Buy",IF(AND(G259&lt;0,H259&gt;0),"Sell","")),"")</f>
        <v/>
      </c>
      <c r="J259" s="177" t="str">
        <f>IF(I259="Buy",G259,IF(I259="Sell",-G259,""))</f>
        <v/>
      </c>
      <c r="K259" s="177" t="str">
        <f>IF(AND(ISNUMBER(J259),ISNUMBER(L259),N(J259)&lt;&gt;0),ROUND(L259/J259,8),"")</f>
        <v/>
      </c>
      <c r="L259" s="177" t="str">
        <f>IF(I259="Buy",-H259,IF(I259="Sell",H259,""))</f>
        <v/>
      </c>
    </row>
    <row r="260" ht="22" customHeight="1">
      <c r="B260" s="245" t="n"/>
      <c r="C260" s="246" t="str">
        <f>IF($B260="","",IF(COUNTIFS(Пул!$E$5:$E$300,$B260,Пул!$F$5:$F$300,"&lt;&gt;")=0,"",ROUND(SUMIFS(Пул!$F$5:$F$300,Пул!$E$5:$E$300,$B260),8)))</f>
        <v/>
      </c>
      <c r="D260" s="247" t="str">
        <f>IF($B260="","",IF(COUNTIFS(Пул!$E$5:$E$300,$B260,Пул!$G$5:$G$300,"&lt;&gt;")=0,"",ROUND(SUMIFS(Пул!$G$5:$G$300,Пул!$E$5:$E$300,$B260),8)))</f>
        <v/>
      </c>
      <c r="E260" s="246" t="str">
        <f>IF($B260="","",IF(COUNTIFS(Пул!$E$5:$E$300,$B260,Пул!$L$5:$L$300,"Закрыт")=0,"",ROUND(SUMIFS(Пул!$H$5:$H$300,Пул!$E$5:$E$300,$B260,Пул!$L$5:$L$300,"Закрыт"),8)))</f>
        <v/>
      </c>
      <c r="F260" s="247" t="str">
        <f>IF($B260="","",IF(COUNTIFS(Пул!$E$5:$E$300,$B260,Пул!$L$5:$L$300,"Закрыт")=0,"",ROUND(SUMIFS(Пул!$I$5:$I$300,Пул!$E$5:$E$300,$B260,Пул!$L$5:$L$300,"Закрыт"),8)))</f>
        <v/>
      </c>
      <c r="G260" s="246" t="str">
        <f>IF($B260="","",IF(COUNTIFS(Пул!$E$5:$E$300,$B260,Пул!$L$5:$L$300,"Закрыт")=0,"",ROUND(SUMIFS(Пул!$J$5:$J$300,Пул!$E$5:$E$300,$B260,Пул!$L$5:$L$300,"Закрыт"),8)))</f>
        <v/>
      </c>
      <c r="H260" s="247" t="str">
        <f>IF($B260="","",IF(COUNTIFS(Пул!$E$5:$E$300,$B260,Пул!$L$5:$L$300,"Закрыт")=0,"",ROUND(SUMIFS(Пул!$K$5:$K$300,Пул!$E$5:$E$300,$B260,Пул!$L$5:$L$300,"Закрыт"),8)))</f>
        <v/>
      </c>
      <c r="I260" s="242" t="str">
        <f>IF(AND(ISNUMBER(G260),ISNUMBER(H260)),IF(AND(G260&gt;0,H260&lt;0),"Buy",IF(AND(G260&lt;0,H260&gt;0),"Sell","")),"")</f>
        <v/>
      </c>
      <c r="J260" s="183" t="str">
        <f>IF(I260="Buy",G260,IF(I260="Sell",-G260,""))</f>
        <v/>
      </c>
      <c r="K260" s="183" t="str">
        <f>IF(AND(ISNUMBER(J260),ISNUMBER(L260),N(J260)&lt;&gt;0),ROUND(L260/J260,8),"")</f>
        <v/>
      </c>
      <c r="L260" s="183" t="str">
        <f>IF(I260="Buy",-H260,IF(I260="Sell",H260,""))</f>
        <v/>
      </c>
    </row>
    <row r="261" ht="22" customHeight="1">
      <c r="B261" s="239" t="n"/>
      <c r="C261" s="240" t="str">
        <f>IF($B261="","",IF(COUNTIFS(Пул!$E$5:$E$300,$B261,Пул!$F$5:$F$300,"&lt;&gt;")=0,"",ROUND(SUMIFS(Пул!$F$5:$F$300,Пул!$E$5:$E$300,$B261),8)))</f>
        <v/>
      </c>
      <c r="D261" s="241" t="str">
        <f>IF($B261="","",IF(COUNTIFS(Пул!$E$5:$E$300,$B261,Пул!$G$5:$G$300,"&lt;&gt;")=0,"",ROUND(SUMIFS(Пул!$G$5:$G$300,Пул!$E$5:$E$300,$B261),8)))</f>
        <v/>
      </c>
      <c r="E261" s="240" t="str">
        <f>IF($B261="","",IF(COUNTIFS(Пул!$E$5:$E$300,$B261,Пул!$L$5:$L$300,"Закрыт")=0,"",ROUND(SUMIFS(Пул!$H$5:$H$300,Пул!$E$5:$E$300,$B261,Пул!$L$5:$L$300,"Закрыт"),8)))</f>
        <v/>
      </c>
      <c r="F261" s="241" t="str">
        <f>IF($B261="","",IF(COUNTIFS(Пул!$E$5:$E$300,$B261,Пул!$L$5:$L$300,"Закрыт")=0,"",ROUND(SUMIFS(Пул!$I$5:$I$300,Пул!$E$5:$E$300,$B261,Пул!$L$5:$L$300,"Закрыт"),8)))</f>
        <v/>
      </c>
      <c r="G261" s="240" t="str">
        <f>IF($B261="","",IF(COUNTIFS(Пул!$E$5:$E$300,$B261,Пул!$L$5:$L$300,"Закрыт")=0,"",ROUND(SUMIFS(Пул!$J$5:$J$300,Пул!$E$5:$E$300,$B261,Пул!$L$5:$L$300,"Закрыт"),8)))</f>
        <v/>
      </c>
      <c r="H261" s="241" t="str">
        <f>IF($B261="","",IF(COUNTIFS(Пул!$E$5:$E$300,$B261,Пул!$L$5:$L$300,"Закрыт")=0,"",ROUND(SUMIFS(Пул!$K$5:$K$300,Пул!$E$5:$E$300,$B261,Пул!$L$5:$L$300,"Закрыт"),8)))</f>
        <v/>
      </c>
      <c r="I261" s="236" t="str">
        <f>IF(AND(ISNUMBER(G261),ISNUMBER(H261)),IF(AND(G261&gt;0,H261&lt;0),"Buy",IF(AND(G261&lt;0,H261&gt;0),"Sell","")),"")</f>
        <v/>
      </c>
      <c r="J261" s="177" t="str">
        <f>IF(I261="Buy",G261,IF(I261="Sell",-G261,""))</f>
        <v/>
      </c>
      <c r="K261" s="177" t="str">
        <f>IF(AND(ISNUMBER(J261),ISNUMBER(L261),N(J261)&lt;&gt;0),ROUND(L261/J261,8),"")</f>
        <v/>
      </c>
      <c r="L261" s="177" t="str">
        <f>IF(I261="Buy",-H261,IF(I261="Sell",H261,""))</f>
        <v/>
      </c>
    </row>
    <row r="262" ht="22" customHeight="1">
      <c r="B262" s="245" t="n"/>
      <c r="C262" s="246" t="str">
        <f>IF($B262="","",IF(COUNTIFS(Пул!$E$5:$E$300,$B262,Пул!$F$5:$F$300,"&lt;&gt;")=0,"",ROUND(SUMIFS(Пул!$F$5:$F$300,Пул!$E$5:$E$300,$B262),8)))</f>
        <v/>
      </c>
      <c r="D262" s="247" t="str">
        <f>IF($B262="","",IF(COUNTIFS(Пул!$E$5:$E$300,$B262,Пул!$G$5:$G$300,"&lt;&gt;")=0,"",ROUND(SUMIFS(Пул!$G$5:$G$300,Пул!$E$5:$E$300,$B262),8)))</f>
        <v/>
      </c>
      <c r="E262" s="246" t="str">
        <f>IF($B262="","",IF(COUNTIFS(Пул!$E$5:$E$300,$B262,Пул!$L$5:$L$300,"Закрыт")=0,"",ROUND(SUMIFS(Пул!$H$5:$H$300,Пул!$E$5:$E$300,$B262,Пул!$L$5:$L$300,"Закрыт"),8)))</f>
        <v/>
      </c>
      <c r="F262" s="247" t="str">
        <f>IF($B262="","",IF(COUNTIFS(Пул!$E$5:$E$300,$B262,Пул!$L$5:$L$300,"Закрыт")=0,"",ROUND(SUMIFS(Пул!$I$5:$I$300,Пул!$E$5:$E$300,$B262,Пул!$L$5:$L$300,"Закрыт"),8)))</f>
        <v/>
      </c>
      <c r="G262" s="246" t="str">
        <f>IF($B262="","",IF(COUNTIFS(Пул!$E$5:$E$300,$B262,Пул!$L$5:$L$300,"Закрыт")=0,"",ROUND(SUMIFS(Пул!$J$5:$J$300,Пул!$E$5:$E$300,$B262,Пул!$L$5:$L$300,"Закрыт"),8)))</f>
        <v/>
      </c>
      <c r="H262" s="247" t="str">
        <f>IF($B262="","",IF(COUNTIFS(Пул!$E$5:$E$300,$B262,Пул!$L$5:$L$300,"Закрыт")=0,"",ROUND(SUMIFS(Пул!$K$5:$K$300,Пул!$E$5:$E$300,$B262,Пул!$L$5:$L$300,"Закрыт"),8)))</f>
        <v/>
      </c>
      <c r="I262" s="242" t="str">
        <f>IF(AND(ISNUMBER(G262),ISNUMBER(H262)),IF(AND(G262&gt;0,H262&lt;0),"Buy",IF(AND(G262&lt;0,H262&gt;0),"Sell","")),"")</f>
        <v/>
      </c>
      <c r="J262" s="183" t="str">
        <f>IF(I262="Buy",G262,IF(I262="Sell",-G262,""))</f>
        <v/>
      </c>
      <c r="K262" s="183" t="str">
        <f>IF(AND(ISNUMBER(J262),ISNUMBER(L262),N(J262)&lt;&gt;0),ROUND(L262/J262,8),"")</f>
        <v/>
      </c>
      <c r="L262" s="183" t="str">
        <f>IF(I262="Buy",-H262,IF(I262="Sell",H262,""))</f>
        <v/>
      </c>
    </row>
    <row r="263" ht="22" customHeight="1">
      <c r="B263" s="239" t="n"/>
      <c r="C263" s="240" t="str">
        <f>IF($B263="","",IF(COUNTIFS(Пул!$E$5:$E$300,$B263,Пул!$F$5:$F$300,"&lt;&gt;")=0,"",ROUND(SUMIFS(Пул!$F$5:$F$300,Пул!$E$5:$E$300,$B263),8)))</f>
        <v/>
      </c>
      <c r="D263" s="241" t="str">
        <f>IF($B263="","",IF(COUNTIFS(Пул!$E$5:$E$300,$B263,Пул!$G$5:$G$300,"&lt;&gt;")=0,"",ROUND(SUMIFS(Пул!$G$5:$G$300,Пул!$E$5:$E$300,$B263),8)))</f>
        <v/>
      </c>
      <c r="E263" s="240" t="str">
        <f>IF($B263="","",IF(COUNTIFS(Пул!$E$5:$E$300,$B263,Пул!$L$5:$L$300,"Закрыт")=0,"",ROUND(SUMIFS(Пул!$H$5:$H$300,Пул!$E$5:$E$300,$B263,Пул!$L$5:$L$300,"Закрыт"),8)))</f>
        <v/>
      </c>
      <c r="F263" s="241" t="str">
        <f>IF($B263="","",IF(COUNTIFS(Пул!$E$5:$E$300,$B263,Пул!$L$5:$L$300,"Закрыт")=0,"",ROUND(SUMIFS(Пул!$I$5:$I$300,Пул!$E$5:$E$300,$B263,Пул!$L$5:$L$300,"Закрыт"),8)))</f>
        <v/>
      </c>
      <c r="G263" s="240" t="str">
        <f>IF($B263="","",IF(COUNTIFS(Пул!$E$5:$E$300,$B263,Пул!$L$5:$L$300,"Закрыт")=0,"",ROUND(SUMIFS(Пул!$J$5:$J$300,Пул!$E$5:$E$300,$B263,Пул!$L$5:$L$300,"Закрыт"),8)))</f>
        <v/>
      </c>
      <c r="H263" s="241" t="str">
        <f>IF($B263="","",IF(COUNTIFS(Пул!$E$5:$E$300,$B263,Пул!$L$5:$L$300,"Закрыт")=0,"",ROUND(SUMIFS(Пул!$K$5:$K$300,Пул!$E$5:$E$300,$B263,Пул!$L$5:$L$300,"Закрыт"),8)))</f>
        <v/>
      </c>
      <c r="I263" s="236" t="str">
        <f>IF(AND(ISNUMBER(G263),ISNUMBER(H263)),IF(AND(G263&gt;0,H263&lt;0),"Buy",IF(AND(G263&lt;0,H263&gt;0),"Sell","")),"")</f>
        <v/>
      </c>
      <c r="J263" s="177" t="str">
        <f>IF(I263="Buy",G263,IF(I263="Sell",-G263,""))</f>
        <v/>
      </c>
      <c r="K263" s="177" t="str">
        <f>IF(AND(ISNUMBER(J263),ISNUMBER(L263),N(J263)&lt;&gt;0),ROUND(L263/J263,8),"")</f>
        <v/>
      </c>
      <c r="L263" s="177" t="str">
        <f>IF(I263="Buy",-H263,IF(I263="Sell",H263,""))</f>
        <v/>
      </c>
    </row>
    <row r="264" ht="22" customHeight="1">
      <c r="B264" s="245" t="n"/>
      <c r="C264" s="246" t="str">
        <f>IF($B264="","",IF(COUNTIFS(Пул!$E$5:$E$300,$B264,Пул!$F$5:$F$300,"&lt;&gt;")=0,"",ROUND(SUMIFS(Пул!$F$5:$F$300,Пул!$E$5:$E$300,$B264),8)))</f>
        <v/>
      </c>
      <c r="D264" s="247" t="str">
        <f>IF($B264="","",IF(COUNTIFS(Пул!$E$5:$E$300,$B264,Пул!$G$5:$G$300,"&lt;&gt;")=0,"",ROUND(SUMIFS(Пул!$G$5:$G$300,Пул!$E$5:$E$300,$B264),8)))</f>
        <v/>
      </c>
      <c r="E264" s="246" t="str">
        <f>IF($B264="","",IF(COUNTIFS(Пул!$E$5:$E$300,$B264,Пул!$L$5:$L$300,"Закрыт")=0,"",ROUND(SUMIFS(Пул!$H$5:$H$300,Пул!$E$5:$E$300,$B264,Пул!$L$5:$L$300,"Закрыт"),8)))</f>
        <v/>
      </c>
      <c r="F264" s="247" t="str">
        <f>IF($B264="","",IF(COUNTIFS(Пул!$E$5:$E$300,$B264,Пул!$L$5:$L$300,"Закрыт")=0,"",ROUND(SUMIFS(Пул!$I$5:$I$300,Пул!$E$5:$E$300,$B264,Пул!$L$5:$L$300,"Закрыт"),8)))</f>
        <v/>
      </c>
      <c r="G264" s="246" t="str">
        <f>IF($B264="","",IF(COUNTIFS(Пул!$E$5:$E$300,$B264,Пул!$L$5:$L$300,"Закрыт")=0,"",ROUND(SUMIFS(Пул!$J$5:$J$300,Пул!$E$5:$E$300,$B264,Пул!$L$5:$L$300,"Закрыт"),8)))</f>
        <v/>
      </c>
      <c r="H264" s="247" t="str">
        <f>IF($B264="","",IF(COUNTIFS(Пул!$E$5:$E$300,$B264,Пул!$L$5:$L$300,"Закрыт")=0,"",ROUND(SUMIFS(Пул!$K$5:$K$300,Пул!$E$5:$E$300,$B264,Пул!$L$5:$L$300,"Закрыт"),8)))</f>
        <v/>
      </c>
      <c r="I264" s="242" t="str">
        <f>IF(AND(ISNUMBER(G264),ISNUMBER(H264)),IF(AND(G264&gt;0,H264&lt;0),"Buy",IF(AND(G264&lt;0,H264&gt;0),"Sell","")),"")</f>
        <v/>
      </c>
      <c r="J264" s="183" t="str">
        <f>IF(I264="Buy",G264,IF(I264="Sell",-G264,""))</f>
        <v/>
      </c>
      <c r="K264" s="183" t="str">
        <f>IF(AND(ISNUMBER(J264),ISNUMBER(L264),N(J264)&lt;&gt;0),ROUND(L264/J264,8),"")</f>
        <v/>
      </c>
      <c r="L264" s="183" t="str">
        <f>IF(I264="Buy",-H264,IF(I264="Sell",H264,""))</f>
        <v/>
      </c>
    </row>
    <row r="265" ht="22" customHeight="1">
      <c r="B265" s="239" t="n"/>
      <c r="C265" s="240" t="str">
        <f>IF($B265="","",IF(COUNTIFS(Пул!$E$5:$E$300,$B265,Пул!$F$5:$F$300,"&lt;&gt;")=0,"",ROUND(SUMIFS(Пул!$F$5:$F$300,Пул!$E$5:$E$300,$B265),8)))</f>
        <v/>
      </c>
      <c r="D265" s="241" t="str">
        <f>IF($B265="","",IF(COUNTIFS(Пул!$E$5:$E$300,$B265,Пул!$G$5:$G$300,"&lt;&gt;")=0,"",ROUND(SUMIFS(Пул!$G$5:$G$300,Пул!$E$5:$E$300,$B265),8)))</f>
        <v/>
      </c>
      <c r="E265" s="240" t="str">
        <f>IF($B265="","",IF(COUNTIFS(Пул!$E$5:$E$300,$B265,Пул!$L$5:$L$300,"Закрыт")=0,"",ROUND(SUMIFS(Пул!$H$5:$H$300,Пул!$E$5:$E$300,$B265,Пул!$L$5:$L$300,"Закрыт"),8)))</f>
        <v/>
      </c>
      <c r="F265" s="241" t="str">
        <f>IF($B265="","",IF(COUNTIFS(Пул!$E$5:$E$300,$B265,Пул!$L$5:$L$300,"Закрыт")=0,"",ROUND(SUMIFS(Пул!$I$5:$I$300,Пул!$E$5:$E$300,$B265,Пул!$L$5:$L$300,"Закрыт"),8)))</f>
        <v/>
      </c>
      <c r="G265" s="240" t="str">
        <f>IF($B265="","",IF(COUNTIFS(Пул!$E$5:$E$300,$B265,Пул!$L$5:$L$300,"Закрыт")=0,"",ROUND(SUMIFS(Пул!$J$5:$J$300,Пул!$E$5:$E$300,$B265,Пул!$L$5:$L$300,"Закрыт"),8)))</f>
        <v/>
      </c>
      <c r="H265" s="241" t="str">
        <f>IF($B265="","",IF(COUNTIFS(Пул!$E$5:$E$300,$B265,Пул!$L$5:$L$300,"Закрыт")=0,"",ROUND(SUMIFS(Пул!$K$5:$K$300,Пул!$E$5:$E$300,$B265,Пул!$L$5:$L$300,"Закрыт"),8)))</f>
        <v/>
      </c>
      <c r="I265" s="236" t="str">
        <f>IF(AND(ISNUMBER(G265),ISNUMBER(H265)),IF(AND(G265&gt;0,H265&lt;0),"Buy",IF(AND(G265&lt;0,H265&gt;0),"Sell","")),"")</f>
        <v/>
      </c>
      <c r="J265" s="177" t="str">
        <f>IF(I265="Buy",G265,IF(I265="Sell",-G265,""))</f>
        <v/>
      </c>
      <c r="K265" s="177" t="str">
        <f>IF(AND(ISNUMBER(J265),ISNUMBER(L265),N(J265)&lt;&gt;0),ROUND(L265/J265,8),"")</f>
        <v/>
      </c>
      <c r="L265" s="177" t="str">
        <f>IF(I265="Buy",-H265,IF(I265="Sell",H265,""))</f>
        <v/>
      </c>
    </row>
    <row r="266" ht="22" customHeight="1">
      <c r="B266" s="245" t="n"/>
      <c r="C266" s="246" t="str">
        <f>IF($B266="","",IF(COUNTIFS(Пул!$E$5:$E$300,$B266,Пул!$F$5:$F$300,"&lt;&gt;")=0,"",ROUND(SUMIFS(Пул!$F$5:$F$300,Пул!$E$5:$E$300,$B266),8)))</f>
        <v/>
      </c>
      <c r="D266" s="247" t="str">
        <f>IF($B266="","",IF(COUNTIFS(Пул!$E$5:$E$300,$B266,Пул!$G$5:$G$300,"&lt;&gt;")=0,"",ROUND(SUMIFS(Пул!$G$5:$G$300,Пул!$E$5:$E$300,$B266),8)))</f>
        <v/>
      </c>
      <c r="E266" s="246" t="str">
        <f>IF($B266="","",IF(COUNTIFS(Пул!$E$5:$E$300,$B266,Пул!$L$5:$L$300,"Закрыт")=0,"",ROUND(SUMIFS(Пул!$H$5:$H$300,Пул!$E$5:$E$300,$B266,Пул!$L$5:$L$300,"Закрыт"),8)))</f>
        <v/>
      </c>
      <c r="F266" s="247" t="str">
        <f>IF($B266="","",IF(COUNTIFS(Пул!$E$5:$E$300,$B266,Пул!$L$5:$L$300,"Закрыт")=0,"",ROUND(SUMIFS(Пул!$I$5:$I$300,Пул!$E$5:$E$300,$B266,Пул!$L$5:$L$300,"Закрыт"),8)))</f>
        <v/>
      </c>
      <c r="G266" s="246" t="str">
        <f>IF($B266="","",IF(COUNTIFS(Пул!$E$5:$E$300,$B266,Пул!$L$5:$L$300,"Закрыт")=0,"",ROUND(SUMIFS(Пул!$J$5:$J$300,Пул!$E$5:$E$300,$B266,Пул!$L$5:$L$300,"Закрыт"),8)))</f>
        <v/>
      </c>
      <c r="H266" s="247" t="str">
        <f>IF($B266="","",IF(COUNTIFS(Пул!$E$5:$E$300,$B266,Пул!$L$5:$L$300,"Закрыт")=0,"",ROUND(SUMIFS(Пул!$K$5:$K$300,Пул!$E$5:$E$300,$B266,Пул!$L$5:$L$300,"Закрыт"),8)))</f>
        <v/>
      </c>
      <c r="I266" s="242" t="str">
        <f>IF(AND(ISNUMBER(G266),ISNUMBER(H266)),IF(AND(G266&gt;0,H266&lt;0),"Buy",IF(AND(G266&lt;0,H266&gt;0),"Sell","")),"")</f>
        <v/>
      </c>
      <c r="J266" s="183" t="str">
        <f>IF(I266="Buy",G266,IF(I266="Sell",-G266,""))</f>
        <v/>
      </c>
      <c r="K266" s="183" t="str">
        <f>IF(AND(ISNUMBER(J266),ISNUMBER(L266),N(J266)&lt;&gt;0),ROUND(L266/J266,8),"")</f>
        <v/>
      </c>
      <c r="L266" s="183" t="str">
        <f>IF(I266="Buy",-H266,IF(I266="Sell",H266,""))</f>
        <v/>
      </c>
    </row>
    <row r="267" ht="22" customHeight="1">
      <c r="B267" s="239" t="n"/>
      <c r="C267" s="240" t="str">
        <f>IF($B267="","",IF(COUNTIFS(Пул!$E$5:$E$300,$B267,Пул!$F$5:$F$300,"&lt;&gt;")=0,"",ROUND(SUMIFS(Пул!$F$5:$F$300,Пул!$E$5:$E$300,$B267),8)))</f>
        <v/>
      </c>
      <c r="D267" s="241" t="str">
        <f>IF($B267="","",IF(COUNTIFS(Пул!$E$5:$E$300,$B267,Пул!$G$5:$G$300,"&lt;&gt;")=0,"",ROUND(SUMIFS(Пул!$G$5:$G$300,Пул!$E$5:$E$300,$B267),8)))</f>
        <v/>
      </c>
      <c r="E267" s="240" t="str">
        <f>IF($B267="","",IF(COUNTIFS(Пул!$E$5:$E$300,$B267,Пул!$L$5:$L$300,"Закрыт")=0,"",ROUND(SUMIFS(Пул!$H$5:$H$300,Пул!$E$5:$E$300,$B267,Пул!$L$5:$L$300,"Закрыт"),8)))</f>
        <v/>
      </c>
      <c r="F267" s="241" t="str">
        <f>IF($B267="","",IF(COUNTIFS(Пул!$E$5:$E$300,$B267,Пул!$L$5:$L$300,"Закрыт")=0,"",ROUND(SUMIFS(Пул!$I$5:$I$300,Пул!$E$5:$E$300,$B267,Пул!$L$5:$L$300,"Закрыт"),8)))</f>
        <v/>
      </c>
      <c r="G267" s="240" t="str">
        <f>IF($B267="","",IF(COUNTIFS(Пул!$E$5:$E$300,$B267,Пул!$L$5:$L$300,"Закрыт")=0,"",ROUND(SUMIFS(Пул!$J$5:$J$300,Пул!$E$5:$E$300,$B267,Пул!$L$5:$L$300,"Закрыт"),8)))</f>
        <v/>
      </c>
      <c r="H267" s="241" t="str">
        <f>IF($B267="","",IF(COUNTIFS(Пул!$E$5:$E$300,$B267,Пул!$L$5:$L$300,"Закрыт")=0,"",ROUND(SUMIFS(Пул!$K$5:$K$300,Пул!$E$5:$E$300,$B267,Пул!$L$5:$L$300,"Закрыт"),8)))</f>
        <v/>
      </c>
      <c r="I267" s="236" t="str">
        <f>IF(AND(ISNUMBER(G267),ISNUMBER(H267)),IF(AND(G267&gt;0,H267&lt;0),"Buy",IF(AND(G267&lt;0,H267&gt;0),"Sell","")),"")</f>
        <v/>
      </c>
      <c r="J267" s="177" t="str">
        <f>IF(I267="Buy",G267,IF(I267="Sell",-G267,""))</f>
        <v/>
      </c>
      <c r="K267" s="177" t="str">
        <f>IF(AND(ISNUMBER(J267),ISNUMBER(L267),N(J267)&lt;&gt;0),ROUND(L267/J267,8),"")</f>
        <v/>
      </c>
      <c r="L267" s="177" t="str">
        <f>IF(I267="Buy",-H267,IF(I267="Sell",H267,""))</f>
        <v/>
      </c>
    </row>
    <row r="268" ht="22" customHeight="1">
      <c r="B268" s="245" t="n"/>
      <c r="C268" s="246" t="str">
        <f>IF($B268="","",IF(COUNTIFS(Пул!$E$5:$E$300,$B268,Пул!$F$5:$F$300,"&lt;&gt;")=0,"",ROUND(SUMIFS(Пул!$F$5:$F$300,Пул!$E$5:$E$300,$B268),8)))</f>
        <v/>
      </c>
      <c r="D268" s="247" t="str">
        <f>IF($B268="","",IF(COUNTIFS(Пул!$E$5:$E$300,$B268,Пул!$G$5:$G$300,"&lt;&gt;")=0,"",ROUND(SUMIFS(Пул!$G$5:$G$300,Пул!$E$5:$E$300,$B268),8)))</f>
        <v/>
      </c>
      <c r="E268" s="246" t="str">
        <f>IF($B268="","",IF(COUNTIFS(Пул!$E$5:$E$300,$B268,Пул!$L$5:$L$300,"Закрыт")=0,"",ROUND(SUMIFS(Пул!$H$5:$H$300,Пул!$E$5:$E$300,$B268,Пул!$L$5:$L$300,"Закрыт"),8)))</f>
        <v/>
      </c>
      <c r="F268" s="247" t="str">
        <f>IF($B268="","",IF(COUNTIFS(Пул!$E$5:$E$300,$B268,Пул!$L$5:$L$300,"Закрыт")=0,"",ROUND(SUMIFS(Пул!$I$5:$I$300,Пул!$E$5:$E$300,$B268,Пул!$L$5:$L$300,"Закрыт"),8)))</f>
        <v/>
      </c>
      <c r="G268" s="246" t="str">
        <f>IF($B268="","",IF(COUNTIFS(Пул!$E$5:$E$300,$B268,Пул!$L$5:$L$300,"Закрыт")=0,"",ROUND(SUMIFS(Пул!$J$5:$J$300,Пул!$E$5:$E$300,$B268,Пул!$L$5:$L$300,"Закрыт"),8)))</f>
        <v/>
      </c>
      <c r="H268" s="247" t="str">
        <f>IF($B268="","",IF(COUNTIFS(Пул!$E$5:$E$300,$B268,Пул!$L$5:$L$300,"Закрыт")=0,"",ROUND(SUMIFS(Пул!$K$5:$K$300,Пул!$E$5:$E$300,$B268,Пул!$L$5:$L$300,"Закрыт"),8)))</f>
        <v/>
      </c>
      <c r="I268" s="242" t="str">
        <f>IF(AND(ISNUMBER(G268),ISNUMBER(H268)),IF(AND(G268&gt;0,H268&lt;0),"Buy",IF(AND(G268&lt;0,H268&gt;0),"Sell","")),"")</f>
        <v/>
      </c>
      <c r="J268" s="183" t="str">
        <f>IF(I268="Buy",G268,IF(I268="Sell",-G268,""))</f>
        <v/>
      </c>
      <c r="K268" s="183" t="str">
        <f>IF(AND(ISNUMBER(J268),ISNUMBER(L268),N(J268)&lt;&gt;0),ROUND(L268/J268,8),"")</f>
        <v/>
      </c>
      <c r="L268" s="183" t="str">
        <f>IF(I268="Buy",-H268,IF(I268="Sell",H268,""))</f>
        <v/>
      </c>
    </row>
    <row r="269" ht="22" customHeight="1">
      <c r="B269" s="239" t="n"/>
      <c r="C269" s="240" t="str">
        <f>IF($B269="","",IF(COUNTIFS(Пул!$E$5:$E$300,$B269,Пул!$F$5:$F$300,"&lt;&gt;")=0,"",ROUND(SUMIFS(Пул!$F$5:$F$300,Пул!$E$5:$E$300,$B269),8)))</f>
        <v/>
      </c>
      <c r="D269" s="241" t="str">
        <f>IF($B269="","",IF(COUNTIFS(Пул!$E$5:$E$300,$B269,Пул!$G$5:$G$300,"&lt;&gt;")=0,"",ROUND(SUMIFS(Пул!$G$5:$G$300,Пул!$E$5:$E$300,$B269),8)))</f>
        <v/>
      </c>
      <c r="E269" s="240" t="str">
        <f>IF($B269="","",IF(COUNTIFS(Пул!$E$5:$E$300,$B269,Пул!$L$5:$L$300,"Закрыт")=0,"",ROUND(SUMIFS(Пул!$H$5:$H$300,Пул!$E$5:$E$300,$B269,Пул!$L$5:$L$300,"Закрыт"),8)))</f>
        <v/>
      </c>
      <c r="F269" s="241" t="str">
        <f>IF($B269="","",IF(COUNTIFS(Пул!$E$5:$E$300,$B269,Пул!$L$5:$L$300,"Закрыт")=0,"",ROUND(SUMIFS(Пул!$I$5:$I$300,Пул!$E$5:$E$300,$B269,Пул!$L$5:$L$300,"Закрыт"),8)))</f>
        <v/>
      </c>
      <c r="G269" s="240" t="str">
        <f>IF($B269="","",IF(COUNTIFS(Пул!$E$5:$E$300,$B269,Пул!$L$5:$L$300,"Закрыт")=0,"",ROUND(SUMIFS(Пул!$J$5:$J$300,Пул!$E$5:$E$300,$B269,Пул!$L$5:$L$300,"Закрыт"),8)))</f>
        <v/>
      </c>
      <c r="H269" s="241" t="str">
        <f>IF($B269="","",IF(COUNTIFS(Пул!$E$5:$E$300,$B269,Пул!$L$5:$L$300,"Закрыт")=0,"",ROUND(SUMIFS(Пул!$K$5:$K$300,Пул!$E$5:$E$300,$B269,Пул!$L$5:$L$300,"Закрыт"),8)))</f>
        <v/>
      </c>
      <c r="I269" s="236" t="str">
        <f>IF(AND(ISNUMBER(G269),ISNUMBER(H269)),IF(AND(G269&gt;0,H269&lt;0),"Buy",IF(AND(G269&lt;0,H269&gt;0),"Sell","")),"")</f>
        <v/>
      </c>
      <c r="J269" s="177" t="str">
        <f>IF(I269="Buy",G269,IF(I269="Sell",-G269,""))</f>
        <v/>
      </c>
      <c r="K269" s="177" t="str">
        <f>IF(AND(ISNUMBER(J269),ISNUMBER(L269),N(J269)&lt;&gt;0),ROUND(L269/J269,8),"")</f>
        <v/>
      </c>
      <c r="L269" s="177" t="str">
        <f>IF(I269="Buy",-H269,IF(I269="Sell",H269,""))</f>
        <v/>
      </c>
    </row>
    <row r="270" ht="22" customHeight="1">
      <c r="B270" s="245" t="n"/>
      <c r="C270" s="246" t="str">
        <f>IF($B270="","",IF(COUNTIFS(Пул!$E$5:$E$300,$B270,Пул!$F$5:$F$300,"&lt;&gt;")=0,"",ROUND(SUMIFS(Пул!$F$5:$F$300,Пул!$E$5:$E$300,$B270),8)))</f>
        <v/>
      </c>
      <c r="D270" s="247" t="str">
        <f>IF($B270="","",IF(COUNTIFS(Пул!$E$5:$E$300,$B270,Пул!$G$5:$G$300,"&lt;&gt;")=0,"",ROUND(SUMIFS(Пул!$G$5:$G$300,Пул!$E$5:$E$300,$B270),8)))</f>
        <v/>
      </c>
      <c r="E270" s="246" t="str">
        <f>IF($B270="","",IF(COUNTIFS(Пул!$E$5:$E$300,$B270,Пул!$L$5:$L$300,"Закрыт")=0,"",ROUND(SUMIFS(Пул!$H$5:$H$300,Пул!$E$5:$E$300,$B270,Пул!$L$5:$L$300,"Закрыт"),8)))</f>
        <v/>
      </c>
      <c r="F270" s="247" t="str">
        <f>IF($B270="","",IF(COUNTIFS(Пул!$E$5:$E$300,$B270,Пул!$L$5:$L$300,"Закрыт")=0,"",ROUND(SUMIFS(Пул!$I$5:$I$300,Пул!$E$5:$E$300,$B270,Пул!$L$5:$L$300,"Закрыт"),8)))</f>
        <v/>
      </c>
      <c r="G270" s="246" t="str">
        <f>IF($B270="","",IF(COUNTIFS(Пул!$E$5:$E$300,$B270,Пул!$L$5:$L$300,"Закрыт")=0,"",ROUND(SUMIFS(Пул!$J$5:$J$300,Пул!$E$5:$E$300,$B270,Пул!$L$5:$L$300,"Закрыт"),8)))</f>
        <v/>
      </c>
      <c r="H270" s="247" t="str">
        <f>IF($B270="","",IF(COUNTIFS(Пул!$E$5:$E$300,$B270,Пул!$L$5:$L$300,"Закрыт")=0,"",ROUND(SUMIFS(Пул!$K$5:$K$300,Пул!$E$5:$E$300,$B270,Пул!$L$5:$L$300,"Закрыт"),8)))</f>
        <v/>
      </c>
      <c r="I270" s="242" t="str">
        <f>IF(AND(ISNUMBER(G270),ISNUMBER(H270)),IF(AND(G270&gt;0,H270&lt;0),"Buy",IF(AND(G270&lt;0,H270&gt;0),"Sell","")),"")</f>
        <v/>
      </c>
      <c r="J270" s="183" t="str">
        <f>IF(I270="Buy",G270,IF(I270="Sell",-G270,""))</f>
        <v/>
      </c>
      <c r="K270" s="183" t="str">
        <f>IF(AND(ISNUMBER(J270),ISNUMBER(L270),N(J270)&lt;&gt;0),ROUND(L270/J270,8),"")</f>
        <v/>
      </c>
      <c r="L270" s="183" t="str">
        <f>IF(I270="Buy",-H270,IF(I270="Sell",H270,""))</f>
        <v/>
      </c>
    </row>
    <row r="271" ht="22" customHeight="1">
      <c r="B271" s="239" t="n"/>
      <c r="C271" s="240" t="str">
        <f>IF($B271="","",IF(COUNTIFS(Пул!$E$5:$E$300,$B271,Пул!$F$5:$F$300,"&lt;&gt;")=0,"",ROUND(SUMIFS(Пул!$F$5:$F$300,Пул!$E$5:$E$300,$B271),8)))</f>
        <v/>
      </c>
      <c r="D271" s="241" t="str">
        <f>IF($B271="","",IF(COUNTIFS(Пул!$E$5:$E$300,$B271,Пул!$G$5:$G$300,"&lt;&gt;")=0,"",ROUND(SUMIFS(Пул!$G$5:$G$300,Пул!$E$5:$E$300,$B271),8)))</f>
        <v/>
      </c>
      <c r="E271" s="240" t="str">
        <f>IF($B271="","",IF(COUNTIFS(Пул!$E$5:$E$300,$B271,Пул!$L$5:$L$300,"Закрыт")=0,"",ROUND(SUMIFS(Пул!$H$5:$H$300,Пул!$E$5:$E$300,$B271,Пул!$L$5:$L$300,"Закрыт"),8)))</f>
        <v/>
      </c>
      <c r="F271" s="241" t="str">
        <f>IF($B271="","",IF(COUNTIFS(Пул!$E$5:$E$300,$B271,Пул!$L$5:$L$300,"Закрыт")=0,"",ROUND(SUMIFS(Пул!$I$5:$I$300,Пул!$E$5:$E$300,$B271,Пул!$L$5:$L$300,"Закрыт"),8)))</f>
        <v/>
      </c>
      <c r="G271" s="240" t="str">
        <f>IF($B271="","",IF(COUNTIFS(Пул!$E$5:$E$300,$B271,Пул!$L$5:$L$300,"Закрыт")=0,"",ROUND(SUMIFS(Пул!$J$5:$J$300,Пул!$E$5:$E$300,$B271,Пул!$L$5:$L$300,"Закрыт"),8)))</f>
        <v/>
      </c>
      <c r="H271" s="241" t="str">
        <f>IF($B271="","",IF(COUNTIFS(Пул!$E$5:$E$300,$B271,Пул!$L$5:$L$300,"Закрыт")=0,"",ROUND(SUMIFS(Пул!$K$5:$K$300,Пул!$E$5:$E$300,$B271,Пул!$L$5:$L$300,"Закрыт"),8)))</f>
        <v/>
      </c>
      <c r="I271" s="236" t="str">
        <f>IF(AND(ISNUMBER(G271),ISNUMBER(H271)),IF(AND(G271&gt;0,H271&lt;0),"Buy",IF(AND(G271&lt;0,H271&gt;0),"Sell","")),"")</f>
        <v/>
      </c>
      <c r="J271" s="177" t="str">
        <f>IF(I271="Buy",G271,IF(I271="Sell",-G271,""))</f>
        <v/>
      </c>
      <c r="K271" s="177" t="str">
        <f>IF(AND(ISNUMBER(J271),ISNUMBER(L271),N(J271)&lt;&gt;0),ROUND(L271/J271,8),"")</f>
        <v/>
      </c>
      <c r="L271" s="177" t="str">
        <f>IF(I271="Buy",-H271,IF(I271="Sell",H271,""))</f>
        <v/>
      </c>
    </row>
    <row r="272" ht="22" customHeight="1">
      <c r="B272" s="245" t="n"/>
      <c r="C272" s="246" t="str">
        <f>IF($B272="","",IF(COUNTIFS(Пул!$E$5:$E$300,$B272,Пул!$F$5:$F$300,"&lt;&gt;")=0,"",ROUND(SUMIFS(Пул!$F$5:$F$300,Пул!$E$5:$E$300,$B272),8)))</f>
        <v/>
      </c>
      <c r="D272" s="247" t="str">
        <f>IF($B272="","",IF(COUNTIFS(Пул!$E$5:$E$300,$B272,Пул!$G$5:$G$300,"&lt;&gt;")=0,"",ROUND(SUMIFS(Пул!$G$5:$G$300,Пул!$E$5:$E$300,$B272),8)))</f>
        <v/>
      </c>
      <c r="E272" s="246" t="str">
        <f>IF($B272="","",IF(COUNTIFS(Пул!$E$5:$E$300,$B272,Пул!$L$5:$L$300,"Закрыт")=0,"",ROUND(SUMIFS(Пул!$H$5:$H$300,Пул!$E$5:$E$300,$B272,Пул!$L$5:$L$300,"Закрыт"),8)))</f>
        <v/>
      </c>
      <c r="F272" s="247" t="str">
        <f>IF($B272="","",IF(COUNTIFS(Пул!$E$5:$E$300,$B272,Пул!$L$5:$L$300,"Закрыт")=0,"",ROUND(SUMIFS(Пул!$I$5:$I$300,Пул!$E$5:$E$300,$B272,Пул!$L$5:$L$300,"Закрыт"),8)))</f>
        <v/>
      </c>
      <c r="G272" s="246" t="str">
        <f>IF($B272="","",IF(COUNTIFS(Пул!$E$5:$E$300,$B272,Пул!$L$5:$L$300,"Закрыт")=0,"",ROUND(SUMIFS(Пул!$J$5:$J$300,Пул!$E$5:$E$300,$B272,Пул!$L$5:$L$300,"Закрыт"),8)))</f>
        <v/>
      </c>
      <c r="H272" s="247" t="str">
        <f>IF($B272="","",IF(COUNTIFS(Пул!$E$5:$E$300,$B272,Пул!$L$5:$L$300,"Закрыт")=0,"",ROUND(SUMIFS(Пул!$K$5:$K$300,Пул!$E$5:$E$300,$B272,Пул!$L$5:$L$300,"Закрыт"),8)))</f>
        <v/>
      </c>
      <c r="I272" s="242" t="str">
        <f>IF(AND(ISNUMBER(G272),ISNUMBER(H272)),IF(AND(G272&gt;0,H272&lt;0),"Buy",IF(AND(G272&lt;0,H272&gt;0),"Sell","")),"")</f>
        <v/>
      </c>
      <c r="J272" s="183" t="str">
        <f>IF(I272="Buy",G272,IF(I272="Sell",-G272,""))</f>
        <v/>
      </c>
      <c r="K272" s="183" t="str">
        <f>IF(AND(ISNUMBER(J272),ISNUMBER(L272),N(J272)&lt;&gt;0),ROUND(L272/J272,8),"")</f>
        <v/>
      </c>
      <c r="L272" s="183" t="str">
        <f>IF(I272="Buy",-H272,IF(I272="Sell",H272,""))</f>
        <v/>
      </c>
    </row>
    <row r="273" ht="22" customHeight="1">
      <c r="B273" s="239" t="n"/>
      <c r="C273" s="240" t="str">
        <f>IF($B273="","",IF(COUNTIFS(Пул!$E$5:$E$300,$B273,Пул!$F$5:$F$300,"&lt;&gt;")=0,"",ROUND(SUMIFS(Пул!$F$5:$F$300,Пул!$E$5:$E$300,$B273),8)))</f>
        <v/>
      </c>
      <c r="D273" s="241" t="str">
        <f>IF($B273="","",IF(COUNTIFS(Пул!$E$5:$E$300,$B273,Пул!$G$5:$G$300,"&lt;&gt;")=0,"",ROUND(SUMIFS(Пул!$G$5:$G$300,Пул!$E$5:$E$300,$B273),8)))</f>
        <v/>
      </c>
      <c r="E273" s="240" t="str">
        <f>IF($B273="","",IF(COUNTIFS(Пул!$E$5:$E$300,$B273,Пул!$L$5:$L$300,"Закрыт")=0,"",ROUND(SUMIFS(Пул!$H$5:$H$300,Пул!$E$5:$E$300,$B273,Пул!$L$5:$L$300,"Закрыт"),8)))</f>
        <v/>
      </c>
      <c r="F273" s="241" t="str">
        <f>IF($B273="","",IF(COUNTIFS(Пул!$E$5:$E$300,$B273,Пул!$L$5:$L$300,"Закрыт")=0,"",ROUND(SUMIFS(Пул!$I$5:$I$300,Пул!$E$5:$E$300,$B273,Пул!$L$5:$L$300,"Закрыт"),8)))</f>
        <v/>
      </c>
      <c r="G273" s="240" t="str">
        <f>IF($B273="","",IF(COUNTIFS(Пул!$E$5:$E$300,$B273,Пул!$L$5:$L$300,"Закрыт")=0,"",ROUND(SUMIFS(Пул!$J$5:$J$300,Пул!$E$5:$E$300,$B273,Пул!$L$5:$L$300,"Закрыт"),8)))</f>
        <v/>
      </c>
      <c r="H273" s="241" t="str">
        <f>IF($B273="","",IF(COUNTIFS(Пул!$E$5:$E$300,$B273,Пул!$L$5:$L$300,"Закрыт")=0,"",ROUND(SUMIFS(Пул!$K$5:$K$300,Пул!$E$5:$E$300,$B273,Пул!$L$5:$L$300,"Закрыт"),8)))</f>
        <v/>
      </c>
      <c r="I273" s="236" t="str">
        <f>IF(AND(ISNUMBER(G273),ISNUMBER(H273)),IF(AND(G273&gt;0,H273&lt;0),"Buy",IF(AND(G273&lt;0,H273&gt;0),"Sell","")),"")</f>
        <v/>
      </c>
      <c r="J273" s="177" t="str">
        <f>IF(I273="Buy",G273,IF(I273="Sell",-G273,""))</f>
        <v/>
      </c>
      <c r="K273" s="177" t="str">
        <f>IF(AND(ISNUMBER(J273),ISNUMBER(L273),N(J273)&lt;&gt;0),ROUND(L273/J273,8),"")</f>
        <v/>
      </c>
      <c r="L273" s="177" t="str">
        <f>IF(I273="Buy",-H273,IF(I273="Sell",H273,""))</f>
        <v/>
      </c>
    </row>
    <row r="274" ht="22" customHeight="1">
      <c r="B274" s="245" t="n"/>
      <c r="C274" s="246" t="str">
        <f>IF($B274="","",IF(COUNTIFS(Пул!$E$5:$E$300,$B274,Пул!$F$5:$F$300,"&lt;&gt;")=0,"",ROUND(SUMIFS(Пул!$F$5:$F$300,Пул!$E$5:$E$300,$B274),8)))</f>
        <v/>
      </c>
      <c r="D274" s="247" t="str">
        <f>IF($B274="","",IF(COUNTIFS(Пул!$E$5:$E$300,$B274,Пул!$G$5:$G$300,"&lt;&gt;")=0,"",ROUND(SUMIFS(Пул!$G$5:$G$300,Пул!$E$5:$E$300,$B274),8)))</f>
        <v/>
      </c>
      <c r="E274" s="246" t="str">
        <f>IF($B274="","",IF(COUNTIFS(Пул!$E$5:$E$300,$B274,Пул!$L$5:$L$300,"Закрыт")=0,"",ROUND(SUMIFS(Пул!$H$5:$H$300,Пул!$E$5:$E$300,$B274,Пул!$L$5:$L$300,"Закрыт"),8)))</f>
        <v/>
      </c>
      <c r="F274" s="247" t="str">
        <f>IF($B274="","",IF(COUNTIFS(Пул!$E$5:$E$300,$B274,Пул!$L$5:$L$300,"Закрыт")=0,"",ROUND(SUMIFS(Пул!$I$5:$I$300,Пул!$E$5:$E$300,$B274,Пул!$L$5:$L$300,"Закрыт"),8)))</f>
        <v/>
      </c>
      <c r="G274" s="246" t="str">
        <f>IF($B274="","",IF(COUNTIFS(Пул!$E$5:$E$300,$B274,Пул!$L$5:$L$300,"Закрыт")=0,"",ROUND(SUMIFS(Пул!$J$5:$J$300,Пул!$E$5:$E$300,$B274,Пул!$L$5:$L$300,"Закрыт"),8)))</f>
        <v/>
      </c>
      <c r="H274" s="247" t="str">
        <f>IF($B274="","",IF(COUNTIFS(Пул!$E$5:$E$300,$B274,Пул!$L$5:$L$300,"Закрыт")=0,"",ROUND(SUMIFS(Пул!$K$5:$K$300,Пул!$E$5:$E$300,$B274,Пул!$L$5:$L$300,"Закрыт"),8)))</f>
        <v/>
      </c>
      <c r="I274" s="242" t="str">
        <f>IF(AND(ISNUMBER(G274),ISNUMBER(H274)),IF(AND(G274&gt;0,H274&lt;0),"Buy",IF(AND(G274&lt;0,H274&gt;0),"Sell","")),"")</f>
        <v/>
      </c>
      <c r="J274" s="183" t="str">
        <f>IF(I274="Buy",G274,IF(I274="Sell",-G274,""))</f>
        <v/>
      </c>
      <c r="K274" s="183" t="str">
        <f>IF(AND(ISNUMBER(J274),ISNUMBER(L274),N(J274)&lt;&gt;0),ROUND(L274/J274,8),"")</f>
        <v/>
      </c>
      <c r="L274" s="183" t="str">
        <f>IF(I274="Buy",-H274,IF(I274="Sell",H274,""))</f>
        <v/>
      </c>
    </row>
    <row r="275" ht="22" customHeight="1">
      <c r="B275" s="239" t="n"/>
      <c r="C275" s="240" t="str">
        <f>IF($B275="","",IF(COUNTIFS(Пул!$E$5:$E$300,$B275,Пул!$F$5:$F$300,"&lt;&gt;")=0,"",ROUND(SUMIFS(Пул!$F$5:$F$300,Пул!$E$5:$E$300,$B275),8)))</f>
        <v/>
      </c>
      <c r="D275" s="241" t="str">
        <f>IF($B275="","",IF(COUNTIFS(Пул!$E$5:$E$300,$B275,Пул!$G$5:$G$300,"&lt;&gt;")=0,"",ROUND(SUMIFS(Пул!$G$5:$G$300,Пул!$E$5:$E$300,$B275),8)))</f>
        <v/>
      </c>
      <c r="E275" s="240" t="str">
        <f>IF($B275="","",IF(COUNTIFS(Пул!$E$5:$E$300,$B275,Пул!$L$5:$L$300,"Закрыт")=0,"",ROUND(SUMIFS(Пул!$H$5:$H$300,Пул!$E$5:$E$300,$B275,Пул!$L$5:$L$300,"Закрыт"),8)))</f>
        <v/>
      </c>
      <c r="F275" s="241" t="str">
        <f>IF($B275="","",IF(COUNTIFS(Пул!$E$5:$E$300,$B275,Пул!$L$5:$L$300,"Закрыт")=0,"",ROUND(SUMIFS(Пул!$I$5:$I$300,Пул!$E$5:$E$300,$B275,Пул!$L$5:$L$300,"Закрыт"),8)))</f>
        <v/>
      </c>
      <c r="G275" s="240" t="str">
        <f>IF($B275="","",IF(COUNTIFS(Пул!$E$5:$E$300,$B275,Пул!$L$5:$L$300,"Закрыт")=0,"",ROUND(SUMIFS(Пул!$J$5:$J$300,Пул!$E$5:$E$300,$B275,Пул!$L$5:$L$300,"Закрыт"),8)))</f>
        <v/>
      </c>
      <c r="H275" s="241" t="str">
        <f>IF($B275="","",IF(COUNTIFS(Пул!$E$5:$E$300,$B275,Пул!$L$5:$L$300,"Закрыт")=0,"",ROUND(SUMIFS(Пул!$K$5:$K$300,Пул!$E$5:$E$300,$B275,Пул!$L$5:$L$300,"Закрыт"),8)))</f>
        <v/>
      </c>
      <c r="I275" s="236" t="str">
        <f>IF(AND(ISNUMBER(G275),ISNUMBER(H275)),IF(AND(G275&gt;0,H275&lt;0),"Buy",IF(AND(G275&lt;0,H275&gt;0),"Sell","")),"")</f>
        <v/>
      </c>
      <c r="J275" s="177" t="str">
        <f>IF(I275="Buy",G275,IF(I275="Sell",-G275,""))</f>
        <v/>
      </c>
      <c r="K275" s="177" t="str">
        <f>IF(AND(ISNUMBER(J275),ISNUMBER(L275),N(J275)&lt;&gt;0),ROUND(L275/J275,8),"")</f>
        <v/>
      </c>
      <c r="L275" s="177" t="str">
        <f>IF(I275="Buy",-H275,IF(I275="Sell",H275,""))</f>
        <v/>
      </c>
    </row>
    <row r="276" ht="22" customHeight="1">
      <c r="B276" s="245" t="n"/>
      <c r="C276" s="246" t="str">
        <f>IF($B276="","",IF(COUNTIFS(Пул!$E$5:$E$300,$B276,Пул!$F$5:$F$300,"&lt;&gt;")=0,"",ROUND(SUMIFS(Пул!$F$5:$F$300,Пул!$E$5:$E$300,$B276),8)))</f>
        <v/>
      </c>
      <c r="D276" s="247" t="str">
        <f>IF($B276="","",IF(COUNTIFS(Пул!$E$5:$E$300,$B276,Пул!$G$5:$G$300,"&lt;&gt;")=0,"",ROUND(SUMIFS(Пул!$G$5:$G$300,Пул!$E$5:$E$300,$B276),8)))</f>
        <v/>
      </c>
      <c r="E276" s="246" t="str">
        <f>IF($B276="","",IF(COUNTIFS(Пул!$E$5:$E$300,$B276,Пул!$L$5:$L$300,"Закрыт")=0,"",ROUND(SUMIFS(Пул!$H$5:$H$300,Пул!$E$5:$E$300,$B276,Пул!$L$5:$L$300,"Закрыт"),8)))</f>
        <v/>
      </c>
      <c r="F276" s="247" t="str">
        <f>IF($B276="","",IF(COUNTIFS(Пул!$E$5:$E$300,$B276,Пул!$L$5:$L$300,"Закрыт")=0,"",ROUND(SUMIFS(Пул!$I$5:$I$300,Пул!$E$5:$E$300,$B276,Пул!$L$5:$L$300,"Закрыт"),8)))</f>
        <v/>
      </c>
      <c r="G276" s="246" t="str">
        <f>IF($B276="","",IF(COUNTIFS(Пул!$E$5:$E$300,$B276,Пул!$L$5:$L$300,"Закрыт")=0,"",ROUND(SUMIFS(Пул!$J$5:$J$300,Пул!$E$5:$E$300,$B276,Пул!$L$5:$L$300,"Закрыт"),8)))</f>
        <v/>
      </c>
      <c r="H276" s="247" t="str">
        <f>IF($B276="","",IF(COUNTIFS(Пул!$E$5:$E$300,$B276,Пул!$L$5:$L$300,"Закрыт")=0,"",ROUND(SUMIFS(Пул!$K$5:$K$300,Пул!$E$5:$E$300,$B276,Пул!$L$5:$L$300,"Закрыт"),8)))</f>
        <v/>
      </c>
      <c r="I276" s="242" t="str">
        <f>IF(AND(ISNUMBER(G276),ISNUMBER(H276)),IF(AND(G276&gt;0,H276&lt;0),"Buy",IF(AND(G276&lt;0,H276&gt;0),"Sell","")),"")</f>
        <v/>
      </c>
      <c r="J276" s="183" t="str">
        <f>IF(I276="Buy",G276,IF(I276="Sell",-G276,""))</f>
        <v/>
      </c>
      <c r="K276" s="183" t="str">
        <f>IF(AND(ISNUMBER(J276),ISNUMBER(L276),N(J276)&lt;&gt;0),ROUND(L276/J276,8),"")</f>
        <v/>
      </c>
      <c r="L276" s="183" t="str">
        <f>IF(I276="Buy",-H276,IF(I276="Sell",H276,""))</f>
        <v/>
      </c>
    </row>
    <row r="277" ht="22" customHeight="1">
      <c r="B277" s="239" t="n"/>
      <c r="C277" s="240" t="str">
        <f>IF($B277="","",IF(COUNTIFS(Пул!$E$5:$E$300,$B277,Пул!$F$5:$F$300,"&lt;&gt;")=0,"",ROUND(SUMIFS(Пул!$F$5:$F$300,Пул!$E$5:$E$300,$B277),8)))</f>
        <v/>
      </c>
      <c r="D277" s="241" t="str">
        <f>IF($B277="","",IF(COUNTIFS(Пул!$E$5:$E$300,$B277,Пул!$G$5:$G$300,"&lt;&gt;")=0,"",ROUND(SUMIFS(Пул!$G$5:$G$300,Пул!$E$5:$E$300,$B277),8)))</f>
        <v/>
      </c>
      <c r="E277" s="240" t="str">
        <f>IF($B277="","",IF(COUNTIFS(Пул!$E$5:$E$300,$B277,Пул!$L$5:$L$300,"Закрыт")=0,"",ROUND(SUMIFS(Пул!$H$5:$H$300,Пул!$E$5:$E$300,$B277,Пул!$L$5:$L$300,"Закрыт"),8)))</f>
        <v/>
      </c>
      <c r="F277" s="241" t="str">
        <f>IF($B277="","",IF(COUNTIFS(Пул!$E$5:$E$300,$B277,Пул!$L$5:$L$300,"Закрыт")=0,"",ROUND(SUMIFS(Пул!$I$5:$I$300,Пул!$E$5:$E$300,$B277,Пул!$L$5:$L$300,"Закрыт"),8)))</f>
        <v/>
      </c>
      <c r="G277" s="240" t="str">
        <f>IF($B277="","",IF(COUNTIFS(Пул!$E$5:$E$300,$B277,Пул!$L$5:$L$300,"Закрыт")=0,"",ROUND(SUMIFS(Пул!$J$5:$J$300,Пул!$E$5:$E$300,$B277,Пул!$L$5:$L$300,"Закрыт"),8)))</f>
        <v/>
      </c>
      <c r="H277" s="241" t="str">
        <f>IF($B277="","",IF(COUNTIFS(Пул!$E$5:$E$300,$B277,Пул!$L$5:$L$300,"Закрыт")=0,"",ROUND(SUMIFS(Пул!$K$5:$K$300,Пул!$E$5:$E$300,$B277,Пул!$L$5:$L$300,"Закрыт"),8)))</f>
        <v/>
      </c>
      <c r="I277" s="236" t="str">
        <f>IF(AND(ISNUMBER(G277),ISNUMBER(H277)),IF(AND(G277&gt;0,H277&lt;0),"Buy",IF(AND(G277&lt;0,H277&gt;0),"Sell","")),"")</f>
        <v/>
      </c>
      <c r="J277" s="177" t="str">
        <f>IF(I277="Buy",G277,IF(I277="Sell",-G277,""))</f>
        <v/>
      </c>
      <c r="K277" s="177" t="str">
        <f>IF(AND(ISNUMBER(J277),ISNUMBER(L277),N(J277)&lt;&gt;0),ROUND(L277/J277,8),"")</f>
        <v/>
      </c>
      <c r="L277" s="177" t="str">
        <f>IF(I277="Buy",-H277,IF(I277="Sell",H277,""))</f>
        <v/>
      </c>
    </row>
    <row r="278" ht="22" customHeight="1">
      <c r="B278" s="245" t="n"/>
      <c r="C278" s="246" t="str">
        <f>IF($B278="","",IF(COUNTIFS(Пул!$E$5:$E$300,$B278,Пул!$F$5:$F$300,"&lt;&gt;")=0,"",ROUND(SUMIFS(Пул!$F$5:$F$300,Пул!$E$5:$E$300,$B278),8)))</f>
        <v/>
      </c>
      <c r="D278" s="247" t="str">
        <f>IF($B278="","",IF(COUNTIFS(Пул!$E$5:$E$300,$B278,Пул!$G$5:$G$300,"&lt;&gt;")=0,"",ROUND(SUMIFS(Пул!$G$5:$G$300,Пул!$E$5:$E$300,$B278),8)))</f>
        <v/>
      </c>
      <c r="E278" s="246" t="str">
        <f>IF($B278="","",IF(COUNTIFS(Пул!$E$5:$E$300,$B278,Пул!$L$5:$L$300,"Закрыт")=0,"",ROUND(SUMIFS(Пул!$H$5:$H$300,Пул!$E$5:$E$300,$B278,Пул!$L$5:$L$300,"Закрыт"),8)))</f>
        <v/>
      </c>
      <c r="F278" s="247" t="str">
        <f>IF($B278="","",IF(COUNTIFS(Пул!$E$5:$E$300,$B278,Пул!$L$5:$L$300,"Закрыт")=0,"",ROUND(SUMIFS(Пул!$I$5:$I$300,Пул!$E$5:$E$300,$B278,Пул!$L$5:$L$300,"Закрыт"),8)))</f>
        <v/>
      </c>
      <c r="G278" s="246" t="str">
        <f>IF($B278="","",IF(COUNTIFS(Пул!$E$5:$E$300,$B278,Пул!$L$5:$L$300,"Закрыт")=0,"",ROUND(SUMIFS(Пул!$J$5:$J$300,Пул!$E$5:$E$300,$B278,Пул!$L$5:$L$300,"Закрыт"),8)))</f>
        <v/>
      </c>
      <c r="H278" s="247" t="str">
        <f>IF($B278="","",IF(COUNTIFS(Пул!$E$5:$E$300,$B278,Пул!$L$5:$L$300,"Закрыт")=0,"",ROUND(SUMIFS(Пул!$K$5:$K$300,Пул!$E$5:$E$300,$B278,Пул!$L$5:$L$300,"Закрыт"),8)))</f>
        <v/>
      </c>
      <c r="I278" s="242" t="str">
        <f>IF(AND(ISNUMBER(G278),ISNUMBER(H278)),IF(AND(G278&gt;0,H278&lt;0),"Buy",IF(AND(G278&lt;0,H278&gt;0),"Sell","")),"")</f>
        <v/>
      </c>
      <c r="J278" s="183" t="str">
        <f>IF(I278="Buy",G278,IF(I278="Sell",-G278,""))</f>
        <v/>
      </c>
      <c r="K278" s="183" t="str">
        <f>IF(AND(ISNUMBER(J278),ISNUMBER(L278),N(J278)&lt;&gt;0),ROUND(L278/J278,8),"")</f>
        <v/>
      </c>
      <c r="L278" s="183" t="str">
        <f>IF(I278="Buy",-H278,IF(I278="Sell",H278,""))</f>
        <v/>
      </c>
    </row>
    <row r="279" ht="22" customHeight="1">
      <c r="B279" s="239" t="n"/>
      <c r="C279" s="240" t="str">
        <f>IF($B279="","",IF(COUNTIFS(Пул!$E$5:$E$300,$B279,Пул!$F$5:$F$300,"&lt;&gt;")=0,"",ROUND(SUMIFS(Пул!$F$5:$F$300,Пул!$E$5:$E$300,$B279),8)))</f>
        <v/>
      </c>
      <c r="D279" s="241" t="str">
        <f>IF($B279="","",IF(COUNTIFS(Пул!$E$5:$E$300,$B279,Пул!$G$5:$G$300,"&lt;&gt;")=0,"",ROUND(SUMIFS(Пул!$G$5:$G$300,Пул!$E$5:$E$300,$B279),8)))</f>
        <v/>
      </c>
      <c r="E279" s="240" t="str">
        <f>IF($B279="","",IF(COUNTIFS(Пул!$E$5:$E$300,$B279,Пул!$L$5:$L$300,"Закрыт")=0,"",ROUND(SUMIFS(Пул!$H$5:$H$300,Пул!$E$5:$E$300,$B279,Пул!$L$5:$L$300,"Закрыт"),8)))</f>
        <v/>
      </c>
      <c r="F279" s="241" t="str">
        <f>IF($B279="","",IF(COUNTIFS(Пул!$E$5:$E$300,$B279,Пул!$L$5:$L$300,"Закрыт")=0,"",ROUND(SUMIFS(Пул!$I$5:$I$300,Пул!$E$5:$E$300,$B279,Пул!$L$5:$L$300,"Закрыт"),8)))</f>
        <v/>
      </c>
      <c r="G279" s="240" t="str">
        <f>IF($B279="","",IF(COUNTIFS(Пул!$E$5:$E$300,$B279,Пул!$L$5:$L$300,"Закрыт")=0,"",ROUND(SUMIFS(Пул!$J$5:$J$300,Пул!$E$5:$E$300,$B279,Пул!$L$5:$L$300,"Закрыт"),8)))</f>
        <v/>
      </c>
      <c r="H279" s="241" t="str">
        <f>IF($B279="","",IF(COUNTIFS(Пул!$E$5:$E$300,$B279,Пул!$L$5:$L$300,"Закрыт")=0,"",ROUND(SUMIFS(Пул!$K$5:$K$300,Пул!$E$5:$E$300,$B279,Пул!$L$5:$L$300,"Закрыт"),8)))</f>
        <v/>
      </c>
      <c r="I279" s="236" t="str">
        <f>IF(AND(ISNUMBER(G279),ISNUMBER(H279)),IF(AND(G279&gt;0,H279&lt;0),"Buy",IF(AND(G279&lt;0,H279&gt;0),"Sell","")),"")</f>
        <v/>
      </c>
      <c r="J279" s="177" t="str">
        <f>IF(I279="Buy",G279,IF(I279="Sell",-G279,""))</f>
        <v/>
      </c>
      <c r="K279" s="177" t="str">
        <f>IF(AND(ISNUMBER(J279),ISNUMBER(L279),N(J279)&lt;&gt;0),ROUND(L279/J279,8),"")</f>
        <v/>
      </c>
      <c r="L279" s="177" t="str">
        <f>IF(I279="Buy",-H279,IF(I279="Sell",H279,""))</f>
        <v/>
      </c>
    </row>
    <row r="280" ht="22" customHeight="1">
      <c r="B280" s="245" t="n"/>
      <c r="C280" s="246" t="str">
        <f>IF($B280="","",IF(COUNTIFS(Пул!$E$5:$E$300,$B280,Пул!$F$5:$F$300,"&lt;&gt;")=0,"",ROUND(SUMIFS(Пул!$F$5:$F$300,Пул!$E$5:$E$300,$B280),8)))</f>
        <v/>
      </c>
      <c r="D280" s="247" t="str">
        <f>IF($B280="","",IF(COUNTIFS(Пул!$E$5:$E$300,$B280,Пул!$G$5:$G$300,"&lt;&gt;")=0,"",ROUND(SUMIFS(Пул!$G$5:$G$300,Пул!$E$5:$E$300,$B280),8)))</f>
        <v/>
      </c>
      <c r="E280" s="246" t="str">
        <f>IF($B280="","",IF(COUNTIFS(Пул!$E$5:$E$300,$B280,Пул!$L$5:$L$300,"Закрыт")=0,"",ROUND(SUMIFS(Пул!$H$5:$H$300,Пул!$E$5:$E$300,$B280,Пул!$L$5:$L$300,"Закрыт"),8)))</f>
        <v/>
      </c>
      <c r="F280" s="247" t="str">
        <f>IF($B280="","",IF(COUNTIFS(Пул!$E$5:$E$300,$B280,Пул!$L$5:$L$300,"Закрыт")=0,"",ROUND(SUMIFS(Пул!$I$5:$I$300,Пул!$E$5:$E$300,$B280,Пул!$L$5:$L$300,"Закрыт"),8)))</f>
        <v/>
      </c>
      <c r="G280" s="246" t="str">
        <f>IF($B280="","",IF(COUNTIFS(Пул!$E$5:$E$300,$B280,Пул!$L$5:$L$300,"Закрыт")=0,"",ROUND(SUMIFS(Пул!$J$5:$J$300,Пул!$E$5:$E$300,$B280,Пул!$L$5:$L$300,"Закрыт"),8)))</f>
        <v/>
      </c>
      <c r="H280" s="247" t="str">
        <f>IF($B280="","",IF(COUNTIFS(Пул!$E$5:$E$300,$B280,Пул!$L$5:$L$300,"Закрыт")=0,"",ROUND(SUMIFS(Пул!$K$5:$K$300,Пул!$E$5:$E$300,$B280,Пул!$L$5:$L$300,"Закрыт"),8)))</f>
        <v/>
      </c>
      <c r="I280" s="242" t="str">
        <f>IF(AND(ISNUMBER(G280),ISNUMBER(H280)),IF(AND(G280&gt;0,H280&lt;0),"Buy",IF(AND(G280&lt;0,H280&gt;0),"Sell","")),"")</f>
        <v/>
      </c>
      <c r="J280" s="183" t="str">
        <f>IF(I280="Buy",G280,IF(I280="Sell",-G280,""))</f>
        <v/>
      </c>
      <c r="K280" s="183" t="str">
        <f>IF(AND(ISNUMBER(J280),ISNUMBER(L280),N(J280)&lt;&gt;0),ROUND(L280/J280,8),"")</f>
        <v/>
      </c>
      <c r="L280" s="183" t="str">
        <f>IF(I280="Buy",-H280,IF(I280="Sell",H280,""))</f>
        <v/>
      </c>
    </row>
    <row r="281" ht="22" customHeight="1">
      <c r="B281" s="239" t="n"/>
      <c r="C281" s="240" t="str">
        <f>IF($B281="","",IF(COUNTIFS(Пул!$E$5:$E$300,$B281,Пул!$F$5:$F$300,"&lt;&gt;")=0,"",ROUND(SUMIFS(Пул!$F$5:$F$300,Пул!$E$5:$E$300,$B281),8)))</f>
        <v/>
      </c>
      <c r="D281" s="241" t="str">
        <f>IF($B281="","",IF(COUNTIFS(Пул!$E$5:$E$300,$B281,Пул!$G$5:$G$300,"&lt;&gt;")=0,"",ROUND(SUMIFS(Пул!$G$5:$G$300,Пул!$E$5:$E$300,$B281),8)))</f>
        <v/>
      </c>
      <c r="E281" s="240" t="str">
        <f>IF($B281="","",IF(COUNTIFS(Пул!$E$5:$E$300,$B281,Пул!$L$5:$L$300,"Закрыт")=0,"",ROUND(SUMIFS(Пул!$H$5:$H$300,Пул!$E$5:$E$300,$B281,Пул!$L$5:$L$300,"Закрыт"),8)))</f>
        <v/>
      </c>
      <c r="F281" s="241" t="str">
        <f>IF($B281="","",IF(COUNTIFS(Пул!$E$5:$E$300,$B281,Пул!$L$5:$L$300,"Закрыт")=0,"",ROUND(SUMIFS(Пул!$I$5:$I$300,Пул!$E$5:$E$300,$B281,Пул!$L$5:$L$300,"Закрыт"),8)))</f>
        <v/>
      </c>
      <c r="G281" s="240" t="str">
        <f>IF($B281="","",IF(COUNTIFS(Пул!$E$5:$E$300,$B281,Пул!$L$5:$L$300,"Закрыт")=0,"",ROUND(SUMIFS(Пул!$J$5:$J$300,Пул!$E$5:$E$300,$B281,Пул!$L$5:$L$300,"Закрыт"),8)))</f>
        <v/>
      </c>
      <c r="H281" s="241" t="str">
        <f>IF($B281="","",IF(COUNTIFS(Пул!$E$5:$E$300,$B281,Пул!$L$5:$L$300,"Закрыт")=0,"",ROUND(SUMIFS(Пул!$K$5:$K$300,Пул!$E$5:$E$300,$B281,Пул!$L$5:$L$300,"Закрыт"),8)))</f>
        <v/>
      </c>
      <c r="I281" s="236" t="str">
        <f>IF(AND(ISNUMBER(G281),ISNUMBER(H281)),IF(AND(G281&gt;0,H281&lt;0),"Buy",IF(AND(G281&lt;0,H281&gt;0),"Sell","")),"")</f>
        <v/>
      </c>
      <c r="J281" s="177" t="str">
        <f>IF(I281="Buy",G281,IF(I281="Sell",-G281,""))</f>
        <v/>
      </c>
      <c r="K281" s="177" t="str">
        <f>IF(AND(ISNUMBER(J281),ISNUMBER(L281),N(J281)&lt;&gt;0),ROUND(L281/J281,8),"")</f>
        <v/>
      </c>
      <c r="L281" s="177" t="str">
        <f>IF(I281="Buy",-H281,IF(I281="Sell",H281,""))</f>
        <v/>
      </c>
    </row>
    <row r="282" ht="22" customHeight="1">
      <c r="B282" s="245" t="n"/>
      <c r="C282" s="246" t="str">
        <f>IF($B282="","",IF(COUNTIFS(Пул!$E$5:$E$300,$B282,Пул!$F$5:$F$300,"&lt;&gt;")=0,"",ROUND(SUMIFS(Пул!$F$5:$F$300,Пул!$E$5:$E$300,$B282),8)))</f>
        <v/>
      </c>
      <c r="D282" s="247" t="str">
        <f>IF($B282="","",IF(COUNTIFS(Пул!$E$5:$E$300,$B282,Пул!$G$5:$G$300,"&lt;&gt;")=0,"",ROUND(SUMIFS(Пул!$G$5:$G$300,Пул!$E$5:$E$300,$B282),8)))</f>
        <v/>
      </c>
      <c r="E282" s="246" t="str">
        <f>IF($B282="","",IF(COUNTIFS(Пул!$E$5:$E$300,$B282,Пул!$L$5:$L$300,"Закрыт")=0,"",ROUND(SUMIFS(Пул!$H$5:$H$300,Пул!$E$5:$E$300,$B282,Пул!$L$5:$L$300,"Закрыт"),8)))</f>
        <v/>
      </c>
      <c r="F282" s="247" t="str">
        <f>IF($B282="","",IF(COUNTIFS(Пул!$E$5:$E$300,$B282,Пул!$L$5:$L$300,"Закрыт")=0,"",ROUND(SUMIFS(Пул!$I$5:$I$300,Пул!$E$5:$E$300,$B282,Пул!$L$5:$L$300,"Закрыт"),8)))</f>
        <v/>
      </c>
      <c r="G282" s="246" t="str">
        <f>IF($B282="","",IF(COUNTIFS(Пул!$E$5:$E$300,$B282,Пул!$L$5:$L$300,"Закрыт")=0,"",ROUND(SUMIFS(Пул!$J$5:$J$300,Пул!$E$5:$E$300,$B282,Пул!$L$5:$L$300,"Закрыт"),8)))</f>
        <v/>
      </c>
      <c r="H282" s="247" t="str">
        <f>IF($B282="","",IF(COUNTIFS(Пул!$E$5:$E$300,$B282,Пул!$L$5:$L$300,"Закрыт")=0,"",ROUND(SUMIFS(Пул!$K$5:$K$300,Пул!$E$5:$E$300,$B282,Пул!$L$5:$L$300,"Закрыт"),8)))</f>
        <v/>
      </c>
      <c r="I282" s="242" t="str">
        <f>IF(AND(ISNUMBER(G282),ISNUMBER(H282)),IF(AND(G282&gt;0,H282&lt;0),"Buy",IF(AND(G282&lt;0,H282&gt;0),"Sell","")),"")</f>
        <v/>
      </c>
      <c r="J282" s="183" t="str">
        <f>IF(I282="Buy",G282,IF(I282="Sell",-G282,""))</f>
        <v/>
      </c>
      <c r="K282" s="183" t="str">
        <f>IF(AND(ISNUMBER(J282),ISNUMBER(L282),N(J282)&lt;&gt;0),ROUND(L282/J282,8),"")</f>
        <v/>
      </c>
      <c r="L282" s="183" t="str">
        <f>IF(I282="Buy",-H282,IF(I282="Sell",H282,""))</f>
        <v/>
      </c>
    </row>
    <row r="283" ht="22" customHeight="1">
      <c r="B283" s="239" t="n"/>
      <c r="C283" s="240" t="str">
        <f>IF($B283="","",IF(COUNTIFS(Пул!$E$5:$E$300,$B283,Пул!$F$5:$F$300,"&lt;&gt;")=0,"",ROUND(SUMIFS(Пул!$F$5:$F$300,Пул!$E$5:$E$300,$B283),8)))</f>
        <v/>
      </c>
      <c r="D283" s="241" t="str">
        <f>IF($B283="","",IF(COUNTIFS(Пул!$E$5:$E$300,$B283,Пул!$G$5:$G$300,"&lt;&gt;")=0,"",ROUND(SUMIFS(Пул!$G$5:$G$300,Пул!$E$5:$E$300,$B283),8)))</f>
        <v/>
      </c>
      <c r="E283" s="240" t="str">
        <f>IF($B283="","",IF(COUNTIFS(Пул!$E$5:$E$300,$B283,Пул!$L$5:$L$300,"Закрыт")=0,"",ROUND(SUMIFS(Пул!$H$5:$H$300,Пул!$E$5:$E$300,$B283,Пул!$L$5:$L$300,"Закрыт"),8)))</f>
        <v/>
      </c>
      <c r="F283" s="241" t="str">
        <f>IF($B283="","",IF(COUNTIFS(Пул!$E$5:$E$300,$B283,Пул!$L$5:$L$300,"Закрыт")=0,"",ROUND(SUMIFS(Пул!$I$5:$I$300,Пул!$E$5:$E$300,$B283,Пул!$L$5:$L$300,"Закрыт"),8)))</f>
        <v/>
      </c>
      <c r="G283" s="240" t="str">
        <f>IF($B283="","",IF(COUNTIFS(Пул!$E$5:$E$300,$B283,Пул!$L$5:$L$300,"Закрыт")=0,"",ROUND(SUMIFS(Пул!$J$5:$J$300,Пул!$E$5:$E$300,$B283,Пул!$L$5:$L$300,"Закрыт"),8)))</f>
        <v/>
      </c>
      <c r="H283" s="241" t="str">
        <f>IF($B283="","",IF(COUNTIFS(Пул!$E$5:$E$300,$B283,Пул!$L$5:$L$300,"Закрыт")=0,"",ROUND(SUMIFS(Пул!$K$5:$K$300,Пул!$E$5:$E$300,$B283,Пул!$L$5:$L$300,"Закрыт"),8)))</f>
        <v/>
      </c>
      <c r="I283" s="236" t="str">
        <f>IF(AND(ISNUMBER(G283),ISNUMBER(H283)),IF(AND(G283&gt;0,H283&lt;0),"Buy",IF(AND(G283&lt;0,H283&gt;0),"Sell","")),"")</f>
        <v/>
      </c>
      <c r="J283" s="177" t="str">
        <f>IF(I283="Buy",G283,IF(I283="Sell",-G283,""))</f>
        <v/>
      </c>
      <c r="K283" s="177" t="str">
        <f>IF(AND(ISNUMBER(J283),ISNUMBER(L283),N(J283)&lt;&gt;0),ROUND(L283/J283,8),"")</f>
        <v/>
      </c>
      <c r="L283" s="177" t="str">
        <f>IF(I283="Buy",-H283,IF(I283="Sell",H283,""))</f>
        <v/>
      </c>
    </row>
    <row r="284" ht="22" customHeight="1">
      <c r="B284" s="245" t="n"/>
      <c r="C284" s="246" t="str">
        <f>IF($B284="","",IF(COUNTIFS(Пул!$E$5:$E$300,$B284,Пул!$F$5:$F$300,"&lt;&gt;")=0,"",ROUND(SUMIFS(Пул!$F$5:$F$300,Пул!$E$5:$E$300,$B284),8)))</f>
        <v/>
      </c>
      <c r="D284" s="247" t="str">
        <f>IF($B284="","",IF(COUNTIFS(Пул!$E$5:$E$300,$B284,Пул!$G$5:$G$300,"&lt;&gt;")=0,"",ROUND(SUMIFS(Пул!$G$5:$G$300,Пул!$E$5:$E$300,$B284),8)))</f>
        <v/>
      </c>
      <c r="E284" s="246" t="str">
        <f>IF($B284="","",IF(COUNTIFS(Пул!$E$5:$E$300,$B284,Пул!$L$5:$L$300,"Закрыт")=0,"",ROUND(SUMIFS(Пул!$H$5:$H$300,Пул!$E$5:$E$300,$B284,Пул!$L$5:$L$300,"Закрыт"),8)))</f>
        <v/>
      </c>
      <c r="F284" s="247" t="str">
        <f>IF($B284="","",IF(COUNTIFS(Пул!$E$5:$E$300,$B284,Пул!$L$5:$L$300,"Закрыт")=0,"",ROUND(SUMIFS(Пул!$I$5:$I$300,Пул!$E$5:$E$300,$B284,Пул!$L$5:$L$300,"Закрыт"),8)))</f>
        <v/>
      </c>
      <c r="G284" s="246" t="str">
        <f>IF($B284="","",IF(COUNTIFS(Пул!$E$5:$E$300,$B284,Пул!$L$5:$L$300,"Закрыт")=0,"",ROUND(SUMIFS(Пул!$J$5:$J$300,Пул!$E$5:$E$300,$B284,Пул!$L$5:$L$300,"Закрыт"),8)))</f>
        <v/>
      </c>
      <c r="H284" s="247" t="str">
        <f>IF($B284="","",IF(COUNTIFS(Пул!$E$5:$E$300,$B284,Пул!$L$5:$L$300,"Закрыт")=0,"",ROUND(SUMIFS(Пул!$K$5:$K$300,Пул!$E$5:$E$300,$B284,Пул!$L$5:$L$300,"Закрыт"),8)))</f>
        <v/>
      </c>
      <c r="I284" s="242" t="str">
        <f>IF(AND(ISNUMBER(G284),ISNUMBER(H284)),IF(AND(G284&gt;0,H284&lt;0),"Buy",IF(AND(G284&lt;0,H284&gt;0),"Sell","")),"")</f>
        <v/>
      </c>
      <c r="J284" s="183" t="str">
        <f>IF(I284="Buy",G284,IF(I284="Sell",-G284,""))</f>
        <v/>
      </c>
      <c r="K284" s="183" t="str">
        <f>IF(AND(ISNUMBER(J284),ISNUMBER(L284),N(J284)&lt;&gt;0),ROUND(L284/J284,8),"")</f>
        <v/>
      </c>
      <c r="L284" s="183" t="str">
        <f>IF(I284="Buy",-H284,IF(I284="Sell",H284,""))</f>
        <v/>
      </c>
    </row>
    <row r="285" ht="22" customHeight="1">
      <c r="B285" s="239" t="n"/>
      <c r="C285" s="240" t="str">
        <f>IF($B285="","",IF(COUNTIFS(Пул!$E$5:$E$300,$B285,Пул!$F$5:$F$300,"&lt;&gt;")=0,"",ROUND(SUMIFS(Пул!$F$5:$F$300,Пул!$E$5:$E$300,$B285),8)))</f>
        <v/>
      </c>
      <c r="D285" s="241" t="str">
        <f>IF($B285="","",IF(COUNTIFS(Пул!$E$5:$E$300,$B285,Пул!$G$5:$G$300,"&lt;&gt;")=0,"",ROUND(SUMIFS(Пул!$G$5:$G$300,Пул!$E$5:$E$300,$B285),8)))</f>
        <v/>
      </c>
      <c r="E285" s="240" t="str">
        <f>IF($B285="","",IF(COUNTIFS(Пул!$E$5:$E$300,$B285,Пул!$L$5:$L$300,"Закрыт")=0,"",ROUND(SUMIFS(Пул!$H$5:$H$300,Пул!$E$5:$E$300,$B285,Пул!$L$5:$L$300,"Закрыт"),8)))</f>
        <v/>
      </c>
      <c r="F285" s="241" t="str">
        <f>IF($B285="","",IF(COUNTIFS(Пул!$E$5:$E$300,$B285,Пул!$L$5:$L$300,"Закрыт")=0,"",ROUND(SUMIFS(Пул!$I$5:$I$300,Пул!$E$5:$E$300,$B285,Пул!$L$5:$L$300,"Закрыт"),8)))</f>
        <v/>
      </c>
      <c r="G285" s="240" t="str">
        <f>IF($B285="","",IF(COUNTIFS(Пул!$E$5:$E$300,$B285,Пул!$L$5:$L$300,"Закрыт")=0,"",ROUND(SUMIFS(Пул!$J$5:$J$300,Пул!$E$5:$E$300,$B285,Пул!$L$5:$L$300,"Закрыт"),8)))</f>
        <v/>
      </c>
      <c r="H285" s="241" t="str">
        <f>IF($B285="","",IF(COUNTIFS(Пул!$E$5:$E$300,$B285,Пул!$L$5:$L$300,"Закрыт")=0,"",ROUND(SUMIFS(Пул!$K$5:$K$300,Пул!$E$5:$E$300,$B285,Пул!$L$5:$L$300,"Закрыт"),8)))</f>
        <v/>
      </c>
      <c r="I285" s="236" t="str">
        <f>IF(AND(ISNUMBER(G285),ISNUMBER(H285)),IF(AND(G285&gt;0,H285&lt;0),"Buy",IF(AND(G285&lt;0,H285&gt;0),"Sell","")),"")</f>
        <v/>
      </c>
      <c r="J285" s="177" t="str">
        <f>IF(I285="Buy",G285,IF(I285="Sell",-G285,""))</f>
        <v/>
      </c>
      <c r="K285" s="177" t="str">
        <f>IF(AND(ISNUMBER(J285),ISNUMBER(L285),N(J285)&lt;&gt;0),ROUND(L285/J285,8),"")</f>
        <v/>
      </c>
      <c r="L285" s="177" t="str">
        <f>IF(I285="Buy",-H285,IF(I285="Sell",H285,""))</f>
        <v/>
      </c>
    </row>
    <row r="286" ht="22" customHeight="1">
      <c r="B286" s="245" t="n"/>
      <c r="C286" s="246" t="str">
        <f>IF($B286="","",IF(COUNTIFS(Пул!$E$5:$E$300,$B286,Пул!$F$5:$F$300,"&lt;&gt;")=0,"",ROUND(SUMIFS(Пул!$F$5:$F$300,Пул!$E$5:$E$300,$B286),8)))</f>
        <v/>
      </c>
      <c r="D286" s="247" t="str">
        <f>IF($B286="","",IF(COUNTIFS(Пул!$E$5:$E$300,$B286,Пул!$G$5:$G$300,"&lt;&gt;")=0,"",ROUND(SUMIFS(Пул!$G$5:$G$300,Пул!$E$5:$E$300,$B286),8)))</f>
        <v/>
      </c>
      <c r="E286" s="246" t="str">
        <f>IF($B286="","",IF(COUNTIFS(Пул!$E$5:$E$300,$B286,Пул!$L$5:$L$300,"Закрыт")=0,"",ROUND(SUMIFS(Пул!$H$5:$H$300,Пул!$E$5:$E$300,$B286,Пул!$L$5:$L$300,"Закрыт"),8)))</f>
        <v/>
      </c>
      <c r="F286" s="247" t="str">
        <f>IF($B286="","",IF(COUNTIFS(Пул!$E$5:$E$300,$B286,Пул!$L$5:$L$300,"Закрыт")=0,"",ROUND(SUMIFS(Пул!$I$5:$I$300,Пул!$E$5:$E$300,$B286,Пул!$L$5:$L$300,"Закрыт"),8)))</f>
        <v/>
      </c>
      <c r="G286" s="246" t="str">
        <f>IF($B286="","",IF(COUNTIFS(Пул!$E$5:$E$300,$B286,Пул!$L$5:$L$300,"Закрыт")=0,"",ROUND(SUMIFS(Пул!$J$5:$J$300,Пул!$E$5:$E$300,$B286,Пул!$L$5:$L$300,"Закрыт"),8)))</f>
        <v/>
      </c>
      <c r="H286" s="247" t="str">
        <f>IF($B286="","",IF(COUNTIFS(Пул!$E$5:$E$300,$B286,Пул!$L$5:$L$300,"Закрыт")=0,"",ROUND(SUMIFS(Пул!$K$5:$K$300,Пул!$E$5:$E$300,$B286,Пул!$L$5:$L$300,"Закрыт"),8)))</f>
        <v/>
      </c>
      <c r="I286" s="242" t="str">
        <f>IF(AND(ISNUMBER(G286),ISNUMBER(H286)),IF(AND(G286&gt;0,H286&lt;0),"Buy",IF(AND(G286&lt;0,H286&gt;0),"Sell","")),"")</f>
        <v/>
      </c>
      <c r="J286" s="183" t="str">
        <f>IF(I286="Buy",G286,IF(I286="Sell",-G286,""))</f>
        <v/>
      </c>
      <c r="K286" s="183" t="str">
        <f>IF(AND(ISNUMBER(J286),ISNUMBER(L286),N(J286)&lt;&gt;0),ROUND(L286/J286,8),"")</f>
        <v/>
      </c>
      <c r="L286" s="183" t="str">
        <f>IF(I286="Buy",-H286,IF(I286="Sell",H286,""))</f>
        <v/>
      </c>
    </row>
    <row r="287" ht="22" customHeight="1">
      <c r="B287" s="239" t="n"/>
      <c r="C287" s="240" t="str">
        <f>IF($B287="","",IF(COUNTIFS(Пул!$E$5:$E$300,$B287,Пул!$F$5:$F$300,"&lt;&gt;")=0,"",ROUND(SUMIFS(Пул!$F$5:$F$300,Пул!$E$5:$E$300,$B287),8)))</f>
        <v/>
      </c>
      <c r="D287" s="241" t="str">
        <f>IF($B287="","",IF(COUNTIFS(Пул!$E$5:$E$300,$B287,Пул!$G$5:$G$300,"&lt;&gt;")=0,"",ROUND(SUMIFS(Пул!$G$5:$G$300,Пул!$E$5:$E$300,$B287),8)))</f>
        <v/>
      </c>
      <c r="E287" s="240" t="str">
        <f>IF($B287="","",IF(COUNTIFS(Пул!$E$5:$E$300,$B287,Пул!$L$5:$L$300,"Закрыт")=0,"",ROUND(SUMIFS(Пул!$H$5:$H$300,Пул!$E$5:$E$300,$B287,Пул!$L$5:$L$300,"Закрыт"),8)))</f>
        <v/>
      </c>
      <c r="F287" s="241" t="str">
        <f>IF($B287="","",IF(COUNTIFS(Пул!$E$5:$E$300,$B287,Пул!$L$5:$L$300,"Закрыт")=0,"",ROUND(SUMIFS(Пул!$I$5:$I$300,Пул!$E$5:$E$300,$B287,Пул!$L$5:$L$300,"Закрыт"),8)))</f>
        <v/>
      </c>
      <c r="G287" s="240" t="str">
        <f>IF($B287="","",IF(COUNTIFS(Пул!$E$5:$E$300,$B287,Пул!$L$5:$L$300,"Закрыт")=0,"",ROUND(SUMIFS(Пул!$J$5:$J$300,Пул!$E$5:$E$300,$B287,Пул!$L$5:$L$300,"Закрыт"),8)))</f>
        <v/>
      </c>
      <c r="H287" s="241" t="str">
        <f>IF($B287="","",IF(COUNTIFS(Пул!$E$5:$E$300,$B287,Пул!$L$5:$L$300,"Закрыт")=0,"",ROUND(SUMIFS(Пул!$K$5:$K$300,Пул!$E$5:$E$300,$B287,Пул!$L$5:$L$300,"Закрыт"),8)))</f>
        <v/>
      </c>
      <c r="I287" s="236" t="str">
        <f>IF(AND(ISNUMBER(G287),ISNUMBER(H287)),IF(AND(G287&gt;0,H287&lt;0),"Buy",IF(AND(G287&lt;0,H287&gt;0),"Sell","")),"")</f>
        <v/>
      </c>
      <c r="J287" s="177" t="str">
        <f>IF(I287="Buy",G287,IF(I287="Sell",-G287,""))</f>
        <v/>
      </c>
      <c r="K287" s="177" t="str">
        <f>IF(AND(ISNUMBER(J287),ISNUMBER(L287),N(J287)&lt;&gt;0),ROUND(L287/J287,8),"")</f>
        <v/>
      </c>
      <c r="L287" s="177" t="str">
        <f>IF(I287="Buy",-H287,IF(I287="Sell",H287,""))</f>
        <v/>
      </c>
    </row>
    <row r="288" ht="22" customHeight="1">
      <c r="B288" s="245" t="n"/>
      <c r="C288" s="246" t="str">
        <f>IF($B288="","",IF(COUNTIFS(Пул!$E$5:$E$300,$B288,Пул!$F$5:$F$300,"&lt;&gt;")=0,"",ROUND(SUMIFS(Пул!$F$5:$F$300,Пул!$E$5:$E$300,$B288),8)))</f>
        <v/>
      </c>
      <c r="D288" s="247" t="str">
        <f>IF($B288="","",IF(COUNTIFS(Пул!$E$5:$E$300,$B288,Пул!$G$5:$G$300,"&lt;&gt;")=0,"",ROUND(SUMIFS(Пул!$G$5:$G$300,Пул!$E$5:$E$300,$B288),8)))</f>
        <v/>
      </c>
      <c r="E288" s="246" t="str">
        <f>IF($B288="","",IF(COUNTIFS(Пул!$E$5:$E$300,$B288,Пул!$L$5:$L$300,"Закрыт")=0,"",ROUND(SUMIFS(Пул!$H$5:$H$300,Пул!$E$5:$E$300,$B288,Пул!$L$5:$L$300,"Закрыт"),8)))</f>
        <v/>
      </c>
      <c r="F288" s="247" t="str">
        <f>IF($B288="","",IF(COUNTIFS(Пул!$E$5:$E$300,$B288,Пул!$L$5:$L$300,"Закрыт")=0,"",ROUND(SUMIFS(Пул!$I$5:$I$300,Пул!$E$5:$E$300,$B288,Пул!$L$5:$L$300,"Закрыт"),8)))</f>
        <v/>
      </c>
      <c r="G288" s="246" t="str">
        <f>IF($B288="","",IF(COUNTIFS(Пул!$E$5:$E$300,$B288,Пул!$L$5:$L$300,"Закрыт")=0,"",ROUND(SUMIFS(Пул!$J$5:$J$300,Пул!$E$5:$E$300,$B288,Пул!$L$5:$L$300,"Закрыт"),8)))</f>
        <v/>
      </c>
      <c r="H288" s="247" t="str">
        <f>IF($B288="","",IF(COUNTIFS(Пул!$E$5:$E$300,$B288,Пул!$L$5:$L$300,"Закрыт")=0,"",ROUND(SUMIFS(Пул!$K$5:$K$300,Пул!$E$5:$E$300,$B288,Пул!$L$5:$L$300,"Закрыт"),8)))</f>
        <v/>
      </c>
      <c r="I288" s="242" t="str">
        <f>IF(AND(ISNUMBER(G288),ISNUMBER(H288)),IF(AND(G288&gt;0,H288&lt;0),"Buy",IF(AND(G288&lt;0,H288&gt;0),"Sell","")),"")</f>
        <v/>
      </c>
      <c r="J288" s="183" t="str">
        <f>IF(I288="Buy",G288,IF(I288="Sell",-G288,""))</f>
        <v/>
      </c>
      <c r="K288" s="183" t="str">
        <f>IF(AND(ISNUMBER(J288),ISNUMBER(L288),N(J288)&lt;&gt;0),ROUND(L288/J288,8),"")</f>
        <v/>
      </c>
      <c r="L288" s="183" t="str">
        <f>IF(I288="Buy",-H288,IF(I288="Sell",H288,""))</f>
        <v/>
      </c>
    </row>
    <row r="289" ht="22" customHeight="1">
      <c r="B289" s="239" t="n"/>
      <c r="C289" s="240" t="str">
        <f>IF($B289="","",IF(COUNTIFS(Пул!$E$5:$E$300,$B289,Пул!$F$5:$F$300,"&lt;&gt;")=0,"",ROUND(SUMIFS(Пул!$F$5:$F$300,Пул!$E$5:$E$300,$B289),8)))</f>
        <v/>
      </c>
      <c r="D289" s="241" t="str">
        <f>IF($B289="","",IF(COUNTIFS(Пул!$E$5:$E$300,$B289,Пул!$G$5:$G$300,"&lt;&gt;")=0,"",ROUND(SUMIFS(Пул!$G$5:$G$300,Пул!$E$5:$E$300,$B289),8)))</f>
        <v/>
      </c>
      <c r="E289" s="240" t="str">
        <f>IF($B289="","",IF(COUNTIFS(Пул!$E$5:$E$300,$B289,Пул!$L$5:$L$300,"Закрыт")=0,"",ROUND(SUMIFS(Пул!$H$5:$H$300,Пул!$E$5:$E$300,$B289,Пул!$L$5:$L$300,"Закрыт"),8)))</f>
        <v/>
      </c>
      <c r="F289" s="241" t="str">
        <f>IF($B289="","",IF(COUNTIFS(Пул!$E$5:$E$300,$B289,Пул!$L$5:$L$300,"Закрыт")=0,"",ROUND(SUMIFS(Пул!$I$5:$I$300,Пул!$E$5:$E$300,$B289,Пул!$L$5:$L$300,"Закрыт"),8)))</f>
        <v/>
      </c>
      <c r="G289" s="240" t="str">
        <f>IF($B289="","",IF(COUNTIFS(Пул!$E$5:$E$300,$B289,Пул!$L$5:$L$300,"Закрыт")=0,"",ROUND(SUMIFS(Пул!$J$5:$J$300,Пул!$E$5:$E$300,$B289,Пул!$L$5:$L$300,"Закрыт"),8)))</f>
        <v/>
      </c>
      <c r="H289" s="241" t="str">
        <f>IF($B289="","",IF(COUNTIFS(Пул!$E$5:$E$300,$B289,Пул!$L$5:$L$300,"Закрыт")=0,"",ROUND(SUMIFS(Пул!$K$5:$K$300,Пул!$E$5:$E$300,$B289,Пул!$L$5:$L$300,"Закрыт"),8)))</f>
        <v/>
      </c>
      <c r="I289" s="236" t="str">
        <f>IF(AND(ISNUMBER(G289),ISNUMBER(H289)),IF(AND(G289&gt;0,H289&lt;0),"Buy",IF(AND(G289&lt;0,H289&gt;0),"Sell","")),"")</f>
        <v/>
      </c>
      <c r="J289" s="177" t="str">
        <f>IF(I289="Buy",G289,IF(I289="Sell",-G289,""))</f>
        <v/>
      </c>
      <c r="K289" s="177" t="str">
        <f>IF(AND(ISNUMBER(J289),ISNUMBER(L289),N(J289)&lt;&gt;0),ROUND(L289/J289,8),"")</f>
        <v/>
      </c>
      <c r="L289" s="177" t="str">
        <f>IF(I289="Buy",-H289,IF(I289="Sell",H289,""))</f>
        <v/>
      </c>
    </row>
    <row r="290" ht="22" customHeight="1">
      <c r="B290" s="245" t="n"/>
      <c r="C290" s="246" t="str">
        <f>IF($B290="","",IF(COUNTIFS(Пул!$E$5:$E$300,$B290,Пул!$F$5:$F$300,"&lt;&gt;")=0,"",ROUND(SUMIFS(Пул!$F$5:$F$300,Пул!$E$5:$E$300,$B290),8)))</f>
        <v/>
      </c>
      <c r="D290" s="247" t="str">
        <f>IF($B290="","",IF(COUNTIFS(Пул!$E$5:$E$300,$B290,Пул!$G$5:$G$300,"&lt;&gt;")=0,"",ROUND(SUMIFS(Пул!$G$5:$G$300,Пул!$E$5:$E$300,$B290),8)))</f>
        <v/>
      </c>
      <c r="E290" s="246" t="str">
        <f>IF($B290="","",IF(COUNTIFS(Пул!$E$5:$E$300,$B290,Пул!$L$5:$L$300,"Закрыт")=0,"",ROUND(SUMIFS(Пул!$H$5:$H$300,Пул!$E$5:$E$300,$B290,Пул!$L$5:$L$300,"Закрыт"),8)))</f>
        <v/>
      </c>
      <c r="F290" s="247" t="str">
        <f>IF($B290="","",IF(COUNTIFS(Пул!$E$5:$E$300,$B290,Пул!$L$5:$L$300,"Закрыт")=0,"",ROUND(SUMIFS(Пул!$I$5:$I$300,Пул!$E$5:$E$300,$B290,Пул!$L$5:$L$300,"Закрыт"),8)))</f>
        <v/>
      </c>
      <c r="G290" s="246" t="str">
        <f>IF($B290="","",IF(COUNTIFS(Пул!$E$5:$E$300,$B290,Пул!$L$5:$L$300,"Закрыт")=0,"",ROUND(SUMIFS(Пул!$J$5:$J$300,Пул!$E$5:$E$300,$B290,Пул!$L$5:$L$300,"Закрыт"),8)))</f>
        <v/>
      </c>
      <c r="H290" s="247" t="str">
        <f>IF($B290="","",IF(COUNTIFS(Пул!$E$5:$E$300,$B290,Пул!$L$5:$L$300,"Закрыт")=0,"",ROUND(SUMIFS(Пул!$K$5:$K$300,Пул!$E$5:$E$300,$B290,Пул!$L$5:$L$300,"Закрыт"),8)))</f>
        <v/>
      </c>
      <c r="I290" s="242" t="str">
        <f>IF(AND(ISNUMBER(G290),ISNUMBER(H290)),IF(AND(G290&gt;0,H290&lt;0),"Buy",IF(AND(G290&lt;0,H290&gt;0),"Sell","")),"")</f>
        <v/>
      </c>
      <c r="J290" s="183" t="str">
        <f>IF(I290="Buy",G290,IF(I290="Sell",-G290,""))</f>
        <v/>
      </c>
      <c r="K290" s="183" t="str">
        <f>IF(AND(ISNUMBER(J290),ISNUMBER(L290),N(J290)&lt;&gt;0),ROUND(L290/J290,8),"")</f>
        <v/>
      </c>
      <c r="L290" s="183" t="str">
        <f>IF(I290="Buy",-H290,IF(I290="Sell",H290,""))</f>
        <v/>
      </c>
    </row>
    <row r="291" ht="22" customHeight="1">
      <c r="B291" s="239" t="n"/>
      <c r="C291" s="240" t="str">
        <f>IF($B291="","",IF(COUNTIFS(Пул!$E$5:$E$300,$B291,Пул!$F$5:$F$300,"&lt;&gt;")=0,"",ROUND(SUMIFS(Пул!$F$5:$F$300,Пул!$E$5:$E$300,$B291),8)))</f>
        <v/>
      </c>
      <c r="D291" s="241" t="str">
        <f>IF($B291="","",IF(COUNTIFS(Пул!$E$5:$E$300,$B291,Пул!$G$5:$G$300,"&lt;&gt;")=0,"",ROUND(SUMIFS(Пул!$G$5:$G$300,Пул!$E$5:$E$300,$B291),8)))</f>
        <v/>
      </c>
      <c r="E291" s="240" t="str">
        <f>IF($B291="","",IF(COUNTIFS(Пул!$E$5:$E$300,$B291,Пул!$L$5:$L$300,"Закрыт")=0,"",ROUND(SUMIFS(Пул!$H$5:$H$300,Пул!$E$5:$E$300,$B291,Пул!$L$5:$L$300,"Закрыт"),8)))</f>
        <v/>
      </c>
      <c r="F291" s="241" t="str">
        <f>IF($B291="","",IF(COUNTIFS(Пул!$E$5:$E$300,$B291,Пул!$L$5:$L$300,"Закрыт")=0,"",ROUND(SUMIFS(Пул!$I$5:$I$300,Пул!$E$5:$E$300,$B291,Пул!$L$5:$L$300,"Закрыт"),8)))</f>
        <v/>
      </c>
      <c r="G291" s="240" t="str">
        <f>IF($B291="","",IF(COUNTIFS(Пул!$E$5:$E$300,$B291,Пул!$L$5:$L$300,"Закрыт")=0,"",ROUND(SUMIFS(Пул!$J$5:$J$300,Пул!$E$5:$E$300,$B291,Пул!$L$5:$L$300,"Закрыт"),8)))</f>
        <v/>
      </c>
      <c r="H291" s="241" t="str">
        <f>IF($B291="","",IF(COUNTIFS(Пул!$E$5:$E$300,$B291,Пул!$L$5:$L$300,"Закрыт")=0,"",ROUND(SUMIFS(Пул!$K$5:$K$300,Пул!$E$5:$E$300,$B291,Пул!$L$5:$L$300,"Закрыт"),8)))</f>
        <v/>
      </c>
      <c r="I291" s="236" t="str">
        <f>IF(AND(ISNUMBER(G291),ISNUMBER(H291)),IF(AND(G291&gt;0,H291&lt;0),"Buy",IF(AND(G291&lt;0,H291&gt;0),"Sell","")),"")</f>
        <v/>
      </c>
      <c r="J291" s="177" t="str">
        <f>IF(I291="Buy",G291,IF(I291="Sell",-G291,""))</f>
        <v/>
      </c>
      <c r="K291" s="177" t="str">
        <f>IF(AND(ISNUMBER(J291),ISNUMBER(L291),N(J291)&lt;&gt;0),ROUND(L291/J291,8),"")</f>
        <v/>
      </c>
      <c r="L291" s="177" t="str">
        <f>IF(I291="Buy",-H291,IF(I291="Sell",H291,""))</f>
        <v/>
      </c>
    </row>
    <row r="292" ht="22" customHeight="1">
      <c r="B292" s="245" t="n"/>
      <c r="C292" s="246" t="str">
        <f>IF($B292="","",IF(COUNTIFS(Пул!$E$5:$E$300,$B292,Пул!$F$5:$F$300,"&lt;&gt;")=0,"",ROUND(SUMIFS(Пул!$F$5:$F$300,Пул!$E$5:$E$300,$B292),8)))</f>
        <v/>
      </c>
      <c r="D292" s="247" t="str">
        <f>IF($B292="","",IF(COUNTIFS(Пул!$E$5:$E$300,$B292,Пул!$G$5:$G$300,"&lt;&gt;")=0,"",ROUND(SUMIFS(Пул!$G$5:$G$300,Пул!$E$5:$E$300,$B292),8)))</f>
        <v/>
      </c>
      <c r="E292" s="246" t="str">
        <f>IF($B292="","",IF(COUNTIFS(Пул!$E$5:$E$300,$B292,Пул!$L$5:$L$300,"Закрыт")=0,"",ROUND(SUMIFS(Пул!$H$5:$H$300,Пул!$E$5:$E$300,$B292,Пул!$L$5:$L$300,"Закрыт"),8)))</f>
        <v/>
      </c>
      <c r="F292" s="247" t="str">
        <f>IF($B292="","",IF(COUNTIFS(Пул!$E$5:$E$300,$B292,Пул!$L$5:$L$300,"Закрыт")=0,"",ROUND(SUMIFS(Пул!$I$5:$I$300,Пул!$E$5:$E$300,$B292,Пул!$L$5:$L$300,"Закрыт"),8)))</f>
        <v/>
      </c>
      <c r="G292" s="246" t="str">
        <f>IF($B292="","",IF(COUNTIFS(Пул!$E$5:$E$300,$B292,Пул!$L$5:$L$300,"Закрыт")=0,"",ROUND(SUMIFS(Пул!$J$5:$J$300,Пул!$E$5:$E$300,$B292,Пул!$L$5:$L$300,"Закрыт"),8)))</f>
        <v/>
      </c>
      <c r="H292" s="247" t="str">
        <f>IF($B292="","",IF(COUNTIFS(Пул!$E$5:$E$300,$B292,Пул!$L$5:$L$300,"Закрыт")=0,"",ROUND(SUMIFS(Пул!$K$5:$K$300,Пул!$E$5:$E$300,$B292,Пул!$L$5:$L$300,"Закрыт"),8)))</f>
        <v/>
      </c>
      <c r="I292" s="242" t="str">
        <f>IF(AND(ISNUMBER(G292),ISNUMBER(H292)),IF(AND(G292&gt;0,H292&lt;0),"Buy",IF(AND(G292&lt;0,H292&gt;0),"Sell","")),"")</f>
        <v/>
      </c>
      <c r="J292" s="183" t="str">
        <f>IF(I292="Buy",G292,IF(I292="Sell",-G292,""))</f>
        <v/>
      </c>
      <c r="K292" s="183" t="str">
        <f>IF(AND(ISNUMBER(J292),ISNUMBER(L292),N(J292)&lt;&gt;0),ROUND(L292/J292,8),"")</f>
        <v/>
      </c>
      <c r="L292" s="183" t="str">
        <f>IF(I292="Buy",-H292,IF(I292="Sell",H292,""))</f>
        <v/>
      </c>
    </row>
    <row r="293" ht="22" customHeight="1">
      <c r="B293" s="239" t="n"/>
      <c r="C293" s="240" t="str">
        <f>IF($B293="","",IF(COUNTIFS(Пул!$E$5:$E$300,$B293,Пул!$F$5:$F$300,"&lt;&gt;")=0,"",ROUND(SUMIFS(Пул!$F$5:$F$300,Пул!$E$5:$E$300,$B293),8)))</f>
        <v/>
      </c>
      <c r="D293" s="241" t="str">
        <f>IF($B293="","",IF(COUNTIFS(Пул!$E$5:$E$300,$B293,Пул!$G$5:$G$300,"&lt;&gt;")=0,"",ROUND(SUMIFS(Пул!$G$5:$G$300,Пул!$E$5:$E$300,$B293),8)))</f>
        <v/>
      </c>
      <c r="E293" s="240" t="str">
        <f>IF($B293="","",IF(COUNTIFS(Пул!$E$5:$E$300,$B293,Пул!$L$5:$L$300,"Закрыт")=0,"",ROUND(SUMIFS(Пул!$H$5:$H$300,Пул!$E$5:$E$300,$B293,Пул!$L$5:$L$300,"Закрыт"),8)))</f>
        <v/>
      </c>
      <c r="F293" s="241" t="str">
        <f>IF($B293="","",IF(COUNTIFS(Пул!$E$5:$E$300,$B293,Пул!$L$5:$L$300,"Закрыт")=0,"",ROUND(SUMIFS(Пул!$I$5:$I$300,Пул!$E$5:$E$300,$B293,Пул!$L$5:$L$300,"Закрыт"),8)))</f>
        <v/>
      </c>
      <c r="G293" s="240" t="str">
        <f>IF($B293="","",IF(COUNTIFS(Пул!$E$5:$E$300,$B293,Пул!$L$5:$L$300,"Закрыт")=0,"",ROUND(SUMIFS(Пул!$J$5:$J$300,Пул!$E$5:$E$300,$B293,Пул!$L$5:$L$300,"Закрыт"),8)))</f>
        <v/>
      </c>
      <c r="H293" s="241" t="str">
        <f>IF($B293="","",IF(COUNTIFS(Пул!$E$5:$E$300,$B293,Пул!$L$5:$L$300,"Закрыт")=0,"",ROUND(SUMIFS(Пул!$K$5:$K$300,Пул!$E$5:$E$300,$B293,Пул!$L$5:$L$300,"Закрыт"),8)))</f>
        <v/>
      </c>
      <c r="I293" s="236" t="str">
        <f>IF(AND(ISNUMBER(G293),ISNUMBER(H293)),IF(AND(G293&gt;0,H293&lt;0),"Buy",IF(AND(G293&lt;0,H293&gt;0),"Sell","")),"")</f>
        <v/>
      </c>
      <c r="J293" s="177" t="str">
        <f>IF(I293="Buy",G293,IF(I293="Sell",-G293,""))</f>
        <v/>
      </c>
      <c r="K293" s="177" t="str">
        <f>IF(AND(ISNUMBER(J293),ISNUMBER(L293),N(J293)&lt;&gt;0),ROUND(L293/J293,8),"")</f>
        <v/>
      </c>
      <c r="L293" s="177" t="str">
        <f>IF(I293="Buy",-H293,IF(I293="Sell",H293,""))</f>
        <v/>
      </c>
    </row>
    <row r="294" ht="22" customHeight="1">
      <c r="B294" s="245" t="n"/>
      <c r="C294" s="246" t="str">
        <f>IF($B294="","",IF(COUNTIFS(Пул!$E$5:$E$300,$B294,Пул!$F$5:$F$300,"&lt;&gt;")=0,"",ROUND(SUMIFS(Пул!$F$5:$F$300,Пул!$E$5:$E$300,$B294),8)))</f>
        <v/>
      </c>
      <c r="D294" s="247" t="str">
        <f>IF($B294="","",IF(COUNTIFS(Пул!$E$5:$E$300,$B294,Пул!$G$5:$G$300,"&lt;&gt;")=0,"",ROUND(SUMIFS(Пул!$G$5:$G$300,Пул!$E$5:$E$300,$B294),8)))</f>
        <v/>
      </c>
      <c r="E294" s="246" t="str">
        <f>IF($B294="","",IF(COUNTIFS(Пул!$E$5:$E$300,$B294,Пул!$L$5:$L$300,"Закрыт")=0,"",ROUND(SUMIFS(Пул!$H$5:$H$300,Пул!$E$5:$E$300,$B294,Пул!$L$5:$L$300,"Закрыт"),8)))</f>
        <v/>
      </c>
      <c r="F294" s="247" t="str">
        <f>IF($B294="","",IF(COUNTIFS(Пул!$E$5:$E$300,$B294,Пул!$L$5:$L$300,"Закрыт")=0,"",ROUND(SUMIFS(Пул!$I$5:$I$300,Пул!$E$5:$E$300,$B294,Пул!$L$5:$L$300,"Закрыт"),8)))</f>
        <v/>
      </c>
      <c r="G294" s="246" t="str">
        <f>IF($B294="","",IF(COUNTIFS(Пул!$E$5:$E$300,$B294,Пул!$L$5:$L$300,"Закрыт")=0,"",ROUND(SUMIFS(Пул!$J$5:$J$300,Пул!$E$5:$E$300,$B294,Пул!$L$5:$L$300,"Закрыт"),8)))</f>
        <v/>
      </c>
      <c r="H294" s="247" t="str">
        <f>IF($B294="","",IF(COUNTIFS(Пул!$E$5:$E$300,$B294,Пул!$L$5:$L$300,"Закрыт")=0,"",ROUND(SUMIFS(Пул!$K$5:$K$300,Пул!$E$5:$E$300,$B294,Пул!$L$5:$L$300,"Закрыт"),8)))</f>
        <v/>
      </c>
      <c r="I294" s="242" t="str">
        <f>IF(AND(ISNUMBER(G294),ISNUMBER(H294)),IF(AND(G294&gt;0,H294&lt;0),"Buy",IF(AND(G294&lt;0,H294&gt;0),"Sell","")),"")</f>
        <v/>
      </c>
      <c r="J294" s="183" t="str">
        <f>IF(I294="Buy",G294,IF(I294="Sell",-G294,""))</f>
        <v/>
      </c>
      <c r="K294" s="183" t="str">
        <f>IF(AND(ISNUMBER(J294),ISNUMBER(L294),N(J294)&lt;&gt;0),ROUND(L294/J294,8),"")</f>
        <v/>
      </c>
      <c r="L294" s="183" t="str">
        <f>IF(I294="Buy",-H294,IF(I294="Sell",H294,""))</f>
        <v/>
      </c>
    </row>
    <row r="295" ht="22" customHeight="1">
      <c r="B295" s="239" t="n"/>
      <c r="C295" s="240" t="str">
        <f>IF($B295="","",IF(COUNTIFS(Пул!$E$5:$E$300,$B295,Пул!$F$5:$F$300,"&lt;&gt;")=0,"",ROUND(SUMIFS(Пул!$F$5:$F$300,Пул!$E$5:$E$300,$B295),8)))</f>
        <v/>
      </c>
      <c r="D295" s="241" t="str">
        <f>IF($B295="","",IF(COUNTIFS(Пул!$E$5:$E$300,$B295,Пул!$G$5:$G$300,"&lt;&gt;")=0,"",ROUND(SUMIFS(Пул!$G$5:$G$300,Пул!$E$5:$E$300,$B295),8)))</f>
        <v/>
      </c>
      <c r="E295" s="240" t="str">
        <f>IF($B295="","",IF(COUNTIFS(Пул!$E$5:$E$300,$B295,Пул!$L$5:$L$300,"Закрыт")=0,"",ROUND(SUMIFS(Пул!$H$5:$H$300,Пул!$E$5:$E$300,$B295,Пул!$L$5:$L$300,"Закрыт"),8)))</f>
        <v/>
      </c>
      <c r="F295" s="241" t="str">
        <f>IF($B295="","",IF(COUNTIFS(Пул!$E$5:$E$300,$B295,Пул!$L$5:$L$300,"Закрыт")=0,"",ROUND(SUMIFS(Пул!$I$5:$I$300,Пул!$E$5:$E$300,$B295,Пул!$L$5:$L$300,"Закрыт"),8)))</f>
        <v/>
      </c>
      <c r="G295" s="240" t="str">
        <f>IF($B295="","",IF(COUNTIFS(Пул!$E$5:$E$300,$B295,Пул!$L$5:$L$300,"Закрыт")=0,"",ROUND(SUMIFS(Пул!$J$5:$J$300,Пул!$E$5:$E$300,$B295,Пул!$L$5:$L$300,"Закрыт"),8)))</f>
        <v/>
      </c>
      <c r="H295" s="241" t="str">
        <f>IF($B295="","",IF(COUNTIFS(Пул!$E$5:$E$300,$B295,Пул!$L$5:$L$300,"Закрыт")=0,"",ROUND(SUMIFS(Пул!$K$5:$K$300,Пул!$E$5:$E$300,$B295,Пул!$L$5:$L$300,"Закрыт"),8)))</f>
        <v/>
      </c>
      <c r="I295" s="236" t="str">
        <f>IF(AND(ISNUMBER(G295),ISNUMBER(H295)),IF(AND(G295&gt;0,H295&lt;0),"Buy",IF(AND(G295&lt;0,H295&gt;0),"Sell","")),"")</f>
        <v/>
      </c>
      <c r="J295" s="177" t="str">
        <f>IF(I295="Buy",G295,IF(I295="Sell",-G295,""))</f>
        <v/>
      </c>
      <c r="K295" s="177" t="str">
        <f>IF(AND(ISNUMBER(J295),ISNUMBER(L295),N(J295)&lt;&gt;0),ROUND(L295/J295,8),"")</f>
        <v/>
      </c>
      <c r="L295" s="177" t="str">
        <f>IF(I295="Buy",-H295,IF(I295="Sell",H295,""))</f>
        <v/>
      </c>
    </row>
    <row r="296" ht="22" customHeight="1">
      <c r="B296" s="245" t="n"/>
      <c r="C296" s="246" t="str">
        <f>IF($B296="","",IF(COUNTIFS(Пул!$E$5:$E$300,$B296,Пул!$F$5:$F$300,"&lt;&gt;")=0,"",ROUND(SUMIFS(Пул!$F$5:$F$300,Пул!$E$5:$E$300,$B296),8)))</f>
        <v/>
      </c>
      <c r="D296" s="247" t="str">
        <f>IF($B296="","",IF(COUNTIFS(Пул!$E$5:$E$300,$B296,Пул!$G$5:$G$300,"&lt;&gt;")=0,"",ROUND(SUMIFS(Пул!$G$5:$G$300,Пул!$E$5:$E$300,$B296),8)))</f>
        <v/>
      </c>
      <c r="E296" s="246" t="str">
        <f>IF($B296="","",IF(COUNTIFS(Пул!$E$5:$E$300,$B296,Пул!$L$5:$L$300,"Закрыт")=0,"",ROUND(SUMIFS(Пул!$H$5:$H$300,Пул!$E$5:$E$300,$B296,Пул!$L$5:$L$300,"Закрыт"),8)))</f>
        <v/>
      </c>
      <c r="F296" s="247" t="str">
        <f>IF($B296="","",IF(COUNTIFS(Пул!$E$5:$E$300,$B296,Пул!$L$5:$L$300,"Закрыт")=0,"",ROUND(SUMIFS(Пул!$I$5:$I$300,Пул!$E$5:$E$300,$B296,Пул!$L$5:$L$300,"Закрыт"),8)))</f>
        <v/>
      </c>
      <c r="G296" s="246" t="str">
        <f>IF($B296="","",IF(COUNTIFS(Пул!$E$5:$E$300,$B296,Пул!$L$5:$L$300,"Закрыт")=0,"",ROUND(SUMIFS(Пул!$J$5:$J$300,Пул!$E$5:$E$300,$B296,Пул!$L$5:$L$300,"Закрыт"),8)))</f>
        <v/>
      </c>
      <c r="H296" s="247" t="str">
        <f>IF($B296="","",IF(COUNTIFS(Пул!$E$5:$E$300,$B296,Пул!$L$5:$L$300,"Закрыт")=0,"",ROUND(SUMIFS(Пул!$K$5:$K$300,Пул!$E$5:$E$300,$B296,Пул!$L$5:$L$300,"Закрыт"),8)))</f>
        <v/>
      </c>
      <c r="I296" s="242" t="str">
        <f>IF(AND(ISNUMBER(G296),ISNUMBER(H296)),IF(AND(G296&gt;0,H296&lt;0),"Buy",IF(AND(G296&lt;0,H296&gt;0),"Sell","")),"")</f>
        <v/>
      </c>
      <c r="J296" s="183" t="str">
        <f>IF(I296="Buy",G296,IF(I296="Sell",-G296,""))</f>
        <v/>
      </c>
      <c r="K296" s="183" t="str">
        <f>IF(AND(ISNUMBER(J296),ISNUMBER(L296),N(J296)&lt;&gt;0),ROUND(L296/J296,8),"")</f>
        <v/>
      </c>
      <c r="L296" s="183" t="str">
        <f>IF(I296="Buy",-H296,IF(I296="Sell",H296,""))</f>
        <v/>
      </c>
    </row>
    <row r="297" ht="22" customHeight="1">
      <c r="B297" s="239" t="n"/>
      <c r="C297" s="240" t="str">
        <f>IF($B297="","",IF(COUNTIFS(Пул!$E$5:$E$300,$B297,Пул!$F$5:$F$300,"&lt;&gt;")=0,"",ROUND(SUMIFS(Пул!$F$5:$F$300,Пул!$E$5:$E$300,$B297),8)))</f>
        <v/>
      </c>
      <c r="D297" s="241" t="str">
        <f>IF($B297="","",IF(COUNTIFS(Пул!$E$5:$E$300,$B297,Пул!$G$5:$G$300,"&lt;&gt;")=0,"",ROUND(SUMIFS(Пул!$G$5:$G$300,Пул!$E$5:$E$300,$B297),8)))</f>
        <v/>
      </c>
      <c r="E297" s="240" t="str">
        <f>IF($B297="","",IF(COUNTIFS(Пул!$E$5:$E$300,$B297,Пул!$L$5:$L$300,"Закрыт")=0,"",ROUND(SUMIFS(Пул!$H$5:$H$300,Пул!$E$5:$E$300,$B297,Пул!$L$5:$L$300,"Закрыт"),8)))</f>
        <v/>
      </c>
      <c r="F297" s="241" t="str">
        <f>IF($B297="","",IF(COUNTIFS(Пул!$E$5:$E$300,$B297,Пул!$L$5:$L$300,"Закрыт")=0,"",ROUND(SUMIFS(Пул!$I$5:$I$300,Пул!$E$5:$E$300,$B297,Пул!$L$5:$L$300,"Закрыт"),8)))</f>
        <v/>
      </c>
      <c r="G297" s="240" t="str">
        <f>IF($B297="","",IF(COUNTIFS(Пул!$E$5:$E$300,$B297,Пул!$L$5:$L$300,"Закрыт")=0,"",ROUND(SUMIFS(Пул!$J$5:$J$300,Пул!$E$5:$E$300,$B297,Пул!$L$5:$L$300,"Закрыт"),8)))</f>
        <v/>
      </c>
      <c r="H297" s="241" t="str">
        <f>IF($B297="","",IF(COUNTIFS(Пул!$E$5:$E$300,$B297,Пул!$L$5:$L$300,"Закрыт")=0,"",ROUND(SUMIFS(Пул!$K$5:$K$300,Пул!$E$5:$E$300,$B297,Пул!$L$5:$L$300,"Закрыт"),8)))</f>
        <v/>
      </c>
      <c r="I297" s="236" t="str">
        <f>IF(AND(ISNUMBER(G297),ISNUMBER(H297)),IF(AND(G297&gt;0,H297&lt;0),"Buy",IF(AND(G297&lt;0,H297&gt;0),"Sell","")),"")</f>
        <v/>
      </c>
      <c r="J297" s="177" t="str">
        <f>IF(I297="Buy",G297,IF(I297="Sell",-G297,""))</f>
        <v/>
      </c>
      <c r="K297" s="177" t="str">
        <f>IF(AND(ISNUMBER(J297),ISNUMBER(L297),N(J297)&lt;&gt;0),ROUND(L297/J297,8),"")</f>
        <v/>
      </c>
      <c r="L297" s="177" t="str">
        <f>IF(I297="Buy",-H297,IF(I297="Sell",H297,""))</f>
        <v/>
      </c>
    </row>
    <row r="298" ht="22" customHeight="1">
      <c r="B298" s="245" t="n"/>
      <c r="C298" s="246" t="str">
        <f>IF($B298="","",IF(COUNTIFS(Пул!$E$5:$E$300,$B298,Пул!$F$5:$F$300,"&lt;&gt;")=0,"",ROUND(SUMIFS(Пул!$F$5:$F$300,Пул!$E$5:$E$300,$B298),8)))</f>
        <v/>
      </c>
      <c r="D298" s="247" t="str">
        <f>IF($B298="","",IF(COUNTIFS(Пул!$E$5:$E$300,$B298,Пул!$G$5:$G$300,"&lt;&gt;")=0,"",ROUND(SUMIFS(Пул!$G$5:$G$300,Пул!$E$5:$E$300,$B298),8)))</f>
        <v/>
      </c>
      <c r="E298" s="246" t="str">
        <f>IF($B298="","",IF(COUNTIFS(Пул!$E$5:$E$300,$B298,Пул!$L$5:$L$300,"Закрыт")=0,"",ROUND(SUMIFS(Пул!$H$5:$H$300,Пул!$E$5:$E$300,$B298,Пул!$L$5:$L$300,"Закрыт"),8)))</f>
        <v/>
      </c>
      <c r="F298" s="247" t="str">
        <f>IF($B298="","",IF(COUNTIFS(Пул!$E$5:$E$300,$B298,Пул!$L$5:$L$300,"Закрыт")=0,"",ROUND(SUMIFS(Пул!$I$5:$I$300,Пул!$E$5:$E$300,$B298,Пул!$L$5:$L$300,"Закрыт"),8)))</f>
        <v/>
      </c>
      <c r="G298" s="246" t="str">
        <f>IF($B298="","",IF(COUNTIFS(Пул!$E$5:$E$300,$B298,Пул!$L$5:$L$300,"Закрыт")=0,"",ROUND(SUMIFS(Пул!$J$5:$J$300,Пул!$E$5:$E$300,$B298,Пул!$L$5:$L$300,"Закрыт"),8)))</f>
        <v/>
      </c>
      <c r="H298" s="247" t="str">
        <f>IF($B298="","",IF(COUNTIFS(Пул!$E$5:$E$300,$B298,Пул!$L$5:$L$300,"Закрыт")=0,"",ROUND(SUMIFS(Пул!$K$5:$K$300,Пул!$E$5:$E$300,$B298,Пул!$L$5:$L$300,"Закрыт"),8)))</f>
        <v/>
      </c>
      <c r="I298" s="242" t="str">
        <f>IF(AND(ISNUMBER(G298),ISNUMBER(H298)),IF(AND(G298&gt;0,H298&lt;0),"Buy",IF(AND(G298&lt;0,H298&gt;0),"Sell","")),"")</f>
        <v/>
      </c>
      <c r="J298" s="183" t="str">
        <f>IF(I298="Buy",G298,IF(I298="Sell",-G298,""))</f>
        <v/>
      </c>
      <c r="K298" s="183" t="str">
        <f>IF(AND(ISNUMBER(J298),ISNUMBER(L298),N(J298)&lt;&gt;0),ROUND(L298/J298,8),"")</f>
        <v/>
      </c>
      <c r="L298" s="183" t="str">
        <f>IF(I298="Buy",-H298,IF(I298="Sell",H298,""))</f>
        <v/>
      </c>
    </row>
    <row r="299" ht="22" customHeight="1">
      <c r="B299" s="239" t="n"/>
      <c r="C299" s="240" t="str">
        <f>IF($B299="","",IF(COUNTIFS(Пул!$E$5:$E$300,$B299,Пул!$F$5:$F$300,"&lt;&gt;")=0,"",ROUND(SUMIFS(Пул!$F$5:$F$300,Пул!$E$5:$E$300,$B299),8)))</f>
        <v/>
      </c>
      <c r="D299" s="241" t="str">
        <f>IF($B299="","",IF(COUNTIFS(Пул!$E$5:$E$300,$B299,Пул!$G$5:$G$300,"&lt;&gt;")=0,"",ROUND(SUMIFS(Пул!$G$5:$G$300,Пул!$E$5:$E$300,$B299),8)))</f>
        <v/>
      </c>
      <c r="E299" s="240" t="str">
        <f>IF($B299="","",IF(COUNTIFS(Пул!$E$5:$E$300,$B299,Пул!$L$5:$L$300,"Закрыт")=0,"",ROUND(SUMIFS(Пул!$H$5:$H$300,Пул!$E$5:$E$300,$B299,Пул!$L$5:$L$300,"Закрыт"),8)))</f>
        <v/>
      </c>
      <c r="F299" s="241" t="str">
        <f>IF($B299="","",IF(COUNTIFS(Пул!$E$5:$E$300,$B299,Пул!$L$5:$L$300,"Закрыт")=0,"",ROUND(SUMIFS(Пул!$I$5:$I$300,Пул!$E$5:$E$300,$B299,Пул!$L$5:$L$300,"Закрыт"),8)))</f>
        <v/>
      </c>
      <c r="G299" s="240" t="str">
        <f>IF($B299="","",IF(COUNTIFS(Пул!$E$5:$E$300,$B299,Пул!$L$5:$L$300,"Закрыт")=0,"",ROUND(SUMIFS(Пул!$J$5:$J$300,Пул!$E$5:$E$300,$B299,Пул!$L$5:$L$300,"Закрыт"),8)))</f>
        <v/>
      </c>
      <c r="H299" s="241" t="str">
        <f>IF($B299="","",IF(COUNTIFS(Пул!$E$5:$E$300,$B299,Пул!$L$5:$L$300,"Закрыт")=0,"",ROUND(SUMIFS(Пул!$K$5:$K$300,Пул!$E$5:$E$300,$B299,Пул!$L$5:$L$300,"Закрыт"),8)))</f>
        <v/>
      </c>
      <c r="I299" s="236" t="str">
        <f>IF(AND(ISNUMBER(G299),ISNUMBER(H299)),IF(AND(G299&gt;0,H299&lt;0),"Buy",IF(AND(G299&lt;0,H299&gt;0),"Sell","")),"")</f>
        <v/>
      </c>
      <c r="J299" s="177" t="str">
        <f>IF(I299="Buy",G299,IF(I299="Sell",-G299,""))</f>
        <v/>
      </c>
      <c r="K299" s="177" t="str">
        <f>IF(AND(ISNUMBER(J299),ISNUMBER(L299),N(J299)&lt;&gt;0),ROUND(L299/J299,8),"")</f>
        <v/>
      </c>
      <c r="L299" s="177" t="str">
        <f>IF(I299="Buy",-H299,IF(I299="Sell",H299,""))</f>
        <v/>
      </c>
    </row>
    <row r="300" ht="22" customHeight="1">
      <c r="B300" s="245" t="n"/>
      <c r="C300" s="246" t="str">
        <f>IF($B300="","",IF(COUNTIFS(Пул!$E$5:$E$300,$B300,Пул!$F$5:$F$300,"&lt;&gt;")=0,"",ROUND(SUMIFS(Пул!$F$5:$F$300,Пул!$E$5:$E$300,$B300),8)))</f>
        <v/>
      </c>
      <c r="D300" s="247" t="str">
        <f>IF($B300="","",IF(COUNTIFS(Пул!$E$5:$E$300,$B300,Пул!$G$5:$G$300,"&lt;&gt;")=0,"",ROUND(SUMIFS(Пул!$G$5:$G$300,Пул!$E$5:$E$300,$B300),8)))</f>
        <v/>
      </c>
      <c r="E300" s="246" t="str">
        <f>IF($B300="","",IF(COUNTIFS(Пул!$E$5:$E$300,$B300,Пул!$L$5:$L$300,"Закрыт")=0,"",ROUND(SUMIFS(Пул!$H$5:$H$300,Пул!$E$5:$E$300,$B300,Пул!$L$5:$L$300,"Закрыт"),8)))</f>
        <v/>
      </c>
      <c r="F300" s="247" t="str">
        <f>IF($B300="","",IF(COUNTIFS(Пул!$E$5:$E$300,$B300,Пул!$L$5:$L$300,"Закрыт")=0,"",ROUND(SUMIFS(Пул!$I$5:$I$300,Пул!$E$5:$E$300,$B300,Пул!$L$5:$L$300,"Закрыт"),8)))</f>
        <v/>
      </c>
      <c r="G300" s="246" t="str">
        <f>IF($B300="","",IF(COUNTIFS(Пул!$E$5:$E$300,$B300,Пул!$L$5:$L$300,"Закрыт")=0,"",ROUND(SUMIFS(Пул!$J$5:$J$300,Пул!$E$5:$E$300,$B300,Пул!$L$5:$L$300,"Закрыт"),8)))</f>
        <v/>
      </c>
      <c r="H300" s="247" t="str">
        <f>IF($B300="","",IF(COUNTIFS(Пул!$E$5:$E$300,$B300,Пул!$L$5:$L$300,"Закрыт")=0,"",ROUND(SUMIFS(Пул!$K$5:$K$300,Пул!$E$5:$E$300,$B300,Пул!$L$5:$L$300,"Закрыт"),8)))</f>
        <v/>
      </c>
      <c r="I300" s="242" t="str">
        <f>IF(AND(ISNUMBER(G300),ISNUMBER(H300)),IF(AND(G300&gt;0,H300&lt;0),"Buy",IF(AND(G300&lt;0,H300&gt;0),"Sell","")),"")</f>
        <v/>
      </c>
      <c r="J300" s="183" t="str">
        <f>IF(I300="Buy",G300,IF(I300="Sell",-G300,""))</f>
        <v/>
      </c>
      <c r="K300" s="183" t="str">
        <f>IF(AND(ISNUMBER(J300),ISNUMBER(L300),N(J300)&lt;&gt;0),ROUND(L300/J300,8),"")</f>
        <v/>
      </c>
      <c r="L300" s="183" t="str">
        <f>IF(I300="Buy",-H300,IF(I300="Sell",H300,""))</f>
        <v/>
      </c>
    </row>
  </sheetData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>1172.34</v>
      </c>
      <c r="I5" s="240" t="n">
        <v>2</v>
      </c>
      <c r="J5" s="177" t="n">
        <v>598.8</v>
      </c>
      <c r="K5" s="271">
        <f>IF(AND(ISNUMBER(I5),ISNUMBER(J5)),I5*J5,"")</f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>3116.22</v>
      </c>
      <c r="I6" s="246" t="n">
        <v>0.05</v>
      </c>
      <c r="J6" s="183" t="n">
        <v>62874</v>
      </c>
      <c r="K6" s="271">
        <f>IF(AND(ISNUMBER(I6),ISNUMBER(J6)),I6*J6,"")</f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>3206.4</v>
      </c>
      <c r="I7" s="240" t="n">
        <v>1</v>
      </c>
      <c r="J7" s="177" t="n">
        <v>3343.3</v>
      </c>
      <c r="K7" s="271">
        <f>IF(AND(ISNUMBER(I7),ISNUMBER(J7)),I7*J7,"")</f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>2905.8</v>
      </c>
      <c r="I8" s="246" t="n">
        <v>20</v>
      </c>
      <c r="J8" s="183" t="n">
        <v>151.696</v>
      </c>
      <c r="K8" s="271">
        <f>IF(AND(ISNUMBER(I8),ISNUMBER(J8)),I8*J8,"")</f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>877.5</v>
      </c>
      <c r="I9" s="240" t="n">
        <v>1.5</v>
      </c>
      <c r="J9" s="177" t="n">
        <v>597</v>
      </c>
      <c r="K9" s="271">
        <f>IF(AND(ISNUMBER(I9),ISNUMBER(J9)),I9*J9,"")</f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>1605</v>
      </c>
      <c r="I10" s="246" t="n">
        <v>0.5</v>
      </c>
      <c r="J10" s="183" t="n">
        <v>3340</v>
      </c>
      <c r="K10" s="271">
        <f>IF(AND(ISNUMBER(I10),ISNUMBER(J10)),I10*J10,"")</f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>1450</v>
      </c>
      <c r="I11" s="240" t="n">
        <v>10</v>
      </c>
      <c r="J11" s="177" t="n">
        <v>150.5</v>
      </c>
      <c r="K11" s="271">
        <f>IF(AND(ISNUMBER(I11),ISNUMBER(J11)),I11*J11,"")</f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71" t="str">
        <f>IF(AND(ISNUMBER(F12),ISNUMBER(G12)),F12*G12,"")</f>
        <v/>
      </c>
      <c r="I12" s="246" t="n"/>
      <c r="J12" s="183" t="n"/>
      <c r="K12" s="271" t="str">
        <f>IF(AND(ISNUMBER(I12),ISNUMBER(J12)),I12*J12,"")</f>
        <v/>
      </c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 ht="22" customHeight="1">
      <c r="B13" s="238" t="n"/>
      <c r="C13" s="237" t="n"/>
      <c r="D13" s="238" t="n"/>
      <c r="E13" s="239" t="n"/>
      <c r="F13" s="240" t="n"/>
      <c r="G13" s="177" t="n"/>
      <c r="H13" s="271" t="str">
        <f>IF(AND(ISNUMBER(F13),ISNUMBER(G13)),F13*G13,"")</f>
        <v/>
      </c>
      <c r="I13" s="240" t="n"/>
      <c r="J13" s="177" t="n"/>
      <c r="K13" s="271" t="str">
        <f>IF(AND(ISNUMBER(I13),ISNUMBER(J13)),I13*J13,"")</f>
        <v/>
      </c>
      <c r="L13" s="240" t="str">
        <f>IF(COUNT(F13,I13)=0,"",N(F13)-N(I13))</f>
        <v/>
      </c>
      <c r="M13" s="241" t="str">
        <f>IF(COUNT(H13,K13)=0,"",N(K13)-N(H13))</f>
        <v/>
      </c>
      <c r="N13" s="240" t="str">
        <f>IF(AND(ISNUMBER(F13),ISNUMBER(I13),ISNUMBER(H13),ISNUMBER(K13),F13&gt;0,I13&gt;0,H13&lt;&gt;0),ROUND(MIN(F13,I13)*(K13/I13-H13/F13),8),"")</f>
        <v/>
      </c>
      <c r="O13" s="177" t="str">
        <f>IF(ISNUMBER(N13),ROUND(N13/(MIN(F13,I13)*H13/F13)*100,2),"")</f>
        <v/>
      </c>
    </row>
    <row r="14" ht="22" customHeight="1">
      <c r="B14" s="244" t="n"/>
      <c r="C14" s="243" t="n"/>
      <c r="D14" s="244" t="n"/>
      <c r="E14" s="245" t="n"/>
      <c r="F14" s="246" t="n"/>
      <c r="G14" s="183" t="n"/>
      <c r="H14" s="271" t="str">
        <f>IF(AND(ISNUMBER(F14),ISNUMBER(G14)),F14*G14,"")</f>
        <v/>
      </c>
      <c r="I14" s="246" t="n"/>
      <c r="J14" s="183" t="n"/>
      <c r="K14" s="271" t="str">
        <f>IF(AND(ISNUMBER(I14),ISNUMBER(J14)),I14*J14,"")</f>
        <v/>
      </c>
      <c r="L14" s="246" t="str">
        <f>IF(COUNT(F14,I14)=0,"",N(F14)-N(I14))</f>
        <v/>
      </c>
      <c r="M14" s="247" t="str">
        <f>IF(COUNT(H14,K14)=0,"",N(K14)-N(H14))</f>
        <v/>
      </c>
      <c r="N14" s="246" t="str">
        <f>IF(AND(ISNUMBER(F14),ISNUMBER(I14),ISNUMBER(H14),ISNUMBER(K14),F14&gt;0,I14&gt;0,H14&lt;&gt;0),ROUND(MIN(F14,I14)*(K14/I14-H14/F14),8),"")</f>
        <v/>
      </c>
      <c r="O14" s="183" t="str">
        <f>IF(ISNUMBER(N14),ROUND(N14/(MIN(F14,I14)*H14/F14)*100,2),"")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IF(AND(ISNUMBER(F15),ISNUMBER(I15),ISNUMBER(H15),ISNUMBER(K15),F15&gt;0,I15&gt;0,H15&lt;&gt;0),ROUND(MIN(F15,I15)*(K15/I15-H15/F15),8),"")</f>
        <v/>
      </c>
      <c r="O15" s="177" t="str">
        <f>IF(ISNUMBER(N15),ROUND(N15/(MIN(F15,I15)*H15/F15)*100,2),"")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IF(AND(ISNUMBER(F16),ISNUMBER(I16),ISNUMBER(H16),ISNUMBER(K16),F16&gt;0,I16&gt;0,H16&lt;&gt;0),ROUND(MIN(F16,I16)*(K16/I16-H16/F16),8),"")</f>
        <v/>
      </c>
      <c r="O16" s="183" t="str">
        <f>IF(ISNUMBER(N16),ROUND(N16/(MIN(F16,I16)*H16/F16)*100,2),"")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IF(AND(ISNUMBER(F17),ISNUMBER(I17),ISNUMBER(H17),ISNUMBER(K17),F17&gt;0,I17&gt;0,H17&lt;&gt;0),ROUND(MIN(F17,I17)*(K17/I17-H17/F17),8),"")</f>
        <v/>
      </c>
      <c r="O17" s="177" t="str">
        <f>IF(ISNUMBER(N17),ROUND(N17/(MIN(F17,I17)*H17/F17)*100,2),"")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IF(AND(ISNUMBER(F18),ISNUMBER(I18),ISNUMBER(H18),ISNUMBER(K18),F18&gt;0,I18&gt;0,H18&lt;&gt;0),ROUND(MIN(F18,I18)*(K18/I18-H18/F18),8),"")</f>
        <v/>
      </c>
      <c r="O18" s="183" t="str">
        <f>IF(ISNUMBER(N18),ROUND(N18/(MIN(F18,I18)*H18/F18)*100,2),"")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IF(AND(ISNUMBER(F19),ISNUMBER(I19),ISNUMBER(H19),ISNUMBER(K19),F19&gt;0,I19&gt;0,H19&lt;&gt;0),ROUND(MIN(F19,I19)*(K19/I19-H19/F19),8),"")</f>
        <v/>
      </c>
      <c r="O19" s="177" t="str">
        <f>IF(ISNUMBER(N19),ROUND(N19/(MIN(F19,I19)*H19/F19)*100,2),"")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IF(AND(ISNUMBER(F20),ISNUMBER(I20),ISNUMBER(H20),ISNUMBER(K20),F20&gt;0,I20&gt;0,H20&lt;&gt;0),ROUND(MIN(F20,I20)*(K20/I20-H20/F20),8),"")</f>
        <v/>
      </c>
      <c r="O20" s="183" t="str">
        <f>IF(ISNUMBER(N20),ROUND(N20/(MIN(F20,I20)*H20/F20)*100,2),"")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IF(AND(ISNUMBER(F21),ISNUMBER(I21),ISNUMBER(H21),ISNUMBER(K21),F21&gt;0,I21&gt;0,H21&lt;&gt;0),ROUND(MIN(F21,I21)*(K21/I21-H21/F21),8),"")</f>
        <v/>
      </c>
      <c r="O21" s="177" t="str">
        <f>IF(ISNUMBER(N21),ROUND(N21/(MIN(F21,I21)*H21/F21)*100,2),"")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IF(AND(ISNUMBER(F22),ISNUMBER(I22),ISNUMBER(H22),ISNUMBER(K22),F22&gt;0,I22&gt;0,H22&lt;&gt;0),ROUND(MIN(F22,I22)*(K22/I22-H22/F22),8),"")</f>
        <v/>
      </c>
      <c r="O22" s="183" t="str">
        <f>IF(ISNUMBER(N22),ROUND(N22/(MIN(F22,I22)*H22/F22)*100,2),"")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IF(AND(ISNUMBER(F23),ISNUMBER(I23),ISNUMBER(H23),ISNUMBER(K23),F23&gt;0,I23&gt;0,H23&lt;&gt;0),ROUND(MIN(F23,I23)*(K23/I23-H23/F23),8),"")</f>
        <v/>
      </c>
      <c r="O23" s="177" t="str">
        <f>IF(ISNUMBER(N23),ROUND(N23/(MIN(F23,I23)*H23/F23)*100,2),"")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IF(AND(ISNUMBER(F24),ISNUMBER(I24),ISNUMBER(H24),ISNUMBER(K24),F24&gt;0,I24&gt;0,H24&lt;&gt;0),ROUND(MIN(F24,I24)*(K24/I24-H24/F24),8),"")</f>
        <v/>
      </c>
      <c r="O24" s="183" t="str">
        <f>IF(ISNUMBER(N24),ROUND(N24/(MIN(F24,I24)*H24/F24)*100,2),"")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IF(AND(ISNUMBER(F25),ISNUMBER(I25),ISNUMBER(H25),ISNUMBER(K25),F25&gt;0,I25&gt;0,H25&lt;&gt;0),ROUND(MIN(F25,I25)*(K25/I25-H25/F25),8),"")</f>
        <v/>
      </c>
      <c r="O25" s="177" t="str">
        <f>IF(ISNUMBER(N25),ROUND(N25/(MIN(F25,I25)*H25/F25)*100,2),"")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IF(AND(ISNUMBER(F26),ISNUMBER(I26),ISNUMBER(H26),ISNUMBER(K26),F26&gt;0,I26&gt;0,H26&lt;&gt;0),ROUND(MIN(F26,I26)*(K26/I26-H26/F26),8),"")</f>
        <v/>
      </c>
      <c r="O26" s="183" t="str">
        <f>IF(ISNUMBER(N26),ROUND(N26/(MIN(F26,I26)*H26/F26)*100,2),"")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IF(AND(ISNUMBER(F27),ISNUMBER(I27),ISNUMBER(H27),ISNUMBER(K27),F27&gt;0,I27&gt;0,H27&lt;&gt;0),ROUND(MIN(F27,I27)*(K27/I27-H27/F27),8),"")</f>
        <v/>
      </c>
      <c r="O27" s="177" t="str">
        <f>IF(ISNUMBER(N27),ROUND(N27/(MIN(F27,I27)*H27/F27)*100,2),"")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IF(AND(ISNUMBER(F28),ISNUMBER(I28),ISNUMBER(H28),ISNUMBER(K28),F28&gt;0,I28&gt;0,H28&lt;&gt;0),ROUND(MIN(F28,I28)*(K28/I28-H28/F28),8),"")</f>
        <v/>
      </c>
      <c r="O28" s="183" t="str">
        <f>IF(ISNUMBER(N28),ROUND(N28/(MIN(F28,I28)*H28/F28)*100,2),"")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IF(AND(ISNUMBER(F29),ISNUMBER(I29),ISNUMBER(H29),ISNUMBER(K29),F29&gt;0,I29&gt;0,H29&lt;&gt;0),ROUND(MIN(F29,I29)*(K29/I29-H29/F29),8),"")</f>
        <v/>
      </c>
      <c r="O29" s="177" t="str">
        <f>IF(ISNUMBER(N29),ROUND(N29/(MIN(F29,I29)*H29/F29)*100,2),"")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IF(AND(ISNUMBER(F30),ISNUMBER(I30),ISNUMBER(H30),ISNUMBER(K30),F30&gt;0,I30&gt;0,H30&lt;&gt;0),ROUND(MIN(F30,I30)*(K30/I30-H30/F30),8),"")</f>
        <v/>
      </c>
      <c r="O30" s="183" t="str">
        <f>IF(ISNUMBER(N30),ROUND(N30/(MIN(F30,I30)*H30/F30)*100,2),"")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IF(AND(ISNUMBER(F31),ISNUMBER(I31),ISNUMBER(H31),ISNUMBER(K31),F31&gt;0,I31&gt;0,H31&lt;&gt;0),ROUND(MIN(F31,I31)*(K31/I31-H31/F31),8),"")</f>
        <v/>
      </c>
      <c r="O31" s="177" t="str">
        <f>IF(ISNUMBER(N31),ROUND(N31/(MIN(F31,I31)*H31/F31)*100,2),"")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>3.5</v>
      </c>
      <c r="D5" s="177">
        <f>IF(C5="","",E5/C5)</f>
        <v>585.668571428572</v>
      </c>
      <c r="E5" s="241">
        <f>IF(C5="","",SUMIFS('ИТОГО Торговля'!$E$5:$E$300,'ИТОГО Торговля'!$B$5:$B$300,$B5)+SUMIFS('ИТОГО Лэндинг'!$E$5:$E$300,'ИТОГО Лэндинг'!$B$5:$B$300,$B5))</f>
        <v>2049.84</v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>9.5</v>
      </c>
      <c r="G5" s="177">
        <f>IF(F5="","",H5/F5)</f>
        <v>598.515789473684</v>
      </c>
      <c r="H5" s="241">
        <f>IF(F5="","",SUMIFS('ИТОГО Торговля'!$H$5:$H$300,'ИТОГО Торговля'!$B$5:$B$300,$B5)+SUMIFS('ИТОГО Лэндинг'!$H$5:$H$300,'ИТОГО Лэндинг'!$B$5:$B$300,$B5))</f>
        <v>5685.9</v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>-6</v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>3636.06</v>
      </c>
      <c r="K5" s="240">
        <f>IF(MIN(N(C5),N(F5))&lt;=0,"",ROUND(MIN(N(C5),N(F5))*(N(G5)-N(D5)),8))</f>
        <v>44.96526316</v>
      </c>
      <c r="L5" s="177">
        <f>IF(MIN(N(C5),N(F5))&lt;=0,"",IF(N(D5)=0,"",ROUND((N(G5)/N(D5)-1)*100,2)))</f>
        <v>2.19</v>
      </c>
      <c r="M5" s="177">
        <f>IF(OR(ROUND(N(C5)-N(F5),8)=0,1-N(Ввод!$J$19)/100&lt;=0),"",IF(N(C5)&gt;N(F5),(N(E5)-N(H5))/((N(C5)-N(F5))*(1-N(Ввод!$J$19)/100)),(N(H5)-N(E5))/((N(F5)-N(C5))*(1+N(Ввод!$J$19)/100))))</f>
        <v>604.800399201597</v>
      </c>
    </row>
    <row r="6" ht="22" customHeight="1">
      <c r="B6" s="245" t="inlineStr">
        <is>
          <t>BTC/USDT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>0.25</v>
      </c>
      <c r="D6" s="183">
        <f>IF(C6="","",E6/C6)</f>
        <v>62164.08</v>
      </c>
      <c r="E6" s="247">
        <f>IF(C6="","",SUMIFS('ИТОГО Торговля'!$E$5:$E$300,'ИТОГО Торговля'!$B$5:$B$300,$B6)+SUMIFS('ИТОГО Лэндинг'!$E$5:$E$300,'ИТОГО Лэндинг'!$B$5:$B$300,$B6))</f>
        <v>15541.02</v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>0.05</v>
      </c>
      <c r="G6" s="183">
        <f>IF(F6="","",H6/F6)</f>
        <v>62874</v>
      </c>
      <c r="H6" s="247">
        <f>IF(F6="","",SUMIFS('ИТОГО Торговля'!$H$5:$H$300,'ИТОГО Торговля'!$B$5:$B$300,$B6)+SUMIFS('ИТОГО Лэндинг'!$H$5:$H$300,'ИТОГО Лэндинг'!$B$5:$B$300,$B6))</f>
        <v>3143.7</v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>0.2</v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>-12397.32</v>
      </c>
      <c r="K6" s="246">
        <f>IF(MIN(N(C6),N(F6))&lt;=0,"",ROUND(MIN(N(C6),N(F6))*(N(G6)-N(D6)),8))</f>
        <v>35.496</v>
      </c>
      <c r="L6" s="183">
        <f>IF(MIN(N(C6),N(F6))&lt;=0,"",IF(N(D6)=0,"",ROUND((N(G6)/N(D6)-1)*100,2)))</f>
        <v>1.14</v>
      </c>
      <c r="M6" s="183">
        <f>IF(OR(ROUND(N(C6)-N(F6),8)=0,1-N(Ввод!$J$19)/100&lt;=0),"",IF(N(C6)&gt;N(F6),(N(E6)-N(H6))/((N(C6)-N(F6))*(1-N(Ввод!$J$19)/100)),(N(H6)-N(E6))/((N(F6)-N(C6))*(1+N(Ввод!$J$19)/100))))</f>
        <v>62110.8216432866</v>
      </c>
    </row>
    <row r="7" ht="22" customHeight="1">
      <c r="B7" s="239" t="inlineStr">
        <is>
          <t>ETH/BTC</t>
        </is>
      </c>
      <c r="C7" s="240" t="str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 t="str">
        <f>IF(C7="","",E7/C7)</f>
        <v/>
      </c>
      <c r="E7" s="241" t="str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>3</v>
      </c>
      <c r="G7" s="177">
        <f>IF(F7="","",H7/F7)</f>
        <v>0.052395</v>
      </c>
      <c r="H7" s="241">
        <f>IF(F7="","",SUMIFS('ИТОГО Торговля'!$H$5:$H$300,'ИТОГО Торговля'!$B$5:$B$300,$B7)+SUMIFS('ИТОГО Лэндинг'!$H$5:$H$300,'ИТОГО Лэндинг'!$B$5:$B$300,$B7))</f>
        <v>0.157185</v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>-3</v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>0.157185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>7.5</v>
      </c>
      <c r="D8" s="183">
        <f>IF(C8="","",E8/C8)</f>
        <v>3210.9152</v>
      </c>
      <c r="E8" s="247">
        <f>IF(C8="","",SUMIFS('ИТОГО Торговля'!$E$5:$E$300,'ИТОГО Торговля'!$B$5:$B$300,$B8)+SUMIFS('ИТОГО Лэндинг'!$E$5:$E$300,'ИТОГО Лэндинг'!$B$5:$B$300,$B8))</f>
        <v>24081.864</v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>4.5</v>
      </c>
      <c r="G8" s="183">
        <f>IF(F8="","",H8/F8)</f>
        <v>3376.2</v>
      </c>
      <c r="H8" s="247">
        <f>IF(F8="","",SUMIFS('ИТОГО Торговля'!$H$5:$H$300,'ИТОГО Торговля'!$B$5:$B$300,$B8)+SUMIFS('ИТОГО Лэндинг'!$H$5:$H$300,'ИТОГО Лэндинг'!$B$5:$B$300,$B8))</f>
        <v>15192.9</v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>3</v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>-8888.964</v>
      </c>
      <c r="K8" s="246">
        <f>IF(MIN(N(C8),N(F8))&lt;=0,"",ROUND(MIN(N(C8),N(F8))*(N(G8)-N(D8)),8))</f>
        <v>743.7816</v>
      </c>
      <c r="L8" s="183">
        <f>IF(MIN(N(C8),N(F8))&lt;=0,"",IF(N(D8)=0,"",ROUND((N(G8)/N(D8)-1)*100,2)))</f>
        <v>5.15</v>
      </c>
      <c r="M8" s="183">
        <f>IF(OR(ROUND(N(C8)-N(F8),8)=0,1-N(Ввод!$J$19)/100&lt;=0),"",IF(N(C8)&gt;N(F8),(N(E8)-N(H8))/((N(C8)-N(F8))*(1-N(Ввод!$J$19)/100)),(N(H8)-N(E8))/((N(F8)-N(C8))*(1+N(Ввод!$J$19)/100))))</f>
        <v>2968.92585170341</v>
      </c>
    </row>
    <row r="9" ht="22" customHeight="1">
      <c r="B9" s="239" t="inlineStr">
        <is>
          <t>SOL/USDT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>80</v>
      </c>
      <c r="D9" s="177">
        <f>IF(C9="","",E9/C9)</f>
        <v>145.88</v>
      </c>
      <c r="E9" s="241">
        <f>IF(C9="","",SUMIFS('ИТОГО Торговля'!$E$5:$E$300,'ИТОГО Торговля'!$B$5:$B$300,$B9)+SUMIFS('ИТОГО Лэндинг'!$E$5:$E$300,'ИТОГО Лэндинг'!$B$5:$B$300,$B9))</f>
        <v>11670.4</v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>110</v>
      </c>
      <c r="G9" s="177">
        <f>IF(F9="","",H9/F9)</f>
        <v>150.498545454545</v>
      </c>
      <c r="H9" s="241">
        <f>IF(F9="","",SUMIFS('ИТОГО Торговля'!$H$5:$H$300,'ИТОГО Торговля'!$B$5:$B$300,$B9)+SUMIFS('ИТОГО Лэндинг'!$H$5:$H$300,'ИТОГО Лэндинг'!$B$5:$B$300,$B9))</f>
        <v>16554.84</v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>-30</v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>4884.44</v>
      </c>
      <c r="K9" s="240">
        <f>IF(MIN(N(C9),N(F9))&lt;=0,"",ROUND(MIN(N(C9),N(F9))*(N(G9)-N(D9)),8))</f>
        <v>369.48363636</v>
      </c>
      <c r="L9" s="177">
        <f>IF(MIN(N(C9),N(F9))&lt;=0,"",IF(N(D9)=0,"",ROUND((N(G9)/N(D9)-1)*100,2)))</f>
        <v>3.17</v>
      </c>
      <c r="M9" s="177">
        <f>IF(OR(ROUND(N(C9)-N(F9),8)=0,1-N(Ввод!$J$19)/100&lt;=0),"",IF(N(C9)&gt;N(F9),(N(E9)-N(H9))/((N(C9)-N(F9))*(1-N(Ввод!$J$19)/100)),(N(H9)-N(E9))/((N(F9)-N(C9))*(1+N(Ввод!$J$19)/100))))</f>
        <v>162.489687292082</v>
      </c>
    </row>
    <row r="10" ht="22" customHeight="1">
      <c r="B10" s="245"/>
      <c r="C10" s="246" t="str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 t="str">
        <f>IF(C10="","",E10/C10)</f>
        <v/>
      </c>
      <c r="E10" s="247" t="str">
        <f>IF(C10="","",SUMIFS('ИТОГО Торговля'!$E$5:$E$300,'ИТОГО Торговля'!$B$5:$B$300,$B10)+SUMIFS('ИТОГО Лэндинг'!$E$5:$E$300,'ИТОГО Лэндинг'!$B$5:$B$300,$B10))</f>
        <v/>
      </c>
      <c r="F10" s="246" t="str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 t="str">
        <f>IF(F10="","",H10/F10)</f>
        <v/>
      </c>
      <c r="H10" s="247" t="str">
        <f>IF(F10="","",SUMIFS('ИТОГО Торговля'!$H$5:$H$300,'ИТОГО Торговля'!$B$5:$B$300,$B10)+SUMIFS('ИТОГО Лэндинг'!$H$5:$H$300,'ИТОГО Лэндинг'!$B$5:$B$300,$B10))</f>
        <v/>
      </c>
      <c r="I10" s="246" t="str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 t="str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/>
      <c r="C11" s="240" t="str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 t="str">
        <f>IF(C11="","",E11/C11)</f>
        <v/>
      </c>
      <c r="E11" s="241" t="str">
        <f>IF(C11="","",SUMIFS('ИТОГО Торговля'!$E$5:$E$300,'ИТОГО Торговля'!$B$5:$B$300,$B11)+SUMIFS('ИТОГО Лэндинг'!$E$5:$E$300,'ИТОГО Лэндинг'!$B$5:$B$300,$B11))</f>
        <v/>
      </c>
      <c r="F11" s="240" t="str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 t="str">
        <f>IF(F11="","",H11/F11)</f>
        <v/>
      </c>
      <c r="H11" s="241" t="str">
        <f>IF(F11="","",SUMIFS('ИТОГО Торговля'!$H$5:$H$300,'ИТОГО Торговля'!$B$5:$B$300,$B11)+SUMIFS('ИТОГО Лэндинг'!$H$5:$H$300,'ИТОГО Лэндинг'!$B$5:$B$300,$B11))</f>
        <v/>
      </c>
      <c r="I11" s="240" t="str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 t="str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/>
      <c r="C12" s="246" t="str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 t="str">
        <f>IF(C12="","",E12/C12)</f>
        <v/>
      </c>
      <c r="E12" s="247" t="str">
        <f>IF(C12="","",SUMIFS('ИТОГО Торговля'!$E$5:$E$300,'ИТОГО Торговля'!$B$5:$B$300,$B12)+SUMIFS('ИТОГО Лэндинг'!$E$5:$E$300,'ИТОГО Лэндинг'!$B$5:$B$300,$B12))</f>
        <v/>
      </c>
      <c r="F12" s="246" t="str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 t="str">
        <f>IF(F12="","",H12/F12)</f>
        <v/>
      </c>
      <c r="H12" s="247" t="str">
        <f>IF(F12="","",SUMIFS('ИТОГО Торговля'!$H$5:$H$300,'ИТОГО Торговля'!$B$5:$B$300,$B12)+SUMIFS('ИТОГО Лэндинг'!$H$5:$H$300,'ИТОГО Лэндинг'!$B$5:$B$300,$B12))</f>
        <v/>
      </c>
      <c r="I12" s="246" t="str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 t="str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 t="str">
        <f>IF(C13="","",E13/C13)</f>
        <v/>
      </c>
      <c r="E13" s="241" t="str">
        <f>IF(C13="","",SUMIFS('ИТОГО Торговля'!$E$5:$E$300,'ИТОГО Торговля'!$B$5:$B$300,$B13)+SUMIFS('ИТОГО Лэндинг'!$E$5:$E$300,'ИТОГО Лэндинг'!$B$5:$B$300,$B13))</f>
        <v/>
      </c>
      <c r="F13" s="240" t="str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 t="str">
        <f>IF(F13="","",H13/F13)</f>
        <v/>
      </c>
      <c r="H13" s="241" t="str">
        <f>IF(F13="","",SUMIFS('ИТОГО Торговля'!$H$5:$H$300,'ИТОГО Торговля'!$B$5:$B$300,$B13)+SUMIFS('ИТОГО Лэндинг'!$H$5:$H$300,'ИТОГО Лэндинг'!$B$5:$B$300,$B13))</f>
        <v/>
      </c>
      <c r="I13" s="240" t="str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 t="str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 t="str">
        <f>IF(C14="","",E14/C14)</f>
        <v/>
      </c>
      <c r="E14" s="247" t="str">
        <f>IF(C14="","",SUMIFS('ИТОГО Торговля'!$E$5:$E$300,'ИТОГО Торговля'!$B$5:$B$300,$B14)+SUMIFS('ИТОГО Лэндинг'!$E$5:$E$300,'ИТОГО Лэндинг'!$B$5:$B$300,$B14))</f>
        <v/>
      </c>
      <c r="F14" s="246" t="str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 t="str">
        <f>IF(F14="","",H14/F14)</f>
        <v/>
      </c>
      <c r="H14" s="247" t="str">
        <f>IF(F14="","",SUMIFS('ИТОГО Торговля'!$H$5:$H$300,'ИТОГО Торговля'!$B$5:$B$300,$B14)+SUMIFS('ИТОГО Лэндинг'!$H$5:$H$300,'ИТОГО Лэндинг'!$B$5:$B$300,$B14))</f>
        <v/>
      </c>
      <c r="I14" s="246" t="str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 t="str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 t="str">
        <f>IF(C15="","",E15/C15)</f>
        <v/>
      </c>
      <c r="E15" s="241" t="str">
        <f>IF(C15="","",SUMIFS('ИТОГО Торговля'!$E$5:$E$300,'ИТОГО Торговля'!$B$5:$B$300,$B15)+SUMIFS('ИТОГО Лэндинг'!$E$5:$E$300,'ИТОГО Лэндинг'!$B$5:$B$300,$B15))</f>
        <v/>
      </c>
      <c r="F15" s="240" t="str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 t="str">
        <f>IF(F15="","",H15/F15)</f>
        <v/>
      </c>
      <c r="H15" s="241" t="str">
        <f>IF(F15="","",SUMIFS('ИТОГО Торговля'!$H$5:$H$300,'ИТОГО Торговля'!$B$5:$B$300,$B15)+SUMIFS('ИТОГО Лэндинг'!$H$5:$H$300,'ИТОГО Лэндинг'!$B$5:$B$300,$B15))</f>
        <v/>
      </c>
      <c r="I15" s="240" t="str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 t="str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 t="str">
        <f>IF(C16="","",E16/C16)</f>
        <v/>
      </c>
      <c r="E16" s="247" t="str">
        <f>IF(C16="","",SUMIFS('ИТОГО Торговля'!$E$5:$E$300,'ИТОГО Торговля'!$B$5:$B$300,$B16)+SUMIFS('ИТОГО Лэндинг'!$E$5:$E$300,'ИТОГО Лэндинг'!$B$5:$B$300,$B16))</f>
        <v/>
      </c>
      <c r="F16" s="246" t="str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 t="str">
        <f>IF(F16="","",H16/F16)</f>
        <v/>
      </c>
      <c r="H16" s="247" t="str">
        <f>IF(F16="","",SUMIFS('ИТОГО Торговля'!$H$5:$H$300,'ИТОГО Торговля'!$B$5:$B$300,$B16)+SUMIFS('ИТОГО Лэндинг'!$H$5:$H$300,'ИТОГО Лэндинг'!$B$5:$B$300,$B16))</f>
        <v/>
      </c>
      <c r="I16" s="246" t="str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 t="str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 t="str">
        <f>IF(C17="","",E17/C17)</f>
        <v/>
      </c>
      <c r="E17" s="241" t="str">
        <f>IF(C17="","",SUMIFS('ИТОГО Торговля'!$E$5:$E$300,'ИТОГО Торговля'!$B$5:$B$300,$B17)+SUMIFS('ИТОГО Лэндинг'!$E$5:$E$300,'ИТОГО Лэндинг'!$B$5:$B$300,$B17))</f>
        <v/>
      </c>
      <c r="F17" s="240" t="str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 t="str">
        <f>IF(F17="","",H17/F17)</f>
        <v/>
      </c>
      <c r="H17" s="241" t="str">
        <f>IF(F17="","",SUMIFS('ИТОГО Торговля'!$H$5:$H$300,'ИТОГО Торговля'!$B$5:$B$300,$B17)+SUMIFS('ИТОГО Лэндинг'!$H$5:$H$300,'ИТОГО Лэндинг'!$B$5:$B$300,$B17))</f>
        <v/>
      </c>
      <c r="I17" s="240" t="str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 t="str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 t="str">
        <f>IF(C18="","",E18/C18)</f>
        <v/>
      </c>
      <c r="E18" s="247" t="str">
        <f>IF(C18="","",SUMIFS('ИТОГО Торговля'!$E$5:$E$300,'ИТОГО Торговля'!$B$5:$B$300,$B18)+SUMIFS('ИТОГО Лэндинг'!$E$5:$E$300,'ИТОГО Лэндинг'!$B$5:$B$300,$B18))</f>
        <v/>
      </c>
      <c r="F18" s="246" t="str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 t="str">
        <f>IF(F18="","",H18/F18)</f>
        <v/>
      </c>
      <c r="H18" s="247" t="str">
        <f>IF(F18="","",SUMIFS('ИТОГО Торговля'!$H$5:$H$300,'ИТОГО Торговля'!$B$5:$B$300,$B18)+SUMIFS('ИТОГО Лэндинг'!$H$5:$H$300,'ИТОГО Лэндинг'!$B$5:$B$300,$B18))</f>
        <v/>
      </c>
      <c r="I18" s="246" t="str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 t="str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 t="str">
        <f>IF(C19="","",E19/C19)</f>
        <v/>
      </c>
      <c r="E19" s="241" t="str">
        <f>IF(C19="","",SUMIFS('ИТОГО Торговля'!$E$5:$E$300,'ИТОГО Торговля'!$B$5:$B$300,$B19)+SUMIFS('ИТОГО Лэндинг'!$E$5:$E$300,'ИТОГО Лэндинг'!$B$5:$B$300,$B19))</f>
        <v/>
      </c>
      <c r="F19" s="240" t="str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 t="str">
        <f>IF(F19="","",H19/F19)</f>
        <v/>
      </c>
      <c r="H19" s="241" t="str">
        <f>IF(F19="","",SUMIFS('ИТОГО Торговля'!$H$5:$H$300,'ИТОГО Торговля'!$B$5:$B$300,$B19)+SUMIFS('ИТОГО Лэндинг'!$H$5:$H$300,'ИТОГО Лэндинг'!$B$5:$B$300,$B19))</f>
        <v/>
      </c>
      <c r="I19" s="240" t="str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 t="str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 t="str">
        <f>IF(C20="","",E20/C20)</f>
        <v/>
      </c>
      <c r="E20" s="247" t="str">
        <f>IF(C20="","",SUMIFS('ИТОГО Торговля'!$E$5:$E$300,'ИТОГО Торговля'!$B$5:$B$300,$B20)+SUMIFS('ИТОГО Лэндинг'!$E$5:$E$300,'ИТОГО Лэндинг'!$B$5:$B$300,$B20))</f>
        <v/>
      </c>
      <c r="F20" s="246" t="str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 t="str">
        <f>IF(F20="","",H20/F20)</f>
        <v/>
      </c>
      <c r="H20" s="247" t="str">
        <f>IF(F20="","",SUMIFS('ИТОГО Торговля'!$H$5:$H$300,'ИТОГО Торговля'!$B$5:$B$300,$B20)+SUMIFS('ИТОГО Лэндинг'!$H$5:$H$300,'ИТОГО Лэндинг'!$B$5:$B$300,$B20))</f>
        <v/>
      </c>
      <c r="I20" s="246" t="str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 t="str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 t="str">
        <f>IF(C21="","",E21/C21)</f>
        <v/>
      </c>
      <c r="E21" s="241" t="str">
        <f>IF(C21="","",SUMIFS('ИТОГО Торговля'!$E$5:$E$300,'ИТОГО Торговля'!$B$5:$B$300,$B21)+SUMIFS('ИТОГО Лэндинг'!$E$5:$E$300,'ИТОГО Лэндинг'!$B$5:$B$300,$B21))</f>
        <v/>
      </c>
      <c r="F21" s="240" t="str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 t="str">
        <f>IF(F21="","",H21/F21)</f>
        <v/>
      </c>
      <c r="H21" s="241" t="str">
        <f>IF(F21="","",SUMIFS('ИТОГО Торговля'!$H$5:$H$300,'ИТОГО Торговля'!$B$5:$B$300,$B21)+SUMIFS('ИТОГО Лэндинг'!$H$5:$H$300,'ИТОГО Лэндинг'!$B$5:$B$300,$B21))</f>
        <v/>
      </c>
      <c r="I21" s="240" t="str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 t="str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 t="str">
        <f>IF(C22="","",E22/C22)</f>
        <v/>
      </c>
      <c r="E22" s="247" t="str">
        <f>IF(C22="","",SUMIFS('ИТОГО Торговля'!$E$5:$E$300,'ИТОГО Торговля'!$B$5:$B$300,$B22)+SUMIFS('ИТОГО Лэндинг'!$E$5:$E$300,'ИТОГО Лэндинг'!$B$5:$B$300,$B22))</f>
        <v/>
      </c>
      <c r="F22" s="246" t="str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 t="str">
        <f>IF(F22="","",H22/F22)</f>
        <v/>
      </c>
      <c r="H22" s="247" t="str">
        <f>IF(F22="","",SUMIFS('ИТОГО Торговля'!$H$5:$H$300,'ИТОГО Торговля'!$B$5:$B$300,$B22)+SUMIFS('ИТОГО Лэндинг'!$H$5:$H$300,'ИТОГО Лэндинг'!$B$5:$B$300,$B22))</f>
        <v/>
      </c>
      <c r="I22" s="246" t="str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 t="str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 t="str">
        <f>IF(C23="","",E23/C23)</f>
        <v/>
      </c>
      <c r="E23" s="241" t="str">
        <f>IF(C23="","",SUMIFS('ИТОГО Торговля'!$E$5:$E$300,'ИТОГО Торговля'!$B$5:$B$300,$B23)+SUMIFS('ИТОГО Лэндинг'!$E$5:$E$300,'ИТОГО Лэндинг'!$B$5:$B$300,$B23))</f>
        <v/>
      </c>
      <c r="F23" s="240" t="str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 t="str">
        <f>IF(F23="","",H23/F23)</f>
        <v/>
      </c>
      <c r="H23" s="241" t="str">
        <f>IF(F23="","",SUMIFS('ИТОГО Торговля'!$H$5:$H$300,'ИТОГО Торговля'!$B$5:$B$300,$B23)+SUMIFS('ИТОГО Лэндинг'!$H$5:$H$300,'ИТОГО Лэндинг'!$B$5:$B$300,$B23))</f>
        <v/>
      </c>
      <c r="I23" s="240" t="str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 t="str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 t="str">
        <f>IF(C24="","",E24/C24)</f>
        <v/>
      </c>
      <c r="E24" s="247" t="str">
        <f>IF(C24="","",SUMIFS('ИТОГО Торговля'!$E$5:$E$300,'ИТОГО Торговля'!$B$5:$B$300,$B24)+SUMIFS('ИТОГО Лэндинг'!$E$5:$E$300,'ИТОГО Лэндинг'!$B$5:$B$300,$B24))</f>
        <v/>
      </c>
      <c r="F24" s="246" t="str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 t="str">
        <f>IF(F24="","",H24/F24)</f>
        <v/>
      </c>
      <c r="H24" s="247" t="str">
        <f>IF(F24="","",SUMIFS('ИТОГО Торговля'!$H$5:$H$300,'ИТОГО Торговля'!$B$5:$B$300,$B24)+SUMIFS('ИТОГО Лэндинг'!$H$5:$H$300,'ИТОГО Лэндинг'!$B$5:$B$300,$B24))</f>
        <v/>
      </c>
      <c r="I24" s="246" t="str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 t="str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 t="str">
        <f>IF(C25="","",E25/C25)</f>
        <v/>
      </c>
      <c r="E25" s="241" t="str">
        <f>IF(C25="","",SUMIFS('ИТОГО Торговля'!$E$5:$E$300,'ИТОГО Торговля'!$B$5:$B$300,$B25)+SUMIFS('ИТОГО Лэндинг'!$E$5:$E$300,'ИТОГО Лэндинг'!$B$5:$B$300,$B25))</f>
        <v/>
      </c>
      <c r="F25" s="240" t="str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 t="str">
        <f>IF(F25="","",H25/F25)</f>
        <v/>
      </c>
      <c r="H25" s="241" t="str">
        <f>IF(F25="","",SUMIFS('ИТОГО Торговля'!$H$5:$H$300,'ИТОГО Торговля'!$B$5:$B$300,$B25)+SUMIFS('ИТОГО Лэндинг'!$H$5:$H$300,'ИТОГО Лэндинг'!$B$5:$B$300,$B25))</f>
        <v/>
      </c>
      <c r="I25" s="240" t="str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 t="str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 t="str">
        <f>IF(C26="","",E26/C26)</f>
        <v/>
      </c>
      <c r="E26" s="247" t="str">
        <f>IF(C26="","",SUMIFS('ИТОГО Торговля'!$E$5:$E$300,'ИТОГО Торговля'!$B$5:$B$300,$B26)+SUMIFS('ИТОГО Лэндинг'!$E$5:$E$300,'ИТОГО Лэндинг'!$B$5:$B$300,$B26))</f>
        <v/>
      </c>
      <c r="F26" s="246" t="str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 t="str">
        <f>IF(F26="","",H26/F26)</f>
        <v/>
      </c>
      <c r="H26" s="247" t="str">
        <f>IF(F26="","",SUMIFS('ИТОГО Торговля'!$H$5:$H$300,'ИТОГО Торговля'!$B$5:$B$300,$B26)+SUMIFS('ИТОГО Лэндинг'!$H$5:$H$300,'ИТОГО Лэндинг'!$B$5:$B$300,$B26))</f>
        <v/>
      </c>
      <c r="I26" s="246" t="str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 t="str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 t="str">
        <f>IF(C27="","",E27/C27)</f>
        <v/>
      </c>
      <c r="E27" s="241" t="str">
        <f>IF(C27="","",SUMIFS('ИТОГО Торговля'!$E$5:$E$300,'ИТОГО Торговля'!$B$5:$B$300,$B27)+SUMIFS('ИТОГО Лэндинг'!$E$5:$E$300,'ИТОГО Лэндинг'!$B$5:$B$300,$B27))</f>
        <v/>
      </c>
      <c r="F27" s="240" t="str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 t="str">
        <f>IF(F27="","",H27/F27)</f>
        <v/>
      </c>
      <c r="H27" s="241" t="str">
        <f>IF(F27="","",SUMIFS('ИТОГО Торговля'!$H$5:$H$300,'ИТОГО Торговля'!$B$5:$B$300,$B27)+SUMIFS('ИТОГО Лэндинг'!$H$5:$H$300,'ИТОГО Лэндинг'!$B$5:$B$300,$B27))</f>
        <v/>
      </c>
      <c r="I27" s="240" t="str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 t="str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 t="str">
        <f>IF(C28="","",E28/C28)</f>
        <v/>
      </c>
      <c r="E28" s="247" t="str">
        <f>IF(C28="","",SUMIFS('ИТОГО Торговля'!$E$5:$E$300,'ИТОГО Торговля'!$B$5:$B$300,$B28)+SUMIFS('ИТОГО Лэндинг'!$E$5:$E$300,'ИТОГО Лэндинг'!$B$5:$B$300,$B28))</f>
        <v/>
      </c>
      <c r="F28" s="246" t="str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 t="str">
        <f>IF(F28="","",H28/F28)</f>
        <v/>
      </c>
      <c r="H28" s="247" t="str">
        <f>IF(F28="","",SUMIFS('ИТОГО Торговля'!$H$5:$H$300,'ИТОГО Торговля'!$B$5:$B$300,$B28)+SUMIFS('ИТОГО Лэндинг'!$H$5:$H$300,'ИТОГО Лэндинг'!$B$5:$B$300,$B28))</f>
        <v/>
      </c>
      <c r="I28" s="246" t="str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 t="str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 t="str">
        <f>IF(C29="","",E29/C29)</f>
        <v/>
      </c>
      <c r="E29" s="241" t="str">
        <f>IF(C29="","",SUMIFS('ИТОГО Торговля'!$E$5:$E$300,'ИТОГО Торговля'!$B$5:$B$300,$B29)+SUMIFS('ИТОГО Лэндинг'!$E$5:$E$300,'ИТОГО Лэндинг'!$B$5:$B$300,$B29))</f>
        <v/>
      </c>
      <c r="F29" s="240" t="str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 t="str">
        <f>IF(F29="","",H29/F29)</f>
        <v/>
      </c>
      <c r="H29" s="241" t="str">
        <f>IF(F29="","",SUMIFS('ИТОГО Торговля'!$H$5:$H$300,'ИТОГО Торговля'!$B$5:$B$300,$B29)+SUMIFS('ИТОГО Лэндинг'!$H$5:$H$300,'ИТОГО Лэндинг'!$B$5:$B$300,$B29))</f>
        <v/>
      </c>
      <c r="I29" s="240" t="str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 t="str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 t="str">
        <f>IF(C30="","",E30/C30)</f>
        <v/>
      </c>
      <c r="E30" s="247" t="str">
        <f>IF(C30="","",SUMIFS('ИТОГО Торговля'!$E$5:$E$300,'ИТОГО Торговля'!$B$5:$B$300,$B30)+SUMIFS('ИТОГО Лэндинг'!$E$5:$E$300,'ИТОГО Лэндинг'!$B$5:$B$300,$B30))</f>
        <v/>
      </c>
      <c r="F30" s="246" t="str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 t="str">
        <f>IF(F30="","",H30/F30)</f>
        <v/>
      </c>
      <c r="H30" s="247" t="str">
        <f>IF(F30="","",SUMIFS('ИТОГО Торговля'!$H$5:$H$300,'ИТОГО Торговля'!$B$5:$B$300,$B30)+SUMIFS('ИТОГО Лэндинг'!$H$5:$H$300,'ИТОГО Лэндинг'!$B$5:$B$300,$B30))</f>
        <v/>
      </c>
      <c r="I30" s="246" t="str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 t="str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 t="str">
        <f>IF(C31="","",E31/C31)</f>
        <v/>
      </c>
      <c r="E31" s="241" t="str">
        <f>IF(C31="","",SUMIFS('ИТОГО Торговля'!$E$5:$E$300,'ИТОГО Торговля'!$B$5:$B$300,$B31)+SUMIFS('ИТОГО Лэндинг'!$E$5:$E$300,'ИТОГО Лэндинг'!$B$5:$B$300,$B31))</f>
        <v/>
      </c>
      <c r="F31" s="240" t="str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 t="str">
        <f>IF(F31="","",H31/F31)</f>
        <v/>
      </c>
      <c r="H31" s="241" t="str">
        <f>IF(F31="","",SUMIFS('ИТОГО Торговля'!$H$5:$H$300,'ИТОГО Торговля'!$B$5:$B$300,$B31)+SUMIFS('ИТОГО Лэндинг'!$H$5:$H$300,'ИТОГО Лэндинг'!$B$5:$B$300,$B31))</f>
        <v/>
      </c>
      <c r="I31" s="240" t="str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 t="str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 t="str">
        <f>IF(C32="","",E32/C32)</f>
        <v/>
      </c>
      <c r="E32" s="247" t="str">
        <f>IF(C32="","",SUMIFS('ИТОГО Торговля'!$E$5:$E$300,'ИТОГО Торговля'!$B$5:$B$300,$B32)+SUMIFS('ИТОГО Лэндинг'!$E$5:$E$300,'ИТОГО Лэндинг'!$B$5:$B$300,$B32))</f>
        <v/>
      </c>
      <c r="F32" s="246" t="str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 t="str">
        <f>IF(F32="","",H32/F32)</f>
        <v/>
      </c>
      <c r="H32" s="247" t="str">
        <f>IF(F32="","",SUMIFS('ИТОГО Торговля'!$H$5:$H$300,'ИТОГО Торговля'!$B$5:$B$300,$B32)+SUMIFS('ИТОГО Лэндинг'!$H$5:$H$300,'ИТОГО Лэндинг'!$B$5:$B$300,$B32))</f>
        <v/>
      </c>
      <c r="I32" s="246" t="str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 t="str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 t="str">
        <f>IF(C33="","",E33/C33)</f>
        <v/>
      </c>
      <c r="E33" s="241" t="str">
        <f>IF(C33="","",SUMIFS('ИТОГО Торговля'!$E$5:$E$300,'ИТОГО Торговля'!$B$5:$B$300,$B33)+SUMIFS('ИТОГО Лэндинг'!$E$5:$E$300,'ИТОГО Лэндинг'!$B$5:$B$300,$B33))</f>
        <v/>
      </c>
      <c r="F33" s="240" t="str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 t="str">
        <f>IF(F33="","",H33/F33)</f>
        <v/>
      </c>
      <c r="H33" s="241" t="str">
        <f>IF(F33="","",SUMIFS('ИТОГО Торговля'!$H$5:$H$300,'ИТОГО Торговля'!$B$5:$B$300,$B33)+SUMIFS('ИТОГО Лэндинг'!$H$5:$H$300,'ИТОГО Лэндинг'!$B$5:$B$300,$B33))</f>
        <v/>
      </c>
      <c r="I33" s="240" t="str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 t="str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 t="str">
        <f>IF(C34="","",E34/C34)</f>
        <v/>
      </c>
      <c r="E34" s="247" t="str">
        <f>IF(C34="","",SUMIFS('ИТОГО Торговля'!$E$5:$E$300,'ИТОГО Торговля'!$B$5:$B$300,$B34)+SUMIFS('ИТОГО Лэндинг'!$E$5:$E$300,'ИТОГО Лэндинг'!$B$5:$B$300,$B34))</f>
        <v/>
      </c>
      <c r="F34" s="246" t="str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 t="str">
        <f>IF(F34="","",H34/F34)</f>
        <v/>
      </c>
      <c r="H34" s="247" t="str">
        <f>IF(F34="","",SUMIFS('ИТОГО Торговля'!$H$5:$H$300,'ИТОГО Торговля'!$B$5:$B$300,$B34)+SUMIFS('ИТОГО Лэндинг'!$H$5:$H$300,'ИТОГО Лэндинг'!$B$5:$B$300,$B34))</f>
        <v/>
      </c>
      <c r="I34" s="246" t="str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 t="str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 t="str">
        <f>IF(C35="","",E35/C35)</f>
        <v/>
      </c>
      <c r="E35" s="241" t="str">
        <f>IF(C35="","",SUMIFS('ИТОГО Торговля'!$E$5:$E$300,'ИТОГО Торговля'!$B$5:$B$300,$B35)+SUMIFS('ИТОГО Лэндинг'!$E$5:$E$300,'ИТОГО Лэндинг'!$B$5:$B$300,$B35))</f>
        <v/>
      </c>
      <c r="F35" s="240" t="str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 t="str">
        <f>IF(F35="","",H35/F35)</f>
        <v/>
      </c>
      <c r="H35" s="241" t="str">
        <f>IF(F35="","",SUMIFS('ИТОГО Торговля'!$H$5:$H$300,'ИТОГО Торговля'!$B$5:$B$300,$B35)+SUMIFS('ИТОГО Лэндинг'!$H$5:$H$300,'ИТОГО Лэндинг'!$B$5:$B$300,$B35))</f>
        <v/>
      </c>
      <c r="I35" s="240" t="str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 t="str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 t="str">
        <f>IF(C36="","",E36/C36)</f>
        <v/>
      </c>
      <c r="E36" s="247" t="str">
        <f>IF(C36="","",SUMIFS('ИТОГО Торговля'!$E$5:$E$300,'ИТОГО Торговля'!$B$5:$B$300,$B36)+SUMIFS('ИТОГО Лэндинг'!$E$5:$E$300,'ИТОГО Лэндинг'!$B$5:$B$300,$B36))</f>
        <v/>
      </c>
      <c r="F36" s="246" t="str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 t="str">
        <f>IF(F36="","",H36/F36)</f>
        <v/>
      </c>
      <c r="H36" s="247" t="str">
        <f>IF(F36="","",SUMIFS('ИТОГО Торговля'!$H$5:$H$300,'ИТОГО Торговля'!$B$5:$B$300,$B36)+SUMIFS('ИТОГО Лэндинг'!$H$5:$H$300,'ИТОГО Лэндинг'!$B$5:$B$300,$B36))</f>
        <v/>
      </c>
      <c r="I36" s="246" t="str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 t="str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 t="str">
        <f>IF(C37="","",E37/C37)</f>
        <v/>
      </c>
      <c r="E37" s="241" t="str">
        <f>IF(C37="","",SUMIFS('ИТОГО Торговля'!$E$5:$E$300,'ИТОГО Торговля'!$B$5:$B$300,$B37)+SUMIFS('ИТОГО Лэндинг'!$E$5:$E$300,'ИТОГО Лэндинг'!$B$5:$B$300,$B37))</f>
        <v/>
      </c>
      <c r="F37" s="240" t="str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 t="str">
        <f>IF(F37="","",H37/F37)</f>
        <v/>
      </c>
      <c r="H37" s="241" t="str">
        <f>IF(F37="","",SUMIFS('ИТОГО Торговля'!$H$5:$H$300,'ИТОГО Торговля'!$B$5:$B$300,$B37)+SUMIFS('ИТОГО Лэндинг'!$H$5:$H$300,'ИТОГО Лэндинг'!$B$5:$B$300,$B37))</f>
        <v/>
      </c>
      <c r="I37" s="240" t="str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 t="str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 t="str">
        <f>IF(C38="","",E38/C38)</f>
        <v/>
      </c>
      <c r="E38" s="247" t="str">
        <f>IF(C38="","",SUMIFS('ИТОГО Торговля'!$E$5:$E$300,'ИТОГО Торговля'!$B$5:$B$300,$B38)+SUMIFS('ИТОГО Лэндинг'!$E$5:$E$300,'ИТОГО Лэндинг'!$B$5:$B$300,$B38))</f>
        <v/>
      </c>
      <c r="F38" s="246" t="str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 t="str">
        <f>IF(F38="","",H38/F38)</f>
        <v/>
      </c>
      <c r="H38" s="247" t="str">
        <f>IF(F38="","",SUMIFS('ИТОГО Торговля'!$H$5:$H$300,'ИТОГО Торговля'!$B$5:$B$300,$B38)+SUMIFS('ИТОГО Лэндинг'!$H$5:$H$300,'ИТОГО Лэндинг'!$B$5:$B$300,$B38))</f>
        <v/>
      </c>
      <c r="I38" s="246" t="str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 t="str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 t="str">
        <f>IF(C39="","",E39/C39)</f>
        <v/>
      </c>
      <c r="E39" s="241" t="str">
        <f>IF(C39="","",SUMIFS('ИТОГО Торговля'!$E$5:$E$300,'ИТОГО Торговля'!$B$5:$B$300,$B39)+SUMIFS('ИТОГО Лэндинг'!$E$5:$E$300,'ИТОГО Лэндинг'!$B$5:$B$300,$B39))</f>
        <v/>
      </c>
      <c r="F39" s="240" t="str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 t="str">
        <f>IF(F39="","",H39/F39)</f>
        <v/>
      </c>
      <c r="H39" s="241" t="str">
        <f>IF(F39="","",SUMIFS('ИТОГО Торговля'!$H$5:$H$300,'ИТОГО Торговля'!$B$5:$B$300,$B39)+SUMIFS('ИТОГО Лэндинг'!$H$5:$H$300,'ИТОГО Лэндинг'!$B$5:$B$300,$B39))</f>
        <v/>
      </c>
      <c r="I39" s="240" t="str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 t="str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 t="str">
        <f>IF(C40="","",E40/C40)</f>
        <v/>
      </c>
      <c r="E40" s="247" t="str">
        <f>IF(C40="","",SUMIFS('ИТОГО Торговля'!$E$5:$E$300,'ИТОГО Торговля'!$B$5:$B$300,$B40)+SUMIFS('ИТОГО Лэндинг'!$E$5:$E$300,'ИТОГО Лэндинг'!$B$5:$B$300,$B40))</f>
        <v/>
      </c>
      <c r="F40" s="246" t="str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 t="str">
        <f>IF(F40="","",H40/F40)</f>
        <v/>
      </c>
      <c r="H40" s="247" t="str">
        <f>IF(F40="","",SUMIFS('ИТОГО Торговля'!$H$5:$H$300,'ИТОГО Торговля'!$B$5:$B$300,$B40)+SUMIFS('ИТОГО Лэндинг'!$H$5:$H$300,'ИТОГО Лэндинг'!$B$5:$B$300,$B40))</f>
        <v/>
      </c>
      <c r="I40" s="246" t="str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 t="str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 t="str">
        <f>IF(C41="","",E41/C41)</f>
        <v/>
      </c>
      <c r="E41" s="241" t="str">
        <f>IF(C41="","",SUMIFS('ИТОГО Торговля'!$E$5:$E$300,'ИТОГО Торговля'!$B$5:$B$300,$B41)+SUMIFS('ИТОГО Лэндинг'!$E$5:$E$300,'ИТОГО Лэндинг'!$B$5:$B$300,$B41))</f>
        <v/>
      </c>
      <c r="F41" s="240" t="str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 t="str">
        <f>IF(F41="","",H41/F41)</f>
        <v/>
      </c>
      <c r="H41" s="241" t="str">
        <f>IF(F41="","",SUMIFS('ИТОГО Торговля'!$H$5:$H$300,'ИТОГО Торговля'!$B$5:$B$300,$B41)+SUMIFS('ИТОГО Лэндинг'!$H$5:$H$300,'ИТОГО Лэндинг'!$B$5:$B$300,$B41))</f>
        <v/>
      </c>
      <c r="I41" s="240" t="str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 t="str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 t="str">
        <f>IF(C42="","",E42/C42)</f>
        <v/>
      </c>
      <c r="E42" s="247" t="str">
        <f>IF(C42="","",SUMIFS('ИТОГО Торговля'!$E$5:$E$300,'ИТОГО Торговля'!$B$5:$B$300,$B42)+SUMIFS('ИТОГО Лэндинг'!$E$5:$E$300,'ИТОГО Лэндинг'!$B$5:$B$300,$B42))</f>
        <v/>
      </c>
      <c r="F42" s="246" t="str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 t="str">
        <f>IF(F42="","",H42/F42)</f>
        <v/>
      </c>
      <c r="H42" s="247" t="str">
        <f>IF(F42="","",SUMIFS('ИТОГО Торговля'!$H$5:$H$300,'ИТОГО Торговля'!$B$5:$B$300,$B42)+SUMIFS('ИТОГО Лэндинг'!$H$5:$H$300,'ИТОГО Лэндинг'!$B$5:$B$300,$B42))</f>
        <v/>
      </c>
      <c r="I42" s="246" t="str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 t="str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 t="str">
        <f>IF(C43="","",E43/C43)</f>
        <v/>
      </c>
      <c r="E43" s="241" t="str">
        <f>IF(C43="","",SUMIFS('ИТОГО Торговля'!$E$5:$E$300,'ИТОГО Торговля'!$B$5:$B$300,$B43)+SUMIFS('ИТОГО Лэндинг'!$E$5:$E$300,'ИТОГО Лэндинг'!$B$5:$B$300,$B43))</f>
        <v/>
      </c>
      <c r="F43" s="240" t="str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 t="str">
        <f>IF(F43="","",H43/F43)</f>
        <v/>
      </c>
      <c r="H43" s="241" t="str">
        <f>IF(F43="","",SUMIFS('ИТОГО Торговля'!$H$5:$H$300,'ИТОГО Торговля'!$B$5:$B$300,$B43)+SUMIFS('ИТОГО Лэндинг'!$H$5:$H$300,'ИТОГО Лэндинг'!$B$5:$B$300,$B43))</f>
        <v/>
      </c>
      <c r="I43" s="240" t="str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 t="str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 t="str">
        <f>IF(C44="","",E44/C44)</f>
        <v/>
      </c>
      <c r="E44" s="247" t="str">
        <f>IF(C44="","",SUMIFS('ИТОГО Торговля'!$E$5:$E$300,'ИТОГО Торговля'!$B$5:$B$300,$B44)+SUMIFS('ИТОГО Лэндинг'!$E$5:$E$300,'ИТОГО Лэндинг'!$B$5:$B$300,$B44))</f>
        <v/>
      </c>
      <c r="F44" s="246" t="str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 t="str">
        <f>IF(F44="","",H44/F44)</f>
        <v/>
      </c>
      <c r="H44" s="247" t="str">
        <f>IF(F44="","",SUMIFS('ИТОГО Торговля'!$H$5:$H$300,'ИТОГО Торговля'!$B$5:$B$300,$B44)+SUMIFS('ИТОГО Лэндинг'!$H$5:$H$300,'ИТОГО Лэндинг'!$B$5:$B$300,$B44))</f>
        <v/>
      </c>
      <c r="I44" s="246" t="str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 t="str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 t="str">
        <f>IF(C45="","",E45/C45)</f>
        <v/>
      </c>
      <c r="E45" s="241" t="str">
        <f>IF(C45="","",SUMIFS('ИТОГО Торговля'!$E$5:$E$300,'ИТОГО Торговля'!$B$5:$B$300,$B45)+SUMIFS('ИТОГО Лэндинг'!$E$5:$E$300,'ИТОГО Лэндинг'!$B$5:$B$300,$B45))</f>
        <v/>
      </c>
      <c r="F45" s="240" t="str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 t="str">
        <f>IF(F45="","",H45/F45)</f>
        <v/>
      </c>
      <c r="H45" s="241" t="str">
        <f>IF(F45="","",SUMIFS('ИТОГО Торговля'!$H$5:$H$300,'ИТОГО Торговля'!$B$5:$B$300,$B45)+SUMIFS('ИТОГО Лэндинг'!$H$5:$H$300,'ИТОГО Лэндинг'!$B$5:$B$300,$B45))</f>
        <v/>
      </c>
      <c r="I45" s="240" t="str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 t="str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 t="str">
        <f>IF(C46="","",E46/C46)</f>
        <v/>
      </c>
      <c r="E46" s="247" t="str">
        <f>IF(C46="","",SUMIFS('ИТОГО Торговля'!$E$5:$E$300,'ИТОГО Торговля'!$B$5:$B$300,$B46)+SUMIFS('ИТОГО Лэндинг'!$E$5:$E$300,'ИТОГО Лэндинг'!$B$5:$B$300,$B46))</f>
        <v/>
      </c>
      <c r="F46" s="246" t="str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 t="str">
        <f>IF(F46="","",H46/F46)</f>
        <v/>
      </c>
      <c r="H46" s="247" t="str">
        <f>IF(F46="","",SUMIFS('ИТОГО Торговля'!$H$5:$H$300,'ИТОГО Торговля'!$B$5:$B$300,$B46)+SUMIFS('ИТОГО Лэндинг'!$H$5:$H$300,'ИТОГО Лэндинг'!$B$5:$B$300,$B46))</f>
        <v/>
      </c>
      <c r="I46" s="246" t="str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 t="str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 t="str">
        <f>IF(C47="","",E47/C47)</f>
        <v/>
      </c>
      <c r="E47" s="241" t="str">
        <f>IF(C47="","",SUMIFS('ИТОГО Торговля'!$E$5:$E$300,'ИТОГО Торговля'!$B$5:$B$300,$B47)+SUMIFS('ИТОГО Лэндинг'!$E$5:$E$300,'ИТОГО Лэндинг'!$B$5:$B$300,$B47))</f>
        <v/>
      </c>
      <c r="F47" s="240" t="str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 t="str">
        <f>IF(F47="","",H47/F47)</f>
        <v/>
      </c>
      <c r="H47" s="241" t="str">
        <f>IF(F47="","",SUMIFS('ИТОГО Торговля'!$H$5:$H$300,'ИТОГО Торговля'!$B$5:$B$300,$B47)+SUMIFS('ИТОГО Лэндинг'!$H$5:$H$300,'ИТОГО Лэндинг'!$B$5:$B$300,$B47))</f>
        <v/>
      </c>
      <c r="I47" s="240" t="str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 t="str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 t="str">
        <f>IF(C48="","",E48/C48)</f>
        <v/>
      </c>
      <c r="E48" s="247" t="str">
        <f>IF(C48="","",SUMIFS('ИТОГО Торговля'!$E$5:$E$300,'ИТОГО Торговля'!$B$5:$B$300,$B48)+SUMIFS('ИТОГО Лэндинг'!$E$5:$E$300,'ИТОГО Лэндинг'!$B$5:$B$300,$B48))</f>
        <v/>
      </c>
      <c r="F48" s="246" t="str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 t="str">
        <f>IF(F48="","",H48/F48)</f>
        <v/>
      </c>
      <c r="H48" s="247" t="str">
        <f>IF(F48="","",SUMIFS('ИТОГО Торговля'!$H$5:$H$300,'ИТОГО Торговля'!$B$5:$B$300,$B48)+SUMIFS('ИТОГО Лэндинг'!$H$5:$H$300,'ИТОГО Лэндинг'!$B$5:$B$300,$B48))</f>
        <v/>
      </c>
      <c r="I48" s="246" t="str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 t="str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 t="str">
        <f>IF(C49="","",E49/C49)</f>
        <v/>
      </c>
      <c r="E49" s="241" t="str">
        <f>IF(C49="","",SUMIFS('ИТОГО Торговля'!$E$5:$E$300,'ИТОГО Торговля'!$B$5:$B$300,$B49)+SUMIFS('ИТОГО Лэндинг'!$E$5:$E$300,'ИТОГО Лэндинг'!$B$5:$B$300,$B49))</f>
        <v/>
      </c>
      <c r="F49" s="240" t="str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 t="str">
        <f>IF(F49="","",H49/F49)</f>
        <v/>
      </c>
      <c r="H49" s="241" t="str">
        <f>IF(F49="","",SUMIFS('ИТОГО Торговля'!$H$5:$H$300,'ИТОГО Торговля'!$B$5:$B$300,$B49)+SUMIFS('ИТОГО Лэндинг'!$H$5:$H$300,'ИТОГО Лэндинг'!$B$5:$B$300,$B49))</f>
        <v/>
      </c>
      <c r="I49" s="240" t="str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 t="str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 t="str">
        <f>IF(C50="","",E50/C50)</f>
        <v/>
      </c>
      <c r="E50" s="247" t="str">
        <f>IF(C50="","",SUMIFS('ИТОГО Торговля'!$E$5:$E$300,'ИТОГО Торговля'!$B$5:$B$300,$B50)+SUMIFS('ИТОГО Лэндинг'!$E$5:$E$300,'ИТОГО Лэндинг'!$B$5:$B$300,$B50))</f>
        <v/>
      </c>
      <c r="F50" s="246" t="str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 t="str">
        <f>IF(F50="","",H50/F50)</f>
        <v/>
      </c>
      <c r="H50" s="247" t="str">
        <f>IF(F50="","",SUMIFS('ИТОГО Торговля'!$H$5:$H$300,'ИТОГО Торговля'!$B$5:$B$300,$B50)+SUMIFS('ИТОГО Лэндинг'!$H$5:$H$300,'ИТОГО Лэндинг'!$B$5:$B$300,$B50))</f>
        <v/>
      </c>
      <c r="I50" s="246" t="str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 t="str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 t="str">
        <f>IF(C51="","",E51/C51)</f>
        <v/>
      </c>
      <c r="E51" s="241" t="str">
        <f>IF(C51="","",SUMIFS('ИТОГО Торговля'!$E$5:$E$300,'ИТОГО Торговля'!$B$5:$B$300,$B51)+SUMIFS('ИТОГО Лэндинг'!$E$5:$E$300,'ИТОГО Лэндинг'!$B$5:$B$300,$B51))</f>
        <v/>
      </c>
      <c r="F51" s="240" t="str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 t="str">
        <f>IF(F51="","",H51/F51)</f>
        <v/>
      </c>
      <c r="H51" s="241" t="str">
        <f>IF(F51="","",SUMIFS('ИТОГО Торговля'!$H$5:$H$300,'ИТОГО Торговля'!$B$5:$B$300,$B51)+SUMIFS('ИТОГО Лэндинг'!$H$5:$H$300,'ИТОГО Лэндинг'!$B$5:$B$300,$B51))</f>
        <v/>
      </c>
      <c r="I51" s="240" t="str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 t="str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 t="str">
        <f>IF(C52="","",E52/C52)</f>
        <v/>
      </c>
      <c r="E52" s="247" t="str">
        <f>IF(C52="","",SUMIFS('ИТОГО Торговля'!$E$5:$E$300,'ИТОГО Торговля'!$B$5:$B$300,$B52)+SUMIFS('ИТОГО Лэндинг'!$E$5:$E$300,'ИТОГО Лэндинг'!$B$5:$B$300,$B52))</f>
        <v/>
      </c>
      <c r="F52" s="246" t="str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 t="str">
        <f>IF(F52="","",H52/F52)</f>
        <v/>
      </c>
      <c r="H52" s="247" t="str">
        <f>IF(F52="","",SUMIFS('ИТОГО Торговля'!$H$5:$H$300,'ИТОГО Торговля'!$B$5:$B$300,$B52)+SUMIFS('ИТОГО Лэндинг'!$H$5:$H$300,'ИТОГО Лэндинг'!$B$5:$B$300,$B52))</f>
        <v/>
      </c>
      <c r="I52" s="246" t="str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 t="str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 t="str">
        <f>IF(C53="","",E53/C53)</f>
        <v/>
      </c>
      <c r="E53" s="241" t="str">
        <f>IF(C53="","",SUMIFS('ИТОГО Торговля'!$E$5:$E$300,'ИТОГО Торговля'!$B$5:$B$300,$B53)+SUMIFS('ИТОГО Лэндинг'!$E$5:$E$300,'ИТОГО Лэндинг'!$B$5:$B$300,$B53))</f>
        <v/>
      </c>
      <c r="F53" s="240" t="str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 t="str">
        <f>IF(F53="","",H53/F53)</f>
        <v/>
      </c>
      <c r="H53" s="241" t="str">
        <f>IF(F53="","",SUMIFS('ИТОГО Торговля'!$H$5:$H$300,'ИТОГО Торговля'!$B$5:$B$300,$B53)+SUMIFS('ИТОГО Лэндинг'!$H$5:$H$300,'ИТОГО Лэндинг'!$B$5:$B$300,$B53))</f>
        <v/>
      </c>
      <c r="I53" s="240" t="str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 t="str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 t="str">
        <f>IF(C54="","",E54/C54)</f>
        <v/>
      </c>
      <c r="E54" s="247" t="str">
        <f>IF(C54="","",SUMIFS('ИТОГО Торговля'!$E$5:$E$300,'ИТОГО Торговля'!$B$5:$B$300,$B54)+SUMIFS('ИТОГО Лэндинг'!$E$5:$E$300,'ИТОГО Лэндинг'!$B$5:$B$300,$B54))</f>
        <v/>
      </c>
      <c r="F54" s="246" t="str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 t="str">
        <f>IF(F54="","",H54/F54)</f>
        <v/>
      </c>
      <c r="H54" s="247" t="str">
        <f>IF(F54="","",SUMIFS('ИТОГО Торговля'!$H$5:$H$300,'ИТОГО Торговля'!$B$5:$B$300,$B54)+SUMIFS('ИТОГО Лэндинг'!$H$5:$H$300,'ИТОГО Лэндинг'!$B$5:$B$300,$B54))</f>
        <v/>
      </c>
      <c r="I54" s="246" t="str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 t="str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 t="str">
        <f>IF(C55="","",E55/C55)</f>
        <v/>
      </c>
      <c r="E55" s="241" t="str">
        <f>IF(C55="","",SUMIFS('ИТОГО Торговля'!$E$5:$E$300,'ИТОГО Торговля'!$B$5:$B$300,$B55)+SUMIFS('ИТОГО Лэндинг'!$E$5:$E$300,'ИТОГО Лэндинг'!$B$5:$B$300,$B55))</f>
        <v/>
      </c>
      <c r="F55" s="240" t="str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 t="str">
        <f>IF(F55="","",H55/F55)</f>
        <v/>
      </c>
      <c r="H55" s="241" t="str">
        <f>IF(F55="","",SUMIFS('ИТОГО Торговля'!$H$5:$H$300,'ИТОГО Торговля'!$B$5:$B$300,$B55)+SUMIFS('ИТОГО Лэндинг'!$H$5:$H$300,'ИТОГО Лэндинг'!$B$5:$B$300,$B55))</f>
        <v/>
      </c>
      <c r="I55" s="240" t="str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 t="str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 t="str">
        <f>IF(C56="","",E56/C56)</f>
        <v/>
      </c>
      <c r="E56" s="247" t="str">
        <f>IF(C56="","",SUMIFS('ИТОГО Торговля'!$E$5:$E$300,'ИТОГО Торговля'!$B$5:$B$300,$B56)+SUMIFS('ИТОГО Лэндинг'!$E$5:$E$300,'ИТОГО Лэндинг'!$B$5:$B$300,$B56))</f>
        <v/>
      </c>
      <c r="F56" s="246" t="str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 t="str">
        <f>IF(F56="","",H56/F56)</f>
        <v/>
      </c>
      <c r="H56" s="247" t="str">
        <f>IF(F56="","",SUMIFS('ИТОГО Торговля'!$H$5:$H$300,'ИТОГО Торговля'!$B$5:$B$300,$B56)+SUMIFS('ИТОГО Лэндинг'!$H$5:$H$300,'ИТОГО Лэндинг'!$B$5:$B$300,$B56))</f>
        <v/>
      </c>
      <c r="I56" s="246" t="str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 t="str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 t="str">
        <f>IF(C57="","",E57/C57)</f>
        <v/>
      </c>
      <c r="E57" s="241" t="str">
        <f>IF(C57="","",SUMIFS('ИТОГО Торговля'!$E$5:$E$300,'ИТОГО Торговля'!$B$5:$B$300,$B57)+SUMIFS('ИТОГО Лэндинг'!$E$5:$E$300,'ИТОГО Лэндинг'!$B$5:$B$300,$B57))</f>
        <v/>
      </c>
      <c r="F57" s="240" t="str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 t="str">
        <f>IF(F57="","",H57/F57)</f>
        <v/>
      </c>
      <c r="H57" s="241" t="str">
        <f>IF(F57="","",SUMIFS('ИТОГО Торговля'!$H$5:$H$300,'ИТОГО Торговля'!$B$5:$B$300,$B57)+SUMIFS('ИТОГО Лэндинг'!$H$5:$H$300,'ИТОГО Лэндинг'!$B$5:$B$300,$B57))</f>
        <v/>
      </c>
      <c r="I57" s="240" t="str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 t="str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 t="str">
        <f>IF(C58="","",E58/C58)</f>
        <v/>
      </c>
      <c r="E58" s="247" t="str">
        <f>IF(C58="","",SUMIFS('ИТОГО Торговля'!$E$5:$E$300,'ИТОГО Торговля'!$B$5:$B$300,$B58)+SUMIFS('ИТОГО Лэндинг'!$E$5:$E$300,'ИТОГО Лэндинг'!$B$5:$B$300,$B58))</f>
        <v/>
      </c>
      <c r="F58" s="246" t="str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 t="str">
        <f>IF(F58="","",H58/F58)</f>
        <v/>
      </c>
      <c r="H58" s="247" t="str">
        <f>IF(F58="","",SUMIFS('ИТОГО Торговля'!$H$5:$H$300,'ИТОГО Торговля'!$B$5:$B$300,$B58)+SUMIFS('ИТОГО Лэндинг'!$H$5:$H$300,'ИТОГО Лэндинг'!$B$5:$B$300,$B58))</f>
        <v/>
      </c>
      <c r="I58" s="246" t="str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 t="str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 t="str">
        <f>IF(C59="","",E59/C59)</f>
        <v/>
      </c>
      <c r="E59" s="241" t="str">
        <f>IF(C59="","",SUMIFS('ИТОГО Торговля'!$E$5:$E$300,'ИТОГО Торговля'!$B$5:$B$300,$B59)+SUMIFS('ИТОГО Лэндинг'!$E$5:$E$300,'ИТОГО Лэндинг'!$B$5:$B$300,$B59))</f>
        <v/>
      </c>
      <c r="F59" s="240" t="str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 t="str">
        <f>IF(F59="","",H59/F59)</f>
        <v/>
      </c>
      <c r="H59" s="241" t="str">
        <f>IF(F59="","",SUMIFS('ИТОГО Торговля'!$H$5:$H$300,'ИТОГО Торговля'!$B$5:$B$300,$B59)+SUMIFS('ИТОГО Лэндинг'!$H$5:$H$300,'ИТОГО Лэндинг'!$B$5:$B$300,$B59))</f>
        <v/>
      </c>
      <c r="I59" s="240" t="str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 t="str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 t="str">
        <f>IF(C60="","",E60/C60)</f>
        <v/>
      </c>
      <c r="E60" s="247" t="str">
        <f>IF(C60="","",SUMIFS('ИТОГО Торговля'!$E$5:$E$300,'ИТОГО Торговля'!$B$5:$B$300,$B60)+SUMIFS('ИТОГО Лэндинг'!$E$5:$E$300,'ИТОГО Лэндинг'!$B$5:$B$300,$B60))</f>
        <v/>
      </c>
      <c r="F60" s="246" t="str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 t="str">
        <f>IF(F60="","",H60/F60)</f>
        <v/>
      </c>
      <c r="H60" s="247" t="str">
        <f>IF(F60="","",SUMIFS('ИТОГО Торговля'!$H$5:$H$300,'ИТОГО Торговля'!$B$5:$B$300,$B60)+SUMIFS('ИТОГО Лэндинг'!$H$5:$H$300,'ИТОГО Лэндинг'!$B$5:$B$300,$B60))</f>
        <v/>
      </c>
      <c r="I60" s="246" t="str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 t="str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 t="str">
        <f>IF(C61="","",E61/C61)</f>
        <v/>
      </c>
      <c r="E61" s="241" t="str">
        <f>IF(C61="","",SUMIFS('ИТОГО Торговля'!$E$5:$E$300,'ИТОГО Торговля'!$B$5:$B$300,$B61)+SUMIFS('ИТОГО Лэндинг'!$E$5:$E$300,'ИТОГО Лэндинг'!$B$5:$B$300,$B61))</f>
        <v/>
      </c>
      <c r="F61" s="240" t="str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 t="str">
        <f>IF(F61="","",H61/F61)</f>
        <v/>
      </c>
      <c r="H61" s="241" t="str">
        <f>IF(F61="","",SUMIFS('ИТОГО Торговля'!$H$5:$H$300,'ИТОГО Торговля'!$B$5:$B$300,$B61)+SUMIFS('ИТОГО Лэндинг'!$H$5:$H$300,'ИТОГО Лэндинг'!$B$5:$B$300,$B61))</f>
        <v/>
      </c>
      <c r="I61" s="240" t="str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 t="str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 t="str">
        <f>IF(C62="","",E62/C62)</f>
        <v/>
      </c>
      <c r="E62" s="247" t="str">
        <f>IF(C62="","",SUMIFS('ИТОГО Торговля'!$E$5:$E$300,'ИТОГО Торговля'!$B$5:$B$300,$B62)+SUMIFS('ИТОГО Лэндинг'!$E$5:$E$300,'ИТОГО Лэндинг'!$B$5:$B$300,$B62))</f>
        <v/>
      </c>
      <c r="F62" s="246" t="str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 t="str">
        <f>IF(F62="","",H62/F62)</f>
        <v/>
      </c>
      <c r="H62" s="247" t="str">
        <f>IF(F62="","",SUMIFS('ИТОГО Торговля'!$H$5:$H$300,'ИТОГО Торговля'!$B$5:$B$300,$B62)+SUMIFS('ИТОГО Лэндинг'!$H$5:$H$300,'ИТОГО Лэндинг'!$B$5:$B$300,$B62))</f>
        <v/>
      </c>
      <c r="I62" s="246" t="str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 t="str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 t="str">
        <f>IF(C63="","",E63/C63)</f>
        <v/>
      </c>
      <c r="E63" s="241" t="str">
        <f>IF(C63="","",SUMIFS('ИТОГО Торговля'!$E$5:$E$300,'ИТОГО Торговля'!$B$5:$B$300,$B63)+SUMIFS('ИТОГО Лэндинг'!$E$5:$E$300,'ИТОГО Лэндинг'!$B$5:$B$300,$B63))</f>
        <v/>
      </c>
      <c r="F63" s="240" t="str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 t="str">
        <f>IF(F63="","",H63/F63)</f>
        <v/>
      </c>
      <c r="H63" s="241" t="str">
        <f>IF(F63="","",SUMIFS('ИТОГО Торговля'!$H$5:$H$300,'ИТОГО Торговля'!$B$5:$B$300,$B63)+SUMIFS('ИТОГО Лэндинг'!$H$5:$H$300,'ИТОГО Лэндинг'!$B$5:$B$300,$B63))</f>
        <v/>
      </c>
      <c r="I63" s="240" t="str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 t="str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 t="str">
        <f>IF(C64="","",E64/C64)</f>
        <v/>
      </c>
      <c r="E64" s="247" t="str">
        <f>IF(C64="","",SUMIFS('ИТОГО Торговля'!$E$5:$E$300,'ИТОГО Торговля'!$B$5:$B$300,$B64)+SUMIFS('ИТОГО Лэндинг'!$E$5:$E$300,'ИТОГО Лэндинг'!$B$5:$B$300,$B64))</f>
        <v/>
      </c>
      <c r="F64" s="246" t="str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 t="str">
        <f>IF(F64="","",H64/F64)</f>
        <v/>
      </c>
      <c r="H64" s="247" t="str">
        <f>IF(F64="","",SUMIFS('ИТОГО Торговля'!$H$5:$H$300,'ИТОГО Торговля'!$B$5:$B$300,$B64)+SUMIFS('ИТОГО Лэндинг'!$H$5:$H$300,'ИТОГО Лэндинг'!$B$5:$B$300,$B64))</f>
        <v/>
      </c>
      <c r="I64" s="246" t="str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 t="str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 t="str">
        <f>IF(C65="","",E65/C65)</f>
        <v/>
      </c>
      <c r="E65" s="241" t="str">
        <f>IF(C65="","",SUMIFS('ИТОГО Торговля'!$E$5:$E$300,'ИТОГО Торговля'!$B$5:$B$300,$B65)+SUMIFS('ИТОГО Лэндинг'!$E$5:$E$300,'ИТОГО Лэндинг'!$B$5:$B$300,$B65))</f>
        <v/>
      </c>
      <c r="F65" s="240" t="str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 t="str">
        <f>IF(F65="","",H65/F65)</f>
        <v/>
      </c>
      <c r="H65" s="241" t="str">
        <f>IF(F65="","",SUMIFS('ИТОГО Торговля'!$H$5:$H$300,'ИТОГО Торговля'!$B$5:$B$300,$B65)+SUMIFS('ИТОГО Лэндинг'!$H$5:$H$300,'ИТОГО Лэндинг'!$B$5:$B$300,$B65))</f>
        <v/>
      </c>
      <c r="I65" s="240" t="str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 t="str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 t="str">
        <f>IF(C66="","",E66/C66)</f>
        <v/>
      </c>
      <c r="E66" s="247" t="str">
        <f>IF(C66="","",SUMIFS('ИТОГО Торговля'!$E$5:$E$300,'ИТОГО Торговля'!$B$5:$B$300,$B66)+SUMIFS('ИТОГО Лэндинг'!$E$5:$E$300,'ИТОГО Лэндинг'!$B$5:$B$300,$B66))</f>
        <v/>
      </c>
      <c r="F66" s="246" t="str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 t="str">
        <f>IF(F66="","",H66/F66)</f>
        <v/>
      </c>
      <c r="H66" s="247" t="str">
        <f>IF(F66="","",SUMIFS('ИТОГО Торговля'!$H$5:$H$300,'ИТОГО Торговля'!$B$5:$B$300,$B66)+SUMIFS('ИТОГО Лэндинг'!$H$5:$H$300,'ИТОГО Лэндинг'!$B$5:$B$300,$B66))</f>
        <v/>
      </c>
      <c r="I66" s="246" t="str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 t="str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 t="str">
        <f>IF(C67="","",E67/C67)</f>
        <v/>
      </c>
      <c r="E67" s="241" t="str">
        <f>IF(C67="","",SUMIFS('ИТОГО Торговля'!$E$5:$E$300,'ИТОГО Торговля'!$B$5:$B$300,$B67)+SUMIFS('ИТОГО Лэндинг'!$E$5:$E$300,'ИТОГО Лэндинг'!$B$5:$B$300,$B67))</f>
        <v/>
      </c>
      <c r="F67" s="240" t="str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 t="str">
        <f>IF(F67="","",H67/F67)</f>
        <v/>
      </c>
      <c r="H67" s="241" t="str">
        <f>IF(F67="","",SUMIFS('ИТОГО Торговля'!$H$5:$H$300,'ИТОГО Торговля'!$B$5:$B$300,$B67)+SUMIFS('ИТОГО Лэндинг'!$H$5:$H$300,'ИТОГО Лэндинг'!$B$5:$B$300,$B67))</f>
        <v/>
      </c>
      <c r="I67" s="240" t="str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 t="str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 t="str">
        <f>IF(C68="","",E68/C68)</f>
        <v/>
      </c>
      <c r="E68" s="247" t="str">
        <f>IF(C68="","",SUMIFS('ИТОГО Торговля'!$E$5:$E$300,'ИТОГО Торговля'!$B$5:$B$300,$B68)+SUMIFS('ИТОГО Лэндинг'!$E$5:$E$300,'ИТОГО Лэндинг'!$B$5:$B$300,$B68))</f>
        <v/>
      </c>
      <c r="F68" s="246" t="str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 t="str">
        <f>IF(F68="","",H68/F68)</f>
        <v/>
      </c>
      <c r="H68" s="247" t="str">
        <f>IF(F68="","",SUMIFS('ИТОГО Торговля'!$H$5:$H$300,'ИТОГО Торговля'!$B$5:$B$300,$B68)+SUMIFS('ИТОГО Лэндинг'!$H$5:$H$300,'ИТОГО Лэндинг'!$B$5:$B$300,$B68))</f>
        <v/>
      </c>
      <c r="I68" s="246" t="str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 t="str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 t="str">
        <f>IF(C69="","",E69/C69)</f>
        <v/>
      </c>
      <c r="E69" s="241" t="str">
        <f>IF(C69="","",SUMIFS('ИТОГО Торговля'!$E$5:$E$300,'ИТОГО Торговля'!$B$5:$B$300,$B69)+SUMIFS('ИТОГО Лэндинг'!$E$5:$E$300,'ИТОГО Лэндинг'!$B$5:$B$300,$B69))</f>
        <v/>
      </c>
      <c r="F69" s="240" t="str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 t="str">
        <f>IF(F69="","",H69/F69)</f>
        <v/>
      </c>
      <c r="H69" s="241" t="str">
        <f>IF(F69="","",SUMIFS('ИТОГО Торговля'!$H$5:$H$300,'ИТОГО Торговля'!$B$5:$B$300,$B69)+SUMIFS('ИТОГО Лэндинг'!$H$5:$H$300,'ИТОГО Лэндинг'!$B$5:$B$300,$B69))</f>
        <v/>
      </c>
      <c r="I69" s="240" t="str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 t="str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 t="str">
        <f>IF(C70="","",E70/C70)</f>
        <v/>
      </c>
      <c r="E70" s="247" t="str">
        <f>IF(C70="","",SUMIFS('ИТОГО Торговля'!$E$5:$E$300,'ИТОГО Торговля'!$B$5:$B$300,$B70)+SUMIFS('ИТОГО Лэндинг'!$E$5:$E$300,'ИТОГО Лэндинг'!$B$5:$B$300,$B70))</f>
        <v/>
      </c>
      <c r="F70" s="246" t="str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 t="str">
        <f>IF(F70="","",H70/F70)</f>
        <v/>
      </c>
      <c r="H70" s="247" t="str">
        <f>IF(F70="","",SUMIFS('ИТОГО Торговля'!$H$5:$H$300,'ИТОГО Торговля'!$B$5:$B$300,$B70)+SUMIFS('ИТОГО Лэндинг'!$H$5:$H$300,'ИТОГО Лэндинг'!$B$5:$B$300,$B70))</f>
        <v/>
      </c>
      <c r="I70" s="246" t="str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 t="str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 t="str">
        <f>IF(C71="","",E71/C71)</f>
        <v/>
      </c>
      <c r="E71" s="241" t="str">
        <f>IF(C71="","",SUMIFS('ИТОГО Торговля'!$E$5:$E$300,'ИТОГО Торговля'!$B$5:$B$300,$B71)+SUMIFS('ИТОГО Лэндинг'!$E$5:$E$300,'ИТОГО Лэндинг'!$B$5:$B$300,$B71))</f>
        <v/>
      </c>
      <c r="F71" s="240" t="str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 t="str">
        <f>IF(F71="","",H71/F71)</f>
        <v/>
      </c>
      <c r="H71" s="241" t="str">
        <f>IF(F71="","",SUMIFS('ИТОГО Торговля'!$H$5:$H$300,'ИТОГО Торговля'!$B$5:$B$300,$B71)+SUMIFS('ИТОГО Лэндинг'!$H$5:$H$300,'ИТОГО Лэндинг'!$B$5:$B$300,$B71))</f>
        <v/>
      </c>
      <c r="I71" s="240" t="str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 t="str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 t="str">
        <f>IF(C72="","",E72/C72)</f>
        <v/>
      </c>
      <c r="E72" s="247" t="str">
        <f>IF(C72="","",SUMIFS('ИТОГО Торговля'!$E$5:$E$300,'ИТОГО Торговля'!$B$5:$B$300,$B72)+SUMIFS('ИТОГО Лэндинг'!$E$5:$E$300,'ИТОГО Лэндинг'!$B$5:$B$300,$B72))</f>
        <v/>
      </c>
      <c r="F72" s="246" t="str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 t="str">
        <f>IF(F72="","",H72/F72)</f>
        <v/>
      </c>
      <c r="H72" s="247" t="str">
        <f>IF(F72="","",SUMIFS('ИТОГО Торговля'!$H$5:$H$300,'ИТОГО Торговля'!$B$5:$B$300,$B72)+SUMIFS('ИТОГО Лэндинг'!$H$5:$H$300,'ИТОГО Лэндинг'!$B$5:$B$300,$B72))</f>
        <v/>
      </c>
      <c r="I72" s="246" t="str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 t="str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 t="str">
        <f>IF(C73="","",E73/C73)</f>
        <v/>
      </c>
      <c r="E73" s="241" t="str">
        <f>IF(C73="","",SUMIFS('ИТОГО Торговля'!$E$5:$E$300,'ИТОГО Торговля'!$B$5:$B$300,$B73)+SUMIFS('ИТОГО Лэндинг'!$E$5:$E$300,'ИТОГО Лэндинг'!$B$5:$B$300,$B73))</f>
        <v/>
      </c>
      <c r="F73" s="240" t="str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 t="str">
        <f>IF(F73="","",H73/F73)</f>
        <v/>
      </c>
      <c r="H73" s="241" t="str">
        <f>IF(F73="","",SUMIFS('ИТОГО Торговля'!$H$5:$H$300,'ИТОГО Торговля'!$B$5:$B$300,$B73)+SUMIFS('ИТОГО Лэндинг'!$H$5:$H$300,'ИТОГО Лэндинг'!$B$5:$B$300,$B73))</f>
        <v/>
      </c>
      <c r="I73" s="240" t="str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 t="str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 t="str">
        <f>IF(C74="","",E74/C74)</f>
        <v/>
      </c>
      <c r="E74" s="247" t="str">
        <f>IF(C74="","",SUMIFS('ИТОГО Торговля'!$E$5:$E$300,'ИТОГО Торговля'!$B$5:$B$300,$B74)+SUMIFS('ИТОГО Лэндинг'!$E$5:$E$300,'ИТОГО Лэндинг'!$B$5:$B$300,$B74))</f>
        <v/>
      </c>
      <c r="F74" s="246" t="str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 t="str">
        <f>IF(F74="","",H74/F74)</f>
        <v/>
      </c>
      <c r="H74" s="247" t="str">
        <f>IF(F74="","",SUMIFS('ИТОГО Торговля'!$H$5:$H$300,'ИТОГО Торговля'!$B$5:$B$300,$B74)+SUMIFS('ИТОГО Лэндинг'!$H$5:$H$300,'ИТОГО Лэндинг'!$B$5:$B$300,$B74))</f>
        <v/>
      </c>
      <c r="I74" s="246" t="str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 t="str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 t="str">
        <f>IF(C75="","",E75/C75)</f>
        <v/>
      </c>
      <c r="E75" s="241" t="str">
        <f>IF(C75="","",SUMIFS('ИТОГО Торговля'!$E$5:$E$300,'ИТОГО Торговля'!$B$5:$B$300,$B75)+SUMIFS('ИТОГО Лэндинг'!$E$5:$E$300,'ИТОГО Лэндинг'!$B$5:$B$300,$B75))</f>
        <v/>
      </c>
      <c r="F75" s="240" t="str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 t="str">
        <f>IF(F75="","",H75/F75)</f>
        <v/>
      </c>
      <c r="H75" s="241" t="str">
        <f>IF(F75="","",SUMIFS('ИТОГО Торговля'!$H$5:$H$300,'ИТОГО Торговля'!$B$5:$B$300,$B75)+SUMIFS('ИТОГО Лэндинг'!$H$5:$H$300,'ИТОГО Лэндинг'!$B$5:$B$300,$B75))</f>
        <v/>
      </c>
      <c r="I75" s="240" t="str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 t="str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 t="str">
        <f>IF(C76="","",E76/C76)</f>
        <v/>
      </c>
      <c r="E76" s="247" t="str">
        <f>IF(C76="","",SUMIFS('ИТОГО Торговля'!$E$5:$E$300,'ИТОГО Торговля'!$B$5:$B$300,$B76)+SUMIFS('ИТОГО Лэндинг'!$E$5:$E$300,'ИТОГО Лэндинг'!$B$5:$B$300,$B76))</f>
        <v/>
      </c>
      <c r="F76" s="246" t="str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 t="str">
        <f>IF(F76="","",H76/F76)</f>
        <v/>
      </c>
      <c r="H76" s="247" t="str">
        <f>IF(F76="","",SUMIFS('ИТОГО Торговля'!$H$5:$H$300,'ИТОГО Торговля'!$B$5:$B$300,$B76)+SUMIFS('ИТОГО Лэндинг'!$H$5:$H$300,'ИТОГО Лэндинг'!$B$5:$B$300,$B76))</f>
        <v/>
      </c>
      <c r="I76" s="246" t="str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 t="str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 t="str">
        <f>IF(C77="","",E77/C77)</f>
        <v/>
      </c>
      <c r="E77" s="241" t="str">
        <f>IF(C77="","",SUMIFS('ИТОГО Торговля'!$E$5:$E$300,'ИТОГО Торговля'!$B$5:$B$300,$B77)+SUMIFS('ИТОГО Лэндинг'!$E$5:$E$300,'ИТОГО Лэндинг'!$B$5:$B$300,$B77))</f>
        <v/>
      </c>
      <c r="F77" s="240" t="str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 t="str">
        <f>IF(F77="","",H77/F77)</f>
        <v/>
      </c>
      <c r="H77" s="241" t="str">
        <f>IF(F77="","",SUMIFS('ИТОГО Торговля'!$H$5:$H$300,'ИТОГО Торговля'!$B$5:$B$300,$B77)+SUMIFS('ИТОГО Лэндинг'!$H$5:$H$300,'ИТОГО Лэндинг'!$B$5:$B$300,$B77))</f>
        <v/>
      </c>
      <c r="I77" s="240" t="str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 t="str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 t="str">
        <f>IF(C78="","",E78/C78)</f>
        <v/>
      </c>
      <c r="E78" s="247" t="str">
        <f>IF(C78="","",SUMIFS('ИТОГО Торговля'!$E$5:$E$300,'ИТОГО Торговля'!$B$5:$B$300,$B78)+SUMIFS('ИТОГО Лэндинг'!$E$5:$E$300,'ИТОГО Лэндинг'!$B$5:$B$300,$B78))</f>
        <v/>
      </c>
      <c r="F78" s="246" t="str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 t="str">
        <f>IF(F78="","",H78/F78)</f>
        <v/>
      </c>
      <c r="H78" s="247" t="str">
        <f>IF(F78="","",SUMIFS('ИТОГО Торговля'!$H$5:$H$300,'ИТОГО Торговля'!$B$5:$B$300,$B78)+SUMIFS('ИТОГО Лэндинг'!$H$5:$H$300,'ИТОГО Лэндинг'!$B$5:$B$300,$B78))</f>
        <v/>
      </c>
      <c r="I78" s="246" t="str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 t="str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 t="str">
        <f>IF(C79="","",E79/C79)</f>
        <v/>
      </c>
      <c r="E79" s="241" t="str">
        <f>IF(C79="","",SUMIFS('ИТОГО Торговля'!$E$5:$E$300,'ИТОГО Торговля'!$B$5:$B$300,$B79)+SUMIFS('ИТОГО Лэндинг'!$E$5:$E$300,'ИТОГО Лэндинг'!$B$5:$B$300,$B79))</f>
        <v/>
      </c>
      <c r="F79" s="240" t="str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 t="str">
        <f>IF(F79="","",H79/F79)</f>
        <v/>
      </c>
      <c r="H79" s="241" t="str">
        <f>IF(F79="","",SUMIFS('ИТОГО Торговля'!$H$5:$H$300,'ИТОГО Торговля'!$B$5:$B$300,$B79)+SUMIFS('ИТОГО Лэндинг'!$H$5:$H$300,'ИТОГО Лэндинг'!$B$5:$B$300,$B79))</f>
        <v/>
      </c>
      <c r="I79" s="240" t="str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 t="str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 t="str">
        <f>IF(C80="","",E80/C80)</f>
        <v/>
      </c>
      <c r="E80" s="247" t="str">
        <f>IF(C80="","",SUMIFS('ИТОГО Торговля'!$E$5:$E$300,'ИТОГО Торговля'!$B$5:$B$300,$B80)+SUMIFS('ИТОГО Лэндинг'!$E$5:$E$300,'ИТОГО Лэндинг'!$B$5:$B$300,$B80))</f>
        <v/>
      </c>
      <c r="F80" s="246" t="str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 t="str">
        <f>IF(F80="","",H80/F80)</f>
        <v/>
      </c>
      <c r="H80" s="247" t="str">
        <f>IF(F80="","",SUMIFS('ИТОГО Торговля'!$H$5:$H$300,'ИТОГО Торговля'!$B$5:$B$300,$B80)+SUMIFS('ИТОГО Лэндинг'!$H$5:$H$300,'ИТОГО Лэндинг'!$B$5:$B$300,$B80))</f>
        <v/>
      </c>
      <c r="I80" s="246" t="str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 t="str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 t="str">
        <f>IF(C81="","",E81/C81)</f>
        <v/>
      </c>
      <c r="E81" s="241" t="str">
        <f>IF(C81="","",SUMIFS('ИТОГО Торговля'!$E$5:$E$300,'ИТОГО Торговля'!$B$5:$B$300,$B81)+SUMIFS('ИТОГО Лэндинг'!$E$5:$E$300,'ИТОГО Лэндинг'!$B$5:$B$300,$B81))</f>
        <v/>
      </c>
      <c r="F81" s="240" t="str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 t="str">
        <f>IF(F81="","",H81/F81)</f>
        <v/>
      </c>
      <c r="H81" s="241" t="str">
        <f>IF(F81="","",SUMIFS('ИТОГО Торговля'!$H$5:$H$300,'ИТОГО Торговля'!$B$5:$B$300,$B81)+SUMIFS('ИТОГО Лэндинг'!$H$5:$H$300,'ИТОГО Лэндинг'!$B$5:$B$300,$B81))</f>
        <v/>
      </c>
      <c r="I81" s="240" t="str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 t="str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 t="str">
        <f>IF(C82="","",E82/C82)</f>
        <v/>
      </c>
      <c r="E82" s="247" t="str">
        <f>IF(C82="","",SUMIFS('ИТОГО Торговля'!$E$5:$E$300,'ИТОГО Торговля'!$B$5:$B$300,$B82)+SUMIFS('ИТОГО Лэндинг'!$E$5:$E$300,'ИТОГО Лэндинг'!$B$5:$B$300,$B82))</f>
        <v/>
      </c>
      <c r="F82" s="246" t="str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 t="str">
        <f>IF(F82="","",H82/F82)</f>
        <v/>
      </c>
      <c r="H82" s="247" t="str">
        <f>IF(F82="","",SUMIFS('ИТОГО Торговля'!$H$5:$H$300,'ИТОГО Торговля'!$B$5:$B$300,$B82)+SUMIFS('ИТОГО Лэндинг'!$H$5:$H$300,'ИТОГО Лэндинг'!$B$5:$B$300,$B82))</f>
        <v/>
      </c>
      <c r="I82" s="246" t="str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 t="str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 t="str">
        <f>IF(C83="","",E83/C83)</f>
        <v/>
      </c>
      <c r="E83" s="241" t="str">
        <f>IF(C83="","",SUMIFS('ИТОГО Торговля'!$E$5:$E$300,'ИТОГО Торговля'!$B$5:$B$300,$B83)+SUMIFS('ИТОГО Лэндинг'!$E$5:$E$300,'ИТОГО Лэндинг'!$B$5:$B$300,$B83))</f>
        <v/>
      </c>
      <c r="F83" s="240" t="str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 t="str">
        <f>IF(F83="","",H83/F83)</f>
        <v/>
      </c>
      <c r="H83" s="241" t="str">
        <f>IF(F83="","",SUMIFS('ИТОГО Торговля'!$H$5:$H$300,'ИТОГО Торговля'!$B$5:$B$300,$B83)+SUMIFS('ИТОГО Лэндинг'!$H$5:$H$300,'ИТОГО Лэндинг'!$B$5:$B$300,$B83))</f>
        <v/>
      </c>
      <c r="I83" s="240" t="str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 t="str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 t="str">
        <f>IF(C84="","",E84/C84)</f>
        <v/>
      </c>
      <c r="E84" s="247" t="str">
        <f>IF(C84="","",SUMIFS('ИТОГО Торговля'!$E$5:$E$300,'ИТОГО Торговля'!$B$5:$B$300,$B84)+SUMIFS('ИТОГО Лэндинг'!$E$5:$E$300,'ИТОГО Лэндинг'!$B$5:$B$300,$B84))</f>
        <v/>
      </c>
      <c r="F84" s="246" t="str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 t="str">
        <f>IF(F84="","",H84/F84)</f>
        <v/>
      </c>
      <c r="H84" s="247" t="str">
        <f>IF(F84="","",SUMIFS('ИТОГО Торговля'!$H$5:$H$300,'ИТОГО Торговля'!$B$5:$B$300,$B84)+SUMIFS('ИТОГО Лэндинг'!$H$5:$H$300,'ИТОГО Лэндинг'!$B$5:$B$300,$B84))</f>
        <v/>
      </c>
      <c r="I84" s="246" t="str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 t="str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 t="str">
        <f>IF(C85="","",E85/C85)</f>
        <v/>
      </c>
      <c r="E85" s="241" t="str">
        <f>IF(C85="","",SUMIFS('ИТОГО Торговля'!$E$5:$E$300,'ИТОГО Торговля'!$B$5:$B$300,$B85)+SUMIFS('ИТОГО Лэндинг'!$E$5:$E$300,'ИТОГО Лэндинг'!$B$5:$B$300,$B85))</f>
        <v/>
      </c>
      <c r="F85" s="240" t="str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 t="str">
        <f>IF(F85="","",H85/F85)</f>
        <v/>
      </c>
      <c r="H85" s="241" t="str">
        <f>IF(F85="","",SUMIFS('ИТОГО Торговля'!$H$5:$H$300,'ИТОГО Торговля'!$B$5:$B$300,$B85)+SUMIFS('ИТОГО Лэндинг'!$H$5:$H$300,'ИТОГО Лэндинг'!$B$5:$B$300,$B85))</f>
        <v/>
      </c>
      <c r="I85" s="240" t="str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 t="str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 t="str">
        <f>IF(C86="","",E86/C86)</f>
        <v/>
      </c>
      <c r="E86" s="247" t="str">
        <f>IF(C86="","",SUMIFS('ИТОГО Торговля'!$E$5:$E$300,'ИТОГО Торговля'!$B$5:$B$300,$B86)+SUMIFS('ИТОГО Лэндинг'!$E$5:$E$300,'ИТОГО Лэндинг'!$B$5:$B$300,$B86))</f>
        <v/>
      </c>
      <c r="F86" s="246" t="str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 t="str">
        <f>IF(F86="","",H86/F86)</f>
        <v/>
      </c>
      <c r="H86" s="247" t="str">
        <f>IF(F86="","",SUMIFS('ИТОГО Торговля'!$H$5:$H$300,'ИТОГО Торговля'!$B$5:$B$300,$B86)+SUMIFS('ИТОГО Лэндинг'!$H$5:$H$300,'ИТОГО Лэндинг'!$B$5:$B$300,$B86))</f>
        <v/>
      </c>
      <c r="I86" s="246" t="str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 t="str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 t="str">
        <f>IF(C87="","",E87/C87)</f>
        <v/>
      </c>
      <c r="E87" s="241" t="str">
        <f>IF(C87="","",SUMIFS('ИТОГО Торговля'!$E$5:$E$300,'ИТОГО Торговля'!$B$5:$B$300,$B87)+SUMIFS('ИТОГО Лэндинг'!$E$5:$E$300,'ИТОГО Лэндинг'!$B$5:$B$300,$B87))</f>
        <v/>
      </c>
      <c r="F87" s="240" t="str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 t="str">
        <f>IF(F87="","",H87/F87)</f>
        <v/>
      </c>
      <c r="H87" s="241" t="str">
        <f>IF(F87="","",SUMIFS('ИТОГО Торговля'!$H$5:$H$300,'ИТОГО Торговля'!$B$5:$B$300,$B87)+SUMIFS('ИТОГО Лэндинг'!$H$5:$H$300,'ИТОГО Лэндинг'!$B$5:$B$300,$B87))</f>
        <v/>
      </c>
      <c r="I87" s="240" t="str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 t="str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 t="str">
        <f>IF(C88="","",E88/C88)</f>
        <v/>
      </c>
      <c r="E88" s="247" t="str">
        <f>IF(C88="","",SUMIFS('ИТОГО Торговля'!$E$5:$E$300,'ИТОГО Торговля'!$B$5:$B$300,$B88)+SUMIFS('ИТОГО Лэндинг'!$E$5:$E$300,'ИТОГО Лэндинг'!$B$5:$B$300,$B88))</f>
        <v/>
      </c>
      <c r="F88" s="246" t="str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 t="str">
        <f>IF(F88="","",H88/F88)</f>
        <v/>
      </c>
      <c r="H88" s="247" t="str">
        <f>IF(F88="","",SUMIFS('ИТОГО Торговля'!$H$5:$H$300,'ИТОГО Торговля'!$B$5:$B$300,$B88)+SUMIFS('ИТОГО Лэндинг'!$H$5:$H$300,'ИТОГО Лэндинг'!$B$5:$B$300,$B88))</f>
        <v/>
      </c>
      <c r="I88" s="246" t="str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 t="str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 t="str">
        <f>IF(C89="","",E89/C89)</f>
        <v/>
      </c>
      <c r="E89" s="241" t="str">
        <f>IF(C89="","",SUMIFS('ИТОГО Торговля'!$E$5:$E$300,'ИТОГО Торговля'!$B$5:$B$300,$B89)+SUMIFS('ИТОГО Лэндинг'!$E$5:$E$300,'ИТОГО Лэндинг'!$B$5:$B$300,$B89))</f>
        <v/>
      </c>
      <c r="F89" s="240" t="str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 t="str">
        <f>IF(F89="","",H89/F89)</f>
        <v/>
      </c>
      <c r="H89" s="241" t="str">
        <f>IF(F89="","",SUMIFS('ИТОГО Торговля'!$H$5:$H$300,'ИТОГО Торговля'!$B$5:$B$300,$B89)+SUMIFS('ИТОГО Лэндинг'!$H$5:$H$300,'ИТОГО Лэндинг'!$B$5:$B$300,$B89))</f>
        <v/>
      </c>
      <c r="I89" s="240" t="str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 t="str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 t="str">
        <f>IF(C90="","",E90/C90)</f>
        <v/>
      </c>
      <c r="E90" s="247" t="str">
        <f>IF(C90="","",SUMIFS('ИТОГО Торговля'!$E$5:$E$300,'ИТОГО Торговля'!$B$5:$B$300,$B90)+SUMIFS('ИТОГО Лэндинг'!$E$5:$E$300,'ИТОГО Лэндинг'!$B$5:$B$300,$B90))</f>
        <v/>
      </c>
      <c r="F90" s="246" t="str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 t="str">
        <f>IF(F90="","",H90/F90)</f>
        <v/>
      </c>
      <c r="H90" s="247" t="str">
        <f>IF(F90="","",SUMIFS('ИТОГО Торговля'!$H$5:$H$300,'ИТОГО Торговля'!$B$5:$B$300,$B90)+SUMIFS('ИТОГО Лэндинг'!$H$5:$H$300,'ИТОГО Лэндинг'!$B$5:$B$300,$B90))</f>
        <v/>
      </c>
      <c r="I90" s="246" t="str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 t="str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 t="str">
        <f>IF(C91="","",E91/C91)</f>
        <v/>
      </c>
      <c r="E91" s="241" t="str">
        <f>IF(C91="","",SUMIFS('ИТОГО Торговля'!$E$5:$E$300,'ИТОГО Торговля'!$B$5:$B$300,$B91)+SUMIFS('ИТОГО Лэндинг'!$E$5:$E$300,'ИТОГО Лэндинг'!$B$5:$B$300,$B91))</f>
        <v/>
      </c>
      <c r="F91" s="240" t="str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 t="str">
        <f>IF(F91="","",H91/F91)</f>
        <v/>
      </c>
      <c r="H91" s="241" t="str">
        <f>IF(F91="","",SUMIFS('ИТОГО Торговля'!$H$5:$H$300,'ИТОГО Торговля'!$B$5:$B$300,$B91)+SUMIFS('ИТОГО Лэндинг'!$H$5:$H$300,'ИТОГО Лэндинг'!$B$5:$B$300,$B91))</f>
        <v/>
      </c>
      <c r="I91" s="240" t="str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 t="str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 t="str">
        <f>IF(C92="","",E92/C92)</f>
        <v/>
      </c>
      <c r="E92" s="247" t="str">
        <f>IF(C92="","",SUMIFS('ИТОГО Торговля'!$E$5:$E$300,'ИТОГО Торговля'!$B$5:$B$300,$B92)+SUMIFS('ИТОГО Лэндинг'!$E$5:$E$300,'ИТОГО Лэндинг'!$B$5:$B$300,$B92))</f>
        <v/>
      </c>
      <c r="F92" s="246" t="str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 t="str">
        <f>IF(F92="","",H92/F92)</f>
        <v/>
      </c>
      <c r="H92" s="247" t="str">
        <f>IF(F92="","",SUMIFS('ИТОГО Торговля'!$H$5:$H$300,'ИТОГО Торговля'!$B$5:$B$300,$B92)+SUMIFS('ИТОГО Лэндинг'!$H$5:$H$300,'ИТОГО Лэндинг'!$B$5:$B$300,$B92))</f>
        <v/>
      </c>
      <c r="I92" s="246" t="str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 t="str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 t="str">
        <f>IF(C93="","",E93/C93)</f>
        <v/>
      </c>
      <c r="E93" s="241" t="str">
        <f>IF(C93="","",SUMIFS('ИТОГО Торговля'!$E$5:$E$300,'ИТОГО Торговля'!$B$5:$B$300,$B93)+SUMIFS('ИТОГО Лэндинг'!$E$5:$E$300,'ИТОГО Лэндинг'!$B$5:$B$300,$B93))</f>
        <v/>
      </c>
      <c r="F93" s="240" t="str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 t="str">
        <f>IF(F93="","",H93/F93)</f>
        <v/>
      </c>
      <c r="H93" s="241" t="str">
        <f>IF(F93="","",SUMIFS('ИТОГО Торговля'!$H$5:$H$300,'ИТОГО Торговля'!$B$5:$B$300,$B93)+SUMIFS('ИТОГО Лэндинг'!$H$5:$H$300,'ИТОГО Лэндинг'!$B$5:$B$300,$B93))</f>
        <v/>
      </c>
      <c r="I93" s="240" t="str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 t="str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 t="str">
        <f>IF(C94="","",E94/C94)</f>
        <v/>
      </c>
      <c r="E94" s="247" t="str">
        <f>IF(C94="","",SUMIFS('ИТОГО Торговля'!$E$5:$E$300,'ИТОГО Торговля'!$B$5:$B$300,$B94)+SUMIFS('ИТОГО Лэндинг'!$E$5:$E$300,'ИТОГО Лэндинг'!$B$5:$B$300,$B94))</f>
        <v/>
      </c>
      <c r="F94" s="246" t="str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 t="str">
        <f>IF(F94="","",H94/F94)</f>
        <v/>
      </c>
      <c r="H94" s="247" t="str">
        <f>IF(F94="","",SUMIFS('ИТОГО Торговля'!$H$5:$H$300,'ИТОГО Торговля'!$B$5:$B$300,$B94)+SUMIFS('ИТОГО Лэндинг'!$H$5:$H$300,'ИТОГО Лэндинг'!$B$5:$B$300,$B94))</f>
        <v/>
      </c>
      <c r="I94" s="246" t="str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 t="str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 t="str">
        <f>IF(C95="","",E95/C95)</f>
        <v/>
      </c>
      <c r="E95" s="241" t="str">
        <f>IF(C95="","",SUMIFS('ИТОГО Торговля'!$E$5:$E$300,'ИТОГО Торговля'!$B$5:$B$300,$B95)+SUMIFS('ИТОГО Лэндинг'!$E$5:$E$300,'ИТОГО Лэндинг'!$B$5:$B$300,$B95))</f>
        <v/>
      </c>
      <c r="F95" s="240" t="str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 t="str">
        <f>IF(F95="","",H95/F95)</f>
        <v/>
      </c>
      <c r="H95" s="241" t="str">
        <f>IF(F95="","",SUMIFS('ИТОГО Торговля'!$H$5:$H$300,'ИТОГО Торговля'!$B$5:$B$300,$B95)+SUMIFS('ИТОГО Лэндинг'!$H$5:$H$300,'ИТОГО Лэндинг'!$B$5:$B$300,$B95))</f>
        <v/>
      </c>
      <c r="I95" s="240" t="str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 t="str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 t="str">
        <f>IF(C96="","",E96/C96)</f>
        <v/>
      </c>
      <c r="E96" s="247" t="str">
        <f>IF(C96="","",SUMIFS('ИТОГО Торговля'!$E$5:$E$300,'ИТОГО Торговля'!$B$5:$B$300,$B96)+SUMIFS('ИТОГО Лэндинг'!$E$5:$E$300,'ИТОГО Лэндинг'!$B$5:$B$300,$B96))</f>
        <v/>
      </c>
      <c r="F96" s="246" t="str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 t="str">
        <f>IF(F96="","",H96/F96)</f>
        <v/>
      </c>
      <c r="H96" s="247" t="str">
        <f>IF(F96="","",SUMIFS('ИТОГО Торговля'!$H$5:$H$300,'ИТОГО Торговля'!$B$5:$B$300,$B96)+SUMIFS('ИТОГО Лэндинг'!$H$5:$H$300,'ИТОГО Лэндинг'!$B$5:$B$300,$B96))</f>
        <v/>
      </c>
      <c r="I96" s="246" t="str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 t="str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 t="str">
        <f>IF(C97="","",E97/C97)</f>
        <v/>
      </c>
      <c r="E97" s="241" t="str">
        <f>IF(C97="","",SUMIFS('ИТОГО Торговля'!$E$5:$E$300,'ИТОГО Торговля'!$B$5:$B$300,$B97)+SUMIFS('ИТОГО Лэндинг'!$E$5:$E$300,'ИТОГО Лэндинг'!$B$5:$B$300,$B97))</f>
        <v/>
      </c>
      <c r="F97" s="240" t="str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 t="str">
        <f>IF(F97="","",H97/F97)</f>
        <v/>
      </c>
      <c r="H97" s="241" t="str">
        <f>IF(F97="","",SUMIFS('ИТОГО Торговля'!$H$5:$H$300,'ИТОГО Торговля'!$B$5:$B$300,$B97)+SUMIFS('ИТОГО Лэндинг'!$H$5:$H$300,'ИТОГО Лэндинг'!$B$5:$B$300,$B97))</f>
        <v/>
      </c>
      <c r="I97" s="240" t="str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 t="str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 t="str">
        <f>IF(C98="","",E98/C98)</f>
        <v/>
      </c>
      <c r="E98" s="247" t="str">
        <f>IF(C98="","",SUMIFS('ИТОГО Торговля'!$E$5:$E$300,'ИТОГО Торговля'!$B$5:$B$300,$B98)+SUMIFS('ИТОГО Лэндинг'!$E$5:$E$300,'ИТОГО Лэндинг'!$B$5:$B$300,$B98))</f>
        <v/>
      </c>
      <c r="F98" s="246" t="str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 t="str">
        <f>IF(F98="","",H98/F98)</f>
        <v/>
      </c>
      <c r="H98" s="247" t="str">
        <f>IF(F98="","",SUMIFS('ИТОГО Торговля'!$H$5:$H$300,'ИТОГО Торговля'!$B$5:$B$300,$B98)+SUMIFS('ИТОГО Лэндинг'!$H$5:$H$300,'ИТОГО Лэндинг'!$B$5:$B$300,$B98))</f>
        <v/>
      </c>
      <c r="I98" s="246" t="str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 t="str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 t="str">
        <f>IF(C99="","",E99/C99)</f>
        <v/>
      </c>
      <c r="E99" s="241" t="str">
        <f>IF(C99="","",SUMIFS('ИТОГО Торговля'!$E$5:$E$300,'ИТОГО Торговля'!$B$5:$B$300,$B99)+SUMIFS('ИТОГО Лэндинг'!$E$5:$E$300,'ИТОГО Лэндинг'!$B$5:$B$300,$B99))</f>
        <v/>
      </c>
      <c r="F99" s="240" t="str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 t="str">
        <f>IF(F99="","",H99/F99)</f>
        <v/>
      </c>
      <c r="H99" s="241" t="str">
        <f>IF(F99="","",SUMIFS('ИТОГО Торговля'!$H$5:$H$300,'ИТОГО Торговля'!$B$5:$B$300,$B99)+SUMIFS('ИТОГО Лэндинг'!$H$5:$H$300,'ИТОГО Лэндинг'!$B$5:$B$300,$B99))</f>
        <v/>
      </c>
      <c r="I99" s="240" t="str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 t="str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 t="str">
        <f>IF(C100="","",E100/C100)</f>
        <v/>
      </c>
      <c r="E100" s="247" t="str">
        <f>IF(C100="","",SUMIFS('ИТОГО Торговля'!$E$5:$E$300,'ИТОГО Торговля'!$B$5:$B$300,$B100)+SUMIFS('ИТОГО Лэндинг'!$E$5:$E$300,'ИТОГО Лэндинг'!$B$5:$B$300,$B100))</f>
        <v/>
      </c>
      <c r="F100" s="246" t="str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 t="str">
        <f>IF(F100="","",H100/F100)</f>
        <v/>
      </c>
      <c r="H100" s="247" t="str">
        <f>IF(F100="","",SUMIFS('ИТОГО Торговля'!$H$5:$H$300,'ИТОГО Торговля'!$B$5:$B$300,$B100)+SUMIFS('ИТОГО Лэндинг'!$H$5:$H$300,'ИТОГО Лэндинг'!$B$5:$B$300,$B100))</f>
        <v/>
      </c>
      <c r="I100" s="246" t="str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 t="str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 t="str">
        <f>IF(C101="","",E101/C101)</f>
        <v/>
      </c>
      <c r="E101" s="241" t="str">
        <f>IF(C101="","",SUMIFS('ИТОГО Торговля'!$E$5:$E$300,'ИТОГО Торговля'!$B$5:$B$300,$B101)+SUMIFS('ИТОГО Лэндинг'!$E$5:$E$300,'ИТОГО Лэндинг'!$B$5:$B$300,$B101))</f>
        <v/>
      </c>
      <c r="F101" s="240" t="str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 t="str">
        <f>IF(F101="","",H101/F101)</f>
        <v/>
      </c>
      <c r="H101" s="241" t="str">
        <f>IF(F101="","",SUMIFS('ИТОГО Торговля'!$H$5:$H$300,'ИТОГО Торговля'!$B$5:$B$300,$B101)+SUMIFS('ИТОГО Лэндинг'!$H$5:$H$300,'ИТОГО Лэндинг'!$B$5:$B$300,$B101))</f>
        <v/>
      </c>
      <c r="I101" s="240" t="str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 t="str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 t="str">
        <f>IF(C102="","",E102/C102)</f>
        <v/>
      </c>
      <c r="E102" s="247" t="str">
        <f>IF(C102="","",SUMIFS('ИТОГО Торговля'!$E$5:$E$300,'ИТОГО Торговля'!$B$5:$B$300,$B102)+SUMIFS('ИТОГО Лэндинг'!$E$5:$E$300,'ИТОГО Лэндинг'!$B$5:$B$300,$B102))</f>
        <v/>
      </c>
      <c r="F102" s="246" t="str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 t="str">
        <f>IF(F102="","",H102/F102)</f>
        <v/>
      </c>
      <c r="H102" s="247" t="str">
        <f>IF(F102="","",SUMIFS('ИТОГО Торговля'!$H$5:$H$300,'ИТОГО Торговля'!$B$5:$B$300,$B102)+SUMIFS('ИТОГО Лэндинг'!$H$5:$H$300,'ИТОГО Лэндинг'!$B$5:$B$300,$B102))</f>
        <v/>
      </c>
      <c r="I102" s="246" t="str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 t="str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 t="str">
        <f>IF(C103="","",E103/C103)</f>
        <v/>
      </c>
      <c r="E103" s="241" t="str">
        <f>IF(C103="","",SUMIFS('ИТОГО Торговля'!$E$5:$E$300,'ИТОГО Торговля'!$B$5:$B$300,$B103)+SUMIFS('ИТОГО Лэндинг'!$E$5:$E$300,'ИТОГО Лэндинг'!$B$5:$B$300,$B103))</f>
        <v/>
      </c>
      <c r="F103" s="240" t="str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 t="str">
        <f>IF(F103="","",H103/F103)</f>
        <v/>
      </c>
      <c r="H103" s="241" t="str">
        <f>IF(F103="","",SUMIFS('ИТОГО Торговля'!$H$5:$H$300,'ИТОГО Торговля'!$B$5:$B$300,$B103)+SUMIFS('ИТОГО Лэндинг'!$H$5:$H$300,'ИТОГО Лэндинг'!$B$5:$B$300,$B103))</f>
        <v/>
      </c>
      <c r="I103" s="240" t="str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 t="str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 t="str">
        <f>IF(C104="","",E104/C104)</f>
        <v/>
      </c>
      <c r="E104" s="247" t="str">
        <f>IF(C104="","",SUMIFS('ИТОГО Торговля'!$E$5:$E$300,'ИТОГО Торговля'!$B$5:$B$300,$B104)+SUMIFS('ИТОГО Лэндинг'!$E$5:$E$300,'ИТОГО Лэндинг'!$B$5:$B$300,$B104))</f>
        <v/>
      </c>
      <c r="F104" s="246" t="str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 t="str">
        <f>IF(F104="","",H104/F104)</f>
        <v/>
      </c>
      <c r="H104" s="247" t="str">
        <f>IF(F104="","",SUMIFS('ИТОГО Торговля'!$H$5:$H$300,'ИТОГО Торговля'!$B$5:$B$300,$B104)+SUMIFS('ИТОГО Лэндинг'!$H$5:$H$300,'ИТОГО Лэндинг'!$B$5:$B$300,$B104))</f>
        <v/>
      </c>
      <c r="I104" s="246" t="str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 t="str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 t="str">
        <f>IF(C105="","",E105/C105)</f>
        <v/>
      </c>
      <c r="E105" s="241" t="str">
        <f>IF(C105="","",SUMIFS('ИТОГО Торговля'!$E$5:$E$300,'ИТОГО Торговля'!$B$5:$B$300,$B105)+SUMIFS('ИТОГО Лэндинг'!$E$5:$E$300,'ИТОГО Лэндинг'!$B$5:$B$300,$B105))</f>
        <v/>
      </c>
      <c r="F105" s="240" t="str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 t="str">
        <f>IF(F105="","",H105/F105)</f>
        <v/>
      </c>
      <c r="H105" s="241" t="str">
        <f>IF(F105="","",SUMIFS('ИТОГО Торговля'!$H$5:$H$300,'ИТОГО Торговля'!$B$5:$B$300,$B105)+SUMIFS('ИТОГО Лэндинг'!$H$5:$H$300,'ИТОГО Лэндинг'!$B$5:$B$300,$B105))</f>
        <v/>
      </c>
      <c r="I105" s="240" t="str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 t="str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 t="str">
        <f>IF(C106="","",E106/C106)</f>
        <v/>
      </c>
      <c r="E106" s="247" t="str">
        <f>IF(C106="","",SUMIFS('ИТОГО Торговля'!$E$5:$E$300,'ИТОГО Торговля'!$B$5:$B$300,$B106)+SUMIFS('ИТОГО Лэндинг'!$E$5:$E$300,'ИТОГО Лэндинг'!$B$5:$B$300,$B106))</f>
        <v/>
      </c>
      <c r="F106" s="246" t="str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 t="str">
        <f>IF(F106="","",H106/F106)</f>
        <v/>
      </c>
      <c r="H106" s="247" t="str">
        <f>IF(F106="","",SUMIFS('ИТОГО Торговля'!$H$5:$H$300,'ИТОГО Торговля'!$B$5:$B$300,$B106)+SUMIFS('ИТОГО Лэндинг'!$H$5:$H$300,'ИТОГО Лэндинг'!$B$5:$B$300,$B106))</f>
        <v/>
      </c>
      <c r="I106" s="246" t="str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 t="str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 t="str">
        <f>IF(C107="","",E107/C107)</f>
        <v/>
      </c>
      <c r="E107" s="241" t="str">
        <f>IF(C107="","",SUMIFS('ИТОГО Торговля'!$E$5:$E$300,'ИТОГО Торговля'!$B$5:$B$300,$B107)+SUMIFS('ИТОГО Лэндинг'!$E$5:$E$300,'ИТОГО Лэндинг'!$B$5:$B$300,$B107))</f>
        <v/>
      </c>
      <c r="F107" s="240" t="str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 t="str">
        <f>IF(F107="","",H107/F107)</f>
        <v/>
      </c>
      <c r="H107" s="241" t="str">
        <f>IF(F107="","",SUMIFS('ИТОГО Торговля'!$H$5:$H$300,'ИТОГО Торговля'!$B$5:$B$300,$B107)+SUMIFS('ИТОГО Лэндинг'!$H$5:$H$300,'ИТОГО Лэндинг'!$B$5:$B$300,$B107))</f>
        <v/>
      </c>
      <c r="I107" s="240" t="str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 t="str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 t="str">
        <f>IF(C108="","",E108/C108)</f>
        <v/>
      </c>
      <c r="E108" s="247" t="str">
        <f>IF(C108="","",SUMIFS('ИТОГО Торговля'!$E$5:$E$300,'ИТОГО Торговля'!$B$5:$B$300,$B108)+SUMIFS('ИТОГО Лэндинг'!$E$5:$E$300,'ИТОГО Лэндинг'!$B$5:$B$300,$B108))</f>
        <v/>
      </c>
      <c r="F108" s="246" t="str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 t="str">
        <f>IF(F108="","",H108/F108)</f>
        <v/>
      </c>
      <c r="H108" s="247" t="str">
        <f>IF(F108="","",SUMIFS('ИТОГО Торговля'!$H$5:$H$300,'ИТОГО Торговля'!$B$5:$B$300,$B108)+SUMIFS('ИТОГО Лэндинг'!$H$5:$H$300,'ИТОГО Лэндинг'!$B$5:$B$300,$B108))</f>
        <v/>
      </c>
      <c r="I108" s="246" t="str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 t="str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 t="str">
        <f>IF(C109="","",E109/C109)</f>
        <v/>
      </c>
      <c r="E109" s="241" t="str">
        <f>IF(C109="","",SUMIFS('ИТОГО Торговля'!$E$5:$E$300,'ИТОГО Торговля'!$B$5:$B$300,$B109)+SUMIFS('ИТОГО Лэндинг'!$E$5:$E$300,'ИТОГО Лэндинг'!$B$5:$B$300,$B109))</f>
        <v/>
      </c>
      <c r="F109" s="240" t="str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 t="str">
        <f>IF(F109="","",H109/F109)</f>
        <v/>
      </c>
      <c r="H109" s="241" t="str">
        <f>IF(F109="","",SUMIFS('ИТОГО Торговля'!$H$5:$H$300,'ИТОГО Торговля'!$B$5:$B$300,$B109)+SUMIFS('ИТОГО Лэндинг'!$H$5:$H$300,'ИТОГО Лэндинг'!$B$5:$B$300,$B109))</f>
        <v/>
      </c>
      <c r="I109" s="240" t="str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 t="str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 t="str">
        <f>IF(C110="","",E110/C110)</f>
        <v/>
      </c>
      <c r="E110" s="247" t="str">
        <f>IF(C110="","",SUMIFS('ИТОГО Торговля'!$E$5:$E$300,'ИТОГО Торговля'!$B$5:$B$300,$B110)+SUMIFS('ИТОГО Лэндинг'!$E$5:$E$300,'ИТОГО Лэндинг'!$B$5:$B$300,$B110))</f>
        <v/>
      </c>
      <c r="F110" s="246" t="str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 t="str">
        <f>IF(F110="","",H110/F110)</f>
        <v/>
      </c>
      <c r="H110" s="247" t="str">
        <f>IF(F110="","",SUMIFS('ИТОГО Торговля'!$H$5:$H$300,'ИТОГО Торговля'!$B$5:$B$300,$B110)+SUMIFS('ИТОГО Лэндинг'!$H$5:$H$300,'ИТОГО Лэндинг'!$B$5:$B$300,$B110))</f>
        <v/>
      </c>
      <c r="I110" s="246" t="str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 t="str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 t="str">
        <f>IF(C111="","",E111/C111)</f>
        <v/>
      </c>
      <c r="E111" s="241" t="str">
        <f>IF(C111="","",SUMIFS('ИТОГО Торговля'!$E$5:$E$300,'ИТОГО Торговля'!$B$5:$B$300,$B111)+SUMIFS('ИТОГО Лэндинг'!$E$5:$E$300,'ИТОГО Лэндинг'!$B$5:$B$300,$B111))</f>
        <v/>
      </c>
      <c r="F111" s="240" t="str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 t="str">
        <f>IF(F111="","",H111/F111)</f>
        <v/>
      </c>
      <c r="H111" s="241" t="str">
        <f>IF(F111="","",SUMIFS('ИТОГО Торговля'!$H$5:$H$300,'ИТОГО Торговля'!$B$5:$B$300,$B111)+SUMIFS('ИТОГО Лэндинг'!$H$5:$H$300,'ИТОГО Лэндинг'!$B$5:$B$300,$B111))</f>
        <v/>
      </c>
      <c r="I111" s="240" t="str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 t="str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 t="str">
        <f>IF(C112="","",E112/C112)</f>
        <v/>
      </c>
      <c r="E112" s="247" t="str">
        <f>IF(C112="","",SUMIFS('ИТОГО Торговля'!$E$5:$E$300,'ИТОГО Торговля'!$B$5:$B$300,$B112)+SUMIFS('ИТОГО Лэндинг'!$E$5:$E$300,'ИТОГО Лэндинг'!$B$5:$B$300,$B112))</f>
        <v/>
      </c>
      <c r="F112" s="246" t="str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 t="str">
        <f>IF(F112="","",H112/F112)</f>
        <v/>
      </c>
      <c r="H112" s="247" t="str">
        <f>IF(F112="","",SUMIFS('ИТОГО Торговля'!$H$5:$H$300,'ИТОГО Торговля'!$B$5:$B$300,$B112)+SUMIFS('ИТОГО Лэндинг'!$H$5:$H$300,'ИТОГО Лэндинг'!$B$5:$B$300,$B112))</f>
        <v/>
      </c>
      <c r="I112" s="246" t="str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 t="str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 t="str">
        <f>IF(C113="","",E113/C113)</f>
        <v/>
      </c>
      <c r="E113" s="241" t="str">
        <f>IF(C113="","",SUMIFS('ИТОГО Торговля'!$E$5:$E$300,'ИТОГО Торговля'!$B$5:$B$300,$B113)+SUMIFS('ИТОГО Лэндинг'!$E$5:$E$300,'ИТОГО Лэндинг'!$B$5:$B$300,$B113))</f>
        <v/>
      </c>
      <c r="F113" s="240" t="str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 t="str">
        <f>IF(F113="","",H113/F113)</f>
        <v/>
      </c>
      <c r="H113" s="241" t="str">
        <f>IF(F113="","",SUMIFS('ИТОГО Торговля'!$H$5:$H$300,'ИТОГО Торговля'!$B$5:$B$300,$B113)+SUMIFS('ИТОГО Лэндинг'!$H$5:$H$300,'ИТОГО Лэндинг'!$B$5:$B$300,$B113))</f>
        <v/>
      </c>
      <c r="I113" s="240" t="str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 t="str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 t="str">
        <f>IF(C114="","",E114/C114)</f>
        <v/>
      </c>
      <c r="E114" s="247" t="str">
        <f>IF(C114="","",SUMIFS('ИТОГО Торговля'!$E$5:$E$300,'ИТОГО Торговля'!$B$5:$B$300,$B114)+SUMIFS('ИТОГО Лэндинг'!$E$5:$E$300,'ИТОГО Лэндинг'!$B$5:$B$300,$B114))</f>
        <v/>
      </c>
      <c r="F114" s="246" t="str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 t="str">
        <f>IF(F114="","",H114/F114)</f>
        <v/>
      </c>
      <c r="H114" s="247" t="str">
        <f>IF(F114="","",SUMIFS('ИТОГО Торговля'!$H$5:$H$300,'ИТОГО Торговля'!$B$5:$B$300,$B114)+SUMIFS('ИТОГО Лэндинг'!$H$5:$H$300,'ИТОГО Лэндинг'!$B$5:$B$300,$B114))</f>
        <v/>
      </c>
      <c r="I114" s="246" t="str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 t="str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 t="str">
        <f>IF(C115="","",E115/C115)</f>
        <v/>
      </c>
      <c r="E115" s="241" t="str">
        <f>IF(C115="","",SUMIFS('ИТОГО Торговля'!$E$5:$E$300,'ИТОГО Торговля'!$B$5:$B$300,$B115)+SUMIFS('ИТОГО Лэндинг'!$E$5:$E$300,'ИТОГО Лэндинг'!$B$5:$B$300,$B115))</f>
        <v/>
      </c>
      <c r="F115" s="240" t="str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 t="str">
        <f>IF(F115="","",H115/F115)</f>
        <v/>
      </c>
      <c r="H115" s="241" t="str">
        <f>IF(F115="","",SUMIFS('ИТОГО Торговля'!$H$5:$H$300,'ИТОГО Торговля'!$B$5:$B$300,$B115)+SUMIFS('ИТОГО Лэндинг'!$H$5:$H$300,'ИТОГО Лэндинг'!$B$5:$B$300,$B115))</f>
        <v/>
      </c>
      <c r="I115" s="240" t="str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 t="str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 t="str">
        <f>IF(C116="","",E116/C116)</f>
        <v/>
      </c>
      <c r="E116" s="247" t="str">
        <f>IF(C116="","",SUMIFS('ИТОГО Торговля'!$E$5:$E$300,'ИТОГО Торговля'!$B$5:$B$300,$B116)+SUMIFS('ИТОГО Лэндинг'!$E$5:$E$300,'ИТОГО Лэндинг'!$B$5:$B$300,$B116))</f>
        <v/>
      </c>
      <c r="F116" s="246" t="str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 t="str">
        <f>IF(F116="","",H116/F116)</f>
        <v/>
      </c>
      <c r="H116" s="247" t="str">
        <f>IF(F116="","",SUMIFS('ИТОГО Торговля'!$H$5:$H$300,'ИТОГО Торговля'!$B$5:$B$300,$B116)+SUMIFS('ИТОГО Лэндинг'!$H$5:$H$300,'ИТОГО Лэндинг'!$B$5:$B$300,$B116))</f>
        <v/>
      </c>
      <c r="I116" s="246" t="str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 t="str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 t="str">
        <f>IF(C117="","",E117/C117)</f>
        <v/>
      </c>
      <c r="E117" s="241" t="str">
        <f>IF(C117="","",SUMIFS('ИТОГО Торговля'!$E$5:$E$300,'ИТОГО Торговля'!$B$5:$B$300,$B117)+SUMIFS('ИТОГО Лэндинг'!$E$5:$E$300,'ИТОГО Лэндинг'!$B$5:$B$300,$B117))</f>
        <v/>
      </c>
      <c r="F117" s="240" t="str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 t="str">
        <f>IF(F117="","",H117/F117)</f>
        <v/>
      </c>
      <c r="H117" s="241" t="str">
        <f>IF(F117="","",SUMIFS('ИТОГО Торговля'!$H$5:$H$300,'ИТОГО Торговля'!$B$5:$B$300,$B117)+SUMIFS('ИТОГО Лэндинг'!$H$5:$H$300,'ИТОГО Лэндинг'!$B$5:$B$300,$B117))</f>
        <v/>
      </c>
      <c r="I117" s="240" t="str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 t="str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 t="str">
        <f>IF(C118="","",E118/C118)</f>
        <v/>
      </c>
      <c r="E118" s="247" t="str">
        <f>IF(C118="","",SUMIFS('ИТОГО Торговля'!$E$5:$E$300,'ИТОГО Торговля'!$B$5:$B$300,$B118)+SUMIFS('ИТОГО Лэндинг'!$E$5:$E$300,'ИТОГО Лэндинг'!$B$5:$B$300,$B118))</f>
        <v/>
      </c>
      <c r="F118" s="246" t="str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 t="str">
        <f>IF(F118="","",H118/F118)</f>
        <v/>
      </c>
      <c r="H118" s="247" t="str">
        <f>IF(F118="","",SUMIFS('ИТОГО Торговля'!$H$5:$H$300,'ИТОГО Торговля'!$B$5:$B$300,$B118)+SUMIFS('ИТОГО Лэндинг'!$H$5:$H$300,'ИТОГО Лэндинг'!$B$5:$B$300,$B118))</f>
        <v/>
      </c>
      <c r="I118" s="246" t="str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 t="str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 t="str">
        <f>IF(C119="","",E119/C119)</f>
        <v/>
      </c>
      <c r="E119" s="241" t="str">
        <f>IF(C119="","",SUMIFS('ИТОГО Торговля'!$E$5:$E$300,'ИТОГО Торговля'!$B$5:$B$300,$B119)+SUMIFS('ИТОГО Лэндинг'!$E$5:$E$300,'ИТОГО Лэндинг'!$B$5:$B$300,$B119))</f>
        <v/>
      </c>
      <c r="F119" s="240" t="str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 t="str">
        <f>IF(F119="","",H119/F119)</f>
        <v/>
      </c>
      <c r="H119" s="241" t="str">
        <f>IF(F119="","",SUMIFS('ИТОГО Торговля'!$H$5:$H$300,'ИТОГО Торговля'!$B$5:$B$300,$B119)+SUMIFS('ИТОГО Лэндинг'!$H$5:$H$300,'ИТОГО Лэндинг'!$B$5:$B$300,$B119))</f>
        <v/>
      </c>
      <c r="I119" s="240" t="str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 t="str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 t="str">
        <f>IF(C120="","",E120/C120)</f>
        <v/>
      </c>
      <c r="E120" s="247" t="str">
        <f>IF(C120="","",SUMIFS('ИТОГО Торговля'!$E$5:$E$300,'ИТОГО Торговля'!$B$5:$B$300,$B120)+SUMIFS('ИТОГО Лэндинг'!$E$5:$E$300,'ИТОГО Лэндинг'!$B$5:$B$300,$B120))</f>
        <v/>
      </c>
      <c r="F120" s="246" t="str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 t="str">
        <f>IF(F120="","",H120/F120)</f>
        <v/>
      </c>
      <c r="H120" s="247" t="str">
        <f>IF(F120="","",SUMIFS('ИТОГО Торговля'!$H$5:$H$300,'ИТОГО Торговля'!$B$5:$B$300,$B120)+SUMIFS('ИТОГО Лэндинг'!$H$5:$H$300,'ИТОГО Лэндинг'!$B$5:$B$300,$B120))</f>
        <v/>
      </c>
      <c r="I120" s="246" t="str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 t="str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 t="str">
        <f>IF(C121="","",E121/C121)</f>
        <v/>
      </c>
      <c r="E121" s="241" t="str">
        <f>IF(C121="","",SUMIFS('ИТОГО Торговля'!$E$5:$E$300,'ИТОГО Торговля'!$B$5:$B$300,$B121)+SUMIFS('ИТОГО Лэндинг'!$E$5:$E$300,'ИТОГО Лэндинг'!$B$5:$B$300,$B121))</f>
        <v/>
      </c>
      <c r="F121" s="240" t="str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 t="str">
        <f>IF(F121="","",H121/F121)</f>
        <v/>
      </c>
      <c r="H121" s="241" t="str">
        <f>IF(F121="","",SUMIFS('ИТОГО Торговля'!$H$5:$H$300,'ИТОГО Торговля'!$B$5:$B$300,$B121)+SUMIFS('ИТОГО Лэндинг'!$H$5:$H$300,'ИТОГО Лэндинг'!$B$5:$B$300,$B121))</f>
        <v/>
      </c>
      <c r="I121" s="240" t="str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 t="str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 t="str">
        <f>IF(C122="","",E122/C122)</f>
        <v/>
      </c>
      <c r="E122" s="247" t="str">
        <f>IF(C122="","",SUMIFS('ИТОГО Торговля'!$E$5:$E$300,'ИТОГО Торговля'!$B$5:$B$300,$B122)+SUMIFS('ИТОГО Лэндинг'!$E$5:$E$300,'ИТОГО Лэндинг'!$B$5:$B$300,$B122))</f>
        <v/>
      </c>
      <c r="F122" s="246" t="str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 t="str">
        <f>IF(F122="","",H122/F122)</f>
        <v/>
      </c>
      <c r="H122" s="247" t="str">
        <f>IF(F122="","",SUMIFS('ИТОГО Торговля'!$H$5:$H$300,'ИТОГО Торговля'!$B$5:$B$300,$B122)+SUMIFS('ИТОГО Лэндинг'!$H$5:$H$300,'ИТОГО Лэндинг'!$B$5:$B$300,$B122))</f>
        <v/>
      </c>
      <c r="I122" s="246" t="str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 t="str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 t="str">
        <f>IF(C123="","",E123/C123)</f>
        <v/>
      </c>
      <c r="E123" s="241" t="str">
        <f>IF(C123="","",SUMIFS('ИТОГО Торговля'!$E$5:$E$300,'ИТОГО Торговля'!$B$5:$B$300,$B123)+SUMIFS('ИТОГО Лэндинг'!$E$5:$E$300,'ИТОГО Лэндинг'!$B$5:$B$300,$B123))</f>
        <v/>
      </c>
      <c r="F123" s="240" t="str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 t="str">
        <f>IF(F123="","",H123/F123)</f>
        <v/>
      </c>
      <c r="H123" s="241" t="str">
        <f>IF(F123="","",SUMIFS('ИТОГО Торговля'!$H$5:$H$300,'ИТОГО Торговля'!$B$5:$B$300,$B123)+SUMIFS('ИТОГО Лэндинг'!$H$5:$H$300,'ИТОГО Лэндинг'!$B$5:$B$300,$B123))</f>
        <v/>
      </c>
      <c r="I123" s="240" t="str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 t="str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 t="str">
        <f>IF(C124="","",E124/C124)</f>
        <v/>
      </c>
      <c r="E124" s="247" t="str">
        <f>IF(C124="","",SUMIFS('ИТОГО Торговля'!$E$5:$E$300,'ИТОГО Торговля'!$B$5:$B$300,$B124)+SUMIFS('ИТОГО Лэндинг'!$E$5:$E$300,'ИТОГО Лэндинг'!$B$5:$B$300,$B124))</f>
        <v/>
      </c>
      <c r="F124" s="246" t="str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 t="str">
        <f>IF(F124="","",H124/F124)</f>
        <v/>
      </c>
      <c r="H124" s="247" t="str">
        <f>IF(F124="","",SUMIFS('ИТОГО Торговля'!$H$5:$H$300,'ИТОГО Торговля'!$B$5:$B$300,$B124)+SUMIFS('ИТОГО Лэндинг'!$H$5:$H$300,'ИТОГО Лэндинг'!$B$5:$B$300,$B124))</f>
        <v/>
      </c>
      <c r="I124" s="246" t="str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 t="str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 t="str">
        <f>IF(C125="","",E125/C125)</f>
        <v/>
      </c>
      <c r="E125" s="241" t="str">
        <f>IF(C125="","",SUMIFS('ИТОГО Торговля'!$E$5:$E$300,'ИТОГО Торговля'!$B$5:$B$300,$B125)+SUMIFS('ИТОГО Лэндинг'!$E$5:$E$300,'ИТОГО Лэндинг'!$B$5:$B$300,$B125))</f>
        <v/>
      </c>
      <c r="F125" s="240" t="str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 t="str">
        <f>IF(F125="","",H125/F125)</f>
        <v/>
      </c>
      <c r="H125" s="241" t="str">
        <f>IF(F125="","",SUMIFS('ИТОГО Торговля'!$H$5:$H$300,'ИТОГО Торговля'!$B$5:$B$300,$B125)+SUMIFS('ИТОГО Лэндинг'!$H$5:$H$300,'ИТОГО Лэндинг'!$B$5:$B$300,$B125))</f>
        <v/>
      </c>
      <c r="I125" s="240" t="str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 t="str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 t="str">
        <f>IF(C126="","",E126/C126)</f>
        <v/>
      </c>
      <c r="E126" s="247" t="str">
        <f>IF(C126="","",SUMIFS('ИТОГО Торговля'!$E$5:$E$300,'ИТОГО Торговля'!$B$5:$B$300,$B126)+SUMIFS('ИТОГО Лэндинг'!$E$5:$E$300,'ИТОГО Лэндинг'!$B$5:$B$300,$B126))</f>
        <v/>
      </c>
      <c r="F126" s="246" t="str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 t="str">
        <f>IF(F126="","",H126/F126)</f>
        <v/>
      </c>
      <c r="H126" s="247" t="str">
        <f>IF(F126="","",SUMIFS('ИТОГО Торговля'!$H$5:$H$300,'ИТОГО Торговля'!$B$5:$B$300,$B126)+SUMIFS('ИТОГО Лэндинг'!$H$5:$H$300,'ИТОГО Лэндинг'!$B$5:$B$300,$B126))</f>
        <v/>
      </c>
      <c r="I126" s="246" t="str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 t="str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 t="str">
        <f>IF(C127="","",E127/C127)</f>
        <v/>
      </c>
      <c r="E127" s="241" t="str">
        <f>IF(C127="","",SUMIFS('ИТОГО Торговля'!$E$5:$E$300,'ИТОГО Торговля'!$B$5:$B$300,$B127)+SUMIFS('ИТОГО Лэндинг'!$E$5:$E$300,'ИТОГО Лэндинг'!$B$5:$B$300,$B127))</f>
        <v/>
      </c>
      <c r="F127" s="240" t="str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 t="str">
        <f>IF(F127="","",H127/F127)</f>
        <v/>
      </c>
      <c r="H127" s="241" t="str">
        <f>IF(F127="","",SUMIFS('ИТОГО Торговля'!$H$5:$H$300,'ИТОГО Торговля'!$B$5:$B$300,$B127)+SUMIFS('ИТОГО Лэндинг'!$H$5:$H$300,'ИТОГО Лэндинг'!$B$5:$B$300,$B127))</f>
        <v/>
      </c>
      <c r="I127" s="240" t="str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 t="str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 t="str">
        <f>IF(C128="","",E128/C128)</f>
        <v/>
      </c>
      <c r="E128" s="247" t="str">
        <f>IF(C128="","",SUMIFS('ИТОГО Торговля'!$E$5:$E$300,'ИТОГО Торговля'!$B$5:$B$300,$B128)+SUMIFS('ИТОГО Лэндинг'!$E$5:$E$300,'ИТОГО Лэндинг'!$B$5:$B$300,$B128))</f>
        <v/>
      </c>
      <c r="F128" s="246" t="str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 t="str">
        <f>IF(F128="","",H128/F128)</f>
        <v/>
      </c>
      <c r="H128" s="247" t="str">
        <f>IF(F128="","",SUMIFS('ИТОГО Торговля'!$H$5:$H$300,'ИТОГО Торговля'!$B$5:$B$300,$B128)+SUMIFS('ИТОГО Лэндинг'!$H$5:$H$300,'ИТОГО Лэндинг'!$B$5:$B$300,$B128))</f>
        <v/>
      </c>
      <c r="I128" s="246" t="str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 t="str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 t="str">
        <f>IF(C129="","",E129/C129)</f>
        <v/>
      </c>
      <c r="E129" s="241" t="str">
        <f>IF(C129="","",SUMIFS('ИТОГО Торговля'!$E$5:$E$300,'ИТОГО Торговля'!$B$5:$B$300,$B129)+SUMIFS('ИТОГО Лэндинг'!$E$5:$E$300,'ИТОГО Лэндинг'!$B$5:$B$300,$B129))</f>
        <v/>
      </c>
      <c r="F129" s="240" t="str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 t="str">
        <f>IF(F129="","",H129/F129)</f>
        <v/>
      </c>
      <c r="H129" s="241" t="str">
        <f>IF(F129="","",SUMIFS('ИТОГО Торговля'!$H$5:$H$300,'ИТОГО Торговля'!$B$5:$B$300,$B129)+SUMIFS('ИТОГО Лэндинг'!$H$5:$H$300,'ИТОГО Лэндинг'!$B$5:$B$300,$B129))</f>
        <v/>
      </c>
      <c r="I129" s="240" t="str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 t="str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 t="str">
        <f>IF(C130="","",E130/C130)</f>
        <v/>
      </c>
      <c r="E130" s="247" t="str">
        <f>IF(C130="","",SUMIFS('ИТОГО Торговля'!$E$5:$E$300,'ИТОГО Торговля'!$B$5:$B$300,$B130)+SUMIFS('ИТОГО Лэндинг'!$E$5:$E$300,'ИТОГО Лэндинг'!$B$5:$B$300,$B130))</f>
        <v/>
      </c>
      <c r="F130" s="246" t="str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 t="str">
        <f>IF(F130="","",H130/F130)</f>
        <v/>
      </c>
      <c r="H130" s="247" t="str">
        <f>IF(F130="","",SUMIFS('ИТОГО Торговля'!$H$5:$H$300,'ИТОГО Торговля'!$B$5:$B$300,$B130)+SUMIFS('ИТОГО Лэндинг'!$H$5:$H$300,'ИТОГО Лэндинг'!$B$5:$B$300,$B130))</f>
        <v/>
      </c>
      <c r="I130" s="246" t="str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 t="str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 t="str">
        <f>IF(C131="","",E131/C131)</f>
        <v/>
      </c>
      <c r="E131" s="241" t="str">
        <f>IF(C131="","",SUMIFS('ИТОГО Торговля'!$E$5:$E$300,'ИТОГО Торговля'!$B$5:$B$300,$B131)+SUMIFS('ИТОГО Лэндинг'!$E$5:$E$300,'ИТОГО Лэндинг'!$B$5:$B$300,$B131))</f>
        <v/>
      </c>
      <c r="F131" s="240" t="str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 t="str">
        <f>IF(F131="","",H131/F131)</f>
        <v/>
      </c>
      <c r="H131" s="241" t="str">
        <f>IF(F131="","",SUMIFS('ИТОГО Торговля'!$H$5:$H$300,'ИТОГО Торговля'!$B$5:$B$300,$B131)+SUMIFS('ИТОГО Лэндинг'!$H$5:$H$300,'ИТОГО Лэндинг'!$B$5:$B$300,$B131))</f>
        <v/>
      </c>
      <c r="I131" s="240" t="str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 t="str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 t="str">
        <f>IF(C132="","",E132/C132)</f>
        <v/>
      </c>
      <c r="E132" s="247" t="str">
        <f>IF(C132="","",SUMIFS('ИТОГО Торговля'!$E$5:$E$300,'ИТОГО Торговля'!$B$5:$B$300,$B132)+SUMIFS('ИТОГО Лэндинг'!$E$5:$E$300,'ИТОГО Лэндинг'!$B$5:$B$300,$B132))</f>
        <v/>
      </c>
      <c r="F132" s="246" t="str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 t="str">
        <f>IF(F132="","",H132/F132)</f>
        <v/>
      </c>
      <c r="H132" s="247" t="str">
        <f>IF(F132="","",SUMIFS('ИТОГО Торговля'!$H$5:$H$300,'ИТОГО Торговля'!$B$5:$B$300,$B132)+SUMIFS('ИТОГО Лэндинг'!$H$5:$H$300,'ИТОГО Лэндинг'!$B$5:$B$300,$B132))</f>
        <v/>
      </c>
      <c r="I132" s="246" t="str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 t="str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 t="str">
        <f>IF(C133="","",E133/C133)</f>
        <v/>
      </c>
      <c r="E133" s="241" t="str">
        <f>IF(C133="","",SUMIFS('ИТОГО Торговля'!$E$5:$E$300,'ИТОГО Торговля'!$B$5:$B$300,$B133)+SUMIFS('ИТОГО Лэндинг'!$E$5:$E$300,'ИТОГО Лэндинг'!$B$5:$B$300,$B133))</f>
        <v/>
      </c>
      <c r="F133" s="240" t="str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 t="str">
        <f>IF(F133="","",H133/F133)</f>
        <v/>
      </c>
      <c r="H133" s="241" t="str">
        <f>IF(F133="","",SUMIFS('ИТОГО Торговля'!$H$5:$H$300,'ИТОГО Торговля'!$B$5:$B$300,$B133)+SUMIFS('ИТОГО Лэндинг'!$H$5:$H$300,'ИТОГО Лэндинг'!$B$5:$B$300,$B133))</f>
        <v/>
      </c>
      <c r="I133" s="240" t="str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 t="str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 t="str">
        <f>IF(C134="","",E134/C134)</f>
        <v/>
      </c>
      <c r="E134" s="247" t="str">
        <f>IF(C134="","",SUMIFS('ИТОГО Торговля'!$E$5:$E$300,'ИТОГО Торговля'!$B$5:$B$300,$B134)+SUMIFS('ИТОГО Лэндинг'!$E$5:$E$300,'ИТОГО Лэндинг'!$B$5:$B$300,$B134))</f>
        <v/>
      </c>
      <c r="F134" s="246" t="str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 t="str">
        <f>IF(F134="","",H134/F134)</f>
        <v/>
      </c>
      <c r="H134" s="247" t="str">
        <f>IF(F134="","",SUMIFS('ИТОГО Торговля'!$H$5:$H$300,'ИТОГО Торговля'!$B$5:$B$300,$B134)+SUMIFS('ИТОГО Лэндинг'!$H$5:$H$300,'ИТОГО Лэндинг'!$B$5:$B$300,$B134))</f>
        <v/>
      </c>
      <c r="I134" s="246" t="str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 t="str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 t="str">
        <f>IF(C135="","",E135/C135)</f>
        <v/>
      </c>
      <c r="E135" s="241" t="str">
        <f>IF(C135="","",SUMIFS('ИТОГО Торговля'!$E$5:$E$300,'ИТОГО Торговля'!$B$5:$B$300,$B135)+SUMIFS('ИТОГО Лэндинг'!$E$5:$E$300,'ИТОГО Лэндинг'!$B$5:$B$300,$B135))</f>
        <v/>
      </c>
      <c r="F135" s="240" t="str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 t="str">
        <f>IF(F135="","",H135/F135)</f>
        <v/>
      </c>
      <c r="H135" s="241" t="str">
        <f>IF(F135="","",SUMIFS('ИТОГО Торговля'!$H$5:$H$300,'ИТОГО Торговля'!$B$5:$B$300,$B135)+SUMIFS('ИТОГО Лэндинг'!$H$5:$H$300,'ИТОГО Лэндинг'!$B$5:$B$300,$B135))</f>
        <v/>
      </c>
      <c r="I135" s="240" t="str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 t="str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 t="str">
        <f>IF(C136="","",E136/C136)</f>
        <v/>
      </c>
      <c r="E136" s="247" t="str">
        <f>IF(C136="","",SUMIFS('ИТОГО Торговля'!$E$5:$E$300,'ИТОГО Торговля'!$B$5:$B$300,$B136)+SUMIFS('ИТОГО Лэндинг'!$E$5:$E$300,'ИТОГО Лэндинг'!$B$5:$B$300,$B136))</f>
        <v/>
      </c>
      <c r="F136" s="246" t="str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 t="str">
        <f>IF(F136="","",H136/F136)</f>
        <v/>
      </c>
      <c r="H136" s="247" t="str">
        <f>IF(F136="","",SUMIFS('ИТОГО Торговля'!$H$5:$H$300,'ИТОГО Торговля'!$B$5:$B$300,$B136)+SUMIFS('ИТОГО Лэндинг'!$H$5:$H$300,'ИТОГО Лэндинг'!$B$5:$B$300,$B136))</f>
        <v/>
      </c>
      <c r="I136" s="246" t="str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 t="str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 t="str">
        <f>IF(C137="","",E137/C137)</f>
        <v/>
      </c>
      <c r="E137" s="241" t="str">
        <f>IF(C137="","",SUMIFS('ИТОГО Торговля'!$E$5:$E$300,'ИТОГО Торговля'!$B$5:$B$300,$B137)+SUMIFS('ИТОГО Лэндинг'!$E$5:$E$300,'ИТОГО Лэндинг'!$B$5:$B$300,$B137))</f>
        <v/>
      </c>
      <c r="F137" s="240" t="str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 t="str">
        <f>IF(F137="","",H137/F137)</f>
        <v/>
      </c>
      <c r="H137" s="241" t="str">
        <f>IF(F137="","",SUMIFS('ИТОГО Торговля'!$H$5:$H$300,'ИТОГО Торговля'!$B$5:$B$300,$B137)+SUMIFS('ИТОГО Лэндинг'!$H$5:$H$300,'ИТОГО Лэндинг'!$B$5:$B$300,$B137))</f>
        <v/>
      </c>
      <c r="I137" s="240" t="str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 t="str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 t="str">
        <f>IF(C138="","",E138/C138)</f>
        <v/>
      </c>
      <c r="E138" s="247" t="str">
        <f>IF(C138="","",SUMIFS('ИТОГО Торговля'!$E$5:$E$300,'ИТОГО Торговля'!$B$5:$B$300,$B138)+SUMIFS('ИТОГО Лэндинг'!$E$5:$E$300,'ИТОГО Лэндинг'!$B$5:$B$300,$B138))</f>
        <v/>
      </c>
      <c r="F138" s="246" t="str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 t="str">
        <f>IF(F138="","",H138/F138)</f>
        <v/>
      </c>
      <c r="H138" s="247" t="str">
        <f>IF(F138="","",SUMIFS('ИТОГО Торговля'!$H$5:$H$300,'ИТОГО Торговля'!$B$5:$B$300,$B138)+SUMIFS('ИТОГО Лэндинг'!$H$5:$H$300,'ИТОГО Лэндинг'!$B$5:$B$300,$B138))</f>
        <v/>
      </c>
      <c r="I138" s="246" t="str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 t="str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 t="str">
        <f>IF(C139="","",E139/C139)</f>
        <v/>
      </c>
      <c r="E139" s="241" t="str">
        <f>IF(C139="","",SUMIFS('ИТОГО Торговля'!$E$5:$E$300,'ИТОГО Торговля'!$B$5:$B$300,$B139)+SUMIFS('ИТОГО Лэндинг'!$E$5:$E$300,'ИТОГО Лэндинг'!$B$5:$B$300,$B139))</f>
        <v/>
      </c>
      <c r="F139" s="240" t="str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 t="str">
        <f>IF(F139="","",H139/F139)</f>
        <v/>
      </c>
      <c r="H139" s="241" t="str">
        <f>IF(F139="","",SUMIFS('ИТОГО Торговля'!$H$5:$H$300,'ИТОГО Торговля'!$B$5:$B$300,$B139)+SUMIFS('ИТОГО Лэндинг'!$H$5:$H$300,'ИТОГО Лэндинг'!$B$5:$B$300,$B139))</f>
        <v/>
      </c>
      <c r="I139" s="240" t="str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 t="str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 t="str">
        <f>IF(C140="","",E140/C140)</f>
        <v/>
      </c>
      <c r="E140" s="247" t="str">
        <f>IF(C140="","",SUMIFS('ИТОГО Торговля'!$E$5:$E$300,'ИТОГО Торговля'!$B$5:$B$300,$B140)+SUMIFS('ИТОГО Лэндинг'!$E$5:$E$300,'ИТОГО Лэндинг'!$B$5:$B$300,$B140))</f>
        <v/>
      </c>
      <c r="F140" s="246" t="str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 t="str">
        <f>IF(F140="","",H140/F140)</f>
        <v/>
      </c>
      <c r="H140" s="247" t="str">
        <f>IF(F140="","",SUMIFS('ИТОГО Торговля'!$H$5:$H$300,'ИТОГО Торговля'!$B$5:$B$300,$B140)+SUMIFS('ИТОГО Лэндинг'!$H$5:$H$300,'ИТОГО Лэндинг'!$B$5:$B$300,$B140))</f>
        <v/>
      </c>
      <c r="I140" s="246" t="str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 t="str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 t="str">
        <f>IF(C141="","",E141/C141)</f>
        <v/>
      </c>
      <c r="E141" s="241" t="str">
        <f>IF(C141="","",SUMIFS('ИТОГО Торговля'!$E$5:$E$300,'ИТОГО Торговля'!$B$5:$B$300,$B141)+SUMIFS('ИТОГО Лэндинг'!$E$5:$E$300,'ИТОГО Лэндинг'!$B$5:$B$300,$B141))</f>
        <v/>
      </c>
      <c r="F141" s="240" t="str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 t="str">
        <f>IF(F141="","",H141/F141)</f>
        <v/>
      </c>
      <c r="H141" s="241" t="str">
        <f>IF(F141="","",SUMIFS('ИТОГО Торговля'!$H$5:$H$300,'ИТОГО Торговля'!$B$5:$B$300,$B141)+SUMIFS('ИТОГО Лэндинг'!$H$5:$H$300,'ИТОГО Лэндинг'!$B$5:$B$300,$B141))</f>
        <v/>
      </c>
      <c r="I141" s="240" t="str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 t="str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 t="str">
        <f>IF(C142="","",E142/C142)</f>
        <v/>
      </c>
      <c r="E142" s="247" t="str">
        <f>IF(C142="","",SUMIFS('ИТОГО Торговля'!$E$5:$E$300,'ИТОГО Торговля'!$B$5:$B$300,$B142)+SUMIFS('ИТОГО Лэндинг'!$E$5:$E$300,'ИТОГО Лэндинг'!$B$5:$B$300,$B142))</f>
        <v/>
      </c>
      <c r="F142" s="246" t="str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 t="str">
        <f>IF(F142="","",H142/F142)</f>
        <v/>
      </c>
      <c r="H142" s="247" t="str">
        <f>IF(F142="","",SUMIFS('ИТОГО Торговля'!$H$5:$H$300,'ИТОГО Торговля'!$B$5:$B$300,$B142)+SUMIFS('ИТОГО Лэндинг'!$H$5:$H$300,'ИТОГО Лэндинг'!$B$5:$B$300,$B142))</f>
        <v/>
      </c>
      <c r="I142" s="246" t="str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 t="str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 t="str">
        <f>IF(C143="","",E143/C143)</f>
        <v/>
      </c>
      <c r="E143" s="241" t="str">
        <f>IF(C143="","",SUMIFS('ИТОГО Торговля'!$E$5:$E$300,'ИТОГО Торговля'!$B$5:$B$300,$B143)+SUMIFS('ИТОГО Лэндинг'!$E$5:$E$300,'ИТОГО Лэндинг'!$B$5:$B$300,$B143))</f>
        <v/>
      </c>
      <c r="F143" s="240" t="str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 t="str">
        <f>IF(F143="","",H143/F143)</f>
        <v/>
      </c>
      <c r="H143" s="241" t="str">
        <f>IF(F143="","",SUMIFS('ИТОГО Торговля'!$H$5:$H$300,'ИТОГО Торговля'!$B$5:$B$300,$B143)+SUMIFS('ИТОГО Лэндинг'!$H$5:$H$300,'ИТОГО Лэндинг'!$B$5:$B$300,$B143))</f>
        <v/>
      </c>
      <c r="I143" s="240" t="str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 t="str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 t="str">
        <f>IF(C144="","",E144/C144)</f>
        <v/>
      </c>
      <c r="E144" s="247" t="str">
        <f>IF(C144="","",SUMIFS('ИТОГО Торговля'!$E$5:$E$300,'ИТОГО Торговля'!$B$5:$B$300,$B144)+SUMIFS('ИТОГО Лэндинг'!$E$5:$E$300,'ИТОГО Лэндинг'!$B$5:$B$300,$B144))</f>
        <v/>
      </c>
      <c r="F144" s="246" t="str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 t="str">
        <f>IF(F144="","",H144/F144)</f>
        <v/>
      </c>
      <c r="H144" s="247" t="str">
        <f>IF(F144="","",SUMIFS('ИТОГО Торговля'!$H$5:$H$300,'ИТОГО Торговля'!$B$5:$B$300,$B144)+SUMIFS('ИТОГО Лэндинг'!$H$5:$H$300,'ИТОГО Лэндинг'!$B$5:$B$300,$B144))</f>
        <v/>
      </c>
      <c r="I144" s="246" t="str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 t="str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 t="str">
        <f>IF(C145="","",E145/C145)</f>
        <v/>
      </c>
      <c r="E145" s="241" t="str">
        <f>IF(C145="","",SUMIFS('ИТОГО Торговля'!$E$5:$E$300,'ИТОГО Торговля'!$B$5:$B$300,$B145)+SUMIFS('ИТОГО Лэндинг'!$E$5:$E$300,'ИТОГО Лэндинг'!$B$5:$B$300,$B145))</f>
        <v/>
      </c>
      <c r="F145" s="240" t="str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 t="str">
        <f>IF(F145="","",H145/F145)</f>
        <v/>
      </c>
      <c r="H145" s="241" t="str">
        <f>IF(F145="","",SUMIFS('ИТОГО Торговля'!$H$5:$H$300,'ИТОГО Торговля'!$B$5:$B$300,$B145)+SUMIFS('ИТОГО Лэндинг'!$H$5:$H$300,'ИТОГО Лэндинг'!$B$5:$B$300,$B145))</f>
        <v/>
      </c>
      <c r="I145" s="240" t="str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 t="str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 t="str">
        <f>IF(C146="","",E146/C146)</f>
        <v/>
      </c>
      <c r="E146" s="247" t="str">
        <f>IF(C146="","",SUMIFS('ИТОГО Торговля'!$E$5:$E$300,'ИТОГО Торговля'!$B$5:$B$300,$B146)+SUMIFS('ИТОГО Лэндинг'!$E$5:$E$300,'ИТОГО Лэндинг'!$B$5:$B$300,$B146))</f>
        <v/>
      </c>
      <c r="F146" s="246" t="str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 t="str">
        <f>IF(F146="","",H146/F146)</f>
        <v/>
      </c>
      <c r="H146" s="247" t="str">
        <f>IF(F146="","",SUMIFS('ИТОГО Торговля'!$H$5:$H$300,'ИТОГО Торговля'!$B$5:$B$300,$B146)+SUMIFS('ИТОГО Лэндинг'!$H$5:$H$300,'ИТОГО Лэндинг'!$B$5:$B$300,$B146))</f>
        <v/>
      </c>
      <c r="I146" s="246" t="str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 t="str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 t="str">
        <f>IF(C147="","",E147/C147)</f>
        <v/>
      </c>
      <c r="E147" s="241" t="str">
        <f>IF(C147="","",SUMIFS('ИТОГО Торговля'!$E$5:$E$300,'ИТОГО Торговля'!$B$5:$B$300,$B147)+SUMIFS('ИТОГО Лэндинг'!$E$5:$E$300,'ИТОГО Лэндинг'!$B$5:$B$300,$B147))</f>
        <v/>
      </c>
      <c r="F147" s="240" t="str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 t="str">
        <f>IF(F147="","",H147/F147)</f>
        <v/>
      </c>
      <c r="H147" s="241" t="str">
        <f>IF(F147="","",SUMIFS('ИТОГО Торговля'!$H$5:$H$300,'ИТОГО Торговля'!$B$5:$B$300,$B147)+SUMIFS('ИТОГО Лэндинг'!$H$5:$H$300,'ИТОГО Лэндинг'!$B$5:$B$300,$B147))</f>
        <v/>
      </c>
      <c r="I147" s="240" t="str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 t="str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 t="str">
        <f>IF(C148="","",E148/C148)</f>
        <v/>
      </c>
      <c r="E148" s="247" t="str">
        <f>IF(C148="","",SUMIFS('ИТОГО Торговля'!$E$5:$E$300,'ИТОГО Торговля'!$B$5:$B$300,$B148)+SUMIFS('ИТОГО Лэндинг'!$E$5:$E$300,'ИТОГО Лэндинг'!$B$5:$B$300,$B148))</f>
        <v/>
      </c>
      <c r="F148" s="246" t="str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 t="str">
        <f>IF(F148="","",H148/F148)</f>
        <v/>
      </c>
      <c r="H148" s="247" t="str">
        <f>IF(F148="","",SUMIFS('ИТОГО Торговля'!$H$5:$H$300,'ИТОГО Торговля'!$B$5:$B$300,$B148)+SUMIFS('ИТОГО Лэндинг'!$H$5:$H$300,'ИТОГО Лэндинг'!$B$5:$B$300,$B148))</f>
        <v/>
      </c>
      <c r="I148" s="246" t="str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 t="str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 t="str">
        <f>IF(C149="","",E149/C149)</f>
        <v/>
      </c>
      <c r="E149" s="241" t="str">
        <f>IF(C149="","",SUMIFS('ИТОГО Торговля'!$E$5:$E$300,'ИТОГО Торговля'!$B$5:$B$300,$B149)+SUMIFS('ИТОГО Лэндинг'!$E$5:$E$300,'ИТОГО Лэндинг'!$B$5:$B$300,$B149))</f>
        <v/>
      </c>
      <c r="F149" s="240" t="str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 t="str">
        <f>IF(F149="","",H149/F149)</f>
        <v/>
      </c>
      <c r="H149" s="241" t="str">
        <f>IF(F149="","",SUMIFS('ИТОГО Торговля'!$H$5:$H$300,'ИТОГО Торговля'!$B$5:$B$300,$B149)+SUMIFS('ИТОГО Лэндинг'!$H$5:$H$300,'ИТОГО Лэндинг'!$B$5:$B$300,$B149))</f>
        <v/>
      </c>
      <c r="I149" s="240" t="str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 t="str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 t="str">
        <f>IF(C150="","",E150/C150)</f>
        <v/>
      </c>
      <c r="E150" s="247" t="str">
        <f>IF(C150="","",SUMIFS('ИТОГО Торговля'!$E$5:$E$300,'ИТОГО Торговля'!$B$5:$B$300,$B150)+SUMIFS('ИТОГО Лэндинг'!$E$5:$E$300,'ИТОГО Лэндинг'!$B$5:$B$300,$B150))</f>
        <v/>
      </c>
      <c r="F150" s="246" t="str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 t="str">
        <f>IF(F150="","",H150/F150)</f>
        <v/>
      </c>
      <c r="H150" s="247" t="str">
        <f>IF(F150="","",SUMIFS('ИТОГО Торговля'!$H$5:$H$300,'ИТОГО Торговля'!$B$5:$B$300,$B150)+SUMIFS('ИТОГО Лэндинг'!$H$5:$H$300,'ИТОГО Лэндинг'!$B$5:$B$300,$B150))</f>
        <v/>
      </c>
      <c r="I150" s="246" t="str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 t="str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 t="str">
        <f>IF(C151="","",E151/C151)</f>
        <v/>
      </c>
      <c r="E151" s="241" t="str">
        <f>IF(C151="","",SUMIFS('ИТОГО Торговля'!$E$5:$E$300,'ИТОГО Торговля'!$B$5:$B$300,$B151)+SUMIFS('ИТОГО Лэндинг'!$E$5:$E$300,'ИТОГО Лэндинг'!$B$5:$B$300,$B151))</f>
        <v/>
      </c>
      <c r="F151" s="240" t="str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 t="str">
        <f>IF(F151="","",H151/F151)</f>
        <v/>
      </c>
      <c r="H151" s="241" t="str">
        <f>IF(F151="","",SUMIFS('ИТОГО Торговля'!$H$5:$H$300,'ИТОГО Торговля'!$B$5:$B$300,$B151)+SUMIFS('ИТОГО Лэндинг'!$H$5:$H$300,'ИТОГО Лэндинг'!$B$5:$B$300,$B151))</f>
        <v/>
      </c>
      <c r="I151" s="240" t="str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 t="str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 t="str">
        <f>IF(C152="","",E152/C152)</f>
        <v/>
      </c>
      <c r="E152" s="247" t="str">
        <f>IF(C152="","",SUMIFS('ИТОГО Торговля'!$E$5:$E$300,'ИТОГО Торговля'!$B$5:$B$300,$B152)+SUMIFS('ИТОГО Лэндинг'!$E$5:$E$300,'ИТОГО Лэндинг'!$B$5:$B$300,$B152))</f>
        <v/>
      </c>
      <c r="F152" s="246" t="str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 t="str">
        <f>IF(F152="","",H152/F152)</f>
        <v/>
      </c>
      <c r="H152" s="247" t="str">
        <f>IF(F152="","",SUMIFS('ИТОГО Торговля'!$H$5:$H$300,'ИТОГО Торговля'!$B$5:$B$300,$B152)+SUMIFS('ИТОГО Лэндинг'!$H$5:$H$300,'ИТОГО Лэндинг'!$B$5:$B$300,$B152))</f>
        <v/>
      </c>
      <c r="I152" s="246" t="str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 t="str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 t="str">
        <f>IF(C153="","",E153/C153)</f>
        <v/>
      </c>
      <c r="E153" s="241" t="str">
        <f>IF(C153="","",SUMIFS('ИТОГО Торговля'!$E$5:$E$300,'ИТОГО Торговля'!$B$5:$B$300,$B153)+SUMIFS('ИТОГО Лэндинг'!$E$5:$E$300,'ИТОГО Лэндинг'!$B$5:$B$300,$B153))</f>
        <v/>
      </c>
      <c r="F153" s="240" t="str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 t="str">
        <f>IF(F153="","",H153/F153)</f>
        <v/>
      </c>
      <c r="H153" s="241" t="str">
        <f>IF(F153="","",SUMIFS('ИТОГО Торговля'!$H$5:$H$300,'ИТОГО Торговля'!$B$5:$B$300,$B153)+SUMIFS('ИТОГО Лэндинг'!$H$5:$H$300,'ИТОГО Лэндинг'!$B$5:$B$300,$B153))</f>
        <v/>
      </c>
      <c r="I153" s="240" t="str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 t="str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 t="str">
        <f>IF(C154="","",E154/C154)</f>
        <v/>
      </c>
      <c r="E154" s="247" t="str">
        <f>IF(C154="","",SUMIFS('ИТОГО Торговля'!$E$5:$E$300,'ИТОГО Торговля'!$B$5:$B$300,$B154)+SUMIFS('ИТОГО Лэндинг'!$E$5:$E$300,'ИТОГО Лэндинг'!$B$5:$B$300,$B154))</f>
        <v/>
      </c>
      <c r="F154" s="246" t="str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 t="str">
        <f>IF(F154="","",H154/F154)</f>
        <v/>
      </c>
      <c r="H154" s="247" t="str">
        <f>IF(F154="","",SUMIFS('ИТОГО Торговля'!$H$5:$H$300,'ИТОГО Торговля'!$B$5:$B$300,$B154)+SUMIFS('ИТОГО Лэндинг'!$H$5:$H$300,'ИТОГО Лэндинг'!$B$5:$B$300,$B154))</f>
        <v/>
      </c>
      <c r="I154" s="246" t="str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 t="str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 t="str">
        <f>IF(C155="","",E155/C155)</f>
        <v/>
      </c>
      <c r="E155" s="241" t="str">
        <f>IF(C155="","",SUMIFS('ИТОГО Торговля'!$E$5:$E$300,'ИТОГО Торговля'!$B$5:$B$300,$B155)+SUMIFS('ИТОГО Лэндинг'!$E$5:$E$300,'ИТОГО Лэндинг'!$B$5:$B$300,$B155))</f>
        <v/>
      </c>
      <c r="F155" s="240" t="str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 t="str">
        <f>IF(F155="","",H155/F155)</f>
        <v/>
      </c>
      <c r="H155" s="241" t="str">
        <f>IF(F155="","",SUMIFS('ИТОГО Торговля'!$H$5:$H$300,'ИТОГО Торговля'!$B$5:$B$300,$B155)+SUMIFS('ИТОГО Лэндинг'!$H$5:$H$300,'ИТОГО Лэндинг'!$B$5:$B$300,$B155))</f>
        <v/>
      </c>
      <c r="I155" s="240" t="str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 t="str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 t="str">
        <f>IF(C156="","",E156/C156)</f>
        <v/>
      </c>
      <c r="E156" s="247" t="str">
        <f>IF(C156="","",SUMIFS('ИТОГО Торговля'!$E$5:$E$300,'ИТОГО Торговля'!$B$5:$B$300,$B156)+SUMIFS('ИТОГО Лэндинг'!$E$5:$E$300,'ИТОГО Лэндинг'!$B$5:$B$300,$B156))</f>
        <v/>
      </c>
      <c r="F156" s="246" t="str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 t="str">
        <f>IF(F156="","",H156/F156)</f>
        <v/>
      </c>
      <c r="H156" s="247" t="str">
        <f>IF(F156="","",SUMIFS('ИТОГО Торговля'!$H$5:$H$300,'ИТОГО Торговля'!$B$5:$B$300,$B156)+SUMIFS('ИТОГО Лэндинг'!$H$5:$H$300,'ИТОГО Лэндинг'!$B$5:$B$300,$B156))</f>
        <v/>
      </c>
      <c r="I156" s="246" t="str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 t="str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 t="str">
        <f>IF(C157="","",E157/C157)</f>
        <v/>
      </c>
      <c r="E157" s="241" t="str">
        <f>IF(C157="","",SUMIFS('ИТОГО Торговля'!$E$5:$E$300,'ИТОГО Торговля'!$B$5:$B$300,$B157)+SUMIFS('ИТОГО Лэндинг'!$E$5:$E$300,'ИТОГО Лэндинг'!$B$5:$B$300,$B157))</f>
        <v/>
      </c>
      <c r="F157" s="240" t="str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 t="str">
        <f>IF(F157="","",H157/F157)</f>
        <v/>
      </c>
      <c r="H157" s="241" t="str">
        <f>IF(F157="","",SUMIFS('ИТОГО Торговля'!$H$5:$H$300,'ИТОГО Торговля'!$B$5:$B$300,$B157)+SUMIFS('ИТОГО Лэндинг'!$H$5:$H$300,'ИТОГО Лэндинг'!$B$5:$B$300,$B157))</f>
        <v/>
      </c>
      <c r="I157" s="240" t="str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 t="str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 t="str">
        <f>IF(C158="","",E158/C158)</f>
        <v/>
      </c>
      <c r="E158" s="247" t="str">
        <f>IF(C158="","",SUMIFS('ИТОГО Торговля'!$E$5:$E$300,'ИТОГО Торговля'!$B$5:$B$300,$B158)+SUMIFS('ИТОГО Лэндинг'!$E$5:$E$300,'ИТОГО Лэндинг'!$B$5:$B$300,$B158))</f>
        <v/>
      </c>
      <c r="F158" s="246" t="str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 t="str">
        <f>IF(F158="","",H158/F158)</f>
        <v/>
      </c>
      <c r="H158" s="247" t="str">
        <f>IF(F158="","",SUMIFS('ИТОГО Торговля'!$H$5:$H$300,'ИТОГО Торговля'!$B$5:$B$300,$B158)+SUMIFS('ИТОГО Лэндинг'!$H$5:$H$300,'ИТОГО Лэндинг'!$B$5:$B$300,$B158))</f>
        <v/>
      </c>
      <c r="I158" s="246" t="str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 t="str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 t="str">
        <f>IF(C159="","",E159/C159)</f>
        <v/>
      </c>
      <c r="E159" s="241" t="str">
        <f>IF(C159="","",SUMIFS('ИТОГО Торговля'!$E$5:$E$300,'ИТОГО Торговля'!$B$5:$B$300,$B159)+SUMIFS('ИТОГО Лэндинг'!$E$5:$E$300,'ИТОГО Лэндинг'!$B$5:$B$300,$B159))</f>
        <v/>
      </c>
      <c r="F159" s="240" t="str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 t="str">
        <f>IF(F159="","",H159/F159)</f>
        <v/>
      </c>
      <c r="H159" s="241" t="str">
        <f>IF(F159="","",SUMIFS('ИТОГО Торговля'!$H$5:$H$300,'ИТОГО Торговля'!$B$5:$B$300,$B159)+SUMIFS('ИТОГО Лэндинг'!$H$5:$H$300,'ИТОГО Лэндинг'!$B$5:$B$300,$B159))</f>
        <v/>
      </c>
      <c r="I159" s="240" t="str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 t="str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 t="str">
        <f>IF(C160="","",E160/C160)</f>
        <v/>
      </c>
      <c r="E160" s="247" t="str">
        <f>IF(C160="","",SUMIFS('ИТОГО Торговля'!$E$5:$E$300,'ИТОГО Торговля'!$B$5:$B$300,$B160)+SUMIFS('ИТОГО Лэндинг'!$E$5:$E$300,'ИТОГО Лэндинг'!$B$5:$B$300,$B160))</f>
        <v/>
      </c>
      <c r="F160" s="246" t="str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 t="str">
        <f>IF(F160="","",H160/F160)</f>
        <v/>
      </c>
      <c r="H160" s="247" t="str">
        <f>IF(F160="","",SUMIFS('ИТОГО Торговля'!$H$5:$H$300,'ИТОГО Торговля'!$B$5:$B$300,$B160)+SUMIFS('ИТОГО Лэндинг'!$H$5:$H$300,'ИТОГО Лэндинг'!$B$5:$B$300,$B160))</f>
        <v/>
      </c>
      <c r="I160" s="246" t="str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 t="str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 t="str">
        <f>IF(C161="","",E161/C161)</f>
        <v/>
      </c>
      <c r="E161" s="241" t="str">
        <f>IF(C161="","",SUMIFS('ИТОГО Торговля'!$E$5:$E$300,'ИТОГО Торговля'!$B$5:$B$300,$B161)+SUMIFS('ИТОГО Лэндинг'!$E$5:$E$300,'ИТОГО Лэндинг'!$B$5:$B$300,$B161))</f>
        <v/>
      </c>
      <c r="F161" s="240" t="str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 t="str">
        <f>IF(F161="","",H161/F161)</f>
        <v/>
      </c>
      <c r="H161" s="241" t="str">
        <f>IF(F161="","",SUMIFS('ИТОГО Торговля'!$H$5:$H$300,'ИТОГО Торговля'!$B$5:$B$300,$B161)+SUMIFS('ИТОГО Лэндинг'!$H$5:$H$300,'ИТОГО Лэндинг'!$B$5:$B$300,$B161))</f>
        <v/>
      </c>
      <c r="I161" s="240" t="str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 t="str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 t="str">
        <f>IF(C162="","",E162/C162)</f>
        <v/>
      </c>
      <c r="E162" s="247" t="str">
        <f>IF(C162="","",SUMIFS('ИТОГО Торговля'!$E$5:$E$300,'ИТОГО Торговля'!$B$5:$B$300,$B162)+SUMIFS('ИТОГО Лэндинг'!$E$5:$E$300,'ИТОГО Лэндинг'!$B$5:$B$300,$B162))</f>
        <v/>
      </c>
      <c r="F162" s="246" t="str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 t="str">
        <f>IF(F162="","",H162/F162)</f>
        <v/>
      </c>
      <c r="H162" s="247" t="str">
        <f>IF(F162="","",SUMIFS('ИТОГО Торговля'!$H$5:$H$300,'ИТОГО Торговля'!$B$5:$B$300,$B162)+SUMIFS('ИТОГО Лэндинг'!$H$5:$H$300,'ИТОГО Лэндинг'!$B$5:$B$300,$B162))</f>
        <v/>
      </c>
      <c r="I162" s="246" t="str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 t="str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 t="str">
        <f>IF(C163="","",E163/C163)</f>
        <v/>
      </c>
      <c r="E163" s="241" t="str">
        <f>IF(C163="","",SUMIFS('ИТОГО Торговля'!$E$5:$E$300,'ИТОГО Торговля'!$B$5:$B$300,$B163)+SUMIFS('ИТОГО Лэндинг'!$E$5:$E$300,'ИТОГО Лэндинг'!$B$5:$B$300,$B163))</f>
        <v/>
      </c>
      <c r="F163" s="240" t="str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 t="str">
        <f>IF(F163="","",H163/F163)</f>
        <v/>
      </c>
      <c r="H163" s="241" t="str">
        <f>IF(F163="","",SUMIFS('ИТОГО Торговля'!$H$5:$H$300,'ИТОГО Торговля'!$B$5:$B$300,$B163)+SUMIFS('ИТОГО Лэндинг'!$H$5:$H$300,'ИТОГО Лэндинг'!$B$5:$B$300,$B163))</f>
        <v/>
      </c>
      <c r="I163" s="240" t="str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 t="str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 t="str">
        <f>IF(C164="","",E164/C164)</f>
        <v/>
      </c>
      <c r="E164" s="247" t="str">
        <f>IF(C164="","",SUMIFS('ИТОГО Торговля'!$E$5:$E$300,'ИТОГО Торговля'!$B$5:$B$300,$B164)+SUMIFS('ИТОГО Лэндинг'!$E$5:$E$300,'ИТОГО Лэндинг'!$B$5:$B$300,$B164))</f>
        <v/>
      </c>
      <c r="F164" s="246" t="str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 t="str">
        <f>IF(F164="","",H164/F164)</f>
        <v/>
      </c>
      <c r="H164" s="247" t="str">
        <f>IF(F164="","",SUMIFS('ИТОГО Торговля'!$H$5:$H$300,'ИТОГО Торговля'!$B$5:$B$300,$B164)+SUMIFS('ИТОГО Лэндинг'!$H$5:$H$300,'ИТОГО Лэндинг'!$B$5:$B$300,$B164))</f>
        <v/>
      </c>
      <c r="I164" s="246" t="str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 t="str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 t="str">
        <f>IF(C165="","",E165/C165)</f>
        <v/>
      </c>
      <c r="E165" s="241" t="str">
        <f>IF(C165="","",SUMIFS('ИТОГО Торговля'!$E$5:$E$300,'ИТОГО Торговля'!$B$5:$B$300,$B165)+SUMIFS('ИТОГО Лэндинг'!$E$5:$E$300,'ИТОГО Лэндинг'!$B$5:$B$300,$B165))</f>
        <v/>
      </c>
      <c r="F165" s="240" t="str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 t="str">
        <f>IF(F165="","",H165/F165)</f>
        <v/>
      </c>
      <c r="H165" s="241" t="str">
        <f>IF(F165="","",SUMIFS('ИТОГО Торговля'!$H$5:$H$300,'ИТОГО Торговля'!$B$5:$B$300,$B165)+SUMIFS('ИТОГО Лэндинг'!$H$5:$H$300,'ИТОГО Лэндинг'!$B$5:$B$300,$B165))</f>
        <v/>
      </c>
      <c r="I165" s="240" t="str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 t="str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 t="str">
        <f>IF(C166="","",E166/C166)</f>
        <v/>
      </c>
      <c r="E166" s="247" t="str">
        <f>IF(C166="","",SUMIFS('ИТОГО Торговля'!$E$5:$E$300,'ИТОГО Торговля'!$B$5:$B$300,$B166)+SUMIFS('ИТОГО Лэндинг'!$E$5:$E$300,'ИТОГО Лэндинг'!$B$5:$B$300,$B166))</f>
        <v/>
      </c>
      <c r="F166" s="246" t="str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 t="str">
        <f>IF(F166="","",H166/F166)</f>
        <v/>
      </c>
      <c r="H166" s="247" t="str">
        <f>IF(F166="","",SUMIFS('ИТОГО Торговля'!$H$5:$H$300,'ИТОГО Торговля'!$B$5:$B$300,$B166)+SUMIFS('ИТОГО Лэндинг'!$H$5:$H$300,'ИТОГО Лэндинг'!$B$5:$B$300,$B166))</f>
        <v/>
      </c>
      <c r="I166" s="246" t="str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 t="str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 t="str">
        <f>IF(C167="","",E167/C167)</f>
        <v/>
      </c>
      <c r="E167" s="241" t="str">
        <f>IF(C167="","",SUMIFS('ИТОГО Торговля'!$E$5:$E$300,'ИТОГО Торговля'!$B$5:$B$300,$B167)+SUMIFS('ИТОГО Лэндинг'!$E$5:$E$300,'ИТОГО Лэндинг'!$B$5:$B$300,$B167))</f>
        <v/>
      </c>
      <c r="F167" s="240" t="str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 t="str">
        <f>IF(F167="","",H167/F167)</f>
        <v/>
      </c>
      <c r="H167" s="241" t="str">
        <f>IF(F167="","",SUMIFS('ИТОГО Торговля'!$H$5:$H$300,'ИТОГО Торговля'!$B$5:$B$300,$B167)+SUMIFS('ИТОГО Лэндинг'!$H$5:$H$300,'ИТОГО Лэндинг'!$B$5:$B$300,$B167))</f>
        <v/>
      </c>
      <c r="I167" s="240" t="str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 t="str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 t="str">
        <f>IF(C168="","",E168/C168)</f>
        <v/>
      </c>
      <c r="E168" s="247" t="str">
        <f>IF(C168="","",SUMIFS('ИТОГО Торговля'!$E$5:$E$300,'ИТОГО Торговля'!$B$5:$B$300,$B168)+SUMIFS('ИТОГО Лэндинг'!$E$5:$E$300,'ИТОГО Лэндинг'!$B$5:$B$300,$B168))</f>
        <v/>
      </c>
      <c r="F168" s="246" t="str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 t="str">
        <f>IF(F168="","",H168/F168)</f>
        <v/>
      </c>
      <c r="H168" s="247" t="str">
        <f>IF(F168="","",SUMIFS('ИТОГО Торговля'!$H$5:$H$300,'ИТОГО Торговля'!$B$5:$B$300,$B168)+SUMIFS('ИТОГО Лэндинг'!$H$5:$H$300,'ИТОГО Лэндинг'!$B$5:$B$300,$B168))</f>
        <v/>
      </c>
      <c r="I168" s="246" t="str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 t="str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 t="str">
        <f>IF(C169="","",E169/C169)</f>
        <v/>
      </c>
      <c r="E169" s="241" t="str">
        <f>IF(C169="","",SUMIFS('ИТОГО Торговля'!$E$5:$E$300,'ИТОГО Торговля'!$B$5:$B$300,$B169)+SUMIFS('ИТОГО Лэндинг'!$E$5:$E$300,'ИТОГО Лэндинг'!$B$5:$B$300,$B169))</f>
        <v/>
      </c>
      <c r="F169" s="240" t="str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 t="str">
        <f>IF(F169="","",H169/F169)</f>
        <v/>
      </c>
      <c r="H169" s="241" t="str">
        <f>IF(F169="","",SUMIFS('ИТОГО Торговля'!$H$5:$H$300,'ИТОГО Торговля'!$B$5:$B$300,$B169)+SUMIFS('ИТОГО Лэндинг'!$H$5:$H$300,'ИТОГО Лэндинг'!$B$5:$B$300,$B169))</f>
        <v/>
      </c>
      <c r="I169" s="240" t="str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 t="str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 t="str">
        <f>IF(C170="","",E170/C170)</f>
        <v/>
      </c>
      <c r="E170" s="247" t="str">
        <f>IF(C170="","",SUMIFS('ИТОГО Торговля'!$E$5:$E$300,'ИТОГО Торговля'!$B$5:$B$300,$B170)+SUMIFS('ИТОГО Лэндинг'!$E$5:$E$300,'ИТОГО Лэндинг'!$B$5:$B$300,$B170))</f>
        <v/>
      </c>
      <c r="F170" s="246" t="str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 t="str">
        <f>IF(F170="","",H170/F170)</f>
        <v/>
      </c>
      <c r="H170" s="247" t="str">
        <f>IF(F170="","",SUMIFS('ИТОГО Торговля'!$H$5:$H$300,'ИТОГО Торговля'!$B$5:$B$300,$B170)+SUMIFS('ИТОГО Лэндинг'!$H$5:$H$300,'ИТОГО Лэндинг'!$B$5:$B$300,$B170))</f>
        <v/>
      </c>
      <c r="I170" s="246" t="str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 t="str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 t="str">
        <f>IF(C171="","",E171/C171)</f>
        <v/>
      </c>
      <c r="E171" s="241" t="str">
        <f>IF(C171="","",SUMIFS('ИТОГО Торговля'!$E$5:$E$300,'ИТОГО Торговля'!$B$5:$B$300,$B171)+SUMIFS('ИТОГО Лэндинг'!$E$5:$E$300,'ИТОГО Лэндинг'!$B$5:$B$300,$B171))</f>
        <v/>
      </c>
      <c r="F171" s="240" t="str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 t="str">
        <f>IF(F171="","",H171/F171)</f>
        <v/>
      </c>
      <c r="H171" s="241" t="str">
        <f>IF(F171="","",SUMIFS('ИТОГО Торговля'!$H$5:$H$300,'ИТОГО Торговля'!$B$5:$B$300,$B171)+SUMIFS('ИТОГО Лэндинг'!$H$5:$H$300,'ИТОГО Лэндинг'!$B$5:$B$300,$B171))</f>
        <v/>
      </c>
      <c r="I171" s="240" t="str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 t="str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 t="str">
        <f>IF(C172="","",E172/C172)</f>
        <v/>
      </c>
      <c r="E172" s="247" t="str">
        <f>IF(C172="","",SUMIFS('ИТОГО Торговля'!$E$5:$E$300,'ИТОГО Торговля'!$B$5:$B$300,$B172)+SUMIFS('ИТОГО Лэндинг'!$E$5:$E$300,'ИТОГО Лэндинг'!$B$5:$B$300,$B172))</f>
        <v/>
      </c>
      <c r="F172" s="246" t="str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 t="str">
        <f>IF(F172="","",H172/F172)</f>
        <v/>
      </c>
      <c r="H172" s="247" t="str">
        <f>IF(F172="","",SUMIFS('ИТОГО Торговля'!$H$5:$H$300,'ИТОГО Торговля'!$B$5:$B$300,$B172)+SUMIFS('ИТОГО Лэндинг'!$H$5:$H$300,'ИТОГО Лэндинг'!$B$5:$B$300,$B172))</f>
        <v/>
      </c>
      <c r="I172" s="246" t="str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 t="str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 t="str">
        <f>IF(C173="","",E173/C173)</f>
        <v/>
      </c>
      <c r="E173" s="241" t="str">
        <f>IF(C173="","",SUMIFS('ИТОГО Торговля'!$E$5:$E$300,'ИТОГО Торговля'!$B$5:$B$300,$B173)+SUMIFS('ИТОГО Лэндинг'!$E$5:$E$300,'ИТОГО Лэндинг'!$B$5:$B$300,$B173))</f>
        <v/>
      </c>
      <c r="F173" s="240" t="str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 t="str">
        <f>IF(F173="","",H173/F173)</f>
        <v/>
      </c>
      <c r="H173" s="241" t="str">
        <f>IF(F173="","",SUMIFS('ИТОГО Торговля'!$H$5:$H$300,'ИТОГО Торговля'!$B$5:$B$300,$B173)+SUMIFS('ИТОГО Лэндинг'!$H$5:$H$300,'ИТОГО Лэндинг'!$B$5:$B$300,$B173))</f>
        <v/>
      </c>
      <c r="I173" s="240" t="str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 t="str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 t="str">
        <f>IF(C174="","",E174/C174)</f>
        <v/>
      </c>
      <c r="E174" s="247" t="str">
        <f>IF(C174="","",SUMIFS('ИТОГО Торговля'!$E$5:$E$300,'ИТОГО Торговля'!$B$5:$B$300,$B174)+SUMIFS('ИТОГО Лэндинг'!$E$5:$E$300,'ИТОГО Лэндинг'!$B$5:$B$300,$B174))</f>
        <v/>
      </c>
      <c r="F174" s="246" t="str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 t="str">
        <f>IF(F174="","",H174/F174)</f>
        <v/>
      </c>
      <c r="H174" s="247" t="str">
        <f>IF(F174="","",SUMIFS('ИТОГО Торговля'!$H$5:$H$300,'ИТОГО Торговля'!$B$5:$B$300,$B174)+SUMIFS('ИТОГО Лэндинг'!$H$5:$H$300,'ИТОГО Лэндинг'!$B$5:$B$300,$B174))</f>
        <v/>
      </c>
      <c r="I174" s="246" t="str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 t="str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 t="str">
        <f>IF(C175="","",E175/C175)</f>
        <v/>
      </c>
      <c r="E175" s="241" t="str">
        <f>IF(C175="","",SUMIFS('ИТОГО Торговля'!$E$5:$E$300,'ИТОГО Торговля'!$B$5:$B$300,$B175)+SUMIFS('ИТОГО Лэндинг'!$E$5:$E$300,'ИТОГО Лэндинг'!$B$5:$B$300,$B175))</f>
        <v/>
      </c>
      <c r="F175" s="240" t="str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 t="str">
        <f>IF(F175="","",H175/F175)</f>
        <v/>
      </c>
      <c r="H175" s="241" t="str">
        <f>IF(F175="","",SUMIFS('ИТОГО Торговля'!$H$5:$H$300,'ИТОГО Торговля'!$B$5:$B$300,$B175)+SUMIFS('ИТОГО Лэндинг'!$H$5:$H$300,'ИТОГО Лэндинг'!$B$5:$B$300,$B175))</f>
        <v/>
      </c>
      <c r="I175" s="240" t="str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 t="str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 t="str">
        <f>IF(C176="","",E176/C176)</f>
        <v/>
      </c>
      <c r="E176" s="247" t="str">
        <f>IF(C176="","",SUMIFS('ИТОГО Торговля'!$E$5:$E$300,'ИТОГО Торговля'!$B$5:$B$300,$B176)+SUMIFS('ИТОГО Лэндинг'!$E$5:$E$300,'ИТОГО Лэндинг'!$B$5:$B$300,$B176))</f>
        <v/>
      </c>
      <c r="F176" s="246" t="str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 t="str">
        <f>IF(F176="","",H176/F176)</f>
        <v/>
      </c>
      <c r="H176" s="247" t="str">
        <f>IF(F176="","",SUMIFS('ИТОГО Торговля'!$H$5:$H$300,'ИТОГО Торговля'!$B$5:$B$300,$B176)+SUMIFS('ИТОГО Лэндинг'!$H$5:$H$300,'ИТОГО Лэндинг'!$B$5:$B$300,$B176))</f>
        <v/>
      </c>
      <c r="I176" s="246" t="str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 t="str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 t="str">
        <f>IF(C177="","",E177/C177)</f>
        <v/>
      </c>
      <c r="E177" s="241" t="str">
        <f>IF(C177="","",SUMIFS('ИТОГО Торговля'!$E$5:$E$300,'ИТОГО Торговля'!$B$5:$B$300,$B177)+SUMIFS('ИТОГО Лэндинг'!$E$5:$E$300,'ИТОГО Лэндинг'!$B$5:$B$300,$B177))</f>
        <v/>
      </c>
      <c r="F177" s="240" t="str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 t="str">
        <f>IF(F177="","",H177/F177)</f>
        <v/>
      </c>
      <c r="H177" s="241" t="str">
        <f>IF(F177="","",SUMIFS('ИТОГО Торговля'!$H$5:$H$300,'ИТОГО Торговля'!$B$5:$B$300,$B177)+SUMIFS('ИТОГО Лэндинг'!$H$5:$H$300,'ИТОГО Лэндинг'!$B$5:$B$300,$B177))</f>
        <v/>
      </c>
      <c r="I177" s="240" t="str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 t="str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 t="str">
        <f>IF(C178="","",E178/C178)</f>
        <v/>
      </c>
      <c r="E178" s="247" t="str">
        <f>IF(C178="","",SUMIFS('ИТОГО Торговля'!$E$5:$E$300,'ИТОГО Торговля'!$B$5:$B$300,$B178)+SUMIFS('ИТОГО Лэндинг'!$E$5:$E$300,'ИТОГО Лэндинг'!$B$5:$B$300,$B178))</f>
        <v/>
      </c>
      <c r="F178" s="246" t="str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 t="str">
        <f>IF(F178="","",H178/F178)</f>
        <v/>
      </c>
      <c r="H178" s="247" t="str">
        <f>IF(F178="","",SUMIFS('ИТОГО Торговля'!$H$5:$H$300,'ИТОГО Торговля'!$B$5:$B$300,$B178)+SUMIFS('ИТОГО Лэндинг'!$H$5:$H$300,'ИТОГО Лэндинг'!$B$5:$B$300,$B178))</f>
        <v/>
      </c>
      <c r="I178" s="246" t="str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 t="str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 t="str">
        <f>IF(C179="","",E179/C179)</f>
        <v/>
      </c>
      <c r="E179" s="241" t="str">
        <f>IF(C179="","",SUMIFS('ИТОГО Торговля'!$E$5:$E$300,'ИТОГО Торговля'!$B$5:$B$300,$B179)+SUMIFS('ИТОГО Лэндинг'!$E$5:$E$300,'ИТОГО Лэндинг'!$B$5:$B$300,$B179))</f>
        <v/>
      </c>
      <c r="F179" s="240" t="str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 t="str">
        <f>IF(F179="","",H179/F179)</f>
        <v/>
      </c>
      <c r="H179" s="241" t="str">
        <f>IF(F179="","",SUMIFS('ИТОГО Торговля'!$H$5:$H$300,'ИТОГО Торговля'!$B$5:$B$300,$B179)+SUMIFS('ИТОГО Лэндинг'!$H$5:$H$300,'ИТОГО Лэндинг'!$B$5:$B$300,$B179))</f>
        <v/>
      </c>
      <c r="I179" s="240" t="str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 t="str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 t="str">
        <f>IF(C180="","",E180/C180)</f>
        <v/>
      </c>
      <c r="E180" s="247" t="str">
        <f>IF(C180="","",SUMIFS('ИТОГО Торговля'!$E$5:$E$300,'ИТОГО Торговля'!$B$5:$B$300,$B180)+SUMIFS('ИТОГО Лэндинг'!$E$5:$E$300,'ИТОГО Лэндинг'!$B$5:$B$300,$B180))</f>
        <v/>
      </c>
      <c r="F180" s="246" t="str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 t="str">
        <f>IF(F180="","",H180/F180)</f>
        <v/>
      </c>
      <c r="H180" s="247" t="str">
        <f>IF(F180="","",SUMIFS('ИТОГО Торговля'!$H$5:$H$300,'ИТОГО Торговля'!$B$5:$B$300,$B180)+SUMIFS('ИТОГО Лэндинг'!$H$5:$H$300,'ИТОГО Лэндинг'!$B$5:$B$300,$B180))</f>
        <v/>
      </c>
      <c r="I180" s="246" t="str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 t="str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 t="str">
        <f>IF(C181="","",E181/C181)</f>
        <v/>
      </c>
      <c r="E181" s="241" t="str">
        <f>IF(C181="","",SUMIFS('ИТОГО Торговля'!$E$5:$E$300,'ИТОГО Торговля'!$B$5:$B$300,$B181)+SUMIFS('ИТОГО Лэндинг'!$E$5:$E$300,'ИТОГО Лэндинг'!$B$5:$B$300,$B181))</f>
        <v/>
      </c>
      <c r="F181" s="240" t="str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 t="str">
        <f>IF(F181="","",H181/F181)</f>
        <v/>
      </c>
      <c r="H181" s="241" t="str">
        <f>IF(F181="","",SUMIFS('ИТОГО Торговля'!$H$5:$H$300,'ИТОГО Торговля'!$B$5:$B$300,$B181)+SUMIFS('ИТОГО Лэндинг'!$H$5:$H$300,'ИТОГО Лэндинг'!$B$5:$B$300,$B181))</f>
        <v/>
      </c>
      <c r="I181" s="240" t="str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 t="str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 t="str">
        <f>IF(C182="","",E182/C182)</f>
        <v/>
      </c>
      <c r="E182" s="247" t="str">
        <f>IF(C182="","",SUMIFS('ИТОГО Торговля'!$E$5:$E$300,'ИТОГО Торговля'!$B$5:$B$300,$B182)+SUMIFS('ИТОГО Лэндинг'!$E$5:$E$300,'ИТОГО Лэндинг'!$B$5:$B$300,$B182))</f>
        <v/>
      </c>
      <c r="F182" s="246" t="str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 t="str">
        <f>IF(F182="","",H182/F182)</f>
        <v/>
      </c>
      <c r="H182" s="247" t="str">
        <f>IF(F182="","",SUMIFS('ИТОГО Торговля'!$H$5:$H$300,'ИТОГО Торговля'!$B$5:$B$300,$B182)+SUMIFS('ИТОГО Лэндинг'!$H$5:$H$300,'ИТОГО Лэндинг'!$B$5:$B$300,$B182))</f>
        <v/>
      </c>
      <c r="I182" s="246" t="str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 t="str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 t="str">
        <f>IF(C183="","",E183/C183)</f>
        <v/>
      </c>
      <c r="E183" s="241" t="str">
        <f>IF(C183="","",SUMIFS('ИТОГО Торговля'!$E$5:$E$300,'ИТОГО Торговля'!$B$5:$B$300,$B183)+SUMIFS('ИТОГО Лэндинг'!$E$5:$E$300,'ИТОГО Лэндинг'!$B$5:$B$300,$B183))</f>
        <v/>
      </c>
      <c r="F183" s="240" t="str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 t="str">
        <f>IF(F183="","",H183/F183)</f>
        <v/>
      </c>
      <c r="H183" s="241" t="str">
        <f>IF(F183="","",SUMIFS('ИТОГО Торговля'!$H$5:$H$300,'ИТОГО Торговля'!$B$5:$B$300,$B183)+SUMIFS('ИТОГО Лэндинг'!$H$5:$H$300,'ИТОГО Лэндинг'!$B$5:$B$300,$B183))</f>
        <v/>
      </c>
      <c r="I183" s="240" t="str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 t="str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 t="str">
        <f>IF(C184="","",E184/C184)</f>
        <v/>
      </c>
      <c r="E184" s="247" t="str">
        <f>IF(C184="","",SUMIFS('ИТОГО Торговля'!$E$5:$E$300,'ИТОГО Торговля'!$B$5:$B$300,$B184)+SUMIFS('ИТОГО Лэндинг'!$E$5:$E$300,'ИТОГО Лэндинг'!$B$5:$B$300,$B184))</f>
        <v/>
      </c>
      <c r="F184" s="246" t="str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 t="str">
        <f>IF(F184="","",H184/F184)</f>
        <v/>
      </c>
      <c r="H184" s="247" t="str">
        <f>IF(F184="","",SUMIFS('ИТОГО Торговля'!$H$5:$H$300,'ИТОГО Торговля'!$B$5:$B$300,$B184)+SUMIFS('ИТОГО Лэндинг'!$H$5:$H$300,'ИТОГО Лэндинг'!$B$5:$B$300,$B184))</f>
        <v/>
      </c>
      <c r="I184" s="246" t="str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 t="str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 t="str">
        <f>IF(C185="","",E185/C185)</f>
        <v/>
      </c>
      <c r="E185" s="241" t="str">
        <f>IF(C185="","",SUMIFS('ИТОГО Торговля'!$E$5:$E$300,'ИТОГО Торговля'!$B$5:$B$300,$B185)+SUMIFS('ИТОГО Лэндинг'!$E$5:$E$300,'ИТОГО Лэндинг'!$B$5:$B$300,$B185))</f>
        <v/>
      </c>
      <c r="F185" s="240" t="str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 t="str">
        <f>IF(F185="","",H185/F185)</f>
        <v/>
      </c>
      <c r="H185" s="241" t="str">
        <f>IF(F185="","",SUMIFS('ИТОГО Торговля'!$H$5:$H$300,'ИТОГО Торговля'!$B$5:$B$300,$B185)+SUMIFS('ИТОГО Лэндинг'!$H$5:$H$300,'ИТОГО Лэндинг'!$B$5:$B$300,$B185))</f>
        <v/>
      </c>
      <c r="I185" s="240" t="str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 t="str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 t="str">
        <f>IF(C186="","",E186/C186)</f>
        <v/>
      </c>
      <c r="E186" s="247" t="str">
        <f>IF(C186="","",SUMIFS('ИТОГО Торговля'!$E$5:$E$300,'ИТОГО Торговля'!$B$5:$B$300,$B186)+SUMIFS('ИТОГО Лэндинг'!$E$5:$E$300,'ИТОГО Лэндинг'!$B$5:$B$300,$B186))</f>
        <v/>
      </c>
      <c r="F186" s="246" t="str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 t="str">
        <f>IF(F186="","",H186/F186)</f>
        <v/>
      </c>
      <c r="H186" s="247" t="str">
        <f>IF(F186="","",SUMIFS('ИТОГО Торговля'!$H$5:$H$300,'ИТОГО Торговля'!$B$5:$B$300,$B186)+SUMIFS('ИТОГО Лэндинг'!$H$5:$H$300,'ИТОГО Лэндинг'!$B$5:$B$300,$B186))</f>
        <v/>
      </c>
      <c r="I186" s="246" t="str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 t="str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 t="str">
        <f>IF(C187="","",E187/C187)</f>
        <v/>
      </c>
      <c r="E187" s="241" t="str">
        <f>IF(C187="","",SUMIFS('ИТОГО Торговля'!$E$5:$E$300,'ИТОГО Торговля'!$B$5:$B$300,$B187)+SUMIFS('ИТОГО Лэндинг'!$E$5:$E$300,'ИТОГО Лэндинг'!$B$5:$B$300,$B187))</f>
        <v/>
      </c>
      <c r="F187" s="240" t="str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 t="str">
        <f>IF(F187="","",H187/F187)</f>
        <v/>
      </c>
      <c r="H187" s="241" t="str">
        <f>IF(F187="","",SUMIFS('ИТОГО Торговля'!$H$5:$H$300,'ИТОГО Торговля'!$B$5:$B$300,$B187)+SUMIFS('ИТОГО Лэндинг'!$H$5:$H$300,'ИТОГО Лэндинг'!$B$5:$B$300,$B187))</f>
        <v/>
      </c>
      <c r="I187" s="240" t="str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 t="str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 t="str">
        <f>IF(C188="","",E188/C188)</f>
        <v/>
      </c>
      <c r="E188" s="247" t="str">
        <f>IF(C188="","",SUMIFS('ИТОГО Торговля'!$E$5:$E$300,'ИТОГО Торговля'!$B$5:$B$300,$B188)+SUMIFS('ИТОГО Лэндинг'!$E$5:$E$300,'ИТОГО Лэндинг'!$B$5:$B$300,$B188))</f>
        <v/>
      </c>
      <c r="F188" s="246" t="str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 t="str">
        <f>IF(F188="","",H188/F188)</f>
        <v/>
      </c>
      <c r="H188" s="247" t="str">
        <f>IF(F188="","",SUMIFS('ИТОГО Торговля'!$H$5:$H$300,'ИТОГО Торговля'!$B$5:$B$300,$B188)+SUMIFS('ИТОГО Лэндинг'!$H$5:$H$300,'ИТОГО Лэндинг'!$B$5:$B$300,$B188))</f>
        <v/>
      </c>
      <c r="I188" s="246" t="str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 t="str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 t="str">
        <f>IF(C189="","",E189/C189)</f>
        <v/>
      </c>
      <c r="E189" s="241" t="str">
        <f>IF(C189="","",SUMIFS('ИТОГО Торговля'!$E$5:$E$300,'ИТОГО Торговля'!$B$5:$B$300,$B189)+SUMIFS('ИТОГО Лэндинг'!$E$5:$E$300,'ИТОГО Лэндинг'!$B$5:$B$300,$B189))</f>
        <v/>
      </c>
      <c r="F189" s="240" t="str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 t="str">
        <f>IF(F189="","",H189/F189)</f>
        <v/>
      </c>
      <c r="H189" s="241" t="str">
        <f>IF(F189="","",SUMIFS('ИТОГО Торговля'!$H$5:$H$300,'ИТОГО Торговля'!$B$5:$B$300,$B189)+SUMIFS('ИТОГО Лэндинг'!$H$5:$H$300,'ИТОГО Лэндинг'!$B$5:$B$300,$B189))</f>
        <v/>
      </c>
      <c r="I189" s="240" t="str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 t="str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 t="str">
        <f>IF(C190="","",E190/C190)</f>
        <v/>
      </c>
      <c r="E190" s="247" t="str">
        <f>IF(C190="","",SUMIFS('ИТОГО Торговля'!$E$5:$E$300,'ИТОГО Торговля'!$B$5:$B$300,$B190)+SUMIFS('ИТОГО Лэндинг'!$E$5:$E$300,'ИТОГО Лэндинг'!$B$5:$B$300,$B190))</f>
        <v/>
      </c>
      <c r="F190" s="246" t="str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 t="str">
        <f>IF(F190="","",H190/F190)</f>
        <v/>
      </c>
      <c r="H190" s="247" t="str">
        <f>IF(F190="","",SUMIFS('ИТОГО Торговля'!$H$5:$H$300,'ИТОГО Торговля'!$B$5:$B$300,$B190)+SUMIFS('ИТОГО Лэндинг'!$H$5:$H$300,'ИТОГО Лэндинг'!$B$5:$B$300,$B190))</f>
        <v/>
      </c>
      <c r="I190" s="246" t="str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 t="str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 t="str">
        <f>IF(C191="","",E191/C191)</f>
        <v/>
      </c>
      <c r="E191" s="241" t="str">
        <f>IF(C191="","",SUMIFS('ИТОГО Торговля'!$E$5:$E$300,'ИТОГО Торговля'!$B$5:$B$300,$B191)+SUMIFS('ИТОГО Лэндинг'!$E$5:$E$300,'ИТОГО Лэндинг'!$B$5:$B$300,$B191))</f>
        <v/>
      </c>
      <c r="F191" s="240" t="str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 t="str">
        <f>IF(F191="","",H191/F191)</f>
        <v/>
      </c>
      <c r="H191" s="241" t="str">
        <f>IF(F191="","",SUMIFS('ИТОГО Торговля'!$H$5:$H$300,'ИТОГО Торговля'!$B$5:$B$300,$B191)+SUMIFS('ИТОГО Лэндинг'!$H$5:$H$300,'ИТОГО Лэндинг'!$B$5:$B$300,$B191))</f>
        <v/>
      </c>
      <c r="I191" s="240" t="str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 t="str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 t="str">
        <f>IF(C192="","",E192/C192)</f>
        <v/>
      </c>
      <c r="E192" s="247" t="str">
        <f>IF(C192="","",SUMIFS('ИТОГО Торговля'!$E$5:$E$300,'ИТОГО Торговля'!$B$5:$B$300,$B192)+SUMIFS('ИТОГО Лэндинг'!$E$5:$E$300,'ИТОГО Лэндинг'!$B$5:$B$300,$B192))</f>
        <v/>
      </c>
      <c r="F192" s="246" t="str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 t="str">
        <f>IF(F192="","",H192/F192)</f>
        <v/>
      </c>
      <c r="H192" s="247" t="str">
        <f>IF(F192="","",SUMIFS('ИТОГО Торговля'!$H$5:$H$300,'ИТОГО Торговля'!$B$5:$B$300,$B192)+SUMIFS('ИТОГО Лэндинг'!$H$5:$H$300,'ИТОГО Лэндинг'!$B$5:$B$300,$B192))</f>
        <v/>
      </c>
      <c r="I192" s="246" t="str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 t="str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 t="str">
        <f>IF(C193="","",E193/C193)</f>
        <v/>
      </c>
      <c r="E193" s="241" t="str">
        <f>IF(C193="","",SUMIFS('ИТОГО Торговля'!$E$5:$E$300,'ИТОГО Торговля'!$B$5:$B$300,$B193)+SUMIFS('ИТОГО Лэндинг'!$E$5:$E$300,'ИТОГО Лэндинг'!$B$5:$B$300,$B193))</f>
        <v/>
      </c>
      <c r="F193" s="240" t="str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 t="str">
        <f>IF(F193="","",H193/F193)</f>
        <v/>
      </c>
      <c r="H193" s="241" t="str">
        <f>IF(F193="","",SUMIFS('ИТОГО Торговля'!$H$5:$H$300,'ИТОГО Торговля'!$B$5:$B$300,$B193)+SUMIFS('ИТОГО Лэндинг'!$H$5:$H$300,'ИТОГО Лэндинг'!$B$5:$B$300,$B193))</f>
        <v/>
      </c>
      <c r="I193" s="240" t="str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 t="str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 t="str">
        <f>IF(C194="","",E194/C194)</f>
        <v/>
      </c>
      <c r="E194" s="247" t="str">
        <f>IF(C194="","",SUMIFS('ИТОГО Торговля'!$E$5:$E$300,'ИТОГО Торговля'!$B$5:$B$300,$B194)+SUMIFS('ИТОГО Лэндинг'!$E$5:$E$300,'ИТОГО Лэндинг'!$B$5:$B$300,$B194))</f>
        <v/>
      </c>
      <c r="F194" s="246" t="str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 t="str">
        <f>IF(F194="","",H194/F194)</f>
        <v/>
      </c>
      <c r="H194" s="247" t="str">
        <f>IF(F194="","",SUMIFS('ИТОГО Торговля'!$H$5:$H$300,'ИТОГО Торговля'!$B$5:$B$300,$B194)+SUMIFS('ИТОГО Лэндинг'!$H$5:$H$300,'ИТОГО Лэндинг'!$B$5:$B$300,$B194))</f>
        <v/>
      </c>
      <c r="I194" s="246" t="str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 t="str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 t="str">
        <f>IF(C195="","",E195/C195)</f>
        <v/>
      </c>
      <c r="E195" s="241" t="str">
        <f>IF(C195="","",SUMIFS('ИТОГО Торговля'!$E$5:$E$300,'ИТОГО Торговля'!$B$5:$B$300,$B195)+SUMIFS('ИТОГО Лэндинг'!$E$5:$E$300,'ИТОГО Лэндинг'!$B$5:$B$300,$B195))</f>
        <v/>
      </c>
      <c r="F195" s="240" t="str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 t="str">
        <f>IF(F195="","",H195/F195)</f>
        <v/>
      </c>
      <c r="H195" s="241" t="str">
        <f>IF(F195="","",SUMIFS('ИТОГО Торговля'!$H$5:$H$300,'ИТОГО Торговля'!$B$5:$B$300,$B195)+SUMIFS('ИТОГО Лэндинг'!$H$5:$H$300,'ИТОГО Лэндинг'!$B$5:$B$300,$B195))</f>
        <v/>
      </c>
      <c r="I195" s="240" t="str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 t="str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 t="str">
        <f>IF(C196="","",E196/C196)</f>
        <v/>
      </c>
      <c r="E196" s="247" t="str">
        <f>IF(C196="","",SUMIFS('ИТОГО Торговля'!$E$5:$E$300,'ИТОГО Торговля'!$B$5:$B$300,$B196)+SUMIFS('ИТОГО Лэндинг'!$E$5:$E$300,'ИТОГО Лэндинг'!$B$5:$B$300,$B196))</f>
        <v/>
      </c>
      <c r="F196" s="246" t="str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 t="str">
        <f>IF(F196="","",H196/F196)</f>
        <v/>
      </c>
      <c r="H196" s="247" t="str">
        <f>IF(F196="","",SUMIFS('ИТОГО Торговля'!$H$5:$H$300,'ИТОГО Торговля'!$B$5:$B$300,$B196)+SUMIFS('ИТОГО Лэндинг'!$H$5:$H$300,'ИТОГО Лэндинг'!$B$5:$B$300,$B196))</f>
        <v/>
      </c>
      <c r="I196" s="246" t="str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 t="str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 t="str">
        <f>IF(C197="","",E197/C197)</f>
        <v/>
      </c>
      <c r="E197" s="241" t="str">
        <f>IF(C197="","",SUMIFS('ИТОГО Торговля'!$E$5:$E$300,'ИТОГО Торговля'!$B$5:$B$300,$B197)+SUMIFS('ИТОГО Лэндинг'!$E$5:$E$300,'ИТОГО Лэндинг'!$B$5:$B$300,$B197))</f>
        <v/>
      </c>
      <c r="F197" s="240" t="str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 t="str">
        <f>IF(F197="","",H197/F197)</f>
        <v/>
      </c>
      <c r="H197" s="241" t="str">
        <f>IF(F197="","",SUMIFS('ИТОГО Торговля'!$H$5:$H$300,'ИТОГО Торговля'!$B$5:$B$300,$B197)+SUMIFS('ИТОГО Лэндинг'!$H$5:$H$300,'ИТОГО Лэндинг'!$B$5:$B$300,$B197))</f>
        <v/>
      </c>
      <c r="I197" s="240" t="str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 t="str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 t="str">
        <f>IF(C198="","",E198/C198)</f>
        <v/>
      </c>
      <c r="E198" s="247" t="str">
        <f>IF(C198="","",SUMIFS('ИТОГО Торговля'!$E$5:$E$300,'ИТОГО Торговля'!$B$5:$B$300,$B198)+SUMIFS('ИТОГО Лэндинг'!$E$5:$E$300,'ИТОГО Лэндинг'!$B$5:$B$300,$B198))</f>
        <v/>
      </c>
      <c r="F198" s="246" t="str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 t="str">
        <f>IF(F198="","",H198/F198)</f>
        <v/>
      </c>
      <c r="H198" s="247" t="str">
        <f>IF(F198="","",SUMIFS('ИТОГО Торговля'!$H$5:$H$300,'ИТОГО Торговля'!$B$5:$B$300,$B198)+SUMIFS('ИТОГО Лэндинг'!$H$5:$H$300,'ИТОГО Лэндинг'!$B$5:$B$300,$B198))</f>
        <v/>
      </c>
      <c r="I198" s="246" t="str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 t="str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 t="str">
        <f>IF(C199="","",E199/C199)</f>
        <v/>
      </c>
      <c r="E199" s="241" t="str">
        <f>IF(C199="","",SUMIFS('ИТОГО Торговля'!$E$5:$E$300,'ИТОГО Торговля'!$B$5:$B$300,$B199)+SUMIFS('ИТОГО Лэндинг'!$E$5:$E$300,'ИТОГО Лэндинг'!$B$5:$B$300,$B199))</f>
        <v/>
      </c>
      <c r="F199" s="240" t="str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 t="str">
        <f>IF(F199="","",H199/F199)</f>
        <v/>
      </c>
      <c r="H199" s="241" t="str">
        <f>IF(F199="","",SUMIFS('ИТОГО Торговля'!$H$5:$H$300,'ИТОГО Торговля'!$B$5:$B$300,$B199)+SUMIFS('ИТОГО Лэндинг'!$H$5:$H$300,'ИТОГО Лэндинг'!$B$5:$B$300,$B199))</f>
        <v/>
      </c>
      <c r="I199" s="240" t="str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 t="str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 t="str">
        <f>IF(C200="","",E200/C200)</f>
        <v/>
      </c>
      <c r="E200" s="247" t="str">
        <f>IF(C200="","",SUMIFS('ИТОГО Торговля'!$E$5:$E$300,'ИТОГО Торговля'!$B$5:$B$300,$B200)+SUMIFS('ИТОГО Лэндинг'!$E$5:$E$300,'ИТОГО Лэндинг'!$B$5:$B$300,$B200))</f>
        <v/>
      </c>
      <c r="F200" s="246" t="str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 t="str">
        <f>IF(F200="","",H200/F200)</f>
        <v/>
      </c>
      <c r="H200" s="247" t="str">
        <f>IF(F200="","",SUMIFS('ИТОГО Торговля'!$H$5:$H$300,'ИТОГО Торговля'!$B$5:$B$300,$B200)+SUMIFS('ИТОГО Лэндинг'!$H$5:$H$300,'ИТОГО Лэндинг'!$B$5:$B$300,$B200))</f>
        <v/>
      </c>
      <c r="I200" s="246" t="str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 t="str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 t="str">
        <f>IF(C201="","",E201/C201)</f>
        <v/>
      </c>
      <c r="E201" s="241" t="str">
        <f>IF(C201="","",SUMIFS('ИТОГО Торговля'!$E$5:$E$300,'ИТОГО Торговля'!$B$5:$B$300,$B201)+SUMIFS('ИТОГО Лэндинг'!$E$5:$E$300,'ИТОГО Лэндинг'!$B$5:$B$300,$B201))</f>
        <v/>
      </c>
      <c r="F201" s="240" t="str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 t="str">
        <f>IF(F201="","",H201/F201)</f>
        <v/>
      </c>
      <c r="H201" s="241" t="str">
        <f>IF(F201="","",SUMIFS('ИТОГО Торговля'!$H$5:$H$300,'ИТОГО Торговля'!$B$5:$B$300,$B201)+SUMIFS('ИТОГО Лэндинг'!$H$5:$H$300,'ИТОГО Лэндинг'!$B$5:$B$300,$B201))</f>
        <v/>
      </c>
      <c r="I201" s="240" t="str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 t="str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 t="str">
        <f>IF(C202="","",E202/C202)</f>
        <v/>
      </c>
      <c r="E202" s="247" t="str">
        <f>IF(C202="","",SUMIFS('ИТОГО Торговля'!$E$5:$E$300,'ИТОГО Торговля'!$B$5:$B$300,$B202)+SUMIFS('ИТОГО Лэндинг'!$E$5:$E$300,'ИТОГО Лэндинг'!$B$5:$B$300,$B202))</f>
        <v/>
      </c>
      <c r="F202" s="246" t="str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 t="str">
        <f>IF(F202="","",H202/F202)</f>
        <v/>
      </c>
      <c r="H202" s="247" t="str">
        <f>IF(F202="","",SUMIFS('ИТОГО Торговля'!$H$5:$H$300,'ИТОГО Торговля'!$B$5:$B$300,$B202)+SUMIFS('ИТОГО Лэндинг'!$H$5:$H$300,'ИТОГО Лэндинг'!$B$5:$B$300,$B202))</f>
        <v/>
      </c>
      <c r="I202" s="246" t="str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 t="str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 t="str">
        <f>IF(C203="","",E203/C203)</f>
        <v/>
      </c>
      <c r="E203" s="241" t="str">
        <f>IF(C203="","",SUMIFS('ИТОГО Торговля'!$E$5:$E$300,'ИТОГО Торговля'!$B$5:$B$300,$B203)+SUMIFS('ИТОГО Лэндинг'!$E$5:$E$300,'ИТОГО Лэндинг'!$B$5:$B$300,$B203))</f>
        <v/>
      </c>
      <c r="F203" s="240" t="str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 t="str">
        <f>IF(F203="","",H203/F203)</f>
        <v/>
      </c>
      <c r="H203" s="241" t="str">
        <f>IF(F203="","",SUMIFS('ИТОГО Торговля'!$H$5:$H$300,'ИТОГО Торговля'!$B$5:$B$300,$B203)+SUMIFS('ИТОГО Лэндинг'!$H$5:$H$300,'ИТОГО Лэндинг'!$B$5:$B$300,$B203))</f>
        <v/>
      </c>
      <c r="I203" s="240" t="str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 t="str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 t="str">
        <f>IF(C204="","",E204/C204)</f>
        <v/>
      </c>
      <c r="E204" s="247" t="str">
        <f>IF(C204="","",SUMIFS('ИТОГО Торговля'!$E$5:$E$300,'ИТОГО Торговля'!$B$5:$B$300,$B204)+SUMIFS('ИТОГО Лэндинг'!$E$5:$E$300,'ИТОГО Лэндинг'!$B$5:$B$300,$B204))</f>
        <v/>
      </c>
      <c r="F204" s="246" t="str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 t="str">
        <f>IF(F204="","",H204/F204)</f>
        <v/>
      </c>
      <c r="H204" s="247" t="str">
        <f>IF(F204="","",SUMIFS('ИТОГО Торговля'!$H$5:$H$300,'ИТОГО Торговля'!$B$5:$B$300,$B204)+SUMIFS('ИТОГО Лэндинг'!$H$5:$H$300,'ИТОГО Лэндинг'!$B$5:$B$300,$B204))</f>
        <v/>
      </c>
      <c r="I204" s="246" t="str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 t="str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 t="str">
        <f>IF(C205="","",E205/C205)</f>
        <v/>
      </c>
      <c r="E205" s="241" t="str">
        <f>IF(C205="","",SUMIFS('ИТОГО Торговля'!$E$5:$E$300,'ИТОГО Торговля'!$B$5:$B$300,$B205)+SUMIFS('ИТОГО Лэндинг'!$E$5:$E$300,'ИТОГО Лэндинг'!$B$5:$B$300,$B205))</f>
        <v/>
      </c>
      <c r="F205" s="240" t="str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 t="str">
        <f>IF(F205="","",H205/F205)</f>
        <v/>
      </c>
      <c r="H205" s="241" t="str">
        <f>IF(F205="","",SUMIFS('ИТОГО Торговля'!$H$5:$H$300,'ИТОГО Торговля'!$B$5:$B$300,$B205)+SUMIFS('ИТОГО Лэндинг'!$H$5:$H$300,'ИТОГО Лэндинг'!$B$5:$B$300,$B205))</f>
        <v/>
      </c>
      <c r="I205" s="240" t="str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 t="str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 t="str">
        <f>IF(C206="","",E206/C206)</f>
        <v/>
      </c>
      <c r="E206" s="247" t="str">
        <f>IF(C206="","",SUMIFS('ИТОГО Торговля'!$E$5:$E$300,'ИТОГО Торговля'!$B$5:$B$300,$B206)+SUMIFS('ИТОГО Лэндинг'!$E$5:$E$300,'ИТОГО Лэндинг'!$B$5:$B$300,$B206))</f>
        <v/>
      </c>
      <c r="F206" s="246" t="str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 t="str">
        <f>IF(F206="","",H206/F206)</f>
        <v/>
      </c>
      <c r="H206" s="247" t="str">
        <f>IF(F206="","",SUMIFS('ИТОГО Торговля'!$H$5:$H$300,'ИТОГО Торговля'!$B$5:$B$300,$B206)+SUMIFS('ИТОГО Лэндинг'!$H$5:$H$300,'ИТОГО Лэндинг'!$B$5:$B$300,$B206))</f>
        <v/>
      </c>
      <c r="I206" s="246" t="str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 t="str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 t="str">
        <f>IF(C207="","",E207/C207)</f>
        <v/>
      </c>
      <c r="E207" s="241" t="str">
        <f>IF(C207="","",SUMIFS('ИТОГО Торговля'!$E$5:$E$300,'ИТОГО Торговля'!$B$5:$B$300,$B207)+SUMIFS('ИТОГО Лэндинг'!$E$5:$E$300,'ИТОГО Лэндинг'!$B$5:$B$300,$B207))</f>
        <v/>
      </c>
      <c r="F207" s="240" t="str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 t="str">
        <f>IF(F207="","",H207/F207)</f>
        <v/>
      </c>
      <c r="H207" s="241" t="str">
        <f>IF(F207="","",SUMIFS('ИТОГО Торговля'!$H$5:$H$300,'ИТОГО Торговля'!$B$5:$B$300,$B207)+SUMIFS('ИТОГО Лэндинг'!$H$5:$H$300,'ИТОГО Лэндинг'!$B$5:$B$300,$B207))</f>
        <v/>
      </c>
      <c r="I207" s="240" t="str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 t="str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 t="str">
        <f>IF(C208="","",E208/C208)</f>
        <v/>
      </c>
      <c r="E208" s="247" t="str">
        <f>IF(C208="","",SUMIFS('ИТОГО Торговля'!$E$5:$E$300,'ИТОГО Торговля'!$B$5:$B$300,$B208)+SUMIFS('ИТОГО Лэндинг'!$E$5:$E$300,'ИТОГО Лэндинг'!$B$5:$B$300,$B208))</f>
        <v/>
      </c>
      <c r="F208" s="246" t="str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 t="str">
        <f>IF(F208="","",H208/F208)</f>
        <v/>
      </c>
      <c r="H208" s="247" t="str">
        <f>IF(F208="","",SUMIFS('ИТОГО Торговля'!$H$5:$H$300,'ИТОГО Торговля'!$B$5:$B$300,$B208)+SUMIFS('ИТОГО Лэндинг'!$H$5:$H$300,'ИТОГО Лэндинг'!$B$5:$B$300,$B208))</f>
        <v/>
      </c>
      <c r="I208" s="246" t="str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 t="str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 t="str">
        <f>IF(C209="","",E209/C209)</f>
        <v/>
      </c>
      <c r="E209" s="241" t="str">
        <f>IF(C209="","",SUMIFS('ИТОГО Торговля'!$E$5:$E$300,'ИТОГО Торговля'!$B$5:$B$300,$B209)+SUMIFS('ИТОГО Лэндинг'!$E$5:$E$300,'ИТОГО Лэндинг'!$B$5:$B$300,$B209))</f>
        <v/>
      </c>
      <c r="F209" s="240" t="str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 t="str">
        <f>IF(F209="","",H209/F209)</f>
        <v/>
      </c>
      <c r="H209" s="241" t="str">
        <f>IF(F209="","",SUMIFS('ИТОГО Торговля'!$H$5:$H$300,'ИТОГО Торговля'!$B$5:$B$300,$B209)+SUMIFS('ИТОГО Лэндинг'!$H$5:$H$300,'ИТОГО Лэндинг'!$B$5:$B$300,$B209))</f>
        <v/>
      </c>
      <c r="I209" s="240" t="str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 t="str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 t="str">
        <f>IF(C210="","",E210/C210)</f>
        <v/>
      </c>
      <c r="E210" s="247" t="str">
        <f>IF(C210="","",SUMIFS('ИТОГО Торговля'!$E$5:$E$300,'ИТОГО Торговля'!$B$5:$B$300,$B210)+SUMIFS('ИТОГО Лэндинг'!$E$5:$E$300,'ИТОГО Лэндинг'!$B$5:$B$300,$B210))</f>
        <v/>
      </c>
      <c r="F210" s="246" t="str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 t="str">
        <f>IF(F210="","",H210/F210)</f>
        <v/>
      </c>
      <c r="H210" s="247" t="str">
        <f>IF(F210="","",SUMIFS('ИТОГО Торговля'!$H$5:$H$300,'ИТОГО Торговля'!$B$5:$B$300,$B210)+SUMIFS('ИТОГО Лэндинг'!$H$5:$H$300,'ИТОГО Лэндинг'!$B$5:$B$300,$B210))</f>
        <v/>
      </c>
      <c r="I210" s="246" t="str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 t="str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 t="str">
        <f>IF(C211="","",E211/C211)</f>
        <v/>
      </c>
      <c r="E211" s="241" t="str">
        <f>IF(C211="","",SUMIFS('ИТОГО Торговля'!$E$5:$E$300,'ИТОГО Торговля'!$B$5:$B$300,$B211)+SUMIFS('ИТОГО Лэндинг'!$E$5:$E$300,'ИТОГО Лэндинг'!$B$5:$B$300,$B211))</f>
        <v/>
      </c>
      <c r="F211" s="240" t="str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 t="str">
        <f>IF(F211="","",H211/F211)</f>
        <v/>
      </c>
      <c r="H211" s="241" t="str">
        <f>IF(F211="","",SUMIFS('ИТОГО Торговля'!$H$5:$H$300,'ИТОГО Торговля'!$B$5:$B$300,$B211)+SUMIFS('ИТОГО Лэндинг'!$H$5:$H$300,'ИТОГО Лэндинг'!$B$5:$B$300,$B211))</f>
        <v/>
      </c>
      <c r="I211" s="240" t="str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 t="str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 t="str">
        <f>IF(C212="","",E212/C212)</f>
        <v/>
      </c>
      <c r="E212" s="247" t="str">
        <f>IF(C212="","",SUMIFS('ИТОГО Торговля'!$E$5:$E$300,'ИТОГО Торговля'!$B$5:$B$300,$B212)+SUMIFS('ИТОГО Лэндинг'!$E$5:$E$300,'ИТОГО Лэндинг'!$B$5:$B$300,$B212))</f>
        <v/>
      </c>
      <c r="F212" s="246" t="str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 t="str">
        <f>IF(F212="","",H212/F212)</f>
        <v/>
      </c>
      <c r="H212" s="247" t="str">
        <f>IF(F212="","",SUMIFS('ИТОГО Торговля'!$H$5:$H$300,'ИТОГО Торговля'!$B$5:$B$300,$B212)+SUMIFS('ИТОГО Лэндинг'!$H$5:$H$300,'ИТОГО Лэндинг'!$B$5:$B$300,$B212))</f>
        <v/>
      </c>
      <c r="I212" s="246" t="str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 t="str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 t="str">
        <f>IF(C213="","",E213/C213)</f>
        <v/>
      </c>
      <c r="E213" s="241" t="str">
        <f>IF(C213="","",SUMIFS('ИТОГО Торговля'!$E$5:$E$300,'ИТОГО Торговля'!$B$5:$B$300,$B213)+SUMIFS('ИТОГО Лэндинг'!$E$5:$E$300,'ИТОГО Лэндинг'!$B$5:$B$300,$B213))</f>
        <v/>
      </c>
      <c r="F213" s="240" t="str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 t="str">
        <f>IF(F213="","",H213/F213)</f>
        <v/>
      </c>
      <c r="H213" s="241" t="str">
        <f>IF(F213="","",SUMIFS('ИТОГО Торговля'!$H$5:$H$300,'ИТОГО Торговля'!$B$5:$B$300,$B213)+SUMIFS('ИТОГО Лэндинг'!$H$5:$H$300,'ИТОГО Лэндинг'!$B$5:$B$300,$B213))</f>
        <v/>
      </c>
      <c r="I213" s="240" t="str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 t="str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 t="str">
        <f>IF(C214="","",E214/C214)</f>
        <v/>
      </c>
      <c r="E214" s="247" t="str">
        <f>IF(C214="","",SUMIFS('ИТОГО Торговля'!$E$5:$E$300,'ИТОГО Торговля'!$B$5:$B$300,$B214)+SUMIFS('ИТОГО Лэндинг'!$E$5:$E$300,'ИТОГО Лэндинг'!$B$5:$B$300,$B214))</f>
        <v/>
      </c>
      <c r="F214" s="246" t="str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 t="str">
        <f>IF(F214="","",H214/F214)</f>
        <v/>
      </c>
      <c r="H214" s="247" t="str">
        <f>IF(F214="","",SUMIFS('ИТОГО Торговля'!$H$5:$H$300,'ИТОГО Торговля'!$B$5:$B$300,$B214)+SUMIFS('ИТОГО Лэндинг'!$H$5:$H$300,'ИТОГО Лэндинг'!$B$5:$B$300,$B214))</f>
        <v/>
      </c>
      <c r="I214" s="246" t="str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 t="str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 t="str">
        <f>IF(C215="","",E215/C215)</f>
        <v/>
      </c>
      <c r="E215" s="241" t="str">
        <f>IF(C215="","",SUMIFS('ИТОГО Торговля'!$E$5:$E$300,'ИТОГО Торговля'!$B$5:$B$300,$B215)+SUMIFS('ИТОГО Лэндинг'!$E$5:$E$300,'ИТОГО Лэндинг'!$B$5:$B$300,$B215))</f>
        <v/>
      </c>
      <c r="F215" s="240" t="str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 t="str">
        <f>IF(F215="","",H215/F215)</f>
        <v/>
      </c>
      <c r="H215" s="241" t="str">
        <f>IF(F215="","",SUMIFS('ИТОГО Торговля'!$H$5:$H$300,'ИТОГО Торговля'!$B$5:$B$300,$B215)+SUMIFS('ИТОГО Лэндинг'!$H$5:$H$300,'ИТОГО Лэндинг'!$B$5:$B$300,$B215))</f>
        <v/>
      </c>
      <c r="I215" s="240" t="str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 t="str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 t="str">
        <f>IF(C216="","",E216/C216)</f>
        <v/>
      </c>
      <c r="E216" s="247" t="str">
        <f>IF(C216="","",SUMIFS('ИТОГО Торговля'!$E$5:$E$300,'ИТОГО Торговля'!$B$5:$B$300,$B216)+SUMIFS('ИТОГО Лэндинг'!$E$5:$E$300,'ИТОГО Лэндинг'!$B$5:$B$300,$B216))</f>
        <v/>
      </c>
      <c r="F216" s="246" t="str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 t="str">
        <f>IF(F216="","",H216/F216)</f>
        <v/>
      </c>
      <c r="H216" s="247" t="str">
        <f>IF(F216="","",SUMIFS('ИТОГО Торговля'!$H$5:$H$300,'ИТОГО Торговля'!$B$5:$B$300,$B216)+SUMIFS('ИТОГО Лэндинг'!$H$5:$H$300,'ИТОГО Лэндинг'!$B$5:$B$300,$B216))</f>
        <v/>
      </c>
      <c r="I216" s="246" t="str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 t="str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 t="str">
        <f>IF(C217="","",E217/C217)</f>
        <v/>
      </c>
      <c r="E217" s="241" t="str">
        <f>IF(C217="","",SUMIFS('ИТОГО Торговля'!$E$5:$E$300,'ИТОГО Торговля'!$B$5:$B$300,$B217)+SUMIFS('ИТОГО Лэндинг'!$E$5:$E$300,'ИТОГО Лэндинг'!$B$5:$B$300,$B217))</f>
        <v/>
      </c>
      <c r="F217" s="240" t="str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 t="str">
        <f>IF(F217="","",H217/F217)</f>
        <v/>
      </c>
      <c r="H217" s="241" t="str">
        <f>IF(F217="","",SUMIFS('ИТОГО Торговля'!$H$5:$H$300,'ИТОГО Торговля'!$B$5:$B$300,$B217)+SUMIFS('ИТОГО Лэндинг'!$H$5:$H$300,'ИТОГО Лэндинг'!$B$5:$B$300,$B217))</f>
        <v/>
      </c>
      <c r="I217" s="240" t="str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 t="str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 t="str">
        <f>IF(C218="","",E218/C218)</f>
        <v/>
      </c>
      <c r="E218" s="247" t="str">
        <f>IF(C218="","",SUMIFS('ИТОГО Торговля'!$E$5:$E$300,'ИТОГО Торговля'!$B$5:$B$300,$B218)+SUMIFS('ИТОГО Лэндинг'!$E$5:$E$300,'ИТОГО Лэндинг'!$B$5:$B$300,$B218))</f>
        <v/>
      </c>
      <c r="F218" s="246" t="str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 t="str">
        <f>IF(F218="","",H218/F218)</f>
        <v/>
      </c>
      <c r="H218" s="247" t="str">
        <f>IF(F218="","",SUMIFS('ИТОГО Торговля'!$H$5:$H$300,'ИТОГО Торговля'!$B$5:$B$300,$B218)+SUMIFS('ИТОГО Лэндинг'!$H$5:$H$300,'ИТОГО Лэндинг'!$B$5:$B$300,$B218))</f>
        <v/>
      </c>
      <c r="I218" s="246" t="str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 t="str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 t="str">
        <f>IF(C219="","",E219/C219)</f>
        <v/>
      </c>
      <c r="E219" s="241" t="str">
        <f>IF(C219="","",SUMIFS('ИТОГО Торговля'!$E$5:$E$300,'ИТОГО Торговля'!$B$5:$B$300,$B219)+SUMIFS('ИТОГО Лэндинг'!$E$5:$E$300,'ИТОГО Лэндинг'!$B$5:$B$300,$B219))</f>
        <v/>
      </c>
      <c r="F219" s="240" t="str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 t="str">
        <f>IF(F219="","",H219/F219)</f>
        <v/>
      </c>
      <c r="H219" s="241" t="str">
        <f>IF(F219="","",SUMIFS('ИТОГО Торговля'!$H$5:$H$300,'ИТОГО Торговля'!$B$5:$B$300,$B219)+SUMIFS('ИТОГО Лэндинг'!$H$5:$H$300,'ИТОГО Лэндинг'!$B$5:$B$300,$B219))</f>
        <v/>
      </c>
      <c r="I219" s="240" t="str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 t="str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 t="str">
        <f>IF(C220="","",E220/C220)</f>
        <v/>
      </c>
      <c r="E220" s="247" t="str">
        <f>IF(C220="","",SUMIFS('ИТОГО Торговля'!$E$5:$E$300,'ИТОГО Торговля'!$B$5:$B$300,$B220)+SUMIFS('ИТОГО Лэндинг'!$E$5:$E$300,'ИТОГО Лэндинг'!$B$5:$B$300,$B220))</f>
        <v/>
      </c>
      <c r="F220" s="246" t="str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 t="str">
        <f>IF(F220="","",H220/F220)</f>
        <v/>
      </c>
      <c r="H220" s="247" t="str">
        <f>IF(F220="","",SUMIFS('ИТОГО Торговля'!$H$5:$H$300,'ИТОГО Торговля'!$B$5:$B$300,$B220)+SUMIFS('ИТОГО Лэндинг'!$H$5:$H$300,'ИТОГО Лэндинг'!$B$5:$B$300,$B220))</f>
        <v/>
      </c>
      <c r="I220" s="246" t="str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 t="str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 t="str">
        <f>IF(C221="","",E221/C221)</f>
        <v/>
      </c>
      <c r="E221" s="241" t="str">
        <f>IF(C221="","",SUMIFS('ИТОГО Торговля'!$E$5:$E$300,'ИТОГО Торговля'!$B$5:$B$300,$B221)+SUMIFS('ИТОГО Лэндинг'!$E$5:$E$300,'ИТОГО Лэндинг'!$B$5:$B$300,$B221))</f>
        <v/>
      </c>
      <c r="F221" s="240" t="str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 t="str">
        <f>IF(F221="","",H221/F221)</f>
        <v/>
      </c>
      <c r="H221" s="241" t="str">
        <f>IF(F221="","",SUMIFS('ИТОГО Торговля'!$H$5:$H$300,'ИТОГО Торговля'!$B$5:$B$300,$B221)+SUMIFS('ИТОГО Лэндинг'!$H$5:$H$300,'ИТОГО Лэндинг'!$B$5:$B$300,$B221))</f>
        <v/>
      </c>
      <c r="I221" s="240" t="str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 t="str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 t="str">
        <f>IF(C222="","",E222/C222)</f>
        <v/>
      </c>
      <c r="E222" s="247" t="str">
        <f>IF(C222="","",SUMIFS('ИТОГО Торговля'!$E$5:$E$300,'ИТОГО Торговля'!$B$5:$B$300,$B222)+SUMIFS('ИТОГО Лэндинг'!$E$5:$E$300,'ИТОГО Лэндинг'!$B$5:$B$300,$B222))</f>
        <v/>
      </c>
      <c r="F222" s="246" t="str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 t="str">
        <f>IF(F222="","",H222/F222)</f>
        <v/>
      </c>
      <c r="H222" s="247" t="str">
        <f>IF(F222="","",SUMIFS('ИТОГО Торговля'!$H$5:$H$300,'ИТОГО Торговля'!$B$5:$B$300,$B222)+SUMIFS('ИТОГО Лэндинг'!$H$5:$H$300,'ИТОГО Лэндинг'!$B$5:$B$300,$B222))</f>
        <v/>
      </c>
      <c r="I222" s="246" t="str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 t="str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 t="str">
        <f>IF(C223="","",E223/C223)</f>
        <v/>
      </c>
      <c r="E223" s="241" t="str">
        <f>IF(C223="","",SUMIFS('ИТОГО Торговля'!$E$5:$E$300,'ИТОГО Торговля'!$B$5:$B$300,$B223)+SUMIFS('ИТОГО Лэндинг'!$E$5:$E$300,'ИТОГО Лэндинг'!$B$5:$B$300,$B223))</f>
        <v/>
      </c>
      <c r="F223" s="240" t="str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 t="str">
        <f>IF(F223="","",H223/F223)</f>
        <v/>
      </c>
      <c r="H223" s="241" t="str">
        <f>IF(F223="","",SUMIFS('ИТОГО Торговля'!$H$5:$H$300,'ИТОГО Торговля'!$B$5:$B$300,$B223)+SUMIFS('ИТОГО Лэндинг'!$H$5:$H$300,'ИТОГО Лэндинг'!$B$5:$B$300,$B223))</f>
        <v/>
      </c>
      <c r="I223" s="240" t="str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 t="str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 t="str">
        <f>IF(C224="","",E224/C224)</f>
        <v/>
      </c>
      <c r="E224" s="247" t="str">
        <f>IF(C224="","",SUMIFS('ИТОГО Торговля'!$E$5:$E$300,'ИТОГО Торговля'!$B$5:$B$300,$B224)+SUMIFS('ИТОГО Лэндинг'!$E$5:$E$300,'ИТОГО Лэндинг'!$B$5:$B$300,$B224))</f>
        <v/>
      </c>
      <c r="F224" s="246" t="str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 t="str">
        <f>IF(F224="","",H224/F224)</f>
        <v/>
      </c>
      <c r="H224" s="247" t="str">
        <f>IF(F224="","",SUMIFS('ИТОГО Торговля'!$H$5:$H$300,'ИТОГО Торговля'!$B$5:$B$300,$B224)+SUMIFS('ИТОГО Лэндинг'!$H$5:$H$300,'ИТОГО Лэндинг'!$B$5:$B$300,$B224))</f>
        <v/>
      </c>
      <c r="I224" s="246" t="str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 t="str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 t="str">
        <f>IF(C225="","",E225/C225)</f>
        <v/>
      </c>
      <c r="E225" s="241" t="str">
        <f>IF(C225="","",SUMIFS('ИТОГО Торговля'!$E$5:$E$300,'ИТОГО Торговля'!$B$5:$B$300,$B225)+SUMIFS('ИТОГО Лэндинг'!$E$5:$E$300,'ИТОГО Лэндинг'!$B$5:$B$300,$B225))</f>
        <v/>
      </c>
      <c r="F225" s="240" t="str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 t="str">
        <f>IF(F225="","",H225/F225)</f>
        <v/>
      </c>
      <c r="H225" s="241" t="str">
        <f>IF(F225="","",SUMIFS('ИТОГО Торговля'!$H$5:$H$300,'ИТОГО Торговля'!$B$5:$B$300,$B225)+SUMIFS('ИТОГО Лэндинг'!$H$5:$H$300,'ИТОГО Лэндинг'!$B$5:$B$300,$B225))</f>
        <v/>
      </c>
      <c r="I225" s="240" t="str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 t="str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 t="str">
        <f>IF(C226="","",E226/C226)</f>
        <v/>
      </c>
      <c r="E226" s="247" t="str">
        <f>IF(C226="","",SUMIFS('ИТОГО Торговля'!$E$5:$E$300,'ИТОГО Торговля'!$B$5:$B$300,$B226)+SUMIFS('ИТОГО Лэндинг'!$E$5:$E$300,'ИТОГО Лэндинг'!$B$5:$B$300,$B226))</f>
        <v/>
      </c>
      <c r="F226" s="246" t="str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 t="str">
        <f>IF(F226="","",H226/F226)</f>
        <v/>
      </c>
      <c r="H226" s="247" t="str">
        <f>IF(F226="","",SUMIFS('ИТОГО Торговля'!$H$5:$H$300,'ИТОГО Торговля'!$B$5:$B$300,$B226)+SUMIFS('ИТОГО Лэндинг'!$H$5:$H$300,'ИТОГО Лэндинг'!$B$5:$B$300,$B226))</f>
        <v/>
      </c>
      <c r="I226" s="246" t="str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 t="str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 t="str">
        <f>IF(C227="","",E227/C227)</f>
        <v/>
      </c>
      <c r="E227" s="241" t="str">
        <f>IF(C227="","",SUMIFS('ИТОГО Торговля'!$E$5:$E$300,'ИТОГО Торговля'!$B$5:$B$300,$B227)+SUMIFS('ИТОГО Лэндинг'!$E$5:$E$300,'ИТОГО Лэндинг'!$B$5:$B$300,$B227))</f>
        <v/>
      </c>
      <c r="F227" s="240" t="str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 t="str">
        <f>IF(F227="","",H227/F227)</f>
        <v/>
      </c>
      <c r="H227" s="241" t="str">
        <f>IF(F227="","",SUMIFS('ИТОГО Торговля'!$H$5:$H$300,'ИТОГО Торговля'!$B$5:$B$300,$B227)+SUMIFS('ИТОГО Лэндинг'!$H$5:$H$300,'ИТОГО Лэндинг'!$B$5:$B$300,$B227))</f>
        <v/>
      </c>
      <c r="I227" s="240" t="str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 t="str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 t="str">
        <f>IF(C228="","",E228/C228)</f>
        <v/>
      </c>
      <c r="E228" s="247" t="str">
        <f>IF(C228="","",SUMIFS('ИТОГО Торговля'!$E$5:$E$300,'ИТОГО Торговля'!$B$5:$B$300,$B228)+SUMIFS('ИТОГО Лэндинг'!$E$5:$E$300,'ИТОГО Лэндинг'!$B$5:$B$300,$B228))</f>
        <v/>
      </c>
      <c r="F228" s="246" t="str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 t="str">
        <f>IF(F228="","",H228/F228)</f>
        <v/>
      </c>
      <c r="H228" s="247" t="str">
        <f>IF(F228="","",SUMIFS('ИТОГО Торговля'!$H$5:$H$300,'ИТОГО Торговля'!$B$5:$B$300,$B228)+SUMIFS('ИТОГО Лэндинг'!$H$5:$H$300,'ИТОГО Лэндинг'!$B$5:$B$300,$B228))</f>
        <v/>
      </c>
      <c r="I228" s="246" t="str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 t="str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 t="str">
        <f>IF(C229="","",E229/C229)</f>
        <v/>
      </c>
      <c r="E229" s="241" t="str">
        <f>IF(C229="","",SUMIFS('ИТОГО Торговля'!$E$5:$E$300,'ИТОГО Торговля'!$B$5:$B$300,$B229)+SUMIFS('ИТОГО Лэндинг'!$E$5:$E$300,'ИТОГО Лэндинг'!$B$5:$B$300,$B229))</f>
        <v/>
      </c>
      <c r="F229" s="240" t="str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 t="str">
        <f>IF(F229="","",H229/F229)</f>
        <v/>
      </c>
      <c r="H229" s="241" t="str">
        <f>IF(F229="","",SUMIFS('ИТОГО Торговля'!$H$5:$H$300,'ИТОГО Торговля'!$B$5:$B$300,$B229)+SUMIFS('ИТОГО Лэндинг'!$H$5:$H$300,'ИТОГО Лэндинг'!$B$5:$B$300,$B229))</f>
        <v/>
      </c>
      <c r="I229" s="240" t="str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 t="str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 t="str">
        <f>IF(C230="","",E230/C230)</f>
        <v/>
      </c>
      <c r="E230" s="247" t="str">
        <f>IF(C230="","",SUMIFS('ИТОГО Торговля'!$E$5:$E$300,'ИТОГО Торговля'!$B$5:$B$300,$B230)+SUMIFS('ИТОГО Лэндинг'!$E$5:$E$300,'ИТОГО Лэндинг'!$B$5:$B$300,$B230))</f>
        <v/>
      </c>
      <c r="F230" s="246" t="str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 t="str">
        <f>IF(F230="","",H230/F230)</f>
        <v/>
      </c>
      <c r="H230" s="247" t="str">
        <f>IF(F230="","",SUMIFS('ИТОГО Торговля'!$H$5:$H$300,'ИТОГО Торговля'!$B$5:$B$300,$B230)+SUMIFS('ИТОГО Лэндинг'!$H$5:$H$300,'ИТОГО Лэндинг'!$B$5:$B$300,$B230))</f>
        <v/>
      </c>
      <c r="I230" s="246" t="str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 t="str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 t="str">
        <f>IF(C231="","",E231/C231)</f>
        <v/>
      </c>
      <c r="E231" s="241" t="str">
        <f>IF(C231="","",SUMIFS('ИТОГО Торговля'!$E$5:$E$300,'ИТОГО Торговля'!$B$5:$B$300,$B231)+SUMIFS('ИТОГО Лэндинг'!$E$5:$E$300,'ИТОГО Лэндинг'!$B$5:$B$300,$B231))</f>
        <v/>
      </c>
      <c r="F231" s="240" t="str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 t="str">
        <f>IF(F231="","",H231/F231)</f>
        <v/>
      </c>
      <c r="H231" s="241" t="str">
        <f>IF(F231="","",SUMIFS('ИТОГО Торговля'!$H$5:$H$300,'ИТОГО Торговля'!$B$5:$B$300,$B231)+SUMIFS('ИТОГО Лэндинг'!$H$5:$H$300,'ИТОГО Лэндинг'!$B$5:$B$300,$B231))</f>
        <v/>
      </c>
      <c r="I231" s="240" t="str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 t="str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 t="str">
        <f>IF(C232="","",E232/C232)</f>
        <v/>
      </c>
      <c r="E232" s="247" t="str">
        <f>IF(C232="","",SUMIFS('ИТОГО Торговля'!$E$5:$E$300,'ИТОГО Торговля'!$B$5:$B$300,$B232)+SUMIFS('ИТОГО Лэндинг'!$E$5:$E$300,'ИТОГО Лэндинг'!$B$5:$B$300,$B232))</f>
        <v/>
      </c>
      <c r="F232" s="246" t="str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 t="str">
        <f>IF(F232="","",H232/F232)</f>
        <v/>
      </c>
      <c r="H232" s="247" t="str">
        <f>IF(F232="","",SUMIFS('ИТОГО Торговля'!$H$5:$H$300,'ИТОГО Торговля'!$B$5:$B$300,$B232)+SUMIFS('ИТОГО Лэндинг'!$H$5:$H$300,'ИТОГО Лэндинг'!$B$5:$B$300,$B232))</f>
        <v/>
      </c>
      <c r="I232" s="246" t="str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 t="str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 t="str">
        <f>IF(C233="","",E233/C233)</f>
        <v/>
      </c>
      <c r="E233" s="241" t="str">
        <f>IF(C233="","",SUMIFS('ИТОГО Торговля'!$E$5:$E$300,'ИТОГО Торговля'!$B$5:$B$300,$B233)+SUMIFS('ИТОГО Лэндинг'!$E$5:$E$300,'ИТОГО Лэндинг'!$B$5:$B$300,$B233))</f>
        <v/>
      </c>
      <c r="F233" s="240" t="str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 t="str">
        <f>IF(F233="","",H233/F233)</f>
        <v/>
      </c>
      <c r="H233" s="241" t="str">
        <f>IF(F233="","",SUMIFS('ИТОГО Торговля'!$H$5:$H$300,'ИТОГО Торговля'!$B$5:$B$300,$B233)+SUMIFS('ИТОГО Лэндинг'!$H$5:$H$300,'ИТОГО Лэндинг'!$B$5:$B$300,$B233))</f>
        <v/>
      </c>
      <c r="I233" s="240" t="str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 t="str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 t="str">
        <f>IF(C234="","",E234/C234)</f>
        <v/>
      </c>
      <c r="E234" s="247" t="str">
        <f>IF(C234="","",SUMIFS('ИТОГО Торговля'!$E$5:$E$300,'ИТОГО Торговля'!$B$5:$B$300,$B234)+SUMIFS('ИТОГО Лэндинг'!$E$5:$E$300,'ИТОГО Лэндинг'!$B$5:$B$300,$B234))</f>
        <v/>
      </c>
      <c r="F234" s="246" t="str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 t="str">
        <f>IF(F234="","",H234/F234)</f>
        <v/>
      </c>
      <c r="H234" s="247" t="str">
        <f>IF(F234="","",SUMIFS('ИТОГО Торговля'!$H$5:$H$300,'ИТОГО Торговля'!$B$5:$B$300,$B234)+SUMIFS('ИТОГО Лэндинг'!$H$5:$H$300,'ИТОГО Лэндинг'!$B$5:$B$300,$B234))</f>
        <v/>
      </c>
      <c r="I234" s="246" t="str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 t="str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 t="str">
        <f>IF(C235="","",E235/C235)</f>
        <v/>
      </c>
      <c r="E235" s="241" t="str">
        <f>IF(C235="","",SUMIFS('ИТОГО Торговля'!$E$5:$E$300,'ИТОГО Торговля'!$B$5:$B$300,$B235)+SUMIFS('ИТОГО Лэндинг'!$E$5:$E$300,'ИТОГО Лэндинг'!$B$5:$B$300,$B235))</f>
        <v/>
      </c>
      <c r="F235" s="240" t="str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 t="str">
        <f>IF(F235="","",H235/F235)</f>
        <v/>
      </c>
      <c r="H235" s="241" t="str">
        <f>IF(F235="","",SUMIFS('ИТОГО Торговля'!$H$5:$H$300,'ИТОГО Торговля'!$B$5:$B$300,$B235)+SUMIFS('ИТОГО Лэндинг'!$H$5:$H$300,'ИТОГО Лэндинг'!$B$5:$B$300,$B235))</f>
        <v/>
      </c>
      <c r="I235" s="240" t="str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 t="str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 t="str">
        <f>IF(C236="","",E236/C236)</f>
        <v/>
      </c>
      <c r="E236" s="247" t="str">
        <f>IF(C236="","",SUMIFS('ИТОГО Торговля'!$E$5:$E$300,'ИТОГО Торговля'!$B$5:$B$300,$B236)+SUMIFS('ИТОГО Лэндинг'!$E$5:$E$300,'ИТОГО Лэндинг'!$B$5:$B$300,$B236))</f>
        <v/>
      </c>
      <c r="F236" s="246" t="str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 t="str">
        <f>IF(F236="","",H236/F236)</f>
        <v/>
      </c>
      <c r="H236" s="247" t="str">
        <f>IF(F236="","",SUMIFS('ИТОГО Торговля'!$H$5:$H$300,'ИТОГО Торговля'!$B$5:$B$300,$B236)+SUMIFS('ИТОГО Лэндинг'!$H$5:$H$300,'ИТОГО Лэндинг'!$B$5:$B$300,$B236))</f>
        <v/>
      </c>
      <c r="I236" s="246" t="str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 t="str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 t="str">
        <f>IF(C237="","",E237/C237)</f>
        <v/>
      </c>
      <c r="E237" s="241" t="str">
        <f>IF(C237="","",SUMIFS('ИТОГО Торговля'!$E$5:$E$300,'ИТОГО Торговля'!$B$5:$B$300,$B237)+SUMIFS('ИТОГО Лэндинг'!$E$5:$E$300,'ИТОГО Лэндинг'!$B$5:$B$300,$B237))</f>
        <v/>
      </c>
      <c r="F237" s="240" t="str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 t="str">
        <f>IF(F237="","",H237/F237)</f>
        <v/>
      </c>
      <c r="H237" s="241" t="str">
        <f>IF(F237="","",SUMIFS('ИТОГО Торговля'!$H$5:$H$300,'ИТОГО Торговля'!$B$5:$B$300,$B237)+SUMIFS('ИТОГО Лэндинг'!$H$5:$H$300,'ИТОГО Лэндинг'!$B$5:$B$300,$B237))</f>
        <v/>
      </c>
      <c r="I237" s="240" t="str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 t="str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 t="str">
        <f>IF(C238="","",E238/C238)</f>
        <v/>
      </c>
      <c r="E238" s="247" t="str">
        <f>IF(C238="","",SUMIFS('ИТОГО Торговля'!$E$5:$E$300,'ИТОГО Торговля'!$B$5:$B$300,$B238)+SUMIFS('ИТОГО Лэндинг'!$E$5:$E$300,'ИТОГО Лэндинг'!$B$5:$B$300,$B238))</f>
        <v/>
      </c>
      <c r="F238" s="246" t="str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 t="str">
        <f>IF(F238="","",H238/F238)</f>
        <v/>
      </c>
      <c r="H238" s="247" t="str">
        <f>IF(F238="","",SUMIFS('ИТОГО Торговля'!$H$5:$H$300,'ИТОГО Торговля'!$B$5:$B$300,$B238)+SUMIFS('ИТОГО Лэндинг'!$H$5:$H$300,'ИТОГО Лэндинг'!$B$5:$B$300,$B238))</f>
        <v/>
      </c>
      <c r="I238" s="246" t="str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 t="str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 t="str">
        <f>IF(C239="","",E239/C239)</f>
        <v/>
      </c>
      <c r="E239" s="241" t="str">
        <f>IF(C239="","",SUMIFS('ИТОГО Торговля'!$E$5:$E$300,'ИТОГО Торговля'!$B$5:$B$300,$B239)+SUMIFS('ИТОГО Лэндинг'!$E$5:$E$300,'ИТОГО Лэндинг'!$B$5:$B$300,$B239))</f>
        <v/>
      </c>
      <c r="F239" s="240" t="str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 t="str">
        <f>IF(F239="","",H239/F239)</f>
        <v/>
      </c>
      <c r="H239" s="241" t="str">
        <f>IF(F239="","",SUMIFS('ИТОГО Торговля'!$H$5:$H$300,'ИТОГО Торговля'!$B$5:$B$300,$B239)+SUMIFS('ИТОГО Лэндинг'!$H$5:$H$300,'ИТОГО Лэндинг'!$B$5:$B$300,$B239))</f>
        <v/>
      </c>
      <c r="I239" s="240" t="str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 t="str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 t="str">
        <f>IF(C240="","",E240/C240)</f>
        <v/>
      </c>
      <c r="E240" s="247" t="str">
        <f>IF(C240="","",SUMIFS('ИТОГО Торговля'!$E$5:$E$300,'ИТОГО Торговля'!$B$5:$B$300,$B240)+SUMIFS('ИТОГО Лэндинг'!$E$5:$E$300,'ИТОГО Лэндинг'!$B$5:$B$300,$B240))</f>
        <v/>
      </c>
      <c r="F240" s="246" t="str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 t="str">
        <f>IF(F240="","",H240/F240)</f>
        <v/>
      </c>
      <c r="H240" s="247" t="str">
        <f>IF(F240="","",SUMIFS('ИТОГО Торговля'!$H$5:$H$300,'ИТОГО Торговля'!$B$5:$B$300,$B240)+SUMIFS('ИТОГО Лэндинг'!$H$5:$H$300,'ИТОГО Лэндинг'!$B$5:$B$300,$B240))</f>
        <v/>
      </c>
      <c r="I240" s="246" t="str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 t="str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 t="str">
        <f>IF(C241="","",E241/C241)</f>
        <v/>
      </c>
      <c r="E241" s="241" t="str">
        <f>IF(C241="","",SUMIFS('ИТОГО Торговля'!$E$5:$E$300,'ИТОГО Торговля'!$B$5:$B$300,$B241)+SUMIFS('ИТОГО Лэндинг'!$E$5:$E$300,'ИТОГО Лэндинг'!$B$5:$B$300,$B241))</f>
        <v/>
      </c>
      <c r="F241" s="240" t="str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 t="str">
        <f>IF(F241="","",H241/F241)</f>
        <v/>
      </c>
      <c r="H241" s="241" t="str">
        <f>IF(F241="","",SUMIFS('ИТОГО Торговля'!$H$5:$H$300,'ИТОГО Торговля'!$B$5:$B$300,$B241)+SUMIFS('ИТОГО Лэндинг'!$H$5:$H$300,'ИТОГО Лэндинг'!$B$5:$B$300,$B241))</f>
        <v/>
      </c>
      <c r="I241" s="240" t="str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 t="str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 t="str">
        <f>IF(C242="","",E242/C242)</f>
        <v/>
      </c>
      <c r="E242" s="247" t="str">
        <f>IF(C242="","",SUMIFS('ИТОГО Торговля'!$E$5:$E$300,'ИТОГО Торговля'!$B$5:$B$300,$B242)+SUMIFS('ИТОГО Лэндинг'!$E$5:$E$300,'ИТОГО Лэндинг'!$B$5:$B$300,$B242))</f>
        <v/>
      </c>
      <c r="F242" s="246" t="str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 t="str">
        <f>IF(F242="","",H242/F242)</f>
        <v/>
      </c>
      <c r="H242" s="247" t="str">
        <f>IF(F242="","",SUMIFS('ИТОГО Торговля'!$H$5:$H$300,'ИТОГО Торговля'!$B$5:$B$300,$B242)+SUMIFS('ИТОГО Лэндинг'!$H$5:$H$300,'ИТОГО Лэндинг'!$B$5:$B$300,$B242))</f>
        <v/>
      </c>
      <c r="I242" s="246" t="str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 t="str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 t="str">
        <f>IF(C243="","",E243/C243)</f>
        <v/>
      </c>
      <c r="E243" s="241" t="str">
        <f>IF(C243="","",SUMIFS('ИТОГО Торговля'!$E$5:$E$300,'ИТОГО Торговля'!$B$5:$B$300,$B243)+SUMIFS('ИТОГО Лэндинг'!$E$5:$E$300,'ИТОГО Лэндинг'!$B$5:$B$300,$B243))</f>
        <v/>
      </c>
      <c r="F243" s="240" t="str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 t="str">
        <f>IF(F243="","",H243/F243)</f>
        <v/>
      </c>
      <c r="H243" s="241" t="str">
        <f>IF(F243="","",SUMIFS('ИТОГО Торговля'!$H$5:$H$300,'ИТОГО Торговля'!$B$5:$B$300,$B243)+SUMIFS('ИТОГО Лэндинг'!$H$5:$H$300,'ИТОГО Лэндинг'!$B$5:$B$300,$B243))</f>
        <v/>
      </c>
      <c r="I243" s="240" t="str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 t="str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 t="str">
        <f>IF(C244="","",E244/C244)</f>
        <v/>
      </c>
      <c r="E244" s="247" t="str">
        <f>IF(C244="","",SUMIFS('ИТОГО Торговля'!$E$5:$E$300,'ИТОГО Торговля'!$B$5:$B$300,$B244)+SUMIFS('ИТОГО Лэндинг'!$E$5:$E$300,'ИТОГО Лэндинг'!$B$5:$B$300,$B244))</f>
        <v/>
      </c>
      <c r="F244" s="246" t="str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 t="str">
        <f>IF(F244="","",H244/F244)</f>
        <v/>
      </c>
      <c r="H244" s="247" t="str">
        <f>IF(F244="","",SUMIFS('ИТОГО Торговля'!$H$5:$H$300,'ИТОГО Торговля'!$B$5:$B$300,$B244)+SUMIFS('ИТОГО Лэндинг'!$H$5:$H$300,'ИТОГО Лэндинг'!$B$5:$B$300,$B244))</f>
        <v/>
      </c>
      <c r="I244" s="246" t="str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 t="str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 t="str">
        <f>IF(C245="","",E245/C245)</f>
        <v/>
      </c>
      <c r="E245" s="241" t="str">
        <f>IF(C245="","",SUMIFS('ИТОГО Торговля'!$E$5:$E$300,'ИТОГО Торговля'!$B$5:$B$300,$B245)+SUMIFS('ИТОГО Лэндинг'!$E$5:$E$300,'ИТОГО Лэндинг'!$B$5:$B$300,$B245))</f>
        <v/>
      </c>
      <c r="F245" s="240" t="str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 t="str">
        <f>IF(F245="","",H245/F245)</f>
        <v/>
      </c>
      <c r="H245" s="241" t="str">
        <f>IF(F245="","",SUMIFS('ИТОГО Торговля'!$H$5:$H$300,'ИТОГО Торговля'!$B$5:$B$300,$B245)+SUMIFS('ИТОГО Лэндинг'!$H$5:$H$300,'ИТОГО Лэндинг'!$B$5:$B$300,$B245))</f>
        <v/>
      </c>
      <c r="I245" s="240" t="str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 t="str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 t="str">
        <f>IF(C246="","",E246/C246)</f>
        <v/>
      </c>
      <c r="E246" s="247" t="str">
        <f>IF(C246="","",SUMIFS('ИТОГО Торговля'!$E$5:$E$300,'ИТОГО Торговля'!$B$5:$B$300,$B246)+SUMIFS('ИТОГО Лэндинг'!$E$5:$E$300,'ИТОГО Лэндинг'!$B$5:$B$300,$B246))</f>
        <v/>
      </c>
      <c r="F246" s="246" t="str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 t="str">
        <f>IF(F246="","",H246/F246)</f>
        <v/>
      </c>
      <c r="H246" s="247" t="str">
        <f>IF(F246="","",SUMIFS('ИТОГО Торговля'!$H$5:$H$300,'ИТОГО Торговля'!$B$5:$B$300,$B246)+SUMIFS('ИТОГО Лэндинг'!$H$5:$H$300,'ИТОГО Лэндинг'!$B$5:$B$300,$B246))</f>
        <v/>
      </c>
      <c r="I246" s="246" t="str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 t="str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 t="str">
        <f>IF(C247="","",E247/C247)</f>
        <v/>
      </c>
      <c r="E247" s="241" t="str">
        <f>IF(C247="","",SUMIFS('ИТОГО Торговля'!$E$5:$E$300,'ИТОГО Торговля'!$B$5:$B$300,$B247)+SUMIFS('ИТОГО Лэндинг'!$E$5:$E$300,'ИТОГО Лэндинг'!$B$5:$B$300,$B247))</f>
        <v/>
      </c>
      <c r="F247" s="240" t="str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 t="str">
        <f>IF(F247="","",H247/F247)</f>
        <v/>
      </c>
      <c r="H247" s="241" t="str">
        <f>IF(F247="","",SUMIFS('ИТОГО Торговля'!$H$5:$H$300,'ИТОГО Торговля'!$B$5:$B$300,$B247)+SUMIFS('ИТОГО Лэндинг'!$H$5:$H$300,'ИТОГО Лэндинг'!$B$5:$B$300,$B247))</f>
        <v/>
      </c>
      <c r="I247" s="240" t="str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 t="str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 t="str">
        <f>IF(C248="","",E248/C248)</f>
        <v/>
      </c>
      <c r="E248" s="247" t="str">
        <f>IF(C248="","",SUMIFS('ИТОГО Торговля'!$E$5:$E$300,'ИТОГО Торговля'!$B$5:$B$300,$B248)+SUMIFS('ИТОГО Лэндинг'!$E$5:$E$300,'ИТОГО Лэндинг'!$B$5:$B$300,$B248))</f>
        <v/>
      </c>
      <c r="F248" s="246" t="str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 t="str">
        <f>IF(F248="","",H248/F248)</f>
        <v/>
      </c>
      <c r="H248" s="247" t="str">
        <f>IF(F248="","",SUMIFS('ИТОГО Торговля'!$H$5:$H$300,'ИТОГО Торговля'!$B$5:$B$300,$B248)+SUMIFS('ИТОГО Лэндинг'!$H$5:$H$300,'ИТОГО Лэндинг'!$B$5:$B$300,$B248))</f>
        <v/>
      </c>
      <c r="I248" s="246" t="str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 t="str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 t="str">
        <f>IF(C249="","",E249/C249)</f>
        <v/>
      </c>
      <c r="E249" s="241" t="str">
        <f>IF(C249="","",SUMIFS('ИТОГО Торговля'!$E$5:$E$300,'ИТОГО Торговля'!$B$5:$B$300,$B249)+SUMIFS('ИТОГО Лэндинг'!$E$5:$E$300,'ИТОГО Лэндинг'!$B$5:$B$300,$B249))</f>
        <v/>
      </c>
      <c r="F249" s="240" t="str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 t="str">
        <f>IF(F249="","",H249/F249)</f>
        <v/>
      </c>
      <c r="H249" s="241" t="str">
        <f>IF(F249="","",SUMIFS('ИТОГО Торговля'!$H$5:$H$300,'ИТОГО Торговля'!$B$5:$B$300,$B249)+SUMIFS('ИТОГО Лэндинг'!$H$5:$H$300,'ИТОГО Лэндинг'!$B$5:$B$300,$B249))</f>
        <v/>
      </c>
      <c r="I249" s="240" t="str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 t="str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 t="str">
        <f>IF(C250="","",E250/C250)</f>
        <v/>
      </c>
      <c r="E250" s="247" t="str">
        <f>IF(C250="","",SUMIFS('ИТОГО Торговля'!$E$5:$E$300,'ИТОГО Торговля'!$B$5:$B$300,$B250)+SUMIFS('ИТОГО Лэндинг'!$E$5:$E$300,'ИТОГО Лэндинг'!$B$5:$B$300,$B250))</f>
        <v/>
      </c>
      <c r="F250" s="246" t="str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 t="str">
        <f>IF(F250="","",H250/F250)</f>
        <v/>
      </c>
      <c r="H250" s="247" t="str">
        <f>IF(F250="","",SUMIFS('ИТОГО Торговля'!$H$5:$H$300,'ИТОГО Торговля'!$B$5:$B$300,$B250)+SUMIFS('ИТОГО Лэндинг'!$H$5:$H$300,'ИТОГО Лэндинг'!$B$5:$B$300,$B250))</f>
        <v/>
      </c>
      <c r="I250" s="246" t="str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 t="str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 t="str">
        <f>IF(C251="","",E251/C251)</f>
        <v/>
      </c>
      <c r="E251" s="241" t="str">
        <f>IF(C251="","",SUMIFS('ИТОГО Торговля'!$E$5:$E$300,'ИТОГО Торговля'!$B$5:$B$300,$B251)+SUMIFS('ИТОГО Лэндинг'!$E$5:$E$300,'ИТОГО Лэндинг'!$B$5:$B$300,$B251))</f>
        <v/>
      </c>
      <c r="F251" s="240" t="str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 t="str">
        <f>IF(F251="","",H251/F251)</f>
        <v/>
      </c>
      <c r="H251" s="241" t="str">
        <f>IF(F251="","",SUMIFS('ИТОГО Торговля'!$H$5:$H$300,'ИТОГО Торговля'!$B$5:$B$300,$B251)+SUMIFS('ИТОГО Лэндинг'!$H$5:$H$300,'ИТОГО Лэндинг'!$B$5:$B$300,$B251))</f>
        <v/>
      </c>
      <c r="I251" s="240" t="str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 t="str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 t="str">
        <f>IF(C252="","",E252/C252)</f>
        <v/>
      </c>
      <c r="E252" s="247" t="str">
        <f>IF(C252="","",SUMIFS('ИТОГО Торговля'!$E$5:$E$300,'ИТОГО Торговля'!$B$5:$B$300,$B252)+SUMIFS('ИТОГО Лэндинг'!$E$5:$E$300,'ИТОГО Лэндинг'!$B$5:$B$300,$B252))</f>
        <v/>
      </c>
      <c r="F252" s="246" t="str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 t="str">
        <f>IF(F252="","",H252/F252)</f>
        <v/>
      </c>
      <c r="H252" s="247" t="str">
        <f>IF(F252="","",SUMIFS('ИТОГО Торговля'!$H$5:$H$300,'ИТОГО Торговля'!$B$5:$B$300,$B252)+SUMIFS('ИТОГО Лэндинг'!$H$5:$H$300,'ИТОГО Лэндинг'!$B$5:$B$300,$B252))</f>
        <v/>
      </c>
      <c r="I252" s="246" t="str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 t="str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 t="str">
        <f>IF(C253="","",E253/C253)</f>
        <v/>
      </c>
      <c r="E253" s="241" t="str">
        <f>IF(C253="","",SUMIFS('ИТОГО Торговля'!$E$5:$E$300,'ИТОГО Торговля'!$B$5:$B$300,$B253)+SUMIFS('ИТОГО Лэндинг'!$E$5:$E$300,'ИТОГО Лэндинг'!$B$5:$B$300,$B253))</f>
        <v/>
      </c>
      <c r="F253" s="240" t="str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 t="str">
        <f>IF(F253="","",H253/F253)</f>
        <v/>
      </c>
      <c r="H253" s="241" t="str">
        <f>IF(F253="","",SUMIFS('ИТОГО Торговля'!$H$5:$H$300,'ИТОГО Торговля'!$B$5:$B$300,$B253)+SUMIFS('ИТОГО Лэндинг'!$H$5:$H$300,'ИТОГО Лэндинг'!$B$5:$B$300,$B253))</f>
        <v/>
      </c>
      <c r="I253" s="240" t="str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 t="str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 t="str">
        <f>IF(C254="","",E254/C254)</f>
        <v/>
      </c>
      <c r="E254" s="247" t="str">
        <f>IF(C254="","",SUMIFS('ИТОГО Торговля'!$E$5:$E$300,'ИТОГО Торговля'!$B$5:$B$300,$B254)+SUMIFS('ИТОГО Лэндинг'!$E$5:$E$300,'ИТОГО Лэндинг'!$B$5:$B$300,$B254))</f>
        <v/>
      </c>
      <c r="F254" s="246" t="str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 t="str">
        <f>IF(F254="","",H254/F254)</f>
        <v/>
      </c>
      <c r="H254" s="247" t="str">
        <f>IF(F254="","",SUMIFS('ИТОГО Торговля'!$H$5:$H$300,'ИТОГО Торговля'!$B$5:$B$300,$B254)+SUMIFS('ИТОГО Лэндинг'!$H$5:$H$300,'ИТОГО Лэндинг'!$B$5:$B$300,$B254))</f>
        <v/>
      </c>
      <c r="I254" s="246" t="str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 t="str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 t="str">
        <f>IF(C255="","",E255/C255)</f>
        <v/>
      </c>
      <c r="E255" s="241" t="str">
        <f>IF(C255="","",SUMIFS('ИТОГО Торговля'!$E$5:$E$300,'ИТОГО Торговля'!$B$5:$B$300,$B255)+SUMIFS('ИТОГО Лэндинг'!$E$5:$E$300,'ИТОГО Лэндинг'!$B$5:$B$300,$B255))</f>
        <v/>
      </c>
      <c r="F255" s="240" t="str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 t="str">
        <f>IF(F255="","",H255/F255)</f>
        <v/>
      </c>
      <c r="H255" s="241" t="str">
        <f>IF(F255="","",SUMIFS('ИТОГО Торговля'!$H$5:$H$300,'ИТОГО Торговля'!$B$5:$B$300,$B255)+SUMIFS('ИТОГО Лэндинг'!$H$5:$H$300,'ИТОГО Лэндинг'!$B$5:$B$300,$B255))</f>
        <v/>
      </c>
      <c r="I255" s="240" t="str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 t="str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 t="str">
        <f>IF(C256="","",E256/C256)</f>
        <v/>
      </c>
      <c r="E256" s="247" t="str">
        <f>IF(C256="","",SUMIFS('ИТОГО Торговля'!$E$5:$E$300,'ИТОГО Торговля'!$B$5:$B$300,$B256)+SUMIFS('ИТОГО Лэндинг'!$E$5:$E$300,'ИТОГО Лэндинг'!$B$5:$B$300,$B256))</f>
        <v/>
      </c>
      <c r="F256" s="246" t="str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 t="str">
        <f>IF(F256="","",H256/F256)</f>
        <v/>
      </c>
      <c r="H256" s="247" t="str">
        <f>IF(F256="","",SUMIFS('ИТОГО Торговля'!$H$5:$H$300,'ИТОГО Торговля'!$B$5:$B$300,$B256)+SUMIFS('ИТОГО Лэндинг'!$H$5:$H$300,'ИТОГО Лэндинг'!$B$5:$B$300,$B256))</f>
        <v/>
      </c>
      <c r="I256" s="246" t="str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 t="str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 t="str">
        <f>IF(C257="","",E257/C257)</f>
        <v/>
      </c>
      <c r="E257" s="241" t="str">
        <f>IF(C257="","",SUMIFS('ИТОГО Торговля'!$E$5:$E$300,'ИТОГО Торговля'!$B$5:$B$300,$B257)+SUMIFS('ИТОГО Лэндинг'!$E$5:$E$300,'ИТОГО Лэндинг'!$B$5:$B$300,$B257))</f>
        <v/>
      </c>
      <c r="F257" s="240" t="str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 t="str">
        <f>IF(F257="","",H257/F257)</f>
        <v/>
      </c>
      <c r="H257" s="241" t="str">
        <f>IF(F257="","",SUMIFS('ИТОГО Торговля'!$H$5:$H$300,'ИТОГО Торговля'!$B$5:$B$300,$B257)+SUMIFS('ИТОГО Лэндинг'!$H$5:$H$300,'ИТОГО Лэндинг'!$B$5:$B$300,$B257))</f>
        <v/>
      </c>
      <c r="I257" s="240" t="str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 t="str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 t="str">
        <f>IF(C258="","",E258/C258)</f>
        <v/>
      </c>
      <c r="E258" s="247" t="str">
        <f>IF(C258="","",SUMIFS('ИТОГО Торговля'!$E$5:$E$300,'ИТОГО Торговля'!$B$5:$B$300,$B258)+SUMIFS('ИТОГО Лэндинг'!$E$5:$E$300,'ИТОГО Лэндинг'!$B$5:$B$300,$B258))</f>
        <v/>
      </c>
      <c r="F258" s="246" t="str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 t="str">
        <f>IF(F258="","",H258/F258)</f>
        <v/>
      </c>
      <c r="H258" s="247" t="str">
        <f>IF(F258="","",SUMIFS('ИТОГО Торговля'!$H$5:$H$300,'ИТОГО Торговля'!$B$5:$B$300,$B258)+SUMIFS('ИТОГО Лэндинг'!$H$5:$H$300,'ИТОГО Лэндинг'!$B$5:$B$300,$B258))</f>
        <v/>
      </c>
      <c r="I258" s="246" t="str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 t="str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 t="str">
        <f>IF(C259="","",E259/C259)</f>
        <v/>
      </c>
      <c r="E259" s="241" t="str">
        <f>IF(C259="","",SUMIFS('ИТОГО Торговля'!$E$5:$E$300,'ИТОГО Торговля'!$B$5:$B$300,$B259)+SUMIFS('ИТОГО Лэндинг'!$E$5:$E$300,'ИТОГО Лэндинг'!$B$5:$B$300,$B259))</f>
        <v/>
      </c>
      <c r="F259" s="240" t="str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 t="str">
        <f>IF(F259="","",H259/F259)</f>
        <v/>
      </c>
      <c r="H259" s="241" t="str">
        <f>IF(F259="","",SUMIFS('ИТОГО Торговля'!$H$5:$H$300,'ИТОГО Торговля'!$B$5:$B$300,$B259)+SUMIFS('ИТОГО Лэндинг'!$H$5:$H$300,'ИТОГО Лэндинг'!$B$5:$B$300,$B259))</f>
        <v/>
      </c>
      <c r="I259" s="240" t="str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 t="str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 t="str">
        <f>IF(C260="","",E260/C260)</f>
        <v/>
      </c>
      <c r="E260" s="247" t="str">
        <f>IF(C260="","",SUMIFS('ИТОГО Торговля'!$E$5:$E$300,'ИТОГО Торговля'!$B$5:$B$300,$B260)+SUMIFS('ИТОГО Лэндинг'!$E$5:$E$300,'ИТОГО Лэндинг'!$B$5:$B$300,$B260))</f>
        <v/>
      </c>
      <c r="F260" s="246" t="str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 t="str">
        <f>IF(F260="","",H260/F260)</f>
        <v/>
      </c>
      <c r="H260" s="247" t="str">
        <f>IF(F260="","",SUMIFS('ИТОГО Торговля'!$H$5:$H$300,'ИТОГО Торговля'!$B$5:$B$300,$B260)+SUMIFS('ИТОГО Лэндинг'!$H$5:$H$300,'ИТОГО Лэндинг'!$B$5:$B$300,$B260))</f>
        <v/>
      </c>
      <c r="I260" s="246" t="str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 t="str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 t="str">
        <f>IF(C261="","",E261/C261)</f>
        <v/>
      </c>
      <c r="E261" s="241" t="str">
        <f>IF(C261="","",SUMIFS('ИТОГО Торговля'!$E$5:$E$300,'ИТОГО Торговля'!$B$5:$B$300,$B261)+SUMIFS('ИТОГО Лэндинг'!$E$5:$E$300,'ИТОГО Лэндинг'!$B$5:$B$300,$B261))</f>
        <v/>
      </c>
      <c r="F261" s="240" t="str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 t="str">
        <f>IF(F261="","",H261/F261)</f>
        <v/>
      </c>
      <c r="H261" s="241" t="str">
        <f>IF(F261="","",SUMIFS('ИТОГО Торговля'!$H$5:$H$300,'ИТОГО Торговля'!$B$5:$B$300,$B261)+SUMIFS('ИТОГО Лэндинг'!$H$5:$H$300,'ИТОГО Лэндинг'!$B$5:$B$300,$B261))</f>
        <v/>
      </c>
      <c r="I261" s="240" t="str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 t="str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 t="str">
        <f>IF(C262="","",E262/C262)</f>
        <v/>
      </c>
      <c r="E262" s="247" t="str">
        <f>IF(C262="","",SUMIFS('ИТОГО Торговля'!$E$5:$E$300,'ИТОГО Торговля'!$B$5:$B$300,$B262)+SUMIFS('ИТОГО Лэндинг'!$E$5:$E$300,'ИТОГО Лэндинг'!$B$5:$B$300,$B262))</f>
        <v/>
      </c>
      <c r="F262" s="246" t="str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 t="str">
        <f>IF(F262="","",H262/F262)</f>
        <v/>
      </c>
      <c r="H262" s="247" t="str">
        <f>IF(F262="","",SUMIFS('ИТОГО Торговля'!$H$5:$H$300,'ИТОГО Торговля'!$B$5:$B$300,$B262)+SUMIFS('ИТОГО Лэндинг'!$H$5:$H$300,'ИТОГО Лэндинг'!$B$5:$B$300,$B262))</f>
        <v/>
      </c>
      <c r="I262" s="246" t="str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 t="str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 t="str">
        <f>IF(C263="","",E263/C263)</f>
        <v/>
      </c>
      <c r="E263" s="241" t="str">
        <f>IF(C263="","",SUMIFS('ИТОГО Торговля'!$E$5:$E$300,'ИТОГО Торговля'!$B$5:$B$300,$B263)+SUMIFS('ИТОГО Лэндинг'!$E$5:$E$300,'ИТОГО Лэндинг'!$B$5:$B$300,$B263))</f>
        <v/>
      </c>
      <c r="F263" s="240" t="str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 t="str">
        <f>IF(F263="","",H263/F263)</f>
        <v/>
      </c>
      <c r="H263" s="241" t="str">
        <f>IF(F263="","",SUMIFS('ИТОГО Торговля'!$H$5:$H$300,'ИТОГО Торговля'!$B$5:$B$300,$B263)+SUMIFS('ИТОГО Лэндинг'!$H$5:$H$300,'ИТОГО Лэндинг'!$B$5:$B$300,$B263))</f>
        <v/>
      </c>
      <c r="I263" s="240" t="str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 t="str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 t="str">
        <f>IF(C264="","",E264/C264)</f>
        <v/>
      </c>
      <c r="E264" s="247" t="str">
        <f>IF(C264="","",SUMIFS('ИТОГО Торговля'!$E$5:$E$300,'ИТОГО Торговля'!$B$5:$B$300,$B264)+SUMIFS('ИТОГО Лэндинг'!$E$5:$E$300,'ИТОГО Лэндинг'!$B$5:$B$300,$B264))</f>
        <v/>
      </c>
      <c r="F264" s="246" t="str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 t="str">
        <f>IF(F264="","",H264/F264)</f>
        <v/>
      </c>
      <c r="H264" s="247" t="str">
        <f>IF(F264="","",SUMIFS('ИТОГО Торговля'!$H$5:$H$300,'ИТОГО Торговля'!$B$5:$B$300,$B264)+SUMIFS('ИТОГО Лэндинг'!$H$5:$H$300,'ИТОГО Лэндинг'!$B$5:$B$300,$B264))</f>
        <v/>
      </c>
      <c r="I264" s="246" t="str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 t="str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 t="str">
        <f>IF(C265="","",E265/C265)</f>
        <v/>
      </c>
      <c r="E265" s="241" t="str">
        <f>IF(C265="","",SUMIFS('ИТОГО Торговля'!$E$5:$E$300,'ИТОГО Торговля'!$B$5:$B$300,$B265)+SUMIFS('ИТОГО Лэндинг'!$E$5:$E$300,'ИТОГО Лэндинг'!$B$5:$B$300,$B265))</f>
        <v/>
      </c>
      <c r="F265" s="240" t="str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 t="str">
        <f>IF(F265="","",H265/F265)</f>
        <v/>
      </c>
      <c r="H265" s="241" t="str">
        <f>IF(F265="","",SUMIFS('ИТОГО Торговля'!$H$5:$H$300,'ИТОГО Торговля'!$B$5:$B$300,$B265)+SUMIFS('ИТОГО Лэндинг'!$H$5:$H$300,'ИТОГО Лэндинг'!$B$5:$B$300,$B265))</f>
        <v/>
      </c>
      <c r="I265" s="240" t="str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 t="str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 t="str">
        <f>IF(C266="","",E266/C266)</f>
        <v/>
      </c>
      <c r="E266" s="247" t="str">
        <f>IF(C266="","",SUMIFS('ИТОГО Торговля'!$E$5:$E$300,'ИТОГО Торговля'!$B$5:$B$300,$B266)+SUMIFS('ИТОГО Лэндинг'!$E$5:$E$300,'ИТОГО Лэндинг'!$B$5:$B$300,$B266))</f>
        <v/>
      </c>
      <c r="F266" s="246" t="str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 t="str">
        <f>IF(F266="","",H266/F266)</f>
        <v/>
      </c>
      <c r="H266" s="247" t="str">
        <f>IF(F266="","",SUMIFS('ИТОГО Торговля'!$H$5:$H$300,'ИТОГО Торговля'!$B$5:$B$300,$B266)+SUMIFS('ИТОГО Лэндинг'!$H$5:$H$300,'ИТОГО Лэндинг'!$B$5:$B$300,$B266))</f>
        <v/>
      </c>
      <c r="I266" s="246" t="str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 t="str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 t="str">
        <f>IF(C267="","",E267/C267)</f>
        <v/>
      </c>
      <c r="E267" s="241" t="str">
        <f>IF(C267="","",SUMIFS('ИТОГО Торговля'!$E$5:$E$300,'ИТОГО Торговля'!$B$5:$B$300,$B267)+SUMIFS('ИТОГО Лэндинг'!$E$5:$E$300,'ИТОГО Лэндинг'!$B$5:$B$300,$B267))</f>
        <v/>
      </c>
      <c r="F267" s="240" t="str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 t="str">
        <f>IF(F267="","",H267/F267)</f>
        <v/>
      </c>
      <c r="H267" s="241" t="str">
        <f>IF(F267="","",SUMIFS('ИТОГО Торговля'!$H$5:$H$300,'ИТОГО Торговля'!$B$5:$B$300,$B267)+SUMIFS('ИТОГО Лэндинг'!$H$5:$H$300,'ИТОГО Лэндинг'!$B$5:$B$300,$B267))</f>
        <v/>
      </c>
      <c r="I267" s="240" t="str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 t="str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 t="str">
        <f>IF(C268="","",E268/C268)</f>
        <v/>
      </c>
      <c r="E268" s="247" t="str">
        <f>IF(C268="","",SUMIFS('ИТОГО Торговля'!$E$5:$E$300,'ИТОГО Торговля'!$B$5:$B$300,$B268)+SUMIFS('ИТОГО Лэндинг'!$E$5:$E$300,'ИТОГО Лэндинг'!$B$5:$B$300,$B268))</f>
        <v/>
      </c>
      <c r="F268" s="246" t="str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 t="str">
        <f>IF(F268="","",H268/F268)</f>
        <v/>
      </c>
      <c r="H268" s="247" t="str">
        <f>IF(F268="","",SUMIFS('ИТОГО Торговля'!$H$5:$H$300,'ИТОГО Торговля'!$B$5:$B$300,$B268)+SUMIFS('ИТОГО Лэндинг'!$H$5:$H$300,'ИТОГО Лэндинг'!$B$5:$B$300,$B268))</f>
        <v/>
      </c>
      <c r="I268" s="246" t="str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 t="str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 t="str">
        <f>IF(C269="","",E269/C269)</f>
        <v/>
      </c>
      <c r="E269" s="241" t="str">
        <f>IF(C269="","",SUMIFS('ИТОГО Торговля'!$E$5:$E$300,'ИТОГО Торговля'!$B$5:$B$300,$B269)+SUMIFS('ИТОГО Лэндинг'!$E$5:$E$300,'ИТОГО Лэндинг'!$B$5:$B$300,$B269))</f>
        <v/>
      </c>
      <c r="F269" s="240" t="str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 t="str">
        <f>IF(F269="","",H269/F269)</f>
        <v/>
      </c>
      <c r="H269" s="241" t="str">
        <f>IF(F269="","",SUMIFS('ИТОГО Торговля'!$H$5:$H$300,'ИТОГО Торговля'!$B$5:$B$300,$B269)+SUMIFS('ИТОГО Лэндинг'!$H$5:$H$300,'ИТОГО Лэндинг'!$B$5:$B$300,$B269))</f>
        <v/>
      </c>
      <c r="I269" s="240" t="str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 t="str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 t="str">
        <f>IF(C270="","",E270/C270)</f>
        <v/>
      </c>
      <c r="E270" s="247" t="str">
        <f>IF(C270="","",SUMIFS('ИТОГО Торговля'!$E$5:$E$300,'ИТОГО Торговля'!$B$5:$B$300,$B270)+SUMIFS('ИТОГО Лэндинг'!$E$5:$E$300,'ИТОГО Лэндинг'!$B$5:$B$300,$B270))</f>
        <v/>
      </c>
      <c r="F270" s="246" t="str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 t="str">
        <f>IF(F270="","",H270/F270)</f>
        <v/>
      </c>
      <c r="H270" s="247" t="str">
        <f>IF(F270="","",SUMIFS('ИТОГО Торговля'!$H$5:$H$300,'ИТОГО Торговля'!$B$5:$B$300,$B270)+SUMIFS('ИТОГО Лэндинг'!$H$5:$H$300,'ИТОГО Лэндинг'!$B$5:$B$300,$B270))</f>
        <v/>
      </c>
      <c r="I270" s="246" t="str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 t="str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 t="str">
        <f>IF(C271="","",E271/C271)</f>
        <v/>
      </c>
      <c r="E271" s="241" t="str">
        <f>IF(C271="","",SUMIFS('ИТОГО Торговля'!$E$5:$E$300,'ИТОГО Торговля'!$B$5:$B$300,$B271)+SUMIFS('ИТОГО Лэндинг'!$E$5:$E$300,'ИТОГО Лэндинг'!$B$5:$B$300,$B271))</f>
        <v/>
      </c>
      <c r="F271" s="240" t="str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 t="str">
        <f>IF(F271="","",H271/F271)</f>
        <v/>
      </c>
      <c r="H271" s="241" t="str">
        <f>IF(F271="","",SUMIFS('ИТОГО Торговля'!$H$5:$H$300,'ИТОГО Торговля'!$B$5:$B$300,$B271)+SUMIFS('ИТОГО Лэндинг'!$H$5:$H$300,'ИТОГО Лэндинг'!$B$5:$B$300,$B271))</f>
        <v/>
      </c>
      <c r="I271" s="240" t="str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 t="str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 t="str">
        <f>IF(C272="","",E272/C272)</f>
        <v/>
      </c>
      <c r="E272" s="247" t="str">
        <f>IF(C272="","",SUMIFS('ИТОГО Торговля'!$E$5:$E$300,'ИТОГО Торговля'!$B$5:$B$300,$B272)+SUMIFS('ИТОГО Лэндинг'!$E$5:$E$300,'ИТОГО Лэндинг'!$B$5:$B$300,$B272))</f>
        <v/>
      </c>
      <c r="F272" s="246" t="str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 t="str">
        <f>IF(F272="","",H272/F272)</f>
        <v/>
      </c>
      <c r="H272" s="247" t="str">
        <f>IF(F272="","",SUMIFS('ИТОГО Торговля'!$H$5:$H$300,'ИТОГО Торговля'!$B$5:$B$300,$B272)+SUMIFS('ИТОГО Лэндинг'!$H$5:$H$300,'ИТОГО Лэндинг'!$B$5:$B$300,$B272))</f>
        <v/>
      </c>
      <c r="I272" s="246" t="str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 t="str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 t="str">
        <f>IF(C273="","",E273/C273)</f>
        <v/>
      </c>
      <c r="E273" s="241" t="str">
        <f>IF(C273="","",SUMIFS('ИТОГО Торговля'!$E$5:$E$300,'ИТОГО Торговля'!$B$5:$B$300,$B273)+SUMIFS('ИТОГО Лэндинг'!$E$5:$E$300,'ИТОГО Лэндинг'!$B$5:$B$300,$B273))</f>
        <v/>
      </c>
      <c r="F273" s="240" t="str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 t="str">
        <f>IF(F273="","",H273/F273)</f>
        <v/>
      </c>
      <c r="H273" s="241" t="str">
        <f>IF(F273="","",SUMIFS('ИТОГО Торговля'!$H$5:$H$300,'ИТОГО Торговля'!$B$5:$B$300,$B273)+SUMIFS('ИТОГО Лэндинг'!$H$5:$H$300,'ИТОГО Лэндинг'!$B$5:$B$300,$B273))</f>
        <v/>
      </c>
      <c r="I273" s="240" t="str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 t="str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 t="str">
        <f>IF(C274="","",E274/C274)</f>
        <v/>
      </c>
      <c r="E274" s="247" t="str">
        <f>IF(C274="","",SUMIFS('ИТОГО Торговля'!$E$5:$E$300,'ИТОГО Торговля'!$B$5:$B$300,$B274)+SUMIFS('ИТОГО Лэндинг'!$E$5:$E$300,'ИТОГО Лэндинг'!$B$5:$B$300,$B274))</f>
        <v/>
      </c>
      <c r="F274" s="246" t="str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 t="str">
        <f>IF(F274="","",H274/F274)</f>
        <v/>
      </c>
      <c r="H274" s="247" t="str">
        <f>IF(F274="","",SUMIFS('ИТОГО Торговля'!$H$5:$H$300,'ИТОГО Торговля'!$B$5:$B$300,$B274)+SUMIFS('ИТОГО Лэндинг'!$H$5:$H$300,'ИТОГО Лэндинг'!$B$5:$B$300,$B274))</f>
        <v/>
      </c>
      <c r="I274" s="246" t="str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 t="str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 t="str">
        <f>IF(C275="","",E275/C275)</f>
        <v/>
      </c>
      <c r="E275" s="241" t="str">
        <f>IF(C275="","",SUMIFS('ИТОГО Торговля'!$E$5:$E$300,'ИТОГО Торговля'!$B$5:$B$300,$B275)+SUMIFS('ИТОГО Лэндинг'!$E$5:$E$300,'ИТОГО Лэндинг'!$B$5:$B$300,$B275))</f>
        <v/>
      </c>
      <c r="F275" s="240" t="str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 t="str">
        <f>IF(F275="","",H275/F275)</f>
        <v/>
      </c>
      <c r="H275" s="241" t="str">
        <f>IF(F275="","",SUMIFS('ИТОГО Торговля'!$H$5:$H$300,'ИТОГО Торговля'!$B$5:$B$300,$B275)+SUMIFS('ИТОГО Лэндинг'!$H$5:$H$300,'ИТОГО Лэндинг'!$B$5:$B$300,$B275))</f>
        <v/>
      </c>
      <c r="I275" s="240" t="str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 t="str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 t="str">
        <f>IF(C276="","",E276/C276)</f>
        <v/>
      </c>
      <c r="E276" s="247" t="str">
        <f>IF(C276="","",SUMIFS('ИТОГО Торговля'!$E$5:$E$300,'ИТОГО Торговля'!$B$5:$B$300,$B276)+SUMIFS('ИТОГО Лэндинг'!$E$5:$E$300,'ИТОГО Лэндинг'!$B$5:$B$300,$B276))</f>
        <v/>
      </c>
      <c r="F276" s="246" t="str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 t="str">
        <f>IF(F276="","",H276/F276)</f>
        <v/>
      </c>
      <c r="H276" s="247" t="str">
        <f>IF(F276="","",SUMIFS('ИТОГО Торговля'!$H$5:$H$300,'ИТОГО Торговля'!$B$5:$B$300,$B276)+SUMIFS('ИТОГО Лэндинг'!$H$5:$H$300,'ИТОГО Лэндинг'!$B$5:$B$300,$B276))</f>
        <v/>
      </c>
      <c r="I276" s="246" t="str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 t="str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 t="str">
        <f>IF(C277="","",E277/C277)</f>
        <v/>
      </c>
      <c r="E277" s="241" t="str">
        <f>IF(C277="","",SUMIFS('ИТОГО Торговля'!$E$5:$E$300,'ИТОГО Торговля'!$B$5:$B$300,$B277)+SUMIFS('ИТОГО Лэндинг'!$E$5:$E$300,'ИТОГО Лэндинг'!$B$5:$B$300,$B277))</f>
        <v/>
      </c>
      <c r="F277" s="240" t="str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 t="str">
        <f>IF(F277="","",H277/F277)</f>
        <v/>
      </c>
      <c r="H277" s="241" t="str">
        <f>IF(F277="","",SUMIFS('ИТОГО Торговля'!$H$5:$H$300,'ИТОГО Торговля'!$B$5:$B$300,$B277)+SUMIFS('ИТОГО Лэндинг'!$H$5:$H$300,'ИТОГО Лэндинг'!$B$5:$B$300,$B277))</f>
        <v/>
      </c>
      <c r="I277" s="240" t="str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 t="str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 t="str">
        <f>IF(C278="","",E278/C278)</f>
        <v/>
      </c>
      <c r="E278" s="247" t="str">
        <f>IF(C278="","",SUMIFS('ИТОГО Торговля'!$E$5:$E$300,'ИТОГО Торговля'!$B$5:$B$300,$B278)+SUMIFS('ИТОГО Лэндинг'!$E$5:$E$300,'ИТОГО Лэндинг'!$B$5:$B$300,$B278))</f>
        <v/>
      </c>
      <c r="F278" s="246" t="str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 t="str">
        <f>IF(F278="","",H278/F278)</f>
        <v/>
      </c>
      <c r="H278" s="247" t="str">
        <f>IF(F278="","",SUMIFS('ИТОГО Торговля'!$H$5:$H$300,'ИТОГО Торговля'!$B$5:$B$300,$B278)+SUMIFS('ИТОГО Лэндинг'!$H$5:$H$300,'ИТОГО Лэндинг'!$B$5:$B$300,$B278))</f>
        <v/>
      </c>
      <c r="I278" s="246" t="str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 t="str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 t="str">
        <f>IF(C279="","",E279/C279)</f>
        <v/>
      </c>
      <c r="E279" s="241" t="str">
        <f>IF(C279="","",SUMIFS('ИТОГО Торговля'!$E$5:$E$300,'ИТОГО Торговля'!$B$5:$B$300,$B279)+SUMIFS('ИТОГО Лэндинг'!$E$5:$E$300,'ИТОГО Лэндинг'!$B$5:$B$300,$B279))</f>
        <v/>
      </c>
      <c r="F279" s="240" t="str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 t="str">
        <f>IF(F279="","",H279/F279)</f>
        <v/>
      </c>
      <c r="H279" s="241" t="str">
        <f>IF(F279="","",SUMIFS('ИТОГО Торговля'!$H$5:$H$300,'ИТОГО Торговля'!$B$5:$B$300,$B279)+SUMIFS('ИТОГО Лэндинг'!$H$5:$H$300,'ИТОГО Лэндинг'!$B$5:$B$300,$B279))</f>
        <v/>
      </c>
      <c r="I279" s="240" t="str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 t="str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 t="str">
        <f>IF(C280="","",E280/C280)</f>
        <v/>
      </c>
      <c r="E280" s="247" t="str">
        <f>IF(C280="","",SUMIFS('ИТОГО Торговля'!$E$5:$E$300,'ИТОГО Торговля'!$B$5:$B$300,$B280)+SUMIFS('ИТОГО Лэндинг'!$E$5:$E$300,'ИТОГО Лэндинг'!$B$5:$B$300,$B280))</f>
        <v/>
      </c>
      <c r="F280" s="246" t="str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 t="str">
        <f>IF(F280="","",H280/F280)</f>
        <v/>
      </c>
      <c r="H280" s="247" t="str">
        <f>IF(F280="","",SUMIFS('ИТОГО Торговля'!$H$5:$H$300,'ИТОГО Торговля'!$B$5:$B$300,$B280)+SUMIFS('ИТОГО Лэндинг'!$H$5:$H$300,'ИТОГО Лэндинг'!$B$5:$B$300,$B280))</f>
        <v/>
      </c>
      <c r="I280" s="246" t="str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 t="str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 t="str">
        <f>IF(C281="","",E281/C281)</f>
        <v/>
      </c>
      <c r="E281" s="241" t="str">
        <f>IF(C281="","",SUMIFS('ИТОГО Торговля'!$E$5:$E$300,'ИТОГО Торговля'!$B$5:$B$300,$B281)+SUMIFS('ИТОГО Лэндинг'!$E$5:$E$300,'ИТОГО Лэндинг'!$B$5:$B$300,$B281))</f>
        <v/>
      </c>
      <c r="F281" s="240" t="str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 t="str">
        <f>IF(F281="","",H281/F281)</f>
        <v/>
      </c>
      <c r="H281" s="241" t="str">
        <f>IF(F281="","",SUMIFS('ИТОГО Торговля'!$H$5:$H$300,'ИТОГО Торговля'!$B$5:$B$300,$B281)+SUMIFS('ИТОГО Лэндинг'!$H$5:$H$300,'ИТОГО Лэндинг'!$B$5:$B$300,$B281))</f>
        <v/>
      </c>
      <c r="I281" s="240" t="str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 t="str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 t="str">
        <f>IF(C282="","",E282/C282)</f>
        <v/>
      </c>
      <c r="E282" s="247" t="str">
        <f>IF(C282="","",SUMIFS('ИТОГО Торговля'!$E$5:$E$300,'ИТОГО Торговля'!$B$5:$B$300,$B282)+SUMIFS('ИТОГО Лэндинг'!$E$5:$E$300,'ИТОГО Лэндинг'!$B$5:$B$300,$B282))</f>
        <v/>
      </c>
      <c r="F282" s="246" t="str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 t="str">
        <f>IF(F282="","",H282/F282)</f>
        <v/>
      </c>
      <c r="H282" s="247" t="str">
        <f>IF(F282="","",SUMIFS('ИТОГО Торговля'!$H$5:$H$300,'ИТОГО Торговля'!$B$5:$B$300,$B282)+SUMIFS('ИТОГО Лэндинг'!$H$5:$H$300,'ИТОГО Лэндинг'!$B$5:$B$300,$B282))</f>
        <v/>
      </c>
      <c r="I282" s="246" t="str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 t="str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 t="str">
        <f>IF(C283="","",E283/C283)</f>
        <v/>
      </c>
      <c r="E283" s="241" t="str">
        <f>IF(C283="","",SUMIFS('ИТОГО Торговля'!$E$5:$E$300,'ИТОГО Торговля'!$B$5:$B$300,$B283)+SUMIFS('ИТОГО Лэндинг'!$E$5:$E$300,'ИТОГО Лэндинг'!$B$5:$B$300,$B283))</f>
        <v/>
      </c>
      <c r="F283" s="240" t="str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 t="str">
        <f>IF(F283="","",H283/F283)</f>
        <v/>
      </c>
      <c r="H283" s="241" t="str">
        <f>IF(F283="","",SUMIFS('ИТОГО Торговля'!$H$5:$H$300,'ИТОГО Торговля'!$B$5:$B$300,$B283)+SUMIFS('ИТОГО Лэндинг'!$H$5:$H$300,'ИТОГО Лэндинг'!$B$5:$B$300,$B283))</f>
        <v/>
      </c>
      <c r="I283" s="240" t="str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 t="str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 t="str">
        <f>IF(C284="","",E284/C284)</f>
        <v/>
      </c>
      <c r="E284" s="247" t="str">
        <f>IF(C284="","",SUMIFS('ИТОГО Торговля'!$E$5:$E$300,'ИТОГО Торговля'!$B$5:$B$300,$B284)+SUMIFS('ИТОГО Лэндинг'!$E$5:$E$300,'ИТОГО Лэндинг'!$B$5:$B$300,$B284))</f>
        <v/>
      </c>
      <c r="F284" s="246" t="str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 t="str">
        <f>IF(F284="","",H284/F284)</f>
        <v/>
      </c>
      <c r="H284" s="247" t="str">
        <f>IF(F284="","",SUMIFS('ИТОГО Торговля'!$H$5:$H$300,'ИТОГО Торговля'!$B$5:$B$300,$B284)+SUMIFS('ИТОГО Лэндинг'!$H$5:$H$300,'ИТОГО Лэндинг'!$B$5:$B$300,$B284))</f>
        <v/>
      </c>
      <c r="I284" s="246" t="str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 t="str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 t="str">
        <f>IF(C285="","",E285/C285)</f>
        <v/>
      </c>
      <c r="E285" s="241" t="str">
        <f>IF(C285="","",SUMIFS('ИТОГО Торговля'!$E$5:$E$300,'ИТОГО Торговля'!$B$5:$B$300,$B285)+SUMIFS('ИТОГО Лэндинг'!$E$5:$E$300,'ИТОГО Лэндинг'!$B$5:$B$300,$B285))</f>
        <v/>
      </c>
      <c r="F285" s="240" t="str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 t="str">
        <f>IF(F285="","",H285/F285)</f>
        <v/>
      </c>
      <c r="H285" s="241" t="str">
        <f>IF(F285="","",SUMIFS('ИТОГО Торговля'!$H$5:$H$300,'ИТОГО Торговля'!$B$5:$B$300,$B285)+SUMIFS('ИТОГО Лэндинг'!$H$5:$H$300,'ИТОГО Лэндинг'!$B$5:$B$300,$B285))</f>
        <v/>
      </c>
      <c r="I285" s="240" t="str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 t="str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 t="str">
        <f>IF(C286="","",E286/C286)</f>
        <v/>
      </c>
      <c r="E286" s="247" t="str">
        <f>IF(C286="","",SUMIFS('ИТОГО Торговля'!$E$5:$E$300,'ИТОГО Торговля'!$B$5:$B$300,$B286)+SUMIFS('ИТОГО Лэндинг'!$E$5:$E$300,'ИТОГО Лэндинг'!$B$5:$B$300,$B286))</f>
        <v/>
      </c>
      <c r="F286" s="246" t="str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 t="str">
        <f>IF(F286="","",H286/F286)</f>
        <v/>
      </c>
      <c r="H286" s="247" t="str">
        <f>IF(F286="","",SUMIFS('ИТОГО Торговля'!$H$5:$H$300,'ИТОГО Торговля'!$B$5:$B$300,$B286)+SUMIFS('ИТОГО Лэндинг'!$H$5:$H$300,'ИТОГО Лэндинг'!$B$5:$B$300,$B286))</f>
        <v/>
      </c>
      <c r="I286" s="246" t="str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 t="str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 t="str">
        <f>IF(C287="","",E287/C287)</f>
        <v/>
      </c>
      <c r="E287" s="241" t="str">
        <f>IF(C287="","",SUMIFS('ИТОГО Торговля'!$E$5:$E$300,'ИТОГО Торговля'!$B$5:$B$300,$B287)+SUMIFS('ИТОГО Лэндинг'!$E$5:$E$300,'ИТОГО Лэндинг'!$B$5:$B$300,$B287))</f>
        <v/>
      </c>
      <c r="F287" s="240" t="str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 t="str">
        <f>IF(F287="","",H287/F287)</f>
        <v/>
      </c>
      <c r="H287" s="241" t="str">
        <f>IF(F287="","",SUMIFS('ИТОГО Торговля'!$H$5:$H$300,'ИТОГО Торговля'!$B$5:$B$300,$B287)+SUMIFS('ИТОГО Лэндинг'!$H$5:$H$300,'ИТОГО Лэндинг'!$B$5:$B$300,$B287))</f>
        <v/>
      </c>
      <c r="I287" s="240" t="str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 t="str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 t="str">
        <f>IF(C288="","",E288/C288)</f>
        <v/>
      </c>
      <c r="E288" s="247" t="str">
        <f>IF(C288="","",SUMIFS('ИТОГО Торговля'!$E$5:$E$300,'ИТОГО Торговля'!$B$5:$B$300,$B288)+SUMIFS('ИТОГО Лэндинг'!$E$5:$E$300,'ИТОГО Лэндинг'!$B$5:$B$300,$B288))</f>
        <v/>
      </c>
      <c r="F288" s="246" t="str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 t="str">
        <f>IF(F288="","",H288/F288)</f>
        <v/>
      </c>
      <c r="H288" s="247" t="str">
        <f>IF(F288="","",SUMIFS('ИТОГО Торговля'!$H$5:$H$300,'ИТОГО Торговля'!$B$5:$B$300,$B288)+SUMIFS('ИТОГО Лэндинг'!$H$5:$H$300,'ИТОГО Лэндинг'!$B$5:$B$300,$B288))</f>
        <v/>
      </c>
      <c r="I288" s="246" t="str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 t="str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 t="str">
        <f>IF(C289="","",E289/C289)</f>
        <v/>
      </c>
      <c r="E289" s="241" t="str">
        <f>IF(C289="","",SUMIFS('ИТОГО Торговля'!$E$5:$E$300,'ИТОГО Торговля'!$B$5:$B$300,$B289)+SUMIFS('ИТОГО Лэндинг'!$E$5:$E$300,'ИТОГО Лэндинг'!$B$5:$B$300,$B289))</f>
        <v/>
      </c>
      <c r="F289" s="240" t="str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 t="str">
        <f>IF(F289="","",H289/F289)</f>
        <v/>
      </c>
      <c r="H289" s="241" t="str">
        <f>IF(F289="","",SUMIFS('ИТОГО Торговля'!$H$5:$H$300,'ИТОГО Торговля'!$B$5:$B$300,$B289)+SUMIFS('ИТОГО Лэндинг'!$H$5:$H$300,'ИТОГО Лэндинг'!$B$5:$B$300,$B289))</f>
        <v/>
      </c>
      <c r="I289" s="240" t="str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 t="str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 t="str">
        <f>IF(C290="","",E290/C290)</f>
        <v/>
      </c>
      <c r="E290" s="247" t="str">
        <f>IF(C290="","",SUMIFS('ИТОГО Торговля'!$E$5:$E$300,'ИТОГО Торговля'!$B$5:$B$300,$B290)+SUMIFS('ИТОГО Лэндинг'!$E$5:$E$300,'ИТОГО Лэндинг'!$B$5:$B$300,$B290))</f>
        <v/>
      </c>
      <c r="F290" s="246" t="str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 t="str">
        <f>IF(F290="","",H290/F290)</f>
        <v/>
      </c>
      <c r="H290" s="247" t="str">
        <f>IF(F290="","",SUMIFS('ИТОГО Торговля'!$H$5:$H$300,'ИТОГО Торговля'!$B$5:$B$300,$B290)+SUMIFS('ИТОГО Лэндинг'!$H$5:$H$300,'ИТОГО Лэндинг'!$B$5:$B$300,$B290))</f>
        <v/>
      </c>
      <c r="I290" s="246" t="str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 t="str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 t="str">
        <f>IF(C291="","",E291/C291)</f>
        <v/>
      </c>
      <c r="E291" s="241" t="str">
        <f>IF(C291="","",SUMIFS('ИТОГО Торговля'!$E$5:$E$300,'ИТОГО Торговля'!$B$5:$B$300,$B291)+SUMIFS('ИТОГО Лэндинг'!$E$5:$E$300,'ИТОГО Лэндинг'!$B$5:$B$300,$B291))</f>
        <v/>
      </c>
      <c r="F291" s="240" t="str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 t="str">
        <f>IF(F291="","",H291/F291)</f>
        <v/>
      </c>
      <c r="H291" s="241" t="str">
        <f>IF(F291="","",SUMIFS('ИТОГО Торговля'!$H$5:$H$300,'ИТОГО Торговля'!$B$5:$B$300,$B291)+SUMIFS('ИТОГО Лэндинг'!$H$5:$H$300,'ИТОГО Лэндинг'!$B$5:$B$300,$B291))</f>
        <v/>
      </c>
      <c r="I291" s="240" t="str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 t="str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 t="str">
        <f>IF(C292="","",E292/C292)</f>
        <v/>
      </c>
      <c r="E292" s="247" t="str">
        <f>IF(C292="","",SUMIFS('ИТОГО Торговля'!$E$5:$E$300,'ИТОГО Торговля'!$B$5:$B$300,$B292)+SUMIFS('ИТОГО Лэндинг'!$E$5:$E$300,'ИТОГО Лэндинг'!$B$5:$B$300,$B292))</f>
        <v/>
      </c>
      <c r="F292" s="246" t="str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 t="str">
        <f>IF(F292="","",H292/F292)</f>
        <v/>
      </c>
      <c r="H292" s="247" t="str">
        <f>IF(F292="","",SUMIFS('ИТОГО Торговля'!$H$5:$H$300,'ИТОГО Торговля'!$B$5:$B$300,$B292)+SUMIFS('ИТОГО Лэндинг'!$H$5:$H$300,'ИТОГО Лэндинг'!$B$5:$B$300,$B292))</f>
        <v/>
      </c>
      <c r="I292" s="246" t="str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 t="str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 t="str">
        <f>IF(C293="","",E293/C293)</f>
        <v/>
      </c>
      <c r="E293" s="241" t="str">
        <f>IF(C293="","",SUMIFS('ИТОГО Торговля'!$E$5:$E$300,'ИТОГО Торговля'!$B$5:$B$300,$B293)+SUMIFS('ИТОГО Лэндинг'!$E$5:$E$300,'ИТОГО Лэндинг'!$B$5:$B$300,$B293))</f>
        <v/>
      </c>
      <c r="F293" s="240" t="str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 t="str">
        <f>IF(F293="","",H293/F293)</f>
        <v/>
      </c>
      <c r="H293" s="241" t="str">
        <f>IF(F293="","",SUMIFS('ИТОГО Торговля'!$H$5:$H$300,'ИТОГО Торговля'!$B$5:$B$300,$B293)+SUMIFS('ИТОГО Лэндинг'!$H$5:$H$300,'ИТОГО Лэндинг'!$B$5:$B$300,$B293))</f>
        <v/>
      </c>
      <c r="I293" s="240" t="str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 t="str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 t="str">
        <f>IF(C294="","",E294/C294)</f>
        <v/>
      </c>
      <c r="E294" s="247" t="str">
        <f>IF(C294="","",SUMIFS('ИТОГО Торговля'!$E$5:$E$300,'ИТОГО Торговля'!$B$5:$B$300,$B294)+SUMIFS('ИТОГО Лэндинг'!$E$5:$E$300,'ИТОГО Лэндинг'!$B$5:$B$300,$B294))</f>
        <v/>
      </c>
      <c r="F294" s="246" t="str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 t="str">
        <f>IF(F294="","",H294/F294)</f>
        <v/>
      </c>
      <c r="H294" s="247" t="str">
        <f>IF(F294="","",SUMIFS('ИТОГО Торговля'!$H$5:$H$300,'ИТОГО Торговля'!$B$5:$B$300,$B294)+SUMIFS('ИТОГО Лэндинг'!$H$5:$H$300,'ИТОГО Лэндинг'!$B$5:$B$300,$B294))</f>
        <v/>
      </c>
      <c r="I294" s="246" t="str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 t="str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 t="str">
        <f>IF(C295="","",E295/C295)</f>
        <v/>
      </c>
      <c r="E295" s="241" t="str">
        <f>IF(C295="","",SUMIFS('ИТОГО Торговля'!$E$5:$E$300,'ИТОГО Торговля'!$B$5:$B$300,$B295)+SUMIFS('ИТОГО Лэндинг'!$E$5:$E$300,'ИТОГО Лэндинг'!$B$5:$B$300,$B295))</f>
        <v/>
      </c>
      <c r="F295" s="240" t="str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 t="str">
        <f>IF(F295="","",H295/F295)</f>
        <v/>
      </c>
      <c r="H295" s="241" t="str">
        <f>IF(F295="","",SUMIFS('ИТОГО Торговля'!$H$5:$H$300,'ИТОГО Торговля'!$B$5:$B$300,$B295)+SUMIFS('ИТОГО Лэндинг'!$H$5:$H$300,'ИТОГО Лэндинг'!$B$5:$B$300,$B295))</f>
        <v/>
      </c>
      <c r="I295" s="240" t="str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 t="str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 t="str">
        <f>IF(C296="","",E296/C296)</f>
        <v/>
      </c>
      <c r="E296" s="247" t="str">
        <f>IF(C296="","",SUMIFS('ИТОГО Торговля'!$E$5:$E$300,'ИТОГО Торговля'!$B$5:$B$300,$B296)+SUMIFS('ИТОГО Лэндинг'!$E$5:$E$300,'ИТОГО Лэндинг'!$B$5:$B$300,$B296))</f>
        <v/>
      </c>
      <c r="F296" s="246" t="str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 t="str">
        <f>IF(F296="","",H296/F296)</f>
        <v/>
      </c>
      <c r="H296" s="247" t="str">
        <f>IF(F296="","",SUMIFS('ИТОГО Торговля'!$H$5:$H$300,'ИТОГО Торговля'!$B$5:$B$300,$B296)+SUMIFS('ИТОГО Лэндинг'!$H$5:$H$300,'ИТОГО Лэндинг'!$B$5:$B$300,$B296))</f>
        <v/>
      </c>
      <c r="I296" s="246" t="str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 t="str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 t="str">
        <f>IF(C297="","",E297/C297)</f>
        <v/>
      </c>
      <c r="E297" s="241" t="str">
        <f>IF(C297="","",SUMIFS('ИТОГО Торговля'!$E$5:$E$300,'ИТОГО Торговля'!$B$5:$B$300,$B297)+SUMIFS('ИТОГО Лэндинг'!$E$5:$E$300,'ИТОГО Лэндинг'!$B$5:$B$300,$B297))</f>
        <v/>
      </c>
      <c r="F297" s="240" t="str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 t="str">
        <f>IF(F297="","",H297/F297)</f>
        <v/>
      </c>
      <c r="H297" s="241" t="str">
        <f>IF(F297="","",SUMIFS('ИТОГО Торговля'!$H$5:$H$300,'ИТОГО Торговля'!$B$5:$B$300,$B297)+SUMIFS('ИТОГО Лэндинг'!$H$5:$H$300,'ИТОГО Лэндинг'!$B$5:$B$300,$B297))</f>
        <v/>
      </c>
      <c r="I297" s="240" t="str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 t="str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 t="str">
        <f>IF(C298="","",E298/C298)</f>
        <v/>
      </c>
      <c r="E298" s="247" t="str">
        <f>IF(C298="","",SUMIFS('ИТОГО Торговля'!$E$5:$E$300,'ИТОГО Торговля'!$B$5:$B$300,$B298)+SUMIFS('ИТОГО Лэндинг'!$E$5:$E$300,'ИТОГО Лэндинг'!$B$5:$B$300,$B298))</f>
        <v/>
      </c>
      <c r="F298" s="246" t="str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 t="str">
        <f>IF(F298="","",H298/F298)</f>
        <v/>
      </c>
      <c r="H298" s="247" t="str">
        <f>IF(F298="","",SUMIFS('ИТОГО Торговля'!$H$5:$H$300,'ИТОГО Торговля'!$B$5:$B$300,$B298)+SUMIFS('ИТОГО Лэндинг'!$H$5:$H$300,'ИТОГО Лэндинг'!$B$5:$B$300,$B298))</f>
        <v/>
      </c>
      <c r="I298" s="246" t="str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 t="str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 t="str">
        <f>IF(C299="","",E299/C299)</f>
        <v/>
      </c>
      <c r="E299" s="241" t="str">
        <f>IF(C299="","",SUMIFS('ИТОГО Торговля'!$E$5:$E$300,'ИТОГО Торговля'!$B$5:$B$300,$B299)+SUMIFS('ИТОГО Лэндинг'!$E$5:$E$300,'ИТОГО Лэндинг'!$B$5:$B$300,$B299))</f>
        <v/>
      </c>
      <c r="F299" s="240" t="str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 t="str">
        <f>IF(F299="","",H299/F299)</f>
        <v/>
      </c>
      <c r="H299" s="241" t="str">
        <f>IF(F299="","",SUMIFS('ИТОГО Торговля'!$H$5:$H$300,'ИТОГО Торговля'!$B$5:$B$300,$B299)+SUMIFS('ИТОГО Лэндинг'!$H$5:$H$300,'ИТОГО Лэндинг'!$B$5:$B$300,$B299))</f>
        <v/>
      </c>
      <c r="I299" s="240" t="str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 t="str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 t="str">
        <f>IF(C300="","",E300/C300)</f>
        <v/>
      </c>
      <c r="E300" s="247" t="str">
        <f>IF(C300="","",SUMIFS('ИТОГО Торговля'!$E$5:$E$300,'ИТОГО Торговля'!$B$5:$B$300,$B300)+SUMIFS('ИТОГО Лэндинг'!$E$5:$E$300,'ИТОГО Лэндинг'!$B$5:$B$300,$B300))</f>
        <v/>
      </c>
      <c r="F300" s="246" t="str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 t="str">
        <f>IF(F300="","",H300/F300)</f>
        <v/>
      </c>
      <c r="H300" s="247" t="str">
        <f>IF(F300="","",SUMIFS('ИТОГО Торговля'!$H$5:$H$300,'ИТОГО Торговля'!$B$5:$B$300,$B300)+SUMIFS('ИТОГО Лэндинг'!$H$5:$H$300,'ИТОГО Лэндинг'!$B$5:$B$300,$B300))</f>
        <v/>
      </c>
      <c r="I300" s="246" t="str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 t="str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