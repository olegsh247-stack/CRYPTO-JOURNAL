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'Лэндинг'!$B$4:$M$16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4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IF(AND(ISNUMBER(F5),ISNUMBER(G5),F5&gt;0,1-N(Ввод!$J$19)/100&gt;0),G5/(1-N(Ввод!$J$19)/100),IF(AND(ISNUMBER(I5),ISNUMBER(J5),I5&gt;0),J5/(1+N(Ввод!$J$19)/100),""))</f>
        <v/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IF(AND(ISNUMBER(F6),ISNUMBER(G6),F6&gt;0,1-N(Ввод!$J$19)/100&gt;0),G6/(1-N(Ввод!$J$19)/100),IF(AND(ISNUMBER(I6),ISNUMBER(J6),I6&gt;0),J6/(1+N(Ввод!$J$19)/100),""))</f>
        <v/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IF(AND(ISNUMBER(F7),ISNUMBER(G7),F7&gt;0,1-N(Ввод!$J$19)/100&gt;0),G7/(1-N(Ввод!$J$19)/100),IF(AND(ISNUMBER(I7),ISNUMBER(J7),I7&gt;0),J7/(1+N(Ввод!$J$19)/100),""))</f>
        <v/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IF(AND(ISNUMBER(F8),ISNUMBER(G8),F8&gt;0,1-N(Ввод!$J$19)/100&gt;0),G8/(1-N(Ввод!$J$19)/100),IF(AND(ISNUMBER(I8),ISNUMBER(J8),I8&gt;0),J8/(1+N(Ввод!$J$19)/100),""))</f>
        <v/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IF(AND(ISNUMBER(F9),ISNUMBER(G9),F9&gt;0,1-N(Ввод!$J$19)/100&gt;0),G9/(1-N(Ввод!$J$19)/100),IF(AND(ISNUMBER(I9),ISNUMBER(J9),I9&gt;0),J9/(1+N(Ввод!$J$19)/100),""))</f>
        <v/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IF(AND(ISNUMBER(F10),ISNUMBER(G10),F10&gt;0,1-N(Ввод!$J$19)/100&gt;0),G10/(1-N(Ввод!$J$19)/100),IF(AND(ISNUMBER(I10),ISNUMBER(J10),I10&gt;0),J10/(1+N(Ввод!$J$19)/100),""))</f>
        <v/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IF(AND(ISNUMBER(F11),ISNUMBER(G11),F11&gt;0,1-N(Ввод!$J$19)/100&gt;0),G11/(1-N(Ввод!$J$19)/100),IF(AND(ISNUMBER(I11),ISNUMBER(J11),I11&gt;0),J11/(1+N(Ввод!$J$19)/100),""))</f>
        <v/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IF(AND(ISNUMBER(F12),ISNUMBER(G12),F12&gt;0,1-N(Ввод!$J$19)/100&gt;0),G12/(1-N(Ввод!$J$19)/100),IF(AND(ISNUMBER(I12),ISNUMBER(J12),I12&gt;0),J12/(1+N(Ввод!$J$19)/100),""))</f>
        <v/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IF(AND(ISNUMBER(F13),ISNUMBER(G13),F13&gt;0,1-N(Ввод!$J$19)/100&gt;0),G13/(1-N(Ввод!$J$19)/100),IF(AND(ISNUMBER(I13),ISNUMBER(J13),I13&gt;0),J13/(1+N(Ввод!$J$19)/100),""))</f>
        <v/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IF(AND(ISNUMBER(F14),ISNUMBER(G14),F14&gt;0,1-N(Ввод!$J$19)/100&gt;0),G14/(1-N(Ввод!$J$19)/100),IF(AND(ISNUMBER(I14),ISNUMBER(J14),I14&gt;0),J14/(1+N(Ввод!$J$19)/100),""))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>
        <f>IF(AND(ISNUMBER(F16),ISNUMBER(G16)),F16*G16,"")</f>
        <v/>
      </c>
      <c r="I16" s="246" t="n"/>
      <c r="J16" s="183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IF(AND(ISNUMBER(F16),ISNUMBER(G16),F16&gt;0,1-N(Ввод!$J$19)/100&gt;0),G16/(1-N(Ввод!$J$19)/100),IF(AND(ISNUMBER(I16),ISNUMBER(J16),I16&gt;0),J16/(1+N(Ввод!$J$19)/100),""))</f>
        <v/>
      </c>
    </row>
  </sheetData>
  <autoFilter ref="B4:M16"/>
  <mergeCells count="1">
    <mergeCell ref="B1:N2"/>
  </mergeCells>
  <conditionalFormatting sqref="B5:N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>
        <f>IF(MIN(N(C5),N(F5))&lt;=0,"",ROUND(MIN(N(C5),N(F5))*(N(G5)-N(D5)),8))</f>
        <v/>
      </c>
      <c r="L5" s="177">
        <f>IF(MIN(N(C5),N(F5))&lt;=0,"",IF(N(D5)=0,"",ROUND((N(G5)/N(D5)-1)*100,2)))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>
        <f>IF(MIN(N(C6),N(F6))&lt;=0,"",ROUND(MIN(N(C6),N(F6))*(N(G6)-N(D6)),8))</f>
        <v/>
      </c>
      <c r="L6" s="183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>
        <f>IF(MIN(N(C7),N(F7))&lt;=0,"",ROUND(MIN(N(C7),N(F7))*(N(G7)-N(D7)),8))</f>
        <v/>
      </c>
      <c r="L7" s="177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/>
      </c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>
        <f>IF(MIN(N(C8),N(F8))&lt;=0,"",ROUND(MIN(N(C8),N(F8))*(N(G8)-N(D8)),8))</f>
        <v/>
      </c>
      <c r="L8" s="183">
        <f>IF(MIN(N(C8),N(F8))&lt;=0,"",IF(N(D8)=0,"",ROUND((N(G8)/N(D8)-1)*100,2)))</f>
        <v/>
      </c>
      <c r="M8" s="183">
        <f>IF(OR(ROUND(N(C8)-N(F8),8)=0,1-N(Ввод!$J$19)/100&lt;=0),"",IF(N(C8)&gt;N(F8),(N(E8)-N(H8))/((N(C8)-N(F8))*(1-N(Ввод!$J$19)/100)),(N(H8)-N(E8))/((N(F8)-N(C8))*(1+N(Ввод!$J$19)/100))))</f>
        <v/>
      </c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>
        <f>IF(MIN(N(C9),N(F9))&lt;=0,"",ROUND(MIN(N(C9),N(F9))*(N(G9)-N(D9)),8))</f>
        <v/>
      </c>
      <c r="L9" s="177">
        <f>IF(MIN(N(C9),N(F9))&lt;=0,"",IF(N(D9)=0,"",ROUND((N(G9)/N(D9)-1)*100,2)))</f>
        <v/>
      </c>
      <c r="M9" s="177">
        <f>IF(OR(ROUND(N(C9)-N(F9),8)=0,1-N(Ввод!$J$19)/100&lt;=0),"",IF(N(C9)&gt;N(F9),(N(E9)-N(H9))/((N(C9)-N(F9))*(1-N(Ввод!$J$19)/100)),(N(H9)-N(E9))/((N(F9)-N(C9))*(1+N(Ввод!$J$19)/100))))</f>
        <v/>
      </c>
    </row>
    <row r="10" ht="22" customHeight="1">
      <c r="B10" s="245" t="n"/>
      <c r="C10" s="246">
        <f>IF(SUMIFS(Торговля!$F$5:$F$200,Торговля!$E$5:$E$200,$B10)+SUMIFS(Закрытые!$G$5:$G$200,Закрытые!$F$5:$F$200,$B10)=0,"",SUMIFS(Торговля!$F$5:$F$200,Торговля!$E$5:$E$200,$B10)+SUMIFS(Закрытые!$G$5:$G$200,Закрытые!$F$5:$F$200,$B10))</f>
        <v/>
      </c>
      <c r="D10" s="183">
        <f>IF(C10="","",(SUMPRODUCT((Торговля!$E$5:$E$200=$B10)*Торговля!$F$5:$F$200*Торговля!$G$5:$G$200)+SUMPRODUCT((Закрытые!$F$5:$F$200=$B10)*Закрытые!$G$5:$G$200*Закрытые!$H$5:$H$200))/C10)</f>
        <v/>
      </c>
      <c r="E10" s="247">
        <f>IF(C10="","",SUMIFS(Торговля!$H$5:$H$200,Торговля!$E$5:$E$200,$B10)+SUMIFS(Закрытые!$I$5:$I$200,Закрытые!$F$5:$F$200,$B10))</f>
        <v/>
      </c>
      <c r="F10" s="246">
        <f>IF(SUMIFS(Торговля!$I$5:$I$200,Торговля!$E$5:$E$200,$B10)+SUMIFS(Закрытые!$J$5:$J$200,Закрытые!$F$5:$F$200,$B10)=0,"",SUMIFS(Торговля!$I$5:$I$200,Торговля!$E$5:$E$200,$B10)+SUMIFS(Закрытые!$J$5:$J$200,Закрытые!$F$5:$F$200,$B10))</f>
        <v/>
      </c>
      <c r="G10" s="183">
        <f>IF(F10="","",(SUMPRODUCT((Торговля!$E$5:$E$200=$B10)*Торговля!$I$5:$I$200*Торговля!$J$5:$J$200)+SUMPRODUCT((Закрытые!$F$5:$F$200=$B10)*Закрытые!$J$5:$J$200*Закрытые!$K$5:$K$200))/F10)</f>
        <v/>
      </c>
      <c r="H10" s="247">
        <f>IF(F10="","",SUMIFS(Торговля!$K$5:$K$200,Торговля!$E$5:$E$200,$B10)+SUMIFS(Закрытые!$L$5:$L$200,Закрытые!$F$5:$F$200,$B10))</f>
        <v/>
      </c>
      <c r="I10" s="246">
        <f>IF(COUNTIFS(Закрытые!$F$5:$F$200,$B10)=0,"",ROUND(SUMIFS(Закрытые!$M$5:$M$200,Закрытые!$F$5:$F$200,$B10),8))</f>
        <v/>
      </c>
      <c r="J10" s="247">
        <f>IF(COUNTIFS(Закрытые!$F$5:$F$200,$B10)=0,"",ROUND(SUMIFS(Закрытые!$M$5:$M$200,Закрытые!$F$5:$F$200,$B10)/SUMIFS(Закрытые!$I$5:$I$200,Закрытые!$F$5:$F$200,$B10)*100,2))</f>
        <v/>
      </c>
      <c r="K10" s="246">
        <f>IF(MIN(N(C10),N(F10))&lt;=0,"",ROUND(MIN(N(C10),N(F10))*(N(G10)-N(D10)),8))</f>
        <v/>
      </c>
      <c r="L10" s="183">
        <f>IF(MIN(N(C10),N(F10))&lt;=0,"",IF(N(D10)=0,"",ROUND((N(G10)/N(D10)-1)*100,2)))</f>
        <v/>
      </c>
      <c r="M10" s="183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>
        <f>IF(SUMIFS(Торговля!$F$5:$F$200,Торговля!$E$5:$E$200,$B11)+SUMIFS(Закрытые!$G$5:$G$200,Закрытые!$F$5:$F$200,$B11)=0,"",SUMIFS(Торговля!$F$5:$F$200,Торговля!$E$5:$E$200,$B11)+SUMIFS(Закрытые!$G$5:$G$200,Закрытые!$F$5:$F$200,$B11))</f>
        <v/>
      </c>
      <c r="D11" s="177">
        <f>IF(C11="","",(SUMPRODUCT((Торговля!$E$5:$E$200=$B11)*Торговля!$F$5:$F$200*Торговля!$G$5:$G$200)+SUMPRODUCT((Закрытые!$F$5:$F$200=$B11)*Закрытые!$G$5:$G$200*Закрытые!$H$5:$H$200))/C11)</f>
        <v/>
      </c>
      <c r="E11" s="241">
        <f>IF(C11="","",SUMIFS(Торговля!$H$5:$H$200,Торговля!$E$5:$E$200,$B11)+SUMIFS(Закрытые!$I$5:$I$200,Закрытые!$F$5:$F$200,$B11))</f>
        <v/>
      </c>
      <c r="F11" s="240">
        <f>IF(SUMIFS(Торговля!$I$5:$I$200,Торговля!$E$5:$E$200,$B11)+SUMIFS(Закрытые!$J$5:$J$200,Закрытые!$F$5:$F$200,$B11)=0,"",SUMIFS(Торговля!$I$5:$I$200,Торговля!$E$5:$E$200,$B11)+SUMIFS(Закрытые!$J$5:$J$200,Закрытые!$F$5:$F$200,$B11))</f>
        <v/>
      </c>
      <c r="G11" s="177">
        <f>IF(F11="","",(SUMPRODUCT((Торговля!$E$5:$E$200=$B11)*Торговля!$I$5:$I$200*Торговля!$J$5:$J$200)+SUMPRODUCT((Закрытые!$F$5:$F$200=$B11)*Закрытые!$J$5:$J$200*Закрытые!$K$5:$K$200))/F11)</f>
        <v/>
      </c>
      <c r="H11" s="241">
        <f>IF(F11="","",SUMIFS(Торговля!$K$5:$K$200,Торговля!$E$5:$E$200,$B11)+SUMIFS(Закрытые!$L$5:$L$200,Закрытые!$F$5:$F$200,$B11))</f>
        <v/>
      </c>
      <c r="I11" s="240">
        <f>IF(COUNTIFS(Закрытые!$F$5:$F$200,$B11)=0,"",ROUND(SUMIFS(Закрытые!$M$5:$M$200,Закрытые!$F$5:$F$200,$B11),8))</f>
        <v/>
      </c>
      <c r="J11" s="241">
        <f>IF(COUNTIFS(Закрытые!$F$5:$F$200,$B11)=0,"",ROUND(SUMIFS(Закрытые!$M$5:$M$200,Закрытые!$F$5:$F$200,$B11)/SUMIFS(Закрытые!$I$5:$I$200,Закрытые!$F$5:$F$200,$B11)*100,2))</f>
        <v/>
      </c>
      <c r="K11" s="240">
        <f>IF(MIN(N(C11),N(F11))&lt;=0,"",ROUND(MIN(N(C11),N(F11))*(N(G11)-N(D11)),8))</f>
        <v/>
      </c>
      <c r="L11" s="177">
        <f>IF(MIN(N(C11),N(F11))&lt;=0,"",IF(N(D11)=0,"",ROUND((N(G11)/N(D11)-1)*100,2)))</f>
        <v/>
      </c>
      <c r="M11" s="177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>
        <f>IF(SUMIFS(Торговля!$F$5:$F$200,Торговля!$E$5:$E$200,$B12)+SUMIFS(Закрытые!$G$5:$G$200,Закрытые!$F$5:$F$200,$B12)=0,"",SUMIFS(Торговля!$F$5:$F$200,Торговля!$E$5:$E$200,$B12)+SUMIFS(Закрытые!$G$5:$G$200,Закрытые!$F$5:$F$200,$B12))</f>
        <v/>
      </c>
      <c r="D12" s="183">
        <f>IF(C12="","",(SUMPRODUCT((Торговля!$E$5:$E$200=$B12)*Торговля!$F$5:$F$200*Торговля!$G$5:$G$200)+SUMPRODUCT((Закрытые!$F$5:$F$200=$B12)*Закрытые!$G$5:$G$200*Закрытые!$H$5:$H$200))/C12)</f>
        <v/>
      </c>
      <c r="E12" s="247">
        <f>IF(C12="","",SUMIFS(Торговля!$H$5:$H$200,Торговля!$E$5:$E$200,$B12)+SUMIFS(Закрытые!$I$5:$I$200,Закрытые!$F$5:$F$200,$B12))</f>
        <v/>
      </c>
      <c r="F12" s="246">
        <f>IF(SUMIFS(Торговля!$I$5:$I$200,Торговля!$E$5:$E$200,$B12)+SUMIFS(Закрытые!$J$5:$J$200,Закрытые!$F$5:$F$200,$B12)=0,"",SUMIFS(Торговля!$I$5:$I$200,Торговля!$E$5:$E$200,$B12)+SUMIFS(Закрытые!$J$5:$J$200,Закрытые!$F$5:$F$200,$B12))</f>
        <v/>
      </c>
      <c r="G12" s="183">
        <f>IF(F12="","",(SUMPRODUCT((Торговля!$E$5:$E$200=$B12)*Торговля!$I$5:$I$200*Торговля!$J$5:$J$200)+SUMPRODUCT((Закрытые!$F$5:$F$200=$B12)*Закрытые!$J$5:$J$200*Закрытые!$K$5:$K$200))/F12)</f>
        <v/>
      </c>
      <c r="H12" s="247">
        <f>IF(F12="","",SUMIFS(Торговля!$K$5:$K$200,Торговля!$E$5:$E$200,$B12)+SUMIFS(Закрытые!$L$5:$L$200,Закрытые!$F$5:$F$200,$B12))</f>
        <v/>
      </c>
      <c r="I12" s="246">
        <f>IF(COUNTIFS(Закрытые!$F$5:$F$200,$B12)=0,"",ROUND(SUMIFS(Закрытые!$M$5:$M$200,Закрытые!$F$5:$F$200,$B12),8))</f>
        <v/>
      </c>
      <c r="J12" s="247">
        <f>IF(COUNTIFS(Закрытые!$F$5:$F$200,$B12)=0,"",ROUND(SUMIFS(Закрытые!$M$5:$M$200,Закрытые!$F$5:$F$200,$B12)/SUMIFS(Закрытые!$I$5:$I$200,Закрытые!$F$5:$F$200,$B12)*100,2))</f>
        <v/>
      </c>
      <c r="K12" s="246">
        <f>IF(MIN(N(C12),N(F12))&lt;=0,"",ROUND(MIN(N(C12),N(F12))*(N(G12)-N(D12)),8))</f>
        <v/>
      </c>
      <c r="L12" s="183">
        <f>IF(MIN(N(C12),N(F12))&lt;=0,"",IF(N(D12)=0,"",ROUND((N(G12)/N(D12)-1)*100,2)))</f>
        <v/>
      </c>
      <c r="M12" s="183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4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IF(AND(ISNUMBER(F5),ISNUMBER(G5),F5&gt;0,1-N(Ввод!$J$19)/100&gt;0),G5/(1-N(Ввод!$J$19)/100),IF(AND(ISNUMBER(I5),ISNUMBER(J5),I5&gt;0),J5/(1+N(Ввод!$J$19)/100),""))</f>
        <v/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IF(AND(ISNUMBER(F6),ISNUMBER(G6),F6&gt;0,1-N(Ввод!$J$19)/100&gt;0),G6/(1-N(Ввод!$J$19)/100),IF(AND(ISNUMBER(I6),ISNUMBER(J6),I6&gt;0),J6/(1+N(Ввод!$J$19)/100),""))</f>
        <v/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IF(AND(ISNUMBER(F7),ISNUMBER(G7),F7&gt;0,1-N(Ввод!$J$19)/100&gt;0),G7/(1-N(Ввод!$J$19)/100),IF(AND(ISNUMBER(I7),ISNUMBER(J7),I7&gt;0),J7/(1+N(Ввод!$J$19)/100),""))</f>
        <v/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IF(AND(ISNUMBER(F8),ISNUMBER(G8),F8&gt;0,1-N(Ввод!$J$19)/100&gt;0),G8/(1-N(Ввод!$J$19)/100),IF(AND(ISNUMBER(I8),ISNUMBER(J8),I8&gt;0),J8/(1+N(Ввод!$J$19)/100),""))</f>
        <v/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IF(AND(ISNUMBER(F9),ISNUMBER(G9),F9&gt;0,1-N(Ввод!$J$19)/100&gt;0),G9/(1-N(Ввод!$J$19)/100),IF(AND(ISNUMBER(I9),ISNUMBER(J9),I9&gt;0),J9/(1+N(Ввод!$J$19)/100),""))</f>
        <v/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IF(AND(ISNUMBER(F10),ISNUMBER(G10),F10&gt;0,1-N(Ввод!$J$19)/100&gt;0),G10/(1-N(Ввод!$J$19)/100),IF(AND(ISNUMBER(I10),ISNUMBER(J10),I10&gt;0),J10/(1+N(Ввод!$J$19)/100),""))</f>
        <v/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IF(AND(ISNUMBER(F11),ISNUMBER(G11),F11&gt;0,1-N(Ввод!$J$19)/100&gt;0),G11/(1-N(Ввод!$J$19)/100),IF(AND(ISNUMBER(I11),ISNUMBER(J11),I11&gt;0),J11/(1+N(Ввод!$J$19)/100),""))</f>
        <v/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IF(AND(ISNUMBER(F12),ISNUMBER(G12),F12&gt;0,1-N(Ввод!$J$19)/100&gt;0),G12/(1-N(Ввод!$J$19)/100),IF(AND(ISNUMBER(I12),ISNUMBER(J12),I12&gt;0),J12/(1+N(Ввод!$J$19)/100),""))</f>
        <v/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IF(AND(ISNUMBER(F13),ISNUMBER(G13),F13&gt;0,1-N(Ввод!$J$19)/100&gt;0),G13/(1-N(Ввод!$J$19)/100),IF(AND(ISNUMBER(I13),ISNUMBER(J13),I13&gt;0),J13/(1+N(Ввод!$J$19)/100),""))</f>
        <v/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IF(AND(ISNUMBER(F14),ISNUMBER(G14),F14&gt;0,1-N(Ввод!$J$19)/100&gt;0),G14/(1-N(Ввод!$J$19)/100),IF(AND(ISNUMBER(I14),ISNUMBER(J14),I14&gt;0),J14/(1+N(Ввод!$J$19)/100),""))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>
        <f>IF(AND(ISNUMBER(F16),ISNUMBER(G16)),F16*G16,"")</f>
        <v/>
      </c>
      <c r="I16" s="246" t="n"/>
      <c r="J16" s="183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IF(AND(ISNUMBER(F16),ISNUMBER(G16),F16&gt;0,1-N(Ввод!$J$19)/100&gt;0),G16/(1-N(Ввод!$J$19)/100),IF(AND(ISNUMBER(I16),ISNUMBER(J16),I16&gt;0),J16/(1+N(Ввод!$J$19)/100),""))</f>
        <v/>
      </c>
    </row>
  </sheetData>
  <autoFilter ref="B4:M16"/>
  <mergeCells count="1">
    <mergeCell ref="B1:N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IF(SUMIFS(Лэндинг!$F$5:$F$200,Лэндинг!$E$5:$E$200,$B5)=0,"",SUMIFS(Лэндинг!$F$5:$F$200,Лэндинг!$E$5:$E$200,$B5))</f>
        <v/>
      </c>
      <c r="D5" s="177">
        <f>IF(C5="","",SUMPRODUCT((Лэндинг!$E$5:$E$200=$B5)*Лэндинг!$F$5:$F$200*Лэндинг!$G$5:$G$200)/C5)</f>
        <v/>
      </c>
      <c r="E5" s="241">
        <f>IF(C5="","",SUMIFS(Лэндинг!$H$5:$H$200,Лэндинг!$E$5:$E$200,$B5))</f>
        <v/>
      </c>
      <c r="F5" s="240">
        <f>IF(SUMIFS(Лэндинг!$I$5:$I$200,Лэндинг!$E$5:$E$200,$B5)=0,"",SUMIFS(Лэндинг!$I$5:$I$200,Лэндинг!$E$5:$E$200,$B5))</f>
        <v/>
      </c>
      <c r="G5" s="177">
        <f>IF(F5="","",SUMPRODUCT((Лэндинг!$E$5:$E$200=$B5)*Лэндинг!$I$5:$I$200*Лэндинг!$J$5:$J$200)/F5)</f>
        <v/>
      </c>
      <c r="H5" s="241">
        <f>IF(F5="","",SUMIFS(Лэндинг!$K$5:$K$200,Лэндинг!$E$5:$E$200,$B5))</f>
        <v/>
      </c>
      <c r="I5" s="240" t="n"/>
      <c r="J5" s="241" t="n"/>
      <c r="K5" s="240">
        <f>IF(MIN(N(C5),N(F5))&lt;=0,"",ROUND(MIN(N(C5),N(F5))*(N(G5)-N(D5)),8))</f>
        <v/>
      </c>
      <c r="L5" s="177">
        <f>IF(MIN(N(C5),N(F5))&lt;=0,"",IF(N(D5)=0,"",ROUND((N(G5)/N(D5)-1)*100,2)))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BTC/USDT</t>
        </is>
      </c>
      <c r="C6" s="246">
        <f>IF(SUMIFS(Лэндинг!$F$5:$F$200,Лэндинг!$E$5:$E$200,$B6)=0,"",SUMIFS(Лэндинг!$F$5:$F$200,Лэндинг!$E$5:$E$200,$B6))</f>
        <v/>
      </c>
      <c r="D6" s="183">
        <f>IF(C6="","",SUMPRODUCT((Лэндинг!$E$5:$E$200=$B6)*Лэндинг!$F$5:$F$200*Лэндинг!$G$5:$G$200)/C6)</f>
        <v/>
      </c>
      <c r="E6" s="247">
        <f>IF(C6="","",SUMIFS(Лэндинг!$H$5:$H$200,Лэндинг!$E$5:$E$200,$B6))</f>
        <v/>
      </c>
      <c r="F6" s="246">
        <f>IF(SUMIFS(Лэндинг!$I$5:$I$200,Лэндинг!$E$5:$E$200,$B6)=0,"",SUMIFS(Лэндинг!$I$5:$I$200,Лэндинг!$E$5:$E$200,$B6))</f>
        <v/>
      </c>
      <c r="G6" s="183">
        <f>IF(F6="","",SUMPRODUCT((Лэндинг!$E$5:$E$200=$B6)*Лэндинг!$I$5:$I$200*Лэндинг!$J$5:$J$200)/F6)</f>
        <v/>
      </c>
      <c r="H6" s="247">
        <f>IF(F6="","",SUMIFS(Лэндинг!$K$5:$K$200,Лэндинг!$E$5:$E$200,$B6))</f>
        <v/>
      </c>
      <c r="I6" s="246" t="n"/>
      <c r="J6" s="247" t="n"/>
      <c r="K6" s="246">
        <f>IF(MIN(N(C6),N(F6))&lt;=0,"",ROUND(MIN(N(C6),N(F6))*(N(G6)-N(D6)),8))</f>
        <v/>
      </c>
      <c r="L6" s="183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ETH/BTC</t>
        </is>
      </c>
      <c r="C7" s="240">
        <f>IF(SUMIFS(Лэндинг!$F$5:$F$200,Лэндинг!$E$5:$E$200,$B7)=0,"",SUMIFS(Лэндинг!$F$5:$F$200,Лэндинг!$E$5:$E$200,$B7))</f>
        <v/>
      </c>
      <c r="D7" s="177">
        <f>IF(C7="","",SUMPRODUCT((Лэндинг!$E$5:$E$200=$B7)*Лэндинг!$F$5:$F$200*Лэндинг!$G$5:$G$200)/C7)</f>
        <v/>
      </c>
      <c r="E7" s="241">
        <f>IF(C7="","",SUMIFS(Лэндинг!$H$5:$H$200,Лэндинг!$E$5:$E$200,$B7))</f>
        <v/>
      </c>
      <c r="F7" s="240">
        <f>IF(SUMIFS(Лэндинг!$I$5:$I$200,Лэндинг!$E$5:$E$200,$B7)=0,"",SUMIFS(Лэндинг!$I$5:$I$200,Лэндинг!$E$5:$E$200,$B7))</f>
        <v/>
      </c>
      <c r="G7" s="177">
        <f>IF(F7="","",SUMPRODUCT((Лэндинг!$E$5:$E$200=$B7)*Лэндинг!$I$5:$I$200*Лэндинг!$J$5:$J$200)/F7)</f>
        <v/>
      </c>
      <c r="H7" s="241">
        <f>IF(F7="","",SUMIFS(Лэндинг!$K$5:$K$200,Лэндинг!$E$5:$E$200,$B7))</f>
        <v/>
      </c>
      <c r="I7" s="240" t="n"/>
      <c r="J7" s="241" t="n"/>
      <c r="K7" s="240">
        <f>IF(MIN(N(C7),N(F7))&lt;=0,"",ROUND(MIN(N(C7),N(F7))*(N(G7)-N(D7)),8))</f>
        <v/>
      </c>
      <c r="L7" s="177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/>
      </c>
    </row>
    <row r="8" ht="22" customHeight="1">
      <c r="B8" s="245" t="inlineStr">
        <is>
          <t>ETH/USDT</t>
        </is>
      </c>
      <c r="C8" s="246">
        <f>IF(SUMIFS(Лэндинг!$F$5:$F$200,Лэндинг!$E$5:$E$200,$B8)=0,"",SUMIFS(Лэндинг!$F$5:$F$200,Лэндинг!$E$5:$E$200,$B8))</f>
        <v/>
      </c>
      <c r="D8" s="183">
        <f>IF(C8="","",SUMPRODUCT((Лэндинг!$E$5:$E$200=$B8)*Лэндинг!$F$5:$F$200*Лэндинг!$G$5:$G$200)/C8)</f>
        <v/>
      </c>
      <c r="E8" s="247">
        <f>IF(C8="","",SUMIFS(Лэндинг!$H$5:$H$200,Лэндинг!$E$5:$E$200,$B8))</f>
        <v/>
      </c>
      <c r="F8" s="246">
        <f>IF(SUMIFS(Лэндинг!$I$5:$I$200,Лэндинг!$E$5:$E$200,$B8)=0,"",SUMIFS(Лэндинг!$I$5:$I$200,Лэндинг!$E$5:$E$200,$B8))</f>
        <v/>
      </c>
      <c r="G8" s="183">
        <f>IF(F8="","",SUMPRODUCT((Лэндинг!$E$5:$E$200=$B8)*Лэндинг!$I$5:$I$200*Лэндинг!$J$5:$J$200)/F8)</f>
        <v/>
      </c>
      <c r="H8" s="247">
        <f>IF(F8="","",SUMIFS(Лэндинг!$K$5:$K$200,Лэндинг!$E$5:$E$200,$B8))</f>
        <v/>
      </c>
      <c r="I8" s="246" t="n"/>
      <c r="J8" s="247" t="n"/>
      <c r="K8" s="246">
        <f>IF(MIN(N(C8),N(F8))&lt;=0,"",ROUND(MIN(N(C8),N(F8))*(N(G8)-N(D8)),8))</f>
        <v/>
      </c>
      <c r="L8" s="183">
        <f>IF(MIN(N(C8),N(F8))&lt;=0,"",IF(N(D8)=0,"",ROUND((N(G8)/N(D8)-1)*100,2)))</f>
        <v/>
      </c>
      <c r="M8" s="183">
        <f>IF(OR(ROUND(N(C8)-N(F8),8)=0,1-N(Ввод!$J$19)/100&lt;=0),"",IF(N(C8)&gt;N(F8),(N(E8)-N(H8))/((N(C8)-N(F8))*(1-N(Ввод!$J$19)/100)),(N(H8)-N(E8))/((N(F8)-N(C8))*(1+N(Ввод!$J$19)/100))))</f>
        <v/>
      </c>
    </row>
    <row r="9" ht="22" customHeight="1">
      <c r="B9" s="239" t="inlineStr">
        <is>
          <t>SOL/USDT</t>
        </is>
      </c>
      <c r="C9" s="240">
        <f>IF(SUMIFS(Лэндинг!$F$5:$F$200,Лэндинг!$E$5:$E$200,$B9)=0,"",SUMIFS(Лэндинг!$F$5:$F$200,Лэндинг!$E$5:$E$200,$B9))</f>
        <v/>
      </c>
      <c r="D9" s="177">
        <f>IF(C9="","",SUMPRODUCT((Лэндинг!$E$5:$E$200=$B9)*Лэндинг!$F$5:$F$200*Лэндинг!$G$5:$G$200)/C9)</f>
        <v/>
      </c>
      <c r="E9" s="241">
        <f>IF(C9="","",SUMIFS(Лэндинг!$H$5:$H$200,Лэндинг!$E$5:$E$200,$B9))</f>
        <v/>
      </c>
      <c r="F9" s="240">
        <f>IF(SUMIFS(Лэндинг!$I$5:$I$200,Лэндинг!$E$5:$E$200,$B9)=0,"",SUMIFS(Лэндинг!$I$5:$I$200,Лэндинг!$E$5:$E$200,$B9))</f>
        <v/>
      </c>
      <c r="G9" s="177">
        <f>IF(F9="","",SUMPRODUCT((Лэндинг!$E$5:$E$200=$B9)*Лэндинг!$I$5:$I$200*Лэндинг!$J$5:$J$200)/F9)</f>
        <v/>
      </c>
      <c r="H9" s="241">
        <f>IF(F9="","",SUMIFS(Лэндинг!$K$5:$K$200,Лэндинг!$E$5:$E$200,$B9))</f>
        <v/>
      </c>
      <c r="I9" s="240" t="n"/>
      <c r="J9" s="241" t="n"/>
      <c r="K9" s="240">
        <f>IF(MIN(N(C9),N(F9))&lt;=0,"",ROUND(MIN(N(C9),N(F9))*(N(G9)-N(D9)),8))</f>
        <v/>
      </c>
      <c r="L9" s="177">
        <f>IF(MIN(N(C9),N(F9))&lt;=0,"",IF(N(D9)=0,"",ROUND((N(G9)/N(D9)-1)*100,2)))</f>
        <v/>
      </c>
      <c r="M9" s="177">
        <f>IF(OR(ROUND(N(C9)-N(F9),8)=0,1-N(Ввод!$J$19)/100&lt;=0),"",IF(N(C9)&gt;N(F9),(N(E9)-N(H9))/((N(C9)-N(F9))*(1-N(Ввод!$J$19)/100)),(N(H9)-N(E9))/((N(F9)-N(C9))*(1+N(Ввод!$J$19)/100))))</f>
        <v/>
      </c>
    </row>
    <row r="10" ht="22" customHeight="1">
      <c r="B10" s="245" t="n"/>
      <c r="C10" s="246">
        <f>IF(SUMIFS(Лэндинг!$F$5:$F$200,Лэндинг!$E$5:$E$200,$B10)=0,"",SUMIFS(Лэндинг!$F$5:$F$200,Лэндинг!$E$5:$E$200,$B10))</f>
        <v/>
      </c>
      <c r="D10" s="183">
        <f>IF(C10="","",SUMPRODUCT((Лэндинг!$E$5:$E$200=$B10)*Лэндинг!$F$5:$F$200*Лэндинг!$G$5:$G$200)/C10)</f>
        <v/>
      </c>
      <c r="E10" s="247">
        <f>IF(C10="","",SUMIFS(Лэндинг!$H$5:$H$200,Лэндинг!$E$5:$E$200,$B10))</f>
        <v/>
      </c>
      <c r="F10" s="246">
        <f>IF(SUMIFS(Лэндинг!$I$5:$I$200,Лэндинг!$E$5:$E$200,$B10)=0,"",SUMIFS(Лэндинг!$I$5:$I$200,Лэндинг!$E$5:$E$200,$B10))</f>
        <v/>
      </c>
      <c r="G10" s="183">
        <f>IF(F10="","",SUMPRODUCT((Лэндинг!$E$5:$E$200=$B10)*Лэндинг!$I$5:$I$200*Лэндинг!$J$5:$J$200)/F10)</f>
        <v/>
      </c>
      <c r="H10" s="247">
        <f>IF(F10="","",SUMIFS(Лэндинг!$K$5:$K$200,Лэндинг!$E$5:$E$200,$B10))</f>
        <v/>
      </c>
      <c r="I10" s="246" t="n"/>
      <c r="J10" s="247" t="n"/>
      <c r="K10" s="246">
        <f>IF(MIN(N(C10),N(F10))&lt;=0,"",ROUND(MIN(N(C10),N(F10))*(N(G10)-N(D10)),8))</f>
        <v/>
      </c>
      <c r="L10" s="183">
        <f>IF(MIN(N(C10),N(F10))&lt;=0,"",IF(N(D10)=0,"",ROUND((N(G10)/N(D10)-1)*100,2)))</f>
        <v/>
      </c>
      <c r="M10" s="183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>
        <f>IF(SUMIFS(Лэндинг!$F$5:$F$200,Лэндинг!$E$5:$E$200,$B11)=0,"",SUMIFS(Лэндинг!$F$5:$F$200,Лэндинг!$E$5:$E$200,$B11))</f>
        <v/>
      </c>
      <c r="D11" s="177">
        <f>IF(C11="","",SUMPRODUCT((Лэндинг!$E$5:$E$200=$B11)*Лэндинг!$F$5:$F$200*Лэндинг!$G$5:$G$200)/C11)</f>
        <v/>
      </c>
      <c r="E11" s="241">
        <f>IF(C11="","",SUMIFS(Лэндинг!$H$5:$H$200,Лэндинг!$E$5:$E$200,$B11))</f>
        <v/>
      </c>
      <c r="F11" s="240">
        <f>IF(SUMIFS(Лэндинг!$I$5:$I$200,Лэндинг!$E$5:$E$200,$B11)=0,"",SUMIFS(Лэндинг!$I$5:$I$200,Лэндинг!$E$5:$E$200,$B11))</f>
        <v/>
      </c>
      <c r="G11" s="177">
        <f>IF(F11="","",SUMPRODUCT((Лэндинг!$E$5:$E$200=$B11)*Лэндинг!$I$5:$I$200*Лэндинг!$J$5:$J$200)/F11)</f>
        <v/>
      </c>
      <c r="H11" s="241">
        <f>IF(F11="","",SUMIFS(Лэндинг!$K$5:$K$200,Лэндинг!$E$5:$E$200,$B11))</f>
        <v/>
      </c>
      <c r="I11" s="240" t="n"/>
      <c r="J11" s="241" t="n"/>
      <c r="K11" s="240">
        <f>IF(MIN(N(C11),N(F11))&lt;=0,"",ROUND(MIN(N(C11),N(F11))*(N(G11)-N(D11)),8))</f>
        <v/>
      </c>
      <c r="L11" s="177">
        <f>IF(MIN(N(C11),N(F11))&lt;=0,"",IF(N(D11)=0,"",ROUND((N(G11)/N(D11)-1)*100,2)))</f>
        <v/>
      </c>
      <c r="M11" s="177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>
        <f>IF(SUMIFS(Лэндинг!$F$5:$F$200,Лэндинг!$E$5:$E$200,$B12)=0,"",SUMIFS(Лэндинг!$F$5:$F$200,Лэндинг!$E$5:$E$200,$B12))</f>
        <v/>
      </c>
      <c r="D12" s="183">
        <f>IF(C12="","",SUMPRODUCT((Лэндинг!$E$5:$E$200=$B12)*Лэндинг!$F$5:$F$200*Лэндинг!$G$5:$G$200)/C12)</f>
        <v/>
      </c>
      <c r="E12" s="247">
        <f>IF(C12="","",SUMIFS(Лэндинг!$H$5:$H$200,Лэндинг!$E$5:$E$200,$B12))</f>
        <v/>
      </c>
      <c r="F12" s="246">
        <f>IF(SUMIFS(Лэндинг!$I$5:$I$200,Лэндинг!$E$5:$E$200,$B12)=0,"",SUMIFS(Лэндинг!$I$5:$I$200,Лэндинг!$E$5:$E$200,$B12))</f>
        <v/>
      </c>
      <c r="G12" s="183">
        <f>IF(F12="","",SUMPRODUCT((Лэндинг!$E$5:$E$200=$B12)*Лэндинг!$I$5:$I$200*Лэндинг!$J$5:$J$200)/F12)</f>
        <v/>
      </c>
      <c r="H12" s="247">
        <f>IF(F12="","",SUMIFS(Лэндинг!$K$5:$K$200,Лэндинг!$E$5:$E$200,$B12))</f>
        <v/>
      </c>
      <c r="I12" s="246" t="n"/>
      <c r="J12" s="247" t="n"/>
      <c r="K12" s="246">
        <f>IF(MIN(N(C12),N(F12))&lt;=0,"",ROUND(MIN(N(C12),N(F12))*(N(G12)-N(D12)),8))</f>
        <v/>
      </c>
      <c r="L12" s="183">
        <f>IF(MIN(N(C12),N(F12))&lt;=0,"",IF(N(D12)=0,"",ROUND((N(G12)/N(D12)-1)*100,2)))</f>
        <v/>
      </c>
      <c r="M12" s="183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586.17</v>
      </c>
      <c r="I5" s="241" t="n">
        <v>1172.34</v>
      </c>
      <c r="J5" s="240" t="n">
        <v>2</v>
      </c>
      <c r="K5" s="177" t="n">
        <v>598.8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62324.4</v>
      </c>
      <c r="I6" s="247" t="n">
        <v>3116.22</v>
      </c>
      <c r="J6" s="246" t="n">
        <v>0.05</v>
      </c>
      <c r="K6" s="183" t="n">
        <v>62874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3206.4</v>
      </c>
      <c r="I7" s="241" t="n">
        <v>3206.4</v>
      </c>
      <c r="J7" s="240" t="n">
        <v>1</v>
      </c>
      <c r="K7" s="177" t="n">
        <v>3343.3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145.29</v>
      </c>
      <c r="I8" s="247" t="n">
        <v>2905.8</v>
      </c>
      <c r="J8" s="246" t="n">
        <v>20</v>
      </c>
      <c r="K8" s="183" t="n">
        <v>151.696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2026-10-06T19:42:43Z</dcterms:modified>
</cp:coreProperties>
</file>