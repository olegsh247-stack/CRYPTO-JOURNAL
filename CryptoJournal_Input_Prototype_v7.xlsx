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'Ввод'!$A$1:$K$25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Торговля'!$B$4:$M$12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Лэндинг'!$B$4:$M$12</definedName>
    <definedName name="_xlnm.Print_Area" localSheetId="4">'ИТОГО Лэндинг'!$A$1:$N$13</definedName>
    <definedName name="_xlnm._FilterDatabase" localSheetId="5" hidden="1">'Пул'!$B$4:$K$12</definedName>
    <definedName name="_xlnm.Print_Area" localSheetId="5">'Пул'!$A$1:$K$13</definedName>
    <definedName name="_xlnm._FilterDatabase" localSheetId="6" hidden="1">'ИТОГО ПУЛ'!$B$4:$L$12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'ИТОГО'!$B$4:$M$12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19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</fills>
  <borders count="51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</borders>
  <cellStyleXfs count="1">
    <xf numFmtId="0" fontId="0" fillId="0" borderId="0"/>
  </cellStyleXfs>
  <cellXfs count="27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L24"/>
  <sheetViews>
    <sheetView showGridLines="0" zoomScale="100" zoomScaleNormal="10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1" customHeight="1">
      <c r="B1" s="1" t="inlineStr">
        <is>
          <t>CRYPTO JOURNAL • ВВОД</t>
        </is>
      </c>
      <c r="K1" s="207" t="n"/>
      <c r="L1" s="207" t="n"/>
    </row>
    <row r="2" ht="21" customHeight="1">
      <c r="K2" s="207" t="n"/>
      <c r="L2" s="207" t="n"/>
    </row>
    <row r="3" ht="22" customHeight="1">
      <c r="B3" s="2" t="inlineStr">
        <is>
          <t>ОСНОВНЫЕ ДАННЫЕ</t>
        </is>
      </c>
      <c r="G3" s="2" t="inlineStr">
        <is>
          <t>РАЗДЕЛЫ</t>
        </is>
      </c>
      <c r="K3" s="207" t="n"/>
      <c r="L3" s="207" t="n"/>
    </row>
    <row r="4" ht="22" customHeight="1">
      <c r="G4" s="207" t="n"/>
      <c r="H4" s="207" t="n"/>
      <c r="I4" s="207" t="n"/>
      <c r="J4" s="207" t="n"/>
      <c r="K4" s="207" t="n"/>
      <c r="L4" s="207" t="n"/>
    </row>
    <row r="5" ht="22" customHeight="1">
      <c r="B5" s="3" t="inlineStr">
        <is>
          <t>Дата</t>
        </is>
      </c>
      <c r="G5" s="100" t="inlineStr">
        <is>
          <t>ТОРГОВЛЯ</t>
        </is>
      </c>
      <c r="H5" s="55" t="n"/>
      <c r="I5" s="101" t="inlineStr">
        <is>
          <t>ЛЭНДИНГ</t>
        </is>
      </c>
      <c r="J5" s="55" t="n"/>
      <c r="K5" s="207" t="n"/>
      <c r="L5" s="207" t="n"/>
    </row>
    <row r="6" ht="22" customHeight="1">
      <c r="B6" s="208" t="n">
        <v>46299</v>
      </c>
      <c r="C6" s="189" t="n"/>
      <c r="D6" s="189" t="n"/>
      <c r="E6" s="190" t="n"/>
      <c r="G6" s="3" t="inlineStr">
        <is>
          <t>Действие</t>
        </is>
      </c>
      <c r="H6" s="191" t="inlineStr">
        <is>
          <t>Buy</t>
        </is>
      </c>
      <c r="I6" s="9" t="inlineStr">
        <is>
          <t>Действие</t>
        </is>
      </c>
      <c r="J6" s="191" t="inlineStr">
        <is>
          <t>Операция</t>
        </is>
      </c>
      <c r="K6" s="207" t="n"/>
      <c r="L6" s="207" t="n"/>
    </row>
    <row r="7" ht="22" customHeight="1">
      <c r="G7" s="3" t="inlineStr">
        <is>
          <t>Кол-во</t>
        </is>
      </c>
      <c r="H7" s="225" t="n">
        <v>0.5</v>
      </c>
      <c r="I7" s="9" t="inlineStr">
        <is>
          <t>Кол-во</t>
        </is>
      </c>
      <c r="J7" s="193" t="n">
        <v>1000</v>
      </c>
      <c r="K7" s="207" t="n"/>
      <c r="L7" s="207" t="n"/>
    </row>
    <row r="8" ht="22" customHeight="1">
      <c r="B8" s="3" t="inlineStr">
        <is>
          <t>Актив 1</t>
        </is>
      </c>
      <c r="C8" s="14" t="inlineStr">
        <is>
          <t>Актив 2</t>
        </is>
      </c>
      <c r="D8" s="61" t="inlineStr">
        <is>
          <t>Пара (авто)</t>
        </is>
      </c>
      <c r="G8" s="3" t="inlineStr">
        <is>
          <t>Курс</t>
        </is>
      </c>
      <c r="H8" s="225" t="n">
        <v>62000</v>
      </c>
      <c r="I8" s="9" t="inlineStr">
        <is>
          <t>Курс (авто)</t>
        </is>
      </c>
      <c r="J8" s="211">
        <f>IF(AND(ISNUMBER(J7),ISNUMBER(J9),J7&lt;&gt;0,1-N(J19)/100&lt;&gt;0),J9/(J7*(1-N(J19)/100)),"")</f>
        <v>1.00200400801603</v>
      </c>
      <c r="K8" s="207" t="n"/>
      <c r="L8" s="207" t="n"/>
    </row>
    <row r="9" ht="22" customHeight="1">
      <c r="B9" s="191" t="inlineStr">
        <is>
          <t>ETH</t>
        </is>
      </c>
      <c r="C9" s="191" t="inlineStr">
        <is>
          <t>BTC</t>
        </is>
      </c>
      <c r="D9" s="195" t="str">
        <f>IF(AND(TRIM(B9)&lt;&gt;"",TRIM(C9)&lt;&gt;""),UPPER(TRIM(B9))&amp;"/"&amp;UPPER(TRIM(C9)),"")</f>
        <v>ETH/BTC</v>
      </c>
      <c r="E9" s="57" t="n"/>
      <c r="G9" s="3" t="inlineStr">
        <is>
          <t>Сумма (авто)</t>
        </is>
      </c>
      <c r="H9" s="211">
        <f>IF(AND(ISNUMBER(H7),ISNUMBER(H8),OR(H6="Buy",H6="Sell")),H7*H8*(1+IF(H6="Buy",1,-1)*N(J19)/100),"")</f>
        <v>31062</v>
      </c>
      <c r="I9" s="9" t="inlineStr">
        <is>
          <t>Сумма</t>
        </is>
      </c>
      <c r="J9" s="193" t="n">
        <v>1000</v>
      </c>
      <c r="K9" s="207" t="n"/>
      <c r="L9" s="207" t="n"/>
    </row>
    <row r="10" ht="22" customHeight="1">
      <c r="B10" s="207" t="n"/>
      <c r="C10" s="207" t="n"/>
      <c r="D10" s="207" t="n"/>
      <c r="E10" s="207" t="n"/>
      <c r="G10" s="3" t="inlineStr">
        <is>
          <t>ID закрыть</t>
        </is>
      </c>
      <c r="H10" s="194" t="inlineStr">
        <is>
          <t>T-0001</t>
        </is>
      </c>
      <c r="I10" s="9" t="inlineStr">
        <is>
          <t>ID закрыть</t>
        </is>
      </c>
      <c r="J10" s="194" t="inlineStr">
        <is>
          <t>L-0001</t>
        </is>
      </c>
      <c r="K10" s="207" t="n"/>
      <c r="L10" s="207" t="n"/>
    </row>
    <row r="11" ht="22" customHeight="1">
      <c r="B11" s="3" t="inlineStr">
        <is>
          <t>Протокол</t>
        </is>
      </c>
      <c r="G11" s="3" t="inlineStr">
        <is>
          <t>Сумма закрыть</t>
        </is>
      </c>
      <c r="H11" s="193" t="n">
        <v>15500</v>
      </c>
      <c r="I11" s="9" t="inlineStr">
        <is>
          <t>Сумма закрыть</t>
        </is>
      </c>
      <c r="J11" s="193" t="n">
        <v>500</v>
      </c>
      <c r="K11" s="207" t="n"/>
      <c r="L11" s="207" t="n"/>
    </row>
    <row r="12" ht="22" customHeight="1">
      <c r="B12" s="191" t="inlineStr">
        <is>
          <t>Binance</t>
        </is>
      </c>
      <c r="C12" s="189" t="n"/>
      <c r="D12" s="189" t="n"/>
      <c r="E12" s="190" t="n"/>
      <c r="G12" s="207" t="n"/>
      <c r="H12" s="207" t="n"/>
      <c r="I12" s="207" t="n"/>
      <c r="J12" s="207" t="n"/>
      <c r="K12" s="207" t="n"/>
      <c r="L12" s="207" t="n"/>
    </row>
    <row r="13" ht="22" customHeight="1">
      <c r="B13" s="207" t="n"/>
      <c r="C13" s="207" t="n"/>
      <c r="D13" s="207" t="n"/>
      <c r="E13" s="207" t="n"/>
      <c r="G13" s="102" t="inlineStr">
        <is>
          <t>ПУЛЫ</t>
        </is>
      </c>
      <c r="H13" s="63" t="n"/>
      <c r="I13" s="63" t="n"/>
      <c r="J13" s="63" t="n"/>
      <c r="K13" s="207" t="n"/>
      <c r="L13" s="207" t="n"/>
    </row>
    <row r="14" ht="22" customHeight="1">
      <c r="B14" s="3" t="inlineStr">
        <is>
          <t>Комментарий</t>
        </is>
      </c>
      <c r="G14" s="3" t="inlineStr">
        <is>
          <t>Действие</t>
        </is>
      </c>
      <c r="H14" s="191" t="inlineStr">
        <is>
          <t>Добавить</t>
        </is>
      </c>
      <c r="I14" s="14" t="inlineStr">
        <is>
          <t>Кол-во 1</t>
        </is>
      </c>
      <c r="J14" s="192" t="n">
        <v>0.1</v>
      </c>
      <c r="K14" s="207" t="n"/>
      <c r="L14" s="207" t="n"/>
    </row>
    <row r="15" ht="22" customHeight="1">
      <c r="B15" s="197" t="inlineStr">
        <is>
          <t>Пробная операция</t>
        </is>
      </c>
      <c r="C15" s="198" t="n"/>
      <c r="D15" s="198" t="n"/>
      <c r="E15" s="199" t="n"/>
      <c r="G15" s="3" t="inlineStr">
        <is>
          <t>ID позиции</t>
        </is>
      </c>
      <c r="H15" s="194" t="inlineStr">
        <is>
          <t>P-0001</t>
        </is>
      </c>
      <c r="I15" s="14" t="inlineStr">
        <is>
          <t>Кол-во 2</t>
        </is>
      </c>
      <c r="J15" s="193" t="n">
        <v>6200</v>
      </c>
      <c r="K15" s="207" t="n"/>
      <c r="L15" s="207" t="n"/>
    </row>
    <row r="16" ht="22" customHeight="1">
      <c r="B16" s="221" t="n"/>
      <c r="C16" s="222" t="n"/>
      <c r="D16" s="222" t="n"/>
      <c r="E16" s="223" t="n"/>
      <c r="G16" s="207" t="n"/>
      <c r="H16" s="207" t="n"/>
      <c r="I16" s="207" t="n"/>
      <c r="J16" s="207" t="n"/>
      <c r="K16" s="207" t="n"/>
      <c r="L16" s="207" t="n"/>
    </row>
    <row r="17" ht="22" customHeight="1">
      <c r="B17" s="221" t="n"/>
      <c r="C17" s="222" t="n"/>
      <c r="D17" s="222" t="n"/>
      <c r="E17" s="223" t="n"/>
      <c r="G17" s="103" t="inlineStr">
        <is>
          <t>Обратный расчёт</t>
        </is>
      </c>
      <c r="H17" s="64" t="n"/>
      <c r="I17" s="64" t="n"/>
      <c r="J17" s="64" t="n"/>
      <c r="K17" s="207" t="n"/>
      <c r="L17" s="207" t="n"/>
    </row>
    <row r="18" ht="22" customHeight="1">
      <c r="B18" s="221" t="n"/>
      <c r="C18" s="222" t="n"/>
      <c r="D18" s="222" t="n"/>
      <c r="E18" s="223" t="n"/>
      <c r="G18" s="264" t="inlineStr">
        <is>
          <t>Сумма</t>
        </is>
      </c>
      <c r="H18" s="265" t="inlineStr">
        <is>
          <t>Курс</t>
        </is>
      </c>
      <c r="I18" s="265" t="inlineStr">
        <is>
          <t>Кол-во (авто)</t>
        </is>
      </c>
      <c r="J18" s="265" t="inlineStr">
        <is>
          <t>Комиссия</t>
        </is>
      </c>
      <c r="K18" s="207" t="n"/>
      <c r="L18" s="207" t="n"/>
    </row>
    <row r="19" ht="22" customHeight="1">
      <c r="B19" s="200" t="n"/>
      <c r="C19" s="201" t="n"/>
      <c r="D19" s="201" t="n"/>
      <c r="E19" s="202" t="n"/>
      <c r="G19" s="266" t="n">
        <v>31000</v>
      </c>
      <c r="H19" s="266" t="n">
        <v>62000</v>
      </c>
      <c r="I19" s="269">
        <f>IF(AND(ISNUMBER(G19),ISNUMBER(H19),H19&lt;&gt;0,1-N(J19)/100&lt;&gt;0),G19/(H19*(1-N(J19)/100)),"")</f>
        <v>0.501002004008016</v>
      </c>
      <c r="J19" s="266" t="n">
        <v>0.2</v>
      </c>
      <c r="K19" s="207" t="n"/>
      <c r="L19" s="207" t="n"/>
    </row>
    <row r="20" ht="22" customHeight="1">
      <c r="G20" s="207" t="n"/>
      <c r="H20" s="207" t="n"/>
      <c r="I20" s="207" t="n"/>
      <c r="J20" s="207" t="n"/>
      <c r="K20" s="207" t="n"/>
      <c r="L20" s="207" t="n"/>
    </row>
    <row r="21" ht="26" customHeight="1">
      <c r="B21" s="3" t="inlineStr">
        <is>
          <t>СТАТУС</t>
        </is>
      </c>
      <c r="G21" s="26" t="inlineStr">
        <is>
          <t>ЗАПИСАТЬ</t>
        </is>
      </c>
      <c r="I21" s="71" t="inlineStr">
        <is>
          <t>ОЧИСТИТЬ</t>
        </is>
      </c>
      <c r="K21" s="207" t="n"/>
      <c r="L21" s="207" t="n"/>
    </row>
    <row r="22" ht="26" customHeight="1">
      <c r="B22" s="15" t="inlineStr">
        <is>
          <t>Готово к вводу</t>
        </is>
      </c>
      <c r="C22" s="56" t="n"/>
      <c r="D22" s="56" t="n"/>
      <c r="E22" s="57" t="n"/>
      <c r="I22" s="72" t="n"/>
      <c r="K22" s="207" t="n"/>
      <c r="L22" s="207" t="n"/>
    </row>
    <row r="23" ht="22" customHeight="1"/>
    <row r="24" ht="22" customHeight="1">
      <c r="B24" s="29" t="inlineStr">
        <is>
          <t>Прототип v7: Обратный расчёт — Сумма и Курс вручную, Кол-во (авто) с учётом комиссии. Макросов и рабочих кнопок нет.</t>
        </is>
      </c>
    </row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I21:J22"/>
    <mergeCell ref="B6:E6"/>
    <mergeCell ref="B5:E5"/>
    <mergeCell ref="B15:E19"/>
    <mergeCell ref="B3:E3"/>
    <mergeCell ref="B22:E22"/>
    <mergeCell ref="G21:H22"/>
    <mergeCell ref="G17:J17"/>
    <mergeCell ref="B12:E12"/>
    <mergeCell ref="B21:E21"/>
    <mergeCell ref="G5:H5"/>
    <mergeCell ref="I5:J5"/>
    <mergeCell ref="B11:E11"/>
    <mergeCell ref="D9:E9"/>
    <mergeCell ref="B14:E14"/>
    <mergeCell ref="D8:E8"/>
    <mergeCell ref="G13:J13"/>
    <mergeCell ref="B1:J2"/>
    <mergeCell ref="G3:J3"/>
  </mergeCells>
  <dataValidations count="11">
    <dataValidation sqref="H14" showDropDown="0" showInputMessage="0" showErrorMessage="0" allowBlank="1" type="list">
      <formula1>"Добавить,Закрыть"</formula1>
    </dataValidation>
    <dataValidation sqref="B6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B12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H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B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=AND(ISERROR(FIND("/",B9)),UPPER(TRIM(B9))&lt;&gt;UPPER(TRIM(C9)))</formula1>
    </dataValidation>
    <dataValidation sqref="C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=AND(ISERROR(FIND("/",C9)),UPPER(TRIM(C9))&lt;&gt;UPPER(TRIM(B9)))</formula1>
    </dataValidation>
    <dataValidation sqref="J19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H7 H8" showDropDown="0" showInputMessage="0" showErrorMessage="1" allowBlank="1" errorTitle="Число" error="Введите число больше нуля." type="decimal" operator="greaterThan">
      <formula1>0</formula1>
    </dataValidation>
    <dataValidation sqref="H10" showDropDown="0" showInputMessage="0" showErrorMessage="1" allowBlank="1" errorTitle="ID закрыть" error="Формат ID: T-0001 (буква T, дефис и номер минимум из четырёх цифр)." type="custom">
      <formula1>=IFERROR(AND(EXACT(LEFT(H10,2),"T-"),ISNUMBER(--MID(H10,3,20)),MID(H10,3,20)=TEXT(--MID(H10,3,20),"0000")),FALSE)</formula1>
    </dataValidation>
    <dataValidation sqref="J10" showDropDown="0" showInputMessage="0" showErrorMessage="1" allowBlank="1" errorTitle="ID закрыть" error="Формат ID: L-0001 (буква L, дефис и номер минимум из четырёх цифр)." type="custom">
      <formula1>=IFERROR(AND(EXACT(LEFT(J10,2),"L-"),ISNUMBER(--MID(J10,3,20)),MID(J10,3,20)=TEXT(--MID(J10,3,20),"0000")),FALSE)</formula1>
    </dataValidation>
    <dataValidation sqref="H15" showDropDown="0" showInputMessage="0" showErrorMessage="1" allowBlank="1" errorTitle="ID позиции" error="Формат ID: P-0001 (буква P, дефис и номер минимум из четырёх цифр)." type="custom">
      <formula1>=IFERROR(AND(EXACT(LEFT(H15,2),"P-"),ISNUMBER(--MID(H15,3,20)),MID(H15,3,20)=TEXT(--MID(H15,3,20),"0000")),FALSE)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 t="str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>1796.4</v>
      </c>
      <c r="L5" s="240">
        <f>IF(COUNT(F5,I5)=0,"",N(F5)-N(I5))</f>
        <v>-3</v>
      </c>
      <c r="M5" s="241">
        <f>IF(COUNT(H5,K5)=0,"",N(K5)-N(H5))</f>
        <v>1796.4</v>
      </c>
      <c r="N5" s="240">
        <f>IF(AND(ISNUMBER(F5),ISNUMBER(G5),F5&gt;0,1-N(Ввод!$J$19)/100&gt;0),G5/(1-N(Ввод!$J$19)/100),IF(AND(ISNUMBER(I5),ISNUMBER(J5),I5&gt;0),J5/(1+N(Ввод!$J$19)/100),""))</f>
        <v>597.604790419162</v>
      </c>
    </row>
    <row r="6" ht="22" customHeight="1">
      <c r="B6" s="244" t="inlineStr">
        <is>
          <t>T-0001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>6212.4</v>
      </c>
      <c r="I6" s="246" t="n"/>
      <c r="J6" s="183" t="n"/>
      <c r="K6" s="271" t="str">
        <f>IF(AND(ISNUMBER(I6),ISNUMBER(J6)),I6*J6,"")</f>
        <v/>
      </c>
      <c r="L6" s="246">
        <f>IF(COUNT(F6,I6)=0,"",N(F6)-N(I6))</f>
        <v>0.1</v>
      </c>
      <c r="M6" s="247">
        <f>IF(COUNT(H6,K6)=0,"",N(K6)-N(H6))</f>
        <v>-6212.4</v>
      </c>
      <c r="N6" s="246">
        <f>IF(AND(ISNUMBER(F6),ISNUMBER(G6),F6&gt;0,1-N(Ввод!$J$19)/100&gt;0),G6/(1-N(Ввод!$J$19)/100),IF(AND(ISNUMBER(I6),ISNUMBER(J6),I6&gt;0),J6/(1+N(Ввод!$J$19)/100),""))</f>
        <v>62248.496993988</v>
      </c>
    </row>
    <row r="7" ht="22" customHeight="1">
      <c r="B7" s="238" t="inlineStr">
        <is>
          <t>T-0004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 t="str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>0.0785925</v>
      </c>
      <c r="L7" s="240">
        <f>IF(COUNT(F7,I7)=0,"",N(F7)-N(I7))</f>
        <v>-1.5</v>
      </c>
      <c r="M7" s="241">
        <f>IF(COUNT(H7,K7)=0,"",N(K7)-N(H7))</f>
        <v>0.0785925</v>
      </c>
      <c r="N7" s="240">
        <f>IF(AND(ISNUMBER(F7),ISNUMBER(G7),F7&gt;0,1-N(Ввод!$J$19)/100&gt;0),G7/(1-N(Ввод!$J$19)/100),IF(AND(ISNUMBER(I7),ISNUMBER(J7),I7&gt;0),J7/(1+N(Ввод!$J$19)/100),""))</f>
        <v>0.0522904191616766</v>
      </c>
    </row>
    <row r="8" ht="22" customHeight="1">
      <c r="B8" s="244" t="inlineStr">
        <is>
          <t>T-0002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>3206.4</v>
      </c>
      <c r="I8" s="246" t="n"/>
      <c r="J8" s="183" t="n"/>
      <c r="K8" s="271" t="str">
        <f>IF(AND(ISNUMBER(I8),ISNUMBER(J8)),I8*J8,"")</f>
        <v/>
      </c>
      <c r="L8" s="246">
        <f>IF(COUNT(F8,I8)=0,"",N(F8)-N(I8))</f>
        <v>1</v>
      </c>
      <c r="M8" s="247">
        <f>IF(COUNT(H8,K8)=0,"",N(K8)-N(H8))</f>
        <v>-3206.4</v>
      </c>
      <c r="N8" s="246">
        <f>IF(AND(ISNUMBER(F8),ISNUMBER(G8),F8&gt;0,1-N(Ввод!$J$19)/100&gt;0),G8/(1-N(Ввод!$J$19)/100),IF(AND(ISNUMBER(I8),ISNUMBER(J8),I8&gt;0),J8/(1+N(Ввод!$J$19)/100),""))</f>
        <v>3212.82565130261</v>
      </c>
    </row>
    <row r="9" ht="22" customHeight="1">
      <c r="B9" s="238" t="inlineStr">
        <is>
          <t>T-0007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>3823.632</v>
      </c>
      <c r="I9" s="240" t="n"/>
      <c r="J9" s="177" t="n"/>
      <c r="K9" s="271" t="str">
        <f>IF(AND(ISNUMBER(I9),ISNUMBER(J9)),I9*J9,"")</f>
        <v/>
      </c>
      <c r="L9" s="240">
        <f>IF(COUNT(F9,I9)=0,"",N(F9)-N(I9))</f>
        <v>1.2</v>
      </c>
      <c r="M9" s="241">
        <f>IF(COUNT(H9,K9)=0,"",N(K9)-N(H9))</f>
        <v>-3823.632</v>
      </c>
      <c r="N9" s="240">
        <f>IF(AND(ISNUMBER(F9),ISNUMBER(G9),F9&gt;0,1-N(Ввод!$J$19)/100&gt;0),G9/(1-N(Ввод!$J$19)/100),IF(AND(ISNUMBER(I9),ISNUMBER(J9),I9&gt;0),J9/(1+N(Ввод!$J$19)/100),""))</f>
        <v>3192.74549098196</v>
      </c>
    </row>
    <row r="10" ht="22" customHeight="1">
      <c r="B10" s="244" t="inlineStr">
        <is>
          <t>T-0008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>2605.2</v>
      </c>
      <c r="I10" s="246" t="n"/>
      <c r="J10" s="183" t="n"/>
      <c r="K10" s="271" t="str">
        <f>IF(AND(ISNUMBER(I10),ISNUMBER(J10)),I10*J10,"")</f>
        <v/>
      </c>
      <c r="L10" s="246">
        <f>IF(COUNT(F10,I10)=0,"",N(F10)-N(I10))</f>
        <v>0.8</v>
      </c>
      <c r="M10" s="247">
        <f>IF(COUNT(H10,K10)=0,"",N(K10)-N(H10))</f>
        <v>-2605.2</v>
      </c>
      <c r="N10" s="246">
        <f>IF(AND(ISNUMBER(F10),ISNUMBER(G10),F10&gt;0,1-N(Ввод!$J$19)/100&gt;0),G10/(1-N(Ввод!$J$19)/100),IF(AND(ISNUMBER(I10),ISNUMBER(J10),I10&gt;0),J10/(1+N(Ввод!$J$19)/100),""))</f>
        <v>3263.02605210421</v>
      </c>
    </row>
    <row r="11" ht="22" customHeight="1">
      <c r="B11" s="238" t="inlineStr">
        <is>
          <t>T-0009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 t="str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>5089.8</v>
      </c>
      <c r="L11" s="240">
        <f>IF(COUNT(F11,I11)=0,"",N(F11)-N(I11))</f>
        <v>-1.5</v>
      </c>
      <c r="M11" s="241">
        <f>IF(COUNT(H11,K11)=0,"",N(K11)-N(H11))</f>
        <v>5089.8</v>
      </c>
      <c r="N11" s="240">
        <f>IF(AND(ISNUMBER(F11),ISNUMBER(G11),F11&gt;0,1-N(Ввод!$J$19)/100&gt;0),G11/(1-N(Ввод!$J$19)/100),IF(AND(ISNUMBER(I11),ISNUMBER(J11),I11&gt;0),J11/(1+N(Ввод!$J$19)/100),""))</f>
        <v>3386.42714570858</v>
      </c>
    </row>
    <row r="12" ht="22" customHeight="1">
      <c r="B12" s="244" t="inlineStr">
        <is>
          <t>T-0010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 t="str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>4491</v>
      </c>
      <c r="L12" s="246">
        <f>IF(COUNT(F12,I12)=0,"",N(F12)-N(I12))</f>
        <v>-30</v>
      </c>
      <c r="M12" s="247">
        <f>IF(COUNT(H12,K12)=0,"",N(K12)-N(H12))</f>
        <v>4491</v>
      </c>
      <c r="N12" s="246">
        <f>IF(AND(ISNUMBER(F12),ISNUMBER(G12),F12&gt;0,1-N(Ввод!$J$19)/100&gt;0),G12/(1-N(Ввод!$J$19)/100),IF(AND(ISNUMBER(I12),ISNUMBER(J12),I12&gt;0),J12/(1+N(Ввод!$J$19)/100),""))</f>
        <v>149.40119760479</v>
      </c>
    </row>
    <row r="13" ht="22" customHeight="1">
      <c r="B13" s="238" t="inlineStr">
        <is>
          <t>T-0011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 t="str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>1516.96</v>
      </c>
      <c r="L13" s="240">
        <f>IF(COUNT(F13,I13)=0,"",N(F13)-N(I13))</f>
        <v>-10</v>
      </c>
      <c r="M13" s="241">
        <f>IF(COUNT(H13,K13)=0,"",N(K13)-N(H13))</f>
        <v>1516.96</v>
      </c>
      <c r="N13" s="240">
        <f>IF(AND(ISNUMBER(F13),ISNUMBER(G13),F13&gt;0,1-N(Ввод!$J$19)/100&gt;0),G13/(1-N(Ввод!$J$19)/100),IF(AND(ISNUMBER(I13),ISNUMBER(J13),I13&gt;0),J13/(1+N(Ввод!$J$19)/100),""))</f>
        <v>151.393213572854</v>
      </c>
    </row>
    <row r="14" ht="22" customHeight="1">
      <c r="B14" s="244" t="inlineStr">
        <is>
          <t>T-0012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>3657.3</v>
      </c>
      <c r="I14" s="246" t="n"/>
      <c r="J14" s="183" t="n"/>
      <c r="K14" s="271" t="str">
        <f>IF(AND(ISNUMBER(I14),ISNUMBER(J14)),I14*J14,"")</f>
        <v/>
      </c>
      <c r="L14" s="246">
        <f>IF(COUNT(F14,I14)=0,"",N(F14)-N(I14))</f>
        <v>25</v>
      </c>
      <c r="M14" s="247">
        <f>IF(COUNT(H14,K14)=0,"",N(K14)-N(H14))</f>
        <v>-3657.3</v>
      </c>
      <c r="N14" s="246">
        <f>IF(AND(ISNUMBER(F14),ISNUMBER(G14),F14&gt;0,1-N(Ввод!$J$19)/100&gt;0),G14/(1-N(Ввод!$J$19)/100),IF(AND(ISNUMBER(I14),ISNUMBER(J14),I14&gt;0),J14/(1+N(Ввод!$J$19)/100),""))</f>
        <v>146.585170340681</v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71" t="str">
        <f>IF(AND(ISNUMBER(F15),ISNUMBER(G15)),F15*G15,"")</f>
        <v/>
      </c>
      <c r="I15" s="240" t="n"/>
      <c r="J15" s="177" t="n"/>
      <c r="K15" s="271" t="str">
        <f>IF(AND(ISNUMBER(I15),ISNUMBER(J15)),I15*J15,"")</f>
        <v/>
      </c>
      <c r="L15" s="240" t="str">
        <f>IF(COUNT(F15,I15)=0,"",N(F15)-N(I15))</f>
        <v/>
      </c>
      <c r="M15" s="241" t="str">
        <f>IF(COUNT(H15,K15)=0,"",N(K15)-N(H15))</f>
        <v/>
      </c>
      <c r="N15" s="240" t="str">
        <f>IF(AND(ISNUMBER(F15),ISNUMBER(G15),F15&gt;0,1-N(Ввод!$J$19)/100&gt;0),G15/(1-N(Ввод!$J$19)/100),IF(AND(ISNUMBER(I15),ISNUMBER(J15),I15&gt;0),J15/(1+N(Ввод!$J$19)/100),""))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71" t="str">
        <f>IF(AND(ISNUMBER(F16),ISNUMBER(G16)),F16*G16,"")</f>
        <v/>
      </c>
      <c r="I16" s="246" t="n"/>
      <c r="J16" s="183" t="n"/>
      <c r="K16" s="271" t="str">
        <f>IF(AND(ISNUMBER(I16),ISNUMBER(J16)),I16*J16,"")</f>
        <v/>
      </c>
      <c r="L16" s="246" t="str">
        <f>IF(COUNT(F16,I16)=0,"",N(F16)-N(I16))</f>
        <v/>
      </c>
      <c r="M16" s="247" t="str">
        <f>IF(COUNT(H16,K16)=0,"",N(K16)-N(H16))</f>
        <v/>
      </c>
      <c r="N16" s="246" t="str">
        <f>IF(AND(ISNUMBER(F16),ISNUMBER(G16),F16&gt;0,1-N(Ввод!$J$19)/100&gt;0),G16/(1-N(Ввод!$J$19)/100),IF(AND(ISNUMBER(I16),ISNUMBER(J16),I16&gt;0),J16/(1+N(Ввод!$J$19)/100),""))</f>
        <v/>
      </c>
    </row>
    <row r="17" ht="22" customHeight="1">
      <c r="B17" s="238" t="n"/>
      <c r="C17" s="237" t="n"/>
      <c r="D17" s="238" t="n"/>
      <c r="E17" s="239" t="n"/>
      <c r="F17" s="240" t="n"/>
      <c r="G17" s="177" t="n"/>
      <c r="H17" s="271" t="str">
        <f>IF(AND(ISNUMBER(F17),ISNUMBER(G17)),F17*G17,"")</f>
        <v/>
      </c>
      <c r="I17" s="240" t="n"/>
      <c r="J17" s="177" t="n"/>
      <c r="K17" s="271" t="str">
        <f>IF(AND(ISNUMBER(I17),ISNUMBER(J17)),I17*J17,"")</f>
        <v/>
      </c>
      <c r="L17" s="240" t="str">
        <f>IF(COUNT(F17,I17)=0,"",N(F17)-N(I17))</f>
        <v/>
      </c>
      <c r="M17" s="241" t="str">
        <f>IF(COUNT(H17,K17)=0,"",N(K17)-N(H17))</f>
        <v/>
      </c>
      <c r="N17" s="240" t="str">
        <f>IF(AND(ISNUMBER(F17),ISNUMBER(G17),F17&gt;0,1-N(Ввод!$J$19)/100&gt;0),G17/(1-N(Ввод!$J$19)/100),IF(AND(ISNUMBER(I17),ISNUMBER(J17),I17&gt;0),J17/(1+N(Ввод!$J$19)/100),""))</f>
        <v/>
      </c>
    </row>
    <row r="18" ht="22" customHeight="1">
      <c r="B18" s="244" t="n"/>
      <c r="C18" s="243" t="n"/>
      <c r="D18" s="244" t="n"/>
      <c r="E18" s="245" t="n"/>
      <c r="F18" s="246" t="n"/>
      <c r="G18" s="183" t="n"/>
      <c r="H18" s="271" t="str">
        <f>IF(AND(ISNUMBER(F18),ISNUMBER(G18)),F18*G18,"")</f>
        <v/>
      </c>
      <c r="I18" s="246" t="n"/>
      <c r="J18" s="183" t="n"/>
      <c r="K18" s="271" t="str">
        <f>IF(AND(ISNUMBER(I18),ISNUMBER(J18)),I18*J18,"")</f>
        <v/>
      </c>
      <c r="L18" s="246" t="str">
        <f>IF(COUNT(F18,I18)=0,"",N(F18)-N(I18))</f>
        <v/>
      </c>
      <c r="M18" s="247" t="str">
        <f>IF(COUNT(H18,K18)=0,"",N(K18)-N(H18))</f>
        <v/>
      </c>
      <c r="N18" s="246" t="str">
        <f>IF(AND(ISNUMBER(F18),ISNUMBER(G18),F18&gt;0,1-N(Ввод!$J$19)/100&gt;0),G18/(1-N(Ввод!$J$19)/100),IF(AND(ISNUMBER(I18),ISNUMBER(J18),I18&gt;0),J18/(1+N(Ввод!$J$19)/100),""))</f>
        <v/>
      </c>
    </row>
    <row r="19" ht="22" customHeight="1">
      <c r="B19" s="238" t="n"/>
      <c r="C19" s="237" t="n"/>
      <c r="D19" s="238" t="n"/>
      <c r="E19" s="239" t="n"/>
      <c r="F19" s="240" t="n"/>
      <c r="G19" s="177" t="n"/>
      <c r="H19" s="271" t="str">
        <f>IF(AND(ISNUMBER(F19),ISNUMBER(G19)),F19*G19,"")</f>
        <v/>
      </c>
      <c r="I19" s="240" t="n"/>
      <c r="J19" s="177" t="n"/>
      <c r="K19" s="271" t="str">
        <f>IF(AND(ISNUMBER(I19),ISNUMBER(J19)),I19*J19,"")</f>
        <v/>
      </c>
      <c r="L19" s="240" t="str">
        <f>IF(COUNT(F19,I19)=0,"",N(F19)-N(I19))</f>
        <v/>
      </c>
      <c r="M19" s="241" t="str">
        <f>IF(COUNT(H19,K19)=0,"",N(K19)-N(H19))</f>
        <v/>
      </c>
      <c r="N19" s="240" t="str">
        <f>IF(AND(ISNUMBER(F19),ISNUMBER(G19),F19&gt;0,1-N(Ввод!$J$19)/100&gt;0),G19/(1-N(Ввод!$J$19)/100),IF(AND(ISNUMBER(I19),ISNUMBER(J19),I19&gt;0),J19/(1+N(Ввод!$J$19)/100),""))</f>
        <v/>
      </c>
    </row>
    <row r="20" ht="22" customHeight="1">
      <c r="B20" s="244" t="n"/>
      <c r="C20" s="243" t="n"/>
      <c r="D20" s="244" t="n"/>
      <c r="E20" s="245" t="n"/>
      <c r="F20" s="246" t="n"/>
      <c r="G20" s="183" t="n"/>
      <c r="H20" s="271" t="str">
        <f>IF(AND(ISNUMBER(F20),ISNUMBER(G20)),F20*G20,"")</f>
        <v/>
      </c>
      <c r="I20" s="246" t="n"/>
      <c r="J20" s="183" t="n"/>
      <c r="K20" s="271" t="str">
        <f>IF(AND(ISNUMBER(I20),ISNUMBER(J20)),I20*J20,"")</f>
        <v/>
      </c>
      <c r="L20" s="246" t="str">
        <f>IF(COUNT(F20,I20)=0,"",N(F20)-N(I20))</f>
        <v/>
      </c>
      <c r="M20" s="247" t="str">
        <f>IF(COUNT(H20,K20)=0,"",N(K20)-N(H20))</f>
        <v/>
      </c>
      <c r="N20" s="246" t="str">
        <f>IF(AND(ISNUMBER(F20),ISNUMBER(G20),F20&gt;0,1-N(Ввод!$J$19)/100&gt;0),G20/(1-N(Ввод!$J$19)/100),IF(AND(ISNUMBER(I20),ISNUMBER(J20),I20&gt;0),J20/(1+N(Ввод!$J$19)/100),""))</f>
        <v/>
      </c>
    </row>
    <row r="21" ht="22" customHeight="1">
      <c r="B21" s="238" t="n"/>
      <c r="C21" s="237" t="n"/>
      <c r="D21" s="238" t="n"/>
      <c r="E21" s="239" t="n"/>
      <c r="F21" s="240" t="n"/>
      <c r="G21" s="177" t="n"/>
      <c r="H21" s="271" t="str">
        <f>IF(AND(ISNUMBER(F21),ISNUMBER(G21)),F21*G21,"")</f>
        <v/>
      </c>
      <c r="I21" s="240" t="n"/>
      <c r="J21" s="177" t="n"/>
      <c r="K21" s="271" t="str">
        <f>IF(AND(ISNUMBER(I21),ISNUMBER(J21)),I21*J21,"")</f>
        <v/>
      </c>
      <c r="L21" s="240" t="str">
        <f>IF(COUNT(F21,I21)=0,"",N(F21)-N(I21))</f>
        <v/>
      </c>
      <c r="M21" s="241" t="str">
        <f>IF(COUNT(H21,K21)=0,"",N(K21)-N(H21))</f>
        <v/>
      </c>
      <c r="N21" s="240" t="str">
        <f>IF(AND(ISNUMBER(F21),ISNUMBER(G21),F21&gt;0,1-N(Ввод!$J$19)/100&gt;0),G21/(1-N(Ввод!$J$19)/100),IF(AND(ISNUMBER(I21),ISNUMBER(J21),I21&gt;0),J21/(1+N(Ввод!$J$19)/100),""))</f>
        <v/>
      </c>
    </row>
    <row r="22" ht="22" customHeight="1">
      <c r="B22" s="244" t="n"/>
      <c r="C22" s="243" t="n"/>
      <c r="D22" s="244" t="n"/>
      <c r="E22" s="245" t="n"/>
      <c r="F22" s="246" t="n"/>
      <c r="G22" s="183" t="n"/>
      <c r="H22" s="271" t="str">
        <f>IF(AND(ISNUMBER(F22),ISNUMBER(G22)),F22*G22,"")</f>
        <v/>
      </c>
      <c r="I22" s="246" t="n"/>
      <c r="J22" s="183" t="n"/>
      <c r="K22" s="271" t="str">
        <f>IF(AND(ISNUMBER(I22),ISNUMBER(J22)),I22*J22,"")</f>
        <v/>
      </c>
      <c r="L22" s="246" t="str">
        <f>IF(COUNT(F22,I22)=0,"",N(F22)-N(I22))</f>
        <v/>
      </c>
      <c r="M22" s="247" t="str">
        <f>IF(COUNT(H22,K22)=0,"",N(K22)-N(H22))</f>
        <v/>
      </c>
      <c r="N22" s="246" t="str">
        <f>IF(AND(ISNUMBER(F22),ISNUMBER(G22),F22&gt;0,1-N(Ввод!$J$19)/100&gt;0),G22/(1-N(Ввод!$J$19)/100),IF(AND(ISNUMBER(I22),ISNUMBER(J22),I22&gt;0),J22/(1+N(Ввод!$J$19)/100),""))</f>
        <v/>
      </c>
    </row>
    <row r="23" ht="22" customHeight="1">
      <c r="B23" s="238" t="n"/>
      <c r="C23" s="237" t="n"/>
      <c r="D23" s="238" t="n"/>
      <c r="E23" s="239" t="n"/>
      <c r="F23" s="240" t="n"/>
      <c r="G23" s="177" t="n"/>
      <c r="H23" s="271" t="str">
        <f>IF(AND(ISNUMBER(F23),ISNUMBER(G23)),F23*G23,"")</f>
        <v/>
      </c>
      <c r="I23" s="240" t="n"/>
      <c r="J23" s="177" t="n"/>
      <c r="K23" s="271" t="str">
        <f>IF(AND(ISNUMBER(I23),ISNUMBER(J23)),I23*J23,"")</f>
        <v/>
      </c>
      <c r="L23" s="240" t="str">
        <f>IF(COUNT(F23,I23)=0,"",N(F23)-N(I23))</f>
        <v/>
      </c>
      <c r="M23" s="241" t="str">
        <f>IF(COUNT(H23,K23)=0,"",N(K23)-N(H23))</f>
        <v/>
      </c>
      <c r="N23" s="240" t="str">
        <f>IF(AND(ISNUMBER(F23),ISNUMBER(G23),F23&gt;0,1-N(Ввод!$J$19)/100&gt;0),G23/(1-N(Ввод!$J$19)/100),IF(AND(ISNUMBER(I23),ISNUMBER(J23),I23&gt;0),J23/(1+N(Ввод!$J$19)/100),""))</f>
        <v/>
      </c>
    </row>
    <row r="24" ht="22" customHeight="1">
      <c r="B24" s="244" t="n"/>
      <c r="C24" s="243" t="n"/>
      <c r="D24" s="244" t="n"/>
      <c r="E24" s="245" t="n"/>
      <c r="F24" s="246" t="n"/>
      <c r="G24" s="183" t="n"/>
      <c r="H24" s="271" t="str">
        <f>IF(AND(ISNUMBER(F24),ISNUMBER(G24)),F24*G24,"")</f>
        <v/>
      </c>
      <c r="I24" s="246" t="n"/>
      <c r="J24" s="183" t="n"/>
      <c r="K24" s="271" t="str">
        <f>IF(AND(ISNUMBER(I24),ISNUMBER(J24)),I24*J24,"")</f>
        <v/>
      </c>
      <c r="L24" s="246" t="str">
        <f>IF(COUNT(F24,I24)=0,"",N(F24)-N(I24))</f>
        <v/>
      </c>
      <c r="M24" s="247" t="str">
        <f>IF(COUNT(H24,K24)=0,"",N(K24)-N(H24))</f>
        <v/>
      </c>
      <c r="N24" s="246" t="str">
        <f>IF(AND(ISNUMBER(F24),ISNUMBER(G24),F24&gt;0,1-N(Ввод!$J$19)/100&gt;0),G24/(1-N(Ввод!$J$19)/100),IF(AND(ISNUMBER(I24),ISNUMBER(J24),I24&gt;0),J24/(1+N(Ввод!$J$19)/100),""))</f>
        <v/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71" t="str">
        <f>IF(AND(ISNUMBER(F25),ISNUMBER(G25)),F25*G25,"")</f>
        <v/>
      </c>
      <c r="I25" s="240" t="n"/>
      <c r="J25" s="177" t="n"/>
      <c r="K25" s="271" t="str">
        <f>IF(AND(ISNUMBER(I25),ISNUMBER(J25)),I25*J25,"")</f>
        <v/>
      </c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IF(AND(ISNUMBER(F25),ISNUMBER(G25),F25&gt;0,1-N(Ввод!$J$19)/100&gt;0),G25/(1-N(Ввод!$J$19)/100),IF(AND(ISNUMBER(I25),ISNUMBER(J25),I25&gt;0),J25/(1+N(Ввод!$J$19)/100),""))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 t="str">
        <f>IF(AND(ISNUMBER(F26),ISNUMBER(G26)),F26*G26,"")</f>
        <v/>
      </c>
      <c r="I26" s="246" t="n"/>
      <c r="J26" s="183" t="n"/>
      <c r="K26" s="271" t="str">
        <f>IF(AND(ISNUMBER(I26),ISNUMBER(J26)),I26*J26,"")</f>
        <v/>
      </c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IF(AND(ISNUMBER(F26),ISNUMBER(G26),F26&gt;0,1-N(Ввод!$J$19)/100&gt;0),G26/(1-N(Ввод!$J$19)/100),IF(AND(ISNUMBER(I26),ISNUMBER(J26),I26&gt;0),J26/(1+N(Ввод!$J$19)/100),""))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 t="str">
        <f>IF(AND(ISNUMBER(F27),ISNUMBER(G27)),F27*G27,"")</f>
        <v/>
      </c>
      <c r="I27" s="240" t="n"/>
      <c r="J27" s="177" t="n"/>
      <c r="K27" s="271" t="str">
        <f>IF(AND(ISNUMBER(I27),ISNUMBER(J27)),I27*J27,"")</f>
        <v/>
      </c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IF(AND(ISNUMBER(F27),ISNUMBER(G27),F27&gt;0,1-N(Ввод!$J$19)/100&gt;0),G27/(1-N(Ввод!$J$19)/100),IF(AND(ISNUMBER(I27),ISNUMBER(J27),I27&gt;0),J27/(1+N(Ввод!$J$19)/100),""))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 t="str">
        <f>IF(AND(ISNUMBER(F28),ISNUMBER(G28)),F28*G28,"")</f>
        <v/>
      </c>
      <c r="I28" s="246" t="n"/>
      <c r="J28" s="183" t="n"/>
      <c r="K28" s="271" t="str">
        <f>IF(AND(ISNUMBER(I28),ISNUMBER(J28)),I28*J28,"")</f>
        <v/>
      </c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IF(AND(ISNUMBER(F28),ISNUMBER(G28),F28&gt;0,1-N(Ввод!$J$19)/100&gt;0),G28/(1-N(Ввод!$J$19)/100),IF(AND(ISNUMBER(I28),ISNUMBER(J28),I28&gt;0),J28/(1+N(Ввод!$J$19)/100),""))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 t="str">
        <f>IF(AND(ISNUMBER(F29),ISNUMBER(G29)),F29*G29,"")</f>
        <v/>
      </c>
      <c r="I29" s="240" t="n"/>
      <c r="J29" s="177" t="n"/>
      <c r="K29" s="271" t="str">
        <f>IF(AND(ISNUMBER(I29),ISNUMBER(J29)),I29*J29,"")</f>
        <v/>
      </c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IF(AND(ISNUMBER(F29),ISNUMBER(G29),F29&gt;0,1-N(Ввод!$J$19)/100&gt;0),G29/(1-N(Ввод!$J$19)/100),IF(AND(ISNUMBER(I29),ISNUMBER(J29),I29&gt;0),J29/(1+N(Ввод!$J$19)/100),""))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 t="str">
        <f>IF(AND(ISNUMBER(F30),ISNUMBER(G30)),F30*G30,"")</f>
        <v/>
      </c>
      <c r="I30" s="246" t="n"/>
      <c r="J30" s="183" t="n"/>
      <c r="K30" s="271" t="str">
        <f>IF(AND(ISNUMBER(I30),ISNUMBER(J30)),I30*J30,"")</f>
        <v/>
      </c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IF(AND(ISNUMBER(F30),ISNUMBER(G30),F30&gt;0,1-N(Ввод!$J$19)/100&gt;0),G30/(1-N(Ввод!$J$19)/100),IF(AND(ISNUMBER(I30),ISNUMBER(J30),I30&gt;0),J30/(1+N(Ввод!$J$19)/100),""))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 t="str">
        <f>IF(AND(ISNUMBER(F31),ISNUMBER(G31)),F31*G31,"")</f>
        <v/>
      </c>
      <c r="I31" s="240" t="n"/>
      <c r="J31" s="177" t="n"/>
      <c r="K31" s="271" t="str">
        <f>IF(AND(ISNUMBER(I31),ISNUMBER(J31)),I31*J31,"")</f>
        <v/>
      </c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IF(AND(ISNUMBER(F31),ISNUMBER(G31),F31&gt;0,1-N(Ввод!$J$19)/100&gt;0),G31/(1-N(Ввод!$J$19)/100),IF(AND(ISNUMBER(I31),ISNUMBER(J31),I31&gt;0),J31/(1+N(Ввод!$J$19)/100),""))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 t="str">
        <f>IF(AND(ISNUMBER(F32),ISNUMBER(G32)),F32*G32,"")</f>
        <v/>
      </c>
      <c r="I32" s="246" t="n"/>
      <c r="J32" s="183" t="n"/>
      <c r="K32" s="271" t="str">
        <f>IF(AND(ISNUMBER(I32),ISNUMBER(J32)),I32*J32,"")</f>
        <v/>
      </c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IF(AND(ISNUMBER(F32),ISNUMBER(G32),F32&gt;0,1-N(Ввод!$J$19)/100&gt;0),G32/(1-N(Ввод!$J$19)/100),IF(AND(ISNUMBER(I32),ISNUMBER(J32),I32&gt;0),J32/(1+N(Ввод!$J$19)/100),""))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 t="str">
        <f>IF(AND(ISNUMBER(F33),ISNUMBER(G33)),F33*G33,"")</f>
        <v/>
      </c>
      <c r="I33" s="240" t="n"/>
      <c r="J33" s="177" t="n"/>
      <c r="K33" s="271" t="str">
        <f>IF(AND(ISNUMBER(I33),ISNUMBER(J33)),I33*J33,"")</f>
        <v/>
      </c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IF(AND(ISNUMBER(F33),ISNUMBER(G33),F33&gt;0,1-N(Ввод!$J$19)/100&gt;0),G33/(1-N(Ввод!$J$19)/100),IF(AND(ISNUMBER(I33),ISNUMBER(J33),I33&gt;0),J33/(1+N(Ввод!$J$19)/100),""))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 t="str">
        <f>IF(AND(ISNUMBER(F34),ISNUMBER(G34)),F34*G34,"")</f>
        <v/>
      </c>
      <c r="I34" s="246" t="n"/>
      <c r="J34" s="183" t="n"/>
      <c r="K34" s="271" t="str">
        <f>IF(AND(ISNUMBER(I34),ISNUMBER(J34)),I34*J34,"")</f>
        <v/>
      </c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IF(AND(ISNUMBER(F34),ISNUMBER(G34),F34&gt;0,1-N(Ввод!$J$19)/100&gt;0),G34/(1-N(Ввод!$J$19)/100),IF(AND(ISNUMBER(I34),ISNUMBER(J34),I34&gt;0),J34/(1+N(Ввод!$J$19)/100),""))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 t="str">
        <f>IF(AND(ISNUMBER(F35),ISNUMBER(G35)),F35*G35,"")</f>
        <v/>
      </c>
      <c r="I35" s="240" t="n"/>
      <c r="J35" s="177" t="n"/>
      <c r="K35" s="271" t="str">
        <f>IF(AND(ISNUMBER(I35),ISNUMBER(J35)),I35*J35,"")</f>
        <v/>
      </c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IF(AND(ISNUMBER(F35),ISNUMBER(G35),F35&gt;0,1-N(Ввод!$J$19)/100&gt;0),G35/(1-N(Ввод!$J$19)/100),IF(AND(ISNUMBER(I35),ISNUMBER(J35),I35&gt;0),J35/(1+N(Ввод!$J$19)/100),""))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IF(AND(ISNUMBER(F36),ISNUMBER(G36),F36&gt;0,1-N(Ввод!$J$19)/100&gt;0),G36/(1-N(Ввод!$J$19)/100),IF(AND(ISNUMBER(I36),ISNUMBER(J36),I36&gt;0),J36/(1+N(Ввод!$J$19)/100),""))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IF(AND(ISNUMBER(F37),ISNUMBER(G37),F37&gt;0,1-N(Ввод!$J$19)/100&gt;0),G37/(1-N(Ввод!$J$19)/100),IF(AND(ISNUMBER(I37),ISNUMBER(J37),I37&gt;0),J37/(1+N(Ввод!$J$19)/100),""))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IF(AND(ISNUMBER(F38),ISNUMBER(G38),F38&gt;0,1-N(Ввод!$J$19)/100&gt;0),G38/(1-N(Ввод!$J$19)/100),IF(AND(ISNUMBER(I38),ISNUMBER(J38),I38&gt;0),J38/(1+N(Ввод!$J$19)/100),""))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IF(AND(ISNUMBER(F39),ISNUMBER(G39),F39&gt;0,1-N(Ввод!$J$19)/100&gt;0),G39/(1-N(Ввод!$J$19)/100),IF(AND(ISNUMBER(I39),ISNUMBER(J39),I39&gt;0),J39/(1+N(Ввод!$J$19)/100),""))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IF(AND(ISNUMBER(F40),ISNUMBER(G40),F40&gt;0,1-N(Ввод!$J$19)/100&gt;0),G40/(1-N(Ввод!$J$19)/100),IF(AND(ISNUMBER(I40),ISNUMBER(J40),I40&gt;0),J40/(1+N(Ввод!$J$19)/100),""))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IF(AND(ISNUMBER(F41),ISNUMBER(G41),F41&gt;0,1-N(Ввод!$J$19)/100&gt;0),G41/(1-N(Ввод!$J$19)/100),IF(AND(ISNUMBER(I41),ISNUMBER(J41),I41&gt;0),J41/(1+N(Ввод!$J$19)/100),""))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IF(AND(ISNUMBER(F42),ISNUMBER(G42),F42&gt;0,1-N(Ввод!$J$19)/100&gt;0),G42/(1-N(Ввод!$J$19)/100),IF(AND(ISNUMBER(I42),ISNUMBER(J42),I42&gt;0),J42/(1+N(Ввод!$J$19)/100),""))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IF(AND(ISNUMBER(F43),ISNUMBER(G43),F43&gt;0,1-N(Ввод!$J$19)/100&gt;0),G43/(1-N(Ввод!$J$19)/100),IF(AND(ISNUMBER(I43),ISNUMBER(J43),I43&gt;0),J43/(1+N(Ввод!$J$19)/100),""))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IF(AND(ISNUMBER(F44),ISNUMBER(G44),F44&gt;0,1-N(Ввод!$J$19)/100&gt;0),G44/(1-N(Ввод!$J$19)/100),IF(AND(ISNUMBER(I44),ISNUMBER(J44),I44&gt;0),J44/(1+N(Ввод!$J$19)/100),""))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IF(AND(ISNUMBER(F45),ISNUMBER(G45),F45&gt;0,1-N(Ввод!$J$19)/100&gt;0),G45/(1-N(Ввод!$J$19)/100),IF(AND(ISNUMBER(I45),ISNUMBER(J45),I45&gt;0),J45/(1+N(Ввод!$J$19)/100),""))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IF(AND(ISNUMBER(F46),ISNUMBER(G46),F46&gt;0,1-N(Ввод!$J$19)/100&gt;0),G46/(1-N(Ввод!$J$19)/100),IF(AND(ISNUMBER(I46),ISNUMBER(J46),I46&gt;0),J46/(1+N(Ввод!$J$19)/100),""))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IF(AND(ISNUMBER(F47),ISNUMBER(G47),F47&gt;0,1-N(Ввод!$J$19)/100&gt;0),G47/(1-N(Ввод!$J$19)/100),IF(AND(ISNUMBER(I47),ISNUMBER(J47),I47&gt;0),J47/(1+N(Ввод!$J$19)/100),""))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IF(AND(ISNUMBER(F48),ISNUMBER(G48),F48&gt;0,1-N(Ввод!$J$19)/100&gt;0),G48/(1-N(Ввод!$J$19)/100),IF(AND(ISNUMBER(I48),ISNUMBER(J48),I48&gt;0),J48/(1+N(Ввод!$J$19)/100),""))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IF(AND(ISNUMBER(F49),ISNUMBER(G49),F49&gt;0,1-N(Ввод!$J$19)/100&gt;0),G49/(1-N(Ввод!$J$19)/100),IF(AND(ISNUMBER(I49),ISNUMBER(J49),I49&gt;0),J49/(1+N(Ввод!$J$19)/100),""))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IF(AND(ISNUMBER(F50),ISNUMBER(G50),F50&gt;0,1-N(Ввод!$J$19)/100&gt;0),G50/(1-N(Ввод!$J$19)/100),IF(AND(ISNUMBER(I50),ISNUMBER(J50),I50&gt;0),J50/(1+N(Ввод!$J$19)/100),""))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IF(AND(ISNUMBER(F51),ISNUMBER(G51),F51&gt;0,1-N(Ввод!$J$19)/100&gt;0),G51/(1-N(Ввод!$J$19)/100),IF(AND(ISNUMBER(I51),ISNUMBER(J51),I51&gt;0),J51/(1+N(Ввод!$J$19)/100),""))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IF(AND(ISNUMBER(F52),ISNUMBER(G52),F52&gt;0,1-N(Ввод!$J$19)/100&gt;0),G52/(1-N(Ввод!$J$19)/100),IF(AND(ISNUMBER(I52),ISNUMBER(J52),I52&gt;0),J52/(1+N(Ввод!$J$19)/100),""))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IF(AND(ISNUMBER(F53),ISNUMBER(G53),F53&gt;0,1-N(Ввод!$J$19)/100&gt;0),G53/(1-N(Ввод!$J$19)/100),IF(AND(ISNUMBER(I53),ISNUMBER(J53),I53&gt;0),J53/(1+N(Ввод!$J$19)/100),""))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IF(AND(ISNUMBER(F54),ISNUMBER(G54),F54&gt;0,1-N(Ввод!$J$19)/100&gt;0),G54/(1-N(Ввод!$J$19)/100),IF(AND(ISNUMBER(I54),ISNUMBER(J54),I54&gt;0),J54/(1+N(Ввод!$J$19)/100),""))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IF(AND(ISNUMBER(F55),ISNUMBER(G55),F55&gt;0,1-N(Ввод!$J$19)/100&gt;0),G55/(1-N(Ввод!$J$19)/100),IF(AND(ISNUMBER(I55),ISNUMBER(J55),I55&gt;0),J55/(1+N(Ввод!$J$19)/100),""))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IF(AND(ISNUMBER(F56),ISNUMBER(G56),F56&gt;0,1-N(Ввод!$J$19)/100&gt;0),G56/(1-N(Ввод!$J$19)/100),IF(AND(ISNUMBER(I56),ISNUMBER(J56),I56&gt;0),J56/(1+N(Ввод!$J$19)/100),""))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IF(AND(ISNUMBER(F57),ISNUMBER(G57),F57&gt;0,1-N(Ввод!$J$19)/100&gt;0),G57/(1-N(Ввод!$J$19)/100),IF(AND(ISNUMBER(I57),ISNUMBER(J57),I57&gt;0),J57/(1+N(Ввод!$J$19)/100),""))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IF(AND(ISNUMBER(F58),ISNUMBER(G58),F58&gt;0,1-N(Ввод!$J$19)/100&gt;0),G58/(1-N(Ввод!$J$19)/100),IF(AND(ISNUMBER(I58),ISNUMBER(J58),I58&gt;0),J58/(1+N(Ввод!$J$19)/100),""))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IF(AND(ISNUMBER(F59),ISNUMBER(G59),F59&gt;0,1-N(Ввод!$J$19)/100&gt;0),G59/(1-N(Ввод!$J$19)/100),IF(AND(ISNUMBER(I59),ISNUMBER(J59),I59&gt;0),J59/(1+N(Ввод!$J$19)/100),""))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IF(AND(ISNUMBER(F60),ISNUMBER(G60),F60&gt;0,1-N(Ввод!$J$19)/100&gt;0),G60/(1-N(Ввод!$J$19)/100),IF(AND(ISNUMBER(I60),ISNUMBER(J60),I60&gt;0),J60/(1+N(Ввод!$J$19)/100),""))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IF(AND(ISNUMBER(F61),ISNUMBER(G61),F61&gt;0,1-N(Ввод!$J$19)/100&gt;0),G61/(1-N(Ввод!$J$19)/100),IF(AND(ISNUMBER(I61),ISNUMBER(J61),I61&gt;0),J61/(1+N(Ввод!$J$19)/100),""))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IF(AND(ISNUMBER(F62),ISNUMBER(G62),F62&gt;0,1-N(Ввод!$J$19)/100&gt;0),G62/(1-N(Ввод!$J$19)/100),IF(AND(ISNUMBER(I62),ISNUMBER(J62),I62&gt;0),J62/(1+N(Ввод!$J$19)/100),""))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IF(AND(ISNUMBER(F63),ISNUMBER(G63),F63&gt;0,1-N(Ввод!$J$19)/100&gt;0),G63/(1-N(Ввод!$J$19)/100),IF(AND(ISNUMBER(I63),ISNUMBER(J63),I63&gt;0),J63/(1+N(Ввод!$J$19)/100),""))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IF(AND(ISNUMBER(F64),ISNUMBER(G64),F64&gt;0,1-N(Ввод!$J$19)/100&gt;0),G64/(1-N(Ввод!$J$19)/100),IF(AND(ISNUMBER(I64),ISNUMBER(J64),I64&gt;0),J64/(1+N(Ввод!$J$19)/100),""))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IF(AND(ISNUMBER(F65),ISNUMBER(G65),F65&gt;0,1-N(Ввод!$J$19)/100&gt;0),G65/(1-N(Ввод!$J$19)/100),IF(AND(ISNUMBER(I65),ISNUMBER(J65),I65&gt;0),J65/(1+N(Ввод!$J$19)/100),""))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IF(AND(ISNUMBER(F66),ISNUMBER(G66),F66&gt;0,1-N(Ввод!$J$19)/100&gt;0),G66/(1-N(Ввод!$J$19)/100),IF(AND(ISNUMBER(I66),ISNUMBER(J66),I66&gt;0),J66/(1+N(Ввод!$J$19)/100),""))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IF(AND(ISNUMBER(F67),ISNUMBER(G67),F67&gt;0,1-N(Ввод!$J$19)/100&gt;0),G67/(1-N(Ввод!$J$19)/100),IF(AND(ISNUMBER(I67),ISNUMBER(J67),I67&gt;0),J67/(1+N(Ввод!$J$19)/100),""))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IF(AND(ISNUMBER(F68),ISNUMBER(G68),F68&gt;0,1-N(Ввод!$J$19)/100&gt;0),G68/(1-N(Ввод!$J$19)/100),IF(AND(ISNUMBER(I68),ISNUMBER(J68),I68&gt;0),J68/(1+N(Ввод!$J$19)/100),""))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IF(AND(ISNUMBER(F69),ISNUMBER(G69),F69&gt;0,1-N(Ввод!$J$19)/100&gt;0),G69/(1-N(Ввод!$J$19)/100),IF(AND(ISNUMBER(I69),ISNUMBER(J69),I69&gt;0),J69/(1+N(Ввод!$J$19)/100),""))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IF(AND(ISNUMBER(F70),ISNUMBER(G70),F70&gt;0,1-N(Ввод!$J$19)/100&gt;0),G70/(1-N(Ввод!$J$19)/100),IF(AND(ISNUMBER(I70),ISNUMBER(J70),I70&gt;0),J70/(1+N(Ввод!$J$19)/100),""))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IF(AND(ISNUMBER(F71),ISNUMBER(G71),F71&gt;0,1-N(Ввод!$J$19)/100&gt;0),G71/(1-N(Ввод!$J$19)/100),IF(AND(ISNUMBER(I71),ISNUMBER(J71),I71&gt;0),J71/(1+N(Ввод!$J$19)/100),""))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IF(AND(ISNUMBER(F72),ISNUMBER(G72),F72&gt;0,1-N(Ввод!$J$19)/100&gt;0),G72/(1-N(Ввод!$J$19)/100),IF(AND(ISNUMBER(I72),ISNUMBER(J72),I72&gt;0),J72/(1+N(Ввод!$J$19)/100),""))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IF(AND(ISNUMBER(F73),ISNUMBER(G73),F73&gt;0,1-N(Ввод!$J$19)/100&gt;0),G73/(1-N(Ввод!$J$19)/100),IF(AND(ISNUMBER(I73),ISNUMBER(J73),I73&gt;0),J73/(1+N(Ввод!$J$19)/100),""))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IF(AND(ISNUMBER(F74),ISNUMBER(G74),F74&gt;0,1-N(Ввод!$J$19)/100&gt;0),G74/(1-N(Ввод!$J$19)/100),IF(AND(ISNUMBER(I74),ISNUMBER(J74),I74&gt;0),J74/(1+N(Ввод!$J$19)/100),""))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IF(AND(ISNUMBER(F75),ISNUMBER(G75),F75&gt;0,1-N(Ввод!$J$19)/100&gt;0),G75/(1-N(Ввод!$J$19)/100),IF(AND(ISNUMBER(I75),ISNUMBER(J75),I75&gt;0),J75/(1+N(Ввод!$J$19)/100),""))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IF(AND(ISNUMBER(F76),ISNUMBER(G76),F76&gt;0,1-N(Ввод!$J$19)/100&gt;0),G76/(1-N(Ввод!$J$19)/100),IF(AND(ISNUMBER(I76),ISNUMBER(J76),I76&gt;0),J76/(1+N(Ввод!$J$19)/100),""))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IF(AND(ISNUMBER(F77),ISNUMBER(G77),F77&gt;0,1-N(Ввод!$J$19)/100&gt;0),G77/(1-N(Ввод!$J$19)/100),IF(AND(ISNUMBER(I77),ISNUMBER(J77),I77&gt;0),J77/(1+N(Ввод!$J$19)/100),""))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IF(AND(ISNUMBER(F78),ISNUMBER(G78),F78&gt;0,1-N(Ввод!$J$19)/100&gt;0),G78/(1-N(Ввод!$J$19)/100),IF(AND(ISNUMBER(I78),ISNUMBER(J78),I78&gt;0),J78/(1+N(Ввод!$J$19)/100),""))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IF(AND(ISNUMBER(F79),ISNUMBER(G79),F79&gt;0,1-N(Ввод!$J$19)/100&gt;0),G79/(1-N(Ввод!$J$19)/100),IF(AND(ISNUMBER(I79),ISNUMBER(J79),I79&gt;0),J79/(1+N(Ввод!$J$19)/100),""))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IF(AND(ISNUMBER(F80),ISNUMBER(G80),F80&gt;0,1-N(Ввод!$J$19)/100&gt;0),G80/(1-N(Ввод!$J$19)/100),IF(AND(ISNUMBER(I80),ISNUMBER(J80),I80&gt;0),J80/(1+N(Ввод!$J$19)/100),""))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IF(AND(ISNUMBER(F81),ISNUMBER(G81),F81&gt;0,1-N(Ввод!$J$19)/100&gt;0),G81/(1-N(Ввод!$J$19)/100),IF(AND(ISNUMBER(I81),ISNUMBER(J81),I81&gt;0),J81/(1+N(Ввод!$J$19)/100),""))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IF(AND(ISNUMBER(F82),ISNUMBER(G82),F82&gt;0,1-N(Ввод!$J$19)/100&gt;0),G82/(1-N(Ввод!$J$19)/100),IF(AND(ISNUMBER(I82),ISNUMBER(J82),I82&gt;0),J82/(1+N(Ввод!$J$19)/100),""))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IF(AND(ISNUMBER(F83),ISNUMBER(G83),F83&gt;0,1-N(Ввод!$J$19)/100&gt;0),G83/(1-N(Ввод!$J$19)/100),IF(AND(ISNUMBER(I83),ISNUMBER(J83),I83&gt;0),J83/(1+N(Ввод!$J$19)/100),""))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IF(AND(ISNUMBER(F84),ISNUMBER(G84),F84&gt;0,1-N(Ввод!$J$19)/100&gt;0),G84/(1-N(Ввод!$J$19)/100),IF(AND(ISNUMBER(I84),ISNUMBER(J84),I84&gt;0),J84/(1+N(Ввод!$J$19)/100),""))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IF(AND(ISNUMBER(F85),ISNUMBER(G85),F85&gt;0,1-N(Ввод!$J$19)/100&gt;0),G85/(1-N(Ввод!$J$19)/100),IF(AND(ISNUMBER(I85),ISNUMBER(J85),I85&gt;0),J85/(1+N(Ввод!$J$19)/100),""))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IF(AND(ISNUMBER(F86),ISNUMBER(G86),F86&gt;0,1-N(Ввод!$J$19)/100&gt;0),G86/(1-N(Ввод!$J$19)/100),IF(AND(ISNUMBER(I86),ISNUMBER(J86),I86&gt;0),J86/(1+N(Ввод!$J$19)/100),""))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IF(AND(ISNUMBER(F87),ISNUMBER(G87),F87&gt;0,1-N(Ввод!$J$19)/100&gt;0),G87/(1-N(Ввод!$J$19)/100),IF(AND(ISNUMBER(I87),ISNUMBER(J87),I87&gt;0),J87/(1+N(Ввод!$J$19)/100),""))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IF(AND(ISNUMBER(F88),ISNUMBER(G88),F88&gt;0,1-N(Ввод!$J$19)/100&gt;0),G88/(1-N(Ввод!$J$19)/100),IF(AND(ISNUMBER(I88),ISNUMBER(J88),I88&gt;0),J88/(1+N(Ввод!$J$19)/100),""))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IF(AND(ISNUMBER(F89),ISNUMBER(G89),F89&gt;0,1-N(Ввод!$J$19)/100&gt;0),G89/(1-N(Ввод!$J$19)/100),IF(AND(ISNUMBER(I89),ISNUMBER(J89),I89&gt;0),J89/(1+N(Ввод!$J$19)/100),""))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IF(AND(ISNUMBER(F90),ISNUMBER(G90),F90&gt;0,1-N(Ввод!$J$19)/100&gt;0),G90/(1-N(Ввод!$J$19)/100),IF(AND(ISNUMBER(I90),ISNUMBER(J90),I90&gt;0),J90/(1+N(Ввод!$J$19)/100),""))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IF(AND(ISNUMBER(F91),ISNUMBER(G91),F91&gt;0,1-N(Ввод!$J$19)/100&gt;0),G91/(1-N(Ввод!$J$19)/100),IF(AND(ISNUMBER(I91),ISNUMBER(J91),I91&gt;0),J91/(1+N(Ввод!$J$19)/100),""))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IF(AND(ISNUMBER(F92),ISNUMBER(G92),F92&gt;0,1-N(Ввод!$J$19)/100&gt;0),G92/(1-N(Ввод!$J$19)/100),IF(AND(ISNUMBER(I92),ISNUMBER(J92),I92&gt;0),J92/(1+N(Ввод!$J$19)/100),""))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IF(AND(ISNUMBER(F93),ISNUMBER(G93),F93&gt;0,1-N(Ввод!$J$19)/100&gt;0),G93/(1-N(Ввод!$J$19)/100),IF(AND(ISNUMBER(I93),ISNUMBER(J93),I93&gt;0),J93/(1+N(Ввод!$J$19)/100),""))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IF(AND(ISNUMBER(F94),ISNUMBER(G94),F94&gt;0,1-N(Ввод!$J$19)/100&gt;0),G94/(1-N(Ввод!$J$19)/100),IF(AND(ISNUMBER(I94),ISNUMBER(J94),I94&gt;0),J94/(1+N(Ввод!$J$19)/100),""))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IF(AND(ISNUMBER(F95),ISNUMBER(G95),F95&gt;0,1-N(Ввод!$J$19)/100&gt;0),G95/(1-N(Ввод!$J$19)/100),IF(AND(ISNUMBER(I95),ISNUMBER(J95),I95&gt;0),J95/(1+N(Ввод!$J$19)/100),""))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IF(AND(ISNUMBER(F96),ISNUMBER(G96),F96&gt;0,1-N(Ввод!$J$19)/100&gt;0),G96/(1-N(Ввод!$J$19)/100),IF(AND(ISNUMBER(I96),ISNUMBER(J96),I96&gt;0),J96/(1+N(Ввод!$J$19)/100),""))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IF(AND(ISNUMBER(F97),ISNUMBER(G97),F97&gt;0,1-N(Ввод!$J$19)/100&gt;0),G97/(1-N(Ввод!$J$19)/100),IF(AND(ISNUMBER(I97),ISNUMBER(J97),I97&gt;0),J97/(1+N(Ввод!$J$19)/100),""))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IF(AND(ISNUMBER(F98),ISNUMBER(G98),F98&gt;0,1-N(Ввод!$J$19)/100&gt;0),G98/(1-N(Ввод!$J$19)/100),IF(AND(ISNUMBER(I98),ISNUMBER(J98),I98&gt;0),J98/(1+N(Ввод!$J$19)/100),""))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IF(AND(ISNUMBER(F99),ISNUMBER(G99),F99&gt;0,1-N(Ввод!$J$19)/100&gt;0),G99/(1-N(Ввод!$J$19)/100),IF(AND(ISNUMBER(I99),ISNUMBER(J99),I99&gt;0),J99/(1+N(Ввод!$J$19)/100),""))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IF(AND(ISNUMBER(F100),ISNUMBER(G100),F100&gt;0,1-N(Ввод!$J$19)/100&gt;0),G100/(1-N(Ввод!$J$19)/100),IF(AND(ISNUMBER(I100),ISNUMBER(J100),I100&gt;0),J100/(1+N(Ввод!$J$19)/100),""))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IF(AND(ISNUMBER(F101),ISNUMBER(G101),F101&gt;0,1-N(Ввод!$J$19)/100&gt;0),G101/(1-N(Ввод!$J$19)/100),IF(AND(ISNUMBER(I101),ISNUMBER(J101),I101&gt;0),J101/(1+N(Ввод!$J$19)/100),""))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IF(AND(ISNUMBER(F102),ISNUMBER(G102),F102&gt;0,1-N(Ввод!$J$19)/100&gt;0),G102/(1-N(Ввод!$J$19)/100),IF(AND(ISNUMBER(I102),ISNUMBER(J102),I102&gt;0),J102/(1+N(Ввод!$J$19)/100),""))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IF(AND(ISNUMBER(F103),ISNUMBER(G103),F103&gt;0,1-N(Ввод!$J$19)/100&gt;0),G103/(1-N(Ввод!$J$19)/100),IF(AND(ISNUMBER(I103),ISNUMBER(J103),I103&gt;0),J103/(1+N(Ввод!$J$19)/100),""))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IF(AND(ISNUMBER(F104),ISNUMBER(G104),F104&gt;0,1-N(Ввод!$J$19)/100&gt;0),G104/(1-N(Ввод!$J$19)/100),IF(AND(ISNUMBER(I104),ISNUMBER(J104),I104&gt;0),J104/(1+N(Ввод!$J$19)/100),""))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IF(AND(ISNUMBER(F105),ISNUMBER(G105),F105&gt;0,1-N(Ввод!$J$19)/100&gt;0),G105/(1-N(Ввод!$J$19)/100),IF(AND(ISNUMBER(I105),ISNUMBER(J105),I105&gt;0),J105/(1+N(Ввод!$J$19)/100),""))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IF(AND(ISNUMBER(F106),ISNUMBER(G106),F106&gt;0,1-N(Ввод!$J$19)/100&gt;0),G106/(1-N(Ввод!$J$19)/100),IF(AND(ISNUMBER(I106),ISNUMBER(J106),I106&gt;0),J106/(1+N(Ввод!$J$19)/100),""))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IF(AND(ISNUMBER(F107),ISNUMBER(G107),F107&gt;0,1-N(Ввод!$J$19)/100&gt;0),G107/(1-N(Ввод!$J$19)/100),IF(AND(ISNUMBER(I107),ISNUMBER(J107),I107&gt;0),J107/(1+N(Ввод!$J$19)/100),""))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IF(AND(ISNUMBER(F108),ISNUMBER(G108),F108&gt;0,1-N(Ввод!$J$19)/100&gt;0),G108/(1-N(Ввод!$J$19)/100),IF(AND(ISNUMBER(I108),ISNUMBER(J108),I108&gt;0),J108/(1+N(Ввод!$J$19)/100),""))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IF(AND(ISNUMBER(F109),ISNUMBER(G109),F109&gt;0,1-N(Ввод!$J$19)/100&gt;0),G109/(1-N(Ввод!$J$19)/100),IF(AND(ISNUMBER(I109),ISNUMBER(J109),I109&gt;0),J109/(1+N(Ввод!$J$19)/100),""))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IF(AND(ISNUMBER(F110),ISNUMBER(G110),F110&gt;0,1-N(Ввод!$J$19)/100&gt;0),G110/(1-N(Ввод!$J$19)/100),IF(AND(ISNUMBER(I110),ISNUMBER(J110),I110&gt;0),J110/(1+N(Ввод!$J$19)/100),""))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IF(AND(ISNUMBER(F111),ISNUMBER(G111),F111&gt;0,1-N(Ввод!$J$19)/100&gt;0),G111/(1-N(Ввод!$J$19)/100),IF(AND(ISNUMBER(I111),ISNUMBER(J111),I111&gt;0),J111/(1+N(Ввод!$J$19)/100),""))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IF(AND(ISNUMBER(F112),ISNUMBER(G112),F112&gt;0,1-N(Ввод!$J$19)/100&gt;0),G112/(1-N(Ввод!$J$19)/100),IF(AND(ISNUMBER(I112),ISNUMBER(J112),I112&gt;0),J112/(1+N(Ввод!$J$19)/100),""))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IF(AND(ISNUMBER(F113),ISNUMBER(G113),F113&gt;0,1-N(Ввод!$J$19)/100&gt;0),G113/(1-N(Ввод!$J$19)/100),IF(AND(ISNUMBER(I113),ISNUMBER(J113),I113&gt;0),J113/(1+N(Ввод!$J$19)/100),""))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IF(AND(ISNUMBER(F114),ISNUMBER(G114),F114&gt;0,1-N(Ввод!$J$19)/100&gt;0),G114/(1-N(Ввод!$J$19)/100),IF(AND(ISNUMBER(I114),ISNUMBER(J114),I114&gt;0),J114/(1+N(Ввод!$J$19)/100),""))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IF(AND(ISNUMBER(F115),ISNUMBER(G115),F115&gt;0,1-N(Ввод!$J$19)/100&gt;0),G115/(1-N(Ввод!$J$19)/100),IF(AND(ISNUMBER(I115),ISNUMBER(J115),I115&gt;0),J115/(1+N(Ввод!$J$19)/100),""))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IF(AND(ISNUMBER(F116),ISNUMBER(G116),F116&gt;0,1-N(Ввод!$J$19)/100&gt;0),G116/(1-N(Ввод!$J$19)/100),IF(AND(ISNUMBER(I116),ISNUMBER(J116),I116&gt;0),J116/(1+N(Ввод!$J$19)/100),""))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IF(AND(ISNUMBER(F117),ISNUMBER(G117),F117&gt;0,1-N(Ввод!$J$19)/100&gt;0),G117/(1-N(Ввод!$J$19)/100),IF(AND(ISNUMBER(I117),ISNUMBER(J117),I117&gt;0),J117/(1+N(Ввод!$J$19)/100),""))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IF(AND(ISNUMBER(F118),ISNUMBER(G118),F118&gt;0,1-N(Ввод!$J$19)/100&gt;0),G118/(1-N(Ввод!$J$19)/100),IF(AND(ISNUMBER(I118),ISNUMBER(J118),I118&gt;0),J118/(1+N(Ввод!$J$19)/100),""))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IF(AND(ISNUMBER(F119),ISNUMBER(G119),F119&gt;0,1-N(Ввод!$J$19)/100&gt;0),G119/(1-N(Ввод!$J$19)/100),IF(AND(ISNUMBER(I119),ISNUMBER(J119),I119&gt;0),J119/(1+N(Ввод!$J$19)/100),""))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IF(AND(ISNUMBER(F120),ISNUMBER(G120),F120&gt;0,1-N(Ввод!$J$19)/100&gt;0),G120/(1-N(Ввод!$J$19)/100),IF(AND(ISNUMBER(I120),ISNUMBER(J120),I120&gt;0),J120/(1+N(Ввод!$J$19)/100),""))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IF(AND(ISNUMBER(F121),ISNUMBER(G121),F121&gt;0,1-N(Ввод!$J$19)/100&gt;0),G121/(1-N(Ввод!$J$19)/100),IF(AND(ISNUMBER(I121),ISNUMBER(J121),I121&gt;0),J121/(1+N(Ввод!$J$19)/100),""))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IF(AND(ISNUMBER(F122),ISNUMBER(G122),F122&gt;0,1-N(Ввод!$J$19)/100&gt;0),G122/(1-N(Ввод!$J$19)/100),IF(AND(ISNUMBER(I122),ISNUMBER(J122),I122&gt;0),J122/(1+N(Ввод!$J$19)/100),""))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IF(AND(ISNUMBER(F123),ISNUMBER(G123),F123&gt;0,1-N(Ввод!$J$19)/100&gt;0),G123/(1-N(Ввод!$J$19)/100),IF(AND(ISNUMBER(I123),ISNUMBER(J123),I123&gt;0),J123/(1+N(Ввод!$J$19)/100),""))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IF(AND(ISNUMBER(F124),ISNUMBER(G124),F124&gt;0,1-N(Ввод!$J$19)/100&gt;0),G124/(1-N(Ввод!$J$19)/100),IF(AND(ISNUMBER(I124),ISNUMBER(J124),I124&gt;0),J124/(1+N(Ввод!$J$19)/100),""))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IF(AND(ISNUMBER(F125),ISNUMBER(G125),F125&gt;0,1-N(Ввод!$J$19)/100&gt;0),G125/(1-N(Ввод!$J$19)/100),IF(AND(ISNUMBER(I125),ISNUMBER(J125),I125&gt;0),J125/(1+N(Ввод!$J$19)/100),""))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IF(AND(ISNUMBER(F126),ISNUMBER(G126),F126&gt;0,1-N(Ввод!$J$19)/100&gt;0),G126/(1-N(Ввод!$J$19)/100),IF(AND(ISNUMBER(I126),ISNUMBER(J126),I126&gt;0),J126/(1+N(Ввод!$J$19)/100),""))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IF(AND(ISNUMBER(F127),ISNUMBER(G127),F127&gt;0,1-N(Ввод!$J$19)/100&gt;0),G127/(1-N(Ввод!$J$19)/100),IF(AND(ISNUMBER(I127),ISNUMBER(J127),I127&gt;0),J127/(1+N(Ввод!$J$19)/100),""))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IF(AND(ISNUMBER(F128),ISNUMBER(G128),F128&gt;0,1-N(Ввод!$J$19)/100&gt;0),G128/(1-N(Ввод!$J$19)/100),IF(AND(ISNUMBER(I128),ISNUMBER(J128),I128&gt;0),J128/(1+N(Ввод!$J$19)/100),""))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IF(AND(ISNUMBER(F129),ISNUMBER(G129),F129&gt;0,1-N(Ввод!$J$19)/100&gt;0),G129/(1-N(Ввод!$J$19)/100),IF(AND(ISNUMBER(I129),ISNUMBER(J129),I129&gt;0),J129/(1+N(Ввод!$J$19)/100),""))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IF(AND(ISNUMBER(F130),ISNUMBER(G130),F130&gt;0,1-N(Ввод!$J$19)/100&gt;0),G130/(1-N(Ввод!$J$19)/100),IF(AND(ISNUMBER(I130),ISNUMBER(J130),I130&gt;0),J130/(1+N(Ввод!$J$19)/100),""))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IF(AND(ISNUMBER(F131),ISNUMBER(G131),F131&gt;0,1-N(Ввод!$J$19)/100&gt;0),G131/(1-N(Ввод!$J$19)/100),IF(AND(ISNUMBER(I131),ISNUMBER(J131),I131&gt;0),J131/(1+N(Ввод!$J$19)/100),""))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IF(AND(ISNUMBER(F132),ISNUMBER(G132),F132&gt;0,1-N(Ввод!$J$19)/100&gt;0),G132/(1-N(Ввод!$J$19)/100),IF(AND(ISNUMBER(I132),ISNUMBER(J132),I132&gt;0),J132/(1+N(Ввод!$J$19)/100),""))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IF(AND(ISNUMBER(F133),ISNUMBER(G133),F133&gt;0,1-N(Ввод!$J$19)/100&gt;0),G133/(1-N(Ввод!$J$19)/100),IF(AND(ISNUMBER(I133),ISNUMBER(J133),I133&gt;0),J133/(1+N(Ввод!$J$19)/100),""))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IF(AND(ISNUMBER(F134),ISNUMBER(G134),F134&gt;0,1-N(Ввод!$J$19)/100&gt;0),G134/(1-N(Ввод!$J$19)/100),IF(AND(ISNUMBER(I134),ISNUMBER(J134),I134&gt;0),J134/(1+N(Ввод!$J$19)/100),""))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IF(AND(ISNUMBER(F135),ISNUMBER(G135),F135&gt;0,1-N(Ввод!$J$19)/100&gt;0),G135/(1-N(Ввод!$J$19)/100),IF(AND(ISNUMBER(I135),ISNUMBER(J135),I135&gt;0),J135/(1+N(Ввод!$J$19)/100),""))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IF(AND(ISNUMBER(F136),ISNUMBER(G136),F136&gt;0,1-N(Ввод!$J$19)/100&gt;0),G136/(1-N(Ввод!$J$19)/100),IF(AND(ISNUMBER(I136),ISNUMBER(J136),I136&gt;0),J136/(1+N(Ввод!$J$19)/100),""))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IF(AND(ISNUMBER(F137),ISNUMBER(G137),F137&gt;0,1-N(Ввод!$J$19)/100&gt;0),G137/(1-N(Ввод!$J$19)/100),IF(AND(ISNUMBER(I137),ISNUMBER(J137),I137&gt;0),J137/(1+N(Ввод!$J$19)/100),""))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IF(AND(ISNUMBER(F138),ISNUMBER(G138),F138&gt;0,1-N(Ввод!$J$19)/100&gt;0),G138/(1-N(Ввод!$J$19)/100),IF(AND(ISNUMBER(I138),ISNUMBER(J138),I138&gt;0),J138/(1+N(Ввод!$J$19)/100),""))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IF(AND(ISNUMBER(F139),ISNUMBER(G139),F139&gt;0,1-N(Ввод!$J$19)/100&gt;0),G139/(1-N(Ввод!$J$19)/100),IF(AND(ISNUMBER(I139),ISNUMBER(J139),I139&gt;0),J139/(1+N(Ввод!$J$19)/100),""))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IF(AND(ISNUMBER(F140),ISNUMBER(G140),F140&gt;0,1-N(Ввод!$J$19)/100&gt;0),G140/(1-N(Ввод!$J$19)/100),IF(AND(ISNUMBER(I140),ISNUMBER(J140),I140&gt;0),J140/(1+N(Ввод!$J$19)/100),""))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IF(AND(ISNUMBER(F141),ISNUMBER(G141),F141&gt;0,1-N(Ввод!$J$19)/100&gt;0),G141/(1-N(Ввод!$J$19)/100),IF(AND(ISNUMBER(I141),ISNUMBER(J141),I141&gt;0),J141/(1+N(Ввод!$J$19)/100),""))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IF(AND(ISNUMBER(F142),ISNUMBER(G142),F142&gt;0,1-N(Ввод!$J$19)/100&gt;0),G142/(1-N(Ввод!$J$19)/100),IF(AND(ISNUMBER(I142),ISNUMBER(J142),I142&gt;0),J142/(1+N(Ввод!$J$19)/100),""))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IF(AND(ISNUMBER(F143),ISNUMBER(G143),F143&gt;0,1-N(Ввод!$J$19)/100&gt;0),G143/(1-N(Ввод!$J$19)/100),IF(AND(ISNUMBER(I143),ISNUMBER(J143),I143&gt;0),J143/(1+N(Ввод!$J$19)/100),""))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IF(AND(ISNUMBER(F144),ISNUMBER(G144),F144&gt;0,1-N(Ввод!$J$19)/100&gt;0),G144/(1-N(Ввод!$J$19)/100),IF(AND(ISNUMBER(I144),ISNUMBER(J144),I144&gt;0),J144/(1+N(Ввод!$J$19)/100),""))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IF(AND(ISNUMBER(F145),ISNUMBER(G145),F145&gt;0,1-N(Ввод!$J$19)/100&gt;0),G145/(1-N(Ввод!$J$19)/100),IF(AND(ISNUMBER(I145),ISNUMBER(J145),I145&gt;0),J145/(1+N(Ввод!$J$19)/100),""))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IF(AND(ISNUMBER(F146),ISNUMBER(G146),F146&gt;0,1-N(Ввод!$J$19)/100&gt;0),G146/(1-N(Ввод!$J$19)/100),IF(AND(ISNUMBER(I146),ISNUMBER(J146),I146&gt;0),J146/(1+N(Ввод!$J$19)/100),""))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IF(AND(ISNUMBER(F147),ISNUMBER(G147),F147&gt;0,1-N(Ввод!$J$19)/100&gt;0),G147/(1-N(Ввод!$J$19)/100),IF(AND(ISNUMBER(I147),ISNUMBER(J147),I147&gt;0),J147/(1+N(Ввод!$J$19)/100),""))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IF(AND(ISNUMBER(F148),ISNUMBER(G148),F148&gt;0,1-N(Ввод!$J$19)/100&gt;0),G148/(1-N(Ввод!$J$19)/100),IF(AND(ISNUMBER(I148),ISNUMBER(J148),I148&gt;0),J148/(1+N(Ввод!$J$19)/100),""))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IF(AND(ISNUMBER(F149),ISNUMBER(G149),F149&gt;0,1-N(Ввод!$J$19)/100&gt;0),G149/(1-N(Ввод!$J$19)/100),IF(AND(ISNUMBER(I149),ISNUMBER(J149),I149&gt;0),J149/(1+N(Ввод!$J$19)/100),""))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IF(AND(ISNUMBER(F150),ISNUMBER(G150),F150&gt;0,1-N(Ввод!$J$19)/100&gt;0),G150/(1-N(Ввод!$J$19)/100),IF(AND(ISNUMBER(I150),ISNUMBER(J150),I150&gt;0),J150/(1+N(Ввод!$J$19)/100),""))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IF(AND(ISNUMBER(F151),ISNUMBER(G151),F151&gt;0,1-N(Ввод!$J$19)/100&gt;0),G151/(1-N(Ввод!$J$19)/100),IF(AND(ISNUMBER(I151),ISNUMBER(J151),I151&gt;0),J151/(1+N(Ввод!$J$19)/100),""))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IF(AND(ISNUMBER(F152),ISNUMBER(G152),F152&gt;0,1-N(Ввод!$J$19)/100&gt;0),G152/(1-N(Ввод!$J$19)/100),IF(AND(ISNUMBER(I152),ISNUMBER(J152),I152&gt;0),J152/(1+N(Ввод!$J$19)/100),""))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IF(AND(ISNUMBER(F153),ISNUMBER(G153),F153&gt;0,1-N(Ввод!$J$19)/100&gt;0),G153/(1-N(Ввод!$J$19)/100),IF(AND(ISNUMBER(I153),ISNUMBER(J153),I153&gt;0),J153/(1+N(Ввод!$J$19)/100),""))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IF(AND(ISNUMBER(F154),ISNUMBER(G154),F154&gt;0,1-N(Ввод!$J$19)/100&gt;0),G154/(1-N(Ввод!$J$19)/100),IF(AND(ISNUMBER(I154),ISNUMBER(J154),I154&gt;0),J154/(1+N(Ввод!$J$19)/100),""))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IF(AND(ISNUMBER(F155),ISNUMBER(G155),F155&gt;0,1-N(Ввод!$J$19)/100&gt;0),G155/(1-N(Ввод!$J$19)/100),IF(AND(ISNUMBER(I155),ISNUMBER(J155),I155&gt;0),J155/(1+N(Ввод!$J$19)/100),""))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IF(AND(ISNUMBER(F156),ISNUMBER(G156),F156&gt;0,1-N(Ввод!$J$19)/100&gt;0),G156/(1-N(Ввод!$J$19)/100),IF(AND(ISNUMBER(I156),ISNUMBER(J156),I156&gt;0),J156/(1+N(Ввод!$J$19)/100),""))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IF(AND(ISNUMBER(F157),ISNUMBER(G157),F157&gt;0,1-N(Ввод!$J$19)/100&gt;0),G157/(1-N(Ввод!$J$19)/100),IF(AND(ISNUMBER(I157),ISNUMBER(J157),I157&gt;0),J157/(1+N(Ввод!$J$19)/100),""))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IF(AND(ISNUMBER(F158),ISNUMBER(G158),F158&gt;0,1-N(Ввод!$J$19)/100&gt;0),G158/(1-N(Ввод!$J$19)/100),IF(AND(ISNUMBER(I158),ISNUMBER(J158),I158&gt;0),J158/(1+N(Ввод!$J$19)/100),""))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IF(AND(ISNUMBER(F159),ISNUMBER(G159),F159&gt;0,1-N(Ввод!$J$19)/100&gt;0),G159/(1-N(Ввод!$J$19)/100),IF(AND(ISNUMBER(I159),ISNUMBER(J159),I159&gt;0),J159/(1+N(Ввод!$J$19)/100),""))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IF(AND(ISNUMBER(F160),ISNUMBER(G160),F160&gt;0,1-N(Ввод!$J$19)/100&gt;0),G160/(1-N(Ввод!$J$19)/100),IF(AND(ISNUMBER(I160),ISNUMBER(J160),I160&gt;0),J160/(1+N(Ввод!$J$19)/100),""))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IF(AND(ISNUMBER(F161),ISNUMBER(G161),F161&gt;0,1-N(Ввод!$J$19)/100&gt;0),G161/(1-N(Ввод!$J$19)/100),IF(AND(ISNUMBER(I161),ISNUMBER(J161),I161&gt;0),J161/(1+N(Ввод!$J$19)/100),""))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IF(AND(ISNUMBER(F162),ISNUMBER(G162),F162&gt;0,1-N(Ввод!$J$19)/100&gt;0),G162/(1-N(Ввод!$J$19)/100),IF(AND(ISNUMBER(I162),ISNUMBER(J162),I162&gt;0),J162/(1+N(Ввод!$J$19)/100),""))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IF(AND(ISNUMBER(F163),ISNUMBER(G163),F163&gt;0,1-N(Ввод!$J$19)/100&gt;0),G163/(1-N(Ввод!$J$19)/100),IF(AND(ISNUMBER(I163),ISNUMBER(J163),I163&gt;0),J163/(1+N(Ввод!$J$19)/100),""))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IF(AND(ISNUMBER(F164),ISNUMBER(G164),F164&gt;0,1-N(Ввод!$J$19)/100&gt;0),G164/(1-N(Ввод!$J$19)/100),IF(AND(ISNUMBER(I164),ISNUMBER(J164),I164&gt;0),J164/(1+N(Ввод!$J$19)/100),""))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IF(AND(ISNUMBER(F165),ISNUMBER(G165),F165&gt;0,1-N(Ввод!$J$19)/100&gt;0),G165/(1-N(Ввод!$J$19)/100),IF(AND(ISNUMBER(I165),ISNUMBER(J165),I165&gt;0),J165/(1+N(Ввод!$J$19)/100),""))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IF(AND(ISNUMBER(F166),ISNUMBER(G166),F166&gt;0,1-N(Ввод!$J$19)/100&gt;0),G166/(1-N(Ввод!$J$19)/100),IF(AND(ISNUMBER(I166),ISNUMBER(J166),I166&gt;0),J166/(1+N(Ввод!$J$19)/100),""))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IF(AND(ISNUMBER(F167),ISNUMBER(G167),F167&gt;0,1-N(Ввод!$J$19)/100&gt;0),G167/(1-N(Ввод!$J$19)/100),IF(AND(ISNUMBER(I167),ISNUMBER(J167),I167&gt;0),J167/(1+N(Ввод!$J$19)/100),""))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IF(AND(ISNUMBER(F168),ISNUMBER(G168),F168&gt;0,1-N(Ввод!$J$19)/100&gt;0),G168/(1-N(Ввод!$J$19)/100),IF(AND(ISNUMBER(I168),ISNUMBER(J168),I168&gt;0),J168/(1+N(Ввод!$J$19)/100),""))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IF(AND(ISNUMBER(F169),ISNUMBER(G169),F169&gt;0,1-N(Ввод!$J$19)/100&gt;0),G169/(1-N(Ввод!$J$19)/100),IF(AND(ISNUMBER(I169),ISNUMBER(J169),I169&gt;0),J169/(1+N(Ввод!$J$19)/100),""))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IF(AND(ISNUMBER(F170),ISNUMBER(G170),F170&gt;0,1-N(Ввод!$J$19)/100&gt;0),G170/(1-N(Ввод!$J$19)/100),IF(AND(ISNUMBER(I170),ISNUMBER(J170),I170&gt;0),J170/(1+N(Ввод!$J$19)/100),""))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IF(AND(ISNUMBER(F171),ISNUMBER(G171),F171&gt;0,1-N(Ввод!$J$19)/100&gt;0),G171/(1-N(Ввод!$J$19)/100),IF(AND(ISNUMBER(I171),ISNUMBER(J171),I171&gt;0),J171/(1+N(Ввод!$J$19)/100),""))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IF(AND(ISNUMBER(F172),ISNUMBER(G172),F172&gt;0,1-N(Ввод!$J$19)/100&gt;0),G172/(1-N(Ввод!$J$19)/100),IF(AND(ISNUMBER(I172),ISNUMBER(J172),I172&gt;0),J172/(1+N(Ввод!$J$19)/100),""))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IF(AND(ISNUMBER(F173),ISNUMBER(G173),F173&gt;0,1-N(Ввод!$J$19)/100&gt;0),G173/(1-N(Ввод!$J$19)/100),IF(AND(ISNUMBER(I173),ISNUMBER(J173),I173&gt;0),J173/(1+N(Ввод!$J$19)/100),""))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IF(AND(ISNUMBER(F174),ISNUMBER(G174),F174&gt;0,1-N(Ввод!$J$19)/100&gt;0),G174/(1-N(Ввод!$J$19)/100),IF(AND(ISNUMBER(I174),ISNUMBER(J174),I174&gt;0),J174/(1+N(Ввод!$J$19)/100),""))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IF(AND(ISNUMBER(F175),ISNUMBER(G175),F175&gt;0,1-N(Ввод!$J$19)/100&gt;0),G175/(1-N(Ввод!$J$19)/100),IF(AND(ISNUMBER(I175),ISNUMBER(J175),I175&gt;0),J175/(1+N(Ввод!$J$19)/100),""))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IF(AND(ISNUMBER(F176),ISNUMBER(G176),F176&gt;0,1-N(Ввод!$J$19)/100&gt;0),G176/(1-N(Ввод!$J$19)/100),IF(AND(ISNUMBER(I176),ISNUMBER(J176),I176&gt;0),J176/(1+N(Ввод!$J$19)/100),""))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IF(AND(ISNUMBER(F177),ISNUMBER(G177),F177&gt;0,1-N(Ввод!$J$19)/100&gt;0),G177/(1-N(Ввод!$J$19)/100),IF(AND(ISNUMBER(I177),ISNUMBER(J177),I177&gt;0),J177/(1+N(Ввод!$J$19)/100),""))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IF(AND(ISNUMBER(F178),ISNUMBER(G178),F178&gt;0,1-N(Ввод!$J$19)/100&gt;0),G178/(1-N(Ввод!$J$19)/100),IF(AND(ISNUMBER(I178),ISNUMBER(J178),I178&gt;0),J178/(1+N(Ввод!$J$19)/100),""))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IF(AND(ISNUMBER(F179),ISNUMBER(G179),F179&gt;0,1-N(Ввод!$J$19)/100&gt;0),G179/(1-N(Ввод!$J$19)/100),IF(AND(ISNUMBER(I179),ISNUMBER(J179),I179&gt;0),J179/(1+N(Ввод!$J$19)/100),""))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IF(AND(ISNUMBER(F180),ISNUMBER(G180),F180&gt;0,1-N(Ввод!$J$19)/100&gt;0),G180/(1-N(Ввод!$J$19)/100),IF(AND(ISNUMBER(I180),ISNUMBER(J180),I180&gt;0),J180/(1+N(Ввод!$J$19)/100),""))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IF(AND(ISNUMBER(F181),ISNUMBER(G181),F181&gt;0,1-N(Ввод!$J$19)/100&gt;0),G181/(1-N(Ввод!$J$19)/100),IF(AND(ISNUMBER(I181),ISNUMBER(J181),I181&gt;0),J181/(1+N(Ввод!$J$19)/100),""))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IF(AND(ISNUMBER(F182),ISNUMBER(G182),F182&gt;0,1-N(Ввод!$J$19)/100&gt;0),G182/(1-N(Ввод!$J$19)/100),IF(AND(ISNUMBER(I182),ISNUMBER(J182),I182&gt;0),J182/(1+N(Ввод!$J$19)/100),""))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IF(AND(ISNUMBER(F183),ISNUMBER(G183),F183&gt;0,1-N(Ввод!$J$19)/100&gt;0),G183/(1-N(Ввод!$J$19)/100),IF(AND(ISNUMBER(I183),ISNUMBER(J183),I183&gt;0),J183/(1+N(Ввод!$J$19)/100),""))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IF(AND(ISNUMBER(F184),ISNUMBER(G184),F184&gt;0,1-N(Ввод!$J$19)/100&gt;0),G184/(1-N(Ввод!$J$19)/100),IF(AND(ISNUMBER(I184),ISNUMBER(J184),I184&gt;0),J184/(1+N(Ввод!$J$19)/100),""))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IF(AND(ISNUMBER(F185),ISNUMBER(G185),F185&gt;0,1-N(Ввод!$J$19)/100&gt;0),G185/(1-N(Ввод!$J$19)/100),IF(AND(ISNUMBER(I185),ISNUMBER(J185),I185&gt;0),J185/(1+N(Ввод!$J$19)/100),""))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IF(AND(ISNUMBER(F186),ISNUMBER(G186),F186&gt;0,1-N(Ввод!$J$19)/100&gt;0),G186/(1-N(Ввод!$J$19)/100),IF(AND(ISNUMBER(I186),ISNUMBER(J186),I186&gt;0),J186/(1+N(Ввод!$J$19)/100),""))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IF(AND(ISNUMBER(F187),ISNUMBER(G187),F187&gt;0,1-N(Ввод!$J$19)/100&gt;0),G187/(1-N(Ввод!$J$19)/100),IF(AND(ISNUMBER(I187),ISNUMBER(J187),I187&gt;0),J187/(1+N(Ввод!$J$19)/100),""))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IF(AND(ISNUMBER(F188),ISNUMBER(G188),F188&gt;0,1-N(Ввод!$J$19)/100&gt;0),G188/(1-N(Ввод!$J$19)/100),IF(AND(ISNUMBER(I188),ISNUMBER(J188),I188&gt;0),J188/(1+N(Ввод!$J$19)/100),""))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IF(AND(ISNUMBER(F189),ISNUMBER(G189),F189&gt;0,1-N(Ввод!$J$19)/100&gt;0),G189/(1-N(Ввод!$J$19)/100),IF(AND(ISNUMBER(I189),ISNUMBER(J189),I189&gt;0),J189/(1+N(Ввод!$J$19)/100),""))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IF(AND(ISNUMBER(F190),ISNUMBER(G190),F190&gt;0,1-N(Ввод!$J$19)/100&gt;0),G190/(1-N(Ввод!$J$19)/100),IF(AND(ISNUMBER(I190),ISNUMBER(J190),I190&gt;0),J190/(1+N(Ввод!$J$19)/100),""))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IF(AND(ISNUMBER(F191),ISNUMBER(G191),F191&gt;0,1-N(Ввод!$J$19)/100&gt;0),G191/(1-N(Ввод!$J$19)/100),IF(AND(ISNUMBER(I191),ISNUMBER(J191),I191&gt;0),J191/(1+N(Ввод!$J$19)/100),""))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IF(AND(ISNUMBER(F192),ISNUMBER(G192),F192&gt;0,1-N(Ввод!$J$19)/100&gt;0),G192/(1-N(Ввод!$J$19)/100),IF(AND(ISNUMBER(I192),ISNUMBER(J192),I192&gt;0),J192/(1+N(Ввод!$J$19)/100),""))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IF(AND(ISNUMBER(F193),ISNUMBER(G193),F193&gt;0,1-N(Ввод!$J$19)/100&gt;0),G193/(1-N(Ввод!$J$19)/100),IF(AND(ISNUMBER(I193),ISNUMBER(J193),I193&gt;0),J193/(1+N(Ввод!$J$19)/100),""))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IF(AND(ISNUMBER(F194),ISNUMBER(G194),F194&gt;0,1-N(Ввод!$J$19)/100&gt;0),G194/(1-N(Ввод!$J$19)/100),IF(AND(ISNUMBER(I194),ISNUMBER(J194),I194&gt;0),J194/(1+N(Ввод!$J$19)/100),""))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IF(AND(ISNUMBER(F195),ISNUMBER(G195),F195&gt;0,1-N(Ввод!$J$19)/100&gt;0),G195/(1-N(Ввод!$J$19)/100),IF(AND(ISNUMBER(I195),ISNUMBER(J195),I195&gt;0),J195/(1+N(Ввод!$J$19)/100),""))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IF(AND(ISNUMBER(F196),ISNUMBER(G196),F196&gt;0,1-N(Ввод!$J$19)/100&gt;0),G196/(1-N(Ввод!$J$19)/100),IF(AND(ISNUMBER(I196),ISNUMBER(J196),I196&gt;0),J196/(1+N(Ввод!$J$19)/100),""))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IF(AND(ISNUMBER(F197),ISNUMBER(G197),F197&gt;0,1-N(Ввод!$J$19)/100&gt;0),G197/(1-N(Ввод!$J$19)/100),IF(AND(ISNUMBER(I197),ISNUMBER(J197),I197&gt;0),J197/(1+N(Ввод!$J$19)/100),""))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IF(AND(ISNUMBER(F198),ISNUMBER(G198),F198&gt;0,1-N(Ввод!$J$19)/100&gt;0),G198/(1-N(Ввод!$J$19)/100),IF(AND(ISNUMBER(I198),ISNUMBER(J198),I198&gt;0),J198/(1+N(Ввод!$J$19)/100),""))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IF(AND(ISNUMBER(F199),ISNUMBER(G199),F199&gt;0,1-N(Ввод!$J$19)/100&gt;0),G199/(1-N(Ввод!$J$19)/100),IF(AND(ISNUMBER(I199),ISNUMBER(J199),I199&gt;0),J199/(1+N(Ввод!$J$19)/100),""))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IF(AND(ISNUMBER(F200),ISNUMBER(G200),F200&gt;0,1-N(Ввод!$J$19)/100&gt;0),G200/(1-N(Ввод!$J$19)/100),IF(AND(ISNUMBER(I200),ISNUMBER(J200),I200&gt;0),J200/(1+N(Ввод!$J$19)/100),""))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IF(AND(ISNUMBER(F201),ISNUMBER(G201),F201&gt;0,1-N(Ввод!$J$19)/100&gt;0),G201/(1-N(Ввод!$J$19)/100),IF(AND(ISNUMBER(I201),ISNUMBER(J201),I201&gt;0),J201/(1+N(Ввод!$J$19)/100),""))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IF(AND(ISNUMBER(F202),ISNUMBER(G202),F202&gt;0,1-N(Ввод!$J$19)/100&gt;0),G202/(1-N(Ввод!$J$19)/100),IF(AND(ISNUMBER(I202),ISNUMBER(J202),I202&gt;0),J202/(1+N(Ввод!$J$19)/100),""))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IF(AND(ISNUMBER(F203),ISNUMBER(G203),F203&gt;0,1-N(Ввод!$J$19)/100&gt;0),G203/(1-N(Ввод!$J$19)/100),IF(AND(ISNUMBER(I203),ISNUMBER(J203),I203&gt;0),J203/(1+N(Ввод!$J$19)/100),""))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IF(AND(ISNUMBER(F204),ISNUMBER(G204),F204&gt;0,1-N(Ввод!$J$19)/100&gt;0),G204/(1-N(Ввод!$J$19)/100),IF(AND(ISNUMBER(I204),ISNUMBER(J204),I204&gt;0),J204/(1+N(Ввод!$J$19)/100),""))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IF(AND(ISNUMBER(F205),ISNUMBER(G205),F205&gt;0,1-N(Ввод!$J$19)/100&gt;0),G205/(1-N(Ввод!$J$19)/100),IF(AND(ISNUMBER(I205),ISNUMBER(J205),I205&gt;0),J205/(1+N(Ввод!$J$19)/100),""))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IF(AND(ISNUMBER(F206),ISNUMBER(G206),F206&gt;0,1-N(Ввод!$J$19)/100&gt;0),G206/(1-N(Ввод!$J$19)/100),IF(AND(ISNUMBER(I206),ISNUMBER(J206),I206&gt;0),J206/(1+N(Ввод!$J$19)/100),""))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IF(AND(ISNUMBER(F207),ISNUMBER(G207),F207&gt;0,1-N(Ввод!$J$19)/100&gt;0),G207/(1-N(Ввод!$J$19)/100),IF(AND(ISNUMBER(I207),ISNUMBER(J207),I207&gt;0),J207/(1+N(Ввод!$J$19)/100),""))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IF(AND(ISNUMBER(F208),ISNUMBER(G208),F208&gt;0,1-N(Ввод!$J$19)/100&gt;0),G208/(1-N(Ввод!$J$19)/100),IF(AND(ISNUMBER(I208),ISNUMBER(J208),I208&gt;0),J208/(1+N(Ввод!$J$19)/100),""))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IF(AND(ISNUMBER(F209),ISNUMBER(G209),F209&gt;0,1-N(Ввод!$J$19)/100&gt;0),G209/(1-N(Ввод!$J$19)/100),IF(AND(ISNUMBER(I209),ISNUMBER(J209),I209&gt;0),J209/(1+N(Ввод!$J$19)/100),""))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IF(AND(ISNUMBER(F210),ISNUMBER(G210),F210&gt;0,1-N(Ввод!$J$19)/100&gt;0),G210/(1-N(Ввод!$J$19)/100),IF(AND(ISNUMBER(I210),ISNUMBER(J210),I210&gt;0),J210/(1+N(Ввод!$J$19)/100),""))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IF(AND(ISNUMBER(F211),ISNUMBER(G211),F211&gt;0,1-N(Ввод!$J$19)/100&gt;0),G211/(1-N(Ввод!$J$19)/100),IF(AND(ISNUMBER(I211),ISNUMBER(J211),I211&gt;0),J211/(1+N(Ввод!$J$19)/100),""))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IF(AND(ISNUMBER(F212),ISNUMBER(G212),F212&gt;0,1-N(Ввод!$J$19)/100&gt;0),G212/(1-N(Ввод!$J$19)/100),IF(AND(ISNUMBER(I212),ISNUMBER(J212),I212&gt;0),J212/(1+N(Ввод!$J$19)/100),""))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IF(AND(ISNUMBER(F213),ISNUMBER(G213),F213&gt;0,1-N(Ввод!$J$19)/100&gt;0),G213/(1-N(Ввод!$J$19)/100),IF(AND(ISNUMBER(I213),ISNUMBER(J213),I213&gt;0),J213/(1+N(Ввод!$J$19)/100),""))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IF(AND(ISNUMBER(F214),ISNUMBER(G214),F214&gt;0,1-N(Ввод!$J$19)/100&gt;0),G214/(1-N(Ввод!$J$19)/100),IF(AND(ISNUMBER(I214),ISNUMBER(J214),I214&gt;0),J214/(1+N(Ввод!$J$19)/100),""))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IF(AND(ISNUMBER(F215),ISNUMBER(G215),F215&gt;0,1-N(Ввод!$J$19)/100&gt;0),G215/(1-N(Ввод!$J$19)/100),IF(AND(ISNUMBER(I215),ISNUMBER(J215),I215&gt;0),J215/(1+N(Ввод!$J$19)/100),""))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IF(AND(ISNUMBER(F216),ISNUMBER(G216),F216&gt;0,1-N(Ввод!$J$19)/100&gt;0),G216/(1-N(Ввод!$J$19)/100),IF(AND(ISNUMBER(I216),ISNUMBER(J216),I216&gt;0),J216/(1+N(Ввод!$J$19)/100),""))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IF(AND(ISNUMBER(F217),ISNUMBER(G217),F217&gt;0,1-N(Ввод!$J$19)/100&gt;0),G217/(1-N(Ввод!$J$19)/100),IF(AND(ISNUMBER(I217),ISNUMBER(J217),I217&gt;0),J217/(1+N(Ввод!$J$19)/100),""))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IF(AND(ISNUMBER(F218),ISNUMBER(G218),F218&gt;0,1-N(Ввод!$J$19)/100&gt;0),G218/(1-N(Ввод!$J$19)/100),IF(AND(ISNUMBER(I218),ISNUMBER(J218),I218&gt;0),J218/(1+N(Ввод!$J$19)/100),""))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IF(AND(ISNUMBER(F219),ISNUMBER(G219),F219&gt;0,1-N(Ввод!$J$19)/100&gt;0),G219/(1-N(Ввод!$J$19)/100),IF(AND(ISNUMBER(I219),ISNUMBER(J219),I219&gt;0),J219/(1+N(Ввод!$J$19)/100),""))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IF(AND(ISNUMBER(F220),ISNUMBER(G220),F220&gt;0,1-N(Ввод!$J$19)/100&gt;0),G220/(1-N(Ввод!$J$19)/100),IF(AND(ISNUMBER(I220),ISNUMBER(J220),I220&gt;0),J220/(1+N(Ввод!$J$19)/100),""))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IF(AND(ISNUMBER(F221),ISNUMBER(G221),F221&gt;0,1-N(Ввод!$J$19)/100&gt;0),G221/(1-N(Ввод!$J$19)/100),IF(AND(ISNUMBER(I221),ISNUMBER(J221),I221&gt;0),J221/(1+N(Ввод!$J$19)/100),""))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IF(AND(ISNUMBER(F222),ISNUMBER(G222),F222&gt;0,1-N(Ввод!$J$19)/100&gt;0),G222/(1-N(Ввод!$J$19)/100),IF(AND(ISNUMBER(I222),ISNUMBER(J222),I222&gt;0),J222/(1+N(Ввод!$J$19)/100),""))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IF(AND(ISNUMBER(F223),ISNUMBER(G223),F223&gt;0,1-N(Ввод!$J$19)/100&gt;0),G223/(1-N(Ввод!$J$19)/100),IF(AND(ISNUMBER(I223),ISNUMBER(J223),I223&gt;0),J223/(1+N(Ввод!$J$19)/100),""))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IF(AND(ISNUMBER(F224),ISNUMBER(G224),F224&gt;0,1-N(Ввод!$J$19)/100&gt;0),G224/(1-N(Ввод!$J$19)/100),IF(AND(ISNUMBER(I224),ISNUMBER(J224),I224&gt;0),J224/(1+N(Ввод!$J$19)/100),""))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IF(AND(ISNUMBER(F225),ISNUMBER(G225),F225&gt;0,1-N(Ввод!$J$19)/100&gt;0),G225/(1-N(Ввод!$J$19)/100),IF(AND(ISNUMBER(I225),ISNUMBER(J225),I225&gt;0),J225/(1+N(Ввод!$J$19)/100),""))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IF(AND(ISNUMBER(F226),ISNUMBER(G226),F226&gt;0,1-N(Ввод!$J$19)/100&gt;0),G226/(1-N(Ввод!$J$19)/100),IF(AND(ISNUMBER(I226),ISNUMBER(J226),I226&gt;0),J226/(1+N(Ввод!$J$19)/100),""))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IF(AND(ISNUMBER(F227),ISNUMBER(G227),F227&gt;0,1-N(Ввод!$J$19)/100&gt;0),G227/(1-N(Ввод!$J$19)/100),IF(AND(ISNUMBER(I227),ISNUMBER(J227),I227&gt;0),J227/(1+N(Ввод!$J$19)/100),""))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IF(AND(ISNUMBER(F228),ISNUMBER(G228),F228&gt;0,1-N(Ввод!$J$19)/100&gt;0),G228/(1-N(Ввод!$J$19)/100),IF(AND(ISNUMBER(I228),ISNUMBER(J228),I228&gt;0),J228/(1+N(Ввод!$J$19)/100),""))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IF(AND(ISNUMBER(F229),ISNUMBER(G229),F229&gt;0,1-N(Ввод!$J$19)/100&gt;0),G229/(1-N(Ввод!$J$19)/100),IF(AND(ISNUMBER(I229),ISNUMBER(J229),I229&gt;0),J229/(1+N(Ввод!$J$19)/100),""))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IF(AND(ISNUMBER(F230),ISNUMBER(G230),F230&gt;0,1-N(Ввод!$J$19)/100&gt;0),G230/(1-N(Ввод!$J$19)/100),IF(AND(ISNUMBER(I230),ISNUMBER(J230),I230&gt;0),J230/(1+N(Ввод!$J$19)/100),""))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IF(AND(ISNUMBER(F231),ISNUMBER(G231),F231&gt;0,1-N(Ввод!$J$19)/100&gt;0),G231/(1-N(Ввод!$J$19)/100),IF(AND(ISNUMBER(I231),ISNUMBER(J231),I231&gt;0),J231/(1+N(Ввод!$J$19)/100),""))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IF(AND(ISNUMBER(F232),ISNUMBER(G232),F232&gt;0,1-N(Ввод!$J$19)/100&gt;0),G232/(1-N(Ввод!$J$19)/100),IF(AND(ISNUMBER(I232),ISNUMBER(J232),I232&gt;0),J232/(1+N(Ввод!$J$19)/100),""))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IF(AND(ISNUMBER(F233),ISNUMBER(G233),F233&gt;0,1-N(Ввод!$J$19)/100&gt;0),G233/(1-N(Ввод!$J$19)/100),IF(AND(ISNUMBER(I233),ISNUMBER(J233),I233&gt;0),J233/(1+N(Ввод!$J$19)/100),""))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IF(AND(ISNUMBER(F234),ISNUMBER(G234),F234&gt;0,1-N(Ввод!$J$19)/100&gt;0),G234/(1-N(Ввод!$J$19)/100),IF(AND(ISNUMBER(I234),ISNUMBER(J234),I234&gt;0),J234/(1+N(Ввод!$J$19)/100),""))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IF(AND(ISNUMBER(F235),ISNUMBER(G235),F235&gt;0,1-N(Ввод!$J$19)/100&gt;0),G235/(1-N(Ввод!$J$19)/100),IF(AND(ISNUMBER(I235),ISNUMBER(J235),I235&gt;0),J235/(1+N(Ввод!$J$19)/100),""))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IF(AND(ISNUMBER(F236),ISNUMBER(G236),F236&gt;0,1-N(Ввод!$J$19)/100&gt;0),G236/(1-N(Ввод!$J$19)/100),IF(AND(ISNUMBER(I236),ISNUMBER(J236),I236&gt;0),J236/(1+N(Ввод!$J$19)/100),""))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IF(AND(ISNUMBER(F237),ISNUMBER(G237),F237&gt;0,1-N(Ввод!$J$19)/100&gt;0),G237/(1-N(Ввод!$J$19)/100),IF(AND(ISNUMBER(I237),ISNUMBER(J237),I237&gt;0),J237/(1+N(Ввод!$J$19)/100),""))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IF(AND(ISNUMBER(F238),ISNUMBER(G238),F238&gt;0,1-N(Ввод!$J$19)/100&gt;0),G238/(1-N(Ввод!$J$19)/100),IF(AND(ISNUMBER(I238),ISNUMBER(J238),I238&gt;0),J238/(1+N(Ввод!$J$19)/100),""))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IF(AND(ISNUMBER(F239),ISNUMBER(G239),F239&gt;0,1-N(Ввод!$J$19)/100&gt;0),G239/(1-N(Ввод!$J$19)/100),IF(AND(ISNUMBER(I239),ISNUMBER(J239),I239&gt;0),J239/(1+N(Ввод!$J$19)/100),""))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IF(AND(ISNUMBER(F240),ISNUMBER(G240),F240&gt;0,1-N(Ввод!$J$19)/100&gt;0),G240/(1-N(Ввод!$J$19)/100),IF(AND(ISNUMBER(I240),ISNUMBER(J240),I240&gt;0),J240/(1+N(Ввод!$J$19)/100),""))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IF(AND(ISNUMBER(F241),ISNUMBER(G241),F241&gt;0,1-N(Ввод!$J$19)/100&gt;0),G241/(1-N(Ввод!$J$19)/100),IF(AND(ISNUMBER(I241),ISNUMBER(J241),I241&gt;0),J241/(1+N(Ввод!$J$19)/100),""))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IF(AND(ISNUMBER(F242),ISNUMBER(G242),F242&gt;0,1-N(Ввод!$J$19)/100&gt;0),G242/(1-N(Ввод!$J$19)/100),IF(AND(ISNUMBER(I242),ISNUMBER(J242),I242&gt;0),J242/(1+N(Ввод!$J$19)/100),""))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IF(AND(ISNUMBER(F243),ISNUMBER(G243),F243&gt;0,1-N(Ввод!$J$19)/100&gt;0),G243/(1-N(Ввод!$J$19)/100),IF(AND(ISNUMBER(I243),ISNUMBER(J243),I243&gt;0),J243/(1+N(Ввод!$J$19)/100),""))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IF(AND(ISNUMBER(F244),ISNUMBER(G244),F244&gt;0,1-N(Ввод!$J$19)/100&gt;0),G244/(1-N(Ввод!$J$19)/100),IF(AND(ISNUMBER(I244),ISNUMBER(J244),I244&gt;0),J244/(1+N(Ввод!$J$19)/100),""))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IF(AND(ISNUMBER(F245),ISNUMBER(G245),F245&gt;0,1-N(Ввод!$J$19)/100&gt;0),G245/(1-N(Ввод!$J$19)/100),IF(AND(ISNUMBER(I245),ISNUMBER(J245),I245&gt;0),J245/(1+N(Ввод!$J$19)/100),""))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IF(AND(ISNUMBER(F246),ISNUMBER(G246),F246&gt;0,1-N(Ввод!$J$19)/100&gt;0),G246/(1-N(Ввод!$J$19)/100),IF(AND(ISNUMBER(I246),ISNUMBER(J246),I246&gt;0),J246/(1+N(Ввод!$J$19)/100),""))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IF(AND(ISNUMBER(F247),ISNUMBER(G247),F247&gt;0,1-N(Ввод!$J$19)/100&gt;0),G247/(1-N(Ввод!$J$19)/100),IF(AND(ISNUMBER(I247),ISNUMBER(J247),I247&gt;0),J247/(1+N(Ввод!$J$19)/100),""))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IF(AND(ISNUMBER(F248),ISNUMBER(G248),F248&gt;0,1-N(Ввод!$J$19)/100&gt;0),G248/(1-N(Ввод!$J$19)/100),IF(AND(ISNUMBER(I248),ISNUMBER(J248),I248&gt;0),J248/(1+N(Ввод!$J$19)/100),""))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IF(AND(ISNUMBER(F249),ISNUMBER(G249),F249&gt;0,1-N(Ввод!$J$19)/100&gt;0),G249/(1-N(Ввод!$J$19)/100),IF(AND(ISNUMBER(I249),ISNUMBER(J249),I249&gt;0),J249/(1+N(Ввод!$J$19)/100),""))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IF(AND(ISNUMBER(F250),ISNUMBER(G250),F250&gt;0,1-N(Ввод!$J$19)/100&gt;0),G250/(1-N(Ввод!$J$19)/100),IF(AND(ISNUMBER(I250),ISNUMBER(J250),I250&gt;0),J250/(1+N(Ввод!$J$19)/100),""))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IF(AND(ISNUMBER(F251),ISNUMBER(G251),F251&gt;0,1-N(Ввод!$J$19)/100&gt;0),G251/(1-N(Ввод!$J$19)/100),IF(AND(ISNUMBER(I251),ISNUMBER(J251),I251&gt;0),J251/(1+N(Ввод!$J$19)/100),""))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IF(AND(ISNUMBER(F252),ISNUMBER(G252),F252&gt;0,1-N(Ввод!$J$19)/100&gt;0),G252/(1-N(Ввод!$J$19)/100),IF(AND(ISNUMBER(I252),ISNUMBER(J252),I252&gt;0),J252/(1+N(Ввод!$J$19)/100),""))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IF(AND(ISNUMBER(F253),ISNUMBER(G253),F253&gt;0,1-N(Ввод!$J$19)/100&gt;0),G253/(1-N(Ввод!$J$19)/100),IF(AND(ISNUMBER(I253),ISNUMBER(J253),I253&gt;0),J253/(1+N(Ввод!$J$19)/100),""))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IF(AND(ISNUMBER(F254),ISNUMBER(G254),F254&gt;0,1-N(Ввод!$J$19)/100&gt;0),G254/(1-N(Ввод!$J$19)/100),IF(AND(ISNUMBER(I254),ISNUMBER(J254),I254&gt;0),J254/(1+N(Ввод!$J$19)/100),""))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IF(AND(ISNUMBER(F255),ISNUMBER(G255),F255&gt;0,1-N(Ввод!$J$19)/100&gt;0),G255/(1-N(Ввод!$J$19)/100),IF(AND(ISNUMBER(I255),ISNUMBER(J255),I255&gt;0),J255/(1+N(Ввод!$J$19)/100),""))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IF(AND(ISNUMBER(F256),ISNUMBER(G256),F256&gt;0,1-N(Ввод!$J$19)/100&gt;0),G256/(1-N(Ввод!$J$19)/100),IF(AND(ISNUMBER(I256),ISNUMBER(J256),I256&gt;0),J256/(1+N(Ввод!$J$19)/100),""))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IF(AND(ISNUMBER(F257),ISNUMBER(G257),F257&gt;0,1-N(Ввод!$J$19)/100&gt;0),G257/(1-N(Ввод!$J$19)/100),IF(AND(ISNUMBER(I257),ISNUMBER(J257),I257&gt;0),J257/(1+N(Ввод!$J$19)/100),""))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IF(AND(ISNUMBER(F258),ISNUMBER(G258),F258&gt;0,1-N(Ввод!$J$19)/100&gt;0),G258/(1-N(Ввод!$J$19)/100),IF(AND(ISNUMBER(I258),ISNUMBER(J258),I258&gt;0),J258/(1+N(Ввод!$J$19)/100),""))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IF(AND(ISNUMBER(F259),ISNUMBER(G259),F259&gt;0,1-N(Ввод!$J$19)/100&gt;0),G259/(1-N(Ввод!$J$19)/100),IF(AND(ISNUMBER(I259),ISNUMBER(J259),I259&gt;0),J259/(1+N(Ввод!$J$19)/100),""))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IF(AND(ISNUMBER(F260),ISNUMBER(G260),F260&gt;0,1-N(Ввод!$J$19)/100&gt;0),G260/(1-N(Ввод!$J$19)/100),IF(AND(ISNUMBER(I260),ISNUMBER(J260),I260&gt;0),J260/(1+N(Ввод!$J$19)/100),""))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IF(AND(ISNUMBER(F261),ISNUMBER(G261),F261&gt;0,1-N(Ввод!$J$19)/100&gt;0),G261/(1-N(Ввод!$J$19)/100),IF(AND(ISNUMBER(I261),ISNUMBER(J261),I261&gt;0),J261/(1+N(Ввод!$J$19)/100),""))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IF(AND(ISNUMBER(F262),ISNUMBER(G262),F262&gt;0,1-N(Ввод!$J$19)/100&gt;0),G262/(1-N(Ввод!$J$19)/100),IF(AND(ISNUMBER(I262),ISNUMBER(J262),I262&gt;0),J262/(1+N(Ввод!$J$19)/100),""))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IF(AND(ISNUMBER(F263),ISNUMBER(G263),F263&gt;0,1-N(Ввод!$J$19)/100&gt;0),G263/(1-N(Ввод!$J$19)/100),IF(AND(ISNUMBER(I263),ISNUMBER(J263),I263&gt;0),J263/(1+N(Ввод!$J$19)/100),""))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IF(AND(ISNUMBER(F264),ISNUMBER(G264),F264&gt;0,1-N(Ввод!$J$19)/100&gt;0),G264/(1-N(Ввод!$J$19)/100),IF(AND(ISNUMBER(I264),ISNUMBER(J264),I264&gt;0),J264/(1+N(Ввод!$J$19)/100),""))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IF(AND(ISNUMBER(F265),ISNUMBER(G265),F265&gt;0,1-N(Ввод!$J$19)/100&gt;0),G265/(1-N(Ввод!$J$19)/100),IF(AND(ISNUMBER(I265),ISNUMBER(J265),I265&gt;0),J265/(1+N(Ввод!$J$19)/100),""))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IF(AND(ISNUMBER(F266),ISNUMBER(G266),F266&gt;0,1-N(Ввод!$J$19)/100&gt;0),G266/(1-N(Ввод!$J$19)/100),IF(AND(ISNUMBER(I266),ISNUMBER(J266),I266&gt;0),J266/(1+N(Ввод!$J$19)/100),""))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IF(AND(ISNUMBER(F267),ISNUMBER(G267),F267&gt;0,1-N(Ввод!$J$19)/100&gt;0),G267/(1-N(Ввод!$J$19)/100),IF(AND(ISNUMBER(I267),ISNUMBER(J267),I267&gt;0),J267/(1+N(Ввод!$J$19)/100),""))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IF(AND(ISNUMBER(F268),ISNUMBER(G268),F268&gt;0,1-N(Ввод!$J$19)/100&gt;0),G268/(1-N(Ввод!$J$19)/100),IF(AND(ISNUMBER(I268),ISNUMBER(J268),I268&gt;0),J268/(1+N(Ввод!$J$19)/100),""))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IF(AND(ISNUMBER(F269),ISNUMBER(G269),F269&gt;0,1-N(Ввод!$J$19)/100&gt;0),G269/(1-N(Ввод!$J$19)/100),IF(AND(ISNUMBER(I269),ISNUMBER(J269),I269&gt;0),J269/(1+N(Ввод!$J$19)/100),""))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IF(AND(ISNUMBER(F270),ISNUMBER(G270),F270&gt;0,1-N(Ввод!$J$19)/100&gt;0),G270/(1-N(Ввод!$J$19)/100),IF(AND(ISNUMBER(I270),ISNUMBER(J270),I270&gt;0),J270/(1+N(Ввод!$J$19)/100),""))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IF(AND(ISNUMBER(F271),ISNUMBER(G271),F271&gt;0,1-N(Ввод!$J$19)/100&gt;0),G271/(1-N(Ввод!$J$19)/100),IF(AND(ISNUMBER(I271),ISNUMBER(J271),I271&gt;0),J271/(1+N(Ввод!$J$19)/100),""))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IF(AND(ISNUMBER(F272),ISNUMBER(G272),F272&gt;0,1-N(Ввод!$J$19)/100&gt;0),G272/(1-N(Ввод!$J$19)/100),IF(AND(ISNUMBER(I272),ISNUMBER(J272),I272&gt;0),J272/(1+N(Ввод!$J$19)/100),""))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IF(AND(ISNUMBER(F273),ISNUMBER(G273),F273&gt;0,1-N(Ввод!$J$19)/100&gt;0),G273/(1-N(Ввод!$J$19)/100),IF(AND(ISNUMBER(I273),ISNUMBER(J273),I273&gt;0),J273/(1+N(Ввод!$J$19)/100),""))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IF(AND(ISNUMBER(F274),ISNUMBER(G274),F274&gt;0,1-N(Ввод!$J$19)/100&gt;0),G274/(1-N(Ввод!$J$19)/100),IF(AND(ISNUMBER(I274),ISNUMBER(J274),I274&gt;0),J274/(1+N(Ввод!$J$19)/100),""))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IF(AND(ISNUMBER(F275),ISNUMBER(G275),F275&gt;0,1-N(Ввод!$J$19)/100&gt;0),G275/(1-N(Ввод!$J$19)/100),IF(AND(ISNUMBER(I275),ISNUMBER(J275),I275&gt;0),J275/(1+N(Ввод!$J$19)/100),""))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IF(AND(ISNUMBER(F276),ISNUMBER(G276),F276&gt;0,1-N(Ввод!$J$19)/100&gt;0),G276/(1-N(Ввод!$J$19)/100),IF(AND(ISNUMBER(I276),ISNUMBER(J276),I276&gt;0),J276/(1+N(Ввод!$J$19)/100),""))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IF(AND(ISNUMBER(F277),ISNUMBER(G277),F277&gt;0,1-N(Ввод!$J$19)/100&gt;0),G277/(1-N(Ввод!$J$19)/100),IF(AND(ISNUMBER(I277),ISNUMBER(J277),I277&gt;0),J277/(1+N(Ввод!$J$19)/100),""))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IF(AND(ISNUMBER(F278),ISNUMBER(G278),F278&gt;0,1-N(Ввод!$J$19)/100&gt;0),G278/(1-N(Ввод!$J$19)/100),IF(AND(ISNUMBER(I278),ISNUMBER(J278),I278&gt;0),J278/(1+N(Ввод!$J$19)/100),""))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IF(AND(ISNUMBER(F279),ISNUMBER(G279),F279&gt;0,1-N(Ввод!$J$19)/100&gt;0),G279/(1-N(Ввод!$J$19)/100),IF(AND(ISNUMBER(I279),ISNUMBER(J279),I279&gt;0),J279/(1+N(Ввод!$J$19)/100),""))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IF(AND(ISNUMBER(F280),ISNUMBER(G280),F280&gt;0,1-N(Ввод!$J$19)/100&gt;0),G280/(1-N(Ввод!$J$19)/100),IF(AND(ISNUMBER(I280),ISNUMBER(J280),I280&gt;0),J280/(1+N(Ввод!$J$19)/100),""))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IF(AND(ISNUMBER(F281),ISNUMBER(G281),F281&gt;0,1-N(Ввод!$J$19)/100&gt;0),G281/(1-N(Ввод!$J$19)/100),IF(AND(ISNUMBER(I281),ISNUMBER(J281),I281&gt;0),J281/(1+N(Ввод!$J$19)/100),""))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IF(AND(ISNUMBER(F282),ISNUMBER(G282),F282&gt;0,1-N(Ввод!$J$19)/100&gt;0),G282/(1-N(Ввод!$J$19)/100),IF(AND(ISNUMBER(I282),ISNUMBER(J282),I282&gt;0),J282/(1+N(Ввод!$J$19)/100),""))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IF(AND(ISNUMBER(F283),ISNUMBER(G283),F283&gt;0,1-N(Ввод!$J$19)/100&gt;0),G283/(1-N(Ввод!$J$19)/100),IF(AND(ISNUMBER(I283),ISNUMBER(J283),I283&gt;0),J283/(1+N(Ввод!$J$19)/100),""))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IF(AND(ISNUMBER(F284),ISNUMBER(G284),F284&gt;0,1-N(Ввод!$J$19)/100&gt;0),G284/(1-N(Ввод!$J$19)/100),IF(AND(ISNUMBER(I284),ISNUMBER(J284),I284&gt;0),J284/(1+N(Ввод!$J$19)/100),""))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IF(AND(ISNUMBER(F285),ISNUMBER(G285),F285&gt;0,1-N(Ввод!$J$19)/100&gt;0),G285/(1-N(Ввод!$J$19)/100),IF(AND(ISNUMBER(I285),ISNUMBER(J285),I285&gt;0),J285/(1+N(Ввод!$J$19)/100),""))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IF(AND(ISNUMBER(F286),ISNUMBER(G286),F286&gt;0,1-N(Ввод!$J$19)/100&gt;0),G286/(1-N(Ввод!$J$19)/100),IF(AND(ISNUMBER(I286),ISNUMBER(J286),I286&gt;0),J286/(1+N(Ввод!$J$19)/100),""))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IF(AND(ISNUMBER(F287),ISNUMBER(G287),F287&gt;0,1-N(Ввод!$J$19)/100&gt;0),G287/(1-N(Ввод!$J$19)/100),IF(AND(ISNUMBER(I287),ISNUMBER(J287),I287&gt;0),J287/(1+N(Ввод!$J$19)/100),""))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IF(AND(ISNUMBER(F288),ISNUMBER(G288),F288&gt;0,1-N(Ввод!$J$19)/100&gt;0),G288/(1-N(Ввод!$J$19)/100),IF(AND(ISNUMBER(I288),ISNUMBER(J288),I288&gt;0),J288/(1+N(Ввод!$J$19)/100),""))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IF(AND(ISNUMBER(F289),ISNUMBER(G289),F289&gt;0,1-N(Ввод!$J$19)/100&gt;0),G289/(1-N(Ввод!$J$19)/100),IF(AND(ISNUMBER(I289),ISNUMBER(J289),I289&gt;0),J289/(1+N(Ввод!$J$19)/100),""))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IF(AND(ISNUMBER(F290),ISNUMBER(G290),F290&gt;0,1-N(Ввод!$J$19)/100&gt;0),G290/(1-N(Ввод!$J$19)/100),IF(AND(ISNUMBER(I290),ISNUMBER(J290),I290&gt;0),J290/(1+N(Ввод!$J$19)/100),""))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IF(AND(ISNUMBER(F291),ISNUMBER(G291),F291&gt;0,1-N(Ввод!$J$19)/100&gt;0),G291/(1-N(Ввод!$J$19)/100),IF(AND(ISNUMBER(I291),ISNUMBER(J291),I291&gt;0),J291/(1+N(Ввод!$J$19)/100),""))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IF(AND(ISNUMBER(F292),ISNUMBER(G292),F292&gt;0,1-N(Ввод!$J$19)/100&gt;0),G292/(1-N(Ввод!$J$19)/100),IF(AND(ISNUMBER(I292),ISNUMBER(J292),I292&gt;0),J292/(1+N(Ввод!$J$19)/100),""))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IF(AND(ISNUMBER(F293),ISNUMBER(G293),F293&gt;0,1-N(Ввод!$J$19)/100&gt;0),G293/(1-N(Ввод!$J$19)/100),IF(AND(ISNUMBER(I293),ISNUMBER(J293),I293&gt;0),J293/(1+N(Ввод!$J$19)/100),""))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IF(AND(ISNUMBER(F294),ISNUMBER(G294),F294&gt;0,1-N(Ввод!$J$19)/100&gt;0),G294/(1-N(Ввод!$J$19)/100),IF(AND(ISNUMBER(I294),ISNUMBER(J294),I294&gt;0),J294/(1+N(Ввод!$J$19)/100),""))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IF(AND(ISNUMBER(F295),ISNUMBER(G295),F295&gt;0,1-N(Ввод!$J$19)/100&gt;0),G295/(1-N(Ввод!$J$19)/100),IF(AND(ISNUMBER(I295),ISNUMBER(J295),I295&gt;0),J295/(1+N(Ввод!$J$19)/100),""))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IF(AND(ISNUMBER(F296),ISNUMBER(G296),F296&gt;0,1-N(Ввод!$J$19)/100&gt;0),G296/(1-N(Ввод!$J$19)/100),IF(AND(ISNUMBER(I296),ISNUMBER(J296),I296&gt;0),J296/(1+N(Ввод!$J$19)/100),""))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IF(AND(ISNUMBER(F297),ISNUMBER(G297),F297&gt;0,1-N(Ввод!$J$19)/100&gt;0),G297/(1-N(Ввод!$J$19)/100),IF(AND(ISNUMBER(I297),ISNUMBER(J297),I297&gt;0),J297/(1+N(Ввод!$J$19)/100),""))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IF(AND(ISNUMBER(F298),ISNUMBER(G298),F298&gt;0,1-N(Ввод!$J$19)/100&gt;0),G298/(1-N(Ввод!$J$19)/100),IF(AND(ISNUMBER(I298),ISNUMBER(J298),I298&gt;0),J298/(1+N(Ввод!$J$19)/100),""))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IF(AND(ISNUMBER(F299),ISNUMBER(G299),F299&gt;0,1-N(Ввод!$J$19)/100&gt;0),G299/(1-N(Ввод!$J$19)/100),IF(AND(ISNUMBER(I299),ISNUMBER(J299),I299&gt;0),J299/(1+N(Ввод!$J$19)/100),""))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IF(AND(ISNUMBER(F300),ISNUMBER(G300),F300&gt;0,1-N(Ввод!$J$19)/100&gt;0),G300/(1-N(Ввод!$J$19)/100),IF(AND(ISNUMBER(I300),ISNUMBER(J300),I300&gt;0),J300/(1+N(Ввод!$J$19)/100),""))</f>
        <v/>
      </c>
    </row>
  </sheetData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>2</v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>586.17</v>
      </c>
      <c r="E5" s="241">
        <f>IF(C5="","",SUMIFS(Торговля!$H$5:$H$300,Торговля!$E$5:$E$300,$B5)+SUMIFS(Закрытые!$H$5:$H$300,Закрытые!$E$5:$E$300,$B5,Закрытые!$B$5:$B$300,"T-*"))</f>
        <v>1172.34</v>
      </c>
      <c r="F5" s="240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>5</v>
      </c>
      <c r="G5" s="177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>598.8</v>
      </c>
      <c r="H5" s="241">
        <f>IF(F5="","",SUMIFS(Торговля!$K$5:$K$300,Торговля!$E$5:$E$300,$B5)+SUMIFS(Закрытые!$K$5:$K$300,Закрытые!$E$5:$E$300,$B5,Закрытые!$B$5:$B$300,"T-*"))</f>
        <v>2994</v>
      </c>
      <c r="I5" s="240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>-3</v>
      </c>
      <c r="J5" s="241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>1821.66</v>
      </c>
      <c r="K5" s="240">
        <f>IF(MIN(N(C5),N(F5))&lt;=0,"",ROUND(MIN(N(C5),N(F5))*(N(G5)-N(D5)),8))</f>
        <v>25.26</v>
      </c>
      <c r="L5" s="177">
        <f>IF(MIN(N(C5),N(F5))&lt;=0,"",IF(N(D5)=0,"",ROUND((N(G5)/N(D5)-1)*100,2)))</f>
        <v>2.15</v>
      </c>
      <c r="M5" s="177">
        <f>IF(OR(ROUND(N(C5)-N(F5),8)=0,1-N(Ввод!$J$19)/100&lt;=0),"",IF(N(C5)&gt;N(F5),(N(E5)-N(H5))/((N(C5)-N(F5))*(1-N(Ввод!$J$19)/100)),(N(H5)-N(E5))/((N(F5)-N(C5))*(1+N(Ввод!$J$19)/100))))</f>
        <v>606.007984031936</v>
      </c>
    </row>
    <row r="6" ht="22" customHeight="1">
      <c r="B6" s="245" t="inlineStr">
        <is>
          <t>BTC/USDT</t>
        </is>
      </c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>0.15</v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>62190.8</v>
      </c>
      <c r="E6" s="247">
        <f>IF(C6="","",SUMIFS(Торговля!$H$5:$H$300,Торговля!$E$5:$E$300,$B6)+SUMIFS(Закрытые!$H$5:$H$300,Закрытые!$E$5:$E$300,$B6,Закрытые!$B$5:$B$300,"T-*"))</f>
        <v>9328.62</v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>0.05</v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>62874</v>
      </c>
      <c r="H6" s="247">
        <f>IF(F6="","",SUMIFS(Торговля!$K$5:$K$300,Торговля!$E$5:$E$300,$B6)+SUMIFS(Закрытые!$K$5:$K$300,Закрытые!$E$5:$E$300,$B6,Закрытые!$B$5:$B$300,"T-*"))</f>
        <v>3143.7</v>
      </c>
      <c r="I6" s="246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>0.1</v>
      </c>
      <c r="J6" s="247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>-6184.92</v>
      </c>
      <c r="K6" s="246">
        <f>IF(MIN(N(C6),N(F6))&lt;=0,"",ROUND(MIN(N(C6),N(F6))*(N(G6)-N(D6)),8))</f>
        <v>34.16</v>
      </c>
      <c r="L6" s="183">
        <f>IF(MIN(N(C6),N(F6))&lt;=0,"",IF(N(D6)=0,"",ROUND((N(G6)/N(D6)-1)*100,2)))</f>
        <v>1.1</v>
      </c>
      <c r="M6" s="183">
        <f>IF(OR(ROUND(N(C6)-N(F6),8)=0,1-N(Ввод!$J$19)/100&lt;=0),"",IF(N(C6)&gt;N(F6),(N(E6)-N(H6))/((N(C6)-N(F6))*(1-N(Ввод!$J$19)/100)),(N(H6)-N(E6))/((N(F6)-N(C6))*(1+N(Ввод!$J$19)/100))))</f>
        <v>61973.1462925852</v>
      </c>
    </row>
    <row r="7" ht="22" customHeight="1">
      <c r="B7" s="239" t="inlineStr">
        <is>
          <t>ETH/BTC</t>
        </is>
      </c>
      <c r="C7" s="240" t="str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/>
      </c>
      <c r="D7" s="177" t="str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/>
      </c>
      <c r="E7" s="241" t="str">
        <f>IF(C7="","",SUMIFS(Торговля!$H$5:$H$300,Торговля!$E$5:$E$300,$B7)+SUMIFS(Закрытые!$H$5:$H$300,Закрытые!$E$5:$E$300,$B7,Закрытые!$B$5:$B$300,"T-*"))</f>
        <v/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>1.5</v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>0.052395</v>
      </c>
      <c r="H7" s="241">
        <f>IF(F7="","",SUMIFS(Торговля!$K$5:$K$300,Торговля!$E$5:$E$300,$B7)+SUMIFS(Закрытые!$K$5:$K$300,Закрытые!$E$5:$E$300,$B7,Закрытые!$B$5:$B$300,"T-*"))</f>
        <v>0.0785925</v>
      </c>
      <c r="I7" s="240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>-1.5</v>
      </c>
      <c r="J7" s="241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>0.0785925</v>
      </c>
      <c r="K7" s="240" t="str">
        <f>IF(MIN(N(C7),N(F7))&lt;=0,"",ROUND(MIN(N(C7),N(F7))*(N(G7)-N(D7)),8))</f>
        <v/>
      </c>
      <c r="L7" s="177" t="str">
        <f>IF(MIN(N(C7),N(F7))&lt;=0,"",IF(N(D7)=0,"",ROUND((N(G7)/N(D7)-1)*100,2)))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>0.0522904191616766</v>
      </c>
    </row>
    <row r="8" ht="22" customHeight="1">
      <c r="B8" s="245" t="inlineStr">
        <is>
          <t>ETH/USDT</t>
        </is>
      </c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>4</v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>3210.408</v>
      </c>
      <c r="E8" s="247">
        <f>IF(C8="","",SUMIFS(Торговля!$H$5:$H$300,Торговля!$E$5:$E$300,$B8)+SUMIFS(Закрытые!$H$5:$H$300,Закрытые!$E$5:$E$300,$B8,Закрытые!$B$5:$B$300,"T-*"))</f>
        <v>12841.632</v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>2.5</v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>3373.24</v>
      </c>
      <c r="H8" s="247">
        <f>IF(F8="","",SUMIFS(Торговля!$K$5:$K$300,Торговля!$E$5:$E$300,$B8)+SUMIFS(Закрытые!$K$5:$K$300,Закрытые!$E$5:$E$300,$B8,Закрытые!$B$5:$B$300,"T-*"))</f>
        <v>8433.1</v>
      </c>
      <c r="I8" s="246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>1.5</v>
      </c>
      <c r="J8" s="247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>-4408.532</v>
      </c>
      <c r="K8" s="246">
        <f>IF(MIN(N(C8),N(F8))&lt;=0,"",ROUND(MIN(N(C8),N(F8))*(N(G8)-N(D8)),8))</f>
        <v>407.08</v>
      </c>
      <c r="L8" s="183">
        <f>IF(MIN(N(C8),N(F8))&lt;=0,"",IF(N(D8)=0,"",ROUND((N(G8)/N(D8)-1)*100,2)))</f>
        <v>5.07</v>
      </c>
      <c r="M8" s="183">
        <f>IF(OR(ROUND(N(C8)-N(F8),8)=0,1-N(Ввод!$J$19)/100&lt;=0),"",IF(N(C8)&gt;N(F8),(N(E8)-N(H8))/((N(C8)-N(F8))*(1-N(Ввод!$J$19)/100)),(N(H8)-N(E8))/((N(F8)-N(C8))*(1+N(Ввод!$J$19)/100))))</f>
        <v>2944.91115564462</v>
      </c>
    </row>
    <row r="9" ht="22" customHeight="1">
      <c r="B9" s="239" t="inlineStr">
        <is>
          <t>SOL/USDT</t>
        </is>
      </c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>45</v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>145.846666666667</v>
      </c>
      <c r="E9" s="241">
        <f>IF(C9="","",SUMIFS(Торговля!$H$5:$H$300,Торговля!$E$5:$E$300,$B9)+SUMIFS(Закрытые!$H$5:$H$300,Закрытые!$E$5:$E$300,$B9,Закрытые!$B$5:$B$300,"T-*"))</f>
        <v>6563.1</v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>60</v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>150.698</v>
      </c>
      <c r="H9" s="241">
        <f>IF(F9="","",SUMIFS(Торговля!$K$5:$K$300,Торговля!$E$5:$E$300,$B9)+SUMIFS(Закрытые!$K$5:$K$300,Закрытые!$E$5:$E$300,$B9,Закрытые!$B$5:$B$300,"T-*"))</f>
        <v>9041.88</v>
      </c>
      <c r="I9" s="240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>-15</v>
      </c>
      <c r="J9" s="241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>2478.78</v>
      </c>
      <c r="K9" s="240">
        <f>IF(MIN(N(C9),N(F9))&lt;=0,"",ROUND(MIN(N(C9),N(F9))*(N(G9)-N(D9)),8))</f>
        <v>218.31</v>
      </c>
      <c r="L9" s="177">
        <f>IF(MIN(N(C9),N(F9))&lt;=0,"",IF(N(D9)=0,"",ROUND((N(G9)/N(D9)-1)*100,2)))</f>
        <v>3.33</v>
      </c>
      <c r="M9" s="177">
        <f>IF(OR(ROUND(N(C9)-N(F9),8)=0,1-N(Ввод!$J$19)/100&lt;=0),"",IF(N(C9)&gt;N(F9),(N(E9)-N(H9))/((N(C9)-N(F9))*(1-N(Ввод!$J$19)/100)),(N(H9)-N(E9))/((N(F9)-N(C9))*(1+N(Ввод!$J$19)/100))))</f>
        <v>164.922155688623</v>
      </c>
    </row>
    <row r="10" ht="22" customHeight="1">
      <c r="B10" s="245" t="n"/>
      <c r="C10" s="246" t="str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/>
      </c>
      <c r="D10" s="183" t="str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/>
      </c>
      <c r="E10" s="247" t="str">
        <f>IF(C10="","",SUMIFS(Торговля!$H$5:$H$300,Торговля!$E$5:$E$300,$B10)+SUMIFS(Закрытые!$H$5:$H$300,Закрытые!$E$5:$E$300,$B10,Закрытые!$B$5:$B$300,"T-*"))</f>
        <v/>
      </c>
      <c r="F10" s="246" t="str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/>
      </c>
      <c r="G10" s="183" t="str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/>
      </c>
      <c r="H10" s="247" t="str">
        <f>IF(F10="","",SUMIFS(Торговля!$K$5:$K$300,Торговля!$E$5:$E$300,$B10)+SUMIFS(Закрытые!$K$5:$K$300,Закрытые!$E$5:$E$300,$B10,Закрытые!$B$5:$B$300,"T-*"))</f>
        <v/>
      </c>
      <c r="I10" s="246" t="str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/>
      </c>
      <c r="J10" s="247" t="str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/>
      </c>
      <c r="K10" s="246" t="str">
        <f>IF(MIN(N(C10),N(F10))&lt;=0,"",ROUND(MIN(N(C10),N(F10))*(N(G10)-N(D10)),8))</f>
        <v/>
      </c>
      <c r="L10" s="183" t="str">
        <f>IF(MIN(N(C10),N(F10))&lt;=0,"",IF(N(D10)=0,"",ROUND((N(G10)/N(D10)-1)*100,2)))</f>
        <v/>
      </c>
      <c r="M10" s="183" t="str">
        <f>IF(OR(ROUND(N(C10)-N(F10),8)=0,1-N(Ввод!$J$19)/100&lt;=0),"",IF(N(C10)&gt;N(F10),(N(E10)-N(H10))/((N(C10)-N(F10))*(1-N(Ввод!$J$19)/100)),(N(H10)-N(E10))/((N(F10)-N(C10))*(1+N(Ввод!$J$19)/100))))</f>
        <v/>
      </c>
    </row>
    <row r="11" ht="22" customHeight="1">
      <c r="B11" s="239" t="n"/>
      <c r="C11" s="240" t="str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/>
      </c>
      <c r="D11" s="177" t="str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/>
      </c>
      <c r="E11" s="241" t="str">
        <f>IF(C11="","",SUMIFS(Торговля!$H$5:$H$300,Торговля!$E$5:$E$300,$B11)+SUMIFS(Закрытые!$H$5:$H$300,Закрытые!$E$5:$E$300,$B11,Закрытые!$B$5:$B$300,"T-*"))</f>
        <v/>
      </c>
      <c r="F11" s="240" t="str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/>
      </c>
      <c r="G11" s="177" t="str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/>
      </c>
      <c r="H11" s="241" t="str">
        <f>IF(F11="","",SUMIFS(Торговля!$K$5:$K$300,Торговля!$E$5:$E$300,$B11)+SUMIFS(Закрытые!$K$5:$K$300,Закрытые!$E$5:$E$300,$B11,Закрытые!$B$5:$B$300,"T-*"))</f>
        <v/>
      </c>
      <c r="I11" s="240" t="str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/>
      </c>
      <c r="J11" s="241" t="str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/>
      </c>
      <c r="K11" s="240" t="str">
        <f>IF(MIN(N(C11),N(F11))&lt;=0,"",ROUND(MIN(N(C11),N(F11))*(N(G11)-N(D11)),8))</f>
        <v/>
      </c>
      <c r="L11" s="177" t="str">
        <f>IF(MIN(N(C11),N(F11))&lt;=0,"",IF(N(D11)=0,"",ROUND((N(G11)/N(D11)-1)*100,2)))</f>
        <v/>
      </c>
      <c r="M11" s="177" t="str">
        <f>IF(OR(ROUND(N(C11)-N(F11),8)=0,1-N(Ввод!$J$19)/100&lt;=0),"",IF(N(C11)&gt;N(F11),(N(E11)-N(H11))/((N(C11)-N(F11))*(1-N(Ввод!$J$19)/100)),(N(H11)-N(E11))/((N(F11)-N(C11))*(1+N(Ввод!$J$19)/100))))</f>
        <v/>
      </c>
    </row>
    <row r="12" ht="22" customHeight="1">
      <c r="B12" s="245" t="n"/>
      <c r="C12" s="246" t="str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/>
      </c>
      <c r="D12" s="183" t="str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/>
      </c>
      <c r="E12" s="247" t="str">
        <f>IF(C12="","",SUMIFS(Торговля!$H$5:$H$300,Торговля!$E$5:$E$300,$B12)+SUMIFS(Закрытые!$H$5:$H$300,Закрытые!$E$5:$E$300,$B12,Закрытые!$B$5:$B$300,"T-*"))</f>
        <v/>
      </c>
      <c r="F12" s="246" t="str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/>
      </c>
      <c r="G12" s="183" t="str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/>
      </c>
      <c r="H12" s="247" t="str">
        <f>IF(F12="","",SUMIFS(Торговля!$K$5:$K$300,Торговля!$E$5:$E$300,$B12)+SUMIFS(Закрытые!$K$5:$K$300,Закрытые!$E$5:$E$300,$B12,Закрытые!$B$5:$B$300,"T-*"))</f>
        <v/>
      </c>
      <c r="I12" s="246" t="str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/>
      </c>
      <c r="J12" s="247" t="str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/>
      </c>
      <c r="K12" s="246" t="str">
        <f>IF(MIN(N(C12),N(F12))&lt;=0,"",ROUND(MIN(N(C12),N(F12))*(N(G12)-N(D12)),8))</f>
        <v/>
      </c>
      <c r="L12" s="183" t="str">
        <f>IF(MIN(N(C12),N(F12))&lt;=0,"",IF(N(D12)=0,"",ROUND((N(G12)/N(D12)-1)*100,2)))</f>
        <v/>
      </c>
      <c r="M12" s="183" t="str">
        <f>IF(OR(ROUND(N(C12)-N(F12),8)=0,1-N(Ввод!$J$19)/100&lt;=0),"",IF(N(C12)&gt;N(F12),(N(E12)-N(H12))/((N(C12)-N(F12))*(1-N(Ввод!$J$19)/100)),(N(H12)-N(E12))/((N(F12)-N(C12))*(1+N(Ввод!$J$19)/100))))</f>
        <v/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L-0005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 t="str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>1796.4</v>
      </c>
      <c r="L5" s="240">
        <f>IF(COUNT(F5,I5)=0,"",N(F5)-N(I5))</f>
        <v>-3</v>
      </c>
      <c r="M5" s="241">
        <f>IF(COUNT(H5,K5)=0,"",N(K5)-N(H5))</f>
        <v>1796.4</v>
      </c>
      <c r="N5" s="240">
        <f>IF(AND(ISNUMBER(F5),ISNUMBER(G5),F5&gt;0,1-N(Ввод!$J$19)/100&gt;0),G5/(1-N(Ввод!$J$19)/100),IF(AND(ISNUMBER(I5),ISNUMBER(J5),I5&gt;0),J5/(1+N(Ввод!$J$19)/100),""))</f>
        <v>597.604790419162</v>
      </c>
    </row>
    <row r="6" ht="22" customHeight="1">
      <c r="B6" s="244" t="inlineStr">
        <is>
          <t>L-0001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>6212.4</v>
      </c>
      <c r="I6" s="246" t="n"/>
      <c r="J6" s="183" t="n"/>
      <c r="K6" s="271" t="str">
        <f>IF(AND(ISNUMBER(I6),ISNUMBER(J6)),I6*J6,"")</f>
        <v/>
      </c>
      <c r="L6" s="246">
        <f>IF(COUNT(F6,I6)=0,"",N(F6)-N(I6))</f>
        <v>0.1</v>
      </c>
      <c r="M6" s="247">
        <f>IF(COUNT(H6,K6)=0,"",N(K6)-N(H6))</f>
        <v>-6212.4</v>
      </c>
      <c r="N6" s="246">
        <f>IF(AND(ISNUMBER(F6),ISNUMBER(G6),F6&gt;0,1-N(Ввод!$J$19)/100&gt;0),G6/(1-N(Ввод!$J$19)/100),IF(AND(ISNUMBER(I6),ISNUMBER(J6),I6&gt;0),J6/(1+N(Ввод!$J$19)/100),""))</f>
        <v>62248.496993988</v>
      </c>
    </row>
    <row r="7" ht="22" customHeight="1">
      <c r="B7" s="238" t="inlineStr">
        <is>
          <t>L-0004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 t="str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>0.0785925</v>
      </c>
      <c r="L7" s="240">
        <f>IF(COUNT(F7,I7)=0,"",N(F7)-N(I7))</f>
        <v>-1.5</v>
      </c>
      <c r="M7" s="241">
        <f>IF(COUNT(H7,K7)=0,"",N(K7)-N(H7))</f>
        <v>0.0785925</v>
      </c>
      <c r="N7" s="240">
        <f>IF(AND(ISNUMBER(F7),ISNUMBER(G7),F7&gt;0,1-N(Ввод!$J$19)/100&gt;0),G7/(1-N(Ввод!$J$19)/100),IF(AND(ISNUMBER(I7),ISNUMBER(J7),I7&gt;0),J7/(1+N(Ввод!$J$19)/100),""))</f>
        <v>0.0522904191616766</v>
      </c>
    </row>
    <row r="8" ht="22" customHeight="1">
      <c r="B8" s="244" t="inlineStr">
        <is>
          <t>L-0002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>3206.4</v>
      </c>
      <c r="I8" s="246" t="n"/>
      <c r="J8" s="183" t="n"/>
      <c r="K8" s="271" t="str">
        <f>IF(AND(ISNUMBER(I8),ISNUMBER(J8)),I8*J8,"")</f>
        <v/>
      </c>
      <c r="L8" s="246">
        <f>IF(COUNT(F8,I8)=0,"",N(F8)-N(I8))</f>
        <v>1</v>
      </c>
      <c r="M8" s="247">
        <f>IF(COUNT(H8,K8)=0,"",N(K8)-N(H8))</f>
        <v>-3206.4</v>
      </c>
      <c r="N8" s="246">
        <f>IF(AND(ISNUMBER(F8),ISNUMBER(G8),F8&gt;0,1-N(Ввод!$J$19)/100&gt;0),G8/(1-N(Ввод!$J$19)/100),IF(AND(ISNUMBER(I8),ISNUMBER(J8),I8&gt;0),J8/(1+N(Ввод!$J$19)/100),""))</f>
        <v>3212.82565130261</v>
      </c>
    </row>
    <row r="9" ht="22" customHeight="1">
      <c r="B9" s="238" t="inlineStr">
        <is>
          <t>L-0007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>3823.632</v>
      </c>
      <c r="I9" s="240" t="n"/>
      <c r="J9" s="177" t="n"/>
      <c r="K9" s="271" t="str">
        <f>IF(AND(ISNUMBER(I9),ISNUMBER(J9)),I9*J9,"")</f>
        <v/>
      </c>
      <c r="L9" s="240">
        <f>IF(COUNT(F9,I9)=0,"",N(F9)-N(I9))</f>
        <v>1.2</v>
      </c>
      <c r="M9" s="241">
        <f>IF(COUNT(H9,K9)=0,"",N(K9)-N(H9))</f>
        <v>-3823.632</v>
      </c>
      <c r="N9" s="240">
        <f>IF(AND(ISNUMBER(F9),ISNUMBER(G9),F9&gt;0,1-N(Ввод!$J$19)/100&gt;0),G9/(1-N(Ввод!$J$19)/100),IF(AND(ISNUMBER(I9),ISNUMBER(J9),I9&gt;0),J9/(1+N(Ввод!$J$19)/100),""))</f>
        <v>3192.74549098196</v>
      </c>
    </row>
    <row r="10" ht="22" customHeight="1">
      <c r="B10" s="244" t="inlineStr">
        <is>
          <t>L-0008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>2605.2</v>
      </c>
      <c r="I10" s="246" t="n"/>
      <c r="J10" s="183" t="n"/>
      <c r="K10" s="271" t="str">
        <f>IF(AND(ISNUMBER(I10),ISNUMBER(J10)),I10*J10,"")</f>
        <v/>
      </c>
      <c r="L10" s="246">
        <f>IF(COUNT(F10,I10)=0,"",N(F10)-N(I10))</f>
        <v>0.8</v>
      </c>
      <c r="M10" s="247">
        <f>IF(COUNT(H10,K10)=0,"",N(K10)-N(H10))</f>
        <v>-2605.2</v>
      </c>
      <c r="N10" s="246">
        <f>IF(AND(ISNUMBER(F10),ISNUMBER(G10),F10&gt;0,1-N(Ввод!$J$19)/100&gt;0),G10/(1-N(Ввод!$J$19)/100),IF(AND(ISNUMBER(I10),ISNUMBER(J10),I10&gt;0),J10/(1+N(Ввод!$J$19)/100),""))</f>
        <v>3263.02605210421</v>
      </c>
    </row>
    <row r="11" ht="22" customHeight="1">
      <c r="B11" s="238" t="inlineStr">
        <is>
          <t>L-0009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 t="str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>5089.8</v>
      </c>
      <c r="L11" s="240">
        <f>IF(COUNT(F11,I11)=0,"",N(F11)-N(I11))</f>
        <v>-1.5</v>
      </c>
      <c r="M11" s="241">
        <f>IF(COUNT(H11,K11)=0,"",N(K11)-N(H11))</f>
        <v>5089.8</v>
      </c>
      <c r="N11" s="240">
        <f>IF(AND(ISNUMBER(F11),ISNUMBER(G11),F11&gt;0,1-N(Ввод!$J$19)/100&gt;0),G11/(1-N(Ввод!$J$19)/100),IF(AND(ISNUMBER(I11),ISNUMBER(J11),I11&gt;0),J11/(1+N(Ввод!$J$19)/100),""))</f>
        <v>3386.42714570858</v>
      </c>
    </row>
    <row r="12" ht="22" customHeight="1">
      <c r="B12" s="244" t="inlineStr">
        <is>
          <t>L-0010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 t="str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>4491</v>
      </c>
      <c r="L12" s="246">
        <f>IF(COUNT(F12,I12)=0,"",N(F12)-N(I12))</f>
        <v>-30</v>
      </c>
      <c r="M12" s="247">
        <f>IF(COUNT(H12,K12)=0,"",N(K12)-N(H12))</f>
        <v>4491</v>
      </c>
      <c r="N12" s="246">
        <f>IF(AND(ISNUMBER(F12),ISNUMBER(G12),F12&gt;0,1-N(Ввод!$J$19)/100&gt;0),G12/(1-N(Ввод!$J$19)/100),IF(AND(ISNUMBER(I12),ISNUMBER(J12),I12&gt;0),J12/(1+N(Ввод!$J$19)/100),""))</f>
        <v>149.40119760479</v>
      </c>
    </row>
    <row r="13" ht="22" customHeight="1">
      <c r="B13" s="238" t="inlineStr">
        <is>
          <t>L-0011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 t="str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>1516.96</v>
      </c>
      <c r="L13" s="240">
        <f>IF(COUNT(F13,I13)=0,"",N(F13)-N(I13))</f>
        <v>-10</v>
      </c>
      <c r="M13" s="241">
        <f>IF(COUNT(H13,K13)=0,"",N(K13)-N(H13))</f>
        <v>1516.96</v>
      </c>
      <c r="N13" s="240">
        <f>IF(AND(ISNUMBER(F13),ISNUMBER(G13),F13&gt;0,1-N(Ввод!$J$19)/100&gt;0),G13/(1-N(Ввод!$J$19)/100),IF(AND(ISNUMBER(I13),ISNUMBER(J13),I13&gt;0),J13/(1+N(Ввод!$J$19)/100),""))</f>
        <v>151.393213572854</v>
      </c>
    </row>
    <row r="14" ht="22" customHeight="1">
      <c r="B14" s="244" t="inlineStr">
        <is>
          <t>L-0012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>3657.3</v>
      </c>
      <c r="I14" s="246" t="n"/>
      <c r="J14" s="183" t="n"/>
      <c r="K14" s="271" t="str">
        <f>IF(AND(ISNUMBER(I14),ISNUMBER(J14)),I14*J14,"")</f>
        <v/>
      </c>
      <c r="L14" s="246">
        <f>IF(COUNT(F14,I14)=0,"",N(F14)-N(I14))</f>
        <v>25</v>
      </c>
      <c r="M14" s="247">
        <f>IF(COUNT(H14,K14)=0,"",N(K14)-N(H14))</f>
        <v>-3657.3</v>
      </c>
      <c r="N14" s="246">
        <f>IF(AND(ISNUMBER(F14),ISNUMBER(G14),F14&gt;0,1-N(Ввод!$J$19)/100&gt;0),G14/(1-N(Ввод!$J$19)/100),IF(AND(ISNUMBER(I14),ISNUMBER(J14),I14&gt;0),J14/(1+N(Ввод!$J$19)/100),""))</f>
        <v>146.585170340681</v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71" t="str">
        <f>IF(AND(ISNUMBER(F15),ISNUMBER(G15)),F15*G15,"")</f>
        <v/>
      </c>
      <c r="I15" s="240" t="n"/>
      <c r="J15" s="177" t="n"/>
      <c r="K15" s="271" t="str">
        <f>IF(AND(ISNUMBER(I15),ISNUMBER(J15)),I15*J15,"")</f>
        <v/>
      </c>
      <c r="L15" s="240" t="str">
        <f>IF(COUNT(F15,I15)=0,"",N(F15)-N(I15))</f>
        <v/>
      </c>
      <c r="M15" s="241" t="str">
        <f>IF(COUNT(H15,K15)=0,"",N(K15)-N(H15))</f>
        <v/>
      </c>
      <c r="N15" s="240" t="str">
        <f>IF(AND(ISNUMBER(F15),ISNUMBER(G15),F15&gt;0,1-N(Ввод!$J$19)/100&gt;0),G15/(1-N(Ввод!$J$19)/100),IF(AND(ISNUMBER(I15),ISNUMBER(J15),I15&gt;0),J15/(1+N(Ввод!$J$19)/100),""))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71" t="str">
        <f>IF(AND(ISNUMBER(F16),ISNUMBER(G16)),F16*G16,"")</f>
        <v/>
      </c>
      <c r="I16" s="246" t="n"/>
      <c r="J16" s="183" t="n"/>
      <c r="K16" s="271" t="str">
        <f>IF(AND(ISNUMBER(I16),ISNUMBER(J16)),I16*J16,"")</f>
        <v/>
      </c>
      <c r="L16" s="246" t="str">
        <f>IF(COUNT(F16,I16)=0,"",N(F16)-N(I16))</f>
        <v/>
      </c>
      <c r="M16" s="247" t="str">
        <f>IF(COUNT(H16,K16)=0,"",N(K16)-N(H16))</f>
        <v/>
      </c>
      <c r="N16" s="246" t="str">
        <f>IF(AND(ISNUMBER(F16),ISNUMBER(G16),F16&gt;0,1-N(Ввод!$J$19)/100&gt;0),G16/(1-N(Ввод!$J$19)/100),IF(AND(ISNUMBER(I16),ISNUMBER(J16),I16&gt;0),J16/(1+N(Ввод!$J$19)/100),""))</f>
        <v/>
      </c>
    </row>
    <row r="17" ht="22" customHeight="1">
      <c r="B17" s="238" t="n"/>
      <c r="C17" s="237" t="n"/>
      <c r="D17" s="238" t="n"/>
      <c r="E17" s="239" t="n"/>
      <c r="F17" s="240" t="n"/>
      <c r="G17" s="177" t="n"/>
      <c r="H17" s="271" t="str">
        <f>IF(AND(ISNUMBER(F17),ISNUMBER(G17)),F17*G17,"")</f>
        <v/>
      </c>
      <c r="I17" s="240" t="n"/>
      <c r="J17" s="177" t="n"/>
      <c r="K17" s="271" t="str">
        <f>IF(AND(ISNUMBER(I17),ISNUMBER(J17)),I17*J17,"")</f>
        <v/>
      </c>
      <c r="L17" s="240" t="str">
        <f>IF(COUNT(F17,I17)=0,"",N(F17)-N(I17))</f>
        <v/>
      </c>
      <c r="M17" s="241" t="str">
        <f>IF(COUNT(H17,K17)=0,"",N(K17)-N(H17))</f>
        <v/>
      </c>
      <c r="N17" s="240" t="str">
        <f>IF(AND(ISNUMBER(F17),ISNUMBER(G17),F17&gt;0,1-N(Ввод!$J$19)/100&gt;0),G17/(1-N(Ввод!$J$19)/100),IF(AND(ISNUMBER(I17),ISNUMBER(J17),I17&gt;0),J17/(1+N(Ввод!$J$19)/100),""))</f>
        <v/>
      </c>
    </row>
    <row r="18" ht="22" customHeight="1">
      <c r="B18" s="244" t="n"/>
      <c r="C18" s="243" t="n"/>
      <c r="D18" s="244" t="n"/>
      <c r="E18" s="245" t="n"/>
      <c r="F18" s="246" t="n"/>
      <c r="G18" s="183" t="n"/>
      <c r="H18" s="271" t="str">
        <f>IF(AND(ISNUMBER(F18),ISNUMBER(G18)),F18*G18,"")</f>
        <v/>
      </c>
      <c r="I18" s="246" t="n"/>
      <c r="J18" s="183" t="n"/>
      <c r="K18" s="271" t="str">
        <f>IF(AND(ISNUMBER(I18),ISNUMBER(J18)),I18*J18,"")</f>
        <v/>
      </c>
      <c r="L18" s="246" t="str">
        <f>IF(COUNT(F18,I18)=0,"",N(F18)-N(I18))</f>
        <v/>
      </c>
      <c r="M18" s="247" t="str">
        <f>IF(COUNT(H18,K18)=0,"",N(K18)-N(H18))</f>
        <v/>
      </c>
      <c r="N18" s="246" t="str">
        <f>IF(AND(ISNUMBER(F18),ISNUMBER(G18),F18&gt;0,1-N(Ввод!$J$19)/100&gt;0),G18/(1-N(Ввод!$J$19)/100),IF(AND(ISNUMBER(I18),ISNUMBER(J18),I18&gt;0),J18/(1+N(Ввод!$J$19)/100),""))</f>
        <v/>
      </c>
    </row>
    <row r="19" ht="22" customHeight="1">
      <c r="B19" s="238" t="n"/>
      <c r="C19" s="237" t="n"/>
      <c r="D19" s="238" t="n"/>
      <c r="E19" s="239" t="n"/>
      <c r="F19" s="240" t="n"/>
      <c r="G19" s="177" t="n"/>
      <c r="H19" s="271" t="str">
        <f>IF(AND(ISNUMBER(F19),ISNUMBER(G19)),F19*G19,"")</f>
        <v/>
      </c>
      <c r="I19" s="240" t="n"/>
      <c r="J19" s="177" t="n"/>
      <c r="K19" s="271" t="str">
        <f>IF(AND(ISNUMBER(I19),ISNUMBER(J19)),I19*J19,"")</f>
        <v/>
      </c>
      <c r="L19" s="240" t="str">
        <f>IF(COUNT(F19,I19)=0,"",N(F19)-N(I19))</f>
        <v/>
      </c>
      <c r="M19" s="241" t="str">
        <f>IF(COUNT(H19,K19)=0,"",N(K19)-N(H19))</f>
        <v/>
      </c>
      <c r="N19" s="240" t="str">
        <f>IF(AND(ISNUMBER(F19),ISNUMBER(G19),F19&gt;0,1-N(Ввод!$J$19)/100&gt;0),G19/(1-N(Ввод!$J$19)/100),IF(AND(ISNUMBER(I19),ISNUMBER(J19),I19&gt;0),J19/(1+N(Ввод!$J$19)/100),""))</f>
        <v/>
      </c>
    </row>
    <row r="20" ht="22" customHeight="1">
      <c r="B20" s="244" t="n"/>
      <c r="C20" s="243" t="n"/>
      <c r="D20" s="244" t="n"/>
      <c r="E20" s="245" t="n"/>
      <c r="F20" s="246" t="n"/>
      <c r="G20" s="183" t="n"/>
      <c r="H20" s="271" t="str">
        <f>IF(AND(ISNUMBER(F20),ISNUMBER(G20)),F20*G20,"")</f>
        <v/>
      </c>
      <c r="I20" s="246" t="n"/>
      <c r="J20" s="183" t="n"/>
      <c r="K20" s="271" t="str">
        <f>IF(AND(ISNUMBER(I20),ISNUMBER(J20)),I20*J20,"")</f>
        <v/>
      </c>
      <c r="L20" s="246" t="str">
        <f>IF(COUNT(F20,I20)=0,"",N(F20)-N(I20))</f>
        <v/>
      </c>
      <c r="M20" s="247" t="str">
        <f>IF(COUNT(H20,K20)=0,"",N(K20)-N(H20))</f>
        <v/>
      </c>
      <c r="N20" s="246" t="str">
        <f>IF(AND(ISNUMBER(F20),ISNUMBER(G20),F20&gt;0,1-N(Ввод!$J$19)/100&gt;0),G20/(1-N(Ввод!$J$19)/100),IF(AND(ISNUMBER(I20),ISNUMBER(J20),I20&gt;0),J20/(1+N(Ввод!$J$19)/100),""))</f>
        <v/>
      </c>
    </row>
    <row r="21" ht="22" customHeight="1">
      <c r="B21" s="238" t="n"/>
      <c r="C21" s="237" t="n"/>
      <c r="D21" s="238" t="n"/>
      <c r="E21" s="239" t="n"/>
      <c r="F21" s="240" t="n"/>
      <c r="G21" s="177" t="n"/>
      <c r="H21" s="271" t="str">
        <f>IF(AND(ISNUMBER(F21),ISNUMBER(G21)),F21*G21,"")</f>
        <v/>
      </c>
      <c r="I21" s="240" t="n"/>
      <c r="J21" s="177" t="n"/>
      <c r="K21" s="271" t="str">
        <f>IF(AND(ISNUMBER(I21),ISNUMBER(J21)),I21*J21,"")</f>
        <v/>
      </c>
      <c r="L21" s="240" t="str">
        <f>IF(COUNT(F21,I21)=0,"",N(F21)-N(I21))</f>
        <v/>
      </c>
      <c r="M21" s="241" t="str">
        <f>IF(COUNT(H21,K21)=0,"",N(K21)-N(H21))</f>
        <v/>
      </c>
      <c r="N21" s="240" t="str">
        <f>IF(AND(ISNUMBER(F21),ISNUMBER(G21),F21&gt;0,1-N(Ввод!$J$19)/100&gt;0),G21/(1-N(Ввод!$J$19)/100),IF(AND(ISNUMBER(I21),ISNUMBER(J21),I21&gt;0),J21/(1+N(Ввод!$J$19)/100),""))</f>
        <v/>
      </c>
    </row>
    <row r="22" ht="22" customHeight="1">
      <c r="B22" s="244" t="n"/>
      <c r="C22" s="243" t="n"/>
      <c r="D22" s="244" t="n"/>
      <c r="E22" s="245" t="n"/>
      <c r="F22" s="246" t="n"/>
      <c r="G22" s="183" t="n"/>
      <c r="H22" s="271" t="str">
        <f>IF(AND(ISNUMBER(F22),ISNUMBER(G22)),F22*G22,"")</f>
        <v/>
      </c>
      <c r="I22" s="246" t="n"/>
      <c r="J22" s="183" t="n"/>
      <c r="K22" s="271" t="str">
        <f>IF(AND(ISNUMBER(I22),ISNUMBER(J22)),I22*J22,"")</f>
        <v/>
      </c>
      <c r="L22" s="246" t="str">
        <f>IF(COUNT(F22,I22)=0,"",N(F22)-N(I22))</f>
        <v/>
      </c>
      <c r="M22" s="247" t="str">
        <f>IF(COUNT(H22,K22)=0,"",N(K22)-N(H22))</f>
        <v/>
      </c>
      <c r="N22" s="246" t="str">
        <f>IF(AND(ISNUMBER(F22),ISNUMBER(G22),F22&gt;0,1-N(Ввод!$J$19)/100&gt;0),G22/(1-N(Ввод!$J$19)/100),IF(AND(ISNUMBER(I22),ISNUMBER(J22),I22&gt;0),J22/(1+N(Ввод!$J$19)/100),""))</f>
        <v/>
      </c>
    </row>
    <row r="23" ht="22" customHeight="1">
      <c r="B23" s="238" t="n"/>
      <c r="C23" s="237" t="n"/>
      <c r="D23" s="238" t="n"/>
      <c r="E23" s="239" t="n"/>
      <c r="F23" s="240" t="n"/>
      <c r="G23" s="177" t="n"/>
      <c r="H23" s="271" t="str">
        <f>IF(AND(ISNUMBER(F23),ISNUMBER(G23)),F23*G23,"")</f>
        <v/>
      </c>
      <c r="I23" s="240" t="n"/>
      <c r="J23" s="177" t="n"/>
      <c r="K23" s="271" t="str">
        <f>IF(AND(ISNUMBER(I23),ISNUMBER(J23)),I23*J23,"")</f>
        <v/>
      </c>
      <c r="L23" s="240" t="str">
        <f>IF(COUNT(F23,I23)=0,"",N(F23)-N(I23))</f>
        <v/>
      </c>
      <c r="M23" s="241" t="str">
        <f>IF(COUNT(H23,K23)=0,"",N(K23)-N(H23))</f>
        <v/>
      </c>
      <c r="N23" s="240" t="str">
        <f>IF(AND(ISNUMBER(F23),ISNUMBER(G23),F23&gt;0,1-N(Ввод!$J$19)/100&gt;0),G23/(1-N(Ввод!$J$19)/100),IF(AND(ISNUMBER(I23),ISNUMBER(J23),I23&gt;0),J23/(1+N(Ввод!$J$19)/100),""))</f>
        <v/>
      </c>
    </row>
    <row r="24" ht="22" customHeight="1">
      <c r="B24" s="244" t="n"/>
      <c r="C24" s="243" t="n"/>
      <c r="D24" s="244" t="n"/>
      <c r="E24" s="245" t="n"/>
      <c r="F24" s="246" t="n"/>
      <c r="G24" s="183" t="n"/>
      <c r="H24" s="271" t="str">
        <f>IF(AND(ISNUMBER(F24),ISNUMBER(G24)),F24*G24,"")</f>
        <v/>
      </c>
      <c r="I24" s="246" t="n"/>
      <c r="J24" s="183" t="n"/>
      <c r="K24" s="271" t="str">
        <f>IF(AND(ISNUMBER(I24),ISNUMBER(J24)),I24*J24,"")</f>
        <v/>
      </c>
      <c r="L24" s="246" t="str">
        <f>IF(COUNT(F24,I24)=0,"",N(F24)-N(I24))</f>
        <v/>
      </c>
      <c r="M24" s="247" t="str">
        <f>IF(COUNT(H24,K24)=0,"",N(K24)-N(H24))</f>
        <v/>
      </c>
      <c r="N24" s="246" t="str">
        <f>IF(AND(ISNUMBER(F24),ISNUMBER(G24),F24&gt;0,1-N(Ввод!$J$19)/100&gt;0),G24/(1-N(Ввод!$J$19)/100),IF(AND(ISNUMBER(I24),ISNUMBER(J24),I24&gt;0),J24/(1+N(Ввод!$J$19)/100),""))</f>
        <v/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71" t="str">
        <f>IF(AND(ISNUMBER(F25),ISNUMBER(G25)),F25*G25,"")</f>
        <v/>
      </c>
      <c r="I25" s="240" t="n"/>
      <c r="J25" s="177" t="n"/>
      <c r="K25" s="271" t="str">
        <f>IF(AND(ISNUMBER(I25),ISNUMBER(J25)),I25*J25,"")</f>
        <v/>
      </c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IF(AND(ISNUMBER(F25),ISNUMBER(G25),F25&gt;0,1-N(Ввод!$J$19)/100&gt;0),G25/(1-N(Ввод!$J$19)/100),IF(AND(ISNUMBER(I25),ISNUMBER(J25),I25&gt;0),J25/(1+N(Ввод!$J$19)/100),""))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 t="str">
        <f>IF(AND(ISNUMBER(F26),ISNUMBER(G26)),F26*G26,"")</f>
        <v/>
      </c>
      <c r="I26" s="246" t="n"/>
      <c r="J26" s="183" t="n"/>
      <c r="K26" s="271" t="str">
        <f>IF(AND(ISNUMBER(I26),ISNUMBER(J26)),I26*J26,"")</f>
        <v/>
      </c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IF(AND(ISNUMBER(F26),ISNUMBER(G26),F26&gt;0,1-N(Ввод!$J$19)/100&gt;0),G26/(1-N(Ввод!$J$19)/100),IF(AND(ISNUMBER(I26),ISNUMBER(J26),I26&gt;0),J26/(1+N(Ввод!$J$19)/100),""))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 t="str">
        <f>IF(AND(ISNUMBER(F27),ISNUMBER(G27)),F27*G27,"")</f>
        <v/>
      </c>
      <c r="I27" s="240" t="n"/>
      <c r="J27" s="177" t="n"/>
      <c r="K27" s="271" t="str">
        <f>IF(AND(ISNUMBER(I27),ISNUMBER(J27)),I27*J27,"")</f>
        <v/>
      </c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IF(AND(ISNUMBER(F27),ISNUMBER(G27),F27&gt;0,1-N(Ввод!$J$19)/100&gt;0),G27/(1-N(Ввод!$J$19)/100),IF(AND(ISNUMBER(I27),ISNUMBER(J27),I27&gt;0),J27/(1+N(Ввод!$J$19)/100),""))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 t="str">
        <f>IF(AND(ISNUMBER(F28),ISNUMBER(G28)),F28*G28,"")</f>
        <v/>
      </c>
      <c r="I28" s="246" t="n"/>
      <c r="J28" s="183" t="n"/>
      <c r="K28" s="271" t="str">
        <f>IF(AND(ISNUMBER(I28),ISNUMBER(J28)),I28*J28,"")</f>
        <v/>
      </c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IF(AND(ISNUMBER(F28),ISNUMBER(G28),F28&gt;0,1-N(Ввод!$J$19)/100&gt;0),G28/(1-N(Ввод!$J$19)/100),IF(AND(ISNUMBER(I28),ISNUMBER(J28),I28&gt;0),J28/(1+N(Ввод!$J$19)/100),""))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 t="str">
        <f>IF(AND(ISNUMBER(F29),ISNUMBER(G29)),F29*G29,"")</f>
        <v/>
      </c>
      <c r="I29" s="240" t="n"/>
      <c r="J29" s="177" t="n"/>
      <c r="K29" s="271" t="str">
        <f>IF(AND(ISNUMBER(I29),ISNUMBER(J29)),I29*J29,"")</f>
        <v/>
      </c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IF(AND(ISNUMBER(F29),ISNUMBER(G29),F29&gt;0,1-N(Ввод!$J$19)/100&gt;0),G29/(1-N(Ввод!$J$19)/100),IF(AND(ISNUMBER(I29),ISNUMBER(J29),I29&gt;0),J29/(1+N(Ввод!$J$19)/100),""))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 t="str">
        <f>IF(AND(ISNUMBER(F30),ISNUMBER(G30)),F30*G30,"")</f>
        <v/>
      </c>
      <c r="I30" s="246" t="n"/>
      <c r="J30" s="183" t="n"/>
      <c r="K30" s="271" t="str">
        <f>IF(AND(ISNUMBER(I30),ISNUMBER(J30)),I30*J30,"")</f>
        <v/>
      </c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IF(AND(ISNUMBER(F30),ISNUMBER(G30),F30&gt;0,1-N(Ввод!$J$19)/100&gt;0),G30/(1-N(Ввод!$J$19)/100),IF(AND(ISNUMBER(I30),ISNUMBER(J30),I30&gt;0),J30/(1+N(Ввод!$J$19)/100),""))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 t="str">
        <f>IF(AND(ISNUMBER(F31),ISNUMBER(G31)),F31*G31,"")</f>
        <v/>
      </c>
      <c r="I31" s="240" t="n"/>
      <c r="J31" s="177" t="n"/>
      <c r="K31" s="271" t="str">
        <f>IF(AND(ISNUMBER(I31),ISNUMBER(J31)),I31*J31,"")</f>
        <v/>
      </c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IF(AND(ISNUMBER(F31),ISNUMBER(G31),F31&gt;0,1-N(Ввод!$J$19)/100&gt;0),G31/(1-N(Ввод!$J$19)/100),IF(AND(ISNUMBER(I31),ISNUMBER(J31),I31&gt;0),J31/(1+N(Ввод!$J$19)/100),""))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 t="str">
        <f>IF(AND(ISNUMBER(F32),ISNUMBER(G32)),F32*G32,"")</f>
        <v/>
      </c>
      <c r="I32" s="246" t="n"/>
      <c r="J32" s="183" t="n"/>
      <c r="K32" s="271" t="str">
        <f>IF(AND(ISNUMBER(I32),ISNUMBER(J32)),I32*J32,"")</f>
        <v/>
      </c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IF(AND(ISNUMBER(F32),ISNUMBER(G32),F32&gt;0,1-N(Ввод!$J$19)/100&gt;0),G32/(1-N(Ввод!$J$19)/100),IF(AND(ISNUMBER(I32),ISNUMBER(J32),I32&gt;0),J32/(1+N(Ввод!$J$19)/100),""))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 t="str">
        <f>IF(AND(ISNUMBER(F33),ISNUMBER(G33)),F33*G33,"")</f>
        <v/>
      </c>
      <c r="I33" s="240" t="n"/>
      <c r="J33" s="177" t="n"/>
      <c r="K33" s="271" t="str">
        <f>IF(AND(ISNUMBER(I33),ISNUMBER(J33)),I33*J33,"")</f>
        <v/>
      </c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IF(AND(ISNUMBER(F33),ISNUMBER(G33),F33&gt;0,1-N(Ввод!$J$19)/100&gt;0),G33/(1-N(Ввод!$J$19)/100),IF(AND(ISNUMBER(I33),ISNUMBER(J33),I33&gt;0),J33/(1+N(Ввод!$J$19)/100),""))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 t="str">
        <f>IF(AND(ISNUMBER(F34),ISNUMBER(G34)),F34*G34,"")</f>
        <v/>
      </c>
      <c r="I34" s="246" t="n"/>
      <c r="J34" s="183" t="n"/>
      <c r="K34" s="271" t="str">
        <f>IF(AND(ISNUMBER(I34),ISNUMBER(J34)),I34*J34,"")</f>
        <v/>
      </c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IF(AND(ISNUMBER(F34),ISNUMBER(G34),F34&gt;0,1-N(Ввод!$J$19)/100&gt;0),G34/(1-N(Ввод!$J$19)/100),IF(AND(ISNUMBER(I34),ISNUMBER(J34),I34&gt;0),J34/(1+N(Ввод!$J$19)/100),""))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 t="str">
        <f>IF(AND(ISNUMBER(F35),ISNUMBER(G35)),F35*G35,"")</f>
        <v/>
      </c>
      <c r="I35" s="240" t="n"/>
      <c r="J35" s="177" t="n"/>
      <c r="K35" s="271" t="str">
        <f>IF(AND(ISNUMBER(I35),ISNUMBER(J35)),I35*J35,"")</f>
        <v/>
      </c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IF(AND(ISNUMBER(F35),ISNUMBER(G35),F35&gt;0,1-N(Ввод!$J$19)/100&gt;0),G35/(1-N(Ввод!$J$19)/100),IF(AND(ISNUMBER(I35),ISNUMBER(J35),I35&gt;0),J35/(1+N(Ввод!$J$19)/100),""))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IF(AND(ISNUMBER(F36),ISNUMBER(G36),F36&gt;0,1-N(Ввод!$J$19)/100&gt;0),G36/(1-N(Ввод!$J$19)/100),IF(AND(ISNUMBER(I36),ISNUMBER(J36),I36&gt;0),J36/(1+N(Ввод!$J$19)/100),""))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IF(AND(ISNUMBER(F37),ISNUMBER(G37),F37&gt;0,1-N(Ввод!$J$19)/100&gt;0),G37/(1-N(Ввод!$J$19)/100),IF(AND(ISNUMBER(I37),ISNUMBER(J37),I37&gt;0),J37/(1+N(Ввод!$J$19)/100),""))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IF(AND(ISNUMBER(F38),ISNUMBER(G38),F38&gt;0,1-N(Ввод!$J$19)/100&gt;0),G38/(1-N(Ввод!$J$19)/100),IF(AND(ISNUMBER(I38),ISNUMBER(J38),I38&gt;0),J38/(1+N(Ввод!$J$19)/100),""))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IF(AND(ISNUMBER(F39),ISNUMBER(G39),F39&gt;0,1-N(Ввод!$J$19)/100&gt;0),G39/(1-N(Ввод!$J$19)/100),IF(AND(ISNUMBER(I39),ISNUMBER(J39),I39&gt;0),J39/(1+N(Ввод!$J$19)/100),""))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IF(AND(ISNUMBER(F40),ISNUMBER(G40),F40&gt;0,1-N(Ввод!$J$19)/100&gt;0),G40/(1-N(Ввод!$J$19)/100),IF(AND(ISNUMBER(I40),ISNUMBER(J40),I40&gt;0),J40/(1+N(Ввод!$J$19)/100),""))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IF(AND(ISNUMBER(F41),ISNUMBER(G41),F41&gt;0,1-N(Ввод!$J$19)/100&gt;0),G41/(1-N(Ввод!$J$19)/100),IF(AND(ISNUMBER(I41),ISNUMBER(J41),I41&gt;0),J41/(1+N(Ввод!$J$19)/100),""))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IF(AND(ISNUMBER(F42),ISNUMBER(G42),F42&gt;0,1-N(Ввод!$J$19)/100&gt;0),G42/(1-N(Ввод!$J$19)/100),IF(AND(ISNUMBER(I42),ISNUMBER(J42),I42&gt;0),J42/(1+N(Ввод!$J$19)/100),""))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IF(AND(ISNUMBER(F43),ISNUMBER(G43),F43&gt;0,1-N(Ввод!$J$19)/100&gt;0),G43/(1-N(Ввод!$J$19)/100),IF(AND(ISNUMBER(I43),ISNUMBER(J43),I43&gt;0),J43/(1+N(Ввод!$J$19)/100),""))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IF(AND(ISNUMBER(F44),ISNUMBER(G44),F44&gt;0,1-N(Ввод!$J$19)/100&gt;0),G44/(1-N(Ввод!$J$19)/100),IF(AND(ISNUMBER(I44),ISNUMBER(J44),I44&gt;0),J44/(1+N(Ввод!$J$19)/100),""))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IF(AND(ISNUMBER(F45),ISNUMBER(G45),F45&gt;0,1-N(Ввод!$J$19)/100&gt;0),G45/(1-N(Ввод!$J$19)/100),IF(AND(ISNUMBER(I45),ISNUMBER(J45),I45&gt;0),J45/(1+N(Ввод!$J$19)/100),""))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IF(AND(ISNUMBER(F46),ISNUMBER(G46),F46&gt;0,1-N(Ввод!$J$19)/100&gt;0),G46/(1-N(Ввод!$J$19)/100),IF(AND(ISNUMBER(I46),ISNUMBER(J46),I46&gt;0),J46/(1+N(Ввод!$J$19)/100),""))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IF(AND(ISNUMBER(F47),ISNUMBER(G47),F47&gt;0,1-N(Ввод!$J$19)/100&gt;0),G47/(1-N(Ввод!$J$19)/100),IF(AND(ISNUMBER(I47),ISNUMBER(J47),I47&gt;0),J47/(1+N(Ввод!$J$19)/100),""))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IF(AND(ISNUMBER(F48),ISNUMBER(G48),F48&gt;0,1-N(Ввод!$J$19)/100&gt;0),G48/(1-N(Ввод!$J$19)/100),IF(AND(ISNUMBER(I48),ISNUMBER(J48),I48&gt;0),J48/(1+N(Ввод!$J$19)/100),""))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IF(AND(ISNUMBER(F49),ISNUMBER(G49),F49&gt;0,1-N(Ввод!$J$19)/100&gt;0),G49/(1-N(Ввод!$J$19)/100),IF(AND(ISNUMBER(I49),ISNUMBER(J49),I49&gt;0),J49/(1+N(Ввод!$J$19)/100),""))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IF(AND(ISNUMBER(F50),ISNUMBER(G50),F50&gt;0,1-N(Ввод!$J$19)/100&gt;0),G50/(1-N(Ввод!$J$19)/100),IF(AND(ISNUMBER(I50),ISNUMBER(J50),I50&gt;0),J50/(1+N(Ввод!$J$19)/100),""))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IF(AND(ISNUMBER(F51),ISNUMBER(G51),F51&gt;0,1-N(Ввод!$J$19)/100&gt;0),G51/(1-N(Ввод!$J$19)/100),IF(AND(ISNUMBER(I51),ISNUMBER(J51),I51&gt;0),J51/(1+N(Ввод!$J$19)/100),""))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IF(AND(ISNUMBER(F52),ISNUMBER(G52),F52&gt;0,1-N(Ввод!$J$19)/100&gt;0),G52/(1-N(Ввод!$J$19)/100),IF(AND(ISNUMBER(I52),ISNUMBER(J52),I52&gt;0),J52/(1+N(Ввод!$J$19)/100),""))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IF(AND(ISNUMBER(F53),ISNUMBER(G53),F53&gt;0,1-N(Ввод!$J$19)/100&gt;0),G53/(1-N(Ввод!$J$19)/100),IF(AND(ISNUMBER(I53),ISNUMBER(J53),I53&gt;0),J53/(1+N(Ввод!$J$19)/100),""))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IF(AND(ISNUMBER(F54),ISNUMBER(G54),F54&gt;0,1-N(Ввод!$J$19)/100&gt;0),G54/(1-N(Ввод!$J$19)/100),IF(AND(ISNUMBER(I54),ISNUMBER(J54),I54&gt;0),J54/(1+N(Ввод!$J$19)/100),""))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IF(AND(ISNUMBER(F55),ISNUMBER(G55),F55&gt;0,1-N(Ввод!$J$19)/100&gt;0),G55/(1-N(Ввод!$J$19)/100),IF(AND(ISNUMBER(I55),ISNUMBER(J55),I55&gt;0),J55/(1+N(Ввод!$J$19)/100),""))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IF(AND(ISNUMBER(F56),ISNUMBER(G56),F56&gt;0,1-N(Ввод!$J$19)/100&gt;0),G56/(1-N(Ввод!$J$19)/100),IF(AND(ISNUMBER(I56),ISNUMBER(J56),I56&gt;0),J56/(1+N(Ввод!$J$19)/100),""))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IF(AND(ISNUMBER(F57),ISNUMBER(G57),F57&gt;0,1-N(Ввод!$J$19)/100&gt;0),G57/(1-N(Ввод!$J$19)/100),IF(AND(ISNUMBER(I57),ISNUMBER(J57),I57&gt;0),J57/(1+N(Ввод!$J$19)/100),""))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IF(AND(ISNUMBER(F58),ISNUMBER(G58),F58&gt;0,1-N(Ввод!$J$19)/100&gt;0),G58/(1-N(Ввод!$J$19)/100),IF(AND(ISNUMBER(I58),ISNUMBER(J58),I58&gt;0),J58/(1+N(Ввод!$J$19)/100),""))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IF(AND(ISNUMBER(F59),ISNUMBER(G59),F59&gt;0,1-N(Ввод!$J$19)/100&gt;0),G59/(1-N(Ввод!$J$19)/100),IF(AND(ISNUMBER(I59),ISNUMBER(J59),I59&gt;0),J59/(1+N(Ввод!$J$19)/100),""))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IF(AND(ISNUMBER(F60),ISNUMBER(G60),F60&gt;0,1-N(Ввод!$J$19)/100&gt;0),G60/(1-N(Ввод!$J$19)/100),IF(AND(ISNUMBER(I60),ISNUMBER(J60),I60&gt;0),J60/(1+N(Ввод!$J$19)/100),""))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IF(AND(ISNUMBER(F61),ISNUMBER(G61),F61&gt;0,1-N(Ввод!$J$19)/100&gt;0),G61/(1-N(Ввод!$J$19)/100),IF(AND(ISNUMBER(I61),ISNUMBER(J61),I61&gt;0),J61/(1+N(Ввод!$J$19)/100),""))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IF(AND(ISNUMBER(F62),ISNUMBER(G62),F62&gt;0,1-N(Ввод!$J$19)/100&gt;0),G62/(1-N(Ввод!$J$19)/100),IF(AND(ISNUMBER(I62),ISNUMBER(J62),I62&gt;0),J62/(1+N(Ввод!$J$19)/100),""))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IF(AND(ISNUMBER(F63),ISNUMBER(G63),F63&gt;0,1-N(Ввод!$J$19)/100&gt;0),G63/(1-N(Ввод!$J$19)/100),IF(AND(ISNUMBER(I63),ISNUMBER(J63),I63&gt;0),J63/(1+N(Ввод!$J$19)/100),""))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IF(AND(ISNUMBER(F64),ISNUMBER(G64),F64&gt;0,1-N(Ввод!$J$19)/100&gt;0),G64/(1-N(Ввод!$J$19)/100),IF(AND(ISNUMBER(I64),ISNUMBER(J64),I64&gt;0),J64/(1+N(Ввод!$J$19)/100),""))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IF(AND(ISNUMBER(F65),ISNUMBER(G65),F65&gt;0,1-N(Ввод!$J$19)/100&gt;0),G65/(1-N(Ввод!$J$19)/100),IF(AND(ISNUMBER(I65),ISNUMBER(J65),I65&gt;0),J65/(1+N(Ввод!$J$19)/100),""))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IF(AND(ISNUMBER(F66),ISNUMBER(G66),F66&gt;0,1-N(Ввод!$J$19)/100&gt;0),G66/(1-N(Ввод!$J$19)/100),IF(AND(ISNUMBER(I66),ISNUMBER(J66),I66&gt;0),J66/(1+N(Ввод!$J$19)/100),""))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IF(AND(ISNUMBER(F67),ISNUMBER(G67),F67&gt;0,1-N(Ввод!$J$19)/100&gt;0),G67/(1-N(Ввод!$J$19)/100),IF(AND(ISNUMBER(I67),ISNUMBER(J67),I67&gt;0),J67/(1+N(Ввод!$J$19)/100),""))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IF(AND(ISNUMBER(F68),ISNUMBER(G68),F68&gt;0,1-N(Ввод!$J$19)/100&gt;0),G68/(1-N(Ввод!$J$19)/100),IF(AND(ISNUMBER(I68),ISNUMBER(J68),I68&gt;0),J68/(1+N(Ввод!$J$19)/100),""))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IF(AND(ISNUMBER(F69),ISNUMBER(G69),F69&gt;0,1-N(Ввод!$J$19)/100&gt;0),G69/(1-N(Ввод!$J$19)/100),IF(AND(ISNUMBER(I69),ISNUMBER(J69),I69&gt;0),J69/(1+N(Ввод!$J$19)/100),""))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IF(AND(ISNUMBER(F70),ISNUMBER(G70),F70&gt;0,1-N(Ввод!$J$19)/100&gt;0),G70/(1-N(Ввод!$J$19)/100),IF(AND(ISNUMBER(I70),ISNUMBER(J70),I70&gt;0),J70/(1+N(Ввод!$J$19)/100),""))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IF(AND(ISNUMBER(F71),ISNUMBER(G71),F71&gt;0,1-N(Ввод!$J$19)/100&gt;0),G71/(1-N(Ввод!$J$19)/100),IF(AND(ISNUMBER(I71),ISNUMBER(J71),I71&gt;0),J71/(1+N(Ввод!$J$19)/100),""))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IF(AND(ISNUMBER(F72),ISNUMBER(G72),F72&gt;0,1-N(Ввод!$J$19)/100&gt;0),G72/(1-N(Ввод!$J$19)/100),IF(AND(ISNUMBER(I72),ISNUMBER(J72),I72&gt;0),J72/(1+N(Ввод!$J$19)/100),""))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IF(AND(ISNUMBER(F73),ISNUMBER(G73),F73&gt;0,1-N(Ввод!$J$19)/100&gt;0),G73/(1-N(Ввод!$J$19)/100),IF(AND(ISNUMBER(I73),ISNUMBER(J73),I73&gt;0),J73/(1+N(Ввод!$J$19)/100),""))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IF(AND(ISNUMBER(F74),ISNUMBER(G74),F74&gt;0,1-N(Ввод!$J$19)/100&gt;0),G74/(1-N(Ввод!$J$19)/100),IF(AND(ISNUMBER(I74),ISNUMBER(J74),I74&gt;0),J74/(1+N(Ввод!$J$19)/100),""))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IF(AND(ISNUMBER(F75),ISNUMBER(G75),F75&gt;0,1-N(Ввод!$J$19)/100&gt;0),G75/(1-N(Ввод!$J$19)/100),IF(AND(ISNUMBER(I75),ISNUMBER(J75),I75&gt;0),J75/(1+N(Ввод!$J$19)/100),""))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IF(AND(ISNUMBER(F76),ISNUMBER(G76),F76&gt;0,1-N(Ввод!$J$19)/100&gt;0),G76/(1-N(Ввод!$J$19)/100),IF(AND(ISNUMBER(I76),ISNUMBER(J76),I76&gt;0),J76/(1+N(Ввод!$J$19)/100),""))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IF(AND(ISNUMBER(F77),ISNUMBER(G77),F77&gt;0,1-N(Ввод!$J$19)/100&gt;0),G77/(1-N(Ввод!$J$19)/100),IF(AND(ISNUMBER(I77),ISNUMBER(J77),I77&gt;0),J77/(1+N(Ввод!$J$19)/100),""))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IF(AND(ISNUMBER(F78),ISNUMBER(G78),F78&gt;0,1-N(Ввод!$J$19)/100&gt;0),G78/(1-N(Ввод!$J$19)/100),IF(AND(ISNUMBER(I78),ISNUMBER(J78),I78&gt;0),J78/(1+N(Ввод!$J$19)/100),""))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IF(AND(ISNUMBER(F79),ISNUMBER(G79),F79&gt;0,1-N(Ввод!$J$19)/100&gt;0),G79/(1-N(Ввод!$J$19)/100),IF(AND(ISNUMBER(I79),ISNUMBER(J79),I79&gt;0),J79/(1+N(Ввод!$J$19)/100),""))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IF(AND(ISNUMBER(F80),ISNUMBER(G80),F80&gt;0,1-N(Ввод!$J$19)/100&gt;0),G80/(1-N(Ввод!$J$19)/100),IF(AND(ISNUMBER(I80),ISNUMBER(J80),I80&gt;0),J80/(1+N(Ввод!$J$19)/100),""))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IF(AND(ISNUMBER(F81),ISNUMBER(G81),F81&gt;0,1-N(Ввод!$J$19)/100&gt;0),G81/(1-N(Ввод!$J$19)/100),IF(AND(ISNUMBER(I81),ISNUMBER(J81),I81&gt;0),J81/(1+N(Ввод!$J$19)/100),""))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IF(AND(ISNUMBER(F82),ISNUMBER(G82),F82&gt;0,1-N(Ввод!$J$19)/100&gt;0),G82/(1-N(Ввод!$J$19)/100),IF(AND(ISNUMBER(I82),ISNUMBER(J82),I82&gt;0),J82/(1+N(Ввод!$J$19)/100),""))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IF(AND(ISNUMBER(F83),ISNUMBER(G83),F83&gt;0,1-N(Ввод!$J$19)/100&gt;0),G83/(1-N(Ввод!$J$19)/100),IF(AND(ISNUMBER(I83),ISNUMBER(J83),I83&gt;0),J83/(1+N(Ввод!$J$19)/100),""))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IF(AND(ISNUMBER(F84),ISNUMBER(G84),F84&gt;0,1-N(Ввод!$J$19)/100&gt;0),G84/(1-N(Ввод!$J$19)/100),IF(AND(ISNUMBER(I84),ISNUMBER(J84),I84&gt;0),J84/(1+N(Ввод!$J$19)/100),""))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IF(AND(ISNUMBER(F85),ISNUMBER(G85),F85&gt;0,1-N(Ввод!$J$19)/100&gt;0),G85/(1-N(Ввод!$J$19)/100),IF(AND(ISNUMBER(I85),ISNUMBER(J85),I85&gt;0),J85/(1+N(Ввод!$J$19)/100),""))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IF(AND(ISNUMBER(F86),ISNUMBER(G86),F86&gt;0,1-N(Ввод!$J$19)/100&gt;0),G86/(1-N(Ввод!$J$19)/100),IF(AND(ISNUMBER(I86),ISNUMBER(J86),I86&gt;0),J86/(1+N(Ввод!$J$19)/100),""))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IF(AND(ISNUMBER(F87),ISNUMBER(G87),F87&gt;0,1-N(Ввод!$J$19)/100&gt;0),G87/(1-N(Ввод!$J$19)/100),IF(AND(ISNUMBER(I87),ISNUMBER(J87),I87&gt;0),J87/(1+N(Ввод!$J$19)/100),""))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IF(AND(ISNUMBER(F88),ISNUMBER(G88),F88&gt;0,1-N(Ввод!$J$19)/100&gt;0),G88/(1-N(Ввод!$J$19)/100),IF(AND(ISNUMBER(I88),ISNUMBER(J88),I88&gt;0),J88/(1+N(Ввод!$J$19)/100),""))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IF(AND(ISNUMBER(F89),ISNUMBER(G89),F89&gt;0,1-N(Ввод!$J$19)/100&gt;0),G89/(1-N(Ввод!$J$19)/100),IF(AND(ISNUMBER(I89),ISNUMBER(J89),I89&gt;0),J89/(1+N(Ввод!$J$19)/100),""))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IF(AND(ISNUMBER(F90),ISNUMBER(G90),F90&gt;0,1-N(Ввод!$J$19)/100&gt;0),G90/(1-N(Ввод!$J$19)/100),IF(AND(ISNUMBER(I90),ISNUMBER(J90),I90&gt;0),J90/(1+N(Ввод!$J$19)/100),""))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IF(AND(ISNUMBER(F91),ISNUMBER(G91),F91&gt;0,1-N(Ввод!$J$19)/100&gt;0),G91/(1-N(Ввод!$J$19)/100),IF(AND(ISNUMBER(I91),ISNUMBER(J91),I91&gt;0),J91/(1+N(Ввод!$J$19)/100),""))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IF(AND(ISNUMBER(F92),ISNUMBER(G92),F92&gt;0,1-N(Ввод!$J$19)/100&gt;0),G92/(1-N(Ввод!$J$19)/100),IF(AND(ISNUMBER(I92),ISNUMBER(J92),I92&gt;0),J92/(1+N(Ввод!$J$19)/100),""))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IF(AND(ISNUMBER(F93),ISNUMBER(G93),F93&gt;0,1-N(Ввод!$J$19)/100&gt;0),G93/(1-N(Ввод!$J$19)/100),IF(AND(ISNUMBER(I93),ISNUMBER(J93),I93&gt;0),J93/(1+N(Ввод!$J$19)/100),""))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IF(AND(ISNUMBER(F94),ISNUMBER(G94),F94&gt;0,1-N(Ввод!$J$19)/100&gt;0),G94/(1-N(Ввод!$J$19)/100),IF(AND(ISNUMBER(I94),ISNUMBER(J94),I94&gt;0),J94/(1+N(Ввод!$J$19)/100),""))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IF(AND(ISNUMBER(F95),ISNUMBER(G95),F95&gt;0,1-N(Ввод!$J$19)/100&gt;0),G95/(1-N(Ввод!$J$19)/100),IF(AND(ISNUMBER(I95),ISNUMBER(J95),I95&gt;0),J95/(1+N(Ввод!$J$19)/100),""))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IF(AND(ISNUMBER(F96),ISNUMBER(G96),F96&gt;0,1-N(Ввод!$J$19)/100&gt;0),G96/(1-N(Ввод!$J$19)/100),IF(AND(ISNUMBER(I96),ISNUMBER(J96),I96&gt;0),J96/(1+N(Ввод!$J$19)/100),""))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IF(AND(ISNUMBER(F97),ISNUMBER(G97),F97&gt;0,1-N(Ввод!$J$19)/100&gt;0),G97/(1-N(Ввод!$J$19)/100),IF(AND(ISNUMBER(I97),ISNUMBER(J97),I97&gt;0),J97/(1+N(Ввод!$J$19)/100),""))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IF(AND(ISNUMBER(F98),ISNUMBER(G98),F98&gt;0,1-N(Ввод!$J$19)/100&gt;0),G98/(1-N(Ввод!$J$19)/100),IF(AND(ISNUMBER(I98),ISNUMBER(J98),I98&gt;0),J98/(1+N(Ввод!$J$19)/100),""))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IF(AND(ISNUMBER(F99),ISNUMBER(G99),F99&gt;0,1-N(Ввод!$J$19)/100&gt;0),G99/(1-N(Ввод!$J$19)/100),IF(AND(ISNUMBER(I99),ISNUMBER(J99),I99&gt;0),J99/(1+N(Ввод!$J$19)/100),""))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IF(AND(ISNUMBER(F100),ISNUMBER(G100),F100&gt;0,1-N(Ввод!$J$19)/100&gt;0),G100/(1-N(Ввод!$J$19)/100),IF(AND(ISNUMBER(I100),ISNUMBER(J100),I100&gt;0),J100/(1+N(Ввод!$J$19)/100),""))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IF(AND(ISNUMBER(F101),ISNUMBER(G101),F101&gt;0,1-N(Ввод!$J$19)/100&gt;0),G101/(1-N(Ввод!$J$19)/100),IF(AND(ISNUMBER(I101),ISNUMBER(J101),I101&gt;0),J101/(1+N(Ввод!$J$19)/100),""))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IF(AND(ISNUMBER(F102),ISNUMBER(G102),F102&gt;0,1-N(Ввод!$J$19)/100&gt;0),G102/(1-N(Ввод!$J$19)/100),IF(AND(ISNUMBER(I102),ISNUMBER(J102),I102&gt;0),J102/(1+N(Ввод!$J$19)/100),""))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IF(AND(ISNUMBER(F103),ISNUMBER(G103),F103&gt;0,1-N(Ввод!$J$19)/100&gt;0),G103/(1-N(Ввод!$J$19)/100),IF(AND(ISNUMBER(I103),ISNUMBER(J103),I103&gt;0),J103/(1+N(Ввод!$J$19)/100),""))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IF(AND(ISNUMBER(F104),ISNUMBER(G104),F104&gt;0,1-N(Ввод!$J$19)/100&gt;0),G104/(1-N(Ввод!$J$19)/100),IF(AND(ISNUMBER(I104),ISNUMBER(J104),I104&gt;0),J104/(1+N(Ввод!$J$19)/100),""))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IF(AND(ISNUMBER(F105),ISNUMBER(G105),F105&gt;0,1-N(Ввод!$J$19)/100&gt;0),G105/(1-N(Ввод!$J$19)/100),IF(AND(ISNUMBER(I105),ISNUMBER(J105),I105&gt;0),J105/(1+N(Ввод!$J$19)/100),""))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IF(AND(ISNUMBER(F106),ISNUMBER(G106),F106&gt;0,1-N(Ввод!$J$19)/100&gt;0),G106/(1-N(Ввод!$J$19)/100),IF(AND(ISNUMBER(I106),ISNUMBER(J106),I106&gt;0),J106/(1+N(Ввод!$J$19)/100),""))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IF(AND(ISNUMBER(F107),ISNUMBER(G107),F107&gt;0,1-N(Ввод!$J$19)/100&gt;0),G107/(1-N(Ввод!$J$19)/100),IF(AND(ISNUMBER(I107),ISNUMBER(J107),I107&gt;0),J107/(1+N(Ввод!$J$19)/100),""))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IF(AND(ISNUMBER(F108),ISNUMBER(G108),F108&gt;0,1-N(Ввод!$J$19)/100&gt;0),G108/(1-N(Ввод!$J$19)/100),IF(AND(ISNUMBER(I108),ISNUMBER(J108),I108&gt;0),J108/(1+N(Ввод!$J$19)/100),""))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IF(AND(ISNUMBER(F109),ISNUMBER(G109),F109&gt;0,1-N(Ввод!$J$19)/100&gt;0),G109/(1-N(Ввод!$J$19)/100),IF(AND(ISNUMBER(I109),ISNUMBER(J109),I109&gt;0),J109/(1+N(Ввод!$J$19)/100),""))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IF(AND(ISNUMBER(F110),ISNUMBER(G110),F110&gt;0,1-N(Ввод!$J$19)/100&gt;0),G110/(1-N(Ввод!$J$19)/100),IF(AND(ISNUMBER(I110),ISNUMBER(J110),I110&gt;0),J110/(1+N(Ввод!$J$19)/100),""))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IF(AND(ISNUMBER(F111),ISNUMBER(G111),F111&gt;0,1-N(Ввод!$J$19)/100&gt;0),G111/(1-N(Ввод!$J$19)/100),IF(AND(ISNUMBER(I111),ISNUMBER(J111),I111&gt;0),J111/(1+N(Ввод!$J$19)/100),""))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IF(AND(ISNUMBER(F112),ISNUMBER(G112),F112&gt;0,1-N(Ввод!$J$19)/100&gt;0),G112/(1-N(Ввод!$J$19)/100),IF(AND(ISNUMBER(I112),ISNUMBER(J112),I112&gt;0),J112/(1+N(Ввод!$J$19)/100),""))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IF(AND(ISNUMBER(F113),ISNUMBER(G113),F113&gt;0,1-N(Ввод!$J$19)/100&gt;0),G113/(1-N(Ввод!$J$19)/100),IF(AND(ISNUMBER(I113),ISNUMBER(J113),I113&gt;0),J113/(1+N(Ввод!$J$19)/100),""))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IF(AND(ISNUMBER(F114),ISNUMBER(G114),F114&gt;0,1-N(Ввод!$J$19)/100&gt;0),G114/(1-N(Ввод!$J$19)/100),IF(AND(ISNUMBER(I114),ISNUMBER(J114),I114&gt;0),J114/(1+N(Ввод!$J$19)/100),""))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IF(AND(ISNUMBER(F115),ISNUMBER(G115),F115&gt;0,1-N(Ввод!$J$19)/100&gt;0),G115/(1-N(Ввод!$J$19)/100),IF(AND(ISNUMBER(I115),ISNUMBER(J115),I115&gt;0),J115/(1+N(Ввод!$J$19)/100),""))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IF(AND(ISNUMBER(F116),ISNUMBER(G116),F116&gt;0,1-N(Ввод!$J$19)/100&gt;0),G116/(1-N(Ввод!$J$19)/100),IF(AND(ISNUMBER(I116),ISNUMBER(J116),I116&gt;0),J116/(1+N(Ввод!$J$19)/100),""))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IF(AND(ISNUMBER(F117),ISNUMBER(G117),F117&gt;0,1-N(Ввод!$J$19)/100&gt;0),G117/(1-N(Ввод!$J$19)/100),IF(AND(ISNUMBER(I117),ISNUMBER(J117),I117&gt;0),J117/(1+N(Ввод!$J$19)/100),""))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IF(AND(ISNUMBER(F118),ISNUMBER(G118),F118&gt;0,1-N(Ввод!$J$19)/100&gt;0),G118/(1-N(Ввод!$J$19)/100),IF(AND(ISNUMBER(I118),ISNUMBER(J118),I118&gt;0),J118/(1+N(Ввод!$J$19)/100),""))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IF(AND(ISNUMBER(F119),ISNUMBER(G119),F119&gt;0,1-N(Ввод!$J$19)/100&gt;0),G119/(1-N(Ввод!$J$19)/100),IF(AND(ISNUMBER(I119),ISNUMBER(J119),I119&gt;0),J119/(1+N(Ввод!$J$19)/100),""))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IF(AND(ISNUMBER(F120),ISNUMBER(G120),F120&gt;0,1-N(Ввод!$J$19)/100&gt;0),G120/(1-N(Ввод!$J$19)/100),IF(AND(ISNUMBER(I120),ISNUMBER(J120),I120&gt;0),J120/(1+N(Ввод!$J$19)/100),""))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IF(AND(ISNUMBER(F121),ISNUMBER(G121),F121&gt;0,1-N(Ввод!$J$19)/100&gt;0),G121/(1-N(Ввод!$J$19)/100),IF(AND(ISNUMBER(I121),ISNUMBER(J121),I121&gt;0),J121/(1+N(Ввод!$J$19)/100),""))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IF(AND(ISNUMBER(F122),ISNUMBER(G122),F122&gt;0,1-N(Ввод!$J$19)/100&gt;0),G122/(1-N(Ввод!$J$19)/100),IF(AND(ISNUMBER(I122),ISNUMBER(J122),I122&gt;0),J122/(1+N(Ввод!$J$19)/100),""))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IF(AND(ISNUMBER(F123),ISNUMBER(G123),F123&gt;0,1-N(Ввод!$J$19)/100&gt;0),G123/(1-N(Ввод!$J$19)/100),IF(AND(ISNUMBER(I123),ISNUMBER(J123),I123&gt;0),J123/(1+N(Ввод!$J$19)/100),""))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IF(AND(ISNUMBER(F124),ISNUMBER(G124),F124&gt;0,1-N(Ввод!$J$19)/100&gt;0),G124/(1-N(Ввод!$J$19)/100),IF(AND(ISNUMBER(I124),ISNUMBER(J124),I124&gt;0),J124/(1+N(Ввод!$J$19)/100),""))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IF(AND(ISNUMBER(F125),ISNUMBER(G125),F125&gt;0,1-N(Ввод!$J$19)/100&gt;0),G125/(1-N(Ввод!$J$19)/100),IF(AND(ISNUMBER(I125),ISNUMBER(J125),I125&gt;0),J125/(1+N(Ввод!$J$19)/100),""))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IF(AND(ISNUMBER(F126),ISNUMBER(G126),F126&gt;0,1-N(Ввод!$J$19)/100&gt;0),G126/(1-N(Ввод!$J$19)/100),IF(AND(ISNUMBER(I126),ISNUMBER(J126),I126&gt;0),J126/(1+N(Ввод!$J$19)/100),""))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IF(AND(ISNUMBER(F127),ISNUMBER(G127),F127&gt;0,1-N(Ввод!$J$19)/100&gt;0),G127/(1-N(Ввод!$J$19)/100),IF(AND(ISNUMBER(I127),ISNUMBER(J127),I127&gt;0),J127/(1+N(Ввод!$J$19)/100),""))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IF(AND(ISNUMBER(F128),ISNUMBER(G128),F128&gt;0,1-N(Ввод!$J$19)/100&gt;0),G128/(1-N(Ввод!$J$19)/100),IF(AND(ISNUMBER(I128),ISNUMBER(J128),I128&gt;0),J128/(1+N(Ввод!$J$19)/100),""))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IF(AND(ISNUMBER(F129),ISNUMBER(G129),F129&gt;0,1-N(Ввод!$J$19)/100&gt;0),G129/(1-N(Ввод!$J$19)/100),IF(AND(ISNUMBER(I129),ISNUMBER(J129),I129&gt;0),J129/(1+N(Ввод!$J$19)/100),""))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IF(AND(ISNUMBER(F130),ISNUMBER(G130),F130&gt;0,1-N(Ввод!$J$19)/100&gt;0),G130/(1-N(Ввод!$J$19)/100),IF(AND(ISNUMBER(I130),ISNUMBER(J130),I130&gt;0),J130/(1+N(Ввод!$J$19)/100),""))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IF(AND(ISNUMBER(F131),ISNUMBER(G131),F131&gt;0,1-N(Ввод!$J$19)/100&gt;0),G131/(1-N(Ввод!$J$19)/100),IF(AND(ISNUMBER(I131),ISNUMBER(J131),I131&gt;0),J131/(1+N(Ввод!$J$19)/100),""))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IF(AND(ISNUMBER(F132),ISNUMBER(G132),F132&gt;0,1-N(Ввод!$J$19)/100&gt;0),G132/(1-N(Ввод!$J$19)/100),IF(AND(ISNUMBER(I132),ISNUMBER(J132),I132&gt;0),J132/(1+N(Ввод!$J$19)/100),""))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IF(AND(ISNUMBER(F133),ISNUMBER(G133),F133&gt;0,1-N(Ввод!$J$19)/100&gt;0),G133/(1-N(Ввод!$J$19)/100),IF(AND(ISNUMBER(I133),ISNUMBER(J133),I133&gt;0),J133/(1+N(Ввод!$J$19)/100),""))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IF(AND(ISNUMBER(F134),ISNUMBER(G134),F134&gt;0,1-N(Ввод!$J$19)/100&gt;0),G134/(1-N(Ввод!$J$19)/100),IF(AND(ISNUMBER(I134),ISNUMBER(J134),I134&gt;0),J134/(1+N(Ввод!$J$19)/100),""))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IF(AND(ISNUMBER(F135),ISNUMBER(G135),F135&gt;0,1-N(Ввод!$J$19)/100&gt;0),G135/(1-N(Ввод!$J$19)/100),IF(AND(ISNUMBER(I135),ISNUMBER(J135),I135&gt;0),J135/(1+N(Ввод!$J$19)/100),""))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IF(AND(ISNUMBER(F136),ISNUMBER(G136),F136&gt;0,1-N(Ввод!$J$19)/100&gt;0),G136/(1-N(Ввод!$J$19)/100),IF(AND(ISNUMBER(I136),ISNUMBER(J136),I136&gt;0),J136/(1+N(Ввод!$J$19)/100),""))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IF(AND(ISNUMBER(F137),ISNUMBER(G137),F137&gt;0,1-N(Ввод!$J$19)/100&gt;0),G137/(1-N(Ввод!$J$19)/100),IF(AND(ISNUMBER(I137),ISNUMBER(J137),I137&gt;0),J137/(1+N(Ввод!$J$19)/100),""))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IF(AND(ISNUMBER(F138),ISNUMBER(G138),F138&gt;0,1-N(Ввод!$J$19)/100&gt;0),G138/(1-N(Ввод!$J$19)/100),IF(AND(ISNUMBER(I138),ISNUMBER(J138),I138&gt;0),J138/(1+N(Ввод!$J$19)/100),""))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IF(AND(ISNUMBER(F139),ISNUMBER(G139),F139&gt;0,1-N(Ввод!$J$19)/100&gt;0),G139/(1-N(Ввод!$J$19)/100),IF(AND(ISNUMBER(I139),ISNUMBER(J139),I139&gt;0),J139/(1+N(Ввод!$J$19)/100),""))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IF(AND(ISNUMBER(F140),ISNUMBER(G140),F140&gt;0,1-N(Ввод!$J$19)/100&gt;0),G140/(1-N(Ввод!$J$19)/100),IF(AND(ISNUMBER(I140),ISNUMBER(J140),I140&gt;0),J140/(1+N(Ввод!$J$19)/100),""))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IF(AND(ISNUMBER(F141),ISNUMBER(G141),F141&gt;0,1-N(Ввод!$J$19)/100&gt;0),G141/(1-N(Ввод!$J$19)/100),IF(AND(ISNUMBER(I141),ISNUMBER(J141),I141&gt;0),J141/(1+N(Ввод!$J$19)/100),""))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IF(AND(ISNUMBER(F142),ISNUMBER(G142),F142&gt;0,1-N(Ввод!$J$19)/100&gt;0),G142/(1-N(Ввод!$J$19)/100),IF(AND(ISNUMBER(I142),ISNUMBER(J142),I142&gt;0),J142/(1+N(Ввод!$J$19)/100),""))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IF(AND(ISNUMBER(F143),ISNUMBER(G143),F143&gt;0,1-N(Ввод!$J$19)/100&gt;0),G143/(1-N(Ввод!$J$19)/100),IF(AND(ISNUMBER(I143),ISNUMBER(J143),I143&gt;0),J143/(1+N(Ввод!$J$19)/100),""))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IF(AND(ISNUMBER(F144),ISNUMBER(G144),F144&gt;0,1-N(Ввод!$J$19)/100&gt;0),G144/(1-N(Ввод!$J$19)/100),IF(AND(ISNUMBER(I144),ISNUMBER(J144),I144&gt;0),J144/(1+N(Ввод!$J$19)/100),""))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IF(AND(ISNUMBER(F145),ISNUMBER(G145),F145&gt;0,1-N(Ввод!$J$19)/100&gt;0),G145/(1-N(Ввод!$J$19)/100),IF(AND(ISNUMBER(I145),ISNUMBER(J145),I145&gt;0),J145/(1+N(Ввод!$J$19)/100),""))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IF(AND(ISNUMBER(F146),ISNUMBER(G146),F146&gt;0,1-N(Ввод!$J$19)/100&gt;0),G146/(1-N(Ввод!$J$19)/100),IF(AND(ISNUMBER(I146),ISNUMBER(J146),I146&gt;0),J146/(1+N(Ввод!$J$19)/100),""))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IF(AND(ISNUMBER(F147),ISNUMBER(G147),F147&gt;0,1-N(Ввод!$J$19)/100&gt;0),G147/(1-N(Ввод!$J$19)/100),IF(AND(ISNUMBER(I147),ISNUMBER(J147),I147&gt;0),J147/(1+N(Ввод!$J$19)/100),""))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IF(AND(ISNUMBER(F148),ISNUMBER(G148),F148&gt;0,1-N(Ввод!$J$19)/100&gt;0),G148/(1-N(Ввод!$J$19)/100),IF(AND(ISNUMBER(I148),ISNUMBER(J148),I148&gt;0),J148/(1+N(Ввод!$J$19)/100),""))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IF(AND(ISNUMBER(F149),ISNUMBER(G149),F149&gt;0,1-N(Ввод!$J$19)/100&gt;0),G149/(1-N(Ввод!$J$19)/100),IF(AND(ISNUMBER(I149),ISNUMBER(J149),I149&gt;0),J149/(1+N(Ввод!$J$19)/100),""))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IF(AND(ISNUMBER(F150),ISNUMBER(G150),F150&gt;0,1-N(Ввод!$J$19)/100&gt;0),G150/(1-N(Ввод!$J$19)/100),IF(AND(ISNUMBER(I150),ISNUMBER(J150),I150&gt;0),J150/(1+N(Ввод!$J$19)/100),""))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IF(AND(ISNUMBER(F151),ISNUMBER(G151),F151&gt;0,1-N(Ввод!$J$19)/100&gt;0),G151/(1-N(Ввод!$J$19)/100),IF(AND(ISNUMBER(I151),ISNUMBER(J151),I151&gt;0),J151/(1+N(Ввод!$J$19)/100),""))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IF(AND(ISNUMBER(F152),ISNUMBER(G152),F152&gt;0,1-N(Ввод!$J$19)/100&gt;0),G152/(1-N(Ввод!$J$19)/100),IF(AND(ISNUMBER(I152),ISNUMBER(J152),I152&gt;0),J152/(1+N(Ввод!$J$19)/100),""))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IF(AND(ISNUMBER(F153),ISNUMBER(G153),F153&gt;0,1-N(Ввод!$J$19)/100&gt;0),G153/(1-N(Ввод!$J$19)/100),IF(AND(ISNUMBER(I153),ISNUMBER(J153),I153&gt;0),J153/(1+N(Ввод!$J$19)/100),""))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IF(AND(ISNUMBER(F154),ISNUMBER(G154),F154&gt;0,1-N(Ввод!$J$19)/100&gt;0),G154/(1-N(Ввод!$J$19)/100),IF(AND(ISNUMBER(I154),ISNUMBER(J154),I154&gt;0),J154/(1+N(Ввод!$J$19)/100),""))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IF(AND(ISNUMBER(F155),ISNUMBER(G155),F155&gt;0,1-N(Ввод!$J$19)/100&gt;0),G155/(1-N(Ввод!$J$19)/100),IF(AND(ISNUMBER(I155),ISNUMBER(J155),I155&gt;0),J155/(1+N(Ввод!$J$19)/100),""))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IF(AND(ISNUMBER(F156),ISNUMBER(G156),F156&gt;0,1-N(Ввод!$J$19)/100&gt;0),G156/(1-N(Ввод!$J$19)/100),IF(AND(ISNUMBER(I156),ISNUMBER(J156),I156&gt;0),J156/(1+N(Ввод!$J$19)/100),""))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IF(AND(ISNUMBER(F157),ISNUMBER(G157),F157&gt;0,1-N(Ввод!$J$19)/100&gt;0),G157/(1-N(Ввод!$J$19)/100),IF(AND(ISNUMBER(I157),ISNUMBER(J157),I157&gt;0),J157/(1+N(Ввод!$J$19)/100),""))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IF(AND(ISNUMBER(F158),ISNUMBER(G158),F158&gt;0,1-N(Ввод!$J$19)/100&gt;0),G158/(1-N(Ввод!$J$19)/100),IF(AND(ISNUMBER(I158),ISNUMBER(J158),I158&gt;0),J158/(1+N(Ввод!$J$19)/100),""))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IF(AND(ISNUMBER(F159),ISNUMBER(G159),F159&gt;0,1-N(Ввод!$J$19)/100&gt;0),G159/(1-N(Ввод!$J$19)/100),IF(AND(ISNUMBER(I159),ISNUMBER(J159),I159&gt;0),J159/(1+N(Ввод!$J$19)/100),""))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IF(AND(ISNUMBER(F160),ISNUMBER(G160),F160&gt;0,1-N(Ввод!$J$19)/100&gt;0),G160/(1-N(Ввод!$J$19)/100),IF(AND(ISNUMBER(I160),ISNUMBER(J160),I160&gt;0),J160/(1+N(Ввод!$J$19)/100),""))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IF(AND(ISNUMBER(F161),ISNUMBER(G161),F161&gt;0,1-N(Ввод!$J$19)/100&gt;0),G161/(1-N(Ввод!$J$19)/100),IF(AND(ISNUMBER(I161),ISNUMBER(J161),I161&gt;0),J161/(1+N(Ввод!$J$19)/100),""))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IF(AND(ISNUMBER(F162),ISNUMBER(G162),F162&gt;0,1-N(Ввод!$J$19)/100&gt;0),G162/(1-N(Ввод!$J$19)/100),IF(AND(ISNUMBER(I162),ISNUMBER(J162),I162&gt;0),J162/(1+N(Ввод!$J$19)/100),""))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IF(AND(ISNUMBER(F163),ISNUMBER(G163),F163&gt;0,1-N(Ввод!$J$19)/100&gt;0),G163/(1-N(Ввод!$J$19)/100),IF(AND(ISNUMBER(I163),ISNUMBER(J163),I163&gt;0),J163/(1+N(Ввод!$J$19)/100),""))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IF(AND(ISNUMBER(F164),ISNUMBER(G164),F164&gt;0,1-N(Ввод!$J$19)/100&gt;0),G164/(1-N(Ввод!$J$19)/100),IF(AND(ISNUMBER(I164),ISNUMBER(J164),I164&gt;0),J164/(1+N(Ввод!$J$19)/100),""))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IF(AND(ISNUMBER(F165),ISNUMBER(G165),F165&gt;0,1-N(Ввод!$J$19)/100&gt;0),G165/(1-N(Ввод!$J$19)/100),IF(AND(ISNUMBER(I165),ISNUMBER(J165),I165&gt;0),J165/(1+N(Ввод!$J$19)/100),""))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IF(AND(ISNUMBER(F166),ISNUMBER(G166),F166&gt;0,1-N(Ввод!$J$19)/100&gt;0),G166/(1-N(Ввод!$J$19)/100),IF(AND(ISNUMBER(I166),ISNUMBER(J166),I166&gt;0),J166/(1+N(Ввод!$J$19)/100),""))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IF(AND(ISNUMBER(F167),ISNUMBER(G167),F167&gt;0,1-N(Ввод!$J$19)/100&gt;0),G167/(1-N(Ввод!$J$19)/100),IF(AND(ISNUMBER(I167),ISNUMBER(J167),I167&gt;0),J167/(1+N(Ввод!$J$19)/100),""))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IF(AND(ISNUMBER(F168),ISNUMBER(G168),F168&gt;0,1-N(Ввод!$J$19)/100&gt;0),G168/(1-N(Ввод!$J$19)/100),IF(AND(ISNUMBER(I168),ISNUMBER(J168),I168&gt;0),J168/(1+N(Ввод!$J$19)/100),""))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IF(AND(ISNUMBER(F169),ISNUMBER(G169),F169&gt;0,1-N(Ввод!$J$19)/100&gt;0),G169/(1-N(Ввод!$J$19)/100),IF(AND(ISNUMBER(I169),ISNUMBER(J169),I169&gt;0),J169/(1+N(Ввод!$J$19)/100),""))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IF(AND(ISNUMBER(F170),ISNUMBER(G170),F170&gt;0,1-N(Ввод!$J$19)/100&gt;0),G170/(1-N(Ввод!$J$19)/100),IF(AND(ISNUMBER(I170),ISNUMBER(J170),I170&gt;0),J170/(1+N(Ввод!$J$19)/100),""))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IF(AND(ISNUMBER(F171),ISNUMBER(G171),F171&gt;0,1-N(Ввод!$J$19)/100&gt;0),G171/(1-N(Ввод!$J$19)/100),IF(AND(ISNUMBER(I171),ISNUMBER(J171),I171&gt;0),J171/(1+N(Ввод!$J$19)/100),""))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IF(AND(ISNUMBER(F172),ISNUMBER(G172),F172&gt;0,1-N(Ввод!$J$19)/100&gt;0),G172/(1-N(Ввод!$J$19)/100),IF(AND(ISNUMBER(I172),ISNUMBER(J172),I172&gt;0),J172/(1+N(Ввод!$J$19)/100),""))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IF(AND(ISNUMBER(F173),ISNUMBER(G173),F173&gt;0,1-N(Ввод!$J$19)/100&gt;0),G173/(1-N(Ввод!$J$19)/100),IF(AND(ISNUMBER(I173),ISNUMBER(J173),I173&gt;0),J173/(1+N(Ввод!$J$19)/100),""))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IF(AND(ISNUMBER(F174),ISNUMBER(G174),F174&gt;0,1-N(Ввод!$J$19)/100&gt;0),G174/(1-N(Ввод!$J$19)/100),IF(AND(ISNUMBER(I174),ISNUMBER(J174),I174&gt;0),J174/(1+N(Ввод!$J$19)/100),""))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IF(AND(ISNUMBER(F175),ISNUMBER(G175),F175&gt;0,1-N(Ввод!$J$19)/100&gt;0),G175/(1-N(Ввод!$J$19)/100),IF(AND(ISNUMBER(I175),ISNUMBER(J175),I175&gt;0),J175/(1+N(Ввод!$J$19)/100),""))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IF(AND(ISNUMBER(F176),ISNUMBER(G176),F176&gt;0,1-N(Ввод!$J$19)/100&gt;0),G176/(1-N(Ввод!$J$19)/100),IF(AND(ISNUMBER(I176),ISNUMBER(J176),I176&gt;0),J176/(1+N(Ввод!$J$19)/100),""))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IF(AND(ISNUMBER(F177),ISNUMBER(G177),F177&gt;0,1-N(Ввод!$J$19)/100&gt;0),G177/(1-N(Ввод!$J$19)/100),IF(AND(ISNUMBER(I177),ISNUMBER(J177),I177&gt;0),J177/(1+N(Ввод!$J$19)/100),""))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IF(AND(ISNUMBER(F178),ISNUMBER(G178),F178&gt;0,1-N(Ввод!$J$19)/100&gt;0),G178/(1-N(Ввод!$J$19)/100),IF(AND(ISNUMBER(I178),ISNUMBER(J178),I178&gt;0),J178/(1+N(Ввод!$J$19)/100),""))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IF(AND(ISNUMBER(F179),ISNUMBER(G179),F179&gt;0,1-N(Ввод!$J$19)/100&gt;0),G179/(1-N(Ввод!$J$19)/100),IF(AND(ISNUMBER(I179),ISNUMBER(J179),I179&gt;0),J179/(1+N(Ввод!$J$19)/100),""))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IF(AND(ISNUMBER(F180),ISNUMBER(G180),F180&gt;0,1-N(Ввод!$J$19)/100&gt;0),G180/(1-N(Ввод!$J$19)/100),IF(AND(ISNUMBER(I180),ISNUMBER(J180),I180&gt;0),J180/(1+N(Ввод!$J$19)/100),""))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IF(AND(ISNUMBER(F181),ISNUMBER(G181),F181&gt;0,1-N(Ввод!$J$19)/100&gt;0),G181/(1-N(Ввод!$J$19)/100),IF(AND(ISNUMBER(I181),ISNUMBER(J181),I181&gt;0),J181/(1+N(Ввод!$J$19)/100),""))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IF(AND(ISNUMBER(F182),ISNUMBER(G182),F182&gt;0,1-N(Ввод!$J$19)/100&gt;0),G182/(1-N(Ввод!$J$19)/100),IF(AND(ISNUMBER(I182),ISNUMBER(J182),I182&gt;0),J182/(1+N(Ввод!$J$19)/100),""))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IF(AND(ISNUMBER(F183),ISNUMBER(G183),F183&gt;0,1-N(Ввод!$J$19)/100&gt;0),G183/(1-N(Ввод!$J$19)/100),IF(AND(ISNUMBER(I183),ISNUMBER(J183),I183&gt;0),J183/(1+N(Ввод!$J$19)/100),""))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IF(AND(ISNUMBER(F184),ISNUMBER(G184),F184&gt;0,1-N(Ввод!$J$19)/100&gt;0),G184/(1-N(Ввод!$J$19)/100),IF(AND(ISNUMBER(I184),ISNUMBER(J184),I184&gt;0),J184/(1+N(Ввод!$J$19)/100),""))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IF(AND(ISNUMBER(F185),ISNUMBER(G185),F185&gt;0,1-N(Ввод!$J$19)/100&gt;0),G185/(1-N(Ввод!$J$19)/100),IF(AND(ISNUMBER(I185),ISNUMBER(J185),I185&gt;0),J185/(1+N(Ввод!$J$19)/100),""))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IF(AND(ISNUMBER(F186),ISNUMBER(G186),F186&gt;0,1-N(Ввод!$J$19)/100&gt;0),G186/(1-N(Ввод!$J$19)/100),IF(AND(ISNUMBER(I186),ISNUMBER(J186),I186&gt;0),J186/(1+N(Ввод!$J$19)/100),""))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IF(AND(ISNUMBER(F187),ISNUMBER(G187),F187&gt;0,1-N(Ввод!$J$19)/100&gt;0),G187/(1-N(Ввод!$J$19)/100),IF(AND(ISNUMBER(I187),ISNUMBER(J187),I187&gt;0),J187/(1+N(Ввод!$J$19)/100),""))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IF(AND(ISNUMBER(F188),ISNUMBER(G188),F188&gt;0,1-N(Ввод!$J$19)/100&gt;0),G188/(1-N(Ввод!$J$19)/100),IF(AND(ISNUMBER(I188),ISNUMBER(J188),I188&gt;0),J188/(1+N(Ввод!$J$19)/100),""))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IF(AND(ISNUMBER(F189),ISNUMBER(G189),F189&gt;0,1-N(Ввод!$J$19)/100&gt;0),G189/(1-N(Ввод!$J$19)/100),IF(AND(ISNUMBER(I189),ISNUMBER(J189),I189&gt;0),J189/(1+N(Ввод!$J$19)/100),""))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IF(AND(ISNUMBER(F190),ISNUMBER(G190),F190&gt;0,1-N(Ввод!$J$19)/100&gt;0),G190/(1-N(Ввод!$J$19)/100),IF(AND(ISNUMBER(I190),ISNUMBER(J190),I190&gt;0),J190/(1+N(Ввод!$J$19)/100),""))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IF(AND(ISNUMBER(F191),ISNUMBER(G191),F191&gt;0,1-N(Ввод!$J$19)/100&gt;0),G191/(1-N(Ввод!$J$19)/100),IF(AND(ISNUMBER(I191),ISNUMBER(J191),I191&gt;0),J191/(1+N(Ввод!$J$19)/100),""))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IF(AND(ISNUMBER(F192),ISNUMBER(G192),F192&gt;0,1-N(Ввод!$J$19)/100&gt;0),G192/(1-N(Ввод!$J$19)/100),IF(AND(ISNUMBER(I192),ISNUMBER(J192),I192&gt;0),J192/(1+N(Ввод!$J$19)/100),""))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IF(AND(ISNUMBER(F193),ISNUMBER(G193),F193&gt;0,1-N(Ввод!$J$19)/100&gt;0),G193/(1-N(Ввод!$J$19)/100),IF(AND(ISNUMBER(I193),ISNUMBER(J193),I193&gt;0),J193/(1+N(Ввод!$J$19)/100),""))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IF(AND(ISNUMBER(F194),ISNUMBER(G194),F194&gt;0,1-N(Ввод!$J$19)/100&gt;0),G194/(1-N(Ввод!$J$19)/100),IF(AND(ISNUMBER(I194),ISNUMBER(J194),I194&gt;0),J194/(1+N(Ввод!$J$19)/100),""))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IF(AND(ISNUMBER(F195),ISNUMBER(G195),F195&gt;0,1-N(Ввод!$J$19)/100&gt;0),G195/(1-N(Ввод!$J$19)/100),IF(AND(ISNUMBER(I195),ISNUMBER(J195),I195&gt;0),J195/(1+N(Ввод!$J$19)/100),""))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IF(AND(ISNUMBER(F196),ISNUMBER(G196),F196&gt;0,1-N(Ввод!$J$19)/100&gt;0),G196/(1-N(Ввод!$J$19)/100),IF(AND(ISNUMBER(I196),ISNUMBER(J196),I196&gt;0),J196/(1+N(Ввод!$J$19)/100),""))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IF(AND(ISNUMBER(F197),ISNUMBER(G197),F197&gt;0,1-N(Ввод!$J$19)/100&gt;0),G197/(1-N(Ввод!$J$19)/100),IF(AND(ISNUMBER(I197),ISNUMBER(J197),I197&gt;0),J197/(1+N(Ввод!$J$19)/100),""))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IF(AND(ISNUMBER(F198),ISNUMBER(G198),F198&gt;0,1-N(Ввод!$J$19)/100&gt;0),G198/(1-N(Ввод!$J$19)/100),IF(AND(ISNUMBER(I198),ISNUMBER(J198),I198&gt;0),J198/(1+N(Ввод!$J$19)/100),""))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IF(AND(ISNUMBER(F199),ISNUMBER(G199),F199&gt;0,1-N(Ввод!$J$19)/100&gt;0),G199/(1-N(Ввод!$J$19)/100),IF(AND(ISNUMBER(I199),ISNUMBER(J199),I199&gt;0),J199/(1+N(Ввод!$J$19)/100),""))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IF(AND(ISNUMBER(F200),ISNUMBER(G200),F200&gt;0,1-N(Ввод!$J$19)/100&gt;0),G200/(1-N(Ввод!$J$19)/100),IF(AND(ISNUMBER(I200),ISNUMBER(J200),I200&gt;0),J200/(1+N(Ввод!$J$19)/100),""))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IF(AND(ISNUMBER(F201),ISNUMBER(G201),F201&gt;0,1-N(Ввод!$J$19)/100&gt;0),G201/(1-N(Ввод!$J$19)/100),IF(AND(ISNUMBER(I201),ISNUMBER(J201),I201&gt;0),J201/(1+N(Ввод!$J$19)/100),""))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IF(AND(ISNUMBER(F202),ISNUMBER(G202),F202&gt;0,1-N(Ввод!$J$19)/100&gt;0),G202/(1-N(Ввод!$J$19)/100),IF(AND(ISNUMBER(I202),ISNUMBER(J202),I202&gt;0),J202/(1+N(Ввод!$J$19)/100),""))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IF(AND(ISNUMBER(F203),ISNUMBER(G203),F203&gt;0,1-N(Ввод!$J$19)/100&gt;0),G203/(1-N(Ввод!$J$19)/100),IF(AND(ISNUMBER(I203),ISNUMBER(J203),I203&gt;0),J203/(1+N(Ввод!$J$19)/100),""))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IF(AND(ISNUMBER(F204),ISNUMBER(G204),F204&gt;0,1-N(Ввод!$J$19)/100&gt;0),G204/(1-N(Ввод!$J$19)/100),IF(AND(ISNUMBER(I204),ISNUMBER(J204),I204&gt;0),J204/(1+N(Ввод!$J$19)/100),""))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IF(AND(ISNUMBER(F205),ISNUMBER(G205),F205&gt;0,1-N(Ввод!$J$19)/100&gt;0),G205/(1-N(Ввод!$J$19)/100),IF(AND(ISNUMBER(I205),ISNUMBER(J205),I205&gt;0),J205/(1+N(Ввод!$J$19)/100),""))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IF(AND(ISNUMBER(F206),ISNUMBER(G206),F206&gt;0,1-N(Ввод!$J$19)/100&gt;0),G206/(1-N(Ввод!$J$19)/100),IF(AND(ISNUMBER(I206),ISNUMBER(J206),I206&gt;0),J206/(1+N(Ввод!$J$19)/100),""))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IF(AND(ISNUMBER(F207),ISNUMBER(G207),F207&gt;0,1-N(Ввод!$J$19)/100&gt;0),G207/(1-N(Ввод!$J$19)/100),IF(AND(ISNUMBER(I207),ISNUMBER(J207),I207&gt;0),J207/(1+N(Ввод!$J$19)/100),""))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IF(AND(ISNUMBER(F208),ISNUMBER(G208),F208&gt;0,1-N(Ввод!$J$19)/100&gt;0),G208/(1-N(Ввод!$J$19)/100),IF(AND(ISNUMBER(I208),ISNUMBER(J208),I208&gt;0),J208/(1+N(Ввод!$J$19)/100),""))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IF(AND(ISNUMBER(F209),ISNUMBER(G209),F209&gt;0,1-N(Ввод!$J$19)/100&gt;0),G209/(1-N(Ввод!$J$19)/100),IF(AND(ISNUMBER(I209),ISNUMBER(J209),I209&gt;0),J209/(1+N(Ввод!$J$19)/100),""))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IF(AND(ISNUMBER(F210),ISNUMBER(G210),F210&gt;0,1-N(Ввод!$J$19)/100&gt;0),G210/(1-N(Ввод!$J$19)/100),IF(AND(ISNUMBER(I210),ISNUMBER(J210),I210&gt;0),J210/(1+N(Ввод!$J$19)/100),""))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IF(AND(ISNUMBER(F211),ISNUMBER(G211),F211&gt;0,1-N(Ввод!$J$19)/100&gt;0),G211/(1-N(Ввод!$J$19)/100),IF(AND(ISNUMBER(I211),ISNUMBER(J211),I211&gt;0),J211/(1+N(Ввод!$J$19)/100),""))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IF(AND(ISNUMBER(F212),ISNUMBER(G212),F212&gt;0,1-N(Ввод!$J$19)/100&gt;0),G212/(1-N(Ввод!$J$19)/100),IF(AND(ISNUMBER(I212),ISNUMBER(J212),I212&gt;0),J212/(1+N(Ввод!$J$19)/100),""))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IF(AND(ISNUMBER(F213),ISNUMBER(G213),F213&gt;0,1-N(Ввод!$J$19)/100&gt;0),G213/(1-N(Ввод!$J$19)/100),IF(AND(ISNUMBER(I213),ISNUMBER(J213),I213&gt;0),J213/(1+N(Ввод!$J$19)/100),""))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IF(AND(ISNUMBER(F214),ISNUMBER(G214),F214&gt;0,1-N(Ввод!$J$19)/100&gt;0),G214/(1-N(Ввод!$J$19)/100),IF(AND(ISNUMBER(I214),ISNUMBER(J214),I214&gt;0),J214/(1+N(Ввод!$J$19)/100),""))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IF(AND(ISNUMBER(F215),ISNUMBER(G215),F215&gt;0,1-N(Ввод!$J$19)/100&gt;0),G215/(1-N(Ввод!$J$19)/100),IF(AND(ISNUMBER(I215),ISNUMBER(J215),I215&gt;0),J215/(1+N(Ввод!$J$19)/100),""))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IF(AND(ISNUMBER(F216),ISNUMBER(G216),F216&gt;0,1-N(Ввод!$J$19)/100&gt;0),G216/(1-N(Ввод!$J$19)/100),IF(AND(ISNUMBER(I216),ISNUMBER(J216),I216&gt;0),J216/(1+N(Ввод!$J$19)/100),""))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IF(AND(ISNUMBER(F217),ISNUMBER(G217),F217&gt;0,1-N(Ввод!$J$19)/100&gt;0),G217/(1-N(Ввод!$J$19)/100),IF(AND(ISNUMBER(I217),ISNUMBER(J217),I217&gt;0),J217/(1+N(Ввод!$J$19)/100),""))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IF(AND(ISNUMBER(F218),ISNUMBER(G218),F218&gt;0,1-N(Ввод!$J$19)/100&gt;0),G218/(1-N(Ввод!$J$19)/100),IF(AND(ISNUMBER(I218),ISNUMBER(J218),I218&gt;0),J218/(1+N(Ввод!$J$19)/100),""))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IF(AND(ISNUMBER(F219),ISNUMBER(G219),F219&gt;0,1-N(Ввод!$J$19)/100&gt;0),G219/(1-N(Ввод!$J$19)/100),IF(AND(ISNUMBER(I219),ISNUMBER(J219),I219&gt;0),J219/(1+N(Ввод!$J$19)/100),""))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IF(AND(ISNUMBER(F220),ISNUMBER(G220),F220&gt;0,1-N(Ввод!$J$19)/100&gt;0),G220/(1-N(Ввод!$J$19)/100),IF(AND(ISNUMBER(I220),ISNUMBER(J220),I220&gt;0),J220/(1+N(Ввод!$J$19)/100),""))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IF(AND(ISNUMBER(F221),ISNUMBER(G221),F221&gt;0,1-N(Ввод!$J$19)/100&gt;0),G221/(1-N(Ввод!$J$19)/100),IF(AND(ISNUMBER(I221),ISNUMBER(J221),I221&gt;0),J221/(1+N(Ввод!$J$19)/100),""))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IF(AND(ISNUMBER(F222),ISNUMBER(G222),F222&gt;0,1-N(Ввод!$J$19)/100&gt;0),G222/(1-N(Ввод!$J$19)/100),IF(AND(ISNUMBER(I222),ISNUMBER(J222),I222&gt;0),J222/(1+N(Ввод!$J$19)/100),""))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IF(AND(ISNUMBER(F223),ISNUMBER(G223),F223&gt;0,1-N(Ввод!$J$19)/100&gt;0),G223/(1-N(Ввод!$J$19)/100),IF(AND(ISNUMBER(I223),ISNUMBER(J223),I223&gt;0),J223/(1+N(Ввод!$J$19)/100),""))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IF(AND(ISNUMBER(F224),ISNUMBER(G224),F224&gt;0,1-N(Ввод!$J$19)/100&gt;0),G224/(1-N(Ввод!$J$19)/100),IF(AND(ISNUMBER(I224),ISNUMBER(J224),I224&gt;0),J224/(1+N(Ввод!$J$19)/100),""))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IF(AND(ISNUMBER(F225),ISNUMBER(G225),F225&gt;0,1-N(Ввод!$J$19)/100&gt;0),G225/(1-N(Ввод!$J$19)/100),IF(AND(ISNUMBER(I225),ISNUMBER(J225),I225&gt;0),J225/(1+N(Ввод!$J$19)/100),""))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IF(AND(ISNUMBER(F226),ISNUMBER(G226),F226&gt;0,1-N(Ввод!$J$19)/100&gt;0),G226/(1-N(Ввод!$J$19)/100),IF(AND(ISNUMBER(I226),ISNUMBER(J226),I226&gt;0),J226/(1+N(Ввод!$J$19)/100),""))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IF(AND(ISNUMBER(F227),ISNUMBER(G227),F227&gt;0,1-N(Ввод!$J$19)/100&gt;0),G227/(1-N(Ввод!$J$19)/100),IF(AND(ISNUMBER(I227),ISNUMBER(J227),I227&gt;0),J227/(1+N(Ввод!$J$19)/100),""))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IF(AND(ISNUMBER(F228),ISNUMBER(G228),F228&gt;0,1-N(Ввод!$J$19)/100&gt;0),G228/(1-N(Ввод!$J$19)/100),IF(AND(ISNUMBER(I228),ISNUMBER(J228),I228&gt;0),J228/(1+N(Ввод!$J$19)/100),""))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IF(AND(ISNUMBER(F229),ISNUMBER(G229),F229&gt;0,1-N(Ввод!$J$19)/100&gt;0),G229/(1-N(Ввод!$J$19)/100),IF(AND(ISNUMBER(I229),ISNUMBER(J229),I229&gt;0),J229/(1+N(Ввод!$J$19)/100),""))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IF(AND(ISNUMBER(F230),ISNUMBER(G230),F230&gt;0,1-N(Ввод!$J$19)/100&gt;0),G230/(1-N(Ввод!$J$19)/100),IF(AND(ISNUMBER(I230),ISNUMBER(J230),I230&gt;0),J230/(1+N(Ввод!$J$19)/100),""))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IF(AND(ISNUMBER(F231),ISNUMBER(G231),F231&gt;0,1-N(Ввод!$J$19)/100&gt;0),G231/(1-N(Ввод!$J$19)/100),IF(AND(ISNUMBER(I231),ISNUMBER(J231),I231&gt;0),J231/(1+N(Ввод!$J$19)/100),""))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IF(AND(ISNUMBER(F232),ISNUMBER(G232),F232&gt;0,1-N(Ввод!$J$19)/100&gt;0),G232/(1-N(Ввод!$J$19)/100),IF(AND(ISNUMBER(I232),ISNUMBER(J232),I232&gt;0),J232/(1+N(Ввод!$J$19)/100),""))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IF(AND(ISNUMBER(F233),ISNUMBER(G233),F233&gt;0,1-N(Ввод!$J$19)/100&gt;0),G233/(1-N(Ввод!$J$19)/100),IF(AND(ISNUMBER(I233),ISNUMBER(J233),I233&gt;0),J233/(1+N(Ввод!$J$19)/100),""))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IF(AND(ISNUMBER(F234),ISNUMBER(G234),F234&gt;0,1-N(Ввод!$J$19)/100&gt;0),G234/(1-N(Ввод!$J$19)/100),IF(AND(ISNUMBER(I234),ISNUMBER(J234),I234&gt;0),J234/(1+N(Ввод!$J$19)/100),""))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IF(AND(ISNUMBER(F235),ISNUMBER(G235),F235&gt;0,1-N(Ввод!$J$19)/100&gt;0),G235/(1-N(Ввод!$J$19)/100),IF(AND(ISNUMBER(I235),ISNUMBER(J235),I235&gt;0),J235/(1+N(Ввод!$J$19)/100),""))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IF(AND(ISNUMBER(F236),ISNUMBER(G236),F236&gt;0,1-N(Ввод!$J$19)/100&gt;0),G236/(1-N(Ввод!$J$19)/100),IF(AND(ISNUMBER(I236),ISNUMBER(J236),I236&gt;0),J236/(1+N(Ввод!$J$19)/100),""))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IF(AND(ISNUMBER(F237),ISNUMBER(G237),F237&gt;0,1-N(Ввод!$J$19)/100&gt;0),G237/(1-N(Ввод!$J$19)/100),IF(AND(ISNUMBER(I237),ISNUMBER(J237),I237&gt;0),J237/(1+N(Ввод!$J$19)/100),""))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IF(AND(ISNUMBER(F238),ISNUMBER(G238),F238&gt;0,1-N(Ввод!$J$19)/100&gt;0),G238/(1-N(Ввод!$J$19)/100),IF(AND(ISNUMBER(I238),ISNUMBER(J238),I238&gt;0),J238/(1+N(Ввод!$J$19)/100),""))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IF(AND(ISNUMBER(F239),ISNUMBER(G239),F239&gt;0,1-N(Ввод!$J$19)/100&gt;0),G239/(1-N(Ввод!$J$19)/100),IF(AND(ISNUMBER(I239),ISNUMBER(J239),I239&gt;0),J239/(1+N(Ввод!$J$19)/100),""))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IF(AND(ISNUMBER(F240),ISNUMBER(G240),F240&gt;0,1-N(Ввод!$J$19)/100&gt;0),G240/(1-N(Ввод!$J$19)/100),IF(AND(ISNUMBER(I240),ISNUMBER(J240),I240&gt;0),J240/(1+N(Ввод!$J$19)/100),""))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IF(AND(ISNUMBER(F241),ISNUMBER(G241),F241&gt;0,1-N(Ввод!$J$19)/100&gt;0),G241/(1-N(Ввод!$J$19)/100),IF(AND(ISNUMBER(I241),ISNUMBER(J241),I241&gt;0),J241/(1+N(Ввод!$J$19)/100),""))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IF(AND(ISNUMBER(F242),ISNUMBER(G242),F242&gt;0,1-N(Ввод!$J$19)/100&gt;0),G242/(1-N(Ввод!$J$19)/100),IF(AND(ISNUMBER(I242),ISNUMBER(J242),I242&gt;0),J242/(1+N(Ввод!$J$19)/100),""))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IF(AND(ISNUMBER(F243),ISNUMBER(G243),F243&gt;0,1-N(Ввод!$J$19)/100&gt;0),G243/(1-N(Ввод!$J$19)/100),IF(AND(ISNUMBER(I243),ISNUMBER(J243),I243&gt;0),J243/(1+N(Ввод!$J$19)/100),""))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IF(AND(ISNUMBER(F244),ISNUMBER(G244),F244&gt;0,1-N(Ввод!$J$19)/100&gt;0),G244/(1-N(Ввод!$J$19)/100),IF(AND(ISNUMBER(I244),ISNUMBER(J244),I244&gt;0),J244/(1+N(Ввод!$J$19)/100),""))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IF(AND(ISNUMBER(F245),ISNUMBER(G245),F245&gt;0,1-N(Ввод!$J$19)/100&gt;0),G245/(1-N(Ввод!$J$19)/100),IF(AND(ISNUMBER(I245),ISNUMBER(J245),I245&gt;0),J245/(1+N(Ввод!$J$19)/100),""))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IF(AND(ISNUMBER(F246),ISNUMBER(G246),F246&gt;0,1-N(Ввод!$J$19)/100&gt;0),G246/(1-N(Ввод!$J$19)/100),IF(AND(ISNUMBER(I246),ISNUMBER(J246),I246&gt;0),J246/(1+N(Ввод!$J$19)/100),""))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IF(AND(ISNUMBER(F247),ISNUMBER(G247),F247&gt;0,1-N(Ввод!$J$19)/100&gt;0),G247/(1-N(Ввод!$J$19)/100),IF(AND(ISNUMBER(I247),ISNUMBER(J247),I247&gt;0),J247/(1+N(Ввод!$J$19)/100),""))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IF(AND(ISNUMBER(F248),ISNUMBER(G248),F248&gt;0,1-N(Ввод!$J$19)/100&gt;0),G248/(1-N(Ввод!$J$19)/100),IF(AND(ISNUMBER(I248),ISNUMBER(J248),I248&gt;0),J248/(1+N(Ввод!$J$19)/100),""))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IF(AND(ISNUMBER(F249),ISNUMBER(G249),F249&gt;0,1-N(Ввод!$J$19)/100&gt;0),G249/(1-N(Ввод!$J$19)/100),IF(AND(ISNUMBER(I249),ISNUMBER(J249),I249&gt;0),J249/(1+N(Ввод!$J$19)/100),""))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IF(AND(ISNUMBER(F250),ISNUMBER(G250),F250&gt;0,1-N(Ввод!$J$19)/100&gt;0),G250/(1-N(Ввод!$J$19)/100),IF(AND(ISNUMBER(I250),ISNUMBER(J250),I250&gt;0),J250/(1+N(Ввод!$J$19)/100),""))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IF(AND(ISNUMBER(F251),ISNUMBER(G251),F251&gt;0,1-N(Ввод!$J$19)/100&gt;0),G251/(1-N(Ввод!$J$19)/100),IF(AND(ISNUMBER(I251),ISNUMBER(J251),I251&gt;0),J251/(1+N(Ввод!$J$19)/100),""))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IF(AND(ISNUMBER(F252),ISNUMBER(G252),F252&gt;0,1-N(Ввод!$J$19)/100&gt;0),G252/(1-N(Ввод!$J$19)/100),IF(AND(ISNUMBER(I252),ISNUMBER(J252),I252&gt;0),J252/(1+N(Ввод!$J$19)/100),""))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IF(AND(ISNUMBER(F253),ISNUMBER(G253),F253&gt;0,1-N(Ввод!$J$19)/100&gt;0),G253/(1-N(Ввод!$J$19)/100),IF(AND(ISNUMBER(I253),ISNUMBER(J253),I253&gt;0),J253/(1+N(Ввод!$J$19)/100),""))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IF(AND(ISNUMBER(F254),ISNUMBER(G254),F254&gt;0,1-N(Ввод!$J$19)/100&gt;0),G254/(1-N(Ввод!$J$19)/100),IF(AND(ISNUMBER(I254),ISNUMBER(J254),I254&gt;0),J254/(1+N(Ввод!$J$19)/100),""))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IF(AND(ISNUMBER(F255),ISNUMBER(G255),F255&gt;0,1-N(Ввод!$J$19)/100&gt;0),G255/(1-N(Ввод!$J$19)/100),IF(AND(ISNUMBER(I255),ISNUMBER(J255),I255&gt;0),J255/(1+N(Ввод!$J$19)/100),""))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IF(AND(ISNUMBER(F256),ISNUMBER(G256),F256&gt;0,1-N(Ввод!$J$19)/100&gt;0),G256/(1-N(Ввод!$J$19)/100),IF(AND(ISNUMBER(I256),ISNUMBER(J256),I256&gt;0),J256/(1+N(Ввод!$J$19)/100),""))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IF(AND(ISNUMBER(F257),ISNUMBER(G257),F257&gt;0,1-N(Ввод!$J$19)/100&gt;0),G257/(1-N(Ввод!$J$19)/100),IF(AND(ISNUMBER(I257),ISNUMBER(J257),I257&gt;0),J257/(1+N(Ввод!$J$19)/100),""))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IF(AND(ISNUMBER(F258),ISNUMBER(G258),F258&gt;0,1-N(Ввод!$J$19)/100&gt;0),G258/(1-N(Ввод!$J$19)/100),IF(AND(ISNUMBER(I258),ISNUMBER(J258),I258&gt;0),J258/(1+N(Ввод!$J$19)/100),""))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IF(AND(ISNUMBER(F259),ISNUMBER(G259),F259&gt;0,1-N(Ввод!$J$19)/100&gt;0),G259/(1-N(Ввод!$J$19)/100),IF(AND(ISNUMBER(I259),ISNUMBER(J259),I259&gt;0),J259/(1+N(Ввод!$J$19)/100),""))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IF(AND(ISNUMBER(F260),ISNUMBER(G260),F260&gt;0,1-N(Ввод!$J$19)/100&gt;0),G260/(1-N(Ввод!$J$19)/100),IF(AND(ISNUMBER(I260),ISNUMBER(J260),I260&gt;0),J260/(1+N(Ввод!$J$19)/100),""))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IF(AND(ISNUMBER(F261),ISNUMBER(G261),F261&gt;0,1-N(Ввод!$J$19)/100&gt;0),G261/(1-N(Ввод!$J$19)/100),IF(AND(ISNUMBER(I261),ISNUMBER(J261),I261&gt;0),J261/(1+N(Ввод!$J$19)/100),""))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IF(AND(ISNUMBER(F262),ISNUMBER(G262),F262&gt;0,1-N(Ввод!$J$19)/100&gt;0),G262/(1-N(Ввод!$J$19)/100),IF(AND(ISNUMBER(I262),ISNUMBER(J262),I262&gt;0),J262/(1+N(Ввод!$J$19)/100),""))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IF(AND(ISNUMBER(F263),ISNUMBER(G263),F263&gt;0,1-N(Ввод!$J$19)/100&gt;0),G263/(1-N(Ввод!$J$19)/100),IF(AND(ISNUMBER(I263),ISNUMBER(J263),I263&gt;0),J263/(1+N(Ввод!$J$19)/100),""))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IF(AND(ISNUMBER(F264),ISNUMBER(G264),F264&gt;0,1-N(Ввод!$J$19)/100&gt;0),G264/(1-N(Ввод!$J$19)/100),IF(AND(ISNUMBER(I264),ISNUMBER(J264),I264&gt;0),J264/(1+N(Ввод!$J$19)/100),""))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IF(AND(ISNUMBER(F265),ISNUMBER(G265),F265&gt;0,1-N(Ввод!$J$19)/100&gt;0),G265/(1-N(Ввод!$J$19)/100),IF(AND(ISNUMBER(I265),ISNUMBER(J265),I265&gt;0),J265/(1+N(Ввод!$J$19)/100),""))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IF(AND(ISNUMBER(F266),ISNUMBER(G266),F266&gt;0,1-N(Ввод!$J$19)/100&gt;0),G266/(1-N(Ввод!$J$19)/100),IF(AND(ISNUMBER(I266),ISNUMBER(J266),I266&gt;0),J266/(1+N(Ввод!$J$19)/100),""))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IF(AND(ISNUMBER(F267),ISNUMBER(G267),F267&gt;0,1-N(Ввод!$J$19)/100&gt;0),G267/(1-N(Ввод!$J$19)/100),IF(AND(ISNUMBER(I267),ISNUMBER(J267),I267&gt;0),J267/(1+N(Ввод!$J$19)/100),""))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IF(AND(ISNUMBER(F268),ISNUMBER(G268),F268&gt;0,1-N(Ввод!$J$19)/100&gt;0),G268/(1-N(Ввод!$J$19)/100),IF(AND(ISNUMBER(I268),ISNUMBER(J268),I268&gt;0),J268/(1+N(Ввод!$J$19)/100),""))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IF(AND(ISNUMBER(F269),ISNUMBER(G269),F269&gt;0,1-N(Ввод!$J$19)/100&gt;0),G269/(1-N(Ввод!$J$19)/100),IF(AND(ISNUMBER(I269),ISNUMBER(J269),I269&gt;0),J269/(1+N(Ввод!$J$19)/100),""))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IF(AND(ISNUMBER(F270),ISNUMBER(G270),F270&gt;0,1-N(Ввод!$J$19)/100&gt;0),G270/(1-N(Ввод!$J$19)/100),IF(AND(ISNUMBER(I270),ISNUMBER(J270),I270&gt;0),J270/(1+N(Ввод!$J$19)/100),""))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IF(AND(ISNUMBER(F271),ISNUMBER(G271),F271&gt;0,1-N(Ввод!$J$19)/100&gt;0),G271/(1-N(Ввод!$J$19)/100),IF(AND(ISNUMBER(I271),ISNUMBER(J271),I271&gt;0),J271/(1+N(Ввод!$J$19)/100),""))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IF(AND(ISNUMBER(F272),ISNUMBER(G272),F272&gt;0,1-N(Ввод!$J$19)/100&gt;0),G272/(1-N(Ввод!$J$19)/100),IF(AND(ISNUMBER(I272),ISNUMBER(J272),I272&gt;0),J272/(1+N(Ввод!$J$19)/100),""))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IF(AND(ISNUMBER(F273),ISNUMBER(G273),F273&gt;0,1-N(Ввод!$J$19)/100&gt;0),G273/(1-N(Ввод!$J$19)/100),IF(AND(ISNUMBER(I273),ISNUMBER(J273),I273&gt;0),J273/(1+N(Ввод!$J$19)/100),""))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IF(AND(ISNUMBER(F274),ISNUMBER(G274),F274&gt;0,1-N(Ввод!$J$19)/100&gt;0),G274/(1-N(Ввод!$J$19)/100),IF(AND(ISNUMBER(I274),ISNUMBER(J274),I274&gt;0),J274/(1+N(Ввод!$J$19)/100),""))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IF(AND(ISNUMBER(F275),ISNUMBER(G275),F275&gt;0,1-N(Ввод!$J$19)/100&gt;0),G275/(1-N(Ввод!$J$19)/100),IF(AND(ISNUMBER(I275),ISNUMBER(J275),I275&gt;0),J275/(1+N(Ввод!$J$19)/100),""))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IF(AND(ISNUMBER(F276),ISNUMBER(G276),F276&gt;0,1-N(Ввод!$J$19)/100&gt;0),G276/(1-N(Ввод!$J$19)/100),IF(AND(ISNUMBER(I276),ISNUMBER(J276),I276&gt;0),J276/(1+N(Ввод!$J$19)/100),""))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IF(AND(ISNUMBER(F277),ISNUMBER(G277),F277&gt;0,1-N(Ввод!$J$19)/100&gt;0),G277/(1-N(Ввод!$J$19)/100),IF(AND(ISNUMBER(I277),ISNUMBER(J277),I277&gt;0),J277/(1+N(Ввод!$J$19)/100),""))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IF(AND(ISNUMBER(F278),ISNUMBER(G278),F278&gt;0,1-N(Ввод!$J$19)/100&gt;0),G278/(1-N(Ввод!$J$19)/100),IF(AND(ISNUMBER(I278),ISNUMBER(J278),I278&gt;0),J278/(1+N(Ввод!$J$19)/100),""))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IF(AND(ISNUMBER(F279),ISNUMBER(G279),F279&gt;0,1-N(Ввод!$J$19)/100&gt;0),G279/(1-N(Ввод!$J$19)/100),IF(AND(ISNUMBER(I279),ISNUMBER(J279),I279&gt;0),J279/(1+N(Ввод!$J$19)/100),""))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IF(AND(ISNUMBER(F280),ISNUMBER(G280),F280&gt;0,1-N(Ввод!$J$19)/100&gt;0),G280/(1-N(Ввод!$J$19)/100),IF(AND(ISNUMBER(I280),ISNUMBER(J280),I280&gt;0),J280/(1+N(Ввод!$J$19)/100),""))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IF(AND(ISNUMBER(F281),ISNUMBER(G281),F281&gt;0,1-N(Ввод!$J$19)/100&gt;0),G281/(1-N(Ввод!$J$19)/100),IF(AND(ISNUMBER(I281),ISNUMBER(J281),I281&gt;0),J281/(1+N(Ввод!$J$19)/100),""))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IF(AND(ISNUMBER(F282),ISNUMBER(G282),F282&gt;0,1-N(Ввод!$J$19)/100&gt;0),G282/(1-N(Ввод!$J$19)/100),IF(AND(ISNUMBER(I282),ISNUMBER(J282),I282&gt;0),J282/(1+N(Ввод!$J$19)/100),""))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IF(AND(ISNUMBER(F283),ISNUMBER(G283),F283&gt;0,1-N(Ввод!$J$19)/100&gt;0),G283/(1-N(Ввод!$J$19)/100),IF(AND(ISNUMBER(I283),ISNUMBER(J283),I283&gt;0),J283/(1+N(Ввод!$J$19)/100),""))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IF(AND(ISNUMBER(F284),ISNUMBER(G284),F284&gt;0,1-N(Ввод!$J$19)/100&gt;0),G284/(1-N(Ввод!$J$19)/100),IF(AND(ISNUMBER(I284),ISNUMBER(J284),I284&gt;0),J284/(1+N(Ввод!$J$19)/100),""))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IF(AND(ISNUMBER(F285),ISNUMBER(G285),F285&gt;0,1-N(Ввод!$J$19)/100&gt;0),G285/(1-N(Ввод!$J$19)/100),IF(AND(ISNUMBER(I285),ISNUMBER(J285),I285&gt;0),J285/(1+N(Ввод!$J$19)/100),""))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IF(AND(ISNUMBER(F286),ISNUMBER(G286),F286&gt;0,1-N(Ввод!$J$19)/100&gt;0),G286/(1-N(Ввод!$J$19)/100),IF(AND(ISNUMBER(I286),ISNUMBER(J286),I286&gt;0),J286/(1+N(Ввод!$J$19)/100),""))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IF(AND(ISNUMBER(F287),ISNUMBER(G287),F287&gt;0,1-N(Ввод!$J$19)/100&gt;0),G287/(1-N(Ввод!$J$19)/100),IF(AND(ISNUMBER(I287),ISNUMBER(J287),I287&gt;0),J287/(1+N(Ввод!$J$19)/100),""))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IF(AND(ISNUMBER(F288),ISNUMBER(G288),F288&gt;0,1-N(Ввод!$J$19)/100&gt;0),G288/(1-N(Ввод!$J$19)/100),IF(AND(ISNUMBER(I288),ISNUMBER(J288),I288&gt;0),J288/(1+N(Ввод!$J$19)/100),""))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IF(AND(ISNUMBER(F289),ISNUMBER(G289),F289&gt;0,1-N(Ввод!$J$19)/100&gt;0),G289/(1-N(Ввод!$J$19)/100),IF(AND(ISNUMBER(I289),ISNUMBER(J289),I289&gt;0),J289/(1+N(Ввод!$J$19)/100),""))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IF(AND(ISNUMBER(F290),ISNUMBER(G290),F290&gt;0,1-N(Ввод!$J$19)/100&gt;0),G290/(1-N(Ввод!$J$19)/100),IF(AND(ISNUMBER(I290),ISNUMBER(J290),I290&gt;0),J290/(1+N(Ввод!$J$19)/100),""))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IF(AND(ISNUMBER(F291),ISNUMBER(G291),F291&gt;0,1-N(Ввод!$J$19)/100&gt;0),G291/(1-N(Ввод!$J$19)/100),IF(AND(ISNUMBER(I291),ISNUMBER(J291),I291&gt;0),J291/(1+N(Ввод!$J$19)/100),""))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IF(AND(ISNUMBER(F292),ISNUMBER(G292),F292&gt;0,1-N(Ввод!$J$19)/100&gt;0),G292/(1-N(Ввод!$J$19)/100),IF(AND(ISNUMBER(I292),ISNUMBER(J292),I292&gt;0),J292/(1+N(Ввод!$J$19)/100),""))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IF(AND(ISNUMBER(F293),ISNUMBER(G293),F293&gt;0,1-N(Ввод!$J$19)/100&gt;0),G293/(1-N(Ввод!$J$19)/100),IF(AND(ISNUMBER(I293),ISNUMBER(J293),I293&gt;0),J293/(1+N(Ввод!$J$19)/100),""))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IF(AND(ISNUMBER(F294),ISNUMBER(G294),F294&gt;0,1-N(Ввод!$J$19)/100&gt;0),G294/(1-N(Ввод!$J$19)/100),IF(AND(ISNUMBER(I294),ISNUMBER(J294),I294&gt;0),J294/(1+N(Ввод!$J$19)/100),""))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IF(AND(ISNUMBER(F295),ISNUMBER(G295),F295&gt;0,1-N(Ввод!$J$19)/100&gt;0),G295/(1-N(Ввод!$J$19)/100),IF(AND(ISNUMBER(I295),ISNUMBER(J295),I295&gt;0),J295/(1+N(Ввод!$J$19)/100),""))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IF(AND(ISNUMBER(F296),ISNUMBER(G296),F296&gt;0,1-N(Ввод!$J$19)/100&gt;0),G296/(1-N(Ввод!$J$19)/100),IF(AND(ISNUMBER(I296),ISNUMBER(J296),I296&gt;0),J296/(1+N(Ввод!$J$19)/100),""))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IF(AND(ISNUMBER(F297),ISNUMBER(G297),F297&gt;0,1-N(Ввод!$J$19)/100&gt;0),G297/(1-N(Ввод!$J$19)/100),IF(AND(ISNUMBER(I297),ISNUMBER(J297),I297&gt;0),J297/(1+N(Ввод!$J$19)/100),""))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IF(AND(ISNUMBER(F298),ISNUMBER(G298),F298&gt;0,1-N(Ввод!$J$19)/100&gt;0),G298/(1-N(Ввод!$J$19)/100),IF(AND(ISNUMBER(I298),ISNUMBER(J298),I298&gt;0),J298/(1+N(Ввод!$J$19)/100),""))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IF(AND(ISNUMBER(F299),ISNUMBER(G299),F299&gt;0,1-N(Ввод!$J$19)/100&gt;0),G299/(1-N(Ввод!$J$19)/100),IF(AND(ISNUMBER(I299),ISNUMBER(J299),I299&gt;0),J299/(1+N(Ввод!$J$19)/100),""))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IF(AND(ISNUMBER(F300),ISNUMBER(G300),F300&gt;0,1-N(Ввод!$J$19)/100&gt;0),G300/(1-N(Ввод!$J$19)/100),IF(AND(ISNUMBER(I300),ISNUMBER(J300),I300&gt;0),J300/(1+N(Ввод!$J$19)/100),""))</f>
        <v/>
      </c>
    </row>
  </sheetData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>1.5</v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>585</v>
      </c>
      <c r="E5" s="241">
        <f>IF(C5="","",SUMIFS(Лэндинг!$H$5:$H$300,Лэндинг!$E$5:$E$300,$B5)+SUMIFS(Закрытые!$H$5:$H$300,Закрытые!$E$5:$E$300,$B5,Закрытые!$B$5:$B$300,"L-*"))</f>
        <v>877.5</v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>4.5</v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>598.2</v>
      </c>
      <c r="H5" s="241">
        <f>IF(F5="","",SUMIFS(Лэндинг!$K$5:$K$300,Лэндинг!$E$5:$E$300,$B5)+SUMIFS(Закрытые!$K$5:$K$300,Закрытые!$E$5:$E$300,$B5,Закрытые!$B$5:$B$300,"L-*"))</f>
        <v>2691.9</v>
      </c>
      <c r="I5" s="240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>-3</v>
      </c>
      <c r="J5" s="241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>1814.4</v>
      </c>
      <c r="K5" s="240">
        <f>IF(MIN(N(C5),N(F5))&lt;=0,"",ROUND(MIN(N(C5),N(F5))*(N(G5)-N(D5)),8))</f>
        <v>19.8</v>
      </c>
      <c r="L5" s="177">
        <f>IF(MIN(N(C5),N(F5))&lt;=0,"",IF(N(D5)=0,"",ROUND((N(G5)/N(D5)-1)*100,2)))</f>
        <v>2.26</v>
      </c>
      <c r="M5" s="177">
        <f>IF(OR(ROUND(N(C5)-N(F5),8)=0,1-N(Ввод!$J$19)/100&lt;=0),"",IF(N(C5)&gt;N(F5),(N(E5)-N(H5))/((N(C5)-N(F5))*(1-N(Ввод!$J$19)/100)),(N(H5)-N(E5))/((N(F5)-N(C5))*(1+N(Ввод!$J$19)/100))))</f>
        <v>603.592814371257</v>
      </c>
    </row>
    <row r="6" ht="22" customHeight="1">
      <c r="B6" s="245" t="inlineStr">
        <is>
          <t>BTC/USDT</t>
        </is>
      </c>
      <c r="C6" s="246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>0.1</v>
      </c>
      <c r="D6" s="183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>62124</v>
      </c>
      <c r="E6" s="247">
        <f>IF(C6="","",SUMIFS(Лэндинг!$H$5:$H$300,Лэндинг!$E$5:$E$300,$B6)+SUMIFS(Закрытые!$H$5:$H$300,Закрытые!$E$5:$E$300,$B6,Закрытые!$B$5:$B$300,"L-*"))</f>
        <v>6212.4</v>
      </c>
      <c r="F6" s="246" t="str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/>
      </c>
      <c r="G6" s="183" t="str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/>
      </c>
      <c r="H6" s="247" t="str">
        <f>IF(F6="","",SUMIFS(Лэндинг!$K$5:$K$300,Лэндинг!$E$5:$E$300,$B6)+SUMIFS(Закрытые!$K$5:$K$300,Закрытые!$E$5:$E$300,$B6,Закрытые!$B$5:$B$300,"L-*"))</f>
        <v/>
      </c>
      <c r="I6" s="246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>0.1</v>
      </c>
      <c r="J6" s="247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>-6212.4</v>
      </c>
      <c r="K6" s="246" t="str">
        <f>IF(MIN(N(C6),N(F6))&lt;=0,"",ROUND(MIN(N(C6),N(F6))*(N(G6)-N(D6)),8))</f>
        <v/>
      </c>
      <c r="L6" s="183" t="str">
        <f>IF(MIN(N(C6),N(F6))&lt;=0,"",IF(N(D6)=0,"",ROUND((N(G6)/N(D6)-1)*100,2)))</f>
        <v/>
      </c>
      <c r="M6" s="183">
        <f>IF(OR(ROUND(N(C6)-N(F6),8)=0,1-N(Ввод!$J$19)/100&lt;=0),"",IF(N(C6)&gt;N(F6),(N(E6)-N(H6))/((N(C6)-N(F6))*(1-N(Ввод!$J$19)/100)),(N(H6)-N(E6))/((N(F6)-N(C6))*(1+N(Ввод!$J$19)/100))))</f>
        <v>62248.496993988</v>
      </c>
    </row>
    <row r="7" ht="22" customHeight="1">
      <c r="B7" s="239" t="inlineStr">
        <is>
          <t>ETH/BTC</t>
        </is>
      </c>
      <c r="C7" s="240" t="str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/>
      </c>
      <c r="D7" s="177" t="str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/>
      </c>
      <c r="E7" s="241" t="str">
        <f>IF(C7="","",SUMIFS(Лэндинг!$H$5:$H$300,Лэндинг!$E$5:$E$300,$B7)+SUMIFS(Закрытые!$H$5:$H$300,Закрытые!$E$5:$E$300,$B7,Закрытые!$B$5:$B$300,"L-*"))</f>
        <v/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>1.5</v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>0.052395</v>
      </c>
      <c r="H7" s="241">
        <f>IF(F7="","",SUMIFS(Лэндинг!$K$5:$K$300,Лэндинг!$E$5:$E$300,$B7)+SUMIFS(Закрытые!$K$5:$K$300,Закрытые!$E$5:$E$300,$B7,Закрытые!$B$5:$B$300,"L-*"))</f>
        <v>0.0785925</v>
      </c>
      <c r="I7" s="240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>-1.5</v>
      </c>
      <c r="J7" s="241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>0.0785925</v>
      </c>
      <c r="K7" s="240" t="str">
        <f>IF(MIN(N(C7),N(F7))&lt;=0,"",ROUND(MIN(N(C7),N(F7))*(N(G7)-N(D7)),8))</f>
        <v/>
      </c>
      <c r="L7" s="177" t="str">
        <f>IF(MIN(N(C7),N(F7))&lt;=0,"",IF(N(D7)=0,"",ROUND((N(G7)/N(D7)-1)*100,2)))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>0.0522904191616766</v>
      </c>
    </row>
    <row r="8" ht="22" customHeight="1">
      <c r="B8" s="245" t="inlineStr">
        <is>
          <t>ETH/USDT</t>
        </is>
      </c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>3.5</v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>3211.49485714286</v>
      </c>
      <c r="E8" s="247">
        <f>IF(C8="","",SUMIFS(Лэндинг!$H$5:$H$300,Лэндинг!$E$5:$E$300,$B8)+SUMIFS(Закрытые!$H$5:$H$300,Закрытые!$E$5:$E$300,$B8,Закрытые!$B$5:$B$300,"L-*"))</f>
        <v>11240.232</v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>2</v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>3379.9</v>
      </c>
      <c r="H8" s="247">
        <f>IF(F8="","",SUMIFS(Лэндинг!$K$5:$K$300,Лэндинг!$E$5:$E$300,$B8)+SUMIFS(Закрытые!$K$5:$K$300,Закрытые!$E$5:$E$300,$B8,Закрытые!$B$5:$B$300,"L-*"))</f>
        <v>6759.8</v>
      </c>
      <c r="I8" s="246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>1.5</v>
      </c>
      <c r="J8" s="247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>-4480.432</v>
      </c>
      <c r="K8" s="246">
        <f>IF(MIN(N(C8),N(F8))&lt;=0,"",ROUND(MIN(N(C8),N(F8))*(N(G8)-N(D8)),8))</f>
        <v>336.81028571</v>
      </c>
      <c r="L8" s="183">
        <f>IF(MIN(N(C8),N(F8))&lt;=0,"",IF(N(D8)=0,"",ROUND((N(G8)/N(D8)-1)*100,2)))</f>
        <v>5.24</v>
      </c>
      <c r="M8" s="183">
        <f>IF(OR(ROUND(N(C8)-N(F8),8)=0,1-N(Ввод!$J$19)/100&lt;=0),"",IF(N(C8)&gt;N(F8),(N(E8)-N(H8))/((N(C8)-N(F8))*(1-N(Ввод!$J$19)/100)),(N(H8)-N(E8))/((N(F8)-N(C8))*(1+N(Ввод!$J$19)/100))))</f>
        <v>2992.94054776219</v>
      </c>
    </row>
    <row r="9" ht="22" customHeight="1">
      <c r="B9" s="239" t="inlineStr">
        <is>
          <t>SOL/USDT</t>
        </is>
      </c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>35</v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>145.922857142857</v>
      </c>
      <c r="E9" s="241">
        <f>IF(C9="","",SUMIFS(Лэндинг!$H$5:$H$300,Лэндинг!$E$5:$E$300,$B9)+SUMIFS(Закрытые!$H$5:$H$300,Закрытые!$E$5:$E$300,$B9,Закрытые!$B$5:$B$300,"L-*"))</f>
        <v>5107.3</v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>50</v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>150.2592</v>
      </c>
      <c r="H9" s="241">
        <f>IF(F9="","",SUMIFS(Лэндинг!$K$5:$K$300,Лэндинг!$E$5:$E$300,$B9)+SUMIFS(Закрытые!$K$5:$K$300,Закрытые!$E$5:$E$300,$B9,Закрытые!$B$5:$B$300,"L-*"))</f>
        <v>7512.96</v>
      </c>
      <c r="I9" s="240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>-15</v>
      </c>
      <c r="J9" s="241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>2405.66</v>
      </c>
      <c r="K9" s="240">
        <f>IF(MIN(N(C9),N(F9))&lt;=0,"",ROUND(MIN(N(C9),N(F9))*(N(G9)-N(D9)),8))</f>
        <v>151.772</v>
      </c>
      <c r="L9" s="177">
        <f>IF(MIN(N(C9),N(F9))&lt;=0,"",IF(N(D9)=0,"",ROUND((N(G9)/N(D9)-1)*100,2)))</f>
        <v>2.97</v>
      </c>
      <c r="M9" s="177">
        <f>IF(OR(ROUND(N(C9)-N(F9),8)=0,1-N(Ввод!$J$19)/100&lt;=0),"",IF(N(C9)&gt;N(F9),(N(E9)-N(H9))/((N(C9)-N(F9))*(1-N(Ввод!$J$19)/100)),(N(H9)-N(E9))/((N(F9)-N(C9))*(1+N(Ввод!$J$19)/100))))</f>
        <v>160.057218895542</v>
      </c>
    </row>
    <row r="10" ht="22" customHeight="1">
      <c r="B10" s="245" t="n"/>
      <c r="C10" s="246" t="str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/>
      </c>
      <c r="D10" s="183" t="str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/>
      </c>
      <c r="E10" s="247" t="str">
        <f>IF(C10="","",SUMIFS(Лэндинг!$H$5:$H$300,Лэндинг!$E$5:$E$300,$B10)+SUMIFS(Закрытые!$H$5:$H$300,Закрытые!$E$5:$E$300,$B10,Закрытые!$B$5:$B$300,"L-*"))</f>
        <v/>
      </c>
      <c r="F10" s="246" t="str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/>
      </c>
      <c r="G10" s="183" t="str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/>
      </c>
      <c r="H10" s="247" t="str">
        <f>IF(F10="","",SUMIFS(Лэндинг!$K$5:$K$300,Лэндинг!$E$5:$E$300,$B10)+SUMIFS(Закрытые!$K$5:$K$300,Закрытые!$E$5:$E$300,$B10,Закрытые!$B$5:$B$300,"L-*"))</f>
        <v/>
      </c>
      <c r="I10" s="246" t="str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/>
      </c>
      <c r="J10" s="247" t="str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/>
      </c>
      <c r="K10" s="246" t="str">
        <f>IF(MIN(N(C10),N(F10))&lt;=0,"",ROUND(MIN(N(C10),N(F10))*(N(G10)-N(D10)),8))</f>
        <v/>
      </c>
      <c r="L10" s="183" t="str">
        <f>IF(MIN(N(C10),N(F10))&lt;=0,"",IF(N(D10)=0,"",ROUND((N(G10)/N(D10)-1)*100,2)))</f>
        <v/>
      </c>
      <c r="M10" s="183" t="str">
        <f>IF(OR(ROUND(N(C10)-N(F10),8)=0,1-N(Ввод!$J$19)/100&lt;=0),"",IF(N(C10)&gt;N(F10),(N(E10)-N(H10))/((N(C10)-N(F10))*(1-N(Ввод!$J$19)/100)),(N(H10)-N(E10))/((N(F10)-N(C10))*(1+N(Ввод!$J$19)/100))))</f>
        <v/>
      </c>
    </row>
    <row r="11" ht="22" customHeight="1">
      <c r="B11" s="239" t="n"/>
      <c r="C11" s="240" t="str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/>
      </c>
      <c r="D11" s="177" t="str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/>
      </c>
      <c r="E11" s="241" t="str">
        <f>IF(C11="","",SUMIFS(Лэндинг!$H$5:$H$300,Лэндинг!$E$5:$E$300,$B11)+SUMIFS(Закрытые!$H$5:$H$300,Закрытые!$E$5:$E$300,$B11,Закрытые!$B$5:$B$300,"L-*"))</f>
        <v/>
      </c>
      <c r="F11" s="240" t="str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 t="str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 t="str">
        <f>IF(F11="","",SUMIFS(Лэндинг!$K$5:$K$300,Лэндинг!$E$5:$E$300,$B11)+SUMIFS(Закрытые!$K$5:$K$300,Закрытые!$E$5:$E$300,$B11,Закрытые!$B$5:$B$300,"L-*"))</f>
        <v/>
      </c>
      <c r="I11" s="240" t="str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/>
      </c>
      <c r="J11" s="241" t="str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/>
      </c>
      <c r="K11" s="240" t="str">
        <f>IF(MIN(N(C11),N(F11))&lt;=0,"",ROUND(MIN(N(C11),N(F11))*(N(G11)-N(D11)),8))</f>
        <v/>
      </c>
      <c r="L11" s="177" t="str">
        <f>IF(MIN(N(C11),N(F11))&lt;=0,"",IF(N(D11)=0,"",ROUND((N(G11)/N(D11)-1)*100,2)))</f>
        <v/>
      </c>
      <c r="M11" s="177" t="str">
        <f>IF(OR(ROUND(N(C11)-N(F11),8)=0,1-N(Ввод!$J$19)/100&lt;=0),"",IF(N(C11)&gt;N(F11),(N(E11)-N(H11))/((N(C11)-N(F11))*(1-N(Ввод!$J$19)/100)),(N(H11)-N(E11))/((N(F11)-N(C11))*(1+N(Ввод!$J$19)/100))))</f>
        <v/>
      </c>
    </row>
    <row r="12" ht="22" customHeight="1">
      <c r="B12" s="245" t="n"/>
      <c r="C12" s="246" t="str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/>
      </c>
      <c r="D12" s="183" t="str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/>
      </c>
      <c r="E12" s="247" t="str">
        <f>IF(C12="","",SUMIFS(Лэндинг!$H$5:$H$300,Лэндинг!$E$5:$E$300,$B12)+SUMIFS(Закрытые!$H$5:$H$300,Закрытые!$E$5:$E$300,$B12,Закрытые!$B$5:$B$300,"L-*"))</f>
        <v/>
      </c>
      <c r="F12" s="246" t="str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/>
      </c>
      <c r="G12" s="183" t="str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/>
      </c>
      <c r="H12" s="247" t="str">
        <f>IF(F12="","",SUMIFS(Лэндинг!$K$5:$K$300,Лэндинг!$E$5:$E$300,$B12)+SUMIFS(Закрытые!$K$5:$K$300,Закрытые!$E$5:$E$300,$B12,Закрытые!$B$5:$B$300,"L-*"))</f>
        <v/>
      </c>
      <c r="I12" s="246" t="str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/>
      </c>
      <c r="J12" s="247" t="str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/>
      </c>
      <c r="K12" s="246" t="str">
        <f>IF(MIN(N(C12),N(F12))&lt;=0,"",ROUND(MIN(N(C12),N(F12))*(N(G12)-N(D12)),8))</f>
        <v/>
      </c>
      <c r="L12" s="183" t="str">
        <f>IF(MIN(N(C12),N(F12))&lt;=0,"",IF(N(D12)=0,"",ROUND((N(G12)/N(D12)-1)*100,2)))</f>
        <v/>
      </c>
      <c r="M12" s="183" t="str">
        <f>IF(OR(ROUND(N(C12)-N(F12),8)=0,1-N(Ввод!$J$19)/100&lt;=0),"",IF(N(C12)&gt;N(F12),(N(E12)-N(H12))/((N(C12)-N(F12))*(1-N(Ввод!$J$19)/100)),(N(H12)-N(E12))/((N(F12)-N(C12))*(1+N(Ввод!$J$19)/100))))</f>
        <v/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K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</row>
    <row r="5" ht="22" customHeight="1">
      <c r="B5" s="236" t="inlineStr">
        <is>
          <t>P-0003</t>
        </is>
      </c>
      <c r="C5" s="237" t="n">
        <v>46297</v>
      </c>
      <c r="D5" s="238" t="inlineStr">
        <is>
          <t>PancakeSwap</t>
        </is>
      </c>
      <c r="E5" s="239" t="inlineStr">
        <is>
          <t>BNB/USDT</t>
        </is>
      </c>
      <c r="F5" s="240" t="n">
        <v>4</v>
      </c>
      <c r="G5" s="241" t="n">
        <v>2360</v>
      </c>
      <c r="H5" s="240" t="n">
        <v>4.2</v>
      </c>
      <c r="I5" s="241" t="n">
        <v>2300</v>
      </c>
      <c r="J5" s="240">
        <f>IF(AND(ISNUMBER(F5),ISNUMBER(H5)),ROUND(H5-F5,8),"")</f>
        <v>0.2</v>
      </c>
      <c r="K5" s="241">
        <f>IF(AND(ISNUMBER(G5),ISNUMBER(I5)),ROUND(I5-G5,8),"")</f>
        <v>-60</v>
      </c>
    </row>
    <row r="6" ht="22" customHeight="1">
      <c r="B6" s="242" t="inlineStr">
        <is>
          <t>P-0006</t>
        </is>
      </c>
      <c r="C6" s="243" t="n">
        <v>46299</v>
      </c>
      <c r="D6" s="244" t="inlineStr">
        <is>
          <t>Uniswap</t>
        </is>
      </c>
      <c r="E6" s="245" t="inlineStr">
        <is>
          <t>BTC/USDT</t>
        </is>
      </c>
      <c r="F6" s="246" t="n">
        <v>0.05</v>
      </c>
      <c r="G6" s="247" t="n">
        <v>3125</v>
      </c>
      <c r="H6" s="246" t="n"/>
      <c r="I6" s="247" t="n"/>
      <c r="J6" s="246" t="str">
        <f>IF(AND(ISNUMBER(F6),ISNUMBER(H6)),ROUND(H6-F6,8),"")</f>
        <v/>
      </c>
      <c r="K6" s="247" t="str">
        <f>IF(AND(ISNUMBER(G6),ISNUMBER(I6)),ROUND(I6-G6,8),"")</f>
        <v/>
      </c>
    </row>
    <row r="7" ht="22" customHeight="1">
      <c r="B7" s="236" t="inlineStr">
        <is>
          <t>P-0001</t>
        </is>
      </c>
      <c r="C7" s="237" t="n">
        <v>46296</v>
      </c>
      <c r="D7" s="238" t="inlineStr">
        <is>
          <t>Uniswap</t>
        </is>
      </c>
      <c r="E7" s="239" t="inlineStr">
        <is>
          <t>ETH/BTC</t>
        </is>
      </c>
      <c r="F7" s="240" t="n">
        <v>2</v>
      </c>
      <c r="G7" s="241" t="n">
        <v>0.104</v>
      </c>
      <c r="H7" s="240" t="n">
        <v>1.96</v>
      </c>
      <c r="I7" s="241" t="n">
        <v>0.1092</v>
      </c>
      <c r="J7" s="240">
        <f>IF(AND(ISNUMBER(F7),ISNUMBER(H7)),ROUND(H7-F7,8),"")</f>
        <v>-0.04</v>
      </c>
      <c r="K7" s="241">
        <f>IF(AND(ISNUMBER(G7),ISNUMBER(I7)),ROUND(I7-G7,8),"")</f>
        <v>0.0052</v>
      </c>
    </row>
    <row r="8" ht="22" customHeight="1">
      <c r="B8" s="242" t="inlineStr">
        <is>
          <t>P-0007</t>
        </is>
      </c>
      <c r="C8" s="243" t="n">
        <v>46299</v>
      </c>
      <c r="D8" s="244" t="inlineStr">
        <is>
          <t>PancakeSwap</t>
        </is>
      </c>
      <c r="E8" s="245" t="inlineStr">
        <is>
          <t>ETH/BTC</t>
        </is>
      </c>
      <c r="F8" s="246" t="n">
        <v>1.2</v>
      </c>
      <c r="G8" s="247" t="n">
        <v>0.0624</v>
      </c>
      <c r="H8" s="246" t="n"/>
      <c r="I8" s="247" t="n"/>
      <c r="J8" s="246" t="str">
        <f>IF(AND(ISNUMBER(F8),ISNUMBER(H8)),ROUND(H8-F8,8),"")</f>
        <v/>
      </c>
      <c r="K8" s="247" t="str">
        <f>IF(AND(ISNUMBER(G8),ISNUMBER(I8)),ROUND(I8-G8,8),"")</f>
        <v/>
      </c>
    </row>
    <row r="9" ht="22" customHeight="1">
      <c r="B9" s="236" t="inlineStr">
        <is>
          <t>P-0004</t>
        </is>
      </c>
      <c r="C9" s="237" t="n">
        <v>46298</v>
      </c>
      <c r="D9" s="238" t="inlineStr">
        <is>
          <t>Uniswap</t>
        </is>
      </c>
      <c r="E9" s="239" t="inlineStr">
        <is>
          <t>ETH/USDT</t>
        </is>
      </c>
      <c r="F9" s="240" t="n">
        <v>1.5</v>
      </c>
      <c r="G9" s="241" t="n">
        <v>4800</v>
      </c>
      <c r="H9" s="240" t="n"/>
      <c r="I9" s="241" t="n"/>
      <c r="J9" s="240" t="str">
        <f>IF(AND(ISNUMBER(F9),ISNUMBER(H9)),ROUND(H9-F9,8),"")</f>
        <v/>
      </c>
      <c r="K9" s="241" t="str">
        <f>IF(AND(ISNUMBER(G9),ISNUMBER(I9)),ROUND(I9-G9,8),"")</f>
        <v/>
      </c>
    </row>
    <row r="10" ht="22" customHeight="1">
      <c r="B10" s="242" t="inlineStr">
        <is>
          <t>P-0002</t>
        </is>
      </c>
      <c r="C10" s="243" t="n">
        <v>46296</v>
      </c>
      <c r="D10" s="244" t="inlineStr">
        <is>
          <t>Raydium</t>
        </is>
      </c>
      <c r="E10" s="245" t="inlineStr">
        <is>
          <t>SOL/USDT</t>
        </is>
      </c>
      <c r="F10" s="246" t="n">
        <v>30</v>
      </c>
      <c r="G10" s="247" t="n">
        <v>4350</v>
      </c>
      <c r="H10" s="246" t="n">
        <v>28.5</v>
      </c>
      <c r="I10" s="247" t="n">
        <v>4560</v>
      </c>
      <c r="J10" s="246">
        <f>IF(AND(ISNUMBER(F10),ISNUMBER(H10)),ROUND(H10-F10,8),"")</f>
        <v>-1.5</v>
      </c>
      <c r="K10" s="247">
        <f>IF(AND(ISNUMBER(G10),ISNUMBER(I10)),ROUND(I10-G10,8),"")</f>
        <v>210</v>
      </c>
    </row>
    <row r="11" ht="22" customHeight="1">
      <c r="B11" s="236" t="inlineStr">
        <is>
          <t>P-0005</t>
        </is>
      </c>
      <c r="C11" s="237" t="n">
        <v>46298</v>
      </c>
      <c r="D11" s="238" t="inlineStr">
        <is>
          <t>Orca</t>
        </is>
      </c>
      <c r="E11" s="239" t="inlineStr">
        <is>
          <t>SOL/USDT</t>
        </is>
      </c>
      <c r="F11" s="240" t="n">
        <v>12</v>
      </c>
      <c r="G11" s="241" t="n">
        <v>1740</v>
      </c>
      <c r="H11" s="240" t="n">
        <v>12.6</v>
      </c>
      <c r="I11" s="241" t="n">
        <v>1688</v>
      </c>
      <c r="J11" s="240">
        <f>IF(AND(ISNUMBER(F11),ISNUMBER(H11)),ROUND(H11-F11,8),"")</f>
        <v>0.6</v>
      </c>
      <c r="K11" s="241">
        <f>IF(AND(ISNUMBER(G11),ISNUMBER(I11)),ROUND(I11-G11,8),"")</f>
        <v>-52</v>
      </c>
    </row>
    <row r="12" ht="22" customHeight="1">
      <c r="B12" s="242" t="inlineStr">
        <is>
          <t>P-0008</t>
        </is>
      </c>
      <c r="C12" s="243" t="n">
        <v>46299</v>
      </c>
      <c r="D12" s="244" t="inlineStr">
        <is>
          <t>Raydium</t>
        </is>
      </c>
      <c r="E12" s="245" t="inlineStr">
        <is>
          <t>SOL/USDT</t>
        </is>
      </c>
      <c r="F12" s="246" t="n">
        <v>25</v>
      </c>
      <c r="G12" s="247" t="n">
        <v>3625</v>
      </c>
      <c r="H12" s="246" t="n"/>
      <c r="I12" s="247" t="n"/>
      <c r="J12" s="246" t="str">
        <f>IF(AND(ISNUMBER(F12),ISNUMBER(H12)),ROUND(H12-F12,8),"")</f>
        <v/>
      </c>
      <c r="K12" s="247" t="str">
        <f>IF(AND(ISNUMBER(G12),ISNUMBER(I12)),ROUND(I12-G12,8),"")</f>
        <v/>
      </c>
    </row>
  </sheetData>
  <autoFilter ref="B4:K12"/>
  <mergeCells count="1">
    <mergeCell ref="B1:K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239" t="inlineStr">
        <is>
          <t>BNB/USDT</t>
        </is>
      </c>
      <c r="C5" s="240">
        <f>IF($B5="","",IF(COUNTIFS(Пул!$E$5:$E$200,$B5,Пул!$F$5:$F$200,"&lt;&gt;")=0,"",ROUND(SUMIFS(Пул!$F$5:$F$200,Пул!$E$5:$E$200,$B5),8)))</f>
        <v>4</v>
      </c>
      <c r="D5" s="241">
        <f>IF($B5="","",IF(COUNTIFS(Пул!$E$5:$E$200,$B5,Пул!$G$5:$G$200,"&lt;&gt;")=0,"",ROUND(SUMIFS(Пул!$G$5:$G$200,Пул!$E$5:$E$200,$B5),8)))</f>
        <v>2360</v>
      </c>
      <c r="E5" s="240">
        <f>IF($B5="","",IF(COUNTIFS(Пул!$E$5:$E$200,$B5,Пул!$H$5:$H$200,"&lt;&gt;")=0,"",ROUND(SUMIFS(Пул!$H$5:$H$200,Пул!$E$5:$E$200,$B5),8)))</f>
        <v>4.2</v>
      </c>
      <c r="F5" s="241">
        <f>IF($B5="","",IF(COUNTIFS(Пул!$E$5:$E$200,$B5,Пул!$I$5:$I$200,"&lt;&gt;")=0,"",ROUND(SUMIFS(Пул!$I$5:$I$200,Пул!$E$5:$E$200,$B5),8)))</f>
        <v>2300</v>
      </c>
      <c r="G5" s="240">
        <f>IF($B5="","",IF(COUNTIFS(Пул!$E$5:$E$200,$B5,Пул!$H$5:$H$200,"&lt;&gt;")=0,"",ROUND(SUMIFS(Пул!$J$5:$J$200,Пул!$E$5:$E$200,$B5),8)))</f>
        <v>0.2</v>
      </c>
      <c r="H5" s="241">
        <f>IF($B5="","",IF(COUNTIFS(Пул!$E$5:$E$200,$B5,Пул!$I$5:$I$200,"&lt;&gt;")=0,"",ROUND(SUMIFS(Пул!$K$5:$K$200,Пул!$E$5:$E$200,$B5),8)))</f>
        <v>-60</v>
      </c>
      <c r="I5" s="236" t="str">
        <f>IF(AND(ISNUMBER(G5),ISNUMBER(H5)),IF(AND(G5&gt;0,H5&lt;0),"Buy",IF(AND(G5&lt;0,H5&gt;0),"Sell","")),"")</f>
        <v>Buy</v>
      </c>
      <c r="J5" s="177">
        <f>IF(I5="Buy",G5,IF(I5="Sell",-G5,""))</f>
        <v>0.2</v>
      </c>
      <c r="K5" s="177">
        <f>IF(AND(ISNUMBER(J5),ISNUMBER(L5),N(J5)&lt;&gt;0),ROUND(L5/J5,8),"")</f>
        <v>300</v>
      </c>
      <c r="L5" s="177">
        <f>IF(I5="Buy",-H5,IF(I5="Sell",H5,""))</f>
        <v>60</v>
      </c>
    </row>
    <row r="6" ht="22" customHeight="1">
      <c r="B6" s="245" t="inlineStr">
        <is>
          <t>BTC/USDT</t>
        </is>
      </c>
      <c r="C6" s="246">
        <f>IF($B6="","",IF(COUNTIFS(Пул!$E$5:$E$200,$B6,Пул!$F$5:$F$200,"&lt;&gt;")=0,"",ROUND(SUMIFS(Пул!$F$5:$F$200,Пул!$E$5:$E$200,$B6),8)))</f>
        <v>0.05</v>
      </c>
      <c r="D6" s="247">
        <f>IF($B6="","",IF(COUNTIFS(Пул!$E$5:$E$200,$B6,Пул!$G$5:$G$200,"&lt;&gt;")=0,"",ROUND(SUMIFS(Пул!$G$5:$G$200,Пул!$E$5:$E$200,$B6),8)))</f>
        <v>3125</v>
      </c>
      <c r="E6" s="246" t="str">
        <f>IF($B6="","",IF(COUNTIFS(Пул!$E$5:$E$200,$B6,Пул!$H$5:$H$200,"&lt;&gt;")=0,"",ROUND(SUMIFS(Пул!$H$5:$H$200,Пул!$E$5:$E$200,$B6),8)))</f>
        <v/>
      </c>
      <c r="F6" s="247" t="str">
        <f>IF($B6="","",IF(COUNTIFS(Пул!$E$5:$E$200,$B6,Пул!$I$5:$I$200,"&lt;&gt;")=0,"",ROUND(SUMIFS(Пул!$I$5:$I$200,Пул!$E$5:$E$200,$B6),8)))</f>
        <v/>
      </c>
      <c r="G6" s="246" t="str">
        <f>IF($B6="","",IF(COUNTIFS(Пул!$E$5:$E$200,$B6,Пул!$H$5:$H$200,"&lt;&gt;")=0,"",ROUND(SUMIFS(Пул!$J$5:$J$200,Пул!$E$5:$E$200,$B6),8)))</f>
        <v/>
      </c>
      <c r="H6" s="247" t="str">
        <f>IF($B6="","",IF(COUNTIFS(Пул!$E$5:$E$200,$B6,Пул!$I$5:$I$200,"&lt;&gt;")=0,"",ROUND(SUMIFS(Пул!$K$5:$K$200,Пул!$E$5:$E$200,$B6),8)))</f>
        <v/>
      </c>
      <c r="I6" s="242" t="str">
        <f>IF(AND(ISNUMBER(G6),ISNUMBER(H6)),IF(AND(G6&gt;0,H6&lt;0),"Buy",IF(AND(G6&lt;0,H6&gt;0),"Sell","")),"")</f>
        <v/>
      </c>
      <c r="J6" s="183" t="str">
        <f>IF(I6="Buy",G6,IF(I6="Sell",-G6,""))</f>
        <v/>
      </c>
      <c r="K6" s="183" t="str">
        <f>IF(AND(ISNUMBER(J6),ISNUMBER(L6),N(J6)&lt;&gt;0),ROUND(L6/J6,8),"")</f>
        <v/>
      </c>
      <c r="L6" s="183" t="str">
        <f>IF(I6="Buy",-H6,IF(I6="Sell",H6,""))</f>
        <v/>
      </c>
    </row>
    <row r="7" ht="22" customHeight="1">
      <c r="B7" s="239" t="inlineStr">
        <is>
          <t>ETH/BTC</t>
        </is>
      </c>
      <c r="C7" s="240">
        <f>IF($B7="","",IF(COUNTIFS(Пул!$E$5:$E$200,$B7,Пул!$F$5:$F$200,"&lt;&gt;")=0,"",ROUND(SUMIFS(Пул!$F$5:$F$200,Пул!$E$5:$E$200,$B7),8)))</f>
        <v>3.2</v>
      </c>
      <c r="D7" s="241">
        <f>IF($B7="","",IF(COUNTIFS(Пул!$E$5:$E$200,$B7,Пул!$G$5:$G$200,"&lt;&gt;")=0,"",ROUND(SUMIFS(Пул!$G$5:$G$200,Пул!$E$5:$E$200,$B7),8)))</f>
        <v>0.1664</v>
      </c>
      <c r="E7" s="240">
        <f>IF($B7="","",IF(COUNTIFS(Пул!$E$5:$E$200,$B7,Пул!$H$5:$H$200,"&lt;&gt;")=0,"",ROUND(SUMIFS(Пул!$H$5:$H$200,Пул!$E$5:$E$200,$B7),8)))</f>
        <v>1.96</v>
      </c>
      <c r="F7" s="241">
        <f>IF($B7="","",IF(COUNTIFS(Пул!$E$5:$E$200,$B7,Пул!$I$5:$I$200,"&lt;&gt;")=0,"",ROUND(SUMIFS(Пул!$I$5:$I$200,Пул!$E$5:$E$200,$B7),8)))</f>
        <v>0.1092</v>
      </c>
      <c r="G7" s="240">
        <f>IF($B7="","",IF(COUNTIFS(Пул!$E$5:$E$200,$B7,Пул!$H$5:$H$200,"&lt;&gt;")=0,"",ROUND(SUMIFS(Пул!$J$5:$J$200,Пул!$E$5:$E$200,$B7),8)))</f>
        <v>-0.04</v>
      </c>
      <c r="H7" s="241">
        <f>IF($B7="","",IF(COUNTIFS(Пул!$E$5:$E$200,$B7,Пул!$I$5:$I$200,"&lt;&gt;")=0,"",ROUND(SUMIFS(Пул!$K$5:$K$200,Пул!$E$5:$E$200,$B7),8)))</f>
        <v>0.0052</v>
      </c>
      <c r="I7" s="236" t="str">
        <f>IF(AND(ISNUMBER(G7),ISNUMBER(H7)),IF(AND(G7&gt;0,H7&lt;0),"Buy",IF(AND(G7&lt;0,H7&gt;0),"Sell","")),"")</f>
        <v>Sell</v>
      </c>
      <c r="J7" s="177">
        <f>IF(I7="Buy",G7,IF(I7="Sell",-G7,""))</f>
        <v>0.04</v>
      </c>
      <c r="K7" s="177">
        <f>IF(AND(ISNUMBER(J7),ISNUMBER(L7),N(J7)&lt;&gt;0),ROUND(L7/J7,8),"")</f>
        <v>0.13</v>
      </c>
      <c r="L7" s="177">
        <f>IF(I7="Buy",-H7,IF(I7="Sell",H7,""))</f>
        <v>0.0052</v>
      </c>
    </row>
    <row r="8" ht="22" customHeight="1">
      <c r="B8" s="245" t="inlineStr">
        <is>
          <t>ETH/USDT</t>
        </is>
      </c>
      <c r="C8" s="246">
        <f>IF($B8="","",IF(COUNTIFS(Пул!$E$5:$E$200,$B8,Пул!$F$5:$F$200,"&lt;&gt;")=0,"",ROUND(SUMIFS(Пул!$F$5:$F$200,Пул!$E$5:$E$200,$B8),8)))</f>
        <v>1.5</v>
      </c>
      <c r="D8" s="247">
        <f>IF($B8="","",IF(COUNTIFS(Пул!$E$5:$E$200,$B8,Пул!$G$5:$G$200,"&lt;&gt;")=0,"",ROUND(SUMIFS(Пул!$G$5:$G$200,Пул!$E$5:$E$200,$B8),8)))</f>
        <v>4800</v>
      </c>
      <c r="E8" s="246" t="str">
        <f>IF($B8="","",IF(COUNTIFS(Пул!$E$5:$E$200,$B8,Пул!$H$5:$H$200,"&lt;&gt;")=0,"",ROUND(SUMIFS(Пул!$H$5:$H$200,Пул!$E$5:$E$200,$B8),8)))</f>
        <v/>
      </c>
      <c r="F8" s="247" t="str">
        <f>IF($B8="","",IF(COUNTIFS(Пул!$E$5:$E$200,$B8,Пул!$I$5:$I$200,"&lt;&gt;")=0,"",ROUND(SUMIFS(Пул!$I$5:$I$200,Пул!$E$5:$E$200,$B8),8)))</f>
        <v/>
      </c>
      <c r="G8" s="246" t="str">
        <f>IF($B8="","",IF(COUNTIFS(Пул!$E$5:$E$200,$B8,Пул!$H$5:$H$200,"&lt;&gt;")=0,"",ROUND(SUMIFS(Пул!$J$5:$J$200,Пул!$E$5:$E$200,$B8),8)))</f>
        <v/>
      </c>
      <c r="H8" s="247" t="str">
        <f>IF($B8="","",IF(COUNTIFS(Пул!$E$5:$E$200,$B8,Пул!$I$5:$I$200,"&lt;&gt;")=0,"",ROUND(SUMIFS(Пул!$K$5:$K$200,Пул!$E$5:$E$200,$B8),8)))</f>
        <v/>
      </c>
      <c r="I8" s="242" t="str">
        <f>IF(AND(ISNUMBER(G8),ISNUMBER(H8)),IF(AND(G8&gt;0,H8&lt;0),"Buy",IF(AND(G8&lt;0,H8&gt;0),"Sell","")),"")</f>
        <v/>
      </c>
      <c r="J8" s="183" t="str">
        <f>IF(I8="Buy",G8,IF(I8="Sell",-G8,""))</f>
        <v/>
      </c>
      <c r="K8" s="183" t="str">
        <f>IF(AND(ISNUMBER(J8),ISNUMBER(L8),N(J8)&lt;&gt;0),ROUND(L8/J8,8),"")</f>
        <v/>
      </c>
      <c r="L8" s="183" t="str">
        <f>IF(I8="Buy",-H8,IF(I8="Sell",H8,""))</f>
        <v/>
      </c>
    </row>
    <row r="9" ht="22" customHeight="1">
      <c r="B9" s="239" t="inlineStr">
        <is>
          <t>SOL/USDT</t>
        </is>
      </c>
      <c r="C9" s="240">
        <f>IF($B9="","",IF(COUNTIFS(Пул!$E$5:$E$200,$B9,Пул!$F$5:$F$200,"&lt;&gt;")=0,"",ROUND(SUMIFS(Пул!$F$5:$F$200,Пул!$E$5:$E$200,$B9),8)))</f>
        <v>67</v>
      </c>
      <c r="D9" s="241">
        <f>IF($B9="","",IF(COUNTIFS(Пул!$E$5:$E$200,$B9,Пул!$G$5:$G$200,"&lt;&gt;")=0,"",ROUND(SUMIFS(Пул!$G$5:$G$200,Пул!$E$5:$E$200,$B9),8)))</f>
        <v>9715</v>
      </c>
      <c r="E9" s="240">
        <f>IF($B9="","",IF(COUNTIFS(Пул!$E$5:$E$200,$B9,Пул!$H$5:$H$200,"&lt;&gt;")=0,"",ROUND(SUMIFS(Пул!$H$5:$H$200,Пул!$E$5:$E$200,$B9),8)))</f>
        <v>41.1</v>
      </c>
      <c r="F9" s="241">
        <f>IF($B9="","",IF(COUNTIFS(Пул!$E$5:$E$200,$B9,Пул!$I$5:$I$200,"&lt;&gt;")=0,"",ROUND(SUMIFS(Пул!$I$5:$I$200,Пул!$E$5:$E$200,$B9),8)))</f>
        <v>6248</v>
      </c>
      <c r="G9" s="240">
        <f>IF($B9="","",IF(COUNTIFS(Пул!$E$5:$E$200,$B9,Пул!$H$5:$H$200,"&lt;&gt;")=0,"",ROUND(SUMIFS(Пул!$J$5:$J$200,Пул!$E$5:$E$200,$B9),8)))</f>
        <v>-0.9</v>
      </c>
      <c r="H9" s="241">
        <f>IF($B9="","",IF(COUNTIFS(Пул!$E$5:$E$200,$B9,Пул!$I$5:$I$200,"&lt;&gt;")=0,"",ROUND(SUMIFS(Пул!$K$5:$K$200,Пул!$E$5:$E$200,$B9),8)))</f>
        <v>158</v>
      </c>
      <c r="I9" s="236" t="str">
        <f>IF(AND(ISNUMBER(G9),ISNUMBER(H9)),IF(AND(G9&gt;0,H9&lt;0),"Buy",IF(AND(G9&lt;0,H9&gt;0),"Sell","")),"")</f>
        <v>Sell</v>
      </c>
      <c r="J9" s="177">
        <f>IF(I9="Buy",G9,IF(I9="Sell",-G9,""))</f>
        <v>0.9</v>
      </c>
      <c r="K9" s="177">
        <f>IF(AND(ISNUMBER(J9),ISNUMBER(L9),N(J9)&lt;&gt;0),ROUND(L9/J9,8),"")</f>
        <v>175.55555556</v>
      </c>
      <c r="L9" s="177">
        <f>IF(I9="Buy",-H9,IF(I9="Sell",H9,""))</f>
        <v>158</v>
      </c>
    </row>
    <row r="10" ht="22" customHeight="1">
      <c r="B10" s="245" t="n"/>
      <c r="C10" s="246" t="str">
        <f>IF($B10="","",IF(COUNTIFS(Пул!$E$5:$E$200,$B10,Пул!$F$5:$F$200,"&lt;&gt;")=0,"",ROUND(SUMIFS(Пул!$F$5:$F$200,Пул!$E$5:$E$200,$B10),8)))</f>
        <v/>
      </c>
      <c r="D10" s="247" t="str">
        <f>IF($B10="","",IF(COUNTIFS(Пул!$E$5:$E$200,$B10,Пул!$G$5:$G$200,"&lt;&gt;")=0,"",ROUND(SUMIFS(Пул!$G$5:$G$200,Пул!$E$5:$E$200,$B10),8)))</f>
        <v/>
      </c>
      <c r="E10" s="246" t="str">
        <f>IF($B10="","",IF(COUNTIFS(Пул!$E$5:$E$200,$B10,Пул!$H$5:$H$200,"&lt;&gt;")=0,"",ROUND(SUMIFS(Пул!$H$5:$H$200,Пул!$E$5:$E$200,$B10),8)))</f>
        <v/>
      </c>
      <c r="F10" s="247" t="str">
        <f>IF($B10="","",IF(COUNTIFS(Пул!$E$5:$E$200,$B10,Пул!$I$5:$I$200,"&lt;&gt;")=0,"",ROUND(SUMIFS(Пул!$I$5:$I$200,Пул!$E$5:$E$200,$B10),8)))</f>
        <v/>
      </c>
      <c r="G10" s="246" t="str">
        <f>IF($B10="","",IF(COUNTIFS(Пул!$E$5:$E$200,$B10,Пул!$H$5:$H$200,"&lt;&gt;")=0,"",ROUND(SUMIFS(Пул!$J$5:$J$200,Пул!$E$5:$E$200,$B10),8)))</f>
        <v/>
      </c>
      <c r="H10" s="247" t="str">
        <f>IF($B10="","",IF(COUNTIFS(Пул!$E$5:$E$200,$B10,Пул!$I$5:$I$200,"&lt;&gt;")=0,"",ROUND(SUMIFS(Пул!$K$5:$K$200,Пул!$E$5:$E$200,$B10),8)))</f>
        <v/>
      </c>
      <c r="I10" s="242" t="str">
        <f>IF(AND(ISNUMBER(G10),ISNUMBER(H10)),IF(AND(G10&gt;0,H10&lt;0),"Buy",IF(AND(G10&lt;0,H10&gt;0),"Sell","")),"")</f>
        <v/>
      </c>
      <c r="J10" s="183" t="str">
        <f>IF(I10="Buy",G10,IF(I10="Sell",-G10,""))</f>
        <v/>
      </c>
      <c r="K10" s="183" t="str">
        <f>IF(AND(ISNUMBER(J10),ISNUMBER(L10),N(J10)&lt;&gt;0),ROUND(L10/J10,8),"")</f>
        <v/>
      </c>
      <c r="L10" s="183" t="str">
        <f>IF(I10="Buy",-H10,IF(I10="Sell",H10,""))</f>
        <v/>
      </c>
    </row>
    <row r="11" ht="22" customHeight="1">
      <c r="B11" s="239" t="n"/>
      <c r="C11" s="240" t="str">
        <f>IF($B11="","",IF(COUNTIFS(Пул!$E$5:$E$200,$B11,Пул!$F$5:$F$200,"&lt;&gt;")=0,"",ROUND(SUMIFS(Пул!$F$5:$F$200,Пул!$E$5:$E$200,$B11),8)))</f>
        <v/>
      </c>
      <c r="D11" s="241" t="str">
        <f>IF($B11="","",IF(COUNTIFS(Пул!$E$5:$E$200,$B11,Пул!$G$5:$G$200,"&lt;&gt;")=0,"",ROUND(SUMIFS(Пул!$G$5:$G$200,Пул!$E$5:$E$200,$B11),8)))</f>
        <v/>
      </c>
      <c r="E11" s="240" t="str">
        <f>IF($B11="","",IF(COUNTIFS(Пул!$E$5:$E$200,$B11,Пул!$H$5:$H$200,"&lt;&gt;")=0,"",ROUND(SUMIFS(Пул!$H$5:$H$200,Пул!$E$5:$E$200,$B11),8)))</f>
        <v/>
      </c>
      <c r="F11" s="241" t="str">
        <f>IF($B11="","",IF(COUNTIFS(Пул!$E$5:$E$200,$B11,Пул!$I$5:$I$200,"&lt;&gt;")=0,"",ROUND(SUMIFS(Пул!$I$5:$I$200,Пул!$E$5:$E$200,$B11),8)))</f>
        <v/>
      </c>
      <c r="G11" s="240" t="str">
        <f>IF($B11="","",IF(COUNTIFS(Пул!$E$5:$E$200,$B11,Пул!$H$5:$H$200,"&lt;&gt;")=0,"",ROUND(SUMIFS(Пул!$J$5:$J$200,Пул!$E$5:$E$200,$B11),8)))</f>
        <v/>
      </c>
      <c r="H11" s="241" t="str">
        <f>IF($B11="","",IF(COUNTIFS(Пул!$E$5:$E$200,$B11,Пул!$I$5:$I$200,"&lt;&gt;")=0,"",ROUND(SUMIFS(Пул!$K$5:$K$200,Пул!$E$5:$E$200,$B11),8)))</f>
        <v/>
      </c>
      <c r="I11" s="236" t="str">
        <f>IF(AND(ISNUMBER(G11),ISNUMBER(H11)),IF(AND(G11&gt;0,H11&lt;0),"Buy",IF(AND(G11&lt;0,H11&gt;0),"Sell","")),"")</f>
        <v/>
      </c>
      <c r="J11" s="177" t="str">
        <f>IF(I11="Buy",G11,IF(I11="Sell",-G11,""))</f>
        <v/>
      </c>
      <c r="K11" s="177" t="str">
        <f>IF(AND(ISNUMBER(J11),ISNUMBER(L11),N(J11)&lt;&gt;0),ROUND(L11/J11,8),"")</f>
        <v/>
      </c>
      <c r="L11" s="177" t="str">
        <f>IF(I11="Buy",-H11,IF(I11="Sell",H11,""))</f>
        <v/>
      </c>
    </row>
    <row r="12" ht="22" customHeight="1">
      <c r="B12" s="245" t="n"/>
      <c r="C12" s="246" t="str">
        <f>IF($B12="","",IF(COUNTIFS(Пул!$E$5:$E$200,$B12,Пул!$F$5:$F$200,"&lt;&gt;")=0,"",ROUND(SUMIFS(Пул!$F$5:$F$200,Пул!$E$5:$E$200,$B12),8)))</f>
        <v/>
      </c>
      <c r="D12" s="247" t="str">
        <f>IF($B12="","",IF(COUNTIFS(Пул!$E$5:$E$200,$B12,Пул!$G$5:$G$200,"&lt;&gt;")=0,"",ROUND(SUMIFS(Пул!$G$5:$G$200,Пул!$E$5:$E$200,$B12),8)))</f>
        <v/>
      </c>
      <c r="E12" s="246" t="str">
        <f>IF($B12="","",IF(COUNTIFS(Пул!$E$5:$E$200,$B12,Пул!$H$5:$H$200,"&lt;&gt;")=0,"",ROUND(SUMIFS(Пул!$H$5:$H$200,Пул!$E$5:$E$200,$B12),8)))</f>
        <v/>
      </c>
      <c r="F12" s="247" t="str">
        <f>IF($B12="","",IF(COUNTIFS(Пул!$E$5:$E$200,$B12,Пул!$I$5:$I$200,"&lt;&gt;")=0,"",ROUND(SUMIFS(Пул!$I$5:$I$200,Пул!$E$5:$E$200,$B12),8)))</f>
        <v/>
      </c>
      <c r="G12" s="246" t="str">
        <f>IF($B12="","",IF(COUNTIFS(Пул!$E$5:$E$200,$B12,Пул!$H$5:$H$200,"&lt;&gt;")=0,"",ROUND(SUMIFS(Пул!$J$5:$J$200,Пул!$E$5:$E$200,$B12),8)))</f>
        <v/>
      </c>
      <c r="H12" s="247" t="str">
        <f>IF($B12="","",IF(COUNTIFS(Пул!$E$5:$E$200,$B12,Пул!$I$5:$I$200,"&lt;&gt;")=0,"",ROUND(SUMIFS(Пул!$K$5:$K$200,Пул!$E$5:$E$200,$B12),8)))</f>
        <v/>
      </c>
      <c r="I12" s="242" t="str">
        <f>IF(AND(ISNUMBER(G12),ISNUMBER(H12)),IF(AND(G12&gt;0,H12&lt;0),"Buy",IF(AND(G12&lt;0,H12&gt;0),"Sell","")),"")</f>
        <v/>
      </c>
      <c r="J12" s="183" t="str">
        <f>IF(I12="Buy",G12,IF(I12="Sell",-G12,""))</f>
        <v/>
      </c>
      <c r="K12" s="183" t="str">
        <f>IF(AND(ISNUMBER(J12),ISNUMBER(L12),N(J12)&lt;&gt;0),ROUND(L12/J12,8),"")</f>
        <v/>
      </c>
      <c r="L12" s="183" t="str">
        <f>IF(I12="Buy",-H12,IF(I12="Sell",H12,""))</f>
        <v/>
      </c>
    </row>
  </sheetData>
  <autoFilter ref="B4:L12"/>
  <mergeCells count="1">
    <mergeCell ref="B1:L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>
        <v>2</v>
      </c>
      <c r="G5" s="177" t="n">
        <v>586.17</v>
      </c>
      <c r="H5" s="241" t="n">
        <v>1172.34</v>
      </c>
      <c r="I5" s="240" t="n">
        <v>2</v>
      </c>
      <c r="J5" s="177" t="n">
        <v>598.8</v>
      </c>
      <c r="K5" s="241" t="n">
        <v>1197.6</v>
      </c>
      <c r="L5" s="240">
        <f>IF(COUNT(F5,I5)=0,"",N(F5)-N(I5))</f>
        <v>0</v>
      </c>
      <c r="M5" s="241">
        <f>IF(COUNT(H5,K5)=0,"",N(K5)-N(H5))</f>
        <v>25.26</v>
      </c>
      <c r="N5" s="240">
        <f>IF(AND(ISNUMBER(F5),ISNUMBER(I5),ISNUMBER(H5),ISNUMBER(K5),F5&gt;0,I5&gt;0,H5&lt;&gt;0),ROUND(MIN(F5,I5)*(K5/I5-H5/F5),8),"")</f>
        <v>25.26</v>
      </c>
      <c r="O5" s="177">
        <f>IF(ISNUMBER(N5),ROUND(N5/(MIN(F5,I5)*H5/F5)*100,2),"")</f>
        <v>2.15</v>
      </c>
      <c r="P5" s="207" t="n"/>
      <c r="Q5" s="207" t="n"/>
    </row>
    <row r="6" ht="22" customHeight="1">
      <c r="B6" s="244" t="inlineStr">
        <is>
          <t>T-0006</t>
        </is>
      </c>
      <c r="C6" s="243" t="n">
        <v>46299</v>
      </c>
      <c r="D6" s="244" t="inlineStr">
        <is>
          <t>OKX</t>
        </is>
      </c>
      <c r="E6" s="245" t="inlineStr">
        <is>
          <t>BTC/USDT</t>
        </is>
      </c>
      <c r="F6" s="246" t="n">
        <v>0.05</v>
      </c>
      <c r="G6" s="183" t="n">
        <v>62324.4</v>
      </c>
      <c r="H6" s="247" t="n">
        <v>3116.22</v>
      </c>
      <c r="I6" s="246" t="n">
        <v>0.05</v>
      </c>
      <c r="J6" s="183" t="n">
        <v>62874</v>
      </c>
      <c r="K6" s="247" t="n">
        <v>3143.7</v>
      </c>
      <c r="L6" s="246">
        <f>IF(COUNT(F6,I6)=0,"",N(F6)-N(I6))</f>
        <v>0</v>
      </c>
      <c r="M6" s="247">
        <f>IF(COUNT(H6,K6)=0,"",N(K6)-N(H6))</f>
        <v>27.48</v>
      </c>
      <c r="N6" s="246">
        <f>IF(AND(ISNUMBER(F6),ISNUMBER(I6),ISNUMBER(H6),ISNUMBER(K6),F6&gt;0,I6&gt;0,H6&lt;&gt;0),ROUND(MIN(F6,I6)*(K6/I6-H6/F6),8),"")</f>
        <v>27.48</v>
      </c>
      <c r="O6" s="183">
        <f>IF(ISNUMBER(N6),ROUND(N6/(MIN(F6,I6)*H6/F6)*100,2),"")</f>
        <v>0.88</v>
      </c>
      <c r="P6" s="207" t="n"/>
      <c r="Q6" s="207" t="n"/>
    </row>
    <row r="7" ht="22" customHeight="1">
      <c r="B7" s="238" t="inlineStr">
        <is>
          <t>T-0002</t>
        </is>
      </c>
      <c r="C7" s="237" t="n">
        <v>46297</v>
      </c>
      <c r="D7" s="238" t="inlineStr">
        <is>
          <t>Bybit</t>
        </is>
      </c>
      <c r="E7" s="239" t="inlineStr">
        <is>
          <t>ETH/USDT</t>
        </is>
      </c>
      <c r="F7" s="240" t="n">
        <v>1</v>
      </c>
      <c r="G7" s="177" t="n">
        <v>3206.4</v>
      </c>
      <c r="H7" s="241" t="n">
        <v>3206.4</v>
      </c>
      <c r="I7" s="240" t="n">
        <v>1</v>
      </c>
      <c r="J7" s="177" t="n">
        <v>3343.3</v>
      </c>
      <c r="K7" s="241" t="n">
        <v>3343.3</v>
      </c>
      <c r="L7" s="240">
        <f>IF(COUNT(F7,I7)=0,"",N(F7)-N(I7))</f>
        <v>0</v>
      </c>
      <c r="M7" s="241">
        <f>IF(COUNT(H7,K7)=0,"",N(K7)-N(H7))</f>
        <v>136.9</v>
      </c>
      <c r="N7" s="240">
        <f>IF(AND(ISNUMBER(F7),ISNUMBER(I7),ISNUMBER(H7),ISNUMBER(K7),F7&gt;0,I7&gt;0,H7&lt;&gt;0),ROUND(MIN(F7,I7)*(K7/I7-H7/F7),8),"")</f>
        <v>136.9</v>
      </c>
      <c r="O7" s="177">
        <f>IF(ISNUMBER(N7),ROUND(N7/(MIN(F7,I7)*H7/F7)*100,2),"")</f>
        <v>4.27</v>
      </c>
      <c r="P7" s="207" t="n"/>
      <c r="Q7" s="207" t="n"/>
    </row>
    <row r="8" ht="22" customHeight="1">
      <c r="B8" s="244" t="inlineStr">
        <is>
          <t>T-0003</t>
        </is>
      </c>
      <c r="C8" s="243" t="n">
        <v>46298</v>
      </c>
      <c r="D8" s="244" t="inlineStr">
        <is>
          <t>OKX</t>
        </is>
      </c>
      <c r="E8" s="245" t="inlineStr">
        <is>
          <t>SOL/USDT</t>
        </is>
      </c>
      <c r="F8" s="246" t="n">
        <v>20</v>
      </c>
      <c r="G8" s="183" t="n">
        <v>145.29</v>
      </c>
      <c r="H8" s="247" t="n">
        <v>2905.8</v>
      </c>
      <c r="I8" s="246" t="n">
        <v>20</v>
      </c>
      <c r="J8" s="183" t="n">
        <v>151.696</v>
      </c>
      <c r="K8" s="247" t="n">
        <v>3033.92</v>
      </c>
      <c r="L8" s="246">
        <f>IF(COUNT(F8,I8)=0,"",N(F8)-N(I8))</f>
        <v>0</v>
      </c>
      <c r="M8" s="247">
        <f>IF(COUNT(H8,K8)=0,"",N(K8)-N(H8))</f>
        <v>128.12</v>
      </c>
      <c r="N8" s="246">
        <f>IF(AND(ISNUMBER(F8),ISNUMBER(I8),ISNUMBER(H8),ISNUMBER(K8),F8&gt;0,I8&gt;0,H8&lt;&gt;0),ROUND(MIN(F8,I8)*(K8/I8-H8/F8),8),"")</f>
        <v>128.12</v>
      </c>
      <c r="O8" s="183">
        <f>IF(ISNUMBER(N8),ROUND(N8/(MIN(F8,I8)*H8/F8)*100,2),"")</f>
        <v>4.41</v>
      </c>
      <c r="P8" s="207" t="n"/>
      <c r="Q8" s="207" t="n"/>
    </row>
    <row r="9" ht="22" customHeight="1">
      <c r="B9" s="238" t="inlineStr">
        <is>
          <t>L-0013</t>
        </is>
      </c>
      <c r="C9" s="237" t="n">
        <v>46299</v>
      </c>
      <c r="D9" s="238" t="inlineStr">
        <is>
          <t>Binance</t>
        </is>
      </c>
      <c r="E9" s="239" t="inlineStr">
        <is>
          <t>BNB/USDT</t>
        </is>
      </c>
      <c r="F9" s="240" t="n">
        <v>1.5</v>
      </c>
      <c r="G9" s="177" t="n">
        <v>585</v>
      </c>
      <c r="H9" s="241" t="n">
        <v>877.5</v>
      </c>
      <c r="I9" s="240" t="n">
        <v>1.5</v>
      </c>
      <c r="J9" s="177" t="n">
        <v>597</v>
      </c>
      <c r="K9" s="241" t="n">
        <v>895.5</v>
      </c>
      <c r="L9" s="240">
        <f>IF(COUNT(F9,I9)=0,"",N(F9)-N(I9))</f>
        <v>0</v>
      </c>
      <c r="M9" s="241">
        <f>IF(COUNT(H9,K9)=0,"",N(K9)-N(H9))</f>
        <v>18</v>
      </c>
      <c r="N9" s="240">
        <f>IF(AND(ISNUMBER(F9),ISNUMBER(I9),ISNUMBER(H9),ISNUMBER(K9),F9&gt;0,I9&gt;0,H9&lt;&gt;0),ROUND(MIN(F9,I9)*(K9/I9-H9/F9),8),"")</f>
        <v>18</v>
      </c>
      <c r="O9" s="177">
        <f>IF(ISNUMBER(N9),ROUND(N9/(MIN(F9,I9)*H9/F9)*100,2),"")</f>
        <v>2.05</v>
      </c>
      <c r="P9" s="207" t="n"/>
      <c r="Q9" s="207" t="n"/>
    </row>
    <row r="10" ht="22" customHeight="1">
      <c r="B10" s="244" t="inlineStr">
        <is>
          <t>L-0014</t>
        </is>
      </c>
      <c r="C10" s="243" t="n">
        <v>46298</v>
      </c>
      <c r="D10" s="244" t="inlineStr">
        <is>
          <t>OKX</t>
        </is>
      </c>
      <c r="E10" s="245" t="inlineStr">
        <is>
          <t>ETH/USDT</t>
        </is>
      </c>
      <c r="F10" s="246" t="n">
        <v>0.5</v>
      </c>
      <c r="G10" s="183" t="n">
        <v>3210</v>
      </c>
      <c r="H10" s="247" t="n">
        <v>1605</v>
      </c>
      <c r="I10" s="246" t="n">
        <v>0.5</v>
      </c>
      <c r="J10" s="183" t="n">
        <v>3340</v>
      </c>
      <c r="K10" s="247" t="n">
        <v>1670</v>
      </c>
      <c r="L10" s="246">
        <f>IF(COUNT(F10,I10)=0,"",N(F10)-N(I10))</f>
        <v>0</v>
      </c>
      <c r="M10" s="247">
        <f>IF(COUNT(H10,K10)=0,"",N(K10)-N(H10))</f>
        <v>65</v>
      </c>
      <c r="N10" s="246">
        <f>IF(AND(ISNUMBER(F10),ISNUMBER(I10),ISNUMBER(H10),ISNUMBER(K10),F10&gt;0,I10&gt;0,H10&lt;&gt;0),ROUND(MIN(F10,I10)*(K10/I10-H10/F10),8),"")</f>
        <v>65</v>
      </c>
      <c r="O10" s="183">
        <f>IF(ISNUMBER(N10),ROUND(N10/(MIN(F10,I10)*H10/F10)*100,2),"")</f>
        <v>4.05</v>
      </c>
      <c r="P10" s="207" t="n"/>
      <c r="Q10" s="207" t="n"/>
    </row>
    <row r="11" ht="22" customHeight="1">
      <c r="B11" s="238" t="inlineStr">
        <is>
          <t>L-0015</t>
        </is>
      </c>
      <c r="C11" s="237" t="n">
        <v>46297</v>
      </c>
      <c r="D11" s="238" t="inlineStr">
        <is>
          <t>Bybit</t>
        </is>
      </c>
      <c r="E11" s="239" t="inlineStr">
        <is>
          <t>SOL/USDT</t>
        </is>
      </c>
      <c r="F11" s="240" t="n">
        <v>10</v>
      </c>
      <c r="G11" s="177" t="n">
        <v>145</v>
      </c>
      <c r="H11" s="241" t="n">
        <v>1450</v>
      </c>
      <c r="I11" s="240" t="n">
        <v>10</v>
      </c>
      <c r="J11" s="177" t="n">
        <v>150.5</v>
      </c>
      <c r="K11" s="241" t="n">
        <v>1505</v>
      </c>
      <c r="L11" s="240">
        <f>IF(COUNT(F11,I11)=0,"",N(F11)-N(I11))</f>
        <v>0</v>
      </c>
      <c r="M11" s="241">
        <f>IF(COUNT(H11,K11)=0,"",N(K11)-N(H11))</f>
        <v>55</v>
      </c>
      <c r="N11" s="240">
        <f>IF(AND(ISNUMBER(F11),ISNUMBER(I11),ISNUMBER(H11),ISNUMBER(K11),F11&gt;0,I11&gt;0,H11&lt;&gt;0),ROUND(MIN(F11,I11)*(K11/I11-H11/F11),8),"")</f>
        <v>55</v>
      </c>
      <c r="O11" s="177">
        <f>IF(ISNUMBER(N11),ROUND(N11/(MIN(F11,I11)*H11/F11)*100,2),"")</f>
        <v>3.79</v>
      </c>
      <c r="P11" s="207" t="n"/>
      <c r="Q11" s="207" t="n"/>
    </row>
    <row r="12" ht="22" customHeight="1">
      <c r="B12" s="244" t="n"/>
      <c r="C12" s="243" t="n"/>
      <c r="D12" s="244" t="n"/>
      <c r="E12" s="245" t="n"/>
      <c r="F12" s="246" t="n"/>
      <c r="G12" s="183" t="n"/>
      <c r="H12" s="247" t="n"/>
      <c r="I12" s="246" t="n"/>
      <c r="J12" s="183" t="n"/>
      <c r="K12" s="247" t="n"/>
      <c r="L12" s="246" t="str">
        <f>IF(COUNT(F12,I12)=0,"",N(F12)-N(I12))</f>
        <v/>
      </c>
      <c r="M12" s="247" t="str">
        <f>IF(COUNT(H12,K12)=0,"",N(K12)-N(H12))</f>
        <v/>
      </c>
      <c r="N12" s="246" t="str">
        <f>IF(AND(ISNUMBER(F12),ISNUMBER(I12),ISNUMBER(H12),ISNUMBER(K12),F12&gt;0,I12&gt;0,H12&lt;&gt;0),ROUND(MIN(F12,I12)*(K12/I12-H12/F12),8),"")</f>
        <v/>
      </c>
      <c r="O12" s="183" t="str">
        <f>IF(ISNUMBER(N12),ROUND(N12/(MIN(F12,I12)*H12/F12)*100,2),"")</f>
        <v/>
      </c>
      <c r="P12" s="207" t="n"/>
      <c r="Q12" s="207" t="n"/>
    </row>
    <row r="13" ht="22" customHeight="1">
      <c r="B13" s="238" t="n"/>
      <c r="C13" s="237" t="n"/>
      <c r="D13" s="238" t="n"/>
      <c r="E13" s="239" t="n"/>
      <c r="F13" s="240" t="n"/>
      <c r="G13" s="177" t="n"/>
      <c r="H13" s="241" t="n"/>
      <c r="I13" s="240" t="n"/>
      <c r="J13" s="177" t="n"/>
      <c r="K13" s="241" t="n"/>
      <c r="L13" s="240" t="str">
        <f>IF(COUNT(F13,I13)=0,"",N(F13)-N(I13))</f>
        <v/>
      </c>
      <c r="M13" s="241" t="str">
        <f>IF(COUNT(H13,K13)=0,"",N(K13)-N(H13))</f>
        <v/>
      </c>
      <c r="N13" s="240" t="str">
        <f>IF(AND(ISNUMBER(F13),ISNUMBER(I13),ISNUMBER(H13),ISNUMBER(K13),F13&gt;0,I13&gt;0,H13&lt;&gt;0),ROUND(MIN(F13,I13)*(K13/I13-H13/F13),8),"")</f>
        <v/>
      </c>
      <c r="O13" s="177" t="str">
        <f>IF(ISNUMBER(N13),ROUND(N13/(MIN(F13,I13)*H13/F13)*100,2),"")</f>
        <v/>
      </c>
    </row>
    <row r="14" ht="22" customHeight="1">
      <c r="B14" s="244" t="n"/>
      <c r="C14" s="243" t="n"/>
      <c r="D14" s="244" t="n"/>
      <c r="E14" s="245" t="n"/>
      <c r="F14" s="246" t="n"/>
      <c r="G14" s="183" t="n"/>
      <c r="H14" s="247" t="n"/>
      <c r="I14" s="246" t="n"/>
      <c r="J14" s="183" t="n"/>
      <c r="K14" s="247" t="n"/>
      <c r="L14" s="246" t="str">
        <f>IF(COUNT(F14,I14)=0,"",N(F14)-N(I14))</f>
        <v/>
      </c>
      <c r="M14" s="247" t="str">
        <f>IF(COUNT(H14,K14)=0,"",N(K14)-N(H14))</f>
        <v/>
      </c>
      <c r="N14" s="246" t="str">
        <f>IF(AND(ISNUMBER(F14),ISNUMBER(I14),ISNUMBER(H14),ISNUMBER(K14),F14&gt;0,I14&gt;0,H14&lt;&gt;0),ROUND(MIN(F14,I14)*(K14/I14-H14/F14),8),"")</f>
        <v/>
      </c>
      <c r="O14" s="183" t="str">
        <f>IF(ISNUMBER(N14),ROUND(N14/(MIN(F14,I14)*H14/F14)*100,2),"")</f>
        <v/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41" t="n"/>
      <c r="I15" s="240" t="n"/>
      <c r="J15" s="177" t="n"/>
      <c r="K15" s="241" t="n"/>
      <c r="L15" s="240" t="str">
        <f>IF(COUNT(F15,I15)=0,"",N(F15)-N(I15))</f>
        <v/>
      </c>
      <c r="M15" s="241" t="str">
        <f>IF(COUNT(H15,K15)=0,"",N(K15)-N(H15))</f>
        <v/>
      </c>
      <c r="N15" s="240" t="str">
        <f>IF(AND(ISNUMBER(F15),ISNUMBER(I15),ISNUMBER(H15),ISNUMBER(K15),F15&gt;0,I15&gt;0,H15&lt;&gt;0),ROUND(MIN(F15,I15)*(K15/I15-H15/F15),8),"")</f>
        <v/>
      </c>
      <c r="O15" s="177" t="str">
        <f>IF(ISNUMBER(N15),ROUND(N15/(MIN(F15,I15)*H15/F15)*100,2),"")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47" t="n"/>
      <c r="I16" s="246" t="n"/>
      <c r="J16" s="183" t="n"/>
      <c r="K16" s="247" t="n"/>
      <c r="L16" s="246" t="str">
        <f>IF(COUNT(F16,I16)=0,"",N(F16)-N(I16))</f>
        <v/>
      </c>
      <c r="M16" s="247" t="str">
        <f>IF(COUNT(H16,K16)=0,"",N(K16)-N(H16))</f>
        <v/>
      </c>
      <c r="N16" s="246" t="str">
        <f>IF(AND(ISNUMBER(F16),ISNUMBER(I16),ISNUMBER(H16),ISNUMBER(K16),F16&gt;0,I16&gt;0,H16&lt;&gt;0),ROUND(MIN(F16,I16)*(K16/I16-H16/F16),8),"")</f>
        <v/>
      </c>
      <c r="O16" s="183" t="str">
        <f>IF(ISNUMBER(N16),ROUND(N16/(MIN(F16,I16)*H16/F16)*100,2),"")</f>
        <v/>
      </c>
    </row>
    <row r="17" ht="22" customHeight="1">
      <c r="B17" s="238" t="n"/>
      <c r="C17" s="237" t="n"/>
      <c r="D17" s="238" t="n"/>
      <c r="E17" s="239" t="n"/>
      <c r="F17" s="240" t="n"/>
      <c r="G17" s="177" t="n"/>
      <c r="H17" s="241" t="n"/>
      <c r="I17" s="240" t="n"/>
      <c r="J17" s="177" t="n"/>
      <c r="K17" s="241" t="n"/>
      <c r="L17" s="240" t="str">
        <f>IF(COUNT(F17,I17)=0,"",N(F17)-N(I17))</f>
        <v/>
      </c>
      <c r="M17" s="241" t="str">
        <f>IF(COUNT(H17,K17)=0,"",N(K17)-N(H17))</f>
        <v/>
      </c>
      <c r="N17" s="240" t="str">
        <f>IF(AND(ISNUMBER(F17),ISNUMBER(I17),ISNUMBER(H17),ISNUMBER(K17),F17&gt;0,I17&gt;0,H17&lt;&gt;0),ROUND(MIN(F17,I17)*(K17/I17-H17/F17),8),"")</f>
        <v/>
      </c>
      <c r="O17" s="177" t="str">
        <f>IF(ISNUMBER(N17),ROUND(N17/(MIN(F17,I17)*H17/F17)*100,2),"")</f>
        <v/>
      </c>
    </row>
    <row r="18" ht="22" customHeight="1">
      <c r="B18" s="244" t="n"/>
      <c r="C18" s="243" t="n"/>
      <c r="D18" s="244" t="n"/>
      <c r="E18" s="245" t="n"/>
      <c r="F18" s="246" t="n"/>
      <c r="G18" s="183" t="n"/>
      <c r="H18" s="247" t="n"/>
      <c r="I18" s="246" t="n"/>
      <c r="J18" s="183" t="n"/>
      <c r="K18" s="247" t="n"/>
      <c r="L18" s="246" t="str">
        <f>IF(COUNT(F18,I18)=0,"",N(F18)-N(I18))</f>
        <v/>
      </c>
      <c r="M18" s="247" t="str">
        <f>IF(COUNT(H18,K18)=0,"",N(K18)-N(H18))</f>
        <v/>
      </c>
      <c r="N18" s="246" t="str">
        <f>IF(AND(ISNUMBER(F18),ISNUMBER(I18),ISNUMBER(H18),ISNUMBER(K18),F18&gt;0,I18&gt;0,H18&lt;&gt;0),ROUND(MIN(F18,I18)*(K18/I18-H18/F18),8),"")</f>
        <v/>
      </c>
      <c r="O18" s="183" t="str">
        <f>IF(ISNUMBER(N18),ROUND(N18/(MIN(F18,I18)*H18/F18)*100,2),"")</f>
        <v/>
      </c>
    </row>
    <row r="19" ht="22" customHeight="1">
      <c r="B19" s="238" t="n"/>
      <c r="C19" s="237" t="n"/>
      <c r="D19" s="238" t="n"/>
      <c r="E19" s="239" t="n"/>
      <c r="F19" s="240" t="n"/>
      <c r="G19" s="177" t="n"/>
      <c r="H19" s="241" t="n"/>
      <c r="I19" s="240" t="n"/>
      <c r="J19" s="177" t="n"/>
      <c r="K19" s="241" t="n"/>
      <c r="L19" s="240" t="str">
        <f>IF(COUNT(F19,I19)=0,"",N(F19)-N(I19))</f>
        <v/>
      </c>
      <c r="M19" s="241" t="str">
        <f>IF(COUNT(H19,K19)=0,"",N(K19)-N(H19))</f>
        <v/>
      </c>
      <c r="N19" s="240" t="str">
        <f>IF(AND(ISNUMBER(F19),ISNUMBER(I19),ISNUMBER(H19),ISNUMBER(K19),F19&gt;0,I19&gt;0,H19&lt;&gt;0),ROUND(MIN(F19,I19)*(K19/I19-H19/F19),8),"")</f>
        <v/>
      </c>
      <c r="O19" s="177" t="str">
        <f>IF(ISNUMBER(N19),ROUND(N19/(MIN(F19,I19)*H19/F19)*100,2),"")</f>
        <v/>
      </c>
    </row>
    <row r="20" ht="22" customHeight="1">
      <c r="B20" s="244" t="n"/>
      <c r="C20" s="243" t="n"/>
      <c r="D20" s="244" t="n"/>
      <c r="E20" s="245" t="n"/>
      <c r="F20" s="246" t="n"/>
      <c r="G20" s="183" t="n"/>
      <c r="H20" s="247" t="n"/>
      <c r="I20" s="246" t="n"/>
      <c r="J20" s="183" t="n"/>
      <c r="K20" s="247" t="n"/>
      <c r="L20" s="246" t="str">
        <f>IF(COUNT(F20,I20)=0,"",N(F20)-N(I20))</f>
        <v/>
      </c>
      <c r="M20" s="247" t="str">
        <f>IF(COUNT(H20,K20)=0,"",N(K20)-N(H20))</f>
        <v/>
      </c>
      <c r="N20" s="246" t="str">
        <f>IF(AND(ISNUMBER(F20),ISNUMBER(I20),ISNUMBER(H20),ISNUMBER(K20),F20&gt;0,I20&gt;0,H20&lt;&gt;0),ROUND(MIN(F20,I20)*(K20/I20-H20/F20),8),"")</f>
        <v/>
      </c>
      <c r="O20" s="183" t="str">
        <f>IF(ISNUMBER(N20),ROUND(N20/(MIN(F20,I20)*H20/F20)*100,2),"")</f>
        <v/>
      </c>
    </row>
    <row r="21" ht="22" customHeight="1">
      <c r="B21" s="238" t="n"/>
      <c r="C21" s="237" t="n"/>
      <c r="D21" s="238" t="n"/>
      <c r="E21" s="239" t="n"/>
      <c r="F21" s="240" t="n"/>
      <c r="G21" s="177" t="n"/>
      <c r="H21" s="241" t="n"/>
      <c r="I21" s="240" t="n"/>
      <c r="J21" s="177" t="n"/>
      <c r="K21" s="241" t="n"/>
      <c r="L21" s="240" t="str">
        <f>IF(COUNT(F21,I21)=0,"",N(F21)-N(I21))</f>
        <v/>
      </c>
      <c r="M21" s="241" t="str">
        <f>IF(COUNT(H21,K21)=0,"",N(K21)-N(H21))</f>
        <v/>
      </c>
      <c r="N21" s="240" t="str">
        <f>IF(AND(ISNUMBER(F21),ISNUMBER(I21),ISNUMBER(H21),ISNUMBER(K21),F21&gt;0,I21&gt;0,H21&lt;&gt;0),ROUND(MIN(F21,I21)*(K21/I21-H21/F21),8),"")</f>
        <v/>
      </c>
      <c r="O21" s="177" t="str">
        <f>IF(ISNUMBER(N21),ROUND(N21/(MIN(F21,I21)*H21/F21)*100,2),"")</f>
        <v/>
      </c>
    </row>
    <row r="22" ht="22" customHeight="1">
      <c r="B22" s="244" t="n"/>
      <c r="C22" s="243" t="n"/>
      <c r="D22" s="244" t="n"/>
      <c r="E22" s="245" t="n"/>
      <c r="F22" s="246" t="n"/>
      <c r="G22" s="183" t="n"/>
      <c r="H22" s="247" t="n"/>
      <c r="I22" s="246" t="n"/>
      <c r="J22" s="183" t="n"/>
      <c r="K22" s="247" t="n"/>
      <c r="L22" s="246" t="str">
        <f>IF(COUNT(F22,I22)=0,"",N(F22)-N(I22))</f>
        <v/>
      </c>
      <c r="M22" s="247" t="str">
        <f>IF(COUNT(H22,K22)=0,"",N(K22)-N(H22))</f>
        <v/>
      </c>
      <c r="N22" s="246" t="str">
        <f>IF(AND(ISNUMBER(F22),ISNUMBER(I22),ISNUMBER(H22),ISNUMBER(K22),F22&gt;0,I22&gt;0,H22&lt;&gt;0),ROUND(MIN(F22,I22)*(K22/I22-H22/F22),8),"")</f>
        <v/>
      </c>
      <c r="O22" s="183" t="str">
        <f>IF(ISNUMBER(N22),ROUND(N22/(MIN(F22,I22)*H22/F22)*100,2),"")</f>
        <v/>
      </c>
    </row>
    <row r="23" ht="22" customHeight="1">
      <c r="B23" s="238" t="n"/>
      <c r="C23" s="237" t="n"/>
      <c r="D23" s="238" t="n"/>
      <c r="E23" s="239" t="n"/>
      <c r="F23" s="240" t="n"/>
      <c r="G23" s="177" t="n"/>
      <c r="H23" s="241" t="n"/>
      <c r="I23" s="240" t="n"/>
      <c r="J23" s="177" t="n"/>
      <c r="K23" s="241" t="n"/>
      <c r="L23" s="240" t="str">
        <f>IF(COUNT(F23,I23)=0,"",N(F23)-N(I23))</f>
        <v/>
      </c>
      <c r="M23" s="241" t="str">
        <f>IF(COUNT(H23,K23)=0,"",N(K23)-N(H23))</f>
        <v/>
      </c>
      <c r="N23" s="240" t="str">
        <f>IF(AND(ISNUMBER(F23),ISNUMBER(I23),ISNUMBER(H23),ISNUMBER(K23),F23&gt;0,I23&gt;0,H23&lt;&gt;0),ROUND(MIN(F23,I23)*(K23/I23-H23/F23),8),"")</f>
        <v/>
      </c>
      <c r="O23" s="177" t="str">
        <f>IF(ISNUMBER(N23),ROUND(N23/(MIN(F23,I23)*H23/F23)*100,2),"")</f>
        <v/>
      </c>
    </row>
    <row r="24" ht="22" customHeight="1">
      <c r="B24" s="244" t="n"/>
      <c r="C24" s="243" t="n"/>
      <c r="D24" s="244" t="n"/>
      <c r="E24" s="245" t="n"/>
      <c r="F24" s="246" t="n"/>
      <c r="G24" s="183" t="n"/>
      <c r="H24" s="247" t="n"/>
      <c r="I24" s="246" t="n"/>
      <c r="J24" s="183" t="n"/>
      <c r="K24" s="247" t="n"/>
      <c r="L24" s="246" t="str">
        <f>IF(COUNT(F24,I24)=0,"",N(F24)-N(I24))</f>
        <v/>
      </c>
      <c r="M24" s="247" t="str">
        <f>IF(COUNT(H24,K24)=0,"",N(K24)-N(H24))</f>
        <v/>
      </c>
      <c r="N24" s="246" t="str">
        <f>IF(AND(ISNUMBER(F24),ISNUMBER(I24),ISNUMBER(H24),ISNUMBER(K24),F24&gt;0,I24&gt;0,H24&lt;&gt;0),ROUND(MIN(F24,I24)*(K24/I24-H24/F24),8),"")</f>
        <v/>
      </c>
      <c r="O24" s="183" t="str">
        <f>IF(ISNUMBER(N24),ROUND(N24/(MIN(F24,I24)*H24/F24)*100,2),"")</f>
        <v/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41" t="n"/>
      <c r="I25" s="240" t="n"/>
      <c r="J25" s="177" t="n"/>
      <c r="K25" s="241" t="n"/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IF(AND(ISNUMBER(F25),ISNUMBER(I25),ISNUMBER(H25),ISNUMBER(K25),F25&gt;0,I25&gt;0,H25&lt;&gt;0),ROUND(MIN(F25,I25)*(K25/I25-H25/F25),8),"")</f>
        <v/>
      </c>
      <c r="O25" s="177" t="str">
        <f>IF(ISNUMBER(N25),ROUND(N25/(MIN(F25,I25)*H25/F25)*100,2),"")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47" t="n"/>
      <c r="I26" s="246" t="n"/>
      <c r="J26" s="183" t="n"/>
      <c r="K26" s="247" t="n"/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IF(AND(ISNUMBER(F26),ISNUMBER(I26),ISNUMBER(H26),ISNUMBER(K26),F26&gt;0,I26&gt;0,H26&lt;&gt;0),ROUND(MIN(F26,I26)*(K26/I26-H26/F26),8),"")</f>
        <v/>
      </c>
      <c r="O26" s="183" t="str">
        <f>IF(ISNUMBER(N26),ROUND(N26/(MIN(F26,I26)*H26/F26)*100,2),"")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41" t="n"/>
      <c r="I27" s="240" t="n"/>
      <c r="J27" s="177" t="n"/>
      <c r="K27" s="241" t="n"/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IF(AND(ISNUMBER(F27),ISNUMBER(I27),ISNUMBER(H27),ISNUMBER(K27),F27&gt;0,I27&gt;0,H27&lt;&gt;0),ROUND(MIN(F27,I27)*(K27/I27-H27/F27),8),"")</f>
        <v/>
      </c>
      <c r="O27" s="177" t="str">
        <f>IF(ISNUMBER(N27),ROUND(N27/(MIN(F27,I27)*H27/F27)*100,2),"")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47" t="n"/>
      <c r="I28" s="246" t="n"/>
      <c r="J28" s="183" t="n"/>
      <c r="K28" s="247" t="n"/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IF(AND(ISNUMBER(F28),ISNUMBER(I28),ISNUMBER(H28),ISNUMBER(K28),F28&gt;0,I28&gt;0,H28&lt;&gt;0),ROUND(MIN(F28,I28)*(K28/I28-H28/F28),8),"")</f>
        <v/>
      </c>
      <c r="O28" s="183" t="str">
        <f>IF(ISNUMBER(N28),ROUND(N28/(MIN(F28,I28)*H28/F28)*100,2),"")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41" t="n"/>
      <c r="I29" s="240" t="n"/>
      <c r="J29" s="177" t="n"/>
      <c r="K29" s="241" t="n"/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IF(AND(ISNUMBER(F29),ISNUMBER(I29),ISNUMBER(H29),ISNUMBER(K29),F29&gt;0,I29&gt;0,H29&lt;&gt;0),ROUND(MIN(F29,I29)*(K29/I29-H29/F29),8),"")</f>
        <v/>
      </c>
      <c r="O29" s="177" t="str">
        <f>IF(ISNUMBER(N29),ROUND(N29/(MIN(F29,I29)*H29/F29)*100,2),"")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47" t="n"/>
      <c r="I30" s="246" t="n"/>
      <c r="J30" s="183" t="n"/>
      <c r="K30" s="247" t="n"/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IF(AND(ISNUMBER(F30),ISNUMBER(I30),ISNUMBER(H30),ISNUMBER(K30),F30&gt;0,I30&gt;0,H30&lt;&gt;0),ROUND(MIN(F30,I30)*(K30/I30-H30/F30),8),"")</f>
        <v/>
      </c>
      <c r="O30" s="183" t="str">
        <f>IF(ISNUMBER(N30),ROUND(N30/(MIN(F30,I30)*H30/F30)*100,2),"")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41" t="n"/>
      <c r="I31" s="240" t="n"/>
      <c r="J31" s="177" t="n"/>
      <c r="K31" s="241" t="n"/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IF(AND(ISNUMBER(F31),ISNUMBER(I31),ISNUMBER(H31),ISNUMBER(K31),F31&gt;0,I31&gt;0,H31&lt;&gt;0),ROUND(MIN(F31,I31)*(K31/I31-H31/F31),8),"")</f>
        <v/>
      </c>
      <c r="O31" s="177" t="str">
        <f>IF(ISNUMBER(N31),ROUND(N31/(MIN(F31,I31)*H31/F31)*100,2),"")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47" t="n"/>
      <c r="I32" s="246" t="n"/>
      <c r="J32" s="183" t="n"/>
      <c r="K32" s="247" t="n"/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IF(AND(ISNUMBER(F32),ISNUMBER(I32),ISNUMBER(H32),ISNUMBER(K32),F32&gt;0,I32&gt;0,H32&lt;&gt;0),ROUND(MIN(F32,I32)*(K32/I32-H32/F32),8),"")</f>
        <v/>
      </c>
      <c r="O32" s="183" t="str">
        <f>IF(ISNUMBER(N32),ROUND(N32/(MIN(F32,I32)*H32/F32)*100,2),"")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41" t="n"/>
      <c r="I33" s="240" t="n"/>
      <c r="J33" s="177" t="n"/>
      <c r="K33" s="241" t="n"/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IF(AND(ISNUMBER(F33),ISNUMBER(I33),ISNUMBER(H33),ISNUMBER(K33),F33&gt;0,I33&gt;0,H33&lt;&gt;0),ROUND(MIN(F33,I33)*(K33/I33-H33/F33),8),"")</f>
        <v/>
      </c>
      <c r="O33" s="177" t="str">
        <f>IF(ISNUMBER(N33),ROUND(N33/(MIN(F33,I33)*H33/F33)*100,2),"")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47" t="n"/>
      <c r="I34" s="246" t="n"/>
      <c r="J34" s="183" t="n"/>
      <c r="K34" s="247" t="n"/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IF(AND(ISNUMBER(F34),ISNUMBER(I34),ISNUMBER(H34),ISNUMBER(K34),F34&gt;0,I34&gt;0,H34&lt;&gt;0),ROUND(MIN(F34,I34)*(K34/I34-H34/F34),8),"")</f>
        <v/>
      </c>
      <c r="O34" s="183" t="str">
        <f>IF(ISNUMBER(N34),ROUND(N34/(MIN(F34,I34)*H34/F34)*100,2),"")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41" t="n"/>
      <c r="I35" s="240" t="n"/>
      <c r="J35" s="177" t="n"/>
      <c r="K35" s="241" t="n"/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IF(AND(ISNUMBER(F35),ISNUMBER(I35),ISNUMBER(H35),ISNUMBER(K35),F35&gt;0,I35&gt;0,H35&lt;&gt;0),ROUND(MIN(F35,I35)*(K35/I35-H35/F35),8),"")</f>
        <v/>
      </c>
      <c r="O35" s="177" t="str">
        <f>IF(ISNUMBER(N35),ROUND(N35/(MIN(F35,I35)*H35/F35)*100,2),"")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47" t="n"/>
      <c r="I36" s="246" t="n"/>
      <c r="J36" s="183" t="n"/>
      <c r="K36" s="247" t="n"/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IF(AND(ISNUMBER(F36),ISNUMBER(I36),ISNUMBER(H36),ISNUMBER(K36),F36&gt;0,I36&gt;0,H36&lt;&gt;0),ROUND(MIN(F36,I36)*(K36/I36-H36/F36),8),"")</f>
        <v/>
      </c>
      <c r="O36" s="183" t="str">
        <f>IF(ISNUMBER(N36),ROUND(N36/(MIN(F36,I36)*H36/F36)*100,2),"")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41" t="n"/>
      <c r="I37" s="240" t="n"/>
      <c r="J37" s="177" t="n"/>
      <c r="K37" s="241" t="n"/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IF(AND(ISNUMBER(F37),ISNUMBER(I37),ISNUMBER(H37),ISNUMBER(K37),F37&gt;0,I37&gt;0,H37&lt;&gt;0),ROUND(MIN(F37,I37)*(K37/I37-H37/F37),8),"")</f>
        <v/>
      </c>
      <c r="O37" s="177" t="str">
        <f>IF(ISNUMBER(N37),ROUND(N37/(MIN(F37,I37)*H37/F37)*100,2),"")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47" t="n"/>
      <c r="I38" s="246" t="n"/>
      <c r="J38" s="183" t="n"/>
      <c r="K38" s="247" t="n"/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IF(AND(ISNUMBER(F38),ISNUMBER(I38),ISNUMBER(H38),ISNUMBER(K38),F38&gt;0,I38&gt;0,H38&lt;&gt;0),ROUND(MIN(F38,I38)*(K38/I38-H38/F38),8),"")</f>
        <v/>
      </c>
      <c r="O38" s="183" t="str">
        <f>IF(ISNUMBER(N38),ROUND(N38/(MIN(F38,I38)*H38/F38)*100,2),"")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41" t="n"/>
      <c r="I39" s="240" t="n"/>
      <c r="J39" s="177" t="n"/>
      <c r="K39" s="241" t="n"/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IF(AND(ISNUMBER(F39),ISNUMBER(I39),ISNUMBER(H39),ISNUMBER(K39),F39&gt;0,I39&gt;0,H39&lt;&gt;0),ROUND(MIN(F39,I39)*(K39/I39-H39/F39),8),"")</f>
        <v/>
      </c>
      <c r="O39" s="177" t="str">
        <f>IF(ISNUMBER(N39),ROUND(N39/(MIN(F39,I39)*H39/F39)*100,2),"")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47" t="n"/>
      <c r="I40" s="246" t="n"/>
      <c r="J40" s="183" t="n"/>
      <c r="K40" s="247" t="n"/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IF(AND(ISNUMBER(F40),ISNUMBER(I40),ISNUMBER(H40),ISNUMBER(K40),F40&gt;0,I40&gt;0,H40&lt;&gt;0),ROUND(MIN(F40,I40)*(K40/I40-H40/F40),8),"")</f>
        <v/>
      </c>
      <c r="O40" s="183" t="str">
        <f>IF(ISNUMBER(N40),ROUND(N40/(MIN(F40,I40)*H40/F40)*100,2),"")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41" t="n"/>
      <c r="I41" s="240" t="n"/>
      <c r="J41" s="177" t="n"/>
      <c r="K41" s="241" t="n"/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IF(AND(ISNUMBER(F41),ISNUMBER(I41),ISNUMBER(H41),ISNUMBER(K41),F41&gt;0,I41&gt;0,H41&lt;&gt;0),ROUND(MIN(F41,I41)*(K41/I41-H41/F41),8),"")</f>
        <v/>
      </c>
      <c r="O41" s="177" t="str">
        <f>IF(ISNUMBER(N41),ROUND(N41/(MIN(F41,I41)*H41/F41)*100,2),"")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47" t="n"/>
      <c r="I42" s="246" t="n"/>
      <c r="J42" s="183" t="n"/>
      <c r="K42" s="247" t="n"/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IF(AND(ISNUMBER(F42),ISNUMBER(I42),ISNUMBER(H42),ISNUMBER(K42),F42&gt;0,I42&gt;0,H42&lt;&gt;0),ROUND(MIN(F42,I42)*(K42/I42-H42/F42),8),"")</f>
        <v/>
      </c>
      <c r="O42" s="183" t="str">
        <f>IF(ISNUMBER(N42),ROUND(N42/(MIN(F42,I42)*H42/F42)*100,2),"")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41" t="n"/>
      <c r="I43" s="240" t="n"/>
      <c r="J43" s="177" t="n"/>
      <c r="K43" s="241" t="n"/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IF(AND(ISNUMBER(F43),ISNUMBER(I43),ISNUMBER(H43),ISNUMBER(K43),F43&gt;0,I43&gt;0,H43&lt;&gt;0),ROUND(MIN(F43,I43)*(K43/I43-H43/F43),8),"")</f>
        <v/>
      </c>
      <c r="O43" s="177" t="str">
        <f>IF(ISNUMBER(N43),ROUND(N43/(MIN(F43,I43)*H43/F43)*100,2),"")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47" t="n"/>
      <c r="I44" s="246" t="n"/>
      <c r="J44" s="183" t="n"/>
      <c r="K44" s="247" t="n"/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IF(AND(ISNUMBER(F44),ISNUMBER(I44),ISNUMBER(H44),ISNUMBER(K44),F44&gt;0,I44&gt;0,H44&lt;&gt;0),ROUND(MIN(F44,I44)*(K44/I44-H44/F44),8),"")</f>
        <v/>
      </c>
      <c r="O44" s="183" t="str">
        <f>IF(ISNUMBER(N44),ROUND(N44/(MIN(F44,I44)*H44/F44)*100,2),"")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41" t="n"/>
      <c r="I45" s="240" t="n"/>
      <c r="J45" s="177" t="n"/>
      <c r="K45" s="241" t="n"/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IF(AND(ISNUMBER(F45),ISNUMBER(I45),ISNUMBER(H45),ISNUMBER(K45),F45&gt;0,I45&gt;0,H45&lt;&gt;0),ROUND(MIN(F45,I45)*(K45/I45-H45/F45),8),"")</f>
        <v/>
      </c>
      <c r="O45" s="177" t="str">
        <f>IF(ISNUMBER(N45),ROUND(N45/(MIN(F45,I45)*H45/F45)*100,2),"")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47" t="n"/>
      <c r="I46" s="246" t="n"/>
      <c r="J46" s="183" t="n"/>
      <c r="K46" s="247" t="n"/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IF(AND(ISNUMBER(F46),ISNUMBER(I46),ISNUMBER(H46),ISNUMBER(K46),F46&gt;0,I46&gt;0,H46&lt;&gt;0),ROUND(MIN(F46,I46)*(K46/I46-H46/F46),8),"")</f>
        <v/>
      </c>
      <c r="O46" s="183" t="str">
        <f>IF(ISNUMBER(N46),ROUND(N46/(MIN(F46,I46)*H46/F46)*100,2),"")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41" t="n"/>
      <c r="I47" s="240" t="n"/>
      <c r="J47" s="177" t="n"/>
      <c r="K47" s="241" t="n"/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IF(AND(ISNUMBER(F47),ISNUMBER(I47),ISNUMBER(H47),ISNUMBER(K47),F47&gt;0,I47&gt;0,H47&lt;&gt;0),ROUND(MIN(F47,I47)*(K47/I47-H47/F47),8),"")</f>
        <v/>
      </c>
      <c r="O47" s="177" t="str">
        <f>IF(ISNUMBER(N47),ROUND(N47/(MIN(F47,I47)*H47/F47)*100,2),"")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47" t="n"/>
      <c r="I48" s="246" t="n"/>
      <c r="J48" s="183" t="n"/>
      <c r="K48" s="247" t="n"/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IF(AND(ISNUMBER(F48),ISNUMBER(I48),ISNUMBER(H48),ISNUMBER(K48),F48&gt;0,I48&gt;0,H48&lt;&gt;0),ROUND(MIN(F48,I48)*(K48/I48-H48/F48),8),"")</f>
        <v/>
      </c>
      <c r="O48" s="183" t="str">
        <f>IF(ISNUMBER(N48),ROUND(N48/(MIN(F48,I48)*H48/F48)*100,2),"")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41" t="n"/>
      <c r="I49" s="240" t="n"/>
      <c r="J49" s="177" t="n"/>
      <c r="K49" s="241" t="n"/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IF(AND(ISNUMBER(F49),ISNUMBER(I49),ISNUMBER(H49),ISNUMBER(K49),F49&gt;0,I49&gt;0,H49&lt;&gt;0),ROUND(MIN(F49,I49)*(K49/I49-H49/F49),8),"")</f>
        <v/>
      </c>
      <c r="O49" s="177" t="str">
        <f>IF(ISNUMBER(N49),ROUND(N49/(MIN(F49,I49)*H49/F49)*100,2),"")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47" t="n"/>
      <c r="I50" s="246" t="n"/>
      <c r="J50" s="183" t="n"/>
      <c r="K50" s="247" t="n"/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IF(AND(ISNUMBER(F50),ISNUMBER(I50),ISNUMBER(H50),ISNUMBER(K50),F50&gt;0,I50&gt;0,H50&lt;&gt;0),ROUND(MIN(F50,I50)*(K50/I50-H50/F50),8),"")</f>
        <v/>
      </c>
      <c r="O50" s="183" t="str">
        <f>IF(ISNUMBER(N50),ROUND(N50/(MIN(F50,I50)*H50/F50)*100,2),"")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41" t="n"/>
      <c r="I51" s="240" t="n"/>
      <c r="J51" s="177" t="n"/>
      <c r="K51" s="241" t="n"/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IF(AND(ISNUMBER(F51),ISNUMBER(I51),ISNUMBER(H51),ISNUMBER(K51),F51&gt;0,I51&gt;0,H51&lt;&gt;0),ROUND(MIN(F51,I51)*(K51/I51-H51/F51),8),"")</f>
        <v/>
      </c>
      <c r="O51" s="177" t="str">
        <f>IF(ISNUMBER(N51),ROUND(N51/(MIN(F51,I51)*H51/F51)*100,2),"")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47" t="n"/>
      <c r="I52" s="246" t="n"/>
      <c r="J52" s="183" t="n"/>
      <c r="K52" s="247" t="n"/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IF(AND(ISNUMBER(F52),ISNUMBER(I52),ISNUMBER(H52),ISNUMBER(K52),F52&gt;0,I52&gt;0,H52&lt;&gt;0),ROUND(MIN(F52,I52)*(K52/I52-H52/F52),8),"")</f>
        <v/>
      </c>
      <c r="O52" s="183" t="str">
        <f>IF(ISNUMBER(N52),ROUND(N52/(MIN(F52,I52)*H52/F52)*100,2),"")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41" t="n"/>
      <c r="I53" s="240" t="n"/>
      <c r="J53" s="177" t="n"/>
      <c r="K53" s="241" t="n"/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IF(AND(ISNUMBER(F53),ISNUMBER(I53),ISNUMBER(H53),ISNUMBER(K53),F53&gt;0,I53&gt;0,H53&lt;&gt;0),ROUND(MIN(F53,I53)*(K53/I53-H53/F53),8),"")</f>
        <v/>
      </c>
      <c r="O53" s="177" t="str">
        <f>IF(ISNUMBER(N53),ROUND(N53/(MIN(F53,I53)*H53/F53)*100,2),"")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47" t="n"/>
      <c r="I54" s="246" t="n"/>
      <c r="J54" s="183" t="n"/>
      <c r="K54" s="247" t="n"/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IF(AND(ISNUMBER(F54),ISNUMBER(I54),ISNUMBER(H54),ISNUMBER(K54),F54&gt;0,I54&gt;0,H54&lt;&gt;0),ROUND(MIN(F54,I54)*(K54/I54-H54/F54),8),"")</f>
        <v/>
      </c>
      <c r="O54" s="183" t="str">
        <f>IF(ISNUMBER(N54),ROUND(N54/(MIN(F54,I54)*H54/F54)*100,2),"")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41" t="n"/>
      <c r="I55" s="240" t="n"/>
      <c r="J55" s="177" t="n"/>
      <c r="K55" s="241" t="n"/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IF(AND(ISNUMBER(F55),ISNUMBER(I55),ISNUMBER(H55),ISNUMBER(K55),F55&gt;0,I55&gt;0,H55&lt;&gt;0),ROUND(MIN(F55,I55)*(K55/I55-H55/F55),8),"")</f>
        <v/>
      </c>
      <c r="O55" s="177" t="str">
        <f>IF(ISNUMBER(N55),ROUND(N55/(MIN(F55,I55)*H55/F55)*100,2),"")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47" t="n"/>
      <c r="I56" s="246" t="n"/>
      <c r="J56" s="183" t="n"/>
      <c r="K56" s="247" t="n"/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IF(AND(ISNUMBER(F56),ISNUMBER(I56),ISNUMBER(H56),ISNUMBER(K56),F56&gt;0,I56&gt;0,H56&lt;&gt;0),ROUND(MIN(F56,I56)*(K56/I56-H56/F56),8),"")</f>
        <v/>
      </c>
      <c r="O56" s="183" t="str">
        <f>IF(ISNUMBER(N56),ROUND(N56/(MIN(F56,I56)*H56/F56)*100,2),"")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41" t="n"/>
      <c r="I57" s="240" t="n"/>
      <c r="J57" s="177" t="n"/>
      <c r="K57" s="241" t="n"/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IF(AND(ISNUMBER(F57),ISNUMBER(I57),ISNUMBER(H57),ISNUMBER(K57),F57&gt;0,I57&gt;0,H57&lt;&gt;0),ROUND(MIN(F57,I57)*(K57/I57-H57/F57),8),"")</f>
        <v/>
      </c>
      <c r="O57" s="177" t="str">
        <f>IF(ISNUMBER(N57),ROUND(N57/(MIN(F57,I57)*H57/F57)*100,2),"")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47" t="n"/>
      <c r="I58" s="246" t="n"/>
      <c r="J58" s="183" t="n"/>
      <c r="K58" s="247" t="n"/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IF(AND(ISNUMBER(F58),ISNUMBER(I58),ISNUMBER(H58),ISNUMBER(K58),F58&gt;0,I58&gt;0,H58&lt;&gt;0),ROUND(MIN(F58,I58)*(K58/I58-H58/F58),8),"")</f>
        <v/>
      </c>
      <c r="O58" s="183" t="str">
        <f>IF(ISNUMBER(N58),ROUND(N58/(MIN(F58,I58)*H58/F58)*100,2),"")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41" t="n"/>
      <c r="I59" s="240" t="n"/>
      <c r="J59" s="177" t="n"/>
      <c r="K59" s="241" t="n"/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IF(AND(ISNUMBER(F59),ISNUMBER(I59),ISNUMBER(H59),ISNUMBER(K59),F59&gt;0,I59&gt;0,H59&lt;&gt;0),ROUND(MIN(F59,I59)*(K59/I59-H59/F59),8),"")</f>
        <v/>
      </c>
      <c r="O59" s="177" t="str">
        <f>IF(ISNUMBER(N59),ROUND(N59/(MIN(F59,I59)*H59/F59)*100,2),"")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47" t="n"/>
      <c r="I60" s="246" t="n"/>
      <c r="J60" s="183" t="n"/>
      <c r="K60" s="247" t="n"/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IF(AND(ISNUMBER(F60),ISNUMBER(I60),ISNUMBER(H60),ISNUMBER(K60),F60&gt;0,I60&gt;0,H60&lt;&gt;0),ROUND(MIN(F60,I60)*(K60/I60-H60/F60),8),"")</f>
        <v/>
      </c>
      <c r="O60" s="183" t="str">
        <f>IF(ISNUMBER(N60),ROUND(N60/(MIN(F60,I60)*H60/F60)*100,2),"")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41" t="n"/>
      <c r="I61" s="240" t="n"/>
      <c r="J61" s="177" t="n"/>
      <c r="K61" s="241" t="n"/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IF(AND(ISNUMBER(F61),ISNUMBER(I61),ISNUMBER(H61),ISNUMBER(K61),F61&gt;0,I61&gt;0,H61&lt;&gt;0),ROUND(MIN(F61,I61)*(K61/I61-H61/F61),8),"")</f>
        <v/>
      </c>
      <c r="O61" s="177" t="str">
        <f>IF(ISNUMBER(N61),ROUND(N61/(MIN(F61,I61)*H61/F61)*100,2),"")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47" t="n"/>
      <c r="I62" s="246" t="n"/>
      <c r="J62" s="183" t="n"/>
      <c r="K62" s="247" t="n"/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IF(AND(ISNUMBER(F62),ISNUMBER(I62),ISNUMBER(H62),ISNUMBER(K62),F62&gt;0,I62&gt;0,H62&lt;&gt;0),ROUND(MIN(F62,I62)*(K62/I62-H62/F62),8),"")</f>
        <v/>
      </c>
      <c r="O62" s="183" t="str">
        <f>IF(ISNUMBER(N62),ROUND(N62/(MIN(F62,I62)*H62/F62)*100,2),"")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41" t="n"/>
      <c r="I63" s="240" t="n"/>
      <c r="J63" s="177" t="n"/>
      <c r="K63" s="241" t="n"/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IF(AND(ISNUMBER(F63),ISNUMBER(I63),ISNUMBER(H63),ISNUMBER(K63),F63&gt;0,I63&gt;0,H63&lt;&gt;0),ROUND(MIN(F63,I63)*(K63/I63-H63/F63),8),"")</f>
        <v/>
      </c>
      <c r="O63" s="177" t="str">
        <f>IF(ISNUMBER(N63),ROUND(N63/(MIN(F63,I63)*H63/F63)*100,2),"")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47" t="n"/>
      <c r="I64" s="246" t="n"/>
      <c r="J64" s="183" t="n"/>
      <c r="K64" s="247" t="n"/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IF(AND(ISNUMBER(F64),ISNUMBER(I64),ISNUMBER(H64),ISNUMBER(K64),F64&gt;0,I64&gt;0,H64&lt;&gt;0),ROUND(MIN(F64,I64)*(K64/I64-H64/F64),8),"")</f>
        <v/>
      </c>
      <c r="O64" s="183" t="str">
        <f>IF(ISNUMBER(N64),ROUND(N64/(MIN(F64,I64)*H64/F64)*100,2),"")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41" t="n"/>
      <c r="I65" s="240" t="n"/>
      <c r="J65" s="177" t="n"/>
      <c r="K65" s="241" t="n"/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IF(AND(ISNUMBER(F65),ISNUMBER(I65),ISNUMBER(H65),ISNUMBER(K65),F65&gt;0,I65&gt;0,H65&lt;&gt;0),ROUND(MIN(F65,I65)*(K65/I65-H65/F65),8),"")</f>
        <v/>
      </c>
      <c r="O65" s="177" t="str">
        <f>IF(ISNUMBER(N65),ROUND(N65/(MIN(F65,I65)*H65/F65)*100,2),"")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47" t="n"/>
      <c r="I66" s="246" t="n"/>
      <c r="J66" s="183" t="n"/>
      <c r="K66" s="247" t="n"/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IF(AND(ISNUMBER(F66),ISNUMBER(I66),ISNUMBER(H66),ISNUMBER(K66),F66&gt;0,I66&gt;0,H66&lt;&gt;0),ROUND(MIN(F66,I66)*(K66/I66-H66/F66),8),"")</f>
        <v/>
      </c>
      <c r="O66" s="183" t="str">
        <f>IF(ISNUMBER(N66),ROUND(N66/(MIN(F66,I66)*H66/F66)*100,2),"")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41" t="n"/>
      <c r="I67" s="240" t="n"/>
      <c r="J67" s="177" t="n"/>
      <c r="K67" s="241" t="n"/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IF(AND(ISNUMBER(F67),ISNUMBER(I67),ISNUMBER(H67),ISNUMBER(K67),F67&gt;0,I67&gt;0,H67&lt;&gt;0),ROUND(MIN(F67,I67)*(K67/I67-H67/F67),8),"")</f>
        <v/>
      </c>
      <c r="O67" s="177" t="str">
        <f>IF(ISNUMBER(N67),ROUND(N67/(MIN(F67,I67)*H67/F67)*100,2),"")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47" t="n"/>
      <c r="I68" s="246" t="n"/>
      <c r="J68" s="183" t="n"/>
      <c r="K68" s="247" t="n"/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IF(AND(ISNUMBER(F68),ISNUMBER(I68),ISNUMBER(H68),ISNUMBER(K68),F68&gt;0,I68&gt;0,H68&lt;&gt;0),ROUND(MIN(F68,I68)*(K68/I68-H68/F68),8),"")</f>
        <v/>
      </c>
      <c r="O68" s="183" t="str">
        <f>IF(ISNUMBER(N68),ROUND(N68/(MIN(F68,I68)*H68/F68)*100,2),"")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41" t="n"/>
      <c r="I69" s="240" t="n"/>
      <c r="J69" s="177" t="n"/>
      <c r="K69" s="241" t="n"/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IF(AND(ISNUMBER(F69),ISNUMBER(I69),ISNUMBER(H69),ISNUMBER(K69),F69&gt;0,I69&gt;0,H69&lt;&gt;0),ROUND(MIN(F69,I69)*(K69/I69-H69/F69),8),"")</f>
        <v/>
      </c>
      <c r="O69" s="177" t="str">
        <f>IF(ISNUMBER(N69),ROUND(N69/(MIN(F69,I69)*H69/F69)*100,2),"")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47" t="n"/>
      <c r="I70" s="246" t="n"/>
      <c r="J70" s="183" t="n"/>
      <c r="K70" s="247" t="n"/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IF(AND(ISNUMBER(F70),ISNUMBER(I70),ISNUMBER(H70),ISNUMBER(K70),F70&gt;0,I70&gt;0,H70&lt;&gt;0),ROUND(MIN(F70,I70)*(K70/I70-H70/F70),8),"")</f>
        <v/>
      </c>
      <c r="O70" s="183" t="str">
        <f>IF(ISNUMBER(N70),ROUND(N70/(MIN(F70,I70)*H70/F70)*100,2),"")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41" t="n"/>
      <c r="I71" s="240" t="n"/>
      <c r="J71" s="177" t="n"/>
      <c r="K71" s="241" t="n"/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IF(AND(ISNUMBER(F71),ISNUMBER(I71),ISNUMBER(H71),ISNUMBER(K71),F71&gt;0,I71&gt;0,H71&lt;&gt;0),ROUND(MIN(F71,I71)*(K71/I71-H71/F71),8),"")</f>
        <v/>
      </c>
      <c r="O71" s="177" t="str">
        <f>IF(ISNUMBER(N71),ROUND(N71/(MIN(F71,I71)*H71/F71)*100,2),"")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47" t="n"/>
      <c r="I72" s="246" t="n"/>
      <c r="J72" s="183" t="n"/>
      <c r="K72" s="247" t="n"/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IF(AND(ISNUMBER(F72),ISNUMBER(I72),ISNUMBER(H72),ISNUMBER(K72),F72&gt;0,I72&gt;0,H72&lt;&gt;0),ROUND(MIN(F72,I72)*(K72/I72-H72/F72),8),"")</f>
        <v/>
      </c>
      <c r="O72" s="183" t="str">
        <f>IF(ISNUMBER(N72),ROUND(N72/(MIN(F72,I72)*H72/F72)*100,2),"")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41" t="n"/>
      <c r="I73" s="240" t="n"/>
      <c r="J73" s="177" t="n"/>
      <c r="K73" s="241" t="n"/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IF(AND(ISNUMBER(F73),ISNUMBER(I73),ISNUMBER(H73),ISNUMBER(K73),F73&gt;0,I73&gt;0,H73&lt;&gt;0),ROUND(MIN(F73,I73)*(K73/I73-H73/F73),8),"")</f>
        <v/>
      </c>
      <c r="O73" s="177" t="str">
        <f>IF(ISNUMBER(N73),ROUND(N73/(MIN(F73,I73)*H73/F73)*100,2),"")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47" t="n"/>
      <c r="I74" s="246" t="n"/>
      <c r="J74" s="183" t="n"/>
      <c r="K74" s="247" t="n"/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IF(AND(ISNUMBER(F74),ISNUMBER(I74),ISNUMBER(H74),ISNUMBER(K74),F74&gt;0,I74&gt;0,H74&lt;&gt;0),ROUND(MIN(F74,I74)*(K74/I74-H74/F74),8),"")</f>
        <v/>
      </c>
      <c r="O74" s="183" t="str">
        <f>IF(ISNUMBER(N74),ROUND(N74/(MIN(F74,I74)*H74/F74)*100,2),"")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41" t="n"/>
      <c r="I75" s="240" t="n"/>
      <c r="J75" s="177" t="n"/>
      <c r="K75" s="241" t="n"/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IF(AND(ISNUMBER(F75),ISNUMBER(I75),ISNUMBER(H75),ISNUMBER(K75),F75&gt;0,I75&gt;0,H75&lt;&gt;0),ROUND(MIN(F75,I75)*(K75/I75-H75/F75),8),"")</f>
        <v/>
      </c>
      <c r="O75" s="177" t="str">
        <f>IF(ISNUMBER(N75),ROUND(N75/(MIN(F75,I75)*H75/F75)*100,2),"")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47" t="n"/>
      <c r="I76" s="246" t="n"/>
      <c r="J76" s="183" t="n"/>
      <c r="K76" s="247" t="n"/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IF(AND(ISNUMBER(F76),ISNUMBER(I76),ISNUMBER(H76),ISNUMBER(K76),F76&gt;0,I76&gt;0,H76&lt;&gt;0),ROUND(MIN(F76,I76)*(K76/I76-H76/F76),8),"")</f>
        <v/>
      </c>
      <c r="O76" s="183" t="str">
        <f>IF(ISNUMBER(N76),ROUND(N76/(MIN(F76,I76)*H76/F76)*100,2),"")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41" t="n"/>
      <c r="I77" s="240" t="n"/>
      <c r="J77" s="177" t="n"/>
      <c r="K77" s="241" t="n"/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IF(AND(ISNUMBER(F77),ISNUMBER(I77),ISNUMBER(H77),ISNUMBER(K77),F77&gt;0,I77&gt;0,H77&lt;&gt;0),ROUND(MIN(F77,I77)*(K77/I77-H77/F77),8),"")</f>
        <v/>
      </c>
      <c r="O77" s="177" t="str">
        <f>IF(ISNUMBER(N77),ROUND(N77/(MIN(F77,I77)*H77/F77)*100,2),"")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47" t="n"/>
      <c r="I78" s="246" t="n"/>
      <c r="J78" s="183" t="n"/>
      <c r="K78" s="247" t="n"/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IF(AND(ISNUMBER(F78),ISNUMBER(I78),ISNUMBER(H78),ISNUMBER(K78),F78&gt;0,I78&gt;0,H78&lt;&gt;0),ROUND(MIN(F78,I78)*(K78/I78-H78/F78),8),"")</f>
        <v/>
      </c>
      <c r="O78" s="183" t="str">
        <f>IF(ISNUMBER(N78),ROUND(N78/(MIN(F78,I78)*H78/F78)*100,2),"")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41" t="n"/>
      <c r="I79" s="240" t="n"/>
      <c r="J79" s="177" t="n"/>
      <c r="K79" s="241" t="n"/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IF(AND(ISNUMBER(F79),ISNUMBER(I79),ISNUMBER(H79),ISNUMBER(K79),F79&gt;0,I79&gt;0,H79&lt;&gt;0),ROUND(MIN(F79,I79)*(K79/I79-H79/F79),8),"")</f>
        <v/>
      </c>
      <c r="O79" s="177" t="str">
        <f>IF(ISNUMBER(N79),ROUND(N79/(MIN(F79,I79)*H79/F79)*100,2),"")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47" t="n"/>
      <c r="I80" s="246" t="n"/>
      <c r="J80" s="183" t="n"/>
      <c r="K80" s="247" t="n"/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IF(AND(ISNUMBER(F80),ISNUMBER(I80),ISNUMBER(H80),ISNUMBER(K80),F80&gt;0,I80&gt;0,H80&lt;&gt;0),ROUND(MIN(F80,I80)*(K80/I80-H80/F80),8),"")</f>
        <v/>
      </c>
      <c r="O80" s="183" t="str">
        <f>IF(ISNUMBER(N80),ROUND(N80/(MIN(F80,I80)*H80/F80)*100,2),"")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41" t="n"/>
      <c r="I81" s="240" t="n"/>
      <c r="J81" s="177" t="n"/>
      <c r="K81" s="241" t="n"/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IF(AND(ISNUMBER(F81),ISNUMBER(I81),ISNUMBER(H81),ISNUMBER(K81),F81&gt;0,I81&gt;0,H81&lt;&gt;0),ROUND(MIN(F81,I81)*(K81/I81-H81/F81),8),"")</f>
        <v/>
      </c>
      <c r="O81" s="177" t="str">
        <f>IF(ISNUMBER(N81),ROUND(N81/(MIN(F81,I81)*H81/F81)*100,2),"")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47" t="n"/>
      <c r="I82" s="246" t="n"/>
      <c r="J82" s="183" t="n"/>
      <c r="K82" s="247" t="n"/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IF(AND(ISNUMBER(F82),ISNUMBER(I82),ISNUMBER(H82),ISNUMBER(K82),F82&gt;0,I82&gt;0,H82&lt;&gt;0),ROUND(MIN(F82,I82)*(K82/I82-H82/F82),8),"")</f>
        <v/>
      </c>
      <c r="O82" s="183" t="str">
        <f>IF(ISNUMBER(N82),ROUND(N82/(MIN(F82,I82)*H82/F82)*100,2),"")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41" t="n"/>
      <c r="I83" s="240" t="n"/>
      <c r="J83" s="177" t="n"/>
      <c r="K83" s="241" t="n"/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IF(AND(ISNUMBER(F83),ISNUMBER(I83),ISNUMBER(H83),ISNUMBER(K83),F83&gt;0,I83&gt;0,H83&lt;&gt;0),ROUND(MIN(F83,I83)*(K83/I83-H83/F83),8),"")</f>
        <v/>
      </c>
      <c r="O83" s="177" t="str">
        <f>IF(ISNUMBER(N83),ROUND(N83/(MIN(F83,I83)*H83/F83)*100,2),"")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47" t="n"/>
      <c r="I84" s="246" t="n"/>
      <c r="J84" s="183" t="n"/>
      <c r="K84" s="247" t="n"/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IF(AND(ISNUMBER(F84),ISNUMBER(I84),ISNUMBER(H84),ISNUMBER(K84),F84&gt;0,I84&gt;0,H84&lt;&gt;0),ROUND(MIN(F84,I84)*(K84/I84-H84/F84),8),"")</f>
        <v/>
      </c>
      <c r="O84" s="183" t="str">
        <f>IF(ISNUMBER(N84),ROUND(N84/(MIN(F84,I84)*H84/F84)*100,2),"")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41" t="n"/>
      <c r="I85" s="240" t="n"/>
      <c r="J85" s="177" t="n"/>
      <c r="K85" s="241" t="n"/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IF(AND(ISNUMBER(F85),ISNUMBER(I85),ISNUMBER(H85),ISNUMBER(K85),F85&gt;0,I85&gt;0,H85&lt;&gt;0),ROUND(MIN(F85,I85)*(K85/I85-H85/F85),8),"")</f>
        <v/>
      </c>
      <c r="O85" s="177" t="str">
        <f>IF(ISNUMBER(N85),ROUND(N85/(MIN(F85,I85)*H85/F85)*100,2),"")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47" t="n"/>
      <c r="I86" s="246" t="n"/>
      <c r="J86" s="183" t="n"/>
      <c r="K86" s="247" t="n"/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IF(AND(ISNUMBER(F86),ISNUMBER(I86),ISNUMBER(H86),ISNUMBER(K86),F86&gt;0,I86&gt;0,H86&lt;&gt;0),ROUND(MIN(F86,I86)*(K86/I86-H86/F86),8),"")</f>
        <v/>
      </c>
      <c r="O86" s="183" t="str">
        <f>IF(ISNUMBER(N86),ROUND(N86/(MIN(F86,I86)*H86/F86)*100,2),"")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41" t="n"/>
      <c r="I87" s="240" t="n"/>
      <c r="J87" s="177" t="n"/>
      <c r="K87" s="241" t="n"/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IF(AND(ISNUMBER(F87),ISNUMBER(I87),ISNUMBER(H87),ISNUMBER(K87),F87&gt;0,I87&gt;0,H87&lt;&gt;0),ROUND(MIN(F87,I87)*(K87/I87-H87/F87),8),"")</f>
        <v/>
      </c>
      <c r="O87" s="177" t="str">
        <f>IF(ISNUMBER(N87),ROUND(N87/(MIN(F87,I87)*H87/F87)*100,2),"")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47" t="n"/>
      <c r="I88" s="246" t="n"/>
      <c r="J88" s="183" t="n"/>
      <c r="K88" s="247" t="n"/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IF(AND(ISNUMBER(F88),ISNUMBER(I88),ISNUMBER(H88),ISNUMBER(K88),F88&gt;0,I88&gt;0,H88&lt;&gt;0),ROUND(MIN(F88,I88)*(K88/I88-H88/F88),8),"")</f>
        <v/>
      </c>
      <c r="O88" s="183" t="str">
        <f>IF(ISNUMBER(N88),ROUND(N88/(MIN(F88,I88)*H88/F88)*100,2),"")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41" t="n"/>
      <c r="I89" s="240" t="n"/>
      <c r="J89" s="177" t="n"/>
      <c r="K89" s="241" t="n"/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IF(AND(ISNUMBER(F89),ISNUMBER(I89),ISNUMBER(H89),ISNUMBER(K89),F89&gt;0,I89&gt;0,H89&lt;&gt;0),ROUND(MIN(F89,I89)*(K89/I89-H89/F89),8),"")</f>
        <v/>
      </c>
      <c r="O89" s="177" t="str">
        <f>IF(ISNUMBER(N89),ROUND(N89/(MIN(F89,I89)*H89/F89)*100,2),"")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47" t="n"/>
      <c r="I90" s="246" t="n"/>
      <c r="J90" s="183" t="n"/>
      <c r="K90" s="247" t="n"/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IF(AND(ISNUMBER(F90),ISNUMBER(I90),ISNUMBER(H90),ISNUMBER(K90),F90&gt;0,I90&gt;0,H90&lt;&gt;0),ROUND(MIN(F90,I90)*(K90/I90-H90/F90),8),"")</f>
        <v/>
      </c>
      <c r="O90" s="183" t="str">
        <f>IF(ISNUMBER(N90),ROUND(N90/(MIN(F90,I90)*H90/F90)*100,2),"")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41" t="n"/>
      <c r="I91" s="240" t="n"/>
      <c r="J91" s="177" t="n"/>
      <c r="K91" s="241" t="n"/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IF(AND(ISNUMBER(F91),ISNUMBER(I91),ISNUMBER(H91),ISNUMBER(K91),F91&gt;0,I91&gt;0,H91&lt;&gt;0),ROUND(MIN(F91,I91)*(K91/I91-H91/F91),8),"")</f>
        <v/>
      </c>
      <c r="O91" s="177" t="str">
        <f>IF(ISNUMBER(N91),ROUND(N91/(MIN(F91,I91)*H91/F91)*100,2),"")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47" t="n"/>
      <c r="I92" s="246" t="n"/>
      <c r="J92" s="183" t="n"/>
      <c r="K92" s="247" t="n"/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IF(AND(ISNUMBER(F92),ISNUMBER(I92),ISNUMBER(H92),ISNUMBER(K92),F92&gt;0,I92&gt;0,H92&lt;&gt;0),ROUND(MIN(F92,I92)*(K92/I92-H92/F92),8),"")</f>
        <v/>
      </c>
      <c r="O92" s="183" t="str">
        <f>IF(ISNUMBER(N92),ROUND(N92/(MIN(F92,I92)*H92/F92)*100,2),"")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41" t="n"/>
      <c r="I93" s="240" t="n"/>
      <c r="J93" s="177" t="n"/>
      <c r="K93" s="241" t="n"/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IF(AND(ISNUMBER(F93),ISNUMBER(I93),ISNUMBER(H93),ISNUMBER(K93),F93&gt;0,I93&gt;0,H93&lt;&gt;0),ROUND(MIN(F93,I93)*(K93/I93-H93/F93),8),"")</f>
        <v/>
      </c>
      <c r="O93" s="177" t="str">
        <f>IF(ISNUMBER(N93),ROUND(N93/(MIN(F93,I93)*H93/F93)*100,2),"")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47" t="n"/>
      <c r="I94" s="246" t="n"/>
      <c r="J94" s="183" t="n"/>
      <c r="K94" s="247" t="n"/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IF(AND(ISNUMBER(F94),ISNUMBER(I94),ISNUMBER(H94),ISNUMBER(K94),F94&gt;0,I94&gt;0,H94&lt;&gt;0),ROUND(MIN(F94,I94)*(K94/I94-H94/F94),8),"")</f>
        <v/>
      </c>
      <c r="O94" s="183" t="str">
        <f>IF(ISNUMBER(N94),ROUND(N94/(MIN(F94,I94)*H94/F94)*100,2),"")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41" t="n"/>
      <c r="I95" s="240" t="n"/>
      <c r="J95" s="177" t="n"/>
      <c r="K95" s="241" t="n"/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IF(AND(ISNUMBER(F95),ISNUMBER(I95),ISNUMBER(H95),ISNUMBER(K95),F95&gt;0,I95&gt;0,H95&lt;&gt;0),ROUND(MIN(F95,I95)*(K95/I95-H95/F95),8),"")</f>
        <v/>
      </c>
      <c r="O95" s="177" t="str">
        <f>IF(ISNUMBER(N95),ROUND(N95/(MIN(F95,I95)*H95/F95)*100,2),"")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47" t="n"/>
      <c r="I96" s="246" t="n"/>
      <c r="J96" s="183" t="n"/>
      <c r="K96" s="247" t="n"/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IF(AND(ISNUMBER(F96),ISNUMBER(I96),ISNUMBER(H96),ISNUMBER(K96),F96&gt;0,I96&gt;0,H96&lt;&gt;0),ROUND(MIN(F96,I96)*(K96/I96-H96/F96),8),"")</f>
        <v/>
      </c>
      <c r="O96" s="183" t="str">
        <f>IF(ISNUMBER(N96),ROUND(N96/(MIN(F96,I96)*H96/F96)*100,2),"")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41" t="n"/>
      <c r="I97" s="240" t="n"/>
      <c r="J97" s="177" t="n"/>
      <c r="K97" s="241" t="n"/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IF(AND(ISNUMBER(F97),ISNUMBER(I97),ISNUMBER(H97),ISNUMBER(K97),F97&gt;0,I97&gt;0,H97&lt;&gt;0),ROUND(MIN(F97,I97)*(K97/I97-H97/F97),8),"")</f>
        <v/>
      </c>
      <c r="O97" s="177" t="str">
        <f>IF(ISNUMBER(N97),ROUND(N97/(MIN(F97,I97)*H97/F97)*100,2),"")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47" t="n"/>
      <c r="I98" s="246" t="n"/>
      <c r="J98" s="183" t="n"/>
      <c r="K98" s="247" t="n"/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IF(AND(ISNUMBER(F98),ISNUMBER(I98),ISNUMBER(H98),ISNUMBER(K98),F98&gt;0,I98&gt;0,H98&lt;&gt;0),ROUND(MIN(F98,I98)*(K98/I98-H98/F98),8),"")</f>
        <v/>
      </c>
      <c r="O98" s="183" t="str">
        <f>IF(ISNUMBER(N98),ROUND(N98/(MIN(F98,I98)*H98/F98)*100,2),"")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41" t="n"/>
      <c r="I99" s="240" t="n"/>
      <c r="J99" s="177" t="n"/>
      <c r="K99" s="241" t="n"/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IF(AND(ISNUMBER(F99),ISNUMBER(I99),ISNUMBER(H99),ISNUMBER(K99),F99&gt;0,I99&gt;0,H99&lt;&gt;0),ROUND(MIN(F99,I99)*(K99/I99-H99/F99),8),"")</f>
        <v/>
      </c>
      <c r="O99" s="177" t="str">
        <f>IF(ISNUMBER(N99),ROUND(N99/(MIN(F99,I99)*H99/F99)*100,2),"")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47" t="n"/>
      <c r="I100" s="246" t="n"/>
      <c r="J100" s="183" t="n"/>
      <c r="K100" s="247" t="n"/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IF(AND(ISNUMBER(F100),ISNUMBER(I100),ISNUMBER(H100),ISNUMBER(K100),F100&gt;0,I100&gt;0,H100&lt;&gt;0),ROUND(MIN(F100,I100)*(K100/I100-H100/F100),8),"")</f>
        <v/>
      </c>
      <c r="O100" s="183" t="str">
        <f>IF(ISNUMBER(N100),ROUND(N100/(MIN(F100,I100)*H100/F100)*100,2),"")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41" t="n"/>
      <c r="I101" s="240" t="n"/>
      <c r="J101" s="177" t="n"/>
      <c r="K101" s="241" t="n"/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IF(AND(ISNUMBER(F101),ISNUMBER(I101),ISNUMBER(H101),ISNUMBER(K101),F101&gt;0,I101&gt;0,H101&lt;&gt;0),ROUND(MIN(F101,I101)*(K101/I101-H101/F101),8),"")</f>
        <v/>
      </c>
      <c r="O101" s="177" t="str">
        <f>IF(ISNUMBER(N101),ROUND(N101/(MIN(F101,I101)*H101/F101)*100,2),"")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47" t="n"/>
      <c r="I102" s="246" t="n"/>
      <c r="J102" s="183" t="n"/>
      <c r="K102" s="247" t="n"/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IF(AND(ISNUMBER(F102),ISNUMBER(I102),ISNUMBER(H102),ISNUMBER(K102),F102&gt;0,I102&gt;0,H102&lt;&gt;0),ROUND(MIN(F102,I102)*(K102/I102-H102/F102),8),"")</f>
        <v/>
      </c>
      <c r="O102" s="183" t="str">
        <f>IF(ISNUMBER(N102),ROUND(N102/(MIN(F102,I102)*H102/F102)*100,2),"")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41" t="n"/>
      <c r="I103" s="240" t="n"/>
      <c r="J103" s="177" t="n"/>
      <c r="K103" s="241" t="n"/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IF(AND(ISNUMBER(F103),ISNUMBER(I103),ISNUMBER(H103),ISNUMBER(K103),F103&gt;0,I103&gt;0,H103&lt;&gt;0),ROUND(MIN(F103,I103)*(K103/I103-H103/F103),8),"")</f>
        <v/>
      </c>
      <c r="O103" s="177" t="str">
        <f>IF(ISNUMBER(N103),ROUND(N103/(MIN(F103,I103)*H103/F103)*100,2),"")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47" t="n"/>
      <c r="I104" s="246" t="n"/>
      <c r="J104" s="183" t="n"/>
      <c r="K104" s="247" t="n"/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IF(AND(ISNUMBER(F104),ISNUMBER(I104),ISNUMBER(H104),ISNUMBER(K104),F104&gt;0,I104&gt;0,H104&lt;&gt;0),ROUND(MIN(F104,I104)*(K104/I104-H104/F104),8),"")</f>
        <v/>
      </c>
      <c r="O104" s="183" t="str">
        <f>IF(ISNUMBER(N104),ROUND(N104/(MIN(F104,I104)*H104/F104)*100,2),"")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41" t="n"/>
      <c r="I105" s="240" t="n"/>
      <c r="J105" s="177" t="n"/>
      <c r="K105" s="241" t="n"/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IF(AND(ISNUMBER(F105),ISNUMBER(I105),ISNUMBER(H105),ISNUMBER(K105),F105&gt;0,I105&gt;0,H105&lt;&gt;0),ROUND(MIN(F105,I105)*(K105/I105-H105/F105),8),"")</f>
        <v/>
      </c>
      <c r="O105" s="177" t="str">
        <f>IF(ISNUMBER(N105),ROUND(N105/(MIN(F105,I105)*H105/F105)*100,2),"")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47" t="n"/>
      <c r="I106" s="246" t="n"/>
      <c r="J106" s="183" t="n"/>
      <c r="K106" s="247" t="n"/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IF(AND(ISNUMBER(F106),ISNUMBER(I106),ISNUMBER(H106),ISNUMBER(K106),F106&gt;0,I106&gt;0,H106&lt;&gt;0),ROUND(MIN(F106,I106)*(K106/I106-H106/F106),8),"")</f>
        <v/>
      </c>
      <c r="O106" s="183" t="str">
        <f>IF(ISNUMBER(N106),ROUND(N106/(MIN(F106,I106)*H106/F106)*100,2),"")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41" t="n"/>
      <c r="I107" s="240" t="n"/>
      <c r="J107" s="177" t="n"/>
      <c r="K107" s="241" t="n"/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IF(AND(ISNUMBER(F107),ISNUMBER(I107),ISNUMBER(H107),ISNUMBER(K107),F107&gt;0,I107&gt;0,H107&lt;&gt;0),ROUND(MIN(F107,I107)*(K107/I107-H107/F107),8),"")</f>
        <v/>
      </c>
      <c r="O107" s="177" t="str">
        <f>IF(ISNUMBER(N107),ROUND(N107/(MIN(F107,I107)*H107/F107)*100,2),"")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47" t="n"/>
      <c r="I108" s="246" t="n"/>
      <c r="J108" s="183" t="n"/>
      <c r="K108" s="247" t="n"/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IF(AND(ISNUMBER(F108),ISNUMBER(I108),ISNUMBER(H108),ISNUMBER(K108),F108&gt;0,I108&gt;0,H108&lt;&gt;0),ROUND(MIN(F108,I108)*(K108/I108-H108/F108),8),"")</f>
        <v/>
      </c>
      <c r="O108" s="183" t="str">
        <f>IF(ISNUMBER(N108),ROUND(N108/(MIN(F108,I108)*H108/F108)*100,2),"")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41" t="n"/>
      <c r="I109" s="240" t="n"/>
      <c r="J109" s="177" t="n"/>
      <c r="K109" s="241" t="n"/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IF(AND(ISNUMBER(F109),ISNUMBER(I109),ISNUMBER(H109),ISNUMBER(K109),F109&gt;0,I109&gt;0,H109&lt;&gt;0),ROUND(MIN(F109,I109)*(K109/I109-H109/F109),8),"")</f>
        <v/>
      </c>
      <c r="O109" s="177" t="str">
        <f>IF(ISNUMBER(N109),ROUND(N109/(MIN(F109,I109)*H109/F109)*100,2),"")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47" t="n"/>
      <c r="I110" s="246" t="n"/>
      <c r="J110" s="183" t="n"/>
      <c r="K110" s="247" t="n"/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IF(AND(ISNUMBER(F110),ISNUMBER(I110),ISNUMBER(H110),ISNUMBER(K110),F110&gt;0,I110&gt;0,H110&lt;&gt;0),ROUND(MIN(F110,I110)*(K110/I110-H110/F110),8),"")</f>
        <v/>
      </c>
      <c r="O110" s="183" t="str">
        <f>IF(ISNUMBER(N110),ROUND(N110/(MIN(F110,I110)*H110/F110)*100,2),"")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41" t="n"/>
      <c r="I111" s="240" t="n"/>
      <c r="J111" s="177" t="n"/>
      <c r="K111" s="241" t="n"/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IF(AND(ISNUMBER(F111),ISNUMBER(I111),ISNUMBER(H111),ISNUMBER(K111),F111&gt;0,I111&gt;0,H111&lt;&gt;0),ROUND(MIN(F111,I111)*(K111/I111-H111/F111),8),"")</f>
        <v/>
      </c>
      <c r="O111" s="177" t="str">
        <f>IF(ISNUMBER(N111),ROUND(N111/(MIN(F111,I111)*H111/F111)*100,2),"")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47" t="n"/>
      <c r="I112" s="246" t="n"/>
      <c r="J112" s="183" t="n"/>
      <c r="K112" s="247" t="n"/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IF(AND(ISNUMBER(F112),ISNUMBER(I112),ISNUMBER(H112),ISNUMBER(K112),F112&gt;0,I112&gt;0,H112&lt;&gt;0),ROUND(MIN(F112,I112)*(K112/I112-H112/F112),8),"")</f>
        <v/>
      </c>
      <c r="O112" s="183" t="str">
        <f>IF(ISNUMBER(N112),ROUND(N112/(MIN(F112,I112)*H112/F112)*100,2),"")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41" t="n"/>
      <c r="I113" s="240" t="n"/>
      <c r="J113" s="177" t="n"/>
      <c r="K113" s="241" t="n"/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IF(AND(ISNUMBER(F113),ISNUMBER(I113),ISNUMBER(H113),ISNUMBER(K113),F113&gt;0,I113&gt;0,H113&lt;&gt;0),ROUND(MIN(F113,I113)*(K113/I113-H113/F113),8),"")</f>
        <v/>
      </c>
      <c r="O113" s="177" t="str">
        <f>IF(ISNUMBER(N113),ROUND(N113/(MIN(F113,I113)*H113/F113)*100,2),"")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47" t="n"/>
      <c r="I114" s="246" t="n"/>
      <c r="J114" s="183" t="n"/>
      <c r="K114" s="247" t="n"/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IF(AND(ISNUMBER(F114),ISNUMBER(I114),ISNUMBER(H114),ISNUMBER(K114),F114&gt;0,I114&gt;0,H114&lt;&gt;0),ROUND(MIN(F114,I114)*(K114/I114-H114/F114),8),"")</f>
        <v/>
      </c>
      <c r="O114" s="183" t="str">
        <f>IF(ISNUMBER(N114),ROUND(N114/(MIN(F114,I114)*H114/F114)*100,2),"")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41" t="n"/>
      <c r="I115" s="240" t="n"/>
      <c r="J115" s="177" t="n"/>
      <c r="K115" s="241" t="n"/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IF(AND(ISNUMBER(F115),ISNUMBER(I115),ISNUMBER(H115),ISNUMBER(K115),F115&gt;0,I115&gt;0,H115&lt;&gt;0),ROUND(MIN(F115,I115)*(K115/I115-H115/F115),8),"")</f>
        <v/>
      </c>
      <c r="O115" s="177" t="str">
        <f>IF(ISNUMBER(N115),ROUND(N115/(MIN(F115,I115)*H115/F115)*100,2),"")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47" t="n"/>
      <c r="I116" s="246" t="n"/>
      <c r="J116" s="183" t="n"/>
      <c r="K116" s="247" t="n"/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IF(AND(ISNUMBER(F116),ISNUMBER(I116),ISNUMBER(H116),ISNUMBER(K116),F116&gt;0,I116&gt;0,H116&lt;&gt;0),ROUND(MIN(F116,I116)*(K116/I116-H116/F116),8),"")</f>
        <v/>
      </c>
      <c r="O116" s="183" t="str">
        <f>IF(ISNUMBER(N116),ROUND(N116/(MIN(F116,I116)*H116/F116)*100,2),"")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41" t="n"/>
      <c r="I117" s="240" t="n"/>
      <c r="J117" s="177" t="n"/>
      <c r="K117" s="241" t="n"/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IF(AND(ISNUMBER(F117),ISNUMBER(I117),ISNUMBER(H117),ISNUMBER(K117),F117&gt;0,I117&gt;0,H117&lt;&gt;0),ROUND(MIN(F117,I117)*(K117/I117-H117/F117),8),"")</f>
        <v/>
      </c>
      <c r="O117" s="177" t="str">
        <f>IF(ISNUMBER(N117),ROUND(N117/(MIN(F117,I117)*H117/F117)*100,2),"")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47" t="n"/>
      <c r="I118" s="246" t="n"/>
      <c r="J118" s="183" t="n"/>
      <c r="K118" s="247" t="n"/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IF(AND(ISNUMBER(F118),ISNUMBER(I118),ISNUMBER(H118),ISNUMBER(K118),F118&gt;0,I118&gt;0,H118&lt;&gt;0),ROUND(MIN(F118,I118)*(K118/I118-H118/F118),8),"")</f>
        <v/>
      </c>
      <c r="O118" s="183" t="str">
        <f>IF(ISNUMBER(N118),ROUND(N118/(MIN(F118,I118)*H118/F118)*100,2),"")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41" t="n"/>
      <c r="I119" s="240" t="n"/>
      <c r="J119" s="177" t="n"/>
      <c r="K119" s="241" t="n"/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IF(AND(ISNUMBER(F119),ISNUMBER(I119),ISNUMBER(H119),ISNUMBER(K119),F119&gt;0,I119&gt;0,H119&lt;&gt;0),ROUND(MIN(F119,I119)*(K119/I119-H119/F119),8),"")</f>
        <v/>
      </c>
      <c r="O119" s="177" t="str">
        <f>IF(ISNUMBER(N119),ROUND(N119/(MIN(F119,I119)*H119/F119)*100,2),"")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47" t="n"/>
      <c r="I120" s="246" t="n"/>
      <c r="J120" s="183" t="n"/>
      <c r="K120" s="247" t="n"/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IF(AND(ISNUMBER(F120),ISNUMBER(I120),ISNUMBER(H120),ISNUMBER(K120),F120&gt;0,I120&gt;0,H120&lt;&gt;0),ROUND(MIN(F120,I120)*(K120/I120-H120/F120),8),"")</f>
        <v/>
      </c>
      <c r="O120" s="183" t="str">
        <f>IF(ISNUMBER(N120),ROUND(N120/(MIN(F120,I120)*H120/F120)*100,2),"")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41" t="n"/>
      <c r="I121" s="240" t="n"/>
      <c r="J121" s="177" t="n"/>
      <c r="K121" s="241" t="n"/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IF(AND(ISNUMBER(F121),ISNUMBER(I121),ISNUMBER(H121),ISNUMBER(K121),F121&gt;0,I121&gt;0,H121&lt;&gt;0),ROUND(MIN(F121,I121)*(K121/I121-H121/F121),8),"")</f>
        <v/>
      </c>
      <c r="O121" s="177" t="str">
        <f>IF(ISNUMBER(N121),ROUND(N121/(MIN(F121,I121)*H121/F121)*100,2),"")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47" t="n"/>
      <c r="I122" s="246" t="n"/>
      <c r="J122" s="183" t="n"/>
      <c r="K122" s="247" t="n"/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IF(AND(ISNUMBER(F122),ISNUMBER(I122),ISNUMBER(H122),ISNUMBER(K122),F122&gt;0,I122&gt;0,H122&lt;&gt;0),ROUND(MIN(F122,I122)*(K122/I122-H122/F122),8),"")</f>
        <v/>
      </c>
      <c r="O122" s="183" t="str">
        <f>IF(ISNUMBER(N122),ROUND(N122/(MIN(F122,I122)*H122/F122)*100,2),"")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41" t="n"/>
      <c r="I123" s="240" t="n"/>
      <c r="J123" s="177" t="n"/>
      <c r="K123" s="241" t="n"/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IF(AND(ISNUMBER(F123),ISNUMBER(I123),ISNUMBER(H123),ISNUMBER(K123),F123&gt;0,I123&gt;0,H123&lt;&gt;0),ROUND(MIN(F123,I123)*(K123/I123-H123/F123),8),"")</f>
        <v/>
      </c>
      <c r="O123" s="177" t="str">
        <f>IF(ISNUMBER(N123),ROUND(N123/(MIN(F123,I123)*H123/F123)*100,2),"")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47" t="n"/>
      <c r="I124" s="246" t="n"/>
      <c r="J124" s="183" t="n"/>
      <c r="K124" s="247" t="n"/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IF(AND(ISNUMBER(F124),ISNUMBER(I124),ISNUMBER(H124),ISNUMBER(K124),F124&gt;0,I124&gt;0,H124&lt;&gt;0),ROUND(MIN(F124,I124)*(K124/I124-H124/F124),8),"")</f>
        <v/>
      </c>
      <c r="O124" s="183" t="str">
        <f>IF(ISNUMBER(N124),ROUND(N124/(MIN(F124,I124)*H124/F124)*100,2),"")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41" t="n"/>
      <c r="I125" s="240" t="n"/>
      <c r="J125" s="177" t="n"/>
      <c r="K125" s="241" t="n"/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IF(AND(ISNUMBER(F125),ISNUMBER(I125),ISNUMBER(H125),ISNUMBER(K125),F125&gt;0,I125&gt;0,H125&lt;&gt;0),ROUND(MIN(F125,I125)*(K125/I125-H125/F125),8),"")</f>
        <v/>
      </c>
      <c r="O125" s="177" t="str">
        <f>IF(ISNUMBER(N125),ROUND(N125/(MIN(F125,I125)*H125/F125)*100,2),"")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47" t="n"/>
      <c r="I126" s="246" t="n"/>
      <c r="J126" s="183" t="n"/>
      <c r="K126" s="247" t="n"/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IF(AND(ISNUMBER(F126),ISNUMBER(I126),ISNUMBER(H126),ISNUMBER(K126),F126&gt;0,I126&gt;0,H126&lt;&gt;0),ROUND(MIN(F126,I126)*(K126/I126-H126/F126),8),"")</f>
        <v/>
      </c>
      <c r="O126" s="183" t="str">
        <f>IF(ISNUMBER(N126),ROUND(N126/(MIN(F126,I126)*H126/F126)*100,2),"")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41" t="n"/>
      <c r="I127" s="240" t="n"/>
      <c r="J127" s="177" t="n"/>
      <c r="K127" s="241" t="n"/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IF(AND(ISNUMBER(F127),ISNUMBER(I127),ISNUMBER(H127),ISNUMBER(K127),F127&gt;0,I127&gt;0,H127&lt;&gt;0),ROUND(MIN(F127,I127)*(K127/I127-H127/F127),8),"")</f>
        <v/>
      </c>
      <c r="O127" s="177" t="str">
        <f>IF(ISNUMBER(N127),ROUND(N127/(MIN(F127,I127)*H127/F127)*100,2),"")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47" t="n"/>
      <c r="I128" s="246" t="n"/>
      <c r="J128" s="183" t="n"/>
      <c r="K128" s="247" t="n"/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IF(AND(ISNUMBER(F128),ISNUMBER(I128),ISNUMBER(H128),ISNUMBER(K128),F128&gt;0,I128&gt;0,H128&lt;&gt;0),ROUND(MIN(F128,I128)*(K128/I128-H128/F128),8),"")</f>
        <v/>
      </c>
      <c r="O128" s="183" t="str">
        <f>IF(ISNUMBER(N128),ROUND(N128/(MIN(F128,I128)*H128/F128)*100,2),"")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41" t="n"/>
      <c r="I129" s="240" t="n"/>
      <c r="J129" s="177" t="n"/>
      <c r="K129" s="241" t="n"/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IF(AND(ISNUMBER(F129),ISNUMBER(I129),ISNUMBER(H129),ISNUMBER(K129),F129&gt;0,I129&gt;0,H129&lt;&gt;0),ROUND(MIN(F129,I129)*(K129/I129-H129/F129),8),"")</f>
        <v/>
      </c>
      <c r="O129" s="177" t="str">
        <f>IF(ISNUMBER(N129),ROUND(N129/(MIN(F129,I129)*H129/F129)*100,2),"")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47" t="n"/>
      <c r="I130" s="246" t="n"/>
      <c r="J130" s="183" t="n"/>
      <c r="K130" s="247" t="n"/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IF(AND(ISNUMBER(F130),ISNUMBER(I130),ISNUMBER(H130),ISNUMBER(K130),F130&gt;0,I130&gt;0,H130&lt;&gt;0),ROUND(MIN(F130,I130)*(K130/I130-H130/F130),8),"")</f>
        <v/>
      </c>
      <c r="O130" s="183" t="str">
        <f>IF(ISNUMBER(N130),ROUND(N130/(MIN(F130,I130)*H130/F130)*100,2),"")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41" t="n"/>
      <c r="I131" s="240" t="n"/>
      <c r="J131" s="177" t="n"/>
      <c r="K131" s="241" t="n"/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IF(AND(ISNUMBER(F131),ISNUMBER(I131),ISNUMBER(H131),ISNUMBER(K131),F131&gt;0,I131&gt;0,H131&lt;&gt;0),ROUND(MIN(F131,I131)*(K131/I131-H131/F131),8),"")</f>
        <v/>
      </c>
      <c r="O131" s="177" t="str">
        <f>IF(ISNUMBER(N131),ROUND(N131/(MIN(F131,I131)*H131/F131)*100,2),"")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47" t="n"/>
      <c r="I132" s="246" t="n"/>
      <c r="J132" s="183" t="n"/>
      <c r="K132" s="247" t="n"/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IF(AND(ISNUMBER(F132),ISNUMBER(I132),ISNUMBER(H132),ISNUMBER(K132),F132&gt;0,I132&gt;0,H132&lt;&gt;0),ROUND(MIN(F132,I132)*(K132/I132-H132/F132),8),"")</f>
        <v/>
      </c>
      <c r="O132" s="183" t="str">
        <f>IF(ISNUMBER(N132),ROUND(N132/(MIN(F132,I132)*H132/F132)*100,2),"")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41" t="n"/>
      <c r="I133" s="240" t="n"/>
      <c r="J133" s="177" t="n"/>
      <c r="K133" s="241" t="n"/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IF(AND(ISNUMBER(F133),ISNUMBER(I133),ISNUMBER(H133),ISNUMBER(K133),F133&gt;0,I133&gt;0,H133&lt;&gt;0),ROUND(MIN(F133,I133)*(K133/I133-H133/F133),8),"")</f>
        <v/>
      </c>
      <c r="O133" s="177" t="str">
        <f>IF(ISNUMBER(N133),ROUND(N133/(MIN(F133,I133)*H133/F133)*100,2),"")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47" t="n"/>
      <c r="I134" s="246" t="n"/>
      <c r="J134" s="183" t="n"/>
      <c r="K134" s="247" t="n"/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IF(AND(ISNUMBER(F134),ISNUMBER(I134),ISNUMBER(H134),ISNUMBER(K134),F134&gt;0,I134&gt;0,H134&lt;&gt;0),ROUND(MIN(F134,I134)*(K134/I134-H134/F134),8),"")</f>
        <v/>
      </c>
      <c r="O134" s="183" t="str">
        <f>IF(ISNUMBER(N134),ROUND(N134/(MIN(F134,I134)*H134/F134)*100,2),"")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41" t="n"/>
      <c r="I135" s="240" t="n"/>
      <c r="J135" s="177" t="n"/>
      <c r="K135" s="241" t="n"/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IF(AND(ISNUMBER(F135),ISNUMBER(I135),ISNUMBER(H135),ISNUMBER(K135),F135&gt;0,I135&gt;0,H135&lt;&gt;0),ROUND(MIN(F135,I135)*(K135/I135-H135/F135),8),"")</f>
        <v/>
      </c>
      <c r="O135" s="177" t="str">
        <f>IF(ISNUMBER(N135),ROUND(N135/(MIN(F135,I135)*H135/F135)*100,2),"")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47" t="n"/>
      <c r="I136" s="246" t="n"/>
      <c r="J136" s="183" t="n"/>
      <c r="K136" s="247" t="n"/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IF(AND(ISNUMBER(F136),ISNUMBER(I136),ISNUMBER(H136),ISNUMBER(K136),F136&gt;0,I136&gt;0,H136&lt;&gt;0),ROUND(MIN(F136,I136)*(K136/I136-H136/F136),8),"")</f>
        <v/>
      </c>
      <c r="O136" s="183" t="str">
        <f>IF(ISNUMBER(N136),ROUND(N136/(MIN(F136,I136)*H136/F136)*100,2),"")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41" t="n"/>
      <c r="I137" s="240" t="n"/>
      <c r="J137" s="177" t="n"/>
      <c r="K137" s="241" t="n"/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IF(AND(ISNUMBER(F137),ISNUMBER(I137),ISNUMBER(H137),ISNUMBER(K137),F137&gt;0,I137&gt;0,H137&lt;&gt;0),ROUND(MIN(F137,I137)*(K137/I137-H137/F137),8),"")</f>
        <v/>
      </c>
      <c r="O137" s="177" t="str">
        <f>IF(ISNUMBER(N137),ROUND(N137/(MIN(F137,I137)*H137/F137)*100,2),"")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47" t="n"/>
      <c r="I138" s="246" t="n"/>
      <c r="J138" s="183" t="n"/>
      <c r="K138" s="247" t="n"/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IF(AND(ISNUMBER(F138),ISNUMBER(I138),ISNUMBER(H138),ISNUMBER(K138),F138&gt;0,I138&gt;0,H138&lt;&gt;0),ROUND(MIN(F138,I138)*(K138/I138-H138/F138),8),"")</f>
        <v/>
      </c>
      <c r="O138" s="183" t="str">
        <f>IF(ISNUMBER(N138),ROUND(N138/(MIN(F138,I138)*H138/F138)*100,2),"")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41" t="n"/>
      <c r="I139" s="240" t="n"/>
      <c r="J139" s="177" t="n"/>
      <c r="K139" s="241" t="n"/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IF(AND(ISNUMBER(F139),ISNUMBER(I139),ISNUMBER(H139),ISNUMBER(K139),F139&gt;0,I139&gt;0,H139&lt;&gt;0),ROUND(MIN(F139,I139)*(K139/I139-H139/F139),8),"")</f>
        <v/>
      </c>
      <c r="O139" s="177" t="str">
        <f>IF(ISNUMBER(N139),ROUND(N139/(MIN(F139,I139)*H139/F139)*100,2),"")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47" t="n"/>
      <c r="I140" s="246" t="n"/>
      <c r="J140" s="183" t="n"/>
      <c r="K140" s="247" t="n"/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IF(AND(ISNUMBER(F140),ISNUMBER(I140),ISNUMBER(H140),ISNUMBER(K140),F140&gt;0,I140&gt;0,H140&lt;&gt;0),ROUND(MIN(F140,I140)*(K140/I140-H140/F140),8),"")</f>
        <v/>
      </c>
      <c r="O140" s="183" t="str">
        <f>IF(ISNUMBER(N140),ROUND(N140/(MIN(F140,I140)*H140/F140)*100,2),"")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41" t="n"/>
      <c r="I141" s="240" t="n"/>
      <c r="J141" s="177" t="n"/>
      <c r="K141" s="241" t="n"/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IF(AND(ISNUMBER(F141),ISNUMBER(I141),ISNUMBER(H141),ISNUMBER(K141),F141&gt;0,I141&gt;0,H141&lt;&gt;0),ROUND(MIN(F141,I141)*(K141/I141-H141/F141),8),"")</f>
        <v/>
      </c>
      <c r="O141" s="177" t="str">
        <f>IF(ISNUMBER(N141),ROUND(N141/(MIN(F141,I141)*H141/F141)*100,2),"")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47" t="n"/>
      <c r="I142" s="246" t="n"/>
      <c r="J142" s="183" t="n"/>
      <c r="K142" s="247" t="n"/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IF(AND(ISNUMBER(F142),ISNUMBER(I142),ISNUMBER(H142),ISNUMBER(K142),F142&gt;0,I142&gt;0,H142&lt;&gt;0),ROUND(MIN(F142,I142)*(K142/I142-H142/F142),8),"")</f>
        <v/>
      </c>
      <c r="O142" s="183" t="str">
        <f>IF(ISNUMBER(N142),ROUND(N142/(MIN(F142,I142)*H142/F142)*100,2),"")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41" t="n"/>
      <c r="I143" s="240" t="n"/>
      <c r="J143" s="177" t="n"/>
      <c r="K143" s="241" t="n"/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IF(AND(ISNUMBER(F143),ISNUMBER(I143),ISNUMBER(H143),ISNUMBER(K143),F143&gt;0,I143&gt;0,H143&lt;&gt;0),ROUND(MIN(F143,I143)*(K143/I143-H143/F143),8),"")</f>
        <v/>
      </c>
      <c r="O143" s="177" t="str">
        <f>IF(ISNUMBER(N143),ROUND(N143/(MIN(F143,I143)*H143/F143)*100,2),"")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47" t="n"/>
      <c r="I144" s="246" t="n"/>
      <c r="J144" s="183" t="n"/>
      <c r="K144" s="247" t="n"/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IF(AND(ISNUMBER(F144),ISNUMBER(I144),ISNUMBER(H144),ISNUMBER(K144),F144&gt;0,I144&gt;0,H144&lt;&gt;0),ROUND(MIN(F144,I144)*(K144/I144-H144/F144),8),"")</f>
        <v/>
      </c>
      <c r="O144" s="183" t="str">
        <f>IF(ISNUMBER(N144),ROUND(N144/(MIN(F144,I144)*H144/F144)*100,2),"")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41" t="n"/>
      <c r="I145" s="240" t="n"/>
      <c r="J145" s="177" t="n"/>
      <c r="K145" s="241" t="n"/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IF(AND(ISNUMBER(F145),ISNUMBER(I145),ISNUMBER(H145),ISNUMBER(K145),F145&gt;0,I145&gt;0,H145&lt;&gt;0),ROUND(MIN(F145,I145)*(K145/I145-H145/F145),8),"")</f>
        <v/>
      </c>
      <c r="O145" s="177" t="str">
        <f>IF(ISNUMBER(N145),ROUND(N145/(MIN(F145,I145)*H145/F145)*100,2),"")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47" t="n"/>
      <c r="I146" s="246" t="n"/>
      <c r="J146" s="183" t="n"/>
      <c r="K146" s="247" t="n"/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IF(AND(ISNUMBER(F146),ISNUMBER(I146),ISNUMBER(H146),ISNUMBER(K146),F146&gt;0,I146&gt;0,H146&lt;&gt;0),ROUND(MIN(F146,I146)*(K146/I146-H146/F146),8),"")</f>
        <v/>
      </c>
      <c r="O146" s="183" t="str">
        <f>IF(ISNUMBER(N146),ROUND(N146/(MIN(F146,I146)*H146/F146)*100,2),"")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41" t="n"/>
      <c r="I147" s="240" t="n"/>
      <c r="J147" s="177" t="n"/>
      <c r="K147" s="241" t="n"/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IF(AND(ISNUMBER(F147),ISNUMBER(I147),ISNUMBER(H147),ISNUMBER(K147),F147&gt;0,I147&gt;0,H147&lt;&gt;0),ROUND(MIN(F147,I147)*(K147/I147-H147/F147),8),"")</f>
        <v/>
      </c>
      <c r="O147" s="177" t="str">
        <f>IF(ISNUMBER(N147),ROUND(N147/(MIN(F147,I147)*H147/F147)*100,2),"")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47" t="n"/>
      <c r="I148" s="246" t="n"/>
      <c r="J148" s="183" t="n"/>
      <c r="K148" s="247" t="n"/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IF(AND(ISNUMBER(F148),ISNUMBER(I148),ISNUMBER(H148),ISNUMBER(K148),F148&gt;0,I148&gt;0,H148&lt;&gt;0),ROUND(MIN(F148,I148)*(K148/I148-H148/F148),8),"")</f>
        <v/>
      </c>
      <c r="O148" s="183" t="str">
        <f>IF(ISNUMBER(N148),ROUND(N148/(MIN(F148,I148)*H148/F148)*100,2),"")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41" t="n"/>
      <c r="I149" s="240" t="n"/>
      <c r="J149" s="177" t="n"/>
      <c r="K149" s="241" t="n"/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IF(AND(ISNUMBER(F149),ISNUMBER(I149),ISNUMBER(H149),ISNUMBER(K149),F149&gt;0,I149&gt;0,H149&lt;&gt;0),ROUND(MIN(F149,I149)*(K149/I149-H149/F149),8),"")</f>
        <v/>
      </c>
      <c r="O149" s="177" t="str">
        <f>IF(ISNUMBER(N149),ROUND(N149/(MIN(F149,I149)*H149/F149)*100,2),"")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47" t="n"/>
      <c r="I150" s="246" t="n"/>
      <c r="J150" s="183" t="n"/>
      <c r="K150" s="247" t="n"/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IF(AND(ISNUMBER(F150),ISNUMBER(I150),ISNUMBER(H150),ISNUMBER(K150),F150&gt;0,I150&gt;0,H150&lt;&gt;0),ROUND(MIN(F150,I150)*(K150/I150-H150/F150),8),"")</f>
        <v/>
      </c>
      <c r="O150" s="183" t="str">
        <f>IF(ISNUMBER(N150),ROUND(N150/(MIN(F150,I150)*H150/F150)*100,2),"")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41" t="n"/>
      <c r="I151" s="240" t="n"/>
      <c r="J151" s="177" t="n"/>
      <c r="K151" s="241" t="n"/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IF(AND(ISNUMBER(F151),ISNUMBER(I151),ISNUMBER(H151),ISNUMBER(K151),F151&gt;0,I151&gt;0,H151&lt;&gt;0),ROUND(MIN(F151,I151)*(K151/I151-H151/F151),8),"")</f>
        <v/>
      </c>
      <c r="O151" s="177" t="str">
        <f>IF(ISNUMBER(N151),ROUND(N151/(MIN(F151,I151)*H151/F151)*100,2),"")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47" t="n"/>
      <c r="I152" s="246" t="n"/>
      <c r="J152" s="183" t="n"/>
      <c r="K152" s="247" t="n"/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IF(AND(ISNUMBER(F152),ISNUMBER(I152),ISNUMBER(H152),ISNUMBER(K152),F152&gt;0,I152&gt;0,H152&lt;&gt;0),ROUND(MIN(F152,I152)*(K152/I152-H152/F152),8),"")</f>
        <v/>
      </c>
      <c r="O152" s="183" t="str">
        <f>IF(ISNUMBER(N152),ROUND(N152/(MIN(F152,I152)*H152/F152)*100,2),"")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41" t="n"/>
      <c r="I153" s="240" t="n"/>
      <c r="J153" s="177" t="n"/>
      <c r="K153" s="241" t="n"/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IF(AND(ISNUMBER(F153),ISNUMBER(I153),ISNUMBER(H153),ISNUMBER(K153),F153&gt;0,I153&gt;0,H153&lt;&gt;0),ROUND(MIN(F153,I153)*(K153/I153-H153/F153),8),"")</f>
        <v/>
      </c>
      <c r="O153" s="177" t="str">
        <f>IF(ISNUMBER(N153),ROUND(N153/(MIN(F153,I153)*H153/F153)*100,2),"")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47" t="n"/>
      <c r="I154" s="246" t="n"/>
      <c r="J154" s="183" t="n"/>
      <c r="K154" s="247" t="n"/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IF(AND(ISNUMBER(F154),ISNUMBER(I154),ISNUMBER(H154),ISNUMBER(K154),F154&gt;0,I154&gt;0,H154&lt;&gt;0),ROUND(MIN(F154,I154)*(K154/I154-H154/F154),8),"")</f>
        <v/>
      </c>
      <c r="O154" s="183" t="str">
        <f>IF(ISNUMBER(N154),ROUND(N154/(MIN(F154,I154)*H154/F154)*100,2),"")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41" t="n"/>
      <c r="I155" s="240" t="n"/>
      <c r="J155" s="177" t="n"/>
      <c r="K155" s="241" t="n"/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IF(AND(ISNUMBER(F155),ISNUMBER(I155),ISNUMBER(H155),ISNUMBER(K155),F155&gt;0,I155&gt;0,H155&lt;&gt;0),ROUND(MIN(F155,I155)*(K155/I155-H155/F155),8),"")</f>
        <v/>
      </c>
      <c r="O155" s="177" t="str">
        <f>IF(ISNUMBER(N155),ROUND(N155/(MIN(F155,I155)*H155/F155)*100,2),"")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47" t="n"/>
      <c r="I156" s="246" t="n"/>
      <c r="J156" s="183" t="n"/>
      <c r="K156" s="247" t="n"/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IF(AND(ISNUMBER(F156),ISNUMBER(I156),ISNUMBER(H156),ISNUMBER(K156),F156&gt;0,I156&gt;0,H156&lt;&gt;0),ROUND(MIN(F156,I156)*(K156/I156-H156/F156),8),"")</f>
        <v/>
      </c>
      <c r="O156" s="183" t="str">
        <f>IF(ISNUMBER(N156),ROUND(N156/(MIN(F156,I156)*H156/F156)*100,2),"")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41" t="n"/>
      <c r="I157" s="240" t="n"/>
      <c r="J157" s="177" t="n"/>
      <c r="K157" s="241" t="n"/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IF(AND(ISNUMBER(F157),ISNUMBER(I157),ISNUMBER(H157),ISNUMBER(K157),F157&gt;0,I157&gt;0,H157&lt;&gt;0),ROUND(MIN(F157,I157)*(K157/I157-H157/F157),8),"")</f>
        <v/>
      </c>
      <c r="O157" s="177" t="str">
        <f>IF(ISNUMBER(N157),ROUND(N157/(MIN(F157,I157)*H157/F157)*100,2),"")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47" t="n"/>
      <c r="I158" s="246" t="n"/>
      <c r="J158" s="183" t="n"/>
      <c r="K158" s="247" t="n"/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IF(AND(ISNUMBER(F158),ISNUMBER(I158),ISNUMBER(H158),ISNUMBER(K158),F158&gt;0,I158&gt;0,H158&lt;&gt;0),ROUND(MIN(F158,I158)*(K158/I158-H158/F158),8),"")</f>
        <v/>
      </c>
      <c r="O158" s="183" t="str">
        <f>IF(ISNUMBER(N158),ROUND(N158/(MIN(F158,I158)*H158/F158)*100,2),"")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41" t="n"/>
      <c r="I159" s="240" t="n"/>
      <c r="J159" s="177" t="n"/>
      <c r="K159" s="241" t="n"/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IF(AND(ISNUMBER(F159),ISNUMBER(I159),ISNUMBER(H159),ISNUMBER(K159),F159&gt;0,I159&gt;0,H159&lt;&gt;0),ROUND(MIN(F159,I159)*(K159/I159-H159/F159),8),"")</f>
        <v/>
      </c>
      <c r="O159" s="177" t="str">
        <f>IF(ISNUMBER(N159),ROUND(N159/(MIN(F159,I159)*H159/F159)*100,2),"")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47" t="n"/>
      <c r="I160" s="246" t="n"/>
      <c r="J160" s="183" t="n"/>
      <c r="K160" s="247" t="n"/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IF(AND(ISNUMBER(F160),ISNUMBER(I160),ISNUMBER(H160),ISNUMBER(K160),F160&gt;0,I160&gt;0,H160&lt;&gt;0),ROUND(MIN(F160,I160)*(K160/I160-H160/F160),8),"")</f>
        <v/>
      </c>
      <c r="O160" s="183" t="str">
        <f>IF(ISNUMBER(N160),ROUND(N160/(MIN(F160,I160)*H160/F160)*100,2),"")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41" t="n"/>
      <c r="I161" s="240" t="n"/>
      <c r="J161" s="177" t="n"/>
      <c r="K161" s="241" t="n"/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IF(AND(ISNUMBER(F161),ISNUMBER(I161),ISNUMBER(H161),ISNUMBER(K161),F161&gt;0,I161&gt;0,H161&lt;&gt;0),ROUND(MIN(F161,I161)*(K161/I161-H161/F161),8),"")</f>
        <v/>
      </c>
      <c r="O161" s="177" t="str">
        <f>IF(ISNUMBER(N161),ROUND(N161/(MIN(F161,I161)*H161/F161)*100,2),"")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47" t="n"/>
      <c r="I162" s="246" t="n"/>
      <c r="J162" s="183" t="n"/>
      <c r="K162" s="247" t="n"/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IF(AND(ISNUMBER(F162),ISNUMBER(I162),ISNUMBER(H162),ISNUMBER(K162),F162&gt;0,I162&gt;0,H162&lt;&gt;0),ROUND(MIN(F162,I162)*(K162/I162-H162/F162),8),"")</f>
        <v/>
      </c>
      <c r="O162" s="183" t="str">
        <f>IF(ISNUMBER(N162),ROUND(N162/(MIN(F162,I162)*H162/F162)*100,2),"")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41" t="n"/>
      <c r="I163" s="240" t="n"/>
      <c r="J163" s="177" t="n"/>
      <c r="K163" s="241" t="n"/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IF(AND(ISNUMBER(F163),ISNUMBER(I163),ISNUMBER(H163),ISNUMBER(K163),F163&gt;0,I163&gt;0,H163&lt;&gt;0),ROUND(MIN(F163,I163)*(K163/I163-H163/F163),8),"")</f>
        <v/>
      </c>
      <c r="O163" s="177" t="str">
        <f>IF(ISNUMBER(N163),ROUND(N163/(MIN(F163,I163)*H163/F163)*100,2),"")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47" t="n"/>
      <c r="I164" s="246" t="n"/>
      <c r="J164" s="183" t="n"/>
      <c r="K164" s="247" t="n"/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IF(AND(ISNUMBER(F164),ISNUMBER(I164),ISNUMBER(H164),ISNUMBER(K164),F164&gt;0,I164&gt;0,H164&lt;&gt;0),ROUND(MIN(F164,I164)*(K164/I164-H164/F164),8),"")</f>
        <v/>
      </c>
      <c r="O164" s="183" t="str">
        <f>IF(ISNUMBER(N164),ROUND(N164/(MIN(F164,I164)*H164/F164)*100,2),"")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41" t="n"/>
      <c r="I165" s="240" t="n"/>
      <c r="J165" s="177" t="n"/>
      <c r="K165" s="241" t="n"/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IF(AND(ISNUMBER(F165),ISNUMBER(I165),ISNUMBER(H165),ISNUMBER(K165),F165&gt;0,I165&gt;0,H165&lt;&gt;0),ROUND(MIN(F165,I165)*(K165/I165-H165/F165),8),"")</f>
        <v/>
      </c>
      <c r="O165" s="177" t="str">
        <f>IF(ISNUMBER(N165),ROUND(N165/(MIN(F165,I165)*H165/F165)*100,2),"")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47" t="n"/>
      <c r="I166" s="246" t="n"/>
      <c r="J166" s="183" t="n"/>
      <c r="K166" s="247" t="n"/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IF(AND(ISNUMBER(F166),ISNUMBER(I166),ISNUMBER(H166),ISNUMBER(K166),F166&gt;0,I166&gt;0,H166&lt;&gt;0),ROUND(MIN(F166,I166)*(K166/I166-H166/F166),8),"")</f>
        <v/>
      </c>
      <c r="O166" s="183" t="str">
        <f>IF(ISNUMBER(N166),ROUND(N166/(MIN(F166,I166)*H166/F166)*100,2),"")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41" t="n"/>
      <c r="I167" s="240" t="n"/>
      <c r="J167" s="177" t="n"/>
      <c r="K167" s="241" t="n"/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IF(AND(ISNUMBER(F167),ISNUMBER(I167),ISNUMBER(H167),ISNUMBER(K167),F167&gt;0,I167&gt;0,H167&lt;&gt;0),ROUND(MIN(F167,I167)*(K167/I167-H167/F167),8),"")</f>
        <v/>
      </c>
      <c r="O167" s="177" t="str">
        <f>IF(ISNUMBER(N167),ROUND(N167/(MIN(F167,I167)*H167/F167)*100,2),"")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47" t="n"/>
      <c r="I168" s="246" t="n"/>
      <c r="J168" s="183" t="n"/>
      <c r="K168" s="247" t="n"/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IF(AND(ISNUMBER(F168),ISNUMBER(I168),ISNUMBER(H168),ISNUMBER(K168),F168&gt;0,I168&gt;0,H168&lt;&gt;0),ROUND(MIN(F168,I168)*(K168/I168-H168/F168),8),"")</f>
        <v/>
      </c>
      <c r="O168" s="183" t="str">
        <f>IF(ISNUMBER(N168),ROUND(N168/(MIN(F168,I168)*H168/F168)*100,2),"")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41" t="n"/>
      <c r="I169" s="240" t="n"/>
      <c r="J169" s="177" t="n"/>
      <c r="K169" s="241" t="n"/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IF(AND(ISNUMBER(F169),ISNUMBER(I169),ISNUMBER(H169),ISNUMBER(K169),F169&gt;0,I169&gt;0,H169&lt;&gt;0),ROUND(MIN(F169,I169)*(K169/I169-H169/F169),8),"")</f>
        <v/>
      </c>
      <c r="O169" s="177" t="str">
        <f>IF(ISNUMBER(N169),ROUND(N169/(MIN(F169,I169)*H169/F169)*100,2),"")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47" t="n"/>
      <c r="I170" s="246" t="n"/>
      <c r="J170" s="183" t="n"/>
      <c r="K170" s="247" t="n"/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IF(AND(ISNUMBER(F170),ISNUMBER(I170),ISNUMBER(H170),ISNUMBER(K170),F170&gt;0,I170&gt;0,H170&lt;&gt;0),ROUND(MIN(F170,I170)*(K170/I170-H170/F170),8),"")</f>
        <v/>
      </c>
      <c r="O170" s="183" t="str">
        <f>IF(ISNUMBER(N170),ROUND(N170/(MIN(F170,I170)*H170/F170)*100,2),"")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41" t="n"/>
      <c r="I171" s="240" t="n"/>
      <c r="J171" s="177" t="n"/>
      <c r="K171" s="241" t="n"/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IF(AND(ISNUMBER(F171),ISNUMBER(I171),ISNUMBER(H171),ISNUMBER(K171),F171&gt;0,I171&gt;0,H171&lt;&gt;0),ROUND(MIN(F171,I171)*(K171/I171-H171/F171),8),"")</f>
        <v/>
      </c>
      <c r="O171" s="177" t="str">
        <f>IF(ISNUMBER(N171),ROUND(N171/(MIN(F171,I171)*H171/F171)*100,2),"")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47" t="n"/>
      <c r="I172" s="246" t="n"/>
      <c r="J172" s="183" t="n"/>
      <c r="K172" s="247" t="n"/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IF(AND(ISNUMBER(F172),ISNUMBER(I172),ISNUMBER(H172),ISNUMBER(K172),F172&gt;0,I172&gt;0,H172&lt;&gt;0),ROUND(MIN(F172,I172)*(K172/I172-H172/F172),8),"")</f>
        <v/>
      </c>
      <c r="O172" s="183" t="str">
        <f>IF(ISNUMBER(N172),ROUND(N172/(MIN(F172,I172)*H172/F172)*100,2),"")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41" t="n"/>
      <c r="I173" s="240" t="n"/>
      <c r="J173" s="177" t="n"/>
      <c r="K173" s="241" t="n"/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IF(AND(ISNUMBER(F173),ISNUMBER(I173),ISNUMBER(H173),ISNUMBER(K173),F173&gt;0,I173&gt;0,H173&lt;&gt;0),ROUND(MIN(F173,I173)*(K173/I173-H173/F173),8),"")</f>
        <v/>
      </c>
      <c r="O173" s="177" t="str">
        <f>IF(ISNUMBER(N173),ROUND(N173/(MIN(F173,I173)*H173/F173)*100,2),"")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47" t="n"/>
      <c r="I174" s="246" t="n"/>
      <c r="J174" s="183" t="n"/>
      <c r="K174" s="247" t="n"/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IF(AND(ISNUMBER(F174),ISNUMBER(I174),ISNUMBER(H174),ISNUMBER(K174),F174&gt;0,I174&gt;0,H174&lt;&gt;0),ROUND(MIN(F174,I174)*(K174/I174-H174/F174),8),"")</f>
        <v/>
      </c>
      <c r="O174" s="183" t="str">
        <f>IF(ISNUMBER(N174),ROUND(N174/(MIN(F174,I174)*H174/F174)*100,2),"")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41" t="n"/>
      <c r="I175" s="240" t="n"/>
      <c r="J175" s="177" t="n"/>
      <c r="K175" s="241" t="n"/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IF(AND(ISNUMBER(F175),ISNUMBER(I175),ISNUMBER(H175),ISNUMBER(K175),F175&gt;0,I175&gt;0,H175&lt;&gt;0),ROUND(MIN(F175,I175)*(K175/I175-H175/F175),8),"")</f>
        <v/>
      </c>
      <c r="O175" s="177" t="str">
        <f>IF(ISNUMBER(N175),ROUND(N175/(MIN(F175,I175)*H175/F175)*100,2),"")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47" t="n"/>
      <c r="I176" s="246" t="n"/>
      <c r="J176" s="183" t="n"/>
      <c r="K176" s="247" t="n"/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IF(AND(ISNUMBER(F176),ISNUMBER(I176),ISNUMBER(H176),ISNUMBER(K176),F176&gt;0,I176&gt;0,H176&lt;&gt;0),ROUND(MIN(F176,I176)*(K176/I176-H176/F176),8),"")</f>
        <v/>
      </c>
      <c r="O176" s="183" t="str">
        <f>IF(ISNUMBER(N176),ROUND(N176/(MIN(F176,I176)*H176/F176)*100,2),"")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41" t="n"/>
      <c r="I177" s="240" t="n"/>
      <c r="J177" s="177" t="n"/>
      <c r="K177" s="241" t="n"/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IF(AND(ISNUMBER(F177),ISNUMBER(I177),ISNUMBER(H177),ISNUMBER(K177),F177&gt;0,I177&gt;0,H177&lt;&gt;0),ROUND(MIN(F177,I177)*(K177/I177-H177/F177),8),"")</f>
        <v/>
      </c>
      <c r="O177" s="177" t="str">
        <f>IF(ISNUMBER(N177),ROUND(N177/(MIN(F177,I177)*H177/F177)*100,2),"")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47" t="n"/>
      <c r="I178" s="246" t="n"/>
      <c r="J178" s="183" t="n"/>
      <c r="K178" s="247" t="n"/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IF(AND(ISNUMBER(F178),ISNUMBER(I178),ISNUMBER(H178),ISNUMBER(K178),F178&gt;0,I178&gt;0,H178&lt;&gt;0),ROUND(MIN(F178,I178)*(K178/I178-H178/F178),8),"")</f>
        <v/>
      </c>
      <c r="O178" s="183" t="str">
        <f>IF(ISNUMBER(N178),ROUND(N178/(MIN(F178,I178)*H178/F178)*100,2),"")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41" t="n"/>
      <c r="I179" s="240" t="n"/>
      <c r="J179" s="177" t="n"/>
      <c r="K179" s="241" t="n"/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IF(AND(ISNUMBER(F179),ISNUMBER(I179),ISNUMBER(H179),ISNUMBER(K179),F179&gt;0,I179&gt;0,H179&lt;&gt;0),ROUND(MIN(F179,I179)*(K179/I179-H179/F179),8),"")</f>
        <v/>
      </c>
      <c r="O179" s="177" t="str">
        <f>IF(ISNUMBER(N179),ROUND(N179/(MIN(F179,I179)*H179/F179)*100,2),"")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47" t="n"/>
      <c r="I180" s="246" t="n"/>
      <c r="J180" s="183" t="n"/>
      <c r="K180" s="247" t="n"/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IF(AND(ISNUMBER(F180),ISNUMBER(I180),ISNUMBER(H180),ISNUMBER(K180),F180&gt;0,I180&gt;0,H180&lt;&gt;0),ROUND(MIN(F180,I180)*(K180/I180-H180/F180),8),"")</f>
        <v/>
      </c>
      <c r="O180" s="183" t="str">
        <f>IF(ISNUMBER(N180),ROUND(N180/(MIN(F180,I180)*H180/F180)*100,2),"")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41" t="n"/>
      <c r="I181" s="240" t="n"/>
      <c r="J181" s="177" t="n"/>
      <c r="K181" s="241" t="n"/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IF(AND(ISNUMBER(F181),ISNUMBER(I181),ISNUMBER(H181),ISNUMBER(K181),F181&gt;0,I181&gt;0,H181&lt;&gt;0),ROUND(MIN(F181,I181)*(K181/I181-H181/F181),8),"")</f>
        <v/>
      </c>
      <c r="O181" s="177" t="str">
        <f>IF(ISNUMBER(N181),ROUND(N181/(MIN(F181,I181)*H181/F181)*100,2),"")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47" t="n"/>
      <c r="I182" s="246" t="n"/>
      <c r="J182" s="183" t="n"/>
      <c r="K182" s="247" t="n"/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IF(AND(ISNUMBER(F182),ISNUMBER(I182),ISNUMBER(H182),ISNUMBER(K182),F182&gt;0,I182&gt;0,H182&lt;&gt;0),ROUND(MIN(F182,I182)*(K182/I182-H182/F182),8),"")</f>
        <v/>
      </c>
      <c r="O182" s="183" t="str">
        <f>IF(ISNUMBER(N182),ROUND(N182/(MIN(F182,I182)*H182/F182)*100,2),"")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41" t="n"/>
      <c r="I183" s="240" t="n"/>
      <c r="J183" s="177" t="n"/>
      <c r="K183" s="241" t="n"/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IF(AND(ISNUMBER(F183),ISNUMBER(I183),ISNUMBER(H183),ISNUMBER(K183),F183&gt;0,I183&gt;0,H183&lt;&gt;0),ROUND(MIN(F183,I183)*(K183/I183-H183/F183),8),"")</f>
        <v/>
      </c>
      <c r="O183" s="177" t="str">
        <f>IF(ISNUMBER(N183),ROUND(N183/(MIN(F183,I183)*H183/F183)*100,2),"")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47" t="n"/>
      <c r="I184" s="246" t="n"/>
      <c r="J184" s="183" t="n"/>
      <c r="K184" s="247" t="n"/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IF(AND(ISNUMBER(F184),ISNUMBER(I184),ISNUMBER(H184),ISNUMBER(K184),F184&gt;0,I184&gt;0,H184&lt;&gt;0),ROUND(MIN(F184,I184)*(K184/I184-H184/F184),8),"")</f>
        <v/>
      </c>
      <c r="O184" s="183" t="str">
        <f>IF(ISNUMBER(N184),ROUND(N184/(MIN(F184,I184)*H184/F184)*100,2),"")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41" t="n"/>
      <c r="I185" s="240" t="n"/>
      <c r="J185" s="177" t="n"/>
      <c r="K185" s="241" t="n"/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IF(AND(ISNUMBER(F185),ISNUMBER(I185),ISNUMBER(H185),ISNUMBER(K185),F185&gt;0,I185&gt;0,H185&lt;&gt;0),ROUND(MIN(F185,I185)*(K185/I185-H185/F185),8),"")</f>
        <v/>
      </c>
      <c r="O185" s="177" t="str">
        <f>IF(ISNUMBER(N185),ROUND(N185/(MIN(F185,I185)*H185/F185)*100,2),"")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47" t="n"/>
      <c r="I186" s="246" t="n"/>
      <c r="J186" s="183" t="n"/>
      <c r="K186" s="247" t="n"/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IF(AND(ISNUMBER(F186),ISNUMBER(I186),ISNUMBER(H186),ISNUMBER(K186),F186&gt;0,I186&gt;0,H186&lt;&gt;0),ROUND(MIN(F186,I186)*(K186/I186-H186/F186),8),"")</f>
        <v/>
      </c>
      <c r="O186" s="183" t="str">
        <f>IF(ISNUMBER(N186),ROUND(N186/(MIN(F186,I186)*H186/F186)*100,2),"")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41" t="n"/>
      <c r="I187" s="240" t="n"/>
      <c r="J187" s="177" t="n"/>
      <c r="K187" s="241" t="n"/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IF(AND(ISNUMBER(F187),ISNUMBER(I187),ISNUMBER(H187),ISNUMBER(K187),F187&gt;0,I187&gt;0,H187&lt;&gt;0),ROUND(MIN(F187,I187)*(K187/I187-H187/F187),8),"")</f>
        <v/>
      </c>
      <c r="O187" s="177" t="str">
        <f>IF(ISNUMBER(N187),ROUND(N187/(MIN(F187,I187)*H187/F187)*100,2),"")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47" t="n"/>
      <c r="I188" s="246" t="n"/>
      <c r="J188" s="183" t="n"/>
      <c r="K188" s="247" t="n"/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IF(AND(ISNUMBER(F188),ISNUMBER(I188),ISNUMBER(H188),ISNUMBER(K188),F188&gt;0,I188&gt;0,H188&lt;&gt;0),ROUND(MIN(F188,I188)*(K188/I188-H188/F188),8),"")</f>
        <v/>
      </c>
      <c r="O188" s="183" t="str">
        <f>IF(ISNUMBER(N188),ROUND(N188/(MIN(F188,I188)*H188/F188)*100,2),"")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41" t="n"/>
      <c r="I189" s="240" t="n"/>
      <c r="J189" s="177" t="n"/>
      <c r="K189" s="241" t="n"/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IF(AND(ISNUMBER(F189),ISNUMBER(I189),ISNUMBER(H189),ISNUMBER(K189),F189&gt;0,I189&gt;0,H189&lt;&gt;0),ROUND(MIN(F189,I189)*(K189/I189-H189/F189),8),"")</f>
        <v/>
      </c>
      <c r="O189" s="177" t="str">
        <f>IF(ISNUMBER(N189),ROUND(N189/(MIN(F189,I189)*H189/F189)*100,2),"")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47" t="n"/>
      <c r="I190" s="246" t="n"/>
      <c r="J190" s="183" t="n"/>
      <c r="K190" s="247" t="n"/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IF(AND(ISNUMBER(F190),ISNUMBER(I190),ISNUMBER(H190),ISNUMBER(K190),F190&gt;0,I190&gt;0,H190&lt;&gt;0),ROUND(MIN(F190,I190)*(K190/I190-H190/F190),8),"")</f>
        <v/>
      </c>
      <c r="O190" s="183" t="str">
        <f>IF(ISNUMBER(N190),ROUND(N190/(MIN(F190,I190)*H190/F190)*100,2),"")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41" t="n"/>
      <c r="I191" s="240" t="n"/>
      <c r="J191" s="177" t="n"/>
      <c r="K191" s="241" t="n"/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IF(AND(ISNUMBER(F191),ISNUMBER(I191),ISNUMBER(H191),ISNUMBER(K191),F191&gt;0,I191&gt;0,H191&lt;&gt;0),ROUND(MIN(F191,I191)*(K191/I191-H191/F191),8),"")</f>
        <v/>
      </c>
      <c r="O191" s="177" t="str">
        <f>IF(ISNUMBER(N191),ROUND(N191/(MIN(F191,I191)*H191/F191)*100,2),"")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47" t="n"/>
      <c r="I192" s="246" t="n"/>
      <c r="J192" s="183" t="n"/>
      <c r="K192" s="247" t="n"/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IF(AND(ISNUMBER(F192),ISNUMBER(I192),ISNUMBER(H192),ISNUMBER(K192),F192&gt;0,I192&gt;0,H192&lt;&gt;0),ROUND(MIN(F192,I192)*(K192/I192-H192/F192),8),"")</f>
        <v/>
      </c>
      <c r="O192" s="183" t="str">
        <f>IF(ISNUMBER(N192),ROUND(N192/(MIN(F192,I192)*H192/F192)*100,2),"")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41" t="n"/>
      <c r="I193" s="240" t="n"/>
      <c r="J193" s="177" t="n"/>
      <c r="K193" s="241" t="n"/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IF(AND(ISNUMBER(F193),ISNUMBER(I193),ISNUMBER(H193),ISNUMBER(K193),F193&gt;0,I193&gt;0,H193&lt;&gt;0),ROUND(MIN(F193,I193)*(K193/I193-H193/F193),8),"")</f>
        <v/>
      </c>
      <c r="O193" s="177" t="str">
        <f>IF(ISNUMBER(N193),ROUND(N193/(MIN(F193,I193)*H193/F193)*100,2),"")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47" t="n"/>
      <c r="I194" s="246" t="n"/>
      <c r="J194" s="183" t="n"/>
      <c r="K194" s="247" t="n"/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IF(AND(ISNUMBER(F194),ISNUMBER(I194),ISNUMBER(H194),ISNUMBER(K194),F194&gt;0,I194&gt;0,H194&lt;&gt;0),ROUND(MIN(F194,I194)*(K194/I194-H194/F194),8),"")</f>
        <v/>
      </c>
      <c r="O194" s="183" t="str">
        <f>IF(ISNUMBER(N194),ROUND(N194/(MIN(F194,I194)*H194/F194)*100,2),"")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41" t="n"/>
      <c r="I195" s="240" t="n"/>
      <c r="J195" s="177" t="n"/>
      <c r="K195" s="241" t="n"/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IF(AND(ISNUMBER(F195),ISNUMBER(I195),ISNUMBER(H195),ISNUMBER(K195),F195&gt;0,I195&gt;0,H195&lt;&gt;0),ROUND(MIN(F195,I195)*(K195/I195-H195/F195),8),"")</f>
        <v/>
      </c>
      <c r="O195" s="177" t="str">
        <f>IF(ISNUMBER(N195),ROUND(N195/(MIN(F195,I195)*H195/F195)*100,2),"")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47" t="n"/>
      <c r="I196" s="246" t="n"/>
      <c r="J196" s="183" t="n"/>
      <c r="K196" s="247" t="n"/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IF(AND(ISNUMBER(F196),ISNUMBER(I196),ISNUMBER(H196),ISNUMBER(K196),F196&gt;0,I196&gt;0,H196&lt;&gt;0),ROUND(MIN(F196,I196)*(K196/I196-H196/F196),8),"")</f>
        <v/>
      </c>
      <c r="O196" s="183" t="str">
        <f>IF(ISNUMBER(N196),ROUND(N196/(MIN(F196,I196)*H196/F196)*100,2),"")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41" t="n"/>
      <c r="I197" s="240" t="n"/>
      <c r="J197" s="177" t="n"/>
      <c r="K197" s="241" t="n"/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IF(AND(ISNUMBER(F197),ISNUMBER(I197),ISNUMBER(H197),ISNUMBER(K197),F197&gt;0,I197&gt;0,H197&lt;&gt;0),ROUND(MIN(F197,I197)*(K197/I197-H197/F197),8),"")</f>
        <v/>
      </c>
      <c r="O197" s="177" t="str">
        <f>IF(ISNUMBER(N197),ROUND(N197/(MIN(F197,I197)*H197/F197)*100,2),"")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47" t="n"/>
      <c r="I198" s="246" t="n"/>
      <c r="J198" s="183" t="n"/>
      <c r="K198" s="247" t="n"/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IF(AND(ISNUMBER(F198),ISNUMBER(I198),ISNUMBER(H198),ISNUMBER(K198),F198&gt;0,I198&gt;0,H198&lt;&gt;0),ROUND(MIN(F198,I198)*(K198/I198-H198/F198),8),"")</f>
        <v/>
      </c>
      <c r="O198" s="183" t="str">
        <f>IF(ISNUMBER(N198),ROUND(N198/(MIN(F198,I198)*H198/F198)*100,2),"")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41" t="n"/>
      <c r="I199" s="240" t="n"/>
      <c r="J199" s="177" t="n"/>
      <c r="K199" s="241" t="n"/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IF(AND(ISNUMBER(F199),ISNUMBER(I199),ISNUMBER(H199),ISNUMBER(K199),F199&gt;0,I199&gt;0,H199&lt;&gt;0),ROUND(MIN(F199,I199)*(K199/I199-H199/F199),8),"")</f>
        <v/>
      </c>
      <c r="O199" s="177" t="str">
        <f>IF(ISNUMBER(N199),ROUND(N199/(MIN(F199,I199)*H199/F199)*100,2),"")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47" t="n"/>
      <c r="I200" s="246" t="n"/>
      <c r="J200" s="183" t="n"/>
      <c r="K200" s="247" t="n"/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IF(AND(ISNUMBER(F200),ISNUMBER(I200),ISNUMBER(H200),ISNUMBER(K200),F200&gt;0,I200&gt;0,H200&lt;&gt;0),ROUND(MIN(F200,I200)*(K200/I200-H200/F200),8),"")</f>
        <v/>
      </c>
      <c r="O200" s="183" t="str">
        <f>IF(ISNUMBER(N200),ROUND(N200/(MIN(F200,I200)*H200/F200)*100,2),"")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41" t="n"/>
      <c r="I201" s="240" t="n"/>
      <c r="J201" s="177" t="n"/>
      <c r="K201" s="241" t="n"/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IF(AND(ISNUMBER(F201),ISNUMBER(I201),ISNUMBER(H201),ISNUMBER(K201),F201&gt;0,I201&gt;0,H201&lt;&gt;0),ROUND(MIN(F201,I201)*(K201/I201-H201/F201),8),"")</f>
        <v/>
      </c>
      <c r="O201" s="177" t="str">
        <f>IF(ISNUMBER(N201),ROUND(N201/(MIN(F201,I201)*H201/F201)*100,2),"")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47" t="n"/>
      <c r="I202" s="246" t="n"/>
      <c r="J202" s="183" t="n"/>
      <c r="K202" s="247" t="n"/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IF(AND(ISNUMBER(F202),ISNUMBER(I202),ISNUMBER(H202),ISNUMBER(K202),F202&gt;0,I202&gt;0,H202&lt;&gt;0),ROUND(MIN(F202,I202)*(K202/I202-H202/F202),8),"")</f>
        <v/>
      </c>
      <c r="O202" s="183" t="str">
        <f>IF(ISNUMBER(N202),ROUND(N202/(MIN(F202,I202)*H202/F202)*100,2),"")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41" t="n"/>
      <c r="I203" s="240" t="n"/>
      <c r="J203" s="177" t="n"/>
      <c r="K203" s="241" t="n"/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IF(AND(ISNUMBER(F203),ISNUMBER(I203),ISNUMBER(H203),ISNUMBER(K203),F203&gt;0,I203&gt;0,H203&lt;&gt;0),ROUND(MIN(F203,I203)*(K203/I203-H203/F203),8),"")</f>
        <v/>
      </c>
      <c r="O203" s="177" t="str">
        <f>IF(ISNUMBER(N203),ROUND(N203/(MIN(F203,I203)*H203/F203)*100,2),"")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47" t="n"/>
      <c r="I204" s="246" t="n"/>
      <c r="J204" s="183" t="n"/>
      <c r="K204" s="247" t="n"/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IF(AND(ISNUMBER(F204),ISNUMBER(I204),ISNUMBER(H204),ISNUMBER(K204),F204&gt;0,I204&gt;0,H204&lt;&gt;0),ROUND(MIN(F204,I204)*(K204/I204-H204/F204),8),"")</f>
        <v/>
      </c>
      <c r="O204" s="183" t="str">
        <f>IF(ISNUMBER(N204),ROUND(N204/(MIN(F204,I204)*H204/F204)*100,2),"")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41" t="n"/>
      <c r="I205" s="240" t="n"/>
      <c r="J205" s="177" t="n"/>
      <c r="K205" s="241" t="n"/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IF(AND(ISNUMBER(F205),ISNUMBER(I205),ISNUMBER(H205),ISNUMBER(K205),F205&gt;0,I205&gt;0,H205&lt;&gt;0),ROUND(MIN(F205,I205)*(K205/I205-H205/F205),8),"")</f>
        <v/>
      </c>
      <c r="O205" s="177" t="str">
        <f>IF(ISNUMBER(N205),ROUND(N205/(MIN(F205,I205)*H205/F205)*100,2),"")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47" t="n"/>
      <c r="I206" s="246" t="n"/>
      <c r="J206" s="183" t="n"/>
      <c r="K206" s="247" t="n"/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IF(AND(ISNUMBER(F206),ISNUMBER(I206),ISNUMBER(H206),ISNUMBER(K206),F206&gt;0,I206&gt;0,H206&lt;&gt;0),ROUND(MIN(F206,I206)*(K206/I206-H206/F206),8),"")</f>
        <v/>
      </c>
      <c r="O206" s="183" t="str">
        <f>IF(ISNUMBER(N206),ROUND(N206/(MIN(F206,I206)*H206/F206)*100,2),"")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41" t="n"/>
      <c r="I207" s="240" t="n"/>
      <c r="J207" s="177" t="n"/>
      <c r="K207" s="241" t="n"/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IF(AND(ISNUMBER(F207),ISNUMBER(I207),ISNUMBER(H207),ISNUMBER(K207),F207&gt;0,I207&gt;0,H207&lt;&gt;0),ROUND(MIN(F207,I207)*(K207/I207-H207/F207),8),"")</f>
        <v/>
      </c>
      <c r="O207" s="177" t="str">
        <f>IF(ISNUMBER(N207),ROUND(N207/(MIN(F207,I207)*H207/F207)*100,2),"")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47" t="n"/>
      <c r="I208" s="246" t="n"/>
      <c r="J208" s="183" t="n"/>
      <c r="K208" s="247" t="n"/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IF(AND(ISNUMBER(F208),ISNUMBER(I208),ISNUMBER(H208),ISNUMBER(K208),F208&gt;0,I208&gt;0,H208&lt;&gt;0),ROUND(MIN(F208,I208)*(K208/I208-H208/F208),8),"")</f>
        <v/>
      </c>
      <c r="O208" s="183" t="str">
        <f>IF(ISNUMBER(N208),ROUND(N208/(MIN(F208,I208)*H208/F208)*100,2),"")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41" t="n"/>
      <c r="I209" s="240" t="n"/>
      <c r="J209" s="177" t="n"/>
      <c r="K209" s="241" t="n"/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IF(AND(ISNUMBER(F209),ISNUMBER(I209),ISNUMBER(H209),ISNUMBER(K209),F209&gt;0,I209&gt;0,H209&lt;&gt;0),ROUND(MIN(F209,I209)*(K209/I209-H209/F209),8),"")</f>
        <v/>
      </c>
      <c r="O209" s="177" t="str">
        <f>IF(ISNUMBER(N209),ROUND(N209/(MIN(F209,I209)*H209/F209)*100,2),"")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47" t="n"/>
      <c r="I210" s="246" t="n"/>
      <c r="J210" s="183" t="n"/>
      <c r="K210" s="247" t="n"/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IF(AND(ISNUMBER(F210),ISNUMBER(I210),ISNUMBER(H210),ISNUMBER(K210),F210&gt;0,I210&gt;0,H210&lt;&gt;0),ROUND(MIN(F210,I210)*(K210/I210-H210/F210),8),"")</f>
        <v/>
      </c>
      <c r="O210" s="183" t="str">
        <f>IF(ISNUMBER(N210),ROUND(N210/(MIN(F210,I210)*H210/F210)*100,2),"")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41" t="n"/>
      <c r="I211" s="240" t="n"/>
      <c r="J211" s="177" t="n"/>
      <c r="K211" s="241" t="n"/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IF(AND(ISNUMBER(F211),ISNUMBER(I211),ISNUMBER(H211),ISNUMBER(K211),F211&gt;0,I211&gt;0,H211&lt;&gt;0),ROUND(MIN(F211,I211)*(K211/I211-H211/F211),8),"")</f>
        <v/>
      </c>
      <c r="O211" s="177" t="str">
        <f>IF(ISNUMBER(N211),ROUND(N211/(MIN(F211,I211)*H211/F211)*100,2),"")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47" t="n"/>
      <c r="I212" s="246" t="n"/>
      <c r="J212" s="183" t="n"/>
      <c r="K212" s="247" t="n"/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IF(AND(ISNUMBER(F212),ISNUMBER(I212),ISNUMBER(H212),ISNUMBER(K212),F212&gt;0,I212&gt;0,H212&lt;&gt;0),ROUND(MIN(F212,I212)*(K212/I212-H212/F212),8),"")</f>
        <v/>
      </c>
      <c r="O212" s="183" t="str">
        <f>IF(ISNUMBER(N212),ROUND(N212/(MIN(F212,I212)*H212/F212)*100,2),"")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41" t="n"/>
      <c r="I213" s="240" t="n"/>
      <c r="J213" s="177" t="n"/>
      <c r="K213" s="241" t="n"/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IF(AND(ISNUMBER(F213),ISNUMBER(I213),ISNUMBER(H213),ISNUMBER(K213),F213&gt;0,I213&gt;0,H213&lt;&gt;0),ROUND(MIN(F213,I213)*(K213/I213-H213/F213),8),"")</f>
        <v/>
      </c>
      <c r="O213" s="177" t="str">
        <f>IF(ISNUMBER(N213),ROUND(N213/(MIN(F213,I213)*H213/F213)*100,2),"")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47" t="n"/>
      <c r="I214" s="246" t="n"/>
      <c r="J214" s="183" t="n"/>
      <c r="K214" s="247" t="n"/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IF(AND(ISNUMBER(F214),ISNUMBER(I214),ISNUMBER(H214),ISNUMBER(K214),F214&gt;0,I214&gt;0,H214&lt;&gt;0),ROUND(MIN(F214,I214)*(K214/I214-H214/F214),8),"")</f>
        <v/>
      </c>
      <c r="O214" s="183" t="str">
        <f>IF(ISNUMBER(N214),ROUND(N214/(MIN(F214,I214)*H214/F214)*100,2),"")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41" t="n"/>
      <c r="I215" s="240" t="n"/>
      <c r="J215" s="177" t="n"/>
      <c r="K215" s="241" t="n"/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IF(AND(ISNUMBER(F215),ISNUMBER(I215),ISNUMBER(H215),ISNUMBER(K215),F215&gt;0,I215&gt;0,H215&lt;&gt;0),ROUND(MIN(F215,I215)*(K215/I215-H215/F215),8),"")</f>
        <v/>
      </c>
      <c r="O215" s="177" t="str">
        <f>IF(ISNUMBER(N215),ROUND(N215/(MIN(F215,I215)*H215/F215)*100,2),"")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47" t="n"/>
      <c r="I216" s="246" t="n"/>
      <c r="J216" s="183" t="n"/>
      <c r="K216" s="247" t="n"/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IF(AND(ISNUMBER(F216),ISNUMBER(I216),ISNUMBER(H216),ISNUMBER(K216),F216&gt;0,I216&gt;0,H216&lt;&gt;0),ROUND(MIN(F216,I216)*(K216/I216-H216/F216),8),"")</f>
        <v/>
      </c>
      <c r="O216" s="183" t="str">
        <f>IF(ISNUMBER(N216),ROUND(N216/(MIN(F216,I216)*H216/F216)*100,2),"")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41" t="n"/>
      <c r="I217" s="240" t="n"/>
      <c r="J217" s="177" t="n"/>
      <c r="K217" s="241" t="n"/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IF(AND(ISNUMBER(F217),ISNUMBER(I217),ISNUMBER(H217),ISNUMBER(K217),F217&gt;0,I217&gt;0,H217&lt;&gt;0),ROUND(MIN(F217,I217)*(K217/I217-H217/F217),8),"")</f>
        <v/>
      </c>
      <c r="O217" s="177" t="str">
        <f>IF(ISNUMBER(N217),ROUND(N217/(MIN(F217,I217)*H217/F217)*100,2),"")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47" t="n"/>
      <c r="I218" s="246" t="n"/>
      <c r="J218" s="183" t="n"/>
      <c r="K218" s="247" t="n"/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IF(AND(ISNUMBER(F218),ISNUMBER(I218),ISNUMBER(H218),ISNUMBER(K218),F218&gt;0,I218&gt;0,H218&lt;&gt;0),ROUND(MIN(F218,I218)*(K218/I218-H218/F218),8),"")</f>
        <v/>
      </c>
      <c r="O218" s="183" t="str">
        <f>IF(ISNUMBER(N218),ROUND(N218/(MIN(F218,I218)*H218/F218)*100,2),"")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41" t="n"/>
      <c r="I219" s="240" t="n"/>
      <c r="J219" s="177" t="n"/>
      <c r="K219" s="241" t="n"/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IF(AND(ISNUMBER(F219),ISNUMBER(I219),ISNUMBER(H219),ISNUMBER(K219),F219&gt;0,I219&gt;0,H219&lt;&gt;0),ROUND(MIN(F219,I219)*(K219/I219-H219/F219),8),"")</f>
        <v/>
      </c>
      <c r="O219" s="177" t="str">
        <f>IF(ISNUMBER(N219),ROUND(N219/(MIN(F219,I219)*H219/F219)*100,2),"")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47" t="n"/>
      <c r="I220" s="246" t="n"/>
      <c r="J220" s="183" t="n"/>
      <c r="K220" s="247" t="n"/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IF(AND(ISNUMBER(F220),ISNUMBER(I220),ISNUMBER(H220),ISNUMBER(K220),F220&gt;0,I220&gt;0,H220&lt;&gt;0),ROUND(MIN(F220,I220)*(K220/I220-H220/F220),8),"")</f>
        <v/>
      </c>
      <c r="O220" s="183" t="str">
        <f>IF(ISNUMBER(N220),ROUND(N220/(MIN(F220,I220)*H220/F220)*100,2),"")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41" t="n"/>
      <c r="I221" s="240" t="n"/>
      <c r="J221" s="177" t="n"/>
      <c r="K221" s="241" t="n"/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IF(AND(ISNUMBER(F221),ISNUMBER(I221),ISNUMBER(H221),ISNUMBER(K221),F221&gt;0,I221&gt;0,H221&lt;&gt;0),ROUND(MIN(F221,I221)*(K221/I221-H221/F221),8),"")</f>
        <v/>
      </c>
      <c r="O221" s="177" t="str">
        <f>IF(ISNUMBER(N221),ROUND(N221/(MIN(F221,I221)*H221/F221)*100,2),"")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47" t="n"/>
      <c r="I222" s="246" t="n"/>
      <c r="J222" s="183" t="n"/>
      <c r="K222" s="247" t="n"/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IF(AND(ISNUMBER(F222),ISNUMBER(I222),ISNUMBER(H222),ISNUMBER(K222),F222&gt;0,I222&gt;0,H222&lt;&gt;0),ROUND(MIN(F222,I222)*(K222/I222-H222/F222),8),"")</f>
        <v/>
      </c>
      <c r="O222" s="183" t="str">
        <f>IF(ISNUMBER(N222),ROUND(N222/(MIN(F222,I222)*H222/F222)*100,2),"")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41" t="n"/>
      <c r="I223" s="240" t="n"/>
      <c r="J223" s="177" t="n"/>
      <c r="K223" s="241" t="n"/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IF(AND(ISNUMBER(F223),ISNUMBER(I223),ISNUMBER(H223),ISNUMBER(K223),F223&gt;0,I223&gt;0,H223&lt;&gt;0),ROUND(MIN(F223,I223)*(K223/I223-H223/F223),8),"")</f>
        <v/>
      </c>
      <c r="O223" s="177" t="str">
        <f>IF(ISNUMBER(N223),ROUND(N223/(MIN(F223,I223)*H223/F223)*100,2),"")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47" t="n"/>
      <c r="I224" s="246" t="n"/>
      <c r="J224" s="183" t="n"/>
      <c r="K224" s="247" t="n"/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IF(AND(ISNUMBER(F224),ISNUMBER(I224),ISNUMBER(H224),ISNUMBER(K224),F224&gt;0,I224&gt;0,H224&lt;&gt;0),ROUND(MIN(F224,I224)*(K224/I224-H224/F224),8),"")</f>
        <v/>
      </c>
      <c r="O224" s="183" t="str">
        <f>IF(ISNUMBER(N224),ROUND(N224/(MIN(F224,I224)*H224/F224)*100,2),"")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41" t="n"/>
      <c r="I225" s="240" t="n"/>
      <c r="J225" s="177" t="n"/>
      <c r="K225" s="241" t="n"/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IF(AND(ISNUMBER(F225),ISNUMBER(I225),ISNUMBER(H225),ISNUMBER(K225),F225&gt;0,I225&gt;0,H225&lt;&gt;0),ROUND(MIN(F225,I225)*(K225/I225-H225/F225),8),"")</f>
        <v/>
      </c>
      <c r="O225" s="177" t="str">
        <f>IF(ISNUMBER(N225),ROUND(N225/(MIN(F225,I225)*H225/F225)*100,2),"")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47" t="n"/>
      <c r="I226" s="246" t="n"/>
      <c r="J226" s="183" t="n"/>
      <c r="K226" s="247" t="n"/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IF(AND(ISNUMBER(F226),ISNUMBER(I226),ISNUMBER(H226),ISNUMBER(K226),F226&gt;0,I226&gt;0,H226&lt;&gt;0),ROUND(MIN(F226,I226)*(K226/I226-H226/F226),8),"")</f>
        <v/>
      </c>
      <c r="O226" s="183" t="str">
        <f>IF(ISNUMBER(N226),ROUND(N226/(MIN(F226,I226)*H226/F226)*100,2),"")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41" t="n"/>
      <c r="I227" s="240" t="n"/>
      <c r="J227" s="177" t="n"/>
      <c r="K227" s="241" t="n"/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IF(AND(ISNUMBER(F227),ISNUMBER(I227),ISNUMBER(H227),ISNUMBER(K227),F227&gt;0,I227&gt;0,H227&lt;&gt;0),ROUND(MIN(F227,I227)*(K227/I227-H227/F227),8),"")</f>
        <v/>
      </c>
      <c r="O227" s="177" t="str">
        <f>IF(ISNUMBER(N227),ROUND(N227/(MIN(F227,I227)*H227/F227)*100,2),"")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47" t="n"/>
      <c r="I228" s="246" t="n"/>
      <c r="J228" s="183" t="n"/>
      <c r="K228" s="247" t="n"/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IF(AND(ISNUMBER(F228),ISNUMBER(I228),ISNUMBER(H228),ISNUMBER(K228),F228&gt;0,I228&gt;0,H228&lt;&gt;0),ROUND(MIN(F228,I228)*(K228/I228-H228/F228),8),"")</f>
        <v/>
      </c>
      <c r="O228" s="183" t="str">
        <f>IF(ISNUMBER(N228),ROUND(N228/(MIN(F228,I228)*H228/F228)*100,2),"")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41" t="n"/>
      <c r="I229" s="240" t="n"/>
      <c r="J229" s="177" t="n"/>
      <c r="K229" s="241" t="n"/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IF(AND(ISNUMBER(F229),ISNUMBER(I229),ISNUMBER(H229),ISNUMBER(K229),F229&gt;0,I229&gt;0,H229&lt;&gt;0),ROUND(MIN(F229,I229)*(K229/I229-H229/F229),8),"")</f>
        <v/>
      </c>
      <c r="O229" s="177" t="str">
        <f>IF(ISNUMBER(N229),ROUND(N229/(MIN(F229,I229)*H229/F229)*100,2),"")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47" t="n"/>
      <c r="I230" s="246" t="n"/>
      <c r="J230" s="183" t="n"/>
      <c r="K230" s="247" t="n"/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IF(AND(ISNUMBER(F230),ISNUMBER(I230),ISNUMBER(H230),ISNUMBER(K230),F230&gt;0,I230&gt;0,H230&lt;&gt;0),ROUND(MIN(F230,I230)*(K230/I230-H230/F230),8),"")</f>
        <v/>
      </c>
      <c r="O230" s="183" t="str">
        <f>IF(ISNUMBER(N230),ROUND(N230/(MIN(F230,I230)*H230/F230)*100,2),"")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41" t="n"/>
      <c r="I231" s="240" t="n"/>
      <c r="J231" s="177" t="n"/>
      <c r="K231" s="241" t="n"/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IF(AND(ISNUMBER(F231),ISNUMBER(I231),ISNUMBER(H231),ISNUMBER(K231),F231&gt;0,I231&gt;0,H231&lt;&gt;0),ROUND(MIN(F231,I231)*(K231/I231-H231/F231),8),"")</f>
        <v/>
      </c>
      <c r="O231" s="177" t="str">
        <f>IF(ISNUMBER(N231),ROUND(N231/(MIN(F231,I231)*H231/F231)*100,2),"")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47" t="n"/>
      <c r="I232" s="246" t="n"/>
      <c r="J232" s="183" t="n"/>
      <c r="K232" s="247" t="n"/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IF(AND(ISNUMBER(F232),ISNUMBER(I232),ISNUMBER(H232),ISNUMBER(K232),F232&gt;0,I232&gt;0,H232&lt;&gt;0),ROUND(MIN(F232,I232)*(K232/I232-H232/F232),8),"")</f>
        <v/>
      </c>
      <c r="O232" s="183" t="str">
        <f>IF(ISNUMBER(N232),ROUND(N232/(MIN(F232,I232)*H232/F232)*100,2),"")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41" t="n"/>
      <c r="I233" s="240" t="n"/>
      <c r="J233" s="177" t="n"/>
      <c r="K233" s="241" t="n"/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IF(AND(ISNUMBER(F233),ISNUMBER(I233),ISNUMBER(H233),ISNUMBER(K233),F233&gt;0,I233&gt;0,H233&lt;&gt;0),ROUND(MIN(F233,I233)*(K233/I233-H233/F233),8),"")</f>
        <v/>
      </c>
      <c r="O233" s="177" t="str">
        <f>IF(ISNUMBER(N233),ROUND(N233/(MIN(F233,I233)*H233/F233)*100,2),"")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47" t="n"/>
      <c r="I234" s="246" t="n"/>
      <c r="J234" s="183" t="n"/>
      <c r="K234" s="247" t="n"/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IF(AND(ISNUMBER(F234),ISNUMBER(I234),ISNUMBER(H234),ISNUMBER(K234),F234&gt;0,I234&gt;0,H234&lt;&gt;0),ROUND(MIN(F234,I234)*(K234/I234-H234/F234),8),"")</f>
        <v/>
      </c>
      <c r="O234" s="183" t="str">
        <f>IF(ISNUMBER(N234),ROUND(N234/(MIN(F234,I234)*H234/F234)*100,2),"")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41" t="n"/>
      <c r="I235" s="240" t="n"/>
      <c r="J235" s="177" t="n"/>
      <c r="K235" s="241" t="n"/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IF(AND(ISNUMBER(F235),ISNUMBER(I235),ISNUMBER(H235),ISNUMBER(K235),F235&gt;0,I235&gt;0,H235&lt;&gt;0),ROUND(MIN(F235,I235)*(K235/I235-H235/F235),8),"")</f>
        <v/>
      </c>
      <c r="O235" s="177" t="str">
        <f>IF(ISNUMBER(N235),ROUND(N235/(MIN(F235,I235)*H235/F235)*100,2),"")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47" t="n"/>
      <c r="I236" s="246" t="n"/>
      <c r="J236" s="183" t="n"/>
      <c r="K236" s="247" t="n"/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IF(AND(ISNUMBER(F236),ISNUMBER(I236),ISNUMBER(H236),ISNUMBER(K236),F236&gt;0,I236&gt;0,H236&lt;&gt;0),ROUND(MIN(F236,I236)*(K236/I236-H236/F236),8),"")</f>
        <v/>
      </c>
      <c r="O236" s="183" t="str">
        <f>IF(ISNUMBER(N236),ROUND(N236/(MIN(F236,I236)*H236/F236)*100,2),"")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41" t="n"/>
      <c r="I237" s="240" t="n"/>
      <c r="J237" s="177" t="n"/>
      <c r="K237" s="241" t="n"/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IF(AND(ISNUMBER(F237),ISNUMBER(I237),ISNUMBER(H237),ISNUMBER(K237),F237&gt;0,I237&gt;0,H237&lt;&gt;0),ROUND(MIN(F237,I237)*(K237/I237-H237/F237),8),"")</f>
        <v/>
      </c>
      <c r="O237" s="177" t="str">
        <f>IF(ISNUMBER(N237),ROUND(N237/(MIN(F237,I237)*H237/F237)*100,2),"")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47" t="n"/>
      <c r="I238" s="246" t="n"/>
      <c r="J238" s="183" t="n"/>
      <c r="K238" s="247" t="n"/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IF(AND(ISNUMBER(F238),ISNUMBER(I238),ISNUMBER(H238),ISNUMBER(K238),F238&gt;0,I238&gt;0,H238&lt;&gt;0),ROUND(MIN(F238,I238)*(K238/I238-H238/F238),8),"")</f>
        <v/>
      </c>
      <c r="O238" s="183" t="str">
        <f>IF(ISNUMBER(N238),ROUND(N238/(MIN(F238,I238)*H238/F238)*100,2),"")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41" t="n"/>
      <c r="I239" s="240" t="n"/>
      <c r="J239" s="177" t="n"/>
      <c r="K239" s="241" t="n"/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IF(AND(ISNUMBER(F239),ISNUMBER(I239),ISNUMBER(H239),ISNUMBER(K239),F239&gt;0,I239&gt;0,H239&lt;&gt;0),ROUND(MIN(F239,I239)*(K239/I239-H239/F239),8),"")</f>
        <v/>
      </c>
      <c r="O239" s="177" t="str">
        <f>IF(ISNUMBER(N239),ROUND(N239/(MIN(F239,I239)*H239/F239)*100,2),"")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47" t="n"/>
      <c r="I240" s="246" t="n"/>
      <c r="J240" s="183" t="n"/>
      <c r="K240" s="247" t="n"/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IF(AND(ISNUMBER(F240),ISNUMBER(I240),ISNUMBER(H240),ISNUMBER(K240),F240&gt;0,I240&gt;0,H240&lt;&gt;0),ROUND(MIN(F240,I240)*(K240/I240-H240/F240),8),"")</f>
        <v/>
      </c>
      <c r="O240" s="183" t="str">
        <f>IF(ISNUMBER(N240),ROUND(N240/(MIN(F240,I240)*H240/F240)*100,2),"")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41" t="n"/>
      <c r="I241" s="240" t="n"/>
      <c r="J241" s="177" t="n"/>
      <c r="K241" s="241" t="n"/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IF(AND(ISNUMBER(F241),ISNUMBER(I241),ISNUMBER(H241),ISNUMBER(K241),F241&gt;0,I241&gt;0,H241&lt;&gt;0),ROUND(MIN(F241,I241)*(K241/I241-H241/F241),8),"")</f>
        <v/>
      </c>
      <c r="O241" s="177" t="str">
        <f>IF(ISNUMBER(N241),ROUND(N241/(MIN(F241,I241)*H241/F241)*100,2),"")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47" t="n"/>
      <c r="I242" s="246" t="n"/>
      <c r="J242" s="183" t="n"/>
      <c r="K242" s="247" t="n"/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IF(AND(ISNUMBER(F242),ISNUMBER(I242),ISNUMBER(H242),ISNUMBER(K242),F242&gt;0,I242&gt;0,H242&lt;&gt;0),ROUND(MIN(F242,I242)*(K242/I242-H242/F242),8),"")</f>
        <v/>
      </c>
      <c r="O242" s="183" t="str">
        <f>IF(ISNUMBER(N242),ROUND(N242/(MIN(F242,I242)*H242/F242)*100,2),"")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41" t="n"/>
      <c r="I243" s="240" t="n"/>
      <c r="J243" s="177" t="n"/>
      <c r="K243" s="241" t="n"/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IF(AND(ISNUMBER(F243),ISNUMBER(I243),ISNUMBER(H243),ISNUMBER(K243),F243&gt;0,I243&gt;0,H243&lt;&gt;0),ROUND(MIN(F243,I243)*(K243/I243-H243/F243),8),"")</f>
        <v/>
      </c>
      <c r="O243" s="177" t="str">
        <f>IF(ISNUMBER(N243),ROUND(N243/(MIN(F243,I243)*H243/F243)*100,2),"")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47" t="n"/>
      <c r="I244" s="246" t="n"/>
      <c r="J244" s="183" t="n"/>
      <c r="K244" s="247" t="n"/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IF(AND(ISNUMBER(F244),ISNUMBER(I244),ISNUMBER(H244),ISNUMBER(K244),F244&gt;0,I244&gt;0,H244&lt;&gt;0),ROUND(MIN(F244,I244)*(K244/I244-H244/F244),8),"")</f>
        <v/>
      </c>
      <c r="O244" s="183" t="str">
        <f>IF(ISNUMBER(N244),ROUND(N244/(MIN(F244,I244)*H244/F244)*100,2),"")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41" t="n"/>
      <c r="I245" s="240" t="n"/>
      <c r="J245" s="177" t="n"/>
      <c r="K245" s="241" t="n"/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IF(AND(ISNUMBER(F245),ISNUMBER(I245),ISNUMBER(H245),ISNUMBER(K245),F245&gt;0,I245&gt;0,H245&lt;&gt;0),ROUND(MIN(F245,I245)*(K245/I245-H245/F245),8),"")</f>
        <v/>
      </c>
      <c r="O245" s="177" t="str">
        <f>IF(ISNUMBER(N245),ROUND(N245/(MIN(F245,I245)*H245/F245)*100,2),"")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47" t="n"/>
      <c r="I246" s="246" t="n"/>
      <c r="J246" s="183" t="n"/>
      <c r="K246" s="247" t="n"/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IF(AND(ISNUMBER(F246),ISNUMBER(I246),ISNUMBER(H246),ISNUMBER(K246),F246&gt;0,I246&gt;0,H246&lt;&gt;0),ROUND(MIN(F246,I246)*(K246/I246-H246/F246),8),"")</f>
        <v/>
      </c>
      <c r="O246" s="183" t="str">
        <f>IF(ISNUMBER(N246),ROUND(N246/(MIN(F246,I246)*H246/F246)*100,2),"")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41" t="n"/>
      <c r="I247" s="240" t="n"/>
      <c r="J247" s="177" t="n"/>
      <c r="K247" s="241" t="n"/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IF(AND(ISNUMBER(F247),ISNUMBER(I247),ISNUMBER(H247),ISNUMBER(K247),F247&gt;0,I247&gt;0,H247&lt;&gt;0),ROUND(MIN(F247,I247)*(K247/I247-H247/F247),8),"")</f>
        <v/>
      </c>
      <c r="O247" s="177" t="str">
        <f>IF(ISNUMBER(N247),ROUND(N247/(MIN(F247,I247)*H247/F247)*100,2),"")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47" t="n"/>
      <c r="I248" s="246" t="n"/>
      <c r="J248" s="183" t="n"/>
      <c r="K248" s="247" t="n"/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IF(AND(ISNUMBER(F248),ISNUMBER(I248),ISNUMBER(H248),ISNUMBER(K248),F248&gt;0,I248&gt;0,H248&lt;&gt;0),ROUND(MIN(F248,I248)*(K248/I248-H248/F248),8),"")</f>
        <v/>
      </c>
      <c r="O248" s="183" t="str">
        <f>IF(ISNUMBER(N248),ROUND(N248/(MIN(F248,I248)*H248/F248)*100,2),"")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41" t="n"/>
      <c r="I249" s="240" t="n"/>
      <c r="J249" s="177" t="n"/>
      <c r="K249" s="241" t="n"/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IF(AND(ISNUMBER(F249),ISNUMBER(I249),ISNUMBER(H249),ISNUMBER(K249),F249&gt;0,I249&gt;0,H249&lt;&gt;0),ROUND(MIN(F249,I249)*(K249/I249-H249/F249),8),"")</f>
        <v/>
      </c>
      <c r="O249" s="177" t="str">
        <f>IF(ISNUMBER(N249),ROUND(N249/(MIN(F249,I249)*H249/F249)*100,2),"")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47" t="n"/>
      <c r="I250" s="246" t="n"/>
      <c r="J250" s="183" t="n"/>
      <c r="K250" s="247" t="n"/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IF(AND(ISNUMBER(F250),ISNUMBER(I250),ISNUMBER(H250),ISNUMBER(K250),F250&gt;0,I250&gt;0,H250&lt;&gt;0),ROUND(MIN(F250,I250)*(K250/I250-H250/F250),8),"")</f>
        <v/>
      </c>
      <c r="O250" s="183" t="str">
        <f>IF(ISNUMBER(N250),ROUND(N250/(MIN(F250,I250)*H250/F250)*100,2),"")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41" t="n"/>
      <c r="I251" s="240" t="n"/>
      <c r="J251" s="177" t="n"/>
      <c r="K251" s="241" t="n"/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IF(AND(ISNUMBER(F251),ISNUMBER(I251),ISNUMBER(H251),ISNUMBER(K251),F251&gt;0,I251&gt;0,H251&lt;&gt;0),ROUND(MIN(F251,I251)*(K251/I251-H251/F251),8),"")</f>
        <v/>
      </c>
      <c r="O251" s="177" t="str">
        <f>IF(ISNUMBER(N251),ROUND(N251/(MIN(F251,I251)*H251/F251)*100,2),"")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47" t="n"/>
      <c r="I252" s="246" t="n"/>
      <c r="J252" s="183" t="n"/>
      <c r="K252" s="247" t="n"/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IF(AND(ISNUMBER(F252),ISNUMBER(I252),ISNUMBER(H252),ISNUMBER(K252),F252&gt;0,I252&gt;0,H252&lt;&gt;0),ROUND(MIN(F252,I252)*(K252/I252-H252/F252),8),"")</f>
        <v/>
      </c>
      <c r="O252" s="183" t="str">
        <f>IF(ISNUMBER(N252),ROUND(N252/(MIN(F252,I252)*H252/F252)*100,2),"")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41" t="n"/>
      <c r="I253" s="240" t="n"/>
      <c r="J253" s="177" t="n"/>
      <c r="K253" s="241" t="n"/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IF(AND(ISNUMBER(F253),ISNUMBER(I253),ISNUMBER(H253),ISNUMBER(K253),F253&gt;0,I253&gt;0,H253&lt;&gt;0),ROUND(MIN(F253,I253)*(K253/I253-H253/F253),8),"")</f>
        <v/>
      </c>
      <c r="O253" s="177" t="str">
        <f>IF(ISNUMBER(N253),ROUND(N253/(MIN(F253,I253)*H253/F253)*100,2),"")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47" t="n"/>
      <c r="I254" s="246" t="n"/>
      <c r="J254" s="183" t="n"/>
      <c r="K254" s="247" t="n"/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IF(AND(ISNUMBER(F254),ISNUMBER(I254),ISNUMBER(H254),ISNUMBER(K254),F254&gt;0,I254&gt;0,H254&lt;&gt;0),ROUND(MIN(F254,I254)*(K254/I254-H254/F254),8),"")</f>
        <v/>
      </c>
      <c r="O254" s="183" t="str">
        <f>IF(ISNUMBER(N254),ROUND(N254/(MIN(F254,I254)*H254/F254)*100,2),"")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41" t="n"/>
      <c r="I255" s="240" t="n"/>
      <c r="J255" s="177" t="n"/>
      <c r="K255" s="241" t="n"/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IF(AND(ISNUMBER(F255),ISNUMBER(I255),ISNUMBER(H255),ISNUMBER(K255),F255&gt;0,I255&gt;0,H255&lt;&gt;0),ROUND(MIN(F255,I255)*(K255/I255-H255/F255),8),"")</f>
        <v/>
      </c>
      <c r="O255" s="177" t="str">
        <f>IF(ISNUMBER(N255),ROUND(N255/(MIN(F255,I255)*H255/F255)*100,2),"")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47" t="n"/>
      <c r="I256" s="246" t="n"/>
      <c r="J256" s="183" t="n"/>
      <c r="K256" s="247" t="n"/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IF(AND(ISNUMBER(F256),ISNUMBER(I256),ISNUMBER(H256),ISNUMBER(K256),F256&gt;0,I256&gt;0,H256&lt;&gt;0),ROUND(MIN(F256,I256)*(K256/I256-H256/F256),8),"")</f>
        <v/>
      </c>
      <c r="O256" s="183" t="str">
        <f>IF(ISNUMBER(N256),ROUND(N256/(MIN(F256,I256)*H256/F256)*100,2),"")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41" t="n"/>
      <c r="I257" s="240" t="n"/>
      <c r="J257" s="177" t="n"/>
      <c r="K257" s="241" t="n"/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IF(AND(ISNUMBER(F257),ISNUMBER(I257),ISNUMBER(H257),ISNUMBER(K257),F257&gt;0,I257&gt;0,H257&lt;&gt;0),ROUND(MIN(F257,I257)*(K257/I257-H257/F257),8),"")</f>
        <v/>
      </c>
      <c r="O257" s="177" t="str">
        <f>IF(ISNUMBER(N257),ROUND(N257/(MIN(F257,I257)*H257/F257)*100,2),"")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47" t="n"/>
      <c r="I258" s="246" t="n"/>
      <c r="J258" s="183" t="n"/>
      <c r="K258" s="247" t="n"/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IF(AND(ISNUMBER(F258),ISNUMBER(I258),ISNUMBER(H258),ISNUMBER(K258),F258&gt;0,I258&gt;0,H258&lt;&gt;0),ROUND(MIN(F258,I258)*(K258/I258-H258/F258),8),"")</f>
        <v/>
      </c>
      <c r="O258" s="183" t="str">
        <f>IF(ISNUMBER(N258),ROUND(N258/(MIN(F258,I258)*H258/F258)*100,2),"")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41" t="n"/>
      <c r="I259" s="240" t="n"/>
      <c r="J259" s="177" t="n"/>
      <c r="K259" s="241" t="n"/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IF(AND(ISNUMBER(F259),ISNUMBER(I259),ISNUMBER(H259),ISNUMBER(K259),F259&gt;0,I259&gt;0,H259&lt;&gt;0),ROUND(MIN(F259,I259)*(K259/I259-H259/F259),8),"")</f>
        <v/>
      </c>
      <c r="O259" s="177" t="str">
        <f>IF(ISNUMBER(N259),ROUND(N259/(MIN(F259,I259)*H259/F259)*100,2),"")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47" t="n"/>
      <c r="I260" s="246" t="n"/>
      <c r="J260" s="183" t="n"/>
      <c r="K260" s="247" t="n"/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IF(AND(ISNUMBER(F260),ISNUMBER(I260),ISNUMBER(H260),ISNUMBER(K260),F260&gt;0,I260&gt;0,H260&lt;&gt;0),ROUND(MIN(F260,I260)*(K260/I260-H260/F260),8),"")</f>
        <v/>
      </c>
      <c r="O260" s="183" t="str">
        <f>IF(ISNUMBER(N260),ROUND(N260/(MIN(F260,I260)*H260/F260)*100,2),"")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41" t="n"/>
      <c r="I261" s="240" t="n"/>
      <c r="J261" s="177" t="n"/>
      <c r="K261" s="241" t="n"/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IF(AND(ISNUMBER(F261),ISNUMBER(I261),ISNUMBER(H261),ISNUMBER(K261),F261&gt;0,I261&gt;0,H261&lt;&gt;0),ROUND(MIN(F261,I261)*(K261/I261-H261/F261),8),"")</f>
        <v/>
      </c>
      <c r="O261" s="177" t="str">
        <f>IF(ISNUMBER(N261),ROUND(N261/(MIN(F261,I261)*H261/F261)*100,2),"")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47" t="n"/>
      <c r="I262" s="246" t="n"/>
      <c r="J262" s="183" t="n"/>
      <c r="K262" s="247" t="n"/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IF(AND(ISNUMBER(F262),ISNUMBER(I262),ISNUMBER(H262),ISNUMBER(K262),F262&gt;0,I262&gt;0,H262&lt;&gt;0),ROUND(MIN(F262,I262)*(K262/I262-H262/F262),8),"")</f>
        <v/>
      </c>
      <c r="O262" s="183" t="str">
        <f>IF(ISNUMBER(N262),ROUND(N262/(MIN(F262,I262)*H262/F262)*100,2),"")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41" t="n"/>
      <c r="I263" s="240" t="n"/>
      <c r="J263" s="177" t="n"/>
      <c r="K263" s="241" t="n"/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IF(AND(ISNUMBER(F263),ISNUMBER(I263),ISNUMBER(H263),ISNUMBER(K263),F263&gt;0,I263&gt;0,H263&lt;&gt;0),ROUND(MIN(F263,I263)*(K263/I263-H263/F263),8),"")</f>
        <v/>
      </c>
      <c r="O263" s="177" t="str">
        <f>IF(ISNUMBER(N263),ROUND(N263/(MIN(F263,I263)*H263/F263)*100,2),"")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47" t="n"/>
      <c r="I264" s="246" t="n"/>
      <c r="J264" s="183" t="n"/>
      <c r="K264" s="247" t="n"/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IF(AND(ISNUMBER(F264),ISNUMBER(I264),ISNUMBER(H264),ISNUMBER(K264),F264&gt;0,I264&gt;0,H264&lt;&gt;0),ROUND(MIN(F264,I264)*(K264/I264-H264/F264),8),"")</f>
        <v/>
      </c>
      <c r="O264" s="183" t="str">
        <f>IF(ISNUMBER(N264),ROUND(N264/(MIN(F264,I264)*H264/F264)*100,2),"")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41" t="n"/>
      <c r="I265" s="240" t="n"/>
      <c r="J265" s="177" t="n"/>
      <c r="K265" s="241" t="n"/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IF(AND(ISNUMBER(F265),ISNUMBER(I265),ISNUMBER(H265),ISNUMBER(K265),F265&gt;0,I265&gt;0,H265&lt;&gt;0),ROUND(MIN(F265,I265)*(K265/I265-H265/F265),8),"")</f>
        <v/>
      </c>
      <c r="O265" s="177" t="str">
        <f>IF(ISNUMBER(N265),ROUND(N265/(MIN(F265,I265)*H265/F265)*100,2),"")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47" t="n"/>
      <c r="I266" s="246" t="n"/>
      <c r="J266" s="183" t="n"/>
      <c r="K266" s="247" t="n"/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IF(AND(ISNUMBER(F266),ISNUMBER(I266),ISNUMBER(H266),ISNUMBER(K266),F266&gt;0,I266&gt;0,H266&lt;&gt;0),ROUND(MIN(F266,I266)*(K266/I266-H266/F266),8),"")</f>
        <v/>
      </c>
      <c r="O266" s="183" t="str">
        <f>IF(ISNUMBER(N266),ROUND(N266/(MIN(F266,I266)*H266/F266)*100,2),"")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41" t="n"/>
      <c r="I267" s="240" t="n"/>
      <c r="J267" s="177" t="n"/>
      <c r="K267" s="241" t="n"/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IF(AND(ISNUMBER(F267),ISNUMBER(I267),ISNUMBER(H267),ISNUMBER(K267),F267&gt;0,I267&gt;0,H267&lt;&gt;0),ROUND(MIN(F267,I267)*(K267/I267-H267/F267),8),"")</f>
        <v/>
      </c>
      <c r="O267" s="177" t="str">
        <f>IF(ISNUMBER(N267),ROUND(N267/(MIN(F267,I267)*H267/F267)*100,2),"")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47" t="n"/>
      <c r="I268" s="246" t="n"/>
      <c r="J268" s="183" t="n"/>
      <c r="K268" s="247" t="n"/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IF(AND(ISNUMBER(F268),ISNUMBER(I268),ISNUMBER(H268),ISNUMBER(K268),F268&gt;0,I268&gt;0,H268&lt;&gt;0),ROUND(MIN(F268,I268)*(K268/I268-H268/F268),8),"")</f>
        <v/>
      </c>
      <c r="O268" s="183" t="str">
        <f>IF(ISNUMBER(N268),ROUND(N268/(MIN(F268,I268)*H268/F268)*100,2),"")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41" t="n"/>
      <c r="I269" s="240" t="n"/>
      <c r="J269" s="177" t="n"/>
      <c r="K269" s="241" t="n"/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IF(AND(ISNUMBER(F269),ISNUMBER(I269),ISNUMBER(H269),ISNUMBER(K269),F269&gt;0,I269&gt;0,H269&lt;&gt;0),ROUND(MIN(F269,I269)*(K269/I269-H269/F269),8),"")</f>
        <v/>
      </c>
      <c r="O269" s="177" t="str">
        <f>IF(ISNUMBER(N269),ROUND(N269/(MIN(F269,I269)*H269/F269)*100,2),"")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47" t="n"/>
      <c r="I270" s="246" t="n"/>
      <c r="J270" s="183" t="n"/>
      <c r="K270" s="247" t="n"/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IF(AND(ISNUMBER(F270),ISNUMBER(I270),ISNUMBER(H270),ISNUMBER(K270),F270&gt;0,I270&gt;0,H270&lt;&gt;0),ROUND(MIN(F270,I270)*(K270/I270-H270/F270),8),"")</f>
        <v/>
      </c>
      <c r="O270" s="183" t="str">
        <f>IF(ISNUMBER(N270),ROUND(N270/(MIN(F270,I270)*H270/F270)*100,2),"")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41" t="n"/>
      <c r="I271" s="240" t="n"/>
      <c r="J271" s="177" t="n"/>
      <c r="K271" s="241" t="n"/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IF(AND(ISNUMBER(F271),ISNUMBER(I271),ISNUMBER(H271),ISNUMBER(K271),F271&gt;0,I271&gt;0,H271&lt;&gt;0),ROUND(MIN(F271,I271)*(K271/I271-H271/F271),8),"")</f>
        <v/>
      </c>
      <c r="O271" s="177" t="str">
        <f>IF(ISNUMBER(N271),ROUND(N271/(MIN(F271,I271)*H271/F271)*100,2),"")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47" t="n"/>
      <c r="I272" s="246" t="n"/>
      <c r="J272" s="183" t="n"/>
      <c r="K272" s="247" t="n"/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IF(AND(ISNUMBER(F272),ISNUMBER(I272),ISNUMBER(H272),ISNUMBER(K272),F272&gt;0,I272&gt;0,H272&lt;&gt;0),ROUND(MIN(F272,I272)*(K272/I272-H272/F272),8),"")</f>
        <v/>
      </c>
      <c r="O272" s="183" t="str">
        <f>IF(ISNUMBER(N272),ROUND(N272/(MIN(F272,I272)*H272/F272)*100,2),"")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41" t="n"/>
      <c r="I273" s="240" t="n"/>
      <c r="J273" s="177" t="n"/>
      <c r="K273" s="241" t="n"/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IF(AND(ISNUMBER(F273),ISNUMBER(I273),ISNUMBER(H273),ISNUMBER(K273),F273&gt;0,I273&gt;0,H273&lt;&gt;0),ROUND(MIN(F273,I273)*(K273/I273-H273/F273),8),"")</f>
        <v/>
      </c>
      <c r="O273" s="177" t="str">
        <f>IF(ISNUMBER(N273),ROUND(N273/(MIN(F273,I273)*H273/F273)*100,2),"")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47" t="n"/>
      <c r="I274" s="246" t="n"/>
      <c r="J274" s="183" t="n"/>
      <c r="K274" s="247" t="n"/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IF(AND(ISNUMBER(F274),ISNUMBER(I274),ISNUMBER(H274),ISNUMBER(K274),F274&gt;0,I274&gt;0,H274&lt;&gt;0),ROUND(MIN(F274,I274)*(K274/I274-H274/F274),8),"")</f>
        <v/>
      </c>
      <c r="O274" s="183" t="str">
        <f>IF(ISNUMBER(N274),ROUND(N274/(MIN(F274,I274)*H274/F274)*100,2),"")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41" t="n"/>
      <c r="I275" s="240" t="n"/>
      <c r="J275" s="177" t="n"/>
      <c r="K275" s="241" t="n"/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IF(AND(ISNUMBER(F275),ISNUMBER(I275),ISNUMBER(H275),ISNUMBER(K275),F275&gt;0,I275&gt;0,H275&lt;&gt;0),ROUND(MIN(F275,I275)*(K275/I275-H275/F275),8),"")</f>
        <v/>
      </c>
      <c r="O275" s="177" t="str">
        <f>IF(ISNUMBER(N275),ROUND(N275/(MIN(F275,I275)*H275/F275)*100,2),"")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47" t="n"/>
      <c r="I276" s="246" t="n"/>
      <c r="J276" s="183" t="n"/>
      <c r="K276" s="247" t="n"/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IF(AND(ISNUMBER(F276),ISNUMBER(I276),ISNUMBER(H276),ISNUMBER(K276),F276&gt;0,I276&gt;0,H276&lt;&gt;0),ROUND(MIN(F276,I276)*(K276/I276-H276/F276),8),"")</f>
        <v/>
      </c>
      <c r="O276" s="183" t="str">
        <f>IF(ISNUMBER(N276),ROUND(N276/(MIN(F276,I276)*H276/F276)*100,2),"")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41" t="n"/>
      <c r="I277" s="240" t="n"/>
      <c r="J277" s="177" t="n"/>
      <c r="K277" s="241" t="n"/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IF(AND(ISNUMBER(F277),ISNUMBER(I277),ISNUMBER(H277),ISNUMBER(K277),F277&gt;0,I277&gt;0,H277&lt;&gt;0),ROUND(MIN(F277,I277)*(K277/I277-H277/F277),8),"")</f>
        <v/>
      </c>
      <c r="O277" s="177" t="str">
        <f>IF(ISNUMBER(N277),ROUND(N277/(MIN(F277,I277)*H277/F277)*100,2),"")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47" t="n"/>
      <c r="I278" s="246" t="n"/>
      <c r="J278" s="183" t="n"/>
      <c r="K278" s="247" t="n"/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IF(AND(ISNUMBER(F278),ISNUMBER(I278),ISNUMBER(H278),ISNUMBER(K278),F278&gt;0,I278&gt;0,H278&lt;&gt;0),ROUND(MIN(F278,I278)*(K278/I278-H278/F278),8),"")</f>
        <v/>
      </c>
      <c r="O278" s="183" t="str">
        <f>IF(ISNUMBER(N278),ROUND(N278/(MIN(F278,I278)*H278/F278)*100,2),"")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41" t="n"/>
      <c r="I279" s="240" t="n"/>
      <c r="J279" s="177" t="n"/>
      <c r="K279" s="241" t="n"/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IF(AND(ISNUMBER(F279),ISNUMBER(I279),ISNUMBER(H279),ISNUMBER(K279),F279&gt;0,I279&gt;0,H279&lt;&gt;0),ROUND(MIN(F279,I279)*(K279/I279-H279/F279),8),"")</f>
        <v/>
      </c>
      <c r="O279" s="177" t="str">
        <f>IF(ISNUMBER(N279),ROUND(N279/(MIN(F279,I279)*H279/F279)*100,2),"")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47" t="n"/>
      <c r="I280" s="246" t="n"/>
      <c r="J280" s="183" t="n"/>
      <c r="K280" s="247" t="n"/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IF(AND(ISNUMBER(F280),ISNUMBER(I280),ISNUMBER(H280),ISNUMBER(K280),F280&gt;0,I280&gt;0,H280&lt;&gt;0),ROUND(MIN(F280,I280)*(K280/I280-H280/F280),8),"")</f>
        <v/>
      </c>
      <c r="O280" s="183" t="str">
        <f>IF(ISNUMBER(N280),ROUND(N280/(MIN(F280,I280)*H280/F280)*100,2),"")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41" t="n"/>
      <c r="I281" s="240" t="n"/>
      <c r="J281" s="177" t="n"/>
      <c r="K281" s="241" t="n"/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IF(AND(ISNUMBER(F281),ISNUMBER(I281),ISNUMBER(H281),ISNUMBER(K281),F281&gt;0,I281&gt;0,H281&lt;&gt;0),ROUND(MIN(F281,I281)*(K281/I281-H281/F281),8),"")</f>
        <v/>
      </c>
      <c r="O281" s="177" t="str">
        <f>IF(ISNUMBER(N281),ROUND(N281/(MIN(F281,I281)*H281/F281)*100,2),"")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47" t="n"/>
      <c r="I282" s="246" t="n"/>
      <c r="J282" s="183" t="n"/>
      <c r="K282" s="247" t="n"/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IF(AND(ISNUMBER(F282),ISNUMBER(I282),ISNUMBER(H282),ISNUMBER(K282),F282&gt;0,I282&gt;0,H282&lt;&gt;0),ROUND(MIN(F282,I282)*(K282/I282-H282/F282),8),"")</f>
        <v/>
      </c>
      <c r="O282" s="183" t="str">
        <f>IF(ISNUMBER(N282),ROUND(N282/(MIN(F282,I282)*H282/F282)*100,2),"")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41" t="n"/>
      <c r="I283" s="240" t="n"/>
      <c r="J283" s="177" t="n"/>
      <c r="K283" s="241" t="n"/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IF(AND(ISNUMBER(F283),ISNUMBER(I283),ISNUMBER(H283),ISNUMBER(K283),F283&gt;0,I283&gt;0,H283&lt;&gt;0),ROUND(MIN(F283,I283)*(K283/I283-H283/F283),8),"")</f>
        <v/>
      </c>
      <c r="O283" s="177" t="str">
        <f>IF(ISNUMBER(N283),ROUND(N283/(MIN(F283,I283)*H283/F283)*100,2),"")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47" t="n"/>
      <c r="I284" s="246" t="n"/>
      <c r="J284" s="183" t="n"/>
      <c r="K284" s="247" t="n"/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IF(AND(ISNUMBER(F284),ISNUMBER(I284),ISNUMBER(H284),ISNUMBER(K284),F284&gt;0,I284&gt;0,H284&lt;&gt;0),ROUND(MIN(F284,I284)*(K284/I284-H284/F284),8),"")</f>
        <v/>
      </c>
      <c r="O284" s="183" t="str">
        <f>IF(ISNUMBER(N284),ROUND(N284/(MIN(F284,I284)*H284/F284)*100,2),"")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41" t="n"/>
      <c r="I285" s="240" t="n"/>
      <c r="J285" s="177" t="n"/>
      <c r="K285" s="241" t="n"/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IF(AND(ISNUMBER(F285),ISNUMBER(I285),ISNUMBER(H285),ISNUMBER(K285),F285&gt;0,I285&gt;0,H285&lt;&gt;0),ROUND(MIN(F285,I285)*(K285/I285-H285/F285),8),"")</f>
        <v/>
      </c>
      <c r="O285" s="177" t="str">
        <f>IF(ISNUMBER(N285),ROUND(N285/(MIN(F285,I285)*H285/F285)*100,2),"")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47" t="n"/>
      <c r="I286" s="246" t="n"/>
      <c r="J286" s="183" t="n"/>
      <c r="K286" s="247" t="n"/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IF(AND(ISNUMBER(F286),ISNUMBER(I286),ISNUMBER(H286),ISNUMBER(K286),F286&gt;0,I286&gt;0,H286&lt;&gt;0),ROUND(MIN(F286,I286)*(K286/I286-H286/F286),8),"")</f>
        <v/>
      </c>
      <c r="O286" s="183" t="str">
        <f>IF(ISNUMBER(N286),ROUND(N286/(MIN(F286,I286)*H286/F286)*100,2),"")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41" t="n"/>
      <c r="I287" s="240" t="n"/>
      <c r="J287" s="177" t="n"/>
      <c r="K287" s="241" t="n"/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IF(AND(ISNUMBER(F287),ISNUMBER(I287),ISNUMBER(H287),ISNUMBER(K287),F287&gt;0,I287&gt;0,H287&lt;&gt;0),ROUND(MIN(F287,I287)*(K287/I287-H287/F287),8),"")</f>
        <v/>
      </c>
      <c r="O287" s="177" t="str">
        <f>IF(ISNUMBER(N287),ROUND(N287/(MIN(F287,I287)*H287/F287)*100,2),"")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47" t="n"/>
      <c r="I288" s="246" t="n"/>
      <c r="J288" s="183" t="n"/>
      <c r="K288" s="247" t="n"/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IF(AND(ISNUMBER(F288),ISNUMBER(I288),ISNUMBER(H288),ISNUMBER(K288),F288&gt;0,I288&gt;0,H288&lt;&gt;0),ROUND(MIN(F288,I288)*(K288/I288-H288/F288),8),"")</f>
        <v/>
      </c>
      <c r="O288" s="183" t="str">
        <f>IF(ISNUMBER(N288),ROUND(N288/(MIN(F288,I288)*H288/F288)*100,2),"")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41" t="n"/>
      <c r="I289" s="240" t="n"/>
      <c r="J289" s="177" t="n"/>
      <c r="K289" s="241" t="n"/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IF(AND(ISNUMBER(F289),ISNUMBER(I289),ISNUMBER(H289),ISNUMBER(K289),F289&gt;0,I289&gt;0,H289&lt;&gt;0),ROUND(MIN(F289,I289)*(K289/I289-H289/F289),8),"")</f>
        <v/>
      </c>
      <c r="O289" s="177" t="str">
        <f>IF(ISNUMBER(N289),ROUND(N289/(MIN(F289,I289)*H289/F289)*100,2),"")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47" t="n"/>
      <c r="I290" s="246" t="n"/>
      <c r="J290" s="183" t="n"/>
      <c r="K290" s="247" t="n"/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IF(AND(ISNUMBER(F290),ISNUMBER(I290),ISNUMBER(H290),ISNUMBER(K290),F290&gt;0,I290&gt;0,H290&lt;&gt;0),ROUND(MIN(F290,I290)*(K290/I290-H290/F290),8),"")</f>
        <v/>
      </c>
      <c r="O290" s="183" t="str">
        <f>IF(ISNUMBER(N290),ROUND(N290/(MIN(F290,I290)*H290/F290)*100,2),"")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41" t="n"/>
      <c r="I291" s="240" t="n"/>
      <c r="J291" s="177" t="n"/>
      <c r="K291" s="241" t="n"/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IF(AND(ISNUMBER(F291),ISNUMBER(I291),ISNUMBER(H291),ISNUMBER(K291),F291&gt;0,I291&gt;0,H291&lt;&gt;0),ROUND(MIN(F291,I291)*(K291/I291-H291/F291),8),"")</f>
        <v/>
      </c>
      <c r="O291" s="177" t="str">
        <f>IF(ISNUMBER(N291),ROUND(N291/(MIN(F291,I291)*H291/F291)*100,2),"")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47" t="n"/>
      <c r="I292" s="246" t="n"/>
      <c r="J292" s="183" t="n"/>
      <c r="K292" s="247" t="n"/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IF(AND(ISNUMBER(F292),ISNUMBER(I292),ISNUMBER(H292),ISNUMBER(K292),F292&gt;0,I292&gt;0,H292&lt;&gt;0),ROUND(MIN(F292,I292)*(K292/I292-H292/F292),8),"")</f>
        <v/>
      </c>
      <c r="O292" s="183" t="str">
        <f>IF(ISNUMBER(N292),ROUND(N292/(MIN(F292,I292)*H292/F292)*100,2),"")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41" t="n"/>
      <c r="I293" s="240" t="n"/>
      <c r="J293" s="177" t="n"/>
      <c r="K293" s="241" t="n"/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IF(AND(ISNUMBER(F293),ISNUMBER(I293),ISNUMBER(H293),ISNUMBER(K293),F293&gt;0,I293&gt;0,H293&lt;&gt;0),ROUND(MIN(F293,I293)*(K293/I293-H293/F293),8),"")</f>
        <v/>
      </c>
      <c r="O293" s="177" t="str">
        <f>IF(ISNUMBER(N293),ROUND(N293/(MIN(F293,I293)*H293/F293)*100,2),"")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47" t="n"/>
      <c r="I294" s="246" t="n"/>
      <c r="J294" s="183" t="n"/>
      <c r="K294" s="247" t="n"/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IF(AND(ISNUMBER(F294),ISNUMBER(I294),ISNUMBER(H294),ISNUMBER(K294),F294&gt;0,I294&gt;0,H294&lt;&gt;0),ROUND(MIN(F294,I294)*(K294/I294-H294/F294),8),"")</f>
        <v/>
      </c>
      <c r="O294" s="183" t="str">
        <f>IF(ISNUMBER(N294),ROUND(N294/(MIN(F294,I294)*H294/F294)*100,2),"")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41" t="n"/>
      <c r="I295" s="240" t="n"/>
      <c r="J295" s="177" t="n"/>
      <c r="K295" s="241" t="n"/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IF(AND(ISNUMBER(F295),ISNUMBER(I295),ISNUMBER(H295),ISNUMBER(K295),F295&gt;0,I295&gt;0,H295&lt;&gt;0),ROUND(MIN(F295,I295)*(K295/I295-H295/F295),8),"")</f>
        <v/>
      </c>
      <c r="O295" s="177" t="str">
        <f>IF(ISNUMBER(N295),ROUND(N295/(MIN(F295,I295)*H295/F295)*100,2),"")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47" t="n"/>
      <c r="I296" s="246" t="n"/>
      <c r="J296" s="183" t="n"/>
      <c r="K296" s="247" t="n"/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IF(AND(ISNUMBER(F296),ISNUMBER(I296),ISNUMBER(H296),ISNUMBER(K296),F296&gt;0,I296&gt;0,H296&lt;&gt;0),ROUND(MIN(F296,I296)*(K296/I296-H296/F296),8),"")</f>
        <v/>
      </c>
      <c r="O296" s="183" t="str">
        <f>IF(ISNUMBER(N296),ROUND(N296/(MIN(F296,I296)*H296/F296)*100,2),"")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41" t="n"/>
      <c r="I297" s="240" t="n"/>
      <c r="J297" s="177" t="n"/>
      <c r="K297" s="241" t="n"/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IF(AND(ISNUMBER(F297),ISNUMBER(I297),ISNUMBER(H297),ISNUMBER(K297),F297&gt;0,I297&gt;0,H297&lt;&gt;0),ROUND(MIN(F297,I297)*(K297/I297-H297/F297),8),"")</f>
        <v/>
      </c>
      <c r="O297" s="177" t="str">
        <f>IF(ISNUMBER(N297),ROUND(N297/(MIN(F297,I297)*H297/F297)*100,2),"")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47" t="n"/>
      <c r="I298" s="246" t="n"/>
      <c r="J298" s="183" t="n"/>
      <c r="K298" s="247" t="n"/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IF(AND(ISNUMBER(F298),ISNUMBER(I298),ISNUMBER(H298),ISNUMBER(K298),F298&gt;0,I298&gt;0,H298&lt;&gt;0),ROUND(MIN(F298,I298)*(K298/I298-H298/F298),8),"")</f>
        <v/>
      </c>
      <c r="O298" s="183" t="str">
        <f>IF(ISNUMBER(N298),ROUND(N298/(MIN(F298,I298)*H298/F298)*100,2),"")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41" t="n"/>
      <c r="I299" s="240" t="n"/>
      <c r="J299" s="177" t="n"/>
      <c r="K299" s="241" t="n"/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IF(AND(ISNUMBER(F299),ISNUMBER(I299),ISNUMBER(H299),ISNUMBER(K299),F299&gt;0,I299&gt;0,H299&lt;&gt;0),ROUND(MIN(F299,I299)*(K299/I299-H299/F299),8),"")</f>
        <v/>
      </c>
      <c r="O299" s="177" t="str">
        <f>IF(ISNUMBER(N299),ROUND(N299/(MIN(F299,I299)*H299/F299)*100,2),"")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47" t="n"/>
      <c r="I300" s="246" t="n"/>
      <c r="J300" s="183" t="n"/>
      <c r="K300" s="247" t="n"/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IF(AND(ISNUMBER(F300),ISNUMBER(I300),ISNUMBER(H300),ISNUMBER(K300),F300&gt;0,I300&gt;0,H300&lt;&gt;0),ROUND(MIN(F300,I300)*(K300/I300-H300/F300),8),"")</f>
        <v/>
      </c>
      <c r="O300" s="183" t="str">
        <f>IF(ISNUMBER(N300),ROUND(N300/(MIN(F300,I300)*H300/F300)*100,2),"")</f>
        <v/>
      </c>
    </row>
  </sheetData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ETH/BTC</t>
        </is>
      </c>
      <c r="C5" s="240" t="n">
        <v>0.5</v>
      </c>
      <c r="D5" s="177" t="n">
        <v>0.0521</v>
      </c>
      <c r="E5" s="241" t="n">
        <v>0.02605</v>
      </c>
      <c r="F5" s="240" t="n">
        <v>0.5</v>
      </c>
      <c r="G5" s="177" t="n">
        <v>0.0534</v>
      </c>
      <c r="H5" s="241" t="n">
        <v>0.0267</v>
      </c>
      <c r="I5" s="240">
        <f>IF(AND(AND(ISNUMBER(C5),ISNUMBER(F5),ISNUMBER(E5),ISNUMBER(H5)),C5&gt;0,F5&gt;0,E5&lt;&gt;0),ROUND(MIN(C5,F5)*(H5/F5-E5/C5),8),"")</f>
        <v>0.00065</v>
      </c>
      <c r="J5" s="241">
        <f>IF(AND(AND(ISNUMBER(C5),ISNUMBER(F5),ISNUMBER(E5),ISNUMBER(H5)),C5&gt;0,F5&gt;0,E5&lt;&gt;0),ROUND((H5/F5)/(E5/C5)*100-100,2),"")</f>
        <v>2.5</v>
      </c>
      <c r="K5" s="240" t="n">
        <v>0.00063</v>
      </c>
      <c r="L5" s="177" t="n">
        <v>2.42</v>
      </c>
      <c r="M5" s="177" t="n">
        <v>0.0522</v>
      </c>
    </row>
    <row r="6" ht="22" customHeight="1">
      <c r="B6" s="245" t="inlineStr">
        <is>
          <t>BTC/USDT</t>
        </is>
      </c>
      <c r="C6" s="246" t="n">
        <v>0.25</v>
      </c>
      <c r="D6" s="183" t="n">
        <v>62000</v>
      </c>
      <c r="E6" s="247" t="n">
        <v>15500</v>
      </c>
      <c r="F6" s="246" t="n">
        <v>0.25</v>
      </c>
      <c r="G6" s="183" t="n">
        <v>64000</v>
      </c>
      <c r="H6" s="247" t="n">
        <v>16000</v>
      </c>
      <c r="I6" s="246">
        <f>IF(AND(AND(ISNUMBER(C6),ISNUMBER(F6),ISNUMBER(E6),ISNUMBER(H6)),C6&gt;0,F6&gt;0,E6&lt;&gt;0),ROUND(MIN(C6,F6)*(H6/F6-E6/C6),8),"")</f>
        <v>500</v>
      </c>
      <c r="J6" s="247">
        <f>IF(AND(AND(ISNUMBER(C6),ISNUMBER(F6),ISNUMBER(E6),ISNUMBER(H6)),C6&gt;0,F6&gt;0,E6&lt;&gt;0),ROUND((H6/F6)/(E6/C6)*100-100,2),"")</f>
        <v>3.23</v>
      </c>
      <c r="K6" s="246" t="n">
        <v>485</v>
      </c>
      <c r="L6" s="183" t="n">
        <v>3.13</v>
      </c>
      <c r="M6" s="183" t="n">
        <v>62155</v>
      </c>
    </row>
    <row r="7" ht="22" customHeight="1">
      <c r="B7" s="239" t="inlineStr">
        <is>
          <t>SOL/USDT</t>
        </is>
      </c>
      <c r="C7" s="240" t="n">
        <v>20</v>
      </c>
      <c r="D7" s="177" t="n">
        <v>145</v>
      </c>
      <c r="E7" s="241" t="n">
        <v>2900</v>
      </c>
      <c r="F7" s="240" t="n">
        <v>20</v>
      </c>
      <c r="G7" s="177" t="n">
        <v>139</v>
      </c>
      <c r="H7" s="241" t="n">
        <v>2780</v>
      </c>
      <c r="I7" s="240">
        <f>IF(AND(AND(ISNUMBER(C7),ISNUMBER(F7),ISNUMBER(E7),ISNUMBER(H7)),C7&gt;0,F7&gt;0,E7&lt;&gt;0),ROUND(MIN(C7,F7)*(H7/F7-E7/C7),8),"")</f>
        <v>-120</v>
      </c>
      <c r="J7" s="241">
        <f>IF(AND(AND(ISNUMBER(C7),ISNUMBER(F7),ISNUMBER(E7),ISNUMBER(H7)),C7&gt;0,F7&gt;0,E7&lt;&gt;0),ROUND((H7/F7)/(E7/C7)*100-100,2),"")</f>
        <v>-4.14</v>
      </c>
      <c r="K7" s="240" t="n">
        <v>-125</v>
      </c>
      <c r="L7" s="177" t="n">
        <v>-4.31</v>
      </c>
      <c r="M7" s="177" t="n">
        <v>145.3</v>
      </c>
    </row>
    <row r="8" ht="22" customHeight="1">
      <c r="B8" s="245" t="inlineStr">
        <is>
          <t>ETH/USDT</t>
        </is>
      </c>
      <c r="C8" s="246" t="n">
        <v>1.2</v>
      </c>
      <c r="D8" s="183" t="n">
        <v>3200</v>
      </c>
      <c r="E8" s="247" t="n">
        <v>3840</v>
      </c>
      <c r="F8" s="246" t="n">
        <v>1.2</v>
      </c>
      <c r="G8" s="183" t="n">
        <v>3350</v>
      </c>
      <c r="H8" s="247" t="n">
        <v>4020</v>
      </c>
      <c r="I8" s="246">
        <f>IF(AND(AND(ISNUMBER(C8),ISNUMBER(F8),ISNUMBER(E8),ISNUMBER(H8)),C8&gt;0,F8&gt;0,E8&lt;&gt;0),ROUND(MIN(C8,F8)*(H8/F8-E8/C8),8),"")</f>
        <v>180</v>
      </c>
      <c r="J8" s="247">
        <f>IF(AND(AND(ISNUMBER(C8),ISNUMBER(F8),ISNUMBER(E8),ISNUMBER(H8)),C8&gt;0,F8&gt;0,E8&lt;&gt;0),ROUND((H8/F8)/(E8/C8)*100-100,2),"")</f>
        <v>4.69</v>
      </c>
      <c r="K8" s="246" t="n">
        <v>175</v>
      </c>
      <c r="L8" s="183" t="n">
        <v>4.56</v>
      </c>
      <c r="M8" s="183" t="n">
        <v>3203.84</v>
      </c>
    </row>
    <row r="9" ht="22" customHeight="1">
      <c r="B9" s="239" t="inlineStr">
        <is>
          <t>BNB/USDT</t>
        </is>
      </c>
      <c r="C9" s="240" t="n">
        <v>5</v>
      </c>
      <c r="D9" s="177" t="n">
        <v>590</v>
      </c>
      <c r="E9" s="241" t="n">
        <v>2950</v>
      </c>
      <c r="F9" s="240" t="n">
        <v>5</v>
      </c>
      <c r="G9" s="177" t="n">
        <v>575</v>
      </c>
      <c r="H9" s="241" t="n">
        <v>2875</v>
      </c>
      <c r="I9" s="240">
        <f>IF(AND(AND(ISNUMBER(C9),ISNUMBER(F9),ISNUMBER(E9),ISNUMBER(H9)),C9&gt;0,F9&gt;0,E9&lt;&gt;0),ROUND(MIN(C9,F9)*(H9/F9-E9/C9),8),"")</f>
        <v>-75</v>
      </c>
      <c r="J9" s="241">
        <f>IF(AND(AND(ISNUMBER(C9),ISNUMBER(F9),ISNUMBER(E9),ISNUMBER(H9)),C9&gt;0,F9&gt;0,E9&lt;&gt;0),ROUND((H9/F9)/(E9/C9)*100-100,2),"")</f>
        <v>-2.54</v>
      </c>
      <c r="K9" s="240" t="n">
        <v>-80</v>
      </c>
      <c r="L9" s="177" t="n">
        <v>-2.71</v>
      </c>
      <c r="M9" s="177" t="n">
        <v>590.6</v>
      </c>
    </row>
    <row r="10" ht="22" customHeight="1">
      <c r="B10" s="245" t="inlineStr">
        <is>
          <t>BTC/USDT</t>
        </is>
      </c>
      <c r="C10" s="246" t="n">
        <v>0.1</v>
      </c>
      <c r="D10" s="183" t="n">
        <v>62500</v>
      </c>
      <c r="E10" s="247" t="n">
        <v>6250</v>
      </c>
      <c r="F10" s="246" t="n">
        <v>0.1</v>
      </c>
      <c r="G10" s="183" t="n">
        <v>63100</v>
      </c>
      <c r="H10" s="247" t="n">
        <v>6310</v>
      </c>
      <c r="I10" s="246">
        <f>IF(AND(AND(ISNUMBER(C10),ISNUMBER(F10),ISNUMBER(E10),ISNUMBER(H10)),C10&gt;0,F10&gt;0,E10&lt;&gt;0),ROUND(MIN(C10,F10)*(H10/F10-E10/C10),8),"")</f>
        <v>60</v>
      </c>
      <c r="J10" s="247">
        <f>IF(AND(AND(ISNUMBER(C10),ISNUMBER(F10),ISNUMBER(E10),ISNUMBER(H10)),C10&gt;0,F10&gt;0,E10&lt;&gt;0),ROUND((H10/F10)/(E10/C10)*100-100,2),"")</f>
        <v>0.96</v>
      </c>
      <c r="K10" s="246" t="n">
        <v>55</v>
      </c>
      <c r="L10" s="183" t="n">
        <v>0.88</v>
      </c>
      <c r="M10" s="183" t="n">
        <v>62512.5</v>
      </c>
    </row>
    <row r="11" ht="22" customHeight="1">
      <c r="B11" s="239" t="inlineStr">
        <is>
          <t>ETH/BTC</t>
        </is>
      </c>
      <c r="C11" s="240" t="n">
        <v>0.8</v>
      </c>
      <c r="D11" s="177" t="n">
        <v>0.0518</v>
      </c>
      <c r="E11" s="241" t="n">
        <v>0.04144</v>
      </c>
      <c r="F11" s="240" t="n">
        <v>0.8</v>
      </c>
      <c r="G11" s="177" t="n">
        <v>0.053</v>
      </c>
      <c r="H11" s="241" t="n">
        <v>0.0424</v>
      </c>
      <c r="I11" s="240">
        <f>IF(AND(AND(ISNUMBER(C11),ISNUMBER(F11),ISNUMBER(E11),ISNUMBER(H11)),C11&gt;0,F11&gt;0,E11&lt;&gt;0),ROUND(MIN(C11,F11)*(H11/F11-E11/C11),8),"")</f>
        <v>0.00096</v>
      </c>
      <c r="J11" s="241">
        <f>IF(AND(AND(ISNUMBER(C11),ISNUMBER(F11),ISNUMBER(E11),ISNUMBER(H11)),C11&gt;0,F11&gt;0,E11&lt;&gt;0),ROUND((H11/F11)/(E11/C11)*100-100,2),"")</f>
        <v>2.32</v>
      </c>
      <c r="K11" s="240" t="n">
        <v>0.00092</v>
      </c>
      <c r="L11" s="177" t="n">
        <v>2.22</v>
      </c>
      <c r="M11" s="177" t="n">
        <v>0.05185</v>
      </c>
    </row>
    <row r="12" ht="22" customHeight="1">
      <c r="B12" s="245" t="inlineStr">
        <is>
          <t>SOL/USDT</t>
        </is>
      </c>
      <c r="C12" s="246" t="n">
        <v>15</v>
      </c>
      <c r="D12" s="183" t="n">
        <v>142</v>
      </c>
      <c r="E12" s="247" t="n">
        <v>2130</v>
      </c>
      <c r="F12" s="246" t="n">
        <v>15</v>
      </c>
      <c r="G12" s="183" t="n">
        <v>147</v>
      </c>
      <c r="H12" s="247" t="n">
        <v>2205</v>
      </c>
      <c r="I12" s="246">
        <f>IF(AND(AND(ISNUMBER(C12),ISNUMBER(F12),ISNUMBER(E12),ISNUMBER(H12)),C12&gt;0,F12&gt;0,E12&lt;&gt;0),ROUND(MIN(C12,F12)*(H12/F12-E12/C12),8),"")</f>
        <v>75</v>
      </c>
      <c r="J12" s="247">
        <f>IF(AND(AND(ISNUMBER(C12),ISNUMBER(F12),ISNUMBER(E12),ISNUMBER(H12)),C12&gt;0,F12&gt;0,E12&lt;&gt;0),ROUND((H12/F12)/(E12/C12)*100-100,2),"")</f>
        <v>3.52</v>
      </c>
      <c r="K12" s="246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205"/>
      <c r="G3" s="205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>
        <v>12</v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>
        <v>15</v>
      </c>
    </row>
    <row r="7" ht="22" customHeight="1">
      <c r="B7" s="206" t="inlineStr">
        <is>
          <t>OKX</t>
        </is>
      </c>
      <c r="C7" s="207" t="n"/>
      <c r="E7" s="206" t="inlineStr">
        <is>
          <t>Пулы</t>
        </is>
      </c>
      <c r="F7" s="206" t="inlineStr">
        <is>
          <t>P</t>
        </is>
      </c>
      <c r="G7" s="206">
        <v>8</v>
      </c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>
      <c r="B11" s="207" t="n"/>
      <c r="C11" s="207" t="n"/>
    </row>
  </sheetData>
  <mergeCells count="2">
    <mergeCell ref="B1:H2"/>
    <mergeCell ref="E3:G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2026-10-07T08:56:46Z</dcterms:modified>
</cp:coreProperties>
</file>