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  <sheet xmlns:r="http://schemas.openxmlformats.org/officeDocument/2006/relationships" name="История" sheetId="11" state="visible" r:id="rId11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_FilterDatabase" localSheetId="10" hidden="1">'История'!$B$4:$M$300</definedName>
    <definedName name="_xlnm.Print_Area" localSheetId="10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T-0034</t>
        </is>
      </c>
      <c r="C5" s="314" t="n">
        <v>44835</v>
      </c>
      <c r="D5" s="313" t="n"/>
      <c r="E5" s="315" t="inlineStr">
        <is>
          <t>WAVES/BTC</t>
        </is>
      </c>
      <c r="F5" s="316" t="n">
        <v>320.86399486</v>
      </c>
      <c r="G5" s="317" t="n">
        <v>0.00023434</v>
      </c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T-0035</t>
        </is>
      </c>
      <c r="C6" s="319" t="n">
        <v>44836</v>
      </c>
      <c r="D6" s="318" t="n"/>
      <c r="E6" s="320" t="inlineStr">
        <is>
          <t>BCH/BTC</t>
        </is>
      </c>
      <c r="F6" s="321" t="n">
        <v>3.44702689</v>
      </c>
      <c r="G6" s="322" t="n">
        <v>0.01395865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T-0036</t>
        </is>
      </c>
      <c r="C7" s="314" t="n">
        <v>44837</v>
      </c>
      <c r="D7" s="313" t="n"/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1.60668304</v>
      </c>
      <c r="J7" s="317" t="n">
        <v>0.05198743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T-0037</t>
        </is>
      </c>
      <c r="C8" s="319" t="n">
        <v>45223</v>
      </c>
      <c r="D8" s="318" t="n"/>
      <c r="E8" s="320" t="inlineStr">
        <is>
          <t>LTC/ETH</t>
        </is>
      </c>
      <c r="F8" s="321" t="n">
        <v>21.548</v>
      </c>
      <c r="G8" s="322" t="n">
        <v>0.07803206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T-0038</t>
        </is>
      </c>
      <c r="C9" s="314" t="n">
        <v>45358</v>
      </c>
      <c r="D9" s="313" t="n"/>
      <c r="E9" s="315" t="inlineStr">
        <is>
          <t>LTC/BCH</t>
        </is>
      </c>
      <c r="F9" s="316" t="n">
        <v>7.38497355</v>
      </c>
      <c r="G9" s="317" t="n">
        <v>0.20521071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T-0039</t>
        </is>
      </c>
      <c r="C10" s="319" t="n">
        <v>45374</v>
      </c>
      <c r="D10" s="318" t="n"/>
      <c r="E10" s="320" t="inlineStr">
        <is>
          <t>XRP/BTC</t>
        </is>
      </c>
      <c r="F10" s="321" t="n">
        <v>374.43186582</v>
      </c>
      <c r="G10" s="322" t="n">
        <v>1.071e-05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T-0040</t>
        </is>
      </c>
      <c r="C11" s="314" t="n">
        <v>45440</v>
      </c>
      <c r="D11" s="313" t="n"/>
      <c r="E11" s="315" t="inlineStr">
        <is>
          <t>BCH/USD</t>
        </is>
      </c>
      <c r="F11" s="316" t="n"/>
      <c r="G11" s="317" t="n"/>
      <c r="H11" s="271">
        <f>IF(AND(ISNUMBER(F11),ISNUMBER(G11)),F11*G11,"")</f>
        <v/>
      </c>
      <c r="I11" s="316" t="n">
        <v>2.58441121</v>
      </c>
      <c r="J11" s="317" t="n">
        <v>522.28254087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T-0041</t>
        </is>
      </c>
      <c r="C12" s="319" t="n">
        <v>45525</v>
      </c>
      <c r="D12" s="318" t="n"/>
      <c r="E12" s="320" t="inlineStr">
        <is>
          <t>LTC/USD</t>
        </is>
      </c>
      <c r="F12" s="321" t="n"/>
      <c r="G12" s="322" t="n"/>
      <c r="H12" s="271">
        <f>IF(AND(ISNUMBER(F12),ISNUMBER(G12)),F12*G12,"")</f>
        <v/>
      </c>
      <c r="I12" s="321" t="n">
        <v>14.2505603</v>
      </c>
      <c r="J12" s="322" t="n">
        <v>79.93060267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T-0042</t>
        </is>
      </c>
      <c r="C13" s="314" t="n">
        <v>45528</v>
      </c>
      <c r="D13" s="313" t="n"/>
      <c r="E13" s="315" t="inlineStr">
        <is>
          <t>BCH/BNB</t>
        </is>
      </c>
      <c r="F13" s="316" t="n"/>
      <c r="G13" s="317" t="n"/>
      <c r="H13" s="271">
        <f>IF(AND(ISNUMBER(F13),ISNUMBER(G13)),F13*G13,"")</f>
        <v/>
      </c>
      <c r="I13" s="316" t="n">
        <v>2.907</v>
      </c>
      <c r="J13" s="317" t="n">
        <v>0.604395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T-0043</t>
        </is>
      </c>
      <c r="C14" s="319" t="n">
        <v>45630</v>
      </c>
      <c r="D14" s="318" t="n"/>
      <c r="E14" s="320" t="inlineStr">
        <is>
          <t>TRX/XRP</t>
        </is>
      </c>
      <c r="F14" s="321" t="n">
        <v>6425.2</v>
      </c>
      <c r="G14" s="322" t="n">
        <v>0.10875161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T-0044</t>
        </is>
      </c>
      <c r="C15" s="314" t="n">
        <v>45667</v>
      </c>
      <c r="D15" s="313" t="n"/>
      <c r="E15" s="315" t="inlineStr">
        <is>
          <t>BNB/BTC</t>
        </is>
      </c>
      <c r="F15" s="316" t="n"/>
      <c r="G15" s="317" t="n"/>
      <c r="H15" s="271">
        <f>IF(AND(ISNUMBER(F15),ISNUMBER(G15)),F15*G15,"")</f>
        <v/>
      </c>
      <c r="I15" s="316" t="n">
        <v>0.2</v>
      </c>
      <c r="J15" s="317" t="n">
        <v>0.00611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T-0045</t>
        </is>
      </c>
      <c r="C16" s="319" t="n">
        <v>45671</v>
      </c>
      <c r="D16" s="318" t="n"/>
      <c r="E16" s="320" t="inlineStr">
        <is>
          <t>WAVES/USD</t>
        </is>
      </c>
      <c r="F16" s="321" t="n"/>
      <c r="G16" s="322" t="n"/>
      <c r="H16" s="271">
        <f>IF(AND(ISNUMBER(F16),ISNUMBER(G16)),F16*G16,"")</f>
        <v/>
      </c>
      <c r="I16" s="321" t="n">
        <v>203.59580305</v>
      </c>
      <c r="J16" s="322" t="n">
        <v>1.935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T-0046</t>
        </is>
      </c>
      <c r="C17" s="314" t="n">
        <v>45672</v>
      </c>
      <c r="D17" s="313" t="n"/>
      <c r="E17" s="315" t="inlineStr">
        <is>
          <t>XRP/ETH</t>
        </is>
      </c>
      <c r="F17" s="316" t="n"/>
      <c r="G17" s="317" t="n"/>
      <c r="H17" s="271">
        <f>IF(AND(ISNUMBER(F17),ISNUMBER(G17)),F17*G17,"")</f>
        <v/>
      </c>
      <c r="I17" s="316" t="n">
        <v>502</v>
      </c>
      <c r="J17" s="317" t="n">
        <v>0.0007200900000000001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T-0047</t>
        </is>
      </c>
      <c r="C18" s="319" t="n">
        <v>45675</v>
      </c>
      <c r="D18" s="318" t="n"/>
      <c r="E18" s="320" t="inlineStr">
        <is>
          <t>SOL/USD</t>
        </is>
      </c>
      <c r="F18" s="321" t="n">
        <v>4.09736162</v>
      </c>
      <c r="G18" s="322" t="n">
        <v>205.33984095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T-0048</t>
        </is>
      </c>
      <c r="C19" s="314" t="n">
        <v>45675</v>
      </c>
      <c r="D19" s="313" t="n"/>
      <c r="E19" s="315" t="inlineStr">
        <is>
          <t>SOL/BNB</t>
        </is>
      </c>
      <c r="F19" s="316" t="n">
        <v>0.545</v>
      </c>
      <c r="G19" s="317" t="n">
        <v>0.28477064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T-0049</t>
        </is>
      </c>
      <c r="C20" s="319" t="n">
        <v>45675</v>
      </c>
      <c r="D20" s="318" t="n"/>
      <c r="E20" s="320" t="inlineStr">
        <is>
          <t>SOL/BTC</t>
        </is>
      </c>
      <c r="F20" s="321" t="n">
        <v>0.19</v>
      </c>
      <c r="G20" s="322" t="n">
        <v>0.0020934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T-0050</t>
        </is>
      </c>
      <c r="C21" s="314" t="n">
        <v>45677</v>
      </c>
      <c r="D21" s="313" t="n"/>
      <c r="E21" s="315" t="inlineStr">
        <is>
          <t>MNT/USDT</t>
        </is>
      </c>
      <c r="F21" s="316" t="n"/>
      <c r="G21" s="317" t="n"/>
      <c r="H21" s="271">
        <f>IF(AND(ISNUMBER(F21),ISNUMBER(G21)),F21*G21,"")</f>
        <v/>
      </c>
      <c r="I21" s="316" t="n">
        <v>114.81</v>
      </c>
      <c r="J21" s="317" t="n">
        <v>0.992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T-0051</t>
        </is>
      </c>
      <c r="C22" s="319" t="n">
        <v>45677</v>
      </c>
      <c r="D22" s="318" t="n"/>
      <c r="E22" s="320" t="inlineStr">
        <is>
          <t>ELIZAOS/USD</t>
        </is>
      </c>
      <c r="F22" s="321" t="n">
        <v>64000</v>
      </c>
      <c r="G22" s="322" t="n">
        <v>0.00182483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T-0052</t>
        </is>
      </c>
      <c r="C23" s="314" t="n">
        <v>45687</v>
      </c>
      <c r="D23" s="313" t="n"/>
      <c r="E23" s="315" t="inlineStr">
        <is>
          <t>ELIZA/SOL</t>
        </is>
      </c>
      <c r="F23" s="316" t="n">
        <v>26600</v>
      </c>
      <c r="G23" s="317" t="n">
        <v>0.00510771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T-0053</t>
        </is>
      </c>
      <c r="C24" s="319" t="n">
        <v>45692</v>
      </c>
      <c r="D24" s="318" t="n"/>
      <c r="E24" s="320" t="inlineStr">
        <is>
          <t>BCH/BNB</t>
        </is>
      </c>
      <c r="F24" s="321" t="n">
        <v>1.588</v>
      </c>
      <c r="G24" s="322" t="n">
        <v>0.72040302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T-0054</t>
        </is>
      </c>
      <c r="C25" s="314" t="n">
        <v>45720</v>
      </c>
      <c r="D25" s="313" t="n"/>
      <c r="E25" s="315" t="inlineStr">
        <is>
          <t>XLM/USD</t>
        </is>
      </c>
      <c r="F25" s="316" t="n"/>
      <c r="G25" s="317" t="n"/>
      <c r="H25" s="271">
        <f>IF(AND(ISNUMBER(F25),ISNUMBER(G25)),F25*G25,"")</f>
        <v/>
      </c>
      <c r="I25" s="316" t="n">
        <v>450</v>
      </c>
      <c r="J25" s="317" t="n">
        <v>0.15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T-0055</t>
        </is>
      </c>
      <c r="C26" s="319" t="n">
        <v>45734</v>
      </c>
      <c r="D26" s="318" t="n"/>
      <c r="E26" s="320" t="inlineStr">
        <is>
          <t>SHIB/DOGE</t>
        </is>
      </c>
      <c r="F26" s="321" t="n">
        <v>11894483</v>
      </c>
      <c r="G26" s="322" t="n">
        <v>8.698e-05</v>
      </c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T-0056</t>
        </is>
      </c>
      <c r="C27" s="314" t="n">
        <v>45734</v>
      </c>
      <c r="D27" s="313" t="n"/>
      <c r="E27" s="315" t="inlineStr">
        <is>
          <t>CAKE/BTC</t>
        </is>
      </c>
      <c r="F27" s="316" t="n">
        <v>117.96</v>
      </c>
      <c r="G27" s="317" t="n">
        <v>3.261e-05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T-0057</t>
        </is>
      </c>
      <c r="C28" s="319" t="n">
        <v>45747</v>
      </c>
      <c r="D28" s="318" t="n"/>
      <c r="E28" s="320" t="inlineStr">
        <is>
          <t>CAKE/USD</t>
        </is>
      </c>
      <c r="F28" s="321" t="n"/>
      <c r="G28" s="322" t="n"/>
      <c r="H28" s="271">
        <f>IF(AND(ISNUMBER(F28),ISNUMBER(G28)),F28*G28,"")</f>
        <v/>
      </c>
      <c r="I28" s="321" t="n">
        <v>351</v>
      </c>
      <c r="J28" s="322" t="n">
        <v>1.9325858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T-0058</t>
        </is>
      </c>
      <c r="C29" s="314" t="n">
        <v>45754</v>
      </c>
      <c r="D29" s="313" t="n"/>
      <c r="E29" s="315" t="inlineStr">
        <is>
          <t>ETH/USD</t>
        </is>
      </c>
      <c r="F29" s="316" t="n"/>
      <c r="G29" s="317" t="n"/>
      <c r="H29" s="271">
        <f>IF(AND(ISNUMBER(F29),ISNUMBER(G29)),F29*G29,"")</f>
        <v/>
      </c>
      <c r="I29" s="316" t="n">
        <v>1.54105781</v>
      </c>
      <c r="J29" s="317" t="n">
        <v>1823.70719687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T-0059</t>
        </is>
      </c>
      <c r="C30" s="319" t="n">
        <v>45755</v>
      </c>
      <c r="D30" s="318" t="n"/>
      <c r="E30" s="320" t="inlineStr">
        <is>
          <t>LTC/BTC</t>
        </is>
      </c>
      <c r="F30" s="321" t="n">
        <v>10.3761063</v>
      </c>
      <c r="G30" s="322" t="n">
        <v>0.00287154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T-0060</t>
        </is>
      </c>
      <c r="C31" s="314" t="n">
        <v>45767</v>
      </c>
      <c r="D31" s="313" t="n"/>
      <c r="E31" s="315" t="inlineStr">
        <is>
          <t>SOL/USD</t>
        </is>
      </c>
      <c r="F31" s="316" t="n"/>
      <c r="G31" s="317" t="n"/>
      <c r="H31" s="271">
        <f>IF(AND(ISNUMBER(F31),ISNUMBER(G31)),F31*G31,"")</f>
        <v/>
      </c>
      <c r="I31" s="316" t="n">
        <v>0.602</v>
      </c>
      <c r="J31" s="317" t="n">
        <v>134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T-0061</t>
        </is>
      </c>
      <c r="C32" s="319" t="n">
        <v>45776</v>
      </c>
      <c r="D32" s="318" t="n"/>
      <c r="E32" s="320" t="inlineStr">
        <is>
          <t>TRX/ETH</t>
        </is>
      </c>
      <c r="F32" s="321" t="n">
        <v>200</v>
      </c>
      <c r="G32" s="322" t="n">
        <v>0.000136</v>
      </c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T-0062</t>
        </is>
      </c>
      <c r="C33" s="314" t="n">
        <v>45791</v>
      </c>
      <c r="D33" s="313" t="n"/>
      <c r="E33" s="315" t="inlineStr">
        <is>
          <t>SOL/ETH</t>
        </is>
      </c>
      <c r="F33" s="316" t="n">
        <v>6.291</v>
      </c>
      <c r="G33" s="317" t="n">
        <v>0.0620326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T-0063</t>
        </is>
      </c>
      <c r="C34" s="319" t="n">
        <v>45813</v>
      </c>
      <c r="D34" s="318" t="n"/>
      <c r="E34" s="320" t="inlineStr">
        <is>
          <t>TRX/BTC</t>
        </is>
      </c>
      <c r="F34" s="321" t="n"/>
      <c r="G34" s="322" t="n"/>
      <c r="H34" s="271">
        <f>IF(AND(ISNUMBER(F34),ISNUMBER(G34)),F34*G34,"")</f>
        <v/>
      </c>
      <c r="I34" s="321" t="n">
        <v>524</v>
      </c>
      <c r="J34" s="322" t="n">
        <v>2.66e-06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T-0064</t>
        </is>
      </c>
      <c r="C35" s="314" t="n">
        <v>45857</v>
      </c>
      <c r="D35" s="313" t="n"/>
      <c r="E35" s="315" t="inlineStr">
        <is>
          <t>LINK/USD</t>
        </is>
      </c>
      <c r="F35" s="316" t="n"/>
      <c r="G35" s="317" t="n"/>
      <c r="H35" s="271">
        <f>IF(AND(ISNUMBER(F35),ISNUMBER(G35)),F35*G35,"")</f>
        <v/>
      </c>
      <c r="I35" s="316" t="n">
        <v>9.07</v>
      </c>
      <c r="J35" s="317" t="n">
        <v>18.47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T-0065</t>
        </is>
      </c>
      <c r="C36" s="319" t="n">
        <v>45885</v>
      </c>
      <c r="D36" s="318" t="n"/>
      <c r="E36" s="320" t="inlineStr">
        <is>
          <t>ADA/ETH</t>
        </is>
      </c>
      <c r="F36" s="321" t="n"/>
      <c r="G36" s="322" t="n"/>
      <c r="H36" s="271">
        <f>IF(AND(ISNUMBER(F36),ISNUMBER(G36)),F36*G36,"")</f>
        <v/>
      </c>
      <c r="I36" s="321" t="n">
        <v>100</v>
      </c>
      <c r="J36" s="322" t="n">
        <v>0.0002122</v>
      </c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T-0066</t>
        </is>
      </c>
      <c r="C37" s="314" t="n">
        <v>45886</v>
      </c>
      <c r="D37" s="313" t="n"/>
      <c r="E37" s="315" t="inlineStr">
        <is>
          <t>ADA/USD</t>
        </is>
      </c>
      <c r="F37" s="316" t="n"/>
      <c r="G37" s="317" t="n"/>
      <c r="H37" s="271">
        <f>IF(AND(ISNUMBER(F37),ISNUMBER(G37)),F37*G37,"")</f>
        <v/>
      </c>
      <c r="I37" s="316" t="n">
        <v>300</v>
      </c>
      <c r="J37" s="317" t="n">
        <v>0.9</v>
      </c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T-0067</t>
        </is>
      </c>
      <c r="C38" s="319" t="n">
        <v>45889</v>
      </c>
      <c r="D38" s="318" t="n"/>
      <c r="E38" s="320" t="inlineStr">
        <is>
          <t>MAGIC/BTC</t>
        </is>
      </c>
      <c r="F38" s="321" t="n">
        <v>863.4</v>
      </c>
      <c r="G38" s="322" t="n">
        <v>2.01e-06</v>
      </c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T-0068</t>
        </is>
      </c>
      <c r="C39" s="314" t="n">
        <v>45891</v>
      </c>
      <c r="D39" s="313" t="n"/>
      <c r="E39" s="315" t="inlineStr">
        <is>
          <t>BTC/USD</t>
        </is>
      </c>
      <c r="F39" s="316" t="n"/>
      <c r="G39" s="317" t="n"/>
      <c r="H39" s="271">
        <f>IF(AND(ISNUMBER(F39),ISNUMBER(G39)),F39*G39,"")</f>
        <v/>
      </c>
      <c r="I39" s="316" t="n">
        <v>0.06151</v>
      </c>
      <c r="J39" s="317" t="n">
        <v>84797.25338834</v>
      </c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T-0069</t>
        </is>
      </c>
      <c r="C40" s="319" t="n">
        <v>45913</v>
      </c>
      <c r="D40" s="318" t="n"/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0.936698</v>
      </c>
      <c r="J40" s="322" t="n">
        <v>890.83973703</v>
      </c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T-0070</t>
        </is>
      </c>
      <c r="C41" s="314" t="n">
        <v>45931</v>
      </c>
      <c r="D41" s="313" t="n"/>
      <c r="E41" s="315" t="inlineStr">
        <is>
          <t>DOGE/BTC</t>
        </is>
      </c>
      <c r="F41" s="316" t="n">
        <v>680</v>
      </c>
      <c r="G41" s="317" t="n">
        <v>2.31e-06</v>
      </c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T-0071</t>
        </is>
      </c>
      <c r="C42" s="319" t="n">
        <v>45931</v>
      </c>
      <c r="D42" s="318" t="n"/>
      <c r="E42" s="320" t="inlineStr">
        <is>
          <t>DOGE/USD</t>
        </is>
      </c>
      <c r="F42" s="321" t="n"/>
      <c r="G42" s="322" t="n"/>
      <c r="H42" s="271">
        <f>IF(AND(ISNUMBER(F42),ISNUMBER(G42)),F42*G42,"")</f>
        <v/>
      </c>
      <c r="I42" s="321" t="n">
        <v>431</v>
      </c>
      <c r="J42" s="322" t="n">
        <v>0.15121</v>
      </c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T-0072</t>
        </is>
      </c>
      <c r="C43" s="314" t="n">
        <v>45931</v>
      </c>
      <c r="D43" s="313" t="n"/>
      <c r="E43" s="315" t="inlineStr">
        <is>
          <t>CAKE/USD</t>
        </is>
      </c>
      <c r="F43" s="316" t="n">
        <v>24</v>
      </c>
      <c r="G43" s="317" t="n">
        <v>9.33208333</v>
      </c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T-0073</t>
        </is>
      </c>
      <c r="C44" s="319" t="n">
        <v>45952</v>
      </c>
      <c r="D44" s="318" t="n"/>
      <c r="E44" s="320" t="inlineStr">
        <is>
          <t>XRP/BNB</t>
        </is>
      </c>
      <c r="F44" s="321" t="n">
        <v>72.35380000000001</v>
      </c>
      <c r="G44" s="322" t="n">
        <v>0.00254955</v>
      </c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T-0074</t>
        </is>
      </c>
      <c r="C45" s="314" t="n">
        <v>45964</v>
      </c>
      <c r="D45" s="313" t="n"/>
      <c r="E45" s="315" t="inlineStr">
        <is>
          <t>BNB/USD</t>
        </is>
      </c>
      <c r="F45" s="316" t="n">
        <v>0.159</v>
      </c>
      <c r="G45" s="317" t="n">
        <v>1083.07</v>
      </c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T-0075</t>
        </is>
      </c>
      <c r="C46" s="319" t="n">
        <v>45967</v>
      </c>
      <c r="D46" s="318" t="n"/>
      <c r="E46" s="320" t="inlineStr">
        <is>
          <t>DASH/USD</t>
        </is>
      </c>
      <c r="F46" s="321" t="n"/>
      <c r="G46" s="322" t="n"/>
      <c r="H46" s="271">
        <f>IF(AND(ISNUMBER(F46),ISNUMBER(G46)),F46*G46,"")</f>
        <v/>
      </c>
      <c r="I46" s="321" t="n">
        <v>3</v>
      </c>
      <c r="J46" s="322" t="n">
        <v>59.92002</v>
      </c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T-0076</t>
        </is>
      </c>
      <c r="C47" s="314" t="n">
        <v>45981</v>
      </c>
      <c r="D47" s="313" t="n"/>
      <c r="E47" s="315" t="inlineStr">
        <is>
          <t>ZEC/USD</t>
        </is>
      </c>
      <c r="F47" s="316" t="n"/>
      <c r="G47" s="317" t="n"/>
      <c r="H47" s="271">
        <f>IF(AND(ISNUMBER(F47),ISNUMBER(G47)),F47*G47,"")</f>
        <v/>
      </c>
      <c r="I47" s="316" t="n">
        <v>0.28</v>
      </c>
      <c r="J47" s="317" t="n">
        <v>668.96428571</v>
      </c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T-0077</t>
        </is>
      </c>
      <c r="C48" s="319" t="n">
        <v>46007</v>
      </c>
      <c r="D48" s="318" t="n"/>
      <c r="E48" s="320" t="inlineStr">
        <is>
          <t>HBAR/BTC</t>
        </is>
      </c>
      <c r="F48" s="321" t="n">
        <v>433</v>
      </c>
      <c r="G48" s="322" t="n">
        <v>1.32e-06</v>
      </c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T-0078</t>
        </is>
      </c>
      <c r="C49" s="314" t="n">
        <v>46008</v>
      </c>
      <c r="D49" s="313" t="n"/>
      <c r="E49" s="315" t="inlineStr">
        <is>
          <t>BCH/BTC</t>
        </is>
      </c>
      <c r="F49" s="316" t="n"/>
      <c r="G49" s="317" t="n"/>
      <c r="H49" s="271">
        <f>IF(AND(ISNUMBER(F49),ISNUMBER(G49)),F49*G49,"")</f>
        <v/>
      </c>
      <c r="I49" s="316" t="n">
        <v>8.20261</v>
      </c>
      <c r="J49" s="317" t="n">
        <v>0.00504588</v>
      </c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T-0079</t>
        </is>
      </c>
      <c r="C50" s="319" t="n">
        <v>46008</v>
      </c>
      <c r="D50" s="318" t="n"/>
      <c r="E50" s="320" t="inlineStr">
        <is>
          <t>SOL/ETH</t>
        </is>
      </c>
      <c r="F50" s="321" t="n"/>
      <c r="G50" s="322" t="n"/>
      <c r="H50" s="271">
        <f>IF(AND(ISNUMBER(F50),ISNUMBER(G50)),F50*G50,"")</f>
        <v/>
      </c>
      <c r="I50" s="321" t="n">
        <v>2.69</v>
      </c>
      <c r="J50" s="322" t="n">
        <v>0.043</v>
      </c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T-0080</t>
        </is>
      </c>
      <c r="C51" s="314" t="n">
        <v>46113</v>
      </c>
      <c r="D51" s="313" t="n"/>
      <c r="E51" s="315" t="inlineStr">
        <is>
          <t>XRP/USD</t>
        </is>
      </c>
      <c r="F51" s="316" t="n"/>
      <c r="G51" s="317" t="n"/>
      <c r="H51" s="271">
        <f>IF(AND(ISNUMBER(F51),ISNUMBER(G51)),F51*G51,"")</f>
        <v/>
      </c>
      <c r="I51" s="316" t="n">
        <v>859.53</v>
      </c>
      <c r="J51" s="317" t="n">
        <v>1.81231104</v>
      </c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T-0081</t>
        </is>
      </c>
      <c r="C52" s="319" t="n">
        <v>46144</v>
      </c>
      <c r="D52" s="318" t="n"/>
      <c r="E52" s="320" t="inlineStr">
        <is>
          <t>DASH/BTC</t>
        </is>
      </c>
      <c r="F52" s="321" t="n"/>
      <c r="G52" s="322" t="n"/>
      <c r="H52" s="271">
        <f>IF(AND(ISNUMBER(F52),ISNUMBER(G52)),F52*G52,"")</f>
        <v/>
      </c>
      <c r="I52" s="321" t="n">
        <v>4</v>
      </c>
      <c r="J52" s="322" t="n">
        <v>0.00054855</v>
      </c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T-0082</t>
        </is>
      </c>
      <c r="C53" s="314" t="n">
        <v>46289</v>
      </c>
      <c r="D53" s="313" t="n"/>
      <c r="E53" s="315" t="inlineStr">
        <is>
          <t>LTC/BTC</t>
        </is>
      </c>
      <c r="F53" s="316" t="n"/>
      <c r="G53" s="317" t="n"/>
      <c r="H53" s="271">
        <f>IF(AND(ISNUMBER(F53),ISNUMBER(G53)),F53*G53,"")</f>
        <v/>
      </c>
      <c r="I53" s="316" t="n">
        <v>1</v>
      </c>
      <c r="J53" s="317" t="n">
        <v>0.000812</v>
      </c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T-0083</t>
        </is>
      </c>
      <c r="C54" s="319" t="n">
        <v>46290</v>
      </c>
      <c r="D54" s="318" t="n"/>
      <c r="E54" s="320" t="inlineStr">
        <is>
          <t>DASH/BTC</t>
        </is>
      </c>
      <c r="F54" s="321" t="n">
        <v>1</v>
      </c>
      <c r="G54" s="322" t="n">
        <v>0.0007219</v>
      </c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ADA/BTC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ADA/ETH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ALGO/BTC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ATOM/USD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BCH/BNB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BCH/BTC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BCH/USD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BNB/BTC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BNB/ETH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BNB/USD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BTC/USD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CAKE/BNB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CAKE/BTC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CAKE/ETH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CAKE/USD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DASH/BTC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DASH/USD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DOGE/BTC</t>
        </is>
      </c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DOGE/USD</t>
        </is>
      </c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ELIZA/SOL</t>
        </is>
      </c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ELIZAOS/USD</t>
        </is>
      </c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ETC/BNB</t>
        </is>
      </c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ETH/BTC</t>
        </is>
      </c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ETH/USD</t>
        </is>
      </c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HBAR/BTC</t>
        </is>
      </c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LINK/BTC</t>
        </is>
      </c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LINK/USD</t>
        </is>
      </c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LTC/BCH</t>
        </is>
      </c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LTC/BTC</t>
        </is>
      </c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LTC/ETH</t>
        </is>
      </c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LTC/USD</t>
        </is>
      </c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MAGIC/BTC</t>
        </is>
      </c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MNT/USDT</t>
        </is>
      </c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PAXG/USD</t>
        </is>
      </c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PYTH/SOL</t>
        </is>
      </c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SHIB/DOGE</t>
        </is>
      </c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SOL/BNB</t>
        </is>
      </c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SOL/BTC</t>
        </is>
      </c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SOL/ETH</t>
        </is>
      </c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SOL/USD</t>
        </is>
      </c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TRX/BTC</t>
        </is>
      </c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TRX/ETH</t>
        </is>
      </c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TRX/XRP</t>
        </is>
      </c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WAVES/BTC</t>
        </is>
      </c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WAVES/USD</t>
        </is>
      </c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XLM/USD</t>
        </is>
      </c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XRP/BNB</t>
        </is>
      </c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XRP/BTC</t>
        </is>
      </c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XRP/ETH</t>
        </is>
      </c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XRP/USD</t>
        </is>
      </c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ZEC/BTC</t>
        </is>
      </c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ZEC/USD</t>
        </is>
      </c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L-0011</t>
        </is>
      </c>
      <c r="C5" s="314" t="n">
        <v>45752</v>
      </c>
      <c r="D5" s="313" t="inlineStr">
        <is>
          <t>BSChain</t>
        </is>
      </c>
      <c r="E5" s="315" t="inlineStr">
        <is>
          <t>BNB/BTC</t>
        </is>
      </c>
      <c r="F5" s="316" t="n"/>
      <c r="G5" s="317" t="n"/>
      <c r="H5" s="271">
        <f>IF(AND(ISNUMBER(F5),ISNUMBER(G5)),F5*G5,"")</f>
        <v/>
      </c>
      <c r="I5" s="316" t="n">
        <v>0.93701713</v>
      </c>
      <c r="J5" s="317" t="n">
        <v>0.00686396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L-0012</t>
        </is>
      </c>
      <c r="C6" s="319" t="n">
        <v>45754</v>
      </c>
      <c r="D6" s="318" t="inlineStr">
        <is>
          <t>Arbitrum</t>
        </is>
      </c>
      <c r="E6" s="320" t="inlineStr">
        <is>
          <t>BTC/USD</t>
        </is>
      </c>
      <c r="F6" s="321" t="n"/>
      <c r="G6" s="322" t="n"/>
      <c r="H6" s="271">
        <f>IF(AND(ISNUMBER(F6),ISNUMBER(G6)),F6*G6,"")</f>
        <v/>
      </c>
      <c r="I6" s="321" t="n">
        <v>0.00475064</v>
      </c>
      <c r="J6" s="322" t="n">
        <v>85055.90825656999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L-0013</t>
        </is>
      </c>
      <c r="C7" s="314" t="n">
        <v>45754</v>
      </c>
      <c r="D7" s="313" t="inlineStr">
        <is>
          <t>Arbitrum</t>
        </is>
      </c>
      <c r="E7" s="315" t="inlineStr">
        <is>
          <t>BTC/USD</t>
        </is>
      </c>
      <c r="F7" s="316" t="n"/>
      <c r="G7" s="317" t="n"/>
      <c r="H7" s="271">
        <f>IF(AND(ISNUMBER(F7),ISNUMBER(G7)),F7*G7,"")</f>
        <v/>
      </c>
      <c r="I7" s="316" t="n">
        <v>0.0100864</v>
      </c>
      <c r="J7" s="317" t="n">
        <v>77176.19765228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L-0014</t>
        </is>
      </c>
      <c r="C8" s="319" t="n">
        <v>45755</v>
      </c>
      <c r="D8" s="318" t="inlineStr">
        <is>
          <t>Arbitrum</t>
        </is>
      </c>
      <c r="E8" s="320" t="inlineStr">
        <is>
          <t>BTC/USD</t>
        </is>
      </c>
      <c r="F8" s="321" t="n"/>
      <c r="G8" s="322" t="n"/>
      <c r="H8" s="271">
        <f>IF(AND(ISNUMBER(F8),ISNUMBER(G8)),F8*G8,"")</f>
        <v/>
      </c>
      <c r="I8" s="321" t="n">
        <v>0.01064416</v>
      </c>
      <c r="J8" s="322" t="n">
        <v>87763.61873553001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L-0015</t>
        </is>
      </c>
      <c r="C9" s="314" t="n">
        <v>45756</v>
      </c>
      <c r="D9" s="313" t="inlineStr">
        <is>
          <t>Arbitrum</t>
        </is>
      </c>
      <c r="E9" s="315" t="inlineStr">
        <is>
          <t>BTC/USD</t>
        </is>
      </c>
      <c r="F9" s="316" t="n"/>
      <c r="G9" s="317" t="n"/>
      <c r="H9" s="271">
        <f>IF(AND(ISNUMBER(F9),ISNUMBER(G9)),F9*G9,"")</f>
        <v/>
      </c>
      <c r="I9" s="316" t="n">
        <v>0.0059784</v>
      </c>
      <c r="J9" s="317" t="n">
        <v>66927.60604843999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L-0016</t>
        </is>
      </c>
      <c r="C10" s="319" t="n">
        <v>45770</v>
      </c>
      <c r="D10" s="318" t="inlineStr">
        <is>
          <t>Arbitrum</t>
        </is>
      </c>
      <c r="E10" s="320" t="inlineStr">
        <is>
          <t>ETH/USD</t>
        </is>
      </c>
      <c r="F10" s="321" t="n"/>
      <c r="G10" s="322" t="n"/>
      <c r="H10" s="271">
        <f>IF(AND(ISNUMBER(F10),ISNUMBER(G10)),F10*G10,"")</f>
        <v/>
      </c>
      <c r="I10" s="321" t="n">
        <v>0.31763997</v>
      </c>
      <c r="J10" s="322" t="n">
        <v>2218.95877902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L-0017</t>
        </is>
      </c>
      <c r="C11" s="314" t="n">
        <v>45771</v>
      </c>
      <c r="D11" s="313" t="inlineStr">
        <is>
          <t>Arbitrum</t>
        </is>
      </c>
      <c r="E11" s="315" t="inlineStr">
        <is>
          <t>ETH/USD</t>
        </is>
      </c>
      <c r="F11" s="316" t="n"/>
      <c r="G11" s="317" t="n"/>
      <c r="H11" s="271">
        <f>IF(AND(ISNUMBER(F11),ISNUMBER(G11)),F11*G11,"")</f>
        <v/>
      </c>
      <c r="I11" s="316" t="n">
        <v>0.29844598</v>
      </c>
      <c r="J11" s="317" t="n">
        <v>2457.1280873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L-0018</t>
        </is>
      </c>
      <c r="C12" s="319" t="n">
        <v>45771</v>
      </c>
      <c r="D12" s="318" t="inlineStr">
        <is>
          <t>Arbitrum</t>
        </is>
      </c>
      <c r="E12" s="320" t="inlineStr">
        <is>
          <t>ETH/USD</t>
        </is>
      </c>
      <c r="F12" s="321" t="n"/>
      <c r="G12" s="322" t="n"/>
      <c r="H12" s="271">
        <f>IF(AND(ISNUMBER(F12),ISNUMBER(G12)),F12*G12,"")</f>
        <v/>
      </c>
      <c r="I12" s="321" t="n">
        <v>0.2516742</v>
      </c>
      <c r="J12" s="322" t="n">
        <v>1987.29150624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L-0019</t>
        </is>
      </c>
      <c r="C13" s="314" t="n">
        <v>45898</v>
      </c>
      <c r="D13" s="313" t="inlineStr">
        <is>
          <t>BSChain</t>
        </is>
      </c>
      <c r="E13" s="315" t="inlineStr">
        <is>
          <t>BNB/ETH</t>
        </is>
      </c>
      <c r="F13" s="316" t="n"/>
      <c r="G13" s="317" t="n"/>
      <c r="H13" s="271">
        <f>IF(AND(ISNUMBER(F13),ISNUMBER(G13)),F13*G13,"")</f>
        <v/>
      </c>
      <c r="I13" s="316" t="n">
        <v>0.7644741900000001</v>
      </c>
      <c r="J13" s="317" t="n">
        <v>0.20742665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L-0020</t>
        </is>
      </c>
      <c r="C14" s="319" t="n">
        <v>45910</v>
      </c>
      <c r="D14" s="318" t="inlineStr">
        <is>
          <t>BSChain</t>
        </is>
      </c>
      <c r="E14" s="320" t="inlineStr">
        <is>
          <t>BNB/ETH</t>
        </is>
      </c>
      <c r="F14" s="321" t="n"/>
      <c r="G14" s="322" t="n"/>
      <c r="H14" s="271">
        <f>IF(AND(ISNUMBER(F14),ISNUMBER(G14)),F14*G14,"")</f>
        <v/>
      </c>
      <c r="I14" s="321" t="n">
        <v>0.69569238</v>
      </c>
      <c r="J14" s="322" t="n">
        <v>0.19827191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L-0021</t>
        </is>
      </c>
      <c r="C15" s="314" t="n">
        <v>45913</v>
      </c>
      <c r="D15" s="313" t="inlineStr">
        <is>
          <t>BSChain</t>
        </is>
      </c>
      <c r="E15" s="315" t="inlineStr">
        <is>
          <t>ETH/USD</t>
        </is>
      </c>
      <c r="F15" s="316" t="n">
        <v>0.11864831</v>
      </c>
      <c r="G15" s="317" t="n">
        <v>4590.28872809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L-0022</t>
        </is>
      </c>
      <c r="C16" s="319" t="n">
        <v>45918</v>
      </c>
      <c r="D16" s="318" t="inlineStr">
        <is>
          <t>BSChain</t>
        </is>
      </c>
      <c r="E16" s="320" t="inlineStr">
        <is>
          <t>BNB/ETH</t>
        </is>
      </c>
      <c r="F16" s="321" t="n"/>
      <c r="G16" s="322" t="n"/>
      <c r="H16" s="271">
        <f>IF(AND(ISNUMBER(F16),ISNUMBER(G16)),F16*G16,"")</f>
        <v/>
      </c>
      <c r="I16" s="321" t="n">
        <v>0.36972912</v>
      </c>
      <c r="J16" s="322" t="n">
        <v>0.2094858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L-0023</t>
        </is>
      </c>
      <c r="C17" s="314" t="n">
        <v>45919</v>
      </c>
      <c r="D17" s="313" t="inlineStr">
        <is>
          <t>BSChain</t>
        </is>
      </c>
      <c r="E17" s="315" t="inlineStr">
        <is>
          <t>ETH/BTC</t>
        </is>
      </c>
      <c r="F17" s="316" t="n"/>
      <c r="G17" s="317" t="n"/>
      <c r="H17" s="271">
        <f>IF(AND(ISNUMBER(F17),ISNUMBER(G17)),F17*G17,"")</f>
        <v/>
      </c>
      <c r="I17" s="316" t="n">
        <v>0.1019376</v>
      </c>
      <c r="J17" s="317" t="n">
        <v>0.02942977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L-0024</t>
        </is>
      </c>
      <c r="C18" s="319" t="n">
        <v>45920</v>
      </c>
      <c r="D18" s="318" t="inlineStr">
        <is>
          <t>BSChain</t>
        </is>
      </c>
      <c r="E18" s="320" t="inlineStr">
        <is>
          <t>ETH/BTC</t>
        </is>
      </c>
      <c r="F18" s="321" t="n"/>
      <c r="G18" s="322" t="n"/>
      <c r="H18" s="271">
        <f>IF(AND(ISNUMBER(F18),ISNUMBER(G18)),F18*G18,"")</f>
        <v/>
      </c>
      <c r="I18" s="321" t="n">
        <v>0.0513926</v>
      </c>
      <c r="J18" s="322" t="n">
        <v>0.02760981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L-0025</t>
        </is>
      </c>
      <c r="C19" s="314" t="n">
        <v>45920</v>
      </c>
      <c r="D19" s="313" t="inlineStr">
        <is>
          <t>BSChain</t>
        </is>
      </c>
      <c r="E19" s="315" t="inlineStr">
        <is>
          <t>ETH/BTC</t>
        </is>
      </c>
      <c r="F19" s="316" t="n"/>
      <c r="G19" s="317" t="n"/>
      <c r="H19" s="271">
        <f>IF(AND(ISNUMBER(F19),ISNUMBER(G19)),F19*G19,"")</f>
        <v/>
      </c>
      <c r="I19" s="316" t="n">
        <v>0.15020513</v>
      </c>
      <c r="J19" s="317" t="n">
        <v>0.0273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45924</v>
      </c>
      <c r="D20" s="318" t="inlineStr">
        <is>
          <t>BSChain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0.41297574</v>
      </c>
      <c r="J20" s="322" t="n">
        <v>0.26003251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45933</v>
      </c>
      <c r="D21" s="313" t="inlineStr">
        <is>
          <t>BSChain</t>
        </is>
      </c>
      <c r="E21" s="315" t="inlineStr">
        <is>
          <t>ETH/USD</t>
        </is>
      </c>
      <c r="F21" s="316" t="n">
        <v>0.14273233</v>
      </c>
      <c r="G21" s="317" t="n">
        <v>4679.87876328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45934</v>
      </c>
      <c r="D22" s="318" t="inlineStr">
        <is>
          <t>BSChain</t>
        </is>
      </c>
      <c r="E22" s="320" t="inlineStr">
        <is>
          <t>CAKE/BNB</t>
        </is>
      </c>
      <c r="F22" s="321" t="n">
        <v>692.39674339</v>
      </c>
      <c r="G22" s="322" t="n">
        <v>0.00353518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45937</v>
      </c>
      <c r="D23" s="313" t="inlineStr">
        <is>
          <t>BSChain</t>
        </is>
      </c>
      <c r="E23" s="315" t="inlineStr">
        <is>
          <t>ETH/USD</t>
        </is>
      </c>
      <c r="F23" s="316" t="n">
        <v>0.1</v>
      </c>
      <c r="G23" s="317" t="n">
        <v>4509.9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45937</v>
      </c>
      <c r="D24" s="318" t="inlineStr">
        <is>
          <t>BSChain</t>
        </is>
      </c>
      <c r="E24" s="320" t="inlineStr">
        <is>
          <t>ETH/BTC</t>
        </is>
      </c>
      <c r="F24" s="321" t="n">
        <v>0.532124</v>
      </c>
      <c r="G24" s="322" t="n">
        <v>0.03709008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L-0031</t>
        </is>
      </c>
      <c r="C25" s="314" t="n">
        <v>45938</v>
      </c>
      <c r="D25" s="313" t="inlineStr">
        <is>
          <t>BSChain</t>
        </is>
      </c>
      <c r="E25" s="315" t="inlineStr">
        <is>
          <t>BTC/USD</t>
        </is>
      </c>
      <c r="F25" s="316" t="n">
        <v>0.01027741</v>
      </c>
      <c r="G25" s="317" t="n">
        <v>119001.77184719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L-0032</t>
        </is>
      </c>
      <c r="C26" s="319" t="n">
        <v>45940</v>
      </c>
      <c r="D26" s="318" t="inlineStr">
        <is>
          <t>BSChain</t>
        </is>
      </c>
      <c r="E26" s="320" t="inlineStr">
        <is>
          <t>BNB/ETH</t>
        </is>
      </c>
      <c r="F26" s="321" t="n"/>
      <c r="G26" s="322" t="n"/>
      <c r="H26" s="271">
        <f>IF(AND(ISNUMBER(F26),ISNUMBER(G26)),F26*G26,"")</f>
        <v/>
      </c>
      <c r="I26" s="321" t="n">
        <v>0.41741338</v>
      </c>
      <c r="J26" s="322" t="n">
        <v>0.22696984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L-0033</t>
        </is>
      </c>
      <c r="C27" s="314" t="n">
        <v>45942</v>
      </c>
      <c r="D27" s="313" t="inlineStr">
        <is>
          <t>BSChain</t>
        </is>
      </c>
      <c r="E27" s="315" t="inlineStr">
        <is>
          <t>BNB/BTC</t>
        </is>
      </c>
      <c r="F27" s="316" t="n">
        <v>0.4579253</v>
      </c>
      <c r="G27" s="317" t="n">
        <v>0.01299773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L-0034</t>
        </is>
      </c>
      <c r="C28" s="319" t="n">
        <v>45943</v>
      </c>
      <c r="D28" s="318" t="inlineStr">
        <is>
          <t>BSChain</t>
        </is>
      </c>
      <c r="E28" s="320" t="inlineStr">
        <is>
          <t>BNB/BTC</t>
        </is>
      </c>
      <c r="F28" s="321" t="n">
        <v>0.95</v>
      </c>
      <c r="G28" s="322" t="n">
        <v>0.011835</v>
      </c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L-0035</t>
        </is>
      </c>
      <c r="C29" s="314" t="n">
        <v>45943</v>
      </c>
      <c r="D29" s="313" t="inlineStr">
        <is>
          <t>BSChain</t>
        </is>
      </c>
      <c r="E29" s="315" t="inlineStr">
        <is>
          <t>BNB/ETH</t>
        </is>
      </c>
      <c r="F29" s="316" t="n">
        <v>0.4260747</v>
      </c>
      <c r="G29" s="317" t="n">
        <v>0.328028</v>
      </c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L-0036</t>
        </is>
      </c>
      <c r="C30" s="319" t="n">
        <v>45944</v>
      </c>
      <c r="D30" s="318" t="inlineStr">
        <is>
          <t>BSChain</t>
        </is>
      </c>
      <c r="E30" s="320" t="inlineStr">
        <is>
          <t>BNB/BTC</t>
        </is>
      </c>
      <c r="F30" s="321" t="n">
        <v>0.26</v>
      </c>
      <c r="G30" s="322" t="n">
        <v>0.009052650000000001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L-0037</t>
        </is>
      </c>
      <c r="C31" s="314" t="n">
        <v>45944</v>
      </c>
      <c r="D31" s="313" t="inlineStr">
        <is>
          <t>BSChain</t>
        </is>
      </c>
      <c r="E31" s="315" t="inlineStr">
        <is>
          <t>CAKE/USD</t>
        </is>
      </c>
      <c r="F31" s="316" t="n"/>
      <c r="G31" s="317" t="n"/>
      <c r="H31" s="271">
        <f>IF(AND(ISNUMBER(F31),ISNUMBER(G31)),F31*G31,"")</f>
        <v/>
      </c>
      <c r="I31" s="316" t="n">
        <v>226.71300479</v>
      </c>
      <c r="J31" s="317" t="n">
        <v>2.34944617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L-0038</t>
        </is>
      </c>
      <c r="C32" s="319" t="n">
        <v>45944</v>
      </c>
      <c r="D32" s="318" t="inlineStr">
        <is>
          <t>BSChain</t>
        </is>
      </c>
      <c r="E32" s="320" t="inlineStr">
        <is>
          <t>CAKE/USD</t>
        </is>
      </c>
      <c r="F32" s="321" t="n"/>
      <c r="G32" s="322" t="n"/>
      <c r="H32" s="271">
        <f>IF(AND(ISNUMBER(F32),ISNUMBER(G32)),F32*G32,"")</f>
        <v/>
      </c>
      <c r="I32" s="321" t="n">
        <v>221.60808436</v>
      </c>
      <c r="J32" s="322" t="n">
        <v>1.91906356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L-0039</t>
        </is>
      </c>
      <c r="C33" s="314" t="n">
        <v>45946</v>
      </c>
      <c r="D33" s="313" t="inlineStr">
        <is>
          <t>BSChain</t>
        </is>
      </c>
      <c r="E33" s="315" t="inlineStr">
        <is>
          <t>BNB/BTC</t>
        </is>
      </c>
      <c r="F33" s="316" t="n">
        <v>0.12900377</v>
      </c>
      <c r="G33" s="317" t="n">
        <v>0.01061504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L-0040</t>
        </is>
      </c>
      <c r="C34" s="319" t="n">
        <v>45948</v>
      </c>
      <c r="D34" s="318" t="inlineStr">
        <is>
          <t>BSChain</t>
        </is>
      </c>
      <c r="E34" s="320" t="inlineStr">
        <is>
          <t>CAKE/BTC</t>
        </is>
      </c>
      <c r="F34" s="321" t="n"/>
      <c r="G34" s="322" t="n"/>
      <c r="H34" s="271">
        <f>IF(AND(ISNUMBER(F34),ISNUMBER(G34)),F34*G34,"")</f>
        <v/>
      </c>
      <c r="I34" s="321" t="n">
        <v>946.1701865700001</v>
      </c>
      <c r="J34" s="322" t="n">
        <v>2.256e-05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L-0041</t>
        </is>
      </c>
      <c r="C35" s="314" t="n">
        <v>45948</v>
      </c>
      <c r="D35" s="313" t="inlineStr">
        <is>
          <t>BSChain</t>
        </is>
      </c>
      <c r="E35" s="315" t="inlineStr">
        <is>
          <t>CAKE/ETH</t>
        </is>
      </c>
      <c r="F35" s="316" t="n">
        <v>851.786109</v>
      </c>
      <c r="G35" s="317" t="n">
        <v>0.0010588</v>
      </c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L-0042</t>
        </is>
      </c>
      <c r="C36" s="319" t="n">
        <v>45957</v>
      </c>
      <c r="D36" s="318" t="inlineStr">
        <is>
          <t>BSChain</t>
        </is>
      </c>
      <c r="E36" s="320" t="inlineStr">
        <is>
          <t>BNB/USD</t>
        </is>
      </c>
      <c r="F36" s="321" t="n">
        <v>0.18193688</v>
      </c>
      <c r="G36" s="322" t="n">
        <v>1233.94443172</v>
      </c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L-0043</t>
        </is>
      </c>
      <c r="C37" s="314" t="n">
        <v>45963</v>
      </c>
      <c r="D37" s="313" t="inlineStr">
        <is>
          <t>BSChain</t>
        </is>
      </c>
      <c r="E37" s="315" t="inlineStr">
        <is>
          <t>BNB/BTC</t>
        </is>
      </c>
      <c r="F37" s="316" t="n">
        <v>0.399766</v>
      </c>
      <c r="G37" s="317" t="n">
        <v>0.00987828</v>
      </c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L-0044</t>
        </is>
      </c>
      <c r="C38" s="319" t="n">
        <v>45981</v>
      </c>
      <c r="D38" s="318" t="inlineStr">
        <is>
          <t>BSChain</t>
        </is>
      </c>
      <c r="E38" s="320" t="inlineStr">
        <is>
          <t>BNB/USD</t>
        </is>
      </c>
      <c r="F38" s="321" t="n"/>
      <c r="G38" s="322" t="n"/>
      <c r="H38" s="271">
        <f>IF(AND(ISNUMBER(F38),ISNUMBER(G38)),F38*G38,"")</f>
        <v/>
      </c>
      <c r="I38" s="321" t="n">
        <v>0.570874</v>
      </c>
      <c r="J38" s="322" t="n">
        <v>682.26964269</v>
      </c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L-0045</t>
        </is>
      </c>
      <c r="C39" s="314" t="n">
        <v>45988</v>
      </c>
      <c r="D39" s="313" t="inlineStr">
        <is>
          <t>BSChain</t>
        </is>
      </c>
      <c r="E39" s="315" t="inlineStr">
        <is>
          <t>BNB/USD</t>
        </is>
      </c>
      <c r="F39" s="316" t="n"/>
      <c r="G39" s="317" t="n"/>
      <c r="H39" s="271">
        <f>IF(AND(ISNUMBER(F39),ISNUMBER(G39)),F39*G39,"")</f>
        <v/>
      </c>
      <c r="I39" s="316" t="n">
        <v>1.43879213</v>
      </c>
      <c r="J39" s="317" t="n">
        <v>707.6213295699999</v>
      </c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L-0046</t>
        </is>
      </c>
      <c r="C40" s="319" t="n">
        <v>45988</v>
      </c>
      <c r="D40" s="318" t="inlineStr">
        <is>
          <t>BSChain</t>
        </is>
      </c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0.73155346</v>
      </c>
      <c r="J40" s="322" t="n">
        <v>664.58574333</v>
      </c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L-0047</t>
        </is>
      </c>
      <c r="C41" s="314" t="n">
        <v>46099</v>
      </c>
      <c r="D41" s="313" t="inlineStr">
        <is>
          <t>Arbitrum</t>
        </is>
      </c>
      <c r="E41" s="315" t="inlineStr">
        <is>
          <t>ETH/USD</t>
        </is>
      </c>
      <c r="F41" s="316" t="n"/>
      <c r="G41" s="317" t="n"/>
      <c r="H41" s="271">
        <f>IF(AND(ISNUMBER(F41),ISNUMBER(G41)),F41*G41,"")</f>
        <v/>
      </c>
      <c r="I41" s="316" t="n">
        <v>0.24264142</v>
      </c>
      <c r="J41" s="317" t="n">
        <v>2060.65394771</v>
      </c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L-0048</t>
        </is>
      </c>
      <c r="C42" s="319" t="n">
        <v>46116</v>
      </c>
      <c r="D42" s="318" t="inlineStr">
        <is>
          <t>BSChain</t>
        </is>
      </c>
      <c r="E42" s="320" t="inlineStr">
        <is>
          <t>BNB/ETH</t>
        </is>
      </c>
      <c r="F42" s="321" t="n">
        <v>0.49418319</v>
      </c>
      <c r="G42" s="322" t="n">
        <v>0.29360254</v>
      </c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L-0049</t>
        </is>
      </c>
      <c r="C43" s="314" t="n">
        <v>46140</v>
      </c>
      <c r="D43" s="313" t="inlineStr">
        <is>
          <t>Arbitrum</t>
        </is>
      </c>
      <c r="E43" s="315" t="inlineStr">
        <is>
          <t>BTC/USD</t>
        </is>
      </c>
      <c r="F43" s="316" t="n"/>
      <c r="G43" s="317" t="n"/>
      <c r="H43" s="271">
        <f>IF(AND(ISNUMBER(F43),ISNUMBER(G43)),F43*G43,"")</f>
        <v/>
      </c>
      <c r="I43" s="316" t="n">
        <v>0.003</v>
      </c>
      <c r="J43" s="317" t="n">
        <v>75850</v>
      </c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L-0050</t>
        </is>
      </c>
      <c r="C44" s="319" t="n">
        <v>46140</v>
      </c>
      <c r="D44" s="318" t="inlineStr">
        <is>
          <t>BSChain</t>
        </is>
      </c>
      <c r="E44" s="320" t="inlineStr">
        <is>
          <t>BNB/ETH</t>
        </is>
      </c>
      <c r="F44" s="321" t="n"/>
      <c r="G44" s="322" t="n"/>
      <c r="H44" s="271">
        <f>IF(AND(ISNUMBER(F44),ISNUMBER(G44)),F44*G44,"")</f>
        <v/>
      </c>
      <c r="I44" s="321" t="n">
        <v>0.3678136</v>
      </c>
      <c r="J44" s="322" t="n">
        <v>0.27187684</v>
      </c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L-0051</t>
        </is>
      </c>
      <c r="C45" s="314" t="n">
        <v>46151</v>
      </c>
      <c r="D45" s="313" t="inlineStr">
        <is>
          <t>BSChain</t>
        </is>
      </c>
      <c r="E45" s="315" t="inlineStr">
        <is>
          <t>BTC/USD</t>
        </is>
      </c>
      <c r="F45" s="316" t="n"/>
      <c r="G45" s="317" t="n"/>
      <c r="H45" s="271">
        <f>IF(AND(ISNUMBER(F45),ISNUMBER(G45)),F45*G45,"")</f>
        <v/>
      </c>
      <c r="I45" s="316" t="n">
        <v>0.003</v>
      </c>
      <c r="J45" s="317" t="n">
        <v>80333.33333333</v>
      </c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L-0052</t>
        </is>
      </c>
      <c r="C46" s="319" t="n">
        <v>46166</v>
      </c>
      <c r="D46" s="318" t="inlineStr">
        <is>
          <t>Arbitrum</t>
        </is>
      </c>
      <c r="E46" s="320" t="inlineStr">
        <is>
          <t>BTC/USD</t>
        </is>
      </c>
      <c r="F46" s="321" t="n"/>
      <c r="G46" s="322" t="n"/>
      <c r="H46" s="271">
        <f>IF(AND(ISNUMBER(F46),ISNUMBER(G46)),F46*G46,"")</f>
        <v/>
      </c>
      <c r="I46" s="321" t="n">
        <v>0.00654389</v>
      </c>
      <c r="J46" s="322" t="n">
        <v>76430.07446641001</v>
      </c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L-0053</t>
        </is>
      </c>
      <c r="C47" s="314" t="n">
        <v>46166</v>
      </c>
      <c r="D47" s="313" t="inlineStr">
        <is>
          <t>Arbitrum</t>
        </is>
      </c>
      <c r="E47" s="315" t="inlineStr">
        <is>
          <t>BTC/USD</t>
        </is>
      </c>
      <c r="F47" s="316" t="n"/>
      <c r="G47" s="317" t="n"/>
      <c r="H47" s="271">
        <f>IF(AND(ISNUMBER(F47),ISNUMBER(G47)),F47*G47,"")</f>
        <v/>
      </c>
      <c r="I47" s="316" t="n">
        <v>0.00654983</v>
      </c>
      <c r="J47" s="317" t="n">
        <v>76360.76050829</v>
      </c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L-0054</t>
        </is>
      </c>
      <c r="C48" s="319" t="n">
        <v>46166</v>
      </c>
      <c r="D48" s="318" t="inlineStr">
        <is>
          <t>Arbitrum</t>
        </is>
      </c>
      <c r="E48" s="320" t="inlineStr">
        <is>
          <t>ETH/USD</t>
        </is>
      </c>
      <c r="F48" s="321" t="n"/>
      <c r="G48" s="322" t="n"/>
      <c r="H48" s="271">
        <f>IF(AND(ISNUMBER(F48),ISNUMBER(G48)),F48*G48,"")</f>
        <v/>
      </c>
      <c r="I48" s="321" t="n">
        <v>0.17795638</v>
      </c>
      <c r="J48" s="322" t="n">
        <v>2093.60293798</v>
      </c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L-0055</t>
        </is>
      </c>
      <c r="C49" s="314" t="n">
        <v>46166</v>
      </c>
      <c r="D49" s="313" t="inlineStr">
        <is>
          <t>Arbitrum</t>
        </is>
      </c>
      <c r="E49" s="315" t="inlineStr">
        <is>
          <t>ETH/USD</t>
        </is>
      </c>
      <c r="F49" s="316" t="n"/>
      <c r="G49" s="317" t="n"/>
      <c r="H49" s="271">
        <f>IF(AND(ISNUMBER(F49),ISNUMBER(G49)),F49*G49,"")</f>
        <v/>
      </c>
      <c r="I49" s="316" t="n">
        <v>0.09547244000000001</v>
      </c>
      <c r="J49" s="317" t="n">
        <v>2095.47383517</v>
      </c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L-0056</t>
        </is>
      </c>
      <c r="C50" s="319" t="n">
        <v>46166</v>
      </c>
      <c r="D50" s="318" t="inlineStr">
        <is>
          <t>Arbitrum</t>
        </is>
      </c>
      <c r="E50" s="320" t="inlineStr">
        <is>
          <t>ETH/USD</t>
        </is>
      </c>
      <c r="F50" s="321" t="n"/>
      <c r="G50" s="322" t="n"/>
      <c r="H50" s="271">
        <f>IF(AND(ISNUMBER(F50),ISNUMBER(G50)),F50*G50,"")</f>
        <v/>
      </c>
      <c r="I50" s="321" t="n">
        <v>0.16133642</v>
      </c>
      <c r="J50" s="322" t="n">
        <v>2092.52194886</v>
      </c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L-0057</t>
        </is>
      </c>
      <c r="C51" s="314" t="n">
        <v>46166</v>
      </c>
      <c r="D51" s="313" t="inlineStr">
        <is>
          <t>BSChain</t>
        </is>
      </c>
      <c r="E51" s="315" t="inlineStr">
        <is>
          <t>ETH/BTC</t>
        </is>
      </c>
      <c r="F51" s="316" t="n"/>
      <c r="G51" s="317" t="n"/>
      <c r="H51" s="271">
        <f>IF(AND(ISNUMBER(F51),ISNUMBER(G51)),F51*G51,"")</f>
        <v/>
      </c>
      <c r="I51" s="316" t="n">
        <v>0.14643386</v>
      </c>
      <c r="J51" s="317" t="n">
        <v>0.02731609</v>
      </c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L-0058</t>
        </is>
      </c>
      <c r="C52" s="319" t="n">
        <v>46167</v>
      </c>
      <c r="D52" s="318" t="inlineStr">
        <is>
          <t>Arbitrum</t>
        </is>
      </c>
      <c r="E52" s="320" t="inlineStr">
        <is>
          <t>BTC/USD</t>
        </is>
      </c>
      <c r="F52" s="321" t="n"/>
      <c r="G52" s="322" t="n"/>
      <c r="H52" s="271">
        <f>IF(AND(ISNUMBER(F52),ISNUMBER(G52)),F52*G52,"")</f>
        <v/>
      </c>
      <c r="I52" s="321" t="n">
        <v>0.005813</v>
      </c>
      <c r="J52" s="322" t="n">
        <v>76922.41527611</v>
      </c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L-0059</t>
        </is>
      </c>
      <c r="C53" s="314" t="n">
        <v>46167</v>
      </c>
      <c r="D53" s="313" t="inlineStr">
        <is>
          <t>BSChain</t>
        </is>
      </c>
      <c r="E53" s="315" t="inlineStr">
        <is>
          <t>ETH/BTC</t>
        </is>
      </c>
      <c r="F53" s="316" t="n"/>
      <c r="G53" s="317" t="n"/>
      <c r="H53" s="271">
        <f>IF(AND(ISNUMBER(F53),ISNUMBER(G53)),F53*G53,"")</f>
        <v/>
      </c>
      <c r="I53" s="316" t="n">
        <v>0.18170998</v>
      </c>
      <c r="J53" s="317" t="n">
        <v>0.02751638</v>
      </c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L-0060</t>
        </is>
      </c>
      <c r="C54" s="319" t="n">
        <v>46188</v>
      </c>
      <c r="D54" s="318" t="inlineStr">
        <is>
          <t>Arbitrum</t>
        </is>
      </c>
      <c r="E54" s="320" t="inlineStr">
        <is>
          <t>BTC/USD</t>
        </is>
      </c>
      <c r="F54" s="321" t="n"/>
      <c r="G54" s="322" t="n"/>
      <c r="H54" s="271">
        <f>IF(AND(ISNUMBER(F54),ISNUMBER(G54)),F54*G54,"")</f>
        <v/>
      </c>
      <c r="I54" s="321" t="n">
        <v>0.00597</v>
      </c>
      <c r="J54" s="322" t="n">
        <v>67001.67504187999</v>
      </c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inlineStr">
        <is>
          <t>L-0061</t>
        </is>
      </c>
      <c r="C55" s="314" t="n">
        <v>46198</v>
      </c>
      <c r="D55" s="313" t="inlineStr">
        <is>
          <t>BSChain</t>
        </is>
      </c>
      <c r="E55" s="315" t="inlineStr">
        <is>
          <t>ETH/BTC</t>
        </is>
      </c>
      <c r="F55" s="316" t="n"/>
      <c r="G55" s="317" t="n"/>
      <c r="H55" s="271">
        <f>IF(AND(ISNUMBER(F55),ISNUMBER(G55)),F55*G55,"")</f>
        <v/>
      </c>
      <c r="I55" s="316" t="n">
        <v>0.042</v>
      </c>
      <c r="J55" s="317" t="n">
        <v>0.02622619</v>
      </c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inlineStr">
        <is>
          <t>L-0062</t>
        </is>
      </c>
      <c r="C56" s="319" t="n">
        <v>46198</v>
      </c>
      <c r="D56" s="318" t="inlineStr">
        <is>
          <t>BSChain</t>
        </is>
      </c>
      <c r="E56" s="320" t="inlineStr">
        <is>
          <t>CAKE/ETH</t>
        </is>
      </c>
      <c r="F56" s="321" t="n"/>
      <c r="G56" s="322" t="n"/>
      <c r="H56" s="271">
        <f>IF(AND(ISNUMBER(F56),ISNUMBER(G56)),F56*G56,"")</f>
        <v/>
      </c>
      <c r="I56" s="321" t="n">
        <v>50</v>
      </c>
      <c r="J56" s="322" t="n">
        <v>0.00084</v>
      </c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inlineStr">
        <is>
          <t>L-0063</t>
        </is>
      </c>
      <c r="C57" s="314" t="n">
        <v>46200</v>
      </c>
      <c r="D57" s="313" t="inlineStr">
        <is>
          <t>Arbitrum</t>
        </is>
      </c>
      <c r="E57" s="315" t="inlineStr">
        <is>
          <t>BTC/USD</t>
        </is>
      </c>
      <c r="F57" s="316" t="n"/>
      <c r="G57" s="317" t="n"/>
      <c r="H57" s="271">
        <f>IF(AND(ISNUMBER(F57),ISNUMBER(G57)),F57*G57,"")</f>
        <v/>
      </c>
      <c r="I57" s="316" t="n">
        <v>0.015</v>
      </c>
      <c r="J57" s="317" t="n">
        <v>60400</v>
      </c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inlineStr">
        <is>
          <t>L-0064</t>
        </is>
      </c>
      <c r="C58" s="319" t="n">
        <v>46201</v>
      </c>
      <c r="D58" s="318" t="inlineStr">
        <is>
          <t>Arbitrum</t>
        </is>
      </c>
      <c r="E58" s="320" t="inlineStr">
        <is>
          <t>BTC/USD</t>
        </is>
      </c>
      <c r="F58" s="321" t="n"/>
      <c r="G58" s="322" t="n"/>
      <c r="H58" s="271">
        <f>IF(AND(ISNUMBER(F58),ISNUMBER(G58)),F58*G58,"")</f>
        <v/>
      </c>
      <c r="I58" s="321" t="n">
        <v>0.004</v>
      </c>
      <c r="J58" s="322" t="n">
        <v>61250</v>
      </c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inlineStr">
        <is>
          <t>L-0065</t>
        </is>
      </c>
      <c r="C59" s="314" t="n">
        <v>46202</v>
      </c>
      <c r="D59" s="313" t="inlineStr">
        <is>
          <t>Arbitrum</t>
        </is>
      </c>
      <c r="E59" s="315" t="inlineStr">
        <is>
          <t>BTC/USD</t>
        </is>
      </c>
      <c r="F59" s="316" t="n"/>
      <c r="G59" s="317" t="n"/>
      <c r="H59" s="271">
        <f>IF(AND(ISNUMBER(F59),ISNUMBER(G59)),F59*G59,"")</f>
        <v/>
      </c>
      <c r="I59" s="316" t="n">
        <v>0.004</v>
      </c>
      <c r="J59" s="317" t="n">
        <v>59542.5</v>
      </c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inlineStr">
        <is>
          <t>L-0066</t>
        </is>
      </c>
      <c r="C60" s="319" t="n">
        <v>46244</v>
      </c>
      <c r="D60" s="318" t="inlineStr">
        <is>
          <t>BNB</t>
        </is>
      </c>
      <c r="E60" s="320" t="inlineStr">
        <is>
          <t>BTC/USD</t>
        </is>
      </c>
      <c r="F60" s="321" t="n"/>
      <c r="G60" s="322" t="n"/>
      <c r="H60" s="271">
        <f>IF(AND(ISNUMBER(F60),ISNUMBER(G60)),F60*G60,"")</f>
        <v/>
      </c>
      <c r="I60" s="321" t="n">
        <v>0.00413</v>
      </c>
      <c r="J60" s="322" t="n">
        <v>64070.21791768</v>
      </c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inlineStr">
        <is>
          <t>L-0067</t>
        </is>
      </c>
      <c r="C61" s="314" t="n">
        <v>46245</v>
      </c>
      <c r="D61" s="313" t="inlineStr">
        <is>
          <t>BSChain</t>
        </is>
      </c>
      <c r="E61" s="315" t="inlineStr">
        <is>
          <t>CAKE/BTC</t>
        </is>
      </c>
      <c r="F61" s="316" t="n"/>
      <c r="G61" s="317" t="n"/>
      <c r="H61" s="271">
        <f>IF(AND(ISNUMBER(F61),ISNUMBER(G61)),F61*G61,"")</f>
        <v/>
      </c>
      <c r="I61" s="316" t="n">
        <v>50</v>
      </c>
      <c r="J61" s="317" t="n">
        <v>2.6e-05</v>
      </c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inlineStr">
        <is>
          <t>L-0068</t>
        </is>
      </c>
      <c r="C62" s="319" t="n">
        <v>46246</v>
      </c>
      <c r="D62" s="318" t="inlineStr">
        <is>
          <t>BSChain</t>
        </is>
      </c>
      <c r="E62" s="320" t="inlineStr">
        <is>
          <t>CAKE/BTC</t>
        </is>
      </c>
      <c r="F62" s="321" t="n"/>
      <c r="G62" s="322" t="n"/>
      <c r="H62" s="271">
        <f>IF(AND(ISNUMBER(F62),ISNUMBER(G62)),F62*G62,"")</f>
        <v/>
      </c>
      <c r="I62" s="321" t="n">
        <v>50</v>
      </c>
      <c r="J62" s="322" t="n">
        <v>2.6e-05</v>
      </c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inlineStr">
        <is>
          <t>L-0069</t>
        </is>
      </c>
      <c r="C63" s="314" t="n">
        <v>46247</v>
      </c>
      <c r="D63" s="313" t="inlineStr">
        <is>
          <t>BNB</t>
        </is>
      </c>
      <c r="E63" s="315" t="inlineStr">
        <is>
          <t>BTC/USD</t>
        </is>
      </c>
      <c r="F63" s="316" t="n"/>
      <c r="G63" s="317" t="n"/>
      <c r="H63" s="271">
        <f>IF(AND(ISNUMBER(F63),ISNUMBER(G63)),F63*G63,"")</f>
        <v/>
      </c>
      <c r="I63" s="316" t="n">
        <v>0.006</v>
      </c>
      <c r="J63" s="317" t="n">
        <v>65583.33333333</v>
      </c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inlineStr">
        <is>
          <t>L-0070</t>
        </is>
      </c>
      <c r="C64" s="319" t="n">
        <v>46248</v>
      </c>
      <c r="D64" s="318" t="inlineStr">
        <is>
          <t>BNB</t>
        </is>
      </c>
      <c r="E64" s="320" t="inlineStr">
        <is>
          <t>BTC/USD</t>
        </is>
      </c>
      <c r="F64" s="321" t="n"/>
      <c r="G64" s="322" t="n"/>
      <c r="H64" s="271">
        <f>IF(AND(ISNUMBER(F64),ISNUMBER(G64)),F64*G64,"")</f>
        <v/>
      </c>
      <c r="I64" s="321" t="n">
        <v>0.006</v>
      </c>
      <c r="J64" s="322" t="n">
        <v>65750</v>
      </c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inlineStr">
        <is>
          <t>L-0071</t>
        </is>
      </c>
      <c r="C65" s="314" t="n">
        <v>46254</v>
      </c>
      <c r="D65" s="313" t="inlineStr">
        <is>
          <t>BSChain</t>
        </is>
      </c>
      <c r="E65" s="315" t="inlineStr">
        <is>
          <t>BNB/ETH</t>
        </is>
      </c>
      <c r="F65" s="316" t="n">
        <v>0.4</v>
      </c>
      <c r="G65" s="317" t="n">
        <v>0.27903515</v>
      </c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inlineStr">
        <is>
          <t>L-0072</t>
        </is>
      </c>
      <c r="C66" s="319" t="n">
        <v>46256</v>
      </c>
      <c r="D66" s="318" t="inlineStr">
        <is>
          <t>BNB</t>
        </is>
      </c>
      <c r="E66" s="320" t="inlineStr">
        <is>
          <t>BTC/USD</t>
        </is>
      </c>
      <c r="F66" s="321" t="n"/>
      <c r="G66" s="322" t="n"/>
      <c r="H66" s="271">
        <f>IF(AND(ISNUMBER(F66),ISNUMBER(G66)),F66*G66,"")</f>
        <v/>
      </c>
      <c r="I66" s="321" t="n">
        <v>0.00259151</v>
      </c>
      <c r="J66" s="322" t="n">
        <v>77175.08325262</v>
      </c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inlineStr">
        <is>
          <t>L-0073</t>
        </is>
      </c>
      <c r="C67" s="314" t="n">
        <v>46256</v>
      </c>
      <c r="D67" s="313" t="inlineStr">
        <is>
          <t>BSChain</t>
        </is>
      </c>
      <c r="E67" s="315" t="inlineStr">
        <is>
          <t>ETH/BTC</t>
        </is>
      </c>
      <c r="F67" s="316" t="n"/>
      <c r="G67" s="317" t="n"/>
      <c r="H67" s="271">
        <f>IF(AND(ISNUMBER(F67),ISNUMBER(G67)),F67*G67,"")</f>
        <v/>
      </c>
      <c r="I67" s="316" t="n">
        <v>0.12116573</v>
      </c>
      <c r="J67" s="317" t="n">
        <v>0.03137141</v>
      </c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inlineStr">
        <is>
          <t>L-0074</t>
        </is>
      </c>
      <c r="C68" s="319" t="n">
        <v>46257</v>
      </c>
      <c r="D68" s="318" t="inlineStr">
        <is>
          <t>BNB</t>
        </is>
      </c>
      <c r="E68" s="320" t="inlineStr">
        <is>
          <t>BTC/USD</t>
        </is>
      </c>
      <c r="F68" s="321" t="n"/>
      <c r="G68" s="322" t="n"/>
      <c r="H68" s="271">
        <f>IF(AND(ISNUMBER(F68),ISNUMBER(G68)),F68*G68,"")</f>
        <v/>
      </c>
      <c r="I68" s="321" t="n">
        <v>0.00259891</v>
      </c>
      <c r="J68" s="322" t="n">
        <v>76955.33896903</v>
      </c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inlineStr">
        <is>
          <t>L-0075</t>
        </is>
      </c>
      <c r="C69" s="314" t="n">
        <v>46264</v>
      </c>
      <c r="D69" s="313" t="inlineStr">
        <is>
          <t>BNB</t>
        </is>
      </c>
      <c r="E69" s="315" t="inlineStr">
        <is>
          <t>BTC/USD</t>
        </is>
      </c>
      <c r="F69" s="316" t="n"/>
      <c r="G69" s="317" t="n"/>
      <c r="H69" s="271">
        <f>IF(AND(ISNUMBER(F69),ISNUMBER(G69)),F69*G69,"")</f>
        <v/>
      </c>
      <c r="I69" s="316" t="n">
        <v>0.004038</v>
      </c>
      <c r="J69" s="317" t="n">
        <v>78008.91530461</v>
      </c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inlineStr">
        <is>
          <t>L-0076</t>
        </is>
      </c>
      <c r="C70" s="319" t="n">
        <v>46264</v>
      </c>
      <c r="D70" s="318" t="inlineStr">
        <is>
          <t>BSChain</t>
        </is>
      </c>
      <c r="E70" s="320" t="inlineStr">
        <is>
          <t>ETH/BTC</t>
        </is>
      </c>
      <c r="F70" s="321" t="n"/>
      <c r="G70" s="322" t="n"/>
      <c r="H70" s="271">
        <f>IF(AND(ISNUMBER(F70),ISNUMBER(G70)),F70*G70,"")</f>
        <v/>
      </c>
      <c r="I70" s="321" t="n">
        <v>0.09566547</v>
      </c>
      <c r="J70" s="322" t="n">
        <v>0.03136869</v>
      </c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inlineStr">
        <is>
          <t>L-0077</t>
        </is>
      </c>
      <c r="C71" s="314" t="n">
        <v>46264</v>
      </c>
      <c r="D71" s="313" t="inlineStr">
        <is>
          <t>BSChain</t>
        </is>
      </c>
      <c r="E71" s="315" t="inlineStr">
        <is>
          <t>ETH/BTC</t>
        </is>
      </c>
      <c r="F71" s="316" t="n"/>
      <c r="G71" s="317" t="n"/>
      <c r="H71" s="271">
        <f>IF(AND(ISNUMBER(F71),ISNUMBER(G71)),F71*G71,"")</f>
        <v/>
      </c>
      <c r="I71" s="316" t="n">
        <v>0.09566536</v>
      </c>
      <c r="J71" s="317" t="n">
        <v>0.03136872</v>
      </c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inlineStr">
        <is>
          <t>L-0078</t>
        </is>
      </c>
      <c r="C72" s="319" t="n">
        <v>46265</v>
      </c>
      <c r="D72" s="318" t="inlineStr">
        <is>
          <t>BNB</t>
        </is>
      </c>
      <c r="E72" s="320" t="inlineStr">
        <is>
          <t>BTC/USD</t>
        </is>
      </c>
      <c r="F72" s="321" t="n"/>
      <c r="G72" s="322" t="n"/>
      <c r="H72" s="271">
        <f>IF(AND(ISNUMBER(F72),ISNUMBER(G72)),F72*G72,"")</f>
        <v/>
      </c>
      <c r="I72" s="321" t="n">
        <v>0.00192663</v>
      </c>
      <c r="J72" s="322" t="n">
        <v>77856.15297177</v>
      </c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inlineStr">
        <is>
          <t>L-0079</t>
        </is>
      </c>
      <c r="C73" s="314" t="n">
        <v>46265</v>
      </c>
      <c r="D73" s="313" t="inlineStr">
        <is>
          <t>BSChain</t>
        </is>
      </c>
      <c r="E73" s="315" t="inlineStr">
        <is>
          <t>BNB/BTC</t>
        </is>
      </c>
      <c r="F73" s="316" t="n">
        <v>0.4</v>
      </c>
      <c r="G73" s="317" t="n">
        <v>0.008784800000000001</v>
      </c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inlineStr">
        <is>
          <t>L-0080</t>
        </is>
      </c>
      <c r="C74" s="319" t="n">
        <v>46270</v>
      </c>
      <c r="D74" s="318" t="inlineStr">
        <is>
          <t>BSChain</t>
        </is>
      </c>
      <c r="E74" s="320" t="inlineStr">
        <is>
          <t>CAKE/BNB</t>
        </is>
      </c>
      <c r="F74" s="321" t="n"/>
      <c r="G74" s="322" t="n"/>
      <c r="H74" s="271">
        <f>IF(AND(ISNUMBER(F74),ISNUMBER(G74)),F74*G74,"")</f>
        <v/>
      </c>
      <c r="I74" s="321" t="n">
        <v>66</v>
      </c>
      <c r="J74" s="322" t="n">
        <v>0.00272727</v>
      </c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inlineStr">
        <is>
          <t>L-0081</t>
        </is>
      </c>
      <c r="C75" s="314" t="n">
        <v>46271</v>
      </c>
      <c r="D75" s="313" t="inlineStr">
        <is>
          <t>BSChain</t>
        </is>
      </c>
      <c r="E75" s="315" t="inlineStr">
        <is>
          <t>CAKE/ETH</t>
        </is>
      </c>
      <c r="F75" s="316" t="n"/>
      <c r="G75" s="317" t="n"/>
      <c r="H75" s="271">
        <f>IF(AND(ISNUMBER(F75),ISNUMBER(G75)),F75*G75,"")</f>
        <v/>
      </c>
      <c r="I75" s="316" t="n">
        <v>43.63636364</v>
      </c>
      <c r="J75" s="317" t="n">
        <v>0.00091667</v>
      </c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inlineStr">
        <is>
          <t>L-0082</t>
        </is>
      </c>
      <c r="C76" s="319" t="n">
        <v>46299</v>
      </c>
      <c r="D76" s="318" t="inlineStr">
        <is>
          <t>BSChain</t>
        </is>
      </c>
      <c r="E76" s="320" t="inlineStr">
        <is>
          <t>CAKE/BNB</t>
        </is>
      </c>
      <c r="F76" s="321" t="n">
        <v>37.69</v>
      </c>
      <c r="G76" s="322" t="n">
        <v>0.00321</v>
      </c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BNB/BTC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BNB/ETH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BNB/USD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BTC/USD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CAKE/BNB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CAKE/USD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ETH/BTC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ETH/USD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L-0001</t>
        </is>
      </c>
      <c r="C5" s="314" t="n">
        <v>46306</v>
      </c>
      <c r="D5" s="313" t="n"/>
      <c r="E5" s="315" t="inlineStr">
        <is>
          <t>BTC/USD</t>
        </is>
      </c>
      <c r="F5" s="316" t="n">
        <v>0.18835169</v>
      </c>
      <c r="G5" s="317" t="n">
        <v>94999.057998</v>
      </c>
      <c r="H5" s="271">
        <f>IF(AND(ISNUMBER(F5),ISNUMBER(G5)),F5*G5,"")</f>
        <v/>
      </c>
      <c r="I5" s="316" t="n">
        <v>0.18544799</v>
      </c>
      <c r="J5" s="317" t="n">
        <v>98960.04565099999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L-0002</t>
        </is>
      </c>
      <c r="C6" s="319" t="n">
        <v>46306</v>
      </c>
      <c r="D6" s="318" t="n"/>
      <c r="E6" s="320" t="inlineStr">
        <is>
          <t>ETH/USD</t>
        </is>
      </c>
      <c r="F6" s="321" t="n">
        <v>3.65098228</v>
      </c>
      <c r="G6" s="322" t="n">
        <v>2711.276197</v>
      </c>
      <c r="H6" s="271">
        <f>IF(AND(ISNUMBER(F6),ISNUMBER(G6)),F6*G6,"")</f>
        <v/>
      </c>
      <c r="I6" s="321" t="n">
        <v>3.56499896</v>
      </c>
      <c r="J6" s="322" t="n">
        <v>2820.416496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L-0003</t>
        </is>
      </c>
      <c r="C7" s="314" t="n">
        <v>46306</v>
      </c>
      <c r="D7" s="313" t="n"/>
      <c r="E7" s="315" t="inlineStr">
        <is>
          <t>ETH/BTC</t>
        </is>
      </c>
      <c r="F7" s="316" t="n">
        <v>5.13105912</v>
      </c>
      <c r="G7" s="317" t="n">
        <v>0.028848</v>
      </c>
      <c r="H7" s="271">
        <f>IF(AND(ISNUMBER(F7),ISNUMBER(G7)),F7*G7,"")</f>
        <v/>
      </c>
      <c r="I7" s="316" t="n">
        <v>4.96566038</v>
      </c>
      <c r="J7" s="317" t="n">
        <v>0.030136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L-0004</t>
        </is>
      </c>
      <c r="C8" s="319" t="n">
        <v>46306</v>
      </c>
      <c r="D8" s="318" t="n"/>
      <c r="E8" s="320" t="inlineStr">
        <is>
          <t>BNB/USD</t>
        </is>
      </c>
      <c r="F8" s="321" t="n">
        <v>21.96700661</v>
      </c>
      <c r="G8" s="322" t="n">
        <v>829.75941</v>
      </c>
      <c r="H8" s="271">
        <f>IF(AND(ISNUMBER(F8),ISNUMBER(G8)),F8*G8,"")</f>
        <v/>
      </c>
      <c r="I8" s="321" t="n">
        <v>21.54621814</v>
      </c>
      <c r="J8" s="322" t="n">
        <v>854.265616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L-0005</t>
        </is>
      </c>
      <c r="C9" s="314" t="n">
        <v>46306</v>
      </c>
      <c r="D9" s="313" t="n"/>
      <c r="E9" s="315" t="inlineStr">
        <is>
          <t>BNB/BTC</t>
        </is>
      </c>
      <c r="F9" s="316" t="n">
        <v>14.3754602</v>
      </c>
      <c r="G9" s="317" t="n">
        <v>0.007827000000000001</v>
      </c>
      <c r="H9" s="271">
        <f>IF(AND(ISNUMBER(F9),ISNUMBER(G9)),F9*G9,"")</f>
        <v/>
      </c>
      <c r="I9" s="316" t="n">
        <v>14.15974765</v>
      </c>
      <c r="J9" s="317" t="n">
        <v>0.008044000000000001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L-0006</t>
        </is>
      </c>
      <c r="C10" s="319" t="n">
        <v>46306</v>
      </c>
      <c r="D10" s="318" t="n"/>
      <c r="E10" s="320" t="inlineStr">
        <is>
          <t>BNB/ETH</t>
        </is>
      </c>
      <c r="F10" s="321" t="n">
        <v>22.02779534</v>
      </c>
      <c r="G10" s="322" t="n">
        <v>0.255055</v>
      </c>
      <c r="H10" s="271">
        <f>IF(AND(ISNUMBER(F10),ISNUMBER(G10)),F10*G10,"")</f>
        <v/>
      </c>
      <c r="I10" s="321" t="n">
        <v>21.56384065</v>
      </c>
      <c r="J10" s="322" t="n">
        <v>0.265697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L-0007</t>
        </is>
      </c>
      <c r="C11" s="314" t="n">
        <v>46306</v>
      </c>
      <c r="D11" s="313" t="n"/>
      <c r="E11" s="315" t="inlineStr">
        <is>
          <t>CAKE/USD</t>
        </is>
      </c>
      <c r="F11" s="316" t="n">
        <v>3951.99919511</v>
      </c>
      <c r="G11" s="317" t="n">
        <v>2.346164</v>
      </c>
      <c r="H11" s="271">
        <f>IF(AND(ISNUMBER(F11),ISNUMBER(G11)),F11*G11,"")</f>
        <v/>
      </c>
      <c r="I11" s="316" t="n">
        <v>3895.82513781</v>
      </c>
      <c r="J11" s="317" t="n">
        <v>2.543326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L-0008</t>
        </is>
      </c>
      <c r="C12" s="319" t="n">
        <v>46306</v>
      </c>
      <c r="D12" s="318" t="n"/>
      <c r="E12" s="320" t="inlineStr">
        <is>
          <t>CAKE/BTC</t>
        </is>
      </c>
      <c r="F12" s="321" t="n">
        <v>3531.07472889</v>
      </c>
      <c r="G12" s="322" t="n">
        <v>2.4e-05</v>
      </c>
      <c r="H12" s="271">
        <f>IF(AND(ISNUMBER(F12),ISNUMBER(G12)),F12*G12,"")</f>
        <v/>
      </c>
      <c r="I12" s="321" t="n">
        <v>3491.64225507</v>
      </c>
      <c r="J12" s="322" t="n">
        <v>2.5e-05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L-0009</t>
        </is>
      </c>
      <c r="C13" s="314" t="n">
        <v>46306</v>
      </c>
      <c r="D13" s="313" t="n"/>
      <c r="E13" s="315" t="inlineStr">
        <is>
          <t>CAKE/ETH</t>
        </is>
      </c>
      <c r="F13" s="316" t="n">
        <v>1037.2227629</v>
      </c>
      <c r="G13" s="317" t="n">
        <v>0.0009210000000000001</v>
      </c>
      <c r="H13" s="271">
        <f>IF(AND(ISNUMBER(F13),ISNUMBER(G13)),F13*G13,"")</f>
        <v/>
      </c>
      <c r="I13" s="316" t="n">
        <v>1012.79267448</v>
      </c>
      <c r="J13" s="317" t="n">
        <v>0.000975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L-0010</t>
        </is>
      </c>
      <c r="C14" s="319" t="n">
        <v>46306</v>
      </c>
      <c r="D14" s="318" t="n"/>
      <c r="E14" s="320" t="inlineStr">
        <is>
          <t>CAKE/BNB</t>
        </is>
      </c>
      <c r="F14" s="321" t="n">
        <v>3836.18859238</v>
      </c>
      <c r="G14" s="322" t="n">
        <v>0.003149</v>
      </c>
      <c r="H14" s="271">
        <f>IF(AND(ISNUMBER(F14),ISNUMBER(G14)),F14*G14,"")</f>
        <v/>
      </c>
      <c r="I14" s="321" t="n">
        <v>3736.20920601</v>
      </c>
      <c r="J14" s="322" t="n">
        <v>0.00334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T-0001</t>
        </is>
      </c>
      <c r="C15" s="314" t="n">
        <v>46306</v>
      </c>
      <c r="D15" s="313" t="n"/>
      <c r="E15" s="315" t="inlineStr">
        <is>
          <t>ETC/BNB</t>
        </is>
      </c>
      <c r="F15" s="316" t="n">
        <v>29.5</v>
      </c>
      <c r="G15" s="317" t="n">
        <v>0.0442449</v>
      </c>
      <c r="H15" s="271">
        <f>IF(AND(ISNUMBER(F15),ISNUMBER(G15)),F15*G15,"")</f>
        <v/>
      </c>
      <c r="I15" s="316" t="n">
        <v>29.5</v>
      </c>
      <c r="J15" s="317" t="n">
        <v>0.04661334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T-0002</t>
        </is>
      </c>
      <c r="C16" s="319" t="n">
        <v>46306</v>
      </c>
      <c r="D16" s="318" t="n"/>
      <c r="E16" s="320" t="inlineStr">
        <is>
          <t>TRX/XRP</t>
        </is>
      </c>
      <c r="F16" s="321" t="n">
        <v>17720.3</v>
      </c>
      <c r="G16" s="322" t="n">
        <v>0.11607616</v>
      </c>
      <c r="H16" s="271">
        <f>IF(AND(ISNUMBER(F16),ISNUMBER(G16)),F16*G16,"")</f>
        <v/>
      </c>
      <c r="I16" s="321" t="n">
        <v>17062</v>
      </c>
      <c r="J16" s="322" t="n">
        <v>0.1355196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T-0003</t>
        </is>
      </c>
      <c r="C17" s="314" t="n">
        <v>46306</v>
      </c>
      <c r="D17" s="313" t="n"/>
      <c r="E17" s="315" t="inlineStr">
        <is>
          <t>TRX/ETH</t>
        </is>
      </c>
      <c r="F17" s="316" t="n">
        <v>100</v>
      </c>
      <c r="G17" s="317" t="n">
        <v>5.027e-05</v>
      </c>
      <c r="H17" s="271">
        <f>IF(AND(ISNUMBER(F17),ISNUMBER(G17)),F17*G17,"")</f>
        <v/>
      </c>
      <c r="I17" s="316" t="n">
        <v>100</v>
      </c>
      <c r="J17" s="317" t="n">
        <v>0.00015303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T-0004</t>
        </is>
      </c>
      <c r="C18" s="319" t="n">
        <v>46306</v>
      </c>
      <c r="D18" s="318" t="n"/>
      <c r="E18" s="320" t="inlineStr">
        <is>
          <t>TRX/BTC</t>
        </is>
      </c>
      <c r="F18" s="321" t="n">
        <v>630</v>
      </c>
      <c r="G18" s="322" t="n">
        <v>2.53e-06</v>
      </c>
      <c r="H18" s="271">
        <f>IF(AND(ISNUMBER(F18),ISNUMBER(G18)),F18*G18,"")</f>
        <v/>
      </c>
      <c r="I18" s="321" t="n">
        <v>630</v>
      </c>
      <c r="J18" s="322" t="n">
        <v>2.66e-06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T-0005</t>
        </is>
      </c>
      <c r="C19" s="314" t="n">
        <v>46306</v>
      </c>
      <c r="D19" s="313" t="n"/>
      <c r="E19" s="315" t="inlineStr">
        <is>
          <t>DOGE/USD</t>
        </is>
      </c>
      <c r="F19" s="316" t="n">
        <v>621</v>
      </c>
      <c r="G19" s="317" t="n">
        <v>0.25897118</v>
      </c>
      <c r="H19" s="271">
        <f>IF(AND(ISNUMBER(F19),ISNUMBER(G19)),F19*G19,"")</f>
        <v/>
      </c>
      <c r="I19" s="316" t="n">
        <v>621</v>
      </c>
      <c r="J19" s="317" t="n">
        <v>0.32632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T-0006</t>
        </is>
      </c>
      <c r="C20" s="319" t="n">
        <v>46306</v>
      </c>
      <c r="D20" s="318" t="n"/>
      <c r="E20" s="320" t="inlineStr">
        <is>
          <t>XRP/BTC</t>
        </is>
      </c>
      <c r="F20" s="321" t="n">
        <v>181</v>
      </c>
      <c r="G20" s="322" t="n">
        <v>1.611e-05</v>
      </c>
      <c r="H20" s="271">
        <f>IF(AND(ISNUMBER(F20),ISNUMBER(G20)),F20*G20,"")</f>
        <v/>
      </c>
      <c r="I20" s="321" t="n">
        <v>180</v>
      </c>
      <c r="J20" s="322" t="n">
        <v>2.377e-05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T-0007</t>
        </is>
      </c>
      <c r="C21" s="314" t="n">
        <v>46306</v>
      </c>
      <c r="D21" s="313" t="n"/>
      <c r="E21" s="315" t="inlineStr">
        <is>
          <t>XRP/USD</t>
        </is>
      </c>
      <c r="F21" s="316" t="n">
        <v>2007.87</v>
      </c>
      <c r="G21" s="317" t="n">
        <v>0.67031646</v>
      </c>
      <c r="H21" s="271">
        <f>IF(AND(ISNUMBER(F21),ISNUMBER(G21)),F21*G21,"")</f>
        <v/>
      </c>
      <c r="I21" s="316" t="n">
        <v>2007.87</v>
      </c>
      <c r="J21" s="317" t="n">
        <v>2.585997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T-0008</t>
        </is>
      </c>
      <c r="C22" s="319" t="n">
        <v>46306</v>
      </c>
      <c r="D22" s="318" t="n"/>
      <c r="E22" s="320" t="inlineStr">
        <is>
          <t>XRP/BNB</t>
        </is>
      </c>
      <c r="F22" s="321" t="n">
        <v>638</v>
      </c>
      <c r="G22" s="322" t="n">
        <v>0.00323821</v>
      </c>
      <c r="H22" s="271">
        <f>IF(AND(ISNUMBER(F22),ISNUMBER(G22)),F22*G22,"")</f>
        <v/>
      </c>
      <c r="I22" s="321" t="n">
        <v>638</v>
      </c>
      <c r="J22" s="322" t="n">
        <v>0.00343764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T-0009</t>
        </is>
      </c>
      <c r="C23" s="314" t="n">
        <v>46306</v>
      </c>
      <c r="D23" s="313" t="n"/>
      <c r="E23" s="315" t="inlineStr">
        <is>
          <t>ZEC/BTC</t>
        </is>
      </c>
      <c r="F23" s="316" t="n">
        <v>3.93</v>
      </c>
      <c r="G23" s="317" t="n">
        <v>0.00030486</v>
      </c>
      <c r="H23" s="271">
        <f>IF(AND(ISNUMBER(F23),ISNUMBER(G23)),F23*G23,"")</f>
        <v/>
      </c>
      <c r="I23" s="316" t="n">
        <v>3.93</v>
      </c>
      <c r="J23" s="317" t="n">
        <v>0.0003614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T-0010</t>
        </is>
      </c>
      <c r="C24" s="319" t="n">
        <v>46306</v>
      </c>
      <c r="D24" s="318" t="n"/>
      <c r="E24" s="320" t="inlineStr">
        <is>
          <t>ALGO/BTC</t>
        </is>
      </c>
      <c r="F24" s="321" t="n">
        <v>1169</v>
      </c>
      <c r="G24" s="322" t="n">
        <v>2.73e-06</v>
      </c>
      <c r="H24" s="271">
        <f>IF(AND(ISNUMBER(F24),ISNUMBER(G24)),F24*G24,"")</f>
        <v/>
      </c>
      <c r="I24" s="321" t="n">
        <v>1169</v>
      </c>
      <c r="J24" s="322" t="n">
        <v>2.72e-06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T-0011</t>
        </is>
      </c>
      <c r="C25" s="314" t="n">
        <v>46306</v>
      </c>
      <c r="D25" s="313" t="n"/>
      <c r="E25" s="315" t="inlineStr">
        <is>
          <t>HBAR/BTC</t>
        </is>
      </c>
      <c r="F25" s="316" t="n">
        <v>1118</v>
      </c>
      <c r="G25" s="317" t="n">
        <v>2.1e-06</v>
      </c>
      <c r="H25" s="271">
        <f>IF(AND(ISNUMBER(F25),ISNUMBER(G25)),F25*G25,"")</f>
        <v/>
      </c>
      <c r="I25" s="316" t="n">
        <v>1118</v>
      </c>
      <c r="J25" s="317" t="n">
        <v>2.26e-06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T-0012</t>
        </is>
      </c>
      <c r="C26" s="319" t="n">
        <v>46306</v>
      </c>
      <c r="D26" s="318" t="n"/>
      <c r="E26" s="320" t="inlineStr">
        <is>
          <t>ATOM/USD</t>
        </is>
      </c>
      <c r="F26" s="321" t="n">
        <v>20</v>
      </c>
      <c r="G26" s="322" t="n">
        <v>4.742</v>
      </c>
      <c r="H26" s="271">
        <f>IF(AND(ISNUMBER(F26),ISNUMBER(G26)),F26*G26,"")</f>
        <v/>
      </c>
      <c r="I26" s="321" t="n">
        <v>20</v>
      </c>
      <c r="J26" s="322" t="n">
        <v>4.92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T-0013</t>
        </is>
      </c>
      <c r="C27" s="314" t="n">
        <v>46306</v>
      </c>
      <c r="D27" s="313" t="n"/>
      <c r="E27" s="315" t="inlineStr">
        <is>
          <t>ADA/BTC</t>
        </is>
      </c>
      <c r="F27" s="316" t="n">
        <v>100</v>
      </c>
      <c r="G27" s="317" t="n">
        <v>7.97e-06</v>
      </c>
      <c r="H27" s="271">
        <f>IF(AND(ISNUMBER(F27),ISNUMBER(G27)),F27*G27,"")</f>
        <v/>
      </c>
      <c r="I27" s="316" t="n">
        <v>100</v>
      </c>
      <c r="J27" s="317" t="n">
        <v>1.19e-05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T-0014</t>
        </is>
      </c>
      <c r="C28" s="319" t="n">
        <v>46306</v>
      </c>
      <c r="D28" s="318" t="n"/>
      <c r="E28" s="320" t="inlineStr">
        <is>
          <t>PYTH/SOL</t>
        </is>
      </c>
      <c r="F28" s="321" t="n">
        <v>100</v>
      </c>
      <c r="G28" s="322" t="n">
        <v>0.001291</v>
      </c>
      <c r="H28" s="271">
        <f>IF(AND(ISNUMBER(F28),ISNUMBER(G28)),F28*G28,"")</f>
        <v/>
      </c>
      <c r="I28" s="321" t="n">
        <v>100</v>
      </c>
      <c r="J28" s="322" t="n">
        <v>0.00142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T-0015</t>
        </is>
      </c>
      <c r="C29" s="314" t="n">
        <v>46306</v>
      </c>
      <c r="D29" s="313" t="n"/>
      <c r="E29" s="315" t="inlineStr">
        <is>
          <t>BTC/USD</t>
        </is>
      </c>
      <c r="F29" s="316" t="n">
        <v>0.00786247</v>
      </c>
      <c r="G29" s="317" t="n">
        <v>80392.41493807</v>
      </c>
      <c r="H29" s="271">
        <f>IF(AND(ISNUMBER(F29),ISNUMBER(G29)),F29*G29,"")</f>
        <v/>
      </c>
      <c r="I29" s="316" t="n">
        <v>0.00786047</v>
      </c>
      <c r="J29" s="317" t="n">
        <v>92654.3487834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T-0016</t>
        </is>
      </c>
      <c r="C30" s="319" t="n">
        <v>46306</v>
      </c>
      <c r="D30" s="318" t="n"/>
      <c r="E30" s="320" t="inlineStr">
        <is>
          <t>BNB/USD</t>
        </is>
      </c>
      <c r="F30" s="321" t="n">
        <v>1.66421673</v>
      </c>
      <c r="G30" s="322" t="n">
        <v>606.20242287</v>
      </c>
      <c r="H30" s="271">
        <f>IF(AND(ISNUMBER(F30),ISNUMBER(G30)),F30*G30,"")</f>
        <v/>
      </c>
      <c r="I30" s="321" t="n">
        <v>1.6560812</v>
      </c>
      <c r="J30" s="322" t="n">
        <v>627.44927483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T-0017</t>
        </is>
      </c>
      <c r="C31" s="314" t="n">
        <v>46306</v>
      </c>
      <c r="D31" s="313" t="n"/>
      <c r="E31" s="315" t="inlineStr">
        <is>
          <t>BNB/BTC</t>
        </is>
      </c>
      <c r="F31" s="316" t="n">
        <v>0.3</v>
      </c>
      <c r="G31" s="317" t="n">
        <v>0.00767534</v>
      </c>
      <c r="H31" s="271">
        <f>IF(AND(ISNUMBER(F31),ISNUMBER(G31)),F31*G31,"")</f>
        <v/>
      </c>
      <c r="I31" s="316" t="n">
        <v>0.3</v>
      </c>
      <c r="J31" s="317" t="n">
        <v>0.01404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T-0018</t>
        </is>
      </c>
      <c r="C32" s="319" t="n">
        <v>46306</v>
      </c>
      <c r="D32" s="318" t="n"/>
      <c r="E32" s="320" t="inlineStr">
        <is>
          <t>BCH/BTC</t>
        </is>
      </c>
      <c r="F32" s="321" t="n">
        <v>0.403</v>
      </c>
      <c r="G32" s="322" t="n">
        <v>0.003775</v>
      </c>
      <c r="H32" s="271">
        <f>IF(AND(ISNUMBER(F32),ISNUMBER(G32)),F32*G32,"")</f>
        <v/>
      </c>
      <c r="I32" s="321" t="n">
        <v>0.40130092</v>
      </c>
      <c r="J32" s="322" t="n">
        <v>0.00392302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T-0019</t>
        </is>
      </c>
      <c r="C33" s="314" t="n">
        <v>46306</v>
      </c>
      <c r="D33" s="313" t="n"/>
      <c r="E33" s="315" t="inlineStr">
        <is>
          <t>BNB/ETH</t>
        </is>
      </c>
      <c r="F33" s="316" t="n">
        <v>0.29</v>
      </c>
      <c r="G33" s="317" t="n">
        <v>0.193006</v>
      </c>
      <c r="H33" s="271">
        <f>IF(AND(ISNUMBER(F33),ISNUMBER(G33)),F33*G33,"")</f>
        <v/>
      </c>
      <c r="I33" s="316" t="n">
        <v>0.28629</v>
      </c>
      <c r="J33" s="317" t="n">
        <v>0.21928813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T-0020</t>
        </is>
      </c>
      <c r="C34" s="319" t="n">
        <v>46306</v>
      </c>
      <c r="D34" s="318" t="n"/>
      <c r="E34" s="320" t="inlineStr">
        <is>
          <t>ETH/BTC</t>
        </is>
      </c>
      <c r="F34" s="321" t="n">
        <v>1.20929859</v>
      </c>
      <c r="G34" s="322" t="n">
        <v>0.03205338</v>
      </c>
      <c r="H34" s="271">
        <f>IF(AND(ISNUMBER(F34),ISNUMBER(G34)),F34*G34,"")</f>
        <v/>
      </c>
      <c r="I34" s="321" t="n">
        <v>1.19886859</v>
      </c>
      <c r="J34" s="322" t="n">
        <v>0.05514341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T-0021</t>
        </is>
      </c>
      <c r="C35" s="314" t="n">
        <v>46306</v>
      </c>
      <c r="D35" s="313" t="n"/>
      <c r="E35" s="315" t="inlineStr">
        <is>
          <t>ETH/USD</t>
        </is>
      </c>
      <c r="F35" s="316" t="n">
        <v>1.22841877</v>
      </c>
      <c r="G35" s="317" t="n">
        <v>2305.29556289</v>
      </c>
      <c r="H35" s="271">
        <f>IF(AND(ISNUMBER(F35),ISNUMBER(G35)),F35*G35,"")</f>
        <v/>
      </c>
      <c r="I35" s="316" t="n">
        <v>1.2167922</v>
      </c>
      <c r="J35" s="317" t="n">
        <v>2701.07197061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inlineStr">
        <is>
          <t>T-0022</t>
        </is>
      </c>
      <c r="C36" s="319" t="n">
        <v>46306</v>
      </c>
      <c r="D36" s="318" t="n"/>
      <c r="E36" s="320" t="inlineStr">
        <is>
          <t>CAKE/USD</t>
        </is>
      </c>
      <c r="F36" s="321" t="n">
        <v>249</v>
      </c>
      <c r="G36" s="322" t="n">
        <v>1.94317748</v>
      </c>
      <c r="H36" s="271">
        <f>IF(AND(ISNUMBER(F36),ISNUMBER(G36)),F36*G36,"")</f>
        <v/>
      </c>
      <c r="I36" s="321" t="n">
        <v>238</v>
      </c>
      <c r="J36" s="322" t="n">
        <v>2.10339714</v>
      </c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inlineStr">
        <is>
          <t>T-0023</t>
        </is>
      </c>
      <c r="C37" s="314" t="n">
        <v>46306</v>
      </c>
      <c r="D37" s="313" t="n"/>
      <c r="E37" s="315" t="inlineStr">
        <is>
          <t>CAKE/BNB</t>
        </is>
      </c>
      <c r="F37" s="316" t="n">
        <v>152.1159</v>
      </c>
      <c r="G37" s="317" t="n">
        <v>0.00327053</v>
      </c>
      <c r="H37" s="271">
        <f>IF(AND(ISNUMBER(F37),ISNUMBER(G37)),F37*G37,"")</f>
        <v/>
      </c>
      <c r="I37" s="316" t="n">
        <v>152.1159</v>
      </c>
      <c r="J37" s="317" t="n">
        <v>0.00351796</v>
      </c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inlineStr">
        <is>
          <t>T-0024</t>
        </is>
      </c>
      <c r="C38" s="319" t="n">
        <v>46306</v>
      </c>
      <c r="D38" s="318" t="n"/>
      <c r="E38" s="320" t="inlineStr">
        <is>
          <t>CAKE/ETH</t>
        </is>
      </c>
      <c r="F38" s="321" t="n">
        <v>200</v>
      </c>
      <c r="G38" s="322" t="n">
        <v>0.00108396</v>
      </c>
      <c r="H38" s="271">
        <f>IF(AND(ISNUMBER(F38),ISNUMBER(G38)),F38*G38,"")</f>
        <v/>
      </c>
      <c r="I38" s="321" t="n">
        <v>200</v>
      </c>
      <c r="J38" s="322" t="n">
        <v>0.001123</v>
      </c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inlineStr">
        <is>
          <t>T-0025</t>
        </is>
      </c>
      <c r="C39" s="314" t="n">
        <v>46306</v>
      </c>
      <c r="D39" s="313" t="n"/>
      <c r="E39" s="315" t="inlineStr">
        <is>
          <t>LTC/USD</t>
        </is>
      </c>
      <c r="F39" s="316" t="n">
        <v>1.948</v>
      </c>
      <c r="G39" s="317" t="n">
        <v>68.94437372</v>
      </c>
      <c r="H39" s="271">
        <f>IF(AND(ISNUMBER(F39),ISNUMBER(G39)),F39*G39,"")</f>
        <v/>
      </c>
      <c r="I39" s="316" t="n">
        <v>1.948</v>
      </c>
      <c r="J39" s="317" t="n">
        <v>77.19706843</v>
      </c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inlineStr">
        <is>
          <t>T-0026</t>
        </is>
      </c>
      <c r="C40" s="319" t="n">
        <v>46306</v>
      </c>
      <c r="D40" s="318" t="n"/>
      <c r="E40" s="320" t="inlineStr">
        <is>
          <t>LTC/BTC</t>
        </is>
      </c>
      <c r="F40" s="321" t="n">
        <v>5.17606199</v>
      </c>
      <c r="G40" s="322" t="n">
        <v>0.00086764</v>
      </c>
      <c r="H40" s="271">
        <f>IF(AND(ISNUMBER(F40),ISNUMBER(G40)),F40*G40,"")</f>
        <v/>
      </c>
      <c r="I40" s="321" t="n">
        <v>5.17906199</v>
      </c>
      <c r="J40" s="322" t="n">
        <v>0.0009988099999999999</v>
      </c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inlineStr">
        <is>
          <t>T-0027</t>
        </is>
      </c>
      <c r="C41" s="314" t="n">
        <v>46306</v>
      </c>
      <c r="D41" s="313" t="n"/>
      <c r="E41" s="315" t="inlineStr">
        <is>
          <t>LTC/ETH</t>
        </is>
      </c>
      <c r="F41" s="316" t="n">
        <v>4.672</v>
      </c>
      <c r="G41" s="317" t="n">
        <v>0.04259548</v>
      </c>
      <c r="H41" s="271">
        <f>IF(AND(ISNUMBER(F41),ISNUMBER(G41)),F41*G41,"")</f>
        <v/>
      </c>
      <c r="I41" s="316" t="n">
        <v>4.63</v>
      </c>
      <c r="J41" s="317" t="n">
        <v>0.04946258</v>
      </c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inlineStr">
        <is>
          <t>T-0028</t>
        </is>
      </c>
      <c r="C42" s="319" t="n">
        <v>46306</v>
      </c>
      <c r="D42" s="318" t="n"/>
      <c r="E42" s="320" t="inlineStr">
        <is>
          <t>LINK/USD</t>
        </is>
      </c>
      <c r="F42" s="321" t="n">
        <v>4</v>
      </c>
      <c r="G42" s="322" t="n">
        <v>14.28</v>
      </c>
      <c r="H42" s="271">
        <f>IF(AND(ISNUMBER(F42),ISNUMBER(G42)),F42*G42,"")</f>
        <v/>
      </c>
      <c r="I42" s="321" t="n">
        <v>4</v>
      </c>
      <c r="J42" s="322" t="n">
        <v>18.47</v>
      </c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inlineStr">
        <is>
          <t>T-0029</t>
        </is>
      </c>
      <c r="C43" s="314" t="n">
        <v>46306</v>
      </c>
      <c r="D43" s="313" t="n"/>
      <c r="E43" s="315" t="inlineStr">
        <is>
          <t>LINK/BTC</t>
        </is>
      </c>
      <c r="F43" s="316" t="n">
        <v>9.119999999999999</v>
      </c>
      <c r="G43" s="317" t="n">
        <v>0.000147</v>
      </c>
      <c r="H43" s="271">
        <f>IF(AND(ISNUMBER(F43),ISNUMBER(G43)),F43*G43,"")</f>
        <v/>
      </c>
      <c r="I43" s="316" t="n">
        <v>9.109999999999999</v>
      </c>
      <c r="J43" s="317" t="n">
        <v>0.00017</v>
      </c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inlineStr">
        <is>
          <t>T-0030</t>
        </is>
      </c>
      <c r="C44" s="319" t="n">
        <v>46306</v>
      </c>
      <c r="D44" s="318" t="n"/>
      <c r="E44" s="320" t="inlineStr">
        <is>
          <t>SOL/ETH</t>
        </is>
      </c>
      <c r="F44" s="321" t="n">
        <v>3.082</v>
      </c>
      <c r="G44" s="322" t="n">
        <v>0.07544127</v>
      </c>
      <c r="H44" s="271">
        <f>IF(AND(ISNUMBER(F44),ISNUMBER(G44)),F44*G44,"")</f>
        <v/>
      </c>
      <c r="I44" s="321" t="n">
        <v>3</v>
      </c>
      <c r="J44" s="322" t="n">
        <v>0.0851</v>
      </c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inlineStr">
        <is>
          <t>T-0031</t>
        </is>
      </c>
      <c r="C45" s="314" t="n">
        <v>46306</v>
      </c>
      <c r="D45" s="313" t="n"/>
      <c r="E45" s="315" t="inlineStr">
        <is>
          <t>XLM/USD</t>
        </is>
      </c>
      <c r="F45" s="316" t="n">
        <v>850</v>
      </c>
      <c r="G45" s="317" t="n">
        <v>0.146455</v>
      </c>
      <c r="H45" s="271">
        <f>IF(AND(ISNUMBER(F45),ISNUMBER(G45)),F45*G45,"")</f>
        <v/>
      </c>
      <c r="I45" s="316" t="n">
        <v>850</v>
      </c>
      <c r="J45" s="317" t="n">
        <v>0.15</v>
      </c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inlineStr">
        <is>
          <t>T-0032</t>
        </is>
      </c>
      <c r="C46" s="319" t="n">
        <v>46306</v>
      </c>
      <c r="D46" s="318" t="n"/>
      <c r="E46" s="320" t="inlineStr">
        <is>
          <t>PAXG/USD</t>
        </is>
      </c>
      <c r="F46" s="321" t="n">
        <v>0.0296</v>
      </c>
      <c r="G46" s="322" t="n">
        <v>3406.30594595</v>
      </c>
      <c r="H46" s="271">
        <f>IF(AND(ISNUMBER(F46),ISNUMBER(G46)),F46*G46,"")</f>
        <v/>
      </c>
      <c r="I46" s="321" t="n">
        <v>0.02880752</v>
      </c>
      <c r="J46" s="322" t="n">
        <v>4267.25984099</v>
      </c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inlineStr">
        <is>
          <t>T-0033</t>
        </is>
      </c>
      <c r="C47" s="314" t="n">
        <v>46306</v>
      </c>
      <c r="D47" s="313" t="n"/>
      <c r="E47" s="315" t="inlineStr">
        <is>
          <t>DASH/BTC</t>
        </is>
      </c>
      <c r="F47" s="316" t="n">
        <v>2</v>
      </c>
      <c r="G47" s="317" t="n">
        <v>0.000478</v>
      </c>
      <c r="H47" s="271">
        <f>IF(AND(ISNUMBER(F47),ISNUMBER(G47)),F47*G47,"")</f>
        <v/>
      </c>
      <c r="I47" s="316" t="n">
        <v>2</v>
      </c>
      <c r="J47" s="317" t="n">
        <v>0.0004921</v>
      </c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BCH/BNB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BCH/BTC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BCH/ETH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BCH/USD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BCH/WAVES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BNB/BTC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BNB/ETH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BNB/USD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BTC/USD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CAKE/BNB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CAKE/BTC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CAKE/ETH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CAKE/USD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DASH/BTC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DASH/ETH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DASH/LTC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DASH/USD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DOGE/BTC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DOGE/USD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DOGS/USD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DOT/BTC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DOT/USD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DYDX/USD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EGLD/USD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ELIZA/SOL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ELIZAOS/USD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EOS/BTC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EOS/ETH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EOS/USD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ETC/BNB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ETC/BTC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ETC/ETH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ETC/USD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ETH/BTC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ETH/USD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ETHW/USD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FUN/ETH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HBAR/BTC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INJ/USD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IOTX/ETH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JUV/USD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LEVER/USD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LINK/BTC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LINK/ETH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LINK/USD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LOOM/ETH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LTC/BCH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LTC/BTC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LTC/ETH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LTC/USD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LUNA/USD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MAGIC/BTC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MATIC/BTC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MATIC/USD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MNT/USDT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NEAR/BTC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NEAR/ETH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NEAR/USD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NEO/BTC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NEO/ETH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NEO/USD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NFT/USD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PAXG/USD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PHA/BTC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PHA/USD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PYTH/SOL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SAND/BTC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SAND/USD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SC/BTC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SC/ETH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SC/USD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SHIB/DOGE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SHIB/USD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SOL/BNB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SOL/BTC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SOL/ETH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SOL/USD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STRAX/BTC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STX/USD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SUI/USD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TON/USD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TRX/BTC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TRX/ETH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TRX/USD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TRX/XRP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UNI/BTC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UNI/USD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WAVES/BTC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WAVES/ETH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inlineStr">
        <is>
          <t>WAVES/USD</t>
        </is>
      </c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inlineStr">
        <is>
          <t>XEM/BTC</t>
        </is>
      </c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inlineStr">
        <is>
          <t>XEM/ETH</t>
        </is>
      </c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inlineStr">
        <is>
          <t>XEM/USD</t>
        </is>
      </c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inlineStr">
        <is>
          <t>XLM/BTC</t>
        </is>
      </c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inlineStr">
        <is>
          <t>XLM/USD</t>
        </is>
      </c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inlineStr">
        <is>
          <t>XMR/ETH</t>
        </is>
      </c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inlineStr">
        <is>
          <t>XMR/USD</t>
        </is>
      </c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inlineStr">
        <is>
          <t>XRP/BNB</t>
        </is>
      </c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inlineStr">
        <is>
          <t>XRP/BTC</t>
        </is>
      </c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inlineStr">
        <is>
          <t>XRP/ETH</t>
        </is>
      </c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inlineStr">
        <is>
          <t>XRP/USD</t>
        </is>
      </c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inlineStr">
        <is>
          <t>XTZ/BTC</t>
        </is>
      </c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inlineStr">
        <is>
          <t>ZEC/BTC</t>
        </is>
      </c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inlineStr">
        <is>
          <t>ZEC/USD</t>
        </is>
      </c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inlineStr">
        <is>
          <t>ZRX/BTC</t>
        </is>
      </c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inlineStr">
        <is>
          <t>ZRX/ETH</t>
        </is>
      </c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inlineStr">
        <is>
          <t>ZRX/USD</t>
        </is>
      </c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83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82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B13" s="206" t="inlineStr">
        <is>
          <t>Arbitrum</t>
        </is>
      </c>
      <c r="I13" s="206" t="inlineStr">
        <is>
          <t>DOGE</t>
        </is>
      </c>
    </row>
    <row r="14">
      <c r="B14" s="206" t="inlineStr">
        <is>
          <t>BNB</t>
        </is>
      </c>
      <c r="I14" s="206" t="inlineStr">
        <is>
          <t>ELIZAOS</t>
        </is>
      </c>
    </row>
    <row r="15">
      <c r="B15" s="206" t="inlineStr">
        <is>
          <t>BSChain</t>
        </is>
      </c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1.xml><?xml version="1.0" encoding="utf-8"?>
<worksheet xmlns="http://schemas.openxmlformats.org/spreadsheetml/2006/main">
  <sheetPr codeName="Sheet11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240">
        <f>IF(COUNT(C5,F5)=0,"",N(C5)-N(F5))</f>
        <v/>
      </c>
      <c r="J5" s="241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246">
        <f>IF(COUNT(C6,F6)=0,"",N(C6)-N(F6))</f>
        <v/>
      </c>
      <c r="J6" s="247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240">
        <f>IF(COUNT(C7,F7)=0,"",N(C7)-N(F7))</f>
        <v/>
      </c>
      <c r="J7" s="241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246">
        <f>IF(COUNT(C8,F8)=0,"",N(C8)-N(F8))</f>
        <v/>
      </c>
      <c r="J8" s="247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240">
        <f>IF(COUNT(C9,F9)=0,"",N(C9)-N(F9))</f>
        <v/>
      </c>
      <c r="J9" s="241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246">
        <f>IF(COUNT(C10,F10)=0,"",N(C10)-N(F10))</f>
        <v/>
      </c>
      <c r="J10" s="247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240">
        <f>IF(COUNT(C11,F11)=0,"",N(C11)-N(F11))</f>
        <v/>
      </c>
      <c r="J11" s="241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246">
        <f>IF(COUNT(C12,F12)=0,"",N(C12)-N(F12))</f>
        <v/>
      </c>
      <c r="J12" s="247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240">
        <f>IF(COUNT(C13,F13)=0,"",N(C13)-N(F13))</f>
        <v/>
      </c>
      <c r="J13" s="241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246">
        <f>IF(COUNT(C14,F14)=0,"",N(C14)-N(F14))</f>
        <v/>
      </c>
      <c r="J14" s="247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240">
        <f>IF(COUNT(C15,F15)=0,"",N(C15)-N(F15))</f>
        <v/>
      </c>
      <c r="J15" s="241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246">
        <f>IF(COUNT(C16,F16)=0,"",N(C16)-N(F16))</f>
        <v/>
      </c>
      <c r="J16" s="247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240">
        <f>IF(COUNT(C17,F17)=0,"",N(C17)-N(F17))</f>
        <v/>
      </c>
      <c r="J17" s="241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246">
        <f>IF(COUNT(C18,F18)=0,"",N(C18)-N(F18))</f>
        <v/>
      </c>
      <c r="J18" s="247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240">
        <f>IF(COUNT(C19,F19)=0,"",N(C19)-N(F19))</f>
        <v/>
      </c>
      <c r="J19" s="241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246">
        <f>IF(COUNT(C20,F20)=0,"",N(C20)-N(F20))</f>
        <v/>
      </c>
      <c r="J20" s="247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240">
        <f>IF(COUNT(C21,F21)=0,"",N(C21)-N(F21))</f>
        <v/>
      </c>
      <c r="J21" s="241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246">
        <f>IF(COUNT(C22,F22)=0,"",N(C22)-N(F22))</f>
        <v/>
      </c>
      <c r="J22" s="247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240">
        <f>IF(COUNT(C23,F23)=0,"",N(C23)-N(F23))</f>
        <v/>
      </c>
      <c r="J23" s="241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246">
        <f>IF(COUNT(C24,F24)=0,"",N(C24)-N(F24))</f>
        <v/>
      </c>
      <c r="J24" s="247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240">
        <f>IF(COUNT(C25,F25)=0,"",N(C25)-N(F25))</f>
        <v/>
      </c>
      <c r="J25" s="241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246">
        <f>IF(COUNT(C26,F26)=0,"",N(C26)-N(F26))</f>
        <v/>
      </c>
      <c r="J26" s="247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240">
        <f>IF(COUNT(C27,F27)=0,"",N(C27)-N(F27))</f>
        <v/>
      </c>
      <c r="J27" s="241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246">
        <f>IF(COUNT(C28,F28)=0,"",N(C28)-N(F28))</f>
        <v/>
      </c>
      <c r="J28" s="247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240">
        <f>IF(COUNT(C29,F29)=0,"",N(C29)-N(F29))</f>
        <v/>
      </c>
      <c r="J29" s="241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246">
        <f>IF(COUNT(C30,F30)=0,"",N(C30)-N(F30))</f>
        <v/>
      </c>
      <c r="J30" s="247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240">
        <f>IF(COUNT(C31,F31)=0,"",N(C31)-N(F31))</f>
        <v/>
      </c>
      <c r="J31" s="241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246">
        <f>IF(COUNT(C32,F32)=0,"",N(C32)-N(F32))</f>
        <v/>
      </c>
      <c r="J32" s="247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240">
        <f>IF(COUNT(C33,F33)=0,"",N(C33)-N(F33))</f>
        <v/>
      </c>
      <c r="J33" s="241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246">
        <f>IF(COUNT(C34,F34)=0,"",N(C34)-N(F34))</f>
        <v/>
      </c>
      <c r="J34" s="247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240">
        <f>IF(COUNT(C35,F35)=0,"",N(C35)-N(F35))</f>
        <v/>
      </c>
      <c r="J35" s="241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246">
        <f>IF(COUNT(C36,F36)=0,"",N(C36)-N(F36))</f>
        <v/>
      </c>
      <c r="J36" s="247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240">
        <f>IF(COUNT(C37,F37)=0,"",N(C37)-N(F37))</f>
        <v/>
      </c>
      <c r="J37" s="241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246">
        <f>IF(COUNT(C38,F38)=0,"",N(C38)-N(F38))</f>
        <v/>
      </c>
      <c r="J38" s="247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240">
        <f>IF(COUNT(C39,F39)=0,"",N(C39)-N(F39))</f>
        <v/>
      </c>
      <c r="J39" s="241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246">
        <f>IF(COUNT(C40,F40)=0,"",N(C40)-N(F40))</f>
        <v/>
      </c>
      <c r="J40" s="247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240">
        <f>IF(COUNT(C41,F41)=0,"",N(C41)-N(F41))</f>
        <v/>
      </c>
      <c r="J41" s="241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246">
        <f>IF(COUNT(C42,F42)=0,"",N(C42)-N(F42))</f>
        <v/>
      </c>
      <c r="J42" s="247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240">
        <f>IF(COUNT(C43,F43)=0,"",N(C43)-N(F43))</f>
        <v/>
      </c>
      <c r="J43" s="241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246">
        <f>IF(COUNT(C44,F44)=0,"",N(C44)-N(F44))</f>
        <v/>
      </c>
      <c r="J44" s="247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240">
        <f>IF(COUNT(C45,F45)=0,"",N(C45)-N(F45))</f>
        <v/>
      </c>
      <c r="J45" s="241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246">
        <f>IF(COUNT(C46,F46)=0,"",N(C46)-N(F46))</f>
        <v/>
      </c>
      <c r="J46" s="247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240">
        <f>IF(COUNT(C47,F47)=0,"",N(C47)-N(F47))</f>
        <v/>
      </c>
      <c r="J47" s="241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246">
        <f>IF(COUNT(C48,F48)=0,"",N(C48)-N(F48))</f>
        <v/>
      </c>
      <c r="J48" s="247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240">
        <f>IF(COUNT(C49,F49)=0,"",N(C49)-N(F49))</f>
        <v/>
      </c>
      <c r="J49" s="241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246">
        <f>IF(COUNT(C50,F50)=0,"",N(C50)-N(F50))</f>
        <v/>
      </c>
      <c r="J50" s="247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240">
        <f>IF(COUNT(C51,F51)=0,"",N(C51)-N(F51))</f>
        <v/>
      </c>
      <c r="J51" s="241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246">
        <f>IF(COUNT(C52,F52)=0,"",N(C52)-N(F52))</f>
        <v/>
      </c>
      <c r="J52" s="247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240">
        <f>IF(COUNT(C53,F53)=0,"",N(C53)-N(F53))</f>
        <v/>
      </c>
      <c r="J53" s="241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246">
        <f>IF(COUNT(C54,F54)=0,"",N(C54)-N(F54))</f>
        <v/>
      </c>
      <c r="J54" s="247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240">
        <f>IF(COUNT(C55,F55)=0,"",N(C55)-N(F55))</f>
        <v/>
      </c>
      <c r="J55" s="241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246">
        <f>IF(COUNT(C56,F56)=0,"",N(C56)-N(F56))</f>
        <v/>
      </c>
      <c r="J56" s="247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240">
        <f>IF(COUNT(C57,F57)=0,"",N(C57)-N(F57))</f>
        <v/>
      </c>
      <c r="J57" s="241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246">
        <f>IF(COUNT(C58,F58)=0,"",N(C58)-N(F58))</f>
        <v/>
      </c>
      <c r="J58" s="247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240">
        <f>IF(COUNT(C59,F59)=0,"",N(C59)-N(F59))</f>
        <v/>
      </c>
      <c r="J59" s="241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246">
        <f>IF(COUNT(C60,F60)=0,"",N(C60)-N(F60))</f>
        <v/>
      </c>
      <c r="J60" s="247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240">
        <f>IF(COUNT(C61,F61)=0,"",N(C61)-N(F61))</f>
        <v/>
      </c>
      <c r="J61" s="241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246">
        <f>IF(COUNT(C62,F62)=0,"",N(C62)-N(F62))</f>
        <v/>
      </c>
      <c r="J62" s="247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240">
        <f>IF(COUNT(C63,F63)=0,"",N(C63)-N(F63))</f>
        <v/>
      </c>
      <c r="J63" s="241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246">
        <f>IF(COUNT(C64,F64)=0,"",N(C64)-N(F64))</f>
        <v/>
      </c>
      <c r="J64" s="247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240">
        <f>IF(COUNT(C65,F65)=0,"",N(C65)-N(F65))</f>
        <v/>
      </c>
      <c r="J65" s="241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246">
        <f>IF(COUNT(C66,F66)=0,"",N(C66)-N(F66))</f>
        <v/>
      </c>
      <c r="J66" s="247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240">
        <f>IF(COUNT(C67,F67)=0,"",N(C67)-N(F67))</f>
        <v/>
      </c>
      <c r="J67" s="241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246">
        <f>IF(COUNT(C68,F68)=0,"",N(C68)-N(F68))</f>
        <v/>
      </c>
      <c r="J68" s="247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240">
        <f>IF(COUNT(C69,F69)=0,"",N(C69)-N(F69))</f>
        <v/>
      </c>
      <c r="J69" s="241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246">
        <f>IF(COUNT(C70,F70)=0,"",N(C70)-N(F70))</f>
        <v/>
      </c>
      <c r="J70" s="247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240">
        <f>IF(COUNT(C71,F71)=0,"",N(C71)-N(F71))</f>
        <v/>
      </c>
      <c r="J71" s="241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246">
        <f>IF(COUNT(C72,F72)=0,"",N(C72)-N(F72))</f>
        <v/>
      </c>
      <c r="J72" s="247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240">
        <f>IF(COUNT(C73,F73)=0,"",N(C73)-N(F73))</f>
        <v/>
      </c>
      <c r="J73" s="241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246">
        <f>IF(COUNT(C74,F74)=0,"",N(C74)-N(F74))</f>
        <v/>
      </c>
      <c r="J74" s="247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240">
        <f>IF(COUNT(C75,F75)=0,"",N(C75)-N(F75))</f>
        <v/>
      </c>
      <c r="J75" s="241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246">
        <f>IF(COUNT(C76,F76)=0,"",N(C76)-N(F76))</f>
        <v/>
      </c>
      <c r="J76" s="247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240">
        <f>IF(COUNT(C77,F77)=0,"",N(C77)-N(F77))</f>
        <v/>
      </c>
      <c r="J77" s="241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246">
        <f>IF(COUNT(C78,F78)=0,"",N(C78)-N(F78))</f>
        <v/>
      </c>
      <c r="J78" s="247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240">
        <f>IF(COUNT(C79,F79)=0,"",N(C79)-N(F79))</f>
        <v/>
      </c>
      <c r="J79" s="241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246">
        <f>IF(COUNT(C80,F80)=0,"",N(C80)-N(F80))</f>
        <v/>
      </c>
      <c r="J80" s="247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240">
        <f>IF(COUNT(C81,F81)=0,"",N(C81)-N(F81))</f>
        <v/>
      </c>
      <c r="J81" s="241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246">
        <f>IF(COUNT(C82,F82)=0,"",N(C82)-N(F82))</f>
        <v/>
      </c>
      <c r="J82" s="247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240">
        <f>IF(COUNT(C83,F83)=0,"",N(C83)-N(F83))</f>
        <v/>
      </c>
      <c r="J83" s="241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246">
        <f>IF(COUNT(C84,F84)=0,"",N(C84)-N(F84))</f>
        <v/>
      </c>
      <c r="J84" s="247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240">
        <f>IF(COUNT(C85,F85)=0,"",N(C85)-N(F85))</f>
        <v/>
      </c>
      <c r="J85" s="241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246">
        <f>IF(COUNT(C86,F86)=0,"",N(C86)-N(F86))</f>
        <v/>
      </c>
      <c r="J86" s="247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240">
        <f>IF(COUNT(C87,F87)=0,"",N(C87)-N(F87))</f>
        <v/>
      </c>
      <c r="J87" s="241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246">
        <f>IF(COUNT(C88,F88)=0,"",N(C88)-N(F88))</f>
        <v/>
      </c>
      <c r="J88" s="247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240">
        <f>IF(COUNT(C89,F89)=0,"",N(C89)-N(F89))</f>
        <v/>
      </c>
      <c r="J89" s="241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246">
        <f>IF(COUNT(C90,F90)=0,"",N(C90)-N(F90))</f>
        <v/>
      </c>
      <c r="J90" s="247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240">
        <f>IF(COUNT(C91,F91)=0,"",N(C91)-N(F91))</f>
        <v/>
      </c>
      <c r="J91" s="241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246">
        <f>IF(COUNT(C92,F92)=0,"",N(C92)-N(F92))</f>
        <v/>
      </c>
      <c r="J92" s="247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240">
        <f>IF(COUNT(C93,F93)=0,"",N(C93)-N(F93))</f>
        <v/>
      </c>
      <c r="J93" s="241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246">
        <f>IF(COUNT(C94,F94)=0,"",N(C94)-N(F94))</f>
        <v/>
      </c>
      <c r="J94" s="247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240">
        <f>IF(COUNT(C95,F95)=0,"",N(C95)-N(F95))</f>
        <v/>
      </c>
      <c r="J95" s="241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246">
        <f>IF(COUNT(C96,F96)=0,"",N(C96)-N(F96))</f>
        <v/>
      </c>
      <c r="J96" s="247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240">
        <f>IF(COUNT(C97,F97)=0,"",N(C97)-N(F97))</f>
        <v/>
      </c>
      <c r="J97" s="241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246">
        <f>IF(COUNT(C98,F98)=0,"",N(C98)-N(F98))</f>
        <v/>
      </c>
      <c r="J98" s="247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240">
        <f>IF(COUNT(C99,F99)=0,"",N(C99)-N(F99))</f>
        <v/>
      </c>
      <c r="J99" s="241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246">
        <f>IF(COUNT(C100,F100)=0,"",N(C100)-N(F100))</f>
        <v/>
      </c>
      <c r="J100" s="247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240">
        <f>IF(COUNT(C101,F101)=0,"",N(C101)-N(F101))</f>
        <v/>
      </c>
      <c r="J101" s="241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246">
        <f>IF(COUNT(C102,F102)=0,"",N(C102)-N(F102))</f>
        <v/>
      </c>
      <c r="J102" s="247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240">
        <f>IF(COUNT(C103,F103)=0,"",N(C103)-N(F103))</f>
        <v/>
      </c>
      <c r="J103" s="241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246">
        <f>IF(COUNT(C104,F104)=0,"",N(C104)-N(F104))</f>
        <v/>
      </c>
      <c r="J104" s="247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240">
        <f>IF(COUNT(C105,F105)=0,"",N(C105)-N(F105))</f>
        <v/>
      </c>
      <c r="J105" s="241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246">
        <f>IF(COUNT(C106,F106)=0,"",N(C106)-N(F106))</f>
        <v/>
      </c>
      <c r="J106" s="247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240">
        <f>IF(COUNT(C107,F107)=0,"",N(C107)-N(F107))</f>
        <v/>
      </c>
      <c r="J107" s="241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246">
        <f>IF(COUNT(C108,F108)=0,"",N(C108)-N(F108))</f>
        <v/>
      </c>
      <c r="J108" s="247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240">
        <f>IF(COUNT(C109,F109)=0,"",N(C109)-N(F109))</f>
        <v/>
      </c>
      <c r="J109" s="241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246">
        <f>IF(COUNT(C110,F110)=0,"",N(C110)-N(F110))</f>
        <v/>
      </c>
      <c r="J110" s="247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240">
        <f>IF(COUNT(C111,F111)=0,"",N(C111)-N(F111))</f>
        <v/>
      </c>
      <c r="J111" s="241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246">
        <f>IF(COUNT(C112,F112)=0,"",N(C112)-N(F112))</f>
        <v/>
      </c>
      <c r="J112" s="247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240">
        <f>IF(COUNT(C113,F113)=0,"",N(C113)-N(F113))</f>
        <v/>
      </c>
      <c r="J113" s="241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246">
        <f>IF(COUNT(C114,F114)=0,"",N(C114)-N(F114))</f>
        <v/>
      </c>
      <c r="J114" s="247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240">
        <f>IF(COUNT(C115,F115)=0,"",N(C115)-N(F115))</f>
        <v/>
      </c>
      <c r="J115" s="241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246">
        <f>IF(COUNT(C116,F116)=0,"",N(C116)-N(F116))</f>
        <v/>
      </c>
      <c r="J116" s="247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240">
        <f>IF(COUNT(C117,F117)=0,"",N(C117)-N(F117))</f>
        <v/>
      </c>
      <c r="J117" s="241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246">
        <f>IF(COUNT(C118,F118)=0,"",N(C118)-N(F118))</f>
        <v/>
      </c>
      <c r="J118" s="247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240">
        <f>IF(COUNT(C119,F119)=0,"",N(C119)-N(F119))</f>
        <v/>
      </c>
      <c r="J119" s="241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246">
        <f>IF(COUNT(C120,F120)=0,"",N(C120)-N(F120))</f>
        <v/>
      </c>
      <c r="J120" s="247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240">
        <f>IF(COUNT(C121,F121)=0,"",N(C121)-N(F121))</f>
        <v/>
      </c>
      <c r="J121" s="241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246">
        <f>IF(COUNT(C122,F122)=0,"",N(C122)-N(F122))</f>
        <v/>
      </c>
      <c r="J122" s="247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240">
        <f>IF(COUNT(C123,F123)=0,"",N(C123)-N(F123))</f>
        <v/>
      </c>
      <c r="J123" s="241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246">
        <f>IF(COUNT(C124,F124)=0,"",N(C124)-N(F124))</f>
        <v/>
      </c>
      <c r="J124" s="247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240">
        <f>IF(COUNT(C125,F125)=0,"",N(C125)-N(F125))</f>
        <v/>
      </c>
      <c r="J125" s="241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246">
        <f>IF(COUNT(C126,F126)=0,"",N(C126)-N(F126))</f>
        <v/>
      </c>
      <c r="J126" s="247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240">
        <f>IF(COUNT(C127,F127)=0,"",N(C127)-N(F127))</f>
        <v/>
      </c>
      <c r="J127" s="241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246">
        <f>IF(COUNT(C128,F128)=0,"",N(C128)-N(F128))</f>
        <v/>
      </c>
      <c r="J128" s="247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240">
        <f>IF(COUNT(C129,F129)=0,"",N(C129)-N(F129))</f>
        <v/>
      </c>
      <c r="J129" s="241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246">
        <f>IF(COUNT(C130,F130)=0,"",N(C130)-N(F130))</f>
        <v/>
      </c>
      <c r="J130" s="247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240">
        <f>IF(COUNT(C131,F131)=0,"",N(C131)-N(F131))</f>
        <v/>
      </c>
      <c r="J131" s="241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246">
        <f>IF(COUNT(C132,F132)=0,"",N(C132)-N(F132))</f>
        <v/>
      </c>
      <c r="J132" s="247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240">
        <f>IF(COUNT(C133,F133)=0,"",N(C133)-N(F133))</f>
        <v/>
      </c>
      <c r="J133" s="241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246">
        <f>IF(COUNT(C134,F134)=0,"",N(C134)-N(F134))</f>
        <v/>
      </c>
      <c r="J134" s="247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240">
        <f>IF(COUNT(C135,F135)=0,"",N(C135)-N(F135))</f>
        <v/>
      </c>
      <c r="J135" s="241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246">
        <f>IF(COUNT(C136,F136)=0,"",N(C136)-N(F136))</f>
        <v/>
      </c>
      <c r="J136" s="247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240">
        <f>IF(COUNT(C137,F137)=0,"",N(C137)-N(F137))</f>
        <v/>
      </c>
      <c r="J137" s="241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246">
        <f>IF(COUNT(C138,F138)=0,"",N(C138)-N(F138))</f>
        <v/>
      </c>
      <c r="J138" s="247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240">
        <f>IF(COUNT(C139,F139)=0,"",N(C139)-N(F139))</f>
        <v/>
      </c>
      <c r="J139" s="241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246">
        <f>IF(COUNT(C140,F140)=0,"",N(C140)-N(F140))</f>
        <v/>
      </c>
      <c r="J140" s="247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240">
        <f>IF(COUNT(C141,F141)=0,"",N(C141)-N(F141))</f>
        <v/>
      </c>
      <c r="J141" s="241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246">
        <f>IF(COUNT(C142,F142)=0,"",N(C142)-N(F142))</f>
        <v/>
      </c>
      <c r="J142" s="247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240">
        <f>IF(COUNT(C143,F143)=0,"",N(C143)-N(F143))</f>
        <v/>
      </c>
      <c r="J143" s="241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246">
        <f>IF(COUNT(C144,F144)=0,"",N(C144)-N(F144))</f>
        <v/>
      </c>
      <c r="J144" s="247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240">
        <f>IF(COUNT(C145,F145)=0,"",N(C145)-N(F145))</f>
        <v/>
      </c>
      <c r="J145" s="241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246">
        <f>IF(COUNT(C146,F146)=0,"",N(C146)-N(F146))</f>
        <v/>
      </c>
      <c r="J146" s="247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240">
        <f>IF(COUNT(C147,F147)=0,"",N(C147)-N(F147))</f>
        <v/>
      </c>
      <c r="J147" s="241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246">
        <f>IF(COUNT(C148,F148)=0,"",N(C148)-N(F148))</f>
        <v/>
      </c>
      <c r="J148" s="247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240">
        <f>IF(COUNT(C149,F149)=0,"",N(C149)-N(F149))</f>
        <v/>
      </c>
      <c r="J149" s="241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246">
        <f>IF(COUNT(C150,F150)=0,"",N(C150)-N(F150))</f>
        <v/>
      </c>
      <c r="J150" s="247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240">
        <f>IF(COUNT(C151,F151)=0,"",N(C151)-N(F151))</f>
        <v/>
      </c>
      <c r="J151" s="241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246">
        <f>IF(COUNT(C152,F152)=0,"",N(C152)-N(F152))</f>
        <v/>
      </c>
      <c r="J152" s="247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240">
        <f>IF(COUNT(C153,F153)=0,"",N(C153)-N(F153))</f>
        <v/>
      </c>
      <c r="J153" s="241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246">
        <f>IF(COUNT(C154,F154)=0,"",N(C154)-N(F154))</f>
        <v/>
      </c>
      <c r="J154" s="247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240">
        <f>IF(COUNT(C155,F155)=0,"",N(C155)-N(F155))</f>
        <v/>
      </c>
      <c r="J155" s="241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246">
        <f>IF(COUNT(C156,F156)=0,"",N(C156)-N(F156))</f>
        <v/>
      </c>
      <c r="J156" s="247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240">
        <f>IF(COUNT(C157,F157)=0,"",N(C157)-N(F157))</f>
        <v/>
      </c>
      <c r="J157" s="241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246">
        <f>IF(COUNT(C158,F158)=0,"",N(C158)-N(F158))</f>
        <v/>
      </c>
      <c r="J158" s="247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240">
        <f>IF(COUNT(C159,F159)=0,"",N(C159)-N(F159))</f>
        <v/>
      </c>
      <c r="J159" s="241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246">
        <f>IF(COUNT(C160,F160)=0,"",N(C160)-N(F160))</f>
        <v/>
      </c>
      <c r="J160" s="247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240">
        <f>IF(COUNT(C161,F161)=0,"",N(C161)-N(F161))</f>
        <v/>
      </c>
      <c r="J161" s="241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246">
        <f>IF(COUNT(C162,F162)=0,"",N(C162)-N(F162))</f>
        <v/>
      </c>
      <c r="J162" s="247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240">
        <f>IF(COUNT(C163,F163)=0,"",N(C163)-N(F163))</f>
        <v/>
      </c>
      <c r="J163" s="241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246">
        <f>IF(COUNT(C164,F164)=0,"",N(C164)-N(F164))</f>
        <v/>
      </c>
      <c r="J164" s="247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240">
        <f>IF(COUNT(C165,F165)=0,"",N(C165)-N(F165))</f>
        <v/>
      </c>
      <c r="J165" s="241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246">
        <f>IF(COUNT(C166,F166)=0,"",N(C166)-N(F166))</f>
        <v/>
      </c>
      <c r="J166" s="247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240">
        <f>IF(COUNT(C167,F167)=0,"",N(C167)-N(F167))</f>
        <v/>
      </c>
      <c r="J167" s="241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246">
        <f>IF(COUNT(C168,F168)=0,"",N(C168)-N(F168))</f>
        <v/>
      </c>
      <c r="J168" s="247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240">
        <f>IF(COUNT(C169,F169)=0,"",N(C169)-N(F169))</f>
        <v/>
      </c>
      <c r="J169" s="241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246">
        <f>IF(COUNT(C170,F170)=0,"",N(C170)-N(F170))</f>
        <v/>
      </c>
      <c r="J170" s="247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240">
        <f>IF(COUNT(C171,F171)=0,"",N(C171)-N(F171))</f>
        <v/>
      </c>
      <c r="J171" s="241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246">
        <f>IF(COUNT(C172,F172)=0,"",N(C172)-N(F172))</f>
        <v/>
      </c>
      <c r="J172" s="247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240">
        <f>IF(COUNT(C173,F173)=0,"",N(C173)-N(F173))</f>
        <v/>
      </c>
      <c r="J173" s="241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246">
        <f>IF(COUNT(C174,F174)=0,"",N(C174)-N(F174))</f>
        <v/>
      </c>
      <c r="J174" s="247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240">
        <f>IF(COUNT(C175,F175)=0,"",N(C175)-N(F175))</f>
        <v/>
      </c>
      <c r="J175" s="241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246">
        <f>IF(COUNT(C176,F176)=0,"",N(C176)-N(F176))</f>
        <v/>
      </c>
      <c r="J176" s="247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240">
        <f>IF(COUNT(C177,F177)=0,"",N(C177)-N(F177))</f>
        <v/>
      </c>
      <c r="J177" s="241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246">
        <f>IF(COUNT(C178,F178)=0,"",N(C178)-N(F178))</f>
        <v/>
      </c>
      <c r="J178" s="247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240">
        <f>IF(COUNT(C179,F179)=0,"",N(C179)-N(F179))</f>
        <v/>
      </c>
      <c r="J179" s="241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246">
        <f>IF(COUNT(C180,F180)=0,"",N(C180)-N(F180))</f>
        <v/>
      </c>
      <c r="J180" s="247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240">
        <f>IF(COUNT(C181,F181)=0,"",N(C181)-N(F181))</f>
        <v/>
      </c>
      <c r="J181" s="241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246">
        <f>IF(COUNT(C182,F182)=0,"",N(C182)-N(F182))</f>
        <v/>
      </c>
      <c r="J182" s="247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240">
        <f>IF(COUNT(C183,F183)=0,"",N(C183)-N(F183))</f>
        <v/>
      </c>
      <c r="J183" s="241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246">
        <f>IF(COUNT(C184,F184)=0,"",N(C184)-N(F184))</f>
        <v/>
      </c>
      <c r="J184" s="247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240">
        <f>IF(COUNT(C185,F185)=0,"",N(C185)-N(F185))</f>
        <v/>
      </c>
      <c r="J185" s="241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246">
        <f>IF(COUNT(C186,F186)=0,"",N(C186)-N(F186))</f>
        <v/>
      </c>
      <c r="J186" s="247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240">
        <f>IF(COUNT(C187,F187)=0,"",N(C187)-N(F187))</f>
        <v/>
      </c>
      <c r="J187" s="241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246">
        <f>IF(COUNT(C188,F188)=0,"",N(C188)-N(F188))</f>
        <v/>
      </c>
      <c r="J188" s="247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240">
        <f>IF(COUNT(C189,F189)=0,"",N(C189)-N(F189))</f>
        <v/>
      </c>
      <c r="J189" s="241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246">
        <f>IF(COUNT(C190,F190)=0,"",N(C190)-N(F190))</f>
        <v/>
      </c>
      <c r="J190" s="247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240">
        <f>IF(COUNT(C191,F191)=0,"",N(C191)-N(F191))</f>
        <v/>
      </c>
      <c r="J191" s="241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246">
        <f>IF(COUNT(C192,F192)=0,"",N(C192)-N(F192))</f>
        <v/>
      </c>
      <c r="J192" s="247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240">
        <f>IF(COUNT(C193,F193)=0,"",N(C193)-N(F193))</f>
        <v/>
      </c>
      <c r="J193" s="241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246">
        <f>IF(COUNT(C194,F194)=0,"",N(C194)-N(F194))</f>
        <v/>
      </c>
      <c r="J194" s="247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240">
        <f>IF(COUNT(C195,F195)=0,"",N(C195)-N(F195))</f>
        <v/>
      </c>
      <c r="J195" s="241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246">
        <f>IF(COUNT(C196,F196)=0,"",N(C196)-N(F196))</f>
        <v/>
      </c>
      <c r="J196" s="247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240">
        <f>IF(COUNT(C197,F197)=0,"",N(C197)-N(F197))</f>
        <v/>
      </c>
      <c r="J197" s="241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246">
        <f>IF(COUNT(C198,F198)=0,"",N(C198)-N(F198))</f>
        <v/>
      </c>
      <c r="J198" s="247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240">
        <f>IF(COUNT(C199,F199)=0,"",N(C199)-N(F199))</f>
        <v/>
      </c>
      <c r="J199" s="241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246">
        <f>IF(COUNT(C200,F200)=0,"",N(C200)-N(F200))</f>
        <v/>
      </c>
      <c r="J200" s="247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240">
        <f>IF(COUNT(C201,F201)=0,"",N(C201)-N(F201))</f>
        <v/>
      </c>
      <c r="J201" s="241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246">
        <f>IF(COUNT(C202,F202)=0,"",N(C202)-N(F202))</f>
        <v/>
      </c>
      <c r="J202" s="247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240">
        <f>IF(COUNT(C203,F203)=0,"",N(C203)-N(F203))</f>
        <v/>
      </c>
      <c r="J203" s="241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246">
        <f>IF(COUNT(C204,F204)=0,"",N(C204)-N(F204))</f>
        <v/>
      </c>
      <c r="J204" s="247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240">
        <f>IF(COUNT(C205,F205)=0,"",N(C205)-N(F205))</f>
        <v/>
      </c>
      <c r="J205" s="241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246">
        <f>IF(COUNT(C206,F206)=0,"",N(C206)-N(F206))</f>
        <v/>
      </c>
      <c r="J206" s="247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240">
        <f>IF(COUNT(C207,F207)=0,"",N(C207)-N(F207))</f>
        <v/>
      </c>
      <c r="J207" s="241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246">
        <f>IF(COUNT(C208,F208)=0,"",N(C208)-N(F208))</f>
        <v/>
      </c>
      <c r="J208" s="247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240">
        <f>IF(COUNT(C209,F209)=0,"",N(C209)-N(F209))</f>
        <v/>
      </c>
      <c r="J209" s="241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246">
        <f>IF(COUNT(C210,F210)=0,"",N(C210)-N(F210))</f>
        <v/>
      </c>
      <c r="J210" s="247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240">
        <f>IF(COUNT(C211,F211)=0,"",N(C211)-N(F211))</f>
        <v/>
      </c>
      <c r="J211" s="241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246">
        <f>IF(COUNT(C212,F212)=0,"",N(C212)-N(F212))</f>
        <v/>
      </c>
      <c r="J212" s="247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240">
        <f>IF(COUNT(C213,F213)=0,"",N(C213)-N(F213))</f>
        <v/>
      </c>
      <c r="J213" s="241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246">
        <f>IF(COUNT(C214,F214)=0,"",N(C214)-N(F214))</f>
        <v/>
      </c>
      <c r="J214" s="247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240">
        <f>IF(COUNT(C215,F215)=0,"",N(C215)-N(F215))</f>
        <v/>
      </c>
      <c r="J215" s="241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246">
        <f>IF(COUNT(C216,F216)=0,"",N(C216)-N(F216))</f>
        <v/>
      </c>
      <c r="J216" s="247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240">
        <f>IF(COUNT(C217,F217)=0,"",N(C217)-N(F217))</f>
        <v/>
      </c>
      <c r="J217" s="241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246">
        <f>IF(COUNT(C218,F218)=0,"",N(C218)-N(F218))</f>
        <v/>
      </c>
      <c r="J218" s="247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240">
        <f>IF(COUNT(C219,F219)=0,"",N(C219)-N(F219))</f>
        <v/>
      </c>
      <c r="J219" s="241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246">
        <f>IF(COUNT(C220,F220)=0,"",N(C220)-N(F220))</f>
        <v/>
      </c>
      <c r="J220" s="247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240">
        <f>IF(COUNT(C221,F221)=0,"",N(C221)-N(F221))</f>
        <v/>
      </c>
      <c r="J221" s="241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246">
        <f>IF(COUNT(C222,F222)=0,"",N(C222)-N(F222))</f>
        <v/>
      </c>
      <c r="J222" s="247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240">
        <f>IF(COUNT(C223,F223)=0,"",N(C223)-N(F223))</f>
        <v/>
      </c>
      <c r="J223" s="241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246">
        <f>IF(COUNT(C224,F224)=0,"",N(C224)-N(F224))</f>
        <v/>
      </c>
      <c r="J224" s="247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240">
        <f>IF(COUNT(C225,F225)=0,"",N(C225)-N(F225))</f>
        <v/>
      </c>
      <c r="J225" s="241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246">
        <f>IF(COUNT(C226,F226)=0,"",N(C226)-N(F226))</f>
        <v/>
      </c>
      <c r="J226" s="247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240">
        <f>IF(COUNT(C227,F227)=0,"",N(C227)-N(F227))</f>
        <v/>
      </c>
      <c r="J227" s="241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246">
        <f>IF(COUNT(C228,F228)=0,"",N(C228)-N(F228))</f>
        <v/>
      </c>
      <c r="J228" s="247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240">
        <f>IF(COUNT(C229,F229)=0,"",N(C229)-N(F229))</f>
        <v/>
      </c>
      <c r="J229" s="241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246">
        <f>IF(COUNT(C230,F230)=0,"",N(C230)-N(F230))</f>
        <v/>
      </c>
      <c r="J230" s="247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240">
        <f>IF(COUNT(C231,F231)=0,"",N(C231)-N(F231))</f>
        <v/>
      </c>
      <c r="J231" s="241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246">
        <f>IF(COUNT(C232,F232)=0,"",N(C232)-N(F232))</f>
        <v/>
      </c>
      <c r="J232" s="247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240">
        <f>IF(COUNT(C233,F233)=0,"",N(C233)-N(F233))</f>
        <v/>
      </c>
      <c r="J233" s="241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246">
        <f>IF(COUNT(C234,F234)=0,"",N(C234)-N(F234))</f>
        <v/>
      </c>
      <c r="J234" s="247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240">
        <f>IF(COUNT(C235,F235)=0,"",N(C235)-N(F235))</f>
        <v/>
      </c>
      <c r="J235" s="241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246">
        <f>IF(COUNT(C236,F236)=0,"",N(C236)-N(F236))</f>
        <v/>
      </c>
      <c r="J236" s="247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240">
        <f>IF(COUNT(C237,F237)=0,"",N(C237)-N(F237))</f>
        <v/>
      </c>
      <c r="J237" s="241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246">
        <f>IF(COUNT(C238,F238)=0,"",N(C238)-N(F238))</f>
        <v/>
      </c>
      <c r="J238" s="247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240">
        <f>IF(COUNT(C239,F239)=0,"",N(C239)-N(F239))</f>
        <v/>
      </c>
      <c r="J239" s="241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246">
        <f>IF(COUNT(C240,F240)=0,"",N(C240)-N(F240))</f>
        <v/>
      </c>
      <c r="J240" s="247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240">
        <f>IF(COUNT(C241,F241)=0,"",N(C241)-N(F241))</f>
        <v/>
      </c>
      <c r="J241" s="241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246">
        <f>IF(COUNT(C242,F242)=0,"",N(C242)-N(F242))</f>
        <v/>
      </c>
      <c r="J242" s="247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240">
        <f>IF(COUNT(C243,F243)=0,"",N(C243)-N(F243))</f>
        <v/>
      </c>
      <c r="J243" s="241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246">
        <f>IF(COUNT(C244,F244)=0,"",N(C244)-N(F244))</f>
        <v/>
      </c>
      <c r="J244" s="247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240">
        <f>IF(COUNT(C245,F245)=0,"",N(C245)-N(F245))</f>
        <v/>
      </c>
      <c r="J245" s="241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246">
        <f>IF(COUNT(C246,F246)=0,"",N(C246)-N(F246))</f>
        <v/>
      </c>
      <c r="J246" s="247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240">
        <f>IF(COUNT(C247,F247)=0,"",N(C247)-N(F247))</f>
        <v/>
      </c>
      <c r="J247" s="241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246">
        <f>IF(COUNT(C248,F248)=0,"",N(C248)-N(F248))</f>
        <v/>
      </c>
      <c r="J248" s="247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240">
        <f>IF(COUNT(C249,F249)=0,"",N(C249)-N(F249))</f>
        <v/>
      </c>
      <c r="J249" s="241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246">
        <f>IF(COUNT(C250,F250)=0,"",N(C250)-N(F250))</f>
        <v/>
      </c>
      <c r="J250" s="247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240">
        <f>IF(COUNT(C251,F251)=0,"",N(C251)-N(F251))</f>
        <v/>
      </c>
      <c r="J251" s="241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246">
        <f>IF(COUNT(C252,F252)=0,"",N(C252)-N(F252))</f>
        <v/>
      </c>
      <c r="J252" s="247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240">
        <f>IF(COUNT(C253,F253)=0,"",N(C253)-N(F253))</f>
        <v/>
      </c>
      <c r="J253" s="241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246">
        <f>IF(COUNT(C254,F254)=0,"",N(C254)-N(F254))</f>
        <v/>
      </c>
      <c r="J254" s="247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240">
        <f>IF(COUNT(C255,F255)=0,"",N(C255)-N(F255))</f>
        <v/>
      </c>
      <c r="J255" s="241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246">
        <f>IF(COUNT(C256,F256)=0,"",N(C256)-N(F256))</f>
        <v/>
      </c>
      <c r="J256" s="247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240">
        <f>IF(COUNT(C257,F257)=0,"",N(C257)-N(F257))</f>
        <v/>
      </c>
      <c r="J257" s="241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246">
        <f>IF(COUNT(C258,F258)=0,"",N(C258)-N(F258))</f>
        <v/>
      </c>
      <c r="J258" s="247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240">
        <f>IF(COUNT(C259,F259)=0,"",N(C259)-N(F259))</f>
        <v/>
      </c>
      <c r="J259" s="241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246">
        <f>IF(COUNT(C260,F260)=0,"",N(C260)-N(F260))</f>
        <v/>
      </c>
      <c r="J260" s="247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240">
        <f>IF(COUNT(C261,F261)=0,"",N(C261)-N(F261))</f>
        <v/>
      </c>
      <c r="J261" s="241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246">
        <f>IF(COUNT(C262,F262)=0,"",N(C262)-N(F262))</f>
        <v/>
      </c>
      <c r="J262" s="247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240">
        <f>IF(COUNT(C263,F263)=0,"",N(C263)-N(F263))</f>
        <v/>
      </c>
      <c r="J263" s="241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246">
        <f>IF(COUNT(C264,F264)=0,"",N(C264)-N(F264))</f>
        <v/>
      </c>
      <c r="J264" s="247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240">
        <f>IF(COUNT(C265,F265)=0,"",N(C265)-N(F265))</f>
        <v/>
      </c>
      <c r="J265" s="241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246">
        <f>IF(COUNT(C266,F266)=0,"",N(C266)-N(F266))</f>
        <v/>
      </c>
      <c r="J266" s="247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240">
        <f>IF(COUNT(C267,F267)=0,"",N(C267)-N(F267))</f>
        <v/>
      </c>
      <c r="J267" s="241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246">
        <f>IF(COUNT(C268,F268)=0,"",N(C268)-N(F268))</f>
        <v/>
      </c>
      <c r="J268" s="247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240">
        <f>IF(COUNT(C269,F269)=0,"",N(C269)-N(F269))</f>
        <v/>
      </c>
      <c r="J269" s="241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246">
        <f>IF(COUNT(C270,F270)=0,"",N(C270)-N(F270))</f>
        <v/>
      </c>
      <c r="J270" s="247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240">
        <f>IF(COUNT(C271,F271)=0,"",N(C271)-N(F271))</f>
        <v/>
      </c>
      <c r="J271" s="241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246">
        <f>IF(COUNT(C272,F272)=0,"",N(C272)-N(F272))</f>
        <v/>
      </c>
      <c r="J272" s="247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240">
        <f>IF(COUNT(C273,F273)=0,"",N(C273)-N(F273))</f>
        <v/>
      </c>
      <c r="J273" s="241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246">
        <f>IF(COUNT(C274,F274)=0,"",N(C274)-N(F274))</f>
        <v/>
      </c>
      <c r="J274" s="247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240">
        <f>IF(COUNT(C275,F275)=0,"",N(C275)-N(F275))</f>
        <v/>
      </c>
      <c r="J275" s="241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246">
        <f>IF(COUNT(C276,F276)=0,"",N(C276)-N(F276))</f>
        <v/>
      </c>
      <c r="J276" s="247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240">
        <f>IF(COUNT(C277,F277)=0,"",N(C277)-N(F277))</f>
        <v/>
      </c>
      <c r="J277" s="241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246">
        <f>IF(COUNT(C278,F278)=0,"",N(C278)-N(F278))</f>
        <v/>
      </c>
      <c r="J278" s="247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240">
        <f>IF(COUNT(C279,F279)=0,"",N(C279)-N(F279))</f>
        <v/>
      </c>
      <c r="J279" s="241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246">
        <f>IF(COUNT(C280,F280)=0,"",N(C280)-N(F280))</f>
        <v/>
      </c>
      <c r="J280" s="247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240">
        <f>IF(COUNT(C281,F281)=0,"",N(C281)-N(F281))</f>
        <v/>
      </c>
      <c r="J281" s="241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246">
        <f>IF(COUNT(C282,F282)=0,"",N(C282)-N(F282))</f>
        <v/>
      </c>
      <c r="J282" s="247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240">
        <f>IF(COUNT(C283,F283)=0,"",N(C283)-N(F283))</f>
        <v/>
      </c>
      <c r="J283" s="241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246">
        <f>IF(COUNT(C284,F284)=0,"",N(C284)-N(F284))</f>
        <v/>
      </c>
      <c r="J284" s="247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240">
        <f>IF(COUNT(C285,F285)=0,"",N(C285)-N(F285))</f>
        <v/>
      </c>
      <c r="J285" s="241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246">
        <f>IF(COUNT(C286,F286)=0,"",N(C286)-N(F286))</f>
        <v/>
      </c>
      <c r="J286" s="247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240">
        <f>IF(COUNT(C287,F287)=0,"",N(C287)-N(F287))</f>
        <v/>
      </c>
      <c r="J287" s="241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246">
        <f>IF(COUNT(C288,F288)=0,"",N(C288)-N(F288))</f>
        <v/>
      </c>
      <c r="J288" s="247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240">
        <f>IF(COUNT(C289,F289)=0,"",N(C289)-N(F289))</f>
        <v/>
      </c>
      <c r="J289" s="241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246">
        <f>IF(COUNT(C290,F290)=0,"",N(C290)-N(F290))</f>
        <v/>
      </c>
      <c r="J290" s="247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240">
        <f>IF(COUNT(C291,F291)=0,"",N(C291)-N(F291))</f>
        <v/>
      </c>
      <c r="J291" s="241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246">
        <f>IF(COUNT(C292,F292)=0,"",N(C292)-N(F292))</f>
        <v/>
      </c>
      <c r="J292" s="247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240">
        <f>IF(COUNT(C293,F293)=0,"",N(C293)-N(F293))</f>
        <v/>
      </c>
      <c r="J293" s="241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246">
        <f>IF(COUNT(C294,F294)=0,"",N(C294)-N(F294))</f>
        <v/>
      </c>
      <c r="J294" s="247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240">
        <f>IF(COUNT(C295,F295)=0,"",N(C295)-N(F295))</f>
        <v/>
      </c>
      <c r="J295" s="241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246">
        <f>IF(COUNT(C296,F296)=0,"",N(C296)-N(F296))</f>
        <v/>
      </c>
      <c r="J296" s="247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240">
        <f>IF(COUNT(C297,F297)=0,"",N(C297)-N(F297))</f>
        <v/>
      </c>
      <c r="J297" s="241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246">
        <f>IF(COUNT(C298,F298)=0,"",N(C298)-N(F298))</f>
        <v/>
      </c>
      <c r="J298" s="247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240">
        <f>IF(COUNT(C299,F299)=0,"",N(C299)-N(F299))</f>
        <v/>
      </c>
      <c r="J299" s="241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246">
        <f>IF(COUNT(C300,F300)=0,"",N(C300)-N(F300))</f>
        <v/>
      </c>
      <c r="J300" s="247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2026-10-11T15:14:02Z</dcterms:modified>
</cp:coreProperties>
</file>